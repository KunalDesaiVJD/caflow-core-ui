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Rate Lookup" state="veryHidden" r:id="rId5"/>
    <sheet sheetId="3" name="Challan Master" state="visible" r:id="rId6"/>
    <sheet sheetId="4" name="Q1 Data" state="visible" r:id="rId7"/>
    <sheet sheetId="5" name="Q2 Data" state="visible" r:id="rId8"/>
    <sheet sheetId="6" name="Q3 Data" state="visible" r:id="rId9"/>
    <sheet sheetId="7" name="Q4 Data" state="visible" r:id="rId10"/>
  </sheets>
  <calcPr calcId="171027" fullCalcOnLoad="1"/>
</workbook>
</file>

<file path=xl/sharedStrings.xml><?xml version="1.0" encoding="utf-8"?>
<sst xmlns="http://schemas.openxmlformats.org/spreadsheetml/2006/main" count="173" uniqueCount="105">
  <si>
    <t>TDS Data Entry — Client Template</t>
  </si>
  <si>
    <t>Challan Master sheet + four quarter entry tabs, cross-linked by dropdown — mirrors the software’s own Data Entry screen, where a challan is created once and every deductee entry picks it from a list.</t>
  </si>
  <si>
    <t>How This Template Works</t>
  </si>
  <si>
    <t>•  This workbook has SIX sheets: this Instructions sheet, "Challan Master", and four entry tabs — Q1 Data, Q2 Data, Q3 Data, Q4 Data. Fill in Challan Master FIRST, then go to whichever quarter tab a deductee was actually paid in and record the entry there.</t>
  </si>
  <si>
    <t>•  Challan Master: one row per PHYSICAL challan, entered exactly ONCE, no matter how many quarters or deductees draw against it. Fill BSR Code, Challan Serial No., Date of Deposit, Minor Head, Tax Deposited (all four marked * are mandatory — leaving one blank highlights that cell pink and the Row 2 banner counts it as a failure), plus Surcharge/Cess/Interest/Others/Late Fees if applicable.</t>
  </si>
  <si>
    <t>•  Quarter tabs (Q1–Q4 Data): every row is ONE deductee entry. The first editable field, "Challan (select)", is a dropdown listing every challan already on Challan Master — pick the right one and its BSR Code, Serial No., Date of Deposit, Minor Head, Tax Deposited and Section all appear together in the single grey "Challan Details (ref)" column right next to it, instead of spread across separate columns. There is no more separate "Challan row" to type on a quarter tab, and no way to mistype or leave blank the BSR/Serial link — you are always picking a challan that already exists.</t>
  </si>
  <si>
    <t>•  The entry’s own "Section*" (for TDS rate lookup) stays independently editable — pick the section that actually applies to THIS payment, regardless of whichever Section is registered on the linked challan (one challan can legitimately cover deductees under more than one section).</t>
  </si>
  <si>
    <t>•  CHALLAN CARRY-FORWARD: Challan Master’s "Amount Used Q1/Q2/Q3/Q4" columns sum every entry linked to that challan on each specific quarter tab; "Total Amount Used", "Allocatable" and "Unconsumed / Balance" total across all four. Post part of a challan’s entries in Q1 and the rest in Q2 — the challan’s own row updates live either way, exactly like the software’s own database lookup.</t>
  </si>
  <si>
    <t>•  "Status" on Challan Master (green, auto) shows Over-applied / Fully Utilised / Unconsumed for each challan; an Over-applied challan’s entire row is highlighted red on Challan Master, AND every entry on every quarter tab that references it is also highlighted red (via the "Challan Status (ref)" column) so you see the problem from wherever you’re looking, not just on Challan Master.</t>
  </si>
  <si>
    <t>•  Row 2 on Challan Master is a live banner: over-applied challans + challans missing a mandatory field. Row 2 on each quarter tab is a separate live banner scoped to that tab: entries missing a Challan selection + entries posted against an already over-applied challan.</t>
  </si>
  <si>
    <t>•  "Rate of TDS" calculates automatically from Section + Deductee Type (detected from the PAN’s 4th character, same P/H/C/F/L/T/A mapping the software uses); "TDS Amount" = Amount Paid × Rate; "Interest Amount" follows Section 201(1A) — 1.5% per month (or part) late, from the deduction month’s 7th-of-next-month due date to the linked challan’s own deposit date, now a simple same-row lookup instead of a cross-sheet search.</t>
  </si>
  <si>
    <t>•  "PAN Not Available" calculates automatically — Y whenever PAN is blank or not in valid PAN format, N otherwise; a no-PAN row is highlighted pink and gets the flat higher no-PAN rate under Section 206AA, same as the software.</t>
  </si>
  <si>
    <t>•  Surcharge Amount, Education Cess Amount, and Late Fees Amount (per entry) are always 0 — the software has no way to enter these on a deductee through this screen either.</t>
  </si>
  <si>
    <t>•  Every grey auto-calculated cell is LOCKED (sheets are protected, no password — Review → Unprotect Sheet removes it instantly if ever needed) — exactly like the software, where these are displayed values, never fields you type into. Do not rename a tab, insert/delete columns, or change the header row (row 3) on any sheet — formulas and dropdowns match columns by these exact positions.</t>
  </si>
  <si>
    <t>•  The Challan dropdown on quarter tabs lists Challan Master’s full row range, so a few blank entries may appear at the end of the dropdown list past your last real challan — harmless, just skip past them.</t>
  </si>
  <si>
    <t>•  If a formula cell ever looks blank or stale while you’re actively editing, press Ctrl+Alt+F9 (Formulas → Calculate Now → Calculate Workbook) to force a full refresh.</t>
  </si>
  <si>
    <t>1004 : [192A] : 393(7) – Premature withdrawal from Employees' Provident Fund</t>
  </si>
  <si>
    <t>192B — Salary</t>
  </si>
  <si>
    <t>1019 : [193] : 393(1) [Table: S.N. 5(i)] – Interest on securities</t>
  </si>
  <si>
    <t>1029 : [194] : 393(1) [Table: S.N. 7] – Dividend</t>
  </si>
  <si>
    <t>1021 : [194A] : 393(1) [Table: S.N. 5(ii).D(b)] – Interest other than securities - Other Individuals</t>
  </si>
  <si>
    <t>1022 : [194A- Other than Bank] : 393(1) [Table: S.N. 5(iii)] – Interest other than securities - Others</t>
  </si>
  <si>
    <t>1020 : [194A-SC] : 393(1) [Table: S.N. 5(ii).D(a)] – Interest other than securities - Senior Citizens</t>
  </si>
  <si>
    <t>1058 : [194B] : 393(3) [Table: Sl. No. 1] – Winnings from lottery, crossword puzzles, card games and other games</t>
  </si>
  <si>
    <t>1062 : [194BB] : 393(3) [Table: S.No. 3] – Winnings from horse races</t>
  </si>
  <si>
    <t>194C — Contractor / Sub-contractor</t>
  </si>
  <si>
    <t>1023 : [194C(a)] : 393(1) [Table: S.N. 6(i).D(a)] – Payments to contractors and sub-contractors (Individual/HUF)</t>
  </si>
  <si>
    <t>1024 : [194C(b)] : 393(1) [Table: S.N. 6(i).D(b)] – Payments to contractors and sub-contractors (Others)</t>
  </si>
  <si>
    <t>1005 : [194D] : 393(1) [Table: S.No. 1(i)] – Insurance commission</t>
  </si>
  <si>
    <t>1030 : [194DA] : 393(1) [Table: Sl. No. 8(i)] – Payment in respect of life insurance policy (maturity proceeds)</t>
  </si>
  <si>
    <t>1063 : [194G] : 393(3) [Table: S.No. 4] – Commission on sale of lottery tickets</t>
  </si>
  <si>
    <t>1006 : [194H] : 393(1) [Table: S.N. 1(ii)] – Commission or brokerage</t>
  </si>
  <si>
    <t>1008 : [194I(a)] : 393(1) [Table: S.N. 2(ii).D(a)] – Rent - Plant &amp; Machinery</t>
  </si>
  <si>
    <t>1009 : [194I(b)] : 393(1) [Table: S.N. 2(ii).D(b)] – Rent - Land/Building/Furniture</t>
  </si>
  <si>
    <t>194IA — Immovable Property Purchase</t>
  </si>
  <si>
    <t>194IB — Rent by Ind/HUF (&gt;50k/month)</t>
  </si>
  <si>
    <t>1011 : [194IC] : 393(1) [Table: S.N. 3(ii)] – Payment under a Joint Development Agreement (JDA)</t>
  </si>
  <si>
    <t>1027 : [194J(a)] : 393(1) [Table: S.N. 6(iii).D(b)] – Professional services / director remuneration</t>
  </si>
  <si>
    <t>1026 : [194J(b)] : 393(1) [Table: S.N. 6(iii).D(a)] – Fees for technical services</t>
  </si>
  <si>
    <t>1013 : [194K] : 393(1) [Table: Sl. No. 4(i)] – Income from units of a mutual fund</t>
  </si>
  <si>
    <t>1012 : [194LA] : 393(1) [Table: S.No. 3(iii)] – Compensation on compulsory acquisition of certain immovable property</t>
  </si>
  <si>
    <t>1044 : [194LB] : 393(2) [Table: S.No. 5] – Interest from an infrastructure debt fund</t>
  </si>
  <si>
    <t>1018 : [194LBC] : 393(1) [Table: Sl. No. 4(iv)] – Income from investment in a securitisation trust, paid to a resident</t>
  </si>
  <si>
    <t>194M — Contractor/Professional by Ind</t>
  </si>
  <si>
    <t>194N-F — Cash Withdrawal (ITR Filer)</t>
  </si>
  <si>
    <t>194N-NF — Cash Withdrawal (Non-Filer)</t>
  </si>
  <si>
    <t>194O — E-Commerce</t>
  </si>
  <si>
    <t>1031 : [194Q] : 393(1) [Table: S.N. 8(ii)] – Purchase of goods (buyer TDS)</t>
  </si>
  <si>
    <t>194R — Benefit/Perquisite in Business</t>
  </si>
  <si>
    <t>1034 : [194R(a)] : 393(1) [Table: S.N. 8(iv)] – Perquisite/benefit in business or profession (Cash)</t>
  </si>
  <si>
    <t>1035 : [194R(b)] : 393(1) [Table: S.N. 8(iv) Note 6] – Perquisite/benefit in business or profession (In Kind/Mixed)</t>
  </si>
  <si>
    <t>1037 : [194S] : 393(1) [Table: Sl. No. 8(vi)] – Consideration for transfer of a virtual digital asset (crypto)</t>
  </si>
  <si>
    <t>1067 : [194T] : 393(3) [Table: S.N. 7] – Payment to partners of a firm (salary/remuneration/interest)</t>
  </si>
  <si>
    <t>Challan Master — enter every challan ONCE here; quarter tabs pick it from a dropdown</t>
  </si>
  <si>
    <t>Sr. No.</t>
  </si>
  <si>
    <t>BSR Code*</t>
  </si>
  <si>
    <t>Challan Serial No.*</t>
  </si>
  <si>
    <t>Date of Deposit*</t>
  </si>
  <si>
    <t>Minor Head*</t>
  </si>
  <si>
    <t>Section</t>
  </si>
  <si>
    <t>Tax Deposited (₹)*</t>
  </si>
  <si>
    <t>Surcharge Deposited (₹)</t>
  </si>
  <si>
    <t>Education Cess Deposited (₹)</t>
  </si>
  <si>
    <t>Interest Deposited (₹)</t>
  </si>
  <si>
    <t>Others Deposited (₹)</t>
  </si>
  <si>
    <t>Late Fees u/s 234E (₹)</t>
  </si>
  <si>
    <t>Total Challan Amount (₹)</t>
  </si>
  <si>
    <t>Bank Name</t>
  </si>
  <si>
    <t>Book Entry?</t>
  </si>
  <si>
    <t>Transfer Voucher No.</t>
  </si>
  <si>
    <t>Cheque/DD No.</t>
  </si>
  <si>
    <t>Remarks</t>
  </si>
  <si>
    <t>Dropdown Label (internal)</t>
  </si>
  <si>
    <t>Amount Used Q1 (₹)</t>
  </si>
  <si>
    <t>Amount Used Q2 (₹)</t>
  </si>
  <si>
    <t>Amount Used Q3 (₹)</t>
  </si>
  <si>
    <t>Amount Used Q4 (₹)</t>
  </si>
  <si>
    <t>Total Amount Used (₹)</t>
  </si>
  <si>
    <t>Allocatable (₹)</t>
  </si>
  <si>
    <t>Unconsumed / Balance (₹)</t>
  </si>
  <si>
    <t>Status</t>
  </si>
  <si>
    <t>Q1 — pick a Challan for every deductee entry below</t>
  </si>
  <si>
    <t>Challan (select)*</t>
  </si>
  <si>
    <t>Challan Details (ref)</t>
  </si>
  <si>
    <t>Deductee Name*</t>
  </si>
  <si>
    <t>PAN*</t>
  </si>
  <si>
    <t>PAN Not Available (auto)</t>
  </si>
  <si>
    <t>Deductee Type (auto)</t>
  </si>
  <si>
    <t>Section*</t>
  </si>
  <si>
    <t>Rate of TDS (%)</t>
  </si>
  <si>
    <t>Date of Payment/Credit*</t>
  </si>
  <si>
    <t>Amount Paid/Credited (₹)*</t>
  </si>
  <si>
    <t>TDS Amount (₹)</t>
  </si>
  <si>
    <t>Surcharge Amount (₹)</t>
  </si>
  <si>
    <t>Education Cess Amount (₹)</t>
  </si>
  <si>
    <t>Interest Amount (₹)</t>
  </si>
  <si>
    <t>Late Fees Amount (₹)</t>
  </si>
  <si>
    <t>Reason Code</t>
  </si>
  <si>
    <t>Lower Deduction Certificate No.</t>
  </si>
  <si>
    <t>Lower Deduction Rate (%)</t>
  </si>
  <si>
    <t>Country of Residence</t>
  </si>
  <si>
    <t>Challan Status (ref)</t>
  </si>
  <si>
    <t>Q2 — pick a Challan for every deductee entry below</t>
  </si>
  <si>
    <t>Q3 — pick a Challan for every deductee entry below</t>
  </si>
  <si>
    <t>Q4 — pick a Challan for every deductee entry below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</si>
</sst>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x14ac:knownFonts="1">
    <font>
      <color theme="1"/>
      <family val="2"/>
      <scheme val="minor"/>
      <sz val="11"/>
      <name val="Calibri"/>
    </font>
    <font>
      <b/>
      <color rgb="FF1F3864"/>
      <sz val="16"/>
      <name val="Arial"/>
    </font>
    <font>
      <i/>
      <sz val="10"/>
      <name val="Arial"/>
    </font>
    <font>
      <b/>
      <color rgb="FF1F3864"/>
      <sz val="12"/>
      <name val="Arial"/>
    </font>
    <font>
      <sz val="10"/>
      <name val="Arial"/>
    </font>
    <font>
      <b/>
      <sz val="11"/>
      <name val="Arial"/>
    </font>
    <font>
      <b/>
      <color rgb="FFFFFFFF"/>
      <sz val="10"/>
      <name val="Arial"/>
    </font>
    <font>
      <color rgb="FF3C3C3C"/>
      <sz val="10"/>
      <name val="Arial"/>
    </font>
    <font>
      <color rgb="FF1F4E79"/>
      <sz val="10"/>
      <name val="Arial"/>
    </font>
  </fonts>
  <fills count="4">
    <fill>
      <patternFill patternType="none"/>
    </fill>
    <fill>
      <patternFill patternType="gray125"/>
    </fill>
    <fill>
      <patternFill patternType="solid">
        <fgColor rgb="FF1F3864"/>
      </patternFill>
    </fill>
    <fill>
      <patternFill patternType="solid">
        <fgColor rgb="FFF3F5F8"/>
      </patternFill>
    </fill>
  </fills>
  <borders count="3">
    <border>
      <left/>
      <right/>
      <top/>
      <bottom/>
      <diagonal/>
    </border>
    <border>
      <left style="thin">
        <color rgb="FF1F3864"/>
      </left>
      <right style="thin">
        <color rgb="FF1F3864"/>
      </right>
      <top style="thin">
        <color rgb="FF1F3864"/>
      </top>
      <bottom style="medium">
        <color rgb="FF1F3864"/>
      </bottom>
      <diagonal/>
    </border>
    <border>
      <left style="thin">
        <color rgb="FFC9CDD3"/>
      </left>
      <right style="thin">
        <color rgb="FFC9CDD3"/>
      </right>
      <top style="thin">
        <color rgb="FFC9CDD3"/>
      </top>
      <bottom style="thin">
        <color rgb="FFC9CDD3"/>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3" fillId="0" borderId="0" xfId="0" applyFont="1"/>
    <xf numFmtId="0" fontId="4" fillId="0" borderId="0" xfId="0" applyFont="1" applyAlignment="1">
      <alignment vertical="top" wrapText="1"/>
    </xf>
    <xf numFmtId="0" fontId="5" fillId="0" borderId="0" xfId="0" applyFont="1" applyAlignment="1">
      <alignment vertical="center"/>
    </xf>
    <xf numFmtId="0" fontId="6" fillId="2" borderId="1" xfId="0" applyFont="1" applyFill="1" applyBorder="1" applyAlignment="1">
      <alignment horizontal="center" vertical="center" wrapText="1"/>
    </xf>
    <xf numFmtId="0" fontId="7" fillId="3" borderId="2" xfId="0" applyFont="1" applyFill="1" applyBorder="1"/>
    <xf numFmtId="0" fontId="8" fillId="0" borderId="2" xfId="0" applyFont="1" applyBorder="1" applyProtection="1">
      <protection locked="0"/>
    </xf>
  </cellXfs>
  <cellStyles count="1">
    <cellStyle name="Normal" xfId="0" builtinId="0"/>
  </cellStyles>
  <dxfs count="28">
    <dxf>
      <font>
        <b/>
        <color rgb="FFFFFFFF"/>
      </font>
      <fill>
        <patternFill patternType="solid">
          <bgColor rgb="FFC0392B"/>
        </patternFill>
      </fill>
    </dxf>
    <dxf>
      <font>
        <b/>
        <color rgb="FF1B7A43"/>
      </font>
      <fill>
        <patternFill patternType="solid">
          <bgColor rgb="FFD9F2E6"/>
        </patternFill>
      </fill>
    </dxf>
    <dxf>
      <font>
        <b/>
        <color rgb="FFFFFFFF"/>
      </font>
      <fill>
        <patternFill patternType="solid">
          <bgColor rgb="FFC0392B"/>
        </patternFill>
      </fill>
    </dxf>
    <dxf>
      <font>
        <b/>
        <color rgb="FF1B7A43"/>
      </font>
      <fill>
        <patternFill patternType="solid">
          <bgColor rgb="FFD9F2E6"/>
        </patternFill>
      </fill>
    </dxf>
    <dxf>
      <font>
        <color rgb="FF8A6D1D"/>
      </font>
      <fill>
        <patternFill patternType="solid">
          <bgColor rgb="FFFDF3D9"/>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1B7A43"/>
      </font>
      <fill>
        <patternFill patternType="solid">
          <bgColor rgb="FFD9F2E6"/>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FFFFFF"/>
      </font>
      <fill>
        <patternFill patternType="solid">
          <bgColor rgb="FFC0392B"/>
        </patternFill>
      </fill>
    </dxf>
    <dxf>
      <font>
        <b/>
        <color rgb="FF1B7A43"/>
      </font>
      <fill>
        <patternFill patternType="solid">
          <bgColor rgb="FFD9F2E6"/>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FFFFFF"/>
      </font>
      <fill>
        <patternFill patternType="solid">
          <bgColor rgb="FFC0392B"/>
        </patternFill>
      </fill>
    </dxf>
    <dxf>
      <font>
        <b/>
        <color rgb="FF1B7A43"/>
      </font>
      <fill>
        <patternFill patternType="solid">
          <bgColor rgb="FFD9F2E6"/>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FFFFFF"/>
      </font>
      <fill>
        <patternFill patternType="solid">
          <bgColor rgb="FFC0392B"/>
        </patternFill>
      </fill>
    </dxf>
    <dxf>
      <font>
        <b/>
        <color rgb="FF1B7A43"/>
      </font>
      <fill>
        <patternFill patternType="solid">
          <bgColor rgb="FFD9F2E6"/>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8"/>
  <sheetFormatPr defaultRowHeight="15" outlineLevelRow="0" outlineLevelCol="0" x14ac:dyDescent="55"/>
  <cols>
    <col min="1" max="1" width="100" customWidth="1"/>
  </cols>
  <sheetData>
    <row r="1" spans="1:1" x14ac:dyDescent="0.25">
      <c r="A1" s="1" t="s">
        <v>0</v>
      </c>
    </row>
    <row r="2" ht="4" customHeight="1" x14ac:dyDescent="0.25"/>
    <row r="3" spans="1:1" x14ac:dyDescent="0.25">
      <c r="A3" s="2" t="s">
        <v>1</v>
      </c>
    </row>
    <row r="4" ht="8" customHeight="1" x14ac:dyDescent="0.25"/>
    <row r="5" spans="1:1" x14ac:dyDescent="0.25">
      <c r="A5" s="3" t="s">
        <v>2</v>
      </c>
    </row>
    <row r="6" spans="1:1" x14ac:dyDescent="0.25">
      <c r="A6" s="4" t="s">
        <v>3</v>
      </c>
    </row>
    <row r="7" spans="1:1" x14ac:dyDescent="0.25">
      <c r="A7" s="4" t="s">
        <v>4</v>
      </c>
    </row>
    <row r="8" spans="1:1" x14ac:dyDescent="0.25">
      <c r="A8" s="4" t="s">
        <v>5</v>
      </c>
    </row>
    <row r="9" spans="1:1" x14ac:dyDescent="0.25">
      <c r="A9" s="4" t="s">
        <v>6</v>
      </c>
    </row>
    <row r="10" spans="1:1" x14ac:dyDescent="0.25">
      <c r="A10" s="4" t="s">
        <v>7</v>
      </c>
    </row>
    <row r="11" spans="1:1" x14ac:dyDescent="0.25">
      <c r="A11" s="4" t="s">
        <v>8</v>
      </c>
    </row>
    <row r="12" spans="1:1" x14ac:dyDescent="0.25">
      <c r="A12" s="4" t="s">
        <v>9</v>
      </c>
    </row>
    <row r="13" spans="1:1" x14ac:dyDescent="0.25">
      <c r="A13" s="4" t="s">
        <v>10</v>
      </c>
    </row>
    <row r="14" spans="1:1" x14ac:dyDescent="0.25">
      <c r="A14" s="4" t="s">
        <v>11</v>
      </c>
    </row>
    <row r="15" spans="1:1" x14ac:dyDescent="0.25">
      <c r="A15" s="4" t="s">
        <v>12</v>
      </c>
    </row>
    <row r="16" spans="1:1" x14ac:dyDescent="0.25">
      <c r="A16" s="4" t="s">
        <v>13</v>
      </c>
    </row>
    <row r="17" spans="1:1" x14ac:dyDescent="0.25">
      <c r="A17" s="4" t="s">
        <v>14</v>
      </c>
    </row>
    <row r="18" spans="1:1" x14ac:dyDescent="0.25">
      <c r="A18" s="4" t="s">
        <v>15</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7"/>
  <sheetFormatPr defaultRowHeight="15" outlineLevelRow="0" outlineLevelCol="0" x14ac:dyDescent="55"/>
  <sheetData>
    <row r="1" spans="1:4" x14ac:dyDescent="0.25">
      <c r="A1" t="s">
        <v>16</v>
      </c>
      <c r="B1">
        <v>10</v>
      </c>
      <c r="C1">
        <v>10</v>
      </c>
      <c r="D1">
        <v>20</v>
      </c>
    </row>
    <row r="2" spans="1:4" x14ac:dyDescent="0.25">
      <c r="A2" t="s">
        <v>17</v>
      </c>
      <c r="B2">
        <v>0</v>
      </c>
      <c r="C2">
        <v>0</v>
      </c>
      <c r="D2">
        <v>20</v>
      </c>
    </row>
    <row r="3" spans="1:4" x14ac:dyDescent="0.25">
      <c r="A3" t="s">
        <v>18</v>
      </c>
      <c r="B3">
        <v>10</v>
      </c>
      <c r="C3">
        <v>10</v>
      </c>
      <c r="D3">
        <v>20</v>
      </c>
    </row>
    <row r="4" spans="1:4" x14ac:dyDescent="0.25">
      <c r="A4" t="s">
        <v>19</v>
      </c>
      <c r="B4">
        <v>10</v>
      </c>
      <c r="C4">
        <v>10</v>
      </c>
      <c r="D4">
        <v>20</v>
      </c>
    </row>
    <row r="5" spans="1:4" x14ac:dyDescent="0.25">
      <c r="A5" t="s">
        <v>20</v>
      </c>
      <c r="B5">
        <v>10</v>
      </c>
      <c r="C5">
        <v>10</v>
      </c>
      <c r="D5">
        <v>20</v>
      </c>
    </row>
    <row r="6" spans="1:4" x14ac:dyDescent="0.25">
      <c r="A6" t="s">
        <v>21</v>
      </c>
      <c r="B6">
        <v>10</v>
      </c>
      <c r="C6">
        <v>10</v>
      </c>
      <c r="D6">
        <v>20</v>
      </c>
    </row>
    <row r="7" spans="1:4" x14ac:dyDescent="0.25">
      <c r="A7" t="s">
        <v>22</v>
      </c>
      <c r="B7">
        <v>10</v>
      </c>
      <c r="C7">
        <v>10</v>
      </c>
      <c r="D7">
        <v>20</v>
      </c>
    </row>
    <row r="8" spans="1:4" x14ac:dyDescent="0.25">
      <c r="A8" t="s">
        <v>23</v>
      </c>
      <c r="B8">
        <v>30</v>
      </c>
      <c r="C8">
        <v>30</v>
      </c>
      <c r="D8">
        <v>30</v>
      </c>
    </row>
    <row r="9" spans="1:4" x14ac:dyDescent="0.25">
      <c r="A9" t="s">
        <v>24</v>
      </c>
      <c r="B9">
        <v>30</v>
      </c>
      <c r="C9">
        <v>30</v>
      </c>
      <c r="D9">
        <v>30</v>
      </c>
    </row>
    <row r="10" spans="1:4" x14ac:dyDescent="0.25">
      <c r="A10" t="s">
        <v>25</v>
      </c>
      <c r="B10">
        <v>1</v>
      </c>
      <c r="C10">
        <v>2</v>
      </c>
      <c r="D10">
        <v>20</v>
      </c>
    </row>
    <row r="11" spans="1:4" x14ac:dyDescent="0.25">
      <c r="A11" t="s">
        <v>26</v>
      </c>
      <c r="B11">
        <v>1</v>
      </c>
      <c r="C11">
        <v>1</v>
      </c>
      <c r="D11">
        <v>20</v>
      </c>
    </row>
    <row r="12" spans="1:4" x14ac:dyDescent="0.25">
      <c r="A12" t="s">
        <v>27</v>
      </c>
      <c r="B12">
        <v>2</v>
      </c>
      <c r="C12">
        <v>2</v>
      </c>
      <c r="D12">
        <v>20</v>
      </c>
    </row>
    <row r="13" spans="1:4" x14ac:dyDescent="0.25">
      <c r="A13" t="s">
        <v>28</v>
      </c>
      <c r="B13">
        <v>2</v>
      </c>
      <c r="C13">
        <v>10</v>
      </c>
      <c r="D13">
        <v>20</v>
      </c>
    </row>
    <row r="14" spans="1:4" x14ac:dyDescent="0.25">
      <c r="A14" t="s">
        <v>29</v>
      </c>
      <c r="B14">
        <v>2</v>
      </c>
      <c r="C14">
        <v>2</v>
      </c>
      <c r="D14">
        <v>20</v>
      </c>
    </row>
    <row r="15" spans="1:4" x14ac:dyDescent="0.25">
      <c r="A15" t="s">
        <v>30</v>
      </c>
      <c r="B15">
        <v>2</v>
      </c>
      <c r="C15">
        <v>2</v>
      </c>
      <c r="D15">
        <v>20</v>
      </c>
    </row>
    <row r="16" spans="1:4" x14ac:dyDescent="0.25">
      <c r="A16" t="s">
        <v>31</v>
      </c>
      <c r="B16">
        <v>2</v>
      </c>
      <c r="C16">
        <v>2</v>
      </c>
      <c r="D16">
        <v>20</v>
      </c>
    </row>
    <row r="17" spans="1:4" x14ac:dyDescent="0.25">
      <c r="A17" t="s">
        <v>32</v>
      </c>
      <c r="B17">
        <v>2</v>
      </c>
      <c r="C17">
        <v>2</v>
      </c>
      <c r="D17">
        <v>20</v>
      </c>
    </row>
    <row r="18" spans="1:4" x14ac:dyDescent="0.25">
      <c r="A18" t="s">
        <v>33</v>
      </c>
      <c r="B18">
        <v>10</v>
      </c>
      <c r="C18">
        <v>10</v>
      </c>
      <c r="D18">
        <v>20</v>
      </c>
    </row>
    <row r="19" spans="1:4" x14ac:dyDescent="0.25">
      <c r="A19" t="s">
        <v>34</v>
      </c>
      <c r="B19">
        <v>1</v>
      </c>
      <c r="C19">
        <v>1</v>
      </c>
      <c r="D19">
        <v>20</v>
      </c>
    </row>
    <row r="20" spans="1:4" x14ac:dyDescent="0.25">
      <c r="A20" t="s">
        <v>35</v>
      </c>
      <c r="B20">
        <v>2</v>
      </c>
      <c r="C20">
        <v>0</v>
      </c>
      <c r="D20">
        <v>20</v>
      </c>
    </row>
    <row r="21" spans="1:4" x14ac:dyDescent="0.25">
      <c r="A21" t="s">
        <v>36</v>
      </c>
      <c r="B21">
        <v>10</v>
      </c>
      <c r="C21">
        <v>10</v>
      </c>
      <c r="D21">
        <v>20</v>
      </c>
    </row>
    <row r="22" spans="1:4" x14ac:dyDescent="0.25">
      <c r="A22" t="s">
        <v>37</v>
      </c>
      <c r="B22">
        <v>10</v>
      </c>
      <c r="C22">
        <v>10</v>
      </c>
      <c r="D22">
        <v>20</v>
      </c>
    </row>
    <row r="23" spans="1:4" x14ac:dyDescent="0.25">
      <c r="A23" t="s">
        <v>38</v>
      </c>
      <c r="B23">
        <v>2</v>
      </c>
      <c r="C23">
        <v>2</v>
      </c>
      <c r="D23">
        <v>20</v>
      </c>
    </row>
    <row r="24" spans="1:4" x14ac:dyDescent="0.25">
      <c r="A24" t="s">
        <v>39</v>
      </c>
      <c r="B24">
        <v>10</v>
      </c>
      <c r="C24">
        <v>10</v>
      </c>
      <c r="D24">
        <v>20</v>
      </c>
    </row>
    <row r="25" spans="1:4" x14ac:dyDescent="0.25">
      <c r="A25" t="s">
        <v>40</v>
      </c>
      <c r="B25">
        <v>10</v>
      </c>
      <c r="C25">
        <v>10</v>
      </c>
      <c r="D25">
        <v>20</v>
      </c>
    </row>
    <row r="26" spans="1:4" x14ac:dyDescent="0.25">
      <c r="A26" t="s">
        <v>41</v>
      </c>
      <c r="B26">
        <v>5</v>
      </c>
      <c r="C26">
        <v>5</v>
      </c>
      <c r="D26">
        <v>20</v>
      </c>
    </row>
    <row r="27" spans="1:4" x14ac:dyDescent="0.25">
      <c r="A27" t="s">
        <v>42</v>
      </c>
      <c r="B27">
        <v>10</v>
      </c>
      <c r="C27">
        <v>10</v>
      </c>
      <c r="D27">
        <v>20</v>
      </c>
    </row>
    <row r="28" spans="1:4" x14ac:dyDescent="0.25">
      <c r="A28" t="s">
        <v>43</v>
      </c>
      <c r="B28">
        <v>2</v>
      </c>
      <c r="C28">
        <v>0</v>
      </c>
      <c r="D28">
        <v>20</v>
      </c>
    </row>
    <row r="29" spans="1:4" x14ac:dyDescent="0.25">
      <c r="A29" t="s">
        <v>44</v>
      </c>
      <c r="B29">
        <v>2</v>
      </c>
      <c r="C29">
        <v>2</v>
      </c>
      <c r="D29">
        <v>20</v>
      </c>
    </row>
    <row r="30" spans="1:4" x14ac:dyDescent="0.25">
      <c r="A30" t="s">
        <v>45</v>
      </c>
      <c r="B30">
        <v>2</v>
      </c>
      <c r="C30">
        <v>2</v>
      </c>
      <c r="D30">
        <v>20</v>
      </c>
    </row>
    <row r="31" spans="1:4" x14ac:dyDescent="0.25">
      <c r="A31" t="s">
        <v>46</v>
      </c>
      <c r="B31">
        <v>0.1</v>
      </c>
      <c r="C31">
        <v>0.1</v>
      </c>
      <c r="D31">
        <v>20</v>
      </c>
    </row>
    <row r="32" spans="1:4" x14ac:dyDescent="0.25">
      <c r="A32" t="s">
        <v>47</v>
      </c>
      <c r="B32">
        <v>0.1</v>
      </c>
      <c r="C32">
        <v>0.1</v>
      </c>
      <c r="D32">
        <v>5</v>
      </c>
    </row>
    <row r="33" spans="1:4" x14ac:dyDescent="0.25">
      <c r="A33" t="s">
        <v>48</v>
      </c>
      <c r="B33">
        <v>10</v>
      </c>
      <c r="C33">
        <v>10</v>
      </c>
      <c r="D33">
        <v>20</v>
      </c>
    </row>
    <row r="34" spans="1:4" x14ac:dyDescent="0.25">
      <c r="A34" t="s">
        <v>49</v>
      </c>
      <c r="B34">
        <v>10</v>
      </c>
      <c r="C34">
        <v>10</v>
      </c>
      <c r="D34">
        <v>20</v>
      </c>
    </row>
    <row r="35" spans="1:4" x14ac:dyDescent="0.25">
      <c r="A35" t="s">
        <v>50</v>
      </c>
      <c r="B35">
        <v>10</v>
      </c>
      <c r="C35">
        <v>10</v>
      </c>
      <c r="D35">
        <v>20</v>
      </c>
    </row>
    <row r="36" spans="1:4" x14ac:dyDescent="0.25">
      <c r="A36" t="s">
        <v>51</v>
      </c>
      <c r="B36">
        <v>1</v>
      </c>
      <c r="C36">
        <v>1</v>
      </c>
      <c r="D36">
        <v>20</v>
      </c>
    </row>
    <row r="37" spans="1:4" x14ac:dyDescent="0.25">
      <c r="A37" t="s">
        <v>52</v>
      </c>
      <c r="B37">
        <v>10</v>
      </c>
      <c r="C37">
        <v>0</v>
      </c>
      <c r="D37">
        <v>20</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2" customWidth="1"/>
    <col min="3" max="3" width="16" customWidth="1"/>
    <col min="4" max="4" width="13" customWidth="1"/>
    <col min="5" max="5" width="12" customWidth="1"/>
    <col min="6" max="6" width="55" customWidth="1"/>
    <col min="7" max="12" width="13" customWidth="1"/>
    <col min="13" max="13" width="15" customWidth="1"/>
    <col min="14" max="14" width="16" customWidth="1"/>
    <col min="15" max="15" width="11" customWidth="1"/>
    <col min="16" max="16" width="16" customWidth="1"/>
    <col min="17" max="17" width="14" customWidth="1"/>
    <col min="18" max="18" width="22" customWidth="1"/>
    <col min="19" max="19" width="40" customWidth="1"/>
    <col min="20" max="27" width="14" customWidth="1"/>
  </cols>
  <sheetData>
    <row r="1" ht="22" customHeight="1" spans="1:27" x14ac:dyDescent="0.25">
      <c r="A1" s="3" t="s">
        <v>53</v>
      </c>
      <c r="B1" s="3"/>
      <c r="C1" s="3"/>
      <c r="D1" s="3"/>
      <c r="E1" s="3"/>
      <c r="F1" s="3"/>
      <c r="G1" s="3"/>
      <c r="H1" s="3"/>
      <c r="I1" s="3"/>
      <c r="J1" s="3"/>
      <c r="K1" s="3"/>
      <c r="L1" s="3"/>
      <c r="M1" s="3"/>
      <c r="N1" s="3"/>
      <c r="O1" s="3"/>
      <c r="P1" s="3"/>
      <c r="Q1" s="3"/>
      <c r="R1" s="3"/>
      <c r="S1" s="3"/>
      <c r="T1" s="3"/>
      <c r="U1" s="3"/>
      <c r="V1" s="3"/>
      <c r="W1" s="3"/>
      <c r="X1" s="3"/>
      <c r="Y1" s="3"/>
      <c r="Z1" s="3"/>
      <c r="AA1" s="3"/>
    </row>
    <row r="2" ht="20" customHeight="1" spans="1:27" x14ac:dyDescent="0.25">
      <c r="A2" s="5">
        <f>IF(AND(COUNTIF($AA$4:$AA$207,"Over-applied")=0,SUMPRODUCT(($C$4:$C$207&lt;&gt;"")*((($D$4:$D$207="")+($E$4:$E$207="")+($G$4:$G$207=""))&gt;0))=0),"✅ Validation Successful — no over-applied challans, no missing mandatory fields ("&amp;COUNTIF($C$4:$C$207,"&lt;&gt;")&amp;" challans on file).","❌ VALIDATION FAILED — "&amp;COUNTIF($AA$4:$AA$207,"Over-applied")&amp;" challan(s) Over-applied, "&amp;SUMPRODUCT(($C$4:$C$207&lt;&gt;"")*((($D$4:$D$207="")+($E$4:$E$207="")+($G$4:$G$207=""))&gt;0))&amp;" challan(s) missing a mandatory field (Date of Deposit / Minor Head / Tax Deposited). See the red/pink-highlighted row(s) below.")</f>
      </c>
      <c r="B2" s="5"/>
      <c r="C2" s="5"/>
      <c r="D2" s="5"/>
      <c r="E2" s="5"/>
      <c r="F2" s="5"/>
      <c r="G2" s="5"/>
      <c r="H2" s="5"/>
      <c r="I2" s="5"/>
      <c r="J2" s="5"/>
      <c r="K2" s="5"/>
      <c r="L2" s="5"/>
      <c r="M2" s="5"/>
      <c r="N2" s="5"/>
      <c r="O2" s="5"/>
      <c r="P2" s="5"/>
      <c r="Q2" s="5"/>
      <c r="R2" s="5"/>
      <c r="S2" s="5"/>
      <c r="T2" s="5"/>
      <c r="U2" s="5"/>
      <c r="V2" s="5"/>
      <c r="W2" s="5"/>
      <c r="X2" s="5"/>
      <c r="Y2" s="5"/>
      <c r="Z2" s="5"/>
      <c r="AA2" s="5"/>
    </row>
    <row r="3" ht="40" customHeight="1" spans="1:27" x14ac:dyDescent="0.25">
      <c r="A3" s="6" t="s">
        <v>54</v>
      </c>
      <c r="B3" s="6" t="s">
        <v>55</v>
      </c>
      <c r="C3" s="6" t="s">
        <v>56</v>
      </c>
      <c r="D3" s="6" t="s">
        <v>57</v>
      </c>
      <c r="E3" s="6" t="s">
        <v>58</v>
      </c>
      <c r="F3" s="6" t="s">
        <v>59</v>
      </c>
      <c r="G3" s="6" t="s">
        <v>60</v>
      </c>
      <c r="H3" s="6" t="s">
        <v>61</v>
      </c>
      <c r="I3" s="6" t="s">
        <v>62</v>
      </c>
      <c r="J3" s="6" t="s">
        <v>63</v>
      </c>
      <c r="K3" s="6" t="s">
        <v>64</v>
      </c>
      <c r="L3" s="6" t="s">
        <v>65</v>
      </c>
      <c r="M3" s="6" t="s">
        <v>66</v>
      </c>
      <c r="N3" s="6" t="s">
        <v>67</v>
      </c>
      <c r="O3" s="6" t="s">
        <v>68</v>
      </c>
      <c r="P3" s="6" t="s">
        <v>69</v>
      </c>
      <c r="Q3" s="6" t="s">
        <v>70</v>
      </c>
      <c r="R3" s="6" t="s">
        <v>71</v>
      </c>
      <c r="S3" s="6" t="s">
        <v>72</v>
      </c>
      <c r="T3" s="6" t="s">
        <v>73</v>
      </c>
      <c r="U3" s="6" t="s">
        <v>74</v>
      </c>
      <c r="V3" s="6" t="s">
        <v>75</v>
      </c>
      <c r="W3" s="6" t="s">
        <v>76</v>
      </c>
      <c r="X3" s="6" t="s">
        <v>77</v>
      </c>
      <c r="Y3" s="6" t="s">
        <v>78</v>
      </c>
      <c r="Z3" s="6" t="s">
        <v>79</v>
      </c>
      <c r="AA3" s="6" t="s">
        <v>80</v>
      </c>
    </row>
    <row r="4" spans="1:27" x14ac:dyDescent="0.25">
      <c r="A4" s="7">
        <f>IF($C4="","",COUNTIF($C$4:$C4,"&lt;&gt;"))</f>
      </c>
      <c r="B4" s="8"/>
      <c r="C4" s="8"/>
      <c r="D4" s="8"/>
      <c r="E4" s="8"/>
      <c r="F4" s="8"/>
      <c r="G4" s="8"/>
      <c r="H4" s="8"/>
      <c r="I4" s="8"/>
      <c r="J4" s="8"/>
      <c r="K4" s="8"/>
      <c r="L4" s="8"/>
      <c r="M4" s="7">
        <f>IF($C4="","",G4+H4+I4+J4+K4+L4)</f>
      </c>
      <c r="N4" s="8"/>
      <c r="O4" s="8"/>
      <c r="P4" s="8"/>
      <c r="Q4" s="8"/>
      <c r="R4" s="8"/>
      <c r="S4" s="7">
        <f>IF($C4="","",C4&amp;" | BSR "&amp;B4&amp;" | "&amp;TEXT(D4,"dd-mm-yyyy")&amp;" | ₹"&amp;TEXT(M4,"#,##0"))</f>
      </c>
      <c r="T4" s="7">
        <f>IF($C4="","",SUMIFS('Q1 Data'!$L$4:$L$207,'Q1 Data'!$B$4:$B$207,$S4)+SUMIFS('Q1 Data'!$O$4:$O$207,'Q1 Data'!$B$4:$B$207,$S4)+SUMIFS('Q1 Data'!$M$4:$M$207,'Q1 Data'!$B$4:$B$207,$S4))</f>
      </c>
      <c r="U4" s="7">
        <f>IF($C4="","",SUMIFS('Q2 Data'!$L$4:$L$207,'Q2 Data'!$B$4:$B$207,$S4)+SUMIFS('Q2 Data'!$O$4:$O$207,'Q2 Data'!$B$4:$B$207,$S4)+SUMIFS('Q2 Data'!$M$4:$M$207,'Q2 Data'!$B$4:$B$207,$S4))</f>
      </c>
      <c r="V4" s="7">
        <f>IF($C4="","",SUMIFS('Q3 Data'!$L$4:$L$207,'Q3 Data'!$B$4:$B$207,$S4)+SUMIFS('Q3 Data'!$O$4:$O$207,'Q3 Data'!$B$4:$B$207,$S4)+SUMIFS('Q3 Data'!$M$4:$M$207,'Q3 Data'!$B$4:$B$207,$S4))</f>
      </c>
      <c r="W4" s="7">
        <f>IF($C4="","",SUMIFS('Q4 Data'!$L$4:$L$207,'Q4 Data'!$B$4:$B$207,$S4)+SUMIFS('Q4 Data'!$O$4:$O$207,'Q4 Data'!$B$4:$B$207,$S4)+SUMIFS('Q4 Data'!$M$4:$M$207,'Q4 Data'!$B$4:$B$207,$S4))</f>
      </c>
      <c r="X4" s="7">
        <f>IF($C4="","",T4+U4+V4+W4)</f>
      </c>
      <c r="Y4" s="7">
        <f>IF($C4="","",M4-L4)</f>
      </c>
      <c r="Z4" s="7">
        <f>IF($C4="","",Y4-X4)</f>
      </c>
      <c r="AA4" s="7">
        <f>IF($C4="","",IF(ROUND(X4-Y4,2)&gt;0,"Over-applied",IF(ROUND(X4-Y4,2)=0,"Fully Utilised","Unconsumed")))</f>
      </c>
    </row>
    <row r="5" spans="1:27" x14ac:dyDescent="0.25">
      <c r="A5" s="7">
        <f>IF($C5="","",COUNTIF($C$4:$C5,"&lt;&gt;"))</f>
      </c>
      <c r="B5" s="8"/>
      <c r="C5" s="8"/>
      <c r="D5" s="8"/>
      <c r="E5" s="8"/>
      <c r="F5" s="8"/>
      <c r="G5" s="8"/>
      <c r="H5" s="8"/>
      <c r="I5" s="8"/>
      <c r="J5" s="8"/>
      <c r="K5" s="8"/>
      <c r="L5" s="8"/>
      <c r="M5" s="7">
        <f>IF($C5="","",G5+H5+I5+J5+K5+L5)</f>
      </c>
      <c r="N5" s="8"/>
      <c r="O5" s="8"/>
      <c r="P5" s="8"/>
      <c r="Q5" s="8"/>
      <c r="R5" s="8"/>
      <c r="S5" s="7">
        <f>IF($C5="","",C5&amp;" | BSR "&amp;B5&amp;" | "&amp;TEXT(D5,"dd-mm-yyyy")&amp;" | ₹"&amp;TEXT(M5,"#,##0"))</f>
      </c>
      <c r="T5" s="7">
        <f>IF($C5="","",SUMIFS('Q1 Data'!$L$4:$L$207,'Q1 Data'!$B$4:$B$207,$S5)+SUMIFS('Q1 Data'!$O$4:$O$207,'Q1 Data'!$B$4:$B$207,$S5)+SUMIFS('Q1 Data'!$M$4:$M$207,'Q1 Data'!$B$4:$B$207,$S5))</f>
      </c>
      <c r="U5" s="7">
        <f>IF($C5="","",SUMIFS('Q2 Data'!$L$4:$L$207,'Q2 Data'!$B$4:$B$207,$S5)+SUMIFS('Q2 Data'!$O$4:$O$207,'Q2 Data'!$B$4:$B$207,$S5)+SUMIFS('Q2 Data'!$M$4:$M$207,'Q2 Data'!$B$4:$B$207,$S5))</f>
      </c>
      <c r="V5" s="7">
        <f>IF($C5="","",SUMIFS('Q3 Data'!$L$4:$L$207,'Q3 Data'!$B$4:$B$207,$S5)+SUMIFS('Q3 Data'!$O$4:$O$207,'Q3 Data'!$B$4:$B$207,$S5)+SUMIFS('Q3 Data'!$M$4:$M$207,'Q3 Data'!$B$4:$B$207,$S5))</f>
      </c>
      <c r="W5" s="7">
        <f>IF($C5="","",SUMIFS('Q4 Data'!$L$4:$L$207,'Q4 Data'!$B$4:$B$207,$S5)+SUMIFS('Q4 Data'!$O$4:$O$207,'Q4 Data'!$B$4:$B$207,$S5)+SUMIFS('Q4 Data'!$M$4:$M$207,'Q4 Data'!$B$4:$B$207,$S5))</f>
      </c>
      <c r="X5" s="7">
        <f>IF($C5="","",T5+U5+V5+W5)</f>
      </c>
      <c r="Y5" s="7">
        <f>IF($C5="","",M5-L5)</f>
      </c>
      <c r="Z5" s="7">
        <f>IF($C5="","",Y5-X5)</f>
      </c>
      <c r="AA5" s="7">
        <f>IF($C5="","",IF(ROUND(X5-Y5,2)&gt;0,"Over-applied",IF(ROUND(X5-Y5,2)=0,"Fully Utilised","Unconsumed")))</f>
      </c>
    </row>
    <row r="6" spans="1:27" x14ac:dyDescent="0.25">
      <c r="A6" s="7">
        <f>IF($C6="","",COUNTIF($C$4:$C6,"&lt;&gt;"))</f>
      </c>
      <c r="B6" s="8"/>
      <c r="C6" s="8"/>
      <c r="D6" s="8"/>
      <c r="E6" s="8"/>
      <c r="F6" s="8"/>
      <c r="G6" s="8"/>
      <c r="H6" s="8"/>
      <c r="I6" s="8"/>
      <c r="J6" s="8"/>
      <c r="K6" s="8"/>
      <c r="L6" s="8"/>
      <c r="M6" s="7">
        <f>IF($C6="","",G6+H6+I6+J6+K6+L6)</f>
      </c>
      <c r="N6" s="8"/>
      <c r="O6" s="8"/>
      <c r="P6" s="8"/>
      <c r="Q6" s="8"/>
      <c r="R6" s="8"/>
      <c r="S6" s="7">
        <f>IF($C6="","",C6&amp;" | BSR "&amp;B6&amp;" | "&amp;TEXT(D6,"dd-mm-yyyy")&amp;" | ₹"&amp;TEXT(M6,"#,##0"))</f>
      </c>
      <c r="T6" s="7">
        <f>IF($C6="","",SUMIFS('Q1 Data'!$L$4:$L$207,'Q1 Data'!$B$4:$B$207,$S6)+SUMIFS('Q1 Data'!$O$4:$O$207,'Q1 Data'!$B$4:$B$207,$S6)+SUMIFS('Q1 Data'!$M$4:$M$207,'Q1 Data'!$B$4:$B$207,$S6))</f>
      </c>
      <c r="U6" s="7">
        <f>IF($C6="","",SUMIFS('Q2 Data'!$L$4:$L$207,'Q2 Data'!$B$4:$B$207,$S6)+SUMIFS('Q2 Data'!$O$4:$O$207,'Q2 Data'!$B$4:$B$207,$S6)+SUMIFS('Q2 Data'!$M$4:$M$207,'Q2 Data'!$B$4:$B$207,$S6))</f>
      </c>
      <c r="V6" s="7">
        <f>IF($C6="","",SUMIFS('Q3 Data'!$L$4:$L$207,'Q3 Data'!$B$4:$B$207,$S6)+SUMIFS('Q3 Data'!$O$4:$O$207,'Q3 Data'!$B$4:$B$207,$S6)+SUMIFS('Q3 Data'!$M$4:$M$207,'Q3 Data'!$B$4:$B$207,$S6))</f>
      </c>
      <c r="W6" s="7">
        <f>IF($C6="","",SUMIFS('Q4 Data'!$L$4:$L$207,'Q4 Data'!$B$4:$B$207,$S6)+SUMIFS('Q4 Data'!$O$4:$O$207,'Q4 Data'!$B$4:$B$207,$S6)+SUMIFS('Q4 Data'!$M$4:$M$207,'Q4 Data'!$B$4:$B$207,$S6))</f>
      </c>
      <c r="X6" s="7">
        <f>IF($C6="","",T6+U6+V6+W6)</f>
      </c>
      <c r="Y6" s="7">
        <f>IF($C6="","",M6-L6)</f>
      </c>
      <c r="Z6" s="7">
        <f>IF($C6="","",Y6-X6)</f>
      </c>
      <c r="AA6" s="7">
        <f>IF($C6="","",IF(ROUND(X6-Y6,2)&gt;0,"Over-applied",IF(ROUND(X6-Y6,2)=0,"Fully Utilised","Unconsumed")))</f>
      </c>
    </row>
    <row r="7" spans="1:27" x14ac:dyDescent="0.25">
      <c r="A7" s="7">
        <f>IF($C7="","",COUNTIF($C$4:$C7,"&lt;&gt;"))</f>
      </c>
      <c r="B7" s="8"/>
      <c r="C7" s="8"/>
      <c r="D7" s="8"/>
      <c r="E7" s="8"/>
      <c r="F7" s="8"/>
      <c r="G7" s="8"/>
      <c r="H7" s="8"/>
      <c r="I7" s="8"/>
      <c r="J7" s="8"/>
      <c r="K7" s="8"/>
      <c r="L7" s="8"/>
      <c r="M7" s="7">
        <f>IF($C7="","",G7+H7+I7+J7+K7+L7)</f>
      </c>
      <c r="N7" s="8"/>
      <c r="O7" s="8"/>
      <c r="P7" s="8"/>
      <c r="Q7" s="8"/>
      <c r="R7" s="8"/>
      <c r="S7" s="7">
        <f>IF($C7="","",C7&amp;" | BSR "&amp;B7&amp;" | "&amp;TEXT(D7,"dd-mm-yyyy")&amp;" | ₹"&amp;TEXT(M7,"#,##0"))</f>
      </c>
      <c r="T7" s="7">
        <f>IF($C7="","",SUMIFS('Q1 Data'!$L$4:$L$207,'Q1 Data'!$B$4:$B$207,$S7)+SUMIFS('Q1 Data'!$O$4:$O$207,'Q1 Data'!$B$4:$B$207,$S7)+SUMIFS('Q1 Data'!$M$4:$M$207,'Q1 Data'!$B$4:$B$207,$S7))</f>
      </c>
      <c r="U7" s="7">
        <f>IF($C7="","",SUMIFS('Q2 Data'!$L$4:$L$207,'Q2 Data'!$B$4:$B$207,$S7)+SUMIFS('Q2 Data'!$O$4:$O$207,'Q2 Data'!$B$4:$B$207,$S7)+SUMIFS('Q2 Data'!$M$4:$M$207,'Q2 Data'!$B$4:$B$207,$S7))</f>
      </c>
      <c r="V7" s="7">
        <f>IF($C7="","",SUMIFS('Q3 Data'!$L$4:$L$207,'Q3 Data'!$B$4:$B$207,$S7)+SUMIFS('Q3 Data'!$O$4:$O$207,'Q3 Data'!$B$4:$B$207,$S7)+SUMIFS('Q3 Data'!$M$4:$M$207,'Q3 Data'!$B$4:$B$207,$S7))</f>
      </c>
      <c r="W7" s="7">
        <f>IF($C7="","",SUMIFS('Q4 Data'!$L$4:$L$207,'Q4 Data'!$B$4:$B$207,$S7)+SUMIFS('Q4 Data'!$O$4:$O$207,'Q4 Data'!$B$4:$B$207,$S7)+SUMIFS('Q4 Data'!$M$4:$M$207,'Q4 Data'!$B$4:$B$207,$S7))</f>
      </c>
      <c r="X7" s="7">
        <f>IF($C7="","",T7+U7+V7+W7)</f>
      </c>
      <c r="Y7" s="7">
        <f>IF($C7="","",M7-L7)</f>
      </c>
      <c r="Z7" s="7">
        <f>IF($C7="","",Y7-X7)</f>
      </c>
      <c r="AA7" s="7">
        <f>IF($C7="","",IF(ROUND(X7-Y7,2)&gt;0,"Over-applied",IF(ROUND(X7-Y7,2)=0,"Fully Utilised","Unconsumed")))</f>
      </c>
    </row>
    <row r="8" spans="1:27" x14ac:dyDescent="0.25">
      <c r="A8" s="7">
        <f>IF($C8="","",COUNTIF($C$4:$C8,"&lt;&gt;"))</f>
      </c>
      <c r="B8" s="8"/>
      <c r="C8" s="8"/>
      <c r="D8" s="8"/>
      <c r="E8" s="8"/>
      <c r="F8" s="8"/>
      <c r="G8" s="8"/>
      <c r="H8" s="8"/>
      <c r="I8" s="8"/>
      <c r="J8" s="8"/>
      <c r="K8" s="8"/>
      <c r="L8" s="8"/>
      <c r="M8" s="7">
        <f>IF($C8="","",G8+H8+I8+J8+K8+L8)</f>
      </c>
      <c r="N8" s="8"/>
      <c r="O8" s="8"/>
      <c r="P8" s="8"/>
      <c r="Q8" s="8"/>
      <c r="R8" s="8"/>
      <c r="S8" s="7">
        <f>IF($C8="","",C8&amp;" | BSR "&amp;B8&amp;" | "&amp;TEXT(D8,"dd-mm-yyyy")&amp;" | ₹"&amp;TEXT(M8,"#,##0"))</f>
      </c>
      <c r="T8" s="7">
        <f>IF($C8="","",SUMIFS('Q1 Data'!$L$4:$L$207,'Q1 Data'!$B$4:$B$207,$S8)+SUMIFS('Q1 Data'!$O$4:$O$207,'Q1 Data'!$B$4:$B$207,$S8)+SUMIFS('Q1 Data'!$M$4:$M$207,'Q1 Data'!$B$4:$B$207,$S8))</f>
      </c>
      <c r="U8" s="7">
        <f>IF($C8="","",SUMIFS('Q2 Data'!$L$4:$L$207,'Q2 Data'!$B$4:$B$207,$S8)+SUMIFS('Q2 Data'!$O$4:$O$207,'Q2 Data'!$B$4:$B$207,$S8)+SUMIFS('Q2 Data'!$M$4:$M$207,'Q2 Data'!$B$4:$B$207,$S8))</f>
      </c>
      <c r="V8" s="7">
        <f>IF($C8="","",SUMIFS('Q3 Data'!$L$4:$L$207,'Q3 Data'!$B$4:$B$207,$S8)+SUMIFS('Q3 Data'!$O$4:$O$207,'Q3 Data'!$B$4:$B$207,$S8)+SUMIFS('Q3 Data'!$M$4:$M$207,'Q3 Data'!$B$4:$B$207,$S8))</f>
      </c>
      <c r="W8" s="7">
        <f>IF($C8="","",SUMIFS('Q4 Data'!$L$4:$L$207,'Q4 Data'!$B$4:$B$207,$S8)+SUMIFS('Q4 Data'!$O$4:$O$207,'Q4 Data'!$B$4:$B$207,$S8)+SUMIFS('Q4 Data'!$M$4:$M$207,'Q4 Data'!$B$4:$B$207,$S8))</f>
      </c>
      <c r="X8" s="7">
        <f>IF($C8="","",T8+U8+V8+W8)</f>
      </c>
      <c r="Y8" s="7">
        <f>IF($C8="","",M8-L8)</f>
      </c>
      <c r="Z8" s="7">
        <f>IF($C8="","",Y8-X8)</f>
      </c>
      <c r="AA8" s="7">
        <f>IF($C8="","",IF(ROUND(X8-Y8,2)&gt;0,"Over-applied",IF(ROUND(X8-Y8,2)=0,"Fully Utilised","Unconsumed")))</f>
      </c>
    </row>
    <row r="9" spans="1:27" x14ac:dyDescent="0.25">
      <c r="A9" s="7">
        <f>IF($C9="","",COUNTIF($C$4:$C9,"&lt;&gt;"))</f>
      </c>
      <c r="B9" s="8"/>
      <c r="C9" s="8"/>
      <c r="D9" s="8"/>
      <c r="E9" s="8"/>
      <c r="F9" s="8"/>
      <c r="G9" s="8"/>
      <c r="H9" s="8"/>
      <c r="I9" s="8"/>
      <c r="J9" s="8"/>
      <c r="K9" s="8"/>
      <c r="L9" s="8"/>
      <c r="M9" s="7">
        <f>IF($C9="","",G9+H9+I9+J9+K9+L9)</f>
      </c>
      <c r="N9" s="8"/>
      <c r="O9" s="8"/>
      <c r="P9" s="8"/>
      <c r="Q9" s="8"/>
      <c r="R9" s="8"/>
      <c r="S9" s="7">
        <f>IF($C9="","",C9&amp;" | BSR "&amp;B9&amp;" | "&amp;TEXT(D9,"dd-mm-yyyy")&amp;" | ₹"&amp;TEXT(M9,"#,##0"))</f>
      </c>
      <c r="T9" s="7">
        <f>IF($C9="","",SUMIFS('Q1 Data'!$L$4:$L$207,'Q1 Data'!$B$4:$B$207,$S9)+SUMIFS('Q1 Data'!$O$4:$O$207,'Q1 Data'!$B$4:$B$207,$S9)+SUMIFS('Q1 Data'!$M$4:$M$207,'Q1 Data'!$B$4:$B$207,$S9))</f>
      </c>
      <c r="U9" s="7">
        <f>IF($C9="","",SUMIFS('Q2 Data'!$L$4:$L$207,'Q2 Data'!$B$4:$B$207,$S9)+SUMIFS('Q2 Data'!$O$4:$O$207,'Q2 Data'!$B$4:$B$207,$S9)+SUMIFS('Q2 Data'!$M$4:$M$207,'Q2 Data'!$B$4:$B$207,$S9))</f>
      </c>
      <c r="V9" s="7">
        <f>IF($C9="","",SUMIFS('Q3 Data'!$L$4:$L$207,'Q3 Data'!$B$4:$B$207,$S9)+SUMIFS('Q3 Data'!$O$4:$O$207,'Q3 Data'!$B$4:$B$207,$S9)+SUMIFS('Q3 Data'!$M$4:$M$207,'Q3 Data'!$B$4:$B$207,$S9))</f>
      </c>
      <c r="W9" s="7">
        <f>IF($C9="","",SUMIFS('Q4 Data'!$L$4:$L$207,'Q4 Data'!$B$4:$B$207,$S9)+SUMIFS('Q4 Data'!$O$4:$O$207,'Q4 Data'!$B$4:$B$207,$S9)+SUMIFS('Q4 Data'!$M$4:$M$207,'Q4 Data'!$B$4:$B$207,$S9))</f>
      </c>
      <c r="X9" s="7">
        <f>IF($C9="","",T9+U9+V9+W9)</f>
      </c>
      <c r="Y9" s="7">
        <f>IF($C9="","",M9-L9)</f>
      </c>
      <c r="Z9" s="7">
        <f>IF($C9="","",Y9-X9)</f>
      </c>
      <c r="AA9" s="7">
        <f>IF($C9="","",IF(ROUND(X9-Y9,2)&gt;0,"Over-applied",IF(ROUND(X9-Y9,2)=0,"Fully Utilised","Unconsumed")))</f>
      </c>
    </row>
    <row r="10" spans="1:27" x14ac:dyDescent="0.25">
      <c r="A10" s="7">
        <f>IF($C10="","",COUNTIF($C$4:$C10,"&lt;&gt;"))</f>
      </c>
      <c r="B10" s="8"/>
      <c r="C10" s="8"/>
      <c r="D10" s="8"/>
      <c r="E10" s="8"/>
      <c r="F10" s="8"/>
      <c r="G10" s="8"/>
      <c r="H10" s="8"/>
      <c r="I10" s="8"/>
      <c r="J10" s="8"/>
      <c r="K10" s="8"/>
      <c r="L10" s="8"/>
      <c r="M10" s="7">
        <f>IF($C10="","",G10+H10+I10+J10+K10+L10)</f>
      </c>
      <c r="N10" s="8"/>
      <c r="O10" s="8"/>
      <c r="P10" s="8"/>
      <c r="Q10" s="8"/>
      <c r="R10" s="8"/>
      <c r="S10" s="7">
        <f>IF($C10="","",C10&amp;" | BSR "&amp;B10&amp;" | "&amp;TEXT(D10,"dd-mm-yyyy")&amp;" | ₹"&amp;TEXT(M10,"#,##0"))</f>
      </c>
      <c r="T10" s="7">
        <f>IF($C10="","",SUMIFS('Q1 Data'!$L$4:$L$207,'Q1 Data'!$B$4:$B$207,$S10)+SUMIFS('Q1 Data'!$O$4:$O$207,'Q1 Data'!$B$4:$B$207,$S10)+SUMIFS('Q1 Data'!$M$4:$M$207,'Q1 Data'!$B$4:$B$207,$S10))</f>
      </c>
      <c r="U10" s="7">
        <f>IF($C10="","",SUMIFS('Q2 Data'!$L$4:$L$207,'Q2 Data'!$B$4:$B$207,$S10)+SUMIFS('Q2 Data'!$O$4:$O$207,'Q2 Data'!$B$4:$B$207,$S10)+SUMIFS('Q2 Data'!$M$4:$M$207,'Q2 Data'!$B$4:$B$207,$S10))</f>
      </c>
      <c r="V10" s="7">
        <f>IF($C10="","",SUMIFS('Q3 Data'!$L$4:$L$207,'Q3 Data'!$B$4:$B$207,$S10)+SUMIFS('Q3 Data'!$O$4:$O$207,'Q3 Data'!$B$4:$B$207,$S10)+SUMIFS('Q3 Data'!$M$4:$M$207,'Q3 Data'!$B$4:$B$207,$S10))</f>
      </c>
      <c r="W10" s="7">
        <f>IF($C10="","",SUMIFS('Q4 Data'!$L$4:$L$207,'Q4 Data'!$B$4:$B$207,$S10)+SUMIFS('Q4 Data'!$O$4:$O$207,'Q4 Data'!$B$4:$B$207,$S10)+SUMIFS('Q4 Data'!$M$4:$M$207,'Q4 Data'!$B$4:$B$207,$S10))</f>
      </c>
      <c r="X10" s="7">
        <f>IF($C10="","",T10+U10+V10+W10)</f>
      </c>
      <c r="Y10" s="7">
        <f>IF($C10="","",M10-L10)</f>
      </c>
      <c r="Z10" s="7">
        <f>IF($C10="","",Y10-X10)</f>
      </c>
      <c r="AA10" s="7">
        <f>IF($C10="","",IF(ROUND(X10-Y10,2)&gt;0,"Over-applied",IF(ROUND(X10-Y10,2)=0,"Fully Utilised","Unconsumed")))</f>
      </c>
    </row>
    <row r="11" spans="1:27" x14ac:dyDescent="0.25">
      <c r="A11" s="7">
        <f>IF($C11="","",COUNTIF($C$4:$C11,"&lt;&gt;"))</f>
      </c>
      <c r="B11" s="8"/>
      <c r="C11" s="8"/>
      <c r="D11" s="8"/>
      <c r="E11" s="8"/>
      <c r="F11" s="8"/>
      <c r="G11" s="8"/>
      <c r="H11" s="8"/>
      <c r="I11" s="8"/>
      <c r="J11" s="8"/>
      <c r="K11" s="8"/>
      <c r="L11" s="8"/>
      <c r="M11" s="7">
        <f>IF($C11="","",G11+H11+I11+J11+K11+L11)</f>
      </c>
      <c r="N11" s="8"/>
      <c r="O11" s="8"/>
      <c r="P11" s="8"/>
      <c r="Q11" s="8"/>
      <c r="R11" s="8"/>
      <c r="S11" s="7">
        <f>IF($C11="","",C11&amp;" | BSR "&amp;B11&amp;" | "&amp;TEXT(D11,"dd-mm-yyyy")&amp;" | ₹"&amp;TEXT(M11,"#,##0"))</f>
      </c>
      <c r="T11" s="7">
        <f>IF($C11="","",SUMIFS('Q1 Data'!$L$4:$L$207,'Q1 Data'!$B$4:$B$207,$S11)+SUMIFS('Q1 Data'!$O$4:$O$207,'Q1 Data'!$B$4:$B$207,$S11)+SUMIFS('Q1 Data'!$M$4:$M$207,'Q1 Data'!$B$4:$B$207,$S11))</f>
      </c>
      <c r="U11" s="7">
        <f>IF($C11="","",SUMIFS('Q2 Data'!$L$4:$L$207,'Q2 Data'!$B$4:$B$207,$S11)+SUMIFS('Q2 Data'!$O$4:$O$207,'Q2 Data'!$B$4:$B$207,$S11)+SUMIFS('Q2 Data'!$M$4:$M$207,'Q2 Data'!$B$4:$B$207,$S11))</f>
      </c>
      <c r="V11" s="7">
        <f>IF($C11="","",SUMIFS('Q3 Data'!$L$4:$L$207,'Q3 Data'!$B$4:$B$207,$S11)+SUMIFS('Q3 Data'!$O$4:$O$207,'Q3 Data'!$B$4:$B$207,$S11)+SUMIFS('Q3 Data'!$M$4:$M$207,'Q3 Data'!$B$4:$B$207,$S11))</f>
      </c>
      <c r="W11" s="7">
        <f>IF($C11="","",SUMIFS('Q4 Data'!$L$4:$L$207,'Q4 Data'!$B$4:$B$207,$S11)+SUMIFS('Q4 Data'!$O$4:$O$207,'Q4 Data'!$B$4:$B$207,$S11)+SUMIFS('Q4 Data'!$M$4:$M$207,'Q4 Data'!$B$4:$B$207,$S11))</f>
      </c>
      <c r="X11" s="7">
        <f>IF($C11="","",T11+U11+V11+W11)</f>
      </c>
      <c r="Y11" s="7">
        <f>IF($C11="","",M11-L11)</f>
      </c>
      <c r="Z11" s="7">
        <f>IF($C11="","",Y11-X11)</f>
      </c>
      <c r="AA11" s="7">
        <f>IF($C11="","",IF(ROUND(X11-Y11,2)&gt;0,"Over-applied",IF(ROUND(X11-Y11,2)=0,"Fully Utilised","Unconsumed")))</f>
      </c>
    </row>
    <row r="12" spans="1:27" x14ac:dyDescent="0.25">
      <c r="A12" s="7">
        <f>IF($C12="","",COUNTIF($C$4:$C12,"&lt;&gt;"))</f>
      </c>
      <c r="B12" s="8"/>
      <c r="C12" s="8"/>
      <c r="D12" s="8"/>
      <c r="E12" s="8"/>
      <c r="F12" s="8"/>
      <c r="G12" s="8"/>
      <c r="H12" s="8"/>
      <c r="I12" s="8"/>
      <c r="J12" s="8"/>
      <c r="K12" s="8"/>
      <c r="L12" s="8"/>
      <c r="M12" s="7">
        <f>IF($C12="","",G12+H12+I12+J12+K12+L12)</f>
      </c>
      <c r="N12" s="8"/>
      <c r="O12" s="8"/>
      <c r="P12" s="8"/>
      <c r="Q12" s="8"/>
      <c r="R12" s="8"/>
      <c r="S12" s="7">
        <f>IF($C12="","",C12&amp;" | BSR "&amp;B12&amp;" | "&amp;TEXT(D12,"dd-mm-yyyy")&amp;" | ₹"&amp;TEXT(M12,"#,##0"))</f>
      </c>
      <c r="T12" s="7">
        <f>IF($C12="","",SUMIFS('Q1 Data'!$L$4:$L$207,'Q1 Data'!$B$4:$B$207,$S12)+SUMIFS('Q1 Data'!$O$4:$O$207,'Q1 Data'!$B$4:$B$207,$S12)+SUMIFS('Q1 Data'!$M$4:$M$207,'Q1 Data'!$B$4:$B$207,$S12))</f>
      </c>
      <c r="U12" s="7">
        <f>IF($C12="","",SUMIFS('Q2 Data'!$L$4:$L$207,'Q2 Data'!$B$4:$B$207,$S12)+SUMIFS('Q2 Data'!$O$4:$O$207,'Q2 Data'!$B$4:$B$207,$S12)+SUMIFS('Q2 Data'!$M$4:$M$207,'Q2 Data'!$B$4:$B$207,$S12))</f>
      </c>
      <c r="V12" s="7">
        <f>IF($C12="","",SUMIFS('Q3 Data'!$L$4:$L$207,'Q3 Data'!$B$4:$B$207,$S12)+SUMIFS('Q3 Data'!$O$4:$O$207,'Q3 Data'!$B$4:$B$207,$S12)+SUMIFS('Q3 Data'!$M$4:$M$207,'Q3 Data'!$B$4:$B$207,$S12))</f>
      </c>
      <c r="W12" s="7">
        <f>IF($C12="","",SUMIFS('Q4 Data'!$L$4:$L$207,'Q4 Data'!$B$4:$B$207,$S12)+SUMIFS('Q4 Data'!$O$4:$O$207,'Q4 Data'!$B$4:$B$207,$S12)+SUMIFS('Q4 Data'!$M$4:$M$207,'Q4 Data'!$B$4:$B$207,$S12))</f>
      </c>
      <c r="X12" s="7">
        <f>IF($C12="","",T12+U12+V12+W12)</f>
      </c>
      <c r="Y12" s="7">
        <f>IF($C12="","",M12-L12)</f>
      </c>
      <c r="Z12" s="7">
        <f>IF($C12="","",Y12-X12)</f>
      </c>
      <c r="AA12" s="7">
        <f>IF($C12="","",IF(ROUND(X12-Y12,2)&gt;0,"Over-applied",IF(ROUND(X12-Y12,2)=0,"Fully Utilised","Unconsumed")))</f>
      </c>
    </row>
    <row r="13" spans="1:27" x14ac:dyDescent="0.25">
      <c r="A13" s="7">
        <f>IF($C13="","",COUNTIF($C$4:$C13,"&lt;&gt;"))</f>
      </c>
      <c r="B13" s="8"/>
      <c r="C13" s="8"/>
      <c r="D13" s="8"/>
      <c r="E13" s="8"/>
      <c r="F13" s="8"/>
      <c r="G13" s="8"/>
      <c r="H13" s="8"/>
      <c r="I13" s="8"/>
      <c r="J13" s="8"/>
      <c r="K13" s="8"/>
      <c r="L13" s="8"/>
      <c r="M13" s="7">
        <f>IF($C13="","",G13+H13+I13+J13+K13+L13)</f>
      </c>
      <c r="N13" s="8"/>
      <c r="O13" s="8"/>
      <c r="P13" s="8"/>
      <c r="Q13" s="8"/>
      <c r="R13" s="8"/>
      <c r="S13" s="7">
        <f>IF($C13="","",C13&amp;" | BSR "&amp;B13&amp;" | "&amp;TEXT(D13,"dd-mm-yyyy")&amp;" | ₹"&amp;TEXT(M13,"#,##0"))</f>
      </c>
      <c r="T13" s="7">
        <f>IF($C13="","",SUMIFS('Q1 Data'!$L$4:$L$207,'Q1 Data'!$B$4:$B$207,$S13)+SUMIFS('Q1 Data'!$O$4:$O$207,'Q1 Data'!$B$4:$B$207,$S13)+SUMIFS('Q1 Data'!$M$4:$M$207,'Q1 Data'!$B$4:$B$207,$S13))</f>
      </c>
      <c r="U13" s="7">
        <f>IF($C13="","",SUMIFS('Q2 Data'!$L$4:$L$207,'Q2 Data'!$B$4:$B$207,$S13)+SUMIFS('Q2 Data'!$O$4:$O$207,'Q2 Data'!$B$4:$B$207,$S13)+SUMIFS('Q2 Data'!$M$4:$M$207,'Q2 Data'!$B$4:$B$207,$S13))</f>
      </c>
      <c r="V13" s="7">
        <f>IF($C13="","",SUMIFS('Q3 Data'!$L$4:$L$207,'Q3 Data'!$B$4:$B$207,$S13)+SUMIFS('Q3 Data'!$O$4:$O$207,'Q3 Data'!$B$4:$B$207,$S13)+SUMIFS('Q3 Data'!$M$4:$M$207,'Q3 Data'!$B$4:$B$207,$S13))</f>
      </c>
      <c r="W13" s="7">
        <f>IF($C13="","",SUMIFS('Q4 Data'!$L$4:$L$207,'Q4 Data'!$B$4:$B$207,$S13)+SUMIFS('Q4 Data'!$O$4:$O$207,'Q4 Data'!$B$4:$B$207,$S13)+SUMIFS('Q4 Data'!$M$4:$M$207,'Q4 Data'!$B$4:$B$207,$S13))</f>
      </c>
      <c r="X13" s="7">
        <f>IF($C13="","",T13+U13+V13+W13)</f>
      </c>
      <c r="Y13" s="7">
        <f>IF($C13="","",M13-L13)</f>
      </c>
      <c r="Z13" s="7">
        <f>IF($C13="","",Y13-X13)</f>
      </c>
      <c r="AA13" s="7">
        <f>IF($C13="","",IF(ROUND(X13-Y13,2)&gt;0,"Over-applied",IF(ROUND(X13-Y13,2)=0,"Fully Utilised","Unconsumed")))</f>
      </c>
    </row>
    <row r="14" spans="1:27" x14ac:dyDescent="0.25">
      <c r="A14" s="7">
        <f>IF($C14="","",COUNTIF($C$4:$C14,"&lt;&gt;"))</f>
      </c>
      <c r="B14" s="8"/>
      <c r="C14" s="8"/>
      <c r="D14" s="8"/>
      <c r="E14" s="8"/>
      <c r="F14" s="8"/>
      <c r="G14" s="8"/>
      <c r="H14" s="8"/>
      <c r="I14" s="8"/>
      <c r="J14" s="8"/>
      <c r="K14" s="8"/>
      <c r="L14" s="8"/>
      <c r="M14" s="7">
        <f>IF($C14="","",G14+H14+I14+J14+K14+L14)</f>
      </c>
      <c r="N14" s="8"/>
      <c r="O14" s="8"/>
      <c r="P14" s="8"/>
      <c r="Q14" s="8"/>
      <c r="R14" s="8"/>
      <c r="S14" s="7">
        <f>IF($C14="","",C14&amp;" | BSR "&amp;B14&amp;" | "&amp;TEXT(D14,"dd-mm-yyyy")&amp;" | ₹"&amp;TEXT(M14,"#,##0"))</f>
      </c>
      <c r="T14" s="7">
        <f>IF($C14="","",SUMIFS('Q1 Data'!$L$4:$L$207,'Q1 Data'!$B$4:$B$207,$S14)+SUMIFS('Q1 Data'!$O$4:$O$207,'Q1 Data'!$B$4:$B$207,$S14)+SUMIFS('Q1 Data'!$M$4:$M$207,'Q1 Data'!$B$4:$B$207,$S14))</f>
      </c>
      <c r="U14" s="7">
        <f>IF($C14="","",SUMIFS('Q2 Data'!$L$4:$L$207,'Q2 Data'!$B$4:$B$207,$S14)+SUMIFS('Q2 Data'!$O$4:$O$207,'Q2 Data'!$B$4:$B$207,$S14)+SUMIFS('Q2 Data'!$M$4:$M$207,'Q2 Data'!$B$4:$B$207,$S14))</f>
      </c>
      <c r="V14" s="7">
        <f>IF($C14="","",SUMIFS('Q3 Data'!$L$4:$L$207,'Q3 Data'!$B$4:$B$207,$S14)+SUMIFS('Q3 Data'!$O$4:$O$207,'Q3 Data'!$B$4:$B$207,$S14)+SUMIFS('Q3 Data'!$M$4:$M$207,'Q3 Data'!$B$4:$B$207,$S14))</f>
      </c>
      <c r="W14" s="7">
        <f>IF($C14="","",SUMIFS('Q4 Data'!$L$4:$L$207,'Q4 Data'!$B$4:$B$207,$S14)+SUMIFS('Q4 Data'!$O$4:$O$207,'Q4 Data'!$B$4:$B$207,$S14)+SUMIFS('Q4 Data'!$M$4:$M$207,'Q4 Data'!$B$4:$B$207,$S14))</f>
      </c>
      <c r="X14" s="7">
        <f>IF($C14="","",T14+U14+V14+W14)</f>
      </c>
      <c r="Y14" s="7">
        <f>IF($C14="","",M14-L14)</f>
      </c>
      <c r="Z14" s="7">
        <f>IF($C14="","",Y14-X14)</f>
      </c>
      <c r="AA14" s="7">
        <f>IF($C14="","",IF(ROUND(X14-Y14,2)&gt;0,"Over-applied",IF(ROUND(X14-Y14,2)=0,"Fully Utilised","Unconsumed")))</f>
      </c>
    </row>
    <row r="15" spans="1:27" x14ac:dyDescent="0.25">
      <c r="A15" s="7">
        <f>IF($C15="","",COUNTIF($C$4:$C15,"&lt;&gt;"))</f>
      </c>
      <c r="B15" s="8"/>
      <c r="C15" s="8"/>
      <c r="D15" s="8"/>
      <c r="E15" s="8"/>
      <c r="F15" s="8"/>
      <c r="G15" s="8"/>
      <c r="H15" s="8"/>
      <c r="I15" s="8"/>
      <c r="J15" s="8"/>
      <c r="K15" s="8"/>
      <c r="L15" s="8"/>
      <c r="M15" s="7">
        <f>IF($C15="","",G15+H15+I15+J15+K15+L15)</f>
      </c>
      <c r="N15" s="8"/>
      <c r="O15" s="8"/>
      <c r="P15" s="8"/>
      <c r="Q15" s="8"/>
      <c r="R15" s="8"/>
      <c r="S15" s="7">
        <f>IF($C15="","",C15&amp;" | BSR "&amp;B15&amp;" | "&amp;TEXT(D15,"dd-mm-yyyy")&amp;" | ₹"&amp;TEXT(M15,"#,##0"))</f>
      </c>
      <c r="T15" s="7">
        <f>IF($C15="","",SUMIFS('Q1 Data'!$L$4:$L$207,'Q1 Data'!$B$4:$B$207,$S15)+SUMIFS('Q1 Data'!$O$4:$O$207,'Q1 Data'!$B$4:$B$207,$S15)+SUMIFS('Q1 Data'!$M$4:$M$207,'Q1 Data'!$B$4:$B$207,$S15))</f>
      </c>
      <c r="U15" s="7">
        <f>IF($C15="","",SUMIFS('Q2 Data'!$L$4:$L$207,'Q2 Data'!$B$4:$B$207,$S15)+SUMIFS('Q2 Data'!$O$4:$O$207,'Q2 Data'!$B$4:$B$207,$S15)+SUMIFS('Q2 Data'!$M$4:$M$207,'Q2 Data'!$B$4:$B$207,$S15))</f>
      </c>
      <c r="V15" s="7">
        <f>IF($C15="","",SUMIFS('Q3 Data'!$L$4:$L$207,'Q3 Data'!$B$4:$B$207,$S15)+SUMIFS('Q3 Data'!$O$4:$O$207,'Q3 Data'!$B$4:$B$207,$S15)+SUMIFS('Q3 Data'!$M$4:$M$207,'Q3 Data'!$B$4:$B$207,$S15))</f>
      </c>
      <c r="W15" s="7">
        <f>IF($C15="","",SUMIFS('Q4 Data'!$L$4:$L$207,'Q4 Data'!$B$4:$B$207,$S15)+SUMIFS('Q4 Data'!$O$4:$O$207,'Q4 Data'!$B$4:$B$207,$S15)+SUMIFS('Q4 Data'!$M$4:$M$207,'Q4 Data'!$B$4:$B$207,$S15))</f>
      </c>
      <c r="X15" s="7">
        <f>IF($C15="","",T15+U15+V15+W15)</f>
      </c>
      <c r="Y15" s="7">
        <f>IF($C15="","",M15-L15)</f>
      </c>
      <c r="Z15" s="7">
        <f>IF($C15="","",Y15-X15)</f>
      </c>
      <c r="AA15" s="7">
        <f>IF($C15="","",IF(ROUND(X15-Y15,2)&gt;0,"Over-applied",IF(ROUND(X15-Y15,2)=0,"Fully Utilised","Unconsumed")))</f>
      </c>
    </row>
    <row r="16" spans="1:27" x14ac:dyDescent="0.25">
      <c r="A16" s="7">
        <f>IF($C16="","",COUNTIF($C$4:$C16,"&lt;&gt;"))</f>
      </c>
      <c r="B16" s="8"/>
      <c r="C16" s="8"/>
      <c r="D16" s="8"/>
      <c r="E16" s="8"/>
      <c r="F16" s="8"/>
      <c r="G16" s="8"/>
      <c r="H16" s="8"/>
      <c r="I16" s="8"/>
      <c r="J16" s="8"/>
      <c r="K16" s="8"/>
      <c r="L16" s="8"/>
      <c r="M16" s="7">
        <f>IF($C16="","",G16+H16+I16+J16+K16+L16)</f>
      </c>
      <c r="N16" s="8"/>
      <c r="O16" s="8"/>
      <c r="P16" s="8"/>
      <c r="Q16" s="8"/>
      <c r="R16" s="8"/>
      <c r="S16" s="7">
        <f>IF($C16="","",C16&amp;" | BSR "&amp;B16&amp;" | "&amp;TEXT(D16,"dd-mm-yyyy")&amp;" | ₹"&amp;TEXT(M16,"#,##0"))</f>
      </c>
      <c r="T16" s="7">
        <f>IF($C16="","",SUMIFS('Q1 Data'!$L$4:$L$207,'Q1 Data'!$B$4:$B$207,$S16)+SUMIFS('Q1 Data'!$O$4:$O$207,'Q1 Data'!$B$4:$B$207,$S16)+SUMIFS('Q1 Data'!$M$4:$M$207,'Q1 Data'!$B$4:$B$207,$S16))</f>
      </c>
      <c r="U16" s="7">
        <f>IF($C16="","",SUMIFS('Q2 Data'!$L$4:$L$207,'Q2 Data'!$B$4:$B$207,$S16)+SUMIFS('Q2 Data'!$O$4:$O$207,'Q2 Data'!$B$4:$B$207,$S16)+SUMIFS('Q2 Data'!$M$4:$M$207,'Q2 Data'!$B$4:$B$207,$S16))</f>
      </c>
      <c r="V16" s="7">
        <f>IF($C16="","",SUMIFS('Q3 Data'!$L$4:$L$207,'Q3 Data'!$B$4:$B$207,$S16)+SUMIFS('Q3 Data'!$O$4:$O$207,'Q3 Data'!$B$4:$B$207,$S16)+SUMIFS('Q3 Data'!$M$4:$M$207,'Q3 Data'!$B$4:$B$207,$S16))</f>
      </c>
      <c r="W16" s="7">
        <f>IF($C16="","",SUMIFS('Q4 Data'!$L$4:$L$207,'Q4 Data'!$B$4:$B$207,$S16)+SUMIFS('Q4 Data'!$O$4:$O$207,'Q4 Data'!$B$4:$B$207,$S16)+SUMIFS('Q4 Data'!$M$4:$M$207,'Q4 Data'!$B$4:$B$207,$S16))</f>
      </c>
      <c r="X16" s="7">
        <f>IF($C16="","",T16+U16+V16+W16)</f>
      </c>
      <c r="Y16" s="7">
        <f>IF($C16="","",M16-L16)</f>
      </c>
      <c r="Z16" s="7">
        <f>IF($C16="","",Y16-X16)</f>
      </c>
      <c r="AA16" s="7">
        <f>IF($C16="","",IF(ROUND(X16-Y16,2)&gt;0,"Over-applied",IF(ROUND(X16-Y16,2)=0,"Fully Utilised","Unconsumed")))</f>
      </c>
    </row>
    <row r="17" spans="1:27" x14ac:dyDescent="0.25">
      <c r="A17" s="7">
        <f>IF($C17="","",COUNTIF($C$4:$C17,"&lt;&gt;"))</f>
      </c>
      <c r="B17" s="8"/>
      <c r="C17" s="8"/>
      <c r="D17" s="8"/>
      <c r="E17" s="8"/>
      <c r="F17" s="8"/>
      <c r="G17" s="8"/>
      <c r="H17" s="8"/>
      <c r="I17" s="8"/>
      <c r="J17" s="8"/>
      <c r="K17" s="8"/>
      <c r="L17" s="8"/>
      <c r="M17" s="7">
        <f>IF($C17="","",G17+H17+I17+J17+K17+L17)</f>
      </c>
      <c r="N17" s="8"/>
      <c r="O17" s="8"/>
      <c r="P17" s="8"/>
      <c r="Q17" s="8"/>
      <c r="R17" s="8"/>
      <c r="S17" s="7">
        <f>IF($C17="","",C17&amp;" | BSR "&amp;B17&amp;" | "&amp;TEXT(D17,"dd-mm-yyyy")&amp;" | ₹"&amp;TEXT(M17,"#,##0"))</f>
      </c>
      <c r="T17" s="7">
        <f>IF($C17="","",SUMIFS('Q1 Data'!$L$4:$L$207,'Q1 Data'!$B$4:$B$207,$S17)+SUMIFS('Q1 Data'!$O$4:$O$207,'Q1 Data'!$B$4:$B$207,$S17)+SUMIFS('Q1 Data'!$M$4:$M$207,'Q1 Data'!$B$4:$B$207,$S17))</f>
      </c>
      <c r="U17" s="7">
        <f>IF($C17="","",SUMIFS('Q2 Data'!$L$4:$L$207,'Q2 Data'!$B$4:$B$207,$S17)+SUMIFS('Q2 Data'!$O$4:$O$207,'Q2 Data'!$B$4:$B$207,$S17)+SUMIFS('Q2 Data'!$M$4:$M$207,'Q2 Data'!$B$4:$B$207,$S17))</f>
      </c>
      <c r="V17" s="7">
        <f>IF($C17="","",SUMIFS('Q3 Data'!$L$4:$L$207,'Q3 Data'!$B$4:$B$207,$S17)+SUMIFS('Q3 Data'!$O$4:$O$207,'Q3 Data'!$B$4:$B$207,$S17)+SUMIFS('Q3 Data'!$M$4:$M$207,'Q3 Data'!$B$4:$B$207,$S17))</f>
      </c>
      <c r="W17" s="7">
        <f>IF($C17="","",SUMIFS('Q4 Data'!$L$4:$L$207,'Q4 Data'!$B$4:$B$207,$S17)+SUMIFS('Q4 Data'!$O$4:$O$207,'Q4 Data'!$B$4:$B$207,$S17)+SUMIFS('Q4 Data'!$M$4:$M$207,'Q4 Data'!$B$4:$B$207,$S17))</f>
      </c>
      <c r="X17" s="7">
        <f>IF($C17="","",T17+U17+V17+W17)</f>
      </c>
      <c r="Y17" s="7">
        <f>IF($C17="","",M17-L17)</f>
      </c>
      <c r="Z17" s="7">
        <f>IF($C17="","",Y17-X17)</f>
      </c>
      <c r="AA17" s="7">
        <f>IF($C17="","",IF(ROUND(X17-Y17,2)&gt;0,"Over-applied",IF(ROUND(X17-Y17,2)=0,"Fully Utilised","Unconsumed")))</f>
      </c>
    </row>
    <row r="18" spans="1:27" x14ac:dyDescent="0.25">
      <c r="A18" s="7">
        <f>IF($C18="","",COUNTIF($C$4:$C18,"&lt;&gt;"))</f>
      </c>
      <c r="B18" s="8"/>
      <c r="C18" s="8"/>
      <c r="D18" s="8"/>
      <c r="E18" s="8"/>
      <c r="F18" s="8"/>
      <c r="G18" s="8"/>
      <c r="H18" s="8"/>
      <c r="I18" s="8"/>
      <c r="J18" s="8"/>
      <c r="K18" s="8"/>
      <c r="L18" s="8"/>
      <c r="M18" s="7">
        <f>IF($C18="","",G18+H18+I18+J18+K18+L18)</f>
      </c>
      <c r="N18" s="8"/>
      <c r="O18" s="8"/>
      <c r="P18" s="8"/>
      <c r="Q18" s="8"/>
      <c r="R18" s="8"/>
      <c r="S18" s="7">
        <f>IF($C18="","",C18&amp;" | BSR "&amp;B18&amp;" | "&amp;TEXT(D18,"dd-mm-yyyy")&amp;" | ₹"&amp;TEXT(M18,"#,##0"))</f>
      </c>
      <c r="T18" s="7">
        <f>IF($C18="","",SUMIFS('Q1 Data'!$L$4:$L$207,'Q1 Data'!$B$4:$B$207,$S18)+SUMIFS('Q1 Data'!$O$4:$O$207,'Q1 Data'!$B$4:$B$207,$S18)+SUMIFS('Q1 Data'!$M$4:$M$207,'Q1 Data'!$B$4:$B$207,$S18))</f>
      </c>
      <c r="U18" s="7">
        <f>IF($C18="","",SUMIFS('Q2 Data'!$L$4:$L$207,'Q2 Data'!$B$4:$B$207,$S18)+SUMIFS('Q2 Data'!$O$4:$O$207,'Q2 Data'!$B$4:$B$207,$S18)+SUMIFS('Q2 Data'!$M$4:$M$207,'Q2 Data'!$B$4:$B$207,$S18))</f>
      </c>
      <c r="V18" s="7">
        <f>IF($C18="","",SUMIFS('Q3 Data'!$L$4:$L$207,'Q3 Data'!$B$4:$B$207,$S18)+SUMIFS('Q3 Data'!$O$4:$O$207,'Q3 Data'!$B$4:$B$207,$S18)+SUMIFS('Q3 Data'!$M$4:$M$207,'Q3 Data'!$B$4:$B$207,$S18))</f>
      </c>
      <c r="W18" s="7">
        <f>IF($C18="","",SUMIFS('Q4 Data'!$L$4:$L$207,'Q4 Data'!$B$4:$B$207,$S18)+SUMIFS('Q4 Data'!$O$4:$O$207,'Q4 Data'!$B$4:$B$207,$S18)+SUMIFS('Q4 Data'!$M$4:$M$207,'Q4 Data'!$B$4:$B$207,$S18))</f>
      </c>
      <c r="X18" s="7">
        <f>IF($C18="","",T18+U18+V18+W18)</f>
      </c>
      <c r="Y18" s="7">
        <f>IF($C18="","",M18-L18)</f>
      </c>
      <c r="Z18" s="7">
        <f>IF($C18="","",Y18-X18)</f>
      </c>
      <c r="AA18" s="7">
        <f>IF($C18="","",IF(ROUND(X18-Y18,2)&gt;0,"Over-applied",IF(ROUND(X18-Y18,2)=0,"Fully Utilised","Unconsumed")))</f>
      </c>
    </row>
    <row r="19" spans="1:27" x14ac:dyDescent="0.25">
      <c r="A19" s="7">
        <f>IF($C19="","",COUNTIF($C$4:$C19,"&lt;&gt;"))</f>
      </c>
      <c r="B19" s="8"/>
      <c r="C19" s="8"/>
      <c r="D19" s="8"/>
      <c r="E19" s="8"/>
      <c r="F19" s="8"/>
      <c r="G19" s="8"/>
      <c r="H19" s="8"/>
      <c r="I19" s="8"/>
      <c r="J19" s="8"/>
      <c r="K19" s="8"/>
      <c r="L19" s="8"/>
      <c r="M19" s="7">
        <f>IF($C19="","",G19+H19+I19+J19+K19+L19)</f>
      </c>
      <c r="N19" s="8"/>
      <c r="O19" s="8"/>
      <c r="P19" s="8"/>
      <c r="Q19" s="8"/>
      <c r="R19" s="8"/>
      <c r="S19" s="7">
        <f>IF($C19="","",C19&amp;" | BSR "&amp;B19&amp;" | "&amp;TEXT(D19,"dd-mm-yyyy")&amp;" | ₹"&amp;TEXT(M19,"#,##0"))</f>
      </c>
      <c r="T19" s="7">
        <f>IF($C19="","",SUMIFS('Q1 Data'!$L$4:$L$207,'Q1 Data'!$B$4:$B$207,$S19)+SUMIFS('Q1 Data'!$O$4:$O$207,'Q1 Data'!$B$4:$B$207,$S19)+SUMIFS('Q1 Data'!$M$4:$M$207,'Q1 Data'!$B$4:$B$207,$S19))</f>
      </c>
      <c r="U19" s="7">
        <f>IF($C19="","",SUMIFS('Q2 Data'!$L$4:$L$207,'Q2 Data'!$B$4:$B$207,$S19)+SUMIFS('Q2 Data'!$O$4:$O$207,'Q2 Data'!$B$4:$B$207,$S19)+SUMIFS('Q2 Data'!$M$4:$M$207,'Q2 Data'!$B$4:$B$207,$S19))</f>
      </c>
      <c r="V19" s="7">
        <f>IF($C19="","",SUMIFS('Q3 Data'!$L$4:$L$207,'Q3 Data'!$B$4:$B$207,$S19)+SUMIFS('Q3 Data'!$O$4:$O$207,'Q3 Data'!$B$4:$B$207,$S19)+SUMIFS('Q3 Data'!$M$4:$M$207,'Q3 Data'!$B$4:$B$207,$S19))</f>
      </c>
      <c r="W19" s="7">
        <f>IF($C19="","",SUMIFS('Q4 Data'!$L$4:$L$207,'Q4 Data'!$B$4:$B$207,$S19)+SUMIFS('Q4 Data'!$O$4:$O$207,'Q4 Data'!$B$4:$B$207,$S19)+SUMIFS('Q4 Data'!$M$4:$M$207,'Q4 Data'!$B$4:$B$207,$S19))</f>
      </c>
      <c r="X19" s="7">
        <f>IF($C19="","",T19+U19+V19+W19)</f>
      </c>
      <c r="Y19" s="7">
        <f>IF($C19="","",M19-L19)</f>
      </c>
      <c r="Z19" s="7">
        <f>IF($C19="","",Y19-X19)</f>
      </c>
      <c r="AA19" s="7">
        <f>IF($C19="","",IF(ROUND(X19-Y19,2)&gt;0,"Over-applied",IF(ROUND(X19-Y19,2)=0,"Fully Utilised","Unconsumed")))</f>
      </c>
    </row>
    <row r="20" spans="1:27" x14ac:dyDescent="0.25">
      <c r="A20" s="7">
        <f>IF($C20="","",COUNTIF($C$4:$C20,"&lt;&gt;"))</f>
      </c>
      <c r="B20" s="8"/>
      <c r="C20" s="8"/>
      <c r="D20" s="8"/>
      <c r="E20" s="8"/>
      <c r="F20" s="8"/>
      <c r="G20" s="8"/>
      <c r="H20" s="8"/>
      <c r="I20" s="8"/>
      <c r="J20" s="8"/>
      <c r="K20" s="8"/>
      <c r="L20" s="8"/>
      <c r="M20" s="7">
        <f>IF($C20="","",G20+H20+I20+J20+K20+L20)</f>
      </c>
      <c r="N20" s="8"/>
      <c r="O20" s="8"/>
      <c r="P20" s="8"/>
      <c r="Q20" s="8"/>
      <c r="R20" s="8"/>
      <c r="S20" s="7">
        <f>IF($C20="","",C20&amp;" | BSR "&amp;B20&amp;" | "&amp;TEXT(D20,"dd-mm-yyyy")&amp;" | ₹"&amp;TEXT(M20,"#,##0"))</f>
      </c>
      <c r="T20" s="7">
        <f>IF($C20="","",SUMIFS('Q1 Data'!$L$4:$L$207,'Q1 Data'!$B$4:$B$207,$S20)+SUMIFS('Q1 Data'!$O$4:$O$207,'Q1 Data'!$B$4:$B$207,$S20)+SUMIFS('Q1 Data'!$M$4:$M$207,'Q1 Data'!$B$4:$B$207,$S20))</f>
      </c>
      <c r="U20" s="7">
        <f>IF($C20="","",SUMIFS('Q2 Data'!$L$4:$L$207,'Q2 Data'!$B$4:$B$207,$S20)+SUMIFS('Q2 Data'!$O$4:$O$207,'Q2 Data'!$B$4:$B$207,$S20)+SUMIFS('Q2 Data'!$M$4:$M$207,'Q2 Data'!$B$4:$B$207,$S20))</f>
      </c>
      <c r="V20" s="7">
        <f>IF($C20="","",SUMIFS('Q3 Data'!$L$4:$L$207,'Q3 Data'!$B$4:$B$207,$S20)+SUMIFS('Q3 Data'!$O$4:$O$207,'Q3 Data'!$B$4:$B$207,$S20)+SUMIFS('Q3 Data'!$M$4:$M$207,'Q3 Data'!$B$4:$B$207,$S20))</f>
      </c>
      <c r="W20" s="7">
        <f>IF($C20="","",SUMIFS('Q4 Data'!$L$4:$L$207,'Q4 Data'!$B$4:$B$207,$S20)+SUMIFS('Q4 Data'!$O$4:$O$207,'Q4 Data'!$B$4:$B$207,$S20)+SUMIFS('Q4 Data'!$M$4:$M$207,'Q4 Data'!$B$4:$B$207,$S20))</f>
      </c>
      <c r="X20" s="7">
        <f>IF($C20="","",T20+U20+V20+W20)</f>
      </c>
      <c r="Y20" s="7">
        <f>IF($C20="","",M20-L20)</f>
      </c>
      <c r="Z20" s="7">
        <f>IF($C20="","",Y20-X20)</f>
      </c>
      <c r="AA20" s="7">
        <f>IF($C20="","",IF(ROUND(X20-Y20,2)&gt;0,"Over-applied",IF(ROUND(X20-Y20,2)=0,"Fully Utilised","Unconsumed")))</f>
      </c>
    </row>
    <row r="21" spans="1:27" x14ac:dyDescent="0.25">
      <c r="A21" s="7">
        <f>IF($C21="","",COUNTIF($C$4:$C21,"&lt;&gt;"))</f>
      </c>
      <c r="B21" s="8"/>
      <c r="C21" s="8"/>
      <c r="D21" s="8"/>
      <c r="E21" s="8"/>
      <c r="F21" s="8"/>
      <c r="G21" s="8"/>
      <c r="H21" s="8"/>
      <c r="I21" s="8"/>
      <c r="J21" s="8"/>
      <c r="K21" s="8"/>
      <c r="L21" s="8"/>
      <c r="M21" s="7">
        <f>IF($C21="","",G21+H21+I21+J21+K21+L21)</f>
      </c>
      <c r="N21" s="8"/>
      <c r="O21" s="8"/>
      <c r="P21" s="8"/>
      <c r="Q21" s="8"/>
      <c r="R21" s="8"/>
      <c r="S21" s="7">
        <f>IF($C21="","",C21&amp;" | BSR "&amp;B21&amp;" | "&amp;TEXT(D21,"dd-mm-yyyy")&amp;" | ₹"&amp;TEXT(M21,"#,##0"))</f>
      </c>
      <c r="T21" s="7">
        <f>IF($C21="","",SUMIFS('Q1 Data'!$L$4:$L$207,'Q1 Data'!$B$4:$B$207,$S21)+SUMIFS('Q1 Data'!$O$4:$O$207,'Q1 Data'!$B$4:$B$207,$S21)+SUMIFS('Q1 Data'!$M$4:$M$207,'Q1 Data'!$B$4:$B$207,$S21))</f>
      </c>
      <c r="U21" s="7">
        <f>IF($C21="","",SUMIFS('Q2 Data'!$L$4:$L$207,'Q2 Data'!$B$4:$B$207,$S21)+SUMIFS('Q2 Data'!$O$4:$O$207,'Q2 Data'!$B$4:$B$207,$S21)+SUMIFS('Q2 Data'!$M$4:$M$207,'Q2 Data'!$B$4:$B$207,$S21))</f>
      </c>
      <c r="V21" s="7">
        <f>IF($C21="","",SUMIFS('Q3 Data'!$L$4:$L$207,'Q3 Data'!$B$4:$B$207,$S21)+SUMIFS('Q3 Data'!$O$4:$O$207,'Q3 Data'!$B$4:$B$207,$S21)+SUMIFS('Q3 Data'!$M$4:$M$207,'Q3 Data'!$B$4:$B$207,$S21))</f>
      </c>
      <c r="W21" s="7">
        <f>IF($C21="","",SUMIFS('Q4 Data'!$L$4:$L$207,'Q4 Data'!$B$4:$B$207,$S21)+SUMIFS('Q4 Data'!$O$4:$O$207,'Q4 Data'!$B$4:$B$207,$S21)+SUMIFS('Q4 Data'!$M$4:$M$207,'Q4 Data'!$B$4:$B$207,$S21))</f>
      </c>
      <c r="X21" s="7">
        <f>IF($C21="","",T21+U21+V21+W21)</f>
      </c>
      <c r="Y21" s="7">
        <f>IF($C21="","",M21-L21)</f>
      </c>
      <c r="Z21" s="7">
        <f>IF($C21="","",Y21-X21)</f>
      </c>
      <c r="AA21" s="7">
        <f>IF($C21="","",IF(ROUND(X21-Y21,2)&gt;0,"Over-applied",IF(ROUND(X21-Y21,2)=0,"Fully Utilised","Unconsumed")))</f>
      </c>
    </row>
    <row r="22" spans="1:27" x14ac:dyDescent="0.25">
      <c r="A22" s="7">
        <f>IF($C22="","",COUNTIF($C$4:$C22,"&lt;&gt;"))</f>
      </c>
      <c r="B22" s="8"/>
      <c r="C22" s="8"/>
      <c r="D22" s="8"/>
      <c r="E22" s="8"/>
      <c r="F22" s="8"/>
      <c r="G22" s="8"/>
      <c r="H22" s="8"/>
      <c r="I22" s="8"/>
      <c r="J22" s="8"/>
      <c r="K22" s="8"/>
      <c r="L22" s="8"/>
      <c r="M22" s="7">
        <f>IF($C22="","",G22+H22+I22+J22+K22+L22)</f>
      </c>
      <c r="N22" s="8"/>
      <c r="O22" s="8"/>
      <c r="P22" s="8"/>
      <c r="Q22" s="8"/>
      <c r="R22" s="8"/>
      <c r="S22" s="7">
        <f>IF($C22="","",C22&amp;" | BSR "&amp;B22&amp;" | "&amp;TEXT(D22,"dd-mm-yyyy")&amp;" | ₹"&amp;TEXT(M22,"#,##0"))</f>
      </c>
      <c r="T22" s="7">
        <f>IF($C22="","",SUMIFS('Q1 Data'!$L$4:$L$207,'Q1 Data'!$B$4:$B$207,$S22)+SUMIFS('Q1 Data'!$O$4:$O$207,'Q1 Data'!$B$4:$B$207,$S22)+SUMIFS('Q1 Data'!$M$4:$M$207,'Q1 Data'!$B$4:$B$207,$S22))</f>
      </c>
      <c r="U22" s="7">
        <f>IF($C22="","",SUMIFS('Q2 Data'!$L$4:$L$207,'Q2 Data'!$B$4:$B$207,$S22)+SUMIFS('Q2 Data'!$O$4:$O$207,'Q2 Data'!$B$4:$B$207,$S22)+SUMIFS('Q2 Data'!$M$4:$M$207,'Q2 Data'!$B$4:$B$207,$S22))</f>
      </c>
      <c r="V22" s="7">
        <f>IF($C22="","",SUMIFS('Q3 Data'!$L$4:$L$207,'Q3 Data'!$B$4:$B$207,$S22)+SUMIFS('Q3 Data'!$O$4:$O$207,'Q3 Data'!$B$4:$B$207,$S22)+SUMIFS('Q3 Data'!$M$4:$M$207,'Q3 Data'!$B$4:$B$207,$S22))</f>
      </c>
      <c r="W22" s="7">
        <f>IF($C22="","",SUMIFS('Q4 Data'!$L$4:$L$207,'Q4 Data'!$B$4:$B$207,$S22)+SUMIFS('Q4 Data'!$O$4:$O$207,'Q4 Data'!$B$4:$B$207,$S22)+SUMIFS('Q4 Data'!$M$4:$M$207,'Q4 Data'!$B$4:$B$207,$S22))</f>
      </c>
      <c r="X22" s="7">
        <f>IF($C22="","",T22+U22+V22+W22)</f>
      </c>
      <c r="Y22" s="7">
        <f>IF($C22="","",M22-L22)</f>
      </c>
      <c r="Z22" s="7">
        <f>IF($C22="","",Y22-X22)</f>
      </c>
      <c r="AA22" s="7">
        <f>IF($C22="","",IF(ROUND(X22-Y22,2)&gt;0,"Over-applied",IF(ROUND(X22-Y22,2)=0,"Fully Utilised","Unconsumed")))</f>
      </c>
    </row>
    <row r="23" spans="1:27" x14ac:dyDescent="0.25">
      <c r="A23" s="7">
        <f>IF($C23="","",COUNTIF($C$4:$C23,"&lt;&gt;"))</f>
      </c>
      <c r="B23" s="8"/>
      <c r="C23" s="8"/>
      <c r="D23" s="8"/>
      <c r="E23" s="8"/>
      <c r="F23" s="8"/>
      <c r="G23" s="8"/>
      <c r="H23" s="8"/>
      <c r="I23" s="8"/>
      <c r="J23" s="8"/>
      <c r="K23" s="8"/>
      <c r="L23" s="8"/>
      <c r="M23" s="7">
        <f>IF($C23="","",G23+H23+I23+J23+K23+L23)</f>
      </c>
      <c r="N23" s="8"/>
      <c r="O23" s="8"/>
      <c r="P23" s="8"/>
      <c r="Q23" s="8"/>
      <c r="R23" s="8"/>
      <c r="S23" s="7">
        <f>IF($C23="","",C23&amp;" | BSR "&amp;B23&amp;" | "&amp;TEXT(D23,"dd-mm-yyyy")&amp;" | ₹"&amp;TEXT(M23,"#,##0"))</f>
      </c>
      <c r="T23" s="7">
        <f>IF($C23="","",SUMIFS('Q1 Data'!$L$4:$L$207,'Q1 Data'!$B$4:$B$207,$S23)+SUMIFS('Q1 Data'!$O$4:$O$207,'Q1 Data'!$B$4:$B$207,$S23)+SUMIFS('Q1 Data'!$M$4:$M$207,'Q1 Data'!$B$4:$B$207,$S23))</f>
      </c>
      <c r="U23" s="7">
        <f>IF($C23="","",SUMIFS('Q2 Data'!$L$4:$L$207,'Q2 Data'!$B$4:$B$207,$S23)+SUMIFS('Q2 Data'!$O$4:$O$207,'Q2 Data'!$B$4:$B$207,$S23)+SUMIFS('Q2 Data'!$M$4:$M$207,'Q2 Data'!$B$4:$B$207,$S23))</f>
      </c>
      <c r="V23" s="7">
        <f>IF($C23="","",SUMIFS('Q3 Data'!$L$4:$L$207,'Q3 Data'!$B$4:$B$207,$S23)+SUMIFS('Q3 Data'!$O$4:$O$207,'Q3 Data'!$B$4:$B$207,$S23)+SUMIFS('Q3 Data'!$M$4:$M$207,'Q3 Data'!$B$4:$B$207,$S23))</f>
      </c>
      <c r="W23" s="7">
        <f>IF($C23="","",SUMIFS('Q4 Data'!$L$4:$L$207,'Q4 Data'!$B$4:$B$207,$S23)+SUMIFS('Q4 Data'!$O$4:$O$207,'Q4 Data'!$B$4:$B$207,$S23)+SUMIFS('Q4 Data'!$M$4:$M$207,'Q4 Data'!$B$4:$B$207,$S23))</f>
      </c>
      <c r="X23" s="7">
        <f>IF($C23="","",T23+U23+V23+W23)</f>
      </c>
      <c r="Y23" s="7">
        <f>IF($C23="","",M23-L23)</f>
      </c>
      <c r="Z23" s="7">
        <f>IF($C23="","",Y23-X23)</f>
      </c>
      <c r="AA23" s="7">
        <f>IF($C23="","",IF(ROUND(X23-Y23,2)&gt;0,"Over-applied",IF(ROUND(X23-Y23,2)=0,"Fully Utilised","Unconsumed")))</f>
      </c>
    </row>
    <row r="24" spans="1:27" x14ac:dyDescent="0.25">
      <c r="A24" s="7">
        <f>IF($C24="","",COUNTIF($C$4:$C24,"&lt;&gt;"))</f>
      </c>
      <c r="B24" s="8"/>
      <c r="C24" s="8"/>
      <c r="D24" s="8"/>
      <c r="E24" s="8"/>
      <c r="F24" s="8"/>
      <c r="G24" s="8"/>
      <c r="H24" s="8"/>
      <c r="I24" s="8"/>
      <c r="J24" s="8"/>
      <c r="K24" s="8"/>
      <c r="L24" s="8"/>
      <c r="M24" s="7">
        <f>IF($C24="","",G24+H24+I24+J24+K24+L24)</f>
      </c>
      <c r="N24" s="8"/>
      <c r="O24" s="8"/>
      <c r="P24" s="8"/>
      <c r="Q24" s="8"/>
      <c r="R24" s="8"/>
      <c r="S24" s="7">
        <f>IF($C24="","",C24&amp;" | BSR "&amp;B24&amp;" | "&amp;TEXT(D24,"dd-mm-yyyy")&amp;" | ₹"&amp;TEXT(M24,"#,##0"))</f>
      </c>
      <c r="T24" s="7">
        <f>IF($C24="","",SUMIFS('Q1 Data'!$L$4:$L$207,'Q1 Data'!$B$4:$B$207,$S24)+SUMIFS('Q1 Data'!$O$4:$O$207,'Q1 Data'!$B$4:$B$207,$S24)+SUMIFS('Q1 Data'!$M$4:$M$207,'Q1 Data'!$B$4:$B$207,$S24))</f>
      </c>
      <c r="U24" s="7">
        <f>IF($C24="","",SUMIFS('Q2 Data'!$L$4:$L$207,'Q2 Data'!$B$4:$B$207,$S24)+SUMIFS('Q2 Data'!$O$4:$O$207,'Q2 Data'!$B$4:$B$207,$S24)+SUMIFS('Q2 Data'!$M$4:$M$207,'Q2 Data'!$B$4:$B$207,$S24))</f>
      </c>
      <c r="V24" s="7">
        <f>IF($C24="","",SUMIFS('Q3 Data'!$L$4:$L$207,'Q3 Data'!$B$4:$B$207,$S24)+SUMIFS('Q3 Data'!$O$4:$O$207,'Q3 Data'!$B$4:$B$207,$S24)+SUMIFS('Q3 Data'!$M$4:$M$207,'Q3 Data'!$B$4:$B$207,$S24))</f>
      </c>
      <c r="W24" s="7">
        <f>IF($C24="","",SUMIFS('Q4 Data'!$L$4:$L$207,'Q4 Data'!$B$4:$B$207,$S24)+SUMIFS('Q4 Data'!$O$4:$O$207,'Q4 Data'!$B$4:$B$207,$S24)+SUMIFS('Q4 Data'!$M$4:$M$207,'Q4 Data'!$B$4:$B$207,$S24))</f>
      </c>
      <c r="X24" s="7">
        <f>IF($C24="","",T24+U24+V24+W24)</f>
      </c>
      <c r="Y24" s="7">
        <f>IF($C24="","",M24-L24)</f>
      </c>
      <c r="Z24" s="7">
        <f>IF($C24="","",Y24-X24)</f>
      </c>
      <c r="AA24" s="7">
        <f>IF($C24="","",IF(ROUND(X24-Y24,2)&gt;0,"Over-applied",IF(ROUND(X24-Y24,2)=0,"Fully Utilised","Unconsumed")))</f>
      </c>
    </row>
    <row r="25" spans="1:27" x14ac:dyDescent="0.25">
      <c r="A25" s="7">
        <f>IF($C25="","",COUNTIF($C$4:$C25,"&lt;&gt;"))</f>
      </c>
      <c r="B25" s="8"/>
      <c r="C25" s="8"/>
      <c r="D25" s="8"/>
      <c r="E25" s="8"/>
      <c r="F25" s="8"/>
      <c r="G25" s="8"/>
      <c r="H25" s="8"/>
      <c r="I25" s="8"/>
      <c r="J25" s="8"/>
      <c r="K25" s="8"/>
      <c r="L25" s="8"/>
      <c r="M25" s="7">
        <f>IF($C25="","",G25+H25+I25+J25+K25+L25)</f>
      </c>
      <c r="N25" s="8"/>
      <c r="O25" s="8"/>
      <c r="P25" s="8"/>
      <c r="Q25" s="8"/>
      <c r="R25" s="8"/>
      <c r="S25" s="7">
        <f>IF($C25="","",C25&amp;" | BSR "&amp;B25&amp;" | "&amp;TEXT(D25,"dd-mm-yyyy")&amp;" | ₹"&amp;TEXT(M25,"#,##0"))</f>
      </c>
      <c r="T25" s="7">
        <f>IF($C25="","",SUMIFS('Q1 Data'!$L$4:$L$207,'Q1 Data'!$B$4:$B$207,$S25)+SUMIFS('Q1 Data'!$O$4:$O$207,'Q1 Data'!$B$4:$B$207,$S25)+SUMIFS('Q1 Data'!$M$4:$M$207,'Q1 Data'!$B$4:$B$207,$S25))</f>
      </c>
      <c r="U25" s="7">
        <f>IF($C25="","",SUMIFS('Q2 Data'!$L$4:$L$207,'Q2 Data'!$B$4:$B$207,$S25)+SUMIFS('Q2 Data'!$O$4:$O$207,'Q2 Data'!$B$4:$B$207,$S25)+SUMIFS('Q2 Data'!$M$4:$M$207,'Q2 Data'!$B$4:$B$207,$S25))</f>
      </c>
      <c r="V25" s="7">
        <f>IF($C25="","",SUMIFS('Q3 Data'!$L$4:$L$207,'Q3 Data'!$B$4:$B$207,$S25)+SUMIFS('Q3 Data'!$O$4:$O$207,'Q3 Data'!$B$4:$B$207,$S25)+SUMIFS('Q3 Data'!$M$4:$M$207,'Q3 Data'!$B$4:$B$207,$S25))</f>
      </c>
      <c r="W25" s="7">
        <f>IF($C25="","",SUMIFS('Q4 Data'!$L$4:$L$207,'Q4 Data'!$B$4:$B$207,$S25)+SUMIFS('Q4 Data'!$O$4:$O$207,'Q4 Data'!$B$4:$B$207,$S25)+SUMIFS('Q4 Data'!$M$4:$M$207,'Q4 Data'!$B$4:$B$207,$S25))</f>
      </c>
      <c r="X25" s="7">
        <f>IF($C25="","",T25+U25+V25+W25)</f>
      </c>
      <c r="Y25" s="7">
        <f>IF($C25="","",M25-L25)</f>
      </c>
      <c r="Z25" s="7">
        <f>IF($C25="","",Y25-X25)</f>
      </c>
      <c r="AA25" s="7">
        <f>IF($C25="","",IF(ROUND(X25-Y25,2)&gt;0,"Over-applied",IF(ROUND(X25-Y25,2)=0,"Fully Utilised","Unconsumed")))</f>
      </c>
    </row>
    <row r="26" spans="1:27" x14ac:dyDescent="0.25">
      <c r="A26" s="7">
        <f>IF($C26="","",COUNTIF($C$4:$C26,"&lt;&gt;"))</f>
      </c>
      <c r="B26" s="8"/>
      <c r="C26" s="8"/>
      <c r="D26" s="8"/>
      <c r="E26" s="8"/>
      <c r="F26" s="8"/>
      <c r="G26" s="8"/>
      <c r="H26" s="8"/>
      <c r="I26" s="8"/>
      <c r="J26" s="8"/>
      <c r="K26" s="8"/>
      <c r="L26" s="8"/>
      <c r="M26" s="7">
        <f>IF($C26="","",G26+H26+I26+J26+K26+L26)</f>
      </c>
      <c r="N26" s="8"/>
      <c r="O26" s="8"/>
      <c r="P26" s="8"/>
      <c r="Q26" s="8"/>
      <c r="R26" s="8"/>
      <c r="S26" s="7">
        <f>IF($C26="","",C26&amp;" | BSR "&amp;B26&amp;" | "&amp;TEXT(D26,"dd-mm-yyyy")&amp;" | ₹"&amp;TEXT(M26,"#,##0"))</f>
      </c>
      <c r="T26" s="7">
        <f>IF($C26="","",SUMIFS('Q1 Data'!$L$4:$L$207,'Q1 Data'!$B$4:$B$207,$S26)+SUMIFS('Q1 Data'!$O$4:$O$207,'Q1 Data'!$B$4:$B$207,$S26)+SUMIFS('Q1 Data'!$M$4:$M$207,'Q1 Data'!$B$4:$B$207,$S26))</f>
      </c>
      <c r="U26" s="7">
        <f>IF($C26="","",SUMIFS('Q2 Data'!$L$4:$L$207,'Q2 Data'!$B$4:$B$207,$S26)+SUMIFS('Q2 Data'!$O$4:$O$207,'Q2 Data'!$B$4:$B$207,$S26)+SUMIFS('Q2 Data'!$M$4:$M$207,'Q2 Data'!$B$4:$B$207,$S26))</f>
      </c>
      <c r="V26" s="7">
        <f>IF($C26="","",SUMIFS('Q3 Data'!$L$4:$L$207,'Q3 Data'!$B$4:$B$207,$S26)+SUMIFS('Q3 Data'!$O$4:$O$207,'Q3 Data'!$B$4:$B$207,$S26)+SUMIFS('Q3 Data'!$M$4:$M$207,'Q3 Data'!$B$4:$B$207,$S26))</f>
      </c>
      <c r="W26" s="7">
        <f>IF($C26="","",SUMIFS('Q4 Data'!$L$4:$L$207,'Q4 Data'!$B$4:$B$207,$S26)+SUMIFS('Q4 Data'!$O$4:$O$207,'Q4 Data'!$B$4:$B$207,$S26)+SUMIFS('Q4 Data'!$M$4:$M$207,'Q4 Data'!$B$4:$B$207,$S26))</f>
      </c>
      <c r="X26" s="7">
        <f>IF($C26="","",T26+U26+V26+W26)</f>
      </c>
      <c r="Y26" s="7">
        <f>IF($C26="","",M26-L26)</f>
      </c>
      <c r="Z26" s="7">
        <f>IF($C26="","",Y26-X26)</f>
      </c>
      <c r="AA26" s="7">
        <f>IF($C26="","",IF(ROUND(X26-Y26,2)&gt;0,"Over-applied",IF(ROUND(X26-Y26,2)=0,"Fully Utilised","Unconsumed")))</f>
      </c>
    </row>
    <row r="27" spans="1:27" x14ac:dyDescent="0.25">
      <c r="A27" s="7">
        <f>IF($C27="","",COUNTIF($C$4:$C27,"&lt;&gt;"))</f>
      </c>
      <c r="B27" s="8"/>
      <c r="C27" s="8"/>
      <c r="D27" s="8"/>
      <c r="E27" s="8"/>
      <c r="F27" s="8"/>
      <c r="G27" s="8"/>
      <c r="H27" s="8"/>
      <c r="I27" s="8"/>
      <c r="J27" s="8"/>
      <c r="K27" s="8"/>
      <c r="L27" s="8"/>
      <c r="M27" s="7">
        <f>IF($C27="","",G27+H27+I27+J27+K27+L27)</f>
      </c>
      <c r="N27" s="8"/>
      <c r="O27" s="8"/>
      <c r="P27" s="8"/>
      <c r="Q27" s="8"/>
      <c r="R27" s="8"/>
      <c r="S27" s="7">
        <f>IF($C27="","",C27&amp;" | BSR "&amp;B27&amp;" | "&amp;TEXT(D27,"dd-mm-yyyy")&amp;" | ₹"&amp;TEXT(M27,"#,##0"))</f>
      </c>
      <c r="T27" s="7">
        <f>IF($C27="","",SUMIFS('Q1 Data'!$L$4:$L$207,'Q1 Data'!$B$4:$B$207,$S27)+SUMIFS('Q1 Data'!$O$4:$O$207,'Q1 Data'!$B$4:$B$207,$S27)+SUMIFS('Q1 Data'!$M$4:$M$207,'Q1 Data'!$B$4:$B$207,$S27))</f>
      </c>
      <c r="U27" s="7">
        <f>IF($C27="","",SUMIFS('Q2 Data'!$L$4:$L$207,'Q2 Data'!$B$4:$B$207,$S27)+SUMIFS('Q2 Data'!$O$4:$O$207,'Q2 Data'!$B$4:$B$207,$S27)+SUMIFS('Q2 Data'!$M$4:$M$207,'Q2 Data'!$B$4:$B$207,$S27))</f>
      </c>
      <c r="V27" s="7">
        <f>IF($C27="","",SUMIFS('Q3 Data'!$L$4:$L$207,'Q3 Data'!$B$4:$B$207,$S27)+SUMIFS('Q3 Data'!$O$4:$O$207,'Q3 Data'!$B$4:$B$207,$S27)+SUMIFS('Q3 Data'!$M$4:$M$207,'Q3 Data'!$B$4:$B$207,$S27))</f>
      </c>
      <c r="W27" s="7">
        <f>IF($C27="","",SUMIFS('Q4 Data'!$L$4:$L$207,'Q4 Data'!$B$4:$B$207,$S27)+SUMIFS('Q4 Data'!$O$4:$O$207,'Q4 Data'!$B$4:$B$207,$S27)+SUMIFS('Q4 Data'!$M$4:$M$207,'Q4 Data'!$B$4:$B$207,$S27))</f>
      </c>
      <c r="X27" s="7">
        <f>IF($C27="","",T27+U27+V27+W27)</f>
      </c>
      <c r="Y27" s="7">
        <f>IF($C27="","",M27-L27)</f>
      </c>
      <c r="Z27" s="7">
        <f>IF($C27="","",Y27-X27)</f>
      </c>
      <c r="AA27" s="7">
        <f>IF($C27="","",IF(ROUND(X27-Y27,2)&gt;0,"Over-applied",IF(ROUND(X27-Y27,2)=0,"Fully Utilised","Unconsumed")))</f>
      </c>
    </row>
    <row r="28" spans="1:27" x14ac:dyDescent="0.25">
      <c r="A28" s="7">
        <f>IF($C28="","",COUNTIF($C$4:$C28,"&lt;&gt;"))</f>
      </c>
      <c r="B28" s="8"/>
      <c r="C28" s="8"/>
      <c r="D28" s="8"/>
      <c r="E28" s="8"/>
      <c r="F28" s="8"/>
      <c r="G28" s="8"/>
      <c r="H28" s="8"/>
      <c r="I28" s="8"/>
      <c r="J28" s="8"/>
      <c r="K28" s="8"/>
      <c r="L28" s="8"/>
      <c r="M28" s="7">
        <f>IF($C28="","",G28+H28+I28+J28+K28+L28)</f>
      </c>
      <c r="N28" s="8"/>
      <c r="O28" s="8"/>
      <c r="P28" s="8"/>
      <c r="Q28" s="8"/>
      <c r="R28" s="8"/>
      <c r="S28" s="7">
        <f>IF($C28="","",C28&amp;" | BSR "&amp;B28&amp;" | "&amp;TEXT(D28,"dd-mm-yyyy")&amp;" | ₹"&amp;TEXT(M28,"#,##0"))</f>
      </c>
      <c r="T28" s="7">
        <f>IF($C28="","",SUMIFS('Q1 Data'!$L$4:$L$207,'Q1 Data'!$B$4:$B$207,$S28)+SUMIFS('Q1 Data'!$O$4:$O$207,'Q1 Data'!$B$4:$B$207,$S28)+SUMIFS('Q1 Data'!$M$4:$M$207,'Q1 Data'!$B$4:$B$207,$S28))</f>
      </c>
      <c r="U28" s="7">
        <f>IF($C28="","",SUMIFS('Q2 Data'!$L$4:$L$207,'Q2 Data'!$B$4:$B$207,$S28)+SUMIFS('Q2 Data'!$O$4:$O$207,'Q2 Data'!$B$4:$B$207,$S28)+SUMIFS('Q2 Data'!$M$4:$M$207,'Q2 Data'!$B$4:$B$207,$S28))</f>
      </c>
      <c r="V28" s="7">
        <f>IF($C28="","",SUMIFS('Q3 Data'!$L$4:$L$207,'Q3 Data'!$B$4:$B$207,$S28)+SUMIFS('Q3 Data'!$O$4:$O$207,'Q3 Data'!$B$4:$B$207,$S28)+SUMIFS('Q3 Data'!$M$4:$M$207,'Q3 Data'!$B$4:$B$207,$S28))</f>
      </c>
      <c r="W28" s="7">
        <f>IF($C28="","",SUMIFS('Q4 Data'!$L$4:$L$207,'Q4 Data'!$B$4:$B$207,$S28)+SUMIFS('Q4 Data'!$O$4:$O$207,'Q4 Data'!$B$4:$B$207,$S28)+SUMIFS('Q4 Data'!$M$4:$M$207,'Q4 Data'!$B$4:$B$207,$S28))</f>
      </c>
      <c r="X28" s="7">
        <f>IF($C28="","",T28+U28+V28+W28)</f>
      </c>
      <c r="Y28" s="7">
        <f>IF($C28="","",M28-L28)</f>
      </c>
      <c r="Z28" s="7">
        <f>IF($C28="","",Y28-X28)</f>
      </c>
      <c r="AA28" s="7">
        <f>IF($C28="","",IF(ROUND(X28-Y28,2)&gt;0,"Over-applied",IF(ROUND(X28-Y28,2)=0,"Fully Utilised","Unconsumed")))</f>
      </c>
    </row>
    <row r="29" spans="1:27" x14ac:dyDescent="0.25">
      <c r="A29" s="7">
        <f>IF($C29="","",COUNTIF($C$4:$C29,"&lt;&gt;"))</f>
      </c>
      <c r="B29" s="8"/>
      <c r="C29" s="8"/>
      <c r="D29" s="8"/>
      <c r="E29" s="8"/>
      <c r="F29" s="8"/>
      <c r="G29" s="8"/>
      <c r="H29" s="8"/>
      <c r="I29" s="8"/>
      <c r="J29" s="8"/>
      <c r="K29" s="8"/>
      <c r="L29" s="8"/>
      <c r="M29" s="7">
        <f>IF($C29="","",G29+H29+I29+J29+K29+L29)</f>
      </c>
      <c r="N29" s="8"/>
      <c r="O29" s="8"/>
      <c r="P29" s="8"/>
      <c r="Q29" s="8"/>
      <c r="R29" s="8"/>
      <c r="S29" s="7">
        <f>IF($C29="","",C29&amp;" | BSR "&amp;B29&amp;" | "&amp;TEXT(D29,"dd-mm-yyyy")&amp;" | ₹"&amp;TEXT(M29,"#,##0"))</f>
      </c>
      <c r="T29" s="7">
        <f>IF($C29="","",SUMIFS('Q1 Data'!$L$4:$L$207,'Q1 Data'!$B$4:$B$207,$S29)+SUMIFS('Q1 Data'!$O$4:$O$207,'Q1 Data'!$B$4:$B$207,$S29)+SUMIFS('Q1 Data'!$M$4:$M$207,'Q1 Data'!$B$4:$B$207,$S29))</f>
      </c>
      <c r="U29" s="7">
        <f>IF($C29="","",SUMIFS('Q2 Data'!$L$4:$L$207,'Q2 Data'!$B$4:$B$207,$S29)+SUMIFS('Q2 Data'!$O$4:$O$207,'Q2 Data'!$B$4:$B$207,$S29)+SUMIFS('Q2 Data'!$M$4:$M$207,'Q2 Data'!$B$4:$B$207,$S29))</f>
      </c>
      <c r="V29" s="7">
        <f>IF($C29="","",SUMIFS('Q3 Data'!$L$4:$L$207,'Q3 Data'!$B$4:$B$207,$S29)+SUMIFS('Q3 Data'!$O$4:$O$207,'Q3 Data'!$B$4:$B$207,$S29)+SUMIFS('Q3 Data'!$M$4:$M$207,'Q3 Data'!$B$4:$B$207,$S29))</f>
      </c>
      <c r="W29" s="7">
        <f>IF($C29="","",SUMIFS('Q4 Data'!$L$4:$L$207,'Q4 Data'!$B$4:$B$207,$S29)+SUMIFS('Q4 Data'!$O$4:$O$207,'Q4 Data'!$B$4:$B$207,$S29)+SUMIFS('Q4 Data'!$M$4:$M$207,'Q4 Data'!$B$4:$B$207,$S29))</f>
      </c>
      <c r="X29" s="7">
        <f>IF($C29="","",T29+U29+V29+W29)</f>
      </c>
      <c r="Y29" s="7">
        <f>IF($C29="","",M29-L29)</f>
      </c>
      <c r="Z29" s="7">
        <f>IF($C29="","",Y29-X29)</f>
      </c>
      <c r="AA29" s="7">
        <f>IF($C29="","",IF(ROUND(X29-Y29,2)&gt;0,"Over-applied",IF(ROUND(X29-Y29,2)=0,"Fully Utilised","Unconsumed")))</f>
      </c>
    </row>
    <row r="30" spans="1:27" x14ac:dyDescent="0.25">
      <c r="A30" s="7">
        <f>IF($C30="","",COUNTIF($C$4:$C30,"&lt;&gt;"))</f>
      </c>
      <c r="B30" s="8"/>
      <c r="C30" s="8"/>
      <c r="D30" s="8"/>
      <c r="E30" s="8"/>
      <c r="F30" s="8"/>
      <c r="G30" s="8"/>
      <c r="H30" s="8"/>
      <c r="I30" s="8"/>
      <c r="J30" s="8"/>
      <c r="K30" s="8"/>
      <c r="L30" s="8"/>
      <c r="M30" s="7">
        <f>IF($C30="","",G30+H30+I30+J30+K30+L30)</f>
      </c>
      <c r="N30" s="8"/>
      <c r="O30" s="8"/>
      <c r="P30" s="8"/>
      <c r="Q30" s="8"/>
      <c r="R30" s="8"/>
      <c r="S30" s="7">
        <f>IF($C30="","",C30&amp;" | BSR "&amp;B30&amp;" | "&amp;TEXT(D30,"dd-mm-yyyy")&amp;" | ₹"&amp;TEXT(M30,"#,##0"))</f>
      </c>
      <c r="T30" s="7">
        <f>IF($C30="","",SUMIFS('Q1 Data'!$L$4:$L$207,'Q1 Data'!$B$4:$B$207,$S30)+SUMIFS('Q1 Data'!$O$4:$O$207,'Q1 Data'!$B$4:$B$207,$S30)+SUMIFS('Q1 Data'!$M$4:$M$207,'Q1 Data'!$B$4:$B$207,$S30))</f>
      </c>
      <c r="U30" s="7">
        <f>IF($C30="","",SUMIFS('Q2 Data'!$L$4:$L$207,'Q2 Data'!$B$4:$B$207,$S30)+SUMIFS('Q2 Data'!$O$4:$O$207,'Q2 Data'!$B$4:$B$207,$S30)+SUMIFS('Q2 Data'!$M$4:$M$207,'Q2 Data'!$B$4:$B$207,$S30))</f>
      </c>
      <c r="V30" s="7">
        <f>IF($C30="","",SUMIFS('Q3 Data'!$L$4:$L$207,'Q3 Data'!$B$4:$B$207,$S30)+SUMIFS('Q3 Data'!$O$4:$O$207,'Q3 Data'!$B$4:$B$207,$S30)+SUMIFS('Q3 Data'!$M$4:$M$207,'Q3 Data'!$B$4:$B$207,$S30))</f>
      </c>
      <c r="W30" s="7">
        <f>IF($C30="","",SUMIFS('Q4 Data'!$L$4:$L$207,'Q4 Data'!$B$4:$B$207,$S30)+SUMIFS('Q4 Data'!$O$4:$O$207,'Q4 Data'!$B$4:$B$207,$S30)+SUMIFS('Q4 Data'!$M$4:$M$207,'Q4 Data'!$B$4:$B$207,$S30))</f>
      </c>
      <c r="X30" s="7">
        <f>IF($C30="","",T30+U30+V30+W30)</f>
      </c>
      <c r="Y30" s="7">
        <f>IF($C30="","",M30-L30)</f>
      </c>
      <c r="Z30" s="7">
        <f>IF($C30="","",Y30-X30)</f>
      </c>
      <c r="AA30" s="7">
        <f>IF($C30="","",IF(ROUND(X30-Y30,2)&gt;0,"Over-applied",IF(ROUND(X30-Y30,2)=0,"Fully Utilised","Unconsumed")))</f>
      </c>
    </row>
    <row r="31" spans="1:27" x14ac:dyDescent="0.25">
      <c r="A31" s="7">
        <f>IF($C31="","",COUNTIF($C$4:$C31,"&lt;&gt;"))</f>
      </c>
      <c r="B31" s="8"/>
      <c r="C31" s="8"/>
      <c r="D31" s="8"/>
      <c r="E31" s="8"/>
      <c r="F31" s="8"/>
      <c r="G31" s="8"/>
      <c r="H31" s="8"/>
      <c r="I31" s="8"/>
      <c r="J31" s="8"/>
      <c r="K31" s="8"/>
      <c r="L31" s="8"/>
      <c r="M31" s="7">
        <f>IF($C31="","",G31+H31+I31+J31+K31+L31)</f>
      </c>
      <c r="N31" s="8"/>
      <c r="O31" s="8"/>
      <c r="P31" s="8"/>
      <c r="Q31" s="8"/>
      <c r="R31" s="8"/>
      <c r="S31" s="7">
        <f>IF($C31="","",C31&amp;" | BSR "&amp;B31&amp;" | "&amp;TEXT(D31,"dd-mm-yyyy")&amp;" | ₹"&amp;TEXT(M31,"#,##0"))</f>
      </c>
      <c r="T31" s="7">
        <f>IF($C31="","",SUMIFS('Q1 Data'!$L$4:$L$207,'Q1 Data'!$B$4:$B$207,$S31)+SUMIFS('Q1 Data'!$O$4:$O$207,'Q1 Data'!$B$4:$B$207,$S31)+SUMIFS('Q1 Data'!$M$4:$M$207,'Q1 Data'!$B$4:$B$207,$S31))</f>
      </c>
      <c r="U31" s="7">
        <f>IF($C31="","",SUMIFS('Q2 Data'!$L$4:$L$207,'Q2 Data'!$B$4:$B$207,$S31)+SUMIFS('Q2 Data'!$O$4:$O$207,'Q2 Data'!$B$4:$B$207,$S31)+SUMIFS('Q2 Data'!$M$4:$M$207,'Q2 Data'!$B$4:$B$207,$S31))</f>
      </c>
      <c r="V31" s="7">
        <f>IF($C31="","",SUMIFS('Q3 Data'!$L$4:$L$207,'Q3 Data'!$B$4:$B$207,$S31)+SUMIFS('Q3 Data'!$O$4:$O$207,'Q3 Data'!$B$4:$B$207,$S31)+SUMIFS('Q3 Data'!$M$4:$M$207,'Q3 Data'!$B$4:$B$207,$S31))</f>
      </c>
      <c r="W31" s="7">
        <f>IF($C31="","",SUMIFS('Q4 Data'!$L$4:$L$207,'Q4 Data'!$B$4:$B$207,$S31)+SUMIFS('Q4 Data'!$O$4:$O$207,'Q4 Data'!$B$4:$B$207,$S31)+SUMIFS('Q4 Data'!$M$4:$M$207,'Q4 Data'!$B$4:$B$207,$S31))</f>
      </c>
      <c r="X31" s="7">
        <f>IF($C31="","",T31+U31+V31+W31)</f>
      </c>
      <c r="Y31" s="7">
        <f>IF($C31="","",M31-L31)</f>
      </c>
      <c r="Z31" s="7">
        <f>IF($C31="","",Y31-X31)</f>
      </c>
      <c r="AA31" s="7">
        <f>IF($C31="","",IF(ROUND(X31-Y31,2)&gt;0,"Over-applied",IF(ROUND(X31-Y31,2)=0,"Fully Utilised","Unconsumed")))</f>
      </c>
    </row>
    <row r="32" spans="1:27" x14ac:dyDescent="0.25">
      <c r="A32" s="7">
        <f>IF($C32="","",COUNTIF($C$4:$C32,"&lt;&gt;"))</f>
      </c>
      <c r="B32" s="8"/>
      <c r="C32" s="8"/>
      <c r="D32" s="8"/>
      <c r="E32" s="8"/>
      <c r="F32" s="8"/>
      <c r="G32" s="8"/>
      <c r="H32" s="8"/>
      <c r="I32" s="8"/>
      <c r="J32" s="8"/>
      <c r="K32" s="8"/>
      <c r="L32" s="8"/>
      <c r="M32" s="7">
        <f>IF($C32="","",G32+H32+I32+J32+K32+L32)</f>
      </c>
      <c r="N32" s="8"/>
      <c r="O32" s="8"/>
      <c r="P32" s="8"/>
      <c r="Q32" s="8"/>
      <c r="R32" s="8"/>
      <c r="S32" s="7">
        <f>IF($C32="","",C32&amp;" | BSR "&amp;B32&amp;" | "&amp;TEXT(D32,"dd-mm-yyyy")&amp;" | ₹"&amp;TEXT(M32,"#,##0"))</f>
      </c>
      <c r="T32" s="7">
        <f>IF($C32="","",SUMIFS('Q1 Data'!$L$4:$L$207,'Q1 Data'!$B$4:$B$207,$S32)+SUMIFS('Q1 Data'!$O$4:$O$207,'Q1 Data'!$B$4:$B$207,$S32)+SUMIFS('Q1 Data'!$M$4:$M$207,'Q1 Data'!$B$4:$B$207,$S32))</f>
      </c>
      <c r="U32" s="7">
        <f>IF($C32="","",SUMIFS('Q2 Data'!$L$4:$L$207,'Q2 Data'!$B$4:$B$207,$S32)+SUMIFS('Q2 Data'!$O$4:$O$207,'Q2 Data'!$B$4:$B$207,$S32)+SUMIFS('Q2 Data'!$M$4:$M$207,'Q2 Data'!$B$4:$B$207,$S32))</f>
      </c>
      <c r="V32" s="7">
        <f>IF($C32="","",SUMIFS('Q3 Data'!$L$4:$L$207,'Q3 Data'!$B$4:$B$207,$S32)+SUMIFS('Q3 Data'!$O$4:$O$207,'Q3 Data'!$B$4:$B$207,$S32)+SUMIFS('Q3 Data'!$M$4:$M$207,'Q3 Data'!$B$4:$B$207,$S32))</f>
      </c>
      <c r="W32" s="7">
        <f>IF($C32="","",SUMIFS('Q4 Data'!$L$4:$L$207,'Q4 Data'!$B$4:$B$207,$S32)+SUMIFS('Q4 Data'!$O$4:$O$207,'Q4 Data'!$B$4:$B$207,$S32)+SUMIFS('Q4 Data'!$M$4:$M$207,'Q4 Data'!$B$4:$B$207,$S32))</f>
      </c>
      <c r="X32" s="7">
        <f>IF($C32="","",T32+U32+V32+W32)</f>
      </c>
      <c r="Y32" s="7">
        <f>IF($C32="","",M32-L32)</f>
      </c>
      <c r="Z32" s="7">
        <f>IF($C32="","",Y32-X32)</f>
      </c>
      <c r="AA32" s="7">
        <f>IF($C32="","",IF(ROUND(X32-Y32,2)&gt;0,"Over-applied",IF(ROUND(X32-Y32,2)=0,"Fully Utilised","Unconsumed")))</f>
      </c>
    </row>
    <row r="33" spans="1:27" x14ac:dyDescent="0.25">
      <c r="A33" s="7">
        <f>IF($C33="","",COUNTIF($C$4:$C33,"&lt;&gt;"))</f>
      </c>
      <c r="B33" s="8"/>
      <c r="C33" s="8"/>
      <c r="D33" s="8"/>
      <c r="E33" s="8"/>
      <c r="F33" s="8"/>
      <c r="G33" s="8"/>
      <c r="H33" s="8"/>
      <c r="I33" s="8"/>
      <c r="J33" s="8"/>
      <c r="K33" s="8"/>
      <c r="L33" s="8"/>
      <c r="M33" s="7">
        <f>IF($C33="","",G33+H33+I33+J33+K33+L33)</f>
      </c>
      <c r="N33" s="8"/>
      <c r="O33" s="8"/>
      <c r="P33" s="8"/>
      <c r="Q33" s="8"/>
      <c r="R33" s="8"/>
      <c r="S33" s="7">
        <f>IF($C33="","",C33&amp;" | BSR "&amp;B33&amp;" | "&amp;TEXT(D33,"dd-mm-yyyy")&amp;" | ₹"&amp;TEXT(M33,"#,##0"))</f>
      </c>
      <c r="T33" s="7">
        <f>IF($C33="","",SUMIFS('Q1 Data'!$L$4:$L$207,'Q1 Data'!$B$4:$B$207,$S33)+SUMIFS('Q1 Data'!$O$4:$O$207,'Q1 Data'!$B$4:$B$207,$S33)+SUMIFS('Q1 Data'!$M$4:$M$207,'Q1 Data'!$B$4:$B$207,$S33))</f>
      </c>
      <c r="U33" s="7">
        <f>IF($C33="","",SUMIFS('Q2 Data'!$L$4:$L$207,'Q2 Data'!$B$4:$B$207,$S33)+SUMIFS('Q2 Data'!$O$4:$O$207,'Q2 Data'!$B$4:$B$207,$S33)+SUMIFS('Q2 Data'!$M$4:$M$207,'Q2 Data'!$B$4:$B$207,$S33))</f>
      </c>
      <c r="V33" s="7">
        <f>IF($C33="","",SUMIFS('Q3 Data'!$L$4:$L$207,'Q3 Data'!$B$4:$B$207,$S33)+SUMIFS('Q3 Data'!$O$4:$O$207,'Q3 Data'!$B$4:$B$207,$S33)+SUMIFS('Q3 Data'!$M$4:$M$207,'Q3 Data'!$B$4:$B$207,$S33))</f>
      </c>
      <c r="W33" s="7">
        <f>IF($C33="","",SUMIFS('Q4 Data'!$L$4:$L$207,'Q4 Data'!$B$4:$B$207,$S33)+SUMIFS('Q4 Data'!$O$4:$O$207,'Q4 Data'!$B$4:$B$207,$S33)+SUMIFS('Q4 Data'!$M$4:$M$207,'Q4 Data'!$B$4:$B$207,$S33))</f>
      </c>
      <c r="X33" s="7">
        <f>IF($C33="","",T33+U33+V33+W33)</f>
      </c>
      <c r="Y33" s="7">
        <f>IF($C33="","",M33-L33)</f>
      </c>
      <c r="Z33" s="7">
        <f>IF($C33="","",Y33-X33)</f>
      </c>
      <c r="AA33" s="7">
        <f>IF($C33="","",IF(ROUND(X33-Y33,2)&gt;0,"Over-applied",IF(ROUND(X33-Y33,2)=0,"Fully Utilised","Unconsumed")))</f>
      </c>
    </row>
    <row r="34" spans="1:27" x14ac:dyDescent="0.25">
      <c r="A34" s="7">
        <f>IF($C34="","",COUNTIF($C$4:$C34,"&lt;&gt;"))</f>
      </c>
      <c r="B34" s="8"/>
      <c r="C34" s="8"/>
      <c r="D34" s="8"/>
      <c r="E34" s="8"/>
      <c r="F34" s="8"/>
      <c r="G34" s="8"/>
      <c r="H34" s="8"/>
      <c r="I34" s="8"/>
      <c r="J34" s="8"/>
      <c r="K34" s="8"/>
      <c r="L34" s="8"/>
      <c r="M34" s="7">
        <f>IF($C34="","",G34+H34+I34+J34+K34+L34)</f>
      </c>
      <c r="N34" s="8"/>
      <c r="O34" s="8"/>
      <c r="P34" s="8"/>
      <c r="Q34" s="8"/>
      <c r="R34" s="8"/>
      <c r="S34" s="7">
        <f>IF($C34="","",C34&amp;" | BSR "&amp;B34&amp;" | "&amp;TEXT(D34,"dd-mm-yyyy")&amp;" | ₹"&amp;TEXT(M34,"#,##0"))</f>
      </c>
      <c r="T34" s="7">
        <f>IF($C34="","",SUMIFS('Q1 Data'!$L$4:$L$207,'Q1 Data'!$B$4:$B$207,$S34)+SUMIFS('Q1 Data'!$O$4:$O$207,'Q1 Data'!$B$4:$B$207,$S34)+SUMIFS('Q1 Data'!$M$4:$M$207,'Q1 Data'!$B$4:$B$207,$S34))</f>
      </c>
      <c r="U34" s="7">
        <f>IF($C34="","",SUMIFS('Q2 Data'!$L$4:$L$207,'Q2 Data'!$B$4:$B$207,$S34)+SUMIFS('Q2 Data'!$O$4:$O$207,'Q2 Data'!$B$4:$B$207,$S34)+SUMIFS('Q2 Data'!$M$4:$M$207,'Q2 Data'!$B$4:$B$207,$S34))</f>
      </c>
      <c r="V34" s="7">
        <f>IF($C34="","",SUMIFS('Q3 Data'!$L$4:$L$207,'Q3 Data'!$B$4:$B$207,$S34)+SUMIFS('Q3 Data'!$O$4:$O$207,'Q3 Data'!$B$4:$B$207,$S34)+SUMIFS('Q3 Data'!$M$4:$M$207,'Q3 Data'!$B$4:$B$207,$S34))</f>
      </c>
      <c r="W34" s="7">
        <f>IF($C34="","",SUMIFS('Q4 Data'!$L$4:$L$207,'Q4 Data'!$B$4:$B$207,$S34)+SUMIFS('Q4 Data'!$O$4:$O$207,'Q4 Data'!$B$4:$B$207,$S34)+SUMIFS('Q4 Data'!$M$4:$M$207,'Q4 Data'!$B$4:$B$207,$S34))</f>
      </c>
      <c r="X34" s="7">
        <f>IF($C34="","",T34+U34+V34+W34)</f>
      </c>
      <c r="Y34" s="7">
        <f>IF($C34="","",M34-L34)</f>
      </c>
      <c r="Z34" s="7">
        <f>IF($C34="","",Y34-X34)</f>
      </c>
      <c r="AA34" s="7">
        <f>IF($C34="","",IF(ROUND(X34-Y34,2)&gt;0,"Over-applied",IF(ROUND(X34-Y34,2)=0,"Fully Utilised","Unconsumed")))</f>
      </c>
    </row>
    <row r="35" spans="1:27" x14ac:dyDescent="0.25">
      <c r="A35" s="7">
        <f>IF($C35="","",COUNTIF($C$4:$C35,"&lt;&gt;"))</f>
      </c>
      <c r="B35" s="8"/>
      <c r="C35" s="8"/>
      <c r="D35" s="8"/>
      <c r="E35" s="8"/>
      <c r="F35" s="8"/>
      <c r="G35" s="8"/>
      <c r="H35" s="8"/>
      <c r="I35" s="8"/>
      <c r="J35" s="8"/>
      <c r="K35" s="8"/>
      <c r="L35" s="8"/>
      <c r="M35" s="7">
        <f>IF($C35="","",G35+H35+I35+J35+K35+L35)</f>
      </c>
      <c r="N35" s="8"/>
      <c r="O35" s="8"/>
      <c r="P35" s="8"/>
      <c r="Q35" s="8"/>
      <c r="R35" s="8"/>
      <c r="S35" s="7">
        <f>IF($C35="","",C35&amp;" | BSR "&amp;B35&amp;" | "&amp;TEXT(D35,"dd-mm-yyyy")&amp;" | ₹"&amp;TEXT(M35,"#,##0"))</f>
      </c>
      <c r="T35" s="7">
        <f>IF($C35="","",SUMIFS('Q1 Data'!$L$4:$L$207,'Q1 Data'!$B$4:$B$207,$S35)+SUMIFS('Q1 Data'!$O$4:$O$207,'Q1 Data'!$B$4:$B$207,$S35)+SUMIFS('Q1 Data'!$M$4:$M$207,'Q1 Data'!$B$4:$B$207,$S35))</f>
      </c>
      <c r="U35" s="7">
        <f>IF($C35="","",SUMIFS('Q2 Data'!$L$4:$L$207,'Q2 Data'!$B$4:$B$207,$S35)+SUMIFS('Q2 Data'!$O$4:$O$207,'Q2 Data'!$B$4:$B$207,$S35)+SUMIFS('Q2 Data'!$M$4:$M$207,'Q2 Data'!$B$4:$B$207,$S35))</f>
      </c>
      <c r="V35" s="7">
        <f>IF($C35="","",SUMIFS('Q3 Data'!$L$4:$L$207,'Q3 Data'!$B$4:$B$207,$S35)+SUMIFS('Q3 Data'!$O$4:$O$207,'Q3 Data'!$B$4:$B$207,$S35)+SUMIFS('Q3 Data'!$M$4:$M$207,'Q3 Data'!$B$4:$B$207,$S35))</f>
      </c>
      <c r="W35" s="7">
        <f>IF($C35="","",SUMIFS('Q4 Data'!$L$4:$L$207,'Q4 Data'!$B$4:$B$207,$S35)+SUMIFS('Q4 Data'!$O$4:$O$207,'Q4 Data'!$B$4:$B$207,$S35)+SUMIFS('Q4 Data'!$M$4:$M$207,'Q4 Data'!$B$4:$B$207,$S35))</f>
      </c>
      <c r="X35" s="7">
        <f>IF($C35="","",T35+U35+V35+W35)</f>
      </c>
      <c r="Y35" s="7">
        <f>IF($C35="","",M35-L35)</f>
      </c>
      <c r="Z35" s="7">
        <f>IF($C35="","",Y35-X35)</f>
      </c>
      <c r="AA35" s="7">
        <f>IF($C35="","",IF(ROUND(X35-Y35,2)&gt;0,"Over-applied",IF(ROUND(X35-Y35,2)=0,"Fully Utilised","Unconsumed")))</f>
      </c>
    </row>
    <row r="36" spans="1:27" x14ac:dyDescent="0.25">
      <c r="A36" s="7">
        <f>IF($C36="","",COUNTIF($C$4:$C36,"&lt;&gt;"))</f>
      </c>
      <c r="B36" s="8"/>
      <c r="C36" s="8"/>
      <c r="D36" s="8"/>
      <c r="E36" s="8"/>
      <c r="F36" s="8"/>
      <c r="G36" s="8"/>
      <c r="H36" s="8"/>
      <c r="I36" s="8"/>
      <c r="J36" s="8"/>
      <c r="K36" s="8"/>
      <c r="L36" s="8"/>
      <c r="M36" s="7">
        <f>IF($C36="","",G36+H36+I36+J36+K36+L36)</f>
      </c>
      <c r="N36" s="8"/>
      <c r="O36" s="8"/>
      <c r="P36" s="8"/>
      <c r="Q36" s="8"/>
      <c r="R36" s="8"/>
      <c r="S36" s="7">
        <f>IF($C36="","",C36&amp;" | BSR "&amp;B36&amp;" | "&amp;TEXT(D36,"dd-mm-yyyy")&amp;" | ₹"&amp;TEXT(M36,"#,##0"))</f>
      </c>
      <c r="T36" s="7">
        <f>IF($C36="","",SUMIFS('Q1 Data'!$L$4:$L$207,'Q1 Data'!$B$4:$B$207,$S36)+SUMIFS('Q1 Data'!$O$4:$O$207,'Q1 Data'!$B$4:$B$207,$S36)+SUMIFS('Q1 Data'!$M$4:$M$207,'Q1 Data'!$B$4:$B$207,$S36))</f>
      </c>
      <c r="U36" s="7">
        <f>IF($C36="","",SUMIFS('Q2 Data'!$L$4:$L$207,'Q2 Data'!$B$4:$B$207,$S36)+SUMIFS('Q2 Data'!$O$4:$O$207,'Q2 Data'!$B$4:$B$207,$S36)+SUMIFS('Q2 Data'!$M$4:$M$207,'Q2 Data'!$B$4:$B$207,$S36))</f>
      </c>
      <c r="V36" s="7">
        <f>IF($C36="","",SUMIFS('Q3 Data'!$L$4:$L$207,'Q3 Data'!$B$4:$B$207,$S36)+SUMIFS('Q3 Data'!$O$4:$O$207,'Q3 Data'!$B$4:$B$207,$S36)+SUMIFS('Q3 Data'!$M$4:$M$207,'Q3 Data'!$B$4:$B$207,$S36))</f>
      </c>
      <c r="W36" s="7">
        <f>IF($C36="","",SUMIFS('Q4 Data'!$L$4:$L$207,'Q4 Data'!$B$4:$B$207,$S36)+SUMIFS('Q4 Data'!$O$4:$O$207,'Q4 Data'!$B$4:$B$207,$S36)+SUMIFS('Q4 Data'!$M$4:$M$207,'Q4 Data'!$B$4:$B$207,$S36))</f>
      </c>
      <c r="X36" s="7">
        <f>IF($C36="","",T36+U36+V36+W36)</f>
      </c>
      <c r="Y36" s="7">
        <f>IF($C36="","",M36-L36)</f>
      </c>
      <c r="Z36" s="7">
        <f>IF($C36="","",Y36-X36)</f>
      </c>
      <c r="AA36" s="7">
        <f>IF($C36="","",IF(ROUND(X36-Y36,2)&gt;0,"Over-applied",IF(ROUND(X36-Y36,2)=0,"Fully Utilised","Unconsumed")))</f>
      </c>
    </row>
    <row r="37" spans="1:27" x14ac:dyDescent="0.25">
      <c r="A37" s="7">
        <f>IF($C37="","",COUNTIF($C$4:$C37,"&lt;&gt;"))</f>
      </c>
      <c r="B37" s="8"/>
      <c r="C37" s="8"/>
      <c r="D37" s="8"/>
      <c r="E37" s="8"/>
      <c r="F37" s="8"/>
      <c r="G37" s="8"/>
      <c r="H37" s="8"/>
      <c r="I37" s="8"/>
      <c r="J37" s="8"/>
      <c r="K37" s="8"/>
      <c r="L37" s="8"/>
      <c r="M37" s="7">
        <f>IF($C37="","",G37+H37+I37+J37+K37+L37)</f>
      </c>
      <c r="N37" s="8"/>
      <c r="O37" s="8"/>
      <c r="P37" s="8"/>
      <c r="Q37" s="8"/>
      <c r="R37" s="8"/>
      <c r="S37" s="7">
        <f>IF($C37="","",C37&amp;" | BSR "&amp;B37&amp;" | "&amp;TEXT(D37,"dd-mm-yyyy")&amp;" | ₹"&amp;TEXT(M37,"#,##0"))</f>
      </c>
      <c r="T37" s="7">
        <f>IF($C37="","",SUMIFS('Q1 Data'!$L$4:$L$207,'Q1 Data'!$B$4:$B$207,$S37)+SUMIFS('Q1 Data'!$O$4:$O$207,'Q1 Data'!$B$4:$B$207,$S37)+SUMIFS('Q1 Data'!$M$4:$M$207,'Q1 Data'!$B$4:$B$207,$S37))</f>
      </c>
      <c r="U37" s="7">
        <f>IF($C37="","",SUMIFS('Q2 Data'!$L$4:$L$207,'Q2 Data'!$B$4:$B$207,$S37)+SUMIFS('Q2 Data'!$O$4:$O$207,'Q2 Data'!$B$4:$B$207,$S37)+SUMIFS('Q2 Data'!$M$4:$M$207,'Q2 Data'!$B$4:$B$207,$S37))</f>
      </c>
      <c r="V37" s="7">
        <f>IF($C37="","",SUMIFS('Q3 Data'!$L$4:$L$207,'Q3 Data'!$B$4:$B$207,$S37)+SUMIFS('Q3 Data'!$O$4:$O$207,'Q3 Data'!$B$4:$B$207,$S37)+SUMIFS('Q3 Data'!$M$4:$M$207,'Q3 Data'!$B$4:$B$207,$S37))</f>
      </c>
      <c r="W37" s="7">
        <f>IF($C37="","",SUMIFS('Q4 Data'!$L$4:$L$207,'Q4 Data'!$B$4:$B$207,$S37)+SUMIFS('Q4 Data'!$O$4:$O$207,'Q4 Data'!$B$4:$B$207,$S37)+SUMIFS('Q4 Data'!$M$4:$M$207,'Q4 Data'!$B$4:$B$207,$S37))</f>
      </c>
      <c r="X37" s="7">
        <f>IF($C37="","",T37+U37+V37+W37)</f>
      </c>
      <c r="Y37" s="7">
        <f>IF($C37="","",M37-L37)</f>
      </c>
      <c r="Z37" s="7">
        <f>IF($C37="","",Y37-X37)</f>
      </c>
      <c r="AA37" s="7">
        <f>IF($C37="","",IF(ROUND(X37-Y37,2)&gt;0,"Over-applied",IF(ROUND(X37-Y37,2)=0,"Fully Utilised","Unconsumed")))</f>
      </c>
    </row>
    <row r="38" spans="1:27" x14ac:dyDescent="0.25">
      <c r="A38" s="7">
        <f>IF($C38="","",COUNTIF($C$4:$C38,"&lt;&gt;"))</f>
      </c>
      <c r="B38" s="8"/>
      <c r="C38" s="8"/>
      <c r="D38" s="8"/>
      <c r="E38" s="8"/>
      <c r="F38" s="8"/>
      <c r="G38" s="8"/>
      <c r="H38" s="8"/>
      <c r="I38" s="8"/>
      <c r="J38" s="8"/>
      <c r="K38" s="8"/>
      <c r="L38" s="8"/>
      <c r="M38" s="7">
        <f>IF($C38="","",G38+H38+I38+J38+K38+L38)</f>
      </c>
      <c r="N38" s="8"/>
      <c r="O38" s="8"/>
      <c r="P38" s="8"/>
      <c r="Q38" s="8"/>
      <c r="R38" s="8"/>
      <c r="S38" s="7">
        <f>IF($C38="","",C38&amp;" | BSR "&amp;B38&amp;" | "&amp;TEXT(D38,"dd-mm-yyyy")&amp;" | ₹"&amp;TEXT(M38,"#,##0"))</f>
      </c>
      <c r="T38" s="7">
        <f>IF($C38="","",SUMIFS('Q1 Data'!$L$4:$L$207,'Q1 Data'!$B$4:$B$207,$S38)+SUMIFS('Q1 Data'!$O$4:$O$207,'Q1 Data'!$B$4:$B$207,$S38)+SUMIFS('Q1 Data'!$M$4:$M$207,'Q1 Data'!$B$4:$B$207,$S38))</f>
      </c>
      <c r="U38" s="7">
        <f>IF($C38="","",SUMIFS('Q2 Data'!$L$4:$L$207,'Q2 Data'!$B$4:$B$207,$S38)+SUMIFS('Q2 Data'!$O$4:$O$207,'Q2 Data'!$B$4:$B$207,$S38)+SUMIFS('Q2 Data'!$M$4:$M$207,'Q2 Data'!$B$4:$B$207,$S38))</f>
      </c>
      <c r="V38" s="7">
        <f>IF($C38="","",SUMIFS('Q3 Data'!$L$4:$L$207,'Q3 Data'!$B$4:$B$207,$S38)+SUMIFS('Q3 Data'!$O$4:$O$207,'Q3 Data'!$B$4:$B$207,$S38)+SUMIFS('Q3 Data'!$M$4:$M$207,'Q3 Data'!$B$4:$B$207,$S38))</f>
      </c>
      <c r="W38" s="7">
        <f>IF($C38="","",SUMIFS('Q4 Data'!$L$4:$L$207,'Q4 Data'!$B$4:$B$207,$S38)+SUMIFS('Q4 Data'!$O$4:$O$207,'Q4 Data'!$B$4:$B$207,$S38)+SUMIFS('Q4 Data'!$M$4:$M$207,'Q4 Data'!$B$4:$B$207,$S38))</f>
      </c>
      <c r="X38" s="7">
        <f>IF($C38="","",T38+U38+V38+W38)</f>
      </c>
      <c r="Y38" s="7">
        <f>IF($C38="","",M38-L38)</f>
      </c>
      <c r="Z38" s="7">
        <f>IF($C38="","",Y38-X38)</f>
      </c>
      <c r="AA38" s="7">
        <f>IF($C38="","",IF(ROUND(X38-Y38,2)&gt;0,"Over-applied",IF(ROUND(X38-Y38,2)=0,"Fully Utilised","Unconsumed")))</f>
      </c>
    </row>
    <row r="39" spans="1:27" x14ac:dyDescent="0.25">
      <c r="A39" s="7">
        <f>IF($C39="","",COUNTIF($C$4:$C39,"&lt;&gt;"))</f>
      </c>
      <c r="B39" s="8"/>
      <c r="C39" s="8"/>
      <c r="D39" s="8"/>
      <c r="E39" s="8"/>
      <c r="F39" s="8"/>
      <c r="G39" s="8"/>
      <c r="H39" s="8"/>
      <c r="I39" s="8"/>
      <c r="J39" s="8"/>
      <c r="K39" s="8"/>
      <c r="L39" s="8"/>
      <c r="M39" s="7">
        <f>IF($C39="","",G39+H39+I39+J39+K39+L39)</f>
      </c>
      <c r="N39" s="8"/>
      <c r="O39" s="8"/>
      <c r="P39" s="8"/>
      <c r="Q39" s="8"/>
      <c r="R39" s="8"/>
      <c r="S39" s="7">
        <f>IF($C39="","",C39&amp;" | BSR "&amp;B39&amp;" | "&amp;TEXT(D39,"dd-mm-yyyy")&amp;" | ₹"&amp;TEXT(M39,"#,##0"))</f>
      </c>
      <c r="T39" s="7">
        <f>IF($C39="","",SUMIFS('Q1 Data'!$L$4:$L$207,'Q1 Data'!$B$4:$B$207,$S39)+SUMIFS('Q1 Data'!$O$4:$O$207,'Q1 Data'!$B$4:$B$207,$S39)+SUMIFS('Q1 Data'!$M$4:$M$207,'Q1 Data'!$B$4:$B$207,$S39))</f>
      </c>
      <c r="U39" s="7">
        <f>IF($C39="","",SUMIFS('Q2 Data'!$L$4:$L$207,'Q2 Data'!$B$4:$B$207,$S39)+SUMIFS('Q2 Data'!$O$4:$O$207,'Q2 Data'!$B$4:$B$207,$S39)+SUMIFS('Q2 Data'!$M$4:$M$207,'Q2 Data'!$B$4:$B$207,$S39))</f>
      </c>
      <c r="V39" s="7">
        <f>IF($C39="","",SUMIFS('Q3 Data'!$L$4:$L$207,'Q3 Data'!$B$4:$B$207,$S39)+SUMIFS('Q3 Data'!$O$4:$O$207,'Q3 Data'!$B$4:$B$207,$S39)+SUMIFS('Q3 Data'!$M$4:$M$207,'Q3 Data'!$B$4:$B$207,$S39))</f>
      </c>
      <c r="W39" s="7">
        <f>IF($C39="","",SUMIFS('Q4 Data'!$L$4:$L$207,'Q4 Data'!$B$4:$B$207,$S39)+SUMIFS('Q4 Data'!$O$4:$O$207,'Q4 Data'!$B$4:$B$207,$S39)+SUMIFS('Q4 Data'!$M$4:$M$207,'Q4 Data'!$B$4:$B$207,$S39))</f>
      </c>
      <c r="X39" s="7">
        <f>IF($C39="","",T39+U39+V39+W39)</f>
      </c>
      <c r="Y39" s="7">
        <f>IF($C39="","",M39-L39)</f>
      </c>
      <c r="Z39" s="7">
        <f>IF($C39="","",Y39-X39)</f>
      </c>
      <c r="AA39" s="7">
        <f>IF($C39="","",IF(ROUND(X39-Y39,2)&gt;0,"Over-applied",IF(ROUND(X39-Y39,2)=0,"Fully Utilised","Unconsumed")))</f>
      </c>
    </row>
    <row r="40" spans="1:27" x14ac:dyDescent="0.25">
      <c r="A40" s="7">
        <f>IF($C40="","",COUNTIF($C$4:$C40,"&lt;&gt;"))</f>
      </c>
      <c r="B40" s="8"/>
      <c r="C40" s="8"/>
      <c r="D40" s="8"/>
      <c r="E40" s="8"/>
      <c r="F40" s="8"/>
      <c r="G40" s="8"/>
      <c r="H40" s="8"/>
      <c r="I40" s="8"/>
      <c r="J40" s="8"/>
      <c r="K40" s="8"/>
      <c r="L40" s="8"/>
      <c r="M40" s="7">
        <f>IF($C40="","",G40+H40+I40+J40+K40+L40)</f>
      </c>
      <c r="N40" s="8"/>
      <c r="O40" s="8"/>
      <c r="P40" s="8"/>
      <c r="Q40" s="8"/>
      <c r="R40" s="8"/>
      <c r="S40" s="7">
        <f>IF($C40="","",C40&amp;" | BSR "&amp;B40&amp;" | "&amp;TEXT(D40,"dd-mm-yyyy")&amp;" | ₹"&amp;TEXT(M40,"#,##0"))</f>
      </c>
      <c r="T40" s="7">
        <f>IF($C40="","",SUMIFS('Q1 Data'!$L$4:$L$207,'Q1 Data'!$B$4:$B$207,$S40)+SUMIFS('Q1 Data'!$O$4:$O$207,'Q1 Data'!$B$4:$B$207,$S40)+SUMIFS('Q1 Data'!$M$4:$M$207,'Q1 Data'!$B$4:$B$207,$S40))</f>
      </c>
      <c r="U40" s="7">
        <f>IF($C40="","",SUMIFS('Q2 Data'!$L$4:$L$207,'Q2 Data'!$B$4:$B$207,$S40)+SUMIFS('Q2 Data'!$O$4:$O$207,'Q2 Data'!$B$4:$B$207,$S40)+SUMIFS('Q2 Data'!$M$4:$M$207,'Q2 Data'!$B$4:$B$207,$S40))</f>
      </c>
      <c r="V40" s="7">
        <f>IF($C40="","",SUMIFS('Q3 Data'!$L$4:$L$207,'Q3 Data'!$B$4:$B$207,$S40)+SUMIFS('Q3 Data'!$O$4:$O$207,'Q3 Data'!$B$4:$B$207,$S40)+SUMIFS('Q3 Data'!$M$4:$M$207,'Q3 Data'!$B$4:$B$207,$S40))</f>
      </c>
      <c r="W40" s="7">
        <f>IF($C40="","",SUMIFS('Q4 Data'!$L$4:$L$207,'Q4 Data'!$B$4:$B$207,$S40)+SUMIFS('Q4 Data'!$O$4:$O$207,'Q4 Data'!$B$4:$B$207,$S40)+SUMIFS('Q4 Data'!$M$4:$M$207,'Q4 Data'!$B$4:$B$207,$S40))</f>
      </c>
      <c r="X40" s="7">
        <f>IF($C40="","",T40+U40+V40+W40)</f>
      </c>
      <c r="Y40" s="7">
        <f>IF($C40="","",M40-L40)</f>
      </c>
      <c r="Z40" s="7">
        <f>IF($C40="","",Y40-X40)</f>
      </c>
      <c r="AA40" s="7">
        <f>IF($C40="","",IF(ROUND(X40-Y40,2)&gt;0,"Over-applied",IF(ROUND(X40-Y40,2)=0,"Fully Utilised","Unconsumed")))</f>
      </c>
    </row>
    <row r="41" spans="1:27" x14ac:dyDescent="0.25">
      <c r="A41" s="7">
        <f>IF($C41="","",COUNTIF($C$4:$C41,"&lt;&gt;"))</f>
      </c>
      <c r="B41" s="8"/>
      <c r="C41" s="8"/>
      <c r="D41" s="8"/>
      <c r="E41" s="8"/>
      <c r="F41" s="8"/>
      <c r="G41" s="8"/>
      <c r="H41" s="8"/>
      <c r="I41" s="8"/>
      <c r="J41" s="8"/>
      <c r="K41" s="8"/>
      <c r="L41" s="8"/>
      <c r="M41" s="7">
        <f>IF($C41="","",G41+H41+I41+J41+K41+L41)</f>
      </c>
      <c r="N41" s="8"/>
      <c r="O41" s="8"/>
      <c r="P41" s="8"/>
      <c r="Q41" s="8"/>
      <c r="R41" s="8"/>
      <c r="S41" s="7">
        <f>IF($C41="","",C41&amp;" | BSR "&amp;B41&amp;" | "&amp;TEXT(D41,"dd-mm-yyyy")&amp;" | ₹"&amp;TEXT(M41,"#,##0"))</f>
      </c>
      <c r="T41" s="7">
        <f>IF($C41="","",SUMIFS('Q1 Data'!$L$4:$L$207,'Q1 Data'!$B$4:$B$207,$S41)+SUMIFS('Q1 Data'!$O$4:$O$207,'Q1 Data'!$B$4:$B$207,$S41)+SUMIFS('Q1 Data'!$M$4:$M$207,'Q1 Data'!$B$4:$B$207,$S41))</f>
      </c>
      <c r="U41" s="7">
        <f>IF($C41="","",SUMIFS('Q2 Data'!$L$4:$L$207,'Q2 Data'!$B$4:$B$207,$S41)+SUMIFS('Q2 Data'!$O$4:$O$207,'Q2 Data'!$B$4:$B$207,$S41)+SUMIFS('Q2 Data'!$M$4:$M$207,'Q2 Data'!$B$4:$B$207,$S41))</f>
      </c>
      <c r="V41" s="7">
        <f>IF($C41="","",SUMIFS('Q3 Data'!$L$4:$L$207,'Q3 Data'!$B$4:$B$207,$S41)+SUMIFS('Q3 Data'!$O$4:$O$207,'Q3 Data'!$B$4:$B$207,$S41)+SUMIFS('Q3 Data'!$M$4:$M$207,'Q3 Data'!$B$4:$B$207,$S41))</f>
      </c>
      <c r="W41" s="7">
        <f>IF($C41="","",SUMIFS('Q4 Data'!$L$4:$L$207,'Q4 Data'!$B$4:$B$207,$S41)+SUMIFS('Q4 Data'!$O$4:$O$207,'Q4 Data'!$B$4:$B$207,$S41)+SUMIFS('Q4 Data'!$M$4:$M$207,'Q4 Data'!$B$4:$B$207,$S41))</f>
      </c>
      <c r="X41" s="7">
        <f>IF($C41="","",T41+U41+V41+W41)</f>
      </c>
      <c r="Y41" s="7">
        <f>IF($C41="","",M41-L41)</f>
      </c>
      <c r="Z41" s="7">
        <f>IF($C41="","",Y41-X41)</f>
      </c>
      <c r="AA41" s="7">
        <f>IF($C41="","",IF(ROUND(X41-Y41,2)&gt;0,"Over-applied",IF(ROUND(X41-Y41,2)=0,"Fully Utilised","Unconsumed")))</f>
      </c>
    </row>
    <row r="42" spans="1:27" x14ac:dyDescent="0.25">
      <c r="A42" s="7">
        <f>IF($C42="","",COUNTIF($C$4:$C42,"&lt;&gt;"))</f>
      </c>
      <c r="B42" s="8"/>
      <c r="C42" s="8"/>
      <c r="D42" s="8"/>
      <c r="E42" s="8"/>
      <c r="F42" s="8"/>
      <c r="G42" s="8"/>
      <c r="H42" s="8"/>
      <c r="I42" s="8"/>
      <c r="J42" s="8"/>
      <c r="K42" s="8"/>
      <c r="L42" s="8"/>
      <c r="M42" s="7">
        <f>IF($C42="","",G42+H42+I42+J42+K42+L42)</f>
      </c>
      <c r="N42" s="8"/>
      <c r="O42" s="8"/>
      <c r="P42" s="8"/>
      <c r="Q42" s="8"/>
      <c r="R42" s="8"/>
      <c r="S42" s="7">
        <f>IF($C42="","",C42&amp;" | BSR "&amp;B42&amp;" | "&amp;TEXT(D42,"dd-mm-yyyy")&amp;" | ₹"&amp;TEXT(M42,"#,##0"))</f>
      </c>
      <c r="T42" s="7">
        <f>IF($C42="","",SUMIFS('Q1 Data'!$L$4:$L$207,'Q1 Data'!$B$4:$B$207,$S42)+SUMIFS('Q1 Data'!$O$4:$O$207,'Q1 Data'!$B$4:$B$207,$S42)+SUMIFS('Q1 Data'!$M$4:$M$207,'Q1 Data'!$B$4:$B$207,$S42))</f>
      </c>
      <c r="U42" s="7">
        <f>IF($C42="","",SUMIFS('Q2 Data'!$L$4:$L$207,'Q2 Data'!$B$4:$B$207,$S42)+SUMIFS('Q2 Data'!$O$4:$O$207,'Q2 Data'!$B$4:$B$207,$S42)+SUMIFS('Q2 Data'!$M$4:$M$207,'Q2 Data'!$B$4:$B$207,$S42))</f>
      </c>
      <c r="V42" s="7">
        <f>IF($C42="","",SUMIFS('Q3 Data'!$L$4:$L$207,'Q3 Data'!$B$4:$B$207,$S42)+SUMIFS('Q3 Data'!$O$4:$O$207,'Q3 Data'!$B$4:$B$207,$S42)+SUMIFS('Q3 Data'!$M$4:$M$207,'Q3 Data'!$B$4:$B$207,$S42))</f>
      </c>
      <c r="W42" s="7">
        <f>IF($C42="","",SUMIFS('Q4 Data'!$L$4:$L$207,'Q4 Data'!$B$4:$B$207,$S42)+SUMIFS('Q4 Data'!$O$4:$O$207,'Q4 Data'!$B$4:$B$207,$S42)+SUMIFS('Q4 Data'!$M$4:$M$207,'Q4 Data'!$B$4:$B$207,$S42))</f>
      </c>
      <c r="X42" s="7">
        <f>IF($C42="","",T42+U42+V42+W42)</f>
      </c>
      <c r="Y42" s="7">
        <f>IF($C42="","",M42-L42)</f>
      </c>
      <c r="Z42" s="7">
        <f>IF($C42="","",Y42-X42)</f>
      </c>
      <c r="AA42" s="7">
        <f>IF($C42="","",IF(ROUND(X42-Y42,2)&gt;0,"Over-applied",IF(ROUND(X42-Y42,2)=0,"Fully Utilised","Unconsumed")))</f>
      </c>
    </row>
    <row r="43" spans="1:27" x14ac:dyDescent="0.25">
      <c r="A43" s="7">
        <f>IF($C43="","",COUNTIF($C$4:$C43,"&lt;&gt;"))</f>
      </c>
      <c r="B43" s="8"/>
      <c r="C43" s="8"/>
      <c r="D43" s="8"/>
      <c r="E43" s="8"/>
      <c r="F43" s="8"/>
      <c r="G43" s="8"/>
      <c r="H43" s="8"/>
      <c r="I43" s="8"/>
      <c r="J43" s="8"/>
      <c r="K43" s="8"/>
      <c r="L43" s="8"/>
      <c r="M43" s="7">
        <f>IF($C43="","",G43+H43+I43+J43+K43+L43)</f>
      </c>
      <c r="N43" s="8"/>
      <c r="O43" s="8"/>
      <c r="P43" s="8"/>
      <c r="Q43" s="8"/>
      <c r="R43" s="8"/>
      <c r="S43" s="7">
        <f>IF($C43="","",C43&amp;" | BSR "&amp;B43&amp;" | "&amp;TEXT(D43,"dd-mm-yyyy")&amp;" | ₹"&amp;TEXT(M43,"#,##0"))</f>
      </c>
      <c r="T43" s="7">
        <f>IF($C43="","",SUMIFS('Q1 Data'!$L$4:$L$207,'Q1 Data'!$B$4:$B$207,$S43)+SUMIFS('Q1 Data'!$O$4:$O$207,'Q1 Data'!$B$4:$B$207,$S43)+SUMIFS('Q1 Data'!$M$4:$M$207,'Q1 Data'!$B$4:$B$207,$S43))</f>
      </c>
      <c r="U43" s="7">
        <f>IF($C43="","",SUMIFS('Q2 Data'!$L$4:$L$207,'Q2 Data'!$B$4:$B$207,$S43)+SUMIFS('Q2 Data'!$O$4:$O$207,'Q2 Data'!$B$4:$B$207,$S43)+SUMIFS('Q2 Data'!$M$4:$M$207,'Q2 Data'!$B$4:$B$207,$S43))</f>
      </c>
      <c r="V43" s="7">
        <f>IF($C43="","",SUMIFS('Q3 Data'!$L$4:$L$207,'Q3 Data'!$B$4:$B$207,$S43)+SUMIFS('Q3 Data'!$O$4:$O$207,'Q3 Data'!$B$4:$B$207,$S43)+SUMIFS('Q3 Data'!$M$4:$M$207,'Q3 Data'!$B$4:$B$207,$S43))</f>
      </c>
      <c r="W43" s="7">
        <f>IF($C43="","",SUMIFS('Q4 Data'!$L$4:$L$207,'Q4 Data'!$B$4:$B$207,$S43)+SUMIFS('Q4 Data'!$O$4:$O$207,'Q4 Data'!$B$4:$B$207,$S43)+SUMIFS('Q4 Data'!$M$4:$M$207,'Q4 Data'!$B$4:$B$207,$S43))</f>
      </c>
      <c r="X43" s="7">
        <f>IF($C43="","",T43+U43+V43+W43)</f>
      </c>
      <c r="Y43" s="7">
        <f>IF($C43="","",M43-L43)</f>
      </c>
      <c r="Z43" s="7">
        <f>IF($C43="","",Y43-X43)</f>
      </c>
      <c r="AA43" s="7">
        <f>IF($C43="","",IF(ROUND(X43-Y43,2)&gt;0,"Over-applied",IF(ROUND(X43-Y43,2)=0,"Fully Utilised","Unconsumed")))</f>
      </c>
    </row>
    <row r="44" spans="1:27" x14ac:dyDescent="0.25">
      <c r="A44" s="7">
        <f>IF($C44="","",COUNTIF($C$4:$C44,"&lt;&gt;"))</f>
      </c>
      <c r="B44" s="8"/>
      <c r="C44" s="8"/>
      <c r="D44" s="8"/>
      <c r="E44" s="8"/>
      <c r="F44" s="8"/>
      <c r="G44" s="8"/>
      <c r="H44" s="8"/>
      <c r="I44" s="8"/>
      <c r="J44" s="8"/>
      <c r="K44" s="8"/>
      <c r="L44" s="8"/>
      <c r="M44" s="7">
        <f>IF($C44="","",G44+H44+I44+J44+K44+L44)</f>
      </c>
      <c r="N44" s="8"/>
      <c r="O44" s="8"/>
      <c r="P44" s="8"/>
      <c r="Q44" s="8"/>
      <c r="R44" s="8"/>
      <c r="S44" s="7">
        <f>IF($C44="","",C44&amp;" | BSR "&amp;B44&amp;" | "&amp;TEXT(D44,"dd-mm-yyyy")&amp;" | ₹"&amp;TEXT(M44,"#,##0"))</f>
      </c>
      <c r="T44" s="7">
        <f>IF($C44="","",SUMIFS('Q1 Data'!$L$4:$L$207,'Q1 Data'!$B$4:$B$207,$S44)+SUMIFS('Q1 Data'!$O$4:$O$207,'Q1 Data'!$B$4:$B$207,$S44)+SUMIFS('Q1 Data'!$M$4:$M$207,'Q1 Data'!$B$4:$B$207,$S44))</f>
      </c>
      <c r="U44" s="7">
        <f>IF($C44="","",SUMIFS('Q2 Data'!$L$4:$L$207,'Q2 Data'!$B$4:$B$207,$S44)+SUMIFS('Q2 Data'!$O$4:$O$207,'Q2 Data'!$B$4:$B$207,$S44)+SUMIFS('Q2 Data'!$M$4:$M$207,'Q2 Data'!$B$4:$B$207,$S44))</f>
      </c>
      <c r="V44" s="7">
        <f>IF($C44="","",SUMIFS('Q3 Data'!$L$4:$L$207,'Q3 Data'!$B$4:$B$207,$S44)+SUMIFS('Q3 Data'!$O$4:$O$207,'Q3 Data'!$B$4:$B$207,$S44)+SUMIFS('Q3 Data'!$M$4:$M$207,'Q3 Data'!$B$4:$B$207,$S44))</f>
      </c>
      <c r="W44" s="7">
        <f>IF($C44="","",SUMIFS('Q4 Data'!$L$4:$L$207,'Q4 Data'!$B$4:$B$207,$S44)+SUMIFS('Q4 Data'!$O$4:$O$207,'Q4 Data'!$B$4:$B$207,$S44)+SUMIFS('Q4 Data'!$M$4:$M$207,'Q4 Data'!$B$4:$B$207,$S44))</f>
      </c>
      <c r="X44" s="7">
        <f>IF($C44="","",T44+U44+V44+W44)</f>
      </c>
      <c r="Y44" s="7">
        <f>IF($C44="","",M44-L44)</f>
      </c>
      <c r="Z44" s="7">
        <f>IF($C44="","",Y44-X44)</f>
      </c>
      <c r="AA44" s="7">
        <f>IF($C44="","",IF(ROUND(X44-Y44,2)&gt;0,"Over-applied",IF(ROUND(X44-Y44,2)=0,"Fully Utilised","Unconsumed")))</f>
      </c>
    </row>
    <row r="45" spans="1:27" x14ac:dyDescent="0.25">
      <c r="A45" s="7">
        <f>IF($C45="","",COUNTIF($C$4:$C45,"&lt;&gt;"))</f>
      </c>
      <c r="B45" s="8"/>
      <c r="C45" s="8"/>
      <c r="D45" s="8"/>
      <c r="E45" s="8"/>
      <c r="F45" s="8"/>
      <c r="G45" s="8"/>
      <c r="H45" s="8"/>
      <c r="I45" s="8"/>
      <c r="J45" s="8"/>
      <c r="K45" s="8"/>
      <c r="L45" s="8"/>
      <c r="M45" s="7">
        <f>IF($C45="","",G45+H45+I45+J45+K45+L45)</f>
      </c>
      <c r="N45" s="8"/>
      <c r="O45" s="8"/>
      <c r="P45" s="8"/>
      <c r="Q45" s="8"/>
      <c r="R45" s="8"/>
      <c r="S45" s="7">
        <f>IF($C45="","",C45&amp;" | BSR "&amp;B45&amp;" | "&amp;TEXT(D45,"dd-mm-yyyy")&amp;" | ₹"&amp;TEXT(M45,"#,##0"))</f>
      </c>
      <c r="T45" s="7">
        <f>IF($C45="","",SUMIFS('Q1 Data'!$L$4:$L$207,'Q1 Data'!$B$4:$B$207,$S45)+SUMIFS('Q1 Data'!$O$4:$O$207,'Q1 Data'!$B$4:$B$207,$S45)+SUMIFS('Q1 Data'!$M$4:$M$207,'Q1 Data'!$B$4:$B$207,$S45))</f>
      </c>
      <c r="U45" s="7">
        <f>IF($C45="","",SUMIFS('Q2 Data'!$L$4:$L$207,'Q2 Data'!$B$4:$B$207,$S45)+SUMIFS('Q2 Data'!$O$4:$O$207,'Q2 Data'!$B$4:$B$207,$S45)+SUMIFS('Q2 Data'!$M$4:$M$207,'Q2 Data'!$B$4:$B$207,$S45))</f>
      </c>
      <c r="V45" s="7">
        <f>IF($C45="","",SUMIFS('Q3 Data'!$L$4:$L$207,'Q3 Data'!$B$4:$B$207,$S45)+SUMIFS('Q3 Data'!$O$4:$O$207,'Q3 Data'!$B$4:$B$207,$S45)+SUMIFS('Q3 Data'!$M$4:$M$207,'Q3 Data'!$B$4:$B$207,$S45))</f>
      </c>
      <c r="W45" s="7">
        <f>IF($C45="","",SUMIFS('Q4 Data'!$L$4:$L$207,'Q4 Data'!$B$4:$B$207,$S45)+SUMIFS('Q4 Data'!$O$4:$O$207,'Q4 Data'!$B$4:$B$207,$S45)+SUMIFS('Q4 Data'!$M$4:$M$207,'Q4 Data'!$B$4:$B$207,$S45))</f>
      </c>
      <c r="X45" s="7">
        <f>IF($C45="","",T45+U45+V45+W45)</f>
      </c>
      <c r="Y45" s="7">
        <f>IF($C45="","",M45-L45)</f>
      </c>
      <c r="Z45" s="7">
        <f>IF($C45="","",Y45-X45)</f>
      </c>
      <c r="AA45" s="7">
        <f>IF($C45="","",IF(ROUND(X45-Y45,2)&gt;0,"Over-applied",IF(ROUND(X45-Y45,2)=0,"Fully Utilised","Unconsumed")))</f>
      </c>
    </row>
    <row r="46" spans="1:27" x14ac:dyDescent="0.25">
      <c r="A46" s="7">
        <f>IF($C46="","",COUNTIF($C$4:$C46,"&lt;&gt;"))</f>
      </c>
      <c r="B46" s="8"/>
      <c r="C46" s="8"/>
      <c r="D46" s="8"/>
      <c r="E46" s="8"/>
      <c r="F46" s="8"/>
      <c r="G46" s="8"/>
      <c r="H46" s="8"/>
      <c r="I46" s="8"/>
      <c r="J46" s="8"/>
      <c r="K46" s="8"/>
      <c r="L46" s="8"/>
      <c r="M46" s="7">
        <f>IF($C46="","",G46+H46+I46+J46+K46+L46)</f>
      </c>
      <c r="N46" s="8"/>
      <c r="O46" s="8"/>
      <c r="P46" s="8"/>
      <c r="Q46" s="8"/>
      <c r="R46" s="8"/>
      <c r="S46" s="7">
        <f>IF($C46="","",C46&amp;" | BSR "&amp;B46&amp;" | "&amp;TEXT(D46,"dd-mm-yyyy")&amp;" | ₹"&amp;TEXT(M46,"#,##0"))</f>
      </c>
      <c r="T46" s="7">
        <f>IF($C46="","",SUMIFS('Q1 Data'!$L$4:$L$207,'Q1 Data'!$B$4:$B$207,$S46)+SUMIFS('Q1 Data'!$O$4:$O$207,'Q1 Data'!$B$4:$B$207,$S46)+SUMIFS('Q1 Data'!$M$4:$M$207,'Q1 Data'!$B$4:$B$207,$S46))</f>
      </c>
      <c r="U46" s="7">
        <f>IF($C46="","",SUMIFS('Q2 Data'!$L$4:$L$207,'Q2 Data'!$B$4:$B$207,$S46)+SUMIFS('Q2 Data'!$O$4:$O$207,'Q2 Data'!$B$4:$B$207,$S46)+SUMIFS('Q2 Data'!$M$4:$M$207,'Q2 Data'!$B$4:$B$207,$S46))</f>
      </c>
      <c r="V46" s="7">
        <f>IF($C46="","",SUMIFS('Q3 Data'!$L$4:$L$207,'Q3 Data'!$B$4:$B$207,$S46)+SUMIFS('Q3 Data'!$O$4:$O$207,'Q3 Data'!$B$4:$B$207,$S46)+SUMIFS('Q3 Data'!$M$4:$M$207,'Q3 Data'!$B$4:$B$207,$S46))</f>
      </c>
      <c r="W46" s="7">
        <f>IF($C46="","",SUMIFS('Q4 Data'!$L$4:$L$207,'Q4 Data'!$B$4:$B$207,$S46)+SUMIFS('Q4 Data'!$O$4:$O$207,'Q4 Data'!$B$4:$B$207,$S46)+SUMIFS('Q4 Data'!$M$4:$M$207,'Q4 Data'!$B$4:$B$207,$S46))</f>
      </c>
      <c r="X46" s="7">
        <f>IF($C46="","",T46+U46+V46+W46)</f>
      </c>
      <c r="Y46" s="7">
        <f>IF($C46="","",M46-L46)</f>
      </c>
      <c r="Z46" s="7">
        <f>IF($C46="","",Y46-X46)</f>
      </c>
      <c r="AA46" s="7">
        <f>IF($C46="","",IF(ROUND(X46-Y46,2)&gt;0,"Over-applied",IF(ROUND(X46-Y46,2)=0,"Fully Utilised","Unconsumed")))</f>
      </c>
    </row>
    <row r="47" spans="1:27" x14ac:dyDescent="0.25">
      <c r="A47" s="7">
        <f>IF($C47="","",COUNTIF($C$4:$C47,"&lt;&gt;"))</f>
      </c>
      <c r="B47" s="8"/>
      <c r="C47" s="8"/>
      <c r="D47" s="8"/>
      <c r="E47" s="8"/>
      <c r="F47" s="8"/>
      <c r="G47" s="8"/>
      <c r="H47" s="8"/>
      <c r="I47" s="8"/>
      <c r="J47" s="8"/>
      <c r="K47" s="8"/>
      <c r="L47" s="8"/>
      <c r="M47" s="7">
        <f>IF($C47="","",G47+H47+I47+J47+K47+L47)</f>
      </c>
      <c r="N47" s="8"/>
      <c r="O47" s="8"/>
      <c r="P47" s="8"/>
      <c r="Q47" s="8"/>
      <c r="R47" s="8"/>
      <c r="S47" s="7">
        <f>IF($C47="","",C47&amp;" | BSR "&amp;B47&amp;" | "&amp;TEXT(D47,"dd-mm-yyyy")&amp;" | ₹"&amp;TEXT(M47,"#,##0"))</f>
      </c>
      <c r="T47" s="7">
        <f>IF($C47="","",SUMIFS('Q1 Data'!$L$4:$L$207,'Q1 Data'!$B$4:$B$207,$S47)+SUMIFS('Q1 Data'!$O$4:$O$207,'Q1 Data'!$B$4:$B$207,$S47)+SUMIFS('Q1 Data'!$M$4:$M$207,'Q1 Data'!$B$4:$B$207,$S47))</f>
      </c>
      <c r="U47" s="7">
        <f>IF($C47="","",SUMIFS('Q2 Data'!$L$4:$L$207,'Q2 Data'!$B$4:$B$207,$S47)+SUMIFS('Q2 Data'!$O$4:$O$207,'Q2 Data'!$B$4:$B$207,$S47)+SUMIFS('Q2 Data'!$M$4:$M$207,'Q2 Data'!$B$4:$B$207,$S47))</f>
      </c>
      <c r="V47" s="7">
        <f>IF($C47="","",SUMIFS('Q3 Data'!$L$4:$L$207,'Q3 Data'!$B$4:$B$207,$S47)+SUMIFS('Q3 Data'!$O$4:$O$207,'Q3 Data'!$B$4:$B$207,$S47)+SUMIFS('Q3 Data'!$M$4:$M$207,'Q3 Data'!$B$4:$B$207,$S47))</f>
      </c>
      <c r="W47" s="7">
        <f>IF($C47="","",SUMIFS('Q4 Data'!$L$4:$L$207,'Q4 Data'!$B$4:$B$207,$S47)+SUMIFS('Q4 Data'!$O$4:$O$207,'Q4 Data'!$B$4:$B$207,$S47)+SUMIFS('Q4 Data'!$M$4:$M$207,'Q4 Data'!$B$4:$B$207,$S47))</f>
      </c>
      <c r="X47" s="7">
        <f>IF($C47="","",T47+U47+V47+W47)</f>
      </c>
      <c r="Y47" s="7">
        <f>IF($C47="","",M47-L47)</f>
      </c>
      <c r="Z47" s="7">
        <f>IF($C47="","",Y47-X47)</f>
      </c>
      <c r="AA47" s="7">
        <f>IF($C47="","",IF(ROUND(X47-Y47,2)&gt;0,"Over-applied",IF(ROUND(X47-Y47,2)=0,"Fully Utilised","Unconsumed")))</f>
      </c>
    </row>
    <row r="48" spans="1:27" x14ac:dyDescent="0.25">
      <c r="A48" s="7">
        <f>IF($C48="","",COUNTIF($C$4:$C48,"&lt;&gt;"))</f>
      </c>
      <c r="B48" s="8"/>
      <c r="C48" s="8"/>
      <c r="D48" s="8"/>
      <c r="E48" s="8"/>
      <c r="F48" s="8"/>
      <c r="G48" s="8"/>
      <c r="H48" s="8"/>
      <c r="I48" s="8"/>
      <c r="J48" s="8"/>
      <c r="K48" s="8"/>
      <c r="L48" s="8"/>
      <c r="M48" s="7">
        <f>IF($C48="","",G48+H48+I48+J48+K48+L48)</f>
      </c>
      <c r="N48" s="8"/>
      <c r="O48" s="8"/>
      <c r="P48" s="8"/>
      <c r="Q48" s="8"/>
      <c r="R48" s="8"/>
      <c r="S48" s="7">
        <f>IF($C48="","",C48&amp;" | BSR "&amp;B48&amp;" | "&amp;TEXT(D48,"dd-mm-yyyy")&amp;" | ₹"&amp;TEXT(M48,"#,##0"))</f>
      </c>
      <c r="T48" s="7">
        <f>IF($C48="","",SUMIFS('Q1 Data'!$L$4:$L$207,'Q1 Data'!$B$4:$B$207,$S48)+SUMIFS('Q1 Data'!$O$4:$O$207,'Q1 Data'!$B$4:$B$207,$S48)+SUMIFS('Q1 Data'!$M$4:$M$207,'Q1 Data'!$B$4:$B$207,$S48))</f>
      </c>
      <c r="U48" s="7">
        <f>IF($C48="","",SUMIFS('Q2 Data'!$L$4:$L$207,'Q2 Data'!$B$4:$B$207,$S48)+SUMIFS('Q2 Data'!$O$4:$O$207,'Q2 Data'!$B$4:$B$207,$S48)+SUMIFS('Q2 Data'!$M$4:$M$207,'Q2 Data'!$B$4:$B$207,$S48))</f>
      </c>
      <c r="V48" s="7">
        <f>IF($C48="","",SUMIFS('Q3 Data'!$L$4:$L$207,'Q3 Data'!$B$4:$B$207,$S48)+SUMIFS('Q3 Data'!$O$4:$O$207,'Q3 Data'!$B$4:$B$207,$S48)+SUMIFS('Q3 Data'!$M$4:$M$207,'Q3 Data'!$B$4:$B$207,$S48))</f>
      </c>
      <c r="W48" s="7">
        <f>IF($C48="","",SUMIFS('Q4 Data'!$L$4:$L$207,'Q4 Data'!$B$4:$B$207,$S48)+SUMIFS('Q4 Data'!$O$4:$O$207,'Q4 Data'!$B$4:$B$207,$S48)+SUMIFS('Q4 Data'!$M$4:$M$207,'Q4 Data'!$B$4:$B$207,$S48))</f>
      </c>
      <c r="X48" s="7">
        <f>IF($C48="","",T48+U48+V48+W48)</f>
      </c>
      <c r="Y48" s="7">
        <f>IF($C48="","",M48-L48)</f>
      </c>
      <c r="Z48" s="7">
        <f>IF($C48="","",Y48-X48)</f>
      </c>
      <c r="AA48" s="7">
        <f>IF($C48="","",IF(ROUND(X48-Y48,2)&gt;0,"Over-applied",IF(ROUND(X48-Y48,2)=0,"Fully Utilised","Unconsumed")))</f>
      </c>
    </row>
    <row r="49" spans="1:27" x14ac:dyDescent="0.25">
      <c r="A49" s="7">
        <f>IF($C49="","",COUNTIF($C$4:$C49,"&lt;&gt;"))</f>
      </c>
      <c r="B49" s="8"/>
      <c r="C49" s="8"/>
      <c r="D49" s="8"/>
      <c r="E49" s="8"/>
      <c r="F49" s="8"/>
      <c r="G49" s="8"/>
      <c r="H49" s="8"/>
      <c r="I49" s="8"/>
      <c r="J49" s="8"/>
      <c r="K49" s="8"/>
      <c r="L49" s="8"/>
      <c r="M49" s="7">
        <f>IF($C49="","",G49+H49+I49+J49+K49+L49)</f>
      </c>
      <c r="N49" s="8"/>
      <c r="O49" s="8"/>
      <c r="P49" s="8"/>
      <c r="Q49" s="8"/>
      <c r="R49" s="8"/>
      <c r="S49" s="7">
        <f>IF($C49="","",C49&amp;" | BSR "&amp;B49&amp;" | "&amp;TEXT(D49,"dd-mm-yyyy")&amp;" | ₹"&amp;TEXT(M49,"#,##0"))</f>
      </c>
      <c r="T49" s="7">
        <f>IF($C49="","",SUMIFS('Q1 Data'!$L$4:$L$207,'Q1 Data'!$B$4:$B$207,$S49)+SUMIFS('Q1 Data'!$O$4:$O$207,'Q1 Data'!$B$4:$B$207,$S49)+SUMIFS('Q1 Data'!$M$4:$M$207,'Q1 Data'!$B$4:$B$207,$S49))</f>
      </c>
      <c r="U49" s="7">
        <f>IF($C49="","",SUMIFS('Q2 Data'!$L$4:$L$207,'Q2 Data'!$B$4:$B$207,$S49)+SUMIFS('Q2 Data'!$O$4:$O$207,'Q2 Data'!$B$4:$B$207,$S49)+SUMIFS('Q2 Data'!$M$4:$M$207,'Q2 Data'!$B$4:$B$207,$S49))</f>
      </c>
      <c r="V49" s="7">
        <f>IF($C49="","",SUMIFS('Q3 Data'!$L$4:$L$207,'Q3 Data'!$B$4:$B$207,$S49)+SUMIFS('Q3 Data'!$O$4:$O$207,'Q3 Data'!$B$4:$B$207,$S49)+SUMIFS('Q3 Data'!$M$4:$M$207,'Q3 Data'!$B$4:$B$207,$S49))</f>
      </c>
      <c r="W49" s="7">
        <f>IF($C49="","",SUMIFS('Q4 Data'!$L$4:$L$207,'Q4 Data'!$B$4:$B$207,$S49)+SUMIFS('Q4 Data'!$O$4:$O$207,'Q4 Data'!$B$4:$B$207,$S49)+SUMIFS('Q4 Data'!$M$4:$M$207,'Q4 Data'!$B$4:$B$207,$S49))</f>
      </c>
      <c r="X49" s="7">
        <f>IF($C49="","",T49+U49+V49+W49)</f>
      </c>
      <c r="Y49" s="7">
        <f>IF($C49="","",M49-L49)</f>
      </c>
      <c r="Z49" s="7">
        <f>IF($C49="","",Y49-X49)</f>
      </c>
      <c r="AA49" s="7">
        <f>IF($C49="","",IF(ROUND(X49-Y49,2)&gt;0,"Over-applied",IF(ROUND(X49-Y49,2)=0,"Fully Utilised","Unconsumed")))</f>
      </c>
    </row>
    <row r="50" spans="1:27" x14ac:dyDescent="0.25">
      <c r="A50" s="7">
        <f>IF($C50="","",COUNTIF($C$4:$C50,"&lt;&gt;"))</f>
      </c>
      <c r="B50" s="8"/>
      <c r="C50" s="8"/>
      <c r="D50" s="8"/>
      <c r="E50" s="8"/>
      <c r="F50" s="8"/>
      <c r="G50" s="8"/>
      <c r="H50" s="8"/>
      <c r="I50" s="8"/>
      <c r="J50" s="8"/>
      <c r="K50" s="8"/>
      <c r="L50" s="8"/>
      <c r="M50" s="7">
        <f>IF($C50="","",G50+H50+I50+J50+K50+L50)</f>
      </c>
      <c r="N50" s="8"/>
      <c r="O50" s="8"/>
      <c r="P50" s="8"/>
      <c r="Q50" s="8"/>
      <c r="R50" s="8"/>
      <c r="S50" s="7">
        <f>IF($C50="","",C50&amp;" | BSR "&amp;B50&amp;" | "&amp;TEXT(D50,"dd-mm-yyyy")&amp;" | ₹"&amp;TEXT(M50,"#,##0"))</f>
      </c>
      <c r="T50" s="7">
        <f>IF($C50="","",SUMIFS('Q1 Data'!$L$4:$L$207,'Q1 Data'!$B$4:$B$207,$S50)+SUMIFS('Q1 Data'!$O$4:$O$207,'Q1 Data'!$B$4:$B$207,$S50)+SUMIFS('Q1 Data'!$M$4:$M$207,'Q1 Data'!$B$4:$B$207,$S50))</f>
      </c>
      <c r="U50" s="7">
        <f>IF($C50="","",SUMIFS('Q2 Data'!$L$4:$L$207,'Q2 Data'!$B$4:$B$207,$S50)+SUMIFS('Q2 Data'!$O$4:$O$207,'Q2 Data'!$B$4:$B$207,$S50)+SUMIFS('Q2 Data'!$M$4:$M$207,'Q2 Data'!$B$4:$B$207,$S50))</f>
      </c>
      <c r="V50" s="7">
        <f>IF($C50="","",SUMIFS('Q3 Data'!$L$4:$L$207,'Q3 Data'!$B$4:$B$207,$S50)+SUMIFS('Q3 Data'!$O$4:$O$207,'Q3 Data'!$B$4:$B$207,$S50)+SUMIFS('Q3 Data'!$M$4:$M$207,'Q3 Data'!$B$4:$B$207,$S50))</f>
      </c>
      <c r="W50" s="7">
        <f>IF($C50="","",SUMIFS('Q4 Data'!$L$4:$L$207,'Q4 Data'!$B$4:$B$207,$S50)+SUMIFS('Q4 Data'!$O$4:$O$207,'Q4 Data'!$B$4:$B$207,$S50)+SUMIFS('Q4 Data'!$M$4:$M$207,'Q4 Data'!$B$4:$B$207,$S50))</f>
      </c>
      <c r="X50" s="7">
        <f>IF($C50="","",T50+U50+V50+W50)</f>
      </c>
      <c r="Y50" s="7">
        <f>IF($C50="","",M50-L50)</f>
      </c>
      <c r="Z50" s="7">
        <f>IF($C50="","",Y50-X50)</f>
      </c>
      <c r="AA50" s="7">
        <f>IF($C50="","",IF(ROUND(X50-Y50,2)&gt;0,"Over-applied",IF(ROUND(X50-Y50,2)=0,"Fully Utilised","Unconsumed")))</f>
      </c>
    </row>
    <row r="51" spans="1:27" x14ac:dyDescent="0.25">
      <c r="A51" s="7">
        <f>IF($C51="","",COUNTIF($C$4:$C51,"&lt;&gt;"))</f>
      </c>
      <c r="B51" s="8"/>
      <c r="C51" s="8"/>
      <c r="D51" s="8"/>
      <c r="E51" s="8"/>
      <c r="F51" s="8"/>
      <c r="G51" s="8"/>
      <c r="H51" s="8"/>
      <c r="I51" s="8"/>
      <c r="J51" s="8"/>
      <c r="K51" s="8"/>
      <c r="L51" s="8"/>
      <c r="M51" s="7">
        <f>IF($C51="","",G51+H51+I51+J51+K51+L51)</f>
      </c>
      <c r="N51" s="8"/>
      <c r="O51" s="8"/>
      <c r="P51" s="8"/>
      <c r="Q51" s="8"/>
      <c r="R51" s="8"/>
      <c r="S51" s="7">
        <f>IF($C51="","",C51&amp;" | BSR "&amp;B51&amp;" | "&amp;TEXT(D51,"dd-mm-yyyy")&amp;" | ₹"&amp;TEXT(M51,"#,##0"))</f>
      </c>
      <c r="T51" s="7">
        <f>IF($C51="","",SUMIFS('Q1 Data'!$L$4:$L$207,'Q1 Data'!$B$4:$B$207,$S51)+SUMIFS('Q1 Data'!$O$4:$O$207,'Q1 Data'!$B$4:$B$207,$S51)+SUMIFS('Q1 Data'!$M$4:$M$207,'Q1 Data'!$B$4:$B$207,$S51))</f>
      </c>
      <c r="U51" s="7">
        <f>IF($C51="","",SUMIFS('Q2 Data'!$L$4:$L$207,'Q2 Data'!$B$4:$B$207,$S51)+SUMIFS('Q2 Data'!$O$4:$O$207,'Q2 Data'!$B$4:$B$207,$S51)+SUMIFS('Q2 Data'!$M$4:$M$207,'Q2 Data'!$B$4:$B$207,$S51))</f>
      </c>
      <c r="V51" s="7">
        <f>IF($C51="","",SUMIFS('Q3 Data'!$L$4:$L$207,'Q3 Data'!$B$4:$B$207,$S51)+SUMIFS('Q3 Data'!$O$4:$O$207,'Q3 Data'!$B$4:$B$207,$S51)+SUMIFS('Q3 Data'!$M$4:$M$207,'Q3 Data'!$B$4:$B$207,$S51))</f>
      </c>
      <c r="W51" s="7">
        <f>IF($C51="","",SUMIFS('Q4 Data'!$L$4:$L$207,'Q4 Data'!$B$4:$B$207,$S51)+SUMIFS('Q4 Data'!$O$4:$O$207,'Q4 Data'!$B$4:$B$207,$S51)+SUMIFS('Q4 Data'!$M$4:$M$207,'Q4 Data'!$B$4:$B$207,$S51))</f>
      </c>
      <c r="X51" s="7">
        <f>IF($C51="","",T51+U51+V51+W51)</f>
      </c>
      <c r="Y51" s="7">
        <f>IF($C51="","",M51-L51)</f>
      </c>
      <c r="Z51" s="7">
        <f>IF($C51="","",Y51-X51)</f>
      </c>
      <c r="AA51" s="7">
        <f>IF($C51="","",IF(ROUND(X51-Y51,2)&gt;0,"Over-applied",IF(ROUND(X51-Y51,2)=0,"Fully Utilised","Unconsumed")))</f>
      </c>
    </row>
    <row r="52" spans="1:27" x14ac:dyDescent="0.25">
      <c r="A52" s="7">
        <f>IF($C52="","",COUNTIF($C$4:$C52,"&lt;&gt;"))</f>
      </c>
      <c r="B52" s="8"/>
      <c r="C52" s="8"/>
      <c r="D52" s="8"/>
      <c r="E52" s="8"/>
      <c r="F52" s="8"/>
      <c r="G52" s="8"/>
      <c r="H52" s="8"/>
      <c r="I52" s="8"/>
      <c r="J52" s="8"/>
      <c r="K52" s="8"/>
      <c r="L52" s="8"/>
      <c r="M52" s="7">
        <f>IF($C52="","",G52+H52+I52+J52+K52+L52)</f>
      </c>
      <c r="N52" s="8"/>
      <c r="O52" s="8"/>
      <c r="P52" s="8"/>
      <c r="Q52" s="8"/>
      <c r="R52" s="8"/>
      <c r="S52" s="7">
        <f>IF($C52="","",C52&amp;" | BSR "&amp;B52&amp;" | "&amp;TEXT(D52,"dd-mm-yyyy")&amp;" | ₹"&amp;TEXT(M52,"#,##0"))</f>
      </c>
      <c r="T52" s="7">
        <f>IF($C52="","",SUMIFS('Q1 Data'!$L$4:$L$207,'Q1 Data'!$B$4:$B$207,$S52)+SUMIFS('Q1 Data'!$O$4:$O$207,'Q1 Data'!$B$4:$B$207,$S52)+SUMIFS('Q1 Data'!$M$4:$M$207,'Q1 Data'!$B$4:$B$207,$S52))</f>
      </c>
      <c r="U52" s="7">
        <f>IF($C52="","",SUMIFS('Q2 Data'!$L$4:$L$207,'Q2 Data'!$B$4:$B$207,$S52)+SUMIFS('Q2 Data'!$O$4:$O$207,'Q2 Data'!$B$4:$B$207,$S52)+SUMIFS('Q2 Data'!$M$4:$M$207,'Q2 Data'!$B$4:$B$207,$S52))</f>
      </c>
      <c r="V52" s="7">
        <f>IF($C52="","",SUMIFS('Q3 Data'!$L$4:$L$207,'Q3 Data'!$B$4:$B$207,$S52)+SUMIFS('Q3 Data'!$O$4:$O$207,'Q3 Data'!$B$4:$B$207,$S52)+SUMIFS('Q3 Data'!$M$4:$M$207,'Q3 Data'!$B$4:$B$207,$S52))</f>
      </c>
      <c r="W52" s="7">
        <f>IF($C52="","",SUMIFS('Q4 Data'!$L$4:$L$207,'Q4 Data'!$B$4:$B$207,$S52)+SUMIFS('Q4 Data'!$O$4:$O$207,'Q4 Data'!$B$4:$B$207,$S52)+SUMIFS('Q4 Data'!$M$4:$M$207,'Q4 Data'!$B$4:$B$207,$S52))</f>
      </c>
      <c r="X52" s="7">
        <f>IF($C52="","",T52+U52+V52+W52)</f>
      </c>
      <c r="Y52" s="7">
        <f>IF($C52="","",M52-L52)</f>
      </c>
      <c r="Z52" s="7">
        <f>IF($C52="","",Y52-X52)</f>
      </c>
      <c r="AA52" s="7">
        <f>IF($C52="","",IF(ROUND(X52-Y52,2)&gt;0,"Over-applied",IF(ROUND(X52-Y52,2)=0,"Fully Utilised","Unconsumed")))</f>
      </c>
    </row>
    <row r="53" spans="1:27" x14ac:dyDescent="0.25">
      <c r="A53" s="7">
        <f>IF($C53="","",COUNTIF($C$4:$C53,"&lt;&gt;"))</f>
      </c>
      <c r="B53" s="8"/>
      <c r="C53" s="8"/>
      <c r="D53" s="8"/>
      <c r="E53" s="8"/>
      <c r="F53" s="8"/>
      <c r="G53" s="8"/>
      <c r="H53" s="8"/>
      <c r="I53" s="8"/>
      <c r="J53" s="8"/>
      <c r="K53" s="8"/>
      <c r="L53" s="8"/>
      <c r="M53" s="7">
        <f>IF($C53="","",G53+H53+I53+J53+K53+L53)</f>
      </c>
      <c r="N53" s="8"/>
      <c r="O53" s="8"/>
      <c r="P53" s="8"/>
      <c r="Q53" s="8"/>
      <c r="R53" s="8"/>
      <c r="S53" s="7">
        <f>IF($C53="","",C53&amp;" | BSR "&amp;B53&amp;" | "&amp;TEXT(D53,"dd-mm-yyyy")&amp;" | ₹"&amp;TEXT(M53,"#,##0"))</f>
      </c>
      <c r="T53" s="7">
        <f>IF($C53="","",SUMIFS('Q1 Data'!$L$4:$L$207,'Q1 Data'!$B$4:$B$207,$S53)+SUMIFS('Q1 Data'!$O$4:$O$207,'Q1 Data'!$B$4:$B$207,$S53)+SUMIFS('Q1 Data'!$M$4:$M$207,'Q1 Data'!$B$4:$B$207,$S53))</f>
      </c>
      <c r="U53" s="7">
        <f>IF($C53="","",SUMIFS('Q2 Data'!$L$4:$L$207,'Q2 Data'!$B$4:$B$207,$S53)+SUMIFS('Q2 Data'!$O$4:$O$207,'Q2 Data'!$B$4:$B$207,$S53)+SUMIFS('Q2 Data'!$M$4:$M$207,'Q2 Data'!$B$4:$B$207,$S53))</f>
      </c>
      <c r="V53" s="7">
        <f>IF($C53="","",SUMIFS('Q3 Data'!$L$4:$L$207,'Q3 Data'!$B$4:$B$207,$S53)+SUMIFS('Q3 Data'!$O$4:$O$207,'Q3 Data'!$B$4:$B$207,$S53)+SUMIFS('Q3 Data'!$M$4:$M$207,'Q3 Data'!$B$4:$B$207,$S53))</f>
      </c>
      <c r="W53" s="7">
        <f>IF($C53="","",SUMIFS('Q4 Data'!$L$4:$L$207,'Q4 Data'!$B$4:$B$207,$S53)+SUMIFS('Q4 Data'!$O$4:$O$207,'Q4 Data'!$B$4:$B$207,$S53)+SUMIFS('Q4 Data'!$M$4:$M$207,'Q4 Data'!$B$4:$B$207,$S53))</f>
      </c>
      <c r="X53" s="7">
        <f>IF($C53="","",T53+U53+V53+W53)</f>
      </c>
      <c r="Y53" s="7">
        <f>IF($C53="","",M53-L53)</f>
      </c>
      <c r="Z53" s="7">
        <f>IF($C53="","",Y53-X53)</f>
      </c>
      <c r="AA53" s="7">
        <f>IF($C53="","",IF(ROUND(X53-Y53,2)&gt;0,"Over-applied",IF(ROUND(X53-Y53,2)=0,"Fully Utilised","Unconsumed")))</f>
      </c>
    </row>
    <row r="54" spans="1:27" x14ac:dyDescent="0.25">
      <c r="A54" s="7">
        <f>IF($C54="","",COUNTIF($C$4:$C54,"&lt;&gt;"))</f>
      </c>
      <c r="B54" s="8"/>
      <c r="C54" s="8"/>
      <c r="D54" s="8"/>
      <c r="E54" s="8"/>
      <c r="F54" s="8"/>
      <c r="G54" s="8"/>
      <c r="H54" s="8"/>
      <c r="I54" s="8"/>
      <c r="J54" s="8"/>
      <c r="K54" s="8"/>
      <c r="L54" s="8"/>
      <c r="M54" s="7">
        <f>IF($C54="","",G54+H54+I54+J54+K54+L54)</f>
      </c>
      <c r="N54" s="8"/>
      <c r="O54" s="8"/>
      <c r="P54" s="8"/>
      <c r="Q54" s="8"/>
      <c r="R54" s="8"/>
      <c r="S54" s="7">
        <f>IF($C54="","",C54&amp;" | BSR "&amp;B54&amp;" | "&amp;TEXT(D54,"dd-mm-yyyy")&amp;" | ₹"&amp;TEXT(M54,"#,##0"))</f>
      </c>
      <c r="T54" s="7">
        <f>IF($C54="","",SUMIFS('Q1 Data'!$L$4:$L$207,'Q1 Data'!$B$4:$B$207,$S54)+SUMIFS('Q1 Data'!$O$4:$O$207,'Q1 Data'!$B$4:$B$207,$S54)+SUMIFS('Q1 Data'!$M$4:$M$207,'Q1 Data'!$B$4:$B$207,$S54))</f>
      </c>
      <c r="U54" s="7">
        <f>IF($C54="","",SUMIFS('Q2 Data'!$L$4:$L$207,'Q2 Data'!$B$4:$B$207,$S54)+SUMIFS('Q2 Data'!$O$4:$O$207,'Q2 Data'!$B$4:$B$207,$S54)+SUMIFS('Q2 Data'!$M$4:$M$207,'Q2 Data'!$B$4:$B$207,$S54))</f>
      </c>
      <c r="V54" s="7">
        <f>IF($C54="","",SUMIFS('Q3 Data'!$L$4:$L$207,'Q3 Data'!$B$4:$B$207,$S54)+SUMIFS('Q3 Data'!$O$4:$O$207,'Q3 Data'!$B$4:$B$207,$S54)+SUMIFS('Q3 Data'!$M$4:$M$207,'Q3 Data'!$B$4:$B$207,$S54))</f>
      </c>
      <c r="W54" s="7">
        <f>IF($C54="","",SUMIFS('Q4 Data'!$L$4:$L$207,'Q4 Data'!$B$4:$B$207,$S54)+SUMIFS('Q4 Data'!$O$4:$O$207,'Q4 Data'!$B$4:$B$207,$S54)+SUMIFS('Q4 Data'!$M$4:$M$207,'Q4 Data'!$B$4:$B$207,$S54))</f>
      </c>
      <c r="X54" s="7">
        <f>IF($C54="","",T54+U54+V54+W54)</f>
      </c>
      <c r="Y54" s="7">
        <f>IF($C54="","",M54-L54)</f>
      </c>
      <c r="Z54" s="7">
        <f>IF($C54="","",Y54-X54)</f>
      </c>
      <c r="AA54" s="7">
        <f>IF($C54="","",IF(ROUND(X54-Y54,2)&gt;0,"Over-applied",IF(ROUND(X54-Y54,2)=0,"Fully Utilised","Unconsumed")))</f>
      </c>
    </row>
    <row r="55" spans="1:27" x14ac:dyDescent="0.25">
      <c r="A55" s="7">
        <f>IF($C55="","",COUNTIF($C$4:$C55,"&lt;&gt;"))</f>
      </c>
      <c r="B55" s="8"/>
      <c r="C55" s="8"/>
      <c r="D55" s="8"/>
      <c r="E55" s="8"/>
      <c r="F55" s="8"/>
      <c r="G55" s="8"/>
      <c r="H55" s="8"/>
      <c r="I55" s="8"/>
      <c r="J55" s="8"/>
      <c r="K55" s="8"/>
      <c r="L55" s="8"/>
      <c r="M55" s="7">
        <f>IF($C55="","",G55+H55+I55+J55+K55+L55)</f>
      </c>
      <c r="N55" s="8"/>
      <c r="O55" s="8"/>
      <c r="P55" s="8"/>
      <c r="Q55" s="8"/>
      <c r="R55" s="8"/>
      <c r="S55" s="7">
        <f>IF($C55="","",C55&amp;" | BSR "&amp;B55&amp;" | "&amp;TEXT(D55,"dd-mm-yyyy")&amp;" | ₹"&amp;TEXT(M55,"#,##0"))</f>
      </c>
      <c r="T55" s="7">
        <f>IF($C55="","",SUMIFS('Q1 Data'!$L$4:$L$207,'Q1 Data'!$B$4:$B$207,$S55)+SUMIFS('Q1 Data'!$O$4:$O$207,'Q1 Data'!$B$4:$B$207,$S55)+SUMIFS('Q1 Data'!$M$4:$M$207,'Q1 Data'!$B$4:$B$207,$S55))</f>
      </c>
      <c r="U55" s="7">
        <f>IF($C55="","",SUMIFS('Q2 Data'!$L$4:$L$207,'Q2 Data'!$B$4:$B$207,$S55)+SUMIFS('Q2 Data'!$O$4:$O$207,'Q2 Data'!$B$4:$B$207,$S55)+SUMIFS('Q2 Data'!$M$4:$M$207,'Q2 Data'!$B$4:$B$207,$S55))</f>
      </c>
      <c r="V55" s="7">
        <f>IF($C55="","",SUMIFS('Q3 Data'!$L$4:$L$207,'Q3 Data'!$B$4:$B$207,$S55)+SUMIFS('Q3 Data'!$O$4:$O$207,'Q3 Data'!$B$4:$B$207,$S55)+SUMIFS('Q3 Data'!$M$4:$M$207,'Q3 Data'!$B$4:$B$207,$S55))</f>
      </c>
      <c r="W55" s="7">
        <f>IF($C55="","",SUMIFS('Q4 Data'!$L$4:$L$207,'Q4 Data'!$B$4:$B$207,$S55)+SUMIFS('Q4 Data'!$O$4:$O$207,'Q4 Data'!$B$4:$B$207,$S55)+SUMIFS('Q4 Data'!$M$4:$M$207,'Q4 Data'!$B$4:$B$207,$S55))</f>
      </c>
      <c r="X55" s="7">
        <f>IF($C55="","",T55+U55+V55+W55)</f>
      </c>
      <c r="Y55" s="7">
        <f>IF($C55="","",M55-L55)</f>
      </c>
      <c r="Z55" s="7">
        <f>IF($C55="","",Y55-X55)</f>
      </c>
      <c r="AA55" s="7">
        <f>IF($C55="","",IF(ROUND(X55-Y55,2)&gt;0,"Over-applied",IF(ROUND(X55-Y55,2)=0,"Fully Utilised","Unconsumed")))</f>
      </c>
    </row>
    <row r="56" spans="1:27" x14ac:dyDescent="0.25">
      <c r="A56" s="7">
        <f>IF($C56="","",COUNTIF($C$4:$C56,"&lt;&gt;"))</f>
      </c>
      <c r="B56" s="8"/>
      <c r="C56" s="8"/>
      <c r="D56" s="8"/>
      <c r="E56" s="8"/>
      <c r="F56" s="8"/>
      <c r="G56" s="8"/>
      <c r="H56" s="8"/>
      <c r="I56" s="8"/>
      <c r="J56" s="8"/>
      <c r="K56" s="8"/>
      <c r="L56" s="8"/>
      <c r="M56" s="7">
        <f>IF($C56="","",G56+H56+I56+J56+K56+L56)</f>
      </c>
      <c r="N56" s="8"/>
      <c r="O56" s="8"/>
      <c r="P56" s="8"/>
      <c r="Q56" s="8"/>
      <c r="R56" s="8"/>
      <c r="S56" s="7">
        <f>IF($C56="","",C56&amp;" | BSR "&amp;B56&amp;" | "&amp;TEXT(D56,"dd-mm-yyyy")&amp;" | ₹"&amp;TEXT(M56,"#,##0"))</f>
      </c>
      <c r="T56" s="7">
        <f>IF($C56="","",SUMIFS('Q1 Data'!$L$4:$L$207,'Q1 Data'!$B$4:$B$207,$S56)+SUMIFS('Q1 Data'!$O$4:$O$207,'Q1 Data'!$B$4:$B$207,$S56)+SUMIFS('Q1 Data'!$M$4:$M$207,'Q1 Data'!$B$4:$B$207,$S56))</f>
      </c>
      <c r="U56" s="7">
        <f>IF($C56="","",SUMIFS('Q2 Data'!$L$4:$L$207,'Q2 Data'!$B$4:$B$207,$S56)+SUMIFS('Q2 Data'!$O$4:$O$207,'Q2 Data'!$B$4:$B$207,$S56)+SUMIFS('Q2 Data'!$M$4:$M$207,'Q2 Data'!$B$4:$B$207,$S56))</f>
      </c>
      <c r="V56" s="7">
        <f>IF($C56="","",SUMIFS('Q3 Data'!$L$4:$L$207,'Q3 Data'!$B$4:$B$207,$S56)+SUMIFS('Q3 Data'!$O$4:$O$207,'Q3 Data'!$B$4:$B$207,$S56)+SUMIFS('Q3 Data'!$M$4:$M$207,'Q3 Data'!$B$4:$B$207,$S56))</f>
      </c>
      <c r="W56" s="7">
        <f>IF($C56="","",SUMIFS('Q4 Data'!$L$4:$L$207,'Q4 Data'!$B$4:$B$207,$S56)+SUMIFS('Q4 Data'!$O$4:$O$207,'Q4 Data'!$B$4:$B$207,$S56)+SUMIFS('Q4 Data'!$M$4:$M$207,'Q4 Data'!$B$4:$B$207,$S56))</f>
      </c>
      <c r="X56" s="7">
        <f>IF($C56="","",T56+U56+V56+W56)</f>
      </c>
      <c r="Y56" s="7">
        <f>IF($C56="","",M56-L56)</f>
      </c>
      <c r="Z56" s="7">
        <f>IF($C56="","",Y56-X56)</f>
      </c>
      <c r="AA56" s="7">
        <f>IF($C56="","",IF(ROUND(X56-Y56,2)&gt;0,"Over-applied",IF(ROUND(X56-Y56,2)=0,"Fully Utilised","Unconsumed")))</f>
      </c>
    </row>
    <row r="57" spans="1:27" x14ac:dyDescent="0.25">
      <c r="A57" s="7">
        <f>IF($C57="","",COUNTIF($C$4:$C57,"&lt;&gt;"))</f>
      </c>
      <c r="B57" s="8"/>
      <c r="C57" s="8"/>
      <c r="D57" s="8"/>
      <c r="E57" s="8"/>
      <c r="F57" s="8"/>
      <c r="G57" s="8"/>
      <c r="H57" s="8"/>
      <c r="I57" s="8"/>
      <c r="J57" s="8"/>
      <c r="K57" s="8"/>
      <c r="L57" s="8"/>
      <c r="M57" s="7">
        <f>IF($C57="","",G57+H57+I57+J57+K57+L57)</f>
      </c>
      <c r="N57" s="8"/>
      <c r="O57" s="8"/>
      <c r="P57" s="8"/>
      <c r="Q57" s="8"/>
      <c r="R57" s="8"/>
      <c r="S57" s="7">
        <f>IF($C57="","",C57&amp;" | BSR "&amp;B57&amp;" | "&amp;TEXT(D57,"dd-mm-yyyy")&amp;" | ₹"&amp;TEXT(M57,"#,##0"))</f>
      </c>
      <c r="T57" s="7">
        <f>IF($C57="","",SUMIFS('Q1 Data'!$L$4:$L$207,'Q1 Data'!$B$4:$B$207,$S57)+SUMIFS('Q1 Data'!$O$4:$O$207,'Q1 Data'!$B$4:$B$207,$S57)+SUMIFS('Q1 Data'!$M$4:$M$207,'Q1 Data'!$B$4:$B$207,$S57))</f>
      </c>
      <c r="U57" s="7">
        <f>IF($C57="","",SUMIFS('Q2 Data'!$L$4:$L$207,'Q2 Data'!$B$4:$B$207,$S57)+SUMIFS('Q2 Data'!$O$4:$O$207,'Q2 Data'!$B$4:$B$207,$S57)+SUMIFS('Q2 Data'!$M$4:$M$207,'Q2 Data'!$B$4:$B$207,$S57))</f>
      </c>
      <c r="V57" s="7">
        <f>IF($C57="","",SUMIFS('Q3 Data'!$L$4:$L$207,'Q3 Data'!$B$4:$B$207,$S57)+SUMIFS('Q3 Data'!$O$4:$O$207,'Q3 Data'!$B$4:$B$207,$S57)+SUMIFS('Q3 Data'!$M$4:$M$207,'Q3 Data'!$B$4:$B$207,$S57))</f>
      </c>
      <c r="W57" s="7">
        <f>IF($C57="","",SUMIFS('Q4 Data'!$L$4:$L$207,'Q4 Data'!$B$4:$B$207,$S57)+SUMIFS('Q4 Data'!$O$4:$O$207,'Q4 Data'!$B$4:$B$207,$S57)+SUMIFS('Q4 Data'!$M$4:$M$207,'Q4 Data'!$B$4:$B$207,$S57))</f>
      </c>
      <c r="X57" s="7">
        <f>IF($C57="","",T57+U57+V57+W57)</f>
      </c>
      <c r="Y57" s="7">
        <f>IF($C57="","",M57-L57)</f>
      </c>
      <c r="Z57" s="7">
        <f>IF($C57="","",Y57-X57)</f>
      </c>
      <c r="AA57" s="7">
        <f>IF($C57="","",IF(ROUND(X57-Y57,2)&gt;0,"Over-applied",IF(ROUND(X57-Y57,2)=0,"Fully Utilised","Unconsumed")))</f>
      </c>
    </row>
    <row r="58" spans="1:27" x14ac:dyDescent="0.25">
      <c r="A58" s="7">
        <f>IF($C58="","",COUNTIF($C$4:$C58,"&lt;&gt;"))</f>
      </c>
      <c r="B58" s="8"/>
      <c r="C58" s="8"/>
      <c r="D58" s="8"/>
      <c r="E58" s="8"/>
      <c r="F58" s="8"/>
      <c r="G58" s="8"/>
      <c r="H58" s="8"/>
      <c r="I58" s="8"/>
      <c r="J58" s="8"/>
      <c r="K58" s="8"/>
      <c r="L58" s="8"/>
      <c r="M58" s="7">
        <f>IF($C58="","",G58+H58+I58+J58+K58+L58)</f>
      </c>
      <c r="N58" s="8"/>
      <c r="O58" s="8"/>
      <c r="P58" s="8"/>
      <c r="Q58" s="8"/>
      <c r="R58" s="8"/>
      <c r="S58" s="7">
        <f>IF($C58="","",C58&amp;" | BSR "&amp;B58&amp;" | "&amp;TEXT(D58,"dd-mm-yyyy")&amp;" | ₹"&amp;TEXT(M58,"#,##0"))</f>
      </c>
      <c r="T58" s="7">
        <f>IF($C58="","",SUMIFS('Q1 Data'!$L$4:$L$207,'Q1 Data'!$B$4:$B$207,$S58)+SUMIFS('Q1 Data'!$O$4:$O$207,'Q1 Data'!$B$4:$B$207,$S58)+SUMIFS('Q1 Data'!$M$4:$M$207,'Q1 Data'!$B$4:$B$207,$S58))</f>
      </c>
      <c r="U58" s="7">
        <f>IF($C58="","",SUMIFS('Q2 Data'!$L$4:$L$207,'Q2 Data'!$B$4:$B$207,$S58)+SUMIFS('Q2 Data'!$O$4:$O$207,'Q2 Data'!$B$4:$B$207,$S58)+SUMIFS('Q2 Data'!$M$4:$M$207,'Q2 Data'!$B$4:$B$207,$S58))</f>
      </c>
      <c r="V58" s="7">
        <f>IF($C58="","",SUMIFS('Q3 Data'!$L$4:$L$207,'Q3 Data'!$B$4:$B$207,$S58)+SUMIFS('Q3 Data'!$O$4:$O$207,'Q3 Data'!$B$4:$B$207,$S58)+SUMIFS('Q3 Data'!$M$4:$M$207,'Q3 Data'!$B$4:$B$207,$S58))</f>
      </c>
      <c r="W58" s="7">
        <f>IF($C58="","",SUMIFS('Q4 Data'!$L$4:$L$207,'Q4 Data'!$B$4:$B$207,$S58)+SUMIFS('Q4 Data'!$O$4:$O$207,'Q4 Data'!$B$4:$B$207,$S58)+SUMIFS('Q4 Data'!$M$4:$M$207,'Q4 Data'!$B$4:$B$207,$S58))</f>
      </c>
      <c r="X58" s="7">
        <f>IF($C58="","",T58+U58+V58+W58)</f>
      </c>
      <c r="Y58" s="7">
        <f>IF($C58="","",M58-L58)</f>
      </c>
      <c r="Z58" s="7">
        <f>IF($C58="","",Y58-X58)</f>
      </c>
      <c r="AA58" s="7">
        <f>IF($C58="","",IF(ROUND(X58-Y58,2)&gt;0,"Over-applied",IF(ROUND(X58-Y58,2)=0,"Fully Utilised","Unconsumed")))</f>
      </c>
    </row>
    <row r="59" spans="1:27" x14ac:dyDescent="0.25">
      <c r="A59" s="7">
        <f>IF($C59="","",COUNTIF($C$4:$C59,"&lt;&gt;"))</f>
      </c>
      <c r="B59" s="8"/>
      <c r="C59" s="8"/>
      <c r="D59" s="8"/>
      <c r="E59" s="8"/>
      <c r="F59" s="8"/>
      <c r="G59" s="8"/>
      <c r="H59" s="8"/>
      <c r="I59" s="8"/>
      <c r="J59" s="8"/>
      <c r="K59" s="8"/>
      <c r="L59" s="8"/>
      <c r="M59" s="7">
        <f>IF($C59="","",G59+H59+I59+J59+K59+L59)</f>
      </c>
      <c r="N59" s="8"/>
      <c r="O59" s="8"/>
      <c r="P59" s="8"/>
      <c r="Q59" s="8"/>
      <c r="R59" s="8"/>
      <c r="S59" s="7">
        <f>IF($C59="","",C59&amp;" | BSR "&amp;B59&amp;" | "&amp;TEXT(D59,"dd-mm-yyyy")&amp;" | ₹"&amp;TEXT(M59,"#,##0"))</f>
      </c>
      <c r="T59" s="7">
        <f>IF($C59="","",SUMIFS('Q1 Data'!$L$4:$L$207,'Q1 Data'!$B$4:$B$207,$S59)+SUMIFS('Q1 Data'!$O$4:$O$207,'Q1 Data'!$B$4:$B$207,$S59)+SUMIFS('Q1 Data'!$M$4:$M$207,'Q1 Data'!$B$4:$B$207,$S59))</f>
      </c>
      <c r="U59" s="7">
        <f>IF($C59="","",SUMIFS('Q2 Data'!$L$4:$L$207,'Q2 Data'!$B$4:$B$207,$S59)+SUMIFS('Q2 Data'!$O$4:$O$207,'Q2 Data'!$B$4:$B$207,$S59)+SUMIFS('Q2 Data'!$M$4:$M$207,'Q2 Data'!$B$4:$B$207,$S59))</f>
      </c>
      <c r="V59" s="7">
        <f>IF($C59="","",SUMIFS('Q3 Data'!$L$4:$L$207,'Q3 Data'!$B$4:$B$207,$S59)+SUMIFS('Q3 Data'!$O$4:$O$207,'Q3 Data'!$B$4:$B$207,$S59)+SUMIFS('Q3 Data'!$M$4:$M$207,'Q3 Data'!$B$4:$B$207,$S59))</f>
      </c>
      <c r="W59" s="7">
        <f>IF($C59="","",SUMIFS('Q4 Data'!$L$4:$L$207,'Q4 Data'!$B$4:$B$207,$S59)+SUMIFS('Q4 Data'!$O$4:$O$207,'Q4 Data'!$B$4:$B$207,$S59)+SUMIFS('Q4 Data'!$M$4:$M$207,'Q4 Data'!$B$4:$B$207,$S59))</f>
      </c>
      <c r="X59" s="7">
        <f>IF($C59="","",T59+U59+V59+W59)</f>
      </c>
      <c r="Y59" s="7">
        <f>IF($C59="","",M59-L59)</f>
      </c>
      <c r="Z59" s="7">
        <f>IF($C59="","",Y59-X59)</f>
      </c>
      <c r="AA59" s="7">
        <f>IF($C59="","",IF(ROUND(X59-Y59,2)&gt;0,"Over-applied",IF(ROUND(X59-Y59,2)=0,"Fully Utilised","Unconsumed")))</f>
      </c>
    </row>
    <row r="60" spans="1:27" x14ac:dyDescent="0.25">
      <c r="A60" s="7">
        <f>IF($C60="","",COUNTIF($C$4:$C60,"&lt;&gt;"))</f>
      </c>
      <c r="B60" s="8"/>
      <c r="C60" s="8"/>
      <c r="D60" s="8"/>
      <c r="E60" s="8"/>
      <c r="F60" s="8"/>
      <c r="G60" s="8"/>
      <c r="H60" s="8"/>
      <c r="I60" s="8"/>
      <c r="J60" s="8"/>
      <c r="K60" s="8"/>
      <c r="L60" s="8"/>
      <c r="M60" s="7">
        <f>IF($C60="","",G60+H60+I60+J60+K60+L60)</f>
      </c>
      <c r="N60" s="8"/>
      <c r="O60" s="8"/>
      <c r="P60" s="8"/>
      <c r="Q60" s="8"/>
      <c r="R60" s="8"/>
      <c r="S60" s="7">
        <f>IF($C60="","",C60&amp;" | BSR "&amp;B60&amp;" | "&amp;TEXT(D60,"dd-mm-yyyy")&amp;" | ₹"&amp;TEXT(M60,"#,##0"))</f>
      </c>
      <c r="T60" s="7">
        <f>IF($C60="","",SUMIFS('Q1 Data'!$L$4:$L$207,'Q1 Data'!$B$4:$B$207,$S60)+SUMIFS('Q1 Data'!$O$4:$O$207,'Q1 Data'!$B$4:$B$207,$S60)+SUMIFS('Q1 Data'!$M$4:$M$207,'Q1 Data'!$B$4:$B$207,$S60))</f>
      </c>
      <c r="U60" s="7">
        <f>IF($C60="","",SUMIFS('Q2 Data'!$L$4:$L$207,'Q2 Data'!$B$4:$B$207,$S60)+SUMIFS('Q2 Data'!$O$4:$O$207,'Q2 Data'!$B$4:$B$207,$S60)+SUMIFS('Q2 Data'!$M$4:$M$207,'Q2 Data'!$B$4:$B$207,$S60))</f>
      </c>
      <c r="V60" s="7">
        <f>IF($C60="","",SUMIFS('Q3 Data'!$L$4:$L$207,'Q3 Data'!$B$4:$B$207,$S60)+SUMIFS('Q3 Data'!$O$4:$O$207,'Q3 Data'!$B$4:$B$207,$S60)+SUMIFS('Q3 Data'!$M$4:$M$207,'Q3 Data'!$B$4:$B$207,$S60))</f>
      </c>
      <c r="W60" s="7">
        <f>IF($C60="","",SUMIFS('Q4 Data'!$L$4:$L$207,'Q4 Data'!$B$4:$B$207,$S60)+SUMIFS('Q4 Data'!$O$4:$O$207,'Q4 Data'!$B$4:$B$207,$S60)+SUMIFS('Q4 Data'!$M$4:$M$207,'Q4 Data'!$B$4:$B$207,$S60))</f>
      </c>
      <c r="X60" s="7">
        <f>IF($C60="","",T60+U60+V60+W60)</f>
      </c>
      <c r="Y60" s="7">
        <f>IF($C60="","",M60-L60)</f>
      </c>
      <c r="Z60" s="7">
        <f>IF($C60="","",Y60-X60)</f>
      </c>
      <c r="AA60" s="7">
        <f>IF($C60="","",IF(ROUND(X60-Y60,2)&gt;0,"Over-applied",IF(ROUND(X60-Y60,2)=0,"Fully Utilised","Unconsumed")))</f>
      </c>
    </row>
    <row r="61" spans="1:27" x14ac:dyDescent="0.25">
      <c r="A61" s="7">
        <f>IF($C61="","",COUNTIF($C$4:$C61,"&lt;&gt;"))</f>
      </c>
      <c r="B61" s="8"/>
      <c r="C61" s="8"/>
      <c r="D61" s="8"/>
      <c r="E61" s="8"/>
      <c r="F61" s="8"/>
      <c r="G61" s="8"/>
      <c r="H61" s="8"/>
      <c r="I61" s="8"/>
      <c r="J61" s="8"/>
      <c r="K61" s="8"/>
      <c r="L61" s="8"/>
      <c r="M61" s="7">
        <f>IF($C61="","",G61+H61+I61+J61+K61+L61)</f>
      </c>
      <c r="N61" s="8"/>
      <c r="O61" s="8"/>
      <c r="P61" s="8"/>
      <c r="Q61" s="8"/>
      <c r="R61" s="8"/>
      <c r="S61" s="7">
        <f>IF($C61="","",C61&amp;" | BSR "&amp;B61&amp;" | "&amp;TEXT(D61,"dd-mm-yyyy")&amp;" | ₹"&amp;TEXT(M61,"#,##0"))</f>
      </c>
      <c r="T61" s="7">
        <f>IF($C61="","",SUMIFS('Q1 Data'!$L$4:$L$207,'Q1 Data'!$B$4:$B$207,$S61)+SUMIFS('Q1 Data'!$O$4:$O$207,'Q1 Data'!$B$4:$B$207,$S61)+SUMIFS('Q1 Data'!$M$4:$M$207,'Q1 Data'!$B$4:$B$207,$S61))</f>
      </c>
      <c r="U61" s="7">
        <f>IF($C61="","",SUMIFS('Q2 Data'!$L$4:$L$207,'Q2 Data'!$B$4:$B$207,$S61)+SUMIFS('Q2 Data'!$O$4:$O$207,'Q2 Data'!$B$4:$B$207,$S61)+SUMIFS('Q2 Data'!$M$4:$M$207,'Q2 Data'!$B$4:$B$207,$S61))</f>
      </c>
      <c r="V61" s="7">
        <f>IF($C61="","",SUMIFS('Q3 Data'!$L$4:$L$207,'Q3 Data'!$B$4:$B$207,$S61)+SUMIFS('Q3 Data'!$O$4:$O$207,'Q3 Data'!$B$4:$B$207,$S61)+SUMIFS('Q3 Data'!$M$4:$M$207,'Q3 Data'!$B$4:$B$207,$S61))</f>
      </c>
      <c r="W61" s="7">
        <f>IF($C61="","",SUMIFS('Q4 Data'!$L$4:$L$207,'Q4 Data'!$B$4:$B$207,$S61)+SUMIFS('Q4 Data'!$O$4:$O$207,'Q4 Data'!$B$4:$B$207,$S61)+SUMIFS('Q4 Data'!$M$4:$M$207,'Q4 Data'!$B$4:$B$207,$S61))</f>
      </c>
      <c r="X61" s="7">
        <f>IF($C61="","",T61+U61+V61+W61)</f>
      </c>
      <c r="Y61" s="7">
        <f>IF($C61="","",M61-L61)</f>
      </c>
      <c r="Z61" s="7">
        <f>IF($C61="","",Y61-X61)</f>
      </c>
      <c r="AA61" s="7">
        <f>IF($C61="","",IF(ROUND(X61-Y61,2)&gt;0,"Over-applied",IF(ROUND(X61-Y61,2)=0,"Fully Utilised","Unconsumed")))</f>
      </c>
    </row>
    <row r="62" spans="1:27" x14ac:dyDescent="0.25">
      <c r="A62" s="7">
        <f>IF($C62="","",COUNTIF($C$4:$C62,"&lt;&gt;"))</f>
      </c>
      <c r="B62" s="8"/>
      <c r="C62" s="8"/>
      <c r="D62" s="8"/>
      <c r="E62" s="8"/>
      <c r="F62" s="8"/>
      <c r="G62" s="8"/>
      <c r="H62" s="8"/>
      <c r="I62" s="8"/>
      <c r="J62" s="8"/>
      <c r="K62" s="8"/>
      <c r="L62" s="8"/>
      <c r="M62" s="7">
        <f>IF($C62="","",G62+H62+I62+J62+K62+L62)</f>
      </c>
      <c r="N62" s="8"/>
      <c r="O62" s="8"/>
      <c r="P62" s="8"/>
      <c r="Q62" s="8"/>
      <c r="R62" s="8"/>
      <c r="S62" s="7">
        <f>IF($C62="","",C62&amp;" | BSR "&amp;B62&amp;" | "&amp;TEXT(D62,"dd-mm-yyyy")&amp;" | ₹"&amp;TEXT(M62,"#,##0"))</f>
      </c>
      <c r="T62" s="7">
        <f>IF($C62="","",SUMIFS('Q1 Data'!$L$4:$L$207,'Q1 Data'!$B$4:$B$207,$S62)+SUMIFS('Q1 Data'!$O$4:$O$207,'Q1 Data'!$B$4:$B$207,$S62)+SUMIFS('Q1 Data'!$M$4:$M$207,'Q1 Data'!$B$4:$B$207,$S62))</f>
      </c>
      <c r="U62" s="7">
        <f>IF($C62="","",SUMIFS('Q2 Data'!$L$4:$L$207,'Q2 Data'!$B$4:$B$207,$S62)+SUMIFS('Q2 Data'!$O$4:$O$207,'Q2 Data'!$B$4:$B$207,$S62)+SUMIFS('Q2 Data'!$M$4:$M$207,'Q2 Data'!$B$4:$B$207,$S62))</f>
      </c>
      <c r="V62" s="7">
        <f>IF($C62="","",SUMIFS('Q3 Data'!$L$4:$L$207,'Q3 Data'!$B$4:$B$207,$S62)+SUMIFS('Q3 Data'!$O$4:$O$207,'Q3 Data'!$B$4:$B$207,$S62)+SUMIFS('Q3 Data'!$M$4:$M$207,'Q3 Data'!$B$4:$B$207,$S62))</f>
      </c>
      <c r="W62" s="7">
        <f>IF($C62="","",SUMIFS('Q4 Data'!$L$4:$L$207,'Q4 Data'!$B$4:$B$207,$S62)+SUMIFS('Q4 Data'!$O$4:$O$207,'Q4 Data'!$B$4:$B$207,$S62)+SUMIFS('Q4 Data'!$M$4:$M$207,'Q4 Data'!$B$4:$B$207,$S62))</f>
      </c>
      <c r="X62" s="7">
        <f>IF($C62="","",T62+U62+V62+W62)</f>
      </c>
      <c r="Y62" s="7">
        <f>IF($C62="","",M62-L62)</f>
      </c>
      <c r="Z62" s="7">
        <f>IF($C62="","",Y62-X62)</f>
      </c>
      <c r="AA62" s="7">
        <f>IF($C62="","",IF(ROUND(X62-Y62,2)&gt;0,"Over-applied",IF(ROUND(X62-Y62,2)=0,"Fully Utilised","Unconsumed")))</f>
      </c>
    </row>
    <row r="63" spans="1:27" x14ac:dyDescent="0.25">
      <c r="A63" s="7">
        <f>IF($C63="","",COUNTIF($C$4:$C63,"&lt;&gt;"))</f>
      </c>
      <c r="B63" s="8"/>
      <c r="C63" s="8"/>
      <c r="D63" s="8"/>
      <c r="E63" s="8"/>
      <c r="F63" s="8"/>
      <c r="G63" s="8"/>
      <c r="H63" s="8"/>
      <c r="I63" s="8"/>
      <c r="J63" s="8"/>
      <c r="K63" s="8"/>
      <c r="L63" s="8"/>
      <c r="M63" s="7">
        <f>IF($C63="","",G63+H63+I63+J63+K63+L63)</f>
      </c>
      <c r="N63" s="8"/>
      <c r="O63" s="8"/>
      <c r="P63" s="8"/>
      <c r="Q63" s="8"/>
      <c r="R63" s="8"/>
      <c r="S63" s="7">
        <f>IF($C63="","",C63&amp;" | BSR "&amp;B63&amp;" | "&amp;TEXT(D63,"dd-mm-yyyy")&amp;" | ₹"&amp;TEXT(M63,"#,##0"))</f>
      </c>
      <c r="T63" s="7">
        <f>IF($C63="","",SUMIFS('Q1 Data'!$L$4:$L$207,'Q1 Data'!$B$4:$B$207,$S63)+SUMIFS('Q1 Data'!$O$4:$O$207,'Q1 Data'!$B$4:$B$207,$S63)+SUMIFS('Q1 Data'!$M$4:$M$207,'Q1 Data'!$B$4:$B$207,$S63))</f>
      </c>
      <c r="U63" s="7">
        <f>IF($C63="","",SUMIFS('Q2 Data'!$L$4:$L$207,'Q2 Data'!$B$4:$B$207,$S63)+SUMIFS('Q2 Data'!$O$4:$O$207,'Q2 Data'!$B$4:$B$207,$S63)+SUMIFS('Q2 Data'!$M$4:$M$207,'Q2 Data'!$B$4:$B$207,$S63))</f>
      </c>
      <c r="V63" s="7">
        <f>IF($C63="","",SUMIFS('Q3 Data'!$L$4:$L$207,'Q3 Data'!$B$4:$B$207,$S63)+SUMIFS('Q3 Data'!$O$4:$O$207,'Q3 Data'!$B$4:$B$207,$S63)+SUMIFS('Q3 Data'!$M$4:$M$207,'Q3 Data'!$B$4:$B$207,$S63))</f>
      </c>
      <c r="W63" s="7">
        <f>IF($C63="","",SUMIFS('Q4 Data'!$L$4:$L$207,'Q4 Data'!$B$4:$B$207,$S63)+SUMIFS('Q4 Data'!$O$4:$O$207,'Q4 Data'!$B$4:$B$207,$S63)+SUMIFS('Q4 Data'!$M$4:$M$207,'Q4 Data'!$B$4:$B$207,$S63))</f>
      </c>
      <c r="X63" s="7">
        <f>IF($C63="","",T63+U63+V63+W63)</f>
      </c>
      <c r="Y63" s="7">
        <f>IF($C63="","",M63-L63)</f>
      </c>
      <c r="Z63" s="7">
        <f>IF($C63="","",Y63-X63)</f>
      </c>
      <c r="AA63" s="7">
        <f>IF($C63="","",IF(ROUND(X63-Y63,2)&gt;0,"Over-applied",IF(ROUND(X63-Y63,2)=0,"Fully Utilised","Unconsumed")))</f>
      </c>
    </row>
    <row r="64" spans="1:27" x14ac:dyDescent="0.25">
      <c r="A64" s="7">
        <f>IF($C64="","",COUNTIF($C$4:$C64,"&lt;&gt;"))</f>
      </c>
      <c r="B64" s="8"/>
      <c r="C64" s="8"/>
      <c r="D64" s="8"/>
      <c r="E64" s="8"/>
      <c r="F64" s="8"/>
      <c r="G64" s="8"/>
      <c r="H64" s="8"/>
      <c r="I64" s="8"/>
      <c r="J64" s="8"/>
      <c r="K64" s="8"/>
      <c r="L64" s="8"/>
      <c r="M64" s="7">
        <f>IF($C64="","",G64+H64+I64+J64+K64+L64)</f>
      </c>
      <c r="N64" s="8"/>
      <c r="O64" s="8"/>
      <c r="P64" s="8"/>
      <c r="Q64" s="8"/>
      <c r="R64" s="8"/>
      <c r="S64" s="7">
        <f>IF($C64="","",C64&amp;" | BSR "&amp;B64&amp;" | "&amp;TEXT(D64,"dd-mm-yyyy")&amp;" | ₹"&amp;TEXT(M64,"#,##0"))</f>
      </c>
      <c r="T64" s="7">
        <f>IF($C64="","",SUMIFS('Q1 Data'!$L$4:$L$207,'Q1 Data'!$B$4:$B$207,$S64)+SUMIFS('Q1 Data'!$O$4:$O$207,'Q1 Data'!$B$4:$B$207,$S64)+SUMIFS('Q1 Data'!$M$4:$M$207,'Q1 Data'!$B$4:$B$207,$S64))</f>
      </c>
      <c r="U64" s="7">
        <f>IF($C64="","",SUMIFS('Q2 Data'!$L$4:$L$207,'Q2 Data'!$B$4:$B$207,$S64)+SUMIFS('Q2 Data'!$O$4:$O$207,'Q2 Data'!$B$4:$B$207,$S64)+SUMIFS('Q2 Data'!$M$4:$M$207,'Q2 Data'!$B$4:$B$207,$S64))</f>
      </c>
      <c r="V64" s="7">
        <f>IF($C64="","",SUMIFS('Q3 Data'!$L$4:$L$207,'Q3 Data'!$B$4:$B$207,$S64)+SUMIFS('Q3 Data'!$O$4:$O$207,'Q3 Data'!$B$4:$B$207,$S64)+SUMIFS('Q3 Data'!$M$4:$M$207,'Q3 Data'!$B$4:$B$207,$S64))</f>
      </c>
      <c r="W64" s="7">
        <f>IF($C64="","",SUMIFS('Q4 Data'!$L$4:$L$207,'Q4 Data'!$B$4:$B$207,$S64)+SUMIFS('Q4 Data'!$O$4:$O$207,'Q4 Data'!$B$4:$B$207,$S64)+SUMIFS('Q4 Data'!$M$4:$M$207,'Q4 Data'!$B$4:$B$207,$S64))</f>
      </c>
      <c r="X64" s="7">
        <f>IF($C64="","",T64+U64+V64+W64)</f>
      </c>
      <c r="Y64" s="7">
        <f>IF($C64="","",M64-L64)</f>
      </c>
      <c r="Z64" s="7">
        <f>IF($C64="","",Y64-X64)</f>
      </c>
      <c r="AA64" s="7">
        <f>IF($C64="","",IF(ROUND(X64-Y64,2)&gt;0,"Over-applied",IF(ROUND(X64-Y64,2)=0,"Fully Utilised","Unconsumed")))</f>
      </c>
    </row>
    <row r="65" spans="1:27" x14ac:dyDescent="0.25">
      <c r="A65" s="7">
        <f>IF($C65="","",COUNTIF($C$4:$C65,"&lt;&gt;"))</f>
      </c>
      <c r="B65" s="8"/>
      <c r="C65" s="8"/>
      <c r="D65" s="8"/>
      <c r="E65" s="8"/>
      <c r="F65" s="8"/>
      <c r="G65" s="8"/>
      <c r="H65" s="8"/>
      <c r="I65" s="8"/>
      <c r="J65" s="8"/>
      <c r="K65" s="8"/>
      <c r="L65" s="8"/>
      <c r="M65" s="7">
        <f>IF($C65="","",G65+H65+I65+J65+K65+L65)</f>
      </c>
      <c r="N65" s="8"/>
      <c r="O65" s="8"/>
      <c r="P65" s="8"/>
      <c r="Q65" s="8"/>
      <c r="R65" s="8"/>
      <c r="S65" s="7">
        <f>IF($C65="","",C65&amp;" | BSR "&amp;B65&amp;" | "&amp;TEXT(D65,"dd-mm-yyyy")&amp;" | ₹"&amp;TEXT(M65,"#,##0"))</f>
      </c>
      <c r="T65" s="7">
        <f>IF($C65="","",SUMIFS('Q1 Data'!$L$4:$L$207,'Q1 Data'!$B$4:$B$207,$S65)+SUMIFS('Q1 Data'!$O$4:$O$207,'Q1 Data'!$B$4:$B$207,$S65)+SUMIFS('Q1 Data'!$M$4:$M$207,'Q1 Data'!$B$4:$B$207,$S65))</f>
      </c>
      <c r="U65" s="7">
        <f>IF($C65="","",SUMIFS('Q2 Data'!$L$4:$L$207,'Q2 Data'!$B$4:$B$207,$S65)+SUMIFS('Q2 Data'!$O$4:$O$207,'Q2 Data'!$B$4:$B$207,$S65)+SUMIFS('Q2 Data'!$M$4:$M$207,'Q2 Data'!$B$4:$B$207,$S65))</f>
      </c>
      <c r="V65" s="7">
        <f>IF($C65="","",SUMIFS('Q3 Data'!$L$4:$L$207,'Q3 Data'!$B$4:$B$207,$S65)+SUMIFS('Q3 Data'!$O$4:$O$207,'Q3 Data'!$B$4:$B$207,$S65)+SUMIFS('Q3 Data'!$M$4:$M$207,'Q3 Data'!$B$4:$B$207,$S65))</f>
      </c>
      <c r="W65" s="7">
        <f>IF($C65="","",SUMIFS('Q4 Data'!$L$4:$L$207,'Q4 Data'!$B$4:$B$207,$S65)+SUMIFS('Q4 Data'!$O$4:$O$207,'Q4 Data'!$B$4:$B$207,$S65)+SUMIFS('Q4 Data'!$M$4:$M$207,'Q4 Data'!$B$4:$B$207,$S65))</f>
      </c>
      <c r="X65" s="7">
        <f>IF($C65="","",T65+U65+V65+W65)</f>
      </c>
      <c r="Y65" s="7">
        <f>IF($C65="","",M65-L65)</f>
      </c>
      <c r="Z65" s="7">
        <f>IF($C65="","",Y65-X65)</f>
      </c>
      <c r="AA65" s="7">
        <f>IF($C65="","",IF(ROUND(X65-Y65,2)&gt;0,"Over-applied",IF(ROUND(X65-Y65,2)=0,"Fully Utilised","Unconsumed")))</f>
      </c>
    </row>
    <row r="66" spans="1:27" x14ac:dyDescent="0.25">
      <c r="A66" s="7">
        <f>IF($C66="","",COUNTIF($C$4:$C66,"&lt;&gt;"))</f>
      </c>
      <c r="B66" s="8"/>
      <c r="C66" s="8"/>
      <c r="D66" s="8"/>
      <c r="E66" s="8"/>
      <c r="F66" s="8"/>
      <c r="G66" s="8"/>
      <c r="H66" s="8"/>
      <c r="I66" s="8"/>
      <c r="J66" s="8"/>
      <c r="K66" s="8"/>
      <c r="L66" s="8"/>
      <c r="M66" s="7">
        <f>IF($C66="","",G66+H66+I66+J66+K66+L66)</f>
      </c>
      <c r="N66" s="8"/>
      <c r="O66" s="8"/>
      <c r="P66" s="8"/>
      <c r="Q66" s="8"/>
      <c r="R66" s="8"/>
      <c r="S66" s="7">
        <f>IF($C66="","",C66&amp;" | BSR "&amp;B66&amp;" | "&amp;TEXT(D66,"dd-mm-yyyy")&amp;" | ₹"&amp;TEXT(M66,"#,##0"))</f>
      </c>
      <c r="T66" s="7">
        <f>IF($C66="","",SUMIFS('Q1 Data'!$L$4:$L$207,'Q1 Data'!$B$4:$B$207,$S66)+SUMIFS('Q1 Data'!$O$4:$O$207,'Q1 Data'!$B$4:$B$207,$S66)+SUMIFS('Q1 Data'!$M$4:$M$207,'Q1 Data'!$B$4:$B$207,$S66))</f>
      </c>
      <c r="U66" s="7">
        <f>IF($C66="","",SUMIFS('Q2 Data'!$L$4:$L$207,'Q2 Data'!$B$4:$B$207,$S66)+SUMIFS('Q2 Data'!$O$4:$O$207,'Q2 Data'!$B$4:$B$207,$S66)+SUMIFS('Q2 Data'!$M$4:$M$207,'Q2 Data'!$B$4:$B$207,$S66))</f>
      </c>
      <c r="V66" s="7">
        <f>IF($C66="","",SUMIFS('Q3 Data'!$L$4:$L$207,'Q3 Data'!$B$4:$B$207,$S66)+SUMIFS('Q3 Data'!$O$4:$O$207,'Q3 Data'!$B$4:$B$207,$S66)+SUMIFS('Q3 Data'!$M$4:$M$207,'Q3 Data'!$B$4:$B$207,$S66))</f>
      </c>
      <c r="W66" s="7">
        <f>IF($C66="","",SUMIFS('Q4 Data'!$L$4:$L$207,'Q4 Data'!$B$4:$B$207,$S66)+SUMIFS('Q4 Data'!$O$4:$O$207,'Q4 Data'!$B$4:$B$207,$S66)+SUMIFS('Q4 Data'!$M$4:$M$207,'Q4 Data'!$B$4:$B$207,$S66))</f>
      </c>
      <c r="X66" s="7">
        <f>IF($C66="","",T66+U66+V66+W66)</f>
      </c>
      <c r="Y66" s="7">
        <f>IF($C66="","",M66-L66)</f>
      </c>
      <c r="Z66" s="7">
        <f>IF($C66="","",Y66-X66)</f>
      </c>
      <c r="AA66" s="7">
        <f>IF($C66="","",IF(ROUND(X66-Y66,2)&gt;0,"Over-applied",IF(ROUND(X66-Y66,2)=0,"Fully Utilised","Unconsumed")))</f>
      </c>
    </row>
    <row r="67" spans="1:27" x14ac:dyDescent="0.25">
      <c r="A67" s="7">
        <f>IF($C67="","",COUNTIF($C$4:$C67,"&lt;&gt;"))</f>
      </c>
      <c r="B67" s="8"/>
      <c r="C67" s="8"/>
      <c r="D67" s="8"/>
      <c r="E67" s="8"/>
      <c r="F67" s="8"/>
      <c r="G67" s="8"/>
      <c r="H67" s="8"/>
      <c r="I67" s="8"/>
      <c r="J67" s="8"/>
      <c r="K67" s="8"/>
      <c r="L67" s="8"/>
      <c r="M67" s="7">
        <f>IF($C67="","",G67+H67+I67+J67+K67+L67)</f>
      </c>
      <c r="N67" s="8"/>
      <c r="O67" s="8"/>
      <c r="P67" s="8"/>
      <c r="Q67" s="8"/>
      <c r="R67" s="8"/>
      <c r="S67" s="7">
        <f>IF($C67="","",C67&amp;" | BSR "&amp;B67&amp;" | "&amp;TEXT(D67,"dd-mm-yyyy")&amp;" | ₹"&amp;TEXT(M67,"#,##0"))</f>
      </c>
      <c r="T67" s="7">
        <f>IF($C67="","",SUMIFS('Q1 Data'!$L$4:$L$207,'Q1 Data'!$B$4:$B$207,$S67)+SUMIFS('Q1 Data'!$O$4:$O$207,'Q1 Data'!$B$4:$B$207,$S67)+SUMIFS('Q1 Data'!$M$4:$M$207,'Q1 Data'!$B$4:$B$207,$S67))</f>
      </c>
      <c r="U67" s="7">
        <f>IF($C67="","",SUMIFS('Q2 Data'!$L$4:$L$207,'Q2 Data'!$B$4:$B$207,$S67)+SUMIFS('Q2 Data'!$O$4:$O$207,'Q2 Data'!$B$4:$B$207,$S67)+SUMIFS('Q2 Data'!$M$4:$M$207,'Q2 Data'!$B$4:$B$207,$S67))</f>
      </c>
      <c r="V67" s="7">
        <f>IF($C67="","",SUMIFS('Q3 Data'!$L$4:$L$207,'Q3 Data'!$B$4:$B$207,$S67)+SUMIFS('Q3 Data'!$O$4:$O$207,'Q3 Data'!$B$4:$B$207,$S67)+SUMIFS('Q3 Data'!$M$4:$M$207,'Q3 Data'!$B$4:$B$207,$S67))</f>
      </c>
      <c r="W67" s="7">
        <f>IF($C67="","",SUMIFS('Q4 Data'!$L$4:$L$207,'Q4 Data'!$B$4:$B$207,$S67)+SUMIFS('Q4 Data'!$O$4:$O$207,'Q4 Data'!$B$4:$B$207,$S67)+SUMIFS('Q4 Data'!$M$4:$M$207,'Q4 Data'!$B$4:$B$207,$S67))</f>
      </c>
      <c r="X67" s="7">
        <f>IF($C67="","",T67+U67+V67+W67)</f>
      </c>
      <c r="Y67" s="7">
        <f>IF($C67="","",M67-L67)</f>
      </c>
      <c r="Z67" s="7">
        <f>IF($C67="","",Y67-X67)</f>
      </c>
      <c r="AA67" s="7">
        <f>IF($C67="","",IF(ROUND(X67-Y67,2)&gt;0,"Over-applied",IF(ROUND(X67-Y67,2)=0,"Fully Utilised","Unconsumed")))</f>
      </c>
    </row>
    <row r="68" spans="1:27" x14ac:dyDescent="0.25">
      <c r="A68" s="7">
        <f>IF($C68="","",COUNTIF($C$4:$C68,"&lt;&gt;"))</f>
      </c>
      <c r="B68" s="8"/>
      <c r="C68" s="8"/>
      <c r="D68" s="8"/>
      <c r="E68" s="8"/>
      <c r="F68" s="8"/>
      <c r="G68" s="8"/>
      <c r="H68" s="8"/>
      <c r="I68" s="8"/>
      <c r="J68" s="8"/>
      <c r="K68" s="8"/>
      <c r="L68" s="8"/>
      <c r="M68" s="7">
        <f>IF($C68="","",G68+H68+I68+J68+K68+L68)</f>
      </c>
      <c r="N68" s="8"/>
      <c r="O68" s="8"/>
      <c r="P68" s="8"/>
      <c r="Q68" s="8"/>
      <c r="R68" s="8"/>
      <c r="S68" s="7">
        <f>IF($C68="","",C68&amp;" | BSR "&amp;B68&amp;" | "&amp;TEXT(D68,"dd-mm-yyyy")&amp;" | ₹"&amp;TEXT(M68,"#,##0"))</f>
      </c>
      <c r="T68" s="7">
        <f>IF($C68="","",SUMIFS('Q1 Data'!$L$4:$L$207,'Q1 Data'!$B$4:$B$207,$S68)+SUMIFS('Q1 Data'!$O$4:$O$207,'Q1 Data'!$B$4:$B$207,$S68)+SUMIFS('Q1 Data'!$M$4:$M$207,'Q1 Data'!$B$4:$B$207,$S68))</f>
      </c>
      <c r="U68" s="7">
        <f>IF($C68="","",SUMIFS('Q2 Data'!$L$4:$L$207,'Q2 Data'!$B$4:$B$207,$S68)+SUMIFS('Q2 Data'!$O$4:$O$207,'Q2 Data'!$B$4:$B$207,$S68)+SUMIFS('Q2 Data'!$M$4:$M$207,'Q2 Data'!$B$4:$B$207,$S68))</f>
      </c>
      <c r="V68" s="7">
        <f>IF($C68="","",SUMIFS('Q3 Data'!$L$4:$L$207,'Q3 Data'!$B$4:$B$207,$S68)+SUMIFS('Q3 Data'!$O$4:$O$207,'Q3 Data'!$B$4:$B$207,$S68)+SUMIFS('Q3 Data'!$M$4:$M$207,'Q3 Data'!$B$4:$B$207,$S68))</f>
      </c>
      <c r="W68" s="7">
        <f>IF($C68="","",SUMIFS('Q4 Data'!$L$4:$L$207,'Q4 Data'!$B$4:$B$207,$S68)+SUMIFS('Q4 Data'!$O$4:$O$207,'Q4 Data'!$B$4:$B$207,$S68)+SUMIFS('Q4 Data'!$M$4:$M$207,'Q4 Data'!$B$4:$B$207,$S68))</f>
      </c>
      <c r="X68" s="7">
        <f>IF($C68="","",T68+U68+V68+W68)</f>
      </c>
      <c r="Y68" s="7">
        <f>IF($C68="","",M68-L68)</f>
      </c>
      <c r="Z68" s="7">
        <f>IF($C68="","",Y68-X68)</f>
      </c>
      <c r="AA68" s="7">
        <f>IF($C68="","",IF(ROUND(X68-Y68,2)&gt;0,"Over-applied",IF(ROUND(X68-Y68,2)=0,"Fully Utilised","Unconsumed")))</f>
      </c>
    </row>
    <row r="69" spans="1:27" x14ac:dyDescent="0.25">
      <c r="A69" s="7">
        <f>IF($C69="","",COUNTIF($C$4:$C69,"&lt;&gt;"))</f>
      </c>
      <c r="B69" s="8"/>
      <c r="C69" s="8"/>
      <c r="D69" s="8"/>
      <c r="E69" s="8"/>
      <c r="F69" s="8"/>
      <c r="G69" s="8"/>
      <c r="H69" s="8"/>
      <c r="I69" s="8"/>
      <c r="J69" s="8"/>
      <c r="K69" s="8"/>
      <c r="L69" s="8"/>
      <c r="M69" s="7">
        <f>IF($C69="","",G69+H69+I69+J69+K69+L69)</f>
      </c>
      <c r="N69" s="8"/>
      <c r="O69" s="8"/>
      <c r="P69" s="8"/>
      <c r="Q69" s="8"/>
      <c r="R69" s="8"/>
      <c r="S69" s="7">
        <f>IF($C69="","",C69&amp;" | BSR "&amp;B69&amp;" | "&amp;TEXT(D69,"dd-mm-yyyy")&amp;" | ₹"&amp;TEXT(M69,"#,##0"))</f>
      </c>
      <c r="T69" s="7">
        <f>IF($C69="","",SUMIFS('Q1 Data'!$L$4:$L$207,'Q1 Data'!$B$4:$B$207,$S69)+SUMIFS('Q1 Data'!$O$4:$O$207,'Q1 Data'!$B$4:$B$207,$S69)+SUMIFS('Q1 Data'!$M$4:$M$207,'Q1 Data'!$B$4:$B$207,$S69))</f>
      </c>
      <c r="U69" s="7">
        <f>IF($C69="","",SUMIFS('Q2 Data'!$L$4:$L$207,'Q2 Data'!$B$4:$B$207,$S69)+SUMIFS('Q2 Data'!$O$4:$O$207,'Q2 Data'!$B$4:$B$207,$S69)+SUMIFS('Q2 Data'!$M$4:$M$207,'Q2 Data'!$B$4:$B$207,$S69))</f>
      </c>
      <c r="V69" s="7">
        <f>IF($C69="","",SUMIFS('Q3 Data'!$L$4:$L$207,'Q3 Data'!$B$4:$B$207,$S69)+SUMIFS('Q3 Data'!$O$4:$O$207,'Q3 Data'!$B$4:$B$207,$S69)+SUMIFS('Q3 Data'!$M$4:$M$207,'Q3 Data'!$B$4:$B$207,$S69))</f>
      </c>
      <c r="W69" s="7">
        <f>IF($C69="","",SUMIFS('Q4 Data'!$L$4:$L$207,'Q4 Data'!$B$4:$B$207,$S69)+SUMIFS('Q4 Data'!$O$4:$O$207,'Q4 Data'!$B$4:$B$207,$S69)+SUMIFS('Q4 Data'!$M$4:$M$207,'Q4 Data'!$B$4:$B$207,$S69))</f>
      </c>
      <c r="X69" s="7">
        <f>IF($C69="","",T69+U69+V69+W69)</f>
      </c>
      <c r="Y69" s="7">
        <f>IF($C69="","",M69-L69)</f>
      </c>
      <c r="Z69" s="7">
        <f>IF($C69="","",Y69-X69)</f>
      </c>
      <c r="AA69" s="7">
        <f>IF($C69="","",IF(ROUND(X69-Y69,2)&gt;0,"Over-applied",IF(ROUND(X69-Y69,2)=0,"Fully Utilised","Unconsumed")))</f>
      </c>
    </row>
    <row r="70" spans="1:27" x14ac:dyDescent="0.25">
      <c r="A70" s="7">
        <f>IF($C70="","",COUNTIF($C$4:$C70,"&lt;&gt;"))</f>
      </c>
      <c r="B70" s="8"/>
      <c r="C70" s="8"/>
      <c r="D70" s="8"/>
      <c r="E70" s="8"/>
      <c r="F70" s="8"/>
      <c r="G70" s="8"/>
      <c r="H70" s="8"/>
      <c r="I70" s="8"/>
      <c r="J70" s="8"/>
      <c r="K70" s="8"/>
      <c r="L70" s="8"/>
      <c r="M70" s="7">
        <f>IF($C70="","",G70+H70+I70+J70+K70+L70)</f>
      </c>
      <c r="N70" s="8"/>
      <c r="O70" s="8"/>
      <c r="P70" s="8"/>
      <c r="Q70" s="8"/>
      <c r="R70" s="8"/>
      <c r="S70" s="7">
        <f>IF($C70="","",C70&amp;" | BSR "&amp;B70&amp;" | "&amp;TEXT(D70,"dd-mm-yyyy")&amp;" | ₹"&amp;TEXT(M70,"#,##0"))</f>
      </c>
      <c r="T70" s="7">
        <f>IF($C70="","",SUMIFS('Q1 Data'!$L$4:$L$207,'Q1 Data'!$B$4:$B$207,$S70)+SUMIFS('Q1 Data'!$O$4:$O$207,'Q1 Data'!$B$4:$B$207,$S70)+SUMIFS('Q1 Data'!$M$4:$M$207,'Q1 Data'!$B$4:$B$207,$S70))</f>
      </c>
      <c r="U70" s="7">
        <f>IF($C70="","",SUMIFS('Q2 Data'!$L$4:$L$207,'Q2 Data'!$B$4:$B$207,$S70)+SUMIFS('Q2 Data'!$O$4:$O$207,'Q2 Data'!$B$4:$B$207,$S70)+SUMIFS('Q2 Data'!$M$4:$M$207,'Q2 Data'!$B$4:$B$207,$S70))</f>
      </c>
      <c r="V70" s="7">
        <f>IF($C70="","",SUMIFS('Q3 Data'!$L$4:$L$207,'Q3 Data'!$B$4:$B$207,$S70)+SUMIFS('Q3 Data'!$O$4:$O$207,'Q3 Data'!$B$4:$B$207,$S70)+SUMIFS('Q3 Data'!$M$4:$M$207,'Q3 Data'!$B$4:$B$207,$S70))</f>
      </c>
      <c r="W70" s="7">
        <f>IF($C70="","",SUMIFS('Q4 Data'!$L$4:$L$207,'Q4 Data'!$B$4:$B$207,$S70)+SUMIFS('Q4 Data'!$O$4:$O$207,'Q4 Data'!$B$4:$B$207,$S70)+SUMIFS('Q4 Data'!$M$4:$M$207,'Q4 Data'!$B$4:$B$207,$S70))</f>
      </c>
      <c r="X70" s="7">
        <f>IF($C70="","",T70+U70+V70+W70)</f>
      </c>
      <c r="Y70" s="7">
        <f>IF($C70="","",M70-L70)</f>
      </c>
      <c r="Z70" s="7">
        <f>IF($C70="","",Y70-X70)</f>
      </c>
      <c r="AA70" s="7">
        <f>IF($C70="","",IF(ROUND(X70-Y70,2)&gt;0,"Over-applied",IF(ROUND(X70-Y70,2)=0,"Fully Utilised","Unconsumed")))</f>
      </c>
    </row>
    <row r="71" spans="1:27" x14ac:dyDescent="0.25">
      <c r="A71" s="7">
        <f>IF($C71="","",COUNTIF($C$4:$C71,"&lt;&gt;"))</f>
      </c>
      <c r="B71" s="8"/>
      <c r="C71" s="8"/>
      <c r="D71" s="8"/>
      <c r="E71" s="8"/>
      <c r="F71" s="8"/>
      <c r="G71" s="8"/>
      <c r="H71" s="8"/>
      <c r="I71" s="8"/>
      <c r="J71" s="8"/>
      <c r="K71" s="8"/>
      <c r="L71" s="8"/>
      <c r="M71" s="7">
        <f>IF($C71="","",G71+H71+I71+J71+K71+L71)</f>
      </c>
      <c r="N71" s="8"/>
      <c r="O71" s="8"/>
      <c r="P71" s="8"/>
      <c r="Q71" s="8"/>
      <c r="R71" s="8"/>
      <c r="S71" s="7">
        <f>IF($C71="","",C71&amp;" | BSR "&amp;B71&amp;" | "&amp;TEXT(D71,"dd-mm-yyyy")&amp;" | ₹"&amp;TEXT(M71,"#,##0"))</f>
      </c>
      <c r="T71" s="7">
        <f>IF($C71="","",SUMIFS('Q1 Data'!$L$4:$L$207,'Q1 Data'!$B$4:$B$207,$S71)+SUMIFS('Q1 Data'!$O$4:$O$207,'Q1 Data'!$B$4:$B$207,$S71)+SUMIFS('Q1 Data'!$M$4:$M$207,'Q1 Data'!$B$4:$B$207,$S71))</f>
      </c>
      <c r="U71" s="7">
        <f>IF($C71="","",SUMIFS('Q2 Data'!$L$4:$L$207,'Q2 Data'!$B$4:$B$207,$S71)+SUMIFS('Q2 Data'!$O$4:$O$207,'Q2 Data'!$B$4:$B$207,$S71)+SUMIFS('Q2 Data'!$M$4:$M$207,'Q2 Data'!$B$4:$B$207,$S71))</f>
      </c>
      <c r="V71" s="7">
        <f>IF($C71="","",SUMIFS('Q3 Data'!$L$4:$L$207,'Q3 Data'!$B$4:$B$207,$S71)+SUMIFS('Q3 Data'!$O$4:$O$207,'Q3 Data'!$B$4:$B$207,$S71)+SUMIFS('Q3 Data'!$M$4:$M$207,'Q3 Data'!$B$4:$B$207,$S71))</f>
      </c>
      <c r="W71" s="7">
        <f>IF($C71="","",SUMIFS('Q4 Data'!$L$4:$L$207,'Q4 Data'!$B$4:$B$207,$S71)+SUMIFS('Q4 Data'!$O$4:$O$207,'Q4 Data'!$B$4:$B$207,$S71)+SUMIFS('Q4 Data'!$M$4:$M$207,'Q4 Data'!$B$4:$B$207,$S71))</f>
      </c>
      <c r="X71" s="7">
        <f>IF($C71="","",T71+U71+V71+W71)</f>
      </c>
      <c r="Y71" s="7">
        <f>IF($C71="","",M71-L71)</f>
      </c>
      <c r="Z71" s="7">
        <f>IF($C71="","",Y71-X71)</f>
      </c>
      <c r="AA71" s="7">
        <f>IF($C71="","",IF(ROUND(X71-Y71,2)&gt;0,"Over-applied",IF(ROUND(X71-Y71,2)=0,"Fully Utilised","Unconsumed")))</f>
      </c>
    </row>
    <row r="72" spans="1:27" x14ac:dyDescent="0.25">
      <c r="A72" s="7">
        <f>IF($C72="","",COUNTIF($C$4:$C72,"&lt;&gt;"))</f>
      </c>
      <c r="B72" s="8"/>
      <c r="C72" s="8"/>
      <c r="D72" s="8"/>
      <c r="E72" s="8"/>
      <c r="F72" s="8"/>
      <c r="G72" s="8"/>
      <c r="H72" s="8"/>
      <c r="I72" s="8"/>
      <c r="J72" s="8"/>
      <c r="K72" s="8"/>
      <c r="L72" s="8"/>
      <c r="M72" s="7">
        <f>IF($C72="","",G72+H72+I72+J72+K72+L72)</f>
      </c>
      <c r="N72" s="8"/>
      <c r="O72" s="8"/>
      <c r="P72" s="8"/>
      <c r="Q72" s="8"/>
      <c r="R72" s="8"/>
      <c r="S72" s="7">
        <f>IF($C72="","",C72&amp;" | BSR "&amp;B72&amp;" | "&amp;TEXT(D72,"dd-mm-yyyy")&amp;" | ₹"&amp;TEXT(M72,"#,##0"))</f>
      </c>
      <c r="T72" s="7">
        <f>IF($C72="","",SUMIFS('Q1 Data'!$L$4:$L$207,'Q1 Data'!$B$4:$B$207,$S72)+SUMIFS('Q1 Data'!$O$4:$O$207,'Q1 Data'!$B$4:$B$207,$S72)+SUMIFS('Q1 Data'!$M$4:$M$207,'Q1 Data'!$B$4:$B$207,$S72))</f>
      </c>
      <c r="U72" s="7">
        <f>IF($C72="","",SUMIFS('Q2 Data'!$L$4:$L$207,'Q2 Data'!$B$4:$B$207,$S72)+SUMIFS('Q2 Data'!$O$4:$O$207,'Q2 Data'!$B$4:$B$207,$S72)+SUMIFS('Q2 Data'!$M$4:$M$207,'Q2 Data'!$B$4:$B$207,$S72))</f>
      </c>
      <c r="V72" s="7">
        <f>IF($C72="","",SUMIFS('Q3 Data'!$L$4:$L$207,'Q3 Data'!$B$4:$B$207,$S72)+SUMIFS('Q3 Data'!$O$4:$O$207,'Q3 Data'!$B$4:$B$207,$S72)+SUMIFS('Q3 Data'!$M$4:$M$207,'Q3 Data'!$B$4:$B$207,$S72))</f>
      </c>
      <c r="W72" s="7">
        <f>IF($C72="","",SUMIFS('Q4 Data'!$L$4:$L$207,'Q4 Data'!$B$4:$B$207,$S72)+SUMIFS('Q4 Data'!$O$4:$O$207,'Q4 Data'!$B$4:$B$207,$S72)+SUMIFS('Q4 Data'!$M$4:$M$207,'Q4 Data'!$B$4:$B$207,$S72))</f>
      </c>
      <c r="X72" s="7">
        <f>IF($C72="","",T72+U72+V72+W72)</f>
      </c>
      <c r="Y72" s="7">
        <f>IF($C72="","",M72-L72)</f>
      </c>
      <c r="Z72" s="7">
        <f>IF($C72="","",Y72-X72)</f>
      </c>
      <c r="AA72" s="7">
        <f>IF($C72="","",IF(ROUND(X72-Y72,2)&gt;0,"Over-applied",IF(ROUND(X72-Y72,2)=0,"Fully Utilised","Unconsumed")))</f>
      </c>
    </row>
    <row r="73" spans="1:27" x14ac:dyDescent="0.25">
      <c r="A73" s="7">
        <f>IF($C73="","",COUNTIF($C$4:$C73,"&lt;&gt;"))</f>
      </c>
      <c r="B73" s="8"/>
      <c r="C73" s="8"/>
      <c r="D73" s="8"/>
      <c r="E73" s="8"/>
      <c r="F73" s="8"/>
      <c r="G73" s="8"/>
      <c r="H73" s="8"/>
      <c r="I73" s="8"/>
      <c r="J73" s="8"/>
      <c r="K73" s="8"/>
      <c r="L73" s="8"/>
      <c r="M73" s="7">
        <f>IF($C73="","",G73+H73+I73+J73+K73+L73)</f>
      </c>
      <c r="N73" s="8"/>
      <c r="O73" s="8"/>
      <c r="P73" s="8"/>
      <c r="Q73" s="8"/>
      <c r="R73" s="8"/>
      <c r="S73" s="7">
        <f>IF($C73="","",C73&amp;" | BSR "&amp;B73&amp;" | "&amp;TEXT(D73,"dd-mm-yyyy")&amp;" | ₹"&amp;TEXT(M73,"#,##0"))</f>
      </c>
      <c r="T73" s="7">
        <f>IF($C73="","",SUMIFS('Q1 Data'!$L$4:$L$207,'Q1 Data'!$B$4:$B$207,$S73)+SUMIFS('Q1 Data'!$O$4:$O$207,'Q1 Data'!$B$4:$B$207,$S73)+SUMIFS('Q1 Data'!$M$4:$M$207,'Q1 Data'!$B$4:$B$207,$S73))</f>
      </c>
      <c r="U73" s="7">
        <f>IF($C73="","",SUMIFS('Q2 Data'!$L$4:$L$207,'Q2 Data'!$B$4:$B$207,$S73)+SUMIFS('Q2 Data'!$O$4:$O$207,'Q2 Data'!$B$4:$B$207,$S73)+SUMIFS('Q2 Data'!$M$4:$M$207,'Q2 Data'!$B$4:$B$207,$S73))</f>
      </c>
      <c r="V73" s="7">
        <f>IF($C73="","",SUMIFS('Q3 Data'!$L$4:$L$207,'Q3 Data'!$B$4:$B$207,$S73)+SUMIFS('Q3 Data'!$O$4:$O$207,'Q3 Data'!$B$4:$B$207,$S73)+SUMIFS('Q3 Data'!$M$4:$M$207,'Q3 Data'!$B$4:$B$207,$S73))</f>
      </c>
      <c r="W73" s="7">
        <f>IF($C73="","",SUMIFS('Q4 Data'!$L$4:$L$207,'Q4 Data'!$B$4:$B$207,$S73)+SUMIFS('Q4 Data'!$O$4:$O$207,'Q4 Data'!$B$4:$B$207,$S73)+SUMIFS('Q4 Data'!$M$4:$M$207,'Q4 Data'!$B$4:$B$207,$S73))</f>
      </c>
      <c r="X73" s="7">
        <f>IF($C73="","",T73+U73+V73+W73)</f>
      </c>
      <c r="Y73" s="7">
        <f>IF($C73="","",M73-L73)</f>
      </c>
      <c r="Z73" s="7">
        <f>IF($C73="","",Y73-X73)</f>
      </c>
      <c r="AA73" s="7">
        <f>IF($C73="","",IF(ROUND(X73-Y73,2)&gt;0,"Over-applied",IF(ROUND(X73-Y73,2)=0,"Fully Utilised","Unconsumed")))</f>
      </c>
    </row>
    <row r="74" spans="1:27" x14ac:dyDescent="0.25">
      <c r="A74" s="7">
        <f>IF($C74="","",COUNTIF($C$4:$C74,"&lt;&gt;"))</f>
      </c>
      <c r="B74" s="8"/>
      <c r="C74" s="8"/>
      <c r="D74" s="8"/>
      <c r="E74" s="8"/>
      <c r="F74" s="8"/>
      <c r="G74" s="8"/>
      <c r="H74" s="8"/>
      <c r="I74" s="8"/>
      <c r="J74" s="8"/>
      <c r="K74" s="8"/>
      <c r="L74" s="8"/>
      <c r="M74" s="7">
        <f>IF($C74="","",G74+H74+I74+J74+K74+L74)</f>
      </c>
      <c r="N74" s="8"/>
      <c r="O74" s="8"/>
      <c r="P74" s="8"/>
      <c r="Q74" s="8"/>
      <c r="R74" s="8"/>
      <c r="S74" s="7">
        <f>IF($C74="","",C74&amp;" | BSR "&amp;B74&amp;" | "&amp;TEXT(D74,"dd-mm-yyyy")&amp;" | ₹"&amp;TEXT(M74,"#,##0"))</f>
      </c>
      <c r="T74" s="7">
        <f>IF($C74="","",SUMIFS('Q1 Data'!$L$4:$L$207,'Q1 Data'!$B$4:$B$207,$S74)+SUMIFS('Q1 Data'!$O$4:$O$207,'Q1 Data'!$B$4:$B$207,$S74)+SUMIFS('Q1 Data'!$M$4:$M$207,'Q1 Data'!$B$4:$B$207,$S74))</f>
      </c>
      <c r="U74" s="7">
        <f>IF($C74="","",SUMIFS('Q2 Data'!$L$4:$L$207,'Q2 Data'!$B$4:$B$207,$S74)+SUMIFS('Q2 Data'!$O$4:$O$207,'Q2 Data'!$B$4:$B$207,$S74)+SUMIFS('Q2 Data'!$M$4:$M$207,'Q2 Data'!$B$4:$B$207,$S74))</f>
      </c>
      <c r="V74" s="7">
        <f>IF($C74="","",SUMIFS('Q3 Data'!$L$4:$L$207,'Q3 Data'!$B$4:$B$207,$S74)+SUMIFS('Q3 Data'!$O$4:$O$207,'Q3 Data'!$B$4:$B$207,$S74)+SUMIFS('Q3 Data'!$M$4:$M$207,'Q3 Data'!$B$4:$B$207,$S74))</f>
      </c>
      <c r="W74" s="7">
        <f>IF($C74="","",SUMIFS('Q4 Data'!$L$4:$L$207,'Q4 Data'!$B$4:$B$207,$S74)+SUMIFS('Q4 Data'!$O$4:$O$207,'Q4 Data'!$B$4:$B$207,$S74)+SUMIFS('Q4 Data'!$M$4:$M$207,'Q4 Data'!$B$4:$B$207,$S74))</f>
      </c>
      <c r="X74" s="7">
        <f>IF($C74="","",T74+U74+V74+W74)</f>
      </c>
      <c r="Y74" s="7">
        <f>IF($C74="","",M74-L74)</f>
      </c>
      <c r="Z74" s="7">
        <f>IF($C74="","",Y74-X74)</f>
      </c>
      <c r="AA74" s="7">
        <f>IF($C74="","",IF(ROUND(X74-Y74,2)&gt;0,"Over-applied",IF(ROUND(X74-Y74,2)=0,"Fully Utilised","Unconsumed")))</f>
      </c>
    </row>
    <row r="75" spans="1:27" x14ac:dyDescent="0.25">
      <c r="A75" s="7">
        <f>IF($C75="","",COUNTIF($C$4:$C75,"&lt;&gt;"))</f>
      </c>
      <c r="B75" s="8"/>
      <c r="C75" s="8"/>
      <c r="D75" s="8"/>
      <c r="E75" s="8"/>
      <c r="F75" s="8"/>
      <c r="G75" s="8"/>
      <c r="H75" s="8"/>
      <c r="I75" s="8"/>
      <c r="J75" s="8"/>
      <c r="K75" s="8"/>
      <c r="L75" s="8"/>
      <c r="M75" s="7">
        <f>IF($C75="","",G75+H75+I75+J75+K75+L75)</f>
      </c>
      <c r="N75" s="8"/>
      <c r="O75" s="8"/>
      <c r="P75" s="8"/>
      <c r="Q75" s="8"/>
      <c r="R75" s="8"/>
      <c r="S75" s="7">
        <f>IF($C75="","",C75&amp;" | BSR "&amp;B75&amp;" | "&amp;TEXT(D75,"dd-mm-yyyy")&amp;" | ₹"&amp;TEXT(M75,"#,##0"))</f>
      </c>
      <c r="T75" s="7">
        <f>IF($C75="","",SUMIFS('Q1 Data'!$L$4:$L$207,'Q1 Data'!$B$4:$B$207,$S75)+SUMIFS('Q1 Data'!$O$4:$O$207,'Q1 Data'!$B$4:$B$207,$S75)+SUMIFS('Q1 Data'!$M$4:$M$207,'Q1 Data'!$B$4:$B$207,$S75))</f>
      </c>
      <c r="U75" s="7">
        <f>IF($C75="","",SUMIFS('Q2 Data'!$L$4:$L$207,'Q2 Data'!$B$4:$B$207,$S75)+SUMIFS('Q2 Data'!$O$4:$O$207,'Q2 Data'!$B$4:$B$207,$S75)+SUMIFS('Q2 Data'!$M$4:$M$207,'Q2 Data'!$B$4:$B$207,$S75))</f>
      </c>
      <c r="V75" s="7">
        <f>IF($C75="","",SUMIFS('Q3 Data'!$L$4:$L$207,'Q3 Data'!$B$4:$B$207,$S75)+SUMIFS('Q3 Data'!$O$4:$O$207,'Q3 Data'!$B$4:$B$207,$S75)+SUMIFS('Q3 Data'!$M$4:$M$207,'Q3 Data'!$B$4:$B$207,$S75))</f>
      </c>
      <c r="W75" s="7">
        <f>IF($C75="","",SUMIFS('Q4 Data'!$L$4:$L$207,'Q4 Data'!$B$4:$B$207,$S75)+SUMIFS('Q4 Data'!$O$4:$O$207,'Q4 Data'!$B$4:$B$207,$S75)+SUMIFS('Q4 Data'!$M$4:$M$207,'Q4 Data'!$B$4:$B$207,$S75))</f>
      </c>
      <c r="X75" s="7">
        <f>IF($C75="","",T75+U75+V75+W75)</f>
      </c>
      <c r="Y75" s="7">
        <f>IF($C75="","",M75-L75)</f>
      </c>
      <c r="Z75" s="7">
        <f>IF($C75="","",Y75-X75)</f>
      </c>
      <c r="AA75" s="7">
        <f>IF($C75="","",IF(ROUND(X75-Y75,2)&gt;0,"Over-applied",IF(ROUND(X75-Y75,2)=0,"Fully Utilised","Unconsumed")))</f>
      </c>
    </row>
    <row r="76" spans="1:27" x14ac:dyDescent="0.25">
      <c r="A76" s="7">
        <f>IF($C76="","",COUNTIF($C$4:$C76,"&lt;&gt;"))</f>
      </c>
      <c r="B76" s="8"/>
      <c r="C76" s="8"/>
      <c r="D76" s="8"/>
      <c r="E76" s="8"/>
      <c r="F76" s="8"/>
      <c r="G76" s="8"/>
      <c r="H76" s="8"/>
      <c r="I76" s="8"/>
      <c r="J76" s="8"/>
      <c r="K76" s="8"/>
      <c r="L76" s="8"/>
      <c r="M76" s="7">
        <f>IF($C76="","",G76+H76+I76+J76+K76+L76)</f>
      </c>
      <c r="N76" s="8"/>
      <c r="O76" s="8"/>
      <c r="P76" s="8"/>
      <c r="Q76" s="8"/>
      <c r="R76" s="8"/>
      <c r="S76" s="7">
        <f>IF($C76="","",C76&amp;" | BSR "&amp;B76&amp;" | "&amp;TEXT(D76,"dd-mm-yyyy")&amp;" | ₹"&amp;TEXT(M76,"#,##0"))</f>
      </c>
      <c r="T76" s="7">
        <f>IF($C76="","",SUMIFS('Q1 Data'!$L$4:$L$207,'Q1 Data'!$B$4:$B$207,$S76)+SUMIFS('Q1 Data'!$O$4:$O$207,'Q1 Data'!$B$4:$B$207,$S76)+SUMIFS('Q1 Data'!$M$4:$M$207,'Q1 Data'!$B$4:$B$207,$S76))</f>
      </c>
      <c r="U76" s="7">
        <f>IF($C76="","",SUMIFS('Q2 Data'!$L$4:$L$207,'Q2 Data'!$B$4:$B$207,$S76)+SUMIFS('Q2 Data'!$O$4:$O$207,'Q2 Data'!$B$4:$B$207,$S76)+SUMIFS('Q2 Data'!$M$4:$M$207,'Q2 Data'!$B$4:$B$207,$S76))</f>
      </c>
      <c r="V76" s="7">
        <f>IF($C76="","",SUMIFS('Q3 Data'!$L$4:$L$207,'Q3 Data'!$B$4:$B$207,$S76)+SUMIFS('Q3 Data'!$O$4:$O$207,'Q3 Data'!$B$4:$B$207,$S76)+SUMIFS('Q3 Data'!$M$4:$M$207,'Q3 Data'!$B$4:$B$207,$S76))</f>
      </c>
      <c r="W76" s="7">
        <f>IF($C76="","",SUMIFS('Q4 Data'!$L$4:$L$207,'Q4 Data'!$B$4:$B$207,$S76)+SUMIFS('Q4 Data'!$O$4:$O$207,'Q4 Data'!$B$4:$B$207,$S76)+SUMIFS('Q4 Data'!$M$4:$M$207,'Q4 Data'!$B$4:$B$207,$S76))</f>
      </c>
      <c r="X76" s="7">
        <f>IF($C76="","",T76+U76+V76+W76)</f>
      </c>
      <c r="Y76" s="7">
        <f>IF($C76="","",M76-L76)</f>
      </c>
      <c r="Z76" s="7">
        <f>IF($C76="","",Y76-X76)</f>
      </c>
      <c r="AA76" s="7">
        <f>IF($C76="","",IF(ROUND(X76-Y76,2)&gt;0,"Over-applied",IF(ROUND(X76-Y76,2)=0,"Fully Utilised","Unconsumed")))</f>
      </c>
    </row>
    <row r="77" spans="1:27" x14ac:dyDescent="0.25">
      <c r="A77" s="7">
        <f>IF($C77="","",COUNTIF($C$4:$C77,"&lt;&gt;"))</f>
      </c>
      <c r="B77" s="8"/>
      <c r="C77" s="8"/>
      <c r="D77" s="8"/>
      <c r="E77" s="8"/>
      <c r="F77" s="8"/>
      <c r="G77" s="8"/>
      <c r="H77" s="8"/>
      <c r="I77" s="8"/>
      <c r="J77" s="8"/>
      <c r="K77" s="8"/>
      <c r="L77" s="8"/>
      <c r="M77" s="7">
        <f>IF($C77="","",G77+H77+I77+J77+K77+L77)</f>
      </c>
      <c r="N77" s="8"/>
      <c r="O77" s="8"/>
      <c r="P77" s="8"/>
      <c r="Q77" s="8"/>
      <c r="R77" s="8"/>
      <c r="S77" s="7">
        <f>IF($C77="","",C77&amp;" | BSR "&amp;B77&amp;" | "&amp;TEXT(D77,"dd-mm-yyyy")&amp;" | ₹"&amp;TEXT(M77,"#,##0"))</f>
      </c>
      <c r="T77" s="7">
        <f>IF($C77="","",SUMIFS('Q1 Data'!$L$4:$L$207,'Q1 Data'!$B$4:$B$207,$S77)+SUMIFS('Q1 Data'!$O$4:$O$207,'Q1 Data'!$B$4:$B$207,$S77)+SUMIFS('Q1 Data'!$M$4:$M$207,'Q1 Data'!$B$4:$B$207,$S77))</f>
      </c>
      <c r="U77" s="7">
        <f>IF($C77="","",SUMIFS('Q2 Data'!$L$4:$L$207,'Q2 Data'!$B$4:$B$207,$S77)+SUMIFS('Q2 Data'!$O$4:$O$207,'Q2 Data'!$B$4:$B$207,$S77)+SUMIFS('Q2 Data'!$M$4:$M$207,'Q2 Data'!$B$4:$B$207,$S77))</f>
      </c>
      <c r="V77" s="7">
        <f>IF($C77="","",SUMIFS('Q3 Data'!$L$4:$L$207,'Q3 Data'!$B$4:$B$207,$S77)+SUMIFS('Q3 Data'!$O$4:$O$207,'Q3 Data'!$B$4:$B$207,$S77)+SUMIFS('Q3 Data'!$M$4:$M$207,'Q3 Data'!$B$4:$B$207,$S77))</f>
      </c>
      <c r="W77" s="7">
        <f>IF($C77="","",SUMIFS('Q4 Data'!$L$4:$L$207,'Q4 Data'!$B$4:$B$207,$S77)+SUMIFS('Q4 Data'!$O$4:$O$207,'Q4 Data'!$B$4:$B$207,$S77)+SUMIFS('Q4 Data'!$M$4:$M$207,'Q4 Data'!$B$4:$B$207,$S77))</f>
      </c>
      <c r="X77" s="7">
        <f>IF($C77="","",T77+U77+V77+W77)</f>
      </c>
      <c r="Y77" s="7">
        <f>IF($C77="","",M77-L77)</f>
      </c>
      <c r="Z77" s="7">
        <f>IF($C77="","",Y77-X77)</f>
      </c>
      <c r="AA77" s="7">
        <f>IF($C77="","",IF(ROUND(X77-Y77,2)&gt;0,"Over-applied",IF(ROUND(X77-Y77,2)=0,"Fully Utilised","Unconsumed")))</f>
      </c>
    </row>
    <row r="78" spans="1:27" x14ac:dyDescent="0.25">
      <c r="A78" s="7">
        <f>IF($C78="","",COUNTIF($C$4:$C78,"&lt;&gt;"))</f>
      </c>
      <c r="B78" s="8"/>
      <c r="C78" s="8"/>
      <c r="D78" s="8"/>
      <c r="E78" s="8"/>
      <c r="F78" s="8"/>
      <c r="G78" s="8"/>
      <c r="H78" s="8"/>
      <c r="I78" s="8"/>
      <c r="J78" s="8"/>
      <c r="K78" s="8"/>
      <c r="L78" s="8"/>
      <c r="M78" s="7">
        <f>IF($C78="","",G78+H78+I78+J78+K78+L78)</f>
      </c>
      <c r="N78" s="8"/>
      <c r="O78" s="8"/>
      <c r="P78" s="8"/>
      <c r="Q78" s="8"/>
      <c r="R78" s="8"/>
      <c r="S78" s="7">
        <f>IF($C78="","",C78&amp;" | BSR "&amp;B78&amp;" | "&amp;TEXT(D78,"dd-mm-yyyy")&amp;" | ₹"&amp;TEXT(M78,"#,##0"))</f>
      </c>
      <c r="T78" s="7">
        <f>IF($C78="","",SUMIFS('Q1 Data'!$L$4:$L$207,'Q1 Data'!$B$4:$B$207,$S78)+SUMIFS('Q1 Data'!$O$4:$O$207,'Q1 Data'!$B$4:$B$207,$S78)+SUMIFS('Q1 Data'!$M$4:$M$207,'Q1 Data'!$B$4:$B$207,$S78))</f>
      </c>
      <c r="U78" s="7">
        <f>IF($C78="","",SUMIFS('Q2 Data'!$L$4:$L$207,'Q2 Data'!$B$4:$B$207,$S78)+SUMIFS('Q2 Data'!$O$4:$O$207,'Q2 Data'!$B$4:$B$207,$S78)+SUMIFS('Q2 Data'!$M$4:$M$207,'Q2 Data'!$B$4:$B$207,$S78))</f>
      </c>
      <c r="V78" s="7">
        <f>IF($C78="","",SUMIFS('Q3 Data'!$L$4:$L$207,'Q3 Data'!$B$4:$B$207,$S78)+SUMIFS('Q3 Data'!$O$4:$O$207,'Q3 Data'!$B$4:$B$207,$S78)+SUMIFS('Q3 Data'!$M$4:$M$207,'Q3 Data'!$B$4:$B$207,$S78))</f>
      </c>
      <c r="W78" s="7">
        <f>IF($C78="","",SUMIFS('Q4 Data'!$L$4:$L$207,'Q4 Data'!$B$4:$B$207,$S78)+SUMIFS('Q4 Data'!$O$4:$O$207,'Q4 Data'!$B$4:$B$207,$S78)+SUMIFS('Q4 Data'!$M$4:$M$207,'Q4 Data'!$B$4:$B$207,$S78))</f>
      </c>
      <c r="X78" s="7">
        <f>IF($C78="","",T78+U78+V78+W78)</f>
      </c>
      <c r="Y78" s="7">
        <f>IF($C78="","",M78-L78)</f>
      </c>
      <c r="Z78" s="7">
        <f>IF($C78="","",Y78-X78)</f>
      </c>
      <c r="AA78" s="7">
        <f>IF($C78="","",IF(ROUND(X78-Y78,2)&gt;0,"Over-applied",IF(ROUND(X78-Y78,2)=0,"Fully Utilised","Unconsumed")))</f>
      </c>
    </row>
    <row r="79" spans="1:27" x14ac:dyDescent="0.25">
      <c r="A79" s="7">
        <f>IF($C79="","",COUNTIF($C$4:$C79,"&lt;&gt;"))</f>
      </c>
      <c r="B79" s="8"/>
      <c r="C79" s="8"/>
      <c r="D79" s="8"/>
      <c r="E79" s="8"/>
      <c r="F79" s="8"/>
      <c r="G79" s="8"/>
      <c r="H79" s="8"/>
      <c r="I79" s="8"/>
      <c r="J79" s="8"/>
      <c r="K79" s="8"/>
      <c r="L79" s="8"/>
      <c r="M79" s="7">
        <f>IF($C79="","",G79+H79+I79+J79+K79+L79)</f>
      </c>
      <c r="N79" s="8"/>
      <c r="O79" s="8"/>
      <c r="P79" s="8"/>
      <c r="Q79" s="8"/>
      <c r="R79" s="8"/>
      <c r="S79" s="7">
        <f>IF($C79="","",C79&amp;" | BSR "&amp;B79&amp;" | "&amp;TEXT(D79,"dd-mm-yyyy")&amp;" | ₹"&amp;TEXT(M79,"#,##0"))</f>
      </c>
      <c r="T79" s="7">
        <f>IF($C79="","",SUMIFS('Q1 Data'!$L$4:$L$207,'Q1 Data'!$B$4:$B$207,$S79)+SUMIFS('Q1 Data'!$O$4:$O$207,'Q1 Data'!$B$4:$B$207,$S79)+SUMIFS('Q1 Data'!$M$4:$M$207,'Q1 Data'!$B$4:$B$207,$S79))</f>
      </c>
      <c r="U79" s="7">
        <f>IF($C79="","",SUMIFS('Q2 Data'!$L$4:$L$207,'Q2 Data'!$B$4:$B$207,$S79)+SUMIFS('Q2 Data'!$O$4:$O$207,'Q2 Data'!$B$4:$B$207,$S79)+SUMIFS('Q2 Data'!$M$4:$M$207,'Q2 Data'!$B$4:$B$207,$S79))</f>
      </c>
      <c r="V79" s="7">
        <f>IF($C79="","",SUMIFS('Q3 Data'!$L$4:$L$207,'Q3 Data'!$B$4:$B$207,$S79)+SUMIFS('Q3 Data'!$O$4:$O$207,'Q3 Data'!$B$4:$B$207,$S79)+SUMIFS('Q3 Data'!$M$4:$M$207,'Q3 Data'!$B$4:$B$207,$S79))</f>
      </c>
      <c r="W79" s="7">
        <f>IF($C79="","",SUMIFS('Q4 Data'!$L$4:$L$207,'Q4 Data'!$B$4:$B$207,$S79)+SUMIFS('Q4 Data'!$O$4:$O$207,'Q4 Data'!$B$4:$B$207,$S79)+SUMIFS('Q4 Data'!$M$4:$M$207,'Q4 Data'!$B$4:$B$207,$S79))</f>
      </c>
      <c r="X79" s="7">
        <f>IF($C79="","",T79+U79+V79+W79)</f>
      </c>
      <c r="Y79" s="7">
        <f>IF($C79="","",M79-L79)</f>
      </c>
      <c r="Z79" s="7">
        <f>IF($C79="","",Y79-X79)</f>
      </c>
      <c r="AA79" s="7">
        <f>IF($C79="","",IF(ROUND(X79-Y79,2)&gt;0,"Over-applied",IF(ROUND(X79-Y79,2)=0,"Fully Utilised","Unconsumed")))</f>
      </c>
    </row>
    <row r="80" spans="1:27" x14ac:dyDescent="0.25">
      <c r="A80" s="7">
        <f>IF($C80="","",COUNTIF($C$4:$C80,"&lt;&gt;"))</f>
      </c>
      <c r="B80" s="8"/>
      <c r="C80" s="8"/>
      <c r="D80" s="8"/>
      <c r="E80" s="8"/>
      <c r="F80" s="8"/>
      <c r="G80" s="8"/>
      <c r="H80" s="8"/>
      <c r="I80" s="8"/>
      <c r="J80" s="8"/>
      <c r="K80" s="8"/>
      <c r="L80" s="8"/>
      <c r="M80" s="7">
        <f>IF($C80="","",G80+H80+I80+J80+K80+L80)</f>
      </c>
      <c r="N80" s="8"/>
      <c r="O80" s="8"/>
      <c r="P80" s="8"/>
      <c r="Q80" s="8"/>
      <c r="R80" s="8"/>
      <c r="S80" s="7">
        <f>IF($C80="","",C80&amp;" | BSR "&amp;B80&amp;" | "&amp;TEXT(D80,"dd-mm-yyyy")&amp;" | ₹"&amp;TEXT(M80,"#,##0"))</f>
      </c>
      <c r="T80" s="7">
        <f>IF($C80="","",SUMIFS('Q1 Data'!$L$4:$L$207,'Q1 Data'!$B$4:$B$207,$S80)+SUMIFS('Q1 Data'!$O$4:$O$207,'Q1 Data'!$B$4:$B$207,$S80)+SUMIFS('Q1 Data'!$M$4:$M$207,'Q1 Data'!$B$4:$B$207,$S80))</f>
      </c>
      <c r="U80" s="7">
        <f>IF($C80="","",SUMIFS('Q2 Data'!$L$4:$L$207,'Q2 Data'!$B$4:$B$207,$S80)+SUMIFS('Q2 Data'!$O$4:$O$207,'Q2 Data'!$B$4:$B$207,$S80)+SUMIFS('Q2 Data'!$M$4:$M$207,'Q2 Data'!$B$4:$B$207,$S80))</f>
      </c>
      <c r="V80" s="7">
        <f>IF($C80="","",SUMIFS('Q3 Data'!$L$4:$L$207,'Q3 Data'!$B$4:$B$207,$S80)+SUMIFS('Q3 Data'!$O$4:$O$207,'Q3 Data'!$B$4:$B$207,$S80)+SUMIFS('Q3 Data'!$M$4:$M$207,'Q3 Data'!$B$4:$B$207,$S80))</f>
      </c>
      <c r="W80" s="7">
        <f>IF($C80="","",SUMIFS('Q4 Data'!$L$4:$L$207,'Q4 Data'!$B$4:$B$207,$S80)+SUMIFS('Q4 Data'!$O$4:$O$207,'Q4 Data'!$B$4:$B$207,$S80)+SUMIFS('Q4 Data'!$M$4:$M$207,'Q4 Data'!$B$4:$B$207,$S80))</f>
      </c>
      <c r="X80" s="7">
        <f>IF($C80="","",T80+U80+V80+W80)</f>
      </c>
      <c r="Y80" s="7">
        <f>IF($C80="","",M80-L80)</f>
      </c>
      <c r="Z80" s="7">
        <f>IF($C80="","",Y80-X80)</f>
      </c>
      <c r="AA80" s="7">
        <f>IF($C80="","",IF(ROUND(X80-Y80,2)&gt;0,"Over-applied",IF(ROUND(X80-Y80,2)=0,"Fully Utilised","Unconsumed")))</f>
      </c>
    </row>
    <row r="81" spans="1:27" x14ac:dyDescent="0.25">
      <c r="A81" s="7">
        <f>IF($C81="","",COUNTIF($C$4:$C81,"&lt;&gt;"))</f>
      </c>
      <c r="B81" s="8"/>
      <c r="C81" s="8"/>
      <c r="D81" s="8"/>
      <c r="E81" s="8"/>
      <c r="F81" s="8"/>
      <c r="G81" s="8"/>
      <c r="H81" s="8"/>
      <c r="I81" s="8"/>
      <c r="J81" s="8"/>
      <c r="K81" s="8"/>
      <c r="L81" s="8"/>
      <c r="M81" s="7">
        <f>IF($C81="","",G81+H81+I81+J81+K81+L81)</f>
      </c>
      <c r="N81" s="8"/>
      <c r="O81" s="8"/>
      <c r="P81" s="8"/>
      <c r="Q81" s="8"/>
      <c r="R81" s="8"/>
      <c r="S81" s="7">
        <f>IF($C81="","",C81&amp;" | BSR "&amp;B81&amp;" | "&amp;TEXT(D81,"dd-mm-yyyy")&amp;" | ₹"&amp;TEXT(M81,"#,##0"))</f>
      </c>
      <c r="T81" s="7">
        <f>IF($C81="","",SUMIFS('Q1 Data'!$L$4:$L$207,'Q1 Data'!$B$4:$B$207,$S81)+SUMIFS('Q1 Data'!$O$4:$O$207,'Q1 Data'!$B$4:$B$207,$S81)+SUMIFS('Q1 Data'!$M$4:$M$207,'Q1 Data'!$B$4:$B$207,$S81))</f>
      </c>
      <c r="U81" s="7">
        <f>IF($C81="","",SUMIFS('Q2 Data'!$L$4:$L$207,'Q2 Data'!$B$4:$B$207,$S81)+SUMIFS('Q2 Data'!$O$4:$O$207,'Q2 Data'!$B$4:$B$207,$S81)+SUMIFS('Q2 Data'!$M$4:$M$207,'Q2 Data'!$B$4:$B$207,$S81))</f>
      </c>
      <c r="V81" s="7">
        <f>IF($C81="","",SUMIFS('Q3 Data'!$L$4:$L$207,'Q3 Data'!$B$4:$B$207,$S81)+SUMIFS('Q3 Data'!$O$4:$O$207,'Q3 Data'!$B$4:$B$207,$S81)+SUMIFS('Q3 Data'!$M$4:$M$207,'Q3 Data'!$B$4:$B$207,$S81))</f>
      </c>
      <c r="W81" s="7">
        <f>IF($C81="","",SUMIFS('Q4 Data'!$L$4:$L$207,'Q4 Data'!$B$4:$B$207,$S81)+SUMIFS('Q4 Data'!$O$4:$O$207,'Q4 Data'!$B$4:$B$207,$S81)+SUMIFS('Q4 Data'!$M$4:$M$207,'Q4 Data'!$B$4:$B$207,$S81))</f>
      </c>
      <c r="X81" s="7">
        <f>IF($C81="","",T81+U81+V81+W81)</f>
      </c>
      <c r="Y81" s="7">
        <f>IF($C81="","",M81-L81)</f>
      </c>
      <c r="Z81" s="7">
        <f>IF($C81="","",Y81-X81)</f>
      </c>
      <c r="AA81" s="7">
        <f>IF($C81="","",IF(ROUND(X81-Y81,2)&gt;0,"Over-applied",IF(ROUND(X81-Y81,2)=0,"Fully Utilised","Unconsumed")))</f>
      </c>
    </row>
    <row r="82" spans="1:27" x14ac:dyDescent="0.25">
      <c r="A82" s="7">
        <f>IF($C82="","",COUNTIF($C$4:$C82,"&lt;&gt;"))</f>
      </c>
      <c r="B82" s="8"/>
      <c r="C82" s="8"/>
      <c r="D82" s="8"/>
      <c r="E82" s="8"/>
      <c r="F82" s="8"/>
      <c r="G82" s="8"/>
      <c r="H82" s="8"/>
      <c r="I82" s="8"/>
      <c r="J82" s="8"/>
      <c r="K82" s="8"/>
      <c r="L82" s="8"/>
      <c r="M82" s="7">
        <f>IF($C82="","",G82+H82+I82+J82+K82+L82)</f>
      </c>
      <c r="N82" s="8"/>
      <c r="O82" s="8"/>
      <c r="P82" s="8"/>
      <c r="Q82" s="8"/>
      <c r="R82" s="8"/>
      <c r="S82" s="7">
        <f>IF($C82="","",C82&amp;" | BSR "&amp;B82&amp;" | "&amp;TEXT(D82,"dd-mm-yyyy")&amp;" | ₹"&amp;TEXT(M82,"#,##0"))</f>
      </c>
      <c r="T82" s="7">
        <f>IF($C82="","",SUMIFS('Q1 Data'!$L$4:$L$207,'Q1 Data'!$B$4:$B$207,$S82)+SUMIFS('Q1 Data'!$O$4:$O$207,'Q1 Data'!$B$4:$B$207,$S82)+SUMIFS('Q1 Data'!$M$4:$M$207,'Q1 Data'!$B$4:$B$207,$S82))</f>
      </c>
      <c r="U82" s="7">
        <f>IF($C82="","",SUMIFS('Q2 Data'!$L$4:$L$207,'Q2 Data'!$B$4:$B$207,$S82)+SUMIFS('Q2 Data'!$O$4:$O$207,'Q2 Data'!$B$4:$B$207,$S82)+SUMIFS('Q2 Data'!$M$4:$M$207,'Q2 Data'!$B$4:$B$207,$S82))</f>
      </c>
      <c r="V82" s="7">
        <f>IF($C82="","",SUMIFS('Q3 Data'!$L$4:$L$207,'Q3 Data'!$B$4:$B$207,$S82)+SUMIFS('Q3 Data'!$O$4:$O$207,'Q3 Data'!$B$4:$B$207,$S82)+SUMIFS('Q3 Data'!$M$4:$M$207,'Q3 Data'!$B$4:$B$207,$S82))</f>
      </c>
      <c r="W82" s="7">
        <f>IF($C82="","",SUMIFS('Q4 Data'!$L$4:$L$207,'Q4 Data'!$B$4:$B$207,$S82)+SUMIFS('Q4 Data'!$O$4:$O$207,'Q4 Data'!$B$4:$B$207,$S82)+SUMIFS('Q4 Data'!$M$4:$M$207,'Q4 Data'!$B$4:$B$207,$S82))</f>
      </c>
      <c r="X82" s="7">
        <f>IF($C82="","",T82+U82+V82+W82)</f>
      </c>
      <c r="Y82" s="7">
        <f>IF($C82="","",M82-L82)</f>
      </c>
      <c r="Z82" s="7">
        <f>IF($C82="","",Y82-X82)</f>
      </c>
      <c r="AA82" s="7">
        <f>IF($C82="","",IF(ROUND(X82-Y82,2)&gt;0,"Over-applied",IF(ROUND(X82-Y82,2)=0,"Fully Utilised","Unconsumed")))</f>
      </c>
    </row>
    <row r="83" spans="1:27" x14ac:dyDescent="0.25">
      <c r="A83" s="7">
        <f>IF($C83="","",COUNTIF($C$4:$C83,"&lt;&gt;"))</f>
      </c>
      <c r="B83" s="8"/>
      <c r="C83" s="8"/>
      <c r="D83" s="8"/>
      <c r="E83" s="8"/>
      <c r="F83" s="8"/>
      <c r="G83" s="8"/>
      <c r="H83" s="8"/>
      <c r="I83" s="8"/>
      <c r="J83" s="8"/>
      <c r="K83" s="8"/>
      <c r="L83" s="8"/>
      <c r="M83" s="7">
        <f>IF($C83="","",G83+H83+I83+J83+K83+L83)</f>
      </c>
      <c r="N83" s="8"/>
      <c r="O83" s="8"/>
      <c r="P83" s="8"/>
      <c r="Q83" s="8"/>
      <c r="R83" s="8"/>
      <c r="S83" s="7">
        <f>IF($C83="","",C83&amp;" | BSR "&amp;B83&amp;" | "&amp;TEXT(D83,"dd-mm-yyyy")&amp;" | ₹"&amp;TEXT(M83,"#,##0"))</f>
      </c>
      <c r="T83" s="7">
        <f>IF($C83="","",SUMIFS('Q1 Data'!$L$4:$L$207,'Q1 Data'!$B$4:$B$207,$S83)+SUMIFS('Q1 Data'!$O$4:$O$207,'Q1 Data'!$B$4:$B$207,$S83)+SUMIFS('Q1 Data'!$M$4:$M$207,'Q1 Data'!$B$4:$B$207,$S83))</f>
      </c>
      <c r="U83" s="7">
        <f>IF($C83="","",SUMIFS('Q2 Data'!$L$4:$L$207,'Q2 Data'!$B$4:$B$207,$S83)+SUMIFS('Q2 Data'!$O$4:$O$207,'Q2 Data'!$B$4:$B$207,$S83)+SUMIFS('Q2 Data'!$M$4:$M$207,'Q2 Data'!$B$4:$B$207,$S83))</f>
      </c>
      <c r="V83" s="7">
        <f>IF($C83="","",SUMIFS('Q3 Data'!$L$4:$L$207,'Q3 Data'!$B$4:$B$207,$S83)+SUMIFS('Q3 Data'!$O$4:$O$207,'Q3 Data'!$B$4:$B$207,$S83)+SUMIFS('Q3 Data'!$M$4:$M$207,'Q3 Data'!$B$4:$B$207,$S83))</f>
      </c>
      <c r="W83" s="7">
        <f>IF($C83="","",SUMIFS('Q4 Data'!$L$4:$L$207,'Q4 Data'!$B$4:$B$207,$S83)+SUMIFS('Q4 Data'!$O$4:$O$207,'Q4 Data'!$B$4:$B$207,$S83)+SUMIFS('Q4 Data'!$M$4:$M$207,'Q4 Data'!$B$4:$B$207,$S83))</f>
      </c>
      <c r="X83" s="7">
        <f>IF($C83="","",T83+U83+V83+W83)</f>
      </c>
      <c r="Y83" s="7">
        <f>IF($C83="","",M83-L83)</f>
      </c>
      <c r="Z83" s="7">
        <f>IF($C83="","",Y83-X83)</f>
      </c>
      <c r="AA83" s="7">
        <f>IF($C83="","",IF(ROUND(X83-Y83,2)&gt;0,"Over-applied",IF(ROUND(X83-Y83,2)=0,"Fully Utilised","Unconsumed")))</f>
      </c>
    </row>
    <row r="84" spans="1:27" x14ac:dyDescent="0.25">
      <c r="A84" s="7">
        <f>IF($C84="","",COUNTIF($C$4:$C84,"&lt;&gt;"))</f>
      </c>
      <c r="B84" s="8"/>
      <c r="C84" s="8"/>
      <c r="D84" s="8"/>
      <c r="E84" s="8"/>
      <c r="F84" s="8"/>
      <c r="G84" s="8"/>
      <c r="H84" s="8"/>
      <c r="I84" s="8"/>
      <c r="J84" s="8"/>
      <c r="K84" s="8"/>
      <c r="L84" s="8"/>
      <c r="M84" s="7">
        <f>IF($C84="","",G84+H84+I84+J84+K84+L84)</f>
      </c>
      <c r="N84" s="8"/>
      <c r="O84" s="8"/>
      <c r="P84" s="8"/>
      <c r="Q84" s="8"/>
      <c r="R84" s="8"/>
      <c r="S84" s="7">
        <f>IF($C84="","",C84&amp;" | BSR "&amp;B84&amp;" | "&amp;TEXT(D84,"dd-mm-yyyy")&amp;" | ₹"&amp;TEXT(M84,"#,##0"))</f>
      </c>
      <c r="T84" s="7">
        <f>IF($C84="","",SUMIFS('Q1 Data'!$L$4:$L$207,'Q1 Data'!$B$4:$B$207,$S84)+SUMIFS('Q1 Data'!$O$4:$O$207,'Q1 Data'!$B$4:$B$207,$S84)+SUMIFS('Q1 Data'!$M$4:$M$207,'Q1 Data'!$B$4:$B$207,$S84))</f>
      </c>
      <c r="U84" s="7">
        <f>IF($C84="","",SUMIFS('Q2 Data'!$L$4:$L$207,'Q2 Data'!$B$4:$B$207,$S84)+SUMIFS('Q2 Data'!$O$4:$O$207,'Q2 Data'!$B$4:$B$207,$S84)+SUMIFS('Q2 Data'!$M$4:$M$207,'Q2 Data'!$B$4:$B$207,$S84))</f>
      </c>
      <c r="V84" s="7">
        <f>IF($C84="","",SUMIFS('Q3 Data'!$L$4:$L$207,'Q3 Data'!$B$4:$B$207,$S84)+SUMIFS('Q3 Data'!$O$4:$O$207,'Q3 Data'!$B$4:$B$207,$S84)+SUMIFS('Q3 Data'!$M$4:$M$207,'Q3 Data'!$B$4:$B$207,$S84))</f>
      </c>
      <c r="W84" s="7">
        <f>IF($C84="","",SUMIFS('Q4 Data'!$L$4:$L$207,'Q4 Data'!$B$4:$B$207,$S84)+SUMIFS('Q4 Data'!$O$4:$O$207,'Q4 Data'!$B$4:$B$207,$S84)+SUMIFS('Q4 Data'!$M$4:$M$207,'Q4 Data'!$B$4:$B$207,$S84))</f>
      </c>
      <c r="X84" s="7">
        <f>IF($C84="","",T84+U84+V84+W84)</f>
      </c>
      <c r="Y84" s="7">
        <f>IF($C84="","",M84-L84)</f>
      </c>
      <c r="Z84" s="7">
        <f>IF($C84="","",Y84-X84)</f>
      </c>
      <c r="AA84" s="7">
        <f>IF($C84="","",IF(ROUND(X84-Y84,2)&gt;0,"Over-applied",IF(ROUND(X84-Y84,2)=0,"Fully Utilised","Unconsumed")))</f>
      </c>
    </row>
    <row r="85" spans="1:27" x14ac:dyDescent="0.25">
      <c r="A85" s="7">
        <f>IF($C85="","",COUNTIF($C$4:$C85,"&lt;&gt;"))</f>
      </c>
      <c r="B85" s="8"/>
      <c r="C85" s="8"/>
      <c r="D85" s="8"/>
      <c r="E85" s="8"/>
      <c r="F85" s="8"/>
      <c r="G85" s="8"/>
      <c r="H85" s="8"/>
      <c r="I85" s="8"/>
      <c r="J85" s="8"/>
      <c r="K85" s="8"/>
      <c r="L85" s="8"/>
      <c r="M85" s="7">
        <f>IF($C85="","",G85+H85+I85+J85+K85+L85)</f>
      </c>
      <c r="N85" s="8"/>
      <c r="O85" s="8"/>
      <c r="P85" s="8"/>
      <c r="Q85" s="8"/>
      <c r="R85" s="8"/>
      <c r="S85" s="7">
        <f>IF($C85="","",C85&amp;" | BSR "&amp;B85&amp;" | "&amp;TEXT(D85,"dd-mm-yyyy")&amp;" | ₹"&amp;TEXT(M85,"#,##0"))</f>
      </c>
      <c r="T85" s="7">
        <f>IF($C85="","",SUMIFS('Q1 Data'!$L$4:$L$207,'Q1 Data'!$B$4:$B$207,$S85)+SUMIFS('Q1 Data'!$O$4:$O$207,'Q1 Data'!$B$4:$B$207,$S85)+SUMIFS('Q1 Data'!$M$4:$M$207,'Q1 Data'!$B$4:$B$207,$S85))</f>
      </c>
      <c r="U85" s="7">
        <f>IF($C85="","",SUMIFS('Q2 Data'!$L$4:$L$207,'Q2 Data'!$B$4:$B$207,$S85)+SUMIFS('Q2 Data'!$O$4:$O$207,'Q2 Data'!$B$4:$B$207,$S85)+SUMIFS('Q2 Data'!$M$4:$M$207,'Q2 Data'!$B$4:$B$207,$S85))</f>
      </c>
      <c r="V85" s="7">
        <f>IF($C85="","",SUMIFS('Q3 Data'!$L$4:$L$207,'Q3 Data'!$B$4:$B$207,$S85)+SUMIFS('Q3 Data'!$O$4:$O$207,'Q3 Data'!$B$4:$B$207,$S85)+SUMIFS('Q3 Data'!$M$4:$M$207,'Q3 Data'!$B$4:$B$207,$S85))</f>
      </c>
      <c r="W85" s="7">
        <f>IF($C85="","",SUMIFS('Q4 Data'!$L$4:$L$207,'Q4 Data'!$B$4:$B$207,$S85)+SUMIFS('Q4 Data'!$O$4:$O$207,'Q4 Data'!$B$4:$B$207,$S85)+SUMIFS('Q4 Data'!$M$4:$M$207,'Q4 Data'!$B$4:$B$207,$S85))</f>
      </c>
      <c r="X85" s="7">
        <f>IF($C85="","",T85+U85+V85+W85)</f>
      </c>
      <c r="Y85" s="7">
        <f>IF($C85="","",M85-L85)</f>
      </c>
      <c r="Z85" s="7">
        <f>IF($C85="","",Y85-X85)</f>
      </c>
      <c r="AA85" s="7">
        <f>IF($C85="","",IF(ROUND(X85-Y85,2)&gt;0,"Over-applied",IF(ROUND(X85-Y85,2)=0,"Fully Utilised","Unconsumed")))</f>
      </c>
    </row>
    <row r="86" spans="1:27" x14ac:dyDescent="0.25">
      <c r="A86" s="7">
        <f>IF($C86="","",COUNTIF($C$4:$C86,"&lt;&gt;"))</f>
      </c>
      <c r="B86" s="8"/>
      <c r="C86" s="8"/>
      <c r="D86" s="8"/>
      <c r="E86" s="8"/>
      <c r="F86" s="8"/>
      <c r="G86" s="8"/>
      <c r="H86" s="8"/>
      <c r="I86" s="8"/>
      <c r="J86" s="8"/>
      <c r="K86" s="8"/>
      <c r="L86" s="8"/>
      <c r="M86" s="7">
        <f>IF($C86="","",G86+H86+I86+J86+K86+L86)</f>
      </c>
      <c r="N86" s="8"/>
      <c r="O86" s="8"/>
      <c r="P86" s="8"/>
      <c r="Q86" s="8"/>
      <c r="R86" s="8"/>
      <c r="S86" s="7">
        <f>IF($C86="","",C86&amp;" | BSR "&amp;B86&amp;" | "&amp;TEXT(D86,"dd-mm-yyyy")&amp;" | ₹"&amp;TEXT(M86,"#,##0"))</f>
      </c>
      <c r="T86" s="7">
        <f>IF($C86="","",SUMIFS('Q1 Data'!$L$4:$L$207,'Q1 Data'!$B$4:$B$207,$S86)+SUMIFS('Q1 Data'!$O$4:$O$207,'Q1 Data'!$B$4:$B$207,$S86)+SUMIFS('Q1 Data'!$M$4:$M$207,'Q1 Data'!$B$4:$B$207,$S86))</f>
      </c>
      <c r="U86" s="7">
        <f>IF($C86="","",SUMIFS('Q2 Data'!$L$4:$L$207,'Q2 Data'!$B$4:$B$207,$S86)+SUMIFS('Q2 Data'!$O$4:$O$207,'Q2 Data'!$B$4:$B$207,$S86)+SUMIFS('Q2 Data'!$M$4:$M$207,'Q2 Data'!$B$4:$B$207,$S86))</f>
      </c>
      <c r="V86" s="7">
        <f>IF($C86="","",SUMIFS('Q3 Data'!$L$4:$L$207,'Q3 Data'!$B$4:$B$207,$S86)+SUMIFS('Q3 Data'!$O$4:$O$207,'Q3 Data'!$B$4:$B$207,$S86)+SUMIFS('Q3 Data'!$M$4:$M$207,'Q3 Data'!$B$4:$B$207,$S86))</f>
      </c>
      <c r="W86" s="7">
        <f>IF($C86="","",SUMIFS('Q4 Data'!$L$4:$L$207,'Q4 Data'!$B$4:$B$207,$S86)+SUMIFS('Q4 Data'!$O$4:$O$207,'Q4 Data'!$B$4:$B$207,$S86)+SUMIFS('Q4 Data'!$M$4:$M$207,'Q4 Data'!$B$4:$B$207,$S86))</f>
      </c>
      <c r="X86" s="7">
        <f>IF($C86="","",T86+U86+V86+W86)</f>
      </c>
      <c r="Y86" s="7">
        <f>IF($C86="","",M86-L86)</f>
      </c>
      <c r="Z86" s="7">
        <f>IF($C86="","",Y86-X86)</f>
      </c>
      <c r="AA86" s="7">
        <f>IF($C86="","",IF(ROUND(X86-Y86,2)&gt;0,"Over-applied",IF(ROUND(X86-Y86,2)=0,"Fully Utilised","Unconsumed")))</f>
      </c>
    </row>
    <row r="87" spans="1:27" x14ac:dyDescent="0.25">
      <c r="A87" s="7">
        <f>IF($C87="","",COUNTIF($C$4:$C87,"&lt;&gt;"))</f>
      </c>
      <c r="B87" s="8"/>
      <c r="C87" s="8"/>
      <c r="D87" s="8"/>
      <c r="E87" s="8"/>
      <c r="F87" s="8"/>
      <c r="G87" s="8"/>
      <c r="H87" s="8"/>
      <c r="I87" s="8"/>
      <c r="J87" s="8"/>
      <c r="K87" s="8"/>
      <c r="L87" s="8"/>
      <c r="M87" s="7">
        <f>IF($C87="","",G87+H87+I87+J87+K87+L87)</f>
      </c>
      <c r="N87" s="8"/>
      <c r="O87" s="8"/>
      <c r="P87" s="8"/>
      <c r="Q87" s="8"/>
      <c r="R87" s="8"/>
      <c r="S87" s="7">
        <f>IF($C87="","",C87&amp;" | BSR "&amp;B87&amp;" | "&amp;TEXT(D87,"dd-mm-yyyy")&amp;" | ₹"&amp;TEXT(M87,"#,##0"))</f>
      </c>
      <c r="T87" s="7">
        <f>IF($C87="","",SUMIFS('Q1 Data'!$L$4:$L$207,'Q1 Data'!$B$4:$B$207,$S87)+SUMIFS('Q1 Data'!$O$4:$O$207,'Q1 Data'!$B$4:$B$207,$S87)+SUMIFS('Q1 Data'!$M$4:$M$207,'Q1 Data'!$B$4:$B$207,$S87))</f>
      </c>
      <c r="U87" s="7">
        <f>IF($C87="","",SUMIFS('Q2 Data'!$L$4:$L$207,'Q2 Data'!$B$4:$B$207,$S87)+SUMIFS('Q2 Data'!$O$4:$O$207,'Q2 Data'!$B$4:$B$207,$S87)+SUMIFS('Q2 Data'!$M$4:$M$207,'Q2 Data'!$B$4:$B$207,$S87))</f>
      </c>
      <c r="V87" s="7">
        <f>IF($C87="","",SUMIFS('Q3 Data'!$L$4:$L$207,'Q3 Data'!$B$4:$B$207,$S87)+SUMIFS('Q3 Data'!$O$4:$O$207,'Q3 Data'!$B$4:$B$207,$S87)+SUMIFS('Q3 Data'!$M$4:$M$207,'Q3 Data'!$B$4:$B$207,$S87))</f>
      </c>
      <c r="W87" s="7">
        <f>IF($C87="","",SUMIFS('Q4 Data'!$L$4:$L$207,'Q4 Data'!$B$4:$B$207,$S87)+SUMIFS('Q4 Data'!$O$4:$O$207,'Q4 Data'!$B$4:$B$207,$S87)+SUMIFS('Q4 Data'!$M$4:$M$207,'Q4 Data'!$B$4:$B$207,$S87))</f>
      </c>
      <c r="X87" s="7">
        <f>IF($C87="","",T87+U87+V87+W87)</f>
      </c>
      <c r="Y87" s="7">
        <f>IF($C87="","",M87-L87)</f>
      </c>
      <c r="Z87" s="7">
        <f>IF($C87="","",Y87-X87)</f>
      </c>
      <c r="AA87" s="7">
        <f>IF($C87="","",IF(ROUND(X87-Y87,2)&gt;0,"Over-applied",IF(ROUND(X87-Y87,2)=0,"Fully Utilised","Unconsumed")))</f>
      </c>
    </row>
    <row r="88" spans="1:27" x14ac:dyDescent="0.25">
      <c r="A88" s="7">
        <f>IF($C88="","",COUNTIF($C$4:$C88,"&lt;&gt;"))</f>
      </c>
      <c r="B88" s="8"/>
      <c r="C88" s="8"/>
      <c r="D88" s="8"/>
      <c r="E88" s="8"/>
      <c r="F88" s="8"/>
      <c r="G88" s="8"/>
      <c r="H88" s="8"/>
      <c r="I88" s="8"/>
      <c r="J88" s="8"/>
      <c r="K88" s="8"/>
      <c r="L88" s="8"/>
      <c r="M88" s="7">
        <f>IF($C88="","",G88+H88+I88+J88+K88+L88)</f>
      </c>
      <c r="N88" s="8"/>
      <c r="O88" s="8"/>
      <c r="P88" s="8"/>
      <c r="Q88" s="8"/>
      <c r="R88" s="8"/>
      <c r="S88" s="7">
        <f>IF($C88="","",C88&amp;" | BSR "&amp;B88&amp;" | "&amp;TEXT(D88,"dd-mm-yyyy")&amp;" | ₹"&amp;TEXT(M88,"#,##0"))</f>
      </c>
      <c r="T88" s="7">
        <f>IF($C88="","",SUMIFS('Q1 Data'!$L$4:$L$207,'Q1 Data'!$B$4:$B$207,$S88)+SUMIFS('Q1 Data'!$O$4:$O$207,'Q1 Data'!$B$4:$B$207,$S88)+SUMIFS('Q1 Data'!$M$4:$M$207,'Q1 Data'!$B$4:$B$207,$S88))</f>
      </c>
      <c r="U88" s="7">
        <f>IF($C88="","",SUMIFS('Q2 Data'!$L$4:$L$207,'Q2 Data'!$B$4:$B$207,$S88)+SUMIFS('Q2 Data'!$O$4:$O$207,'Q2 Data'!$B$4:$B$207,$S88)+SUMIFS('Q2 Data'!$M$4:$M$207,'Q2 Data'!$B$4:$B$207,$S88))</f>
      </c>
      <c r="V88" s="7">
        <f>IF($C88="","",SUMIFS('Q3 Data'!$L$4:$L$207,'Q3 Data'!$B$4:$B$207,$S88)+SUMIFS('Q3 Data'!$O$4:$O$207,'Q3 Data'!$B$4:$B$207,$S88)+SUMIFS('Q3 Data'!$M$4:$M$207,'Q3 Data'!$B$4:$B$207,$S88))</f>
      </c>
      <c r="W88" s="7">
        <f>IF($C88="","",SUMIFS('Q4 Data'!$L$4:$L$207,'Q4 Data'!$B$4:$B$207,$S88)+SUMIFS('Q4 Data'!$O$4:$O$207,'Q4 Data'!$B$4:$B$207,$S88)+SUMIFS('Q4 Data'!$M$4:$M$207,'Q4 Data'!$B$4:$B$207,$S88))</f>
      </c>
      <c r="X88" s="7">
        <f>IF($C88="","",T88+U88+V88+W88)</f>
      </c>
      <c r="Y88" s="7">
        <f>IF($C88="","",M88-L88)</f>
      </c>
      <c r="Z88" s="7">
        <f>IF($C88="","",Y88-X88)</f>
      </c>
      <c r="AA88" s="7">
        <f>IF($C88="","",IF(ROUND(X88-Y88,2)&gt;0,"Over-applied",IF(ROUND(X88-Y88,2)=0,"Fully Utilised","Unconsumed")))</f>
      </c>
    </row>
    <row r="89" spans="1:27" x14ac:dyDescent="0.25">
      <c r="A89" s="7">
        <f>IF($C89="","",COUNTIF($C$4:$C89,"&lt;&gt;"))</f>
      </c>
      <c r="B89" s="8"/>
      <c r="C89" s="8"/>
      <c r="D89" s="8"/>
      <c r="E89" s="8"/>
      <c r="F89" s="8"/>
      <c r="G89" s="8"/>
      <c r="H89" s="8"/>
      <c r="I89" s="8"/>
      <c r="J89" s="8"/>
      <c r="K89" s="8"/>
      <c r="L89" s="8"/>
      <c r="M89" s="7">
        <f>IF($C89="","",G89+H89+I89+J89+K89+L89)</f>
      </c>
      <c r="N89" s="8"/>
      <c r="O89" s="8"/>
      <c r="P89" s="8"/>
      <c r="Q89" s="8"/>
      <c r="R89" s="8"/>
      <c r="S89" s="7">
        <f>IF($C89="","",C89&amp;" | BSR "&amp;B89&amp;" | "&amp;TEXT(D89,"dd-mm-yyyy")&amp;" | ₹"&amp;TEXT(M89,"#,##0"))</f>
      </c>
      <c r="T89" s="7">
        <f>IF($C89="","",SUMIFS('Q1 Data'!$L$4:$L$207,'Q1 Data'!$B$4:$B$207,$S89)+SUMIFS('Q1 Data'!$O$4:$O$207,'Q1 Data'!$B$4:$B$207,$S89)+SUMIFS('Q1 Data'!$M$4:$M$207,'Q1 Data'!$B$4:$B$207,$S89))</f>
      </c>
      <c r="U89" s="7">
        <f>IF($C89="","",SUMIFS('Q2 Data'!$L$4:$L$207,'Q2 Data'!$B$4:$B$207,$S89)+SUMIFS('Q2 Data'!$O$4:$O$207,'Q2 Data'!$B$4:$B$207,$S89)+SUMIFS('Q2 Data'!$M$4:$M$207,'Q2 Data'!$B$4:$B$207,$S89))</f>
      </c>
      <c r="V89" s="7">
        <f>IF($C89="","",SUMIFS('Q3 Data'!$L$4:$L$207,'Q3 Data'!$B$4:$B$207,$S89)+SUMIFS('Q3 Data'!$O$4:$O$207,'Q3 Data'!$B$4:$B$207,$S89)+SUMIFS('Q3 Data'!$M$4:$M$207,'Q3 Data'!$B$4:$B$207,$S89))</f>
      </c>
      <c r="W89" s="7">
        <f>IF($C89="","",SUMIFS('Q4 Data'!$L$4:$L$207,'Q4 Data'!$B$4:$B$207,$S89)+SUMIFS('Q4 Data'!$O$4:$O$207,'Q4 Data'!$B$4:$B$207,$S89)+SUMIFS('Q4 Data'!$M$4:$M$207,'Q4 Data'!$B$4:$B$207,$S89))</f>
      </c>
      <c r="X89" s="7">
        <f>IF($C89="","",T89+U89+V89+W89)</f>
      </c>
      <c r="Y89" s="7">
        <f>IF($C89="","",M89-L89)</f>
      </c>
      <c r="Z89" s="7">
        <f>IF($C89="","",Y89-X89)</f>
      </c>
      <c r="AA89" s="7">
        <f>IF($C89="","",IF(ROUND(X89-Y89,2)&gt;0,"Over-applied",IF(ROUND(X89-Y89,2)=0,"Fully Utilised","Unconsumed")))</f>
      </c>
    </row>
    <row r="90" spans="1:27" x14ac:dyDescent="0.25">
      <c r="A90" s="7">
        <f>IF($C90="","",COUNTIF($C$4:$C90,"&lt;&gt;"))</f>
      </c>
      <c r="B90" s="8"/>
      <c r="C90" s="8"/>
      <c r="D90" s="8"/>
      <c r="E90" s="8"/>
      <c r="F90" s="8"/>
      <c r="G90" s="8"/>
      <c r="H90" s="8"/>
      <c r="I90" s="8"/>
      <c r="J90" s="8"/>
      <c r="K90" s="8"/>
      <c r="L90" s="8"/>
      <c r="M90" s="7">
        <f>IF($C90="","",G90+H90+I90+J90+K90+L90)</f>
      </c>
      <c r="N90" s="8"/>
      <c r="O90" s="8"/>
      <c r="P90" s="8"/>
      <c r="Q90" s="8"/>
      <c r="R90" s="8"/>
      <c r="S90" s="7">
        <f>IF($C90="","",C90&amp;" | BSR "&amp;B90&amp;" | "&amp;TEXT(D90,"dd-mm-yyyy")&amp;" | ₹"&amp;TEXT(M90,"#,##0"))</f>
      </c>
      <c r="T90" s="7">
        <f>IF($C90="","",SUMIFS('Q1 Data'!$L$4:$L$207,'Q1 Data'!$B$4:$B$207,$S90)+SUMIFS('Q1 Data'!$O$4:$O$207,'Q1 Data'!$B$4:$B$207,$S90)+SUMIFS('Q1 Data'!$M$4:$M$207,'Q1 Data'!$B$4:$B$207,$S90))</f>
      </c>
      <c r="U90" s="7">
        <f>IF($C90="","",SUMIFS('Q2 Data'!$L$4:$L$207,'Q2 Data'!$B$4:$B$207,$S90)+SUMIFS('Q2 Data'!$O$4:$O$207,'Q2 Data'!$B$4:$B$207,$S90)+SUMIFS('Q2 Data'!$M$4:$M$207,'Q2 Data'!$B$4:$B$207,$S90))</f>
      </c>
      <c r="V90" s="7">
        <f>IF($C90="","",SUMIFS('Q3 Data'!$L$4:$L$207,'Q3 Data'!$B$4:$B$207,$S90)+SUMIFS('Q3 Data'!$O$4:$O$207,'Q3 Data'!$B$4:$B$207,$S90)+SUMIFS('Q3 Data'!$M$4:$M$207,'Q3 Data'!$B$4:$B$207,$S90))</f>
      </c>
      <c r="W90" s="7">
        <f>IF($C90="","",SUMIFS('Q4 Data'!$L$4:$L$207,'Q4 Data'!$B$4:$B$207,$S90)+SUMIFS('Q4 Data'!$O$4:$O$207,'Q4 Data'!$B$4:$B$207,$S90)+SUMIFS('Q4 Data'!$M$4:$M$207,'Q4 Data'!$B$4:$B$207,$S90))</f>
      </c>
      <c r="X90" s="7">
        <f>IF($C90="","",T90+U90+V90+W90)</f>
      </c>
      <c r="Y90" s="7">
        <f>IF($C90="","",M90-L90)</f>
      </c>
      <c r="Z90" s="7">
        <f>IF($C90="","",Y90-X90)</f>
      </c>
      <c r="AA90" s="7">
        <f>IF($C90="","",IF(ROUND(X90-Y90,2)&gt;0,"Over-applied",IF(ROUND(X90-Y90,2)=0,"Fully Utilised","Unconsumed")))</f>
      </c>
    </row>
    <row r="91" spans="1:27" x14ac:dyDescent="0.25">
      <c r="A91" s="7">
        <f>IF($C91="","",COUNTIF($C$4:$C91,"&lt;&gt;"))</f>
      </c>
      <c r="B91" s="8"/>
      <c r="C91" s="8"/>
      <c r="D91" s="8"/>
      <c r="E91" s="8"/>
      <c r="F91" s="8"/>
      <c r="G91" s="8"/>
      <c r="H91" s="8"/>
      <c r="I91" s="8"/>
      <c r="J91" s="8"/>
      <c r="K91" s="8"/>
      <c r="L91" s="8"/>
      <c r="M91" s="7">
        <f>IF($C91="","",G91+H91+I91+J91+K91+L91)</f>
      </c>
      <c r="N91" s="8"/>
      <c r="O91" s="8"/>
      <c r="P91" s="8"/>
      <c r="Q91" s="8"/>
      <c r="R91" s="8"/>
      <c r="S91" s="7">
        <f>IF($C91="","",C91&amp;" | BSR "&amp;B91&amp;" | "&amp;TEXT(D91,"dd-mm-yyyy")&amp;" | ₹"&amp;TEXT(M91,"#,##0"))</f>
      </c>
      <c r="T91" s="7">
        <f>IF($C91="","",SUMIFS('Q1 Data'!$L$4:$L$207,'Q1 Data'!$B$4:$B$207,$S91)+SUMIFS('Q1 Data'!$O$4:$O$207,'Q1 Data'!$B$4:$B$207,$S91)+SUMIFS('Q1 Data'!$M$4:$M$207,'Q1 Data'!$B$4:$B$207,$S91))</f>
      </c>
      <c r="U91" s="7">
        <f>IF($C91="","",SUMIFS('Q2 Data'!$L$4:$L$207,'Q2 Data'!$B$4:$B$207,$S91)+SUMIFS('Q2 Data'!$O$4:$O$207,'Q2 Data'!$B$4:$B$207,$S91)+SUMIFS('Q2 Data'!$M$4:$M$207,'Q2 Data'!$B$4:$B$207,$S91))</f>
      </c>
      <c r="V91" s="7">
        <f>IF($C91="","",SUMIFS('Q3 Data'!$L$4:$L$207,'Q3 Data'!$B$4:$B$207,$S91)+SUMIFS('Q3 Data'!$O$4:$O$207,'Q3 Data'!$B$4:$B$207,$S91)+SUMIFS('Q3 Data'!$M$4:$M$207,'Q3 Data'!$B$4:$B$207,$S91))</f>
      </c>
      <c r="W91" s="7">
        <f>IF($C91="","",SUMIFS('Q4 Data'!$L$4:$L$207,'Q4 Data'!$B$4:$B$207,$S91)+SUMIFS('Q4 Data'!$O$4:$O$207,'Q4 Data'!$B$4:$B$207,$S91)+SUMIFS('Q4 Data'!$M$4:$M$207,'Q4 Data'!$B$4:$B$207,$S91))</f>
      </c>
      <c r="X91" s="7">
        <f>IF($C91="","",T91+U91+V91+W91)</f>
      </c>
      <c r="Y91" s="7">
        <f>IF($C91="","",M91-L91)</f>
      </c>
      <c r="Z91" s="7">
        <f>IF($C91="","",Y91-X91)</f>
      </c>
      <c r="AA91" s="7">
        <f>IF($C91="","",IF(ROUND(X91-Y91,2)&gt;0,"Over-applied",IF(ROUND(X91-Y91,2)=0,"Fully Utilised","Unconsumed")))</f>
      </c>
    </row>
    <row r="92" spans="1:27" x14ac:dyDescent="0.25">
      <c r="A92" s="7">
        <f>IF($C92="","",COUNTIF($C$4:$C92,"&lt;&gt;"))</f>
      </c>
      <c r="B92" s="8"/>
      <c r="C92" s="8"/>
      <c r="D92" s="8"/>
      <c r="E92" s="8"/>
      <c r="F92" s="8"/>
      <c r="G92" s="8"/>
      <c r="H92" s="8"/>
      <c r="I92" s="8"/>
      <c r="J92" s="8"/>
      <c r="K92" s="8"/>
      <c r="L92" s="8"/>
      <c r="M92" s="7">
        <f>IF($C92="","",G92+H92+I92+J92+K92+L92)</f>
      </c>
      <c r="N92" s="8"/>
      <c r="O92" s="8"/>
      <c r="P92" s="8"/>
      <c r="Q92" s="8"/>
      <c r="R92" s="8"/>
      <c r="S92" s="7">
        <f>IF($C92="","",C92&amp;" | BSR "&amp;B92&amp;" | "&amp;TEXT(D92,"dd-mm-yyyy")&amp;" | ₹"&amp;TEXT(M92,"#,##0"))</f>
      </c>
      <c r="T92" s="7">
        <f>IF($C92="","",SUMIFS('Q1 Data'!$L$4:$L$207,'Q1 Data'!$B$4:$B$207,$S92)+SUMIFS('Q1 Data'!$O$4:$O$207,'Q1 Data'!$B$4:$B$207,$S92)+SUMIFS('Q1 Data'!$M$4:$M$207,'Q1 Data'!$B$4:$B$207,$S92))</f>
      </c>
      <c r="U92" s="7">
        <f>IF($C92="","",SUMIFS('Q2 Data'!$L$4:$L$207,'Q2 Data'!$B$4:$B$207,$S92)+SUMIFS('Q2 Data'!$O$4:$O$207,'Q2 Data'!$B$4:$B$207,$S92)+SUMIFS('Q2 Data'!$M$4:$M$207,'Q2 Data'!$B$4:$B$207,$S92))</f>
      </c>
      <c r="V92" s="7">
        <f>IF($C92="","",SUMIFS('Q3 Data'!$L$4:$L$207,'Q3 Data'!$B$4:$B$207,$S92)+SUMIFS('Q3 Data'!$O$4:$O$207,'Q3 Data'!$B$4:$B$207,$S92)+SUMIFS('Q3 Data'!$M$4:$M$207,'Q3 Data'!$B$4:$B$207,$S92))</f>
      </c>
      <c r="W92" s="7">
        <f>IF($C92="","",SUMIFS('Q4 Data'!$L$4:$L$207,'Q4 Data'!$B$4:$B$207,$S92)+SUMIFS('Q4 Data'!$O$4:$O$207,'Q4 Data'!$B$4:$B$207,$S92)+SUMIFS('Q4 Data'!$M$4:$M$207,'Q4 Data'!$B$4:$B$207,$S92))</f>
      </c>
      <c r="X92" s="7">
        <f>IF($C92="","",T92+U92+V92+W92)</f>
      </c>
      <c r="Y92" s="7">
        <f>IF($C92="","",M92-L92)</f>
      </c>
      <c r="Z92" s="7">
        <f>IF($C92="","",Y92-X92)</f>
      </c>
      <c r="AA92" s="7">
        <f>IF($C92="","",IF(ROUND(X92-Y92,2)&gt;0,"Over-applied",IF(ROUND(X92-Y92,2)=0,"Fully Utilised","Unconsumed")))</f>
      </c>
    </row>
    <row r="93" spans="1:27" x14ac:dyDescent="0.25">
      <c r="A93" s="7">
        <f>IF($C93="","",COUNTIF($C$4:$C93,"&lt;&gt;"))</f>
      </c>
      <c r="B93" s="8"/>
      <c r="C93" s="8"/>
      <c r="D93" s="8"/>
      <c r="E93" s="8"/>
      <c r="F93" s="8"/>
      <c r="G93" s="8"/>
      <c r="H93" s="8"/>
      <c r="I93" s="8"/>
      <c r="J93" s="8"/>
      <c r="K93" s="8"/>
      <c r="L93" s="8"/>
      <c r="M93" s="7">
        <f>IF($C93="","",G93+H93+I93+J93+K93+L93)</f>
      </c>
      <c r="N93" s="8"/>
      <c r="O93" s="8"/>
      <c r="P93" s="8"/>
      <c r="Q93" s="8"/>
      <c r="R93" s="8"/>
      <c r="S93" s="7">
        <f>IF($C93="","",C93&amp;" | BSR "&amp;B93&amp;" | "&amp;TEXT(D93,"dd-mm-yyyy")&amp;" | ₹"&amp;TEXT(M93,"#,##0"))</f>
      </c>
      <c r="T93" s="7">
        <f>IF($C93="","",SUMIFS('Q1 Data'!$L$4:$L$207,'Q1 Data'!$B$4:$B$207,$S93)+SUMIFS('Q1 Data'!$O$4:$O$207,'Q1 Data'!$B$4:$B$207,$S93)+SUMIFS('Q1 Data'!$M$4:$M$207,'Q1 Data'!$B$4:$B$207,$S93))</f>
      </c>
      <c r="U93" s="7">
        <f>IF($C93="","",SUMIFS('Q2 Data'!$L$4:$L$207,'Q2 Data'!$B$4:$B$207,$S93)+SUMIFS('Q2 Data'!$O$4:$O$207,'Q2 Data'!$B$4:$B$207,$S93)+SUMIFS('Q2 Data'!$M$4:$M$207,'Q2 Data'!$B$4:$B$207,$S93))</f>
      </c>
      <c r="V93" s="7">
        <f>IF($C93="","",SUMIFS('Q3 Data'!$L$4:$L$207,'Q3 Data'!$B$4:$B$207,$S93)+SUMIFS('Q3 Data'!$O$4:$O$207,'Q3 Data'!$B$4:$B$207,$S93)+SUMIFS('Q3 Data'!$M$4:$M$207,'Q3 Data'!$B$4:$B$207,$S93))</f>
      </c>
      <c r="W93" s="7">
        <f>IF($C93="","",SUMIFS('Q4 Data'!$L$4:$L$207,'Q4 Data'!$B$4:$B$207,$S93)+SUMIFS('Q4 Data'!$O$4:$O$207,'Q4 Data'!$B$4:$B$207,$S93)+SUMIFS('Q4 Data'!$M$4:$M$207,'Q4 Data'!$B$4:$B$207,$S93))</f>
      </c>
      <c r="X93" s="7">
        <f>IF($C93="","",T93+U93+V93+W93)</f>
      </c>
      <c r="Y93" s="7">
        <f>IF($C93="","",M93-L93)</f>
      </c>
      <c r="Z93" s="7">
        <f>IF($C93="","",Y93-X93)</f>
      </c>
      <c r="AA93" s="7">
        <f>IF($C93="","",IF(ROUND(X93-Y93,2)&gt;0,"Over-applied",IF(ROUND(X93-Y93,2)=0,"Fully Utilised","Unconsumed")))</f>
      </c>
    </row>
    <row r="94" spans="1:27" x14ac:dyDescent="0.25">
      <c r="A94" s="7">
        <f>IF($C94="","",COUNTIF($C$4:$C94,"&lt;&gt;"))</f>
      </c>
      <c r="B94" s="8"/>
      <c r="C94" s="8"/>
      <c r="D94" s="8"/>
      <c r="E94" s="8"/>
      <c r="F94" s="8"/>
      <c r="G94" s="8"/>
      <c r="H94" s="8"/>
      <c r="I94" s="8"/>
      <c r="J94" s="8"/>
      <c r="K94" s="8"/>
      <c r="L94" s="8"/>
      <c r="M94" s="7">
        <f>IF($C94="","",G94+H94+I94+J94+K94+L94)</f>
      </c>
      <c r="N94" s="8"/>
      <c r="O94" s="8"/>
      <c r="P94" s="8"/>
      <c r="Q94" s="8"/>
      <c r="R94" s="8"/>
      <c r="S94" s="7">
        <f>IF($C94="","",C94&amp;" | BSR "&amp;B94&amp;" | "&amp;TEXT(D94,"dd-mm-yyyy")&amp;" | ₹"&amp;TEXT(M94,"#,##0"))</f>
      </c>
      <c r="T94" s="7">
        <f>IF($C94="","",SUMIFS('Q1 Data'!$L$4:$L$207,'Q1 Data'!$B$4:$B$207,$S94)+SUMIFS('Q1 Data'!$O$4:$O$207,'Q1 Data'!$B$4:$B$207,$S94)+SUMIFS('Q1 Data'!$M$4:$M$207,'Q1 Data'!$B$4:$B$207,$S94))</f>
      </c>
      <c r="U94" s="7">
        <f>IF($C94="","",SUMIFS('Q2 Data'!$L$4:$L$207,'Q2 Data'!$B$4:$B$207,$S94)+SUMIFS('Q2 Data'!$O$4:$O$207,'Q2 Data'!$B$4:$B$207,$S94)+SUMIFS('Q2 Data'!$M$4:$M$207,'Q2 Data'!$B$4:$B$207,$S94))</f>
      </c>
      <c r="V94" s="7">
        <f>IF($C94="","",SUMIFS('Q3 Data'!$L$4:$L$207,'Q3 Data'!$B$4:$B$207,$S94)+SUMIFS('Q3 Data'!$O$4:$O$207,'Q3 Data'!$B$4:$B$207,$S94)+SUMIFS('Q3 Data'!$M$4:$M$207,'Q3 Data'!$B$4:$B$207,$S94))</f>
      </c>
      <c r="W94" s="7">
        <f>IF($C94="","",SUMIFS('Q4 Data'!$L$4:$L$207,'Q4 Data'!$B$4:$B$207,$S94)+SUMIFS('Q4 Data'!$O$4:$O$207,'Q4 Data'!$B$4:$B$207,$S94)+SUMIFS('Q4 Data'!$M$4:$M$207,'Q4 Data'!$B$4:$B$207,$S94))</f>
      </c>
      <c r="X94" s="7">
        <f>IF($C94="","",T94+U94+V94+W94)</f>
      </c>
      <c r="Y94" s="7">
        <f>IF($C94="","",M94-L94)</f>
      </c>
      <c r="Z94" s="7">
        <f>IF($C94="","",Y94-X94)</f>
      </c>
      <c r="AA94" s="7">
        <f>IF($C94="","",IF(ROUND(X94-Y94,2)&gt;0,"Over-applied",IF(ROUND(X94-Y94,2)=0,"Fully Utilised","Unconsumed")))</f>
      </c>
    </row>
    <row r="95" spans="1:27" x14ac:dyDescent="0.25">
      <c r="A95" s="7">
        <f>IF($C95="","",COUNTIF($C$4:$C95,"&lt;&gt;"))</f>
      </c>
      <c r="B95" s="8"/>
      <c r="C95" s="8"/>
      <c r="D95" s="8"/>
      <c r="E95" s="8"/>
      <c r="F95" s="8"/>
      <c r="G95" s="8"/>
      <c r="H95" s="8"/>
      <c r="I95" s="8"/>
      <c r="J95" s="8"/>
      <c r="K95" s="8"/>
      <c r="L95" s="8"/>
      <c r="M95" s="7">
        <f>IF($C95="","",G95+H95+I95+J95+K95+L95)</f>
      </c>
      <c r="N95" s="8"/>
      <c r="O95" s="8"/>
      <c r="P95" s="8"/>
      <c r="Q95" s="8"/>
      <c r="R95" s="8"/>
      <c r="S95" s="7">
        <f>IF($C95="","",C95&amp;" | BSR "&amp;B95&amp;" | "&amp;TEXT(D95,"dd-mm-yyyy")&amp;" | ₹"&amp;TEXT(M95,"#,##0"))</f>
      </c>
      <c r="T95" s="7">
        <f>IF($C95="","",SUMIFS('Q1 Data'!$L$4:$L$207,'Q1 Data'!$B$4:$B$207,$S95)+SUMIFS('Q1 Data'!$O$4:$O$207,'Q1 Data'!$B$4:$B$207,$S95)+SUMIFS('Q1 Data'!$M$4:$M$207,'Q1 Data'!$B$4:$B$207,$S95))</f>
      </c>
      <c r="U95" s="7">
        <f>IF($C95="","",SUMIFS('Q2 Data'!$L$4:$L$207,'Q2 Data'!$B$4:$B$207,$S95)+SUMIFS('Q2 Data'!$O$4:$O$207,'Q2 Data'!$B$4:$B$207,$S95)+SUMIFS('Q2 Data'!$M$4:$M$207,'Q2 Data'!$B$4:$B$207,$S95))</f>
      </c>
      <c r="V95" s="7">
        <f>IF($C95="","",SUMIFS('Q3 Data'!$L$4:$L$207,'Q3 Data'!$B$4:$B$207,$S95)+SUMIFS('Q3 Data'!$O$4:$O$207,'Q3 Data'!$B$4:$B$207,$S95)+SUMIFS('Q3 Data'!$M$4:$M$207,'Q3 Data'!$B$4:$B$207,$S95))</f>
      </c>
      <c r="W95" s="7">
        <f>IF($C95="","",SUMIFS('Q4 Data'!$L$4:$L$207,'Q4 Data'!$B$4:$B$207,$S95)+SUMIFS('Q4 Data'!$O$4:$O$207,'Q4 Data'!$B$4:$B$207,$S95)+SUMIFS('Q4 Data'!$M$4:$M$207,'Q4 Data'!$B$4:$B$207,$S95))</f>
      </c>
      <c r="X95" s="7">
        <f>IF($C95="","",T95+U95+V95+W95)</f>
      </c>
      <c r="Y95" s="7">
        <f>IF($C95="","",M95-L95)</f>
      </c>
      <c r="Z95" s="7">
        <f>IF($C95="","",Y95-X95)</f>
      </c>
      <c r="AA95" s="7">
        <f>IF($C95="","",IF(ROUND(X95-Y95,2)&gt;0,"Over-applied",IF(ROUND(X95-Y95,2)=0,"Fully Utilised","Unconsumed")))</f>
      </c>
    </row>
    <row r="96" spans="1:27" x14ac:dyDescent="0.25">
      <c r="A96" s="7">
        <f>IF($C96="","",COUNTIF($C$4:$C96,"&lt;&gt;"))</f>
      </c>
      <c r="B96" s="8"/>
      <c r="C96" s="8"/>
      <c r="D96" s="8"/>
      <c r="E96" s="8"/>
      <c r="F96" s="8"/>
      <c r="G96" s="8"/>
      <c r="H96" s="8"/>
      <c r="I96" s="8"/>
      <c r="J96" s="8"/>
      <c r="K96" s="8"/>
      <c r="L96" s="8"/>
      <c r="M96" s="7">
        <f>IF($C96="","",G96+H96+I96+J96+K96+L96)</f>
      </c>
      <c r="N96" s="8"/>
      <c r="O96" s="8"/>
      <c r="P96" s="8"/>
      <c r="Q96" s="8"/>
      <c r="R96" s="8"/>
      <c r="S96" s="7">
        <f>IF($C96="","",C96&amp;" | BSR "&amp;B96&amp;" | "&amp;TEXT(D96,"dd-mm-yyyy")&amp;" | ₹"&amp;TEXT(M96,"#,##0"))</f>
      </c>
      <c r="T96" s="7">
        <f>IF($C96="","",SUMIFS('Q1 Data'!$L$4:$L$207,'Q1 Data'!$B$4:$B$207,$S96)+SUMIFS('Q1 Data'!$O$4:$O$207,'Q1 Data'!$B$4:$B$207,$S96)+SUMIFS('Q1 Data'!$M$4:$M$207,'Q1 Data'!$B$4:$B$207,$S96))</f>
      </c>
      <c r="U96" s="7">
        <f>IF($C96="","",SUMIFS('Q2 Data'!$L$4:$L$207,'Q2 Data'!$B$4:$B$207,$S96)+SUMIFS('Q2 Data'!$O$4:$O$207,'Q2 Data'!$B$4:$B$207,$S96)+SUMIFS('Q2 Data'!$M$4:$M$207,'Q2 Data'!$B$4:$B$207,$S96))</f>
      </c>
      <c r="V96" s="7">
        <f>IF($C96="","",SUMIFS('Q3 Data'!$L$4:$L$207,'Q3 Data'!$B$4:$B$207,$S96)+SUMIFS('Q3 Data'!$O$4:$O$207,'Q3 Data'!$B$4:$B$207,$S96)+SUMIFS('Q3 Data'!$M$4:$M$207,'Q3 Data'!$B$4:$B$207,$S96))</f>
      </c>
      <c r="W96" s="7">
        <f>IF($C96="","",SUMIFS('Q4 Data'!$L$4:$L$207,'Q4 Data'!$B$4:$B$207,$S96)+SUMIFS('Q4 Data'!$O$4:$O$207,'Q4 Data'!$B$4:$B$207,$S96)+SUMIFS('Q4 Data'!$M$4:$M$207,'Q4 Data'!$B$4:$B$207,$S96))</f>
      </c>
      <c r="X96" s="7">
        <f>IF($C96="","",T96+U96+V96+W96)</f>
      </c>
      <c r="Y96" s="7">
        <f>IF($C96="","",M96-L96)</f>
      </c>
      <c r="Z96" s="7">
        <f>IF($C96="","",Y96-X96)</f>
      </c>
      <c r="AA96" s="7">
        <f>IF($C96="","",IF(ROUND(X96-Y96,2)&gt;0,"Over-applied",IF(ROUND(X96-Y96,2)=0,"Fully Utilised","Unconsumed")))</f>
      </c>
    </row>
    <row r="97" spans="1:27" x14ac:dyDescent="0.25">
      <c r="A97" s="7">
        <f>IF($C97="","",COUNTIF($C$4:$C97,"&lt;&gt;"))</f>
      </c>
      <c r="B97" s="8"/>
      <c r="C97" s="8"/>
      <c r="D97" s="8"/>
      <c r="E97" s="8"/>
      <c r="F97" s="8"/>
      <c r="G97" s="8"/>
      <c r="H97" s="8"/>
      <c r="I97" s="8"/>
      <c r="J97" s="8"/>
      <c r="K97" s="8"/>
      <c r="L97" s="8"/>
      <c r="M97" s="7">
        <f>IF($C97="","",G97+H97+I97+J97+K97+L97)</f>
      </c>
      <c r="N97" s="8"/>
      <c r="O97" s="8"/>
      <c r="P97" s="8"/>
      <c r="Q97" s="8"/>
      <c r="R97" s="8"/>
      <c r="S97" s="7">
        <f>IF($C97="","",C97&amp;" | BSR "&amp;B97&amp;" | "&amp;TEXT(D97,"dd-mm-yyyy")&amp;" | ₹"&amp;TEXT(M97,"#,##0"))</f>
      </c>
      <c r="T97" s="7">
        <f>IF($C97="","",SUMIFS('Q1 Data'!$L$4:$L$207,'Q1 Data'!$B$4:$B$207,$S97)+SUMIFS('Q1 Data'!$O$4:$O$207,'Q1 Data'!$B$4:$B$207,$S97)+SUMIFS('Q1 Data'!$M$4:$M$207,'Q1 Data'!$B$4:$B$207,$S97))</f>
      </c>
      <c r="U97" s="7">
        <f>IF($C97="","",SUMIFS('Q2 Data'!$L$4:$L$207,'Q2 Data'!$B$4:$B$207,$S97)+SUMIFS('Q2 Data'!$O$4:$O$207,'Q2 Data'!$B$4:$B$207,$S97)+SUMIFS('Q2 Data'!$M$4:$M$207,'Q2 Data'!$B$4:$B$207,$S97))</f>
      </c>
      <c r="V97" s="7">
        <f>IF($C97="","",SUMIFS('Q3 Data'!$L$4:$L$207,'Q3 Data'!$B$4:$B$207,$S97)+SUMIFS('Q3 Data'!$O$4:$O$207,'Q3 Data'!$B$4:$B$207,$S97)+SUMIFS('Q3 Data'!$M$4:$M$207,'Q3 Data'!$B$4:$B$207,$S97))</f>
      </c>
      <c r="W97" s="7">
        <f>IF($C97="","",SUMIFS('Q4 Data'!$L$4:$L$207,'Q4 Data'!$B$4:$B$207,$S97)+SUMIFS('Q4 Data'!$O$4:$O$207,'Q4 Data'!$B$4:$B$207,$S97)+SUMIFS('Q4 Data'!$M$4:$M$207,'Q4 Data'!$B$4:$B$207,$S97))</f>
      </c>
      <c r="X97" s="7">
        <f>IF($C97="","",T97+U97+V97+W97)</f>
      </c>
      <c r="Y97" s="7">
        <f>IF($C97="","",M97-L97)</f>
      </c>
      <c r="Z97" s="7">
        <f>IF($C97="","",Y97-X97)</f>
      </c>
      <c r="AA97" s="7">
        <f>IF($C97="","",IF(ROUND(X97-Y97,2)&gt;0,"Over-applied",IF(ROUND(X97-Y97,2)=0,"Fully Utilised","Unconsumed")))</f>
      </c>
    </row>
    <row r="98" spans="1:27" x14ac:dyDescent="0.25">
      <c r="A98" s="7">
        <f>IF($C98="","",COUNTIF($C$4:$C98,"&lt;&gt;"))</f>
      </c>
      <c r="B98" s="8"/>
      <c r="C98" s="8"/>
      <c r="D98" s="8"/>
      <c r="E98" s="8"/>
      <c r="F98" s="8"/>
      <c r="G98" s="8"/>
      <c r="H98" s="8"/>
      <c r="I98" s="8"/>
      <c r="J98" s="8"/>
      <c r="K98" s="8"/>
      <c r="L98" s="8"/>
      <c r="M98" s="7">
        <f>IF($C98="","",G98+H98+I98+J98+K98+L98)</f>
      </c>
      <c r="N98" s="8"/>
      <c r="O98" s="8"/>
      <c r="P98" s="8"/>
      <c r="Q98" s="8"/>
      <c r="R98" s="8"/>
      <c r="S98" s="7">
        <f>IF($C98="","",C98&amp;" | BSR "&amp;B98&amp;" | "&amp;TEXT(D98,"dd-mm-yyyy")&amp;" | ₹"&amp;TEXT(M98,"#,##0"))</f>
      </c>
      <c r="T98" s="7">
        <f>IF($C98="","",SUMIFS('Q1 Data'!$L$4:$L$207,'Q1 Data'!$B$4:$B$207,$S98)+SUMIFS('Q1 Data'!$O$4:$O$207,'Q1 Data'!$B$4:$B$207,$S98)+SUMIFS('Q1 Data'!$M$4:$M$207,'Q1 Data'!$B$4:$B$207,$S98))</f>
      </c>
      <c r="U98" s="7">
        <f>IF($C98="","",SUMIFS('Q2 Data'!$L$4:$L$207,'Q2 Data'!$B$4:$B$207,$S98)+SUMIFS('Q2 Data'!$O$4:$O$207,'Q2 Data'!$B$4:$B$207,$S98)+SUMIFS('Q2 Data'!$M$4:$M$207,'Q2 Data'!$B$4:$B$207,$S98))</f>
      </c>
      <c r="V98" s="7">
        <f>IF($C98="","",SUMIFS('Q3 Data'!$L$4:$L$207,'Q3 Data'!$B$4:$B$207,$S98)+SUMIFS('Q3 Data'!$O$4:$O$207,'Q3 Data'!$B$4:$B$207,$S98)+SUMIFS('Q3 Data'!$M$4:$M$207,'Q3 Data'!$B$4:$B$207,$S98))</f>
      </c>
      <c r="W98" s="7">
        <f>IF($C98="","",SUMIFS('Q4 Data'!$L$4:$L$207,'Q4 Data'!$B$4:$B$207,$S98)+SUMIFS('Q4 Data'!$O$4:$O$207,'Q4 Data'!$B$4:$B$207,$S98)+SUMIFS('Q4 Data'!$M$4:$M$207,'Q4 Data'!$B$4:$B$207,$S98))</f>
      </c>
      <c r="X98" s="7">
        <f>IF($C98="","",T98+U98+V98+W98)</f>
      </c>
      <c r="Y98" s="7">
        <f>IF($C98="","",M98-L98)</f>
      </c>
      <c r="Z98" s="7">
        <f>IF($C98="","",Y98-X98)</f>
      </c>
      <c r="AA98" s="7">
        <f>IF($C98="","",IF(ROUND(X98-Y98,2)&gt;0,"Over-applied",IF(ROUND(X98-Y98,2)=0,"Fully Utilised","Unconsumed")))</f>
      </c>
    </row>
    <row r="99" spans="1:27" x14ac:dyDescent="0.25">
      <c r="A99" s="7">
        <f>IF($C99="","",COUNTIF($C$4:$C99,"&lt;&gt;"))</f>
      </c>
      <c r="B99" s="8"/>
      <c r="C99" s="8"/>
      <c r="D99" s="8"/>
      <c r="E99" s="8"/>
      <c r="F99" s="8"/>
      <c r="G99" s="8"/>
      <c r="H99" s="8"/>
      <c r="I99" s="8"/>
      <c r="J99" s="8"/>
      <c r="K99" s="8"/>
      <c r="L99" s="8"/>
      <c r="M99" s="7">
        <f>IF($C99="","",G99+H99+I99+J99+K99+L99)</f>
      </c>
      <c r="N99" s="8"/>
      <c r="O99" s="8"/>
      <c r="P99" s="8"/>
      <c r="Q99" s="8"/>
      <c r="R99" s="8"/>
      <c r="S99" s="7">
        <f>IF($C99="","",C99&amp;" | BSR "&amp;B99&amp;" | "&amp;TEXT(D99,"dd-mm-yyyy")&amp;" | ₹"&amp;TEXT(M99,"#,##0"))</f>
      </c>
      <c r="T99" s="7">
        <f>IF($C99="","",SUMIFS('Q1 Data'!$L$4:$L$207,'Q1 Data'!$B$4:$B$207,$S99)+SUMIFS('Q1 Data'!$O$4:$O$207,'Q1 Data'!$B$4:$B$207,$S99)+SUMIFS('Q1 Data'!$M$4:$M$207,'Q1 Data'!$B$4:$B$207,$S99))</f>
      </c>
      <c r="U99" s="7">
        <f>IF($C99="","",SUMIFS('Q2 Data'!$L$4:$L$207,'Q2 Data'!$B$4:$B$207,$S99)+SUMIFS('Q2 Data'!$O$4:$O$207,'Q2 Data'!$B$4:$B$207,$S99)+SUMIFS('Q2 Data'!$M$4:$M$207,'Q2 Data'!$B$4:$B$207,$S99))</f>
      </c>
      <c r="V99" s="7">
        <f>IF($C99="","",SUMIFS('Q3 Data'!$L$4:$L$207,'Q3 Data'!$B$4:$B$207,$S99)+SUMIFS('Q3 Data'!$O$4:$O$207,'Q3 Data'!$B$4:$B$207,$S99)+SUMIFS('Q3 Data'!$M$4:$M$207,'Q3 Data'!$B$4:$B$207,$S99))</f>
      </c>
      <c r="W99" s="7">
        <f>IF($C99="","",SUMIFS('Q4 Data'!$L$4:$L$207,'Q4 Data'!$B$4:$B$207,$S99)+SUMIFS('Q4 Data'!$O$4:$O$207,'Q4 Data'!$B$4:$B$207,$S99)+SUMIFS('Q4 Data'!$M$4:$M$207,'Q4 Data'!$B$4:$B$207,$S99))</f>
      </c>
      <c r="X99" s="7">
        <f>IF($C99="","",T99+U99+V99+W99)</f>
      </c>
      <c r="Y99" s="7">
        <f>IF($C99="","",M99-L99)</f>
      </c>
      <c r="Z99" s="7">
        <f>IF($C99="","",Y99-X99)</f>
      </c>
      <c r="AA99" s="7">
        <f>IF($C99="","",IF(ROUND(X99-Y99,2)&gt;0,"Over-applied",IF(ROUND(X99-Y99,2)=0,"Fully Utilised","Unconsumed")))</f>
      </c>
    </row>
    <row r="100" spans="1:27" x14ac:dyDescent="0.25">
      <c r="A100" s="7">
        <f>IF($C100="","",COUNTIF($C$4:$C100,"&lt;&gt;"))</f>
      </c>
      <c r="B100" s="8"/>
      <c r="C100" s="8"/>
      <c r="D100" s="8"/>
      <c r="E100" s="8"/>
      <c r="F100" s="8"/>
      <c r="G100" s="8"/>
      <c r="H100" s="8"/>
      <c r="I100" s="8"/>
      <c r="J100" s="8"/>
      <c r="K100" s="8"/>
      <c r="L100" s="8"/>
      <c r="M100" s="7">
        <f>IF($C100="","",G100+H100+I100+J100+K100+L100)</f>
      </c>
      <c r="N100" s="8"/>
      <c r="O100" s="8"/>
      <c r="P100" s="8"/>
      <c r="Q100" s="8"/>
      <c r="R100" s="8"/>
      <c r="S100" s="7">
        <f>IF($C100="","",C100&amp;" | BSR "&amp;B100&amp;" | "&amp;TEXT(D100,"dd-mm-yyyy")&amp;" | ₹"&amp;TEXT(M100,"#,##0"))</f>
      </c>
      <c r="T100" s="7">
        <f>IF($C100="","",SUMIFS('Q1 Data'!$L$4:$L$207,'Q1 Data'!$B$4:$B$207,$S100)+SUMIFS('Q1 Data'!$O$4:$O$207,'Q1 Data'!$B$4:$B$207,$S100)+SUMIFS('Q1 Data'!$M$4:$M$207,'Q1 Data'!$B$4:$B$207,$S100))</f>
      </c>
      <c r="U100" s="7">
        <f>IF($C100="","",SUMIFS('Q2 Data'!$L$4:$L$207,'Q2 Data'!$B$4:$B$207,$S100)+SUMIFS('Q2 Data'!$O$4:$O$207,'Q2 Data'!$B$4:$B$207,$S100)+SUMIFS('Q2 Data'!$M$4:$M$207,'Q2 Data'!$B$4:$B$207,$S100))</f>
      </c>
      <c r="V100" s="7">
        <f>IF($C100="","",SUMIFS('Q3 Data'!$L$4:$L$207,'Q3 Data'!$B$4:$B$207,$S100)+SUMIFS('Q3 Data'!$O$4:$O$207,'Q3 Data'!$B$4:$B$207,$S100)+SUMIFS('Q3 Data'!$M$4:$M$207,'Q3 Data'!$B$4:$B$207,$S100))</f>
      </c>
      <c r="W100" s="7">
        <f>IF($C100="","",SUMIFS('Q4 Data'!$L$4:$L$207,'Q4 Data'!$B$4:$B$207,$S100)+SUMIFS('Q4 Data'!$O$4:$O$207,'Q4 Data'!$B$4:$B$207,$S100)+SUMIFS('Q4 Data'!$M$4:$M$207,'Q4 Data'!$B$4:$B$207,$S100))</f>
      </c>
      <c r="X100" s="7">
        <f>IF($C100="","",T100+U100+V100+W100)</f>
      </c>
      <c r="Y100" s="7">
        <f>IF($C100="","",M100-L100)</f>
      </c>
      <c r="Z100" s="7">
        <f>IF($C100="","",Y100-X100)</f>
      </c>
      <c r="AA100" s="7">
        <f>IF($C100="","",IF(ROUND(X100-Y100,2)&gt;0,"Over-applied",IF(ROUND(X100-Y100,2)=0,"Fully Utilised","Unconsumed")))</f>
      </c>
    </row>
    <row r="101" spans="1:27" x14ac:dyDescent="0.25">
      <c r="A101" s="7">
        <f>IF($C101="","",COUNTIF($C$4:$C101,"&lt;&gt;"))</f>
      </c>
      <c r="B101" s="8"/>
      <c r="C101" s="8"/>
      <c r="D101" s="8"/>
      <c r="E101" s="8"/>
      <c r="F101" s="8"/>
      <c r="G101" s="8"/>
      <c r="H101" s="8"/>
      <c r="I101" s="8"/>
      <c r="J101" s="8"/>
      <c r="K101" s="8"/>
      <c r="L101" s="8"/>
      <c r="M101" s="7">
        <f>IF($C101="","",G101+H101+I101+J101+K101+L101)</f>
      </c>
      <c r="N101" s="8"/>
      <c r="O101" s="8"/>
      <c r="P101" s="8"/>
      <c r="Q101" s="8"/>
      <c r="R101" s="8"/>
      <c r="S101" s="7">
        <f>IF($C101="","",C101&amp;" | BSR "&amp;B101&amp;" | "&amp;TEXT(D101,"dd-mm-yyyy")&amp;" | ₹"&amp;TEXT(M101,"#,##0"))</f>
      </c>
      <c r="T101" s="7">
        <f>IF($C101="","",SUMIFS('Q1 Data'!$L$4:$L$207,'Q1 Data'!$B$4:$B$207,$S101)+SUMIFS('Q1 Data'!$O$4:$O$207,'Q1 Data'!$B$4:$B$207,$S101)+SUMIFS('Q1 Data'!$M$4:$M$207,'Q1 Data'!$B$4:$B$207,$S101))</f>
      </c>
      <c r="U101" s="7">
        <f>IF($C101="","",SUMIFS('Q2 Data'!$L$4:$L$207,'Q2 Data'!$B$4:$B$207,$S101)+SUMIFS('Q2 Data'!$O$4:$O$207,'Q2 Data'!$B$4:$B$207,$S101)+SUMIFS('Q2 Data'!$M$4:$M$207,'Q2 Data'!$B$4:$B$207,$S101))</f>
      </c>
      <c r="V101" s="7">
        <f>IF($C101="","",SUMIFS('Q3 Data'!$L$4:$L$207,'Q3 Data'!$B$4:$B$207,$S101)+SUMIFS('Q3 Data'!$O$4:$O$207,'Q3 Data'!$B$4:$B$207,$S101)+SUMIFS('Q3 Data'!$M$4:$M$207,'Q3 Data'!$B$4:$B$207,$S101))</f>
      </c>
      <c r="W101" s="7">
        <f>IF($C101="","",SUMIFS('Q4 Data'!$L$4:$L$207,'Q4 Data'!$B$4:$B$207,$S101)+SUMIFS('Q4 Data'!$O$4:$O$207,'Q4 Data'!$B$4:$B$207,$S101)+SUMIFS('Q4 Data'!$M$4:$M$207,'Q4 Data'!$B$4:$B$207,$S101))</f>
      </c>
      <c r="X101" s="7">
        <f>IF($C101="","",T101+U101+V101+W101)</f>
      </c>
      <c r="Y101" s="7">
        <f>IF($C101="","",M101-L101)</f>
      </c>
      <c r="Z101" s="7">
        <f>IF($C101="","",Y101-X101)</f>
      </c>
      <c r="AA101" s="7">
        <f>IF($C101="","",IF(ROUND(X101-Y101,2)&gt;0,"Over-applied",IF(ROUND(X101-Y101,2)=0,"Fully Utilised","Unconsumed")))</f>
      </c>
    </row>
    <row r="102" spans="1:27" x14ac:dyDescent="0.25">
      <c r="A102" s="7">
        <f>IF($C102="","",COUNTIF($C$4:$C102,"&lt;&gt;"))</f>
      </c>
      <c r="B102" s="8"/>
      <c r="C102" s="8"/>
      <c r="D102" s="8"/>
      <c r="E102" s="8"/>
      <c r="F102" s="8"/>
      <c r="G102" s="8"/>
      <c r="H102" s="8"/>
      <c r="I102" s="8"/>
      <c r="J102" s="8"/>
      <c r="K102" s="8"/>
      <c r="L102" s="8"/>
      <c r="M102" s="7">
        <f>IF($C102="","",G102+H102+I102+J102+K102+L102)</f>
      </c>
      <c r="N102" s="8"/>
      <c r="O102" s="8"/>
      <c r="P102" s="8"/>
      <c r="Q102" s="8"/>
      <c r="R102" s="8"/>
      <c r="S102" s="7">
        <f>IF($C102="","",C102&amp;" | BSR "&amp;B102&amp;" | "&amp;TEXT(D102,"dd-mm-yyyy")&amp;" | ₹"&amp;TEXT(M102,"#,##0"))</f>
      </c>
      <c r="T102" s="7">
        <f>IF($C102="","",SUMIFS('Q1 Data'!$L$4:$L$207,'Q1 Data'!$B$4:$B$207,$S102)+SUMIFS('Q1 Data'!$O$4:$O$207,'Q1 Data'!$B$4:$B$207,$S102)+SUMIFS('Q1 Data'!$M$4:$M$207,'Q1 Data'!$B$4:$B$207,$S102))</f>
      </c>
      <c r="U102" s="7">
        <f>IF($C102="","",SUMIFS('Q2 Data'!$L$4:$L$207,'Q2 Data'!$B$4:$B$207,$S102)+SUMIFS('Q2 Data'!$O$4:$O$207,'Q2 Data'!$B$4:$B$207,$S102)+SUMIFS('Q2 Data'!$M$4:$M$207,'Q2 Data'!$B$4:$B$207,$S102))</f>
      </c>
      <c r="V102" s="7">
        <f>IF($C102="","",SUMIFS('Q3 Data'!$L$4:$L$207,'Q3 Data'!$B$4:$B$207,$S102)+SUMIFS('Q3 Data'!$O$4:$O$207,'Q3 Data'!$B$4:$B$207,$S102)+SUMIFS('Q3 Data'!$M$4:$M$207,'Q3 Data'!$B$4:$B$207,$S102))</f>
      </c>
      <c r="W102" s="7">
        <f>IF($C102="","",SUMIFS('Q4 Data'!$L$4:$L$207,'Q4 Data'!$B$4:$B$207,$S102)+SUMIFS('Q4 Data'!$O$4:$O$207,'Q4 Data'!$B$4:$B$207,$S102)+SUMIFS('Q4 Data'!$M$4:$M$207,'Q4 Data'!$B$4:$B$207,$S102))</f>
      </c>
      <c r="X102" s="7">
        <f>IF($C102="","",T102+U102+V102+W102)</f>
      </c>
      <c r="Y102" s="7">
        <f>IF($C102="","",M102-L102)</f>
      </c>
      <c r="Z102" s="7">
        <f>IF($C102="","",Y102-X102)</f>
      </c>
      <c r="AA102" s="7">
        <f>IF($C102="","",IF(ROUND(X102-Y102,2)&gt;0,"Over-applied",IF(ROUND(X102-Y102,2)=0,"Fully Utilised","Unconsumed")))</f>
      </c>
    </row>
    <row r="103" spans="1:27" x14ac:dyDescent="0.25">
      <c r="A103" s="7">
        <f>IF($C103="","",COUNTIF($C$4:$C103,"&lt;&gt;"))</f>
      </c>
      <c r="B103" s="8"/>
      <c r="C103" s="8"/>
      <c r="D103" s="8"/>
      <c r="E103" s="8"/>
      <c r="F103" s="8"/>
      <c r="G103" s="8"/>
      <c r="H103" s="8"/>
      <c r="I103" s="8"/>
      <c r="J103" s="8"/>
      <c r="K103" s="8"/>
      <c r="L103" s="8"/>
      <c r="M103" s="7">
        <f>IF($C103="","",G103+H103+I103+J103+K103+L103)</f>
      </c>
      <c r="N103" s="8"/>
      <c r="O103" s="8"/>
      <c r="P103" s="8"/>
      <c r="Q103" s="8"/>
      <c r="R103" s="8"/>
      <c r="S103" s="7">
        <f>IF($C103="","",C103&amp;" | BSR "&amp;B103&amp;" | "&amp;TEXT(D103,"dd-mm-yyyy")&amp;" | ₹"&amp;TEXT(M103,"#,##0"))</f>
      </c>
      <c r="T103" s="7">
        <f>IF($C103="","",SUMIFS('Q1 Data'!$L$4:$L$207,'Q1 Data'!$B$4:$B$207,$S103)+SUMIFS('Q1 Data'!$O$4:$O$207,'Q1 Data'!$B$4:$B$207,$S103)+SUMIFS('Q1 Data'!$M$4:$M$207,'Q1 Data'!$B$4:$B$207,$S103))</f>
      </c>
      <c r="U103" s="7">
        <f>IF($C103="","",SUMIFS('Q2 Data'!$L$4:$L$207,'Q2 Data'!$B$4:$B$207,$S103)+SUMIFS('Q2 Data'!$O$4:$O$207,'Q2 Data'!$B$4:$B$207,$S103)+SUMIFS('Q2 Data'!$M$4:$M$207,'Q2 Data'!$B$4:$B$207,$S103))</f>
      </c>
      <c r="V103" s="7">
        <f>IF($C103="","",SUMIFS('Q3 Data'!$L$4:$L$207,'Q3 Data'!$B$4:$B$207,$S103)+SUMIFS('Q3 Data'!$O$4:$O$207,'Q3 Data'!$B$4:$B$207,$S103)+SUMIFS('Q3 Data'!$M$4:$M$207,'Q3 Data'!$B$4:$B$207,$S103))</f>
      </c>
      <c r="W103" s="7">
        <f>IF($C103="","",SUMIFS('Q4 Data'!$L$4:$L$207,'Q4 Data'!$B$4:$B$207,$S103)+SUMIFS('Q4 Data'!$O$4:$O$207,'Q4 Data'!$B$4:$B$207,$S103)+SUMIFS('Q4 Data'!$M$4:$M$207,'Q4 Data'!$B$4:$B$207,$S103))</f>
      </c>
      <c r="X103" s="7">
        <f>IF($C103="","",T103+U103+V103+W103)</f>
      </c>
      <c r="Y103" s="7">
        <f>IF($C103="","",M103-L103)</f>
      </c>
      <c r="Z103" s="7">
        <f>IF($C103="","",Y103-X103)</f>
      </c>
      <c r="AA103" s="7">
        <f>IF($C103="","",IF(ROUND(X103-Y103,2)&gt;0,"Over-applied",IF(ROUND(X103-Y103,2)=0,"Fully Utilised","Unconsumed")))</f>
      </c>
    </row>
    <row r="104" spans="1:27" x14ac:dyDescent="0.25">
      <c r="A104" s="7">
        <f>IF($C104="","",COUNTIF($C$4:$C104,"&lt;&gt;"))</f>
      </c>
      <c r="B104" s="8"/>
      <c r="C104" s="8"/>
      <c r="D104" s="8"/>
      <c r="E104" s="8"/>
      <c r="F104" s="8"/>
      <c r="G104" s="8"/>
      <c r="H104" s="8"/>
      <c r="I104" s="8"/>
      <c r="J104" s="8"/>
      <c r="K104" s="8"/>
      <c r="L104" s="8"/>
      <c r="M104" s="7">
        <f>IF($C104="","",G104+H104+I104+J104+K104+L104)</f>
      </c>
      <c r="N104" s="8"/>
      <c r="O104" s="8"/>
      <c r="P104" s="8"/>
      <c r="Q104" s="8"/>
      <c r="R104" s="8"/>
      <c r="S104" s="7">
        <f>IF($C104="","",C104&amp;" | BSR "&amp;B104&amp;" | "&amp;TEXT(D104,"dd-mm-yyyy")&amp;" | ₹"&amp;TEXT(M104,"#,##0"))</f>
      </c>
      <c r="T104" s="7">
        <f>IF($C104="","",SUMIFS('Q1 Data'!$L$4:$L$207,'Q1 Data'!$B$4:$B$207,$S104)+SUMIFS('Q1 Data'!$O$4:$O$207,'Q1 Data'!$B$4:$B$207,$S104)+SUMIFS('Q1 Data'!$M$4:$M$207,'Q1 Data'!$B$4:$B$207,$S104))</f>
      </c>
      <c r="U104" s="7">
        <f>IF($C104="","",SUMIFS('Q2 Data'!$L$4:$L$207,'Q2 Data'!$B$4:$B$207,$S104)+SUMIFS('Q2 Data'!$O$4:$O$207,'Q2 Data'!$B$4:$B$207,$S104)+SUMIFS('Q2 Data'!$M$4:$M$207,'Q2 Data'!$B$4:$B$207,$S104))</f>
      </c>
      <c r="V104" s="7">
        <f>IF($C104="","",SUMIFS('Q3 Data'!$L$4:$L$207,'Q3 Data'!$B$4:$B$207,$S104)+SUMIFS('Q3 Data'!$O$4:$O$207,'Q3 Data'!$B$4:$B$207,$S104)+SUMIFS('Q3 Data'!$M$4:$M$207,'Q3 Data'!$B$4:$B$207,$S104))</f>
      </c>
      <c r="W104" s="7">
        <f>IF($C104="","",SUMIFS('Q4 Data'!$L$4:$L$207,'Q4 Data'!$B$4:$B$207,$S104)+SUMIFS('Q4 Data'!$O$4:$O$207,'Q4 Data'!$B$4:$B$207,$S104)+SUMIFS('Q4 Data'!$M$4:$M$207,'Q4 Data'!$B$4:$B$207,$S104))</f>
      </c>
      <c r="X104" s="7">
        <f>IF($C104="","",T104+U104+V104+W104)</f>
      </c>
      <c r="Y104" s="7">
        <f>IF($C104="","",M104-L104)</f>
      </c>
      <c r="Z104" s="7">
        <f>IF($C104="","",Y104-X104)</f>
      </c>
      <c r="AA104" s="7">
        <f>IF($C104="","",IF(ROUND(X104-Y104,2)&gt;0,"Over-applied",IF(ROUND(X104-Y104,2)=0,"Fully Utilised","Unconsumed")))</f>
      </c>
    </row>
    <row r="105" spans="1:27" x14ac:dyDescent="0.25">
      <c r="A105" s="7">
        <f>IF($C105="","",COUNTIF($C$4:$C105,"&lt;&gt;"))</f>
      </c>
      <c r="B105" s="8"/>
      <c r="C105" s="8"/>
      <c r="D105" s="8"/>
      <c r="E105" s="8"/>
      <c r="F105" s="8"/>
      <c r="G105" s="8"/>
      <c r="H105" s="8"/>
      <c r="I105" s="8"/>
      <c r="J105" s="8"/>
      <c r="K105" s="8"/>
      <c r="L105" s="8"/>
      <c r="M105" s="7">
        <f>IF($C105="","",G105+H105+I105+J105+K105+L105)</f>
      </c>
      <c r="N105" s="8"/>
      <c r="O105" s="8"/>
      <c r="P105" s="8"/>
      <c r="Q105" s="8"/>
      <c r="R105" s="8"/>
      <c r="S105" s="7">
        <f>IF($C105="","",C105&amp;" | BSR "&amp;B105&amp;" | "&amp;TEXT(D105,"dd-mm-yyyy")&amp;" | ₹"&amp;TEXT(M105,"#,##0"))</f>
      </c>
      <c r="T105" s="7">
        <f>IF($C105="","",SUMIFS('Q1 Data'!$L$4:$L$207,'Q1 Data'!$B$4:$B$207,$S105)+SUMIFS('Q1 Data'!$O$4:$O$207,'Q1 Data'!$B$4:$B$207,$S105)+SUMIFS('Q1 Data'!$M$4:$M$207,'Q1 Data'!$B$4:$B$207,$S105))</f>
      </c>
      <c r="U105" s="7">
        <f>IF($C105="","",SUMIFS('Q2 Data'!$L$4:$L$207,'Q2 Data'!$B$4:$B$207,$S105)+SUMIFS('Q2 Data'!$O$4:$O$207,'Q2 Data'!$B$4:$B$207,$S105)+SUMIFS('Q2 Data'!$M$4:$M$207,'Q2 Data'!$B$4:$B$207,$S105))</f>
      </c>
      <c r="V105" s="7">
        <f>IF($C105="","",SUMIFS('Q3 Data'!$L$4:$L$207,'Q3 Data'!$B$4:$B$207,$S105)+SUMIFS('Q3 Data'!$O$4:$O$207,'Q3 Data'!$B$4:$B$207,$S105)+SUMIFS('Q3 Data'!$M$4:$M$207,'Q3 Data'!$B$4:$B$207,$S105))</f>
      </c>
      <c r="W105" s="7">
        <f>IF($C105="","",SUMIFS('Q4 Data'!$L$4:$L$207,'Q4 Data'!$B$4:$B$207,$S105)+SUMIFS('Q4 Data'!$O$4:$O$207,'Q4 Data'!$B$4:$B$207,$S105)+SUMIFS('Q4 Data'!$M$4:$M$207,'Q4 Data'!$B$4:$B$207,$S105))</f>
      </c>
      <c r="X105" s="7">
        <f>IF($C105="","",T105+U105+V105+W105)</f>
      </c>
      <c r="Y105" s="7">
        <f>IF($C105="","",M105-L105)</f>
      </c>
      <c r="Z105" s="7">
        <f>IF($C105="","",Y105-X105)</f>
      </c>
      <c r="AA105" s="7">
        <f>IF($C105="","",IF(ROUND(X105-Y105,2)&gt;0,"Over-applied",IF(ROUND(X105-Y105,2)=0,"Fully Utilised","Unconsumed")))</f>
      </c>
    </row>
    <row r="106" spans="1:27" x14ac:dyDescent="0.25">
      <c r="A106" s="7">
        <f>IF($C106="","",COUNTIF($C$4:$C106,"&lt;&gt;"))</f>
      </c>
      <c r="B106" s="8"/>
      <c r="C106" s="8"/>
      <c r="D106" s="8"/>
      <c r="E106" s="8"/>
      <c r="F106" s="8"/>
      <c r="G106" s="8"/>
      <c r="H106" s="8"/>
      <c r="I106" s="8"/>
      <c r="J106" s="8"/>
      <c r="K106" s="8"/>
      <c r="L106" s="8"/>
      <c r="M106" s="7">
        <f>IF($C106="","",G106+H106+I106+J106+K106+L106)</f>
      </c>
      <c r="N106" s="8"/>
      <c r="O106" s="8"/>
      <c r="P106" s="8"/>
      <c r="Q106" s="8"/>
      <c r="R106" s="8"/>
      <c r="S106" s="7">
        <f>IF($C106="","",C106&amp;" | BSR "&amp;B106&amp;" | "&amp;TEXT(D106,"dd-mm-yyyy")&amp;" | ₹"&amp;TEXT(M106,"#,##0"))</f>
      </c>
      <c r="T106" s="7">
        <f>IF($C106="","",SUMIFS('Q1 Data'!$L$4:$L$207,'Q1 Data'!$B$4:$B$207,$S106)+SUMIFS('Q1 Data'!$O$4:$O$207,'Q1 Data'!$B$4:$B$207,$S106)+SUMIFS('Q1 Data'!$M$4:$M$207,'Q1 Data'!$B$4:$B$207,$S106))</f>
      </c>
      <c r="U106" s="7">
        <f>IF($C106="","",SUMIFS('Q2 Data'!$L$4:$L$207,'Q2 Data'!$B$4:$B$207,$S106)+SUMIFS('Q2 Data'!$O$4:$O$207,'Q2 Data'!$B$4:$B$207,$S106)+SUMIFS('Q2 Data'!$M$4:$M$207,'Q2 Data'!$B$4:$B$207,$S106))</f>
      </c>
      <c r="V106" s="7">
        <f>IF($C106="","",SUMIFS('Q3 Data'!$L$4:$L$207,'Q3 Data'!$B$4:$B$207,$S106)+SUMIFS('Q3 Data'!$O$4:$O$207,'Q3 Data'!$B$4:$B$207,$S106)+SUMIFS('Q3 Data'!$M$4:$M$207,'Q3 Data'!$B$4:$B$207,$S106))</f>
      </c>
      <c r="W106" s="7">
        <f>IF($C106="","",SUMIFS('Q4 Data'!$L$4:$L$207,'Q4 Data'!$B$4:$B$207,$S106)+SUMIFS('Q4 Data'!$O$4:$O$207,'Q4 Data'!$B$4:$B$207,$S106)+SUMIFS('Q4 Data'!$M$4:$M$207,'Q4 Data'!$B$4:$B$207,$S106))</f>
      </c>
      <c r="X106" s="7">
        <f>IF($C106="","",T106+U106+V106+W106)</f>
      </c>
      <c r="Y106" s="7">
        <f>IF($C106="","",M106-L106)</f>
      </c>
      <c r="Z106" s="7">
        <f>IF($C106="","",Y106-X106)</f>
      </c>
      <c r="AA106" s="7">
        <f>IF($C106="","",IF(ROUND(X106-Y106,2)&gt;0,"Over-applied",IF(ROUND(X106-Y106,2)=0,"Fully Utilised","Unconsumed")))</f>
      </c>
    </row>
    <row r="107" spans="1:27" x14ac:dyDescent="0.25">
      <c r="A107" s="7">
        <f>IF($C107="","",COUNTIF($C$4:$C107,"&lt;&gt;"))</f>
      </c>
      <c r="B107" s="8"/>
      <c r="C107" s="8"/>
      <c r="D107" s="8"/>
      <c r="E107" s="8"/>
      <c r="F107" s="8"/>
      <c r="G107" s="8"/>
      <c r="H107" s="8"/>
      <c r="I107" s="8"/>
      <c r="J107" s="8"/>
      <c r="K107" s="8"/>
      <c r="L107" s="8"/>
      <c r="M107" s="7">
        <f>IF($C107="","",G107+H107+I107+J107+K107+L107)</f>
      </c>
      <c r="N107" s="8"/>
      <c r="O107" s="8"/>
      <c r="P107" s="8"/>
      <c r="Q107" s="8"/>
      <c r="R107" s="8"/>
      <c r="S107" s="7">
        <f>IF($C107="","",C107&amp;" | BSR "&amp;B107&amp;" | "&amp;TEXT(D107,"dd-mm-yyyy")&amp;" | ₹"&amp;TEXT(M107,"#,##0"))</f>
      </c>
      <c r="T107" s="7">
        <f>IF($C107="","",SUMIFS('Q1 Data'!$L$4:$L$207,'Q1 Data'!$B$4:$B$207,$S107)+SUMIFS('Q1 Data'!$O$4:$O$207,'Q1 Data'!$B$4:$B$207,$S107)+SUMIFS('Q1 Data'!$M$4:$M$207,'Q1 Data'!$B$4:$B$207,$S107))</f>
      </c>
      <c r="U107" s="7">
        <f>IF($C107="","",SUMIFS('Q2 Data'!$L$4:$L$207,'Q2 Data'!$B$4:$B$207,$S107)+SUMIFS('Q2 Data'!$O$4:$O$207,'Q2 Data'!$B$4:$B$207,$S107)+SUMIFS('Q2 Data'!$M$4:$M$207,'Q2 Data'!$B$4:$B$207,$S107))</f>
      </c>
      <c r="V107" s="7">
        <f>IF($C107="","",SUMIFS('Q3 Data'!$L$4:$L$207,'Q3 Data'!$B$4:$B$207,$S107)+SUMIFS('Q3 Data'!$O$4:$O$207,'Q3 Data'!$B$4:$B$207,$S107)+SUMIFS('Q3 Data'!$M$4:$M$207,'Q3 Data'!$B$4:$B$207,$S107))</f>
      </c>
      <c r="W107" s="7">
        <f>IF($C107="","",SUMIFS('Q4 Data'!$L$4:$L$207,'Q4 Data'!$B$4:$B$207,$S107)+SUMIFS('Q4 Data'!$O$4:$O$207,'Q4 Data'!$B$4:$B$207,$S107)+SUMIFS('Q4 Data'!$M$4:$M$207,'Q4 Data'!$B$4:$B$207,$S107))</f>
      </c>
      <c r="X107" s="7">
        <f>IF($C107="","",T107+U107+V107+W107)</f>
      </c>
      <c r="Y107" s="7">
        <f>IF($C107="","",M107-L107)</f>
      </c>
      <c r="Z107" s="7">
        <f>IF($C107="","",Y107-X107)</f>
      </c>
      <c r="AA107" s="7">
        <f>IF($C107="","",IF(ROUND(X107-Y107,2)&gt;0,"Over-applied",IF(ROUND(X107-Y107,2)=0,"Fully Utilised","Unconsumed")))</f>
      </c>
    </row>
    <row r="108" spans="1:27" x14ac:dyDescent="0.25">
      <c r="A108" s="7">
        <f>IF($C108="","",COUNTIF($C$4:$C108,"&lt;&gt;"))</f>
      </c>
      <c r="B108" s="8"/>
      <c r="C108" s="8"/>
      <c r="D108" s="8"/>
      <c r="E108" s="8"/>
      <c r="F108" s="8"/>
      <c r="G108" s="8"/>
      <c r="H108" s="8"/>
      <c r="I108" s="8"/>
      <c r="J108" s="8"/>
      <c r="K108" s="8"/>
      <c r="L108" s="8"/>
      <c r="M108" s="7">
        <f>IF($C108="","",G108+H108+I108+J108+K108+L108)</f>
      </c>
      <c r="N108" s="8"/>
      <c r="O108" s="8"/>
      <c r="P108" s="8"/>
      <c r="Q108" s="8"/>
      <c r="R108" s="8"/>
      <c r="S108" s="7">
        <f>IF($C108="","",C108&amp;" | BSR "&amp;B108&amp;" | "&amp;TEXT(D108,"dd-mm-yyyy")&amp;" | ₹"&amp;TEXT(M108,"#,##0"))</f>
      </c>
      <c r="T108" s="7">
        <f>IF($C108="","",SUMIFS('Q1 Data'!$L$4:$L$207,'Q1 Data'!$B$4:$B$207,$S108)+SUMIFS('Q1 Data'!$O$4:$O$207,'Q1 Data'!$B$4:$B$207,$S108)+SUMIFS('Q1 Data'!$M$4:$M$207,'Q1 Data'!$B$4:$B$207,$S108))</f>
      </c>
      <c r="U108" s="7">
        <f>IF($C108="","",SUMIFS('Q2 Data'!$L$4:$L$207,'Q2 Data'!$B$4:$B$207,$S108)+SUMIFS('Q2 Data'!$O$4:$O$207,'Q2 Data'!$B$4:$B$207,$S108)+SUMIFS('Q2 Data'!$M$4:$M$207,'Q2 Data'!$B$4:$B$207,$S108))</f>
      </c>
      <c r="V108" s="7">
        <f>IF($C108="","",SUMIFS('Q3 Data'!$L$4:$L$207,'Q3 Data'!$B$4:$B$207,$S108)+SUMIFS('Q3 Data'!$O$4:$O$207,'Q3 Data'!$B$4:$B$207,$S108)+SUMIFS('Q3 Data'!$M$4:$M$207,'Q3 Data'!$B$4:$B$207,$S108))</f>
      </c>
      <c r="W108" s="7">
        <f>IF($C108="","",SUMIFS('Q4 Data'!$L$4:$L$207,'Q4 Data'!$B$4:$B$207,$S108)+SUMIFS('Q4 Data'!$O$4:$O$207,'Q4 Data'!$B$4:$B$207,$S108)+SUMIFS('Q4 Data'!$M$4:$M$207,'Q4 Data'!$B$4:$B$207,$S108))</f>
      </c>
      <c r="X108" s="7">
        <f>IF($C108="","",T108+U108+V108+W108)</f>
      </c>
      <c r="Y108" s="7">
        <f>IF($C108="","",M108-L108)</f>
      </c>
      <c r="Z108" s="7">
        <f>IF($C108="","",Y108-X108)</f>
      </c>
      <c r="AA108" s="7">
        <f>IF($C108="","",IF(ROUND(X108-Y108,2)&gt;0,"Over-applied",IF(ROUND(X108-Y108,2)=0,"Fully Utilised","Unconsumed")))</f>
      </c>
    </row>
    <row r="109" spans="1:27" x14ac:dyDescent="0.25">
      <c r="A109" s="7">
        <f>IF($C109="","",COUNTIF($C$4:$C109,"&lt;&gt;"))</f>
      </c>
      <c r="B109" s="8"/>
      <c r="C109" s="8"/>
      <c r="D109" s="8"/>
      <c r="E109" s="8"/>
      <c r="F109" s="8"/>
      <c r="G109" s="8"/>
      <c r="H109" s="8"/>
      <c r="I109" s="8"/>
      <c r="J109" s="8"/>
      <c r="K109" s="8"/>
      <c r="L109" s="8"/>
      <c r="M109" s="7">
        <f>IF($C109="","",G109+H109+I109+J109+K109+L109)</f>
      </c>
      <c r="N109" s="8"/>
      <c r="O109" s="8"/>
      <c r="P109" s="8"/>
      <c r="Q109" s="8"/>
      <c r="R109" s="8"/>
      <c r="S109" s="7">
        <f>IF($C109="","",C109&amp;" | BSR "&amp;B109&amp;" | "&amp;TEXT(D109,"dd-mm-yyyy")&amp;" | ₹"&amp;TEXT(M109,"#,##0"))</f>
      </c>
      <c r="T109" s="7">
        <f>IF($C109="","",SUMIFS('Q1 Data'!$L$4:$L$207,'Q1 Data'!$B$4:$B$207,$S109)+SUMIFS('Q1 Data'!$O$4:$O$207,'Q1 Data'!$B$4:$B$207,$S109)+SUMIFS('Q1 Data'!$M$4:$M$207,'Q1 Data'!$B$4:$B$207,$S109))</f>
      </c>
      <c r="U109" s="7">
        <f>IF($C109="","",SUMIFS('Q2 Data'!$L$4:$L$207,'Q2 Data'!$B$4:$B$207,$S109)+SUMIFS('Q2 Data'!$O$4:$O$207,'Q2 Data'!$B$4:$B$207,$S109)+SUMIFS('Q2 Data'!$M$4:$M$207,'Q2 Data'!$B$4:$B$207,$S109))</f>
      </c>
      <c r="V109" s="7">
        <f>IF($C109="","",SUMIFS('Q3 Data'!$L$4:$L$207,'Q3 Data'!$B$4:$B$207,$S109)+SUMIFS('Q3 Data'!$O$4:$O$207,'Q3 Data'!$B$4:$B$207,$S109)+SUMIFS('Q3 Data'!$M$4:$M$207,'Q3 Data'!$B$4:$B$207,$S109))</f>
      </c>
      <c r="W109" s="7">
        <f>IF($C109="","",SUMIFS('Q4 Data'!$L$4:$L$207,'Q4 Data'!$B$4:$B$207,$S109)+SUMIFS('Q4 Data'!$O$4:$O$207,'Q4 Data'!$B$4:$B$207,$S109)+SUMIFS('Q4 Data'!$M$4:$M$207,'Q4 Data'!$B$4:$B$207,$S109))</f>
      </c>
      <c r="X109" s="7">
        <f>IF($C109="","",T109+U109+V109+W109)</f>
      </c>
      <c r="Y109" s="7">
        <f>IF($C109="","",M109-L109)</f>
      </c>
      <c r="Z109" s="7">
        <f>IF($C109="","",Y109-X109)</f>
      </c>
      <c r="AA109" s="7">
        <f>IF($C109="","",IF(ROUND(X109-Y109,2)&gt;0,"Over-applied",IF(ROUND(X109-Y109,2)=0,"Fully Utilised","Unconsumed")))</f>
      </c>
    </row>
    <row r="110" spans="1:27" x14ac:dyDescent="0.25">
      <c r="A110" s="7">
        <f>IF($C110="","",COUNTIF($C$4:$C110,"&lt;&gt;"))</f>
      </c>
      <c r="B110" s="8"/>
      <c r="C110" s="8"/>
      <c r="D110" s="8"/>
      <c r="E110" s="8"/>
      <c r="F110" s="8"/>
      <c r="G110" s="8"/>
      <c r="H110" s="8"/>
      <c r="I110" s="8"/>
      <c r="J110" s="8"/>
      <c r="K110" s="8"/>
      <c r="L110" s="8"/>
      <c r="M110" s="7">
        <f>IF($C110="","",G110+H110+I110+J110+K110+L110)</f>
      </c>
      <c r="N110" s="8"/>
      <c r="O110" s="8"/>
      <c r="P110" s="8"/>
      <c r="Q110" s="8"/>
      <c r="R110" s="8"/>
      <c r="S110" s="7">
        <f>IF($C110="","",C110&amp;" | BSR "&amp;B110&amp;" | "&amp;TEXT(D110,"dd-mm-yyyy")&amp;" | ₹"&amp;TEXT(M110,"#,##0"))</f>
      </c>
      <c r="T110" s="7">
        <f>IF($C110="","",SUMIFS('Q1 Data'!$L$4:$L$207,'Q1 Data'!$B$4:$B$207,$S110)+SUMIFS('Q1 Data'!$O$4:$O$207,'Q1 Data'!$B$4:$B$207,$S110)+SUMIFS('Q1 Data'!$M$4:$M$207,'Q1 Data'!$B$4:$B$207,$S110))</f>
      </c>
      <c r="U110" s="7">
        <f>IF($C110="","",SUMIFS('Q2 Data'!$L$4:$L$207,'Q2 Data'!$B$4:$B$207,$S110)+SUMIFS('Q2 Data'!$O$4:$O$207,'Q2 Data'!$B$4:$B$207,$S110)+SUMIFS('Q2 Data'!$M$4:$M$207,'Q2 Data'!$B$4:$B$207,$S110))</f>
      </c>
      <c r="V110" s="7">
        <f>IF($C110="","",SUMIFS('Q3 Data'!$L$4:$L$207,'Q3 Data'!$B$4:$B$207,$S110)+SUMIFS('Q3 Data'!$O$4:$O$207,'Q3 Data'!$B$4:$B$207,$S110)+SUMIFS('Q3 Data'!$M$4:$M$207,'Q3 Data'!$B$4:$B$207,$S110))</f>
      </c>
      <c r="W110" s="7">
        <f>IF($C110="","",SUMIFS('Q4 Data'!$L$4:$L$207,'Q4 Data'!$B$4:$B$207,$S110)+SUMIFS('Q4 Data'!$O$4:$O$207,'Q4 Data'!$B$4:$B$207,$S110)+SUMIFS('Q4 Data'!$M$4:$M$207,'Q4 Data'!$B$4:$B$207,$S110))</f>
      </c>
      <c r="X110" s="7">
        <f>IF($C110="","",T110+U110+V110+W110)</f>
      </c>
      <c r="Y110" s="7">
        <f>IF($C110="","",M110-L110)</f>
      </c>
      <c r="Z110" s="7">
        <f>IF($C110="","",Y110-X110)</f>
      </c>
      <c r="AA110" s="7">
        <f>IF($C110="","",IF(ROUND(X110-Y110,2)&gt;0,"Over-applied",IF(ROUND(X110-Y110,2)=0,"Fully Utilised","Unconsumed")))</f>
      </c>
    </row>
    <row r="111" spans="1:27" x14ac:dyDescent="0.25">
      <c r="A111" s="7">
        <f>IF($C111="","",COUNTIF($C$4:$C111,"&lt;&gt;"))</f>
      </c>
      <c r="B111" s="8"/>
      <c r="C111" s="8"/>
      <c r="D111" s="8"/>
      <c r="E111" s="8"/>
      <c r="F111" s="8"/>
      <c r="G111" s="8"/>
      <c r="H111" s="8"/>
      <c r="I111" s="8"/>
      <c r="J111" s="8"/>
      <c r="K111" s="8"/>
      <c r="L111" s="8"/>
      <c r="M111" s="7">
        <f>IF($C111="","",G111+H111+I111+J111+K111+L111)</f>
      </c>
      <c r="N111" s="8"/>
      <c r="O111" s="8"/>
      <c r="P111" s="8"/>
      <c r="Q111" s="8"/>
      <c r="R111" s="8"/>
      <c r="S111" s="7">
        <f>IF($C111="","",C111&amp;" | BSR "&amp;B111&amp;" | "&amp;TEXT(D111,"dd-mm-yyyy")&amp;" | ₹"&amp;TEXT(M111,"#,##0"))</f>
      </c>
      <c r="T111" s="7">
        <f>IF($C111="","",SUMIFS('Q1 Data'!$L$4:$L$207,'Q1 Data'!$B$4:$B$207,$S111)+SUMIFS('Q1 Data'!$O$4:$O$207,'Q1 Data'!$B$4:$B$207,$S111)+SUMIFS('Q1 Data'!$M$4:$M$207,'Q1 Data'!$B$4:$B$207,$S111))</f>
      </c>
      <c r="U111" s="7">
        <f>IF($C111="","",SUMIFS('Q2 Data'!$L$4:$L$207,'Q2 Data'!$B$4:$B$207,$S111)+SUMIFS('Q2 Data'!$O$4:$O$207,'Q2 Data'!$B$4:$B$207,$S111)+SUMIFS('Q2 Data'!$M$4:$M$207,'Q2 Data'!$B$4:$B$207,$S111))</f>
      </c>
      <c r="V111" s="7">
        <f>IF($C111="","",SUMIFS('Q3 Data'!$L$4:$L$207,'Q3 Data'!$B$4:$B$207,$S111)+SUMIFS('Q3 Data'!$O$4:$O$207,'Q3 Data'!$B$4:$B$207,$S111)+SUMIFS('Q3 Data'!$M$4:$M$207,'Q3 Data'!$B$4:$B$207,$S111))</f>
      </c>
      <c r="W111" s="7">
        <f>IF($C111="","",SUMIFS('Q4 Data'!$L$4:$L$207,'Q4 Data'!$B$4:$B$207,$S111)+SUMIFS('Q4 Data'!$O$4:$O$207,'Q4 Data'!$B$4:$B$207,$S111)+SUMIFS('Q4 Data'!$M$4:$M$207,'Q4 Data'!$B$4:$B$207,$S111))</f>
      </c>
      <c r="X111" s="7">
        <f>IF($C111="","",T111+U111+V111+W111)</f>
      </c>
      <c r="Y111" s="7">
        <f>IF($C111="","",M111-L111)</f>
      </c>
      <c r="Z111" s="7">
        <f>IF($C111="","",Y111-X111)</f>
      </c>
      <c r="AA111" s="7">
        <f>IF($C111="","",IF(ROUND(X111-Y111,2)&gt;0,"Over-applied",IF(ROUND(X111-Y111,2)=0,"Fully Utilised","Unconsumed")))</f>
      </c>
    </row>
    <row r="112" spans="1:27" x14ac:dyDescent="0.25">
      <c r="A112" s="7">
        <f>IF($C112="","",COUNTIF($C$4:$C112,"&lt;&gt;"))</f>
      </c>
      <c r="B112" s="8"/>
      <c r="C112" s="8"/>
      <c r="D112" s="8"/>
      <c r="E112" s="8"/>
      <c r="F112" s="8"/>
      <c r="G112" s="8"/>
      <c r="H112" s="8"/>
      <c r="I112" s="8"/>
      <c r="J112" s="8"/>
      <c r="K112" s="8"/>
      <c r="L112" s="8"/>
      <c r="M112" s="7">
        <f>IF($C112="","",G112+H112+I112+J112+K112+L112)</f>
      </c>
      <c r="N112" s="8"/>
      <c r="O112" s="8"/>
      <c r="P112" s="8"/>
      <c r="Q112" s="8"/>
      <c r="R112" s="8"/>
      <c r="S112" s="7">
        <f>IF($C112="","",C112&amp;" | BSR "&amp;B112&amp;" | "&amp;TEXT(D112,"dd-mm-yyyy")&amp;" | ₹"&amp;TEXT(M112,"#,##0"))</f>
      </c>
      <c r="T112" s="7">
        <f>IF($C112="","",SUMIFS('Q1 Data'!$L$4:$L$207,'Q1 Data'!$B$4:$B$207,$S112)+SUMIFS('Q1 Data'!$O$4:$O$207,'Q1 Data'!$B$4:$B$207,$S112)+SUMIFS('Q1 Data'!$M$4:$M$207,'Q1 Data'!$B$4:$B$207,$S112))</f>
      </c>
      <c r="U112" s="7">
        <f>IF($C112="","",SUMIFS('Q2 Data'!$L$4:$L$207,'Q2 Data'!$B$4:$B$207,$S112)+SUMIFS('Q2 Data'!$O$4:$O$207,'Q2 Data'!$B$4:$B$207,$S112)+SUMIFS('Q2 Data'!$M$4:$M$207,'Q2 Data'!$B$4:$B$207,$S112))</f>
      </c>
      <c r="V112" s="7">
        <f>IF($C112="","",SUMIFS('Q3 Data'!$L$4:$L$207,'Q3 Data'!$B$4:$B$207,$S112)+SUMIFS('Q3 Data'!$O$4:$O$207,'Q3 Data'!$B$4:$B$207,$S112)+SUMIFS('Q3 Data'!$M$4:$M$207,'Q3 Data'!$B$4:$B$207,$S112))</f>
      </c>
      <c r="W112" s="7">
        <f>IF($C112="","",SUMIFS('Q4 Data'!$L$4:$L$207,'Q4 Data'!$B$4:$B$207,$S112)+SUMIFS('Q4 Data'!$O$4:$O$207,'Q4 Data'!$B$4:$B$207,$S112)+SUMIFS('Q4 Data'!$M$4:$M$207,'Q4 Data'!$B$4:$B$207,$S112))</f>
      </c>
      <c r="X112" s="7">
        <f>IF($C112="","",T112+U112+V112+W112)</f>
      </c>
      <c r="Y112" s="7">
        <f>IF($C112="","",M112-L112)</f>
      </c>
      <c r="Z112" s="7">
        <f>IF($C112="","",Y112-X112)</f>
      </c>
      <c r="AA112" s="7">
        <f>IF($C112="","",IF(ROUND(X112-Y112,2)&gt;0,"Over-applied",IF(ROUND(X112-Y112,2)=0,"Fully Utilised","Unconsumed")))</f>
      </c>
    </row>
    <row r="113" spans="1:27" x14ac:dyDescent="0.25">
      <c r="A113" s="7">
        <f>IF($C113="","",COUNTIF($C$4:$C113,"&lt;&gt;"))</f>
      </c>
      <c r="B113" s="8"/>
      <c r="C113" s="8"/>
      <c r="D113" s="8"/>
      <c r="E113" s="8"/>
      <c r="F113" s="8"/>
      <c r="G113" s="8"/>
      <c r="H113" s="8"/>
      <c r="I113" s="8"/>
      <c r="J113" s="8"/>
      <c r="K113" s="8"/>
      <c r="L113" s="8"/>
      <c r="M113" s="7">
        <f>IF($C113="","",G113+H113+I113+J113+K113+L113)</f>
      </c>
      <c r="N113" s="8"/>
      <c r="O113" s="8"/>
      <c r="P113" s="8"/>
      <c r="Q113" s="8"/>
      <c r="R113" s="8"/>
      <c r="S113" s="7">
        <f>IF($C113="","",C113&amp;" | BSR "&amp;B113&amp;" | "&amp;TEXT(D113,"dd-mm-yyyy")&amp;" | ₹"&amp;TEXT(M113,"#,##0"))</f>
      </c>
      <c r="T113" s="7">
        <f>IF($C113="","",SUMIFS('Q1 Data'!$L$4:$L$207,'Q1 Data'!$B$4:$B$207,$S113)+SUMIFS('Q1 Data'!$O$4:$O$207,'Q1 Data'!$B$4:$B$207,$S113)+SUMIFS('Q1 Data'!$M$4:$M$207,'Q1 Data'!$B$4:$B$207,$S113))</f>
      </c>
      <c r="U113" s="7">
        <f>IF($C113="","",SUMIFS('Q2 Data'!$L$4:$L$207,'Q2 Data'!$B$4:$B$207,$S113)+SUMIFS('Q2 Data'!$O$4:$O$207,'Q2 Data'!$B$4:$B$207,$S113)+SUMIFS('Q2 Data'!$M$4:$M$207,'Q2 Data'!$B$4:$B$207,$S113))</f>
      </c>
      <c r="V113" s="7">
        <f>IF($C113="","",SUMIFS('Q3 Data'!$L$4:$L$207,'Q3 Data'!$B$4:$B$207,$S113)+SUMIFS('Q3 Data'!$O$4:$O$207,'Q3 Data'!$B$4:$B$207,$S113)+SUMIFS('Q3 Data'!$M$4:$M$207,'Q3 Data'!$B$4:$B$207,$S113))</f>
      </c>
      <c r="W113" s="7">
        <f>IF($C113="","",SUMIFS('Q4 Data'!$L$4:$L$207,'Q4 Data'!$B$4:$B$207,$S113)+SUMIFS('Q4 Data'!$O$4:$O$207,'Q4 Data'!$B$4:$B$207,$S113)+SUMIFS('Q4 Data'!$M$4:$M$207,'Q4 Data'!$B$4:$B$207,$S113))</f>
      </c>
      <c r="X113" s="7">
        <f>IF($C113="","",T113+U113+V113+W113)</f>
      </c>
      <c r="Y113" s="7">
        <f>IF($C113="","",M113-L113)</f>
      </c>
      <c r="Z113" s="7">
        <f>IF($C113="","",Y113-X113)</f>
      </c>
      <c r="AA113" s="7">
        <f>IF($C113="","",IF(ROUND(X113-Y113,2)&gt;0,"Over-applied",IF(ROUND(X113-Y113,2)=0,"Fully Utilised","Unconsumed")))</f>
      </c>
    </row>
    <row r="114" spans="1:27" x14ac:dyDescent="0.25">
      <c r="A114" s="7">
        <f>IF($C114="","",COUNTIF($C$4:$C114,"&lt;&gt;"))</f>
      </c>
      <c r="B114" s="8"/>
      <c r="C114" s="8"/>
      <c r="D114" s="8"/>
      <c r="E114" s="8"/>
      <c r="F114" s="8"/>
      <c r="G114" s="8"/>
      <c r="H114" s="8"/>
      <c r="I114" s="8"/>
      <c r="J114" s="8"/>
      <c r="K114" s="8"/>
      <c r="L114" s="8"/>
      <c r="M114" s="7">
        <f>IF($C114="","",G114+H114+I114+J114+K114+L114)</f>
      </c>
      <c r="N114" s="8"/>
      <c r="O114" s="8"/>
      <c r="P114" s="8"/>
      <c r="Q114" s="8"/>
      <c r="R114" s="8"/>
      <c r="S114" s="7">
        <f>IF($C114="","",C114&amp;" | BSR "&amp;B114&amp;" | "&amp;TEXT(D114,"dd-mm-yyyy")&amp;" | ₹"&amp;TEXT(M114,"#,##0"))</f>
      </c>
      <c r="T114" s="7">
        <f>IF($C114="","",SUMIFS('Q1 Data'!$L$4:$L$207,'Q1 Data'!$B$4:$B$207,$S114)+SUMIFS('Q1 Data'!$O$4:$O$207,'Q1 Data'!$B$4:$B$207,$S114)+SUMIFS('Q1 Data'!$M$4:$M$207,'Q1 Data'!$B$4:$B$207,$S114))</f>
      </c>
      <c r="U114" s="7">
        <f>IF($C114="","",SUMIFS('Q2 Data'!$L$4:$L$207,'Q2 Data'!$B$4:$B$207,$S114)+SUMIFS('Q2 Data'!$O$4:$O$207,'Q2 Data'!$B$4:$B$207,$S114)+SUMIFS('Q2 Data'!$M$4:$M$207,'Q2 Data'!$B$4:$B$207,$S114))</f>
      </c>
      <c r="V114" s="7">
        <f>IF($C114="","",SUMIFS('Q3 Data'!$L$4:$L$207,'Q3 Data'!$B$4:$B$207,$S114)+SUMIFS('Q3 Data'!$O$4:$O$207,'Q3 Data'!$B$4:$B$207,$S114)+SUMIFS('Q3 Data'!$M$4:$M$207,'Q3 Data'!$B$4:$B$207,$S114))</f>
      </c>
      <c r="W114" s="7">
        <f>IF($C114="","",SUMIFS('Q4 Data'!$L$4:$L$207,'Q4 Data'!$B$4:$B$207,$S114)+SUMIFS('Q4 Data'!$O$4:$O$207,'Q4 Data'!$B$4:$B$207,$S114)+SUMIFS('Q4 Data'!$M$4:$M$207,'Q4 Data'!$B$4:$B$207,$S114))</f>
      </c>
      <c r="X114" s="7">
        <f>IF($C114="","",T114+U114+V114+W114)</f>
      </c>
      <c r="Y114" s="7">
        <f>IF($C114="","",M114-L114)</f>
      </c>
      <c r="Z114" s="7">
        <f>IF($C114="","",Y114-X114)</f>
      </c>
      <c r="AA114" s="7">
        <f>IF($C114="","",IF(ROUND(X114-Y114,2)&gt;0,"Over-applied",IF(ROUND(X114-Y114,2)=0,"Fully Utilised","Unconsumed")))</f>
      </c>
    </row>
    <row r="115" spans="1:27" x14ac:dyDescent="0.25">
      <c r="A115" s="7">
        <f>IF($C115="","",COUNTIF($C$4:$C115,"&lt;&gt;"))</f>
      </c>
      <c r="B115" s="8"/>
      <c r="C115" s="8"/>
      <c r="D115" s="8"/>
      <c r="E115" s="8"/>
      <c r="F115" s="8"/>
      <c r="G115" s="8"/>
      <c r="H115" s="8"/>
      <c r="I115" s="8"/>
      <c r="J115" s="8"/>
      <c r="K115" s="8"/>
      <c r="L115" s="8"/>
      <c r="M115" s="7">
        <f>IF($C115="","",G115+H115+I115+J115+K115+L115)</f>
      </c>
      <c r="N115" s="8"/>
      <c r="O115" s="8"/>
      <c r="P115" s="8"/>
      <c r="Q115" s="8"/>
      <c r="R115" s="8"/>
      <c r="S115" s="7">
        <f>IF($C115="","",C115&amp;" | BSR "&amp;B115&amp;" | "&amp;TEXT(D115,"dd-mm-yyyy")&amp;" | ₹"&amp;TEXT(M115,"#,##0"))</f>
      </c>
      <c r="T115" s="7">
        <f>IF($C115="","",SUMIFS('Q1 Data'!$L$4:$L$207,'Q1 Data'!$B$4:$B$207,$S115)+SUMIFS('Q1 Data'!$O$4:$O$207,'Q1 Data'!$B$4:$B$207,$S115)+SUMIFS('Q1 Data'!$M$4:$M$207,'Q1 Data'!$B$4:$B$207,$S115))</f>
      </c>
      <c r="U115" s="7">
        <f>IF($C115="","",SUMIFS('Q2 Data'!$L$4:$L$207,'Q2 Data'!$B$4:$B$207,$S115)+SUMIFS('Q2 Data'!$O$4:$O$207,'Q2 Data'!$B$4:$B$207,$S115)+SUMIFS('Q2 Data'!$M$4:$M$207,'Q2 Data'!$B$4:$B$207,$S115))</f>
      </c>
      <c r="V115" s="7">
        <f>IF($C115="","",SUMIFS('Q3 Data'!$L$4:$L$207,'Q3 Data'!$B$4:$B$207,$S115)+SUMIFS('Q3 Data'!$O$4:$O$207,'Q3 Data'!$B$4:$B$207,$S115)+SUMIFS('Q3 Data'!$M$4:$M$207,'Q3 Data'!$B$4:$B$207,$S115))</f>
      </c>
      <c r="W115" s="7">
        <f>IF($C115="","",SUMIFS('Q4 Data'!$L$4:$L$207,'Q4 Data'!$B$4:$B$207,$S115)+SUMIFS('Q4 Data'!$O$4:$O$207,'Q4 Data'!$B$4:$B$207,$S115)+SUMIFS('Q4 Data'!$M$4:$M$207,'Q4 Data'!$B$4:$B$207,$S115))</f>
      </c>
      <c r="X115" s="7">
        <f>IF($C115="","",T115+U115+V115+W115)</f>
      </c>
      <c r="Y115" s="7">
        <f>IF($C115="","",M115-L115)</f>
      </c>
      <c r="Z115" s="7">
        <f>IF($C115="","",Y115-X115)</f>
      </c>
      <c r="AA115" s="7">
        <f>IF($C115="","",IF(ROUND(X115-Y115,2)&gt;0,"Over-applied",IF(ROUND(X115-Y115,2)=0,"Fully Utilised","Unconsumed")))</f>
      </c>
    </row>
    <row r="116" spans="1:27" x14ac:dyDescent="0.25">
      <c r="A116" s="7">
        <f>IF($C116="","",COUNTIF($C$4:$C116,"&lt;&gt;"))</f>
      </c>
      <c r="B116" s="8"/>
      <c r="C116" s="8"/>
      <c r="D116" s="8"/>
      <c r="E116" s="8"/>
      <c r="F116" s="8"/>
      <c r="G116" s="8"/>
      <c r="H116" s="8"/>
      <c r="I116" s="8"/>
      <c r="J116" s="8"/>
      <c r="K116" s="8"/>
      <c r="L116" s="8"/>
      <c r="M116" s="7">
        <f>IF($C116="","",G116+H116+I116+J116+K116+L116)</f>
      </c>
      <c r="N116" s="8"/>
      <c r="O116" s="8"/>
      <c r="P116" s="8"/>
      <c r="Q116" s="8"/>
      <c r="R116" s="8"/>
      <c r="S116" s="7">
        <f>IF($C116="","",C116&amp;" | BSR "&amp;B116&amp;" | "&amp;TEXT(D116,"dd-mm-yyyy")&amp;" | ₹"&amp;TEXT(M116,"#,##0"))</f>
      </c>
      <c r="T116" s="7">
        <f>IF($C116="","",SUMIFS('Q1 Data'!$L$4:$L$207,'Q1 Data'!$B$4:$B$207,$S116)+SUMIFS('Q1 Data'!$O$4:$O$207,'Q1 Data'!$B$4:$B$207,$S116)+SUMIFS('Q1 Data'!$M$4:$M$207,'Q1 Data'!$B$4:$B$207,$S116))</f>
      </c>
      <c r="U116" s="7">
        <f>IF($C116="","",SUMIFS('Q2 Data'!$L$4:$L$207,'Q2 Data'!$B$4:$B$207,$S116)+SUMIFS('Q2 Data'!$O$4:$O$207,'Q2 Data'!$B$4:$B$207,$S116)+SUMIFS('Q2 Data'!$M$4:$M$207,'Q2 Data'!$B$4:$B$207,$S116))</f>
      </c>
      <c r="V116" s="7">
        <f>IF($C116="","",SUMIFS('Q3 Data'!$L$4:$L$207,'Q3 Data'!$B$4:$B$207,$S116)+SUMIFS('Q3 Data'!$O$4:$O$207,'Q3 Data'!$B$4:$B$207,$S116)+SUMIFS('Q3 Data'!$M$4:$M$207,'Q3 Data'!$B$4:$B$207,$S116))</f>
      </c>
      <c r="W116" s="7">
        <f>IF($C116="","",SUMIFS('Q4 Data'!$L$4:$L$207,'Q4 Data'!$B$4:$B$207,$S116)+SUMIFS('Q4 Data'!$O$4:$O$207,'Q4 Data'!$B$4:$B$207,$S116)+SUMIFS('Q4 Data'!$M$4:$M$207,'Q4 Data'!$B$4:$B$207,$S116))</f>
      </c>
      <c r="X116" s="7">
        <f>IF($C116="","",T116+U116+V116+W116)</f>
      </c>
      <c r="Y116" s="7">
        <f>IF($C116="","",M116-L116)</f>
      </c>
      <c r="Z116" s="7">
        <f>IF($C116="","",Y116-X116)</f>
      </c>
      <c r="AA116" s="7">
        <f>IF($C116="","",IF(ROUND(X116-Y116,2)&gt;0,"Over-applied",IF(ROUND(X116-Y116,2)=0,"Fully Utilised","Unconsumed")))</f>
      </c>
    </row>
    <row r="117" spans="1:27" x14ac:dyDescent="0.25">
      <c r="A117" s="7">
        <f>IF($C117="","",COUNTIF($C$4:$C117,"&lt;&gt;"))</f>
      </c>
      <c r="B117" s="8"/>
      <c r="C117" s="8"/>
      <c r="D117" s="8"/>
      <c r="E117" s="8"/>
      <c r="F117" s="8"/>
      <c r="G117" s="8"/>
      <c r="H117" s="8"/>
      <c r="I117" s="8"/>
      <c r="J117" s="8"/>
      <c r="K117" s="8"/>
      <c r="L117" s="8"/>
      <c r="M117" s="7">
        <f>IF($C117="","",G117+H117+I117+J117+K117+L117)</f>
      </c>
      <c r="N117" s="8"/>
      <c r="O117" s="8"/>
      <c r="P117" s="8"/>
      <c r="Q117" s="8"/>
      <c r="R117" s="8"/>
      <c r="S117" s="7">
        <f>IF($C117="","",C117&amp;" | BSR "&amp;B117&amp;" | "&amp;TEXT(D117,"dd-mm-yyyy")&amp;" | ₹"&amp;TEXT(M117,"#,##0"))</f>
      </c>
      <c r="T117" s="7">
        <f>IF($C117="","",SUMIFS('Q1 Data'!$L$4:$L$207,'Q1 Data'!$B$4:$B$207,$S117)+SUMIFS('Q1 Data'!$O$4:$O$207,'Q1 Data'!$B$4:$B$207,$S117)+SUMIFS('Q1 Data'!$M$4:$M$207,'Q1 Data'!$B$4:$B$207,$S117))</f>
      </c>
      <c r="U117" s="7">
        <f>IF($C117="","",SUMIFS('Q2 Data'!$L$4:$L$207,'Q2 Data'!$B$4:$B$207,$S117)+SUMIFS('Q2 Data'!$O$4:$O$207,'Q2 Data'!$B$4:$B$207,$S117)+SUMIFS('Q2 Data'!$M$4:$M$207,'Q2 Data'!$B$4:$B$207,$S117))</f>
      </c>
      <c r="V117" s="7">
        <f>IF($C117="","",SUMIFS('Q3 Data'!$L$4:$L$207,'Q3 Data'!$B$4:$B$207,$S117)+SUMIFS('Q3 Data'!$O$4:$O$207,'Q3 Data'!$B$4:$B$207,$S117)+SUMIFS('Q3 Data'!$M$4:$M$207,'Q3 Data'!$B$4:$B$207,$S117))</f>
      </c>
      <c r="W117" s="7">
        <f>IF($C117="","",SUMIFS('Q4 Data'!$L$4:$L$207,'Q4 Data'!$B$4:$B$207,$S117)+SUMIFS('Q4 Data'!$O$4:$O$207,'Q4 Data'!$B$4:$B$207,$S117)+SUMIFS('Q4 Data'!$M$4:$M$207,'Q4 Data'!$B$4:$B$207,$S117))</f>
      </c>
      <c r="X117" s="7">
        <f>IF($C117="","",T117+U117+V117+W117)</f>
      </c>
      <c r="Y117" s="7">
        <f>IF($C117="","",M117-L117)</f>
      </c>
      <c r="Z117" s="7">
        <f>IF($C117="","",Y117-X117)</f>
      </c>
      <c r="AA117" s="7">
        <f>IF($C117="","",IF(ROUND(X117-Y117,2)&gt;0,"Over-applied",IF(ROUND(X117-Y117,2)=0,"Fully Utilised","Unconsumed")))</f>
      </c>
    </row>
    <row r="118" spans="1:27" x14ac:dyDescent="0.25">
      <c r="A118" s="7">
        <f>IF($C118="","",COUNTIF($C$4:$C118,"&lt;&gt;"))</f>
      </c>
      <c r="B118" s="8"/>
      <c r="C118" s="8"/>
      <c r="D118" s="8"/>
      <c r="E118" s="8"/>
      <c r="F118" s="8"/>
      <c r="G118" s="8"/>
      <c r="H118" s="8"/>
      <c r="I118" s="8"/>
      <c r="J118" s="8"/>
      <c r="K118" s="8"/>
      <c r="L118" s="8"/>
      <c r="M118" s="7">
        <f>IF($C118="","",G118+H118+I118+J118+K118+L118)</f>
      </c>
      <c r="N118" s="8"/>
      <c r="O118" s="8"/>
      <c r="P118" s="8"/>
      <c r="Q118" s="8"/>
      <c r="R118" s="8"/>
      <c r="S118" s="7">
        <f>IF($C118="","",C118&amp;" | BSR "&amp;B118&amp;" | "&amp;TEXT(D118,"dd-mm-yyyy")&amp;" | ₹"&amp;TEXT(M118,"#,##0"))</f>
      </c>
      <c r="T118" s="7">
        <f>IF($C118="","",SUMIFS('Q1 Data'!$L$4:$L$207,'Q1 Data'!$B$4:$B$207,$S118)+SUMIFS('Q1 Data'!$O$4:$O$207,'Q1 Data'!$B$4:$B$207,$S118)+SUMIFS('Q1 Data'!$M$4:$M$207,'Q1 Data'!$B$4:$B$207,$S118))</f>
      </c>
      <c r="U118" s="7">
        <f>IF($C118="","",SUMIFS('Q2 Data'!$L$4:$L$207,'Q2 Data'!$B$4:$B$207,$S118)+SUMIFS('Q2 Data'!$O$4:$O$207,'Q2 Data'!$B$4:$B$207,$S118)+SUMIFS('Q2 Data'!$M$4:$M$207,'Q2 Data'!$B$4:$B$207,$S118))</f>
      </c>
      <c r="V118" s="7">
        <f>IF($C118="","",SUMIFS('Q3 Data'!$L$4:$L$207,'Q3 Data'!$B$4:$B$207,$S118)+SUMIFS('Q3 Data'!$O$4:$O$207,'Q3 Data'!$B$4:$B$207,$S118)+SUMIFS('Q3 Data'!$M$4:$M$207,'Q3 Data'!$B$4:$B$207,$S118))</f>
      </c>
      <c r="W118" s="7">
        <f>IF($C118="","",SUMIFS('Q4 Data'!$L$4:$L$207,'Q4 Data'!$B$4:$B$207,$S118)+SUMIFS('Q4 Data'!$O$4:$O$207,'Q4 Data'!$B$4:$B$207,$S118)+SUMIFS('Q4 Data'!$M$4:$M$207,'Q4 Data'!$B$4:$B$207,$S118))</f>
      </c>
      <c r="X118" s="7">
        <f>IF($C118="","",T118+U118+V118+W118)</f>
      </c>
      <c r="Y118" s="7">
        <f>IF($C118="","",M118-L118)</f>
      </c>
      <c r="Z118" s="7">
        <f>IF($C118="","",Y118-X118)</f>
      </c>
      <c r="AA118" s="7">
        <f>IF($C118="","",IF(ROUND(X118-Y118,2)&gt;0,"Over-applied",IF(ROUND(X118-Y118,2)=0,"Fully Utilised","Unconsumed")))</f>
      </c>
    </row>
    <row r="119" spans="1:27" x14ac:dyDescent="0.25">
      <c r="A119" s="7">
        <f>IF($C119="","",COUNTIF($C$4:$C119,"&lt;&gt;"))</f>
      </c>
      <c r="B119" s="8"/>
      <c r="C119" s="8"/>
      <c r="D119" s="8"/>
      <c r="E119" s="8"/>
      <c r="F119" s="8"/>
      <c r="G119" s="8"/>
      <c r="H119" s="8"/>
      <c r="I119" s="8"/>
      <c r="J119" s="8"/>
      <c r="K119" s="8"/>
      <c r="L119" s="8"/>
      <c r="M119" s="7">
        <f>IF($C119="","",G119+H119+I119+J119+K119+L119)</f>
      </c>
      <c r="N119" s="8"/>
      <c r="O119" s="8"/>
      <c r="P119" s="8"/>
      <c r="Q119" s="8"/>
      <c r="R119" s="8"/>
      <c r="S119" s="7">
        <f>IF($C119="","",C119&amp;" | BSR "&amp;B119&amp;" | "&amp;TEXT(D119,"dd-mm-yyyy")&amp;" | ₹"&amp;TEXT(M119,"#,##0"))</f>
      </c>
      <c r="T119" s="7">
        <f>IF($C119="","",SUMIFS('Q1 Data'!$L$4:$L$207,'Q1 Data'!$B$4:$B$207,$S119)+SUMIFS('Q1 Data'!$O$4:$O$207,'Q1 Data'!$B$4:$B$207,$S119)+SUMIFS('Q1 Data'!$M$4:$M$207,'Q1 Data'!$B$4:$B$207,$S119))</f>
      </c>
      <c r="U119" s="7">
        <f>IF($C119="","",SUMIFS('Q2 Data'!$L$4:$L$207,'Q2 Data'!$B$4:$B$207,$S119)+SUMIFS('Q2 Data'!$O$4:$O$207,'Q2 Data'!$B$4:$B$207,$S119)+SUMIFS('Q2 Data'!$M$4:$M$207,'Q2 Data'!$B$4:$B$207,$S119))</f>
      </c>
      <c r="V119" s="7">
        <f>IF($C119="","",SUMIFS('Q3 Data'!$L$4:$L$207,'Q3 Data'!$B$4:$B$207,$S119)+SUMIFS('Q3 Data'!$O$4:$O$207,'Q3 Data'!$B$4:$B$207,$S119)+SUMIFS('Q3 Data'!$M$4:$M$207,'Q3 Data'!$B$4:$B$207,$S119))</f>
      </c>
      <c r="W119" s="7">
        <f>IF($C119="","",SUMIFS('Q4 Data'!$L$4:$L$207,'Q4 Data'!$B$4:$B$207,$S119)+SUMIFS('Q4 Data'!$O$4:$O$207,'Q4 Data'!$B$4:$B$207,$S119)+SUMIFS('Q4 Data'!$M$4:$M$207,'Q4 Data'!$B$4:$B$207,$S119))</f>
      </c>
      <c r="X119" s="7">
        <f>IF($C119="","",T119+U119+V119+W119)</f>
      </c>
      <c r="Y119" s="7">
        <f>IF($C119="","",M119-L119)</f>
      </c>
      <c r="Z119" s="7">
        <f>IF($C119="","",Y119-X119)</f>
      </c>
      <c r="AA119" s="7">
        <f>IF($C119="","",IF(ROUND(X119-Y119,2)&gt;0,"Over-applied",IF(ROUND(X119-Y119,2)=0,"Fully Utilised","Unconsumed")))</f>
      </c>
    </row>
    <row r="120" spans="1:27" x14ac:dyDescent="0.25">
      <c r="A120" s="7">
        <f>IF($C120="","",COUNTIF($C$4:$C120,"&lt;&gt;"))</f>
      </c>
      <c r="B120" s="8"/>
      <c r="C120" s="8"/>
      <c r="D120" s="8"/>
      <c r="E120" s="8"/>
      <c r="F120" s="8"/>
      <c r="G120" s="8"/>
      <c r="H120" s="8"/>
      <c r="I120" s="8"/>
      <c r="J120" s="8"/>
      <c r="K120" s="8"/>
      <c r="L120" s="8"/>
      <c r="M120" s="7">
        <f>IF($C120="","",G120+H120+I120+J120+K120+L120)</f>
      </c>
      <c r="N120" s="8"/>
      <c r="O120" s="8"/>
      <c r="P120" s="8"/>
      <c r="Q120" s="8"/>
      <c r="R120" s="8"/>
      <c r="S120" s="7">
        <f>IF($C120="","",C120&amp;" | BSR "&amp;B120&amp;" | "&amp;TEXT(D120,"dd-mm-yyyy")&amp;" | ₹"&amp;TEXT(M120,"#,##0"))</f>
      </c>
      <c r="T120" s="7">
        <f>IF($C120="","",SUMIFS('Q1 Data'!$L$4:$L$207,'Q1 Data'!$B$4:$B$207,$S120)+SUMIFS('Q1 Data'!$O$4:$O$207,'Q1 Data'!$B$4:$B$207,$S120)+SUMIFS('Q1 Data'!$M$4:$M$207,'Q1 Data'!$B$4:$B$207,$S120))</f>
      </c>
      <c r="U120" s="7">
        <f>IF($C120="","",SUMIFS('Q2 Data'!$L$4:$L$207,'Q2 Data'!$B$4:$B$207,$S120)+SUMIFS('Q2 Data'!$O$4:$O$207,'Q2 Data'!$B$4:$B$207,$S120)+SUMIFS('Q2 Data'!$M$4:$M$207,'Q2 Data'!$B$4:$B$207,$S120))</f>
      </c>
      <c r="V120" s="7">
        <f>IF($C120="","",SUMIFS('Q3 Data'!$L$4:$L$207,'Q3 Data'!$B$4:$B$207,$S120)+SUMIFS('Q3 Data'!$O$4:$O$207,'Q3 Data'!$B$4:$B$207,$S120)+SUMIFS('Q3 Data'!$M$4:$M$207,'Q3 Data'!$B$4:$B$207,$S120))</f>
      </c>
      <c r="W120" s="7">
        <f>IF($C120="","",SUMIFS('Q4 Data'!$L$4:$L$207,'Q4 Data'!$B$4:$B$207,$S120)+SUMIFS('Q4 Data'!$O$4:$O$207,'Q4 Data'!$B$4:$B$207,$S120)+SUMIFS('Q4 Data'!$M$4:$M$207,'Q4 Data'!$B$4:$B$207,$S120))</f>
      </c>
      <c r="X120" s="7">
        <f>IF($C120="","",T120+U120+V120+W120)</f>
      </c>
      <c r="Y120" s="7">
        <f>IF($C120="","",M120-L120)</f>
      </c>
      <c r="Z120" s="7">
        <f>IF($C120="","",Y120-X120)</f>
      </c>
      <c r="AA120" s="7">
        <f>IF($C120="","",IF(ROUND(X120-Y120,2)&gt;0,"Over-applied",IF(ROUND(X120-Y120,2)=0,"Fully Utilised","Unconsumed")))</f>
      </c>
    </row>
    <row r="121" spans="1:27" x14ac:dyDescent="0.25">
      <c r="A121" s="7">
        <f>IF($C121="","",COUNTIF($C$4:$C121,"&lt;&gt;"))</f>
      </c>
      <c r="B121" s="8"/>
      <c r="C121" s="8"/>
      <c r="D121" s="8"/>
      <c r="E121" s="8"/>
      <c r="F121" s="8"/>
      <c r="G121" s="8"/>
      <c r="H121" s="8"/>
      <c r="I121" s="8"/>
      <c r="J121" s="8"/>
      <c r="K121" s="8"/>
      <c r="L121" s="8"/>
      <c r="M121" s="7">
        <f>IF($C121="","",G121+H121+I121+J121+K121+L121)</f>
      </c>
      <c r="N121" s="8"/>
      <c r="O121" s="8"/>
      <c r="P121" s="8"/>
      <c r="Q121" s="8"/>
      <c r="R121" s="8"/>
      <c r="S121" s="7">
        <f>IF($C121="","",C121&amp;" | BSR "&amp;B121&amp;" | "&amp;TEXT(D121,"dd-mm-yyyy")&amp;" | ₹"&amp;TEXT(M121,"#,##0"))</f>
      </c>
      <c r="T121" s="7">
        <f>IF($C121="","",SUMIFS('Q1 Data'!$L$4:$L$207,'Q1 Data'!$B$4:$B$207,$S121)+SUMIFS('Q1 Data'!$O$4:$O$207,'Q1 Data'!$B$4:$B$207,$S121)+SUMIFS('Q1 Data'!$M$4:$M$207,'Q1 Data'!$B$4:$B$207,$S121))</f>
      </c>
      <c r="U121" s="7">
        <f>IF($C121="","",SUMIFS('Q2 Data'!$L$4:$L$207,'Q2 Data'!$B$4:$B$207,$S121)+SUMIFS('Q2 Data'!$O$4:$O$207,'Q2 Data'!$B$4:$B$207,$S121)+SUMIFS('Q2 Data'!$M$4:$M$207,'Q2 Data'!$B$4:$B$207,$S121))</f>
      </c>
      <c r="V121" s="7">
        <f>IF($C121="","",SUMIFS('Q3 Data'!$L$4:$L$207,'Q3 Data'!$B$4:$B$207,$S121)+SUMIFS('Q3 Data'!$O$4:$O$207,'Q3 Data'!$B$4:$B$207,$S121)+SUMIFS('Q3 Data'!$M$4:$M$207,'Q3 Data'!$B$4:$B$207,$S121))</f>
      </c>
      <c r="W121" s="7">
        <f>IF($C121="","",SUMIFS('Q4 Data'!$L$4:$L$207,'Q4 Data'!$B$4:$B$207,$S121)+SUMIFS('Q4 Data'!$O$4:$O$207,'Q4 Data'!$B$4:$B$207,$S121)+SUMIFS('Q4 Data'!$M$4:$M$207,'Q4 Data'!$B$4:$B$207,$S121))</f>
      </c>
      <c r="X121" s="7">
        <f>IF($C121="","",T121+U121+V121+W121)</f>
      </c>
      <c r="Y121" s="7">
        <f>IF($C121="","",M121-L121)</f>
      </c>
      <c r="Z121" s="7">
        <f>IF($C121="","",Y121-X121)</f>
      </c>
      <c r="AA121" s="7">
        <f>IF($C121="","",IF(ROUND(X121-Y121,2)&gt;0,"Over-applied",IF(ROUND(X121-Y121,2)=0,"Fully Utilised","Unconsumed")))</f>
      </c>
    </row>
    <row r="122" spans="1:27" x14ac:dyDescent="0.25">
      <c r="A122" s="7">
        <f>IF($C122="","",COUNTIF($C$4:$C122,"&lt;&gt;"))</f>
      </c>
      <c r="B122" s="8"/>
      <c r="C122" s="8"/>
      <c r="D122" s="8"/>
      <c r="E122" s="8"/>
      <c r="F122" s="8"/>
      <c r="G122" s="8"/>
      <c r="H122" s="8"/>
      <c r="I122" s="8"/>
      <c r="J122" s="8"/>
      <c r="K122" s="8"/>
      <c r="L122" s="8"/>
      <c r="M122" s="7">
        <f>IF($C122="","",G122+H122+I122+J122+K122+L122)</f>
      </c>
      <c r="N122" s="8"/>
      <c r="O122" s="8"/>
      <c r="P122" s="8"/>
      <c r="Q122" s="8"/>
      <c r="R122" s="8"/>
      <c r="S122" s="7">
        <f>IF($C122="","",C122&amp;" | BSR "&amp;B122&amp;" | "&amp;TEXT(D122,"dd-mm-yyyy")&amp;" | ₹"&amp;TEXT(M122,"#,##0"))</f>
      </c>
      <c r="T122" s="7">
        <f>IF($C122="","",SUMIFS('Q1 Data'!$L$4:$L$207,'Q1 Data'!$B$4:$B$207,$S122)+SUMIFS('Q1 Data'!$O$4:$O$207,'Q1 Data'!$B$4:$B$207,$S122)+SUMIFS('Q1 Data'!$M$4:$M$207,'Q1 Data'!$B$4:$B$207,$S122))</f>
      </c>
      <c r="U122" s="7">
        <f>IF($C122="","",SUMIFS('Q2 Data'!$L$4:$L$207,'Q2 Data'!$B$4:$B$207,$S122)+SUMIFS('Q2 Data'!$O$4:$O$207,'Q2 Data'!$B$4:$B$207,$S122)+SUMIFS('Q2 Data'!$M$4:$M$207,'Q2 Data'!$B$4:$B$207,$S122))</f>
      </c>
      <c r="V122" s="7">
        <f>IF($C122="","",SUMIFS('Q3 Data'!$L$4:$L$207,'Q3 Data'!$B$4:$B$207,$S122)+SUMIFS('Q3 Data'!$O$4:$O$207,'Q3 Data'!$B$4:$B$207,$S122)+SUMIFS('Q3 Data'!$M$4:$M$207,'Q3 Data'!$B$4:$B$207,$S122))</f>
      </c>
      <c r="W122" s="7">
        <f>IF($C122="","",SUMIFS('Q4 Data'!$L$4:$L$207,'Q4 Data'!$B$4:$B$207,$S122)+SUMIFS('Q4 Data'!$O$4:$O$207,'Q4 Data'!$B$4:$B$207,$S122)+SUMIFS('Q4 Data'!$M$4:$M$207,'Q4 Data'!$B$4:$B$207,$S122))</f>
      </c>
      <c r="X122" s="7">
        <f>IF($C122="","",T122+U122+V122+W122)</f>
      </c>
      <c r="Y122" s="7">
        <f>IF($C122="","",M122-L122)</f>
      </c>
      <c r="Z122" s="7">
        <f>IF($C122="","",Y122-X122)</f>
      </c>
      <c r="AA122" s="7">
        <f>IF($C122="","",IF(ROUND(X122-Y122,2)&gt;0,"Over-applied",IF(ROUND(X122-Y122,2)=0,"Fully Utilised","Unconsumed")))</f>
      </c>
    </row>
    <row r="123" spans="1:27" x14ac:dyDescent="0.25">
      <c r="A123" s="7">
        <f>IF($C123="","",COUNTIF($C$4:$C123,"&lt;&gt;"))</f>
      </c>
      <c r="B123" s="8"/>
      <c r="C123" s="8"/>
      <c r="D123" s="8"/>
      <c r="E123" s="8"/>
      <c r="F123" s="8"/>
      <c r="G123" s="8"/>
      <c r="H123" s="8"/>
      <c r="I123" s="8"/>
      <c r="J123" s="8"/>
      <c r="K123" s="8"/>
      <c r="L123" s="8"/>
      <c r="M123" s="7">
        <f>IF($C123="","",G123+H123+I123+J123+K123+L123)</f>
      </c>
      <c r="N123" s="8"/>
      <c r="O123" s="8"/>
      <c r="P123" s="8"/>
      <c r="Q123" s="8"/>
      <c r="R123" s="8"/>
      <c r="S123" s="7">
        <f>IF($C123="","",C123&amp;" | BSR "&amp;B123&amp;" | "&amp;TEXT(D123,"dd-mm-yyyy")&amp;" | ₹"&amp;TEXT(M123,"#,##0"))</f>
      </c>
      <c r="T123" s="7">
        <f>IF($C123="","",SUMIFS('Q1 Data'!$L$4:$L$207,'Q1 Data'!$B$4:$B$207,$S123)+SUMIFS('Q1 Data'!$O$4:$O$207,'Q1 Data'!$B$4:$B$207,$S123)+SUMIFS('Q1 Data'!$M$4:$M$207,'Q1 Data'!$B$4:$B$207,$S123))</f>
      </c>
      <c r="U123" s="7">
        <f>IF($C123="","",SUMIFS('Q2 Data'!$L$4:$L$207,'Q2 Data'!$B$4:$B$207,$S123)+SUMIFS('Q2 Data'!$O$4:$O$207,'Q2 Data'!$B$4:$B$207,$S123)+SUMIFS('Q2 Data'!$M$4:$M$207,'Q2 Data'!$B$4:$B$207,$S123))</f>
      </c>
      <c r="V123" s="7">
        <f>IF($C123="","",SUMIFS('Q3 Data'!$L$4:$L$207,'Q3 Data'!$B$4:$B$207,$S123)+SUMIFS('Q3 Data'!$O$4:$O$207,'Q3 Data'!$B$4:$B$207,$S123)+SUMIFS('Q3 Data'!$M$4:$M$207,'Q3 Data'!$B$4:$B$207,$S123))</f>
      </c>
      <c r="W123" s="7">
        <f>IF($C123="","",SUMIFS('Q4 Data'!$L$4:$L$207,'Q4 Data'!$B$4:$B$207,$S123)+SUMIFS('Q4 Data'!$O$4:$O$207,'Q4 Data'!$B$4:$B$207,$S123)+SUMIFS('Q4 Data'!$M$4:$M$207,'Q4 Data'!$B$4:$B$207,$S123))</f>
      </c>
      <c r="X123" s="7">
        <f>IF($C123="","",T123+U123+V123+W123)</f>
      </c>
      <c r="Y123" s="7">
        <f>IF($C123="","",M123-L123)</f>
      </c>
      <c r="Z123" s="7">
        <f>IF($C123="","",Y123-X123)</f>
      </c>
      <c r="AA123" s="7">
        <f>IF($C123="","",IF(ROUND(X123-Y123,2)&gt;0,"Over-applied",IF(ROUND(X123-Y123,2)=0,"Fully Utilised","Unconsumed")))</f>
      </c>
    </row>
    <row r="124" spans="1:27" x14ac:dyDescent="0.25">
      <c r="A124" s="7">
        <f>IF($C124="","",COUNTIF($C$4:$C124,"&lt;&gt;"))</f>
      </c>
      <c r="B124" s="8"/>
      <c r="C124" s="8"/>
      <c r="D124" s="8"/>
      <c r="E124" s="8"/>
      <c r="F124" s="8"/>
      <c r="G124" s="8"/>
      <c r="H124" s="8"/>
      <c r="I124" s="8"/>
      <c r="J124" s="8"/>
      <c r="K124" s="8"/>
      <c r="L124" s="8"/>
      <c r="M124" s="7">
        <f>IF($C124="","",G124+H124+I124+J124+K124+L124)</f>
      </c>
      <c r="N124" s="8"/>
      <c r="O124" s="8"/>
      <c r="P124" s="8"/>
      <c r="Q124" s="8"/>
      <c r="R124" s="8"/>
      <c r="S124" s="7">
        <f>IF($C124="","",C124&amp;" | BSR "&amp;B124&amp;" | "&amp;TEXT(D124,"dd-mm-yyyy")&amp;" | ₹"&amp;TEXT(M124,"#,##0"))</f>
      </c>
      <c r="T124" s="7">
        <f>IF($C124="","",SUMIFS('Q1 Data'!$L$4:$L$207,'Q1 Data'!$B$4:$B$207,$S124)+SUMIFS('Q1 Data'!$O$4:$O$207,'Q1 Data'!$B$4:$B$207,$S124)+SUMIFS('Q1 Data'!$M$4:$M$207,'Q1 Data'!$B$4:$B$207,$S124))</f>
      </c>
      <c r="U124" s="7">
        <f>IF($C124="","",SUMIFS('Q2 Data'!$L$4:$L$207,'Q2 Data'!$B$4:$B$207,$S124)+SUMIFS('Q2 Data'!$O$4:$O$207,'Q2 Data'!$B$4:$B$207,$S124)+SUMIFS('Q2 Data'!$M$4:$M$207,'Q2 Data'!$B$4:$B$207,$S124))</f>
      </c>
      <c r="V124" s="7">
        <f>IF($C124="","",SUMIFS('Q3 Data'!$L$4:$L$207,'Q3 Data'!$B$4:$B$207,$S124)+SUMIFS('Q3 Data'!$O$4:$O$207,'Q3 Data'!$B$4:$B$207,$S124)+SUMIFS('Q3 Data'!$M$4:$M$207,'Q3 Data'!$B$4:$B$207,$S124))</f>
      </c>
      <c r="W124" s="7">
        <f>IF($C124="","",SUMIFS('Q4 Data'!$L$4:$L$207,'Q4 Data'!$B$4:$B$207,$S124)+SUMIFS('Q4 Data'!$O$4:$O$207,'Q4 Data'!$B$4:$B$207,$S124)+SUMIFS('Q4 Data'!$M$4:$M$207,'Q4 Data'!$B$4:$B$207,$S124))</f>
      </c>
      <c r="X124" s="7">
        <f>IF($C124="","",T124+U124+V124+W124)</f>
      </c>
      <c r="Y124" s="7">
        <f>IF($C124="","",M124-L124)</f>
      </c>
      <c r="Z124" s="7">
        <f>IF($C124="","",Y124-X124)</f>
      </c>
      <c r="AA124" s="7">
        <f>IF($C124="","",IF(ROUND(X124-Y124,2)&gt;0,"Over-applied",IF(ROUND(X124-Y124,2)=0,"Fully Utilised","Unconsumed")))</f>
      </c>
    </row>
    <row r="125" spans="1:27" x14ac:dyDescent="0.25">
      <c r="A125" s="7">
        <f>IF($C125="","",COUNTIF($C$4:$C125,"&lt;&gt;"))</f>
      </c>
      <c r="B125" s="8"/>
      <c r="C125" s="8"/>
      <c r="D125" s="8"/>
      <c r="E125" s="8"/>
      <c r="F125" s="8"/>
      <c r="G125" s="8"/>
      <c r="H125" s="8"/>
      <c r="I125" s="8"/>
      <c r="J125" s="8"/>
      <c r="K125" s="8"/>
      <c r="L125" s="8"/>
      <c r="M125" s="7">
        <f>IF($C125="","",G125+H125+I125+J125+K125+L125)</f>
      </c>
      <c r="N125" s="8"/>
      <c r="O125" s="8"/>
      <c r="P125" s="8"/>
      <c r="Q125" s="8"/>
      <c r="R125" s="8"/>
      <c r="S125" s="7">
        <f>IF($C125="","",C125&amp;" | BSR "&amp;B125&amp;" | "&amp;TEXT(D125,"dd-mm-yyyy")&amp;" | ₹"&amp;TEXT(M125,"#,##0"))</f>
      </c>
      <c r="T125" s="7">
        <f>IF($C125="","",SUMIFS('Q1 Data'!$L$4:$L$207,'Q1 Data'!$B$4:$B$207,$S125)+SUMIFS('Q1 Data'!$O$4:$O$207,'Q1 Data'!$B$4:$B$207,$S125)+SUMIFS('Q1 Data'!$M$4:$M$207,'Q1 Data'!$B$4:$B$207,$S125))</f>
      </c>
      <c r="U125" s="7">
        <f>IF($C125="","",SUMIFS('Q2 Data'!$L$4:$L$207,'Q2 Data'!$B$4:$B$207,$S125)+SUMIFS('Q2 Data'!$O$4:$O$207,'Q2 Data'!$B$4:$B$207,$S125)+SUMIFS('Q2 Data'!$M$4:$M$207,'Q2 Data'!$B$4:$B$207,$S125))</f>
      </c>
      <c r="V125" s="7">
        <f>IF($C125="","",SUMIFS('Q3 Data'!$L$4:$L$207,'Q3 Data'!$B$4:$B$207,$S125)+SUMIFS('Q3 Data'!$O$4:$O$207,'Q3 Data'!$B$4:$B$207,$S125)+SUMIFS('Q3 Data'!$M$4:$M$207,'Q3 Data'!$B$4:$B$207,$S125))</f>
      </c>
      <c r="W125" s="7">
        <f>IF($C125="","",SUMIFS('Q4 Data'!$L$4:$L$207,'Q4 Data'!$B$4:$B$207,$S125)+SUMIFS('Q4 Data'!$O$4:$O$207,'Q4 Data'!$B$4:$B$207,$S125)+SUMIFS('Q4 Data'!$M$4:$M$207,'Q4 Data'!$B$4:$B$207,$S125))</f>
      </c>
      <c r="X125" s="7">
        <f>IF($C125="","",T125+U125+V125+W125)</f>
      </c>
      <c r="Y125" s="7">
        <f>IF($C125="","",M125-L125)</f>
      </c>
      <c r="Z125" s="7">
        <f>IF($C125="","",Y125-X125)</f>
      </c>
      <c r="AA125" s="7">
        <f>IF($C125="","",IF(ROUND(X125-Y125,2)&gt;0,"Over-applied",IF(ROUND(X125-Y125,2)=0,"Fully Utilised","Unconsumed")))</f>
      </c>
    </row>
    <row r="126" spans="1:27" x14ac:dyDescent="0.25">
      <c r="A126" s="7">
        <f>IF($C126="","",COUNTIF($C$4:$C126,"&lt;&gt;"))</f>
      </c>
      <c r="B126" s="8"/>
      <c r="C126" s="8"/>
      <c r="D126" s="8"/>
      <c r="E126" s="8"/>
      <c r="F126" s="8"/>
      <c r="G126" s="8"/>
      <c r="H126" s="8"/>
      <c r="I126" s="8"/>
      <c r="J126" s="8"/>
      <c r="K126" s="8"/>
      <c r="L126" s="8"/>
      <c r="M126" s="7">
        <f>IF($C126="","",G126+H126+I126+J126+K126+L126)</f>
      </c>
      <c r="N126" s="8"/>
      <c r="O126" s="8"/>
      <c r="P126" s="8"/>
      <c r="Q126" s="8"/>
      <c r="R126" s="8"/>
      <c r="S126" s="7">
        <f>IF($C126="","",C126&amp;" | BSR "&amp;B126&amp;" | "&amp;TEXT(D126,"dd-mm-yyyy")&amp;" | ₹"&amp;TEXT(M126,"#,##0"))</f>
      </c>
      <c r="T126" s="7">
        <f>IF($C126="","",SUMIFS('Q1 Data'!$L$4:$L$207,'Q1 Data'!$B$4:$B$207,$S126)+SUMIFS('Q1 Data'!$O$4:$O$207,'Q1 Data'!$B$4:$B$207,$S126)+SUMIFS('Q1 Data'!$M$4:$M$207,'Q1 Data'!$B$4:$B$207,$S126))</f>
      </c>
      <c r="U126" s="7">
        <f>IF($C126="","",SUMIFS('Q2 Data'!$L$4:$L$207,'Q2 Data'!$B$4:$B$207,$S126)+SUMIFS('Q2 Data'!$O$4:$O$207,'Q2 Data'!$B$4:$B$207,$S126)+SUMIFS('Q2 Data'!$M$4:$M$207,'Q2 Data'!$B$4:$B$207,$S126))</f>
      </c>
      <c r="V126" s="7">
        <f>IF($C126="","",SUMIFS('Q3 Data'!$L$4:$L$207,'Q3 Data'!$B$4:$B$207,$S126)+SUMIFS('Q3 Data'!$O$4:$O$207,'Q3 Data'!$B$4:$B$207,$S126)+SUMIFS('Q3 Data'!$M$4:$M$207,'Q3 Data'!$B$4:$B$207,$S126))</f>
      </c>
      <c r="W126" s="7">
        <f>IF($C126="","",SUMIFS('Q4 Data'!$L$4:$L$207,'Q4 Data'!$B$4:$B$207,$S126)+SUMIFS('Q4 Data'!$O$4:$O$207,'Q4 Data'!$B$4:$B$207,$S126)+SUMIFS('Q4 Data'!$M$4:$M$207,'Q4 Data'!$B$4:$B$207,$S126))</f>
      </c>
      <c r="X126" s="7">
        <f>IF($C126="","",T126+U126+V126+W126)</f>
      </c>
      <c r="Y126" s="7">
        <f>IF($C126="","",M126-L126)</f>
      </c>
      <c r="Z126" s="7">
        <f>IF($C126="","",Y126-X126)</f>
      </c>
      <c r="AA126" s="7">
        <f>IF($C126="","",IF(ROUND(X126-Y126,2)&gt;0,"Over-applied",IF(ROUND(X126-Y126,2)=0,"Fully Utilised","Unconsumed")))</f>
      </c>
    </row>
    <row r="127" spans="1:27" x14ac:dyDescent="0.25">
      <c r="A127" s="7">
        <f>IF($C127="","",COUNTIF($C$4:$C127,"&lt;&gt;"))</f>
      </c>
      <c r="B127" s="8"/>
      <c r="C127" s="8"/>
      <c r="D127" s="8"/>
      <c r="E127" s="8"/>
      <c r="F127" s="8"/>
      <c r="G127" s="8"/>
      <c r="H127" s="8"/>
      <c r="I127" s="8"/>
      <c r="J127" s="8"/>
      <c r="K127" s="8"/>
      <c r="L127" s="8"/>
      <c r="M127" s="7">
        <f>IF($C127="","",G127+H127+I127+J127+K127+L127)</f>
      </c>
      <c r="N127" s="8"/>
      <c r="O127" s="8"/>
      <c r="P127" s="8"/>
      <c r="Q127" s="8"/>
      <c r="R127" s="8"/>
      <c r="S127" s="7">
        <f>IF($C127="","",C127&amp;" | BSR "&amp;B127&amp;" | "&amp;TEXT(D127,"dd-mm-yyyy")&amp;" | ₹"&amp;TEXT(M127,"#,##0"))</f>
      </c>
      <c r="T127" s="7">
        <f>IF($C127="","",SUMIFS('Q1 Data'!$L$4:$L$207,'Q1 Data'!$B$4:$B$207,$S127)+SUMIFS('Q1 Data'!$O$4:$O$207,'Q1 Data'!$B$4:$B$207,$S127)+SUMIFS('Q1 Data'!$M$4:$M$207,'Q1 Data'!$B$4:$B$207,$S127))</f>
      </c>
      <c r="U127" s="7">
        <f>IF($C127="","",SUMIFS('Q2 Data'!$L$4:$L$207,'Q2 Data'!$B$4:$B$207,$S127)+SUMIFS('Q2 Data'!$O$4:$O$207,'Q2 Data'!$B$4:$B$207,$S127)+SUMIFS('Q2 Data'!$M$4:$M$207,'Q2 Data'!$B$4:$B$207,$S127))</f>
      </c>
      <c r="V127" s="7">
        <f>IF($C127="","",SUMIFS('Q3 Data'!$L$4:$L$207,'Q3 Data'!$B$4:$B$207,$S127)+SUMIFS('Q3 Data'!$O$4:$O$207,'Q3 Data'!$B$4:$B$207,$S127)+SUMIFS('Q3 Data'!$M$4:$M$207,'Q3 Data'!$B$4:$B$207,$S127))</f>
      </c>
      <c r="W127" s="7">
        <f>IF($C127="","",SUMIFS('Q4 Data'!$L$4:$L$207,'Q4 Data'!$B$4:$B$207,$S127)+SUMIFS('Q4 Data'!$O$4:$O$207,'Q4 Data'!$B$4:$B$207,$S127)+SUMIFS('Q4 Data'!$M$4:$M$207,'Q4 Data'!$B$4:$B$207,$S127))</f>
      </c>
      <c r="X127" s="7">
        <f>IF($C127="","",T127+U127+V127+W127)</f>
      </c>
      <c r="Y127" s="7">
        <f>IF($C127="","",M127-L127)</f>
      </c>
      <c r="Z127" s="7">
        <f>IF($C127="","",Y127-X127)</f>
      </c>
      <c r="AA127" s="7">
        <f>IF($C127="","",IF(ROUND(X127-Y127,2)&gt;0,"Over-applied",IF(ROUND(X127-Y127,2)=0,"Fully Utilised","Unconsumed")))</f>
      </c>
    </row>
    <row r="128" spans="1:27" x14ac:dyDescent="0.25">
      <c r="A128" s="7">
        <f>IF($C128="","",COUNTIF($C$4:$C128,"&lt;&gt;"))</f>
      </c>
      <c r="B128" s="8"/>
      <c r="C128" s="8"/>
      <c r="D128" s="8"/>
      <c r="E128" s="8"/>
      <c r="F128" s="8"/>
      <c r="G128" s="8"/>
      <c r="H128" s="8"/>
      <c r="I128" s="8"/>
      <c r="J128" s="8"/>
      <c r="K128" s="8"/>
      <c r="L128" s="8"/>
      <c r="M128" s="7">
        <f>IF($C128="","",G128+H128+I128+J128+K128+L128)</f>
      </c>
      <c r="N128" s="8"/>
      <c r="O128" s="8"/>
      <c r="P128" s="8"/>
      <c r="Q128" s="8"/>
      <c r="R128" s="8"/>
      <c r="S128" s="7">
        <f>IF($C128="","",C128&amp;" | BSR "&amp;B128&amp;" | "&amp;TEXT(D128,"dd-mm-yyyy")&amp;" | ₹"&amp;TEXT(M128,"#,##0"))</f>
      </c>
      <c r="T128" s="7">
        <f>IF($C128="","",SUMIFS('Q1 Data'!$L$4:$L$207,'Q1 Data'!$B$4:$B$207,$S128)+SUMIFS('Q1 Data'!$O$4:$O$207,'Q1 Data'!$B$4:$B$207,$S128)+SUMIFS('Q1 Data'!$M$4:$M$207,'Q1 Data'!$B$4:$B$207,$S128))</f>
      </c>
      <c r="U128" s="7">
        <f>IF($C128="","",SUMIFS('Q2 Data'!$L$4:$L$207,'Q2 Data'!$B$4:$B$207,$S128)+SUMIFS('Q2 Data'!$O$4:$O$207,'Q2 Data'!$B$4:$B$207,$S128)+SUMIFS('Q2 Data'!$M$4:$M$207,'Q2 Data'!$B$4:$B$207,$S128))</f>
      </c>
      <c r="V128" s="7">
        <f>IF($C128="","",SUMIFS('Q3 Data'!$L$4:$L$207,'Q3 Data'!$B$4:$B$207,$S128)+SUMIFS('Q3 Data'!$O$4:$O$207,'Q3 Data'!$B$4:$B$207,$S128)+SUMIFS('Q3 Data'!$M$4:$M$207,'Q3 Data'!$B$4:$B$207,$S128))</f>
      </c>
      <c r="W128" s="7">
        <f>IF($C128="","",SUMIFS('Q4 Data'!$L$4:$L$207,'Q4 Data'!$B$4:$B$207,$S128)+SUMIFS('Q4 Data'!$O$4:$O$207,'Q4 Data'!$B$4:$B$207,$S128)+SUMIFS('Q4 Data'!$M$4:$M$207,'Q4 Data'!$B$4:$B$207,$S128))</f>
      </c>
      <c r="X128" s="7">
        <f>IF($C128="","",T128+U128+V128+W128)</f>
      </c>
      <c r="Y128" s="7">
        <f>IF($C128="","",M128-L128)</f>
      </c>
      <c r="Z128" s="7">
        <f>IF($C128="","",Y128-X128)</f>
      </c>
      <c r="AA128" s="7">
        <f>IF($C128="","",IF(ROUND(X128-Y128,2)&gt;0,"Over-applied",IF(ROUND(X128-Y128,2)=0,"Fully Utilised","Unconsumed")))</f>
      </c>
    </row>
    <row r="129" spans="1:27" x14ac:dyDescent="0.25">
      <c r="A129" s="7">
        <f>IF($C129="","",COUNTIF($C$4:$C129,"&lt;&gt;"))</f>
      </c>
      <c r="B129" s="8"/>
      <c r="C129" s="8"/>
      <c r="D129" s="8"/>
      <c r="E129" s="8"/>
      <c r="F129" s="8"/>
      <c r="G129" s="8"/>
      <c r="H129" s="8"/>
      <c r="I129" s="8"/>
      <c r="J129" s="8"/>
      <c r="K129" s="8"/>
      <c r="L129" s="8"/>
      <c r="M129" s="7">
        <f>IF($C129="","",G129+H129+I129+J129+K129+L129)</f>
      </c>
      <c r="N129" s="8"/>
      <c r="O129" s="8"/>
      <c r="P129" s="8"/>
      <c r="Q129" s="8"/>
      <c r="R129" s="8"/>
      <c r="S129" s="7">
        <f>IF($C129="","",C129&amp;" | BSR "&amp;B129&amp;" | "&amp;TEXT(D129,"dd-mm-yyyy")&amp;" | ₹"&amp;TEXT(M129,"#,##0"))</f>
      </c>
      <c r="T129" s="7">
        <f>IF($C129="","",SUMIFS('Q1 Data'!$L$4:$L$207,'Q1 Data'!$B$4:$B$207,$S129)+SUMIFS('Q1 Data'!$O$4:$O$207,'Q1 Data'!$B$4:$B$207,$S129)+SUMIFS('Q1 Data'!$M$4:$M$207,'Q1 Data'!$B$4:$B$207,$S129))</f>
      </c>
      <c r="U129" s="7">
        <f>IF($C129="","",SUMIFS('Q2 Data'!$L$4:$L$207,'Q2 Data'!$B$4:$B$207,$S129)+SUMIFS('Q2 Data'!$O$4:$O$207,'Q2 Data'!$B$4:$B$207,$S129)+SUMIFS('Q2 Data'!$M$4:$M$207,'Q2 Data'!$B$4:$B$207,$S129))</f>
      </c>
      <c r="V129" s="7">
        <f>IF($C129="","",SUMIFS('Q3 Data'!$L$4:$L$207,'Q3 Data'!$B$4:$B$207,$S129)+SUMIFS('Q3 Data'!$O$4:$O$207,'Q3 Data'!$B$4:$B$207,$S129)+SUMIFS('Q3 Data'!$M$4:$M$207,'Q3 Data'!$B$4:$B$207,$S129))</f>
      </c>
      <c r="W129" s="7">
        <f>IF($C129="","",SUMIFS('Q4 Data'!$L$4:$L$207,'Q4 Data'!$B$4:$B$207,$S129)+SUMIFS('Q4 Data'!$O$4:$O$207,'Q4 Data'!$B$4:$B$207,$S129)+SUMIFS('Q4 Data'!$M$4:$M$207,'Q4 Data'!$B$4:$B$207,$S129))</f>
      </c>
      <c r="X129" s="7">
        <f>IF($C129="","",T129+U129+V129+W129)</f>
      </c>
      <c r="Y129" s="7">
        <f>IF($C129="","",M129-L129)</f>
      </c>
      <c r="Z129" s="7">
        <f>IF($C129="","",Y129-X129)</f>
      </c>
      <c r="AA129" s="7">
        <f>IF($C129="","",IF(ROUND(X129-Y129,2)&gt;0,"Over-applied",IF(ROUND(X129-Y129,2)=0,"Fully Utilised","Unconsumed")))</f>
      </c>
    </row>
    <row r="130" spans="1:27" x14ac:dyDescent="0.25">
      <c r="A130" s="7">
        <f>IF($C130="","",COUNTIF($C$4:$C130,"&lt;&gt;"))</f>
      </c>
      <c r="B130" s="8"/>
      <c r="C130" s="8"/>
      <c r="D130" s="8"/>
      <c r="E130" s="8"/>
      <c r="F130" s="8"/>
      <c r="G130" s="8"/>
      <c r="H130" s="8"/>
      <c r="I130" s="8"/>
      <c r="J130" s="8"/>
      <c r="K130" s="8"/>
      <c r="L130" s="8"/>
      <c r="M130" s="7">
        <f>IF($C130="","",G130+H130+I130+J130+K130+L130)</f>
      </c>
      <c r="N130" s="8"/>
      <c r="O130" s="8"/>
      <c r="P130" s="8"/>
      <c r="Q130" s="8"/>
      <c r="R130" s="8"/>
      <c r="S130" s="7">
        <f>IF($C130="","",C130&amp;" | BSR "&amp;B130&amp;" | "&amp;TEXT(D130,"dd-mm-yyyy")&amp;" | ₹"&amp;TEXT(M130,"#,##0"))</f>
      </c>
      <c r="T130" s="7">
        <f>IF($C130="","",SUMIFS('Q1 Data'!$L$4:$L$207,'Q1 Data'!$B$4:$B$207,$S130)+SUMIFS('Q1 Data'!$O$4:$O$207,'Q1 Data'!$B$4:$B$207,$S130)+SUMIFS('Q1 Data'!$M$4:$M$207,'Q1 Data'!$B$4:$B$207,$S130))</f>
      </c>
      <c r="U130" s="7">
        <f>IF($C130="","",SUMIFS('Q2 Data'!$L$4:$L$207,'Q2 Data'!$B$4:$B$207,$S130)+SUMIFS('Q2 Data'!$O$4:$O$207,'Q2 Data'!$B$4:$B$207,$S130)+SUMIFS('Q2 Data'!$M$4:$M$207,'Q2 Data'!$B$4:$B$207,$S130))</f>
      </c>
      <c r="V130" s="7">
        <f>IF($C130="","",SUMIFS('Q3 Data'!$L$4:$L$207,'Q3 Data'!$B$4:$B$207,$S130)+SUMIFS('Q3 Data'!$O$4:$O$207,'Q3 Data'!$B$4:$B$207,$S130)+SUMIFS('Q3 Data'!$M$4:$M$207,'Q3 Data'!$B$4:$B$207,$S130))</f>
      </c>
      <c r="W130" s="7">
        <f>IF($C130="","",SUMIFS('Q4 Data'!$L$4:$L$207,'Q4 Data'!$B$4:$B$207,$S130)+SUMIFS('Q4 Data'!$O$4:$O$207,'Q4 Data'!$B$4:$B$207,$S130)+SUMIFS('Q4 Data'!$M$4:$M$207,'Q4 Data'!$B$4:$B$207,$S130))</f>
      </c>
      <c r="X130" s="7">
        <f>IF($C130="","",T130+U130+V130+W130)</f>
      </c>
      <c r="Y130" s="7">
        <f>IF($C130="","",M130-L130)</f>
      </c>
      <c r="Z130" s="7">
        <f>IF($C130="","",Y130-X130)</f>
      </c>
      <c r="AA130" s="7">
        <f>IF($C130="","",IF(ROUND(X130-Y130,2)&gt;0,"Over-applied",IF(ROUND(X130-Y130,2)=0,"Fully Utilised","Unconsumed")))</f>
      </c>
    </row>
    <row r="131" spans="1:27" x14ac:dyDescent="0.25">
      <c r="A131" s="7">
        <f>IF($C131="","",COUNTIF($C$4:$C131,"&lt;&gt;"))</f>
      </c>
      <c r="B131" s="8"/>
      <c r="C131" s="8"/>
      <c r="D131" s="8"/>
      <c r="E131" s="8"/>
      <c r="F131" s="8"/>
      <c r="G131" s="8"/>
      <c r="H131" s="8"/>
      <c r="I131" s="8"/>
      <c r="J131" s="8"/>
      <c r="K131" s="8"/>
      <c r="L131" s="8"/>
      <c r="M131" s="7">
        <f>IF($C131="","",G131+H131+I131+J131+K131+L131)</f>
      </c>
      <c r="N131" s="8"/>
      <c r="O131" s="8"/>
      <c r="P131" s="8"/>
      <c r="Q131" s="8"/>
      <c r="R131" s="8"/>
      <c r="S131" s="7">
        <f>IF($C131="","",C131&amp;" | BSR "&amp;B131&amp;" | "&amp;TEXT(D131,"dd-mm-yyyy")&amp;" | ₹"&amp;TEXT(M131,"#,##0"))</f>
      </c>
      <c r="T131" s="7">
        <f>IF($C131="","",SUMIFS('Q1 Data'!$L$4:$L$207,'Q1 Data'!$B$4:$B$207,$S131)+SUMIFS('Q1 Data'!$O$4:$O$207,'Q1 Data'!$B$4:$B$207,$S131)+SUMIFS('Q1 Data'!$M$4:$M$207,'Q1 Data'!$B$4:$B$207,$S131))</f>
      </c>
      <c r="U131" s="7">
        <f>IF($C131="","",SUMIFS('Q2 Data'!$L$4:$L$207,'Q2 Data'!$B$4:$B$207,$S131)+SUMIFS('Q2 Data'!$O$4:$O$207,'Q2 Data'!$B$4:$B$207,$S131)+SUMIFS('Q2 Data'!$M$4:$M$207,'Q2 Data'!$B$4:$B$207,$S131))</f>
      </c>
      <c r="V131" s="7">
        <f>IF($C131="","",SUMIFS('Q3 Data'!$L$4:$L$207,'Q3 Data'!$B$4:$B$207,$S131)+SUMIFS('Q3 Data'!$O$4:$O$207,'Q3 Data'!$B$4:$B$207,$S131)+SUMIFS('Q3 Data'!$M$4:$M$207,'Q3 Data'!$B$4:$B$207,$S131))</f>
      </c>
      <c r="W131" s="7">
        <f>IF($C131="","",SUMIFS('Q4 Data'!$L$4:$L$207,'Q4 Data'!$B$4:$B$207,$S131)+SUMIFS('Q4 Data'!$O$4:$O$207,'Q4 Data'!$B$4:$B$207,$S131)+SUMIFS('Q4 Data'!$M$4:$M$207,'Q4 Data'!$B$4:$B$207,$S131))</f>
      </c>
      <c r="X131" s="7">
        <f>IF($C131="","",T131+U131+V131+W131)</f>
      </c>
      <c r="Y131" s="7">
        <f>IF($C131="","",M131-L131)</f>
      </c>
      <c r="Z131" s="7">
        <f>IF($C131="","",Y131-X131)</f>
      </c>
      <c r="AA131" s="7">
        <f>IF($C131="","",IF(ROUND(X131-Y131,2)&gt;0,"Over-applied",IF(ROUND(X131-Y131,2)=0,"Fully Utilised","Unconsumed")))</f>
      </c>
    </row>
    <row r="132" spans="1:27" x14ac:dyDescent="0.25">
      <c r="A132" s="7">
        <f>IF($C132="","",COUNTIF($C$4:$C132,"&lt;&gt;"))</f>
      </c>
      <c r="B132" s="8"/>
      <c r="C132" s="8"/>
      <c r="D132" s="8"/>
      <c r="E132" s="8"/>
      <c r="F132" s="8"/>
      <c r="G132" s="8"/>
      <c r="H132" s="8"/>
      <c r="I132" s="8"/>
      <c r="J132" s="8"/>
      <c r="K132" s="8"/>
      <c r="L132" s="8"/>
      <c r="M132" s="7">
        <f>IF($C132="","",G132+H132+I132+J132+K132+L132)</f>
      </c>
      <c r="N132" s="8"/>
      <c r="O132" s="8"/>
      <c r="P132" s="8"/>
      <c r="Q132" s="8"/>
      <c r="R132" s="8"/>
      <c r="S132" s="7">
        <f>IF($C132="","",C132&amp;" | BSR "&amp;B132&amp;" | "&amp;TEXT(D132,"dd-mm-yyyy")&amp;" | ₹"&amp;TEXT(M132,"#,##0"))</f>
      </c>
      <c r="T132" s="7">
        <f>IF($C132="","",SUMIFS('Q1 Data'!$L$4:$L$207,'Q1 Data'!$B$4:$B$207,$S132)+SUMIFS('Q1 Data'!$O$4:$O$207,'Q1 Data'!$B$4:$B$207,$S132)+SUMIFS('Q1 Data'!$M$4:$M$207,'Q1 Data'!$B$4:$B$207,$S132))</f>
      </c>
      <c r="U132" s="7">
        <f>IF($C132="","",SUMIFS('Q2 Data'!$L$4:$L$207,'Q2 Data'!$B$4:$B$207,$S132)+SUMIFS('Q2 Data'!$O$4:$O$207,'Q2 Data'!$B$4:$B$207,$S132)+SUMIFS('Q2 Data'!$M$4:$M$207,'Q2 Data'!$B$4:$B$207,$S132))</f>
      </c>
      <c r="V132" s="7">
        <f>IF($C132="","",SUMIFS('Q3 Data'!$L$4:$L$207,'Q3 Data'!$B$4:$B$207,$S132)+SUMIFS('Q3 Data'!$O$4:$O$207,'Q3 Data'!$B$4:$B$207,$S132)+SUMIFS('Q3 Data'!$M$4:$M$207,'Q3 Data'!$B$4:$B$207,$S132))</f>
      </c>
      <c r="W132" s="7">
        <f>IF($C132="","",SUMIFS('Q4 Data'!$L$4:$L$207,'Q4 Data'!$B$4:$B$207,$S132)+SUMIFS('Q4 Data'!$O$4:$O$207,'Q4 Data'!$B$4:$B$207,$S132)+SUMIFS('Q4 Data'!$M$4:$M$207,'Q4 Data'!$B$4:$B$207,$S132))</f>
      </c>
      <c r="X132" s="7">
        <f>IF($C132="","",T132+U132+V132+W132)</f>
      </c>
      <c r="Y132" s="7">
        <f>IF($C132="","",M132-L132)</f>
      </c>
      <c r="Z132" s="7">
        <f>IF($C132="","",Y132-X132)</f>
      </c>
      <c r="AA132" s="7">
        <f>IF($C132="","",IF(ROUND(X132-Y132,2)&gt;0,"Over-applied",IF(ROUND(X132-Y132,2)=0,"Fully Utilised","Unconsumed")))</f>
      </c>
    </row>
    <row r="133" spans="1:27" x14ac:dyDescent="0.25">
      <c r="A133" s="7">
        <f>IF($C133="","",COUNTIF($C$4:$C133,"&lt;&gt;"))</f>
      </c>
      <c r="B133" s="8"/>
      <c r="C133" s="8"/>
      <c r="D133" s="8"/>
      <c r="E133" s="8"/>
      <c r="F133" s="8"/>
      <c r="G133" s="8"/>
      <c r="H133" s="8"/>
      <c r="I133" s="8"/>
      <c r="J133" s="8"/>
      <c r="K133" s="8"/>
      <c r="L133" s="8"/>
      <c r="M133" s="7">
        <f>IF($C133="","",G133+H133+I133+J133+K133+L133)</f>
      </c>
      <c r="N133" s="8"/>
      <c r="O133" s="8"/>
      <c r="P133" s="8"/>
      <c r="Q133" s="8"/>
      <c r="R133" s="8"/>
      <c r="S133" s="7">
        <f>IF($C133="","",C133&amp;" | BSR "&amp;B133&amp;" | "&amp;TEXT(D133,"dd-mm-yyyy")&amp;" | ₹"&amp;TEXT(M133,"#,##0"))</f>
      </c>
      <c r="T133" s="7">
        <f>IF($C133="","",SUMIFS('Q1 Data'!$L$4:$L$207,'Q1 Data'!$B$4:$B$207,$S133)+SUMIFS('Q1 Data'!$O$4:$O$207,'Q1 Data'!$B$4:$B$207,$S133)+SUMIFS('Q1 Data'!$M$4:$M$207,'Q1 Data'!$B$4:$B$207,$S133))</f>
      </c>
      <c r="U133" s="7">
        <f>IF($C133="","",SUMIFS('Q2 Data'!$L$4:$L$207,'Q2 Data'!$B$4:$B$207,$S133)+SUMIFS('Q2 Data'!$O$4:$O$207,'Q2 Data'!$B$4:$B$207,$S133)+SUMIFS('Q2 Data'!$M$4:$M$207,'Q2 Data'!$B$4:$B$207,$S133))</f>
      </c>
      <c r="V133" s="7">
        <f>IF($C133="","",SUMIFS('Q3 Data'!$L$4:$L$207,'Q3 Data'!$B$4:$B$207,$S133)+SUMIFS('Q3 Data'!$O$4:$O$207,'Q3 Data'!$B$4:$B$207,$S133)+SUMIFS('Q3 Data'!$M$4:$M$207,'Q3 Data'!$B$4:$B$207,$S133))</f>
      </c>
      <c r="W133" s="7">
        <f>IF($C133="","",SUMIFS('Q4 Data'!$L$4:$L$207,'Q4 Data'!$B$4:$B$207,$S133)+SUMIFS('Q4 Data'!$O$4:$O$207,'Q4 Data'!$B$4:$B$207,$S133)+SUMIFS('Q4 Data'!$M$4:$M$207,'Q4 Data'!$B$4:$B$207,$S133))</f>
      </c>
      <c r="X133" s="7">
        <f>IF($C133="","",T133+U133+V133+W133)</f>
      </c>
      <c r="Y133" s="7">
        <f>IF($C133="","",M133-L133)</f>
      </c>
      <c r="Z133" s="7">
        <f>IF($C133="","",Y133-X133)</f>
      </c>
      <c r="AA133" s="7">
        <f>IF($C133="","",IF(ROUND(X133-Y133,2)&gt;0,"Over-applied",IF(ROUND(X133-Y133,2)=0,"Fully Utilised","Unconsumed")))</f>
      </c>
    </row>
    <row r="134" spans="1:27" x14ac:dyDescent="0.25">
      <c r="A134" s="7">
        <f>IF($C134="","",COUNTIF($C$4:$C134,"&lt;&gt;"))</f>
      </c>
      <c r="B134" s="8"/>
      <c r="C134" s="8"/>
      <c r="D134" s="8"/>
      <c r="E134" s="8"/>
      <c r="F134" s="8"/>
      <c r="G134" s="8"/>
      <c r="H134" s="8"/>
      <c r="I134" s="8"/>
      <c r="J134" s="8"/>
      <c r="K134" s="8"/>
      <c r="L134" s="8"/>
      <c r="M134" s="7">
        <f>IF($C134="","",G134+H134+I134+J134+K134+L134)</f>
      </c>
      <c r="N134" s="8"/>
      <c r="O134" s="8"/>
      <c r="P134" s="8"/>
      <c r="Q134" s="8"/>
      <c r="R134" s="8"/>
      <c r="S134" s="7">
        <f>IF($C134="","",C134&amp;" | BSR "&amp;B134&amp;" | "&amp;TEXT(D134,"dd-mm-yyyy")&amp;" | ₹"&amp;TEXT(M134,"#,##0"))</f>
      </c>
      <c r="T134" s="7">
        <f>IF($C134="","",SUMIFS('Q1 Data'!$L$4:$L$207,'Q1 Data'!$B$4:$B$207,$S134)+SUMIFS('Q1 Data'!$O$4:$O$207,'Q1 Data'!$B$4:$B$207,$S134)+SUMIFS('Q1 Data'!$M$4:$M$207,'Q1 Data'!$B$4:$B$207,$S134))</f>
      </c>
      <c r="U134" s="7">
        <f>IF($C134="","",SUMIFS('Q2 Data'!$L$4:$L$207,'Q2 Data'!$B$4:$B$207,$S134)+SUMIFS('Q2 Data'!$O$4:$O$207,'Q2 Data'!$B$4:$B$207,$S134)+SUMIFS('Q2 Data'!$M$4:$M$207,'Q2 Data'!$B$4:$B$207,$S134))</f>
      </c>
      <c r="V134" s="7">
        <f>IF($C134="","",SUMIFS('Q3 Data'!$L$4:$L$207,'Q3 Data'!$B$4:$B$207,$S134)+SUMIFS('Q3 Data'!$O$4:$O$207,'Q3 Data'!$B$4:$B$207,$S134)+SUMIFS('Q3 Data'!$M$4:$M$207,'Q3 Data'!$B$4:$B$207,$S134))</f>
      </c>
      <c r="W134" s="7">
        <f>IF($C134="","",SUMIFS('Q4 Data'!$L$4:$L$207,'Q4 Data'!$B$4:$B$207,$S134)+SUMIFS('Q4 Data'!$O$4:$O$207,'Q4 Data'!$B$4:$B$207,$S134)+SUMIFS('Q4 Data'!$M$4:$M$207,'Q4 Data'!$B$4:$B$207,$S134))</f>
      </c>
      <c r="X134" s="7">
        <f>IF($C134="","",T134+U134+V134+W134)</f>
      </c>
      <c r="Y134" s="7">
        <f>IF($C134="","",M134-L134)</f>
      </c>
      <c r="Z134" s="7">
        <f>IF($C134="","",Y134-X134)</f>
      </c>
      <c r="AA134" s="7">
        <f>IF($C134="","",IF(ROUND(X134-Y134,2)&gt;0,"Over-applied",IF(ROUND(X134-Y134,2)=0,"Fully Utilised","Unconsumed")))</f>
      </c>
    </row>
    <row r="135" spans="1:27" x14ac:dyDescent="0.25">
      <c r="A135" s="7">
        <f>IF($C135="","",COUNTIF($C$4:$C135,"&lt;&gt;"))</f>
      </c>
      <c r="B135" s="8"/>
      <c r="C135" s="8"/>
      <c r="D135" s="8"/>
      <c r="E135" s="8"/>
      <c r="F135" s="8"/>
      <c r="G135" s="8"/>
      <c r="H135" s="8"/>
      <c r="I135" s="8"/>
      <c r="J135" s="8"/>
      <c r="K135" s="8"/>
      <c r="L135" s="8"/>
      <c r="M135" s="7">
        <f>IF($C135="","",G135+H135+I135+J135+K135+L135)</f>
      </c>
      <c r="N135" s="8"/>
      <c r="O135" s="8"/>
      <c r="P135" s="8"/>
      <c r="Q135" s="8"/>
      <c r="R135" s="8"/>
      <c r="S135" s="7">
        <f>IF($C135="","",C135&amp;" | BSR "&amp;B135&amp;" | "&amp;TEXT(D135,"dd-mm-yyyy")&amp;" | ₹"&amp;TEXT(M135,"#,##0"))</f>
      </c>
      <c r="T135" s="7">
        <f>IF($C135="","",SUMIFS('Q1 Data'!$L$4:$L$207,'Q1 Data'!$B$4:$B$207,$S135)+SUMIFS('Q1 Data'!$O$4:$O$207,'Q1 Data'!$B$4:$B$207,$S135)+SUMIFS('Q1 Data'!$M$4:$M$207,'Q1 Data'!$B$4:$B$207,$S135))</f>
      </c>
      <c r="U135" s="7">
        <f>IF($C135="","",SUMIFS('Q2 Data'!$L$4:$L$207,'Q2 Data'!$B$4:$B$207,$S135)+SUMIFS('Q2 Data'!$O$4:$O$207,'Q2 Data'!$B$4:$B$207,$S135)+SUMIFS('Q2 Data'!$M$4:$M$207,'Q2 Data'!$B$4:$B$207,$S135))</f>
      </c>
      <c r="V135" s="7">
        <f>IF($C135="","",SUMIFS('Q3 Data'!$L$4:$L$207,'Q3 Data'!$B$4:$B$207,$S135)+SUMIFS('Q3 Data'!$O$4:$O$207,'Q3 Data'!$B$4:$B$207,$S135)+SUMIFS('Q3 Data'!$M$4:$M$207,'Q3 Data'!$B$4:$B$207,$S135))</f>
      </c>
      <c r="W135" s="7">
        <f>IF($C135="","",SUMIFS('Q4 Data'!$L$4:$L$207,'Q4 Data'!$B$4:$B$207,$S135)+SUMIFS('Q4 Data'!$O$4:$O$207,'Q4 Data'!$B$4:$B$207,$S135)+SUMIFS('Q4 Data'!$M$4:$M$207,'Q4 Data'!$B$4:$B$207,$S135))</f>
      </c>
      <c r="X135" s="7">
        <f>IF($C135="","",T135+U135+V135+W135)</f>
      </c>
      <c r="Y135" s="7">
        <f>IF($C135="","",M135-L135)</f>
      </c>
      <c r="Z135" s="7">
        <f>IF($C135="","",Y135-X135)</f>
      </c>
      <c r="AA135" s="7">
        <f>IF($C135="","",IF(ROUND(X135-Y135,2)&gt;0,"Over-applied",IF(ROUND(X135-Y135,2)=0,"Fully Utilised","Unconsumed")))</f>
      </c>
    </row>
    <row r="136" spans="1:27" x14ac:dyDescent="0.25">
      <c r="A136" s="7">
        <f>IF($C136="","",COUNTIF($C$4:$C136,"&lt;&gt;"))</f>
      </c>
      <c r="B136" s="8"/>
      <c r="C136" s="8"/>
      <c r="D136" s="8"/>
      <c r="E136" s="8"/>
      <c r="F136" s="8"/>
      <c r="G136" s="8"/>
      <c r="H136" s="8"/>
      <c r="I136" s="8"/>
      <c r="J136" s="8"/>
      <c r="K136" s="8"/>
      <c r="L136" s="8"/>
      <c r="M136" s="7">
        <f>IF($C136="","",G136+H136+I136+J136+K136+L136)</f>
      </c>
      <c r="N136" s="8"/>
      <c r="O136" s="8"/>
      <c r="P136" s="8"/>
      <c r="Q136" s="8"/>
      <c r="R136" s="8"/>
      <c r="S136" s="7">
        <f>IF($C136="","",C136&amp;" | BSR "&amp;B136&amp;" | "&amp;TEXT(D136,"dd-mm-yyyy")&amp;" | ₹"&amp;TEXT(M136,"#,##0"))</f>
      </c>
      <c r="T136" s="7">
        <f>IF($C136="","",SUMIFS('Q1 Data'!$L$4:$L$207,'Q1 Data'!$B$4:$B$207,$S136)+SUMIFS('Q1 Data'!$O$4:$O$207,'Q1 Data'!$B$4:$B$207,$S136)+SUMIFS('Q1 Data'!$M$4:$M$207,'Q1 Data'!$B$4:$B$207,$S136))</f>
      </c>
      <c r="U136" s="7">
        <f>IF($C136="","",SUMIFS('Q2 Data'!$L$4:$L$207,'Q2 Data'!$B$4:$B$207,$S136)+SUMIFS('Q2 Data'!$O$4:$O$207,'Q2 Data'!$B$4:$B$207,$S136)+SUMIFS('Q2 Data'!$M$4:$M$207,'Q2 Data'!$B$4:$B$207,$S136))</f>
      </c>
      <c r="V136" s="7">
        <f>IF($C136="","",SUMIFS('Q3 Data'!$L$4:$L$207,'Q3 Data'!$B$4:$B$207,$S136)+SUMIFS('Q3 Data'!$O$4:$O$207,'Q3 Data'!$B$4:$B$207,$S136)+SUMIFS('Q3 Data'!$M$4:$M$207,'Q3 Data'!$B$4:$B$207,$S136))</f>
      </c>
      <c r="W136" s="7">
        <f>IF($C136="","",SUMIFS('Q4 Data'!$L$4:$L$207,'Q4 Data'!$B$4:$B$207,$S136)+SUMIFS('Q4 Data'!$O$4:$O$207,'Q4 Data'!$B$4:$B$207,$S136)+SUMIFS('Q4 Data'!$M$4:$M$207,'Q4 Data'!$B$4:$B$207,$S136))</f>
      </c>
      <c r="X136" s="7">
        <f>IF($C136="","",T136+U136+V136+W136)</f>
      </c>
      <c r="Y136" s="7">
        <f>IF($C136="","",M136-L136)</f>
      </c>
      <c r="Z136" s="7">
        <f>IF($C136="","",Y136-X136)</f>
      </c>
      <c r="AA136" s="7">
        <f>IF($C136="","",IF(ROUND(X136-Y136,2)&gt;0,"Over-applied",IF(ROUND(X136-Y136,2)=0,"Fully Utilised","Unconsumed")))</f>
      </c>
    </row>
    <row r="137" spans="1:27" x14ac:dyDescent="0.25">
      <c r="A137" s="7">
        <f>IF($C137="","",COUNTIF($C$4:$C137,"&lt;&gt;"))</f>
      </c>
      <c r="B137" s="8"/>
      <c r="C137" s="8"/>
      <c r="D137" s="8"/>
      <c r="E137" s="8"/>
      <c r="F137" s="8"/>
      <c r="G137" s="8"/>
      <c r="H137" s="8"/>
      <c r="I137" s="8"/>
      <c r="J137" s="8"/>
      <c r="K137" s="8"/>
      <c r="L137" s="8"/>
      <c r="M137" s="7">
        <f>IF($C137="","",G137+H137+I137+J137+K137+L137)</f>
      </c>
      <c r="N137" s="8"/>
      <c r="O137" s="8"/>
      <c r="P137" s="8"/>
      <c r="Q137" s="8"/>
      <c r="R137" s="8"/>
      <c r="S137" s="7">
        <f>IF($C137="","",C137&amp;" | BSR "&amp;B137&amp;" | "&amp;TEXT(D137,"dd-mm-yyyy")&amp;" | ₹"&amp;TEXT(M137,"#,##0"))</f>
      </c>
      <c r="T137" s="7">
        <f>IF($C137="","",SUMIFS('Q1 Data'!$L$4:$L$207,'Q1 Data'!$B$4:$B$207,$S137)+SUMIFS('Q1 Data'!$O$4:$O$207,'Q1 Data'!$B$4:$B$207,$S137)+SUMIFS('Q1 Data'!$M$4:$M$207,'Q1 Data'!$B$4:$B$207,$S137))</f>
      </c>
      <c r="U137" s="7">
        <f>IF($C137="","",SUMIFS('Q2 Data'!$L$4:$L$207,'Q2 Data'!$B$4:$B$207,$S137)+SUMIFS('Q2 Data'!$O$4:$O$207,'Q2 Data'!$B$4:$B$207,$S137)+SUMIFS('Q2 Data'!$M$4:$M$207,'Q2 Data'!$B$4:$B$207,$S137))</f>
      </c>
      <c r="V137" s="7">
        <f>IF($C137="","",SUMIFS('Q3 Data'!$L$4:$L$207,'Q3 Data'!$B$4:$B$207,$S137)+SUMIFS('Q3 Data'!$O$4:$O$207,'Q3 Data'!$B$4:$B$207,$S137)+SUMIFS('Q3 Data'!$M$4:$M$207,'Q3 Data'!$B$4:$B$207,$S137))</f>
      </c>
      <c r="W137" s="7">
        <f>IF($C137="","",SUMIFS('Q4 Data'!$L$4:$L$207,'Q4 Data'!$B$4:$B$207,$S137)+SUMIFS('Q4 Data'!$O$4:$O$207,'Q4 Data'!$B$4:$B$207,$S137)+SUMIFS('Q4 Data'!$M$4:$M$207,'Q4 Data'!$B$4:$B$207,$S137))</f>
      </c>
      <c r="X137" s="7">
        <f>IF($C137="","",T137+U137+V137+W137)</f>
      </c>
      <c r="Y137" s="7">
        <f>IF($C137="","",M137-L137)</f>
      </c>
      <c r="Z137" s="7">
        <f>IF($C137="","",Y137-X137)</f>
      </c>
      <c r="AA137" s="7">
        <f>IF($C137="","",IF(ROUND(X137-Y137,2)&gt;0,"Over-applied",IF(ROUND(X137-Y137,2)=0,"Fully Utilised","Unconsumed")))</f>
      </c>
    </row>
    <row r="138" spans="1:27" x14ac:dyDescent="0.25">
      <c r="A138" s="7">
        <f>IF($C138="","",COUNTIF($C$4:$C138,"&lt;&gt;"))</f>
      </c>
      <c r="B138" s="8"/>
      <c r="C138" s="8"/>
      <c r="D138" s="8"/>
      <c r="E138" s="8"/>
      <c r="F138" s="8"/>
      <c r="G138" s="8"/>
      <c r="H138" s="8"/>
      <c r="I138" s="8"/>
      <c r="J138" s="8"/>
      <c r="K138" s="8"/>
      <c r="L138" s="8"/>
      <c r="M138" s="7">
        <f>IF($C138="","",G138+H138+I138+J138+K138+L138)</f>
      </c>
      <c r="N138" s="8"/>
      <c r="O138" s="8"/>
      <c r="P138" s="8"/>
      <c r="Q138" s="8"/>
      <c r="R138" s="8"/>
      <c r="S138" s="7">
        <f>IF($C138="","",C138&amp;" | BSR "&amp;B138&amp;" | "&amp;TEXT(D138,"dd-mm-yyyy")&amp;" | ₹"&amp;TEXT(M138,"#,##0"))</f>
      </c>
      <c r="T138" s="7">
        <f>IF($C138="","",SUMIFS('Q1 Data'!$L$4:$L$207,'Q1 Data'!$B$4:$B$207,$S138)+SUMIFS('Q1 Data'!$O$4:$O$207,'Q1 Data'!$B$4:$B$207,$S138)+SUMIFS('Q1 Data'!$M$4:$M$207,'Q1 Data'!$B$4:$B$207,$S138))</f>
      </c>
      <c r="U138" s="7">
        <f>IF($C138="","",SUMIFS('Q2 Data'!$L$4:$L$207,'Q2 Data'!$B$4:$B$207,$S138)+SUMIFS('Q2 Data'!$O$4:$O$207,'Q2 Data'!$B$4:$B$207,$S138)+SUMIFS('Q2 Data'!$M$4:$M$207,'Q2 Data'!$B$4:$B$207,$S138))</f>
      </c>
      <c r="V138" s="7">
        <f>IF($C138="","",SUMIFS('Q3 Data'!$L$4:$L$207,'Q3 Data'!$B$4:$B$207,$S138)+SUMIFS('Q3 Data'!$O$4:$O$207,'Q3 Data'!$B$4:$B$207,$S138)+SUMIFS('Q3 Data'!$M$4:$M$207,'Q3 Data'!$B$4:$B$207,$S138))</f>
      </c>
      <c r="W138" s="7">
        <f>IF($C138="","",SUMIFS('Q4 Data'!$L$4:$L$207,'Q4 Data'!$B$4:$B$207,$S138)+SUMIFS('Q4 Data'!$O$4:$O$207,'Q4 Data'!$B$4:$B$207,$S138)+SUMIFS('Q4 Data'!$M$4:$M$207,'Q4 Data'!$B$4:$B$207,$S138))</f>
      </c>
      <c r="X138" s="7">
        <f>IF($C138="","",T138+U138+V138+W138)</f>
      </c>
      <c r="Y138" s="7">
        <f>IF($C138="","",M138-L138)</f>
      </c>
      <c r="Z138" s="7">
        <f>IF($C138="","",Y138-X138)</f>
      </c>
      <c r="AA138" s="7">
        <f>IF($C138="","",IF(ROUND(X138-Y138,2)&gt;0,"Over-applied",IF(ROUND(X138-Y138,2)=0,"Fully Utilised","Unconsumed")))</f>
      </c>
    </row>
    <row r="139" spans="1:27" x14ac:dyDescent="0.25">
      <c r="A139" s="7">
        <f>IF($C139="","",COUNTIF($C$4:$C139,"&lt;&gt;"))</f>
      </c>
      <c r="B139" s="8"/>
      <c r="C139" s="8"/>
      <c r="D139" s="8"/>
      <c r="E139" s="8"/>
      <c r="F139" s="8"/>
      <c r="G139" s="8"/>
      <c r="H139" s="8"/>
      <c r="I139" s="8"/>
      <c r="J139" s="8"/>
      <c r="K139" s="8"/>
      <c r="L139" s="8"/>
      <c r="M139" s="7">
        <f>IF($C139="","",G139+H139+I139+J139+K139+L139)</f>
      </c>
      <c r="N139" s="8"/>
      <c r="O139" s="8"/>
      <c r="P139" s="8"/>
      <c r="Q139" s="8"/>
      <c r="R139" s="8"/>
      <c r="S139" s="7">
        <f>IF($C139="","",C139&amp;" | BSR "&amp;B139&amp;" | "&amp;TEXT(D139,"dd-mm-yyyy")&amp;" | ₹"&amp;TEXT(M139,"#,##0"))</f>
      </c>
      <c r="T139" s="7">
        <f>IF($C139="","",SUMIFS('Q1 Data'!$L$4:$L$207,'Q1 Data'!$B$4:$B$207,$S139)+SUMIFS('Q1 Data'!$O$4:$O$207,'Q1 Data'!$B$4:$B$207,$S139)+SUMIFS('Q1 Data'!$M$4:$M$207,'Q1 Data'!$B$4:$B$207,$S139))</f>
      </c>
      <c r="U139" s="7">
        <f>IF($C139="","",SUMIFS('Q2 Data'!$L$4:$L$207,'Q2 Data'!$B$4:$B$207,$S139)+SUMIFS('Q2 Data'!$O$4:$O$207,'Q2 Data'!$B$4:$B$207,$S139)+SUMIFS('Q2 Data'!$M$4:$M$207,'Q2 Data'!$B$4:$B$207,$S139))</f>
      </c>
      <c r="V139" s="7">
        <f>IF($C139="","",SUMIFS('Q3 Data'!$L$4:$L$207,'Q3 Data'!$B$4:$B$207,$S139)+SUMIFS('Q3 Data'!$O$4:$O$207,'Q3 Data'!$B$4:$B$207,$S139)+SUMIFS('Q3 Data'!$M$4:$M$207,'Q3 Data'!$B$4:$B$207,$S139))</f>
      </c>
      <c r="W139" s="7">
        <f>IF($C139="","",SUMIFS('Q4 Data'!$L$4:$L$207,'Q4 Data'!$B$4:$B$207,$S139)+SUMIFS('Q4 Data'!$O$4:$O$207,'Q4 Data'!$B$4:$B$207,$S139)+SUMIFS('Q4 Data'!$M$4:$M$207,'Q4 Data'!$B$4:$B$207,$S139))</f>
      </c>
      <c r="X139" s="7">
        <f>IF($C139="","",T139+U139+V139+W139)</f>
      </c>
      <c r="Y139" s="7">
        <f>IF($C139="","",M139-L139)</f>
      </c>
      <c r="Z139" s="7">
        <f>IF($C139="","",Y139-X139)</f>
      </c>
      <c r="AA139" s="7">
        <f>IF($C139="","",IF(ROUND(X139-Y139,2)&gt;0,"Over-applied",IF(ROUND(X139-Y139,2)=0,"Fully Utilised","Unconsumed")))</f>
      </c>
    </row>
    <row r="140" spans="1:27" x14ac:dyDescent="0.25">
      <c r="A140" s="7">
        <f>IF($C140="","",COUNTIF($C$4:$C140,"&lt;&gt;"))</f>
      </c>
      <c r="B140" s="8"/>
      <c r="C140" s="8"/>
      <c r="D140" s="8"/>
      <c r="E140" s="8"/>
      <c r="F140" s="8"/>
      <c r="G140" s="8"/>
      <c r="H140" s="8"/>
      <c r="I140" s="8"/>
      <c r="J140" s="8"/>
      <c r="K140" s="8"/>
      <c r="L140" s="8"/>
      <c r="M140" s="7">
        <f>IF($C140="","",G140+H140+I140+J140+K140+L140)</f>
      </c>
      <c r="N140" s="8"/>
      <c r="O140" s="8"/>
      <c r="P140" s="8"/>
      <c r="Q140" s="8"/>
      <c r="R140" s="8"/>
      <c r="S140" s="7">
        <f>IF($C140="","",C140&amp;" | BSR "&amp;B140&amp;" | "&amp;TEXT(D140,"dd-mm-yyyy")&amp;" | ₹"&amp;TEXT(M140,"#,##0"))</f>
      </c>
      <c r="T140" s="7">
        <f>IF($C140="","",SUMIFS('Q1 Data'!$L$4:$L$207,'Q1 Data'!$B$4:$B$207,$S140)+SUMIFS('Q1 Data'!$O$4:$O$207,'Q1 Data'!$B$4:$B$207,$S140)+SUMIFS('Q1 Data'!$M$4:$M$207,'Q1 Data'!$B$4:$B$207,$S140))</f>
      </c>
      <c r="U140" s="7">
        <f>IF($C140="","",SUMIFS('Q2 Data'!$L$4:$L$207,'Q2 Data'!$B$4:$B$207,$S140)+SUMIFS('Q2 Data'!$O$4:$O$207,'Q2 Data'!$B$4:$B$207,$S140)+SUMIFS('Q2 Data'!$M$4:$M$207,'Q2 Data'!$B$4:$B$207,$S140))</f>
      </c>
      <c r="V140" s="7">
        <f>IF($C140="","",SUMIFS('Q3 Data'!$L$4:$L$207,'Q3 Data'!$B$4:$B$207,$S140)+SUMIFS('Q3 Data'!$O$4:$O$207,'Q3 Data'!$B$4:$B$207,$S140)+SUMIFS('Q3 Data'!$M$4:$M$207,'Q3 Data'!$B$4:$B$207,$S140))</f>
      </c>
      <c r="W140" s="7">
        <f>IF($C140="","",SUMIFS('Q4 Data'!$L$4:$L$207,'Q4 Data'!$B$4:$B$207,$S140)+SUMIFS('Q4 Data'!$O$4:$O$207,'Q4 Data'!$B$4:$B$207,$S140)+SUMIFS('Q4 Data'!$M$4:$M$207,'Q4 Data'!$B$4:$B$207,$S140))</f>
      </c>
      <c r="X140" s="7">
        <f>IF($C140="","",T140+U140+V140+W140)</f>
      </c>
      <c r="Y140" s="7">
        <f>IF($C140="","",M140-L140)</f>
      </c>
      <c r="Z140" s="7">
        <f>IF($C140="","",Y140-X140)</f>
      </c>
      <c r="AA140" s="7">
        <f>IF($C140="","",IF(ROUND(X140-Y140,2)&gt;0,"Over-applied",IF(ROUND(X140-Y140,2)=0,"Fully Utilised","Unconsumed")))</f>
      </c>
    </row>
    <row r="141" spans="1:27" x14ac:dyDescent="0.25">
      <c r="A141" s="7">
        <f>IF($C141="","",COUNTIF($C$4:$C141,"&lt;&gt;"))</f>
      </c>
      <c r="B141" s="8"/>
      <c r="C141" s="8"/>
      <c r="D141" s="8"/>
      <c r="E141" s="8"/>
      <c r="F141" s="8"/>
      <c r="G141" s="8"/>
      <c r="H141" s="8"/>
      <c r="I141" s="8"/>
      <c r="J141" s="8"/>
      <c r="K141" s="8"/>
      <c r="L141" s="8"/>
      <c r="M141" s="7">
        <f>IF($C141="","",G141+H141+I141+J141+K141+L141)</f>
      </c>
      <c r="N141" s="8"/>
      <c r="O141" s="8"/>
      <c r="P141" s="8"/>
      <c r="Q141" s="8"/>
      <c r="R141" s="8"/>
      <c r="S141" s="7">
        <f>IF($C141="","",C141&amp;" | BSR "&amp;B141&amp;" | "&amp;TEXT(D141,"dd-mm-yyyy")&amp;" | ₹"&amp;TEXT(M141,"#,##0"))</f>
      </c>
      <c r="T141" s="7">
        <f>IF($C141="","",SUMIFS('Q1 Data'!$L$4:$L$207,'Q1 Data'!$B$4:$B$207,$S141)+SUMIFS('Q1 Data'!$O$4:$O$207,'Q1 Data'!$B$4:$B$207,$S141)+SUMIFS('Q1 Data'!$M$4:$M$207,'Q1 Data'!$B$4:$B$207,$S141))</f>
      </c>
      <c r="U141" s="7">
        <f>IF($C141="","",SUMIFS('Q2 Data'!$L$4:$L$207,'Q2 Data'!$B$4:$B$207,$S141)+SUMIFS('Q2 Data'!$O$4:$O$207,'Q2 Data'!$B$4:$B$207,$S141)+SUMIFS('Q2 Data'!$M$4:$M$207,'Q2 Data'!$B$4:$B$207,$S141))</f>
      </c>
      <c r="V141" s="7">
        <f>IF($C141="","",SUMIFS('Q3 Data'!$L$4:$L$207,'Q3 Data'!$B$4:$B$207,$S141)+SUMIFS('Q3 Data'!$O$4:$O$207,'Q3 Data'!$B$4:$B$207,$S141)+SUMIFS('Q3 Data'!$M$4:$M$207,'Q3 Data'!$B$4:$B$207,$S141))</f>
      </c>
      <c r="W141" s="7">
        <f>IF($C141="","",SUMIFS('Q4 Data'!$L$4:$L$207,'Q4 Data'!$B$4:$B$207,$S141)+SUMIFS('Q4 Data'!$O$4:$O$207,'Q4 Data'!$B$4:$B$207,$S141)+SUMIFS('Q4 Data'!$M$4:$M$207,'Q4 Data'!$B$4:$B$207,$S141))</f>
      </c>
      <c r="X141" s="7">
        <f>IF($C141="","",T141+U141+V141+W141)</f>
      </c>
      <c r="Y141" s="7">
        <f>IF($C141="","",M141-L141)</f>
      </c>
      <c r="Z141" s="7">
        <f>IF($C141="","",Y141-X141)</f>
      </c>
      <c r="AA141" s="7">
        <f>IF($C141="","",IF(ROUND(X141-Y141,2)&gt;0,"Over-applied",IF(ROUND(X141-Y141,2)=0,"Fully Utilised","Unconsumed")))</f>
      </c>
    </row>
    <row r="142" spans="1:27" x14ac:dyDescent="0.25">
      <c r="A142" s="7">
        <f>IF($C142="","",COUNTIF($C$4:$C142,"&lt;&gt;"))</f>
      </c>
      <c r="B142" s="8"/>
      <c r="C142" s="8"/>
      <c r="D142" s="8"/>
      <c r="E142" s="8"/>
      <c r="F142" s="8"/>
      <c r="G142" s="8"/>
      <c r="H142" s="8"/>
      <c r="I142" s="8"/>
      <c r="J142" s="8"/>
      <c r="K142" s="8"/>
      <c r="L142" s="8"/>
      <c r="M142" s="7">
        <f>IF($C142="","",G142+H142+I142+J142+K142+L142)</f>
      </c>
      <c r="N142" s="8"/>
      <c r="O142" s="8"/>
      <c r="P142" s="8"/>
      <c r="Q142" s="8"/>
      <c r="R142" s="8"/>
      <c r="S142" s="7">
        <f>IF($C142="","",C142&amp;" | BSR "&amp;B142&amp;" | "&amp;TEXT(D142,"dd-mm-yyyy")&amp;" | ₹"&amp;TEXT(M142,"#,##0"))</f>
      </c>
      <c r="T142" s="7">
        <f>IF($C142="","",SUMIFS('Q1 Data'!$L$4:$L$207,'Q1 Data'!$B$4:$B$207,$S142)+SUMIFS('Q1 Data'!$O$4:$O$207,'Q1 Data'!$B$4:$B$207,$S142)+SUMIFS('Q1 Data'!$M$4:$M$207,'Q1 Data'!$B$4:$B$207,$S142))</f>
      </c>
      <c r="U142" s="7">
        <f>IF($C142="","",SUMIFS('Q2 Data'!$L$4:$L$207,'Q2 Data'!$B$4:$B$207,$S142)+SUMIFS('Q2 Data'!$O$4:$O$207,'Q2 Data'!$B$4:$B$207,$S142)+SUMIFS('Q2 Data'!$M$4:$M$207,'Q2 Data'!$B$4:$B$207,$S142))</f>
      </c>
      <c r="V142" s="7">
        <f>IF($C142="","",SUMIFS('Q3 Data'!$L$4:$L$207,'Q3 Data'!$B$4:$B$207,$S142)+SUMIFS('Q3 Data'!$O$4:$O$207,'Q3 Data'!$B$4:$B$207,$S142)+SUMIFS('Q3 Data'!$M$4:$M$207,'Q3 Data'!$B$4:$B$207,$S142))</f>
      </c>
      <c r="W142" s="7">
        <f>IF($C142="","",SUMIFS('Q4 Data'!$L$4:$L$207,'Q4 Data'!$B$4:$B$207,$S142)+SUMIFS('Q4 Data'!$O$4:$O$207,'Q4 Data'!$B$4:$B$207,$S142)+SUMIFS('Q4 Data'!$M$4:$M$207,'Q4 Data'!$B$4:$B$207,$S142))</f>
      </c>
      <c r="X142" s="7">
        <f>IF($C142="","",T142+U142+V142+W142)</f>
      </c>
      <c r="Y142" s="7">
        <f>IF($C142="","",M142-L142)</f>
      </c>
      <c r="Z142" s="7">
        <f>IF($C142="","",Y142-X142)</f>
      </c>
      <c r="AA142" s="7">
        <f>IF($C142="","",IF(ROUND(X142-Y142,2)&gt;0,"Over-applied",IF(ROUND(X142-Y142,2)=0,"Fully Utilised","Unconsumed")))</f>
      </c>
    </row>
    <row r="143" spans="1:27" x14ac:dyDescent="0.25">
      <c r="A143" s="7">
        <f>IF($C143="","",COUNTIF($C$4:$C143,"&lt;&gt;"))</f>
      </c>
      <c r="B143" s="8"/>
      <c r="C143" s="8"/>
      <c r="D143" s="8"/>
      <c r="E143" s="8"/>
      <c r="F143" s="8"/>
      <c r="G143" s="8"/>
      <c r="H143" s="8"/>
      <c r="I143" s="8"/>
      <c r="J143" s="8"/>
      <c r="K143" s="8"/>
      <c r="L143" s="8"/>
      <c r="M143" s="7">
        <f>IF($C143="","",G143+H143+I143+J143+K143+L143)</f>
      </c>
      <c r="N143" s="8"/>
      <c r="O143" s="8"/>
      <c r="P143" s="8"/>
      <c r="Q143" s="8"/>
      <c r="R143" s="8"/>
      <c r="S143" s="7">
        <f>IF($C143="","",C143&amp;" | BSR "&amp;B143&amp;" | "&amp;TEXT(D143,"dd-mm-yyyy")&amp;" | ₹"&amp;TEXT(M143,"#,##0"))</f>
      </c>
      <c r="T143" s="7">
        <f>IF($C143="","",SUMIFS('Q1 Data'!$L$4:$L$207,'Q1 Data'!$B$4:$B$207,$S143)+SUMIFS('Q1 Data'!$O$4:$O$207,'Q1 Data'!$B$4:$B$207,$S143)+SUMIFS('Q1 Data'!$M$4:$M$207,'Q1 Data'!$B$4:$B$207,$S143))</f>
      </c>
      <c r="U143" s="7">
        <f>IF($C143="","",SUMIFS('Q2 Data'!$L$4:$L$207,'Q2 Data'!$B$4:$B$207,$S143)+SUMIFS('Q2 Data'!$O$4:$O$207,'Q2 Data'!$B$4:$B$207,$S143)+SUMIFS('Q2 Data'!$M$4:$M$207,'Q2 Data'!$B$4:$B$207,$S143))</f>
      </c>
      <c r="V143" s="7">
        <f>IF($C143="","",SUMIFS('Q3 Data'!$L$4:$L$207,'Q3 Data'!$B$4:$B$207,$S143)+SUMIFS('Q3 Data'!$O$4:$O$207,'Q3 Data'!$B$4:$B$207,$S143)+SUMIFS('Q3 Data'!$M$4:$M$207,'Q3 Data'!$B$4:$B$207,$S143))</f>
      </c>
      <c r="W143" s="7">
        <f>IF($C143="","",SUMIFS('Q4 Data'!$L$4:$L$207,'Q4 Data'!$B$4:$B$207,$S143)+SUMIFS('Q4 Data'!$O$4:$O$207,'Q4 Data'!$B$4:$B$207,$S143)+SUMIFS('Q4 Data'!$M$4:$M$207,'Q4 Data'!$B$4:$B$207,$S143))</f>
      </c>
      <c r="X143" s="7">
        <f>IF($C143="","",T143+U143+V143+W143)</f>
      </c>
      <c r="Y143" s="7">
        <f>IF($C143="","",M143-L143)</f>
      </c>
      <c r="Z143" s="7">
        <f>IF($C143="","",Y143-X143)</f>
      </c>
      <c r="AA143" s="7">
        <f>IF($C143="","",IF(ROUND(X143-Y143,2)&gt;0,"Over-applied",IF(ROUND(X143-Y143,2)=0,"Fully Utilised","Unconsumed")))</f>
      </c>
    </row>
    <row r="144" spans="1:27" x14ac:dyDescent="0.25">
      <c r="A144" s="7">
        <f>IF($C144="","",COUNTIF($C$4:$C144,"&lt;&gt;"))</f>
      </c>
      <c r="B144" s="8"/>
      <c r="C144" s="8"/>
      <c r="D144" s="8"/>
      <c r="E144" s="8"/>
      <c r="F144" s="8"/>
      <c r="G144" s="8"/>
      <c r="H144" s="8"/>
      <c r="I144" s="8"/>
      <c r="J144" s="8"/>
      <c r="K144" s="8"/>
      <c r="L144" s="8"/>
      <c r="M144" s="7">
        <f>IF($C144="","",G144+H144+I144+J144+K144+L144)</f>
      </c>
      <c r="N144" s="8"/>
      <c r="O144" s="8"/>
      <c r="P144" s="8"/>
      <c r="Q144" s="8"/>
      <c r="R144" s="8"/>
      <c r="S144" s="7">
        <f>IF($C144="","",C144&amp;" | BSR "&amp;B144&amp;" | "&amp;TEXT(D144,"dd-mm-yyyy")&amp;" | ₹"&amp;TEXT(M144,"#,##0"))</f>
      </c>
      <c r="T144" s="7">
        <f>IF($C144="","",SUMIFS('Q1 Data'!$L$4:$L$207,'Q1 Data'!$B$4:$B$207,$S144)+SUMIFS('Q1 Data'!$O$4:$O$207,'Q1 Data'!$B$4:$B$207,$S144)+SUMIFS('Q1 Data'!$M$4:$M$207,'Q1 Data'!$B$4:$B$207,$S144))</f>
      </c>
      <c r="U144" s="7">
        <f>IF($C144="","",SUMIFS('Q2 Data'!$L$4:$L$207,'Q2 Data'!$B$4:$B$207,$S144)+SUMIFS('Q2 Data'!$O$4:$O$207,'Q2 Data'!$B$4:$B$207,$S144)+SUMIFS('Q2 Data'!$M$4:$M$207,'Q2 Data'!$B$4:$B$207,$S144))</f>
      </c>
      <c r="V144" s="7">
        <f>IF($C144="","",SUMIFS('Q3 Data'!$L$4:$L$207,'Q3 Data'!$B$4:$B$207,$S144)+SUMIFS('Q3 Data'!$O$4:$O$207,'Q3 Data'!$B$4:$B$207,$S144)+SUMIFS('Q3 Data'!$M$4:$M$207,'Q3 Data'!$B$4:$B$207,$S144))</f>
      </c>
      <c r="W144" s="7">
        <f>IF($C144="","",SUMIFS('Q4 Data'!$L$4:$L$207,'Q4 Data'!$B$4:$B$207,$S144)+SUMIFS('Q4 Data'!$O$4:$O$207,'Q4 Data'!$B$4:$B$207,$S144)+SUMIFS('Q4 Data'!$M$4:$M$207,'Q4 Data'!$B$4:$B$207,$S144))</f>
      </c>
      <c r="X144" s="7">
        <f>IF($C144="","",T144+U144+V144+W144)</f>
      </c>
      <c r="Y144" s="7">
        <f>IF($C144="","",M144-L144)</f>
      </c>
      <c r="Z144" s="7">
        <f>IF($C144="","",Y144-X144)</f>
      </c>
      <c r="AA144" s="7">
        <f>IF($C144="","",IF(ROUND(X144-Y144,2)&gt;0,"Over-applied",IF(ROUND(X144-Y144,2)=0,"Fully Utilised","Unconsumed")))</f>
      </c>
    </row>
    <row r="145" spans="1:27" x14ac:dyDescent="0.25">
      <c r="A145" s="7">
        <f>IF($C145="","",COUNTIF($C$4:$C145,"&lt;&gt;"))</f>
      </c>
      <c r="B145" s="8"/>
      <c r="C145" s="8"/>
      <c r="D145" s="8"/>
      <c r="E145" s="8"/>
      <c r="F145" s="8"/>
      <c r="G145" s="8"/>
      <c r="H145" s="8"/>
      <c r="I145" s="8"/>
      <c r="J145" s="8"/>
      <c r="K145" s="8"/>
      <c r="L145" s="8"/>
      <c r="M145" s="7">
        <f>IF($C145="","",G145+H145+I145+J145+K145+L145)</f>
      </c>
      <c r="N145" s="8"/>
      <c r="O145" s="8"/>
      <c r="P145" s="8"/>
      <c r="Q145" s="8"/>
      <c r="R145" s="8"/>
      <c r="S145" s="7">
        <f>IF($C145="","",C145&amp;" | BSR "&amp;B145&amp;" | "&amp;TEXT(D145,"dd-mm-yyyy")&amp;" | ₹"&amp;TEXT(M145,"#,##0"))</f>
      </c>
      <c r="T145" s="7">
        <f>IF($C145="","",SUMIFS('Q1 Data'!$L$4:$L$207,'Q1 Data'!$B$4:$B$207,$S145)+SUMIFS('Q1 Data'!$O$4:$O$207,'Q1 Data'!$B$4:$B$207,$S145)+SUMIFS('Q1 Data'!$M$4:$M$207,'Q1 Data'!$B$4:$B$207,$S145))</f>
      </c>
      <c r="U145" s="7">
        <f>IF($C145="","",SUMIFS('Q2 Data'!$L$4:$L$207,'Q2 Data'!$B$4:$B$207,$S145)+SUMIFS('Q2 Data'!$O$4:$O$207,'Q2 Data'!$B$4:$B$207,$S145)+SUMIFS('Q2 Data'!$M$4:$M$207,'Q2 Data'!$B$4:$B$207,$S145))</f>
      </c>
      <c r="V145" s="7">
        <f>IF($C145="","",SUMIFS('Q3 Data'!$L$4:$L$207,'Q3 Data'!$B$4:$B$207,$S145)+SUMIFS('Q3 Data'!$O$4:$O$207,'Q3 Data'!$B$4:$B$207,$S145)+SUMIFS('Q3 Data'!$M$4:$M$207,'Q3 Data'!$B$4:$B$207,$S145))</f>
      </c>
      <c r="W145" s="7">
        <f>IF($C145="","",SUMIFS('Q4 Data'!$L$4:$L$207,'Q4 Data'!$B$4:$B$207,$S145)+SUMIFS('Q4 Data'!$O$4:$O$207,'Q4 Data'!$B$4:$B$207,$S145)+SUMIFS('Q4 Data'!$M$4:$M$207,'Q4 Data'!$B$4:$B$207,$S145))</f>
      </c>
      <c r="X145" s="7">
        <f>IF($C145="","",T145+U145+V145+W145)</f>
      </c>
      <c r="Y145" s="7">
        <f>IF($C145="","",M145-L145)</f>
      </c>
      <c r="Z145" s="7">
        <f>IF($C145="","",Y145-X145)</f>
      </c>
      <c r="AA145" s="7">
        <f>IF($C145="","",IF(ROUND(X145-Y145,2)&gt;0,"Over-applied",IF(ROUND(X145-Y145,2)=0,"Fully Utilised","Unconsumed")))</f>
      </c>
    </row>
    <row r="146" spans="1:27" x14ac:dyDescent="0.25">
      <c r="A146" s="7">
        <f>IF($C146="","",COUNTIF($C$4:$C146,"&lt;&gt;"))</f>
      </c>
      <c r="B146" s="8"/>
      <c r="C146" s="8"/>
      <c r="D146" s="8"/>
      <c r="E146" s="8"/>
      <c r="F146" s="8"/>
      <c r="G146" s="8"/>
      <c r="H146" s="8"/>
      <c r="I146" s="8"/>
      <c r="J146" s="8"/>
      <c r="K146" s="8"/>
      <c r="L146" s="8"/>
      <c r="M146" s="7">
        <f>IF($C146="","",G146+H146+I146+J146+K146+L146)</f>
      </c>
      <c r="N146" s="8"/>
      <c r="O146" s="8"/>
      <c r="P146" s="8"/>
      <c r="Q146" s="8"/>
      <c r="R146" s="8"/>
      <c r="S146" s="7">
        <f>IF($C146="","",C146&amp;" | BSR "&amp;B146&amp;" | "&amp;TEXT(D146,"dd-mm-yyyy")&amp;" | ₹"&amp;TEXT(M146,"#,##0"))</f>
      </c>
      <c r="T146" s="7">
        <f>IF($C146="","",SUMIFS('Q1 Data'!$L$4:$L$207,'Q1 Data'!$B$4:$B$207,$S146)+SUMIFS('Q1 Data'!$O$4:$O$207,'Q1 Data'!$B$4:$B$207,$S146)+SUMIFS('Q1 Data'!$M$4:$M$207,'Q1 Data'!$B$4:$B$207,$S146))</f>
      </c>
      <c r="U146" s="7">
        <f>IF($C146="","",SUMIFS('Q2 Data'!$L$4:$L$207,'Q2 Data'!$B$4:$B$207,$S146)+SUMIFS('Q2 Data'!$O$4:$O$207,'Q2 Data'!$B$4:$B$207,$S146)+SUMIFS('Q2 Data'!$M$4:$M$207,'Q2 Data'!$B$4:$B$207,$S146))</f>
      </c>
      <c r="V146" s="7">
        <f>IF($C146="","",SUMIFS('Q3 Data'!$L$4:$L$207,'Q3 Data'!$B$4:$B$207,$S146)+SUMIFS('Q3 Data'!$O$4:$O$207,'Q3 Data'!$B$4:$B$207,$S146)+SUMIFS('Q3 Data'!$M$4:$M$207,'Q3 Data'!$B$4:$B$207,$S146))</f>
      </c>
      <c r="W146" s="7">
        <f>IF($C146="","",SUMIFS('Q4 Data'!$L$4:$L$207,'Q4 Data'!$B$4:$B$207,$S146)+SUMIFS('Q4 Data'!$O$4:$O$207,'Q4 Data'!$B$4:$B$207,$S146)+SUMIFS('Q4 Data'!$M$4:$M$207,'Q4 Data'!$B$4:$B$207,$S146))</f>
      </c>
      <c r="X146" s="7">
        <f>IF($C146="","",T146+U146+V146+W146)</f>
      </c>
      <c r="Y146" s="7">
        <f>IF($C146="","",M146-L146)</f>
      </c>
      <c r="Z146" s="7">
        <f>IF($C146="","",Y146-X146)</f>
      </c>
      <c r="AA146" s="7">
        <f>IF($C146="","",IF(ROUND(X146-Y146,2)&gt;0,"Over-applied",IF(ROUND(X146-Y146,2)=0,"Fully Utilised","Unconsumed")))</f>
      </c>
    </row>
    <row r="147" spans="1:27" x14ac:dyDescent="0.25">
      <c r="A147" s="7">
        <f>IF($C147="","",COUNTIF($C$4:$C147,"&lt;&gt;"))</f>
      </c>
      <c r="B147" s="8"/>
      <c r="C147" s="8"/>
      <c r="D147" s="8"/>
      <c r="E147" s="8"/>
      <c r="F147" s="8"/>
      <c r="G147" s="8"/>
      <c r="H147" s="8"/>
      <c r="I147" s="8"/>
      <c r="J147" s="8"/>
      <c r="K147" s="8"/>
      <c r="L147" s="8"/>
      <c r="M147" s="7">
        <f>IF($C147="","",G147+H147+I147+J147+K147+L147)</f>
      </c>
      <c r="N147" s="8"/>
      <c r="O147" s="8"/>
      <c r="P147" s="8"/>
      <c r="Q147" s="8"/>
      <c r="R147" s="8"/>
      <c r="S147" s="7">
        <f>IF($C147="","",C147&amp;" | BSR "&amp;B147&amp;" | "&amp;TEXT(D147,"dd-mm-yyyy")&amp;" | ₹"&amp;TEXT(M147,"#,##0"))</f>
      </c>
      <c r="T147" s="7">
        <f>IF($C147="","",SUMIFS('Q1 Data'!$L$4:$L$207,'Q1 Data'!$B$4:$B$207,$S147)+SUMIFS('Q1 Data'!$O$4:$O$207,'Q1 Data'!$B$4:$B$207,$S147)+SUMIFS('Q1 Data'!$M$4:$M$207,'Q1 Data'!$B$4:$B$207,$S147))</f>
      </c>
      <c r="U147" s="7">
        <f>IF($C147="","",SUMIFS('Q2 Data'!$L$4:$L$207,'Q2 Data'!$B$4:$B$207,$S147)+SUMIFS('Q2 Data'!$O$4:$O$207,'Q2 Data'!$B$4:$B$207,$S147)+SUMIFS('Q2 Data'!$M$4:$M$207,'Q2 Data'!$B$4:$B$207,$S147))</f>
      </c>
      <c r="V147" s="7">
        <f>IF($C147="","",SUMIFS('Q3 Data'!$L$4:$L$207,'Q3 Data'!$B$4:$B$207,$S147)+SUMIFS('Q3 Data'!$O$4:$O$207,'Q3 Data'!$B$4:$B$207,$S147)+SUMIFS('Q3 Data'!$M$4:$M$207,'Q3 Data'!$B$4:$B$207,$S147))</f>
      </c>
      <c r="W147" s="7">
        <f>IF($C147="","",SUMIFS('Q4 Data'!$L$4:$L$207,'Q4 Data'!$B$4:$B$207,$S147)+SUMIFS('Q4 Data'!$O$4:$O$207,'Q4 Data'!$B$4:$B$207,$S147)+SUMIFS('Q4 Data'!$M$4:$M$207,'Q4 Data'!$B$4:$B$207,$S147))</f>
      </c>
      <c r="X147" s="7">
        <f>IF($C147="","",T147+U147+V147+W147)</f>
      </c>
      <c r="Y147" s="7">
        <f>IF($C147="","",M147-L147)</f>
      </c>
      <c r="Z147" s="7">
        <f>IF($C147="","",Y147-X147)</f>
      </c>
      <c r="AA147" s="7">
        <f>IF($C147="","",IF(ROUND(X147-Y147,2)&gt;0,"Over-applied",IF(ROUND(X147-Y147,2)=0,"Fully Utilised","Unconsumed")))</f>
      </c>
    </row>
    <row r="148" spans="1:27" x14ac:dyDescent="0.25">
      <c r="A148" s="7">
        <f>IF($C148="","",COUNTIF($C$4:$C148,"&lt;&gt;"))</f>
      </c>
      <c r="B148" s="8"/>
      <c r="C148" s="8"/>
      <c r="D148" s="8"/>
      <c r="E148" s="8"/>
      <c r="F148" s="8"/>
      <c r="G148" s="8"/>
      <c r="H148" s="8"/>
      <c r="I148" s="8"/>
      <c r="J148" s="8"/>
      <c r="K148" s="8"/>
      <c r="L148" s="8"/>
      <c r="M148" s="7">
        <f>IF($C148="","",G148+H148+I148+J148+K148+L148)</f>
      </c>
      <c r="N148" s="8"/>
      <c r="O148" s="8"/>
      <c r="P148" s="8"/>
      <c r="Q148" s="8"/>
      <c r="R148" s="8"/>
      <c r="S148" s="7">
        <f>IF($C148="","",C148&amp;" | BSR "&amp;B148&amp;" | "&amp;TEXT(D148,"dd-mm-yyyy")&amp;" | ₹"&amp;TEXT(M148,"#,##0"))</f>
      </c>
      <c r="T148" s="7">
        <f>IF($C148="","",SUMIFS('Q1 Data'!$L$4:$L$207,'Q1 Data'!$B$4:$B$207,$S148)+SUMIFS('Q1 Data'!$O$4:$O$207,'Q1 Data'!$B$4:$B$207,$S148)+SUMIFS('Q1 Data'!$M$4:$M$207,'Q1 Data'!$B$4:$B$207,$S148))</f>
      </c>
      <c r="U148" s="7">
        <f>IF($C148="","",SUMIFS('Q2 Data'!$L$4:$L$207,'Q2 Data'!$B$4:$B$207,$S148)+SUMIFS('Q2 Data'!$O$4:$O$207,'Q2 Data'!$B$4:$B$207,$S148)+SUMIFS('Q2 Data'!$M$4:$M$207,'Q2 Data'!$B$4:$B$207,$S148))</f>
      </c>
      <c r="V148" s="7">
        <f>IF($C148="","",SUMIFS('Q3 Data'!$L$4:$L$207,'Q3 Data'!$B$4:$B$207,$S148)+SUMIFS('Q3 Data'!$O$4:$O$207,'Q3 Data'!$B$4:$B$207,$S148)+SUMIFS('Q3 Data'!$M$4:$M$207,'Q3 Data'!$B$4:$B$207,$S148))</f>
      </c>
      <c r="W148" s="7">
        <f>IF($C148="","",SUMIFS('Q4 Data'!$L$4:$L$207,'Q4 Data'!$B$4:$B$207,$S148)+SUMIFS('Q4 Data'!$O$4:$O$207,'Q4 Data'!$B$4:$B$207,$S148)+SUMIFS('Q4 Data'!$M$4:$M$207,'Q4 Data'!$B$4:$B$207,$S148))</f>
      </c>
      <c r="X148" s="7">
        <f>IF($C148="","",T148+U148+V148+W148)</f>
      </c>
      <c r="Y148" s="7">
        <f>IF($C148="","",M148-L148)</f>
      </c>
      <c r="Z148" s="7">
        <f>IF($C148="","",Y148-X148)</f>
      </c>
      <c r="AA148" s="7">
        <f>IF($C148="","",IF(ROUND(X148-Y148,2)&gt;0,"Over-applied",IF(ROUND(X148-Y148,2)=0,"Fully Utilised","Unconsumed")))</f>
      </c>
    </row>
    <row r="149" spans="1:27" x14ac:dyDescent="0.25">
      <c r="A149" s="7">
        <f>IF($C149="","",COUNTIF($C$4:$C149,"&lt;&gt;"))</f>
      </c>
      <c r="B149" s="8"/>
      <c r="C149" s="8"/>
      <c r="D149" s="8"/>
      <c r="E149" s="8"/>
      <c r="F149" s="8"/>
      <c r="G149" s="8"/>
      <c r="H149" s="8"/>
      <c r="I149" s="8"/>
      <c r="J149" s="8"/>
      <c r="K149" s="8"/>
      <c r="L149" s="8"/>
      <c r="M149" s="7">
        <f>IF($C149="","",G149+H149+I149+J149+K149+L149)</f>
      </c>
      <c r="N149" s="8"/>
      <c r="O149" s="8"/>
      <c r="P149" s="8"/>
      <c r="Q149" s="8"/>
      <c r="R149" s="8"/>
      <c r="S149" s="7">
        <f>IF($C149="","",C149&amp;" | BSR "&amp;B149&amp;" | "&amp;TEXT(D149,"dd-mm-yyyy")&amp;" | ₹"&amp;TEXT(M149,"#,##0"))</f>
      </c>
      <c r="T149" s="7">
        <f>IF($C149="","",SUMIFS('Q1 Data'!$L$4:$L$207,'Q1 Data'!$B$4:$B$207,$S149)+SUMIFS('Q1 Data'!$O$4:$O$207,'Q1 Data'!$B$4:$B$207,$S149)+SUMIFS('Q1 Data'!$M$4:$M$207,'Q1 Data'!$B$4:$B$207,$S149))</f>
      </c>
      <c r="U149" s="7">
        <f>IF($C149="","",SUMIFS('Q2 Data'!$L$4:$L$207,'Q2 Data'!$B$4:$B$207,$S149)+SUMIFS('Q2 Data'!$O$4:$O$207,'Q2 Data'!$B$4:$B$207,$S149)+SUMIFS('Q2 Data'!$M$4:$M$207,'Q2 Data'!$B$4:$B$207,$S149))</f>
      </c>
      <c r="V149" s="7">
        <f>IF($C149="","",SUMIFS('Q3 Data'!$L$4:$L$207,'Q3 Data'!$B$4:$B$207,$S149)+SUMIFS('Q3 Data'!$O$4:$O$207,'Q3 Data'!$B$4:$B$207,$S149)+SUMIFS('Q3 Data'!$M$4:$M$207,'Q3 Data'!$B$4:$B$207,$S149))</f>
      </c>
      <c r="W149" s="7">
        <f>IF($C149="","",SUMIFS('Q4 Data'!$L$4:$L$207,'Q4 Data'!$B$4:$B$207,$S149)+SUMIFS('Q4 Data'!$O$4:$O$207,'Q4 Data'!$B$4:$B$207,$S149)+SUMIFS('Q4 Data'!$M$4:$M$207,'Q4 Data'!$B$4:$B$207,$S149))</f>
      </c>
      <c r="X149" s="7">
        <f>IF($C149="","",T149+U149+V149+W149)</f>
      </c>
      <c r="Y149" s="7">
        <f>IF($C149="","",M149-L149)</f>
      </c>
      <c r="Z149" s="7">
        <f>IF($C149="","",Y149-X149)</f>
      </c>
      <c r="AA149" s="7">
        <f>IF($C149="","",IF(ROUND(X149-Y149,2)&gt;0,"Over-applied",IF(ROUND(X149-Y149,2)=0,"Fully Utilised","Unconsumed")))</f>
      </c>
    </row>
    <row r="150" spans="1:27" x14ac:dyDescent="0.25">
      <c r="A150" s="7">
        <f>IF($C150="","",COUNTIF($C$4:$C150,"&lt;&gt;"))</f>
      </c>
      <c r="B150" s="8"/>
      <c r="C150" s="8"/>
      <c r="D150" s="8"/>
      <c r="E150" s="8"/>
      <c r="F150" s="8"/>
      <c r="G150" s="8"/>
      <c r="H150" s="8"/>
      <c r="I150" s="8"/>
      <c r="J150" s="8"/>
      <c r="K150" s="8"/>
      <c r="L150" s="8"/>
      <c r="M150" s="7">
        <f>IF($C150="","",G150+H150+I150+J150+K150+L150)</f>
      </c>
      <c r="N150" s="8"/>
      <c r="O150" s="8"/>
      <c r="P150" s="8"/>
      <c r="Q150" s="8"/>
      <c r="R150" s="8"/>
      <c r="S150" s="7">
        <f>IF($C150="","",C150&amp;" | BSR "&amp;B150&amp;" | "&amp;TEXT(D150,"dd-mm-yyyy")&amp;" | ₹"&amp;TEXT(M150,"#,##0"))</f>
      </c>
      <c r="T150" s="7">
        <f>IF($C150="","",SUMIFS('Q1 Data'!$L$4:$L$207,'Q1 Data'!$B$4:$B$207,$S150)+SUMIFS('Q1 Data'!$O$4:$O$207,'Q1 Data'!$B$4:$B$207,$S150)+SUMIFS('Q1 Data'!$M$4:$M$207,'Q1 Data'!$B$4:$B$207,$S150))</f>
      </c>
      <c r="U150" s="7">
        <f>IF($C150="","",SUMIFS('Q2 Data'!$L$4:$L$207,'Q2 Data'!$B$4:$B$207,$S150)+SUMIFS('Q2 Data'!$O$4:$O$207,'Q2 Data'!$B$4:$B$207,$S150)+SUMIFS('Q2 Data'!$M$4:$M$207,'Q2 Data'!$B$4:$B$207,$S150))</f>
      </c>
      <c r="V150" s="7">
        <f>IF($C150="","",SUMIFS('Q3 Data'!$L$4:$L$207,'Q3 Data'!$B$4:$B$207,$S150)+SUMIFS('Q3 Data'!$O$4:$O$207,'Q3 Data'!$B$4:$B$207,$S150)+SUMIFS('Q3 Data'!$M$4:$M$207,'Q3 Data'!$B$4:$B$207,$S150))</f>
      </c>
      <c r="W150" s="7">
        <f>IF($C150="","",SUMIFS('Q4 Data'!$L$4:$L$207,'Q4 Data'!$B$4:$B$207,$S150)+SUMIFS('Q4 Data'!$O$4:$O$207,'Q4 Data'!$B$4:$B$207,$S150)+SUMIFS('Q4 Data'!$M$4:$M$207,'Q4 Data'!$B$4:$B$207,$S150))</f>
      </c>
      <c r="X150" s="7">
        <f>IF($C150="","",T150+U150+V150+W150)</f>
      </c>
      <c r="Y150" s="7">
        <f>IF($C150="","",M150-L150)</f>
      </c>
      <c r="Z150" s="7">
        <f>IF($C150="","",Y150-X150)</f>
      </c>
      <c r="AA150" s="7">
        <f>IF($C150="","",IF(ROUND(X150-Y150,2)&gt;0,"Over-applied",IF(ROUND(X150-Y150,2)=0,"Fully Utilised","Unconsumed")))</f>
      </c>
    </row>
    <row r="151" spans="1:27" x14ac:dyDescent="0.25">
      <c r="A151" s="7">
        <f>IF($C151="","",COUNTIF($C$4:$C151,"&lt;&gt;"))</f>
      </c>
      <c r="B151" s="8"/>
      <c r="C151" s="8"/>
      <c r="D151" s="8"/>
      <c r="E151" s="8"/>
      <c r="F151" s="8"/>
      <c r="G151" s="8"/>
      <c r="H151" s="8"/>
      <c r="I151" s="8"/>
      <c r="J151" s="8"/>
      <c r="K151" s="8"/>
      <c r="L151" s="8"/>
      <c r="M151" s="7">
        <f>IF($C151="","",G151+H151+I151+J151+K151+L151)</f>
      </c>
      <c r="N151" s="8"/>
      <c r="O151" s="8"/>
      <c r="P151" s="8"/>
      <c r="Q151" s="8"/>
      <c r="R151" s="8"/>
      <c r="S151" s="7">
        <f>IF($C151="","",C151&amp;" | BSR "&amp;B151&amp;" | "&amp;TEXT(D151,"dd-mm-yyyy")&amp;" | ₹"&amp;TEXT(M151,"#,##0"))</f>
      </c>
      <c r="T151" s="7">
        <f>IF($C151="","",SUMIFS('Q1 Data'!$L$4:$L$207,'Q1 Data'!$B$4:$B$207,$S151)+SUMIFS('Q1 Data'!$O$4:$O$207,'Q1 Data'!$B$4:$B$207,$S151)+SUMIFS('Q1 Data'!$M$4:$M$207,'Q1 Data'!$B$4:$B$207,$S151))</f>
      </c>
      <c r="U151" s="7">
        <f>IF($C151="","",SUMIFS('Q2 Data'!$L$4:$L$207,'Q2 Data'!$B$4:$B$207,$S151)+SUMIFS('Q2 Data'!$O$4:$O$207,'Q2 Data'!$B$4:$B$207,$S151)+SUMIFS('Q2 Data'!$M$4:$M$207,'Q2 Data'!$B$4:$B$207,$S151))</f>
      </c>
      <c r="V151" s="7">
        <f>IF($C151="","",SUMIFS('Q3 Data'!$L$4:$L$207,'Q3 Data'!$B$4:$B$207,$S151)+SUMIFS('Q3 Data'!$O$4:$O$207,'Q3 Data'!$B$4:$B$207,$S151)+SUMIFS('Q3 Data'!$M$4:$M$207,'Q3 Data'!$B$4:$B$207,$S151))</f>
      </c>
      <c r="W151" s="7">
        <f>IF($C151="","",SUMIFS('Q4 Data'!$L$4:$L$207,'Q4 Data'!$B$4:$B$207,$S151)+SUMIFS('Q4 Data'!$O$4:$O$207,'Q4 Data'!$B$4:$B$207,$S151)+SUMIFS('Q4 Data'!$M$4:$M$207,'Q4 Data'!$B$4:$B$207,$S151))</f>
      </c>
      <c r="X151" s="7">
        <f>IF($C151="","",T151+U151+V151+W151)</f>
      </c>
      <c r="Y151" s="7">
        <f>IF($C151="","",M151-L151)</f>
      </c>
      <c r="Z151" s="7">
        <f>IF($C151="","",Y151-X151)</f>
      </c>
      <c r="AA151" s="7">
        <f>IF($C151="","",IF(ROUND(X151-Y151,2)&gt;0,"Over-applied",IF(ROUND(X151-Y151,2)=0,"Fully Utilised","Unconsumed")))</f>
      </c>
    </row>
    <row r="152" spans="1:27" x14ac:dyDescent="0.25">
      <c r="A152" s="7">
        <f>IF($C152="","",COUNTIF($C$4:$C152,"&lt;&gt;"))</f>
      </c>
      <c r="B152" s="8"/>
      <c r="C152" s="8"/>
      <c r="D152" s="8"/>
      <c r="E152" s="8"/>
      <c r="F152" s="8"/>
      <c r="G152" s="8"/>
      <c r="H152" s="8"/>
      <c r="I152" s="8"/>
      <c r="J152" s="8"/>
      <c r="K152" s="8"/>
      <c r="L152" s="8"/>
      <c r="M152" s="7">
        <f>IF($C152="","",G152+H152+I152+J152+K152+L152)</f>
      </c>
      <c r="N152" s="8"/>
      <c r="O152" s="8"/>
      <c r="P152" s="8"/>
      <c r="Q152" s="8"/>
      <c r="R152" s="8"/>
      <c r="S152" s="7">
        <f>IF($C152="","",C152&amp;" | BSR "&amp;B152&amp;" | "&amp;TEXT(D152,"dd-mm-yyyy")&amp;" | ₹"&amp;TEXT(M152,"#,##0"))</f>
      </c>
      <c r="T152" s="7">
        <f>IF($C152="","",SUMIFS('Q1 Data'!$L$4:$L$207,'Q1 Data'!$B$4:$B$207,$S152)+SUMIFS('Q1 Data'!$O$4:$O$207,'Q1 Data'!$B$4:$B$207,$S152)+SUMIFS('Q1 Data'!$M$4:$M$207,'Q1 Data'!$B$4:$B$207,$S152))</f>
      </c>
      <c r="U152" s="7">
        <f>IF($C152="","",SUMIFS('Q2 Data'!$L$4:$L$207,'Q2 Data'!$B$4:$B$207,$S152)+SUMIFS('Q2 Data'!$O$4:$O$207,'Q2 Data'!$B$4:$B$207,$S152)+SUMIFS('Q2 Data'!$M$4:$M$207,'Q2 Data'!$B$4:$B$207,$S152))</f>
      </c>
      <c r="V152" s="7">
        <f>IF($C152="","",SUMIFS('Q3 Data'!$L$4:$L$207,'Q3 Data'!$B$4:$B$207,$S152)+SUMIFS('Q3 Data'!$O$4:$O$207,'Q3 Data'!$B$4:$B$207,$S152)+SUMIFS('Q3 Data'!$M$4:$M$207,'Q3 Data'!$B$4:$B$207,$S152))</f>
      </c>
      <c r="W152" s="7">
        <f>IF($C152="","",SUMIFS('Q4 Data'!$L$4:$L$207,'Q4 Data'!$B$4:$B$207,$S152)+SUMIFS('Q4 Data'!$O$4:$O$207,'Q4 Data'!$B$4:$B$207,$S152)+SUMIFS('Q4 Data'!$M$4:$M$207,'Q4 Data'!$B$4:$B$207,$S152))</f>
      </c>
      <c r="X152" s="7">
        <f>IF($C152="","",T152+U152+V152+W152)</f>
      </c>
      <c r="Y152" s="7">
        <f>IF($C152="","",M152-L152)</f>
      </c>
      <c r="Z152" s="7">
        <f>IF($C152="","",Y152-X152)</f>
      </c>
      <c r="AA152" s="7">
        <f>IF($C152="","",IF(ROUND(X152-Y152,2)&gt;0,"Over-applied",IF(ROUND(X152-Y152,2)=0,"Fully Utilised","Unconsumed")))</f>
      </c>
    </row>
    <row r="153" spans="1:27" x14ac:dyDescent="0.25">
      <c r="A153" s="7">
        <f>IF($C153="","",COUNTIF($C$4:$C153,"&lt;&gt;"))</f>
      </c>
      <c r="B153" s="8"/>
      <c r="C153" s="8"/>
      <c r="D153" s="8"/>
      <c r="E153" s="8"/>
      <c r="F153" s="8"/>
      <c r="G153" s="8"/>
      <c r="H153" s="8"/>
      <c r="I153" s="8"/>
      <c r="J153" s="8"/>
      <c r="K153" s="8"/>
      <c r="L153" s="8"/>
      <c r="M153" s="7">
        <f>IF($C153="","",G153+H153+I153+J153+K153+L153)</f>
      </c>
      <c r="N153" s="8"/>
      <c r="O153" s="8"/>
      <c r="P153" s="8"/>
      <c r="Q153" s="8"/>
      <c r="R153" s="8"/>
      <c r="S153" s="7">
        <f>IF($C153="","",C153&amp;" | BSR "&amp;B153&amp;" | "&amp;TEXT(D153,"dd-mm-yyyy")&amp;" | ₹"&amp;TEXT(M153,"#,##0"))</f>
      </c>
      <c r="T153" s="7">
        <f>IF($C153="","",SUMIFS('Q1 Data'!$L$4:$L$207,'Q1 Data'!$B$4:$B$207,$S153)+SUMIFS('Q1 Data'!$O$4:$O$207,'Q1 Data'!$B$4:$B$207,$S153)+SUMIFS('Q1 Data'!$M$4:$M$207,'Q1 Data'!$B$4:$B$207,$S153))</f>
      </c>
      <c r="U153" s="7">
        <f>IF($C153="","",SUMIFS('Q2 Data'!$L$4:$L$207,'Q2 Data'!$B$4:$B$207,$S153)+SUMIFS('Q2 Data'!$O$4:$O$207,'Q2 Data'!$B$4:$B$207,$S153)+SUMIFS('Q2 Data'!$M$4:$M$207,'Q2 Data'!$B$4:$B$207,$S153))</f>
      </c>
      <c r="V153" s="7">
        <f>IF($C153="","",SUMIFS('Q3 Data'!$L$4:$L$207,'Q3 Data'!$B$4:$B$207,$S153)+SUMIFS('Q3 Data'!$O$4:$O$207,'Q3 Data'!$B$4:$B$207,$S153)+SUMIFS('Q3 Data'!$M$4:$M$207,'Q3 Data'!$B$4:$B$207,$S153))</f>
      </c>
      <c r="W153" s="7">
        <f>IF($C153="","",SUMIFS('Q4 Data'!$L$4:$L$207,'Q4 Data'!$B$4:$B$207,$S153)+SUMIFS('Q4 Data'!$O$4:$O$207,'Q4 Data'!$B$4:$B$207,$S153)+SUMIFS('Q4 Data'!$M$4:$M$207,'Q4 Data'!$B$4:$B$207,$S153))</f>
      </c>
      <c r="X153" s="7">
        <f>IF($C153="","",T153+U153+V153+W153)</f>
      </c>
      <c r="Y153" s="7">
        <f>IF($C153="","",M153-L153)</f>
      </c>
      <c r="Z153" s="7">
        <f>IF($C153="","",Y153-X153)</f>
      </c>
      <c r="AA153" s="7">
        <f>IF($C153="","",IF(ROUND(X153-Y153,2)&gt;0,"Over-applied",IF(ROUND(X153-Y153,2)=0,"Fully Utilised","Unconsumed")))</f>
      </c>
    </row>
    <row r="154" spans="1:27" x14ac:dyDescent="0.25">
      <c r="A154" s="7">
        <f>IF($C154="","",COUNTIF($C$4:$C154,"&lt;&gt;"))</f>
      </c>
      <c r="B154" s="8"/>
      <c r="C154" s="8"/>
      <c r="D154" s="8"/>
      <c r="E154" s="8"/>
      <c r="F154" s="8"/>
      <c r="G154" s="8"/>
      <c r="H154" s="8"/>
      <c r="I154" s="8"/>
      <c r="J154" s="8"/>
      <c r="K154" s="8"/>
      <c r="L154" s="8"/>
      <c r="M154" s="7">
        <f>IF($C154="","",G154+H154+I154+J154+K154+L154)</f>
      </c>
      <c r="N154" s="8"/>
      <c r="O154" s="8"/>
      <c r="P154" s="8"/>
      <c r="Q154" s="8"/>
      <c r="R154" s="8"/>
      <c r="S154" s="7">
        <f>IF($C154="","",C154&amp;" | BSR "&amp;B154&amp;" | "&amp;TEXT(D154,"dd-mm-yyyy")&amp;" | ₹"&amp;TEXT(M154,"#,##0"))</f>
      </c>
      <c r="T154" s="7">
        <f>IF($C154="","",SUMIFS('Q1 Data'!$L$4:$L$207,'Q1 Data'!$B$4:$B$207,$S154)+SUMIFS('Q1 Data'!$O$4:$O$207,'Q1 Data'!$B$4:$B$207,$S154)+SUMIFS('Q1 Data'!$M$4:$M$207,'Q1 Data'!$B$4:$B$207,$S154))</f>
      </c>
      <c r="U154" s="7">
        <f>IF($C154="","",SUMIFS('Q2 Data'!$L$4:$L$207,'Q2 Data'!$B$4:$B$207,$S154)+SUMIFS('Q2 Data'!$O$4:$O$207,'Q2 Data'!$B$4:$B$207,$S154)+SUMIFS('Q2 Data'!$M$4:$M$207,'Q2 Data'!$B$4:$B$207,$S154))</f>
      </c>
      <c r="V154" s="7">
        <f>IF($C154="","",SUMIFS('Q3 Data'!$L$4:$L$207,'Q3 Data'!$B$4:$B$207,$S154)+SUMIFS('Q3 Data'!$O$4:$O$207,'Q3 Data'!$B$4:$B$207,$S154)+SUMIFS('Q3 Data'!$M$4:$M$207,'Q3 Data'!$B$4:$B$207,$S154))</f>
      </c>
      <c r="W154" s="7">
        <f>IF($C154="","",SUMIFS('Q4 Data'!$L$4:$L$207,'Q4 Data'!$B$4:$B$207,$S154)+SUMIFS('Q4 Data'!$O$4:$O$207,'Q4 Data'!$B$4:$B$207,$S154)+SUMIFS('Q4 Data'!$M$4:$M$207,'Q4 Data'!$B$4:$B$207,$S154))</f>
      </c>
      <c r="X154" s="7">
        <f>IF($C154="","",T154+U154+V154+W154)</f>
      </c>
      <c r="Y154" s="7">
        <f>IF($C154="","",M154-L154)</f>
      </c>
      <c r="Z154" s="7">
        <f>IF($C154="","",Y154-X154)</f>
      </c>
      <c r="AA154" s="7">
        <f>IF($C154="","",IF(ROUND(X154-Y154,2)&gt;0,"Over-applied",IF(ROUND(X154-Y154,2)=0,"Fully Utilised","Unconsumed")))</f>
      </c>
    </row>
    <row r="155" spans="1:27" x14ac:dyDescent="0.25">
      <c r="A155" s="7">
        <f>IF($C155="","",COUNTIF($C$4:$C155,"&lt;&gt;"))</f>
      </c>
      <c r="B155" s="8"/>
      <c r="C155" s="8"/>
      <c r="D155" s="8"/>
      <c r="E155" s="8"/>
      <c r="F155" s="8"/>
      <c r="G155" s="8"/>
      <c r="H155" s="8"/>
      <c r="I155" s="8"/>
      <c r="J155" s="8"/>
      <c r="K155" s="8"/>
      <c r="L155" s="8"/>
      <c r="M155" s="7">
        <f>IF($C155="","",G155+H155+I155+J155+K155+L155)</f>
      </c>
      <c r="N155" s="8"/>
      <c r="O155" s="8"/>
      <c r="P155" s="8"/>
      <c r="Q155" s="8"/>
      <c r="R155" s="8"/>
      <c r="S155" s="7">
        <f>IF($C155="","",C155&amp;" | BSR "&amp;B155&amp;" | "&amp;TEXT(D155,"dd-mm-yyyy")&amp;" | ₹"&amp;TEXT(M155,"#,##0"))</f>
      </c>
      <c r="T155" s="7">
        <f>IF($C155="","",SUMIFS('Q1 Data'!$L$4:$L$207,'Q1 Data'!$B$4:$B$207,$S155)+SUMIFS('Q1 Data'!$O$4:$O$207,'Q1 Data'!$B$4:$B$207,$S155)+SUMIFS('Q1 Data'!$M$4:$M$207,'Q1 Data'!$B$4:$B$207,$S155))</f>
      </c>
      <c r="U155" s="7">
        <f>IF($C155="","",SUMIFS('Q2 Data'!$L$4:$L$207,'Q2 Data'!$B$4:$B$207,$S155)+SUMIFS('Q2 Data'!$O$4:$O$207,'Q2 Data'!$B$4:$B$207,$S155)+SUMIFS('Q2 Data'!$M$4:$M$207,'Q2 Data'!$B$4:$B$207,$S155))</f>
      </c>
      <c r="V155" s="7">
        <f>IF($C155="","",SUMIFS('Q3 Data'!$L$4:$L$207,'Q3 Data'!$B$4:$B$207,$S155)+SUMIFS('Q3 Data'!$O$4:$O$207,'Q3 Data'!$B$4:$B$207,$S155)+SUMIFS('Q3 Data'!$M$4:$M$207,'Q3 Data'!$B$4:$B$207,$S155))</f>
      </c>
      <c r="W155" s="7">
        <f>IF($C155="","",SUMIFS('Q4 Data'!$L$4:$L$207,'Q4 Data'!$B$4:$B$207,$S155)+SUMIFS('Q4 Data'!$O$4:$O$207,'Q4 Data'!$B$4:$B$207,$S155)+SUMIFS('Q4 Data'!$M$4:$M$207,'Q4 Data'!$B$4:$B$207,$S155))</f>
      </c>
      <c r="X155" s="7">
        <f>IF($C155="","",T155+U155+V155+W155)</f>
      </c>
      <c r="Y155" s="7">
        <f>IF($C155="","",M155-L155)</f>
      </c>
      <c r="Z155" s="7">
        <f>IF($C155="","",Y155-X155)</f>
      </c>
      <c r="AA155" s="7">
        <f>IF($C155="","",IF(ROUND(X155-Y155,2)&gt;0,"Over-applied",IF(ROUND(X155-Y155,2)=0,"Fully Utilised","Unconsumed")))</f>
      </c>
    </row>
    <row r="156" spans="1:27" x14ac:dyDescent="0.25">
      <c r="A156" s="7">
        <f>IF($C156="","",COUNTIF($C$4:$C156,"&lt;&gt;"))</f>
      </c>
      <c r="B156" s="8"/>
      <c r="C156" s="8"/>
      <c r="D156" s="8"/>
      <c r="E156" s="8"/>
      <c r="F156" s="8"/>
      <c r="G156" s="8"/>
      <c r="H156" s="8"/>
      <c r="I156" s="8"/>
      <c r="J156" s="8"/>
      <c r="K156" s="8"/>
      <c r="L156" s="8"/>
      <c r="M156" s="7">
        <f>IF($C156="","",G156+H156+I156+J156+K156+L156)</f>
      </c>
      <c r="N156" s="8"/>
      <c r="O156" s="8"/>
      <c r="P156" s="8"/>
      <c r="Q156" s="8"/>
      <c r="R156" s="8"/>
      <c r="S156" s="7">
        <f>IF($C156="","",C156&amp;" | BSR "&amp;B156&amp;" | "&amp;TEXT(D156,"dd-mm-yyyy")&amp;" | ₹"&amp;TEXT(M156,"#,##0"))</f>
      </c>
      <c r="T156" s="7">
        <f>IF($C156="","",SUMIFS('Q1 Data'!$L$4:$L$207,'Q1 Data'!$B$4:$B$207,$S156)+SUMIFS('Q1 Data'!$O$4:$O$207,'Q1 Data'!$B$4:$B$207,$S156)+SUMIFS('Q1 Data'!$M$4:$M$207,'Q1 Data'!$B$4:$B$207,$S156))</f>
      </c>
      <c r="U156" s="7">
        <f>IF($C156="","",SUMIFS('Q2 Data'!$L$4:$L$207,'Q2 Data'!$B$4:$B$207,$S156)+SUMIFS('Q2 Data'!$O$4:$O$207,'Q2 Data'!$B$4:$B$207,$S156)+SUMIFS('Q2 Data'!$M$4:$M$207,'Q2 Data'!$B$4:$B$207,$S156))</f>
      </c>
      <c r="V156" s="7">
        <f>IF($C156="","",SUMIFS('Q3 Data'!$L$4:$L$207,'Q3 Data'!$B$4:$B$207,$S156)+SUMIFS('Q3 Data'!$O$4:$O$207,'Q3 Data'!$B$4:$B$207,$S156)+SUMIFS('Q3 Data'!$M$4:$M$207,'Q3 Data'!$B$4:$B$207,$S156))</f>
      </c>
      <c r="W156" s="7">
        <f>IF($C156="","",SUMIFS('Q4 Data'!$L$4:$L$207,'Q4 Data'!$B$4:$B$207,$S156)+SUMIFS('Q4 Data'!$O$4:$O$207,'Q4 Data'!$B$4:$B$207,$S156)+SUMIFS('Q4 Data'!$M$4:$M$207,'Q4 Data'!$B$4:$B$207,$S156))</f>
      </c>
      <c r="X156" s="7">
        <f>IF($C156="","",T156+U156+V156+W156)</f>
      </c>
      <c r="Y156" s="7">
        <f>IF($C156="","",M156-L156)</f>
      </c>
      <c r="Z156" s="7">
        <f>IF($C156="","",Y156-X156)</f>
      </c>
      <c r="AA156" s="7">
        <f>IF($C156="","",IF(ROUND(X156-Y156,2)&gt;0,"Over-applied",IF(ROUND(X156-Y156,2)=0,"Fully Utilised","Unconsumed")))</f>
      </c>
    </row>
    <row r="157" spans="1:27" x14ac:dyDescent="0.25">
      <c r="A157" s="7">
        <f>IF($C157="","",COUNTIF($C$4:$C157,"&lt;&gt;"))</f>
      </c>
      <c r="B157" s="8"/>
      <c r="C157" s="8"/>
      <c r="D157" s="8"/>
      <c r="E157" s="8"/>
      <c r="F157" s="8"/>
      <c r="G157" s="8"/>
      <c r="H157" s="8"/>
      <c r="I157" s="8"/>
      <c r="J157" s="8"/>
      <c r="K157" s="8"/>
      <c r="L157" s="8"/>
      <c r="M157" s="7">
        <f>IF($C157="","",G157+H157+I157+J157+K157+L157)</f>
      </c>
      <c r="N157" s="8"/>
      <c r="O157" s="8"/>
      <c r="P157" s="8"/>
      <c r="Q157" s="8"/>
      <c r="R157" s="8"/>
      <c r="S157" s="7">
        <f>IF($C157="","",C157&amp;" | BSR "&amp;B157&amp;" | "&amp;TEXT(D157,"dd-mm-yyyy")&amp;" | ₹"&amp;TEXT(M157,"#,##0"))</f>
      </c>
      <c r="T157" s="7">
        <f>IF($C157="","",SUMIFS('Q1 Data'!$L$4:$L$207,'Q1 Data'!$B$4:$B$207,$S157)+SUMIFS('Q1 Data'!$O$4:$O$207,'Q1 Data'!$B$4:$B$207,$S157)+SUMIFS('Q1 Data'!$M$4:$M$207,'Q1 Data'!$B$4:$B$207,$S157))</f>
      </c>
      <c r="U157" s="7">
        <f>IF($C157="","",SUMIFS('Q2 Data'!$L$4:$L$207,'Q2 Data'!$B$4:$B$207,$S157)+SUMIFS('Q2 Data'!$O$4:$O$207,'Q2 Data'!$B$4:$B$207,$S157)+SUMIFS('Q2 Data'!$M$4:$M$207,'Q2 Data'!$B$4:$B$207,$S157))</f>
      </c>
      <c r="V157" s="7">
        <f>IF($C157="","",SUMIFS('Q3 Data'!$L$4:$L$207,'Q3 Data'!$B$4:$B$207,$S157)+SUMIFS('Q3 Data'!$O$4:$O$207,'Q3 Data'!$B$4:$B$207,$S157)+SUMIFS('Q3 Data'!$M$4:$M$207,'Q3 Data'!$B$4:$B$207,$S157))</f>
      </c>
      <c r="W157" s="7">
        <f>IF($C157="","",SUMIFS('Q4 Data'!$L$4:$L$207,'Q4 Data'!$B$4:$B$207,$S157)+SUMIFS('Q4 Data'!$O$4:$O$207,'Q4 Data'!$B$4:$B$207,$S157)+SUMIFS('Q4 Data'!$M$4:$M$207,'Q4 Data'!$B$4:$B$207,$S157))</f>
      </c>
      <c r="X157" s="7">
        <f>IF($C157="","",T157+U157+V157+W157)</f>
      </c>
      <c r="Y157" s="7">
        <f>IF($C157="","",M157-L157)</f>
      </c>
      <c r="Z157" s="7">
        <f>IF($C157="","",Y157-X157)</f>
      </c>
      <c r="AA157" s="7">
        <f>IF($C157="","",IF(ROUND(X157-Y157,2)&gt;0,"Over-applied",IF(ROUND(X157-Y157,2)=0,"Fully Utilised","Unconsumed")))</f>
      </c>
    </row>
    <row r="158" spans="1:27" x14ac:dyDescent="0.25">
      <c r="A158" s="7">
        <f>IF($C158="","",COUNTIF($C$4:$C158,"&lt;&gt;"))</f>
      </c>
      <c r="B158" s="8"/>
      <c r="C158" s="8"/>
      <c r="D158" s="8"/>
      <c r="E158" s="8"/>
      <c r="F158" s="8"/>
      <c r="G158" s="8"/>
      <c r="H158" s="8"/>
      <c r="I158" s="8"/>
      <c r="J158" s="8"/>
      <c r="K158" s="8"/>
      <c r="L158" s="8"/>
      <c r="M158" s="7">
        <f>IF($C158="","",G158+H158+I158+J158+K158+L158)</f>
      </c>
      <c r="N158" s="8"/>
      <c r="O158" s="8"/>
      <c r="P158" s="8"/>
      <c r="Q158" s="8"/>
      <c r="R158" s="8"/>
      <c r="S158" s="7">
        <f>IF($C158="","",C158&amp;" | BSR "&amp;B158&amp;" | "&amp;TEXT(D158,"dd-mm-yyyy")&amp;" | ₹"&amp;TEXT(M158,"#,##0"))</f>
      </c>
      <c r="T158" s="7">
        <f>IF($C158="","",SUMIFS('Q1 Data'!$L$4:$L$207,'Q1 Data'!$B$4:$B$207,$S158)+SUMIFS('Q1 Data'!$O$4:$O$207,'Q1 Data'!$B$4:$B$207,$S158)+SUMIFS('Q1 Data'!$M$4:$M$207,'Q1 Data'!$B$4:$B$207,$S158))</f>
      </c>
      <c r="U158" s="7">
        <f>IF($C158="","",SUMIFS('Q2 Data'!$L$4:$L$207,'Q2 Data'!$B$4:$B$207,$S158)+SUMIFS('Q2 Data'!$O$4:$O$207,'Q2 Data'!$B$4:$B$207,$S158)+SUMIFS('Q2 Data'!$M$4:$M$207,'Q2 Data'!$B$4:$B$207,$S158))</f>
      </c>
      <c r="V158" s="7">
        <f>IF($C158="","",SUMIFS('Q3 Data'!$L$4:$L$207,'Q3 Data'!$B$4:$B$207,$S158)+SUMIFS('Q3 Data'!$O$4:$O$207,'Q3 Data'!$B$4:$B$207,$S158)+SUMIFS('Q3 Data'!$M$4:$M$207,'Q3 Data'!$B$4:$B$207,$S158))</f>
      </c>
      <c r="W158" s="7">
        <f>IF($C158="","",SUMIFS('Q4 Data'!$L$4:$L$207,'Q4 Data'!$B$4:$B$207,$S158)+SUMIFS('Q4 Data'!$O$4:$O$207,'Q4 Data'!$B$4:$B$207,$S158)+SUMIFS('Q4 Data'!$M$4:$M$207,'Q4 Data'!$B$4:$B$207,$S158))</f>
      </c>
      <c r="X158" s="7">
        <f>IF($C158="","",T158+U158+V158+W158)</f>
      </c>
      <c r="Y158" s="7">
        <f>IF($C158="","",M158-L158)</f>
      </c>
      <c r="Z158" s="7">
        <f>IF($C158="","",Y158-X158)</f>
      </c>
      <c r="AA158" s="7">
        <f>IF($C158="","",IF(ROUND(X158-Y158,2)&gt;0,"Over-applied",IF(ROUND(X158-Y158,2)=0,"Fully Utilised","Unconsumed")))</f>
      </c>
    </row>
    <row r="159" spans="1:27" x14ac:dyDescent="0.25">
      <c r="A159" s="7">
        <f>IF($C159="","",COUNTIF($C$4:$C159,"&lt;&gt;"))</f>
      </c>
      <c r="B159" s="8"/>
      <c r="C159" s="8"/>
      <c r="D159" s="8"/>
      <c r="E159" s="8"/>
      <c r="F159" s="8"/>
      <c r="G159" s="8"/>
      <c r="H159" s="8"/>
      <c r="I159" s="8"/>
      <c r="J159" s="8"/>
      <c r="K159" s="8"/>
      <c r="L159" s="8"/>
      <c r="M159" s="7">
        <f>IF($C159="","",G159+H159+I159+J159+K159+L159)</f>
      </c>
      <c r="N159" s="8"/>
      <c r="O159" s="8"/>
      <c r="P159" s="8"/>
      <c r="Q159" s="8"/>
      <c r="R159" s="8"/>
      <c r="S159" s="7">
        <f>IF($C159="","",C159&amp;" | BSR "&amp;B159&amp;" | "&amp;TEXT(D159,"dd-mm-yyyy")&amp;" | ₹"&amp;TEXT(M159,"#,##0"))</f>
      </c>
      <c r="T159" s="7">
        <f>IF($C159="","",SUMIFS('Q1 Data'!$L$4:$L$207,'Q1 Data'!$B$4:$B$207,$S159)+SUMIFS('Q1 Data'!$O$4:$O$207,'Q1 Data'!$B$4:$B$207,$S159)+SUMIFS('Q1 Data'!$M$4:$M$207,'Q1 Data'!$B$4:$B$207,$S159))</f>
      </c>
      <c r="U159" s="7">
        <f>IF($C159="","",SUMIFS('Q2 Data'!$L$4:$L$207,'Q2 Data'!$B$4:$B$207,$S159)+SUMIFS('Q2 Data'!$O$4:$O$207,'Q2 Data'!$B$4:$B$207,$S159)+SUMIFS('Q2 Data'!$M$4:$M$207,'Q2 Data'!$B$4:$B$207,$S159))</f>
      </c>
      <c r="V159" s="7">
        <f>IF($C159="","",SUMIFS('Q3 Data'!$L$4:$L$207,'Q3 Data'!$B$4:$B$207,$S159)+SUMIFS('Q3 Data'!$O$4:$O$207,'Q3 Data'!$B$4:$B$207,$S159)+SUMIFS('Q3 Data'!$M$4:$M$207,'Q3 Data'!$B$4:$B$207,$S159))</f>
      </c>
      <c r="W159" s="7">
        <f>IF($C159="","",SUMIFS('Q4 Data'!$L$4:$L$207,'Q4 Data'!$B$4:$B$207,$S159)+SUMIFS('Q4 Data'!$O$4:$O$207,'Q4 Data'!$B$4:$B$207,$S159)+SUMIFS('Q4 Data'!$M$4:$M$207,'Q4 Data'!$B$4:$B$207,$S159))</f>
      </c>
      <c r="X159" s="7">
        <f>IF($C159="","",T159+U159+V159+W159)</f>
      </c>
      <c r="Y159" s="7">
        <f>IF($C159="","",M159-L159)</f>
      </c>
      <c r="Z159" s="7">
        <f>IF($C159="","",Y159-X159)</f>
      </c>
      <c r="AA159" s="7">
        <f>IF($C159="","",IF(ROUND(X159-Y159,2)&gt;0,"Over-applied",IF(ROUND(X159-Y159,2)=0,"Fully Utilised","Unconsumed")))</f>
      </c>
    </row>
    <row r="160" spans="1:27" x14ac:dyDescent="0.25">
      <c r="A160" s="7">
        <f>IF($C160="","",COUNTIF($C$4:$C160,"&lt;&gt;"))</f>
      </c>
      <c r="B160" s="8"/>
      <c r="C160" s="8"/>
      <c r="D160" s="8"/>
      <c r="E160" s="8"/>
      <c r="F160" s="8"/>
      <c r="G160" s="8"/>
      <c r="H160" s="8"/>
      <c r="I160" s="8"/>
      <c r="J160" s="8"/>
      <c r="K160" s="8"/>
      <c r="L160" s="8"/>
      <c r="M160" s="7">
        <f>IF($C160="","",G160+H160+I160+J160+K160+L160)</f>
      </c>
      <c r="N160" s="8"/>
      <c r="O160" s="8"/>
      <c r="P160" s="8"/>
      <c r="Q160" s="8"/>
      <c r="R160" s="8"/>
      <c r="S160" s="7">
        <f>IF($C160="","",C160&amp;" | BSR "&amp;B160&amp;" | "&amp;TEXT(D160,"dd-mm-yyyy")&amp;" | ₹"&amp;TEXT(M160,"#,##0"))</f>
      </c>
      <c r="T160" s="7">
        <f>IF($C160="","",SUMIFS('Q1 Data'!$L$4:$L$207,'Q1 Data'!$B$4:$B$207,$S160)+SUMIFS('Q1 Data'!$O$4:$O$207,'Q1 Data'!$B$4:$B$207,$S160)+SUMIFS('Q1 Data'!$M$4:$M$207,'Q1 Data'!$B$4:$B$207,$S160))</f>
      </c>
      <c r="U160" s="7">
        <f>IF($C160="","",SUMIFS('Q2 Data'!$L$4:$L$207,'Q2 Data'!$B$4:$B$207,$S160)+SUMIFS('Q2 Data'!$O$4:$O$207,'Q2 Data'!$B$4:$B$207,$S160)+SUMIFS('Q2 Data'!$M$4:$M$207,'Q2 Data'!$B$4:$B$207,$S160))</f>
      </c>
      <c r="V160" s="7">
        <f>IF($C160="","",SUMIFS('Q3 Data'!$L$4:$L$207,'Q3 Data'!$B$4:$B$207,$S160)+SUMIFS('Q3 Data'!$O$4:$O$207,'Q3 Data'!$B$4:$B$207,$S160)+SUMIFS('Q3 Data'!$M$4:$M$207,'Q3 Data'!$B$4:$B$207,$S160))</f>
      </c>
      <c r="W160" s="7">
        <f>IF($C160="","",SUMIFS('Q4 Data'!$L$4:$L$207,'Q4 Data'!$B$4:$B$207,$S160)+SUMIFS('Q4 Data'!$O$4:$O$207,'Q4 Data'!$B$4:$B$207,$S160)+SUMIFS('Q4 Data'!$M$4:$M$207,'Q4 Data'!$B$4:$B$207,$S160))</f>
      </c>
      <c r="X160" s="7">
        <f>IF($C160="","",T160+U160+V160+W160)</f>
      </c>
      <c r="Y160" s="7">
        <f>IF($C160="","",M160-L160)</f>
      </c>
      <c r="Z160" s="7">
        <f>IF($C160="","",Y160-X160)</f>
      </c>
      <c r="AA160" s="7">
        <f>IF($C160="","",IF(ROUND(X160-Y160,2)&gt;0,"Over-applied",IF(ROUND(X160-Y160,2)=0,"Fully Utilised","Unconsumed")))</f>
      </c>
    </row>
    <row r="161" spans="1:27" x14ac:dyDescent="0.25">
      <c r="A161" s="7">
        <f>IF($C161="","",COUNTIF($C$4:$C161,"&lt;&gt;"))</f>
      </c>
      <c r="B161" s="8"/>
      <c r="C161" s="8"/>
      <c r="D161" s="8"/>
      <c r="E161" s="8"/>
      <c r="F161" s="8"/>
      <c r="G161" s="8"/>
      <c r="H161" s="8"/>
      <c r="I161" s="8"/>
      <c r="J161" s="8"/>
      <c r="K161" s="8"/>
      <c r="L161" s="8"/>
      <c r="M161" s="7">
        <f>IF($C161="","",G161+H161+I161+J161+K161+L161)</f>
      </c>
      <c r="N161" s="8"/>
      <c r="O161" s="8"/>
      <c r="P161" s="8"/>
      <c r="Q161" s="8"/>
      <c r="R161" s="8"/>
      <c r="S161" s="7">
        <f>IF($C161="","",C161&amp;" | BSR "&amp;B161&amp;" | "&amp;TEXT(D161,"dd-mm-yyyy")&amp;" | ₹"&amp;TEXT(M161,"#,##0"))</f>
      </c>
      <c r="T161" s="7">
        <f>IF($C161="","",SUMIFS('Q1 Data'!$L$4:$L$207,'Q1 Data'!$B$4:$B$207,$S161)+SUMIFS('Q1 Data'!$O$4:$O$207,'Q1 Data'!$B$4:$B$207,$S161)+SUMIFS('Q1 Data'!$M$4:$M$207,'Q1 Data'!$B$4:$B$207,$S161))</f>
      </c>
      <c r="U161" s="7">
        <f>IF($C161="","",SUMIFS('Q2 Data'!$L$4:$L$207,'Q2 Data'!$B$4:$B$207,$S161)+SUMIFS('Q2 Data'!$O$4:$O$207,'Q2 Data'!$B$4:$B$207,$S161)+SUMIFS('Q2 Data'!$M$4:$M$207,'Q2 Data'!$B$4:$B$207,$S161))</f>
      </c>
      <c r="V161" s="7">
        <f>IF($C161="","",SUMIFS('Q3 Data'!$L$4:$L$207,'Q3 Data'!$B$4:$B$207,$S161)+SUMIFS('Q3 Data'!$O$4:$O$207,'Q3 Data'!$B$4:$B$207,$S161)+SUMIFS('Q3 Data'!$M$4:$M$207,'Q3 Data'!$B$4:$B$207,$S161))</f>
      </c>
      <c r="W161" s="7">
        <f>IF($C161="","",SUMIFS('Q4 Data'!$L$4:$L$207,'Q4 Data'!$B$4:$B$207,$S161)+SUMIFS('Q4 Data'!$O$4:$O$207,'Q4 Data'!$B$4:$B$207,$S161)+SUMIFS('Q4 Data'!$M$4:$M$207,'Q4 Data'!$B$4:$B$207,$S161))</f>
      </c>
      <c r="X161" s="7">
        <f>IF($C161="","",T161+U161+V161+W161)</f>
      </c>
      <c r="Y161" s="7">
        <f>IF($C161="","",M161-L161)</f>
      </c>
      <c r="Z161" s="7">
        <f>IF($C161="","",Y161-X161)</f>
      </c>
      <c r="AA161" s="7">
        <f>IF($C161="","",IF(ROUND(X161-Y161,2)&gt;0,"Over-applied",IF(ROUND(X161-Y161,2)=0,"Fully Utilised","Unconsumed")))</f>
      </c>
    </row>
    <row r="162" spans="1:27" x14ac:dyDescent="0.25">
      <c r="A162" s="7">
        <f>IF($C162="","",COUNTIF($C$4:$C162,"&lt;&gt;"))</f>
      </c>
      <c r="B162" s="8"/>
      <c r="C162" s="8"/>
      <c r="D162" s="8"/>
      <c r="E162" s="8"/>
      <c r="F162" s="8"/>
      <c r="G162" s="8"/>
      <c r="H162" s="8"/>
      <c r="I162" s="8"/>
      <c r="J162" s="8"/>
      <c r="K162" s="8"/>
      <c r="L162" s="8"/>
      <c r="M162" s="7">
        <f>IF($C162="","",G162+H162+I162+J162+K162+L162)</f>
      </c>
      <c r="N162" s="8"/>
      <c r="O162" s="8"/>
      <c r="P162" s="8"/>
      <c r="Q162" s="8"/>
      <c r="R162" s="8"/>
      <c r="S162" s="7">
        <f>IF($C162="","",C162&amp;" | BSR "&amp;B162&amp;" | "&amp;TEXT(D162,"dd-mm-yyyy")&amp;" | ₹"&amp;TEXT(M162,"#,##0"))</f>
      </c>
      <c r="T162" s="7">
        <f>IF($C162="","",SUMIFS('Q1 Data'!$L$4:$L$207,'Q1 Data'!$B$4:$B$207,$S162)+SUMIFS('Q1 Data'!$O$4:$O$207,'Q1 Data'!$B$4:$B$207,$S162)+SUMIFS('Q1 Data'!$M$4:$M$207,'Q1 Data'!$B$4:$B$207,$S162))</f>
      </c>
      <c r="U162" s="7">
        <f>IF($C162="","",SUMIFS('Q2 Data'!$L$4:$L$207,'Q2 Data'!$B$4:$B$207,$S162)+SUMIFS('Q2 Data'!$O$4:$O$207,'Q2 Data'!$B$4:$B$207,$S162)+SUMIFS('Q2 Data'!$M$4:$M$207,'Q2 Data'!$B$4:$B$207,$S162))</f>
      </c>
      <c r="V162" s="7">
        <f>IF($C162="","",SUMIFS('Q3 Data'!$L$4:$L$207,'Q3 Data'!$B$4:$B$207,$S162)+SUMIFS('Q3 Data'!$O$4:$O$207,'Q3 Data'!$B$4:$B$207,$S162)+SUMIFS('Q3 Data'!$M$4:$M$207,'Q3 Data'!$B$4:$B$207,$S162))</f>
      </c>
      <c r="W162" s="7">
        <f>IF($C162="","",SUMIFS('Q4 Data'!$L$4:$L$207,'Q4 Data'!$B$4:$B$207,$S162)+SUMIFS('Q4 Data'!$O$4:$O$207,'Q4 Data'!$B$4:$B$207,$S162)+SUMIFS('Q4 Data'!$M$4:$M$207,'Q4 Data'!$B$4:$B$207,$S162))</f>
      </c>
      <c r="X162" s="7">
        <f>IF($C162="","",T162+U162+V162+W162)</f>
      </c>
      <c r="Y162" s="7">
        <f>IF($C162="","",M162-L162)</f>
      </c>
      <c r="Z162" s="7">
        <f>IF($C162="","",Y162-X162)</f>
      </c>
      <c r="AA162" s="7">
        <f>IF($C162="","",IF(ROUND(X162-Y162,2)&gt;0,"Over-applied",IF(ROUND(X162-Y162,2)=0,"Fully Utilised","Unconsumed")))</f>
      </c>
    </row>
    <row r="163" spans="1:27" x14ac:dyDescent="0.25">
      <c r="A163" s="7">
        <f>IF($C163="","",COUNTIF($C$4:$C163,"&lt;&gt;"))</f>
      </c>
      <c r="B163" s="8"/>
      <c r="C163" s="8"/>
      <c r="D163" s="8"/>
      <c r="E163" s="8"/>
      <c r="F163" s="8"/>
      <c r="G163" s="8"/>
      <c r="H163" s="8"/>
      <c r="I163" s="8"/>
      <c r="J163" s="8"/>
      <c r="K163" s="8"/>
      <c r="L163" s="8"/>
      <c r="M163" s="7">
        <f>IF($C163="","",G163+H163+I163+J163+K163+L163)</f>
      </c>
      <c r="N163" s="8"/>
      <c r="O163" s="8"/>
      <c r="P163" s="8"/>
      <c r="Q163" s="8"/>
      <c r="R163" s="8"/>
      <c r="S163" s="7">
        <f>IF($C163="","",C163&amp;" | BSR "&amp;B163&amp;" | "&amp;TEXT(D163,"dd-mm-yyyy")&amp;" | ₹"&amp;TEXT(M163,"#,##0"))</f>
      </c>
      <c r="T163" s="7">
        <f>IF($C163="","",SUMIFS('Q1 Data'!$L$4:$L$207,'Q1 Data'!$B$4:$B$207,$S163)+SUMIFS('Q1 Data'!$O$4:$O$207,'Q1 Data'!$B$4:$B$207,$S163)+SUMIFS('Q1 Data'!$M$4:$M$207,'Q1 Data'!$B$4:$B$207,$S163))</f>
      </c>
      <c r="U163" s="7">
        <f>IF($C163="","",SUMIFS('Q2 Data'!$L$4:$L$207,'Q2 Data'!$B$4:$B$207,$S163)+SUMIFS('Q2 Data'!$O$4:$O$207,'Q2 Data'!$B$4:$B$207,$S163)+SUMIFS('Q2 Data'!$M$4:$M$207,'Q2 Data'!$B$4:$B$207,$S163))</f>
      </c>
      <c r="V163" s="7">
        <f>IF($C163="","",SUMIFS('Q3 Data'!$L$4:$L$207,'Q3 Data'!$B$4:$B$207,$S163)+SUMIFS('Q3 Data'!$O$4:$O$207,'Q3 Data'!$B$4:$B$207,$S163)+SUMIFS('Q3 Data'!$M$4:$M$207,'Q3 Data'!$B$4:$B$207,$S163))</f>
      </c>
      <c r="W163" s="7">
        <f>IF($C163="","",SUMIFS('Q4 Data'!$L$4:$L$207,'Q4 Data'!$B$4:$B$207,$S163)+SUMIFS('Q4 Data'!$O$4:$O$207,'Q4 Data'!$B$4:$B$207,$S163)+SUMIFS('Q4 Data'!$M$4:$M$207,'Q4 Data'!$B$4:$B$207,$S163))</f>
      </c>
      <c r="X163" s="7">
        <f>IF($C163="","",T163+U163+V163+W163)</f>
      </c>
      <c r="Y163" s="7">
        <f>IF($C163="","",M163-L163)</f>
      </c>
      <c r="Z163" s="7">
        <f>IF($C163="","",Y163-X163)</f>
      </c>
      <c r="AA163" s="7">
        <f>IF($C163="","",IF(ROUND(X163-Y163,2)&gt;0,"Over-applied",IF(ROUND(X163-Y163,2)=0,"Fully Utilised","Unconsumed")))</f>
      </c>
    </row>
    <row r="164" spans="1:27" x14ac:dyDescent="0.25">
      <c r="A164" s="7">
        <f>IF($C164="","",COUNTIF($C$4:$C164,"&lt;&gt;"))</f>
      </c>
      <c r="B164" s="8"/>
      <c r="C164" s="8"/>
      <c r="D164" s="8"/>
      <c r="E164" s="8"/>
      <c r="F164" s="8"/>
      <c r="G164" s="8"/>
      <c r="H164" s="8"/>
      <c r="I164" s="8"/>
      <c r="J164" s="8"/>
      <c r="K164" s="8"/>
      <c r="L164" s="8"/>
      <c r="M164" s="7">
        <f>IF($C164="","",G164+H164+I164+J164+K164+L164)</f>
      </c>
      <c r="N164" s="8"/>
      <c r="O164" s="8"/>
      <c r="P164" s="8"/>
      <c r="Q164" s="8"/>
      <c r="R164" s="8"/>
      <c r="S164" s="7">
        <f>IF($C164="","",C164&amp;" | BSR "&amp;B164&amp;" | "&amp;TEXT(D164,"dd-mm-yyyy")&amp;" | ₹"&amp;TEXT(M164,"#,##0"))</f>
      </c>
      <c r="T164" s="7">
        <f>IF($C164="","",SUMIFS('Q1 Data'!$L$4:$L$207,'Q1 Data'!$B$4:$B$207,$S164)+SUMIFS('Q1 Data'!$O$4:$O$207,'Q1 Data'!$B$4:$B$207,$S164)+SUMIFS('Q1 Data'!$M$4:$M$207,'Q1 Data'!$B$4:$B$207,$S164))</f>
      </c>
      <c r="U164" s="7">
        <f>IF($C164="","",SUMIFS('Q2 Data'!$L$4:$L$207,'Q2 Data'!$B$4:$B$207,$S164)+SUMIFS('Q2 Data'!$O$4:$O$207,'Q2 Data'!$B$4:$B$207,$S164)+SUMIFS('Q2 Data'!$M$4:$M$207,'Q2 Data'!$B$4:$B$207,$S164))</f>
      </c>
      <c r="V164" s="7">
        <f>IF($C164="","",SUMIFS('Q3 Data'!$L$4:$L$207,'Q3 Data'!$B$4:$B$207,$S164)+SUMIFS('Q3 Data'!$O$4:$O$207,'Q3 Data'!$B$4:$B$207,$S164)+SUMIFS('Q3 Data'!$M$4:$M$207,'Q3 Data'!$B$4:$B$207,$S164))</f>
      </c>
      <c r="W164" s="7">
        <f>IF($C164="","",SUMIFS('Q4 Data'!$L$4:$L$207,'Q4 Data'!$B$4:$B$207,$S164)+SUMIFS('Q4 Data'!$O$4:$O$207,'Q4 Data'!$B$4:$B$207,$S164)+SUMIFS('Q4 Data'!$M$4:$M$207,'Q4 Data'!$B$4:$B$207,$S164))</f>
      </c>
      <c r="X164" s="7">
        <f>IF($C164="","",T164+U164+V164+W164)</f>
      </c>
      <c r="Y164" s="7">
        <f>IF($C164="","",M164-L164)</f>
      </c>
      <c r="Z164" s="7">
        <f>IF($C164="","",Y164-X164)</f>
      </c>
      <c r="AA164" s="7">
        <f>IF($C164="","",IF(ROUND(X164-Y164,2)&gt;0,"Over-applied",IF(ROUND(X164-Y164,2)=0,"Fully Utilised","Unconsumed")))</f>
      </c>
    </row>
    <row r="165" spans="1:27" x14ac:dyDescent="0.25">
      <c r="A165" s="7">
        <f>IF($C165="","",COUNTIF($C$4:$C165,"&lt;&gt;"))</f>
      </c>
      <c r="B165" s="8"/>
      <c r="C165" s="8"/>
      <c r="D165" s="8"/>
      <c r="E165" s="8"/>
      <c r="F165" s="8"/>
      <c r="G165" s="8"/>
      <c r="H165" s="8"/>
      <c r="I165" s="8"/>
      <c r="J165" s="8"/>
      <c r="K165" s="8"/>
      <c r="L165" s="8"/>
      <c r="M165" s="7">
        <f>IF($C165="","",G165+H165+I165+J165+K165+L165)</f>
      </c>
      <c r="N165" s="8"/>
      <c r="O165" s="8"/>
      <c r="P165" s="8"/>
      <c r="Q165" s="8"/>
      <c r="R165" s="8"/>
      <c r="S165" s="7">
        <f>IF($C165="","",C165&amp;" | BSR "&amp;B165&amp;" | "&amp;TEXT(D165,"dd-mm-yyyy")&amp;" | ₹"&amp;TEXT(M165,"#,##0"))</f>
      </c>
      <c r="T165" s="7">
        <f>IF($C165="","",SUMIFS('Q1 Data'!$L$4:$L$207,'Q1 Data'!$B$4:$B$207,$S165)+SUMIFS('Q1 Data'!$O$4:$O$207,'Q1 Data'!$B$4:$B$207,$S165)+SUMIFS('Q1 Data'!$M$4:$M$207,'Q1 Data'!$B$4:$B$207,$S165))</f>
      </c>
      <c r="U165" s="7">
        <f>IF($C165="","",SUMIFS('Q2 Data'!$L$4:$L$207,'Q2 Data'!$B$4:$B$207,$S165)+SUMIFS('Q2 Data'!$O$4:$O$207,'Q2 Data'!$B$4:$B$207,$S165)+SUMIFS('Q2 Data'!$M$4:$M$207,'Q2 Data'!$B$4:$B$207,$S165))</f>
      </c>
      <c r="V165" s="7">
        <f>IF($C165="","",SUMIFS('Q3 Data'!$L$4:$L$207,'Q3 Data'!$B$4:$B$207,$S165)+SUMIFS('Q3 Data'!$O$4:$O$207,'Q3 Data'!$B$4:$B$207,$S165)+SUMIFS('Q3 Data'!$M$4:$M$207,'Q3 Data'!$B$4:$B$207,$S165))</f>
      </c>
      <c r="W165" s="7">
        <f>IF($C165="","",SUMIFS('Q4 Data'!$L$4:$L$207,'Q4 Data'!$B$4:$B$207,$S165)+SUMIFS('Q4 Data'!$O$4:$O$207,'Q4 Data'!$B$4:$B$207,$S165)+SUMIFS('Q4 Data'!$M$4:$M$207,'Q4 Data'!$B$4:$B$207,$S165))</f>
      </c>
      <c r="X165" s="7">
        <f>IF($C165="","",T165+U165+V165+W165)</f>
      </c>
      <c r="Y165" s="7">
        <f>IF($C165="","",M165-L165)</f>
      </c>
      <c r="Z165" s="7">
        <f>IF($C165="","",Y165-X165)</f>
      </c>
      <c r="AA165" s="7">
        <f>IF($C165="","",IF(ROUND(X165-Y165,2)&gt;0,"Over-applied",IF(ROUND(X165-Y165,2)=0,"Fully Utilised","Unconsumed")))</f>
      </c>
    </row>
    <row r="166" spans="1:27" x14ac:dyDescent="0.25">
      <c r="A166" s="7">
        <f>IF($C166="","",COUNTIF($C$4:$C166,"&lt;&gt;"))</f>
      </c>
      <c r="B166" s="8"/>
      <c r="C166" s="8"/>
      <c r="D166" s="8"/>
      <c r="E166" s="8"/>
      <c r="F166" s="8"/>
      <c r="G166" s="8"/>
      <c r="H166" s="8"/>
      <c r="I166" s="8"/>
      <c r="J166" s="8"/>
      <c r="K166" s="8"/>
      <c r="L166" s="8"/>
      <c r="M166" s="7">
        <f>IF($C166="","",G166+H166+I166+J166+K166+L166)</f>
      </c>
      <c r="N166" s="8"/>
      <c r="O166" s="8"/>
      <c r="P166" s="8"/>
      <c r="Q166" s="8"/>
      <c r="R166" s="8"/>
      <c r="S166" s="7">
        <f>IF($C166="","",C166&amp;" | BSR "&amp;B166&amp;" | "&amp;TEXT(D166,"dd-mm-yyyy")&amp;" | ₹"&amp;TEXT(M166,"#,##0"))</f>
      </c>
      <c r="T166" s="7">
        <f>IF($C166="","",SUMIFS('Q1 Data'!$L$4:$L$207,'Q1 Data'!$B$4:$B$207,$S166)+SUMIFS('Q1 Data'!$O$4:$O$207,'Q1 Data'!$B$4:$B$207,$S166)+SUMIFS('Q1 Data'!$M$4:$M$207,'Q1 Data'!$B$4:$B$207,$S166))</f>
      </c>
      <c r="U166" s="7">
        <f>IF($C166="","",SUMIFS('Q2 Data'!$L$4:$L$207,'Q2 Data'!$B$4:$B$207,$S166)+SUMIFS('Q2 Data'!$O$4:$O$207,'Q2 Data'!$B$4:$B$207,$S166)+SUMIFS('Q2 Data'!$M$4:$M$207,'Q2 Data'!$B$4:$B$207,$S166))</f>
      </c>
      <c r="V166" s="7">
        <f>IF($C166="","",SUMIFS('Q3 Data'!$L$4:$L$207,'Q3 Data'!$B$4:$B$207,$S166)+SUMIFS('Q3 Data'!$O$4:$O$207,'Q3 Data'!$B$4:$B$207,$S166)+SUMIFS('Q3 Data'!$M$4:$M$207,'Q3 Data'!$B$4:$B$207,$S166))</f>
      </c>
      <c r="W166" s="7">
        <f>IF($C166="","",SUMIFS('Q4 Data'!$L$4:$L$207,'Q4 Data'!$B$4:$B$207,$S166)+SUMIFS('Q4 Data'!$O$4:$O$207,'Q4 Data'!$B$4:$B$207,$S166)+SUMIFS('Q4 Data'!$M$4:$M$207,'Q4 Data'!$B$4:$B$207,$S166))</f>
      </c>
      <c r="X166" s="7">
        <f>IF($C166="","",T166+U166+V166+W166)</f>
      </c>
      <c r="Y166" s="7">
        <f>IF($C166="","",M166-L166)</f>
      </c>
      <c r="Z166" s="7">
        <f>IF($C166="","",Y166-X166)</f>
      </c>
      <c r="AA166" s="7">
        <f>IF($C166="","",IF(ROUND(X166-Y166,2)&gt;0,"Over-applied",IF(ROUND(X166-Y166,2)=0,"Fully Utilised","Unconsumed")))</f>
      </c>
    </row>
    <row r="167" spans="1:27" x14ac:dyDescent="0.25">
      <c r="A167" s="7">
        <f>IF($C167="","",COUNTIF($C$4:$C167,"&lt;&gt;"))</f>
      </c>
      <c r="B167" s="8"/>
      <c r="C167" s="8"/>
      <c r="D167" s="8"/>
      <c r="E167" s="8"/>
      <c r="F167" s="8"/>
      <c r="G167" s="8"/>
      <c r="H167" s="8"/>
      <c r="I167" s="8"/>
      <c r="J167" s="8"/>
      <c r="K167" s="8"/>
      <c r="L167" s="8"/>
      <c r="M167" s="7">
        <f>IF($C167="","",G167+H167+I167+J167+K167+L167)</f>
      </c>
      <c r="N167" s="8"/>
      <c r="O167" s="8"/>
      <c r="P167" s="8"/>
      <c r="Q167" s="8"/>
      <c r="R167" s="8"/>
      <c r="S167" s="7">
        <f>IF($C167="","",C167&amp;" | BSR "&amp;B167&amp;" | "&amp;TEXT(D167,"dd-mm-yyyy")&amp;" | ₹"&amp;TEXT(M167,"#,##0"))</f>
      </c>
      <c r="T167" s="7">
        <f>IF($C167="","",SUMIFS('Q1 Data'!$L$4:$L$207,'Q1 Data'!$B$4:$B$207,$S167)+SUMIFS('Q1 Data'!$O$4:$O$207,'Q1 Data'!$B$4:$B$207,$S167)+SUMIFS('Q1 Data'!$M$4:$M$207,'Q1 Data'!$B$4:$B$207,$S167))</f>
      </c>
      <c r="U167" s="7">
        <f>IF($C167="","",SUMIFS('Q2 Data'!$L$4:$L$207,'Q2 Data'!$B$4:$B$207,$S167)+SUMIFS('Q2 Data'!$O$4:$O$207,'Q2 Data'!$B$4:$B$207,$S167)+SUMIFS('Q2 Data'!$M$4:$M$207,'Q2 Data'!$B$4:$B$207,$S167))</f>
      </c>
      <c r="V167" s="7">
        <f>IF($C167="","",SUMIFS('Q3 Data'!$L$4:$L$207,'Q3 Data'!$B$4:$B$207,$S167)+SUMIFS('Q3 Data'!$O$4:$O$207,'Q3 Data'!$B$4:$B$207,$S167)+SUMIFS('Q3 Data'!$M$4:$M$207,'Q3 Data'!$B$4:$B$207,$S167))</f>
      </c>
      <c r="W167" s="7">
        <f>IF($C167="","",SUMIFS('Q4 Data'!$L$4:$L$207,'Q4 Data'!$B$4:$B$207,$S167)+SUMIFS('Q4 Data'!$O$4:$O$207,'Q4 Data'!$B$4:$B$207,$S167)+SUMIFS('Q4 Data'!$M$4:$M$207,'Q4 Data'!$B$4:$B$207,$S167))</f>
      </c>
      <c r="X167" s="7">
        <f>IF($C167="","",T167+U167+V167+W167)</f>
      </c>
      <c r="Y167" s="7">
        <f>IF($C167="","",M167-L167)</f>
      </c>
      <c r="Z167" s="7">
        <f>IF($C167="","",Y167-X167)</f>
      </c>
      <c r="AA167" s="7">
        <f>IF($C167="","",IF(ROUND(X167-Y167,2)&gt;0,"Over-applied",IF(ROUND(X167-Y167,2)=0,"Fully Utilised","Unconsumed")))</f>
      </c>
    </row>
    <row r="168" spans="1:27" x14ac:dyDescent="0.25">
      <c r="A168" s="7">
        <f>IF($C168="","",COUNTIF($C$4:$C168,"&lt;&gt;"))</f>
      </c>
      <c r="B168" s="8"/>
      <c r="C168" s="8"/>
      <c r="D168" s="8"/>
      <c r="E168" s="8"/>
      <c r="F168" s="8"/>
      <c r="G168" s="8"/>
      <c r="H168" s="8"/>
      <c r="I168" s="8"/>
      <c r="J168" s="8"/>
      <c r="K168" s="8"/>
      <c r="L168" s="8"/>
      <c r="M168" s="7">
        <f>IF($C168="","",G168+H168+I168+J168+K168+L168)</f>
      </c>
      <c r="N168" s="8"/>
      <c r="O168" s="8"/>
      <c r="P168" s="8"/>
      <c r="Q168" s="8"/>
      <c r="R168" s="8"/>
      <c r="S168" s="7">
        <f>IF($C168="","",C168&amp;" | BSR "&amp;B168&amp;" | "&amp;TEXT(D168,"dd-mm-yyyy")&amp;" | ₹"&amp;TEXT(M168,"#,##0"))</f>
      </c>
      <c r="T168" s="7">
        <f>IF($C168="","",SUMIFS('Q1 Data'!$L$4:$L$207,'Q1 Data'!$B$4:$B$207,$S168)+SUMIFS('Q1 Data'!$O$4:$O$207,'Q1 Data'!$B$4:$B$207,$S168)+SUMIFS('Q1 Data'!$M$4:$M$207,'Q1 Data'!$B$4:$B$207,$S168))</f>
      </c>
      <c r="U168" s="7">
        <f>IF($C168="","",SUMIFS('Q2 Data'!$L$4:$L$207,'Q2 Data'!$B$4:$B$207,$S168)+SUMIFS('Q2 Data'!$O$4:$O$207,'Q2 Data'!$B$4:$B$207,$S168)+SUMIFS('Q2 Data'!$M$4:$M$207,'Q2 Data'!$B$4:$B$207,$S168))</f>
      </c>
      <c r="V168" s="7">
        <f>IF($C168="","",SUMIFS('Q3 Data'!$L$4:$L$207,'Q3 Data'!$B$4:$B$207,$S168)+SUMIFS('Q3 Data'!$O$4:$O$207,'Q3 Data'!$B$4:$B$207,$S168)+SUMIFS('Q3 Data'!$M$4:$M$207,'Q3 Data'!$B$4:$B$207,$S168))</f>
      </c>
      <c r="W168" s="7">
        <f>IF($C168="","",SUMIFS('Q4 Data'!$L$4:$L$207,'Q4 Data'!$B$4:$B$207,$S168)+SUMIFS('Q4 Data'!$O$4:$O$207,'Q4 Data'!$B$4:$B$207,$S168)+SUMIFS('Q4 Data'!$M$4:$M$207,'Q4 Data'!$B$4:$B$207,$S168))</f>
      </c>
      <c r="X168" s="7">
        <f>IF($C168="","",T168+U168+V168+W168)</f>
      </c>
      <c r="Y168" s="7">
        <f>IF($C168="","",M168-L168)</f>
      </c>
      <c r="Z168" s="7">
        <f>IF($C168="","",Y168-X168)</f>
      </c>
      <c r="AA168" s="7">
        <f>IF($C168="","",IF(ROUND(X168-Y168,2)&gt;0,"Over-applied",IF(ROUND(X168-Y168,2)=0,"Fully Utilised","Unconsumed")))</f>
      </c>
    </row>
    <row r="169" spans="1:27" x14ac:dyDescent="0.25">
      <c r="A169" s="7">
        <f>IF($C169="","",COUNTIF($C$4:$C169,"&lt;&gt;"))</f>
      </c>
      <c r="B169" s="8"/>
      <c r="C169" s="8"/>
      <c r="D169" s="8"/>
      <c r="E169" s="8"/>
      <c r="F169" s="8"/>
      <c r="G169" s="8"/>
      <c r="H169" s="8"/>
      <c r="I169" s="8"/>
      <c r="J169" s="8"/>
      <c r="K169" s="8"/>
      <c r="L169" s="8"/>
      <c r="M169" s="7">
        <f>IF($C169="","",G169+H169+I169+J169+K169+L169)</f>
      </c>
      <c r="N169" s="8"/>
      <c r="O169" s="8"/>
      <c r="P169" s="8"/>
      <c r="Q169" s="8"/>
      <c r="R169" s="8"/>
      <c r="S169" s="7">
        <f>IF($C169="","",C169&amp;" | BSR "&amp;B169&amp;" | "&amp;TEXT(D169,"dd-mm-yyyy")&amp;" | ₹"&amp;TEXT(M169,"#,##0"))</f>
      </c>
      <c r="T169" s="7">
        <f>IF($C169="","",SUMIFS('Q1 Data'!$L$4:$L$207,'Q1 Data'!$B$4:$B$207,$S169)+SUMIFS('Q1 Data'!$O$4:$O$207,'Q1 Data'!$B$4:$B$207,$S169)+SUMIFS('Q1 Data'!$M$4:$M$207,'Q1 Data'!$B$4:$B$207,$S169))</f>
      </c>
      <c r="U169" s="7">
        <f>IF($C169="","",SUMIFS('Q2 Data'!$L$4:$L$207,'Q2 Data'!$B$4:$B$207,$S169)+SUMIFS('Q2 Data'!$O$4:$O$207,'Q2 Data'!$B$4:$B$207,$S169)+SUMIFS('Q2 Data'!$M$4:$M$207,'Q2 Data'!$B$4:$B$207,$S169))</f>
      </c>
      <c r="V169" s="7">
        <f>IF($C169="","",SUMIFS('Q3 Data'!$L$4:$L$207,'Q3 Data'!$B$4:$B$207,$S169)+SUMIFS('Q3 Data'!$O$4:$O$207,'Q3 Data'!$B$4:$B$207,$S169)+SUMIFS('Q3 Data'!$M$4:$M$207,'Q3 Data'!$B$4:$B$207,$S169))</f>
      </c>
      <c r="W169" s="7">
        <f>IF($C169="","",SUMIFS('Q4 Data'!$L$4:$L$207,'Q4 Data'!$B$4:$B$207,$S169)+SUMIFS('Q4 Data'!$O$4:$O$207,'Q4 Data'!$B$4:$B$207,$S169)+SUMIFS('Q4 Data'!$M$4:$M$207,'Q4 Data'!$B$4:$B$207,$S169))</f>
      </c>
      <c r="X169" s="7">
        <f>IF($C169="","",T169+U169+V169+W169)</f>
      </c>
      <c r="Y169" s="7">
        <f>IF($C169="","",M169-L169)</f>
      </c>
      <c r="Z169" s="7">
        <f>IF($C169="","",Y169-X169)</f>
      </c>
      <c r="AA169" s="7">
        <f>IF($C169="","",IF(ROUND(X169-Y169,2)&gt;0,"Over-applied",IF(ROUND(X169-Y169,2)=0,"Fully Utilised","Unconsumed")))</f>
      </c>
    </row>
    <row r="170" spans="1:27" x14ac:dyDescent="0.25">
      <c r="A170" s="7">
        <f>IF($C170="","",COUNTIF($C$4:$C170,"&lt;&gt;"))</f>
      </c>
      <c r="B170" s="8"/>
      <c r="C170" s="8"/>
      <c r="D170" s="8"/>
      <c r="E170" s="8"/>
      <c r="F170" s="8"/>
      <c r="G170" s="8"/>
      <c r="H170" s="8"/>
      <c r="I170" s="8"/>
      <c r="J170" s="8"/>
      <c r="K170" s="8"/>
      <c r="L170" s="8"/>
      <c r="M170" s="7">
        <f>IF($C170="","",G170+H170+I170+J170+K170+L170)</f>
      </c>
      <c r="N170" s="8"/>
      <c r="O170" s="8"/>
      <c r="P170" s="8"/>
      <c r="Q170" s="8"/>
      <c r="R170" s="8"/>
      <c r="S170" s="7">
        <f>IF($C170="","",C170&amp;" | BSR "&amp;B170&amp;" | "&amp;TEXT(D170,"dd-mm-yyyy")&amp;" | ₹"&amp;TEXT(M170,"#,##0"))</f>
      </c>
      <c r="T170" s="7">
        <f>IF($C170="","",SUMIFS('Q1 Data'!$L$4:$L$207,'Q1 Data'!$B$4:$B$207,$S170)+SUMIFS('Q1 Data'!$O$4:$O$207,'Q1 Data'!$B$4:$B$207,$S170)+SUMIFS('Q1 Data'!$M$4:$M$207,'Q1 Data'!$B$4:$B$207,$S170))</f>
      </c>
      <c r="U170" s="7">
        <f>IF($C170="","",SUMIFS('Q2 Data'!$L$4:$L$207,'Q2 Data'!$B$4:$B$207,$S170)+SUMIFS('Q2 Data'!$O$4:$O$207,'Q2 Data'!$B$4:$B$207,$S170)+SUMIFS('Q2 Data'!$M$4:$M$207,'Q2 Data'!$B$4:$B$207,$S170))</f>
      </c>
      <c r="V170" s="7">
        <f>IF($C170="","",SUMIFS('Q3 Data'!$L$4:$L$207,'Q3 Data'!$B$4:$B$207,$S170)+SUMIFS('Q3 Data'!$O$4:$O$207,'Q3 Data'!$B$4:$B$207,$S170)+SUMIFS('Q3 Data'!$M$4:$M$207,'Q3 Data'!$B$4:$B$207,$S170))</f>
      </c>
      <c r="W170" s="7">
        <f>IF($C170="","",SUMIFS('Q4 Data'!$L$4:$L$207,'Q4 Data'!$B$4:$B$207,$S170)+SUMIFS('Q4 Data'!$O$4:$O$207,'Q4 Data'!$B$4:$B$207,$S170)+SUMIFS('Q4 Data'!$M$4:$M$207,'Q4 Data'!$B$4:$B$207,$S170))</f>
      </c>
      <c r="X170" s="7">
        <f>IF($C170="","",T170+U170+V170+W170)</f>
      </c>
      <c r="Y170" s="7">
        <f>IF($C170="","",M170-L170)</f>
      </c>
      <c r="Z170" s="7">
        <f>IF($C170="","",Y170-X170)</f>
      </c>
      <c r="AA170" s="7">
        <f>IF($C170="","",IF(ROUND(X170-Y170,2)&gt;0,"Over-applied",IF(ROUND(X170-Y170,2)=0,"Fully Utilised","Unconsumed")))</f>
      </c>
    </row>
    <row r="171" spans="1:27" x14ac:dyDescent="0.25">
      <c r="A171" s="7">
        <f>IF($C171="","",COUNTIF($C$4:$C171,"&lt;&gt;"))</f>
      </c>
      <c r="B171" s="8"/>
      <c r="C171" s="8"/>
      <c r="D171" s="8"/>
      <c r="E171" s="8"/>
      <c r="F171" s="8"/>
      <c r="G171" s="8"/>
      <c r="H171" s="8"/>
      <c r="I171" s="8"/>
      <c r="J171" s="8"/>
      <c r="K171" s="8"/>
      <c r="L171" s="8"/>
      <c r="M171" s="7">
        <f>IF($C171="","",G171+H171+I171+J171+K171+L171)</f>
      </c>
      <c r="N171" s="8"/>
      <c r="O171" s="8"/>
      <c r="P171" s="8"/>
      <c r="Q171" s="8"/>
      <c r="R171" s="8"/>
      <c r="S171" s="7">
        <f>IF($C171="","",C171&amp;" | BSR "&amp;B171&amp;" | "&amp;TEXT(D171,"dd-mm-yyyy")&amp;" | ₹"&amp;TEXT(M171,"#,##0"))</f>
      </c>
      <c r="T171" s="7">
        <f>IF($C171="","",SUMIFS('Q1 Data'!$L$4:$L$207,'Q1 Data'!$B$4:$B$207,$S171)+SUMIFS('Q1 Data'!$O$4:$O$207,'Q1 Data'!$B$4:$B$207,$S171)+SUMIFS('Q1 Data'!$M$4:$M$207,'Q1 Data'!$B$4:$B$207,$S171))</f>
      </c>
      <c r="U171" s="7">
        <f>IF($C171="","",SUMIFS('Q2 Data'!$L$4:$L$207,'Q2 Data'!$B$4:$B$207,$S171)+SUMIFS('Q2 Data'!$O$4:$O$207,'Q2 Data'!$B$4:$B$207,$S171)+SUMIFS('Q2 Data'!$M$4:$M$207,'Q2 Data'!$B$4:$B$207,$S171))</f>
      </c>
      <c r="V171" s="7">
        <f>IF($C171="","",SUMIFS('Q3 Data'!$L$4:$L$207,'Q3 Data'!$B$4:$B$207,$S171)+SUMIFS('Q3 Data'!$O$4:$O$207,'Q3 Data'!$B$4:$B$207,$S171)+SUMIFS('Q3 Data'!$M$4:$M$207,'Q3 Data'!$B$4:$B$207,$S171))</f>
      </c>
      <c r="W171" s="7">
        <f>IF($C171="","",SUMIFS('Q4 Data'!$L$4:$L$207,'Q4 Data'!$B$4:$B$207,$S171)+SUMIFS('Q4 Data'!$O$4:$O$207,'Q4 Data'!$B$4:$B$207,$S171)+SUMIFS('Q4 Data'!$M$4:$M$207,'Q4 Data'!$B$4:$B$207,$S171))</f>
      </c>
      <c r="X171" s="7">
        <f>IF($C171="","",T171+U171+V171+W171)</f>
      </c>
      <c r="Y171" s="7">
        <f>IF($C171="","",M171-L171)</f>
      </c>
      <c r="Z171" s="7">
        <f>IF($C171="","",Y171-X171)</f>
      </c>
      <c r="AA171" s="7">
        <f>IF($C171="","",IF(ROUND(X171-Y171,2)&gt;0,"Over-applied",IF(ROUND(X171-Y171,2)=0,"Fully Utilised","Unconsumed")))</f>
      </c>
    </row>
    <row r="172" spans="1:27" x14ac:dyDescent="0.25">
      <c r="A172" s="7">
        <f>IF($C172="","",COUNTIF($C$4:$C172,"&lt;&gt;"))</f>
      </c>
      <c r="B172" s="8"/>
      <c r="C172" s="8"/>
      <c r="D172" s="8"/>
      <c r="E172" s="8"/>
      <c r="F172" s="8"/>
      <c r="G172" s="8"/>
      <c r="H172" s="8"/>
      <c r="I172" s="8"/>
      <c r="J172" s="8"/>
      <c r="K172" s="8"/>
      <c r="L172" s="8"/>
      <c r="M172" s="7">
        <f>IF($C172="","",G172+H172+I172+J172+K172+L172)</f>
      </c>
      <c r="N172" s="8"/>
      <c r="O172" s="8"/>
      <c r="P172" s="8"/>
      <c r="Q172" s="8"/>
      <c r="R172" s="8"/>
      <c r="S172" s="7">
        <f>IF($C172="","",C172&amp;" | BSR "&amp;B172&amp;" | "&amp;TEXT(D172,"dd-mm-yyyy")&amp;" | ₹"&amp;TEXT(M172,"#,##0"))</f>
      </c>
      <c r="T172" s="7">
        <f>IF($C172="","",SUMIFS('Q1 Data'!$L$4:$L$207,'Q1 Data'!$B$4:$B$207,$S172)+SUMIFS('Q1 Data'!$O$4:$O$207,'Q1 Data'!$B$4:$B$207,$S172)+SUMIFS('Q1 Data'!$M$4:$M$207,'Q1 Data'!$B$4:$B$207,$S172))</f>
      </c>
      <c r="U172" s="7">
        <f>IF($C172="","",SUMIFS('Q2 Data'!$L$4:$L$207,'Q2 Data'!$B$4:$B$207,$S172)+SUMIFS('Q2 Data'!$O$4:$O$207,'Q2 Data'!$B$4:$B$207,$S172)+SUMIFS('Q2 Data'!$M$4:$M$207,'Q2 Data'!$B$4:$B$207,$S172))</f>
      </c>
      <c r="V172" s="7">
        <f>IF($C172="","",SUMIFS('Q3 Data'!$L$4:$L$207,'Q3 Data'!$B$4:$B$207,$S172)+SUMIFS('Q3 Data'!$O$4:$O$207,'Q3 Data'!$B$4:$B$207,$S172)+SUMIFS('Q3 Data'!$M$4:$M$207,'Q3 Data'!$B$4:$B$207,$S172))</f>
      </c>
      <c r="W172" s="7">
        <f>IF($C172="","",SUMIFS('Q4 Data'!$L$4:$L$207,'Q4 Data'!$B$4:$B$207,$S172)+SUMIFS('Q4 Data'!$O$4:$O$207,'Q4 Data'!$B$4:$B$207,$S172)+SUMIFS('Q4 Data'!$M$4:$M$207,'Q4 Data'!$B$4:$B$207,$S172))</f>
      </c>
      <c r="X172" s="7">
        <f>IF($C172="","",T172+U172+V172+W172)</f>
      </c>
      <c r="Y172" s="7">
        <f>IF($C172="","",M172-L172)</f>
      </c>
      <c r="Z172" s="7">
        <f>IF($C172="","",Y172-X172)</f>
      </c>
      <c r="AA172" s="7">
        <f>IF($C172="","",IF(ROUND(X172-Y172,2)&gt;0,"Over-applied",IF(ROUND(X172-Y172,2)=0,"Fully Utilised","Unconsumed")))</f>
      </c>
    </row>
    <row r="173" spans="1:27" x14ac:dyDescent="0.25">
      <c r="A173" s="7">
        <f>IF($C173="","",COUNTIF($C$4:$C173,"&lt;&gt;"))</f>
      </c>
      <c r="B173" s="8"/>
      <c r="C173" s="8"/>
      <c r="D173" s="8"/>
      <c r="E173" s="8"/>
      <c r="F173" s="8"/>
      <c r="G173" s="8"/>
      <c r="H173" s="8"/>
      <c r="I173" s="8"/>
      <c r="J173" s="8"/>
      <c r="K173" s="8"/>
      <c r="L173" s="8"/>
      <c r="M173" s="7">
        <f>IF($C173="","",G173+H173+I173+J173+K173+L173)</f>
      </c>
      <c r="N173" s="8"/>
      <c r="O173" s="8"/>
      <c r="P173" s="8"/>
      <c r="Q173" s="8"/>
      <c r="R173" s="8"/>
      <c r="S173" s="7">
        <f>IF($C173="","",C173&amp;" | BSR "&amp;B173&amp;" | "&amp;TEXT(D173,"dd-mm-yyyy")&amp;" | ₹"&amp;TEXT(M173,"#,##0"))</f>
      </c>
      <c r="T173" s="7">
        <f>IF($C173="","",SUMIFS('Q1 Data'!$L$4:$L$207,'Q1 Data'!$B$4:$B$207,$S173)+SUMIFS('Q1 Data'!$O$4:$O$207,'Q1 Data'!$B$4:$B$207,$S173)+SUMIFS('Q1 Data'!$M$4:$M$207,'Q1 Data'!$B$4:$B$207,$S173))</f>
      </c>
      <c r="U173" s="7">
        <f>IF($C173="","",SUMIFS('Q2 Data'!$L$4:$L$207,'Q2 Data'!$B$4:$B$207,$S173)+SUMIFS('Q2 Data'!$O$4:$O$207,'Q2 Data'!$B$4:$B$207,$S173)+SUMIFS('Q2 Data'!$M$4:$M$207,'Q2 Data'!$B$4:$B$207,$S173))</f>
      </c>
      <c r="V173" s="7">
        <f>IF($C173="","",SUMIFS('Q3 Data'!$L$4:$L$207,'Q3 Data'!$B$4:$B$207,$S173)+SUMIFS('Q3 Data'!$O$4:$O$207,'Q3 Data'!$B$4:$B$207,$S173)+SUMIFS('Q3 Data'!$M$4:$M$207,'Q3 Data'!$B$4:$B$207,$S173))</f>
      </c>
      <c r="W173" s="7">
        <f>IF($C173="","",SUMIFS('Q4 Data'!$L$4:$L$207,'Q4 Data'!$B$4:$B$207,$S173)+SUMIFS('Q4 Data'!$O$4:$O$207,'Q4 Data'!$B$4:$B$207,$S173)+SUMIFS('Q4 Data'!$M$4:$M$207,'Q4 Data'!$B$4:$B$207,$S173))</f>
      </c>
      <c r="X173" s="7">
        <f>IF($C173="","",T173+U173+V173+W173)</f>
      </c>
      <c r="Y173" s="7">
        <f>IF($C173="","",M173-L173)</f>
      </c>
      <c r="Z173" s="7">
        <f>IF($C173="","",Y173-X173)</f>
      </c>
      <c r="AA173" s="7">
        <f>IF($C173="","",IF(ROUND(X173-Y173,2)&gt;0,"Over-applied",IF(ROUND(X173-Y173,2)=0,"Fully Utilised","Unconsumed")))</f>
      </c>
    </row>
    <row r="174" spans="1:27" x14ac:dyDescent="0.25">
      <c r="A174" s="7">
        <f>IF($C174="","",COUNTIF($C$4:$C174,"&lt;&gt;"))</f>
      </c>
      <c r="B174" s="8"/>
      <c r="C174" s="8"/>
      <c r="D174" s="8"/>
      <c r="E174" s="8"/>
      <c r="F174" s="8"/>
      <c r="G174" s="8"/>
      <c r="H174" s="8"/>
      <c r="I174" s="8"/>
      <c r="J174" s="8"/>
      <c r="K174" s="8"/>
      <c r="L174" s="8"/>
      <c r="M174" s="7">
        <f>IF($C174="","",G174+H174+I174+J174+K174+L174)</f>
      </c>
      <c r="N174" s="8"/>
      <c r="O174" s="8"/>
      <c r="P174" s="8"/>
      <c r="Q174" s="8"/>
      <c r="R174" s="8"/>
      <c r="S174" s="7">
        <f>IF($C174="","",C174&amp;" | BSR "&amp;B174&amp;" | "&amp;TEXT(D174,"dd-mm-yyyy")&amp;" | ₹"&amp;TEXT(M174,"#,##0"))</f>
      </c>
      <c r="T174" s="7">
        <f>IF($C174="","",SUMIFS('Q1 Data'!$L$4:$L$207,'Q1 Data'!$B$4:$B$207,$S174)+SUMIFS('Q1 Data'!$O$4:$O$207,'Q1 Data'!$B$4:$B$207,$S174)+SUMIFS('Q1 Data'!$M$4:$M$207,'Q1 Data'!$B$4:$B$207,$S174))</f>
      </c>
      <c r="U174" s="7">
        <f>IF($C174="","",SUMIFS('Q2 Data'!$L$4:$L$207,'Q2 Data'!$B$4:$B$207,$S174)+SUMIFS('Q2 Data'!$O$4:$O$207,'Q2 Data'!$B$4:$B$207,$S174)+SUMIFS('Q2 Data'!$M$4:$M$207,'Q2 Data'!$B$4:$B$207,$S174))</f>
      </c>
      <c r="V174" s="7">
        <f>IF($C174="","",SUMIFS('Q3 Data'!$L$4:$L$207,'Q3 Data'!$B$4:$B$207,$S174)+SUMIFS('Q3 Data'!$O$4:$O$207,'Q3 Data'!$B$4:$B$207,$S174)+SUMIFS('Q3 Data'!$M$4:$M$207,'Q3 Data'!$B$4:$B$207,$S174))</f>
      </c>
      <c r="W174" s="7">
        <f>IF($C174="","",SUMIFS('Q4 Data'!$L$4:$L$207,'Q4 Data'!$B$4:$B$207,$S174)+SUMIFS('Q4 Data'!$O$4:$O$207,'Q4 Data'!$B$4:$B$207,$S174)+SUMIFS('Q4 Data'!$M$4:$M$207,'Q4 Data'!$B$4:$B$207,$S174))</f>
      </c>
      <c r="X174" s="7">
        <f>IF($C174="","",T174+U174+V174+W174)</f>
      </c>
      <c r="Y174" s="7">
        <f>IF($C174="","",M174-L174)</f>
      </c>
      <c r="Z174" s="7">
        <f>IF($C174="","",Y174-X174)</f>
      </c>
      <c r="AA174" s="7">
        <f>IF($C174="","",IF(ROUND(X174-Y174,2)&gt;0,"Over-applied",IF(ROUND(X174-Y174,2)=0,"Fully Utilised","Unconsumed")))</f>
      </c>
    </row>
    <row r="175" spans="1:27" x14ac:dyDescent="0.25">
      <c r="A175" s="7">
        <f>IF($C175="","",COUNTIF($C$4:$C175,"&lt;&gt;"))</f>
      </c>
      <c r="B175" s="8"/>
      <c r="C175" s="8"/>
      <c r="D175" s="8"/>
      <c r="E175" s="8"/>
      <c r="F175" s="8"/>
      <c r="G175" s="8"/>
      <c r="H175" s="8"/>
      <c r="I175" s="8"/>
      <c r="J175" s="8"/>
      <c r="K175" s="8"/>
      <c r="L175" s="8"/>
      <c r="M175" s="7">
        <f>IF($C175="","",G175+H175+I175+J175+K175+L175)</f>
      </c>
      <c r="N175" s="8"/>
      <c r="O175" s="8"/>
      <c r="P175" s="8"/>
      <c r="Q175" s="8"/>
      <c r="R175" s="8"/>
      <c r="S175" s="7">
        <f>IF($C175="","",C175&amp;" | BSR "&amp;B175&amp;" | "&amp;TEXT(D175,"dd-mm-yyyy")&amp;" | ₹"&amp;TEXT(M175,"#,##0"))</f>
      </c>
      <c r="T175" s="7">
        <f>IF($C175="","",SUMIFS('Q1 Data'!$L$4:$L$207,'Q1 Data'!$B$4:$B$207,$S175)+SUMIFS('Q1 Data'!$O$4:$O$207,'Q1 Data'!$B$4:$B$207,$S175)+SUMIFS('Q1 Data'!$M$4:$M$207,'Q1 Data'!$B$4:$B$207,$S175))</f>
      </c>
      <c r="U175" s="7">
        <f>IF($C175="","",SUMIFS('Q2 Data'!$L$4:$L$207,'Q2 Data'!$B$4:$B$207,$S175)+SUMIFS('Q2 Data'!$O$4:$O$207,'Q2 Data'!$B$4:$B$207,$S175)+SUMIFS('Q2 Data'!$M$4:$M$207,'Q2 Data'!$B$4:$B$207,$S175))</f>
      </c>
      <c r="V175" s="7">
        <f>IF($C175="","",SUMIFS('Q3 Data'!$L$4:$L$207,'Q3 Data'!$B$4:$B$207,$S175)+SUMIFS('Q3 Data'!$O$4:$O$207,'Q3 Data'!$B$4:$B$207,$S175)+SUMIFS('Q3 Data'!$M$4:$M$207,'Q3 Data'!$B$4:$B$207,$S175))</f>
      </c>
      <c r="W175" s="7">
        <f>IF($C175="","",SUMIFS('Q4 Data'!$L$4:$L$207,'Q4 Data'!$B$4:$B$207,$S175)+SUMIFS('Q4 Data'!$O$4:$O$207,'Q4 Data'!$B$4:$B$207,$S175)+SUMIFS('Q4 Data'!$M$4:$M$207,'Q4 Data'!$B$4:$B$207,$S175))</f>
      </c>
      <c r="X175" s="7">
        <f>IF($C175="","",T175+U175+V175+W175)</f>
      </c>
      <c r="Y175" s="7">
        <f>IF($C175="","",M175-L175)</f>
      </c>
      <c r="Z175" s="7">
        <f>IF($C175="","",Y175-X175)</f>
      </c>
      <c r="AA175" s="7">
        <f>IF($C175="","",IF(ROUND(X175-Y175,2)&gt;0,"Over-applied",IF(ROUND(X175-Y175,2)=0,"Fully Utilised","Unconsumed")))</f>
      </c>
    </row>
    <row r="176" spans="1:27" x14ac:dyDescent="0.25">
      <c r="A176" s="7">
        <f>IF($C176="","",COUNTIF($C$4:$C176,"&lt;&gt;"))</f>
      </c>
      <c r="B176" s="8"/>
      <c r="C176" s="8"/>
      <c r="D176" s="8"/>
      <c r="E176" s="8"/>
      <c r="F176" s="8"/>
      <c r="G176" s="8"/>
      <c r="H176" s="8"/>
      <c r="I176" s="8"/>
      <c r="J176" s="8"/>
      <c r="K176" s="8"/>
      <c r="L176" s="8"/>
      <c r="M176" s="7">
        <f>IF($C176="","",G176+H176+I176+J176+K176+L176)</f>
      </c>
      <c r="N176" s="8"/>
      <c r="O176" s="8"/>
      <c r="P176" s="8"/>
      <c r="Q176" s="8"/>
      <c r="R176" s="8"/>
      <c r="S176" s="7">
        <f>IF($C176="","",C176&amp;" | BSR "&amp;B176&amp;" | "&amp;TEXT(D176,"dd-mm-yyyy")&amp;" | ₹"&amp;TEXT(M176,"#,##0"))</f>
      </c>
      <c r="T176" s="7">
        <f>IF($C176="","",SUMIFS('Q1 Data'!$L$4:$L$207,'Q1 Data'!$B$4:$B$207,$S176)+SUMIFS('Q1 Data'!$O$4:$O$207,'Q1 Data'!$B$4:$B$207,$S176)+SUMIFS('Q1 Data'!$M$4:$M$207,'Q1 Data'!$B$4:$B$207,$S176))</f>
      </c>
      <c r="U176" s="7">
        <f>IF($C176="","",SUMIFS('Q2 Data'!$L$4:$L$207,'Q2 Data'!$B$4:$B$207,$S176)+SUMIFS('Q2 Data'!$O$4:$O$207,'Q2 Data'!$B$4:$B$207,$S176)+SUMIFS('Q2 Data'!$M$4:$M$207,'Q2 Data'!$B$4:$B$207,$S176))</f>
      </c>
      <c r="V176" s="7">
        <f>IF($C176="","",SUMIFS('Q3 Data'!$L$4:$L$207,'Q3 Data'!$B$4:$B$207,$S176)+SUMIFS('Q3 Data'!$O$4:$O$207,'Q3 Data'!$B$4:$B$207,$S176)+SUMIFS('Q3 Data'!$M$4:$M$207,'Q3 Data'!$B$4:$B$207,$S176))</f>
      </c>
      <c r="W176" s="7">
        <f>IF($C176="","",SUMIFS('Q4 Data'!$L$4:$L$207,'Q4 Data'!$B$4:$B$207,$S176)+SUMIFS('Q4 Data'!$O$4:$O$207,'Q4 Data'!$B$4:$B$207,$S176)+SUMIFS('Q4 Data'!$M$4:$M$207,'Q4 Data'!$B$4:$B$207,$S176))</f>
      </c>
      <c r="X176" s="7">
        <f>IF($C176="","",T176+U176+V176+W176)</f>
      </c>
      <c r="Y176" s="7">
        <f>IF($C176="","",M176-L176)</f>
      </c>
      <c r="Z176" s="7">
        <f>IF($C176="","",Y176-X176)</f>
      </c>
      <c r="AA176" s="7">
        <f>IF($C176="","",IF(ROUND(X176-Y176,2)&gt;0,"Over-applied",IF(ROUND(X176-Y176,2)=0,"Fully Utilised","Unconsumed")))</f>
      </c>
    </row>
    <row r="177" spans="1:27" x14ac:dyDescent="0.25">
      <c r="A177" s="7">
        <f>IF($C177="","",COUNTIF($C$4:$C177,"&lt;&gt;"))</f>
      </c>
      <c r="B177" s="8"/>
      <c r="C177" s="8"/>
      <c r="D177" s="8"/>
      <c r="E177" s="8"/>
      <c r="F177" s="8"/>
      <c r="G177" s="8"/>
      <c r="H177" s="8"/>
      <c r="I177" s="8"/>
      <c r="J177" s="8"/>
      <c r="K177" s="8"/>
      <c r="L177" s="8"/>
      <c r="M177" s="7">
        <f>IF($C177="","",G177+H177+I177+J177+K177+L177)</f>
      </c>
      <c r="N177" s="8"/>
      <c r="O177" s="8"/>
      <c r="P177" s="8"/>
      <c r="Q177" s="8"/>
      <c r="R177" s="8"/>
      <c r="S177" s="7">
        <f>IF($C177="","",C177&amp;" | BSR "&amp;B177&amp;" | "&amp;TEXT(D177,"dd-mm-yyyy")&amp;" | ₹"&amp;TEXT(M177,"#,##0"))</f>
      </c>
      <c r="T177" s="7">
        <f>IF($C177="","",SUMIFS('Q1 Data'!$L$4:$L$207,'Q1 Data'!$B$4:$B$207,$S177)+SUMIFS('Q1 Data'!$O$4:$O$207,'Q1 Data'!$B$4:$B$207,$S177)+SUMIFS('Q1 Data'!$M$4:$M$207,'Q1 Data'!$B$4:$B$207,$S177))</f>
      </c>
      <c r="U177" s="7">
        <f>IF($C177="","",SUMIFS('Q2 Data'!$L$4:$L$207,'Q2 Data'!$B$4:$B$207,$S177)+SUMIFS('Q2 Data'!$O$4:$O$207,'Q2 Data'!$B$4:$B$207,$S177)+SUMIFS('Q2 Data'!$M$4:$M$207,'Q2 Data'!$B$4:$B$207,$S177))</f>
      </c>
      <c r="V177" s="7">
        <f>IF($C177="","",SUMIFS('Q3 Data'!$L$4:$L$207,'Q3 Data'!$B$4:$B$207,$S177)+SUMIFS('Q3 Data'!$O$4:$O$207,'Q3 Data'!$B$4:$B$207,$S177)+SUMIFS('Q3 Data'!$M$4:$M$207,'Q3 Data'!$B$4:$B$207,$S177))</f>
      </c>
      <c r="W177" s="7">
        <f>IF($C177="","",SUMIFS('Q4 Data'!$L$4:$L$207,'Q4 Data'!$B$4:$B$207,$S177)+SUMIFS('Q4 Data'!$O$4:$O$207,'Q4 Data'!$B$4:$B$207,$S177)+SUMIFS('Q4 Data'!$M$4:$M$207,'Q4 Data'!$B$4:$B$207,$S177))</f>
      </c>
      <c r="X177" s="7">
        <f>IF($C177="","",T177+U177+V177+W177)</f>
      </c>
      <c r="Y177" s="7">
        <f>IF($C177="","",M177-L177)</f>
      </c>
      <c r="Z177" s="7">
        <f>IF($C177="","",Y177-X177)</f>
      </c>
      <c r="AA177" s="7">
        <f>IF($C177="","",IF(ROUND(X177-Y177,2)&gt;0,"Over-applied",IF(ROUND(X177-Y177,2)=0,"Fully Utilised","Unconsumed")))</f>
      </c>
    </row>
    <row r="178" spans="1:27" x14ac:dyDescent="0.25">
      <c r="A178" s="7">
        <f>IF($C178="","",COUNTIF($C$4:$C178,"&lt;&gt;"))</f>
      </c>
      <c r="B178" s="8"/>
      <c r="C178" s="8"/>
      <c r="D178" s="8"/>
      <c r="E178" s="8"/>
      <c r="F178" s="8"/>
      <c r="G178" s="8"/>
      <c r="H178" s="8"/>
      <c r="I178" s="8"/>
      <c r="J178" s="8"/>
      <c r="K178" s="8"/>
      <c r="L178" s="8"/>
      <c r="M178" s="7">
        <f>IF($C178="","",G178+H178+I178+J178+K178+L178)</f>
      </c>
      <c r="N178" s="8"/>
      <c r="O178" s="8"/>
      <c r="P178" s="8"/>
      <c r="Q178" s="8"/>
      <c r="R178" s="8"/>
      <c r="S178" s="7">
        <f>IF($C178="","",C178&amp;" | BSR "&amp;B178&amp;" | "&amp;TEXT(D178,"dd-mm-yyyy")&amp;" | ₹"&amp;TEXT(M178,"#,##0"))</f>
      </c>
      <c r="T178" s="7">
        <f>IF($C178="","",SUMIFS('Q1 Data'!$L$4:$L$207,'Q1 Data'!$B$4:$B$207,$S178)+SUMIFS('Q1 Data'!$O$4:$O$207,'Q1 Data'!$B$4:$B$207,$S178)+SUMIFS('Q1 Data'!$M$4:$M$207,'Q1 Data'!$B$4:$B$207,$S178))</f>
      </c>
      <c r="U178" s="7">
        <f>IF($C178="","",SUMIFS('Q2 Data'!$L$4:$L$207,'Q2 Data'!$B$4:$B$207,$S178)+SUMIFS('Q2 Data'!$O$4:$O$207,'Q2 Data'!$B$4:$B$207,$S178)+SUMIFS('Q2 Data'!$M$4:$M$207,'Q2 Data'!$B$4:$B$207,$S178))</f>
      </c>
      <c r="V178" s="7">
        <f>IF($C178="","",SUMIFS('Q3 Data'!$L$4:$L$207,'Q3 Data'!$B$4:$B$207,$S178)+SUMIFS('Q3 Data'!$O$4:$O$207,'Q3 Data'!$B$4:$B$207,$S178)+SUMIFS('Q3 Data'!$M$4:$M$207,'Q3 Data'!$B$4:$B$207,$S178))</f>
      </c>
      <c r="W178" s="7">
        <f>IF($C178="","",SUMIFS('Q4 Data'!$L$4:$L$207,'Q4 Data'!$B$4:$B$207,$S178)+SUMIFS('Q4 Data'!$O$4:$O$207,'Q4 Data'!$B$4:$B$207,$S178)+SUMIFS('Q4 Data'!$M$4:$M$207,'Q4 Data'!$B$4:$B$207,$S178))</f>
      </c>
      <c r="X178" s="7">
        <f>IF($C178="","",T178+U178+V178+W178)</f>
      </c>
      <c r="Y178" s="7">
        <f>IF($C178="","",M178-L178)</f>
      </c>
      <c r="Z178" s="7">
        <f>IF($C178="","",Y178-X178)</f>
      </c>
      <c r="AA178" s="7">
        <f>IF($C178="","",IF(ROUND(X178-Y178,2)&gt;0,"Over-applied",IF(ROUND(X178-Y178,2)=0,"Fully Utilised","Unconsumed")))</f>
      </c>
    </row>
    <row r="179" spans="1:27" x14ac:dyDescent="0.25">
      <c r="A179" s="7">
        <f>IF($C179="","",COUNTIF($C$4:$C179,"&lt;&gt;"))</f>
      </c>
      <c r="B179" s="8"/>
      <c r="C179" s="8"/>
      <c r="D179" s="8"/>
      <c r="E179" s="8"/>
      <c r="F179" s="8"/>
      <c r="G179" s="8"/>
      <c r="H179" s="8"/>
      <c r="I179" s="8"/>
      <c r="J179" s="8"/>
      <c r="K179" s="8"/>
      <c r="L179" s="8"/>
      <c r="M179" s="7">
        <f>IF($C179="","",G179+H179+I179+J179+K179+L179)</f>
      </c>
      <c r="N179" s="8"/>
      <c r="O179" s="8"/>
      <c r="P179" s="8"/>
      <c r="Q179" s="8"/>
      <c r="R179" s="8"/>
      <c r="S179" s="7">
        <f>IF($C179="","",C179&amp;" | BSR "&amp;B179&amp;" | "&amp;TEXT(D179,"dd-mm-yyyy")&amp;" | ₹"&amp;TEXT(M179,"#,##0"))</f>
      </c>
      <c r="T179" s="7">
        <f>IF($C179="","",SUMIFS('Q1 Data'!$L$4:$L$207,'Q1 Data'!$B$4:$B$207,$S179)+SUMIFS('Q1 Data'!$O$4:$O$207,'Q1 Data'!$B$4:$B$207,$S179)+SUMIFS('Q1 Data'!$M$4:$M$207,'Q1 Data'!$B$4:$B$207,$S179))</f>
      </c>
      <c r="U179" s="7">
        <f>IF($C179="","",SUMIFS('Q2 Data'!$L$4:$L$207,'Q2 Data'!$B$4:$B$207,$S179)+SUMIFS('Q2 Data'!$O$4:$O$207,'Q2 Data'!$B$4:$B$207,$S179)+SUMIFS('Q2 Data'!$M$4:$M$207,'Q2 Data'!$B$4:$B$207,$S179))</f>
      </c>
      <c r="V179" s="7">
        <f>IF($C179="","",SUMIFS('Q3 Data'!$L$4:$L$207,'Q3 Data'!$B$4:$B$207,$S179)+SUMIFS('Q3 Data'!$O$4:$O$207,'Q3 Data'!$B$4:$B$207,$S179)+SUMIFS('Q3 Data'!$M$4:$M$207,'Q3 Data'!$B$4:$B$207,$S179))</f>
      </c>
      <c r="W179" s="7">
        <f>IF($C179="","",SUMIFS('Q4 Data'!$L$4:$L$207,'Q4 Data'!$B$4:$B$207,$S179)+SUMIFS('Q4 Data'!$O$4:$O$207,'Q4 Data'!$B$4:$B$207,$S179)+SUMIFS('Q4 Data'!$M$4:$M$207,'Q4 Data'!$B$4:$B$207,$S179))</f>
      </c>
      <c r="X179" s="7">
        <f>IF($C179="","",T179+U179+V179+W179)</f>
      </c>
      <c r="Y179" s="7">
        <f>IF($C179="","",M179-L179)</f>
      </c>
      <c r="Z179" s="7">
        <f>IF($C179="","",Y179-X179)</f>
      </c>
      <c r="AA179" s="7">
        <f>IF($C179="","",IF(ROUND(X179-Y179,2)&gt;0,"Over-applied",IF(ROUND(X179-Y179,2)=0,"Fully Utilised","Unconsumed")))</f>
      </c>
    </row>
    <row r="180" spans="1:27" x14ac:dyDescent="0.25">
      <c r="A180" s="7">
        <f>IF($C180="","",COUNTIF($C$4:$C180,"&lt;&gt;"))</f>
      </c>
      <c r="B180" s="8"/>
      <c r="C180" s="8"/>
      <c r="D180" s="8"/>
      <c r="E180" s="8"/>
      <c r="F180" s="8"/>
      <c r="G180" s="8"/>
      <c r="H180" s="8"/>
      <c r="I180" s="8"/>
      <c r="J180" s="8"/>
      <c r="K180" s="8"/>
      <c r="L180" s="8"/>
      <c r="M180" s="7">
        <f>IF($C180="","",G180+H180+I180+J180+K180+L180)</f>
      </c>
      <c r="N180" s="8"/>
      <c r="O180" s="8"/>
      <c r="P180" s="8"/>
      <c r="Q180" s="8"/>
      <c r="R180" s="8"/>
      <c r="S180" s="7">
        <f>IF($C180="","",C180&amp;" | BSR "&amp;B180&amp;" | "&amp;TEXT(D180,"dd-mm-yyyy")&amp;" | ₹"&amp;TEXT(M180,"#,##0"))</f>
      </c>
      <c r="T180" s="7">
        <f>IF($C180="","",SUMIFS('Q1 Data'!$L$4:$L$207,'Q1 Data'!$B$4:$B$207,$S180)+SUMIFS('Q1 Data'!$O$4:$O$207,'Q1 Data'!$B$4:$B$207,$S180)+SUMIFS('Q1 Data'!$M$4:$M$207,'Q1 Data'!$B$4:$B$207,$S180))</f>
      </c>
      <c r="U180" s="7">
        <f>IF($C180="","",SUMIFS('Q2 Data'!$L$4:$L$207,'Q2 Data'!$B$4:$B$207,$S180)+SUMIFS('Q2 Data'!$O$4:$O$207,'Q2 Data'!$B$4:$B$207,$S180)+SUMIFS('Q2 Data'!$M$4:$M$207,'Q2 Data'!$B$4:$B$207,$S180))</f>
      </c>
      <c r="V180" s="7">
        <f>IF($C180="","",SUMIFS('Q3 Data'!$L$4:$L$207,'Q3 Data'!$B$4:$B$207,$S180)+SUMIFS('Q3 Data'!$O$4:$O$207,'Q3 Data'!$B$4:$B$207,$S180)+SUMIFS('Q3 Data'!$M$4:$M$207,'Q3 Data'!$B$4:$B$207,$S180))</f>
      </c>
      <c r="W180" s="7">
        <f>IF($C180="","",SUMIFS('Q4 Data'!$L$4:$L$207,'Q4 Data'!$B$4:$B$207,$S180)+SUMIFS('Q4 Data'!$O$4:$O$207,'Q4 Data'!$B$4:$B$207,$S180)+SUMIFS('Q4 Data'!$M$4:$M$207,'Q4 Data'!$B$4:$B$207,$S180))</f>
      </c>
      <c r="X180" s="7">
        <f>IF($C180="","",T180+U180+V180+W180)</f>
      </c>
      <c r="Y180" s="7">
        <f>IF($C180="","",M180-L180)</f>
      </c>
      <c r="Z180" s="7">
        <f>IF($C180="","",Y180-X180)</f>
      </c>
      <c r="AA180" s="7">
        <f>IF($C180="","",IF(ROUND(X180-Y180,2)&gt;0,"Over-applied",IF(ROUND(X180-Y180,2)=0,"Fully Utilised","Unconsumed")))</f>
      </c>
    </row>
    <row r="181" spans="1:27" x14ac:dyDescent="0.25">
      <c r="A181" s="7">
        <f>IF($C181="","",COUNTIF($C$4:$C181,"&lt;&gt;"))</f>
      </c>
      <c r="B181" s="8"/>
      <c r="C181" s="8"/>
      <c r="D181" s="8"/>
      <c r="E181" s="8"/>
      <c r="F181" s="8"/>
      <c r="G181" s="8"/>
      <c r="H181" s="8"/>
      <c r="I181" s="8"/>
      <c r="J181" s="8"/>
      <c r="K181" s="8"/>
      <c r="L181" s="8"/>
      <c r="M181" s="7">
        <f>IF($C181="","",G181+H181+I181+J181+K181+L181)</f>
      </c>
      <c r="N181" s="8"/>
      <c r="O181" s="8"/>
      <c r="P181" s="8"/>
      <c r="Q181" s="8"/>
      <c r="R181" s="8"/>
      <c r="S181" s="7">
        <f>IF($C181="","",C181&amp;" | BSR "&amp;B181&amp;" | "&amp;TEXT(D181,"dd-mm-yyyy")&amp;" | ₹"&amp;TEXT(M181,"#,##0"))</f>
      </c>
      <c r="T181" s="7">
        <f>IF($C181="","",SUMIFS('Q1 Data'!$L$4:$L$207,'Q1 Data'!$B$4:$B$207,$S181)+SUMIFS('Q1 Data'!$O$4:$O$207,'Q1 Data'!$B$4:$B$207,$S181)+SUMIFS('Q1 Data'!$M$4:$M$207,'Q1 Data'!$B$4:$B$207,$S181))</f>
      </c>
      <c r="U181" s="7">
        <f>IF($C181="","",SUMIFS('Q2 Data'!$L$4:$L$207,'Q2 Data'!$B$4:$B$207,$S181)+SUMIFS('Q2 Data'!$O$4:$O$207,'Q2 Data'!$B$4:$B$207,$S181)+SUMIFS('Q2 Data'!$M$4:$M$207,'Q2 Data'!$B$4:$B$207,$S181))</f>
      </c>
      <c r="V181" s="7">
        <f>IF($C181="","",SUMIFS('Q3 Data'!$L$4:$L$207,'Q3 Data'!$B$4:$B$207,$S181)+SUMIFS('Q3 Data'!$O$4:$O$207,'Q3 Data'!$B$4:$B$207,$S181)+SUMIFS('Q3 Data'!$M$4:$M$207,'Q3 Data'!$B$4:$B$207,$S181))</f>
      </c>
      <c r="W181" s="7">
        <f>IF($C181="","",SUMIFS('Q4 Data'!$L$4:$L$207,'Q4 Data'!$B$4:$B$207,$S181)+SUMIFS('Q4 Data'!$O$4:$O$207,'Q4 Data'!$B$4:$B$207,$S181)+SUMIFS('Q4 Data'!$M$4:$M$207,'Q4 Data'!$B$4:$B$207,$S181))</f>
      </c>
      <c r="X181" s="7">
        <f>IF($C181="","",T181+U181+V181+W181)</f>
      </c>
      <c r="Y181" s="7">
        <f>IF($C181="","",M181-L181)</f>
      </c>
      <c r="Z181" s="7">
        <f>IF($C181="","",Y181-X181)</f>
      </c>
      <c r="AA181" s="7">
        <f>IF($C181="","",IF(ROUND(X181-Y181,2)&gt;0,"Over-applied",IF(ROUND(X181-Y181,2)=0,"Fully Utilised","Unconsumed")))</f>
      </c>
    </row>
    <row r="182" spans="1:27" x14ac:dyDescent="0.25">
      <c r="A182" s="7">
        <f>IF($C182="","",COUNTIF($C$4:$C182,"&lt;&gt;"))</f>
      </c>
      <c r="B182" s="8"/>
      <c r="C182" s="8"/>
      <c r="D182" s="8"/>
      <c r="E182" s="8"/>
      <c r="F182" s="8"/>
      <c r="G182" s="8"/>
      <c r="H182" s="8"/>
      <c r="I182" s="8"/>
      <c r="J182" s="8"/>
      <c r="K182" s="8"/>
      <c r="L182" s="8"/>
      <c r="M182" s="7">
        <f>IF($C182="","",G182+H182+I182+J182+K182+L182)</f>
      </c>
      <c r="N182" s="8"/>
      <c r="O182" s="8"/>
      <c r="P182" s="8"/>
      <c r="Q182" s="8"/>
      <c r="R182" s="8"/>
      <c r="S182" s="7">
        <f>IF($C182="","",C182&amp;" | BSR "&amp;B182&amp;" | "&amp;TEXT(D182,"dd-mm-yyyy")&amp;" | ₹"&amp;TEXT(M182,"#,##0"))</f>
      </c>
      <c r="T182" s="7">
        <f>IF($C182="","",SUMIFS('Q1 Data'!$L$4:$L$207,'Q1 Data'!$B$4:$B$207,$S182)+SUMIFS('Q1 Data'!$O$4:$O$207,'Q1 Data'!$B$4:$B$207,$S182)+SUMIFS('Q1 Data'!$M$4:$M$207,'Q1 Data'!$B$4:$B$207,$S182))</f>
      </c>
      <c r="U182" s="7">
        <f>IF($C182="","",SUMIFS('Q2 Data'!$L$4:$L$207,'Q2 Data'!$B$4:$B$207,$S182)+SUMIFS('Q2 Data'!$O$4:$O$207,'Q2 Data'!$B$4:$B$207,$S182)+SUMIFS('Q2 Data'!$M$4:$M$207,'Q2 Data'!$B$4:$B$207,$S182))</f>
      </c>
      <c r="V182" s="7">
        <f>IF($C182="","",SUMIFS('Q3 Data'!$L$4:$L$207,'Q3 Data'!$B$4:$B$207,$S182)+SUMIFS('Q3 Data'!$O$4:$O$207,'Q3 Data'!$B$4:$B$207,$S182)+SUMIFS('Q3 Data'!$M$4:$M$207,'Q3 Data'!$B$4:$B$207,$S182))</f>
      </c>
      <c r="W182" s="7">
        <f>IF($C182="","",SUMIFS('Q4 Data'!$L$4:$L$207,'Q4 Data'!$B$4:$B$207,$S182)+SUMIFS('Q4 Data'!$O$4:$O$207,'Q4 Data'!$B$4:$B$207,$S182)+SUMIFS('Q4 Data'!$M$4:$M$207,'Q4 Data'!$B$4:$B$207,$S182))</f>
      </c>
      <c r="X182" s="7">
        <f>IF($C182="","",T182+U182+V182+W182)</f>
      </c>
      <c r="Y182" s="7">
        <f>IF($C182="","",M182-L182)</f>
      </c>
      <c r="Z182" s="7">
        <f>IF($C182="","",Y182-X182)</f>
      </c>
      <c r="AA182" s="7">
        <f>IF($C182="","",IF(ROUND(X182-Y182,2)&gt;0,"Over-applied",IF(ROUND(X182-Y182,2)=0,"Fully Utilised","Unconsumed")))</f>
      </c>
    </row>
    <row r="183" spans="1:27" x14ac:dyDescent="0.25">
      <c r="A183" s="7">
        <f>IF($C183="","",COUNTIF($C$4:$C183,"&lt;&gt;"))</f>
      </c>
      <c r="B183" s="8"/>
      <c r="C183" s="8"/>
      <c r="D183" s="8"/>
      <c r="E183" s="8"/>
      <c r="F183" s="8"/>
      <c r="G183" s="8"/>
      <c r="H183" s="8"/>
      <c r="I183" s="8"/>
      <c r="J183" s="8"/>
      <c r="K183" s="8"/>
      <c r="L183" s="8"/>
      <c r="M183" s="7">
        <f>IF($C183="","",G183+H183+I183+J183+K183+L183)</f>
      </c>
      <c r="N183" s="8"/>
      <c r="O183" s="8"/>
      <c r="P183" s="8"/>
      <c r="Q183" s="8"/>
      <c r="R183" s="8"/>
      <c r="S183" s="7">
        <f>IF($C183="","",C183&amp;" | BSR "&amp;B183&amp;" | "&amp;TEXT(D183,"dd-mm-yyyy")&amp;" | ₹"&amp;TEXT(M183,"#,##0"))</f>
      </c>
      <c r="T183" s="7">
        <f>IF($C183="","",SUMIFS('Q1 Data'!$L$4:$L$207,'Q1 Data'!$B$4:$B$207,$S183)+SUMIFS('Q1 Data'!$O$4:$O$207,'Q1 Data'!$B$4:$B$207,$S183)+SUMIFS('Q1 Data'!$M$4:$M$207,'Q1 Data'!$B$4:$B$207,$S183))</f>
      </c>
      <c r="U183" s="7">
        <f>IF($C183="","",SUMIFS('Q2 Data'!$L$4:$L$207,'Q2 Data'!$B$4:$B$207,$S183)+SUMIFS('Q2 Data'!$O$4:$O$207,'Q2 Data'!$B$4:$B$207,$S183)+SUMIFS('Q2 Data'!$M$4:$M$207,'Q2 Data'!$B$4:$B$207,$S183))</f>
      </c>
      <c r="V183" s="7">
        <f>IF($C183="","",SUMIFS('Q3 Data'!$L$4:$L$207,'Q3 Data'!$B$4:$B$207,$S183)+SUMIFS('Q3 Data'!$O$4:$O$207,'Q3 Data'!$B$4:$B$207,$S183)+SUMIFS('Q3 Data'!$M$4:$M$207,'Q3 Data'!$B$4:$B$207,$S183))</f>
      </c>
      <c r="W183" s="7">
        <f>IF($C183="","",SUMIFS('Q4 Data'!$L$4:$L$207,'Q4 Data'!$B$4:$B$207,$S183)+SUMIFS('Q4 Data'!$O$4:$O$207,'Q4 Data'!$B$4:$B$207,$S183)+SUMIFS('Q4 Data'!$M$4:$M$207,'Q4 Data'!$B$4:$B$207,$S183))</f>
      </c>
      <c r="X183" s="7">
        <f>IF($C183="","",T183+U183+V183+W183)</f>
      </c>
      <c r="Y183" s="7">
        <f>IF($C183="","",M183-L183)</f>
      </c>
      <c r="Z183" s="7">
        <f>IF($C183="","",Y183-X183)</f>
      </c>
      <c r="AA183" s="7">
        <f>IF($C183="","",IF(ROUND(X183-Y183,2)&gt;0,"Over-applied",IF(ROUND(X183-Y183,2)=0,"Fully Utilised","Unconsumed")))</f>
      </c>
    </row>
    <row r="184" spans="1:27" x14ac:dyDescent="0.25">
      <c r="A184" s="7">
        <f>IF($C184="","",COUNTIF($C$4:$C184,"&lt;&gt;"))</f>
      </c>
      <c r="B184" s="8"/>
      <c r="C184" s="8"/>
      <c r="D184" s="8"/>
      <c r="E184" s="8"/>
      <c r="F184" s="8"/>
      <c r="G184" s="8"/>
      <c r="H184" s="8"/>
      <c r="I184" s="8"/>
      <c r="J184" s="8"/>
      <c r="K184" s="8"/>
      <c r="L184" s="8"/>
      <c r="M184" s="7">
        <f>IF($C184="","",G184+H184+I184+J184+K184+L184)</f>
      </c>
      <c r="N184" s="8"/>
      <c r="O184" s="8"/>
      <c r="P184" s="8"/>
      <c r="Q184" s="8"/>
      <c r="R184" s="8"/>
      <c r="S184" s="7">
        <f>IF($C184="","",C184&amp;" | BSR "&amp;B184&amp;" | "&amp;TEXT(D184,"dd-mm-yyyy")&amp;" | ₹"&amp;TEXT(M184,"#,##0"))</f>
      </c>
      <c r="T184" s="7">
        <f>IF($C184="","",SUMIFS('Q1 Data'!$L$4:$L$207,'Q1 Data'!$B$4:$B$207,$S184)+SUMIFS('Q1 Data'!$O$4:$O$207,'Q1 Data'!$B$4:$B$207,$S184)+SUMIFS('Q1 Data'!$M$4:$M$207,'Q1 Data'!$B$4:$B$207,$S184))</f>
      </c>
      <c r="U184" s="7">
        <f>IF($C184="","",SUMIFS('Q2 Data'!$L$4:$L$207,'Q2 Data'!$B$4:$B$207,$S184)+SUMIFS('Q2 Data'!$O$4:$O$207,'Q2 Data'!$B$4:$B$207,$S184)+SUMIFS('Q2 Data'!$M$4:$M$207,'Q2 Data'!$B$4:$B$207,$S184))</f>
      </c>
      <c r="V184" s="7">
        <f>IF($C184="","",SUMIFS('Q3 Data'!$L$4:$L$207,'Q3 Data'!$B$4:$B$207,$S184)+SUMIFS('Q3 Data'!$O$4:$O$207,'Q3 Data'!$B$4:$B$207,$S184)+SUMIFS('Q3 Data'!$M$4:$M$207,'Q3 Data'!$B$4:$B$207,$S184))</f>
      </c>
      <c r="W184" s="7">
        <f>IF($C184="","",SUMIFS('Q4 Data'!$L$4:$L$207,'Q4 Data'!$B$4:$B$207,$S184)+SUMIFS('Q4 Data'!$O$4:$O$207,'Q4 Data'!$B$4:$B$207,$S184)+SUMIFS('Q4 Data'!$M$4:$M$207,'Q4 Data'!$B$4:$B$207,$S184))</f>
      </c>
      <c r="X184" s="7">
        <f>IF($C184="","",T184+U184+V184+W184)</f>
      </c>
      <c r="Y184" s="7">
        <f>IF($C184="","",M184-L184)</f>
      </c>
      <c r="Z184" s="7">
        <f>IF($C184="","",Y184-X184)</f>
      </c>
      <c r="AA184" s="7">
        <f>IF($C184="","",IF(ROUND(X184-Y184,2)&gt;0,"Over-applied",IF(ROUND(X184-Y184,2)=0,"Fully Utilised","Unconsumed")))</f>
      </c>
    </row>
    <row r="185" spans="1:27" x14ac:dyDescent="0.25">
      <c r="A185" s="7">
        <f>IF($C185="","",COUNTIF($C$4:$C185,"&lt;&gt;"))</f>
      </c>
      <c r="B185" s="8"/>
      <c r="C185" s="8"/>
      <c r="D185" s="8"/>
      <c r="E185" s="8"/>
      <c r="F185" s="8"/>
      <c r="G185" s="8"/>
      <c r="H185" s="8"/>
      <c r="I185" s="8"/>
      <c r="J185" s="8"/>
      <c r="K185" s="8"/>
      <c r="L185" s="8"/>
      <c r="M185" s="7">
        <f>IF($C185="","",G185+H185+I185+J185+K185+L185)</f>
      </c>
      <c r="N185" s="8"/>
      <c r="O185" s="8"/>
      <c r="P185" s="8"/>
      <c r="Q185" s="8"/>
      <c r="R185" s="8"/>
      <c r="S185" s="7">
        <f>IF($C185="","",C185&amp;" | BSR "&amp;B185&amp;" | "&amp;TEXT(D185,"dd-mm-yyyy")&amp;" | ₹"&amp;TEXT(M185,"#,##0"))</f>
      </c>
      <c r="T185" s="7">
        <f>IF($C185="","",SUMIFS('Q1 Data'!$L$4:$L$207,'Q1 Data'!$B$4:$B$207,$S185)+SUMIFS('Q1 Data'!$O$4:$O$207,'Q1 Data'!$B$4:$B$207,$S185)+SUMIFS('Q1 Data'!$M$4:$M$207,'Q1 Data'!$B$4:$B$207,$S185))</f>
      </c>
      <c r="U185" s="7">
        <f>IF($C185="","",SUMIFS('Q2 Data'!$L$4:$L$207,'Q2 Data'!$B$4:$B$207,$S185)+SUMIFS('Q2 Data'!$O$4:$O$207,'Q2 Data'!$B$4:$B$207,$S185)+SUMIFS('Q2 Data'!$M$4:$M$207,'Q2 Data'!$B$4:$B$207,$S185))</f>
      </c>
      <c r="V185" s="7">
        <f>IF($C185="","",SUMIFS('Q3 Data'!$L$4:$L$207,'Q3 Data'!$B$4:$B$207,$S185)+SUMIFS('Q3 Data'!$O$4:$O$207,'Q3 Data'!$B$4:$B$207,$S185)+SUMIFS('Q3 Data'!$M$4:$M$207,'Q3 Data'!$B$4:$B$207,$S185))</f>
      </c>
      <c r="W185" s="7">
        <f>IF($C185="","",SUMIFS('Q4 Data'!$L$4:$L$207,'Q4 Data'!$B$4:$B$207,$S185)+SUMIFS('Q4 Data'!$O$4:$O$207,'Q4 Data'!$B$4:$B$207,$S185)+SUMIFS('Q4 Data'!$M$4:$M$207,'Q4 Data'!$B$4:$B$207,$S185))</f>
      </c>
      <c r="X185" s="7">
        <f>IF($C185="","",T185+U185+V185+W185)</f>
      </c>
      <c r="Y185" s="7">
        <f>IF($C185="","",M185-L185)</f>
      </c>
      <c r="Z185" s="7">
        <f>IF($C185="","",Y185-X185)</f>
      </c>
      <c r="AA185" s="7">
        <f>IF($C185="","",IF(ROUND(X185-Y185,2)&gt;0,"Over-applied",IF(ROUND(X185-Y185,2)=0,"Fully Utilised","Unconsumed")))</f>
      </c>
    </row>
    <row r="186" spans="1:27" x14ac:dyDescent="0.25">
      <c r="A186" s="7">
        <f>IF($C186="","",COUNTIF($C$4:$C186,"&lt;&gt;"))</f>
      </c>
      <c r="B186" s="8"/>
      <c r="C186" s="8"/>
      <c r="D186" s="8"/>
      <c r="E186" s="8"/>
      <c r="F186" s="8"/>
      <c r="G186" s="8"/>
      <c r="H186" s="8"/>
      <c r="I186" s="8"/>
      <c r="J186" s="8"/>
      <c r="K186" s="8"/>
      <c r="L186" s="8"/>
      <c r="M186" s="7">
        <f>IF($C186="","",G186+H186+I186+J186+K186+L186)</f>
      </c>
      <c r="N186" s="8"/>
      <c r="O186" s="8"/>
      <c r="P186" s="8"/>
      <c r="Q186" s="8"/>
      <c r="R186" s="8"/>
      <c r="S186" s="7">
        <f>IF($C186="","",C186&amp;" | BSR "&amp;B186&amp;" | "&amp;TEXT(D186,"dd-mm-yyyy")&amp;" | ₹"&amp;TEXT(M186,"#,##0"))</f>
      </c>
      <c r="T186" s="7">
        <f>IF($C186="","",SUMIFS('Q1 Data'!$L$4:$L$207,'Q1 Data'!$B$4:$B$207,$S186)+SUMIFS('Q1 Data'!$O$4:$O$207,'Q1 Data'!$B$4:$B$207,$S186)+SUMIFS('Q1 Data'!$M$4:$M$207,'Q1 Data'!$B$4:$B$207,$S186))</f>
      </c>
      <c r="U186" s="7">
        <f>IF($C186="","",SUMIFS('Q2 Data'!$L$4:$L$207,'Q2 Data'!$B$4:$B$207,$S186)+SUMIFS('Q2 Data'!$O$4:$O$207,'Q2 Data'!$B$4:$B$207,$S186)+SUMIFS('Q2 Data'!$M$4:$M$207,'Q2 Data'!$B$4:$B$207,$S186))</f>
      </c>
      <c r="V186" s="7">
        <f>IF($C186="","",SUMIFS('Q3 Data'!$L$4:$L$207,'Q3 Data'!$B$4:$B$207,$S186)+SUMIFS('Q3 Data'!$O$4:$O$207,'Q3 Data'!$B$4:$B$207,$S186)+SUMIFS('Q3 Data'!$M$4:$M$207,'Q3 Data'!$B$4:$B$207,$S186))</f>
      </c>
      <c r="W186" s="7">
        <f>IF($C186="","",SUMIFS('Q4 Data'!$L$4:$L$207,'Q4 Data'!$B$4:$B$207,$S186)+SUMIFS('Q4 Data'!$O$4:$O$207,'Q4 Data'!$B$4:$B$207,$S186)+SUMIFS('Q4 Data'!$M$4:$M$207,'Q4 Data'!$B$4:$B$207,$S186))</f>
      </c>
      <c r="X186" s="7">
        <f>IF($C186="","",T186+U186+V186+W186)</f>
      </c>
      <c r="Y186" s="7">
        <f>IF($C186="","",M186-L186)</f>
      </c>
      <c r="Z186" s="7">
        <f>IF($C186="","",Y186-X186)</f>
      </c>
      <c r="AA186" s="7">
        <f>IF($C186="","",IF(ROUND(X186-Y186,2)&gt;0,"Over-applied",IF(ROUND(X186-Y186,2)=0,"Fully Utilised","Unconsumed")))</f>
      </c>
    </row>
    <row r="187" spans="1:27" x14ac:dyDescent="0.25">
      <c r="A187" s="7">
        <f>IF($C187="","",COUNTIF($C$4:$C187,"&lt;&gt;"))</f>
      </c>
      <c r="B187" s="8"/>
      <c r="C187" s="8"/>
      <c r="D187" s="8"/>
      <c r="E187" s="8"/>
      <c r="F187" s="8"/>
      <c r="G187" s="8"/>
      <c r="H187" s="8"/>
      <c r="I187" s="8"/>
      <c r="J187" s="8"/>
      <c r="K187" s="8"/>
      <c r="L187" s="8"/>
      <c r="M187" s="7">
        <f>IF($C187="","",G187+H187+I187+J187+K187+L187)</f>
      </c>
      <c r="N187" s="8"/>
      <c r="O187" s="8"/>
      <c r="P187" s="8"/>
      <c r="Q187" s="8"/>
      <c r="R187" s="8"/>
      <c r="S187" s="7">
        <f>IF($C187="","",C187&amp;" | BSR "&amp;B187&amp;" | "&amp;TEXT(D187,"dd-mm-yyyy")&amp;" | ₹"&amp;TEXT(M187,"#,##0"))</f>
      </c>
      <c r="T187" s="7">
        <f>IF($C187="","",SUMIFS('Q1 Data'!$L$4:$L$207,'Q1 Data'!$B$4:$B$207,$S187)+SUMIFS('Q1 Data'!$O$4:$O$207,'Q1 Data'!$B$4:$B$207,$S187)+SUMIFS('Q1 Data'!$M$4:$M$207,'Q1 Data'!$B$4:$B$207,$S187))</f>
      </c>
      <c r="U187" s="7">
        <f>IF($C187="","",SUMIFS('Q2 Data'!$L$4:$L$207,'Q2 Data'!$B$4:$B$207,$S187)+SUMIFS('Q2 Data'!$O$4:$O$207,'Q2 Data'!$B$4:$B$207,$S187)+SUMIFS('Q2 Data'!$M$4:$M$207,'Q2 Data'!$B$4:$B$207,$S187))</f>
      </c>
      <c r="V187" s="7">
        <f>IF($C187="","",SUMIFS('Q3 Data'!$L$4:$L$207,'Q3 Data'!$B$4:$B$207,$S187)+SUMIFS('Q3 Data'!$O$4:$O$207,'Q3 Data'!$B$4:$B$207,$S187)+SUMIFS('Q3 Data'!$M$4:$M$207,'Q3 Data'!$B$4:$B$207,$S187))</f>
      </c>
      <c r="W187" s="7">
        <f>IF($C187="","",SUMIFS('Q4 Data'!$L$4:$L$207,'Q4 Data'!$B$4:$B$207,$S187)+SUMIFS('Q4 Data'!$O$4:$O$207,'Q4 Data'!$B$4:$B$207,$S187)+SUMIFS('Q4 Data'!$M$4:$M$207,'Q4 Data'!$B$4:$B$207,$S187))</f>
      </c>
      <c r="X187" s="7">
        <f>IF($C187="","",T187+U187+V187+W187)</f>
      </c>
      <c r="Y187" s="7">
        <f>IF($C187="","",M187-L187)</f>
      </c>
      <c r="Z187" s="7">
        <f>IF($C187="","",Y187-X187)</f>
      </c>
      <c r="AA187" s="7">
        <f>IF($C187="","",IF(ROUND(X187-Y187,2)&gt;0,"Over-applied",IF(ROUND(X187-Y187,2)=0,"Fully Utilised","Unconsumed")))</f>
      </c>
    </row>
    <row r="188" spans="1:27" x14ac:dyDescent="0.25">
      <c r="A188" s="7">
        <f>IF($C188="","",COUNTIF($C$4:$C188,"&lt;&gt;"))</f>
      </c>
      <c r="B188" s="8"/>
      <c r="C188" s="8"/>
      <c r="D188" s="8"/>
      <c r="E188" s="8"/>
      <c r="F188" s="8"/>
      <c r="G188" s="8"/>
      <c r="H188" s="8"/>
      <c r="I188" s="8"/>
      <c r="J188" s="8"/>
      <c r="K188" s="8"/>
      <c r="L188" s="8"/>
      <c r="M188" s="7">
        <f>IF($C188="","",G188+H188+I188+J188+K188+L188)</f>
      </c>
      <c r="N188" s="8"/>
      <c r="O188" s="8"/>
      <c r="P188" s="8"/>
      <c r="Q188" s="8"/>
      <c r="R188" s="8"/>
      <c r="S188" s="7">
        <f>IF($C188="","",C188&amp;" | BSR "&amp;B188&amp;" | "&amp;TEXT(D188,"dd-mm-yyyy")&amp;" | ₹"&amp;TEXT(M188,"#,##0"))</f>
      </c>
      <c r="T188" s="7">
        <f>IF($C188="","",SUMIFS('Q1 Data'!$L$4:$L$207,'Q1 Data'!$B$4:$B$207,$S188)+SUMIFS('Q1 Data'!$O$4:$O$207,'Q1 Data'!$B$4:$B$207,$S188)+SUMIFS('Q1 Data'!$M$4:$M$207,'Q1 Data'!$B$4:$B$207,$S188))</f>
      </c>
      <c r="U188" s="7">
        <f>IF($C188="","",SUMIFS('Q2 Data'!$L$4:$L$207,'Q2 Data'!$B$4:$B$207,$S188)+SUMIFS('Q2 Data'!$O$4:$O$207,'Q2 Data'!$B$4:$B$207,$S188)+SUMIFS('Q2 Data'!$M$4:$M$207,'Q2 Data'!$B$4:$B$207,$S188))</f>
      </c>
      <c r="V188" s="7">
        <f>IF($C188="","",SUMIFS('Q3 Data'!$L$4:$L$207,'Q3 Data'!$B$4:$B$207,$S188)+SUMIFS('Q3 Data'!$O$4:$O$207,'Q3 Data'!$B$4:$B$207,$S188)+SUMIFS('Q3 Data'!$M$4:$M$207,'Q3 Data'!$B$4:$B$207,$S188))</f>
      </c>
      <c r="W188" s="7">
        <f>IF($C188="","",SUMIFS('Q4 Data'!$L$4:$L$207,'Q4 Data'!$B$4:$B$207,$S188)+SUMIFS('Q4 Data'!$O$4:$O$207,'Q4 Data'!$B$4:$B$207,$S188)+SUMIFS('Q4 Data'!$M$4:$M$207,'Q4 Data'!$B$4:$B$207,$S188))</f>
      </c>
      <c r="X188" s="7">
        <f>IF($C188="","",T188+U188+V188+W188)</f>
      </c>
      <c r="Y188" s="7">
        <f>IF($C188="","",M188-L188)</f>
      </c>
      <c r="Z188" s="7">
        <f>IF($C188="","",Y188-X188)</f>
      </c>
      <c r="AA188" s="7">
        <f>IF($C188="","",IF(ROUND(X188-Y188,2)&gt;0,"Over-applied",IF(ROUND(X188-Y188,2)=0,"Fully Utilised","Unconsumed")))</f>
      </c>
    </row>
    <row r="189" spans="1:27" x14ac:dyDescent="0.25">
      <c r="A189" s="7">
        <f>IF($C189="","",COUNTIF($C$4:$C189,"&lt;&gt;"))</f>
      </c>
      <c r="B189" s="8"/>
      <c r="C189" s="8"/>
      <c r="D189" s="8"/>
      <c r="E189" s="8"/>
      <c r="F189" s="8"/>
      <c r="G189" s="8"/>
      <c r="H189" s="8"/>
      <c r="I189" s="8"/>
      <c r="J189" s="8"/>
      <c r="K189" s="8"/>
      <c r="L189" s="8"/>
      <c r="M189" s="7">
        <f>IF($C189="","",G189+H189+I189+J189+K189+L189)</f>
      </c>
      <c r="N189" s="8"/>
      <c r="O189" s="8"/>
      <c r="P189" s="8"/>
      <c r="Q189" s="8"/>
      <c r="R189" s="8"/>
      <c r="S189" s="7">
        <f>IF($C189="","",C189&amp;" | BSR "&amp;B189&amp;" | "&amp;TEXT(D189,"dd-mm-yyyy")&amp;" | ₹"&amp;TEXT(M189,"#,##0"))</f>
      </c>
      <c r="T189" s="7">
        <f>IF($C189="","",SUMIFS('Q1 Data'!$L$4:$L$207,'Q1 Data'!$B$4:$B$207,$S189)+SUMIFS('Q1 Data'!$O$4:$O$207,'Q1 Data'!$B$4:$B$207,$S189)+SUMIFS('Q1 Data'!$M$4:$M$207,'Q1 Data'!$B$4:$B$207,$S189))</f>
      </c>
      <c r="U189" s="7">
        <f>IF($C189="","",SUMIFS('Q2 Data'!$L$4:$L$207,'Q2 Data'!$B$4:$B$207,$S189)+SUMIFS('Q2 Data'!$O$4:$O$207,'Q2 Data'!$B$4:$B$207,$S189)+SUMIFS('Q2 Data'!$M$4:$M$207,'Q2 Data'!$B$4:$B$207,$S189))</f>
      </c>
      <c r="V189" s="7">
        <f>IF($C189="","",SUMIFS('Q3 Data'!$L$4:$L$207,'Q3 Data'!$B$4:$B$207,$S189)+SUMIFS('Q3 Data'!$O$4:$O$207,'Q3 Data'!$B$4:$B$207,$S189)+SUMIFS('Q3 Data'!$M$4:$M$207,'Q3 Data'!$B$4:$B$207,$S189))</f>
      </c>
      <c r="W189" s="7">
        <f>IF($C189="","",SUMIFS('Q4 Data'!$L$4:$L$207,'Q4 Data'!$B$4:$B$207,$S189)+SUMIFS('Q4 Data'!$O$4:$O$207,'Q4 Data'!$B$4:$B$207,$S189)+SUMIFS('Q4 Data'!$M$4:$M$207,'Q4 Data'!$B$4:$B$207,$S189))</f>
      </c>
      <c r="X189" s="7">
        <f>IF($C189="","",T189+U189+V189+W189)</f>
      </c>
      <c r="Y189" s="7">
        <f>IF($C189="","",M189-L189)</f>
      </c>
      <c r="Z189" s="7">
        <f>IF($C189="","",Y189-X189)</f>
      </c>
      <c r="AA189" s="7">
        <f>IF($C189="","",IF(ROUND(X189-Y189,2)&gt;0,"Over-applied",IF(ROUND(X189-Y189,2)=0,"Fully Utilised","Unconsumed")))</f>
      </c>
    </row>
    <row r="190" spans="1:27" x14ac:dyDescent="0.25">
      <c r="A190" s="7">
        <f>IF($C190="","",COUNTIF($C$4:$C190,"&lt;&gt;"))</f>
      </c>
      <c r="B190" s="8"/>
      <c r="C190" s="8"/>
      <c r="D190" s="8"/>
      <c r="E190" s="8"/>
      <c r="F190" s="8"/>
      <c r="G190" s="8"/>
      <c r="H190" s="8"/>
      <c r="I190" s="8"/>
      <c r="J190" s="8"/>
      <c r="K190" s="8"/>
      <c r="L190" s="8"/>
      <c r="M190" s="7">
        <f>IF($C190="","",G190+H190+I190+J190+K190+L190)</f>
      </c>
      <c r="N190" s="8"/>
      <c r="O190" s="8"/>
      <c r="P190" s="8"/>
      <c r="Q190" s="8"/>
      <c r="R190" s="8"/>
      <c r="S190" s="7">
        <f>IF($C190="","",C190&amp;" | BSR "&amp;B190&amp;" | "&amp;TEXT(D190,"dd-mm-yyyy")&amp;" | ₹"&amp;TEXT(M190,"#,##0"))</f>
      </c>
      <c r="T190" s="7">
        <f>IF($C190="","",SUMIFS('Q1 Data'!$L$4:$L$207,'Q1 Data'!$B$4:$B$207,$S190)+SUMIFS('Q1 Data'!$O$4:$O$207,'Q1 Data'!$B$4:$B$207,$S190)+SUMIFS('Q1 Data'!$M$4:$M$207,'Q1 Data'!$B$4:$B$207,$S190))</f>
      </c>
      <c r="U190" s="7">
        <f>IF($C190="","",SUMIFS('Q2 Data'!$L$4:$L$207,'Q2 Data'!$B$4:$B$207,$S190)+SUMIFS('Q2 Data'!$O$4:$O$207,'Q2 Data'!$B$4:$B$207,$S190)+SUMIFS('Q2 Data'!$M$4:$M$207,'Q2 Data'!$B$4:$B$207,$S190))</f>
      </c>
      <c r="V190" s="7">
        <f>IF($C190="","",SUMIFS('Q3 Data'!$L$4:$L$207,'Q3 Data'!$B$4:$B$207,$S190)+SUMIFS('Q3 Data'!$O$4:$O$207,'Q3 Data'!$B$4:$B$207,$S190)+SUMIFS('Q3 Data'!$M$4:$M$207,'Q3 Data'!$B$4:$B$207,$S190))</f>
      </c>
      <c r="W190" s="7">
        <f>IF($C190="","",SUMIFS('Q4 Data'!$L$4:$L$207,'Q4 Data'!$B$4:$B$207,$S190)+SUMIFS('Q4 Data'!$O$4:$O$207,'Q4 Data'!$B$4:$B$207,$S190)+SUMIFS('Q4 Data'!$M$4:$M$207,'Q4 Data'!$B$4:$B$207,$S190))</f>
      </c>
      <c r="X190" s="7">
        <f>IF($C190="","",T190+U190+V190+W190)</f>
      </c>
      <c r="Y190" s="7">
        <f>IF($C190="","",M190-L190)</f>
      </c>
      <c r="Z190" s="7">
        <f>IF($C190="","",Y190-X190)</f>
      </c>
      <c r="AA190" s="7">
        <f>IF($C190="","",IF(ROUND(X190-Y190,2)&gt;0,"Over-applied",IF(ROUND(X190-Y190,2)=0,"Fully Utilised","Unconsumed")))</f>
      </c>
    </row>
    <row r="191" spans="1:27" x14ac:dyDescent="0.25">
      <c r="A191" s="7">
        <f>IF($C191="","",COUNTIF($C$4:$C191,"&lt;&gt;"))</f>
      </c>
      <c r="B191" s="8"/>
      <c r="C191" s="8"/>
      <c r="D191" s="8"/>
      <c r="E191" s="8"/>
      <c r="F191" s="8"/>
      <c r="G191" s="8"/>
      <c r="H191" s="8"/>
      <c r="I191" s="8"/>
      <c r="J191" s="8"/>
      <c r="K191" s="8"/>
      <c r="L191" s="8"/>
      <c r="M191" s="7">
        <f>IF($C191="","",G191+H191+I191+J191+K191+L191)</f>
      </c>
      <c r="N191" s="8"/>
      <c r="O191" s="8"/>
      <c r="P191" s="8"/>
      <c r="Q191" s="8"/>
      <c r="R191" s="8"/>
      <c r="S191" s="7">
        <f>IF($C191="","",C191&amp;" | BSR "&amp;B191&amp;" | "&amp;TEXT(D191,"dd-mm-yyyy")&amp;" | ₹"&amp;TEXT(M191,"#,##0"))</f>
      </c>
      <c r="T191" s="7">
        <f>IF($C191="","",SUMIFS('Q1 Data'!$L$4:$L$207,'Q1 Data'!$B$4:$B$207,$S191)+SUMIFS('Q1 Data'!$O$4:$O$207,'Q1 Data'!$B$4:$B$207,$S191)+SUMIFS('Q1 Data'!$M$4:$M$207,'Q1 Data'!$B$4:$B$207,$S191))</f>
      </c>
      <c r="U191" s="7">
        <f>IF($C191="","",SUMIFS('Q2 Data'!$L$4:$L$207,'Q2 Data'!$B$4:$B$207,$S191)+SUMIFS('Q2 Data'!$O$4:$O$207,'Q2 Data'!$B$4:$B$207,$S191)+SUMIFS('Q2 Data'!$M$4:$M$207,'Q2 Data'!$B$4:$B$207,$S191))</f>
      </c>
      <c r="V191" s="7">
        <f>IF($C191="","",SUMIFS('Q3 Data'!$L$4:$L$207,'Q3 Data'!$B$4:$B$207,$S191)+SUMIFS('Q3 Data'!$O$4:$O$207,'Q3 Data'!$B$4:$B$207,$S191)+SUMIFS('Q3 Data'!$M$4:$M$207,'Q3 Data'!$B$4:$B$207,$S191))</f>
      </c>
      <c r="W191" s="7">
        <f>IF($C191="","",SUMIFS('Q4 Data'!$L$4:$L$207,'Q4 Data'!$B$4:$B$207,$S191)+SUMIFS('Q4 Data'!$O$4:$O$207,'Q4 Data'!$B$4:$B$207,$S191)+SUMIFS('Q4 Data'!$M$4:$M$207,'Q4 Data'!$B$4:$B$207,$S191))</f>
      </c>
      <c r="X191" s="7">
        <f>IF($C191="","",T191+U191+V191+W191)</f>
      </c>
      <c r="Y191" s="7">
        <f>IF($C191="","",M191-L191)</f>
      </c>
      <c r="Z191" s="7">
        <f>IF($C191="","",Y191-X191)</f>
      </c>
      <c r="AA191" s="7">
        <f>IF($C191="","",IF(ROUND(X191-Y191,2)&gt;0,"Over-applied",IF(ROUND(X191-Y191,2)=0,"Fully Utilised","Unconsumed")))</f>
      </c>
    </row>
    <row r="192" spans="1:27" x14ac:dyDescent="0.25">
      <c r="A192" s="7">
        <f>IF($C192="","",COUNTIF($C$4:$C192,"&lt;&gt;"))</f>
      </c>
      <c r="B192" s="8"/>
      <c r="C192" s="8"/>
      <c r="D192" s="8"/>
      <c r="E192" s="8"/>
      <c r="F192" s="8"/>
      <c r="G192" s="8"/>
      <c r="H192" s="8"/>
      <c r="I192" s="8"/>
      <c r="J192" s="8"/>
      <c r="K192" s="8"/>
      <c r="L192" s="8"/>
      <c r="M192" s="7">
        <f>IF($C192="","",G192+H192+I192+J192+K192+L192)</f>
      </c>
      <c r="N192" s="8"/>
      <c r="O192" s="8"/>
      <c r="P192" s="8"/>
      <c r="Q192" s="8"/>
      <c r="R192" s="8"/>
      <c r="S192" s="7">
        <f>IF($C192="","",C192&amp;" | BSR "&amp;B192&amp;" | "&amp;TEXT(D192,"dd-mm-yyyy")&amp;" | ₹"&amp;TEXT(M192,"#,##0"))</f>
      </c>
      <c r="T192" s="7">
        <f>IF($C192="","",SUMIFS('Q1 Data'!$L$4:$L$207,'Q1 Data'!$B$4:$B$207,$S192)+SUMIFS('Q1 Data'!$O$4:$O$207,'Q1 Data'!$B$4:$B$207,$S192)+SUMIFS('Q1 Data'!$M$4:$M$207,'Q1 Data'!$B$4:$B$207,$S192))</f>
      </c>
      <c r="U192" s="7">
        <f>IF($C192="","",SUMIFS('Q2 Data'!$L$4:$L$207,'Q2 Data'!$B$4:$B$207,$S192)+SUMIFS('Q2 Data'!$O$4:$O$207,'Q2 Data'!$B$4:$B$207,$S192)+SUMIFS('Q2 Data'!$M$4:$M$207,'Q2 Data'!$B$4:$B$207,$S192))</f>
      </c>
      <c r="V192" s="7">
        <f>IF($C192="","",SUMIFS('Q3 Data'!$L$4:$L$207,'Q3 Data'!$B$4:$B$207,$S192)+SUMIFS('Q3 Data'!$O$4:$O$207,'Q3 Data'!$B$4:$B$207,$S192)+SUMIFS('Q3 Data'!$M$4:$M$207,'Q3 Data'!$B$4:$B$207,$S192))</f>
      </c>
      <c r="W192" s="7">
        <f>IF($C192="","",SUMIFS('Q4 Data'!$L$4:$L$207,'Q4 Data'!$B$4:$B$207,$S192)+SUMIFS('Q4 Data'!$O$4:$O$207,'Q4 Data'!$B$4:$B$207,$S192)+SUMIFS('Q4 Data'!$M$4:$M$207,'Q4 Data'!$B$4:$B$207,$S192))</f>
      </c>
      <c r="X192" s="7">
        <f>IF($C192="","",T192+U192+V192+W192)</f>
      </c>
      <c r="Y192" s="7">
        <f>IF($C192="","",M192-L192)</f>
      </c>
      <c r="Z192" s="7">
        <f>IF($C192="","",Y192-X192)</f>
      </c>
      <c r="AA192" s="7">
        <f>IF($C192="","",IF(ROUND(X192-Y192,2)&gt;0,"Over-applied",IF(ROUND(X192-Y192,2)=0,"Fully Utilised","Unconsumed")))</f>
      </c>
    </row>
    <row r="193" spans="1:27" x14ac:dyDescent="0.25">
      <c r="A193" s="7">
        <f>IF($C193="","",COUNTIF($C$4:$C193,"&lt;&gt;"))</f>
      </c>
      <c r="B193" s="8"/>
      <c r="C193" s="8"/>
      <c r="D193" s="8"/>
      <c r="E193" s="8"/>
      <c r="F193" s="8"/>
      <c r="G193" s="8"/>
      <c r="H193" s="8"/>
      <c r="I193" s="8"/>
      <c r="J193" s="8"/>
      <c r="K193" s="8"/>
      <c r="L193" s="8"/>
      <c r="M193" s="7">
        <f>IF($C193="","",G193+H193+I193+J193+K193+L193)</f>
      </c>
      <c r="N193" s="8"/>
      <c r="O193" s="8"/>
      <c r="P193" s="8"/>
      <c r="Q193" s="8"/>
      <c r="R193" s="8"/>
      <c r="S193" s="7">
        <f>IF($C193="","",C193&amp;" | BSR "&amp;B193&amp;" | "&amp;TEXT(D193,"dd-mm-yyyy")&amp;" | ₹"&amp;TEXT(M193,"#,##0"))</f>
      </c>
      <c r="T193" s="7">
        <f>IF($C193="","",SUMIFS('Q1 Data'!$L$4:$L$207,'Q1 Data'!$B$4:$B$207,$S193)+SUMIFS('Q1 Data'!$O$4:$O$207,'Q1 Data'!$B$4:$B$207,$S193)+SUMIFS('Q1 Data'!$M$4:$M$207,'Q1 Data'!$B$4:$B$207,$S193))</f>
      </c>
      <c r="U193" s="7">
        <f>IF($C193="","",SUMIFS('Q2 Data'!$L$4:$L$207,'Q2 Data'!$B$4:$B$207,$S193)+SUMIFS('Q2 Data'!$O$4:$O$207,'Q2 Data'!$B$4:$B$207,$S193)+SUMIFS('Q2 Data'!$M$4:$M$207,'Q2 Data'!$B$4:$B$207,$S193))</f>
      </c>
      <c r="V193" s="7">
        <f>IF($C193="","",SUMIFS('Q3 Data'!$L$4:$L$207,'Q3 Data'!$B$4:$B$207,$S193)+SUMIFS('Q3 Data'!$O$4:$O$207,'Q3 Data'!$B$4:$B$207,$S193)+SUMIFS('Q3 Data'!$M$4:$M$207,'Q3 Data'!$B$4:$B$207,$S193))</f>
      </c>
      <c r="W193" s="7">
        <f>IF($C193="","",SUMIFS('Q4 Data'!$L$4:$L$207,'Q4 Data'!$B$4:$B$207,$S193)+SUMIFS('Q4 Data'!$O$4:$O$207,'Q4 Data'!$B$4:$B$207,$S193)+SUMIFS('Q4 Data'!$M$4:$M$207,'Q4 Data'!$B$4:$B$207,$S193))</f>
      </c>
      <c r="X193" s="7">
        <f>IF($C193="","",T193+U193+V193+W193)</f>
      </c>
      <c r="Y193" s="7">
        <f>IF($C193="","",M193-L193)</f>
      </c>
      <c r="Z193" s="7">
        <f>IF($C193="","",Y193-X193)</f>
      </c>
      <c r="AA193" s="7">
        <f>IF($C193="","",IF(ROUND(X193-Y193,2)&gt;0,"Over-applied",IF(ROUND(X193-Y193,2)=0,"Fully Utilised","Unconsumed")))</f>
      </c>
    </row>
    <row r="194" spans="1:27" x14ac:dyDescent="0.25">
      <c r="A194" s="7">
        <f>IF($C194="","",COUNTIF($C$4:$C194,"&lt;&gt;"))</f>
      </c>
      <c r="B194" s="8"/>
      <c r="C194" s="8"/>
      <c r="D194" s="8"/>
      <c r="E194" s="8"/>
      <c r="F194" s="8"/>
      <c r="G194" s="8"/>
      <c r="H194" s="8"/>
      <c r="I194" s="8"/>
      <c r="J194" s="8"/>
      <c r="K194" s="8"/>
      <c r="L194" s="8"/>
      <c r="M194" s="7">
        <f>IF($C194="","",G194+H194+I194+J194+K194+L194)</f>
      </c>
      <c r="N194" s="8"/>
      <c r="O194" s="8"/>
      <c r="P194" s="8"/>
      <c r="Q194" s="8"/>
      <c r="R194" s="8"/>
      <c r="S194" s="7">
        <f>IF($C194="","",C194&amp;" | BSR "&amp;B194&amp;" | "&amp;TEXT(D194,"dd-mm-yyyy")&amp;" | ₹"&amp;TEXT(M194,"#,##0"))</f>
      </c>
      <c r="T194" s="7">
        <f>IF($C194="","",SUMIFS('Q1 Data'!$L$4:$L$207,'Q1 Data'!$B$4:$B$207,$S194)+SUMIFS('Q1 Data'!$O$4:$O$207,'Q1 Data'!$B$4:$B$207,$S194)+SUMIFS('Q1 Data'!$M$4:$M$207,'Q1 Data'!$B$4:$B$207,$S194))</f>
      </c>
      <c r="U194" s="7">
        <f>IF($C194="","",SUMIFS('Q2 Data'!$L$4:$L$207,'Q2 Data'!$B$4:$B$207,$S194)+SUMIFS('Q2 Data'!$O$4:$O$207,'Q2 Data'!$B$4:$B$207,$S194)+SUMIFS('Q2 Data'!$M$4:$M$207,'Q2 Data'!$B$4:$B$207,$S194))</f>
      </c>
      <c r="V194" s="7">
        <f>IF($C194="","",SUMIFS('Q3 Data'!$L$4:$L$207,'Q3 Data'!$B$4:$B$207,$S194)+SUMIFS('Q3 Data'!$O$4:$O$207,'Q3 Data'!$B$4:$B$207,$S194)+SUMIFS('Q3 Data'!$M$4:$M$207,'Q3 Data'!$B$4:$B$207,$S194))</f>
      </c>
      <c r="W194" s="7">
        <f>IF($C194="","",SUMIFS('Q4 Data'!$L$4:$L$207,'Q4 Data'!$B$4:$B$207,$S194)+SUMIFS('Q4 Data'!$O$4:$O$207,'Q4 Data'!$B$4:$B$207,$S194)+SUMIFS('Q4 Data'!$M$4:$M$207,'Q4 Data'!$B$4:$B$207,$S194))</f>
      </c>
      <c r="X194" s="7">
        <f>IF($C194="","",T194+U194+V194+W194)</f>
      </c>
      <c r="Y194" s="7">
        <f>IF($C194="","",M194-L194)</f>
      </c>
      <c r="Z194" s="7">
        <f>IF($C194="","",Y194-X194)</f>
      </c>
      <c r="AA194" s="7">
        <f>IF($C194="","",IF(ROUND(X194-Y194,2)&gt;0,"Over-applied",IF(ROUND(X194-Y194,2)=0,"Fully Utilised","Unconsumed")))</f>
      </c>
    </row>
    <row r="195" spans="1:27" x14ac:dyDescent="0.25">
      <c r="A195" s="7">
        <f>IF($C195="","",COUNTIF($C$4:$C195,"&lt;&gt;"))</f>
      </c>
      <c r="B195" s="8"/>
      <c r="C195" s="8"/>
      <c r="D195" s="8"/>
      <c r="E195" s="8"/>
      <c r="F195" s="8"/>
      <c r="G195" s="8"/>
      <c r="H195" s="8"/>
      <c r="I195" s="8"/>
      <c r="J195" s="8"/>
      <c r="K195" s="8"/>
      <c r="L195" s="8"/>
      <c r="M195" s="7">
        <f>IF($C195="","",G195+H195+I195+J195+K195+L195)</f>
      </c>
      <c r="N195" s="8"/>
      <c r="O195" s="8"/>
      <c r="P195" s="8"/>
      <c r="Q195" s="8"/>
      <c r="R195" s="8"/>
      <c r="S195" s="7">
        <f>IF($C195="","",C195&amp;" | BSR "&amp;B195&amp;" | "&amp;TEXT(D195,"dd-mm-yyyy")&amp;" | ₹"&amp;TEXT(M195,"#,##0"))</f>
      </c>
      <c r="T195" s="7">
        <f>IF($C195="","",SUMIFS('Q1 Data'!$L$4:$L$207,'Q1 Data'!$B$4:$B$207,$S195)+SUMIFS('Q1 Data'!$O$4:$O$207,'Q1 Data'!$B$4:$B$207,$S195)+SUMIFS('Q1 Data'!$M$4:$M$207,'Q1 Data'!$B$4:$B$207,$S195))</f>
      </c>
      <c r="U195" s="7">
        <f>IF($C195="","",SUMIFS('Q2 Data'!$L$4:$L$207,'Q2 Data'!$B$4:$B$207,$S195)+SUMIFS('Q2 Data'!$O$4:$O$207,'Q2 Data'!$B$4:$B$207,$S195)+SUMIFS('Q2 Data'!$M$4:$M$207,'Q2 Data'!$B$4:$B$207,$S195))</f>
      </c>
      <c r="V195" s="7">
        <f>IF($C195="","",SUMIFS('Q3 Data'!$L$4:$L$207,'Q3 Data'!$B$4:$B$207,$S195)+SUMIFS('Q3 Data'!$O$4:$O$207,'Q3 Data'!$B$4:$B$207,$S195)+SUMIFS('Q3 Data'!$M$4:$M$207,'Q3 Data'!$B$4:$B$207,$S195))</f>
      </c>
      <c r="W195" s="7">
        <f>IF($C195="","",SUMIFS('Q4 Data'!$L$4:$L$207,'Q4 Data'!$B$4:$B$207,$S195)+SUMIFS('Q4 Data'!$O$4:$O$207,'Q4 Data'!$B$4:$B$207,$S195)+SUMIFS('Q4 Data'!$M$4:$M$207,'Q4 Data'!$B$4:$B$207,$S195))</f>
      </c>
      <c r="X195" s="7">
        <f>IF($C195="","",T195+U195+V195+W195)</f>
      </c>
      <c r="Y195" s="7">
        <f>IF($C195="","",M195-L195)</f>
      </c>
      <c r="Z195" s="7">
        <f>IF($C195="","",Y195-X195)</f>
      </c>
      <c r="AA195" s="7">
        <f>IF($C195="","",IF(ROUND(X195-Y195,2)&gt;0,"Over-applied",IF(ROUND(X195-Y195,2)=0,"Fully Utilised","Unconsumed")))</f>
      </c>
    </row>
    <row r="196" spans="1:27" x14ac:dyDescent="0.25">
      <c r="A196" s="7">
        <f>IF($C196="","",COUNTIF($C$4:$C196,"&lt;&gt;"))</f>
      </c>
      <c r="B196" s="8"/>
      <c r="C196" s="8"/>
      <c r="D196" s="8"/>
      <c r="E196" s="8"/>
      <c r="F196" s="8"/>
      <c r="G196" s="8"/>
      <c r="H196" s="8"/>
      <c r="I196" s="8"/>
      <c r="J196" s="8"/>
      <c r="K196" s="8"/>
      <c r="L196" s="8"/>
      <c r="M196" s="7">
        <f>IF($C196="","",G196+H196+I196+J196+K196+L196)</f>
      </c>
      <c r="N196" s="8"/>
      <c r="O196" s="8"/>
      <c r="P196" s="8"/>
      <c r="Q196" s="8"/>
      <c r="R196" s="8"/>
      <c r="S196" s="7">
        <f>IF($C196="","",C196&amp;" | BSR "&amp;B196&amp;" | "&amp;TEXT(D196,"dd-mm-yyyy")&amp;" | ₹"&amp;TEXT(M196,"#,##0"))</f>
      </c>
      <c r="T196" s="7">
        <f>IF($C196="","",SUMIFS('Q1 Data'!$L$4:$L$207,'Q1 Data'!$B$4:$B$207,$S196)+SUMIFS('Q1 Data'!$O$4:$O$207,'Q1 Data'!$B$4:$B$207,$S196)+SUMIFS('Q1 Data'!$M$4:$M$207,'Q1 Data'!$B$4:$B$207,$S196))</f>
      </c>
      <c r="U196" s="7">
        <f>IF($C196="","",SUMIFS('Q2 Data'!$L$4:$L$207,'Q2 Data'!$B$4:$B$207,$S196)+SUMIFS('Q2 Data'!$O$4:$O$207,'Q2 Data'!$B$4:$B$207,$S196)+SUMIFS('Q2 Data'!$M$4:$M$207,'Q2 Data'!$B$4:$B$207,$S196))</f>
      </c>
      <c r="V196" s="7">
        <f>IF($C196="","",SUMIFS('Q3 Data'!$L$4:$L$207,'Q3 Data'!$B$4:$B$207,$S196)+SUMIFS('Q3 Data'!$O$4:$O$207,'Q3 Data'!$B$4:$B$207,$S196)+SUMIFS('Q3 Data'!$M$4:$M$207,'Q3 Data'!$B$4:$B$207,$S196))</f>
      </c>
      <c r="W196" s="7">
        <f>IF($C196="","",SUMIFS('Q4 Data'!$L$4:$L$207,'Q4 Data'!$B$4:$B$207,$S196)+SUMIFS('Q4 Data'!$O$4:$O$207,'Q4 Data'!$B$4:$B$207,$S196)+SUMIFS('Q4 Data'!$M$4:$M$207,'Q4 Data'!$B$4:$B$207,$S196))</f>
      </c>
      <c r="X196" s="7">
        <f>IF($C196="","",T196+U196+V196+W196)</f>
      </c>
      <c r="Y196" s="7">
        <f>IF($C196="","",M196-L196)</f>
      </c>
      <c r="Z196" s="7">
        <f>IF($C196="","",Y196-X196)</f>
      </c>
      <c r="AA196" s="7">
        <f>IF($C196="","",IF(ROUND(X196-Y196,2)&gt;0,"Over-applied",IF(ROUND(X196-Y196,2)=0,"Fully Utilised","Unconsumed")))</f>
      </c>
    </row>
    <row r="197" spans="1:27" x14ac:dyDescent="0.25">
      <c r="A197" s="7">
        <f>IF($C197="","",COUNTIF($C$4:$C197,"&lt;&gt;"))</f>
      </c>
      <c r="B197" s="8"/>
      <c r="C197" s="8"/>
      <c r="D197" s="8"/>
      <c r="E197" s="8"/>
      <c r="F197" s="8"/>
      <c r="G197" s="8"/>
      <c r="H197" s="8"/>
      <c r="I197" s="8"/>
      <c r="J197" s="8"/>
      <c r="K197" s="8"/>
      <c r="L197" s="8"/>
      <c r="M197" s="7">
        <f>IF($C197="","",G197+H197+I197+J197+K197+L197)</f>
      </c>
      <c r="N197" s="8"/>
      <c r="O197" s="8"/>
      <c r="P197" s="8"/>
      <c r="Q197" s="8"/>
      <c r="R197" s="8"/>
      <c r="S197" s="7">
        <f>IF($C197="","",C197&amp;" | BSR "&amp;B197&amp;" | "&amp;TEXT(D197,"dd-mm-yyyy")&amp;" | ₹"&amp;TEXT(M197,"#,##0"))</f>
      </c>
      <c r="T197" s="7">
        <f>IF($C197="","",SUMIFS('Q1 Data'!$L$4:$L$207,'Q1 Data'!$B$4:$B$207,$S197)+SUMIFS('Q1 Data'!$O$4:$O$207,'Q1 Data'!$B$4:$B$207,$S197)+SUMIFS('Q1 Data'!$M$4:$M$207,'Q1 Data'!$B$4:$B$207,$S197))</f>
      </c>
      <c r="U197" s="7">
        <f>IF($C197="","",SUMIFS('Q2 Data'!$L$4:$L$207,'Q2 Data'!$B$4:$B$207,$S197)+SUMIFS('Q2 Data'!$O$4:$O$207,'Q2 Data'!$B$4:$B$207,$S197)+SUMIFS('Q2 Data'!$M$4:$M$207,'Q2 Data'!$B$4:$B$207,$S197))</f>
      </c>
      <c r="V197" s="7">
        <f>IF($C197="","",SUMIFS('Q3 Data'!$L$4:$L$207,'Q3 Data'!$B$4:$B$207,$S197)+SUMIFS('Q3 Data'!$O$4:$O$207,'Q3 Data'!$B$4:$B$207,$S197)+SUMIFS('Q3 Data'!$M$4:$M$207,'Q3 Data'!$B$4:$B$207,$S197))</f>
      </c>
      <c r="W197" s="7">
        <f>IF($C197="","",SUMIFS('Q4 Data'!$L$4:$L$207,'Q4 Data'!$B$4:$B$207,$S197)+SUMIFS('Q4 Data'!$O$4:$O$207,'Q4 Data'!$B$4:$B$207,$S197)+SUMIFS('Q4 Data'!$M$4:$M$207,'Q4 Data'!$B$4:$B$207,$S197))</f>
      </c>
      <c r="X197" s="7">
        <f>IF($C197="","",T197+U197+V197+W197)</f>
      </c>
      <c r="Y197" s="7">
        <f>IF($C197="","",M197-L197)</f>
      </c>
      <c r="Z197" s="7">
        <f>IF($C197="","",Y197-X197)</f>
      </c>
      <c r="AA197" s="7">
        <f>IF($C197="","",IF(ROUND(X197-Y197,2)&gt;0,"Over-applied",IF(ROUND(X197-Y197,2)=0,"Fully Utilised","Unconsumed")))</f>
      </c>
    </row>
    <row r="198" spans="1:27" x14ac:dyDescent="0.25">
      <c r="A198" s="7">
        <f>IF($C198="","",COUNTIF($C$4:$C198,"&lt;&gt;"))</f>
      </c>
      <c r="B198" s="8"/>
      <c r="C198" s="8"/>
      <c r="D198" s="8"/>
      <c r="E198" s="8"/>
      <c r="F198" s="8"/>
      <c r="G198" s="8"/>
      <c r="H198" s="8"/>
      <c r="I198" s="8"/>
      <c r="J198" s="8"/>
      <c r="K198" s="8"/>
      <c r="L198" s="8"/>
      <c r="M198" s="7">
        <f>IF($C198="","",G198+H198+I198+J198+K198+L198)</f>
      </c>
      <c r="N198" s="8"/>
      <c r="O198" s="8"/>
      <c r="P198" s="8"/>
      <c r="Q198" s="8"/>
      <c r="R198" s="8"/>
      <c r="S198" s="7">
        <f>IF($C198="","",C198&amp;" | BSR "&amp;B198&amp;" | "&amp;TEXT(D198,"dd-mm-yyyy")&amp;" | ₹"&amp;TEXT(M198,"#,##0"))</f>
      </c>
      <c r="T198" s="7">
        <f>IF($C198="","",SUMIFS('Q1 Data'!$L$4:$L$207,'Q1 Data'!$B$4:$B$207,$S198)+SUMIFS('Q1 Data'!$O$4:$O$207,'Q1 Data'!$B$4:$B$207,$S198)+SUMIFS('Q1 Data'!$M$4:$M$207,'Q1 Data'!$B$4:$B$207,$S198))</f>
      </c>
      <c r="U198" s="7">
        <f>IF($C198="","",SUMIFS('Q2 Data'!$L$4:$L$207,'Q2 Data'!$B$4:$B$207,$S198)+SUMIFS('Q2 Data'!$O$4:$O$207,'Q2 Data'!$B$4:$B$207,$S198)+SUMIFS('Q2 Data'!$M$4:$M$207,'Q2 Data'!$B$4:$B$207,$S198))</f>
      </c>
      <c r="V198" s="7">
        <f>IF($C198="","",SUMIFS('Q3 Data'!$L$4:$L$207,'Q3 Data'!$B$4:$B$207,$S198)+SUMIFS('Q3 Data'!$O$4:$O$207,'Q3 Data'!$B$4:$B$207,$S198)+SUMIFS('Q3 Data'!$M$4:$M$207,'Q3 Data'!$B$4:$B$207,$S198))</f>
      </c>
      <c r="W198" s="7">
        <f>IF($C198="","",SUMIFS('Q4 Data'!$L$4:$L$207,'Q4 Data'!$B$4:$B$207,$S198)+SUMIFS('Q4 Data'!$O$4:$O$207,'Q4 Data'!$B$4:$B$207,$S198)+SUMIFS('Q4 Data'!$M$4:$M$207,'Q4 Data'!$B$4:$B$207,$S198))</f>
      </c>
      <c r="X198" s="7">
        <f>IF($C198="","",T198+U198+V198+W198)</f>
      </c>
      <c r="Y198" s="7">
        <f>IF($C198="","",M198-L198)</f>
      </c>
      <c r="Z198" s="7">
        <f>IF($C198="","",Y198-X198)</f>
      </c>
      <c r="AA198" s="7">
        <f>IF($C198="","",IF(ROUND(X198-Y198,2)&gt;0,"Over-applied",IF(ROUND(X198-Y198,2)=0,"Fully Utilised","Unconsumed")))</f>
      </c>
    </row>
    <row r="199" spans="1:27" x14ac:dyDescent="0.25">
      <c r="A199" s="7">
        <f>IF($C199="","",COUNTIF($C$4:$C199,"&lt;&gt;"))</f>
      </c>
      <c r="B199" s="8"/>
      <c r="C199" s="8"/>
      <c r="D199" s="8"/>
      <c r="E199" s="8"/>
      <c r="F199" s="8"/>
      <c r="G199" s="8"/>
      <c r="H199" s="8"/>
      <c r="I199" s="8"/>
      <c r="J199" s="8"/>
      <c r="K199" s="8"/>
      <c r="L199" s="8"/>
      <c r="M199" s="7">
        <f>IF($C199="","",G199+H199+I199+J199+K199+L199)</f>
      </c>
      <c r="N199" s="8"/>
      <c r="O199" s="8"/>
      <c r="P199" s="8"/>
      <c r="Q199" s="8"/>
      <c r="R199" s="8"/>
      <c r="S199" s="7">
        <f>IF($C199="","",C199&amp;" | BSR "&amp;B199&amp;" | "&amp;TEXT(D199,"dd-mm-yyyy")&amp;" | ₹"&amp;TEXT(M199,"#,##0"))</f>
      </c>
      <c r="T199" s="7">
        <f>IF($C199="","",SUMIFS('Q1 Data'!$L$4:$L$207,'Q1 Data'!$B$4:$B$207,$S199)+SUMIFS('Q1 Data'!$O$4:$O$207,'Q1 Data'!$B$4:$B$207,$S199)+SUMIFS('Q1 Data'!$M$4:$M$207,'Q1 Data'!$B$4:$B$207,$S199))</f>
      </c>
      <c r="U199" s="7">
        <f>IF($C199="","",SUMIFS('Q2 Data'!$L$4:$L$207,'Q2 Data'!$B$4:$B$207,$S199)+SUMIFS('Q2 Data'!$O$4:$O$207,'Q2 Data'!$B$4:$B$207,$S199)+SUMIFS('Q2 Data'!$M$4:$M$207,'Q2 Data'!$B$4:$B$207,$S199))</f>
      </c>
      <c r="V199" s="7">
        <f>IF($C199="","",SUMIFS('Q3 Data'!$L$4:$L$207,'Q3 Data'!$B$4:$B$207,$S199)+SUMIFS('Q3 Data'!$O$4:$O$207,'Q3 Data'!$B$4:$B$207,$S199)+SUMIFS('Q3 Data'!$M$4:$M$207,'Q3 Data'!$B$4:$B$207,$S199))</f>
      </c>
      <c r="W199" s="7">
        <f>IF($C199="","",SUMIFS('Q4 Data'!$L$4:$L$207,'Q4 Data'!$B$4:$B$207,$S199)+SUMIFS('Q4 Data'!$O$4:$O$207,'Q4 Data'!$B$4:$B$207,$S199)+SUMIFS('Q4 Data'!$M$4:$M$207,'Q4 Data'!$B$4:$B$207,$S199))</f>
      </c>
      <c r="X199" s="7">
        <f>IF($C199="","",T199+U199+V199+W199)</f>
      </c>
      <c r="Y199" s="7">
        <f>IF($C199="","",M199-L199)</f>
      </c>
      <c r="Z199" s="7">
        <f>IF($C199="","",Y199-X199)</f>
      </c>
      <c r="AA199" s="7">
        <f>IF($C199="","",IF(ROUND(X199-Y199,2)&gt;0,"Over-applied",IF(ROUND(X199-Y199,2)=0,"Fully Utilised","Unconsumed")))</f>
      </c>
    </row>
    <row r="200" spans="1:27" x14ac:dyDescent="0.25">
      <c r="A200" s="7">
        <f>IF($C200="","",COUNTIF($C$4:$C200,"&lt;&gt;"))</f>
      </c>
      <c r="B200" s="8"/>
      <c r="C200" s="8"/>
      <c r="D200" s="8"/>
      <c r="E200" s="8"/>
      <c r="F200" s="8"/>
      <c r="G200" s="8"/>
      <c r="H200" s="8"/>
      <c r="I200" s="8"/>
      <c r="J200" s="8"/>
      <c r="K200" s="8"/>
      <c r="L200" s="8"/>
      <c r="M200" s="7">
        <f>IF($C200="","",G200+H200+I200+J200+K200+L200)</f>
      </c>
      <c r="N200" s="8"/>
      <c r="O200" s="8"/>
      <c r="P200" s="8"/>
      <c r="Q200" s="8"/>
      <c r="R200" s="8"/>
      <c r="S200" s="7">
        <f>IF($C200="","",C200&amp;" | BSR "&amp;B200&amp;" | "&amp;TEXT(D200,"dd-mm-yyyy")&amp;" | ₹"&amp;TEXT(M200,"#,##0"))</f>
      </c>
      <c r="T200" s="7">
        <f>IF($C200="","",SUMIFS('Q1 Data'!$L$4:$L$207,'Q1 Data'!$B$4:$B$207,$S200)+SUMIFS('Q1 Data'!$O$4:$O$207,'Q1 Data'!$B$4:$B$207,$S200)+SUMIFS('Q1 Data'!$M$4:$M$207,'Q1 Data'!$B$4:$B$207,$S200))</f>
      </c>
      <c r="U200" s="7">
        <f>IF($C200="","",SUMIFS('Q2 Data'!$L$4:$L$207,'Q2 Data'!$B$4:$B$207,$S200)+SUMIFS('Q2 Data'!$O$4:$O$207,'Q2 Data'!$B$4:$B$207,$S200)+SUMIFS('Q2 Data'!$M$4:$M$207,'Q2 Data'!$B$4:$B$207,$S200))</f>
      </c>
      <c r="V200" s="7">
        <f>IF($C200="","",SUMIFS('Q3 Data'!$L$4:$L$207,'Q3 Data'!$B$4:$B$207,$S200)+SUMIFS('Q3 Data'!$O$4:$O$207,'Q3 Data'!$B$4:$B$207,$S200)+SUMIFS('Q3 Data'!$M$4:$M$207,'Q3 Data'!$B$4:$B$207,$S200))</f>
      </c>
      <c r="W200" s="7">
        <f>IF($C200="","",SUMIFS('Q4 Data'!$L$4:$L$207,'Q4 Data'!$B$4:$B$207,$S200)+SUMIFS('Q4 Data'!$O$4:$O$207,'Q4 Data'!$B$4:$B$207,$S200)+SUMIFS('Q4 Data'!$M$4:$M$207,'Q4 Data'!$B$4:$B$207,$S200))</f>
      </c>
      <c r="X200" s="7">
        <f>IF($C200="","",T200+U200+V200+W200)</f>
      </c>
      <c r="Y200" s="7">
        <f>IF($C200="","",M200-L200)</f>
      </c>
      <c r="Z200" s="7">
        <f>IF($C200="","",Y200-X200)</f>
      </c>
      <c r="AA200" s="7">
        <f>IF($C200="","",IF(ROUND(X200-Y200,2)&gt;0,"Over-applied",IF(ROUND(X200-Y200,2)=0,"Fully Utilised","Unconsumed")))</f>
      </c>
    </row>
    <row r="201" spans="1:27" x14ac:dyDescent="0.25">
      <c r="A201" s="7">
        <f>IF($C201="","",COUNTIF($C$4:$C201,"&lt;&gt;"))</f>
      </c>
      <c r="B201" s="8"/>
      <c r="C201" s="8"/>
      <c r="D201" s="8"/>
      <c r="E201" s="8"/>
      <c r="F201" s="8"/>
      <c r="G201" s="8"/>
      <c r="H201" s="8"/>
      <c r="I201" s="8"/>
      <c r="J201" s="8"/>
      <c r="K201" s="8"/>
      <c r="L201" s="8"/>
      <c r="M201" s="7">
        <f>IF($C201="","",G201+H201+I201+J201+K201+L201)</f>
      </c>
      <c r="N201" s="8"/>
      <c r="O201" s="8"/>
      <c r="P201" s="8"/>
      <c r="Q201" s="8"/>
      <c r="R201" s="8"/>
      <c r="S201" s="7">
        <f>IF($C201="","",C201&amp;" | BSR "&amp;B201&amp;" | "&amp;TEXT(D201,"dd-mm-yyyy")&amp;" | ₹"&amp;TEXT(M201,"#,##0"))</f>
      </c>
      <c r="T201" s="7">
        <f>IF($C201="","",SUMIFS('Q1 Data'!$L$4:$L$207,'Q1 Data'!$B$4:$B$207,$S201)+SUMIFS('Q1 Data'!$O$4:$O$207,'Q1 Data'!$B$4:$B$207,$S201)+SUMIFS('Q1 Data'!$M$4:$M$207,'Q1 Data'!$B$4:$B$207,$S201))</f>
      </c>
      <c r="U201" s="7">
        <f>IF($C201="","",SUMIFS('Q2 Data'!$L$4:$L$207,'Q2 Data'!$B$4:$B$207,$S201)+SUMIFS('Q2 Data'!$O$4:$O$207,'Q2 Data'!$B$4:$B$207,$S201)+SUMIFS('Q2 Data'!$M$4:$M$207,'Q2 Data'!$B$4:$B$207,$S201))</f>
      </c>
      <c r="V201" s="7">
        <f>IF($C201="","",SUMIFS('Q3 Data'!$L$4:$L$207,'Q3 Data'!$B$4:$B$207,$S201)+SUMIFS('Q3 Data'!$O$4:$O$207,'Q3 Data'!$B$4:$B$207,$S201)+SUMIFS('Q3 Data'!$M$4:$M$207,'Q3 Data'!$B$4:$B$207,$S201))</f>
      </c>
      <c r="W201" s="7">
        <f>IF($C201="","",SUMIFS('Q4 Data'!$L$4:$L$207,'Q4 Data'!$B$4:$B$207,$S201)+SUMIFS('Q4 Data'!$O$4:$O$207,'Q4 Data'!$B$4:$B$207,$S201)+SUMIFS('Q4 Data'!$M$4:$M$207,'Q4 Data'!$B$4:$B$207,$S201))</f>
      </c>
      <c r="X201" s="7">
        <f>IF($C201="","",T201+U201+V201+W201)</f>
      </c>
      <c r="Y201" s="7">
        <f>IF($C201="","",M201-L201)</f>
      </c>
      <c r="Z201" s="7">
        <f>IF($C201="","",Y201-X201)</f>
      </c>
      <c r="AA201" s="7">
        <f>IF($C201="","",IF(ROUND(X201-Y201,2)&gt;0,"Over-applied",IF(ROUND(X201-Y201,2)=0,"Fully Utilised","Unconsumed")))</f>
      </c>
    </row>
    <row r="202" spans="1:27" x14ac:dyDescent="0.25">
      <c r="A202" s="7">
        <f>IF($C202="","",COUNTIF($C$4:$C202,"&lt;&gt;"))</f>
      </c>
      <c r="B202" s="8"/>
      <c r="C202" s="8"/>
      <c r="D202" s="8"/>
      <c r="E202" s="8"/>
      <c r="F202" s="8"/>
      <c r="G202" s="8"/>
      <c r="H202" s="8"/>
      <c r="I202" s="8"/>
      <c r="J202" s="8"/>
      <c r="K202" s="8"/>
      <c r="L202" s="8"/>
      <c r="M202" s="7">
        <f>IF($C202="","",G202+H202+I202+J202+K202+L202)</f>
      </c>
      <c r="N202" s="8"/>
      <c r="O202" s="8"/>
      <c r="P202" s="8"/>
      <c r="Q202" s="8"/>
      <c r="R202" s="8"/>
      <c r="S202" s="7">
        <f>IF($C202="","",C202&amp;" | BSR "&amp;B202&amp;" | "&amp;TEXT(D202,"dd-mm-yyyy")&amp;" | ₹"&amp;TEXT(M202,"#,##0"))</f>
      </c>
      <c r="T202" s="7">
        <f>IF($C202="","",SUMIFS('Q1 Data'!$L$4:$L$207,'Q1 Data'!$B$4:$B$207,$S202)+SUMIFS('Q1 Data'!$O$4:$O$207,'Q1 Data'!$B$4:$B$207,$S202)+SUMIFS('Q1 Data'!$M$4:$M$207,'Q1 Data'!$B$4:$B$207,$S202))</f>
      </c>
      <c r="U202" s="7">
        <f>IF($C202="","",SUMIFS('Q2 Data'!$L$4:$L$207,'Q2 Data'!$B$4:$B$207,$S202)+SUMIFS('Q2 Data'!$O$4:$O$207,'Q2 Data'!$B$4:$B$207,$S202)+SUMIFS('Q2 Data'!$M$4:$M$207,'Q2 Data'!$B$4:$B$207,$S202))</f>
      </c>
      <c r="V202" s="7">
        <f>IF($C202="","",SUMIFS('Q3 Data'!$L$4:$L$207,'Q3 Data'!$B$4:$B$207,$S202)+SUMIFS('Q3 Data'!$O$4:$O$207,'Q3 Data'!$B$4:$B$207,$S202)+SUMIFS('Q3 Data'!$M$4:$M$207,'Q3 Data'!$B$4:$B$207,$S202))</f>
      </c>
      <c r="W202" s="7">
        <f>IF($C202="","",SUMIFS('Q4 Data'!$L$4:$L$207,'Q4 Data'!$B$4:$B$207,$S202)+SUMIFS('Q4 Data'!$O$4:$O$207,'Q4 Data'!$B$4:$B$207,$S202)+SUMIFS('Q4 Data'!$M$4:$M$207,'Q4 Data'!$B$4:$B$207,$S202))</f>
      </c>
      <c r="X202" s="7">
        <f>IF($C202="","",T202+U202+V202+W202)</f>
      </c>
      <c r="Y202" s="7">
        <f>IF($C202="","",M202-L202)</f>
      </c>
      <c r="Z202" s="7">
        <f>IF($C202="","",Y202-X202)</f>
      </c>
      <c r="AA202" s="7">
        <f>IF($C202="","",IF(ROUND(X202-Y202,2)&gt;0,"Over-applied",IF(ROUND(X202-Y202,2)=0,"Fully Utilised","Unconsumed")))</f>
      </c>
    </row>
    <row r="203" spans="1:27" x14ac:dyDescent="0.25">
      <c r="A203" s="7">
        <f>IF($C203="","",COUNTIF($C$4:$C203,"&lt;&gt;"))</f>
      </c>
      <c r="B203" s="8"/>
      <c r="C203" s="8"/>
      <c r="D203" s="8"/>
      <c r="E203" s="8"/>
      <c r="F203" s="8"/>
      <c r="G203" s="8"/>
      <c r="H203" s="8"/>
      <c r="I203" s="8"/>
      <c r="J203" s="8"/>
      <c r="K203" s="8"/>
      <c r="L203" s="8"/>
      <c r="M203" s="7">
        <f>IF($C203="","",G203+H203+I203+J203+K203+L203)</f>
      </c>
      <c r="N203" s="8"/>
      <c r="O203" s="8"/>
      <c r="P203" s="8"/>
      <c r="Q203" s="8"/>
      <c r="R203" s="8"/>
      <c r="S203" s="7">
        <f>IF($C203="","",C203&amp;" | BSR "&amp;B203&amp;" | "&amp;TEXT(D203,"dd-mm-yyyy")&amp;" | ₹"&amp;TEXT(M203,"#,##0"))</f>
      </c>
      <c r="T203" s="7">
        <f>IF($C203="","",SUMIFS('Q1 Data'!$L$4:$L$207,'Q1 Data'!$B$4:$B$207,$S203)+SUMIFS('Q1 Data'!$O$4:$O$207,'Q1 Data'!$B$4:$B$207,$S203)+SUMIFS('Q1 Data'!$M$4:$M$207,'Q1 Data'!$B$4:$B$207,$S203))</f>
      </c>
      <c r="U203" s="7">
        <f>IF($C203="","",SUMIFS('Q2 Data'!$L$4:$L$207,'Q2 Data'!$B$4:$B$207,$S203)+SUMIFS('Q2 Data'!$O$4:$O$207,'Q2 Data'!$B$4:$B$207,$S203)+SUMIFS('Q2 Data'!$M$4:$M$207,'Q2 Data'!$B$4:$B$207,$S203))</f>
      </c>
      <c r="V203" s="7">
        <f>IF($C203="","",SUMIFS('Q3 Data'!$L$4:$L$207,'Q3 Data'!$B$4:$B$207,$S203)+SUMIFS('Q3 Data'!$O$4:$O$207,'Q3 Data'!$B$4:$B$207,$S203)+SUMIFS('Q3 Data'!$M$4:$M$207,'Q3 Data'!$B$4:$B$207,$S203))</f>
      </c>
      <c r="W203" s="7">
        <f>IF($C203="","",SUMIFS('Q4 Data'!$L$4:$L$207,'Q4 Data'!$B$4:$B$207,$S203)+SUMIFS('Q4 Data'!$O$4:$O$207,'Q4 Data'!$B$4:$B$207,$S203)+SUMIFS('Q4 Data'!$M$4:$M$207,'Q4 Data'!$B$4:$B$207,$S203))</f>
      </c>
      <c r="X203" s="7">
        <f>IF($C203="","",T203+U203+V203+W203)</f>
      </c>
      <c r="Y203" s="7">
        <f>IF($C203="","",M203-L203)</f>
      </c>
      <c r="Z203" s="7">
        <f>IF($C203="","",Y203-X203)</f>
      </c>
      <c r="AA203" s="7">
        <f>IF($C203="","",IF(ROUND(X203-Y203,2)&gt;0,"Over-applied",IF(ROUND(X203-Y203,2)=0,"Fully Utilised","Unconsumed")))</f>
      </c>
    </row>
    <row r="204" spans="1:27" x14ac:dyDescent="0.25">
      <c r="A204" s="7">
        <f>IF($C204="","",COUNTIF($C$4:$C204,"&lt;&gt;"))</f>
      </c>
      <c r="B204" s="8"/>
      <c r="C204" s="8"/>
      <c r="D204" s="8"/>
      <c r="E204" s="8"/>
      <c r="F204" s="8"/>
      <c r="G204" s="8"/>
      <c r="H204" s="8"/>
      <c r="I204" s="8"/>
      <c r="J204" s="8"/>
      <c r="K204" s="8"/>
      <c r="L204" s="8"/>
      <c r="M204" s="7">
        <f>IF($C204="","",G204+H204+I204+J204+K204+L204)</f>
      </c>
      <c r="N204" s="8"/>
      <c r="O204" s="8"/>
      <c r="P204" s="8"/>
      <c r="Q204" s="8"/>
      <c r="R204" s="8"/>
      <c r="S204" s="7">
        <f>IF($C204="","",C204&amp;" | BSR "&amp;B204&amp;" | "&amp;TEXT(D204,"dd-mm-yyyy")&amp;" | ₹"&amp;TEXT(M204,"#,##0"))</f>
      </c>
      <c r="T204" s="7">
        <f>IF($C204="","",SUMIFS('Q1 Data'!$L$4:$L$207,'Q1 Data'!$B$4:$B$207,$S204)+SUMIFS('Q1 Data'!$O$4:$O$207,'Q1 Data'!$B$4:$B$207,$S204)+SUMIFS('Q1 Data'!$M$4:$M$207,'Q1 Data'!$B$4:$B$207,$S204))</f>
      </c>
      <c r="U204" s="7">
        <f>IF($C204="","",SUMIFS('Q2 Data'!$L$4:$L$207,'Q2 Data'!$B$4:$B$207,$S204)+SUMIFS('Q2 Data'!$O$4:$O$207,'Q2 Data'!$B$4:$B$207,$S204)+SUMIFS('Q2 Data'!$M$4:$M$207,'Q2 Data'!$B$4:$B$207,$S204))</f>
      </c>
      <c r="V204" s="7">
        <f>IF($C204="","",SUMIFS('Q3 Data'!$L$4:$L$207,'Q3 Data'!$B$4:$B$207,$S204)+SUMIFS('Q3 Data'!$O$4:$O$207,'Q3 Data'!$B$4:$B$207,$S204)+SUMIFS('Q3 Data'!$M$4:$M$207,'Q3 Data'!$B$4:$B$207,$S204))</f>
      </c>
      <c r="W204" s="7">
        <f>IF($C204="","",SUMIFS('Q4 Data'!$L$4:$L$207,'Q4 Data'!$B$4:$B$207,$S204)+SUMIFS('Q4 Data'!$O$4:$O$207,'Q4 Data'!$B$4:$B$207,$S204)+SUMIFS('Q4 Data'!$M$4:$M$207,'Q4 Data'!$B$4:$B$207,$S204))</f>
      </c>
      <c r="X204" s="7">
        <f>IF($C204="","",T204+U204+V204+W204)</f>
      </c>
      <c r="Y204" s="7">
        <f>IF($C204="","",M204-L204)</f>
      </c>
      <c r="Z204" s="7">
        <f>IF($C204="","",Y204-X204)</f>
      </c>
      <c r="AA204" s="7">
        <f>IF($C204="","",IF(ROUND(X204-Y204,2)&gt;0,"Over-applied",IF(ROUND(X204-Y204,2)=0,"Fully Utilised","Unconsumed")))</f>
      </c>
    </row>
    <row r="205" spans="1:27" x14ac:dyDescent="0.25">
      <c r="A205" s="7">
        <f>IF($C205="","",COUNTIF($C$4:$C205,"&lt;&gt;"))</f>
      </c>
      <c r="B205" s="8"/>
      <c r="C205" s="8"/>
      <c r="D205" s="8"/>
      <c r="E205" s="8"/>
      <c r="F205" s="8"/>
      <c r="G205" s="8"/>
      <c r="H205" s="8"/>
      <c r="I205" s="8"/>
      <c r="J205" s="8"/>
      <c r="K205" s="8"/>
      <c r="L205" s="8"/>
      <c r="M205" s="7">
        <f>IF($C205="","",G205+H205+I205+J205+K205+L205)</f>
      </c>
      <c r="N205" s="8"/>
      <c r="O205" s="8"/>
      <c r="P205" s="8"/>
      <c r="Q205" s="8"/>
      <c r="R205" s="8"/>
      <c r="S205" s="7">
        <f>IF($C205="","",C205&amp;" | BSR "&amp;B205&amp;" | "&amp;TEXT(D205,"dd-mm-yyyy")&amp;" | ₹"&amp;TEXT(M205,"#,##0"))</f>
      </c>
      <c r="T205" s="7">
        <f>IF($C205="","",SUMIFS('Q1 Data'!$L$4:$L$207,'Q1 Data'!$B$4:$B$207,$S205)+SUMIFS('Q1 Data'!$O$4:$O$207,'Q1 Data'!$B$4:$B$207,$S205)+SUMIFS('Q1 Data'!$M$4:$M$207,'Q1 Data'!$B$4:$B$207,$S205))</f>
      </c>
      <c r="U205" s="7">
        <f>IF($C205="","",SUMIFS('Q2 Data'!$L$4:$L$207,'Q2 Data'!$B$4:$B$207,$S205)+SUMIFS('Q2 Data'!$O$4:$O$207,'Q2 Data'!$B$4:$B$207,$S205)+SUMIFS('Q2 Data'!$M$4:$M$207,'Q2 Data'!$B$4:$B$207,$S205))</f>
      </c>
      <c r="V205" s="7">
        <f>IF($C205="","",SUMIFS('Q3 Data'!$L$4:$L$207,'Q3 Data'!$B$4:$B$207,$S205)+SUMIFS('Q3 Data'!$O$4:$O$207,'Q3 Data'!$B$4:$B$207,$S205)+SUMIFS('Q3 Data'!$M$4:$M$207,'Q3 Data'!$B$4:$B$207,$S205))</f>
      </c>
      <c r="W205" s="7">
        <f>IF($C205="","",SUMIFS('Q4 Data'!$L$4:$L$207,'Q4 Data'!$B$4:$B$207,$S205)+SUMIFS('Q4 Data'!$O$4:$O$207,'Q4 Data'!$B$4:$B$207,$S205)+SUMIFS('Q4 Data'!$M$4:$M$207,'Q4 Data'!$B$4:$B$207,$S205))</f>
      </c>
      <c r="X205" s="7">
        <f>IF($C205="","",T205+U205+V205+W205)</f>
      </c>
      <c r="Y205" s="7">
        <f>IF($C205="","",M205-L205)</f>
      </c>
      <c r="Z205" s="7">
        <f>IF($C205="","",Y205-X205)</f>
      </c>
      <c r="AA205" s="7">
        <f>IF($C205="","",IF(ROUND(X205-Y205,2)&gt;0,"Over-applied",IF(ROUND(X205-Y205,2)=0,"Fully Utilised","Unconsumed")))</f>
      </c>
    </row>
    <row r="206" spans="1:27" x14ac:dyDescent="0.25">
      <c r="A206" s="7">
        <f>IF($C206="","",COUNTIF($C$4:$C206,"&lt;&gt;"))</f>
      </c>
      <c r="B206" s="8"/>
      <c r="C206" s="8"/>
      <c r="D206" s="8"/>
      <c r="E206" s="8"/>
      <c r="F206" s="8"/>
      <c r="G206" s="8"/>
      <c r="H206" s="8"/>
      <c r="I206" s="8"/>
      <c r="J206" s="8"/>
      <c r="K206" s="8"/>
      <c r="L206" s="8"/>
      <c r="M206" s="7">
        <f>IF($C206="","",G206+H206+I206+J206+K206+L206)</f>
      </c>
      <c r="N206" s="8"/>
      <c r="O206" s="8"/>
      <c r="P206" s="8"/>
      <c r="Q206" s="8"/>
      <c r="R206" s="8"/>
      <c r="S206" s="7">
        <f>IF($C206="","",C206&amp;" | BSR "&amp;B206&amp;" | "&amp;TEXT(D206,"dd-mm-yyyy")&amp;" | ₹"&amp;TEXT(M206,"#,##0"))</f>
      </c>
      <c r="T206" s="7">
        <f>IF($C206="","",SUMIFS('Q1 Data'!$L$4:$L$207,'Q1 Data'!$B$4:$B$207,$S206)+SUMIFS('Q1 Data'!$O$4:$O$207,'Q1 Data'!$B$4:$B$207,$S206)+SUMIFS('Q1 Data'!$M$4:$M$207,'Q1 Data'!$B$4:$B$207,$S206))</f>
      </c>
      <c r="U206" s="7">
        <f>IF($C206="","",SUMIFS('Q2 Data'!$L$4:$L$207,'Q2 Data'!$B$4:$B$207,$S206)+SUMIFS('Q2 Data'!$O$4:$O$207,'Q2 Data'!$B$4:$B$207,$S206)+SUMIFS('Q2 Data'!$M$4:$M$207,'Q2 Data'!$B$4:$B$207,$S206))</f>
      </c>
      <c r="V206" s="7">
        <f>IF($C206="","",SUMIFS('Q3 Data'!$L$4:$L$207,'Q3 Data'!$B$4:$B$207,$S206)+SUMIFS('Q3 Data'!$O$4:$O$207,'Q3 Data'!$B$4:$B$207,$S206)+SUMIFS('Q3 Data'!$M$4:$M$207,'Q3 Data'!$B$4:$B$207,$S206))</f>
      </c>
      <c r="W206" s="7">
        <f>IF($C206="","",SUMIFS('Q4 Data'!$L$4:$L$207,'Q4 Data'!$B$4:$B$207,$S206)+SUMIFS('Q4 Data'!$O$4:$O$207,'Q4 Data'!$B$4:$B$207,$S206)+SUMIFS('Q4 Data'!$M$4:$M$207,'Q4 Data'!$B$4:$B$207,$S206))</f>
      </c>
      <c r="X206" s="7">
        <f>IF($C206="","",T206+U206+V206+W206)</f>
      </c>
      <c r="Y206" s="7">
        <f>IF($C206="","",M206-L206)</f>
      </c>
      <c r="Z206" s="7">
        <f>IF($C206="","",Y206-X206)</f>
      </c>
      <c r="AA206" s="7">
        <f>IF($C206="","",IF(ROUND(X206-Y206,2)&gt;0,"Over-applied",IF(ROUND(X206-Y206,2)=0,"Fully Utilised","Unconsumed")))</f>
      </c>
    </row>
    <row r="207" spans="1:27" x14ac:dyDescent="0.25">
      <c r="A207" s="7">
        <f>IF($C207="","",COUNTIF($C$4:$C207,"&lt;&gt;"))</f>
      </c>
      <c r="B207" s="8"/>
      <c r="C207" s="8"/>
      <c r="D207" s="8"/>
      <c r="E207" s="8"/>
      <c r="F207" s="8"/>
      <c r="G207" s="8"/>
      <c r="H207" s="8"/>
      <c r="I207" s="8"/>
      <c r="J207" s="8"/>
      <c r="K207" s="8"/>
      <c r="L207" s="8"/>
      <c r="M207" s="7">
        <f>IF($C207="","",G207+H207+I207+J207+K207+L207)</f>
      </c>
      <c r="N207" s="8"/>
      <c r="O207" s="8"/>
      <c r="P207" s="8"/>
      <c r="Q207" s="8"/>
      <c r="R207" s="8"/>
      <c r="S207" s="7">
        <f>IF($C207="","",C207&amp;" | BSR "&amp;B207&amp;" | "&amp;TEXT(D207,"dd-mm-yyyy")&amp;" | ₹"&amp;TEXT(M207,"#,##0"))</f>
      </c>
      <c r="T207" s="7">
        <f>IF($C207="","",SUMIFS('Q1 Data'!$L$4:$L$207,'Q1 Data'!$B$4:$B$207,$S207)+SUMIFS('Q1 Data'!$O$4:$O$207,'Q1 Data'!$B$4:$B$207,$S207)+SUMIFS('Q1 Data'!$M$4:$M$207,'Q1 Data'!$B$4:$B$207,$S207))</f>
      </c>
      <c r="U207" s="7">
        <f>IF($C207="","",SUMIFS('Q2 Data'!$L$4:$L$207,'Q2 Data'!$B$4:$B$207,$S207)+SUMIFS('Q2 Data'!$O$4:$O$207,'Q2 Data'!$B$4:$B$207,$S207)+SUMIFS('Q2 Data'!$M$4:$M$207,'Q2 Data'!$B$4:$B$207,$S207))</f>
      </c>
      <c r="V207" s="7">
        <f>IF($C207="","",SUMIFS('Q3 Data'!$L$4:$L$207,'Q3 Data'!$B$4:$B$207,$S207)+SUMIFS('Q3 Data'!$O$4:$O$207,'Q3 Data'!$B$4:$B$207,$S207)+SUMIFS('Q3 Data'!$M$4:$M$207,'Q3 Data'!$B$4:$B$207,$S207))</f>
      </c>
      <c r="W207" s="7">
        <f>IF($C207="","",SUMIFS('Q4 Data'!$L$4:$L$207,'Q4 Data'!$B$4:$B$207,$S207)+SUMIFS('Q4 Data'!$O$4:$O$207,'Q4 Data'!$B$4:$B$207,$S207)+SUMIFS('Q4 Data'!$M$4:$M$207,'Q4 Data'!$B$4:$B$207,$S207))</f>
      </c>
      <c r="X207" s="7">
        <f>IF($C207="","",T207+U207+V207+W207)</f>
      </c>
      <c r="Y207" s="7">
        <f>IF($C207="","",M207-L207)</f>
      </c>
      <c r="Z207" s="7">
        <f>IF($C207="","",Y207-X207)</f>
      </c>
      <c r="AA207" s="7">
        <f>IF($C207="","",IF(ROUND(X207-Y207,2)&gt;0,"Over-applied",IF(ROUND(X207-Y207,2)=0,"Fully Utilised","Unconsumed")))</f>
      </c>
    </row>
  </sheetData>
  <sheetProtection sheet="1" formatCells="0" formatColumns="0" formatRows="0"/>
  <mergeCells count="2">
    <mergeCell ref="A1:AA1"/>
    <mergeCell ref="A2:AA2"/>
  </mergeCells>
  <conditionalFormatting sqref="A2:AA2">
    <cfRule type="expression" dxfId="0" priority="1">
      <formula>ISNUMBER(SEARCH("VALIDATION FAILED",$A2))</formula>
    </cfRule>
    <cfRule type="expression" dxfId="1" priority="2">
      <formula>ISNUMBER(SEARCH("Validation Successful",$A2))</formula>
    </cfRule>
  </conditionalFormatting>
  <conditionalFormatting sqref="A4:AA207">
    <cfRule type="expression" dxfId="2" priority="1">
      <formula>$AA4="Over-applied"</formula>
    </cfRule>
    <cfRule type="expression" dxfId="3" priority="2">
      <formula>$AA4="Fully Utilised"</formula>
    </cfRule>
    <cfRule type="expression" dxfId="4" priority="3">
      <formula>$AA4="Unconsumed"</formula>
    </cfRule>
  </conditionalFormatting>
  <conditionalFormatting sqref="D4:D207">
    <cfRule type="expression" dxfId="5" priority="4">
      <formula>AND($C4&lt;&gt;"",D4="")</formula>
    </cfRule>
  </conditionalFormatting>
  <conditionalFormatting sqref="E4:E207">
    <cfRule type="expression" dxfId="6" priority="5">
      <formula>AND($C4&lt;&gt;"",E4="")</formula>
    </cfRule>
  </conditionalFormatting>
  <conditionalFormatting sqref="G4:G207">
    <cfRule type="expression" dxfId="7" priority="6">
      <formula>AND($C4&lt;&gt;"",G4="")</formula>
    </cfRule>
  </conditionalFormatting>
  <dataValidations count="12">
    <dataValidation type="textLength" operator="equal" allowBlank="1" showErrorMessage="1" errorTitle="Invalid BSR Code" error="BSR Code must be exactly 7 characters." sqref="B10:B207">
      <formula1>7</formula1>
    </dataValidation>
    <dataValidation type="textLength" operator="equal" allowBlank="1" showErrorMessage="1" errorTitle="Invalid BSR Code" error="BSR Code must be exactly 7 characters." sqref="B4:B207">
      <formula1>7</formula1>
    </dataValidation>
    <dataValidation type="date" allowBlank="1" showErrorMessage="1" errorTitle="Invalid Date" error="Enter a real date (use the date picker), between 01-Apr-2020 and 31-Mar-2030." sqref="D10:D207">
      <formula1>43922</formula1>
      <formula2>47573</formula2>
    </dataValidation>
    <dataValidation type="date" allowBlank="1" showErrorMessage="1" errorTitle="Invalid Date" error="Enter a real date (use the date picker), between 01-Apr-2020 and 31-Mar-2030." sqref="D4:D207">
      <formula1>43922</formula1>
      <formula2>47573</formula2>
    </dataValidation>
    <dataValidation type="list" allowBlank="1" showErrorMessage="1" errorTitle="Invalid Minor Head" error="Pick 200 (TDS Payable) or 400 (Demand) from the dropdown." sqref="E10:E207">
      <formula1>"200,400"</formula1>
    </dataValidation>
    <dataValidation type="list" allowBlank="1" showErrorMessage="1" errorTitle="Invalid Minor Head" error="Pick 200 (TDS Payable) or 400 (Demand) from the dropdown." sqref="E4:E207">
      <formula1>"200,400"</formula1>
    </dataValidation>
    <dataValidation type="list" allowBlank="1" showErrorMessage="1" errorTitle="Invalid Section" error="Pick a section from the dropdown list." sqref="F10:F207">
      <formula1>'Rate Lookup'!$A$1:$A$37</formula1>
    </dataValidation>
    <dataValidation type="list" allowBlank="1" showErrorMessage="1" errorTitle="Invalid Section" error="Pick a section from the dropdown list." sqref="F4:F207">
      <formula1>'Rate Lookup'!$A$1:$A$37</formula1>
    </dataValidation>
    <dataValidation type="decimal" operator="greaterThanOrEqual" allowBlank="1" showErrorMessage="1" errorTitle="Invalid Amount" error="Must be a number of 0 or more." sqref="G10:L207">
      <formula1>0</formula1>
    </dataValidation>
    <dataValidation type="decimal" operator="greaterThanOrEqual" allowBlank="1" showErrorMessage="1" errorTitle="Invalid Amount" error="Must be a number of 0 or more." sqref="G4:L207">
      <formula1>0</formula1>
    </dataValidation>
    <dataValidation type="list" allowBlank="1" showErrorMessage="1" errorTitle="Invalid value" error="Pick Y or N from the dropdown." sqref="O10:O207">
      <formula1>"Y,N"</formula1>
    </dataValidation>
    <dataValidation type="list" allowBlank="1" showErrorMessage="1" errorTitle="Invalid value" error="Pick Y or N from the dropdown." sqref="O4:O207">
      <formula1>"Y,N"</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40" customWidth="1"/>
    <col min="3" max="3" width="70" customWidth="1"/>
    <col min="4" max="4" width="26" customWidth="1"/>
    <col min="5" max="7" width="12" customWidth="1"/>
    <col min="8" max="8" width="40" customWidth="1"/>
    <col min="9" max="9" width="12" customWidth="1"/>
    <col min="10" max="16" width="13" customWidth="1"/>
    <col min="17" max="17" width="12" customWidth="1"/>
    <col min="18" max="18" width="20" customWidth="1"/>
    <col min="19" max="19" width="14" customWidth="1"/>
    <col min="20" max="20" width="16" customWidth="1"/>
    <col min="21" max="21" width="18" customWidth="1"/>
    <col min="22" max="22" width="14" customWidth="1"/>
  </cols>
  <sheetData>
    <row r="1" ht="22" customHeight="1" spans="1:22" x14ac:dyDescent="0.25">
      <c r="A1" s="3" t="s">
        <v>81</v>
      </c>
      <c r="B1" s="3"/>
      <c r="C1" s="3"/>
      <c r="D1" s="3"/>
      <c r="E1" s="3"/>
      <c r="F1" s="3"/>
      <c r="G1" s="3"/>
      <c r="H1" s="3"/>
      <c r="I1" s="3"/>
      <c r="J1" s="3"/>
      <c r="K1" s="3"/>
      <c r="L1" s="3"/>
      <c r="M1" s="3"/>
      <c r="N1" s="3"/>
      <c r="O1" s="3"/>
      <c r="P1" s="3"/>
      <c r="Q1" s="3"/>
      <c r="R1" s="3"/>
      <c r="S1" s="3"/>
      <c r="T1" s="3"/>
      <c r="U1" s="3"/>
      <c r="V1" s="3"/>
    </row>
    <row r="2" ht="20" customHeight="1" spans="1:22" x14ac:dyDescent="0.25">
      <c r="A2" s="5">
        <f>IF(AND(SUMPRODUCT(($D$4:$D$207&lt;&gt;"")*($B$4:$B$207=""))=0,SUMPRODUCT(($D$4:$D$207&lt;&gt;"")*($V$4:$V$207="Over-applied"))=0),"✅ Validation Successful — every entry has a Challan selected, none reference an over-applied challan ("&amp;COUNTIF($D$4:$D$207,"&lt;&gt;")&amp;" entries checked).","❌ VALIDATION FAILED — "&amp;SUMPRODUCT(($D$4:$D$207&lt;&gt;"")*($B$4:$B$207=""))&amp;" entr(y/ies) missing a Challan selection, "&amp;SUMPRODUCT(($D$4:$D$207&lt;&gt;"")*($V$4:$V$207="Over-applied"))&amp;" entr(y/ies) posted against an Over-applied challan. See the pink/red-highlighted row(s) below.")</f>
      </c>
      <c r="B2" s="5"/>
      <c r="C2" s="5"/>
      <c r="D2" s="5"/>
      <c r="E2" s="5"/>
      <c r="F2" s="5"/>
      <c r="G2" s="5"/>
      <c r="H2" s="5"/>
      <c r="I2" s="5"/>
      <c r="J2" s="5"/>
      <c r="K2" s="5"/>
      <c r="L2" s="5"/>
      <c r="M2" s="5"/>
      <c r="N2" s="5"/>
      <c r="O2" s="5"/>
      <c r="P2" s="5"/>
      <c r="Q2" s="5"/>
      <c r="R2" s="5"/>
      <c r="S2" s="5"/>
      <c r="T2" s="5"/>
      <c r="U2" s="5"/>
      <c r="V2" s="5"/>
    </row>
    <row r="3" ht="40" customHeight="1" spans="1:22" x14ac:dyDescent="0.25">
      <c r="A3" s="6" t="s">
        <v>54</v>
      </c>
      <c r="B3" s="6" t="s">
        <v>82</v>
      </c>
      <c r="C3" s="6" t="s">
        <v>83</v>
      </c>
      <c r="D3" s="6" t="s">
        <v>84</v>
      </c>
      <c r="E3" s="6" t="s">
        <v>85</v>
      </c>
      <c r="F3" s="6" t="s">
        <v>86</v>
      </c>
      <c r="G3" s="6" t="s">
        <v>87</v>
      </c>
      <c r="H3" s="6" t="s">
        <v>88</v>
      </c>
      <c r="I3" s="6" t="s">
        <v>89</v>
      </c>
      <c r="J3" s="6" t="s">
        <v>90</v>
      </c>
      <c r="K3" s="6" t="s">
        <v>91</v>
      </c>
      <c r="L3" s="6" t="s">
        <v>92</v>
      </c>
      <c r="M3" s="6" t="s">
        <v>93</v>
      </c>
      <c r="N3" s="6" t="s">
        <v>94</v>
      </c>
      <c r="O3" s="6" t="s">
        <v>95</v>
      </c>
      <c r="P3" s="6" t="s">
        <v>96</v>
      </c>
      <c r="Q3" s="6" t="s">
        <v>97</v>
      </c>
      <c r="R3" s="6" t="s">
        <v>98</v>
      </c>
      <c r="S3" s="6" t="s">
        <v>99</v>
      </c>
      <c r="T3" s="6" t="s">
        <v>100</v>
      </c>
      <c r="U3" s="6" t="s">
        <v>71</v>
      </c>
      <c r="V3" s="6" t="s">
        <v>101</v>
      </c>
    </row>
    <row r="4" spans="1:22" x14ac:dyDescent="0.25">
      <c r="A4" s="7">
        <f>IF($D4="","",COUNTIF($D$4:$D4,"&lt;&gt;"))</f>
      </c>
      <c r="B4" s="8"/>
      <c r="C4" s="7">
        <f>IF($B4="","","BSR "&amp;IFERROR(INDEX('Challan Master'!$B$4:$B$207,MATCH($B4,'Challan Master'!$S$4:$S$207,0)),"")&amp;" | Serial "&amp;IFERROR(INDEX('Challan Master'!$C$4:$C$207,MATCH($B4,'Challan Master'!$S$4:$S$207,0)),"")&amp;" | Deposit "&amp;TEXT(IFERROR(INDEX('Challan Master'!$D$4:$D$207,MATCH($B4,'Challan Master'!$S$4:$S$207,0)),""),"dd-mm-yyyy")&amp;" | Minor Head "&amp;IFERROR(INDEX('Challan Master'!$E$4:$E$207,MATCH($B4,'Challan Master'!$S$4:$S$207,0)),"")&amp;" | Tax ₹"&amp;TEXT(IFERROR(INDEX('Challan Master'!$G$4:$G$207,MATCH($B4,'Challan Master'!$S$4:$S$207,0)),""),"#,##0")&amp;" | Section "&amp;IFERROR(INDEX('Challan Master'!$F$4:$F$207,MATCH($B4,'Challan Master'!$S$4:$S$207,0)),""))</f>
      </c>
      <c r="D4" s="8"/>
      <c r="E4" s="8"/>
      <c r="F4" s="7">
        <f>IF($D4="","",IF(AND(LEN(TRIM(UPPER(E4)))=10,CODE(MID(TRIM(UPPER(E4)),1,1))&gt;=65,CODE(MID(TRIM(UPPER(E4)),1,1))&lt;=90,CODE(MID(TRIM(UPPER(E4)),2,1))&gt;=65,CODE(MID(TRIM(UPPER(E4)),2,1))&lt;=90,CODE(MID(TRIM(UPPER(E4)),3,1))&gt;=65,CODE(MID(TRIM(UPPER(E4)),3,1))&lt;=90,CODE(MID(TRIM(UPPER(E4)),4,1))&gt;=65,CODE(MID(TRIM(UPPER(E4)),4,1))&lt;=90,CODE(MID(TRIM(UPPER(E4)),5,1))&gt;=65,CODE(MID(TRIM(UPPER(E4)),5,1))&lt;=90,CODE(MID(TRIM(UPPER(E4)),10,1))&gt;=65,CODE(MID(TRIM(UPPER(E4)),10,1))&lt;=90,CODE(MID(TRIM(UPPER(E4)),6,1))&gt;=48,CODE(MID(TRIM(UPPER(E4)),6,1))&lt;=57,CODE(MID(TRIM(UPPER(E4)),7,1))&gt;=48,CODE(MID(TRIM(UPPER(E4)),7,1))&lt;=57,CODE(MID(TRIM(UPPER(E4)),8,1))&gt;=48,CODE(MID(TRIM(UPPER(E4)),8,1))&lt;=57,CODE(MID(TRIM(UPPER(E4)),9,1))&gt;=48,CODE(MID(TRIM(UPPER(E4)),9,1))&lt;=57),"N","Y"))</f>
      </c>
      <c r="G4" s="7">
        <f>IF($D4="","",IF(LEN(E4)&lt;4,"",IF(UPPER(MID(E4,4,1))="P","Individual",IF(UPPER(MID(E4,4,1))="H","HUF",IF(UPPER(MID(E4,4,1))="C","Company",IF(UPPER(MID(E4,4,1))="F","Firm",IF(UPPER(MID(E4,4,1))="L","LLP",IF(UPPER(MID(E4,4,1))="T","Trust",IF(UPPER(MID(E4,4,1))="A","AOP","")))))))))</f>
      </c>
      <c r="H4" s="8"/>
      <c r="I4" s="7">
        <f>IF($D4="","",IF(H4="","",IF(F4="Y",SUMPRODUCT(('Rate Lookup'!$A$1:$A$37=H4)*'Rate Lookup'!$D$1:$D$37),IF(OR(G4="Individual",G4="HUF"),SUMPRODUCT(('Rate Lookup'!$A$1:$A$37=H4)*'Rate Lookup'!$B$1:$B$37),SUMPRODUCT(('Rate Lookup'!$A$1:$A$37=H4)*'Rate Lookup'!$C$1:$C$37)))))</f>
      </c>
      <c r="J4" s="8"/>
      <c r="K4" s="8"/>
      <c r="L4" s="7">
        <f>IF($D4="","",ROUND(K4*I4/100,0))</f>
      </c>
      <c r="M4" s="7">
        <f>IF($D4="","",0)</f>
      </c>
      <c r="N4" s="7">
        <f>IF($D4="","",0)</f>
      </c>
      <c r="O4" s="7">
        <f>IF($D4="","",IF(OR(L4=0,J4="",IFERROR(INDEX('Challan Master'!$D$4:$D$207,MATCH($B4,'Challan Master'!$S$4:$S$207,0)),"")="",IFERROR(INDEX('Challan Master'!$D$4:$D$207,MATCH($B4,'Challan Master'!$S$4:$S$207,0)),"")&lt;=0),0,IF(IFERROR(INDEX('Challan Master'!$D$4:$D$207,MATCH($B4,'Challan Master'!$S$4:$S$207,0)),"")&lt;=DATE(YEAR(J4),MONTH(J4)+1,7),0,ROUND(L4*0.015*((YEAR(IFERROR(INDEX('Challan Master'!$D$4:$D$207,MATCH($B4,'Challan Master'!$S$4:$S$207,0)),""))-YEAR(J4))*12+(MONTH(IFERROR(INDEX('Challan Master'!$D$4:$D$207,MATCH($B4,'Challan Master'!$S$4:$S$207,0)),""))-MONTH(J4))+1),0))))</f>
      </c>
      <c r="P4" s="7">
        <f>IF($D4="","",0)</f>
      </c>
      <c r="Q4" s="8"/>
      <c r="R4" s="8"/>
      <c r="S4" s="8"/>
      <c r="T4" s="8"/>
      <c r="U4" s="8"/>
      <c r="V4" s="7">
        <f>IF($B4="","",IFERROR(INDEX('Challan Master'!$AA$4:$AA$207,MATCH($B4,'Challan Master'!$S$4:$S$207,0)),""))</f>
      </c>
    </row>
    <row r="5" spans="1:22" x14ac:dyDescent="0.25">
      <c r="A5" s="7">
        <f>IF($D5="","",COUNTIF($D$4:$D5,"&lt;&gt;"))</f>
      </c>
      <c r="B5" s="8"/>
      <c r="C5" s="7">
        <f>IF($B5="","","BSR "&amp;IFERROR(INDEX('Challan Master'!$B$4:$B$207,MATCH($B5,'Challan Master'!$S$4:$S$207,0)),"")&amp;" | Serial "&amp;IFERROR(INDEX('Challan Master'!$C$4:$C$207,MATCH($B5,'Challan Master'!$S$4:$S$207,0)),"")&amp;" | Deposit "&amp;TEXT(IFERROR(INDEX('Challan Master'!$D$4:$D$207,MATCH($B5,'Challan Master'!$S$4:$S$207,0)),""),"dd-mm-yyyy")&amp;" | Minor Head "&amp;IFERROR(INDEX('Challan Master'!$E$4:$E$207,MATCH($B5,'Challan Master'!$S$4:$S$207,0)),"")&amp;" | Tax ₹"&amp;TEXT(IFERROR(INDEX('Challan Master'!$G$4:$G$207,MATCH($B5,'Challan Master'!$S$4:$S$207,0)),""),"#,##0")&amp;" | Section "&amp;IFERROR(INDEX('Challan Master'!$F$4:$F$207,MATCH($B5,'Challan Master'!$S$4:$S$207,0)),""))</f>
      </c>
      <c r="D5" s="8"/>
      <c r="E5" s="8"/>
      <c r="F5" s="7">
        <f>IF($D5="","",IF(AND(LEN(TRIM(UPPER(E5)))=10,CODE(MID(TRIM(UPPER(E5)),1,1))&gt;=65,CODE(MID(TRIM(UPPER(E5)),1,1))&lt;=90,CODE(MID(TRIM(UPPER(E5)),2,1))&gt;=65,CODE(MID(TRIM(UPPER(E5)),2,1))&lt;=90,CODE(MID(TRIM(UPPER(E5)),3,1))&gt;=65,CODE(MID(TRIM(UPPER(E5)),3,1))&lt;=90,CODE(MID(TRIM(UPPER(E5)),4,1))&gt;=65,CODE(MID(TRIM(UPPER(E5)),4,1))&lt;=90,CODE(MID(TRIM(UPPER(E5)),5,1))&gt;=65,CODE(MID(TRIM(UPPER(E5)),5,1))&lt;=90,CODE(MID(TRIM(UPPER(E5)),10,1))&gt;=65,CODE(MID(TRIM(UPPER(E5)),10,1))&lt;=90,CODE(MID(TRIM(UPPER(E5)),6,1))&gt;=48,CODE(MID(TRIM(UPPER(E5)),6,1))&lt;=57,CODE(MID(TRIM(UPPER(E5)),7,1))&gt;=48,CODE(MID(TRIM(UPPER(E5)),7,1))&lt;=57,CODE(MID(TRIM(UPPER(E5)),8,1))&gt;=48,CODE(MID(TRIM(UPPER(E5)),8,1))&lt;=57,CODE(MID(TRIM(UPPER(E5)),9,1))&gt;=48,CODE(MID(TRIM(UPPER(E5)),9,1))&lt;=57),"N","Y"))</f>
      </c>
      <c r="G5" s="7">
        <f>IF($D5="","",IF(LEN(E5)&lt;4,"",IF(UPPER(MID(E5,4,1))="P","Individual",IF(UPPER(MID(E5,4,1))="H","HUF",IF(UPPER(MID(E5,4,1))="C","Company",IF(UPPER(MID(E5,4,1))="F","Firm",IF(UPPER(MID(E5,4,1))="L","LLP",IF(UPPER(MID(E5,4,1))="T","Trust",IF(UPPER(MID(E5,4,1))="A","AOP","")))))))))</f>
      </c>
      <c r="H5" s="8"/>
      <c r="I5" s="7">
        <f>IF($D5="","",IF(H5="","",IF(F5="Y",SUMPRODUCT(('Rate Lookup'!$A$1:$A$37=H5)*'Rate Lookup'!$D$1:$D$37),IF(OR(G5="Individual",G5="HUF"),SUMPRODUCT(('Rate Lookup'!$A$1:$A$37=H5)*'Rate Lookup'!$B$1:$B$37),SUMPRODUCT(('Rate Lookup'!$A$1:$A$37=H5)*'Rate Lookup'!$C$1:$C$37)))))</f>
      </c>
      <c r="J5" s="8"/>
      <c r="K5" s="8"/>
      <c r="L5" s="7">
        <f>IF($D5="","",ROUND(K5*I5/100,0))</f>
      </c>
      <c r="M5" s="7">
        <f>IF($D5="","",0)</f>
      </c>
      <c r="N5" s="7">
        <f>IF($D5="","",0)</f>
      </c>
      <c r="O5" s="7">
        <f>IF($D5="","",IF(OR(L5=0,J5="",IFERROR(INDEX('Challan Master'!$D$4:$D$207,MATCH($B5,'Challan Master'!$S$4:$S$207,0)),"")="",IFERROR(INDEX('Challan Master'!$D$4:$D$207,MATCH($B5,'Challan Master'!$S$4:$S$207,0)),"")&lt;=0),0,IF(IFERROR(INDEX('Challan Master'!$D$4:$D$207,MATCH($B5,'Challan Master'!$S$4:$S$207,0)),"")&lt;=DATE(YEAR(J5),MONTH(J5)+1,7),0,ROUND(L5*0.015*((YEAR(IFERROR(INDEX('Challan Master'!$D$4:$D$207,MATCH($B5,'Challan Master'!$S$4:$S$207,0)),""))-YEAR(J5))*12+(MONTH(IFERROR(INDEX('Challan Master'!$D$4:$D$207,MATCH($B5,'Challan Master'!$S$4:$S$207,0)),""))-MONTH(J5))+1),0))))</f>
      </c>
      <c r="P5" s="7">
        <f>IF($D5="","",0)</f>
      </c>
      <c r="Q5" s="8"/>
      <c r="R5" s="8"/>
      <c r="S5" s="8"/>
      <c r="T5" s="8"/>
      <c r="U5" s="8"/>
      <c r="V5" s="7">
        <f>IF($B5="","",IFERROR(INDEX('Challan Master'!$AA$4:$AA$207,MATCH($B5,'Challan Master'!$S$4:$S$207,0)),""))</f>
      </c>
    </row>
    <row r="6" spans="1:22" x14ac:dyDescent="0.25">
      <c r="A6" s="7">
        <f>IF($D6="","",COUNTIF($D$4:$D6,"&lt;&gt;"))</f>
      </c>
      <c r="B6" s="8"/>
      <c r="C6" s="7">
        <f>IF($B6="","","BSR "&amp;IFERROR(INDEX('Challan Master'!$B$4:$B$207,MATCH($B6,'Challan Master'!$S$4:$S$207,0)),"")&amp;" | Serial "&amp;IFERROR(INDEX('Challan Master'!$C$4:$C$207,MATCH($B6,'Challan Master'!$S$4:$S$207,0)),"")&amp;" | Deposit "&amp;TEXT(IFERROR(INDEX('Challan Master'!$D$4:$D$207,MATCH($B6,'Challan Master'!$S$4:$S$207,0)),""),"dd-mm-yyyy")&amp;" | Minor Head "&amp;IFERROR(INDEX('Challan Master'!$E$4:$E$207,MATCH($B6,'Challan Master'!$S$4:$S$207,0)),"")&amp;" | Tax ₹"&amp;TEXT(IFERROR(INDEX('Challan Master'!$G$4:$G$207,MATCH($B6,'Challan Master'!$S$4:$S$207,0)),""),"#,##0")&amp;" | Section "&amp;IFERROR(INDEX('Challan Master'!$F$4:$F$207,MATCH($B6,'Challan Master'!$S$4:$S$207,0)),""))</f>
      </c>
      <c r="D6" s="8"/>
      <c r="E6" s="8"/>
      <c r="F6" s="7">
        <f>IF($D6="","",IF(AND(LEN(TRIM(UPPER(E6)))=10,CODE(MID(TRIM(UPPER(E6)),1,1))&gt;=65,CODE(MID(TRIM(UPPER(E6)),1,1))&lt;=90,CODE(MID(TRIM(UPPER(E6)),2,1))&gt;=65,CODE(MID(TRIM(UPPER(E6)),2,1))&lt;=90,CODE(MID(TRIM(UPPER(E6)),3,1))&gt;=65,CODE(MID(TRIM(UPPER(E6)),3,1))&lt;=90,CODE(MID(TRIM(UPPER(E6)),4,1))&gt;=65,CODE(MID(TRIM(UPPER(E6)),4,1))&lt;=90,CODE(MID(TRIM(UPPER(E6)),5,1))&gt;=65,CODE(MID(TRIM(UPPER(E6)),5,1))&lt;=90,CODE(MID(TRIM(UPPER(E6)),10,1))&gt;=65,CODE(MID(TRIM(UPPER(E6)),10,1))&lt;=90,CODE(MID(TRIM(UPPER(E6)),6,1))&gt;=48,CODE(MID(TRIM(UPPER(E6)),6,1))&lt;=57,CODE(MID(TRIM(UPPER(E6)),7,1))&gt;=48,CODE(MID(TRIM(UPPER(E6)),7,1))&lt;=57,CODE(MID(TRIM(UPPER(E6)),8,1))&gt;=48,CODE(MID(TRIM(UPPER(E6)),8,1))&lt;=57,CODE(MID(TRIM(UPPER(E6)),9,1))&gt;=48,CODE(MID(TRIM(UPPER(E6)),9,1))&lt;=57),"N","Y"))</f>
      </c>
      <c r="G6" s="7">
        <f>IF($D6="","",IF(LEN(E6)&lt;4,"",IF(UPPER(MID(E6,4,1))="P","Individual",IF(UPPER(MID(E6,4,1))="H","HUF",IF(UPPER(MID(E6,4,1))="C","Company",IF(UPPER(MID(E6,4,1))="F","Firm",IF(UPPER(MID(E6,4,1))="L","LLP",IF(UPPER(MID(E6,4,1))="T","Trust",IF(UPPER(MID(E6,4,1))="A","AOP","")))))))))</f>
      </c>
      <c r="H6" s="8"/>
      <c r="I6" s="7">
        <f>IF($D6="","",IF(H6="","",IF(F6="Y",SUMPRODUCT(('Rate Lookup'!$A$1:$A$37=H6)*'Rate Lookup'!$D$1:$D$37),IF(OR(G6="Individual",G6="HUF"),SUMPRODUCT(('Rate Lookup'!$A$1:$A$37=H6)*'Rate Lookup'!$B$1:$B$37),SUMPRODUCT(('Rate Lookup'!$A$1:$A$37=H6)*'Rate Lookup'!$C$1:$C$37)))))</f>
      </c>
      <c r="J6" s="8"/>
      <c r="K6" s="8"/>
      <c r="L6" s="7">
        <f>IF($D6="","",ROUND(K6*I6/100,0))</f>
      </c>
      <c r="M6" s="7">
        <f>IF($D6="","",0)</f>
      </c>
      <c r="N6" s="7">
        <f>IF($D6="","",0)</f>
      </c>
      <c r="O6" s="7">
        <f>IF($D6="","",IF(OR(L6=0,J6="",IFERROR(INDEX('Challan Master'!$D$4:$D$207,MATCH($B6,'Challan Master'!$S$4:$S$207,0)),"")="",IFERROR(INDEX('Challan Master'!$D$4:$D$207,MATCH($B6,'Challan Master'!$S$4:$S$207,0)),"")&lt;=0),0,IF(IFERROR(INDEX('Challan Master'!$D$4:$D$207,MATCH($B6,'Challan Master'!$S$4:$S$207,0)),"")&lt;=DATE(YEAR(J6),MONTH(J6)+1,7),0,ROUND(L6*0.015*((YEAR(IFERROR(INDEX('Challan Master'!$D$4:$D$207,MATCH($B6,'Challan Master'!$S$4:$S$207,0)),""))-YEAR(J6))*12+(MONTH(IFERROR(INDEX('Challan Master'!$D$4:$D$207,MATCH($B6,'Challan Master'!$S$4:$S$207,0)),""))-MONTH(J6))+1),0))))</f>
      </c>
      <c r="P6" s="7">
        <f>IF($D6="","",0)</f>
      </c>
      <c r="Q6" s="8"/>
      <c r="R6" s="8"/>
      <c r="S6" s="8"/>
      <c r="T6" s="8"/>
      <c r="U6" s="8"/>
      <c r="V6" s="7">
        <f>IF($B6="","",IFERROR(INDEX('Challan Master'!$AA$4:$AA$207,MATCH($B6,'Challan Master'!$S$4:$S$207,0)),""))</f>
      </c>
    </row>
    <row r="7" spans="1:22" x14ac:dyDescent="0.25">
      <c r="A7" s="7">
        <f>IF($D7="","",COUNTIF($D$4:$D7,"&lt;&gt;"))</f>
      </c>
      <c r="B7" s="8"/>
      <c r="C7" s="7">
        <f>IF($B7="","","BSR "&amp;IFERROR(INDEX('Challan Master'!$B$4:$B$207,MATCH($B7,'Challan Master'!$S$4:$S$207,0)),"")&amp;" | Serial "&amp;IFERROR(INDEX('Challan Master'!$C$4:$C$207,MATCH($B7,'Challan Master'!$S$4:$S$207,0)),"")&amp;" | Deposit "&amp;TEXT(IFERROR(INDEX('Challan Master'!$D$4:$D$207,MATCH($B7,'Challan Master'!$S$4:$S$207,0)),""),"dd-mm-yyyy")&amp;" | Minor Head "&amp;IFERROR(INDEX('Challan Master'!$E$4:$E$207,MATCH($B7,'Challan Master'!$S$4:$S$207,0)),"")&amp;" | Tax ₹"&amp;TEXT(IFERROR(INDEX('Challan Master'!$G$4:$G$207,MATCH($B7,'Challan Master'!$S$4:$S$207,0)),""),"#,##0")&amp;" | Section "&amp;IFERROR(INDEX('Challan Master'!$F$4:$F$207,MATCH($B7,'Challan Master'!$S$4:$S$207,0)),""))</f>
      </c>
      <c r="D7" s="8"/>
      <c r="E7" s="8"/>
      <c r="F7" s="7">
        <f>IF($D7="","",IF(AND(LEN(TRIM(UPPER(E7)))=10,CODE(MID(TRIM(UPPER(E7)),1,1))&gt;=65,CODE(MID(TRIM(UPPER(E7)),1,1))&lt;=90,CODE(MID(TRIM(UPPER(E7)),2,1))&gt;=65,CODE(MID(TRIM(UPPER(E7)),2,1))&lt;=90,CODE(MID(TRIM(UPPER(E7)),3,1))&gt;=65,CODE(MID(TRIM(UPPER(E7)),3,1))&lt;=90,CODE(MID(TRIM(UPPER(E7)),4,1))&gt;=65,CODE(MID(TRIM(UPPER(E7)),4,1))&lt;=90,CODE(MID(TRIM(UPPER(E7)),5,1))&gt;=65,CODE(MID(TRIM(UPPER(E7)),5,1))&lt;=90,CODE(MID(TRIM(UPPER(E7)),10,1))&gt;=65,CODE(MID(TRIM(UPPER(E7)),10,1))&lt;=90,CODE(MID(TRIM(UPPER(E7)),6,1))&gt;=48,CODE(MID(TRIM(UPPER(E7)),6,1))&lt;=57,CODE(MID(TRIM(UPPER(E7)),7,1))&gt;=48,CODE(MID(TRIM(UPPER(E7)),7,1))&lt;=57,CODE(MID(TRIM(UPPER(E7)),8,1))&gt;=48,CODE(MID(TRIM(UPPER(E7)),8,1))&lt;=57,CODE(MID(TRIM(UPPER(E7)),9,1))&gt;=48,CODE(MID(TRIM(UPPER(E7)),9,1))&lt;=57),"N","Y"))</f>
      </c>
      <c r="G7" s="7">
        <f>IF($D7="","",IF(LEN(E7)&lt;4,"",IF(UPPER(MID(E7,4,1))="P","Individual",IF(UPPER(MID(E7,4,1))="H","HUF",IF(UPPER(MID(E7,4,1))="C","Company",IF(UPPER(MID(E7,4,1))="F","Firm",IF(UPPER(MID(E7,4,1))="L","LLP",IF(UPPER(MID(E7,4,1))="T","Trust",IF(UPPER(MID(E7,4,1))="A","AOP","")))))))))</f>
      </c>
      <c r="H7" s="8"/>
      <c r="I7" s="7">
        <f>IF($D7="","",IF(H7="","",IF(F7="Y",SUMPRODUCT(('Rate Lookup'!$A$1:$A$37=H7)*'Rate Lookup'!$D$1:$D$37),IF(OR(G7="Individual",G7="HUF"),SUMPRODUCT(('Rate Lookup'!$A$1:$A$37=H7)*'Rate Lookup'!$B$1:$B$37),SUMPRODUCT(('Rate Lookup'!$A$1:$A$37=H7)*'Rate Lookup'!$C$1:$C$37)))))</f>
      </c>
      <c r="J7" s="8"/>
      <c r="K7" s="8"/>
      <c r="L7" s="7">
        <f>IF($D7="","",ROUND(K7*I7/100,0))</f>
      </c>
      <c r="M7" s="7">
        <f>IF($D7="","",0)</f>
      </c>
      <c r="N7" s="7">
        <f>IF($D7="","",0)</f>
      </c>
      <c r="O7" s="7">
        <f>IF($D7="","",IF(OR(L7=0,J7="",IFERROR(INDEX('Challan Master'!$D$4:$D$207,MATCH($B7,'Challan Master'!$S$4:$S$207,0)),"")="",IFERROR(INDEX('Challan Master'!$D$4:$D$207,MATCH($B7,'Challan Master'!$S$4:$S$207,0)),"")&lt;=0),0,IF(IFERROR(INDEX('Challan Master'!$D$4:$D$207,MATCH($B7,'Challan Master'!$S$4:$S$207,0)),"")&lt;=DATE(YEAR(J7),MONTH(J7)+1,7),0,ROUND(L7*0.015*((YEAR(IFERROR(INDEX('Challan Master'!$D$4:$D$207,MATCH($B7,'Challan Master'!$S$4:$S$207,0)),""))-YEAR(J7))*12+(MONTH(IFERROR(INDEX('Challan Master'!$D$4:$D$207,MATCH($B7,'Challan Master'!$S$4:$S$207,0)),""))-MONTH(J7))+1),0))))</f>
      </c>
      <c r="P7" s="7">
        <f>IF($D7="","",0)</f>
      </c>
      <c r="Q7" s="8"/>
      <c r="R7" s="8"/>
      <c r="S7" s="8"/>
      <c r="T7" s="8"/>
      <c r="U7" s="8"/>
      <c r="V7" s="7">
        <f>IF($B7="","",IFERROR(INDEX('Challan Master'!$AA$4:$AA$207,MATCH($B7,'Challan Master'!$S$4:$S$207,0)),""))</f>
      </c>
    </row>
    <row r="8" spans="1:22" x14ac:dyDescent="0.25">
      <c r="A8" s="7">
        <f>IF($D8="","",COUNTIF($D$4:$D8,"&lt;&gt;"))</f>
      </c>
      <c r="B8" s="8"/>
      <c r="C8" s="7">
        <f>IF($B8="","","BSR "&amp;IFERROR(INDEX('Challan Master'!$B$4:$B$207,MATCH($B8,'Challan Master'!$S$4:$S$207,0)),"")&amp;" | Serial "&amp;IFERROR(INDEX('Challan Master'!$C$4:$C$207,MATCH($B8,'Challan Master'!$S$4:$S$207,0)),"")&amp;" | Deposit "&amp;TEXT(IFERROR(INDEX('Challan Master'!$D$4:$D$207,MATCH($B8,'Challan Master'!$S$4:$S$207,0)),""),"dd-mm-yyyy")&amp;" | Minor Head "&amp;IFERROR(INDEX('Challan Master'!$E$4:$E$207,MATCH($B8,'Challan Master'!$S$4:$S$207,0)),"")&amp;" | Tax ₹"&amp;TEXT(IFERROR(INDEX('Challan Master'!$G$4:$G$207,MATCH($B8,'Challan Master'!$S$4:$S$207,0)),""),"#,##0")&amp;" | Section "&amp;IFERROR(INDEX('Challan Master'!$F$4:$F$207,MATCH($B8,'Challan Master'!$S$4:$S$207,0)),""))</f>
      </c>
      <c r="D8" s="8"/>
      <c r="E8" s="8"/>
      <c r="F8" s="7">
        <f>IF($D8="","",IF(AND(LEN(TRIM(UPPER(E8)))=10,CODE(MID(TRIM(UPPER(E8)),1,1))&gt;=65,CODE(MID(TRIM(UPPER(E8)),1,1))&lt;=90,CODE(MID(TRIM(UPPER(E8)),2,1))&gt;=65,CODE(MID(TRIM(UPPER(E8)),2,1))&lt;=90,CODE(MID(TRIM(UPPER(E8)),3,1))&gt;=65,CODE(MID(TRIM(UPPER(E8)),3,1))&lt;=90,CODE(MID(TRIM(UPPER(E8)),4,1))&gt;=65,CODE(MID(TRIM(UPPER(E8)),4,1))&lt;=90,CODE(MID(TRIM(UPPER(E8)),5,1))&gt;=65,CODE(MID(TRIM(UPPER(E8)),5,1))&lt;=90,CODE(MID(TRIM(UPPER(E8)),10,1))&gt;=65,CODE(MID(TRIM(UPPER(E8)),10,1))&lt;=90,CODE(MID(TRIM(UPPER(E8)),6,1))&gt;=48,CODE(MID(TRIM(UPPER(E8)),6,1))&lt;=57,CODE(MID(TRIM(UPPER(E8)),7,1))&gt;=48,CODE(MID(TRIM(UPPER(E8)),7,1))&lt;=57,CODE(MID(TRIM(UPPER(E8)),8,1))&gt;=48,CODE(MID(TRIM(UPPER(E8)),8,1))&lt;=57,CODE(MID(TRIM(UPPER(E8)),9,1))&gt;=48,CODE(MID(TRIM(UPPER(E8)),9,1))&lt;=57),"N","Y"))</f>
      </c>
      <c r="G8" s="7">
        <f>IF($D8="","",IF(LEN(E8)&lt;4,"",IF(UPPER(MID(E8,4,1))="P","Individual",IF(UPPER(MID(E8,4,1))="H","HUF",IF(UPPER(MID(E8,4,1))="C","Company",IF(UPPER(MID(E8,4,1))="F","Firm",IF(UPPER(MID(E8,4,1))="L","LLP",IF(UPPER(MID(E8,4,1))="T","Trust",IF(UPPER(MID(E8,4,1))="A","AOP","")))))))))</f>
      </c>
      <c r="H8" s="8"/>
      <c r="I8" s="7">
        <f>IF($D8="","",IF(H8="","",IF(F8="Y",SUMPRODUCT(('Rate Lookup'!$A$1:$A$37=H8)*'Rate Lookup'!$D$1:$D$37),IF(OR(G8="Individual",G8="HUF"),SUMPRODUCT(('Rate Lookup'!$A$1:$A$37=H8)*'Rate Lookup'!$B$1:$B$37),SUMPRODUCT(('Rate Lookup'!$A$1:$A$37=H8)*'Rate Lookup'!$C$1:$C$37)))))</f>
      </c>
      <c r="J8" s="8"/>
      <c r="K8" s="8"/>
      <c r="L8" s="7">
        <f>IF($D8="","",ROUND(K8*I8/100,0))</f>
      </c>
      <c r="M8" s="7">
        <f>IF($D8="","",0)</f>
      </c>
      <c r="N8" s="7">
        <f>IF($D8="","",0)</f>
      </c>
      <c r="O8" s="7">
        <f>IF($D8="","",IF(OR(L8=0,J8="",IFERROR(INDEX('Challan Master'!$D$4:$D$207,MATCH($B8,'Challan Master'!$S$4:$S$207,0)),"")="",IFERROR(INDEX('Challan Master'!$D$4:$D$207,MATCH($B8,'Challan Master'!$S$4:$S$207,0)),"")&lt;=0),0,IF(IFERROR(INDEX('Challan Master'!$D$4:$D$207,MATCH($B8,'Challan Master'!$S$4:$S$207,0)),"")&lt;=DATE(YEAR(J8),MONTH(J8)+1,7),0,ROUND(L8*0.015*((YEAR(IFERROR(INDEX('Challan Master'!$D$4:$D$207,MATCH($B8,'Challan Master'!$S$4:$S$207,0)),""))-YEAR(J8))*12+(MONTH(IFERROR(INDEX('Challan Master'!$D$4:$D$207,MATCH($B8,'Challan Master'!$S$4:$S$207,0)),""))-MONTH(J8))+1),0))))</f>
      </c>
      <c r="P8" s="7">
        <f>IF($D8="","",0)</f>
      </c>
      <c r="Q8" s="8"/>
      <c r="R8" s="8"/>
      <c r="S8" s="8"/>
      <c r="T8" s="8"/>
      <c r="U8" s="8"/>
      <c r="V8" s="7">
        <f>IF($B8="","",IFERROR(INDEX('Challan Master'!$AA$4:$AA$207,MATCH($B8,'Challan Master'!$S$4:$S$207,0)),""))</f>
      </c>
    </row>
    <row r="9" spans="1:22" x14ac:dyDescent="0.25">
      <c r="A9" s="7">
        <f>IF($D9="","",COUNTIF($D$4:$D9,"&lt;&gt;"))</f>
      </c>
      <c r="B9" s="8"/>
      <c r="C9" s="7">
        <f>IF($B9="","","BSR "&amp;IFERROR(INDEX('Challan Master'!$B$4:$B$207,MATCH($B9,'Challan Master'!$S$4:$S$207,0)),"")&amp;" | Serial "&amp;IFERROR(INDEX('Challan Master'!$C$4:$C$207,MATCH($B9,'Challan Master'!$S$4:$S$207,0)),"")&amp;" | Deposit "&amp;TEXT(IFERROR(INDEX('Challan Master'!$D$4:$D$207,MATCH($B9,'Challan Master'!$S$4:$S$207,0)),""),"dd-mm-yyyy")&amp;" | Minor Head "&amp;IFERROR(INDEX('Challan Master'!$E$4:$E$207,MATCH($B9,'Challan Master'!$S$4:$S$207,0)),"")&amp;" | Tax ₹"&amp;TEXT(IFERROR(INDEX('Challan Master'!$G$4:$G$207,MATCH($B9,'Challan Master'!$S$4:$S$207,0)),""),"#,##0")&amp;" | Section "&amp;IFERROR(INDEX('Challan Master'!$F$4:$F$207,MATCH($B9,'Challan Master'!$S$4:$S$207,0)),""))</f>
      </c>
      <c r="D9" s="8"/>
      <c r="E9" s="8"/>
      <c r="F9" s="7">
        <f>IF($D9="","",IF(AND(LEN(TRIM(UPPER(E9)))=10,CODE(MID(TRIM(UPPER(E9)),1,1))&gt;=65,CODE(MID(TRIM(UPPER(E9)),1,1))&lt;=90,CODE(MID(TRIM(UPPER(E9)),2,1))&gt;=65,CODE(MID(TRIM(UPPER(E9)),2,1))&lt;=90,CODE(MID(TRIM(UPPER(E9)),3,1))&gt;=65,CODE(MID(TRIM(UPPER(E9)),3,1))&lt;=90,CODE(MID(TRIM(UPPER(E9)),4,1))&gt;=65,CODE(MID(TRIM(UPPER(E9)),4,1))&lt;=90,CODE(MID(TRIM(UPPER(E9)),5,1))&gt;=65,CODE(MID(TRIM(UPPER(E9)),5,1))&lt;=90,CODE(MID(TRIM(UPPER(E9)),10,1))&gt;=65,CODE(MID(TRIM(UPPER(E9)),10,1))&lt;=90,CODE(MID(TRIM(UPPER(E9)),6,1))&gt;=48,CODE(MID(TRIM(UPPER(E9)),6,1))&lt;=57,CODE(MID(TRIM(UPPER(E9)),7,1))&gt;=48,CODE(MID(TRIM(UPPER(E9)),7,1))&lt;=57,CODE(MID(TRIM(UPPER(E9)),8,1))&gt;=48,CODE(MID(TRIM(UPPER(E9)),8,1))&lt;=57,CODE(MID(TRIM(UPPER(E9)),9,1))&gt;=48,CODE(MID(TRIM(UPPER(E9)),9,1))&lt;=57),"N","Y"))</f>
      </c>
      <c r="G9" s="7">
        <f>IF($D9="","",IF(LEN(E9)&lt;4,"",IF(UPPER(MID(E9,4,1))="P","Individual",IF(UPPER(MID(E9,4,1))="H","HUF",IF(UPPER(MID(E9,4,1))="C","Company",IF(UPPER(MID(E9,4,1))="F","Firm",IF(UPPER(MID(E9,4,1))="L","LLP",IF(UPPER(MID(E9,4,1))="T","Trust",IF(UPPER(MID(E9,4,1))="A","AOP","")))))))))</f>
      </c>
      <c r="H9" s="8"/>
      <c r="I9" s="7">
        <f>IF($D9="","",IF(H9="","",IF(F9="Y",SUMPRODUCT(('Rate Lookup'!$A$1:$A$37=H9)*'Rate Lookup'!$D$1:$D$37),IF(OR(G9="Individual",G9="HUF"),SUMPRODUCT(('Rate Lookup'!$A$1:$A$37=H9)*'Rate Lookup'!$B$1:$B$37),SUMPRODUCT(('Rate Lookup'!$A$1:$A$37=H9)*'Rate Lookup'!$C$1:$C$37)))))</f>
      </c>
      <c r="J9" s="8"/>
      <c r="K9" s="8"/>
      <c r="L9" s="7">
        <f>IF($D9="","",ROUND(K9*I9/100,0))</f>
      </c>
      <c r="M9" s="7">
        <f>IF($D9="","",0)</f>
      </c>
      <c r="N9" s="7">
        <f>IF($D9="","",0)</f>
      </c>
      <c r="O9" s="7">
        <f>IF($D9="","",IF(OR(L9=0,J9="",IFERROR(INDEX('Challan Master'!$D$4:$D$207,MATCH($B9,'Challan Master'!$S$4:$S$207,0)),"")="",IFERROR(INDEX('Challan Master'!$D$4:$D$207,MATCH($B9,'Challan Master'!$S$4:$S$207,0)),"")&lt;=0),0,IF(IFERROR(INDEX('Challan Master'!$D$4:$D$207,MATCH($B9,'Challan Master'!$S$4:$S$207,0)),"")&lt;=DATE(YEAR(J9),MONTH(J9)+1,7),0,ROUND(L9*0.015*((YEAR(IFERROR(INDEX('Challan Master'!$D$4:$D$207,MATCH($B9,'Challan Master'!$S$4:$S$207,0)),""))-YEAR(J9))*12+(MONTH(IFERROR(INDEX('Challan Master'!$D$4:$D$207,MATCH($B9,'Challan Master'!$S$4:$S$207,0)),""))-MONTH(J9))+1),0))))</f>
      </c>
      <c r="P9" s="7">
        <f>IF($D9="","",0)</f>
      </c>
      <c r="Q9" s="8"/>
      <c r="R9" s="8"/>
      <c r="S9" s="8"/>
      <c r="T9" s="8"/>
      <c r="U9" s="8"/>
      <c r="V9" s="7">
        <f>IF($B9="","",IFERROR(INDEX('Challan Master'!$AA$4:$AA$207,MATCH($B9,'Challan Master'!$S$4:$S$207,0)),""))</f>
      </c>
    </row>
    <row r="10" spans="1:22" x14ac:dyDescent="0.25">
      <c r="A10" s="7">
        <f>IF($D10="","",COUNTIF($D$4:$D10,"&lt;&gt;"))</f>
      </c>
      <c r="B10" s="8"/>
      <c r="C10" s="7">
        <f>IF($B10="","","BSR "&amp;IFERROR(INDEX('Challan Master'!$B$4:$B$207,MATCH($B10,'Challan Master'!$S$4:$S$207,0)),"")&amp;" | Serial "&amp;IFERROR(INDEX('Challan Master'!$C$4:$C$207,MATCH($B10,'Challan Master'!$S$4:$S$207,0)),"")&amp;" | Deposit "&amp;TEXT(IFERROR(INDEX('Challan Master'!$D$4:$D$207,MATCH($B10,'Challan Master'!$S$4:$S$207,0)),""),"dd-mm-yyyy")&amp;" | Minor Head "&amp;IFERROR(INDEX('Challan Master'!$E$4:$E$207,MATCH($B10,'Challan Master'!$S$4:$S$207,0)),"")&amp;" | Tax ₹"&amp;TEXT(IFERROR(INDEX('Challan Master'!$G$4:$G$207,MATCH($B10,'Challan Master'!$S$4:$S$207,0)),""),"#,##0")&amp;" | Section "&amp;IFERROR(INDEX('Challan Master'!$F$4:$F$207,MATCH($B10,'Challan Master'!$S$4:$S$207,0)),""))</f>
      </c>
      <c r="D10" s="8"/>
      <c r="E10" s="8"/>
      <c r="F10" s="7">
        <f>IF($D10="","",IF(AND(LEN(TRIM(UPPER(E10)))=10,CODE(MID(TRIM(UPPER(E10)),1,1))&gt;=65,CODE(MID(TRIM(UPPER(E10)),1,1))&lt;=90,CODE(MID(TRIM(UPPER(E10)),2,1))&gt;=65,CODE(MID(TRIM(UPPER(E10)),2,1))&lt;=90,CODE(MID(TRIM(UPPER(E10)),3,1))&gt;=65,CODE(MID(TRIM(UPPER(E10)),3,1))&lt;=90,CODE(MID(TRIM(UPPER(E10)),4,1))&gt;=65,CODE(MID(TRIM(UPPER(E10)),4,1))&lt;=90,CODE(MID(TRIM(UPPER(E10)),5,1))&gt;=65,CODE(MID(TRIM(UPPER(E10)),5,1))&lt;=90,CODE(MID(TRIM(UPPER(E10)),10,1))&gt;=65,CODE(MID(TRIM(UPPER(E10)),10,1))&lt;=90,CODE(MID(TRIM(UPPER(E10)),6,1))&gt;=48,CODE(MID(TRIM(UPPER(E10)),6,1))&lt;=57,CODE(MID(TRIM(UPPER(E10)),7,1))&gt;=48,CODE(MID(TRIM(UPPER(E10)),7,1))&lt;=57,CODE(MID(TRIM(UPPER(E10)),8,1))&gt;=48,CODE(MID(TRIM(UPPER(E10)),8,1))&lt;=57,CODE(MID(TRIM(UPPER(E10)),9,1))&gt;=48,CODE(MID(TRIM(UPPER(E10)),9,1))&lt;=57),"N","Y"))</f>
      </c>
      <c r="G10" s="7">
        <f>IF($D10="","",IF(LEN(E10)&lt;4,"",IF(UPPER(MID(E10,4,1))="P","Individual",IF(UPPER(MID(E10,4,1))="H","HUF",IF(UPPER(MID(E10,4,1))="C","Company",IF(UPPER(MID(E10,4,1))="F","Firm",IF(UPPER(MID(E10,4,1))="L","LLP",IF(UPPER(MID(E10,4,1))="T","Trust",IF(UPPER(MID(E10,4,1))="A","AOP","")))))))))</f>
      </c>
      <c r="H10" s="8"/>
      <c r="I10" s="7">
        <f>IF($D10="","",IF(H10="","",IF(F10="Y",SUMPRODUCT(('Rate Lookup'!$A$1:$A$37=H10)*'Rate Lookup'!$D$1:$D$37),IF(OR(G10="Individual",G10="HUF"),SUMPRODUCT(('Rate Lookup'!$A$1:$A$37=H10)*'Rate Lookup'!$B$1:$B$37),SUMPRODUCT(('Rate Lookup'!$A$1:$A$37=H10)*'Rate Lookup'!$C$1:$C$37)))))</f>
      </c>
      <c r="J10" s="8"/>
      <c r="K10" s="8"/>
      <c r="L10" s="7">
        <f>IF($D10="","",ROUND(K10*I10/100,0))</f>
      </c>
      <c r="M10" s="7">
        <f>IF($D10="","",0)</f>
      </c>
      <c r="N10" s="7">
        <f>IF($D10="","",0)</f>
      </c>
      <c r="O10" s="7">
        <f>IF($D10="","",IF(OR(L10=0,J10="",IFERROR(INDEX('Challan Master'!$D$4:$D$207,MATCH($B10,'Challan Master'!$S$4:$S$207,0)),"")="",IFERROR(INDEX('Challan Master'!$D$4:$D$207,MATCH($B10,'Challan Master'!$S$4:$S$207,0)),"")&lt;=0),0,IF(IFERROR(INDEX('Challan Master'!$D$4:$D$207,MATCH($B10,'Challan Master'!$S$4:$S$207,0)),"")&lt;=DATE(YEAR(J10),MONTH(J10)+1,7),0,ROUND(L10*0.015*((YEAR(IFERROR(INDEX('Challan Master'!$D$4:$D$207,MATCH($B10,'Challan Master'!$S$4:$S$207,0)),""))-YEAR(J10))*12+(MONTH(IFERROR(INDEX('Challan Master'!$D$4:$D$207,MATCH($B10,'Challan Master'!$S$4:$S$207,0)),""))-MONTH(J10))+1),0))))</f>
      </c>
      <c r="P10" s="7">
        <f>IF($D10="","",0)</f>
      </c>
      <c r="Q10" s="8"/>
      <c r="R10" s="8"/>
      <c r="S10" s="8"/>
      <c r="T10" s="8"/>
      <c r="U10" s="8"/>
      <c r="V10" s="7">
        <f>IF($B10="","",IFERROR(INDEX('Challan Master'!$AA$4:$AA$207,MATCH($B10,'Challan Master'!$S$4:$S$207,0)),""))</f>
      </c>
    </row>
    <row r="11" spans="1:22" x14ac:dyDescent="0.25">
      <c r="A11" s="7">
        <f>IF($D11="","",COUNTIF($D$4:$D11,"&lt;&gt;"))</f>
      </c>
      <c r="B11" s="8"/>
      <c r="C11" s="7">
        <f>IF($B11="","","BSR "&amp;IFERROR(INDEX('Challan Master'!$B$4:$B$207,MATCH($B11,'Challan Master'!$S$4:$S$207,0)),"")&amp;" | Serial "&amp;IFERROR(INDEX('Challan Master'!$C$4:$C$207,MATCH($B11,'Challan Master'!$S$4:$S$207,0)),"")&amp;" | Deposit "&amp;TEXT(IFERROR(INDEX('Challan Master'!$D$4:$D$207,MATCH($B11,'Challan Master'!$S$4:$S$207,0)),""),"dd-mm-yyyy")&amp;" | Minor Head "&amp;IFERROR(INDEX('Challan Master'!$E$4:$E$207,MATCH($B11,'Challan Master'!$S$4:$S$207,0)),"")&amp;" | Tax ₹"&amp;TEXT(IFERROR(INDEX('Challan Master'!$G$4:$G$207,MATCH($B11,'Challan Master'!$S$4:$S$207,0)),""),"#,##0")&amp;" | Section "&amp;IFERROR(INDEX('Challan Master'!$F$4:$F$207,MATCH($B11,'Challan Master'!$S$4:$S$207,0)),""))</f>
      </c>
      <c r="D11" s="8"/>
      <c r="E11" s="8"/>
      <c r="F11" s="7">
        <f>IF($D11="","",IF(AND(LEN(TRIM(UPPER(E11)))=10,CODE(MID(TRIM(UPPER(E11)),1,1))&gt;=65,CODE(MID(TRIM(UPPER(E11)),1,1))&lt;=90,CODE(MID(TRIM(UPPER(E11)),2,1))&gt;=65,CODE(MID(TRIM(UPPER(E11)),2,1))&lt;=90,CODE(MID(TRIM(UPPER(E11)),3,1))&gt;=65,CODE(MID(TRIM(UPPER(E11)),3,1))&lt;=90,CODE(MID(TRIM(UPPER(E11)),4,1))&gt;=65,CODE(MID(TRIM(UPPER(E11)),4,1))&lt;=90,CODE(MID(TRIM(UPPER(E11)),5,1))&gt;=65,CODE(MID(TRIM(UPPER(E11)),5,1))&lt;=90,CODE(MID(TRIM(UPPER(E11)),10,1))&gt;=65,CODE(MID(TRIM(UPPER(E11)),10,1))&lt;=90,CODE(MID(TRIM(UPPER(E11)),6,1))&gt;=48,CODE(MID(TRIM(UPPER(E11)),6,1))&lt;=57,CODE(MID(TRIM(UPPER(E11)),7,1))&gt;=48,CODE(MID(TRIM(UPPER(E11)),7,1))&lt;=57,CODE(MID(TRIM(UPPER(E11)),8,1))&gt;=48,CODE(MID(TRIM(UPPER(E11)),8,1))&lt;=57,CODE(MID(TRIM(UPPER(E11)),9,1))&gt;=48,CODE(MID(TRIM(UPPER(E11)),9,1))&lt;=57),"N","Y"))</f>
      </c>
      <c r="G11" s="7">
        <f>IF($D11="","",IF(LEN(E11)&lt;4,"",IF(UPPER(MID(E11,4,1))="P","Individual",IF(UPPER(MID(E11,4,1))="H","HUF",IF(UPPER(MID(E11,4,1))="C","Company",IF(UPPER(MID(E11,4,1))="F","Firm",IF(UPPER(MID(E11,4,1))="L","LLP",IF(UPPER(MID(E11,4,1))="T","Trust",IF(UPPER(MID(E11,4,1))="A","AOP","")))))))))</f>
      </c>
      <c r="H11" s="8"/>
      <c r="I11" s="7">
        <f>IF($D11="","",IF(H11="","",IF(F11="Y",SUMPRODUCT(('Rate Lookup'!$A$1:$A$37=H11)*'Rate Lookup'!$D$1:$D$37),IF(OR(G11="Individual",G11="HUF"),SUMPRODUCT(('Rate Lookup'!$A$1:$A$37=H11)*'Rate Lookup'!$B$1:$B$37),SUMPRODUCT(('Rate Lookup'!$A$1:$A$37=H11)*'Rate Lookup'!$C$1:$C$37)))))</f>
      </c>
      <c r="J11" s="8"/>
      <c r="K11" s="8"/>
      <c r="L11" s="7">
        <f>IF($D11="","",ROUND(K11*I11/100,0))</f>
      </c>
      <c r="M11" s="7">
        <f>IF($D11="","",0)</f>
      </c>
      <c r="N11" s="7">
        <f>IF($D11="","",0)</f>
      </c>
      <c r="O11" s="7">
        <f>IF($D11="","",IF(OR(L11=0,J11="",IFERROR(INDEX('Challan Master'!$D$4:$D$207,MATCH($B11,'Challan Master'!$S$4:$S$207,0)),"")="",IFERROR(INDEX('Challan Master'!$D$4:$D$207,MATCH($B11,'Challan Master'!$S$4:$S$207,0)),"")&lt;=0),0,IF(IFERROR(INDEX('Challan Master'!$D$4:$D$207,MATCH($B11,'Challan Master'!$S$4:$S$207,0)),"")&lt;=DATE(YEAR(J11),MONTH(J11)+1,7),0,ROUND(L11*0.015*((YEAR(IFERROR(INDEX('Challan Master'!$D$4:$D$207,MATCH($B11,'Challan Master'!$S$4:$S$207,0)),""))-YEAR(J11))*12+(MONTH(IFERROR(INDEX('Challan Master'!$D$4:$D$207,MATCH($B11,'Challan Master'!$S$4:$S$207,0)),""))-MONTH(J11))+1),0))))</f>
      </c>
      <c r="P11" s="7">
        <f>IF($D11="","",0)</f>
      </c>
      <c r="Q11" s="8"/>
      <c r="R11" s="8"/>
      <c r="S11" s="8"/>
      <c r="T11" s="8"/>
      <c r="U11" s="8"/>
      <c r="V11" s="7">
        <f>IF($B11="","",IFERROR(INDEX('Challan Master'!$AA$4:$AA$207,MATCH($B11,'Challan Master'!$S$4:$S$207,0)),""))</f>
      </c>
    </row>
    <row r="12" spans="1:22" x14ac:dyDescent="0.25">
      <c r="A12" s="7">
        <f>IF($D12="","",COUNTIF($D$4:$D12,"&lt;&gt;"))</f>
      </c>
      <c r="B12" s="8"/>
      <c r="C12" s="7">
        <f>IF($B12="","","BSR "&amp;IFERROR(INDEX('Challan Master'!$B$4:$B$207,MATCH($B12,'Challan Master'!$S$4:$S$207,0)),"")&amp;" | Serial "&amp;IFERROR(INDEX('Challan Master'!$C$4:$C$207,MATCH($B12,'Challan Master'!$S$4:$S$207,0)),"")&amp;" | Deposit "&amp;TEXT(IFERROR(INDEX('Challan Master'!$D$4:$D$207,MATCH($B12,'Challan Master'!$S$4:$S$207,0)),""),"dd-mm-yyyy")&amp;" | Minor Head "&amp;IFERROR(INDEX('Challan Master'!$E$4:$E$207,MATCH($B12,'Challan Master'!$S$4:$S$207,0)),"")&amp;" | Tax ₹"&amp;TEXT(IFERROR(INDEX('Challan Master'!$G$4:$G$207,MATCH($B12,'Challan Master'!$S$4:$S$207,0)),""),"#,##0")&amp;" | Section "&amp;IFERROR(INDEX('Challan Master'!$F$4:$F$207,MATCH($B12,'Challan Master'!$S$4:$S$207,0)),""))</f>
      </c>
      <c r="D12" s="8"/>
      <c r="E12" s="8"/>
      <c r="F12" s="7">
        <f>IF($D12="","",IF(AND(LEN(TRIM(UPPER(E12)))=10,CODE(MID(TRIM(UPPER(E12)),1,1))&gt;=65,CODE(MID(TRIM(UPPER(E12)),1,1))&lt;=90,CODE(MID(TRIM(UPPER(E12)),2,1))&gt;=65,CODE(MID(TRIM(UPPER(E12)),2,1))&lt;=90,CODE(MID(TRIM(UPPER(E12)),3,1))&gt;=65,CODE(MID(TRIM(UPPER(E12)),3,1))&lt;=90,CODE(MID(TRIM(UPPER(E12)),4,1))&gt;=65,CODE(MID(TRIM(UPPER(E12)),4,1))&lt;=90,CODE(MID(TRIM(UPPER(E12)),5,1))&gt;=65,CODE(MID(TRIM(UPPER(E12)),5,1))&lt;=90,CODE(MID(TRIM(UPPER(E12)),10,1))&gt;=65,CODE(MID(TRIM(UPPER(E12)),10,1))&lt;=90,CODE(MID(TRIM(UPPER(E12)),6,1))&gt;=48,CODE(MID(TRIM(UPPER(E12)),6,1))&lt;=57,CODE(MID(TRIM(UPPER(E12)),7,1))&gt;=48,CODE(MID(TRIM(UPPER(E12)),7,1))&lt;=57,CODE(MID(TRIM(UPPER(E12)),8,1))&gt;=48,CODE(MID(TRIM(UPPER(E12)),8,1))&lt;=57,CODE(MID(TRIM(UPPER(E12)),9,1))&gt;=48,CODE(MID(TRIM(UPPER(E12)),9,1))&lt;=57),"N","Y"))</f>
      </c>
      <c r="G12" s="7">
        <f>IF($D12="","",IF(LEN(E12)&lt;4,"",IF(UPPER(MID(E12,4,1))="P","Individual",IF(UPPER(MID(E12,4,1))="H","HUF",IF(UPPER(MID(E12,4,1))="C","Company",IF(UPPER(MID(E12,4,1))="F","Firm",IF(UPPER(MID(E12,4,1))="L","LLP",IF(UPPER(MID(E12,4,1))="T","Trust",IF(UPPER(MID(E12,4,1))="A","AOP","")))))))))</f>
      </c>
      <c r="H12" s="8"/>
      <c r="I12" s="7">
        <f>IF($D12="","",IF(H12="","",IF(F12="Y",SUMPRODUCT(('Rate Lookup'!$A$1:$A$37=H12)*'Rate Lookup'!$D$1:$D$37),IF(OR(G12="Individual",G12="HUF"),SUMPRODUCT(('Rate Lookup'!$A$1:$A$37=H12)*'Rate Lookup'!$B$1:$B$37),SUMPRODUCT(('Rate Lookup'!$A$1:$A$37=H12)*'Rate Lookup'!$C$1:$C$37)))))</f>
      </c>
      <c r="J12" s="8"/>
      <c r="K12" s="8"/>
      <c r="L12" s="7">
        <f>IF($D12="","",ROUND(K12*I12/100,0))</f>
      </c>
      <c r="M12" s="7">
        <f>IF($D12="","",0)</f>
      </c>
      <c r="N12" s="7">
        <f>IF($D12="","",0)</f>
      </c>
      <c r="O12" s="7">
        <f>IF($D12="","",IF(OR(L12=0,J12="",IFERROR(INDEX('Challan Master'!$D$4:$D$207,MATCH($B12,'Challan Master'!$S$4:$S$207,0)),"")="",IFERROR(INDEX('Challan Master'!$D$4:$D$207,MATCH($B12,'Challan Master'!$S$4:$S$207,0)),"")&lt;=0),0,IF(IFERROR(INDEX('Challan Master'!$D$4:$D$207,MATCH($B12,'Challan Master'!$S$4:$S$207,0)),"")&lt;=DATE(YEAR(J12),MONTH(J12)+1,7),0,ROUND(L12*0.015*((YEAR(IFERROR(INDEX('Challan Master'!$D$4:$D$207,MATCH($B12,'Challan Master'!$S$4:$S$207,0)),""))-YEAR(J12))*12+(MONTH(IFERROR(INDEX('Challan Master'!$D$4:$D$207,MATCH($B12,'Challan Master'!$S$4:$S$207,0)),""))-MONTH(J12))+1),0))))</f>
      </c>
      <c r="P12" s="7">
        <f>IF($D12="","",0)</f>
      </c>
      <c r="Q12" s="8"/>
      <c r="R12" s="8"/>
      <c r="S12" s="8"/>
      <c r="T12" s="8"/>
      <c r="U12" s="8"/>
      <c r="V12" s="7">
        <f>IF($B12="","",IFERROR(INDEX('Challan Master'!$AA$4:$AA$207,MATCH($B12,'Challan Master'!$S$4:$S$207,0)),""))</f>
      </c>
    </row>
    <row r="13" spans="1:22" x14ac:dyDescent="0.25">
      <c r="A13" s="7">
        <f>IF($D13="","",COUNTIF($D$4:$D13,"&lt;&gt;"))</f>
      </c>
      <c r="B13" s="8"/>
      <c r="C13" s="7">
        <f>IF($B13="","","BSR "&amp;IFERROR(INDEX('Challan Master'!$B$4:$B$207,MATCH($B13,'Challan Master'!$S$4:$S$207,0)),"")&amp;" | Serial "&amp;IFERROR(INDEX('Challan Master'!$C$4:$C$207,MATCH($B13,'Challan Master'!$S$4:$S$207,0)),"")&amp;" | Deposit "&amp;TEXT(IFERROR(INDEX('Challan Master'!$D$4:$D$207,MATCH($B13,'Challan Master'!$S$4:$S$207,0)),""),"dd-mm-yyyy")&amp;" | Minor Head "&amp;IFERROR(INDEX('Challan Master'!$E$4:$E$207,MATCH($B13,'Challan Master'!$S$4:$S$207,0)),"")&amp;" | Tax ₹"&amp;TEXT(IFERROR(INDEX('Challan Master'!$G$4:$G$207,MATCH($B13,'Challan Master'!$S$4:$S$207,0)),""),"#,##0")&amp;" | Section "&amp;IFERROR(INDEX('Challan Master'!$F$4:$F$207,MATCH($B13,'Challan Master'!$S$4:$S$207,0)),""))</f>
      </c>
      <c r="D13" s="8"/>
      <c r="E13" s="8"/>
      <c r="F13" s="7">
        <f>IF($D13="","",IF(AND(LEN(TRIM(UPPER(E13)))=10,CODE(MID(TRIM(UPPER(E13)),1,1))&gt;=65,CODE(MID(TRIM(UPPER(E13)),1,1))&lt;=90,CODE(MID(TRIM(UPPER(E13)),2,1))&gt;=65,CODE(MID(TRIM(UPPER(E13)),2,1))&lt;=90,CODE(MID(TRIM(UPPER(E13)),3,1))&gt;=65,CODE(MID(TRIM(UPPER(E13)),3,1))&lt;=90,CODE(MID(TRIM(UPPER(E13)),4,1))&gt;=65,CODE(MID(TRIM(UPPER(E13)),4,1))&lt;=90,CODE(MID(TRIM(UPPER(E13)),5,1))&gt;=65,CODE(MID(TRIM(UPPER(E13)),5,1))&lt;=90,CODE(MID(TRIM(UPPER(E13)),10,1))&gt;=65,CODE(MID(TRIM(UPPER(E13)),10,1))&lt;=90,CODE(MID(TRIM(UPPER(E13)),6,1))&gt;=48,CODE(MID(TRIM(UPPER(E13)),6,1))&lt;=57,CODE(MID(TRIM(UPPER(E13)),7,1))&gt;=48,CODE(MID(TRIM(UPPER(E13)),7,1))&lt;=57,CODE(MID(TRIM(UPPER(E13)),8,1))&gt;=48,CODE(MID(TRIM(UPPER(E13)),8,1))&lt;=57,CODE(MID(TRIM(UPPER(E13)),9,1))&gt;=48,CODE(MID(TRIM(UPPER(E13)),9,1))&lt;=57),"N","Y"))</f>
      </c>
      <c r="G13" s="7">
        <f>IF($D13="","",IF(LEN(E13)&lt;4,"",IF(UPPER(MID(E13,4,1))="P","Individual",IF(UPPER(MID(E13,4,1))="H","HUF",IF(UPPER(MID(E13,4,1))="C","Company",IF(UPPER(MID(E13,4,1))="F","Firm",IF(UPPER(MID(E13,4,1))="L","LLP",IF(UPPER(MID(E13,4,1))="T","Trust",IF(UPPER(MID(E13,4,1))="A","AOP","")))))))))</f>
      </c>
      <c r="H13" s="8"/>
      <c r="I13" s="7">
        <f>IF($D13="","",IF(H13="","",IF(F13="Y",SUMPRODUCT(('Rate Lookup'!$A$1:$A$37=H13)*'Rate Lookup'!$D$1:$D$37),IF(OR(G13="Individual",G13="HUF"),SUMPRODUCT(('Rate Lookup'!$A$1:$A$37=H13)*'Rate Lookup'!$B$1:$B$37),SUMPRODUCT(('Rate Lookup'!$A$1:$A$37=H13)*'Rate Lookup'!$C$1:$C$37)))))</f>
      </c>
      <c r="J13" s="8"/>
      <c r="K13" s="8"/>
      <c r="L13" s="7">
        <f>IF($D13="","",ROUND(K13*I13/100,0))</f>
      </c>
      <c r="M13" s="7">
        <f>IF($D13="","",0)</f>
      </c>
      <c r="N13" s="7">
        <f>IF($D13="","",0)</f>
      </c>
      <c r="O13" s="7">
        <f>IF($D13="","",IF(OR(L13=0,J13="",IFERROR(INDEX('Challan Master'!$D$4:$D$207,MATCH($B13,'Challan Master'!$S$4:$S$207,0)),"")="",IFERROR(INDEX('Challan Master'!$D$4:$D$207,MATCH($B13,'Challan Master'!$S$4:$S$207,0)),"")&lt;=0),0,IF(IFERROR(INDEX('Challan Master'!$D$4:$D$207,MATCH($B13,'Challan Master'!$S$4:$S$207,0)),"")&lt;=DATE(YEAR(J13),MONTH(J13)+1,7),0,ROUND(L13*0.015*((YEAR(IFERROR(INDEX('Challan Master'!$D$4:$D$207,MATCH($B13,'Challan Master'!$S$4:$S$207,0)),""))-YEAR(J13))*12+(MONTH(IFERROR(INDEX('Challan Master'!$D$4:$D$207,MATCH($B13,'Challan Master'!$S$4:$S$207,0)),""))-MONTH(J13))+1),0))))</f>
      </c>
      <c r="P13" s="7">
        <f>IF($D13="","",0)</f>
      </c>
      <c r="Q13" s="8"/>
      <c r="R13" s="8"/>
      <c r="S13" s="8"/>
      <c r="T13" s="8"/>
      <c r="U13" s="8"/>
      <c r="V13" s="7">
        <f>IF($B13="","",IFERROR(INDEX('Challan Master'!$AA$4:$AA$207,MATCH($B13,'Challan Master'!$S$4:$S$207,0)),""))</f>
      </c>
    </row>
    <row r="14" spans="1:22" x14ac:dyDescent="0.25">
      <c r="A14" s="7">
        <f>IF($D14="","",COUNTIF($D$4:$D14,"&lt;&gt;"))</f>
      </c>
      <c r="B14" s="8"/>
      <c r="C14" s="7">
        <f>IF($B14="","","BSR "&amp;IFERROR(INDEX('Challan Master'!$B$4:$B$207,MATCH($B14,'Challan Master'!$S$4:$S$207,0)),"")&amp;" | Serial "&amp;IFERROR(INDEX('Challan Master'!$C$4:$C$207,MATCH($B14,'Challan Master'!$S$4:$S$207,0)),"")&amp;" | Deposit "&amp;TEXT(IFERROR(INDEX('Challan Master'!$D$4:$D$207,MATCH($B14,'Challan Master'!$S$4:$S$207,0)),""),"dd-mm-yyyy")&amp;" | Minor Head "&amp;IFERROR(INDEX('Challan Master'!$E$4:$E$207,MATCH($B14,'Challan Master'!$S$4:$S$207,0)),"")&amp;" | Tax ₹"&amp;TEXT(IFERROR(INDEX('Challan Master'!$G$4:$G$207,MATCH($B14,'Challan Master'!$S$4:$S$207,0)),""),"#,##0")&amp;" | Section "&amp;IFERROR(INDEX('Challan Master'!$F$4:$F$207,MATCH($B14,'Challan Master'!$S$4:$S$207,0)),""))</f>
      </c>
      <c r="D14" s="8"/>
      <c r="E14" s="8"/>
      <c r="F14" s="7">
        <f>IF($D14="","",IF(AND(LEN(TRIM(UPPER(E14)))=10,CODE(MID(TRIM(UPPER(E14)),1,1))&gt;=65,CODE(MID(TRIM(UPPER(E14)),1,1))&lt;=90,CODE(MID(TRIM(UPPER(E14)),2,1))&gt;=65,CODE(MID(TRIM(UPPER(E14)),2,1))&lt;=90,CODE(MID(TRIM(UPPER(E14)),3,1))&gt;=65,CODE(MID(TRIM(UPPER(E14)),3,1))&lt;=90,CODE(MID(TRIM(UPPER(E14)),4,1))&gt;=65,CODE(MID(TRIM(UPPER(E14)),4,1))&lt;=90,CODE(MID(TRIM(UPPER(E14)),5,1))&gt;=65,CODE(MID(TRIM(UPPER(E14)),5,1))&lt;=90,CODE(MID(TRIM(UPPER(E14)),10,1))&gt;=65,CODE(MID(TRIM(UPPER(E14)),10,1))&lt;=90,CODE(MID(TRIM(UPPER(E14)),6,1))&gt;=48,CODE(MID(TRIM(UPPER(E14)),6,1))&lt;=57,CODE(MID(TRIM(UPPER(E14)),7,1))&gt;=48,CODE(MID(TRIM(UPPER(E14)),7,1))&lt;=57,CODE(MID(TRIM(UPPER(E14)),8,1))&gt;=48,CODE(MID(TRIM(UPPER(E14)),8,1))&lt;=57,CODE(MID(TRIM(UPPER(E14)),9,1))&gt;=48,CODE(MID(TRIM(UPPER(E14)),9,1))&lt;=57),"N","Y"))</f>
      </c>
      <c r="G14" s="7">
        <f>IF($D14="","",IF(LEN(E14)&lt;4,"",IF(UPPER(MID(E14,4,1))="P","Individual",IF(UPPER(MID(E14,4,1))="H","HUF",IF(UPPER(MID(E14,4,1))="C","Company",IF(UPPER(MID(E14,4,1))="F","Firm",IF(UPPER(MID(E14,4,1))="L","LLP",IF(UPPER(MID(E14,4,1))="T","Trust",IF(UPPER(MID(E14,4,1))="A","AOP","")))))))))</f>
      </c>
      <c r="H14" s="8"/>
      <c r="I14" s="7">
        <f>IF($D14="","",IF(H14="","",IF(F14="Y",SUMPRODUCT(('Rate Lookup'!$A$1:$A$37=H14)*'Rate Lookup'!$D$1:$D$37),IF(OR(G14="Individual",G14="HUF"),SUMPRODUCT(('Rate Lookup'!$A$1:$A$37=H14)*'Rate Lookup'!$B$1:$B$37),SUMPRODUCT(('Rate Lookup'!$A$1:$A$37=H14)*'Rate Lookup'!$C$1:$C$37)))))</f>
      </c>
      <c r="J14" s="8"/>
      <c r="K14" s="8"/>
      <c r="L14" s="7">
        <f>IF($D14="","",ROUND(K14*I14/100,0))</f>
      </c>
      <c r="M14" s="7">
        <f>IF($D14="","",0)</f>
      </c>
      <c r="N14" s="7">
        <f>IF($D14="","",0)</f>
      </c>
      <c r="O14" s="7">
        <f>IF($D14="","",IF(OR(L14=0,J14="",IFERROR(INDEX('Challan Master'!$D$4:$D$207,MATCH($B14,'Challan Master'!$S$4:$S$207,0)),"")="",IFERROR(INDEX('Challan Master'!$D$4:$D$207,MATCH($B14,'Challan Master'!$S$4:$S$207,0)),"")&lt;=0),0,IF(IFERROR(INDEX('Challan Master'!$D$4:$D$207,MATCH($B14,'Challan Master'!$S$4:$S$207,0)),"")&lt;=DATE(YEAR(J14),MONTH(J14)+1,7),0,ROUND(L14*0.015*((YEAR(IFERROR(INDEX('Challan Master'!$D$4:$D$207,MATCH($B14,'Challan Master'!$S$4:$S$207,0)),""))-YEAR(J14))*12+(MONTH(IFERROR(INDEX('Challan Master'!$D$4:$D$207,MATCH($B14,'Challan Master'!$S$4:$S$207,0)),""))-MONTH(J14))+1),0))))</f>
      </c>
      <c r="P14" s="7">
        <f>IF($D14="","",0)</f>
      </c>
      <c r="Q14" s="8"/>
      <c r="R14" s="8"/>
      <c r="S14" s="8"/>
      <c r="T14" s="8"/>
      <c r="U14" s="8"/>
      <c r="V14" s="7">
        <f>IF($B14="","",IFERROR(INDEX('Challan Master'!$AA$4:$AA$207,MATCH($B14,'Challan Master'!$S$4:$S$207,0)),""))</f>
      </c>
    </row>
    <row r="15" spans="1:22" x14ac:dyDescent="0.25">
      <c r="A15" s="7">
        <f>IF($D15="","",COUNTIF($D$4:$D15,"&lt;&gt;"))</f>
      </c>
      <c r="B15" s="8"/>
      <c r="C15" s="7">
        <f>IF($B15="","","BSR "&amp;IFERROR(INDEX('Challan Master'!$B$4:$B$207,MATCH($B15,'Challan Master'!$S$4:$S$207,0)),"")&amp;" | Serial "&amp;IFERROR(INDEX('Challan Master'!$C$4:$C$207,MATCH($B15,'Challan Master'!$S$4:$S$207,0)),"")&amp;" | Deposit "&amp;TEXT(IFERROR(INDEX('Challan Master'!$D$4:$D$207,MATCH($B15,'Challan Master'!$S$4:$S$207,0)),""),"dd-mm-yyyy")&amp;" | Minor Head "&amp;IFERROR(INDEX('Challan Master'!$E$4:$E$207,MATCH($B15,'Challan Master'!$S$4:$S$207,0)),"")&amp;" | Tax ₹"&amp;TEXT(IFERROR(INDEX('Challan Master'!$G$4:$G$207,MATCH($B15,'Challan Master'!$S$4:$S$207,0)),""),"#,##0")&amp;" | Section "&amp;IFERROR(INDEX('Challan Master'!$F$4:$F$207,MATCH($B15,'Challan Master'!$S$4:$S$207,0)),""))</f>
      </c>
      <c r="D15" s="8"/>
      <c r="E15" s="8"/>
      <c r="F15" s="7">
        <f>IF($D15="","",IF(AND(LEN(TRIM(UPPER(E15)))=10,CODE(MID(TRIM(UPPER(E15)),1,1))&gt;=65,CODE(MID(TRIM(UPPER(E15)),1,1))&lt;=90,CODE(MID(TRIM(UPPER(E15)),2,1))&gt;=65,CODE(MID(TRIM(UPPER(E15)),2,1))&lt;=90,CODE(MID(TRIM(UPPER(E15)),3,1))&gt;=65,CODE(MID(TRIM(UPPER(E15)),3,1))&lt;=90,CODE(MID(TRIM(UPPER(E15)),4,1))&gt;=65,CODE(MID(TRIM(UPPER(E15)),4,1))&lt;=90,CODE(MID(TRIM(UPPER(E15)),5,1))&gt;=65,CODE(MID(TRIM(UPPER(E15)),5,1))&lt;=90,CODE(MID(TRIM(UPPER(E15)),10,1))&gt;=65,CODE(MID(TRIM(UPPER(E15)),10,1))&lt;=90,CODE(MID(TRIM(UPPER(E15)),6,1))&gt;=48,CODE(MID(TRIM(UPPER(E15)),6,1))&lt;=57,CODE(MID(TRIM(UPPER(E15)),7,1))&gt;=48,CODE(MID(TRIM(UPPER(E15)),7,1))&lt;=57,CODE(MID(TRIM(UPPER(E15)),8,1))&gt;=48,CODE(MID(TRIM(UPPER(E15)),8,1))&lt;=57,CODE(MID(TRIM(UPPER(E15)),9,1))&gt;=48,CODE(MID(TRIM(UPPER(E15)),9,1))&lt;=57),"N","Y"))</f>
      </c>
      <c r="G15" s="7">
        <f>IF($D15="","",IF(LEN(E15)&lt;4,"",IF(UPPER(MID(E15,4,1))="P","Individual",IF(UPPER(MID(E15,4,1))="H","HUF",IF(UPPER(MID(E15,4,1))="C","Company",IF(UPPER(MID(E15,4,1))="F","Firm",IF(UPPER(MID(E15,4,1))="L","LLP",IF(UPPER(MID(E15,4,1))="T","Trust",IF(UPPER(MID(E15,4,1))="A","AOP","")))))))))</f>
      </c>
      <c r="H15" s="8"/>
      <c r="I15" s="7">
        <f>IF($D15="","",IF(H15="","",IF(F15="Y",SUMPRODUCT(('Rate Lookup'!$A$1:$A$37=H15)*'Rate Lookup'!$D$1:$D$37),IF(OR(G15="Individual",G15="HUF"),SUMPRODUCT(('Rate Lookup'!$A$1:$A$37=H15)*'Rate Lookup'!$B$1:$B$37),SUMPRODUCT(('Rate Lookup'!$A$1:$A$37=H15)*'Rate Lookup'!$C$1:$C$37)))))</f>
      </c>
      <c r="J15" s="8"/>
      <c r="K15" s="8"/>
      <c r="L15" s="7">
        <f>IF($D15="","",ROUND(K15*I15/100,0))</f>
      </c>
      <c r="M15" s="7">
        <f>IF($D15="","",0)</f>
      </c>
      <c r="N15" s="7">
        <f>IF($D15="","",0)</f>
      </c>
      <c r="O15" s="7">
        <f>IF($D15="","",IF(OR(L15=0,J15="",IFERROR(INDEX('Challan Master'!$D$4:$D$207,MATCH($B15,'Challan Master'!$S$4:$S$207,0)),"")="",IFERROR(INDEX('Challan Master'!$D$4:$D$207,MATCH($B15,'Challan Master'!$S$4:$S$207,0)),"")&lt;=0),0,IF(IFERROR(INDEX('Challan Master'!$D$4:$D$207,MATCH($B15,'Challan Master'!$S$4:$S$207,0)),"")&lt;=DATE(YEAR(J15),MONTH(J15)+1,7),0,ROUND(L15*0.015*((YEAR(IFERROR(INDEX('Challan Master'!$D$4:$D$207,MATCH($B15,'Challan Master'!$S$4:$S$207,0)),""))-YEAR(J15))*12+(MONTH(IFERROR(INDEX('Challan Master'!$D$4:$D$207,MATCH($B15,'Challan Master'!$S$4:$S$207,0)),""))-MONTH(J15))+1),0))))</f>
      </c>
      <c r="P15" s="7">
        <f>IF($D15="","",0)</f>
      </c>
      <c r="Q15" s="8"/>
      <c r="R15" s="8"/>
      <c r="S15" s="8"/>
      <c r="T15" s="8"/>
      <c r="U15" s="8"/>
      <c r="V15" s="7">
        <f>IF($B15="","",IFERROR(INDEX('Challan Master'!$AA$4:$AA$207,MATCH($B15,'Challan Master'!$S$4:$S$207,0)),""))</f>
      </c>
    </row>
    <row r="16" spans="1:22" x14ac:dyDescent="0.25">
      <c r="A16" s="7">
        <f>IF($D16="","",COUNTIF($D$4:$D16,"&lt;&gt;"))</f>
      </c>
      <c r="B16" s="8"/>
      <c r="C16" s="7">
        <f>IF($B16="","","BSR "&amp;IFERROR(INDEX('Challan Master'!$B$4:$B$207,MATCH($B16,'Challan Master'!$S$4:$S$207,0)),"")&amp;" | Serial "&amp;IFERROR(INDEX('Challan Master'!$C$4:$C$207,MATCH($B16,'Challan Master'!$S$4:$S$207,0)),"")&amp;" | Deposit "&amp;TEXT(IFERROR(INDEX('Challan Master'!$D$4:$D$207,MATCH($B16,'Challan Master'!$S$4:$S$207,0)),""),"dd-mm-yyyy")&amp;" | Minor Head "&amp;IFERROR(INDEX('Challan Master'!$E$4:$E$207,MATCH($B16,'Challan Master'!$S$4:$S$207,0)),"")&amp;" | Tax ₹"&amp;TEXT(IFERROR(INDEX('Challan Master'!$G$4:$G$207,MATCH($B16,'Challan Master'!$S$4:$S$207,0)),""),"#,##0")&amp;" | Section "&amp;IFERROR(INDEX('Challan Master'!$F$4:$F$207,MATCH($B16,'Challan Master'!$S$4:$S$207,0)),""))</f>
      </c>
      <c r="D16" s="8"/>
      <c r="E16" s="8"/>
      <c r="F16" s="7">
        <f>IF($D16="","",IF(AND(LEN(TRIM(UPPER(E16)))=10,CODE(MID(TRIM(UPPER(E16)),1,1))&gt;=65,CODE(MID(TRIM(UPPER(E16)),1,1))&lt;=90,CODE(MID(TRIM(UPPER(E16)),2,1))&gt;=65,CODE(MID(TRIM(UPPER(E16)),2,1))&lt;=90,CODE(MID(TRIM(UPPER(E16)),3,1))&gt;=65,CODE(MID(TRIM(UPPER(E16)),3,1))&lt;=90,CODE(MID(TRIM(UPPER(E16)),4,1))&gt;=65,CODE(MID(TRIM(UPPER(E16)),4,1))&lt;=90,CODE(MID(TRIM(UPPER(E16)),5,1))&gt;=65,CODE(MID(TRIM(UPPER(E16)),5,1))&lt;=90,CODE(MID(TRIM(UPPER(E16)),10,1))&gt;=65,CODE(MID(TRIM(UPPER(E16)),10,1))&lt;=90,CODE(MID(TRIM(UPPER(E16)),6,1))&gt;=48,CODE(MID(TRIM(UPPER(E16)),6,1))&lt;=57,CODE(MID(TRIM(UPPER(E16)),7,1))&gt;=48,CODE(MID(TRIM(UPPER(E16)),7,1))&lt;=57,CODE(MID(TRIM(UPPER(E16)),8,1))&gt;=48,CODE(MID(TRIM(UPPER(E16)),8,1))&lt;=57,CODE(MID(TRIM(UPPER(E16)),9,1))&gt;=48,CODE(MID(TRIM(UPPER(E16)),9,1))&lt;=57),"N","Y"))</f>
      </c>
      <c r="G16" s="7">
        <f>IF($D16="","",IF(LEN(E16)&lt;4,"",IF(UPPER(MID(E16,4,1))="P","Individual",IF(UPPER(MID(E16,4,1))="H","HUF",IF(UPPER(MID(E16,4,1))="C","Company",IF(UPPER(MID(E16,4,1))="F","Firm",IF(UPPER(MID(E16,4,1))="L","LLP",IF(UPPER(MID(E16,4,1))="T","Trust",IF(UPPER(MID(E16,4,1))="A","AOP","")))))))))</f>
      </c>
      <c r="H16" s="8"/>
      <c r="I16" s="7">
        <f>IF($D16="","",IF(H16="","",IF(F16="Y",SUMPRODUCT(('Rate Lookup'!$A$1:$A$37=H16)*'Rate Lookup'!$D$1:$D$37),IF(OR(G16="Individual",G16="HUF"),SUMPRODUCT(('Rate Lookup'!$A$1:$A$37=H16)*'Rate Lookup'!$B$1:$B$37),SUMPRODUCT(('Rate Lookup'!$A$1:$A$37=H16)*'Rate Lookup'!$C$1:$C$37)))))</f>
      </c>
      <c r="J16" s="8"/>
      <c r="K16" s="8"/>
      <c r="L16" s="7">
        <f>IF($D16="","",ROUND(K16*I16/100,0))</f>
      </c>
      <c r="M16" s="7">
        <f>IF($D16="","",0)</f>
      </c>
      <c r="N16" s="7">
        <f>IF($D16="","",0)</f>
      </c>
      <c r="O16" s="7">
        <f>IF($D16="","",IF(OR(L16=0,J16="",IFERROR(INDEX('Challan Master'!$D$4:$D$207,MATCH($B16,'Challan Master'!$S$4:$S$207,0)),"")="",IFERROR(INDEX('Challan Master'!$D$4:$D$207,MATCH($B16,'Challan Master'!$S$4:$S$207,0)),"")&lt;=0),0,IF(IFERROR(INDEX('Challan Master'!$D$4:$D$207,MATCH($B16,'Challan Master'!$S$4:$S$207,0)),"")&lt;=DATE(YEAR(J16),MONTH(J16)+1,7),0,ROUND(L16*0.015*((YEAR(IFERROR(INDEX('Challan Master'!$D$4:$D$207,MATCH($B16,'Challan Master'!$S$4:$S$207,0)),""))-YEAR(J16))*12+(MONTH(IFERROR(INDEX('Challan Master'!$D$4:$D$207,MATCH($B16,'Challan Master'!$S$4:$S$207,0)),""))-MONTH(J16))+1),0))))</f>
      </c>
      <c r="P16" s="7">
        <f>IF($D16="","",0)</f>
      </c>
      <c r="Q16" s="8"/>
      <c r="R16" s="8"/>
      <c r="S16" s="8"/>
      <c r="T16" s="8"/>
      <c r="U16" s="8"/>
      <c r="V16" s="7">
        <f>IF($B16="","",IFERROR(INDEX('Challan Master'!$AA$4:$AA$207,MATCH($B16,'Challan Master'!$S$4:$S$207,0)),""))</f>
      </c>
    </row>
    <row r="17" spans="1:22" x14ac:dyDescent="0.25">
      <c r="A17" s="7">
        <f>IF($D17="","",COUNTIF($D$4:$D17,"&lt;&gt;"))</f>
      </c>
      <c r="B17" s="8"/>
      <c r="C17" s="7">
        <f>IF($B17="","","BSR "&amp;IFERROR(INDEX('Challan Master'!$B$4:$B$207,MATCH($B17,'Challan Master'!$S$4:$S$207,0)),"")&amp;" | Serial "&amp;IFERROR(INDEX('Challan Master'!$C$4:$C$207,MATCH($B17,'Challan Master'!$S$4:$S$207,0)),"")&amp;" | Deposit "&amp;TEXT(IFERROR(INDEX('Challan Master'!$D$4:$D$207,MATCH($B17,'Challan Master'!$S$4:$S$207,0)),""),"dd-mm-yyyy")&amp;" | Minor Head "&amp;IFERROR(INDEX('Challan Master'!$E$4:$E$207,MATCH($B17,'Challan Master'!$S$4:$S$207,0)),"")&amp;" | Tax ₹"&amp;TEXT(IFERROR(INDEX('Challan Master'!$G$4:$G$207,MATCH($B17,'Challan Master'!$S$4:$S$207,0)),""),"#,##0")&amp;" | Section "&amp;IFERROR(INDEX('Challan Master'!$F$4:$F$207,MATCH($B17,'Challan Master'!$S$4:$S$207,0)),""))</f>
      </c>
      <c r="D17" s="8"/>
      <c r="E17" s="8"/>
      <c r="F17" s="7">
        <f>IF($D17="","",IF(AND(LEN(TRIM(UPPER(E17)))=10,CODE(MID(TRIM(UPPER(E17)),1,1))&gt;=65,CODE(MID(TRIM(UPPER(E17)),1,1))&lt;=90,CODE(MID(TRIM(UPPER(E17)),2,1))&gt;=65,CODE(MID(TRIM(UPPER(E17)),2,1))&lt;=90,CODE(MID(TRIM(UPPER(E17)),3,1))&gt;=65,CODE(MID(TRIM(UPPER(E17)),3,1))&lt;=90,CODE(MID(TRIM(UPPER(E17)),4,1))&gt;=65,CODE(MID(TRIM(UPPER(E17)),4,1))&lt;=90,CODE(MID(TRIM(UPPER(E17)),5,1))&gt;=65,CODE(MID(TRIM(UPPER(E17)),5,1))&lt;=90,CODE(MID(TRIM(UPPER(E17)),10,1))&gt;=65,CODE(MID(TRIM(UPPER(E17)),10,1))&lt;=90,CODE(MID(TRIM(UPPER(E17)),6,1))&gt;=48,CODE(MID(TRIM(UPPER(E17)),6,1))&lt;=57,CODE(MID(TRIM(UPPER(E17)),7,1))&gt;=48,CODE(MID(TRIM(UPPER(E17)),7,1))&lt;=57,CODE(MID(TRIM(UPPER(E17)),8,1))&gt;=48,CODE(MID(TRIM(UPPER(E17)),8,1))&lt;=57,CODE(MID(TRIM(UPPER(E17)),9,1))&gt;=48,CODE(MID(TRIM(UPPER(E17)),9,1))&lt;=57),"N","Y"))</f>
      </c>
      <c r="G17" s="7">
        <f>IF($D17="","",IF(LEN(E17)&lt;4,"",IF(UPPER(MID(E17,4,1))="P","Individual",IF(UPPER(MID(E17,4,1))="H","HUF",IF(UPPER(MID(E17,4,1))="C","Company",IF(UPPER(MID(E17,4,1))="F","Firm",IF(UPPER(MID(E17,4,1))="L","LLP",IF(UPPER(MID(E17,4,1))="T","Trust",IF(UPPER(MID(E17,4,1))="A","AOP","")))))))))</f>
      </c>
      <c r="H17" s="8"/>
      <c r="I17" s="7">
        <f>IF($D17="","",IF(H17="","",IF(F17="Y",SUMPRODUCT(('Rate Lookup'!$A$1:$A$37=H17)*'Rate Lookup'!$D$1:$D$37),IF(OR(G17="Individual",G17="HUF"),SUMPRODUCT(('Rate Lookup'!$A$1:$A$37=H17)*'Rate Lookup'!$B$1:$B$37),SUMPRODUCT(('Rate Lookup'!$A$1:$A$37=H17)*'Rate Lookup'!$C$1:$C$37)))))</f>
      </c>
      <c r="J17" s="8"/>
      <c r="K17" s="8"/>
      <c r="L17" s="7">
        <f>IF($D17="","",ROUND(K17*I17/100,0))</f>
      </c>
      <c r="M17" s="7">
        <f>IF($D17="","",0)</f>
      </c>
      <c r="N17" s="7">
        <f>IF($D17="","",0)</f>
      </c>
      <c r="O17" s="7">
        <f>IF($D17="","",IF(OR(L17=0,J17="",IFERROR(INDEX('Challan Master'!$D$4:$D$207,MATCH($B17,'Challan Master'!$S$4:$S$207,0)),"")="",IFERROR(INDEX('Challan Master'!$D$4:$D$207,MATCH($B17,'Challan Master'!$S$4:$S$207,0)),"")&lt;=0),0,IF(IFERROR(INDEX('Challan Master'!$D$4:$D$207,MATCH($B17,'Challan Master'!$S$4:$S$207,0)),"")&lt;=DATE(YEAR(J17),MONTH(J17)+1,7),0,ROUND(L17*0.015*((YEAR(IFERROR(INDEX('Challan Master'!$D$4:$D$207,MATCH($B17,'Challan Master'!$S$4:$S$207,0)),""))-YEAR(J17))*12+(MONTH(IFERROR(INDEX('Challan Master'!$D$4:$D$207,MATCH($B17,'Challan Master'!$S$4:$S$207,0)),""))-MONTH(J17))+1),0))))</f>
      </c>
      <c r="P17" s="7">
        <f>IF($D17="","",0)</f>
      </c>
      <c r="Q17" s="8"/>
      <c r="R17" s="8"/>
      <c r="S17" s="8"/>
      <c r="T17" s="8"/>
      <c r="U17" s="8"/>
      <c r="V17" s="7">
        <f>IF($B17="","",IFERROR(INDEX('Challan Master'!$AA$4:$AA$207,MATCH($B17,'Challan Master'!$S$4:$S$207,0)),""))</f>
      </c>
    </row>
    <row r="18" spans="1:22" x14ac:dyDescent="0.25">
      <c r="A18" s="7">
        <f>IF($D18="","",COUNTIF($D$4:$D18,"&lt;&gt;"))</f>
      </c>
      <c r="B18" s="8"/>
      <c r="C18" s="7">
        <f>IF($B18="","","BSR "&amp;IFERROR(INDEX('Challan Master'!$B$4:$B$207,MATCH($B18,'Challan Master'!$S$4:$S$207,0)),"")&amp;" | Serial "&amp;IFERROR(INDEX('Challan Master'!$C$4:$C$207,MATCH($B18,'Challan Master'!$S$4:$S$207,0)),"")&amp;" | Deposit "&amp;TEXT(IFERROR(INDEX('Challan Master'!$D$4:$D$207,MATCH($B18,'Challan Master'!$S$4:$S$207,0)),""),"dd-mm-yyyy")&amp;" | Minor Head "&amp;IFERROR(INDEX('Challan Master'!$E$4:$E$207,MATCH($B18,'Challan Master'!$S$4:$S$207,0)),"")&amp;" | Tax ₹"&amp;TEXT(IFERROR(INDEX('Challan Master'!$G$4:$G$207,MATCH($B18,'Challan Master'!$S$4:$S$207,0)),""),"#,##0")&amp;" | Section "&amp;IFERROR(INDEX('Challan Master'!$F$4:$F$207,MATCH($B18,'Challan Master'!$S$4:$S$207,0)),""))</f>
      </c>
      <c r="D18" s="8"/>
      <c r="E18" s="8"/>
      <c r="F18" s="7">
        <f>IF($D18="","",IF(AND(LEN(TRIM(UPPER(E18)))=10,CODE(MID(TRIM(UPPER(E18)),1,1))&gt;=65,CODE(MID(TRIM(UPPER(E18)),1,1))&lt;=90,CODE(MID(TRIM(UPPER(E18)),2,1))&gt;=65,CODE(MID(TRIM(UPPER(E18)),2,1))&lt;=90,CODE(MID(TRIM(UPPER(E18)),3,1))&gt;=65,CODE(MID(TRIM(UPPER(E18)),3,1))&lt;=90,CODE(MID(TRIM(UPPER(E18)),4,1))&gt;=65,CODE(MID(TRIM(UPPER(E18)),4,1))&lt;=90,CODE(MID(TRIM(UPPER(E18)),5,1))&gt;=65,CODE(MID(TRIM(UPPER(E18)),5,1))&lt;=90,CODE(MID(TRIM(UPPER(E18)),10,1))&gt;=65,CODE(MID(TRIM(UPPER(E18)),10,1))&lt;=90,CODE(MID(TRIM(UPPER(E18)),6,1))&gt;=48,CODE(MID(TRIM(UPPER(E18)),6,1))&lt;=57,CODE(MID(TRIM(UPPER(E18)),7,1))&gt;=48,CODE(MID(TRIM(UPPER(E18)),7,1))&lt;=57,CODE(MID(TRIM(UPPER(E18)),8,1))&gt;=48,CODE(MID(TRIM(UPPER(E18)),8,1))&lt;=57,CODE(MID(TRIM(UPPER(E18)),9,1))&gt;=48,CODE(MID(TRIM(UPPER(E18)),9,1))&lt;=57),"N","Y"))</f>
      </c>
      <c r="G18" s="7">
        <f>IF($D18="","",IF(LEN(E18)&lt;4,"",IF(UPPER(MID(E18,4,1))="P","Individual",IF(UPPER(MID(E18,4,1))="H","HUF",IF(UPPER(MID(E18,4,1))="C","Company",IF(UPPER(MID(E18,4,1))="F","Firm",IF(UPPER(MID(E18,4,1))="L","LLP",IF(UPPER(MID(E18,4,1))="T","Trust",IF(UPPER(MID(E18,4,1))="A","AOP","")))))))))</f>
      </c>
      <c r="H18" s="8"/>
      <c r="I18" s="7">
        <f>IF($D18="","",IF(H18="","",IF(F18="Y",SUMPRODUCT(('Rate Lookup'!$A$1:$A$37=H18)*'Rate Lookup'!$D$1:$D$37),IF(OR(G18="Individual",G18="HUF"),SUMPRODUCT(('Rate Lookup'!$A$1:$A$37=H18)*'Rate Lookup'!$B$1:$B$37),SUMPRODUCT(('Rate Lookup'!$A$1:$A$37=H18)*'Rate Lookup'!$C$1:$C$37)))))</f>
      </c>
      <c r="J18" s="8"/>
      <c r="K18" s="8"/>
      <c r="L18" s="7">
        <f>IF($D18="","",ROUND(K18*I18/100,0))</f>
      </c>
      <c r="M18" s="7">
        <f>IF($D18="","",0)</f>
      </c>
      <c r="N18" s="7">
        <f>IF($D18="","",0)</f>
      </c>
      <c r="O18" s="7">
        <f>IF($D18="","",IF(OR(L18=0,J18="",IFERROR(INDEX('Challan Master'!$D$4:$D$207,MATCH($B18,'Challan Master'!$S$4:$S$207,0)),"")="",IFERROR(INDEX('Challan Master'!$D$4:$D$207,MATCH($B18,'Challan Master'!$S$4:$S$207,0)),"")&lt;=0),0,IF(IFERROR(INDEX('Challan Master'!$D$4:$D$207,MATCH($B18,'Challan Master'!$S$4:$S$207,0)),"")&lt;=DATE(YEAR(J18),MONTH(J18)+1,7),0,ROUND(L18*0.015*((YEAR(IFERROR(INDEX('Challan Master'!$D$4:$D$207,MATCH($B18,'Challan Master'!$S$4:$S$207,0)),""))-YEAR(J18))*12+(MONTH(IFERROR(INDEX('Challan Master'!$D$4:$D$207,MATCH($B18,'Challan Master'!$S$4:$S$207,0)),""))-MONTH(J18))+1),0))))</f>
      </c>
      <c r="P18" s="7">
        <f>IF($D18="","",0)</f>
      </c>
      <c r="Q18" s="8"/>
      <c r="R18" s="8"/>
      <c r="S18" s="8"/>
      <c r="T18" s="8"/>
      <c r="U18" s="8"/>
      <c r="V18" s="7">
        <f>IF($B18="","",IFERROR(INDEX('Challan Master'!$AA$4:$AA$207,MATCH($B18,'Challan Master'!$S$4:$S$207,0)),""))</f>
      </c>
    </row>
    <row r="19" spans="1:22" x14ac:dyDescent="0.25">
      <c r="A19" s="7">
        <f>IF($D19="","",COUNTIF($D$4:$D19,"&lt;&gt;"))</f>
      </c>
      <c r="B19" s="8"/>
      <c r="C19" s="7">
        <f>IF($B19="","","BSR "&amp;IFERROR(INDEX('Challan Master'!$B$4:$B$207,MATCH($B19,'Challan Master'!$S$4:$S$207,0)),"")&amp;" | Serial "&amp;IFERROR(INDEX('Challan Master'!$C$4:$C$207,MATCH($B19,'Challan Master'!$S$4:$S$207,0)),"")&amp;" | Deposit "&amp;TEXT(IFERROR(INDEX('Challan Master'!$D$4:$D$207,MATCH($B19,'Challan Master'!$S$4:$S$207,0)),""),"dd-mm-yyyy")&amp;" | Minor Head "&amp;IFERROR(INDEX('Challan Master'!$E$4:$E$207,MATCH($B19,'Challan Master'!$S$4:$S$207,0)),"")&amp;" | Tax ₹"&amp;TEXT(IFERROR(INDEX('Challan Master'!$G$4:$G$207,MATCH($B19,'Challan Master'!$S$4:$S$207,0)),""),"#,##0")&amp;" | Section "&amp;IFERROR(INDEX('Challan Master'!$F$4:$F$207,MATCH($B19,'Challan Master'!$S$4:$S$207,0)),""))</f>
      </c>
      <c r="D19" s="8"/>
      <c r="E19" s="8"/>
      <c r="F19" s="7">
        <f>IF($D19="","",IF(AND(LEN(TRIM(UPPER(E19)))=10,CODE(MID(TRIM(UPPER(E19)),1,1))&gt;=65,CODE(MID(TRIM(UPPER(E19)),1,1))&lt;=90,CODE(MID(TRIM(UPPER(E19)),2,1))&gt;=65,CODE(MID(TRIM(UPPER(E19)),2,1))&lt;=90,CODE(MID(TRIM(UPPER(E19)),3,1))&gt;=65,CODE(MID(TRIM(UPPER(E19)),3,1))&lt;=90,CODE(MID(TRIM(UPPER(E19)),4,1))&gt;=65,CODE(MID(TRIM(UPPER(E19)),4,1))&lt;=90,CODE(MID(TRIM(UPPER(E19)),5,1))&gt;=65,CODE(MID(TRIM(UPPER(E19)),5,1))&lt;=90,CODE(MID(TRIM(UPPER(E19)),10,1))&gt;=65,CODE(MID(TRIM(UPPER(E19)),10,1))&lt;=90,CODE(MID(TRIM(UPPER(E19)),6,1))&gt;=48,CODE(MID(TRIM(UPPER(E19)),6,1))&lt;=57,CODE(MID(TRIM(UPPER(E19)),7,1))&gt;=48,CODE(MID(TRIM(UPPER(E19)),7,1))&lt;=57,CODE(MID(TRIM(UPPER(E19)),8,1))&gt;=48,CODE(MID(TRIM(UPPER(E19)),8,1))&lt;=57,CODE(MID(TRIM(UPPER(E19)),9,1))&gt;=48,CODE(MID(TRIM(UPPER(E19)),9,1))&lt;=57),"N","Y"))</f>
      </c>
      <c r="G19" s="7">
        <f>IF($D19="","",IF(LEN(E19)&lt;4,"",IF(UPPER(MID(E19,4,1))="P","Individual",IF(UPPER(MID(E19,4,1))="H","HUF",IF(UPPER(MID(E19,4,1))="C","Company",IF(UPPER(MID(E19,4,1))="F","Firm",IF(UPPER(MID(E19,4,1))="L","LLP",IF(UPPER(MID(E19,4,1))="T","Trust",IF(UPPER(MID(E19,4,1))="A","AOP","")))))))))</f>
      </c>
      <c r="H19" s="8"/>
      <c r="I19" s="7">
        <f>IF($D19="","",IF(H19="","",IF(F19="Y",SUMPRODUCT(('Rate Lookup'!$A$1:$A$37=H19)*'Rate Lookup'!$D$1:$D$37),IF(OR(G19="Individual",G19="HUF"),SUMPRODUCT(('Rate Lookup'!$A$1:$A$37=H19)*'Rate Lookup'!$B$1:$B$37),SUMPRODUCT(('Rate Lookup'!$A$1:$A$37=H19)*'Rate Lookup'!$C$1:$C$37)))))</f>
      </c>
      <c r="J19" s="8"/>
      <c r="K19" s="8"/>
      <c r="L19" s="7">
        <f>IF($D19="","",ROUND(K19*I19/100,0))</f>
      </c>
      <c r="M19" s="7">
        <f>IF($D19="","",0)</f>
      </c>
      <c r="N19" s="7">
        <f>IF($D19="","",0)</f>
      </c>
      <c r="O19" s="7">
        <f>IF($D19="","",IF(OR(L19=0,J19="",IFERROR(INDEX('Challan Master'!$D$4:$D$207,MATCH($B19,'Challan Master'!$S$4:$S$207,0)),"")="",IFERROR(INDEX('Challan Master'!$D$4:$D$207,MATCH($B19,'Challan Master'!$S$4:$S$207,0)),"")&lt;=0),0,IF(IFERROR(INDEX('Challan Master'!$D$4:$D$207,MATCH($B19,'Challan Master'!$S$4:$S$207,0)),"")&lt;=DATE(YEAR(J19),MONTH(J19)+1,7),0,ROUND(L19*0.015*((YEAR(IFERROR(INDEX('Challan Master'!$D$4:$D$207,MATCH($B19,'Challan Master'!$S$4:$S$207,0)),""))-YEAR(J19))*12+(MONTH(IFERROR(INDEX('Challan Master'!$D$4:$D$207,MATCH($B19,'Challan Master'!$S$4:$S$207,0)),""))-MONTH(J19))+1),0))))</f>
      </c>
      <c r="P19" s="7">
        <f>IF($D19="","",0)</f>
      </c>
      <c r="Q19" s="8"/>
      <c r="R19" s="8"/>
      <c r="S19" s="8"/>
      <c r="T19" s="8"/>
      <c r="U19" s="8"/>
      <c r="V19" s="7">
        <f>IF($B19="","",IFERROR(INDEX('Challan Master'!$AA$4:$AA$207,MATCH($B19,'Challan Master'!$S$4:$S$207,0)),""))</f>
      </c>
    </row>
    <row r="20" spans="1:22" x14ac:dyDescent="0.25">
      <c r="A20" s="7">
        <f>IF($D20="","",COUNTIF($D$4:$D20,"&lt;&gt;"))</f>
      </c>
      <c r="B20" s="8"/>
      <c r="C20" s="7">
        <f>IF($B20="","","BSR "&amp;IFERROR(INDEX('Challan Master'!$B$4:$B$207,MATCH($B20,'Challan Master'!$S$4:$S$207,0)),"")&amp;" | Serial "&amp;IFERROR(INDEX('Challan Master'!$C$4:$C$207,MATCH($B20,'Challan Master'!$S$4:$S$207,0)),"")&amp;" | Deposit "&amp;TEXT(IFERROR(INDEX('Challan Master'!$D$4:$D$207,MATCH($B20,'Challan Master'!$S$4:$S$207,0)),""),"dd-mm-yyyy")&amp;" | Minor Head "&amp;IFERROR(INDEX('Challan Master'!$E$4:$E$207,MATCH($B20,'Challan Master'!$S$4:$S$207,0)),"")&amp;" | Tax ₹"&amp;TEXT(IFERROR(INDEX('Challan Master'!$G$4:$G$207,MATCH($B20,'Challan Master'!$S$4:$S$207,0)),""),"#,##0")&amp;" | Section "&amp;IFERROR(INDEX('Challan Master'!$F$4:$F$207,MATCH($B20,'Challan Master'!$S$4:$S$207,0)),""))</f>
      </c>
      <c r="D20" s="8"/>
      <c r="E20" s="8"/>
      <c r="F20" s="7">
        <f>IF($D20="","",IF(AND(LEN(TRIM(UPPER(E20)))=10,CODE(MID(TRIM(UPPER(E20)),1,1))&gt;=65,CODE(MID(TRIM(UPPER(E20)),1,1))&lt;=90,CODE(MID(TRIM(UPPER(E20)),2,1))&gt;=65,CODE(MID(TRIM(UPPER(E20)),2,1))&lt;=90,CODE(MID(TRIM(UPPER(E20)),3,1))&gt;=65,CODE(MID(TRIM(UPPER(E20)),3,1))&lt;=90,CODE(MID(TRIM(UPPER(E20)),4,1))&gt;=65,CODE(MID(TRIM(UPPER(E20)),4,1))&lt;=90,CODE(MID(TRIM(UPPER(E20)),5,1))&gt;=65,CODE(MID(TRIM(UPPER(E20)),5,1))&lt;=90,CODE(MID(TRIM(UPPER(E20)),10,1))&gt;=65,CODE(MID(TRIM(UPPER(E20)),10,1))&lt;=90,CODE(MID(TRIM(UPPER(E20)),6,1))&gt;=48,CODE(MID(TRIM(UPPER(E20)),6,1))&lt;=57,CODE(MID(TRIM(UPPER(E20)),7,1))&gt;=48,CODE(MID(TRIM(UPPER(E20)),7,1))&lt;=57,CODE(MID(TRIM(UPPER(E20)),8,1))&gt;=48,CODE(MID(TRIM(UPPER(E20)),8,1))&lt;=57,CODE(MID(TRIM(UPPER(E20)),9,1))&gt;=48,CODE(MID(TRIM(UPPER(E20)),9,1))&lt;=57),"N","Y"))</f>
      </c>
      <c r="G20" s="7">
        <f>IF($D20="","",IF(LEN(E20)&lt;4,"",IF(UPPER(MID(E20,4,1))="P","Individual",IF(UPPER(MID(E20,4,1))="H","HUF",IF(UPPER(MID(E20,4,1))="C","Company",IF(UPPER(MID(E20,4,1))="F","Firm",IF(UPPER(MID(E20,4,1))="L","LLP",IF(UPPER(MID(E20,4,1))="T","Trust",IF(UPPER(MID(E20,4,1))="A","AOP","")))))))))</f>
      </c>
      <c r="H20" s="8"/>
      <c r="I20" s="7">
        <f>IF($D20="","",IF(H20="","",IF(F20="Y",SUMPRODUCT(('Rate Lookup'!$A$1:$A$37=H20)*'Rate Lookup'!$D$1:$D$37),IF(OR(G20="Individual",G20="HUF"),SUMPRODUCT(('Rate Lookup'!$A$1:$A$37=H20)*'Rate Lookup'!$B$1:$B$37),SUMPRODUCT(('Rate Lookup'!$A$1:$A$37=H20)*'Rate Lookup'!$C$1:$C$37)))))</f>
      </c>
      <c r="J20" s="8"/>
      <c r="K20" s="8"/>
      <c r="L20" s="7">
        <f>IF($D20="","",ROUND(K20*I20/100,0))</f>
      </c>
      <c r="M20" s="7">
        <f>IF($D20="","",0)</f>
      </c>
      <c r="N20" s="7">
        <f>IF($D20="","",0)</f>
      </c>
      <c r="O20" s="7">
        <f>IF($D20="","",IF(OR(L20=0,J20="",IFERROR(INDEX('Challan Master'!$D$4:$D$207,MATCH($B20,'Challan Master'!$S$4:$S$207,0)),"")="",IFERROR(INDEX('Challan Master'!$D$4:$D$207,MATCH($B20,'Challan Master'!$S$4:$S$207,0)),"")&lt;=0),0,IF(IFERROR(INDEX('Challan Master'!$D$4:$D$207,MATCH($B20,'Challan Master'!$S$4:$S$207,0)),"")&lt;=DATE(YEAR(J20),MONTH(J20)+1,7),0,ROUND(L20*0.015*((YEAR(IFERROR(INDEX('Challan Master'!$D$4:$D$207,MATCH($B20,'Challan Master'!$S$4:$S$207,0)),""))-YEAR(J20))*12+(MONTH(IFERROR(INDEX('Challan Master'!$D$4:$D$207,MATCH($B20,'Challan Master'!$S$4:$S$207,0)),""))-MONTH(J20))+1),0))))</f>
      </c>
      <c r="P20" s="7">
        <f>IF($D20="","",0)</f>
      </c>
      <c r="Q20" s="8"/>
      <c r="R20" s="8"/>
      <c r="S20" s="8"/>
      <c r="T20" s="8"/>
      <c r="U20" s="8"/>
      <c r="V20" s="7">
        <f>IF($B20="","",IFERROR(INDEX('Challan Master'!$AA$4:$AA$207,MATCH($B20,'Challan Master'!$S$4:$S$207,0)),""))</f>
      </c>
    </row>
    <row r="21" spans="1:22" x14ac:dyDescent="0.25">
      <c r="A21" s="7">
        <f>IF($D21="","",COUNTIF($D$4:$D21,"&lt;&gt;"))</f>
      </c>
      <c r="B21" s="8"/>
      <c r="C21" s="7">
        <f>IF($B21="","","BSR "&amp;IFERROR(INDEX('Challan Master'!$B$4:$B$207,MATCH($B21,'Challan Master'!$S$4:$S$207,0)),"")&amp;" | Serial "&amp;IFERROR(INDEX('Challan Master'!$C$4:$C$207,MATCH($B21,'Challan Master'!$S$4:$S$207,0)),"")&amp;" | Deposit "&amp;TEXT(IFERROR(INDEX('Challan Master'!$D$4:$D$207,MATCH($B21,'Challan Master'!$S$4:$S$207,0)),""),"dd-mm-yyyy")&amp;" | Minor Head "&amp;IFERROR(INDEX('Challan Master'!$E$4:$E$207,MATCH($B21,'Challan Master'!$S$4:$S$207,0)),"")&amp;" | Tax ₹"&amp;TEXT(IFERROR(INDEX('Challan Master'!$G$4:$G$207,MATCH($B21,'Challan Master'!$S$4:$S$207,0)),""),"#,##0")&amp;" | Section "&amp;IFERROR(INDEX('Challan Master'!$F$4:$F$207,MATCH($B21,'Challan Master'!$S$4:$S$207,0)),""))</f>
      </c>
      <c r="D21" s="8"/>
      <c r="E21" s="8"/>
      <c r="F21" s="7">
        <f>IF($D21="","",IF(AND(LEN(TRIM(UPPER(E21)))=10,CODE(MID(TRIM(UPPER(E21)),1,1))&gt;=65,CODE(MID(TRIM(UPPER(E21)),1,1))&lt;=90,CODE(MID(TRIM(UPPER(E21)),2,1))&gt;=65,CODE(MID(TRIM(UPPER(E21)),2,1))&lt;=90,CODE(MID(TRIM(UPPER(E21)),3,1))&gt;=65,CODE(MID(TRIM(UPPER(E21)),3,1))&lt;=90,CODE(MID(TRIM(UPPER(E21)),4,1))&gt;=65,CODE(MID(TRIM(UPPER(E21)),4,1))&lt;=90,CODE(MID(TRIM(UPPER(E21)),5,1))&gt;=65,CODE(MID(TRIM(UPPER(E21)),5,1))&lt;=90,CODE(MID(TRIM(UPPER(E21)),10,1))&gt;=65,CODE(MID(TRIM(UPPER(E21)),10,1))&lt;=90,CODE(MID(TRIM(UPPER(E21)),6,1))&gt;=48,CODE(MID(TRIM(UPPER(E21)),6,1))&lt;=57,CODE(MID(TRIM(UPPER(E21)),7,1))&gt;=48,CODE(MID(TRIM(UPPER(E21)),7,1))&lt;=57,CODE(MID(TRIM(UPPER(E21)),8,1))&gt;=48,CODE(MID(TRIM(UPPER(E21)),8,1))&lt;=57,CODE(MID(TRIM(UPPER(E21)),9,1))&gt;=48,CODE(MID(TRIM(UPPER(E21)),9,1))&lt;=57),"N","Y"))</f>
      </c>
      <c r="G21" s="7">
        <f>IF($D21="","",IF(LEN(E21)&lt;4,"",IF(UPPER(MID(E21,4,1))="P","Individual",IF(UPPER(MID(E21,4,1))="H","HUF",IF(UPPER(MID(E21,4,1))="C","Company",IF(UPPER(MID(E21,4,1))="F","Firm",IF(UPPER(MID(E21,4,1))="L","LLP",IF(UPPER(MID(E21,4,1))="T","Trust",IF(UPPER(MID(E21,4,1))="A","AOP","")))))))))</f>
      </c>
      <c r="H21" s="8"/>
      <c r="I21" s="7">
        <f>IF($D21="","",IF(H21="","",IF(F21="Y",SUMPRODUCT(('Rate Lookup'!$A$1:$A$37=H21)*'Rate Lookup'!$D$1:$D$37),IF(OR(G21="Individual",G21="HUF"),SUMPRODUCT(('Rate Lookup'!$A$1:$A$37=H21)*'Rate Lookup'!$B$1:$B$37),SUMPRODUCT(('Rate Lookup'!$A$1:$A$37=H21)*'Rate Lookup'!$C$1:$C$37)))))</f>
      </c>
      <c r="J21" s="8"/>
      <c r="K21" s="8"/>
      <c r="L21" s="7">
        <f>IF($D21="","",ROUND(K21*I21/100,0))</f>
      </c>
      <c r="M21" s="7">
        <f>IF($D21="","",0)</f>
      </c>
      <c r="N21" s="7">
        <f>IF($D21="","",0)</f>
      </c>
      <c r="O21" s="7">
        <f>IF($D21="","",IF(OR(L21=0,J21="",IFERROR(INDEX('Challan Master'!$D$4:$D$207,MATCH($B21,'Challan Master'!$S$4:$S$207,0)),"")="",IFERROR(INDEX('Challan Master'!$D$4:$D$207,MATCH($B21,'Challan Master'!$S$4:$S$207,0)),"")&lt;=0),0,IF(IFERROR(INDEX('Challan Master'!$D$4:$D$207,MATCH($B21,'Challan Master'!$S$4:$S$207,0)),"")&lt;=DATE(YEAR(J21),MONTH(J21)+1,7),0,ROUND(L21*0.015*((YEAR(IFERROR(INDEX('Challan Master'!$D$4:$D$207,MATCH($B21,'Challan Master'!$S$4:$S$207,0)),""))-YEAR(J21))*12+(MONTH(IFERROR(INDEX('Challan Master'!$D$4:$D$207,MATCH($B21,'Challan Master'!$S$4:$S$207,0)),""))-MONTH(J21))+1),0))))</f>
      </c>
      <c r="P21" s="7">
        <f>IF($D21="","",0)</f>
      </c>
      <c r="Q21" s="8"/>
      <c r="R21" s="8"/>
      <c r="S21" s="8"/>
      <c r="T21" s="8"/>
      <c r="U21" s="8"/>
      <c r="V21" s="7">
        <f>IF($B21="","",IFERROR(INDEX('Challan Master'!$AA$4:$AA$207,MATCH($B21,'Challan Master'!$S$4:$S$207,0)),""))</f>
      </c>
    </row>
    <row r="22" spans="1:22" x14ac:dyDescent="0.25">
      <c r="A22" s="7">
        <f>IF($D22="","",COUNTIF($D$4:$D22,"&lt;&gt;"))</f>
      </c>
      <c r="B22" s="8"/>
      <c r="C22" s="7">
        <f>IF($B22="","","BSR "&amp;IFERROR(INDEX('Challan Master'!$B$4:$B$207,MATCH($B22,'Challan Master'!$S$4:$S$207,0)),"")&amp;" | Serial "&amp;IFERROR(INDEX('Challan Master'!$C$4:$C$207,MATCH($B22,'Challan Master'!$S$4:$S$207,0)),"")&amp;" | Deposit "&amp;TEXT(IFERROR(INDEX('Challan Master'!$D$4:$D$207,MATCH($B22,'Challan Master'!$S$4:$S$207,0)),""),"dd-mm-yyyy")&amp;" | Minor Head "&amp;IFERROR(INDEX('Challan Master'!$E$4:$E$207,MATCH($B22,'Challan Master'!$S$4:$S$207,0)),"")&amp;" | Tax ₹"&amp;TEXT(IFERROR(INDEX('Challan Master'!$G$4:$G$207,MATCH($B22,'Challan Master'!$S$4:$S$207,0)),""),"#,##0")&amp;" | Section "&amp;IFERROR(INDEX('Challan Master'!$F$4:$F$207,MATCH($B22,'Challan Master'!$S$4:$S$207,0)),""))</f>
      </c>
      <c r="D22" s="8"/>
      <c r="E22" s="8"/>
      <c r="F22" s="7">
        <f>IF($D22="","",IF(AND(LEN(TRIM(UPPER(E22)))=10,CODE(MID(TRIM(UPPER(E22)),1,1))&gt;=65,CODE(MID(TRIM(UPPER(E22)),1,1))&lt;=90,CODE(MID(TRIM(UPPER(E22)),2,1))&gt;=65,CODE(MID(TRIM(UPPER(E22)),2,1))&lt;=90,CODE(MID(TRIM(UPPER(E22)),3,1))&gt;=65,CODE(MID(TRIM(UPPER(E22)),3,1))&lt;=90,CODE(MID(TRIM(UPPER(E22)),4,1))&gt;=65,CODE(MID(TRIM(UPPER(E22)),4,1))&lt;=90,CODE(MID(TRIM(UPPER(E22)),5,1))&gt;=65,CODE(MID(TRIM(UPPER(E22)),5,1))&lt;=90,CODE(MID(TRIM(UPPER(E22)),10,1))&gt;=65,CODE(MID(TRIM(UPPER(E22)),10,1))&lt;=90,CODE(MID(TRIM(UPPER(E22)),6,1))&gt;=48,CODE(MID(TRIM(UPPER(E22)),6,1))&lt;=57,CODE(MID(TRIM(UPPER(E22)),7,1))&gt;=48,CODE(MID(TRIM(UPPER(E22)),7,1))&lt;=57,CODE(MID(TRIM(UPPER(E22)),8,1))&gt;=48,CODE(MID(TRIM(UPPER(E22)),8,1))&lt;=57,CODE(MID(TRIM(UPPER(E22)),9,1))&gt;=48,CODE(MID(TRIM(UPPER(E22)),9,1))&lt;=57),"N","Y"))</f>
      </c>
      <c r="G22" s="7">
        <f>IF($D22="","",IF(LEN(E22)&lt;4,"",IF(UPPER(MID(E22,4,1))="P","Individual",IF(UPPER(MID(E22,4,1))="H","HUF",IF(UPPER(MID(E22,4,1))="C","Company",IF(UPPER(MID(E22,4,1))="F","Firm",IF(UPPER(MID(E22,4,1))="L","LLP",IF(UPPER(MID(E22,4,1))="T","Trust",IF(UPPER(MID(E22,4,1))="A","AOP","")))))))))</f>
      </c>
      <c r="H22" s="8"/>
      <c r="I22" s="7">
        <f>IF($D22="","",IF(H22="","",IF(F22="Y",SUMPRODUCT(('Rate Lookup'!$A$1:$A$37=H22)*'Rate Lookup'!$D$1:$D$37),IF(OR(G22="Individual",G22="HUF"),SUMPRODUCT(('Rate Lookup'!$A$1:$A$37=H22)*'Rate Lookup'!$B$1:$B$37),SUMPRODUCT(('Rate Lookup'!$A$1:$A$37=H22)*'Rate Lookup'!$C$1:$C$37)))))</f>
      </c>
      <c r="J22" s="8"/>
      <c r="K22" s="8"/>
      <c r="L22" s="7">
        <f>IF($D22="","",ROUND(K22*I22/100,0))</f>
      </c>
      <c r="M22" s="7">
        <f>IF($D22="","",0)</f>
      </c>
      <c r="N22" s="7">
        <f>IF($D22="","",0)</f>
      </c>
      <c r="O22" s="7">
        <f>IF($D22="","",IF(OR(L22=0,J22="",IFERROR(INDEX('Challan Master'!$D$4:$D$207,MATCH($B22,'Challan Master'!$S$4:$S$207,0)),"")="",IFERROR(INDEX('Challan Master'!$D$4:$D$207,MATCH($B22,'Challan Master'!$S$4:$S$207,0)),"")&lt;=0),0,IF(IFERROR(INDEX('Challan Master'!$D$4:$D$207,MATCH($B22,'Challan Master'!$S$4:$S$207,0)),"")&lt;=DATE(YEAR(J22),MONTH(J22)+1,7),0,ROUND(L22*0.015*((YEAR(IFERROR(INDEX('Challan Master'!$D$4:$D$207,MATCH($B22,'Challan Master'!$S$4:$S$207,0)),""))-YEAR(J22))*12+(MONTH(IFERROR(INDEX('Challan Master'!$D$4:$D$207,MATCH($B22,'Challan Master'!$S$4:$S$207,0)),""))-MONTH(J22))+1),0))))</f>
      </c>
      <c r="P22" s="7">
        <f>IF($D22="","",0)</f>
      </c>
      <c r="Q22" s="8"/>
      <c r="R22" s="8"/>
      <c r="S22" s="8"/>
      <c r="T22" s="8"/>
      <c r="U22" s="8"/>
      <c r="V22" s="7">
        <f>IF($B22="","",IFERROR(INDEX('Challan Master'!$AA$4:$AA$207,MATCH($B22,'Challan Master'!$S$4:$S$207,0)),""))</f>
      </c>
    </row>
    <row r="23" spans="1:22" x14ac:dyDescent="0.25">
      <c r="A23" s="7">
        <f>IF($D23="","",COUNTIF($D$4:$D23,"&lt;&gt;"))</f>
      </c>
      <c r="B23" s="8"/>
      <c r="C23" s="7">
        <f>IF($B23="","","BSR "&amp;IFERROR(INDEX('Challan Master'!$B$4:$B$207,MATCH($B23,'Challan Master'!$S$4:$S$207,0)),"")&amp;" | Serial "&amp;IFERROR(INDEX('Challan Master'!$C$4:$C$207,MATCH($B23,'Challan Master'!$S$4:$S$207,0)),"")&amp;" | Deposit "&amp;TEXT(IFERROR(INDEX('Challan Master'!$D$4:$D$207,MATCH($B23,'Challan Master'!$S$4:$S$207,0)),""),"dd-mm-yyyy")&amp;" | Minor Head "&amp;IFERROR(INDEX('Challan Master'!$E$4:$E$207,MATCH($B23,'Challan Master'!$S$4:$S$207,0)),"")&amp;" | Tax ₹"&amp;TEXT(IFERROR(INDEX('Challan Master'!$G$4:$G$207,MATCH($B23,'Challan Master'!$S$4:$S$207,0)),""),"#,##0")&amp;" | Section "&amp;IFERROR(INDEX('Challan Master'!$F$4:$F$207,MATCH($B23,'Challan Master'!$S$4:$S$207,0)),""))</f>
      </c>
      <c r="D23" s="8"/>
      <c r="E23" s="8"/>
      <c r="F23" s="7">
        <f>IF($D23="","",IF(AND(LEN(TRIM(UPPER(E23)))=10,CODE(MID(TRIM(UPPER(E23)),1,1))&gt;=65,CODE(MID(TRIM(UPPER(E23)),1,1))&lt;=90,CODE(MID(TRIM(UPPER(E23)),2,1))&gt;=65,CODE(MID(TRIM(UPPER(E23)),2,1))&lt;=90,CODE(MID(TRIM(UPPER(E23)),3,1))&gt;=65,CODE(MID(TRIM(UPPER(E23)),3,1))&lt;=90,CODE(MID(TRIM(UPPER(E23)),4,1))&gt;=65,CODE(MID(TRIM(UPPER(E23)),4,1))&lt;=90,CODE(MID(TRIM(UPPER(E23)),5,1))&gt;=65,CODE(MID(TRIM(UPPER(E23)),5,1))&lt;=90,CODE(MID(TRIM(UPPER(E23)),10,1))&gt;=65,CODE(MID(TRIM(UPPER(E23)),10,1))&lt;=90,CODE(MID(TRIM(UPPER(E23)),6,1))&gt;=48,CODE(MID(TRIM(UPPER(E23)),6,1))&lt;=57,CODE(MID(TRIM(UPPER(E23)),7,1))&gt;=48,CODE(MID(TRIM(UPPER(E23)),7,1))&lt;=57,CODE(MID(TRIM(UPPER(E23)),8,1))&gt;=48,CODE(MID(TRIM(UPPER(E23)),8,1))&lt;=57,CODE(MID(TRIM(UPPER(E23)),9,1))&gt;=48,CODE(MID(TRIM(UPPER(E23)),9,1))&lt;=57),"N","Y"))</f>
      </c>
      <c r="G23" s="7">
        <f>IF($D23="","",IF(LEN(E23)&lt;4,"",IF(UPPER(MID(E23,4,1))="P","Individual",IF(UPPER(MID(E23,4,1))="H","HUF",IF(UPPER(MID(E23,4,1))="C","Company",IF(UPPER(MID(E23,4,1))="F","Firm",IF(UPPER(MID(E23,4,1))="L","LLP",IF(UPPER(MID(E23,4,1))="T","Trust",IF(UPPER(MID(E23,4,1))="A","AOP","")))))))))</f>
      </c>
      <c r="H23" s="8"/>
      <c r="I23" s="7">
        <f>IF($D23="","",IF(H23="","",IF(F23="Y",SUMPRODUCT(('Rate Lookup'!$A$1:$A$37=H23)*'Rate Lookup'!$D$1:$D$37),IF(OR(G23="Individual",G23="HUF"),SUMPRODUCT(('Rate Lookup'!$A$1:$A$37=H23)*'Rate Lookup'!$B$1:$B$37),SUMPRODUCT(('Rate Lookup'!$A$1:$A$37=H23)*'Rate Lookup'!$C$1:$C$37)))))</f>
      </c>
      <c r="J23" s="8"/>
      <c r="K23" s="8"/>
      <c r="L23" s="7">
        <f>IF($D23="","",ROUND(K23*I23/100,0))</f>
      </c>
      <c r="M23" s="7">
        <f>IF($D23="","",0)</f>
      </c>
      <c r="N23" s="7">
        <f>IF($D23="","",0)</f>
      </c>
      <c r="O23" s="7">
        <f>IF($D23="","",IF(OR(L23=0,J23="",IFERROR(INDEX('Challan Master'!$D$4:$D$207,MATCH($B23,'Challan Master'!$S$4:$S$207,0)),"")="",IFERROR(INDEX('Challan Master'!$D$4:$D$207,MATCH($B23,'Challan Master'!$S$4:$S$207,0)),"")&lt;=0),0,IF(IFERROR(INDEX('Challan Master'!$D$4:$D$207,MATCH($B23,'Challan Master'!$S$4:$S$207,0)),"")&lt;=DATE(YEAR(J23),MONTH(J23)+1,7),0,ROUND(L23*0.015*((YEAR(IFERROR(INDEX('Challan Master'!$D$4:$D$207,MATCH($B23,'Challan Master'!$S$4:$S$207,0)),""))-YEAR(J23))*12+(MONTH(IFERROR(INDEX('Challan Master'!$D$4:$D$207,MATCH($B23,'Challan Master'!$S$4:$S$207,0)),""))-MONTH(J23))+1),0))))</f>
      </c>
      <c r="P23" s="7">
        <f>IF($D23="","",0)</f>
      </c>
      <c r="Q23" s="8"/>
      <c r="R23" s="8"/>
      <c r="S23" s="8"/>
      <c r="T23" s="8"/>
      <c r="U23" s="8"/>
      <c r="V23" s="7">
        <f>IF($B23="","",IFERROR(INDEX('Challan Master'!$AA$4:$AA$207,MATCH($B23,'Challan Master'!$S$4:$S$207,0)),""))</f>
      </c>
    </row>
    <row r="24" spans="1:22" x14ac:dyDescent="0.25">
      <c r="A24" s="7">
        <f>IF($D24="","",COUNTIF($D$4:$D24,"&lt;&gt;"))</f>
      </c>
      <c r="B24" s="8"/>
      <c r="C24" s="7">
        <f>IF($B24="","","BSR "&amp;IFERROR(INDEX('Challan Master'!$B$4:$B$207,MATCH($B24,'Challan Master'!$S$4:$S$207,0)),"")&amp;" | Serial "&amp;IFERROR(INDEX('Challan Master'!$C$4:$C$207,MATCH($B24,'Challan Master'!$S$4:$S$207,0)),"")&amp;" | Deposit "&amp;TEXT(IFERROR(INDEX('Challan Master'!$D$4:$D$207,MATCH($B24,'Challan Master'!$S$4:$S$207,0)),""),"dd-mm-yyyy")&amp;" | Minor Head "&amp;IFERROR(INDEX('Challan Master'!$E$4:$E$207,MATCH($B24,'Challan Master'!$S$4:$S$207,0)),"")&amp;" | Tax ₹"&amp;TEXT(IFERROR(INDEX('Challan Master'!$G$4:$G$207,MATCH($B24,'Challan Master'!$S$4:$S$207,0)),""),"#,##0")&amp;" | Section "&amp;IFERROR(INDEX('Challan Master'!$F$4:$F$207,MATCH($B24,'Challan Master'!$S$4:$S$207,0)),""))</f>
      </c>
      <c r="D24" s="8"/>
      <c r="E24" s="8"/>
      <c r="F24" s="7">
        <f>IF($D24="","",IF(AND(LEN(TRIM(UPPER(E24)))=10,CODE(MID(TRIM(UPPER(E24)),1,1))&gt;=65,CODE(MID(TRIM(UPPER(E24)),1,1))&lt;=90,CODE(MID(TRIM(UPPER(E24)),2,1))&gt;=65,CODE(MID(TRIM(UPPER(E24)),2,1))&lt;=90,CODE(MID(TRIM(UPPER(E24)),3,1))&gt;=65,CODE(MID(TRIM(UPPER(E24)),3,1))&lt;=90,CODE(MID(TRIM(UPPER(E24)),4,1))&gt;=65,CODE(MID(TRIM(UPPER(E24)),4,1))&lt;=90,CODE(MID(TRIM(UPPER(E24)),5,1))&gt;=65,CODE(MID(TRIM(UPPER(E24)),5,1))&lt;=90,CODE(MID(TRIM(UPPER(E24)),10,1))&gt;=65,CODE(MID(TRIM(UPPER(E24)),10,1))&lt;=90,CODE(MID(TRIM(UPPER(E24)),6,1))&gt;=48,CODE(MID(TRIM(UPPER(E24)),6,1))&lt;=57,CODE(MID(TRIM(UPPER(E24)),7,1))&gt;=48,CODE(MID(TRIM(UPPER(E24)),7,1))&lt;=57,CODE(MID(TRIM(UPPER(E24)),8,1))&gt;=48,CODE(MID(TRIM(UPPER(E24)),8,1))&lt;=57,CODE(MID(TRIM(UPPER(E24)),9,1))&gt;=48,CODE(MID(TRIM(UPPER(E24)),9,1))&lt;=57),"N","Y"))</f>
      </c>
      <c r="G24" s="7">
        <f>IF($D24="","",IF(LEN(E24)&lt;4,"",IF(UPPER(MID(E24,4,1))="P","Individual",IF(UPPER(MID(E24,4,1))="H","HUF",IF(UPPER(MID(E24,4,1))="C","Company",IF(UPPER(MID(E24,4,1))="F","Firm",IF(UPPER(MID(E24,4,1))="L","LLP",IF(UPPER(MID(E24,4,1))="T","Trust",IF(UPPER(MID(E24,4,1))="A","AOP","")))))))))</f>
      </c>
      <c r="H24" s="8"/>
      <c r="I24" s="7">
        <f>IF($D24="","",IF(H24="","",IF(F24="Y",SUMPRODUCT(('Rate Lookup'!$A$1:$A$37=H24)*'Rate Lookup'!$D$1:$D$37),IF(OR(G24="Individual",G24="HUF"),SUMPRODUCT(('Rate Lookup'!$A$1:$A$37=H24)*'Rate Lookup'!$B$1:$B$37),SUMPRODUCT(('Rate Lookup'!$A$1:$A$37=H24)*'Rate Lookup'!$C$1:$C$37)))))</f>
      </c>
      <c r="J24" s="8"/>
      <c r="K24" s="8"/>
      <c r="L24" s="7">
        <f>IF($D24="","",ROUND(K24*I24/100,0))</f>
      </c>
      <c r="M24" s="7">
        <f>IF($D24="","",0)</f>
      </c>
      <c r="N24" s="7">
        <f>IF($D24="","",0)</f>
      </c>
      <c r="O24" s="7">
        <f>IF($D24="","",IF(OR(L24=0,J24="",IFERROR(INDEX('Challan Master'!$D$4:$D$207,MATCH($B24,'Challan Master'!$S$4:$S$207,0)),"")="",IFERROR(INDEX('Challan Master'!$D$4:$D$207,MATCH($B24,'Challan Master'!$S$4:$S$207,0)),"")&lt;=0),0,IF(IFERROR(INDEX('Challan Master'!$D$4:$D$207,MATCH($B24,'Challan Master'!$S$4:$S$207,0)),"")&lt;=DATE(YEAR(J24),MONTH(J24)+1,7),0,ROUND(L24*0.015*((YEAR(IFERROR(INDEX('Challan Master'!$D$4:$D$207,MATCH($B24,'Challan Master'!$S$4:$S$207,0)),""))-YEAR(J24))*12+(MONTH(IFERROR(INDEX('Challan Master'!$D$4:$D$207,MATCH($B24,'Challan Master'!$S$4:$S$207,0)),""))-MONTH(J24))+1),0))))</f>
      </c>
      <c r="P24" s="7">
        <f>IF($D24="","",0)</f>
      </c>
      <c r="Q24" s="8"/>
      <c r="R24" s="8"/>
      <c r="S24" s="8"/>
      <c r="T24" s="8"/>
      <c r="U24" s="8"/>
      <c r="V24" s="7">
        <f>IF($B24="","",IFERROR(INDEX('Challan Master'!$AA$4:$AA$207,MATCH($B24,'Challan Master'!$S$4:$S$207,0)),""))</f>
      </c>
    </row>
    <row r="25" spans="1:22" x14ac:dyDescent="0.25">
      <c r="A25" s="7">
        <f>IF($D25="","",COUNTIF($D$4:$D25,"&lt;&gt;"))</f>
      </c>
      <c r="B25" s="8"/>
      <c r="C25" s="7">
        <f>IF($B25="","","BSR "&amp;IFERROR(INDEX('Challan Master'!$B$4:$B$207,MATCH($B25,'Challan Master'!$S$4:$S$207,0)),"")&amp;" | Serial "&amp;IFERROR(INDEX('Challan Master'!$C$4:$C$207,MATCH($B25,'Challan Master'!$S$4:$S$207,0)),"")&amp;" | Deposit "&amp;TEXT(IFERROR(INDEX('Challan Master'!$D$4:$D$207,MATCH($B25,'Challan Master'!$S$4:$S$207,0)),""),"dd-mm-yyyy")&amp;" | Minor Head "&amp;IFERROR(INDEX('Challan Master'!$E$4:$E$207,MATCH($B25,'Challan Master'!$S$4:$S$207,0)),"")&amp;" | Tax ₹"&amp;TEXT(IFERROR(INDEX('Challan Master'!$G$4:$G$207,MATCH($B25,'Challan Master'!$S$4:$S$207,0)),""),"#,##0")&amp;" | Section "&amp;IFERROR(INDEX('Challan Master'!$F$4:$F$207,MATCH($B25,'Challan Master'!$S$4:$S$207,0)),""))</f>
      </c>
      <c r="D25" s="8"/>
      <c r="E25" s="8"/>
      <c r="F25" s="7">
        <f>IF($D25="","",IF(AND(LEN(TRIM(UPPER(E25)))=10,CODE(MID(TRIM(UPPER(E25)),1,1))&gt;=65,CODE(MID(TRIM(UPPER(E25)),1,1))&lt;=90,CODE(MID(TRIM(UPPER(E25)),2,1))&gt;=65,CODE(MID(TRIM(UPPER(E25)),2,1))&lt;=90,CODE(MID(TRIM(UPPER(E25)),3,1))&gt;=65,CODE(MID(TRIM(UPPER(E25)),3,1))&lt;=90,CODE(MID(TRIM(UPPER(E25)),4,1))&gt;=65,CODE(MID(TRIM(UPPER(E25)),4,1))&lt;=90,CODE(MID(TRIM(UPPER(E25)),5,1))&gt;=65,CODE(MID(TRIM(UPPER(E25)),5,1))&lt;=90,CODE(MID(TRIM(UPPER(E25)),10,1))&gt;=65,CODE(MID(TRIM(UPPER(E25)),10,1))&lt;=90,CODE(MID(TRIM(UPPER(E25)),6,1))&gt;=48,CODE(MID(TRIM(UPPER(E25)),6,1))&lt;=57,CODE(MID(TRIM(UPPER(E25)),7,1))&gt;=48,CODE(MID(TRIM(UPPER(E25)),7,1))&lt;=57,CODE(MID(TRIM(UPPER(E25)),8,1))&gt;=48,CODE(MID(TRIM(UPPER(E25)),8,1))&lt;=57,CODE(MID(TRIM(UPPER(E25)),9,1))&gt;=48,CODE(MID(TRIM(UPPER(E25)),9,1))&lt;=57),"N","Y"))</f>
      </c>
      <c r="G25" s="7">
        <f>IF($D25="","",IF(LEN(E25)&lt;4,"",IF(UPPER(MID(E25,4,1))="P","Individual",IF(UPPER(MID(E25,4,1))="H","HUF",IF(UPPER(MID(E25,4,1))="C","Company",IF(UPPER(MID(E25,4,1))="F","Firm",IF(UPPER(MID(E25,4,1))="L","LLP",IF(UPPER(MID(E25,4,1))="T","Trust",IF(UPPER(MID(E25,4,1))="A","AOP","")))))))))</f>
      </c>
      <c r="H25" s="8"/>
      <c r="I25" s="7">
        <f>IF($D25="","",IF(H25="","",IF(F25="Y",SUMPRODUCT(('Rate Lookup'!$A$1:$A$37=H25)*'Rate Lookup'!$D$1:$D$37),IF(OR(G25="Individual",G25="HUF"),SUMPRODUCT(('Rate Lookup'!$A$1:$A$37=H25)*'Rate Lookup'!$B$1:$B$37),SUMPRODUCT(('Rate Lookup'!$A$1:$A$37=H25)*'Rate Lookup'!$C$1:$C$37)))))</f>
      </c>
      <c r="J25" s="8"/>
      <c r="K25" s="8"/>
      <c r="L25" s="7">
        <f>IF($D25="","",ROUND(K25*I25/100,0))</f>
      </c>
      <c r="M25" s="7">
        <f>IF($D25="","",0)</f>
      </c>
      <c r="N25" s="7">
        <f>IF($D25="","",0)</f>
      </c>
      <c r="O25" s="7">
        <f>IF($D25="","",IF(OR(L25=0,J25="",IFERROR(INDEX('Challan Master'!$D$4:$D$207,MATCH($B25,'Challan Master'!$S$4:$S$207,0)),"")="",IFERROR(INDEX('Challan Master'!$D$4:$D$207,MATCH($B25,'Challan Master'!$S$4:$S$207,0)),"")&lt;=0),0,IF(IFERROR(INDEX('Challan Master'!$D$4:$D$207,MATCH($B25,'Challan Master'!$S$4:$S$207,0)),"")&lt;=DATE(YEAR(J25),MONTH(J25)+1,7),0,ROUND(L25*0.015*((YEAR(IFERROR(INDEX('Challan Master'!$D$4:$D$207,MATCH($B25,'Challan Master'!$S$4:$S$207,0)),""))-YEAR(J25))*12+(MONTH(IFERROR(INDEX('Challan Master'!$D$4:$D$207,MATCH($B25,'Challan Master'!$S$4:$S$207,0)),""))-MONTH(J25))+1),0))))</f>
      </c>
      <c r="P25" s="7">
        <f>IF($D25="","",0)</f>
      </c>
      <c r="Q25" s="8"/>
      <c r="R25" s="8"/>
      <c r="S25" s="8"/>
      <c r="T25" s="8"/>
      <c r="U25" s="8"/>
      <c r="V25" s="7">
        <f>IF($B25="","",IFERROR(INDEX('Challan Master'!$AA$4:$AA$207,MATCH($B25,'Challan Master'!$S$4:$S$207,0)),""))</f>
      </c>
    </row>
    <row r="26" spans="1:22" x14ac:dyDescent="0.25">
      <c r="A26" s="7">
        <f>IF($D26="","",COUNTIF($D$4:$D26,"&lt;&gt;"))</f>
      </c>
      <c r="B26" s="8"/>
      <c r="C26" s="7">
        <f>IF($B26="","","BSR "&amp;IFERROR(INDEX('Challan Master'!$B$4:$B$207,MATCH($B26,'Challan Master'!$S$4:$S$207,0)),"")&amp;" | Serial "&amp;IFERROR(INDEX('Challan Master'!$C$4:$C$207,MATCH($B26,'Challan Master'!$S$4:$S$207,0)),"")&amp;" | Deposit "&amp;TEXT(IFERROR(INDEX('Challan Master'!$D$4:$D$207,MATCH($B26,'Challan Master'!$S$4:$S$207,0)),""),"dd-mm-yyyy")&amp;" | Minor Head "&amp;IFERROR(INDEX('Challan Master'!$E$4:$E$207,MATCH($B26,'Challan Master'!$S$4:$S$207,0)),"")&amp;" | Tax ₹"&amp;TEXT(IFERROR(INDEX('Challan Master'!$G$4:$G$207,MATCH($B26,'Challan Master'!$S$4:$S$207,0)),""),"#,##0")&amp;" | Section "&amp;IFERROR(INDEX('Challan Master'!$F$4:$F$207,MATCH($B26,'Challan Master'!$S$4:$S$207,0)),""))</f>
      </c>
      <c r="D26" s="8"/>
      <c r="E26" s="8"/>
      <c r="F26" s="7">
        <f>IF($D26="","",IF(AND(LEN(TRIM(UPPER(E26)))=10,CODE(MID(TRIM(UPPER(E26)),1,1))&gt;=65,CODE(MID(TRIM(UPPER(E26)),1,1))&lt;=90,CODE(MID(TRIM(UPPER(E26)),2,1))&gt;=65,CODE(MID(TRIM(UPPER(E26)),2,1))&lt;=90,CODE(MID(TRIM(UPPER(E26)),3,1))&gt;=65,CODE(MID(TRIM(UPPER(E26)),3,1))&lt;=90,CODE(MID(TRIM(UPPER(E26)),4,1))&gt;=65,CODE(MID(TRIM(UPPER(E26)),4,1))&lt;=90,CODE(MID(TRIM(UPPER(E26)),5,1))&gt;=65,CODE(MID(TRIM(UPPER(E26)),5,1))&lt;=90,CODE(MID(TRIM(UPPER(E26)),10,1))&gt;=65,CODE(MID(TRIM(UPPER(E26)),10,1))&lt;=90,CODE(MID(TRIM(UPPER(E26)),6,1))&gt;=48,CODE(MID(TRIM(UPPER(E26)),6,1))&lt;=57,CODE(MID(TRIM(UPPER(E26)),7,1))&gt;=48,CODE(MID(TRIM(UPPER(E26)),7,1))&lt;=57,CODE(MID(TRIM(UPPER(E26)),8,1))&gt;=48,CODE(MID(TRIM(UPPER(E26)),8,1))&lt;=57,CODE(MID(TRIM(UPPER(E26)),9,1))&gt;=48,CODE(MID(TRIM(UPPER(E26)),9,1))&lt;=57),"N","Y"))</f>
      </c>
      <c r="G26" s="7">
        <f>IF($D26="","",IF(LEN(E26)&lt;4,"",IF(UPPER(MID(E26,4,1))="P","Individual",IF(UPPER(MID(E26,4,1))="H","HUF",IF(UPPER(MID(E26,4,1))="C","Company",IF(UPPER(MID(E26,4,1))="F","Firm",IF(UPPER(MID(E26,4,1))="L","LLP",IF(UPPER(MID(E26,4,1))="T","Trust",IF(UPPER(MID(E26,4,1))="A","AOP","")))))))))</f>
      </c>
      <c r="H26" s="8"/>
      <c r="I26" s="7">
        <f>IF($D26="","",IF(H26="","",IF(F26="Y",SUMPRODUCT(('Rate Lookup'!$A$1:$A$37=H26)*'Rate Lookup'!$D$1:$D$37),IF(OR(G26="Individual",G26="HUF"),SUMPRODUCT(('Rate Lookup'!$A$1:$A$37=H26)*'Rate Lookup'!$B$1:$B$37),SUMPRODUCT(('Rate Lookup'!$A$1:$A$37=H26)*'Rate Lookup'!$C$1:$C$37)))))</f>
      </c>
      <c r="J26" s="8"/>
      <c r="K26" s="8"/>
      <c r="L26" s="7">
        <f>IF($D26="","",ROUND(K26*I26/100,0))</f>
      </c>
      <c r="M26" s="7">
        <f>IF($D26="","",0)</f>
      </c>
      <c r="N26" s="7">
        <f>IF($D26="","",0)</f>
      </c>
      <c r="O26" s="7">
        <f>IF($D26="","",IF(OR(L26=0,J26="",IFERROR(INDEX('Challan Master'!$D$4:$D$207,MATCH($B26,'Challan Master'!$S$4:$S$207,0)),"")="",IFERROR(INDEX('Challan Master'!$D$4:$D$207,MATCH($B26,'Challan Master'!$S$4:$S$207,0)),"")&lt;=0),0,IF(IFERROR(INDEX('Challan Master'!$D$4:$D$207,MATCH($B26,'Challan Master'!$S$4:$S$207,0)),"")&lt;=DATE(YEAR(J26),MONTH(J26)+1,7),0,ROUND(L26*0.015*((YEAR(IFERROR(INDEX('Challan Master'!$D$4:$D$207,MATCH($B26,'Challan Master'!$S$4:$S$207,0)),""))-YEAR(J26))*12+(MONTH(IFERROR(INDEX('Challan Master'!$D$4:$D$207,MATCH($B26,'Challan Master'!$S$4:$S$207,0)),""))-MONTH(J26))+1),0))))</f>
      </c>
      <c r="P26" s="7">
        <f>IF($D26="","",0)</f>
      </c>
      <c r="Q26" s="8"/>
      <c r="R26" s="8"/>
      <c r="S26" s="8"/>
      <c r="T26" s="8"/>
      <c r="U26" s="8"/>
      <c r="V26" s="7">
        <f>IF($B26="","",IFERROR(INDEX('Challan Master'!$AA$4:$AA$207,MATCH($B26,'Challan Master'!$S$4:$S$207,0)),""))</f>
      </c>
    </row>
    <row r="27" spans="1:22" x14ac:dyDescent="0.25">
      <c r="A27" s="7">
        <f>IF($D27="","",COUNTIF($D$4:$D27,"&lt;&gt;"))</f>
      </c>
      <c r="B27" s="8"/>
      <c r="C27" s="7">
        <f>IF($B27="","","BSR "&amp;IFERROR(INDEX('Challan Master'!$B$4:$B$207,MATCH($B27,'Challan Master'!$S$4:$S$207,0)),"")&amp;" | Serial "&amp;IFERROR(INDEX('Challan Master'!$C$4:$C$207,MATCH($B27,'Challan Master'!$S$4:$S$207,0)),"")&amp;" | Deposit "&amp;TEXT(IFERROR(INDEX('Challan Master'!$D$4:$D$207,MATCH($B27,'Challan Master'!$S$4:$S$207,0)),""),"dd-mm-yyyy")&amp;" | Minor Head "&amp;IFERROR(INDEX('Challan Master'!$E$4:$E$207,MATCH($B27,'Challan Master'!$S$4:$S$207,0)),"")&amp;" | Tax ₹"&amp;TEXT(IFERROR(INDEX('Challan Master'!$G$4:$G$207,MATCH($B27,'Challan Master'!$S$4:$S$207,0)),""),"#,##0")&amp;" | Section "&amp;IFERROR(INDEX('Challan Master'!$F$4:$F$207,MATCH($B27,'Challan Master'!$S$4:$S$207,0)),""))</f>
      </c>
      <c r="D27" s="8"/>
      <c r="E27" s="8"/>
      <c r="F27" s="7">
        <f>IF($D27="","",IF(AND(LEN(TRIM(UPPER(E27)))=10,CODE(MID(TRIM(UPPER(E27)),1,1))&gt;=65,CODE(MID(TRIM(UPPER(E27)),1,1))&lt;=90,CODE(MID(TRIM(UPPER(E27)),2,1))&gt;=65,CODE(MID(TRIM(UPPER(E27)),2,1))&lt;=90,CODE(MID(TRIM(UPPER(E27)),3,1))&gt;=65,CODE(MID(TRIM(UPPER(E27)),3,1))&lt;=90,CODE(MID(TRIM(UPPER(E27)),4,1))&gt;=65,CODE(MID(TRIM(UPPER(E27)),4,1))&lt;=90,CODE(MID(TRIM(UPPER(E27)),5,1))&gt;=65,CODE(MID(TRIM(UPPER(E27)),5,1))&lt;=90,CODE(MID(TRIM(UPPER(E27)),10,1))&gt;=65,CODE(MID(TRIM(UPPER(E27)),10,1))&lt;=90,CODE(MID(TRIM(UPPER(E27)),6,1))&gt;=48,CODE(MID(TRIM(UPPER(E27)),6,1))&lt;=57,CODE(MID(TRIM(UPPER(E27)),7,1))&gt;=48,CODE(MID(TRIM(UPPER(E27)),7,1))&lt;=57,CODE(MID(TRIM(UPPER(E27)),8,1))&gt;=48,CODE(MID(TRIM(UPPER(E27)),8,1))&lt;=57,CODE(MID(TRIM(UPPER(E27)),9,1))&gt;=48,CODE(MID(TRIM(UPPER(E27)),9,1))&lt;=57),"N","Y"))</f>
      </c>
      <c r="G27" s="7">
        <f>IF($D27="","",IF(LEN(E27)&lt;4,"",IF(UPPER(MID(E27,4,1))="P","Individual",IF(UPPER(MID(E27,4,1))="H","HUF",IF(UPPER(MID(E27,4,1))="C","Company",IF(UPPER(MID(E27,4,1))="F","Firm",IF(UPPER(MID(E27,4,1))="L","LLP",IF(UPPER(MID(E27,4,1))="T","Trust",IF(UPPER(MID(E27,4,1))="A","AOP","")))))))))</f>
      </c>
      <c r="H27" s="8"/>
      <c r="I27" s="7">
        <f>IF($D27="","",IF(H27="","",IF(F27="Y",SUMPRODUCT(('Rate Lookup'!$A$1:$A$37=H27)*'Rate Lookup'!$D$1:$D$37),IF(OR(G27="Individual",G27="HUF"),SUMPRODUCT(('Rate Lookup'!$A$1:$A$37=H27)*'Rate Lookup'!$B$1:$B$37),SUMPRODUCT(('Rate Lookup'!$A$1:$A$37=H27)*'Rate Lookup'!$C$1:$C$37)))))</f>
      </c>
      <c r="J27" s="8"/>
      <c r="K27" s="8"/>
      <c r="L27" s="7">
        <f>IF($D27="","",ROUND(K27*I27/100,0))</f>
      </c>
      <c r="M27" s="7">
        <f>IF($D27="","",0)</f>
      </c>
      <c r="N27" s="7">
        <f>IF($D27="","",0)</f>
      </c>
      <c r="O27" s="7">
        <f>IF($D27="","",IF(OR(L27=0,J27="",IFERROR(INDEX('Challan Master'!$D$4:$D$207,MATCH($B27,'Challan Master'!$S$4:$S$207,0)),"")="",IFERROR(INDEX('Challan Master'!$D$4:$D$207,MATCH($B27,'Challan Master'!$S$4:$S$207,0)),"")&lt;=0),0,IF(IFERROR(INDEX('Challan Master'!$D$4:$D$207,MATCH($B27,'Challan Master'!$S$4:$S$207,0)),"")&lt;=DATE(YEAR(J27),MONTH(J27)+1,7),0,ROUND(L27*0.015*((YEAR(IFERROR(INDEX('Challan Master'!$D$4:$D$207,MATCH($B27,'Challan Master'!$S$4:$S$207,0)),""))-YEAR(J27))*12+(MONTH(IFERROR(INDEX('Challan Master'!$D$4:$D$207,MATCH($B27,'Challan Master'!$S$4:$S$207,0)),""))-MONTH(J27))+1),0))))</f>
      </c>
      <c r="P27" s="7">
        <f>IF($D27="","",0)</f>
      </c>
      <c r="Q27" s="8"/>
      <c r="R27" s="8"/>
      <c r="S27" s="8"/>
      <c r="T27" s="8"/>
      <c r="U27" s="8"/>
      <c r="V27" s="7">
        <f>IF($B27="","",IFERROR(INDEX('Challan Master'!$AA$4:$AA$207,MATCH($B27,'Challan Master'!$S$4:$S$207,0)),""))</f>
      </c>
    </row>
    <row r="28" spans="1:22" x14ac:dyDescent="0.25">
      <c r="A28" s="7">
        <f>IF($D28="","",COUNTIF($D$4:$D28,"&lt;&gt;"))</f>
      </c>
      <c r="B28" s="8"/>
      <c r="C28" s="7">
        <f>IF($B28="","","BSR "&amp;IFERROR(INDEX('Challan Master'!$B$4:$B$207,MATCH($B28,'Challan Master'!$S$4:$S$207,0)),"")&amp;" | Serial "&amp;IFERROR(INDEX('Challan Master'!$C$4:$C$207,MATCH($B28,'Challan Master'!$S$4:$S$207,0)),"")&amp;" | Deposit "&amp;TEXT(IFERROR(INDEX('Challan Master'!$D$4:$D$207,MATCH($B28,'Challan Master'!$S$4:$S$207,0)),""),"dd-mm-yyyy")&amp;" | Minor Head "&amp;IFERROR(INDEX('Challan Master'!$E$4:$E$207,MATCH($B28,'Challan Master'!$S$4:$S$207,0)),"")&amp;" | Tax ₹"&amp;TEXT(IFERROR(INDEX('Challan Master'!$G$4:$G$207,MATCH($B28,'Challan Master'!$S$4:$S$207,0)),""),"#,##0")&amp;" | Section "&amp;IFERROR(INDEX('Challan Master'!$F$4:$F$207,MATCH($B28,'Challan Master'!$S$4:$S$207,0)),""))</f>
      </c>
      <c r="D28" s="8"/>
      <c r="E28" s="8"/>
      <c r="F28" s="7">
        <f>IF($D28="","",IF(AND(LEN(TRIM(UPPER(E28)))=10,CODE(MID(TRIM(UPPER(E28)),1,1))&gt;=65,CODE(MID(TRIM(UPPER(E28)),1,1))&lt;=90,CODE(MID(TRIM(UPPER(E28)),2,1))&gt;=65,CODE(MID(TRIM(UPPER(E28)),2,1))&lt;=90,CODE(MID(TRIM(UPPER(E28)),3,1))&gt;=65,CODE(MID(TRIM(UPPER(E28)),3,1))&lt;=90,CODE(MID(TRIM(UPPER(E28)),4,1))&gt;=65,CODE(MID(TRIM(UPPER(E28)),4,1))&lt;=90,CODE(MID(TRIM(UPPER(E28)),5,1))&gt;=65,CODE(MID(TRIM(UPPER(E28)),5,1))&lt;=90,CODE(MID(TRIM(UPPER(E28)),10,1))&gt;=65,CODE(MID(TRIM(UPPER(E28)),10,1))&lt;=90,CODE(MID(TRIM(UPPER(E28)),6,1))&gt;=48,CODE(MID(TRIM(UPPER(E28)),6,1))&lt;=57,CODE(MID(TRIM(UPPER(E28)),7,1))&gt;=48,CODE(MID(TRIM(UPPER(E28)),7,1))&lt;=57,CODE(MID(TRIM(UPPER(E28)),8,1))&gt;=48,CODE(MID(TRIM(UPPER(E28)),8,1))&lt;=57,CODE(MID(TRIM(UPPER(E28)),9,1))&gt;=48,CODE(MID(TRIM(UPPER(E28)),9,1))&lt;=57),"N","Y"))</f>
      </c>
      <c r="G28" s="7">
        <f>IF($D28="","",IF(LEN(E28)&lt;4,"",IF(UPPER(MID(E28,4,1))="P","Individual",IF(UPPER(MID(E28,4,1))="H","HUF",IF(UPPER(MID(E28,4,1))="C","Company",IF(UPPER(MID(E28,4,1))="F","Firm",IF(UPPER(MID(E28,4,1))="L","LLP",IF(UPPER(MID(E28,4,1))="T","Trust",IF(UPPER(MID(E28,4,1))="A","AOP","")))))))))</f>
      </c>
      <c r="H28" s="8"/>
      <c r="I28" s="7">
        <f>IF($D28="","",IF(H28="","",IF(F28="Y",SUMPRODUCT(('Rate Lookup'!$A$1:$A$37=H28)*'Rate Lookup'!$D$1:$D$37),IF(OR(G28="Individual",G28="HUF"),SUMPRODUCT(('Rate Lookup'!$A$1:$A$37=H28)*'Rate Lookup'!$B$1:$B$37),SUMPRODUCT(('Rate Lookup'!$A$1:$A$37=H28)*'Rate Lookup'!$C$1:$C$37)))))</f>
      </c>
      <c r="J28" s="8"/>
      <c r="K28" s="8"/>
      <c r="L28" s="7">
        <f>IF($D28="","",ROUND(K28*I28/100,0))</f>
      </c>
      <c r="M28" s="7">
        <f>IF($D28="","",0)</f>
      </c>
      <c r="N28" s="7">
        <f>IF($D28="","",0)</f>
      </c>
      <c r="O28" s="7">
        <f>IF($D28="","",IF(OR(L28=0,J28="",IFERROR(INDEX('Challan Master'!$D$4:$D$207,MATCH($B28,'Challan Master'!$S$4:$S$207,0)),"")="",IFERROR(INDEX('Challan Master'!$D$4:$D$207,MATCH($B28,'Challan Master'!$S$4:$S$207,0)),"")&lt;=0),0,IF(IFERROR(INDEX('Challan Master'!$D$4:$D$207,MATCH($B28,'Challan Master'!$S$4:$S$207,0)),"")&lt;=DATE(YEAR(J28),MONTH(J28)+1,7),0,ROUND(L28*0.015*((YEAR(IFERROR(INDEX('Challan Master'!$D$4:$D$207,MATCH($B28,'Challan Master'!$S$4:$S$207,0)),""))-YEAR(J28))*12+(MONTH(IFERROR(INDEX('Challan Master'!$D$4:$D$207,MATCH($B28,'Challan Master'!$S$4:$S$207,0)),""))-MONTH(J28))+1),0))))</f>
      </c>
      <c r="P28" s="7">
        <f>IF($D28="","",0)</f>
      </c>
      <c r="Q28" s="8"/>
      <c r="R28" s="8"/>
      <c r="S28" s="8"/>
      <c r="T28" s="8"/>
      <c r="U28" s="8"/>
      <c r="V28" s="7">
        <f>IF($B28="","",IFERROR(INDEX('Challan Master'!$AA$4:$AA$207,MATCH($B28,'Challan Master'!$S$4:$S$207,0)),""))</f>
      </c>
    </row>
    <row r="29" spans="1:22" x14ac:dyDescent="0.25">
      <c r="A29" s="7">
        <f>IF($D29="","",COUNTIF($D$4:$D29,"&lt;&gt;"))</f>
      </c>
      <c r="B29" s="8"/>
      <c r="C29" s="7">
        <f>IF($B29="","","BSR "&amp;IFERROR(INDEX('Challan Master'!$B$4:$B$207,MATCH($B29,'Challan Master'!$S$4:$S$207,0)),"")&amp;" | Serial "&amp;IFERROR(INDEX('Challan Master'!$C$4:$C$207,MATCH($B29,'Challan Master'!$S$4:$S$207,0)),"")&amp;" | Deposit "&amp;TEXT(IFERROR(INDEX('Challan Master'!$D$4:$D$207,MATCH($B29,'Challan Master'!$S$4:$S$207,0)),""),"dd-mm-yyyy")&amp;" | Minor Head "&amp;IFERROR(INDEX('Challan Master'!$E$4:$E$207,MATCH($B29,'Challan Master'!$S$4:$S$207,0)),"")&amp;" | Tax ₹"&amp;TEXT(IFERROR(INDEX('Challan Master'!$G$4:$G$207,MATCH($B29,'Challan Master'!$S$4:$S$207,0)),""),"#,##0")&amp;" | Section "&amp;IFERROR(INDEX('Challan Master'!$F$4:$F$207,MATCH($B29,'Challan Master'!$S$4:$S$207,0)),""))</f>
      </c>
      <c r="D29" s="8"/>
      <c r="E29" s="8"/>
      <c r="F29" s="7">
        <f>IF($D29="","",IF(AND(LEN(TRIM(UPPER(E29)))=10,CODE(MID(TRIM(UPPER(E29)),1,1))&gt;=65,CODE(MID(TRIM(UPPER(E29)),1,1))&lt;=90,CODE(MID(TRIM(UPPER(E29)),2,1))&gt;=65,CODE(MID(TRIM(UPPER(E29)),2,1))&lt;=90,CODE(MID(TRIM(UPPER(E29)),3,1))&gt;=65,CODE(MID(TRIM(UPPER(E29)),3,1))&lt;=90,CODE(MID(TRIM(UPPER(E29)),4,1))&gt;=65,CODE(MID(TRIM(UPPER(E29)),4,1))&lt;=90,CODE(MID(TRIM(UPPER(E29)),5,1))&gt;=65,CODE(MID(TRIM(UPPER(E29)),5,1))&lt;=90,CODE(MID(TRIM(UPPER(E29)),10,1))&gt;=65,CODE(MID(TRIM(UPPER(E29)),10,1))&lt;=90,CODE(MID(TRIM(UPPER(E29)),6,1))&gt;=48,CODE(MID(TRIM(UPPER(E29)),6,1))&lt;=57,CODE(MID(TRIM(UPPER(E29)),7,1))&gt;=48,CODE(MID(TRIM(UPPER(E29)),7,1))&lt;=57,CODE(MID(TRIM(UPPER(E29)),8,1))&gt;=48,CODE(MID(TRIM(UPPER(E29)),8,1))&lt;=57,CODE(MID(TRIM(UPPER(E29)),9,1))&gt;=48,CODE(MID(TRIM(UPPER(E29)),9,1))&lt;=57),"N","Y"))</f>
      </c>
      <c r="G29" s="7">
        <f>IF($D29="","",IF(LEN(E29)&lt;4,"",IF(UPPER(MID(E29,4,1))="P","Individual",IF(UPPER(MID(E29,4,1))="H","HUF",IF(UPPER(MID(E29,4,1))="C","Company",IF(UPPER(MID(E29,4,1))="F","Firm",IF(UPPER(MID(E29,4,1))="L","LLP",IF(UPPER(MID(E29,4,1))="T","Trust",IF(UPPER(MID(E29,4,1))="A","AOP","")))))))))</f>
      </c>
      <c r="H29" s="8"/>
      <c r="I29" s="7">
        <f>IF($D29="","",IF(H29="","",IF(F29="Y",SUMPRODUCT(('Rate Lookup'!$A$1:$A$37=H29)*'Rate Lookup'!$D$1:$D$37),IF(OR(G29="Individual",G29="HUF"),SUMPRODUCT(('Rate Lookup'!$A$1:$A$37=H29)*'Rate Lookup'!$B$1:$B$37),SUMPRODUCT(('Rate Lookup'!$A$1:$A$37=H29)*'Rate Lookup'!$C$1:$C$37)))))</f>
      </c>
      <c r="J29" s="8"/>
      <c r="K29" s="8"/>
      <c r="L29" s="7">
        <f>IF($D29="","",ROUND(K29*I29/100,0))</f>
      </c>
      <c r="M29" s="7">
        <f>IF($D29="","",0)</f>
      </c>
      <c r="N29" s="7">
        <f>IF($D29="","",0)</f>
      </c>
      <c r="O29" s="7">
        <f>IF($D29="","",IF(OR(L29=0,J29="",IFERROR(INDEX('Challan Master'!$D$4:$D$207,MATCH($B29,'Challan Master'!$S$4:$S$207,0)),"")="",IFERROR(INDEX('Challan Master'!$D$4:$D$207,MATCH($B29,'Challan Master'!$S$4:$S$207,0)),"")&lt;=0),0,IF(IFERROR(INDEX('Challan Master'!$D$4:$D$207,MATCH($B29,'Challan Master'!$S$4:$S$207,0)),"")&lt;=DATE(YEAR(J29),MONTH(J29)+1,7),0,ROUND(L29*0.015*((YEAR(IFERROR(INDEX('Challan Master'!$D$4:$D$207,MATCH($B29,'Challan Master'!$S$4:$S$207,0)),""))-YEAR(J29))*12+(MONTH(IFERROR(INDEX('Challan Master'!$D$4:$D$207,MATCH($B29,'Challan Master'!$S$4:$S$207,0)),""))-MONTH(J29))+1),0))))</f>
      </c>
      <c r="P29" s="7">
        <f>IF($D29="","",0)</f>
      </c>
      <c r="Q29" s="8"/>
      <c r="R29" s="8"/>
      <c r="S29" s="8"/>
      <c r="T29" s="8"/>
      <c r="U29" s="8"/>
      <c r="V29" s="7">
        <f>IF($B29="","",IFERROR(INDEX('Challan Master'!$AA$4:$AA$207,MATCH($B29,'Challan Master'!$S$4:$S$207,0)),""))</f>
      </c>
    </row>
    <row r="30" spans="1:22" x14ac:dyDescent="0.25">
      <c r="A30" s="7">
        <f>IF($D30="","",COUNTIF($D$4:$D30,"&lt;&gt;"))</f>
      </c>
      <c r="B30" s="8"/>
      <c r="C30" s="7">
        <f>IF($B30="","","BSR "&amp;IFERROR(INDEX('Challan Master'!$B$4:$B$207,MATCH($B30,'Challan Master'!$S$4:$S$207,0)),"")&amp;" | Serial "&amp;IFERROR(INDEX('Challan Master'!$C$4:$C$207,MATCH($B30,'Challan Master'!$S$4:$S$207,0)),"")&amp;" | Deposit "&amp;TEXT(IFERROR(INDEX('Challan Master'!$D$4:$D$207,MATCH($B30,'Challan Master'!$S$4:$S$207,0)),""),"dd-mm-yyyy")&amp;" | Minor Head "&amp;IFERROR(INDEX('Challan Master'!$E$4:$E$207,MATCH($B30,'Challan Master'!$S$4:$S$207,0)),"")&amp;" | Tax ₹"&amp;TEXT(IFERROR(INDEX('Challan Master'!$G$4:$G$207,MATCH($B30,'Challan Master'!$S$4:$S$207,0)),""),"#,##0")&amp;" | Section "&amp;IFERROR(INDEX('Challan Master'!$F$4:$F$207,MATCH($B30,'Challan Master'!$S$4:$S$207,0)),""))</f>
      </c>
      <c r="D30" s="8"/>
      <c r="E30" s="8"/>
      <c r="F30" s="7">
        <f>IF($D30="","",IF(AND(LEN(TRIM(UPPER(E30)))=10,CODE(MID(TRIM(UPPER(E30)),1,1))&gt;=65,CODE(MID(TRIM(UPPER(E30)),1,1))&lt;=90,CODE(MID(TRIM(UPPER(E30)),2,1))&gt;=65,CODE(MID(TRIM(UPPER(E30)),2,1))&lt;=90,CODE(MID(TRIM(UPPER(E30)),3,1))&gt;=65,CODE(MID(TRIM(UPPER(E30)),3,1))&lt;=90,CODE(MID(TRIM(UPPER(E30)),4,1))&gt;=65,CODE(MID(TRIM(UPPER(E30)),4,1))&lt;=90,CODE(MID(TRIM(UPPER(E30)),5,1))&gt;=65,CODE(MID(TRIM(UPPER(E30)),5,1))&lt;=90,CODE(MID(TRIM(UPPER(E30)),10,1))&gt;=65,CODE(MID(TRIM(UPPER(E30)),10,1))&lt;=90,CODE(MID(TRIM(UPPER(E30)),6,1))&gt;=48,CODE(MID(TRIM(UPPER(E30)),6,1))&lt;=57,CODE(MID(TRIM(UPPER(E30)),7,1))&gt;=48,CODE(MID(TRIM(UPPER(E30)),7,1))&lt;=57,CODE(MID(TRIM(UPPER(E30)),8,1))&gt;=48,CODE(MID(TRIM(UPPER(E30)),8,1))&lt;=57,CODE(MID(TRIM(UPPER(E30)),9,1))&gt;=48,CODE(MID(TRIM(UPPER(E30)),9,1))&lt;=57),"N","Y"))</f>
      </c>
      <c r="G30" s="7">
        <f>IF($D30="","",IF(LEN(E30)&lt;4,"",IF(UPPER(MID(E30,4,1))="P","Individual",IF(UPPER(MID(E30,4,1))="H","HUF",IF(UPPER(MID(E30,4,1))="C","Company",IF(UPPER(MID(E30,4,1))="F","Firm",IF(UPPER(MID(E30,4,1))="L","LLP",IF(UPPER(MID(E30,4,1))="T","Trust",IF(UPPER(MID(E30,4,1))="A","AOP","")))))))))</f>
      </c>
      <c r="H30" s="8"/>
      <c r="I30" s="7">
        <f>IF($D30="","",IF(H30="","",IF(F30="Y",SUMPRODUCT(('Rate Lookup'!$A$1:$A$37=H30)*'Rate Lookup'!$D$1:$D$37),IF(OR(G30="Individual",G30="HUF"),SUMPRODUCT(('Rate Lookup'!$A$1:$A$37=H30)*'Rate Lookup'!$B$1:$B$37),SUMPRODUCT(('Rate Lookup'!$A$1:$A$37=H30)*'Rate Lookup'!$C$1:$C$37)))))</f>
      </c>
      <c r="J30" s="8"/>
      <c r="K30" s="8"/>
      <c r="L30" s="7">
        <f>IF($D30="","",ROUND(K30*I30/100,0))</f>
      </c>
      <c r="M30" s="7">
        <f>IF($D30="","",0)</f>
      </c>
      <c r="N30" s="7">
        <f>IF($D30="","",0)</f>
      </c>
      <c r="O30" s="7">
        <f>IF($D30="","",IF(OR(L30=0,J30="",IFERROR(INDEX('Challan Master'!$D$4:$D$207,MATCH($B30,'Challan Master'!$S$4:$S$207,0)),"")="",IFERROR(INDEX('Challan Master'!$D$4:$D$207,MATCH($B30,'Challan Master'!$S$4:$S$207,0)),"")&lt;=0),0,IF(IFERROR(INDEX('Challan Master'!$D$4:$D$207,MATCH($B30,'Challan Master'!$S$4:$S$207,0)),"")&lt;=DATE(YEAR(J30),MONTH(J30)+1,7),0,ROUND(L30*0.015*((YEAR(IFERROR(INDEX('Challan Master'!$D$4:$D$207,MATCH($B30,'Challan Master'!$S$4:$S$207,0)),""))-YEAR(J30))*12+(MONTH(IFERROR(INDEX('Challan Master'!$D$4:$D$207,MATCH($B30,'Challan Master'!$S$4:$S$207,0)),""))-MONTH(J30))+1),0))))</f>
      </c>
      <c r="P30" s="7">
        <f>IF($D30="","",0)</f>
      </c>
      <c r="Q30" s="8"/>
      <c r="R30" s="8"/>
      <c r="S30" s="8"/>
      <c r="T30" s="8"/>
      <c r="U30" s="8"/>
      <c r="V30" s="7">
        <f>IF($B30="","",IFERROR(INDEX('Challan Master'!$AA$4:$AA$207,MATCH($B30,'Challan Master'!$S$4:$S$207,0)),""))</f>
      </c>
    </row>
    <row r="31" spans="1:22" x14ac:dyDescent="0.25">
      <c r="A31" s="7">
        <f>IF($D31="","",COUNTIF($D$4:$D31,"&lt;&gt;"))</f>
      </c>
      <c r="B31" s="8"/>
      <c r="C31" s="7">
        <f>IF($B31="","","BSR "&amp;IFERROR(INDEX('Challan Master'!$B$4:$B$207,MATCH($B31,'Challan Master'!$S$4:$S$207,0)),"")&amp;" | Serial "&amp;IFERROR(INDEX('Challan Master'!$C$4:$C$207,MATCH($B31,'Challan Master'!$S$4:$S$207,0)),"")&amp;" | Deposit "&amp;TEXT(IFERROR(INDEX('Challan Master'!$D$4:$D$207,MATCH($B31,'Challan Master'!$S$4:$S$207,0)),""),"dd-mm-yyyy")&amp;" | Minor Head "&amp;IFERROR(INDEX('Challan Master'!$E$4:$E$207,MATCH($B31,'Challan Master'!$S$4:$S$207,0)),"")&amp;" | Tax ₹"&amp;TEXT(IFERROR(INDEX('Challan Master'!$G$4:$G$207,MATCH($B31,'Challan Master'!$S$4:$S$207,0)),""),"#,##0")&amp;" | Section "&amp;IFERROR(INDEX('Challan Master'!$F$4:$F$207,MATCH($B31,'Challan Master'!$S$4:$S$207,0)),""))</f>
      </c>
      <c r="D31" s="8"/>
      <c r="E31" s="8"/>
      <c r="F31" s="7">
        <f>IF($D31="","",IF(AND(LEN(TRIM(UPPER(E31)))=10,CODE(MID(TRIM(UPPER(E31)),1,1))&gt;=65,CODE(MID(TRIM(UPPER(E31)),1,1))&lt;=90,CODE(MID(TRIM(UPPER(E31)),2,1))&gt;=65,CODE(MID(TRIM(UPPER(E31)),2,1))&lt;=90,CODE(MID(TRIM(UPPER(E31)),3,1))&gt;=65,CODE(MID(TRIM(UPPER(E31)),3,1))&lt;=90,CODE(MID(TRIM(UPPER(E31)),4,1))&gt;=65,CODE(MID(TRIM(UPPER(E31)),4,1))&lt;=90,CODE(MID(TRIM(UPPER(E31)),5,1))&gt;=65,CODE(MID(TRIM(UPPER(E31)),5,1))&lt;=90,CODE(MID(TRIM(UPPER(E31)),10,1))&gt;=65,CODE(MID(TRIM(UPPER(E31)),10,1))&lt;=90,CODE(MID(TRIM(UPPER(E31)),6,1))&gt;=48,CODE(MID(TRIM(UPPER(E31)),6,1))&lt;=57,CODE(MID(TRIM(UPPER(E31)),7,1))&gt;=48,CODE(MID(TRIM(UPPER(E31)),7,1))&lt;=57,CODE(MID(TRIM(UPPER(E31)),8,1))&gt;=48,CODE(MID(TRIM(UPPER(E31)),8,1))&lt;=57,CODE(MID(TRIM(UPPER(E31)),9,1))&gt;=48,CODE(MID(TRIM(UPPER(E31)),9,1))&lt;=57),"N","Y"))</f>
      </c>
      <c r="G31" s="7">
        <f>IF($D31="","",IF(LEN(E31)&lt;4,"",IF(UPPER(MID(E31,4,1))="P","Individual",IF(UPPER(MID(E31,4,1))="H","HUF",IF(UPPER(MID(E31,4,1))="C","Company",IF(UPPER(MID(E31,4,1))="F","Firm",IF(UPPER(MID(E31,4,1))="L","LLP",IF(UPPER(MID(E31,4,1))="T","Trust",IF(UPPER(MID(E31,4,1))="A","AOP","")))))))))</f>
      </c>
      <c r="H31" s="8"/>
      <c r="I31" s="7">
        <f>IF($D31="","",IF(H31="","",IF(F31="Y",SUMPRODUCT(('Rate Lookup'!$A$1:$A$37=H31)*'Rate Lookup'!$D$1:$D$37),IF(OR(G31="Individual",G31="HUF"),SUMPRODUCT(('Rate Lookup'!$A$1:$A$37=H31)*'Rate Lookup'!$B$1:$B$37),SUMPRODUCT(('Rate Lookup'!$A$1:$A$37=H31)*'Rate Lookup'!$C$1:$C$37)))))</f>
      </c>
      <c r="J31" s="8"/>
      <c r="K31" s="8"/>
      <c r="L31" s="7">
        <f>IF($D31="","",ROUND(K31*I31/100,0))</f>
      </c>
      <c r="M31" s="7">
        <f>IF($D31="","",0)</f>
      </c>
      <c r="N31" s="7">
        <f>IF($D31="","",0)</f>
      </c>
      <c r="O31" s="7">
        <f>IF($D31="","",IF(OR(L31=0,J31="",IFERROR(INDEX('Challan Master'!$D$4:$D$207,MATCH($B31,'Challan Master'!$S$4:$S$207,0)),"")="",IFERROR(INDEX('Challan Master'!$D$4:$D$207,MATCH($B31,'Challan Master'!$S$4:$S$207,0)),"")&lt;=0),0,IF(IFERROR(INDEX('Challan Master'!$D$4:$D$207,MATCH($B31,'Challan Master'!$S$4:$S$207,0)),"")&lt;=DATE(YEAR(J31),MONTH(J31)+1,7),0,ROUND(L31*0.015*((YEAR(IFERROR(INDEX('Challan Master'!$D$4:$D$207,MATCH($B31,'Challan Master'!$S$4:$S$207,0)),""))-YEAR(J31))*12+(MONTH(IFERROR(INDEX('Challan Master'!$D$4:$D$207,MATCH($B31,'Challan Master'!$S$4:$S$207,0)),""))-MONTH(J31))+1),0))))</f>
      </c>
      <c r="P31" s="7">
        <f>IF($D31="","",0)</f>
      </c>
      <c r="Q31" s="8"/>
      <c r="R31" s="8"/>
      <c r="S31" s="8"/>
      <c r="T31" s="8"/>
      <c r="U31" s="8"/>
      <c r="V31" s="7">
        <f>IF($B31="","",IFERROR(INDEX('Challan Master'!$AA$4:$AA$207,MATCH($B31,'Challan Master'!$S$4:$S$207,0)),""))</f>
      </c>
    </row>
    <row r="32" spans="1:22" x14ac:dyDescent="0.25">
      <c r="A32" s="7">
        <f>IF($D32="","",COUNTIF($D$4:$D32,"&lt;&gt;"))</f>
      </c>
      <c r="B32" s="8"/>
      <c r="C32" s="7">
        <f>IF($B32="","","BSR "&amp;IFERROR(INDEX('Challan Master'!$B$4:$B$207,MATCH($B32,'Challan Master'!$S$4:$S$207,0)),"")&amp;" | Serial "&amp;IFERROR(INDEX('Challan Master'!$C$4:$C$207,MATCH($B32,'Challan Master'!$S$4:$S$207,0)),"")&amp;" | Deposit "&amp;TEXT(IFERROR(INDEX('Challan Master'!$D$4:$D$207,MATCH($B32,'Challan Master'!$S$4:$S$207,0)),""),"dd-mm-yyyy")&amp;" | Minor Head "&amp;IFERROR(INDEX('Challan Master'!$E$4:$E$207,MATCH($B32,'Challan Master'!$S$4:$S$207,0)),"")&amp;" | Tax ₹"&amp;TEXT(IFERROR(INDEX('Challan Master'!$G$4:$G$207,MATCH($B32,'Challan Master'!$S$4:$S$207,0)),""),"#,##0")&amp;" | Section "&amp;IFERROR(INDEX('Challan Master'!$F$4:$F$207,MATCH($B32,'Challan Master'!$S$4:$S$207,0)),""))</f>
      </c>
      <c r="D32" s="8"/>
      <c r="E32" s="8"/>
      <c r="F32" s="7">
        <f>IF($D32="","",IF(AND(LEN(TRIM(UPPER(E32)))=10,CODE(MID(TRIM(UPPER(E32)),1,1))&gt;=65,CODE(MID(TRIM(UPPER(E32)),1,1))&lt;=90,CODE(MID(TRIM(UPPER(E32)),2,1))&gt;=65,CODE(MID(TRIM(UPPER(E32)),2,1))&lt;=90,CODE(MID(TRIM(UPPER(E32)),3,1))&gt;=65,CODE(MID(TRIM(UPPER(E32)),3,1))&lt;=90,CODE(MID(TRIM(UPPER(E32)),4,1))&gt;=65,CODE(MID(TRIM(UPPER(E32)),4,1))&lt;=90,CODE(MID(TRIM(UPPER(E32)),5,1))&gt;=65,CODE(MID(TRIM(UPPER(E32)),5,1))&lt;=90,CODE(MID(TRIM(UPPER(E32)),10,1))&gt;=65,CODE(MID(TRIM(UPPER(E32)),10,1))&lt;=90,CODE(MID(TRIM(UPPER(E32)),6,1))&gt;=48,CODE(MID(TRIM(UPPER(E32)),6,1))&lt;=57,CODE(MID(TRIM(UPPER(E32)),7,1))&gt;=48,CODE(MID(TRIM(UPPER(E32)),7,1))&lt;=57,CODE(MID(TRIM(UPPER(E32)),8,1))&gt;=48,CODE(MID(TRIM(UPPER(E32)),8,1))&lt;=57,CODE(MID(TRIM(UPPER(E32)),9,1))&gt;=48,CODE(MID(TRIM(UPPER(E32)),9,1))&lt;=57),"N","Y"))</f>
      </c>
      <c r="G32" s="7">
        <f>IF($D32="","",IF(LEN(E32)&lt;4,"",IF(UPPER(MID(E32,4,1))="P","Individual",IF(UPPER(MID(E32,4,1))="H","HUF",IF(UPPER(MID(E32,4,1))="C","Company",IF(UPPER(MID(E32,4,1))="F","Firm",IF(UPPER(MID(E32,4,1))="L","LLP",IF(UPPER(MID(E32,4,1))="T","Trust",IF(UPPER(MID(E32,4,1))="A","AOP","")))))))))</f>
      </c>
      <c r="H32" s="8"/>
      <c r="I32" s="7">
        <f>IF($D32="","",IF(H32="","",IF(F32="Y",SUMPRODUCT(('Rate Lookup'!$A$1:$A$37=H32)*'Rate Lookup'!$D$1:$D$37),IF(OR(G32="Individual",G32="HUF"),SUMPRODUCT(('Rate Lookup'!$A$1:$A$37=H32)*'Rate Lookup'!$B$1:$B$37),SUMPRODUCT(('Rate Lookup'!$A$1:$A$37=H32)*'Rate Lookup'!$C$1:$C$37)))))</f>
      </c>
      <c r="J32" s="8"/>
      <c r="K32" s="8"/>
      <c r="L32" s="7">
        <f>IF($D32="","",ROUND(K32*I32/100,0))</f>
      </c>
      <c r="M32" s="7">
        <f>IF($D32="","",0)</f>
      </c>
      <c r="N32" s="7">
        <f>IF($D32="","",0)</f>
      </c>
      <c r="O32" s="7">
        <f>IF($D32="","",IF(OR(L32=0,J32="",IFERROR(INDEX('Challan Master'!$D$4:$D$207,MATCH($B32,'Challan Master'!$S$4:$S$207,0)),"")="",IFERROR(INDEX('Challan Master'!$D$4:$D$207,MATCH($B32,'Challan Master'!$S$4:$S$207,0)),"")&lt;=0),0,IF(IFERROR(INDEX('Challan Master'!$D$4:$D$207,MATCH($B32,'Challan Master'!$S$4:$S$207,0)),"")&lt;=DATE(YEAR(J32),MONTH(J32)+1,7),0,ROUND(L32*0.015*((YEAR(IFERROR(INDEX('Challan Master'!$D$4:$D$207,MATCH($B32,'Challan Master'!$S$4:$S$207,0)),""))-YEAR(J32))*12+(MONTH(IFERROR(INDEX('Challan Master'!$D$4:$D$207,MATCH($B32,'Challan Master'!$S$4:$S$207,0)),""))-MONTH(J32))+1),0))))</f>
      </c>
      <c r="P32" s="7">
        <f>IF($D32="","",0)</f>
      </c>
      <c r="Q32" s="8"/>
      <c r="R32" s="8"/>
      <c r="S32" s="8"/>
      <c r="T32" s="8"/>
      <c r="U32" s="8"/>
      <c r="V32" s="7">
        <f>IF($B32="","",IFERROR(INDEX('Challan Master'!$AA$4:$AA$207,MATCH($B32,'Challan Master'!$S$4:$S$207,0)),""))</f>
      </c>
    </row>
    <row r="33" spans="1:22" x14ac:dyDescent="0.25">
      <c r="A33" s="7">
        <f>IF($D33="","",COUNTIF($D$4:$D33,"&lt;&gt;"))</f>
      </c>
      <c r="B33" s="8"/>
      <c r="C33" s="7">
        <f>IF($B33="","","BSR "&amp;IFERROR(INDEX('Challan Master'!$B$4:$B$207,MATCH($B33,'Challan Master'!$S$4:$S$207,0)),"")&amp;" | Serial "&amp;IFERROR(INDEX('Challan Master'!$C$4:$C$207,MATCH($B33,'Challan Master'!$S$4:$S$207,0)),"")&amp;" | Deposit "&amp;TEXT(IFERROR(INDEX('Challan Master'!$D$4:$D$207,MATCH($B33,'Challan Master'!$S$4:$S$207,0)),""),"dd-mm-yyyy")&amp;" | Minor Head "&amp;IFERROR(INDEX('Challan Master'!$E$4:$E$207,MATCH($B33,'Challan Master'!$S$4:$S$207,0)),"")&amp;" | Tax ₹"&amp;TEXT(IFERROR(INDEX('Challan Master'!$G$4:$G$207,MATCH($B33,'Challan Master'!$S$4:$S$207,0)),""),"#,##0")&amp;" | Section "&amp;IFERROR(INDEX('Challan Master'!$F$4:$F$207,MATCH($B33,'Challan Master'!$S$4:$S$207,0)),""))</f>
      </c>
      <c r="D33" s="8"/>
      <c r="E33" s="8"/>
      <c r="F33" s="7">
        <f>IF($D33="","",IF(AND(LEN(TRIM(UPPER(E33)))=10,CODE(MID(TRIM(UPPER(E33)),1,1))&gt;=65,CODE(MID(TRIM(UPPER(E33)),1,1))&lt;=90,CODE(MID(TRIM(UPPER(E33)),2,1))&gt;=65,CODE(MID(TRIM(UPPER(E33)),2,1))&lt;=90,CODE(MID(TRIM(UPPER(E33)),3,1))&gt;=65,CODE(MID(TRIM(UPPER(E33)),3,1))&lt;=90,CODE(MID(TRIM(UPPER(E33)),4,1))&gt;=65,CODE(MID(TRIM(UPPER(E33)),4,1))&lt;=90,CODE(MID(TRIM(UPPER(E33)),5,1))&gt;=65,CODE(MID(TRIM(UPPER(E33)),5,1))&lt;=90,CODE(MID(TRIM(UPPER(E33)),10,1))&gt;=65,CODE(MID(TRIM(UPPER(E33)),10,1))&lt;=90,CODE(MID(TRIM(UPPER(E33)),6,1))&gt;=48,CODE(MID(TRIM(UPPER(E33)),6,1))&lt;=57,CODE(MID(TRIM(UPPER(E33)),7,1))&gt;=48,CODE(MID(TRIM(UPPER(E33)),7,1))&lt;=57,CODE(MID(TRIM(UPPER(E33)),8,1))&gt;=48,CODE(MID(TRIM(UPPER(E33)),8,1))&lt;=57,CODE(MID(TRIM(UPPER(E33)),9,1))&gt;=48,CODE(MID(TRIM(UPPER(E33)),9,1))&lt;=57),"N","Y"))</f>
      </c>
      <c r="G33" s="7">
        <f>IF($D33="","",IF(LEN(E33)&lt;4,"",IF(UPPER(MID(E33,4,1))="P","Individual",IF(UPPER(MID(E33,4,1))="H","HUF",IF(UPPER(MID(E33,4,1))="C","Company",IF(UPPER(MID(E33,4,1))="F","Firm",IF(UPPER(MID(E33,4,1))="L","LLP",IF(UPPER(MID(E33,4,1))="T","Trust",IF(UPPER(MID(E33,4,1))="A","AOP","")))))))))</f>
      </c>
      <c r="H33" s="8"/>
      <c r="I33" s="7">
        <f>IF($D33="","",IF(H33="","",IF(F33="Y",SUMPRODUCT(('Rate Lookup'!$A$1:$A$37=H33)*'Rate Lookup'!$D$1:$D$37),IF(OR(G33="Individual",G33="HUF"),SUMPRODUCT(('Rate Lookup'!$A$1:$A$37=H33)*'Rate Lookup'!$B$1:$B$37),SUMPRODUCT(('Rate Lookup'!$A$1:$A$37=H33)*'Rate Lookup'!$C$1:$C$37)))))</f>
      </c>
      <c r="J33" s="8"/>
      <c r="K33" s="8"/>
      <c r="L33" s="7">
        <f>IF($D33="","",ROUND(K33*I33/100,0))</f>
      </c>
      <c r="M33" s="7">
        <f>IF($D33="","",0)</f>
      </c>
      <c r="N33" s="7">
        <f>IF($D33="","",0)</f>
      </c>
      <c r="O33" s="7">
        <f>IF($D33="","",IF(OR(L33=0,J33="",IFERROR(INDEX('Challan Master'!$D$4:$D$207,MATCH($B33,'Challan Master'!$S$4:$S$207,0)),"")="",IFERROR(INDEX('Challan Master'!$D$4:$D$207,MATCH($B33,'Challan Master'!$S$4:$S$207,0)),"")&lt;=0),0,IF(IFERROR(INDEX('Challan Master'!$D$4:$D$207,MATCH($B33,'Challan Master'!$S$4:$S$207,0)),"")&lt;=DATE(YEAR(J33),MONTH(J33)+1,7),0,ROUND(L33*0.015*((YEAR(IFERROR(INDEX('Challan Master'!$D$4:$D$207,MATCH($B33,'Challan Master'!$S$4:$S$207,0)),""))-YEAR(J33))*12+(MONTH(IFERROR(INDEX('Challan Master'!$D$4:$D$207,MATCH($B33,'Challan Master'!$S$4:$S$207,0)),""))-MONTH(J33))+1),0))))</f>
      </c>
      <c r="P33" s="7">
        <f>IF($D33="","",0)</f>
      </c>
      <c r="Q33" s="8"/>
      <c r="R33" s="8"/>
      <c r="S33" s="8"/>
      <c r="T33" s="8"/>
      <c r="U33" s="8"/>
      <c r="V33" s="7">
        <f>IF($B33="","",IFERROR(INDEX('Challan Master'!$AA$4:$AA$207,MATCH($B33,'Challan Master'!$S$4:$S$207,0)),""))</f>
      </c>
    </row>
    <row r="34" spans="1:22" x14ac:dyDescent="0.25">
      <c r="A34" s="7">
        <f>IF($D34="","",COUNTIF($D$4:$D34,"&lt;&gt;"))</f>
      </c>
      <c r="B34" s="8"/>
      <c r="C34" s="7">
        <f>IF($B34="","","BSR "&amp;IFERROR(INDEX('Challan Master'!$B$4:$B$207,MATCH($B34,'Challan Master'!$S$4:$S$207,0)),"")&amp;" | Serial "&amp;IFERROR(INDEX('Challan Master'!$C$4:$C$207,MATCH($B34,'Challan Master'!$S$4:$S$207,0)),"")&amp;" | Deposit "&amp;TEXT(IFERROR(INDEX('Challan Master'!$D$4:$D$207,MATCH($B34,'Challan Master'!$S$4:$S$207,0)),""),"dd-mm-yyyy")&amp;" | Minor Head "&amp;IFERROR(INDEX('Challan Master'!$E$4:$E$207,MATCH($B34,'Challan Master'!$S$4:$S$207,0)),"")&amp;" | Tax ₹"&amp;TEXT(IFERROR(INDEX('Challan Master'!$G$4:$G$207,MATCH($B34,'Challan Master'!$S$4:$S$207,0)),""),"#,##0")&amp;" | Section "&amp;IFERROR(INDEX('Challan Master'!$F$4:$F$207,MATCH($B34,'Challan Master'!$S$4:$S$207,0)),""))</f>
      </c>
      <c r="D34" s="8"/>
      <c r="E34" s="8"/>
      <c r="F34" s="7">
        <f>IF($D34="","",IF(AND(LEN(TRIM(UPPER(E34)))=10,CODE(MID(TRIM(UPPER(E34)),1,1))&gt;=65,CODE(MID(TRIM(UPPER(E34)),1,1))&lt;=90,CODE(MID(TRIM(UPPER(E34)),2,1))&gt;=65,CODE(MID(TRIM(UPPER(E34)),2,1))&lt;=90,CODE(MID(TRIM(UPPER(E34)),3,1))&gt;=65,CODE(MID(TRIM(UPPER(E34)),3,1))&lt;=90,CODE(MID(TRIM(UPPER(E34)),4,1))&gt;=65,CODE(MID(TRIM(UPPER(E34)),4,1))&lt;=90,CODE(MID(TRIM(UPPER(E34)),5,1))&gt;=65,CODE(MID(TRIM(UPPER(E34)),5,1))&lt;=90,CODE(MID(TRIM(UPPER(E34)),10,1))&gt;=65,CODE(MID(TRIM(UPPER(E34)),10,1))&lt;=90,CODE(MID(TRIM(UPPER(E34)),6,1))&gt;=48,CODE(MID(TRIM(UPPER(E34)),6,1))&lt;=57,CODE(MID(TRIM(UPPER(E34)),7,1))&gt;=48,CODE(MID(TRIM(UPPER(E34)),7,1))&lt;=57,CODE(MID(TRIM(UPPER(E34)),8,1))&gt;=48,CODE(MID(TRIM(UPPER(E34)),8,1))&lt;=57,CODE(MID(TRIM(UPPER(E34)),9,1))&gt;=48,CODE(MID(TRIM(UPPER(E34)),9,1))&lt;=57),"N","Y"))</f>
      </c>
      <c r="G34" s="7">
        <f>IF($D34="","",IF(LEN(E34)&lt;4,"",IF(UPPER(MID(E34,4,1))="P","Individual",IF(UPPER(MID(E34,4,1))="H","HUF",IF(UPPER(MID(E34,4,1))="C","Company",IF(UPPER(MID(E34,4,1))="F","Firm",IF(UPPER(MID(E34,4,1))="L","LLP",IF(UPPER(MID(E34,4,1))="T","Trust",IF(UPPER(MID(E34,4,1))="A","AOP","")))))))))</f>
      </c>
      <c r="H34" s="8"/>
      <c r="I34" s="7">
        <f>IF($D34="","",IF(H34="","",IF(F34="Y",SUMPRODUCT(('Rate Lookup'!$A$1:$A$37=H34)*'Rate Lookup'!$D$1:$D$37),IF(OR(G34="Individual",G34="HUF"),SUMPRODUCT(('Rate Lookup'!$A$1:$A$37=H34)*'Rate Lookup'!$B$1:$B$37),SUMPRODUCT(('Rate Lookup'!$A$1:$A$37=H34)*'Rate Lookup'!$C$1:$C$37)))))</f>
      </c>
      <c r="J34" s="8"/>
      <c r="K34" s="8"/>
      <c r="L34" s="7">
        <f>IF($D34="","",ROUND(K34*I34/100,0))</f>
      </c>
      <c r="M34" s="7">
        <f>IF($D34="","",0)</f>
      </c>
      <c r="N34" s="7">
        <f>IF($D34="","",0)</f>
      </c>
      <c r="O34" s="7">
        <f>IF($D34="","",IF(OR(L34=0,J34="",IFERROR(INDEX('Challan Master'!$D$4:$D$207,MATCH($B34,'Challan Master'!$S$4:$S$207,0)),"")="",IFERROR(INDEX('Challan Master'!$D$4:$D$207,MATCH($B34,'Challan Master'!$S$4:$S$207,0)),"")&lt;=0),0,IF(IFERROR(INDEX('Challan Master'!$D$4:$D$207,MATCH($B34,'Challan Master'!$S$4:$S$207,0)),"")&lt;=DATE(YEAR(J34),MONTH(J34)+1,7),0,ROUND(L34*0.015*((YEAR(IFERROR(INDEX('Challan Master'!$D$4:$D$207,MATCH($B34,'Challan Master'!$S$4:$S$207,0)),""))-YEAR(J34))*12+(MONTH(IFERROR(INDEX('Challan Master'!$D$4:$D$207,MATCH($B34,'Challan Master'!$S$4:$S$207,0)),""))-MONTH(J34))+1),0))))</f>
      </c>
      <c r="P34" s="7">
        <f>IF($D34="","",0)</f>
      </c>
      <c r="Q34" s="8"/>
      <c r="R34" s="8"/>
      <c r="S34" s="8"/>
      <c r="T34" s="8"/>
      <c r="U34" s="8"/>
      <c r="V34" s="7">
        <f>IF($B34="","",IFERROR(INDEX('Challan Master'!$AA$4:$AA$207,MATCH($B34,'Challan Master'!$S$4:$S$207,0)),""))</f>
      </c>
    </row>
    <row r="35" spans="1:22" x14ac:dyDescent="0.25">
      <c r="A35" s="7">
        <f>IF($D35="","",COUNTIF($D$4:$D35,"&lt;&gt;"))</f>
      </c>
      <c r="B35" s="8"/>
      <c r="C35" s="7">
        <f>IF($B35="","","BSR "&amp;IFERROR(INDEX('Challan Master'!$B$4:$B$207,MATCH($B35,'Challan Master'!$S$4:$S$207,0)),"")&amp;" | Serial "&amp;IFERROR(INDEX('Challan Master'!$C$4:$C$207,MATCH($B35,'Challan Master'!$S$4:$S$207,0)),"")&amp;" | Deposit "&amp;TEXT(IFERROR(INDEX('Challan Master'!$D$4:$D$207,MATCH($B35,'Challan Master'!$S$4:$S$207,0)),""),"dd-mm-yyyy")&amp;" | Minor Head "&amp;IFERROR(INDEX('Challan Master'!$E$4:$E$207,MATCH($B35,'Challan Master'!$S$4:$S$207,0)),"")&amp;" | Tax ₹"&amp;TEXT(IFERROR(INDEX('Challan Master'!$G$4:$G$207,MATCH($B35,'Challan Master'!$S$4:$S$207,0)),""),"#,##0")&amp;" | Section "&amp;IFERROR(INDEX('Challan Master'!$F$4:$F$207,MATCH($B35,'Challan Master'!$S$4:$S$207,0)),""))</f>
      </c>
      <c r="D35" s="8"/>
      <c r="E35" s="8"/>
      <c r="F35" s="7">
        <f>IF($D35="","",IF(AND(LEN(TRIM(UPPER(E35)))=10,CODE(MID(TRIM(UPPER(E35)),1,1))&gt;=65,CODE(MID(TRIM(UPPER(E35)),1,1))&lt;=90,CODE(MID(TRIM(UPPER(E35)),2,1))&gt;=65,CODE(MID(TRIM(UPPER(E35)),2,1))&lt;=90,CODE(MID(TRIM(UPPER(E35)),3,1))&gt;=65,CODE(MID(TRIM(UPPER(E35)),3,1))&lt;=90,CODE(MID(TRIM(UPPER(E35)),4,1))&gt;=65,CODE(MID(TRIM(UPPER(E35)),4,1))&lt;=90,CODE(MID(TRIM(UPPER(E35)),5,1))&gt;=65,CODE(MID(TRIM(UPPER(E35)),5,1))&lt;=90,CODE(MID(TRIM(UPPER(E35)),10,1))&gt;=65,CODE(MID(TRIM(UPPER(E35)),10,1))&lt;=90,CODE(MID(TRIM(UPPER(E35)),6,1))&gt;=48,CODE(MID(TRIM(UPPER(E35)),6,1))&lt;=57,CODE(MID(TRIM(UPPER(E35)),7,1))&gt;=48,CODE(MID(TRIM(UPPER(E35)),7,1))&lt;=57,CODE(MID(TRIM(UPPER(E35)),8,1))&gt;=48,CODE(MID(TRIM(UPPER(E35)),8,1))&lt;=57,CODE(MID(TRIM(UPPER(E35)),9,1))&gt;=48,CODE(MID(TRIM(UPPER(E35)),9,1))&lt;=57),"N","Y"))</f>
      </c>
      <c r="G35" s="7">
        <f>IF($D35="","",IF(LEN(E35)&lt;4,"",IF(UPPER(MID(E35,4,1))="P","Individual",IF(UPPER(MID(E35,4,1))="H","HUF",IF(UPPER(MID(E35,4,1))="C","Company",IF(UPPER(MID(E35,4,1))="F","Firm",IF(UPPER(MID(E35,4,1))="L","LLP",IF(UPPER(MID(E35,4,1))="T","Trust",IF(UPPER(MID(E35,4,1))="A","AOP","")))))))))</f>
      </c>
      <c r="H35" s="8"/>
      <c r="I35" s="7">
        <f>IF($D35="","",IF(H35="","",IF(F35="Y",SUMPRODUCT(('Rate Lookup'!$A$1:$A$37=H35)*'Rate Lookup'!$D$1:$D$37),IF(OR(G35="Individual",G35="HUF"),SUMPRODUCT(('Rate Lookup'!$A$1:$A$37=H35)*'Rate Lookup'!$B$1:$B$37),SUMPRODUCT(('Rate Lookup'!$A$1:$A$37=H35)*'Rate Lookup'!$C$1:$C$37)))))</f>
      </c>
      <c r="J35" s="8"/>
      <c r="K35" s="8"/>
      <c r="L35" s="7">
        <f>IF($D35="","",ROUND(K35*I35/100,0))</f>
      </c>
      <c r="M35" s="7">
        <f>IF($D35="","",0)</f>
      </c>
      <c r="N35" s="7">
        <f>IF($D35="","",0)</f>
      </c>
      <c r="O35" s="7">
        <f>IF($D35="","",IF(OR(L35=0,J35="",IFERROR(INDEX('Challan Master'!$D$4:$D$207,MATCH($B35,'Challan Master'!$S$4:$S$207,0)),"")="",IFERROR(INDEX('Challan Master'!$D$4:$D$207,MATCH($B35,'Challan Master'!$S$4:$S$207,0)),"")&lt;=0),0,IF(IFERROR(INDEX('Challan Master'!$D$4:$D$207,MATCH($B35,'Challan Master'!$S$4:$S$207,0)),"")&lt;=DATE(YEAR(J35),MONTH(J35)+1,7),0,ROUND(L35*0.015*((YEAR(IFERROR(INDEX('Challan Master'!$D$4:$D$207,MATCH($B35,'Challan Master'!$S$4:$S$207,0)),""))-YEAR(J35))*12+(MONTH(IFERROR(INDEX('Challan Master'!$D$4:$D$207,MATCH($B35,'Challan Master'!$S$4:$S$207,0)),""))-MONTH(J35))+1),0))))</f>
      </c>
      <c r="P35" s="7">
        <f>IF($D35="","",0)</f>
      </c>
      <c r="Q35" s="8"/>
      <c r="R35" s="8"/>
      <c r="S35" s="8"/>
      <c r="T35" s="8"/>
      <c r="U35" s="8"/>
      <c r="V35" s="7">
        <f>IF($B35="","",IFERROR(INDEX('Challan Master'!$AA$4:$AA$207,MATCH($B35,'Challan Master'!$S$4:$S$207,0)),""))</f>
      </c>
    </row>
    <row r="36" spans="1:22" x14ac:dyDescent="0.25">
      <c r="A36" s="7">
        <f>IF($D36="","",COUNTIF($D$4:$D36,"&lt;&gt;"))</f>
      </c>
      <c r="B36" s="8"/>
      <c r="C36" s="7">
        <f>IF($B36="","","BSR "&amp;IFERROR(INDEX('Challan Master'!$B$4:$B$207,MATCH($B36,'Challan Master'!$S$4:$S$207,0)),"")&amp;" | Serial "&amp;IFERROR(INDEX('Challan Master'!$C$4:$C$207,MATCH($B36,'Challan Master'!$S$4:$S$207,0)),"")&amp;" | Deposit "&amp;TEXT(IFERROR(INDEX('Challan Master'!$D$4:$D$207,MATCH($B36,'Challan Master'!$S$4:$S$207,0)),""),"dd-mm-yyyy")&amp;" | Minor Head "&amp;IFERROR(INDEX('Challan Master'!$E$4:$E$207,MATCH($B36,'Challan Master'!$S$4:$S$207,0)),"")&amp;" | Tax ₹"&amp;TEXT(IFERROR(INDEX('Challan Master'!$G$4:$G$207,MATCH($B36,'Challan Master'!$S$4:$S$207,0)),""),"#,##0")&amp;" | Section "&amp;IFERROR(INDEX('Challan Master'!$F$4:$F$207,MATCH($B36,'Challan Master'!$S$4:$S$207,0)),""))</f>
      </c>
      <c r="D36" s="8"/>
      <c r="E36" s="8"/>
      <c r="F36" s="7">
        <f>IF($D36="","",IF(AND(LEN(TRIM(UPPER(E36)))=10,CODE(MID(TRIM(UPPER(E36)),1,1))&gt;=65,CODE(MID(TRIM(UPPER(E36)),1,1))&lt;=90,CODE(MID(TRIM(UPPER(E36)),2,1))&gt;=65,CODE(MID(TRIM(UPPER(E36)),2,1))&lt;=90,CODE(MID(TRIM(UPPER(E36)),3,1))&gt;=65,CODE(MID(TRIM(UPPER(E36)),3,1))&lt;=90,CODE(MID(TRIM(UPPER(E36)),4,1))&gt;=65,CODE(MID(TRIM(UPPER(E36)),4,1))&lt;=90,CODE(MID(TRIM(UPPER(E36)),5,1))&gt;=65,CODE(MID(TRIM(UPPER(E36)),5,1))&lt;=90,CODE(MID(TRIM(UPPER(E36)),10,1))&gt;=65,CODE(MID(TRIM(UPPER(E36)),10,1))&lt;=90,CODE(MID(TRIM(UPPER(E36)),6,1))&gt;=48,CODE(MID(TRIM(UPPER(E36)),6,1))&lt;=57,CODE(MID(TRIM(UPPER(E36)),7,1))&gt;=48,CODE(MID(TRIM(UPPER(E36)),7,1))&lt;=57,CODE(MID(TRIM(UPPER(E36)),8,1))&gt;=48,CODE(MID(TRIM(UPPER(E36)),8,1))&lt;=57,CODE(MID(TRIM(UPPER(E36)),9,1))&gt;=48,CODE(MID(TRIM(UPPER(E36)),9,1))&lt;=57),"N","Y"))</f>
      </c>
      <c r="G36" s="7">
        <f>IF($D36="","",IF(LEN(E36)&lt;4,"",IF(UPPER(MID(E36,4,1))="P","Individual",IF(UPPER(MID(E36,4,1))="H","HUF",IF(UPPER(MID(E36,4,1))="C","Company",IF(UPPER(MID(E36,4,1))="F","Firm",IF(UPPER(MID(E36,4,1))="L","LLP",IF(UPPER(MID(E36,4,1))="T","Trust",IF(UPPER(MID(E36,4,1))="A","AOP","")))))))))</f>
      </c>
      <c r="H36" s="8"/>
      <c r="I36" s="7">
        <f>IF($D36="","",IF(H36="","",IF(F36="Y",SUMPRODUCT(('Rate Lookup'!$A$1:$A$37=H36)*'Rate Lookup'!$D$1:$D$37),IF(OR(G36="Individual",G36="HUF"),SUMPRODUCT(('Rate Lookup'!$A$1:$A$37=H36)*'Rate Lookup'!$B$1:$B$37),SUMPRODUCT(('Rate Lookup'!$A$1:$A$37=H36)*'Rate Lookup'!$C$1:$C$37)))))</f>
      </c>
      <c r="J36" s="8"/>
      <c r="K36" s="8"/>
      <c r="L36" s="7">
        <f>IF($D36="","",ROUND(K36*I36/100,0))</f>
      </c>
      <c r="M36" s="7">
        <f>IF($D36="","",0)</f>
      </c>
      <c r="N36" s="7">
        <f>IF($D36="","",0)</f>
      </c>
      <c r="O36" s="7">
        <f>IF($D36="","",IF(OR(L36=0,J36="",IFERROR(INDEX('Challan Master'!$D$4:$D$207,MATCH($B36,'Challan Master'!$S$4:$S$207,0)),"")="",IFERROR(INDEX('Challan Master'!$D$4:$D$207,MATCH($B36,'Challan Master'!$S$4:$S$207,0)),"")&lt;=0),0,IF(IFERROR(INDEX('Challan Master'!$D$4:$D$207,MATCH($B36,'Challan Master'!$S$4:$S$207,0)),"")&lt;=DATE(YEAR(J36),MONTH(J36)+1,7),0,ROUND(L36*0.015*((YEAR(IFERROR(INDEX('Challan Master'!$D$4:$D$207,MATCH($B36,'Challan Master'!$S$4:$S$207,0)),""))-YEAR(J36))*12+(MONTH(IFERROR(INDEX('Challan Master'!$D$4:$D$207,MATCH($B36,'Challan Master'!$S$4:$S$207,0)),""))-MONTH(J36))+1),0))))</f>
      </c>
      <c r="P36" s="7">
        <f>IF($D36="","",0)</f>
      </c>
      <c r="Q36" s="8"/>
      <c r="R36" s="8"/>
      <c r="S36" s="8"/>
      <c r="T36" s="8"/>
      <c r="U36" s="8"/>
      <c r="V36" s="7">
        <f>IF($B36="","",IFERROR(INDEX('Challan Master'!$AA$4:$AA$207,MATCH($B36,'Challan Master'!$S$4:$S$207,0)),""))</f>
      </c>
    </row>
    <row r="37" spans="1:22" x14ac:dyDescent="0.25">
      <c r="A37" s="7">
        <f>IF($D37="","",COUNTIF($D$4:$D37,"&lt;&gt;"))</f>
      </c>
      <c r="B37" s="8"/>
      <c r="C37" s="7">
        <f>IF($B37="","","BSR "&amp;IFERROR(INDEX('Challan Master'!$B$4:$B$207,MATCH($B37,'Challan Master'!$S$4:$S$207,0)),"")&amp;" | Serial "&amp;IFERROR(INDEX('Challan Master'!$C$4:$C$207,MATCH($B37,'Challan Master'!$S$4:$S$207,0)),"")&amp;" | Deposit "&amp;TEXT(IFERROR(INDEX('Challan Master'!$D$4:$D$207,MATCH($B37,'Challan Master'!$S$4:$S$207,0)),""),"dd-mm-yyyy")&amp;" | Minor Head "&amp;IFERROR(INDEX('Challan Master'!$E$4:$E$207,MATCH($B37,'Challan Master'!$S$4:$S$207,0)),"")&amp;" | Tax ₹"&amp;TEXT(IFERROR(INDEX('Challan Master'!$G$4:$G$207,MATCH($B37,'Challan Master'!$S$4:$S$207,0)),""),"#,##0")&amp;" | Section "&amp;IFERROR(INDEX('Challan Master'!$F$4:$F$207,MATCH($B37,'Challan Master'!$S$4:$S$207,0)),""))</f>
      </c>
      <c r="D37" s="8"/>
      <c r="E37" s="8"/>
      <c r="F37" s="7">
        <f>IF($D37="","",IF(AND(LEN(TRIM(UPPER(E37)))=10,CODE(MID(TRIM(UPPER(E37)),1,1))&gt;=65,CODE(MID(TRIM(UPPER(E37)),1,1))&lt;=90,CODE(MID(TRIM(UPPER(E37)),2,1))&gt;=65,CODE(MID(TRIM(UPPER(E37)),2,1))&lt;=90,CODE(MID(TRIM(UPPER(E37)),3,1))&gt;=65,CODE(MID(TRIM(UPPER(E37)),3,1))&lt;=90,CODE(MID(TRIM(UPPER(E37)),4,1))&gt;=65,CODE(MID(TRIM(UPPER(E37)),4,1))&lt;=90,CODE(MID(TRIM(UPPER(E37)),5,1))&gt;=65,CODE(MID(TRIM(UPPER(E37)),5,1))&lt;=90,CODE(MID(TRIM(UPPER(E37)),10,1))&gt;=65,CODE(MID(TRIM(UPPER(E37)),10,1))&lt;=90,CODE(MID(TRIM(UPPER(E37)),6,1))&gt;=48,CODE(MID(TRIM(UPPER(E37)),6,1))&lt;=57,CODE(MID(TRIM(UPPER(E37)),7,1))&gt;=48,CODE(MID(TRIM(UPPER(E37)),7,1))&lt;=57,CODE(MID(TRIM(UPPER(E37)),8,1))&gt;=48,CODE(MID(TRIM(UPPER(E37)),8,1))&lt;=57,CODE(MID(TRIM(UPPER(E37)),9,1))&gt;=48,CODE(MID(TRIM(UPPER(E37)),9,1))&lt;=57),"N","Y"))</f>
      </c>
      <c r="G37" s="7">
        <f>IF($D37="","",IF(LEN(E37)&lt;4,"",IF(UPPER(MID(E37,4,1))="P","Individual",IF(UPPER(MID(E37,4,1))="H","HUF",IF(UPPER(MID(E37,4,1))="C","Company",IF(UPPER(MID(E37,4,1))="F","Firm",IF(UPPER(MID(E37,4,1))="L","LLP",IF(UPPER(MID(E37,4,1))="T","Trust",IF(UPPER(MID(E37,4,1))="A","AOP","")))))))))</f>
      </c>
      <c r="H37" s="8"/>
      <c r="I37" s="7">
        <f>IF($D37="","",IF(H37="","",IF(F37="Y",SUMPRODUCT(('Rate Lookup'!$A$1:$A$37=H37)*'Rate Lookup'!$D$1:$D$37),IF(OR(G37="Individual",G37="HUF"),SUMPRODUCT(('Rate Lookup'!$A$1:$A$37=H37)*'Rate Lookup'!$B$1:$B$37),SUMPRODUCT(('Rate Lookup'!$A$1:$A$37=H37)*'Rate Lookup'!$C$1:$C$37)))))</f>
      </c>
      <c r="J37" s="8"/>
      <c r="K37" s="8"/>
      <c r="L37" s="7">
        <f>IF($D37="","",ROUND(K37*I37/100,0))</f>
      </c>
      <c r="M37" s="7">
        <f>IF($D37="","",0)</f>
      </c>
      <c r="N37" s="7">
        <f>IF($D37="","",0)</f>
      </c>
      <c r="O37" s="7">
        <f>IF($D37="","",IF(OR(L37=0,J37="",IFERROR(INDEX('Challan Master'!$D$4:$D$207,MATCH($B37,'Challan Master'!$S$4:$S$207,0)),"")="",IFERROR(INDEX('Challan Master'!$D$4:$D$207,MATCH($B37,'Challan Master'!$S$4:$S$207,0)),"")&lt;=0),0,IF(IFERROR(INDEX('Challan Master'!$D$4:$D$207,MATCH($B37,'Challan Master'!$S$4:$S$207,0)),"")&lt;=DATE(YEAR(J37),MONTH(J37)+1,7),0,ROUND(L37*0.015*((YEAR(IFERROR(INDEX('Challan Master'!$D$4:$D$207,MATCH($B37,'Challan Master'!$S$4:$S$207,0)),""))-YEAR(J37))*12+(MONTH(IFERROR(INDEX('Challan Master'!$D$4:$D$207,MATCH($B37,'Challan Master'!$S$4:$S$207,0)),""))-MONTH(J37))+1),0))))</f>
      </c>
      <c r="P37" s="7">
        <f>IF($D37="","",0)</f>
      </c>
      <c r="Q37" s="8"/>
      <c r="R37" s="8"/>
      <c r="S37" s="8"/>
      <c r="T37" s="8"/>
      <c r="U37" s="8"/>
      <c r="V37" s="7">
        <f>IF($B37="","",IFERROR(INDEX('Challan Master'!$AA$4:$AA$207,MATCH($B37,'Challan Master'!$S$4:$S$207,0)),""))</f>
      </c>
    </row>
    <row r="38" spans="1:22" x14ac:dyDescent="0.25">
      <c r="A38" s="7">
        <f>IF($D38="","",COUNTIF($D$4:$D38,"&lt;&gt;"))</f>
      </c>
      <c r="B38" s="8"/>
      <c r="C38" s="7">
        <f>IF($B38="","","BSR "&amp;IFERROR(INDEX('Challan Master'!$B$4:$B$207,MATCH($B38,'Challan Master'!$S$4:$S$207,0)),"")&amp;" | Serial "&amp;IFERROR(INDEX('Challan Master'!$C$4:$C$207,MATCH($B38,'Challan Master'!$S$4:$S$207,0)),"")&amp;" | Deposit "&amp;TEXT(IFERROR(INDEX('Challan Master'!$D$4:$D$207,MATCH($B38,'Challan Master'!$S$4:$S$207,0)),""),"dd-mm-yyyy")&amp;" | Minor Head "&amp;IFERROR(INDEX('Challan Master'!$E$4:$E$207,MATCH($B38,'Challan Master'!$S$4:$S$207,0)),"")&amp;" | Tax ₹"&amp;TEXT(IFERROR(INDEX('Challan Master'!$G$4:$G$207,MATCH($B38,'Challan Master'!$S$4:$S$207,0)),""),"#,##0")&amp;" | Section "&amp;IFERROR(INDEX('Challan Master'!$F$4:$F$207,MATCH($B38,'Challan Master'!$S$4:$S$207,0)),""))</f>
      </c>
      <c r="D38" s="8"/>
      <c r="E38" s="8"/>
      <c r="F38" s="7">
        <f>IF($D38="","",IF(AND(LEN(TRIM(UPPER(E38)))=10,CODE(MID(TRIM(UPPER(E38)),1,1))&gt;=65,CODE(MID(TRIM(UPPER(E38)),1,1))&lt;=90,CODE(MID(TRIM(UPPER(E38)),2,1))&gt;=65,CODE(MID(TRIM(UPPER(E38)),2,1))&lt;=90,CODE(MID(TRIM(UPPER(E38)),3,1))&gt;=65,CODE(MID(TRIM(UPPER(E38)),3,1))&lt;=90,CODE(MID(TRIM(UPPER(E38)),4,1))&gt;=65,CODE(MID(TRIM(UPPER(E38)),4,1))&lt;=90,CODE(MID(TRIM(UPPER(E38)),5,1))&gt;=65,CODE(MID(TRIM(UPPER(E38)),5,1))&lt;=90,CODE(MID(TRIM(UPPER(E38)),10,1))&gt;=65,CODE(MID(TRIM(UPPER(E38)),10,1))&lt;=90,CODE(MID(TRIM(UPPER(E38)),6,1))&gt;=48,CODE(MID(TRIM(UPPER(E38)),6,1))&lt;=57,CODE(MID(TRIM(UPPER(E38)),7,1))&gt;=48,CODE(MID(TRIM(UPPER(E38)),7,1))&lt;=57,CODE(MID(TRIM(UPPER(E38)),8,1))&gt;=48,CODE(MID(TRIM(UPPER(E38)),8,1))&lt;=57,CODE(MID(TRIM(UPPER(E38)),9,1))&gt;=48,CODE(MID(TRIM(UPPER(E38)),9,1))&lt;=57),"N","Y"))</f>
      </c>
      <c r="G38" s="7">
        <f>IF($D38="","",IF(LEN(E38)&lt;4,"",IF(UPPER(MID(E38,4,1))="P","Individual",IF(UPPER(MID(E38,4,1))="H","HUF",IF(UPPER(MID(E38,4,1))="C","Company",IF(UPPER(MID(E38,4,1))="F","Firm",IF(UPPER(MID(E38,4,1))="L","LLP",IF(UPPER(MID(E38,4,1))="T","Trust",IF(UPPER(MID(E38,4,1))="A","AOP","")))))))))</f>
      </c>
      <c r="H38" s="8"/>
      <c r="I38" s="7">
        <f>IF($D38="","",IF(H38="","",IF(F38="Y",SUMPRODUCT(('Rate Lookup'!$A$1:$A$37=H38)*'Rate Lookup'!$D$1:$D$37),IF(OR(G38="Individual",G38="HUF"),SUMPRODUCT(('Rate Lookup'!$A$1:$A$37=H38)*'Rate Lookup'!$B$1:$B$37),SUMPRODUCT(('Rate Lookup'!$A$1:$A$37=H38)*'Rate Lookup'!$C$1:$C$37)))))</f>
      </c>
      <c r="J38" s="8"/>
      <c r="K38" s="8"/>
      <c r="L38" s="7">
        <f>IF($D38="","",ROUND(K38*I38/100,0))</f>
      </c>
      <c r="M38" s="7">
        <f>IF($D38="","",0)</f>
      </c>
      <c r="N38" s="7">
        <f>IF($D38="","",0)</f>
      </c>
      <c r="O38" s="7">
        <f>IF($D38="","",IF(OR(L38=0,J38="",IFERROR(INDEX('Challan Master'!$D$4:$D$207,MATCH($B38,'Challan Master'!$S$4:$S$207,0)),"")="",IFERROR(INDEX('Challan Master'!$D$4:$D$207,MATCH($B38,'Challan Master'!$S$4:$S$207,0)),"")&lt;=0),0,IF(IFERROR(INDEX('Challan Master'!$D$4:$D$207,MATCH($B38,'Challan Master'!$S$4:$S$207,0)),"")&lt;=DATE(YEAR(J38),MONTH(J38)+1,7),0,ROUND(L38*0.015*((YEAR(IFERROR(INDEX('Challan Master'!$D$4:$D$207,MATCH($B38,'Challan Master'!$S$4:$S$207,0)),""))-YEAR(J38))*12+(MONTH(IFERROR(INDEX('Challan Master'!$D$4:$D$207,MATCH($B38,'Challan Master'!$S$4:$S$207,0)),""))-MONTH(J38))+1),0))))</f>
      </c>
      <c r="P38" s="7">
        <f>IF($D38="","",0)</f>
      </c>
      <c r="Q38" s="8"/>
      <c r="R38" s="8"/>
      <c r="S38" s="8"/>
      <c r="T38" s="8"/>
      <c r="U38" s="8"/>
      <c r="V38" s="7">
        <f>IF($B38="","",IFERROR(INDEX('Challan Master'!$AA$4:$AA$207,MATCH($B38,'Challan Master'!$S$4:$S$207,0)),""))</f>
      </c>
    </row>
    <row r="39" spans="1:22" x14ac:dyDescent="0.25">
      <c r="A39" s="7">
        <f>IF($D39="","",COUNTIF($D$4:$D39,"&lt;&gt;"))</f>
      </c>
      <c r="B39" s="8"/>
      <c r="C39" s="7">
        <f>IF($B39="","","BSR "&amp;IFERROR(INDEX('Challan Master'!$B$4:$B$207,MATCH($B39,'Challan Master'!$S$4:$S$207,0)),"")&amp;" | Serial "&amp;IFERROR(INDEX('Challan Master'!$C$4:$C$207,MATCH($B39,'Challan Master'!$S$4:$S$207,0)),"")&amp;" | Deposit "&amp;TEXT(IFERROR(INDEX('Challan Master'!$D$4:$D$207,MATCH($B39,'Challan Master'!$S$4:$S$207,0)),""),"dd-mm-yyyy")&amp;" | Minor Head "&amp;IFERROR(INDEX('Challan Master'!$E$4:$E$207,MATCH($B39,'Challan Master'!$S$4:$S$207,0)),"")&amp;" | Tax ₹"&amp;TEXT(IFERROR(INDEX('Challan Master'!$G$4:$G$207,MATCH($B39,'Challan Master'!$S$4:$S$207,0)),""),"#,##0")&amp;" | Section "&amp;IFERROR(INDEX('Challan Master'!$F$4:$F$207,MATCH($B39,'Challan Master'!$S$4:$S$207,0)),""))</f>
      </c>
      <c r="D39" s="8"/>
      <c r="E39" s="8"/>
      <c r="F39" s="7">
        <f>IF($D39="","",IF(AND(LEN(TRIM(UPPER(E39)))=10,CODE(MID(TRIM(UPPER(E39)),1,1))&gt;=65,CODE(MID(TRIM(UPPER(E39)),1,1))&lt;=90,CODE(MID(TRIM(UPPER(E39)),2,1))&gt;=65,CODE(MID(TRIM(UPPER(E39)),2,1))&lt;=90,CODE(MID(TRIM(UPPER(E39)),3,1))&gt;=65,CODE(MID(TRIM(UPPER(E39)),3,1))&lt;=90,CODE(MID(TRIM(UPPER(E39)),4,1))&gt;=65,CODE(MID(TRIM(UPPER(E39)),4,1))&lt;=90,CODE(MID(TRIM(UPPER(E39)),5,1))&gt;=65,CODE(MID(TRIM(UPPER(E39)),5,1))&lt;=90,CODE(MID(TRIM(UPPER(E39)),10,1))&gt;=65,CODE(MID(TRIM(UPPER(E39)),10,1))&lt;=90,CODE(MID(TRIM(UPPER(E39)),6,1))&gt;=48,CODE(MID(TRIM(UPPER(E39)),6,1))&lt;=57,CODE(MID(TRIM(UPPER(E39)),7,1))&gt;=48,CODE(MID(TRIM(UPPER(E39)),7,1))&lt;=57,CODE(MID(TRIM(UPPER(E39)),8,1))&gt;=48,CODE(MID(TRIM(UPPER(E39)),8,1))&lt;=57,CODE(MID(TRIM(UPPER(E39)),9,1))&gt;=48,CODE(MID(TRIM(UPPER(E39)),9,1))&lt;=57),"N","Y"))</f>
      </c>
      <c r="G39" s="7">
        <f>IF($D39="","",IF(LEN(E39)&lt;4,"",IF(UPPER(MID(E39,4,1))="P","Individual",IF(UPPER(MID(E39,4,1))="H","HUF",IF(UPPER(MID(E39,4,1))="C","Company",IF(UPPER(MID(E39,4,1))="F","Firm",IF(UPPER(MID(E39,4,1))="L","LLP",IF(UPPER(MID(E39,4,1))="T","Trust",IF(UPPER(MID(E39,4,1))="A","AOP","")))))))))</f>
      </c>
      <c r="H39" s="8"/>
      <c r="I39" s="7">
        <f>IF($D39="","",IF(H39="","",IF(F39="Y",SUMPRODUCT(('Rate Lookup'!$A$1:$A$37=H39)*'Rate Lookup'!$D$1:$D$37),IF(OR(G39="Individual",G39="HUF"),SUMPRODUCT(('Rate Lookup'!$A$1:$A$37=H39)*'Rate Lookup'!$B$1:$B$37),SUMPRODUCT(('Rate Lookup'!$A$1:$A$37=H39)*'Rate Lookup'!$C$1:$C$37)))))</f>
      </c>
      <c r="J39" s="8"/>
      <c r="K39" s="8"/>
      <c r="L39" s="7">
        <f>IF($D39="","",ROUND(K39*I39/100,0))</f>
      </c>
      <c r="M39" s="7">
        <f>IF($D39="","",0)</f>
      </c>
      <c r="N39" s="7">
        <f>IF($D39="","",0)</f>
      </c>
      <c r="O39" s="7">
        <f>IF($D39="","",IF(OR(L39=0,J39="",IFERROR(INDEX('Challan Master'!$D$4:$D$207,MATCH($B39,'Challan Master'!$S$4:$S$207,0)),"")="",IFERROR(INDEX('Challan Master'!$D$4:$D$207,MATCH($B39,'Challan Master'!$S$4:$S$207,0)),"")&lt;=0),0,IF(IFERROR(INDEX('Challan Master'!$D$4:$D$207,MATCH($B39,'Challan Master'!$S$4:$S$207,0)),"")&lt;=DATE(YEAR(J39),MONTH(J39)+1,7),0,ROUND(L39*0.015*((YEAR(IFERROR(INDEX('Challan Master'!$D$4:$D$207,MATCH($B39,'Challan Master'!$S$4:$S$207,0)),""))-YEAR(J39))*12+(MONTH(IFERROR(INDEX('Challan Master'!$D$4:$D$207,MATCH($B39,'Challan Master'!$S$4:$S$207,0)),""))-MONTH(J39))+1),0))))</f>
      </c>
      <c r="P39" s="7">
        <f>IF($D39="","",0)</f>
      </c>
      <c r="Q39" s="8"/>
      <c r="R39" s="8"/>
      <c r="S39" s="8"/>
      <c r="T39" s="8"/>
      <c r="U39" s="8"/>
      <c r="V39" s="7">
        <f>IF($B39="","",IFERROR(INDEX('Challan Master'!$AA$4:$AA$207,MATCH($B39,'Challan Master'!$S$4:$S$207,0)),""))</f>
      </c>
    </row>
    <row r="40" spans="1:22" x14ac:dyDescent="0.25">
      <c r="A40" s="7">
        <f>IF($D40="","",COUNTIF($D$4:$D40,"&lt;&gt;"))</f>
      </c>
      <c r="B40" s="8"/>
      <c r="C40" s="7">
        <f>IF($B40="","","BSR "&amp;IFERROR(INDEX('Challan Master'!$B$4:$B$207,MATCH($B40,'Challan Master'!$S$4:$S$207,0)),"")&amp;" | Serial "&amp;IFERROR(INDEX('Challan Master'!$C$4:$C$207,MATCH($B40,'Challan Master'!$S$4:$S$207,0)),"")&amp;" | Deposit "&amp;TEXT(IFERROR(INDEX('Challan Master'!$D$4:$D$207,MATCH($B40,'Challan Master'!$S$4:$S$207,0)),""),"dd-mm-yyyy")&amp;" | Minor Head "&amp;IFERROR(INDEX('Challan Master'!$E$4:$E$207,MATCH($B40,'Challan Master'!$S$4:$S$207,0)),"")&amp;" | Tax ₹"&amp;TEXT(IFERROR(INDEX('Challan Master'!$G$4:$G$207,MATCH($B40,'Challan Master'!$S$4:$S$207,0)),""),"#,##0")&amp;" | Section "&amp;IFERROR(INDEX('Challan Master'!$F$4:$F$207,MATCH($B40,'Challan Master'!$S$4:$S$207,0)),""))</f>
      </c>
      <c r="D40" s="8"/>
      <c r="E40" s="8"/>
      <c r="F40" s="7">
        <f>IF($D40="","",IF(AND(LEN(TRIM(UPPER(E40)))=10,CODE(MID(TRIM(UPPER(E40)),1,1))&gt;=65,CODE(MID(TRIM(UPPER(E40)),1,1))&lt;=90,CODE(MID(TRIM(UPPER(E40)),2,1))&gt;=65,CODE(MID(TRIM(UPPER(E40)),2,1))&lt;=90,CODE(MID(TRIM(UPPER(E40)),3,1))&gt;=65,CODE(MID(TRIM(UPPER(E40)),3,1))&lt;=90,CODE(MID(TRIM(UPPER(E40)),4,1))&gt;=65,CODE(MID(TRIM(UPPER(E40)),4,1))&lt;=90,CODE(MID(TRIM(UPPER(E40)),5,1))&gt;=65,CODE(MID(TRIM(UPPER(E40)),5,1))&lt;=90,CODE(MID(TRIM(UPPER(E40)),10,1))&gt;=65,CODE(MID(TRIM(UPPER(E40)),10,1))&lt;=90,CODE(MID(TRIM(UPPER(E40)),6,1))&gt;=48,CODE(MID(TRIM(UPPER(E40)),6,1))&lt;=57,CODE(MID(TRIM(UPPER(E40)),7,1))&gt;=48,CODE(MID(TRIM(UPPER(E40)),7,1))&lt;=57,CODE(MID(TRIM(UPPER(E40)),8,1))&gt;=48,CODE(MID(TRIM(UPPER(E40)),8,1))&lt;=57,CODE(MID(TRIM(UPPER(E40)),9,1))&gt;=48,CODE(MID(TRIM(UPPER(E40)),9,1))&lt;=57),"N","Y"))</f>
      </c>
      <c r="G40" s="7">
        <f>IF($D40="","",IF(LEN(E40)&lt;4,"",IF(UPPER(MID(E40,4,1))="P","Individual",IF(UPPER(MID(E40,4,1))="H","HUF",IF(UPPER(MID(E40,4,1))="C","Company",IF(UPPER(MID(E40,4,1))="F","Firm",IF(UPPER(MID(E40,4,1))="L","LLP",IF(UPPER(MID(E40,4,1))="T","Trust",IF(UPPER(MID(E40,4,1))="A","AOP","")))))))))</f>
      </c>
      <c r="H40" s="8"/>
      <c r="I40" s="7">
        <f>IF($D40="","",IF(H40="","",IF(F40="Y",SUMPRODUCT(('Rate Lookup'!$A$1:$A$37=H40)*'Rate Lookup'!$D$1:$D$37),IF(OR(G40="Individual",G40="HUF"),SUMPRODUCT(('Rate Lookup'!$A$1:$A$37=H40)*'Rate Lookup'!$B$1:$B$37),SUMPRODUCT(('Rate Lookup'!$A$1:$A$37=H40)*'Rate Lookup'!$C$1:$C$37)))))</f>
      </c>
      <c r="J40" s="8"/>
      <c r="K40" s="8"/>
      <c r="L40" s="7">
        <f>IF($D40="","",ROUND(K40*I40/100,0))</f>
      </c>
      <c r="M40" s="7">
        <f>IF($D40="","",0)</f>
      </c>
      <c r="N40" s="7">
        <f>IF($D40="","",0)</f>
      </c>
      <c r="O40" s="7">
        <f>IF($D40="","",IF(OR(L40=0,J40="",IFERROR(INDEX('Challan Master'!$D$4:$D$207,MATCH($B40,'Challan Master'!$S$4:$S$207,0)),"")="",IFERROR(INDEX('Challan Master'!$D$4:$D$207,MATCH($B40,'Challan Master'!$S$4:$S$207,0)),"")&lt;=0),0,IF(IFERROR(INDEX('Challan Master'!$D$4:$D$207,MATCH($B40,'Challan Master'!$S$4:$S$207,0)),"")&lt;=DATE(YEAR(J40),MONTH(J40)+1,7),0,ROUND(L40*0.015*((YEAR(IFERROR(INDEX('Challan Master'!$D$4:$D$207,MATCH($B40,'Challan Master'!$S$4:$S$207,0)),""))-YEAR(J40))*12+(MONTH(IFERROR(INDEX('Challan Master'!$D$4:$D$207,MATCH($B40,'Challan Master'!$S$4:$S$207,0)),""))-MONTH(J40))+1),0))))</f>
      </c>
      <c r="P40" s="7">
        <f>IF($D40="","",0)</f>
      </c>
      <c r="Q40" s="8"/>
      <c r="R40" s="8"/>
      <c r="S40" s="8"/>
      <c r="T40" s="8"/>
      <c r="U40" s="8"/>
      <c r="V40" s="7">
        <f>IF($B40="","",IFERROR(INDEX('Challan Master'!$AA$4:$AA$207,MATCH($B40,'Challan Master'!$S$4:$S$207,0)),""))</f>
      </c>
    </row>
    <row r="41" spans="1:22" x14ac:dyDescent="0.25">
      <c r="A41" s="7">
        <f>IF($D41="","",COUNTIF($D$4:$D41,"&lt;&gt;"))</f>
      </c>
      <c r="B41" s="8"/>
      <c r="C41" s="7">
        <f>IF($B41="","","BSR "&amp;IFERROR(INDEX('Challan Master'!$B$4:$B$207,MATCH($B41,'Challan Master'!$S$4:$S$207,0)),"")&amp;" | Serial "&amp;IFERROR(INDEX('Challan Master'!$C$4:$C$207,MATCH($B41,'Challan Master'!$S$4:$S$207,0)),"")&amp;" | Deposit "&amp;TEXT(IFERROR(INDEX('Challan Master'!$D$4:$D$207,MATCH($B41,'Challan Master'!$S$4:$S$207,0)),""),"dd-mm-yyyy")&amp;" | Minor Head "&amp;IFERROR(INDEX('Challan Master'!$E$4:$E$207,MATCH($B41,'Challan Master'!$S$4:$S$207,0)),"")&amp;" | Tax ₹"&amp;TEXT(IFERROR(INDEX('Challan Master'!$G$4:$G$207,MATCH($B41,'Challan Master'!$S$4:$S$207,0)),""),"#,##0")&amp;" | Section "&amp;IFERROR(INDEX('Challan Master'!$F$4:$F$207,MATCH($B41,'Challan Master'!$S$4:$S$207,0)),""))</f>
      </c>
      <c r="D41" s="8"/>
      <c r="E41" s="8"/>
      <c r="F41" s="7">
        <f>IF($D41="","",IF(AND(LEN(TRIM(UPPER(E41)))=10,CODE(MID(TRIM(UPPER(E41)),1,1))&gt;=65,CODE(MID(TRIM(UPPER(E41)),1,1))&lt;=90,CODE(MID(TRIM(UPPER(E41)),2,1))&gt;=65,CODE(MID(TRIM(UPPER(E41)),2,1))&lt;=90,CODE(MID(TRIM(UPPER(E41)),3,1))&gt;=65,CODE(MID(TRIM(UPPER(E41)),3,1))&lt;=90,CODE(MID(TRIM(UPPER(E41)),4,1))&gt;=65,CODE(MID(TRIM(UPPER(E41)),4,1))&lt;=90,CODE(MID(TRIM(UPPER(E41)),5,1))&gt;=65,CODE(MID(TRIM(UPPER(E41)),5,1))&lt;=90,CODE(MID(TRIM(UPPER(E41)),10,1))&gt;=65,CODE(MID(TRIM(UPPER(E41)),10,1))&lt;=90,CODE(MID(TRIM(UPPER(E41)),6,1))&gt;=48,CODE(MID(TRIM(UPPER(E41)),6,1))&lt;=57,CODE(MID(TRIM(UPPER(E41)),7,1))&gt;=48,CODE(MID(TRIM(UPPER(E41)),7,1))&lt;=57,CODE(MID(TRIM(UPPER(E41)),8,1))&gt;=48,CODE(MID(TRIM(UPPER(E41)),8,1))&lt;=57,CODE(MID(TRIM(UPPER(E41)),9,1))&gt;=48,CODE(MID(TRIM(UPPER(E41)),9,1))&lt;=57),"N","Y"))</f>
      </c>
      <c r="G41" s="7">
        <f>IF($D41="","",IF(LEN(E41)&lt;4,"",IF(UPPER(MID(E41,4,1))="P","Individual",IF(UPPER(MID(E41,4,1))="H","HUF",IF(UPPER(MID(E41,4,1))="C","Company",IF(UPPER(MID(E41,4,1))="F","Firm",IF(UPPER(MID(E41,4,1))="L","LLP",IF(UPPER(MID(E41,4,1))="T","Trust",IF(UPPER(MID(E41,4,1))="A","AOP","")))))))))</f>
      </c>
      <c r="H41" s="8"/>
      <c r="I41" s="7">
        <f>IF($D41="","",IF(H41="","",IF(F41="Y",SUMPRODUCT(('Rate Lookup'!$A$1:$A$37=H41)*'Rate Lookup'!$D$1:$D$37),IF(OR(G41="Individual",G41="HUF"),SUMPRODUCT(('Rate Lookup'!$A$1:$A$37=H41)*'Rate Lookup'!$B$1:$B$37),SUMPRODUCT(('Rate Lookup'!$A$1:$A$37=H41)*'Rate Lookup'!$C$1:$C$37)))))</f>
      </c>
      <c r="J41" s="8"/>
      <c r="K41" s="8"/>
      <c r="L41" s="7">
        <f>IF($D41="","",ROUND(K41*I41/100,0))</f>
      </c>
      <c r="M41" s="7">
        <f>IF($D41="","",0)</f>
      </c>
      <c r="N41" s="7">
        <f>IF($D41="","",0)</f>
      </c>
      <c r="O41" s="7">
        <f>IF($D41="","",IF(OR(L41=0,J41="",IFERROR(INDEX('Challan Master'!$D$4:$D$207,MATCH($B41,'Challan Master'!$S$4:$S$207,0)),"")="",IFERROR(INDEX('Challan Master'!$D$4:$D$207,MATCH($B41,'Challan Master'!$S$4:$S$207,0)),"")&lt;=0),0,IF(IFERROR(INDEX('Challan Master'!$D$4:$D$207,MATCH($B41,'Challan Master'!$S$4:$S$207,0)),"")&lt;=DATE(YEAR(J41),MONTH(J41)+1,7),0,ROUND(L41*0.015*((YEAR(IFERROR(INDEX('Challan Master'!$D$4:$D$207,MATCH($B41,'Challan Master'!$S$4:$S$207,0)),""))-YEAR(J41))*12+(MONTH(IFERROR(INDEX('Challan Master'!$D$4:$D$207,MATCH($B41,'Challan Master'!$S$4:$S$207,0)),""))-MONTH(J41))+1),0))))</f>
      </c>
      <c r="P41" s="7">
        <f>IF($D41="","",0)</f>
      </c>
      <c r="Q41" s="8"/>
      <c r="R41" s="8"/>
      <c r="S41" s="8"/>
      <c r="T41" s="8"/>
      <c r="U41" s="8"/>
      <c r="V41" s="7">
        <f>IF($B41="","",IFERROR(INDEX('Challan Master'!$AA$4:$AA$207,MATCH($B41,'Challan Master'!$S$4:$S$207,0)),""))</f>
      </c>
    </row>
    <row r="42" spans="1:22" x14ac:dyDescent="0.25">
      <c r="A42" s="7">
        <f>IF($D42="","",COUNTIF($D$4:$D42,"&lt;&gt;"))</f>
      </c>
      <c r="B42" s="8"/>
      <c r="C42" s="7">
        <f>IF($B42="","","BSR "&amp;IFERROR(INDEX('Challan Master'!$B$4:$B$207,MATCH($B42,'Challan Master'!$S$4:$S$207,0)),"")&amp;" | Serial "&amp;IFERROR(INDEX('Challan Master'!$C$4:$C$207,MATCH($B42,'Challan Master'!$S$4:$S$207,0)),"")&amp;" | Deposit "&amp;TEXT(IFERROR(INDEX('Challan Master'!$D$4:$D$207,MATCH($B42,'Challan Master'!$S$4:$S$207,0)),""),"dd-mm-yyyy")&amp;" | Minor Head "&amp;IFERROR(INDEX('Challan Master'!$E$4:$E$207,MATCH($B42,'Challan Master'!$S$4:$S$207,0)),"")&amp;" | Tax ₹"&amp;TEXT(IFERROR(INDEX('Challan Master'!$G$4:$G$207,MATCH($B42,'Challan Master'!$S$4:$S$207,0)),""),"#,##0")&amp;" | Section "&amp;IFERROR(INDEX('Challan Master'!$F$4:$F$207,MATCH($B42,'Challan Master'!$S$4:$S$207,0)),""))</f>
      </c>
      <c r="D42" s="8"/>
      <c r="E42" s="8"/>
      <c r="F42" s="7">
        <f>IF($D42="","",IF(AND(LEN(TRIM(UPPER(E42)))=10,CODE(MID(TRIM(UPPER(E42)),1,1))&gt;=65,CODE(MID(TRIM(UPPER(E42)),1,1))&lt;=90,CODE(MID(TRIM(UPPER(E42)),2,1))&gt;=65,CODE(MID(TRIM(UPPER(E42)),2,1))&lt;=90,CODE(MID(TRIM(UPPER(E42)),3,1))&gt;=65,CODE(MID(TRIM(UPPER(E42)),3,1))&lt;=90,CODE(MID(TRIM(UPPER(E42)),4,1))&gt;=65,CODE(MID(TRIM(UPPER(E42)),4,1))&lt;=90,CODE(MID(TRIM(UPPER(E42)),5,1))&gt;=65,CODE(MID(TRIM(UPPER(E42)),5,1))&lt;=90,CODE(MID(TRIM(UPPER(E42)),10,1))&gt;=65,CODE(MID(TRIM(UPPER(E42)),10,1))&lt;=90,CODE(MID(TRIM(UPPER(E42)),6,1))&gt;=48,CODE(MID(TRIM(UPPER(E42)),6,1))&lt;=57,CODE(MID(TRIM(UPPER(E42)),7,1))&gt;=48,CODE(MID(TRIM(UPPER(E42)),7,1))&lt;=57,CODE(MID(TRIM(UPPER(E42)),8,1))&gt;=48,CODE(MID(TRIM(UPPER(E42)),8,1))&lt;=57,CODE(MID(TRIM(UPPER(E42)),9,1))&gt;=48,CODE(MID(TRIM(UPPER(E42)),9,1))&lt;=57),"N","Y"))</f>
      </c>
      <c r="G42" s="7">
        <f>IF($D42="","",IF(LEN(E42)&lt;4,"",IF(UPPER(MID(E42,4,1))="P","Individual",IF(UPPER(MID(E42,4,1))="H","HUF",IF(UPPER(MID(E42,4,1))="C","Company",IF(UPPER(MID(E42,4,1))="F","Firm",IF(UPPER(MID(E42,4,1))="L","LLP",IF(UPPER(MID(E42,4,1))="T","Trust",IF(UPPER(MID(E42,4,1))="A","AOP","")))))))))</f>
      </c>
      <c r="H42" s="8"/>
      <c r="I42" s="7">
        <f>IF($D42="","",IF(H42="","",IF(F42="Y",SUMPRODUCT(('Rate Lookup'!$A$1:$A$37=H42)*'Rate Lookup'!$D$1:$D$37),IF(OR(G42="Individual",G42="HUF"),SUMPRODUCT(('Rate Lookup'!$A$1:$A$37=H42)*'Rate Lookup'!$B$1:$B$37),SUMPRODUCT(('Rate Lookup'!$A$1:$A$37=H42)*'Rate Lookup'!$C$1:$C$37)))))</f>
      </c>
      <c r="J42" s="8"/>
      <c r="K42" s="8"/>
      <c r="L42" s="7">
        <f>IF($D42="","",ROUND(K42*I42/100,0))</f>
      </c>
      <c r="M42" s="7">
        <f>IF($D42="","",0)</f>
      </c>
      <c r="N42" s="7">
        <f>IF($D42="","",0)</f>
      </c>
      <c r="O42" s="7">
        <f>IF($D42="","",IF(OR(L42=0,J42="",IFERROR(INDEX('Challan Master'!$D$4:$D$207,MATCH($B42,'Challan Master'!$S$4:$S$207,0)),"")="",IFERROR(INDEX('Challan Master'!$D$4:$D$207,MATCH($B42,'Challan Master'!$S$4:$S$207,0)),"")&lt;=0),0,IF(IFERROR(INDEX('Challan Master'!$D$4:$D$207,MATCH($B42,'Challan Master'!$S$4:$S$207,0)),"")&lt;=DATE(YEAR(J42),MONTH(J42)+1,7),0,ROUND(L42*0.015*((YEAR(IFERROR(INDEX('Challan Master'!$D$4:$D$207,MATCH($B42,'Challan Master'!$S$4:$S$207,0)),""))-YEAR(J42))*12+(MONTH(IFERROR(INDEX('Challan Master'!$D$4:$D$207,MATCH($B42,'Challan Master'!$S$4:$S$207,0)),""))-MONTH(J42))+1),0))))</f>
      </c>
      <c r="P42" s="7">
        <f>IF($D42="","",0)</f>
      </c>
      <c r="Q42" s="8"/>
      <c r="R42" s="8"/>
      <c r="S42" s="8"/>
      <c r="T42" s="8"/>
      <c r="U42" s="8"/>
      <c r="V42" s="7">
        <f>IF($B42="","",IFERROR(INDEX('Challan Master'!$AA$4:$AA$207,MATCH($B42,'Challan Master'!$S$4:$S$207,0)),""))</f>
      </c>
    </row>
    <row r="43" spans="1:22" x14ac:dyDescent="0.25">
      <c r="A43" s="7">
        <f>IF($D43="","",COUNTIF($D$4:$D43,"&lt;&gt;"))</f>
      </c>
      <c r="B43" s="8"/>
      <c r="C43" s="7">
        <f>IF($B43="","","BSR "&amp;IFERROR(INDEX('Challan Master'!$B$4:$B$207,MATCH($B43,'Challan Master'!$S$4:$S$207,0)),"")&amp;" | Serial "&amp;IFERROR(INDEX('Challan Master'!$C$4:$C$207,MATCH($B43,'Challan Master'!$S$4:$S$207,0)),"")&amp;" | Deposit "&amp;TEXT(IFERROR(INDEX('Challan Master'!$D$4:$D$207,MATCH($B43,'Challan Master'!$S$4:$S$207,0)),""),"dd-mm-yyyy")&amp;" | Minor Head "&amp;IFERROR(INDEX('Challan Master'!$E$4:$E$207,MATCH($B43,'Challan Master'!$S$4:$S$207,0)),"")&amp;" | Tax ₹"&amp;TEXT(IFERROR(INDEX('Challan Master'!$G$4:$G$207,MATCH($B43,'Challan Master'!$S$4:$S$207,0)),""),"#,##0")&amp;" | Section "&amp;IFERROR(INDEX('Challan Master'!$F$4:$F$207,MATCH($B43,'Challan Master'!$S$4:$S$207,0)),""))</f>
      </c>
      <c r="D43" s="8"/>
      <c r="E43" s="8"/>
      <c r="F43" s="7">
        <f>IF($D43="","",IF(AND(LEN(TRIM(UPPER(E43)))=10,CODE(MID(TRIM(UPPER(E43)),1,1))&gt;=65,CODE(MID(TRIM(UPPER(E43)),1,1))&lt;=90,CODE(MID(TRIM(UPPER(E43)),2,1))&gt;=65,CODE(MID(TRIM(UPPER(E43)),2,1))&lt;=90,CODE(MID(TRIM(UPPER(E43)),3,1))&gt;=65,CODE(MID(TRIM(UPPER(E43)),3,1))&lt;=90,CODE(MID(TRIM(UPPER(E43)),4,1))&gt;=65,CODE(MID(TRIM(UPPER(E43)),4,1))&lt;=90,CODE(MID(TRIM(UPPER(E43)),5,1))&gt;=65,CODE(MID(TRIM(UPPER(E43)),5,1))&lt;=90,CODE(MID(TRIM(UPPER(E43)),10,1))&gt;=65,CODE(MID(TRIM(UPPER(E43)),10,1))&lt;=90,CODE(MID(TRIM(UPPER(E43)),6,1))&gt;=48,CODE(MID(TRIM(UPPER(E43)),6,1))&lt;=57,CODE(MID(TRIM(UPPER(E43)),7,1))&gt;=48,CODE(MID(TRIM(UPPER(E43)),7,1))&lt;=57,CODE(MID(TRIM(UPPER(E43)),8,1))&gt;=48,CODE(MID(TRIM(UPPER(E43)),8,1))&lt;=57,CODE(MID(TRIM(UPPER(E43)),9,1))&gt;=48,CODE(MID(TRIM(UPPER(E43)),9,1))&lt;=57),"N","Y"))</f>
      </c>
      <c r="G43" s="7">
        <f>IF($D43="","",IF(LEN(E43)&lt;4,"",IF(UPPER(MID(E43,4,1))="P","Individual",IF(UPPER(MID(E43,4,1))="H","HUF",IF(UPPER(MID(E43,4,1))="C","Company",IF(UPPER(MID(E43,4,1))="F","Firm",IF(UPPER(MID(E43,4,1))="L","LLP",IF(UPPER(MID(E43,4,1))="T","Trust",IF(UPPER(MID(E43,4,1))="A","AOP","")))))))))</f>
      </c>
      <c r="H43" s="8"/>
      <c r="I43" s="7">
        <f>IF($D43="","",IF(H43="","",IF(F43="Y",SUMPRODUCT(('Rate Lookup'!$A$1:$A$37=H43)*'Rate Lookup'!$D$1:$D$37),IF(OR(G43="Individual",G43="HUF"),SUMPRODUCT(('Rate Lookup'!$A$1:$A$37=H43)*'Rate Lookup'!$B$1:$B$37),SUMPRODUCT(('Rate Lookup'!$A$1:$A$37=H43)*'Rate Lookup'!$C$1:$C$37)))))</f>
      </c>
      <c r="J43" s="8"/>
      <c r="K43" s="8"/>
      <c r="L43" s="7">
        <f>IF($D43="","",ROUND(K43*I43/100,0))</f>
      </c>
      <c r="M43" s="7">
        <f>IF($D43="","",0)</f>
      </c>
      <c r="N43" s="7">
        <f>IF($D43="","",0)</f>
      </c>
      <c r="O43" s="7">
        <f>IF($D43="","",IF(OR(L43=0,J43="",IFERROR(INDEX('Challan Master'!$D$4:$D$207,MATCH($B43,'Challan Master'!$S$4:$S$207,0)),"")="",IFERROR(INDEX('Challan Master'!$D$4:$D$207,MATCH($B43,'Challan Master'!$S$4:$S$207,0)),"")&lt;=0),0,IF(IFERROR(INDEX('Challan Master'!$D$4:$D$207,MATCH($B43,'Challan Master'!$S$4:$S$207,0)),"")&lt;=DATE(YEAR(J43),MONTH(J43)+1,7),0,ROUND(L43*0.015*((YEAR(IFERROR(INDEX('Challan Master'!$D$4:$D$207,MATCH($B43,'Challan Master'!$S$4:$S$207,0)),""))-YEAR(J43))*12+(MONTH(IFERROR(INDEX('Challan Master'!$D$4:$D$207,MATCH($B43,'Challan Master'!$S$4:$S$207,0)),""))-MONTH(J43))+1),0))))</f>
      </c>
      <c r="P43" s="7">
        <f>IF($D43="","",0)</f>
      </c>
      <c r="Q43" s="8"/>
      <c r="R43" s="8"/>
      <c r="S43" s="8"/>
      <c r="T43" s="8"/>
      <c r="U43" s="8"/>
      <c r="V43" s="7">
        <f>IF($B43="","",IFERROR(INDEX('Challan Master'!$AA$4:$AA$207,MATCH($B43,'Challan Master'!$S$4:$S$207,0)),""))</f>
      </c>
    </row>
    <row r="44" spans="1:22" x14ac:dyDescent="0.25">
      <c r="A44" s="7">
        <f>IF($D44="","",COUNTIF($D$4:$D44,"&lt;&gt;"))</f>
      </c>
      <c r="B44" s="8"/>
      <c r="C44" s="7">
        <f>IF($B44="","","BSR "&amp;IFERROR(INDEX('Challan Master'!$B$4:$B$207,MATCH($B44,'Challan Master'!$S$4:$S$207,0)),"")&amp;" | Serial "&amp;IFERROR(INDEX('Challan Master'!$C$4:$C$207,MATCH($B44,'Challan Master'!$S$4:$S$207,0)),"")&amp;" | Deposit "&amp;TEXT(IFERROR(INDEX('Challan Master'!$D$4:$D$207,MATCH($B44,'Challan Master'!$S$4:$S$207,0)),""),"dd-mm-yyyy")&amp;" | Minor Head "&amp;IFERROR(INDEX('Challan Master'!$E$4:$E$207,MATCH($B44,'Challan Master'!$S$4:$S$207,0)),"")&amp;" | Tax ₹"&amp;TEXT(IFERROR(INDEX('Challan Master'!$G$4:$G$207,MATCH($B44,'Challan Master'!$S$4:$S$207,0)),""),"#,##0")&amp;" | Section "&amp;IFERROR(INDEX('Challan Master'!$F$4:$F$207,MATCH($B44,'Challan Master'!$S$4:$S$207,0)),""))</f>
      </c>
      <c r="D44" s="8"/>
      <c r="E44" s="8"/>
      <c r="F44" s="7">
        <f>IF($D44="","",IF(AND(LEN(TRIM(UPPER(E44)))=10,CODE(MID(TRIM(UPPER(E44)),1,1))&gt;=65,CODE(MID(TRIM(UPPER(E44)),1,1))&lt;=90,CODE(MID(TRIM(UPPER(E44)),2,1))&gt;=65,CODE(MID(TRIM(UPPER(E44)),2,1))&lt;=90,CODE(MID(TRIM(UPPER(E44)),3,1))&gt;=65,CODE(MID(TRIM(UPPER(E44)),3,1))&lt;=90,CODE(MID(TRIM(UPPER(E44)),4,1))&gt;=65,CODE(MID(TRIM(UPPER(E44)),4,1))&lt;=90,CODE(MID(TRIM(UPPER(E44)),5,1))&gt;=65,CODE(MID(TRIM(UPPER(E44)),5,1))&lt;=90,CODE(MID(TRIM(UPPER(E44)),10,1))&gt;=65,CODE(MID(TRIM(UPPER(E44)),10,1))&lt;=90,CODE(MID(TRIM(UPPER(E44)),6,1))&gt;=48,CODE(MID(TRIM(UPPER(E44)),6,1))&lt;=57,CODE(MID(TRIM(UPPER(E44)),7,1))&gt;=48,CODE(MID(TRIM(UPPER(E44)),7,1))&lt;=57,CODE(MID(TRIM(UPPER(E44)),8,1))&gt;=48,CODE(MID(TRIM(UPPER(E44)),8,1))&lt;=57,CODE(MID(TRIM(UPPER(E44)),9,1))&gt;=48,CODE(MID(TRIM(UPPER(E44)),9,1))&lt;=57),"N","Y"))</f>
      </c>
      <c r="G44" s="7">
        <f>IF($D44="","",IF(LEN(E44)&lt;4,"",IF(UPPER(MID(E44,4,1))="P","Individual",IF(UPPER(MID(E44,4,1))="H","HUF",IF(UPPER(MID(E44,4,1))="C","Company",IF(UPPER(MID(E44,4,1))="F","Firm",IF(UPPER(MID(E44,4,1))="L","LLP",IF(UPPER(MID(E44,4,1))="T","Trust",IF(UPPER(MID(E44,4,1))="A","AOP","")))))))))</f>
      </c>
      <c r="H44" s="8"/>
      <c r="I44" s="7">
        <f>IF($D44="","",IF(H44="","",IF(F44="Y",SUMPRODUCT(('Rate Lookup'!$A$1:$A$37=H44)*'Rate Lookup'!$D$1:$D$37),IF(OR(G44="Individual",G44="HUF"),SUMPRODUCT(('Rate Lookup'!$A$1:$A$37=H44)*'Rate Lookup'!$B$1:$B$37),SUMPRODUCT(('Rate Lookup'!$A$1:$A$37=H44)*'Rate Lookup'!$C$1:$C$37)))))</f>
      </c>
      <c r="J44" s="8"/>
      <c r="K44" s="8"/>
      <c r="L44" s="7">
        <f>IF($D44="","",ROUND(K44*I44/100,0))</f>
      </c>
      <c r="M44" s="7">
        <f>IF($D44="","",0)</f>
      </c>
      <c r="N44" s="7">
        <f>IF($D44="","",0)</f>
      </c>
      <c r="O44" s="7">
        <f>IF($D44="","",IF(OR(L44=0,J44="",IFERROR(INDEX('Challan Master'!$D$4:$D$207,MATCH($B44,'Challan Master'!$S$4:$S$207,0)),"")="",IFERROR(INDEX('Challan Master'!$D$4:$D$207,MATCH($B44,'Challan Master'!$S$4:$S$207,0)),"")&lt;=0),0,IF(IFERROR(INDEX('Challan Master'!$D$4:$D$207,MATCH($B44,'Challan Master'!$S$4:$S$207,0)),"")&lt;=DATE(YEAR(J44),MONTH(J44)+1,7),0,ROUND(L44*0.015*((YEAR(IFERROR(INDEX('Challan Master'!$D$4:$D$207,MATCH($B44,'Challan Master'!$S$4:$S$207,0)),""))-YEAR(J44))*12+(MONTH(IFERROR(INDEX('Challan Master'!$D$4:$D$207,MATCH($B44,'Challan Master'!$S$4:$S$207,0)),""))-MONTH(J44))+1),0))))</f>
      </c>
      <c r="P44" s="7">
        <f>IF($D44="","",0)</f>
      </c>
      <c r="Q44" s="8"/>
      <c r="R44" s="8"/>
      <c r="S44" s="8"/>
      <c r="T44" s="8"/>
      <c r="U44" s="8"/>
      <c r="V44" s="7">
        <f>IF($B44="","",IFERROR(INDEX('Challan Master'!$AA$4:$AA$207,MATCH($B44,'Challan Master'!$S$4:$S$207,0)),""))</f>
      </c>
    </row>
    <row r="45" spans="1:22" x14ac:dyDescent="0.25">
      <c r="A45" s="7">
        <f>IF($D45="","",COUNTIF($D$4:$D45,"&lt;&gt;"))</f>
      </c>
      <c r="B45" s="8"/>
      <c r="C45" s="7">
        <f>IF($B45="","","BSR "&amp;IFERROR(INDEX('Challan Master'!$B$4:$B$207,MATCH($B45,'Challan Master'!$S$4:$S$207,0)),"")&amp;" | Serial "&amp;IFERROR(INDEX('Challan Master'!$C$4:$C$207,MATCH($B45,'Challan Master'!$S$4:$S$207,0)),"")&amp;" | Deposit "&amp;TEXT(IFERROR(INDEX('Challan Master'!$D$4:$D$207,MATCH($B45,'Challan Master'!$S$4:$S$207,0)),""),"dd-mm-yyyy")&amp;" | Minor Head "&amp;IFERROR(INDEX('Challan Master'!$E$4:$E$207,MATCH($B45,'Challan Master'!$S$4:$S$207,0)),"")&amp;" | Tax ₹"&amp;TEXT(IFERROR(INDEX('Challan Master'!$G$4:$G$207,MATCH($B45,'Challan Master'!$S$4:$S$207,0)),""),"#,##0")&amp;" | Section "&amp;IFERROR(INDEX('Challan Master'!$F$4:$F$207,MATCH($B45,'Challan Master'!$S$4:$S$207,0)),""))</f>
      </c>
      <c r="D45" s="8"/>
      <c r="E45" s="8"/>
      <c r="F45" s="7">
        <f>IF($D45="","",IF(AND(LEN(TRIM(UPPER(E45)))=10,CODE(MID(TRIM(UPPER(E45)),1,1))&gt;=65,CODE(MID(TRIM(UPPER(E45)),1,1))&lt;=90,CODE(MID(TRIM(UPPER(E45)),2,1))&gt;=65,CODE(MID(TRIM(UPPER(E45)),2,1))&lt;=90,CODE(MID(TRIM(UPPER(E45)),3,1))&gt;=65,CODE(MID(TRIM(UPPER(E45)),3,1))&lt;=90,CODE(MID(TRIM(UPPER(E45)),4,1))&gt;=65,CODE(MID(TRIM(UPPER(E45)),4,1))&lt;=90,CODE(MID(TRIM(UPPER(E45)),5,1))&gt;=65,CODE(MID(TRIM(UPPER(E45)),5,1))&lt;=90,CODE(MID(TRIM(UPPER(E45)),10,1))&gt;=65,CODE(MID(TRIM(UPPER(E45)),10,1))&lt;=90,CODE(MID(TRIM(UPPER(E45)),6,1))&gt;=48,CODE(MID(TRIM(UPPER(E45)),6,1))&lt;=57,CODE(MID(TRIM(UPPER(E45)),7,1))&gt;=48,CODE(MID(TRIM(UPPER(E45)),7,1))&lt;=57,CODE(MID(TRIM(UPPER(E45)),8,1))&gt;=48,CODE(MID(TRIM(UPPER(E45)),8,1))&lt;=57,CODE(MID(TRIM(UPPER(E45)),9,1))&gt;=48,CODE(MID(TRIM(UPPER(E45)),9,1))&lt;=57),"N","Y"))</f>
      </c>
      <c r="G45" s="7">
        <f>IF($D45="","",IF(LEN(E45)&lt;4,"",IF(UPPER(MID(E45,4,1))="P","Individual",IF(UPPER(MID(E45,4,1))="H","HUF",IF(UPPER(MID(E45,4,1))="C","Company",IF(UPPER(MID(E45,4,1))="F","Firm",IF(UPPER(MID(E45,4,1))="L","LLP",IF(UPPER(MID(E45,4,1))="T","Trust",IF(UPPER(MID(E45,4,1))="A","AOP","")))))))))</f>
      </c>
      <c r="H45" s="8"/>
      <c r="I45" s="7">
        <f>IF($D45="","",IF(H45="","",IF(F45="Y",SUMPRODUCT(('Rate Lookup'!$A$1:$A$37=H45)*'Rate Lookup'!$D$1:$D$37),IF(OR(G45="Individual",G45="HUF"),SUMPRODUCT(('Rate Lookup'!$A$1:$A$37=H45)*'Rate Lookup'!$B$1:$B$37),SUMPRODUCT(('Rate Lookup'!$A$1:$A$37=H45)*'Rate Lookup'!$C$1:$C$37)))))</f>
      </c>
      <c r="J45" s="8"/>
      <c r="K45" s="8"/>
      <c r="L45" s="7">
        <f>IF($D45="","",ROUND(K45*I45/100,0))</f>
      </c>
      <c r="M45" s="7">
        <f>IF($D45="","",0)</f>
      </c>
      <c r="N45" s="7">
        <f>IF($D45="","",0)</f>
      </c>
      <c r="O45" s="7">
        <f>IF($D45="","",IF(OR(L45=0,J45="",IFERROR(INDEX('Challan Master'!$D$4:$D$207,MATCH($B45,'Challan Master'!$S$4:$S$207,0)),"")="",IFERROR(INDEX('Challan Master'!$D$4:$D$207,MATCH($B45,'Challan Master'!$S$4:$S$207,0)),"")&lt;=0),0,IF(IFERROR(INDEX('Challan Master'!$D$4:$D$207,MATCH($B45,'Challan Master'!$S$4:$S$207,0)),"")&lt;=DATE(YEAR(J45),MONTH(J45)+1,7),0,ROUND(L45*0.015*((YEAR(IFERROR(INDEX('Challan Master'!$D$4:$D$207,MATCH($B45,'Challan Master'!$S$4:$S$207,0)),""))-YEAR(J45))*12+(MONTH(IFERROR(INDEX('Challan Master'!$D$4:$D$207,MATCH($B45,'Challan Master'!$S$4:$S$207,0)),""))-MONTH(J45))+1),0))))</f>
      </c>
      <c r="P45" s="7">
        <f>IF($D45="","",0)</f>
      </c>
      <c r="Q45" s="8"/>
      <c r="R45" s="8"/>
      <c r="S45" s="8"/>
      <c r="T45" s="8"/>
      <c r="U45" s="8"/>
      <c r="V45" s="7">
        <f>IF($B45="","",IFERROR(INDEX('Challan Master'!$AA$4:$AA$207,MATCH($B45,'Challan Master'!$S$4:$S$207,0)),""))</f>
      </c>
    </row>
    <row r="46" spans="1:22" x14ac:dyDescent="0.25">
      <c r="A46" s="7">
        <f>IF($D46="","",COUNTIF($D$4:$D46,"&lt;&gt;"))</f>
      </c>
      <c r="B46" s="8"/>
      <c r="C46" s="7">
        <f>IF($B46="","","BSR "&amp;IFERROR(INDEX('Challan Master'!$B$4:$B$207,MATCH($B46,'Challan Master'!$S$4:$S$207,0)),"")&amp;" | Serial "&amp;IFERROR(INDEX('Challan Master'!$C$4:$C$207,MATCH($B46,'Challan Master'!$S$4:$S$207,0)),"")&amp;" | Deposit "&amp;TEXT(IFERROR(INDEX('Challan Master'!$D$4:$D$207,MATCH($B46,'Challan Master'!$S$4:$S$207,0)),""),"dd-mm-yyyy")&amp;" | Minor Head "&amp;IFERROR(INDEX('Challan Master'!$E$4:$E$207,MATCH($B46,'Challan Master'!$S$4:$S$207,0)),"")&amp;" | Tax ₹"&amp;TEXT(IFERROR(INDEX('Challan Master'!$G$4:$G$207,MATCH($B46,'Challan Master'!$S$4:$S$207,0)),""),"#,##0")&amp;" | Section "&amp;IFERROR(INDEX('Challan Master'!$F$4:$F$207,MATCH($B46,'Challan Master'!$S$4:$S$207,0)),""))</f>
      </c>
      <c r="D46" s="8"/>
      <c r="E46" s="8"/>
      <c r="F46" s="7">
        <f>IF($D46="","",IF(AND(LEN(TRIM(UPPER(E46)))=10,CODE(MID(TRIM(UPPER(E46)),1,1))&gt;=65,CODE(MID(TRIM(UPPER(E46)),1,1))&lt;=90,CODE(MID(TRIM(UPPER(E46)),2,1))&gt;=65,CODE(MID(TRIM(UPPER(E46)),2,1))&lt;=90,CODE(MID(TRIM(UPPER(E46)),3,1))&gt;=65,CODE(MID(TRIM(UPPER(E46)),3,1))&lt;=90,CODE(MID(TRIM(UPPER(E46)),4,1))&gt;=65,CODE(MID(TRIM(UPPER(E46)),4,1))&lt;=90,CODE(MID(TRIM(UPPER(E46)),5,1))&gt;=65,CODE(MID(TRIM(UPPER(E46)),5,1))&lt;=90,CODE(MID(TRIM(UPPER(E46)),10,1))&gt;=65,CODE(MID(TRIM(UPPER(E46)),10,1))&lt;=90,CODE(MID(TRIM(UPPER(E46)),6,1))&gt;=48,CODE(MID(TRIM(UPPER(E46)),6,1))&lt;=57,CODE(MID(TRIM(UPPER(E46)),7,1))&gt;=48,CODE(MID(TRIM(UPPER(E46)),7,1))&lt;=57,CODE(MID(TRIM(UPPER(E46)),8,1))&gt;=48,CODE(MID(TRIM(UPPER(E46)),8,1))&lt;=57,CODE(MID(TRIM(UPPER(E46)),9,1))&gt;=48,CODE(MID(TRIM(UPPER(E46)),9,1))&lt;=57),"N","Y"))</f>
      </c>
      <c r="G46" s="7">
        <f>IF($D46="","",IF(LEN(E46)&lt;4,"",IF(UPPER(MID(E46,4,1))="P","Individual",IF(UPPER(MID(E46,4,1))="H","HUF",IF(UPPER(MID(E46,4,1))="C","Company",IF(UPPER(MID(E46,4,1))="F","Firm",IF(UPPER(MID(E46,4,1))="L","LLP",IF(UPPER(MID(E46,4,1))="T","Trust",IF(UPPER(MID(E46,4,1))="A","AOP","")))))))))</f>
      </c>
      <c r="H46" s="8"/>
      <c r="I46" s="7">
        <f>IF($D46="","",IF(H46="","",IF(F46="Y",SUMPRODUCT(('Rate Lookup'!$A$1:$A$37=H46)*'Rate Lookup'!$D$1:$D$37),IF(OR(G46="Individual",G46="HUF"),SUMPRODUCT(('Rate Lookup'!$A$1:$A$37=H46)*'Rate Lookup'!$B$1:$B$37),SUMPRODUCT(('Rate Lookup'!$A$1:$A$37=H46)*'Rate Lookup'!$C$1:$C$37)))))</f>
      </c>
      <c r="J46" s="8"/>
      <c r="K46" s="8"/>
      <c r="L46" s="7">
        <f>IF($D46="","",ROUND(K46*I46/100,0))</f>
      </c>
      <c r="M46" s="7">
        <f>IF($D46="","",0)</f>
      </c>
      <c r="N46" s="7">
        <f>IF($D46="","",0)</f>
      </c>
      <c r="O46" s="7">
        <f>IF($D46="","",IF(OR(L46=0,J46="",IFERROR(INDEX('Challan Master'!$D$4:$D$207,MATCH($B46,'Challan Master'!$S$4:$S$207,0)),"")="",IFERROR(INDEX('Challan Master'!$D$4:$D$207,MATCH($B46,'Challan Master'!$S$4:$S$207,0)),"")&lt;=0),0,IF(IFERROR(INDEX('Challan Master'!$D$4:$D$207,MATCH($B46,'Challan Master'!$S$4:$S$207,0)),"")&lt;=DATE(YEAR(J46),MONTH(J46)+1,7),0,ROUND(L46*0.015*((YEAR(IFERROR(INDEX('Challan Master'!$D$4:$D$207,MATCH($B46,'Challan Master'!$S$4:$S$207,0)),""))-YEAR(J46))*12+(MONTH(IFERROR(INDEX('Challan Master'!$D$4:$D$207,MATCH($B46,'Challan Master'!$S$4:$S$207,0)),""))-MONTH(J46))+1),0))))</f>
      </c>
      <c r="P46" s="7">
        <f>IF($D46="","",0)</f>
      </c>
      <c r="Q46" s="8"/>
      <c r="R46" s="8"/>
      <c r="S46" s="8"/>
      <c r="T46" s="8"/>
      <c r="U46" s="8"/>
      <c r="V46" s="7">
        <f>IF($B46="","",IFERROR(INDEX('Challan Master'!$AA$4:$AA$207,MATCH($B46,'Challan Master'!$S$4:$S$207,0)),""))</f>
      </c>
    </row>
    <row r="47" spans="1:22" x14ac:dyDescent="0.25">
      <c r="A47" s="7">
        <f>IF($D47="","",COUNTIF($D$4:$D47,"&lt;&gt;"))</f>
      </c>
      <c r="B47" s="8"/>
      <c r="C47" s="7">
        <f>IF($B47="","","BSR "&amp;IFERROR(INDEX('Challan Master'!$B$4:$B$207,MATCH($B47,'Challan Master'!$S$4:$S$207,0)),"")&amp;" | Serial "&amp;IFERROR(INDEX('Challan Master'!$C$4:$C$207,MATCH($B47,'Challan Master'!$S$4:$S$207,0)),"")&amp;" | Deposit "&amp;TEXT(IFERROR(INDEX('Challan Master'!$D$4:$D$207,MATCH($B47,'Challan Master'!$S$4:$S$207,0)),""),"dd-mm-yyyy")&amp;" | Minor Head "&amp;IFERROR(INDEX('Challan Master'!$E$4:$E$207,MATCH($B47,'Challan Master'!$S$4:$S$207,0)),"")&amp;" | Tax ₹"&amp;TEXT(IFERROR(INDEX('Challan Master'!$G$4:$G$207,MATCH($B47,'Challan Master'!$S$4:$S$207,0)),""),"#,##0")&amp;" | Section "&amp;IFERROR(INDEX('Challan Master'!$F$4:$F$207,MATCH($B47,'Challan Master'!$S$4:$S$207,0)),""))</f>
      </c>
      <c r="D47" s="8"/>
      <c r="E47" s="8"/>
      <c r="F47" s="7">
        <f>IF($D47="","",IF(AND(LEN(TRIM(UPPER(E47)))=10,CODE(MID(TRIM(UPPER(E47)),1,1))&gt;=65,CODE(MID(TRIM(UPPER(E47)),1,1))&lt;=90,CODE(MID(TRIM(UPPER(E47)),2,1))&gt;=65,CODE(MID(TRIM(UPPER(E47)),2,1))&lt;=90,CODE(MID(TRIM(UPPER(E47)),3,1))&gt;=65,CODE(MID(TRIM(UPPER(E47)),3,1))&lt;=90,CODE(MID(TRIM(UPPER(E47)),4,1))&gt;=65,CODE(MID(TRIM(UPPER(E47)),4,1))&lt;=90,CODE(MID(TRIM(UPPER(E47)),5,1))&gt;=65,CODE(MID(TRIM(UPPER(E47)),5,1))&lt;=90,CODE(MID(TRIM(UPPER(E47)),10,1))&gt;=65,CODE(MID(TRIM(UPPER(E47)),10,1))&lt;=90,CODE(MID(TRIM(UPPER(E47)),6,1))&gt;=48,CODE(MID(TRIM(UPPER(E47)),6,1))&lt;=57,CODE(MID(TRIM(UPPER(E47)),7,1))&gt;=48,CODE(MID(TRIM(UPPER(E47)),7,1))&lt;=57,CODE(MID(TRIM(UPPER(E47)),8,1))&gt;=48,CODE(MID(TRIM(UPPER(E47)),8,1))&lt;=57,CODE(MID(TRIM(UPPER(E47)),9,1))&gt;=48,CODE(MID(TRIM(UPPER(E47)),9,1))&lt;=57),"N","Y"))</f>
      </c>
      <c r="G47" s="7">
        <f>IF($D47="","",IF(LEN(E47)&lt;4,"",IF(UPPER(MID(E47,4,1))="P","Individual",IF(UPPER(MID(E47,4,1))="H","HUF",IF(UPPER(MID(E47,4,1))="C","Company",IF(UPPER(MID(E47,4,1))="F","Firm",IF(UPPER(MID(E47,4,1))="L","LLP",IF(UPPER(MID(E47,4,1))="T","Trust",IF(UPPER(MID(E47,4,1))="A","AOP","")))))))))</f>
      </c>
      <c r="H47" s="8"/>
      <c r="I47" s="7">
        <f>IF($D47="","",IF(H47="","",IF(F47="Y",SUMPRODUCT(('Rate Lookup'!$A$1:$A$37=H47)*'Rate Lookup'!$D$1:$D$37),IF(OR(G47="Individual",G47="HUF"),SUMPRODUCT(('Rate Lookup'!$A$1:$A$37=H47)*'Rate Lookup'!$B$1:$B$37),SUMPRODUCT(('Rate Lookup'!$A$1:$A$37=H47)*'Rate Lookup'!$C$1:$C$37)))))</f>
      </c>
      <c r="J47" s="8"/>
      <c r="K47" s="8"/>
      <c r="L47" s="7">
        <f>IF($D47="","",ROUND(K47*I47/100,0))</f>
      </c>
      <c r="M47" s="7">
        <f>IF($D47="","",0)</f>
      </c>
      <c r="N47" s="7">
        <f>IF($D47="","",0)</f>
      </c>
      <c r="O47" s="7">
        <f>IF($D47="","",IF(OR(L47=0,J47="",IFERROR(INDEX('Challan Master'!$D$4:$D$207,MATCH($B47,'Challan Master'!$S$4:$S$207,0)),"")="",IFERROR(INDEX('Challan Master'!$D$4:$D$207,MATCH($B47,'Challan Master'!$S$4:$S$207,0)),"")&lt;=0),0,IF(IFERROR(INDEX('Challan Master'!$D$4:$D$207,MATCH($B47,'Challan Master'!$S$4:$S$207,0)),"")&lt;=DATE(YEAR(J47),MONTH(J47)+1,7),0,ROUND(L47*0.015*((YEAR(IFERROR(INDEX('Challan Master'!$D$4:$D$207,MATCH($B47,'Challan Master'!$S$4:$S$207,0)),""))-YEAR(J47))*12+(MONTH(IFERROR(INDEX('Challan Master'!$D$4:$D$207,MATCH($B47,'Challan Master'!$S$4:$S$207,0)),""))-MONTH(J47))+1),0))))</f>
      </c>
      <c r="P47" s="7">
        <f>IF($D47="","",0)</f>
      </c>
      <c r="Q47" s="8"/>
      <c r="R47" s="8"/>
      <c r="S47" s="8"/>
      <c r="T47" s="8"/>
      <c r="U47" s="8"/>
      <c r="V47" s="7">
        <f>IF($B47="","",IFERROR(INDEX('Challan Master'!$AA$4:$AA$207,MATCH($B47,'Challan Master'!$S$4:$S$207,0)),""))</f>
      </c>
    </row>
    <row r="48" spans="1:22" x14ac:dyDescent="0.25">
      <c r="A48" s="7">
        <f>IF($D48="","",COUNTIF($D$4:$D48,"&lt;&gt;"))</f>
      </c>
      <c r="B48" s="8"/>
      <c r="C48" s="7">
        <f>IF($B48="","","BSR "&amp;IFERROR(INDEX('Challan Master'!$B$4:$B$207,MATCH($B48,'Challan Master'!$S$4:$S$207,0)),"")&amp;" | Serial "&amp;IFERROR(INDEX('Challan Master'!$C$4:$C$207,MATCH($B48,'Challan Master'!$S$4:$S$207,0)),"")&amp;" | Deposit "&amp;TEXT(IFERROR(INDEX('Challan Master'!$D$4:$D$207,MATCH($B48,'Challan Master'!$S$4:$S$207,0)),""),"dd-mm-yyyy")&amp;" | Minor Head "&amp;IFERROR(INDEX('Challan Master'!$E$4:$E$207,MATCH($B48,'Challan Master'!$S$4:$S$207,0)),"")&amp;" | Tax ₹"&amp;TEXT(IFERROR(INDEX('Challan Master'!$G$4:$G$207,MATCH($B48,'Challan Master'!$S$4:$S$207,0)),""),"#,##0")&amp;" | Section "&amp;IFERROR(INDEX('Challan Master'!$F$4:$F$207,MATCH($B48,'Challan Master'!$S$4:$S$207,0)),""))</f>
      </c>
      <c r="D48" s="8"/>
      <c r="E48" s="8"/>
      <c r="F48" s="7">
        <f>IF($D48="","",IF(AND(LEN(TRIM(UPPER(E48)))=10,CODE(MID(TRIM(UPPER(E48)),1,1))&gt;=65,CODE(MID(TRIM(UPPER(E48)),1,1))&lt;=90,CODE(MID(TRIM(UPPER(E48)),2,1))&gt;=65,CODE(MID(TRIM(UPPER(E48)),2,1))&lt;=90,CODE(MID(TRIM(UPPER(E48)),3,1))&gt;=65,CODE(MID(TRIM(UPPER(E48)),3,1))&lt;=90,CODE(MID(TRIM(UPPER(E48)),4,1))&gt;=65,CODE(MID(TRIM(UPPER(E48)),4,1))&lt;=90,CODE(MID(TRIM(UPPER(E48)),5,1))&gt;=65,CODE(MID(TRIM(UPPER(E48)),5,1))&lt;=90,CODE(MID(TRIM(UPPER(E48)),10,1))&gt;=65,CODE(MID(TRIM(UPPER(E48)),10,1))&lt;=90,CODE(MID(TRIM(UPPER(E48)),6,1))&gt;=48,CODE(MID(TRIM(UPPER(E48)),6,1))&lt;=57,CODE(MID(TRIM(UPPER(E48)),7,1))&gt;=48,CODE(MID(TRIM(UPPER(E48)),7,1))&lt;=57,CODE(MID(TRIM(UPPER(E48)),8,1))&gt;=48,CODE(MID(TRIM(UPPER(E48)),8,1))&lt;=57,CODE(MID(TRIM(UPPER(E48)),9,1))&gt;=48,CODE(MID(TRIM(UPPER(E48)),9,1))&lt;=57),"N","Y"))</f>
      </c>
      <c r="G48" s="7">
        <f>IF($D48="","",IF(LEN(E48)&lt;4,"",IF(UPPER(MID(E48,4,1))="P","Individual",IF(UPPER(MID(E48,4,1))="H","HUF",IF(UPPER(MID(E48,4,1))="C","Company",IF(UPPER(MID(E48,4,1))="F","Firm",IF(UPPER(MID(E48,4,1))="L","LLP",IF(UPPER(MID(E48,4,1))="T","Trust",IF(UPPER(MID(E48,4,1))="A","AOP","")))))))))</f>
      </c>
      <c r="H48" s="8"/>
      <c r="I48" s="7">
        <f>IF($D48="","",IF(H48="","",IF(F48="Y",SUMPRODUCT(('Rate Lookup'!$A$1:$A$37=H48)*'Rate Lookup'!$D$1:$D$37),IF(OR(G48="Individual",G48="HUF"),SUMPRODUCT(('Rate Lookup'!$A$1:$A$37=H48)*'Rate Lookup'!$B$1:$B$37),SUMPRODUCT(('Rate Lookup'!$A$1:$A$37=H48)*'Rate Lookup'!$C$1:$C$37)))))</f>
      </c>
      <c r="J48" s="8"/>
      <c r="K48" s="8"/>
      <c r="L48" s="7">
        <f>IF($D48="","",ROUND(K48*I48/100,0))</f>
      </c>
      <c r="M48" s="7">
        <f>IF($D48="","",0)</f>
      </c>
      <c r="N48" s="7">
        <f>IF($D48="","",0)</f>
      </c>
      <c r="O48" s="7">
        <f>IF($D48="","",IF(OR(L48=0,J48="",IFERROR(INDEX('Challan Master'!$D$4:$D$207,MATCH($B48,'Challan Master'!$S$4:$S$207,0)),"")="",IFERROR(INDEX('Challan Master'!$D$4:$D$207,MATCH($B48,'Challan Master'!$S$4:$S$207,0)),"")&lt;=0),0,IF(IFERROR(INDEX('Challan Master'!$D$4:$D$207,MATCH($B48,'Challan Master'!$S$4:$S$207,0)),"")&lt;=DATE(YEAR(J48),MONTH(J48)+1,7),0,ROUND(L48*0.015*((YEAR(IFERROR(INDEX('Challan Master'!$D$4:$D$207,MATCH($B48,'Challan Master'!$S$4:$S$207,0)),""))-YEAR(J48))*12+(MONTH(IFERROR(INDEX('Challan Master'!$D$4:$D$207,MATCH($B48,'Challan Master'!$S$4:$S$207,0)),""))-MONTH(J48))+1),0))))</f>
      </c>
      <c r="P48" s="7">
        <f>IF($D48="","",0)</f>
      </c>
      <c r="Q48" s="8"/>
      <c r="R48" s="8"/>
      <c r="S48" s="8"/>
      <c r="T48" s="8"/>
      <c r="U48" s="8"/>
      <c r="V48" s="7">
        <f>IF($B48="","",IFERROR(INDEX('Challan Master'!$AA$4:$AA$207,MATCH($B48,'Challan Master'!$S$4:$S$207,0)),""))</f>
      </c>
    </row>
    <row r="49" spans="1:22" x14ac:dyDescent="0.25">
      <c r="A49" s="7">
        <f>IF($D49="","",COUNTIF($D$4:$D49,"&lt;&gt;"))</f>
      </c>
      <c r="B49" s="8"/>
      <c r="C49" s="7">
        <f>IF($B49="","","BSR "&amp;IFERROR(INDEX('Challan Master'!$B$4:$B$207,MATCH($B49,'Challan Master'!$S$4:$S$207,0)),"")&amp;" | Serial "&amp;IFERROR(INDEX('Challan Master'!$C$4:$C$207,MATCH($B49,'Challan Master'!$S$4:$S$207,0)),"")&amp;" | Deposit "&amp;TEXT(IFERROR(INDEX('Challan Master'!$D$4:$D$207,MATCH($B49,'Challan Master'!$S$4:$S$207,0)),""),"dd-mm-yyyy")&amp;" | Minor Head "&amp;IFERROR(INDEX('Challan Master'!$E$4:$E$207,MATCH($B49,'Challan Master'!$S$4:$S$207,0)),"")&amp;" | Tax ₹"&amp;TEXT(IFERROR(INDEX('Challan Master'!$G$4:$G$207,MATCH($B49,'Challan Master'!$S$4:$S$207,0)),""),"#,##0")&amp;" | Section "&amp;IFERROR(INDEX('Challan Master'!$F$4:$F$207,MATCH($B49,'Challan Master'!$S$4:$S$207,0)),""))</f>
      </c>
      <c r="D49" s="8"/>
      <c r="E49" s="8"/>
      <c r="F49" s="7">
        <f>IF($D49="","",IF(AND(LEN(TRIM(UPPER(E49)))=10,CODE(MID(TRIM(UPPER(E49)),1,1))&gt;=65,CODE(MID(TRIM(UPPER(E49)),1,1))&lt;=90,CODE(MID(TRIM(UPPER(E49)),2,1))&gt;=65,CODE(MID(TRIM(UPPER(E49)),2,1))&lt;=90,CODE(MID(TRIM(UPPER(E49)),3,1))&gt;=65,CODE(MID(TRIM(UPPER(E49)),3,1))&lt;=90,CODE(MID(TRIM(UPPER(E49)),4,1))&gt;=65,CODE(MID(TRIM(UPPER(E49)),4,1))&lt;=90,CODE(MID(TRIM(UPPER(E49)),5,1))&gt;=65,CODE(MID(TRIM(UPPER(E49)),5,1))&lt;=90,CODE(MID(TRIM(UPPER(E49)),10,1))&gt;=65,CODE(MID(TRIM(UPPER(E49)),10,1))&lt;=90,CODE(MID(TRIM(UPPER(E49)),6,1))&gt;=48,CODE(MID(TRIM(UPPER(E49)),6,1))&lt;=57,CODE(MID(TRIM(UPPER(E49)),7,1))&gt;=48,CODE(MID(TRIM(UPPER(E49)),7,1))&lt;=57,CODE(MID(TRIM(UPPER(E49)),8,1))&gt;=48,CODE(MID(TRIM(UPPER(E49)),8,1))&lt;=57,CODE(MID(TRIM(UPPER(E49)),9,1))&gt;=48,CODE(MID(TRIM(UPPER(E49)),9,1))&lt;=57),"N","Y"))</f>
      </c>
      <c r="G49" s="7">
        <f>IF($D49="","",IF(LEN(E49)&lt;4,"",IF(UPPER(MID(E49,4,1))="P","Individual",IF(UPPER(MID(E49,4,1))="H","HUF",IF(UPPER(MID(E49,4,1))="C","Company",IF(UPPER(MID(E49,4,1))="F","Firm",IF(UPPER(MID(E49,4,1))="L","LLP",IF(UPPER(MID(E49,4,1))="T","Trust",IF(UPPER(MID(E49,4,1))="A","AOP","")))))))))</f>
      </c>
      <c r="H49" s="8"/>
      <c r="I49" s="7">
        <f>IF($D49="","",IF(H49="","",IF(F49="Y",SUMPRODUCT(('Rate Lookup'!$A$1:$A$37=H49)*'Rate Lookup'!$D$1:$D$37),IF(OR(G49="Individual",G49="HUF"),SUMPRODUCT(('Rate Lookup'!$A$1:$A$37=H49)*'Rate Lookup'!$B$1:$B$37),SUMPRODUCT(('Rate Lookup'!$A$1:$A$37=H49)*'Rate Lookup'!$C$1:$C$37)))))</f>
      </c>
      <c r="J49" s="8"/>
      <c r="K49" s="8"/>
      <c r="L49" s="7">
        <f>IF($D49="","",ROUND(K49*I49/100,0))</f>
      </c>
      <c r="M49" s="7">
        <f>IF($D49="","",0)</f>
      </c>
      <c r="N49" s="7">
        <f>IF($D49="","",0)</f>
      </c>
      <c r="O49" s="7">
        <f>IF($D49="","",IF(OR(L49=0,J49="",IFERROR(INDEX('Challan Master'!$D$4:$D$207,MATCH($B49,'Challan Master'!$S$4:$S$207,0)),"")="",IFERROR(INDEX('Challan Master'!$D$4:$D$207,MATCH($B49,'Challan Master'!$S$4:$S$207,0)),"")&lt;=0),0,IF(IFERROR(INDEX('Challan Master'!$D$4:$D$207,MATCH($B49,'Challan Master'!$S$4:$S$207,0)),"")&lt;=DATE(YEAR(J49),MONTH(J49)+1,7),0,ROUND(L49*0.015*((YEAR(IFERROR(INDEX('Challan Master'!$D$4:$D$207,MATCH($B49,'Challan Master'!$S$4:$S$207,0)),""))-YEAR(J49))*12+(MONTH(IFERROR(INDEX('Challan Master'!$D$4:$D$207,MATCH($B49,'Challan Master'!$S$4:$S$207,0)),""))-MONTH(J49))+1),0))))</f>
      </c>
      <c r="P49" s="7">
        <f>IF($D49="","",0)</f>
      </c>
      <c r="Q49" s="8"/>
      <c r="R49" s="8"/>
      <c r="S49" s="8"/>
      <c r="T49" s="8"/>
      <c r="U49" s="8"/>
      <c r="V49" s="7">
        <f>IF($B49="","",IFERROR(INDEX('Challan Master'!$AA$4:$AA$207,MATCH($B49,'Challan Master'!$S$4:$S$207,0)),""))</f>
      </c>
    </row>
    <row r="50" spans="1:22" x14ac:dyDescent="0.25">
      <c r="A50" s="7">
        <f>IF($D50="","",COUNTIF($D$4:$D50,"&lt;&gt;"))</f>
      </c>
      <c r="B50" s="8"/>
      <c r="C50" s="7">
        <f>IF($B50="","","BSR "&amp;IFERROR(INDEX('Challan Master'!$B$4:$B$207,MATCH($B50,'Challan Master'!$S$4:$S$207,0)),"")&amp;" | Serial "&amp;IFERROR(INDEX('Challan Master'!$C$4:$C$207,MATCH($B50,'Challan Master'!$S$4:$S$207,0)),"")&amp;" | Deposit "&amp;TEXT(IFERROR(INDEX('Challan Master'!$D$4:$D$207,MATCH($B50,'Challan Master'!$S$4:$S$207,0)),""),"dd-mm-yyyy")&amp;" | Minor Head "&amp;IFERROR(INDEX('Challan Master'!$E$4:$E$207,MATCH($B50,'Challan Master'!$S$4:$S$207,0)),"")&amp;" | Tax ₹"&amp;TEXT(IFERROR(INDEX('Challan Master'!$G$4:$G$207,MATCH($B50,'Challan Master'!$S$4:$S$207,0)),""),"#,##0")&amp;" | Section "&amp;IFERROR(INDEX('Challan Master'!$F$4:$F$207,MATCH($B50,'Challan Master'!$S$4:$S$207,0)),""))</f>
      </c>
      <c r="D50" s="8"/>
      <c r="E50" s="8"/>
      <c r="F50" s="7">
        <f>IF($D50="","",IF(AND(LEN(TRIM(UPPER(E50)))=10,CODE(MID(TRIM(UPPER(E50)),1,1))&gt;=65,CODE(MID(TRIM(UPPER(E50)),1,1))&lt;=90,CODE(MID(TRIM(UPPER(E50)),2,1))&gt;=65,CODE(MID(TRIM(UPPER(E50)),2,1))&lt;=90,CODE(MID(TRIM(UPPER(E50)),3,1))&gt;=65,CODE(MID(TRIM(UPPER(E50)),3,1))&lt;=90,CODE(MID(TRIM(UPPER(E50)),4,1))&gt;=65,CODE(MID(TRIM(UPPER(E50)),4,1))&lt;=90,CODE(MID(TRIM(UPPER(E50)),5,1))&gt;=65,CODE(MID(TRIM(UPPER(E50)),5,1))&lt;=90,CODE(MID(TRIM(UPPER(E50)),10,1))&gt;=65,CODE(MID(TRIM(UPPER(E50)),10,1))&lt;=90,CODE(MID(TRIM(UPPER(E50)),6,1))&gt;=48,CODE(MID(TRIM(UPPER(E50)),6,1))&lt;=57,CODE(MID(TRIM(UPPER(E50)),7,1))&gt;=48,CODE(MID(TRIM(UPPER(E50)),7,1))&lt;=57,CODE(MID(TRIM(UPPER(E50)),8,1))&gt;=48,CODE(MID(TRIM(UPPER(E50)),8,1))&lt;=57,CODE(MID(TRIM(UPPER(E50)),9,1))&gt;=48,CODE(MID(TRIM(UPPER(E50)),9,1))&lt;=57),"N","Y"))</f>
      </c>
      <c r="G50" s="7">
        <f>IF($D50="","",IF(LEN(E50)&lt;4,"",IF(UPPER(MID(E50,4,1))="P","Individual",IF(UPPER(MID(E50,4,1))="H","HUF",IF(UPPER(MID(E50,4,1))="C","Company",IF(UPPER(MID(E50,4,1))="F","Firm",IF(UPPER(MID(E50,4,1))="L","LLP",IF(UPPER(MID(E50,4,1))="T","Trust",IF(UPPER(MID(E50,4,1))="A","AOP","")))))))))</f>
      </c>
      <c r="H50" s="8"/>
      <c r="I50" s="7">
        <f>IF($D50="","",IF(H50="","",IF(F50="Y",SUMPRODUCT(('Rate Lookup'!$A$1:$A$37=H50)*'Rate Lookup'!$D$1:$D$37),IF(OR(G50="Individual",G50="HUF"),SUMPRODUCT(('Rate Lookup'!$A$1:$A$37=H50)*'Rate Lookup'!$B$1:$B$37),SUMPRODUCT(('Rate Lookup'!$A$1:$A$37=H50)*'Rate Lookup'!$C$1:$C$37)))))</f>
      </c>
      <c r="J50" s="8"/>
      <c r="K50" s="8"/>
      <c r="L50" s="7">
        <f>IF($D50="","",ROUND(K50*I50/100,0))</f>
      </c>
      <c r="M50" s="7">
        <f>IF($D50="","",0)</f>
      </c>
      <c r="N50" s="7">
        <f>IF($D50="","",0)</f>
      </c>
      <c r="O50" s="7">
        <f>IF($D50="","",IF(OR(L50=0,J50="",IFERROR(INDEX('Challan Master'!$D$4:$D$207,MATCH($B50,'Challan Master'!$S$4:$S$207,0)),"")="",IFERROR(INDEX('Challan Master'!$D$4:$D$207,MATCH($B50,'Challan Master'!$S$4:$S$207,0)),"")&lt;=0),0,IF(IFERROR(INDEX('Challan Master'!$D$4:$D$207,MATCH($B50,'Challan Master'!$S$4:$S$207,0)),"")&lt;=DATE(YEAR(J50),MONTH(J50)+1,7),0,ROUND(L50*0.015*((YEAR(IFERROR(INDEX('Challan Master'!$D$4:$D$207,MATCH($B50,'Challan Master'!$S$4:$S$207,0)),""))-YEAR(J50))*12+(MONTH(IFERROR(INDEX('Challan Master'!$D$4:$D$207,MATCH($B50,'Challan Master'!$S$4:$S$207,0)),""))-MONTH(J50))+1),0))))</f>
      </c>
      <c r="P50" s="7">
        <f>IF($D50="","",0)</f>
      </c>
      <c r="Q50" s="8"/>
      <c r="R50" s="8"/>
      <c r="S50" s="8"/>
      <c r="T50" s="8"/>
      <c r="U50" s="8"/>
      <c r="V50" s="7">
        <f>IF($B50="","",IFERROR(INDEX('Challan Master'!$AA$4:$AA$207,MATCH($B50,'Challan Master'!$S$4:$S$207,0)),""))</f>
      </c>
    </row>
    <row r="51" spans="1:22" x14ac:dyDescent="0.25">
      <c r="A51" s="7">
        <f>IF($D51="","",COUNTIF($D$4:$D51,"&lt;&gt;"))</f>
      </c>
      <c r="B51" s="8"/>
      <c r="C51" s="7">
        <f>IF($B51="","","BSR "&amp;IFERROR(INDEX('Challan Master'!$B$4:$B$207,MATCH($B51,'Challan Master'!$S$4:$S$207,0)),"")&amp;" | Serial "&amp;IFERROR(INDEX('Challan Master'!$C$4:$C$207,MATCH($B51,'Challan Master'!$S$4:$S$207,0)),"")&amp;" | Deposit "&amp;TEXT(IFERROR(INDEX('Challan Master'!$D$4:$D$207,MATCH($B51,'Challan Master'!$S$4:$S$207,0)),""),"dd-mm-yyyy")&amp;" | Minor Head "&amp;IFERROR(INDEX('Challan Master'!$E$4:$E$207,MATCH($B51,'Challan Master'!$S$4:$S$207,0)),"")&amp;" | Tax ₹"&amp;TEXT(IFERROR(INDEX('Challan Master'!$G$4:$G$207,MATCH($B51,'Challan Master'!$S$4:$S$207,0)),""),"#,##0")&amp;" | Section "&amp;IFERROR(INDEX('Challan Master'!$F$4:$F$207,MATCH($B51,'Challan Master'!$S$4:$S$207,0)),""))</f>
      </c>
      <c r="D51" s="8"/>
      <c r="E51" s="8"/>
      <c r="F51" s="7">
        <f>IF($D51="","",IF(AND(LEN(TRIM(UPPER(E51)))=10,CODE(MID(TRIM(UPPER(E51)),1,1))&gt;=65,CODE(MID(TRIM(UPPER(E51)),1,1))&lt;=90,CODE(MID(TRIM(UPPER(E51)),2,1))&gt;=65,CODE(MID(TRIM(UPPER(E51)),2,1))&lt;=90,CODE(MID(TRIM(UPPER(E51)),3,1))&gt;=65,CODE(MID(TRIM(UPPER(E51)),3,1))&lt;=90,CODE(MID(TRIM(UPPER(E51)),4,1))&gt;=65,CODE(MID(TRIM(UPPER(E51)),4,1))&lt;=90,CODE(MID(TRIM(UPPER(E51)),5,1))&gt;=65,CODE(MID(TRIM(UPPER(E51)),5,1))&lt;=90,CODE(MID(TRIM(UPPER(E51)),10,1))&gt;=65,CODE(MID(TRIM(UPPER(E51)),10,1))&lt;=90,CODE(MID(TRIM(UPPER(E51)),6,1))&gt;=48,CODE(MID(TRIM(UPPER(E51)),6,1))&lt;=57,CODE(MID(TRIM(UPPER(E51)),7,1))&gt;=48,CODE(MID(TRIM(UPPER(E51)),7,1))&lt;=57,CODE(MID(TRIM(UPPER(E51)),8,1))&gt;=48,CODE(MID(TRIM(UPPER(E51)),8,1))&lt;=57,CODE(MID(TRIM(UPPER(E51)),9,1))&gt;=48,CODE(MID(TRIM(UPPER(E51)),9,1))&lt;=57),"N","Y"))</f>
      </c>
      <c r="G51" s="7">
        <f>IF($D51="","",IF(LEN(E51)&lt;4,"",IF(UPPER(MID(E51,4,1))="P","Individual",IF(UPPER(MID(E51,4,1))="H","HUF",IF(UPPER(MID(E51,4,1))="C","Company",IF(UPPER(MID(E51,4,1))="F","Firm",IF(UPPER(MID(E51,4,1))="L","LLP",IF(UPPER(MID(E51,4,1))="T","Trust",IF(UPPER(MID(E51,4,1))="A","AOP","")))))))))</f>
      </c>
      <c r="H51" s="8"/>
      <c r="I51" s="7">
        <f>IF($D51="","",IF(H51="","",IF(F51="Y",SUMPRODUCT(('Rate Lookup'!$A$1:$A$37=H51)*'Rate Lookup'!$D$1:$D$37),IF(OR(G51="Individual",G51="HUF"),SUMPRODUCT(('Rate Lookup'!$A$1:$A$37=H51)*'Rate Lookup'!$B$1:$B$37),SUMPRODUCT(('Rate Lookup'!$A$1:$A$37=H51)*'Rate Lookup'!$C$1:$C$37)))))</f>
      </c>
      <c r="J51" s="8"/>
      <c r="K51" s="8"/>
      <c r="L51" s="7">
        <f>IF($D51="","",ROUND(K51*I51/100,0))</f>
      </c>
      <c r="M51" s="7">
        <f>IF($D51="","",0)</f>
      </c>
      <c r="N51" s="7">
        <f>IF($D51="","",0)</f>
      </c>
      <c r="O51" s="7">
        <f>IF($D51="","",IF(OR(L51=0,J51="",IFERROR(INDEX('Challan Master'!$D$4:$D$207,MATCH($B51,'Challan Master'!$S$4:$S$207,0)),"")="",IFERROR(INDEX('Challan Master'!$D$4:$D$207,MATCH($B51,'Challan Master'!$S$4:$S$207,0)),"")&lt;=0),0,IF(IFERROR(INDEX('Challan Master'!$D$4:$D$207,MATCH($B51,'Challan Master'!$S$4:$S$207,0)),"")&lt;=DATE(YEAR(J51),MONTH(J51)+1,7),0,ROUND(L51*0.015*((YEAR(IFERROR(INDEX('Challan Master'!$D$4:$D$207,MATCH($B51,'Challan Master'!$S$4:$S$207,0)),""))-YEAR(J51))*12+(MONTH(IFERROR(INDEX('Challan Master'!$D$4:$D$207,MATCH($B51,'Challan Master'!$S$4:$S$207,0)),""))-MONTH(J51))+1),0))))</f>
      </c>
      <c r="P51" s="7">
        <f>IF($D51="","",0)</f>
      </c>
      <c r="Q51" s="8"/>
      <c r="R51" s="8"/>
      <c r="S51" s="8"/>
      <c r="T51" s="8"/>
      <c r="U51" s="8"/>
      <c r="V51" s="7">
        <f>IF($B51="","",IFERROR(INDEX('Challan Master'!$AA$4:$AA$207,MATCH($B51,'Challan Master'!$S$4:$S$207,0)),""))</f>
      </c>
    </row>
    <row r="52" spans="1:22" x14ac:dyDescent="0.25">
      <c r="A52" s="7">
        <f>IF($D52="","",COUNTIF($D$4:$D52,"&lt;&gt;"))</f>
      </c>
      <c r="B52" s="8"/>
      <c r="C52" s="7">
        <f>IF($B52="","","BSR "&amp;IFERROR(INDEX('Challan Master'!$B$4:$B$207,MATCH($B52,'Challan Master'!$S$4:$S$207,0)),"")&amp;" | Serial "&amp;IFERROR(INDEX('Challan Master'!$C$4:$C$207,MATCH($B52,'Challan Master'!$S$4:$S$207,0)),"")&amp;" | Deposit "&amp;TEXT(IFERROR(INDEX('Challan Master'!$D$4:$D$207,MATCH($B52,'Challan Master'!$S$4:$S$207,0)),""),"dd-mm-yyyy")&amp;" | Minor Head "&amp;IFERROR(INDEX('Challan Master'!$E$4:$E$207,MATCH($B52,'Challan Master'!$S$4:$S$207,0)),"")&amp;" | Tax ₹"&amp;TEXT(IFERROR(INDEX('Challan Master'!$G$4:$G$207,MATCH($B52,'Challan Master'!$S$4:$S$207,0)),""),"#,##0")&amp;" | Section "&amp;IFERROR(INDEX('Challan Master'!$F$4:$F$207,MATCH($B52,'Challan Master'!$S$4:$S$207,0)),""))</f>
      </c>
      <c r="D52" s="8"/>
      <c r="E52" s="8"/>
      <c r="F52" s="7">
        <f>IF($D52="","",IF(AND(LEN(TRIM(UPPER(E52)))=10,CODE(MID(TRIM(UPPER(E52)),1,1))&gt;=65,CODE(MID(TRIM(UPPER(E52)),1,1))&lt;=90,CODE(MID(TRIM(UPPER(E52)),2,1))&gt;=65,CODE(MID(TRIM(UPPER(E52)),2,1))&lt;=90,CODE(MID(TRIM(UPPER(E52)),3,1))&gt;=65,CODE(MID(TRIM(UPPER(E52)),3,1))&lt;=90,CODE(MID(TRIM(UPPER(E52)),4,1))&gt;=65,CODE(MID(TRIM(UPPER(E52)),4,1))&lt;=90,CODE(MID(TRIM(UPPER(E52)),5,1))&gt;=65,CODE(MID(TRIM(UPPER(E52)),5,1))&lt;=90,CODE(MID(TRIM(UPPER(E52)),10,1))&gt;=65,CODE(MID(TRIM(UPPER(E52)),10,1))&lt;=90,CODE(MID(TRIM(UPPER(E52)),6,1))&gt;=48,CODE(MID(TRIM(UPPER(E52)),6,1))&lt;=57,CODE(MID(TRIM(UPPER(E52)),7,1))&gt;=48,CODE(MID(TRIM(UPPER(E52)),7,1))&lt;=57,CODE(MID(TRIM(UPPER(E52)),8,1))&gt;=48,CODE(MID(TRIM(UPPER(E52)),8,1))&lt;=57,CODE(MID(TRIM(UPPER(E52)),9,1))&gt;=48,CODE(MID(TRIM(UPPER(E52)),9,1))&lt;=57),"N","Y"))</f>
      </c>
      <c r="G52" s="7">
        <f>IF($D52="","",IF(LEN(E52)&lt;4,"",IF(UPPER(MID(E52,4,1))="P","Individual",IF(UPPER(MID(E52,4,1))="H","HUF",IF(UPPER(MID(E52,4,1))="C","Company",IF(UPPER(MID(E52,4,1))="F","Firm",IF(UPPER(MID(E52,4,1))="L","LLP",IF(UPPER(MID(E52,4,1))="T","Trust",IF(UPPER(MID(E52,4,1))="A","AOP","")))))))))</f>
      </c>
      <c r="H52" s="8"/>
      <c r="I52" s="7">
        <f>IF($D52="","",IF(H52="","",IF(F52="Y",SUMPRODUCT(('Rate Lookup'!$A$1:$A$37=H52)*'Rate Lookup'!$D$1:$D$37),IF(OR(G52="Individual",G52="HUF"),SUMPRODUCT(('Rate Lookup'!$A$1:$A$37=H52)*'Rate Lookup'!$B$1:$B$37),SUMPRODUCT(('Rate Lookup'!$A$1:$A$37=H52)*'Rate Lookup'!$C$1:$C$37)))))</f>
      </c>
      <c r="J52" s="8"/>
      <c r="K52" s="8"/>
      <c r="L52" s="7">
        <f>IF($D52="","",ROUND(K52*I52/100,0))</f>
      </c>
      <c r="M52" s="7">
        <f>IF($D52="","",0)</f>
      </c>
      <c r="N52" s="7">
        <f>IF($D52="","",0)</f>
      </c>
      <c r="O52" s="7">
        <f>IF($D52="","",IF(OR(L52=0,J52="",IFERROR(INDEX('Challan Master'!$D$4:$D$207,MATCH($B52,'Challan Master'!$S$4:$S$207,0)),"")="",IFERROR(INDEX('Challan Master'!$D$4:$D$207,MATCH($B52,'Challan Master'!$S$4:$S$207,0)),"")&lt;=0),0,IF(IFERROR(INDEX('Challan Master'!$D$4:$D$207,MATCH($B52,'Challan Master'!$S$4:$S$207,0)),"")&lt;=DATE(YEAR(J52),MONTH(J52)+1,7),0,ROUND(L52*0.015*((YEAR(IFERROR(INDEX('Challan Master'!$D$4:$D$207,MATCH($B52,'Challan Master'!$S$4:$S$207,0)),""))-YEAR(J52))*12+(MONTH(IFERROR(INDEX('Challan Master'!$D$4:$D$207,MATCH($B52,'Challan Master'!$S$4:$S$207,0)),""))-MONTH(J52))+1),0))))</f>
      </c>
      <c r="P52" s="7">
        <f>IF($D52="","",0)</f>
      </c>
      <c r="Q52" s="8"/>
      <c r="R52" s="8"/>
      <c r="S52" s="8"/>
      <c r="T52" s="8"/>
      <c r="U52" s="8"/>
      <c r="V52" s="7">
        <f>IF($B52="","",IFERROR(INDEX('Challan Master'!$AA$4:$AA$207,MATCH($B52,'Challan Master'!$S$4:$S$207,0)),""))</f>
      </c>
    </row>
    <row r="53" spans="1:22" x14ac:dyDescent="0.25">
      <c r="A53" s="7">
        <f>IF($D53="","",COUNTIF($D$4:$D53,"&lt;&gt;"))</f>
      </c>
      <c r="B53" s="8"/>
      <c r="C53" s="7">
        <f>IF($B53="","","BSR "&amp;IFERROR(INDEX('Challan Master'!$B$4:$B$207,MATCH($B53,'Challan Master'!$S$4:$S$207,0)),"")&amp;" | Serial "&amp;IFERROR(INDEX('Challan Master'!$C$4:$C$207,MATCH($B53,'Challan Master'!$S$4:$S$207,0)),"")&amp;" | Deposit "&amp;TEXT(IFERROR(INDEX('Challan Master'!$D$4:$D$207,MATCH($B53,'Challan Master'!$S$4:$S$207,0)),""),"dd-mm-yyyy")&amp;" | Minor Head "&amp;IFERROR(INDEX('Challan Master'!$E$4:$E$207,MATCH($B53,'Challan Master'!$S$4:$S$207,0)),"")&amp;" | Tax ₹"&amp;TEXT(IFERROR(INDEX('Challan Master'!$G$4:$G$207,MATCH($B53,'Challan Master'!$S$4:$S$207,0)),""),"#,##0")&amp;" | Section "&amp;IFERROR(INDEX('Challan Master'!$F$4:$F$207,MATCH($B53,'Challan Master'!$S$4:$S$207,0)),""))</f>
      </c>
      <c r="D53" s="8"/>
      <c r="E53" s="8"/>
      <c r="F53" s="7">
        <f>IF($D53="","",IF(AND(LEN(TRIM(UPPER(E53)))=10,CODE(MID(TRIM(UPPER(E53)),1,1))&gt;=65,CODE(MID(TRIM(UPPER(E53)),1,1))&lt;=90,CODE(MID(TRIM(UPPER(E53)),2,1))&gt;=65,CODE(MID(TRIM(UPPER(E53)),2,1))&lt;=90,CODE(MID(TRIM(UPPER(E53)),3,1))&gt;=65,CODE(MID(TRIM(UPPER(E53)),3,1))&lt;=90,CODE(MID(TRIM(UPPER(E53)),4,1))&gt;=65,CODE(MID(TRIM(UPPER(E53)),4,1))&lt;=90,CODE(MID(TRIM(UPPER(E53)),5,1))&gt;=65,CODE(MID(TRIM(UPPER(E53)),5,1))&lt;=90,CODE(MID(TRIM(UPPER(E53)),10,1))&gt;=65,CODE(MID(TRIM(UPPER(E53)),10,1))&lt;=90,CODE(MID(TRIM(UPPER(E53)),6,1))&gt;=48,CODE(MID(TRIM(UPPER(E53)),6,1))&lt;=57,CODE(MID(TRIM(UPPER(E53)),7,1))&gt;=48,CODE(MID(TRIM(UPPER(E53)),7,1))&lt;=57,CODE(MID(TRIM(UPPER(E53)),8,1))&gt;=48,CODE(MID(TRIM(UPPER(E53)),8,1))&lt;=57,CODE(MID(TRIM(UPPER(E53)),9,1))&gt;=48,CODE(MID(TRIM(UPPER(E53)),9,1))&lt;=57),"N","Y"))</f>
      </c>
      <c r="G53" s="7">
        <f>IF($D53="","",IF(LEN(E53)&lt;4,"",IF(UPPER(MID(E53,4,1))="P","Individual",IF(UPPER(MID(E53,4,1))="H","HUF",IF(UPPER(MID(E53,4,1))="C","Company",IF(UPPER(MID(E53,4,1))="F","Firm",IF(UPPER(MID(E53,4,1))="L","LLP",IF(UPPER(MID(E53,4,1))="T","Trust",IF(UPPER(MID(E53,4,1))="A","AOP","")))))))))</f>
      </c>
      <c r="H53" s="8"/>
      <c r="I53" s="7">
        <f>IF($D53="","",IF(H53="","",IF(F53="Y",SUMPRODUCT(('Rate Lookup'!$A$1:$A$37=H53)*'Rate Lookup'!$D$1:$D$37),IF(OR(G53="Individual",G53="HUF"),SUMPRODUCT(('Rate Lookup'!$A$1:$A$37=H53)*'Rate Lookup'!$B$1:$B$37),SUMPRODUCT(('Rate Lookup'!$A$1:$A$37=H53)*'Rate Lookup'!$C$1:$C$37)))))</f>
      </c>
      <c r="J53" s="8"/>
      <c r="K53" s="8"/>
      <c r="L53" s="7">
        <f>IF($D53="","",ROUND(K53*I53/100,0))</f>
      </c>
      <c r="M53" s="7">
        <f>IF($D53="","",0)</f>
      </c>
      <c r="N53" s="7">
        <f>IF($D53="","",0)</f>
      </c>
      <c r="O53" s="7">
        <f>IF($D53="","",IF(OR(L53=0,J53="",IFERROR(INDEX('Challan Master'!$D$4:$D$207,MATCH($B53,'Challan Master'!$S$4:$S$207,0)),"")="",IFERROR(INDEX('Challan Master'!$D$4:$D$207,MATCH($B53,'Challan Master'!$S$4:$S$207,0)),"")&lt;=0),0,IF(IFERROR(INDEX('Challan Master'!$D$4:$D$207,MATCH($B53,'Challan Master'!$S$4:$S$207,0)),"")&lt;=DATE(YEAR(J53),MONTH(J53)+1,7),0,ROUND(L53*0.015*((YEAR(IFERROR(INDEX('Challan Master'!$D$4:$D$207,MATCH($B53,'Challan Master'!$S$4:$S$207,0)),""))-YEAR(J53))*12+(MONTH(IFERROR(INDEX('Challan Master'!$D$4:$D$207,MATCH($B53,'Challan Master'!$S$4:$S$207,0)),""))-MONTH(J53))+1),0))))</f>
      </c>
      <c r="P53" s="7">
        <f>IF($D53="","",0)</f>
      </c>
      <c r="Q53" s="8"/>
      <c r="R53" s="8"/>
      <c r="S53" s="8"/>
      <c r="T53" s="8"/>
      <c r="U53" s="8"/>
      <c r="V53" s="7">
        <f>IF($B53="","",IFERROR(INDEX('Challan Master'!$AA$4:$AA$207,MATCH($B53,'Challan Master'!$S$4:$S$207,0)),""))</f>
      </c>
    </row>
    <row r="54" spans="1:22" x14ac:dyDescent="0.25">
      <c r="A54" s="7">
        <f>IF($D54="","",COUNTIF($D$4:$D54,"&lt;&gt;"))</f>
      </c>
      <c r="B54" s="8"/>
      <c r="C54" s="7">
        <f>IF($B54="","","BSR "&amp;IFERROR(INDEX('Challan Master'!$B$4:$B$207,MATCH($B54,'Challan Master'!$S$4:$S$207,0)),"")&amp;" | Serial "&amp;IFERROR(INDEX('Challan Master'!$C$4:$C$207,MATCH($B54,'Challan Master'!$S$4:$S$207,0)),"")&amp;" | Deposit "&amp;TEXT(IFERROR(INDEX('Challan Master'!$D$4:$D$207,MATCH($B54,'Challan Master'!$S$4:$S$207,0)),""),"dd-mm-yyyy")&amp;" | Minor Head "&amp;IFERROR(INDEX('Challan Master'!$E$4:$E$207,MATCH($B54,'Challan Master'!$S$4:$S$207,0)),"")&amp;" | Tax ₹"&amp;TEXT(IFERROR(INDEX('Challan Master'!$G$4:$G$207,MATCH($B54,'Challan Master'!$S$4:$S$207,0)),""),"#,##0")&amp;" | Section "&amp;IFERROR(INDEX('Challan Master'!$F$4:$F$207,MATCH($B54,'Challan Master'!$S$4:$S$207,0)),""))</f>
      </c>
      <c r="D54" s="8"/>
      <c r="E54" s="8"/>
      <c r="F54" s="7">
        <f>IF($D54="","",IF(AND(LEN(TRIM(UPPER(E54)))=10,CODE(MID(TRIM(UPPER(E54)),1,1))&gt;=65,CODE(MID(TRIM(UPPER(E54)),1,1))&lt;=90,CODE(MID(TRIM(UPPER(E54)),2,1))&gt;=65,CODE(MID(TRIM(UPPER(E54)),2,1))&lt;=90,CODE(MID(TRIM(UPPER(E54)),3,1))&gt;=65,CODE(MID(TRIM(UPPER(E54)),3,1))&lt;=90,CODE(MID(TRIM(UPPER(E54)),4,1))&gt;=65,CODE(MID(TRIM(UPPER(E54)),4,1))&lt;=90,CODE(MID(TRIM(UPPER(E54)),5,1))&gt;=65,CODE(MID(TRIM(UPPER(E54)),5,1))&lt;=90,CODE(MID(TRIM(UPPER(E54)),10,1))&gt;=65,CODE(MID(TRIM(UPPER(E54)),10,1))&lt;=90,CODE(MID(TRIM(UPPER(E54)),6,1))&gt;=48,CODE(MID(TRIM(UPPER(E54)),6,1))&lt;=57,CODE(MID(TRIM(UPPER(E54)),7,1))&gt;=48,CODE(MID(TRIM(UPPER(E54)),7,1))&lt;=57,CODE(MID(TRIM(UPPER(E54)),8,1))&gt;=48,CODE(MID(TRIM(UPPER(E54)),8,1))&lt;=57,CODE(MID(TRIM(UPPER(E54)),9,1))&gt;=48,CODE(MID(TRIM(UPPER(E54)),9,1))&lt;=57),"N","Y"))</f>
      </c>
      <c r="G54" s="7">
        <f>IF($D54="","",IF(LEN(E54)&lt;4,"",IF(UPPER(MID(E54,4,1))="P","Individual",IF(UPPER(MID(E54,4,1))="H","HUF",IF(UPPER(MID(E54,4,1))="C","Company",IF(UPPER(MID(E54,4,1))="F","Firm",IF(UPPER(MID(E54,4,1))="L","LLP",IF(UPPER(MID(E54,4,1))="T","Trust",IF(UPPER(MID(E54,4,1))="A","AOP","")))))))))</f>
      </c>
      <c r="H54" s="8"/>
      <c r="I54" s="7">
        <f>IF($D54="","",IF(H54="","",IF(F54="Y",SUMPRODUCT(('Rate Lookup'!$A$1:$A$37=H54)*'Rate Lookup'!$D$1:$D$37),IF(OR(G54="Individual",G54="HUF"),SUMPRODUCT(('Rate Lookup'!$A$1:$A$37=H54)*'Rate Lookup'!$B$1:$B$37),SUMPRODUCT(('Rate Lookup'!$A$1:$A$37=H54)*'Rate Lookup'!$C$1:$C$37)))))</f>
      </c>
      <c r="J54" s="8"/>
      <c r="K54" s="8"/>
      <c r="L54" s="7">
        <f>IF($D54="","",ROUND(K54*I54/100,0))</f>
      </c>
      <c r="M54" s="7">
        <f>IF($D54="","",0)</f>
      </c>
      <c r="N54" s="7">
        <f>IF($D54="","",0)</f>
      </c>
      <c r="O54" s="7">
        <f>IF($D54="","",IF(OR(L54=0,J54="",IFERROR(INDEX('Challan Master'!$D$4:$D$207,MATCH($B54,'Challan Master'!$S$4:$S$207,0)),"")="",IFERROR(INDEX('Challan Master'!$D$4:$D$207,MATCH($B54,'Challan Master'!$S$4:$S$207,0)),"")&lt;=0),0,IF(IFERROR(INDEX('Challan Master'!$D$4:$D$207,MATCH($B54,'Challan Master'!$S$4:$S$207,0)),"")&lt;=DATE(YEAR(J54),MONTH(J54)+1,7),0,ROUND(L54*0.015*((YEAR(IFERROR(INDEX('Challan Master'!$D$4:$D$207,MATCH($B54,'Challan Master'!$S$4:$S$207,0)),""))-YEAR(J54))*12+(MONTH(IFERROR(INDEX('Challan Master'!$D$4:$D$207,MATCH($B54,'Challan Master'!$S$4:$S$207,0)),""))-MONTH(J54))+1),0))))</f>
      </c>
      <c r="P54" s="7">
        <f>IF($D54="","",0)</f>
      </c>
      <c r="Q54" s="8"/>
      <c r="R54" s="8"/>
      <c r="S54" s="8"/>
      <c r="T54" s="8"/>
      <c r="U54" s="8"/>
      <c r="V54" s="7">
        <f>IF($B54="","",IFERROR(INDEX('Challan Master'!$AA$4:$AA$207,MATCH($B54,'Challan Master'!$S$4:$S$207,0)),""))</f>
      </c>
    </row>
    <row r="55" spans="1:22" x14ac:dyDescent="0.25">
      <c r="A55" s="7">
        <f>IF($D55="","",COUNTIF($D$4:$D55,"&lt;&gt;"))</f>
      </c>
      <c r="B55" s="8"/>
      <c r="C55" s="7">
        <f>IF($B55="","","BSR "&amp;IFERROR(INDEX('Challan Master'!$B$4:$B$207,MATCH($B55,'Challan Master'!$S$4:$S$207,0)),"")&amp;" | Serial "&amp;IFERROR(INDEX('Challan Master'!$C$4:$C$207,MATCH($B55,'Challan Master'!$S$4:$S$207,0)),"")&amp;" | Deposit "&amp;TEXT(IFERROR(INDEX('Challan Master'!$D$4:$D$207,MATCH($B55,'Challan Master'!$S$4:$S$207,0)),""),"dd-mm-yyyy")&amp;" | Minor Head "&amp;IFERROR(INDEX('Challan Master'!$E$4:$E$207,MATCH($B55,'Challan Master'!$S$4:$S$207,0)),"")&amp;" | Tax ₹"&amp;TEXT(IFERROR(INDEX('Challan Master'!$G$4:$G$207,MATCH($B55,'Challan Master'!$S$4:$S$207,0)),""),"#,##0")&amp;" | Section "&amp;IFERROR(INDEX('Challan Master'!$F$4:$F$207,MATCH($B55,'Challan Master'!$S$4:$S$207,0)),""))</f>
      </c>
      <c r="D55" s="8"/>
      <c r="E55" s="8"/>
      <c r="F55" s="7">
        <f>IF($D55="","",IF(AND(LEN(TRIM(UPPER(E55)))=10,CODE(MID(TRIM(UPPER(E55)),1,1))&gt;=65,CODE(MID(TRIM(UPPER(E55)),1,1))&lt;=90,CODE(MID(TRIM(UPPER(E55)),2,1))&gt;=65,CODE(MID(TRIM(UPPER(E55)),2,1))&lt;=90,CODE(MID(TRIM(UPPER(E55)),3,1))&gt;=65,CODE(MID(TRIM(UPPER(E55)),3,1))&lt;=90,CODE(MID(TRIM(UPPER(E55)),4,1))&gt;=65,CODE(MID(TRIM(UPPER(E55)),4,1))&lt;=90,CODE(MID(TRIM(UPPER(E55)),5,1))&gt;=65,CODE(MID(TRIM(UPPER(E55)),5,1))&lt;=90,CODE(MID(TRIM(UPPER(E55)),10,1))&gt;=65,CODE(MID(TRIM(UPPER(E55)),10,1))&lt;=90,CODE(MID(TRIM(UPPER(E55)),6,1))&gt;=48,CODE(MID(TRIM(UPPER(E55)),6,1))&lt;=57,CODE(MID(TRIM(UPPER(E55)),7,1))&gt;=48,CODE(MID(TRIM(UPPER(E55)),7,1))&lt;=57,CODE(MID(TRIM(UPPER(E55)),8,1))&gt;=48,CODE(MID(TRIM(UPPER(E55)),8,1))&lt;=57,CODE(MID(TRIM(UPPER(E55)),9,1))&gt;=48,CODE(MID(TRIM(UPPER(E55)),9,1))&lt;=57),"N","Y"))</f>
      </c>
      <c r="G55" s="7">
        <f>IF($D55="","",IF(LEN(E55)&lt;4,"",IF(UPPER(MID(E55,4,1))="P","Individual",IF(UPPER(MID(E55,4,1))="H","HUF",IF(UPPER(MID(E55,4,1))="C","Company",IF(UPPER(MID(E55,4,1))="F","Firm",IF(UPPER(MID(E55,4,1))="L","LLP",IF(UPPER(MID(E55,4,1))="T","Trust",IF(UPPER(MID(E55,4,1))="A","AOP","")))))))))</f>
      </c>
      <c r="H55" s="8"/>
      <c r="I55" s="7">
        <f>IF($D55="","",IF(H55="","",IF(F55="Y",SUMPRODUCT(('Rate Lookup'!$A$1:$A$37=H55)*'Rate Lookup'!$D$1:$D$37),IF(OR(G55="Individual",G55="HUF"),SUMPRODUCT(('Rate Lookup'!$A$1:$A$37=H55)*'Rate Lookup'!$B$1:$B$37),SUMPRODUCT(('Rate Lookup'!$A$1:$A$37=H55)*'Rate Lookup'!$C$1:$C$37)))))</f>
      </c>
      <c r="J55" s="8"/>
      <c r="K55" s="8"/>
      <c r="L55" s="7">
        <f>IF($D55="","",ROUND(K55*I55/100,0))</f>
      </c>
      <c r="M55" s="7">
        <f>IF($D55="","",0)</f>
      </c>
      <c r="N55" s="7">
        <f>IF($D55="","",0)</f>
      </c>
      <c r="O55" s="7">
        <f>IF($D55="","",IF(OR(L55=0,J55="",IFERROR(INDEX('Challan Master'!$D$4:$D$207,MATCH($B55,'Challan Master'!$S$4:$S$207,0)),"")="",IFERROR(INDEX('Challan Master'!$D$4:$D$207,MATCH($B55,'Challan Master'!$S$4:$S$207,0)),"")&lt;=0),0,IF(IFERROR(INDEX('Challan Master'!$D$4:$D$207,MATCH($B55,'Challan Master'!$S$4:$S$207,0)),"")&lt;=DATE(YEAR(J55),MONTH(J55)+1,7),0,ROUND(L55*0.015*((YEAR(IFERROR(INDEX('Challan Master'!$D$4:$D$207,MATCH($B55,'Challan Master'!$S$4:$S$207,0)),""))-YEAR(J55))*12+(MONTH(IFERROR(INDEX('Challan Master'!$D$4:$D$207,MATCH($B55,'Challan Master'!$S$4:$S$207,0)),""))-MONTH(J55))+1),0))))</f>
      </c>
      <c r="P55" s="7">
        <f>IF($D55="","",0)</f>
      </c>
      <c r="Q55" s="8"/>
      <c r="R55" s="8"/>
      <c r="S55" s="8"/>
      <c r="T55" s="8"/>
      <c r="U55" s="8"/>
      <c r="V55" s="7">
        <f>IF($B55="","",IFERROR(INDEX('Challan Master'!$AA$4:$AA$207,MATCH($B55,'Challan Master'!$S$4:$S$207,0)),""))</f>
      </c>
    </row>
    <row r="56" spans="1:22" x14ac:dyDescent="0.25">
      <c r="A56" s="7">
        <f>IF($D56="","",COUNTIF($D$4:$D56,"&lt;&gt;"))</f>
      </c>
      <c r="B56" s="8"/>
      <c r="C56" s="7">
        <f>IF($B56="","","BSR "&amp;IFERROR(INDEX('Challan Master'!$B$4:$B$207,MATCH($B56,'Challan Master'!$S$4:$S$207,0)),"")&amp;" | Serial "&amp;IFERROR(INDEX('Challan Master'!$C$4:$C$207,MATCH($B56,'Challan Master'!$S$4:$S$207,0)),"")&amp;" | Deposit "&amp;TEXT(IFERROR(INDEX('Challan Master'!$D$4:$D$207,MATCH($B56,'Challan Master'!$S$4:$S$207,0)),""),"dd-mm-yyyy")&amp;" | Minor Head "&amp;IFERROR(INDEX('Challan Master'!$E$4:$E$207,MATCH($B56,'Challan Master'!$S$4:$S$207,0)),"")&amp;" | Tax ₹"&amp;TEXT(IFERROR(INDEX('Challan Master'!$G$4:$G$207,MATCH($B56,'Challan Master'!$S$4:$S$207,0)),""),"#,##0")&amp;" | Section "&amp;IFERROR(INDEX('Challan Master'!$F$4:$F$207,MATCH($B56,'Challan Master'!$S$4:$S$207,0)),""))</f>
      </c>
      <c r="D56" s="8"/>
      <c r="E56" s="8"/>
      <c r="F56" s="7">
        <f>IF($D56="","",IF(AND(LEN(TRIM(UPPER(E56)))=10,CODE(MID(TRIM(UPPER(E56)),1,1))&gt;=65,CODE(MID(TRIM(UPPER(E56)),1,1))&lt;=90,CODE(MID(TRIM(UPPER(E56)),2,1))&gt;=65,CODE(MID(TRIM(UPPER(E56)),2,1))&lt;=90,CODE(MID(TRIM(UPPER(E56)),3,1))&gt;=65,CODE(MID(TRIM(UPPER(E56)),3,1))&lt;=90,CODE(MID(TRIM(UPPER(E56)),4,1))&gt;=65,CODE(MID(TRIM(UPPER(E56)),4,1))&lt;=90,CODE(MID(TRIM(UPPER(E56)),5,1))&gt;=65,CODE(MID(TRIM(UPPER(E56)),5,1))&lt;=90,CODE(MID(TRIM(UPPER(E56)),10,1))&gt;=65,CODE(MID(TRIM(UPPER(E56)),10,1))&lt;=90,CODE(MID(TRIM(UPPER(E56)),6,1))&gt;=48,CODE(MID(TRIM(UPPER(E56)),6,1))&lt;=57,CODE(MID(TRIM(UPPER(E56)),7,1))&gt;=48,CODE(MID(TRIM(UPPER(E56)),7,1))&lt;=57,CODE(MID(TRIM(UPPER(E56)),8,1))&gt;=48,CODE(MID(TRIM(UPPER(E56)),8,1))&lt;=57,CODE(MID(TRIM(UPPER(E56)),9,1))&gt;=48,CODE(MID(TRIM(UPPER(E56)),9,1))&lt;=57),"N","Y"))</f>
      </c>
      <c r="G56" s="7">
        <f>IF($D56="","",IF(LEN(E56)&lt;4,"",IF(UPPER(MID(E56,4,1))="P","Individual",IF(UPPER(MID(E56,4,1))="H","HUF",IF(UPPER(MID(E56,4,1))="C","Company",IF(UPPER(MID(E56,4,1))="F","Firm",IF(UPPER(MID(E56,4,1))="L","LLP",IF(UPPER(MID(E56,4,1))="T","Trust",IF(UPPER(MID(E56,4,1))="A","AOP","")))))))))</f>
      </c>
      <c r="H56" s="8"/>
      <c r="I56" s="7">
        <f>IF($D56="","",IF(H56="","",IF(F56="Y",SUMPRODUCT(('Rate Lookup'!$A$1:$A$37=H56)*'Rate Lookup'!$D$1:$D$37),IF(OR(G56="Individual",G56="HUF"),SUMPRODUCT(('Rate Lookup'!$A$1:$A$37=H56)*'Rate Lookup'!$B$1:$B$37),SUMPRODUCT(('Rate Lookup'!$A$1:$A$37=H56)*'Rate Lookup'!$C$1:$C$37)))))</f>
      </c>
      <c r="J56" s="8"/>
      <c r="K56" s="8"/>
      <c r="L56" s="7">
        <f>IF($D56="","",ROUND(K56*I56/100,0))</f>
      </c>
      <c r="M56" s="7">
        <f>IF($D56="","",0)</f>
      </c>
      <c r="N56" s="7">
        <f>IF($D56="","",0)</f>
      </c>
      <c r="O56" s="7">
        <f>IF($D56="","",IF(OR(L56=0,J56="",IFERROR(INDEX('Challan Master'!$D$4:$D$207,MATCH($B56,'Challan Master'!$S$4:$S$207,0)),"")="",IFERROR(INDEX('Challan Master'!$D$4:$D$207,MATCH($B56,'Challan Master'!$S$4:$S$207,0)),"")&lt;=0),0,IF(IFERROR(INDEX('Challan Master'!$D$4:$D$207,MATCH($B56,'Challan Master'!$S$4:$S$207,0)),"")&lt;=DATE(YEAR(J56),MONTH(J56)+1,7),0,ROUND(L56*0.015*((YEAR(IFERROR(INDEX('Challan Master'!$D$4:$D$207,MATCH($B56,'Challan Master'!$S$4:$S$207,0)),""))-YEAR(J56))*12+(MONTH(IFERROR(INDEX('Challan Master'!$D$4:$D$207,MATCH($B56,'Challan Master'!$S$4:$S$207,0)),""))-MONTH(J56))+1),0))))</f>
      </c>
      <c r="P56" s="7">
        <f>IF($D56="","",0)</f>
      </c>
      <c r="Q56" s="8"/>
      <c r="R56" s="8"/>
      <c r="S56" s="8"/>
      <c r="T56" s="8"/>
      <c r="U56" s="8"/>
      <c r="V56" s="7">
        <f>IF($B56="","",IFERROR(INDEX('Challan Master'!$AA$4:$AA$207,MATCH($B56,'Challan Master'!$S$4:$S$207,0)),""))</f>
      </c>
    </row>
    <row r="57" spans="1:22" x14ac:dyDescent="0.25">
      <c r="A57" s="7">
        <f>IF($D57="","",COUNTIF($D$4:$D57,"&lt;&gt;"))</f>
      </c>
      <c r="B57" s="8"/>
      <c r="C57" s="7">
        <f>IF($B57="","","BSR "&amp;IFERROR(INDEX('Challan Master'!$B$4:$B$207,MATCH($B57,'Challan Master'!$S$4:$S$207,0)),"")&amp;" | Serial "&amp;IFERROR(INDEX('Challan Master'!$C$4:$C$207,MATCH($B57,'Challan Master'!$S$4:$S$207,0)),"")&amp;" | Deposit "&amp;TEXT(IFERROR(INDEX('Challan Master'!$D$4:$D$207,MATCH($B57,'Challan Master'!$S$4:$S$207,0)),""),"dd-mm-yyyy")&amp;" | Minor Head "&amp;IFERROR(INDEX('Challan Master'!$E$4:$E$207,MATCH($B57,'Challan Master'!$S$4:$S$207,0)),"")&amp;" | Tax ₹"&amp;TEXT(IFERROR(INDEX('Challan Master'!$G$4:$G$207,MATCH($B57,'Challan Master'!$S$4:$S$207,0)),""),"#,##0")&amp;" | Section "&amp;IFERROR(INDEX('Challan Master'!$F$4:$F$207,MATCH($B57,'Challan Master'!$S$4:$S$207,0)),""))</f>
      </c>
      <c r="D57" s="8"/>
      <c r="E57" s="8"/>
      <c r="F57" s="7">
        <f>IF($D57="","",IF(AND(LEN(TRIM(UPPER(E57)))=10,CODE(MID(TRIM(UPPER(E57)),1,1))&gt;=65,CODE(MID(TRIM(UPPER(E57)),1,1))&lt;=90,CODE(MID(TRIM(UPPER(E57)),2,1))&gt;=65,CODE(MID(TRIM(UPPER(E57)),2,1))&lt;=90,CODE(MID(TRIM(UPPER(E57)),3,1))&gt;=65,CODE(MID(TRIM(UPPER(E57)),3,1))&lt;=90,CODE(MID(TRIM(UPPER(E57)),4,1))&gt;=65,CODE(MID(TRIM(UPPER(E57)),4,1))&lt;=90,CODE(MID(TRIM(UPPER(E57)),5,1))&gt;=65,CODE(MID(TRIM(UPPER(E57)),5,1))&lt;=90,CODE(MID(TRIM(UPPER(E57)),10,1))&gt;=65,CODE(MID(TRIM(UPPER(E57)),10,1))&lt;=90,CODE(MID(TRIM(UPPER(E57)),6,1))&gt;=48,CODE(MID(TRIM(UPPER(E57)),6,1))&lt;=57,CODE(MID(TRIM(UPPER(E57)),7,1))&gt;=48,CODE(MID(TRIM(UPPER(E57)),7,1))&lt;=57,CODE(MID(TRIM(UPPER(E57)),8,1))&gt;=48,CODE(MID(TRIM(UPPER(E57)),8,1))&lt;=57,CODE(MID(TRIM(UPPER(E57)),9,1))&gt;=48,CODE(MID(TRIM(UPPER(E57)),9,1))&lt;=57),"N","Y"))</f>
      </c>
      <c r="G57" s="7">
        <f>IF($D57="","",IF(LEN(E57)&lt;4,"",IF(UPPER(MID(E57,4,1))="P","Individual",IF(UPPER(MID(E57,4,1))="H","HUF",IF(UPPER(MID(E57,4,1))="C","Company",IF(UPPER(MID(E57,4,1))="F","Firm",IF(UPPER(MID(E57,4,1))="L","LLP",IF(UPPER(MID(E57,4,1))="T","Trust",IF(UPPER(MID(E57,4,1))="A","AOP","")))))))))</f>
      </c>
      <c r="H57" s="8"/>
      <c r="I57" s="7">
        <f>IF($D57="","",IF(H57="","",IF(F57="Y",SUMPRODUCT(('Rate Lookup'!$A$1:$A$37=H57)*'Rate Lookup'!$D$1:$D$37),IF(OR(G57="Individual",G57="HUF"),SUMPRODUCT(('Rate Lookup'!$A$1:$A$37=H57)*'Rate Lookup'!$B$1:$B$37),SUMPRODUCT(('Rate Lookup'!$A$1:$A$37=H57)*'Rate Lookup'!$C$1:$C$37)))))</f>
      </c>
      <c r="J57" s="8"/>
      <c r="K57" s="8"/>
      <c r="L57" s="7">
        <f>IF($D57="","",ROUND(K57*I57/100,0))</f>
      </c>
      <c r="M57" s="7">
        <f>IF($D57="","",0)</f>
      </c>
      <c r="N57" s="7">
        <f>IF($D57="","",0)</f>
      </c>
      <c r="O57" s="7">
        <f>IF($D57="","",IF(OR(L57=0,J57="",IFERROR(INDEX('Challan Master'!$D$4:$D$207,MATCH($B57,'Challan Master'!$S$4:$S$207,0)),"")="",IFERROR(INDEX('Challan Master'!$D$4:$D$207,MATCH($B57,'Challan Master'!$S$4:$S$207,0)),"")&lt;=0),0,IF(IFERROR(INDEX('Challan Master'!$D$4:$D$207,MATCH($B57,'Challan Master'!$S$4:$S$207,0)),"")&lt;=DATE(YEAR(J57),MONTH(J57)+1,7),0,ROUND(L57*0.015*((YEAR(IFERROR(INDEX('Challan Master'!$D$4:$D$207,MATCH($B57,'Challan Master'!$S$4:$S$207,0)),""))-YEAR(J57))*12+(MONTH(IFERROR(INDEX('Challan Master'!$D$4:$D$207,MATCH($B57,'Challan Master'!$S$4:$S$207,0)),""))-MONTH(J57))+1),0))))</f>
      </c>
      <c r="P57" s="7">
        <f>IF($D57="","",0)</f>
      </c>
      <c r="Q57" s="8"/>
      <c r="R57" s="8"/>
      <c r="S57" s="8"/>
      <c r="T57" s="8"/>
      <c r="U57" s="8"/>
      <c r="V57" s="7">
        <f>IF($B57="","",IFERROR(INDEX('Challan Master'!$AA$4:$AA$207,MATCH($B57,'Challan Master'!$S$4:$S$207,0)),""))</f>
      </c>
    </row>
    <row r="58" spans="1:22" x14ac:dyDescent="0.25">
      <c r="A58" s="7">
        <f>IF($D58="","",COUNTIF($D$4:$D58,"&lt;&gt;"))</f>
      </c>
      <c r="B58" s="8"/>
      <c r="C58" s="7">
        <f>IF($B58="","","BSR "&amp;IFERROR(INDEX('Challan Master'!$B$4:$B$207,MATCH($B58,'Challan Master'!$S$4:$S$207,0)),"")&amp;" | Serial "&amp;IFERROR(INDEX('Challan Master'!$C$4:$C$207,MATCH($B58,'Challan Master'!$S$4:$S$207,0)),"")&amp;" | Deposit "&amp;TEXT(IFERROR(INDEX('Challan Master'!$D$4:$D$207,MATCH($B58,'Challan Master'!$S$4:$S$207,0)),""),"dd-mm-yyyy")&amp;" | Minor Head "&amp;IFERROR(INDEX('Challan Master'!$E$4:$E$207,MATCH($B58,'Challan Master'!$S$4:$S$207,0)),"")&amp;" | Tax ₹"&amp;TEXT(IFERROR(INDEX('Challan Master'!$G$4:$G$207,MATCH($B58,'Challan Master'!$S$4:$S$207,0)),""),"#,##0")&amp;" | Section "&amp;IFERROR(INDEX('Challan Master'!$F$4:$F$207,MATCH($B58,'Challan Master'!$S$4:$S$207,0)),""))</f>
      </c>
      <c r="D58" s="8"/>
      <c r="E58" s="8"/>
      <c r="F58" s="7">
        <f>IF($D58="","",IF(AND(LEN(TRIM(UPPER(E58)))=10,CODE(MID(TRIM(UPPER(E58)),1,1))&gt;=65,CODE(MID(TRIM(UPPER(E58)),1,1))&lt;=90,CODE(MID(TRIM(UPPER(E58)),2,1))&gt;=65,CODE(MID(TRIM(UPPER(E58)),2,1))&lt;=90,CODE(MID(TRIM(UPPER(E58)),3,1))&gt;=65,CODE(MID(TRIM(UPPER(E58)),3,1))&lt;=90,CODE(MID(TRIM(UPPER(E58)),4,1))&gt;=65,CODE(MID(TRIM(UPPER(E58)),4,1))&lt;=90,CODE(MID(TRIM(UPPER(E58)),5,1))&gt;=65,CODE(MID(TRIM(UPPER(E58)),5,1))&lt;=90,CODE(MID(TRIM(UPPER(E58)),10,1))&gt;=65,CODE(MID(TRIM(UPPER(E58)),10,1))&lt;=90,CODE(MID(TRIM(UPPER(E58)),6,1))&gt;=48,CODE(MID(TRIM(UPPER(E58)),6,1))&lt;=57,CODE(MID(TRIM(UPPER(E58)),7,1))&gt;=48,CODE(MID(TRIM(UPPER(E58)),7,1))&lt;=57,CODE(MID(TRIM(UPPER(E58)),8,1))&gt;=48,CODE(MID(TRIM(UPPER(E58)),8,1))&lt;=57,CODE(MID(TRIM(UPPER(E58)),9,1))&gt;=48,CODE(MID(TRIM(UPPER(E58)),9,1))&lt;=57),"N","Y"))</f>
      </c>
      <c r="G58" s="7">
        <f>IF($D58="","",IF(LEN(E58)&lt;4,"",IF(UPPER(MID(E58,4,1))="P","Individual",IF(UPPER(MID(E58,4,1))="H","HUF",IF(UPPER(MID(E58,4,1))="C","Company",IF(UPPER(MID(E58,4,1))="F","Firm",IF(UPPER(MID(E58,4,1))="L","LLP",IF(UPPER(MID(E58,4,1))="T","Trust",IF(UPPER(MID(E58,4,1))="A","AOP","")))))))))</f>
      </c>
      <c r="H58" s="8"/>
      <c r="I58" s="7">
        <f>IF($D58="","",IF(H58="","",IF(F58="Y",SUMPRODUCT(('Rate Lookup'!$A$1:$A$37=H58)*'Rate Lookup'!$D$1:$D$37),IF(OR(G58="Individual",G58="HUF"),SUMPRODUCT(('Rate Lookup'!$A$1:$A$37=H58)*'Rate Lookup'!$B$1:$B$37),SUMPRODUCT(('Rate Lookup'!$A$1:$A$37=H58)*'Rate Lookup'!$C$1:$C$37)))))</f>
      </c>
      <c r="J58" s="8"/>
      <c r="K58" s="8"/>
      <c r="L58" s="7">
        <f>IF($D58="","",ROUND(K58*I58/100,0))</f>
      </c>
      <c r="M58" s="7">
        <f>IF($D58="","",0)</f>
      </c>
      <c r="N58" s="7">
        <f>IF($D58="","",0)</f>
      </c>
      <c r="O58" s="7">
        <f>IF($D58="","",IF(OR(L58=0,J58="",IFERROR(INDEX('Challan Master'!$D$4:$D$207,MATCH($B58,'Challan Master'!$S$4:$S$207,0)),"")="",IFERROR(INDEX('Challan Master'!$D$4:$D$207,MATCH($B58,'Challan Master'!$S$4:$S$207,0)),"")&lt;=0),0,IF(IFERROR(INDEX('Challan Master'!$D$4:$D$207,MATCH($B58,'Challan Master'!$S$4:$S$207,0)),"")&lt;=DATE(YEAR(J58),MONTH(J58)+1,7),0,ROUND(L58*0.015*((YEAR(IFERROR(INDEX('Challan Master'!$D$4:$D$207,MATCH($B58,'Challan Master'!$S$4:$S$207,0)),""))-YEAR(J58))*12+(MONTH(IFERROR(INDEX('Challan Master'!$D$4:$D$207,MATCH($B58,'Challan Master'!$S$4:$S$207,0)),""))-MONTH(J58))+1),0))))</f>
      </c>
      <c r="P58" s="7">
        <f>IF($D58="","",0)</f>
      </c>
      <c r="Q58" s="8"/>
      <c r="R58" s="8"/>
      <c r="S58" s="8"/>
      <c r="T58" s="8"/>
      <c r="U58" s="8"/>
      <c r="V58" s="7">
        <f>IF($B58="","",IFERROR(INDEX('Challan Master'!$AA$4:$AA$207,MATCH($B58,'Challan Master'!$S$4:$S$207,0)),""))</f>
      </c>
    </row>
    <row r="59" spans="1:22" x14ac:dyDescent="0.25">
      <c r="A59" s="7">
        <f>IF($D59="","",COUNTIF($D$4:$D59,"&lt;&gt;"))</f>
      </c>
      <c r="B59" s="8"/>
      <c r="C59" s="7">
        <f>IF($B59="","","BSR "&amp;IFERROR(INDEX('Challan Master'!$B$4:$B$207,MATCH($B59,'Challan Master'!$S$4:$S$207,0)),"")&amp;" | Serial "&amp;IFERROR(INDEX('Challan Master'!$C$4:$C$207,MATCH($B59,'Challan Master'!$S$4:$S$207,0)),"")&amp;" | Deposit "&amp;TEXT(IFERROR(INDEX('Challan Master'!$D$4:$D$207,MATCH($B59,'Challan Master'!$S$4:$S$207,0)),""),"dd-mm-yyyy")&amp;" | Minor Head "&amp;IFERROR(INDEX('Challan Master'!$E$4:$E$207,MATCH($B59,'Challan Master'!$S$4:$S$207,0)),"")&amp;" | Tax ₹"&amp;TEXT(IFERROR(INDEX('Challan Master'!$G$4:$G$207,MATCH($B59,'Challan Master'!$S$4:$S$207,0)),""),"#,##0")&amp;" | Section "&amp;IFERROR(INDEX('Challan Master'!$F$4:$F$207,MATCH($B59,'Challan Master'!$S$4:$S$207,0)),""))</f>
      </c>
      <c r="D59" s="8"/>
      <c r="E59" s="8"/>
      <c r="F59" s="7">
        <f>IF($D59="","",IF(AND(LEN(TRIM(UPPER(E59)))=10,CODE(MID(TRIM(UPPER(E59)),1,1))&gt;=65,CODE(MID(TRIM(UPPER(E59)),1,1))&lt;=90,CODE(MID(TRIM(UPPER(E59)),2,1))&gt;=65,CODE(MID(TRIM(UPPER(E59)),2,1))&lt;=90,CODE(MID(TRIM(UPPER(E59)),3,1))&gt;=65,CODE(MID(TRIM(UPPER(E59)),3,1))&lt;=90,CODE(MID(TRIM(UPPER(E59)),4,1))&gt;=65,CODE(MID(TRIM(UPPER(E59)),4,1))&lt;=90,CODE(MID(TRIM(UPPER(E59)),5,1))&gt;=65,CODE(MID(TRIM(UPPER(E59)),5,1))&lt;=90,CODE(MID(TRIM(UPPER(E59)),10,1))&gt;=65,CODE(MID(TRIM(UPPER(E59)),10,1))&lt;=90,CODE(MID(TRIM(UPPER(E59)),6,1))&gt;=48,CODE(MID(TRIM(UPPER(E59)),6,1))&lt;=57,CODE(MID(TRIM(UPPER(E59)),7,1))&gt;=48,CODE(MID(TRIM(UPPER(E59)),7,1))&lt;=57,CODE(MID(TRIM(UPPER(E59)),8,1))&gt;=48,CODE(MID(TRIM(UPPER(E59)),8,1))&lt;=57,CODE(MID(TRIM(UPPER(E59)),9,1))&gt;=48,CODE(MID(TRIM(UPPER(E59)),9,1))&lt;=57),"N","Y"))</f>
      </c>
      <c r="G59" s="7">
        <f>IF($D59="","",IF(LEN(E59)&lt;4,"",IF(UPPER(MID(E59,4,1))="P","Individual",IF(UPPER(MID(E59,4,1))="H","HUF",IF(UPPER(MID(E59,4,1))="C","Company",IF(UPPER(MID(E59,4,1))="F","Firm",IF(UPPER(MID(E59,4,1))="L","LLP",IF(UPPER(MID(E59,4,1))="T","Trust",IF(UPPER(MID(E59,4,1))="A","AOP","")))))))))</f>
      </c>
      <c r="H59" s="8"/>
      <c r="I59" s="7">
        <f>IF($D59="","",IF(H59="","",IF(F59="Y",SUMPRODUCT(('Rate Lookup'!$A$1:$A$37=H59)*'Rate Lookup'!$D$1:$D$37),IF(OR(G59="Individual",G59="HUF"),SUMPRODUCT(('Rate Lookup'!$A$1:$A$37=H59)*'Rate Lookup'!$B$1:$B$37),SUMPRODUCT(('Rate Lookup'!$A$1:$A$37=H59)*'Rate Lookup'!$C$1:$C$37)))))</f>
      </c>
      <c r="J59" s="8"/>
      <c r="K59" s="8"/>
      <c r="L59" s="7">
        <f>IF($D59="","",ROUND(K59*I59/100,0))</f>
      </c>
      <c r="M59" s="7">
        <f>IF($D59="","",0)</f>
      </c>
      <c r="N59" s="7">
        <f>IF($D59="","",0)</f>
      </c>
      <c r="O59" s="7">
        <f>IF($D59="","",IF(OR(L59=0,J59="",IFERROR(INDEX('Challan Master'!$D$4:$D$207,MATCH($B59,'Challan Master'!$S$4:$S$207,0)),"")="",IFERROR(INDEX('Challan Master'!$D$4:$D$207,MATCH($B59,'Challan Master'!$S$4:$S$207,0)),"")&lt;=0),0,IF(IFERROR(INDEX('Challan Master'!$D$4:$D$207,MATCH($B59,'Challan Master'!$S$4:$S$207,0)),"")&lt;=DATE(YEAR(J59),MONTH(J59)+1,7),0,ROUND(L59*0.015*((YEAR(IFERROR(INDEX('Challan Master'!$D$4:$D$207,MATCH($B59,'Challan Master'!$S$4:$S$207,0)),""))-YEAR(J59))*12+(MONTH(IFERROR(INDEX('Challan Master'!$D$4:$D$207,MATCH($B59,'Challan Master'!$S$4:$S$207,0)),""))-MONTH(J59))+1),0))))</f>
      </c>
      <c r="P59" s="7">
        <f>IF($D59="","",0)</f>
      </c>
      <c r="Q59" s="8"/>
      <c r="R59" s="8"/>
      <c r="S59" s="8"/>
      <c r="T59" s="8"/>
      <c r="U59" s="8"/>
      <c r="V59" s="7">
        <f>IF($B59="","",IFERROR(INDEX('Challan Master'!$AA$4:$AA$207,MATCH($B59,'Challan Master'!$S$4:$S$207,0)),""))</f>
      </c>
    </row>
    <row r="60" spans="1:22" x14ac:dyDescent="0.25">
      <c r="A60" s="7">
        <f>IF($D60="","",COUNTIF($D$4:$D60,"&lt;&gt;"))</f>
      </c>
      <c r="B60" s="8"/>
      <c r="C60" s="7">
        <f>IF($B60="","","BSR "&amp;IFERROR(INDEX('Challan Master'!$B$4:$B$207,MATCH($B60,'Challan Master'!$S$4:$S$207,0)),"")&amp;" | Serial "&amp;IFERROR(INDEX('Challan Master'!$C$4:$C$207,MATCH($B60,'Challan Master'!$S$4:$S$207,0)),"")&amp;" | Deposit "&amp;TEXT(IFERROR(INDEX('Challan Master'!$D$4:$D$207,MATCH($B60,'Challan Master'!$S$4:$S$207,0)),""),"dd-mm-yyyy")&amp;" | Minor Head "&amp;IFERROR(INDEX('Challan Master'!$E$4:$E$207,MATCH($B60,'Challan Master'!$S$4:$S$207,0)),"")&amp;" | Tax ₹"&amp;TEXT(IFERROR(INDEX('Challan Master'!$G$4:$G$207,MATCH($B60,'Challan Master'!$S$4:$S$207,0)),""),"#,##0")&amp;" | Section "&amp;IFERROR(INDEX('Challan Master'!$F$4:$F$207,MATCH($B60,'Challan Master'!$S$4:$S$207,0)),""))</f>
      </c>
      <c r="D60" s="8"/>
      <c r="E60" s="8"/>
      <c r="F60" s="7">
        <f>IF($D60="","",IF(AND(LEN(TRIM(UPPER(E60)))=10,CODE(MID(TRIM(UPPER(E60)),1,1))&gt;=65,CODE(MID(TRIM(UPPER(E60)),1,1))&lt;=90,CODE(MID(TRIM(UPPER(E60)),2,1))&gt;=65,CODE(MID(TRIM(UPPER(E60)),2,1))&lt;=90,CODE(MID(TRIM(UPPER(E60)),3,1))&gt;=65,CODE(MID(TRIM(UPPER(E60)),3,1))&lt;=90,CODE(MID(TRIM(UPPER(E60)),4,1))&gt;=65,CODE(MID(TRIM(UPPER(E60)),4,1))&lt;=90,CODE(MID(TRIM(UPPER(E60)),5,1))&gt;=65,CODE(MID(TRIM(UPPER(E60)),5,1))&lt;=90,CODE(MID(TRIM(UPPER(E60)),10,1))&gt;=65,CODE(MID(TRIM(UPPER(E60)),10,1))&lt;=90,CODE(MID(TRIM(UPPER(E60)),6,1))&gt;=48,CODE(MID(TRIM(UPPER(E60)),6,1))&lt;=57,CODE(MID(TRIM(UPPER(E60)),7,1))&gt;=48,CODE(MID(TRIM(UPPER(E60)),7,1))&lt;=57,CODE(MID(TRIM(UPPER(E60)),8,1))&gt;=48,CODE(MID(TRIM(UPPER(E60)),8,1))&lt;=57,CODE(MID(TRIM(UPPER(E60)),9,1))&gt;=48,CODE(MID(TRIM(UPPER(E60)),9,1))&lt;=57),"N","Y"))</f>
      </c>
      <c r="G60" s="7">
        <f>IF($D60="","",IF(LEN(E60)&lt;4,"",IF(UPPER(MID(E60,4,1))="P","Individual",IF(UPPER(MID(E60,4,1))="H","HUF",IF(UPPER(MID(E60,4,1))="C","Company",IF(UPPER(MID(E60,4,1))="F","Firm",IF(UPPER(MID(E60,4,1))="L","LLP",IF(UPPER(MID(E60,4,1))="T","Trust",IF(UPPER(MID(E60,4,1))="A","AOP","")))))))))</f>
      </c>
      <c r="H60" s="8"/>
      <c r="I60" s="7">
        <f>IF($D60="","",IF(H60="","",IF(F60="Y",SUMPRODUCT(('Rate Lookup'!$A$1:$A$37=H60)*'Rate Lookup'!$D$1:$D$37),IF(OR(G60="Individual",G60="HUF"),SUMPRODUCT(('Rate Lookup'!$A$1:$A$37=H60)*'Rate Lookup'!$B$1:$B$37),SUMPRODUCT(('Rate Lookup'!$A$1:$A$37=H60)*'Rate Lookup'!$C$1:$C$37)))))</f>
      </c>
      <c r="J60" s="8"/>
      <c r="K60" s="8"/>
      <c r="L60" s="7">
        <f>IF($D60="","",ROUND(K60*I60/100,0))</f>
      </c>
      <c r="M60" s="7">
        <f>IF($D60="","",0)</f>
      </c>
      <c r="N60" s="7">
        <f>IF($D60="","",0)</f>
      </c>
      <c r="O60" s="7">
        <f>IF($D60="","",IF(OR(L60=0,J60="",IFERROR(INDEX('Challan Master'!$D$4:$D$207,MATCH($B60,'Challan Master'!$S$4:$S$207,0)),"")="",IFERROR(INDEX('Challan Master'!$D$4:$D$207,MATCH($B60,'Challan Master'!$S$4:$S$207,0)),"")&lt;=0),0,IF(IFERROR(INDEX('Challan Master'!$D$4:$D$207,MATCH($B60,'Challan Master'!$S$4:$S$207,0)),"")&lt;=DATE(YEAR(J60),MONTH(J60)+1,7),0,ROUND(L60*0.015*((YEAR(IFERROR(INDEX('Challan Master'!$D$4:$D$207,MATCH($B60,'Challan Master'!$S$4:$S$207,0)),""))-YEAR(J60))*12+(MONTH(IFERROR(INDEX('Challan Master'!$D$4:$D$207,MATCH($B60,'Challan Master'!$S$4:$S$207,0)),""))-MONTH(J60))+1),0))))</f>
      </c>
      <c r="P60" s="7">
        <f>IF($D60="","",0)</f>
      </c>
      <c r="Q60" s="8"/>
      <c r="R60" s="8"/>
      <c r="S60" s="8"/>
      <c r="T60" s="8"/>
      <c r="U60" s="8"/>
      <c r="V60" s="7">
        <f>IF($B60="","",IFERROR(INDEX('Challan Master'!$AA$4:$AA$207,MATCH($B60,'Challan Master'!$S$4:$S$207,0)),""))</f>
      </c>
    </row>
    <row r="61" spans="1:22" x14ac:dyDescent="0.25">
      <c r="A61" s="7">
        <f>IF($D61="","",COUNTIF($D$4:$D61,"&lt;&gt;"))</f>
      </c>
      <c r="B61" s="8"/>
      <c r="C61" s="7">
        <f>IF($B61="","","BSR "&amp;IFERROR(INDEX('Challan Master'!$B$4:$B$207,MATCH($B61,'Challan Master'!$S$4:$S$207,0)),"")&amp;" | Serial "&amp;IFERROR(INDEX('Challan Master'!$C$4:$C$207,MATCH($B61,'Challan Master'!$S$4:$S$207,0)),"")&amp;" | Deposit "&amp;TEXT(IFERROR(INDEX('Challan Master'!$D$4:$D$207,MATCH($B61,'Challan Master'!$S$4:$S$207,0)),""),"dd-mm-yyyy")&amp;" | Minor Head "&amp;IFERROR(INDEX('Challan Master'!$E$4:$E$207,MATCH($B61,'Challan Master'!$S$4:$S$207,0)),"")&amp;" | Tax ₹"&amp;TEXT(IFERROR(INDEX('Challan Master'!$G$4:$G$207,MATCH($B61,'Challan Master'!$S$4:$S$207,0)),""),"#,##0")&amp;" | Section "&amp;IFERROR(INDEX('Challan Master'!$F$4:$F$207,MATCH($B61,'Challan Master'!$S$4:$S$207,0)),""))</f>
      </c>
      <c r="D61" s="8"/>
      <c r="E61" s="8"/>
      <c r="F61" s="7">
        <f>IF($D61="","",IF(AND(LEN(TRIM(UPPER(E61)))=10,CODE(MID(TRIM(UPPER(E61)),1,1))&gt;=65,CODE(MID(TRIM(UPPER(E61)),1,1))&lt;=90,CODE(MID(TRIM(UPPER(E61)),2,1))&gt;=65,CODE(MID(TRIM(UPPER(E61)),2,1))&lt;=90,CODE(MID(TRIM(UPPER(E61)),3,1))&gt;=65,CODE(MID(TRIM(UPPER(E61)),3,1))&lt;=90,CODE(MID(TRIM(UPPER(E61)),4,1))&gt;=65,CODE(MID(TRIM(UPPER(E61)),4,1))&lt;=90,CODE(MID(TRIM(UPPER(E61)),5,1))&gt;=65,CODE(MID(TRIM(UPPER(E61)),5,1))&lt;=90,CODE(MID(TRIM(UPPER(E61)),10,1))&gt;=65,CODE(MID(TRIM(UPPER(E61)),10,1))&lt;=90,CODE(MID(TRIM(UPPER(E61)),6,1))&gt;=48,CODE(MID(TRIM(UPPER(E61)),6,1))&lt;=57,CODE(MID(TRIM(UPPER(E61)),7,1))&gt;=48,CODE(MID(TRIM(UPPER(E61)),7,1))&lt;=57,CODE(MID(TRIM(UPPER(E61)),8,1))&gt;=48,CODE(MID(TRIM(UPPER(E61)),8,1))&lt;=57,CODE(MID(TRIM(UPPER(E61)),9,1))&gt;=48,CODE(MID(TRIM(UPPER(E61)),9,1))&lt;=57),"N","Y"))</f>
      </c>
      <c r="G61" s="7">
        <f>IF($D61="","",IF(LEN(E61)&lt;4,"",IF(UPPER(MID(E61,4,1))="P","Individual",IF(UPPER(MID(E61,4,1))="H","HUF",IF(UPPER(MID(E61,4,1))="C","Company",IF(UPPER(MID(E61,4,1))="F","Firm",IF(UPPER(MID(E61,4,1))="L","LLP",IF(UPPER(MID(E61,4,1))="T","Trust",IF(UPPER(MID(E61,4,1))="A","AOP","")))))))))</f>
      </c>
      <c r="H61" s="8"/>
      <c r="I61" s="7">
        <f>IF($D61="","",IF(H61="","",IF(F61="Y",SUMPRODUCT(('Rate Lookup'!$A$1:$A$37=H61)*'Rate Lookup'!$D$1:$D$37),IF(OR(G61="Individual",G61="HUF"),SUMPRODUCT(('Rate Lookup'!$A$1:$A$37=H61)*'Rate Lookup'!$B$1:$B$37),SUMPRODUCT(('Rate Lookup'!$A$1:$A$37=H61)*'Rate Lookup'!$C$1:$C$37)))))</f>
      </c>
      <c r="J61" s="8"/>
      <c r="K61" s="8"/>
      <c r="L61" s="7">
        <f>IF($D61="","",ROUND(K61*I61/100,0))</f>
      </c>
      <c r="M61" s="7">
        <f>IF($D61="","",0)</f>
      </c>
      <c r="N61" s="7">
        <f>IF($D61="","",0)</f>
      </c>
      <c r="O61" s="7">
        <f>IF($D61="","",IF(OR(L61=0,J61="",IFERROR(INDEX('Challan Master'!$D$4:$D$207,MATCH($B61,'Challan Master'!$S$4:$S$207,0)),"")="",IFERROR(INDEX('Challan Master'!$D$4:$D$207,MATCH($B61,'Challan Master'!$S$4:$S$207,0)),"")&lt;=0),0,IF(IFERROR(INDEX('Challan Master'!$D$4:$D$207,MATCH($B61,'Challan Master'!$S$4:$S$207,0)),"")&lt;=DATE(YEAR(J61),MONTH(J61)+1,7),0,ROUND(L61*0.015*((YEAR(IFERROR(INDEX('Challan Master'!$D$4:$D$207,MATCH($B61,'Challan Master'!$S$4:$S$207,0)),""))-YEAR(J61))*12+(MONTH(IFERROR(INDEX('Challan Master'!$D$4:$D$207,MATCH($B61,'Challan Master'!$S$4:$S$207,0)),""))-MONTH(J61))+1),0))))</f>
      </c>
      <c r="P61" s="7">
        <f>IF($D61="","",0)</f>
      </c>
      <c r="Q61" s="8"/>
      <c r="R61" s="8"/>
      <c r="S61" s="8"/>
      <c r="T61" s="8"/>
      <c r="U61" s="8"/>
      <c r="V61" s="7">
        <f>IF($B61="","",IFERROR(INDEX('Challan Master'!$AA$4:$AA$207,MATCH($B61,'Challan Master'!$S$4:$S$207,0)),""))</f>
      </c>
    </row>
    <row r="62" spans="1:22" x14ac:dyDescent="0.25">
      <c r="A62" s="7">
        <f>IF($D62="","",COUNTIF($D$4:$D62,"&lt;&gt;"))</f>
      </c>
      <c r="B62" s="8"/>
      <c r="C62" s="7">
        <f>IF($B62="","","BSR "&amp;IFERROR(INDEX('Challan Master'!$B$4:$B$207,MATCH($B62,'Challan Master'!$S$4:$S$207,0)),"")&amp;" | Serial "&amp;IFERROR(INDEX('Challan Master'!$C$4:$C$207,MATCH($B62,'Challan Master'!$S$4:$S$207,0)),"")&amp;" | Deposit "&amp;TEXT(IFERROR(INDEX('Challan Master'!$D$4:$D$207,MATCH($B62,'Challan Master'!$S$4:$S$207,0)),""),"dd-mm-yyyy")&amp;" | Minor Head "&amp;IFERROR(INDEX('Challan Master'!$E$4:$E$207,MATCH($B62,'Challan Master'!$S$4:$S$207,0)),"")&amp;" | Tax ₹"&amp;TEXT(IFERROR(INDEX('Challan Master'!$G$4:$G$207,MATCH($B62,'Challan Master'!$S$4:$S$207,0)),""),"#,##0")&amp;" | Section "&amp;IFERROR(INDEX('Challan Master'!$F$4:$F$207,MATCH($B62,'Challan Master'!$S$4:$S$207,0)),""))</f>
      </c>
      <c r="D62" s="8"/>
      <c r="E62" s="8"/>
      <c r="F62" s="7">
        <f>IF($D62="","",IF(AND(LEN(TRIM(UPPER(E62)))=10,CODE(MID(TRIM(UPPER(E62)),1,1))&gt;=65,CODE(MID(TRIM(UPPER(E62)),1,1))&lt;=90,CODE(MID(TRIM(UPPER(E62)),2,1))&gt;=65,CODE(MID(TRIM(UPPER(E62)),2,1))&lt;=90,CODE(MID(TRIM(UPPER(E62)),3,1))&gt;=65,CODE(MID(TRIM(UPPER(E62)),3,1))&lt;=90,CODE(MID(TRIM(UPPER(E62)),4,1))&gt;=65,CODE(MID(TRIM(UPPER(E62)),4,1))&lt;=90,CODE(MID(TRIM(UPPER(E62)),5,1))&gt;=65,CODE(MID(TRIM(UPPER(E62)),5,1))&lt;=90,CODE(MID(TRIM(UPPER(E62)),10,1))&gt;=65,CODE(MID(TRIM(UPPER(E62)),10,1))&lt;=90,CODE(MID(TRIM(UPPER(E62)),6,1))&gt;=48,CODE(MID(TRIM(UPPER(E62)),6,1))&lt;=57,CODE(MID(TRIM(UPPER(E62)),7,1))&gt;=48,CODE(MID(TRIM(UPPER(E62)),7,1))&lt;=57,CODE(MID(TRIM(UPPER(E62)),8,1))&gt;=48,CODE(MID(TRIM(UPPER(E62)),8,1))&lt;=57,CODE(MID(TRIM(UPPER(E62)),9,1))&gt;=48,CODE(MID(TRIM(UPPER(E62)),9,1))&lt;=57),"N","Y"))</f>
      </c>
      <c r="G62" s="7">
        <f>IF($D62="","",IF(LEN(E62)&lt;4,"",IF(UPPER(MID(E62,4,1))="P","Individual",IF(UPPER(MID(E62,4,1))="H","HUF",IF(UPPER(MID(E62,4,1))="C","Company",IF(UPPER(MID(E62,4,1))="F","Firm",IF(UPPER(MID(E62,4,1))="L","LLP",IF(UPPER(MID(E62,4,1))="T","Trust",IF(UPPER(MID(E62,4,1))="A","AOP","")))))))))</f>
      </c>
      <c r="H62" s="8"/>
      <c r="I62" s="7">
        <f>IF($D62="","",IF(H62="","",IF(F62="Y",SUMPRODUCT(('Rate Lookup'!$A$1:$A$37=H62)*'Rate Lookup'!$D$1:$D$37),IF(OR(G62="Individual",G62="HUF"),SUMPRODUCT(('Rate Lookup'!$A$1:$A$37=H62)*'Rate Lookup'!$B$1:$B$37),SUMPRODUCT(('Rate Lookup'!$A$1:$A$37=H62)*'Rate Lookup'!$C$1:$C$37)))))</f>
      </c>
      <c r="J62" s="8"/>
      <c r="K62" s="8"/>
      <c r="L62" s="7">
        <f>IF($D62="","",ROUND(K62*I62/100,0))</f>
      </c>
      <c r="M62" s="7">
        <f>IF($D62="","",0)</f>
      </c>
      <c r="N62" s="7">
        <f>IF($D62="","",0)</f>
      </c>
      <c r="O62" s="7">
        <f>IF($D62="","",IF(OR(L62=0,J62="",IFERROR(INDEX('Challan Master'!$D$4:$D$207,MATCH($B62,'Challan Master'!$S$4:$S$207,0)),"")="",IFERROR(INDEX('Challan Master'!$D$4:$D$207,MATCH($B62,'Challan Master'!$S$4:$S$207,0)),"")&lt;=0),0,IF(IFERROR(INDEX('Challan Master'!$D$4:$D$207,MATCH($B62,'Challan Master'!$S$4:$S$207,0)),"")&lt;=DATE(YEAR(J62),MONTH(J62)+1,7),0,ROUND(L62*0.015*((YEAR(IFERROR(INDEX('Challan Master'!$D$4:$D$207,MATCH($B62,'Challan Master'!$S$4:$S$207,0)),""))-YEAR(J62))*12+(MONTH(IFERROR(INDEX('Challan Master'!$D$4:$D$207,MATCH($B62,'Challan Master'!$S$4:$S$207,0)),""))-MONTH(J62))+1),0))))</f>
      </c>
      <c r="P62" s="7">
        <f>IF($D62="","",0)</f>
      </c>
      <c r="Q62" s="8"/>
      <c r="R62" s="8"/>
      <c r="S62" s="8"/>
      <c r="T62" s="8"/>
      <c r="U62" s="8"/>
      <c r="V62" s="7">
        <f>IF($B62="","",IFERROR(INDEX('Challan Master'!$AA$4:$AA$207,MATCH($B62,'Challan Master'!$S$4:$S$207,0)),""))</f>
      </c>
    </row>
    <row r="63" spans="1:22" x14ac:dyDescent="0.25">
      <c r="A63" s="7">
        <f>IF($D63="","",COUNTIF($D$4:$D63,"&lt;&gt;"))</f>
      </c>
      <c r="B63" s="8"/>
      <c r="C63" s="7">
        <f>IF($B63="","","BSR "&amp;IFERROR(INDEX('Challan Master'!$B$4:$B$207,MATCH($B63,'Challan Master'!$S$4:$S$207,0)),"")&amp;" | Serial "&amp;IFERROR(INDEX('Challan Master'!$C$4:$C$207,MATCH($B63,'Challan Master'!$S$4:$S$207,0)),"")&amp;" | Deposit "&amp;TEXT(IFERROR(INDEX('Challan Master'!$D$4:$D$207,MATCH($B63,'Challan Master'!$S$4:$S$207,0)),""),"dd-mm-yyyy")&amp;" | Minor Head "&amp;IFERROR(INDEX('Challan Master'!$E$4:$E$207,MATCH($B63,'Challan Master'!$S$4:$S$207,0)),"")&amp;" | Tax ₹"&amp;TEXT(IFERROR(INDEX('Challan Master'!$G$4:$G$207,MATCH($B63,'Challan Master'!$S$4:$S$207,0)),""),"#,##0")&amp;" | Section "&amp;IFERROR(INDEX('Challan Master'!$F$4:$F$207,MATCH($B63,'Challan Master'!$S$4:$S$207,0)),""))</f>
      </c>
      <c r="D63" s="8"/>
      <c r="E63" s="8"/>
      <c r="F63" s="7">
        <f>IF($D63="","",IF(AND(LEN(TRIM(UPPER(E63)))=10,CODE(MID(TRIM(UPPER(E63)),1,1))&gt;=65,CODE(MID(TRIM(UPPER(E63)),1,1))&lt;=90,CODE(MID(TRIM(UPPER(E63)),2,1))&gt;=65,CODE(MID(TRIM(UPPER(E63)),2,1))&lt;=90,CODE(MID(TRIM(UPPER(E63)),3,1))&gt;=65,CODE(MID(TRIM(UPPER(E63)),3,1))&lt;=90,CODE(MID(TRIM(UPPER(E63)),4,1))&gt;=65,CODE(MID(TRIM(UPPER(E63)),4,1))&lt;=90,CODE(MID(TRIM(UPPER(E63)),5,1))&gt;=65,CODE(MID(TRIM(UPPER(E63)),5,1))&lt;=90,CODE(MID(TRIM(UPPER(E63)),10,1))&gt;=65,CODE(MID(TRIM(UPPER(E63)),10,1))&lt;=90,CODE(MID(TRIM(UPPER(E63)),6,1))&gt;=48,CODE(MID(TRIM(UPPER(E63)),6,1))&lt;=57,CODE(MID(TRIM(UPPER(E63)),7,1))&gt;=48,CODE(MID(TRIM(UPPER(E63)),7,1))&lt;=57,CODE(MID(TRIM(UPPER(E63)),8,1))&gt;=48,CODE(MID(TRIM(UPPER(E63)),8,1))&lt;=57,CODE(MID(TRIM(UPPER(E63)),9,1))&gt;=48,CODE(MID(TRIM(UPPER(E63)),9,1))&lt;=57),"N","Y"))</f>
      </c>
      <c r="G63" s="7">
        <f>IF($D63="","",IF(LEN(E63)&lt;4,"",IF(UPPER(MID(E63,4,1))="P","Individual",IF(UPPER(MID(E63,4,1))="H","HUF",IF(UPPER(MID(E63,4,1))="C","Company",IF(UPPER(MID(E63,4,1))="F","Firm",IF(UPPER(MID(E63,4,1))="L","LLP",IF(UPPER(MID(E63,4,1))="T","Trust",IF(UPPER(MID(E63,4,1))="A","AOP","")))))))))</f>
      </c>
      <c r="H63" s="8"/>
      <c r="I63" s="7">
        <f>IF($D63="","",IF(H63="","",IF(F63="Y",SUMPRODUCT(('Rate Lookup'!$A$1:$A$37=H63)*'Rate Lookup'!$D$1:$D$37),IF(OR(G63="Individual",G63="HUF"),SUMPRODUCT(('Rate Lookup'!$A$1:$A$37=H63)*'Rate Lookup'!$B$1:$B$37),SUMPRODUCT(('Rate Lookup'!$A$1:$A$37=H63)*'Rate Lookup'!$C$1:$C$37)))))</f>
      </c>
      <c r="J63" s="8"/>
      <c r="K63" s="8"/>
      <c r="L63" s="7">
        <f>IF($D63="","",ROUND(K63*I63/100,0))</f>
      </c>
      <c r="M63" s="7">
        <f>IF($D63="","",0)</f>
      </c>
      <c r="N63" s="7">
        <f>IF($D63="","",0)</f>
      </c>
      <c r="O63" s="7">
        <f>IF($D63="","",IF(OR(L63=0,J63="",IFERROR(INDEX('Challan Master'!$D$4:$D$207,MATCH($B63,'Challan Master'!$S$4:$S$207,0)),"")="",IFERROR(INDEX('Challan Master'!$D$4:$D$207,MATCH($B63,'Challan Master'!$S$4:$S$207,0)),"")&lt;=0),0,IF(IFERROR(INDEX('Challan Master'!$D$4:$D$207,MATCH($B63,'Challan Master'!$S$4:$S$207,0)),"")&lt;=DATE(YEAR(J63),MONTH(J63)+1,7),0,ROUND(L63*0.015*((YEAR(IFERROR(INDEX('Challan Master'!$D$4:$D$207,MATCH($B63,'Challan Master'!$S$4:$S$207,0)),""))-YEAR(J63))*12+(MONTH(IFERROR(INDEX('Challan Master'!$D$4:$D$207,MATCH($B63,'Challan Master'!$S$4:$S$207,0)),""))-MONTH(J63))+1),0))))</f>
      </c>
      <c r="P63" s="7">
        <f>IF($D63="","",0)</f>
      </c>
      <c r="Q63" s="8"/>
      <c r="R63" s="8"/>
      <c r="S63" s="8"/>
      <c r="T63" s="8"/>
      <c r="U63" s="8"/>
      <c r="V63" s="7">
        <f>IF($B63="","",IFERROR(INDEX('Challan Master'!$AA$4:$AA$207,MATCH($B63,'Challan Master'!$S$4:$S$207,0)),""))</f>
      </c>
    </row>
    <row r="64" spans="1:22" x14ac:dyDescent="0.25">
      <c r="A64" s="7">
        <f>IF($D64="","",COUNTIF($D$4:$D64,"&lt;&gt;"))</f>
      </c>
      <c r="B64" s="8"/>
      <c r="C64" s="7">
        <f>IF($B64="","","BSR "&amp;IFERROR(INDEX('Challan Master'!$B$4:$B$207,MATCH($B64,'Challan Master'!$S$4:$S$207,0)),"")&amp;" | Serial "&amp;IFERROR(INDEX('Challan Master'!$C$4:$C$207,MATCH($B64,'Challan Master'!$S$4:$S$207,0)),"")&amp;" | Deposit "&amp;TEXT(IFERROR(INDEX('Challan Master'!$D$4:$D$207,MATCH($B64,'Challan Master'!$S$4:$S$207,0)),""),"dd-mm-yyyy")&amp;" | Minor Head "&amp;IFERROR(INDEX('Challan Master'!$E$4:$E$207,MATCH($B64,'Challan Master'!$S$4:$S$207,0)),"")&amp;" | Tax ₹"&amp;TEXT(IFERROR(INDEX('Challan Master'!$G$4:$G$207,MATCH($B64,'Challan Master'!$S$4:$S$207,0)),""),"#,##0")&amp;" | Section "&amp;IFERROR(INDEX('Challan Master'!$F$4:$F$207,MATCH($B64,'Challan Master'!$S$4:$S$207,0)),""))</f>
      </c>
      <c r="D64" s="8"/>
      <c r="E64" s="8"/>
      <c r="F64" s="7">
        <f>IF($D64="","",IF(AND(LEN(TRIM(UPPER(E64)))=10,CODE(MID(TRIM(UPPER(E64)),1,1))&gt;=65,CODE(MID(TRIM(UPPER(E64)),1,1))&lt;=90,CODE(MID(TRIM(UPPER(E64)),2,1))&gt;=65,CODE(MID(TRIM(UPPER(E64)),2,1))&lt;=90,CODE(MID(TRIM(UPPER(E64)),3,1))&gt;=65,CODE(MID(TRIM(UPPER(E64)),3,1))&lt;=90,CODE(MID(TRIM(UPPER(E64)),4,1))&gt;=65,CODE(MID(TRIM(UPPER(E64)),4,1))&lt;=90,CODE(MID(TRIM(UPPER(E64)),5,1))&gt;=65,CODE(MID(TRIM(UPPER(E64)),5,1))&lt;=90,CODE(MID(TRIM(UPPER(E64)),10,1))&gt;=65,CODE(MID(TRIM(UPPER(E64)),10,1))&lt;=90,CODE(MID(TRIM(UPPER(E64)),6,1))&gt;=48,CODE(MID(TRIM(UPPER(E64)),6,1))&lt;=57,CODE(MID(TRIM(UPPER(E64)),7,1))&gt;=48,CODE(MID(TRIM(UPPER(E64)),7,1))&lt;=57,CODE(MID(TRIM(UPPER(E64)),8,1))&gt;=48,CODE(MID(TRIM(UPPER(E64)),8,1))&lt;=57,CODE(MID(TRIM(UPPER(E64)),9,1))&gt;=48,CODE(MID(TRIM(UPPER(E64)),9,1))&lt;=57),"N","Y"))</f>
      </c>
      <c r="G64" s="7">
        <f>IF($D64="","",IF(LEN(E64)&lt;4,"",IF(UPPER(MID(E64,4,1))="P","Individual",IF(UPPER(MID(E64,4,1))="H","HUF",IF(UPPER(MID(E64,4,1))="C","Company",IF(UPPER(MID(E64,4,1))="F","Firm",IF(UPPER(MID(E64,4,1))="L","LLP",IF(UPPER(MID(E64,4,1))="T","Trust",IF(UPPER(MID(E64,4,1))="A","AOP","")))))))))</f>
      </c>
      <c r="H64" s="8"/>
      <c r="I64" s="7">
        <f>IF($D64="","",IF(H64="","",IF(F64="Y",SUMPRODUCT(('Rate Lookup'!$A$1:$A$37=H64)*'Rate Lookup'!$D$1:$D$37),IF(OR(G64="Individual",G64="HUF"),SUMPRODUCT(('Rate Lookup'!$A$1:$A$37=H64)*'Rate Lookup'!$B$1:$B$37),SUMPRODUCT(('Rate Lookup'!$A$1:$A$37=H64)*'Rate Lookup'!$C$1:$C$37)))))</f>
      </c>
      <c r="J64" s="8"/>
      <c r="K64" s="8"/>
      <c r="L64" s="7">
        <f>IF($D64="","",ROUND(K64*I64/100,0))</f>
      </c>
      <c r="M64" s="7">
        <f>IF($D64="","",0)</f>
      </c>
      <c r="N64" s="7">
        <f>IF($D64="","",0)</f>
      </c>
      <c r="O64" s="7">
        <f>IF($D64="","",IF(OR(L64=0,J64="",IFERROR(INDEX('Challan Master'!$D$4:$D$207,MATCH($B64,'Challan Master'!$S$4:$S$207,0)),"")="",IFERROR(INDEX('Challan Master'!$D$4:$D$207,MATCH($B64,'Challan Master'!$S$4:$S$207,0)),"")&lt;=0),0,IF(IFERROR(INDEX('Challan Master'!$D$4:$D$207,MATCH($B64,'Challan Master'!$S$4:$S$207,0)),"")&lt;=DATE(YEAR(J64),MONTH(J64)+1,7),0,ROUND(L64*0.015*((YEAR(IFERROR(INDEX('Challan Master'!$D$4:$D$207,MATCH($B64,'Challan Master'!$S$4:$S$207,0)),""))-YEAR(J64))*12+(MONTH(IFERROR(INDEX('Challan Master'!$D$4:$D$207,MATCH($B64,'Challan Master'!$S$4:$S$207,0)),""))-MONTH(J64))+1),0))))</f>
      </c>
      <c r="P64" s="7">
        <f>IF($D64="","",0)</f>
      </c>
      <c r="Q64" s="8"/>
      <c r="R64" s="8"/>
      <c r="S64" s="8"/>
      <c r="T64" s="8"/>
      <c r="U64" s="8"/>
      <c r="V64" s="7">
        <f>IF($B64="","",IFERROR(INDEX('Challan Master'!$AA$4:$AA$207,MATCH($B64,'Challan Master'!$S$4:$S$207,0)),""))</f>
      </c>
    </row>
    <row r="65" spans="1:22" x14ac:dyDescent="0.25">
      <c r="A65" s="7">
        <f>IF($D65="","",COUNTIF($D$4:$D65,"&lt;&gt;"))</f>
      </c>
      <c r="B65" s="8"/>
      <c r="C65" s="7">
        <f>IF($B65="","","BSR "&amp;IFERROR(INDEX('Challan Master'!$B$4:$B$207,MATCH($B65,'Challan Master'!$S$4:$S$207,0)),"")&amp;" | Serial "&amp;IFERROR(INDEX('Challan Master'!$C$4:$C$207,MATCH($B65,'Challan Master'!$S$4:$S$207,0)),"")&amp;" | Deposit "&amp;TEXT(IFERROR(INDEX('Challan Master'!$D$4:$D$207,MATCH($B65,'Challan Master'!$S$4:$S$207,0)),""),"dd-mm-yyyy")&amp;" | Minor Head "&amp;IFERROR(INDEX('Challan Master'!$E$4:$E$207,MATCH($B65,'Challan Master'!$S$4:$S$207,0)),"")&amp;" | Tax ₹"&amp;TEXT(IFERROR(INDEX('Challan Master'!$G$4:$G$207,MATCH($B65,'Challan Master'!$S$4:$S$207,0)),""),"#,##0")&amp;" | Section "&amp;IFERROR(INDEX('Challan Master'!$F$4:$F$207,MATCH($B65,'Challan Master'!$S$4:$S$207,0)),""))</f>
      </c>
      <c r="D65" s="8"/>
      <c r="E65" s="8"/>
      <c r="F65" s="7">
        <f>IF($D65="","",IF(AND(LEN(TRIM(UPPER(E65)))=10,CODE(MID(TRIM(UPPER(E65)),1,1))&gt;=65,CODE(MID(TRIM(UPPER(E65)),1,1))&lt;=90,CODE(MID(TRIM(UPPER(E65)),2,1))&gt;=65,CODE(MID(TRIM(UPPER(E65)),2,1))&lt;=90,CODE(MID(TRIM(UPPER(E65)),3,1))&gt;=65,CODE(MID(TRIM(UPPER(E65)),3,1))&lt;=90,CODE(MID(TRIM(UPPER(E65)),4,1))&gt;=65,CODE(MID(TRIM(UPPER(E65)),4,1))&lt;=90,CODE(MID(TRIM(UPPER(E65)),5,1))&gt;=65,CODE(MID(TRIM(UPPER(E65)),5,1))&lt;=90,CODE(MID(TRIM(UPPER(E65)),10,1))&gt;=65,CODE(MID(TRIM(UPPER(E65)),10,1))&lt;=90,CODE(MID(TRIM(UPPER(E65)),6,1))&gt;=48,CODE(MID(TRIM(UPPER(E65)),6,1))&lt;=57,CODE(MID(TRIM(UPPER(E65)),7,1))&gt;=48,CODE(MID(TRIM(UPPER(E65)),7,1))&lt;=57,CODE(MID(TRIM(UPPER(E65)),8,1))&gt;=48,CODE(MID(TRIM(UPPER(E65)),8,1))&lt;=57,CODE(MID(TRIM(UPPER(E65)),9,1))&gt;=48,CODE(MID(TRIM(UPPER(E65)),9,1))&lt;=57),"N","Y"))</f>
      </c>
      <c r="G65" s="7">
        <f>IF($D65="","",IF(LEN(E65)&lt;4,"",IF(UPPER(MID(E65,4,1))="P","Individual",IF(UPPER(MID(E65,4,1))="H","HUF",IF(UPPER(MID(E65,4,1))="C","Company",IF(UPPER(MID(E65,4,1))="F","Firm",IF(UPPER(MID(E65,4,1))="L","LLP",IF(UPPER(MID(E65,4,1))="T","Trust",IF(UPPER(MID(E65,4,1))="A","AOP","")))))))))</f>
      </c>
      <c r="H65" s="8"/>
      <c r="I65" s="7">
        <f>IF($D65="","",IF(H65="","",IF(F65="Y",SUMPRODUCT(('Rate Lookup'!$A$1:$A$37=H65)*'Rate Lookup'!$D$1:$D$37),IF(OR(G65="Individual",G65="HUF"),SUMPRODUCT(('Rate Lookup'!$A$1:$A$37=H65)*'Rate Lookup'!$B$1:$B$37),SUMPRODUCT(('Rate Lookup'!$A$1:$A$37=H65)*'Rate Lookup'!$C$1:$C$37)))))</f>
      </c>
      <c r="J65" s="8"/>
      <c r="K65" s="8"/>
      <c r="L65" s="7">
        <f>IF($D65="","",ROUND(K65*I65/100,0))</f>
      </c>
      <c r="M65" s="7">
        <f>IF($D65="","",0)</f>
      </c>
      <c r="N65" s="7">
        <f>IF($D65="","",0)</f>
      </c>
      <c r="O65" s="7">
        <f>IF($D65="","",IF(OR(L65=0,J65="",IFERROR(INDEX('Challan Master'!$D$4:$D$207,MATCH($B65,'Challan Master'!$S$4:$S$207,0)),"")="",IFERROR(INDEX('Challan Master'!$D$4:$D$207,MATCH($B65,'Challan Master'!$S$4:$S$207,0)),"")&lt;=0),0,IF(IFERROR(INDEX('Challan Master'!$D$4:$D$207,MATCH($B65,'Challan Master'!$S$4:$S$207,0)),"")&lt;=DATE(YEAR(J65),MONTH(J65)+1,7),0,ROUND(L65*0.015*((YEAR(IFERROR(INDEX('Challan Master'!$D$4:$D$207,MATCH($B65,'Challan Master'!$S$4:$S$207,0)),""))-YEAR(J65))*12+(MONTH(IFERROR(INDEX('Challan Master'!$D$4:$D$207,MATCH($B65,'Challan Master'!$S$4:$S$207,0)),""))-MONTH(J65))+1),0))))</f>
      </c>
      <c r="P65" s="7">
        <f>IF($D65="","",0)</f>
      </c>
      <c r="Q65" s="8"/>
      <c r="R65" s="8"/>
      <c r="S65" s="8"/>
      <c r="T65" s="8"/>
      <c r="U65" s="8"/>
      <c r="V65" s="7">
        <f>IF($B65="","",IFERROR(INDEX('Challan Master'!$AA$4:$AA$207,MATCH($B65,'Challan Master'!$S$4:$S$207,0)),""))</f>
      </c>
    </row>
    <row r="66" spans="1:22" x14ac:dyDescent="0.25">
      <c r="A66" s="7">
        <f>IF($D66="","",COUNTIF($D$4:$D66,"&lt;&gt;"))</f>
      </c>
      <c r="B66" s="8"/>
      <c r="C66" s="7">
        <f>IF($B66="","","BSR "&amp;IFERROR(INDEX('Challan Master'!$B$4:$B$207,MATCH($B66,'Challan Master'!$S$4:$S$207,0)),"")&amp;" | Serial "&amp;IFERROR(INDEX('Challan Master'!$C$4:$C$207,MATCH($B66,'Challan Master'!$S$4:$S$207,0)),"")&amp;" | Deposit "&amp;TEXT(IFERROR(INDEX('Challan Master'!$D$4:$D$207,MATCH($B66,'Challan Master'!$S$4:$S$207,0)),""),"dd-mm-yyyy")&amp;" | Minor Head "&amp;IFERROR(INDEX('Challan Master'!$E$4:$E$207,MATCH($B66,'Challan Master'!$S$4:$S$207,0)),"")&amp;" | Tax ₹"&amp;TEXT(IFERROR(INDEX('Challan Master'!$G$4:$G$207,MATCH($B66,'Challan Master'!$S$4:$S$207,0)),""),"#,##0")&amp;" | Section "&amp;IFERROR(INDEX('Challan Master'!$F$4:$F$207,MATCH($B66,'Challan Master'!$S$4:$S$207,0)),""))</f>
      </c>
      <c r="D66" s="8"/>
      <c r="E66" s="8"/>
      <c r="F66" s="7">
        <f>IF($D66="","",IF(AND(LEN(TRIM(UPPER(E66)))=10,CODE(MID(TRIM(UPPER(E66)),1,1))&gt;=65,CODE(MID(TRIM(UPPER(E66)),1,1))&lt;=90,CODE(MID(TRIM(UPPER(E66)),2,1))&gt;=65,CODE(MID(TRIM(UPPER(E66)),2,1))&lt;=90,CODE(MID(TRIM(UPPER(E66)),3,1))&gt;=65,CODE(MID(TRIM(UPPER(E66)),3,1))&lt;=90,CODE(MID(TRIM(UPPER(E66)),4,1))&gt;=65,CODE(MID(TRIM(UPPER(E66)),4,1))&lt;=90,CODE(MID(TRIM(UPPER(E66)),5,1))&gt;=65,CODE(MID(TRIM(UPPER(E66)),5,1))&lt;=90,CODE(MID(TRIM(UPPER(E66)),10,1))&gt;=65,CODE(MID(TRIM(UPPER(E66)),10,1))&lt;=90,CODE(MID(TRIM(UPPER(E66)),6,1))&gt;=48,CODE(MID(TRIM(UPPER(E66)),6,1))&lt;=57,CODE(MID(TRIM(UPPER(E66)),7,1))&gt;=48,CODE(MID(TRIM(UPPER(E66)),7,1))&lt;=57,CODE(MID(TRIM(UPPER(E66)),8,1))&gt;=48,CODE(MID(TRIM(UPPER(E66)),8,1))&lt;=57,CODE(MID(TRIM(UPPER(E66)),9,1))&gt;=48,CODE(MID(TRIM(UPPER(E66)),9,1))&lt;=57),"N","Y"))</f>
      </c>
      <c r="G66" s="7">
        <f>IF($D66="","",IF(LEN(E66)&lt;4,"",IF(UPPER(MID(E66,4,1))="P","Individual",IF(UPPER(MID(E66,4,1))="H","HUF",IF(UPPER(MID(E66,4,1))="C","Company",IF(UPPER(MID(E66,4,1))="F","Firm",IF(UPPER(MID(E66,4,1))="L","LLP",IF(UPPER(MID(E66,4,1))="T","Trust",IF(UPPER(MID(E66,4,1))="A","AOP","")))))))))</f>
      </c>
      <c r="H66" s="8"/>
      <c r="I66" s="7">
        <f>IF($D66="","",IF(H66="","",IF(F66="Y",SUMPRODUCT(('Rate Lookup'!$A$1:$A$37=H66)*'Rate Lookup'!$D$1:$D$37),IF(OR(G66="Individual",G66="HUF"),SUMPRODUCT(('Rate Lookup'!$A$1:$A$37=H66)*'Rate Lookup'!$B$1:$B$37),SUMPRODUCT(('Rate Lookup'!$A$1:$A$37=H66)*'Rate Lookup'!$C$1:$C$37)))))</f>
      </c>
      <c r="J66" s="8"/>
      <c r="K66" s="8"/>
      <c r="L66" s="7">
        <f>IF($D66="","",ROUND(K66*I66/100,0))</f>
      </c>
      <c r="M66" s="7">
        <f>IF($D66="","",0)</f>
      </c>
      <c r="N66" s="7">
        <f>IF($D66="","",0)</f>
      </c>
      <c r="O66" s="7">
        <f>IF($D66="","",IF(OR(L66=0,J66="",IFERROR(INDEX('Challan Master'!$D$4:$D$207,MATCH($B66,'Challan Master'!$S$4:$S$207,0)),"")="",IFERROR(INDEX('Challan Master'!$D$4:$D$207,MATCH($B66,'Challan Master'!$S$4:$S$207,0)),"")&lt;=0),0,IF(IFERROR(INDEX('Challan Master'!$D$4:$D$207,MATCH($B66,'Challan Master'!$S$4:$S$207,0)),"")&lt;=DATE(YEAR(J66),MONTH(J66)+1,7),0,ROUND(L66*0.015*((YEAR(IFERROR(INDEX('Challan Master'!$D$4:$D$207,MATCH($B66,'Challan Master'!$S$4:$S$207,0)),""))-YEAR(J66))*12+(MONTH(IFERROR(INDEX('Challan Master'!$D$4:$D$207,MATCH($B66,'Challan Master'!$S$4:$S$207,0)),""))-MONTH(J66))+1),0))))</f>
      </c>
      <c r="P66" s="7">
        <f>IF($D66="","",0)</f>
      </c>
      <c r="Q66" s="8"/>
      <c r="R66" s="8"/>
      <c r="S66" s="8"/>
      <c r="T66" s="8"/>
      <c r="U66" s="8"/>
      <c r="V66" s="7">
        <f>IF($B66="","",IFERROR(INDEX('Challan Master'!$AA$4:$AA$207,MATCH($B66,'Challan Master'!$S$4:$S$207,0)),""))</f>
      </c>
    </row>
    <row r="67" spans="1:22" x14ac:dyDescent="0.25">
      <c r="A67" s="7">
        <f>IF($D67="","",COUNTIF($D$4:$D67,"&lt;&gt;"))</f>
      </c>
      <c r="B67" s="8"/>
      <c r="C67" s="7">
        <f>IF($B67="","","BSR "&amp;IFERROR(INDEX('Challan Master'!$B$4:$B$207,MATCH($B67,'Challan Master'!$S$4:$S$207,0)),"")&amp;" | Serial "&amp;IFERROR(INDEX('Challan Master'!$C$4:$C$207,MATCH($B67,'Challan Master'!$S$4:$S$207,0)),"")&amp;" | Deposit "&amp;TEXT(IFERROR(INDEX('Challan Master'!$D$4:$D$207,MATCH($B67,'Challan Master'!$S$4:$S$207,0)),""),"dd-mm-yyyy")&amp;" | Minor Head "&amp;IFERROR(INDEX('Challan Master'!$E$4:$E$207,MATCH($B67,'Challan Master'!$S$4:$S$207,0)),"")&amp;" | Tax ₹"&amp;TEXT(IFERROR(INDEX('Challan Master'!$G$4:$G$207,MATCH($B67,'Challan Master'!$S$4:$S$207,0)),""),"#,##0")&amp;" | Section "&amp;IFERROR(INDEX('Challan Master'!$F$4:$F$207,MATCH($B67,'Challan Master'!$S$4:$S$207,0)),""))</f>
      </c>
      <c r="D67" s="8"/>
      <c r="E67" s="8"/>
      <c r="F67" s="7">
        <f>IF($D67="","",IF(AND(LEN(TRIM(UPPER(E67)))=10,CODE(MID(TRIM(UPPER(E67)),1,1))&gt;=65,CODE(MID(TRIM(UPPER(E67)),1,1))&lt;=90,CODE(MID(TRIM(UPPER(E67)),2,1))&gt;=65,CODE(MID(TRIM(UPPER(E67)),2,1))&lt;=90,CODE(MID(TRIM(UPPER(E67)),3,1))&gt;=65,CODE(MID(TRIM(UPPER(E67)),3,1))&lt;=90,CODE(MID(TRIM(UPPER(E67)),4,1))&gt;=65,CODE(MID(TRIM(UPPER(E67)),4,1))&lt;=90,CODE(MID(TRIM(UPPER(E67)),5,1))&gt;=65,CODE(MID(TRIM(UPPER(E67)),5,1))&lt;=90,CODE(MID(TRIM(UPPER(E67)),10,1))&gt;=65,CODE(MID(TRIM(UPPER(E67)),10,1))&lt;=90,CODE(MID(TRIM(UPPER(E67)),6,1))&gt;=48,CODE(MID(TRIM(UPPER(E67)),6,1))&lt;=57,CODE(MID(TRIM(UPPER(E67)),7,1))&gt;=48,CODE(MID(TRIM(UPPER(E67)),7,1))&lt;=57,CODE(MID(TRIM(UPPER(E67)),8,1))&gt;=48,CODE(MID(TRIM(UPPER(E67)),8,1))&lt;=57,CODE(MID(TRIM(UPPER(E67)),9,1))&gt;=48,CODE(MID(TRIM(UPPER(E67)),9,1))&lt;=57),"N","Y"))</f>
      </c>
      <c r="G67" s="7">
        <f>IF($D67="","",IF(LEN(E67)&lt;4,"",IF(UPPER(MID(E67,4,1))="P","Individual",IF(UPPER(MID(E67,4,1))="H","HUF",IF(UPPER(MID(E67,4,1))="C","Company",IF(UPPER(MID(E67,4,1))="F","Firm",IF(UPPER(MID(E67,4,1))="L","LLP",IF(UPPER(MID(E67,4,1))="T","Trust",IF(UPPER(MID(E67,4,1))="A","AOP","")))))))))</f>
      </c>
      <c r="H67" s="8"/>
      <c r="I67" s="7">
        <f>IF($D67="","",IF(H67="","",IF(F67="Y",SUMPRODUCT(('Rate Lookup'!$A$1:$A$37=H67)*'Rate Lookup'!$D$1:$D$37),IF(OR(G67="Individual",G67="HUF"),SUMPRODUCT(('Rate Lookup'!$A$1:$A$37=H67)*'Rate Lookup'!$B$1:$B$37),SUMPRODUCT(('Rate Lookup'!$A$1:$A$37=H67)*'Rate Lookup'!$C$1:$C$37)))))</f>
      </c>
      <c r="J67" s="8"/>
      <c r="K67" s="8"/>
      <c r="L67" s="7">
        <f>IF($D67="","",ROUND(K67*I67/100,0))</f>
      </c>
      <c r="M67" s="7">
        <f>IF($D67="","",0)</f>
      </c>
      <c r="N67" s="7">
        <f>IF($D67="","",0)</f>
      </c>
      <c r="O67" s="7">
        <f>IF($D67="","",IF(OR(L67=0,J67="",IFERROR(INDEX('Challan Master'!$D$4:$D$207,MATCH($B67,'Challan Master'!$S$4:$S$207,0)),"")="",IFERROR(INDEX('Challan Master'!$D$4:$D$207,MATCH($B67,'Challan Master'!$S$4:$S$207,0)),"")&lt;=0),0,IF(IFERROR(INDEX('Challan Master'!$D$4:$D$207,MATCH($B67,'Challan Master'!$S$4:$S$207,0)),"")&lt;=DATE(YEAR(J67),MONTH(J67)+1,7),0,ROUND(L67*0.015*((YEAR(IFERROR(INDEX('Challan Master'!$D$4:$D$207,MATCH($B67,'Challan Master'!$S$4:$S$207,0)),""))-YEAR(J67))*12+(MONTH(IFERROR(INDEX('Challan Master'!$D$4:$D$207,MATCH($B67,'Challan Master'!$S$4:$S$207,0)),""))-MONTH(J67))+1),0))))</f>
      </c>
      <c r="P67" s="7">
        <f>IF($D67="","",0)</f>
      </c>
      <c r="Q67" s="8"/>
      <c r="R67" s="8"/>
      <c r="S67" s="8"/>
      <c r="T67" s="8"/>
      <c r="U67" s="8"/>
      <c r="V67" s="7">
        <f>IF($B67="","",IFERROR(INDEX('Challan Master'!$AA$4:$AA$207,MATCH($B67,'Challan Master'!$S$4:$S$207,0)),""))</f>
      </c>
    </row>
    <row r="68" spans="1:22" x14ac:dyDescent="0.25">
      <c r="A68" s="7">
        <f>IF($D68="","",COUNTIF($D$4:$D68,"&lt;&gt;"))</f>
      </c>
      <c r="B68" s="8"/>
      <c r="C68" s="7">
        <f>IF($B68="","","BSR "&amp;IFERROR(INDEX('Challan Master'!$B$4:$B$207,MATCH($B68,'Challan Master'!$S$4:$S$207,0)),"")&amp;" | Serial "&amp;IFERROR(INDEX('Challan Master'!$C$4:$C$207,MATCH($B68,'Challan Master'!$S$4:$S$207,0)),"")&amp;" | Deposit "&amp;TEXT(IFERROR(INDEX('Challan Master'!$D$4:$D$207,MATCH($B68,'Challan Master'!$S$4:$S$207,0)),""),"dd-mm-yyyy")&amp;" | Minor Head "&amp;IFERROR(INDEX('Challan Master'!$E$4:$E$207,MATCH($B68,'Challan Master'!$S$4:$S$207,0)),"")&amp;" | Tax ₹"&amp;TEXT(IFERROR(INDEX('Challan Master'!$G$4:$G$207,MATCH($B68,'Challan Master'!$S$4:$S$207,0)),""),"#,##0")&amp;" | Section "&amp;IFERROR(INDEX('Challan Master'!$F$4:$F$207,MATCH($B68,'Challan Master'!$S$4:$S$207,0)),""))</f>
      </c>
      <c r="D68" s="8"/>
      <c r="E68" s="8"/>
      <c r="F68" s="7">
        <f>IF($D68="","",IF(AND(LEN(TRIM(UPPER(E68)))=10,CODE(MID(TRIM(UPPER(E68)),1,1))&gt;=65,CODE(MID(TRIM(UPPER(E68)),1,1))&lt;=90,CODE(MID(TRIM(UPPER(E68)),2,1))&gt;=65,CODE(MID(TRIM(UPPER(E68)),2,1))&lt;=90,CODE(MID(TRIM(UPPER(E68)),3,1))&gt;=65,CODE(MID(TRIM(UPPER(E68)),3,1))&lt;=90,CODE(MID(TRIM(UPPER(E68)),4,1))&gt;=65,CODE(MID(TRIM(UPPER(E68)),4,1))&lt;=90,CODE(MID(TRIM(UPPER(E68)),5,1))&gt;=65,CODE(MID(TRIM(UPPER(E68)),5,1))&lt;=90,CODE(MID(TRIM(UPPER(E68)),10,1))&gt;=65,CODE(MID(TRIM(UPPER(E68)),10,1))&lt;=90,CODE(MID(TRIM(UPPER(E68)),6,1))&gt;=48,CODE(MID(TRIM(UPPER(E68)),6,1))&lt;=57,CODE(MID(TRIM(UPPER(E68)),7,1))&gt;=48,CODE(MID(TRIM(UPPER(E68)),7,1))&lt;=57,CODE(MID(TRIM(UPPER(E68)),8,1))&gt;=48,CODE(MID(TRIM(UPPER(E68)),8,1))&lt;=57,CODE(MID(TRIM(UPPER(E68)),9,1))&gt;=48,CODE(MID(TRIM(UPPER(E68)),9,1))&lt;=57),"N","Y"))</f>
      </c>
      <c r="G68" s="7">
        <f>IF($D68="","",IF(LEN(E68)&lt;4,"",IF(UPPER(MID(E68,4,1))="P","Individual",IF(UPPER(MID(E68,4,1))="H","HUF",IF(UPPER(MID(E68,4,1))="C","Company",IF(UPPER(MID(E68,4,1))="F","Firm",IF(UPPER(MID(E68,4,1))="L","LLP",IF(UPPER(MID(E68,4,1))="T","Trust",IF(UPPER(MID(E68,4,1))="A","AOP","")))))))))</f>
      </c>
      <c r="H68" s="8"/>
      <c r="I68" s="7">
        <f>IF($D68="","",IF(H68="","",IF(F68="Y",SUMPRODUCT(('Rate Lookup'!$A$1:$A$37=H68)*'Rate Lookup'!$D$1:$D$37),IF(OR(G68="Individual",G68="HUF"),SUMPRODUCT(('Rate Lookup'!$A$1:$A$37=H68)*'Rate Lookup'!$B$1:$B$37),SUMPRODUCT(('Rate Lookup'!$A$1:$A$37=H68)*'Rate Lookup'!$C$1:$C$37)))))</f>
      </c>
      <c r="J68" s="8"/>
      <c r="K68" s="8"/>
      <c r="L68" s="7">
        <f>IF($D68="","",ROUND(K68*I68/100,0))</f>
      </c>
      <c r="M68" s="7">
        <f>IF($D68="","",0)</f>
      </c>
      <c r="N68" s="7">
        <f>IF($D68="","",0)</f>
      </c>
      <c r="O68" s="7">
        <f>IF($D68="","",IF(OR(L68=0,J68="",IFERROR(INDEX('Challan Master'!$D$4:$D$207,MATCH($B68,'Challan Master'!$S$4:$S$207,0)),"")="",IFERROR(INDEX('Challan Master'!$D$4:$D$207,MATCH($B68,'Challan Master'!$S$4:$S$207,0)),"")&lt;=0),0,IF(IFERROR(INDEX('Challan Master'!$D$4:$D$207,MATCH($B68,'Challan Master'!$S$4:$S$207,0)),"")&lt;=DATE(YEAR(J68),MONTH(J68)+1,7),0,ROUND(L68*0.015*((YEAR(IFERROR(INDEX('Challan Master'!$D$4:$D$207,MATCH($B68,'Challan Master'!$S$4:$S$207,0)),""))-YEAR(J68))*12+(MONTH(IFERROR(INDEX('Challan Master'!$D$4:$D$207,MATCH($B68,'Challan Master'!$S$4:$S$207,0)),""))-MONTH(J68))+1),0))))</f>
      </c>
      <c r="P68" s="7">
        <f>IF($D68="","",0)</f>
      </c>
      <c r="Q68" s="8"/>
      <c r="R68" s="8"/>
      <c r="S68" s="8"/>
      <c r="T68" s="8"/>
      <c r="U68" s="8"/>
      <c r="V68" s="7">
        <f>IF($B68="","",IFERROR(INDEX('Challan Master'!$AA$4:$AA$207,MATCH($B68,'Challan Master'!$S$4:$S$207,0)),""))</f>
      </c>
    </row>
    <row r="69" spans="1:22" x14ac:dyDescent="0.25">
      <c r="A69" s="7">
        <f>IF($D69="","",COUNTIF($D$4:$D69,"&lt;&gt;"))</f>
      </c>
      <c r="B69" s="8"/>
      <c r="C69" s="7">
        <f>IF($B69="","","BSR "&amp;IFERROR(INDEX('Challan Master'!$B$4:$B$207,MATCH($B69,'Challan Master'!$S$4:$S$207,0)),"")&amp;" | Serial "&amp;IFERROR(INDEX('Challan Master'!$C$4:$C$207,MATCH($B69,'Challan Master'!$S$4:$S$207,0)),"")&amp;" | Deposit "&amp;TEXT(IFERROR(INDEX('Challan Master'!$D$4:$D$207,MATCH($B69,'Challan Master'!$S$4:$S$207,0)),""),"dd-mm-yyyy")&amp;" | Minor Head "&amp;IFERROR(INDEX('Challan Master'!$E$4:$E$207,MATCH($B69,'Challan Master'!$S$4:$S$207,0)),"")&amp;" | Tax ₹"&amp;TEXT(IFERROR(INDEX('Challan Master'!$G$4:$G$207,MATCH($B69,'Challan Master'!$S$4:$S$207,0)),""),"#,##0")&amp;" | Section "&amp;IFERROR(INDEX('Challan Master'!$F$4:$F$207,MATCH($B69,'Challan Master'!$S$4:$S$207,0)),""))</f>
      </c>
      <c r="D69" s="8"/>
      <c r="E69" s="8"/>
      <c r="F69" s="7">
        <f>IF($D69="","",IF(AND(LEN(TRIM(UPPER(E69)))=10,CODE(MID(TRIM(UPPER(E69)),1,1))&gt;=65,CODE(MID(TRIM(UPPER(E69)),1,1))&lt;=90,CODE(MID(TRIM(UPPER(E69)),2,1))&gt;=65,CODE(MID(TRIM(UPPER(E69)),2,1))&lt;=90,CODE(MID(TRIM(UPPER(E69)),3,1))&gt;=65,CODE(MID(TRIM(UPPER(E69)),3,1))&lt;=90,CODE(MID(TRIM(UPPER(E69)),4,1))&gt;=65,CODE(MID(TRIM(UPPER(E69)),4,1))&lt;=90,CODE(MID(TRIM(UPPER(E69)),5,1))&gt;=65,CODE(MID(TRIM(UPPER(E69)),5,1))&lt;=90,CODE(MID(TRIM(UPPER(E69)),10,1))&gt;=65,CODE(MID(TRIM(UPPER(E69)),10,1))&lt;=90,CODE(MID(TRIM(UPPER(E69)),6,1))&gt;=48,CODE(MID(TRIM(UPPER(E69)),6,1))&lt;=57,CODE(MID(TRIM(UPPER(E69)),7,1))&gt;=48,CODE(MID(TRIM(UPPER(E69)),7,1))&lt;=57,CODE(MID(TRIM(UPPER(E69)),8,1))&gt;=48,CODE(MID(TRIM(UPPER(E69)),8,1))&lt;=57,CODE(MID(TRIM(UPPER(E69)),9,1))&gt;=48,CODE(MID(TRIM(UPPER(E69)),9,1))&lt;=57),"N","Y"))</f>
      </c>
      <c r="G69" s="7">
        <f>IF($D69="","",IF(LEN(E69)&lt;4,"",IF(UPPER(MID(E69,4,1))="P","Individual",IF(UPPER(MID(E69,4,1))="H","HUF",IF(UPPER(MID(E69,4,1))="C","Company",IF(UPPER(MID(E69,4,1))="F","Firm",IF(UPPER(MID(E69,4,1))="L","LLP",IF(UPPER(MID(E69,4,1))="T","Trust",IF(UPPER(MID(E69,4,1))="A","AOP","")))))))))</f>
      </c>
      <c r="H69" s="8"/>
      <c r="I69" s="7">
        <f>IF($D69="","",IF(H69="","",IF(F69="Y",SUMPRODUCT(('Rate Lookup'!$A$1:$A$37=H69)*'Rate Lookup'!$D$1:$D$37),IF(OR(G69="Individual",G69="HUF"),SUMPRODUCT(('Rate Lookup'!$A$1:$A$37=H69)*'Rate Lookup'!$B$1:$B$37),SUMPRODUCT(('Rate Lookup'!$A$1:$A$37=H69)*'Rate Lookup'!$C$1:$C$37)))))</f>
      </c>
      <c r="J69" s="8"/>
      <c r="K69" s="8"/>
      <c r="L69" s="7">
        <f>IF($D69="","",ROUND(K69*I69/100,0))</f>
      </c>
      <c r="M69" s="7">
        <f>IF($D69="","",0)</f>
      </c>
      <c r="N69" s="7">
        <f>IF($D69="","",0)</f>
      </c>
      <c r="O69" s="7">
        <f>IF($D69="","",IF(OR(L69=0,J69="",IFERROR(INDEX('Challan Master'!$D$4:$D$207,MATCH($B69,'Challan Master'!$S$4:$S$207,0)),"")="",IFERROR(INDEX('Challan Master'!$D$4:$D$207,MATCH($B69,'Challan Master'!$S$4:$S$207,0)),"")&lt;=0),0,IF(IFERROR(INDEX('Challan Master'!$D$4:$D$207,MATCH($B69,'Challan Master'!$S$4:$S$207,0)),"")&lt;=DATE(YEAR(J69),MONTH(J69)+1,7),0,ROUND(L69*0.015*((YEAR(IFERROR(INDEX('Challan Master'!$D$4:$D$207,MATCH($B69,'Challan Master'!$S$4:$S$207,0)),""))-YEAR(J69))*12+(MONTH(IFERROR(INDEX('Challan Master'!$D$4:$D$207,MATCH($B69,'Challan Master'!$S$4:$S$207,0)),""))-MONTH(J69))+1),0))))</f>
      </c>
      <c r="P69" s="7">
        <f>IF($D69="","",0)</f>
      </c>
      <c r="Q69" s="8"/>
      <c r="R69" s="8"/>
      <c r="S69" s="8"/>
      <c r="T69" s="8"/>
      <c r="U69" s="8"/>
      <c r="V69" s="7">
        <f>IF($B69="","",IFERROR(INDEX('Challan Master'!$AA$4:$AA$207,MATCH($B69,'Challan Master'!$S$4:$S$207,0)),""))</f>
      </c>
    </row>
    <row r="70" spans="1:22" x14ac:dyDescent="0.25">
      <c r="A70" s="7">
        <f>IF($D70="","",COUNTIF($D$4:$D70,"&lt;&gt;"))</f>
      </c>
      <c r="B70" s="8"/>
      <c r="C70" s="7">
        <f>IF($B70="","","BSR "&amp;IFERROR(INDEX('Challan Master'!$B$4:$B$207,MATCH($B70,'Challan Master'!$S$4:$S$207,0)),"")&amp;" | Serial "&amp;IFERROR(INDEX('Challan Master'!$C$4:$C$207,MATCH($B70,'Challan Master'!$S$4:$S$207,0)),"")&amp;" | Deposit "&amp;TEXT(IFERROR(INDEX('Challan Master'!$D$4:$D$207,MATCH($B70,'Challan Master'!$S$4:$S$207,0)),""),"dd-mm-yyyy")&amp;" | Minor Head "&amp;IFERROR(INDEX('Challan Master'!$E$4:$E$207,MATCH($B70,'Challan Master'!$S$4:$S$207,0)),"")&amp;" | Tax ₹"&amp;TEXT(IFERROR(INDEX('Challan Master'!$G$4:$G$207,MATCH($B70,'Challan Master'!$S$4:$S$207,0)),""),"#,##0")&amp;" | Section "&amp;IFERROR(INDEX('Challan Master'!$F$4:$F$207,MATCH($B70,'Challan Master'!$S$4:$S$207,0)),""))</f>
      </c>
      <c r="D70" s="8"/>
      <c r="E70" s="8"/>
      <c r="F70" s="7">
        <f>IF($D70="","",IF(AND(LEN(TRIM(UPPER(E70)))=10,CODE(MID(TRIM(UPPER(E70)),1,1))&gt;=65,CODE(MID(TRIM(UPPER(E70)),1,1))&lt;=90,CODE(MID(TRIM(UPPER(E70)),2,1))&gt;=65,CODE(MID(TRIM(UPPER(E70)),2,1))&lt;=90,CODE(MID(TRIM(UPPER(E70)),3,1))&gt;=65,CODE(MID(TRIM(UPPER(E70)),3,1))&lt;=90,CODE(MID(TRIM(UPPER(E70)),4,1))&gt;=65,CODE(MID(TRIM(UPPER(E70)),4,1))&lt;=90,CODE(MID(TRIM(UPPER(E70)),5,1))&gt;=65,CODE(MID(TRIM(UPPER(E70)),5,1))&lt;=90,CODE(MID(TRIM(UPPER(E70)),10,1))&gt;=65,CODE(MID(TRIM(UPPER(E70)),10,1))&lt;=90,CODE(MID(TRIM(UPPER(E70)),6,1))&gt;=48,CODE(MID(TRIM(UPPER(E70)),6,1))&lt;=57,CODE(MID(TRIM(UPPER(E70)),7,1))&gt;=48,CODE(MID(TRIM(UPPER(E70)),7,1))&lt;=57,CODE(MID(TRIM(UPPER(E70)),8,1))&gt;=48,CODE(MID(TRIM(UPPER(E70)),8,1))&lt;=57,CODE(MID(TRIM(UPPER(E70)),9,1))&gt;=48,CODE(MID(TRIM(UPPER(E70)),9,1))&lt;=57),"N","Y"))</f>
      </c>
      <c r="G70" s="7">
        <f>IF($D70="","",IF(LEN(E70)&lt;4,"",IF(UPPER(MID(E70,4,1))="P","Individual",IF(UPPER(MID(E70,4,1))="H","HUF",IF(UPPER(MID(E70,4,1))="C","Company",IF(UPPER(MID(E70,4,1))="F","Firm",IF(UPPER(MID(E70,4,1))="L","LLP",IF(UPPER(MID(E70,4,1))="T","Trust",IF(UPPER(MID(E70,4,1))="A","AOP","")))))))))</f>
      </c>
      <c r="H70" s="8"/>
      <c r="I70" s="7">
        <f>IF($D70="","",IF(H70="","",IF(F70="Y",SUMPRODUCT(('Rate Lookup'!$A$1:$A$37=H70)*'Rate Lookup'!$D$1:$D$37),IF(OR(G70="Individual",G70="HUF"),SUMPRODUCT(('Rate Lookup'!$A$1:$A$37=H70)*'Rate Lookup'!$B$1:$B$37),SUMPRODUCT(('Rate Lookup'!$A$1:$A$37=H70)*'Rate Lookup'!$C$1:$C$37)))))</f>
      </c>
      <c r="J70" s="8"/>
      <c r="K70" s="8"/>
      <c r="L70" s="7">
        <f>IF($D70="","",ROUND(K70*I70/100,0))</f>
      </c>
      <c r="M70" s="7">
        <f>IF($D70="","",0)</f>
      </c>
      <c r="N70" s="7">
        <f>IF($D70="","",0)</f>
      </c>
      <c r="O70" s="7">
        <f>IF($D70="","",IF(OR(L70=0,J70="",IFERROR(INDEX('Challan Master'!$D$4:$D$207,MATCH($B70,'Challan Master'!$S$4:$S$207,0)),"")="",IFERROR(INDEX('Challan Master'!$D$4:$D$207,MATCH($B70,'Challan Master'!$S$4:$S$207,0)),"")&lt;=0),0,IF(IFERROR(INDEX('Challan Master'!$D$4:$D$207,MATCH($B70,'Challan Master'!$S$4:$S$207,0)),"")&lt;=DATE(YEAR(J70),MONTH(J70)+1,7),0,ROUND(L70*0.015*((YEAR(IFERROR(INDEX('Challan Master'!$D$4:$D$207,MATCH($B70,'Challan Master'!$S$4:$S$207,0)),""))-YEAR(J70))*12+(MONTH(IFERROR(INDEX('Challan Master'!$D$4:$D$207,MATCH($B70,'Challan Master'!$S$4:$S$207,0)),""))-MONTH(J70))+1),0))))</f>
      </c>
      <c r="P70" s="7">
        <f>IF($D70="","",0)</f>
      </c>
      <c r="Q70" s="8"/>
      <c r="R70" s="8"/>
      <c r="S70" s="8"/>
      <c r="T70" s="8"/>
      <c r="U70" s="8"/>
      <c r="V70" s="7">
        <f>IF($B70="","",IFERROR(INDEX('Challan Master'!$AA$4:$AA$207,MATCH($B70,'Challan Master'!$S$4:$S$207,0)),""))</f>
      </c>
    </row>
    <row r="71" spans="1:22" x14ac:dyDescent="0.25">
      <c r="A71" s="7">
        <f>IF($D71="","",COUNTIF($D$4:$D71,"&lt;&gt;"))</f>
      </c>
      <c r="B71" s="8"/>
      <c r="C71" s="7">
        <f>IF($B71="","","BSR "&amp;IFERROR(INDEX('Challan Master'!$B$4:$B$207,MATCH($B71,'Challan Master'!$S$4:$S$207,0)),"")&amp;" | Serial "&amp;IFERROR(INDEX('Challan Master'!$C$4:$C$207,MATCH($B71,'Challan Master'!$S$4:$S$207,0)),"")&amp;" | Deposit "&amp;TEXT(IFERROR(INDEX('Challan Master'!$D$4:$D$207,MATCH($B71,'Challan Master'!$S$4:$S$207,0)),""),"dd-mm-yyyy")&amp;" | Minor Head "&amp;IFERROR(INDEX('Challan Master'!$E$4:$E$207,MATCH($B71,'Challan Master'!$S$4:$S$207,0)),"")&amp;" | Tax ₹"&amp;TEXT(IFERROR(INDEX('Challan Master'!$G$4:$G$207,MATCH($B71,'Challan Master'!$S$4:$S$207,0)),""),"#,##0")&amp;" | Section "&amp;IFERROR(INDEX('Challan Master'!$F$4:$F$207,MATCH($B71,'Challan Master'!$S$4:$S$207,0)),""))</f>
      </c>
      <c r="D71" s="8"/>
      <c r="E71" s="8"/>
      <c r="F71" s="7">
        <f>IF($D71="","",IF(AND(LEN(TRIM(UPPER(E71)))=10,CODE(MID(TRIM(UPPER(E71)),1,1))&gt;=65,CODE(MID(TRIM(UPPER(E71)),1,1))&lt;=90,CODE(MID(TRIM(UPPER(E71)),2,1))&gt;=65,CODE(MID(TRIM(UPPER(E71)),2,1))&lt;=90,CODE(MID(TRIM(UPPER(E71)),3,1))&gt;=65,CODE(MID(TRIM(UPPER(E71)),3,1))&lt;=90,CODE(MID(TRIM(UPPER(E71)),4,1))&gt;=65,CODE(MID(TRIM(UPPER(E71)),4,1))&lt;=90,CODE(MID(TRIM(UPPER(E71)),5,1))&gt;=65,CODE(MID(TRIM(UPPER(E71)),5,1))&lt;=90,CODE(MID(TRIM(UPPER(E71)),10,1))&gt;=65,CODE(MID(TRIM(UPPER(E71)),10,1))&lt;=90,CODE(MID(TRIM(UPPER(E71)),6,1))&gt;=48,CODE(MID(TRIM(UPPER(E71)),6,1))&lt;=57,CODE(MID(TRIM(UPPER(E71)),7,1))&gt;=48,CODE(MID(TRIM(UPPER(E71)),7,1))&lt;=57,CODE(MID(TRIM(UPPER(E71)),8,1))&gt;=48,CODE(MID(TRIM(UPPER(E71)),8,1))&lt;=57,CODE(MID(TRIM(UPPER(E71)),9,1))&gt;=48,CODE(MID(TRIM(UPPER(E71)),9,1))&lt;=57),"N","Y"))</f>
      </c>
      <c r="G71" s="7">
        <f>IF($D71="","",IF(LEN(E71)&lt;4,"",IF(UPPER(MID(E71,4,1))="P","Individual",IF(UPPER(MID(E71,4,1))="H","HUF",IF(UPPER(MID(E71,4,1))="C","Company",IF(UPPER(MID(E71,4,1))="F","Firm",IF(UPPER(MID(E71,4,1))="L","LLP",IF(UPPER(MID(E71,4,1))="T","Trust",IF(UPPER(MID(E71,4,1))="A","AOP","")))))))))</f>
      </c>
      <c r="H71" s="8"/>
      <c r="I71" s="7">
        <f>IF($D71="","",IF(H71="","",IF(F71="Y",SUMPRODUCT(('Rate Lookup'!$A$1:$A$37=H71)*'Rate Lookup'!$D$1:$D$37),IF(OR(G71="Individual",G71="HUF"),SUMPRODUCT(('Rate Lookup'!$A$1:$A$37=H71)*'Rate Lookup'!$B$1:$B$37),SUMPRODUCT(('Rate Lookup'!$A$1:$A$37=H71)*'Rate Lookup'!$C$1:$C$37)))))</f>
      </c>
      <c r="J71" s="8"/>
      <c r="K71" s="8"/>
      <c r="L71" s="7">
        <f>IF($D71="","",ROUND(K71*I71/100,0))</f>
      </c>
      <c r="M71" s="7">
        <f>IF($D71="","",0)</f>
      </c>
      <c r="N71" s="7">
        <f>IF($D71="","",0)</f>
      </c>
      <c r="O71" s="7">
        <f>IF($D71="","",IF(OR(L71=0,J71="",IFERROR(INDEX('Challan Master'!$D$4:$D$207,MATCH($B71,'Challan Master'!$S$4:$S$207,0)),"")="",IFERROR(INDEX('Challan Master'!$D$4:$D$207,MATCH($B71,'Challan Master'!$S$4:$S$207,0)),"")&lt;=0),0,IF(IFERROR(INDEX('Challan Master'!$D$4:$D$207,MATCH($B71,'Challan Master'!$S$4:$S$207,0)),"")&lt;=DATE(YEAR(J71),MONTH(J71)+1,7),0,ROUND(L71*0.015*((YEAR(IFERROR(INDEX('Challan Master'!$D$4:$D$207,MATCH($B71,'Challan Master'!$S$4:$S$207,0)),""))-YEAR(J71))*12+(MONTH(IFERROR(INDEX('Challan Master'!$D$4:$D$207,MATCH($B71,'Challan Master'!$S$4:$S$207,0)),""))-MONTH(J71))+1),0))))</f>
      </c>
      <c r="P71" s="7">
        <f>IF($D71="","",0)</f>
      </c>
      <c r="Q71" s="8"/>
      <c r="R71" s="8"/>
      <c r="S71" s="8"/>
      <c r="T71" s="8"/>
      <c r="U71" s="8"/>
      <c r="V71" s="7">
        <f>IF($B71="","",IFERROR(INDEX('Challan Master'!$AA$4:$AA$207,MATCH($B71,'Challan Master'!$S$4:$S$207,0)),""))</f>
      </c>
    </row>
    <row r="72" spans="1:22" x14ac:dyDescent="0.25">
      <c r="A72" s="7">
        <f>IF($D72="","",COUNTIF($D$4:$D72,"&lt;&gt;"))</f>
      </c>
      <c r="B72" s="8"/>
      <c r="C72" s="7">
        <f>IF($B72="","","BSR "&amp;IFERROR(INDEX('Challan Master'!$B$4:$B$207,MATCH($B72,'Challan Master'!$S$4:$S$207,0)),"")&amp;" | Serial "&amp;IFERROR(INDEX('Challan Master'!$C$4:$C$207,MATCH($B72,'Challan Master'!$S$4:$S$207,0)),"")&amp;" | Deposit "&amp;TEXT(IFERROR(INDEX('Challan Master'!$D$4:$D$207,MATCH($B72,'Challan Master'!$S$4:$S$207,0)),""),"dd-mm-yyyy")&amp;" | Minor Head "&amp;IFERROR(INDEX('Challan Master'!$E$4:$E$207,MATCH($B72,'Challan Master'!$S$4:$S$207,0)),"")&amp;" | Tax ₹"&amp;TEXT(IFERROR(INDEX('Challan Master'!$G$4:$G$207,MATCH($B72,'Challan Master'!$S$4:$S$207,0)),""),"#,##0")&amp;" | Section "&amp;IFERROR(INDEX('Challan Master'!$F$4:$F$207,MATCH($B72,'Challan Master'!$S$4:$S$207,0)),""))</f>
      </c>
      <c r="D72" s="8"/>
      <c r="E72" s="8"/>
      <c r="F72" s="7">
        <f>IF($D72="","",IF(AND(LEN(TRIM(UPPER(E72)))=10,CODE(MID(TRIM(UPPER(E72)),1,1))&gt;=65,CODE(MID(TRIM(UPPER(E72)),1,1))&lt;=90,CODE(MID(TRIM(UPPER(E72)),2,1))&gt;=65,CODE(MID(TRIM(UPPER(E72)),2,1))&lt;=90,CODE(MID(TRIM(UPPER(E72)),3,1))&gt;=65,CODE(MID(TRIM(UPPER(E72)),3,1))&lt;=90,CODE(MID(TRIM(UPPER(E72)),4,1))&gt;=65,CODE(MID(TRIM(UPPER(E72)),4,1))&lt;=90,CODE(MID(TRIM(UPPER(E72)),5,1))&gt;=65,CODE(MID(TRIM(UPPER(E72)),5,1))&lt;=90,CODE(MID(TRIM(UPPER(E72)),10,1))&gt;=65,CODE(MID(TRIM(UPPER(E72)),10,1))&lt;=90,CODE(MID(TRIM(UPPER(E72)),6,1))&gt;=48,CODE(MID(TRIM(UPPER(E72)),6,1))&lt;=57,CODE(MID(TRIM(UPPER(E72)),7,1))&gt;=48,CODE(MID(TRIM(UPPER(E72)),7,1))&lt;=57,CODE(MID(TRIM(UPPER(E72)),8,1))&gt;=48,CODE(MID(TRIM(UPPER(E72)),8,1))&lt;=57,CODE(MID(TRIM(UPPER(E72)),9,1))&gt;=48,CODE(MID(TRIM(UPPER(E72)),9,1))&lt;=57),"N","Y"))</f>
      </c>
      <c r="G72" s="7">
        <f>IF($D72="","",IF(LEN(E72)&lt;4,"",IF(UPPER(MID(E72,4,1))="P","Individual",IF(UPPER(MID(E72,4,1))="H","HUF",IF(UPPER(MID(E72,4,1))="C","Company",IF(UPPER(MID(E72,4,1))="F","Firm",IF(UPPER(MID(E72,4,1))="L","LLP",IF(UPPER(MID(E72,4,1))="T","Trust",IF(UPPER(MID(E72,4,1))="A","AOP","")))))))))</f>
      </c>
      <c r="H72" s="8"/>
      <c r="I72" s="7">
        <f>IF($D72="","",IF(H72="","",IF(F72="Y",SUMPRODUCT(('Rate Lookup'!$A$1:$A$37=H72)*'Rate Lookup'!$D$1:$D$37),IF(OR(G72="Individual",G72="HUF"),SUMPRODUCT(('Rate Lookup'!$A$1:$A$37=H72)*'Rate Lookup'!$B$1:$B$37),SUMPRODUCT(('Rate Lookup'!$A$1:$A$37=H72)*'Rate Lookup'!$C$1:$C$37)))))</f>
      </c>
      <c r="J72" s="8"/>
      <c r="K72" s="8"/>
      <c r="L72" s="7">
        <f>IF($D72="","",ROUND(K72*I72/100,0))</f>
      </c>
      <c r="M72" s="7">
        <f>IF($D72="","",0)</f>
      </c>
      <c r="N72" s="7">
        <f>IF($D72="","",0)</f>
      </c>
      <c r="O72" s="7">
        <f>IF($D72="","",IF(OR(L72=0,J72="",IFERROR(INDEX('Challan Master'!$D$4:$D$207,MATCH($B72,'Challan Master'!$S$4:$S$207,0)),"")="",IFERROR(INDEX('Challan Master'!$D$4:$D$207,MATCH($B72,'Challan Master'!$S$4:$S$207,0)),"")&lt;=0),0,IF(IFERROR(INDEX('Challan Master'!$D$4:$D$207,MATCH($B72,'Challan Master'!$S$4:$S$207,0)),"")&lt;=DATE(YEAR(J72),MONTH(J72)+1,7),0,ROUND(L72*0.015*((YEAR(IFERROR(INDEX('Challan Master'!$D$4:$D$207,MATCH($B72,'Challan Master'!$S$4:$S$207,0)),""))-YEAR(J72))*12+(MONTH(IFERROR(INDEX('Challan Master'!$D$4:$D$207,MATCH($B72,'Challan Master'!$S$4:$S$207,0)),""))-MONTH(J72))+1),0))))</f>
      </c>
      <c r="P72" s="7">
        <f>IF($D72="","",0)</f>
      </c>
      <c r="Q72" s="8"/>
      <c r="R72" s="8"/>
      <c r="S72" s="8"/>
      <c r="T72" s="8"/>
      <c r="U72" s="8"/>
      <c r="V72" s="7">
        <f>IF($B72="","",IFERROR(INDEX('Challan Master'!$AA$4:$AA$207,MATCH($B72,'Challan Master'!$S$4:$S$207,0)),""))</f>
      </c>
    </row>
    <row r="73" spans="1:22" x14ac:dyDescent="0.25">
      <c r="A73" s="7">
        <f>IF($D73="","",COUNTIF($D$4:$D73,"&lt;&gt;"))</f>
      </c>
      <c r="B73" s="8"/>
      <c r="C73" s="7">
        <f>IF($B73="","","BSR "&amp;IFERROR(INDEX('Challan Master'!$B$4:$B$207,MATCH($B73,'Challan Master'!$S$4:$S$207,0)),"")&amp;" | Serial "&amp;IFERROR(INDEX('Challan Master'!$C$4:$C$207,MATCH($B73,'Challan Master'!$S$4:$S$207,0)),"")&amp;" | Deposit "&amp;TEXT(IFERROR(INDEX('Challan Master'!$D$4:$D$207,MATCH($B73,'Challan Master'!$S$4:$S$207,0)),""),"dd-mm-yyyy")&amp;" | Minor Head "&amp;IFERROR(INDEX('Challan Master'!$E$4:$E$207,MATCH($B73,'Challan Master'!$S$4:$S$207,0)),"")&amp;" | Tax ₹"&amp;TEXT(IFERROR(INDEX('Challan Master'!$G$4:$G$207,MATCH($B73,'Challan Master'!$S$4:$S$207,0)),""),"#,##0")&amp;" | Section "&amp;IFERROR(INDEX('Challan Master'!$F$4:$F$207,MATCH($B73,'Challan Master'!$S$4:$S$207,0)),""))</f>
      </c>
      <c r="D73" s="8"/>
      <c r="E73" s="8"/>
      <c r="F73" s="7">
        <f>IF($D73="","",IF(AND(LEN(TRIM(UPPER(E73)))=10,CODE(MID(TRIM(UPPER(E73)),1,1))&gt;=65,CODE(MID(TRIM(UPPER(E73)),1,1))&lt;=90,CODE(MID(TRIM(UPPER(E73)),2,1))&gt;=65,CODE(MID(TRIM(UPPER(E73)),2,1))&lt;=90,CODE(MID(TRIM(UPPER(E73)),3,1))&gt;=65,CODE(MID(TRIM(UPPER(E73)),3,1))&lt;=90,CODE(MID(TRIM(UPPER(E73)),4,1))&gt;=65,CODE(MID(TRIM(UPPER(E73)),4,1))&lt;=90,CODE(MID(TRIM(UPPER(E73)),5,1))&gt;=65,CODE(MID(TRIM(UPPER(E73)),5,1))&lt;=90,CODE(MID(TRIM(UPPER(E73)),10,1))&gt;=65,CODE(MID(TRIM(UPPER(E73)),10,1))&lt;=90,CODE(MID(TRIM(UPPER(E73)),6,1))&gt;=48,CODE(MID(TRIM(UPPER(E73)),6,1))&lt;=57,CODE(MID(TRIM(UPPER(E73)),7,1))&gt;=48,CODE(MID(TRIM(UPPER(E73)),7,1))&lt;=57,CODE(MID(TRIM(UPPER(E73)),8,1))&gt;=48,CODE(MID(TRIM(UPPER(E73)),8,1))&lt;=57,CODE(MID(TRIM(UPPER(E73)),9,1))&gt;=48,CODE(MID(TRIM(UPPER(E73)),9,1))&lt;=57),"N","Y"))</f>
      </c>
      <c r="G73" s="7">
        <f>IF($D73="","",IF(LEN(E73)&lt;4,"",IF(UPPER(MID(E73,4,1))="P","Individual",IF(UPPER(MID(E73,4,1))="H","HUF",IF(UPPER(MID(E73,4,1))="C","Company",IF(UPPER(MID(E73,4,1))="F","Firm",IF(UPPER(MID(E73,4,1))="L","LLP",IF(UPPER(MID(E73,4,1))="T","Trust",IF(UPPER(MID(E73,4,1))="A","AOP","")))))))))</f>
      </c>
      <c r="H73" s="8"/>
      <c r="I73" s="7">
        <f>IF($D73="","",IF(H73="","",IF(F73="Y",SUMPRODUCT(('Rate Lookup'!$A$1:$A$37=H73)*'Rate Lookup'!$D$1:$D$37),IF(OR(G73="Individual",G73="HUF"),SUMPRODUCT(('Rate Lookup'!$A$1:$A$37=H73)*'Rate Lookup'!$B$1:$B$37),SUMPRODUCT(('Rate Lookup'!$A$1:$A$37=H73)*'Rate Lookup'!$C$1:$C$37)))))</f>
      </c>
      <c r="J73" s="8"/>
      <c r="K73" s="8"/>
      <c r="L73" s="7">
        <f>IF($D73="","",ROUND(K73*I73/100,0))</f>
      </c>
      <c r="M73" s="7">
        <f>IF($D73="","",0)</f>
      </c>
      <c r="N73" s="7">
        <f>IF($D73="","",0)</f>
      </c>
      <c r="O73" s="7">
        <f>IF($D73="","",IF(OR(L73=0,J73="",IFERROR(INDEX('Challan Master'!$D$4:$D$207,MATCH($B73,'Challan Master'!$S$4:$S$207,0)),"")="",IFERROR(INDEX('Challan Master'!$D$4:$D$207,MATCH($B73,'Challan Master'!$S$4:$S$207,0)),"")&lt;=0),0,IF(IFERROR(INDEX('Challan Master'!$D$4:$D$207,MATCH($B73,'Challan Master'!$S$4:$S$207,0)),"")&lt;=DATE(YEAR(J73),MONTH(J73)+1,7),0,ROUND(L73*0.015*((YEAR(IFERROR(INDEX('Challan Master'!$D$4:$D$207,MATCH($B73,'Challan Master'!$S$4:$S$207,0)),""))-YEAR(J73))*12+(MONTH(IFERROR(INDEX('Challan Master'!$D$4:$D$207,MATCH($B73,'Challan Master'!$S$4:$S$207,0)),""))-MONTH(J73))+1),0))))</f>
      </c>
      <c r="P73" s="7">
        <f>IF($D73="","",0)</f>
      </c>
      <c r="Q73" s="8"/>
      <c r="R73" s="8"/>
      <c r="S73" s="8"/>
      <c r="T73" s="8"/>
      <c r="U73" s="8"/>
      <c r="V73" s="7">
        <f>IF($B73="","",IFERROR(INDEX('Challan Master'!$AA$4:$AA$207,MATCH($B73,'Challan Master'!$S$4:$S$207,0)),""))</f>
      </c>
    </row>
    <row r="74" spans="1:22" x14ac:dyDescent="0.25">
      <c r="A74" s="7">
        <f>IF($D74="","",COUNTIF($D$4:$D74,"&lt;&gt;"))</f>
      </c>
      <c r="B74" s="8"/>
      <c r="C74" s="7">
        <f>IF($B74="","","BSR "&amp;IFERROR(INDEX('Challan Master'!$B$4:$B$207,MATCH($B74,'Challan Master'!$S$4:$S$207,0)),"")&amp;" | Serial "&amp;IFERROR(INDEX('Challan Master'!$C$4:$C$207,MATCH($B74,'Challan Master'!$S$4:$S$207,0)),"")&amp;" | Deposit "&amp;TEXT(IFERROR(INDEX('Challan Master'!$D$4:$D$207,MATCH($B74,'Challan Master'!$S$4:$S$207,0)),""),"dd-mm-yyyy")&amp;" | Minor Head "&amp;IFERROR(INDEX('Challan Master'!$E$4:$E$207,MATCH($B74,'Challan Master'!$S$4:$S$207,0)),"")&amp;" | Tax ₹"&amp;TEXT(IFERROR(INDEX('Challan Master'!$G$4:$G$207,MATCH($B74,'Challan Master'!$S$4:$S$207,0)),""),"#,##0")&amp;" | Section "&amp;IFERROR(INDEX('Challan Master'!$F$4:$F$207,MATCH($B74,'Challan Master'!$S$4:$S$207,0)),""))</f>
      </c>
      <c r="D74" s="8"/>
      <c r="E74" s="8"/>
      <c r="F74" s="7">
        <f>IF($D74="","",IF(AND(LEN(TRIM(UPPER(E74)))=10,CODE(MID(TRIM(UPPER(E74)),1,1))&gt;=65,CODE(MID(TRIM(UPPER(E74)),1,1))&lt;=90,CODE(MID(TRIM(UPPER(E74)),2,1))&gt;=65,CODE(MID(TRIM(UPPER(E74)),2,1))&lt;=90,CODE(MID(TRIM(UPPER(E74)),3,1))&gt;=65,CODE(MID(TRIM(UPPER(E74)),3,1))&lt;=90,CODE(MID(TRIM(UPPER(E74)),4,1))&gt;=65,CODE(MID(TRIM(UPPER(E74)),4,1))&lt;=90,CODE(MID(TRIM(UPPER(E74)),5,1))&gt;=65,CODE(MID(TRIM(UPPER(E74)),5,1))&lt;=90,CODE(MID(TRIM(UPPER(E74)),10,1))&gt;=65,CODE(MID(TRIM(UPPER(E74)),10,1))&lt;=90,CODE(MID(TRIM(UPPER(E74)),6,1))&gt;=48,CODE(MID(TRIM(UPPER(E74)),6,1))&lt;=57,CODE(MID(TRIM(UPPER(E74)),7,1))&gt;=48,CODE(MID(TRIM(UPPER(E74)),7,1))&lt;=57,CODE(MID(TRIM(UPPER(E74)),8,1))&gt;=48,CODE(MID(TRIM(UPPER(E74)),8,1))&lt;=57,CODE(MID(TRIM(UPPER(E74)),9,1))&gt;=48,CODE(MID(TRIM(UPPER(E74)),9,1))&lt;=57),"N","Y"))</f>
      </c>
      <c r="G74" s="7">
        <f>IF($D74="","",IF(LEN(E74)&lt;4,"",IF(UPPER(MID(E74,4,1))="P","Individual",IF(UPPER(MID(E74,4,1))="H","HUF",IF(UPPER(MID(E74,4,1))="C","Company",IF(UPPER(MID(E74,4,1))="F","Firm",IF(UPPER(MID(E74,4,1))="L","LLP",IF(UPPER(MID(E74,4,1))="T","Trust",IF(UPPER(MID(E74,4,1))="A","AOP","")))))))))</f>
      </c>
      <c r="H74" s="8"/>
      <c r="I74" s="7">
        <f>IF($D74="","",IF(H74="","",IF(F74="Y",SUMPRODUCT(('Rate Lookup'!$A$1:$A$37=H74)*'Rate Lookup'!$D$1:$D$37),IF(OR(G74="Individual",G74="HUF"),SUMPRODUCT(('Rate Lookup'!$A$1:$A$37=H74)*'Rate Lookup'!$B$1:$B$37),SUMPRODUCT(('Rate Lookup'!$A$1:$A$37=H74)*'Rate Lookup'!$C$1:$C$37)))))</f>
      </c>
      <c r="J74" s="8"/>
      <c r="K74" s="8"/>
      <c r="L74" s="7">
        <f>IF($D74="","",ROUND(K74*I74/100,0))</f>
      </c>
      <c r="M74" s="7">
        <f>IF($D74="","",0)</f>
      </c>
      <c r="N74" s="7">
        <f>IF($D74="","",0)</f>
      </c>
      <c r="O74" s="7">
        <f>IF($D74="","",IF(OR(L74=0,J74="",IFERROR(INDEX('Challan Master'!$D$4:$D$207,MATCH($B74,'Challan Master'!$S$4:$S$207,0)),"")="",IFERROR(INDEX('Challan Master'!$D$4:$D$207,MATCH($B74,'Challan Master'!$S$4:$S$207,0)),"")&lt;=0),0,IF(IFERROR(INDEX('Challan Master'!$D$4:$D$207,MATCH($B74,'Challan Master'!$S$4:$S$207,0)),"")&lt;=DATE(YEAR(J74),MONTH(J74)+1,7),0,ROUND(L74*0.015*((YEAR(IFERROR(INDEX('Challan Master'!$D$4:$D$207,MATCH($B74,'Challan Master'!$S$4:$S$207,0)),""))-YEAR(J74))*12+(MONTH(IFERROR(INDEX('Challan Master'!$D$4:$D$207,MATCH($B74,'Challan Master'!$S$4:$S$207,0)),""))-MONTH(J74))+1),0))))</f>
      </c>
      <c r="P74" s="7">
        <f>IF($D74="","",0)</f>
      </c>
      <c r="Q74" s="8"/>
      <c r="R74" s="8"/>
      <c r="S74" s="8"/>
      <c r="T74" s="8"/>
      <c r="U74" s="8"/>
      <c r="V74" s="7">
        <f>IF($B74="","",IFERROR(INDEX('Challan Master'!$AA$4:$AA$207,MATCH($B74,'Challan Master'!$S$4:$S$207,0)),""))</f>
      </c>
    </row>
    <row r="75" spans="1:22" x14ac:dyDescent="0.25">
      <c r="A75" s="7">
        <f>IF($D75="","",COUNTIF($D$4:$D75,"&lt;&gt;"))</f>
      </c>
      <c r="B75" s="8"/>
      <c r="C75" s="7">
        <f>IF($B75="","","BSR "&amp;IFERROR(INDEX('Challan Master'!$B$4:$B$207,MATCH($B75,'Challan Master'!$S$4:$S$207,0)),"")&amp;" | Serial "&amp;IFERROR(INDEX('Challan Master'!$C$4:$C$207,MATCH($B75,'Challan Master'!$S$4:$S$207,0)),"")&amp;" | Deposit "&amp;TEXT(IFERROR(INDEX('Challan Master'!$D$4:$D$207,MATCH($B75,'Challan Master'!$S$4:$S$207,0)),""),"dd-mm-yyyy")&amp;" | Minor Head "&amp;IFERROR(INDEX('Challan Master'!$E$4:$E$207,MATCH($B75,'Challan Master'!$S$4:$S$207,0)),"")&amp;" | Tax ₹"&amp;TEXT(IFERROR(INDEX('Challan Master'!$G$4:$G$207,MATCH($B75,'Challan Master'!$S$4:$S$207,0)),""),"#,##0")&amp;" | Section "&amp;IFERROR(INDEX('Challan Master'!$F$4:$F$207,MATCH($B75,'Challan Master'!$S$4:$S$207,0)),""))</f>
      </c>
      <c r="D75" s="8"/>
      <c r="E75" s="8"/>
      <c r="F75" s="7">
        <f>IF($D75="","",IF(AND(LEN(TRIM(UPPER(E75)))=10,CODE(MID(TRIM(UPPER(E75)),1,1))&gt;=65,CODE(MID(TRIM(UPPER(E75)),1,1))&lt;=90,CODE(MID(TRIM(UPPER(E75)),2,1))&gt;=65,CODE(MID(TRIM(UPPER(E75)),2,1))&lt;=90,CODE(MID(TRIM(UPPER(E75)),3,1))&gt;=65,CODE(MID(TRIM(UPPER(E75)),3,1))&lt;=90,CODE(MID(TRIM(UPPER(E75)),4,1))&gt;=65,CODE(MID(TRIM(UPPER(E75)),4,1))&lt;=90,CODE(MID(TRIM(UPPER(E75)),5,1))&gt;=65,CODE(MID(TRIM(UPPER(E75)),5,1))&lt;=90,CODE(MID(TRIM(UPPER(E75)),10,1))&gt;=65,CODE(MID(TRIM(UPPER(E75)),10,1))&lt;=90,CODE(MID(TRIM(UPPER(E75)),6,1))&gt;=48,CODE(MID(TRIM(UPPER(E75)),6,1))&lt;=57,CODE(MID(TRIM(UPPER(E75)),7,1))&gt;=48,CODE(MID(TRIM(UPPER(E75)),7,1))&lt;=57,CODE(MID(TRIM(UPPER(E75)),8,1))&gt;=48,CODE(MID(TRIM(UPPER(E75)),8,1))&lt;=57,CODE(MID(TRIM(UPPER(E75)),9,1))&gt;=48,CODE(MID(TRIM(UPPER(E75)),9,1))&lt;=57),"N","Y"))</f>
      </c>
      <c r="G75" s="7">
        <f>IF($D75="","",IF(LEN(E75)&lt;4,"",IF(UPPER(MID(E75,4,1))="P","Individual",IF(UPPER(MID(E75,4,1))="H","HUF",IF(UPPER(MID(E75,4,1))="C","Company",IF(UPPER(MID(E75,4,1))="F","Firm",IF(UPPER(MID(E75,4,1))="L","LLP",IF(UPPER(MID(E75,4,1))="T","Trust",IF(UPPER(MID(E75,4,1))="A","AOP","")))))))))</f>
      </c>
      <c r="H75" s="8"/>
      <c r="I75" s="7">
        <f>IF($D75="","",IF(H75="","",IF(F75="Y",SUMPRODUCT(('Rate Lookup'!$A$1:$A$37=H75)*'Rate Lookup'!$D$1:$D$37),IF(OR(G75="Individual",G75="HUF"),SUMPRODUCT(('Rate Lookup'!$A$1:$A$37=H75)*'Rate Lookup'!$B$1:$B$37),SUMPRODUCT(('Rate Lookup'!$A$1:$A$37=H75)*'Rate Lookup'!$C$1:$C$37)))))</f>
      </c>
      <c r="J75" s="8"/>
      <c r="K75" s="8"/>
      <c r="L75" s="7">
        <f>IF($D75="","",ROUND(K75*I75/100,0))</f>
      </c>
      <c r="M75" s="7">
        <f>IF($D75="","",0)</f>
      </c>
      <c r="N75" s="7">
        <f>IF($D75="","",0)</f>
      </c>
      <c r="O75" s="7">
        <f>IF($D75="","",IF(OR(L75=0,J75="",IFERROR(INDEX('Challan Master'!$D$4:$D$207,MATCH($B75,'Challan Master'!$S$4:$S$207,0)),"")="",IFERROR(INDEX('Challan Master'!$D$4:$D$207,MATCH($B75,'Challan Master'!$S$4:$S$207,0)),"")&lt;=0),0,IF(IFERROR(INDEX('Challan Master'!$D$4:$D$207,MATCH($B75,'Challan Master'!$S$4:$S$207,0)),"")&lt;=DATE(YEAR(J75),MONTH(J75)+1,7),0,ROUND(L75*0.015*((YEAR(IFERROR(INDEX('Challan Master'!$D$4:$D$207,MATCH($B75,'Challan Master'!$S$4:$S$207,0)),""))-YEAR(J75))*12+(MONTH(IFERROR(INDEX('Challan Master'!$D$4:$D$207,MATCH($B75,'Challan Master'!$S$4:$S$207,0)),""))-MONTH(J75))+1),0))))</f>
      </c>
      <c r="P75" s="7">
        <f>IF($D75="","",0)</f>
      </c>
      <c r="Q75" s="8"/>
      <c r="R75" s="8"/>
      <c r="S75" s="8"/>
      <c r="T75" s="8"/>
      <c r="U75" s="8"/>
      <c r="V75" s="7">
        <f>IF($B75="","",IFERROR(INDEX('Challan Master'!$AA$4:$AA$207,MATCH($B75,'Challan Master'!$S$4:$S$207,0)),""))</f>
      </c>
    </row>
    <row r="76" spans="1:22" x14ac:dyDescent="0.25">
      <c r="A76" s="7">
        <f>IF($D76="","",COUNTIF($D$4:$D76,"&lt;&gt;"))</f>
      </c>
      <c r="B76" s="8"/>
      <c r="C76" s="7">
        <f>IF($B76="","","BSR "&amp;IFERROR(INDEX('Challan Master'!$B$4:$B$207,MATCH($B76,'Challan Master'!$S$4:$S$207,0)),"")&amp;" | Serial "&amp;IFERROR(INDEX('Challan Master'!$C$4:$C$207,MATCH($B76,'Challan Master'!$S$4:$S$207,0)),"")&amp;" | Deposit "&amp;TEXT(IFERROR(INDEX('Challan Master'!$D$4:$D$207,MATCH($B76,'Challan Master'!$S$4:$S$207,0)),""),"dd-mm-yyyy")&amp;" | Minor Head "&amp;IFERROR(INDEX('Challan Master'!$E$4:$E$207,MATCH($B76,'Challan Master'!$S$4:$S$207,0)),"")&amp;" | Tax ₹"&amp;TEXT(IFERROR(INDEX('Challan Master'!$G$4:$G$207,MATCH($B76,'Challan Master'!$S$4:$S$207,0)),""),"#,##0")&amp;" | Section "&amp;IFERROR(INDEX('Challan Master'!$F$4:$F$207,MATCH($B76,'Challan Master'!$S$4:$S$207,0)),""))</f>
      </c>
      <c r="D76" s="8"/>
      <c r="E76" s="8"/>
      <c r="F76" s="7">
        <f>IF($D76="","",IF(AND(LEN(TRIM(UPPER(E76)))=10,CODE(MID(TRIM(UPPER(E76)),1,1))&gt;=65,CODE(MID(TRIM(UPPER(E76)),1,1))&lt;=90,CODE(MID(TRIM(UPPER(E76)),2,1))&gt;=65,CODE(MID(TRIM(UPPER(E76)),2,1))&lt;=90,CODE(MID(TRIM(UPPER(E76)),3,1))&gt;=65,CODE(MID(TRIM(UPPER(E76)),3,1))&lt;=90,CODE(MID(TRIM(UPPER(E76)),4,1))&gt;=65,CODE(MID(TRIM(UPPER(E76)),4,1))&lt;=90,CODE(MID(TRIM(UPPER(E76)),5,1))&gt;=65,CODE(MID(TRIM(UPPER(E76)),5,1))&lt;=90,CODE(MID(TRIM(UPPER(E76)),10,1))&gt;=65,CODE(MID(TRIM(UPPER(E76)),10,1))&lt;=90,CODE(MID(TRIM(UPPER(E76)),6,1))&gt;=48,CODE(MID(TRIM(UPPER(E76)),6,1))&lt;=57,CODE(MID(TRIM(UPPER(E76)),7,1))&gt;=48,CODE(MID(TRIM(UPPER(E76)),7,1))&lt;=57,CODE(MID(TRIM(UPPER(E76)),8,1))&gt;=48,CODE(MID(TRIM(UPPER(E76)),8,1))&lt;=57,CODE(MID(TRIM(UPPER(E76)),9,1))&gt;=48,CODE(MID(TRIM(UPPER(E76)),9,1))&lt;=57),"N","Y"))</f>
      </c>
      <c r="G76" s="7">
        <f>IF($D76="","",IF(LEN(E76)&lt;4,"",IF(UPPER(MID(E76,4,1))="P","Individual",IF(UPPER(MID(E76,4,1))="H","HUF",IF(UPPER(MID(E76,4,1))="C","Company",IF(UPPER(MID(E76,4,1))="F","Firm",IF(UPPER(MID(E76,4,1))="L","LLP",IF(UPPER(MID(E76,4,1))="T","Trust",IF(UPPER(MID(E76,4,1))="A","AOP","")))))))))</f>
      </c>
      <c r="H76" s="8"/>
      <c r="I76" s="7">
        <f>IF($D76="","",IF(H76="","",IF(F76="Y",SUMPRODUCT(('Rate Lookup'!$A$1:$A$37=H76)*'Rate Lookup'!$D$1:$D$37),IF(OR(G76="Individual",G76="HUF"),SUMPRODUCT(('Rate Lookup'!$A$1:$A$37=H76)*'Rate Lookup'!$B$1:$B$37),SUMPRODUCT(('Rate Lookup'!$A$1:$A$37=H76)*'Rate Lookup'!$C$1:$C$37)))))</f>
      </c>
      <c r="J76" s="8"/>
      <c r="K76" s="8"/>
      <c r="L76" s="7">
        <f>IF($D76="","",ROUND(K76*I76/100,0))</f>
      </c>
      <c r="M76" s="7">
        <f>IF($D76="","",0)</f>
      </c>
      <c r="N76" s="7">
        <f>IF($D76="","",0)</f>
      </c>
      <c r="O76" s="7">
        <f>IF($D76="","",IF(OR(L76=0,J76="",IFERROR(INDEX('Challan Master'!$D$4:$D$207,MATCH($B76,'Challan Master'!$S$4:$S$207,0)),"")="",IFERROR(INDEX('Challan Master'!$D$4:$D$207,MATCH($B76,'Challan Master'!$S$4:$S$207,0)),"")&lt;=0),0,IF(IFERROR(INDEX('Challan Master'!$D$4:$D$207,MATCH($B76,'Challan Master'!$S$4:$S$207,0)),"")&lt;=DATE(YEAR(J76),MONTH(J76)+1,7),0,ROUND(L76*0.015*((YEAR(IFERROR(INDEX('Challan Master'!$D$4:$D$207,MATCH($B76,'Challan Master'!$S$4:$S$207,0)),""))-YEAR(J76))*12+(MONTH(IFERROR(INDEX('Challan Master'!$D$4:$D$207,MATCH($B76,'Challan Master'!$S$4:$S$207,0)),""))-MONTH(J76))+1),0))))</f>
      </c>
      <c r="P76" s="7">
        <f>IF($D76="","",0)</f>
      </c>
      <c r="Q76" s="8"/>
      <c r="R76" s="8"/>
      <c r="S76" s="8"/>
      <c r="T76" s="8"/>
      <c r="U76" s="8"/>
      <c r="V76" s="7">
        <f>IF($B76="","",IFERROR(INDEX('Challan Master'!$AA$4:$AA$207,MATCH($B76,'Challan Master'!$S$4:$S$207,0)),""))</f>
      </c>
    </row>
    <row r="77" spans="1:22" x14ac:dyDescent="0.25">
      <c r="A77" s="7">
        <f>IF($D77="","",COUNTIF($D$4:$D77,"&lt;&gt;"))</f>
      </c>
      <c r="B77" s="8"/>
      <c r="C77" s="7">
        <f>IF($B77="","","BSR "&amp;IFERROR(INDEX('Challan Master'!$B$4:$B$207,MATCH($B77,'Challan Master'!$S$4:$S$207,0)),"")&amp;" | Serial "&amp;IFERROR(INDEX('Challan Master'!$C$4:$C$207,MATCH($B77,'Challan Master'!$S$4:$S$207,0)),"")&amp;" | Deposit "&amp;TEXT(IFERROR(INDEX('Challan Master'!$D$4:$D$207,MATCH($B77,'Challan Master'!$S$4:$S$207,0)),""),"dd-mm-yyyy")&amp;" | Minor Head "&amp;IFERROR(INDEX('Challan Master'!$E$4:$E$207,MATCH($B77,'Challan Master'!$S$4:$S$207,0)),"")&amp;" | Tax ₹"&amp;TEXT(IFERROR(INDEX('Challan Master'!$G$4:$G$207,MATCH($B77,'Challan Master'!$S$4:$S$207,0)),""),"#,##0")&amp;" | Section "&amp;IFERROR(INDEX('Challan Master'!$F$4:$F$207,MATCH($B77,'Challan Master'!$S$4:$S$207,0)),""))</f>
      </c>
      <c r="D77" s="8"/>
      <c r="E77" s="8"/>
      <c r="F77" s="7">
        <f>IF($D77="","",IF(AND(LEN(TRIM(UPPER(E77)))=10,CODE(MID(TRIM(UPPER(E77)),1,1))&gt;=65,CODE(MID(TRIM(UPPER(E77)),1,1))&lt;=90,CODE(MID(TRIM(UPPER(E77)),2,1))&gt;=65,CODE(MID(TRIM(UPPER(E77)),2,1))&lt;=90,CODE(MID(TRIM(UPPER(E77)),3,1))&gt;=65,CODE(MID(TRIM(UPPER(E77)),3,1))&lt;=90,CODE(MID(TRIM(UPPER(E77)),4,1))&gt;=65,CODE(MID(TRIM(UPPER(E77)),4,1))&lt;=90,CODE(MID(TRIM(UPPER(E77)),5,1))&gt;=65,CODE(MID(TRIM(UPPER(E77)),5,1))&lt;=90,CODE(MID(TRIM(UPPER(E77)),10,1))&gt;=65,CODE(MID(TRIM(UPPER(E77)),10,1))&lt;=90,CODE(MID(TRIM(UPPER(E77)),6,1))&gt;=48,CODE(MID(TRIM(UPPER(E77)),6,1))&lt;=57,CODE(MID(TRIM(UPPER(E77)),7,1))&gt;=48,CODE(MID(TRIM(UPPER(E77)),7,1))&lt;=57,CODE(MID(TRIM(UPPER(E77)),8,1))&gt;=48,CODE(MID(TRIM(UPPER(E77)),8,1))&lt;=57,CODE(MID(TRIM(UPPER(E77)),9,1))&gt;=48,CODE(MID(TRIM(UPPER(E77)),9,1))&lt;=57),"N","Y"))</f>
      </c>
      <c r="G77" s="7">
        <f>IF($D77="","",IF(LEN(E77)&lt;4,"",IF(UPPER(MID(E77,4,1))="P","Individual",IF(UPPER(MID(E77,4,1))="H","HUF",IF(UPPER(MID(E77,4,1))="C","Company",IF(UPPER(MID(E77,4,1))="F","Firm",IF(UPPER(MID(E77,4,1))="L","LLP",IF(UPPER(MID(E77,4,1))="T","Trust",IF(UPPER(MID(E77,4,1))="A","AOP","")))))))))</f>
      </c>
      <c r="H77" s="8"/>
      <c r="I77" s="7">
        <f>IF($D77="","",IF(H77="","",IF(F77="Y",SUMPRODUCT(('Rate Lookup'!$A$1:$A$37=H77)*'Rate Lookup'!$D$1:$D$37),IF(OR(G77="Individual",G77="HUF"),SUMPRODUCT(('Rate Lookup'!$A$1:$A$37=H77)*'Rate Lookup'!$B$1:$B$37),SUMPRODUCT(('Rate Lookup'!$A$1:$A$37=H77)*'Rate Lookup'!$C$1:$C$37)))))</f>
      </c>
      <c r="J77" s="8"/>
      <c r="K77" s="8"/>
      <c r="L77" s="7">
        <f>IF($D77="","",ROUND(K77*I77/100,0))</f>
      </c>
      <c r="M77" s="7">
        <f>IF($D77="","",0)</f>
      </c>
      <c r="N77" s="7">
        <f>IF($D77="","",0)</f>
      </c>
      <c r="O77" s="7">
        <f>IF($D77="","",IF(OR(L77=0,J77="",IFERROR(INDEX('Challan Master'!$D$4:$D$207,MATCH($B77,'Challan Master'!$S$4:$S$207,0)),"")="",IFERROR(INDEX('Challan Master'!$D$4:$D$207,MATCH($B77,'Challan Master'!$S$4:$S$207,0)),"")&lt;=0),0,IF(IFERROR(INDEX('Challan Master'!$D$4:$D$207,MATCH($B77,'Challan Master'!$S$4:$S$207,0)),"")&lt;=DATE(YEAR(J77),MONTH(J77)+1,7),0,ROUND(L77*0.015*((YEAR(IFERROR(INDEX('Challan Master'!$D$4:$D$207,MATCH($B77,'Challan Master'!$S$4:$S$207,0)),""))-YEAR(J77))*12+(MONTH(IFERROR(INDEX('Challan Master'!$D$4:$D$207,MATCH($B77,'Challan Master'!$S$4:$S$207,0)),""))-MONTH(J77))+1),0))))</f>
      </c>
      <c r="P77" s="7">
        <f>IF($D77="","",0)</f>
      </c>
      <c r="Q77" s="8"/>
      <c r="R77" s="8"/>
      <c r="S77" s="8"/>
      <c r="T77" s="8"/>
      <c r="U77" s="8"/>
      <c r="V77" s="7">
        <f>IF($B77="","",IFERROR(INDEX('Challan Master'!$AA$4:$AA$207,MATCH($B77,'Challan Master'!$S$4:$S$207,0)),""))</f>
      </c>
    </row>
    <row r="78" spans="1:22" x14ac:dyDescent="0.25">
      <c r="A78" s="7">
        <f>IF($D78="","",COUNTIF($D$4:$D78,"&lt;&gt;"))</f>
      </c>
      <c r="B78" s="8"/>
      <c r="C78" s="7">
        <f>IF($B78="","","BSR "&amp;IFERROR(INDEX('Challan Master'!$B$4:$B$207,MATCH($B78,'Challan Master'!$S$4:$S$207,0)),"")&amp;" | Serial "&amp;IFERROR(INDEX('Challan Master'!$C$4:$C$207,MATCH($B78,'Challan Master'!$S$4:$S$207,0)),"")&amp;" | Deposit "&amp;TEXT(IFERROR(INDEX('Challan Master'!$D$4:$D$207,MATCH($B78,'Challan Master'!$S$4:$S$207,0)),""),"dd-mm-yyyy")&amp;" | Minor Head "&amp;IFERROR(INDEX('Challan Master'!$E$4:$E$207,MATCH($B78,'Challan Master'!$S$4:$S$207,0)),"")&amp;" | Tax ₹"&amp;TEXT(IFERROR(INDEX('Challan Master'!$G$4:$G$207,MATCH($B78,'Challan Master'!$S$4:$S$207,0)),""),"#,##0")&amp;" | Section "&amp;IFERROR(INDEX('Challan Master'!$F$4:$F$207,MATCH($B78,'Challan Master'!$S$4:$S$207,0)),""))</f>
      </c>
      <c r="D78" s="8"/>
      <c r="E78" s="8"/>
      <c r="F78" s="7">
        <f>IF($D78="","",IF(AND(LEN(TRIM(UPPER(E78)))=10,CODE(MID(TRIM(UPPER(E78)),1,1))&gt;=65,CODE(MID(TRIM(UPPER(E78)),1,1))&lt;=90,CODE(MID(TRIM(UPPER(E78)),2,1))&gt;=65,CODE(MID(TRIM(UPPER(E78)),2,1))&lt;=90,CODE(MID(TRIM(UPPER(E78)),3,1))&gt;=65,CODE(MID(TRIM(UPPER(E78)),3,1))&lt;=90,CODE(MID(TRIM(UPPER(E78)),4,1))&gt;=65,CODE(MID(TRIM(UPPER(E78)),4,1))&lt;=90,CODE(MID(TRIM(UPPER(E78)),5,1))&gt;=65,CODE(MID(TRIM(UPPER(E78)),5,1))&lt;=90,CODE(MID(TRIM(UPPER(E78)),10,1))&gt;=65,CODE(MID(TRIM(UPPER(E78)),10,1))&lt;=90,CODE(MID(TRIM(UPPER(E78)),6,1))&gt;=48,CODE(MID(TRIM(UPPER(E78)),6,1))&lt;=57,CODE(MID(TRIM(UPPER(E78)),7,1))&gt;=48,CODE(MID(TRIM(UPPER(E78)),7,1))&lt;=57,CODE(MID(TRIM(UPPER(E78)),8,1))&gt;=48,CODE(MID(TRIM(UPPER(E78)),8,1))&lt;=57,CODE(MID(TRIM(UPPER(E78)),9,1))&gt;=48,CODE(MID(TRIM(UPPER(E78)),9,1))&lt;=57),"N","Y"))</f>
      </c>
      <c r="G78" s="7">
        <f>IF($D78="","",IF(LEN(E78)&lt;4,"",IF(UPPER(MID(E78,4,1))="P","Individual",IF(UPPER(MID(E78,4,1))="H","HUF",IF(UPPER(MID(E78,4,1))="C","Company",IF(UPPER(MID(E78,4,1))="F","Firm",IF(UPPER(MID(E78,4,1))="L","LLP",IF(UPPER(MID(E78,4,1))="T","Trust",IF(UPPER(MID(E78,4,1))="A","AOP","")))))))))</f>
      </c>
      <c r="H78" s="8"/>
      <c r="I78" s="7">
        <f>IF($D78="","",IF(H78="","",IF(F78="Y",SUMPRODUCT(('Rate Lookup'!$A$1:$A$37=H78)*'Rate Lookup'!$D$1:$D$37),IF(OR(G78="Individual",G78="HUF"),SUMPRODUCT(('Rate Lookup'!$A$1:$A$37=H78)*'Rate Lookup'!$B$1:$B$37),SUMPRODUCT(('Rate Lookup'!$A$1:$A$37=H78)*'Rate Lookup'!$C$1:$C$37)))))</f>
      </c>
      <c r="J78" s="8"/>
      <c r="K78" s="8"/>
      <c r="L78" s="7">
        <f>IF($D78="","",ROUND(K78*I78/100,0))</f>
      </c>
      <c r="M78" s="7">
        <f>IF($D78="","",0)</f>
      </c>
      <c r="N78" s="7">
        <f>IF($D78="","",0)</f>
      </c>
      <c r="O78" s="7">
        <f>IF($D78="","",IF(OR(L78=0,J78="",IFERROR(INDEX('Challan Master'!$D$4:$D$207,MATCH($B78,'Challan Master'!$S$4:$S$207,0)),"")="",IFERROR(INDEX('Challan Master'!$D$4:$D$207,MATCH($B78,'Challan Master'!$S$4:$S$207,0)),"")&lt;=0),0,IF(IFERROR(INDEX('Challan Master'!$D$4:$D$207,MATCH($B78,'Challan Master'!$S$4:$S$207,0)),"")&lt;=DATE(YEAR(J78),MONTH(J78)+1,7),0,ROUND(L78*0.015*((YEAR(IFERROR(INDEX('Challan Master'!$D$4:$D$207,MATCH($B78,'Challan Master'!$S$4:$S$207,0)),""))-YEAR(J78))*12+(MONTH(IFERROR(INDEX('Challan Master'!$D$4:$D$207,MATCH($B78,'Challan Master'!$S$4:$S$207,0)),""))-MONTH(J78))+1),0))))</f>
      </c>
      <c r="P78" s="7">
        <f>IF($D78="","",0)</f>
      </c>
      <c r="Q78" s="8"/>
      <c r="R78" s="8"/>
      <c r="S78" s="8"/>
      <c r="T78" s="8"/>
      <c r="U78" s="8"/>
      <c r="V78" s="7">
        <f>IF($B78="","",IFERROR(INDEX('Challan Master'!$AA$4:$AA$207,MATCH($B78,'Challan Master'!$S$4:$S$207,0)),""))</f>
      </c>
    </row>
    <row r="79" spans="1:22" x14ac:dyDescent="0.25">
      <c r="A79" s="7">
        <f>IF($D79="","",COUNTIF($D$4:$D79,"&lt;&gt;"))</f>
      </c>
      <c r="B79" s="8"/>
      <c r="C79" s="7">
        <f>IF($B79="","","BSR "&amp;IFERROR(INDEX('Challan Master'!$B$4:$B$207,MATCH($B79,'Challan Master'!$S$4:$S$207,0)),"")&amp;" | Serial "&amp;IFERROR(INDEX('Challan Master'!$C$4:$C$207,MATCH($B79,'Challan Master'!$S$4:$S$207,0)),"")&amp;" | Deposit "&amp;TEXT(IFERROR(INDEX('Challan Master'!$D$4:$D$207,MATCH($B79,'Challan Master'!$S$4:$S$207,0)),""),"dd-mm-yyyy")&amp;" | Minor Head "&amp;IFERROR(INDEX('Challan Master'!$E$4:$E$207,MATCH($B79,'Challan Master'!$S$4:$S$207,0)),"")&amp;" | Tax ₹"&amp;TEXT(IFERROR(INDEX('Challan Master'!$G$4:$G$207,MATCH($B79,'Challan Master'!$S$4:$S$207,0)),""),"#,##0")&amp;" | Section "&amp;IFERROR(INDEX('Challan Master'!$F$4:$F$207,MATCH($B79,'Challan Master'!$S$4:$S$207,0)),""))</f>
      </c>
      <c r="D79" s="8"/>
      <c r="E79" s="8"/>
      <c r="F79" s="7">
        <f>IF($D79="","",IF(AND(LEN(TRIM(UPPER(E79)))=10,CODE(MID(TRIM(UPPER(E79)),1,1))&gt;=65,CODE(MID(TRIM(UPPER(E79)),1,1))&lt;=90,CODE(MID(TRIM(UPPER(E79)),2,1))&gt;=65,CODE(MID(TRIM(UPPER(E79)),2,1))&lt;=90,CODE(MID(TRIM(UPPER(E79)),3,1))&gt;=65,CODE(MID(TRIM(UPPER(E79)),3,1))&lt;=90,CODE(MID(TRIM(UPPER(E79)),4,1))&gt;=65,CODE(MID(TRIM(UPPER(E79)),4,1))&lt;=90,CODE(MID(TRIM(UPPER(E79)),5,1))&gt;=65,CODE(MID(TRIM(UPPER(E79)),5,1))&lt;=90,CODE(MID(TRIM(UPPER(E79)),10,1))&gt;=65,CODE(MID(TRIM(UPPER(E79)),10,1))&lt;=90,CODE(MID(TRIM(UPPER(E79)),6,1))&gt;=48,CODE(MID(TRIM(UPPER(E79)),6,1))&lt;=57,CODE(MID(TRIM(UPPER(E79)),7,1))&gt;=48,CODE(MID(TRIM(UPPER(E79)),7,1))&lt;=57,CODE(MID(TRIM(UPPER(E79)),8,1))&gt;=48,CODE(MID(TRIM(UPPER(E79)),8,1))&lt;=57,CODE(MID(TRIM(UPPER(E79)),9,1))&gt;=48,CODE(MID(TRIM(UPPER(E79)),9,1))&lt;=57),"N","Y"))</f>
      </c>
      <c r="G79" s="7">
        <f>IF($D79="","",IF(LEN(E79)&lt;4,"",IF(UPPER(MID(E79,4,1))="P","Individual",IF(UPPER(MID(E79,4,1))="H","HUF",IF(UPPER(MID(E79,4,1))="C","Company",IF(UPPER(MID(E79,4,1))="F","Firm",IF(UPPER(MID(E79,4,1))="L","LLP",IF(UPPER(MID(E79,4,1))="T","Trust",IF(UPPER(MID(E79,4,1))="A","AOP","")))))))))</f>
      </c>
      <c r="H79" s="8"/>
      <c r="I79" s="7">
        <f>IF($D79="","",IF(H79="","",IF(F79="Y",SUMPRODUCT(('Rate Lookup'!$A$1:$A$37=H79)*'Rate Lookup'!$D$1:$D$37),IF(OR(G79="Individual",G79="HUF"),SUMPRODUCT(('Rate Lookup'!$A$1:$A$37=H79)*'Rate Lookup'!$B$1:$B$37),SUMPRODUCT(('Rate Lookup'!$A$1:$A$37=H79)*'Rate Lookup'!$C$1:$C$37)))))</f>
      </c>
      <c r="J79" s="8"/>
      <c r="K79" s="8"/>
      <c r="L79" s="7">
        <f>IF($D79="","",ROUND(K79*I79/100,0))</f>
      </c>
      <c r="M79" s="7">
        <f>IF($D79="","",0)</f>
      </c>
      <c r="N79" s="7">
        <f>IF($D79="","",0)</f>
      </c>
      <c r="O79" s="7">
        <f>IF($D79="","",IF(OR(L79=0,J79="",IFERROR(INDEX('Challan Master'!$D$4:$D$207,MATCH($B79,'Challan Master'!$S$4:$S$207,0)),"")="",IFERROR(INDEX('Challan Master'!$D$4:$D$207,MATCH($B79,'Challan Master'!$S$4:$S$207,0)),"")&lt;=0),0,IF(IFERROR(INDEX('Challan Master'!$D$4:$D$207,MATCH($B79,'Challan Master'!$S$4:$S$207,0)),"")&lt;=DATE(YEAR(J79),MONTH(J79)+1,7),0,ROUND(L79*0.015*((YEAR(IFERROR(INDEX('Challan Master'!$D$4:$D$207,MATCH($B79,'Challan Master'!$S$4:$S$207,0)),""))-YEAR(J79))*12+(MONTH(IFERROR(INDEX('Challan Master'!$D$4:$D$207,MATCH($B79,'Challan Master'!$S$4:$S$207,0)),""))-MONTH(J79))+1),0))))</f>
      </c>
      <c r="P79" s="7">
        <f>IF($D79="","",0)</f>
      </c>
      <c r="Q79" s="8"/>
      <c r="R79" s="8"/>
      <c r="S79" s="8"/>
      <c r="T79" s="8"/>
      <c r="U79" s="8"/>
      <c r="V79" s="7">
        <f>IF($B79="","",IFERROR(INDEX('Challan Master'!$AA$4:$AA$207,MATCH($B79,'Challan Master'!$S$4:$S$207,0)),""))</f>
      </c>
    </row>
    <row r="80" spans="1:22" x14ac:dyDescent="0.25">
      <c r="A80" s="7">
        <f>IF($D80="","",COUNTIF($D$4:$D80,"&lt;&gt;"))</f>
      </c>
      <c r="B80" s="8"/>
      <c r="C80" s="7">
        <f>IF($B80="","","BSR "&amp;IFERROR(INDEX('Challan Master'!$B$4:$B$207,MATCH($B80,'Challan Master'!$S$4:$S$207,0)),"")&amp;" | Serial "&amp;IFERROR(INDEX('Challan Master'!$C$4:$C$207,MATCH($B80,'Challan Master'!$S$4:$S$207,0)),"")&amp;" | Deposit "&amp;TEXT(IFERROR(INDEX('Challan Master'!$D$4:$D$207,MATCH($B80,'Challan Master'!$S$4:$S$207,0)),""),"dd-mm-yyyy")&amp;" | Minor Head "&amp;IFERROR(INDEX('Challan Master'!$E$4:$E$207,MATCH($B80,'Challan Master'!$S$4:$S$207,0)),"")&amp;" | Tax ₹"&amp;TEXT(IFERROR(INDEX('Challan Master'!$G$4:$G$207,MATCH($B80,'Challan Master'!$S$4:$S$207,0)),""),"#,##0")&amp;" | Section "&amp;IFERROR(INDEX('Challan Master'!$F$4:$F$207,MATCH($B80,'Challan Master'!$S$4:$S$207,0)),""))</f>
      </c>
      <c r="D80" s="8"/>
      <c r="E80" s="8"/>
      <c r="F80" s="7">
        <f>IF($D80="","",IF(AND(LEN(TRIM(UPPER(E80)))=10,CODE(MID(TRIM(UPPER(E80)),1,1))&gt;=65,CODE(MID(TRIM(UPPER(E80)),1,1))&lt;=90,CODE(MID(TRIM(UPPER(E80)),2,1))&gt;=65,CODE(MID(TRIM(UPPER(E80)),2,1))&lt;=90,CODE(MID(TRIM(UPPER(E80)),3,1))&gt;=65,CODE(MID(TRIM(UPPER(E80)),3,1))&lt;=90,CODE(MID(TRIM(UPPER(E80)),4,1))&gt;=65,CODE(MID(TRIM(UPPER(E80)),4,1))&lt;=90,CODE(MID(TRIM(UPPER(E80)),5,1))&gt;=65,CODE(MID(TRIM(UPPER(E80)),5,1))&lt;=90,CODE(MID(TRIM(UPPER(E80)),10,1))&gt;=65,CODE(MID(TRIM(UPPER(E80)),10,1))&lt;=90,CODE(MID(TRIM(UPPER(E80)),6,1))&gt;=48,CODE(MID(TRIM(UPPER(E80)),6,1))&lt;=57,CODE(MID(TRIM(UPPER(E80)),7,1))&gt;=48,CODE(MID(TRIM(UPPER(E80)),7,1))&lt;=57,CODE(MID(TRIM(UPPER(E80)),8,1))&gt;=48,CODE(MID(TRIM(UPPER(E80)),8,1))&lt;=57,CODE(MID(TRIM(UPPER(E80)),9,1))&gt;=48,CODE(MID(TRIM(UPPER(E80)),9,1))&lt;=57),"N","Y"))</f>
      </c>
      <c r="G80" s="7">
        <f>IF($D80="","",IF(LEN(E80)&lt;4,"",IF(UPPER(MID(E80,4,1))="P","Individual",IF(UPPER(MID(E80,4,1))="H","HUF",IF(UPPER(MID(E80,4,1))="C","Company",IF(UPPER(MID(E80,4,1))="F","Firm",IF(UPPER(MID(E80,4,1))="L","LLP",IF(UPPER(MID(E80,4,1))="T","Trust",IF(UPPER(MID(E80,4,1))="A","AOP","")))))))))</f>
      </c>
      <c r="H80" s="8"/>
      <c r="I80" s="7">
        <f>IF($D80="","",IF(H80="","",IF(F80="Y",SUMPRODUCT(('Rate Lookup'!$A$1:$A$37=H80)*'Rate Lookup'!$D$1:$D$37),IF(OR(G80="Individual",G80="HUF"),SUMPRODUCT(('Rate Lookup'!$A$1:$A$37=H80)*'Rate Lookup'!$B$1:$B$37),SUMPRODUCT(('Rate Lookup'!$A$1:$A$37=H80)*'Rate Lookup'!$C$1:$C$37)))))</f>
      </c>
      <c r="J80" s="8"/>
      <c r="K80" s="8"/>
      <c r="L80" s="7">
        <f>IF($D80="","",ROUND(K80*I80/100,0))</f>
      </c>
      <c r="M80" s="7">
        <f>IF($D80="","",0)</f>
      </c>
      <c r="N80" s="7">
        <f>IF($D80="","",0)</f>
      </c>
      <c r="O80" s="7">
        <f>IF($D80="","",IF(OR(L80=0,J80="",IFERROR(INDEX('Challan Master'!$D$4:$D$207,MATCH($B80,'Challan Master'!$S$4:$S$207,0)),"")="",IFERROR(INDEX('Challan Master'!$D$4:$D$207,MATCH($B80,'Challan Master'!$S$4:$S$207,0)),"")&lt;=0),0,IF(IFERROR(INDEX('Challan Master'!$D$4:$D$207,MATCH($B80,'Challan Master'!$S$4:$S$207,0)),"")&lt;=DATE(YEAR(J80),MONTH(J80)+1,7),0,ROUND(L80*0.015*((YEAR(IFERROR(INDEX('Challan Master'!$D$4:$D$207,MATCH($B80,'Challan Master'!$S$4:$S$207,0)),""))-YEAR(J80))*12+(MONTH(IFERROR(INDEX('Challan Master'!$D$4:$D$207,MATCH($B80,'Challan Master'!$S$4:$S$207,0)),""))-MONTH(J80))+1),0))))</f>
      </c>
      <c r="P80" s="7">
        <f>IF($D80="","",0)</f>
      </c>
      <c r="Q80" s="8"/>
      <c r="R80" s="8"/>
      <c r="S80" s="8"/>
      <c r="T80" s="8"/>
      <c r="U80" s="8"/>
      <c r="V80" s="7">
        <f>IF($B80="","",IFERROR(INDEX('Challan Master'!$AA$4:$AA$207,MATCH($B80,'Challan Master'!$S$4:$S$207,0)),""))</f>
      </c>
    </row>
    <row r="81" spans="1:22" x14ac:dyDescent="0.25">
      <c r="A81" s="7">
        <f>IF($D81="","",COUNTIF($D$4:$D81,"&lt;&gt;"))</f>
      </c>
      <c r="B81" s="8"/>
      <c r="C81" s="7">
        <f>IF($B81="","","BSR "&amp;IFERROR(INDEX('Challan Master'!$B$4:$B$207,MATCH($B81,'Challan Master'!$S$4:$S$207,0)),"")&amp;" | Serial "&amp;IFERROR(INDEX('Challan Master'!$C$4:$C$207,MATCH($B81,'Challan Master'!$S$4:$S$207,0)),"")&amp;" | Deposit "&amp;TEXT(IFERROR(INDEX('Challan Master'!$D$4:$D$207,MATCH($B81,'Challan Master'!$S$4:$S$207,0)),""),"dd-mm-yyyy")&amp;" | Minor Head "&amp;IFERROR(INDEX('Challan Master'!$E$4:$E$207,MATCH($B81,'Challan Master'!$S$4:$S$207,0)),"")&amp;" | Tax ₹"&amp;TEXT(IFERROR(INDEX('Challan Master'!$G$4:$G$207,MATCH($B81,'Challan Master'!$S$4:$S$207,0)),""),"#,##0")&amp;" | Section "&amp;IFERROR(INDEX('Challan Master'!$F$4:$F$207,MATCH($B81,'Challan Master'!$S$4:$S$207,0)),""))</f>
      </c>
      <c r="D81" s="8"/>
      <c r="E81" s="8"/>
      <c r="F81" s="7">
        <f>IF($D81="","",IF(AND(LEN(TRIM(UPPER(E81)))=10,CODE(MID(TRIM(UPPER(E81)),1,1))&gt;=65,CODE(MID(TRIM(UPPER(E81)),1,1))&lt;=90,CODE(MID(TRIM(UPPER(E81)),2,1))&gt;=65,CODE(MID(TRIM(UPPER(E81)),2,1))&lt;=90,CODE(MID(TRIM(UPPER(E81)),3,1))&gt;=65,CODE(MID(TRIM(UPPER(E81)),3,1))&lt;=90,CODE(MID(TRIM(UPPER(E81)),4,1))&gt;=65,CODE(MID(TRIM(UPPER(E81)),4,1))&lt;=90,CODE(MID(TRIM(UPPER(E81)),5,1))&gt;=65,CODE(MID(TRIM(UPPER(E81)),5,1))&lt;=90,CODE(MID(TRIM(UPPER(E81)),10,1))&gt;=65,CODE(MID(TRIM(UPPER(E81)),10,1))&lt;=90,CODE(MID(TRIM(UPPER(E81)),6,1))&gt;=48,CODE(MID(TRIM(UPPER(E81)),6,1))&lt;=57,CODE(MID(TRIM(UPPER(E81)),7,1))&gt;=48,CODE(MID(TRIM(UPPER(E81)),7,1))&lt;=57,CODE(MID(TRIM(UPPER(E81)),8,1))&gt;=48,CODE(MID(TRIM(UPPER(E81)),8,1))&lt;=57,CODE(MID(TRIM(UPPER(E81)),9,1))&gt;=48,CODE(MID(TRIM(UPPER(E81)),9,1))&lt;=57),"N","Y"))</f>
      </c>
      <c r="G81" s="7">
        <f>IF($D81="","",IF(LEN(E81)&lt;4,"",IF(UPPER(MID(E81,4,1))="P","Individual",IF(UPPER(MID(E81,4,1))="H","HUF",IF(UPPER(MID(E81,4,1))="C","Company",IF(UPPER(MID(E81,4,1))="F","Firm",IF(UPPER(MID(E81,4,1))="L","LLP",IF(UPPER(MID(E81,4,1))="T","Trust",IF(UPPER(MID(E81,4,1))="A","AOP","")))))))))</f>
      </c>
      <c r="H81" s="8"/>
      <c r="I81" s="7">
        <f>IF($D81="","",IF(H81="","",IF(F81="Y",SUMPRODUCT(('Rate Lookup'!$A$1:$A$37=H81)*'Rate Lookup'!$D$1:$D$37),IF(OR(G81="Individual",G81="HUF"),SUMPRODUCT(('Rate Lookup'!$A$1:$A$37=H81)*'Rate Lookup'!$B$1:$B$37),SUMPRODUCT(('Rate Lookup'!$A$1:$A$37=H81)*'Rate Lookup'!$C$1:$C$37)))))</f>
      </c>
      <c r="J81" s="8"/>
      <c r="K81" s="8"/>
      <c r="L81" s="7">
        <f>IF($D81="","",ROUND(K81*I81/100,0))</f>
      </c>
      <c r="M81" s="7">
        <f>IF($D81="","",0)</f>
      </c>
      <c r="N81" s="7">
        <f>IF($D81="","",0)</f>
      </c>
      <c r="O81" s="7">
        <f>IF($D81="","",IF(OR(L81=0,J81="",IFERROR(INDEX('Challan Master'!$D$4:$D$207,MATCH($B81,'Challan Master'!$S$4:$S$207,0)),"")="",IFERROR(INDEX('Challan Master'!$D$4:$D$207,MATCH($B81,'Challan Master'!$S$4:$S$207,0)),"")&lt;=0),0,IF(IFERROR(INDEX('Challan Master'!$D$4:$D$207,MATCH($B81,'Challan Master'!$S$4:$S$207,0)),"")&lt;=DATE(YEAR(J81),MONTH(J81)+1,7),0,ROUND(L81*0.015*((YEAR(IFERROR(INDEX('Challan Master'!$D$4:$D$207,MATCH($B81,'Challan Master'!$S$4:$S$207,0)),""))-YEAR(J81))*12+(MONTH(IFERROR(INDEX('Challan Master'!$D$4:$D$207,MATCH($B81,'Challan Master'!$S$4:$S$207,0)),""))-MONTH(J81))+1),0))))</f>
      </c>
      <c r="P81" s="7">
        <f>IF($D81="","",0)</f>
      </c>
      <c r="Q81" s="8"/>
      <c r="R81" s="8"/>
      <c r="S81" s="8"/>
      <c r="T81" s="8"/>
      <c r="U81" s="8"/>
      <c r="V81" s="7">
        <f>IF($B81="","",IFERROR(INDEX('Challan Master'!$AA$4:$AA$207,MATCH($B81,'Challan Master'!$S$4:$S$207,0)),""))</f>
      </c>
    </row>
    <row r="82" spans="1:22" x14ac:dyDescent="0.25">
      <c r="A82" s="7">
        <f>IF($D82="","",COUNTIF($D$4:$D82,"&lt;&gt;"))</f>
      </c>
      <c r="B82" s="8"/>
      <c r="C82" s="7">
        <f>IF($B82="","","BSR "&amp;IFERROR(INDEX('Challan Master'!$B$4:$B$207,MATCH($B82,'Challan Master'!$S$4:$S$207,0)),"")&amp;" | Serial "&amp;IFERROR(INDEX('Challan Master'!$C$4:$C$207,MATCH($B82,'Challan Master'!$S$4:$S$207,0)),"")&amp;" | Deposit "&amp;TEXT(IFERROR(INDEX('Challan Master'!$D$4:$D$207,MATCH($B82,'Challan Master'!$S$4:$S$207,0)),""),"dd-mm-yyyy")&amp;" | Minor Head "&amp;IFERROR(INDEX('Challan Master'!$E$4:$E$207,MATCH($B82,'Challan Master'!$S$4:$S$207,0)),"")&amp;" | Tax ₹"&amp;TEXT(IFERROR(INDEX('Challan Master'!$G$4:$G$207,MATCH($B82,'Challan Master'!$S$4:$S$207,0)),""),"#,##0")&amp;" | Section "&amp;IFERROR(INDEX('Challan Master'!$F$4:$F$207,MATCH($B82,'Challan Master'!$S$4:$S$207,0)),""))</f>
      </c>
      <c r="D82" s="8"/>
      <c r="E82" s="8"/>
      <c r="F82" s="7">
        <f>IF($D82="","",IF(AND(LEN(TRIM(UPPER(E82)))=10,CODE(MID(TRIM(UPPER(E82)),1,1))&gt;=65,CODE(MID(TRIM(UPPER(E82)),1,1))&lt;=90,CODE(MID(TRIM(UPPER(E82)),2,1))&gt;=65,CODE(MID(TRIM(UPPER(E82)),2,1))&lt;=90,CODE(MID(TRIM(UPPER(E82)),3,1))&gt;=65,CODE(MID(TRIM(UPPER(E82)),3,1))&lt;=90,CODE(MID(TRIM(UPPER(E82)),4,1))&gt;=65,CODE(MID(TRIM(UPPER(E82)),4,1))&lt;=90,CODE(MID(TRIM(UPPER(E82)),5,1))&gt;=65,CODE(MID(TRIM(UPPER(E82)),5,1))&lt;=90,CODE(MID(TRIM(UPPER(E82)),10,1))&gt;=65,CODE(MID(TRIM(UPPER(E82)),10,1))&lt;=90,CODE(MID(TRIM(UPPER(E82)),6,1))&gt;=48,CODE(MID(TRIM(UPPER(E82)),6,1))&lt;=57,CODE(MID(TRIM(UPPER(E82)),7,1))&gt;=48,CODE(MID(TRIM(UPPER(E82)),7,1))&lt;=57,CODE(MID(TRIM(UPPER(E82)),8,1))&gt;=48,CODE(MID(TRIM(UPPER(E82)),8,1))&lt;=57,CODE(MID(TRIM(UPPER(E82)),9,1))&gt;=48,CODE(MID(TRIM(UPPER(E82)),9,1))&lt;=57),"N","Y"))</f>
      </c>
      <c r="G82" s="7">
        <f>IF($D82="","",IF(LEN(E82)&lt;4,"",IF(UPPER(MID(E82,4,1))="P","Individual",IF(UPPER(MID(E82,4,1))="H","HUF",IF(UPPER(MID(E82,4,1))="C","Company",IF(UPPER(MID(E82,4,1))="F","Firm",IF(UPPER(MID(E82,4,1))="L","LLP",IF(UPPER(MID(E82,4,1))="T","Trust",IF(UPPER(MID(E82,4,1))="A","AOP","")))))))))</f>
      </c>
      <c r="H82" s="8"/>
      <c r="I82" s="7">
        <f>IF($D82="","",IF(H82="","",IF(F82="Y",SUMPRODUCT(('Rate Lookup'!$A$1:$A$37=H82)*'Rate Lookup'!$D$1:$D$37),IF(OR(G82="Individual",G82="HUF"),SUMPRODUCT(('Rate Lookup'!$A$1:$A$37=H82)*'Rate Lookup'!$B$1:$B$37),SUMPRODUCT(('Rate Lookup'!$A$1:$A$37=H82)*'Rate Lookup'!$C$1:$C$37)))))</f>
      </c>
      <c r="J82" s="8"/>
      <c r="K82" s="8"/>
      <c r="L82" s="7">
        <f>IF($D82="","",ROUND(K82*I82/100,0))</f>
      </c>
      <c r="M82" s="7">
        <f>IF($D82="","",0)</f>
      </c>
      <c r="N82" s="7">
        <f>IF($D82="","",0)</f>
      </c>
      <c r="O82" s="7">
        <f>IF($D82="","",IF(OR(L82=0,J82="",IFERROR(INDEX('Challan Master'!$D$4:$D$207,MATCH($B82,'Challan Master'!$S$4:$S$207,0)),"")="",IFERROR(INDEX('Challan Master'!$D$4:$D$207,MATCH($B82,'Challan Master'!$S$4:$S$207,0)),"")&lt;=0),0,IF(IFERROR(INDEX('Challan Master'!$D$4:$D$207,MATCH($B82,'Challan Master'!$S$4:$S$207,0)),"")&lt;=DATE(YEAR(J82),MONTH(J82)+1,7),0,ROUND(L82*0.015*((YEAR(IFERROR(INDEX('Challan Master'!$D$4:$D$207,MATCH($B82,'Challan Master'!$S$4:$S$207,0)),""))-YEAR(J82))*12+(MONTH(IFERROR(INDEX('Challan Master'!$D$4:$D$207,MATCH($B82,'Challan Master'!$S$4:$S$207,0)),""))-MONTH(J82))+1),0))))</f>
      </c>
      <c r="P82" s="7">
        <f>IF($D82="","",0)</f>
      </c>
      <c r="Q82" s="8"/>
      <c r="R82" s="8"/>
      <c r="S82" s="8"/>
      <c r="T82" s="8"/>
      <c r="U82" s="8"/>
      <c r="V82" s="7">
        <f>IF($B82="","",IFERROR(INDEX('Challan Master'!$AA$4:$AA$207,MATCH($B82,'Challan Master'!$S$4:$S$207,0)),""))</f>
      </c>
    </row>
    <row r="83" spans="1:22" x14ac:dyDescent="0.25">
      <c r="A83" s="7">
        <f>IF($D83="","",COUNTIF($D$4:$D83,"&lt;&gt;"))</f>
      </c>
      <c r="B83" s="8"/>
      <c r="C83" s="7">
        <f>IF($B83="","","BSR "&amp;IFERROR(INDEX('Challan Master'!$B$4:$B$207,MATCH($B83,'Challan Master'!$S$4:$S$207,0)),"")&amp;" | Serial "&amp;IFERROR(INDEX('Challan Master'!$C$4:$C$207,MATCH($B83,'Challan Master'!$S$4:$S$207,0)),"")&amp;" | Deposit "&amp;TEXT(IFERROR(INDEX('Challan Master'!$D$4:$D$207,MATCH($B83,'Challan Master'!$S$4:$S$207,0)),""),"dd-mm-yyyy")&amp;" | Minor Head "&amp;IFERROR(INDEX('Challan Master'!$E$4:$E$207,MATCH($B83,'Challan Master'!$S$4:$S$207,0)),"")&amp;" | Tax ₹"&amp;TEXT(IFERROR(INDEX('Challan Master'!$G$4:$G$207,MATCH($B83,'Challan Master'!$S$4:$S$207,0)),""),"#,##0")&amp;" | Section "&amp;IFERROR(INDEX('Challan Master'!$F$4:$F$207,MATCH($B83,'Challan Master'!$S$4:$S$207,0)),""))</f>
      </c>
      <c r="D83" s="8"/>
      <c r="E83" s="8"/>
      <c r="F83" s="7">
        <f>IF($D83="","",IF(AND(LEN(TRIM(UPPER(E83)))=10,CODE(MID(TRIM(UPPER(E83)),1,1))&gt;=65,CODE(MID(TRIM(UPPER(E83)),1,1))&lt;=90,CODE(MID(TRIM(UPPER(E83)),2,1))&gt;=65,CODE(MID(TRIM(UPPER(E83)),2,1))&lt;=90,CODE(MID(TRIM(UPPER(E83)),3,1))&gt;=65,CODE(MID(TRIM(UPPER(E83)),3,1))&lt;=90,CODE(MID(TRIM(UPPER(E83)),4,1))&gt;=65,CODE(MID(TRIM(UPPER(E83)),4,1))&lt;=90,CODE(MID(TRIM(UPPER(E83)),5,1))&gt;=65,CODE(MID(TRIM(UPPER(E83)),5,1))&lt;=90,CODE(MID(TRIM(UPPER(E83)),10,1))&gt;=65,CODE(MID(TRIM(UPPER(E83)),10,1))&lt;=90,CODE(MID(TRIM(UPPER(E83)),6,1))&gt;=48,CODE(MID(TRIM(UPPER(E83)),6,1))&lt;=57,CODE(MID(TRIM(UPPER(E83)),7,1))&gt;=48,CODE(MID(TRIM(UPPER(E83)),7,1))&lt;=57,CODE(MID(TRIM(UPPER(E83)),8,1))&gt;=48,CODE(MID(TRIM(UPPER(E83)),8,1))&lt;=57,CODE(MID(TRIM(UPPER(E83)),9,1))&gt;=48,CODE(MID(TRIM(UPPER(E83)),9,1))&lt;=57),"N","Y"))</f>
      </c>
      <c r="G83" s="7">
        <f>IF($D83="","",IF(LEN(E83)&lt;4,"",IF(UPPER(MID(E83,4,1))="P","Individual",IF(UPPER(MID(E83,4,1))="H","HUF",IF(UPPER(MID(E83,4,1))="C","Company",IF(UPPER(MID(E83,4,1))="F","Firm",IF(UPPER(MID(E83,4,1))="L","LLP",IF(UPPER(MID(E83,4,1))="T","Trust",IF(UPPER(MID(E83,4,1))="A","AOP","")))))))))</f>
      </c>
      <c r="H83" s="8"/>
      <c r="I83" s="7">
        <f>IF($D83="","",IF(H83="","",IF(F83="Y",SUMPRODUCT(('Rate Lookup'!$A$1:$A$37=H83)*'Rate Lookup'!$D$1:$D$37),IF(OR(G83="Individual",G83="HUF"),SUMPRODUCT(('Rate Lookup'!$A$1:$A$37=H83)*'Rate Lookup'!$B$1:$B$37),SUMPRODUCT(('Rate Lookup'!$A$1:$A$37=H83)*'Rate Lookup'!$C$1:$C$37)))))</f>
      </c>
      <c r="J83" s="8"/>
      <c r="K83" s="8"/>
      <c r="L83" s="7">
        <f>IF($D83="","",ROUND(K83*I83/100,0))</f>
      </c>
      <c r="M83" s="7">
        <f>IF($D83="","",0)</f>
      </c>
      <c r="N83" s="7">
        <f>IF($D83="","",0)</f>
      </c>
      <c r="O83" s="7">
        <f>IF($D83="","",IF(OR(L83=0,J83="",IFERROR(INDEX('Challan Master'!$D$4:$D$207,MATCH($B83,'Challan Master'!$S$4:$S$207,0)),"")="",IFERROR(INDEX('Challan Master'!$D$4:$D$207,MATCH($B83,'Challan Master'!$S$4:$S$207,0)),"")&lt;=0),0,IF(IFERROR(INDEX('Challan Master'!$D$4:$D$207,MATCH($B83,'Challan Master'!$S$4:$S$207,0)),"")&lt;=DATE(YEAR(J83),MONTH(J83)+1,7),0,ROUND(L83*0.015*((YEAR(IFERROR(INDEX('Challan Master'!$D$4:$D$207,MATCH($B83,'Challan Master'!$S$4:$S$207,0)),""))-YEAR(J83))*12+(MONTH(IFERROR(INDEX('Challan Master'!$D$4:$D$207,MATCH($B83,'Challan Master'!$S$4:$S$207,0)),""))-MONTH(J83))+1),0))))</f>
      </c>
      <c r="P83" s="7">
        <f>IF($D83="","",0)</f>
      </c>
      <c r="Q83" s="8"/>
      <c r="R83" s="8"/>
      <c r="S83" s="8"/>
      <c r="T83" s="8"/>
      <c r="U83" s="8"/>
      <c r="V83" s="7">
        <f>IF($B83="","",IFERROR(INDEX('Challan Master'!$AA$4:$AA$207,MATCH($B83,'Challan Master'!$S$4:$S$207,0)),""))</f>
      </c>
    </row>
    <row r="84" spans="1:22" x14ac:dyDescent="0.25">
      <c r="A84" s="7">
        <f>IF($D84="","",COUNTIF($D$4:$D84,"&lt;&gt;"))</f>
      </c>
      <c r="B84" s="8"/>
      <c r="C84" s="7">
        <f>IF($B84="","","BSR "&amp;IFERROR(INDEX('Challan Master'!$B$4:$B$207,MATCH($B84,'Challan Master'!$S$4:$S$207,0)),"")&amp;" | Serial "&amp;IFERROR(INDEX('Challan Master'!$C$4:$C$207,MATCH($B84,'Challan Master'!$S$4:$S$207,0)),"")&amp;" | Deposit "&amp;TEXT(IFERROR(INDEX('Challan Master'!$D$4:$D$207,MATCH($B84,'Challan Master'!$S$4:$S$207,0)),""),"dd-mm-yyyy")&amp;" | Minor Head "&amp;IFERROR(INDEX('Challan Master'!$E$4:$E$207,MATCH($B84,'Challan Master'!$S$4:$S$207,0)),"")&amp;" | Tax ₹"&amp;TEXT(IFERROR(INDEX('Challan Master'!$G$4:$G$207,MATCH($B84,'Challan Master'!$S$4:$S$207,0)),""),"#,##0")&amp;" | Section "&amp;IFERROR(INDEX('Challan Master'!$F$4:$F$207,MATCH($B84,'Challan Master'!$S$4:$S$207,0)),""))</f>
      </c>
      <c r="D84" s="8"/>
      <c r="E84" s="8"/>
      <c r="F84" s="7">
        <f>IF($D84="","",IF(AND(LEN(TRIM(UPPER(E84)))=10,CODE(MID(TRIM(UPPER(E84)),1,1))&gt;=65,CODE(MID(TRIM(UPPER(E84)),1,1))&lt;=90,CODE(MID(TRIM(UPPER(E84)),2,1))&gt;=65,CODE(MID(TRIM(UPPER(E84)),2,1))&lt;=90,CODE(MID(TRIM(UPPER(E84)),3,1))&gt;=65,CODE(MID(TRIM(UPPER(E84)),3,1))&lt;=90,CODE(MID(TRIM(UPPER(E84)),4,1))&gt;=65,CODE(MID(TRIM(UPPER(E84)),4,1))&lt;=90,CODE(MID(TRIM(UPPER(E84)),5,1))&gt;=65,CODE(MID(TRIM(UPPER(E84)),5,1))&lt;=90,CODE(MID(TRIM(UPPER(E84)),10,1))&gt;=65,CODE(MID(TRIM(UPPER(E84)),10,1))&lt;=90,CODE(MID(TRIM(UPPER(E84)),6,1))&gt;=48,CODE(MID(TRIM(UPPER(E84)),6,1))&lt;=57,CODE(MID(TRIM(UPPER(E84)),7,1))&gt;=48,CODE(MID(TRIM(UPPER(E84)),7,1))&lt;=57,CODE(MID(TRIM(UPPER(E84)),8,1))&gt;=48,CODE(MID(TRIM(UPPER(E84)),8,1))&lt;=57,CODE(MID(TRIM(UPPER(E84)),9,1))&gt;=48,CODE(MID(TRIM(UPPER(E84)),9,1))&lt;=57),"N","Y"))</f>
      </c>
      <c r="G84" s="7">
        <f>IF($D84="","",IF(LEN(E84)&lt;4,"",IF(UPPER(MID(E84,4,1))="P","Individual",IF(UPPER(MID(E84,4,1))="H","HUF",IF(UPPER(MID(E84,4,1))="C","Company",IF(UPPER(MID(E84,4,1))="F","Firm",IF(UPPER(MID(E84,4,1))="L","LLP",IF(UPPER(MID(E84,4,1))="T","Trust",IF(UPPER(MID(E84,4,1))="A","AOP","")))))))))</f>
      </c>
      <c r="H84" s="8"/>
      <c r="I84" s="7">
        <f>IF($D84="","",IF(H84="","",IF(F84="Y",SUMPRODUCT(('Rate Lookup'!$A$1:$A$37=H84)*'Rate Lookup'!$D$1:$D$37),IF(OR(G84="Individual",G84="HUF"),SUMPRODUCT(('Rate Lookup'!$A$1:$A$37=H84)*'Rate Lookup'!$B$1:$B$37),SUMPRODUCT(('Rate Lookup'!$A$1:$A$37=H84)*'Rate Lookup'!$C$1:$C$37)))))</f>
      </c>
      <c r="J84" s="8"/>
      <c r="K84" s="8"/>
      <c r="L84" s="7">
        <f>IF($D84="","",ROUND(K84*I84/100,0))</f>
      </c>
      <c r="M84" s="7">
        <f>IF($D84="","",0)</f>
      </c>
      <c r="N84" s="7">
        <f>IF($D84="","",0)</f>
      </c>
      <c r="O84" s="7">
        <f>IF($D84="","",IF(OR(L84=0,J84="",IFERROR(INDEX('Challan Master'!$D$4:$D$207,MATCH($B84,'Challan Master'!$S$4:$S$207,0)),"")="",IFERROR(INDEX('Challan Master'!$D$4:$D$207,MATCH($B84,'Challan Master'!$S$4:$S$207,0)),"")&lt;=0),0,IF(IFERROR(INDEX('Challan Master'!$D$4:$D$207,MATCH($B84,'Challan Master'!$S$4:$S$207,0)),"")&lt;=DATE(YEAR(J84),MONTH(J84)+1,7),0,ROUND(L84*0.015*((YEAR(IFERROR(INDEX('Challan Master'!$D$4:$D$207,MATCH($B84,'Challan Master'!$S$4:$S$207,0)),""))-YEAR(J84))*12+(MONTH(IFERROR(INDEX('Challan Master'!$D$4:$D$207,MATCH($B84,'Challan Master'!$S$4:$S$207,0)),""))-MONTH(J84))+1),0))))</f>
      </c>
      <c r="P84" s="7">
        <f>IF($D84="","",0)</f>
      </c>
      <c r="Q84" s="8"/>
      <c r="R84" s="8"/>
      <c r="S84" s="8"/>
      <c r="T84" s="8"/>
      <c r="U84" s="8"/>
      <c r="V84" s="7">
        <f>IF($B84="","",IFERROR(INDEX('Challan Master'!$AA$4:$AA$207,MATCH($B84,'Challan Master'!$S$4:$S$207,0)),""))</f>
      </c>
    </row>
    <row r="85" spans="1:22" x14ac:dyDescent="0.25">
      <c r="A85" s="7">
        <f>IF($D85="","",COUNTIF($D$4:$D85,"&lt;&gt;"))</f>
      </c>
      <c r="B85" s="8"/>
      <c r="C85" s="7">
        <f>IF($B85="","","BSR "&amp;IFERROR(INDEX('Challan Master'!$B$4:$B$207,MATCH($B85,'Challan Master'!$S$4:$S$207,0)),"")&amp;" | Serial "&amp;IFERROR(INDEX('Challan Master'!$C$4:$C$207,MATCH($B85,'Challan Master'!$S$4:$S$207,0)),"")&amp;" | Deposit "&amp;TEXT(IFERROR(INDEX('Challan Master'!$D$4:$D$207,MATCH($B85,'Challan Master'!$S$4:$S$207,0)),""),"dd-mm-yyyy")&amp;" | Minor Head "&amp;IFERROR(INDEX('Challan Master'!$E$4:$E$207,MATCH($B85,'Challan Master'!$S$4:$S$207,0)),"")&amp;" | Tax ₹"&amp;TEXT(IFERROR(INDEX('Challan Master'!$G$4:$G$207,MATCH($B85,'Challan Master'!$S$4:$S$207,0)),""),"#,##0")&amp;" | Section "&amp;IFERROR(INDEX('Challan Master'!$F$4:$F$207,MATCH($B85,'Challan Master'!$S$4:$S$207,0)),""))</f>
      </c>
      <c r="D85" s="8"/>
      <c r="E85" s="8"/>
      <c r="F85" s="7">
        <f>IF($D85="","",IF(AND(LEN(TRIM(UPPER(E85)))=10,CODE(MID(TRIM(UPPER(E85)),1,1))&gt;=65,CODE(MID(TRIM(UPPER(E85)),1,1))&lt;=90,CODE(MID(TRIM(UPPER(E85)),2,1))&gt;=65,CODE(MID(TRIM(UPPER(E85)),2,1))&lt;=90,CODE(MID(TRIM(UPPER(E85)),3,1))&gt;=65,CODE(MID(TRIM(UPPER(E85)),3,1))&lt;=90,CODE(MID(TRIM(UPPER(E85)),4,1))&gt;=65,CODE(MID(TRIM(UPPER(E85)),4,1))&lt;=90,CODE(MID(TRIM(UPPER(E85)),5,1))&gt;=65,CODE(MID(TRIM(UPPER(E85)),5,1))&lt;=90,CODE(MID(TRIM(UPPER(E85)),10,1))&gt;=65,CODE(MID(TRIM(UPPER(E85)),10,1))&lt;=90,CODE(MID(TRIM(UPPER(E85)),6,1))&gt;=48,CODE(MID(TRIM(UPPER(E85)),6,1))&lt;=57,CODE(MID(TRIM(UPPER(E85)),7,1))&gt;=48,CODE(MID(TRIM(UPPER(E85)),7,1))&lt;=57,CODE(MID(TRIM(UPPER(E85)),8,1))&gt;=48,CODE(MID(TRIM(UPPER(E85)),8,1))&lt;=57,CODE(MID(TRIM(UPPER(E85)),9,1))&gt;=48,CODE(MID(TRIM(UPPER(E85)),9,1))&lt;=57),"N","Y"))</f>
      </c>
      <c r="G85" s="7">
        <f>IF($D85="","",IF(LEN(E85)&lt;4,"",IF(UPPER(MID(E85,4,1))="P","Individual",IF(UPPER(MID(E85,4,1))="H","HUF",IF(UPPER(MID(E85,4,1))="C","Company",IF(UPPER(MID(E85,4,1))="F","Firm",IF(UPPER(MID(E85,4,1))="L","LLP",IF(UPPER(MID(E85,4,1))="T","Trust",IF(UPPER(MID(E85,4,1))="A","AOP","")))))))))</f>
      </c>
      <c r="H85" s="8"/>
      <c r="I85" s="7">
        <f>IF($D85="","",IF(H85="","",IF(F85="Y",SUMPRODUCT(('Rate Lookup'!$A$1:$A$37=H85)*'Rate Lookup'!$D$1:$D$37),IF(OR(G85="Individual",G85="HUF"),SUMPRODUCT(('Rate Lookup'!$A$1:$A$37=H85)*'Rate Lookup'!$B$1:$B$37),SUMPRODUCT(('Rate Lookup'!$A$1:$A$37=H85)*'Rate Lookup'!$C$1:$C$37)))))</f>
      </c>
      <c r="J85" s="8"/>
      <c r="K85" s="8"/>
      <c r="L85" s="7">
        <f>IF($D85="","",ROUND(K85*I85/100,0))</f>
      </c>
      <c r="M85" s="7">
        <f>IF($D85="","",0)</f>
      </c>
      <c r="N85" s="7">
        <f>IF($D85="","",0)</f>
      </c>
      <c r="O85" s="7">
        <f>IF($D85="","",IF(OR(L85=0,J85="",IFERROR(INDEX('Challan Master'!$D$4:$D$207,MATCH($B85,'Challan Master'!$S$4:$S$207,0)),"")="",IFERROR(INDEX('Challan Master'!$D$4:$D$207,MATCH($B85,'Challan Master'!$S$4:$S$207,0)),"")&lt;=0),0,IF(IFERROR(INDEX('Challan Master'!$D$4:$D$207,MATCH($B85,'Challan Master'!$S$4:$S$207,0)),"")&lt;=DATE(YEAR(J85),MONTH(J85)+1,7),0,ROUND(L85*0.015*((YEAR(IFERROR(INDEX('Challan Master'!$D$4:$D$207,MATCH($B85,'Challan Master'!$S$4:$S$207,0)),""))-YEAR(J85))*12+(MONTH(IFERROR(INDEX('Challan Master'!$D$4:$D$207,MATCH($B85,'Challan Master'!$S$4:$S$207,0)),""))-MONTH(J85))+1),0))))</f>
      </c>
      <c r="P85" s="7">
        <f>IF($D85="","",0)</f>
      </c>
      <c r="Q85" s="8"/>
      <c r="R85" s="8"/>
      <c r="S85" s="8"/>
      <c r="T85" s="8"/>
      <c r="U85" s="8"/>
      <c r="V85" s="7">
        <f>IF($B85="","",IFERROR(INDEX('Challan Master'!$AA$4:$AA$207,MATCH($B85,'Challan Master'!$S$4:$S$207,0)),""))</f>
      </c>
    </row>
    <row r="86" spans="1:22" x14ac:dyDescent="0.25">
      <c r="A86" s="7">
        <f>IF($D86="","",COUNTIF($D$4:$D86,"&lt;&gt;"))</f>
      </c>
      <c r="B86" s="8"/>
      <c r="C86" s="7">
        <f>IF($B86="","","BSR "&amp;IFERROR(INDEX('Challan Master'!$B$4:$B$207,MATCH($B86,'Challan Master'!$S$4:$S$207,0)),"")&amp;" | Serial "&amp;IFERROR(INDEX('Challan Master'!$C$4:$C$207,MATCH($B86,'Challan Master'!$S$4:$S$207,0)),"")&amp;" | Deposit "&amp;TEXT(IFERROR(INDEX('Challan Master'!$D$4:$D$207,MATCH($B86,'Challan Master'!$S$4:$S$207,0)),""),"dd-mm-yyyy")&amp;" | Minor Head "&amp;IFERROR(INDEX('Challan Master'!$E$4:$E$207,MATCH($B86,'Challan Master'!$S$4:$S$207,0)),"")&amp;" | Tax ₹"&amp;TEXT(IFERROR(INDEX('Challan Master'!$G$4:$G$207,MATCH($B86,'Challan Master'!$S$4:$S$207,0)),""),"#,##0")&amp;" | Section "&amp;IFERROR(INDEX('Challan Master'!$F$4:$F$207,MATCH($B86,'Challan Master'!$S$4:$S$207,0)),""))</f>
      </c>
      <c r="D86" s="8"/>
      <c r="E86" s="8"/>
      <c r="F86" s="7">
        <f>IF($D86="","",IF(AND(LEN(TRIM(UPPER(E86)))=10,CODE(MID(TRIM(UPPER(E86)),1,1))&gt;=65,CODE(MID(TRIM(UPPER(E86)),1,1))&lt;=90,CODE(MID(TRIM(UPPER(E86)),2,1))&gt;=65,CODE(MID(TRIM(UPPER(E86)),2,1))&lt;=90,CODE(MID(TRIM(UPPER(E86)),3,1))&gt;=65,CODE(MID(TRIM(UPPER(E86)),3,1))&lt;=90,CODE(MID(TRIM(UPPER(E86)),4,1))&gt;=65,CODE(MID(TRIM(UPPER(E86)),4,1))&lt;=90,CODE(MID(TRIM(UPPER(E86)),5,1))&gt;=65,CODE(MID(TRIM(UPPER(E86)),5,1))&lt;=90,CODE(MID(TRIM(UPPER(E86)),10,1))&gt;=65,CODE(MID(TRIM(UPPER(E86)),10,1))&lt;=90,CODE(MID(TRIM(UPPER(E86)),6,1))&gt;=48,CODE(MID(TRIM(UPPER(E86)),6,1))&lt;=57,CODE(MID(TRIM(UPPER(E86)),7,1))&gt;=48,CODE(MID(TRIM(UPPER(E86)),7,1))&lt;=57,CODE(MID(TRIM(UPPER(E86)),8,1))&gt;=48,CODE(MID(TRIM(UPPER(E86)),8,1))&lt;=57,CODE(MID(TRIM(UPPER(E86)),9,1))&gt;=48,CODE(MID(TRIM(UPPER(E86)),9,1))&lt;=57),"N","Y"))</f>
      </c>
      <c r="G86" s="7">
        <f>IF($D86="","",IF(LEN(E86)&lt;4,"",IF(UPPER(MID(E86,4,1))="P","Individual",IF(UPPER(MID(E86,4,1))="H","HUF",IF(UPPER(MID(E86,4,1))="C","Company",IF(UPPER(MID(E86,4,1))="F","Firm",IF(UPPER(MID(E86,4,1))="L","LLP",IF(UPPER(MID(E86,4,1))="T","Trust",IF(UPPER(MID(E86,4,1))="A","AOP","")))))))))</f>
      </c>
      <c r="H86" s="8"/>
      <c r="I86" s="7">
        <f>IF($D86="","",IF(H86="","",IF(F86="Y",SUMPRODUCT(('Rate Lookup'!$A$1:$A$37=H86)*'Rate Lookup'!$D$1:$D$37),IF(OR(G86="Individual",G86="HUF"),SUMPRODUCT(('Rate Lookup'!$A$1:$A$37=H86)*'Rate Lookup'!$B$1:$B$37),SUMPRODUCT(('Rate Lookup'!$A$1:$A$37=H86)*'Rate Lookup'!$C$1:$C$37)))))</f>
      </c>
      <c r="J86" s="8"/>
      <c r="K86" s="8"/>
      <c r="L86" s="7">
        <f>IF($D86="","",ROUND(K86*I86/100,0))</f>
      </c>
      <c r="M86" s="7">
        <f>IF($D86="","",0)</f>
      </c>
      <c r="N86" s="7">
        <f>IF($D86="","",0)</f>
      </c>
      <c r="O86" s="7">
        <f>IF($D86="","",IF(OR(L86=0,J86="",IFERROR(INDEX('Challan Master'!$D$4:$D$207,MATCH($B86,'Challan Master'!$S$4:$S$207,0)),"")="",IFERROR(INDEX('Challan Master'!$D$4:$D$207,MATCH($B86,'Challan Master'!$S$4:$S$207,0)),"")&lt;=0),0,IF(IFERROR(INDEX('Challan Master'!$D$4:$D$207,MATCH($B86,'Challan Master'!$S$4:$S$207,0)),"")&lt;=DATE(YEAR(J86),MONTH(J86)+1,7),0,ROUND(L86*0.015*((YEAR(IFERROR(INDEX('Challan Master'!$D$4:$D$207,MATCH($B86,'Challan Master'!$S$4:$S$207,0)),""))-YEAR(J86))*12+(MONTH(IFERROR(INDEX('Challan Master'!$D$4:$D$207,MATCH($B86,'Challan Master'!$S$4:$S$207,0)),""))-MONTH(J86))+1),0))))</f>
      </c>
      <c r="P86" s="7">
        <f>IF($D86="","",0)</f>
      </c>
      <c r="Q86" s="8"/>
      <c r="R86" s="8"/>
      <c r="S86" s="8"/>
      <c r="T86" s="8"/>
      <c r="U86" s="8"/>
      <c r="V86" s="7">
        <f>IF($B86="","",IFERROR(INDEX('Challan Master'!$AA$4:$AA$207,MATCH($B86,'Challan Master'!$S$4:$S$207,0)),""))</f>
      </c>
    </row>
    <row r="87" spans="1:22" x14ac:dyDescent="0.25">
      <c r="A87" s="7">
        <f>IF($D87="","",COUNTIF($D$4:$D87,"&lt;&gt;"))</f>
      </c>
      <c r="B87" s="8"/>
      <c r="C87" s="7">
        <f>IF($B87="","","BSR "&amp;IFERROR(INDEX('Challan Master'!$B$4:$B$207,MATCH($B87,'Challan Master'!$S$4:$S$207,0)),"")&amp;" | Serial "&amp;IFERROR(INDEX('Challan Master'!$C$4:$C$207,MATCH($B87,'Challan Master'!$S$4:$S$207,0)),"")&amp;" | Deposit "&amp;TEXT(IFERROR(INDEX('Challan Master'!$D$4:$D$207,MATCH($B87,'Challan Master'!$S$4:$S$207,0)),""),"dd-mm-yyyy")&amp;" | Minor Head "&amp;IFERROR(INDEX('Challan Master'!$E$4:$E$207,MATCH($B87,'Challan Master'!$S$4:$S$207,0)),"")&amp;" | Tax ₹"&amp;TEXT(IFERROR(INDEX('Challan Master'!$G$4:$G$207,MATCH($B87,'Challan Master'!$S$4:$S$207,0)),""),"#,##0")&amp;" | Section "&amp;IFERROR(INDEX('Challan Master'!$F$4:$F$207,MATCH($B87,'Challan Master'!$S$4:$S$207,0)),""))</f>
      </c>
      <c r="D87" s="8"/>
      <c r="E87" s="8"/>
      <c r="F87" s="7">
        <f>IF($D87="","",IF(AND(LEN(TRIM(UPPER(E87)))=10,CODE(MID(TRIM(UPPER(E87)),1,1))&gt;=65,CODE(MID(TRIM(UPPER(E87)),1,1))&lt;=90,CODE(MID(TRIM(UPPER(E87)),2,1))&gt;=65,CODE(MID(TRIM(UPPER(E87)),2,1))&lt;=90,CODE(MID(TRIM(UPPER(E87)),3,1))&gt;=65,CODE(MID(TRIM(UPPER(E87)),3,1))&lt;=90,CODE(MID(TRIM(UPPER(E87)),4,1))&gt;=65,CODE(MID(TRIM(UPPER(E87)),4,1))&lt;=90,CODE(MID(TRIM(UPPER(E87)),5,1))&gt;=65,CODE(MID(TRIM(UPPER(E87)),5,1))&lt;=90,CODE(MID(TRIM(UPPER(E87)),10,1))&gt;=65,CODE(MID(TRIM(UPPER(E87)),10,1))&lt;=90,CODE(MID(TRIM(UPPER(E87)),6,1))&gt;=48,CODE(MID(TRIM(UPPER(E87)),6,1))&lt;=57,CODE(MID(TRIM(UPPER(E87)),7,1))&gt;=48,CODE(MID(TRIM(UPPER(E87)),7,1))&lt;=57,CODE(MID(TRIM(UPPER(E87)),8,1))&gt;=48,CODE(MID(TRIM(UPPER(E87)),8,1))&lt;=57,CODE(MID(TRIM(UPPER(E87)),9,1))&gt;=48,CODE(MID(TRIM(UPPER(E87)),9,1))&lt;=57),"N","Y"))</f>
      </c>
      <c r="G87" s="7">
        <f>IF($D87="","",IF(LEN(E87)&lt;4,"",IF(UPPER(MID(E87,4,1))="P","Individual",IF(UPPER(MID(E87,4,1))="H","HUF",IF(UPPER(MID(E87,4,1))="C","Company",IF(UPPER(MID(E87,4,1))="F","Firm",IF(UPPER(MID(E87,4,1))="L","LLP",IF(UPPER(MID(E87,4,1))="T","Trust",IF(UPPER(MID(E87,4,1))="A","AOP","")))))))))</f>
      </c>
      <c r="H87" s="8"/>
      <c r="I87" s="7">
        <f>IF($D87="","",IF(H87="","",IF(F87="Y",SUMPRODUCT(('Rate Lookup'!$A$1:$A$37=H87)*'Rate Lookup'!$D$1:$D$37),IF(OR(G87="Individual",G87="HUF"),SUMPRODUCT(('Rate Lookup'!$A$1:$A$37=H87)*'Rate Lookup'!$B$1:$B$37),SUMPRODUCT(('Rate Lookup'!$A$1:$A$37=H87)*'Rate Lookup'!$C$1:$C$37)))))</f>
      </c>
      <c r="J87" s="8"/>
      <c r="K87" s="8"/>
      <c r="L87" s="7">
        <f>IF($D87="","",ROUND(K87*I87/100,0))</f>
      </c>
      <c r="M87" s="7">
        <f>IF($D87="","",0)</f>
      </c>
      <c r="N87" s="7">
        <f>IF($D87="","",0)</f>
      </c>
      <c r="O87" s="7">
        <f>IF($D87="","",IF(OR(L87=0,J87="",IFERROR(INDEX('Challan Master'!$D$4:$D$207,MATCH($B87,'Challan Master'!$S$4:$S$207,0)),"")="",IFERROR(INDEX('Challan Master'!$D$4:$D$207,MATCH($B87,'Challan Master'!$S$4:$S$207,0)),"")&lt;=0),0,IF(IFERROR(INDEX('Challan Master'!$D$4:$D$207,MATCH($B87,'Challan Master'!$S$4:$S$207,0)),"")&lt;=DATE(YEAR(J87),MONTH(J87)+1,7),0,ROUND(L87*0.015*((YEAR(IFERROR(INDEX('Challan Master'!$D$4:$D$207,MATCH($B87,'Challan Master'!$S$4:$S$207,0)),""))-YEAR(J87))*12+(MONTH(IFERROR(INDEX('Challan Master'!$D$4:$D$207,MATCH($B87,'Challan Master'!$S$4:$S$207,0)),""))-MONTH(J87))+1),0))))</f>
      </c>
      <c r="P87" s="7">
        <f>IF($D87="","",0)</f>
      </c>
      <c r="Q87" s="8"/>
      <c r="R87" s="8"/>
      <c r="S87" s="8"/>
      <c r="T87" s="8"/>
      <c r="U87" s="8"/>
      <c r="V87" s="7">
        <f>IF($B87="","",IFERROR(INDEX('Challan Master'!$AA$4:$AA$207,MATCH($B87,'Challan Master'!$S$4:$S$207,0)),""))</f>
      </c>
    </row>
    <row r="88" spans="1:22" x14ac:dyDescent="0.25">
      <c r="A88" s="7">
        <f>IF($D88="","",COUNTIF($D$4:$D88,"&lt;&gt;"))</f>
      </c>
      <c r="B88" s="8"/>
      <c r="C88" s="7">
        <f>IF($B88="","","BSR "&amp;IFERROR(INDEX('Challan Master'!$B$4:$B$207,MATCH($B88,'Challan Master'!$S$4:$S$207,0)),"")&amp;" | Serial "&amp;IFERROR(INDEX('Challan Master'!$C$4:$C$207,MATCH($B88,'Challan Master'!$S$4:$S$207,0)),"")&amp;" | Deposit "&amp;TEXT(IFERROR(INDEX('Challan Master'!$D$4:$D$207,MATCH($B88,'Challan Master'!$S$4:$S$207,0)),""),"dd-mm-yyyy")&amp;" | Minor Head "&amp;IFERROR(INDEX('Challan Master'!$E$4:$E$207,MATCH($B88,'Challan Master'!$S$4:$S$207,0)),"")&amp;" | Tax ₹"&amp;TEXT(IFERROR(INDEX('Challan Master'!$G$4:$G$207,MATCH($B88,'Challan Master'!$S$4:$S$207,0)),""),"#,##0")&amp;" | Section "&amp;IFERROR(INDEX('Challan Master'!$F$4:$F$207,MATCH($B88,'Challan Master'!$S$4:$S$207,0)),""))</f>
      </c>
      <c r="D88" s="8"/>
      <c r="E88" s="8"/>
      <c r="F88" s="7">
        <f>IF($D88="","",IF(AND(LEN(TRIM(UPPER(E88)))=10,CODE(MID(TRIM(UPPER(E88)),1,1))&gt;=65,CODE(MID(TRIM(UPPER(E88)),1,1))&lt;=90,CODE(MID(TRIM(UPPER(E88)),2,1))&gt;=65,CODE(MID(TRIM(UPPER(E88)),2,1))&lt;=90,CODE(MID(TRIM(UPPER(E88)),3,1))&gt;=65,CODE(MID(TRIM(UPPER(E88)),3,1))&lt;=90,CODE(MID(TRIM(UPPER(E88)),4,1))&gt;=65,CODE(MID(TRIM(UPPER(E88)),4,1))&lt;=90,CODE(MID(TRIM(UPPER(E88)),5,1))&gt;=65,CODE(MID(TRIM(UPPER(E88)),5,1))&lt;=90,CODE(MID(TRIM(UPPER(E88)),10,1))&gt;=65,CODE(MID(TRIM(UPPER(E88)),10,1))&lt;=90,CODE(MID(TRIM(UPPER(E88)),6,1))&gt;=48,CODE(MID(TRIM(UPPER(E88)),6,1))&lt;=57,CODE(MID(TRIM(UPPER(E88)),7,1))&gt;=48,CODE(MID(TRIM(UPPER(E88)),7,1))&lt;=57,CODE(MID(TRIM(UPPER(E88)),8,1))&gt;=48,CODE(MID(TRIM(UPPER(E88)),8,1))&lt;=57,CODE(MID(TRIM(UPPER(E88)),9,1))&gt;=48,CODE(MID(TRIM(UPPER(E88)),9,1))&lt;=57),"N","Y"))</f>
      </c>
      <c r="G88" s="7">
        <f>IF($D88="","",IF(LEN(E88)&lt;4,"",IF(UPPER(MID(E88,4,1))="P","Individual",IF(UPPER(MID(E88,4,1))="H","HUF",IF(UPPER(MID(E88,4,1))="C","Company",IF(UPPER(MID(E88,4,1))="F","Firm",IF(UPPER(MID(E88,4,1))="L","LLP",IF(UPPER(MID(E88,4,1))="T","Trust",IF(UPPER(MID(E88,4,1))="A","AOP","")))))))))</f>
      </c>
      <c r="H88" s="8"/>
      <c r="I88" s="7">
        <f>IF($D88="","",IF(H88="","",IF(F88="Y",SUMPRODUCT(('Rate Lookup'!$A$1:$A$37=H88)*'Rate Lookup'!$D$1:$D$37),IF(OR(G88="Individual",G88="HUF"),SUMPRODUCT(('Rate Lookup'!$A$1:$A$37=H88)*'Rate Lookup'!$B$1:$B$37),SUMPRODUCT(('Rate Lookup'!$A$1:$A$37=H88)*'Rate Lookup'!$C$1:$C$37)))))</f>
      </c>
      <c r="J88" s="8"/>
      <c r="K88" s="8"/>
      <c r="L88" s="7">
        <f>IF($D88="","",ROUND(K88*I88/100,0))</f>
      </c>
      <c r="M88" s="7">
        <f>IF($D88="","",0)</f>
      </c>
      <c r="N88" s="7">
        <f>IF($D88="","",0)</f>
      </c>
      <c r="O88" s="7">
        <f>IF($D88="","",IF(OR(L88=0,J88="",IFERROR(INDEX('Challan Master'!$D$4:$D$207,MATCH($B88,'Challan Master'!$S$4:$S$207,0)),"")="",IFERROR(INDEX('Challan Master'!$D$4:$D$207,MATCH($B88,'Challan Master'!$S$4:$S$207,0)),"")&lt;=0),0,IF(IFERROR(INDEX('Challan Master'!$D$4:$D$207,MATCH($B88,'Challan Master'!$S$4:$S$207,0)),"")&lt;=DATE(YEAR(J88),MONTH(J88)+1,7),0,ROUND(L88*0.015*((YEAR(IFERROR(INDEX('Challan Master'!$D$4:$D$207,MATCH($B88,'Challan Master'!$S$4:$S$207,0)),""))-YEAR(J88))*12+(MONTH(IFERROR(INDEX('Challan Master'!$D$4:$D$207,MATCH($B88,'Challan Master'!$S$4:$S$207,0)),""))-MONTH(J88))+1),0))))</f>
      </c>
      <c r="P88" s="7">
        <f>IF($D88="","",0)</f>
      </c>
      <c r="Q88" s="8"/>
      <c r="R88" s="8"/>
      <c r="S88" s="8"/>
      <c r="T88" s="8"/>
      <c r="U88" s="8"/>
      <c r="V88" s="7">
        <f>IF($B88="","",IFERROR(INDEX('Challan Master'!$AA$4:$AA$207,MATCH($B88,'Challan Master'!$S$4:$S$207,0)),""))</f>
      </c>
    </row>
    <row r="89" spans="1:22" x14ac:dyDescent="0.25">
      <c r="A89" s="7">
        <f>IF($D89="","",COUNTIF($D$4:$D89,"&lt;&gt;"))</f>
      </c>
      <c r="B89" s="8"/>
      <c r="C89" s="7">
        <f>IF($B89="","","BSR "&amp;IFERROR(INDEX('Challan Master'!$B$4:$B$207,MATCH($B89,'Challan Master'!$S$4:$S$207,0)),"")&amp;" | Serial "&amp;IFERROR(INDEX('Challan Master'!$C$4:$C$207,MATCH($B89,'Challan Master'!$S$4:$S$207,0)),"")&amp;" | Deposit "&amp;TEXT(IFERROR(INDEX('Challan Master'!$D$4:$D$207,MATCH($B89,'Challan Master'!$S$4:$S$207,0)),""),"dd-mm-yyyy")&amp;" | Minor Head "&amp;IFERROR(INDEX('Challan Master'!$E$4:$E$207,MATCH($B89,'Challan Master'!$S$4:$S$207,0)),"")&amp;" | Tax ₹"&amp;TEXT(IFERROR(INDEX('Challan Master'!$G$4:$G$207,MATCH($B89,'Challan Master'!$S$4:$S$207,0)),""),"#,##0")&amp;" | Section "&amp;IFERROR(INDEX('Challan Master'!$F$4:$F$207,MATCH($B89,'Challan Master'!$S$4:$S$207,0)),""))</f>
      </c>
      <c r="D89" s="8"/>
      <c r="E89" s="8"/>
      <c r="F89" s="7">
        <f>IF($D89="","",IF(AND(LEN(TRIM(UPPER(E89)))=10,CODE(MID(TRIM(UPPER(E89)),1,1))&gt;=65,CODE(MID(TRIM(UPPER(E89)),1,1))&lt;=90,CODE(MID(TRIM(UPPER(E89)),2,1))&gt;=65,CODE(MID(TRIM(UPPER(E89)),2,1))&lt;=90,CODE(MID(TRIM(UPPER(E89)),3,1))&gt;=65,CODE(MID(TRIM(UPPER(E89)),3,1))&lt;=90,CODE(MID(TRIM(UPPER(E89)),4,1))&gt;=65,CODE(MID(TRIM(UPPER(E89)),4,1))&lt;=90,CODE(MID(TRIM(UPPER(E89)),5,1))&gt;=65,CODE(MID(TRIM(UPPER(E89)),5,1))&lt;=90,CODE(MID(TRIM(UPPER(E89)),10,1))&gt;=65,CODE(MID(TRIM(UPPER(E89)),10,1))&lt;=90,CODE(MID(TRIM(UPPER(E89)),6,1))&gt;=48,CODE(MID(TRIM(UPPER(E89)),6,1))&lt;=57,CODE(MID(TRIM(UPPER(E89)),7,1))&gt;=48,CODE(MID(TRIM(UPPER(E89)),7,1))&lt;=57,CODE(MID(TRIM(UPPER(E89)),8,1))&gt;=48,CODE(MID(TRIM(UPPER(E89)),8,1))&lt;=57,CODE(MID(TRIM(UPPER(E89)),9,1))&gt;=48,CODE(MID(TRIM(UPPER(E89)),9,1))&lt;=57),"N","Y"))</f>
      </c>
      <c r="G89" s="7">
        <f>IF($D89="","",IF(LEN(E89)&lt;4,"",IF(UPPER(MID(E89,4,1))="P","Individual",IF(UPPER(MID(E89,4,1))="H","HUF",IF(UPPER(MID(E89,4,1))="C","Company",IF(UPPER(MID(E89,4,1))="F","Firm",IF(UPPER(MID(E89,4,1))="L","LLP",IF(UPPER(MID(E89,4,1))="T","Trust",IF(UPPER(MID(E89,4,1))="A","AOP","")))))))))</f>
      </c>
      <c r="H89" s="8"/>
      <c r="I89" s="7">
        <f>IF($D89="","",IF(H89="","",IF(F89="Y",SUMPRODUCT(('Rate Lookup'!$A$1:$A$37=H89)*'Rate Lookup'!$D$1:$D$37),IF(OR(G89="Individual",G89="HUF"),SUMPRODUCT(('Rate Lookup'!$A$1:$A$37=H89)*'Rate Lookup'!$B$1:$B$37),SUMPRODUCT(('Rate Lookup'!$A$1:$A$37=H89)*'Rate Lookup'!$C$1:$C$37)))))</f>
      </c>
      <c r="J89" s="8"/>
      <c r="K89" s="8"/>
      <c r="L89" s="7">
        <f>IF($D89="","",ROUND(K89*I89/100,0))</f>
      </c>
      <c r="M89" s="7">
        <f>IF($D89="","",0)</f>
      </c>
      <c r="N89" s="7">
        <f>IF($D89="","",0)</f>
      </c>
      <c r="O89" s="7">
        <f>IF($D89="","",IF(OR(L89=0,J89="",IFERROR(INDEX('Challan Master'!$D$4:$D$207,MATCH($B89,'Challan Master'!$S$4:$S$207,0)),"")="",IFERROR(INDEX('Challan Master'!$D$4:$D$207,MATCH($B89,'Challan Master'!$S$4:$S$207,0)),"")&lt;=0),0,IF(IFERROR(INDEX('Challan Master'!$D$4:$D$207,MATCH($B89,'Challan Master'!$S$4:$S$207,0)),"")&lt;=DATE(YEAR(J89),MONTH(J89)+1,7),0,ROUND(L89*0.015*((YEAR(IFERROR(INDEX('Challan Master'!$D$4:$D$207,MATCH($B89,'Challan Master'!$S$4:$S$207,0)),""))-YEAR(J89))*12+(MONTH(IFERROR(INDEX('Challan Master'!$D$4:$D$207,MATCH($B89,'Challan Master'!$S$4:$S$207,0)),""))-MONTH(J89))+1),0))))</f>
      </c>
      <c r="P89" s="7">
        <f>IF($D89="","",0)</f>
      </c>
      <c r="Q89" s="8"/>
      <c r="R89" s="8"/>
      <c r="S89" s="8"/>
      <c r="T89" s="8"/>
      <c r="U89" s="8"/>
      <c r="V89" s="7">
        <f>IF($B89="","",IFERROR(INDEX('Challan Master'!$AA$4:$AA$207,MATCH($B89,'Challan Master'!$S$4:$S$207,0)),""))</f>
      </c>
    </row>
    <row r="90" spans="1:22" x14ac:dyDescent="0.25">
      <c r="A90" s="7">
        <f>IF($D90="","",COUNTIF($D$4:$D90,"&lt;&gt;"))</f>
      </c>
      <c r="B90" s="8"/>
      <c r="C90" s="7">
        <f>IF($B90="","","BSR "&amp;IFERROR(INDEX('Challan Master'!$B$4:$B$207,MATCH($B90,'Challan Master'!$S$4:$S$207,0)),"")&amp;" | Serial "&amp;IFERROR(INDEX('Challan Master'!$C$4:$C$207,MATCH($B90,'Challan Master'!$S$4:$S$207,0)),"")&amp;" | Deposit "&amp;TEXT(IFERROR(INDEX('Challan Master'!$D$4:$D$207,MATCH($B90,'Challan Master'!$S$4:$S$207,0)),""),"dd-mm-yyyy")&amp;" | Minor Head "&amp;IFERROR(INDEX('Challan Master'!$E$4:$E$207,MATCH($B90,'Challan Master'!$S$4:$S$207,0)),"")&amp;" | Tax ₹"&amp;TEXT(IFERROR(INDEX('Challan Master'!$G$4:$G$207,MATCH($B90,'Challan Master'!$S$4:$S$207,0)),""),"#,##0")&amp;" | Section "&amp;IFERROR(INDEX('Challan Master'!$F$4:$F$207,MATCH($B90,'Challan Master'!$S$4:$S$207,0)),""))</f>
      </c>
      <c r="D90" s="8"/>
      <c r="E90" s="8"/>
      <c r="F90" s="7">
        <f>IF($D90="","",IF(AND(LEN(TRIM(UPPER(E90)))=10,CODE(MID(TRIM(UPPER(E90)),1,1))&gt;=65,CODE(MID(TRIM(UPPER(E90)),1,1))&lt;=90,CODE(MID(TRIM(UPPER(E90)),2,1))&gt;=65,CODE(MID(TRIM(UPPER(E90)),2,1))&lt;=90,CODE(MID(TRIM(UPPER(E90)),3,1))&gt;=65,CODE(MID(TRIM(UPPER(E90)),3,1))&lt;=90,CODE(MID(TRIM(UPPER(E90)),4,1))&gt;=65,CODE(MID(TRIM(UPPER(E90)),4,1))&lt;=90,CODE(MID(TRIM(UPPER(E90)),5,1))&gt;=65,CODE(MID(TRIM(UPPER(E90)),5,1))&lt;=90,CODE(MID(TRIM(UPPER(E90)),10,1))&gt;=65,CODE(MID(TRIM(UPPER(E90)),10,1))&lt;=90,CODE(MID(TRIM(UPPER(E90)),6,1))&gt;=48,CODE(MID(TRIM(UPPER(E90)),6,1))&lt;=57,CODE(MID(TRIM(UPPER(E90)),7,1))&gt;=48,CODE(MID(TRIM(UPPER(E90)),7,1))&lt;=57,CODE(MID(TRIM(UPPER(E90)),8,1))&gt;=48,CODE(MID(TRIM(UPPER(E90)),8,1))&lt;=57,CODE(MID(TRIM(UPPER(E90)),9,1))&gt;=48,CODE(MID(TRIM(UPPER(E90)),9,1))&lt;=57),"N","Y"))</f>
      </c>
      <c r="G90" s="7">
        <f>IF($D90="","",IF(LEN(E90)&lt;4,"",IF(UPPER(MID(E90,4,1))="P","Individual",IF(UPPER(MID(E90,4,1))="H","HUF",IF(UPPER(MID(E90,4,1))="C","Company",IF(UPPER(MID(E90,4,1))="F","Firm",IF(UPPER(MID(E90,4,1))="L","LLP",IF(UPPER(MID(E90,4,1))="T","Trust",IF(UPPER(MID(E90,4,1))="A","AOP","")))))))))</f>
      </c>
      <c r="H90" s="8"/>
      <c r="I90" s="7">
        <f>IF($D90="","",IF(H90="","",IF(F90="Y",SUMPRODUCT(('Rate Lookup'!$A$1:$A$37=H90)*'Rate Lookup'!$D$1:$D$37),IF(OR(G90="Individual",G90="HUF"),SUMPRODUCT(('Rate Lookup'!$A$1:$A$37=H90)*'Rate Lookup'!$B$1:$B$37),SUMPRODUCT(('Rate Lookup'!$A$1:$A$37=H90)*'Rate Lookup'!$C$1:$C$37)))))</f>
      </c>
      <c r="J90" s="8"/>
      <c r="K90" s="8"/>
      <c r="L90" s="7">
        <f>IF($D90="","",ROUND(K90*I90/100,0))</f>
      </c>
      <c r="M90" s="7">
        <f>IF($D90="","",0)</f>
      </c>
      <c r="N90" s="7">
        <f>IF($D90="","",0)</f>
      </c>
      <c r="O90" s="7">
        <f>IF($D90="","",IF(OR(L90=0,J90="",IFERROR(INDEX('Challan Master'!$D$4:$D$207,MATCH($B90,'Challan Master'!$S$4:$S$207,0)),"")="",IFERROR(INDEX('Challan Master'!$D$4:$D$207,MATCH($B90,'Challan Master'!$S$4:$S$207,0)),"")&lt;=0),0,IF(IFERROR(INDEX('Challan Master'!$D$4:$D$207,MATCH($B90,'Challan Master'!$S$4:$S$207,0)),"")&lt;=DATE(YEAR(J90),MONTH(J90)+1,7),0,ROUND(L90*0.015*((YEAR(IFERROR(INDEX('Challan Master'!$D$4:$D$207,MATCH($B90,'Challan Master'!$S$4:$S$207,0)),""))-YEAR(J90))*12+(MONTH(IFERROR(INDEX('Challan Master'!$D$4:$D$207,MATCH($B90,'Challan Master'!$S$4:$S$207,0)),""))-MONTH(J90))+1),0))))</f>
      </c>
      <c r="P90" s="7">
        <f>IF($D90="","",0)</f>
      </c>
      <c r="Q90" s="8"/>
      <c r="R90" s="8"/>
      <c r="S90" s="8"/>
      <c r="T90" s="8"/>
      <c r="U90" s="8"/>
      <c r="V90" s="7">
        <f>IF($B90="","",IFERROR(INDEX('Challan Master'!$AA$4:$AA$207,MATCH($B90,'Challan Master'!$S$4:$S$207,0)),""))</f>
      </c>
    </row>
    <row r="91" spans="1:22" x14ac:dyDescent="0.25">
      <c r="A91" s="7">
        <f>IF($D91="","",COUNTIF($D$4:$D91,"&lt;&gt;"))</f>
      </c>
      <c r="B91" s="8"/>
      <c r="C91" s="7">
        <f>IF($B91="","","BSR "&amp;IFERROR(INDEX('Challan Master'!$B$4:$B$207,MATCH($B91,'Challan Master'!$S$4:$S$207,0)),"")&amp;" | Serial "&amp;IFERROR(INDEX('Challan Master'!$C$4:$C$207,MATCH($B91,'Challan Master'!$S$4:$S$207,0)),"")&amp;" | Deposit "&amp;TEXT(IFERROR(INDEX('Challan Master'!$D$4:$D$207,MATCH($B91,'Challan Master'!$S$4:$S$207,0)),""),"dd-mm-yyyy")&amp;" | Minor Head "&amp;IFERROR(INDEX('Challan Master'!$E$4:$E$207,MATCH($B91,'Challan Master'!$S$4:$S$207,0)),"")&amp;" | Tax ₹"&amp;TEXT(IFERROR(INDEX('Challan Master'!$G$4:$G$207,MATCH($B91,'Challan Master'!$S$4:$S$207,0)),""),"#,##0")&amp;" | Section "&amp;IFERROR(INDEX('Challan Master'!$F$4:$F$207,MATCH($B91,'Challan Master'!$S$4:$S$207,0)),""))</f>
      </c>
      <c r="D91" s="8"/>
      <c r="E91" s="8"/>
      <c r="F91" s="7">
        <f>IF($D91="","",IF(AND(LEN(TRIM(UPPER(E91)))=10,CODE(MID(TRIM(UPPER(E91)),1,1))&gt;=65,CODE(MID(TRIM(UPPER(E91)),1,1))&lt;=90,CODE(MID(TRIM(UPPER(E91)),2,1))&gt;=65,CODE(MID(TRIM(UPPER(E91)),2,1))&lt;=90,CODE(MID(TRIM(UPPER(E91)),3,1))&gt;=65,CODE(MID(TRIM(UPPER(E91)),3,1))&lt;=90,CODE(MID(TRIM(UPPER(E91)),4,1))&gt;=65,CODE(MID(TRIM(UPPER(E91)),4,1))&lt;=90,CODE(MID(TRIM(UPPER(E91)),5,1))&gt;=65,CODE(MID(TRIM(UPPER(E91)),5,1))&lt;=90,CODE(MID(TRIM(UPPER(E91)),10,1))&gt;=65,CODE(MID(TRIM(UPPER(E91)),10,1))&lt;=90,CODE(MID(TRIM(UPPER(E91)),6,1))&gt;=48,CODE(MID(TRIM(UPPER(E91)),6,1))&lt;=57,CODE(MID(TRIM(UPPER(E91)),7,1))&gt;=48,CODE(MID(TRIM(UPPER(E91)),7,1))&lt;=57,CODE(MID(TRIM(UPPER(E91)),8,1))&gt;=48,CODE(MID(TRIM(UPPER(E91)),8,1))&lt;=57,CODE(MID(TRIM(UPPER(E91)),9,1))&gt;=48,CODE(MID(TRIM(UPPER(E91)),9,1))&lt;=57),"N","Y"))</f>
      </c>
      <c r="G91" s="7">
        <f>IF($D91="","",IF(LEN(E91)&lt;4,"",IF(UPPER(MID(E91,4,1))="P","Individual",IF(UPPER(MID(E91,4,1))="H","HUF",IF(UPPER(MID(E91,4,1))="C","Company",IF(UPPER(MID(E91,4,1))="F","Firm",IF(UPPER(MID(E91,4,1))="L","LLP",IF(UPPER(MID(E91,4,1))="T","Trust",IF(UPPER(MID(E91,4,1))="A","AOP","")))))))))</f>
      </c>
      <c r="H91" s="8"/>
      <c r="I91" s="7">
        <f>IF($D91="","",IF(H91="","",IF(F91="Y",SUMPRODUCT(('Rate Lookup'!$A$1:$A$37=H91)*'Rate Lookup'!$D$1:$D$37),IF(OR(G91="Individual",G91="HUF"),SUMPRODUCT(('Rate Lookup'!$A$1:$A$37=H91)*'Rate Lookup'!$B$1:$B$37),SUMPRODUCT(('Rate Lookup'!$A$1:$A$37=H91)*'Rate Lookup'!$C$1:$C$37)))))</f>
      </c>
      <c r="J91" s="8"/>
      <c r="K91" s="8"/>
      <c r="L91" s="7">
        <f>IF($D91="","",ROUND(K91*I91/100,0))</f>
      </c>
      <c r="M91" s="7">
        <f>IF($D91="","",0)</f>
      </c>
      <c r="N91" s="7">
        <f>IF($D91="","",0)</f>
      </c>
      <c r="O91" s="7">
        <f>IF($D91="","",IF(OR(L91=0,J91="",IFERROR(INDEX('Challan Master'!$D$4:$D$207,MATCH($B91,'Challan Master'!$S$4:$S$207,0)),"")="",IFERROR(INDEX('Challan Master'!$D$4:$D$207,MATCH($B91,'Challan Master'!$S$4:$S$207,0)),"")&lt;=0),0,IF(IFERROR(INDEX('Challan Master'!$D$4:$D$207,MATCH($B91,'Challan Master'!$S$4:$S$207,0)),"")&lt;=DATE(YEAR(J91),MONTH(J91)+1,7),0,ROUND(L91*0.015*((YEAR(IFERROR(INDEX('Challan Master'!$D$4:$D$207,MATCH($B91,'Challan Master'!$S$4:$S$207,0)),""))-YEAR(J91))*12+(MONTH(IFERROR(INDEX('Challan Master'!$D$4:$D$207,MATCH($B91,'Challan Master'!$S$4:$S$207,0)),""))-MONTH(J91))+1),0))))</f>
      </c>
      <c r="P91" s="7">
        <f>IF($D91="","",0)</f>
      </c>
      <c r="Q91" s="8"/>
      <c r="R91" s="8"/>
      <c r="S91" s="8"/>
      <c r="T91" s="8"/>
      <c r="U91" s="8"/>
      <c r="V91" s="7">
        <f>IF($B91="","",IFERROR(INDEX('Challan Master'!$AA$4:$AA$207,MATCH($B91,'Challan Master'!$S$4:$S$207,0)),""))</f>
      </c>
    </row>
    <row r="92" spans="1:22" x14ac:dyDescent="0.25">
      <c r="A92" s="7">
        <f>IF($D92="","",COUNTIF($D$4:$D92,"&lt;&gt;"))</f>
      </c>
      <c r="B92" s="8"/>
      <c r="C92" s="7">
        <f>IF($B92="","","BSR "&amp;IFERROR(INDEX('Challan Master'!$B$4:$B$207,MATCH($B92,'Challan Master'!$S$4:$S$207,0)),"")&amp;" | Serial "&amp;IFERROR(INDEX('Challan Master'!$C$4:$C$207,MATCH($B92,'Challan Master'!$S$4:$S$207,0)),"")&amp;" | Deposit "&amp;TEXT(IFERROR(INDEX('Challan Master'!$D$4:$D$207,MATCH($B92,'Challan Master'!$S$4:$S$207,0)),""),"dd-mm-yyyy")&amp;" | Minor Head "&amp;IFERROR(INDEX('Challan Master'!$E$4:$E$207,MATCH($B92,'Challan Master'!$S$4:$S$207,0)),"")&amp;" | Tax ₹"&amp;TEXT(IFERROR(INDEX('Challan Master'!$G$4:$G$207,MATCH($B92,'Challan Master'!$S$4:$S$207,0)),""),"#,##0")&amp;" | Section "&amp;IFERROR(INDEX('Challan Master'!$F$4:$F$207,MATCH($B92,'Challan Master'!$S$4:$S$207,0)),""))</f>
      </c>
      <c r="D92" s="8"/>
      <c r="E92" s="8"/>
      <c r="F92" s="7">
        <f>IF($D92="","",IF(AND(LEN(TRIM(UPPER(E92)))=10,CODE(MID(TRIM(UPPER(E92)),1,1))&gt;=65,CODE(MID(TRIM(UPPER(E92)),1,1))&lt;=90,CODE(MID(TRIM(UPPER(E92)),2,1))&gt;=65,CODE(MID(TRIM(UPPER(E92)),2,1))&lt;=90,CODE(MID(TRIM(UPPER(E92)),3,1))&gt;=65,CODE(MID(TRIM(UPPER(E92)),3,1))&lt;=90,CODE(MID(TRIM(UPPER(E92)),4,1))&gt;=65,CODE(MID(TRIM(UPPER(E92)),4,1))&lt;=90,CODE(MID(TRIM(UPPER(E92)),5,1))&gt;=65,CODE(MID(TRIM(UPPER(E92)),5,1))&lt;=90,CODE(MID(TRIM(UPPER(E92)),10,1))&gt;=65,CODE(MID(TRIM(UPPER(E92)),10,1))&lt;=90,CODE(MID(TRIM(UPPER(E92)),6,1))&gt;=48,CODE(MID(TRIM(UPPER(E92)),6,1))&lt;=57,CODE(MID(TRIM(UPPER(E92)),7,1))&gt;=48,CODE(MID(TRIM(UPPER(E92)),7,1))&lt;=57,CODE(MID(TRIM(UPPER(E92)),8,1))&gt;=48,CODE(MID(TRIM(UPPER(E92)),8,1))&lt;=57,CODE(MID(TRIM(UPPER(E92)),9,1))&gt;=48,CODE(MID(TRIM(UPPER(E92)),9,1))&lt;=57),"N","Y"))</f>
      </c>
      <c r="G92" s="7">
        <f>IF($D92="","",IF(LEN(E92)&lt;4,"",IF(UPPER(MID(E92,4,1))="P","Individual",IF(UPPER(MID(E92,4,1))="H","HUF",IF(UPPER(MID(E92,4,1))="C","Company",IF(UPPER(MID(E92,4,1))="F","Firm",IF(UPPER(MID(E92,4,1))="L","LLP",IF(UPPER(MID(E92,4,1))="T","Trust",IF(UPPER(MID(E92,4,1))="A","AOP","")))))))))</f>
      </c>
      <c r="H92" s="8"/>
      <c r="I92" s="7">
        <f>IF($D92="","",IF(H92="","",IF(F92="Y",SUMPRODUCT(('Rate Lookup'!$A$1:$A$37=H92)*'Rate Lookup'!$D$1:$D$37),IF(OR(G92="Individual",G92="HUF"),SUMPRODUCT(('Rate Lookup'!$A$1:$A$37=H92)*'Rate Lookup'!$B$1:$B$37),SUMPRODUCT(('Rate Lookup'!$A$1:$A$37=H92)*'Rate Lookup'!$C$1:$C$37)))))</f>
      </c>
      <c r="J92" s="8"/>
      <c r="K92" s="8"/>
      <c r="L92" s="7">
        <f>IF($D92="","",ROUND(K92*I92/100,0))</f>
      </c>
      <c r="M92" s="7">
        <f>IF($D92="","",0)</f>
      </c>
      <c r="N92" s="7">
        <f>IF($D92="","",0)</f>
      </c>
      <c r="O92" s="7">
        <f>IF($D92="","",IF(OR(L92=0,J92="",IFERROR(INDEX('Challan Master'!$D$4:$D$207,MATCH($B92,'Challan Master'!$S$4:$S$207,0)),"")="",IFERROR(INDEX('Challan Master'!$D$4:$D$207,MATCH($B92,'Challan Master'!$S$4:$S$207,0)),"")&lt;=0),0,IF(IFERROR(INDEX('Challan Master'!$D$4:$D$207,MATCH($B92,'Challan Master'!$S$4:$S$207,0)),"")&lt;=DATE(YEAR(J92),MONTH(J92)+1,7),0,ROUND(L92*0.015*((YEAR(IFERROR(INDEX('Challan Master'!$D$4:$D$207,MATCH($B92,'Challan Master'!$S$4:$S$207,0)),""))-YEAR(J92))*12+(MONTH(IFERROR(INDEX('Challan Master'!$D$4:$D$207,MATCH($B92,'Challan Master'!$S$4:$S$207,0)),""))-MONTH(J92))+1),0))))</f>
      </c>
      <c r="P92" s="7">
        <f>IF($D92="","",0)</f>
      </c>
      <c r="Q92" s="8"/>
      <c r="R92" s="8"/>
      <c r="S92" s="8"/>
      <c r="T92" s="8"/>
      <c r="U92" s="8"/>
      <c r="V92" s="7">
        <f>IF($B92="","",IFERROR(INDEX('Challan Master'!$AA$4:$AA$207,MATCH($B92,'Challan Master'!$S$4:$S$207,0)),""))</f>
      </c>
    </row>
    <row r="93" spans="1:22" x14ac:dyDescent="0.25">
      <c r="A93" s="7">
        <f>IF($D93="","",COUNTIF($D$4:$D93,"&lt;&gt;"))</f>
      </c>
      <c r="B93" s="8"/>
      <c r="C93" s="7">
        <f>IF($B93="","","BSR "&amp;IFERROR(INDEX('Challan Master'!$B$4:$B$207,MATCH($B93,'Challan Master'!$S$4:$S$207,0)),"")&amp;" | Serial "&amp;IFERROR(INDEX('Challan Master'!$C$4:$C$207,MATCH($B93,'Challan Master'!$S$4:$S$207,0)),"")&amp;" | Deposit "&amp;TEXT(IFERROR(INDEX('Challan Master'!$D$4:$D$207,MATCH($B93,'Challan Master'!$S$4:$S$207,0)),""),"dd-mm-yyyy")&amp;" | Minor Head "&amp;IFERROR(INDEX('Challan Master'!$E$4:$E$207,MATCH($B93,'Challan Master'!$S$4:$S$207,0)),"")&amp;" | Tax ₹"&amp;TEXT(IFERROR(INDEX('Challan Master'!$G$4:$G$207,MATCH($B93,'Challan Master'!$S$4:$S$207,0)),""),"#,##0")&amp;" | Section "&amp;IFERROR(INDEX('Challan Master'!$F$4:$F$207,MATCH($B93,'Challan Master'!$S$4:$S$207,0)),""))</f>
      </c>
      <c r="D93" s="8"/>
      <c r="E93" s="8"/>
      <c r="F93" s="7">
        <f>IF($D93="","",IF(AND(LEN(TRIM(UPPER(E93)))=10,CODE(MID(TRIM(UPPER(E93)),1,1))&gt;=65,CODE(MID(TRIM(UPPER(E93)),1,1))&lt;=90,CODE(MID(TRIM(UPPER(E93)),2,1))&gt;=65,CODE(MID(TRIM(UPPER(E93)),2,1))&lt;=90,CODE(MID(TRIM(UPPER(E93)),3,1))&gt;=65,CODE(MID(TRIM(UPPER(E93)),3,1))&lt;=90,CODE(MID(TRIM(UPPER(E93)),4,1))&gt;=65,CODE(MID(TRIM(UPPER(E93)),4,1))&lt;=90,CODE(MID(TRIM(UPPER(E93)),5,1))&gt;=65,CODE(MID(TRIM(UPPER(E93)),5,1))&lt;=90,CODE(MID(TRIM(UPPER(E93)),10,1))&gt;=65,CODE(MID(TRIM(UPPER(E93)),10,1))&lt;=90,CODE(MID(TRIM(UPPER(E93)),6,1))&gt;=48,CODE(MID(TRIM(UPPER(E93)),6,1))&lt;=57,CODE(MID(TRIM(UPPER(E93)),7,1))&gt;=48,CODE(MID(TRIM(UPPER(E93)),7,1))&lt;=57,CODE(MID(TRIM(UPPER(E93)),8,1))&gt;=48,CODE(MID(TRIM(UPPER(E93)),8,1))&lt;=57,CODE(MID(TRIM(UPPER(E93)),9,1))&gt;=48,CODE(MID(TRIM(UPPER(E93)),9,1))&lt;=57),"N","Y"))</f>
      </c>
      <c r="G93" s="7">
        <f>IF($D93="","",IF(LEN(E93)&lt;4,"",IF(UPPER(MID(E93,4,1))="P","Individual",IF(UPPER(MID(E93,4,1))="H","HUF",IF(UPPER(MID(E93,4,1))="C","Company",IF(UPPER(MID(E93,4,1))="F","Firm",IF(UPPER(MID(E93,4,1))="L","LLP",IF(UPPER(MID(E93,4,1))="T","Trust",IF(UPPER(MID(E93,4,1))="A","AOP","")))))))))</f>
      </c>
      <c r="H93" s="8"/>
      <c r="I93" s="7">
        <f>IF($D93="","",IF(H93="","",IF(F93="Y",SUMPRODUCT(('Rate Lookup'!$A$1:$A$37=H93)*'Rate Lookup'!$D$1:$D$37),IF(OR(G93="Individual",G93="HUF"),SUMPRODUCT(('Rate Lookup'!$A$1:$A$37=H93)*'Rate Lookup'!$B$1:$B$37),SUMPRODUCT(('Rate Lookup'!$A$1:$A$37=H93)*'Rate Lookup'!$C$1:$C$37)))))</f>
      </c>
      <c r="J93" s="8"/>
      <c r="K93" s="8"/>
      <c r="L93" s="7">
        <f>IF($D93="","",ROUND(K93*I93/100,0))</f>
      </c>
      <c r="M93" s="7">
        <f>IF($D93="","",0)</f>
      </c>
      <c r="N93" s="7">
        <f>IF($D93="","",0)</f>
      </c>
      <c r="O93" s="7">
        <f>IF($D93="","",IF(OR(L93=0,J93="",IFERROR(INDEX('Challan Master'!$D$4:$D$207,MATCH($B93,'Challan Master'!$S$4:$S$207,0)),"")="",IFERROR(INDEX('Challan Master'!$D$4:$D$207,MATCH($B93,'Challan Master'!$S$4:$S$207,0)),"")&lt;=0),0,IF(IFERROR(INDEX('Challan Master'!$D$4:$D$207,MATCH($B93,'Challan Master'!$S$4:$S$207,0)),"")&lt;=DATE(YEAR(J93),MONTH(J93)+1,7),0,ROUND(L93*0.015*((YEAR(IFERROR(INDEX('Challan Master'!$D$4:$D$207,MATCH($B93,'Challan Master'!$S$4:$S$207,0)),""))-YEAR(J93))*12+(MONTH(IFERROR(INDEX('Challan Master'!$D$4:$D$207,MATCH($B93,'Challan Master'!$S$4:$S$207,0)),""))-MONTH(J93))+1),0))))</f>
      </c>
      <c r="P93" s="7">
        <f>IF($D93="","",0)</f>
      </c>
      <c r="Q93" s="8"/>
      <c r="R93" s="8"/>
      <c r="S93" s="8"/>
      <c r="T93" s="8"/>
      <c r="U93" s="8"/>
      <c r="V93" s="7">
        <f>IF($B93="","",IFERROR(INDEX('Challan Master'!$AA$4:$AA$207,MATCH($B93,'Challan Master'!$S$4:$S$207,0)),""))</f>
      </c>
    </row>
    <row r="94" spans="1:22" x14ac:dyDescent="0.25">
      <c r="A94" s="7">
        <f>IF($D94="","",COUNTIF($D$4:$D94,"&lt;&gt;"))</f>
      </c>
      <c r="B94" s="8"/>
      <c r="C94" s="7">
        <f>IF($B94="","","BSR "&amp;IFERROR(INDEX('Challan Master'!$B$4:$B$207,MATCH($B94,'Challan Master'!$S$4:$S$207,0)),"")&amp;" | Serial "&amp;IFERROR(INDEX('Challan Master'!$C$4:$C$207,MATCH($B94,'Challan Master'!$S$4:$S$207,0)),"")&amp;" | Deposit "&amp;TEXT(IFERROR(INDEX('Challan Master'!$D$4:$D$207,MATCH($B94,'Challan Master'!$S$4:$S$207,0)),""),"dd-mm-yyyy")&amp;" | Minor Head "&amp;IFERROR(INDEX('Challan Master'!$E$4:$E$207,MATCH($B94,'Challan Master'!$S$4:$S$207,0)),"")&amp;" | Tax ₹"&amp;TEXT(IFERROR(INDEX('Challan Master'!$G$4:$G$207,MATCH($B94,'Challan Master'!$S$4:$S$207,0)),""),"#,##0")&amp;" | Section "&amp;IFERROR(INDEX('Challan Master'!$F$4:$F$207,MATCH($B94,'Challan Master'!$S$4:$S$207,0)),""))</f>
      </c>
      <c r="D94" s="8"/>
      <c r="E94" s="8"/>
      <c r="F94" s="7">
        <f>IF($D94="","",IF(AND(LEN(TRIM(UPPER(E94)))=10,CODE(MID(TRIM(UPPER(E94)),1,1))&gt;=65,CODE(MID(TRIM(UPPER(E94)),1,1))&lt;=90,CODE(MID(TRIM(UPPER(E94)),2,1))&gt;=65,CODE(MID(TRIM(UPPER(E94)),2,1))&lt;=90,CODE(MID(TRIM(UPPER(E94)),3,1))&gt;=65,CODE(MID(TRIM(UPPER(E94)),3,1))&lt;=90,CODE(MID(TRIM(UPPER(E94)),4,1))&gt;=65,CODE(MID(TRIM(UPPER(E94)),4,1))&lt;=90,CODE(MID(TRIM(UPPER(E94)),5,1))&gt;=65,CODE(MID(TRIM(UPPER(E94)),5,1))&lt;=90,CODE(MID(TRIM(UPPER(E94)),10,1))&gt;=65,CODE(MID(TRIM(UPPER(E94)),10,1))&lt;=90,CODE(MID(TRIM(UPPER(E94)),6,1))&gt;=48,CODE(MID(TRIM(UPPER(E94)),6,1))&lt;=57,CODE(MID(TRIM(UPPER(E94)),7,1))&gt;=48,CODE(MID(TRIM(UPPER(E94)),7,1))&lt;=57,CODE(MID(TRIM(UPPER(E94)),8,1))&gt;=48,CODE(MID(TRIM(UPPER(E94)),8,1))&lt;=57,CODE(MID(TRIM(UPPER(E94)),9,1))&gt;=48,CODE(MID(TRIM(UPPER(E94)),9,1))&lt;=57),"N","Y"))</f>
      </c>
      <c r="G94" s="7">
        <f>IF($D94="","",IF(LEN(E94)&lt;4,"",IF(UPPER(MID(E94,4,1))="P","Individual",IF(UPPER(MID(E94,4,1))="H","HUF",IF(UPPER(MID(E94,4,1))="C","Company",IF(UPPER(MID(E94,4,1))="F","Firm",IF(UPPER(MID(E94,4,1))="L","LLP",IF(UPPER(MID(E94,4,1))="T","Trust",IF(UPPER(MID(E94,4,1))="A","AOP","")))))))))</f>
      </c>
      <c r="H94" s="8"/>
      <c r="I94" s="7">
        <f>IF($D94="","",IF(H94="","",IF(F94="Y",SUMPRODUCT(('Rate Lookup'!$A$1:$A$37=H94)*'Rate Lookup'!$D$1:$D$37),IF(OR(G94="Individual",G94="HUF"),SUMPRODUCT(('Rate Lookup'!$A$1:$A$37=H94)*'Rate Lookup'!$B$1:$B$37),SUMPRODUCT(('Rate Lookup'!$A$1:$A$37=H94)*'Rate Lookup'!$C$1:$C$37)))))</f>
      </c>
      <c r="J94" s="8"/>
      <c r="K94" s="8"/>
      <c r="L94" s="7">
        <f>IF($D94="","",ROUND(K94*I94/100,0))</f>
      </c>
      <c r="M94" s="7">
        <f>IF($D94="","",0)</f>
      </c>
      <c r="N94" s="7">
        <f>IF($D94="","",0)</f>
      </c>
      <c r="O94" s="7">
        <f>IF($D94="","",IF(OR(L94=0,J94="",IFERROR(INDEX('Challan Master'!$D$4:$D$207,MATCH($B94,'Challan Master'!$S$4:$S$207,0)),"")="",IFERROR(INDEX('Challan Master'!$D$4:$D$207,MATCH($B94,'Challan Master'!$S$4:$S$207,0)),"")&lt;=0),0,IF(IFERROR(INDEX('Challan Master'!$D$4:$D$207,MATCH($B94,'Challan Master'!$S$4:$S$207,0)),"")&lt;=DATE(YEAR(J94),MONTH(J94)+1,7),0,ROUND(L94*0.015*((YEAR(IFERROR(INDEX('Challan Master'!$D$4:$D$207,MATCH($B94,'Challan Master'!$S$4:$S$207,0)),""))-YEAR(J94))*12+(MONTH(IFERROR(INDEX('Challan Master'!$D$4:$D$207,MATCH($B94,'Challan Master'!$S$4:$S$207,0)),""))-MONTH(J94))+1),0))))</f>
      </c>
      <c r="P94" s="7">
        <f>IF($D94="","",0)</f>
      </c>
      <c r="Q94" s="8"/>
      <c r="R94" s="8"/>
      <c r="S94" s="8"/>
      <c r="T94" s="8"/>
      <c r="U94" s="8"/>
      <c r="V94" s="7">
        <f>IF($B94="","",IFERROR(INDEX('Challan Master'!$AA$4:$AA$207,MATCH($B94,'Challan Master'!$S$4:$S$207,0)),""))</f>
      </c>
    </row>
    <row r="95" spans="1:22" x14ac:dyDescent="0.25">
      <c r="A95" s="7">
        <f>IF($D95="","",COUNTIF($D$4:$D95,"&lt;&gt;"))</f>
      </c>
      <c r="B95" s="8"/>
      <c r="C95" s="7">
        <f>IF($B95="","","BSR "&amp;IFERROR(INDEX('Challan Master'!$B$4:$B$207,MATCH($B95,'Challan Master'!$S$4:$S$207,0)),"")&amp;" | Serial "&amp;IFERROR(INDEX('Challan Master'!$C$4:$C$207,MATCH($B95,'Challan Master'!$S$4:$S$207,0)),"")&amp;" | Deposit "&amp;TEXT(IFERROR(INDEX('Challan Master'!$D$4:$D$207,MATCH($B95,'Challan Master'!$S$4:$S$207,0)),""),"dd-mm-yyyy")&amp;" | Minor Head "&amp;IFERROR(INDEX('Challan Master'!$E$4:$E$207,MATCH($B95,'Challan Master'!$S$4:$S$207,0)),"")&amp;" | Tax ₹"&amp;TEXT(IFERROR(INDEX('Challan Master'!$G$4:$G$207,MATCH($B95,'Challan Master'!$S$4:$S$207,0)),""),"#,##0")&amp;" | Section "&amp;IFERROR(INDEX('Challan Master'!$F$4:$F$207,MATCH($B95,'Challan Master'!$S$4:$S$207,0)),""))</f>
      </c>
      <c r="D95" s="8"/>
      <c r="E95" s="8"/>
      <c r="F95" s="7">
        <f>IF($D95="","",IF(AND(LEN(TRIM(UPPER(E95)))=10,CODE(MID(TRIM(UPPER(E95)),1,1))&gt;=65,CODE(MID(TRIM(UPPER(E95)),1,1))&lt;=90,CODE(MID(TRIM(UPPER(E95)),2,1))&gt;=65,CODE(MID(TRIM(UPPER(E95)),2,1))&lt;=90,CODE(MID(TRIM(UPPER(E95)),3,1))&gt;=65,CODE(MID(TRIM(UPPER(E95)),3,1))&lt;=90,CODE(MID(TRIM(UPPER(E95)),4,1))&gt;=65,CODE(MID(TRIM(UPPER(E95)),4,1))&lt;=90,CODE(MID(TRIM(UPPER(E95)),5,1))&gt;=65,CODE(MID(TRIM(UPPER(E95)),5,1))&lt;=90,CODE(MID(TRIM(UPPER(E95)),10,1))&gt;=65,CODE(MID(TRIM(UPPER(E95)),10,1))&lt;=90,CODE(MID(TRIM(UPPER(E95)),6,1))&gt;=48,CODE(MID(TRIM(UPPER(E95)),6,1))&lt;=57,CODE(MID(TRIM(UPPER(E95)),7,1))&gt;=48,CODE(MID(TRIM(UPPER(E95)),7,1))&lt;=57,CODE(MID(TRIM(UPPER(E95)),8,1))&gt;=48,CODE(MID(TRIM(UPPER(E95)),8,1))&lt;=57,CODE(MID(TRIM(UPPER(E95)),9,1))&gt;=48,CODE(MID(TRIM(UPPER(E95)),9,1))&lt;=57),"N","Y"))</f>
      </c>
      <c r="G95" s="7">
        <f>IF($D95="","",IF(LEN(E95)&lt;4,"",IF(UPPER(MID(E95,4,1))="P","Individual",IF(UPPER(MID(E95,4,1))="H","HUF",IF(UPPER(MID(E95,4,1))="C","Company",IF(UPPER(MID(E95,4,1))="F","Firm",IF(UPPER(MID(E95,4,1))="L","LLP",IF(UPPER(MID(E95,4,1))="T","Trust",IF(UPPER(MID(E95,4,1))="A","AOP","")))))))))</f>
      </c>
      <c r="H95" s="8"/>
      <c r="I95" s="7">
        <f>IF($D95="","",IF(H95="","",IF(F95="Y",SUMPRODUCT(('Rate Lookup'!$A$1:$A$37=H95)*'Rate Lookup'!$D$1:$D$37),IF(OR(G95="Individual",G95="HUF"),SUMPRODUCT(('Rate Lookup'!$A$1:$A$37=H95)*'Rate Lookup'!$B$1:$B$37),SUMPRODUCT(('Rate Lookup'!$A$1:$A$37=H95)*'Rate Lookup'!$C$1:$C$37)))))</f>
      </c>
      <c r="J95" s="8"/>
      <c r="K95" s="8"/>
      <c r="L95" s="7">
        <f>IF($D95="","",ROUND(K95*I95/100,0))</f>
      </c>
      <c r="M95" s="7">
        <f>IF($D95="","",0)</f>
      </c>
      <c r="N95" s="7">
        <f>IF($D95="","",0)</f>
      </c>
      <c r="O95" s="7">
        <f>IF($D95="","",IF(OR(L95=0,J95="",IFERROR(INDEX('Challan Master'!$D$4:$D$207,MATCH($B95,'Challan Master'!$S$4:$S$207,0)),"")="",IFERROR(INDEX('Challan Master'!$D$4:$D$207,MATCH($B95,'Challan Master'!$S$4:$S$207,0)),"")&lt;=0),0,IF(IFERROR(INDEX('Challan Master'!$D$4:$D$207,MATCH($B95,'Challan Master'!$S$4:$S$207,0)),"")&lt;=DATE(YEAR(J95),MONTH(J95)+1,7),0,ROUND(L95*0.015*((YEAR(IFERROR(INDEX('Challan Master'!$D$4:$D$207,MATCH($B95,'Challan Master'!$S$4:$S$207,0)),""))-YEAR(J95))*12+(MONTH(IFERROR(INDEX('Challan Master'!$D$4:$D$207,MATCH($B95,'Challan Master'!$S$4:$S$207,0)),""))-MONTH(J95))+1),0))))</f>
      </c>
      <c r="P95" s="7">
        <f>IF($D95="","",0)</f>
      </c>
      <c r="Q95" s="8"/>
      <c r="R95" s="8"/>
      <c r="S95" s="8"/>
      <c r="T95" s="8"/>
      <c r="U95" s="8"/>
      <c r="V95" s="7">
        <f>IF($B95="","",IFERROR(INDEX('Challan Master'!$AA$4:$AA$207,MATCH($B95,'Challan Master'!$S$4:$S$207,0)),""))</f>
      </c>
    </row>
    <row r="96" spans="1:22" x14ac:dyDescent="0.25">
      <c r="A96" s="7">
        <f>IF($D96="","",COUNTIF($D$4:$D96,"&lt;&gt;"))</f>
      </c>
      <c r="B96" s="8"/>
      <c r="C96" s="7">
        <f>IF($B96="","","BSR "&amp;IFERROR(INDEX('Challan Master'!$B$4:$B$207,MATCH($B96,'Challan Master'!$S$4:$S$207,0)),"")&amp;" | Serial "&amp;IFERROR(INDEX('Challan Master'!$C$4:$C$207,MATCH($B96,'Challan Master'!$S$4:$S$207,0)),"")&amp;" | Deposit "&amp;TEXT(IFERROR(INDEX('Challan Master'!$D$4:$D$207,MATCH($B96,'Challan Master'!$S$4:$S$207,0)),""),"dd-mm-yyyy")&amp;" | Minor Head "&amp;IFERROR(INDEX('Challan Master'!$E$4:$E$207,MATCH($B96,'Challan Master'!$S$4:$S$207,0)),"")&amp;" | Tax ₹"&amp;TEXT(IFERROR(INDEX('Challan Master'!$G$4:$G$207,MATCH($B96,'Challan Master'!$S$4:$S$207,0)),""),"#,##0")&amp;" | Section "&amp;IFERROR(INDEX('Challan Master'!$F$4:$F$207,MATCH($B96,'Challan Master'!$S$4:$S$207,0)),""))</f>
      </c>
      <c r="D96" s="8"/>
      <c r="E96" s="8"/>
      <c r="F96" s="7">
        <f>IF($D96="","",IF(AND(LEN(TRIM(UPPER(E96)))=10,CODE(MID(TRIM(UPPER(E96)),1,1))&gt;=65,CODE(MID(TRIM(UPPER(E96)),1,1))&lt;=90,CODE(MID(TRIM(UPPER(E96)),2,1))&gt;=65,CODE(MID(TRIM(UPPER(E96)),2,1))&lt;=90,CODE(MID(TRIM(UPPER(E96)),3,1))&gt;=65,CODE(MID(TRIM(UPPER(E96)),3,1))&lt;=90,CODE(MID(TRIM(UPPER(E96)),4,1))&gt;=65,CODE(MID(TRIM(UPPER(E96)),4,1))&lt;=90,CODE(MID(TRIM(UPPER(E96)),5,1))&gt;=65,CODE(MID(TRIM(UPPER(E96)),5,1))&lt;=90,CODE(MID(TRIM(UPPER(E96)),10,1))&gt;=65,CODE(MID(TRIM(UPPER(E96)),10,1))&lt;=90,CODE(MID(TRIM(UPPER(E96)),6,1))&gt;=48,CODE(MID(TRIM(UPPER(E96)),6,1))&lt;=57,CODE(MID(TRIM(UPPER(E96)),7,1))&gt;=48,CODE(MID(TRIM(UPPER(E96)),7,1))&lt;=57,CODE(MID(TRIM(UPPER(E96)),8,1))&gt;=48,CODE(MID(TRIM(UPPER(E96)),8,1))&lt;=57,CODE(MID(TRIM(UPPER(E96)),9,1))&gt;=48,CODE(MID(TRIM(UPPER(E96)),9,1))&lt;=57),"N","Y"))</f>
      </c>
      <c r="G96" s="7">
        <f>IF($D96="","",IF(LEN(E96)&lt;4,"",IF(UPPER(MID(E96,4,1))="P","Individual",IF(UPPER(MID(E96,4,1))="H","HUF",IF(UPPER(MID(E96,4,1))="C","Company",IF(UPPER(MID(E96,4,1))="F","Firm",IF(UPPER(MID(E96,4,1))="L","LLP",IF(UPPER(MID(E96,4,1))="T","Trust",IF(UPPER(MID(E96,4,1))="A","AOP","")))))))))</f>
      </c>
      <c r="H96" s="8"/>
      <c r="I96" s="7">
        <f>IF($D96="","",IF(H96="","",IF(F96="Y",SUMPRODUCT(('Rate Lookup'!$A$1:$A$37=H96)*'Rate Lookup'!$D$1:$D$37),IF(OR(G96="Individual",G96="HUF"),SUMPRODUCT(('Rate Lookup'!$A$1:$A$37=H96)*'Rate Lookup'!$B$1:$B$37),SUMPRODUCT(('Rate Lookup'!$A$1:$A$37=H96)*'Rate Lookup'!$C$1:$C$37)))))</f>
      </c>
      <c r="J96" s="8"/>
      <c r="K96" s="8"/>
      <c r="L96" s="7">
        <f>IF($D96="","",ROUND(K96*I96/100,0))</f>
      </c>
      <c r="M96" s="7">
        <f>IF($D96="","",0)</f>
      </c>
      <c r="N96" s="7">
        <f>IF($D96="","",0)</f>
      </c>
      <c r="O96" s="7">
        <f>IF($D96="","",IF(OR(L96=0,J96="",IFERROR(INDEX('Challan Master'!$D$4:$D$207,MATCH($B96,'Challan Master'!$S$4:$S$207,0)),"")="",IFERROR(INDEX('Challan Master'!$D$4:$D$207,MATCH($B96,'Challan Master'!$S$4:$S$207,0)),"")&lt;=0),0,IF(IFERROR(INDEX('Challan Master'!$D$4:$D$207,MATCH($B96,'Challan Master'!$S$4:$S$207,0)),"")&lt;=DATE(YEAR(J96),MONTH(J96)+1,7),0,ROUND(L96*0.015*((YEAR(IFERROR(INDEX('Challan Master'!$D$4:$D$207,MATCH($B96,'Challan Master'!$S$4:$S$207,0)),""))-YEAR(J96))*12+(MONTH(IFERROR(INDEX('Challan Master'!$D$4:$D$207,MATCH($B96,'Challan Master'!$S$4:$S$207,0)),""))-MONTH(J96))+1),0))))</f>
      </c>
      <c r="P96" s="7">
        <f>IF($D96="","",0)</f>
      </c>
      <c r="Q96" s="8"/>
      <c r="R96" s="8"/>
      <c r="S96" s="8"/>
      <c r="T96" s="8"/>
      <c r="U96" s="8"/>
      <c r="V96" s="7">
        <f>IF($B96="","",IFERROR(INDEX('Challan Master'!$AA$4:$AA$207,MATCH($B96,'Challan Master'!$S$4:$S$207,0)),""))</f>
      </c>
    </row>
    <row r="97" spans="1:22" x14ac:dyDescent="0.25">
      <c r="A97" s="7">
        <f>IF($D97="","",COUNTIF($D$4:$D97,"&lt;&gt;"))</f>
      </c>
      <c r="B97" s="8"/>
      <c r="C97" s="7">
        <f>IF($B97="","","BSR "&amp;IFERROR(INDEX('Challan Master'!$B$4:$B$207,MATCH($B97,'Challan Master'!$S$4:$S$207,0)),"")&amp;" | Serial "&amp;IFERROR(INDEX('Challan Master'!$C$4:$C$207,MATCH($B97,'Challan Master'!$S$4:$S$207,0)),"")&amp;" | Deposit "&amp;TEXT(IFERROR(INDEX('Challan Master'!$D$4:$D$207,MATCH($B97,'Challan Master'!$S$4:$S$207,0)),""),"dd-mm-yyyy")&amp;" | Minor Head "&amp;IFERROR(INDEX('Challan Master'!$E$4:$E$207,MATCH($B97,'Challan Master'!$S$4:$S$207,0)),"")&amp;" | Tax ₹"&amp;TEXT(IFERROR(INDEX('Challan Master'!$G$4:$G$207,MATCH($B97,'Challan Master'!$S$4:$S$207,0)),""),"#,##0")&amp;" | Section "&amp;IFERROR(INDEX('Challan Master'!$F$4:$F$207,MATCH($B97,'Challan Master'!$S$4:$S$207,0)),""))</f>
      </c>
      <c r="D97" s="8"/>
      <c r="E97" s="8"/>
      <c r="F97" s="7">
        <f>IF($D97="","",IF(AND(LEN(TRIM(UPPER(E97)))=10,CODE(MID(TRIM(UPPER(E97)),1,1))&gt;=65,CODE(MID(TRIM(UPPER(E97)),1,1))&lt;=90,CODE(MID(TRIM(UPPER(E97)),2,1))&gt;=65,CODE(MID(TRIM(UPPER(E97)),2,1))&lt;=90,CODE(MID(TRIM(UPPER(E97)),3,1))&gt;=65,CODE(MID(TRIM(UPPER(E97)),3,1))&lt;=90,CODE(MID(TRIM(UPPER(E97)),4,1))&gt;=65,CODE(MID(TRIM(UPPER(E97)),4,1))&lt;=90,CODE(MID(TRIM(UPPER(E97)),5,1))&gt;=65,CODE(MID(TRIM(UPPER(E97)),5,1))&lt;=90,CODE(MID(TRIM(UPPER(E97)),10,1))&gt;=65,CODE(MID(TRIM(UPPER(E97)),10,1))&lt;=90,CODE(MID(TRIM(UPPER(E97)),6,1))&gt;=48,CODE(MID(TRIM(UPPER(E97)),6,1))&lt;=57,CODE(MID(TRIM(UPPER(E97)),7,1))&gt;=48,CODE(MID(TRIM(UPPER(E97)),7,1))&lt;=57,CODE(MID(TRIM(UPPER(E97)),8,1))&gt;=48,CODE(MID(TRIM(UPPER(E97)),8,1))&lt;=57,CODE(MID(TRIM(UPPER(E97)),9,1))&gt;=48,CODE(MID(TRIM(UPPER(E97)),9,1))&lt;=57),"N","Y"))</f>
      </c>
      <c r="G97" s="7">
        <f>IF($D97="","",IF(LEN(E97)&lt;4,"",IF(UPPER(MID(E97,4,1))="P","Individual",IF(UPPER(MID(E97,4,1))="H","HUF",IF(UPPER(MID(E97,4,1))="C","Company",IF(UPPER(MID(E97,4,1))="F","Firm",IF(UPPER(MID(E97,4,1))="L","LLP",IF(UPPER(MID(E97,4,1))="T","Trust",IF(UPPER(MID(E97,4,1))="A","AOP","")))))))))</f>
      </c>
      <c r="H97" s="8"/>
      <c r="I97" s="7">
        <f>IF($D97="","",IF(H97="","",IF(F97="Y",SUMPRODUCT(('Rate Lookup'!$A$1:$A$37=H97)*'Rate Lookup'!$D$1:$D$37),IF(OR(G97="Individual",G97="HUF"),SUMPRODUCT(('Rate Lookup'!$A$1:$A$37=H97)*'Rate Lookup'!$B$1:$B$37),SUMPRODUCT(('Rate Lookup'!$A$1:$A$37=H97)*'Rate Lookup'!$C$1:$C$37)))))</f>
      </c>
      <c r="J97" s="8"/>
      <c r="K97" s="8"/>
      <c r="L97" s="7">
        <f>IF($D97="","",ROUND(K97*I97/100,0))</f>
      </c>
      <c r="M97" s="7">
        <f>IF($D97="","",0)</f>
      </c>
      <c r="N97" s="7">
        <f>IF($D97="","",0)</f>
      </c>
      <c r="O97" s="7">
        <f>IF($D97="","",IF(OR(L97=0,J97="",IFERROR(INDEX('Challan Master'!$D$4:$D$207,MATCH($B97,'Challan Master'!$S$4:$S$207,0)),"")="",IFERROR(INDEX('Challan Master'!$D$4:$D$207,MATCH($B97,'Challan Master'!$S$4:$S$207,0)),"")&lt;=0),0,IF(IFERROR(INDEX('Challan Master'!$D$4:$D$207,MATCH($B97,'Challan Master'!$S$4:$S$207,0)),"")&lt;=DATE(YEAR(J97),MONTH(J97)+1,7),0,ROUND(L97*0.015*((YEAR(IFERROR(INDEX('Challan Master'!$D$4:$D$207,MATCH($B97,'Challan Master'!$S$4:$S$207,0)),""))-YEAR(J97))*12+(MONTH(IFERROR(INDEX('Challan Master'!$D$4:$D$207,MATCH($B97,'Challan Master'!$S$4:$S$207,0)),""))-MONTH(J97))+1),0))))</f>
      </c>
      <c r="P97" s="7">
        <f>IF($D97="","",0)</f>
      </c>
      <c r="Q97" s="8"/>
      <c r="R97" s="8"/>
      <c r="S97" s="8"/>
      <c r="T97" s="8"/>
      <c r="U97" s="8"/>
      <c r="V97" s="7">
        <f>IF($B97="","",IFERROR(INDEX('Challan Master'!$AA$4:$AA$207,MATCH($B97,'Challan Master'!$S$4:$S$207,0)),""))</f>
      </c>
    </row>
    <row r="98" spans="1:22" x14ac:dyDescent="0.25">
      <c r="A98" s="7">
        <f>IF($D98="","",COUNTIF($D$4:$D98,"&lt;&gt;"))</f>
      </c>
      <c r="B98" s="8"/>
      <c r="C98" s="7">
        <f>IF($B98="","","BSR "&amp;IFERROR(INDEX('Challan Master'!$B$4:$B$207,MATCH($B98,'Challan Master'!$S$4:$S$207,0)),"")&amp;" | Serial "&amp;IFERROR(INDEX('Challan Master'!$C$4:$C$207,MATCH($B98,'Challan Master'!$S$4:$S$207,0)),"")&amp;" | Deposit "&amp;TEXT(IFERROR(INDEX('Challan Master'!$D$4:$D$207,MATCH($B98,'Challan Master'!$S$4:$S$207,0)),""),"dd-mm-yyyy")&amp;" | Minor Head "&amp;IFERROR(INDEX('Challan Master'!$E$4:$E$207,MATCH($B98,'Challan Master'!$S$4:$S$207,0)),"")&amp;" | Tax ₹"&amp;TEXT(IFERROR(INDEX('Challan Master'!$G$4:$G$207,MATCH($B98,'Challan Master'!$S$4:$S$207,0)),""),"#,##0")&amp;" | Section "&amp;IFERROR(INDEX('Challan Master'!$F$4:$F$207,MATCH($B98,'Challan Master'!$S$4:$S$207,0)),""))</f>
      </c>
      <c r="D98" s="8"/>
      <c r="E98" s="8"/>
      <c r="F98" s="7">
        <f>IF($D98="","",IF(AND(LEN(TRIM(UPPER(E98)))=10,CODE(MID(TRIM(UPPER(E98)),1,1))&gt;=65,CODE(MID(TRIM(UPPER(E98)),1,1))&lt;=90,CODE(MID(TRIM(UPPER(E98)),2,1))&gt;=65,CODE(MID(TRIM(UPPER(E98)),2,1))&lt;=90,CODE(MID(TRIM(UPPER(E98)),3,1))&gt;=65,CODE(MID(TRIM(UPPER(E98)),3,1))&lt;=90,CODE(MID(TRIM(UPPER(E98)),4,1))&gt;=65,CODE(MID(TRIM(UPPER(E98)),4,1))&lt;=90,CODE(MID(TRIM(UPPER(E98)),5,1))&gt;=65,CODE(MID(TRIM(UPPER(E98)),5,1))&lt;=90,CODE(MID(TRIM(UPPER(E98)),10,1))&gt;=65,CODE(MID(TRIM(UPPER(E98)),10,1))&lt;=90,CODE(MID(TRIM(UPPER(E98)),6,1))&gt;=48,CODE(MID(TRIM(UPPER(E98)),6,1))&lt;=57,CODE(MID(TRIM(UPPER(E98)),7,1))&gt;=48,CODE(MID(TRIM(UPPER(E98)),7,1))&lt;=57,CODE(MID(TRIM(UPPER(E98)),8,1))&gt;=48,CODE(MID(TRIM(UPPER(E98)),8,1))&lt;=57,CODE(MID(TRIM(UPPER(E98)),9,1))&gt;=48,CODE(MID(TRIM(UPPER(E98)),9,1))&lt;=57),"N","Y"))</f>
      </c>
      <c r="G98" s="7">
        <f>IF($D98="","",IF(LEN(E98)&lt;4,"",IF(UPPER(MID(E98,4,1))="P","Individual",IF(UPPER(MID(E98,4,1))="H","HUF",IF(UPPER(MID(E98,4,1))="C","Company",IF(UPPER(MID(E98,4,1))="F","Firm",IF(UPPER(MID(E98,4,1))="L","LLP",IF(UPPER(MID(E98,4,1))="T","Trust",IF(UPPER(MID(E98,4,1))="A","AOP","")))))))))</f>
      </c>
      <c r="H98" s="8"/>
      <c r="I98" s="7">
        <f>IF($D98="","",IF(H98="","",IF(F98="Y",SUMPRODUCT(('Rate Lookup'!$A$1:$A$37=H98)*'Rate Lookup'!$D$1:$D$37),IF(OR(G98="Individual",G98="HUF"),SUMPRODUCT(('Rate Lookup'!$A$1:$A$37=H98)*'Rate Lookup'!$B$1:$B$37),SUMPRODUCT(('Rate Lookup'!$A$1:$A$37=H98)*'Rate Lookup'!$C$1:$C$37)))))</f>
      </c>
      <c r="J98" s="8"/>
      <c r="K98" s="8"/>
      <c r="L98" s="7">
        <f>IF($D98="","",ROUND(K98*I98/100,0))</f>
      </c>
      <c r="M98" s="7">
        <f>IF($D98="","",0)</f>
      </c>
      <c r="N98" s="7">
        <f>IF($D98="","",0)</f>
      </c>
      <c r="O98" s="7">
        <f>IF($D98="","",IF(OR(L98=0,J98="",IFERROR(INDEX('Challan Master'!$D$4:$D$207,MATCH($B98,'Challan Master'!$S$4:$S$207,0)),"")="",IFERROR(INDEX('Challan Master'!$D$4:$D$207,MATCH($B98,'Challan Master'!$S$4:$S$207,0)),"")&lt;=0),0,IF(IFERROR(INDEX('Challan Master'!$D$4:$D$207,MATCH($B98,'Challan Master'!$S$4:$S$207,0)),"")&lt;=DATE(YEAR(J98),MONTH(J98)+1,7),0,ROUND(L98*0.015*((YEAR(IFERROR(INDEX('Challan Master'!$D$4:$D$207,MATCH($B98,'Challan Master'!$S$4:$S$207,0)),""))-YEAR(J98))*12+(MONTH(IFERROR(INDEX('Challan Master'!$D$4:$D$207,MATCH($B98,'Challan Master'!$S$4:$S$207,0)),""))-MONTH(J98))+1),0))))</f>
      </c>
      <c r="P98" s="7">
        <f>IF($D98="","",0)</f>
      </c>
      <c r="Q98" s="8"/>
      <c r="R98" s="8"/>
      <c r="S98" s="8"/>
      <c r="T98" s="8"/>
      <c r="U98" s="8"/>
      <c r="V98" s="7">
        <f>IF($B98="","",IFERROR(INDEX('Challan Master'!$AA$4:$AA$207,MATCH($B98,'Challan Master'!$S$4:$S$207,0)),""))</f>
      </c>
    </row>
    <row r="99" spans="1:22" x14ac:dyDescent="0.25">
      <c r="A99" s="7">
        <f>IF($D99="","",COUNTIF($D$4:$D99,"&lt;&gt;"))</f>
      </c>
      <c r="B99" s="8"/>
      <c r="C99" s="7">
        <f>IF($B99="","","BSR "&amp;IFERROR(INDEX('Challan Master'!$B$4:$B$207,MATCH($B99,'Challan Master'!$S$4:$S$207,0)),"")&amp;" | Serial "&amp;IFERROR(INDEX('Challan Master'!$C$4:$C$207,MATCH($B99,'Challan Master'!$S$4:$S$207,0)),"")&amp;" | Deposit "&amp;TEXT(IFERROR(INDEX('Challan Master'!$D$4:$D$207,MATCH($B99,'Challan Master'!$S$4:$S$207,0)),""),"dd-mm-yyyy")&amp;" | Minor Head "&amp;IFERROR(INDEX('Challan Master'!$E$4:$E$207,MATCH($B99,'Challan Master'!$S$4:$S$207,0)),"")&amp;" | Tax ₹"&amp;TEXT(IFERROR(INDEX('Challan Master'!$G$4:$G$207,MATCH($B99,'Challan Master'!$S$4:$S$207,0)),""),"#,##0")&amp;" | Section "&amp;IFERROR(INDEX('Challan Master'!$F$4:$F$207,MATCH($B99,'Challan Master'!$S$4:$S$207,0)),""))</f>
      </c>
      <c r="D99" s="8"/>
      <c r="E99" s="8"/>
      <c r="F99" s="7">
        <f>IF($D99="","",IF(AND(LEN(TRIM(UPPER(E99)))=10,CODE(MID(TRIM(UPPER(E99)),1,1))&gt;=65,CODE(MID(TRIM(UPPER(E99)),1,1))&lt;=90,CODE(MID(TRIM(UPPER(E99)),2,1))&gt;=65,CODE(MID(TRIM(UPPER(E99)),2,1))&lt;=90,CODE(MID(TRIM(UPPER(E99)),3,1))&gt;=65,CODE(MID(TRIM(UPPER(E99)),3,1))&lt;=90,CODE(MID(TRIM(UPPER(E99)),4,1))&gt;=65,CODE(MID(TRIM(UPPER(E99)),4,1))&lt;=90,CODE(MID(TRIM(UPPER(E99)),5,1))&gt;=65,CODE(MID(TRIM(UPPER(E99)),5,1))&lt;=90,CODE(MID(TRIM(UPPER(E99)),10,1))&gt;=65,CODE(MID(TRIM(UPPER(E99)),10,1))&lt;=90,CODE(MID(TRIM(UPPER(E99)),6,1))&gt;=48,CODE(MID(TRIM(UPPER(E99)),6,1))&lt;=57,CODE(MID(TRIM(UPPER(E99)),7,1))&gt;=48,CODE(MID(TRIM(UPPER(E99)),7,1))&lt;=57,CODE(MID(TRIM(UPPER(E99)),8,1))&gt;=48,CODE(MID(TRIM(UPPER(E99)),8,1))&lt;=57,CODE(MID(TRIM(UPPER(E99)),9,1))&gt;=48,CODE(MID(TRIM(UPPER(E99)),9,1))&lt;=57),"N","Y"))</f>
      </c>
      <c r="G99" s="7">
        <f>IF($D99="","",IF(LEN(E99)&lt;4,"",IF(UPPER(MID(E99,4,1))="P","Individual",IF(UPPER(MID(E99,4,1))="H","HUF",IF(UPPER(MID(E99,4,1))="C","Company",IF(UPPER(MID(E99,4,1))="F","Firm",IF(UPPER(MID(E99,4,1))="L","LLP",IF(UPPER(MID(E99,4,1))="T","Trust",IF(UPPER(MID(E99,4,1))="A","AOP","")))))))))</f>
      </c>
      <c r="H99" s="8"/>
      <c r="I99" s="7">
        <f>IF($D99="","",IF(H99="","",IF(F99="Y",SUMPRODUCT(('Rate Lookup'!$A$1:$A$37=H99)*'Rate Lookup'!$D$1:$D$37),IF(OR(G99="Individual",G99="HUF"),SUMPRODUCT(('Rate Lookup'!$A$1:$A$37=H99)*'Rate Lookup'!$B$1:$B$37),SUMPRODUCT(('Rate Lookup'!$A$1:$A$37=H99)*'Rate Lookup'!$C$1:$C$37)))))</f>
      </c>
      <c r="J99" s="8"/>
      <c r="K99" s="8"/>
      <c r="L99" s="7">
        <f>IF($D99="","",ROUND(K99*I99/100,0))</f>
      </c>
      <c r="M99" s="7">
        <f>IF($D99="","",0)</f>
      </c>
      <c r="N99" s="7">
        <f>IF($D99="","",0)</f>
      </c>
      <c r="O99" s="7">
        <f>IF($D99="","",IF(OR(L99=0,J99="",IFERROR(INDEX('Challan Master'!$D$4:$D$207,MATCH($B99,'Challan Master'!$S$4:$S$207,0)),"")="",IFERROR(INDEX('Challan Master'!$D$4:$D$207,MATCH($B99,'Challan Master'!$S$4:$S$207,0)),"")&lt;=0),0,IF(IFERROR(INDEX('Challan Master'!$D$4:$D$207,MATCH($B99,'Challan Master'!$S$4:$S$207,0)),"")&lt;=DATE(YEAR(J99),MONTH(J99)+1,7),0,ROUND(L99*0.015*((YEAR(IFERROR(INDEX('Challan Master'!$D$4:$D$207,MATCH($B99,'Challan Master'!$S$4:$S$207,0)),""))-YEAR(J99))*12+(MONTH(IFERROR(INDEX('Challan Master'!$D$4:$D$207,MATCH($B99,'Challan Master'!$S$4:$S$207,0)),""))-MONTH(J99))+1),0))))</f>
      </c>
      <c r="P99" s="7">
        <f>IF($D99="","",0)</f>
      </c>
      <c r="Q99" s="8"/>
      <c r="R99" s="8"/>
      <c r="S99" s="8"/>
      <c r="T99" s="8"/>
      <c r="U99" s="8"/>
      <c r="V99" s="7">
        <f>IF($B99="","",IFERROR(INDEX('Challan Master'!$AA$4:$AA$207,MATCH($B99,'Challan Master'!$S$4:$S$207,0)),""))</f>
      </c>
    </row>
    <row r="100" spans="1:22" x14ac:dyDescent="0.25">
      <c r="A100" s="7">
        <f>IF($D100="","",COUNTIF($D$4:$D100,"&lt;&gt;"))</f>
      </c>
      <c r="B100" s="8"/>
      <c r="C100" s="7">
        <f>IF($B100="","","BSR "&amp;IFERROR(INDEX('Challan Master'!$B$4:$B$207,MATCH($B100,'Challan Master'!$S$4:$S$207,0)),"")&amp;" | Serial "&amp;IFERROR(INDEX('Challan Master'!$C$4:$C$207,MATCH($B100,'Challan Master'!$S$4:$S$207,0)),"")&amp;" | Deposit "&amp;TEXT(IFERROR(INDEX('Challan Master'!$D$4:$D$207,MATCH($B100,'Challan Master'!$S$4:$S$207,0)),""),"dd-mm-yyyy")&amp;" | Minor Head "&amp;IFERROR(INDEX('Challan Master'!$E$4:$E$207,MATCH($B100,'Challan Master'!$S$4:$S$207,0)),"")&amp;" | Tax ₹"&amp;TEXT(IFERROR(INDEX('Challan Master'!$G$4:$G$207,MATCH($B100,'Challan Master'!$S$4:$S$207,0)),""),"#,##0")&amp;" | Section "&amp;IFERROR(INDEX('Challan Master'!$F$4:$F$207,MATCH($B100,'Challan Master'!$S$4:$S$207,0)),""))</f>
      </c>
      <c r="D100" s="8"/>
      <c r="E100" s="8"/>
      <c r="F100" s="7">
        <f>IF($D100="","",IF(AND(LEN(TRIM(UPPER(E100)))=10,CODE(MID(TRIM(UPPER(E100)),1,1))&gt;=65,CODE(MID(TRIM(UPPER(E100)),1,1))&lt;=90,CODE(MID(TRIM(UPPER(E100)),2,1))&gt;=65,CODE(MID(TRIM(UPPER(E100)),2,1))&lt;=90,CODE(MID(TRIM(UPPER(E100)),3,1))&gt;=65,CODE(MID(TRIM(UPPER(E100)),3,1))&lt;=90,CODE(MID(TRIM(UPPER(E100)),4,1))&gt;=65,CODE(MID(TRIM(UPPER(E100)),4,1))&lt;=90,CODE(MID(TRIM(UPPER(E100)),5,1))&gt;=65,CODE(MID(TRIM(UPPER(E100)),5,1))&lt;=90,CODE(MID(TRIM(UPPER(E100)),10,1))&gt;=65,CODE(MID(TRIM(UPPER(E100)),10,1))&lt;=90,CODE(MID(TRIM(UPPER(E100)),6,1))&gt;=48,CODE(MID(TRIM(UPPER(E100)),6,1))&lt;=57,CODE(MID(TRIM(UPPER(E100)),7,1))&gt;=48,CODE(MID(TRIM(UPPER(E100)),7,1))&lt;=57,CODE(MID(TRIM(UPPER(E100)),8,1))&gt;=48,CODE(MID(TRIM(UPPER(E100)),8,1))&lt;=57,CODE(MID(TRIM(UPPER(E100)),9,1))&gt;=48,CODE(MID(TRIM(UPPER(E100)),9,1))&lt;=57),"N","Y"))</f>
      </c>
      <c r="G100" s="7">
        <f>IF($D100="","",IF(LEN(E100)&lt;4,"",IF(UPPER(MID(E100,4,1))="P","Individual",IF(UPPER(MID(E100,4,1))="H","HUF",IF(UPPER(MID(E100,4,1))="C","Company",IF(UPPER(MID(E100,4,1))="F","Firm",IF(UPPER(MID(E100,4,1))="L","LLP",IF(UPPER(MID(E100,4,1))="T","Trust",IF(UPPER(MID(E100,4,1))="A","AOP","")))))))))</f>
      </c>
      <c r="H100" s="8"/>
      <c r="I100" s="7">
        <f>IF($D100="","",IF(H100="","",IF(F100="Y",SUMPRODUCT(('Rate Lookup'!$A$1:$A$37=H100)*'Rate Lookup'!$D$1:$D$37),IF(OR(G100="Individual",G100="HUF"),SUMPRODUCT(('Rate Lookup'!$A$1:$A$37=H100)*'Rate Lookup'!$B$1:$B$37),SUMPRODUCT(('Rate Lookup'!$A$1:$A$37=H100)*'Rate Lookup'!$C$1:$C$37)))))</f>
      </c>
      <c r="J100" s="8"/>
      <c r="K100" s="8"/>
      <c r="L100" s="7">
        <f>IF($D100="","",ROUND(K100*I100/100,0))</f>
      </c>
      <c r="M100" s="7">
        <f>IF($D100="","",0)</f>
      </c>
      <c r="N100" s="7">
        <f>IF($D100="","",0)</f>
      </c>
      <c r="O100" s="7">
        <f>IF($D100="","",IF(OR(L100=0,J100="",IFERROR(INDEX('Challan Master'!$D$4:$D$207,MATCH($B100,'Challan Master'!$S$4:$S$207,0)),"")="",IFERROR(INDEX('Challan Master'!$D$4:$D$207,MATCH($B100,'Challan Master'!$S$4:$S$207,0)),"")&lt;=0),0,IF(IFERROR(INDEX('Challan Master'!$D$4:$D$207,MATCH($B100,'Challan Master'!$S$4:$S$207,0)),"")&lt;=DATE(YEAR(J100),MONTH(J100)+1,7),0,ROUND(L100*0.015*((YEAR(IFERROR(INDEX('Challan Master'!$D$4:$D$207,MATCH($B100,'Challan Master'!$S$4:$S$207,0)),""))-YEAR(J100))*12+(MONTH(IFERROR(INDEX('Challan Master'!$D$4:$D$207,MATCH($B100,'Challan Master'!$S$4:$S$207,0)),""))-MONTH(J100))+1),0))))</f>
      </c>
      <c r="P100" s="7">
        <f>IF($D100="","",0)</f>
      </c>
      <c r="Q100" s="8"/>
      <c r="R100" s="8"/>
      <c r="S100" s="8"/>
      <c r="T100" s="8"/>
      <c r="U100" s="8"/>
      <c r="V100" s="7">
        <f>IF($B100="","",IFERROR(INDEX('Challan Master'!$AA$4:$AA$207,MATCH($B100,'Challan Master'!$S$4:$S$207,0)),""))</f>
      </c>
    </row>
    <row r="101" spans="1:22" x14ac:dyDescent="0.25">
      <c r="A101" s="7">
        <f>IF($D101="","",COUNTIF($D$4:$D101,"&lt;&gt;"))</f>
      </c>
      <c r="B101" s="8"/>
      <c r="C101" s="7">
        <f>IF($B101="","","BSR "&amp;IFERROR(INDEX('Challan Master'!$B$4:$B$207,MATCH($B101,'Challan Master'!$S$4:$S$207,0)),"")&amp;" | Serial "&amp;IFERROR(INDEX('Challan Master'!$C$4:$C$207,MATCH($B101,'Challan Master'!$S$4:$S$207,0)),"")&amp;" | Deposit "&amp;TEXT(IFERROR(INDEX('Challan Master'!$D$4:$D$207,MATCH($B101,'Challan Master'!$S$4:$S$207,0)),""),"dd-mm-yyyy")&amp;" | Minor Head "&amp;IFERROR(INDEX('Challan Master'!$E$4:$E$207,MATCH($B101,'Challan Master'!$S$4:$S$207,0)),"")&amp;" | Tax ₹"&amp;TEXT(IFERROR(INDEX('Challan Master'!$G$4:$G$207,MATCH($B101,'Challan Master'!$S$4:$S$207,0)),""),"#,##0")&amp;" | Section "&amp;IFERROR(INDEX('Challan Master'!$F$4:$F$207,MATCH($B101,'Challan Master'!$S$4:$S$207,0)),""))</f>
      </c>
      <c r="D101" s="8"/>
      <c r="E101" s="8"/>
      <c r="F101" s="7">
        <f>IF($D101="","",IF(AND(LEN(TRIM(UPPER(E101)))=10,CODE(MID(TRIM(UPPER(E101)),1,1))&gt;=65,CODE(MID(TRIM(UPPER(E101)),1,1))&lt;=90,CODE(MID(TRIM(UPPER(E101)),2,1))&gt;=65,CODE(MID(TRIM(UPPER(E101)),2,1))&lt;=90,CODE(MID(TRIM(UPPER(E101)),3,1))&gt;=65,CODE(MID(TRIM(UPPER(E101)),3,1))&lt;=90,CODE(MID(TRIM(UPPER(E101)),4,1))&gt;=65,CODE(MID(TRIM(UPPER(E101)),4,1))&lt;=90,CODE(MID(TRIM(UPPER(E101)),5,1))&gt;=65,CODE(MID(TRIM(UPPER(E101)),5,1))&lt;=90,CODE(MID(TRIM(UPPER(E101)),10,1))&gt;=65,CODE(MID(TRIM(UPPER(E101)),10,1))&lt;=90,CODE(MID(TRIM(UPPER(E101)),6,1))&gt;=48,CODE(MID(TRIM(UPPER(E101)),6,1))&lt;=57,CODE(MID(TRIM(UPPER(E101)),7,1))&gt;=48,CODE(MID(TRIM(UPPER(E101)),7,1))&lt;=57,CODE(MID(TRIM(UPPER(E101)),8,1))&gt;=48,CODE(MID(TRIM(UPPER(E101)),8,1))&lt;=57,CODE(MID(TRIM(UPPER(E101)),9,1))&gt;=48,CODE(MID(TRIM(UPPER(E101)),9,1))&lt;=57),"N","Y"))</f>
      </c>
      <c r="G101" s="7">
        <f>IF($D101="","",IF(LEN(E101)&lt;4,"",IF(UPPER(MID(E101,4,1))="P","Individual",IF(UPPER(MID(E101,4,1))="H","HUF",IF(UPPER(MID(E101,4,1))="C","Company",IF(UPPER(MID(E101,4,1))="F","Firm",IF(UPPER(MID(E101,4,1))="L","LLP",IF(UPPER(MID(E101,4,1))="T","Trust",IF(UPPER(MID(E101,4,1))="A","AOP","")))))))))</f>
      </c>
      <c r="H101" s="8"/>
      <c r="I101" s="7">
        <f>IF($D101="","",IF(H101="","",IF(F101="Y",SUMPRODUCT(('Rate Lookup'!$A$1:$A$37=H101)*'Rate Lookup'!$D$1:$D$37),IF(OR(G101="Individual",G101="HUF"),SUMPRODUCT(('Rate Lookup'!$A$1:$A$37=H101)*'Rate Lookup'!$B$1:$B$37),SUMPRODUCT(('Rate Lookup'!$A$1:$A$37=H101)*'Rate Lookup'!$C$1:$C$37)))))</f>
      </c>
      <c r="J101" s="8"/>
      <c r="K101" s="8"/>
      <c r="L101" s="7">
        <f>IF($D101="","",ROUND(K101*I101/100,0))</f>
      </c>
      <c r="M101" s="7">
        <f>IF($D101="","",0)</f>
      </c>
      <c r="N101" s="7">
        <f>IF($D101="","",0)</f>
      </c>
      <c r="O101" s="7">
        <f>IF($D101="","",IF(OR(L101=0,J101="",IFERROR(INDEX('Challan Master'!$D$4:$D$207,MATCH($B101,'Challan Master'!$S$4:$S$207,0)),"")="",IFERROR(INDEX('Challan Master'!$D$4:$D$207,MATCH($B101,'Challan Master'!$S$4:$S$207,0)),"")&lt;=0),0,IF(IFERROR(INDEX('Challan Master'!$D$4:$D$207,MATCH($B101,'Challan Master'!$S$4:$S$207,0)),"")&lt;=DATE(YEAR(J101),MONTH(J101)+1,7),0,ROUND(L101*0.015*((YEAR(IFERROR(INDEX('Challan Master'!$D$4:$D$207,MATCH($B101,'Challan Master'!$S$4:$S$207,0)),""))-YEAR(J101))*12+(MONTH(IFERROR(INDEX('Challan Master'!$D$4:$D$207,MATCH($B101,'Challan Master'!$S$4:$S$207,0)),""))-MONTH(J101))+1),0))))</f>
      </c>
      <c r="P101" s="7">
        <f>IF($D101="","",0)</f>
      </c>
      <c r="Q101" s="8"/>
      <c r="R101" s="8"/>
      <c r="S101" s="8"/>
      <c r="T101" s="8"/>
      <c r="U101" s="8"/>
      <c r="V101" s="7">
        <f>IF($B101="","",IFERROR(INDEX('Challan Master'!$AA$4:$AA$207,MATCH($B101,'Challan Master'!$S$4:$S$207,0)),""))</f>
      </c>
    </row>
    <row r="102" spans="1:22" x14ac:dyDescent="0.25">
      <c r="A102" s="7">
        <f>IF($D102="","",COUNTIF($D$4:$D102,"&lt;&gt;"))</f>
      </c>
      <c r="B102" s="8"/>
      <c r="C102" s="7">
        <f>IF($B102="","","BSR "&amp;IFERROR(INDEX('Challan Master'!$B$4:$B$207,MATCH($B102,'Challan Master'!$S$4:$S$207,0)),"")&amp;" | Serial "&amp;IFERROR(INDEX('Challan Master'!$C$4:$C$207,MATCH($B102,'Challan Master'!$S$4:$S$207,0)),"")&amp;" | Deposit "&amp;TEXT(IFERROR(INDEX('Challan Master'!$D$4:$D$207,MATCH($B102,'Challan Master'!$S$4:$S$207,0)),""),"dd-mm-yyyy")&amp;" | Minor Head "&amp;IFERROR(INDEX('Challan Master'!$E$4:$E$207,MATCH($B102,'Challan Master'!$S$4:$S$207,0)),"")&amp;" | Tax ₹"&amp;TEXT(IFERROR(INDEX('Challan Master'!$G$4:$G$207,MATCH($B102,'Challan Master'!$S$4:$S$207,0)),""),"#,##0")&amp;" | Section "&amp;IFERROR(INDEX('Challan Master'!$F$4:$F$207,MATCH($B102,'Challan Master'!$S$4:$S$207,0)),""))</f>
      </c>
      <c r="D102" s="8"/>
      <c r="E102" s="8"/>
      <c r="F102" s="7">
        <f>IF($D102="","",IF(AND(LEN(TRIM(UPPER(E102)))=10,CODE(MID(TRIM(UPPER(E102)),1,1))&gt;=65,CODE(MID(TRIM(UPPER(E102)),1,1))&lt;=90,CODE(MID(TRIM(UPPER(E102)),2,1))&gt;=65,CODE(MID(TRIM(UPPER(E102)),2,1))&lt;=90,CODE(MID(TRIM(UPPER(E102)),3,1))&gt;=65,CODE(MID(TRIM(UPPER(E102)),3,1))&lt;=90,CODE(MID(TRIM(UPPER(E102)),4,1))&gt;=65,CODE(MID(TRIM(UPPER(E102)),4,1))&lt;=90,CODE(MID(TRIM(UPPER(E102)),5,1))&gt;=65,CODE(MID(TRIM(UPPER(E102)),5,1))&lt;=90,CODE(MID(TRIM(UPPER(E102)),10,1))&gt;=65,CODE(MID(TRIM(UPPER(E102)),10,1))&lt;=90,CODE(MID(TRIM(UPPER(E102)),6,1))&gt;=48,CODE(MID(TRIM(UPPER(E102)),6,1))&lt;=57,CODE(MID(TRIM(UPPER(E102)),7,1))&gt;=48,CODE(MID(TRIM(UPPER(E102)),7,1))&lt;=57,CODE(MID(TRIM(UPPER(E102)),8,1))&gt;=48,CODE(MID(TRIM(UPPER(E102)),8,1))&lt;=57,CODE(MID(TRIM(UPPER(E102)),9,1))&gt;=48,CODE(MID(TRIM(UPPER(E102)),9,1))&lt;=57),"N","Y"))</f>
      </c>
      <c r="G102" s="7">
        <f>IF($D102="","",IF(LEN(E102)&lt;4,"",IF(UPPER(MID(E102,4,1))="P","Individual",IF(UPPER(MID(E102,4,1))="H","HUF",IF(UPPER(MID(E102,4,1))="C","Company",IF(UPPER(MID(E102,4,1))="F","Firm",IF(UPPER(MID(E102,4,1))="L","LLP",IF(UPPER(MID(E102,4,1))="T","Trust",IF(UPPER(MID(E102,4,1))="A","AOP","")))))))))</f>
      </c>
      <c r="H102" s="8"/>
      <c r="I102" s="7">
        <f>IF($D102="","",IF(H102="","",IF(F102="Y",SUMPRODUCT(('Rate Lookup'!$A$1:$A$37=H102)*'Rate Lookup'!$D$1:$D$37),IF(OR(G102="Individual",G102="HUF"),SUMPRODUCT(('Rate Lookup'!$A$1:$A$37=H102)*'Rate Lookup'!$B$1:$B$37),SUMPRODUCT(('Rate Lookup'!$A$1:$A$37=H102)*'Rate Lookup'!$C$1:$C$37)))))</f>
      </c>
      <c r="J102" s="8"/>
      <c r="K102" s="8"/>
      <c r="L102" s="7">
        <f>IF($D102="","",ROUND(K102*I102/100,0))</f>
      </c>
      <c r="M102" s="7">
        <f>IF($D102="","",0)</f>
      </c>
      <c r="N102" s="7">
        <f>IF($D102="","",0)</f>
      </c>
      <c r="O102" s="7">
        <f>IF($D102="","",IF(OR(L102=0,J102="",IFERROR(INDEX('Challan Master'!$D$4:$D$207,MATCH($B102,'Challan Master'!$S$4:$S$207,0)),"")="",IFERROR(INDEX('Challan Master'!$D$4:$D$207,MATCH($B102,'Challan Master'!$S$4:$S$207,0)),"")&lt;=0),0,IF(IFERROR(INDEX('Challan Master'!$D$4:$D$207,MATCH($B102,'Challan Master'!$S$4:$S$207,0)),"")&lt;=DATE(YEAR(J102),MONTH(J102)+1,7),0,ROUND(L102*0.015*((YEAR(IFERROR(INDEX('Challan Master'!$D$4:$D$207,MATCH($B102,'Challan Master'!$S$4:$S$207,0)),""))-YEAR(J102))*12+(MONTH(IFERROR(INDEX('Challan Master'!$D$4:$D$207,MATCH($B102,'Challan Master'!$S$4:$S$207,0)),""))-MONTH(J102))+1),0))))</f>
      </c>
      <c r="P102" s="7">
        <f>IF($D102="","",0)</f>
      </c>
      <c r="Q102" s="8"/>
      <c r="R102" s="8"/>
      <c r="S102" s="8"/>
      <c r="T102" s="8"/>
      <c r="U102" s="8"/>
      <c r="V102" s="7">
        <f>IF($B102="","",IFERROR(INDEX('Challan Master'!$AA$4:$AA$207,MATCH($B102,'Challan Master'!$S$4:$S$207,0)),""))</f>
      </c>
    </row>
    <row r="103" spans="1:22" x14ac:dyDescent="0.25">
      <c r="A103" s="7">
        <f>IF($D103="","",COUNTIF($D$4:$D103,"&lt;&gt;"))</f>
      </c>
      <c r="B103" s="8"/>
      <c r="C103" s="7">
        <f>IF($B103="","","BSR "&amp;IFERROR(INDEX('Challan Master'!$B$4:$B$207,MATCH($B103,'Challan Master'!$S$4:$S$207,0)),"")&amp;" | Serial "&amp;IFERROR(INDEX('Challan Master'!$C$4:$C$207,MATCH($B103,'Challan Master'!$S$4:$S$207,0)),"")&amp;" | Deposit "&amp;TEXT(IFERROR(INDEX('Challan Master'!$D$4:$D$207,MATCH($B103,'Challan Master'!$S$4:$S$207,0)),""),"dd-mm-yyyy")&amp;" | Minor Head "&amp;IFERROR(INDEX('Challan Master'!$E$4:$E$207,MATCH($B103,'Challan Master'!$S$4:$S$207,0)),"")&amp;" | Tax ₹"&amp;TEXT(IFERROR(INDEX('Challan Master'!$G$4:$G$207,MATCH($B103,'Challan Master'!$S$4:$S$207,0)),""),"#,##0")&amp;" | Section "&amp;IFERROR(INDEX('Challan Master'!$F$4:$F$207,MATCH($B103,'Challan Master'!$S$4:$S$207,0)),""))</f>
      </c>
      <c r="D103" s="8"/>
      <c r="E103" s="8"/>
      <c r="F103" s="7">
        <f>IF($D103="","",IF(AND(LEN(TRIM(UPPER(E103)))=10,CODE(MID(TRIM(UPPER(E103)),1,1))&gt;=65,CODE(MID(TRIM(UPPER(E103)),1,1))&lt;=90,CODE(MID(TRIM(UPPER(E103)),2,1))&gt;=65,CODE(MID(TRIM(UPPER(E103)),2,1))&lt;=90,CODE(MID(TRIM(UPPER(E103)),3,1))&gt;=65,CODE(MID(TRIM(UPPER(E103)),3,1))&lt;=90,CODE(MID(TRIM(UPPER(E103)),4,1))&gt;=65,CODE(MID(TRIM(UPPER(E103)),4,1))&lt;=90,CODE(MID(TRIM(UPPER(E103)),5,1))&gt;=65,CODE(MID(TRIM(UPPER(E103)),5,1))&lt;=90,CODE(MID(TRIM(UPPER(E103)),10,1))&gt;=65,CODE(MID(TRIM(UPPER(E103)),10,1))&lt;=90,CODE(MID(TRIM(UPPER(E103)),6,1))&gt;=48,CODE(MID(TRIM(UPPER(E103)),6,1))&lt;=57,CODE(MID(TRIM(UPPER(E103)),7,1))&gt;=48,CODE(MID(TRIM(UPPER(E103)),7,1))&lt;=57,CODE(MID(TRIM(UPPER(E103)),8,1))&gt;=48,CODE(MID(TRIM(UPPER(E103)),8,1))&lt;=57,CODE(MID(TRIM(UPPER(E103)),9,1))&gt;=48,CODE(MID(TRIM(UPPER(E103)),9,1))&lt;=57),"N","Y"))</f>
      </c>
      <c r="G103" s="7">
        <f>IF($D103="","",IF(LEN(E103)&lt;4,"",IF(UPPER(MID(E103,4,1))="P","Individual",IF(UPPER(MID(E103,4,1))="H","HUF",IF(UPPER(MID(E103,4,1))="C","Company",IF(UPPER(MID(E103,4,1))="F","Firm",IF(UPPER(MID(E103,4,1))="L","LLP",IF(UPPER(MID(E103,4,1))="T","Trust",IF(UPPER(MID(E103,4,1))="A","AOP","")))))))))</f>
      </c>
      <c r="H103" s="8"/>
      <c r="I103" s="7">
        <f>IF($D103="","",IF(H103="","",IF(F103="Y",SUMPRODUCT(('Rate Lookup'!$A$1:$A$37=H103)*'Rate Lookup'!$D$1:$D$37),IF(OR(G103="Individual",G103="HUF"),SUMPRODUCT(('Rate Lookup'!$A$1:$A$37=H103)*'Rate Lookup'!$B$1:$B$37),SUMPRODUCT(('Rate Lookup'!$A$1:$A$37=H103)*'Rate Lookup'!$C$1:$C$37)))))</f>
      </c>
      <c r="J103" s="8"/>
      <c r="K103" s="8"/>
      <c r="L103" s="7">
        <f>IF($D103="","",ROUND(K103*I103/100,0))</f>
      </c>
      <c r="M103" s="7">
        <f>IF($D103="","",0)</f>
      </c>
      <c r="N103" s="7">
        <f>IF($D103="","",0)</f>
      </c>
      <c r="O103" s="7">
        <f>IF($D103="","",IF(OR(L103=0,J103="",IFERROR(INDEX('Challan Master'!$D$4:$D$207,MATCH($B103,'Challan Master'!$S$4:$S$207,0)),"")="",IFERROR(INDEX('Challan Master'!$D$4:$D$207,MATCH($B103,'Challan Master'!$S$4:$S$207,0)),"")&lt;=0),0,IF(IFERROR(INDEX('Challan Master'!$D$4:$D$207,MATCH($B103,'Challan Master'!$S$4:$S$207,0)),"")&lt;=DATE(YEAR(J103),MONTH(J103)+1,7),0,ROUND(L103*0.015*((YEAR(IFERROR(INDEX('Challan Master'!$D$4:$D$207,MATCH($B103,'Challan Master'!$S$4:$S$207,0)),""))-YEAR(J103))*12+(MONTH(IFERROR(INDEX('Challan Master'!$D$4:$D$207,MATCH($B103,'Challan Master'!$S$4:$S$207,0)),""))-MONTH(J103))+1),0))))</f>
      </c>
      <c r="P103" s="7">
        <f>IF($D103="","",0)</f>
      </c>
      <c r="Q103" s="8"/>
      <c r="R103" s="8"/>
      <c r="S103" s="8"/>
      <c r="T103" s="8"/>
      <c r="U103" s="8"/>
      <c r="V103" s="7">
        <f>IF($B103="","",IFERROR(INDEX('Challan Master'!$AA$4:$AA$207,MATCH($B103,'Challan Master'!$S$4:$S$207,0)),""))</f>
      </c>
    </row>
    <row r="104" spans="1:22" x14ac:dyDescent="0.25">
      <c r="A104" s="7">
        <f>IF($D104="","",COUNTIF($D$4:$D104,"&lt;&gt;"))</f>
      </c>
      <c r="B104" s="8"/>
      <c r="C104" s="7">
        <f>IF($B104="","","BSR "&amp;IFERROR(INDEX('Challan Master'!$B$4:$B$207,MATCH($B104,'Challan Master'!$S$4:$S$207,0)),"")&amp;" | Serial "&amp;IFERROR(INDEX('Challan Master'!$C$4:$C$207,MATCH($B104,'Challan Master'!$S$4:$S$207,0)),"")&amp;" | Deposit "&amp;TEXT(IFERROR(INDEX('Challan Master'!$D$4:$D$207,MATCH($B104,'Challan Master'!$S$4:$S$207,0)),""),"dd-mm-yyyy")&amp;" | Minor Head "&amp;IFERROR(INDEX('Challan Master'!$E$4:$E$207,MATCH($B104,'Challan Master'!$S$4:$S$207,0)),"")&amp;" | Tax ₹"&amp;TEXT(IFERROR(INDEX('Challan Master'!$G$4:$G$207,MATCH($B104,'Challan Master'!$S$4:$S$207,0)),""),"#,##0")&amp;" | Section "&amp;IFERROR(INDEX('Challan Master'!$F$4:$F$207,MATCH($B104,'Challan Master'!$S$4:$S$207,0)),""))</f>
      </c>
      <c r="D104" s="8"/>
      <c r="E104" s="8"/>
      <c r="F104" s="7">
        <f>IF($D104="","",IF(AND(LEN(TRIM(UPPER(E104)))=10,CODE(MID(TRIM(UPPER(E104)),1,1))&gt;=65,CODE(MID(TRIM(UPPER(E104)),1,1))&lt;=90,CODE(MID(TRIM(UPPER(E104)),2,1))&gt;=65,CODE(MID(TRIM(UPPER(E104)),2,1))&lt;=90,CODE(MID(TRIM(UPPER(E104)),3,1))&gt;=65,CODE(MID(TRIM(UPPER(E104)),3,1))&lt;=90,CODE(MID(TRIM(UPPER(E104)),4,1))&gt;=65,CODE(MID(TRIM(UPPER(E104)),4,1))&lt;=90,CODE(MID(TRIM(UPPER(E104)),5,1))&gt;=65,CODE(MID(TRIM(UPPER(E104)),5,1))&lt;=90,CODE(MID(TRIM(UPPER(E104)),10,1))&gt;=65,CODE(MID(TRIM(UPPER(E104)),10,1))&lt;=90,CODE(MID(TRIM(UPPER(E104)),6,1))&gt;=48,CODE(MID(TRIM(UPPER(E104)),6,1))&lt;=57,CODE(MID(TRIM(UPPER(E104)),7,1))&gt;=48,CODE(MID(TRIM(UPPER(E104)),7,1))&lt;=57,CODE(MID(TRIM(UPPER(E104)),8,1))&gt;=48,CODE(MID(TRIM(UPPER(E104)),8,1))&lt;=57,CODE(MID(TRIM(UPPER(E104)),9,1))&gt;=48,CODE(MID(TRIM(UPPER(E104)),9,1))&lt;=57),"N","Y"))</f>
      </c>
      <c r="G104" s="7">
        <f>IF($D104="","",IF(LEN(E104)&lt;4,"",IF(UPPER(MID(E104,4,1))="P","Individual",IF(UPPER(MID(E104,4,1))="H","HUF",IF(UPPER(MID(E104,4,1))="C","Company",IF(UPPER(MID(E104,4,1))="F","Firm",IF(UPPER(MID(E104,4,1))="L","LLP",IF(UPPER(MID(E104,4,1))="T","Trust",IF(UPPER(MID(E104,4,1))="A","AOP","")))))))))</f>
      </c>
      <c r="H104" s="8"/>
      <c r="I104" s="7">
        <f>IF($D104="","",IF(H104="","",IF(F104="Y",SUMPRODUCT(('Rate Lookup'!$A$1:$A$37=H104)*'Rate Lookup'!$D$1:$D$37),IF(OR(G104="Individual",G104="HUF"),SUMPRODUCT(('Rate Lookup'!$A$1:$A$37=H104)*'Rate Lookup'!$B$1:$B$37),SUMPRODUCT(('Rate Lookup'!$A$1:$A$37=H104)*'Rate Lookup'!$C$1:$C$37)))))</f>
      </c>
      <c r="J104" s="8"/>
      <c r="K104" s="8"/>
      <c r="L104" s="7">
        <f>IF($D104="","",ROUND(K104*I104/100,0))</f>
      </c>
      <c r="M104" s="7">
        <f>IF($D104="","",0)</f>
      </c>
      <c r="N104" s="7">
        <f>IF($D104="","",0)</f>
      </c>
      <c r="O104" s="7">
        <f>IF($D104="","",IF(OR(L104=0,J104="",IFERROR(INDEX('Challan Master'!$D$4:$D$207,MATCH($B104,'Challan Master'!$S$4:$S$207,0)),"")="",IFERROR(INDEX('Challan Master'!$D$4:$D$207,MATCH($B104,'Challan Master'!$S$4:$S$207,0)),"")&lt;=0),0,IF(IFERROR(INDEX('Challan Master'!$D$4:$D$207,MATCH($B104,'Challan Master'!$S$4:$S$207,0)),"")&lt;=DATE(YEAR(J104),MONTH(J104)+1,7),0,ROUND(L104*0.015*((YEAR(IFERROR(INDEX('Challan Master'!$D$4:$D$207,MATCH($B104,'Challan Master'!$S$4:$S$207,0)),""))-YEAR(J104))*12+(MONTH(IFERROR(INDEX('Challan Master'!$D$4:$D$207,MATCH($B104,'Challan Master'!$S$4:$S$207,0)),""))-MONTH(J104))+1),0))))</f>
      </c>
      <c r="P104" s="7">
        <f>IF($D104="","",0)</f>
      </c>
      <c r="Q104" s="8"/>
      <c r="R104" s="8"/>
      <c r="S104" s="8"/>
      <c r="T104" s="8"/>
      <c r="U104" s="8"/>
      <c r="V104" s="7">
        <f>IF($B104="","",IFERROR(INDEX('Challan Master'!$AA$4:$AA$207,MATCH($B104,'Challan Master'!$S$4:$S$207,0)),""))</f>
      </c>
    </row>
    <row r="105" spans="1:22" x14ac:dyDescent="0.25">
      <c r="A105" s="7">
        <f>IF($D105="","",COUNTIF($D$4:$D105,"&lt;&gt;"))</f>
      </c>
      <c r="B105" s="8"/>
      <c r="C105" s="7">
        <f>IF($B105="","","BSR "&amp;IFERROR(INDEX('Challan Master'!$B$4:$B$207,MATCH($B105,'Challan Master'!$S$4:$S$207,0)),"")&amp;" | Serial "&amp;IFERROR(INDEX('Challan Master'!$C$4:$C$207,MATCH($B105,'Challan Master'!$S$4:$S$207,0)),"")&amp;" | Deposit "&amp;TEXT(IFERROR(INDEX('Challan Master'!$D$4:$D$207,MATCH($B105,'Challan Master'!$S$4:$S$207,0)),""),"dd-mm-yyyy")&amp;" | Minor Head "&amp;IFERROR(INDEX('Challan Master'!$E$4:$E$207,MATCH($B105,'Challan Master'!$S$4:$S$207,0)),"")&amp;" | Tax ₹"&amp;TEXT(IFERROR(INDEX('Challan Master'!$G$4:$G$207,MATCH($B105,'Challan Master'!$S$4:$S$207,0)),""),"#,##0")&amp;" | Section "&amp;IFERROR(INDEX('Challan Master'!$F$4:$F$207,MATCH($B105,'Challan Master'!$S$4:$S$207,0)),""))</f>
      </c>
      <c r="D105" s="8"/>
      <c r="E105" s="8"/>
      <c r="F105" s="7">
        <f>IF($D105="","",IF(AND(LEN(TRIM(UPPER(E105)))=10,CODE(MID(TRIM(UPPER(E105)),1,1))&gt;=65,CODE(MID(TRIM(UPPER(E105)),1,1))&lt;=90,CODE(MID(TRIM(UPPER(E105)),2,1))&gt;=65,CODE(MID(TRIM(UPPER(E105)),2,1))&lt;=90,CODE(MID(TRIM(UPPER(E105)),3,1))&gt;=65,CODE(MID(TRIM(UPPER(E105)),3,1))&lt;=90,CODE(MID(TRIM(UPPER(E105)),4,1))&gt;=65,CODE(MID(TRIM(UPPER(E105)),4,1))&lt;=90,CODE(MID(TRIM(UPPER(E105)),5,1))&gt;=65,CODE(MID(TRIM(UPPER(E105)),5,1))&lt;=90,CODE(MID(TRIM(UPPER(E105)),10,1))&gt;=65,CODE(MID(TRIM(UPPER(E105)),10,1))&lt;=90,CODE(MID(TRIM(UPPER(E105)),6,1))&gt;=48,CODE(MID(TRIM(UPPER(E105)),6,1))&lt;=57,CODE(MID(TRIM(UPPER(E105)),7,1))&gt;=48,CODE(MID(TRIM(UPPER(E105)),7,1))&lt;=57,CODE(MID(TRIM(UPPER(E105)),8,1))&gt;=48,CODE(MID(TRIM(UPPER(E105)),8,1))&lt;=57,CODE(MID(TRIM(UPPER(E105)),9,1))&gt;=48,CODE(MID(TRIM(UPPER(E105)),9,1))&lt;=57),"N","Y"))</f>
      </c>
      <c r="G105" s="7">
        <f>IF($D105="","",IF(LEN(E105)&lt;4,"",IF(UPPER(MID(E105,4,1))="P","Individual",IF(UPPER(MID(E105,4,1))="H","HUF",IF(UPPER(MID(E105,4,1))="C","Company",IF(UPPER(MID(E105,4,1))="F","Firm",IF(UPPER(MID(E105,4,1))="L","LLP",IF(UPPER(MID(E105,4,1))="T","Trust",IF(UPPER(MID(E105,4,1))="A","AOP","")))))))))</f>
      </c>
      <c r="H105" s="8"/>
      <c r="I105" s="7">
        <f>IF($D105="","",IF(H105="","",IF(F105="Y",SUMPRODUCT(('Rate Lookup'!$A$1:$A$37=H105)*'Rate Lookup'!$D$1:$D$37),IF(OR(G105="Individual",G105="HUF"),SUMPRODUCT(('Rate Lookup'!$A$1:$A$37=H105)*'Rate Lookup'!$B$1:$B$37),SUMPRODUCT(('Rate Lookup'!$A$1:$A$37=H105)*'Rate Lookup'!$C$1:$C$37)))))</f>
      </c>
      <c r="J105" s="8"/>
      <c r="K105" s="8"/>
      <c r="L105" s="7">
        <f>IF($D105="","",ROUND(K105*I105/100,0))</f>
      </c>
      <c r="M105" s="7">
        <f>IF($D105="","",0)</f>
      </c>
      <c r="N105" s="7">
        <f>IF($D105="","",0)</f>
      </c>
      <c r="O105" s="7">
        <f>IF($D105="","",IF(OR(L105=0,J105="",IFERROR(INDEX('Challan Master'!$D$4:$D$207,MATCH($B105,'Challan Master'!$S$4:$S$207,0)),"")="",IFERROR(INDEX('Challan Master'!$D$4:$D$207,MATCH($B105,'Challan Master'!$S$4:$S$207,0)),"")&lt;=0),0,IF(IFERROR(INDEX('Challan Master'!$D$4:$D$207,MATCH($B105,'Challan Master'!$S$4:$S$207,0)),"")&lt;=DATE(YEAR(J105),MONTH(J105)+1,7),0,ROUND(L105*0.015*((YEAR(IFERROR(INDEX('Challan Master'!$D$4:$D$207,MATCH($B105,'Challan Master'!$S$4:$S$207,0)),""))-YEAR(J105))*12+(MONTH(IFERROR(INDEX('Challan Master'!$D$4:$D$207,MATCH($B105,'Challan Master'!$S$4:$S$207,0)),""))-MONTH(J105))+1),0))))</f>
      </c>
      <c r="P105" s="7">
        <f>IF($D105="","",0)</f>
      </c>
      <c r="Q105" s="8"/>
      <c r="R105" s="8"/>
      <c r="S105" s="8"/>
      <c r="T105" s="8"/>
      <c r="U105" s="8"/>
      <c r="V105" s="7">
        <f>IF($B105="","",IFERROR(INDEX('Challan Master'!$AA$4:$AA$207,MATCH($B105,'Challan Master'!$S$4:$S$207,0)),""))</f>
      </c>
    </row>
    <row r="106" spans="1:22" x14ac:dyDescent="0.25">
      <c r="A106" s="7">
        <f>IF($D106="","",COUNTIF($D$4:$D106,"&lt;&gt;"))</f>
      </c>
      <c r="B106" s="8"/>
      <c r="C106" s="7">
        <f>IF($B106="","","BSR "&amp;IFERROR(INDEX('Challan Master'!$B$4:$B$207,MATCH($B106,'Challan Master'!$S$4:$S$207,0)),"")&amp;" | Serial "&amp;IFERROR(INDEX('Challan Master'!$C$4:$C$207,MATCH($B106,'Challan Master'!$S$4:$S$207,0)),"")&amp;" | Deposit "&amp;TEXT(IFERROR(INDEX('Challan Master'!$D$4:$D$207,MATCH($B106,'Challan Master'!$S$4:$S$207,0)),""),"dd-mm-yyyy")&amp;" | Minor Head "&amp;IFERROR(INDEX('Challan Master'!$E$4:$E$207,MATCH($B106,'Challan Master'!$S$4:$S$207,0)),"")&amp;" | Tax ₹"&amp;TEXT(IFERROR(INDEX('Challan Master'!$G$4:$G$207,MATCH($B106,'Challan Master'!$S$4:$S$207,0)),""),"#,##0")&amp;" | Section "&amp;IFERROR(INDEX('Challan Master'!$F$4:$F$207,MATCH($B106,'Challan Master'!$S$4:$S$207,0)),""))</f>
      </c>
      <c r="D106" s="8"/>
      <c r="E106" s="8"/>
      <c r="F106" s="7">
        <f>IF($D106="","",IF(AND(LEN(TRIM(UPPER(E106)))=10,CODE(MID(TRIM(UPPER(E106)),1,1))&gt;=65,CODE(MID(TRIM(UPPER(E106)),1,1))&lt;=90,CODE(MID(TRIM(UPPER(E106)),2,1))&gt;=65,CODE(MID(TRIM(UPPER(E106)),2,1))&lt;=90,CODE(MID(TRIM(UPPER(E106)),3,1))&gt;=65,CODE(MID(TRIM(UPPER(E106)),3,1))&lt;=90,CODE(MID(TRIM(UPPER(E106)),4,1))&gt;=65,CODE(MID(TRIM(UPPER(E106)),4,1))&lt;=90,CODE(MID(TRIM(UPPER(E106)),5,1))&gt;=65,CODE(MID(TRIM(UPPER(E106)),5,1))&lt;=90,CODE(MID(TRIM(UPPER(E106)),10,1))&gt;=65,CODE(MID(TRIM(UPPER(E106)),10,1))&lt;=90,CODE(MID(TRIM(UPPER(E106)),6,1))&gt;=48,CODE(MID(TRIM(UPPER(E106)),6,1))&lt;=57,CODE(MID(TRIM(UPPER(E106)),7,1))&gt;=48,CODE(MID(TRIM(UPPER(E106)),7,1))&lt;=57,CODE(MID(TRIM(UPPER(E106)),8,1))&gt;=48,CODE(MID(TRIM(UPPER(E106)),8,1))&lt;=57,CODE(MID(TRIM(UPPER(E106)),9,1))&gt;=48,CODE(MID(TRIM(UPPER(E106)),9,1))&lt;=57),"N","Y"))</f>
      </c>
      <c r="G106" s="7">
        <f>IF($D106="","",IF(LEN(E106)&lt;4,"",IF(UPPER(MID(E106,4,1))="P","Individual",IF(UPPER(MID(E106,4,1))="H","HUF",IF(UPPER(MID(E106,4,1))="C","Company",IF(UPPER(MID(E106,4,1))="F","Firm",IF(UPPER(MID(E106,4,1))="L","LLP",IF(UPPER(MID(E106,4,1))="T","Trust",IF(UPPER(MID(E106,4,1))="A","AOP","")))))))))</f>
      </c>
      <c r="H106" s="8"/>
      <c r="I106" s="7">
        <f>IF($D106="","",IF(H106="","",IF(F106="Y",SUMPRODUCT(('Rate Lookup'!$A$1:$A$37=H106)*'Rate Lookup'!$D$1:$D$37),IF(OR(G106="Individual",G106="HUF"),SUMPRODUCT(('Rate Lookup'!$A$1:$A$37=H106)*'Rate Lookup'!$B$1:$B$37),SUMPRODUCT(('Rate Lookup'!$A$1:$A$37=H106)*'Rate Lookup'!$C$1:$C$37)))))</f>
      </c>
      <c r="J106" s="8"/>
      <c r="K106" s="8"/>
      <c r="L106" s="7">
        <f>IF($D106="","",ROUND(K106*I106/100,0))</f>
      </c>
      <c r="M106" s="7">
        <f>IF($D106="","",0)</f>
      </c>
      <c r="N106" s="7">
        <f>IF($D106="","",0)</f>
      </c>
      <c r="O106" s="7">
        <f>IF($D106="","",IF(OR(L106=0,J106="",IFERROR(INDEX('Challan Master'!$D$4:$D$207,MATCH($B106,'Challan Master'!$S$4:$S$207,0)),"")="",IFERROR(INDEX('Challan Master'!$D$4:$D$207,MATCH($B106,'Challan Master'!$S$4:$S$207,0)),"")&lt;=0),0,IF(IFERROR(INDEX('Challan Master'!$D$4:$D$207,MATCH($B106,'Challan Master'!$S$4:$S$207,0)),"")&lt;=DATE(YEAR(J106),MONTH(J106)+1,7),0,ROUND(L106*0.015*((YEAR(IFERROR(INDEX('Challan Master'!$D$4:$D$207,MATCH($B106,'Challan Master'!$S$4:$S$207,0)),""))-YEAR(J106))*12+(MONTH(IFERROR(INDEX('Challan Master'!$D$4:$D$207,MATCH($B106,'Challan Master'!$S$4:$S$207,0)),""))-MONTH(J106))+1),0))))</f>
      </c>
      <c r="P106" s="7">
        <f>IF($D106="","",0)</f>
      </c>
      <c r="Q106" s="8"/>
      <c r="R106" s="8"/>
      <c r="S106" s="8"/>
      <c r="T106" s="8"/>
      <c r="U106" s="8"/>
      <c r="V106" s="7">
        <f>IF($B106="","",IFERROR(INDEX('Challan Master'!$AA$4:$AA$207,MATCH($B106,'Challan Master'!$S$4:$S$207,0)),""))</f>
      </c>
    </row>
    <row r="107" spans="1:22" x14ac:dyDescent="0.25">
      <c r="A107" s="7">
        <f>IF($D107="","",COUNTIF($D$4:$D107,"&lt;&gt;"))</f>
      </c>
      <c r="B107" s="8"/>
      <c r="C107" s="7">
        <f>IF($B107="","","BSR "&amp;IFERROR(INDEX('Challan Master'!$B$4:$B$207,MATCH($B107,'Challan Master'!$S$4:$S$207,0)),"")&amp;" | Serial "&amp;IFERROR(INDEX('Challan Master'!$C$4:$C$207,MATCH($B107,'Challan Master'!$S$4:$S$207,0)),"")&amp;" | Deposit "&amp;TEXT(IFERROR(INDEX('Challan Master'!$D$4:$D$207,MATCH($B107,'Challan Master'!$S$4:$S$207,0)),""),"dd-mm-yyyy")&amp;" | Minor Head "&amp;IFERROR(INDEX('Challan Master'!$E$4:$E$207,MATCH($B107,'Challan Master'!$S$4:$S$207,0)),"")&amp;" | Tax ₹"&amp;TEXT(IFERROR(INDEX('Challan Master'!$G$4:$G$207,MATCH($B107,'Challan Master'!$S$4:$S$207,0)),""),"#,##0")&amp;" | Section "&amp;IFERROR(INDEX('Challan Master'!$F$4:$F$207,MATCH($B107,'Challan Master'!$S$4:$S$207,0)),""))</f>
      </c>
      <c r="D107" s="8"/>
      <c r="E107" s="8"/>
      <c r="F107" s="7">
        <f>IF($D107="","",IF(AND(LEN(TRIM(UPPER(E107)))=10,CODE(MID(TRIM(UPPER(E107)),1,1))&gt;=65,CODE(MID(TRIM(UPPER(E107)),1,1))&lt;=90,CODE(MID(TRIM(UPPER(E107)),2,1))&gt;=65,CODE(MID(TRIM(UPPER(E107)),2,1))&lt;=90,CODE(MID(TRIM(UPPER(E107)),3,1))&gt;=65,CODE(MID(TRIM(UPPER(E107)),3,1))&lt;=90,CODE(MID(TRIM(UPPER(E107)),4,1))&gt;=65,CODE(MID(TRIM(UPPER(E107)),4,1))&lt;=90,CODE(MID(TRIM(UPPER(E107)),5,1))&gt;=65,CODE(MID(TRIM(UPPER(E107)),5,1))&lt;=90,CODE(MID(TRIM(UPPER(E107)),10,1))&gt;=65,CODE(MID(TRIM(UPPER(E107)),10,1))&lt;=90,CODE(MID(TRIM(UPPER(E107)),6,1))&gt;=48,CODE(MID(TRIM(UPPER(E107)),6,1))&lt;=57,CODE(MID(TRIM(UPPER(E107)),7,1))&gt;=48,CODE(MID(TRIM(UPPER(E107)),7,1))&lt;=57,CODE(MID(TRIM(UPPER(E107)),8,1))&gt;=48,CODE(MID(TRIM(UPPER(E107)),8,1))&lt;=57,CODE(MID(TRIM(UPPER(E107)),9,1))&gt;=48,CODE(MID(TRIM(UPPER(E107)),9,1))&lt;=57),"N","Y"))</f>
      </c>
      <c r="G107" s="7">
        <f>IF($D107="","",IF(LEN(E107)&lt;4,"",IF(UPPER(MID(E107,4,1))="P","Individual",IF(UPPER(MID(E107,4,1))="H","HUF",IF(UPPER(MID(E107,4,1))="C","Company",IF(UPPER(MID(E107,4,1))="F","Firm",IF(UPPER(MID(E107,4,1))="L","LLP",IF(UPPER(MID(E107,4,1))="T","Trust",IF(UPPER(MID(E107,4,1))="A","AOP","")))))))))</f>
      </c>
      <c r="H107" s="8"/>
      <c r="I107" s="7">
        <f>IF($D107="","",IF(H107="","",IF(F107="Y",SUMPRODUCT(('Rate Lookup'!$A$1:$A$37=H107)*'Rate Lookup'!$D$1:$D$37),IF(OR(G107="Individual",G107="HUF"),SUMPRODUCT(('Rate Lookup'!$A$1:$A$37=H107)*'Rate Lookup'!$B$1:$B$37),SUMPRODUCT(('Rate Lookup'!$A$1:$A$37=H107)*'Rate Lookup'!$C$1:$C$37)))))</f>
      </c>
      <c r="J107" s="8"/>
      <c r="K107" s="8"/>
      <c r="L107" s="7">
        <f>IF($D107="","",ROUND(K107*I107/100,0))</f>
      </c>
      <c r="M107" s="7">
        <f>IF($D107="","",0)</f>
      </c>
      <c r="N107" s="7">
        <f>IF($D107="","",0)</f>
      </c>
      <c r="O107" s="7">
        <f>IF($D107="","",IF(OR(L107=0,J107="",IFERROR(INDEX('Challan Master'!$D$4:$D$207,MATCH($B107,'Challan Master'!$S$4:$S$207,0)),"")="",IFERROR(INDEX('Challan Master'!$D$4:$D$207,MATCH($B107,'Challan Master'!$S$4:$S$207,0)),"")&lt;=0),0,IF(IFERROR(INDEX('Challan Master'!$D$4:$D$207,MATCH($B107,'Challan Master'!$S$4:$S$207,0)),"")&lt;=DATE(YEAR(J107),MONTH(J107)+1,7),0,ROUND(L107*0.015*((YEAR(IFERROR(INDEX('Challan Master'!$D$4:$D$207,MATCH($B107,'Challan Master'!$S$4:$S$207,0)),""))-YEAR(J107))*12+(MONTH(IFERROR(INDEX('Challan Master'!$D$4:$D$207,MATCH($B107,'Challan Master'!$S$4:$S$207,0)),""))-MONTH(J107))+1),0))))</f>
      </c>
      <c r="P107" s="7">
        <f>IF($D107="","",0)</f>
      </c>
      <c r="Q107" s="8"/>
      <c r="R107" s="8"/>
      <c r="S107" s="8"/>
      <c r="T107" s="8"/>
      <c r="U107" s="8"/>
      <c r="V107" s="7">
        <f>IF($B107="","",IFERROR(INDEX('Challan Master'!$AA$4:$AA$207,MATCH($B107,'Challan Master'!$S$4:$S$207,0)),""))</f>
      </c>
    </row>
    <row r="108" spans="1:22" x14ac:dyDescent="0.25">
      <c r="A108" s="7">
        <f>IF($D108="","",COUNTIF($D$4:$D108,"&lt;&gt;"))</f>
      </c>
      <c r="B108" s="8"/>
      <c r="C108" s="7">
        <f>IF($B108="","","BSR "&amp;IFERROR(INDEX('Challan Master'!$B$4:$B$207,MATCH($B108,'Challan Master'!$S$4:$S$207,0)),"")&amp;" | Serial "&amp;IFERROR(INDEX('Challan Master'!$C$4:$C$207,MATCH($B108,'Challan Master'!$S$4:$S$207,0)),"")&amp;" | Deposit "&amp;TEXT(IFERROR(INDEX('Challan Master'!$D$4:$D$207,MATCH($B108,'Challan Master'!$S$4:$S$207,0)),""),"dd-mm-yyyy")&amp;" | Minor Head "&amp;IFERROR(INDEX('Challan Master'!$E$4:$E$207,MATCH($B108,'Challan Master'!$S$4:$S$207,0)),"")&amp;" | Tax ₹"&amp;TEXT(IFERROR(INDEX('Challan Master'!$G$4:$G$207,MATCH($B108,'Challan Master'!$S$4:$S$207,0)),""),"#,##0")&amp;" | Section "&amp;IFERROR(INDEX('Challan Master'!$F$4:$F$207,MATCH($B108,'Challan Master'!$S$4:$S$207,0)),""))</f>
      </c>
      <c r="D108" s="8"/>
      <c r="E108" s="8"/>
      <c r="F108" s="7">
        <f>IF($D108="","",IF(AND(LEN(TRIM(UPPER(E108)))=10,CODE(MID(TRIM(UPPER(E108)),1,1))&gt;=65,CODE(MID(TRIM(UPPER(E108)),1,1))&lt;=90,CODE(MID(TRIM(UPPER(E108)),2,1))&gt;=65,CODE(MID(TRIM(UPPER(E108)),2,1))&lt;=90,CODE(MID(TRIM(UPPER(E108)),3,1))&gt;=65,CODE(MID(TRIM(UPPER(E108)),3,1))&lt;=90,CODE(MID(TRIM(UPPER(E108)),4,1))&gt;=65,CODE(MID(TRIM(UPPER(E108)),4,1))&lt;=90,CODE(MID(TRIM(UPPER(E108)),5,1))&gt;=65,CODE(MID(TRIM(UPPER(E108)),5,1))&lt;=90,CODE(MID(TRIM(UPPER(E108)),10,1))&gt;=65,CODE(MID(TRIM(UPPER(E108)),10,1))&lt;=90,CODE(MID(TRIM(UPPER(E108)),6,1))&gt;=48,CODE(MID(TRIM(UPPER(E108)),6,1))&lt;=57,CODE(MID(TRIM(UPPER(E108)),7,1))&gt;=48,CODE(MID(TRIM(UPPER(E108)),7,1))&lt;=57,CODE(MID(TRIM(UPPER(E108)),8,1))&gt;=48,CODE(MID(TRIM(UPPER(E108)),8,1))&lt;=57,CODE(MID(TRIM(UPPER(E108)),9,1))&gt;=48,CODE(MID(TRIM(UPPER(E108)),9,1))&lt;=57),"N","Y"))</f>
      </c>
      <c r="G108" s="7">
        <f>IF($D108="","",IF(LEN(E108)&lt;4,"",IF(UPPER(MID(E108,4,1))="P","Individual",IF(UPPER(MID(E108,4,1))="H","HUF",IF(UPPER(MID(E108,4,1))="C","Company",IF(UPPER(MID(E108,4,1))="F","Firm",IF(UPPER(MID(E108,4,1))="L","LLP",IF(UPPER(MID(E108,4,1))="T","Trust",IF(UPPER(MID(E108,4,1))="A","AOP","")))))))))</f>
      </c>
      <c r="H108" s="8"/>
      <c r="I108" s="7">
        <f>IF($D108="","",IF(H108="","",IF(F108="Y",SUMPRODUCT(('Rate Lookup'!$A$1:$A$37=H108)*'Rate Lookup'!$D$1:$D$37),IF(OR(G108="Individual",G108="HUF"),SUMPRODUCT(('Rate Lookup'!$A$1:$A$37=H108)*'Rate Lookup'!$B$1:$B$37),SUMPRODUCT(('Rate Lookup'!$A$1:$A$37=H108)*'Rate Lookup'!$C$1:$C$37)))))</f>
      </c>
      <c r="J108" s="8"/>
      <c r="K108" s="8"/>
      <c r="L108" s="7">
        <f>IF($D108="","",ROUND(K108*I108/100,0))</f>
      </c>
      <c r="M108" s="7">
        <f>IF($D108="","",0)</f>
      </c>
      <c r="N108" s="7">
        <f>IF($D108="","",0)</f>
      </c>
      <c r="O108" s="7">
        <f>IF($D108="","",IF(OR(L108=0,J108="",IFERROR(INDEX('Challan Master'!$D$4:$D$207,MATCH($B108,'Challan Master'!$S$4:$S$207,0)),"")="",IFERROR(INDEX('Challan Master'!$D$4:$D$207,MATCH($B108,'Challan Master'!$S$4:$S$207,0)),"")&lt;=0),0,IF(IFERROR(INDEX('Challan Master'!$D$4:$D$207,MATCH($B108,'Challan Master'!$S$4:$S$207,0)),"")&lt;=DATE(YEAR(J108),MONTH(J108)+1,7),0,ROUND(L108*0.015*((YEAR(IFERROR(INDEX('Challan Master'!$D$4:$D$207,MATCH($B108,'Challan Master'!$S$4:$S$207,0)),""))-YEAR(J108))*12+(MONTH(IFERROR(INDEX('Challan Master'!$D$4:$D$207,MATCH($B108,'Challan Master'!$S$4:$S$207,0)),""))-MONTH(J108))+1),0))))</f>
      </c>
      <c r="P108" s="7">
        <f>IF($D108="","",0)</f>
      </c>
      <c r="Q108" s="8"/>
      <c r="R108" s="8"/>
      <c r="S108" s="8"/>
      <c r="T108" s="8"/>
      <c r="U108" s="8"/>
      <c r="V108" s="7">
        <f>IF($B108="","",IFERROR(INDEX('Challan Master'!$AA$4:$AA$207,MATCH($B108,'Challan Master'!$S$4:$S$207,0)),""))</f>
      </c>
    </row>
    <row r="109" spans="1:22" x14ac:dyDescent="0.25">
      <c r="A109" s="7">
        <f>IF($D109="","",COUNTIF($D$4:$D109,"&lt;&gt;"))</f>
      </c>
      <c r="B109" s="8"/>
      <c r="C109" s="7">
        <f>IF($B109="","","BSR "&amp;IFERROR(INDEX('Challan Master'!$B$4:$B$207,MATCH($B109,'Challan Master'!$S$4:$S$207,0)),"")&amp;" | Serial "&amp;IFERROR(INDEX('Challan Master'!$C$4:$C$207,MATCH($B109,'Challan Master'!$S$4:$S$207,0)),"")&amp;" | Deposit "&amp;TEXT(IFERROR(INDEX('Challan Master'!$D$4:$D$207,MATCH($B109,'Challan Master'!$S$4:$S$207,0)),""),"dd-mm-yyyy")&amp;" | Minor Head "&amp;IFERROR(INDEX('Challan Master'!$E$4:$E$207,MATCH($B109,'Challan Master'!$S$4:$S$207,0)),"")&amp;" | Tax ₹"&amp;TEXT(IFERROR(INDEX('Challan Master'!$G$4:$G$207,MATCH($B109,'Challan Master'!$S$4:$S$207,0)),""),"#,##0")&amp;" | Section "&amp;IFERROR(INDEX('Challan Master'!$F$4:$F$207,MATCH($B109,'Challan Master'!$S$4:$S$207,0)),""))</f>
      </c>
      <c r="D109" s="8"/>
      <c r="E109" s="8"/>
      <c r="F109" s="7">
        <f>IF($D109="","",IF(AND(LEN(TRIM(UPPER(E109)))=10,CODE(MID(TRIM(UPPER(E109)),1,1))&gt;=65,CODE(MID(TRIM(UPPER(E109)),1,1))&lt;=90,CODE(MID(TRIM(UPPER(E109)),2,1))&gt;=65,CODE(MID(TRIM(UPPER(E109)),2,1))&lt;=90,CODE(MID(TRIM(UPPER(E109)),3,1))&gt;=65,CODE(MID(TRIM(UPPER(E109)),3,1))&lt;=90,CODE(MID(TRIM(UPPER(E109)),4,1))&gt;=65,CODE(MID(TRIM(UPPER(E109)),4,1))&lt;=90,CODE(MID(TRIM(UPPER(E109)),5,1))&gt;=65,CODE(MID(TRIM(UPPER(E109)),5,1))&lt;=90,CODE(MID(TRIM(UPPER(E109)),10,1))&gt;=65,CODE(MID(TRIM(UPPER(E109)),10,1))&lt;=90,CODE(MID(TRIM(UPPER(E109)),6,1))&gt;=48,CODE(MID(TRIM(UPPER(E109)),6,1))&lt;=57,CODE(MID(TRIM(UPPER(E109)),7,1))&gt;=48,CODE(MID(TRIM(UPPER(E109)),7,1))&lt;=57,CODE(MID(TRIM(UPPER(E109)),8,1))&gt;=48,CODE(MID(TRIM(UPPER(E109)),8,1))&lt;=57,CODE(MID(TRIM(UPPER(E109)),9,1))&gt;=48,CODE(MID(TRIM(UPPER(E109)),9,1))&lt;=57),"N","Y"))</f>
      </c>
      <c r="G109" s="7">
        <f>IF($D109="","",IF(LEN(E109)&lt;4,"",IF(UPPER(MID(E109,4,1))="P","Individual",IF(UPPER(MID(E109,4,1))="H","HUF",IF(UPPER(MID(E109,4,1))="C","Company",IF(UPPER(MID(E109,4,1))="F","Firm",IF(UPPER(MID(E109,4,1))="L","LLP",IF(UPPER(MID(E109,4,1))="T","Trust",IF(UPPER(MID(E109,4,1))="A","AOP","")))))))))</f>
      </c>
      <c r="H109" s="8"/>
      <c r="I109" s="7">
        <f>IF($D109="","",IF(H109="","",IF(F109="Y",SUMPRODUCT(('Rate Lookup'!$A$1:$A$37=H109)*'Rate Lookup'!$D$1:$D$37),IF(OR(G109="Individual",G109="HUF"),SUMPRODUCT(('Rate Lookup'!$A$1:$A$37=H109)*'Rate Lookup'!$B$1:$B$37),SUMPRODUCT(('Rate Lookup'!$A$1:$A$37=H109)*'Rate Lookup'!$C$1:$C$37)))))</f>
      </c>
      <c r="J109" s="8"/>
      <c r="K109" s="8"/>
      <c r="L109" s="7">
        <f>IF($D109="","",ROUND(K109*I109/100,0))</f>
      </c>
      <c r="M109" s="7">
        <f>IF($D109="","",0)</f>
      </c>
      <c r="N109" s="7">
        <f>IF($D109="","",0)</f>
      </c>
      <c r="O109" s="7">
        <f>IF($D109="","",IF(OR(L109=0,J109="",IFERROR(INDEX('Challan Master'!$D$4:$D$207,MATCH($B109,'Challan Master'!$S$4:$S$207,0)),"")="",IFERROR(INDEX('Challan Master'!$D$4:$D$207,MATCH($B109,'Challan Master'!$S$4:$S$207,0)),"")&lt;=0),0,IF(IFERROR(INDEX('Challan Master'!$D$4:$D$207,MATCH($B109,'Challan Master'!$S$4:$S$207,0)),"")&lt;=DATE(YEAR(J109),MONTH(J109)+1,7),0,ROUND(L109*0.015*((YEAR(IFERROR(INDEX('Challan Master'!$D$4:$D$207,MATCH($B109,'Challan Master'!$S$4:$S$207,0)),""))-YEAR(J109))*12+(MONTH(IFERROR(INDEX('Challan Master'!$D$4:$D$207,MATCH($B109,'Challan Master'!$S$4:$S$207,0)),""))-MONTH(J109))+1),0))))</f>
      </c>
      <c r="P109" s="7">
        <f>IF($D109="","",0)</f>
      </c>
      <c r="Q109" s="8"/>
      <c r="R109" s="8"/>
      <c r="S109" s="8"/>
      <c r="T109" s="8"/>
      <c r="U109" s="8"/>
      <c r="V109" s="7">
        <f>IF($B109="","",IFERROR(INDEX('Challan Master'!$AA$4:$AA$207,MATCH($B109,'Challan Master'!$S$4:$S$207,0)),""))</f>
      </c>
    </row>
    <row r="110" spans="1:22" x14ac:dyDescent="0.25">
      <c r="A110" s="7">
        <f>IF($D110="","",COUNTIF($D$4:$D110,"&lt;&gt;"))</f>
      </c>
      <c r="B110" s="8"/>
      <c r="C110" s="7">
        <f>IF($B110="","","BSR "&amp;IFERROR(INDEX('Challan Master'!$B$4:$B$207,MATCH($B110,'Challan Master'!$S$4:$S$207,0)),"")&amp;" | Serial "&amp;IFERROR(INDEX('Challan Master'!$C$4:$C$207,MATCH($B110,'Challan Master'!$S$4:$S$207,0)),"")&amp;" | Deposit "&amp;TEXT(IFERROR(INDEX('Challan Master'!$D$4:$D$207,MATCH($B110,'Challan Master'!$S$4:$S$207,0)),""),"dd-mm-yyyy")&amp;" | Minor Head "&amp;IFERROR(INDEX('Challan Master'!$E$4:$E$207,MATCH($B110,'Challan Master'!$S$4:$S$207,0)),"")&amp;" | Tax ₹"&amp;TEXT(IFERROR(INDEX('Challan Master'!$G$4:$G$207,MATCH($B110,'Challan Master'!$S$4:$S$207,0)),""),"#,##0")&amp;" | Section "&amp;IFERROR(INDEX('Challan Master'!$F$4:$F$207,MATCH($B110,'Challan Master'!$S$4:$S$207,0)),""))</f>
      </c>
      <c r="D110" s="8"/>
      <c r="E110" s="8"/>
      <c r="F110" s="7">
        <f>IF($D110="","",IF(AND(LEN(TRIM(UPPER(E110)))=10,CODE(MID(TRIM(UPPER(E110)),1,1))&gt;=65,CODE(MID(TRIM(UPPER(E110)),1,1))&lt;=90,CODE(MID(TRIM(UPPER(E110)),2,1))&gt;=65,CODE(MID(TRIM(UPPER(E110)),2,1))&lt;=90,CODE(MID(TRIM(UPPER(E110)),3,1))&gt;=65,CODE(MID(TRIM(UPPER(E110)),3,1))&lt;=90,CODE(MID(TRIM(UPPER(E110)),4,1))&gt;=65,CODE(MID(TRIM(UPPER(E110)),4,1))&lt;=90,CODE(MID(TRIM(UPPER(E110)),5,1))&gt;=65,CODE(MID(TRIM(UPPER(E110)),5,1))&lt;=90,CODE(MID(TRIM(UPPER(E110)),10,1))&gt;=65,CODE(MID(TRIM(UPPER(E110)),10,1))&lt;=90,CODE(MID(TRIM(UPPER(E110)),6,1))&gt;=48,CODE(MID(TRIM(UPPER(E110)),6,1))&lt;=57,CODE(MID(TRIM(UPPER(E110)),7,1))&gt;=48,CODE(MID(TRIM(UPPER(E110)),7,1))&lt;=57,CODE(MID(TRIM(UPPER(E110)),8,1))&gt;=48,CODE(MID(TRIM(UPPER(E110)),8,1))&lt;=57,CODE(MID(TRIM(UPPER(E110)),9,1))&gt;=48,CODE(MID(TRIM(UPPER(E110)),9,1))&lt;=57),"N","Y"))</f>
      </c>
      <c r="G110" s="7">
        <f>IF($D110="","",IF(LEN(E110)&lt;4,"",IF(UPPER(MID(E110,4,1))="P","Individual",IF(UPPER(MID(E110,4,1))="H","HUF",IF(UPPER(MID(E110,4,1))="C","Company",IF(UPPER(MID(E110,4,1))="F","Firm",IF(UPPER(MID(E110,4,1))="L","LLP",IF(UPPER(MID(E110,4,1))="T","Trust",IF(UPPER(MID(E110,4,1))="A","AOP","")))))))))</f>
      </c>
      <c r="H110" s="8"/>
      <c r="I110" s="7">
        <f>IF($D110="","",IF(H110="","",IF(F110="Y",SUMPRODUCT(('Rate Lookup'!$A$1:$A$37=H110)*'Rate Lookup'!$D$1:$D$37),IF(OR(G110="Individual",G110="HUF"),SUMPRODUCT(('Rate Lookup'!$A$1:$A$37=H110)*'Rate Lookup'!$B$1:$B$37),SUMPRODUCT(('Rate Lookup'!$A$1:$A$37=H110)*'Rate Lookup'!$C$1:$C$37)))))</f>
      </c>
      <c r="J110" s="8"/>
      <c r="K110" s="8"/>
      <c r="L110" s="7">
        <f>IF($D110="","",ROUND(K110*I110/100,0))</f>
      </c>
      <c r="M110" s="7">
        <f>IF($D110="","",0)</f>
      </c>
      <c r="N110" s="7">
        <f>IF($D110="","",0)</f>
      </c>
      <c r="O110" s="7">
        <f>IF($D110="","",IF(OR(L110=0,J110="",IFERROR(INDEX('Challan Master'!$D$4:$D$207,MATCH($B110,'Challan Master'!$S$4:$S$207,0)),"")="",IFERROR(INDEX('Challan Master'!$D$4:$D$207,MATCH($B110,'Challan Master'!$S$4:$S$207,0)),"")&lt;=0),0,IF(IFERROR(INDEX('Challan Master'!$D$4:$D$207,MATCH($B110,'Challan Master'!$S$4:$S$207,0)),"")&lt;=DATE(YEAR(J110),MONTH(J110)+1,7),0,ROUND(L110*0.015*((YEAR(IFERROR(INDEX('Challan Master'!$D$4:$D$207,MATCH($B110,'Challan Master'!$S$4:$S$207,0)),""))-YEAR(J110))*12+(MONTH(IFERROR(INDEX('Challan Master'!$D$4:$D$207,MATCH($B110,'Challan Master'!$S$4:$S$207,0)),""))-MONTH(J110))+1),0))))</f>
      </c>
      <c r="P110" s="7">
        <f>IF($D110="","",0)</f>
      </c>
      <c r="Q110" s="8"/>
      <c r="R110" s="8"/>
      <c r="S110" s="8"/>
      <c r="T110" s="8"/>
      <c r="U110" s="8"/>
      <c r="V110" s="7">
        <f>IF($B110="","",IFERROR(INDEX('Challan Master'!$AA$4:$AA$207,MATCH($B110,'Challan Master'!$S$4:$S$207,0)),""))</f>
      </c>
    </row>
    <row r="111" spans="1:22" x14ac:dyDescent="0.25">
      <c r="A111" s="7">
        <f>IF($D111="","",COUNTIF($D$4:$D111,"&lt;&gt;"))</f>
      </c>
      <c r="B111" s="8"/>
      <c r="C111" s="7">
        <f>IF($B111="","","BSR "&amp;IFERROR(INDEX('Challan Master'!$B$4:$B$207,MATCH($B111,'Challan Master'!$S$4:$S$207,0)),"")&amp;" | Serial "&amp;IFERROR(INDEX('Challan Master'!$C$4:$C$207,MATCH($B111,'Challan Master'!$S$4:$S$207,0)),"")&amp;" | Deposit "&amp;TEXT(IFERROR(INDEX('Challan Master'!$D$4:$D$207,MATCH($B111,'Challan Master'!$S$4:$S$207,0)),""),"dd-mm-yyyy")&amp;" | Minor Head "&amp;IFERROR(INDEX('Challan Master'!$E$4:$E$207,MATCH($B111,'Challan Master'!$S$4:$S$207,0)),"")&amp;" | Tax ₹"&amp;TEXT(IFERROR(INDEX('Challan Master'!$G$4:$G$207,MATCH($B111,'Challan Master'!$S$4:$S$207,0)),""),"#,##0")&amp;" | Section "&amp;IFERROR(INDEX('Challan Master'!$F$4:$F$207,MATCH($B111,'Challan Master'!$S$4:$S$207,0)),""))</f>
      </c>
      <c r="D111" s="8"/>
      <c r="E111" s="8"/>
      <c r="F111" s="7">
        <f>IF($D111="","",IF(AND(LEN(TRIM(UPPER(E111)))=10,CODE(MID(TRIM(UPPER(E111)),1,1))&gt;=65,CODE(MID(TRIM(UPPER(E111)),1,1))&lt;=90,CODE(MID(TRIM(UPPER(E111)),2,1))&gt;=65,CODE(MID(TRIM(UPPER(E111)),2,1))&lt;=90,CODE(MID(TRIM(UPPER(E111)),3,1))&gt;=65,CODE(MID(TRIM(UPPER(E111)),3,1))&lt;=90,CODE(MID(TRIM(UPPER(E111)),4,1))&gt;=65,CODE(MID(TRIM(UPPER(E111)),4,1))&lt;=90,CODE(MID(TRIM(UPPER(E111)),5,1))&gt;=65,CODE(MID(TRIM(UPPER(E111)),5,1))&lt;=90,CODE(MID(TRIM(UPPER(E111)),10,1))&gt;=65,CODE(MID(TRIM(UPPER(E111)),10,1))&lt;=90,CODE(MID(TRIM(UPPER(E111)),6,1))&gt;=48,CODE(MID(TRIM(UPPER(E111)),6,1))&lt;=57,CODE(MID(TRIM(UPPER(E111)),7,1))&gt;=48,CODE(MID(TRIM(UPPER(E111)),7,1))&lt;=57,CODE(MID(TRIM(UPPER(E111)),8,1))&gt;=48,CODE(MID(TRIM(UPPER(E111)),8,1))&lt;=57,CODE(MID(TRIM(UPPER(E111)),9,1))&gt;=48,CODE(MID(TRIM(UPPER(E111)),9,1))&lt;=57),"N","Y"))</f>
      </c>
      <c r="G111" s="7">
        <f>IF($D111="","",IF(LEN(E111)&lt;4,"",IF(UPPER(MID(E111,4,1))="P","Individual",IF(UPPER(MID(E111,4,1))="H","HUF",IF(UPPER(MID(E111,4,1))="C","Company",IF(UPPER(MID(E111,4,1))="F","Firm",IF(UPPER(MID(E111,4,1))="L","LLP",IF(UPPER(MID(E111,4,1))="T","Trust",IF(UPPER(MID(E111,4,1))="A","AOP","")))))))))</f>
      </c>
      <c r="H111" s="8"/>
      <c r="I111" s="7">
        <f>IF($D111="","",IF(H111="","",IF(F111="Y",SUMPRODUCT(('Rate Lookup'!$A$1:$A$37=H111)*'Rate Lookup'!$D$1:$D$37),IF(OR(G111="Individual",G111="HUF"),SUMPRODUCT(('Rate Lookup'!$A$1:$A$37=H111)*'Rate Lookup'!$B$1:$B$37),SUMPRODUCT(('Rate Lookup'!$A$1:$A$37=H111)*'Rate Lookup'!$C$1:$C$37)))))</f>
      </c>
      <c r="J111" s="8"/>
      <c r="K111" s="8"/>
      <c r="L111" s="7">
        <f>IF($D111="","",ROUND(K111*I111/100,0))</f>
      </c>
      <c r="M111" s="7">
        <f>IF($D111="","",0)</f>
      </c>
      <c r="N111" s="7">
        <f>IF($D111="","",0)</f>
      </c>
      <c r="O111" s="7">
        <f>IF($D111="","",IF(OR(L111=0,J111="",IFERROR(INDEX('Challan Master'!$D$4:$D$207,MATCH($B111,'Challan Master'!$S$4:$S$207,0)),"")="",IFERROR(INDEX('Challan Master'!$D$4:$D$207,MATCH($B111,'Challan Master'!$S$4:$S$207,0)),"")&lt;=0),0,IF(IFERROR(INDEX('Challan Master'!$D$4:$D$207,MATCH($B111,'Challan Master'!$S$4:$S$207,0)),"")&lt;=DATE(YEAR(J111),MONTH(J111)+1,7),0,ROUND(L111*0.015*((YEAR(IFERROR(INDEX('Challan Master'!$D$4:$D$207,MATCH($B111,'Challan Master'!$S$4:$S$207,0)),""))-YEAR(J111))*12+(MONTH(IFERROR(INDEX('Challan Master'!$D$4:$D$207,MATCH($B111,'Challan Master'!$S$4:$S$207,0)),""))-MONTH(J111))+1),0))))</f>
      </c>
      <c r="P111" s="7">
        <f>IF($D111="","",0)</f>
      </c>
      <c r="Q111" s="8"/>
      <c r="R111" s="8"/>
      <c r="S111" s="8"/>
      <c r="T111" s="8"/>
      <c r="U111" s="8"/>
      <c r="V111" s="7">
        <f>IF($B111="","",IFERROR(INDEX('Challan Master'!$AA$4:$AA$207,MATCH($B111,'Challan Master'!$S$4:$S$207,0)),""))</f>
      </c>
    </row>
    <row r="112" spans="1:22" x14ac:dyDescent="0.25">
      <c r="A112" s="7">
        <f>IF($D112="","",COUNTIF($D$4:$D112,"&lt;&gt;"))</f>
      </c>
      <c r="B112" s="8"/>
      <c r="C112" s="7">
        <f>IF($B112="","","BSR "&amp;IFERROR(INDEX('Challan Master'!$B$4:$B$207,MATCH($B112,'Challan Master'!$S$4:$S$207,0)),"")&amp;" | Serial "&amp;IFERROR(INDEX('Challan Master'!$C$4:$C$207,MATCH($B112,'Challan Master'!$S$4:$S$207,0)),"")&amp;" | Deposit "&amp;TEXT(IFERROR(INDEX('Challan Master'!$D$4:$D$207,MATCH($B112,'Challan Master'!$S$4:$S$207,0)),""),"dd-mm-yyyy")&amp;" | Minor Head "&amp;IFERROR(INDEX('Challan Master'!$E$4:$E$207,MATCH($B112,'Challan Master'!$S$4:$S$207,0)),"")&amp;" | Tax ₹"&amp;TEXT(IFERROR(INDEX('Challan Master'!$G$4:$G$207,MATCH($B112,'Challan Master'!$S$4:$S$207,0)),""),"#,##0")&amp;" | Section "&amp;IFERROR(INDEX('Challan Master'!$F$4:$F$207,MATCH($B112,'Challan Master'!$S$4:$S$207,0)),""))</f>
      </c>
      <c r="D112" s="8"/>
      <c r="E112" s="8"/>
      <c r="F112" s="7">
        <f>IF($D112="","",IF(AND(LEN(TRIM(UPPER(E112)))=10,CODE(MID(TRIM(UPPER(E112)),1,1))&gt;=65,CODE(MID(TRIM(UPPER(E112)),1,1))&lt;=90,CODE(MID(TRIM(UPPER(E112)),2,1))&gt;=65,CODE(MID(TRIM(UPPER(E112)),2,1))&lt;=90,CODE(MID(TRIM(UPPER(E112)),3,1))&gt;=65,CODE(MID(TRIM(UPPER(E112)),3,1))&lt;=90,CODE(MID(TRIM(UPPER(E112)),4,1))&gt;=65,CODE(MID(TRIM(UPPER(E112)),4,1))&lt;=90,CODE(MID(TRIM(UPPER(E112)),5,1))&gt;=65,CODE(MID(TRIM(UPPER(E112)),5,1))&lt;=90,CODE(MID(TRIM(UPPER(E112)),10,1))&gt;=65,CODE(MID(TRIM(UPPER(E112)),10,1))&lt;=90,CODE(MID(TRIM(UPPER(E112)),6,1))&gt;=48,CODE(MID(TRIM(UPPER(E112)),6,1))&lt;=57,CODE(MID(TRIM(UPPER(E112)),7,1))&gt;=48,CODE(MID(TRIM(UPPER(E112)),7,1))&lt;=57,CODE(MID(TRIM(UPPER(E112)),8,1))&gt;=48,CODE(MID(TRIM(UPPER(E112)),8,1))&lt;=57,CODE(MID(TRIM(UPPER(E112)),9,1))&gt;=48,CODE(MID(TRIM(UPPER(E112)),9,1))&lt;=57),"N","Y"))</f>
      </c>
      <c r="G112" s="7">
        <f>IF($D112="","",IF(LEN(E112)&lt;4,"",IF(UPPER(MID(E112,4,1))="P","Individual",IF(UPPER(MID(E112,4,1))="H","HUF",IF(UPPER(MID(E112,4,1))="C","Company",IF(UPPER(MID(E112,4,1))="F","Firm",IF(UPPER(MID(E112,4,1))="L","LLP",IF(UPPER(MID(E112,4,1))="T","Trust",IF(UPPER(MID(E112,4,1))="A","AOP","")))))))))</f>
      </c>
      <c r="H112" s="8"/>
      <c r="I112" s="7">
        <f>IF($D112="","",IF(H112="","",IF(F112="Y",SUMPRODUCT(('Rate Lookup'!$A$1:$A$37=H112)*'Rate Lookup'!$D$1:$D$37),IF(OR(G112="Individual",G112="HUF"),SUMPRODUCT(('Rate Lookup'!$A$1:$A$37=H112)*'Rate Lookup'!$B$1:$B$37),SUMPRODUCT(('Rate Lookup'!$A$1:$A$37=H112)*'Rate Lookup'!$C$1:$C$37)))))</f>
      </c>
      <c r="J112" s="8"/>
      <c r="K112" s="8"/>
      <c r="L112" s="7">
        <f>IF($D112="","",ROUND(K112*I112/100,0))</f>
      </c>
      <c r="M112" s="7">
        <f>IF($D112="","",0)</f>
      </c>
      <c r="N112" s="7">
        <f>IF($D112="","",0)</f>
      </c>
      <c r="O112" s="7">
        <f>IF($D112="","",IF(OR(L112=0,J112="",IFERROR(INDEX('Challan Master'!$D$4:$D$207,MATCH($B112,'Challan Master'!$S$4:$S$207,0)),"")="",IFERROR(INDEX('Challan Master'!$D$4:$D$207,MATCH($B112,'Challan Master'!$S$4:$S$207,0)),"")&lt;=0),0,IF(IFERROR(INDEX('Challan Master'!$D$4:$D$207,MATCH($B112,'Challan Master'!$S$4:$S$207,0)),"")&lt;=DATE(YEAR(J112),MONTH(J112)+1,7),0,ROUND(L112*0.015*((YEAR(IFERROR(INDEX('Challan Master'!$D$4:$D$207,MATCH($B112,'Challan Master'!$S$4:$S$207,0)),""))-YEAR(J112))*12+(MONTH(IFERROR(INDEX('Challan Master'!$D$4:$D$207,MATCH($B112,'Challan Master'!$S$4:$S$207,0)),""))-MONTH(J112))+1),0))))</f>
      </c>
      <c r="P112" s="7">
        <f>IF($D112="","",0)</f>
      </c>
      <c r="Q112" s="8"/>
      <c r="R112" s="8"/>
      <c r="S112" s="8"/>
      <c r="T112" s="8"/>
      <c r="U112" s="8"/>
      <c r="V112" s="7">
        <f>IF($B112="","",IFERROR(INDEX('Challan Master'!$AA$4:$AA$207,MATCH($B112,'Challan Master'!$S$4:$S$207,0)),""))</f>
      </c>
    </row>
    <row r="113" spans="1:22" x14ac:dyDescent="0.25">
      <c r="A113" s="7">
        <f>IF($D113="","",COUNTIF($D$4:$D113,"&lt;&gt;"))</f>
      </c>
      <c r="B113" s="8"/>
      <c r="C113" s="7">
        <f>IF($B113="","","BSR "&amp;IFERROR(INDEX('Challan Master'!$B$4:$B$207,MATCH($B113,'Challan Master'!$S$4:$S$207,0)),"")&amp;" | Serial "&amp;IFERROR(INDEX('Challan Master'!$C$4:$C$207,MATCH($B113,'Challan Master'!$S$4:$S$207,0)),"")&amp;" | Deposit "&amp;TEXT(IFERROR(INDEX('Challan Master'!$D$4:$D$207,MATCH($B113,'Challan Master'!$S$4:$S$207,0)),""),"dd-mm-yyyy")&amp;" | Minor Head "&amp;IFERROR(INDEX('Challan Master'!$E$4:$E$207,MATCH($B113,'Challan Master'!$S$4:$S$207,0)),"")&amp;" | Tax ₹"&amp;TEXT(IFERROR(INDEX('Challan Master'!$G$4:$G$207,MATCH($B113,'Challan Master'!$S$4:$S$207,0)),""),"#,##0")&amp;" | Section "&amp;IFERROR(INDEX('Challan Master'!$F$4:$F$207,MATCH($B113,'Challan Master'!$S$4:$S$207,0)),""))</f>
      </c>
      <c r="D113" s="8"/>
      <c r="E113" s="8"/>
      <c r="F113" s="7">
        <f>IF($D113="","",IF(AND(LEN(TRIM(UPPER(E113)))=10,CODE(MID(TRIM(UPPER(E113)),1,1))&gt;=65,CODE(MID(TRIM(UPPER(E113)),1,1))&lt;=90,CODE(MID(TRIM(UPPER(E113)),2,1))&gt;=65,CODE(MID(TRIM(UPPER(E113)),2,1))&lt;=90,CODE(MID(TRIM(UPPER(E113)),3,1))&gt;=65,CODE(MID(TRIM(UPPER(E113)),3,1))&lt;=90,CODE(MID(TRIM(UPPER(E113)),4,1))&gt;=65,CODE(MID(TRIM(UPPER(E113)),4,1))&lt;=90,CODE(MID(TRIM(UPPER(E113)),5,1))&gt;=65,CODE(MID(TRIM(UPPER(E113)),5,1))&lt;=90,CODE(MID(TRIM(UPPER(E113)),10,1))&gt;=65,CODE(MID(TRIM(UPPER(E113)),10,1))&lt;=90,CODE(MID(TRIM(UPPER(E113)),6,1))&gt;=48,CODE(MID(TRIM(UPPER(E113)),6,1))&lt;=57,CODE(MID(TRIM(UPPER(E113)),7,1))&gt;=48,CODE(MID(TRIM(UPPER(E113)),7,1))&lt;=57,CODE(MID(TRIM(UPPER(E113)),8,1))&gt;=48,CODE(MID(TRIM(UPPER(E113)),8,1))&lt;=57,CODE(MID(TRIM(UPPER(E113)),9,1))&gt;=48,CODE(MID(TRIM(UPPER(E113)),9,1))&lt;=57),"N","Y"))</f>
      </c>
      <c r="G113" s="7">
        <f>IF($D113="","",IF(LEN(E113)&lt;4,"",IF(UPPER(MID(E113,4,1))="P","Individual",IF(UPPER(MID(E113,4,1))="H","HUF",IF(UPPER(MID(E113,4,1))="C","Company",IF(UPPER(MID(E113,4,1))="F","Firm",IF(UPPER(MID(E113,4,1))="L","LLP",IF(UPPER(MID(E113,4,1))="T","Trust",IF(UPPER(MID(E113,4,1))="A","AOP","")))))))))</f>
      </c>
      <c r="H113" s="8"/>
      <c r="I113" s="7">
        <f>IF($D113="","",IF(H113="","",IF(F113="Y",SUMPRODUCT(('Rate Lookup'!$A$1:$A$37=H113)*'Rate Lookup'!$D$1:$D$37),IF(OR(G113="Individual",G113="HUF"),SUMPRODUCT(('Rate Lookup'!$A$1:$A$37=H113)*'Rate Lookup'!$B$1:$B$37),SUMPRODUCT(('Rate Lookup'!$A$1:$A$37=H113)*'Rate Lookup'!$C$1:$C$37)))))</f>
      </c>
      <c r="J113" s="8"/>
      <c r="K113" s="8"/>
      <c r="L113" s="7">
        <f>IF($D113="","",ROUND(K113*I113/100,0))</f>
      </c>
      <c r="M113" s="7">
        <f>IF($D113="","",0)</f>
      </c>
      <c r="N113" s="7">
        <f>IF($D113="","",0)</f>
      </c>
      <c r="O113" s="7">
        <f>IF($D113="","",IF(OR(L113=0,J113="",IFERROR(INDEX('Challan Master'!$D$4:$D$207,MATCH($B113,'Challan Master'!$S$4:$S$207,0)),"")="",IFERROR(INDEX('Challan Master'!$D$4:$D$207,MATCH($B113,'Challan Master'!$S$4:$S$207,0)),"")&lt;=0),0,IF(IFERROR(INDEX('Challan Master'!$D$4:$D$207,MATCH($B113,'Challan Master'!$S$4:$S$207,0)),"")&lt;=DATE(YEAR(J113),MONTH(J113)+1,7),0,ROUND(L113*0.015*((YEAR(IFERROR(INDEX('Challan Master'!$D$4:$D$207,MATCH($B113,'Challan Master'!$S$4:$S$207,0)),""))-YEAR(J113))*12+(MONTH(IFERROR(INDEX('Challan Master'!$D$4:$D$207,MATCH($B113,'Challan Master'!$S$4:$S$207,0)),""))-MONTH(J113))+1),0))))</f>
      </c>
      <c r="P113" s="7">
        <f>IF($D113="","",0)</f>
      </c>
      <c r="Q113" s="8"/>
      <c r="R113" s="8"/>
      <c r="S113" s="8"/>
      <c r="T113" s="8"/>
      <c r="U113" s="8"/>
      <c r="V113" s="7">
        <f>IF($B113="","",IFERROR(INDEX('Challan Master'!$AA$4:$AA$207,MATCH($B113,'Challan Master'!$S$4:$S$207,0)),""))</f>
      </c>
    </row>
    <row r="114" spans="1:22" x14ac:dyDescent="0.25">
      <c r="A114" s="7">
        <f>IF($D114="","",COUNTIF($D$4:$D114,"&lt;&gt;"))</f>
      </c>
      <c r="B114" s="8"/>
      <c r="C114" s="7">
        <f>IF($B114="","","BSR "&amp;IFERROR(INDEX('Challan Master'!$B$4:$B$207,MATCH($B114,'Challan Master'!$S$4:$S$207,0)),"")&amp;" | Serial "&amp;IFERROR(INDEX('Challan Master'!$C$4:$C$207,MATCH($B114,'Challan Master'!$S$4:$S$207,0)),"")&amp;" | Deposit "&amp;TEXT(IFERROR(INDEX('Challan Master'!$D$4:$D$207,MATCH($B114,'Challan Master'!$S$4:$S$207,0)),""),"dd-mm-yyyy")&amp;" | Minor Head "&amp;IFERROR(INDEX('Challan Master'!$E$4:$E$207,MATCH($B114,'Challan Master'!$S$4:$S$207,0)),"")&amp;" | Tax ₹"&amp;TEXT(IFERROR(INDEX('Challan Master'!$G$4:$G$207,MATCH($B114,'Challan Master'!$S$4:$S$207,0)),""),"#,##0")&amp;" | Section "&amp;IFERROR(INDEX('Challan Master'!$F$4:$F$207,MATCH($B114,'Challan Master'!$S$4:$S$207,0)),""))</f>
      </c>
      <c r="D114" s="8"/>
      <c r="E114" s="8"/>
      <c r="F114" s="7">
        <f>IF($D114="","",IF(AND(LEN(TRIM(UPPER(E114)))=10,CODE(MID(TRIM(UPPER(E114)),1,1))&gt;=65,CODE(MID(TRIM(UPPER(E114)),1,1))&lt;=90,CODE(MID(TRIM(UPPER(E114)),2,1))&gt;=65,CODE(MID(TRIM(UPPER(E114)),2,1))&lt;=90,CODE(MID(TRIM(UPPER(E114)),3,1))&gt;=65,CODE(MID(TRIM(UPPER(E114)),3,1))&lt;=90,CODE(MID(TRIM(UPPER(E114)),4,1))&gt;=65,CODE(MID(TRIM(UPPER(E114)),4,1))&lt;=90,CODE(MID(TRIM(UPPER(E114)),5,1))&gt;=65,CODE(MID(TRIM(UPPER(E114)),5,1))&lt;=90,CODE(MID(TRIM(UPPER(E114)),10,1))&gt;=65,CODE(MID(TRIM(UPPER(E114)),10,1))&lt;=90,CODE(MID(TRIM(UPPER(E114)),6,1))&gt;=48,CODE(MID(TRIM(UPPER(E114)),6,1))&lt;=57,CODE(MID(TRIM(UPPER(E114)),7,1))&gt;=48,CODE(MID(TRIM(UPPER(E114)),7,1))&lt;=57,CODE(MID(TRIM(UPPER(E114)),8,1))&gt;=48,CODE(MID(TRIM(UPPER(E114)),8,1))&lt;=57,CODE(MID(TRIM(UPPER(E114)),9,1))&gt;=48,CODE(MID(TRIM(UPPER(E114)),9,1))&lt;=57),"N","Y"))</f>
      </c>
      <c r="G114" s="7">
        <f>IF($D114="","",IF(LEN(E114)&lt;4,"",IF(UPPER(MID(E114,4,1))="P","Individual",IF(UPPER(MID(E114,4,1))="H","HUF",IF(UPPER(MID(E114,4,1))="C","Company",IF(UPPER(MID(E114,4,1))="F","Firm",IF(UPPER(MID(E114,4,1))="L","LLP",IF(UPPER(MID(E114,4,1))="T","Trust",IF(UPPER(MID(E114,4,1))="A","AOP","")))))))))</f>
      </c>
      <c r="H114" s="8"/>
      <c r="I114" s="7">
        <f>IF($D114="","",IF(H114="","",IF(F114="Y",SUMPRODUCT(('Rate Lookup'!$A$1:$A$37=H114)*'Rate Lookup'!$D$1:$D$37),IF(OR(G114="Individual",G114="HUF"),SUMPRODUCT(('Rate Lookup'!$A$1:$A$37=H114)*'Rate Lookup'!$B$1:$B$37),SUMPRODUCT(('Rate Lookup'!$A$1:$A$37=H114)*'Rate Lookup'!$C$1:$C$37)))))</f>
      </c>
      <c r="J114" s="8"/>
      <c r="K114" s="8"/>
      <c r="L114" s="7">
        <f>IF($D114="","",ROUND(K114*I114/100,0))</f>
      </c>
      <c r="M114" s="7">
        <f>IF($D114="","",0)</f>
      </c>
      <c r="N114" s="7">
        <f>IF($D114="","",0)</f>
      </c>
      <c r="O114" s="7">
        <f>IF($D114="","",IF(OR(L114=0,J114="",IFERROR(INDEX('Challan Master'!$D$4:$D$207,MATCH($B114,'Challan Master'!$S$4:$S$207,0)),"")="",IFERROR(INDEX('Challan Master'!$D$4:$D$207,MATCH($B114,'Challan Master'!$S$4:$S$207,0)),"")&lt;=0),0,IF(IFERROR(INDEX('Challan Master'!$D$4:$D$207,MATCH($B114,'Challan Master'!$S$4:$S$207,0)),"")&lt;=DATE(YEAR(J114),MONTH(J114)+1,7),0,ROUND(L114*0.015*((YEAR(IFERROR(INDEX('Challan Master'!$D$4:$D$207,MATCH($B114,'Challan Master'!$S$4:$S$207,0)),""))-YEAR(J114))*12+(MONTH(IFERROR(INDEX('Challan Master'!$D$4:$D$207,MATCH($B114,'Challan Master'!$S$4:$S$207,0)),""))-MONTH(J114))+1),0))))</f>
      </c>
      <c r="P114" s="7">
        <f>IF($D114="","",0)</f>
      </c>
      <c r="Q114" s="8"/>
      <c r="R114" s="8"/>
      <c r="S114" s="8"/>
      <c r="T114" s="8"/>
      <c r="U114" s="8"/>
      <c r="V114" s="7">
        <f>IF($B114="","",IFERROR(INDEX('Challan Master'!$AA$4:$AA$207,MATCH($B114,'Challan Master'!$S$4:$S$207,0)),""))</f>
      </c>
    </row>
    <row r="115" spans="1:22" x14ac:dyDescent="0.25">
      <c r="A115" s="7">
        <f>IF($D115="","",COUNTIF($D$4:$D115,"&lt;&gt;"))</f>
      </c>
      <c r="B115" s="8"/>
      <c r="C115" s="7">
        <f>IF($B115="","","BSR "&amp;IFERROR(INDEX('Challan Master'!$B$4:$B$207,MATCH($B115,'Challan Master'!$S$4:$S$207,0)),"")&amp;" | Serial "&amp;IFERROR(INDEX('Challan Master'!$C$4:$C$207,MATCH($B115,'Challan Master'!$S$4:$S$207,0)),"")&amp;" | Deposit "&amp;TEXT(IFERROR(INDEX('Challan Master'!$D$4:$D$207,MATCH($B115,'Challan Master'!$S$4:$S$207,0)),""),"dd-mm-yyyy")&amp;" | Minor Head "&amp;IFERROR(INDEX('Challan Master'!$E$4:$E$207,MATCH($B115,'Challan Master'!$S$4:$S$207,0)),"")&amp;" | Tax ₹"&amp;TEXT(IFERROR(INDEX('Challan Master'!$G$4:$G$207,MATCH($B115,'Challan Master'!$S$4:$S$207,0)),""),"#,##0")&amp;" | Section "&amp;IFERROR(INDEX('Challan Master'!$F$4:$F$207,MATCH($B115,'Challan Master'!$S$4:$S$207,0)),""))</f>
      </c>
      <c r="D115" s="8"/>
      <c r="E115" s="8"/>
      <c r="F115" s="7">
        <f>IF($D115="","",IF(AND(LEN(TRIM(UPPER(E115)))=10,CODE(MID(TRIM(UPPER(E115)),1,1))&gt;=65,CODE(MID(TRIM(UPPER(E115)),1,1))&lt;=90,CODE(MID(TRIM(UPPER(E115)),2,1))&gt;=65,CODE(MID(TRIM(UPPER(E115)),2,1))&lt;=90,CODE(MID(TRIM(UPPER(E115)),3,1))&gt;=65,CODE(MID(TRIM(UPPER(E115)),3,1))&lt;=90,CODE(MID(TRIM(UPPER(E115)),4,1))&gt;=65,CODE(MID(TRIM(UPPER(E115)),4,1))&lt;=90,CODE(MID(TRIM(UPPER(E115)),5,1))&gt;=65,CODE(MID(TRIM(UPPER(E115)),5,1))&lt;=90,CODE(MID(TRIM(UPPER(E115)),10,1))&gt;=65,CODE(MID(TRIM(UPPER(E115)),10,1))&lt;=90,CODE(MID(TRIM(UPPER(E115)),6,1))&gt;=48,CODE(MID(TRIM(UPPER(E115)),6,1))&lt;=57,CODE(MID(TRIM(UPPER(E115)),7,1))&gt;=48,CODE(MID(TRIM(UPPER(E115)),7,1))&lt;=57,CODE(MID(TRIM(UPPER(E115)),8,1))&gt;=48,CODE(MID(TRIM(UPPER(E115)),8,1))&lt;=57,CODE(MID(TRIM(UPPER(E115)),9,1))&gt;=48,CODE(MID(TRIM(UPPER(E115)),9,1))&lt;=57),"N","Y"))</f>
      </c>
      <c r="G115" s="7">
        <f>IF($D115="","",IF(LEN(E115)&lt;4,"",IF(UPPER(MID(E115,4,1))="P","Individual",IF(UPPER(MID(E115,4,1))="H","HUF",IF(UPPER(MID(E115,4,1))="C","Company",IF(UPPER(MID(E115,4,1))="F","Firm",IF(UPPER(MID(E115,4,1))="L","LLP",IF(UPPER(MID(E115,4,1))="T","Trust",IF(UPPER(MID(E115,4,1))="A","AOP","")))))))))</f>
      </c>
      <c r="H115" s="8"/>
      <c r="I115" s="7">
        <f>IF($D115="","",IF(H115="","",IF(F115="Y",SUMPRODUCT(('Rate Lookup'!$A$1:$A$37=H115)*'Rate Lookup'!$D$1:$D$37),IF(OR(G115="Individual",G115="HUF"),SUMPRODUCT(('Rate Lookup'!$A$1:$A$37=H115)*'Rate Lookup'!$B$1:$B$37),SUMPRODUCT(('Rate Lookup'!$A$1:$A$37=H115)*'Rate Lookup'!$C$1:$C$37)))))</f>
      </c>
      <c r="J115" s="8"/>
      <c r="K115" s="8"/>
      <c r="L115" s="7">
        <f>IF($D115="","",ROUND(K115*I115/100,0))</f>
      </c>
      <c r="M115" s="7">
        <f>IF($D115="","",0)</f>
      </c>
      <c r="N115" s="7">
        <f>IF($D115="","",0)</f>
      </c>
      <c r="O115" s="7">
        <f>IF($D115="","",IF(OR(L115=0,J115="",IFERROR(INDEX('Challan Master'!$D$4:$D$207,MATCH($B115,'Challan Master'!$S$4:$S$207,0)),"")="",IFERROR(INDEX('Challan Master'!$D$4:$D$207,MATCH($B115,'Challan Master'!$S$4:$S$207,0)),"")&lt;=0),0,IF(IFERROR(INDEX('Challan Master'!$D$4:$D$207,MATCH($B115,'Challan Master'!$S$4:$S$207,0)),"")&lt;=DATE(YEAR(J115),MONTH(J115)+1,7),0,ROUND(L115*0.015*((YEAR(IFERROR(INDEX('Challan Master'!$D$4:$D$207,MATCH($B115,'Challan Master'!$S$4:$S$207,0)),""))-YEAR(J115))*12+(MONTH(IFERROR(INDEX('Challan Master'!$D$4:$D$207,MATCH($B115,'Challan Master'!$S$4:$S$207,0)),""))-MONTH(J115))+1),0))))</f>
      </c>
      <c r="P115" s="7">
        <f>IF($D115="","",0)</f>
      </c>
      <c r="Q115" s="8"/>
      <c r="R115" s="8"/>
      <c r="S115" s="8"/>
      <c r="T115" s="8"/>
      <c r="U115" s="8"/>
      <c r="V115" s="7">
        <f>IF($B115="","",IFERROR(INDEX('Challan Master'!$AA$4:$AA$207,MATCH($B115,'Challan Master'!$S$4:$S$207,0)),""))</f>
      </c>
    </row>
    <row r="116" spans="1:22" x14ac:dyDescent="0.25">
      <c r="A116" s="7">
        <f>IF($D116="","",COUNTIF($D$4:$D116,"&lt;&gt;"))</f>
      </c>
      <c r="B116" s="8"/>
      <c r="C116" s="7">
        <f>IF($B116="","","BSR "&amp;IFERROR(INDEX('Challan Master'!$B$4:$B$207,MATCH($B116,'Challan Master'!$S$4:$S$207,0)),"")&amp;" | Serial "&amp;IFERROR(INDEX('Challan Master'!$C$4:$C$207,MATCH($B116,'Challan Master'!$S$4:$S$207,0)),"")&amp;" | Deposit "&amp;TEXT(IFERROR(INDEX('Challan Master'!$D$4:$D$207,MATCH($B116,'Challan Master'!$S$4:$S$207,0)),""),"dd-mm-yyyy")&amp;" | Minor Head "&amp;IFERROR(INDEX('Challan Master'!$E$4:$E$207,MATCH($B116,'Challan Master'!$S$4:$S$207,0)),"")&amp;" | Tax ₹"&amp;TEXT(IFERROR(INDEX('Challan Master'!$G$4:$G$207,MATCH($B116,'Challan Master'!$S$4:$S$207,0)),""),"#,##0")&amp;" | Section "&amp;IFERROR(INDEX('Challan Master'!$F$4:$F$207,MATCH($B116,'Challan Master'!$S$4:$S$207,0)),""))</f>
      </c>
      <c r="D116" s="8"/>
      <c r="E116" s="8"/>
      <c r="F116" s="7">
        <f>IF($D116="","",IF(AND(LEN(TRIM(UPPER(E116)))=10,CODE(MID(TRIM(UPPER(E116)),1,1))&gt;=65,CODE(MID(TRIM(UPPER(E116)),1,1))&lt;=90,CODE(MID(TRIM(UPPER(E116)),2,1))&gt;=65,CODE(MID(TRIM(UPPER(E116)),2,1))&lt;=90,CODE(MID(TRIM(UPPER(E116)),3,1))&gt;=65,CODE(MID(TRIM(UPPER(E116)),3,1))&lt;=90,CODE(MID(TRIM(UPPER(E116)),4,1))&gt;=65,CODE(MID(TRIM(UPPER(E116)),4,1))&lt;=90,CODE(MID(TRIM(UPPER(E116)),5,1))&gt;=65,CODE(MID(TRIM(UPPER(E116)),5,1))&lt;=90,CODE(MID(TRIM(UPPER(E116)),10,1))&gt;=65,CODE(MID(TRIM(UPPER(E116)),10,1))&lt;=90,CODE(MID(TRIM(UPPER(E116)),6,1))&gt;=48,CODE(MID(TRIM(UPPER(E116)),6,1))&lt;=57,CODE(MID(TRIM(UPPER(E116)),7,1))&gt;=48,CODE(MID(TRIM(UPPER(E116)),7,1))&lt;=57,CODE(MID(TRIM(UPPER(E116)),8,1))&gt;=48,CODE(MID(TRIM(UPPER(E116)),8,1))&lt;=57,CODE(MID(TRIM(UPPER(E116)),9,1))&gt;=48,CODE(MID(TRIM(UPPER(E116)),9,1))&lt;=57),"N","Y"))</f>
      </c>
      <c r="G116" s="7">
        <f>IF($D116="","",IF(LEN(E116)&lt;4,"",IF(UPPER(MID(E116,4,1))="P","Individual",IF(UPPER(MID(E116,4,1))="H","HUF",IF(UPPER(MID(E116,4,1))="C","Company",IF(UPPER(MID(E116,4,1))="F","Firm",IF(UPPER(MID(E116,4,1))="L","LLP",IF(UPPER(MID(E116,4,1))="T","Trust",IF(UPPER(MID(E116,4,1))="A","AOP","")))))))))</f>
      </c>
      <c r="H116" s="8"/>
      <c r="I116" s="7">
        <f>IF($D116="","",IF(H116="","",IF(F116="Y",SUMPRODUCT(('Rate Lookup'!$A$1:$A$37=H116)*'Rate Lookup'!$D$1:$D$37),IF(OR(G116="Individual",G116="HUF"),SUMPRODUCT(('Rate Lookup'!$A$1:$A$37=H116)*'Rate Lookup'!$B$1:$B$37),SUMPRODUCT(('Rate Lookup'!$A$1:$A$37=H116)*'Rate Lookup'!$C$1:$C$37)))))</f>
      </c>
      <c r="J116" s="8"/>
      <c r="K116" s="8"/>
      <c r="L116" s="7">
        <f>IF($D116="","",ROUND(K116*I116/100,0))</f>
      </c>
      <c r="M116" s="7">
        <f>IF($D116="","",0)</f>
      </c>
      <c r="N116" s="7">
        <f>IF($D116="","",0)</f>
      </c>
      <c r="O116" s="7">
        <f>IF($D116="","",IF(OR(L116=0,J116="",IFERROR(INDEX('Challan Master'!$D$4:$D$207,MATCH($B116,'Challan Master'!$S$4:$S$207,0)),"")="",IFERROR(INDEX('Challan Master'!$D$4:$D$207,MATCH($B116,'Challan Master'!$S$4:$S$207,0)),"")&lt;=0),0,IF(IFERROR(INDEX('Challan Master'!$D$4:$D$207,MATCH($B116,'Challan Master'!$S$4:$S$207,0)),"")&lt;=DATE(YEAR(J116),MONTH(J116)+1,7),0,ROUND(L116*0.015*((YEAR(IFERROR(INDEX('Challan Master'!$D$4:$D$207,MATCH($B116,'Challan Master'!$S$4:$S$207,0)),""))-YEAR(J116))*12+(MONTH(IFERROR(INDEX('Challan Master'!$D$4:$D$207,MATCH($B116,'Challan Master'!$S$4:$S$207,0)),""))-MONTH(J116))+1),0))))</f>
      </c>
      <c r="P116" s="7">
        <f>IF($D116="","",0)</f>
      </c>
      <c r="Q116" s="8"/>
      <c r="R116" s="8"/>
      <c r="S116" s="8"/>
      <c r="T116" s="8"/>
      <c r="U116" s="8"/>
      <c r="V116" s="7">
        <f>IF($B116="","",IFERROR(INDEX('Challan Master'!$AA$4:$AA$207,MATCH($B116,'Challan Master'!$S$4:$S$207,0)),""))</f>
      </c>
    </row>
    <row r="117" spans="1:22" x14ac:dyDescent="0.25">
      <c r="A117" s="7">
        <f>IF($D117="","",COUNTIF($D$4:$D117,"&lt;&gt;"))</f>
      </c>
      <c r="B117" s="8"/>
      <c r="C117" s="7">
        <f>IF($B117="","","BSR "&amp;IFERROR(INDEX('Challan Master'!$B$4:$B$207,MATCH($B117,'Challan Master'!$S$4:$S$207,0)),"")&amp;" | Serial "&amp;IFERROR(INDEX('Challan Master'!$C$4:$C$207,MATCH($B117,'Challan Master'!$S$4:$S$207,0)),"")&amp;" | Deposit "&amp;TEXT(IFERROR(INDEX('Challan Master'!$D$4:$D$207,MATCH($B117,'Challan Master'!$S$4:$S$207,0)),""),"dd-mm-yyyy")&amp;" | Minor Head "&amp;IFERROR(INDEX('Challan Master'!$E$4:$E$207,MATCH($B117,'Challan Master'!$S$4:$S$207,0)),"")&amp;" | Tax ₹"&amp;TEXT(IFERROR(INDEX('Challan Master'!$G$4:$G$207,MATCH($B117,'Challan Master'!$S$4:$S$207,0)),""),"#,##0")&amp;" | Section "&amp;IFERROR(INDEX('Challan Master'!$F$4:$F$207,MATCH($B117,'Challan Master'!$S$4:$S$207,0)),""))</f>
      </c>
      <c r="D117" s="8"/>
      <c r="E117" s="8"/>
      <c r="F117" s="7">
        <f>IF($D117="","",IF(AND(LEN(TRIM(UPPER(E117)))=10,CODE(MID(TRIM(UPPER(E117)),1,1))&gt;=65,CODE(MID(TRIM(UPPER(E117)),1,1))&lt;=90,CODE(MID(TRIM(UPPER(E117)),2,1))&gt;=65,CODE(MID(TRIM(UPPER(E117)),2,1))&lt;=90,CODE(MID(TRIM(UPPER(E117)),3,1))&gt;=65,CODE(MID(TRIM(UPPER(E117)),3,1))&lt;=90,CODE(MID(TRIM(UPPER(E117)),4,1))&gt;=65,CODE(MID(TRIM(UPPER(E117)),4,1))&lt;=90,CODE(MID(TRIM(UPPER(E117)),5,1))&gt;=65,CODE(MID(TRIM(UPPER(E117)),5,1))&lt;=90,CODE(MID(TRIM(UPPER(E117)),10,1))&gt;=65,CODE(MID(TRIM(UPPER(E117)),10,1))&lt;=90,CODE(MID(TRIM(UPPER(E117)),6,1))&gt;=48,CODE(MID(TRIM(UPPER(E117)),6,1))&lt;=57,CODE(MID(TRIM(UPPER(E117)),7,1))&gt;=48,CODE(MID(TRIM(UPPER(E117)),7,1))&lt;=57,CODE(MID(TRIM(UPPER(E117)),8,1))&gt;=48,CODE(MID(TRIM(UPPER(E117)),8,1))&lt;=57,CODE(MID(TRIM(UPPER(E117)),9,1))&gt;=48,CODE(MID(TRIM(UPPER(E117)),9,1))&lt;=57),"N","Y"))</f>
      </c>
      <c r="G117" s="7">
        <f>IF($D117="","",IF(LEN(E117)&lt;4,"",IF(UPPER(MID(E117,4,1))="P","Individual",IF(UPPER(MID(E117,4,1))="H","HUF",IF(UPPER(MID(E117,4,1))="C","Company",IF(UPPER(MID(E117,4,1))="F","Firm",IF(UPPER(MID(E117,4,1))="L","LLP",IF(UPPER(MID(E117,4,1))="T","Trust",IF(UPPER(MID(E117,4,1))="A","AOP","")))))))))</f>
      </c>
      <c r="H117" s="8"/>
      <c r="I117" s="7">
        <f>IF($D117="","",IF(H117="","",IF(F117="Y",SUMPRODUCT(('Rate Lookup'!$A$1:$A$37=H117)*'Rate Lookup'!$D$1:$D$37),IF(OR(G117="Individual",G117="HUF"),SUMPRODUCT(('Rate Lookup'!$A$1:$A$37=H117)*'Rate Lookup'!$B$1:$B$37),SUMPRODUCT(('Rate Lookup'!$A$1:$A$37=H117)*'Rate Lookup'!$C$1:$C$37)))))</f>
      </c>
      <c r="J117" s="8"/>
      <c r="K117" s="8"/>
      <c r="L117" s="7">
        <f>IF($D117="","",ROUND(K117*I117/100,0))</f>
      </c>
      <c r="M117" s="7">
        <f>IF($D117="","",0)</f>
      </c>
      <c r="N117" s="7">
        <f>IF($D117="","",0)</f>
      </c>
      <c r="O117" s="7">
        <f>IF($D117="","",IF(OR(L117=0,J117="",IFERROR(INDEX('Challan Master'!$D$4:$D$207,MATCH($B117,'Challan Master'!$S$4:$S$207,0)),"")="",IFERROR(INDEX('Challan Master'!$D$4:$D$207,MATCH($B117,'Challan Master'!$S$4:$S$207,0)),"")&lt;=0),0,IF(IFERROR(INDEX('Challan Master'!$D$4:$D$207,MATCH($B117,'Challan Master'!$S$4:$S$207,0)),"")&lt;=DATE(YEAR(J117),MONTH(J117)+1,7),0,ROUND(L117*0.015*((YEAR(IFERROR(INDEX('Challan Master'!$D$4:$D$207,MATCH($B117,'Challan Master'!$S$4:$S$207,0)),""))-YEAR(J117))*12+(MONTH(IFERROR(INDEX('Challan Master'!$D$4:$D$207,MATCH($B117,'Challan Master'!$S$4:$S$207,0)),""))-MONTH(J117))+1),0))))</f>
      </c>
      <c r="P117" s="7">
        <f>IF($D117="","",0)</f>
      </c>
      <c r="Q117" s="8"/>
      <c r="R117" s="8"/>
      <c r="S117" s="8"/>
      <c r="T117" s="8"/>
      <c r="U117" s="8"/>
      <c r="V117" s="7">
        <f>IF($B117="","",IFERROR(INDEX('Challan Master'!$AA$4:$AA$207,MATCH($B117,'Challan Master'!$S$4:$S$207,0)),""))</f>
      </c>
    </row>
    <row r="118" spans="1:22" x14ac:dyDescent="0.25">
      <c r="A118" s="7">
        <f>IF($D118="","",COUNTIF($D$4:$D118,"&lt;&gt;"))</f>
      </c>
      <c r="B118" s="8"/>
      <c r="C118" s="7">
        <f>IF($B118="","","BSR "&amp;IFERROR(INDEX('Challan Master'!$B$4:$B$207,MATCH($B118,'Challan Master'!$S$4:$S$207,0)),"")&amp;" | Serial "&amp;IFERROR(INDEX('Challan Master'!$C$4:$C$207,MATCH($B118,'Challan Master'!$S$4:$S$207,0)),"")&amp;" | Deposit "&amp;TEXT(IFERROR(INDEX('Challan Master'!$D$4:$D$207,MATCH($B118,'Challan Master'!$S$4:$S$207,0)),""),"dd-mm-yyyy")&amp;" | Minor Head "&amp;IFERROR(INDEX('Challan Master'!$E$4:$E$207,MATCH($B118,'Challan Master'!$S$4:$S$207,0)),"")&amp;" | Tax ₹"&amp;TEXT(IFERROR(INDEX('Challan Master'!$G$4:$G$207,MATCH($B118,'Challan Master'!$S$4:$S$207,0)),""),"#,##0")&amp;" | Section "&amp;IFERROR(INDEX('Challan Master'!$F$4:$F$207,MATCH($B118,'Challan Master'!$S$4:$S$207,0)),""))</f>
      </c>
      <c r="D118" s="8"/>
      <c r="E118" s="8"/>
      <c r="F118" s="7">
        <f>IF($D118="","",IF(AND(LEN(TRIM(UPPER(E118)))=10,CODE(MID(TRIM(UPPER(E118)),1,1))&gt;=65,CODE(MID(TRIM(UPPER(E118)),1,1))&lt;=90,CODE(MID(TRIM(UPPER(E118)),2,1))&gt;=65,CODE(MID(TRIM(UPPER(E118)),2,1))&lt;=90,CODE(MID(TRIM(UPPER(E118)),3,1))&gt;=65,CODE(MID(TRIM(UPPER(E118)),3,1))&lt;=90,CODE(MID(TRIM(UPPER(E118)),4,1))&gt;=65,CODE(MID(TRIM(UPPER(E118)),4,1))&lt;=90,CODE(MID(TRIM(UPPER(E118)),5,1))&gt;=65,CODE(MID(TRIM(UPPER(E118)),5,1))&lt;=90,CODE(MID(TRIM(UPPER(E118)),10,1))&gt;=65,CODE(MID(TRIM(UPPER(E118)),10,1))&lt;=90,CODE(MID(TRIM(UPPER(E118)),6,1))&gt;=48,CODE(MID(TRIM(UPPER(E118)),6,1))&lt;=57,CODE(MID(TRIM(UPPER(E118)),7,1))&gt;=48,CODE(MID(TRIM(UPPER(E118)),7,1))&lt;=57,CODE(MID(TRIM(UPPER(E118)),8,1))&gt;=48,CODE(MID(TRIM(UPPER(E118)),8,1))&lt;=57,CODE(MID(TRIM(UPPER(E118)),9,1))&gt;=48,CODE(MID(TRIM(UPPER(E118)),9,1))&lt;=57),"N","Y"))</f>
      </c>
      <c r="G118" s="7">
        <f>IF($D118="","",IF(LEN(E118)&lt;4,"",IF(UPPER(MID(E118,4,1))="P","Individual",IF(UPPER(MID(E118,4,1))="H","HUF",IF(UPPER(MID(E118,4,1))="C","Company",IF(UPPER(MID(E118,4,1))="F","Firm",IF(UPPER(MID(E118,4,1))="L","LLP",IF(UPPER(MID(E118,4,1))="T","Trust",IF(UPPER(MID(E118,4,1))="A","AOP","")))))))))</f>
      </c>
      <c r="H118" s="8"/>
      <c r="I118" s="7">
        <f>IF($D118="","",IF(H118="","",IF(F118="Y",SUMPRODUCT(('Rate Lookup'!$A$1:$A$37=H118)*'Rate Lookup'!$D$1:$D$37),IF(OR(G118="Individual",G118="HUF"),SUMPRODUCT(('Rate Lookup'!$A$1:$A$37=H118)*'Rate Lookup'!$B$1:$B$37),SUMPRODUCT(('Rate Lookup'!$A$1:$A$37=H118)*'Rate Lookup'!$C$1:$C$37)))))</f>
      </c>
      <c r="J118" s="8"/>
      <c r="K118" s="8"/>
      <c r="L118" s="7">
        <f>IF($D118="","",ROUND(K118*I118/100,0))</f>
      </c>
      <c r="M118" s="7">
        <f>IF($D118="","",0)</f>
      </c>
      <c r="N118" s="7">
        <f>IF($D118="","",0)</f>
      </c>
      <c r="O118" s="7">
        <f>IF($D118="","",IF(OR(L118=0,J118="",IFERROR(INDEX('Challan Master'!$D$4:$D$207,MATCH($B118,'Challan Master'!$S$4:$S$207,0)),"")="",IFERROR(INDEX('Challan Master'!$D$4:$D$207,MATCH($B118,'Challan Master'!$S$4:$S$207,0)),"")&lt;=0),0,IF(IFERROR(INDEX('Challan Master'!$D$4:$D$207,MATCH($B118,'Challan Master'!$S$4:$S$207,0)),"")&lt;=DATE(YEAR(J118),MONTH(J118)+1,7),0,ROUND(L118*0.015*((YEAR(IFERROR(INDEX('Challan Master'!$D$4:$D$207,MATCH($B118,'Challan Master'!$S$4:$S$207,0)),""))-YEAR(J118))*12+(MONTH(IFERROR(INDEX('Challan Master'!$D$4:$D$207,MATCH($B118,'Challan Master'!$S$4:$S$207,0)),""))-MONTH(J118))+1),0))))</f>
      </c>
      <c r="P118" s="7">
        <f>IF($D118="","",0)</f>
      </c>
      <c r="Q118" s="8"/>
      <c r="R118" s="8"/>
      <c r="S118" s="8"/>
      <c r="T118" s="8"/>
      <c r="U118" s="8"/>
      <c r="V118" s="7">
        <f>IF($B118="","",IFERROR(INDEX('Challan Master'!$AA$4:$AA$207,MATCH($B118,'Challan Master'!$S$4:$S$207,0)),""))</f>
      </c>
    </row>
    <row r="119" spans="1:22" x14ac:dyDescent="0.25">
      <c r="A119" s="7">
        <f>IF($D119="","",COUNTIF($D$4:$D119,"&lt;&gt;"))</f>
      </c>
      <c r="B119" s="8"/>
      <c r="C119" s="7">
        <f>IF($B119="","","BSR "&amp;IFERROR(INDEX('Challan Master'!$B$4:$B$207,MATCH($B119,'Challan Master'!$S$4:$S$207,0)),"")&amp;" | Serial "&amp;IFERROR(INDEX('Challan Master'!$C$4:$C$207,MATCH($B119,'Challan Master'!$S$4:$S$207,0)),"")&amp;" | Deposit "&amp;TEXT(IFERROR(INDEX('Challan Master'!$D$4:$D$207,MATCH($B119,'Challan Master'!$S$4:$S$207,0)),""),"dd-mm-yyyy")&amp;" | Minor Head "&amp;IFERROR(INDEX('Challan Master'!$E$4:$E$207,MATCH($B119,'Challan Master'!$S$4:$S$207,0)),"")&amp;" | Tax ₹"&amp;TEXT(IFERROR(INDEX('Challan Master'!$G$4:$G$207,MATCH($B119,'Challan Master'!$S$4:$S$207,0)),""),"#,##0")&amp;" | Section "&amp;IFERROR(INDEX('Challan Master'!$F$4:$F$207,MATCH($B119,'Challan Master'!$S$4:$S$207,0)),""))</f>
      </c>
      <c r="D119" s="8"/>
      <c r="E119" s="8"/>
      <c r="F119" s="7">
        <f>IF($D119="","",IF(AND(LEN(TRIM(UPPER(E119)))=10,CODE(MID(TRIM(UPPER(E119)),1,1))&gt;=65,CODE(MID(TRIM(UPPER(E119)),1,1))&lt;=90,CODE(MID(TRIM(UPPER(E119)),2,1))&gt;=65,CODE(MID(TRIM(UPPER(E119)),2,1))&lt;=90,CODE(MID(TRIM(UPPER(E119)),3,1))&gt;=65,CODE(MID(TRIM(UPPER(E119)),3,1))&lt;=90,CODE(MID(TRIM(UPPER(E119)),4,1))&gt;=65,CODE(MID(TRIM(UPPER(E119)),4,1))&lt;=90,CODE(MID(TRIM(UPPER(E119)),5,1))&gt;=65,CODE(MID(TRIM(UPPER(E119)),5,1))&lt;=90,CODE(MID(TRIM(UPPER(E119)),10,1))&gt;=65,CODE(MID(TRIM(UPPER(E119)),10,1))&lt;=90,CODE(MID(TRIM(UPPER(E119)),6,1))&gt;=48,CODE(MID(TRIM(UPPER(E119)),6,1))&lt;=57,CODE(MID(TRIM(UPPER(E119)),7,1))&gt;=48,CODE(MID(TRIM(UPPER(E119)),7,1))&lt;=57,CODE(MID(TRIM(UPPER(E119)),8,1))&gt;=48,CODE(MID(TRIM(UPPER(E119)),8,1))&lt;=57,CODE(MID(TRIM(UPPER(E119)),9,1))&gt;=48,CODE(MID(TRIM(UPPER(E119)),9,1))&lt;=57),"N","Y"))</f>
      </c>
      <c r="G119" s="7">
        <f>IF($D119="","",IF(LEN(E119)&lt;4,"",IF(UPPER(MID(E119,4,1))="P","Individual",IF(UPPER(MID(E119,4,1))="H","HUF",IF(UPPER(MID(E119,4,1))="C","Company",IF(UPPER(MID(E119,4,1))="F","Firm",IF(UPPER(MID(E119,4,1))="L","LLP",IF(UPPER(MID(E119,4,1))="T","Trust",IF(UPPER(MID(E119,4,1))="A","AOP","")))))))))</f>
      </c>
      <c r="H119" s="8"/>
      <c r="I119" s="7">
        <f>IF($D119="","",IF(H119="","",IF(F119="Y",SUMPRODUCT(('Rate Lookup'!$A$1:$A$37=H119)*'Rate Lookup'!$D$1:$D$37),IF(OR(G119="Individual",G119="HUF"),SUMPRODUCT(('Rate Lookup'!$A$1:$A$37=H119)*'Rate Lookup'!$B$1:$B$37),SUMPRODUCT(('Rate Lookup'!$A$1:$A$37=H119)*'Rate Lookup'!$C$1:$C$37)))))</f>
      </c>
      <c r="J119" s="8"/>
      <c r="K119" s="8"/>
      <c r="L119" s="7">
        <f>IF($D119="","",ROUND(K119*I119/100,0))</f>
      </c>
      <c r="M119" s="7">
        <f>IF($D119="","",0)</f>
      </c>
      <c r="N119" s="7">
        <f>IF($D119="","",0)</f>
      </c>
      <c r="O119" s="7">
        <f>IF($D119="","",IF(OR(L119=0,J119="",IFERROR(INDEX('Challan Master'!$D$4:$D$207,MATCH($B119,'Challan Master'!$S$4:$S$207,0)),"")="",IFERROR(INDEX('Challan Master'!$D$4:$D$207,MATCH($B119,'Challan Master'!$S$4:$S$207,0)),"")&lt;=0),0,IF(IFERROR(INDEX('Challan Master'!$D$4:$D$207,MATCH($B119,'Challan Master'!$S$4:$S$207,0)),"")&lt;=DATE(YEAR(J119),MONTH(J119)+1,7),0,ROUND(L119*0.015*((YEAR(IFERROR(INDEX('Challan Master'!$D$4:$D$207,MATCH($B119,'Challan Master'!$S$4:$S$207,0)),""))-YEAR(J119))*12+(MONTH(IFERROR(INDEX('Challan Master'!$D$4:$D$207,MATCH($B119,'Challan Master'!$S$4:$S$207,0)),""))-MONTH(J119))+1),0))))</f>
      </c>
      <c r="P119" s="7">
        <f>IF($D119="","",0)</f>
      </c>
      <c r="Q119" s="8"/>
      <c r="R119" s="8"/>
      <c r="S119" s="8"/>
      <c r="T119" s="8"/>
      <c r="U119" s="8"/>
      <c r="V119" s="7">
        <f>IF($B119="","",IFERROR(INDEX('Challan Master'!$AA$4:$AA$207,MATCH($B119,'Challan Master'!$S$4:$S$207,0)),""))</f>
      </c>
    </row>
    <row r="120" spans="1:22" x14ac:dyDescent="0.25">
      <c r="A120" s="7">
        <f>IF($D120="","",COUNTIF($D$4:$D120,"&lt;&gt;"))</f>
      </c>
      <c r="B120" s="8"/>
      <c r="C120" s="7">
        <f>IF($B120="","","BSR "&amp;IFERROR(INDEX('Challan Master'!$B$4:$B$207,MATCH($B120,'Challan Master'!$S$4:$S$207,0)),"")&amp;" | Serial "&amp;IFERROR(INDEX('Challan Master'!$C$4:$C$207,MATCH($B120,'Challan Master'!$S$4:$S$207,0)),"")&amp;" | Deposit "&amp;TEXT(IFERROR(INDEX('Challan Master'!$D$4:$D$207,MATCH($B120,'Challan Master'!$S$4:$S$207,0)),""),"dd-mm-yyyy")&amp;" | Minor Head "&amp;IFERROR(INDEX('Challan Master'!$E$4:$E$207,MATCH($B120,'Challan Master'!$S$4:$S$207,0)),"")&amp;" | Tax ₹"&amp;TEXT(IFERROR(INDEX('Challan Master'!$G$4:$G$207,MATCH($B120,'Challan Master'!$S$4:$S$207,0)),""),"#,##0")&amp;" | Section "&amp;IFERROR(INDEX('Challan Master'!$F$4:$F$207,MATCH($B120,'Challan Master'!$S$4:$S$207,0)),""))</f>
      </c>
      <c r="D120" s="8"/>
      <c r="E120" s="8"/>
      <c r="F120" s="7">
        <f>IF($D120="","",IF(AND(LEN(TRIM(UPPER(E120)))=10,CODE(MID(TRIM(UPPER(E120)),1,1))&gt;=65,CODE(MID(TRIM(UPPER(E120)),1,1))&lt;=90,CODE(MID(TRIM(UPPER(E120)),2,1))&gt;=65,CODE(MID(TRIM(UPPER(E120)),2,1))&lt;=90,CODE(MID(TRIM(UPPER(E120)),3,1))&gt;=65,CODE(MID(TRIM(UPPER(E120)),3,1))&lt;=90,CODE(MID(TRIM(UPPER(E120)),4,1))&gt;=65,CODE(MID(TRIM(UPPER(E120)),4,1))&lt;=90,CODE(MID(TRIM(UPPER(E120)),5,1))&gt;=65,CODE(MID(TRIM(UPPER(E120)),5,1))&lt;=90,CODE(MID(TRIM(UPPER(E120)),10,1))&gt;=65,CODE(MID(TRIM(UPPER(E120)),10,1))&lt;=90,CODE(MID(TRIM(UPPER(E120)),6,1))&gt;=48,CODE(MID(TRIM(UPPER(E120)),6,1))&lt;=57,CODE(MID(TRIM(UPPER(E120)),7,1))&gt;=48,CODE(MID(TRIM(UPPER(E120)),7,1))&lt;=57,CODE(MID(TRIM(UPPER(E120)),8,1))&gt;=48,CODE(MID(TRIM(UPPER(E120)),8,1))&lt;=57,CODE(MID(TRIM(UPPER(E120)),9,1))&gt;=48,CODE(MID(TRIM(UPPER(E120)),9,1))&lt;=57),"N","Y"))</f>
      </c>
      <c r="G120" s="7">
        <f>IF($D120="","",IF(LEN(E120)&lt;4,"",IF(UPPER(MID(E120,4,1))="P","Individual",IF(UPPER(MID(E120,4,1))="H","HUF",IF(UPPER(MID(E120,4,1))="C","Company",IF(UPPER(MID(E120,4,1))="F","Firm",IF(UPPER(MID(E120,4,1))="L","LLP",IF(UPPER(MID(E120,4,1))="T","Trust",IF(UPPER(MID(E120,4,1))="A","AOP","")))))))))</f>
      </c>
      <c r="H120" s="8"/>
      <c r="I120" s="7">
        <f>IF($D120="","",IF(H120="","",IF(F120="Y",SUMPRODUCT(('Rate Lookup'!$A$1:$A$37=H120)*'Rate Lookup'!$D$1:$D$37),IF(OR(G120="Individual",G120="HUF"),SUMPRODUCT(('Rate Lookup'!$A$1:$A$37=H120)*'Rate Lookup'!$B$1:$B$37),SUMPRODUCT(('Rate Lookup'!$A$1:$A$37=H120)*'Rate Lookup'!$C$1:$C$37)))))</f>
      </c>
      <c r="J120" s="8"/>
      <c r="K120" s="8"/>
      <c r="L120" s="7">
        <f>IF($D120="","",ROUND(K120*I120/100,0))</f>
      </c>
      <c r="M120" s="7">
        <f>IF($D120="","",0)</f>
      </c>
      <c r="N120" s="7">
        <f>IF($D120="","",0)</f>
      </c>
      <c r="O120" s="7">
        <f>IF($D120="","",IF(OR(L120=0,J120="",IFERROR(INDEX('Challan Master'!$D$4:$D$207,MATCH($B120,'Challan Master'!$S$4:$S$207,0)),"")="",IFERROR(INDEX('Challan Master'!$D$4:$D$207,MATCH($B120,'Challan Master'!$S$4:$S$207,0)),"")&lt;=0),0,IF(IFERROR(INDEX('Challan Master'!$D$4:$D$207,MATCH($B120,'Challan Master'!$S$4:$S$207,0)),"")&lt;=DATE(YEAR(J120),MONTH(J120)+1,7),0,ROUND(L120*0.015*((YEAR(IFERROR(INDEX('Challan Master'!$D$4:$D$207,MATCH($B120,'Challan Master'!$S$4:$S$207,0)),""))-YEAR(J120))*12+(MONTH(IFERROR(INDEX('Challan Master'!$D$4:$D$207,MATCH($B120,'Challan Master'!$S$4:$S$207,0)),""))-MONTH(J120))+1),0))))</f>
      </c>
      <c r="P120" s="7">
        <f>IF($D120="","",0)</f>
      </c>
      <c r="Q120" s="8"/>
      <c r="R120" s="8"/>
      <c r="S120" s="8"/>
      <c r="T120" s="8"/>
      <c r="U120" s="8"/>
      <c r="V120" s="7">
        <f>IF($B120="","",IFERROR(INDEX('Challan Master'!$AA$4:$AA$207,MATCH($B120,'Challan Master'!$S$4:$S$207,0)),""))</f>
      </c>
    </row>
    <row r="121" spans="1:22" x14ac:dyDescent="0.25">
      <c r="A121" s="7">
        <f>IF($D121="","",COUNTIF($D$4:$D121,"&lt;&gt;"))</f>
      </c>
      <c r="B121" s="8"/>
      <c r="C121" s="7">
        <f>IF($B121="","","BSR "&amp;IFERROR(INDEX('Challan Master'!$B$4:$B$207,MATCH($B121,'Challan Master'!$S$4:$S$207,0)),"")&amp;" | Serial "&amp;IFERROR(INDEX('Challan Master'!$C$4:$C$207,MATCH($B121,'Challan Master'!$S$4:$S$207,0)),"")&amp;" | Deposit "&amp;TEXT(IFERROR(INDEX('Challan Master'!$D$4:$D$207,MATCH($B121,'Challan Master'!$S$4:$S$207,0)),""),"dd-mm-yyyy")&amp;" | Minor Head "&amp;IFERROR(INDEX('Challan Master'!$E$4:$E$207,MATCH($B121,'Challan Master'!$S$4:$S$207,0)),"")&amp;" | Tax ₹"&amp;TEXT(IFERROR(INDEX('Challan Master'!$G$4:$G$207,MATCH($B121,'Challan Master'!$S$4:$S$207,0)),""),"#,##0")&amp;" | Section "&amp;IFERROR(INDEX('Challan Master'!$F$4:$F$207,MATCH($B121,'Challan Master'!$S$4:$S$207,0)),""))</f>
      </c>
      <c r="D121" s="8"/>
      <c r="E121" s="8"/>
      <c r="F121" s="7">
        <f>IF($D121="","",IF(AND(LEN(TRIM(UPPER(E121)))=10,CODE(MID(TRIM(UPPER(E121)),1,1))&gt;=65,CODE(MID(TRIM(UPPER(E121)),1,1))&lt;=90,CODE(MID(TRIM(UPPER(E121)),2,1))&gt;=65,CODE(MID(TRIM(UPPER(E121)),2,1))&lt;=90,CODE(MID(TRIM(UPPER(E121)),3,1))&gt;=65,CODE(MID(TRIM(UPPER(E121)),3,1))&lt;=90,CODE(MID(TRIM(UPPER(E121)),4,1))&gt;=65,CODE(MID(TRIM(UPPER(E121)),4,1))&lt;=90,CODE(MID(TRIM(UPPER(E121)),5,1))&gt;=65,CODE(MID(TRIM(UPPER(E121)),5,1))&lt;=90,CODE(MID(TRIM(UPPER(E121)),10,1))&gt;=65,CODE(MID(TRIM(UPPER(E121)),10,1))&lt;=90,CODE(MID(TRIM(UPPER(E121)),6,1))&gt;=48,CODE(MID(TRIM(UPPER(E121)),6,1))&lt;=57,CODE(MID(TRIM(UPPER(E121)),7,1))&gt;=48,CODE(MID(TRIM(UPPER(E121)),7,1))&lt;=57,CODE(MID(TRIM(UPPER(E121)),8,1))&gt;=48,CODE(MID(TRIM(UPPER(E121)),8,1))&lt;=57,CODE(MID(TRIM(UPPER(E121)),9,1))&gt;=48,CODE(MID(TRIM(UPPER(E121)),9,1))&lt;=57),"N","Y"))</f>
      </c>
      <c r="G121" s="7">
        <f>IF($D121="","",IF(LEN(E121)&lt;4,"",IF(UPPER(MID(E121,4,1))="P","Individual",IF(UPPER(MID(E121,4,1))="H","HUF",IF(UPPER(MID(E121,4,1))="C","Company",IF(UPPER(MID(E121,4,1))="F","Firm",IF(UPPER(MID(E121,4,1))="L","LLP",IF(UPPER(MID(E121,4,1))="T","Trust",IF(UPPER(MID(E121,4,1))="A","AOP","")))))))))</f>
      </c>
      <c r="H121" s="8"/>
      <c r="I121" s="7">
        <f>IF($D121="","",IF(H121="","",IF(F121="Y",SUMPRODUCT(('Rate Lookup'!$A$1:$A$37=H121)*'Rate Lookup'!$D$1:$D$37),IF(OR(G121="Individual",G121="HUF"),SUMPRODUCT(('Rate Lookup'!$A$1:$A$37=H121)*'Rate Lookup'!$B$1:$B$37),SUMPRODUCT(('Rate Lookup'!$A$1:$A$37=H121)*'Rate Lookup'!$C$1:$C$37)))))</f>
      </c>
      <c r="J121" s="8"/>
      <c r="K121" s="8"/>
      <c r="L121" s="7">
        <f>IF($D121="","",ROUND(K121*I121/100,0))</f>
      </c>
      <c r="M121" s="7">
        <f>IF($D121="","",0)</f>
      </c>
      <c r="N121" s="7">
        <f>IF($D121="","",0)</f>
      </c>
      <c r="O121" s="7">
        <f>IF($D121="","",IF(OR(L121=0,J121="",IFERROR(INDEX('Challan Master'!$D$4:$D$207,MATCH($B121,'Challan Master'!$S$4:$S$207,0)),"")="",IFERROR(INDEX('Challan Master'!$D$4:$D$207,MATCH($B121,'Challan Master'!$S$4:$S$207,0)),"")&lt;=0),0,IF(IFERROR(INDEX('Challan Master'!$D$4:$D$207,MATCH($B121,'Challan Master'!$S$4:$S$207,0)),"")&lt;=DATE(YEAR(J121),MONTH(J121)+1,7),0,ROUND(L121*0.015*((YEAR(IFERROR(INDEX('Challan Master'!$D$4:$D$207,MATCH($B121,'Challan Master'!$S$4:$S$207,0)),""))-YEAR(J121))*12+(MONTH(IFERROR(INDEX('Challan Master'!$D$4:$D$207,MATCH($B121,'Challan Master'!$S$4:$S$207,0)),""))-MONTH(J121))+1),0))))</f>
      </c>
      <c r="P121" s="7">
        <f>IF($D121="","",0)</f>
      </c>
      <c r="Q121" s="8"/>
      <c r="R121" s="8"/>
      <c r="S121" s="8"/>
      <c r="T121" s="8"/>
      <c r="U121" s="8"/>
      <c r="V121" s="7">
        <f>IF($B121="","",IFERROR(INDEX('Challan Master'!$AA$4:$AA$207,MATCH($B121,'Challan Master'!$S$4:$S$207,0)),""))</f>
      </c>
    </row>
    <row r="122" spans="1:22" x14ac:dyDescent="0.25">
      <c r="A122" s="7">
        <f>IF($D122="","",COUNTIF($D$4:$D122,"&lt;&gt;"))</f>
      </c>
      <c r="B122" s="8"/>
      <c r="C122" s="7">
        <f>IF($B122="","","BSR "&amp;IFERROR(INDEX('Challan Master'!$B$4:$B$207,MATCH($B122,'Challan Master'!$S$4:$S$207,0)),"")&amp;" | Serial "&amp;IFERROR(INDEX('Challan Master'!$C$4:$C$207,MATCH($B122,'Challan Master'!$S$4:$S$207,0)),"")&amp;" | Deposit "&amp;TEXT(IFERROR(INDEX('Challan Master'!$D$4:$D$207,MATCH($B122,'Challan Master'!$S$4:$S$207,0)),""),"dd-mm-yyyy")&amp;" | Minor Head "&amp;IFERROR(INDEX('Challan Master'!$E$4:$E$207,MATCH($B122,'Challan Master'!$S$4:$S$207,0)),"")&amp;" | Tax ₹"&amp;TEXT(IFERROR(INDEX('Challan Master'!$G$4:$G$207,MATCH($B122,'Challan Master'!$S$4:$S$207,0)),""),"#,##0")&amp;" | Section "&amp;IFERROR(INDEX('Challan Master'!$F$4:$F$207,MATCH($B122,'Challan Master'!$S$4:$S$207,0)),""))</f>
      </c>
      <c r="D122" s="8"/>
      <c r="E122" s="8"/>
      <c r="F122" s="7">
        <f>IF($D122="","",IF(AND(LEN(TRIM(UPPER(E122)))=10,CODE(MID(TRIM(UPPER(E122)),1,1))&gt;=65,CODE(MID(TRIM(UPPER(E122)),1,1))&lt;=90,CODE(MID(TRIM(UPPER(E122)),2,1))&gt;=65,CODE(MID(TRIM(UPPER(E122)),2,1))&lt;=90,CODE(MID(TRIM(UPPER(E122)),3,1))&gt;=65,CODE(MID(TRIM(UPPER(E122)),3,1))&lt;=90,CODE(MID(TRIM(UPPER(E122)),4,1))&gt;=65,CODE(MID(TRIM(UPPER(E122)),4,1))&lt;=90,CODE(MID(TRIM(UPPER(E122)),5,1))&gt;=65,CODE(MID(TRIM(UPPER(E122)),5,1))&lt;=90,CODE(MID(TRIM(UPPER(E122)),10,1))&gt;=65,CODE(MID(TRIM(UPPER(E122)),10,1))&lt;=90,CODE(MID(TRIM(UPPER(E122)),6,1))&gt;=48,CODE(MID(TRIM(UPPER(E122)),6,1))&lt;=57,CODE(MID(TRIM(UPPER(E122)),7,1))&gt;=48,CODE(MID(TRIM(UPPER(E122)),7,1))&lt;=57,CODE(MID(TRIM(UPPER(E122)),8,1))&gt;=48,CODE(MID(TRIM(UPPER(E122)),8,1))&lt;=57,CODE(MID(TRIM(UPPER(E122)),9,1))&gt;=48,CODE(MID(TRIM(UPPER(E122)),9,1))&lt;=57),"N","Y"))</f>
      </c>
      <c r="G122" s="7">
        <f>IF($D122="","",IF(LEN(E122)&lt;4,"",IF(UPPER(MID(E122,4,1))="P","Individual",IF(UPPER(MID(E122,4,1))="H","HUF",IF(UPPER(MID(E122,4,1))="C","Company",IF(UPPER(MID(E122,4,1))="F","Firm",IF(UPPER(MID(E122,4,1))="L","LLP",IF(UPPER(MID(E122,4,1))="T","Trust",IF(UPPER(MID(E122,4,1))="A","AOP","")))))))))</f>
      </c>
      <c r="H122" s="8"/>
      <c r="I122" s="7">
        <f>IF($D122="","",IF(H122="","",IF(F122="Y",SUMPRODUCT(('Rate Lookup'!$A$1:$A$37=H122)*'Rate Lookup'!$D$1:$D$37),IF(OR(G122="Individual",G122="HUF"),SUMPRODUCT(('Rate Lookup'!$A$1:$A$37=H122)*'Rate Lookup'!$B$1:$B$37),SUMPRODUCT(('Rate Lookup'!$A$1:$A$37=H122)*'Rate Lookup'!$C$1:$C$37)))))</f>
      </c>
      <c r="J122" s="8"/>
      <c r="K122" s="8"/>
      <c r="L122" s="7">
        <f>IF($D122="","",ROUND(K122*I122/100,0))</f>
      </c>
      <c r="M122" s="7">
        <f>IF($D122="","",0)</f>
      </c>
      <c r="N122" s="7">
        <f>IF($D122="","",0)</f>
      </c>
      <c r="O122" s="7">
        <f>IF($D122="","",IF(OR(L122=0,J122="",IFERROR(INDEX('Challan Master'!$D$4:$D$207,MATCH($B122,'Challan Master'!$S$4:$S$207,0)),"")="",IFERROR(INDEX('Challan Master'!$D$4:$D$207,MATCH($B122,'Challan Master'!$S$4:$S$207,0)),"")&lt;=0),0,IF(IFERROR(INDEX('Challan Master'!$D$4:$D$207,MATCH($B122,'Challan Master'!$S$4:$S$207,0)),"")&lt;=DATE(YEAR(J122),MONTH(J122)+1,7),0,ROUND(L122*0.015*((YEAR(IFERROR(INDEX('Challan Master'!$D$4:$D$207,MATCH($B122,'Challan Master'!$S$4:$S$207,0)),""))-YEAR(J122))*12+(MONTH(IFERROR(INDEX('Challan Master'!$D$4:$D$207,MATCH($B122,'Challan Master'!$S$4:$S$207,0)),""))-MONTH(J122))+1),0))))</f>
      </c>
      <c r="P122" s="7">
        <f>IF($D122="","",0)</f>
      </c>
      <c r="Q122" s="8"/>
      <c r="R122" s="8"/>
      <c r="S122" s="8"/>
      <c r="T122" s="8"/>
      <c r="U122" s="8"/>
      <c r="V122" s="7">
        <f>IF($B122="","",IFERROR(INDEX('Challan Master'!$AA$4:$AA$207,MATCH($B122,'Challan Master'!$S$4:$S$207,0)),""))</f>
      </c>
    </row>
    <row r="123" spans="1:22" x14ac:dyDescent="0.25">
      <c r="A123" s="7">
        <f>IF($D123="","",COUNTIF($D$4:$D123,"&lt;&gt;"))</f>
      </c>
      <c r="B123" s="8"/>
      <c r="C123" s="7">
        <f>IF($B123="","","BSR "&amp;IFERROR(INDEX('Challan Master'!$B$4:$B$207,MATCH($B123,'Challan Master'!$S$4:$S$207,0)),"")&amp;" | Serial "&amp;IFERROR(INDEX('Challan Master'!$C$4:$C$207,MATCH($B123,'Challan Master'!$S$4:$S$207,0)),"")&amp;" | Deposit "&amp;TEXT(IFERROR(INDEX('Challan Master'!$D$4:$D$207,MATCH($B123,'Challan Master'!$S$4:$S$207,0)),""),"dd-mm-yyyy")&amp;" | Minor Head "&amp;IFERROR(INDEX('Challan Master'!$E$4:$E$207,MATCH($B123,'Challan Master'!$S$4:$S$207,0)),"")&amp;" | Tax ₹"&amp;TEXT(IFERROR(INDEX('Challan Master'!$G$4:$G$207,MATCH($B123,'Challan Master'!$S$4:$S$207,0)),""),"#,##0")&amp;" | Section "&amp;IFERROR(INDEX('Challan Master'!$F$4:$F$207,MATCH($B123,'Challan Master'!$S$4:$S$207,0)),""))</f>
      </c>
      <c r="D123" s="8"/>
      <c r="E123" s="8"/>
      <c r="F123" s="7">
        <f>IF($D123="","",IF(AND(LEN(TRIM(UPPER(E123)))=10,CODE(MID(TRIM(UPPER(E123)),1,1))&gt;=65,CODE(MID(TRIM(UPPER(E123)),1,1))&lt;=90,CODE(MID(TRIM(UPPER(E123)),2,1))&gt;=65,CODE(MID(TRIM(UPPER(E123)),2,1))&lt;=90,CODE(MID(TRIM(UPPER(E123)),3,1))&gt;=65,CODE(MID(TRIM(UPPER(E123)),3,1))&lt;=90,CODE(MID(TRIM(UPPER(E123)),4,1))&gt;=65,CODE(MID(TRIM(UPPER(E123)),4,1))&lt;=90,CODE(MID(TRIM(UPPER(E123)),5,1))&gt;=65,CODE(MID(TRIM(UPPER(E123)),5,1))&lt;=90,CODE(MID(TRIM(UPPER(E123)),10,1))&gt;=65,CODE(MID(TRIM(UPPER(E123)),10,1))&lt;=90,CODE(MID(TRIM(UPPER(E123)),6,1))&gt;=48,CODE(MID(TRIM(UPPER(E123)),6,1))&lt;=57,CODE(MID(TRIM(UPPER(E123)),7,1))&gt;=48,CODE(MID(TRIM(UPPER(E123)),7,1))&lt;=57,CODE(MID(TRIM(UPPER(E123)),8,1))&gt;=48,CODE(MID(TRIM(UPPER(E123)),8,1))&lt;=57,CODE(MID(TRIM(UPPER(E123)),9,1))&gt;=48,CODE(MID(TRIM(UPPER(E123)),9,1))&lt;=57),"N","Y"))</f>
      </c>
      <c r="G123" s="7">
        <f>IF($D123="","",IF(LEN(E123)&lt;4,"",IF(UPPER(MID(E123,4,1))="P","Individual",IF(UPPER(MID(E123,4,1))="H","HUF",IF(UPPER(MID(E123,4,1))="C","Company",IF(UPPER(MID(E123,4,1))="F","Firm",IF(UPPER(MID(E123,4,1))="L","LLP",IF(UPPER(MID(E123,4,1))="T","Trust",IF(UPPER(MID(E123,4,1))="A","AOP","")))))))))</f>
      </c>
      <c r="H123" s="8"/>
      <c r="I123" s="7">
        <f>IF($D123="","",IF(H123="","",IF(F123="Y",SUMPRODUCT(('Rate Lookup'!$A$1:$A$37=H123)*'Rate Lookup'!$D$1:$D$37),IF(OR(G123="Individual",G123="HUF"),SUMPRODUCT(('Rate Lookup'!$A$1:$A$37=H123)*'Rate Lookup'!$B$1:$B$37),SUMPRODUCT(('Rate Lookup'!$A$1:$A$37=H123)*'Rate Lookup'!$C$1:$C$37)))))</f>
      </c>
      <c r="J123" s="8"/>
      <c r="K123" s="8"/>
      <c r="L123" s="7">
        <f>IF($D123="","",ROUND(K123*I123/100,0))</f>
      </c>
      <c r="M123" s="7">
        <f>IF($D123="","",0)</f>
      </c>
      <c r="N123" s="7">
        <f>IF($D123="","",0)</f>
      </c>
      <c r="O123" s="7">
        <f>IF($D123="","",IF(OR(L123=0,J123="",IFERROR(INDEX('Challan Master'!$D$4:$D$207,MATCH($B123,'Challan Master'!$S$4:$S$207,0)),"")="",IFERROR(INDEX('Challan Master'!$D$4:$D$207,MATCH($B123,'Challan Master'!$S$4:$S$207,0)),"")&lt;=0),0,IF(IFERROR(INDEX('Challan Master'!$D$4:$D$207,MATCH($B123,'Challan Master'!$S$4:$S$207,0)),"")&lt;=DATE(YEAR(J123),MONTH(J123)+1,7),0,ROUND(L123*0.015*((YEAR(IFERROR(INDEX('Challan Master'!$D$4:$D$207,MATCH($B123,'Challan Master'!$S$4:$S$207,0)),""))-YEAR(J123))*12+(MONTH(IFERROR(INDEX('Challan Master'!$D$4:$D$207,MATCH($B123,'Challan Master'!$S$4:$S$207,0)),""))-MONTH(J123))+1),0))))</f>
      </c>
      <c r="P123" s="7">
        <f>IF($D123="","",0)</f>
      </c>
      <c r="Q123" s="8"/>
      <c r="R123" s="8"/>
      <c r="S123" s="8"/>
      <c r="T123" s="8"/>
      <c r="U123" s="8"/>
      <c r="V123" s="7">
        <f>IF($B123="","",IFERROR(INDEX('Challan Master'!$AA$4:$AA$207,MATCH($B123,'Challan Master'!$S$4:$S$207,0)),""))</f>
      </c>
    </row>
    <row r="124" spans="1:22" x14ac:dyDescent="0.25">
      <c r="A124" s="7">
        <f>IF($D124="","",COUNTIF($D$4:$D124,"&lt;&gt;"))</f>
      </c>
      <c r="B124" s="8"/>
      <c r="C124" s="7">
        <f>IF($B124="","","BSR "&amp;IFERROR(INDEX('Challan Master'!$B$4:$B$207,MATCH($B124,'Challan Master'!$S$4:$S$207,0)),"")&amp;" | Serial "&amp;IFERROR(INDEX('Challan Master'!$C$4:$C$207,MATCH($B124,'Challan Master'!$S$4:$S$207,0)),"")&amp;" | Deposit "&amp;TEXT(IFERROR(INDEX('Challan Master'!$D$4:$D$207,MATCH($B124,'Challan Master'!$S$4:$S$207,0)),""),"dd-mm-yyyy")&amp;" | Minor Head "&amp;IFERROR(INDEX('Challan Master'!$E$4:$E$207,MATCH($B124,'Challan Master'!$S$4:$S$207,0)),"")&amp;" | Tax ₹"&amp;TEXT(IFERROR(INDEX('Challan Master'!$G$4:$G$207,MATCH($B124,'Challan Master'!$S$4:$S$207,0)),""),"#,##0")&amp;" | Section "&amp;IFERROR(INDEX('Challan Master'!$F$4:$F$207,MATCH($B124,'Challan Master'!$S$4:$S$207,0)),""))</f>
      </c>
      <c r="D124" s="8"/>
      <c r="E124" s="8"/>
      <c r="F124" s="7">
        <f>IF($D124="","",IF(AND(LEN(TRIM(UPPER(E124)))=10,CODE(MID(TRIM(UPPER(E124)),1,1))&gt;=65,CODE(MID(TRIM(UPPER(E124)),1,1))&lt;=90,CODE(MID(TRIM(UPPER(E124)),2,1))&gt;=65,CODE(MID(TRIM(UPPER(E124)),2,1))&lt;=90,CODE(MID(TRIM(UPPER(E124)),3,1))&gt;=65,CODE(MID(TRIM(UPPER(E124)),3,1))&lt;=90,CODE(MID(TRIM(UPPER(E124)),4,1))&gt;=65,CODE(MID(TRIM(UPPER(E124)),4,1))&lt;=90,CODE(MID(TRIM(UPPER(E124)),5,1))&gt;=65,CODE(MID(TRIM(UPPER(E124)),5,1))&lt;=90,CODE(MID(TRIM(UPPER(E124)),10,1))&gt;=65,CODE(MID(TRIM(UPPER(E124)),10,1))&lt;=90,CODE(MID(TRIM(UPPER(E124)),6,1))&gt;=48,CODE(MID(TRIM(UPPER(E124)),6,1))&lt;=57,CODE(MID(TRIM(UPPER(E124)),7,1))&gt;=48,CODE(MID(TRIM(UPPER(E124)),7,1))&lt;=57,CODE(MID(TRIM(UPPER(E124)),8,1))&gt;=48,CODE(MID(TRIM(UPPER(E124)),8,1))&lt;=57,CODE(MID(TRIM(UPPER(E124)),9,1))&gt;=48,CODE(MID(TRIM(UPPER(E124)),9,1))&lt;=57),"N","Y"))</f>
      </c>
      <c r="G124" s="7">
        <f>IF($D124="","",IF(LEN(E124)&lt;4,"",IF(UPPER(MID(E124,4,1))="P","Individual",IF(UPPER(MID(E124,4,1))="H","HUF",IF(UPPER(MID(E124,4,1))="C","Company",IF(UPPER(MID(E124,4,1))="F","Firm",IF(UPPER(MID(E124,4,1))="L","LLP",IF(UPPER(MID(E124,4,1))="T","Trust",IF(UPPER(MID(E124,4,1))="A","AOP","")))))))))</f>
      </c>
      <c r="H124" s="8"/>
      <c r="I124" s="7">
        <f>IF($D124="","",IF(H124="","",IF(F124="Y",SUMPRODUCT(('Rate Lookup'!$A$1:$A$37=H124)*'Rate Lookup'!$D$1:$D$37),IF(OR(G124="Individual",G124="HUF"),SUMPRODUCT(('Rate Lookup'!$A$1:$A$37=H124)*'Rate Lookup'!$B$1:$B$37),SUMPRODUCT(('Rate Lookup'!$A$1:$A$37=H124)*'Rate Lookup'!$C$1:$C$37)))))</f>
      </c>
      <c r="J124" s="8"/>
      <c r="K124" s="8"/>
      <c r="L124" s="7">
        <f>IF($D124="","",ROUND(K124*I124/100,0))</f>
      </c>
      <c r="M124" s="7">
        <f>IF($D124="","",0)</f>
      </c>
      <c r="N124" s="7">
        <f>IF($D124="","",0)</f>
      </c>
      <c r="O124" s="7">
        <f>IF($D124="","",IF(OR(L124=0,J124="",IFERROR(INDEX('Challan Master'!$D$4:$D$207,MATCH($B124,'Challan Master'!$S$4:$S$207,0)),"")="",IFERROR(INDEX('Challan Master'!$D$4:$D$207,MATCH($B124,'Challan Master'!$S$4:$S$207,0)),"")&lt;=0),0,IF(IFERROR(INDEX('Challan Master'!$D$4:$D$207,MATCH($B124,'Challan Master'!$S$4:$S$207,0)),"")&lt;=DATE(YEAR(J124),MONTH(J124)+1,7),0,ROUND(L124*0.015*((YEAR(IFERROR(INDEX('Challan Master'!$D$4:$D$207,MATCH($B124,'Challan Master'!$S$4:$S$207,0)),""))-YEAR(J124))*12+(MONTH(IFERROR(INDEX('Challan Master'!$D$4:$D$207,MATCH($B124,'Challan Master'!$S$4:$S$207,0)),""))-MONTH(J124))+1),0))))</f>
      </c>
      <c r="P124" s="7">
        <f>IF($D124="","",0)</f>
      </c>
      <c r="Q124" s="8"/>
      <c r="R124" s="8"/>
      <c r="S124" s="8"/>
      <c r="T124" s="8"/>
      <c r="U124" s="8"/>
      <c r="V124" s="7">
        <f>IF($B124="","",IFERROR(INDEX('Challan Master'!$AA$4:$AA$207,MATCH($B124,'Challan Master'!$S$4:$S$207,0)),""))</f>
      </c>
    </row>
    <row r="125" spans="1:22" x14ac:dyDescent="0.25">
      <c r="A125" s="7">
        <f>IF($D125="","",COUNTIF($D$4:$D125,"&lt;&gt;"))</f>
      </c>
      <c r="B125" s="8"/>
      <c r="C125" s="7">
        <f>IF($B125="","","BSR "&amp;IFERROR(INDEX('Challan Master'!$B$4:$B$207,MATCH($B125,'Challan Master'!$S$4:$S$207,0)),"")&amp;" | Serial "&amp;IFERROR(INDEX('Challan Master'!$C$4:$C$207,MATCH($B125,'Challan Master'!$S$4:$S$207,0)),"")&amp;" | Deposit "&amp;TEXT(IFERROR(INDEX('Challan Master'!$D$4:$D$207,MATCH($B125,'Challan Master'!$S$4:$S$207,0)),""),"dd-mm-yyyy")&amp;" | Minor Head "&amp;IFERROR(INDEX('Challan Master'!$E$4:$E$207,MATCH($B125,'Challan Master'!$S$4:$S$207,0)),"")&amp;" | Tax ₹"&amp;TEXT(IFERROR(INDEX('Challan Master'!$G$4:$G$207,MATCH($B125,'Challan Master'!$S$4:$S$207,0)),""),"#,##0")&amp;" | Section "&amp;IFERROR(INDEX('Challan Master'!$F$4:$F$207,MATCH($B125,'Challan Master'!$S$4:$S$207,0)),""))</f>
      </c>
      <c r="D125" s="8"/>
      <c r="E125" s="8"/>
      <c r="F125" s="7">
        <f>IF($D125="","",IF(AND(LEN(TRIM(UPPER(E125)))=10,CODE(MID(TRIM(UPPER(E125)),1,1))&gt;=65,CODE(MID(TRIM(UPPER(E125)),1,1))&lt;=90,CODE(MID(TRIM(UPPER(E125)),2,1))&gt;=65,CODE(MID(TRIM(UPPER(E125)),2,1))&lt;=90,CODE(MID(TRIM(UPPER(E125)),3,1))&gt;=65,CODE(MID(TRIM(UPPER(E125)),3,1))&lt;=90,CODE(MID(TRIM(UPPER(E125)),4,1))&gt;=65,CODE(MID(TRIM(UPPER(E125)),4,1))&lt;=90,CODE(MID(TRIM(UPPER(E125)),5,1))&gt;=65,CODE(MID(TRIM(UPPER(E125)),5,1))&lt;=90,CODE(MID(TRIM(UPPER(E125)),10,1))&gt;=65,CODE(MID(TRIM(UPPER(E125)),10,1))&lt;=90,CODE(MID(TRIM(UPPER(E125)),6,1))&gt;=48,CODE(MID(TRIM(UPPER(E125)),6,1))&lt;=57,CODE(MID(TRIM(UPPER(E125)),7,1))&gt;=48,CODE(MID(TRIM(UPPER(E125)),7,1))&lt;=57,CODE(MID(TRIM(UPPER(E125)),8,1))&gt;=48,CODE(MID(TRIM(UPPER(E125)),8,1))&lt;=57,CODE(MID(TRIM(UPPER(E125)),9,1))&gt;=48,CODE(MID(TRIM(UPPER(E125)),9,1))&lt;=57),"N","Y"))</f>
      </c>
      <c r="G125" s="7">
        <f>IF($D125="","",IF(LEN(E125)&lt;4,"",IF(UPPER(MID(E125,4,1))="P","Individual",IF(UPPER(MID(E125,4,1))="H","HUF",IF(UPPER(MID(E125,4,1))="C","Company",IF(UPPER(MID(E125,4,1))="F","Firm",IF(UPPER(MID(E125,4,1))="L","LLP",IF(UPPER(MID(E125,4,1))="T","Trust",IF(UPPER(MID(E125,4,1))="A","AOP","")))))))))</f>
      </c>
      <c r="H125" s="8"/>
      <c r="I125" s="7">
        <f>IF($D125="","",IF(H125="","",IF(F125="Y",SUMPRODUCT(('Rate Lookup'!$A$1:$A$37=H125)*'Rate Lookup'!$D$1:$D$37),IF(OR(G125="Individual",G125="HUF"),SUMPRODUCT(('Rate Lookup'!$A$1:$A$37=H125)*'Rate Lookup'!$B$1:$B$37),SUMPRODUCT(('Rate Lookup'!$A$1:$A$37=H125)*'Rate Lookup'!$C$1:$C$37)))))</f>
      </c>
      <c r="J125" s="8"/>
      <c r="K125" s="8"/>
      <c r="L125" s="7">
        <f>IF($D125="","",ROUND(K125*I125/100,0))</f>
      </c>
      <c r="M125" s="7">
        <f>IF($D125="","",0)</f>
      </c>
      <c r="N125" s="7">
        <f>IF($D125="","",0)</f>
      </c>
      <c r="O125" s="7">
        <f>IF($D125="","",IF(OR(L125=0,J125="",IFERROR(INDEX('Challan Master'!$D$4:$D$207,MATCH($B125,'Challan Master'!$S$4:$S$207,0)),"")="",IFERROR(INDEX('Challan Master'!$D$4:$D$207,MATCH($B125,'Challan Master'!$S$4:$S$207,0)),"")&lt;=0),0,IF(IFERROR(INDEX('Challan Master'!$D$4:$D$207,MATCH($B125,'Challan Master'!$S$4:$S$207,0)),"")&lt;=DATE(YEAR(J125),MONTH(J125)+1,7),0,ROUND(L125*0.015*((YEAR(IFERROR(INDEX('Challan Master'!$D$4:$D$207,MATCH($B125,'Challan Master'!$S$4:$S$207,0)),""))-YEAR(J125))*12+(MONTH(IFERROR(INDEX('Challan Master'!$D$4:$D$207,MATCH($B125,'Challan Master'!$S$4:$S$207,0)),""))-MONTH(J125))+1),0))))</f>
      </c>
      <c r="P125" s="7">
        <f>IF($D125="","",0)</f>
      </c>
      <c r="Q125" s="8"/>
      <c r="R125" s="8"/>
      <c r="S125" s="8"/>
      <c r="T125" s="8"/>
      <c r="U125" s="8"/>
      <c r="V125" s="7">
        <f>IF($B125="","",IFERROR(INDEX('Challan Master'!$AA$4:$AA$207,MATCH($B125,'Challan Master'!$S$4:$S$207,0)),""))</f>
      </c>
    </row>
    <row r="126" spans="1:22" x14ac:dyDescent="0.25">
      <c r="A126" s="7">
        <f>IF($D126="","",COUNTIF($D$4:$D126,"&lt;&gt;"))</f>
      </c>
      <c r="B126" s="8"/>
      <c r="C126" s="7">
        <f>IF($B126="","","BSR "&amp;IFERROR(INDEX('Challan Master'!$B$4:$B$207,MATCH($B126,'Challan Master'!$S$4:$S$207,0)),"")&amp;" | Serial "&amp;IFERROR(INDEX('Challan Master'!$C$4:$C$207,MATCH($B126,'Challan Master'!$S$4:$S$207,0)),"")&amp;" | Deposit "&amp;TEXT(IFERROR(INDEX('Challan Master'!$D$4:$D$207,MATCH($B126,'Challan Master'!$S$4:$S$207,0)),""),"dd-mm-yyyy")&amp;" | Minor Head "&amp;IFERROR(INDEX('Challan Master'!$E$4:$E$207,MATCH($B126,'Challan Master'!$S$4:$S$207,0)),"")&amp;" | Tax ₹"&amp;TEXT(IFERROR(INDEX('Challan Master'!$G$4:$G$207,MATCH($B126,'Challan Master'!$S$4:$S$207,0)),""),"#,##0")&amp;" | Section "&amp;IFERROR(INDEX('Challan Master'!$F$4:$F$207,MATCH($B126,'Challan Master'!$S$4:$S$207,0)),""))</f>
      </c>
      <c r="D126" s="8"/>
      <c r="E126" s="8"/>
      <c r="F126" s="7">
        <f>IF($D126="","",IF(AND(LEN(TRIM(UPPER(E126)))=10,CODE(MID(TRIM(UPPER(E126)),1,1))&gt;=65,CODE(MID(TRIM(UPPER(E126)),1,1))&lt;=90,CODE(MID(TRIM(UPPER(E126)),2,1))&gt;=65,CODE(MID(TRIM(UPPER(E126)),2,1))&lt;=90,CODE(MID(TRIM(UPPER(E126)),3,1))&gt;=65,CODE(MID(TRIM(UPPER(E126)),3,1))&lt;=90,CODE(MID(TRIM(UPPER(E126)),4,1))&gt;=65,CODE(MID(TRIM(UPPER(E126)),4,1))&lt;=90,CODE(MID(TRIM(UPPER(E126)),5,1))&gt;=65,CODE(MID(TRIM(UPPER(E126)),5,1))&lt;=90,CODE(MID(TRIM(UPPER(E126)),10,1))&gt;=65,CODE(MID(TRIM(UPPER(E126)),10,1))&lt;=90,CODE(MID(TRIM(UPPER(E126)),6,1))&gt;=48,CODE(MID(TRIM(UPPER(E126)),6,1))&lt;=57,CODE(MID(TRIM(UPPER(E126)),7,1))&gt;=48,CODE(MID(TRIM(UPPER(E126)),7,1))&lt;=57,CODE(MID(TRIM(UPPER(E126)),8,1))&gt;=48,CODE(MID(TRIM(UPPER(E126)),8,1))&lt;=57,CODE(MID(TRIM(UPPER(E126)),9,1))&gt;=48,CODE(MID(TRIM(UPPER(E126)),9,1))&lt;=57),"N","Y"))</f>
      </c>
      <c r="G126" s="7">
        <f>IF($D126="","",IF(LEN(E126)&lt;4,"",IF(UPPER(MID(E126,4,1))="P","Individual",IF(UPPER(MID(E126,4,1))="H","HUF",IF(UPPER(MID(E126,4,1))="C","Company",IF(UPPER(MID(E126,4,1))="F","Firm",IF(UPPER(MID(E126,4,1))="L","LLP",IF(UPPER(MID(E126,4,1))="T","Trust",IF(UPPER(MID(E126,4,1))="A","AOP","")))))))))</f>
      </c>
      <c r="H126" s="8"/>
      <c r="I126" s="7">
        <f>IF($D126="","",IF(H126="","",IF(F126="Y",SUMPRODUCT(('Rate Lookup'!$A$1:$A$37=H126)*'Rate Lookup'!$D$1:$D$37),IF(OR(G126="Individual",G126="HUF"),SUMPRODUCT(('Rate Lookup'!$A$1:$A$37=H126)*'Rate Lookup'!$B$1:$B$37),SUMPRODUCT(('Rate Lookup'!$A$1:$A$37=H126)*'Rate Lookup'!$C$1:$C$37)))))</f>
      </c>
      <c r="J126" s="8"/>
      <c r="K126" s="8"/>
      <c r="L126" s="7">
        <f>IF($D126="","",ROUND(K126*I126/100,0))</f>
      </c>
      <c r="M126" s="7">
        <f>IF($D126="","",0)</f>
      </c>
      <c r="N126" s="7">
        <f>IF($D126="","",0)</f>
      </c>
      <c r="O126" s="7">
        <f>IF($D126="","",IF(OR(L126=0,J126="",IFERROR(INDEX('Challan Master'!$D$4:$D$207,MATCH($B126,'Challan Master'!$S$4:$S$207,0)),"")="",IFERROR(INDEX('Challan Master'!$D$4:$D$207,MATCH($B126,'Challan Master'!$S$4:$S$207,0)),"")&lt;=0),0,IF(IFERROR(INDEX('Challan Master'!$D$4:$D$207,MATCH($B126,'Challan Master'!$S$4:$S$207,0)),"")&lt;=DATE(YEAR(J126),MONTH(J126)+1,7),0,ROUND(L126*0.015*((YEAR(IFERROR(INDEX('Challan Master'!$D$4:$D$207,MATCH($B126,'Challan Master'!$S$4:$S$207,0)),""))-YEAR(J126))*12+(MONTH(IFERROR(INDEX('Challan Master'!$D$4:$D$207,MATCH($B126,'Challan Master'!$S$4:$S$207,0)),""))-MONTH(J126))+1),0))))</f>
      </c>
      <c r="P126" s="7">
        <f>IF($D126="","",0)</f>
      </c>
      <c r="Q126" s="8"/>
      <c r="R126" s="8"/>
      <c r="S126" s="8"/>
      <c r="T126" s="8"/>
      <c r="U126" s="8"/>
      <c r="V126" s="7">
        <f>IF($B126="","",IFERROR(INDEX('Challan Master'!$AA$4:$AA$207,MATCH($B126,'Challan Master'!$S$4:$S$207,0)),""))</f>
      </c>
    </row>
    <row r="127" spans="1:22" x14ac:dyDescent="0.25">
      <c r="A127" s="7">
        <f>IF($D127="","",COUNTIF($D$4:$D127,"&lt;&gt;"))</f>
      </c>
      <c r="B127" s="8"/>
      <c r="C127" s="7">
        <f>IF($B127="","","BSR "&amp;IFERROR(INDEX('Challan Master'!$B$4:$B$207,MATCH($B127,'Challan Master'!$S$4:$S$207,0)),"")&amp;" | Serial "&amp;IFERROR(INDEX('Challan Master'!$C$4:$C$207,MATCH($B127,'Challan Master'!$S$4:$S$207,0)),"")&amp;" | Deposit "&amp;TEXT(IFERROR(INDEX('Challan Master'!$D$4:$D$207,MATCH($B127,'Challan Master'!$S$4:$S$207,0)),""),"dd-mm-yyyy")&amp;" | Minor Head "&amp;IFERROR(INDEX('Challan Master'!$E$4:$E$207,MATCH($B127,'Challan Master'!$S$4:$S$207,0)),"")&amp;" | Tax ₹"&amp;TEXT(IFERROR(INDEX('Challan Master'!$G$4:$G$207,MATCH($B127,'Challan Master'!$S$4:$S$207,0)),""),"#,##0")&amp;" | Section "&amp;IFERROR(INDEX('Challan Master'!$F$4:$F$207,MATCH($B127,'Challan Master'!$S$4:$S$207,0)),""))</f>
      </c>
      <c r="D127" s="8"/>
      <c r="E127" s="8"/>
      <c r="F127" s="7">
        <f>IF($D127="","",IF(AND(LEN(TRIM(UPPER(E127)))=10,CODE(MID(TRIM(UPPER(E127)),1,1))&gt;=65,CODE(MID(TRIM(UPPER(E127)),1,1))&lt;=90,CODE(MID(TRIM(UPPER(E127)),2,1))&gt;=65,CODE(MID(TRIM(UPPER(E127)),2,1))&lt;=90,CODE(MID(TRIM(UPPER(E127)),3,1))&gt;=65,CODE(MID(TRIM(UPPER(E127)),3,1))&lt;=90,CODE(MID(TRIM(UPPER(E127)),4,1))&gt;=65,CODE(MID(TRIM(UPPER(E127)),4,1))&lt;=90,CODE(MID(TRIM(UPPER(E127)),5,1))&gt;=65,CODE(MID(TRIM(UPPER(E127)),5,1))&lt;=90,CODE(MID(TRIM(UPPER(E127)),10,1))&gt;=65,CODE(MID(TRIM(UPPER(E127)),10,1))&lt;=90,CODE(MID(TRIM(UPPER(E127)),6,1))&gt;=48,CODE(MID(TRIM(UPPER(E127)),6,1))&lt;=57,CODE(MID(TRIM(UPPER(E127)),7,1))&gt;=48,CODE(MID(TRIM(UPPER(E127)),7,1))&lt;=57,CODE(MID(TRIM(UPPER(E127)),8,1))&gt;=48,CODE(MID(TRIM(UPPER(E127)),8,1))&lt;=57,CODE(MID(TRIM(UPPER(E127)),9,1))&gt;=48,CODE(MID(TRIM(UPPER(E127)),9,1))&lt;=57),"N","Y"))</f>
      </c>
      <c r="G127" s="7">
        <f>IF($D127="","",IF(LEN(E127)&lt;4,"",IF(UPPER(MID(E127,4,1))="P","Individual",IF(UPPER(MID(E127,4,1))="H","HUF",IF(UPPER(MID(E127,4,1))="C","Company",IF(UPPER(MID(E127,4,1))="F","Firm",IF(UPPER(MID(E127,4,1))="L","LLP",IF(UPPER(MID(E127,4,1))="T","Trust",IF(UPPER(MID(E127,4,1))="A","AOP","")))))))))</f>
      </c>
      <c r="H127" s="8"/>
      <c r="I127" s="7">
        <f>IF($D127="","",IF(H127="","",IF(F127="Y",SUMPRODUCT(('Rate Lookup'!$A$1:$A$37=H127)*'Rate Lookup'!$D$1:$D$37),IF(OR(G127="Individual",G127="HUF"),SUMPRODUCT(('Rate Lookup'!$A$1:$A$37=H127)*'Rate Lookup'!$B$1:$B$37),SUMPRODUCT(('Rate Lookup'!$A$1:$A$37=H127)*'Rate Lookup'!$C$1:$C$37)))))</f>
      </c>
      <c r="J127" s="8"/>
      <c r="K127" s="8"/>
      <c r="L127" s="7">
        <f>IF($D127="","",ROUND(K127*I127/100,0))</f>
      </c>
      <c r="M127" s="7">
        <f>IF($D127="","",0)</f>
      </c>
      <c r="N127" s="7">
        <f>IF($D127="","",0)</f>
      </c>
      <c r="O127" s="7">
        <f>IF($D127="","",IF(OR(L127=0,J127="",IFERROR(INDEX('Challan Master'!$D$4:$D$207,MATCH($B127,'Challan Master'!$S$4:$S$207,0)),"")="",IFERROR(INDEX('Challan Master'!$D$4:$D$207,MATCH($B127,'Challan Master'!$S$4:$S$207,0)),"")&lt;=0),0,IF(IFERROR(INDEX('Challan Master'!$D$4:$D$207,MATCH($B127,'Challan Master'!$S$4:$S$207,0)),"")&lt;=DATE(YEAR(J127),MONTH(J127)+1,7),0,ROUND(L127*0.015*((YEAR(IFERROR(INDEX('Challan Master'!$D$4:$D$207,MATCH($B127,'Challan Master'!$S$4:$S$207,0)),""))-YEAR(J127))*12+(MONTH(IFERROR(INDEX('Challan Master'!$D$4:$D$207,MATCH($B127,'Challan Master'!$S$4:$S$207,0)),""))-MONTH(J127))+1),0))))</f>
      </c>
      <c r="P127" s="7">
        <f>IF($D127="","",0)</f>
      </c>
      <c r="Q127" s="8"/>
      <c r="R127" s="8"/>
      <c r="S127" s="8"/>
      <c r="T127" s="8"/>
      <c r="U127" s="8"/>
      <c r="V127" s="7">
        <f>IF($B127="","",IFERROR(INDEX('Challan Master'!$AA$4:$AA$207,MATCH($B127,'Challan Master'!$S$4:$S$207,0)),""))</f>
      </c>
    </row>
    <row r="128" spans="1:22" x14ac:dyDescent="0.25">
      <c r="A128" s="7">
        <f>IF($D128="","",COUNTIF($D$4:$D128,"&lt;&gt;"))</f>
      </c>
      <c r="B128" s="8"/>
      <c r="C128" s="7">
        <f>IF($B128="","","BSR "&amp;IFERROR(INDEX('Challan Master'!$B$4:$B$207,MATCH($B128,'Challan Master'!$S$4:$S$207,0)),"")&amp;" | Serial "&amp;IFERROR(INDEX('Challan Master'!$C$4:$C$207,MATCH($B128,'Challan Master'!$S$4:$S$207,0)),"")&amp;" | Deposit "&amp;TEXT(IFERROR(INDEX('Challan Master'!$D$4:$D$207,MATCH($B128,'Challan Master'!$S$4:$S$207,0)),""),"dd-mm-yyyy")&amp;" | Minor Head "&amp;IFERROR(INDEX('Challan Master'!$E$4:$E$207,MATCH($B128,'Challan Master'!$S$4:$S$207,0)),"")&amp;" | Tax ₹"&amp;TEXT(IFERROR(INDEX('Challan Master'!$G$4:$G$207,MATCH($B128,'Challan Master'!$S$4:$S$207,0)),""),"#,##0")&amp;" | Section "&amp;IFERROR(INDEX('Challan Master'!$F$4:$F$207,MATCH($B128,'Challan Master'!$S$4:$S$207,0)),""))</f>
      </c>
      <c r="D128" s="8"/>
      <c r="E128" s="8"/>
      <c r="F128" s="7">
        <f>IF($D128="","",IF(AND(LEN(TRIM(UPPER(E128)))=10,CODE(MID(TRIM(UPPER(E128)),1,1))&gt;=65,CODE(MID(TRIM(UPPER(E128)),1,1))&lt;=90,CODE(MID(TRIM(UPPER(E128)),2,1))&gt;=65,CODE(MID(TRIM(UPPER(E128)),2,1))&lt;=90,CODE(MID(TRIM(UPPER(E128)),3,1))&gt;=65,CODE(MID(TRIM(UPPER(E128)),3,1))&lt;=90,CODE(MID(TRIM(UPPER(E128)),4,1))&gt;=65,CODE(MID(TRIM(UPPER(E128)),4,1))&lt;=90,CODE(MID(TRIM(UPPER(E128)),5,1))&gt;=65,CODE(MID(TRIM(UPPER(E128)),5,1))&lt;=90,CODE(MID(TRIM(UPPER(E128)),10,1))&gt;=65,CODE(MID(TRIM(UPPER(E128)),10,1))&lt;=90,CODE(MID(TRIM(UPPER(E128)),6,1))&gt;=48,CODE(MID(TRIM(UPPER(E128)),6,1))&lt;=57,CODE(MID(TRIM(UPPER(E128)),7,1))&gt;=48,CODE(MID(TRIM(UPPER(E128)),7,1))&lt;=57,CODE(MID(TRIM(UPPER(E128)),8,1))&gt;=48,CODE(MID(TRIM(UPPER(E128)),8,1))&lt;=57,CODE(MID(TRIM(UPPER(E128)),9,1))&gt;=48,CODE(MID(TRIM(UPPER(E128)),9,1))&lt;=57),"N","Y"))</f>
      </c>
      <c r="G128" s="7">
        <f>IF($D128="","",IF(LEN(E128)&lt;4,"",IF(UPPER(MID(E128,4,1))="P","Individual",IF(UPPER(MID(E128,4,1))="H","HUF",IF(UPPER(MID(E128,4,1))="C","Company",IF(UPPER(MID(E128,4,1))="F","Firm",IF(UPPER(MID(E128,4,1))="L","LLP",IF(UPPER(MID(E128,4,1))="T","Trust",IF(UPPER(MID(E128,4,1))="A","AOP","")))))))))</f>
      </c>
      <c r="H128" s="8"/>
      <c r="I128" s="7">
        <f>IF($D128="","",IF(H128="","",IF(F128="Y",SUMPRODUCT(('Rate Lookup'!$A$1:$A$37=H128)*'Rate Lookup'!$D$1:$D$37),IF(OR(G128="Individual",G128="HUF"),SUMPRODUCT(('Rate Lookup'!$A$1:$A$37=H128)*'Rate Lookup'!$B$1:$B$37),SUMPRODUCT(('Rate Lookup'!$A$1:$A$37=H128)*'Rate Lookup'!$C$1:$C$37)))))</f>
      </c>
      <c r="J128" s="8"/>
      <c r="K128" s="8"/>
      <c r="L128" s="7">
        <f>IF($D128="","",ROUND(K128*I128/100,0))</f>
      </c>
      <c r="M128" s="7">
        <f>IF($D128="","",0)</f>
      </c>
      <c r="N128" s="7">
        <f>IF($D128="","",0)</f>
      </c>
      <c r="O128" s="7">
        <f>IF($D128="","",IF(OR(L128=0,J128="",IFERROR(INDEX('Challan Master'!$D$4:$D$207,MATCH($B128,'Challan Master'!$S$4:$S$207,0)),"")="",IFERROR(INDEX('Challan Master'!$D$4:$D$207,MATCH($B128,'Challan Master'!$S$4:$S$207,0)),"")&lt;=0),0,IF(IFERROR(INDEX('Challan Master'!$D$4:$D$207,MATCH($B128,'Challan Master'!$S$4:$S$207,0)),"")&lt;=DATE(YEAR(J128),MONTH(J128)+1,7),0,ROUND(L128*0.015*((YEAR(IFERROR(INDEX('Challan Master'!$D$4:$D$207,MATCH($B128,'Challan Master'!$S$4:$S$207,0)),""))-YEAR(J128))*12+(MONTH(IFERROR(INDEX('Challan Master'!$D$4:$D$207,MATCH($B128,'Challan Master'!$S$4:$S$207,0)),""))-MONTH(J128))+1),0))))</f>
      </c>
      <c r="P128" s="7">
        <f>IF($D128="","",0)</f>
      </c>
      <c r="Q128" s="8"/>
      <c r="R128" s="8"/>
      <c r="S128" s="8"/>
      <c r="T128" s="8"/>
      <c r="U128" s="8"/>
      <c r="V128" s="7">
        <f>IF($B128="","",IFERROR(INDEX('Challan Master'!$AA$4:$AA$207,MATCH($B128,'Challan Master'!$S$4:$S$207,0)),""))</f>
      </c>
    </row>
    <row r="129" spans="1:22" x14ac:dyDescent="0.25">
      <c r="A129" s="7">
        <f>IF($D129="","",COUNTIF($D$4:$D129,"&lt;&gt;"))</f>
      </c>
      <c r="B129" s="8"/>
      <c r="C129" s="7">
        <f>IF($B129="","","BSR "&amp;IFERROR(INDEX('Challan Master'!$B$4:$B$207,MATCH($B129,'Challan Master'!$S$4:$S$207,0)),"")&amp;" | Serial "&amp;IFERROR(INDEX('Challan Master'!$C$4:$C$207,MATCH($B129,'Challan Master'!$S$4:$S$207,0)),"")&amp;" | Deposit "&amp;TEXT(IFERROR(INDEX('Challan Master'!$D$4:$D$207,MATCH($B129,'Challan Master'!$S$4:$S$207,0)),""),"dd-mm-yyyy")&amp;" | Minor Head "&amp;IFERROR(INDEX('Challan Master'!$E$4:$E$207,MATCH($B129,'Challan Master'!$S$4:$S$207,0)),"")&amp;" | Tax ₹"&amp;TEXT(IFERROR(INDEX('Challan Master'!$G$4:$G$207,MATCH($B129,'Challan Master'!$S$4:$S$207,0)),""),"#,##0")&amp;" | Section "&amp;IFERROR(INDEX('Challan Master'!$F$4:$F$207,MATCH($B129,'Challan Master'!$S$4:$S$207,0)),""))</f>
      </c>
      <c r="D129" s="8"/>
      <c r="E129" s="8"/>
      <c r="F129" s="7">
        <f>IF($D129="","",IF(AND(LEN(TRIM(UPPER(E129)))=10,CODE(MID(TRIM(UPPER(E129)),1,1))&gt;=65,CODE(MID(TRIM(UPPER(E129)),1,1))&lt;=90,CODE(MID(TRIM(UPPER(E129)),2,1))&gt;=65,CODE(MID(TRIM(UPPER(E129)),2,1))&lt;=90,CODE(MID(TRIM(UPPER(E129)),3,1))&gt;=65,CODE(MID(TRIM(UPPER(E129)),3,1))&lt;=90,CODE(MID(TRIM(UPPER(E129)),4,1))&gt;=65,CODE(MID(TRIM(UPPER(E129)),4,1))&lt;=90,CODE(MID(TRIM(UPPER(E129)),5,1))&gt;=65,CODE(MID(TRIM(UPPER(E129)),5,1))&lt;=90,CODE(MID(TRIM(UPPER(E129)),10,1))&gt;=65,CODE(MID(TRIM(UPPER(E129)),10,1))&lt;=90,CODE(MID(TRIM(UPPER(E129)),6,1))&gt;=48,CODE(MID(TRIM(UPPER(E129)),6,1))&lt;=57,CODE(MID(TRIM(UPPER(E129)),7,1))&gt;=48,CODE(MID(TRIM(UPPER(E129)),7,1))&lt;=57,CODE(MID(TRIM(UPPER(E129)),8,1))&gt;=48,CODE(MID(TRIM(UPPER(E129)),8,1))&lt;=57,CODE(MID(TRIM(UPPER(E129)),9,1))&gt;=48,CODE(MID(TRIM(UPPER(E129)),9,1))&lt;=57),"N","Y"))</f>
      </c>
      <c r="G129" s="7">
        <f>IF($D129="","",IF(LEN(E129)&lt;4,"",IF(UPPER(MID(E129,4,1))="P","Individual",IF(UPPER(MID(E129,4,1))="H","HUF",IF(UPPER(MID(E129,4,1))="C","Company",IF(UPPER(MID(E129,4,1))="F","Firm",IF(UPPER(MID(E129,4,1))="L","LLP",IF(UPPER(MID(E129,4,1))="T","Trust",IF(UPPER(MID(E129,4,1))="A","AOP","")))))))))</f>
      </c>
      <c r="H129" s="8"/>
      <c r="I129" s="7">
        <f>IF($D129="","",IF(H129="","",IF(F129="Y",SUMPRODUCT(('Rate Lookup'!$A$1:$A$37=H129)*'Rate Lookup'!$D$1:$D$37),IF(OR(G129="Individual",G129="HUF"),SUMPRODUCT(('Rate Lookup'!$A$1:$A$37=H129)*'Rate Lookup'!$B$1:$B$37),SUMPRODUCT(('Rate Lookup'!$A$1:$A$37=H129)*'Rate Lookup'!$C$1:$C$37)))))</f>
      </c>
      <c r="J129" s="8"/>
      <c r="K129" s="8"/>
      <c r="L129" s="7">
        <f>IF($D129="","",ROUND(K129*I129/100,0))</f>
      </c>
      <c r="M129" s="7">
        <f>IF($D129="","",0)</f>
      </c>
      <c r="N129" s="7">
        <f>IF($D129="","",0)</f>
      </c>
      <c r="O129" s="7">
        <f>IF($D129="","",IF(OR(L129=0,J129="",IFERROR(INDEX('Challan Master'!$D$4:$D$207,MATCH($B129,'Challan Master'!$S$4:$S$207,0)),"")="",IFERROR(INDEX('Challan Master'!$D$4:$D$207,MATCH($B129,'Challan Master'!$S$4:$S$207,0)),"")&lt;=0),0,IF(IFERROR(INDEX('Challan Master'!$D$4:$D$207,MATCH($B129,'Challan Master'!$S$4:$S$207,0)),"")&lt;=DATE(YEAR(J129),MONTH(J129)+1,7),0,ROUND(L129*0.015*((YEAR(IFERROR(INDEX('Challan Master'!$D$4:$D$207,MATCH($B129,'Challan Master'!$S$4:$S$207,0)),""))-YEAR(J129))*12+(MONTH(IFERROR(INDEX('Challan Master'!$D$4:$D$207,MATCH($B129,'Challan Master'!$S$4:$S$207,0)),""))-MONTH(J129))+1),0))))</f>
      </c>
      <c r="P129" s="7">
        <f>IF($D129="","",0)</f>
      </c>
      <c r="Q129" s="8"/>
      <c r="R129" s="8"/>
      <c r="S129" s="8"/>
      <c r="T129" s="8"/>
      <c r="U129" s="8"/>
      <c r="V129" s="7">
        <f>IF($B129="","",IFERROR(INDEX('Challan Master'!$AA$4:$AA$207,MATCH($B129,'Challan Master'!$S$4:$S$207,0)),""))</f>
      </c>
    </row>
    <row r="130" spans="1:22" x14ac:dyDescent="0.25">
      <c r="A130" s="7">
        <f>IF($D130="","",COUNTIF($D$4:$D130,"&lt;&gt;"))</f>
      </c>
      <c r="B130" s="8"/>
      <c r="C130" s="7">
        <f>IF($B130="","","BSR "&amp;IFERROR(INDEX('Challan Master'!$B$4:$B$207,MATCH($B130,'Challan Master'!$S$4:$S$207,0)),"")&amp;" | Serial "&amp;IFERROR(INDEX('Challan Master'!$C$4:$C$207,MATCH($B130,'Challan Master'!$S$4:$S$207,0)),"")&amp;" | Deposit "&amp;TEXT(IFERROR(INDEX('Challan Master'!$D$4:$D$207,MATCH($B130,'Challan Master'!$S$4:$S$207,0)),""),"dd-mm-yyyy")&amp;" | Minor Head "&amp;IFERROR(INDEX('Challan Master'!$E$4:$E$207,MATCH($B130,'Challan Master'!$S$4:$S$207,0)),"")&amp;" | Tax ₹"&amp;TEXT(IFERROR(INDEX('Challan Master'!$G$4:$G$207,MATCH($B130,'Challan Master'!$S$4:$S$207,0)),""),"#,##0")&amp;" | Section "&amp;IFERROR(INDEX('Challan Master'!$F$4:$F$207,MATCH($B130,'Challan Master'!$S$4:$S$207,0)),""))</f>
      </c>
      <c r="D130" s="8"/>
      <c r="E130" s="8"/>
      <c r="F130" s="7">
        <f>IF($D130="","",IF(AND(LEN(TRIM(UPPER(E130)))=10,CODE(MID(TRIM(UPPER(E130)),1,1))&gt;=65,CODE(MID(TRIM(UPPER(E130)),1,1))&lt;=90,CODE(MID(TRIM(UPPER(E130)),2,1))&gt;=65,CODE(MID(TRIM(UPPER(E130)),2,1))&lt;=90,CODE(MID(TRIM(UPPER(E130)),3,1))&gt;=65,CODE(MID(TRIM(UPPER(E130)),3,1))&lt;=90,CODE(MID(TRIM(UPPER(E130)),4,1))&gt;=65,CODE(MID(TRIM(UPPER(E130)),4,1))&lt;=90,CODE(MID(TRIM(UPPER(E130)),5,1))&gt;=65,CODE(MID(TRIM(UPPER(E130)),5,1))&lt;=90,CODE(MID(TRIM(UPPER(E130)),10,1))&gt;=65,CODE(MID(TRIM(UPPER(E130)),10,1))&lt;=90,CODE(MID(TRIM(UPPER(E130)),6,1))&gt;=48,CODE(MID(TRIM(UPPER(E130)),6,1))&lt;=57,CODE(MID(TRIM(UPPER(E130)),7,1))&gt;=48,CODE(MID(TRIM(UPPER(E130)),7,1))&lt;=57,CODE(MID(TRIM(UPPER(E130)),8,1))&gt;=48,CODE(MID(TRIM(UPPER(E130)),8,1))&lt;=57,CODE(MID(TRIM(UPPER(E130)),9,1))&gt;=48,CODE(MID(TRIM(UPPER(E130)),9,1))&lt;=57),"N","Y"))</f>
      </c>
      <c r="G130" s="7">
        <f>IF($D130="","",IF(LEN(E130)&lt;4,"",IF(UPPER(MID(E130,4,1))="P","Individual",IF(UPPER(MID(E130,4,1))="H","HUF",IF(UPPER(MID(E130,4,1))="C","Company",IF(UPPER(MID(E130,4,1))="F","Firm",IF(UPPER(MID(E130,4,1))="L","LLP",IF(UPPER(MID(E130,4,1))="T","Trust",IF(UPPER(MID(E130,4,1))="A","AOP","")))))))))</f>
      </c>
      <c r="H130" s="8"/>
      <c r="I130" s="7">
        <f>IF($D130="","",IF(H130="","",IF(F130="Y",SUMPRODUCT(('Rate Lookup'!$A$1:$A$37=H130)*'Rate Lookup'!$D$1:$D$37),IF(OR(G130="Individual",G130="HUF"),SUMPRODUCT(('Rate Lookup'!$A$1:$A$37=H130)*'Rate Lookup'!$B$1:$B$37),SUMPRODUCT(('Rate Lookup'!$A$1:$A$37=H130)*'Rate Lookup'!$C$1:$C$37)))))</f>
      </c>
      <c r="J130" s="8"/>
      <c r="K130" s="8"/>
      <c r="L130" s="7">
        <f>IF($D130="","",ROUND(K130*I130/100,0))</f>
      </c>
      <c r="M130" s="7">
        <f>IF($D130="","",0)</f>
      </c>
      <c r="N130" s="7">
        <f>IF($D130="","",0)</f>
      </c>
      <c r="O130" s="7">
        <f>IF($D130="","",IF(OR(L130=0,J130="",IFERROR(INDEX('Challan Master'!$D$4:$D$207,MATCH($B130,'Challan Master'!$S$4:$S$207,0)),"")="",IFERROR(INDEX('Challan Master'!$D$4:$D$207,MATCH($B130,'Challan Master'!$S$4:$S$207,0)),"")&lt;=0),0,IF(IFERROR(INDEX('Challan Master'!$D$4:$D$207,MATCH($B130,'Challan Master'!$S$4:$S$207,0)),"")&lt;=DATE(YEAR(J130),MONTH(J130)+1,7),0,ROUND(L130*0.015*((YEAR(IFERROR(INDEX('Challan Master'!$D$4:$D$207,MATCH($B130,'Challan Master'!$S$4:$S$207,0)),""))-YEAR(J130))*12+(MONTH(IFERROR(INDEX('Challan Master'!$D$4:$D$207,MATCH($B130,'Challan Master'!$S$4:$S$207,0)),""))-MONTH(J130))+1),0))))</f>
      </c>
      <c r="P130" s="7">
        <f>IF($D130="","",0)</f>
      </c>
      <c r="Q130" s="8"/>
      <c r="R130" s="8"/>
      <c r="S130" s="8"/>
      <c r="T130" s="8"/>
      <c r="U130" s="8"/>
      <c r="V130" s="7">
        <f>IF($B130="","",IFERROR(INDEX('Challan Master'!$AA$4:$AA$207,MATCH($B130,'Challan Master'!$S$4:$S$207,0)),""))</f>
      </c>
    </row>
    <row r="131" spans="1:22" x14ac:dyDescent="0.25">
      <c r="A131" s="7">
        <f>IF($D131="","",COUNTIF($D$4:$D131,"&lt;&gt;"))</f>
      </c>
      <c r="B131" s="8"/>
      <c r="C131" s="7">
        <f>IF($B131="","","BSR "&amp;IFERROR(INDEX('Challan Master'!$B$4:$B$207,MATCH($B131,'Challan Master'!$S$4:$S$207,0)),"")&amp;" | Serial "&amp;IFERROR(INDEX('Challan Master'!$C$4:$C$207,MATCH($B131,'Challan Master'!$S$4:$S$207,0)),"")&amp;" | Deposit "&amp;TEXT(IFERROR(INDEX('Challan Master'!$D$4:$D$207,MATCH($B131,'Challan Master'!$S$4:$S$207,0)),""),"dd-mm-yyyy")&amp;" | Minor Head "&amp;IFERROR(INDEX('Challan Master'!$E$4:$E$207,MATCH($B131,'Challan Master'!$S$4:$S$207,0)),"")&amp;" | Tax ₹"&amp;TEXT(IFERROR(INDEX('Challan Master'!$G$4:$G$207,MATCH($B131,'Challan Master'!$S$4:$S$207,0)),""),"#,##0")&amp;" | Section "&amp;IFERROR(INDEX('Challan Master'!$F$4:$F$207,MATCH($B131,'Challan Master'!$S$4:$S$207,0)),""))</f>
      </c>
      <c r="D131" s="8"/>
      <c r="E131" s="8"/>
      <c r="F131" s="7">
        <f>IF($D131="","",IF(AND(LEN(TRIM(UPPER(E131)))=10,CODE(MID(TRIM(UPPER(E131)),1,1))&gt;=65,CODE(MID(TRIM(UPPER(E131)),1,1))&lt;=90,CODE(MID(TRIM(UPPER(E131)),2,1))&gt;=65,CODE(MID(TRIM(UPPER(E131)),2,1))&lt;=90,CODE(MID(TRIM(UPPER(E131)),3,1))&gt;=65,CODE(MID(TRIM(UPPER(E131)),3,1))&lt;=90,CODE(MID(TRIM(UPPER(E131)),4,1))&gt;=65,CODE(MID(TRIM(UPPER(E131)),4,1))&lt;=90,CODE(MID(TRIM(UPPER(E131)),5,1))&gt;=65,CODE(MID(TRIM(UPPER(E131)),5,1))&lt;=90,CODE(MID(TRIM(UPPER(E131)),10,1))&gt;=65,CODE(MID(TRIM(UPPER(E131)),10,1))&lt;=90,CODE(MID(TRIM(UPPER(E131)),6,1))&gt;=48,CODE(MID(TRIM(UPPER(E131)),6,1))&lt;=57,CODE(MID(TRIM(UPPER(E131)),7,1))&gt;=48,CODE(MID(TRIM(UPPER(E131)),7,1))&lt;=57,CODE(MID(TRIM(UPPER(E131)),8,1))&gt;=48,CODE(MID(TRIM(UPPER(E131)),8,1))&lt;=57,CODE(MID(TRIM(UPPER(E131)),9,1))&gt;=48,CODE(MID(TRIM(UPPER(E131)),9,1))&lt;=57),"N","Y"))</f>
      </c>
      <c r="G131" s="7">
        <f>IF($D131="","",IF(LEN(E131)&lt;4,"",IF(UPPER(MID(E131,4,1))="P","Individual",IF(UPPER(MID(E131,4,1))="H","HUF",IF(UPPER(MID(E131,4,1))="C","Company",IF(UPPER(MID(E131,4,1))="F","Firm",IF(UPPER(MID(E131,4,1))="L","LLP",IF(UPPER(MID(E131,4,1))="T","Trust",IF(UPPER(MID(E131,4,1))="A","AOP","")))))))))</f>
      </c>
      <c r="H131" s="8"/>
      <c r="I131" s="7">
        <f>IF($D131="","",IF(H131="","",IF(F131="Y",SUMPRODUCT(('Rate Lookup'!$A$1:$A$37=H131)*'Rate Lookup'!$D$1:$D$37),IF(OR(G131="Individual",G131="HUF"),SUMPRODUCT(('Rate Lookup'!$A$1:$A$37=H131)*'Rate Lookup'!$B$1:$B$37),SUMPRODUCT(('Rate Lookup'!$A$1:$A$37=H131)*'Rate Lookup'!$C$1:$C$37)))))</f>
      </c>
      <c r="J131" s="8"/>
      <c r="K131" s="8"/>
      <c r="L131" s="7">
        <f>IF($D131="","",ROUND(K131*I131/100,0))</f>
      </c>
      <c r="M131" s="7">
        <f>IF($D131="","",0)</f>
      </c>
      <c r="N131" s="7">
        <f>IF($D131="","",0)</f>
      </c>
      <c r="O131" s="7">
        <f>IF($D131="","",IF(OR(L131=0,J131="",IFERROR(INDEX('Challan Master'!$D$4:$D$207,MATCH($B131,'Challan Master'!$S$4:$S$207,0)),"")="",IFERROR(INDEX('Challan Master'!$D$4:$D$207,MATCH($B131,'Challan Master'!$S$4:$S$207,0)),"")&lt;=0),0,IF(IFERROR(INDEX('Challan Master'!$D$4:$D$207,MATCH($B131,'Challan Master'!$S$4:$S$207,0)),"")&lt;=DATE(YEAR(J131),MONTH(J131)+1,7),0,ROUND(L131*0.015*((YEAR(IFERROR(INDEX('Challan Master'!$D$4:$D$207,MATCH($B131,'Challan Master'!$S$4:$S$207,0)),""))-YEAR(J131))*12+(MONTH(IFERROR(INDEX('Challan Master'!$D$4:$D$207,MATCH($B131,'Challan Master'!$S$4:$S$207,0)),""))-MONTH(J131))+1),0))))</f>
      </c>
      <c r="P131" s="7">
        <f>IF($D131="","",0)</f>
      </c>
      <c r="Q131" s="8"/>
      <c r="R131" s="8"/>
      <c r="S131" s="8"/>
      <c r="T131" s="8"/>
      <c r="U131" s="8"/>
      <c r="V131" s="7">
        <f>IF($B131="","",IFERROR(INDEX('Challan Master'!$AA$4:$AA$207,MATCH($B131,'Challan Master'!$S$4:$S$207,0)),""))</f>
      </c>
    </row>
    <row r="132" spans="1:22" x14ac:dyDescent="0.25">
      <c r="A132" s="7">
        <f>IF($D132="","",COUNTIF($D$4:$D132,"&lt;&gt;"))</f>
      </c>
      <c r="B132" s="8"/>
      <c r="C132" s="7">
        <f>IF($B132="","","BSR "&amp;IFERROR(INDEX('Challan Master'!$B$4:$B$207,MATCH($B132,'Challan Master'!$S$4:$S$207,0)),"")&amp;" | Serial "&amp;IFERROR(INDEX('Challan Master'!$C$4:$C$207,MATCH($B132,'Challan Master'!$S$4:$S$207,0)),"")&amp;" | Deposit "&amp;TEXT(IFERROR(INDEX('Challan Master'!$D$4:$D$207,MATCH($B132,'Challan Master'!$S$4:$S$207,0)),""),"dd-mm-yyyy")&amp;" | Minor Head "&amp;IFERROR(INDEX('Challan Master'!$E$4:$E$207,MATCH($B132,'Challan Master'!$S$4:$S$207,0)),"")&amp;" | Tax ₹"&amp;TEXT(IFERROR(INDEX('Challan Master'!$G$4:$G$207,MATCH($B132,'Challan Master'!$S$4:$S$207,0)),""),"#,##0")&amp;" | Section "&amp;IFERROR(INDEX('Challan Master'!$F$4:$F$207,MATCH($B132,'Challan Master'!$S$4:$S$207,0)),""))</f>
      </c>
      <c r="D132" s="8"/>
      <c r="E132" s="8"/>
      <c r="F132" s="7">
        <f>IF($D132="","",IF(AND(LEN(TRIM(UPPER(E132)))=10,CODE(MID(TRIM(UPPER(E132)),1,1))&gt;=65,CODE(MID(TRIM(UPPER(E132)),1,1))&lt;=90,CODE(MID(TRIM(UPPER(E132)),2,1))&gt;=65,CODE(MID(TRIM(UPPER(E132)),2,1))&lt;=90,CODE(MID(TRIM(UPPER(E132)),3,1))&gt;=65,CODE(MID(TRIM(UPPER(E132)),3,1))&lt;=90,CODE(MID(TRIM(UPPER(E132)),4,1))&gt;=65,CODE(MID(TRIM(UPPER(E132)),4,1))&lt;=90,CODE(MID(TRIM(UPPER(E132)),5,1))&gt;=65,CODE(MID(TRIM(UPPER(E132)),5,1))&lt;=90,CODE(MID(TRIM(UPPER(E132)),10,1))&gt;=65,CODE(MID(TRIM(UPPER(E132)),10,1))&lt;=90,CODE(MID(TRIM(UPPER(E132)),6,1))&gt;=48,CODE(MID(TRIM(UPPER(E132)),6,1))&lt;=57,CODE(MID(TRIM(UPPER(E132)),7,1))&gt;=48,CODE(MID(TRIM(UPPER(E132)),7,1))&lt;=57,CODE(MID(TRIM(UPPER(E132)),8,1))&gt;=48,CODE(MID(TRIM(UPPER(E132)),8,1))&lt;=57,CODE(MID(TRIM(UPPER(E132)),9,1))&gt;=48,CODE(MID(TRIM(UPPER(E132)),9,1))&lt;=57),"N","Y"))</f>
      </c>
      <c r="G132" s="7">
        <f>IF($D132="","",IF(LEN(E132)&lt;4,"",IF(UPPER(MID(E132,4,1))="P","Individual",IF(UPPER(MID(E132,4,1))="H","HUF",IF(UPPER(MID(E132,4,1))="C","Company",IF(UPPER(MID(E132,4,1))="F","Firm",IF(UPPER(MID(E132,4,1))="L","LLP",IF(UPPER(MID(E132,4,1))="T","Trust",IF(UPPER(MID(E132,4,1))="A","AOP","")))))))))</f>
      </c>
      <c r="H132" s="8"/>
      <c r="I132" s="7">
        <f>IF($D132="","",IF(H132="","",IF(F132="Y",SUMPRODUCT(('Rate Lookup'!$A$1:$A$37=H132)*'Rate Lookup'!$D$1:$D$37),IF(OR(G132="Individual",G132="HUF"),SUMPRODUCT(('Rate Lookup'!$A$1:$A$37=H132)*'Rate Lookup'!$B$1:$B$37),SUMPRODUCT(('Rate Lookup'!$A$1:$A$37=H132)*'Rate Lookup'!$C$1:$C$37)))))</f>
      </c>
      <c r="J132" s="8"/>
      <c r="K132" s="8"/>
      <c r="L132" s="7">
        <f>IF($D132="","",ROUND(K132*I132/100,0))</f>
      </c>
      <c r="M132" s="7">
        <f>IF($D132="","",0)</f>
      </c>
      <c r="N132" s="7">
        <f>IF($D132="","",0)</f>
      </c>
      <c r="O132" s="7">
        <f>IF($D132="","",IF(OR(L132=0,J132="",IFERROR(INDEX('Challan Master'!$D$4:$D$207,MATCH($B132,'Challan Master'!$S$4:$S$207,0)),"")="",IFERROR(INDEX('Challan Master'!$D$4:$D$207,MATCH($B132,'Challan Master'!$S$4:$S$207,0)),"")&lt;=0),0,IF(IFERROR(INDEX('Challan Master'!$D$4:$D$207,MATCH($B132,'Challan Master'!$S$4:$S$207,0)),"")&lt;=DATE(YEAR(J132),MONTH(J132)+1,7),0,ROUND(L132*0.015*((YEAR(IFERROR(INDEX('Challan Master'!$D$4:$D$207,MATCH($B132,'Challan Master'!$S$4:$S$207,0)),""))-YEAR(J132))*12+(MONTH(IFERROR(INDEX('Challan Master'!$D$4:$D$207,MATCH($B132,'Challan Master'!$S$4:$S$207,0)),""))-MONTH(J132))+1),0))))</f>
      </c>
      <c r="P132" s="7">
        <f>IF($D132="","",0)</f>
      </c>
      <c r="Q132" s="8"/>
      <c r="R132" s="8"/>
      <c r="S132" s="8"/>
      <c r="T132" s="8"/>
      <c r="U132" s="8"/>
      <c r="V132" s="7">
        <f>IF($B132="","",IFERROR(INDEX('Challan Master'!$AA$4:$AA$207,MATCH($B132,'Challan Master'!$S$4:$S$207,0)),""))</f>
      </c>
    </row>
    <row r="133" spans="1:22" x14ac:dyDescent="0.25">
      <c r="A133" s="7">
        <f>IF($D133="","",COUNTIF($D$4:$D133,"&lt;&gt;"))</f>
      </c>
      <c r="B133" s="8"/>
      <c r="C133" s="7">
        <f>IF($B133="","","BSR "&amp;IFERROR(INDEX('Challan Master'!$B$4:$B$207,MATCH($B133,'Challan Master'!$S$4:$S$207,0)),"")&amp;" | Serial "&amp;IFERROR(INDEX('Challan Master'!$C$4:$C$207,MATCH($B133,'Challan Master'!$S$4:$S$207,0)),"")&amp;" | Deposit "&amp;TEXT(IFERROR(INDEX('Challan Master'!$D$4:$D$207,MATCH($B133,'Challan Master'!$S$4:$S$207,0)),""),"dd-mm-yyyy")&amp;" | Minor Head "&amp;IFERROR(INDEX('Challan Master'!$E$4:$E$207,MATCH($B133,'Challan Master'!$S$4:$S$207,0)),"")&amp;" | Tax ₹"&amp;TEXT(IFERROR(INDEX('Challan Master'!$G$4:$G$207,MATCH($B133,'Challan Master'!$S$4:$S$207,0)),""),"#,##0")&amp;" | Section "&amp;IFERROR(INDEX('Challan Master'!$F$4:$F$207,MATCH($B133,'Challan Master'!$S$4:$S$207,0)),""))</f>
      </c>
      <c r="D133" s="8"/>
      <c r="E133" s="8"/>
      <c r="F133" s="7">
        <f>IF($D133="","",IF(AND(LEN(TRIM(UPPER(E133)))=10,CODE(MID(TRIM(UPPER(E133)),1,1))&gt;=65,CODE(MID(TRIM(UPPER(E133)),1,1))&lt;=90,CODE(MID(TRIM(UPPER(E133)),2,1))&gt;=65,CODE(MID(TRIM(UPPER(E133)),2,1))&lt;=90,CODE(MID(TRIM(UPPER(E133)),3,1))&gt;=65,CODE(MID(TRIM(UPPER(E133)),3,1))&lt;=90,CODE(MID(TRIM(UPPER(E133)),4,1))&gt;=65,CODE(MID(TRIM(UPPER(E133)),4,1))&lt;=90,CODE(MID(TRIM(UPPER(E133)),5,1))&gt;=65,CODE(MID(TRIM(UPPER(E133)),5,1))&lt;=90,CODE(MID(TRIM(UPPER(E133)),10,1))&gt;=65,CODE(MID(TRIM(UPPER(E133)),10,1))&lt;=90,CODE(MID(TRIM(UPPER(E133)),6,1))&gt;=48,CODE(MID(TRIM(UPPER(E133)),6,1))&lt;=57,CODE(MID(TRIM(UPPER(E133)),7,1))&gt;=48,CODE(MID(TRIM(UPPER(E133)),7,1))&lt;=57,CODE(MID(TRIM(UPPER(E133)),8,1))&gt;=48,CODE(MID(TRIM(UPPER(E133)),8,1))&lt;=57,CODE(MID(TRIM(UPPER(E133)),9,1))&gt;=48,CODE(MID(TRIM(UPPER(E133)),9,1))&lt;=57),"N","Y"))</f>
      </c>
      <c r="G133" s="7">
        <f>IF($D133="","",IF(LEN(E133)&lt;4,"",IF(UPPER(MID(E133,4,1))="P","Individual",IF(UPPER(MID(E133,4,1))="H","HUF",IF(UPPER(MID(E133,4,1))="C","Company",IF(UPPER(MID(E133,4,1))="F","Firm",IF(UPPER(MID(E133,4,1))="L","LLP",IF(UPPER(MID(E133,4,1))="T","Trust",IF(UPPER(MID(E133,4,1))="A","AOP","")))))))))</f>
      </c>
      <c r="H133" s="8"/>
      <c r="I133" s="7">
        <f>IF($D133="","",IF(H133="","",IF(F133="Y",SUMPRODUCT(('Rate Lookup'!$A$1:$A$37=H133)*'Rate Lookup'!$D$1:$D$37),IF(OR(G133="Individual",G133="HUF"),SUMPRODUCT(('Rate Lookup'!$A$1:$A$37=H133)*'Rate Lookup'!$B$1:$B$37),SUMPRODUCT(('Rate Lookup'!$A$1:$A$37=H133)*'Rate Lookup'!$C$1:$C$37)))))</f>
      </c>
      <c r="J133" s="8"/>
      <c r="K133" s="8"/>
      <c r="L133" s="7">
        <f>IF($D133="","",ROUND(K133*I133/100,0))</f>
      </c>
      <c r="M133" s="7">
        <f>IF($D133="","",0)</f>
      </c>
      <c r="N133" s="7">
        <f>IF($D133="","",0)</f>
      </c>
      <c r="O133" s="7">
        <f>IF($D133="","",IF(OR(L133=0,J133="",IFERROR(INDEX('Challan Master'!$D$4:$D$207,MATCH($B133,'Challan Master'!$S$4:$S$207,0)),"")="",IFERROR(INDEX('Challan Master'!$D$4:$D$207,MATCH($B133,'Challan Master'!$S$4:$S$207,0)),"")&lt;=0),0,IF(IFERROR(INDEX('Challan Master'!$D$4:$D$207,MATCH($B133,'Challan Master'!$S$4:$S$207,0)),"")&lt;=DATE(YEAR(J133),MONTH(J133)+1,7),0,ROUND(L133*0.015*((YEAR(IFERROR(INDEX('Challan Master'!$D$4:$D$207,MATCH($B133,'Challan Master'!$S$4:$S$207,0)),""))-YEAR(J133))*12+(MONTH(IFERROR(INDEX('Challan Master'!$D$4:$D$207,MATCH($B133,'Challan Master'!$S$4:$S$207,0)),""))-MONTH(J133))+1),0))))</f>
      </c>
      <c r="P133" s="7">
        <f>IF($D133="","",0)</f>
      </c>
      <c r="Q133" s="8"/>
      <c r="R133" s="8"/>
      <c r="S133" s="8"/>
      <c r="T133" s="8"/>
      <c r="U133" s="8"/>
      <c r="V133" s="7">
        <f>IF($B133="","",IFERROR(INDEX('Challan Master'!$AA$4:$AA$207,MATCH($B133,'Challan Master'!$S$4:$S$207,0)),""))</f>
      </c>
    </row>
    <row r="134" spans="1:22" x14ac:dyDescent="0.25">
      <c r="A134" s="7">
        <f>IF($D134="","",COUNTIF($D$4:$D134,"&lt;&gt;"))</f>
      </c>
      <c r="B134" s="8"/>
      <c r="C134" s="7">
        <f>IF($B134="","","BSR "&amp;IFERROR(INDEX('Challan Master'!$B$4:$B$207,MATCH($B134,'Challan Master'!$S$4:$S$207,0)),"")&amp;" | Serial "&amp;IFERROR(INDEX('Challan Master'!$C$4:$C$207,MATCH($B134,'Challan Master'!$S$4:$S$207,0)),"")&amp;" | Deposit "&amp;TEXT(IFERROR(INDEX('Challan Master'!$D$4:$D$207,MATCH($B134,'Challan Master'!$S$4:$S$207,0)),""),"dd-mm-yyyy")&amp;" | Minor Head "&amp;IFERROR(INDEX('Challan Master'!$E$4:$E$207,MATCH($B134,'Challan Master'!$S$4:$S$207,0)),"")&amp;" | Tax ₹"&amp;TEXT(IFERROR(INDEX('Challan Master'!$G$4:$G$207,MATCH($B134,'Challan Master'!$S$4:$S$207,0)),""),"#,##0")&amp;" | Section "&amp;IFERROR(INDEX('Challan Master'!$F$4:$F$207,MATCH($B134,'Challan Master'!$S$4:$S$207,0)),""))</f>
      </c>
      <c r="D134" s="8"/>
      <c r="E134" s="8"/>
      <c r="F134" s="7">
        <f>IF($D134="","",IF(AND(LEN(TRIM(UPPER(E134)))=10,CODE(MID(TRIM(UPPER(E134)),1,1))&gt;=65,CODE(MID(TRIM(UPPER(E134)),1,1))&lt;=90,CODE(MID(TRIM(UPPER(E134)),2,1))&gt;=65,CODE(MID(TRIM(UPPER(E134)),2,1))&lt;=90,CODE(MID(TRIM(UPPER(E134)),3,1))&gt;=65,CODE(MID(TRIM(UPPER(E134)),3,1))&lt;=90,CODE(MID(TRIM(UPPER(E134)),4,1))&gt;=65,CODE(MID(TRIM(UPPER(E134)),4,1))&lt;=90,CODE(MID(TRIM(UPPER(E134)),5,1))&gt;=65,CODE(MID(TRIM(UPPER(E134)),5,1))&lt;=90,CODE(MID(TRIM(UPPER(E134)),10,1))&gt;=65,CODE(MID(TRIM(UPPER(E134)),10,1))&lt;=90,CODE(MID(TRIM(UPPER(E134)),6,1))&gt;=48,CODE(MID(TRIM(UPPER(E134)),6,1))&lt;=57,CODE(MID(TRIM(UPPER(E134)),7,1))&gt;=48,CODE(MID(TRIM(UPPER(E134)),7,1))&lt;=57,CODE(MID(TRIM(UPPER(E134)),8,1))&gt;=48,CODE(MID(TRIM(UPPER(E134)),8,1))&lt;=57,CODE(MID(TRIM(UPPER(E134)),9,1))&gt;=48,CODE(MID(TRIM(UPPER(E134)),9,1))&lt;=57),"N","Y"))</f>
      </c>
      <c r="G134" s="7">
        <f>IF($D134="","",IF(LEN(E134)&lt;4,"",IF(UPPER(MID(E134,4,1))="P","Individual",IF(UPPER(MID(E134,4,1))="H","HUF",IF(UPPER(MID(E134,4,1))="C","Company",IF(UPPER(MID(E134,4,1))="F","Firm",IF(UPPER(MID(E134,4,1))="L","LLP",IF(UPPER(MID(E134,4,1))="T","Trust",IF(UPPER(MID(E134,4,1))="A","AOP","")))))))))</f>
      </c>
      <c r="H134" s="8"/>
      <c r="I134" s="7">
        <f>IF($D134="","",IF(H134="","",IF(F134="Y",SUMPRODUCT(('Rate Lookup'!$A$1:$A$37=H134)*'Rate Lookup'!$D$1:$D$37),IF(OR(G134="Individual",G134="HUF"),SUMPRODUCT(('Rate Lookup'!$A$1:$A$37=H134)*'Rate Lookup'!$B$1:$B$37),SUMPRODUCT(('Rate Lookup'!$A$1:$A$37=H134)*'Rate Lookup'!$C$1:$C$37)))))</f>
      </c>
      <c r="J134" s="8"/>
      <c r="K134" s="8"/>
      <c r="L134" s="7">
        <f>IF($D134="","",ROUND(K134*I134/100,0))</f>
      </c>
      <c r="M134" s="7">
        <f>IF($D134="","",0)</f>
      </c>
      <c r="N134" s="7">
        <f>IF($D134="","",0)</f>
      </c>
      <c r="O134" s="7">
        <f>IF($D134="","",IF(OR(L134=0,J134="",IFERROR(INDEX('Challan Master'!$D$4:$D$207,MATCH($B134,'Challan Master'!$S$4:$S$207,0)),"")="",IFERROR(INDEX('Challan Master'!$D$4:$D$207,MATCH($B134,'Challan Master'!$S$4:$S$207,0)),"")&lt;=0),0,IF(IFERROR(INDEX('Challan Master'!$D$4:$D$207,MATCH($B134,'Challan Master'!$S$4:$S$207,0)),"")&lt;=DATE(YEAR(J134),MONTH(J134)+1,7),0,ROUND(L134*0.015*((YEAR(IFERROR(INDEX('Challan Master'!$D$4:$D$207,MATCH($B134,'Challan Master'!$S$4:$S$207,0)),""))-YEAR(J134))*12+(MONTH(IFERROR(INDEX('Challan Master'!$D$4:$D$207,MATCH($B134,'Challan Master'!$S$4:$S$207,0)),""))-MONTH(J134))+1),0))))</f>
      </c>
      <c r="P134" s="7">
        <f>IF($D134="","",0)</f>
      </c>
      <c r="Q134" s="8"/>
      <c r="R134" s="8"/>
      <c r="S134" s="8"/>
      <c r="T134" s="8"/>
      <c r="U134" s="8"/>
      <c r="V134" s="7">
        <f>IF($B134="","",IFERROR(INDEX('Challan Master'!$AA$4:$AA$207,MATCH($B134,'Challan Master'!$S$4:$S$207,0)),""))</f>
      </c>
    </row>
    <row r="135" spans="1:22" x14ac:dyDescent="0.25">
      <c r="A135" s="7">
        <f>IF($D135="","",COUNTIF($D$4:$D135,"&lt;&gt;"))</f>
      </c>
      <c r="B135" s="8"/>
      <c r="C135" s="7">
        <f>IF($B135="","","BSR "&amp;IFERROR(INDEX('Challan Master'!$B$4:$B$207,MATCH($B135,'Challan Master'!$S$4:$S$207,0)),"")&amp;" | Serial "&amp;IFERROR(INDEX('Challan Master'!$C$4:$C$207,MATCH($B135,'Challan Master'!$S$4:$S$207,0)),"")&amp;" | Deposit "&amp;TEXT(IFERROR(INDEX('Challan Master'!$D$4:$D$207,MATCH($B135,'Challan Master'!$S$4:$S$207,0)),""),"dd-mm-yyyy")&amp;" | Minor Head "&amp;IFERROR(INDEX('Challan Master'!$E$4:$E$207,MATCH($B135,'Challan Master'!$S$4:$S$207,0)),"")&amp;" | Tax ₹"&amp;TEXT(IFERROR(INDEX('Challan Master'!$G$4:$G$207,MATCH($B135,'Challan Master'!$S$4:$S$207,0)),""),"#,##0")&amp;" | Section "&amp;IFERROR(INDEX('Challan Master'!$F$4:$F$207,MATCH($B135,'Challan Master'!$S$4:$S$207,0)),""))</f>
      </c>
      <c r="D135" s="8"/>
      <c r="E135" s="8"/>
      <c r="F135" s="7">
        <f>IF($D135="","",IF(AND(LEN(TRIM(UPPER(E135)))=10,CODE(MID(TRIM(UPPER(E135)),1,1))&gt;=65,CODE(MID(TRIM(UPPER(E135)),1,1))&lt;=90,CODE(MID(TRIM(UPPER(E135)),2,1))&gt;=65,CODE(MID(TRIM(UPPER(E135)),2,1))&lt;=90,CODE(MID(TRIM(UPPER(E135)),3,1))&gt;=65,CODE(MID(TRIM(UPPER(E135)),3,1))&lt;=90,CODE(MID(TRIM(UPPER(E135)),4,1))&gt;=65,CODE(MID(TRIM(UPPER(E135)),4,1))&lt;=90,CODE(MID(TRIM(UPPER(E135)),5,1))&gt;=65,CODE(MID(TRIM(UPPER(E135)),5,1))&lt;=90,CODE(MID(TRIM(UPPER(E135)),10,1))&gt;=65,CODE(MID(TRIM(UPPER(E135)),10,1))&lt;=90,CODE(MID(TRIM(UPPER(E135)),6,1))&gt;=48,CODE(MID(TRIM(UPPER(E135)),6,1))&lt;=57,CODE(MID(TRIM(UPPER(E135)),7,1))&gt;=48,CODE(MID(TRIM(UPPER(E135)),7,1))&lt;=57,CODE(MID(TRIM(UPPER(E135)),8,1))&gt;=48,CODE(MID(TRIM(UPPER(E135)),8,1))&lt;=57,CODE(MID(TRIM(UPPER(E135)),9,1))&gt;=48,CODE(MID(TRIM(UPPER(E135)),9,1))&lt;=57),"N","Y"))</f>
      </c>
      <c r="G135" s="7">
        <f>IF($D135="","",IF(LEN(E135)&lt;4,"",IF(UPPER(MID(E135,4,1))="P","Individual",IF(UPPER(MID(E135,4,1))="H","HUF",IF(UPPER(MID(E135,4,1))="C","Company",IF(UPPER(MID(E135,4,1))="F","Firm",IF(UPPER(MID(E135,4,1))="L","LLP",IF(UPPER(MID(E135,4,1))="T","Trust",IF(UPPER(MID(E135,4,1))="A","AOP","")))))))))</f>
      </c>
      <c r="H135" s="8"/>
      <c r="I135" s="7">
        <f>IF($D135="","",IF(H135="","",IF(F135="Y",SUMPRODUCT(('Rate Lookup'!$A$1:$A$37=H135)*'Rate Lookup'!$D$1:$D$37),IF(OR(G135="Individual",G135="HUF"),SUMPRODUCT(('Rate Lookup'!$A$1:$A$37=H135)*'Rate Lookup'!$B$1:$B$37),SUMPRODUCT(('Rate Lookup'!$A$1:$A$37=H135)*'Rate Lookup'!$C$1:$C$37)))))</f>
      </c>
      <c r="J135" s="8"/>
      <c r="K135" s="8"/>
      <c r="L135" s="7">
        <f>IF($D135="","",ROUND(K135*I135/100,0))</f>
      </c>
      <c r="M135" s="7">
        <f>IF($D135="","",0)</f>
      </c>
      <c r="N135" s="7">
        <f>IF($D135="","",0)</f>
      </c>
      <c r="O135" s="7">
        <f>IF($D135="","",IF(OR(L135=0,J135="",IFERROR(INDEX('Challan Master'!$D$4:$D$207,MATCH($B135,'Challan Master'!$S$4:$S$207,0)),"")="",IFERROR(INDEX('Challan Master'!$D$4:$D$207,MATCH($B135,'Challan Master'!$S$4:$S$207,0)),"")&lt;=0),0,IF(IFERROR(INDEX('Challan Master'!$D$4:$D$207,MATCH($B135,'Challan Master'!$S$4:$S$207,0)),"")&lt;=DATE(YEAR(J135),MONTH(J135)+1,7),0,ROUND(L135*0.015*((YEAR(IFERROR(INDEX('Challan Master'!$D$4:$D$207,MATCH($B135,'Challan Master'!$S$4:$S$207,0)),""))-YEAR(J135))*12+(MONTH(IFERROR(INDEX('Challan Master'!$D$4:$D$207,MATCH($B135,'Challan Master'!$S$4:$S$207,0)),""))-MONTH(J135))+1),0))))</f>
      </c>
      <c r="P135" s="7">
        <f>IF($D135="","",0)</f>
      </c>
      <c r="Q135" s="8"/>
      <c r="R135" s="8"/>
      <c r="S135" s="8"/>
      <c r="T135" s="8"/>
      <c r="U135" s="8"/>
      <c r="V135" s="7">
        <f>IF($B135="","",IFERROR(INDEX('Challan Master'!$AA$4:$AA$207,MATCH($B135,'Challan Master'!$S$4:$S$207,0)),""))</f>
      </c>
    </row>
    <row r="136" spans="1:22" x14ac:dyDescent="0.25">
      <c r="A136" s="7">
        <f>IF($D136="","",COUNTIF($D$4:$D136,"&lt;&gt;"))</f>
      </c>
      <c r="B136" s="8"/>
      <c r="C136" s="7">
        <f>IF($B136="","","BSR "&amp;IFERROR(INDEX('Challan Master'!$B$4:$B$207,MATCH($B136,'Challan Master'!$S$4:$S$207,0)),"")&amp;" | Serial "&amp;IFERROR(INDEX('Challan Master'!$C$4:$C$207,MATCH($B136,'Challan Master'!$S$4:$S$207,0)),"")&amp;" | Deposit "&amp;TEXT(IFERROR(INDEX('Challan Master'!$D$4:$D$207,MATCH($B136,'Challan Master'!$S$4:$S$207,0)),""),"dd-mm-yyyy")&amp;" | Minor Head "&amp;IFERROR(INDEX('Challan Master'!$E$4:$E$207,MATCH($B136,'Challan Master'!$S$4:$S$207,0)),"")&amp;" | Tax ₹"&amp;TEXT(IFERROR(INDEX('Challan Master'!$G$4:$G$207,MATCH($B136,'Challan Master'!$S$4:$S$207,0)),""),"#,##0")&amp;" | Section "&amp;IFERROR(INDEX('Challan Master'!$F$4:$F$207,MATCH($B136,'Challan Master'!$S$4:$S$207,0)),""))</f>
      </c>
      <c r="D136" s="8"/>
      <c r="E136" s="8"/>
      <c r="F136" s="7">
        <f>IF($D136="","",IF(AND(LEN(TRIM(UPPER(E136)))=10,CODE(MID(TRIM(UPPER(E136)),1,1))&gt;=65,CODE(MID(TRIM(UPPER(E136)),1,1))&lt;=90,CODE(MID(TRIM(UPPER(E136)),2,1))&gt;=65,CODE(MID(TRIM(UPPER(E136)),2,1))&lt;=90,CODE(MID(TRIM(UPPER(E136)),3,1))&gt;=65,CODE(MID(TRIM(UPPER(E136)),3,1))&lt;=90,CODE(MID(TRIM(UPPER(E136)),4,1))&gt;=65,CODE(MID(TRIM(UPPER(E136)),4,1))&lt;=90,CODE(MID(TRIM(UPPER(E136)),5,1))&gt;=65,CODE(MID(TRIM(UPPER(E136)),5,1))&lt;=90,CODE(MID(TRIM(UPPER(E136)),10,1))&gt;=65,CODE(MID(TRIM(UPPER(E136)),10,1))&lt;=90,CODE(MID(TRIM(UPPER(E136)),6,1))&gt;=48,CODE(MID(TRIM(UPPER(E136)),6,1))&lt;=57,CODE(MID(TRIM(UPPER(E136)),7,1))&gt;=48,CODE(MID(TRIM(UPPER(E136)),7,1))&lt;=57,CODE(MID(TRIM(UPPER(E136)),8,1))&gt;=48,CODE(MID(TRIM(UPPER(E136)),8,1))&lt;=57,CODE(MID(TRIM(UPPER(E136)),9,1))&gt;=48,CODE(MID(TRIM(UPPER(E136)),9,1))&lt;=57),"N","Y"))</f>
      </c>
      <c r="G136" s="7">
        <f>IF($D136="","",IF(LEN(E136)&lt;4,"",IF(UPPER(MID(E136,4,1))="P","Individual",IF(UPPER(MID(E136,4,1))="H","HUF",IF(UPPER(MID(E136,4,1))="C","Company",IF(UPPER(MID(E136,4,1))="F","Firm",IF(UPPER(MID(E136,4,1))="L","LLP",IF(UPPER(MID(E136,4,1))="T","Trust",IF(UPPER(MID(E136,4,1))="A","AOP","")))))))))</f>
      </c>
      <c r="H136" s="8"/>
      <c r="I136" s="7">
        <f>IF($D136="","",IF(H136="","",IF(F136="Y",SUMPRODUCT(('Rate Lookup'!$A$1:$A$37=H136)*'Rate Lookup'!$D$1:$D$37),IF(OR(G136="Individual",G136="HUF"),SUMPRODUCT(('Rate Lookup'!$A$1:$A$37=H136)*'Rate Lookup'!$B$1:$B$37),SUMPRODUCT(('Rate Lookup'!$A$1:$A$37=H136)*'Rate Lookup'!$C$1:$C$37)))))</f>
      </c>
      <c r="J136" s="8"/>
      <c r="K136" s="8"/>
      <c r="L136" s="7">
        <f>IF($D136="","",ROUND(K136*I136/100,0))</f>
      </c>
      <c r="M136" s="7">
        <f>IF($D136="","",0)</f>
      </c>
      <c r="N136" s="7">
        <f>IF($D136="","",0)</f>
      </c>
      <c r="O136" s="7">
        <f>IF($D136="","",IF(OR(L136=0,J136="",IFERROR(INDEX('Challan Master'!$D$4:$D$207,MATCH($B136,'Challan Master'!$S$4:$S$207,0)),"")="",IFERROR(INDEX('Challan Master'!$D$4:$D$207,MATCH($B136,'Challan Master'!$S$4:$S$207,0)),"")&lt;=0),0,IF(IFERROR(INDEX('Challan Master'!$D$4:$D$207,MATCH($B136,'Challan Master'!$S$4:$S$207,0)),"")&lt;=DATE(YEAR(J136),MONTH(J136)+1,7),0,ROUND(L136*0.015*((YEAR(IFERROR(INDEX('Challan Master'!$D$4:$D$207,MATCH($B136,'Challan Master'!$S$4:$S$207,0)),""))-YEAR(J136))*12+(MONTH(IFERROR(INDEX('Challan Master'!$D$4:$D$207,MATCH($B136,'Challan Master'!$S$4:$S$207,0)),""))-MONTH(J136))+1),0))))</f>
      </c>
      <c r="P136" s="7">
        <f>IF($D136="","",0)</f>
      </c>
      <c r="Q136" s="8"/>
      <c r="R136" s="8"/>
      <c r="S136" s="8"/>
      <c r="T136" s="8"/>
      <c r="U136" s="8"/>
      <c r="V136" s="7">
        <f>IF($B136="","",IFERROR(INDEX('Challan Master'!$AA$4:$AA$207,MATCH($B136,'Challan Master'!$S$4:$S$207,0)),""))</f>
      </c>
    </row>
    <row r="137" spans="1:22" x14ac:dyDescent="0.25">
      <c r="A137" s="7">
        <f>IF($D137="","",COUNTIF($D$4:$D137,"&lt;&gt;"))</f>
      </c>
      <c r="B137" s="8"/>
      <c r="C137" s="7">
        <f>IF($B137="","","BSR "&amp;IFERROR(INDEX('Challan Master'!$B$4:$B$207,MATCH($B137,'Challan Master'!$S$4:$S$207,0)),"")&amp;" | Serial "&amp;IFERROR(INDEX('Challan Master'!$C$4:$C$207,MATCH($B137,'Challan Master'!$S$4:$S$207,0)),"")&amp;" | Deposit "&amp;TEXT(IFERROR(INDEX('Challan Master'!$D$4:$D$207,MATCH($B137,'Challan Master'!$S$4:$S$207,0)),""),"dd-mm-yyyy")&amp;" | Minor Head "&amp;IFERROR(INDEX('Challan Master'!$E$4:$E$207,MATCH($B137,'Challan Master'!$S$4:$S$207,0)),"")&amp;" | Tax ₹"&amp;TEXT(IFERROR(INDEX('Challan Master'!$G$4:$G$207,MATCH($B137,'Challan Master'!$S$4:$S$207,0)),""),"#,##0")&amp;" | Section "&amp;IFERROR(INDEX('Challan Master'!$F$4:$F$207,MATCH($B137,'Challan Master'!$S$4:$S$207,0)),""))</f>
      </c>
      <c r="D137" s="8"/>
      <c r="E137" s="8"/>
      <c r="F137" s="7">
        <f>IF($D137="","",IF(AND(LEN(TRIM(UPPER(E137)))=10,CODE(MID(TRIM(UPPER(E137)),1,1))&gt;=65,CODE(MID(TRIM(UPPER(E137)),1,1))&lt;=90,CODE(MID(TRIM(UPPER(E137)),2,1))&gt;=65,CODE(MID(TRIM(UPPER(E137)),2,1))&lt;=90,CODE(MID(TRIM(UPPER(E137)),3,1))&gt;=65,CODE(MID(TRIM(UPPER(E137)),3,1))&lt;=90,CODE(MID(TRIM(UPPER(E137)),4,1))&gt;=65,CODE(MID(TRIM(UPPER(E137)),4,1))&lt;=90,CODE(MID(TRIM(UPPER(E137)),5,1))&gt;=65,CODE(MID(TRIM(UPPER(E137)),5,1))&lt;=90,CODE(MID(TRIM(UPPER(E137)),10,1))&gt;=65,CODE(MID(TRIM(UPPER(E137)),10,1))&lt;=90,CODE(MID(TRIM(UPPER(E137)),6,1))&gt;=48,CODE(MID(TRIM(UPPER(E137)),6,1))&lt;=57,CODE(MID(TRIM(UPPER(E137)),7,1))&gt;=48,CODE(MID(TRIM(UPPER(E137)),7,1))&lt;=57,CODE(MID(TRIM(UPPER(E137)),8,1))&gt;=48,CODE(MID(TRIM(UPPER(E137)),8,1))&lt;=57,CODE(MID(TRIM(UPPER(E137)),9,1))&gt;=48,CODE(MID(TRIM(UPPER(E137)),9,1))&lt;=57),"N","Y"))</f>
      </c>
      <c r="G137" s="7">
        <f>IF($D137="","",IF(LEN(E137)&lt;4,"",IF(UPPER(MID(E137,4,1))="P","Individual",IF(UPPER(MID(E137,4,1))="H","HUF",IF(UPPER(MID(E137,4,1))="C","Company",IF(UPPER(MID(E137,4,1))="F","Firm",IF(UPPER(MID(E137,4,1))="L","LLP",IF(UPPER(MID(E137,4,1))="T","Trust",IF(UPPER(MID(E137,4,1))="A","AOP","")))))))))</f>
      </c>
      <c r="H137" s="8"/>
      <c r="I137" s="7">
        <f>IF($D137="","",IF(H137="","",IF(F137="Y",SUMPRODUCT(('Rate Lookup'!$A$1:$A$37=H137)*'Rate Lookup'!$D$1:$D$37),IF(OR(G137="Individual",G137="HUF"),SUMPRODUCT(('Rate Lookup'!$A$1:$A$37=H137)*'Rate Lookup'!$B$1:$B$37),SUMPRODUCT(('Rate Lookup'!$A$1:$A$37=H137)*'Rate Lookup'!$C$1:$C$37)))))</f>
      </c>
      <c r="J137" s="8"/>
      <c r="K137" s="8"/>
      <c r="L137" s="7">
        <f>IF($D137="","",ROUND(K137*I137/100,0))</f>
      </c>
      <c r="M137" s="7">
        <f>IF($D137="","",0)</f>
      </c>
      <c r="N137" s="7">
        <f>IF($D137="","",0)</f>
      </c>
      <c r="O137" s="7">
        <f>IF($D137="","",IF(OR(L137=0,J137="",IFERROR(INDEX('Challan Master'!$D$4:$D$207,MATCH($B137,'Challan Master'!$S$4:$S$207,0)),"")="",IFERROR(INDEX('Challan Master'!$D$4:$D$207,MATCH($B137,'Challan Master'!$S$4:$S$207,0)),"")&lt;=0),0,IF(IFERROR(INDEX('Challan Master'!$D$4:$D$207,MATCH($B137,'Challan Master'!$S$4:$S$207,0)),"")&lt;=DATE(YEAR(J137),MONTH(J137)+1,7),0,ROUND(L137*0.015*((YEAR(IFERROR(INDEX('Challan Master'!$D$4:$D$207,MATCH($B137,'Challan Master'!$S$4:$S$207,0)),""))-YEAR(J137))*12+(MONTH(IFERROR(INDEX('Challan Master'!$D$4:$D$207,MATCH($B137,'Challan Master'!$S$4:$S$207,0)),""))-MONTH(J137))+1),0))))</f>
      </c>
      <c r="P137" s="7">
        <f>IF($D137="","",0)</f>
      </c>
      <c r="Q137" s="8"/>
      <c r="R137" s="8"/>
      <c r="S137" s="8"/>
      <c r="T137" s="8"/>
      <c r="U137" s="8"/>
      <c r="V137" s="7">
        <f>IF($B137="","",IFERROR(INDEX('Challan Master'!$AA$4:$AA$207,MATCH($B137,'Challan Master'!$S$4:$S$207,0)),""))</f>
      </c>
    </row>
    <row r="138" spans="1:22" x14ac:dyDescent="0.25">
      <c r="A138" s="7">
        <f>IF($D138="","",COUNTIF($D$4:$D138,"&lt;&gt;"))</f>
      </c>
      <c r="B138" s="8"/>
      <c r="C138" s="7">
        <f>IF($B138="","","BSR "&amp;IFERROR(INDEX('Challan Master'!$B$4:$B$207,MATCH($B138,'Challan Master'!$S$4:$S$207,0)),"")&amp;" | Serial "&amp;IFERROR(INDEX('Challan Master'!$C$4:$C$207,MATCH($B138,'Challan Master'!$S$4:$S$207,0)),"")&amp;" | Deposit "&amp;TEXT(IFERROR(INDEX('Challan Master'!$D$4:$D$207,MATCH($B138,'Challan Master'!$S$4:$S$207,0)),""),"dd-mm-yyyy")&amp;" | Minor Head "&amp;IFERROR(INDEX('Challan Master'!$E$4:$E$207,MATCH($B138,'Challan Master'!$S$4:$S$207,0)),"")&amp;" | Tax ₹"&amp;TEXT(IFERROR(INDEX('Challan Master'!$G$4:$G$207,MATCH($B138,'Challan Master'!$S$4:$S$207,0)),""),"#,##0")&amp;" | Section "&amp;IFERROR(INDEX('Challan Master'!$F$4:$F$207,MATCH($B138,'Challan Master'!$S$4:$S$207,0)),""))</f>
      </c>
      <c r="D138" s="8"/>
      <c r="E138" s="8"/>
      <c r="F138" s="7">
        <f>IF($D138="","",IF(AND(LEN(TRIM(UPPER(E138)))=10,CODE(MID(TRIM(UPPER(E138)),1,1))&gt;=65,CODE(MID(TRIM(UPPER(E138)),1,1))&lt;=90,CODE(MID(TRIM(UPPER(E138)),2,1))&gt;=65,CODE(MID(TRIM(UPPER(E138)),2,1))&lt;=90,CODE(MID(TRIM(UPPER(E138)),3,1))&gt;=65,CODE(MID(TRIM(UPPER(E138)),3,1))&lt;=90,CODE(MID(TRIM(UPPER(E138)),4,1))&gt;=65,CODE(MID(TRIM(UPPER(E138)),4,1))&lt;=90,CODE(MID(TRIM(UPPER(E138)),5,1))&gt;=65,CODE(MID(TRIM(UPPER(E138)),5,1))&lt;=90,CODE(MID(TRIM(UPPER(E138)),10,1))&gt;=65,CODE(MID(TRIM(UPPER(E138)),10,1))&lt;=90,CODE(MID(TRIM(UPPER(E138)),6,1))&gt;=48,CODE(MID(TRIM(UPPER(E138)),6,1))&lt;=57,CODE(MID(TRIM(UPPER(E138)),7,1))&gt;=48,CODE(MID(TRIM(UPPER(E138)),7,1))&lt;=57,CODE(MID(TRIM(UPPER(E138)),8,1))&gt;=48,CODE(MID(TRIM(UPPER(E138)),8,1))&lt;=57,CODE(MID(TRIM(UPPER(E138)),9,1))&gt;=48,CODE(MID(TRIM(UPPER(E138)),9,1))&lt;=57),"N","Y"))</f>
      </c>
      <c r="G138" s="7">
        <f>IF($D138="","",IF(LEN(E138)&lt;4,"",IF(UPPER(MID(E138,4,1))="P","Individual",IF(UPPER(MID(E138,4,1))="H","HUF",IF(UPPER(MID(E138,4,1))="C","Company",IF(UPPER(MID(E138,4,1))="F","Firm",IF(UPPER(MID(E138,4,1))="L","LLP",IF(UPPER(MID(E138,4,1))="T","Trust",IF(UPPER(MID(E138,4,1))="A","AOP","")))))))))</f>
      </c>
      <c r="H138" s="8"/>
      <c r="I138" s="7">
        <f>IF($D138="","",IF(H138="","",IF(F138="Y",SUMPRODUCT(('Rate Lookup'!$A$1:$A$37=H138)*'Rate Lookup'!$D$1:$D$37),IF(OR(G138="Individual",G138="HUF"),SUMPRODUCT(('Rate Lookup'!$A$1:$A$37=H138)*'Rate Lookup'!$B$1:$B$37),SUMPRODUCT(('Rate Lookup'!$A$1:$A$37=H138)*'Rate Lookup'!$C$1:$C$37)))))</f>
      </c>
      <c r="J138" s="8"/>
      <c r="K138" s="8"/>
      <c r="L138" s="7">
        <f>IF($D138="","",ROUND(K138*I138/100,0))</f>
      </c>
      <c r="M138" s="7">
        <f>IF($D138="","",0)</f>
      </c>
      <c r="N138" s="7">
        <f>IF($D138="","",0)</f>
      </c>
      <c r="O138" s="7">
        <f>IF($D138="","",IF(OR(L138=0,J138="",IFERROR(INDEX('Challan Master'!$D$4:$D$207,MATCH($B138,'Challan Master'!$S$4:$S$207,0)),"")="",IFERROR(INDEX('Challan Master'!$D$4:$D$207,MATCH($B138,'Challan Master'!$S$4:$S$207,0)),"")&lt;=0),0,IF(IFERROR(INDEX('Challan Master'!$D$4:$D$207,MATCH($B138,'Challan Master'!$S$4:$S$207,0)),"")&lt;=DATE(YEAR(J138),MONTH(J138)+1,7),0,ROUND(L138*0.015*((YEAR(IFERROR(INDEX('Challan Master'!$D$4:$D$207,MATCH($B138,'Challan Master'!$S$4:$S$207,0)),""))-YEAR(J138))*12+(MONTH(IFERROR(INDEX('Challan Master'!$D$4:$D$207,MATCH($B138,'Challan Master'!$S$4:$S$207,0)),""))-MONTH(J138))+1),0))))</f>
      </c>
      <c r="P138" s="7">
        <f>IF($D138="","",0)</f>
      </c>
      <c r="Q138" s="8"/>
      <c r="R138" s="8"/>
      <c r="S138" s="8"/>
      <c r="T138" s="8"/>
      <c r="U138" s="8"/>
      <c r="V138" s="7">
        <f>IF($B138="","",IFERROR(INDEX('Challan Master'!$AA$4:$AA$207,MATCH($B138,'Challan Master'!$S$4:$S$207,0)),""))</f>
      </c>
    </row>
    <row r="139" spans="1:22" x14ac:dyDescent="0.25">
      <c r="A139" s="7">
        <f>IF($D139="","",COUNTIF($D$4:$D139,"&lt;&gt;"))</f>
      </c>
      <c r="B139" s="8"/>
      <c r="C139" s="7">
        <f>IF($B139="","","BSR "&amp;IFERROR(INDEX('Challan Master'!$B$4:$B$207,MATCH($B139,'Challan Master'!$S$4:$S$207,0)),"")&amp;" | Serial "&amp;IFERROR(INDEX('Challan Master'!$C$4:$C$207,MATCH($B139,'Challan Master'!$S$4:$S$207,0)),"")&amp;" | Deposit "&amp;TEXT(IFERROR(INDEX('Challan Master'!$D$4:$D$207,MATCH($B139,'Challan Master'!$S$4:$S$207,0)),""),"dd-mm-yyyy")&amp;" | Minor Head "&amp;IFERROR(INDEX('Challan Master'!$E$4:$E$207,MATCH($B139,'Challan Master'!$S$4:$S$207,0)),"")&amp;" | Tax ₹"&amp;TEXT(IFERROR(INDEX('Challan Master'!$G$4:$G$207,MATCH($B139,'Challan Master'!$S$4:$S$207,0)),""),"#,##0")&amp;" | Section "&amp;IFERROR(INDEX('Challan Master'!$F$4:$F$207,MATCH($B139,'Challan Master'!$S$4:$S$207,0)),""))</f>
      </c>
      <c r="D139" s="8"/>
      <c r="E139" s="8"/>
      <c r="F139" s="7">
        <f>IF($D139="","",IF(AND(LEN(TRIM(UPPER(E139)))=10,CODE(MID(TRIM(UPPER(E139)),1,1))&gt;=65,CODE(MID(TRIM(UPPER(E139)),1,1))&lt;=90,CODE(MID(TRIM(UPPER(E139)),2,1))&gt;=65,CODE(MID(TRIM(UPPER(E139)),2,1))&lt;=90,CODE(MID(TRIM(UPPER(E139)),3,1))&gt;=65,CODE(MID(TRIM(UPPER(E139)),3,1))&lt;=90,CODE(MID(TRIM(UPPER(E139)),4,1))&gt;=65,CODE(MID(TRIM(UPPER(E139)),4,1))&lt;=90,CODE(MID(TRIM(UPPER(E139)),5,1))&gt;=65,CODE(MID(TRIM(UPPER(E139)),5,1))&lt;=90,CODE(MID(TRIM(UPPER(E139)),10,1))&gt;=65,CODE(MID(TRIM(UPPER(E139)),10,1))&lt;=90,CODE(MID(TRIM(UPPER(E139)),6,1))&gt;=48,CODE(MID(TRIM(UPPER(E139)),6,1))&lt;=57,CODE(MID(TRIM(UPPER(E139)),7,1))&gt;=48,CODE(MID(TRIM(UPPER(E139)),7,1))&lt;=57,CODE(MID(TRIM(UPPER(E139)),8,1))&gt;=48,CODE(MID(TRIM(UPPER(E139)),8,1))&lt;=57,CODE(MID(TRIM(UPPER(E139)),9,1))&gt;=48,CODE(MID(TRIM(UPPER(E139)),9,1))&lt;=57),"N","Y"))</f>
      </c>
      <c r="G139" s="7">
        <f>IF($D139="","",IF(LEN(E139)&lt;4,"",IF(UPPER(MID(E139,4,1))="P","Individual",IF(UPPER(MID(E139,4,1))="H","HUF",IF(UPPER(MID(E139,4,1))="C","Company",IF(UPPER(MID(E139,4,1))="F","Firm",IF(UPPER(MID(E139,4,1))="L","LLP",IF(UPPER(MID(E139,4,1))="T","Trust",IF(UPPER(MID(E139,4,1))="A","AOP","")))))))))</f>
      </c>
      <c r="H139" s="8"/>
      <c r="I139" s="7">
        <f>IF($D139="","",IF(H139="","",IF(F139="Y",SUMPRODUCT(('Rate Lookup'!$A$1:$A$37=H139)*'Rate Lookup'!$D$1:$D$37),IF(OR(G139="Individual",G139="HUF"),SUMPRODUCT(('Rate Lookup'!$A$1:$A$37=H139)*'Rate Lookup'!$B$1:$B$37),SUMPRODUCT(('Rate Lookup'!$A$1:$A$37=H139)*'Rate Lookup'!$C$1:$C$37)))))</f>
      </c>
      <c r="J139" s="8"/>
      <c r="K139" s="8"/>
      <c r="L139" s="7">
        <f>IF($D139="","",ROUND(K139*I139/100,0))</f>
      </c>
      <c r="M139" s="7">
        <f>IF($D139="","",0)</f>
      </c>
      <c r="N139" s="7">
        <f>IF($D139="","",0)</f>
      </c>
      <c r="O139" s="7">
        <f>IF($D139="","",IF(OR(L139=0,J139="",IFERROR(INDEX('Challan Master'!$D$4:$D$207,MATCH($B139,'Challan Master'!$S$4:$S$207,0)),"")="",IFERROR(INDEX('Challan Master'!$D$4:$D$207,MATCH($B139,'Challan Master'!$S$4:$S$207,0)),"")&lt;=0),0,IF(IFERROR(INDEX('Challan Master'!$D$4:$D$207,MATCH($B139,'Challan Master'!$S$4:$S$207,0)),"")&lt;=DATE(YEAR(J139),MONTH(J139)+1,7),0,ROUND(L139*0.015*((YEAR(IFERROR(INDEX('Challan Master'!$D$4:$D$207,MATCH($B139,'Challan Master'!$S$4:$S$207,0)),""))-YEAR(J139))*12+(MONTH(IFERROR(INDEX('Challan Master'!$D$4:$D$207,MATCH($B139,'Challan Master'!$S$4:$S$207,0)),""))-MONTH(J139))+1),0))))</f>
      </c>
      <c r="P139" s="7">
        <f>IF($D139="","",0)</f>
      </c>
      <c r="Q139" s="8"/>
      <c r="R139" s="8"/>
      <c r="S139" s="8"/>
      <c r="T139" s="8"/>
      <c r="U139" s="8"/>
      <c r="V139" s="7">
        <f>IF($B139="","",IFERROR(INDEX('Challan Master'!$AA$4:$AA$207,MATCH($B139,'Challan Master'!$S$4:$S$207,0)),""))</f>
      </c>
    </row>
    <row r="140" spans="1:22" x14ac:dyDescent="0.25">
      <c r="A140" s="7">
        <f>IF($D140="","",COUNTIF($D$4:$D140,"&lt;&gt;"))</f>
      </c>
      <c r="B140" s="8"/>
      <c r="C140" s="7">
        <f>IF($B140="","","BSR "&amp;IFERROR(INDEX('Challan Master'!$B$4:$B$207,MATCH($B140,'Challan Master'!$S$4:$S$207,0)),"")&amp;" | Serial "&amp;IFERROR(INDEX('Challan Master'!$C$4:$C$207,MATCH($B140,'Challan Master'!$S$4:$S$207,0)),"")&amp;" | Deposit "&amp;TEXT(IFERROR(INDEX('Challan Master'!$D$4:$D$207,MATCH($B140,'Challan Master'!$S$4:$S$207,0)),""),"dd-mm-yyyy")&amp;" | Minor Head "&amp;IFERROR(INDEX('Challan Master'!$E$4:$E$207,MATCH($B140,'Challan Master'!$S$4:$S$207,0)),"")&amp;" | Tax ₹"&amp;TEXT(IFERROR(INDEX('Challan Master'!$G$4:$G$207,MATCH($B140,'Challan Master'!$S$4:$S$207,0)),""),"#,##0")&amp;" | Section "&amp;IFERROR(INDEX('Challan Master'!$F$4:$F$207,MATCH($B140,'Challan Master'!$S$4:$S$207,0)),""))</f>
      </c>
      <c r="D140" s="8"/>
      <c r="E140" s="8"/>
      <c r="F140" s="7">
        <f>IF($D140="","",IF(AND(LEN(TRIM(UPPER(E140)))=10,CODE(MID(TRIM(UPPER(E140)),1,1))&gt;=65,CODE(MID(TRIM(UPPER(E140)),1,1))&lt;=90,CODE(MID(TRIM(UPPER(E140)),2,1))&gt;=65,CODE(MID(TRIM(UPPER(E140)),2,1))&lt;=90,CODE(MID(TRIM(UPPER(E140)),3,1))&gt;=65,CODE(MID(TRIM(UPPER(E140)),3,1))&lt;=90,CODE(MID(TRIM(UPPER(E140)),4,1))&gt;=65,CODE(MID(TRIM(UPPER(E140)),4,1))&lt;=90,CODE(MID(TRIM(UPPER(E140)),5,1))&gt;=65,CODE(MID(TRIM(UPPER(E140)),5,1))&lt;=90,CODE(MID(TRIM(UPPER(E140)),10,1))&gt;=65,CODE(MID(TRIM(UPPER(E140)),10,1))&lt;=90,CODE(MID(TRIM(UPPER(E140)),6,1))&gt;=48,CODE(MID(TRIM(UPPER(E140)),6,1))&lt;=57,CODE(MID(TRIM(UPPER(E140)),7,1))&gt;=48,CODE(MID(TRIM(UPPER(E140)),7,1))&lt;=57,CODE(MID(TRIM(UPPER(E140)),8,1))&gt;=48,CODE(MID(TRIM(UPPER(E140)),8,1))&lt;=57,CODE(MID(TRIM(UPPER(E140)),9,1))&gt;=48,CODE(MID(TRIM(UPPER(E140)),9,1))&lt;=57),"N","Y"))</f>
      </c>
      <c r="G140" s="7">
        <f>IF($D140="","",IF(LEN(E140)&lt;4,"",IF(UPPER(MID(E140,4,1))="P","Individual",IF(UPPER(MID(E140,4,1))="H","HUF",IF(UPPER(MID(E140,4,1))="C","Company",IF(UPPER(MID(E140,4,1))="F","Firm",IF(UPPER(MID(E140,4,1))="L","LLP",IF(UPPER(MID(E140,4,1))="T","Trust",IF(UPPER(MID(E140,4,1))="A","AOP","")))))))))</f>
      </c>
      <c r="H140" s="8"/>
      <c r="I140" s="7">
        <f>IF($D140="","",IF(H140="","",IF(F140="Y",SUMPRODUCT(('Rate Lookup'!$A$1:$A$37=H140)*'Rate Lookup'!$D$1:$D$37),IF(OR(G140="Individual",G140="HUF"),SUMPRODUCT(('Rate Lookup'!$A$1:$A$37=H140)*'Rate Lookup'!$B$1:$B$37),SUMPRODUCT(('Rate Lookup'!$A$1:$A$37=H140)*'Rate Lookup'!$C$1:$C$37)))))</f>
      </c>
      <c r="J140" s="8"/>
      <c r="K140" s="8"/>
      <c r="L140" s="7">
        <f>IF($D140="","",ROUND(K140*I140/100,0))</f>
      </c>
      <c r="M140" s="7">
        <f>IF($D140="","",0)</f>
      </c>
      <c r="N140" s="7">
        <f>IF($D140="","",0)</f>
      </c>
      <c r="O140" s="7">
        <f>IF($D140="","",IF(OR(L140=0,J140="",IFERROR(INDEX('Challan Master'!$D$4:$D$207,MATCH($B140,'Challan Master'!$S$4:$S$207,0)),"")="",IFERROR(INDEX('Challan Master'!$D$4:$D$207,MATCH($B140,'Challan Master'!$S$4:$S$207,0)),"")&lt;=0),0,IF(IFERROR(INDEX('Challan Master'!$D$4:$D$207,MATCH($B140,'Challan Master'!$S$4:$S$207,0)),"")&lt;=DATE(YEAR(J140),MONTH(J140)+1,7),0,ROUND(L140*0.015*((YEAR(IFERROR(INDEX('Challan Master'!$D$4:$D$207,MATCH($B140,'Challan Master'!$S$4:$S$207,0)),""))-YEAR(J140))*12+(MONTH(IFERROR(INDEX('Challan Master'!$D$4:$D$207,MATCH($B140,'Challan Master'!$S$4:$S$207,0)),""))-MONTH(J140))+1),0))))</f>
      </c>
      <c r="P140" s="7">
        <f>IF($D140="","",0)</f>
      </c>
      <c r="Q140" s="8"/>
      <c r="R140" s="8"/>
      <c r="S140" s="8"/>
      <c r="T140" s="8"/>
      <c r="U140" s="8"/>
      <c r="V140" s="7">
        <f>IF($B140="","",IFERROR(INDEX('Challan Master'!$AA$4:$AA$207,MATCH($B140,'Challan Master'!$S$4:$S$207,0)),""))</f>
      </c>
    </row>
    <row r="141" spans="1:22" x14ac:dyDescent="0.25">
      <c r="A141" s="7">
        <f>IF($D141="","",COUNTIF($D$4:$D141,"&lt;&gt;"))</f>
      </c>
      <c r="B141" s="8"/>
      <c r="C141" s="7">
        <f>IF($B141="","","BSR "&amp;IFERROR(INDEX('Challan Master'!$B$4:$B$207,MATCH($B141,'Challan Master'!$S$4:$S$207,0)),"")&amp;" | Serial "&amp;IFERROR(INDEX('Challan Master'!$C$4:$C$207,MATCH($B141,'Challan Master'!$S$4:$S$207,0)),"")&amp;" | Deposit "&amp;TEXT(IFERROR(INDEX('Challan Master'!$D$4:$D$207,MATCH($B141,'Challan Master'!$S$4:$S$207,0)),""),"dd-mm-yyyy")&amp;" | Minor Head "&amp;IFERROR(INDEX('Challan Master'!$E$4:$E$207,MATCH($B141,'Challan Master'!$S$4:$S$207,0)),"")&amp;" | Tax ₹"&amp;TEXT(IFERROR(INDEX('Challan Master'!$G$4:$G$207,MATCH($B141,'Challan Master'!$S$4:$S$207,0)),""),"#,##0")&amp;" | Section "&amp;IFERROR(INDEX('Challan Master'!$F$4:$F$207,MATCH($B141,'Challan Master'!$S$4:$S$207,0)),""))</f>
      </c>
      <c r="D141" s="8"/>
      <c r="E141" s="8"/>
      <c r="F141" s="7">
        <f>IF($D141="","",IF(AND(LEN(TRIM(UPPER(E141)))=10,CODE(MID(TRIM(UPPER(E141)),1,1))&gt;=65,CODE(MID(TRIM(UPPER(E141)),1,1))&lt;=90,CODE(MID(TRIM(UPPER(E141)),2,1))&gt;=65,CODE(MID(TRIM(UPPER(E141)),2,1))&lt;=90,CODE(MID(TRIM(UPPER(E141)),3,1))&gt;=65,CODE(MID(TRIM(UPPER(E141)),3,1))&lt;=90,CODE(MID(TRIM(UPPER(E141)),4,1))&gt;=65,CODE(MID(TRIM(UPPER(E141)),4,1))&lt;=90,CODE(MID(TRIM(UPPER(E141)),5,1))&gt;=65,CODE(MID(TRIM(UPPER(E141)),5,1))&lt;=90,CODE(MID(TRIM(UPPER(E141)),10,1))&gt;=65,CODE(MID(TRIM(UPPER(E141)),10,1))&lt;=90,CODE(MID(TRIM(UPPER(E141)),6,1))&gt;=48,CODE(MID(TRIM(UPPER(E141)),6,1))&lt;=57,CODE(MID(TRIM(UPPER(E141)),7,1))&gt;=48,CODE(MID(TRIM(UPPER(E141)),7,1))&lt;=57,CODE(MID(TRIM(UPPER(E141)),8,1))&gt;=48,CODE(MID(TRIM(UPPER(E141)),8,1))&lt;=57,CODE(MID(TRIM(UPPER(E141)),9,1))&gt;=48,CODE(MID(TRIM(UPPER(E141)),9,1))&lt;=57),"N","Y"))</f>
      </c>
      <c r="G141" s="7">
        <f>IF($D141="","",IF(LEN(E141)&lt;4,"",IF(UPPER(MID(E141,4,1))="P","Individual",IF(UPPER(MID(E141,4,1))="H","HUF",IF(UPPER(MID(E141,4,1))="C","Company",IF(UPPER(MID(E141,4,1))="F","Firm",IF(UPPER(MID(E141,4,1))="L","LLP",IF(UPPER(MID(E141,4,1))="T","Trust",IF(UPPER(MID(E141,4,1))="A","AOP","")))))))))</f>
      </c>
      <c r="H141" s="8"/>
      <c r="I141" s="7">
        <f>IF($D141="","",IF(H141="","",IF(F141="Y",SUMPRODUCT(('Rate Lookup'!$A$1:$A$37=H141)*'Rate Lookup'!$D$1:$D$37),IF(OR(G141="Individual",G141="HUF"),SUMPRODUCT(('Rate Lookup'!$A$1:$A$37=H141)*'Rate Lookup'!$B$1:$B$37),SUMPRODUCT(('Rate Lookup'!$A$1:$A$37=H141)*'Rate Lookup'!$C$1:$C$37)))))</f>
      </c>
      <c r="J141" s="8"/>
      <c r="K141" s="8"/>
      <c r="L141" s="7">
        <f>IF($D141="","",ROUND(K141*I141/100,0))</f>
      </c>
      <c r="M141" s="7">
        <f>IF($D141="","",0)</f>
      </c>
      <c r="N141" s="7">
        <f>IF($D141="","",0)</f>
      </c>
      <c r="O141" s="7">
        <f>IF($D141="","",IF(OR(L141=0,J141="",IFERROR(INDEX('Challan Master'!$D$4:$D$207,MATCH($B141,'Challan Master'!$S$4:$S$207,0)),"")="",IFERROR(INDEX('Challan Master'!$D$4:$D$207,MATCH($B141,'Challan Master'!$S$4:$S$207,0)),"")&lt;=0),0,IF(IFERROR(INDEX('Challan Master'!$D$4:$D$207,MATCH($B141,'Challan Master'!$S$4:$S$207,0)),"")&lt;=DATE(YEAR(J141),MONTH(J141)+1,7),0,ROUND(L141*0.015*((YEAR(IFERROR(INDEX('Challan Master'!$D$4:$D$207,MATCH($B141,'Challan Master'!$S$4:$S$207,0)),""))-YEAR(J141))*12+(MONTH(IFERROR(INDEX('Challan Master'!$D$4:$D$207,MATCH($B141,'Challan Master'!$S$4:$S$207,0)),""))-MONTH(J141))+1),0))))</f>
      </c>
      <c r="P141" s="7">
        <f>IF($D141="","",0)</f>
      </c>
      <c r="Q141" s="8"/>
      <c r="R141" s="8"/>
      <c r="S141" s="8"/>
      <c r="T141" s="8"/>
      <c r="U141" s="8"/>
      <c r="V141" s="7">
        <f>IF($B141="","",IFERROR(INDEX('Challan Master'!$AA$4:$AA$207,MATCH($B141,'Challan Master'!$S$4:$S$207,0)),""))</f>
      </c>
    </row>
    <row r="142" spans="1:22" x14ac:dyDescent="0.25">
      <c r="A142" s="7">
        <f>IF($D142="","",COUNTIF($D$4:$D142,"&lt;&gt;"))</f>
      </c>
      <c r="B142" s="8"/>
      <c r="C142" s="7">
        <f>IF($B142="","","BSR "&amp;IFERROR(INDEX('Challan Master'!$B$4:$B$207,MATCH($B142,'Challan Master'!$S$4:$S$207,0)),"")&amp;" | Serial "&amp;IFERROR(INDEX('Challan Master'!$C$4:$C$207,MATCH($B142,'Challan Master'!$S$4:$S$207,0)),"")&amp;" | Deposit "&amp;TEXT(IFERROR(INDEX('Challan Master'!$D$4:$D$207,MATCH($B142,'Challan Master'!$S$4:$S$207,0)),""),"dd-mm-yyyy")&amp;" | Minor Head "&amp;IFERROR(INDEX('Challan Master'!$E$4:$E$207,MATCH($B142,'Challan Master'!$S$4:$S$207,0)),"")&amp;" | Tax ₹"&amp;TEXT(IFERROR(INDEX('Challan Master'!$G$4:$G$207,MATCH($B142,'Challan Master'!$S$4:$S$207,0)),""),"#,##0")&amp;" | Section "&amp;IFERROR(INDEX('Challan Master'!$F$4:$F$207,MATCH($B142,'Challan Master'!$S$4:$S$207,0)),""))</f>
      </c>
      <c r="D142" s="8"/>
      <c r="E142" s="8"/>
      <c r="F142" s="7">
        <f>IF($D142="","",IF(AND(LEN(TRIM(UPPER(E142)))=10,CODE(MID(TRIM(UPPER(E142)),1,1))&gt;=65,CODE(MID(TRIM(UPPER(E142)),1,1))&lt;=90,CODE(MID(TRIM(UPPER(E142)),2,1))&gt;=65,CODE(MID(TRIM(UPPER(E142)),2,1))&lt;=90,CODE(MID(TRIM(UPPER(E142)),3,1))&gt;=65,CODE(MID(TRIM(UPPER(E142)),3,1))&lt;=90,CODE(MID(TRIM(UPPER(E142)),4,1))&gt;=65,CODE(MID(TRIM(UPPER(E142)),4,1))&lt;=90,CODE(MID(TRIM(UPPER(E142)),5,1))&gt;=65,CODE(MID(TRIM(UPPER(E142)),5,1))&lt;=90,CODE(MID(TRIM(UPPER(E142)),10,1))&gt;=65,CODE(MID(TRIM(UPPER(E142)),10,1))&lt;=90,CODE(MID(TRIM(UPPER(E142)),6,1))&gt;=48,CODE(MID(TRIM(UPPER(E142)),6,1))&lt;=57,CODE(MID(TRIM(UPPER(E142)),7,1))&gt;=48,CODE(MID(TRIM(UPPER(E142)),7,1))&lt;=57,CODE(MID(TRIM(UPPER(E142)),8,1))&gt;=48,CODE(MID(TRIM(UPPER(E142)),8,1))&lt;=57,CODE(MID(TRIM(UPPER(E142)),9,1))&gt;=48,CODE(MID(TRIM(UPPER(E142)),9,1))&lt;=57),"N","Y"))</f>
      </c>
      <c r="G142" s="7">
        <f>IF($D142="","",IF(LEN(E142)&lt;4,"",IF(UPPER(MID(E142,4,1))="P","Individual",IF(UPPER(MID(E142,4,1))="H","HUF",IF(UPPER(MID(E142,4,1))="C","Company",IF(UPPER(MID(E142,4,1))="F","Firm",IF(UPPER(MID(E142,4,1))="L","LLP",IF(UPPER(MID(E142,4,1))="T","Trust",IF(UPPER(MID(E142,4,1))="A","AOP","")))))))))</f>
      </c>
      <c r="H142" s="8"/>
      <c r="I142" s="7">
        <f>IF($D142="","",IF(H142="","",IF(F142="Y",SUMPRODUCT(('Rate Lookup'!$A$1:$A$37=H142)*'Rate Lookup'!$D$1:$D$37),IF(OR(G142="Individual",G142="HUF"),SUMPRODUCT(('Rate Lookup'!$A$1:$A$37=H142)*'Rate Lookup'!$B$1:$B$37),SUMPRODUCT(('Rate Lookup'!$A$1:$A$37=H142)*'Rate Lookup'!$C$1:$C$37)))))</f>
      </c>
      <c r="J142" s="8"/>
      <c r="K142" s="8"/>
      <c r="L142" s="7">
        <f>IF($D142="","",ROUND(K142*I142/100,0))</f>
      </c>
      <c r="M142" s="7">
        <f>IF($D142="","",0)</f>
      </c>
      <c r="N142" s="7">
        <f>IF($D142="","",0)</f>
      </c>
      <c r="O142" s="7">
        <f>IF($D142="","",IF(OR(L142=0,J142="",IFERROR(INDEX('Challan Master'!$D$4:$D$207,MATCH($B142,'Challan Master'!$S$4:$S$207,0)),"")="",IFERROR(INDEX('Challan Master'!$D$4:$D$207,MATCH($B142,'Challan Master'!$S$4:$S$207,0)),"")&lt;=0),0,IF(IFERROR(INDEX('Challan Master'!$D$4:$D$207,MATCH($B142,'Challan Master'!$S$4:$S$207,0)),"")&lt;=DATE(YEAR(J142),MONTH(J142)+1,7),0,ROUND(L142*0.015*((YEAR(IFERROR(INDEX('Challan Master'!$D$4:$D$207,MATCH($B142,'Challan Master'!$S$4:$S$207,0)),""))-YEAR(J142))*12+(MONTH(IFERROR(INDEX('Challan Master'!$D$4:$D$207,MATCH($B142,'Challan Master'!$S$4:$S$207,0)),""))-MONTH(J142))+1),0))))</f>
      </c>
      <c r="P142" s="7">
        <f>IF($D142="","",0)</f>
      </c>
      <c r="Q142" s="8"/>
      <c r="R142" s="8"/>
      <c r="S142" s="8"/>
      <c r="T142" s="8"/>
      <c r="U142" s="8"/>
      <c r="V142" s="7">
        <f>IF($B142="","",IFERROR(INDEX('Challan Master'!$AA$4:$AA$207,MATCH($B142,'Challan Master'!$S$4:$S$207,0)),""))</f>
      </c>
    </row>
    <row r="143" spans="1:22" x14ac:dyDescent="0.25">
      <c r="A143" s="7">
        <f>IF($D143="","",COUNTIF($D$4:$D143,"&lt;&gt;"))</f>
      </c>
      <c r="B143" s="8"/>
      <c r="C143" s="7">
        <f>IF($B143="","","BSR "&amp;IFERROR(INDEX('Challan Master'!$B$4:$B$207,MATCH($B143,'Challan Master'!$S$4:$S$207,0)),"")&amp;" | Serial "&amp;IFERROR(INDEX('Challan Master'!$C$4:$C$207,MATCH($B143,'Challan Master'!$S$4:$S$207,0)),"")&amp;" | Deposit "&amp;TEXT(IFERROR(INDEX('Challan Master'!$D$4:$D$207,MATCH($B143,'Challan Master'!$S$4:$S$207,0)),""),"dd-mm-yyyy")&amp;" | Minor Head "&amp;IFERROR(INDEX('Challan Master'!$E$4:$E$207,MATCH($B143,'Challan Master'!$S$4:$S$207,0)),"")&amp;" | Tax ₹"&amp;TEXT(IFERROR(INDEX('Challan Master'!$G$4:$G$207,MATCH($B143,'Challan Master'!$S$4:$S$207,0)),""),"#,##0")&amp;" | Section "&amp;IFERROR(INDEX('Challan Master'!$F$4:$F$207,MATCH($B143,'Challan Master'!$S$4:$S$207,0)),""))</f>
      </c>
      <c r="D143" s="8"/>
      <c r="E143" s="8"/>
      <c r="F143" s="7">
        <f>IF($D143="","",IF(AND(LEN(TRIM(UPPER(E143)))=10,CODE(MID(TRIM(UPPER(E143)),1,1))&gt;=65,CODE(MID(TRIM(UPPER(E143)),1,1))&lt;=90,CODE(MID(TRIM(UPPER(E143)),2,1))&gt;=65,CODE(MID(TRIM(UPPER(E143)),2,1))&lt;=90,CODE(MID(TRIM(UPPER(E143)),3,1))&gt;=65,CODE(MID(TRIM(UPPER(E143)),3,1))&lt;=90,CODE(MID(TRIM(UPPER(E143)),4,1))&gt;=65,CODE(MID(TRIM(UPPER(E143)),4,1))&lt;=90,CODE(MID(TRIM(UPPER(E143)),5,1))&gt;=65,CODE(MID(TRIM(UPPER(E143)),5,1))&lt;=90,CODE(MID(TRIM(UPPER(E143)),10,1))&gt;=65,CODE(MID(TRIM(UPPER(E143)),10,1))&lt;=90,CODE(MID(TRIM(UPPER(E143)),6,1))&gt;=48,CODE(MID(TRIM(UPPER(E143)),6,1))&lt;=57,CODE(MID(TRIM(UPPER(E143)),7,1))&gt;=48,CODE(MID(TRIM(UPPER(E143)),7,1))&lt;=57,CODE(MID(TRIM(UPPER(E143)),8,1))&gt;=48,CODE(MID(TRIM(UPPER(E143)),8,1))&lt;=57,CODE(MID(TRIM(UPPER(E143)),9,1))&gt;=48,CODE(MID(TRIM(UPPER(E143)),9,1))&lt;=57),"N","Y"))</f>
      </c>
      <c r="G143" s="7">
        <f>IF($D143="","",IF(LEN(E143)&lt;4,"",IF(UPPER(MID(E143,4,1))="P","Individual",IF(UPPER(MID(E143,4,1))="H","HUF",IF(UPPER(MID(E143,4,1))="C","Company",IF(UPPER(MID(E143,4,1))="F","Firm",IF(UPPER(MID(E143,4,1))="L","LLP",IF(UPPER(MID(E143,4,1))="T","Trust",IF(UPPER(MID(E143,4,1))="A","AOP","")))))))))</f>
      </c>
      <c r="H143" s="8"/>
      <c r="I143" s="7">
        <f>IF($D143="","",IF(H143="","",IF(F143="Y",SUMPRODUCT(('Rate Lookup'!$A$1:$A$37=H143)*'Rate Lookup'!$D$1:$D$37),IF(OR(G143="Individual",G143="HUF"),SUMPRODUCT(('Rate Lookup'!$A$1:$A$37=H143)*'Rate Lookup'!$B$1:$B$37),SUMPRODUCT(('Rate Lookup'!$A$1:$A$37=H143)*'Rate Lookup'!$C$1:$C$37)))))</f>
      </c>
      <c r="J143" s="8"/>
      <c r="K143" s="8"/>
      <c r="L143" s="7">
        <f>IF($D143="","",ROUND(K143*I143/100,0))</f>
      </c>
      <c r="M143" s="7">
        <f>IF($D143="","",0)</f>
      </c>
      <c r="N143" s="7">
        <f>IF($D143="","",0)</f>
      </c>
      <c r="O143" s="7">
        <f>IF($D143="","",IF(OR(L143=0,J143="",IFERROR(INDEX('Challan Master'!$D$4:$D$207,MATCH($B143,'Challan Master'!$S$4:$S$207,0)),"")="",IFERROR(INDEX('Challan Master'!$D$4:$D$207,MATCH($B143,'Challan Master'!$S$4:$S$207,0)),"")&lt;=0),0,IF(IFERROR(INDEX('Challan Master'!$D$4:$D$207,MATCH($B143,'Challan Master'!$S$4:$S$207,0)),"")&lt;=DATE(YEAR(J143),MONTH(J143)+1,7),0,ROUND(L143*0.015*((YEAR(IFERROR(INDEX('Challan Master'!$D$4:$D$207,MATCH($B143,'Challan Master'!$S$4:$S$207,0)),""))-YEAR(J143))*12+(MONTH(IFERROR(INDEX('Challan Master'!$D$4:$D$207,MATCH($B143,'Challan Master'!$S$4:$S$207,0)),""))-MONTH(J143))+1),0))))</f>
      </c>
      <c r="P143" s="7">
        <f>IF($D143="","",0)</f>
      </c>
      <c r="Q143" s="8"/>
      <c r="R143" s="8"/>
      <c r="S143" s="8"/>
      <c r="T143" s="8"/>
      <c r="U143" s="8"/>
      <c r="V143" s="7">
        <f>IF($B143="","",IFERROR(INDEX('Challan Master'!$AA$4:$AA$207,MATCH($B143,'Challan Master'!$S$4:$S$207,0)),""))</f>
      </c>
    </row>
    <row r="144" spans="1:22" x14ac:dyDescent="0.25">
      <c r="A144" s="7">
        <f>IF($D144="","",COUNTIF($D$4:$D144,"&lt;&gt;"))</f>
      </c>
      <c r="B144" s="8"/>
      <c r="C144" s="7">
        <f>IF($B144="","","BSR "&amp;IFERROR(INDEX('Challan Master'!$B$4:$B$207,MATCH($B144,'Challan Master'!$S$4:$S$207,0)),"")&amp;" | Serial "&amp;IFERROR(INDEX('Challan Master'!$C$4:$C$207,MATCH($B144,'Challan Master'!$S$4:$S$207,0)),"")&amp;" | Deposit "&amp;TEXT(IFERROR(INDEX('Challan Master'!$D$4:$D$207,MATCH($B144,'Challan Master'!$S$4:$S$207,0)),""),"dd-mm-yyyy")&amp;" | Minor Head "&amp;IFERROR(INDEX('Challan Master'!$E$4:$E$207,MATCH($B144,'Challan Master'!$S$4:$S$207,0)),"")&amp;" | Tax ₹"&amp;TEXT(IFERROR(INDEX('Challan Master'!$G$4:$G$207,MATCH($B144,'Challan Master'!$S$4:$S$207,0)),""),"#,##0")&amp;" | Section "&amp;IFERROR(INDEX('Challan Master'!$F$4:$F$207,MATCH($B144,'Challan Master'!$S$4:$S$207,0)),""))</f>
      </c>
      <c r="D144" s="8"/>
      <c r="E144" s="8"/>
      <c r="F144" s="7">
        <f>IF($D144="","",IF(AND(LEN(TRIM(UPPER(E144)))=10,CODE(MID(TRIM(UPPER(E144)),1,1))&gt;=65,CODE(MID(TRIM(UPPER(E144)),1,1))&lt;=90,CODE(MID(TRIM(UPPER(E144)),2,1))&gt;=65,CODE(MID(TRIM(UPPER(E144)),2,1))&lt;=90,CODE(MID(TRIM(UPPER(E144)),3,1))&gt;=65,CODE(MID(TRIM(UPPER(E144)),3,1))&lt;=90,CODE(MID(TRIM(UPPER(E144)),4,1))&gt;=65,CODE(MID(TRIM(UPPER(E144)),4,1))&lt;=90,CODE(MID(TRIM(UPPER(E144)),5,1))&gt;=65,CODE(MID(TRIM(UPPER(E144)),5,1))&lt;=90,CODE(MID(TRIM(UPPER(E144)),10,1))&gt;=65,CODE(MID(TRIM(UPPER(E144)),10,1))&lt;=90,CODE(MID(TRIM(UPPER(E144)),6,1))&gt;=48,CODE(MID(TRIM(UPPER(E144)),6,1))&lt;=57,CODE(MID(TRIM(UPPER(E144)),7,1))&gt;=48,CODE(MID(TRIM(UPPER(E144)),7,1))&lt;=57,CODE(MID(TRIM(UPPER(E144)),8,1))&gt;=48,CODE(MID(TRIM(UPPER(E144)),8,1))&lt;=57,CODE(MID(TRIM(UPPER(E144)),9,1))&gt;=48,CODE(MID(TRIM(UPPER(E144)),9,1))&lt;=57),"N","Y"))</f>
      </c>
      <c r="G144" s="7">
        <f>IF($D144="","",IF(LEN(E144)&lt;4,"",IF(UPPER(MID(E144,4,1))="P","Individual",IF(UPPER(MID(E144,4,1))="H","HUF",IF(UPPER(MID(E144,4,1))="C","Company",IF(UPPER(MID(E144,4,1))="F","Firm",IF(UPPER(MID(E144,4,1))="L","LLP",IF(UPPER(MID(E144,4,1))="T","Trust",IF(UPPER(MID(E144,4,1))="A","AOP","")))))))))</f>
      </c>
      <c r="H144" s="8"/>
      <c r="I144" s="7">
        <f>IF($D144="","",IF(H144="","",IF(F144="Y",SUMPRODUCT(('Rate Lookup'!$A$1:$A$37=H144)*'Rate Lookup'!$D$1:$D$37),IF(OR(G144="Individual",G144="HUF"),SUMPRODUCT(('Rate Lookup'!$A$1:$A$37=H144)*'Rate Lookup'!$B$1:$B$37),SUMPRODUCT(('Rate Lookup'!$A$1:$A$37=H144)*'Rate Lookup'!$C$1:$C$37)))))</f>
      </c>
      <c r="J144" s="8"/>
      <c r="K144" s="8"/>
      <c r="L144" s="7">
        <f>IF($D144="","",ROUND(K144*I144/100,0))</f>
      </c>
      <c r="M144" s="7">
        <f>IF($D144="","",0)</f>
      </c>
      <c r="N144" s="7">
        <f>IF($D144="","",0)</f>
      </c>
      <c r="O144" s="7">
        <f>IF($D144="","",IF(OR(L144=0,J144="",IFERROR(INDEX('Challan Master'!$D$4:$D$207,MATCH($B144,'Challan Master'!$S$4:$S$207,0)),"")="",IFERROR(INDEX('Challan Master'!$D$4:$D$207,MATCH($B144,'Challan Master'!$S$4:$S$207,0)),"")&lt;=0),0,IF(IFERROR(INDEX('Challan Master'!$D$4:$D$207,MATCH($B144,'Challan Master'!$S$4:$S$207,0)),"")&lt;=DATE(YEAR(J144),MONTH(J144)+1,7),0,ROUND(L144*0.015*((YEAR(IFERROR(INDEX('Challan Master'!$D$4:$D$207,MATCH($B144,'Challan Master'!$S$4:$S$207,0)),""))-YEAR(J144))*12+(MONTH(IFERROR(INDEX('Challan Master'!$D$4:$D$207,MATCH($B144,'Challan Master'!$S$4:$S$207,0)),""))-MONTH(J144))+1),0))))</f>
      </c>
      <c r="P144" s="7">
        <f>IF($D144="","",0)</f>
      </c>
      <c r="Q144" s="8"/>
      <c r="R144" s="8"/>
      <c r="S144" s="8"/>
      <c r="T144" s="8"/>
      <c r="U144" s="8"/>
      <c r="V144" s="7">
        <f>IF($B144="","",IFERROR(INDEX('Challan Master'!$AA$4:$AA$207,MATCH($B144,'Challan Master'!$S$4:$S$207,0)),""))</f>
      </c>
    </row>
    <row r="145" spans="1:22" x14ac:dyDescent="0.25">
      <c r="A145" s="7">
        <f>IF($D145="","",COUNTIF($D$4:$D145,"&lt;&gt;"))</f>
      </c>
      <c r="B145" s="8"/>
      <c r="C145" s="7">
        <f>IF($B145="","","BSR "&amp;IFERROR(INDEX('Challan Master'!$B$4:$B$207,MATCH($B145,'Challan Master'!$S$4:$S$207,0)),"")&amp;" | Serial "&amp;IFERROR(INDEX('Challan Master'!$C$4:$C$207,MATCH($B145,'Challan Master'!$S$4:$S$207,0)),"")&amp;" | Deposit "&amp;TEXT(IFERROR(INDEX('Challan Master'!$D$4:$D$207,MATCH($B145,'Challan Master'!$S$4:$S$207,0)),""),"dd-mm-yyyy")&amp;" | Minor Head "&amp;IFERROR(INDEX('Challan Master'!$E$4:$E$207,MATCH($B145,'Challan Master'!$S$4:$S$207,0)),"")&amp;" | Tax ₹"&amp;TEXT(IFERROR(INDEX('Challan Master'!$G$4:$G$207,MATCH($B145,'Challan Master'!$S$4:$S$207,0)),""),"#,##0")&amp;" | Section "&amp;IFERROR(INDEX('Challan Master'!$F$4:$F$207,MATCH($B145,'Challan Master'!$S$4:$S$207,0)),""))</f>
      </c>
      <c r="D145" s="8"/>
      <c r="E145" s="8"/>
      <c r="F145" s="7">
        <f>IF($D145="","",IF(AND(LEN(TRIM(UPPER(E145)))=10,CODE(MID(TRIM(UPPER(E145)),1,1))&gt;=65,CODE(MID(TRIM(UPPER(E145)),1,1))&lt;=90,CODE(MID(TRIM(UPPER(E145)),2,1))&gt;=65,CODE(MID(TRIM(UPPER(E145)),2,1))&lt;=90,CODE(MID(TRIM(UPPER(E145)),3,1))&gt;=65,CODE(MID(TRIM(UPPER(E145)),3,1))&lt;=90,CODE(MID(TRIM(UPPER(E145)),4,1))&gt;=65,CODE(MID(TRIM(UPPER(E145)),4,1))&lt;=90,CODE(MID(TRIM(UPPER(E145)),5,1))&gt;=65,CODE(MID(TRIM(UPPER(E145)),5,1))&lt;=90,CODE(MID(TRIM(UPPER(E145)),10,1))&gt;=65,CODE(MID(TRIM(UPPER(E145)),10,1))&lt;=90,CODE(MID(TRIM(UPPER(E145)),6,1))&gt;=48,CODE(MID(TRIM(UPPER(E145)),6,1))&lt;=57,CODE(MID(TRIM(UPPER(E145)),7,1))&gt;=48,CODE(MID(TRIM(UPPER(E145)),7,1))&lt;=57,CODE(MID(TRIM(UPPER(E145)),8,1))&gt;=48,CODE(MID(TRIM(UPPER(E145)),8,1))&lt;=57,CODE(MID(TRIM(UPPER(E145)),9,1))&gt;=48,CODE(MID(TRIM(UPPER(E145)),9,1))&lt;=57),"N","Y"))</f>
      </c>
      <c r="G145" s="7">
        <f>IF($D145="","",IF(LEN(E145)&lt;4,"",IF(UPPER(MID(E145,4,1))="P","Individual",IF(UPPER(MID(E145,4,1))="H","HUF",IF(UPPER(MID(E145,4,1))="C","Company",IF(UPPER(MID(E145,4,1))="F","Firm",IF(UPPER(MID(E145,4,1))="L","LLP",IF(UPPER(MID(E145,4,1))="T","Trust",IF(UPPER(MID(E145,4,1))="A","AOP","")))))))))</f>
      </c>
      <c r="H145" s="8"/>
      <c r="I145" s="7">
        <f>IF($D145="","",IF(H145="","",IF(F145="Y",SUMPRODUCT(('Rate Lookup'!$A$1:$A$37=H145)*'Rate Lookup'!$D$1:$D$37),IF(OR(G145="Individual",G145="HUF"),SUMPRODUCT(('Rate Lookup'!$A$1:$A$37=H145)*'Rate Lookup'!$B$1:$B$37),SUMPRODUCT(('Rate Lookup'!$A$1:$A$37=H145)*'Rate Lookup'!$C$1:$C$37)))))</f>
      </c>
      <c r="J145" s="8"/>
      <c r="K145" s="8"/>
      <c r="L145" s="7">
        <f>IF($D145="","",ROUND(K145*I145/100,0))</f>
      </c>
      <c r="M145" s="7">
        <f>IF($D145="","",0)</f>
      </c>
      <c r="N145" s="7">
        <f>IF($D145="","",0)</f>
      </c>
      <c r="O145" s="7">
        <f>IF($D145="","",IF(OR(L145=0,J145="",IFERROR(INDEX('Challan Master'!$D$4:$D$207,MATCH($B145,'Challan Master'!$S$4:$S$207,0)),"")="",IFERROR(INDEX('Challan Master'!$D$4:$D$207,MATCH($B145,'Challan Master'!$S$4:$S$207,0)),"")&lt;=0),0,IF(IFERROR(INDEX('Challan Master'!$D$4:$D$207,MATCH($B145,'Challan Master'!$S$4:$S$207,0)),"")&lt;=DATE(YEAR(J145),MONTH(J145)+1,7),0,ROUND(L145*0.015*((YEAR(IFERROR(INDEX('Challan Master'!$D$4:$D$207,MATCH($B145,'Challan Master'!$S$4:$S$207,0)),""))-YEAR(J145))*12+(MONTH(IFERROR(INDEX('Challan Master'!$D$4:$D$207,MATCH($B145,'Challan Master'!$S$4:$S$207,0)),""))-MONTH(J145))+1),0))))</f>
      </c>
      <c r="P145" s="7">
        <f>IF($D145="","",0)</f>
      </c>
      <c r="Q145" s="8"/>
      <c r="R145" s="8"/>
      <c r="S145" s="8"/>
      <c r="T145" s="8"/>
      <c r="U145" s="8"/>
      <c r="V145" s="7">
        <f>IF($B145="","",IFERROR(INDEX('Challan Master'!$AA$4:$AA$207,MATCH($B145,'Challan Master'!$S$4:$S$207,0)),""))</f>
      </c>
    </row>
    <row r="146" spans="1:22" x14ac:dyDescent="0.25">
      <c r="A146" s="7">
        <f>IF($D146="","",COUNTIF($D$4:$D146,"&lt;&gt;"))</f>
      </c>
      <c r="B146" s="8"/>
      <c r="C146" s="7">
        <f>IF($B146="","","BSR "&amp;IFERROR(INDEX('Challan Master'!$B$4:$B$207,MATCH($B146,'Challan Master'!$S$4:$S$207,0)),"")&amp;" | Serial "&amp;IFERROR(INDEX('Challan Master'!$C$4:$C$207,MATCH($B146,'Challan Master'!$S$4:$S$207,0)),"")&amp;" | Deposit "&amp;TEXT(IFERROR(INDEX('Challan Master'!$D$4:$D$207,MATCH($B146,'Challan Master'!$S$4:$S$207,0)),""),"dd-mm-yyyy")&amp;" | Minor Head "&amp;IFERROR(INDEX('Challan Master'!$E$4:$E$207,MATCH($B146,'Challan Master'!$S$4:$S$207,0)),"")&amp;" | Tax ₹"&amp;TEXT(IFERROR(INDEX('Challan Master'!$G$4:$G$207,MATCH($B146,'Challan Master'!$S$4:$S$207,0)),""),"#,##0")&amp;" | Section "&amp;IFERROR(INDEX('Challan Master'!$F$4:$F$207,MATCH($B146,'Challan Master'!$S$4:$S$207,0)),""))</f>
      </c>
      <c r="D146" s="8"/>
      <c r="E146" s="8"/>
      <c r="F146" s="7">
        <f>IF($D146="","",IF(AND(LEN(TRIM(UPPER(E146)))=10,CODE(MID(TRIM(UPPER(E146)),1,1))&gt;=65,CODE(MID(TRIM(UPPER(E146)),1,1))&lt;=90,CODE(MID(TRIM(UPPER(E146)),2,1))&gt;=65,CODE(MID(TRIM(UPPER(E146)),2,1))&lt;=90,CODE(MID(TRIM(UPPER(E146)),3,1))&gt;=65,CODE(MID(TRIM(UPPER(E146)),3,1))&lt;=90,CODE(MID(TRIM(UPPER(E146)),4,1))&gt;=65,CODE(MID(TRIM(UPPER(E146)),4,1))&lt;=90,CODE(MID(TRIM(UPPER(E146)),5,1))&gt;=65,CODE(MID(TRIM(UPPER(E146)),5,1))&lt;=90,CODE(MID(TRIM(UPPER(E146)),10,1))&gt;=65,CODE(MID(TRIM(UPPER(E146)),10,1))&lt;=90,CODE(MID(TRIM(UPPER(E146)),6,1))&gt;=48,CODE(MID(TRIM(UPPER(E146)),6,1))&lt;=57,CODE(MID(TRIM(UPPER(E146)),7,1))&gt;=48,CODE(MID(TRIM(UPPER(E146)),7,1))&lt;=57,CODE(MID(TRIM(UPPER(E146)),8,1))&gt;=48,CODE(MID(TRIM(UPPER(E146)),8,1))&lt;=57,CODE(MID(TRIM(UPPER(E146)),9,1))&gt;=48,CODE(MID(TRIM(UPPER(E146)),9,1))&lt;=57),"N","Y"))</f>
      </c>
      <c r="G146" s="7">
        <f>IF($D146="","",IF(LEN(E146)&lt;4,"",IF(UPPER(MID(E146,4,1))="P","Individual",IF(UPPER(MID(E146,4,1))="H","HUF",IF(UPPER(MID(E146,4,1))="C","Company",IF(UPPER(MID(E146,4,1))="F","Firm",IF(UPPER(MID(E146,4,1))="L","LLP",IF(UPPER(MID(E146,4,1))="T","Trust",IF(UPPER(MID(E146,4,1))="A","AOP","")))))))))</f>
      </c>
      <c r="H146" s="8"/>
      <c r="I146" s="7">
        <f>IF($D146="","",IF(H146="","",IF(F146="Y",SUMPRODUCT(('Rate Lookup'!$A$1:$A$37=H146)*'Rate Lookup'!$D$1:$D$37),IF(OR(G146="Individual",G146="HUF"),SUMPRODUCT(('Rate Lookup'!$A$1:$A$37=H146)*'Rate Lookup'!$B$1:$B$37),SUMPRODUCT(('Rate Lookup'!$A$1:$A$37=H146)*'Rate Lookup'!$C$1:$C$37)))))</f>
      </c>
      <c r="J146" s="8"/>
      <c r="K146" s="8"/>
      <c r="L146" s="7">
        <f>IF($D146="","",ROUND(K146*I146/100,0))</f>
      </c>
      <c r="M146" s="7">
        <f>IF($D146="","",0)</f>
      </c>
      <c r="N146" s="7">
        <f>IF($D146="","",0)</f>
      </c>
      <c r="O146" s="7">
        <f>IF($D146="","",IF(OR(L146=0,J146="",IFERROR(INDEX('Challan Master'!$D$4:$D$207,MATCH($B146,'Challan Master'!$S$4:$S$207,0)),"")="",IFERROR(INDEX('Challan Master'!$D$4:$D$207,MATCH($B146,'Challan Master'!$S$4:$S$207,0)),"")&lt;=0),0,IF(IFERROR(INDEX('Challan Master'!$D$4:$D$207,MATCH($B146,'Challan Master'!$S$4:$S$207,0)),"")&lt;=DATE(YEAR(J146),MONTH(J146)+1,7),0,ROUND(L146*0.015*((YEAR(IFERROR(INDEX('Challan Master'!$D$4:$D$207,MATCH($B146,'Challan Master'!$S$4:$S$207,0)),""))-YEAR(J146))*12+(MONTH(IFERROR(INDEX('Challan Master'!$D$4:$D$207,MATCH($B146,'Challan Master'!$S$4:$S$207,0)),""))-MONTH(J146))+1),0))))</f>
      </c>
      <c r="P146" s="7">
        <f>IF($D146="","",0)</f>
      </c>
      <c r="Q146" s="8"/>
      <c r="R146" s="8"/>
      <c r="S146" s="8"/>
      <c r="T146" s="8"/>
      <c r="U146" s="8"/>
      <c r="V146" s="7">
        <f>IF($B146="","",IFERROR(INDEX('Challan Master'!$AA$4:$AA$207,MATCH($B146,'Challan Master'!$S$4:$S$207,0)),""))</f>
      </c>
    </row>
    <row r="147" spans="1:22" x14ac:dyDescent="0.25">
      <c r="A147" s="7">
        <f>IF($D147="","",COUNTIF($D$4:$D147,"&lt;&gt;"))</f>
      </c>
      <c r="B147" s="8"/>
      <c r="C147" s="7">
        <f>IF($B147="","","BSR "&amp;IFERROR(INDEX('Challan Master'!$B$4:$B$207,MATCH($B147,'Challan Master'!$S$4:$S$207,0)),"")&amp;" | Serial "&amp;IFERROR(INDEX('Challan Master'!$C$4:$C$207,MATCH($B147,'Challan Master'!$S$4:$S$207,0)),"")&amp;" | Deposit "&amp;TEXT(IFERROR(INDEX('Challan Master'!$D$4:$D$207,MATCH($B147,'Challan Master'!$S$4:$S$207,0)),""),"dd-mm-yyyy")&amp;" | Minor Head "&amp;IFERROR(INDEX('Challan Master'!$E$4:$E$207,MATCH($B147,'Challan Master'!$S$4:$S$207,0)),"")&amp;" | Tax ₹"&amp;TEXT(IFERROR(INDEX('Challan Master'!$G$4:$G$207,MATCH($B147,'Challan Master'!$S$4:$S$207,0)),""),"#,##0")&amp;" | Section "&amp;IFERROR(INDEX('Challan Master'!$F$4:$F$207,MATCH($B147,'Challan Master'!$S$4:$S$207,0)),""))</f>
      </c>
      <c r="D147" s="8"/>
      <c r="E147" s="8"/>
      <c r="F147" s="7">
        <f>IF($D147="","",IF(AND(LEN(TRIM(UPPER(E147)))=10,CODE(MID(TRIM(UPPER(E147)),1,1))&gt;=65,CODE(MID(TRIM(UPPER(E147)),1,1))&lt;=90,CODE(MID(TRIM(UPPER(E147)),2,1))&gt;=65,CODE(MID(TRIM(UPPER(E147)),2,1))&lt;=90,CODE(MID(TRIM(UPPER(E147)),3,1))&gt;=65,CODE(MID(TRIM(UPPER(E147)),3,1))&lt;=90,CODE(MID(TRIM(UPPER(E147)),4,1))&gt;=65,CODE(MID(TRIM(UPPER(E147)),4,1))&lt;=90,CODE(MID(TRIM(UPPER(E147)),5,1))&gt;=65,CODE(MID(TRIM(UPPER(E147)),5,1))&lt;=90,CODE(MID(TRIM(UPPER(E147)),10,1))&gt;=65,CODE(MID(TRIM(UPPER(E147)),10,1))&lt;=90,CODE(MID(TRIM(UPPER(E147)),6,1))&gt;=48,CODE(MID(TRIM(UPPER(E147)),6,1))&lt;=57,CODE(MID(TRIM(UPPER(E147)),7,1))&gt;=48,CODE(MID(TRIM(UPPER(E147)),7,1))&lt;=57,CODE(MID(TRIM(UPPER(E147)),8,1))&gt;=48,CODE(MID(TRIM(UPPER(E147)),8,1))&lt;=57,CODE(MID(TRIM(UPPER(E147)),9,1))&gt;=48,CODE(MID(TRIM(UPPER(E147)),9,1))&lt;=57),"N","Y"))</f>
      </c>
      <c r="G147" s="7">
        <f>IF($D147="","",IF(LEN(E147)&lt;4,"",IF(UPPER(MID(E147,4,1))="P","Individual",IF(UPPER(MID(E147,4,1))="H","HUF",IF(UPPER(MID(E147,4,1))="C","Company",IF(UPPER(MID(E147,4,1))="F","Firm",IF(UPPER(MID(E147,4,1))="L","LLP",IF(UPPER(MID(E147,4,1))="T","Trust",IF(UPPER(MID(E147,4,1))="A","AOP","")))))))))</f>
      </c>
      <c r="H147" s="8"/>
      <c r="I147" s="7">
        <f>IF($D147="","",IF(H147="","",IF(F147="Y",SUMPRODUCT(('Rate Lookup'!$A$1:$A$37=H147)*'Rate Lookup'!$D$1:$D$37),IF(OR(G147="Individual",G147="HUF"),SUMPRODUCT(('Rate Lookup'!$A$1:$A$37=H147)*'Rate Lookup'!$B$1:$B$37),SUMPRODUCT(('Rate Lookup'!$A$1:$A$37=H147)*'Rate Lookup'!$C$1:$C$37)))))</f>
      </c>
      <c r="J147" s="8"/>
      <c r="K147" s="8"/>
      <c r="L147" s="7">
        <f>IF($D147="","",ROUND(K147*I147/100,0))</f>
      </c>
      <c r="M147" s="7">
        <f>IF($D147="","",0)</f>
      </c>
      <c r="N147" s="7">
        <f>IF($D147="","",0)</f>
      </c>
      <c r="O147" s="7">
        <f>IF($D147="","",IF(OR(L147=0,J147="",IFERROR(INDEX('Challan Master'!$D$4:$D$207,MATCH($B147,'Challan Master'!$S$4:$S$207,0)),"")="",IFERROR(INDEX('Challan Master'!$D$4:$D$207,MATCH($B147,'Challan Master'!$S$4:$S$207,0)),"")&lt;=0),0,IF(IFERROR(INDEX('Challan Master'!$D$4:$D$207,MATCH($B147,'Challan Master'!$S$4:$S$207,0)),"")&lt;=DATE(YEAR(J147),MONTH(J147)+1,7),0,ROUND(L147*0.015*((YEAR(IFERROR(INDEX('Challan Master'!$D$4:$D$207,MATCH($B147,'Challan Master'!$S$4:$S$207,0)),""))-YEAR(J147))*12+(MONTH(IFERROR(INDEX('Challan Master'!$D$4:$D$207,MATCH($B147,'Challan Master'!$S$4:$S$207,0)),""))-MONTH(J147))+1),0))))</f>
      </c>
      <c r="P147" s="7">
        <f>IF($D147="","",0)</f>
      </c>
      <c r="Q147" s="8"/>
      <c r="R147" s="8"/>
      <c r="S147" s="8"/>
      <c r="T147" s="8"/>
      <c r="U147" s="8"/>
      <c r="V147" s="7">
        <f>IF($B147="","",IFERROR(INDEX('Challan Master'!$AA$4:$AA$207,MATCH($B147,'Challan Master'!$S$4:$S$207,0)),""))</f>
      </c>
    </row>
    <row r="148" spans="1:22" x14ac:dyDescent="0.25">
      <c r="A148" s="7">
        <f>IF($D148="","",COUNTIF($D$4:$D148,"&lt;&gt;"))</f>
      </c>
      <c r="B148" s="8"/>
      <c r="C148" s="7">
        <f>IF($B148="","","BSR "&amp;IFERROR(INDEX('Challan Master'!$B$4:$B$207,MATCH($B148,'Challan Master'!$S$4:$S$207,0)),"")&amp;" | Serial "&amp;IFERROR(INDEX('Challan Master'!$C$4:$C$207,MATCH($B148,'Challan Master'!$S$4:$S$207,0)),"")&amp;" | Deposit "&amp;TEXT(IFERROR(INDEX('Challan Master'!$D$4:$D$207,MATCH($B148,'Challan Master'!$S$4:$S$207,0)),""),"dd-mm-yyyy")&amp;" | Minor Head "&amp;IFERROR(INDEX('Challan Master'!$E$4:$E$207,MATCH($B148,'Challan Master'!$S$4:$S$207,0)),"")&amp;" | Tax ₹"&amp;TEXT(IFERROR(INDEX('Challan Master'!$G$4:$G$207,MATCH($B148,'Challan Master'!$S$4:$S$207,0)),""),"#,##0")&amp;" | Section "&amp;IFERROR(INDEX('Challan Master'!$F$4:$F$207,MATCH($B148,'Challan Master'!$S$4:$S$207,0)),""))</f>
      </c>
      <c r="D148" s="8"/>
      <c r="E148" s="8"/>
      <c r="F148" s="7">
        <f>IF($D148="","",IF(AND(LEN(TRIM(UPPER(E148)))=10,CODE(MID(TRIM(UPPER(E148)),1,1))&gt;=65,CODE(MID(TRIM(UPPER(E148)),1,1))&lt;=90,CODE(MID(TRIM(UPPER(E148)),2,1))&gt;=65,CODE(MID(TRIM(UPPER(E148)),2,1))&lt;=90,CODE(MID(TRIM(UPPER(E148)),3,1))&gt;=65,CODE(MID(TRIM(UPPER(E148)),3,1))&lt;=90,CODE(MID(TRIM(UPPER(E148)),4,1))&gt;=65,CODE(MID(TRIM(UPPER(E148)),4,1))&lt;=90,CODE(MID(TRIM(UPPER(E148)),5,1))&gt;=65,CODE(MID(TRIM(UPPER(E148)),5,1))&lt;=90,CODE(MID(TRIM(UPPER(E148)),10,1))&gt;=65,CODE(MID(TRIM(UPPER(E148)),10,1))&lt;=90,CODE(MID(TRIM(UPPER(E148)),6,1))&gt;=48,CODE(MID(TRIM(UPPER(E148)),6,1))&lt;=57,CODE(MID(TRIM(UPPER(E148)),7,1))&gt;=48,CODE(MID(TRIM(UPPER(E148)),7,1))&lt;=57,CODE(MID(TRIM(UPPER(E148)),8,1))&gt;=48,CODE(MID(TRIM(UPPER(E148)),8,1))&lt;=57,CODE(MID(TRIM(UPPER(E148)),9,1))&gt;=48,CODE(MID(TRIM(UPPER(E148)),9,1))&lt;=57),"N","Y"))</f>
      </c>
      <c r="G148" s="7">
        <f>IF($D148="","",IF(LEN(E148)&lt;4,"",IF(UPPER(MID(E148,4,1))="P","Individual",IF(UPPER(MID(E148,4,1))="H","HUF",IF(UPPER(MID(E148,4,1))="C","Company",IF(UPPER(MID(E148,4,1))="F","Firm",IF(UPPER(MID(E148,4,1))="L","LLP",IF(UPPER(MID(E148,4,1))="T","Trust",IF(UPPER(MID(E148,4,1))="A","AOP","")))))))))</f>
      </c>
      <c r="H148" s="8"/>
      <c r="I148" s="7">
        <f>IF($D148="","",IF(H148="","",IF(F148="Y",SUMPRODUCT(('Rate Lookup'!$A$1:$A$37=H148)*'Rate Lookup'!$D$1:$D$37),IF(OR(G148="Individual",G148="HUF"),SUMPRODUCT(('Rate Lookup'!$A$1:$A$37=H148)*'Rate Lookup'!$B$1:$B$37),SUMPRODUCT(('Rate Lookup'!$A$1:$A$37=H148)*'Rate Lookup'!$C$1:$C$37)))))</f>
      </c>
      <c r="J148" s="8"/>
      <c r="K148" s="8"/>
      <c r="L148" s="7">
        <f>IF($D148="","",ROUND(K148*I148/100,0))</f>
      </c>
      <c r="M148" s="7">
        <f>IF($D148="","",0)</f>
      </c>
      <c r="N148" s="7">
        <f>IF($D148="","",0)</f>
      </c>
      <c r="O148" s="7">
        <f>IF($D148="","",IF(OR(L148=0,J148="",IFERROR(INDEX('Challan Master'!$D$4:$D$207,MATCH($B148,'Challan Master'!$S$4:$S$207,0)),"")="",IFERROR(INDEX('Challan Master'!$D$4:$D$207,MATCH($B148,'Challan Master'!$S$4:$S$207,0)),"")&lt;=0),0,IF(IFERROR(INDEX('Challan Master'!$D$4:$D$207,MATCH($B148,'Challan Master'!$S$4:$S$207,0)),"")&lt;=DATE(YEAR(J148),MONTH(J148)+1,7),0,ROUND(L148*0.015*((YEAR(IFERROR(INDEX('Challan Master'!$D$4:$D$207,MATCH($B148,'Challan Master'!$S$4:$S$207,0)),""))-YEAR(J148))*12+(MONTH(IFERROR(INDEX('Challan Master'!$D$4:$D$207,MATCH($B148,'Challan Master'!$S$4:$S$207,0)),""))-MONTH(J148))+1),0))))</f>
      </c>
      <c r="P148" s="7">
        <f>IF($D148="","",0)</f>
      </c>
      <c r="Q148" s="8"/>
      <c r="R148" s="8"/>
      <c r="S148" s="8"/>
      <c r="T148" s="8"/>
      <c r="U148" s="8"/>
      <c r="V148" s="7">
        <f>IF($B148="","",IFERROR(INDEX('Challan Master'!$AA$4:$AA$207,MATCH($B148,'Challan Master'!$S$4:$S$207,0)),""))</f>
      </c>
    </row>
    <row r="149" spans="1:22" x14ac:dyDescent="0.25">
      <c r="A149" s="7">
        <f>IF($D149="","",COUNTIF($D$4:$D149,"&lt;&gt;"))</f>
      </c>
      <c r="B149" s="8"/>
      <c r="C149" s="7">
        <f>IF($B149="","","BSR "&amp;IFERROR(INDEX('Challan Master'!$B$4:$B$207,MATCH($B149,'Challan Master'!$S$4:$S$207,0)),"")&amp;" | Serial "&amp;IFERROR(INDEX('Challan Master'!$C$4:$C$207,MATCH($B149,'Challan Master'!$S$4:$S$207,0)),"")&amp;" | Deposit "&amp;TEXT(IFERROR(INDEX('Challan Master'!$D$4:$D$207,MATCH($B149,'Challan Master'!$S$4:$S$207,0)),""),"dd-mm-yyyy")&amp;" | Minor Head "&amp;IFERROR(INDEX('Challan Master'!$E$4:$E$207,MATCH($B149,'Challan Master'!$S$4:$S$207,0)),"")&amp;" | Tax ₹"&amp;TEXT(IFERROR(INDEX('Challan Master'!$G$4:$G$207,MATCH($B149,'Challan Master'!$S$4:$S$207,0)),""),"#,##0")&amp;" | Section "&amp;IFERROR(INDEX('Challan Master'!$F$4:$F$207,MATCH($B149,'Challan Master'!$S$4:$S$207,0)),""))</f>
      </c>
      <c r="D149" s="8"/>
      <c r="E149" s="8"/>
      <c r="F149" s="7">
        <f>IF($D149="","",IF(AND(LEN(TRIM(UPPER(E149)))=10,CODE(MID(TRIM(UPPER(E149)),1,1))&gt;=65,CODE(MID(TRIM(UPPER(E149)),1,1))&lt;=90,CODE(MID(TRIM(UPPER(E149)),2,1))&gt;=65,CODE(MID(TRIM(UPPER(E149)),2,1))&lt;=90,CODE(MID(TRIM(UPPER(E149)),3,1))&gt;=65,CODE(MID(TRIM(UPPER(E149)),3,1))&lt;=90,CODE(MID(TRIM(UPPER(E149)),4,1))&gt;=65,CODE(MID(TRIM(UPPER(E149)),4,1))&lt;=90,CODE(MID(TRIM(UPPER(E149)),5,1))&gt;=65,CODE(MID(TRIM(UPPER(E149)),5,1))&lt;=90,CODE(MID(TRIM(UPPER(E149)),10,1))&gt;=65,CODE(MID(TRIM(UPPER(E149)),10,1))&lt;=90,CODE(MID(TRIM(UPPER(E149)),6,1))&gt;=48,CODE(MID(TRIM(UPPER(E149)),6,1))&lt;=57,CODE(MID(TRIM(UPPER(E149)),7,1))&gt;=48,CODE(MID(TRIM(UPPER(E149)),7,1))&lt;=57,CODE(MID(TRIM(UPPER(E149)),8,1))&gt;=48,CODE(MID(TRIM(UPPER(E149)),8,1))&lt;=57,CODE(MID(TRIM(UPPER(E149)),9,1))&gt;=48,CODE(MID(TRIM(UPPER(E149)),9,1))&lt;=57),"N","Y"))</f>
      </c>
      <c r="G149" s="7">
        <f>IF($D149="","",IF(LEN(E149)&lt;4,"",IF(UPPER(MID(E149,4,1))="P","Individual",IF(UPPER(MID(E149,4,1))="H","HUF",IF(UPPER(MID(E149,4,1))="C","Company",IF(UPPER(MID(E149,4,1))="F","Firm",IF(UPPER(MID(E149,4,1))="L","LLP",IF(UPPER(MID(E149,4,1))="T","Trust",IF(UPPER(MID(E149,4,1))="A","AOP","")))))))))</f>
      </c>
      <c r="H149" s="8"/>
      <c r="I149" s="7">
        <f>IF($D149="","",IF(H149="","",IF(F149="Y",SUMPRODUCT(('Rate Lookup'!$A$1:$A$37=H149)*'Rate Lookup'!$D$1:$D$37),IF(OR(G149="Individual",G149="HUF"),SUMPRODUCT(('Rate Lookup'!$A$1:$A$37=H149)*'Rate Lookup'!$B$1:$B$37),SUMPRODUCT(('Rate Lookup'!$A$1:$A$37=H149)*'Rate Lookup'!$C$1:$C$37)))))</f>
      </c>
      <c r="J149" s="8"/>
      <c r="K149" s="8"/>
      <c r="L149" s="7">
        <f>IF($D149="","",ROUND(K149*I149/100,0))</f>
      </c>
      <c r="M149" s="7">
        <f>IF($D149="","",0)</f>
      </c>
      <c r="N149" s="7">
        <f>IF($D149="","",0)</f>
      </c>
      <c r="O149" s="7">
        <f>IF($D149="","",IF(OR(L149=0,J149="",IFERROR(INDEX('Challan Master'!$D$4:$D$207,MATCH($B149,'Challan Master'!$S$4:$S$207,0)),"")="",IFERROR(INDEX('Challan Master'!$D$4:$D$207,MATCH($B149,'Challan Master'!$S$4:$S$207,0)),"")&lt;=0),0,IF(IFERROR(INDEX('Challan Master'!$D$4:$D$207,MATCH($B149,'Challan Master'!$S$4:$S$207,0)),"")&lt;=DATE(YEAR(J149),MONTH(J149)+1,7),0,ROUND(L149*0.015*((YEAR(IFERROR(INDEX('Challan Master'!$D$4:$D$207,MATCH($B149,'Challan Master'!$S$4:$S$207,0)),""))-YEAR(J149))*12+(MONTH(IFERROR(INDEX('Challan Master'!$D$4:$D$207,MATCH($B149,'Challan Master'!$S$4:$S$207,0)),""))-MONTH(J149))+1),0))))</f>
      </c>
      <c r="P149" s="7">
        <f>IF($D149="","",0)</f>
      </c>
      <c r="Q149" s="8"/>
      <c r="R149" s="8"/>
      <c r="S149" s="8"/>
      <c r="T149" s="8"/>
      <c r="U149" s="8"/>
      <c r="V149" s="7">
        <f>IF($B149="","",IFERROR(INDEX('Challan Master'!$AA$4:$AA$207,MATCH($B149,'Challan Master'!$S$4:$S$207,0)),""))</f>
      </c>
    </row>
    <row r="150" spans="1:22" x14ac:dyDescent="0.25">
      <c r="A150" s="7">
        <f>IF($D150="","",COUNTIF($D$4:$D150,"&lt;&gt;"))</f>
      </c>
      <c r="B150" s="8"/>
      <c r="C150" s="7">
        <f>IF($B150="","","BSR "&amp;IFERROR(INDEX('Challan Master'!$B$4:$B$207,MATCH($B150,'Challan Master'!$S$4:$S$207,0)),"")&amp;" | Serial "&amp;IFERROR(INDEX('Challan Master'!$C$4:$C$207,MATCH($B150,'Challan Master'!$S$4:$S$207,0)),"")&amp;" | Deposit "&amp;TEXT(IFERROR(INDEX('Challan Master'!$D$4:$D$207,MATCH($B150,'Challan Master'!$S$4:$S$207,0)),""),"dd-mm-yyyy")&amp;" | Minor Head "&amp;IFERROR(INDEX('Challan Master'!$E$4:$E$207,MATCH($B150,'Challan Master'!$S$4:$S$207,0)),"")&amp;" | Tax ₹"&amp;TEXT(IFERROR(INDEX('Challan Master'!$G$4:$G$207,MATCH($B150,'Challan Master'!$S$4:$S$207,0)),""),"#,##0")&amp;" | Section "&amp;IFERROR(INDEX('Challan Master'!$F$4:$F$207,MATCH($B150,'Challan Master'!$S$4:$S$207,0)),""))</f>
      </c>
      <c r="D150" s="8"/>
      <c r="E150" s="8"/>
      <c r="F150" s="7">
        <f>IF($D150="","",IF(AND(LEN(TRIM(UPPER(E150)))=10,CODE(MID(TRIM(UPPER(E150)),1,1))&gt;=65,CODE(MID(TRIM(UPPER(E150)),1,1))&lt;=90,CODE(MID(TRIM(UPPER(E150)),2,1))&gt;=65,CODE(MID(TRIM(UPPER(E150)),2,1))&lt;=90,CODE(MID(TRIM(UPPER(E150)),3,1))&gt;=65,CODE(MID(TRIM(UPPER(E150)),3,1))&lt;=90,CODE(MID(TRIM(UPPER(E150)),4,1))&gt;=65,CODE(MID(TRIM(UPPER(E150)),4,1))&lt;=90,CODE(MID(TRIM(UPPER(E150)),5,1))&gt;=65,CODE(MID(TRIM(UPPER(E150)),5,1))&lt;=90,CODE(MID(TRIM(UPPER(E150)),10,1))&gt;=65,CODE(MID(TRIM(UPPER(E150)),10,1))&lt;=90,CODE(MID(TRIM(UPPER(E150)),6,1))&gt;=48,CODE(MID(TRIM(UPPER(E150)),6,1))&lt;=57,CODE(MID(TRIM(UPPER(E150)),7,1))&gt;=48,CODE(MID(TRIM(UPPER(E150)),7,1))&lt;=57,CODE(MID(TRIM(UPPER(E150)),8,1))&gt;=48,CODE(MID(TRIM(UPPER(E150)),8,1))&lt;=57,CODE(MID(TRIM(UPPER(E150)),9,1))&gt;=48,CODE(MID(TRIM(UPPER(E150)),9,1))&lt;=57),"N","Y"))</f>
      </c>
      <c r="G150" s="7">
        <f>IF($D150="","",IF(LEN(E150)&lt;4,"",IF(UPPER(MID(E150,4,1))="P","Individual",IF(UPPER(MID(E150,4,1))="H","HUF",IF(UPPER(MID(E150,4,1))="C","Company",IF(UPPER(MID(E150,4,1))="F","Firm",IF(UPPER(MID(E150,4,1))="L","LLP",IF(UPPER(MID(E150,4,1))="T","Trust",IF(UPPER(MID(E150,4,1))="A","AOP","")))))))))</f>
      </c>
      <c r="H150" s="8"/>
      <c r="I150" s="7">
        <f>IF($D150="","",IF(H150="","",IF(F150="Y",SUMPRODUCT(('Rate Lookup'!$A$1:$A$37=H150)*'Rate Lookup'!$D$1:$D$37),IF(OR(G150="Individual",G150="HUF"),SUMPRODUCT(('Rate Lookup'!$A$1:$A$37=H150)*'Rate Lookup'!$B$1:$B$37),SUMPRODUCT(('Rate Lookup'!$A$1:$A$37=H150)*'Rate Lookup'!$C$1:$C$37)))))</f>
      </c>
      <c r="J150" s="8"/>
      <c r="K150" s="8"/>
      <c r="L150" s="7">
        <f>IF($D150="","",ROUND(K150*I150/100,0))</f>
      </c>
      <c r="M150" s="7">
        <f>IF($D150="","",0)</f>
      </c>
      <c r="N150" s="7">
        <f>IF($D150="","",0)</f>
      </c>
      <c r="O150" s="7">
        <f>IF($D150="","",IF(OR(L150=0,J150="",IFERROR(INDEX('Challan Master'!$D$4:$D$207,MATCH($B150,'Challan Master'!$S$4:$S$207,0)),"")="",IFERROR(INDEX('Challan Master'!$D$4:$D$207,MATCH($B150,'Challan Master'!$S$4:$S$207,0)),"")&lt;=0),0,IF(IFERROR(INDEX('Challan Master'!$D$4:$D$207,MATCH($B150,'Challan Master'!$S$4:$S$207,0)),"")&lt;=DATE(YEAR(J150),MONTH(J150)+1,7),0,ROUND(L150*0.015*((YEAR(IFERROR(INDEX('Challan Master'!$D$4:$D$207,MATCH($B150,'Challan Master'!$S$4:$S$207,0)),""))-YEAR(J150))*12+(MONTH(IFERROR(INDEX('Challan Master'!$D$4:$D$207,MATCH($B150,'Challan Master'!$S$4:$S$207,0)),""))-MONTH(J150))+1),0))))</f>
      </c>
      <c r="P150" s="7">
        <f>IF($D150="","",0)</f>
      </c>
      <c r="Q150" s="8"/>
      <c r="R150" s="8"/>
      <c r="S150" s="8"/>
      <c r="T150" s="8"/>
      <c r="U150" s="8"/>
      <c r="V150" s="7">
        <f>IF($B150="","",IFERROR(INDEX('Challan Master'!$AA$4:$AA$207,MATCH($B150,'Challan Master'!$S$4:$S$207,0)),""))</f>
      </c>
    </row>
    <row r="151" spans="1:22" x14ac:dyDescent="0.25">
      <c r="A151" s="7">
        <f>IF($D151="","",COUNTIF($D$4:$D151,"&lt;&gt;"))</f>
      </c>
      <c r="B151" s="8"/>
      <c r="C151" s="7">
        <f>IF($B151="","","BSR "&amp;IFERROR(INDEX('Challan Master'!$B$4:$B$207,MATCH($B151,'Challan Master'!$S$4:$S$207,0)),"")&amp;" | Serial "&amp;IFERROR(INDEX('Challan Master'!$C$4:$C$207,MATCH($B151,'Challan Master'!$S$4:$S$207,0)),"")&amp;" | Deposit "&amp;TEXT(IFERROR(INDEX('Challan Master'!$D$4:$D$207,MATCH($B151,'Challan Master'!$S$4:$S$207,0)),""),"dd-mm-yyyy")&amp;" | Minor Head "&amp;IFERROR(INDEX('Challan Master'!$E$4:$E$207,MATCH($B151,'Challan Master'!$S$4:$S$207,0)),"")&amp;" | Tax ₹"&amp;TEXT(IFERROR(INDEX('Challan Master'!$G$4:$G$207,MATCH($B151,'Challan Master'!$S$4:$S$207,0)),""),"#,##0")&amp;" | Section "&amp;IFERROR(INDEX('Challan Master'!$F$4:$F$207,MATCH($B151,'Challan Master'!$S$4:$S$207,0)),""))</f>
      </c>
      <c r="D151" s="8"/>
      <c r="E151" s="8"/>
      <c r="F151" s="7">
        <f>IF($D151="","",IF(AND(LEN(TRIM(UPPER(E151)))=10,CODE(MID(TRIM(UPPER(E151)),1,1))&gt;=65,CODE(MID(TRIM(UPPER(E151)),1,1))&lt;=90,CODE(MID(TRIM(UPPER(E151)),2,1))&gt;=65,CODE(MID(TRIM(UPPER(E151)),2,1))&lt;=90,CODE(MID(TRIM(UPPER(E151)),3,1))&gt;=65,CODE(MID(TRIM(UPPER(E151)),3,1))&lt;=90,CODE(MID(TRIM(UPPER(E151)),4,1))&gt;=65,CODE(MID(TRIM(UPPER(E151)),4,1))&lt;=90,CODE(MID(TRIM(UPPER(E151)),5,1))&gt;=65,CODE(MID(TRIM(UPPER(E151)),5,1))&lt;=90,CODE(MID(TRIM(UPPER(E151)),10,1))&gt;=65,CODE(MID(TRIM(UPPER(E151)),10,1))&lt;=90,CODE(MID(TRIM(UPPER(E151)),6,1))&gt;=48,CODE(MID(TRIM(UPPER(E151)),6,1))&lt;=57,CODE(MID(TRIM(UPPER(E151)),7,1))&gt;=48,CODE(MID(TRIM(UPPER(E151)),7,1))&lt;=57,CODE(MID(TRIM(UPPER(E151)),8,1))&gt;=48,CODE(MID(TRIM(UPPER(E151)),8,1))&lt;=57,CODE(MID(TRIM(UPPER(E151)),9,1))&gt;=48,CODE(MID(TRIM(UPPER(E151)),9,1))&lt;=57),"N","Y"))</f>
      </c>
      <c r="G151" s="7">
        <f>IF($D151="","",IF(LEN(E151)&lt;4,"",IF(UPPER(MID(E151,4,1))="P","Individual",IF(UPPER(MID(E151,4,1))="H","HUF",IF(UPPER(MID(E151,4,1))="C","Company",IF(UPPER(MID(E151,4,1))="F","Firm",IF(UPPER(MID(E151,4,1))="L","LLP",IF(UPPER(MID(E151,4,1))="T","Trust",IF(UPPER(MID(E151,4,1))="A","AOP","")))))))))</f>
      </c>
      <c r="H151" s="8"/>
      <c r="I151" s="7">
        <f>IF($D151="","",IF(H151="","",IF(F151="Y",SUMPRODUCT(('Rate Lookup'!$A$1:$A$37=H151)*'Rate Lookup'!$D$1:$D$37),IF(OR(G151="Individual",G151="HUF"),SUMPRODUCT(('Rate Lookup'!$A$1:$A$37=H151)*'Rate Lookup'!$B$1:$B$37),SUMPRODUCT(('Rate Lookup'!$A$1:$A$37=H151)*'Rate Lookup'!$C$1:$C$37)))))</f>
      </c>
      <c r="J151" s="8"/>
      <c r="K151" s="8"/>
      <c r="L151" s="7">
        <f>IF($D151="","",ROUND(K151*I151/100,0))</f>
      </c>
      <c r="M151" s="7">
        <f>IF($D151="","",0)</f>
      </c>
      <c r="N151" s="7">
        <f>IF($D151="","",0)</f>
      </c>
      <c r="O151" s="7">
        <f>IF($D151="","",IF(OR(L151=0,J151="",IFERROR(INDEX('Challan Master'!$D$4:$D$207,MATCH($B151,'Challan Master'!$S$4:$S$207,0)),"")="",IFERROR(INDEX('Challan Master'!$D$4:$D$207,MATCH($B151,'Challan Master'!$S$4:$S$207,0)),"")&lt;=0),0,IF(IFERROR(INDEX('Challan Master'!$D$4:$D$207,MATCH($B151,'Challan Master'!$S$4:$S$207,0)),"")&lt;=DATE(YEAR(J151),MONTH(J151)+1,7),0,ROUND(L151*0.015*((YEAR(IFERROR(INDEX('Challan Master'!$D$4:$D$207,MATCH($B151,'Challan Master'!$S$4:$S$207,0)),""))-YEAR(J151))*12+(MONTH(IFERROR(INDEX('Challan Master'!$D$4:$D$207,MATCH($B151,'Challan Master'!$S$4:$S$207,0)),""))-MONTH(J151))+1),0))))</f>
      </c>
      <c r="P151" s="7">
        <f>IF($D151="","",0)</f>
      </c>
      <c r="Q151" s="8"/>
      <c r="R151" s="8"/>
      <c r="S151" s="8"/>
      <c r="T151" s="8"/>
      <c r="U151" s="8"/>
      <c r="V151" s="7">
        <f>IF($B151="","",IFERROR(INDEX('Challan Master'!$AA$4:$AA$207,MATCH($B151,'Challan Master'!$S$4:$S$207,0)),""))</f>
      </c>
    </row>
    <row r="152" spans="1:22" x14ac:dyDescent="0.25">
      <c r="A152" s="7">
        <f>IF($D152="","",COUNTIF($D$4:$D152,"&lt;&gt;"))</f>
      </c>
      <c r="B152" s="8"/>
      <c r="C152" s="7">
        <f>IF($B152="","","BSR "&amp;IFERROR(INDEX('Challan Master'!$B$4:$B$207,MATCH($B152,'Challan Master'!$S$4:$S$207,0)),"")&amp;" | Serial "&amp;IFERROR(INDEX('Challan Master'!$C$4:$C$207,MATCH($B152,'Challan Master'!$S$4:$S$207,0)),"")&amp;" | Deposit "&amp;TEXT(IFERROR(INDEX('Challan Master'!$D$4:$D$207,MATCH($B152,'Challan Master'!$S$4:$S$207,0)),""),"dd-mm-yyyy")&amp;" | Minor Head "&amp;IFERROR(INDEX('Challan Master'!$E$4:$E$207,MATCH($B152,'Challan Master'!$S$4:$S$207,0)),"")&amp;" | Tax ₹"&amp;TEXT(IFERROR(INDEX('Challan Master'!$G$4:$G$207,MATCH($B152,'Challan Master'!$S$4:$S$207,0)),""),"#,##0")&amp;" | Section "&amp;IFERROR(INDEX('Challan Master'!$F$4:$F$207,MATCH($B152,'Challan Master'!$S$4:$S$207,0)),""))</f>
      </c>
      <c r="D152" s="8"/>
      <c r="E152" s="8"/>
      <c r="F152" s="7">
        <f>IF($D152="","",IF(AND(LEN(TRIM(UPPER(E152)))=10,CODE(MID(TRIM(UPPER(E152)),1,1))&gt;=65,CODE(MID(TRIM(UPPER(E152)),1,1))&lt;=90,CODE(MID(TRIM(UPPER(E152)),2,1))&gt;=65,CODE(MID(TRIM(UPPER(E152)),2,1))&lt;=90,CODE(MID(TRIM(UPPER(E152)),3,1))&gt;=65,CODE(MID(TRIM(UPPER(E152)),3,1))&lt;=90,CODE(MID(TRIM(UPPER(E152)),4,1))&gt;=65,CODE(MID(TRIM(UPPER(E152)),4,1))&lt;=90,CODE(MID(TRIM(UPPER(E152)),5,1))&gt;=65,CODE(MID(TRIM(UPPER(E152)),5,1))&lt;=90,CODE(MID(TRIM(UPPER(E152)),10,1))&gt;=65,CODE(MID(TRIM(UPPER(E152)),10,1))&lt;=90,CODE(MID(TRIM(UPPER(E152)),6,1))&gt;=48,CODE(MID(TRIM(UPPER(E152)),6,1))&lt;=57,CODE(MID(TRIM(UPPER(E152)),7,1))&gt;=48,CODE(MID(TRIM(UPPER(E152)),7,1))&lt;=57,CODE(MID(TRIM(UPPER(E152)),8,1))&gt;=48,CODE(MID(TRIM(UPPER(E152)),8,1))&lt;=57,CODE(MID(TRIM(UPPER(E152)),9,1))&gt;=48,CODE(MID(TRIM(UPPER(E152)),9,1))&lt;=57),"N","Y"))</f>
      </c>
      <c r="G152" s="7">
        <f>IF($D152="","",IF(LEN(E152)&lt;4,"",IF(UPPER(MID(E152,4,1))="P","Individual",IF(UPPER(MID(E152,4,1))="H","HUF",IF(UPPER(MID(E152,4,1))="C","Company",IF(UPPER(MID(E152,4,1))="F","Firm",IF(UPPER(MID(E152,4,1))="L","LLP",IF(UPPER(MID(E152,4,1))="T","Trust",IF(UPPER(MID(E152,4,1))="A","AOP","")))))))))</f>
      </c>
      <c r="H152" s="8"/>
      <c r="I152" s="7">
        <f>IF($D152="","",IF(H152="","",IF(F152="Y",SUMPRODUCT(('Rate Lookup'!$A$1:$A$37=H152)*'Rate Lookup'!$D$1:$D$37),IF(OR(G152="Individual",G152="HUF"),SUMPRODUCT(('Rate Lookup'!$A$1:$A$37=H152)*'Rate Lookup'!$B$1:$B$37),SUMPRODUCT(('Rate Lookup'!$A$1:$A$37=H152)*'Rate Lookup'!$C$1:$C$37)))))</f>
      </c>
      <c r="J152" s="8"/>
      <c r="K152" s="8"/>
      <c r="L152" s="7">
        <f>IF($D152="","",ROUND(K152*I152/100,0))</f>
      </c>
      <c r="M152" s="7">
        <f>IF($D152="","",0)</f>
      </c>
      <c r="N152" s="7">
        <f>IF($D152="","",0)</f>
      </c>
      <c r="O152" s="7">
        <f>IF($D152="","",IF(OR(L152=0,J152="",IFERROR(INDEX('Challan Master'!$D$4:$D$207,MATCH($B152,'Challan Master'!$S$4:$S$207,0)),"")="",IFERROR(INDEX('Challan Master'!$D$4:$D$207,MATCH($B152,'Challan Master'!$S$4:$S$207,0)),"")&lt;=0),0,IF(IFERROR(INDEX('Challan Master'!$D$4:$D$207,MATCH($B152,'Challan Master'!$S$4:$S$207,0)),"")&lt;=DATE(YEAR(J152),MONTH(J152)+1,7),0,ROUND(L152*0.015*((YEAR(IFERROR(INDEX('Challan Master'!$D$4:$D$207,MATCH($B152,'Challan Master'!$S$4:$S$207,0)),""))-YEAR(J152))*12+(MONTH(IFERROR(INDEX('Challan Master'!$D$4:$D$207,MATCH($B152,'Challan Master'!$S$4:$S$207,0)),""))-MONTH(J152))+1),0))))</f>
      </c>
      <c r="P152" s="7">
        <f>IF($D152="","",0)</f>
      </c>
      <c r="Q152" s="8"/>
      <c r="R152" s="8"/>
      <c r="S152" s="8"/>
      <c r="T152" s="8"/>
      <c r="U152" s="8"/>
      <c r="V152" s="7">
        <f>IF($B152="","",IFERROR(INDEX('Challan Master'!$AA$4:$AA$207,MATCH($B152,'Challan Master'!$S$4:$S$207,0)),""))</f>
      </c>
    </row>
    <row r="153" spans="1:22" x14ac:dyDescent="0.25">
      <c r="A153" s="7">
        <f>IF($D153="","",COUNTIF($D$4:$D153,"&lt;&gt;"))</f>
      </c>
      <c r="B153" s="8"/>
      <c r="C153" s="7">
        <f>IF($B153="","","BSR "&amp;IFERROR(INDEX('Challan Master'!$B$4:$B$207,MATCH($B153,'Challan Master'!$S$4:$S$207,0)),"")&amp;" | Serial "&amp;IFERROR(INDEX('Challan Master'!$C$4:$C$207,MATCH($B153,'Challan Master'!$S$4:$S$207,0)),"")&amp;" | Deposit "&amp;TEXT(IFERROR(INDEX('Challan Master'!$D$4:$D$207,MATCH($B153,'Challan Master'!$S$4:$S$207,0)),""),"dd-mm-yyyy")&amp;" | Minor Head "&amp;IFERROR(INDEX('Challan Master'!$E$4:$E$207,MATCH($B153,'Challan Master'!$S$4:$S$207,0)),"")&amp;" | Tax ₹"&amp;TEXT(IFERROR(INDEX('Challan Master'!$G$4:$G$207,MATCH($B153,'Challan Master'!$S$4:$S$207,0)),""),"#,##0")&amp;" | Section "&amp;IFERROR(INDEX('Challan Master'!$F$4:$F$207,MATCH($B153,'Challan Master'!$S$4:$S$207,0)),""))</f>
      </c>
      <c r="D153" s="8"/>
      <c r="E153" s="8"/>
      <c r="F153" s="7">
        <f>IF($D153="","",IF(AND(LEN(TRIM(UPPER(E153)))=10,CODE(MID(TRIM(UPPER(E153)),1,1))&gt;=65,CODE(MID(TRIM(UPPER(E153)),1,1))&lt;=90,CODE(MID(TRIM(UPPER(E153)),2,1))&gt;=65,CODE(MID(TRIM(UPPER(E153)),2,1))&lt;=90,CODE(MID(TRIM(UPPER(E153)),3,1))&gt;=65,CODE(MID(TRIM(UPPER(E153)),3,1))&lt;=90,CODE(MID(TRIM(UPPER(E153)),4,1))&gt;=65,CODE(MID(TRIM(UPPER(E153)),4,1))&lt;=90,CODE(MID(TRIM(UPPER(E153)),5,1))&gt;=65,CODE(MID(TRIM(UPPER(E153)),5,1))&lt;=90,CODE(MID(TRIM(UPPER(E153)),10,1))&gt;=65,CODE(MID(TRIM(UPPER(E153)),10,1))&lt;=90,CODE(MID(TRIM(UPPER(E153)),6,1))&gt;=48,CODE(MID(TRIM(UPPER(E153)),6,1))&lt;=57,CODE(MID(TRIM(UPPER(E153)),7,1))&gt;=48,CODE(MID(TRIM(UPPER(E153)),7,1))&lt;=57,CODE(MID(TRIM(UPPER(E153)),8,1))&gt;=48,CODE(MID(TRIM(UPPER(E153)),8,1))&lt;=57,CODE(MID(TRIM(UPPER(E153)),9,1))&gt;=48,CODE(MID(TRIM(UPPER(E153)),9,1))&lt;=57),"N","Y"))</f>
      </c>
      <c r="G153" s="7">
        <f>IF($D153="","",IF(LEN(E153)&lt;4,"",IF(UPPER(MID(E153,4,1))="P","Individual",IF(UPPER(MID(E153,4,1))="H","HUF",IF(UPPER(MID(E153,4,1))="C","Company",IF(UPPER(MID(E153,4,1))="F","Firm",IF(UPPER(MID(E153,4,1))="L","LLP",IF(UPPER(MID(E153,4,1))="T","Trust",IF(UPPER(MID(E153,4,1))="A","AOP","")))))))))</f>
      </c>
      <c r="H153" s="8"/>
      <c r="I153" s="7">
        <f>IF($D153="","",IF(H153="","",IF(F153="Y",SUMPRODUCT(('Rate Lookup'!$A$1:$A$37=H153)*'Rate Lookup'!$D$1:$D$37),IF(OR(G153="Individual",G153="HUF"),SUMPRODUCT(('Rate Lookup'!$A$1:$A$37=H153)*'Rate Lookup'!$B$1:$B$37),SUMPRODUCT(('Rate Lookup'!$A$1:$A$37=H153)*'Rate Lookup'!$C$1:$C$37)))))</f>
      </c>
      <c r="J153" s="8"/>
      <c r="K153" s="8"/>
      <c r="L153" s="7">
        <f>IF($D153="","",ROUND(K153*I153/100,0))</f>
      </c>
      <c r="M153" s="7">
        <f>IF($D153="","",0)</f>
      </c>
      <c r="N153" s="7">
        <f>IF($D153="","",0)</f>
      </c>
      <c r="O153" s="7">
        <f>IF($D153="","",IF(OR(L153=0,J153="",IFERROR(INDEX('Challan Master'!$D$4:$D$207,MATCH($B153,'Challan Master'!$S$4:$S$207,0)),"")="",IFERROR(INDEX('Challan Master'!$D$4:$D$207,MATCH($B153,'Challan Master'!$S$4:$S$207,0)),"")&lt;=0),0,IF(IFERROR(INDEX('Challan Master'!$D$4:$D$207,MATCH($B153,'Challan Master'!$S$4:$S$207,0)),"")&lt;=DATE(YEAR(J153),MONTH(J153)+1,7),0,ROUND(L153*0.015*((YEAR(IFERROR(INDEX('Challan Master'!$D$4:$D$207,MATCH($B153,'Challan Master'!$S$4:$S$207,0)),""))-YEAR(J153))*12+(MONTH(IFERROR(INDEX('Challan Master'!$D$4:$D$207,MATCH($B153,'Challan Master'!$S$4:$S$207,0)),""))-MONTH(J153))+1),0))))</f>
      </c>
      <c r="P153" s="7">
        <f>IF($D153="","",0)</f>
      </c>
      <c r="Q153" s="8"/>
      <c r="R153" s="8"/>
      <c r="S153" s="8"/>
      <c r="T153" s="8"/>
      <c r="U153" s="8"/>
      <c r="V153" s="7">
        <f>IF($B153="","",IFERROR(INDEX('Challan Master'!$AA$4:$AA$207,MATCH($B153,'Challan Master'!$S$4:$S$207,0)),""))</f>
      </c>
    </row>
    <row r="154" spans="1:22" x14ac:dyDescent="0.25">
      <c r="A154" s="7">
        <f>IF($D154="","",COUNTIF($D$4:$D154,"&lt;&gt;"))</f>
      </c>
      <c r="B154" s="8"/>
      <c r="C154" s="7">
        <f>IF($B154="","","BSR "&amp;IFERROR(INDEX('Challan Master'!$B$4:$B$207,MATCH($B154,'Challan Master'!$S$4:$S$207,0)),"")&amp;" | Serial "&amp;IFERROR(INDEX('Challan Master'!$C$4:$C$207,MATCH($B154,'Challan Master'!$S$4:$S$207,0)),"")&amp;" | Deposit "&amp;TEXT(IFERROR(INDEX('Challan Master'!$D$4:$D$207,MATCH($B154,'Challan Master'!$S$4:$S$207,0)),""),"dd-mm-yyyy")&amp;" | Minor Head "&amp;IFERROR(INDEX('Challan Master'!$E$4:$E$207,MATCH($B154,'Challan Master'!$S$4:$S$207,0)),"")&amp;" | Tax ₹"&amp;TEXT(IFERROR(INDEX('Challan Master'!$G$4:$G$207,MATCH($B154,'Challan Master'!$S$4:$S$207,0)),""),"#,##0")&amp;" | Section "&amp;IFERROR(INDEX('Challan Master'!$F$4:$F$207,MATCH($B154,'Challan Master'!$S$4:$S$207,0)),""))</f>
      </c>
      <c r="D154" s="8"/>
      <c r="E154" s="8"/>
      <c r="F154" s="7">
        <f>IF($D154="","",IF(AND(LEN(TRIM(UPPER(E154)))=10,CODE(MID(TRIM(UPPER(E154)),1,1))&gt;=65,CODE(MID(TRIM(UPPER(E154)),1,1))&lt;=90,CODE(MID(TRIM(UPPER(E154)),2,1))&gt;=65,CODE(MID(TRIM(UPPER(E154)),2,1))&lt;=90,CODE(MID(TRIM(UPPER(E154)),3,1))&gt;=65,CODE(MID(TRIM(UPPER(E154)),3,1))&lt;=90,CODE(MID(TRIM(UPPER(E154)),4,1))&gt;=65,CODE(MID(TRIM(UPPER(E154)),4,1))&lt;=90,CODE(MID(TRIM(UPPER(E154)),5,1))&gt;=65,CODE(MID(TRIM(UPPER(E154)),5,1))&lt;=90,CODE(MID(TRIM(UPPER(E154)),10,1))&gt;=65,CODE(MID(TRIM(UPPER(E154)),10,1))&lt;=90,CODE(MID(TRIM(UPPER(E154)),6,1))&gt;=48,CODE(MID(TRIM(UPPER(E154)),6,1))&lt;=57,CODE(MID(TRIM(UPPER(E154)),7,1))&gt;=48,CODE(MID(TRIM(UPPER(E154)),7,1))&lt;=57,CODE(MID(TRIM(UPPER(E154)),8,1))&gt;=48,CODE(MID(TRIM(UPPER(E154)),8,1))&lt;=57,CODE(MID(TRIM(UPPER(E154)),9,1))&gt;=48,CODE(MID(TRIM(UPPER(E154)),9,1))&lt;=57),"N","Y"))</f>
      </c>
      <c r="G154" s="7">
        <f>IF($D154="","",IF(LEN(E154)&lt;4,"",IF(UPPER(MID(E154,4,1))="P","Individual",IF(UPPER(MID(E154,4,1))="H","HUF",IF(UPPER(MID(E154,4,1))="C","Company",IF(UPPER(MID(E154,4,1))="F","Firm",IF(UPPER(MID(E154,4,1))="L","LLP",IF(UPPER(MID(E154,4,1))="T","Trust",IF(UPPER(MID(E154,4,1))="A","AOP","")))))))))</f>
      </c>
      <c r="H154" s="8"/>
      <c r="I154" s="7">
        <f>IF($D154="","",IF(H154="","",IF(F154="Y",SUMPRODUCT(('Rate Lookup'!$A$1:$A$37=H154)*'Rate Lookup'!$D$1:$D$37),IF(OR(G154="Individual",G154="HUF"),SUMPRODUCT(('Rate Lookup'!$A$1:$A$37=H154)*'Rate Lookup'!$B$1:$B$37),SUMPRODUCT(('Rate Lookup'!$A$1:$A$37=H154)*'Rate Lookup'!$C$1:$C$37)))))</f>
      </c>
      <c r="J154" s="8"/>
      <c r="K154" s="8"/>
      <c r="L154" s="7">
        <f>IF($D154="","",ROUND(K154*I154/100,0))</f>
      </c>
      <c r="M154" s="7">
        <f>IF($D154="","",0)</f>
      </c>
      <c r="N154" s="7">
        <f>IF($D154="","",0)</f>
      </c>
      <c r="O154" s="7">
        <f>IF($D154="","",IF(OR(L154=0,J154="",IFERROR(INDEX('Challan Master'!$D$4:$D$207,MATCH($B154,'Challan Master'!$S$4:$S$207,0)),"")="",IFERROR(INDEX('Challan Master'!$D$4:$D$207,MATCH($B154,'Challan Master'!$S$4:$S$207,0)),"")&lt;=0),0,IF(IFERROR(INDEX('Challan Master'!$D$4:$D$207,MATCH($B154,'Challan Master'!$S$4:$S$207,0)),"")&lt;=DATE(YEAR(J154),MONTH(J154)+1,7),0,ROUND(L154*0.015*((YEAR(IFERROR(INDEX('Challan Master'!$D$4:$D$207,MATCH($B154,'Challan Master'!$S$4:$S$207,0)),""))-YEAR(J154))*12+(MONTH(IFERROR(INDEX('Challan Master'!$D$4:$D$207,MATCH($B154,'Challan Master'!$S$4:$S$207,0)),""))-MONTH(J154))+1),0))))</f>
      </c>
      <c r="P154" s="7">
        <f>IF($D154="","",0)</f>
      </c>
      <c r="Q154" s="8"/>
      <c r="R154" s="8"/>
      <c r="S154" s="8"/>
      <c r="T154" s="8"/>
      <c r="U154" s="8"/>
      <c r="V154" s="7">
        <f>IF($B154="","",IFERROR(INDEX('Challan Master'!$AA$4:$AA$207,MATCH($B154,'Challan Master'!$S$4:$S$207,0)),""))</f>
      </c>
    </row>
    <row r="155" spans="1:22" x14ac:dyDescent="0.25">
      <c r="A155" s="7">
        <f>IF($D155="","",COUNTIF($D$4:$D155,"&lt;&gt;"))</f>
      </c>
      <c r="B155" s="8"/>
      <c r="C155" s="7">
        <f>IF($B155="","","BSR "&amp;IFERROR(INDEX('Challan Master'!$B$4:$B$207,MATCH($B155,'Challan Master'!$S$4:$S$207,0)),"")&amp;" | Serial "&amp;IFERROR(INDEX('Challan Master'!$C$4:$C$207,MATCH($B155,'Challan Master'!$S$4:$S$207,0)),"")&amp;" | Deposit "&amp;TEXT(IFERROR(INDEX('Challan Master'!$D$4:$D$207,MATCH($B155,'Challan Master'!$S$4:$S$207,0)),""),"dd-mm-yyyy")&amp;" | Minor Head "&amp;IFERROR(INDEX('Challan Master'!$E$4:$E$207,MATCH($B155,'Challan Master'!$S$4:$S$207,0)),"")&amp;" | Tax ₹"&amp;TEXT(IFERROR(INDEX('Challan Master'!$G$4:$G$207,MATCH($B155,'Challan Master'!$S$4:$S$207,0)),""),"#,##0")&amp;" | Section "&amp;IFERROR(INDEX('Challan Master'!$F$4:$F$207,MATCH($B155,'Challan Master'!$S$4:$S$207,0)),""))</f>
      </c>
      <c r="D155" s="8"/>
      <c r="E155" s="8"/>
      <c r="F155" s="7">
        <f>IF($D155="","",IF(AND(LEN(TRIM(UPPER(E155)))=10,CODE(MID(TRIM(UPPER(E155)),1,1))&gt;=65,CODE(MID(TRIM(UPPER(E155)),1,1))&lt;=90,CODE(MID(TRIM(UPPER(E155)),2,1))&gt;=65,CODE(MID(TRIM(UPPER(E155)),2,1))&lt;=90,CODE(MID(TRIM(UPPER(E155)),3,1))&gt;=65,CODE(MID(TRIM(UPPER(E155)),3,1))&lt;=90,CODE(MID(TRIM(UPPER(E155)),4,1))&gt;=65,CODE(MID(TRIM(UPPER(E155)),4,1))&lt;=90,CODE(MID(TRIM(UPPER(E155)),5,1))&gt;=65,CODE(MID(TRIM(UPPER(E155)),5,1))&lt;=90,CODE(MID(TRIM(UPPER(E155)),10,1))&gt;=65,CODE(MID(TRIM(UPPER(E155)),10,1))&lt;=90,CODE(MID(TRIM(UPPER(E155)),6,1))&gt;=48,CODE(MID(TRIM(UPPER(E155)),6,1))&lt;=57,CODE(MID(TRIM(UPPER(E155)),7,1))&gt;=48,CODE(MID(TRIM(UPPER(E155)),7,1))&lt;=57,CODE(MID(TRIM(UPPER(E155)),8,1))&gt;=48,CODE(MID(TRIM(UPPER(E155)),8,1))&lt;=57,CODE(MID(TRIM(UPPER(E155)),9,1))&gt;=48,CODE(MID(TRIM(UPPER(E155)),9,1))&lt;=57),"N","Y"))</f>
      </c>
      <c r="G155" s="7">
        <f>IF($D155="","",IF(LEN(E155)&lt;4,"",IF(UPPER(MID(E155,4,1))="P","Individual",IF(UPPER(MID(E155,4,1))="H","HUF",IF(UPPER(MID(E155,4,1))="C","Company",IF(UPPER(MID(E155,4,1))="F","Firm",IF(UPPER(MID(E155,4,1))="L","LLP",IF(UPPER(MID(E155,4,1))="T","Trust",IF(UPPER(MID(E155,4,1))="A","AOP","")))))))))</f>
      </c>
      <c r="H155" s="8"/>
      <c r="I155" s="7">
        <f>IF($D155="","",IF(H155="","",IF(F155="Y",SUMPRODUCT(('Rate Lookup'!$A$1:$A$37=H155)*'Rate Lookup'!$D$1:$D$37),IF(OR(G155="Individual",G155="HUF"),SUMPRODUCT(('Rate Lookup'!$A$1:$A$37=H155)*'Rate Lookup'!$B$1:$B$37),SUMPRODUCT(('Rate Lookup'!$A$1:$A$37=H155)*'Rate Lookup'!$C$1:$C$37)))))</f>
      </c>
      <c r="J155" s="8"/>
      <c r="K155" s="8"/>
      <c r="L155" s="7">
        <f>IF($D155="","",ROUND(K155*I155/100,0))</f>
      </c>
      <c r="M155" s="7">
        <f>IF($D155="","",0)</f>
      </c>
      <c r="N155" s="7">
        <f>IF($D155="","",0)</f>
      </c>
      <c r="O155" s="7">
        <f>IF($D155="","",IF(OR(L155=0,J155="",IFERROR(INDEX('Challan Master'!$D$4:$D$207,MATCH($B155,'Challan Master'!$S$4:$S$207,0)),"")="",IFERROR(INDEX('Challan Master'!$D$4:$D$207,MATCH($B155,'Challan Master'!$S$4:$S$207,0)),"")&lt;=0),0,IF(IFERROR(INDEX('Challan Master'!$D$4:$D$207,MATCH($B155,'Challan Master'!$S$4:$S$207,0)),"")&lt;=DATE(YEAR(J155),MONTH(J155)+1,7),0,ROUND(L155*0.015*((YEAR(IFERROR(INDEX('Challan Master'!$D$4:$D$207,MATCH($B155,'Challan Master'!$S$4:$S$207,0)),""))-YEAR(J155))*12+(MONTH(IFERROR(INDEX('Challan Master'!$D$4:$D$207,MATCH($B155,'Challan Master'!$S$4:$S$207,0)),""))-MONTH(J155))+1),0))))</f>
      </c>
      <c r="P155" s="7">
        <f>IF($D155="","",0)</f>
      </c>
      <c r="Q155" s="8"/>
      <c r="R155" s="8"/>
      <c r="S155" s="8"/>
      <c r="T155" s="8"/>
      <c r="U155" s="8"/>
      <c r="V155" s="7">
        <f>IF($B155="","",IFERROR(INDEX('Challan Master'!$AA$4:$AA$207,MATCH($B155,'Challan Master'!$S$4:$S$207,0)),""))</f>
      </c>
    </row>
    <row r="156" spans="1:22" x14ac:dyDescent="0.25">
      <c r="A156" s="7">
        <f>IF($D156="","",COUNTIF($D$4:$D156,"&lt;&gt;"))</f>
      </c>
      <c r="B156" s="8"/>
      <c r="C156" s="7">
        <f>IF($B156="","","BSR "&amp;IFERROR(INDEX('Challan Master'!$B$4:$B$207,MATCH($B156,'Challan Master'!$S$4:$S$207,0)),"")&amp;" | Serial "&amp;IFERROR(INDEX('Challan Master'!$C$4:$C$207,MATCH($B156,'Challan Master'!$S$4:$S$207,0)),"")&amp;" | Deposit "&amp;TEXT(IFERROR(INDEX('Challan Master'!$D$4:$D$207,MATCH($B156,'Challan Master'!$S$4:$S$207,0)),""),"dd-mm-yyyy")&amp;" | Minor Head "&amp;IFERROR(INDEX('Challan Master'!$E$4:$E$207,MATCH($B156,'Challan Master'!$S$4:$S$207,0)),"")&amp;" | Tax ₹"&amp;TEXT(IFERROR(INDEX('Challan Master'!$G$4:$G$207,MATCH($B156,'Challan Master'!$S$4:$S$207,0)),""),"#,##0")&amp;" | Section "&amp;IFERROR(INDEX('Challan Master'!$F$4:$F$207,MATCH($B156,'Challan Master'!$S$4:$S$207,0)),""))</f>
      </c>
      <c r="D156" s="8"/>
      <c r="E156" s="8"/>
      <c r="F156" s="7">
        <f>IF($D156="","",IF(AND(LEN(TRIM(UPPER(E156)))=10,CODE(MID(TRIM(UPPER(E156)),1,1))&gt;=65,CODE(MID(TRIM(UPPER(E156)),1,1))&lt;=90,CODE(MID(TRIM(UPPER(E156)),2,1))&gt;=65,CODE(MID(TRIM(UPPER(E156)),2,1))&lt;=90,CODE(MID(TRIM(UPPER(E156)),3,1))&gt;=65,CODE(MID(TRIM(UPPER(E156)),3,1))&lt;=90,CODE(MID(TRIM(UPPER(E156)),4,1))&gt;=65,CODE(MID(TRIM(UPPER(E156)),4,1))&lt;=90,CODE(MID(TRIM(UPPER(E156)),5,1))&gt;=65,CODE(MID(TRIM(UPPER(E156)),5,1))&lt;=90,CODE(MID(TRIM(UPPER(E156)),10,1))&gt;=65,CODE(MID(TRIM(UPPER(E156)),10,1))&lt;=90,CODE(MID(TRIM(UPPER(E156)),6,1))&gt;=48,CODE(MID(TRIM(UPPER(E156)),6,1))&lt;=57,CODE(MID(TRIM(UPPER(E156)),7,1))&gt;=48,CODE(MID(TRIM(UPPER(E156)),7,1))&lt;=57,CODE(MID(TRIM(UPPER(E156)),8,1))&gt;=48,CODE(MID(TRIM(UPPER(E156)),8,1))&lt;=57,CODE(MID(TRIM(UPPER(E156)),9,1))&gt;=48,CODE(MID(TRIM(UPPER(E156)),9,1))&lt;=57),"N","Y"))</f>
      </c>
      <c r="G156" s="7">
        <f>IF($D156="","",IF(LEN(E156)&lt;4,"",IF(UPPER(MID(E156,4,1))="P","Individual",IF(UPPER(MID(E156,4,1))="H","HUF",IF(UPPER(MID(E156,4,1))="C","Company",IF(UPPER(MID(E156,4,1))="F","Firm",IF(UPPER(MID(E156,4,1))="L","LLP",IF(UPPER(MID(E156,4,1))="T","Trust",IF(UPPER(MID(E156,4,1))="A","AOP","")))))))))</f>
      </c>
      <c r="H156" s="8"/>
      <c r="I156" s="7">
        <f>IF($D156="","",IF(H156="","",IF(F156="Y",SUMPRODUCT(('Rate Lookup'!$A$1:$A$37=H156)*'Rate Lookup'!$D$1:$D$37),IF(OR(G156="Individual",G156="HUF"),SUMPRODUCT(('Rate Lookup'!$A$1:$A$37=H156)*'Rate Lookup'!$B$1:$B$37),SUMPRODUCT(('Rate Lookup'!$A$1:$A$37=H156)*'Rate Lookup'!$C$1:$C$37)))))</f>
      </c>
      <c r="J156" s="8"/>
      <c r="K156" s="8"/>
      <c r="L156" s="7">
        <f>IF($D156="","",ROUND(K156*I156/100,0))</f>
      </c>
      <c r="M156" s="7">
        <f>IF($D156="","",0)</f>
      </c>
      <c r="N156" s="7">
        <f>IF($D156="","",0)</f>
      </c>
      <c r="O156" s="7">
        <f>IF($D156="","",IF(OR(L156=0,J156="",IFERROR(INDEX('Challan Master'!$D$4:$D$207,MATCH($B156,'Challan Master'!$S$4:$S$207,0)),"")="",IFERROR(INDEX('Challan Master'!$D$4:$D$207,MATCH($B156,'Challan Master'!$S$4:$S$207,0)),"")&lt;=0),0,IF(IFERROR(INDEX('Challan Master'!$D$4:$D$207,MATCH($B156,'Challan Master'!$S$4:$S$207,0)),"")&lt;=DATE(YEAR(J156),MONTH(J156)+1,7),0,ROUND(L156*0.015*((YEAR(IFERROR(INDEX('Challan Master'!$D$4:$D$207,MATCH($B156,'Challan Master'!$S$4:$S$207,0)),""))-YEAR(J156))*12+(MONTH(IFERROR(INDEX('Challan Master'!$D$4:$D$207,MATCH($B156,'Challan Master'!$S$4:$S$207,0)),""))-MONTH(J156))+1),0))))</f>
      </c>
      <c r="P156" s="7">
        <f>IF($D156="","",0)</f>
      </c>
      <c r="Q156" s="8"/>
      <c r="R156" s="8"/>
      <c r="S156" s="8"/>
      <c r="T156" s="8"/>
      <c r="U156" s="8"/>
      <c r="V156" s="7">
        <f>IF($B156="","",IFERROR(INDEX('Challan Master'!$AA$4:$AA$207,MATCH($B156,'Challan Master'!$S$4:$S$207,0)),""))</f>
      </c>
    </row>
    <row r="157" spans="1:22" x14ac:dyDescent="0.25">
      <c r="A157" s="7">
        <f>IF($D157="","",COUNTIF($D$4:$D157,"&lt;&gt;"))</f>
      </c>
      <c r="B157" s="8"/>
      <c r="C157" s="7">
        <f>IF($B157="","","BSR "&amp;IFERROR(INDEX('Challan Master'!$B$4:$B$207,MATCH($B157,'Challan Master'!$S$4:$S$207,0)),"")&amp;" | Serial "&amp;IFERROR(INDEX('Challan Master'!$C$4:$C$207,MATCH($B157,'Challan Master'!$S$4:$S$207,0)),"")&amp;" | Deposit "&amp;TEXT(IFERROR(INDEX('Challan Master'!$D$4:$D$207,MATCH($B157,'Challan Master'!$S$4:$S$207,0)),""),"dd-mm-yyyy")&amp;" | Minor Head "&amp;IFERROR(INDEX('Challan Master'!$E$4:$E$207,MATCH($B157,'Challan Master'!$S$4:$S$207,0)),"")&amp;" | Tax ₹"&amp;TEXT(IFERROR(INDEX('Challan Master'!$G$4:$G$207,MATCH($B157,'Challan Master'!$S$4:$S$207,0)),""),"#,##0")&amp;" | Section "&amp;IFERROR(INDEX('Challan Master'!$F$4:$F$207,MATCH($B157,'Challan Master'!$S$4:$S$207,0)),""))</f>
      </c>
      <c r="D157" s="8"/>
      <c r="E157" s="8"/>
      <c r="F157" s="7">
        <f>IF($D157="","",IF(AND(LEN(TRIM(UPPER(E157)))=10,CODE(MID(TRIM(UPPER(E157)),1,1))&gt;=65,CODE(MID(TRIM(UPPER(E157)),1,1))&lt;=90,CODE(MID(TRIM(UPPER(E157)),2,1))&gt;=65,CODE(MID(TRIM(UPPER(E157)),2,1))&lt;=90,CODE(MID(TRIM(UPPER(E157)),3,1))&gt;=65,CODE(MID(TRIM(UPPER(E157)),3,1))&lt;=90,CODE(MID(TRIM(UPPER(E157)),4,1))&gt;=65,CODE(MID(TRIM(UPPER(E157)),4,1))&lt;=90,CODE(MID(TRIM(UPPER(E157)),5,1))&gt;=65,CODE(MID(TRIM(UPPER(E157)),5,1))&lt;=90,CODE(MID(TRIM(UPPER(E157)),10,1))&gt;=65,CODE(MID(TRIM(UPPER(E157)),10,1))&lt;=90,CODE(MID(TRIM(UPPER(E157)),6,1))&gt;=48,CODE(MID(TRIM(UPPER(E157)),6,1))&lt;=57,CODE(MID(TRIM(UPPER(E157)),7,1))&gt;=48,CODE(MID(TRIM(UPPER(E157)),7,1))&lt;=57,CODE(MID(TRIM(UPPER(E157)),8,1))&gt;=48,CODE(MID(TRIM(UPPER(E157)),8,1))&lt;=57,CODE(MID(TRIM(UPPER(E157)),9,1))&gt;=48,CODE(MID(TRIM(UPPER(E157)),9,1))&lt;=57),"N","Y"))</f>
      </c>
      <c r="G157" s="7">
        <f>IF($D157="","",IF(LEN(E157)&lt;4,"",IF(UPPER(MID(E157,4,1))="P","Individual",IF(UPPER(MID(E157,4,1))="H","HUF",IF(UPPER(MID(E157,4,1))="C","Company",IF(UPPER(MID(E157,4,1))="F","Firm",IF(UPPER(MID(E157,4,1))="L","LLP",IF(UPPER(MID(E157,4,1))="T","Trust",IF(UPPER(MID(E157,4,1))="A","AOP","")))))))))</f>
      </c>
      <c r="H157" s="8"/>
      <c r="I157" s="7">
        <f>IF($D157="","",IF(H157="","",IF(F157="Y",SUMPRODUCT(('Rate Lookup'!$A$1:$A$37=H157)*'Rate Lookup'!$D$1:$D$37),IF(OR(G157="Individual",G157="HUF"),SUMPRODUCT(('Rate Lookup'!$A$1:$A$37=H157)*'Rate Lookup'!$B$1:$B$37),SUMPRODUCT(('Rate Lookup'!$A$1:$A$37=H157)*'Rate Lookup'!$C$1:$C$37)))))</f>
      </c>
      <c r="J157" s="8"/>
      <c r="K157" s="8"/>
      <c r="L157" s="7">
        <f>IF($D157="","",ROUND(K157*I157/100,0))</f>
      </c>
      <c r="M157" s="7">
        <f>IF($D157="","",0)</f>
      </c>
      <c r="N157" s="7">
        <f>IF($D157="","",0)</f>
      </c>
      <c r="O157" s="7">
        <f>IF($D157="","",IF(OR(L157=0,J157="",IFERROR(INDEX('Challan Master'!$D$4:$D$207,MATCH($B157,'Challan Master'!$S$4:$S$207,0)),"")="",IFERROR(INDEX('Challan Master'!$D$4:$D$207,MATCH($B157,'Challan Master'!$S$4:$S$207,0)),"")&lt;=0),0,IF(IFERROR(INDEX('Challan Master'!$D$4:$D$207,MATCH($B157,'Challan Master'!$S$4:$S$207,0)),"")&lt;=DATE(YEAR(J157),MONTH(J157)+1,7),0,ROUND(L157*0.015*((YEAR(IFERROR(INDEX('Challan Master'!$D$4:$D$207,MATCH($B157,'Challan Master'!$S$4:$S$207,0)),""))-YEAR(J157))*12+(MONTH(IFERROR(INDEX('Challan Master'!$D$4:$D$207,MATCH($B157,'Challan Master'!$S$4:$S$207,0)),""))-MONTH(J157))+1),0))))</f>
      </c>
      <c r="P157" s="7">
        <f>IF($D157="","",0)</f>
      </c>
      <c r="Q157" s="8"/>
      <c r="R157" s="8"/>
      <c r="S157" s="8"/>
      <c r="T157" s="8"/>
      <c r="U157" s="8"/>
      <c r="V157" s="7">
        <f>IF($B157="","",IFERROR(INDEX('Challan Master'!$AA$4:$AA$207,MATCH($B157,'Challan Master'!$S$4:$S$207,0)),""))</f>
      </c>
    </row>
    <row r="158" spans="1:22" x14ac:dyDescent="0.25">
      <c r="A158" s="7">
        <f>IF($D158="","",COUNTIF($D$4:$D158,"&lt;&gt;"))</f>
      </c>
      <c r="B158" s="8"/>
      <c r="C158" s="7">
        <f>IF($B158="","","BSR "&amp;IFERROR(INDEX('Challan Master'!$B$4:$B$207,MATCH($B158,'Challan Master'!$S$4:$S$207,0)),"")&amp;" | Serial "&amp;IFERROR(INDEX('Challan Master'!$C$4:$C$207,MATCH($B158,'Challan Master'!$S$4:$S$207,0)),"")&amp;" | Deposit "&amp;TEXT(IFERROR(INDEX('Challan Master'!$D$4:$D$207,MATCH($B158,'Challan Master'!$S$4:$S$207,0)),""),"dd-mm-yyyy")&amp;" | Minor Head "&amp;IFERROR(INDEX('Challan Master'!$E$4:$E$207,MATCH($B158,'Challan Master'!$S$4:$S$207,0)),"")&amp;" | Tax ₹"&amp;TEXT(IFERROR(INDEX('Challan Master'!$G$4:$G$207,MATCH($B158,'Challan Master'!$S$4:$S$207,0)),""),"#,##0")&amp;" | Section "&amp;IFERROR(INDEX('Challan Master'!$F$4:$F$207,MATCH($B158,'Challan Master'!$S$4:$S$207,0)),""))</f>
      </c>
      <c r="D158" s="8"/>
      <c r="E158" s="8"/>
      <c r="F158" s="7">
        <f>IF($D158="","",IF(AND(LEN(TRIM(UPPER(E158)))=10,CODE(MID(TRIM(UPPER(E158)),1,1))&gt;=65,CODE(MID(TRIM(UPPER(E158)),1,1))&lt;=90,CODE(MID(TRIM(UPPER(E158)),2,1))&gt;=65,CODE(MID(TRIM(UPPER(E158)),2,1))&lt;=90,CODE(MID(TRIM(UPPER(E158)),3,1))&gt;=65,CODE(MID(TRIM(UPPER(E158)),3,1))&lt;=90,CODE(MID(TRIM(UPPER(E158)),4,1))&gt;=65,CODE(MID(TRIM(UPPER(E158)),4,1))&lt;=90,CODE(MID(TRIM(UPPER(E158)),5,1))&gt;=65,CODE(MID(TRIM(UPPER(E158)),5,1))&lt;=90,CODE(MID(TRIM(UPPER(E158)),10,1))&gt;=65,CODE(MID(TRIM(UPPER(E158)),10,1))&lt;=90,CODE(MID(TRIM(UPPER(E158)),6,1))&gt;=48,CODE(MID(TRIM(UPPER(E158)),6,1))&lt;=57,CODE(MID(TRIM(UPPER(E158)),7,1))&gt;=48,CODE(MID(TRIM(UPPER(E158)),7,1))&lt;=57,CODE(MID(TRIM(UPPER(E158)),8,1))&gt;=48,CODE(MID(TRIM(UPPER(E158)),8,1))&lt;=57,CODE(MID(TRIM(UPPER(E158)),9,1))&gt;=48,CODE(MID(TRIM(UPPER(E158)),9,1))&lt;=57),"N","Y"))</f>
      </c>
      <c r="G158" s="7">
        <f>IF($D158="","",IF(LEN(E158)&lt;4,"",IF(UPPER(MID(E158,4,1))="P","Individual",IF(UPPER(MID(E158,4,1))="H","HUF",IF(UPPER(MID(E158,4,1))="C","Company",IF(UPPER(MID(E158,4,1))="F","Firm",IF(UPPER(MID(E158,4,1))="L","LLP",IF(UPPER(MID(E158,4,1))="T","Trust",IF(UPPER(MID(E158,4,1))="A","AOP","")))))))))</f>
      </c>
      <c r="H158" s="8"/>
      <c r="I158" s="7">
        <f>IF($D158="","",IF(H158="","",IF(F158="Y",SUMPRODUCT(('Rate Lookup'!$A$1:$A$37=H158)*'Rate Lookup'!$D$1:$D$37),IF(OR(G158="Individual",G158="HUF"),SUMPRODUCT(('Rate Lookup'!$A$1:$A$37=H158)*'Rate Lookup'!$B$1:$B$37),SUMPRODUCT(('Rate Lookup'!$A$1:$A$37=H158)*'Rate Lookup'!$C$1:$C$37)))))</f>
      </c>
      <c r="J158" s="8"/>
      <c r="K158" s="8"/>
      <c r="L158" s="7">
        <f>IF($D158="","",ROUND(K158*I158/100,0))</f>
      </c>
      <c r="M158" s="7">
        <f>IF($D158="","",0)</f>
      </c>
      <c r="N158" s="7">
        <f>IF($D158="","",0)</f>
      </c>
      <c r="O158" s="7">
        <f>IF($D158="","",IF(OR(L158=0,J158="",IFERROR(INDEX('Challan Master'!$D$4:$D$207,MATCH($B158,'Challan Master'!$S$4:$S$207,0)),"")="",IFERROR(INDEX('Challan Master'!$D$4:$D$207,MATCH($B158,'Challan Master'!$S$4:$S$207,0)),"")&lt;=0),0,IF(IFERROR(INDEX('Challan Master'!$D$4:$D$207,MATCH($B158,'Challan Master'!$S$4:$S$207,0)),"")&lt;=DATE(YEAR(J158),MONTH(J158)+1,7),0,ROUND(L158*0.015*((YEAR(IFERROR(INDEX('Challan Master'!$D$4:$D$207,MATCH($B158,'Challan Master'!$S$4:$S$207,0)),""))-YEAR(J158))*12+(MONTH(IFERROR(INDEX('Challan Master'!$D$4:$D$207,MATCH($B158,'Challan Master'!$S$4:$S$207,0)),""))-MONTH(J158))+1),0))))</f>
      </c>
      <c r="P158" s="7">
        <f>IF($D158="","",0)</f>
      </c>
      <c r="Q158" s="8"/>
      <c r="R158" s="8"/>
      <c r="S158" s="8"/>
      <c r="T158" s="8"/>
      <c r="U158" s="8"/>
      <c r="V158" s="7">
        <f>IF($B158="","",IFERROR(INDEX('Challan Master'!$AA$4:$AA$207,MATCH($B158,'Challan Master'!$S$4:$S$207,0)),""))</f>
      </c>
    </row>
    <row r="159" spans="1:22" x14ac:dyDescent="0.25">
      <c r="A159" s="7">
        <f>IF($D159="","",COUNTIF($D$4:$D159,"&lt;&gt;"))</f>
      </c>
      <c r="B159" s="8"/>
      <c r="C159" s="7">
        <f>IF($B159="","","BSR "&amp;IFERROR(INDEX('Challan Master'!$B$4:$B$207,MATCH($B159,'Challan Master'!$S$4:$S$207,0)),"")&amp;" | Serial "&amp;IFERROR(INDEX('Challan Master'!$C$4:$C$207,MATCH($B159,'Challan Master'!$S$4:$S$207,0)),"")&amp;" | Deposit "&amp;TEXT(IFERROR(INDEX('Challan Master'!$D$4:$D$207,MATCH($B159,'Challan Master'!$S$4:$S$207,0)),""),"dd-mm-yyyy")&amp;" | Minor Head "&amp;IFERROR(INDEX('Challan Master'!$E$4:$E$207,MATCH($B159,'Challan Master'!$S$4:$S$207,0)),"")&amp;" | Tax ₹"&amp;TEXT(IFERROR(INDEX('Challan Master'!$G$4:$G$207,MATCH($B159,'Challan Master'!$S$4:$S$207,0)),""),"#,##0")&amp;" | Section "&amp;IFERROR(INDEX('Challan Master'!$F$4:$F$207,MATCH($B159,'Challan Master'!$S$4:$S$207,0)),""))</f>
      </c>
      <c r="D159" s="8"/>
      <c r="E159" s="8"/>
      <c r="F159" s="7">
        <f>IF($D159="","",IF(AND(LEN(TRIM(UPPER(E159)))=10,CODE(MID(TRIM(UPPER(E159)),1,1))&gt;=65,CODE(MID(TRIM(UPPER(E159)),1,1))&lt;=90,CODE(MID(TRIM(UPPER(E159)),2,1))&gt;=65,CODE(MID(TRIM(UPPER(E159)),2,1))&lt;=90,CODE(MID(TRIM(UPPER(E159)),3,1))&gt;=65,CODE(MID(TRIM(UPPER(E159)),3,1))&lt;=90,CODE(MID(TRIM(UPPER(E159)),4,1))&gt;=65,CODE(MID(TRIM(UPPER(E159)),4,1))&lt;=90,CODE(MID(TRIM(UPPER(E159)),5,1))&gt;=65,CODE(MID(TRIM(UPPER(E159)),5,1))&lt;=90,CODE(MID(TRIM(UPPER(E159)),10,1))&gt;=65,CODE(MID(TRIM(UPPER(E159)),10,1))&lt;=90,CODE(MID(TRIM(UPPER(E159)),6,1))&gt;=48,CODE(MID(TRIM(UPPER(E159)),6,1))&lt;=57,CODE(MID(TRIM(UPPER(E159)),7,1))&gt;=48,CODE(MID(TRIM(UPPER(E159)),7,1))&lt;=57,CODE(MID(TRIM(UPPER(E159)),8,1))&gt;=48,CODE(MID(TRIM(UPPER(E159)),8,1))&lt;=57,CODE(MID(TRIM(UPPER(E159)),9,1))&gt;=48,CODE(MID(TRIM(UPPER(E159)),9,1))&lt;=57),"N","Y"))</f>
      </c>
      <c r="G159" s="7">
        <f>IF($D159="","",IF(LEN(E159)&lt;4,"",IF(UPPER(MID(E159,4,1))="P","Individual",IF(UPPER(MID(E159,4,1))="H","HUF",IF(UPPER(MID(E159,4,1))="C","Company",IF(UPPER(MID(E159,4,1))="F","Firm",IF(UPPER(MID(E159,4,1))="L","LLP",IF(UPPER(MID(E159,4,1))="T","Trust",IF(UPPER(MID(E159,4,1))="A","AOP","")))))))))</f>
      </c>
      <c r="H159" s="8"/>
      <c r="I159" s="7">
        <f>IF($D159="","",IF(H159="","",IF(F159="Y",SUMPRODUCT(('Rate Lookup'!$A$1:$A$37=H159)*'Rate Lookup'!$D$1:$D$37),IF(OR(G159="Individual",G159="HUF"),SUMPRODUCT(('Rate Lookup'!$A$1:$A$37=H159)*'Rate Lookup'!$B$1:$B$37),SUMPRODUCT(('Rate Lookup'!$A$1:$A$37=H159)*'Rate Lookup'!$C$1:$C$37)))))</f>
      </c>
      <c r="J159" s="8"/>
      <c r="K159" s="8"/>
      <c r="L159" s="7">
        <f>IF($D159="","",ROUND(K159*I159/100,0))</f>
      </c>
      <c r="M159" s="7">
        <f>IF($D159="","",0)</f>
      </c>
      <c r="N159" s="7">
        <f>IF($D159="","",0)</f>
      </c>
      <c r="O159" s="7">
        <f>IF($D159="","",IF(OR(L159=0,J159="",IFERROR(INDEX('Challan Master'!$D$4:$D$207,MATCH($B159,'Challan Master'!$S$4:$S$207,0)),"")="",IFERROR(INDEX('Challan Master'!$D$4:$D$207,MATCH($B159,'Challan Master'!$S$4:$S$207,0)),"")&lt;=0),0,IF(IFERROR(INDEX('Challan Master'!$D$4:$D$207,MATCH($B159,'Challan Master'!$S$4:$S$207,0)),"")&lt;=DATE(YEAR(J159),MONTH(J159)+1,7),0,ROUND(L159*0.015*((YEAR(IFERROR(INDEX('Challan Master'!$D$4:$D$207,MATCH($B159,'Challan Master'!$S$4:$S$207,0)),""))-YEAR(J159))*12+(MONTH(IFERROR(INDEX('Challan Master'!$D$4:$D$207,MATCH($B159,'Challan Master'!$S$4:$S$207,0)),""))-MONTH(J159))+1),0))))</f>
      </c>
      <c r="P159" s="7">
        <f>IF($D159="","",0)</f>
      </c>
      <c r="Q159" s="8"/>
      <c r="R159" s="8"/>
      <c r="S159" s="8"/>
      <c r="T159" s="8"/>
      <c r="U159" s="8"/>
      <c r="V159" s="7">
        <f>IF($B159="","",IFERROR(INDEX('Challan Master'!$AA$4:$AA$207,MATCH($B159,'Challan Master'!$S$4:$S$207,0)),""))</f>
      </c>
    </row>
    <row r="160" spans="1:22" x14ac:dyDescent="0.25">
      <c r="A160" s="7">
        <f>IF($D160="","",COUNTIF($D$4:$D160,"&lt;&gt;"))</f>
      </c>
      <c r="B160" s="8"/>
      <c r="C160" s="7">
        <f>IF($B160="","","BSR "&amp;IFERROR(INDEX('Challan Master'!$B$4:$B$207,MATCH($B160,'Challan Master'!$S$4:$S$207,0)),"")&amp;" | Serial "&amp;IFERROR(INDEX('Challan Master'!$C$4:$C$207,MATCH($B160,'Challan Master'!$S$4:$S$207,0)),"")&amp;" | Deposit "&amp;TEXT(IFERROR(INDEX('Challan Master'!$D$4:$D$207,MATCH($B160,'Challan Master'!$S$4:$S$207,0)),""),"dd-mm-yyyy")&amp;" | Minor Head "&amp;IFERROR(INDEX('Challan Master'!$E$4:$E$207,MATCH($B160,'Challan Master'!$S$4:$S$207,0)),"")&amp;" | Tax ₹"&amp;TEXT(IFERROR(INDEX('Challan Master'!$G$4:$G$207,MATCH($B160,'Challan Master'!$S$4:$S$207,0)),""),"#,##0")&amp;" | Section "&amp;IFERROR(INDEX('Challan Master'!$F$4:$F$207,MATCH($B160,'Challan Master'!$S$4:$S$207,0)),""))</f>
      </c>
      <c r="D160" s="8"/>
      <c r="E160" s="8"/>
      <c r="F160" s="7">
        <f>IF($D160="","",IF(AND(LEN(TRIM(UPPER(E160)))=10,CODE(MID(TRIM(UPPER(E160)),1,1))&gt;=65,CODE(MID(TRIM(UPPER(E160)),1,1))&lt;=90,CODE(MID(TRIM(UPPER(E160)),2,1))&gt;=65,CODE(MID(TRIM(UPPER(E160)),2,1))&lt;=90,CODE(MID(TRIM(UPPER(E160)),3,1))&gt;=65,CODE(MID(TRIM(UPPER(E160)),3,1))&lt;=90,CODE(MID(TRIM(UPPER(E160)),4,1))&gt;=65,CODE(MID(TRIM(UPPER(E160)),4,1))&lt;=90,CODE(MID(TRIM(UPPER(E160)),5,1))&gt;=65,CODE(MID(TRIM(UPPER(E160)),5,1))&lt;=90,CODE(MID(TRIM(UPPER(E160)),10,1))&gt;=65,CODE(MID(TRIM(UPPER(E160)),10,1))&lt;=90,CODE(MID(TRIM(UPPER(E160)),6,1))&gt;=48,CODE(MID(TRIM(UPPER(E160)),6,1))&lt;=57,CODE(MID(TRIM(UPPER(E160)),7,1))&gt;=48,CODE(MID(TRIM(UPPER(E160)),7,1))&lt;=57,CODE(MID(TRIM(UPPER(E160)),8,1))&gt;=48,CODE(MID(TRIM(UPPER(E160)),8,1))&lt;=57,CODE(MID(TRIM(UPPER(E160)),9,1))&gt;=48,CODE(MID(TRIM(UPPER(E160)),9,1))&lt;=57),"N","Y"))</f>
      </c>
      <c r="G160" s="7">
        <f>IF($D160="","",IF(LEN(E160)&lt;4,"",IF(UPPER(MID(E160,4,1))="P","Individual",IF(UPPER(MID(E160,4,1))="H","HUF",IF(UPPER(MID(E160,4,1))="C","Company",IF(UPPER(MID(E160,4,1))="F","Firm",IF(UPPER(MID(E160,4,1))="L","LLP",IF(UPPER(MID(E160,4,1))="T","Trust",IF(UPPER(MID(E160,4,1))="A","AOP","")))))))))</f>
      </c>
      <c r="H160" s="8"/>
      <c r="I160" s="7">
        <f>IF($D160="","",IF(H160="","",IF(F160="Y",SUMPRODUCT(('Rate Lookup'!$A$1:$A$37=H160)*'Rate Lookup'!$D$1:$D$37),IF(OR(G160="Individual",G160="HUF"),SUMPRODUCT(('Rate Lookup'!$A$1:$A$37=H160)*'Rate Lookup'!$B$1:$B$37),SUMPRODUCT(('Rate Lookup'!$A$1:$A$37=H160)*'Rate Lookup'!$C$1:$C$37)))))</f>
      </c>
      <c r="J160" s="8"/>
      <c r="K160" s="8"/>
      <c r="L160" s="7">
        <f>IF($D160="","",ROUND(K160*I160/100,0))</f>
      </c>
      <c r="M160" s="7">
        <f>IF($D160="","",0)</f>
      </c>
      <c r="N160" s="7">
        <f>IF($D160="","",0)</f>
      </c>
      <c r="O160" s="7">
        <f>IF($D160="","",IF(OR(L160=0,J160="",IFERROR(INDEX('Challan Master'!$D$4:$D$207,MATCH($B160,'Challan Master'!$S$4:$S$207,0)),"")="",IFERROR(INDEX('Challan Master'!$D$4:$D$207,MATCH($B160,'Challan Master'!$S$4:$S$207,0)),"")&lt;=0),0,IF(IFERROR(INDEX('Challan Master'!$D$4:$D$207,MATCH($B160,'Challan Master'!$S$4:$S$207,0)),"")&lt;=DATE(YEAR(J160),MONTH(J160)+1,7),0,ROUND(L160*0.015*((YEAR(IFERROR(INDEX('Challan Master'!$D$4:$D$207,MATCH($B160,'Challan Master'!$S$4:$S$207,0)),""))-YEAR(J160))*12+(MONTH(IFERROR(INDEX('Challan Master'!$D$4:$D$207,MATCH($B160,'Challan Master'!$S$4:$S$207,0)),""))-MONTH(J160))+1),0))))</f>
      </c>
      <c r="P160" s="7">
        <f>IF($D160="","",0)</f>
      </c>
      <c r="Q160" s="8"/>
      <c r="R160" s="8"/>
      <c r="S160" s="8"/>
      <c r="T160" s="8"/>
      <c r="U160" s="8"/>
      <c r="V160" s="7">
        <f>IF($B160="","",IFERROR(INDEX('Challan Master'!$AA$4:$AA$207,MATCH($B160,'Challan Master'!$S$4:$S$207,0)),""))</f>
      </c>
    </row>
    <row r="161" spans="1:22" x14ac:dyDescent="0.25">
      <c r="A161" s="7">
        <f>IF($D161="","",COUNTIF($D$4:$D161,"&lt;&gt;"))</f>
      </c>
      <c r="B161" s="8"/>
      <c r="C161" s="7">
        <f>IF($B161="","","BSR "&amp;IFERROR(INDEX('Challan Master'!$B$4:$B$207,MATCH($B161,'Challan Master'!$S$4:$S$207,0)),"")&amp;" | Serial "&amp;IFERROR(INDEX('Challan Master'!$C$4:$C$207,MATCH($B161,'Challan Master'!$S$4:$S$207,0)),"")&amp;" | Deposit "&amp;TEXT(IFERROR(INDEX('Challan Master'!$D$4:$D$207,MATCH($B161,'Challan Master'!$S$4:$S$207,0)),""),"dd-mm-yyyy")&amp;" | Minor Head "&amp;IFERROR(INDEX('Challan Master'!$E$4:$E$207,MATCH($B161,'Challan Master'!$S$4:$S$207,0)),"")&amp;" | Tax ₹"&amp;TEXT(IFERROR(INDEX('Challan Master'!$G$4:$G$207,MATCH($B161,'Challan Master'!$S$4:$S$207,0)),""),"#,##0")&amp;" | Section "&amp;IFERROR(INDEX('Challan Master'!$F$4:$F$207,MATCH($B161,'Challan Master'!$S$4:$S$207,0)),""))</f>
      </c>
      <c r="D161" s="8"/>
      <c r="E161" s="8"/>
      <c r="F161" s="7">
        <f>IF($D161="","",IF(AND(LEN(TRIM(UPPER(E161)))=10,CODE(MID(TRIM(UPPER(E161)),1,1))&gt;=65,CODE(MID(TRIM(UPPER(E161)),1,1))&lt;=90,CODE(MID(TRIM(UPPER(E161)),2,1))&gt;=65,CODE(MID(TRIM(UPPER(E161)),2,1))&lt;=90,CODE(MID(TRIM(UPPER(E161)),3,1))&gt;=65,CODE(MID(TRIM(UPPER(E161)),3,1))&lt;=90,CODE(MID(TRIM(UPPER(E161)),4,1))&gt;=65,CODE(MID(TRIM(UPPER(E161)),4,1))&lt;=90,CODE(MID(TRIM(UPPER(E161)),5,1))&gt;=65,CODE(MID(TRIM(UPPER(E161)),5,1))&lt;=90,CODE(MID(TRIM(UPPER(E161)),10,1))&gt;=65,CODE(MID(TRIM(UPPER(E161)),10,1))&lt;=90,CODE(MID(TRIM(UPPER(E161)),6,1))&gt;=48,CODE(MID(TRIM(UPPER(E161)),6,1))&lt;=57,CODE(MID(TRIM(UPPER(E161)),7,1))&gt;=48,CODE(MID(TRIM(UPPER(E161)),7,1))&lt;=57,CODE(MID(TRIM(UPPER(E161)),8,1))&gt;=48,CODE(MID(TRIM(UPPER(E161)),8,1))&lt;=57,CODE(MID(TRIM(UPPER(E161)),9,1))&gt;=48,CODE(MID(TRIM(UPPER(E161)),9,1))&lt;=57),"N","Y"))</f>
      </c>
      <c r="G161" s="7">
        <f>IF($D161="","",IF(LEN(E161)&lt;4,"",IF(UPPER(MID(E161,4,1))="P","Individual",IF(UPPER(MID(E161,4,1))="H","HUF",IF(UPPER(MID(E161,4,1))="C","Company",IF(UPPER(MID(E161,4,1))="F","Firm",IF(UPPER(MID(E161,4,1))="L","LLP",IF(UPPER(MID(E161,4,1))="T","Trust",IF(UPPER(MID(E161,4,1))="A","AOP","")))))))))</f>
      </c>
      <c r="H161" s="8"/>
      <c r="I161" s="7">
        <f>IF($D161="","",IF(H161="","",IF(F161="Y",SUMPRODUCT(('Rate Lookup'!$A$1:$A$37=H161)*'Rate Lookup'!$D$1:$D$37),IF(OR(G161="Individual",G161="HUF"),SUMPRODUCT(('Rate Lookup'!$A$1:$A$37=H161)*'Rate Lookup'!$B$1:$B$37),SUMPRODUCT(('Rate Lookup'!$A$1:$A$37=H161)*'Rate Lookup'!$C$1:$C$37)))))</f>
      </c>
      <c r="J161" s="8"/>
      <c r="K161" s="8"/>
      <c r="L161" s="7">
        <f>IF($D161="","",ROUND(K161*I161/100,0))</f>
      </c>
      <c r="M161" s="7">
        <f>IF($D161="","",0)</f>
      </c>
      <c r="N161" s="7">
        <f>IF($D161="","",0)</f>
      </c>
      <c r="O161" s="7">
        <f>IF($D161="","",IF(OR(L161=0,J161="",IFERROR(INDEX('Challan Master'!$D$4:$D$207,MATCH($B161,'Challan Master'!$S$4:$S$207,0)),"")="",IFERROR(INDEX('Challan Master'!$D$4:$D$207,MATCH($B161,'Challan Master'!$S$4:$S$207,0)),"")&lt;=0),0,IF(IFERROR(INDEX('Challan Master'!$D$4:$D$207,MATCH($B161,'Challan Master'!$S$4:$S$207,0)),"")&lt;=DATE(YEAR(J161),MONTH(J161)+1,7),0,ROUND(L161*0.015*((YEAR(IFERROR(INDEX('Challan Master'!$D$4:$D$207,MATCH($B161,'Challan Master'!$S$4:$S$207,0)),""))-YEAR(J161))*12+(MONTH(IFERROR(INDEX('Challan Master'!$D$4:$D$207,MATCH($B161,'Challan Master'!$S$4:$S$207,0)),""))-MONTH(J161))+1),0))))</f>
      </c>
      <c r="P161" s="7">
        <f>IF($D161="","",0)</f>
      </c>
      <c r="Q161" s="8"/>
      <c r="R161" s="8"/>
      <c r="S161" s="8"/>
      <c r="T161" s="8"/>
      <c r="U161" s="8"/>
      <c r="V161" s="7">
        <f>IF($B161="","",IFERROR(INDEX('Challan Master'!$AA$4:$AA$207,MATCH($B161,'Challan Master'!$S$4:$S$207,0)),""))</f>
      </c>
    </row>
    <row r="162" spans="1:22" x14ac:dyDescent="0.25">
      <c r="A162" s="7">
        <f>IF($D162="","",COUNTIF($D$4:$D162,"&lt;&gt;"))</f>
      </c>
      <c r="B162" s="8"/>
      <c r="C162" s="7">
        <f>IF($B162="","","BSR "&amp;IFERROR(INDEX('Challan Master'!$B$4:$B$207,MATCH($B162,'Challan Master'!$S$4:$S$207,0)),"")&amp;" | Serial "&amp;IFERROR(INDEX('Challan Master'!$C$4:$C$207,MATCH($B162,'Challan Master'!$S$4:$S$207,0)),"")&amp;" | Deposit "&amp;TEXT(IFERROR(INDEX('Challan Master'!$D$4:$D$207,MATCH($B162,'Challan Master'!$S$4:$S$207,0)),""),"dd-mm-yyyy")&amp;" | Minor Head "&amp;IFERROR(INDEX('Challan Master'!$E$4:$E$207,MATCH($B162,'Challan Master'!$S$4:$S$207,0)),"")&amp;" | Tax ₹"&amp;TEXT(IFERROR(INDEX('Challan Master'!$G$4:$G$207,MATCH($B162,'Challan Master'!$S$4:$S$207,0)),""),"#,##0")&amp;" | Section "&amp;IFERROR(INDEX('Challan Master'!$F$4:$F$207,MATCH($B162,'Challan Master'!$S$4:$S$207,0)),""))</f>
      </c>
      <c r="D162" s="8"/>
      <c r="E162" s="8"/>
      <c r="F162" s="7">
        <f>IF($D162="","",IF(AND(LEN(TRIM(UPPER(E162)))=10,CODE(MID(TRIM(UPPER(E162)),1,1))&gt;=65,CODE(MID(TRIM(UPPER(E162)),1,1))&lt;=90,CODE(MID(TRIM(UPPER(E162)),2,1))&gt;=65,CODE(MID(TRIM(UPPER(E162)),2,1))&lt;=90,CODE(MID(TRIM(UPPER(E162)),3,1))&gt;=65,CODE(MID(TRIM(UPPER(E162)),3,1))&lt;=90,CODE(MID(TRIM(UPPER(E162)),4,1))&gt;=65,CODE(MID(TRIM(UPPER(E162)),4,1))&lt;=90,CODE(MID(TRIM(UPPER(E162)),5,1))&gt;=65,CODE(MID(TRIM(UPPER(E162)),5,1))&lt;=90,CODE(MID(TRIM(UPPER(E162)),10,1))&gt;=65,CODE(MID(TRIM(UPPER(E162)),10,1))&lt;=90,CODE(MID(TRIM(UPPER(E162)),6,1))&gt;=48,CODE(MID(TRIM(UPPER(E162)),6,1))&lt;=57,CODE(MID(TRIM(UPPER(E162)),7,1))&gt;=48,CODE(MID(TRIM(UPPER(E162)),7,1))&lt;=57,CODE(MID(TRIM(UPPER(E162)),8,1))&gt;=48,CODE(MID(TRIM(UPPER(E162)),8,1))&lt;=57,CODE(MID(TRIM(UPPER(E162)),9,1))&gt;=48,CODE(MID(TRIM(UPPER(E162)),9,1))&lt;=57),"N","Y"))</f>
      </c>
      <c r="G162" s="7">
        <f>IF($D162="","",IF(LEN(E162)&lt;4,"",IF(UPPER(MID(E162,4,1))="P","Individual",IF(UPPER(MID(E162,4,1))="H","HUF",IF(UPPER(MID(E162,4,1))="C","Company",IF(UPPER(MID(E162,4,1))="F","Firm",IF(UPPER(MID(E162,4,1))="L","LLP",IF(UPPER(MID(E162,4,1))="T","Trust",IF(UPPER(MID(E162,4,1))="A","AOP","")))))))))</f>
      </c>
      <c r="H162" s="8"/>
      <c r="I162" s="7">
        <f>IF($D162="","",IF(H162="","",IF(F162="Y",SUMPRODUCT(('Rate Lookup'!$A$1:$A$37=H162)*'Rate Lookup'!$D$1:$D$37),IF(OR(G162="Individual",G162="HUF"),SUMPRODUCT(('Rate Lookup'!$A$1:$A$37=H162)*'Rate Lookup'!$B$1:$B$37),SUMPRODUCT(('Rate Lookup'!$A$1:$A$37=H162)*'Rate Lookup'!$C$1:$C$37)))))</f>
      </c>
      <c r="J162" s="8"/>
      <c r="K162" s="8"/>
      <c r="L162" s="7">
        <f>IF($D162="","",ROUND(K162*I162/100,0))</f>
      </c>
      <c r="M162" s="7">
        <f>IF($D162="","",0)</f>
      </c>
      <c r="N162" s="7">
        <f>IF($D162="","",0)</f>
      </c>
      <c r="O162" s="7">
        <f>IF($D162="","",IF(OR(L162=0,J162="",IFERROR(INDEX('Challan Master'!$D$4:$D$207,MATCH($B162,'Challan Master'!$S$4:$S$207,0)),"")="",IFERROR(INDEX('Challan Master'!$D$4:$D$207,MATCH($B162,'Challan Master'!$S$4:$S$207,0)),"")&lt;=0),0,IF(IFERROR(INDEX('Challan Master'!$D$4:$D$207,MATCH($B162,'Challan Master'!$S$4:$S$207,0)),"")&lt;=DATE(YEAR(J162),MONTH(J162)+1,7),0,ROUND(L162*0.015*((YEAR(IFERROR(INDEX('Challan Master'!$D$4:$D$207,MATCH($B162,'Challan Master'!$S$4:$S$207,0)),""))-YEAR(J162))*12+(MONTH(IFERROR(INDEX('Challan Master'!$D$4:$D$207,MATCH($B162,'Challan Master'!$S$4:$S$207,0)),""))-MONTH(J162))+1),0))))</f>
      </c>
      <c r="P162" s="7">
        <f>IF($D162="","",0)</f>
      </c>
      <c r="Q162" s="8"/>
      <c r="R162" s="8"/>
      <c r="S162" s="8"/>
      <c r="T162" s="8"/>
      <c r="U162" s="8"/>
      <c r="V162" s="7">
        <f>IF($B162="","",IFERROR(INDEX('Challan Master'!$AA$4:$AA$207,MATCH($B162,'Challan Master'!$S$4:$S$207,0)),""))</f>
      </c>
    </row>
    <row r="163" spans="1:22" x14ac:dyDescent="0.25">
      <c r="A163" s="7">
        <f>IF($D163="","",COUNTIF($D$4:$D163,"&lt;&gt;"))</f>
      </c>
      <c r="B163" s="8"/>
      <c r="C163" s="7">
        <f>IF($B163="","","BSR "&amp;IFERROR(INDEX('Challan Master'!$B$4:$B$207,MATCH($B163,'Challan Master'!$S$4:$S$207,0)),"")&amp;" | Serial "&amp;IFERROR(INDEX('Challan Master'!$C$4:$C$207,MATCH($B163,'Challan Master'!$S$4:$S$207,0)),"")&amp;" | Deposit "&amp;TEXT(IFERROR(INDEX('Challan Master'!$D$4:$D$207,MATCH($B163,'Challan Master'!$S$4:$S$207,0)),""),"dd-mm-yyyy")&amp;" | Minor Head "&amp;IFERROR(INDEX('Challan Master'!$E$4:$E$207,MATCH($B163,'Challan Master'!$S$4:$S$207,0)),"")&amp;" | Tax ₹"&amp;TEXT(IFERROR(INDEX('Challan Master'!$G$4:$G$207,MATCH($B163,'Challan Master'!$S$4:$S$207,0)),""),"#,##0")&amp;" | Section "&amp;IFERROR(INDEX('Challan Master'!$F$4:$F$207,MATCH($B163,'Challan Master'!$S$4:$S$207,0)),""))</f>
      </c>
      <c r="D163" s="8"/>
      <c r="E163" s="8"/>
      <c r="F163" s="7">
        <f>IF($D163="","",IF(AND(LEN(TRIM(UPPER(E163)))=10,CODE(MID(TRIM(UPPER(E163)),1,1))&gt;=65,CODE(MID(TRIM(UPPER(E163)),1,1))&lt;=90,CODE(MID(TRIM(UPPER(E163)),2,1))&gt;=65,CODE(MID(TRIM(UPPER(E163)),2,1))&lt;=90,CODE(MID(TRIM(UPPER(E163)),3,1))&gt;=65,CODE(MID(TRIM(UPPER(E163)),3,1))&lt;=90,CODE(MID(TRIM(UPPER(E163)),4,1))&gt;=65,CODE(MID(TRIM(UPPER(E163)),4,1))&lt;=90,CODE(MID(TRIM(UPPER(E163)),5,1))&gt;=65,CODE(MID(TRIM(UPPER(E163)),5,1))&lt;=90,CODE(MID(TRIM(UPPER(E163)),10,1))&gt;=65,CODE(MID(TRIM(UPPER(E163)),10,1))&lt;=90,CODE(MID(TRIM(UPPER(E163)),6,1))&gt;=48,CODE(MID(TRIM(UPPER(E163)),6,1))&lt;=57,CODE(MID(TRIM(UPPER(E163)),7,1))&gt;=48,CODE(MID(TRIM(UPPER(E163)),7,1))&lt;=57,CODE(MID(TRIM(UPPER(E163)),8,1))&gt;=48,CODE(MID(TRIM(UPPER(E163)),8,1))&lt;=57,CODE(MID(TRIM(UPPER(E163)),9,1))&gt;=48,CODE(MID(TRIM(UPPER(E163)),9,1))&lt;=57),"N","Y"))</f>
      </c>
      <c r="G163" s="7">
        <f>IF($D163="","",IF(LEN(E163)&lt;4,"",IF(UPPER(MID(E163,4,1))="P","Individual",IF(UPPER(MID(E163,4,1))="H","HUF",IF(UPPER(MID(E163,4,1))="C","Company",IF(UPPER(MID(E163,4,1))="F","Firm",IF(UPPER(MID(E163,4,1))="L","LLP",IF(UPPER(MID(E163,4,1))="T","Trust",IF(UPPER(MID(E163,4,1))="A","AOP","")))))))))</f>
      </c>
      <c r="H163" s="8"/>
      <c r="I163" s="7">
        <f>IF($D163="","",IF(H163="","",IF(F163="Y",SUMPRODUCT(('Rate Lookup'!$A$1:$A$37=H163)*'Rate Lookup'!$D$1:$D$37),IF(OR(G163="Individual",G163="HUF"),SUMPRODUCT(('Rate Lookup'!$A$1:$A$37=H163)*'Rate Lookup'!$B$1:$B$37),SUMPRODUCT(('Rate Lookup'!$A$1:$A$37=H163)*'Rate Lookup'!$C$1:$C$37)))))</f>
      </c>
      <c r="J163" s="8"/>
      <c r="K163" s="8"/>
      <c r="L163" s="7">
        <f>IF($D163="","",ROUND(K163*I163/100,0))</f>
      </c>
      <c r="M163" s="7">
        <f>IF($D163="","",0)</f>
      </c>
      <c r="N163" s="7">
        <f>IF($D163="","",0)</f>
      </c>
      <c r="O163" s="7">
        <f>IF($D163="","",IF(OR(L163=0,J163="",IFERROR(INDEX('Challan Master'!$D$4:$D$207,MATCH($B163,'Challan Master'!$S$4:$S$207,0)),"")="",IFERROR(INDEX('Challan Master'!$D$4:$D$207,MATCH($B163,'Challan Master'!$S$4:$S$207,0)),"")&lt;=0),0,IF(IFERROR(INDEX('Challan Master'!$D$4:$D$207,MATCH($B163,'Challan Master'!$S$4:$S$207,0)),"")&lt;=DATE(YEAR(J163),MONTH(J163)+1,7),0,ROUND(L163*0.015*((YEAR(IFERROR(INDEX('Challan Master'!$D$4:$D$207,MATCH($B163,'Challan Master'!$S$4:$S$207,0)),""))-YEAR(J163))*12+(MONTH(IFERROR(INDEX('Challan Master'!$D$4:$D$207,MATCH($B163,'Challan Master'!$S$4:$S$207,0)),""))-MONTH(J163))+1),0))))</f>
      </c>
      <c r="P163" s="7">
        <f>IF($D163="","",0)</f>
      </c>
      <c r="Q163" s="8"/>
      <c r="R163" s="8"/>
      <c r="S163" s="8"/>
      <c r="T163" s="8"/>
      <c r="U163" s="8"/>
      <c r="V163" s="7">
        <f>IF($B163="","",IFERROR(INDEX('Challan Master'!$AA$4:$AA$207,MATCH($B163,'Challan Master'!$S$4:$S$207,0)),""))</f>
      </c>
    </row>
    <row r="164" spans="1:22" x14ac:dyDescent="0.25">
      <c r="A164" s="7">
        <f>IF($D164="","",COUNTIF($D$4:$D164,"&lt;&gt;"))</f>
      </c>
      <c r="B164" s="8"/>
      <c r="C164" s="7">
        <f>IF($B164="","","BSR "&amp;IFERROR(INDEX('Challan Master'!$B$4:$B$207,MATCH($B164,'Challan Master'!$S$4:$S$207,0)),"")&amp;" | Serial "&amp;IFERROR(INDEX('Challan Master'!$C$4:$C$207,MATCH($B164,'Challan Master'!$S$4:$S$207,0)),"")&amp;" | Deposit "&amp;TEXT(IFERROR(INDEX('Challan Master'!$D$4:$D$207,MATCH($B164,'Challan Master'!$S$4:$S$207,0)),""),"dd-mm-yyyy")&amp;" | Minor Head "&amp;IFERROR(INDEX('Challan Master'!$E$4:$E$207,MATCH($B164,'Challan Master'!$S$4:$S$207,0)),"")&amp;" | Tax ₹"&amp;TEXT(IFERROR(INDEX('Challan Master'!$G$4:$G$207,MATCH($B164,'Challan Master'!$S$4:$S$207,0)),""),"#,##0")&amp;" | Section "&amp;IFERROR(INDEX('Challan Master'!$F$4:$F$207,MATCH($B164,'Challan Master'!$S$4:$S$207,0)),""))</f>
      </c>
      <c r="D164" s="8"/>
      <c r="E164" s="8"/>
      <c r="F164" s="7">
        <f>IF($D164="","",IF(AND(LEN(TRIM(UPPER(E164)))=10,CODE(MID(TRIM(UPPER(E164)),1,1))&gt;=65,CODE(MID(TRIM(UPPER(E164)),1,1))&lt;=90,CODE(MID(TRIM(UPPER(E164)),2,1))&gt;=65,CODE(MID(TRIM(UPPER(E164)),2,1))&lt;=90,CODE(MID(TRIM(UPPER(E164)),3,1))&gt;=65,CODE(MID(TRIM(UPPER(E164)),3,1))&lt;=90,CODE(MID(TRIM(UPPER(E164)),4,1))&gt;=65,CODE(MID(TRIM(UPPER(E164)),4,1))&lt;=90,CODE(MID(TRIM(UPPER(E164)),5,1))&gt;=65,CODE(MID(TRIM(UPPER(E164)),5,1))&lt;=90,CODE(MID(TRIM(UPPER(E164)),10,1))&gt;=65,CODE(MID(TRIM(UPPER(E164)),10,1))&lt;=90,CODE(MID(TRIM(UPPER(E164)),6,1))&gt;=48,CODE(MID(TRIM(UPPER(E164)),6,1))&lt;=57,CODE(MID(TRIM(UPPER(E164)),7,1))&gt;=48,CODE(MID(TRIM(UPPER(E164)),7,1))&lt;=57,CODE(MID(TRIM(UPPER(E164)),8,1))&gt;=48,CODE(MID(TRIM(UPPER(E164)),8,1))&lt;=57,CODE(MID(TRIM(UPPER(E164)),9,1))&gt;=48,CODE(MID(TRIM(UPPER(E164)),9,1))&lt;=57),"N","Y"))</f>
      </c>
      <c r="G164" s="7">
        <f>IF($D164="","",IF(LEN(E164)&lt;4,"",IF(UPPER(MID(E164,4,1))="P","Individual",IF(UPPER(MID(E164,4,1))="H","HUF",IF(UPPER(MID(E164,4,1))="C","Company",IF(UPPER(MID(E164,4,1))="F","Firm",IF(UPPER(MID(E164,4,1))="L","LLP",IF(UPPER(MID(E164,4,1))="T","Trust",IF(UPPER(MID(E164,4,1))="A","AOP","")))))))))</f>
      </c>
      <c r="H164" s="8"/>
      <c r="I164" s="7">
        <f>IF($D164="","",IF(H164="","",IF(F164="Y",SUMPRODUCT(('Rate Lookup'!$A$1:$A$37=H164)*'Rate Lookup'!$D$1:$D$37),IF(OR(G164="Individual",G164="HUF"),SUMPRODUCT(('Rate Lookup'!$A$1:$A$37=H164)*'Rate Lookup'!$B$1:$B$37),SUMPRODUCT(('Rate Lookup'!$A$1:$A$37=H164)*'Rate Lookup'!$C$1:$C$37)))))</f>
      </c>
      <c r="J164" s="8"/>
      <c r="K164" s="8"/>
      <c r="L164" s="7">
        <f>IF($D164="","",ROUND(K164*I164/100,0))</f>
      </c>
      <c r="M164" s="7">
        <f>IF($D164="","",0)</f>
      </c>
      <c r="N164" s="7">
        <f>IF($D164="","",0)</f>
      </c>
      <c r="O164" s="7">
        <f>IF($D164="","",IF(OR(L164=0,J164="",IFERROR(INDEX('Challan Master'!$D$4:$D$207,MATCH($B164,'Challan Master'!$S$4:$S$207,0)),"")="",IFERROR(INDEX('Challan Master'!$D$4:$D$207,MATCH($B164,'Challan Master'!$S$4:$S$207,0)),"")&lt;=0),0,IF(IFERROR(INDEX('Challan Master'!$D$4:$D$207,MATCH($B164,'Challan Master'!$S$4:$S$207,0)),"")&lt;=DATE(YEAR(J164),MONTH(J164)+1,7),0,ROUND(L164*0.015*((YEAR(IFERROR(INDEX('Challan Master'!$D$4:$D$207,MATCH($B164,'Challan Master'!$S$4:$S$207,0)),""))-YEAR(J164))*12+(MONTH(IFERROR(INDEX('Challan Master'!$D$4:$D$207,MATCH($B164,'Challan Master'!$S$4:$S$207,0)),""))-MONTH(J164))+1),0))))</f>
      </c>
      <c r="P164" s="7">
        <f>IF($D164="","",0)</f>
      </c>
      <c r="Q164" s="8"/>
      <c r="R164" s="8"/>
      <c r="S164" s="8"/>
      <c r="T164" s="8"/>
      <c r="U164" s="8"/>
      <c r="V164" s="7">
        <f>IF($B164="","",IFERROR(INDEX('Challan Master'!$AA$4:$AA$207,MATCH($B164,'Challan Master'!$S$4:$S$207,0)),""))</f>
      </c>
    </row>
    <row r="165" spans="1:22" x14ac:dyDescent="0.25">
      <c r="A165" s="7">
        <f>IF($D165="","",COUNTIF($D$4:$D165,"&lt;&gt;"))</f>
      </c>
      <c r="B165" s="8"/>
      <c r="C165" s="7">
        <f>IF($B165="","","BSR "&amp;IFERROR(INDEX('Challan Master'!$B$4:$B$207,MATCH($B165,'Challan Master'!$S$4:$S$207,0)),"")&amp;" | Serial "&amp;IFERROR(INDEX('Challan Master'!$C$4:$C$207,MATCH($B165,'Challan Master'!$S$4:$S$207,0)),"")&amp;" | Deposit "&amp;TEXT(IFERROR(INDEX('Challan Master'!$D$4:$D$207,MATCH($B165,'Challan Master'!$S$4:$S$207,0)),""),"dd-mm-yyyy")&amp;" | Minor Head "&amp;IFERROR(INDEX('Challan Master'!$E$4:$E$207,MATCH($B165,'Challan Master'!$S$4:$S$207,0)),"")&amp;" | Tax ₹"&amp;TEXT(IFERROR(INDEX('Challan Master'!$G$4:$G$207,MATCH($B165,'Challan Master'!$S$4:$S$207,0)),""),"#,##0")&amp;" | Section "&amp;IFERROR(INDEX('Challan Master'!$F$4:$F$207,MATCH($B165,'Challan Master'!$S$4:$S$207,0)),""))</f>
      </c>
      <c r="D165" s="8"/>
      <c r="E165" s="8"/>
      <c r="F165" s="7">
        <f>IF($D165="","",IF(AND(LEN(TRIM(UPPER(E165)))=10,CODE(MID(TRIM(UPPER(E165)),1,1))&gt;=65,CODE(MID(TRIM(UPPER(E165)),1,1))&lt;=90,CODE(MID(TRIM(UPPER(E165)),2,1))&gt;=65,CODE(MID(TRIM(UPPER(E165)),2,1))&lt;=90,CODE(MID(TRIM(UPPER(E165)),3,1))&gt;=65,CODE(MID(TRIM(UPPER(E165)),3,1))&lt;=90,CODE(MID(TRIM(UPPER(E165)),4,1))&gt;=65,CODE(MID(TRIM(UPPER(E165)),4,1))&lt;=90,CODE(MID(TRIM(UPPER(E165)),5,1))&gt;=65,CODE(MID(TRIM(UPPER(E165)),5,1))&lt;=90,CODE(MID(TRIM(UPPER(E165)),10,1))&gt;=65,CODE(MID(TRIM(UPPER(E165)),10,1))&lt;=90,CODE(MID(TRIM(UPPER(E165)),6,1))&gt;=48,CODE(MID(TRIM(UPPER(E165)),6,1))&lt;=57,CODE(MID(TRIM(UPPER(E165)),7,1))&gt;=48,CODE(MID(TRIM(UPPER(E165)),7,1))&lt;=57,CODE(MID(TRIM(UPPER(E165)),8,1))&gt;=48,CODE(MID(TRIM(UPPER(E165)),8,1))&lt;=57,CODE(MID(TRIM(UPPER(E165)),9,1))&gt;=48,CODE(MID(TRIM(UPPER(E165)),9,1))&lt;=57),"N","Y"))</f>
      </c>
      <c r="G165" s="7">
        <f>IF($D165="","",IF(LEN(E165)&lt;4,"",IF(UPPER(MID(E165,4,1))="P","Individual",IF(UPPER(MID(E165,4,1))="H","HUF",IF(UPPER(MID(E165,4,1))="C","Company",IF(UPPER(MID(E165,4,1))="F","Firm",IF(UPPER(MID(E165,4,1))="L","LLP",IF(UPPER(MID(E165,4,1))="T","Trust",IF(UPPER(MID(E165,4,1))="A","AOP","")))))))))</f>
      </c>
      <c r="H165" s="8"/>
      <c r="I165" s="7">
        <f>IF($D165="","",IF(H165="","",IF(F165="Y",SUMPRODUCT(('Rate Lookup'!$A$1:$A$37=H165)*'Rate Lookup'!$D$1:$D$37),IF(OR(G165="Individual",G165="HUF"),SUMPRODUCT(('Rate Lookup'!$A$1:$A$37=H165)*'Rate Lookup'!$B$1:$B$37),SUMPRODUCT(('Rate Lookup'!$A$1:$A$37=H165)*'Rate Lookup'!$C$1:$C$37)))))</f>
      </c>
      <c r="J165" s="8"/>
      <c r="K165" s="8"/>
      <c r="L165" s="7">
        <f>IF($D165="","",ROUND(K165*I165/100,0))</f>
      </c>
      <c r="M165" s="7">
        <f>IF($D165="","",0)</f>
      </c>
      <c r="N165" s="7">
        <f>IF($D165="","",0)</f>
      </c>
      <c r="O165" s="7">
        <f>IF($D165="","",IF(OR(L165=0,J165="",IFERROR(INDEX('Challan Master'!$D$4:$D$207,MATCH($B165,'Challan Master'!$S$4:$S$207,0)),"")="",IFERROR(INDEX('Challan Master'!$D$4:$D$207,MATCH($B165,'Challan Master'!$S$4:$S$207,0)),"")&lt;=0),0,IF(IFERROR(INDEX('Challan Master'!$D$4:$D$207,MATCH($B165,'Challan Master'!$S$4:$S$207,0)),"")&lt;=DATE(YEAR(J165),MONTH(J165)+1,7),0,ROUND(L165*0.015*((YEAR(IFERROR(INDEX('Challan Master'!$D$4:$D$207,MATCH($B165,'Challan Master'!$S$4:$S$207,0)),""))-YEAR(J165))*12+(MONTH(IFERROR(INDEX('Challan Master'!$D$4:$D$207,MATCH($B165,'Challan Master'!$S$4:$S$207,0)),""))-MONTH(J165))+1),0))))</f>
      </c>
      <c r="P165" s="7">
        <f>IF($D165="","",0)</f>
      </c>
      <c r="Q165" s="8"/>
      <c r="R165" s="8"/>
      <c r="S165" s="8"/>
      <c r="T165" s="8"/>
      <c r="U165" s="8"/>
      <c r="V165" s="7">
        <f>IF($B165="","",IFERROR(INDEX('Challan Master'!$AA$4:$AA$207,MATCH($B165,'Challan Master'!$S$4:$S$207,0)),""))</f>
      </c>
    </row>
    <row r="166" spans="1:22" x14ac:dyDescent="0.25">
      <c r="A166" s="7">
        <f>IF($D166="","",COUNTIF($D$4:$D166,"&lt;&gt;"))</f>
      </c>
      <c r="B166" s="8"/>
      <c r="C166" s="7">
        <f>IF($B166="","","BSR "&amp;IFERROR(INDEX('Challan Master'!$B$4:$B$207,MATCH($B166,'Challan Master'!$S$4:$S$207,0)),"")&amp;" | Serial "&amp;IFERROR(INDEX('Challan Master'!$C$4:$C$207,MATCH($B166,'Challan Master'!$S$4:$S$207,0)),"")&amp;" | Deposit "&amp;TEXT(IFERROR(INDEX('Challan Master'!$D$4:$D$207,MATCH($B166,'Challan Master'!$S$4:$S$207,0)),""),"dd-mm-yyyy")&amp;" | Minor Head "&amp;IFERROR(INDEX('Challan Master'!$E$4:$E$207,MATCH($B166,'Challan Master'!$S$4:$S$207,0)),"")&amp;" | Tax ₹"&amp;TEXT(IFERROR(INDEX('Challan Master'!$G$4:$G$207,MATCH($B166,'Challan Master'!$S$4:$S$207,0)),""),"#,##0")&amp;" | Section "&amp;IFERROR(INDEX('Challan Master'!$F$4:$F$207,MATCH($B166,'Challan Master'!$S$4:$S$207,0)),""))</f>
      </c>
      <c r="D166" s="8"/>
      <c r="E166" s="8"/>
      <c r="F166" s="7">
        <f>IF($D166="","",IF(AND(LEN(TRIM(UPPER(E166)))=10,CODE(MID(TRIM(UPPER(E166)),1,1))&gt;=65,CODE(MID(TRIM(UPPER(E166)),1,1))&lt;=90,CODE(MID(TRIM(UPPER(E166)),2,1))&gt;=65,CODE(MID(TRIM(UPPER(E166)),2,1))&lt;=90,CODE(MID(TRIM(UPPER(E166)),3,1))&gt;=65,CODE(MID(TRIM(UPPER(E166)),3,1))&lt;=90,CODE(MID(TRIM(UPPER(E166)),4,1))&gt;=65,CODE(MID(TRIM(UPPER(E166)),4,1))&lt;=90,CODE(MID(TRIM(UPPER(E166)),5,1))&gt;=65,CODE(MID(TRIM(UPPER(E166)),5,1))&lt;=90,CODE(MID(TRIM(UPPER(E166)),10,1))&gt;=65,CODE(MID(TRIM(UPPER(E166)),10,1))&lt;=90,CODE(MID(TRIM(UPPER(E166)),6,1))&gt;=48,CODE(MID(TRIM(UPPER(E166)),6,1))&lt;=57,CODE(MID(TRIM(UPPER(E166)),7,1))&gt;=48,CODE(MID(TRIM(UPPER(E166)),7,1))&lt;=57,CODE(MID(TRIM(UPPER(E166)),8,1))&gt;=48,CODE(MID(TRIM(UPPER(E166)),8,1))&lt;=57,CODE(MID(TRIM(UPPER(E166)),9,1))&gt;=48,CODE(MID(TRIM(UPPER(E166)),9,1))&lt;=57),"N","Y"))</f>
      </c>
      <c r="G166" s="7">
        <f>IF($D166="","",IF(LEN(E166)&lt;4,"",IF(UPPER(MID(E166,4,1))="P","Individual",IF(UPPER(MID(E166,4,1))="H","HUF",IF(UPPER(MID(E166,4,1))="C","Company",IF(UPPER(MID(E166,4,1))="F","Firm",IF(UPPER(MID(E166,4,1))="L","LLP",IF(UPPER(MID(E166,4,1))="T","Trust",IF(UPPER(MID(E166,4,1))="A","AOP","")))))))))</f>
      </c>
      <c r="H166" s="8"/>
      <c r="I166" s="7">
        <f>IF($D166="","",IF(H166="","",IF(F166="Y",SUMPRODUCT(('Rate Lookup'!$A$1:$A$37=H166)*'Rate Lookup'!$D$1:$D$37),IF(OR(G166="Individual",G166="HUF"),SUMPRODUCT(('Rate Lookup'!$A$1:$A$37=H166)*'Rate Lookup'!$B$1:$B$37),SUMPRODUCT(('Rate Lookup'!$A$1:$A$37=H166)*'Rate Lookup'!$C$1:$C$37)))))</f>
      </c>
      <c r="J166" s="8"/>
      <c r="K166" s="8"/>
      <c r="L166" s="7">
        <f>IF($D166="","",ROUND(K166*I166/100,0))</f>
      </c>
      <c r="M166" s="7">
        <f>IF($D166="","",0)</f>
      </c>
      <c r="N166" s="7">
        <f>IF($D166="","",0)</f>
      </c>
      <c r="O166" s="7">
        <f>IF($D166="","",IF(OR(L166=0,J166="",IFERROR(INDEX('Challan Master'!$D$4:$D$207,MATCH($B166,'Challan Master'!$S$4:$S$207,0)),"")="",IFERROR(INDEX('Challan Master'!$D$4:$D$207,MATCH($B166,'Challan Master'!$S$4:$S$207,0)),"")&lt;=0),0,IF(IFERROR(INDEX('Challan Master'!$D$4:$D$207,MATCH($B166,'Challan Master'!$S$4:$S$207,0)),"")&lt;=DATE(YEAR(J166),MONTH(J166)+1,7),0,ROUND(L166*0.015*((YEAR(IFERROR(INDEX('Challan Master'!$D$4:$D$207,MATCH($B166,'Challan Master'!$S$4:$S$207,0)),""))-YEAR(J166))*12+(MONTH(IFERROR(INDEX('Challan Master'!$D$4:$D$207,MATCH($B166,'Challan Master'!$S$4:$S$207,0)),""))-MONTH(J166))+1),0))))</f>
      </c>
      <c r="P166" s="7">
        <f>IF($D166="","",0)</f>
      </c>
      <c r="Q166" s="8"/>
      <c r="R166" s="8"/>
      <c r="S166" s="8"/>
      <c r="T166" s="8"/>
      <c r="U166" s="8"/>
      <c r="V166" s="7">
        <f>IF($B166="","",IFERROR(INDEX('Challan Master'!$AA$4:$AA$207,MATCH($B166,'Challan Master'!$S$4:$S$207,0)),""))</f>
      </c>
    </row>
    <row r="167" spans="1:22" x14ac:dyDescent="0.25">
      <c r="A167" s="7">
        <f>IF($D167="","",COUNTIF($D$4:$D167,"&lt;&gt;"))</f>
      </c>
      <c r="B167" s="8"/>
      <c r="C167" s="7">
        <f>IF($B167="","","BSR "&amp;IFERROR(INDEX('Challan Master'!$B$4:$B$207,MATCH($B167,'Challan Master'!$S$4:$S$207,0)),"")&amp;" | Serial "&amp;IFERROR(INDEX('Challan Master'!$C$4:$C$207,MATCH($B167,'Challan Master'!$S$4:$S$207,0)),"")&amp;" | Deposit "&amp;TEXT(IFERROR(INDEX('Challan Master'!$D$4:$D$207,MATCH($B167,'Challan Master'!$S$4:$S$207,0)),""),"dd-mm-yyyy")&amp;" | Minor Head "&amp;IFERROR(INDEX('Challan Master'!$E$4:$E$207,MATCH($B167,'Challan Master'!$S$4:$S$207,0)),"")&amp;" | Tax ₹"&amp;TEXT(IFERROR(INDEX('Challan Master'!$G$4:$G$207,MATCH($B167,'Challan Master'!$S$4:$S$207,0)),""),"#,##0")&amp;" | Section "&amp;IFERROR(INDEX('Challan Master'!$F$4:$F$207,MATCH($B167,'Challan Master'!$S$4:$S$207,0)),""))</f>
      </c>
      <c r="D167" s="8"/>
      <c r="E167" s="8"/>
      <c r="F167" s="7">
        <f>IF($D167="","",IF(AND(LEN(TRIM(UPPER(E167)))=10,CODE(MID(TRIM(UPPER(E167)),1,1))&gt;=65,CODE(MID(TRIM(UPPER(E167)),1,1))&lt;=90,CODE(MID(TRIM(UPPER(E167)),2,1))&gt;=65,CODE(MID(TRIM(UPPER(E167)),2,1))&lt;=90,CODE(MID(TRIM(UPPER(E167)),3,1))&gt;=65,CODE(MID(TRIM(UPPER(E167)),3,1))&lt;=90,CODE(MID(TRIM(UPPER(E167)),4,1))&gt;=65,CODE(MID(TRIM(UPPER(E167)),4,1))&lt;=90,CODE(MID(TRIM(UPPER(E167)),5,1))&gt;=65,CODE(MID(TRIM(UPPER(E167)),5,1))&lt;=90,CODE(MID(TRIM(UPPER(E167)),10,1))&gt;=65,CODE(MID(TRIM(UPPER(E167)),10,1))&lt;=90,CODE(MID(TRIM(UPPER(E167)),6,1))&gt;=48,CODE(MID(TRIM(UPPER(E167)),6,1))&lt;=57,CODE(MID(TRIM(UPPER(E167)),7,1))&gt;=48,CODE(MID(TRIM(UPPER(E167)),7,1))&lt;=57,CODE(MID(TRIM(UPPER(E167)),8,1))&gt;=48,CODE(MID(TRIM(UPPER(E167)),8,1))&lt;=57,CODE(MID(TRIM(UPPER(E167)),9,1))&gt;=48,CODE(MID(TRIM(UPPER(E167)),9,1))&lt;=57),"N","Y"))</f>
      </c>
      <c r="G167" s="7">
        <f>IF($D167="","",IF(LEN(E167)&lt;4,"",IF(UPPER(MID(E167,4,1))="P","Individual",IF(UPPER(MID(E167,4,1))="H","HUF",IF(UPPER(MID(E167,4,1))="C","Company",IF(UPPER(MID(E167,4,1))="F","Firm",IF(UPPER(MID(E167,4,1))="L","LLP",IF(UPPER(MID(E167,4,1))="T","Trust",IF(UPPER(MID(E167,4,1))="A","AOP","")))))))))</f>
      </c>
      <c r="H167" s="8"/>
      <c r="I167" s="7">
        <f>IF($D167="","",IF(H167="","",IF(F167="Y",SUMPRODUCT(('Rate Lookup'!$A$1:$A$37=H167)*'Rate Lookup'!$D$1:$D$37),IF(OR(G167="Individual",G167="HUF"),SUMPRODUCT(('Rate Lookup'!$A$1:$A$37=H167)*'Rate Lookup'!$B$1:$B$37),SUMPRODUCT(('Rate Lookup'!$A$1:$A$37=H167)*'Rate Lookup'!$C$1:$C$37)))))</f>
      </c>
      <c r="J167" s="8"/>
      <c r="K167" s="8"/>
      <c r="L167" s="7">
        <f>IF($D167="","",ROUND(K167*I167/100,0))</f>
      </c>
      <c r="M167" s="7">
        <f>IF($D167="","",0)</f>
      </c>
      <c r="N167" s="7">
        <f>IF($D167="","",0)</f>
      </c>
      <c r="O167" s="7">
        <f>IF($D167="","",IF(OR(L167=0,J167="",IFERROR(INDEX('Challan Master'!$D$4:$D$207,MATCH($B167,'Challan Master'!$S$4:$S$207,0)),"")="",IFERROR(INDEX('Challan Master'!$D$4:$D$207,MATCH($B167,'Challan Master'!$S$4:$S$207,0)),"")&lt;=0),0,IF(IFERROR(INDEX('Challan Master'!$D$4:$D$207,MATCH($B167,'Challan Master'!$S$4:$S$207,0)),"")&lt;=DATE(YEAR(J167),MONTH(J167)+1,7),0,ROUND(L167*0.015*((YEAR(IFERROR(INDEX('Challan Master'!$D$4:$D$207,MATCH($B167,'Challan Master'!$S$4:$S$207,0)),""))-YEAR(J167))*12+(MONTH(IFERROR(INDEX('Challan Master'!$D$4:$D$207,MATCH($B167,'Challan Master'!$S$4:$S$207,0)),""))-MONTH(J167))+1),0))))</f>
      </c>
      <c r="P167" s="7">
        <f>IF($D167="","",0)</f>
      </c>
      <c r="Q167" s="8"/>
      <c r="R167" s="8"/>
      <c r="S167" s="8"/>
      <c r="T167" s="8"/>
      <c r="U167" s="8"/>
      <c r="V167" s="7">
        <f>IF($B167="","",IFERROR(INDEX('Challan Master'!$AA$4:$AA$207,MATCH($B167,'Challan Master'!$S$4:$S$207,0)),""))</f>
      </c>
    </row>
    <row r="168" spans="1:22" x14ac:dyDescent="0.25">
      <c r="A168" s="7">
        <f>IF($D168="","",COUNTIF($D$4:$D168,"&lt;&gt;"))</f>
      </c>
      <c r="B168" s="8"/>
      <c r="C168" s="7">
        <f>IF($B168="","","BSR "&amp;IFERROR(INDEX('Challan Master'!$B$4:$B$207,MATCH($B168,'Challan Master'!$S$4:$S$207,0)),"")&amp;" | Serial "&amp;IFERROR(INDEX('Challan Master'!$C$4:$C$207,MATCH($B168,'Challan Master'!$S$4:$S$207,0)),"")&amp;" | Deposit "&amp;TEXT(IFERROR(INDEX('Challan Master'!$D$4:$D$207,MATCH($B168,'Challan Master'!$S$4:$S$207,0)),""),"dd-mm-yyyy")&amp;" | Minor Head "&amp;IFERROR(INDEX('Challan Master'!$E$4:$E$207,MATCH($B168,'Challan Master'!$S$4:$S$207,0)),"")&amp;" | Tax ₹"&amp;TEXT(IFERROR(INDEX('Challan Master'!$G$4:$G$207,MATCH($B168,'Challan Master'!$S$4:$S$207,0)),""),"#,##0")&amp;" | Section "&amp;IFERROR(INDEX('Challan Master'!$F$4:$F$207,MATCH($B168,'Challan Master'!$S$4:$S$207,0)),""))</f>
      </c>
      <c r="D168" s="8"/>
      <c r="E168" s="8"/>
      <c r="F168" s="7">
        <f>IF($D168="","",IF(AND(LEN(TRIM(UPPER(E168)))=10,CODE(MID(TRIM(UPPER(E168)),1,1))&gt;=65,CODE(MID(TRIM(UPPER(E168)),1,1))&lt;=90,CODE(MID(TRIM(UPPER(E168)),2,1))&gt;=65,CODE(MID(TRIM(UPPER(E168)),2,1))&lt;=90,CODE(MID(TRIM(UPPER(E168)),3,1))&gt;=65,CODE(MID(TRIM(UPPER(E168)),3,1))&lt;=90,CODE(MID(TRIM(UPPER(E168)),4,1))&gt;=65,CODE(MID(TRIM(UPPER(E168)),4,1))&lt;=90,CODE(MID(TRIM(UPPER(E168)),5,1))&gt;=65,CODE(MID(TRIM(UPPER(E168)),5,1))&lt;=90,CODE(MID(TRIM(UPPER(E168)),10,1))&gt;=65,CODE(MID(TRIM(UPPER(E168)),10,1))&lt;=90,CODE(MID(TRIM(UPPER(E168)),6,1))&gt;=48,CODE(MID(TRIM(UPPER(E168)),6,1))&lt;=57,CODE(MID(TRIM(UPPER(E168)),7,1))&gt;=48,CODE(MID(TRIM(UPPER(E168)),7,1))&lt;=57,CODE(MID(TRIM(UPPER(E168)),8,1))&gt;=48,CODE(MID(TRIM(UPPER(E168)),8,1))&lt;=57,CODE(MID(TRIM(UPPER(E168)),9,1))&gt;=48,CODE(MID(TRIM(UPPER(E168)),9,1))&lt;=57),"N","Y"))</f>
      </c>
      <c r="G168" s="7">
        <f>IF($D168="","",IF(LEN(E168)&lt;4,"",IF(UPPER(MID(E168,4,1))="P","Individual",IF(UPPER(MID(E168,4,1))="H","HUF",IF(UPPER(MID(E168,4,1))="C","Company",IF(UPPER(MID(E168,4,1))="F","Firm",IF(UPPER(MID(E168,4,1))="L","LLP",IF(UPPER(MID(E168,4,1))="T","Trust",IF(UPPER(MID(E168,4,1))="A","AOP","")))))))))</f>
      </c>
      <c r="H168" s="8"/>
      <c r="I168" s="7">
        <f>IF($D168="","",IF(H168="","",IF(F168="Y",SUMPRODUCT(('Rate Lookup'!$A$1:$A$37=H168)*'Rate Lookup'!$D$1:$D$37),IF(OR(G168="Individual",G168="HUF"),SUMPRODUCT(('Rate Lookup'!$A$1:$A$37=H168)*'Rate Lookup'!$B$1:$B$37),SUMPRODUCT(('Rate Lookup'!$A$1:$A$37=H168)*'Rate Lookup'!$C$1:$C$37)))))</f>
      </c>
      <c r="J168" s="8"/>
      <c r="K168" s="8"/>
      <c r="L168" s="7">
        <f>IF($D168="","",ROUND(K168*I168/100,0))</f>
      </c>
      <c r="M168" s="7">
        <f>IF($D168="","",0)</f>
      </c>
      <c r="N168" s="7">
        <f>IF($D168="","",0)</f>
      </c>
      <c r="O168" s="7">
        <f>IF($D168="","",IF(OR(L168=0,J168="",IFERROR(INDEX('Challan Master'!$D$4:$D$207,MATCH($B168,'Challan Master'!$S$4:$S$207,0)),"")="",IFERROR(INDEX('Challan Master'!$D$4:$D$207,MATCH($B168,'Challan Master'!$S$4:$S$207,0)),"")&lt;=0),0,IF(IFERROR(INDEX('Challan Master'!$D$4:$D$207,MATCH($B168,'Challan Master'!$S$4:$S$207,0)),"")&lt;=DATE(YEAR(J168),MONTH(J168)+1,7),0,ROUND(L168*0.015*((YEAR(IFERROR(INDEX('Challan Master'!$D$4:$D$207,MATCH($B168,'Challan Master'!$S$4:$S$207,0)),""))-YEAR(J168))*12+(MONTH(IFERROR(INDEX('Challan Master'!$D$4:$D$207,MATCH($B168,'Challan Master'!$S$4:$S$207,0)),""))-MONTH(J168))+1),0))))</f>
      </c>
      <c r="P168" s="7">
        <f>IF($D168="","",0)</f>
      </c>
      <c r="Q168" s="8"/>
      <c r="R168" s="8"/>
      <c r="S168" s="8"/>
      <c r="T168" s="8"/>
      <c r="U168" s="8"/>
      <c r="V168" s="7">
        <f>IF($B168="","",IFERROR(INDEX('Challan Master'!$AA$4:$AA$207,MATCH($B168,'Challan Master'!$S$4:$S$207,0)),""))</f>
      </c>
    </row>
    <row r="169" spans="1:22" x14ac:dyDescent="0.25">
      <c r="A169" s="7">
        <f>IF($D169="","",COUNTIF($D$4:$D169,"&lt;&gt;"))</f>
      </c>
      <c r="B169" s="8"/>
      <c r="C169" s="7">
        <f>IF($B169="","","BSR "&amp;IFERROR(INDEX('Challan Master'!$B$4:$B$207,MATCH($B169,'Challan Master'!$S$4:$S$207,0)),"")&amp;" | Serial "&amp;IFERROR(INDEX('Challan Master'!$C$4:$C$207,MATCH($B169,'Challan Master'!$S$4:$S$207,0)),"")&amp;" | Deposit "&amp;TEXT(IFERROR(INDEX('Challan Master'!$D$4:$D$207,MATCH($B169,'Challan Master'!$S$4:$S$207,0)),""),"dd-mm-yyyy")&amp;" | Minor Head "&amp;IFERROR(INDEX('Challan Master'!$E$4:$E$207,MATCH($B169,'Challan Master'!$S$4:$S$207,0)),"")&amp;" | Tax ₹"&amp;TEXT(IFERROR(INDEX('Challan Master'!$G$4:$G$207,MATCH($B169,'Challan Master'!$S$4:$S$207,0)),""),"#,##0")&amp;" | Section "&amp;IFERROR(INDEX('Challan Master'!$F$4:$F$207,MATCH($B169,'Challan Master'!$S$4:$S$207,0)),""))</f>
      </c>
      <c r="D169" s="8"/>
      <c r="E169" s="8"/>
      <c r="F169" s="7">
        <f>IF($D169="","",IF(AND(LEN(TRIM(UPPER(E169)))=10,CODE(MID(TRIM(UPPER(E169)),1,1))&gt;=65,CODE(MID(TRIM(UPPER(E169)),1,1))&lt;=90,CODE(MID(TRIM(UPPER(E169)),2,1))&gt;=65,CODE(MID(TRIM(UPPER(E169)),2,1))&lt;=90,CODE(MID(TRIM(UPPER(E169)),3,1))&gt;=65,CODE(MID(TRIM(UPPER(E169)),3,1))&lt;=90,CODE(MID(TRIM(UPPER(E169)),4,1))&gt;=65,CODE(MID(TRIM(UPPER(E169)),4,1))&lt;=90,CODE(MID(TRIM(UPPER(E169)),5,1))&gt;=65,CODE(MID(TRIM(UPPER(E169)),5,1))&lt;=90,CODE(MID(TRIM(UPPER(E169)),10,1))&gt;=65,CODE(MID(TRIM(UPPER(E169)),10,1))&lt;=90,CODE(MID(TRIM(UPPER(E169)),6,1))&gt;=48,CODE(MID(TRIM(UPPER(E169)),6,1))&lt;=57,CODE(MID(TRIM(UPPER(E169)),7,1))&gt;=48,CODE(MID(TRIM(UPPER(E169)),7,1))&lt;=57,CODE(MID(TRIM(UPPER(E169)),8,1))&gt;=48,CODE(MID(TRIM(UPPER(E169)),8,1))&lt;=57,CODE(MID(TRIM(UPPER(E169)),9,1))&gt;=48,CODE(MID(TRIM(UPPER(E169)),9,1))&lt;=57),"N","Y"))</f>
      </c>
      <c r="G169" s="7">
        <f>IF($D169="","",IF(LEN(E169)&lt;4,"",IF(UPPER(MID(E169,4,1))="P","Individual",IF(UPPER(MID(E169,4,1))="H","HUF",IF(UPPER(MID(E169,4,1))="C","Company",IF(UPPER(MID(E169,4,1))="F","Firm",IF(UPPER(MID(E169,4,1))="L","LLP",IF(UPPER(MID(E169,4,1))="T","Trust",IF(UPPER(MID(E169,4,1))="A","AOP","")))))))))</f>
      </c>
      <c r="H169" s="8"/>
      <c r="I169" s="7">
        <f>IF($D169="","",IF(H169="","",IF(F169="Y",SUMPRODUCT(('Rate Lookup'!$A$1:$A$37=H169)*'Rate Lookup'!$D$1:$D$37),IF(OR(G169="Individual",G169="HUF"),SUMPRODUCT(('Rate Lookup'!$A$1:$A$37=H169)*'Rate Lookup'!$B$1:$B$37),SUMPRODUCT(('Rate Lookup'!$A$1:$A$37=H169)*'Rate Lookup'!$C$1:$C$37)))))</f>
      </c>
      <c r="J169" s="8"/>
      <c r="K169" s="8"/>
      <c r="L169" s="7">
        <f>IF($D169="","",ROUND(K169*I169/100,0))</f>
      </c>
      <c r="M169" s="7">
        <f>IF($D169="","",0)</f>
      </c>
      <c r="N169" s="7">
        <f>IF($D169="","",0)</f>
      </c>
      <c r="O169" s="7">
        <f>IF($D169="","",IF(OR(L169=0,J169="",IFERROR(INDEX('Challan Master'!$D$4:$D$207,MATCH($B169,'Challan Master'!$S$4:$S$207,0)),"")="",IFERROR(INDEX('Challan Master'!$D$4:$D$207,MATCH($B169,'Challan Master'!$S$4:$S$207,0)),"")&lt;=0),0,IF(IFERROR(INDEX('Challan Master'!$D$4:$D$207,MATCH($B169,'Challan Master'!$S$4:$S$207,0)),"")&lt;=DATE(YEAR(J169),MONTH(J169)+1,7),0,ROUND(L169*0.015*((YEAR(IFERROR(INDEX('Challan Master'!$D$4:$D$207,MATCH($B169,'Challan Master'!$S$4:$S$207,0)),""))-YEAR(J169))*12+(MONTH(IFERROR(INDEX('Challan Master'!$D$4:$D$207,MATCH($B169,'Challan Master'!$S$4:$S$207,0)),""))-MONTH(J169))+1),0))))</f>
      </c>
      <c r="P169" s="7">
        <f>IF($D169="","",0)</f>
      </c>
      <c r="Q169" s="8"/>
      <c r="R169" s="8"/>
      <c r="S169" s="8"/>
      <c r="T169" s="8"/>
      <c r="U169" s="8"/>
      <c r="V169" s="7">
        <f>IF($B169="","",IFERROR(INDEX('Challan Master'!$AA$4:$AA$207,MATCH($B169,'Challan Master'!$S$4:$S$207,0)),""))</f>
      </c>
    </row>
    <row r="170" spans="1:22" x14ac:dyDescent="0.25">
      <c r="A170" s="7">
        <f>IF($D170="","",COUNTIF($D$4:$D170,"&lt;&gt;"))</f>
      </c>
      <c r="B170" s="8"/>
      <c r="C170" s="7">
        <f>IF($B170="","","BSR "&amp;IFERROR(INDEX('Challan Master'!$B$4:$B$207,MATCH($B170,'Challan Master'!$S$4:$S$207,0)),"")&amp;" | Serial "&amp;IFERROR(INDEX('Challan Master'!$C$4:$C$207,MATCH($B170,'Challan Master'!$S$4:$S$207,0)),"")&amp;" | Deposit "&amp;TEXT(IFERROR(INDEX('Challan Master'!$D$4:$D$207,MATCH($B170,'Challan Master'!$S$4:$S$207,0)),""),"dd-mm-yyyy")&amp;" | Minor Head "&amp;IFERROR(INDEX('Challan Master'!$E$4:$E$207,MATCH($B170,'Challan Master'!$S$4:$S$207,0)),"")&amp;" | Tax ₹"&amp;TEXT(IFERROR(INDEX('Challan Master'!$G$4:$G$207,MATCH($B170,'Challan Master'!$S$4:$S$207,0)),""),"#,##0")&amp;" | Section "&amp;IFERROR(INDEX('Challan Master'!$F$4:$F$207,MATCH($B170,'Challan Master'!$S$4:$S$207,0)),""))</f>
      </c>
      <c r="D170" s="8"/>
      <c r="E170" s="8"/>
      <c r="F170" s="7">
        <f>IF($D170="","",IF(AND(LEN(TRIM(UPPER(E170)))=10,CODE(MID(TRIM(UPPER(E170)),1,1))&gt;=65,CODE(MID(TRIM(UPPER(E170)),1,1))&lt;=90,CODE(MID(TRIM(UPPER(E170)),2,1))&gt;=65,CODE(MID(TRIM(UPPER(E170)),2,1))&lt;=90,CODE(MID(TRIM(UPPER(E170)),3,1))&gt;=65,CODE(MID(TRIM(UPPER(E170)),3,1))&lt;=90,CODE(MID(TRIM(UPPER(E170)),4,1))&gt;=65,CODE(MID(TRIM(UPPER(E170)),4,1))&lt;=90,CODE(MID(TRIM(UPPER(E170)),5,1))&gt;=65,CODE(MID(TRIM(UPPER(E170)),5,1))&lt;=90,CODE(MID(TRIM(UPPER(E170)),10,1))&gt;=65,CODE(MID(TRIM(UPPER(E170)),10,1))&lt;=90,CODE(MID(TRIM(UPPER(E170)),6,1))&gt;=48,CODE(MID(TRIM(UPPER(E170)),6,1))&lt;=57,CODE(MID(TRIM(UPPER(E170)),7,1))&gt;=48,CODE(MID(TRIM(UPPER(E170)),7,1))&lt;=57,CODE(MID(TRIM(UPPER(E170)),8,1))&gt;=48,CODE(MID(TRIM(UPPER(E170)),8,1))&lt;=57,CODE(MID(TRIM(UPPER(E170)),9,1))&gt;=48,CODE(MID(TRIM(UPPER(E170)),9,1))&lt;=57),"N","Y"))</f>
      </c>
      <c r="G170" s="7">
        <f>IF($D170="","",IF(LEN(E170)&lt;4,"",IF(UPPER(MID(E170,4,1))="P","Individual",IF(UPPER(MID(E170,4,1))="H","HUF",IF(UPPER(MID(E170,4,1))="C","Company",IF(UPPER(MID(E170,4,1))="F","Firm",IF(UPPER(MID(E170,4,1))="L","LLP",IF(UPPER(MID(E170,4,1))="T","Trust",IF(UPPER(MID(E170,4,1))="A","AOP","")))))))))</f>
      </c>
      <c r="H170" s="8"/>
      <c r="I170" s="7">
        <f>IF($D170="","",IF(H170="","",IF(F170="Y",SUMPRODUCT(('Rate Lookup'!$A$1:$A$37=H170)*'Rate Lookup'!$D$1:$D$37),IF(OR(G170="Individual",G170="HUF"),SUMPRODUCT(('Rate Lookup'!$A$1:$A$37=H170)*'Rate Lookup'!$B$1:$B$37),SUMPRODUCT(('Rate Lookup'!$A$1:$A$37=H170)*'Rate Lookup'!$C$1:$C$37)))))</f>
      </c>
      <c r="J170" s="8"/>
      <c r="K170" s="8"/>
      <c r="L170" s="7">
        <f>IF($D170="","",ROUND(K170*I170/100,0))</f>
      </c>
      <c r="M170" s="7">
        <f>IF($D170="","",0)</f>
      </c>
      <c r="N170" s="7">
        <f>IF($D170="","",0)</f>
      </c>
      <c r="O170" s="7">
        <f>IF($D170="","",IF(OR(L170=0,J170="",IFERROR(INDEX('Challan Master'!$D$4:$D$207,MATCH($B170,'Challan Master'!$S$4:$S$207,0)),"")="",IFERROR(INDEX('Challan Master'!$D$4:$D$207,MATCH($B170,'Challan Master'!$S$4:$S$207,0)),"")&lt;=0),0,IF(IFERROR(INDEX('Challan Master'!$D$4:$D$207,MATCH($B170,'Challan Master'!$S$4:$S$207,0)),"")&lt;=DATE(YEAR(J170),MONTH(J170)+1,7),0,ROUND(L170*0.015*((YEAR(IFERROR(INDEX('Challan Master'!$D$4:$D$207,MATCH($B170,'Challan Master'!$S$4:$S$207,0)),""))-YEAR(J170))*12+(MONTH(IFERROR(INDEX('Challan Master'!$D$4:$D$207,MATCH($B170,'Challan Master'!$S$4:$S$207,0)),""))-MONTH(J170))+1),0))))</f>
      </c>
      <c r="P170" s="7">
        <f>IF($D170="","",0)</f>
      </c>
      <c r="Q170" s="8"/>
      <c r="R170" s="8"/>
      <c r="S170" s="8"/>
      <c r="T170" s="8"/>
      <c r="U170" s="8"/>
      <c r="V170" s="7">
        <f>IF($B170="","",IFERROR(INDEX('Challan Master'!$AA$4:$AA$207,MATCH($B170,'Challan Master'!$S$4:$S$207,0)),""))</f>
      </c>
    </row>
    <row r="171" spans="1:22" x14ac:dyDescent="0.25">
      <c r="A171" s="7">
        <f>IF($D171="","",COUNTIF($D$4:$D171,"&lt;&gt;"))</f>
      </c>
      <c r="B171" s="8"/>
      <c r="C171" s="7">
        <f>IF($B171="","","BSR "&amp;IFERROR(INDEX('Challan Master'!$B$4:$B$207,MATCH($B171,'Challan Master'!$S$4:$S$207,0)),"")&amp;" | Serial "&amp;IFERROR(INDEX('Challan Master'!$C$4:$C$207,MATCH($B171,'Challan Master'!$S$4:$S$207,0)),"")&amp;" | Deposit "&amp;TEXT(IFERROR(INDEX('Challan Master'!$D$4:$D$207,MATCH($B171,'Challan Master'!$S$4:$S$207,0)),""),"dd-mm-yyyy")&amp;" | Minor Head "&amp;IFERROR(INDEX('Challan Master'!$E$4:$E$207,MATCH($B171,'Challan Master'!$S$4:$S$207,0)),"")&amp;" | Tax ₹"&amp;TEXT(IFERROR(INDEX('Challan Master'!$G$4:$G$207,MATCH($B171,'Challan Master'!$S$4:$S$207,0)),""),"#,##0")&amp;" | Section "&amp;IFERROR(INDEX('Challan Master'!$F$4:$F$207,MATCH($B171,'Challan Master'!$S$4:$S$207,0)),""))</f>
      </c>
      <c r="D171" s="8"/>
      <c r="E171" s="8"/>
      <c r="F171" s="7">
        <f>IF($D171="","",IF(AND(LEN(TRIM(UPPER(E171)))=10,CODE(MID(TRIM(UPPER(E171)),1,1))&gt;=65,CODE(MID(TRIM(UPPER(E171)),1,1))&lt;=90,CODE(MID(TRIM(UPPER(E171)),2,1))&gt;=65,CODE(MID(TRIM(UPPER(E171)),2,1))&lt;=90,CODE(MID(TRIM(UPPER(E171)),3,1))&gt;=65,CODE(MID(TRIM(UPPER(E171)),3,1))&lt;=90,CODE(MID(TRIM(UPPER(E171)),4,1))&gt;=65,CODE(MID(TRIM(UPPER(E171)),4,1))&lt;=90,CODE(MID(TRIM(UPPER(E171)),5,1))&gt;=65,CODE(MID(TRIM(UPPER(E171)),5,1))&lt;=90,CODE(MID(TRIM(UPPER(E171)),10,1))&gt;=65,CODE(MID(TRIM(UPPER(E171)),10,1))&lt;=90,CODE(MID(TRIM(UPPER(E171)),6,1))&gt;=48,CODE(MID(TRIM(UPPER(E171)),6,1))&lt;=57,CODE(MID(TRIM(UPPER(E171)),7,1))&gt;=48,CODE(MID(TRIM(UPPER(E171)),7,1))&lt;=57,CODE(MID(TRIM(UPPER(E171)),8,1))&gt;=48,CODE(MID(TRIM(UPPER(E171)),8,1))&lt;=57,CODE(MID(TRIM(UPPER(E171)),9,1))&gt;=48,CODE(MID(TRIM(UPPER(E171)),9,1))&lt;=57),"N","Y"))</f>
      </c>
      <c r="G171" s="7">
        <f>IF($D171="","",IF(LEN(E171)&lt;4,"",IF(UPPER(MID(E171,4,1))="P","Individual",IF(UPPER(MID(E171,4,1))="H","HUF",IF(UPPER(MID(E171,4,1))="C","Company",IF(UPPER(MID(E171,4,1))="F","Firm",IF(UPPER(MID(E171,4,1))="L","LLP",IF(UPPER(MID(E171,4,1))="T","Trust",IF(UPPER(MID(E171,4,1))="A","AOP","")))))))))</f>
      </c>
      <c r="H171" s="8"/>
      <c r="I171" s="7">
        <f>IF($D171="","",IF(H171="","",IF(F171="Y",SUMPRODUCT(('Rate Lookup'!$A$1:$A$37=H171)*'Rate Lookup'!$D$1:$D$37),IF(OR(G171="Individual",G171="HUF"),SUMPRODUCT(('Rate Lookup'!$A$1:$A$37=H171)*'Rate Lookup'!$B$1:$B$37),SUMPRODUCT(('Rate Lookup'!$A$1:$A$37=H171)*'Rate Lookup'!$C$1:$C$37)))))</f>
      </c>
      <c r="J171" s="8"/>
      <c r="K171" s="8"/>
      <c r="L171" s="7">
        <f>IF($D171="","",ROUND(K171*I171/100,0))</f>
      </c>
      <c r="M171" s="7">
        <f>IF($D171="","",0)</f>
      </c>
      <c r="N171" s="7">
        <f>IF($D171="","",0)</f>
      </c>
      <c r="O171" s="7">
        <f>IF($D171="","",IF(OR(L171=0,J171="",IFERROR(INDEX('Challan Master'!$D$4:$D$207,MATCH($B171,'Challan Master'!$S$4:$S$207,0)),"")="",IFERROR(INDEX('Challan Master'!$D$4:$D$207,MATCH($B171,'Challan Master'!$S$4:$S$207,0)),"")&lt;=0),0,IF(IFERROR(INDEX('Challan Master'!$D$4:$D$207,MATCH($B171,'Challan Master'!$S$4:$S$207,0)),"")&lt;=DATE(YEAR(J171),MONTH(J171)+1,7),0,ROUND(L171*0.015*((YEAR(IFERROR(INDEX('Challan Master'!$D$4:$D$207,MATCH($B171,'Challan Master'!$S$4:$S$207,0)),""))-YEAR(J171))*12+(MONTH(IFERROR(INDEX('Challan Master'!$D$4:$D$207,MATCH($B171,'Challan Master'!$S$4:$S$207,0)),""))-MONTH(J171))+1),0))))</f>
      </c>
      <c r="P171" s="7">
        <f>IF($D171="","",0)</f>
      </c>
      <c r="Q171" s="8"/>
      <c r="R171" s="8"/>
      <c r="S171" s="8"/>
      <c r="T171" s="8"/>
      <c r="U171" s="8"/>
      <c r="V171" s="7">
        <f>IF($B171="","",IFERROR(INDEX('Challan Master'!$AA$4:$AA$207,MATCH($B171,'Challan Master'!$S$4:$S$207,0)),""))</f>
      </c>
    </row>
    <row r="172" spans="1:22" x14ac:dyDescent="0.25">
      <c r="A172" s="7">
        <f>IF($D172="","",COUNTIF($D$4:$D172,"&lt;&gt;"))</f>
      </c>
      <c r="B172" s="8"/>
      <c r="C172" s="7">
        <f>IF($B172="","","BSR "&amp;IFERROR(INDEX('Challan Master'!$B$4:$B$207,MATCH($B172,'Challan Master'!$S$4:$S$207,0)),"")&amp;" | Serial "&amp;IFERROR(INDEX('Challan Master'!$C$4:$C$207,MATCH($B172,'Challan Master'!$S$4:$S$207,0)),"")&amp;" | Deposit "&amp;TEXT(IFERROR(INDEX('Challan Master'!$D$4:$D$207,MATCH($B172,'Challan Master'!$S$4:$S$207,0)),""),"dd-mm-yyyy")&amp;" | Minor Head "&amp;IFERROR(INDEX('Challan Master'!$E$4:$E$207,MATCH($B172,'Challan Master'!$S$4:$S$207,0)),"")&amp;" | Tax ₹"&amp;TEXT(IFERROR(INDEX('Challan Master'!$G$4:$G$207,MATCH($B172,'Challan Master'!$S$4:$S$207,0)),""),"#,##0")&amp;" | Section "&amp;IFERROR(INDEX('Challan Master'!$F$4:$F$207,MATCH($B172,'Challan Master'!$S$4:$S$207,0)),""))</f>
      </c>
      <c r="D172" s="8"/>
      <c r="E172" s="8"/>
      <c r="F172" s="7">
        <f>IF($D172="","",IF(AND(LEN(TRIM(UPPER(E172)))=10,CODE(MID(TRIM(UPPER(E172)),1,1))&gt;=65,CODE(MID(TRIM(UPPER(E172)),1,1))&lt;=90,CODE(MID(TRIM(UPPER(E172)),2,1))&gt;=65,CODE(MID(TRIM(UPPER(E172)),2,1))&lt;=90,CODE(MID(TRIM(UPPER(E172)),3,1))&gt;=65,CODE(MID(TRIM(UPPER(E172)),3,1))&lt;=90,CODE(MID(TRIM(UPPER(E172)),4,1))&gt;=65,CODE(MID(TRIM(UPPER(E172)),4,1))&lt;=90,CODE(MID(TRIM(UPPER(E172)),5,1))&gt;=65,CODE(MID(TRIM(UPPER(E172)),5,1))&lt;=90,CODE(MID(TRIM(UPPER(E172)),10,1))&gt;=65,CODE(MID(TRIM(UPPER(E172)),10,1))&lt;=90,CODE(MID(TRIM(UPPER(E172)),6,1))&gt;=48,CODE(MID(TRIM(UPPER(E172)),6,1))&lt;=57,CODE(MID(TRIM(UPPER(E172)),7,1))&gt;=48,CODE(MID(TRIM(UPPER(E172)),7,1))&lt;=57,CODE(MID(TRIM(UPPER(E172)),8,1))&gt;=48,CODE(MID(TRIM(UPPER(E172)),8,1))&lt;=57,CODE(MID(TRIM(UPPER(E172)),9,1))&gt;=48,CODE(MID(TRIM(UPPER(E172)),9,1))&lt;=57),"N","Y"))</f>
      </c>
      <c r="G172" s="7">
        <f>IF($D172="","",IF(LEN(E172)&lt;4,"",IF(UPPER(MID(E172,4,1))="P","Individual",IF(UPPER(MID(E172,4,1))="H","HUF",IF(UPPER(MID(E172,4,1))="C","Company",IF(UPPER(MID(E172,4,1))="F","Firm",IF(UPPER(MID(E172,4,1))="L","LLP",IF(UPPER(MID(E172,4,1))="T","Trust",IF(UPPER(MID(E172,4,1))="A","AOP","")))))))))</f>
      </c>
      <c r="H172" s="8"/>
      <c r="I172" s="7">
        <f>IF($D172="","",IF(H172="","",IF(F172="Y",SUMPRODUCT(('Rate Lookup'!$A$1:$A$37=H172)*'Rate Lookup'!$D$1:$D$37),IF(OR(G172="Individual",G172="HUF"),SUMPRODUCT(('Rate Lookup'!$A$1:$A$37=H172)*'Rate Lookup'!$B$1:$B$37),SUMPRODUCT(('Rate Lookup'!$A$1:$A$37=H172)*'Rate Lookup'!$C$1:$C$37)))))</f>
      </c>
      <c r="J172" s="8"/>
      <c r="K172" s="8"/>
      <c r="L172" s="7">
        <f>IF($D172="","",ROUND(K172*I172/100,0))</f>
      </c>
      <c r="M172" s="7">
        <f>IF($D172="","",0)</f>
      </c>
      <c r="N172" s="7">
        <f>IF($D172="","",0)</f>
      </c>
      <c r="O172" s="7">
        <f>IF($D172="","",IF(OR(L172=0,J172="",IFERROR(INDEX('Challan Master'!$D$4:$D$207,MATCH($B172,'Challan Master'!$S$4:$S$207,0)),"")="",IFERROR(INDEX('Challan Master'!$D$4:$D$207,MATCH($B172,'Challan Master'!$S$4:$S$207,0)),"")&lt;=0),0,IF(IFERROR(INDEX('Challan Master'!$D$4:$D$207,MATCH($B172,'Challan Master'!$S$4:$S$207,0)),"")&lt;=DATE(YEAR(J172),MONTH(J172)+1,7),0,ROUND(L172*0.015*((YEAR(IFERROR(INDEX('Challan Master'!$D$4:$D$207,MATCH($B172,'Challan Master'!$S$4:$S$207,0)),""))-YEAR(J172))*12+(MONTH(IFERROR(INDEX('Challan Master'!$D$4:$D$207,MATCH($B172,'Challan Master'!$S$4:$S$207,0)),""))-MONTH(J172))+1),0))))</f>
      </c>
      <c r="P172" s="7">
        <f>IF($D172="","",0)</f>
      </c>
      <c r="Q172" s="8"/>
      <c r="R172" s="8"/>
      <c r="S172" s="8"/>
      <c r="T172" s="8"/>
      <c r="U172" s="8"/>
      <c r="V172" s="7">
        <f>IF($B172="","",IFERROR(INDEX('Challan Master'!$AA$4:$AA$207,MATCH($B172,'Challan Master'!$S$4:$S$207,0)),""))</f>
      </c>
    </row>
    <row r="173" spans="1:22" x14ac:dyDescent="0.25">
      <c r="A173" s="7">
        <f>IF($D173="","",COUNTIF($D$4:$D173,"&lt;&gt;"))</f>
      </c>
      <c r="B173" s="8"/>
      <c r="C173" s="7">
        <f>IF($B173="","","BSR "&amp;IFERROR(INDEX('Challan Master'!$B$4:$B$207,MATCH($B173,'Challan Master'!$S$4:$S$207,0)),"")&amp;" | Serial "&amp;IFERROR(INDEX('Challan Master'!$C$4:$C$207,MATCH($B173,'Challan Master'!$S$4:$S$207,0)),"")&amp;" | Deposit "&amp;TEXT(IFERROR(INDEX('Challan Master'!$D$4:$D$207,MATCH($B173,'Challan Master'!$S$4:$S$207,0)),""),"dd-mm-yyyy")&amp;" | Minor Head "&amp;IFERROR(INDEX('Challan Master'!$E$4:$E$207,MATCH($B173,'Challan Master'!$S$4:$S$207,0)),"")&amp;" | Tax ₹"&amp;TEXT(IFERROR(INDEX('Challan Master'!$G$4:$G$207,MATCH($B173,'Challan Master'!$S$4:$S$207,0)),""),"#,##0")&amp;" | Section "&amp;IFERROR(INDEX('Challan Master'!$F$4:$F$207,MATCH($B173,'Challan Master'!$S$4:$S$207,0)),""))</f>
      </c>
      <c r="D173" s="8"/>
      <c r="E173" s="8"/>
      <c r="F173" s="7">
        <f>IF($D173="","",IF(AND(LEN(TRIM(UPPER(E173)))=10,CODE(MID(TRIM(UPPER(E173)),1,1))&gt;=65,CODE(MID(TRIM(UPPER(E173)),1,1))&lt;=90,CODE(MID(TRIM(UPPER(E173)),2,1))&gt;=65,CODE(MID(TRIM(UPPER(E173)),2,1))&lt;=90,CODE(MID(TRIM(UPPER(E173)),3,1))&gt;=65,CODE(MID(TRIM(UPPER(E173)),3,1))&lt;=90,CODE(MID(TRIM(UPPER(E173)),4,1))&gt;=65,CODE(MID(TRIM(UPPER(E173)),4,1))&lt;=90,CODE(MID(TRIM(UPPER(E173)),5,1))&gt;=65,CODE(MID(TRIM(UPPER(E173)),5,1))&lt;=90,CODE(MID(TRIM(UPPER(E173)),10,1))&gt;=65,CODE(MID(TRIM(UPPER(E173)),10,1))&lt;=90,CODE(MID(TRIM(UPPER(E173)),6,1))&gt;=48,CODE(MID(TRIM(UPPER(E173)),6,1))&lt;=57,CODE(MID(TRIM(UPPER(E173)),7,1))&gt;=48,CODE(MID(TRIM(UPPER(E173)),7,1))&lt;=57,CODE(MID(TRIM(UPPER(E173)),8,1))&gt;=48,CODE(MID(TRIM(UPPER(E173)),8,1))&lt;=57,CODE(MID(TRIM(UPPER(E173)),9,1))&gt;=48,CODE(MID(TRIM(UPPER(E173)),9,1))&lt;=57),"N","Y"))</f>
      </c>
      <c r="G173" s="7">
        <f>IF($D173="","",IF(LEN(E173)&lt;4,"",IF(UPPER(MID(E173,4,1))="P","Individual",IF(UPPER(MID(E173,4,1))="H","HUF",IF(UPPER(MID(E173,4,1))="C","Company",IF(UPPER(MID(E173,4,1))="F","Firm",IF(UPPER(MID(E173,4,1))="L","LLP",IF(UPPER(MID(E173,4,1))="T","Trust",IF(UPPER(MID(E173,4,1))="A","AOP","")))))))))</f>
      </c>
      <c r="H173" s="8"/>
      <c r="I173" s="7">
        <f>IF($D173="","",IF(H173="","",IF(F173="Y",SUMPRODUCT(('Rate Lookup'!$A$1:$A$37=H173)*'Rate Lookup'!$D$1:$D$37),IF(OR(G173="Individual",G173="HUF"),SUMPRODUCT(('Rate Lookup'!$A$1:$A$37=H173)*'Rate Lookup'!$B$1:$B$37),SUMPRODUCT(('Rate Lookup'!$A$1:$A$37=H173)*'Rate Lookup'!$C$1:$C$37)))))</f>
      </c>
      <c r="J173" s="8"/>
      <c r="K173" s="8"/>
      <c r="L173" s="7">
        <f>IF($D173="","",ROUND(K173*I173/100,0))</f>
      </c>
      <c r="M173" s="7">
        <f>IF($D173="","",0)</f>
      </c>
      <c r="N173" s="7">
        <f>IF($D173="","",0)</f>
      </c>
      <c r="O173" s="7">
        <f>IF($D173="","",IF(OR(L173=0,J173="",IFERROR(INDEX('Challan Master'!$D$4:$D$207,MATCH($B173,'Challan Master'!$S$4:$S$207,0)),"")="",IFERROR(INDEX('Challan Master'!$D$4:$D$207,MATCH($B173,'Challan Master'!$S$4:$S$207,0)),"")&lt;=0),0,IF(IFERROR(INDEX('Challan Master'!$D$4:$D$207,MATCH($B173,'Challan Master'!$S$4:$S$207,0)),"")&lt;=DATE(YEAR(J173),MONTH(J173)+1,7),0,ROUND(L173*0.015*((YEAR(IFERROR(INDEX('Challan Master'!$D$4:$D$207,MATCH($B173,'Challan Master'!$S$4:$S$207,0)),""))-YEAR(J173))*12+(MONTH(IFERROR(INDEX('Challan Master'!$D$4:$D$207,MATCH($B173,'Challan Master'!$S$4:$S$207,0)),""))-MONTH(J173))+1),0))))</f>
      </c>
      <c r="P173" s="7">
        <f>IF($D173="","",0)</f>
      </c>
      <c r="Q173" s="8"/>
      <c r="R173" s="8"/>
      <c r="S173" s="8"/>
      <c r="T173" s="8"/>
      <c r="U173" s="8"/>
      <c r="V173" s="7">
        <f>IF($B173="","",IFERROR(INDEX('Challan Master'!$AA$4:$AA$207,MATCH($B173,'Challan Master'!$S$4:$S$207,0)),""))</f>
      </c>
    </row>
    <row r="174" spans="1:22" x14ac:dyDescent="0.25">
      <c r="A174" s="7">
        <f>IF($D174="","",COUNTIF($D$4:$D174,"&lt;&gt;"))</f>
      </c>
      <c r="B174" s="8"/>
      <c r="C174" s="7">
        <f>IF($B174="","","BSR "&amp;IFERROR(INDEX('Challan Master'!$B$4:$B$207,MATCH($B174,'Challan Master'!$S$4:$S$207,0)),"")&amp;" | Serial "&amp;IFERROR(INDEX('Challan Master'!$C$4:$C$207,MATCH($B174,'Challan Master'!$S$4:$S$207,0)),"")&amp;" | Deposit "&amp;TEXT(IFERROR(INDEX('Challan Master'!$D$4:$D$207,MATCH($B174,'Challan Master'!$S$4:$S$207,0)),""),"dd-mm-yyyy")&amp;" | Minor Head "&amp;IFERROR(INDEX('Challan Master'!$E$4:$E$207,MATCH($B174,'Challan Master'!$S$4:$S$207,0)),"")&amp;" | Tax ₹"&amp;TEXT(IFERROR(INDEX('Challan Master'!$G$4:$G$207,MATCH($B174,'Challan Master'!$S$4:$S$207,0)),""),"#,##0")&amp;" | Section "&amp;IFERROR(INDEX('Challan Master'!$F$4:$F$207,MATCH($B174,'Challan Master'!$S$4:$S$207,0)),""))</f>
      </c>
      <c r="D174" s="8"/>
      <c r="E174" s="8"/>
      <c r="F174" s="7">
        <f>IF($D174="","",IF(AND(LEN(TRIM(UPPER(E174)))=10,CODE(MID(TRIM(UPPER(E174)),1,1))&gt;=65,CODE(MID(TRIM(UPPER(E174)),1,1))&lt;=90,CODE(MID(TRIM(UPPER(E174)),2,1))&gt;=65,CODE(MID(TRIM(UPPER(E174)),2,1))&lt;=90,CODE(MID(TRIM(UPPER(E174)),3,1))&gt;=65,CODE(MID(TRIM(UPPER(E174)),3,1))&lt;=90,CODE(MID(TRIM(UPPER(E174)),4,1))&gt;=65,CODE(MID(TRIM(UPPER(E174)),4,1))&lt;=90,CODE(MID(TRIM(UPPER(E174)),5,1))&gt;=65,CODE(MID(TRIM(UPPER(E174)),5,1))&lt;=90,CODE(MID(TRIM(UPPER(E174)),10,1))&gt;=65,CODE(MID(TRIM(UPPER(E174)),10,1))&lt;=90,CODE(MID(TRIM(UPPER(E174)),6,1))&gt;=48,CODE(MID(TRIM(UPPER(E174)),6,1))&lt;=57,CODE(MID(TRIM(UPPER(E174)),7,1))&gt;=48,CODE(MID(TRIM(UPPER(E174)),7,1))&lt;=57,CODE(MID(TRIM(UPPER(E174)),8,1))&gt;=48,CODE(MID(TRIM(UPPER(E174)),8,1))&lt;=57,CODE(MID(TRIM(UPPER(E174)),9,1))&gt;=48,CODE(MID(TRIM(UPPER(E174)),9,1))&lt;=57),"N","Y"))</f>
      </c>
      <c r="G174" s="7">
        <f>IF($D174="","",IF(LEN(E174)&lt;4,"",IF(UPPER(MID(E174,4,1))="P","Individual",IF(UPPER(MID(E174,4,1))="H","HUF",IF(UPPER(MID(E174,4,1))="C","Company",IF(UPPER(MID(E174,4,1))="F","Firm",IF(UPPER(MID(E174,4,1))="L","LLP",IF(UPPER(MID(E174,4,1))="T","Trust",IF(UPPER(MID(E174,4,1))="A","AOP","")))))))))</f>
      </c>
      <c r="H174" s="8"/>
      <c r="I174" s="7">
        <f>IF($D174="","",IF(H174="","",IF(F174="Y",SUMPRODUCT(('Rate Lookup'!$A$1:$A$37=H174)*'Rate Lookup'!$D$1:$D$37),IF(OR(G174="Individual",G174="HUF"),SUMPRODUCT(('Rate Lookup'!$A$1:$A$37=H174)*'Rate Lookup'!$B$1:$B$37),SUMPRODUCT(('Rate Lookup'!$A$1:$A$37=H174)*'Rate Lookup'!$C$1:$C$37)))))</f>
      </c>
      <c r="J174" s="8"/>
      <c r="K174" s="8"/>
      <c r="L174" s="7">
        <f>IF($D174="","",ROUND(K174*I174/100,0))</f>
      </c>
      <c r="M174" s="7">
        <f>IF($D174="","",0)</f>
      </c>
      <c r="N174" s="7">
        <f>IF($D174="","",0)</f>
      </c>
      <c r="O174" s="7">
        <f>IF($D174="","",IF(OR(L174=0,J174="",IFERROR(INDEX('Challan Master'!$D$4:$D$207,MATCH($B174,'Challan Master'!$S$4:$S$207,0)),"")="",IFERROR(INDEX('Challan Master'!$D$4:$D$207,MATCH($B174,'Challan Master'!$S$4:$S$207,0)),"")&lt;=0),0,IF(IFERROR(INDEX('Challan Master'!$D$4:$D$207,MATCH($B174,'Challan Master'!$S$4:$S$207,0)),"")&lt;=DATE(YEAR(J174),MONTH(J174)+1,7),0,ROUND(L174*0.015*((YEAR(IFERROR(INDEX('Challan Master'!$D$4:$D$207,MATCH($B174,'Challan Master'!$S$4:$S$207,0)),""))-YEAR(J174))*12+(MONTH(IFERROR(INDEX('Challan Master'!$D$4:$D$207,MATCH($B174,'Challan Master'!$S$4:$S$207,0)),""))-MONTH(J174))+1),0))))</f>
      </c>
      <c r="P174" s="7">
        <f>IF($D174="","",0)</f>
      </c>
      <c r="Q174" s="8"/>
      <c r="R174" s="8"/>
      <c r="S174" s="8"/>
      <c r="T174" s="8"/>
      <c r="U174" s="8"/>
      <c r="V174" s="7">
        <f>IF($B174="","",IFERROR(INDEX('Challan Master'!$AA$4:$AA$207,MATCH($B174,'Challan Master'!$S$4:$S$207,0)),""))</f>
      </c>
    </row>
    <row r="175" spans="1:22" x14ac:dyDescent="0.25">
      <c r="A175" s="7">
        <f>IF($D175="","",COUNTIF($D$4:$D175,"&lt;&gt;"))</f>
      </c>
      <c r="B175" s="8"/>
      <c r="C175" s="7">
        <f>IF($B175="","","BSR "&amp;IFERROR(INDEX('Challan Master'!$B$4:$B$207,MATCH($B175,'Challan Master'!$S$4:$S$207,0)),"")&amp;" | Serial "&amp;IFERROR(INDEX('Challan Master'!$C$4:$C$207,MATCH($B175,'Challan Master'!$S$4:$S$207,0)),"")&amp;" | Deposit "&amp;TEXT(IFERROR(INDEX('Challan Master'!$D$4:$D$207,MATCH($B175,'Challan Master'!$S$4:$S$207,0)),""),"dd-mm-yyyy")&amp;" | Minor Head "&amp;IFERROR(INDEX('Challan Master'!$E$4:$E$207,MATCH($B175,'Challan Master'!$S$4:$S$207,0)),"")&amp;" | Tax ₹"&amp;TEXT(IFERROR(INDEX('Challan Master'!$G$4:$G$207,MATCH($B175,'Challan Master'!$S$4:$S$207,0)),""),"#,##0")&amp;" | Section "&amp;IFERROR(INDEX('Challan Master'!$F$4:$F$207,MATCH($B175,'Challan Master'!$S$4:$S$207,0)),""))</f>
      </c>
      <c r="D175" s="8"/>
      <c r="E175" s="8"/>
      <c r="F175" s="7">
        <f>IF($D175="","",IF(AND(LEN(TRIM(UPPER(E175)))=10,CODE(MID(TRIM(UPPER(E175)),1,1))&gt;=65,CODE(MID(TRIM(UPPER(E175)),1,1))&lt;=90,CODE(MID(TRIM(UPPER(E175)),2,1))&gt;=65,CODE(MID(TRIM(UPPER(E175)),2,1))&lt;=90,CODE(MID(TRIM(UPPER(E175)),3,1))&gt;=65,CODE(MID(TRIM(UPPER(E175)),3,1))&lt;=90,CODE(MID(TRIM(UPPER(E175)),4,1))&gt;=65,CODE(MID(TRIM(UPPER(E175)),4,1))&lt;=90,CODE(MID(TRIM(UPPER(E175)),5,1))&gt;=65,CODE(MID(TRIM(UPPER(E175)),5,1))&lt;=90,CODE(MID(TRIM(UPPER(E175)),10,1))&gt;=65,CODE(MID(TRIM(UPPER(E175)),10,1))&lt;=90,CODE(MID(TRIM(UPPER(E175)),6,1))&gt;=48,CODE(MID(TRIM(UPPER(E175)),6,1))&lt;=57,CODE(MID(TRIM(UPPER(E175)),7,1))&gt;=48,CODE(MID(TRIM(UPPER(E175)),7,1))&lt;=57,CODE(MID(TRIM(UPPER(E175)),8,1))&gt;=48,CODE(MID(TRIM(UPPER(E175)),8,1))&lt;=57,CODE(MID(TRIM(UPPER(E175)),9,1))&gt;=48,CODE(MID(TRIM(UPPER(E175)),9,1))&lt;=57),"N","Y"))</f>
      </c>
      <c r="G175" s="7">
        <f>IF($D175="","",IF(LEN(E175)&lt;4,"",IF(UPPER(MID(E175,4,1))="P","Individual",IF(UPPER(MID(E175,4,1))="H","HUF",IF(UPPER(MID(E175,4,1))="C","Company",IF(UPPER(MID(E175,4,1))="F","Firm",IF(UPPER(MID(E175,4,1))="L","LLP",IF(UPPER(MID(E175,4,1))="T","Trust",IF(UPPER(MID(E175,4,1))="A","AOP","")))))))))</f>
      </c>
      <c r="H175" s="8"/>
      <c r="I175" s="7">
        <f>IF($D175="","",IF(H175="","",IF(F175="Y",SUMPRODUCT(('Rate Lookup'!$A$1:$A$37=H175)*'Rate Lookup'!$D$1:$D$37),IF(OR(G175="Individual",G175="HUF"),SUMPRODUCT(('Rate Lookup'!$A$1:$A$37=H175)*'Rate Lookup'!$B$1:$B$37),SUMPRODUCT(('Rate Lookup'!$A$1:$A$37=H175)*'Rate Lookup'!$C$1:$C$37)))))</f>
      </c>
      <c r="J175" s="8"/>
      <c r="K175" s="8"/>
      <c r="L175" s="7">
        <f>IF($D175="","",ROUND(K175*I175/100,0))</f>
      </c>
      <c r="M175" s="7">
        <f>IF($D175="","",0)</f>
      </c>
      <c r="N175" s="7">
        <f>IF($D175="","",0)</f>
      </c>
      <c r="O175" s="7">
        <f>IF($D175="","",IF(OR(L175=0,J175="",IFERROR(INDEX('Challan Master'!$D$4:$D$207,MATCH($B175,'Challan Master'!$S$4:$S$207,0)),"")="",IFERROR(INDEX('Challan Master'!$D$4:$D$207,MATCH($B175,'Challan Master'!$S$4:$S$207,0)),"")&lt;=0),0,IF(IFERROR(INDEX('Challan Master'!$D$4:$D$207,MATCH($B175,'Challan Master'!$S$4:$S$207,0)),"")&lt;=DATE(YEAR(J175),MONTH(J175)+1,7),0,ROUND(L175*0.015*((YEAR(IFERROR(INDEX('Challan Master'!$D$4:$D$207,MATCH($B175,'Challan Master'!$S$4:$S$207,0)),""))-YEAR(J175))*12+(MONTH(IFERROR(INDEX('Challan Master'!$D$4:$D$207,MATCH($B175,'Challan Master'!$S$4:$S$207,0)),""))-MONTH(J175))+1),0))))</f>
      </c>
      <c r="P175" s="7">
        <f>IF($D175="","",0)</f>
      </c>
      <c r="Q175" s="8"/>
      <c r="R175" s="8"/>
      <c r="S175" s="8"/>
      <c r="T175" s="8"/>
      <c r="U175" s="8"/>
      <c r="V175" s="7">
        <f>IF($B175="","",IFERROR(INDEX('Challan Master'!$AA$4:$AA$207,MATCH($B175,'Challan Master'!$S$4:$S$207,0)),""))</f>
      </c>
    </row>
    <row r="176" spans="1:22" x14ac:dyDescent="0.25">
      <c r="A176" s="7">
        <f>IF($D176="","",COUNTIF($D$4:$D176,"&lt;&gt;"))</f>
      </c>
      <c r="B176" s="8"/>
      <c r="C176" s="7">
        <f>IF($B176="","","BSR "&amp;IFERROR(INDEX('Challan Master'!$B$4:$B$207,MATCH($B176,'Challan Master'!$S$4:$S$207,0)),"")&amp;" | Serial "&amp;IFERROR(INDEX('Challan Master'!$C$4:$C$207,MATCH($B176,'Challan Master'!$S$4:$S$207,0)),"")&amp;" | Deposit "&amp;TEXT(IFERROR(INDEX('Challan Master'!$D$4:$D$207,MATCH($B176,'Challan Master'!$S$4:$S$207,0)),""),"dd-mm-yyyy")&amp;" | Minor Head "&amp;IFERROR(INDEX('Challan Master'!$E$4:$E$207,MATCH($B176,'Challan Master'!$S$4:$S$207,0)),"")&amp;" | Tax ₹"&amp;TEXT(IFERROR(INDEX('Challan Master'!$G$4:$G$207,MATCH($B176,'Challan Master'!$S$4:$S$207,0)),""),"#,##0")&amp;" | Section "&amp;IFERROR(INDEX('Challan Master'!$F$4:$F$207,MATCH($B176,'Challan Master'!$S$4:$S$207,0)),""))</f>
      </c>
      <c r="D176" s="8"/>
      <c r="E176" s="8"/>
      <c r="F176" s="7">
        <f>IF($D176="","",IF(AND(LEN(TRIM(UPPER(E176)))=10,CODE(MID(TRIM(UPPER(E176)),1,1))&gt;=65,CODE(MID(TRIM(UPPER(E176)),1,1))&lt;=90,CODE(MID(TRIM(UPPER(E176)),2,1))&gt;=65,CODE(MID(TRIM(UPPER(E176)),2,1))&lt;=90,CODE(MID(TRIM(UPPER(E176)),3,1))&gt;=65,CODE(MID(TRIM(UPPER(E176)),3,1))&lt;=90,CODE(MID(TRIM(UPPER(E176)),4,1))&gt;=65,CODE(MID(TRIM(UPPER(E176)),4,1))&lt;=90,CODE(MID(TRIM(UPPER(E176)),5,1))&gt;=65,CODE(MID(TRIM(UPPER(E176)),5,1))&lt;=90,CODE(MID(TRIM(UPPER(E176)),10,1))&gt;=65,CODE(MID(TRIM(UPPER(E176)),10,1))&lt;=90,CODE(MID(TRIM(UPPER(E176)),6,1))&gt;=48,CODE(MID(TRIM(UPPER(E176)),6,1))&lt;=57,CODE(MID(TRIM(UPPER(E176)),7,1))&gt;=48,CODE(MID(TRIM(UPPER(E176)),7,1))&lt;=57,CODE(MID(TRIM(UPPER(E176)),8,1))&gt;=48,CODE(MID(TRIM(UPPER(E176)),8,1))&lt;=57,CODE(MID(TRIM(UPPER(E176)),9,1))&gt;=48,CODE(MID(TRIM(UPPER(E176)),9,1))&lt;=57),"N","Y"))</f>
      </c>
      <c r="G176" s="7">
        <f>IF($D176="","",IF(LEN(E176)&lt;4,"",IF(UPPER(MID(E176,4,1))="P","Individual",IF(UPPER(MID(E176,4,1))="H","HUF",IF(UPPER(MID(E176,4,1))="C","Company",IF(UPPER(MID(E176,4,1))="F","Firm",IF(UPPER(MID(E176,4,1))="L","LLP",IF(UPPER(MID(E176,4,1))="T","Trust",IF(UPPER(MID(E176,4,1))="A","AOP","")))))))))</f>
      </c>
      <c r="H176" s="8"/>
      <c r="I176" s="7">
        <f>IF($D176="","",IF(H176="","",IF(F176="Y",SUMPRODUCT(('Rate Lookup'!$A$1:$A$37=H176)*'Rate Lookup'!$D$1:$D$37),IF(OR(G176="Individual",G176="HUF"),SUMPRODUCT(('Rate Lookup'!$A$1:$A$37=H176)*'Rate Lookup'!$B$1:$B$37),SUMPRODUCT(('Rate Lookup'!$A$1:$A$37=H176)*'Rate Lookup'!$C$1:$C$37)))))</f>
      </c>
      <c r="J176" s="8"/>
      <c r="K176" s="8"/>
      <c r="L176" s="7">
        <f>IF($D176="","",ROUND(K176*I176/100,0))</f>
      </c>
      <c r="M176" s="7">
        <f>IF($D176="","",0)</f>
      </c>
      <c r="N176" s="7">
        <f>IF($D176="","",0)</f>
      </c>
      <c r="O176" s="7">
        <f>IF($D176="","",IF(OR(L176=0,J176="",IFERROR(INDEX('Challan Master'!$D$4:$D$207,MATCH($B176,'Challan Master'!$S$4:$S$207,0)),"")="",IFERROR(INDEX('Challan Master'!$D$4:$D$207,MATCH($B176,'Challan Master'!$S$4:$S$207,0)),"")&lt;=0),0,IF(IFERROR(INDEX('Challan Master'!$D$4:$D$207,MATCH($B176,'Challan Master'!$S$4:$S$207,0)),"")&lt;=DATE(YEAR(J176),MONTH(J176)+1,7),0,ROUND(L176*0.015*((YEAR(IFERROR(INDEX('Challan Master'!$D$4:$D$207,MATCH($B176,'Challan Master'!$S$4:$S$207,0)),""))-YEAR(J176))*12+(MONTH(IFERROR(INDEX('Challan Master'!$D$4:$D$207,MATCH($B176,'Challan Master'!$S$4:$S$207,0)),""))-MONTH(J176))+1),0))))</f>
      </c>
      <c r="P176" s="7">
        <f>IF($D176="","",0)</f>
      </c>
      <c r="Q176" s="8"/>
      <c r="R176" s="8"/>
      <c r="S176" s="8"/>
      <c r="T176" s="8"/>
      <c r="U176" s="8"/>
      <c r="V176" s="7">
        <f>IF($B176="","",IFERROR(INDEX('Challan Master'!$AA$4:$AA$207,MATCH($B176,'Challan Master'!$S$4:$S$207,0)),""))</f>
      </c>
    </row>
    <row r="177" spans="1:22" x14ac:dyDescent="0.25">
      <c r="A177" s="7">
        <f>IF($D177="","",COUNTIF($D$4:$D177,"&lt;&gt;"))</f>
      </c>
      <c r="B177" s="8"/>
      <c r="C177" s="7">
        <f>IF($B177="","","BSR "&amp;IFERROR(INDEX('Challan Master'!$B$4:$B$207,MATCH($B177,'Challan Master'!$S$4:$S$207,0)),"")&amp;" | Serial "&amp;IFERROR(INDEX('Challan Master'!$C$4:$C$207,MATCH($B177,'Challan Master'!$S$4:$S$207,0)),"")&amp;" | Deposit "&amp;TEXT(IFERROR(INDEX('Challan Master'!$D$4:$D$207,MATCH($B177,'Challan Master'!$S$4:$S$207,0)),""),"dd-mm-yyyy")&amp;" | Minor Head "&amp;IFERROR(INDEX('Challan Master'!$E$4:$E$207,MATCH($B177,'Challan Master'!$S$4:$S$207,0)),"")&amp;" | Tax ₹"&amp;TEXT(IFERROR(INDEX('Challan Master'!$G$4:$G$207,MATCH($B177,'Challan Master'!$S$4:$S$207,0)),""),"#,##0")&amp;" | Section "&amp;IFERROR(INDEX('Challan Master'!$F$4:$F$207,MATCH($B177,'Challan Master'!$S$4:$S$207,0)),""))</f>
      </c>
      <c r="D177" s="8"/>
      <c r="E177" s="8"/>
      <c r="F177" s="7">
        <f>IF($D177="","",IF(AND(LEN(TRIM(UPPER(E177)))=10,CODE(MID(TRIM(UPPER(E177)),1,1))&gt;=65,CODE(MID(TRIM(UPPER(E177)),1,1))&lt;=90,CODE(MID(TRIM(UPPER(E177)),2,1))&gt;=65,CODE(MID(TRIM(UPPER(E177)),2,1))&lt;=90,CODE(MID(TRIM(UPPER(E177)),3,1))&gt;=65,CODE(MID(TRIM(UPPER(E177)),3,1))&lt;=90,CODE(MID(TRIM(UPPER(E177)),4,1))&gt;=65,CODE(MID(TRIM(UPPER(E177)),4,1))&lt;=90,CODE(MID(TRIM(UPPER(E177)),5,1))&gt;=65,CODE(MID(TRIM(UPPER(E177)),5,1))&lt;=90,CODE(MID(TRIM(UPPER(E177)),10,1))&gt;=65,CODE(MID(TRIM(UPPER(E177)),10,1))&lt;=90,CODE(MID(TRIM(UPPER(E177)),6,1))&gt;=48,CODE(MID(TRIM(UPPER(E177)),6,1))&lt;=57,CODE(MID(TRIM(UPPER(E177)),7,1))&gt;=48,CODE(MID(TRIM(UPPER(E177)),7,1))&lt;=57,CODE(MID(TRIM(UPPER(E177)),8,1))&gt;=48,CODE(MID(TRIM(UPPER(E177)),8,1))&lt;=57,CODE(MID(TRIM(UPPER(E177)),9,1))&gt;=48,CODE(MID(TRIM(UPPER(E177)),9,1))&lt;=57),"N","Y"))</f>
      </c>
      <c r="G177" s="7">
        <f>IF($D177="","",IF(LEN(E177)&lt;4,"",IF(UPPER(MID(E177,4,1))="P","Individual",IF(UPPER(MID(E177,4,1))="H","HUF",IF(UPPER(MID(E177,4,1))="C","Company",IF(UPPER(MID(E177,4,1))="F","Firm",IF(UPPER(MID(E177,4,1))="L","LLP",IF(UPPER(MID(E177,4,1))="T","Trust",IF(UPPER(MID(E177,4,1))="A","AOP","")))))))))</f>
      </c>
      <c r="H177" s="8"/>
      <c r="I177" s="7">
        <f>IF($D177="","",IF(H177="","",IF(F177="Y",SUMPRODUCT(('Rate Lookup'!$A$1:$A$37=H177)*'Rate Lookup'!$D$1:$D$37),IF(OR(G177="Individual",G177="HUF"),SUMPRODUCT(('Rate Lookup'!$A$1:$A$37=H177)*'Rate Lookup'!$B$1:$B$37),SUMPRODUCT(('Rate Lookup'!$A$1:$A$37=H177)*'Rate Lookup'!$C$1:$C$37)))))</f>
      </c>
      <c r="J177" s="8"/>
      <c r="K177" s="8"/>
      <c r="L177" s="7">
        <f>IF($D177="","",ROUND(K177*I177/100,0))</f>
      </c>
      <c r="M177" s="7">
        <f>IF($D177="","",0)</f>
      </c>
      <c r="N177" s="7">
        <f>IF($D177="","",0)</f>
      </c>
      <c r="O177" s="7">
        <f>IF($D177="","",IF(OR(L177=0,J177="",IFERROR(INDEX('Challan Master'!$D$4:$D$207,MATCH($B177,'Challan Master'!$S$4:$S$207,0)),"")="",IFERROR(INDEX('Challan Master'!$D$4:$D$207,MATCH($B177,'Challan Master'!$S$4:$S$207,0)),"")&lt;=0),0,IF(IFERROR(INDEX('Challan Master'!$D$4:$D$207,MATCH($B177,'Challan Master'!$S$4:$S$207,0)),"")&lt;=DATE(YEAR(J177),MONTH(J177)+1,7),0,ROUND(L177*0.015*((YEAR(IFERROR(INDEX('Challan Master'!$D$4:$D$207,MATCH($B177,'Challan Master'!$S$4:$S$207,0)),""))-YEAR(J177))*12+(MONTH(IFERROR(INDEX('Challan Master'!$D$4:$D$207,MATCH($B177,'Challan Master'!$S$4:$S$207,0)),""))-MONTH(J177))+1),0))))</f>
      </c>
      <c r="P177" s="7">
        <f>IF($D177="","",0)</f>
      </c>
      <c r="Q177" s="8"/>
      <c r="R177" s="8"/>
      <c r="S177" s="8"/>
      <c r="T177" s="8"/>
      <c r="U177" s="8"/>
      <c r="V177" s="7">
        <f>IF($B177="","",IFERROR(INDEX('Challan Master'!$AA$4:$AA$207,MATCH($B177,'Challan Master'!$S$4:$S$207,0)),""))</f>
      </c>
    </row>
    <row r="178" spans="1:22" x14ac:dyDescent="0.25">
      <c r="A178" s="7">
        <f>IF($D178="","",COUNTIF($D$4:$D178,"&lt;&gt;"))</f>
      </c>
      <c r="B178" s="8"/>
      <c r="C178" s="7">
        <f>IF($B178="","","BSR "&amp;IFERROR(INDEX('Challan Master'!$B$4:$B$207,MATCH($B178,'Challan Master'!$S$4:$S$207,0)),"")&amp;" | Serial "&amp;IFERROR(INDEX('Challan Master'!$C$4:$C$207,MATCH($B178,'Challan Master'!$S$4:$S$207,0)),"")&amp;" | Deposit "&amp;TEXT(IFERROR(INDEX('Challan Master'!$D$4:$D$207,MATCH($B178,'Challan Master'!$S$4:$S$207,0)),""),"dd-mm-yyyy")&amp;" | Minor Head "&amp;IFERROR(INDEX('Challan Master'!$E$4:$E$207,MATCH($B178,'Challan Master'!$S$4:$S$207,0)),"")&amp;" | Tax ₹"&amp;TEXT(IFERROR(INDEX('Challan Master'!$G$4:$G$207,MATCH($B178,'Challan Master'!$S$4:$S$207,0)),""),"#,##0")&amp;" | Section "&amp;IFERROR(INDEX('Challan Master'!$F$4:$F$207,MATCH($B178,'Challan Master'!$S$4:$S$207,0)),""))</f>
      </c>
      <c r="D178" s="8"/>
      <c r="E178" s="8"/>
      <c r="F178" s="7">
        <f>IF($D178="","",IF(AND(LEN(TRIM(UPPER(E178)))=10,CODE(MID(TRIM(UPPER(E178)),1,1))&gt;=65,CODE(MID(TRIM(UPPER(E178)),1,1))&lt;=90,CODE(MID(TRIM(UPPER(E178)),2,1))&gt;=65,CODE(MID(TRIM(UPPER(E178)),2,1))&lt;=90,CODE(MID(TRIM(UPPER(E178)),3,1))&gt;=65,CODE(MID(TRIM(UPPER(E178)),3,1))&lt;=90,CODE(MID(TRIM(UPPER(E178)),4,1))&gt;=65,CODE(MID(TRIM(UPPER(E178)),4,1))&lt;=90,CODE(MID(TRIM(UPPER(E178)),5,1))&gt;=65,CODE(MID(TRIM(UPPER(E178)),5,1))&lt;=90,CODE(MID(TRIM(UPPER(E178)),10,1))&gt;=65,CODE(MID(TRIM(UPPER(E178)),10,1))&lt;=90,CODE(MID(TRIM(UPPER(E178)),6,1))&gt;=48,CODE(MID(TRIM(UPPER(E178)),6,1))&lt;=57,CODE(MID(TRIM(UPPER(E178)),7,1))&gt;=48,CODE(MID(TRIM(UPPER(E178)),7,1))&lt;=57,CODE(MID(TRIM(UPPER(E178)),8,1))&gt;=48,CODE(MID(TRIM(UPPER(E178)),8,1))&lt;=57,CODE(MID(TRIM(UPPER(E178)),9,1))&gt;=48,CODE(MID(TRIM(UPPER(E178)),9,1))&lt;=57),"N","Y"))</f>
      </c>
      <c r="G178" s="7">
        <f>IF($D178="","",IF(LEN(E178)&lt;4,"",IF(UPPER(MID(E178,4,1))="P","Individual",IF(UPPER(MID(E178,4,1))="H","HUF",IF(UPPER(MID(E178,4,1))="C","Company",IF(UPPER(MID(E178,4,1))="F","Firm",IF(UPPER(MID(E178,4,1))="L","LLP",IF(UPPER(MID(E178,4,1))="T","Trust",IF(UPPER(MID(E178,4,1))="A","AOP","")))))))))</f>
      </c>
      <c r="H178" s="8"/>
      <c r="I178" s="7">
        <f>IF($D178="","",IF(H178="","",IF(F178="Y",SUMPRODUCT(('Rate Lookup'!$A$1:$A$37=H178)*'Rate Lookup'!$D$1:$D$37),IF(OR(G178="Individual",G178="HUF"),SUMPRODUCT(('Rate Lookup'!$A$1:$A$37=H178)*'Rate Lookup'!$B$1:$B$37),SUMPRODUCT(('Rate Lookup'!$A$1:$A$37=H178)*'Rate Lookup'!$C$1:$C$37)))))</f>
      </c>
      <c r="J178" s="8"/>
      <c r="K178" s="8"/>
      <c r="L178" s="7">
        <f>IF($D178="","",ROUND(K178*I178/100,0))</f>
      </c>
      <c r="M178" s="7">
        <f>IF($D178="","",0)</f>
      </c>
      <c r="N178" s="7">
        <f>IF($D178="","",0)</f>
      </c>
      <c r="O178" s="7">
        <f>IF($D178="","",IF(OR(L178=0,J178="",IFERROR(INDEX('Challan Master'!$D$4:$D$207,MATCH($B178,'Challan Master'!$S$4:$S$207,0)),"")="",IFERROR(INDEX('Challan Master'!$D$4:$D$207,MATCH($B178,'Challan Master'!$S$4:$S$207,0)),"")&lt;=0),0,IF(IFERROR(INDEX('Challan Master'!$D$4:$D$207,MATCH($B178,'Challan Master'!$S$4:$S$207,0)),"")&lt;=DATE(YEAR(J178),MONTH(J178)+1,7),0,ROUND(L178*0.015*((YEAR(IFERROR(INDEX('Challan Master'!$D$4:$D$207,MATCH($B178,'Challan Master'!$S$4:$S$207,0)),""))-YEAR(J178))*12+(MONTH(IFERROR(INDEX('Challan Master'!$D$4:$D$207,MATCH($B178,'Challan Master'!$S$4:$S$207,0)),""))-MONTH(J178))+1),0))))</f>
      </c>
      <c r="P178" s="7">
        <f>IF($D178="","",0)</f>
      </c>
      <c r="Q178" s="8"/>
      <c r="R178" s="8"/>
      <c r="S178" s="8"/>
      <c r="T178" s="8"/>
      <c r="U178" s="8"/>
      <c r="V178" s="7">
        <f>IF($B178="","",IFERROR(INDEX('Challan Master'!$AA$4:$AA$207,MATCH($B178,'Challan Master'!$S$4:$S$207,0)),""))</f>
      </c>
    </row>
    <row r="179" spans="1:22" x14ac:dyDescent="0.25">
      <c r="A179" s="7">
        <f>IF($D179="","",COUNTIF($D$4:$D179,"&lt;&gt;"))</f>
      </c>
      <c r="B179" s="8"/>
      <c r="C179" s="7">
        <f>IF($B179="","","BSR "&amp;IFERROR(INDEX('Challan Master'!$B$4:$B$207,MATCH($B179,'Challan Master'!$S$4:$S$207,0)),"")&amp;" | Serial "&amp;IFERROR(INDEX('Challan Master'!$C$4:$C$207,MATCH($B179,'Challan Master'!$S$4:$S$207,0)),"")&amp;" | Deposit "&amp;TEXT(IFERROR(INDEX('Challan Master'!$D$4:$D$207,MATCH($B179,'Challan Master'!$S$4:$S$207,0)),""),"dd-mm-yyyy")&amp;" | Minor Head "&amp;IFERROR(INDEX('Challan Master'!$E$4:$E$207,MATCH($B179,'Challan Master'!$S$4:$S$207,0)),"")&amp;" | Tax ₹"&amp;TEXT(IFERROR(INDEX('Challan Master'!$G$4:$G$207,MATCH($B179,'Challan Master'!$S$4:$S$207,0)),""),"#,##0")&amp;" | Section "&amp;IFERROR(INDEX('Challan Master'!$F$4:$F$207,MATCH($B179,'Challan Master'!$S$4:$S$207,0)),""))</f>
      </c>
      <c r="D179" s="8"/>
      <c r="E179" s="8"/>
      <c r="F179" s="7">
        <f>IF($D179="","",IF(AND(LEN(TRIM(UPPER(E179)))=10,CODE(MID(TRIM(UPPER(E179)),1,1))&gt;=65,CODE(MID(TRIM(UPPER(E179)),1,1))&lt;=90,CODE(MID(TRIM(UPPER(E179)),2,1))&gt;=65,CODE(MID(TRIM(UPPER(E179)),2,1))&lt;=90,CODE(MID(TRIM(UPPER(E179)),3,1))&gt;=65,CODE(MID(TRIM(UPPER(E179)),3,1))&lt;=90,CODE(MID(TRIM(UPPER(E179)),4,1))&gt;=65,CODE(MID(TRIM(UPPER(E179)),4,1))&lt;=90,CODE(MID(TRIM(UPPER(E179)),5,1))&gt;=65,CODE(MID(TRIM(UPPER(E179)),5,1))&lt;=90,CODE(MID(TRIM(UPPER(E179)),10,1))&gt;=65,CODE(MID(TRIM(UPPER(E179)),10,1))&lt;=90,CODE(MID(TRIM(UPPER(E179)),6,1))&gt;=48,CODE(MID(TRIM(UPPER(E179)),6,1))&lt;=57,CODE(MID(TRIM(UPPER(E179)),7,1))&gt;=48,CODE(MID(TRIM(UPPER(E179)),7,1))&lt;=57,CODE(MID(TRIM(UPPER(E179)),8,1))&gt;=48,CODE(MID(TRIM(UPPER(E179)),8,1))&lt;=57,CODE(MID(TRIM(UPPER(E179)),9,1))&gt;=48,CODE(MID(TRIM(UPPER(E179)),9,1))&lt;=57),"N","Y"))</f>
      </c>
      <c r="G179" s="7">
        <f>IF($D179="","",IF(LEN(E179)&lt;4,"",IF(UPPER(MID(E179,4,1))="P","Individual",IF(UPPER(MID(E179,4,1))="H","HUF",IF(UPPER(MID(E179,4,1))="C","Company",IF(UPPER(MID(E179,4,1))="F","Firm",IF(UPPER(MID(E179,4,1))="L","LLP",IF(UPPER(MID(E179,4,1))="T","Trust",IF(UPPER(MID(E179,4,1))="A","AOP","")))))))))</f>
      </c>
      <c r="H179" s="8"/>
      <c r="I179" s="7">
        <f>IF($D179="","",IF(H179="","",IF(F179="Y",SUMPRODUCT(('Rate Lookup'!$A$1:$A$37=H179)*'Rate Lookup'!$D$1:$D$37),IF(OR(G179="Individual",G179="HUF"),SUMPRODUCT(('Rate Lookup'!$A$1:$A$37=H179)*'Rate Lookup'!$B$1:$B$37),SUMPRODUCT(('Rate Lookup'!$A$1:$A$37=H179)*'Rate Lookup'!$C$1:$C$37)))))</f>
      </c>
      <c r="J179" s="8"/>
      <c r="K179" s="8"/>
      <c r="L179" s="7">
        <f>IF($D179="","",ROUND(K179*I179/100,0))</f>
      </c>
      <c r="M179" s="7">
        <f>IF($D179="","",0)</f>
      </c>
      <c r="N179" s="7">
        <f>IF($D179="","",0)</f>
      </c>
      <c r="O179" s="7">
        <f>IF($D179="","",IF(OR(L179=0,J179="",IFERROR(INDEX('Challan Master'!$D$4:$D$207,MATCH($B179,'Challan Master'!$S$4:$S$207,0)),"")="",IFERROR(INDEX('Challan Master'!$D$4:$D$207,MATCH($B179,'Challan Master'!$S$4:$S$207,0)),"")&lt;=0),0,IF(IFERROR(INDEX('Challan Master'!$D$4:$D$207,MATCH($B179,'Challan Master'!$S$4:$S$207,0)),"")&lt;=DATE(YEAR(J179),MONTH(J179)+1,7),0,ROUND(L179*0.015*((YEAR(IFERROR(INDEX('Challan Master'!$D$4:$D$207,MATCH($B179,'Challan Master'!$S$4:$S$207,0)),""))-YEAR(J179))*12+(MONTH(IFERROR(INDEX('Challan Master'!$D$4:$D$207,MATCH($B179,'Challan Master'!$S$4:$S$207,0)),""))-MONTH(J179))+1),0))))</f>
      </c>
      <c r="P179" s="7">
        <f>IF($D179="","",0)</f>
      </c>
      <c r="Q179" s="8"/>
      <c r="R179" s="8"/>
      <c r="S179" s="8"/>
      <c r="T179" s="8"/>
      <c r="U179" s="8"/>
      <c r="V179" s="7">
        <f>IF($B179="","",IFERROR(INDEX('Challan Master'!$AA$4:$AA$207,MATCH($B179,'Challan Master'!$S$4:$S$207,0)),""))</f>
      </c>
    </row>
    <row r="180" spans="1:22" x14ac:dyDescent="0.25">
      <c r="A180" s="7">
        <f>IF($D180="","",COUNTIF($D$4:$D180,"&lt;&gt;"))</f>
      </c>
      <c r="B180" s="8"/>
      <c r="C180" s="7">
        <f>IF($B180="","","BSR "&amp;IFERROR(INDEX('Challan Master'!$B$4:$B$207,MATCH($B180,'Challan Master'!$S$4:$S$207,0)),"")&amp;" | Serial "&amp;IFERROR(INDEX('Challan Master'!$C$4:$C$207,MATCH($B180,'Challan Master'!$S$4:$S$207,0)),"")&amp;" | Deposit "&amp;TEXT(IFERROR(INDEX('Challan Master'!$D$4:$D$207,MATCH($B180,'Challan Master'!$S$4:$S$207,0)),""),"dd-mm-yyyy")&amp;" | Minor Head "&amp;IFERROR(INDEX('Challan Master'!$E$4:$E$207,MATCH($B180,'Challan Master'!$S$4:$S$207,0)),"")&amp;" | Tax ₹"&amp;TEXT(IFERROR(INDEX('Challan Master'!$G$4:$G$207,MATCH($B180,'Challan Master'!$S$4:$S$207,0)),""),"#,##0")&amp;" | Section "&amp;IFERROR(INDEX('Challan Master'!$F$4:$F$207,MATCH($B180,'Challan Master'!$S$4:$S$207,0)),""))</f>
      </c>
      <c r="D180" s="8"/>
      <c r="E180" s="8"/>
      <c r="F180" s="7">
        <f>IF($D180="","",IF(AND(LEN(TRIM(UPPER(E180)))=10,CODE(MID(TRIM(UPPER(E180)),1,1))&gt;=65,CODE(MID(TRIM(UPPER(E180)),1,1))&lt;=90,CODE(MID(TRIM(UPPER(E180)),2,1))&gt;=65,CODE(MID(TRIM(UPPER(E180)),2,1))&lt;=90,CODE(MID(TRIM(UPPER(E180)),3,1))&gt;=65,CODE(MID(TRIM(UPPER(E180)),3,1))&lt;=90,CODE(MID(TRIM(UPPER(E180)),4,1))&gt;=65,CODE(MID(TRIM(UPPER(E180)),4,1))&lt;=90,CODE(MID(TRIM(UPPER(E180)),5,1))&gt;=65,CODE(MID(TRIM(UPPER(E180)),5,1))&lt;=90,CODE(MID(TRIM(UPPER(E180)),10,1))&gt;=65,CODE(MID(TRIM(UPPER(E180)),10,1))&lt;=90,CODE(MID(TRIM(UPPER(E180)),6,1))&gt;=48,CODE(MID(TRIM(UPPER(E180)),6,1))&lt;=57,CODE(MID(TRIM(UPPER(E180)),7,1))&gt;=48,CODE(MID(TRIM(UPPER(E180)),7,1))&lt;=57,CODE(MID(TRIM(UPPER(E180)),8,1))&gt;=48,CODE(MID(TRIM(UPPER(E180)),8,1))&lt;=57,CODE(MID(TRIM(UPPER(E180)),9,1))&gt;=48,CODE(MID(TRIM(UPPER(E180)),9,1))&lt;=57),"N","Y"))</f>
      </c>
      <c r="G180" s="7">
        <f>IF($D180="","",IF(LEN(E180)&lt;4,"",IF(UPPER(MID(E180,4,1))="P","Individual",IF(UPPER(MID(E180,4,1))="H","HUF",IF(UPPER(MID(E180,4,1))="C","Company",IF(UPPER(MID(E180,4,1))="F","Firm",IF(UPPER(MID(E180,4,1))="L","LLP",IF(UPPER(MID(E180,4,1))="T","Trust",IF(UPPER(MID(E180,4,1))="A","AOP","")))))))))</f>
      </c>
      <c r="H180" s="8"/>
      <c r="I180" s="7">
        <f>IF($D180="","",IF(H180="","",IF(F180="Y",SUMPRODUCT(('Rate Lookup'!$A$1:$A$37=H180)*'Rate Lookup'!$D$1:$D$37),IF(OR(G180="Individual",G180="HUF"),SUMPRODUCT(('Rate Lookup'!$A$1:$A$37=H180)*'Rate Lookup'!$B$1:$B$37),SUMPRODUCT(('Rate Lookup'!$A$1:$A$37=H180)*'Rate Lookup'!$C$1:$C$37)))))</f>
      </c>
      <c r="J180" s="8"/>
      <c r="K180" s="8"/>
      <c r="L180" s="7">
        <f>IF($D180="","",ROUND(K180*I180/100,0))</f>
      </c>
      <c r="M180" s="7">
        <f>IF($D180="","",0)</f>
      </c>
      <c r="N180" s="7">
        <f>IF($D180="","",0)</f>
      </c>
      <c r="O180" s="7">
        <f>IF($D180="","",IF(OR(L180=0,J180="",IFERROR(INDEX('Challan Master'!$D$4:$D$207,MATCH($B180,'Challan Master'!$S$4:$S$207,0)),"")="",IFERROR(INDEX('Challan Master'!$D$4:$D$207,MATCH($B180,'Challan Master'!$S$4:$S$207,0)),"")&lt;=0),0,IF(IFERROR(INDEX('Challan Master'!$D$4:$D$207,MATCH($B180,'Challan Master'!$S$4:$S$207,0)),"")&lt;=DATE(YEAR(J180),MONTH(J180)+1,7),0,ROUND(L180*0.015*((YEAR(IFERROR(INDEX('Challan Master'!$D$4:$D$207,MATCH($B180,'Challan Master'!$S$4:$S$207,0)),""))-YEAR(J180))*12+(MONTH(IFERROR(INDEX('Challan Master'!$D$4:$D$207,MATCH($B180,'Challan Master'!$S$4:$S$207,0)),""))-MONTH(J180))+1),0))))</f>
      </c>
      <c r="P180" s="7">
        <f>IF($D180="","",0)</f>
      </c>
      <c r="Q180" s="8"/>
      <c r="R180" s="8"/>
      <c r="S180" s="8"/>
      <c r="T180" s="8"/>
      <c r="U180" s="8"/>
      <c r="V180" s="7">
        <f>IF($B180="","",IFERROR(INDEX('Challan Master'!$AA$4:$AA$207,MATCH($B180,'Challan Master'!$S$4:$S$207,0)),""))</f>
      </c>
    </row>
    <row r="181" spans="1:22" x14ac:dyDescent="0.25">
      <c r="A181" s="7">
        <f>IF($D181="","",COUNTIF($D$4:$D181,"&lt;&gt;"))</f>
      </c>
      <c r="B181" s="8"/>
      <c r="C181" s="7">
        <f>IF($B181="","","BSR "&amp;IFERROR(INDEX('Challan Master'!$B$4:$B$207,MATCH($B181,'Challan Master'!$S$4:$S$207,0)),"")&amp;" | Serial "&amp;IFERROR(INDEX('Challan Master'!$C$4:$C$207,MATCH($B181,'Challan Master'!$S$4:$S$207,0)),"")&amp;" | Deposit "&amp;TEXT(IFERROR(INDEX('Challan Master'!$D$4:$D$207,MATCH($B181,'Challan Master'!$S$4:$S$207,0)),""),"dd-mm-yyyy")&amp;" | Minor Head "&amp;IFERROR(INDEX('Challan Master'!$E$4:$E$207,MATCH($B181,'Challan Master'!$S$4:$S$207,0)),"")&amp;" | Tax ₹"&amp;TEXT(IFERROR(INDEX('Challan Master'!$G$4:$G$207,MATCH($B181,'Challan Master'!$S$4:$S$207,0)),""),"#,##0")&amp;" | Section "&amp;IFERROR(INDEX('Challan Master'!$F$4:$F$207,MATCH($B181,'Challan Master'!$S$4:$S$207,0)),""))</f>
      </c>
      <c r="D181" s="8"/>
      <c r="E181" s="8"/>
      <c r="F181" s="7">
        <f>IF($D181="","",IF(AND(LEN(TRIM(UPPER(E181)))=10,CODE(MID(TRIM(UPPER(E181)),1,1))&gt;=65,CODE(MID(TRIM(UPPER(E181)),1,1))&lt;=90,CODE(MID(TRIM(UPPER(E181)),2,1))&gt;=65,CODE(MID(TRIM(UPPER(E181)),2,1))&lt;=90,CODE(MID(TRIM(UPPER(E181)),3,1))&gt;=65,CODE(MID(TRIM(UPPER(E181)),3,1))&lt;=90,CODE(MID(TRIM(UPPER(E181)),4,1))&gt;=65,CODE(MID(TRIM(UPPER(E181)),4,1))&lt;=90,CODE(MID(TRIM(UPPER(E181)),5,1))&gt;=65,CODE(MID(TRIM(UPPER(E181)),5,1))&lt;=90,CODE(MID(TRIM(UPPER(E181)),10,1))&gt;=65,CODE(MID(TRIM(UPPER(E181)),10,1))&lt;=90,CODE(MID(TRIM(UPPER(E181)),6,1))&gt;=48,CODE(MID(TRIM(UPPER(E181)),6,1))&lt;=57,CODE(MID(TRIM(UPPER(E181)),7,1))&gt;=48,CODE(MID(TRIM(UPPER(E181)),7,1))&lt;=57,CODE(MID(TRIM(UPPER(E181)),8,1))&gt;=48,CODE(MID(TRIM(UPPER(E181)),8,1))&lt;=57,CODE(MID(TRIM(UPPER(E181)),9,1))&gt;=48,CODE(MID(TRIM(UPPER(E181)),9,1))&lt;=57),"N","Y"))</f>
      </c>
      <c r="G181" s="7">
        <f>IF($D181="","",IF(LEN(E181)&lt;4,"",IF(UPPER(MID(E181,4,1))="P","Individual",IF(UPPER(MID(E181,4,1))="H","HUF",IF(UPPER(MID(E181,4,1))="C","Company",IF(UPPER(MID(E181,4,1))="F","Firm",IF(UPPER(MID(E181,4,1))="L","LLP",IF(UPPER(MID(E181,4,1))="T","Trust",IF(UPPER(MID(E181,4,1))="A","AOP","")))))))))</f>
      </c>
      <c r="H181" s="8"/>
      <c r="I181" s="7">
        <f>IF($D181="","",IF(H181="","",IF(F181="Y",SUMPRODUCT(('Rate Lookup'!$A$1:$A$37=H181)*'Rate Lookup'!$D$1:$D$37),IF(OR(G181="Individual",G181="HUF"),SUMPRODUCT(('Rate Lookup'!$A$1:$A$37=H181)*'Rate Lookup'!$B$1:$B$37),SUMPRODUCT(('Rate Lookup'!$A$1:$A$37=H181)*'Rate Lookup'!$C$1:$C$37)))))</f>
      </c>
      <c r="J181" s="8"/>
      <c r="K181" s="8"/>
      <c r="L181" s="7">
        <f>IF($D181="","",ROUND(K181*I181/100,0))</f>
      </c>
      <c r="M181" s="7">
        <f>IF($D181="","",0)</f>
      </c>
      <c r="N181" s="7">
        <f>IF($D181="","",0)</f>
      </c>
      <c r="O181" s="7">
        <f>IF($D181="","",IF(OR(L181=0,J181="",IFERROR(INDEX('Challan Master'!$D$4:$D$207,MATCH($B181,'Challan Master'!$S$4:$S$207,0)),"")="",IFERROR(INDEX('Challan Master'!$D$4:$D$207,MATCH($B181,'Challan Master'!$S$4:$S$207,0)),"")&lt;=0),0,IF(IFERROR(INDEX('Challan Master'!$D$4:$D$207,MATCH($B181,'Challan Master'!$S$4:$S$207,0)),"")&lt;=DATE(YEAR(J181),MONTH(J181)+1,7),0,ROUND(L181*0.015*((YEAR(IFERROR(INDEX('Challan Master'!$D$4:$D$207,MATCH($B181,'Challan Master'!$S$4:$S$207,0)),""))-YEAR(J181))*12+(MONTH(IFERROR(INDEX('Challan Master'!$D$4:$D$207,MATCH($B181,'Challan Master'!$S$4:$S$207,0)),""))-MONTH(J181))+1),0))))</f>
      </c>
      <c r="P181" s="7">
        <f>IF($D181="","",0)</f>
      </c>
      <c r="Q181" s="8"/>
      <c r="R181" s="8"/>
      <c r="S181" s="8"/>
      <c r="T181" s="8"/>
      <c r="U181" s="8"/>
      <c r="V181" s="7">
        <f>IF($B181="","",IFERROR(INDEX('Challan Master'!$AA$4:$AA$207,MATCH($B181,'Challan Master'!$S$4:$S$207,0)),""))</f>
      </c>
    </row>
    <row r="182" spans="1:22" x14ac:dyDescent="0.25">
      <c r="A182" s="7">
        <f>IF($D182="","",COUNTIF($D$4:$D182,"&lt;&gt;"))</f>
      </c>
      <c r="B182" s="8"/>
      <c r="C182" s="7">
        <f>IF($B182="","","BSR "&amp;IFERROR(INDEX('Challan Master'!$B$4:$B$207,MATCH($B182,'Challan Master'!$S$4:$S$207,0)),"")&amp;" | Serial "&amp;IFERROR(INDEX('Challan Master'!$C$4:$C$207,MATCH($B182,'Challan Master'!$S$4:$S$207,0)),"")&amp;" | Deposit "&amp;TEXT(IFERROR(INDEX('Challan Master'!$D$4:$D$207,MATCH($B182,'Challan Master'!$S$4:$S$207,0)),""),"dd-mm-yyyy")&amp;" | Minor Head "&amp;IFERROR(INDEX('Challan Master'!$E$4:$E$207,MATCH($B182,'Challan Master'!$S$4:$S$207,0)),"")&amp;" | Tax ₹"&amp;TEXT(IFERROR(INDEX('Challan Master'!$G$4:$G$207,MATCH($B182,'Challan Master'!$S$4:$S$207,0)),""),"#,##0")&amp;" | Section "&amp;IFERROR(INDEX('Challan Master'!$F$4:$F$207,MATCH($B182,'Challan Master'!$S$4:$S$207,0)),""))</f>
      </c>
      <c r="D182" s="8"/>
      <c r="E182" s="8"/>
      <c r="F182" s="7">
        <f>IF($D182="","",IF(AND(LEN(TRIM(UPPER(E182)))=10,CODE(MID(TRIM(UPPER(E182)),1,1))&gt;=65,CODE(MID(TRIM(UPPER(E182)),1,1))&lt;=90,CODE(MID(TRIM(UPPER(E182)),2,1))&gt;=65,CODE(MID(TRIM(UPPER(E182)),2,1))&lt;=90,CODE(MID(TRIM(UPPER(E182)),3,1))&gt;=65,CODE(MID(TRIM(UPPER(E182)),3,1))&lt;=90,CODE(MID(TRIM(UPPER(E182)),4,1))&gt;=65,CODE(MID(TRIM(UPPER(E182)),4,1))&lt;=90,CODE(MID(TRIM(UPPER(E182)),5,1))&gt;=65,CODE(MID(TRIM(UPPER(E182)),5,1))&lt;=90,CODE(MID(TRIM(UPPER(E182)),10,1))&gt;=65,CODE(MID(TRIM(UPPER(E182)),10,1))&lt;=90,CODE(MID(TRIM(UPPER(E182)),6,1))&gt;=48,CODE(MID(TRIM(UPPER(E182)),6,1))&lt;=57,CODE(MID(TRIM(UPPER(E182)),7,1))&gt;=48,CODE(MID(TRIM(UPPER(E182)),7,1))&lt;=57,CODE(MID(TRIM(UPPER(E182)),8,1))&gt;=48,CODE(MID(TRIM(UPPER(E182)),8,1))&lt;=57,CODE(MID(TRIM(UPPER(E182)),9,1))&gt;=48,CODE(MID(TRIM(UPPER(E182)),9,1))&lt;=57),"N","Y"))</f>
      </c>
      <c r="G182" s="7">
        <f>IF($D182="","",IF(LEN(E182)&lt;4,"",IF(UPPER(MID(E182,4,1))="P","Individual",IF(UPPER(MID(E182,4,1))="H","HUF",IF(UPPER(MID(E182,4,1))="C","Company",IF(UPPER(MID(E182,4,1))="F","Firm",IF(UPPER(MID(E182,4,1))="L","LLP",IF(UPPER(MID(E182,4,1))="T","Trust",IF(UPPER(MID(E182,4,1))="A","AOP","")))))))))</f>
      </c>
      <c r="H182" s="8"/>
      <c r="I182" s="7">
        <f>IF($D182="","",IF(H182="","",IF(F182="Y",SUMPRODUCT(('Rate Lookup'!$A$1:$A$37=H182)*'Rate Lookup'!$D$1:$D$37),IF(OR(G182="Individual",G182="HUF"),SUMPRODUCT(('Rate Lookup'!$A$1:$A$37=H182)*'Rate Lookup'!$B$1:$B$37),SUMPRODUCT(('Rate Lookup'!$A$1:$A$37=H182)*'Rate Lookup'!$C$1:$C$37)))))</f>
      </c>
      <c r="J182" s="8"/>
      <c r="K182" s="8"/>
      <c r="L182" s="7">
        <f>IF($D182="","",ROUND(K182*I182/100,0))</f>
      </c>
      <c r="M182" s="7">
        <f>IF($D182="","",0)</f>
      </c>
      <c r="N182" s="7">
        <f>IF($D182="","",0)</f>
      </c>
      <c r="O182" s="7">
        <f>IF($D182="","",IF(OR(L182=0,J182="",IFERROR(INDEX('Challan Master'!$D$4:$D$207,MATCH($B182,'Challan Master'!$S$4:$S$207,0)),"")="",IFERROR(INDEX('Challan Master'!$D$4:$D$207,MATCH($B182,'Challan Master'!$S$4:$S$207,0)),"")&lt;=0),0,IF(IFERROR(INDEX('Challan Master'!$D$4:$D$207,MATCH($B182,'Challan Master'!$S$4:$S$207,0)),"")&lt;=DATE(YEAR(J182),MONTH(J182)+1,7),0,ROUND(L182*0.015*((YEAR(IFERROR(INDEX('Challan Master'!$D$4:$D$207,MATCH($B182,'Challan Master'!$S$4:$S$207,0)),""))-YEAR(J182))*12+(MONTH(IFERROR(INDEX('Challan Master'!$D$4:$D$207,MATCH($B182,'Challan Master'!$S$4:$S$207,0)),""))-MONTH(J182))+1),0))))</f>
      </c>
      <c r="P182" s="7">
        <f>IF($D182="","",0)</f>
      </c>
      <c r="Q182" s="8"/>
      <c r="R182" s="8"/>
      <c r="S182" s="8"/>
      <c r="T182" s="8"/>
      <c r="U182" s="8"/>
      <c r="V182" s="7">
        <f>IF($B182="","",IFERROR(INDEX('Challan Master'!$AA$4:$AA$207,MATCH($B182,'Challan Master'!$S$4:$S$207,0)),""))</f>
      </c>
    </row>
    <row r="183" spans="1:22" x14ac:dyDescent="0.25">
      <c r="A183" s="7">
        <f>IF($D183="","",COUNTIF($D$4:$D183,"&lt;&gt;"))</f>
      </c>
      <c r="B183" s="8"/>
      <c r="C183" s="7">
        <f>IF($B183="","","BSR "&amp;IFERROR(INDEX('Challan Master'!$B$4:$B$207,MATCH($B183,'Challan Master'!$S$4:$S$207,0)),"")&amp;" | Serial "&amp;IFERROR(INDEX('Challan Master'!$C$4:$C$207,MATCH($B183,'Challan Master'!$S$4:$S$207,0)),"")&amp;" | Deposit "&amp;TEXT(IFERROR(INDEX('Challan Master'!$D$4:$D$207,MATCH($B183,'Challan Master'!$S$4:$S$207,0)),""),"dd-mm-yyyy")&amp;" | Minor Head "&amp;IFERROR(INDEX('Challan Master'!$E$4:$E$207,MATCH($B183,'Challan Master'!$S$4:$S$207,0)),"")&amp;" | Tax ₹"&amp;TEXT(IFERROR(INDEX('Challan Master'!$G$4:$G$207,MATCH($B183,'Challan Master'!$S$4:$S$207,0)),""),"#,##0")&amp;" | Section "&amp;IFERROR(INDEX('Challan Master'!$F$4:$F$207,MATCH($B183,'Challan Master'!$S$4:$S$207,0)),""))</f>
      </c>
      <c r="D183" s="8"/>
      <c r="E183" s="8"/>
      <c r="F183" s="7">
        <f>IF($D183="","",IF(AND(LEN(TRIM(UPPER(E183)))=10,CODE(MID(TRIM(UPPER(E183)),1,1))&gt;=65,CODE(MID(TRIM(UPPER(E183)),1,1))&lt;=90,CODE(MID(TRIM(UPPER(E183)),2,1))&gt;=65,CODE(MID(TRIM(UPPER(E183)),2,1))&lt;=90,CODE(MID(TRIM(UPPER(E183)),3,1))&gt;=65,CODE(MID(TRIM(UPPER(E183)),3,1))&lt;=90,CODE(MID(TRIM(UPPER(E183)),4,1))&gt;=65,CODE(MID(TRIM(UPPER(E183)),4,1))&lt;=90,CODE(MID(TRIM(UPPER(E183)),5,1))&gt;=65,CODE(MID(TRIM(UPPER(E183)),5,1))&lt;=90,CODE(MID(TRIM(UPPER(E183)),10,1))&gt;=65,CODE(MID(TRIM(UPPER(E183)),10,1))&lt;=90,CODE(MID(TRIM(UPPER(E183)),6,1))&gt;=48,CODE(MID(TRIM(UPPER(E183)),6,1))&lt;=57,CODE(MID(TRIM(UPPER(E183)),7,1))&gt;=48,CODE(MID(TRIM(UPPER(E183)),7,1))&lt;=57,CODE(MID(TRIM(UPPER(E183)),8,1))&gt;=48,CODE(MID(TRIM(UPPER(E183)),8,1))&lt;=57,CODE(MID(TRIM(UPPER(E183)),9,1))&gt;=48,CODE(MID(TRIM(UPPER(E183)),9,1))&lt;=57),"N","Y"))</f>
      </c>
      <c r="G183" s="7">
        <f>IF($D183="","",IF(LEN(E183)&lt;4,"",IF(UPPER(MID(E183,4,1))="P","Individual",IF(UPPER(MID(E183,4,1))="H","HUF",IF(UPPER(MID(E183,4,1))="C","Company",IF(UPPER(MID(E183,4,1))="F","Firm",IF(UPPER(MID(E183,4,1))="L","LLP",IF(UPPER(MID(E183,4,1))="T","Trust",IF(UPPER(MID(E183,4,1))="A","AOP","")))))))))</f>
      </c>
      <c r="H183" s="8"/>
      <c r="I183" s="7">
        <f>IF($D183="","",IF(H183="","",IF(F183="Y",SUMPRODUCT(('Rate Lookup'!$A$1:$A$37=H183)*'Rate Lookup'!$D$1:$D$37),IF(OR(G183="Individual",G183="HUF"),SUMPRODUCT(('Rate Lookup'!$A$1:$A$37=H183)*'Rate Lookup'!$B$1:$B$37),SUMPRODUCT(('Rate Lookup'!$A$1:$A$37=H183)*'Rate Lookup'!$C$1:$C$37)))))</f>
      </c>
      <c r="J183" s="8"/>
      <c r="K183" s="8"/>
      <c r="L183" s="7">
        <f>IF($D183="","",ROUND(K183*I183/100,0))</f>
      </c>
      <c r="M183" s="7">
        <f>IF($D183="","",0)</f>
      </c>
      <c r="N183" s="7">
        <f>IF($D183="","",0)</f>
      </c>
      <c r="O183" s="7">
        <f>IF($D183="","",IF(OR(L183=0,J183="",IFERROR(INDEX('Challan Master'!$D$4:$D$207,MATCH($B183,'Challan Master'!$S$4:$S$207,0)),"")="",IFERROR(INDEX('Challan Master'!$D$4:$D$207,MATCH($B183,'Challan Master'!$S$4:$S$207,0)),"")&lt;=0),0,IF(IFERROR(INDEX('Challan Master'!$D$4:$D$207,MATCH($B183,'Challan Master'!$S$4:$S$207,0)),"")&lt;=DATE(YEAR(J183),MONTH(J183)+1,7),0,ROUND(L183*0.015*((YEAR(IFERROR(INDEX('Challan Master'!$D$4:$D$207,MATCH($B183,'Challan Master'!$S$4:$S$207,0)),""))-YEAR(J183))*12+(MONTH(IFERROR(INDEX('Challan Master'!$D$4:$D$207,MATCH($B183,'Challan Master'!$S$4:$S$207,0)),""))-MONTH(J183))+1),0))))</f>
      </c>
      <c r="P183" s="7">
        <f>IF($D183="","",0)</f>
      </c>
      <c r="Q183" s="8"/>
      <c r="R183" s="8"/>
      <c r="S183" s="8"/>
      <c r="T183" s="8"/>
      <c r="U183" s="8"/>
      <c r="V183" s="7">
        <f>IF($B183="","",IFERROR(INDEX('Challan Master'!$AA$4:$AA$207,MATCH($B183,'Challan Master'!$S$4:$S$207,0)),""))</f>
      </c>
    </row>
    <row r="184" spans="1:22" x14ac:dyDescent="0.25">
      <c r="A184" s="7">
        <f>IF($D184="","",COUNTIF($D$4:$D184,"&lt;&gt;"))</f>
      </c>
      <c r="B184" s="8"/>
      <c r="C184" s="7">
        <f>IF($B184="","","BSR "&amp;IFERROR(INDEX('Challan Master'!$B$4:$B$207,MATCH($B184,'Challan Master'!$S$4:$S$207,0)),"")&amp;" | Serial "&amp;IFERROR(INDEX('Challan Master'!$C$4:$C$207,MATCH($B184,'Challan Master'!$S$4:$S$207,0)),"")&amp;" | Deposit "&amp;TEXT(IFERROR(INDEX('Challan Master'!$D$4:$D$207,MATCH($B184,'Challan Master'!$S$4:$S$207,0)),""),"dd-mm-yyyy")&amp;" | Minor Head "&amp;IFERROR(INDEX('Challan Master'!$E$4:$E$207,MATCH($B184,'Challan Master'!$S$4:$S$207,0)),"")&amp;" | Tax ₹"&amp;TEXT(IFERROR(INDEX('Challan Master'!$G$4:$G$207,MATCH($B184,'Challan Master'!$S$4:$S$207,0)),""),"#,##0")&amp;" | Section "&amp;IFERROR(INDEX('Challan Master'!$F$4:$F$207,MATCH($B184,'Challan Master'!$S$4:$S$207,0)),""))</f>
      </c>
      <c r="D184" s="8"/>
      <c r="E184" s="8"/>
      <c r="F184" s="7">
        <f>IF($D184="","",IF(AND(LEN(TRIM(UPPER(E184)))=10,CODE(MID(TRIM(UPPER(E184)),1,1))&gt;=65,CODE(MID(TRIM(UPPER(E184)),1,1))&lt;=90,CODE(MID(TRIM(UPPER(E184)),2,1))&gt;=65,CODE(MID(TRIM(UPPER(E184)),2,1))&lt;=90,CODE(MID(TRIM(UPPER(E184)),3,1))&gt;=65,CODE(MID(TRIM(UPPER(E184)),3,1))&lt;=90,CODE(MID(TRIM(UPPER(E184)),4,1))&gt;=65,CODE(MID(TRIM(UPPER(E184)),4,1))&lt;=90,CODE(MID(TRIM(UPPER(E184)),5,1))&gt;=65,CODE(MID(TRIM(UPPER(E184)),5,1))&lt;=90,CODE(MID(TRIM(UPPER(E184)),10,1))&gt;=65,CODE(MID(TRIM(UPPER(E184)),10,1))&lt;=90,CODE(MID(TRIM(UPPER(E184)),6,1))&gt;=48,CODE(MID(TRIM(UPPER(E184)),6,1))&lt;=57,CODE(MID(TRIM(UPPER(E184)),7,1))&gt;=48,CODE(MID(TRIM(UPPER(E184)),7,1))&lt;=57,CODE(MID(TRIM(UPPER(E184)),8,1))&gt;=48,CODE(MID(TRIM(UPPER(E184)),8,1))&lt;=57,CODE(MID(TRIM(UPPER(E184)),9,1))&gt;=48,CODE(MID(TRIM(UPPER(E184)),9,1))&lt;=57),"N","Y"))</f>
      </c>
      <c r="G184" s="7">
        <f>IF($D184="","",IF(LEN(E184)&lt;4,"",IF(UPPER(MID(E184,4,1))="P","Individual",IF(UPPER(MID(E184,4,1))="H","HUF",IF(UPPER(MID(E184,4,1))="C","Company",IF(UPPER(MID(E184,4,1))="F","Firm",IF(UPPER(MID(E184,4,1))="L","LLP",IF(UPPER(MID(E184,4,1))="T","Trust",IF(UPPER(MID(E184,4,1))="A","AOP","")))))))))</f>
      </c>
      <c r="H184" s="8"/>
      <c r="I184" s="7">
        <f>IF($D184="","",IF(H184="","",IF(F184="Y",SUMPRODUCT(('Rate Lookup'!$A$1:$A$37=H184)*'Rate Lookup'!$D$1:$D$37),IF(OR(G184="Individual",G184="HUF"),SUMPRODUCT(('Rate Lookup'!$A$1:$A$37=H184)*'Rate Lookup'!$B$1:$B$37),SUMPRODUCT(('Rate Lookup'!$A$1:$A$37=H184)*'Rate Lookup'!$C$1:$C$37)))))</f>
      </c>
      <c r="J184" s="8"/>
      <c r="K184" s="8"/>
      <c r="L184" s="7">
        <f>IF($D184="","",ROUND(K184*I184/100,0))</f>
      </c>
      <c r="M184" s="7">
        <f>IF($D184="","",0)</f>
      </c>
      <c r="N184" s="7">
        <f>IF($D184="","",0)</f>
      </c>
      <c r="O184" s="7">
        <f>IF($D184="","",IF(OR(L184=0,J184="",IFERROR(INDEX('Challan Master'!$D$4:$D$207,MATCH($B184,'Challan Master'!$S$4:$S$207,0)),"")="",IFERROR(INDEX('Challan Master'!$D$4:$D$207,MATCH($B184,'Challan Master'!$S$4:$S$207,0)),"")&lt;=0),0,IF(IFERROR(INDEX('Challan Master'!$D$4:$D$207,MATCH($B184,'Challan Master'!$S$4:$S$207,0)),"")&lt;=DATE(YEAR(J184),MONTH(J184)+1,7),0,ROUND(L184*0.015*((YEAR(IFERROR(INDEX('Challan Master'!$D$4:$D$207,MATCH($B184,'Challan Master'!$S$4:$S$207,0)),""))-YEAR(J184))*12+(MONTH(IFERROR(INDEX('Challan Master'!$D$4:$D$207,MATCH($B184,'Challan Master'!$S$4:$S$207,0)),""))-MONTH(J184))+1),0))))</f>
      </c>
      <c r="P184" s="7">
        <f>IF($D184="","",0)</f>
      </c>
      <c r="Q184" s="8"/>
      <c r="R184" s="8"/>
      <c r="S184" s="8"/>
      <c r="T184" s="8"/>
      <c r="U184" s="8"/>
      <c r="V184" s="7">
        <f>IF($B184="","",IFERROR(INDEX('Challan Master'!$AA$4:$AA$207,MATCH($B184,'Challan Master'!$S$4:$S$207,0)),""))</f>
      </c>
    </row>
    <row r="185" spans="1:22" x14ac:dyDescent="0.25">
      <c r="A185" s="7">
        <f>IF($D185="","",COUNTIF($D$4:$D185,"&lt;&gt;"))</f>
      </c>
      <c r="B185" s="8"/>
      <c r="C185" s="7">
        <f>IF($B185="","","BSR "&amp;IFERROR(INDEX('Challan Master'!$B$4:$B$207,MATCH($B185,'Challan Master'!$S$4:$S$207,0)),"")&amp;" | Serial "&amp;IFERROR(INDEX('Challan Master'!$C$4:$C$207,MATCH($B185,'Challan Master'!$S$4:$S$207,0)),"")&amp;" | Deposit "&amp;TEXT(IFERROR(INDEX('Challan Master'!$D$4:$D$207,MATCH($B185,'Challan Master'!$S$4:$S$207,0)),""),"dd-mm-yyyy")&amp;" | Minor Head "&amp;IFERROR(INDEX('Challan Master'!$E$4:$E$207,MATCH($B185,'Challan Master'!$S$4:$S$207,0)),"")&amp;" | Tax ₹"&amp;TEXT(IFERROR(INDEX('Challan Master'!$G$4:$G$207,MATCH($B185,'Challan Master'!$S$4:$S$207,0)),""),"#,##0")&amp;" | Section "&amp;IFERROR(INDEX('Challan Master'!$F$4:$F$207,MATCH($B185,'Challan Master'!$S$4:$S$207,0)),""))</f>
      </c>
      <c r="D185" s="8"/>
      <c r="E185" s="8"/>
      <c r="F185" s="7">
        <f>IF($D185="","",IF(AND(LEN(TRIM(UPPER(E185)))=10,CODE(MID(TRIM(UPPER(E185)),1,1))&gt;=65,CODE(MID(TRIM(UPPER(E185)),1,1))&lt;=90,CODE(MID(TRIM(UPPER(E185)),2,1))&gt;=65,CODE(MID(TRIM(UPPER(E185)),2,1))&lt;=90,CODE(MID(TRIM(UPPER(E185)),3,1))&gt;=65,CODE(MID(TRIM(UPPER(E185)),3,1))&lt;=90,CODE(MID(TRIM(UPPER(E185)),4,1))&gt;=65,CODE(MID(TRIM(UPPER(E185)),4,1))&lt;=90,CODE(MID(TRIM(UPPER(E185)),5,1))&gt;=65,CODE(MID(TRIM(UPPER(E185)),5,1))&lt;=90,CODE(MID(TRIM(UPPER(E185)),10,1))&gt;=65,CODE(MID(TRIM(UPPER(E185)),10,1))&lt;=90,CODE(MID(TRIM(UPPER(E185)),6,1))&gt;=48,CODE(MID(TRIM(UPPER(E185)),6,1))&lt;=57,CODE(MID(TRIM(UPPER(E185)),7,1))&gt;=48,CODE(MID(TRIM(UPPER(E185)),7,1))&lt;=57,CODE(MID(TRIM(UPPER(E185)),8,1))&gt;=48,CODE(MID(TRIM(UPPER(E185)),8,1))&lt;=57,CODE(MID(TRIM(UPPER(E185)),9,1))&gt;=48,CODE(MID(TRIM(UPPER(E185)),9,1))&lt;=57),"N","Y"))</f>
      </c>
      <c r="G185" s="7">
        <f>IF($D185="","",IF(LEN(E185)&lt;4,"",IF(UPPER(MID(E185,4,1))="P","Individual",IF(UPPER(MID(E185,4,1))="H","HUF",IF(UPPER(MID(E185,4,1))="C","Company",IF(UPPER(MID(E185,4,1))="F","Firm",IF(UPPER(MID(E185,4,1))="L","LLP",IF(UPPER(MID(E185,4,1))="T","Trust",IF(UPPER(MID(E185,4,1))="A","AOP","")))))))))</f>
      </c>
      <c r="H185" s="8"/>
      <c r="I185" s="7">
        <f>IF($D185="","",IF(H185="","",IF(F185="Y",SUMPRODUCT(('Rate Lookup'!$A$1:$A$37=H185)*'Rate Lookup'!$D$1:$D$37),IF(OR(G185="Individual",G185="HUF"),SUMPRODUCT(('Rate Lookup'!$A$1:$A$37=H185)*'Rate Lookup'!$B$1:$B$37),SUMPRODUCT(('Rate Lookup'!$A$1:$A$37=H185)*'Rate Lookup'!$C$1:$C$37)))))</f>
      </c>
      <c r="J185" s="8"/>
      <c r="K185" s="8"/>
      <c r="L185" s="7">
        <f>IF($D185="","",ROUND(K185*I185/100,0))</f>
      </c>
      <c r="M185" s="7">
        <f>IF($D185="","",0)</f>
      </c>
      <c r="N185" s="7">
        <f>IF($D185="","",0)</f>
      </c>
      <c r="O185" s="7">
        <f>IF($D185="","",IF(OR(L185=0,J185="",IFERROR(INDEX('Challan Master'!$D$4:$D$207,MATCH($B185,'Challan Master'!$S$4:$S$207,0)),"")="",IFERROR(INDEX('Challan Master'!$D$4:$D$207,MATCH($B185,'Challan Master'!$S$4:$S$207,0)),"")&lt;=0),0,IF(IFERROR(INDEX('Challan Master'!$D$4:$D$207,MATCH($B185,'Challan Master'!$S$4:$S$207,0)),"")&lt;=DATE(YEAR(J185),MONTH(J185)+1,7),0,ROUND(L185*0.015*((YEAR(IFERROR(INDEX('Challan Master'!$D$4:$D$207,MATCH($B185,'Challan Master'!$S$4:$S$207,0)),""))-YEAR(J185))*12+(MONTH(IFERROR(INDEX('Challan Master'!$D$4:$D$207,MATCH($B185,'Challan Master'!$S$4:$S$207,0)),""))-MONTH(J185))+1),0))))</f>
      </c>
      <c r="P185" s="7">
        <f>IF($D185="","",0)</f>
      </c>
      <c r="Q185" s="8"/>
      <c r="R185" s="8"/>
      <c r="S185" s="8"/>
      <c r="T185" s="8"/>
      <c r="U185" s="8"/>
      <c r="V185" s="7">
        <f>IF($B185="","",IFERROR(INDEX('Challan Master'!$AA$4:$AA$207,MATCH($B185,'Challan Master'!$S$4:$S$207,0)),""))</f>
      </c>
    </row>
    <row r="186" spans="1:22" x14ac:dyDescent="0.25">
      <c r="A186" s="7">
        <f>IF($D186="","",COUNTIF($D$4:$D186,"&lt;&gt;"))</f>
      </c>
      <c r="B186" s="8"/>
      <c r="C186" s="7">
        <f>IF($B186="","","BSR "&amp;IFERROR(INDEX('Challan Master'!$B$4:$B$207,MATCH($B186,'Challan Master'!$S$4:$S$207,0)),"")&amp;" | Serial "&amp;IFERROR(INDEX('Challan Master'!$C$4:$C$207,MATCH($B186,'Challan Master'!$S$4:$S$207,0)),"")&amp;" | Deposit "&amp;TEXT(IFERROR(INDEX('Challan Master'!$D$4:$D$207,MATCH($B186,'Challan Master'!$S$4:$S$207,0)),""),"dd-mm-yyyy")&amp;" | Minor Head "&amp;IFERROR(INDEX('Challan Master'!$E$4:$E$207,MATCH($B186,'Challan Master'!$S$4:$S$207,0)),"")&amp;" | Tax ₹"&amp;TEXT(IFERROR(INDEX('Challan Master'!$G$4:$G$207,MATCH($B186,'Challan Master'!$S$4:$S$207,0)),""),"#,##0")&amp;" | Section "&amp;IFERROR(INDEX('Challan Master'!$F$4:$F$207,MATCH($B186,'Challan Master'!$S$4:$S$207,0)),""))</f>
      </c>
      <c r="D186" s="8"/>
      <c r="E186" s="8"/>
      <c r="F186" s="7">
        <f>IF($D186="","",IF(AND(LEN(TRIM(UPPER(E186)))=10,CODE(MID(TRIM(UPPER(E186)),1,1))&gt;=65,CODE(MID(TRIM(UPPER(E186)),1,1))&lt;=90,CODE(MID(TRIM(UPPER(E186)),2,1))&gt;=65,CODE(MID(TRIM(UPPER(E186)),2,1))&lt;=90,CODE(MID(TRIM(UPPER(E186)),3,1))&gt;=65,CODE(MID(TRIM(UPPER(E186)),3,1))&lt;=90,CODE(MID(TRIM(UPPER(E186)),4,1))&gt;=65,CODE(MID(TRIM(UPPER(E186)),4,1))&lt;=90,CODE(MID(TRIM(UPPER(E186)),5,1))&gt;=65,CODE(MID(TRIM(UPPER(E186)),5,1))&lt;=90,CODE(MID(TRIM(UPPER(E186)),10,1))&gt;=65,CODE(MID(TRIM(UPPER(E186)),10,1))&lt;=90,CODE(MID(TRIM(UPPER(E186)),6,1))&gt;=48,CODE(MID(TRIM(UPPER(E186)),6,1))&lt;=57,CODE(MID(TRIM(UPPER(E186)),7,1))&gt;=48,CODE(MID(TRIM(UPPER(E186)),7,1))&lt;=57,CODE(MID(TRIM(UPPER(E186)),8,1))&gt;=48,CODE(MID(TRIM(UPPER(E186)),8,1))&lt;=57,CODE(MID(TRIM(UPPER(E186)),9,1))&gt;=48,CODE(MID(TRIM(UPPER(E186)),9,1))&lt;=57),"N","Y"))</f>
      </c>
      <c r="G186" s="7">
        <f>IF($D186="","",IF(LEN(E186)&lt;4,"",IF(UPPER(MID(E186,4,1))="P","Individual",IF(UPPER(MID(E186,4,1))="H","HUF",IF(UPPER(MID(E186,4,1))="C","Company",IF(UPPER(MID(E186,4,1))="F","Firm",IF(UPPER(MID(E186,4,1))="L","LLP",IF(UPPER(MID(E186,4,1))="T","Trust",IF(UPPER(MID(E186,4,1))="A","AOP","")))))))))</f>
      </c>
      <c r="H186" s="8"/>
      <c r="I186" s="7">
        <f>IF($D186="","",IF(H186="","",IF(F186="Y",SUMPRODUCT(('Rate Lookup'!$A$1:$A$37=H186)*'Rate Lookup'!$D$1:$D$37),IF(OR(G186="Individual",G186="HUF"),SUMPRODUCT(('Rate Lookup'!$A$1:$A$37=H186)*'Rate Lookup'!$B$1:$B$37),SUMPRODUCT(('Rate Lookup'!$A$1:$A$37=H186)*'Rate Lookup'!$C$1:$C$37)))))</f>
      </c>
      <c r="J186" s="8"/>
      <c r="K186" s="8"/>
      <c r="L186" s="7">
        <f>IF($D186="","",ROUND(K186*I186/100,0))</f>
      </c>
      <c r="M186" s="7">
        <f>IF($D186="","",0)</f>
      </c>
      <c r="N186" s="7">
        <f>IF($D186="","",0)</f>
      </c>
      <c r="O186" s="7">
        <f>IF($D186="","",IF(OR(L186=0,J186="",IFERROR(INDEX('Challan Master'!$D$4:$D$207,MATCH($B186,'Challan Master'!$S$4:$S$207,0)),"")="",IFERROR(INDEX('Challan Master'!$D$4:$D$207,MATCH($B186,'Challan Master'!$S$4:$S$207,0)),"")&lt;=0),0,IF(IFERROR(INDEX('Challan Master'!$D$4:$D$207,MATCH($B186,'Challan Master'!$S$4:$S$207,0)),"")&lt;=DATE(YEAR(J186),MONTH(J186)+1,7),0,ROUND(L186*0.015*((YEAR(IFERROR(INDEX('Challan Master'!$D$4:$D$207,MATCH($B186,'Challan Master'!$S$4:$S$207,0)),""))-YEAR(J186))*12+(MONTH(IFERROR(INDEX('Challan Master'!$D$4:$D$207,MATCH($B186,'Challan Master'!$S$4:$S$207,0)),""))-MONTH(J186))+1),0))))</f>
      </c>
      <c r="P186" s="7">
        <f>IF($D186="","",0)</f>
      </c>
      <c r="Q186" s="8"/>
      <c r="R186" s="8"/>
      <c r="S186" s="8"/>
      <c r="T186" s="8"/>
      <c r="U186" s="8"/>
      <c r="V186" s="7">
        <f>IF($B186="","",IFERROR(INDEX('Challan Master'!$AA$4:$AA$207,MATCH($B186,'Challan Master'!$S$4:$S$207,0)),""))</f>
      </c>
    </row>
    <row r="187" spans="1:22" x14ac:dyDescent="0.25">
      <c r="A187" s="7">
        <f>IF($D187="","",COUNTIF($D$4:$D187,"&lt;&gt;"))</f>
      </c>
      <c r="B187" s="8"/>
      <c r="C187" s="7">
        <f>IF($B187="","","BSR "&amp;IFERROR(INDEX('Challan Master'!$B$4:$B$207,MATCH($B187,'Challan Master'!$S$4:$S$207,0)),"")&amp;" | Serial "&amp;IFERROR(INDEX('Challan Master'!$C$4:$C$207,MATCH($B187,'Challan Master'!$S$4:$S$207,0)),"")&amp;" | Deposit "&amp;TEXT(IFERROR(INDEX('Challan Master'!$D$4:$D$207,MATCH($B187,'Challan Master'!$S$4:$S$207,0)),""),"dd-mm-yyyy")&amp;" | Minor Head "&amp;IFERROR(INDEX('Challan Master'!$E$4:$E$207,MATCH($B187,'Challan Master'!$S$4:$S$207,0)),"")&amp;" | Tax ₹"&amp;TEXT(IFERROR(INDEX('Challan Master'!$G$4:$G$207,MATCH($B187,'Challan Master'!$S$4:$S$207,0)),""),"#,##0")&amp;" | Section "&amp;IFERROR(INDEX('Challan Master'!$F$4:$F$207,MATCH($B187,'Challan Master'!$S$4:$S$207,0)),""))</f>
      </c>
      <c r="D187" s="8"/>
      <c r="E187" s="8"/>
      <c r="F187" s="7">
        <f>IF($D187="","",IF(AND(LEN(TRIM(UPPER(E187)))=10,CODE(MID(TRIM(UPPER(E187)),1,1))&gt;=65,CODE(MID(TRIM(UPPER(E187)),1,1))&lt;=90,CODE(MID(TRIM(UPPER(E187)),2,1))&gt;=65,CODE(MID(TRIM(UPPER(E187)),2,1))&lt;=90,CODE(MID(TRIM(UPPER(E187)),3,1))&gt;=65,CODE(MID(TRIM(UPPER(E187)),3,1))&lt;=90,CODE(MID(TRIM(UPPER(E187)),4,1))&gt;=65,CODE(MID(TRIM(UPPER(E187)),4,1))&lt;=90,CODE(MID(TRIM(UPPER(E187)),5,1))&gt;=65,CODE(MID(TRIM(UPPER(E187)),5,1))&lt;=90,CODE(MID(TRIM(UPPER(E187)),10,1))&gt;=65,CODE(MID(TRIM(UPPER(E187)),10,1))&lt;=90,CODE(MID(TRIM(UPPER(E187)),6,1))&gt;=48,CODE(MID(TRIM(UPPER(E187)),6,1))&lt;=57,CODE(MID(TRIM(UPPER(E187)),7,1))&gt;=48,CODE(MID(TRIM(UPPER(E187)),7,1))&lt;=57,CODE(MID(TRIM(UPPER(E187)),8,1))&gt;=48,CODE(MID(TRIM(UPPER(E187)),8,1))&lt;=57,CODE(MID(TRIM(UPPER(E187)),9,1))&gt;=48,CODE(MID(TRIM(UPPER(E187)),9,1))&lt;=57),"N","Y"))</f>
      </c>
      <c r="G187" s="7">
        <f>IF($D187="","",IF(LEN(E187)&lt;4,"",IF(UPPER(MID(E187,4,1))="P","Individual",IF(UPPER(MID(E187,4,1))="H","HUF",IF(UPPER(MID(E187,4,1))="C","Company",IF(UPPER(MID(E187,4,1))="F","Firm",IF(UPPER(MID(E187,4,1))="L","LLP",IF(UPPER(MID(E187,4,1))="T","Trust",IF(UPPER(MID(E187,4,1))="A","AOP","")))))))))</f>
      </c>
      <c r="H187" s="8"/>
      <c r="I187" s="7">
        <f>IF($D187="","",IF(H187="","",IF(F187="Y",SUMPRODUCT(('Rate Lookup'!$A$1:$A$37=H187)*'Rate Lookup'!$D$1:$D$37),IF(OR(G187="Individual",G187="HUF"),SUMPRODUCT(('Rate Lookup'!$A$1:$A$37=H187)*'Rate Lookup'!$B$1:$B$37),SUMPRODUCT(('Rate Lookup'!$A$1:$A$37=H187)*'Rate Lookup'!$C$1:$C$37)))))</f>
      </c>
      <c r="J187" s="8"/>
      <c r="K187" s="8"/>
      <c r="L187" s="7">
        <f>IF($D187="","",ROUND(K187*I187/100,0))</f>
      </c>
      <c r="M187" s="7">
        <f>IF($D187="","",0)</f>
      </c>
      <c r="N187" s="7">
        <f>IF($D187="","",0)</f>
      </c>
      <c r="O187" s="7">
        <f>IF($D187="","",IF(OR(L187=0,J187="",IFERROR(INDEX('Challan Master'!$D$4:$D$207,MATCH($B187,'Challan Master'!$S$4:$S$207,0)),"")="",IFERROR(INDEX('Challan Master'!$D$4:$D$207,MATCH($B187,'Challan Master'!$S$4:$S$207,0)),"")&lt;=0),0,IF(IFERROR(INDEX('Challan Master'!$D$4:$D$207,MATCH($B187,'Challan Master'!$S$4:$S$207,0)),"")&lt;=DATE(YEAR(J187),MONTH(J187)+1,7),0,ROUND(L187*0.015*((YEAR(IFERROR(INDEX('Challan Master'!$D$4:$D$207,MATCH($B187,'Challan Master'!$S$4:$S$207,0)),""))-YEAR(J187))*12+(MONTH(IFERROR(INDEX('Challan Master'!$D$4:$D$207,MATCH($B187,'Challan Master'!$S$4:$S$207,0)),""))-MONTH(J187))+1),0))))</f>
      </c>
      <c r="P187" s="7">
        <f>IF($D187="","",0)</f>
      </c>
      <c r="Q187" s="8"/>
      <c r="R187" s="8"/>
      <c r="S187" s="8"/>
      <c r="T187" s="8"/>
      <c r="U187" s="8"/>
      <c r="V187" s="7">
        <f>IF($B187="","",IFERROR(INDEX('Challan Master'!$AA$4:$AA$207,MATCH($B187,'Challan Master'!$S$4:$S$207,0)),""))</f>
      </c>
    </row>
    <row r="188" spans="1:22" x14ac:dyDescent="0.25">
      <c r="A188" s="7">
        <f>IF($D188="","",COUNTIF($D$4:$D188,"&lt;&gt;"))</f>
      </c>
      <c r="B188" s="8"/>
      <c r="C188" s="7">
        <f>IF($B188="","","BSR "&amp;IFERROR(INDEX('Challan Master'!$B$4:$B$207,MATCH($B188,'Challan Master'!$S$4:$S$207,0)),"")&amp;" | Serial "&amp;IFERROR(INDEX('Challan Master'!$C$4:$C$207,MATCH($B188,'Challan Master'!$S$4:$S$207,0)),"")&amp;" | Deposit "&amp;TEXT(IFERROR(INDEX('Challan Master'!$D$4:$D$207,MATCH($B188,'Challan Master'!$S$4:$S$207,0)),""),"dd-mm-yyyy")&amp;" | Minor Head "&amp;IFERROR(INDEX('Challan Master'!$E$4:$E$207,MATCH($B188,'Challan Master'!$S$4:$S$207,0)),"")&amp;" | Tax ₹"&amp;TEXT(IFERROR(INDEX('Challan Master'!$G$4:$G$207,MATCH($B188,'Challan Master'!$S$4:$S$207,0)),""),"#,##0")&amp;" | Section "&amp;IFERROR(INDEX('Challan Master'!$F$4:$F$207,MATCH($B188,'Challan Master'!$S$4:$S$207,0)),""))</f>
      </c>
      <c r="D188" s="8"/>
      <c r="E188" s="8"/>
      <c r="F188" s="7">
        <f>IF($D188="","",IF(AND(LEN(TRIM(UPPER(E188)))=10,CODE(MID(TRIM(UPPER(E188)),1,1))&gt;=65,CODE(MID(TRIM(UPPER(E188)),1,1))&lt;=90,CODE(MID(TRIM(UPPER(E188)),2,1))&gt;=65,CODE(MID(TRIM(UPPER(E188)),2,1))&lt;=90,CODE(MID(TRIM(UPPER(E188)),3,1))&gt;=65,CODE(MID(TRIM(UPPER(E188)),3,1))&lt;=90,CODE(MID(TRIM(UPPER(E188)),4,1))&gt;=65,CODE(MID(TRIM(UPPER(E188)),4,1))&lt;=90,CODE(MID(TRIM(UPPER(E188)),5,1))&gt;=65,CODE(MID(TRIM(UPPER(E188)),5,1))&lt;=90,CODE(MID(TRIM(UPPER(E188)),10,1))&gt;=65,CODE(MID(TRIM(UPPER(E188)),10,1))&lt;=90,CODE(MID(TRIM(UPPER(E188)),6,1))&gt;=48,CODE(MID(TRIM(UPPER(E188)),6,1))&lt;=57,CODE(MID(TRIM(UPPER(E188)),7,1))&gt;=48,CODE(MID(TRIM(UPPER(E188)),7,1))&lt;=57,CODE(MID(TRIM(UPPER(E188)),8,1))&gt;=48,CODE(MID(TRIM(UPPER(E188)),8,1))&lt;=57,CODE(MID(TRIM(UPPER(E188)),9,1))&gt;=48,CODE(MID(TRIM(UPPER(E188)),9,1))&lt;=57),"N","Y"))</f>
      </c>
      <c r="G188" s="7">
        <f>IF($D188="","",IF(LEN(E188)&lt;4,"",IF(UPPER(MID(E188,4,1))="P","Individual",IF(UPPER(MID(E188,4,1))="H","HUF",IF(UPPER(MID(E188,4,1))="C","Company",IF(UPPER(MID(E188,4,1))="F","Firm",IF(UPPER(MID(E188,4,1))="L","LLP",IF(UPPER(MID(E188,4,1))="T","Trust",IF(UPPER(MID(E188,4,1))="A","AOP","")))))))))</f>
      </c>
      <c r="H188" s="8"/>
      <c r="I188" s="7">
        <f>IF($D188="","",IF(H188="","",IF(F188="Y",SUMPRODUCT(('Rate Lookup'!$A$1:$A$37=H188)*'Rate Lookup'!$D$1:$D$37),IF(OR(G188="Individual",G188="HUF"),SUMPRODUCT(('Rate Lookup'!$A$1:$A$37=H188)*'Rate Lookup'!$B$1:$B$37),SUMPRODUCT(('Rate Lookup'!$A$1:$A$37=H188)*'Rate Lookup'!$C$1:$C$37)))))</f>
      </c>
      <c r="J188" s="8"/>
      <c r="K188" s="8"/>
      <c r="L188" s="7">
        <f>IF($D188="","",ROUND(K188*I188/100,0))</f>
      </c>
      <c r="M188" s="7">
        <f>IF($D188="","",0)</f>
      </c>
      <c r="N188" s="7">
        <f>IF($D188="","",0)</f>
      </c>
      <c r="O188" s="7">
        <f>IF($D188="","",IF(OR(L188=0,J188="",IFERROR(INDEX('Challan Master'!$D$4:$D$207,MATCH($B188,'Challan Master'!$S$4:$S$207,0)),"")="",IFERROR(INDEX('Challan Master'!$D$4:$D$207,MATCH($B188,'Challan Master'!$S$4:$S$207,0)),"")&lt;=0),0,IF(IFERROR(INDEX('Challan Master'!$D$4:$D$207,MATCH($B188,'Challan Master'!$S$4:$S$207,0)),"")&lt;=DATE(YEAR(J188),MONTH(J188)+1,7),0,ROUND(L188*0.015*((YEAR(IFERROR(INDEX('Challan Master'!$D$4:$D$207,MATCH($B188,'Challan Master'!$S$4:$S$207,0)),""))-YEAR(J188))*12+(MONTH(IFERROR(INDEX('Challan Master'!$D$4:$D$207,MATCH($B188,'Challan Master'!$S$4:$S$207,0)),""))-MONTH(J188))+1),0))))</f>
      </c>
      <c r="P188" s="7">
        <f>IF($D188="","",0)</f>
      </c>
      <c r="Q188" s="8"/>
      <c r="R188" s="8"/>
      <c r="S188" s="8"/>
      <c r="T188" s="8"/>
      <c r="U188" s="8"/>
      <c r="V188" s="7">
        <f>IF($B188="","",IFERROR(INDEX('Challan Master'!$AA$4:$AA$207,MATCH($B188,'Challan Master'!$S$4:$S$207,0)),""))</f>
      </c>
    </row>
    <row r="189" spans="1:22" x14ac:dyDescent="0.25">
      <c r="A189" s="7">
        <f>IF($D189="","",COUNTIF($D$4:$D189,"&lt;&gt;"))</f>
      </c>
      <c r="B189" s="8"/>
      <c r="C189" s="7">
        <f>IF($B189="","","BSR "&amp;IFERROR(INDEX('Challan Master'!$B$4:$B$207,MATCH($B189,'Challan Master'!$S$4:$S$207,0)),"")&amp;" | Serial "&amp;IFERROR(INDEX('Challan Master'!$C$4:$C$207,MATCH($B189,'Challan Master'!$S$4:$S$207,0)),"")&amp;" | Deposit "&amp;TEXT(IFERROR(INDEX('Challan Master'!$D$4:$D$207,MATCH($B189,'Challan Master'!$S$4:$S$207,0)),""),"dd-mm-yyyy")&amp;" | Minor Head "&amp;IFERROR(INDEX('Challan Master'!$E$4:$E$207,MATCH($B189,'Challan Master'!$S$4:$S$207,0)),"")&amp;" | Tax ₹"&amp;TEXT(IFERROR(INDEX('Challan Master'!$G$4:$G$207,MATCH($B189,'Challan Master'!$S$4:$S$207,0)),""),"#,##0")&amp;" | Section "&amp;IFERROR(INDEX('Challan Master'!$F$4:$F$207,MATCH($B189,'Challan Master'!$S$4:$S$207,0)),""))</f>
      </c>
      <c r="D189" s="8"/>
      <c r="E189" s="8"/>
      <c r="F189" s="7">
        <f>IF($D189="","",IF(AND(LEN(TRIM(UPPER(E189)))=10,CODE(MID(TRIM(UPPER(E189)),1,1))&gt;=65,CODE(MID(TRIM(UPPER(E189)),1,1))&lt;=90,CODE(MID(TRIM(UPPER(E189)),2,1))&gt;=65,CODE(MID(TRIM(UPPER(E189)),2,1))&lt;=90,CODE(MID(TRIM(UPPER(E189)),3,1))&gt;=65,CODE(MID(TRIM(UPPER(E189)),3,1))&lt;=90,CODE(MID(TRIM(UPPER(E189)),4,1))&gt;=65,CODE(MID(TRIM(UPPER(E189)),4,1))&lt;=90,CODE(MID(TRIM(UPPER(E189)),5,1))&gt;=65,CODE(MID(TRIM(UPPER(E189)),5,1))&lt;=90,CODE(MID(TRIM(UPPER(E189)),10,1))&gt;=65,CODE(MID(TRIM(UPPER(E189)),10,1))&lt;=90,CODE(MID(TRIM(UPPER(E189)),6,1))&gt;=48,CODE(MID(TRIM(UPPER(E189)),6,1))&lt;=57,CODE(MID(TRIM(UPPER(E189)),7,1))&gt;=48,CODE(MID(TRIM(UPPER(E189)),7,1))&lt;=57,CODE(MID(TRIM(UPPER(E189)),8,1))&gt;=48,CODE(MID(TRIM(UPPER(E189)),8,1))&lt;=57,CODE(MID(TRIM(UPPER(E189)),9,1))&gt;=48,CODE(MID(TRIM(UPPER(E189)),9,1))&lt;=57),"N","Y"))</f>
      </c>
      <c r="G189" s="7">
        <f>IF($D189="","",IF(LEN(E189)&lt;4,"",IF(UPPER(MID(E189,4,1))="P","Individual",IF(UPPER(MID(E189,4,1))="H","HUF",IF(UPPER(MID(E189,4,1))="C","Company",IF(UPPER(MID(E189,4,1))="F","Firm",IF(UPPER(MID(E189,4,1))="L","LLP",IF(UPPER(MID(E189,4,1))="T","Trust",IF(UPPER(MID(E189,4,1))="A","AOP","")))))))))</f>
      </c>
      <c r="H189" s="8"/>
      <c r="I189" s="7">
        <f>IF($D189="","",IF(H189="","",IF(F189="Y",SUMPRODUCT(('Rate Lookup'!$A$1:$A$37=H189)*'Rate Lookup'!$D$1:$D$37),IF(OR(G189="Individual",G189="HUF"),SUMPRODUCT(('Rate Lookup'!$A$1:$A$37=H189)*'Rate Lookup'!$B$1:$B$37),SUMPRODUCT(('Rate Lookup'!$A$1:$A$37=H189)*'Rate Lookup'!$C$1:$C$37)))))</f>
      </c>
      <c r="J189" s="8"/>
      <c r="K189" s="8"/>
      <c r="L189" s="7">
        <f>IF($D189="","",ROUND(K189*I189/100,0))</f>
      </c>
      <c r="M189" s="7">
        <f>IF($D189="","",0)</f>
      </c>
      <c r="N189" s="7">
        <f>IF($D189="","",0)</f>
      </c>
      <c r="O189" s="7">
        <f>IF($D189="","",IF(OR(L189=0,J189="",IFERROR(INDEX('Challan Master'!$D$4:$D$207,MATCH($B189,'Challan Master'!$S$4:$S$207,0)),"")="",IFERROR(INDEX('Challan Master'!$D$4:$D$207,MATCH($B189,'Challan Master'!$S$4:$S$207,0)),"")&lt;=0),0,IF(IFERROR(INDEX('Challan Master'!$D$4:$D$207,MATCH($B189,'Challan Master'!$S$4:$S$207,0)),"")&lt;=DATE(YEAR(J189),MONTH(J189)+1,7),0,ROUND(L189*0.015*((YEAR(IFERROR(INDEX('Challan Master'!$D$4:$D$207,MATCH($B189,'Challan Master'!$S$4:$S$207,0)),""))-YEAR(J189))*12+(MONTH(IFERROR(INDEX('Challan Master'!$D$4:$D$207,MATCH($B189,'Challan Master'!$S$4:$S$207,0)),""))-MONTH(J189))+1),0))))</f>
      </c>
      <c r="P189" s="7">
        <f>IF($D189="","",0)</f>
      </c>
      <c r="Q189" s="8"/>
      <c r="R189" s="8"/>
      <c r="S189" s="8"/>
      <c r="T189" s="8"/>
      <c r="U189" s="8"/>
      <c r="V189" s="7">
        <f>IF($B189="","",IFERROR(INDEX('Challan Master'!$AA$4:$AA$207,MATCH($B189,'Challan Master'!$S$4:$S$207,0)),""))</f>
      </c>
    </row>
    <row r="190" spans="1:22" x14ac:dyDescent="0.25">
      <c r="A190" s="7">
        <f>IF($D190="","",COUNTIF($D$4:$D190,"&lt;&gt;"))</f>
      </c>
      <c r="B190" s="8"/>
      <c r="C190" s="7">
        <f>IF($B190="","","BSR "&amp;IFERROR(INDEX('Challan Master'!$B$4:$B$207,MATCH($B190,'Challan Master'!$S$4:$S$207,0)),"")&amp;" | Serial "&amp;IFERROR(INDEX('Challan Master'!$C$4:$C$207,MATCH($B190,'Challan Master'!$S$4:$S$207,0)),"")&amp;" | Deposit "&amp;TEXT(IFERROR(INDEX('Challan Master'!$D$4:$D$207,MATCH($B190,'Challan Master'!$S$4:$S$207,0)),""),"dd-mm-yyyy")&amp;" | Minor Head "&amp;IFERROR(INDEX('Challan Master'!$E$4:$E$207,MATCH($B190,'Challan Master'!$S$4:$S$207,0)),"")&amp;" | Tax ₹"&amp;TEXT(IFERROR(INDEX('Challan Master'!$G$4:$G$207,MATCH($B190,'Challan Master'!$S$4:$S$207,0)),""),"#,##0")&amp;" | Section "&amp;IFERROR(INDEX('Challan Master'!$F$4:$F$207,MATCH($B190,'Challan Master'!$S$4:$S$207,0)),""))</f>
      </c>
      <c r="D190" s="8"/>
      <c r="E190" s="8"/>
      <c r="F190" s="7">
        <f>IF($D190="","",IF(AND(LEN(TRIM(UPPER(E190)))=10,CODE(MID(TRIM(UPPER(E190)),1,1))&gt;=65,CODE(MID(TRIM(UPPER(E190)),1,1))&lt;=90,CODE(MID(TRIM(UPPER(E190)),2,1))&gt;=65,CODE(MID(TRIM(UPPER(E190)),2,1))&lt;=90,CODE(MID(TRIM(UPPER(E190)),3,1))&gt;=65,CODE(MID(TRIM(UPPER(E190)),3,1))&lt;=90,CODE(MID(TRIM(UPPER(E190)),4,1))&gt;=65,CODE(MID(TRIM(UPPER(E190)),4,1))&lt;=90,CODE(MID(TRIM(UPPER(E190)),5,1))&gt;=65,CODE(MID(TRIM(UPPER(E190)),5,1))&lt;=90,CODE(MID(TRIM(UPPER(E190)),10,1))&gt;=65,CODE(MID(TRIM(UPPER(E190)),10,1))&lt;=90,CODE(MID(TRIM(UPPER(E190)),6,1))&gt;=48,CODE(MID(TRIM(UPPER(E190)),6,1))&lt;=57,CODE(MID(TRIM(UPPER(E190)),7,1))&gt;=48,CODE(MID(TRIM(UPPER(E190)),7,1))&lt;=57,CODE(MID(TRIM(UPPER(E190)),8,1))&gt;=48,CODE(MID(TRIM(UPPER(E190)),8,1))&lt;=57,CODE(MID(TRIM(UPPER(E190)),9,1))&gt;=48,CODE(MID(TRIM(UPPER(E190)),9,1))&lt;=57),"N","Y"))</f>
      </c>
      <c r="G190" s="7">
        <f>IF($D190="","",IF(LEN(E190)&lt;4,"",IF(UPPER(MID(E190,4,1))="P","Individual",IF(UPPER(MID(E190,4,1))="H","HUF",IF(UPPER(MID(E190,4,1))="C","Company",IF(UPPER(MID(E190,4,1))="F","Firm",IF(UPPER(MID(E190,4,1))="L","LLP",IF(UPPER(MID(E190,4,1))="T","Trust",IF(UPPER(MID(E190,4,1))="A","AOP","")))))))))</f>
      </c>
      <c r="H190" s="8"/>
      <c r="I190" s="7">
        <f>IF($D190="","",IF(H190="","",IF(F190="Y",SUMPRODUCT(('Rate Lookup'!$A$1:$A$37=H190)*'Rate Lookup'!$D$1:$D$37),IF(OR(G190="Individual",G190="HUF"),SUMPRODUCT(('Rate Lookup'!$A$1:$A$37=H190)*'Rate Lookup'!$B$1:$B$37),SUMPRODUCT(('Rate Lookup'!$A$1:$A$37=H190)*'Rate Lookup'!$C$1:$C$37)))))</f>
      </c>
      <c r="J190" s="8"/>
      <c r="K190" s="8"/>
      <c r="L190" s="7">
        <f>IF($D190="","",ROUND(K190*I190/100,0))</f>
      </c>
      <c r="M190" s="7">
        <f>IF($D190="","",0)</f>
      </c>
      <c r="N190" s="7">
        <f>IF($D190="","",0)</f>
      </c>
      <c r="O190" s="7">
        <f>IF($D190="","",IF(OR(L190=0,J190="",IFERROR(INDEX('Challan Master'!$D$4:$D$207,MATCH($B190,'Challan Master'!$S$4:$S$207,0)),"")="",IFERROR(INDEX('Challan Master'!$D$4:$D$207,MATCH($B190,'Challan Master'!$S$4:$S$207,0)),"")&lt;=0),0,IF(IFERROR(INDEX('Challan Master'!$D$4:$D$207,MATCH($B190,'Challan Master'!$S$4:$S$207,0)),"")&lt;=DATE(YEAR(J190),MONTH(J190)+1,7),0,ROUND(L190*0.015*((YEAR(IFERROR(INDEX('Challan Master'!$D$4:$D$207,MATCH($B190,'Challan Master'!$S$4:$S$207,0)),""))-YEAR(J190))*12+(MONTH(IFERROR(INDEX('Challan Master'!$D$4:$D$207,MATCH($B190,'Challan Master'!$S$4:$S$207,0)),""))-MONTH(J190))+1),0))))</f>
      </c>
      <c r="P190" s="7">
        <f>IF($D190="","",0)</f>
      </c>
      <c r="Q190" s="8"/>
      <c r="R190" s="8"/>
      <c r="S190" s="8"/>
      <c r="T190" s="8"/>
      <c r="U190" s="8"/>
      <c r="V190" s="7">
        <f>IF($B190="","",IFERROR(INDEX('Challan Master'!$AA$4:$AA$207,MATCH($B190,'Challan Master'!$S$4:$S$207,0)),""))</f>
      </c>
    </row>
    <row r="191" spans="1:22" x14ac:dyDescent="0.25">
      <c r="A191" s="7">
        <f>IF($D191="","",COUNTIF($D$4:$D191,"&lt;&gt;"))</f>
      </c>
      <c r="B191" s="8"/>
      <c r="C191" s="7">
        <f>IF($B191="","","BSR "&amp;IFERROR(INDEX('Challan Master'!$B$4:$B$207,MATCH($B191,'Challan Master'!$S$4:$S$207,0)),"")&amp;" | Serial "&amp;IFERROR(INDEX('Challan Master'!$C$4:$C$207,MATCH($B191,'Challan Master'!$S$4:$S$207,0)),"")&amp;" | Deposit "&amp;TEXT(IFERROR(INDEX('Challan Master'!$D$4:$D$207,MATCH($B191,'Challan Master'!$S$4:$S$207,0)),""),"dd-mm-yyyy")&amp;" | Minor Head "&amp;IFERROR(INDEX('Challan Master'!$E$4:$E$207,MATCH($B191,'Challan Master'!$S$4:$S$207,0)),"")&amp;" | Tax ₹"&amp;TEXT(IFERROR(INDEX('Challan Master'!$G$4:$G$207,MATCH($B191,'Challan Master'!$S$4:$S$207,0)),""),"#,##0")&amp;" | Section "&amp;IFERROR(INDEX('Challan Master'!$F$4:$F$207,MATCH($B191,'Challan Master'!$S$4:$S$207,0)),""))</f>
      </c>
      <c r="D191" s="8"/>
      <c r="E191" s="8"/>
      <c r="F191" s="7">
        <f>IF($D191="","",IF(AND(LEN(TRIM(UPPER(E191)))=10,CODE(MID(TRIM(UPPER(E191)),1,1))&gt;=65,CODE(MID(TRIM(UPPER(E191)),1,1))&lt;=90,CODE(MID(TRIM(UPPER(E191)),2,1))&gt;=65,CODE(MID(TRIM(UPPER(E191)),2,1))&lt;=90,CODE(MID(TRIM(UPPER(E191)),3,1))&gt;=65,CODE(MID(TRIM(UPPER(E191)),3,1))&lt;=90,CODE(MID(TRIM(UPPER(E191)),4,1))&gt;=65,CODE(MID(TRIM(UPPER(E191)),4,1))&lt;=90,CODE(MID(TRIM(UPPER(E191)),5,1))&gt;=65,CODE(MID(TRIM(UPPER(E191)),5,1))&lt;=90,CODE(MID(TRIM(UPPER(E191)),10,1))&gt;=65,CODE(MID(TRIM(UPPER(E191)),10,1))&lt;=90,CODE(MID(TRIM(UPPER(E191)),6,1))&gt;=48,CODE(MID(TRIM(UPPER(E191)),6,1))&lt;=57,CODE(MID(TRIM(UPPER(E191)),7,1))&gt;=48,CODE(MID(TRIM(UPPER(E191)),7,1))&lt;=57,CODE(MID(TRIM(UPPER(E191)),8,1))&gt;=48,CODE(MID(TRIM(UPPER(E191)),8,1))&lt;=57,CODE(MID(TRIM(UPPER(E191)),9,1))&gt;=48,CODE(MID(TRIM(UPPER(E191)),9,1))&lt;=57),"N","Y"))</f>
      </c>
      <c r="G191" s="7">
        <f>IF($D191="","",IF(LEN(E191)&lt;4,"",IF(UPPER(MID(E191,4,1))="P","Individual",IF(UPPER(MID(E191,4,1))="H","HUF",IF(UPPER(MID(E191,4,1))="C","Company",IF(UPPER(MID(E191,4,1))="F","Firm",IF(UPPER(MID(E191,4,1))="L","LLP",IF(UPPER(MID(E191,4,1))="T","Trust",IF(UPPER(MID(E191,4,1))="A","AOP","")))))))))</f>
      </c>
      <c r="H191" s="8"/>
      <c r="I191" s="7">
        <f>IF($D191="","",IF(H191="","",IF(F191="Y",SUMPRODUCT(('Rate Lookup'!$A$1:$A$37=H191)*'Rate Lookup'!$D$1:$D$37),IF(OR(G191="Individual",G191="HUF"),SUMPRODUCT(('Rate Lookup'!$A$1:$A$37=H191)*'Rate Lookup'!$B$1:$B$37),SUMPRODUCT(('Rate Lookup'!$A$1:$A$37=H191)*'Rate Lookup'!$C$1:$C$37)))))</f>
      </c>
      <c r="J191" s="8"/>
      <c r="K191" s="8"/>
      <c r="L191" s="7">
        <f>IF($D191="","",ROUND(K191*I191/100,0))</f>
      </c>
      <c r="M191" s="7">
        <f>IF($D191="","",0)</f>
      </c>
      <c r="N191" s="7">
        <f>IF($D191="","",0)</f>
      </c>
      <c r="O191" s="7">
        <f>IF($D191="","",IF(OR(L191=0,J191="",IFERROR(INDEX('Challan Master'!$D$4:$D$207,MATCH($B191,'Challan Master'!$S$4:$S$207,0)),"")="",IFERROR(INDEX('Challan Master'!$D$4:$D$207,MATCH($B191,'Challan Master'!$S$4:$S$207,0)),"")&lt;=0),0,IF(IFERROR(INDEX('Challan Master'!$D$4:$D$207,MATCH($B191,'Challan Master'!$S$4:$S$207,0)),"")&lt;=DATE(YEAR(J191),MONTH(J191)+1,7),0,ROUND(L191*0.015*((YEAR(IFERROR(INDEX('Challan Master'!$D$4:$D$207,MATCH($B191,'Challan Master'!$S$4:$S$207,0)),""))-YEAR(J191))*12+(MONTH(IFERROR(INDEX('Challan Master'!$D$4:$D$207,MATCH($B191,'Challan Master'!$S$4:$S$207,0)),""))-MONTH(J191))+1),0))))</f>
      </c>
      <c r="P191" s="7">
        <f>IF($D191="","",0)</f>
      </c>
      <c r="Q191" s="8"/>
      <c r="R191" s="8"/>
      <c r="S191" s="8"/>
      <c r="T191" s="8"/>
      <c r="U191" s="8"/>
      <c r="V191" s="7">
        <f>IF($B191="","",IFERROR(INDEX('Challan Master'!$AA$4:$AA$207,MATCH($B191,'Challan Master'!$S$4:$S$207,0)),""))</f>
      </c>
    </row>
    <row r="192" spans="1:22" x14ac:dyDescent="0.25">
      <c r="A192" s="7">
        <f>IF($D192="","",COUNTIF($D$4:$D192,"&lt;&gt;"))</f>
      </c>
      <c r="B192" s="8"/>
      <c r="C192" s="7">
        <f>IF($B192="","","BSR "&amp;IFERROR(INDEX('Challan Master'!$B$4:$B$207,MATCH($B192,'Challan Master'!$S$4:$S$207,0)),"")&amp;" | Serial "&amp;IFERROR(INDEX('Challan Master'!$C$4:$C$207,MATCH($B192,'Challan Master'!$S$4:$S$207,0)),"")&amp;" | Deposit "&amp;TEXT(IFERROR(INDEX('Challan Master'!$D$4:$D$207,MATCH($B192,'Challan Master'!$S$4:$S$207,0)),""),"dd-mm-yyyy")&amp;" | Minor Head "&amp;IFERROR(INDEX('Challan Master'!$E$4:$E$207,MATCH($B192,'Challan Master'!$S$4:$S$207,0)),"")&amp;" | Tax ₹"&amp;TEXT(IFERROR(INDEX('Challan Master'!$G$4:$G$207,MATCH($B192,'Challan Master'!$S$4:$S$207,0)),""),"#,##0")&amp;" | Section "&amp;IFERROR(INDEX('Challan Master'!$F$4:$F$207,MATCH($B192,'Challan Master'!$S$4:$S$207,0)),""))</f>
      </c>
      <c r="D192" s="8"/>
      <c r="E192" s="8"/>
      <c r="F192" s="7">
        <f>IF($D192="","",IF(AND(LEN(TRIM(UPPER(E192)))=10,CODE(MID(TRIM(UPPER(E192)),1,1))&gt;=65,CODE(MID(TRIM(UPPER(E192)),1,1))&lt;=90,CODE(MID(TRIM(UPPER(E192)),2,1))&gt;=65,CODE(MID(TRIM(UPPER(E192)),2,1))&lt;=90,CODE(MID(TRIM(UPPER(E192)),3,1))&gt;=65,CODE(MID(TRIM(UPPER(E192)),3,1))&lt;=90,CODE(MID(TRIM(UPPER(E192)),4,1))&gt;=65,CODE(MID(TRIM(UPPER(E192)),4,1))&lt;=90,CODE(MID(TRIM(UPPER(E192)),5,1))&gt;=65,CODE(MID(TRIM(UPPER(E192)),5,1))&lt;=90,CODE(MID(TRIM(UPPER(E192)),10,1))&gt;=65,CODE(MID(TRIM(UPPER(E192)),10,1))&lt;=90,CODE(MID(TRIM(UPPER(E192)),6,1))&gt;=48,CODE(MID(TRIM(UPPER(E192)),6,1))&lt;=57,CODE(MID(TRIM(UPPER(E192)),7,1))&gt;=48,CODE(MID(TRIM(UPPER(E192)),7,1))&lt;=57,CODE(MID(TRIM(UPPER(E192)),8,1))&gt;=48,CODE(MID(TRIM(UPPER(E192)),8,1))&lt;=57,CODE(MID(TRIM(UPPER(E192)),9,1))&gt;=48,CODE(MID(TRIM(UPPER(E192)),9,1))&lt;=57),"N","Y"))</f>
      </c>
      <c r="G192" s="7">
        <f>IF($D192="","",IF(LEN(E192)&lt;4,"",IF(UPPER(MID(E192,4,1))="P","Individual",IF(UPPER(MID(E192,4,1))="H","HUF",IF(UPPER(MID(E192,4,1))="C","Company",IF(UPPER(MID(E192,4,1))="F","Firm",IF(UPPER(MID(E192,4,1))="L","LLP",IF(UPPER(MID(E192,4,1))="T","Trust",IF(UPPER(MID(E192,4,1))="A","AOP","")))))))))</f>
      </c>
      <c r="H192" s="8"/>
      <c r="I192" s="7">
        <f>IF($D192="","",IF(H192="","",IF(F192="Y",SUMPRODUCT(('Rate Lookup'!$A$1:$A$37=H192)*'Rate Lookup'!$D$1:$D$37),IF(OR(G192="Individual",G192="HUF"),SUMPRODUCT(('Rate Lookup'!$A$1:$A$37=H192)*'Rate Lookup'!$B$1:$B$37),SUMPRODUCT(('Rate Lookup'!$A$1:$A$37=H192)*'Rate Lookup'!$C$1:$C$37)))))</f>
      </c>
      <c r="J192" s="8"/>
      <c r="K192" s="8"/>
      <c r="L192" s="7">
        <f>IF($D192="","",ROUND(K192*I192/100,0))</f>
      </c>
      <c r="M192" s="7">
        <f>IF($D192="","",0)</f>
      </c>
      <c r="N192" s="7">
        <f>IF($D192="","",0)</f>
      </c>
      <c r="O192" s="7">
        <f>IF($D192="","",IF(OR(L192=0,J192="",IFERROR(INDEX('Challan Master'!$D$4:$D$207,MATCH($B192,'Challan Master'!$S$4:$S$207,0)),"")="",IFERROR(INDEX('Challan Master'!$D$4:$D$207,MATCH($B192,'Challan Master'!$S$4:$S$207,0)),"")&lt;=0),0,IF(IFERROR(INDEX('Challan Master'!$D$4:$D$207,MATCH($B192,'Challan Master'!$S$4:$S$207,0)),"")&lt;=DATE(YEAR(J192),MONTH(J192)+1,7),0,ROUND(L192*0.015*((YEAR(IFERROR(INDEX('Challan Master'!$D$4:$D$207,MATCH($B192,'Challan Master'!$S$4:$S$207,0)),""))-YEAR(J192))*12+(MONTH(IFERROR(INDEX('Challan Master'!$D$4:$D$207,MATCH($B192,'Challan Master'!$S$4:$S$207,0)),""))-MONTH(J192))+1),0))))</f>
      </c>
      <c r="P192" s="7">
        <f>IF($D192="","",0)</f>
      </c>
      <c r="Q192" s="8"/>
      <c r="R192" s="8"/>
      <c r="S192" s="8"/>
      <c r="T192" s="8"/>
      <c r="U192" s="8"/>
      <c r="V192" s="7">
        <f>IF($B192="","",IFERROR(INDEX('Challan Master'!$AA$4:$AA$207,MATCH($B192,'Challan Master'!$S$4:$S$207,0)),""))</f>
      </c>
    </row>
    <row r="193" spans="1:22" x14ac:dyDescent="0.25">
      <c r="A193" s="7">
        <f>IF($D193="","",COUNTIF($D$4:$D193,"&lt;&gt;"))</f>
      </c>
      <c r="B193" s="8"/>
      <c r="C193" s="7">
        <f>IF($B193="","","BSR "&amp;IFERROR(INDEX('Challan Master'!$B$4:$B$207,MATCH($B193,'Challan Master'!$S$4:$S$207,0)),"")&amp;" | Serial "&amp;IFERROR(INDEX('Challan Master'!$C$4:$C$207,MATCH($B193,'Challan Master'!$S$4:$S$207,0)),"")&amp;" | Deposit "&amp;TEXT(IFERROR(INDEX('Challan Master'!$D$4:$D$207,MATCH($B193,'Challan Master'!$S$4:$S$207,0)),""),"dd-mm-yyyy")&amp;" | Minor Head "&amp;IFERROR(INDEX('Challan Master'!$E$4:$E$207,MATCH($B193,'Challan Master'!$S$4:$S$207,0)),"")&amp;" | Tax ₹"&amp;TEXT(IFERROR(INDEX('Challan Master'!$G$4:$G$207,MATCH($B193,'Challan Master'!$S$4:$S$207,0)),""),"#,##0")&amp;" | Section "&amp;IFERROR(INDEX('Challan Master'!$F$4:$F$207,MATCH($B193,'Challan Master'!$S$4:$S$207,0)),""))</f>
      </c>
      <c r="D193" s="8"/>
      <c r="E193" s="8"/>
      <c r="F193" s="7">
        <f>IF($D193="","",IF(AND(LEN(TRIM(UPPER(E193)))=10,CODE(MID(TRIM(UPPER(E193)),1,1))&gt;=65,CODE(MID(TRIM(UPPER(E193)),1,1))&lt;=90,CODE(MID(TRIM(UPPER(E193)),2,1))&gt;=65,CODE(MID(TRIM(UPPER(E193)),2,1))&lt;=90,CODE(MID(TRIM(UPPER(E193)),3,1))&gt;=65,CODE(MID(TRIM(UPPER(E193)),3,1))&lt;=90,CODE(MID(TRIM(UPPER(E193)),4,1))&gt;=65,CODE(MID(TRIM(UPPER(E193)),4,1))&lt;=90,CODE(MID(TRIM(UPPER(E193)),5,1))&gt;=65,CODE(MID(TRIM(UPPER(E193)),5,1))&lt;=90,CODE(MID(TRIM(UPPER(E193)),10,1))&gt;=65,CODE(MID(TRIM(UPPER(E193)),10,1))&lt;=90,CODE(MID(TRIM(UPPER(E193)),6,1))&gt;=48,CODE(MID(TRIM(UPPER(E193)),6,1))&lt;=57,CODE(MID(TRIM(UPPER(E193)),7,1))&gt;=48,CODE(MID(TRIM(UPPER(E193)),7,1))&lt;=57,CODE(MID(TRIM(UPPER(E193)),8,1))&gt;=48,CODE(MID(TRIM(UPPER(E193)),8,1))&lt;=57,CODE(MID(TRIM(UPPER(E193)),9,1))&gt;=48,CODE(MID(TRIM(UPPER(E193)),9,1))&lt;=57),"N","Y"))</f>
      </c>
      <c r="G193" s="7">
        <f>IF($D193="","",IF(LEN(E193)&lt;4,"",IF(UPPER(MID(E193,4,1))="P","Individual",IF(UPPER(MID(E193,4,1))="H","HUF",IF(UPPER(MID(E193,4,1))="C","Company",IF(UPPER(MID(E193,4,1))="F","Firm",IF(UPPER(MID(E193,4,1))="L","LLP",IF(UPPER(MID(E193,4,1))="T","Trust",IF(UPPER(MID(E193,4,1))="A","AOP","")))))))))</f>
      </c>
      <c r="H193" s="8"/>
      <c r="I193" s="7">
        <f>IF($D193="","",IF(H193="","",IF(F193="Y",SUMPRODUCT(('Rate Lookup'!$A$1:$A$37=H193)*'Rate Lookup'!$D$1:$D$37),IF(OR(G193="Individual",G193="HUF"),SUMPRODUCT(('Rate Lookup'!$A$1:$A$37=H193)*'Rate Lookup'!$B$1:$B$37),SUMPRODUCT(('Rate Lookup'!$A$1:$A$37=H193)*'Rate Lookup'!$C$1:$C$37)))))</f>
      </c>
      <c r="J193" s="8"/>
      <c r="K193" s="8"/>
      <c r="L193" s="7">
        <f>IF($D193="","",ROUND(K193*I193/100,0))</f>
      </c>
      <c r="M193" s="7">
        <f>IF($D193="","",0)</f>
      </c>
      <c r="N193" s="7">
        <f>IF($D193="","",0)</f>
      </c>
      <c r="O193" s="7">
        <f>IF($D193="","",IF(OR(L193=0,J193="",IFERROR(INDEX('Challan Master'!$D$4:$D$207,MATCH($B193,'Challan Master'!$S$4:$S$207,0)),"")="",IFERROR(INDEX('Challan Master'!$D$4:$D$207,MATCH($B193,'Challan Master'!$S$4:$S$207,0)),"")&lt;=0),0,IF(IFERROR(INDEX('Challan Master'!$D$4:$D$207,MATCH($B193,'Challan Master'!$S$4:$S$207,0)),"")&lt;=DATE(YEAR(J193),MONTH(J193)+1,7),0,ROUND(L193*0.015*((YEAR(IFERROR(INDEX('Challan Master'!$D$4:$D$207,MATCH($B193,'Challan Master'!$S$4:$S$207,0)),""))-YEAR(J193))*12+(MONTH(IFERROR(INDEX('Challan Master'!$D$4:$D$207,MATCH($B193,'Challan Master'!$S$4:$S$207,0)),""))-MONTH(J193))+1),0))))</f>
      </c>
      <c r="P193" s="7">
        <f>IF($D193="","",0)</f>
      </c>
      <c r="Q193" s="8"/>
      <c r="R193" s="8"/>
      <c r="S193" s="8"/>
      <c r="T193" s="8"/>
      <c r="U193" s="8"/>
      <c r="V193" s="7">
        <f>IF($B193="","",IFERROR(INDEX('Challan Master'!$AA$4:$AA$207,MATCH($B193,'Challan Master'!$S$4:$S$207,0)),""))</f>
      </c>
    </row>
    <row r="194" spans="1:22" x14ac:dyDescent="0.25">
      <c r="A194" s="7">
        <f>IF($D194="","",COUNTIF($D$4:$D194,"&lt;&gt;"))</f>
      </c>
      <c r="B194" s="8"/>
      <c r="C194" s="7">
        <f>IF($B194="","","BSR "&amp;IFERROR(INDEX('Challan Master'!$B$4:$B$207,MATCH($B194,'Challan Master'!$S$4:$S$207,0)),"")&amp;" | Serial "&amp;IFERROR(INDEX('Challan Master'!$C$4:$C$207,MATCH($B194,'Challan Master'!$S$4:$S$207,0)),"")&amp;" | Deposit "&amp;TEXT(IFERROR(INDEX('Challan Master'!$D$4:$D$207,MATCH($B194,'Challan Master'!$S$4:$S$207,0)),""),"dd-mm-yyyy")&amp;" | Minor Head "&amp;IFERROR(INDEX('Challan Master'!$E$4:$E$207,MATCH($B194,'Challan Master'!$S$4:$S$207,0)),"")&amp;" | Tax ₹"&amp;TEXT(IFERROR(INDEX('Challan Master'!$G$4:$G$207,MATCH($B194,'Challan Master'!$S$4:$S$207,0)),""),"#,##0")&amp;" | Section "&amp;IFERROR(INDEX('Challan Master'!$F$4:$F$207,MATCH($B194,'Challan Master'!$S$4:$S$207,0)),""))</f>
      </c>
      <c r="D194" s="8"/>
      <c r="E194" s="8"/>
      <c r="F194" s="7">
        <f>IF($D194="","",IF(AND(LEN(TRIM(UPPER(E194)))=10,CODE(MID(TRIM(UPPER(E194)),1,1))&gt;=65,CODE(MID(TRIM(UPPER(E194)),1,1))&lt;=90,CODE(MID(TRIM(UPPER(E194)),2,1))&gt;=65,CODE(MID(TRIM(UPPER(E194)),2,1))&lt;=90,CODE(MID(TRIM(UPPER(E194)),3,1))&gt;=65,CODE(MID(TRIM(UPPER(E194)),3,1))&lt;=90,CODE(MID(TRIM(UPPER(E194)),4,1))&gt;=65,CODE(MID(TRIM(UPPER(E194)),4,1))&lt;=90,CODE(MID(TRIM(UPPER(E194)),5,1))&gt;=65,CODE(MID(TRIM(UPPER(E194)),5,1))&lt;=90,CODE(MID(TRIM(UPPER(E194)),10,1))&gt;=65,CODE(MID(TRIM(UPPER(E194)),10,1))&lt;=90,CODE(MID(TRIM(UPPER(E194)),6,1))&gt;=48,CODE(MID(TRIM(UPPER(E194)),6,1))&lt;=57,CODE(MID(TRIM(UPPER(E194)),7,1))&gt;=48,CODE(MID(TRIM(UPPER(E194)),7,1))&lt;=57,CODE(MID(TRIM(UPPER(E194)),8,1))&gt;=48,CODE(MID(TRIM(UPPER(E194)),8,1))&lt;=57,CODE(MID(TRIM(UPPER(E194)),9,1))&gt;=48,CODE(MID(TRIM(UPPER(E194)),9,1))&lt;=57),"N","Y"))</f>
      </c>
      <c r="G194" s="7">
        <f>IF($D194="","",IF(LEN(E194)&lt;4,"",IF(UPPER(MID(E194,4,1))="P","Individual",IF(UPPER(MID(E194,4,1))="H","HUF",IF(UPPER(MID(E194,4,1))="C","Company",IF(UPPER(MID(E194,4,1))="F","Firm",IF(UPPER(MID(E194,4,1))="L","LLP",IF(UPPER(MID(E194,4,1))="T","Trust",IF(UPPER(MID(E194,4,1))="A","AOP","")))))))))</f>
      </c>
      <c r="H194" s="8"/>
      <c r="I194" s="7">
        <f>IF($D194="","",IF(H194="","",IF(F194="Y",SUMPRODUCT(('Rate Lookup'!$A$1:$A$37=H194)*'Rate Lookup'!$D$1:$D$37),IF(OR(G194="Individual",G194="HUF"),SUMPRODUCT(('Rate Lookup'!$A$1:$A$37=H194)*'Rate Lookup'!$B$1:$B$37),SUMPRODUCT(('Rate Lookup'!$A$1:$A$37=H194)*'Rate Lookup'!$C$1:$C$37)))))</f>
      </c>
      <c r="J194" s="8"/>
      <c r="K194" s="8"/>
      <c r="L194" s="7">
        <f>IF($D194="","",ROUND(K194*I194/100,0))</f>
      </c>
      <c r="M194" s="7">
        <f>IF($D194="","",0)</f>
      </c>
      <c r="N194" s="7">
        <f>IF($D194="","",0)</f>
      </c>
      <c r="O194" s="7">
        <f>IF($D194="","",IF(OR(L194=0,J194="",IFERROR(INDEX('Challan Master'!$D$4:$D$207,MATCH($B194,'Challan Master'!$S$4:$S$207,0)),"")="",IFERROR(INDEX('Challan Master'!$D$4:$D$207,MATCH($B194,'Challan Master'!$S$4:$S$207,0)),"")&lt;=0),0,IF(IFERROR(INDEX('Challan Master'!$D$4:$D$207,MATCH($B194,'Challan Master'!$S$4:$S$207,0)),"")&lt;=DATE(YEAR(J194),MONTH(J194)+1,7),0,ROUND(L194*0.015*((YEAR(IFERROR(INDEX('Challan Master'!$D$4:$D$207,MATCH($B194,'Challan Master'!$S$4:$S$207,0)),""))-YEAR(J194))*12+(MONTH(IFERROR(INDEX('Challan Master'!$D$4:$D$207,MATCH($B194,'Challan Master'!$S$4:$S$207,0)),""))-MONTH(J194))+1),0))))</f>
      </c>
      <c r="P194" s="7">
        <f>IF($D194="","",0)</f>
      </c>
      <c r="Q194" s="8"/>
      <c r="R194" s="8"/>
      <c r="S194" s="8"/>
      <c r="T194" s="8"/>
      <c r="U194" s="8"/>
      <c r="V194" s="7">
        <f>IF($B194="","",IFERROR(INDEX('Challan Master'!$AA$4:$AA$207,MATCH($B194,'Challan Master'!$S$4:$S$207,0)),""))</f>
      </c>
    </row>
    <row r="195" spans="1:22" x14ac:dyDescent="0.25">
      <c r="A195" s="7">
        <f>IF($D195="","",COUNTIF($D$4:$D195,"&lt;&gt;"))</f>
      </c>
      <c r="B195" s="8"/>
      <c r="C195" s="7">
        <f>IF($B195="","","BSR "&amp;IFERROR(INDEX('Challan Master'!$B$4:$B$207,MATCH($B195,'Challan Master'!$S$4:$S$207,0)),"")&amp;" | Serial "&amp;IFERROR(INDEX('Challan Master'!$C$4:$C$207,MATCH($B195,'Challan Master'!$S$4:$S$207,0)),"")&amp;" | Deposit "&amp;TEXT(IFERROR(INDEX('Challan Master'!$D$4:$D$207,MATCH($B195,'Challan Master'!$S$4:$S$207,0)),""),"dd-mm-yyyy")&amp;" | Minor Head "&amp;IFERROR(INDEX('Challan Master'!$E$4:$E$207,MATCH($B195,'Challan Master'!$S$4:$S$207,0)),"")&amp;" | Tax ₹"&amp;TEXT(IFERROR(INDEX('Challan Master'!$G$4:$G$207,MATCH($B195,'Challan Master'!$S$4:$S$207,0)),""),"#,##0")&amp;" | Section "&amp;IFERROR(INDEX('Challan Master'!$F$4:$F$207,MATCH($B195,'Challan Master'!$S$4:$S$207,0)),""))</f>
      </c>
      <c r="D195" s="8"/>
      <c r="E195" s="8"/>
      <c r="F195" s="7">
        <f>IF($D195="","",IF(AND(LEN(TRIM(UPPER(E195)))=10,CODE(MID(TRIM(UPPER(E195)),1,1))&gt;=65,CODE(MID(TRIM(UPPER(E195)),1,1))&lt;=90,CODE(MID(TRIM(UPPER(E195)),2,1))&gt;=65,CODE(MID(TRIM(UPPER(E195)),2,1))&lt;=90,CODE(MID(TRIM(UPPER(E195)),3,1))&gt;=65,CODE(MID(TRIM(UPPER(E195)),3,1))&lt;=90,CODE(MID(TRIM(UPPER(E195)),4,1))&gt;=65,CODE(MID(TRIM(UPPER(E195)),4,1))&lt;=90,CODE(MID(TRIM(UPPER(E195)),5,1))&gt;=65,CODE(MID(TRIM(UPPER(E195)),5,1))&lt;=90,CODE(MID(TRIM(UPPER(E195)),10,1))&gt;=65,CODE(MID(TRIM(UPPER(E195)),10,1))&lt;=90,CODE(MID(TRIM(UPPER(E195)),6,1))&gt;=48,CODE(MID(TRIM(UPPER(E195)),6,1))&lt;=57,CODE(MID(TRIM(UPPER(E195)),7,1))&gt;=48,CODE(MID(TRIM(UPPER(E195)),7,1))&lt;=57,CODE(MID(TRIM(UPPER(E195)),8,1))&gt;=48,CODE(MID(TRIM(UPPER(E195)),8,1))&lt;=57,CODE(MID(TRIM(UPPER(E195)),9,1))&gt;=48,CODE(MID(TRIM(UPPER(E195)),9,1))&lt;=57),"N","Y"))</f>
      </c>
      <c r="G195" s="7">
        <f>IF($D195="","",IF(LEN(E195)&lt;4,"",IF(UPPER(MID(E195,4,1))="P","Individual",IF(UPPER(MID(E195,4,1))="H","HUF",IF(UPPER(MID(E195,4,1))="C","Company",IF(UPPER(MID(E195,4,1))="F","Firm",IF(UPPER(MID(E195,4,1))="L","LLP",IF(UPPER(MID(E195,4,1))="T","Trust",IF(UPPER(MID(E195,4,1))="A","AOP","")))))))))</f>
      </c>
      <c r="H195" s="8"/>
      <c r="I195" s="7">
        <f>IF($D195="","",IF(H195="","",IF(F195="Y",SUMPRODUCT(('Rate Lookup'!$A$1:$A$37=H195)*'Rate Lookup'!$D$1:$D$37),IF(OR(G195="Individual",G195="HUF"),SUMPRODUCT(('Rate Lookup'!$A$1:$A$37=H195)*'Rate Lookup'!$B$1:$B$37),SUMPRODUCT(('Rate Lookup'!$A$1:$A$37=H195)*'Rate Lookup'!$C$1:$C$37)))))</f>
      </c>
      <c r="J195" s="8"/>
      <c r="K195" s="8"/>
      <c r="L195" s="7">
        <f>IF($D195="","",ROUND(K195*I195/100,0))</f>
      </c>
      <c r="M195" s="7">
        <f>IF($D195="","",0)</f>
      </c>
      <c r="N195" s="7">
        <f>IF($D195="","",0)</f>
      </c>
      <c r="O195" s="7">
        <f>IF($D195="","",IF(OR(L195=0,J195="",IFERROR(INDEX('Challan Master'!$D$4:$D$207,MATCH($B195,'Challan Master'!$S$4:$S$207,0)),"")="",IFERROR(INDEX('Challan Master'!$D$4:$D$207,MATCH($B195,'Challan Master'!$S$4:$S$207,0)),"")&lt;=0),0,IF(IFERROR(INDEX('Challan Master'!$D$4:$D$207,MATCH($B195,'Challan Master'!$S$4:$S$207,0)),"")&lt;=DATE(YEAR(J195),MONTH(J195)+1,7),0,ROUND(L195*0.015*((YEAR(IFERROR(INDEX('Challan Master'!$D$4:$D$207,MATCH($B195,'Challan Master'!$S$4:$S$207,0)),""))-YEAR(J195))*12+(MONTH(IFERROR(INDEX('Challan Master'!$D$4:$D$207,MATCH($B195,'Challan Master'!$S$4:$S$207,0)),""))-MONTH(J195))+1),0))))</f>
      </c>
      <c r="P195" s="7">
        <f>IF($D195="","",0)</f>
      </c>
      <c r="Q195" s="8"/>
      <c r="R195" s="8"/>
      <c r="S195" s="8"/>
      <c r="T195" s="8"/>
      <c r="U195" s="8"/>
      <c r="V195" s="7">
        <f>IF($B195="","",IFERROR(INDEX('Challan Master'!$AA$4:$AA$207,MATCH($B195,'Challan Master'!$S$4:$S$207,0)),""))</f>
      </c>
    </row>
    <row r="196" spans="1:22" x14ac:dyDescent="0.25">
      <c r="A196" s="7">
        <f>IF($D196="","",COUNTIF($D$4:$D196,"&lt;&gt;"))</f>
      </c>
      <c r="B196" s="8"/>
      <c r="C196" s="7">
        <f>IF($B196="","","BSR "&amp;IFERROR(INDEX('Challan Master'!$B$4:$B$207,MATCH($B196,'Challan Master'!$S$4:$S$207,0)),"")&amp;" | Serial "&amp;IFERROR(INDEX('Challan Master'!$C$4:$C$207,MATCH($B196,'Challan Master'!$S$4:$S$207,0)),"")&amp;" | Deposit "&amp;TEXT(IFERROR(INDEX('Challan Master'!$D$4:$D$207,MATCH($B196,'Challan Master'!$S$4:$S$207,0)),""),"dd-mm-yyyy")&amp;" | Minor Head "&amp;IFERROR(INDEX('Challan Master'!$E$4:$E$207,MATCH($B196,'Challan Master'!$S$4:$S$207,0)),"")&amp;" | Tax ₹"&amp;TEXT(IFERROR(INDEX('Challan Master'!$G$4:$G$207,MATCH($B196,'Challan Master'!$S$4:$S$207,0)),""),"#,##0")&amp;" | Section "&amp;IFERROR(INDEX('Challan Master'!$F$4:$F$207,MATCH($B196,'Challan Master'!$S$4:$S$207,0)),""))</f>
      </c>
      <c r="D196" s="8"/>
      <c r="E196" s="8"/>
      <c r="F196" s="7">
        <f>IF($D196="","",IF(AND(LEN(TRIM(UPPER(E196)))=10,CODE(MID(TRIM(UPPER(E196)),1,1))&gt;=65,CODE(MID(TRIM(UPPER(E196)),1,1))&lt;=90,CODE(MID(TRIM(UPPER(E196)),2,1))&gt;=65,CODE(MID(TRIM(UPPER(E196)),2,1))&lt;=90,CODE(MID(TRIM(UPPER(E196)),3,1))&gt;=65,CODE(MID(TRIM(UPPER(E196)),3,1))&lt;=90,CODE(MID(TRIM(UPPER(E196)),4,1))&gt;=65,CODE(MID(TRIM(UPPER(E196)),4,1))&lt;=90,CODE(MID(TRIM(UPPER(E196)),5,1))&gt;=65,CODE(MID(TRIM(UPPER(E196)),5,1))&lt;=90,CODE(MID(TRIM(UPPER(E196)),10,1))&gt;=65,CODE(MID(TRIM(UPPER(E196)),10,1))&lt;=90,CODE(MID(TRIM(UPPER(E196)),6,1))&gt;=48,CODE(MID(TRIM(UPPER(E196)),6,1))&lt;=57,CODE(MID(TRIM(UPPER(E196)),7,1))&gt;=48,CODE(MID(TRIM(UPPER(E196)),7,1))&lt;=57,CODE(MID(TRIM(UPPER(E196)),8,1))&gt;=48,CODE(MID(TRIM(UPPER(E196)),8,1))&lt;=57,CODE(MID(TRIM(UPPER(E196)),9,1))&gt;=48,CODE(MID(TRIM(UPPER(E196)),9,1))&lt;=57),"N","Y"))</f>
      </c>
      <c r="G196" s="7">
        <f>IF($D196="","",IF(LEN(E196)&lt;4,"",IF(UPPER(MID(E196,4,1))="P","Individual",IF(UPPER(MID(E196,4,1))="H","HUF",IF(UPPER(MID(E196,4,1))="C","Company",IF(UPPER(MID(E196,4,1))="F","Firm",IF(UPPER(MID(E196,4,1))="L","LLP",IF(UPPER(MID(E196,4,1))="T","Trust",IF(UPPER(MID(E196,4,1))="A","AOP","")))))))))</f>
      </c>
      <c r="H196" s="8"/>
      <c r="I196" s="7">
        <f>IF($D196="","",IF(H196="","",IF(F196="Y",SUMPRODUCT(('Rate Lookup'!$A$1:$A$37=H196)*'Rate Lookup'!$D$1:$D$37),IF(OR(G196="Individual",G196="HUF"),SUMPRODUCT(('Rate Lookup'!$A$1:$A$37=H196)*'Rate Lookup'!$B$1:$B$37),SUMPRODUCT(('Rate Lookup'!$A$1:$A$37=H196)*'Rate Lookup'!$C$1:$C$37)))))</f>
      </c>
      <c r="J196" s="8"/>
      <c r="K196" s="8"/>
      <c r="L196" s="7">
        <f>IF($D196="","",ROUND(K196*I196/100,0))</f>
      </c>
      <c r="M196" s="7">
        <f>IF($D196="","",0)</f>
      </c>
      <c r="N196" s="7">
        <f>IF($D196="","",0)</f>
      </c>
      <c r="O196" s="7">
        <f>IF($D196="","",IF(OR(L196=0,J196="",IFERROR(INDEX('Challan Master'!$D$4:$D$207,MATCH($B196,'Challan Master'!$S$4:$S$207,0)),"")="",IFERROR(INDEX('Challan Master'!$D$4:$D$207,MATCH($B196,'Challan Master'!$S$4:$S$207,0)),"")&lt;=0),0,IF(IFERROR(INDEX('Challan Master'!$D$4:$D$207,MATCH($B196,'Challan Master'!$S$4:$S$207,0)),"")&lt;=DATE(YEAR(J196),MONTH(J196)+1,7),0,ROUND(L196*0.015*((YEAR(IFERROR(INDEX('Challan Master'!$D$4:$D$207,MATCH($B196,'Challan Master'!$S$4:$S$207,0)),""))-YEAR(J196))*12+(MONTH(IFERROR(INDEX('Challan Master'!$D$4:$D$207,MATCH($B196,'Challan Master'!$S$4:$S$207,0)),""))-MONTH(J196))+1),0))))</f>
      </c>
      <c r="P196" s="7">
        <f>IF($D196="","",0)</f>
      </c>
      <c r="Q196" s="8"/>
      <c r="R196" s="8"/>
      <c r="S196" s="8"/>
      <c r="T196" s="8"/>
      <c r="U196" s="8"/>
      <c r="V196" s="7">
        <f>IF($B196="","",IFERROR(INDEX('Challan Master'!$AA$4:$AA$207,MATCH($B196,'Challan Master'!$S$4:$S$207,0)),""))</f>
      </c>
    </row>
    <row r="197" spans="1:22" x14ac:dyDescent="0.25">
      <c r="A197" s="7">
        <f>IF($D197="","",COUNTIF($D$4:$D197,"&lt;&gt;"))</f>
      </c>
      <c r="B197" s="8"/>
      <c r="C197" s="7">
        <f>IF($B197="","","BSR "&amp;IFERROR(INDEX('Challan Master'!$B$4:$B$207,MATCH($B197,'Challan Master'!$S$4:$S$207,0)),"")&amp;" | Serial "&amp;IFERROR(INDEX('Challan Master'!$C$4:$C$207,MATCH($B197,'Challan Master'!$S$4:$S$207,0)),"")&amp;" | Deposit "&amp;TEXT(IFERROR(INDEX('Challan Master'!$D$4:$D$207,MATCH($B197,'Challan Master'!$S$4:$S$207,0)),""),"dd-mm-yyyy")&amp;" | Minor Head "&amp;IFERROR(INDEX('Challan Master'!$E$4:$E$207,MATCH($B197,'Challan Master'!$S$4:$S$207,0)),"")&amp;" | Tax ₹"&amp;TEXT(IFERROR(INDEX('Challan Master'!$G$4:$G$207,MATCH($B197,'Challan Master'!$S$4:$S$207,0)),""),"#,##0")&amp;" | Section "&amp;IFERROR(INDEX('Challan Master'!$F$4:$F$207,MATCH($B197,'Challan Master'!$S$4:$S$207,0)),""))</f>
      </c>
      <c r="D197" s="8"/>
      <c r="E197" s="8"/>
      <c r="F197" s="7">
        <f>IF($D197="","",IF(AND(LEN(TRIM(UPPER(E197)))=10,CODE(MID(TRIM(UPPER(E197)),1,1))&gt;=65,CODE(MID(TRIM(UPPER(E197)),1,1))&lt;=90,CODE(MID(TRIM(UPPER(E197)),2,1))&gt;=65,CODE(MID(TRIM(UPPER(E197)),2,1))&lt;=90,CODE(MID(TRIM(UPPER(E197)),3,1))&gt;=65,CODE(MID(TRIM(UPPER(E197)),3,1))&lt;=90,CODE(MID(TRIM(UPPER(E197)),4,1))&gt;=65,CODE(MID(TRIM(UPPER(E197)),4,1))&lt;=90,CODE(MID(TRIM(UPPER(E197)),5,1))&gt;=65,CODE(MID(TRIM(UPPER(E197)),5,1))&lt;=90,CODE(MID(TRIM(UPPER(E197)),10,1))&gt;=65,CODE(MID(TRIM(UPPER(E197)),10,1))&lt;=90,CODE(MID(TRIM(UPPER(E197)),6,1))&gt;=48,CODE(MID(TRIM(UPPER(E197)),6,1))&lt;=57,CODE(MID(TRIM(UPPER(E197)),7,1))&gt;=48,CODE(MID(TRIM(UPPER(E197)),7,1))&lt;=57,CODE(MID(TRIM(UPPER(E197)),8,1))&gt;=48,CODE(MID(TRIM(UPPER(E197)),8,1))&lt;=57,CODE(MID(TRIM(UPPER(E197)),9,1))&gt;=48,CODE(MID(TRIM(UPPER(E197)),9,1))&lt;=57),"N","Y"))</f>
      </c>
      <c r="G197" s="7">
        <f>IF($D197="","",IF(LEN(E197)&lt;4,"",IF(UPPER(MID(E197,4,1))="P","Individual",IF(UPPER(MID(E197,4,1))="H","HUF",IF(UPPER(MID(E197,4,1))="C","Company",IF(UPPER(MID(E197,4,1))="F","Firm",IF(UPPER(MID(E197,4,1))="L","LLP",IF(UPPER(MID(E197,4,1))="T","Trust",IF(UPPER(MID(E197,4,1))="A","AOP","")))))))))</f>
      </c>
      <c r="H197" s="8"/>
      <c r="I197" s="7">
        <f>IF($D197="","",IF(H197="","",IF(F197="Y",SUMPRODUCT(('Rate Lookup'!$A$1:$A$37=H197)*'Rate Lookup'!$D$1:$D$37),IF(OR(G197="Individual",G197="HUF"),SUMPRODUCT(('Rate Lookup'!$A$1:$A$37=H197)*'Rate Lookup'!$B$1:$B$37),SUMPRODUCT(('Rate Lookup'!$A$1:$A$37=H197)*'Rate Lookup'!$C$1:$C$37)))))</f>
      </c>
      <c r="J197" s="8"/>
      <c r="K197" s="8"/>
      <c r="L197" s="7">
        <f>IF($D197="","",ROUND(K197*I197/100,0))</f>
      </c>
      <c r="M197" s="7">
        <f>IF($D197="","",0)</f>
      </c>
      <c r="N197" s="7">
        <f>IF($D197="","",0)</f>
      </c>
      <c r="O197" s="7">
        <f>IF($D197="","",IF(OR(L197=0,J197="",IFERROR(INDEX('Challan Master'!$D$4:$D$207,MATCH($B197,'Challan Master'!$S$4:$S$207,0)),"")="",IFERROR(INDEX('Challan Master'!$D$4:$D$207,MATCH($B197,'Challan Master'!$S$4:$S$207,0)),"")&lt;=0),0,IF(IFERROR(INDEX('Challan Master'!$D$4:$D$207,MATCH($B197,'Challan Master'!$S$4:$S$207,0)),"")&lt;=DATE(YEAR(J197),MONTH(J197)+1,7),0,ROUND(L197*0.015*((YEAR(IFERROR(INDEX('Challan Master'!$D$4:$D$207,MATCH($B197,'Challan Master'!$S$4:$S$207,0)),""))-YEAR(J197))*12+(MONTH(IFERROR(INDEX('Challan Master'!$D$4:$D$207,MATCH($B197,'Challan Master'!$S$4:$S$207,0)),""))-MONTH(J197))+1),0))))</f>
      </c>
      <c r="P197" s="7">
        <f>IF($D197="","",0)</f>
      </c>
      <c r="Q197" s="8"/>
      <c r="R197" s="8"/>
      <c r="S197" s="8"/>
      <c r="T197" s="8"/>
      <c r="U197" s="8"/>
      <c r="V197" s="7">
        <f>IF($B197="","",IFERROR(INDEX('Challan Master'!$AA$4:$AA$207,MATCH($B197,'Challan Master'!$S$4:$S$207,0)),""))</f>
      </c>
    </row>
    <row r="198" spans="1:22" x14ac:dyDescent="0.25">
      <c r="A198" s="7">
        <f>IF($D198="","",COUNTIF($D$4:$D198,"&lt;&gt;"))</f>
      </c>
      <c r="B198" s="8"/>
      <c r="C198" s="7">
        <f>IF($B198="","","BSR "&amp;IFERROR(INDEX('Challan Master'!$B$4:$B$207,MATCH($B198,'Challan Master'!$S$4:$S$207,0)),"")&amp;" | Serial "&amp;IFERROR(INDEX('Challan Master'!$C$4:$C$207,MATCH($B198,'Challan Master'!$S$4:$S$207,0)),"")&amp;" | Deposit "&amp;TEXT(IFERROR(INDEX('Challan Master'!$D$4:$D$207,MATCH($B198,'Challan Master'!$S$4:$S$207,0)),""),"dd-mm-yyyy")&amp;" | Minor Head "&amp;IFERROR(INDEX('Challan Master'!$E$4:$E$207,MATCH($B198,'Challan Master'!$S$4:$S$207,0)),"")&amp;" | Tax ₹"&amp;TEXT(IFERROR(INDEX('Challan Master'!$G$4:$G$207,MATCH($B198,'Challan Master'!$S$4:$S$207,0)),""),"#,##0")&amp;" | Section "&amp;IFERROR(INDEX('Challan Master'!$F$4:$F$207,MATCH($B198,'Challan Master'!$S$4:$S$207,0)),""))</f>
      </c>
      <c r="D198" s="8"/>
      <c r="E198" s="8"/>
      <c r="F198" s="7">
        <f>IF($D198="","",IF(AND(LEN(TRIM(UPPER(E198)))=10,CODE(MID(TRIM(UPPER(E198)),1,1))&gt;=65,CODE(MID(TRIM(UPPER(E198)),1,1))&lt;=90,CODE(MID(TRIM(UPPER(E198)),2,1))&gt;=65,CODE(MID(TRIM(UPPER(E198)),2,1))&lt;=90,CODE(MID(TRIM(UPPER(E198)),3,1))&gt;=65,CODE(MID(TRIM(UPPER(E198)),3,1))&lt;=90,CODE(MID(TRIM(UPPER(E198)),4,1))&gt;=65,CODE(MID(TRIM(UPPER(E198)),4,1))&lt;=90,CODE(MID(TRIM(UPPER(E198)),5,1))&gt;=65,CODE(MID(TRIM(UPPER(E198)),5,1))&lt;=90,CODE(MID(TRIM(UPPER(E198)),10,1))&gt;=65,CODE(MID(TRIM(UPPER(E198)),10,1))&lt;=90,CODE(MID(TRIM(UPPER(E198)),6,1))&gt;=48,CODE(MID(TRIM(UPPER(E198)),6,1))&lt;=57,CODE(MID(TRIM(UPPER(E198)),7,1))&gt;=48,CODE(MID(TRIM(UPPER(E198)),7,1))&lt;=57,CODE(MID(TRIM(UPPER(E198)),8,1))&gt;=48,CODE(MID(TRIM(UPPER(E198)),8,1))&lt;=57,CODE(MID(TRIM(UPPER(E198)),9,1))&gt;=48,CODE(MID(TRIM(UPPER(E198)),9,1))&lt;=57),"N","Y"))</f>
      </c>
      <c r="G198" s="7">
        <f>IF($D198="","",IF(LEN(E198)&lt;4,"",IF(UPPER(MID(E198,4,1))="P","Individual",IF(UPPER(MID(E198,4,1))="H","HUF",IF(UPPER(MID(E198,4,1))="C","Company",IF(UPPER(MID(E198,4,1))="F","Firm",IF(UPPER(MID(E198,4,1))="L","LLP",IF(UPPER(MID(E198,4,1))="T","Trust",IF(UPPER(MID(E198,4,1))="A","AOP","")))))))))</f>
      </c>
      <c r="H198" s="8"/>
      <c r="I198" s="7">
        <f>IF($D198="","",IF(H198="","",IF(F198="Y",SUMPRODUCT(('Rate Lookup'!$A$1:$A$37=H198)*'Rate Lookup'!$D$1:$D$37),IF(OR(G198="Individual",G198="HUF"),SUMPRODUCT(('Rate Lookup'!$A$1:$A$37=H198)*'Rate Lookup'!$B$1:$B$37),SUMPRODUCT(('Rate Lookup'!$A$1:$A$37=H198)*'Rate Lookup'!$C$1:$C$37)))))</f>
      </c>
      <c r="J198" s="8"/>
      <c r="K198" s="8"/>
      <c r="L198" s="7">
        <f>IF($D198="","",ROUND(K198*I198/100,0))</f>
      </c>
      <c r="M198" s="7">
        <f>IF($D198="","",0)</f>
      </c>
      <c r="N198" s="7">
        <f>IF($D198="","",0)</f>
      </c>
      <c r="O198" s="7">
        <f>IF($D198="","",IF(OR(L198=0,J198="",IFERROR(INDEX('Challan Master'!$D$4:$D$207,MATCH($B198,'Challan Master'!$S$4:$S$207,0)),"")="",IFERROR(INDEX('Challan Master'!$D$4:$D$207,MATCH($B198,'Challan Master'!$S$4:$S$207,0)),"")&lt;=0),0,IF(IFERROR(INDEX('Challan Master'!$D$4:$D$207,MATCH($B198,'Challan Master'!$S$4:$S$207,0)),"")&lt;=DATE(YEAR(J198),MONTH(J198)+1,7),0,ROUND(L198*0.015*((YEAR(IFERROR(INDEX('Challan Master'!$D$4:$D$207,MATCH($B198,'Challan Master'!$S$4:$S$207,0)),""))-YEAR(J198))*12+(MONTH(IFERROR(INDEX('Challan Master'!$D$4:$D$207,MATCH($B198,'Challan Master'!$S$4:$S$207,0)),""))-MONTH(J198))+1),0))))</f>
      </c>
      <c r="P198" s="7">
        <f>IF($D198="","",0)</f>
      </c>
      <c r="Q198" s="8"/>
      <c r="R198" s="8"/>
      <c r="S198" s="8"/>
      <c r="T198" s="8"/>
      <c r="U198" s="8"/>
      <c r="V198" s="7">
        <f>IF($B198="","",IFERROR(INDEX('Challan Master'!$AA$4:$AA$207,MATCH($B198,'Challan Master'!$S$4:$S$207,0)),""))</f>
      </c>
    </row>
    <row r="199" spans="1:22" x14ac:dyDescent="0.25">
      <c r="A199" s="7">
        <f>IF($D199="","",COUNTIF($D$4:$D199,"&lt;&gt;"))</f>
      </c>
      <c r="B199" s="8"/>
      <c r="C199" s="7">
        <f>IF($B199="","","BSR "&amp;IFERROR(INDEX('Challan Master'!$B$4:$B$207,MATCH($B199,'Challan Master'!$S$4:$S$207,0)),"")&amp;" | Serial "&amp;IFERROR(INDEX('Challan Master'!$C$4:$C$207,MATCH($B199,'Challan Master'!$S$4:$S$207,0)),"")&amp;" | Deposit "&amp;TEXT(IFERROR(INDEX('Challan Master'!$D$4:$D$207,MATCH($B199,'Challan Master'!$S$4:$S$207,0)),""),"dd-mm-yyyy")&amp;" | Minor Head "&amp;IFERROR(INDEX('Challan Master'!$E$4:$E$207,MATCH($B199,'Challan Master'!$S$4:$S$207,0)),"")&amp;" | Tax ₹"&amp;TEXT(IFERROR(INDEX('Challan Master'!$G$4:$G$207,MATCH($B199,'Challan Master'!$S$4:$S$207,0)),""),"#,##0")&amp;" | Section "&amp;IFERROR(INDEX('Challan Master'!$F$4:$F$207,MATCH($B199,'Challan Master'!$S$4:$S$207,0)),""))</f>
      </c>
      <c r="D199" s="8"/>
      <c r="E199" s="8"/>
      <c r="F199" s="7">
        <f>IF($D199="","",IF(AND(LEN(TRIM(UPPER(E199)))=10,CODE(MID(TRIM(UPPER(E199)),1,1))&gt;=65,CODE(MID(TRIM(UPPER(E199)),1,1))&lt;=90,CODE(MID(TRIM(UPPER(E199)),2,1))&gt;=65,CODE(MID(TRIM(UPPER(E199)),2,1))&lt;=90,CODE(MID(TRIM(UPPER(E199)),3,1))&gt;=65,CODE(MID(TRIM(UPPER(E199)),3,1))&lt;=90,CODE(MID(TRIM(UPPER(E199)),4,1))&gt;=65,CODE(MID(TRIM(UPPER(E199)),4,1))&lt;=90,CODE(MID(TRIM(UPPER(E199)),5,1))&gt;=65,CODE(MID(TRIM(UPPER(E199)),5,1))&lt;=90,CODE(MID(TRIM(UPPER(E199)),10,1))&gt;=65,CODE(MID(TRIM(UPPER(E199)),10,1))&lt;=90,CODE(MID(TRIM(UPPER(E199)),6,1))&gt;=48,CODE(MID(TRIM(UPPER(E199)),6,1))&lt;=57,CODE(MID(TRIM(UPPER(E199)),7,1))&gt;=48,CODE(MID(TRIM(UPPER(E199)),7,1))&lt;=57,CODE(MID(TRIM(UPPER(E199)),8,1))&gt;=48,CODE(MID(TRIM(UPPER(E199)),8,1))&lt;=57,CODE(MID(TRIM(UPPER(E199)),9,1))&gt;=48,CODE(MID(TRIM(UPPER(E199)),9,1))&lt;=57),"N","Y"))</f>
      </c>
      <c r="G199" s="7">
        <f>IF($D199="","",IF(LEN(E199)&lt;4,"",IF(UPPER(MID(E199,4,1))="P","Individual",IF(UPPER(MID(E199,4,1))="H","HUF",IF(UPPER(MID(E199,4,1))="C","Company",IF(UPPER(MID(E199,4,1))="F","Firm",IF(UPPER(MID(E199,4,1))="L","LLP",IF(UPPER(MID(E199,4,1))="T","Trust",IF(UPPER(MID(E199,4,1))="A","AOP","")))))))))</f>
      </c>
      <c r="H199" s="8"/>
      <c r="I199" s="7">
        <f>IF($D199="","",IF(H199="","",IF(F199="Y",SUMPRODUCT(('Rate Lookup'!$A$1:$A$37=H199)*'Rate Lookup'!$D$1:$D$37),IF(OR(G199="Individual",G199="HUF"),SUMPRODUCT(('Rate Lookup'!$A$1:$A$37=H199)*'Rate Lookup'!$B$1:$B$37),SUMPRODUCT(('Rate Lookup'!$A$1:$A$37=H199)*'Rate Lookup'!$C$1:$C$37)))))</f>
      </c>
      <c r="J199" s="8"/>
      <c r="K199" s="8"/>
      <c r="L199" s="7">
        <f>IF($D199="","",ROUND(K199*I199/100,0))</f>
      </c>
      <c r="M199" s="7">
        <f>IF($D199="","",0)</f>
      </c>
      <c r="N199" s="7">
        <f>IF($D199="","",0)</f>
      </c>
      <c r="O199" s="7">
        <f>IF($D199="","",IF(OR(L199=0,J199="",IFERROR(INDEX('Challan Master'!$D$4:$D$207,MATCH($B199,'Challan Master'!$S$4:$S$207,0)),"")="",IFERROR(INDEX('Challan Master'!$D$4:$D$207,MATCH($B199,'Challan Master'!$S$4:$S$207,0)),"")&lt;=0),0,IF(IFERROR(INDEX('Challan Master'!$D$4:$D$207,MATCH($B199,'Challan Master'!$S$4:$S$207,0)),"")&lt;=DATE(YEAR(J199),MONTH(J199)+1,7),0,ROUND(L199*0.015*((YEAR(IFERROR(INDEX('Challan Master'!$D$4:$D$207,MATCH($B199,'Challan Master'!$S$4:$S$207,0)),""))-YEAR(J199))*12+(MONTH(IFERROR(INDEX('Challan Master'!$D$4:$D$207,MATCH($B199,'Challan Master'!$S$4:$S$207,0)),""))-MONTH(J199))+1),0))))</f>
      </c>
      <c r="P199" s="7">
        <f>IF($D199="","",0)</f>
      </c>
      <c r="Q199" s="8"/>
      <c r="R199" s="8"/>
      <c r="S199" s="8"/>
      <c r="T199" s="8"/>
      <c r="U199" s="8"/>
      <c r="V199" s="7">
        <f>IF($B199="","",IFERROR(INDEX('Challan Master'!$AA$4:$AA$207,MATCH($B199,'Challan Master'!$S$4:$S$207,0)),""))</f>
      </c>
    </row>
    <row r="200" spans="1:22" x14ac:dyDescent="0.25">
      <c r="A200" s="7">
        <f>IF($D200="","",COUNTIF($D$4:$D200,"&lt;&gt;"))</f>
      </c>
      <c r="B200" s="8"/>
      <c r="C200" s="7">
        <f>IF($B200="","","BSR "&amp;IFERROR(INDEX('Challan Master'!$B$4:$B$207,MATCH($B200,'Challan Master'!$S$4:$S$207,0)),"")&amp;" | Serial "&amp;IFERROR(INDEX('Challan Master'!$C$4:$C$207,MATCH($B200,'Challan Master'!$S$4:$S$207,0)),"")&amp;" | Deposit "&amp;TEXT(IFERROR(INDEX('Challan Master'!$D$4:$D$207,MATCH($B200,'Challan Master'!$S$4:$S$207,0)),""),"dd-mm-yyyy")&amp;" | Minor Head "&amp;IFERROR(INDEX('Challan Master'!$E$4:$E$207,MATCH($B200,'Challan Master'!$S$4:$S$207,0)),"")&amp;" | Tax ₹"&amp;TEXT(IFERROR(INDEX('Challan Master'!$G$4:$G$207,MATCH($B200,'Challan Master'!$S$4:$S$207,0)),""),"#,##0")&amp;" | Section "&amp;IFERROR(INDEX('Challan Master'!$F$4:$F$207,MATCH($B200,'Challan Master'!$S$4:$S$207,0)),""))</f>
      </c>
      <c r="D200" s="8"/>
      <c r="E200" s="8"/>
      <c r="F200" s="7">
        <f>IF($D200="","",IF(AND(LEN(TRIM(UPPER(E200)))=10,CODE(MID(TRIM(UPPER(E200)),1,1))&gt;=65,CODE(MID(TRIM(UPPER(E200)),1,1))&lt;=90,CODE(MID(TRIM(UPPER(E200)),2,1))&gt;=65,CODE(MID(TRIM(UPPER(E200)),2,1))&lt;=90,CODE(MID(TRIM(UPPER(E200)),3,1))&gt;=65,CODE(MID(TRIM(UPPER(E200)),3,1))&lt;=90,CODE(MID(TRIM(UPPER(E200)),4,1))&gt;=65,CODE(MID(TRIM(UPPER(E200)),4,1))&lt;=90,CODE(MID(TRIM(UPPER(E200)),5,1))&gt;=65,CODE(MID(TRIM(UPPER(E200)),5,1))&lt;=90,CODE(MID(TRIM(UPPER(E200)),10,1))&gt;=65,CODE(MID(TRIM(UPPER(E200)),10,1))&lt;=90,CODE(MID(TRIM(UPPER(E200)),6,1))&gt;=48,CODE(MID(TRIM(UPPER(E200)),6,1))&lt;=57,CODE(MID(TRIM(UPPER(E200)),7,1))&gt;=48,CODE(MID(TRIM(UPPER(E200)),7,1))&lt;=57,CODE(MID(TRIM(UPPER(E200)),8,1))&gt;=48,CODE(MID(TRIM(UPPER(E200)),8,1))&lt;=57,CODE(MID(TRIM(UPPER(E200)),9,1))&gt;=48,CODE(MID(TRIM(UPPER(E200)),9,1))&lt;=57),"N","Y"))</f>
      </c>
      <c r="G200" s="7">
        <f>IF($D200="","",IF(LEN(E200)&lt;4,"",IF(UPPER(MID(E200,4,1))="P","Individual",IF(UPPER(MID(E200,4,1))="H","HUF",IF(UPPER(MID(E200,4,1))="C","Company",IF(UPPER(MID(E200,4,1))="F","Firm",IF(UPPER(MID(E200,4,1))="L","LLP",IF(UPPER(MID(E200,4,1))="T","Trust",IF(UPPER(MID(E200,4,1))="A","AOP","")))))))))</f>
      </c>
      <c r="H200" s="8"/>
      <c r="I200" s="7">
        <f>IF($D200="","",IF(H200="","",IF(F200="Y",SUMPRODUCT(('Rate Lookup'!$A$1:$A$37=H200)*'Rate Lookup'!$D$1:$D$37),IF(OR(G200="Individual",G200="HUF"),SUMPRODUCT(('Rate Lookup'!$A$1:$A$37=H200)*'Rate Lookup'!$B$1:$B$37),SUMPRODUCT(('Rate Lookup'!$A$1:$A$37=H200)*'Rate Lookup'!$C$1:$C$37)))))</f>
      </c>
      <c r="J200" s="8"/>
      <c r="K200" s="8"/>
      <c r="L200" s="7">
        <f>IF($D200="","",ROUND(K200*I200/100,0))</f>
      </c>
      <c r="M200" s="7">
        <f>IF($D200="","",0)</f>
      </c>
      <c r="N200" s="7">
        <f>IF($D200="","",0)</f>
      </c>
      <c r="O200" s="7">
        <f>IF($D200="","",IF(OR(L200=0,J200="",IFERROR(INDEX('Challan Master'!$D$4:$D$207,MATCH($B200,'Challan Master'!$S$4:$S$207,0)),"")="",IFERROR(INDEX('Challan Master'!$D$4:$D$207,MATCH($B200,'Challan Master'!$S$4:$S$207,0)),"")&lt;=0),0,IF(IFERROR(INDEX('Challan Master'!$D$4:$D$207,MATCH($B200,'Challan Master'!$S$4:$S$207,0)),"")&lt;=DATE(YEAR(J200),MONTH(J200)+1,7),0,ROUND(L200*0.015*((YEAR(IFERROR(INDEX('Challan Master'!$D$4:$D$207,MATCH($B200,'Challan Master'!$S$4:$S$207,0)),""))-YEAR(J200))*12+(MONTH(IFERROR(INDEX('Challan Master'!$D$4:$D$207,MATCH($B200,'Challan Master'!$S$4:$S$207,0)),""))-MONTH(J200))+1),0))))</f>
      </c>
      <c r="P200" s="7">
        <f>IF($D200="","",0)</f>
      </c>
      <c r="Q200" s="8"/>
      <c r="R200" s="8"/>
      <c r="S200" s="8"/>
      <c r="T200" s="8"/>
      <c r="U200" s="8"/>
      <c r="V200" s="7">
        <f>IF($B200="","",IFERROR(INDEX('Challan Master'!$AA$4:$AA$207,MATCH($B200,'Challan Master'!$S$4:$S$207,0)),""))</f>
      </c>
    </row>
    <row r="201" spans="1:22" x14ac:dyDescent="0.25">
      <c r="A201" s="7">
        <f>IF($D201="","",COUNTIF($D$4:$D201,"&lt;&gt;"))</f>
      </c>
      <c r="B201" s="8"/>
      <c r="C201" s="7">
        <f>IF($B201="","","BSR "&amp;IFERROR(INDEX('Challan Master'!$B$4:$B$207,MATCH($B201,'Challan Master'!$S$4:$S$207,0)),"")&amp;" | Serial "&amp;IFERROR(INDEX('Challan Master'!$C$4:$C$207,MATCH($B201,'Challan Master'!$S$4:$S$207,0)),"")&amp;" | Deposit "&amp;TEXT(IFERROR(INDEX('Challan Master'!$D$4:$D$207,MATCH($B201,'Challan Master'!$S$4:$S$207,0)),""),"dd-mm-yyyy")&amp;" | Minor Head "&amp;IFERROR(INDEX('Challan Master'!$E$4:$E$207,MATCH($B201,'Challan Master'!$S$4:$S$207,0)),"")&amp;" | Tax ₹"&amp;TEXT(IFERROR(INDEX('Challan Master'!$G$4:$G$207,MATCH($B201,'Challan Master'!$S$4:$S$207,0)),""),"#,##0")&amp;" | Section "&amp;IFERROR(INDEX('Challan Master'!$F$4:$F$207,MATCH($B201,'Challan Master'!$S$4:$S$207,0)),""))</f>
      </c>
      <c r="D201" s="8"/>
      <c r="E201" s="8"/>
      <c r="F201" s="7">
        <f>IF($D201="","",IF(AND(LEN(TRIM(UPPER(E201)))=10,CODE(MID(TRIM(UPPER(E201)),1,1))&gt;=65,CODE(MID(TRIM(UPPER(E201)),1,1))&lt;=90,CODE(MID(TRIM(UPPER(E201)),2,1))&gt;=65,CODE(MID(TRIM(UPPER(E201)),2,1))&lt;=90,CODE(MID(TRIM(UPPER(E201)),3,1))&gt;=65,CODE(MID(TRIM(UPPER(E201)),3,1))&lt;=90,CODE(MID(TRIM(UPPER(E201)),4,1))&gt;=65,CODE(MID(TRIM(UPPER(E201)),4,1))&lt;=90,CODE(MID(TRIM(UPPER(E201)),5,1))&gt;=65,CODE(MID(TRIM(UPPER(E201)),5,1))&lt;=90,CODE(MID(TRIM(UPPER(E201)),10,1))&gt;=65,CODE(MID(TRIM(UPPER(E201)),10,1))&lt;=90,CODE(MID(TRIM(UPPER(E201)),6,1))&gt;=48,CODE(MID(TRIM(UPPER(E201)),6,1))&lt;=57,CODE(MID(TRIM(UPPER(E201)),7,1))&gt;=48,CODE(MID(TRIM(UPPER(E201)),7,1))&lt;=57,CODE(MID(TRIM(UPPER(E201)),8,1))&gt;=48,CODE(MID(TRIM(UPPER(E201)),8,1))&lt;=57,CODE(MID(TRIM(UPPER(E201)),9,1))&gt;=48,CODE(MID(TRIM(UPPER(E201)),9,1))&lt;=57),"N","Y"))</f>
      </c>
      <c r="G201" s="7">
        <f>IF($D201="","",IF(LEN(E201)&lt;4,"",IF(UPPER(MID(E201,4,1))="P","Individual",IF(UPPER(MID(E201,4,1))="H","HUF",IF(UPPER(MID(E201,4,1))="C","Company",IF(UPPER(MID(E201,4,1))="F","Firm",IF(UPPER(MID(E201,4,1))="L","LLP",IF(UPPER(MID(E201,4,1))="T","Trust",IF(UPPER(MID(E201,4,1))="A","AOP","")))))))))</f>
      </c>
      <c r="H201" s="8"/>
      <c r="I201" s="7">
        <f>IF($D201="","",IF(H201="","",IF(F201="Y",SUMPRODUCT(('Rate Lookup'!$A$1:$A$37=H201)*'Rate Lookup'!$D$1:$D$37),IF(OR(G201="Individual",G201="HUF"),SUMPRODUCT(('Rate Lookup'!$A$1:$A$37=H201)*'Rate Lookup'!$B$1:$B$37),SUMPRODUCT(('Rate Lookup'!$A$1:$A$37=H201)*'Rate Lookup'!$C$1:$C$37)))))</f>
      </c>
      <c r="J201" s="8"/>
      <c r="K201" s="8"/>
      <c r="L201" s="7">
        <f>IF($D201="","",ROUND(K201*I201/100,0))</f>
      </c>
      <c r="M201" s="7">
        <f>IF($D201="","",0)</f>
      </c>
      <c r="N201" s="7">
        <f>IF($D201="","",0)</f>
      </c>
      <c r="O201" s="7">
        <f>IF($D201="","",IF(OR(L201=0,J201="",IFERROR(INDEX('Challan Master'!$D$4:$D$207,MATCH($B201,'Challan Master'!$S$4:$S$207,0)),"")="",IFERROR(INDEX('Challan Master'!$D$4:$D$207,MATCH($B201,'Challan Master'!$S$4:$S$207,0)),"")&lt;=0),0,IF(IFERROR(INDEX('Challan Master'!$D$4:$D$207,MATCH($B201,'Challan Master'!$S$4:$S$207,0)),"")&lt;=DATE(YEAR(J201),MONTH(J201)+1,7),0,ROUND(L201*0.015*((YEAR(IFERROR(INDEX('Challan Master'!$D$4:$D$207,MATCH($B201,'Challan Master'!$S$4:$S$207,0)),""))-YEAR(J201))*12+(MONTH(IFERROR(INDEX('Challan Master'!$D$4:$D$207,MATCH($B201,'Challan Master'!$S$4:$S$207,0)),""))-MONTH(J201))+1),0))))</f>
      </c>
      <c r="P201" s="7">
        <f>IF($D201="","",0)</f>
      </c>
      <c r="Q201" s="8"/>
      <c r="R201" s="8"/>
      <c r="S201" s="8"/>
      <c r="T201" s="8"/>
      <c r="U201" s="8"/>
      <c r="V201" s="7">
        <f>IF($B201="","",IFERROR(INDEX('Challan Master'!$AA$4:$AA$207,MATCH($B201,'Challan Master'!$S$4:$S$207,0)),""))</f>
      </c>
    </row>
    <row r="202" spans="1:22" x14ac:dyDescent="0.25">
      <c r="A202" s="7">
        <f>IF($D202="","",COUNTIF($D$4:$D202,"&lt;&gt;"))</f>
      </c>
      <c r="B202" s="8"/>
      <c r="C202" s="7">
        <f>IF($B202="","","BSR "&amp;IFERROR(INDEX('Challan Master'!$B$4:$B$207,MATCH($B202,'Challan Master'!$S$4:$S$207,0)),"")&amp;" | Serial "&amp;IFERROR(INDEX('Challan Master'!$C$4:$C$207,MATCH($B202,'Challan Master'!$S$4:$S$207,0)),"")&amp;" | Deposit "&amp;TEXT(IFERROR(INDEX('Challan Master'!$D$4:$D$207,MATCH($B202,'Challan Master'!$S$4:$S$207,0)),""),"dd-mm-yyyy")&amp;" | Minor Head "&amp;IFERROR(INDEX('Challan Master'!$E$4:$E$207,MATCH($B202,'Challan Master'!$S$4:$S$207,0)),"")&amp;" | Tax ₹"&amp;TEXT(IFERROR(INDEX('Challan Master'!$G$4:$G$207,MATCH($B202,'Challan Master'!$S$4:$S$207,0)),""),"#,##0")&amp;" | Section "&amp;IFERROR(INDEX('Challan Master'!$F$4:$F$207,MATCH($B202,'Challan Master'!$S$4:$S$207,0)),""))</f>
      </c>
      <c r="D202" s="8"/>
      <c r="E202" s="8"/>
      <c r="F202" s="7">
        <f>IF($D202="","",IF(AND(LEN(TRIM(UPPER(E202)))=10,CODE(MID(TRIM(UPPER(E202)),1,1))&gt;=65,CODE(MID(TRIM(UPPER(E202)),1,1))&lt;=90,CODE(MID(TRIM(UPPER(E202)),2,1))&gt;=65,CODE(MID(TRIM(UPPER(E202)),2,1))&lt;=90,CODE(MID(TRIM(UPPER(E202)),3,1))&gt;=65,CODE(MID(TRIM(UPPER(E202)),3,1))&lt;=90,CODE(MID(TRIM(UPPER(E202)),4,1))&gt;=65,CODE(MID(TRIM(UPPER(E202)),4,1))&lt;=90,CODE(MID(TRIM(UPPER(E202)),5,1))&gt;=65,CODE(MID(TRIM(UPPER(E202)),5,1))&lt;=90,CODE(MID(TRIM(UPPER(E202)),10,1))&gt;=65,CODE(MID(TRIM(UPPER(E202)),10,1))&lt;=90,CODE(MID(TRIM(UPPER(E202)),6,1))&gt;=48,CODE(MID(TRIM(UPPER(E202)),6,1))&lt;=57,CODE(MID(TRIM(UPPER(E202)),7,1))&gt;=48,CODE(MID(TRIM(UPPER(E202)),7,1))&lt;=57,CODE(MID(TRIM(UPPER(E202)),8,1))&gt;=48,CODE(MID(TRIM(UPPER(E202)),8,1))&lt;=57,CODE(MID(TRIM(UPPER(E202)),9,1))&gt;=48,CODE(MID(TRIM(UPPER(E202)),9,1))&lt;=57),"N","Y"))</f>
      </c>
      <c r="G202" s="7">
        <f>IF($D202="","",IF(LEN(E202)&lt;4,"",IF(UPPER(MID(E202,4,1))="P","Individual",IF(UPPER(MID(E202,4,1))="H","HUF",IF(UPPER(MID(E202,4,1))="C","Company",IF(UPPER(MID(E202,4,1))="F","Firm",IF(UPPER(MID(E202,4,1))="L","LLP",IF(UPPER(MID(E202,4,1))="T","Trust",IF(UPPER(MID(E202,4,1))="A","AOP","")))))))))</f>
      </c>
      <c r="H202" s="8"/>
      <c r="I202" s="7">
        <f>IF($D202="","",IF(H202="","",IF(F202="Y",SUMPRODUCT(('Rate Lookup'!$A$1:$A$37=H202)*'Rate Lookup'!$D$1:$D$37),IF(OR(G202="Individual",G202="HUF"),SUMPRODUCT(('Rate Lookup'!$A$1:$A$37=H202)*'Rate Lookup'!$B$1:$B$37),SUMPRODUCT(('Rate Lookup'!$A$1:$A$37=H202)*'Rate Lookup'!$C$1:$C$37)))))</f>
      </c>
      <c r="J202" s="8"/>
      <c r="K202" s="8"/>
      <c r="L202" s="7">
        <f>IF($D202="","",ROUND(K202*I202/100,0))</f>
      </c>
      <c r="M202" s="7">
        <f>IF($D202="","",0)</f>
      </c>
      <c r="N202" s="7">
        <f>IF($D202="","",0)</f>
      </c>
      <c r="O202" s="7">
        <f>IF($D202="","",IF(OR(L202=0,J202="",IFERROR(INDEX('Challan Master'!$D$4:$D$207,MATCH($B202,'Challan Master'!$S$4:$S$207,0)),"")="",IFERROR(INDEX('Challan Master'!$D$4:$D$207,MATCH($B202,'Challan Master'!$S$4:$S$207,0)),"")&lt;=0),0,IF(IFERROR(INDEX('Challan Master'!$D$4:$D$207,MATCH($B202,'Challan Master'!$S$4:$S$207,0)),"")&lt;=DATE(YEAR(J202),MONTH(J202)+1,7),0,ROUND(L202*0.015*((YEAR(IFERROR(INDEX('Challan Master'!$D$4:$D$207,MATCH($B202,'Challan Master'!$S$4:$S$207,0)),""))-YEAR(J202))*12+(MONTH(IFERROR(INDEX('Challan Master'!$D$4:$D$207,MATCH($B202,'Challan Master'!$S$4:$S$207,0)),""))-MONTH(J202))+1),0))))</f>
      </c>
      <c r="P202" s="7">
        <f>IF($D202="","",0)</f>
      </c>
      <c r="Q202" s="8"/>
      <c r="R202" s="8"/>
      <c r="S202" s="8"/>
      <c r="T202" s="8"/>
      <c r="U202" s="8"/>
      <c r="V202" s="7">
        <f>IF($B202="","",IFERROR(INDEX('Challan Master'!$AA$4:$AA$207,MATCH($B202,'Challan Master'!$S$4:$S$207,0)),""))</f>
      </c>
    </row>
    <row r="203" spans="1:22" x14ac:dyDescent="0.25">
      <c r="A203" s="7">
        <f>IF($D203="","",COUNTIF($D$4:$D203,"&lt;&gt;"))</f>
      </c>
      <c r="B203" s="8"/>
      <c r="C203" s="7">
        <f>IF($B203="","","BSR "&amp;IFERROR(INDEX('Challan Master'!$B$4:$B$207,MATCH($B203,'Challan Master'!$S$4:$S$207,0)),"")&amp;" | Serial "&amp;IFERROR(INDEX('Challan Master'!$C$4:$C$207,MATCH($B203,'Challan Master'!$S$4:$S$207,0)),"")&amp;" | Deposit "&amp;TEXT(IFERROR(INDEX('Challan Master'!$D$4:$D$207,MATCH($B203,'Challan Master'!$S$4:$S$207,0)),""),"dd-mm-yyyy")&amp;" | Minor Head "&amp;IFERROR(INDEX('Challan Master'!$E$4:$E$207,MATCH($B203,'Challan Master'!$S$4:$S$207,0)),"")&amp;" | Tax ₹"&amp;TEXT(IFERROR(INDEX('Challan Master'!$G$4:$G$207,MATCH($B203,'Challan Master'!$S$4:$S$207,0)),""),"#,##0")&amp;" | Section "&amp;IFERROR(INDEX('Challan Master'!$F$4:$F$207,MATCH($B203,'Challan Master'!$S$4:$S$207,0)),""))</f>
      </c>
      <c r="D203" s="8"/>
      <c r="E203" s="8"/>
      <c r="F203" s="7">
        <f>IF($D203="","",IF(AND(LEN(TRIM(UPPER(E203)))=10,CODE(MID(TRIM(UPPER(E203)),1,1))&gt;=65,CODE(MID(TRIM(UPPER(E203)),1,1))&lt;=90,CODE(MID(TRIM(UPPER(E203)),2,1))&gt;=65,CODE(MID(TRIM(UPPER(E203)),2,1))&lt;=90,CODE(MID(TRIM(UPPER(E203)),3,1))&gt;=65,CODE(MID(TRIM(UPPER(E203)),3,1))&lt;=90,CODE(MID(TRIM(UPPER(E203)),4,1))&gt;=65,CODE(MID(TRIM(UPPER(E203)),4,1))&lt;=90,CODE(MID(TRIM(UPPER(E203)),5,1))&gt;=65,CODE(MID(TRIM(UPPER(E203)),5,1))&lt;=90,CODE(MID(TRIM(UPPER(E203)),10,1))&gt;=65,CODE(MID(TRIM(UPPER(E203)),10,1))&lt;=90,CODE(MID(TRIM(UPPER(E203)),6,1))&gt;=48,CODE(MID(TRIM(UPPER(E203)),6,1))&lt;=57,CODE(MID(TRIM(UPPER(E203)),7,1))&gt;=48,CODE(MID(TRIM(UPPER(E203)),7,1))&lt;=57,CODE(MID(TRIM(UPPER(E203)),8,1))&gt;=48,CODE(MID(TRIM(UPPER(E203)),8,1))&lt;=57,CODE(MID(TRIM(UPPER(E203)),9,1))&gt;=48,CODE(MID(TRIM(UPPER(E203)),9,1))&lt;=57),"N","Y"))</f>
      </c>
      <c r="G203" s="7">
        <f>IF($D203="","",IF(LEN(E203)&lt;4,"",IF(UPPER(MID(E203,4,1))="P","Individual",IF(UPPER(MID(E203,4,1))="H","HUF",IF(UPPER(MID(E203,4,1))="C","Company",IF(UPPER(MID(E203,4,1))="F","Firm",IF(UPPER(MID(E203,4,1))="L","LLP",IF(UPPER(MID(E203,4,1))="T","Trust",IF(UPPER(MID(E203,4,1))="A","AOP","")))))))))</f>
      </c>
      <c r="H203" s="8"/>
      <c r="I203" s="7">
        <f>IF($D203="","",IF(H203="","",IF(F203="Y",SUMPRODUCT(('Rate Lookup'!$A$1:$A$37=H203)*'Rate Lookup'!$D$1:$D$37),IF(OR(G203="Individual",G203="HUF"),SUMPRODUCT(('Rate Lookup'!$A$1:$A$37=H203)*'Rate Lookup'!$B$1:$B$37),SUMPRODUCT(('Rate Lookup'!$A$1:$A$37=H203)*'Rate Lookup'!$C$1:$C$37)))))</f>
      </c>
      <c r="J203" s="8"/>
      <c r="K203" s="8"/>
      <c r="L203" s="7">
        <f>IF($D203="","",ROUND(K203*I203/100,0))</f>
      </c>
      <c r="M203" s="7">
        <f>IF($D203="","",0)</f>
      </c>
      <c r="N203" s="7">
        <f>IF($D203="","",0)</f>
      </c>
      <c r="O203" s="7">
        <f>IF($D203="","",IF(OR(L203=0,J203="",IFERROR(INDEX('Challan Master'!$D$4:$D$207,MATCH($B203,'Challan Master'!$S$4:$S$207,0)),"")="",IFERROR(INDEX('Challan Master'!$D$4:$D$207,MATCH($B203,'Challan Master'!$S$4:$S$207,0)),"")&lt;=0),0,IF(IFERROR(INDEX('Challan Master'!$D$4:$D$207,MATCH($B203,'Challan Master'!$S$4:$S$207,0)),"")&lt;=DATE(YEAR(J203),MONTH(J203)+1,7),0,ROUND(L203*0.015*((YEAR(IFERROR(INDEX('Challan Master'!$D$4:$D$207,MATCH($B203,'Challan Master'!$S$4:$S$207,0)),""))-YEAR(J203))*12+(MONTH(IFERROR(INDEX('Challan Master'!$D$4:$D$207,MATCH($B203,'Challan Master'!$S$4:$S$207,0)),""))-MONTH(J203))+1),0))))</f>
      </c>
      <c r="P203" s="7">
        <f>IF($D203="","",0)</f>
      </c>
      <c r="Q203" s="8"/>
      <c r="R203" s="8"/>
      <c r="S203" s="8"/>
      <c r="T203" s="8"/>
      <c r="U203" s="8"/>
      <c r="V203" s="7">
        <f>IF($B203="","",IFERROR(INDEX('Challan Master'!$AA$4:$AA$207,MATCH($B203,'Challan Master'!$S$4:$S$207,0)),""))</f>
      </c>
    </row>
    <row r="204" spans="1:22" x14ac:dyDescent="0.25">
      <c r="A204" s="7">
        <f>IF($D204="","",COUNTIF($D$4:$D204,"&lt;&gt;"))</f>
      </c>
      <c r="B204" s="8"/>
      <c r="C204" s="7">
        <f>IF($B204="","","BSR "&amp;IFERROR(INDEX('Challan Master'!$B$4:$B$207,MATCH($B204,'Challan Master'!$S$4:$S$207,0)),"")&amp;" | Serial "&amp;IFERROR(INDEX('Challan Master'!$C$4:$C$207,MATCH($B204,'Challan Master'!$S$4:$S$207,0)),"")&amp;" | Deposit "&amp;TEXT(IFERROR(INDEX('Challan Master'!$D$4:$D$207,MATCH($B204,'Challan Master'!$S$4:$S$207,0)),""),"dd-mm-yyyy")&amp;" | Minor Head "&amp;IFERROR(INDEX('Challan Master'!$E$4:$E$207,MATCH($B204,'Challan Master'!$S$4:$S$207,0)),"")&amp;" | Tax ₹"&amp;TEXT(IFERROR(INDEX('Challan Master'!$G$4:$G$207,MATCH($B204,'Challan Master'!$S$4:$S$207,0)),""),"#,##0")&amp;" | Section "&amp;IFERROR(INDEX('Challan Master'!$F$4:$F$207,MATCH($B204,'Challan Master'!$S$4:$S$207,0)),""))</f>
      </c>
      <c r="D204" s="8"/>
      <c r="E204" s="8"/>
      <c r="F204" s="7">
        <f>IF($D204="","",IF(AND(LEN(TRIM(UPPER(E204)))=10,CODE(MID(TRIM(UPPER(E204)),1,1))&gt;=65,CODE(MID(TRIM(UPPER(E204)),1,1))&lt;=90,CODE(MID(TRIM(UPPER(E204)),2,1))&gt;=65,CODE(MID(TRIM(UPPER(E204)),2,1))&lt;=90,CODE(MID(TRIM(UPPER(E204)),3,1))&gt;=65,CODE(MID(TRIM(UPPER(E204)),3,1))&lt;=90,CODE(MID(TRIM(UPPER(E204)),4,1))&gt;=65,CODE(MID(TRIM(UPPER(E204)),4,1))&lt;=90,CODE(MID(TRIM(UPPER(E204)),5,1))&gt;=65,CODE(MID(TRIM(UPPER(E204)),5,1))&lt;=90,CODE(MID(TRIM(UPPER(E204)),10,1))&gt;=65,CODE(MID(TRIM(UPPER(E204)),10,1))&lt;=90,CODE(MID(TRIM(UPPER(E204)),6,1))&gt;=48,CODE(MID(TRIM(UPPER(E204)),6,1))&lt;=57,CODE(MID(TRIM(UPPER(E204)),7,1))&gt;=48,CODE(MID(TRIM(UPPER(E204)),7,1))&lt;=57,CODE(MID(TRIM(UPPER(E204)),8,1))&gt;=48,CODE(MID(TRIM(UPPER(E204)),8,1))&lt;=57,CODE(MID(TRIM(UPPER(E204)),9,1))&gt;=48,CODE(MID(TRIM(UPPER(E204)),9,1))&lt;=57),"N","Y"))</f>
      </c>
      <c r="G204" s="7">
        <f>IF($D204="","",IF(LEN(E204)&lt;4,"",IF(UPPER(MID(E204,4,1))="P","Individual",IF(UPPER(MID(E204,4,1))="H","HUF",IF(UPPER(MID(E204,4,1))="C","Company",IF(UPPER(MID(E204,4,1))="F","Firm",IF(UPPER(MID(E204,4,1))="L","LLP",IF(UPPER(MID(E204,4,1))="T","Trust",IF(UPPER(MID(E204,4,1))="A","AOP","")))))))))</f>
      </c>
      <c r="H204" s="8"/>
      <c r="I204" s="7">
        <f>IF($D204="","",IF(H204="","",IF(F204="Y",SUMPRODUCT(('Rate Lookup'!$A$1:$A$37=H204)*'Rate Lookup'!$D$1:$D$37),IF(OR(G204="Individual",G204="HUF"),SUMPRODUCT(('Rate Lookup'!$A$1:$A$37=H204)*'Rate Lookup'!$B$1:$B$37),SUMPRODUCT(('Rate Lookup'!$A$1:$A$37=H204)*'Rate Lookup'!$C$1:$C$37)))))</f>
      </c>
      <c r="J204" s="8"/>
      <c r="K204" s="8"/>
      <c r="L204" s="7">
        <f>IF($D204="","",ROUND(K204*I204/100,0))</f>
      </c>
      <c r="M204" s="7">
        <f>IF($D204="","",0)</f>
      </c>
      <c r="N204" s="7">
        <f>IF($D204="","",0)</f>
      </c>
      <c r="O204" s="7">
        <f>IF($D204="","",IF(OR(L204=0,J204="",IFERROR(INDEX('Challan Master'!$D$4:$D$207,MATCH($B204,'Challan Master'!$S$4:$S$207,0)),"")="",IFERROR(INDEX('Challan Master'!$D$4:$D$207,MATCH($B204,'Challan Master'!$S$4:$S$207,0)),"")&lt;=0),0,IF(IFERROR(INDEX('Challan Master'!$D$4:$D$207,MATCH($B204,'Challan Master'!$S$4:$S$207,0)),"")&lt;=DATE(YEAR(J204),MONTH(J204)+1,7),0,ROUND(L204*0.015*((YEAR(IFERROR(INDEX('Challan Master'!$D$4:$D$207,MATCH($B204,'Challan Master'!$S$4:$S$207,0)),""))-YEAR(J204))*12+(MONTH(IFERROR(INDEX('Challan Master'!$D$4:$D$207,MATCH($B204,'Challan Master'!$S$4:$S$207,0)),""))-MONTH(J204))+1),0))))</f>
      </c>
      <c r="P204" s="7">
        <f>IF($D204="","",0)</f>
      </c>
      <c r="Q204" s="8"/>
      <c r="R204" s="8"/>
      <c r="S204" s="8"/>
      <c r="T204" s="8"/>
      <c r="U204" s="8"/>
      <c r="V204" s="7">
        <f>IF($B204="","",IFERROR(INDEX('Challan Master'!$AA$4:$AA$207,MATCH($B204,'Challan Master'!$S$4:$S$207,0)),""))</f>
      </c>
    </row>
    <row r="205" spans="1:22" x14ac:dyDescent="0.25">
      <c r="A205" s="7">
        <f>IF($D205="","",COUNTIF($D$4:$D205,"&lt;&gt;"))</f>
      </c>
      <c r="B205" s="8"/>
      <c r="C205" s="7">
        <f>IF($B205="","","BSR "&amp;IFERROR(INDEX('Challan Master'!$B$4:$B$207,MATCH($B205,'Challan Master'!$S$4:$S$207,0)),"")&amp;" | Serial "&amp;IFERROR(INDEX('Challan Master'!$C$4:$C$207,MATCH($B205,'Challan Master'!$S$4:$S$207,0)),"")&amp;" | Deposit "&amp;TEXT(IFERROR(INDEX('Challan Master'!$D$4:$D$207,MATCH($B205,'Challan Master'!$S$4:$S$207,0)),""),"dd-mm-yyyy")&amp;" | Minor Head "&amp;IFERROR(INDEX('Challan Master'!$E$4:$E$207,MATCH($B205,'Challan Master'!$S$4:$S$207,0)),"")&amp;" | Tax ₹"&amp;TEXT(IFERROR(INDEX('Challan Master'!$G$4:$G$207,MATCH($B205,'Challan Master'!$S$4:$S$207,0)),""),"#,##0")&amp;" | Section "&amp;IFERROR(INDEX('Challan Master'!$F$4:$F$207,MATCH($B205,'Challan Master'!$S$4:$S$207,0)),""))</f>
      </c>
      <c r="D205" s="8"/>
      <c r="E205" s="8"/>
      <c r="F205" s="7">
        <f>IF($D205="","",IF(AND(LEN(TRIM(UPPER(E205)))=10,CODE(MID(TRIM(UPPER(E205)),1,1))&gt;=65,CODE(MID(TRIM(UPPER(E205)),1,1))&lt;=90,CODE(MID(TRIM(UPPER(E205)),2,1))&gt;=65,CODE(MID(TRIM(UPPER(E205)),2,1))&lt;=90,CODE(MID(TRIM(UPPER(E205)),3,1))&gt;=65,CODE(MID(TRIM(UPPER(E205)),3,1))&lt;=90,CODE(MID(TRIM(UPPER(E205)),4,1))&gt;=65,CODE(MID(TRIM(UPPER(E205)),4,1))&lt;=90,CODE(MID(TRIM(UPPER(E205)),5,1))&gt;=65,CODE(MID(TRIM(UPPER(E205)),5,1))&lt;=90,CODE(MID(TRIM(UPPER(E205)),10,1))&gt;=65,CODE(MID(TRIM(UPPER(E205)),10,1))&lt;=90,CODE(MID(TRIM(UPPER(E205)),6,1))&gt;=48,CODE(MID(TRIM(UPPER(E205)),6,1))&lt;=57,CODE(MID(TRIM(UPPER(E205)),7,1))&gt;=48,CODE(MID(TRIM(UPPER(E205)),7,1))&lt;=57,CODE(MID(TRIM(UPPER(E205)),8,1))&gt;=48,CODE(MID(TRIM(UPPER(E205)),8,1))&lt;=57,CODE(MID(TRIM(UPPER(E205)),9,1))&gt;=48,CODE(MID(TRIM(UPPER(E205)),9,1))&lt;=57),"N","Y"))</f>
      </c>
      <c r="G205" s="7">
        <f>IF($D205="","",IF(LEN(E205)&lt;4,"",IF(UPPER(MID(E205,4,1))="P","Individual",IF(UPPER(MID(E205,4,1))="H","HUF",IF(UPPER(MID(E205,4,1))="C","Company",IF(UPPER(MID(E205,4,1))="F","Firm",IF(UPPER(MID(E205,4,1))="L","LLP",IF(UPPER(MID(E205,4,1))="T","Trust",IF(UPPER(MID(E205,4,1))="A","AOP","")))))))))</f>
      </c>
      <c r="H205" s="8"/>
      <c r="I205" s="7">
        <f>IF($D205="","",IF(H205="","",IF(F205="Y",SUMPRODUCT(('Rate Lookup'!$A$1:$A$37=H205)*'Rate Lookup'!$D$1:$D$37),IF(OR(G205="Individual",G205="HUF"),SUMPRODUCT(('Rate Lookup'!$A$1:$A$37=H205)*'Rate Lookup'!$B$1:$B$37),SUMPRODUCT(('Rate Lookup'!$A$1:$A$37=H205)*'Rate Lookup'!$C$1:$C$37)))))</f>
      </c>
      <c r="J205" s="8"/>
      <c r="K205" s="8"/>
      <c r="L205" s="7">
        <f>IF($D205="","",ROUND(K205*I205/100,0))</f>
      </c>
      <c r="M205" s="7">
        <f>IF($D205="","",0)</f>
      </c>
      <c r="N205" s="7">
        <f>IF($D205="","",0)</f>
      </c>
      <c r="O205" s="7">
        <f>IF($D205="","",IF(OR(L205=0,J205="",IFERROR(INDEX('Challan Master'!$D$4:$D$207,MATCH($B205,'Challan Master'!$S$4:$S$207,0)),"")="",IFERROR(INDEX('Challan Master'!$D$4:$D$207,MATCH($B205,'Challan Master'!$S$4:$S$207,0)),"")&lt;=0),0,IF(IFERROR(INDEX('Challan Master'!$D$4:$D$207,MATCH($B205,'Challan Master'!$S$4:$S$207,0)),"")&lt;=DATE(YEAR(J205),MONTH(J205)+1,7),0,ROUND(L205*0.015*((YEAR(IFERROR(INDEX('Challan Master'!$D$4:$D$207,MATCH($B205,'Challan Master'!$S$4:$S$207,0)),""))-YEAR(J205))*12+(MONTH(IFERROR(INDEX('Challan Master'!$D$4:$D$207,MATCH($B205,'Challan Master'!$S$4:$S$207,0)),""))-MONTH(J205))+1),0))))</f>
      </c>
      <c r="P205" s="7">
        <f>IF($D205="","",0)</f>
      </c>
      <c r="Q205" s="8"/>
      <c r="R205" s="8"/>
      <c r="S205" s="8"/>
      <c r="T205" s="8"/>
      <c r="U205" s="8"/>
      <c r="V205" s="7">
        <f>IF($B205="","",IFERROR(INDEX('Challan Master'!$AA$4:$AA$207,MATCH($B205,'Challan Master'!$S$4:$S$207,0)),""))</f>
      </c>
    </row>
    <row r="206" spans="1:22" x14ac:dyDescent="0.25">
      <c r="A206" s="7">
        <f>IF($D206="","",COUNTIF($D$4:$D206,"&lt;&gt;"))</f>
      </c>
      <c r="B206" s="8"/>
      <c r="C206" s="7">
        <f>IF($B206="","","BSR "&amp;IFERROR(INDEX('Challan Master'!$B$4:$B$207,MATCH($B206,'Challan Master'!$S$4:$S$207,0)),"")&amp;" | Serial "&amp;IFERROR(INDEX('Challan Master'!$C$4:$C$207,MATCH($B206,'Challan Master'!$S$4:$S$207,0)),"")&amp;" | Deposit "&amp;TEXT(IFERROR(INDEX('Challan Master'!$D$4:$D$207,MATCH($B206,'Challan Master'!$S$4:$S$207,0)),""),"dd-mm-yyyy")&amp;" | Minor Head "&amp;IFERROR(INDEX('Challan Master'!$E$4:$E$207,MATCH($B206,'Challan Master'!$S$4:$S$207,0)),"")&amp;" | Tax ₹"&amp;TEXT(IFERROR(INDEX('Challan Master'!$G$4:$G$207,MATCH($B206,'Challan Master'!$S$4:$S$207,0)),""),"#,##0")&amp;" | Section "&amp;IFERROR(INDEX('Challan Master'!$F$4:$F$207,MATCH($B206,'Challan Master'!$S$4:$S$207,0)),""))</f>
      </c>
      <c r="D206" s="8"/>
      <c r="E206" s="8"/>
      <c r="F206" s="7">
        <f>IF($D206="","",IF(AND(LEN(TRIM(UPPER(E206)))=10,CODE(MID(TRIM(UPPER(E206)),1,1))&gt;=65,CODE(MID(TRIM(UPPER(E206)),1,1))&lt;=90,CODE(MID(TRIM(UPPER(E206)),2,1))&gt;=65,CODE(MID(TRIM(UPPER(E206)),2,1))&lt;=90,CODE(MID(TRIM(UPPER(E206)),3,1))&gt;=65,CODE(MID(TRIM(UPPER(E206)),3,1))&lt;=90,CODE(MID(TRIM(UPPER(E206)),4,1))&gt;=65,CODE(MID(TRIM(UPPER(E206)),4,1))&lt;=90,CODE(MID(TRIM(UPPER(E206)),5,1))&gt;=65,CODE(MID(TRIM(UPPER(E206)),5,1))&lt;=90,CODE(MID(TRIM(UPPER(E206)),10,1))&gt;=65,CODE(MID(TRIM(UPPER(E206)),10,1))&lt;=90,CODE(MID(TRIM(UPPER(E206)),6,1))&gt;=48,CODE(MID(TRIM(UPPER(E206)),6,1))&lt;=57,CODE(MID(TRIM(UPPER(E206)),7,1))&gt;=48,CODE(MID(TRIM(UPPER(E206)),7,1))&lt;=57,CODE(MID(TRIM(UPPER(E206)),8,1))&gt;=48,CODE(MID(TRIM(UPPER(E206)),8,1))&lt;=57,CODE(MID(TRIM(UPPER(E206)),9,1))&gt;=48,CODE(MID(TRIM(UPPER(E206)),9,1))&lt;=57),"N","Y"))</f>
      </c>
      <c r="G206" s="7">
        <f>IF($D206="","",IF(LEN(E206)&lt;4,"",IF(UPPER(MID(E206,4,1))="P","Individual",IF(UPPER(MID(E206,4,1))="H","HUF",IF(UPPER(MID(E206,4,1))="C","Company",IF(UPPER(MID(E206,4,1))="F","Firm",IF(UPPER(MID(E206,4,1))="L","LLP",IF(UPPER(MID(E206,4,1))="T","Trust",IF(UPPER(MID(E206,4,1))="A","AOP","")))))))))</f>
      </c>
      <c r="H206" s="8"/>
      <c r="I206" s="7">
        <f>IF($D206="","",IF(H206="","",IF(F206="Y",SUMPRODUCT(('Rate Lookup'!$A$1:$A$37=H206)*'Rate Lookup'!$D$1:$D$37),IF(OR(G206="Individual",G206="HUF"),SUMPRODUCT(('Rate Lookup'!$A$1:$A$37=H206)*'Rate Lookup'!$B$1:$B$37),SUMPRODUCT(('Rate Lookup'!$A$1:$A$37=H206)*'Rate Lookup'!$C$1:$C$37)))))</f>
      </c>
      <c r="J206" s="8"/>
      <c r="K206" s="8"/>
      <c r="L206" s="7">
        <f>IF($D206="","",ROUND(K206*I206/100,0))</f>
      </c>
      <c r="M206" s="7">
        <f>IF($D206="","",0)</f>
      </c>
      <c r="N206" s="7">
        <f>IF($D206="","",0)</f>
      </c>
      <c r="O206" s="7">
        <f>IF($D206="","",IF(OR(L206=0,J206="",IFERROR(INDEX('Challan Master'!$D$4:$D$207,MATCH($B206,'Challan Master'!$S$4:$S$207,0)),"")="",IFERROR(INDEX('Challan Master'!$D$4:$D$207,MATCH($B206,'Challan Master'!$S$4:$S$207,0)),"")&lt;=0),0,IF(IFERROR(INDEX('Challan Master'!$D$4:$D$207,MATCH($B206,'Challan Master'!$S$4:$S$207,0)),"")&lt;=DATE(YEAR(J206),MONTH(J206)+1,7),0,ROUND(L206*0.015*((YEAR(IFERROR(INDEX('Challan Master'!$D$4:$D$207,MATCH($B206,'Challan Master'!$S$4:$S$207,0)),""))-YEAR(J206))*12+(MONTH(IFERROR(INDEX('Challan Master'!$D$4:$D$207,MATCH($B206,'Challan Master'!$S$4:$S$207,0)),""))-MONTH(J206))+1),0))))</f>
      </c>
      <c r="P206" s="7">
        <f>IF($D206="","",0)</f>
      </c>
      <c r="Q206" s="8"/>
      <c r="R206" s="8"/>
      <c r="S206" s="8"/>
      <c r="T206" s="8"/>
      <c r="U206" s="8"/>
      <c r="V206" s="7">
        <f>IF($B206="","",IFERROR(INDEX('Challan Master'!$AA$4:$AA$207,MATCH($B206,'Challan Master'!$S$4:$S$207,0)),""))</f>
      </c>
    </row>
    <row r="207" spans="1:22" x14ac:dyDescent="0.25">
      <c r="A207" s="7">
        <f>IF($D207="","",COUNTIF($D$4:$D207,"&lt;&gt;"))</f>
      </c>
      <c r="B207" s="8"/>
      <c r="C207" s="7">
        <f>IF($B207="","","BSR "&amp;IFERROR(INDEX('Challan Master'!$B$4:$B$207,MATCH($B207,'Challan Master'!$S$4:$S$207,0)),"")&amp;" | Serial "&amp;IFERROR(INDEX('Challan Master'!$C$4:$C$207,MATCH($B207,'Challan Master'!$S$4:$S$207,0)),"")&amp;" | Deposit "&amp;TEXT(IFERROR(INDEX('Challan Master'!$D$4:$D$207,MATCH($B207,'Challan Master'!$S$4:$S$207,0)),""),"dd-mm-yyyy")&amp;" | Minor Head "&amp;IFERROR(INDEX('Challan Master'!$E$4:$E$207,MATCH($B207,'Challan Master'!$S$4:$S$207,0)),"")&amp;" | Tax ₹"&amp;TEXT(IFERROR(INDEX('Challan Master'!$G$4:$G$207,MATCH($B207,'Challan Master'!$S$4:$S$207,0)),""),"#,##0")&amp;" | Section "&amp;IFERROR(INDEX('Challan Master'!$F$4:$F$207,MATCH($B207,'Challan Master'!$S$4:$S$207,0)),""))</f>
      </c>
      <c r="D207" s="8"/>
      <c r="E207" s="8"/>
      <c r="F207" s="7">
        <f>IF($D207="","",IF(AND(LEN(TRIM(UPPER(E207)))=10,CODE(MID(TRIM(UPPER(E207)),1,1))&gt;=65,CODE(MID(TRIM(UPPER(E207)),1,1))&lt;=90,CODE(MID(TRIM(UPPER(E207)),2,1))&gt;=65,CODE(MID(TRIM(UPPER(E207)),2,1))&lt;=90,CODE(MID(TRIM(UPPER(E207)),3,1))&gt;=65,CODE(MID(TRIM(UPPER(E207)),3,1))&lt;=90,CODE(MID(TRIM(UPPER(E207)),4,1))&gt;=65,CODE(MID(TRIM(UPPER(E207)),4,1))&lt;=90,CODE(MID(TRIM(UPPER(E207)),5,1))&gt;=65,CODE(MID(TRIM(UPPER(E207)),5,1))&lt;=90,CODE(MID(TRIM(UPPER(E207)),10,1))&gt;=65,CODE(MID(TRIM(UPPER(E207)),10,1))&lt;=90,CODE(MID(TRIM(UPPER(E207)),6,1))&gt;=48,CODE(MID(TRIM(UPPER(E207)),6,1))&lt;=57,CODE(MID(TRIM(UPPER(E207)),7,1))&gt;=48,CODE(MID(TRIM(UPPER(E207)),7,1))&lt;=57,CODE(MID(TRIM(UPPER(E207)),8,1))&gt;=48,CODE(MID(TRIM(UPPER(E207)),8,1))&lt;=57,CODE(MID(TRIM(UPPER(E207)),9,1))&gt;=48,CODE(MID(TRIM(UPPER(E207)),9,1))&lt;=57),"N","Y"))</f>
      </c>
      <c r="G207" s="7">
        <f>IF($D207="","",IF(LEN(E207)&lt;4,"",IF(UPPER(MID(E207,4,1))="P","Individual",IF(UPPER(MID(E207,4,1))="H","HUF",IF(UPPER(MID(E207,4,1))="C","Company",IF(UPPER(MID(E207,4,1))="F","Firm",IF(UPPER(MID(E207,4,1))="L","LLP",IF(UPPER(MID(E207,4,1))="T","Trust",IF(UPPER(MID(E207,4,1))="A","AOP","")))))))))</f>
      </c>
      <c r="H207" s="8"/>
      <c r="I207" s="7">
        <f>IF($D207="","",IF(H207="","",IF(F207="Y",SUMPRODUCT(('Rate Lookup'!$A$1:$A$37=H207)*'Rate Lookup'!$D$1:$D$37),IF(OR(G207="Individual",G207="HUF"),SUMPRODUCT(('Rate Lookup'!$A$1:$A$37=H207)*'Rate Lookup'!$B$1:$B$37),SUMPRODUCT(('Rate Lookup'!$A$1:$A$37=H207)*'Rate Lookup'!$C$1:$C$37)))))</f>
      </c>
      <c r="J207" s="8"/>
      <c r="K207" s="8"/>
      <c r="L207" s="7">
        <f>IF($D207="","",ROUND(K207*I207/100,0))</f>
      </c>
      <c r="M207" s="7">
        <f>IF($D207="","",0)</f>
      </c>
      <c r="N207" s="7">
        <f>IF($D207="","",0)</f>
      </c>
      <c r="O207" s="7">
        <f>IF($D207="","",IF(OR(L207=0,J207="",IFERROR(INDEX('Challan Master'!$D$4:$D$207,MATCH($B207,'Challan Master'!$S$4:$S$207,0)),"")="",IFERROR(INDEX('Challan Master'!$D$4:$D$207,MATCH($B207,'Challan Master'!$S$4:$S$207,0)),"")&lt;=0),0,IF(IFERROR(INDEX('Challan Master'!$D$4:$D$207,MATCH($B207,'Challan Master'!$S$4:$S$207,0)),"")&lt;=DATE(YEAR(J207),MONTH(J207)+1,7),0,ROUND(L207*0.015*((YEAR(IFERROR(INDEX('Challan Master'!$D$4:$D$207,MATCH($B207,'Challan Master'!$S$4:$S$207,0)),""))-YEAR(J207))*12+(MONTH(IFERROR(INDEX('Challan Master'!$D$4:$D$207,MATCH($B207,'Challan Master'!$S$4:$S$207,0)),""))-MONTH(J207))+1),0))))</f>
      </c>
      <c r="P207" s="7">
        <f>IF($D207="","",0)</f>
      </c>
      <c r="Q207" s="8"/>
      <c r="R207" s="8"/>
      <c r="S207" s="8"/>
      <c r="T207" s="8"/>
      <c r="U207" s="8"/>
      <c r="V207" s="7">
        <f>IF($B207="","",IFERROR(INDEX('Challan Master'!$AA$4:$AA$207,MATCH($B207,'Challan Master'!$S$4:$S$207,0)),""))</f>
      </c>
    </row>
  </sheetData>
  <sheetProtection sheet="1" formatCells="0" formatColumns="0" formatRows="0"/>
  <mergeCells count="2">
    <mergeCell ref="A1:V1"/>
    <mergeCell ref="A2:V2"/>
  </mergeCells>
  <conditionalFormatting sqref="A2:V2">
    <cfRule type="expression" dxfId="8" priority="1">
      <formula>ISNUMBER(SEARCH("VALIDATION FAILED",$A2))</formula>
    </cfRule>
    <cfRule type="expression" dxfId="9" priority="2">
      <formula>ISNUMBER(SEARCH("Validation Successful",$A2))</formula>
    </cfRule>
  </conditionalFormatting>
  <conditionalFormatting sqref="B4:B207">
    <cfRule type="expression" dxfId="10" priority="1">
      <formula>AND($D4&lt;&gt;"",$B4="")</formula>
    </cfRule>
  </conditionalFormatting>
  <conditionalFormatting sqref="E4:E207">
    <cfRule type="expression" dxfId="11" priority="2">
      <formula>$F4="Y"</formula>
    </cfRule>
  </conditionalFormatting>
  <conditionalFormatting sqref="A4:V207">
    <cfRule type="expression" dxfId="12" priority="3">
      <formula>$V4="Over-applied"</formula>
    </cfRule>
  </conditionalFormatting>
  <dataValidations count="10">
    <dataValidation type="list" allowBlank="1" showErrorMessage="1" errorTitle="Invalid Challan" error="Pick a challan from the dropdown — it must already exist on the Challan Master sheet." sqref="B10:B207">
      <formula1>'Challan Master'!$S$4:$S$207</formula1>
    </dataValidation>
    <dataValidation type="list" allowBlank="1" showErrorMessage="1" errorTitle="Invalid Challan" error="Pick a challan from the dropdown — it must already exist on the Challan Master sheet." sqref="B4:B207">
      <formula1>'Challan Master'!$S$4:$S$207</formula1>
    </dataValidation>
    <dataValidation type="list" allowBlank="1" showErrorMessage="1" errorTitle="Invalid Section" error="Pick a section from the dropdown list." sqref="H10:H207">
      <formula1>'Rate Lookup'!$A$1:$A$37</formula1>
    </dataValidation>
    <dataValidation type="list" allowBlank="1" showErrorMessage="1" errorTitle="Invalid Section" error="Pick a section from the dropdown list." sqref="H4:H207">
      <formula1>'Rate Lookup'!$A$1:$A$37</formula1>
    </dataValidation>
    <dataValidation type="date" allowBlank="1" showErrorMessage="1" errorTitle="Invalid Date" error="Enter a real date (use the date picker), between 01-Apr-2020 and 31-Mar-2030." sqref="J10:J207">
      <formula1>43922</formula1>
      <formula2>47573</formula2>
    </dataValidation>
    <dataValidation type="date" allowBlank="1" showErrorMessage="1" errorTitle="Invalid Date" error="Enter a real date (use the date picker), between 01-Apr-2020 and 31-Mar-2030." sqref="J4:J207">
      <formula1>43922</formula1>
      <formula2>47573</formula2>
    </dataValidation>
    <dataValidation type="decimal" operator="greaterThanOrEqual" allowBlank="1" showErrorMessage="1" errorTitle="Invalid Amount" error="Must be a number of 0 or more." sqref="K10:K207">
      <formula1>0</formula1>
    </dataValidation>
    <dataValidation type="decimal" operator="greaterThanOrEqual" allowBlank="1" showErrorMessage="1" errorTitle="Invalid Amount" error="Must be a number of 0 or more." sqref="K4:K207">
      <formula1>0</formula1>
    </dataValidation>
    <dataValidation type="list" allowBlank="1" showErrorMessage="1" errorTitle="Invalid Reason Code" error="Pick a Reason Code from the dropdown (A/B/C/D/E/Y/Z)." sqref="Q10:Q207">
      <formula1>"A,B,C,D,E,Y,Z"</formula1>
    </dataValidation>
    <dataValidation type="list" allowBlank="1" showErrorMessage="1" errorTitle="Invalid Reason Code" error="Pick a Reason Code from the dropdown (A/B/C/D/E/Y/Z)." sqref="Q4:Q207">
      <formula1>"A,B,C,D,E,Y,Z"</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40" customWidth="1"/>
    <col min="3" max="3" width="70" customWidth="1"/>
    <col min="4" max="4" width="26" customWidth="1"/>
    <col min="5" max="7" width="12" customWidth="1"/>
    <col min="8" max="8" width="40" customWidth="1"/>
    <col min="9" max="9" width="12" customWidth="1"/>
    <col min="10" max="16" width="13" customWidth="1"/>
    <col min="17" max="17" width="12" customWidth="1"/>
    <col min="18" max="18" width="20" customWidth="1"/>
    <col min="19" max="19" width="14" customWidth="1"/>
    <col min="20" max="20" width="16" customWidth="1"/>
    <col min="21" max="21" width="18" customWidth="1"/>
    <col min="22" max="22" width="14" customWidth="1"/>
  </cols>
  <sheetData>
    <row r="1" ht="22" customHeight="1" spans="1:22" x14ac:dyDescent="0.25">
      <c r="A1" s="3" t="s">
        <v>102</v>
      </c>
      <c r="B1" s="3"/>
      <c r="C1" s="3"/>
      <c r="D1" s="3"/>
      <c r="E1" s="3"/>
      <c r="F1" s="3"/>
      <c r="G1" s="3"/>
      <c r="H1" s="3"/>
      <c r="I1" s="3"/>
      <c r="J1" s="3"/>
      <c r="K1" s="3"/>
      <c r="L1" s="3"/>
      <c r="M1" s="3"/>
      <c r="N1" s="3"/>
      <c r="O1" s="3"/>
      <c r="P1" s="3"/>
      <c r="Q1" s="3"/>
      <c r="R1" s="3"/>
      <c r="S1" s="3"/>
      <c r="T1" s="3"/>
      <c r="U1" s="3"/>
      <c r="V1" s="3"/>
    </row>
    <row r="2" ht="20" customHeight="1" spans="1:22" x14ac:dyDescent="0.25">
      <c r="A2" s="5">
        <f>IF(AND(SUMPRODUCT(($D$4:$D$207&lt;&gt;"")*($B$4:$B$207=""))=0,SUMPRODUCT(($D$4:$D$207&lt;&gt;"")*($V$4:$V$207="Over-applied"))=0),"✅ Validation Successful — every entry has a Challan selected, none reference an over-applied challan ("&amp;COUNTIF($D$4:$D$207,"&lt;&gt;")&amp;" entries checked).","❌ VALIDATION FAILED — "&amp;SUMPRODUCT(($D$4:$D$207&lt;&gt;"")*($B$4:$B$207=""))&amp;" entr(y/ies) missing a Challan selection, "&amp;SUMPRODUCT(($D$4:$D$207&lt;&gt;"")*($V$4:$V$207="Over-applied"))&amp;" entr(y/ies) posted against an Over-applied challan. See the pink/red-highlighted row(s) below.")</f>
      </c>
      <c r="B2" s="5"/>
      <c r="C2" s="5"/>
      <c r="D2" s="5"/>
      <c r="E2" s="5"/>
      <c r="F2" s="5"/>
      <c r="G2" s="5"/>
      <c r="H2" s="5"/>
      <c r="I2" s="5"/>
      <c r="J2" s="5"/>
      <c r="K2" s="5"/>
      <c r="L2" s="5"/>
      <c r="M2" s="5"/>
      <c r="N2" s="5"/>
      <c r="O2" s="5"/>
      <c r="P2" s="5"/>
      <c r="Q2" s="5"/>
      <c r="R2" s="5"/>
      <c r="S2" s="5"/>
      <c r="T2" s="5"/>
      <c r="U2" s="5"/>
      <c r="V2" s="5"/>
    </row>
    <row r="3" ht="40" customHeight="1" spans="1:22" x14ac:dyDescent="0.25">
      <c r="A3" s="6" t="s">
        <v>54</v>
      </c>
      <c r="B3" s="6" t="s">
        <v>82</v>
      </c>
      <c r="C3" s="6" t="s">
        <v>83</v>
      </c>
      <c r="D3" s="6" t="s">
        <v>84</v>
      </c>
      <c r="E3" s="6" t="s">
        <v>85</v>
      </c>
      <c r="F3" s="6" t="s">
        <v>86</v>
      </c>
      <c r="G3" s="6" t="s">
        <v>87</v>
      </c>
      <c r="H3" s="6" t="s">
        <v>88</v>
      </c>
      <c r="I3" s="6" t="s">
        <v>89</v>
      </c>
      <c r="J3" s="6" t="s">
        <v>90</v>
      </c>
      <c r="K3" s="6" t="s">
        <v>91</v>
      </c>
      <c r="L3" s="6" t="s">
        <v>92</v>
      </c>
      <c r="M3" s="6" t="s">
        <v>93</v>
      </c>
      <c r="N3" s="6" t="s">
        <v>94</v>
      </c>
      <c r="O3" s="6" t="s">
        <v>95</v>
      </c>
      <c r="P3" s="6" t="s">
        <v>96</v>
      </c>
      <c r="Q3" s="6" t="s">
        <v>97</v>
      </c>
      <c r="R3" s="6" t="s">
        <v>98</v>
      </c>
      <c r="S3" s="6" t="s">
        <v>99</v>
      </c>
      <c r="T3" s="6" t="s">
        <v>100</v>
      </c>
      <c r="U3" s="6" t="s">
        <v>71</v>
      </c>
      <c r="V3" s="6" t="s">
        <v>101</v>
      </c>
    </row>
    <row r="4" spans="1:22" x14ac:dyDescent="0.25">
      <c r="A4" s="7">
        <f>IF($D4="","",COUNTIF($D$4:$D4,"&lt;&gt;"))</f>
      </c>
      <c r="B4" s="8"/>
      <c r="C4" s="7">
        <f>IF($B4="","","BSR "&amp;IFERROR(INDEX('Challan Master'!$B$4:$B$207,MATCH($B4,'Challan Master'!$S$4:$S$207,0)),"")&amp;" | Serial "&amp;IFERROR(INDEX('Challan Master'!$C$4:$C$207,MATCH($B4,'Challan Master'!$S$4:$S$207,0)),"")&amp;" | Deposit "&amp;TEXT(IFERROR(INDEX('Challan Master'!$D$4:$D$207,MATCH($B4,'Challan Master'!$S$4:$S$207,0)),""),"dd-mm-yyyy")&amp;" | Minor Head "&amp;IFERROR(INDEX('Challan Master'!$E$4:$E$207,MATCH($B4,'Challan Master'!$S$4:$S$207,0)),"")&amp;" | Tax ₹"&amp;TEXT(IFERROR(INDEX('Challan Master'!$G$4:$G$207,MATCH($B4,'Challan Master'!$S$4:$S$207,0)),""),"#,##0")&amp;" | Section "&amp;IFERROR(INDEX('Challan Master'!$F$4:$F$207,MATCH($B4,'Challan Master'!$S$4:$S$207,0)),""))</f>
      </c>
      <c r="D4" s="8"/>
      <c r="E4" s="8"/>
      <c r="F4" s="7">
        <f>IF($D4="","",IF(AND(LEN(TRIM(UPPER(E4)))=10,CODE(MID(TRIM(UPPER(E4)),1,1))&gt;=65,CODE(MID(TRIM(UPPER(E4)),1,1))&lt;=90,CODE(MID(TRIM(UPPER(E4)),2,1))&gt;=65,CODE(MID(TRIM(UPPER(E4)),2,1))&lt;=90,CODE(MID(TRIM(UPPER(E4)),3,1))&gt;=65,CODE(MID(TRIM(UPPER(E4)),3,1))&lt;=90,CODE(MID(TRIM(UPPER(E4)),4,1))&gt;=65,CODE(MID(TRIM(UPPER(E4)),4,1))&lt;=90,CODE(MID(TRIM(UPPER(E4)),5,1))&gt;=65,CODE(MID(TRIM(UPPER(E4)),5,1))&lt;=90,CODE(MID(TRIM(UPPER(E4)),10,1))&gt;=65,CODE(MID(TRIM(UPPER(E4)),10,1))&lt;=90,CODE(MID(TRIM(UPPER(E4)),6,1))&gt;=48,CODE(MID(TRIM(UPPER(E4)),6,1))&lt;=57,CODE(MID(TRIM(UPPER(E4)),7,1))&gt;=48,CODE(MID(TRIM(UPPER(E4)),7,1))&lt;=57,CODE(MID(TRIM(UPPER(E4)),8,1))&gt;=48,CODE(MID(TRIM(UPPER(E4)),8,1))&lt;=57,CODE(MID(TRIM(UPPER(E4)),9,1))&gt;=48,CODE(MID(TRIM(UPPER(E4)),9,1))&lt;=57),"N","Y"))</f>
      </c>
      <c r="G4" s="7">
        <f>IF($D4="","",IF(LEN(E4)&lt;4,"",IF(UPPER(MID(E4,4,1))="P","Individual",IF(UPPER(MID(E4,4,1))="H","HUF",IF(UPPER(MID(E4,4,1))="C","Company",IF(UPPER(MID(E4,4,1))="F","Firm",IF(UPPER(MID(E4,4,1))="L","LLP",IF(UPPER(MID(E4,4,1))="T","Trust",IF(UPPER(MID(E4,4,1))="A","AOP","")))))))))</f>
      </c>
      <c r="H4" s="8"/>
      <c r="I4" s="7">
        <f>IF($D4="","",IF(H4="","",IF(F4="Y",SUMPRODUCT(('Rate Lookup'!$A$1:$A$37=H4)*'Rate Lookup'!$D$1:$D$37),IF(OR(G4="Individual",G4="HUF"),SUMPRODUCT(('Rate Lookup'!$A$1:$A$37=H4)*'Rate Lookup'!$B$1:$B$37),SUMPRODUCT(('Rate Lookup'!$A$1:$A$37=H4)*'Rate Lookup'!$C$1:$C$37)))))</f>
      </c>
      <c r="J4" s="8"/>
      <c r="K4" s="8"/>
      <c r="L4" s="7">
        <f>IF($D4="","",ROUND(K4*I4/100,0))</f>
      </c>
      <c r="M4" s="7">
        <f>IF($D4="","",0)</f>
      </c>
      <c r="N4" s="7">
        <f>IF($D4="","",0)</f>
      </c>
      <c r="O4" s="7">
        <f>IF($D4="","",IF(OR(L4=0,J4="",IFERROR(INDEX('Challan Master'!$D$4:$D$207,MATCH($B4,'Challan Master'!$S$4:$S$207,0)),"")="",IFERROR(INDEX('Challan Master'!$D$4:$D$207,MATCH($B4,'Challan Master'!$S$4:$S$207,0)),"")&lt;=0),0,IF(IFERROR(INDEX('Challan Master'!$D$4:$D$207,MATCH($B4,'Challan Master'!$S$4:$S$207,0)),"")&lt;=DATE(YEAR(J4),MONTH(J4)+1,7),0,ROUND(L4*0.015*((YEAR(IFERROR(INDEX('Challan Master'!$D$4:$D$207,MATCH($B4,'Challan Master'!$S$4:$S$207,0)),""))-YEAR(J4))*12+(MONTH(IFERROR(INDEX('Challan Master'!$D$4:$D$207,MATCH($B4,'Challan Master'!$S$4:$S$207,0)),""))-MONTH(J4))+1),0))))</f>
      </c>
      <c r="P4" s="7">
        <f>IF($D4="","",0)</f>
      </c>
      <c r="Q4" s="8"/>
      <c r="R4" s="8"/>
      <c r="S4" s="8"/>
      <c r="T4" s="8"/>
      <c r="U4" s="8"/>
      <c r="V4" s="7">
        <f>IF($B4="","",IFERROR(INDEX('Challan Master'!$AA$4:$AA$207,MATCH($B4,'Challan Master'!$S$4:$S$207,0)),""))</f>
      </c>
    </row>
    <row r="5" spans="1:22" x14ac:dyDescent="0.25">
      <c r="A5" s="7">
        <f>IF($D5="","",COUNTIF($D$4:$D5,"&lt;&gt;"))</f>
      </c>
      <c r="B5" s="8"/>
      <c r="C5" s="7">
        <f>IF($B5="","","BSR "&amp;IFERROR(INDEX('Challan Master'!$B$4:$B$207,MATCH($B5,'Challan Master'!$S$4:$S$207,0)),"")&amp;" | Serial "&amp;IFERROR(INDEX('Challan Master'!$C$4:$C$207,MATCH($B5,'Challan Master'!$S$4:$S$207,0)),"")&amp;" | Deposit "&amp;TEXT(IFERROR(INDEX('Challan Master'!$D$4:$D$207,MATCH($B5,'Challan Master'!$S$4:$S$207,0)),""),"dd-mm-yyyy")&amp;" | Minor Head "&amp;IFERROR(INDEX('Challan Master'!$E$4:$E$207,MATCH($B5,'Challan Master'!$S$4:$S$207,0)),"")&amp;" | Tax ₹"&amp;TEXT(IFERROR(INDEX('Challan Master'!$G$4:$G$207,MATCH($B5,'Challan Master'!$S$4:$S$207,0)),""),"#,##0")&amp;" | Section "&amp;IFERROR(INDEX('Challan Master'!$F$4:$F$207,MATCH($B5,'Challan Master'!$S$4:$S$207,0)),""))</f>
      </c>
      <c r="D5" s="8"/>
      <c r="E5" s="8"/>
      <c r="F5" s="7">
        <f>IF($D5="","",IF(AND(LEN(TRIM(UPPER(E5)))=10,CODE(MID(TRIM(UPPER(E5)),1,1))&gt;=65,CODE(MID(TRIM(UPPER(E5)),1,1))&lt;=90,CODE(MID(TRIM(UPPER(E5)),2,1))&gt;=65,CODE(MID(TRIM(UPPER(E5)),2,1))&lt;=90,CODE(MID(TRIM(UPPER(E5)),3,1))&gt;=65,CODE(MID(TRIM(UPPER(E5)),3,1))&lt;=90,CODE(MID(TRIM(UPPER(E5)),4,1))&gt;=65,CODE(MID(TRIM(UPPER(E5)),4,1))&lt;=90,CODE(MID(TRIM(UPPER(E5)),5,1))&gt;=65,CODE(MID(TRIM(UPPER(E5)),5,1))&lt;=90,CODE(MID(TRIM(UPPER(E5)),10,1))&gt;=65,CODE(MID(TRIM(UPPER(E5)),10,1))&lt;=90,CODE(MID(TRIM(UPPER(E5)),6,1))&gt;=48,CODE(MID(TRIM(UPPER(E5)),6,1))&lt;=57,CODE(MID(TRIM(UPPER(E5)),7,1))&gt;=48,CODE(MID(TRIM(UPPER(E5)),7,1))&lt;=57,CODE(MID(TRIM(UPPER(E5)),8,1))&gt;=48,CODE(MID(TRIM(UPPER(E5)),8,1))&lt;=57,CODE(MID(TRIM(UPPER(E5)),9,1))&gt;=48,CODE(MID(TRIM(UPPER(E5)),9,1))&lt;=57),"N","Y"))</f>
      </c>
      <c r="G5" s="7">
        <f>IF($D5="","",IF(LEN(E5)&lt;4,"",IF(UPPER(MID(E5,4,1))="P","Individual",IF(UPPER(MID(E5,4,1))="H","HUF",IF(UPPER(MID(E5,4,1))="C","Company",IF(UPPER(MID(E5,4,1))="F","Firm",IF(UPPER(MID(E5,4,1))="L","LLP",IF(UPPER(MID(E5,4,1))="T","Trust",IF(UPPER(MID(E5,4,1))="A","AOP","")))))))))</f>
      </c>
      <c r="H5" s="8"/>
      <c r="I5" s="7">
        <f>IF($D5="","",IF(H5="","",IF(F5="Y",SUMPRODUCT(('Rate Lookup'!$A$1:$A$37=H5)*'Rate Lookup'!$D$1:$D$37),IF(OR(G5="Individual",G5="HUF"),SUMPRODUCT(('Rate Lookup'!$A$1:$A$37=H5)*'Rate Lookup'!$B$1:$B$37),SUMPRODUCT(('Rate Lookup'!$A$1:$A$37=H5)*'Rate Lookup'!$C$1:$C$37)))))</f>
      </c>
      <c r="J5" s="8"/>
      <c r="K5" s="8"/>
      <c r="L5" s="7">
        <f>IF($D5="","",ROUND(K5*I5/100,0))</f>
      </c>
      <c r="M5" s="7">
        <f>IF($D5="","",0)</f>
      </c>
      <c r="N5" s="7">
        <f>IF($D5="","",0)</f>
      </c>
      <c r="O5" s="7">
        <f>IF($D5="","",IF(OR(L5=0,J5="",IFERROR(INDEX('Challan Master'!$D$4:$D$207,MATCH($B5,'Challan Master'!$S$4:$S$207,0)),"")="",IFERROR(INDEX('Challan Master'!$D$4:$D$207,MATCH($B5,'Challan Master'!$S$4:$S$207,0)),"")&lt;=0),0,IF(IFERROR(INDEX('Challan Master'!$D$4:$D$207,MATCH($B5,'Challan Master'!$S$4:$S$207,0)),"")&lt;=DATE(YEAR(J5),MONTH(J5)+1,7),0,ROUND(L5*0.015*((YEAR(IFERROR(INDEX('Challan Master'!$D$4:$D$207,MATCH($B5,'Challan Master'!$S$4:$S$207,0)),""))-YEAR(J5))*12+(MONTH(IFERROR(INDEX('Challan Master'!$D$4:$D$207,MATCH($B5,'Challan Master'!$S$4:$S$207,0)),""))-MONTH(J5))+1),0))))</f>
      </c>
      <c r="P5" s="7">
        <f>IF($D5="","",0)</f>
      </c>
      <c r="Q5" s="8"/>
      <c r="R5" s="8"/>
      <c r="S5" s="8"/>
      <c r="T5" s="8"/>
      <c r="U5" s="8"/>
      <c r="V5" s="7">
        <f>IF($B5="","",IFERROR(INDEX('Challan Master'!$AA$4:$AA$207,MATCH($B5,'Challan Master'!$S$4:$S$207,0)),""))</f>
      </c>
    </row>
    <row r="6" spans="1:22" x14ac:dyDescent="0.25">
      <c r="A6" s="7">
        <f>IF($D6="","",COUNTIF($D$4:$D6,"&lt;&gt;"))</f>
      </c>
      <c r="B6" s="8"/>
      <c r="C6" s="7">
        <f>IF($B6="","","BSR "&amp;IFERROR(INDEX('Challan Master'!$B$4:$B$207,MATCH($B6,'Challan Master'!$S$4:$S$207,0)),"")&amp;" | Serial "&amp;IFERROR(INDEX('Challan Master'!$C$4:$C$207,MATCH($B6,'Challan Master'!$S$4:$S$207,0)),"")&amp;" | Deposit "&amp;TEXT(IFERROR(INDEX('Challan Master'!$D$4:$D$207,MATCH($B6,'Challan Master'!$S$4:$S$207,0)),""),"dd-mm-yyyy")&amp;" | Minor Head "&amp;IFERROR(INDEX('Challan Master'!$E$4:$E$207,MATCH($B6,'Challan Master'!$S$4:$S$207,0)),"")&amp;" | Tax ₹"&amp;TEXT(IFERROR(INDEX('Challan Master'!$G$4:$G$207,MATCH($B6,'Challan Master'!$S$4:$S$207,0)),""),"#,##0")&amp;" | Section "&amp;IFERROR(INDEX('Challan Master'!$F$4:$F$207,MATCH($B6,'Challan Master'!$S$4:$S$207,0)),""))</f>
      </c>
      <c r="D6" s="8"/>
      <c r="E6" s="8"/>
      <c r="F6" s="7">
        <f>IF($D6="","",IF(AND(LEN(TRIM(UPPER(E6)))=10,CODE(MID(TRIM(UPPER(E6)),1,1))&gt;=65,CODE(MID(TRIM(UPPER(E6)),1,1))&lt;=90,CODE(MID(TRIM(UPPER(E6)),2,1))&gt;=65,CODE(MID(TRIM(UPPER(E6)),2,1))&lt;=90,CODE(MID(TRIM(UPPER(E6)),3,1))&gt;=65,CODE(MID(TRIM(UPPER(E6)),3,1))&lt;=90,CODE(MID(TRIM(UPPER(E6)),4,1))&gt;=65,CODE(MID(TRIM(UPPER(E6)),4,1))&lt;=90,CODE(MID(TRIM(UPPER(E6)),5,1))&gt;=65,CODE(MID(TRIM(UPPER(E6)),5,1))&lt;=90,CODE(MID(TRIM(UPPER(E6)),10,1))&gt;=65,CODE(MID(TRIM(UPPER(E6)),10,1))&lt;=90,CODE(MID(TRIM(UPPER(E6)),6,1))&gt;=48,CODE(MID(TRIM(UPPER(E6)),6,1))&lt;=57,CODE(MID(TRIM(UPPER(E6)),7,1))&gt;=48,CODE(MID(TRIM(UPPER(E6)),7,1))&lt;=57,CODE(MID(TRIM(UPPER(E6)),8,1))&gt;=48,CODE(MID(TRIM(UPPER(E6)),8,1))&lt;=57,CODE(MID(TRIM(UPPER(E6)),9,1))&gt;=48,CODE(MID(TRIM(UPPER(E6)),9,1))&lt;=57),"N","Y"))</f>
      </c>
      <c r="G6" s="7">
        <f>IF($D6="","",IF(LEN(E6)&lt;4,"",IF(UPPER(MID(E6,4,1))="P","Individual",IF(UPPER(MID(E6,4,1))="H","HUF",IF(UPPER(MID(E6,4,1))="C","Company",IF(UPPER(MID(E6,4,1))="F","Firm",IF(UPPER(MID(E6,4,1))="L","LLP",IF(UPPER(MID(E6,4,1))="T","Trust",IF(UPPER(MID(E6,4,1))="A","AOP","")))))))))</f>
      </c>
      <c r="H6" s="8"/>
      <c r="I6" s="7">
        <f>IF($D6="","",IF(H6="","",IF(F6="Y",SUMPRODUCT(('Rate Lookup'!$A$1:$A$37=H6)*'Rate Lookup'!$D$1:$D$37),IF(OR(G6="Individual",G6="HUF"),SUMPRODUCT(('Rate Lookup'!$A$1:$A$37=H6)*'Rate Lookup'!$B$1:$B$37),SUMPRODUCT(('Rate Lookup'!$A$1:$A$37=H6)*'Rate Lookup'!$C$1:$C$37)))))</f>
      </c>
      <c r="J6" s="8"/>
      <c r="K6" s="8"/>
      <c r="L6" s="7">
        <f>IF($D6="","",ROUND(K6*I6/100,0))</f>
      </c>
      <c r="M6" s="7">
        <f>IF($D6="","",0)</f>
      </c>
      <c r="N6" s="7">
        <f>IF($D6="","",0)</f>
      </c>
      <c r="O6" s="7">
        <f>IF($D6="","",IF(OR(L6=0,J6="",IFERROR(INDEX('Challan Master'!$D$4:$D$207,MATCH($B6,'Challan Master'!$S$4:$S$207,0)),"")="",IFERROR(INDEX('Challan Master'!$D$4:$D$207,MATCH($B6,'Challan Master'!$S$4:$S$207,0)),"")&lt;=0),0,IF(IFERROR(INDEX('Challan Master'!$D$4:$D$207,MATCH($B6,'Challan Master'!$S$4:$S$207,0)),"")&lt;=DATE(YEAR(J6),MONTH(J6)+1,7),0,ROUND(L6*0.015*((YEAR(IFERROR(INDEX('Challan Master'!$D$4:$D$207,MATCH($B6,'Challan Master'!$S$4:$S$207,0)),""))-YEAR(J6))*12+(MONTH(IFERROR(INDEX('Challan Master'!$D$4:$D$207,MATCH($B6,'Challan Master'!$S$4:$S$207,0)),""))-MONTH(J6))+1),0))))</f>
      </c>
      <c r="P6" s="7">
        <f>IF($D6="","",0)</f>
      </c>
      <c r="Q6" s="8"/>
      <c r="R6" s="8"/>
      <c r="S6" s="8"/>
      <c r="T6" s="8"/>
      <c r="U6" s="8"/>
      <c r="V6" s="7">
        <f>IF($B6="","",IFERROR(INDEX('Challan Master'!$AA$4:$AA$207,MATCH($B6,'Challan Master'!$S$4:$S$207,0)),""))</f>
      </c>
    </row>
    <row r="7" spans="1:22" x14ac:dyDescent="0.25">
      <c r="A7" s="7">
        <f>IF($D7="","",COUNTIF($D$4:$D7,"&lt;&gt;"))</f>
      </c>
      <c r="B7" s="8"/>
      <c r="C7" s="7">
        <f>IF($B7="","","BSR "&amp;IFERROR(INDEX('Challan Master'!$B$4:$B$207,MATCH($B7,'Challan Master'!$S$4:$S$207,0)),"")&amp;" | Serial "&amp;IFERROR(INDEX('Challan Master'!$C$4:$C$207,MATCH($B7,'Challan Master'!$S$4:$S$207,0)),"")&amp;" | Deposit "&amp;TEXT(IFERROR(INDEX('Challan Master'!$D$4:$D$207,MATCH($B7,'Challan Master'!$S$4:$S$207,0)),""),"dd-mm-yyyy")&amp;" | Minor Head "&amp;IFERROR(INDEX('Challan Master'!$E$4:$E$207,MATCH($B7,'Challan Master'!$S$4:$S$207,0)),"")&amp;" | Tax ₹"&amp;TEXT(IFERROR(INDEX('Challan Master'!$G$4:$G$207,MATCH($B7,'Challan Master'!$S$4:$S$207,0)),""),"#,##0")&amp;" | Section "&amp;IFERROR(INDEX('Challan Master'!$F$4:$F$207,MATCH($B7,'Challan Master'!$S$4:$S$207,0)),""))</f>
      </c>
      <c r="D7" s="8"/>
      <c r="E7" s="8"/>
      <c r="F7" s="7">
        <f>IF($D7="","",IF(AND(LEN(TRIM(UPPER(E7)))=10,CODE(MID(TRIM(UPPER(E7)),1,1))&gt;=65,CODE(MID(TRIM(UPPER(E7)),1,1))&lt;=90,CODE(MID(TRIM(UPPER(E7)),2,1))&gt;=65,CODE(MID(TRIM(UPPER(E7)),2,1))&lt;=90,CODE(MID(TRIM(UPPER(E7)),3,1))&gt;=65,CODE(MID(TRIM(UPPER(E7)),3,1))&lt;=90,CODE(MID(TRIM(UPPER(E7)),4,1))&gt;=65,CODE(MID(TRIM(UPPER(E7)),4,1))&lt;=90,CODE(MID(TRIM(UPPER(E7)),5,1))&gt;=65,CODE(MID(TRIM(UPPER(E7)),5,1))&lt;=90,CODE(MID(TRIM(UPPER(E7)),10,1))&gt;=65,CODE(MID(TRIM(UPPER(E7)),10,1))&lt;=90,CODE(MID(TRIM(UPPER(E7)),6,1))&gt;=48,CODE(MID(TRIM(UPPER(E7)),6,1))&lt;=57,CODE(MID(TRIM(UPPER(E7)),7,1))&gt;=48,CODE(MID(TRIM(UPPER(E7)),7,1))&lt;=57,CODE(MID(TRIM(UPPER(E7)),8,1))&gt;=48,CODE(MID(TRIM(UPPER(E7)),8,1))&lt;=57,CODE(MID(TRIM(UPPER(E7)),9,1))&gt;=48,CODE(MID(TRIM(UPPER(E7)),9,1))&lt;=57),"N","Y"))</f>
      </c>
      <c r="G7" s="7">
        <f>IF($D7="","",IF(LEN(E7)&lt;4,"",IF(UPPER(MID(E7,4,1))="P","Individual",IF(UPPER(MID(E7,4,1))="H","HUF",IF(UPPER(MID(E7,4,1))="C","Company",IF(UPPER(MID(E7,4,1))="F","Firm",IF(UPPER(MID(E7,4,1))="L","LLP",IF(UPPER(MID(E7,4,1))="T","Trust",IF(UPPER(MID(E7,4,1))="A","AOP","")))))))))</f>
      </c>
      <c r="H7" s="8"/>
      <c r="I7" s="7">
        <f>IF($D7="","",IF(H7="","",IF(F7="Y",SUMPRODUCT(('Rate Lookup'!$A$1:$A$37=H7)*'Rate Lookup'!$D$1:$D$37),IF(OR(G7="Individual",G7="HUF"),SUMPRODUCT(('Rate Lookup'!$A$1:$A$37=H7)*'Rate Lookup'!$B$1:$B$37),SUMPRODUCT(('Rate Lookup'!$A$1:$A$37=H7)*'Rate Lookup'!$C$1:$C$37)))))</f>
      </c>
      <c r="J7" s="8"/>
      <c r="K7" s="8"/>
      <c r="L7" s="7">
        <f>IF($D7="","",ROUND(K7*I7/100,0))</f>
      </c>
      <c r="M7" s="7">
        <f>IF($D7="","",0)</f>
      </c>
      <c r="N7" s="7">
        <f>IF($D7="","",0)</f>
      </c>
      <c r="O7" s="7">
        <f>IF($D7="","",IF(OR(L7=0,J7="",IFERROR(INDEX('Challan Master'!$D$4:$D$207,MATCH($B7,'Challan Master'!$S$4:$S$207,0)),"")="",IFERROR(INDEX('Challan Master'!$D$4:$D$207,MATCH($B7,'Challan Master'!$S$4:$S$207,0)),"")&lt;=0),0,IF(IFERROR(INDEX('Challan Master'!$D$4:$D$207,MATCH($B7,'Challan Master'!$S$4:$S$207,0)),"")&lt;=DATE(YEAR(J7),MONTH(J7)+1,7),0,ROUND(L7*0.015*((YEAR(IFERROR(INDEX('Challan Master'!$D$4:$D$207,MATCH($B7,'Challan Master'!$S$4:$S$207,0)),""))-YEAR(J7))*12+(MONTH(IFERROR(INDEX('Challan Master'!$D$4:$D$207,MATCH($B7,'Challan Master'!$S$4:$S$207,0)),""))-MONTH(J7))+1),0))))</f>
      </c>
      <c r="P7" s="7">
        <f>IF($D7="","",0)</f>
      </c>
      <c r="Q7" s="8"/>
      <c r="R7" s="8"/>
      <c r="S7" s="8"/>
      <c r="T7" s="8"/>
      <c r="U7" s="8"/>
      <c r="V7" s="7">
        <f>IF($B7="","",IFERROR(INDEX('Challan Master'!$AA$4:$AA$207,MATCH($B7,'Challan Master'!$S$4:$S$207,0)),""))</f>
      </c>
    </row>
    <row r="8" spans="1:22" x14ac:dyDescent="0.25">
      <c r="A8" s="7">
        <f>IF($D8="","",COUNTIF($D$4:$D8,"&lt;&gt;"))</f>
      </c>
      <c r="B8" s="8"/>
      <c r="C8" s="7">
        <f>IF($B8="","","BSR "&amp;IFERROR(INDEX('Challan Master'!$B$4:$B$207,MATCH($B8,'Challan Master'!$S$4:$S$207,0)),"")&amp;" | Serial "&amp;IFERROR(INDEX('Challan Master'!$C$4:$C$207,MATCH($B8,'Challan Master'!$S$4:$S$207,0)),"")&amp;" | Deposit "&amp;TEXT(IFERROR(INDEX('Challan Master'!$D$4:$D$207,MATCH($B8,'Challan Master'!$S$4:$S$207,0)),""),"dd-mm-yyyy")&amp;" | Minor Head "&amp;IFERROR(INDEX('Challan Master'!$E$4:$E$207,MATCH($B8,'Challan Master'!$S$4:$S$207,0)),"")&amp;" | Tax ₹"&amp;TEXT(IFERROR(INDEX('Challan Master'!$G$4:$G$207,MATCH($B8,'Challan Master'!$S$4:$S$207,0)),""),"#,##0")&amp;" | Section "&amp;IFERROR(INDEX('Challan Master'!$F$4:$F$207,MATCH($B8,'Challan Master'!$S$4:$S$207,0)),""))</f>
      </c>
      <c r="D8" s="8"/>
      <c r="E8" s="8"/>
      <c r="F8" s="7">
        <f>IF($D8="","",IF(AND(LEN(TRIM(UPPER(E8)))=10,CODE(MID(TRIM(UPPER(E8)),1,1))&gt;=65,CODE(MID(TRIM(UPPER(E8)),1,1))&lt;=90,CODE(MID(TRIM(UPPER(E8)),2,1))&gt;=65,CODE(MID(TRIM(UPPER(E8)),2,1))&lt;=90,CODE(MID(TRIM(UPPER(E8)),3,1))&gt;=65,CODE(MID(TRIM(UPPER(E8)),3,1))&lt;=90,CODE(MID(TRIM(UPPER(E8)),4,1))&gt;=65,CODE(MID(TRIM(UPPER(E8)),4,1))&lt;=90,CODE(MID(TRIM(UPPER(E8)),5,1))&gt;=65,CODE(MID(TRIM(UPPER(E8)),5,1))&lt;=90,CODE(MID(TRIM(UPPER(E8)),10,1))&gt;=65,CODE(MID(TRIM(UPPER(E8)),10,1))&lt;=90,CODE(MID(TRIM(UPPER(E8)),6,1))&gt;=48,CODE(MID(TRIM(UPPER(E8)),6,1))&lt;=57,CODE(MID(TRIM(UPPER(E8)),7,1))&gt;=48,CODE(MID(TRIM(UPPER(E8)),7,1))&lt;=57,CODE(MID(TRIM(UPPER(E8)),8,1))&gt;=48,CODE(MID(TRIM(UPPER(E8)),8,1))&lt;=57,CODE(MID(TRIM(UPPER(E8)),9,1))&gt;=48,CODE(MID(TRIM(UPPER(E8)),9,1))&lt;=57),"N","Y"))</f>
      </c>
      <c r="G8" s="7">
        <f>IF($D8="","",IF(LEN(E8)&lt;4,"",IF(UPPER(MID(E8,4,1))="P","Individual",IF(UPPER(MID(E8,4,1))="H","HUF",IF(UPPER(MID(E8,4,1))="C","Company",IF(UPPER(MID(E8,4,1))="F","Firm",IF(UPPER(MID(E8,4,1))="L","LLP",IF(UPPER(MID(E8,4,1))="T","Trust",IF(UPPER(MID(E8,4,1))="A","AOP","")))))))))</f>
      </c>
      <c r="H8" s="8"/>
      <c r="I8" s="7">
        <f>IF($D8="","",IF(H8="","",IF(F8="Y",SUMPRODUCT(('Rate Lookup'!$A$1:$A$37=H8)*'Rate Lookup'!$D$1:$D$37),IF(OR(G8="Individual",G8="HUF"),SUMPRODUCT(('Rate Lookup'!$A$1:$A$37=H8)*'Rate Lookup'!$B$1:$B$37),SUMPRODUCT(('Rate Lookup'!$A$1:$A$37=H8)*'Rate Lookup'!$C$1:$C$37)))))</f>
      </c>
      <c r="J8" s="8"/>
      <c r="K8" s="8"/>
      <c r="L8" s="7">
        <f>IF($D8="","",ROUND(K8*I8/100,0))</f>
      </c>
      <c r="M8" s="7">
        <f>IF($D8="","",0)</f>
      </c>
      <c r="N8" s="7">
        <f>IF($D8="","",0)</f>
      </c>
      <c r="O8" s="7">
        <f>IF($D8="","",IF(OR(L8=0,J8="",IFERROR(INDEX('Challan Master'!$D$4:$D$207,MATCH($B8,'Challan Master'!$S$4:$S$207,0)),"")="",IFERROR(INDEX('Challan Master'!$D$4:$D$207,MATCH($B8,'Challan Master'!$S$4:$S$207,0)),"")&lt;=0),0,IF(IFERROR(INDEX('Challan Master'!$D$4:$D$207,MATCH($B8,'Challan Master'!$S$4:$S$207,0)),"")&lt;=DATE(YEAR(J8),MONTH(J8)+1,7),0,ROUND(L8*0.015*((YEAR(IFERROR(INDEX('Challan Master'!$D$4:$D$207,MATCH($B8,'Challan Master'!$S$4:$S$207,0)),""))-YEAR(J8))*12+(MONTH(IFERROR(INDEX('Challan Master'!$D$4:$D$207,MATCH($B8,'Challan Master'!$S$4:$S$207,0)),""))-MONTH(J8))+1),0))))</f>
      </c>
      <c r="P8" s="7">
        <f>IF($D8="","",0)</f>
      </c>
      <c r="Q8" s="8"/>
      <c r="R8" s="8"/>
      <c r="S8" s="8"/>
      <c r="T8" s="8"/>
      <c r="U8" s="8"/>
      <c r="V8" s="7">
        <f>IF($B8="","",IFERROR(INDEX('Challan Master'!$AA$4:$AA$207,MATCH($B8,'Challan Master'!$S$4:$S$207,0)),""))</f>
      </c>
    </row>
    <row r="9" spans="1:22" x14ac:dyDescent="0.25">
      <c r="A9" s="7">
        <f>IF($D9="","",COUNTIF($D$4:$D9,"&lt;&gt;"))</f>
      </c>
      <c r="B9" s="8"/>
      <c r="C9" s="7">
        <f>IF($B9="","","BSR "&amp;IFERROR(INDEX('Challan Master'!$B$4:$B$207,MATCH($B9,'Challan Master'!$S$4:$S$207,0)),"")&amp;" | Serial "&amp;IFERROR(INDEX('Challan Master'!$C$4:$C$207,MATCH($B9,'Challan Master'!$S$4:$S$207,0)),"")&amp;" | Deposit "&amp;TEXT(IFERROR(INDEX('Challan Master'!$D$4:$D$207,MATCH($B9,'Challan Master'!$S$4:$S$207,0)),""),"dd-mm-yyyy")&amp;" | Minor Head "&amp;IFERROR(INDEX('Challan Master'!$E$4:$E$207,MATCH($B9,'Challan Master'!$S$4:$S$207,0)),"")&amp;" | Tax ₹"&amp;TEXT(IFERROR(INDEX('Challan Master'!$G$4:$G$207,MATCH($B9,'Challan Master'!$S$4:$S$207,0)),""),"#,##0")&amp;" | Section "&amp;IFERROR(INDEX('Challan Master'!$F$4:$F$207,MATCH($B9,'Challan Master'!$S$4:$S$207,0)),""))</f>
      </c>
      <c r="D9" s="8"/>
      <c r="E9" s="8"/>
      <c r="F9" s="7">
        <f>IF($D9="","",IF(AND(LEN(TRIM(UPPER(E9)))=10,CODE(MID(TRIM(UPPER(E9)),1,1))&gt;=65,CODE(MID(TRIM(UPPER(E9)),1,1))&lt;=90,CODE(MID(TRIM(UPPER(E9)),2,1))&gt;=65,CODE(MID(TRIM(UPPER(E9)),2,1))&lt;=90,CODE(MID(TRIM(UPPER(E9)),3,1))&gt;=65,CODE(MID(TRIM(UPPER(E9)),3,1))&lt;=90,CODE(MID(TRIM(UPPER(E9)),4,1))&gt;=65,CODE(MID(TRIM(UPPER(E9)),4,1))&lt;=90,CODE(MID(TRIM(UPPER(E9)),5,1))&gt;=65,CODE(MID(TRIM(UPPER(E9)),5,1))&lt;=90,CODE(MID(TRIM(UPPER(E9)),10,1))&gt;=65,CODE(MID(TRIM(UPPER(E9)),10,1))&lt;=90,CODE(MID(TRIM(UPPER(E9)),6,1))&gt;=48,CODE(MID(TRIM(UPPER(E9)),6,1))&lt;=57,CODE(MID(TRIM(UPPER(E9)),7,1))&gt;=48,CODE(MID(TRIM(UPPER(E9)),7,1))&lt;=57,CODE(MID(TRIM(UPPER(E9)),8,1))&gt;=48,CODE(MID(TRIM(UPPER(E9)),8,1))&lt;=57,CODE(MID(TRIM(UPPER(E9)),9,1))&gt;=48,CODE(MID(TRIM(UPPER(E9)),9,1))&lt;=57),"N","Y"))</f>
      </c>
      <c r="G9" s="7">
        <f>IF($D9="","",IF(LEN(E9)&lt;4,"",IF(UPPER(MID(E9,4,1))="P","Individual",IF(UPPER(MID(E9,4,1))="H","HUF",IF(UPPER(MID(E9,4,1))="C","Company",IF(UPPER(MID(E9,4,1))="F","Firm",IF(UPPER(MID(E9,4,1))="L","LLP",IF(UPPER(MID(E9,4,1))="T","Trust",IF(UPPER(MID(E9,4,1))="A","AOP","")))))))))</f>
      </c>
      <c r="H9" s="8"/>
      <c r="I9" s="7">
        <f>IF($D9="","",IF(H9="","",IF(F9="Y",SUMPRODUCT(('Rate Lookup'!$A$1:$A$37=H9)*'Rate Lookup'!$D$1:$D$37),IF(OR(G9="Individual",G9="HUF"),SUMPRODUCT(('Rate Lookup'!$A$1:$A$37=H9)*'Rate Lookup'!$B$1:$B$37),SUMPRODUCT(('Rate Lookup'!$A$1:$A$37=H9)*'Rate Lookup'!$C$1:$C$37)))))</f>
      </c>
      <c r="J9" s="8"/>
      <c r="K9" s="8"/>
      <c r="L9" s="7">
        <f>IF($D9="","",ROUND(K9*I9/100,0))</f>
      </c>
      <c r="M9" s="7">
        <f>IF($D9="","",0)</f>
      </c>
      <c r="N9" s="7">
        <f>IF($D9="","",0)</f>
      </c>
      <c r="O9" s="7">
        <f>IF($D9="","",IF(OR(L9=0,J9="",IFERROR(INDEX('Challan Master'!$D$4:$D$207,MATCH($B9,'Challan Master'!$S$4:$S$207,0)),"")="",IFERROR(INDEX('Challan Master'!$D$4:$D$207,MATCH($B9,'Challan Master'!$S$4:$S$207,0)),"")&lt;=0),0,IF(IFERROR(INDEX('Challan Master'!$D$4:$D$207,MATCH($B9,'Challan Master'!$S$4:$S$207,0)),"")&lt;=DATE(YEAR(J9),MONTH(J9)+1,7),0,ROUND(L9*0.015*((YEAR(IFERROR(INDEX('Challan Master'!$D$4:$D$207,MATCH($B9,'Challan Master'!$S$4:$S$207,0)),""))-YEAR(J9))*12+(MONTH(IFERROR(INDEX('Challan Master'!$D$4:$D$207,MATCH($B9,'Challan Master'!$S$4:$S$207,0)),""))-MONTH(J9))+1),0))))</f>
      </c>
      <c r="P9" s="7">
        <f>IF($D9="","",0)</f>
      </c>
      <c r="Q9" s="8"/>
      <c r="R9" s="8"/>
      <c r="S9" s="8"/>
      <c r="T9" s="8"/>
      <c r="U9" s="8"/>
      <c r="V9" s="7">
        <f>IF($B9="","",IFERROR(INDEX('Challan Master'!$AA$4:$AA$207,MATCH($B9,'Challan Master'!$S$4:$S$207,0)),""))</f>
      </c>
    </row>
    <row r="10" spans="1:22" x14ac:dyDescent="0.25">
      <c r="A10" s="7">
        <f>IF($D10="","",COUNTIF($D$4:$D10,"&lt;&gt;"))</f>
      </c>
      <c r="B10" s="8"/>
      <c r="C10" s="7">
        <f>IF($B10="","","BSR "&amp;IFERROR(INDEX('Challan Master'!$B$4:$B$207,MATCH($B10,'Challan Master'!$S$4:$S$207,0)),"")&amp;" | Serial "&amp;IFERROR(INDEX('Challan Master'!$C$4:$C$207,MATCH($B10,'Challan Master'!$S$4:$S$207,0)),"")&amp;" | Deposit "&amp;TEXT(IFERROR(INDEX('Challan Master'!$D$4:$D$207,MATCH($B10,'Challan Master'!$S$4:$S$207,0)),""),"dd-mm-yyyy")&amp;" | Minor Head "&amp;IFERROR(INDEX('Challan Master'!$E$4:$E$207,MATCH($B10,'Challan Master'!$S$4:$S$207,0)),"")&amp;" | Tax ₹"&amp;TEXT(IFERROR(INDEX('Challan Master'!$G$4:$G$207,MATCH($B10,'Challan Master'!$S$4:$S$207,0)),""),"#,##0")&amp;" | Section "&amp;IFERROR(INDEX('Challan Master'!$F$4:$F$207,MATCH($B10,'Challan Master'!$S$4:$S$207,0)),""))</f>
      </c>
      <c r="D10" s="8"/>
      <c r="E10" s="8"/>
      <c r="F10" s="7">
        <f>IF($D10="","",IF(AND(LEN(TRIM(UPPER(E10)))=10,CODE(MID(TRIM(UPPER(E10)),1,1))&gt;=65,CODE(MID(TRIM(UPPER(E10)),1,1))&lt;=90,CODE(MID(TRIM(UPPER(E10)),2,1))&gt;=65,CODE(MID(TRIM(UPPER(E10)),2,1))&lt;=90,CODE(MID(TRIM(UPPER(E10)),3,1))&gt;=65,CODE(MID(TRIM(UPPER(E10)),3,1))&lt;=90,CODE(MID(TRIM(UPPER(E10)),4,1))&gt;=65,CODE(MID(TRIM(UPPER(E10)),4,1))&lt;=90,CODE(MID(TRIM(UPPER(E10)),5,1))&gt;=65,CODE(MID(TRIM(UPPER(E10)),5,1))&lt;=90,CODE(MID(TRIM(UPPER(E10)),10,1))&gt;=65,CODE(MID(TRIM(UPPER(E10)),10,1))&lt;=90,CODE(MID(TRIM(UPPER(E10)),6,1))&gt;=48,CODE(MID(TRIM(UPPER(E10)),6,1))&lt;=57,CODE(MID(TRIM(UPPER(E10)),7,1))&gt;=48,CODE(MID(TRIM(UPPER(E10)),7,1))&lt;=57,CODE(MID(TRIM(UPPER(E10)),8,1))&gt;=48,CODE(MID(TRIM(UPPER(E10)),8,1))&lt;=57,CODE(MID(TRIM(UPPER(E10)),9,1))&gt;=48,CODE(MID(TRIM(UPPER(E10)),9,1))&lt;=57),"N","Y"))</f>
      </c>
      <c r="G10" s="7">
        <f>IF($D10="","",IF(LEN(E10)&lt;4,"",IF(UPPER(MID(E10,4,1))="P","Individual",IF(UPPER(MID(E10,4,1))="H","HUF",IF(UPPER(MID(E10,4,1))="C","Company",IF(UPPER(MID(E10,4,1))="F","Firm",IF(UPPER(MID(E10,4,1))="L","LLP",IF(UPPER(MID(E10,4,1))="T","Trust",IF(UPPER(MID(E10,4,1))="A","AOP","")))))))))</f>
      </c>
      <c r="H10" s="8"/>
      <c r="I10" s="7">
        <f>IF($D10="","",IF(H10="","",IF(F10="Y",SUMPRODUCT(('Rate Lookup'!$A$1:$A$37=H10)*'Rate Lookup'!$D$1:$D$37),IF(OR(G10="Individual",G10="HUF"),SUMPRODUCT(('Rate Lookup'!$A$1:$A$37=H10)*'Rate Lookup'!$B$1:$B$37),SUMPRODUCT(('Rate Lookup'!$A$1:$A$37=H10)*'Rate Lookup'!$C$1:$C$37)))))</f>
      </c>
      <c r="J10" s="8"/>
      <c r="K10" s="8"/>
      <c r="L10" s="7">
        <f>IF($D10="","",ROUND(K10*I10/100,0))</f>
      </c>
      <c r="M10" s="7">
        <f>IF($D10="","",0)</f>
      </c>
      <c r="N10" s="7">
        <f>IF($D10="","",0)</f>
      </c>
      <c r="O10" s="7">
        <f>IF($D10="","",IF(OR(L10=0,J10="",IFERROR(INDEX('Challan Master'!$D$4:$D$207,MATCH($B10,'Challan Master'!$S$4:$S$207,0)),"")="",IFERROR(INDEX('Challan Master'!$D$4:$D$207,MATCH($B10,'Challan Master'!$S$4:$S$207,0)),"")&lt;=0),0,IF(IFERROR(INDEX('Challan Master'!$D$4:$D$207,MATCH($B10,'Challan Master'!$S$4:$S$207,0)),"")&lt;=DATE(YEAR(J10),MONTH(J10)+1,7),0,ROUND(L10*0.015*((YEAR(IFERROR(INDEX('Challan Master'!$D$4:$D$207,MATCH($B10,'Challan Master'!$S$4:$S$207,0)),""))-YEAR(J10))*12+(MONTH(IFERROR(INDEX('Challan Master'!$D$4:$D$207,MATCH($B10,'Challan Master'!$S$4:$S$207,0)),""))-MONTH(J10))+1),0))))</f>
      </c>
      <c r="P10" s="7">
        <f>IF($D10="","",0)</f>
      </c>
      <c r="Q10" s="8"/>
      <c r="R10" s="8"/>
      <c r="S10" s="8"/>
      <c r="T10" s="8"/>
      <c r="U10" s="8"/>
      <c r="V10" s="7">
        <f>IF($B10="","",IFERROR(INDEX('Challan Master'!$AA$4:$AA$207,MATCH($B10,'Challan Master'!$S$4:$S$207,0)),""))</f>
      </c>
    </row>
    <row r="11" spans="1:22" x14ac:dyDescent="0.25">
      <c r="A11" s="7">
        <f>IF($D11="","",COUNTIF($D$4:$D11,"&lt;&gt;"))</f>
      </c>
      <c r="B11" s="8"/>
      <c r="C11" s="7">
        <f>IF($B11="","","BSR "&amp;IFERROR(INDEX('Challan Master'!$B$4:$B$207,MATCH($B11,'Challan Master'!$S$4:$S$207,0)),"")&amp;" | Serial "&amp;IFERROR(INDEX('Challan Master'!$C$4:$C$207,MATCH($B11,'Challan Master'!$S$4:$S$207,0)),"")&amp;" | Deposit "&amp;TEXT(IFERROR(INDEX('Challan Master'!$D$4:$D$207,MATCH($B11,'Challan Master'!$S$4:$S$207,0)),""),"dd-mm-yyyy")&amp;" | Minor Head "&amp;IFERROR(INDEX('Challan Master'!$E$4:$E$207,MATCH($B11,'Challan Master'!$S$4:$S$207,0)),"")&amp;" | Tax ₹"&amp;TEXT(IFERROR(INDEX('Challan Master'!$G$4:$G$207,MATCH($B11,'Challan Master'!$S$4:$S$207,0)),""),"#,##0")&amp;" | Section "&amp;IFERROR(INDEX('Challan Master'!$F$4:$F$207,MATCH($B11,'Challan Master'!$S$4:$S$207,0)),""))</f>
      </c>
      <c r="D11" s="8"/>
      <c r="E11" s="8"/>
      <c r="F11" s="7">
        <f>IF($D11="","",IF(AND(LEN(TRIM(UPPER(E11)))=10,CODE(MID(TRIM(UPPER(E11)),1,1))&gt;=65,CODE(MID(TRIM(UPPER(E11)),1,1))&lt;=90,CODE(MID(TRIM(UPPER(E11)),2,1))&gt;=65,CODE(MID(TRIM(UPPER(E11)),2,1))&lt;=90,CODE(MID(TRIM(UPPER(E11)),3,1))&gt;=65,CODE(MID(TRIM(UPPER(E11)),3,1))&lt;=90,CODE(MID(TRIM(UPPER(E11)),4,1))&gt;=65,CODE(MID(TRIM(UPPER(E11)),4,1))&lt;=90,CODE(MID(TRIM(UPPER(E11)),5,1))&gt;=65,CODE(MID(TRIM(UPPER(E11)),5,1))&lt;=90,CODE(MID(TRIM(UPPER(E11)),10,1))&gt;=65,CODE(MID(TRIM(UPPER(E11)),10,1))&lt;=90,CODE(MID(TRIM(UPPER(E11)),6,1))&gt;=48,CODE(MID(TRIM(UPPER(E11)),6,1))&lt;=57,CODE(MID(TRIM(UPPER(E11)),7,1))&gt;=48,CODE(MID(TRIM(UPPER(E11)),7,1))&lt;=57,CODE(MID(TRIM(UPPER(E11)),8,1))&gt;=48,CODE(MID(TRIM(UPPER(E11)),8,1))&lt;=57,CODE(MID(TRIM(UPPER(E11)),9,1))&gt;=48,CODE(MID(TRIM(UPPER(E11)),9,1))&lt;=57),"N","Y"))</f>
      </c>
      <c r="G11" s="7">
        <f>IF($D11="","",IF(LEN(E11)&lt;4,"",IF(UPPER(MID(E11,4,1))="P","Individual",IF(UPPER(MID(E11,4,1))="H","HUF",IF(UPPER(MID(E11,4,1))="C","Company",IF(UPPER(MID(E11,4,1))="F","Firm",IF(UPPER(MID(E11,4,1))="L","LLP",IF(UPPER(MID(E11,4,1))="T","Trust",IF(UPPER(MID(E11,4,1))="A","AOP","")))))))))</f>
      </c>
      <c r="H11" s="8"/>
      <c r="I11" s="7">
        <f>IF($D11="","",IF(H11="","",IF(F11="Y",SUMPRODUCT(('Rate Lookup'!$A$1:$A$37=H11)*'Rate Lookup'!$D$1:$D$37),IF(OR(G11="Individual",G11="HUF"),SUMPRODUCT(('Rate Lookup'!$A$1:$A$37=H11)*'Rate Lookup'!$B$1:$B$37),SUMPRODUCT(('Rate Lookup'!$A$1:$A$37=H11)*'Rate Lookup'!$C$1:$C$37)))))</f>
      </c>
      <c r="J11" s="8"/>
      <c r="K11" s="8"/>
      <c r="L11" s="7">
        <f>IF($D11="","",ROUND(K11*I11/100,0))</f>
      </c>
      <c r="M11" s="7">
        <f>IF($D11="","",0)</f>
      </c>
      <c r="N11" s="7">
        <f>IF($D11="","",0)</f>
      </c>
      <c r="O11" s="7">
        <f>IF($D11="","",IF(OR(L11=0,J11="",IFERROR(INDEX('Challan Master'!$D$4:$D$207,MATCH($B11,'Challan Master'!$S$4:$S$207,0)),"")="",IFERROR(INDEX('Challan Master'!$D$4:$D$207,MATCH($B11,'Challan Master'!$S$4:$S$207,0)),"")&lt;=0),0,IF(IFERROR(INDEX('Challan Master'!$D$4:$D$207,MATCH($B11,'Challan Master'!$S$4:$S$207,0)),"")&lt;=DATE(YEAR(J11),MONTH(J11)+1,7),0,ROUND(L11*0.015*((YEAR(IFERROR(INDEX('Challan Master'!$D$4:$D$207,MATCH($B11,'Challan Master'!$S$4:$S$207,0)),""))-YEAR(J11))*12+(MONTH(IFERROR(INDEX('Challan Master'!$D$4:$D$207,MATCH($B11,'Challan Master'!$S$4:$S$207,0)),""))-MONTH(J11))+1),0))))</f>
      </c>
      <c r="P11" s="7">
        <f>IF($D11="","",0)</f>
      </c>
      <c r="Q11" s="8"/>
      <c r="R11" s="8"/>
      <c r="S11" s="8"/>
      <c r="T11" s="8"/>
      <c r="U11" s="8"/>
      <c r="V11" s="7">
        <f>IF($B11="","",IFERROR(INDEX('Challan Master'!$AA$4:$AA$207,MATCH($B11,'Challan Master'!$S$4:$S$207,0)),""))</f>
      </c>
    </row>
    <row r="12" spans="1:22" x14ac:dyDescent="0.25">
      <c r="A12" s="7">
        <f>IF($D12="","",COUNTIF($D$4:$D12,"&lt;&gt;"))</f>
      </c>
      <c r="B12" s="8"/>
      <c r="C12" s="7">
        <f>IF($B12="","","BSR "&amp;IFERROR(INDEX('Challan Master'!$B$4:$B$207,MATCH($B12,'Challan Master'!$S$4:$S$207,0)),"")&amp;" | Serial "&amp;IFERROR(INDEX('Challan Master'!$C$4:$C$207,MATCH($B12,'Challan Master'!$S$4:$S$207,0)),"")&amp;" | Deposit "&amp;TEXT(IFERROR(INDEX('Challan Master'!$D$4:$D$207,MATCH($B12,'Challan Master'!$S$4:$S$207,0)),""),"dd-mm-yyyy")&amp;" | Minor Head "&amp;IFERROR(INDEX('Challan Master'!$E$4:$E$207,MATCH($B12,'Challan Master'!$S$4:$S$207,0)),"")&amp;" | Tax ₹"&amp;TEXT(IFERROR(INDEX('Challan Master'!$G$4:$G$207,MATCH($B12,'Challan Master'!$S$4:$S$207,0)),""),"#,##0")&amp;" | Section "&amp;IFERROR(INDEX('Challan Master'!$F$4:$F$207,MATCH($B12,'Challan Master'!$S$4:$S$207,0)),""))</f>
      </c>
      <c r="D12" s="8"/>
      <c r="E12" s="8"/>
      <c r="F12" s="7">
        <f>IF($D12="","",IF(AND(LEN(TRIM(UPPER(E12)))=10,CODE(MID(TRIM(UPPER(E12)),1,1))&gt;=65,CODE(MID(TRIM(UPPER(E12)),1,1))&lt;=90,CODE(MID(TRIM(UPPER(E12)),2,1))&gt;=65,CODE(MID(TRIM(UPPER(E12)),2,1))&lt;=90,CODE(MID(TRIM(UPPER(E12)),3,1))&gt;=65,CODE(MID(TRIM(UPPER(E12)),3,1))&lt;=90,CODE(MID(TRIM(UPPER(E12)),4,1))&gt;=65,CODE(MID(TRIM(UPPER(E12)),4,1))&lt;=90,CODE(MID(TRIM(UPPER(E12)),5,1))&gt;=65,CODE(MID(TRIM(UPPER(E12)),5,1))&lt;=90,CODE(MID(TRIM(UPPER(E12)),10,1))&gt;=65,CODE(MID(TRIM(UPPER(E12)),10,1))&lt;=90,CODE(MID(TRIM(UPPER(E12)),6,1))&gt;=48,CODE(MID(TRIM(UPPER(E12)),6,1))&lt;=57,CODE(MID(TRIM(UPPER(E12)),7,1))&gt;=48,CODE(MID(TRIM(UPPER(E12)),7,1))&lt;=57,CODE(MID(TRIM(UPPER(E12)),8,1))&gt;=48,CODE(MID(TRIM(UPPER(E12)),8,1))&lt;=57,CODE(MID(TRIM(UPPER(E12)),9,1))&gt;=48,CODE(MID(TRIM(UPPER(E12)),9,1))&lt;=57),"N","Y"))</f>
      </c>
      <c r="G12" s="7">
        <f>IF($D12="","",IF(LEN(E12)&lt;4,"",IF(UPPER(MID(E12,4,1))="P","Individual",IF(UPPER(MID(E12,4,1))="H","HUF",IF(UPPER(MID(E12,4,1))="C","Company",IF(UPPER(MID(E12,4,1))="F","Firm",IF(UPPER(MID(E12,4,1))="L","LLP",IF(UPPER(MID(E12,4,1))="T","Trust",IF(UPPER(MID(E12,4,1))="A","AOP","")))))))))</f>
      </c>
      <c r="H12" s="8"/>
      <c r="I12" s="7">
        <f>IF($D12="","",IF(H12="","",IF(F12="Y",SUMPRODUCT(('Rate Lookup'!$A$1:$A$37=H12)*'Rate Lookup'!$D$1:$D$37),IF(OR(G12="Individual",G12="HUF"),SUMPRODUCT(('Rate Lookup'!$A$1:$A$37=H12)*'Rate Lookup'!$B$1:$B$37),SUMPRODUCT(('Rate Lookup'!$A$1:$A$37=H12)*'Rate Lookup'!$C$1:$C$37)))))</f>
      </c>
      <c r="J12" s="8"/>
      <c r="K12" s="8"/>
      <c r="L12" s="7">
        <f>IF($D12="","",ROUND(K12*I12/100,0))</f>
      </c>
      <c r="M12" s="7">
        <f>IF($D12="","",0)</f>
      </c>
      <c r="N12" s="7">
        <f>IF($D12="","",0)</f>
      </c>
      <c r="O12" s="7">
        <f>IF($D12="","",IF(OR(L12=0,J12="",IFERROR(INDEX('Challan Master'!$D$4:$D$207,MATCH($B12,'Challan Master'!$S$4:$S$207,0)),"")="",IFERROR(INDEX('Challan Master'!$D$4:$D$207,MATCH($B12,'Challan Master'!$S$4:$S$207,0)),"")&lt;=0),0,IF(IFERROR(INDEX('Challan Master'!$D$4:$D$207,MATCH($B12,'Challan Master'!$S$4:$S$207,0)),"")&lt;=DATE(YEAR(J12),MONTH(J12)+1,7),0,ROUND(L12*0.015*((YEAR(IFERROR(INDEX('Challan Master'!$D$4:$D$207,MATCH($B12,'Challan Master'!$S$4:$S$207,0)),""))-YEAR(J12))*12+(MONTH(IFERROR(INDEX('Challan Master'!$D$4:$D$207,MATCH($B12,'Challan Master'!$S$4:$S$207,0)),""))-MONTH(J12))+1),0))))</f>
      </c>
      <c r="P12" s="7">
        <f>IF($D12="","",0)</f>
      </c>
      <c r="Q12" s="8"/>
      <c r="R12" s="8"/>
      <c r="S12" s="8"/>
      <c r="T12" s="8"/>
      <c r="U12" s="8"/>
      <c r="V12" s="7">
        <f>IF($B12="","",IFERROR(INDEX('Challan Master'!$AA$4:$AA$207,MATCH($B12,'Challan Master'!$S$4:$S$207,0)),""))</f>
      </c>
    </row>
    <row r="13" spans="1:22" x14ac:dyDescent="0.25">
      <c r="A13" s="7">
        <f>IF($D13="","",COUNTIF($D$4:$D13,"&lt;&gt;"))</f>
      </c>
      <c r="B13" s="8"/>
      <c r="C13" s="7">
        <f>IF($B13="","","BSR "&amp;IFERROR(INDEX('Challan Master'!$B$4:$B$207,MATCH($B13,'Challan Master'!$S$4:$S$207,0)),"")&amp;" | Serial "&amp;IFERROR(INDEX('Challan Master'!$C$4:$C$207,MATCH($B13,'Challan Master'!$S$4:$S$207,0)),"")&amp;" | Deposit "&amp;TEXT(IFERROR(INDEX('Challan Master'!$D$4:$D$207,MATCH($B13,'Challan Master'!$S$4:$S$207,0)),""),"dd-mm-yyyy")&amp;" | Minor Head "&amp;IFERROR(INDEX('Challan Master'!$E$4:$E$207,MATCH($B13,'Challan Master'!$S$4:$S$207,0)),"")&amp;" | Tax ₹"&amp;TEXT(IFERROR(INDEX('Challan Master'!$G$4:$G$207,MATCH($B13,'Challan Master'!$S$4:$S$207,0)),""),"#,##0")&amp;" | Section "&amp;IFERROR(INDEX('Challan Master'!$F$4:$F$207,MATCH($B13,'Challan Master'!$S$4:$S$207,0)),""))</f>
      </c>
      <c r="D13" s="8"/>
      <c r="E13" s="8"/>
      <c r="F13" s="7">
        <f>IF($D13="","",IF(AND(LEN(TRIM(UPPER(E13)))=10,CODE(MID(TRIM(UPPER(E13)),1,1))&gt;=65,CODE(MID(TRIM(UPPER(E13)),1,1))&lt;=90,CODE(MID(TRIM(UPPER(E13)),2,1))&gt;=65,CODE(MID(TRIM(UPPER(E13)),2,1))&lt;=90,CODE(MID(TRIM(UPPER(E13)),3,1))&gt;=65,CODE(MID(TRIM(UPPER(E13)),3,1))&lt;=90,CODE(MID(TRIM(UPPER(E13)),4,1))&gt;=65,CODE(MID(TRIM(UPPER(E13)),4,1))&lt;=90,CODE(MID(TRIM(UPPER(E13)),5,1))&gt;=65,CODE(MID(TRIM(UPPER(E13)),5,1))&lt;=90,CODE(MID(TRIM(UPPER(E13)),10,1))&gt;=65,CODE(MID(TRIM(UPPER(E13)),10,1))&lt;=90,CODE(MID(TRIM(UPPER(E13)),6,1))&gt;=48,CODE(MID(TRIM(UPPER(E13)),6,1))&lt;=57,CODE(MID(TRIM(UPPER(E13)),7,1))&gt;=48,CODE(MID(TRIM(UPPER(E13)),7,1))&lt;=57,CODE(MID(TRIM(UPPER(E13)),8,1))&gt;=48,CODE(MID(TRIM(UPPER(E13)),8,1))&lt;=57,CODE(MID(TRIM(UPPER(E13)),9,1))&gt;=48,CODE(MID(TRIM(UPPER(E13)),9,1))&lt;=57),"N","Y"))</f>
      </c>
      <c r="G13" s="7">
        <f>IF($D13="","",IF(LEN(E13)&lt;4,"",IF(UPPER(MID(E13,4,1))="P","Individual",IF(UPPER(MID(E13,4,1))="H","HUF",IF(UPPER(MID(E13,4,1))="C","Company",IF(UPPER(MID(E13,4,1))="F","Firm",IF(UPPER(MID(E13,4,1))="L","LLP",IF(UPPER(MID(E13,4,1))="T","Trust",IF(UPPER(MID(E13,4,1))="A","AOP","")))))))))</f>
      </c>
      <c r="H13" s="8"/>
      <c r="I13" s="7">
        <f>IF($D13="","",IF(H13="","",IF(F13="Y",SUMPRODUCT(('Rate Lookup'!$A$1:$A$37=H13)*'Rate Lookup'!$D$1:$D$37),IF(OR(G13="Individual",G13="HUF"),SUMPRODUCT(('Rate Lookup'!$A$1:$A$37=H13)*'Rate Lookup'!$B$1:$B$37),SUMPRODUCT(('Rate Lookup'!$A$1:$A$37=H13)*'Rate Lookup'!$C$1:$C$37)))))</f>
      </c>
      <c r="J13" s="8"/>
      <c r="K13" s="8"/>
      <c r="L13" s="7">
        <f>IF($D13="","",ROUND(K13*I13/100,0))</f>
      </c>
      <c r="M13" s="7">
        <f>IF($D13="","",0)</f>
      </c>
      <c r="N13" s="7">
        <f>IF($D13="","",0)</f>
      </c>
      <c r="O13" s="7">
        <f>IF($D13="","",IF(OR(L13=0,J13="",IFERROR(INDEX('Challan Master'!$D$4:$D$207,MATCH($B13,'Challan Master'!$S$4:$S$207,0)),"")="",IFERROR(INDEX('Challan Master'!$D$4:$D$207,MATCH($B13,'Challan Master'!$S$4:$S$207,0)),"")&lt;=0),0,IF(IFERROR(INDEX('Challan Master'!$D$4:$D$207,MATCH($B13,'Challan Master'!$S$4:$S$207,0)),"")&lt;=DATE(YEAR(J13),MONTH(J13)+1,7),0,ROUND(L13*0.015*((YEAR(IFERROR(INDEX('Challan Master'!$D$4:$D$207,MATCH($B13,'Challan Master'!$S$4:$S$207,0)),""))-YEAR(J13))*12+(MONTH(IFERROR(INDEX('Challan Master'!$D$4:$D$207,MATCH($B13,'Challan Master'!$S$4:$S$207,0)),""))-MONTH(J13))+1),0))))</f>
      </c>
      <c r="P13" s="7">
        <f>IF($D13="","",0)</f>
      </c>
      <c r="Q13" s="8"/>
      <c r="R13" s="8"/>
      <c r="S13" s="8"/>
      <c r="T13" s="8"/>
      <c r="U13" s="8"/>
      <c r="V13" s="7">
        <f>IF($B13="","",IFERROR(INDEX('Challan Master'!$AA$4:$AA$207,MATCH($B13,'Challan Master'!$S$4:$S$207,0)),""))</f>
      </c>
    </row>
    <row r="14" spans="1:22" x14ac:dyDescent="0.25">
      <c r="A14" s="7">
        <f>IF($D14="","",COUNTIF($D$4:$D14,"&lt;&gt;"))</f>
      </c>
      <c r="B14" s="8"/>
      <c r="C14" s="7">
        <f>IF($B14="","","BSR "&amp;IFERROR(INDEX('Challan Master'!$B$4:$B$207,MATCH($B14,'Challan Master'!$S$4:$S$207,0)),"")&amp;" | Serial "&amp;IFERROR(INDEX('Challan Master'!$C$4:$C$207,MATCH($B14,'Challan Master'!$S$4:$S$207,0)),"")&amp;" | Deposit "&amp;TEXT(IFERROR(INDEX('Challan Master'!$D$4:$D$207,MATCH($B14,'Challan Master'!$S$4:$S$207,0)),""),"dd-mm-yyyy")&amp;" | Minor Head "&amp;IFERROR(INDEX('Challan Master'!$E$4:$E$207,MATCH($B14,'Challan Master'!$S$4:$S$207,0)),"")&amp;" | Tax ₹"&amp;TEXT(IFERROR(INDEX('Challan Master'!$G$4:$G$207,MATCH($B14,'Challan Master'!$S$4:$S$207,0)),""),"#,##0")&amp;" | Section "&amp;IFERROR(INDEX('Challan Master'!$F$4:$F$207,MATCH($B14,'Challan Master'!$S$4:$S$207,0)),""))</f>
      </c>
      <c r="D14" s="8"/>
      <c r="E14" s="8"/>
      <c r="F14" s="7">
        <f>IF($D14="","",IF(AND(LEN(TRIM(UPPER(E14)))=10,CODE(MID(TRIM(UPPER(E14)),1,1))&gt;=65,CODE(MID(TRIM(UPPER(E14)),1,1))&lt;=90,CODE(MID(TRIM(UPPER(E14)),2,1))&gt;=65,CODE(MID(TRIM(UPPER(E14)),2,1))&lt;=90,CODE(MID(TRIM(UPPER(E14)),3,1))&gt;=65,CODE(MID(TRIM(UPPER(E14)),3,1))&lt;=90,CODE(MID(TRIM(UPPER(E14)),4,1))&gt;=65,CODE(MID(TRIM(UPPER(E14)),4,1))&lt;=90,CODE(MID(TRIM(UPPER(E14)),5,1))&gt;=65,CODE(MID(TRIM(UPPER(E14)),5,1))&lt;=90,CODE(MID(TRIM(UPPER(E14)),10,1))&gt;=65,CODE(MID(TRIM(UPPER(E14)),10,1))&lt;=90,CODE(MID(TRIM(UPPER(E14)),6,1))&gt;=48,CODE(MID(TRIM(UPPER(E14)),6,1))&lt;=57,CODE(MID(TRIM(UPPER(E14)),7,1))&gt;=48,CODE(MID(TRIM(UPPER(E14)),7,1))&lt;=57,CODE(MID(TRIM(UPPER(E14)),8,1))&gt;=48,CODE(MID(TRIM(UPPER(E14)),8,1))&lt;=57,CODE(MID(TRIM(UPPER(E14)),9,1))&gt;=48,CODE(MID(TRIM(UPPER(E14)),9,1))&lt;=57),"N","Y"))</f>
      </c>
      <c r="G14" s="7">
        <f>IF($D14="","",IF(LEN(E14)&lt;4,"",IF(UPPER(MID(E14,4,1))="P","Individual",IF(UPPER(MID(E14,4,1))="H","HUF",IF(UPPER(MID(E14,4,1))="C","Company",IF(UPPER(MID(E14,4,1))="F","Firm",IF(UPPER(MID(E14,4,1))="L","LLP",IF(UPPER(MID(E14,4,1))="T","Trust",IF(UPPER(MID(E14,4,1))="A","AOP","")))))))))</f>
      </c>
      <c r="H14" s="8"/>
      <c r="I14" s="7">
        <f>IF($D14="","",IF(H14="","",IF(F14="Y",SUMPRODUCT(('Rate Lookup'!$A$1:$A$37=H14)*'Rate Lookup'!$D$1:$D$37),IF(OR(G14="Individual",G14="HUF"),SUMPRODUCT(('Rate Lookup'!$A$1:$A$37=H14)*'Rate Lookup'!$B$1:$B$37),SUMPRODUCT(('Rate Lookup'!$A$1:$A$37=H14)*'Rate Lookup'!$C$1:$C$37)))))</f>
      </c>
      <c r="J14" s="8"/>
      <c r="K14" s="8"/>
      <c r="L14" s="7">
        <f>IF($D14="","",ROUND(K14*I14/100,0))</f>
      </c>
      <c r="M14" s="7">
        <f>IF($D14="","",0)</f>
      </c>
      <c r="N14" s="7">
        <f>IF($D14="","",0)</f>
      </c>
      <c r="O14" s="7">
        <f>IF($D14="","",IF(OR(L14=0,J14="",IFERROR(INDEX('Challan Master'!$D$4:$D$207,MATCH($B14,'Challan Master'!$S$4:$S$207,0)),"")="",IFERROR(INDEX('Challan Master'!$D$4:$D$207,MATCH($B14,'Challan Master'!$S$4:$S$207,0)),"")&lt;=0),0,IF(IFERROR(INDEX('Challan Master'!$D$4:$D$207,MATCH($B14,'Challan Master'!$S$4:$S$207,0)),"")&lt;=DATE(YEAR(J14),MONTH(J14)+1,7),0,ROUND(L14*0.015*((YEAR(IFERROR(INDEX('Challan Master'!$D$4:$D$207,MATCH($B14,'Challan Master'!$S$4:$S$207,0)),""))-YEAR(J14))*12+(MONTH(IFERROR(INDEX('Challan Master'!$D$4:$D$207,MATCH($B14,'Challan Master'!$S$4:$S$207,0)),""))-MONTH(J14))+1),0))))</f>
      </c>
      <c r="P14" s="7">
        <f>IF($D14="","",0)</f>
      </c>
      <c r="Q14" s="8"/>
      <c r="R14" s="8"/>
      <c r="S14" s="8"/>
      <c r="T14" s="8"/>
      <c r="U14" s="8"/>
      <c r="V14" s="7">
        <f>IF($B14="","",IFERROR(INDEX('Challan Master'!$AA$4:$AA$207,MATCH($B14,'Challan Master'!$S$4:$S$207,0)),""))</f>
      </c>
    </row>
    <row r="15" spans="1:22" x14ac:dyDescent="0.25">
      <c r="A15" s="7">
        <f>IF($D15="","",COUNTIF($D$4:$D15,"&lt;&gt;"))</f>
      </c>
      <c r="B15" s="8"/>
      <c r="C15" s="7">
        <f>IF($B15="","","BSR "&amp;IFERROR(INDEX('Challan Master'!$B$4:$B$207,MATCH($B15,'Challan Master'!$S$4:$S$207,0)),"")&amp;" | Serial "&amp;IFERROR(INDEX('Challan Master'!$C$4:$C$207,MATCH($B15,'Challan Master'!$S$4:$S$207,0)),"")&amp;" | Deposit "&amp;TEXT(IFERROR(INDEX('Challan Master'!$D$4:$D$207,MATCH($B15,'Challan Master'!$S$4:$S$207,0)),""),"dd-mm-yyyy")&amp;" | Minor Head "&amp;IFERROR(INDEX('Challan Master'!$E$4:$E$207,MATCH($B15,'Challan Master'!$S$4:$S$207,0)),"")&amp;" | Tax ₹"&amp;TEXT(IFERROR(INDEX('Challan Master'!$G$4:$G$207,MATCH($B15,'Challan Master'!$S$4:$S$207,0)),""),"#,##0")&amp;" | Section "&amp;IFERROR(INDEX('Challan Master'!$F$4:$F$207,MATCH($B15,'Challan Master'!$S$4:$S$207,0)),""))</f>
      </c>
      <c r="D15" s="8"/>
      <c r="E15" s="8"/>
      <c r="F15" s="7">
        <f>IF($D15="","",IF(AND(LEN(TRIM(UPPER(E15)))=10,CODE(MID(TRIM(UPPER(E15)),1,1))&gt;=65,CODE(MID(TRIM(UPPER(E15)),1,1))&lt;=90,CODE(MID(TRIM(UPPER(E15)),2,1))&gt;=65,CODE(MID(TRIM(UPPER(E15)),2,1))&lt;=90,CODE(MID(TRIM(UPPER(E15)),3,1))&gt;=65,CODE(MID(TRIM(UPPER(E15)),3,1))&lt;=90,CODE(MID(TRIM(UPPER(E15)),4,1))&gt;=65,CODE(MID(TRIM(UPPER(E15)),4,1))&lt;=90,CODE(MID(TRIM(UPPER(E15)),5,1))&gt;=65,CODE(MID(TRIM(UPPER(E15)),5,1))&lt;=90,CODE(MID(TRIM(UPPER(E15)),10,1))&gt;=65,CODE(MID(TRIM(UPPER(E15)),10,1))&lt;=90,CODE(MID(TRIM(UPPER(E15)),6,1))&gt;=48,CODE(MID(TRIM(UPPER(E15)),6,1))&lt;=57,CODE(MID(TRIM(UPPER(E15)),7,1))&gt;=48,CODE(MID(TRIM(UPPER(E15)),7,1))&lt;=57,CODE(MID(TRIM(UPPER(E15)),8,1))&gt;=48,CODE(MID(TRIM(UPPER(E15)),8,1))&lt;=57,CODE(MID(TRIM(UPPER(E15)),9,1))&gt;=48,CODE(MID(TRIM(UPPER(E15)),9,1))&lt;=57),"N","Y"))</f>
      </c>
      <c r="G15" s="7">
        <f>IF($D15="","",IF(LEN(E15)&lt;4,"",IF(UPPER(MID(E15,4,1))="P","Individual",IF(UPPER(MID(E15,4,1))="H","HUF",IF(UPPER(MID(E15,4,1))="C","Company",IF(UPPER(MID(E15,4,1))="F","Firm",IF(UPPER(MID(E15,4,1))="L","LLP",IF(UPPER(MID(E15,4,1))="T","Trust",IF(UPPER(MID(E15,4,1))="A","AOP","")))))))))</f>
      </c>
      <c r="H15" s="8"/>
      <c r="I15" s="7">
        <f>IF($D15="","",IF(H15="","",IF(F15="Y",SUMPRODUCT(('Rate Lookup'!$A$1:$A$37=H15)*'Rate Lookup'!$D$1:$D$37),IF(OR(G15="Individual",G15="HUF"),SUMPRODUCT(('Rate Lookup'!$A$1:$A$37=H15)*'Rate Lookup'!$B$1:$B$37),SUMPRODUCT(('Rate Lookup'!$A$1:$A$37=H15)*'Rate Lookup'!$C$1:$C$37)))))</f>
      </c>
      <c r="J15" s="8"/>
      <c r="K15" s="8"/>
      <c r="L15" s="7">
        <f>IF($D15="","",ROUND(K15*I15/100,0))</f>
      </c>
      <c r="M15" s="7">
        <f>IF($D15="","",0)</f>
      </c>
      <c r="N15" s="7">
        <f>IF($D15="","",0)</f>
      </c>
      <c r="O15" s="7">
        <f>IF($D15="","",IF(OR(L15=0,J15="",IFERROR(INDEX('Challan Master'!$D$4:$D$207,MATCH($B15,'Challan Master'!$S$4:$S$207,0)),"")="",IFERROR(INDEX('Challan Master'!$D$4:$D$207,MATCH($B15,'Challan Master'!$S$4:$S$207,0)),"")&lt;=0),0,IF(IFERROR(INDEX('Challan Master'!$D$4:$D$207,MATCH($B15,'Challan Master'!$S$4:$S$207,0)),"")&lt;=DATE(YEAR(J15),MONTH(J15)+1,7),0,ROUND(L15*0.015*((YEAR(IFERROR(INDEX('Challan Master'!$D$4:$D$207,MATCH($B15,'Challan Master'!$S$4:$S$207,0)),""))-YEAR(J15))*12+(MONTH(IFERROR(INDEX('Challan Master'!$D$4:$D$207,MATCH($B15,'Challan Master'!$S$4:$S$207,0)),""))-MONTH(J15))+1),0))))</f>
      </c>
      <c r="P15" s="7">
        <f>IF($D15="","",0)</f>
      </c>
      <c r="Q15" s="8"/>
      <c r="R15" s="8"/>
      <c r="S15" s="8"/>
      <c r="T15" s="8"/>
      <c r="U15" s="8"/>
      <c r="V15" s="7">
        <f>IF($B15="","",IFERROR(INDEX('Challan Master'!$AA$4:$AA$207,MATCH($B15,'Challan Master'!$S$4:$S$207,0)),""))</f>
      </c>
    </row>
    <row r="16" spans="1:22" x14ac:dyDescent="0.25">
      <c r="A16" s="7">
        <f>IF($D16="","",COUNTIF($D$4:$D16,"&lt;&gt;"))</f>
      </c>
      <c r="B16" s="8"/>
      <c r="C16" s="7">
        <f>IF($B16="","","BSR "&amp;IFERROR(INDEX('Challan Master'!$B$4:$B$207,MATCH($B16,'Challan Master'!$S$4:$S$207,0)),"")&amp;" | Serial "&amp;IFERROR(INDEX('Challan Master'!$C$4:$C$207,MATCH($B16,'Challan Master'!$S$4:$S$207,0)),"")&amp;" | Deposit "&amp;TEXT(IFERROR(INDEX('Challan Master'!$D$4:$D$207,MATCH($B16,'Challan Master'!$S$4:$S$207,0)),""),"dd-mm-yyyy")&amp;" | Minor Head "&amp;IFERROR(INDEX('Challan Master'!$E$4:$E$207,MATCH($B16,'Challan Master'!$S$4:$S$207,0)),"")&amp;" | Tax ₹"&amp;TEXT(IFERROR(INDEX('Challan Master'!$G$4:$G$207,MATCH($B16,'Challan Master'!$S$4:$S$207,0)),""),"#,##0")&amp;" | Section "&amp;IFERROR(INDEX('Challan Master'!$F$4:$F$207,MATCH($B16,'Challan Master'!$S$4:$S$207,0)),""))</f>
      </c>
      <c r="D16" s="8"/>
      <c r="E16" s="8"/>
      <c r="F16" s="7">
        <f>IF($D16="","",IF(AND(LEN(TRIM(UPPER(E16)))=10,CODE(MID(TRIM(UPPER(E16)),1,1))&gt;=65,CODE(MID(TRIM(UPPER(E16)),1,1))&lt;=90,CODE(MID(TRIM(UPPER(E16)),2,1))&gt;=65,CODE(MID(TRIM(UPPER(E16)),2,1))&lt;=90,CODE(MID(TRIM(UPPER(E16)),3,1))&gt;=65,CODE(MID(TRIM(UPPER(E16)),3,1))&lt;=90,CODE(MID(TRIM(UPPER(E16)),4,1))&gt;=65,CODE(MID(TRIM(UPPER(E16)),4,1))&lt;=90,CODE(MID(TRIM(UPPER(E16)),5,1))&gt;=65,CODE(MID(TRIM(UPPER(E16)),5,1))&lt;=90,CODE(MID(TRIM(UPPER(E16)),10,1))&gt;=65,CODE(MID(TRIM(UPPER(E16)),10,1))&lt;=90,CODE(MID(TRIM(UPPER(E16)),6,1))&gt;=48,CODE(MID(TRIM(UPPER(E16)),6,1))&lt;=57,CODE(MID(TRIM(UPPER(E16)),7,1))&gt;=48,CODE(MID(TRIM(UPPER(E16)),7,1))&lt;=57,CODE(MID(TRIM(UPPER(E16)),8,1))&gt;=48,CODE(MID(TRIM(UPPER(E16)),8,1))&lt;=57,CODE(MID(TRIM(UPPER(E16)),9,1))&gt;=48,CODE(MID(TRIM(UPPER(E16)),9,1))&lt;=57),"N","Y"))</f>
      </c>
      <c r="G16" s="7">
        <f>IF($D16="","",IF(LEN(E16)&lt;4,"",IF(UPPER(MID(E16,4,1))="P","Individual",IF(UPPER(MID(E16,4,1))="H","HUF",IF(UPPER(MID(E16,4,1))="C","Company",IF(UPPER(MID(E16,4,1))="F","Firm",IF(UPPER(MID(E16,4,1))="L","LLP",IF(UPPER(MID(E16,4,1))="T","Trust",IF(UPPER(MID(E16,4,1))="A","AOP","")))))))))</f>
      </c>
      <c r="H16" s="8"/>
      <c r="I16" s="7">
        <f>IF($D16="","",IF(H16="","",IF(F16="Y",SUMPRODUCT(('Rate Lookup'!$A$1:$A$37=H16)*'Rate Lookup'!$D$1:$D$37),IF(OR(G16="Individual",G16="HUF"),SUMPRODUCT(('Rate Lookup'!$A$1:$A$37=H16)*'Rate Lookup'!$B$1:$B$37),SUMPRODUCT(('Rate Lookup'!$A$1:$A$37=H16)*'Rate Lookup'!$C$1:$C$37)))))</f>
      </c>
      <c r="J16" s="8"/>
      <c r="K16" s="8"/>
      <c r="L16" s="7">
        <f>IF($D16="","",ROUND(K16*I16/100,0))</f>
      </c>
      <c r="M16" s="7">
        <f>IF($D16="","",0)</f>
      </c>
      <c r="N16" s="7">
        <f>IF($D16="","",0)</f>
      </c>
      <c r="O16" s="7">
        <f>IF($D16="","",IF(OR(L16=0,J16="",IFERROR(INDEX('Challan Master'!$D$4:$D$207,MATCH($B16,'Challan Master'!$S$4:$S$207,0)),"")="",IFERROR(INDEX('Challan Master'!$D$4:$D$207,MATCH($B16,'Challan Master'!$S$4:$S$207,0)),"")&lt;=0),0,IF(IFERROR(INDEX('Challan Master'!$D$4:$D$207,MATCH($B16,'Challan Master'!$S$4:$S$207,0)),"")&lt;=DATE(YEAR(J16),MONTH(J16)+1,7),0,ROUND(L16*0.015*((YEAR(IFERROR(INDEX('Challan Master'!$D$4:$D$207,MATCH($B16,'Challan Master'!$S$4:$S$207,0)),""))-YEAR(J16))*12+(MONTH(IFERROR(INDEX('Challan Master'!$D$4:$D$207,MATCH($B16,'Challan Master'!$S$4:$S$207,0)),""))-MONTH(J16))+1),0))))</f>
      </c>
      <c r="P16" s="7">
        <f>IF($D16="","",0)</f>
      </c>
      <c r="Q16" s="8"/>
      <c r="R16" s="8"/>
      <c r="S16" s="8"/>
      <c r="T16" s="8"/>
      <c r="U16" s="8"/>
      <c r="V16" s="7">
        <f>IF($B16="","",IFERROR(INDEX('Challan Master'!$AA$4:$AA$207,MATCH($B16,'Challan Master'!$S$4:$S$207,0)),""))</f>
      </c>
    </row>
    <row r="17" spans="1:22" x14ac:dyDescent="0.25">
      <c r="A17" s="7">
        <f>IF($D17="","",COUNTIF($D$4:$D17,"&lt;&gt;"))</f>
      </c>
      <c r="B17" s="8"/>
      <c r="C17" s="7">
        <f>IF($B17="","","BSR "&amp;IFERROR(INDEX('Challan Master'!$B$4:$B$207,MATCH($B17,'Challan Master'!$S$4:$S$207,0)),"")&amp;" | Serial "&amp;IFERROR(INDEX('Challan Master'!$C$4:$C$207,MATCH($B17,'Challan Master'!$S$4:$S$207,0)),"")&amp;" | Deposit "&amp;TEXT(IFERROR(INDEX('Challan Master'!$D$4:$D$207,MATCH($B17,'Challan Master'!$S$4:$S$207,0)),""),"dd-mm-yyyy")&amp;" | Minor Head "&amp;IFERROR(INDEX('Challan Master'!$E$4:$E$207,MATCH($B17,'Challan Master'!$S$4:$S$207,0)),"")&amp;" | Tax ₹"&amp;TEXT(IFERROR(INDEX('Challan Master'!$G$4:$G$207,MATCH($B17,'Challan Master'!$S$4:$S$207,0)),""),"#,##0")&amp;" | Section "&amp;IFERROR(INDEX('Challan Master'!$F$4:$F$207,MATCH($B17,'Challan Master'!$S$4:$S$207,0)),""))</f>
      </c>
      <c r="D17" s="8"/>
      <c r="E17" s="8"/>
      <c r="F17" s="7">
        <f>IF($D17="","",IF(AND(LEN(TRIM(UPPER(E17)))=10,CODE(MID(TRIM(UPPER(E17)),1,1))&gt;=65,CODE(MID(TRIM(UPPER(E17)),1,1))&lt;=90,CODE(MID(TRIM(UPPER(E17)),2,1))&gt;=65,CODE(MID(TRIM(UPPER(E17)),2,1))&lt;=90,CODE(MID(TRIM(UPPER(E17)),3,1))&gt;=65,CODE(MID(TRIM(UPPER(E17)),3,1))&lt;=90,CODE(MID(TRIM(UPPER(E17)),4,1))&gt;=65,CODE(MID(TRIM(UPPER(E17)),4,1))&lt;=90,CODE(MID(TRIM(UPPER(E17)),5,1))&gt;=65,CODE(MID(TRIM(UPPER(E17)),5,1))&lt;=90,CODE(MID(TRIM(UPPER(E17)),10,1))&gt;=65,CODE(MID(TRIM(UPPER(E17)),10,1))&lt;=90,CODE(MID(TRIM(UPPER(E17)),6,1))&gt;=48,CODE(MID(TRIM(UPPER(E17)),6,1))&lt;=57,CODE(MID(TRIM(UPPER(E17)),7,1))&gt;=48,CODE(MID(TRIM(UPPER(E17)),7,1))&lt;=57,CODE(MID(TRIM(UPPER(E17)),8,1))&gt;=48,CODE(MID(TRIM(UPPER(E17)),8,1))&lt;=57,CODE(MID(TRIM(UPPER(E17)),9,1))&gt;=48,CODE(MID(TRIM(UPPER(E17)),9,1))&lt;=57),"N","Y"))</f>
      </c>
      <c r="G17" s="7">
        <f>IF($D17="","",IF(LEN(E17)&lt;4,"",IF(UPPER(MID(E17,4,1))="P","Individual",IF(UPPER(MID(E17,4,1))="H","HUF",IF(UPPER(MID(E17,4,1))="C","Company",IF(UPPER(MID(E17,4,1))="F","Firm",IF(UPPER(MID(E17,4,1))="L","LLP",IF(UPPER(MID(E17,4,1))="T","Trust",IF(UPPER(MID(E17,4,1))="A","AOP","")))))))))</f>
      </c>
      <c r="H17" s="8"/>
      <c r="I17" s="7">
        <f>IF($D17="","",IF(H17="","",IF(F17="Y",SUMPRODUCT(('Rate Lookup'!$A$1:$A$37=H17)*'Rate Lookup'!$D$1:$D$37),IF(OR(G17="Individual",G17="HUF"),SUMPRODUCT(('Rate Lookup'!$A$1:$A$37=H17)*'Rate Lookup'!$B$1:$B$37),SUMPRODUCT(('Rate Lookup'!$A$1:$A$37=H17)*'Rate Lookup'!$C$1:$C$37)))))</f>
      </c>
      <c r="J17" s="8"/>
      <c r="K17" s="8"/>
      <c r="L17" s="7">
        <f>IF($D17="","",ROUND(K17*I17/100,0))</f>
      </c>
      <c r="M17" s="7">
        <f>IF($D17="","",0)</f>
      </c>
      <c r="N17" s="7">
        <f>IF($D17="","",0)</f>
      </c>
      <c r="O17" s="7">
        <f>IF($D17="","",IF(OR(L17=0,J17="",IFERROR(INDEX('Challan Master'!$D$4:$D$207,MATCH($B17,'Challan Master'!$S$4:$S$207,0)),"")="",IFERROR(INDEX('Challan Master'!$D$4:$D$207,MATCH($B17,'Challan Master'!$S$4:$S$207,0)),"")&lt;=0),0,IF(IFERROR(INDEX('Challan Master'!$D$4:$D$207,MATCH($B17,'Challan Master'!$S$4:$S$207,0)),"")&lt;=DATE(YEAR(J17),MONTH(J17)+1,7),0,ROUND(L17*0.015*((YEAR(IFERROR(INDEX('Challan Master'!$D$4:$D$207,MATCH($B17,'Challan Master'!$S$4:$S$207,0)),""))-YEAR(J17))*12+(MONTH(IFERROR(INDEX('Challan Master'!$D$4:$D$207,MATCH($B17,'Challan Master'!$S$4:$S$207,0)),""))-MONTH(J17))+1),0))))</f>
      </c>
      <c r="P17" s="7">
        <f>IF($D17="","",0)</f>
      </c>
      <c r="Q17" s="8"/>
      <c r="R17" s="8"/>
      <c r="S17" s="8"/>
      <c r="T17" s="8"/>
      <c r="U17" s="8"/>
      <c r="V17" s="7">
        <f>IF($B17="","",IFERROR(INDEX('Challan Master'!$AA$4:$AA$207,MATCH($B17,'Challan Master'!$S$4:$S$207,0)),""))</f>
      </c>
    </row>
    <row r="18" spans="1:22" x14ac:dyDescent="0.25">
      <c r="A18" s="7">
        <f>IF($D18="","",COUNTIF($D$4:$D18,"&lt;&gt;"))</f>
      </c>
      <c r="B18" s="8"/>
      <c r="C18" s="7">
        <f>IF($B18="","","BSR "&amp;IFERROR(INDEX('Challan Master'!$B$4:$B$207,MATCH($B18,'Challan Master'!$S$4:$S$207,0)),"")&amp;" | Serial "&amp;IFERROR(INDEX('Challan Master'!$C$4:$C$207,MATCH($B18,'Challan Master'!$S$4:$S$207,0)),"")&amp;" | Deposit "&amp;TEXT(IFERROR(INDEX('Challan Master'!$D$4:$D$207,MATCH($B18,'Challan Master'!$S$4:$S$207,0)),""),"dd-mm-yyyy")&amp;" | Minor Head "&amp;IFERROR(INDEX('Challan Master'!$E$4:$E$207,MATCH($B18,'Challan Master'!$S$4:$S$207,0)),"")&amp;" | Tax ₹"&amp;TEXT(IFERROR(INDEX('Challan Master'!$G$4:$G$207,MATCH($B18,'Challan Master'!$S$4:$S$207,0)),""),"#,##0")&amp;" | Section "&amp;IFERROR(INDEX('Challan Master'!$F$4:$F$207,MATCH($B18,'Challan Master'!$S$4:$S$207,0)),""))</f>
      </c>
      <c r="D18" s="8"/>
      <c r="E18" s="8"/>
      <c r="F18" s="7">
        <f>IF($D18="","",IF(AND(LEN(TRIM(UPPER(E18)))=10,CODE(MID(TRIM(UPPER(E18)),1,1))&gt;=65,CODE(MID(TRIM(UPPER(E18)),1,1))&lt;=90,CODE(MID(TRIM(UPPER(E18)),2,1))&gt;=65,CODE(MID(TRIM(UPPER(E18)),2,1))&lt;=90,CODE(MID(TRIM(UPPER(E18)),3,1))&gt;=65,CODE(MID(TRIM(UPPER(E18)),3,1))&lt;=90,CODE(MID(TRIM(UPPER(E18)),4,1))&gt;=65,CODE(MID(TRIM(UPPER(E18)),4,1))&lt;=90,CODE(MID(TRIM(UPPER(E18)),5,1))&gt;=65,CODE(MID(TRIM(UPPER(E18)),5,1))&lt;=90,CODE(MID(TRIM(UPPER(E18)),10,1))&gt;=65,CODE(MID(TRIM(UPPER(E18)),10,1))&lt;=90,CODE(MID(TRIM(UPPER(E18)),6,1))&gt;=48,CODE(MID(TRIM(UPPER(E18)),6,1))&lt;=57,CODE(MID(TRIM(UPPER(E18)),7,1))&gt;=48,CODE(MID(TRIM(UPPER(E18)),7,1))&lt;=57,CODE(MID(TRIM(UPPER(E18)),8,1))&gt;=48,CODE(MID(TRIM(UPPER(E18)),8,1))&lt;=57,CODE(MID(TRIM(UPPER(E18)),9,1))&gt;=48,CODE(MID(TRIM(UPPER(E18)),9,1))&lt;=57),"N","Y"))</f>
      </c>
      <c r="G18" s="7">
        <f>IF($D18="","",IF(LEN(E18)&lt;4,"",IF(UPPER(MID(E18,4,1))="P","Individual",IF(UPPER(MID(E18,4,1))="H","HUF",IF(UPPER(MID(E18,4,1))="C","Company",IF(UPPER(MID(E18,4,1))="F","Firm",IF(UPPER(MID(E18,4,1))="L","LLP",IF(UPPER(MID(E18,4,1))="T","Trust",IF(UPPER(MID(E18,4,1))="A","AOP","")))))))))</f>
      </c>
      <c r="H18" s="8"/>
      <c r="I18" s="7">
        <f>IF($D18="","",IF(H18="","",IF(F18="Y",SUMPRODUCT(('Rate Lookup'!$A$1:$A$37=H18)*'Rate Lookup'!$D$1:$D$37),IF(OR(G18="Individual",G18="HUF"),SUMPRODUCT(('Rate Lookup'!$A$1:$A$37=H18)*'Rate Lookup'!$B$1:$B$37),SUMPRODUCT(('Rate Lookup'!$A$1:$A$37=H18)*'Rate Lookup'!$C$1:$C$37)))))</f>
      </c>
      <c r="J18" s="8"/>
      <c r="K18" s="8"/>
      <c r="L18" s="7">
        <f>IF($D18="","",ROUND(K18*I18/100,0))</f>
      </c>
      <c r="M18" s="7">
        <f>IF($D18="","",0)</f>
      </c>
      <c r="N18" s="7">
        <f>IF($D18="","",0)</f>
      </c>
      <c r="O18" s="7">
        <f>IF($D18="","",IF(OR(L18=0,J18="",IFERROR(INDEX('Challan Master'!$D$4:$D$207,MATCH($B18,'Challan Master'!$S$4:$S$207,0)),"")="",IFERROR(INDEX('Challan Master'!$D$4:$D$207,MATCH($B18,'Challan Master'!$S$4:$S$207,0)),"")&lt;=0),0,IF(IFERROR(INDEX('Challan Master'!$D$4:$D$207,MATCH($B18,'Challan Master'!$S$4:$S$207,0)),"")&lt;=DATE(YEAR(J18),MONTH(J18)+1,7),0,ROUND(L18*0.015*((YEAR(IFERROR(INDEX('Challan Master'!$D$4:$D$207,MATCH($B18,'Challan Master'!$S$4:$S$207,0)),""))-YEAR(J18))*12+(MONTH(IFERROR(INDEX('Challan Master'!$D$4:$D$207,MATCH($B18,'Challan Master'!$S$4:$S$207,0)),""))-MONTH(J18))+1),0))))</f>
      </c>
      <c r="P18" s="7">
        <f>IF($D18="","",0)</f>
      </c>
      <c r="Q18" s="8"/>
      <c r="R18" s="8"/>
      <c r="S18" s="8"/>
      <c r="T18" s="8"/>
      <c r="U18" s="8"/>
      <c r="V18" s="7">
        <f>IF($B18="","",IFERROR(INDEX('Challan Master'!$AA$4:$AA$207,MATCH($B18,'Challan Master'!$S$4:$S$207,0)),""))</f>
      </c>
    </row>
    <row r="19" spans="1:22" x14ac:dyDescent="0.25">
      <c r="A19" s="7">
        <f>IF($D19="","",COUNTIF($D$4:$D19,"&lt;&gt;"))</f>
      </c>
      <c r="B19" s="8"/>
      <c r="C19" s="7">
        <f>IF($B19="","","BSR "&amp;IFERROR(INDEX('Challan Master'!$B$4:$B$207,MATCH($B19,'Challan Master'!$S$4:$S$207,0)),"")&amp;" | Serial "&amp;IFERROR(INDEX('Challan Master'!$C$4:$C$207,MATCH($B19,'Challan Master'!$S$4:$S$207,0)),"")&amp;" | Deposit "&amp;TEXT(IFERROR(INDEX('Challan Master'!$D$4:$D$207,MATCH($B19,'Challan Master'!$S$4:$S$207,0)),""),"dd-mm-yyyy")&amp;" | Minor Head "&amp;IFERROR(INDEX('Challan Master'!$E$4:$E$207,MATCH($B19,'Challan Master'!$S$4:$S$207,0)),"")&amp;" | Tax ₹"&amp;TEXT(IFERROR(INDEX('Challan Master'!$G$4:$G$207,MATCH($B19,'Challan Master'!$S$4:$S$207,0)),""),"#,##0")&amp;" | Section "&amp;IFERROR(INDEX('Challan Master'!$F$4:$F$207,MATCH($B19,'Challan Master'!$S$4:$S$207,0)),""))</f>
      </c>
      <c r="D19" s="8"/>
      <c r="E19" s="8"/>
      <c r="F19" s="7">
        <f>IF($D19="","",IF(AND(LEN(TRIM(UPPER(E19)))=10,CODE(MID(TRIM(UPPER(E19)),1,1))&gt;=65,CODE(MID(TRIM(UPPER(E19)),1,1))&lt;=90,CODE(MID(TRIM(UPPER(E19)),2,1))&gt;=65,CODE(MID(TRIM(UPPER(E19)),2,1))&lt;=90,CODE(MID(TRIM(UPPER(E19)),3,1))&gt;=65,CODE(MID(TRIM(UPPER(E19)),3,1))&lt;=90,CODE(MID(TRIM(UPPER(E19)),4,1))&gt;=65,CODE(MID(TRIM(UPPER(E19)),4,1))&lt;=90,CODE(MID(TRIM(UPPER(E19)),5,1))&gt;=65,CODE(MID(TRIM(UPPER(E19)),5,1))&lt;=90,CODE(MID(TRIM(UPPER(E19)),10,1))&gt;=65,CODE(MID(TRIM(UPPER(E19)),10,1))&lt;=90,CODE(MID(TRIM(UPPER(E19)),6,1))&gt;=48,CODE(MID(TRIM(UPPER(E19)),6,1))&lt;=57,CODE(MID(TRIM(UPPER(E19)),7,1))&gt;=48,CODE(MID(TRIM(UPPER(E19)),7,1))&lt;=57,CODE(MID(TRIM(UPPER(E19)),8,1))&gt;=48,CODE(MID(TRIM(UPPER(E19)),8,1))&lt;=57,CODE(MID(TRIM(UPPER(E19)),9,1))&gt;=48,CODE(MID(TRIM(UPPER(E19)),9,1))&lt;=57),"N","Y"))</f>
      </c>
      <c r="G19" s="7">
        <f>IF($D19="","",IF(LEN(E19)&lt;4,"",IF(UPPER(MID(E19,4,1))="P","Individual",IF(UPPER(MID(E19,4,1))="H","HUF",IF(UPPER(MID(E19,4,1))="C","Company",IF(UPPER(MID(E19,4,1))="F","Firm",IF(UPPER(MID(E19,4,1))="L","LLP",IF(UPPER(MID(E19,4,1))="T","Trust",IF(UPPER(MID(E19,4,1))="A","AOP","")))))))))</f>
      </c>
      <c r="H19" s="8"/>
      <c r="I19" s="7">
        <f>IF($D19="","",IF(H19="","",IF(F19="Y",SUMPRODUCT(('Rate Lookup'!$A$1:$A$37=H19)*'Rate Lookup'!$D$1:$D$37),IF(OR(G19="Individual",G19="HUF"),SUMPRODUCT(('Rate Lookup'!$A$1:$A$37=H19)*'Rate Lookup'!$B$1:$B$37),SUMPRODUCT(('Rate Lookup'!$A$1:$A$37=H19)*'Rate Lookup'!$C$1:$C$37)))))</f>
      </c>
      <c r="J19" s="8"/>
      <c r="K19" s="8"/>
      <c r="L19" s="7">
        <f>IF($D19="","",ROUND(K19*I19/100,0))</f>
      </c>
      <c r="M19" s="7">
        <f>IF($D19="","",0)</f>
      </c>
      <c r="N19" s="7">
        <f>IF($D19="","",0)</f>
      </c>
      <c r="O19" s="7">
        <f>IF($D19="","",IF(OR(L19=0,J19="",IFERROR(INDEX('Challan Master'!$D$4:$D$207,MATCH($B19,'Challan Master'!$S$4:$S$207,0)),"")="",IFERROR(INDEX('Challan Master'!$D$4:$D$207,MATCH($B19,'Challan Master'!$S$4:$S$207,0)),"")&lt;=0),0,IF(IFERROR(INDEX('Challan Master'!$D$4:$D$207,MATCH($B19,'Challan Master'!$S$4:$S$207,0)),"")&lt;=DATE(YEAR(J19),MONTH(J19)+1,7),0,ROUND(L19*0.015*((YEAR(IFERROR(INDEX('Challan Master'!$D$4:$D$207,MATCH($B19,'Challan Master'!$S$4:$S$207,0)),""))-YEAR(J19))*12+(MONTH(IFERROR(INDEX('Challan Master'!$D$4:$D$207,MATCH($B19,'Challan Master'!$S$4:$S$207,0)),""))-MONTH(J19))+1),0))))</f>
      </c>
      <c r="P19" s="7">
        <f>IF($D19="","",0)</f>
      </c>
      <c r="Q19" s="8"/>
      <c r="R19" s="8"/>
      <c r="S19" s="8"/>
      <c r="T19" s="8"/>
      <c r="U19" s="8"/>
      <c r="V19" s="7">
        <f>IF($B19="","",IFERROR(INDEX('Challan Master'!$AA$4:$AA$207,MATCH($B19,'Challan Master'!$S$4:$S$207,0)),""))</f>
      </c>
    </row>
    <row r="20" spans="1:22" x14ac:dyDescent="0.25">
      <c r="A20" s="7">
        <f>IF($D20="","",COUNTIF($D$4:$D20,"&lt;&gt;"))</f>
      </c>
      <c r="B20" s="8"/>
      <c r="C20" s="7">
        <f>IF($B20="","","BSR "&amp;IFERROR(INDEX('Challan Master'!$B$4:$B$207,MATCH($B20,'Challan Master'!$S$4:$S$207,0)),"")&amp;" | Serial "&amp;IFERROR(INDEX('Challan Master'!$C$4:$C$207,MATCH($B20,'Challan Master'!$S$4:$S$207,0)),"")&amp;" | Deposit "&amp;TEXT(IFERROR(INDEX('Challan Master'!$D$4:$D$207,MATCH($B20,'Challan Master'!$S$4:$S$207,0)),""),"dd-mm-yyyy")&amp;" | Minor Head "&amp;IFERROR(INDEX('Challan Master'!$E$4:$E$207,MATCH($B20,'Challan Master'!$S$4:$S$207,0)),"")&amp;" | Tax ₹"&amp;TEXT(IFERROR(INDEX('Challan Master'!$G$4:$G$207,MATCH($B20,'Challan Master'!$S$4:$S$207,0)),""),"#,##0")&amp;" | Section "&amp;IFERROR(INDEX('Challan Master'!$F$4:$F$207,MATCH($B20,'Challan Master'!$S$4:$S$207,0)),""))</f>
      </c>
      <c r="D20" s="8"/>
      <c r="E20" s="8"/>
      <c r="F20" s="7">
        <f>IF($D20="","",IF(AND(LEN(TRIM(UPPER(E20)))=10,CODE(MID(TRIM(UPPER(E20)),1,1))&gt;=65,CODE(MID(TRIM(UPPER(E20)),1,1))&lt;=90,CODE(MID(TRIM(UPPER(E20)),2,1))&gt;=65,CODE(MID(TRIM(UPPER(E20)),2,1))&lt;=90,CODE(MID(TRIM(UPPER(E20)),3,1))&gt;=65,CODE(MID(TRIM(UPPER(E20)),3,1))&lt;=90,CODE(MID(TRIM(UPPER(E20)),4,1))&gt;=65,CODE(MID(TRIM(UPPER(E20)),4,1))&lt;=90,CODE(MID(TRIM(UPPER(E20)),5,1))&gt;=65,CODE(MID(TRIM(UPPER(E20)),5,1))&lt;=90,CODE(MID(TRIM(UPPER(E20)),10,1))&gt;=65,CODE(MID(TRIM(UPPER(E20)),10,1))&lt;=90,CODE(MID(TRIM(UPPER(E20)),6,1))&gt;=48,CODE(MID(TRIM(UPPER(E20)),6,1))&lt;=57,CODE(MID(TRIM(UPPER(E20)),7,1))&gt;=48,CODE(MID(TRIM(UPPER(E20)),7,1))&lt;=57,CODE(MID(TRIM(UPPER(E20)),8,1))&gt;=48,CODE(MID(TRIM(UPPER(E20)),8,1))&lt;=57,CODE(MID(TRIM(UPPER(E20)),9,1))&gt;=48,CODE(MID(TRIM(UPPER(E20)),9,1))&lt;=57),"N","Y"))</f>
      </c>
      <c r="G20" s="7">
        <f>IF($D20="","",IF(LEN(E20)&lt;4,"",IF(UPPER(MID(E20,4,1))="P","Individual",IF(UPPER(MID(E20,4,1))="H","HUF",IF(UPPER(MID(E20,4,1))="C","Company",IF(UPPER(MID(E20,4,1))="F","Firm",IF(UPPER(MID(E20,4,1))="L","LLP",IF(UPPER(MID(E20,4,1))="T","Trust",IF(UPPER(MID(E20,4,1))="A","AOP","")))))))))</f>
      </c>
      <c r="H20" s="8"/>
      <c r="I20" s="7">
        <f>IF($D20="","",IF(H20="","",IF(F20="Y",SUMPRODUCT(('Rate Lookup'!$A$1:$A$37=H20)*'Rate Lookup'!$D$1:$D$37),IF(OR(G20="Individual",G20="HUF"),SUMPRODUCT(('Rate Lookup'!$A$1:$A$37=H20)*'Rate Lookup'!$B$1:$B$37),SUMPRODUCT(('Rate Lookup'!$A$1:$A$37=H20)*'Rate Lookup'!$C$1:$C$37)))))</f>
      </c>
      <c r="J20" s="8"/>
      <c r="K20" s="8"/>
      <c r="L20" s="7">
        <f>IF($D20="","",ROUND(K20*I20/100,0))</f>
      </c>
      <c r="M20" s="7">
        <f>IF($D20="","",0)</f>
      </c>
      <c r="N20" s="7">
        <f>IF($D20="","",0)</f>
      </c>
      <c r="O20" s="7">
        <f>IF($D20="","",IF(OR(L20=0,J20="",IFERROR(INDEX('Challan Master'!$D$4:$D$207,MATCH($B20,'Challan Master'!$S$4:$S$207,0)),"")="",IFERROR(INDEX('Challan Master'!$D$4:$D$207,MATCH($B20,'Challan Master'!$S$4:$S$207,0)),"")&lt;=0),0,IF(IFERROR(INDEX('Challan Master'!$D$4:$D$207,MATCH($B20,'Challan Master'!$S$4:$S$207,0)),"")&lt;=DATE(YEAR(J20),MONTH(J20)+1,7),0,ROUND(L20*0.015*((YEAR(IFERROR(INDEX('Challan Master'!$D$4:$D$207,MATCH($B20,'Challan Master'!$S$4:$S$207,0)),""))-YEAR(J20))*12+(MONTH(IFERROR(INDEX('Challan Master'!$D$4:$D$207,MATCH($B20,'Challan Master'!$S$4:$S$207,0)),""))-MONTH(J20))+1),0))))</f>
      </c>
      <c r="P20" s="7">
        <f>IF($D20="","",0)</f>
      </c>
      <c r="Q20" s="8"/>
      <c r="R20" s="8"/>
      <c r="S20" s="8"/>
      <c r="T20" s="8"/>
      <c r="U20" s="8"/>
      <c r="V20" s="7">
        <f>IF($B20="","",IFERROR(INDEX('Challan Master'!$AA$4:$AA$207,MATCH($B20,'Challan Master'!$S$4:$S$207,0)),""))</f>
      </c>
    </row>
    <row r="21" spans="1:22" x14ac:dyDescent="0.25">
      <c r="A21" s="7">
        <f>IF($D21="","",COUNTIF($D$4:$D21,"&lt;&gt;"))</f>
      </c>
      <c r="B21" s="8"/>
      <c r="C21" s="7">
        <f>IF($B21="","","BSR "&amp;IFERROR(INDEX('Challan Master'!$B$4:$B$207,MATCH($B21,'Challan Master'!$S$4:$S$207,0)),"")&amp;" | Serial "&amp;IFERROR(INDEX('Challan Master'!$C$4:$C$207,MATCH($B21,'Challan Master'!$S$4:$S$207,0)),"")&amp;" | Deposit "&amp;TEXT(IFERROR(INDEX('Challan Master'!$D$4:$D$207,MATCH($B21,'Challan Master'!$S$4:$S$207,0)),""),"dd-mm-yyyy")&amp;" | Minor Head "&amp;IFERROR(INDEX('Challan Master'!$E$4:$E$207,MATCH($B21,'Challan Master'!$S$4:$S$207,0)),"")&amp;" | Tax ₹"&amp;TEXT(IFERROR(INDEX('Challan Master'!$G$4:$G$207,MATCH($B21,'Challan Master'!$S$4:$S$207,0)),""),"#,##0")&amp;" | Section "&amp;IFERROR(INDEX('Challan Master'!$F$4:$F$207,MATCH($B21,'Challan Master'!$S$4:$S$207,0)),""))</f>
      </c>
      <c r="D21" s="8"/>
      <c r="E21" s="8"/>
      <c r="F21" s="7">
        <f>IF($D21="","",IF(AND(LEN(TRIM(UPPER(E21)))=10,CODE(MID(TRIM(UPPER(E21)),1,1))&gt;=65,CODE(MID(TRIM(UPPER(E21)),1,1))&lt;=90,CODE(MID(TRIM(UPPER(E21)),2,1))&gt;=65,CODE(MID(TRIM(UPPER(E21)),2,1))&lt;=90,CODE(MID(TRIM(UPPER(E21)),3,1))&gt;=65,CODE(MID(TRIM(UPPER(E21)),3,1))&lt;=90,CODE(MID(TRIM(UPPER(E21)),4,1))&gt;=65,CODE(MID(TRIM(UPPER(E21)),4,1))&lt;=90,CODE(MID(TRIM(UPPER(E21)),5,1))&gt;=65,CODE(MID(TRIM(UPPER(E21)),5,1))&lt;=90,CODE(MID(TRIM(UPPER(E21)),10,1))&gt;=65,CODE(MID(TRIM(UPPER(E21)),10,1))&lt;=90,CODE(MID(TRIM(UPPER(E21)),6,1))&gt;=48,CODE(MID(TRIM(UPPER(E21)),6,1))&lt;=57,CODE(MID(TRIM(UPPER(E21)),7,1))&gt;=48,CODE(MID(TRIM(UPPER(E21)),7,1))&lt;=57,CODE(MID(TRIM(UPPER(E21)),8,1))&gt;=48,CODE(MID(TRIM(UPPER(E21)),8,1))&lt;=57,CODE(MID(TRIM(UPPER(E21)),9,1))&gt;=48,CODE(MID(TRIM(UPPER(E21)),9,1))&lt;=57),"N","Y"))</f>
      </c>
      <c r="G21" s="7">
        <f>IF($D21="","",IF(LEN(E21)&lt;4,"",IF(UPPER(MID(E21,4,1))="P","Individual",IF(UPPER(MID(E21,4,1))="H","HUF",IF(UPPER(MID(E21,4,1))="C","Company",IF(UPPER(MID(E21,4,1))="F","Firm",IF(UPPER(MID(E21,4,1))="L","LLP",IF(UPPER(MID(E21,4,1))="T","Trust",IF(UPPER(MID(E21,4,1))="A","AOP","")))))))))</f>
      </c>
      <c r="H21" s="8"/>
      <c r="I21" s="7">
        <f>IF($D21="","",IF(H21="","",IF(F21="Y",SUMPRODUCT(('Rate Lookup'!$A$1:$A$37=H21)*'Rate Lookup'!$D$1:$D$37),IF(OR(G21="Individual",G21="HUF"),SUMPRODUCT(('Rate Lookup'!$A$1:$A$37=H21)*'Rate Lookup'!$B$1:$B$37),SUMPRODUCT(('Rate Lookup'!$A$1:$A$37=H21)*'Rate Lookup'!$C$1:$C$37)))))</f>
      </c>
      <c r="J21" s="8"/>
      <c r="K21" s="8"/>
      <c r="L21" s="7">
        <f>IF($D21="","",ROUND(K21*I21/100,0))</f>
      </c>
      <c r="M21" s="7">
        <f>IF($D21="","",0)</f>
      </c>
      <c r="N21" s="7">
        <f>IF($D21="","",0)</f>
      </c>
      <c r="O21" s="7">
        <f>IF($D21="","",IF(OR(L21=0,J21="",IFERROR(INDEX('Challan Master'!$D$4:$D$207,MATCH($B21,'Challan Master'!$S$4:$S$207,0)),"")="",IFERROR(INDEX('Challan Master'!$D$4:$D$207,MATCH($B21,'Challan Master'!$S$4:$S$207,0)),"")&lt;=0),0,IF(IFERROR(INDEX('Challan Master'!$D$4:$D$207,MATCH($B21,'Challan Master'!$S$4:$S$207,0)),"")&lt;=DATE(YEAR(J21),MONTH(J21)+1,7),0,ROUND(L21*0.015*((YEAR(IFERROR(INDEX('Challan Master'!$D$4:$D$207,MATCH($B21,'Challan Master'!$S$4:$S$207,0)),""))-YEAR(J21))*12+(MONTH(IFERROR(INDEX('Challan Master'!$D$4:$D$207,MATCH($B21,'Challan Master'!$S$4:$S$207,0)),""))-MONTH(J21))+1),0))))</f>
      </c>
      <c r="P21" s="7">
        <f>IF($D21="","",0)</f>
      </c>
      <c r="Q21" s="8"/>
      <c r="R21" s="8"/>
      <c r="S21" s="8"/>
      <c r="T21" s="8"/>
      <c r="U21" s="8"/>
      <c r="V21" s="7">
        <f>IF($B21="","",IFERROR(INDEX('Challan Master'!$AA$4:$AA$207,MATCH($B21,'Challan Master'!$S$4:$S$207,0)),""))</f>
      </c>
    </row>
    <row r="22" spans="1:22" x14ac:dyDescent="0.25">
      <c r="A22" s="7">
        <f>IF($D22="","",COUNTIF($D$4:$D22,"&lt;&gt;"))</f>
      </c>
      <c r="B22" s="8"/>
      <c r="C22" s="7">
        <f>IF($B22="","","BSR "&amp;IFERROR(INDEX('Challan Master'!$B$4:$B$207,MATCH($B22,'Challan Master'!$S$4:$S$207,0)),"")&amp;" | Serial "&amp;IFERROR(INDEX('Challan Master'!$C$4:$C$207,MATCH($B22,'Challan Master'!$S$4:$S$207,0)),"")&amp;" | Deposit "&amp;TEXT(IFERROR(INDEX('Challan Master'!$D$4:$D$207,MATCH($B22,'Challan Master'!$S$4:$S$207,0)),""),"dd-mm-yyyy")&amp;" | Minor Head "&amp;IFERROR(INDEX('Challan Master'!$E$4:$E$207,MATCH($B22,'Challan Master'!$S$4:$S$207,0)),"")&amp;" | Tax ₹"&amp;TEXT(IFERROR(INDEX('Challan Master'!$G$4:$G$207,MATCH($B22,'Challan Master'!$S$4:$S$207,0)),""),"#,##0")&amp;" | Section "&amp;IFERROR(INDEX('Challan Master'!$F$4:$F$207,MATCH($B22,'Challan Master'!$S$4:$S$207,0)),""))</f>
      </c>
      <c r="D22" s="8"/>
      <c r="E22" s="8"/>
      <c r="F22" s="7">
        <f>IF($D22="","",IF(AND(LEN(TRIM(UPPER(E22)))=10,CODE(MID(TRIM(UPPER(E22)),1,1))&gt;=65,CODE(MID(TRIM(UPPER(E22)),1,1))&lt;=90,CODE(MID(TRIM(UPPER(E22)),2,1))&gt;=65,CODE(MID(TRIM(UPPER(E22)),2,1))&lt;=90,CODE(MID(TRIM(UPPER(E22)),3,1))&gt;=65,CODE(MID(TRIM(UPPER(E22)),3,1))&lt;=90,CODE(MID(TRIM(UPPER(E22)),4,1))&gt;=65,CODE(MID(TRIM(UPPER(E22)),4,1))&lt;=90,CODE(MID(TRIM(UPPER(E22)),5,1))&gt;=65,CODE(MID(TRIM(UPPER(E22)),5,1))&lt;=90,CODE(MID(TRIM(UPPER(E22)),10,1))&gt;=65,CODE(MID(TRIM(UPPER(E22)),10,1))&lt;=90,CODE(MID(TRIM(UPPER(E22)),6,1))&gt;=48,CODE(MID(TRIM(UPPER(E22)),6,1))&lt;=57,CODE(MID(TRIM(UPPER(E22)),7,1))&gt;=48,CODE(MID(TRIM(UPPER(E22)),7,1))&lt;=57,CODE(MID(TRIM(UPPER(E22)),8,1))&gt;=48,CODE(MID(TRIM(UPPER(E22)),8,1))&lt;=57,CODE(MID(TRIM(UPPER(E22)),9,1))&gt;=48,CODE(MID(TRIM(UPPER(E22)),9,1))&lt;=57),"N","Y"))</f>
      </c>
      <c r="G22" s="7">
        <f>IF($D22="","",IF(LEN(E22)&lt;4,"",IF(UPPER(MID(E22,4,1))="P","Individual",IF(UPPER(MID(E22,4,1))="H","HUF",IF(UPPER(MID(E22,4,1))="C","Company",IF(UPPER(MID(E22,4,1))="F","Firm",IF(UPPER(MID(E22,4,1))="L","LLP",IF(UPPER(MID(E22,4,1))="T","Trust",IF(UPPER(MID(E22,4,1))="A","AOP","")))))))))</f>
      </c>
      <c r="H22" s="8"/>
      <c r="I22" s="7">
        <f>IF($D22="","",IF(H22="","",IF(F22="Y",SUMPRODUCT(('Rate Lookup'!$A$1:$A$37=H22)*'Rate Lookup'!$D$1:$D$37),IF(OR(G22="Individual",G22="HUF"),SUMPRODUCT(('Rate Lookup'!$A$1:$A$37=H22)*'Rate Lookup'!$B$1:$B$37),SUMPRODUCT(('Rate Lookup'!$A$1:$A$37=H22)*'Rate Lookup'!$C$1:$C$37)))))</f>
      </c>
      <c r="J22" s="8"/>
      <c r="K22" s="8"/>
      <c r="L22" s="7">
        <f>IF($D22="","",ROUND(K22*I22/100,0))</f>
      </c>
      <c r="M22" s="7">
        <f>IF($D22="","",0)</f>
      </c>
      <c r="N22" s="7">
        <f>IF($D22="","",0)</f>
      </c>
      <c r="O22" s="7">
        <f>IF($D22="","",IF(OR(L22=0,J22="",IFERROR(INDEX('Challan Master'!$D$4:$D$207,MATCH($B22,'Challan Master'!$S$4:$S$207,0)),"")="",IFERROR(INDEX('Challan Master'!$D$4:$D$207,MATCH($B22,'Challan Master'!$S$4:$S$207,0)),"")&lt;=0),0,IF(IFERROR(INDEX('Challan Master'!$D$4:$D$207,MATCH($B22,'Challan Master'!$S$4:$S$207,0)),"")&lt;=DATE(YEAR(J22),MONTH(J22)+1,7),0,ROUND(L22*0.015*((YEAR(IFERROR(INDEX('Challan Master'!$D$4:$D$207,MATCH($B22,'Challan Master'!$S$4:$S$207,0)),""))-YEAR(J22))*12+(MONTH(IFERROR(INDEX('Challan Master'!$D$4:$D$207,MATCH($B22,'Challan Master'!$S$4:$S$207,0)),""))-MONTH(J22))+1),0))))</f>
      </c>
      <c r="P22" s="7">
        <f>IF($D22="","",0)</f>
      </c>
      <c r="Q22" s="8"/>
      <c r="R22" s="8"/>
      <c r="S22" s="8"/>
      <c r="T22" s="8"/>
      <c r="U22" s="8"/>
      <c r="V22" s="7">
        <f>IF($B22="","",IFERROR(INDEX('Challan Master'!$AA$4:$AA$207,MATCH($B22,'Challan Master'!$S$4:$S$207,0)),""))</f>
      </c>
    </row>
    <row r="23" spans="1:22" x14ac:dyDescent="0.25">
      <c r="A23" s="7">
        <f>IF($D23="","",COUNTIF($D$4:$D23,"&lt;&gt;"))</f>
      </c>
      <c r="B23" s="8"/>
      <c r="C23" s="7">
        <f>IF($B23="","","BSR "&amp;IFERROR(INDEX('Challan Master'!$B$4:$B$207,MATCH($B23,'Challan Master'!$S$4:$S$207,0)),"")&amp;" | Serial "&amp;IFERROR(INDEX('Challan Master'!$C$4:$C$207,MATCH($B23,'Challan Master'!$S$4:$S$207,0)),"")&amp;" | Deposit "&amp;TEXT(IFERROR(INDEX('Challan Master'!$D$4:$D$207,MATCH($B23,'Challan Master'!$S$4:$S$207,0)),""),"dd-mm-yyyy")&amp;" | Minor Head "&amp;IFERROR(INDEX('Challan Master'!$E$4:$E$207,MATCH($B23,'Challan Master'!$S$4:$S$207,0)),"")&amp;" | Tax ₹"&amp;TEXT(IFERROR(INDEX('Challan Master'!$G$4:$G$207,MATCH($B23,'Challan Master'!$S$4:$S$207,0)),""),"#,##0")&amp;" | Section "&amp;IFERROR(INDEX('Challan Master'!$F$4:$F$207,MATCH($B23,'Challan Master'!$S$4:$S$207,0)),""))</f>
      </c>
      <c r="D23" s="8"/>
      <c r="E23" s="8"/>
      <c r="F23" s="7">
        <f>IF($D23="","",IF(AND(LEN(TRIM(UPPER(E23)))=10,CODE(MID(TRIM(UPPER(E23)),1,1))&gt;=65,CODE(MID(TRIM(UPPER(E23)),1,1))&lt;=90,CODE(MID(TRIM(UPPER(E23)),2,1))&gt;=65,CODE(MID(TRIM(UPPER(E23)),2,1))&lt;=90,CODE(MID(TRIM(UPPER(E23)),3,1))&gt;=65,CODE(MID(TRIM(UPPER(E23)),3,1))&lt;=90,CODE(MID(TRIM(UPPER(E23)),4,1))&gt;=65,CODE(MID(TRIM(UPPER(E23)),4,1))&lt;=90,CODE(MID(TRIM(UPPER(E23)),5,1))&gt;=65,CODE(MID(TRIM(UPPER(E23)),5,1))&lt;=90,CODE(MID(TRIM(UPPER(E23)),10,1))&gt;=65,CODE(MID(TRIM(UPPER(E23)),10,1))&lt;=90,CODE(MID(TRIM(UPPER(E23)),6,1))&gt;=48,CODE(MID(TRIM(UPPER(E23)),6,1))&lt;=57,CODE(MID(TRIM(UPPER(E23)),7,1))&gt;=48,CODE(MID(TRIM(UPPER(E23)),7,1))&lt;=57,CODE(MID(TRIM(UPPER(E23)),8,1))&gt;=48,CODE(MID(TRIM(UPPER(E23)),8,1))&lt;=57,CODE(MID(TRIM(UPPER(E23)),9,1))&gt;=48,CODE(MID(TRIM(UPPER(E23)),9,1))&lt;=57),"N","Y"))</f>
      </c>
      <c r="G23" s="7">
        <f>IF($D23="","",IF(LEN(E23)&lt;4,"",IF(UPPER(MID(E23,4,1))="P","Individual",IF(UPPER(MID(E23,4,1))="H","HUF",IF(UPPER(MID(E23,4,1))="C","Company",IF(UPPER(MID(E23,4,1))="F","Firm",IF(UPPER(MID(E23,4,1))="L","LLP",IF(UPPER(MID(E23,4,1))="T","Trust",IF(UPPER(MID(E23,4,1))="A","AOP","")))))))))</f>
      </c>
      <c r="H23" s="8"/>
      <c r="I23" s="7">
        <f>IF($D23="","",IF(H23="","",IF(F23="Y",SUMPRODUCT(('Rate Lookup'!$A$1:$A$37=H23)*'Rate Lookup'!$D$1:$D$37),IF(OR(G23="Individual",G23="HUF"),SUMPRODUCT(('Rate Lookup'!$A$1:$A$37=H23)*'Rate Lookup'!$B$1:$B$37),SUMPRODUCT(('Rate Lookup'!$A$1:$A$37=H23)*'Rate Lookup'!$C$1:$C$37)))))</f>
      </c>
      <c r="J23" s="8"/>
      <c r="K23" s="8"/>
      <c r="L23" s="7">
        <f>IF($D23="","",ROUND(K23*I23/100,0))</f>
      </c>
      <c r="M23" s="7">
        <f>IF($D23="","",0)</f>
      </c>
      <c r="N23" s="7">
        <f>IF($D23="","",0)</f>
      </c>
      <c r="O23" s="7">
        <f>IF($D23="","",IF(OR(L23=0,J23="",IFERROR(INDEX('Challan Master'!$D$4:$D$207,MATCH($B23,'Challan Master'!$S$4:$S$207,0)),"")="",IFERROR(INDEX('Challan Master'!$D$4:$D$207,MATCH($B23,'Challan Master'!$S$4:$S$207,0)),"")&lt;=0),0,IF(IFERROR(INDEX('Challan Master'!$D$4:$D$207,MATCH($B23,'Challan Master'!$S$4:$S$207,0)),"")&lt;=DATE(YEAR(J23),MONTH(J23)+1,7),0,ROUND(L23*0.015*((YEAR(IFERROR(INDEX('Challan Master'!$D$4:$D$207,MATCH($B23,'Challan Master'!$S$4:$S$207,0)),""))-YEAR(J23))*12+(MONTH(IFERROR(INDEX('Challan Master'!$D$4:$D$207,MATCH($B23,'Challan Master'!$S$4:$S$207,0)),""))-MONTH(J23))+1),0))))</f>
      </c>
      <c r="P23" s="7">
        <f>IF($D23="","",0)</f>
      </c>
      <c r="Q23" s="8"/>
      <c r="R23" s="8"/>
      <c r="S23" s="8"/>
      <c r="T23" s="8"/>
      <c r="U23" s="8"/>
      <c r="V23" s="7">
        <f>IF($B23="","",IFERROR(INDEX('Challan Master'!$AA$4:$AA$207,MATCH($B23,'Challan Master'!$S$4:$S$207,0)),""))</f>
      </c>
    </row>
    <row r="24" spans="1:22" x14ac:dyDescent="0.25">
      <c r="A24" s="7">
        <f>IF($D24="","",COUNTIF($D$4:$D24,"&lt;&gt;"))</f>
      </c>
      <c r="B24" s="8"/>
      <c r="C24" s="7">
        <f>IF($B24="","","BSR "&amp;IFERROR(INDEX('Challan Master'!$B$4:$B$207,MATCH($B24,'Challan Master'!$S$4:$S$207,0)),"")&amp;" | Serial "&amp;IFERROR(INDEX('Challan Master'!$C$4:$C$207,MATCH($B24,'Challan Master'!$S$4:$S$207,0)),"")&amp;" | Deposit "&amp;TEXT(IFERROR(INDEX('Challan Master'!$D$4:$D$207,MATCH($B24,'Challan Master'!$S$4:$S$207,0)),""),"dd-mm-yyyy")&amp;" | Minor Head "&amp;IFERROR(INDEX('Challan Master'!$E$4:$E$207,MATCH($B24,'Challan Master'!$S$4:$S$207,0)),"")&amp;" | Tax ₹"&amp;TEXT(IFERROR(INDEX('Challan Master'!$G$4:$G$207,MATCH($B24,'Challan Master'!$S$4:$S$207,0)),""),"#,##0")&amp;" | Section "&amp;IFERROR(INDEX('Challan Master'!$F$4:$F$207,MATCH($B24,'Challan Master'!$S$4:$S$207,0)),""))</f>
      </c>
      <c r="D24" s="8"/>
      <c r="E24" s="8"/>
      <c r="F24" s="7">
        <f>IF($D24="","",IF(AND(LEN(TRIM(UPPER(E24)))=10,CODE(MID(TRIM(UPPER(E24)),1,1))&gt;=65,CODE(MID(TRIM(UPPER(E24)),1,1))&lt;=90,CODE(MID(TRIM(UPPER(E24)),2,1))&gt;=65,CODE(MID(TRIM(UPPER(E24)),2,1))&lt;=90,CODE(MID(TRIM(UPPER(E24)),3,1))&gt;=65,CODE(MID(TRIM(UPPER(E24)),3,1))&lt;=90,CODE(MID(TRIM(UPPER(E24)),4,1))&gt;=65,CODE(MID(TRIM(UPPER(E24)),4,1))&lt;=90,CODE(MID(TRIM(UPPER(E24)),5,1))&gt;=65,CODE(MID(TRIM(UPPER(E24)),5,1))&lt;=90,CODE(MID(TRIM(UPPER(E24)),10,1))&gt;=65,CODE(MID(TRIM(UPPER(E24)),10,1))&lt;=90,CODE(MID(TRIM(UPPER(E24)),6,1))&gt;=48,CODE(MID(TRIM(UPPER(E24)),6,1))&lt;=57,CODE(MID(TRIM(UPPER(E24)),7,1))&gt;=48,CODE(MID(TRIM(UPPER(E24)),7,1))&lt;=57,CODE(MID(TRIM(UPPER(E24)),8,1))&gt;=48,CODE(MID(TRIM(UPPER(E24)),8,1))&lt;=57,CODE(MID(TRIM(UPPER(E24)),9,1))&gt;=48,CODE(MID(TRIM(UPPER(E24)),9,1))&lt;=57),"N","Y"))</f>
      </c>
      <c r="G24" s="7">
        <f>IF($D24="","",IF(LEN(E24)&lt;4,"",IF(UPPER(MID(E24,4,1))="P","Individual",IF(UPPER(MID(E24,4,1))="H","HUF",IF(UPPER(MID(E24,4,1))="C","Company",IF(UPPER(MID(E24,4,1))="F","Firm",IF(UPPER(MID(E24,4,1))="L","LLP",IF(UPPER(MID(E24,4,1))="T","Trust",IF(UPPER(MID(E24,4,1))="A","AOP","")))))))))</f>
      </c>
      <c r="H24" s="8"/>
      <c r="I24" s="7">
        <f>IF($D24="","",IF(H24="","",IF(F24="Y",SUMPRODUCT(('Rate Lookup'!$A$1:$A$37=H24)*'Rate Lookup'!$D$1:$D$37),IF(OR(G24="Individual",G24="HUF"),SUMPRODUCT(('Rate Lookup'!$A$1:$A$37=H24)*'Rate Lookup'!$B$1:$B$37),SUMPRODUCT(('Rate Lookup'!$A$1:$A$37=H24)*'Rate Lookup'!$C$1:$C$37)))))</f>
      </c>
      <c r="J24" s="8"/>
      <c r="K24" s="8"/>
      <c r="L24" s="7">
        <f>IF($D24="","",ROUND(K24*I24/100,0))</f>
      </c>
      <c r="M24" s="7">
        <f>IF($D24="","",0)</f>
      </c>
      <c r="N24" s="7">
        <f>IF($D24="","",0)</f>
      </c>
      <c r="O24" s="7">
        <f>IF($D24="","",IF(OR(L24=0,J24="",IFERROR(INDEX('Challan Master'!$D$4:$D$207,MATCH($B24,'Challan Master'!$S$4:$S$207,0)),"")="",IFERROR(INDEX('Challan Master'!$D$4:$D$207,MATCH($B24,'Challan Master'!$S$4:$S$207,0)),"")&lt;=0),0,IF(IFERROR(INDEX('Challan Master'!$D$4:$D$207,MATCH($B24,'Challan Master'!$S$4:$S$207,0)),"")&lt;=DATE(YEAR(J24),MONTH(J24)+1,7),0,ROUND(L24*0.015*((YEAR(IFERROR(INDEX('Challan Master'!$D$4:$D$207,MATCH($B24,'Challan Master'!$S$4:$S$207,0)),""))-YEAR(J24))*12+(MONTH(IFERROR(INDEX('Challan Master'!$D$4:$D$207,MATCH($B24,'Challan Master'!$S$4:$S$207,0)),""))-MONTH(J24))+1),0))))</f>
      </c>
      <c r="P24" s="7">
        <f>IF($D24="","",0)</f>
      </c>
      <c r="Q24" s="8"/>
      <c r="R24" s="8"/>
      <c r="S24" s="8"/>
      <c r="T24" s="8"/>
      <c r="U24" s="8"/>
      <c r="V24" s="7">
        <f>IF($B24="","",IFERROR(INDEX('Challan Master'!$AA$4:$AA$207,MATCH($B24,'Challan Master'!$S$4:$S$207,0)),""))</f>
      </c>
    </row>
    <row r="25" spans="1:22" x14ac:dyDescent="0.25">
      <c r="A25" s="7">
        <f>IF($D25="","",COUNTIF($D$4:$D25,"&lt;&gt;"))</f>
      </c>
      <c r="B25" s="8"/>
      <c r="C25" s="7">
        <f>IF($B25="","","BSR "&amp;IFERROR(INDEX('Challan Master'!$B$4:$B$207,MATCH($B25,'Challan Master'!$S$4:$S$207,0)),"")&amp;" | Serial "&amp;IFERROR(INDEX('Challan Master'!$C$4:$C$207,MATCH($B25,'Challan Master'!$S$4:$S$207,0)),"")&amp;" | Deposit "&amp;TEXT(IFERROR(INDEX('Challan Master'!$D$4:$D$207,MATCH($B25,'Challan Master'!$S$4:$S$207,0)),""),"dd-mm-yyyy")&amp;" | Minor Head "&amp;IFERROR(INDEX('Challan Master'!$E$4:$E$207,MATCH($B25,'Challan Master'!$S$4:$S$207,0)),"")&amp;" | Tax ₹"&amp;TEXT(IFERROR(INDEX('Challan Master'!$G$4:$G$207,MATCH($B25,'Challan Master'!$S$4:$S$207,0)),""),"#,##0")&amp;" | Section "&amp;IFERROR(INDEX('Challan Master'!$F$4:$F$207,MATCH($B25,'Challan Master'!$S$4:$S$207,0)),""))</f>
      </c>
      <c r="D25" s="8"/>
      <c r="E25" s="8"/>
      <c r="F25" s="7">
        <f>IF($D25="","",IF(AND(LEN(TRIM(UPPER(E25)))=10,CODE(MID(TRIM(UPPER(E25)),1,1))&gt;=65,CODE(MID(TRIM(UPPER(E25)),1,1))&lt;=90,CODE(MID(TRIM(UPPER(E25)),2,1))&gt;=65,CODE(MID(TRIM(UPPER(E25)),2,1))&lt;=90,CODE(MID(TRIM(UPPER(E25)),3,1))&gt;=65,CODE(MID(TRIM(UPPER(E25)),3,1))&lt;=90,CODE(MID(TRIM(UPPER(E25)),4,1))&gt;=65,CODE(MID(TRIM(UPPER(E25)),4,1))&lt;=90,CODE(MID(TRIM(UPPER(E25)),5,1))&gt;=65,CODE(MID(TRIM(UPPER(E25)),5,1))&lt;=90,CODE(MID(TRIM(UPPER(E25)),10,1))&gt;=65,CODE(MID(TRIM(UPPER(E25)),10,1))&lt;=90,CODE(MID(TRIM(UPPER(E25)),6,1))&gt;=48,CODE(MID(TRIM(UPPER(E25)),6,1))&lt;=57,CODE(MID(TRIM(UPPER(E25)),7,1))&gt;=48,CODE(MID(TRIM(UPPER(E25)),7,1))&lt;=57,CODE(MID(TRIM(UPPER(E25)),8,1))&gt;=48,CODE(MID(TRIM(UPPER(E25)),8,1))&lt;=57,CODE(MID(TRIM(UPPER(E25)),9,1))&gt;=48,CODE(MID(TRIM(UPPER(E25)),9,1))&lt;=57),"N","Y"))</f>
      </c>
      <c r="G25" s="7">
        <f>IF($D25="","",IF(LEN(E25)&lt;4,"",IF(UPPER(MID(E25,4,1))="P","Individual",IF(UPPER(MID(E25,4,1))="H","HUF",IF(UPPER(MID(E25,4,1))="C","Company",IF(UPPER(MID(E25,4,1))="F","Firm",IF(UPPER(MID(E25,4,1))="L","LLP",IF(UPPER(MID(E25,4,1))="T","Trust",IF(UPPER(MID(E25,4,1))="A","AOP","")))))))))</f>
      </c>
      <c r="H25" s="8"/>
      <c r="I25" s="7">
        <f>IF($D25="","",IF(H25="","",IF(F25="Y",SUMPRODUCT(('Rate Lookup'!$A$1:$A$37=H25)*'Rate Lookup'!$D$1:$D$37),IF(OR(G25="Individual",G25="HUF"),SUMPRODUCT(('Rate Lookup'!$A$1:$A$37=H25)*'Rate Lookup'!$B$1:$B$37),SUMPRODUCT(('Rate Lookup'!$A$1:$A$37=H25)*'Rate Lookup'!$C$1:$C$37)))))</f>
      </c>
      <c r="J25" s="8"/>
      <c r="K25" s="8"/>
      <c r="L25" s="7">
        <f>IF($D25="","",ROUND(K25*I25/100,0))</f>
      </c>
      <c r="M25" s="7">
        <f>IF($D25="","",0)</f>
      </c>
      <c r="N25" s="7">
        <f>IF($D25="","",0)</f>
      </c>
      <c r="O25" s="7">
        <f>IF($D25="","",IF(OR(L25=0,J25="",IFERROR(INDEX('Challan Master'!$D$4:$D$207,MATCH($B25,'Challan Master'!$S$4:$S$207,0)),"")="",IFERROR(INDEX('Challan Master'!$D$4:$D$207,MATCH($B25,'Challan Master'!$S$4:$S$207,0)),"")&lt;=0),0,IF(IFERROR(INDEX('Challan Master'!$D$4:$D$207,MATCH($B25,'Challan Master'!$S$4:$S$207,0)),"")&lt;=DATE(YEAR(J25),MONTH(J25)+1,7),0,ROUND(L25*0.015*((YEAR(IFERROR(INDEX('Challan Master'!$D$4:$D$207,MATCH($B25,'Challan Master'!$S$4:$S$207,0)),""))-YEAR(J25))*12+(MONTH(IFERROR(INDEX('Challan Master'!$D$4:$D$207,MATCH($B25,'Challan Master'!$S$4:$S$207,0)),""))-MONTH(J25))+1),0))))</f>
      </c>
      <c r="P25" s="7">
        <f>IF($D25="","",0)</f>
      </c>
      <c r="Q25" s="8"/>
      <c r="R25" s="8"/>
      <c r="S25" s="8"/>
      <c r="T25" s="8"/>
      <c r="U25" s="8"/>
      <c r="V25" s="7">
        <f>IF($B25="","",IFERROR(INDEX('Challan Master'!$AA$4:$AA$207,MATCH($B25,'Challan Master'!$S$4:$S$207,0)),""))</f>
      </c>
    </row>
    <row r="26" spans="1:22" x14ac:dyDescent="0.25">
      <c r="A26" s="7">
        <f>IF($D26="","",COUNTIF($D$4:$D26,"&lt;&gt;"))</f>
      </c>
      <c r="B26" s="8"/>
      <c r="C26" s="7">
        <f>IF($B26="","","BSR "&amp;IFERROR(INDEX('Challan Master'!$B$4:$B$207,MATCH($B26,'Challan Master'!$S$4:$S$207,0)),"")&amp;" | Serial "&amp;IFERROR(INDEX('Challan Master'!$C$4:$C$207,MATCH($B26,'Challan Master'!$S$4:$S$207,0)),"")&amp;" | Deposit "&amp;TEXT(IFERROR(INDEX('Challan Master'!$D$4:$D$207,MATCH($B26,'Challan Master'!$S$4:$S$207,0)),""),"dd-mm-yyyy")&amp;" | Minor Head "&amp;IFERROR(INDEX('Challan Master'!$E$4:$E$207,MATCH($B26,'Challan Master'!$S$4:$S$207,0)),"")&amp;" | Tax ₹"&amp;TEXT(IFERROR(INDEX('Challan Master'!$G$4:$G$207,MATCH($B26,'Challan Master'!$S$4:$S$207,0)),""),"#,##0")&amp;" | Section "&amp;IFERROR(INDEX('Challan Master'!$F$4:$F$207,MATCH($B26,'Challan Master'!$S$4:$S$207,0)),""))</f>
      </c>
      <c r="D26" s="8"/>
      <c r="E26" s="8"/>
      <c r="F26" s="7">
        <f>IF($D26="","",IF(AND(LEN(TRIM(UPPER(E26)))=10,CODE(MID(TRIM(UPPER(E26)),1,1))&gt;=65,CODE(MID(TRIM(UPPER(E26)),1,1))&lt;=90,CODE(MID(TRIM(UPPER(E26)),2,1))&gt;=65,CODE(MID(TRIM(UPPER(E26)),2,1))&lt;=90,CODE(MID(TRIM(UPPER(E26)),3,1))&gt;=65,CODE(MID(TRIM(UPPER(E26)),3,1))&lt;=90,CODE(MID(TRIM(UPPER(E26)),4,1))&gt;=65,CODE(MID(TRIM(UPPER(E26)),4,1))&lt;=90,CODE(MID(TRIM(UPPER(E26)),5,1))&gt;=65,CODE(MID(TRIM(UPPER(E26)),5,1))&lt;=90,CODE(MID(TRIM(UPPER(E26)),10,1))&gt;=65,CODE(MID(TRIM(UPPER(E26)),10,1))&lt;=90,CODE(MID(TRIM(UPPER(E26)),6,1))&gt;=48,CODE(MID(TRIM(UPPER(E26)),6,1))&lt;=57,CODE(MID(TRIM(UPPER(E26)),7,1))&gt;=48,CODE(MID(TRIM(UPPER(E26)),7,1))&lt;=57,CODE(MID(TRIM(UPPER(E26)),8,1))&gt;=48,CODE(MID(TRIM(UPPER(E26)),8,1))&lt;=57,CODE(MID(TRIM(UPPER(E26)),9,1))&gt;=48,CODE(MID(TRIM(UPPER(E26)),9,1))&lt;=57),"N","Y"))</f>
      </c>
      <c r="G26" s="7">
        <f>IF($D26="","",IF(LEN(E26)&lt;4,"",IF(UPPER(MID(E26,4,1))="P","Individual",IF(UPPER(MID(E26,4,1))="H","HUF",IF(UPPER(MID(E26,4,1))="C","Company",IF(UPPER(MID(E26,4,1))="F","Firm",IF(UPPER(MID(E26,4,1))="L","LLP",IF(UPPER(MID(E26,4,1))="T","Trust",IF(UPPER(MID(E26,4,1))="A","AOP","")))))))))</f>
      </c>
      <c r="H26" s="8"/>
      <c r="I26" s="7">
        <f>IF($D26="","",IF(H26="","",IF(F26="Y",SUMPRODUCT(('Rate Lookup'!$A$1:$A$37=H26)*'Rate Lookup'!$D$1:$D$37),IF(OR(G26="Individual",G26="HUF"),SUMPRODUCT(('Rate Lookup'!$A$1:$A$37=H26)*'Rate Lookup'!$B$1:$B$37),SUMPRODUCT(('Rate Lookup'!$A$1:$A$37=H26)*'Rate Lookup'!$C$1:$C$37)))))</f>
      </c>
      <c r="J26" s="8"/>
      <c r="K26" s="8"/>
      <c r="L26" s="7">
        <f>IF($D26="","",ROUND(K26*I26/100,0))</f>
      </c>
      <c r="M26" s="7">
        <f>IF($D26="","",0)</f>
      </c>
      <c r="N26" s="7">
        <f>IF($D26="","",0)</f>
      </c>
      <c r="O26" s="7">
        <f>IF($D26="","",IF(OR(L26=0,J26="",IFERROR(INDEX('Challan Master'!$D$4:$D$207,MATCH($B26,'Challan Master'!$S$4:$S$207,0)),"")="",IFERROR(INDEX('Challan Master'!$D$4:$D$207,MATCH($B26,'Challan Master'!$S$4:$S$207,0)),"")&lt;=0),0,IF(IFERROR(INDEX('Challan Master'!$D$4:$D$207,MATCH($B26,'Challan Master'!$S$4:$S$207,0)),"")&lt;=DATE(YEAR(J26),MONTH(J26)+1,7),0,ROUND(L26*0.015*((YEAR(IFERROR(INDEX('Challan Master'!$D$4:$D$207,MATCH($B26,'Challan Master'!$S$4:$S$207,0)),""))-YEAR(J26))*12+(MONTH(IFERROR(INDEX('Challan Master'!$D$4:$D$207,MATCH($B26,'Challan Master'!$S$4:$S$207,0)),""))-MONTH(J26))+1),0))))</f>
      </c>
      <c r="P26" s="7">
        <f>IF($D26="","",0)</f>
      </c>
      <c r="Q26" s="8"/>
      <c r="R26" s="8"/>
      <c r="S26" s="8"/>
      <c r="T26" s="8"/>
      <c r="U26" s="8"/>
      <c r="V26" s="7">
        <f>IF($B26="","",IFERROR(INDEX('Challan Master'!$AA$4:$AA$207,MATCH($B26,'Challan Master'!$S$4:$S$207,0)),""))</f>
      </c>
    </row>
    <row r="27" spans="1:22" x14ac:dyDescent="0.25">
      <c r="A27" s="7">
        <f>IF($D27="","",COUNTIF($D$4:$D27,"&lt;&gt;"))</f>
      </c>
      <c r="B27" s="8"/>
      <c r="C27" s="7">
        <f>IF($B27="","","BSR "&amp;IFERROR(INDEX('Challan Master'!$B$4:$B$207,MATCH($B27,'Challan Master'!$S$4:$S$207,0)),"")&amp;" | Serial "&amp;IFERROR(INDEX('Challan Master'!$C$4:$C$207,MATCH($B27,'Challan Master'!$S$4:$S$207,0)),"")&amp;" | Deposit "&amp;TEXT(IFERROR(INDEX('Challan Master'!$D$4:$D$207,MATCH($B27,'Challan Master'!$S$4:$S$207,0)),""),"dd-mm-yyyy")&amp;" | Minor Head "&amp;IFERROR(INDEX('Challan Master'!$E$4:$E$207,MATCH($B27,'Challan Master'!$S$4:$S$207,0)),"")&amp;" | Tax ₹"&amp;TEXT(IFERROR(INDEX('Challan Master'!$G$4:$G$207,MATCH($B27,'Challan Master'!$S$4:$S$207,0)),""),"#,##0")&amp;" | Section "&amp;IFERROR(INDEX('Challan Master'!$F$4:$F$207,MATCH($B27,'Challan Master'!$S$4:$S$207,0)),""))</f>
      </c>
      <c r="D27" s="8"/>
      <c r="E27" s="8"/>
      <c r="F27" s="7">
        <f>IF($D27="","",IF(AND(LEN(TRIM(UPPER(E27)))=10,CODE(MID(TRIM(UPPER(E27)),1,1))&gt;=65,CODE(MID(TRIM(UPPER(E27)),1,1))&lt;=90,CODE(MID(TRIM(UPPER(E27)),2,1))&gt;=65,CODE(MID(TRIM(UPPER(E27)),2,1))&lt;=90,CODE(MID(TRIM(UPPER(E27)),3,1))&gt;=65,CODE(MID(TRIM(UPPER(E27)),3,1))&lt;=90,CODE(MID(TRIM(UPPER(E27)),4,1))&gt;=65,CODE(MID(TRIM(UPPER(E27)),4,1))&lt;=90,CODE(MID(TRIM(UPPER(E27)),5,1))&gt;=65,CODE(MID(TRIM(UPPER(E27)),5,1))&lt;=90,CODE(MID(TRIM(UPPER(E27)),10,1))&gt;=65,CODE(MID(TRIM(UPPER(E27)),10,1))&lt;=90,CODE(MID(TRIM(UPPER(E27)),6,1))&gt;=48,CODE(MID(TRIM(UPPER(E27)),6,1))&lt;=57,CODE(MID(TRIM(UPPER(E27)),7,1))&gt;=48,CODE(MID(TRIM(UPPER(E27)),7,1))&lt;=57,CODE(MID(TRIM(UPPER(E27)),8,1))&gt;=48,CODE(MID(TRIM(UPPER(E27)),8,1))&lt;=57,CODE(MID(TRIM(UPPER(E27)),9,1))&gt;=48,CODE(MID(TRIM(UPPER(E27)),9,1))&lt;=57),"N","Y"))</f>
      </c>
      <c r="G27" s="7">
        <f>IF($D27="","",IF(LEN(E27)&lt;4,"",IF(UPPER(MID(E27,4,1))="P","Individual",IF(UPPER(MID(E27,4,1))="H","HUF",IF(UPPER(MID(E27,4,1))="C","Company",IF(UPPER(MID(E27,4,1))="F","Firm",IF(UPPER(MID(E27,4,1))="L","LLP",IF(UPPER(MID(E27,4,1))="T","Trust",IF(UPPER(MID(E27,4,1))="A","AOP","")))))))))</f>
      </c>
      <c r="H27" s="8"/>
      <c r="I27" s="7">
        <f>IF($D27="","",IF(H27="","",IF(F27="Y",SUMPRODUCT(('Rate Lookup'!$A$1:$A$37=H27)*'Rate Lookup'!$D$1:$D$37),IF(OR(G27="Individual",G27="HUF"),SUMPRODUCT(('Rate Lookup'!$A$1:$A$37=H27)*'Rate Lookup'!$B$1:$B$37),SUMPRODUCT(('Rate Lookup'!$A$1:$A$37=H27)*'Rate Lookup'!$C$1:$C$37)))))</f>
      </c>
      <c r="J27" s="8"/>
      <c r="K27" s="8"/>
      <c r="L27" s="7">
        <f>IF($D27="","",ROUND(K27*I27/100,0))</f>
      </c>
      <c r="M27" s="7">
        <f>IF($D27="","",0)</f>
      </c>
      <c r="N27" s="7">
        <f>IF($D27="","",0)</f>
      </c>
      <c r="O27" s="7">
        <f>IF($D27="","",IF(OR(L27=0,J27="",IFERROR(INDEX('Challan Master'!$D$4:$D$207,MATCH($B27,'Challan Master'!$S$4:$S$207,0)),"")="",IFERROR(INDEX('Challan Master'!$D$4:$D$207,MATCH($B27,'Challan Master'!$S$4:$S$207,0)),"")&lt;=0),0,IF(IFERROR(INDEX('Challan Master'!$D$4:$D$207,MATCH($B27,'Challan Master'!$S$4:$S$207,0)),"")&lt;=DATE(YEAR(J27),MONTH(J27)+1,7),0,ROUND(L27*0.015*((YEAR(IFERROR(INDEX('Challan Master'!$D$4:$D$207,MATCH($B27,'Challan Master'!$S$4:$S$207,0)),""))-YEAR(J27))*12+(MONTH(IFERROR(INDEX('Challan Master'!$D$4:$D$207,MATCH($B27,'Challan Master'!$S$4:$S$207,0)),""))-MONTH(J27))+1),0))))</f>
      </c>
      <c r="P27" s="7">
        <f>IF($D27="","",0)</f>
      </c>
      <c r="Q27" s="8"/>
      <c r="R27" s="8"/>
      <c r="S27" s="8"/>
      <c r="T27" s="8"/>
      <c r="U27" s="8"/>
      <c r="V27" s="7">
        <f>IF($B27="","",IFERROR(INDEX('Challan Master'!$AA$4:$AA$207,MATCH($B27,'Challan Master'!$S$4:$S$207,0)),""))</f>
      </c>
    </row>
    <row r="28" spans="1:22" x14ac:dyDescent="0.25">
      <c r="A28" s="7">
        <f>IF($D28="","",COUNTIF($D$4:$D28,"&lt;&gt;"))</f>
      </c>
      <c r="B28" s="8"/>
      <c r="C28" s="7">
        <f>IF($B28="","","BSR "&amp;IFERROR(INDEX('Challan Master'!$B$4:$B$207,MATCH($B28,'Challan Master'!$S$4:$S$207,0)),"")&amp;" | Serial "&amp;IFERROR(INDEX('Challan Master'!$C$4:$C$207,MATCH($B28,'Challan Master'!$S$4:$S$207,0)),"")&amp;" | Deposit "&amp;TEXT(IFERROR(INDEX('Challan Master'!$D$4:$D$207,MATCH($B28,'Challan Master'!$S$4:$S$207,0)),""),"dd-mm-yyyy")&amp;" | Minor Head "&amp;IFERROR(INDEX('Challan Master'!$E$4:$E$207,MATCH($B28,'Challan Master'!$S$4:$S$207,0)),"")&amp;" | Tax ₹"&amp;TEXT(IFERROR(INDEX('Challan Master'!$G$4:$G$207,MATCH($B28,'Challan Master'!$S$4:$S$207,0)),""),"#,##0")&amp;" | Section "&amp;IFERROR(INDEX('Challan Master'!$F$4:$F$207,MATCH($B28,'Challan Master'!$S$4:$S$207,0)),""))</f>
      </c>
      <c r="D28" s="8"/>
      <c r="E28" s="8"/>
      <c r="F28" s="7">
        <f>IF($D28="","",IF(AND(LEN(TRIM(UPPER(E28)))=10,CODE(MID(TRIM(UPPER(E28)),1,1))&gt;=65,CODE(MID(TRIM(UPPER(E28)),1,1))&lt;=90,CODE(MID(TRIM(UPPER(E28)),2,1))&gt;=65,CODE(MID(TRIM(UPPER(E28)),2,1))&lt;=90,CODE(MID(TRIM(UPPER(E28)),3,1))&gt;=65,CODE(MID(TRIM(UPPER(E28)),3,1))&lt;=90,CODE(MID(TRIM(UPPER(E28)),4,1))&gt;=65,CODE(MID(TRIM(UPPER(E28)),4,1))&lt;=90,CODE(MID(TRIM(UPPER(E28)),5,1))&gt;=65,CODE(MID(TRIM(UPPER(E28)),5,1))&lt;=90,CODE(MID(TRIM(UPPER(E28)),10,1))&gt;=65,CODE(MID(TRIM(UPPER(E28)),10,1))&lt;=90,CODE(MID(TRIM(UPPER(E28)),6,1))&gt;=48,CODE(MID(TRIM(UPPER(E28)),6,1))&lt;=57,CODE(MID(TRIM(UPPER(E28)),7,1))&gt;=48,CODE(MID(TRIM(UPPER(E28)),7,1))&lt;=57,CODE(MID(TRIM(UPPER(E28)),8,1))&gt;=48,CODE(MID(TRIM(UPPER(E28)),8,1))&lt;=57,CODE(MID(TRIM(UPPER(E28)),9,1))&gt;=48,CODE(MID(TRIM(UPPER(E28)),9,1))&lt;=57),"N","Y"))</f>
      </c>
      <c r="G28" s="7">
        <f>IF($D28="","",IF(LEN(E28)&lt;4,"",IF(UPPER(MID(E28,4,1))="P","Individual",IF(UPPER(MID(E28,4,1))="H","HUF",IF(UPPER(MID(E28,4,1))="C","Company",IF(UPPER(MID(E28,4,1))="F","Firm",IF(UPPER(MID(E28,4,1))="L","LLP",IF(UPPER(MID(E28,4,1))="T","Trust",IF(UPPER(MID(E28,4,1))="A","AOP","")))))))))</f>
      </c>
      <c r="H28" s="8"/>
      <c r="I28" s="7">
        <f>IF($D28="","",IF(H28="","",IF(F28="Y",SUMPRODUCT(('Rate Lookup'!$A$1:$A$37=H28)*'Rate Lookup'!$D$1:$D$37),IF(OR(G28="Individual",G28="HUF"),SUMPRODUCT(('Rate Lookup'!$A$1:$A$37=H28)*'Rate Lookup'!$B$1:$B$37),SUMPRODUCT(('Rate Lookup'!$A$1:$A$37=H28)*'Rate Lookup'!$C$1:$C$37)))))</f>
      </c>
      <c r="J28" s="8"/>
      <c r="K28" s="8"/>
      <c r="L28" s="7">
        <f>IF($D28="","",ROUND(K28*I28/100,0))</f>
      </c>
      <c r="M28" s="7">
        <f>IF($D28="","",0)</f>
      </c>
      <c r="N28" s="7">
        <f>IF($D28="","",0)</f>
      </c>
      <c r="O28" s="7">
        <f>IF($D28="","",IF(OR(L28=0,J28="",IFERROR(INDEX('Challan Master'!$D$4:$D$207,MATCH($B28,'Challan Master'!$S$4:$S$207,0)),"")="",IFERROR(INDEX('Challan Master'!$D$4:$D$207,MATCH($B28,'Challan Master'!$S$4:$S$207,0)),"")&lt;=0),0,IF(IFERROR(INDEX('Challan Master'!$D$4:$D$207,MATCH($B28,'Challan Master'!$S$4:$S$207,0)),"")&lt;=DATE(YEAR(J28),MONTH(J28)+1,7),0,ROUND(L28*0.015*((YEAR(IFERROR(INDEX('Challan Master'!$D$4:$D$207,MATCH($B28,'Challan Master'!$S$4:$S$207,0)),""))-YEAR(J28))*12+(MONTH(IFERROR(INDEX('Challan Master'!$D$4:$D$207,MATCH($B28,'Challan Master'!$S$4:$S$207,0)),""))-MONTH(J28))+1),0))))</f>
      </c>
      <c r="P28" s="7">
        <f>IF($D28="","",0)</f>
      </c>
      <c r="Q28" s="8"/>
      <c r="R28" s="8"/>
      <c r="S28" s="8"/>
      <c r="T28" s="8"/>
      <c r="U28" s="8"/>
      <c r="V28" s="7">
        <f>IF($B28="","",IFERROR(INDEX('Challan Master'!$AA$4:$AA$207,MATCH($B28,'Challan Master'!$S$4:$S$207,0)),""))</f>
      </c>
    </row>
    <row r="29" spans="1:22" x14ac:dyDescent="0.25">
      <c r="A29" s="7">
        <f>IF($D29="","",COUNTIF($D$4:$D29,"&lt;&gt;"))</f>
      </c>
      <c r="B29" s="8"/>
      <c r="C29" s="7">
        <f>IF($B29="","","BSR "&amp;IFERROR(INDEX('Challan Master'!$B$4:$B$207,MATCH($B29,'Challan Master'!$S$4:$S$207,0)),"")&amp;" | Serial "&amp;IFERROR(INDEX('Challan Master'!$C$4:$C$207,MATCH($B29,'Challan Master'!$S$4:$S$207,0)),"")&amp;" | Deposit "&amp;TEXT(IFERROR(INDEX('Challan Master'!$D$4:$D$207,MATCH($B29,'Challan Master'!$S$4:$S$207,0)),""),"dd-mm-yyyy")&amp;" | Minor Head "&amp;IFERROR(INDEX('Challan Master'!$E$4:$E$207,MATCH($B29,'Challan Master'!$S$4:$S$207,0)),"")&amp;" | Tax ₹"&amp;TEXT(IFERROR(INDEX('Challan Master'!$G$4:$G$207,MATCH($B29,'Challan Master'!$S$4:$S$207,0)),""),"#,##0")&amp;" | Section "&amp;IFERROR(INDEX('Challan Master'!$F$4:$F$207,MATCH($B29,'Challan Master'!$S$4:$S$207,0)),""))</f>
      </c>
      <c r="D29" s="8"/>
      <c r="E29" s="8"/>
      <c r="F29" s="7">
        <f>IF($D29="","",IF(AND(LEN(TRIM(UPPER(E29)))=10,CODE(MID(TRIM(UPPER(E29)),1,1))&gt;=65,CODE(MID(TRIM(UPPER(E29)),1,1))&lt;=90,CODE(MID(TRIM(UPPER(E29)),2,1))&gt;=65,CODE(MID(TRIM(UPPER(E29)),2,1))&lt;=90,CODE(MID(TRIM(UPPER(E29)),3,1))&gt;=65,CODE(MID(TRIM(UPPER(E29)),3,1))&lt;=90,CODE(MID(TRIM(UPPER(E29)),4,1))&gt;=65,CODE(MID(TRIM(UPPER(E29)),4,1))&lt;=90,CODE(MID(TRIM(UPPER(E29)),5,1))&gt;=65,CODE(MID(TRIM(UPPER(E29)),5,1))&lt;=90,CODE(MID(TRIM(UPPER(E29)),10,1))&gt;=65,CODE(MID(TRIM(UPPER(E29)),10,1))&lt;=90,CODE(MID(TRIM(UPPER(E29)),6,1))&gt;=48,CODE(MID(TRIM(UPPER(E29)),6,1))&lt;=57,CODE(MID(TRIM(UPPER(E29)),7,1))&gt;=48,CODE(MID(TRIM(UPPER(E29)),7,1))&lt;=57,CODE(MID(TRIM(UPPER(E29)),8,1))&gt;=48,CODE(MID(TRIM(UPPER(E29)),8,1))&lt;=57,CODE(MID(TRIM(UPPER(E29)),9,1))&gt;=48,CODE(MID(TRIM(UPPER(E29)),9,1))&lt;=57),"N","Y"))</f>
      </c>
      <c r="G29" s="7">
        <f>IF($D29="","",IF(LEN(E29)&lt;4,"",IF(UPPER(MID(E29,4,1))="P","Individual",IF(UPPER(MID(E29,4,1))="H","HUF",IF(UPPER(MID(E29,4,1))="C","Company",IF(UPPER(MID(E29,4,1))="F","Firm",IF(UPPER(MID(E29,4,1))="L","LLP",IF(UPPER(MID(E29,4,1))="T","Trust",IF(UPPER(MID(E29,4,1))="A","AOP","")))))))))</f>
      </c>
      <c r="H29" s="8"/>
      <c r="I29" s="7">
        <f>IF($D29="","",IF(H29="","",IF(F29="Y",SUMPRODUCT(('Rate Lookup'!$A$1:$A$37=H29)*'Rate Lookup'!$D$1:$D$37),IF(OR(G29="Individual",G29="HUF"),SUMPRODUCT(('Rate Lookup'!$A$1:$A$37=H29)*'Rate Lookup'!$B$1:$B$37),SUMPRODUCT(('Rate Lookup'!$A$1:$A$37=H29)*'Rate Lookup'!$C$1:$C$37)))))</f>
      </c>
      <c r="J29" s="8"/>
      <c r="K29" s="8"/>
      <c r="L29" s="7">
        <f>IF($D29="","",ROUND(K29*I29/100,0))</f>
      </c>
      <c r="M29" s="7">
        <f>IF($D29="","",0)</f>
      </c>
      <c r="N29" s="7">
        <f>IF($D29="","",0)</f>
      </c>
      <c r="O29" s="7">
        <f>IF($D29="","",IF(OR(L29=0,J29="",IFERROR(INDEX('Challan Master'!$D$4:$D$207,MATCH($B29,'Challan Master'!$S$4:$S$207,0)),"")="",IFERROR(INDEX('Challan Master'!$D$4:$D$207,MATCH($B29,'Challan Master'!$S$4:$S$207,0)),"")&lt;=0),0,IF(IFERROR(INDEX('Challan Master'!$D$4:$D$207,MATCH($B29,'Challan Master'!$S$4:$S$207,0)),"")&lt;=DATE(YEAR(J29),MONTH(J29)+1,7),0,ROUND(L29*0.015*((YEAR(IFERROR(INDEX('Challan Master'!$D$4:$D$207,MATCH($B29,'Challan Master'!$S$4:$S$207,0)),""))-YEAR(J29))*12+(MONTH(IFERROR(INDEX('Challan Master'!$D$4:$D$207,MATCH($B29,'Challan Master'!$S$4:$S$207,0)),""))-MONTH(J29))+1),0))))</f>
      </c>
      <c r="P29" s="7">
        <f>IF($D29="","",0)</f>
      </c>
      <c r="Q29" s="8"/>
      <c r="R29" s="8"/>
      <c r="S29" s="8"/>
      <c r="T29" s="8"/>
      <c r="U29" s="8"/>
      <c r="V29" s="7">
        <f>IF($B29="","",IFERROR(INDEX('Challan Master'!$AA$4:$AA$207,MATCH($B29,'Challan Master'!$S$4:$S$207,0)),""))</f>
      </c>
    </row>
    <row r="30" spans="1:22" x14ac:dyDescent="0.25">
      <c r="A30" s="7">
        <f>IF($D30="","",COUNTIF($D$4:$D30,"&lt;&gt;"))</f>
      </c>
      <c r="B30" s="8"/>
      <c r="C30" s="7">
        <f>IF($B30="","","BSR "&amp;IFERROR(INDEX('Challan Master'!$B$4:$B$207,MATCH($B30,'Challan Master'!$S$4:$S$207,0)),"")&amp;" | Serial "&amp;IFERROR(INDEX('Challan Master'!$C$4:$C$207,MATCH($B30,'Challan Master'!$S$4:$S$207,0)),"")&amp;" | Deposit "&amp;TEXT(IFERROR(INDEX('Challan Master'!$D$4:$D$207,MATCH($B30,'Challan Master'!$S$4:$S$207,0)),""),"dd-mm-yyyy")&amp;" | Minor Head "&amp;IFERROR(INDEX('Challan Master'!$E$4:$E$207,MATCH($B30,'Challan Master'!$S$4:$S$207,0)),"")&amp;" | Tax ₹"&amp;TEXT(IFERROR(INDEX('Challan Master'!$G$4:$G$207,MATCH($B30,'Challan Master'!$S$4:$S$207,0)),""),"#,##0")&amp;" | Section "&amp;IFERROR(INDEX('Challan Master'!$F$4:$F$207,MATCH($B30,'Challan Master'!$S$4:$S$207,0)),""))</f>
      </c>
      <c r="D30" s="8"/>
      <c r="E30" s="8"/>
      <c r="F30" s="7">
        <f>IF($D30="","",IF(AND(LEN(TRIM(UPPER(E30)))=10,CODE(MID(TRIM(UPPER(E30)),1,1))&gt;=65,CODE(MID(TRIM(UPPER(E30)),1,1))&lt;=90,CODE(MID(TRIM(UPPER(E30)),2,1))&gt;=65,CODE(MID(TRIM(UPPER(E30)),2,1))&lt;=90,CODE(MID(TRIM(UPPER(E30)),3,1))&gt;=65,CODE(MID(TRIM(UPPER(E30)),3,1))&lt;=90,CODE(MID(TRIM(UPPER(E30)),4,1))&gt;=65,CODE(MID(TRIM(UPPER(E30)),4,1))&lt;=90,CODE(MID(TRIM(UPPER(E30)),5,1))&gt;=65,CODE(MID(TRIM(UPPER(E30)),5,1))&lt;=90,CODE(MID(TRIM(UPPER(E30)),10,1))&gt;=65,CODE(MID(TRIM(UPPER(E30)),10,1))&lt;=90,CODE(MID(TRIM(UPPER(E30)),6,1))&gt;=48,CODE(MID(TRIM(UPPER(E30)),6,1))&lt;=57,CODE(MID(TRIM(UPPER(E30)),7,1))&gt;=48,CODE(MID(TRIM(UPPER(E30)),7,1))&lt;=57,CODE(MID(TRIM(UPPER(E30)),8,1))&gt;=48,CODE(MID(TRIM(UPPER(E30)),8,1))&lt;=57,CODE(MID(TRIM(UPPER(E30)),9,1))&gt;=48,CODE(MID(TRIM(UPPER(E30)),9,1))&lt;=57),"N","Y"))</f>
      </c>
      <c r="G30" s="7">
        <f>IF($D30="","",IF(LEN(E30)&lt;4,"",IF(UPPER(MID(E30,4,1))="P","Individual",IF(UPPER(MID(E30,4,1))="H","HUF",IF(UPPER(MID(E30,4,1))="C","Company",IF(UPPER(MID(E30,4,1))="F","Firm",IF(UPPER(MID(E30,4,1))="L","LLP",IF(UPPER(MID(E30,4,1))="T","Trust",IF(UPPER(MID(E30,4,1))="A","AOP","")))))))))</f>
      </c>
      <c r="H30" s="8"/>
      <c r="I30" s="7">
        <f>IF($D30="","",IF(H30="","",IF(F30="Y",SUMPRODUCT(('Rate Lookup'!$A$1:$A$37=H30)*'Rate Lookup'!$D$1:$D$37),IF(OR(G30="Individual",G30="HUF"),SUMPRODUCT(('Rate Lookup'!$A$1:$A$37=H30)*'Rate Lookup'!$B$1:$B$37),SUMPRODUCT(('Rate Lookup'!$A$1:$A$37=H30)*'Rate Lookup'!$C$1:$C$37)))))</f>
      </c>
      <c r="J30" s="8"/>
      <c r="K30" s="8"/>
      <c r="L30" s="7">
        <f>IF($D30="","",ROUND(K30*I30/100,0))</f>
      </c>
      <c r="M30" s="7">
        <f>IF($D30="","",0)</f>
      </c>
      <c r="N30" s="7">
        <f>IF($D30="","",0)</f>
      </c>
      <c r="O30" s="7">
        <f>IF($D30="","",IF(OR(L30=0,J30="",IFERROR(INDEX('Challan Master'!$D$4:$D$207,MATCH($B30,'Challan Master'!$S$4:$S$207,0)),"")="",IFERROR(INDEX('Challan Master'!$D$4:$D$207,MATCH($B30,'Challan Master'!$S$4:$S$207,0)),"")&lt;=0),0,IF(IFERROR(INDEX('Challan Master'!$D$4:$D$207,MATCH($B30,'Challan Master'!$S$4:$S$207,0)),"")&lt;=DATE(YEAR(J30),MONTH(J30)+1,7),0,ROUND(L30*0.015*((YEAR(IFERROR(INDEX('Challan Master'!$D$4:$D$207,MATCH($B30,'Challan Master'!$S$4:$S$207,0)),""))-YEAR(J30))*12+(MONTH(IFERROR(INDEX('Challan Master'!$D$4:$D$207,MATCH($B30,'Challan Master'!$S$4:$S$207,0)),""))-MONTH(J30))+1),0))))</f>
      </c>
      <c r="P30" s="7">
        <f>IF($D30="","",0)</f>
      </c>
      <c r="Q30" s="8"/>
      <c r="R30" s="8"/>
      <c r="S30" s="8"/>
      <c r="T30" s="8"/>
      <c r="U30" s="8"/>
      <c r="V30" s="7">
        <f>IF($B30="","",IFERROR(INDEX('Challan Master'!$AA$4:$AA$207,MATCH($B30,'Challan Master'!$S$4:$S$207,0)),""))</f>
      </c>
    </row>
    <row r="31" spans="1:22" x14ac:dyDescent="0.25">
      <c r="A31" s="7">
        <f>IF($D31="","",COUNTIF($D$4:$D31,"&lt;&gt;"))</f>
      </c>
      <c r="B31" s="8"/>
      <c r="C31" s="7">
        <f>IF($B31="","","BSR "&amp;IFERROR(INDEX('Challan Master'!$B$4:$B$207,MATCH($B31,'Challan Master'!$S$4:$S$207,0)),"")&amp;" | Serial "&amp;IFERROR(INDEX('Challan Master'!$C$4:$C$207,MATCH($B31,'Challan Master'!$S$4:$S$207,0)),"")&amp;" | Deposit "&amp;TEXT(IFERROR(INDEX('Challan Master'!$D$4:$D$207,MATCH($B31,'Challan Master'!$S$4:$S$207,0)),""),"dd-mm-yyyy")&amp;" | Minor Head "&amp;IFERROR(INDEX('Challan Master'!$E$4:$E$207,MATCH($B31,'Challan Master'!$S$4:$S$207,0)),"")&amp;" | Tax ₹"&amp;TEXT(IFERROR(INDEX('Challan Master'!$G$4:$G$207,MATCH($B31,'Challan Master'!$S$4:$S$207,0)),""),"#,##0")&amp;" | Section "&amp;IFERROR(INDEX('Challan Master'!$F$4:$F$207,MATCH($B31,'Challan Master'!$S$4:$S$207,0)),""))</f>
      </c>
      <c r="D31" s="8"/>
      <c r="E31" s="8"/>
      <c r="F31" s="7">
        <f>IF($D31="","",IF(AND(LEN(TRIM(UPPER(E31)))=10,CODE(MID(TRIM(UPPER(E31)),1,1))&gt;=65,CODE(MID(TRIM(UPPER(E31)),1,1))&lt;=90,CODE(MID(TRIM(UPPER(E31)),2,1))&gt;=65,CODE(MID(TRIM(UPPER(E31)),2,1))&lt;=90,CODE(MID(TRIM(UPPER(E31)),3,1))&gt;=65,CODE(MID(TRIM(UPPER(E31)),3,1))&lt;=90,CODE(MID(TRIM(UPPER(E31)),4,1))&gt;=65,CODE(MID(TRIM(UPPER(E31)),4,1))&lt;=90,CODE(MID(TRIM(UPPER(E31)),5,1))&gt;=65,CODE(MID(TRIM(UPPER(E31)),5,1))&lt;=90,CODE(MID(TRIM(UPPER(E31)),10,1))&gt;=65,CODE(MID(TRIM(UPPER(E31)),10,1))&lt;=90,CODE(MID(TRIM(UPPER(E31)),6,1))&gt;=48,CODE(MID(TRIM(UPPER(E31)),6,1))&lt;=57,CODE(MID(TRIM(UPPER(E31)),7,1))&gt;=48,CODE(MID(TRIM(UPPER(E31)),7,1))&lt;=57,CODE(MID(TRIM(UPPER(E31)),8,1))&gt;=48,CODE(MID(TRIM(UPPER(E31)),8,1))&lt;=57,CODE(MID(TRIM(UPPER(E31)),9,1))&gt;=48,CODE(MID(TRIM(UPPER(E31)),9,1))&lt;=57),"N","Y"))</f>
      </c>
      <c r="G31" s="7">
        <f>IF($D31="","",IF(LEN(E31)&lt;4,"",IF(UPPER(MID(E31,4,1))="P","Individual",IF(UPPER(MID(E31,4,1))="H","HUF",IF(UPPER(MID(E31,4,1))="C","Company",IF(UPPER(MID(E31,4,1))="F","Firm",IF(UPPER(MID(E31,4,1))="L","LLP",IF(UPPER(MID(E31,4,1))="T","Trust",IF(UPPER(MID(E31,4,1))="A","AOP","")))))))))</f>
      </c>
      <c r="H31" s="8"/>
      <c r="I31" s="7">
        <f>IF($D31="","",IF(H31="","",IF(F31="Y",SUMPRODUCT(('Rate Lookup'!$A$1:$A$37=H31)*'Rate Lookup'!$D$1:$D$37),IF(OR(G31="Individual",G31="HUF"),SUMPRODUCT(('Rate Lookup'!$A$1:$A$37=H31)*'Rate Lookup'!$B$1:$B$37),SUMPRODUCT(('Rate Lookup'!$A$1:$A$37=H31)*'Rate Lookup'!$C$1:$C$37)))))</f>
      </c>
      <c r="J31" s="8"/>
      <c r="K31" s="8"/>
      <c r="L31" s="7">
        <f>IF($D31="","",ROUND(K31*I31/100,0))</f>
      </c>
      <c r="M31" s="7">
        <f>IF($D31="","",0)</f>
      </c>
      <c r="N31" s="7">
        <f>IF($D31="","",0)</f>
      </c>
      <c r="O31" s="7">
        <f>IF($D31="","",IF(OR(L31=0,J31="",IFERROR(INDEX('Challan Master'!$D$4:$D$207,MATCH($B31,'Challan Master'!$S$4:$S$207,0)),"")="",IFERROR(INDEX('Challan Master'!$D$4:$D$207,MATCH($B31,'Challan Master'!$S$4:$S$207,0)),"")&lt;=0),0,IF(IFERROR(INDEX('Challan Master'!$D$4:$D$207,MATCH($B31,'Challan Master'!$S$4:$S$207,0)),"")&lt;=DATE(YEAR(J31),MONTH(J31)+1,7),0,ROUND(L31*0.015*((YEAR(IFERROR(INDEX('Challan Master'!$D$4:$D$207,MATCH($B31,'Challan Master'!$S$4:$S$207,0)),""))-YEAR(J31))*12+(MONTH(IFERROR(INDEX('Challan Master'!$D$4:$D$207,MATCH($B31,'Challan Master'!$S$4:$S$207,0)),""))-MONTH(J31))+1),0))))</f>
      </c>
      <c r="P31" s="7">
        <f>IF($D31="","",0)</f>
      </c>
      <c r="Q31" s="8"/>
      <c r="R31" s="8"/>
      <c r="S31" s="8"/>
      <c r="T31" s="8"/>
      <c r="U31" s="8"/>
      <c r="V31" s="7">
        <f>IF($B31="","",IFERROR(INDEX('Challan Master'!$AA$4:$AA$207,MATCH($B31,'Challan Master'!$S$4:$S$207,0)),""))</f>
      </c>
    </row>
    <row r="32" spans="1:22" x14ac:dyDescent="0.25">
      <c r="A32" s="7">
        <f>IF($D32="","",COUNTIF($D$4:$D32,"&lt;&gt;"))</f>
      </c>
      <c r="B32" s="8"/>
      <c r="C32" s="7">
        <f>IF($B32="","","BSR "&amp;IFERROR(INDEX('Challan Master'!$B$4:$B$207,MATCH($B32,'Challan Master'!$S$4:$S$207,0)),"")&amp;" | Serial "&amp;IFERROR(INDEX('Challan Master'!$C$4:$C$207,MATCH($B32,'Challan Master'!$S$4:$S$207,0)),"")&amp;" | Deposit "&amp;TEXT(IFERROR(INDEX('Challan Master'!$D$4:$D$207,MATCH($B32,'Challan Master'!$S$4:$S$207,0)),""),"dd-mm-yyyy")&amp;" | Minor Head "&amp;IFERROR(INDEX('Challan Master'!$E$4:$E$207,MATCH($B32,'Challan Master'!$S$4:$S$207,0)),"")&amp;" | Tax ₹"&amp;TEXT(IFERROR(INDEX('Challan Master'!$G$4:$G$207,MATCH($B32,'Challan Master'!$S$4:$S$207,0)),""),"#,##0")&amp;" | Section "&amp;IFERROR(INDEX('Challan Master'!$F$4:$F$207,MATCH($B32,'Challan Master'!$S$4:$S$207,0)),""))</f>
      </c>
      <c r="D32" s="8"/>
      <c r="E32" s="8"/>
      <c r="F32" s="7">
        <f>IF($D32="","",IF(AND(LEN(TRIM(UPPER(E32)))=10,CODE(MID(TRIM(UPPER(E32)),1,1))&gt;=65,CODE(MID(TRIM(UPPER(E32)),1,1))&lt;=90,CODE(MID(TRIM(UPPER(E32)),2,1))&gt;=65,CODE(MID(TRIM(UPPER(E32)),2,1))&lt;=90,CODE(MID(TRIM(UPPER(E32)),3,1))&gt;=65,CODE(MID(TRIM(UPPER(E32)),3,1))&lt;=90,CODE(MID(TRIM(UPPER(E32)),4,1))&gt;=65,CODE(MID(TRIM(UPPER(E32)),4,1))&lt;=90,CODE(MID(TRIM(UPPER(E32)),5,1))&gt;=65,CODE(MID(TRIM(UPPER(E32)),5,1))&lt;=90,CODE(MID(TRIM(UPPER(E32)),10,1))&gt;=65,CODE(MID(TRIM(UPPER(E32)),10,1))&lt;=90,CODE(MID(TRIM(UPPER(E32)),6,1))&gt;=48,CODE(MID(TRIM(UPPER(E32)),6,1))&lt;=57,CODE(MID(TRIM(UPPER(E32)),7,1))&gt;=48,CODE(MID(TRIM(UPPER(E32)),7,1))&lt;=57,CODE(MID(TRIM(UPPER(E32)),8,1))&gt;=48,CODE(MID(TRIM(UPPER(E32)),8,1))&lt;=57,CODE(MID(TRIM(UPPER(E32)),9,1))&gt;=48,CODE(MID(TRIM(UPPER(E32)),9,1))&lt;=57),"N","Y"))</f>
      </c>
      <c r="G32" s="7">
        <f>IF($D32="","",IF(LEN(E32)&lt;4,"",IF(UPPER(MID(E32,4,1))="P","Individual",IF(UPPER(MID(E32,4,1))="H","HUF",IF(UPPER(MID(E32,4,1))="C","Company",IF(UPPER(MID(E32,4,1))="F","Firm",IF(UPPER(MID(E32,4,1))="L","LLP",IF(UPPER(MID(E32,4,1))="T","Trust",IF(UPPER(MID(E32,4,1))="A","AOP","")))))))))</f>
      </c>
      <c r="H32" s="8"/>
      <c r="I32" s="7">
        <f>IF($D32="","",IF(H32="","",IF(F32="Y",SUMPRODUCT(('Rate Lookup'!$A$1:$A$37=H32)*'Rate Lookup'!$D$1:$D$37),IF(OR(G32="Individual",G32="HUF"),SUMPRODUCT(('Rate Lookup'!$A$1:$A$37=H32)*'Rate Lookup'!$B$1:$B$37),SUMPRODUCT(('Rate Lookup'!$A$1:$A$37=H32)*'Rate Lookup'!$C$1:$C$37)))))</f>
      </c>
      <c r="J32" s="8"/>
      <c r="K32" s="8"/>
      <c r="L32" s="7">
        <f>IF($D32="","",ROUND(K32*I32/100,0))</f>
      </c>
      <c r="M32" s="7">
        <f>IF($D32="","",0)</f>
      </c>
      <c r="N32" s="7">
        <f>IF($D32="","",0)</f>
      </c>
      <c r="O32" s="7">
        <f>IF($D32="","",IF(OR(L32=0,J32="",IFERROR(INDEX('Challan Master'!$D$4:$D$207,MATCH($B32,'Challan Master'!$S$4:$S$207,0)),"")="",IFERROR(INDEX('Challan Master'!$D$4:$D$207,MATCH($B32,'Challan Master'!$S$4:$S$207,0)),"")&lt;=0),0,IF(IFERROR(INDEX('Challan Master'!$D$4:$D$207,MATCH($B32,'Challan Master'!$S$4:$S$207,0)),"")&lt;=DATE(YEAR(J32),MONTH(J32)+1,7),0,ROUND(L32*0.015*((YEAR(IFERROR(INDEX('Challan Master'!$D$4:$D$207,MATCH($B32,'Challan Master'!$S$4:$S$207,0)),""))-YEAR(J32))*12+(MONTH(IFERROR(INDEX('Challan Master'!$D$4:$D$207,MATCH($B32,'Challan Master'!$S$4:$S$207,0)),""))-MONTH(J32))+1),0))))</f>
      </c>
      <c r="P32" s="7">
        <f>IF($D32="","",0)</f>
      </c>
      <c r="Q32" s="8"/>
      <c r="R32" s="8"/>
      <c r="S32" s="8"/>
      <c r="T32" s="8"/>
      <c r="U32" s="8"/>
      <c r="V32" s="7">
        <f>IF($B32="","",IFERROR(INDEX('Challan Master'!$AA$4:$AA$207,MATCH($B32,'Challan Master'!$S$4:$S$207,0)),""))</f>
      </c>
    </row>
    <row r="33" spans="1:22" x14ac:dyDescent="0.25">
      <c r="A33" s="7">
        <f>IF($D33="","",COUNTIF($D$4:$D33,"&lt;&gt;"))</f>
      </c>
      <c r="B33" s="8"/>
      <c r="C33" s="7">
        <f>IF($B33="","","BSR "&amp;IFERROR(INDEX('Challan Master'!$B$4:$B$207,MATCH($B33,'Challan Master'!$S$4:$S$207,0)),"")&amp;" | Serial "&amp;IFERROR(INDEX('Challan Master'!$C$4:$C$207,MATCH($B33,'Challan Master'!$S$4:$S$207,0)),"")&amp;" | Deposit "&amp;TEXT(IFERROR(INDEX('Challan Master'!$D$4:$D$207,MATCH($B33,'Challan Master'!$S$4:$S$207,0)),""),"dd-mm-yyyy")&amp;" | Minor Head "&amp;IFERROR(INDEX('Challan Master'!$E$4:$E$207,MATCH($B33,'Challan Master'!$S$4:$S$207,0)),"")&amp;" | Tax ₹"&amp;TEXT(IFERROR(INDEX('Challan Master'!$G$4:$G$207,MATCH($B33,'Challan Master'!$S$4:$S$207,0)),""),"#,##0")&amp;" | Section "&amp;IFERROR(INDEX('Challan Master'!$F$4:$F$207,MATCH($B33,'Challan Master'!$S$4:$S$207,0)),""))</f>
      </c>
      <c r="D33" s="8"/>
      <c r="E33" s="8"/>
      <c r="F33" s="7">
        <f>IF($D33="","",IF(AND(LEN(TRIM(UPPER(E33)))=10,CODE(MID(TRIM(UPPER(E33)),1,1))&gt;=65,CODE(MID(TRIM(UPPER(E33)),1,1))&lt;=90,CODE(MID(TRIM(UPPER(E33)),2,1))&gt;=65,CODE(MID(TRIM(UPPER(E33)),2,1))&lt;=90,CODE(MID(TRIM(UPPER(E33)),3,1))&gt;=65,CODE(MID(TRIM(UPPER(E33)),3,1))&lt;=90,CODE(MID(TRIM(UPPER(E33)),4,1))&gt;=65,CODE(MID(TRIM(UPPER(E33)),4,1))&lt;=90,CODE(MID(TRIM(UPPER(E33)),5,1))&gt;=65,CODE(MID(TRIM(UPPER(E33)),5,1))&lt;=90,CODE(MID(TRIM(UPPER(E33)),10,1))&gt;=65,CODE(MID(TRIM(UPPER(E33)),10,1))&lt;=90,CODE(MID(TRIM(UPPER(E33)),6,1))&gt;=48,CODE(MID(TRIM(UPPER(E33)),6,1))&lt;=57,CODE(MID(TRIM(UPPER(E33)),7,1))&gt;=48,CODE(MID(TRIM(UPPER(E33)),7,1))&lt;=57,CODE(MID(TRIM(UPPER(E33)),8,1))&gt;=48,CODE(MID(TRIM(UPPER(E33)),8,1))&lt;=57,CODE(MID(TRIM(UPPER(E33)),9,1))&gt;=48,CODE(MID(TRIM(UPPER(E33)),9,1))&lt;=57),"N","Y"))</f>
      </c>
      <c r="G33" s="7">
        <f>IF($D33="","",IF(LEN(E33)&lt;4,"",IF(UPPER(MID(E33,4,1))="P","Individual",IF(UPPER(MID(E33,4,1))="H","HUF",IF(UPPER(MID(E33,4,1))="C","Company",IF(UPPER(MID(E33,4,1))="F","Firm",IF(UPPER(MID(E33,4,1))="L","LLP",IF(UPPER(MID(E33,4,1))="T","Trust",IF(UPPER(MID(E33,4,1))="A","AOP","")))))))))</f>
      </c>
      <c r="H33" s="8"/>
      <c r="I33" s="7">
        <f>IF($D33="","",IF(H33="","",IF(F33="Y",SUMPRODUCT(('Rate Lookup'!$A$1:$A$37=H33)*'Rate Lookup'!$D$1:$D$37),IF(OR(G33="Individual",G33="HUF"),SUMPRODUCT(('Rate Lookup'!$A$1:$A$37=H33)*'Rate Lookup'!$B$1:$B$37),SUMPRODUCT(('Rate Lookup'!$A$1:$A$37=H33)*'Rate Lookup'!$C$1:$C$37)))))</f>
      </c>
      <c r="J33" s="8"/>
      <c r="K33" s="8"/>
      <c r="L33" s="7">
        <f>IF($D33="","",ROUND(K33*I33/100,0))</f>
      </c>
      <c r="M33" s="7">
        <f>IF($D33="","",0)</f>
      </c>
      <c r="N33" s="7">
        <f>IF($D33="","",0)</f>
      </c>
      <c r="O33" s="7">
        <f>IF($D33="","",IF(OR(L33=0,J33="",IFERROR(INDEX('Challan Master'!$D$4:$D$207,MATCH($B33,'Challan Master'!$S$4:$S$207,0)),"")="",IFERROR(INDEX('Challan Master'!$D$4:$D$207,MATCH($B33,'Challan Master'!$S$4:$S$207,0)),"")&lt;=0),0,IF(IFERROR(INDEX('Challan Master'!$D$4:$D$207,MATCH($B33,'Challan Master'!$S$4:$S$207,0)),"")&lt;=DATE(YEAR(J33),MONTH(J33)+1,7),0,ROUND(L33*0.015*((YEAR(IFERROR(INDEX('Challan Master'!$D$4:$D$207,MATCH($B33,'Challan Master'!$S$4:$S$207,0)),""))-YEAR(J33))*12+(MONTH(IFERROR(INDEX('Challan Master'!$D$4:$D$207,MATCH($B33,'Challan Master'!$S$4:$S$207,0)),""))-MONTH(J33))+1),0))))</f>
      </c>
      <c r="P33" s="7">
        <f>IF($D33="","",0)</f>
      </c>
      <c r="Q33" s="8"/>
      <c r="R33" s="8"/>
      <c r="S33" s="8"/>
      <c r="T33" s="8"/>
      <c r="U33" s="8"/>
      <c r="V33" s="7">
        <f>IF($B33="","",IFERROR(INDEX('Challan Master'!$AA$4:$AA$207,MATCH($B33,'Challan Master'!$S$4:$S$207,0)),""))</f>
      </c>
    </row>
    <row r="34" spans="1:22" x14ac:dyDescent="0.25">
      <c r="A34" s="7">
        <f>IF($D34="","",COUNTIF($D$4:$D34,"&lt;&gt;"))</f>
      </c>
      <c r="B34" s="8"/>
      <c r="C34" s="7">
        <f>IF($B34="","","BSR "&amp;IFERROR(INDEX('Challan Master'!$B$4:$B$207,MATCH($B34,'Challan Master'!$S$4:$S$207,0)),"")&amp;" | Serial "&amp;IFERROR(INDEX('Challan Master'!$C$4:$C$207,MATCH($B34,'Challan Master'!$S$4:$S$207,0)),"")&amp;" | Deposit "&amp;TEXT(IFERROR(INDEX('Challan Master'!$D$4:$D$207,MATCH($B34,'Challan Master'!$S$4:$S$207,0)),""),"dd-mm-yyyy")&amp;" | Minor Head "&amp;IFERROR(INDEX('Challan Master'!$E$4:$E$207,MATCH($B34,'Challan Master'!$S$4:$S$207,0)),"")&amp;" | Tax ₹"&amp;TEXT(IFERROR(INDEX('Challan Master'!$G$4:$G$207,MATCH($B34,'Challan Master'!$S$4:$S$207,0)),""),"#,##0")&amp;" | Section "&amp;IFERROR(INDEX('Challan Master'!$F$4:$F$207,MATCH($B34,'Challan Master'!$S$4:$S$207,0)),""))</f>
      </c>
      <c r="D34" s="8"/>
      <c r="E34" s="8"/>
      <c r="F34" s="7">
        <f>IF($D34="","",IF(AND(LEN(TRIM(UPPER(E34)))=10,CODE(MID(TRIM(UPPER(E34)),1,1))&gt;=65,CODE(MID(TRIM(UPPER(E34)),1,1))&lt;=90,CODE(MID(TRIM(UPPER(E34)),2,1))&gt;=65,CODE(MID(TRIM(UPPER(E34)),2,1))&lt;=90,CODE(MID(TRIM(UPPER(E34)),3,1))&gt;=65,CODE(MID(TRIM(UPPER(E34)),3,1))&lt;=90,CODE(MID(TRIM(UPPER(E34)),4,1))&gt;=65,CODE(MID(TRIM(UPPER(E34)),4,1))&lt;=90,CODE(MID(TRIM(UPPER(E34)),5,1))&gt;=65,CODE(MID(TRIM(UPPER(E34)),5,1))&lt;=90,CODE(MID(TRIM(UPPER(E34)),10,1))&gt;=65,CODE(MID(TRIM(UPPER(E34)),10,1))&lt;=90,CODE(MID(TRIM(UPPER(E34)),6,1))&gt;=48,CODE(MID(TRIM(UPPER(E34)),6,1))&lt;=57,CODE(MID(TRIM(UPPER(E34)),7,1))&gt;=48,CODE(MID(TRIM(UPPER(E34)),7,1))&lt;=57,CODE(MID(TRIM(UPPER(E34)),8,1))&gt;=48,CODE(MID(TRIM(UPPER(E34)),8,1))&lt;=57,CODE(MID(TRIM(UPPER(E34)),9,1))&gt;=48,CODE(MID(TRIM(UPPER(E34)),9,1))&lt;=57),"N","Y"))</f>
      </c>
      <c r="G34" s="7">
        <f>IF($D34="","",IF(LEN(E34)&lt;4,"",IF(UPPER(MID(E34,4,1))="P","Individual",IF(UPPER(MID(E34,4,1))="H","HUF",IF(UPPER(MID(E34,4,1))="C","Company",IF(UPPER(MID(E34,4,1))="F","Firm",IF(UPPER(MID(E34,4,1))="L","LLP",IF(UPPER(MID(E34,4,1))="T","Trust",IF(UPPER(MID(E34,4,1))="A","AOP","")))))))))</f>
      </c>
      <c r="H34" s="8"/>
      <c r="I34" s="7">
        <f>IF($D34="","",IF(H34="","",IF(F34="Y",SUMPRODUCT(('Rate Lookup'!$A$1:$A$37=H34)*'Rate Lookup'!$D$1:$D$37),IF(OR(G34="Individual",G34="HUF"),SUMPRODUCT(('Rate Lookup'!$A$1:$A$37=H34)*'Rate Lookup'!$B$1:$B$37),SUMPRODUCT(('Rate Lookup'!$A$1:$A$37=H34)*'Rate Lookup'!$C$1:$C$37)))))</f>
      </c>
      <c r="J34" s="8"/>
      <c r="K34" s="8"/>
      <c r="L34" s="7">
        <f>IF($D34="","",ROUND(K34*I34/100,0))</f>
      </c>
      <c r="M34" s="7">
        <f>IF($D34="","",0)</f>
      </c>
      <c r="N34" s="7">
        <f>IF($D34="","",0)</f>
      </c>
      <c r="O34" s="7">
        <f>IF($D34="","",IF(OR(L34=0,J34="",IFERROR(INDEX('Challan Master'!$D$4:$D$207,MATCH($B34,'Challan Master'!$S$4:$S$207,0)),"")="",IFERROR(INDEX('Challan Master'!$D$4:$D$207,MATCH($B34,'Challan Master'!$S$4:$S$207,0)),"")&lt;=0),0,IF(IFERROR(INDEX('Challan Master'!$D$4:$D$207,MATCH($B34,'Challan Master'!$S$4:$S$207,0)),"")&lt;=DATE(YEAR(J34),MONTH(J34)+1,7),0,ROUND(L34*0.015*((YEAR(IFERROR(INDEX('Challan Master'!$D$4:$D$207,MATCH($B34,'Challan Master'!$S$4:$S$207,0)),""))-YEAR(J34))*12+(MONTH(IFERROR(INDEX('Challan Master'!$D$4:$D$207,MATCH($B34,'Challan Master'!$S$4:$S$207,0)),""))-MONTH(J34))+1),0))))</f>
      </c>
      <c r="P34" s="7">
        <f>IF($D34="","",0)</f>
      </c>
      <c r="Q34" s="8"/>
      <c r="R34" s="8"/>
      <c r="S34" s="8"/>
      <c r="T34" s="8"/>
      <c r="U34" s="8"/>
      <c r="V34" s="7">
        <f>IF($B34="","",IFERROR(INDEX('Challan Master'!$AA$4:$AA$207,MATCH($B34,'Challan Master'!$S$4:$S$207,0)),""))</f>
      </c>
    </row>
    <row r="35" spans="1:22" x14ac:dyDescent="0.25">
      <c r="A35" s="7">
        <f>IF($D35="","",COUNTIF($D$4:$D35,"&lt;&gt;"))</f>
      </c>
      <c r="B35" s="8"/>
      <c r="C35" s="7">
        <f>IF($B35="","","BSR "&amp;IFERROR(INDEX('Challan Master'!$B$4:$B$207,MATCH($B35,'Challan Master'!$S$4:$S$207,0)),"")&amp;" | Serial "&amp;IFERROR(INDEX('Challan Master'!$C$4:$C$207,MATCH($B35,'Challan Master'!$S$4:$S$207,0)),"")&amp;" | Deposit "&amp;TEXT(IFERROR(INDEX('Challan Master'!$D$4:$D$207,MATCH($B35,'Challan Master'!$S$4:$S$207,0)),""),"dd-mm-yyyy")&amp;" | Minor Head "&amp;IFERROR(INDEX('Challan Master'!$E$4:$E$207,MATCH($B35,'Challan Master'!$S$4:$S$207,0)),"")&amp;" | Tax ₹"&amp;TEXT(IFERROR(INDEX('Challan Master'!$G$4:$G$207,MATCH($B35,'Challan Master'!$S$4:$S$207,0)),""),"#,##0")&amp;" | Section "&amp;IFERROR(INDEX('Challan Master'!$F$4:$F$207,MATCH($B35,'Challan Master'!$S$4:$S$207,0)),""))</f>
      </c>
      <c r="D35" s="8"/>
      <c r="E35" s="8"/>
      <c r="F35" s="7">
        <f>IF($D35="","",IF(AND(LEN(TRIM(UPPER(E35)))=10,CODE(MID(TRIM(UPPER(E35)),1,1))&gt;=65,CODE(MID(TRIM(UPPER(E35)),1,1))&lt;=90,CODE(MID(TRIM(UPPER(E35)),2,1))&gt;=65,CODE(MID(TRIM(UPPER(E35)),2,1))&lt;=90,CODE(MID(TRIM(UPPER(E35)),3,1))&gt;=65,CODE(MID(TRIM(UPPER(E35)),3,1))&lt;=90,CODE(MID(TRIM(UPPER(E35)),4,1))&gt;=65,CODE(MID(TRIM(UPPER(E35)),4,1))&lt;=90,CODE(MID(TRIM(UPPER(E35)),5,1))&gt;=65,CODE(MID(TRIM(UPPER(E35)),5,1))&lt;=90,CODE(MID(TRIM(UPPER(E35)),10,1))&gt;=65,CODE(MID(TRIM(UPPER(E35)),10,1))&lt;=90,CODE(MID(TRIM(UPPER(E35)),6,1))&gt;=48,CODE(MID(TRIM(UPPER(E35)),6,1))&lt;=57,CODE(MID(TRIM(UPPER(E35)),7,1))&gt;=48,CODE(MID(TRIM(UPPER(E35)),7,1))&lt;=57,CODE(MID(TRIM(UPPER(E35)),8,1))&gt;=48,CODE(MID(TRIM(UPPER(E35)),8,1))&lt;=57,CODE(MID(TRIM(UPPER(E35)),9,1))&gt;=48,CODE(MID(TRIM(UPPER(E35)),9,1))&lt;=57),"N","Y"))</f>
      </c>
      <c r="G35" s="7">
        <f>IF($D35="","",IF(LEN(E35)&lt;4,"",IF(UPPER(MID(E35,4,1))="P","Individual",IF(UPPER(MID(E35,4,1))="H","HUF",IF(UPPER(MID(E35,4,1))="C","Company",IF(UPPER(MID(E35,4,1))="F","Firm",IF(UPPER(MID(E35,4,1))="L","LLP",IF(UPPER(MID(E35,4,1))="T","Trust",IF(UPPER(MID(E35,4,1))="A","AOP","")))))))))</f>
      </c>
      <c r="H35" s="8"/>
      <c r="I35" s="7">
        <f>IF($D35="","",IF(H35="","",IF(F35="Y",SUMPRODUCT(('Rate Lookup'!$A$1:$A$37=H35)*'Rate Lookup'!$D$1:$D$37),IF(OR(G35="Individual",G35="HUF"),SUMPRODUCT(('Rate Lookup'!$A$1:$A$37=H35)*'Rate Lookup'!$B$1:$B$37),SUMPRODUCT(('Rate Lookup'!$A$1:$A$37=H35)*'Rate Lookup'!$C$1:$C$37)))))</f>
      </c>
      <c r="J35" s="8"/>
      <c r="K35" s="8"/>
      <c r="L35" s="7">
        <f>IF($D35="","",ROUND(K35*I35/100,0))</f>
      </c>
      <c r="M35" s="7">
        <f>IF($D35="","",0)</f>
      </c>
      <c r="N35" s="7">
        <f>IF($D35="","",0)</f>
      </c>
      <c r="O35" s="7">
        <f>IF($D35="","",IF(OR(L35=0,J35="",IFERROR(INDEX('Challan Master'!$D$4:$D$207,MATCH($B35,'Challan Master'!$S$4:$S$207,0)),"")="",IFERROR(INDEX('Challan Master'!$D$4:$D$207,MATCH($B35,'Challan Master'!$S$4:$S$207,0)),"")&lt;=0),0,IF(IFERROR(INDEX('Challan Master'!$D$4:$D$207,MATCH($B35,'Challan Master'!$S$4:$S$207,0)),"")&lt;=DATE(YEAR(J35),MONTH(J35)+1,7),0,ROUND(L35*0.015*((YEAR(IFERROR(INDEX('Challan Master'!$D$4:$D$207,MATCH($B35,'Challan Master'!$S$4:$S$207,0)),""))-YEAR(J35))*12+(MONTH(IFERROR(INDEX('Challan Master'!$D$4:$D$207,MATCH($B35,'Challan Master'!$S$4:$S$207,0)),""))-MONTH(J35))+1),0))))</f>
      </c>
      <c r="P35" s="7">
        <f>IF($D35="","",0)</f>
      </c>
      <c r="Q35" s="8"/>
      <c r="R35" s="8"/>
      <c r="S35" s="8"/>
      <c r="T35" s="8"/>
      <c r="U35" s="8"/>
      <c r="V35" s="7">
        <f>IF($B35="","",IFERROR(INDEX('Challan Master'!$AA$4:$AA$207,MATCH($B35,'Challan Master'!$S$4:$S$207,0)),""))</f>
      </c>
    </row>
    <row r="36" spans="1:22" x14ac:dyDescent="0.25">
      <c r="A36" s="7">
        <f>IF($D36="","",COUNTIF($D$4:$D36,"&lt;&gt;"))</f>
      </c>
      <c r="B36" s="8"/>
      <c r="C36" s="7">
        <f>IF($B36="","","BSR "&amp;IFERROR(INDEX('Challan Master'!$B$4:$B$207,MATCH($B36,'Challan Master'!$S$4:$S$207,0)),"")&amp;" | Serial "&amp;IFERROR(INDEX('Challan Master'!$C$4:$C$207,MATCH($B36,'Challan Master'!$S$4:$S$207,0)),"")&amp;" | Deposit "&amp;TEXT(IFERROR(INDEX('Challan Master'!$D$4:$D$207,MATCH($B36,'Challan Master'!$S$4:$S$207,0)),""),"dd-mm-yyyy")&amp;" | Minor Head "&amp;IFERROR(INDEX('Challan Master'!$E$4:$E$207,MATCH($B36,'Challan Master'!$S$4:$S$207,0)),"")&amp;" | Tax ₹"&amp;TEXT(IFERROR(INDEX('Challan Master'!$G$4:$G$207,MATCH($B36,'Challan Master'!$S$4:$S$207,0)),""),"#,##0")&amp;" | Section "&amp;IFERROR(INDEX('Challan Master'!$F$4:$F$207,MATCH($B36,'Challan Master'!$S$4:$S$207,0)),""))</f>
      </c>
      <c r="D36" s="8"/>
      <c r="E36" s="8"/>
      <c r="F36" s="7">
        <f>IF($D36="","",IF(AND(LEN(TRIM(UPPER(E36)))=10,CODE(MID(TRIM(UPPER(E36)),1,1))&gt;=65,CODE(MID(TRIM(UPPER(E36)),1,1))&lt;=90,CODE(MID(TRIM(UPPER(E36)),2,1))&gt;=65,CODE(MID(TRIM(UPPER(E36)),2,1))&lt;=90,CODE(MID(TRIM(UPPER(E36)),3,1))&gt;=65,CODE(MID(TRIM(UPPER(E36)),3,1))&lt;=90,CODE(MID(TRIM(UPPER(E36)),4,1))&gt;=65,CODE(MID(TRIM(UPPER(E36)),4,1))&lt;=90,CODE(MID(TRIM(UPPER(E36)),5,1))&gt;=65,CODE(MID(TRIM(UPPER(E36)),5,1))&lt;=90,CODE(MID(TRIM(UPPER(E36)),10,1))&gt;=65,CODE(MID(TRIM(UPPER(E36)),10,1))&lt;=90,CODE(MID(TRIM(UPPER(E36)),6,1))&gt;=48,CODE(MID(TRIM(UPPER(E36)),6,1))&lt;=57,CODE(MID(TRIM(UPPER(E36)),7,1))&gt;=48,CODE(MID(TRIM(UPPER(E36)),7,1))&lt;=57,CODE(MID(TRIM(UPPER(E36)),8,1))&gt;=48,CODE(MID(TRIM(UPPER(E36)),8,1))&lt;=57,CODE(MID(TRIM(UPPER(E36)),9,1))&gt;=48,CODE(MID(TRIM(UPPER(E36)),9,1))&lt;=57),"N","Y"))</f>
      </c>
      <c r="G36" s="7">
        <f>IF($D36="","",IF(LEN(E36)&lt;4,"",IF(UPPER(MID(E36,4,1))="P","Individual",IF(UPPER(MID(E36,4,1))="H","HUF",IF(UPPER(MID(E36,4,1))="C","Company",IF(UPPER(MID(E36,4,1))="F","Firm",IF(UPPER(MID(E36,4,1))="L","LLP",IF(UPPER(MID(E36,4,1))="T","Trust",IF(UPPER(MID(E36,4,1))="A","AOP","")))))))))</f>
      </c>
      <c r="H36" s="8"/>
      <c r="I36" s="7">
        <f>IF($D36="","",IF(H36="","",IF(F36="Y",SUMPRODUCT(('Rate Lookup'!$A$1:$A$37=H36)*'Rate Lookup'!$D$1:$D$37),IF(OR(G36="Individual",G36="HUF"),SUMPRODUCT(('Rate Lookup'!$A$1:$A$37=H36)*'Rate Lookup'!$B$1:$B$37),SUMPRODUCT(('Rate Lookup'!$A$1:$A$37=H36)*'Rate Lookup'!$C$1:$C$37)))))</f>
      </c>
      <c r="J36" s="8"/>
      <c r="K36" s="8"/>
      <c r="L36" s="7">
        <f>IF($D36="","",ROUND(K36*I36/100,0))</f>
      </c>
      <c r="M36" s="7">
        <f>IF($D36="","",0)</f>
      </c>
      <c r="N36" s="7">
        <f>IF($D36="","",0)</f>
      </c>
      <c r="O36" s="7">
        <f>IF($D36="","",IF(OR(L36=0,J36="",IFERROR(INDEX('Challan Master'!$D$4:$D$207,MATCH($B36,'Challan Master'!$S$4:$S$207,0)),"")="",IFERROR(INDEX('Challan Master'!$D$4:$D$207,MATCH($B36,'Challan Master'!$S$4:$S$207,0)),"")&lt;=0),0,IF(IFERROR(INDEX('Challan Master'!$D$4:$D$207,MATCH($B36,'Challan Master'!$S$4:$S$207,0)),"")&lt;=DATE(YEAR(J36),MONTH(J36)+1,7),0,ROUND(L36*0.015*((YEAR(IFERROR(INDEX('Challan Master'!$D$4:$D$207,MATCH($B36,'Challan Master'!$S$4:$S$207,0)),""))-YEAR(J36))*12+(MONTH(IFERROR(INDEX('Challan Master'!$D$4:$D$207,MATCH($B36,'Challan Master'!$S$4:$S$207,0)),""))-MONTH(J36))+1),0))))</f>
      </c>
      <c r="P36" s="7">
        <f>IF($D36="","",0)</f>
      </c>
      <c r="Q36" s="8"/>
      <c r="R36" s="8"/>
      <c r="S36" s="8"/>
      <c r="T36" s="8"/>
      <c r="U36" s="8"/>
      <c r="V36" s="7">
        <f>IF($B36="","",IFERROR(INDEX('Challan Master'!$AA$4:$AA$207,MATCH($B36,'Challan Master'!$S$4:$S$207,0)),""))</f>
      </c>
    </row>
    <row r="37" spans="1:22" x14ac:dyDescent="0.25">
      <c r="A37" s="7">
        <f>IF($D37="","",COUNTIF($D$4:$D37,"&lt;&gt;"))</f>
      </c>
      <c r="B37" s="8"/>
      <c r="C37" s="7">
        <f>IF($B37="","","BSR "&amp;IFERROR(INDEX('Challan Master'!$B$4:$B$207,MATCH($B37,'Challan Master'!$S$4:$S$207,0)),"")&amp;" | Serial "&amp;IFERROR(INDEX('Challan Master'!$C$4:$C$207,MATCH($B37,'Challan Master'!$S$4:$S$207,0)),"")&amp;" | Deposit "&amp;TEXT(IFERROR(INDEX('Challan Master'!$D$4:$D$207,MATCH($B37,'Challan Master'!$S$4:$S$207,0)),""),"dd-mm-yyyy")&amp;" | Minor Head "&amp;IFERROR(INDEX('Challan Master'!$E$4:$E$207,MATCH($B37,'Challan Master'!$S$4:$S$207,0)),"")&amp;" | Tax ₹"&amp;TEXT(IFERROR(INDEX('Challan Master'!$G$4:$G$207,MATCH($B37,'Challan Master'!$S$4:$S$207,0)),""),"#,##0")&amp;" | Section "&amp;IFERROR(INDEX('Challan Master'!$F$4:$F$207,MATCH($B37,'Challan Master'!$S$4:$S$207,0)),""))</f>
      </c>
      <c r="D37" s="8"/>
      <c r="E37" s="8"/>
      <c r="F37" s="7">
        <f>IF($D37="","",IF(AND(LEN(TRIM(UPPER(E37)))=10,CODE(MID(TRIM(UPPER(E37)),1,1))&gt;=65,CODE(MID(TRIM(UPPER(E37)),1,1))&lt;=90,CODE(MID(TRIM(UPPER(E37)),2,1))&gt;=65,CODE(MID(TRIM(UPPER(E37)),2,1))&lt;=90,CODE(MID(TRIM(UPPER(E37)),3,1))&gt;=65,CODE(MID(TRIM(UPPER(E37)),3,1))&lt;=90,CODE(MID(TRIM(UPPER(E37)),4,1))&gt;=65,CODE(MID(TRIM(UPPER(E37)),4,1))&lt;=90,CODE(MID(TRIM(UPPER(E37)),5,1))&gt;=65,CODE(MID(TRIM(UPPER(E37)),5,1))&lt;=90,CODE(MID(TRIM(UPPER(E37)),10,1))&gt;=65,CODE(MID(TRIM(UPPER(E37)),10,1))&lt;=90,CODE(MID(TRIM(UPPER(E37)),6,1))&gt;=48,CODE(MID(TRIM(UPPER(E37)),6,1))&lt;=57,CODE(MID(TRIM(UPPER(E37)),7,1))&gt;=48,CODE(MID(TRIM(UPPER(E37)),7,1))&lt;=57,CODE(MID(TRIM(UPPER(E37)),8,1))&gt;=48,CODE(MID(TRIM(UPPER(E37)),8,1))&lt;=57,CODE(MID(TRIM(UPPER(E37)),9,1))&gt;=48,CODE(MID(TRIM(UPPER(E37)),9,1))&lt;=57),"N","Y"))</f>
      </c>
      <c r="G37" s="7">
        <f>IF($D37="","",IF(LEN(E37)&lt;4,"",IF(UPPER(MID(E37,4,1))="P","Individual",IF(UPPER(MID(E37,4,1))="H","HUF",IF(UPPER(MID(E37,4,1))="C","Company",IF(UPPER(MID(E37,4,1))="F","Firm",IF(UPPER(MID(E37,4,1))="L","LLP",IF(UPPER(MID(E37,4,1))="T","Trust",IF(UPPER(MID(E37,4,1))="A","AOP","")))))))))</f>
      </c>
      <c r="H37" s="8"/>
      <c r="I37" s="7">
        <f>IF($D37="","",IF(H37="","",IF(F37="Y",SUMPRODUCT(('Rate Lookup'!$A$1:$A$37=H37)*'Rate Lookup'!$D$1:$D$37),IF(OR(G37="Individual",G37="HUF"),SUMPRODUCT(('Rate Lookup'!$A$1:$A$37=H37)*'Rate Lookup'!$B$1:$B$37),SUMPRODUCT(('Rate Lookup'!$A$1:$A$37=H37)*'Rate Lookup'!$C$1:$C$37)))))</f>
      </c>
      <c r="J37" s="8"/>
      <c r="K37" s="8"/>
      <c r="L37" s="7">
        <f>IF($D37="","",ROUND(K37*I37/100,0))</f>
      </c>
      <c r="M37" s="7">
        <f>IF($D37="","",0)</f>
      </c>
      <c r="N37" s="7">
        <f>IF($D37="","",0)</f>
      </c>
      <c r="O37" s="7">
        <f>IF($D37="","",IF(OR(L37=0,J37="",IFERROR(INDEX('Challan Master'!$D$4:$D$207,MATCH($B37,'Challan Master'!$S$4:$S$207,0)),"")="",IFERROR(INDEX('Challan Master'!$D$4:$D$207,MATCH($B37,'Challan Master'!$S$4:$S$207,0)),"")&lt;=0),0,IF(IFERROR(INDEX('Challan Master'!$D$4:$D$207,MATCH($B37,'Challan Master'!$S$4:$S$207,0)),"")&lt;=DATE(YEAR(J37),MONTH(J37)+1,7),0,ROUND(L37*0.015*((YEAR(IFERROR(INDEX('Challan Master'!$D$4:$D$207,MATCH($B37,'Challan Master'!$S$4:$S$207,0)),""))-YEAR(J37))*12+(MONTH(IFERROR(INDEX('Challan Master'!$D$4:$D$207,MATCH($B37,'Challan Master'!$S$4:$S$207,0)),""))-MONTH(J37))+1),0))))</f>
      </c>
      <c r="P37" s="7">
        <f>IF($D37="","",0)</f>
      </c>
      <c r="Q37" s="8"/>
      <c r="R37" s="8"/>
      <c r="S37" s="8"/>
      <c r="T37" s="8"/>
      <c r="U37" s="8"/>
      <c r="V37" s="7">
        <f>IF($B37="","",IFERROR(INDEX('Challan Master'!$AA$4:$AA$207,MATCH($B37,'Challan Master'!$S$4:$S$207,0)),""))</f>
      </c>
    </row>
    <row r="38" spans="1:22" x14ac:dyDescent="0.25">
      <c r="A38" s="7">
        <f>IF($D38="","",COUNTIF($D$4:$D38,"&lt;&gt;"))</f>
      </c>
      <c r="B38" s="8"/>
      <c r="C38" s="7">
        <f>IF($B38="","","BSR "&amp;IFERROR(INDEX('Challan Master'!$B$4:$B$207,MATCH($B38,'Challan Master'!$S$4:$S$207,0)),"")&amp;" | Serial "&amp;IFERROR(INDEX('Challan Master'!$C$4:$C$207,MATCH($B38,'Challan Master'!$S$4:$S$207,0)),"")&amp;" | Deposit "&amp;TEXT(IFERROR(INDEX('Challan Master'!$D$4:$D$207,MATCH($B38,'Challan Master'!$S$4:$S$207,0)),""),"dd-mm-yyyy")&amp;" | Minor Head "&amp;IFERROR(INDEX('Challan Master'!$E$4:$E$207,MATCH($B38,'Challan Master'!$S$4:$S$207,0)),"")&amp;" | Tax ₹"&amp;TEXT(IFERROR(INDEX('Challan Master'!$G$4:$G$207,MATCH($B38,'Challan Master'!$S$4:$S$207,0)),""),"#,##0")&amp;" | Section "&amp;IFERROR(INDEX('Challan Master'!$F$4:$F$207,MATCH($B38,'Challan Master'!$S$4:$S$207,0)),""))</f>
      </c>
      <c r="D38" s="8"/>
      <c r="E38" s="8"/>
      <c r="F38" s="7">
        <f>IF($D38="","",IF(AND(LEN(TRIM(UPPER(E38)))=10,CODE(MID(TRIM(UPPER(E38)),1,1))&gt;=65,CODE(MID(TRIM(UPPER(E38)),1,1))&lt;=90,CODE(MID(TRIM(UPPER(E38)),2,1))&gt;=65,CODE(MID(TRIM(UPPER(E38)),2,1))&lt;=90,CODE(MID(TRIM(UPPER(E38)),3,1))&gt;=65,CODE(MID(TRIM(UPPER(E38)),3,1))&lt;=90,CODE(MID(TRIM(UPPER(E38)),4,1))&gt;=65,CODE(MID(TRIM(UPPER(E38)),4,1))&lt;=90,CODE(MID(TRIM(UPPER(E38)),5,1))&gt;=65,CODE(MID(TRIM(UPPER(E38)),5,1))&lt;=90,CODE(MID(TRIM(UPPER(E38)),10,1))&gt;=65,CODE(MID(TRIM(UPPER(E38)),10,1))&lt;=90,CODE(MID(TRIM(UPPER(E38)),6,1))&gt;=48,CODE(MID(TRIM(UPPER(E38)),6,1))&lt;=57,CODE(MID(TRIM(UPPER(E38)),7,1))&gt;=48,CODE(MID(TRIM(UPPER(E38)),7,1))&lt;=57,CODE(MID(TRIM(UPPER(E38)),8,1))&gt;=48,CODE(MID(TRIM(UPPER(E38)),8,1))&lt;=57,CODE(MID(TRIM(UPPER(E38)),9,1))&gt;=48,CODE(MID(TRIM(UPPER(E38)),9,1))&lt;=57),"N","Y"))</f>
      </c>
      <c r="G38" s="7">
        <f>IF($D38="","",IF(LEN(E38)&lt;4,"",IF(UPPER(MID(E38,4,1))="P","Individual",IF(UPPER(MID(E38,4,1))="H","HUF",IF(UPPER(MID(E38,4,1))="C","Company",IF(UPPER(MID(E38,4,1))="F","Firm",IF(UPPER(MID(E38,4,1))="L","LLP",IF(UPPER(MID(E38,4,1))="T","Trust",IF(UPPER(MID(E38,4,1))="A","AOP","")))))))))</f>
      </c>
      <c r="H38" s="8"/>
      <c r="I38" s="7">
        <f>IF($D38="","",IF(H38="","",IF(F38="Y",SUMPRODUCT(('Rate Lookup'!$A$1:$A$37=H38)*'Rate Lookup'!$D$1:$D$37),IF(OR(G38="Individual",G38="HUF"),SUMPRODUCT(('Rate Lookup'!$A$1:$A$37=H38)*'Rate Lookup'!$B$1:$B$37),SUMPRODUCT(('Rate Lookup'!$A$1:$A$37=H38)*'Rate Lookup'!$C$1:$C$37)))))</f>
      </c>
      <c r="J38" s="8"/>
      <c r="K38" s="8"/>
      <c r="L38" s="7">
        <f>IF($D38="","",ROUND(K38*I38/100,0))</f>
      </c>
      <c r="M38" s="7">
        <f>IF($D38="","",0)</f>
      </c>
      <c r="N38" s="7">
        <f>IF($D38="","",0)</f>
      </c>
      <c r="O38" s="7">
        <f>IF($D38="","",IF(OR(L38=0,J38="",IFERROR(INDEX('Challan Master'!$D$4:$D$207,MATCH($B38,'Challan Master'!$S$4:$S$207,0)),"")="",IFERROR(INDEX('Challan Master'!$D$4:$D$207,MATCH($B38,'Challan Master'!$S$4:$S$207,0)),"")&lt;=0),0,IF(IFERROR(INDEX('Challan Master'!$D$4:$D$207,MATCH($B38,'Challan Master'!$S$4:$S$207,0)),"")&lt;=DATE(YEAR(J38),MONTH(J38)+1,7),0,ROUND(L38*0.015*((YEAR(IFERROR(INDEX('Challan Master'!$D$4:$D$207,MATCH($B38,'Challan Master'!$S$4:$S$207,0)),""))-YEAR(J38))*12+(MONTH(IFERROR(INDEX('Challan Master'!$D$4:$D$207,MATCH($B38,'Challan Master'!$S$4:$S$207,0)),""))-MONTH(J38))+1),0))))</f>
      </c>
      <c r="P38" s="7">
        <f>IF($D38="","",0)</f>
      </c>
      <c r="Q38" s="8"/>
      <c r="R38" s="8"/>
      <c r="S38" s="8"/>
      <c r="T38" s="8"/>
      <c r="U38" s="8"/>
      <c r="V38" s="7">
        <f>IF($B38="","",IFERROR(INDEX('Challan Master'!$AA$4:$AA$207,MATCH($B38,'Challan Master'!$S$4:$S$207,0)),""))</f>
      </c>
    </row>
    <row r="39" spans="1:22" x14ac:dyDescent="0.25">
      <c r="A39" s="7">
        <f>IF($D39="","",COUNTIF($D$4:$D39,"&lt;&gt;"))</f>
      </c>
      <c r="B39" s="8"/>
      <c r="C39" s="7">
        <f>IF($B39="","","BSR "&amp;IFERROR(INDEX('Challan Master'!$B$4:$B$207,MATCH($B39,'Challan Master'!$S$4:$S$207,0)),"")&amp;" | Serial "&amp;IFERROR(INDEX('Challan Master'!$C$4:$C$207,MATCH($B39,'Challan Master'!$S$4:$S$207,0)),"")&amp;" | Deposit "&amp;TEXT(IFERROR(INDEX('Challan Master'!$D$4:$D$207,MATCH($B39,'Challan Master'!$S$4:$S$207,0)),""),"dd-mm-yyyy")&amp;" | Minor Head "&amp;IFERROR(INDEX('Challan Master'!$E$4:$E$207,MATCH($B39,'Challan Master'!$S$4:$S$207,0)),"")&amp;" | Tax ₹"&amp;TEXT(IFERROR(INDEX('Challan Master'!$G$4:$G$207,MATCH($B39,'Challan Master'!$S$4:$S$207,0)),""),"#,##0")&amp;" | Section "&amp;IFERROR(INDEX('Challan Master'!$F$4:$F$207,MATCH($B39,'Challan Master'!$S$4:$S$207,0)),""))</f>
      </c>
      <c r="D39" s="8"/>
      <c r="E39" s="8"/>
      <c r="F39" s="7">
        <f>IF($D39="","",IF(AND(LEN(TRIM(UPPER(E39)))=10,CODE(MID(TRIM(UPPER(E39)),1,1))&gt;=65,CODE(MID(TRIM(UPPER(E39)),1,1))&lt;=90,CODE(MID(TRIM(UPPER(E39)),2,1))&gt;=65,CODE(MID(TRIM(UPPER(E39)),2,1))&lt;=90,CODE(MID(TRIM(UPPER(E39)),3,1))&gt;=65,CODE(MID(TRIM(UPPER(E39)),3,1))&lt;=90,CODE(MID(TRIM(UPPER(E39)),4,1))&gt;=65,CODE(MID(TRIM(UPPER(E39)),4,1))&lt;=90,CODE(MID(TRIM(UPPER(E39)),5,1))&gt;=65,CODE(MID(TRIM(UPPER(E39)),5,1))&lt;=90,CODE(MID(TRIM(UPPER(E39)),10,1))&gt;=65,CODE(MID(TRIM(UPPER(E39)),10,1))&lt;=90,CODE(MID(TRIM(UPPER(E39)),6,1))&gt;=48,CODE(MID(TRIM(UPPER(E39)),6,1))&lt;=57,CODE(MID(TRIM(UPPER(E39)),7,1))&gt;=48,CODE(MID(TRIM(UPPER(E39)),7,1))&lt;=57,CODE(MID(TRIM(UPPER(E39)),8,1))&gt;=48,CODE(MID(TRIM(UPPER(E39)),8,1))&lt;=57,CODE(MID(TRIM(UPPER(E39)),9,1))&gt;=48,CODE(MID(TRIM(UPPER(E39)),9,1))&lt;=57),"N","Y"))</f>
      </c>
      <c r="G39" s="7">
        <f>IF($D39="","",IF(LEN(E39)&lt;4,"",IF(UPPER(MID(E39,4,1))="P","Individual",IF(UPPER(MID(E39,4,1))="H","HUF",IF(UPPER(MID(E39,4,1))="C","Company",IF(UPPER(MID(E39,4,1))="F","Firm",IF(UPPER(MID(E39,4,1))="L","LLP",IF(UPPER(MID(E39,4,1))="T","Trust",IF(UPPER(MID(E39,4,1))="A","AOP","")))))))))</f>
      </c>
      <c r="H39" s="8"/>
      <c r="I39" s="7">
        <f>IF($D39="","",IF(H39="","",IF(F39="Y",SUMPRODUCT(('Rate Lookup'!$A$1:$A$37=H39)*'Rate Lookup'!$D$1:$D$37),IF(OR(G39="Individual",G39="HUF"),SUMPRODUCT(('Rate Lookup'!$A$1:$A$37=H39)*'Rate Lookup'!$B$1:$B$37),SUMPRODUCT(('Rate Lookup'!$A$1:$A$37=H39)*'Rate Lookup'!$C$1:$C$37)))))</f>
      </c>
      <c r="J39" s="8"/>
      <c r="K39" s="8"/>
      <c r="L39" s="7">
        <f>IF($D39="","",ROUND(K39*I39/100,0))</f>
      </c>
      <c r="M39" s="7">
        <f>IF($D39="","",0)</f>
      </c>
      <c r="N39" s="7">
        <f>IF($D39="","",0)</f>
      </c>
      <c r="O39" s="7">
        <f>IF($D39="","",IF(OR(L39=0,J39="",IFERROR(INDEX('Challan Master'!$D$4:$D$207,MATCH($B39,'Challan Master'!$S$4:$S$207,0)),"")="",IFERROR(INDEX('Challan Master'!$D$4:$D$207,MATCH($B39,'Challan Master'!$S$4:$S$207,0)),"")&lt;=0),0,IF(IFERROR(INDEX('Challan Master'!$D$4:$D$207,MATCH($B39,'Challan Master'!$S$4:$S$207,0)),"")&lt;=DATE(YEAR(J39),MONTH(J39)+1,7),0,ROUND(L39*0.015*((YEAR(IFERROR(INDEX('Challan Master'!$D$4:$D$207,MATCH($B39,'Challan Master'!$S$4:$S$207,0)),""))-YEAR(J39))*12+(MONTH(IFERROR(INDEX('Challan Master'!$D$4:$D$207,MATCH($B39,'Challan Master'!$S$4:$S$207,0)),""))-MONTH(J39))+1),0))))</f>
      </c>
      <c r="P39" s="7">
        <f>IF($D39="","",0)</f>
      </c>
      <c r="Q39" s="8"/>
      <c r="R39" s="8"/>
      <c r="S39" s="8"/>
      <c r="T39" s="8"/>
      <c r="U39" s="8"/>
      <c r="V39" s="7">
        <f>IF($B39="","",IFERROR(INDEX('Challan Master'!$AA$4:$AA$207,MATCH($B39,'Challan Master'!$S$4:$S$207,0)),""))</f>
      </c>
    </row>
    <row r="40" spans="1:22" x14ac:dyDescent="0.25">
      <c r="A40" s="7">
        <f>IF($D40="","",COUNTIF($D$4:$D40,"&lt;&gt;"))</f>
      </c>
      <c r="B40" s="8"/>
      <c r="C40" s="7">
        <f>IF($B40="","","BSR "&amp;IFERROR(INDEX('Challan Master'!$B$4:$B$207,MATCH($B40,'Challan Master'!$S$4:$S$207,0)),"")&amp;" | Serial "&amp;IFERROR(INDEX('Challan Master'!$C$4:$C$207,MATCH($B40,'Challan Master'!$S$4:$S$207,0)),"")&amp;" | Deposit "&amp;TEXT(IFERROR(INDEX('Challan Master'!$D$4:$D$207,MATCH($B40,'Challan Master'!$S$4:$S$207,0)),""),"dd-mm-yyyy")&amp;" | Minor Head "&amp;IFERROR(INDEX('Challan Master'!$E$4:$E$207,MATCH($B40,'Challan Master'!$S$4:$S$207,0)),"")&amp;" | Tax ₹"&amp;TEXT(IFERROR(INDEX('Challan Master'!$G$4:$G$207,MATCH($B40,'Challan Master'!$S$4:$S$207,0)),""),"#,##0")&amp;" | Section "&amp;IFERROR(INDEX('Challan Master'!$F$4:$F$207,MATCH($B40,'Challan Master'!$S$4:$S$207,0)),""))</f>
      </c>
      <c r="D40" s="8"/>
      <c r="E40" s="8"/>
      <c r="F40" s="7">
        <f>IF($D40="","",IF(AND(LEN(TRIM(UPPER(E40)))=10,CODE(MID(TRIM(UPPER(E40)),1,1))&gt;=65,CODE(MID(TRIM(UPPER(E40)),1,1))&lt;=90,CODE(MID(TRIM(UPPER(E40)),2,1))&gt;=65,CODE(MID(TRIM(UPPER(E40)),2,1))&lt;=90,CODE(MID(TRIM(UPPER(E40)),3,1))&gt;=65,CODE(MID(TRIM(UPPER(E40)),3,1))&lt;=90,CODE(MID(TRIM(UPPER(E40)),4,1))&gt;=65,CODE(MID(TRIM(UPPER(E40)),4,1))&lt;=90,CODE(MID(TRIM(UPPER(E40)),5,1))&gt;=65,CODE(MID(TRIM(UPPER(E40)),5,1))&lt;=90,CODE(MID(TRIM(UPPER(E40)),10,1))&gt;=65,CODE(MID(TRIM(UPPER(E40)),10,1))&lt;=90,CODE(MID(TRIM(UPPER(E40)),6,1))&gt;=48,CODE(MID(TRIM(UPPER(E40)),6,1))&lt;=57,CODE(MID(TRIM(UPPER(E40)),7,1))&gt;=48,CODE(MID(TRIM(UPPER(E40)),7,1))&lt;=57,CODE(MID(TRIM(UPPER(E40)),8,1))&gt;=48,CODE(MID(TRIM(UPPER(E40)),8,1))&lt;=57,CODE(MID(TRIM(UPPER(E40)),9,1))&gt;=48,CODE(MID(TRIM(UPPER(E40)),9,1))&lt;=57),"N","Y"))</f>
      </c>
      <c r="G40" s="7">
        <f>IF($D40="","",IF(LEN(E40)&lt;4,"",IF(UPPER(MID(E40,4,1))="P","Individual",IF(UPPER(MID(E40,4,1))="H","HUF",IF(UPPER(MID(E40,4,1))="C","Company",IF(UPPER(MID(E40,4,1))="F","Firm",IF(UPPER(MID(E40,4,1))="L","LLP",IF(UPPER(MID(E40,4,1))="T","Trust",IF(UPPER(MID(E40,4,1))="A","AOP","")))))))))</f>
      </c>
      <c r="H40" s="8"/>
      <c r="I40" s="7">
        <f>IF($D40="","",IF(H40="","",IF(F40="Y",SUMPRODUCT(('Rate Lookup'!$A$1:$A$37=H40)*'Rate Lookup'!$D$1:$D$37),IF(OR(G40="Individual",G40="HUF"),SUMPRODUCT(('Rate Lookup'!$A$1:$A$37=H40)*'Rate Lookup'!$B$1:$B$37),SUMPRODUCT(('Rate Lookup'!$A$1:$A$37=H40)*'Rate Lookup'!$C$1:$C$37)))))</f>
      </c>
      <c r="J40" s="8"/>
      <c r="K40" s="8"/>
      <c r="L40" s="7">
        <f>IF($D40="","",ROUND(K40*I40/100,0))</f>
      </c>
      <c r="M40" s="7">
        <f>IF($D40="","",0)</f>
      </c>
      <c r="N40" s="7">
        <f>IF($D40="","",0)</f>
      </c>
      <c r="O40" s="7">
        <f>IF($D40="","",IF(OR(L40=0,J40="",IFERROR(INDEX('Challan Master'!$D$4:$D$207,MATCH($B40,'Challan Master'!$S$4:$S$207,0)),"")="",IFERROR(INDEX('Challan Master'!$D$4:$D$207,MATCH($B40,'Challan Master'!$S$4:$S$207,0)),"")&lt;=0),0,IF(IFERROR(INDEX('Challan Master'!$D$4:$D$207,MATCH($B40,'Challan Master'!$S$4:$S$207,0)),"")&lt;=DATE(YEAR(J40),MONTH(J40)+1,7),0,ROUND(L40*0.015*((YEAR(IFERROR(INDEX('Challan Master'!$D$4:$D$207,MATCH($B40,'Challan Master'!$S$4:$S$207,0)),""))-YEAR(J40))*12+(MONTH(IFERROR(INDEX('Challan Master'!$D$4:$D$207,MATCH($B40,'Challan Master'!$S$4:$S$207,0)),""))-MONTH(J40))+1),0))))</f>
      </c>
      <c r="P40" s="7">
        <f>IF($D40="","",0)</f>
      </c>
      <c r="Q40" s="8"/>
      <c r="R40" s="8"/>
      <c r="S40" s="8"/>
      <c r="T40" s="8"/>
      <c r="U40" s="8"/>
      <c r="V40" s="7">
        <f>IF($B40="","",IFERROR(INDEX('Challan Master'!$AA$4:$AA$207,MATCH($B40,'Challan Master'!$S$4:$S$207,0)),""))</f>
      </c>
    </row>
    <row r="41" spans="1:22" x14ac:dyDescent="0.25">
      <c r="A41" s="7">
        <f>IF($D41="","",COUNTIF($D$4:$D41,"&lt;&gt;"))</f>
      </c>
      <c r="B41" s="8"/>
      <c r="C41" s="7">
        <f>IF($B41="","","BSR "&amp;IFERROR(INDEX('Challan Master'!$B$4:$B$207,MATCH($B41,'Challan Master'!$S$4:$S$207,0)),"")&amp;" | Serial "&amp;IFERROR(INDEX('Challan Master'!$C$4:$C$207,MATCH($B41,'Challan Master'!$S$4:$S$207,0)),"")&amp;" | Deposit "&amp;TEXT(IFERROR(INDEX('Challan Master'!$D$4:$D$207,MATCH($B41,'Challan Master'!$S$4:$S$207,0)),""),"dd-mm-yyyy")&amp;" | Minor Head "&amp;IFERROR(INDEX('Challan Master'!$E$4:$E$207,MATCH($B41,'Challan Master'!$S$4:$S$207,0)),"")&amp;" | Tax ₹"&amp;TEXT(IFERROR(INDEX('Challan Master'!$G$4:$G$207,MATCH($B41,'Challan Master'!$S$4:$S$207,0)),""),"#,##0")&amp;" | Section "&amp;IFERROR(INDEX('Challan Master'!$F$4:$F$207,MATCH($B41,'Challan Master'!$S$4:$S$207,0)),""))</f>
      </c>
      <c r="D41" s="8"/>
      <c r="E41" s="8"/>
      <c r="F41" s="7">
        <f>IF($D41="","",IF(AND(LEN(TRIM(UPPER(E41)))=10,CODE(MID(TRIM(UPPER(E41)),1,1))&gt;=65,CODE(MID(TRIM(UPPER(E41)),1,1))&lt;=90,CODE(MID(TRIM(UPPER(E41)),2,1))&gt;=65,CODE(MID(TRIM(UPPER(E41)),2,1))&lt;=90,CODE(MID(TRIM(UPPER(E41)),3,1))&gt;=65,CODE(MID(TRIM(UPPER(E41)),3,1))&lt;=90,CODE(MID(TRIM(UPPER(E41)),4,1))&gt;=65,CODE(MID(TRIM(UPPER(E41)),4,1))&lt;=90,CODE(MID(TRIM(UPPER(E41)),5,1))&gt;=65,CODE(MID(TRIM(UPPER(E41)),5,1))&lt;=90,CODE(MID(TRIM(UPPER(E41)),10,1))&gt;=65,CODE(MID(TRIM(UPPER(E41)),10,1))&lt;=90,CODE(MID(TRIM(UPPER(E41)),6,1))&gt;=48,CODE(MID(TRIM(UPPER(E41)),6,1))&lt;=57,CODE(MID(TRIM(UPPER(E41)),7,1))&gt;=48,CODE(MID(TRIM(UPPER(E41)),7,1))&lt;=57,CODE(MID(TRIM(UPPER(E41)),8,1))&gt;=48,CODE(MID(TRIM(UPPER(E41)),8,1))&lt;=57,CODE(MID(TRIM(UPPER(E41)),9,1))&gt;=48,CODE(MID(TRIM(UPPER(E41)),9,1))&lt;=57),"N","Y"))</f>
      </c>
      <c r="G41" s="7">
        <f>IF($D41="","",IF(LEN(E41)&lt;4,"",IF(UPPER(MID(E41,4,1))="P","Individual",IF(UPPER(MID(E41,4,1))="H","HUF",IF(UPPER(MID(E41,4,1))="C","Company",IF(UPPER(MID(E41,4,1))="F","Firm",IF(UPPER(MID(E41,4,1))="L","LLP",IF(UPPER(MID(E41,4,1))="T","Trust",IF(UPPER(MID(E41,4,1))="A","AOP","")))))))))</f>
      </c>
      <c r="H41" s="8"/>
      <c r="I41" s="7">
        <f>IF($D41="","",IF(H41="","",IF(F41="Y",SUMPRODUCT(('Rate Lookup'!$A$1:$A$37=H41)*'Rate Lookup'!$D$1:$D$37),IF(OR(G41="Individual",G41="HUF"),SUMPRODUCT(('Rate Lookup'!$A$1:$A$37=H41)*'Rate Lookup'!$B$1:$B$37),SUMPRODUCT(('Rate Lookup'!$A$1:$A$37=H41)*'Rate Lookup'!$C$1:$C$37)))))</f>
      </c>
      <c r="J41" s="8"/>
      <c r="K41" s="8"/>
      <c r="L41" s="7">
        <f>IF($D41="","",ROUND(K41*I41/100,0))</f>
      </c>
      <c r="M41" s="7">
        <f>IF($D41="","",0)</f>
      </c>
      <c r="N41" s="7">
        <f>IF($D41="","",0)</f>
      </c>
      <c r="O41" s="7">
        <f>IF($D41="","",IF(OR(L41=0,J41="",IFERROR(INDEX('Challan Master'!$D$4:$D$207,MATCH($B41,'Challan Master'!$S$4:$S$207,0)),"")="",IFERROR(INDEX('Challan Master'!$D$4:$D$207,MATCH($B41,'Challan Master'!$S$4:$S$207,0)),"")&lt;=0),0,IF(IFERROR(INDEX('Challan Master'!$D$4:$D$207,MATCH($B41,'Challan Master'!$S$4:$S$207,0)),"")&lt;=DATE(YEAR(J41),MONTH(J41)+1,7),0,ROUND(L41*0.015*((YEAR(IFERROR(INDEX('Challan Master'!$D$4:$D$207,MATCH($B41,'Challan Master'!$S$4:$S$207,0)),""))-YEAR(J41))*12+(MONTH(IFERROR(INDEX('Challan Master'!$D$4:$D$207,MATCH($B41,'Challan Master'!$S$4:$S$207,0)),""))-MONTH(J41))+1),0))))</f>
      </c>
      <c r="P41" s="7">
        <f>IF($D41="","",0)</f>
      </c>
      <c r="Q41" s="8"/>
      <c r="R41" s="8"/>
      <c r="S41" s="8"/>
      <c r="T41" s="8"/>
      <c r="U41" s="8"/>
      <c r="V41" s="7">
        <f>IF($B41="","",IFERROR(INDEX('Challan Master'!$AA$4:$AA$207,MATCH($B41,'Challan Master'!$S$4:$S$207,0)),""))</f>
      </c>
    </row>
    <row r="42" spans="1:22" x14ac:dyDescent="0.25">
      <c r="A42" s="7">
        <f>IF($D42="","",COUNTIF($D$4:$D42,"&lt;&gt;"))</f>
      </c>
      <c r="B42" s="8"/>
      <c r="C42" s="7">
        <f>IF($B42="","","BSR "&amp;IFERROR(INDEX('Challan Master'!$B$4:$B$207,MATCH($B42,'Challan Master'!$S$4:$S$207,0)),"")&amp;" | Serial "&amp;IFERROR(INDEX('Challan Master'!$C$4:$C$207,MATCH($B42,'Challan Master'!$S$4:$S$207,0)),"")&amp;" | Deposit "&amp;TEXT(IFERROR(INDEX('Challan Master'!$D$4:$D$207,MATCH($B42,'Challan Master'!$S$4:$S$207,0)),""),"dd-mm-yyyy")&amp;" | Minor Head "&amp;IFERROR(INDEX('Challan Master'!$E$4:$E$207,MATCH($B42,'Challan Master'!$S$4:$S$207,0)),"")&amp;" | Tax ₹"&amp;TEXT(IFERROR(INDEX('Challan Master'!$G$4:$G$207,MATCH($B42,'Challan Master'!$S$4:$S$207,0)),""),"#,##0")&amp;" | Section "&amp;IFERROR(INDEX('Challan Master'!$F$4:$F$207,MATCH($B42,'Challan Master'!$S$4:$S$207,0)),""))</f>
      </c>
      <c r="D42" s="8"/>
      <c r="E42" s="8"/>
      <c r="F42" s="7">
        <f>IF($D42="","",IF(AND(LEN(TRIM(UPPER(E42)))=10,CODE(MID(TRIM(UPPER(E42)),1,1))&gt;=65,CODE(MID(TRIM(UPPER(E42)),1,1))&lt;=90,CODE(MID(TRIM(UPPER(E42)),2,1))&gt;=65,CODE(MID(TRIM(UPPER(E42)),2,1))&lt;=90,CODE(MID(TRIM(UPPER(E42)),3,1))&gt;=65,CODE(MID(TRIM(UPPER(E42)),3,1))&lt;=90,CODE(MID(TRIM(UPPER(E42)),4,1))&gt;=65,CODE(MID(TRIM(UPPER(E42)),4,1))&lt;=90,CODE(MID(TRIM(UPPER(E42)),5,1))&gt;=65,CODE(MID(TRIM(UPPER(E42)),5,1))&lt;=90,CODE(MID(TRIM(UPPER(E42)),10,1))&gt;=65,CODE(MID(TRIM(UPPER(E42)),10,1))&lt;=90,CODE(MID(TRIM(UPPER(E42)),6,1))&gt;=48,CODE(MID(TRIM(UPPER(E42)),6,1))&lt;=57,CODE(MID(TRIM(UPPER(E42)),7,1))&gt;=48,CODE(MID(TRIM(UPPER(E42)),7,1))&lt;=57,CODE(MID(TRIM(UPPER(E42)),8,1))&gt;=48,CODE(MID(TRIM(UPPER(E42)),8,1))&lt;=57,CODE(MID(TRIM(UPPER(E42)),9,1))&gt;=48,CODE(MID(TRIM(UPPER(E42)),9,1))&lt;=57),"N","Y"))</f>
      </c>
      <c r="G42" s="7">
        <f>IF($D42="","",IF(LEN(E42)&lt;4,"",IF(UPPER(MID(E42,4,1))="P","Individual",IF(UPPER(MID(E42,4,1))="H","HUF",IF(UPPER(MID(E42,4,1))="C","Company",IF(UPPER(MID(E42,4,1))="F","Firm",IF(UPPER(MID(E42,4,1))="L","LLP",IF(UPPER(MID(E42,4,1))="T","Trust",IF(UPPER(MID(E42,4,1))="A","AOP","")))))))))</f>
      </c>
      <c r="H42" s="8"/>
      <c r="I42" s="7">
        <f>IF($D42="","",IF(H42="","",IF(F42="Y",SUMPRODUCT(('Rate Lookup'!$A$1:$A$37=H42)*'Rate Lookup'!$D$1:$D$37),IF(OR(G42="Individual",G42="HUF"),SUMPRODUCT(('Rate Lookup'!$A$1:$A$37=H42)*'Rate Lookup'!$B$1:$B$37),SUMPRODUCT(('Rate Lookup'!$A$1:$A$37=H42)*'Rate Lookup'!$C$1:$C$37)))))</f>
      </c>
      <c r="J42" s="8"/>
      <c r="K42" s="8"/>
      <c r="L42" s="7">
        <f>IF($D42="","",ROUND(K42*I42/100,0))</f>
      </c>
      <c r="M42" s="7">
        <f>IF($D42="","",0)</f>
      </c>
      <c r="N42" s="7">
        <f>IF($D42="","",0)</f>
      </c>
      <c r="O42" s="7">
        <f>IF($D42="","",IF(OR(L42=0,J42="",IFERROR(INDEX('Challan Master'!$D$4:$D$207,MATCH($B42,'Challan Master'!$S$4:$S$207,0)),"")="",IFERROR(INDEX('Challan Master'!$D$4:$D$207,MATCH($B42,'Challan Master'!$S$4:$S$207,0)),"")&lt;=0),0,IF(IFERROR(INDEX('Challan Master'!$D$4:$D$207,MATCH($B42,'Challan Master'!$S$4:$S$207,0)),"")&lt;=DATE(YEAR(J42),MONTH(J42)+1,7),0,ROUND(L42*0.015*((YEAR(IFERROR(INDEX('Challan Master'!$D$4:$D$207,MATCH($B42,'Challan Master'!$S$4:$S$207,0)),""))-YEAR(J42))*12+(MONTH(IFERROR(INDEX('Challan Master'!$D$4:$D$207,MATCH($B42,'Challan Master'!$S$4:$S$207,0)),""))-MONTH(J42))+1),0))))</f>
      </c>
      <c r="P42" s="7">
        <f>IF($D42="","",0)</f>
      </c>
      <c r="Q42" s="8"/>
      <c r="R42" s="8"/>
      <c r="S42" s="8"/>
      <c r="T42" s="8"/>
      <c r="U42" s="8"/>
      <c r="V42" s="7">
        <f>IF($B42="","",IFERROR(INDEX('Challan Master'!$AA$4:$AA$207,MATCH($B42,'Challan Master'!$S$4:$S$207,0)),""))</f>
      </c>
    </row>
    <row r="43" spans="1:22" x14ac:dyDescent="0.25">
      <c r="A43" s="7">
        <f>IF($D43="","",COUNTIF($D$4:$D43,"&lt;&gt;"))</f>
      </c>
      <c r="B43" s="8"/>
      <c r="C43" s="7">
        <f>IF($B43="","","BSR "&amp;IFERROR(INDEX('Challan Master'!$B$4:$B$207,MATCH($B43,'Challan Master'!$S$4:$S$207,0)),"")&amp;" | Serial "&amp;IFERROR(INDEX('Challan Master'!$C$4:$C$207,MATCH($B43,'Challan Master'!$S$4:$S$207,0)),"")&amp;" | Deposit "&amp;TEXT(IFERROR(INDEX('Challan Master'!$D$4:$D$207,MATCH($B43,'Challan Master'!$S$4:$S$207,0)),""),"dd-mm-yyyy")&amp;" | Minor Head "&amp;IFERROR(INDEX('Challan Master'!$E$4:$E$207,MATCH($B43,'Challan Master'!$S$4:$S$207,0)),"")&amp;" | Tax ₹"&amp;TEXT(IFERROR(INDEX('Challan Master'!$G$4:$G$207,MATCH($B43,'Challan Master'!$S$4:$S$207,0)),""),"#,##0")&amp;" | Section "&amp;IFERROR(INDEX('Challan Master'!$F$4:$F$207,MATCH($B43,'Challan Master'!$S$4:$S$207,0)),""))</f>
      </c>
      <c r="D43" s="8"/>
      <c r="E43" s="8"/>
      <c r="F43" s="7">
        <f>IF($D43="","",IF(AND(LEN(TRIM(UPPER(E43)))=10,CODE(MID(TRIM(UPPER(E43)),1,1))&gt;=65,CODE(MID(TRIM(UPPER(E43)),1,1))&lt;=90,CODE(MID(TRIM(UPPER(E43)),2,1))&gt;=65,CODE(MID(TRIM(UPPER(E43)),2,1))&lt;=90,CODE(MID(TRIM(UPPER(E43)),3,1))&gt;=65,CODE(MID(TRIM(UPPER(E43)),3,1))&lt;=90,CODE(MID(TRIM(UPPER(E43)),4,1))&gt;=65,CODE(MID(TRIM(UPPER(E43)),4,1))&lt;=90,CODE(MID(TRIM(UPPER(E43)),5,1))&gt;=65,CODE(MID(TRIM(UPPER(E43)),5,1))&lt;=90,CODE(MID(TRIM(UPPER(E43)),10,1))&gt;=65,CODE(MID(TRIM(UPPER(E43)),10,1))&lt;=90,CODE(MID(TRIM(UPPER(E43)),6,1))&gt;=48,CODE(MID(TRIM(UPPER(E43)),6,1))&lt;=57,CODE(MID(TRIM(UPPER(E43)),7,1))&gt;=48,CODE(MID(TRIM(UPPER(E43)),7,1))&lt;=57,CODE(MID(TRIM(UPPER(E43)),8,1))&gt;=48,CODE(MID(TRIM(UPPER(E43)),8,1))&lt;=57,CODE(MID(TRIM(UPPER(E43)),9,1))&gt;=48,CODE(MID(TRIM(UPPER(E43)),9,1))&lt;=57),"N","Y"))</f>
      </c>
      <c r="G43" s="7">
        <f>IF($D43="","",IF(LEN(E43)&lt;4,"",IF(UPPER(MID(E43,4,1))="P","Individual",IF(UPPER(MID(E43,4,1))="H","HUF",IF(UPPER(MID(E43,4,1))="C","Company",IF(UPPER(MID(E43,4,1))="F","Firm",IF(UPPER(MID(E43,4,1))="L","LLP",IF(UPPER(MID(E43,4,1))="T","Trust",IF(UPPER(MID(E43,4,1))="A","AOP","")))))))))</f>
      </c>
      <c r="H43" s="8"/>
      <c r="I43" s="7">
        <f>IF($D43="","",IF(H43="","",IF(F43="Y",SUMPRODUCT(('Rate Lookup'!$A$1:$A$37=H43)*'Rate Lookup'!$D$1:$D$37),IF(OR(G43="Individual",G43="HUF"),SUMPRODUCT(('Rate Lookup'!$A$1:$A$37=H43)*'Rate Lookup'!$B$1:$B$37),SUMPRODUCT(('Rate Lookup'!$A$1:$A$37=H43)*'Rate Lookup'!$C$1:$C$37)))))</f>
      </c>
      <c r="J43" s="8"/>
      <c r="K43" s="8"/>
      <c r="L43" s="7">
        <f>IF($D43="","",ROUND(K43*I43/100,0))</f>
      </c>
      <c r="M43" s="7">
        <f>IF($D43="","",0)</f>
      </c>
      <c r="N43" s="7">
        <f>IF($D43="","",0)</f>
      </c>
      <c r="O43" s="7">
        <f>IF($D43="","",IF(OR(L43=0,J43="",IFERROR(INDEX('Challan Master'!$D$4:$D$207,MATCH($B43,'Challan Master'!$S$4:$S$207,0)),"")="",IFERROR(INDEX('Challan Master'!$D$4:$D$207,MATCH($B43,'Challan Master'!$S$4:$S$207,0)),"")&lt;=0),0,IF(IFERROR(INDEX('Challan Master'!$D$4:$D$207,MATCH($B43,'Challan Master'!$S$4:$S$207,0)),"")&lt;=DATE(YEAR(J43),MONTH(J43)+1,7),0,ROUND(L43*0.015*((YEAR(IFERROR(INDEX('Challan Master'!$D$4:$D$207,MATCH($B43,'Challan Master'!$S$4:$S$207,0)),""))-YEAR(J43))*12+(MONTH(IFERROR(INDEX('Challan Master'!$D$4:$D$207,MATCH($B43,'Challan Master'!$S$4:$S$207,0)),""))-MONTH(J43))+1),0))))</f>
      </c>
      <c r="P43" s="7">
        <f>IF($D43="","",0)</f>
      </c>
      <c r="Q43" s="8"/>
      <c r="R43" s="8"/>
      <c r="S43" s="8"/>
      <c r="T43" s="8"/>
      <c r="U43" s="8"/>
      <c r="V43" s="7">
        <f>IF($B43="","",IFERROR(INDEX('Challan Master'!$AA$4:$AA$207,MATCH($B43,'Challan Master'!$S$4:$S$207,0)),""))</f>
      </c>
    </row>
    <row r="44" spans="1:22" x14ac:dyDescent="0.25">
      <c r="A44" s="7">
        <f>IF($D44="","",COUNTIF($D$4:$D44,"&lt;&gt;"))</f>
      </c>
      <c r="B44" s="8"/>
      <c r="C44" s="7">
        <f>IF($B44="","","BSR "&amp;IFERROR(INDEX('Challan Master'!$B$4:$B$207,MATCH($B44,'Challan Master'!$S$4:$S$207,0)),"")&amp;" | Serial "&amp;IFERROR(INDEX('Challan Master'!$C$4:$C$207,MATCH($B44,'Challan Master'!$S$4:$S$207,0)),"")&amp;" | Deposit "&amp;TEXT(IFERROR(INDEX('Challan Master'!$D$4:$D$207,MATCH($B44,'Challan Master'!$S$4:$S$207,0)),""),"dd-mm-yyyy")&amp;" | Minor Head "&amp;IFERROR(INDEX('Challan Master'!$E$4:$E$207,MATCH($B44,'Challan Master'!$S$4:$S$207,0)),"")&amp;" | Tax ₹"&amp;TEXT(IFERROR(INDEX('Challan Master'!$G$4:$G$207,MATCH($B44,'Challan Master'!$S$4:$S$207,0)),""),"#,##0")&amp;" | Section "&amp;IFERROR(INDEX('Challan Master'!$F$4:$F$207,MATCH($B44,'Challan Master'!$S$4:$S$207,0)),""))</f>
      </c>
      <c r="D44" s="8"/>
      <c r="E44" s="8"/>
      <c r="F44" s="7">
        <f>IF($D44="","",IF(AND(LEN(TRIM(UPPER(E44)))=10,CODE(MID(TRIM(UPPER(E44)),1,1))&gt;=65,CODE(MID(TRIM(UPPER(E44)),1,1))&lt;=90,CODE(MID(TRIM(UPPER(E44)),2,1))&gt;=65,CODE(MID(TRIM(UPPER(E44)),2,1))&lt;=90,CODE(MID(TRIM(UPPER(E44)),3,1))&gt;=65,CODE(MID(TRIM(UPPER(E44)),3,1))&lt;=90,CODE(MID(TRIM(UPPER(E44)),4,1))&gt;=65,CODE(MID(TRIM(UPPER(E44)),4,1))&lt;=90,CODE(MID(TRIM(UPPER(E44)),5,1))&gt;=65,CODE(MID(TRIM(UPPER(E44)),5,1))&lt;=90,CODE(MID(TRIM(UPPER(E44)),10,1))&gt;=65,CODE(MID(TRIM(UPPER(E44)),10,1))&lt;=90,CODE(MID(TRIM(UPPER(E44)),6,1))&gt;=48,CODE(MID(TRIM(UPPER(E44)),6,1))&lt;=57,CODE(MID(TRIM(UPPER(E44)),7,1))&gt;=48,CODE(MID(TRIM(UPPER(E44)),7,1))&lt;=57,CODE(MID(TRIM(UPPER(E44)),8,1))&gt;=48,CODE(MID(TRIM(UPPER(E44)),8,1))&lt;=57,CODE(MID(TRIM(UPPER(E44)),9,1))&gt;=48,CODE(MID(TRIM(UPPER(E44)),9,1))&lt;=57),"N","Y"))</f>
      </c>
      <c r="G44" s="7">
        <f>IF($D44="","",IF(LEN(E44)&lt;4,"",IF(UPPER(MID(E44,4,1))="P","Individual",IF(UPPER(MID(E44,4,1))="H","HUF",IF(UPPER(MID(E44,4,1))="C","Company",IF(UPPER(MID(E44,4,1))="F","Firm",IF(UPPER(MID(E44,4,1))="L","LLP",IF(UPPER(MID(E44,4,1))="T","Trust",IF(UPPER(MID(E44,4,1))="A","AOP","")))))))))</f>
      </c>
      <c r="H44" s="8"/>
      <c r="I44" s="7">
        <f>IF($D44="","",IF(H44="","",IF(F44="Y",SUMPRODUCT(('Rate Lookup'!$A$1:$A$37=H44)*'Rate Lookup'!$D$1:$D$37),IF(OR(G44="Individual",G44="HUF"),SUMPRODUCT(('Rate Lookup'!$A$1:$A$37=H44)*'Rate Lookup'!$B$1:$B$37),SUMPRODUCT(('Rate Lookup'!$A$1:$A$37=H44)*'Rate Lookup'!$C$1:$C$37)))))</f>
      </c>
      <c r="J44" s="8"/>
      <c r="K44" s="8"/>
      <c r="L44" s="7">
        <f>IF($D44="","",ROUND(K44*I44/100,0))</f>
      </c>
      <c r="M44" s="7">
        <f>IF($D44="","",0)</f>
      </c>
      <c r="N44" s="7">
        <f>IF($D44="","",0)</f>
      </c>
      <c r="O44" s="7">
        <f>IF($D44="","",IF(OR(L44=0,J44="",IFERROR(INDEX('Challan Master'!$D$4:$D$207,MATCH($B44,'Challan Master'!$S$4:$S$207,0)),"")="",IFERROR(INDEX('Challan Master'!$D$4:$D$207,MATCH($B44,'Challan Master'!$S$4:$S$207,0)),"")&lt;=0),0,IF(IFERROR(INDEX('Challan Master'!$D$4:$D$207,MATCH($B44,'Challan Master'!$S$4:$S$207,0)),"")&lt;=DATE(YEAR(J44),MONTH(J44)+1,7),0,ROUND(L44*0.015*((YEAR(IFERROR(INDEX('Challan Master'!$D$4:$D$207,MATCH($B44,'Challan Master'!$S$4:$S$207,0)),""))-YEAR(J44))*12+(MONTH(IFERROR(INDEX('Challan Master'!$D$4:$D$207,MATCH($B44,'Challan Master'!$S$4:$S$207,0)),""))-MONTH(J44))+1),0))))</f>
      </c>
      <c r="P44" s="7">
        <f>IF($D44="","",0)</f>
      </c>
      <c r="Q44" s="8"/>
      <c r="R44" s="8"/>
      <c r="S44" s="8"/>
      <c r="T44" s="8"/>
      <c r="U44" s="8"/>
      <c r="V44" s="7">
        <f>IF($B44="","",IFERROR(INDEX('Challan Master'!$AA$4:$AA$207,MATCH($B44,'Challan Master'!$S$4:$S$207,0)),""))</f>
      </c>
    </row>
    <row r="45" spans="1:22" x14ac:dyDescent="0.25">
      <c r="A45" s="7">
        <f>IF($D45="","",COUNTIF($D$4:$D45,"&lt;&gt;"))</f>
      </c>
      <c r="B45" s="8"/>
      <c r="C45" s="7">
        <f>IF($B45="","","BSR "&amp;IFERROR(INDEX('Challan Master'!$B$4:$B$207,MATCH($B45,'Challan Master'!$S$4:$S$207,0)),"")&amp;" | Serial "&amp;IFERROR(INDEX('Challan Master'!$C$4:$C$207,MATCH($B45,'Challan Master'!$S$4:$S$207,0)),"")&amp;" | Deposit "&amp;TEXT(IFERROR(INDEX('Challan Master'!$D$4:$D$207,MATCH($B45,'Challan Master'!$S$4:$S$207,0)),""),"dd-mm-yyyy")&amp;" | Minor Head "&amp;IFERROR(INDEX('Challan Master'!$E$4:$E$207,MATCH($B45,'Challan Master'!$S$4:$S$207,0)),"")&amp;" | Tax ₹"&amp;TEXT(IFERROR(INDEX('Challan Master'!$G$4:$G$207,MATCH($B45,'Challan Master'!$S$4:$S$207,0)),""),"#,##0")&amp;" | Section "&amp;IFERROR(INDEX('Challan Master'!$F$4:$F$207,MATCH($B45,'Challan Master'!$S$4:$S$207,0)),""))</f>
      </c>
      <c r="D45" s="8"/>
      <c r="E45" s="8"/>
      <c r="F45" s="7">
        <f>IF($D45="","",IF(AND(LEN(TRIM(UPPER(E45)))=10,CODE(MID(TRIM(UPPER(E45)),1,1))&gt;=65,CODE(MID(TRIM(UPPER(E45)),1,1))&lt;=90,CODE(MID(TRIM(UPPER(E45)),2,1))&gt;=65,CODE(MID(TRIM(UPPER(E45)),2,1))&lt;=90,CODE(MID(TRIM(UPPER(E45)),3,1))&gt;=65,CODE(MID(TRIM(UPPER(E45)),3,1))&lt;=90,CODE(MID(TRIM(UPPER(E45)),4,1))&gt;=65,CODE(MID(TRIM(UPPER(E45)),4,1))&lt;=90,CODE(MID(TRIM(UPPER(E45)),5,1))&gt;=65,CODE(MID(TRIM(UPPER(E45)),5,1))&lt;=90,CODE(MID(TRIM(UPPER(E45)),10,1))&gt;=65,CODE(MID(TRIM(UPPER(E45)),10,1))&lt;=90,CODE(MID(TRIM(UPPER(E45)),6,1))&gt;=48,CODE(MID(TRIM(UPPER(E45)),6,1))&lt;=57,CODE(MID(TRIM(UPPER(E45)),7,1))&gt;=48,CODE(MID(TRIM(UPPER(E45)),7,1))&lt;=57,CODE(MID(TRIM(UPPER(E45)),8,1))&gt;=48,CODE(MID(TRIM(UPPER(E45)),8,1))&lt;=57,CODE(MID(TRIM(UPPER(E45)),9,1))&gt;=48,CODE(MID(TRIM(UPPER(E45)),9,1))&lt;=57),"N","Y"))</f>
      </c>
      <c r="G45" s="7">
        <f>IF($D45="","",IF(LEN(E45)&lt;4,"",IF(UPPER(MID(E45,4,1))="P","Individual",IF(UPPER(MID(E45,4,1))="H","HUF",IF(UPPER(MID(E45,4,1))="C","Company",IF(UPPER(MID(E45,4,1))="F","Firm",IF(UPPER(MID(E45,4,1))="L","LLP",IF(UPPER(MID(E45,4,1))="T","Trust",IF(UPPER(MID(E45,4,1))="A","AOP","")))))))))</f>
      </c>
      <c r="H45" s="8"/>
      <c r="I45" s="7">
        <f>IF($D45="","",IF(H45="","",IF(F45="Y",SUMPRODUCT(('Rate Lookup'!$A$1:$A$37=H45)*'Rate Lookup'!$D$1:$D$37),IF(OR(G45="Individual",G45="HUF"),SUMPRODUCT(('Rate Lookup'!$A$1:$A$37=H45)*'Rate Lookup'!$B$1:$B$37),SUMPRODUCT(('Rate Lookup'!$A$1:$A$37=H45)*'Rate Lookup'!$C$1:$C$37)))))</f>
      </c>
      <c r="J45" s="8"/>
      <c r="K45" s="8"/>
      <c r="L45" s="7">
        <f>IF($D45="","",ROUND(K45*I45/100,0))</f>
      </c>
      <c r="M45" s="7">
        <f>IF($D45="","",0)</f>
      </c>
      <c r="N45" s="7">
        <f>IF($D45="","",0)</f>
      </c>
      <c r="O45" s="7">
        <f>IF($D45="","",IF(OR(L45=0,J45="",IFERROR(INDEX('Challan Master'!$D$4:$D$207,MATCH($B45,'Challan Master'!$S$4:$S$207,0)),"")="",IFERROR(INDEX('Challan Master'!$D$4:$D$207,MATCH($B45,'Challan Master'!$S$4:$S$207,0)),"")&lt;=0),0,IF(IFERROR(INDEX('Challan Master'!$D$4:$D$207,MATCH($B45,'Challan Master'!$S$4:$S$207,0)),"")&lt;=DATE(YEAR(J45),MONTH(J45)+1,7),0,ROUND(L45*0.015*((YEAR(IFERROR(INDEX('Challan Master'!$D$4:$D$207,MATCH($B45,'Challan Master'!$S$4:$S$207,0)),""))-YEAR(J45))*12+(MONTH(IFERROR(INDEX('Challan Master'!$D$4:$D$207,MATCH($B45,'Challan Master'!$S$4:$S$207,0)),""))-MONTH(J45))+1),0))))</f>
      </c>
      <c r="P45" s="7">
        <f>IF($D45="","",0)</f>
      </c>
      <c r="Q45" s="8"/>
      <c r="R45" s="8"/>
      <c r="S45" s="8"/>
      <c r="T45" s="8"/>
      <c r="U45" s="8"/>
      <c r="V45" s="7">
        <f>IF($B45="","",IFERROR(INDEX('Challan Master'!$AA$4:$AA$207,MATCH($B45,'Challan Master'!$S$4:$S$207,0)),""))</f>
      </c>
    </row>
    <row r="46" spans="1:22" x14ac:dyDescent="0.25">
      <c r="A46" s="7">
        <f>IF($D46="","",COUNTIF($D$4:$D46,"&lt;&gt;"))</f>
      </c>
      <c r="B46" s="8"/>
      <c r="C46" s="7">
        <f>IF($B46="","","BSR "&amp;IFERROR(INDEX('Challan Master'!$B$4:$B$207,MATCH($B46,'Challan Master'!$S$4:$S$207,0)),"")&amp;" | Serial "&amp;IFERROR(INDEX('Challan Master'!$C$4:$C$207,MATCH($B46,'Challan Master'!$S$4:$S$207,0)),"")&amp;" | Deposit "&amp;TEXT(IFERROR(INDEX('Challan Master'!$D$4:$D$207,MATCH($B46,'Challan Master'!$S$4:$S$207,0)),""),"dd-mm-yyyy")&amp;" | Minor Head "&amp;IFERROR(INDEX('Challan Master'!$E$4:$E$207,MATCH($B46,'Challan Master'!$S$4:$S$207,0)),"")&amp;" | Tax ₹"&amp;TEXT(IFERROR(INDEX('Challan Master'!$G$4:$G$207,MATCH($B46,'Challan Master'!$S$4:$S$207,0)),""),"#,##0")&amp;" | Section "&amp;IFERROR(INDEX('Challan Master'!$F$4:$F$207,MATCH($B46,'Challan Master'!$S$4:$S$207,0)),""))</f>
      </c>
      <c r="D46" s="8"/>
      <c r="E46" s="8"/>
      <c r="F46" s="7">
        <f>IF($D46="","",IF(AND(LEN(TRIM(UPPER(E46)))=10,CODE(MID(TRIM(UPPER(E46)),1,1))&gt;=65,CODE(MID(TRIM(UPPER(E46)),1,1))&lt;=90,CODE(MID(TRIM(UPPER(E46)),2,1))&gt;=65,CODE(MID(TRIM(UPPER(E46)),2,1))&lt;=90,CODE(MID(TRIM(UPPER(E46)),3,1))&gt;=65,CODE(MID(TRIM(UPPER(E46)),3,1))&lt;=90,CODE(MID(TRIM(UPPER(E46)),4,1))&gt;=65,CODE(MID(TRIM(UPPER(E46)),4,1))&lt;=90,CODE(MID(TRIM(UPPER(E46)),5,1))&gt;=65,CODE(MID(TRIM(UPPER(E46)),5,1))&lt;=90,CODE(MID(TRIM(UPPER(E46)),10,1))&gt;=65,CODE(MID(TRIM(UPPER(E46)),10,1))&lt;=90,CODE(MID(TRIM(UPPER(E46)),6,1))&gt;=48,CODE(MID(TRIM(UPPER(E46)),6,1))&lt;=57,CODE(MID(TRIM(UPPER(E46)),7,1))&gt;=48,CODE(MID(TRIM(UPPER(E46)),7,1))&lt;=57,CODE(MID(TRIM(UPPER(E46)),8,1))&gt;=48,CODE(MID(TRIM(UPPER(E46)),8,1))&lt;=57,CODE(MID(TRIM(UPPER(E46)),9,1))&gt;=48,CODE(MID(TRIM(UPPER(E46)),9,1))&lt;=57),"N","Y"))</f>
      </c>
      <c r="G46" s="7">
        <f>IF($D46="","",IF(LEN(E46)&lt;4,"",IF(UPPER(MID(E46,4,1))="P","Individual",IF(UPPER(MID(E46,4,1))="H","HUF",IF(UPPER(MID(E46,4,1))="C","Company",IF(UPPER(MID(E46,4,1))="F","Firm",IF(UPPER(MID(E46,4,1))="L","LLP",IF(UPPER(MID(E46,4,1))="T","Trust",IF(UPPER(MID(E46,4,1))="A","AOP","")))))))))</f>
      </c>
      <c r="H46" s="8"/>
      <c r="I46" s="7">
        <f>IF($D46="","",IF(H46="","",IF(F46="Y",SUMPRODUCT(('Rate Lookup'!$A$1:$A$37=H46)*'Rate Lookup'!$D$1:$D$37),IF(OR(G46="Individual",G46="HUF"),SUMPRODUCT(('Rate Lookup'!$A$1:$A$37=H46)*'Rate Lookup'!$B$1:$B$37),SUMPRODUCT(('Rate Lookup'!$A$1:$A$37=H46)*'Rate Lookup'!$C$1:$C$37)))))</f>
      </c>
      <c r="J46" s="8"/>
      <c r="K46" s="8"/>
      <c r="L46" s="7">
        <f>IF($D46="","",ROUND(K46*I46/100,0))</f>
      </c>
      <c r="M46" s="7">
        <f>IF($D46="","",0)</f>
      </c>
      <c r="N46" s="7">
        <f>IF($D46="","",0)</f>
      </c>
      <c r="O46" s="7">
        <f>IF($D46="","",IF(OR(L46=0,J46="",IFERROR(INDEX('Challan Master'!$D$4:$D$207,MATCH($B46,'Challan Master'!$S$4:$S$207,0)),"")="",IFERROR(INDEX('Challan Master'!$D$4:$D$207,MATCH($B46,'Challan Master'!$S$4:$S$207,0)),"")&lt;=0),0,IF(IFERROR(INDEX('Challan Master'!$D$4:$D$207,MATCH($B46,'Challan Master'!$S$4:$S$207,0)),"")&lt;=DATE(YEAR(J46),MONTH(J46)+1,7),0,ROUND(L46*0.015*((YEAR(IFERROR(INDEX('Challan Master'!$D$4:$D$207,MATCH($B46,'Challan Master'!$S$4:$S$207,0)),""))-YEAR(J46))*12+(MONTH(IFERROR(INDEX('Challan Master'!$D$4:$D$207,MATCH($B46,'Challan Master'!$S$4:$S$207,0)),""))-MONTH(J46))+1),0))))</f>
      </c>
      <c r="P46" s="7">
        <f>IF($D46="","",0)</f>
      </c>
      <c r="Q46" s="8"/>
      <c r="R46" s="8"/>
      <c r="S46" s="8"/>
      <c r="T46" s="8"/>
      <c r="U46" s="8"/>
      <c r="V46" s="7">
        <f>IF($B46="","",IFERROR(INDEX('Challan Master'!$AA$4:$AA$207,MATCH($B46,'Challan Master'!$S$4:$S$207,0)),""))</f>
      </c>
    </row>
    <row r="47" spans="1:22" x14ac:dyDescent="0.25">
      <c r="A47" s="7">
        <f>IF($D47="","",COUNTIF($D$4:$D47,"&lt;&gt;"))</f>
      </c>
      <c r="B47" s="8"/>
      <c r="C47" s="7">
        <f>IF($B47="","","BSR "&amp;IFERROR(INDEX('Challan Master'!$B$4:$B$207,MATCH($B47,'Challan Master'!$S$4:$S$207,0)),"")&amp;" | Serial "&amp;IFERROR(INDEX('Challan Master'!$C$4:$C$207,MATCH($B47,'Challan Master'!$S$4:$S$207,0)),"")&amp;" | Deposit "&amp;TEXT(IFERROR(INDEX('Challan Master'!$D$4:$D$207,MATCH($B47,'Challan Master'!$S$4:$S$207,0)),""),"dd-mm-yyyy")&amp;" | Minor Head "&amp;IFERROR(INDEX('Challan Master'!$E$4:$E$207,MATCH($B47,'Challan Master'!$S$4:$S$207,0)),"")&amp;" | Tax ₹"&amp;TEXT(IFERROR(INDEX('Challan Master'!$G$4:$G$207,MATCH($B47,'Challan Master'!$S$4:$S$207,0)),""),"#,##0")&amp;" | Section "&amp;IFERROR(INDEX('Challan Master'!$F$4:$F$207,MATCH($B47,'Challan Master'!$S$4:$S$207,0)),""))</f>
      </c>
      <c r="D47" s="8"/>
      <c r="E47" s="8"/>
      <c r="F47" s="7">
        <f>IF($D47="","",IF(AND(LEN(TRIM(UPPER(E47)))=10,CODE(MID(TRIM(UPPER(E47)),1,1))&gt;=65,CODE(MID(TRIM(UPPER(E47)),1,1))&lt;=90,CODE(MID(TRIM(UPPER(E47)),2,1))&gt;=65,CODE(MID(TRIM(UPPER(E47)),2,1))&lt;=90,CODE(MID(TRIM(UPPER(E47)),3,1))&gt;=65,CODE(MID(TRIM(UPPER(E47)),3,1))&lt;=90,CODE(MID(TRIM(UPPER(E47)),4,1))&gt;=65,CODE(MID(TRIM(UPPER(E47)),4,1))&lt;=90,CODE(MID(TRIM(UPPER(E47)),5,1))&gt;=65,CODE(MID(TRIM(UPPER(E47)),5,1))&lt;=90,CODE(MID(TRIM(UPPER(E47)),10,1))&gt;=65,CODE(MID(TRIM(UPPER(E47)),10,1))&lt;=90,CODE(MID(TRIM(UPPER(E47)),6,1))&gt;=48,CODE(MID(TRIM(UPPER(E47)),6,1))&lt;=57,CODE(MID(TRIM(UPPER(E47)),7,1))&gt;=48,CODE(MID(TRIM(UPPER(E47)),7,1))&lt;=57,CODE(MID(TRIM(UPPER(E47)),8,1))&gt;=48,CODE(MID(TRIM(UPPER(E47)),8,1))&lt;=57,CODE(MID(TRIM(UPPER(E47)),9,1))&gt;=48,CODE(MID(TRIM(UPPER(E47)),9,1))&lt;=57),"N","Y"))</f>
      </c>
      <c r="G47" s="7">
        <f>IF($D47="","",IF(LEN(E47)&lt;4,"",IF(UPPER(MID(E47,4,1))="P","Individual",IF(UPPER(MID(E47,4,1))="H","HUF",IF(UPPER(MID(E47,4,1))="C","Company",IF(UPPER(MID(E47,4,1))="F","Firm",IF(UPPER(MID(E47,4,1))="L","LLP",IF(UPPER(MID(E47,4,1))="T","Trust",IF(UPPER(MID(E47,4,1))="A","AOP","")))))))))</f>
      </c>
      <c r="H47" s="8"/>
      <c r="I47" s="7">
        <f>IF($D47="","",IF(H47="","",IF(F47="Y",SUMPRODUCT(('Rate Lookup'!$A$1:$A$37=H47)*'Rate Lookup'!$D$1:$D$37),IF(OR(G47="Individual",G47="HUF"),SUMPRODUCT(('Rate Lookup'!$A$1:$A$37=H47)*'Rate Lookup'!$B$1:$B$37),SUMPRODUCT(('Rate Lookup'!$A$1:$A$37=H47)*'Rate Lookup'!$C$1:$C$37)))))</f>
      </c>
      <c r="J47" s="8"/>
      <c r="K47" s="8"/>
      <c r="L47" s="7">
        <f>IF($D47="","",ROUND(K47*I47/100,0))</f>
      </c>
      <c r="M47" s="7">
        <f>IF($D47="","",0)</f>
      </c>
      <c r="N47" s="7">
        <f>IF($D47="","",0)</f>
      </c>
      <c r="O47" s="7">
        <f>IF($D47="","",IF(OR(L47=0,J47="",IFERROR(INDEX('Challan Master'!$D$4:$D$207,MATCH($B47,'Challan Master'!$S$4:$S$207,0)),"")="",IFERROR(INDEX('Challan Master'!$D$4:$D$207,MATCH($B47,'Challan Master'!$S$4:$S$207,0)),"")&lt;=0),0,IF(IFERROR(INDEX('Challan Master'!$D$4:$D$207,MATCH($B47,'Challan Master'!$S$4:$S$207,0)),"")&lt;=DATE(YEAR(J47),MONTH(J47)+1,7),0,ROUND(L47*0.015*((YEAR(IFERROR(INDEX('Challan Master'!$D$4:$D$207,MATCH($B47,'Challan Master'!$S$4:$S$207,0)),""))-YEAR(J47))*12+(MONTH(IFERROR(INDEX('Challan Master'!$D$4:$D$207,MATCH($B47,'Challan Master'!$S$4:$S$207,0)),""))-MONTH(J47))+1),0))))</f>
      </c>
      <c r="P47" s="7">
        <f>IF($D47="","",0)</f>
      </c>
      <c r="Q47" s="8"/>
      <c r="R47" s="8"/>
      <c r="S47" s="8"/>
      <c r="T47" s="8"/>
      <c r="U47" s="8"/>
      <c r="V47" s="7">
        <f>IF($B47="","",IFERROR(INDEX('Challan Master'!$AA$4:$AA$207,MATCH($B47,'Challan Master'!$S$4:$S$207,0)),""))</f>
      </c>
    </row>
    <row r="48" spans="1:22" x14ac:dyDescent="0.25">
      <c r="A48" s="7">
        <f>IF($D48="","",COUNTIF($D$4:$D48,"&lt;&gt;"))</f>
      </c>
      <c r="B48" s="8"/>
      <c r="C48" s="7">
        <f>IF($B48="","","BSR "&amp;IFERROR(INDEX('Challan Master'!$B$4:$B$207,MATCH($B48,'Challan Master'!$S$4:$S$207,0)),"")&amp;" | Serial "&amp;IFERROR(INDEX('Challan Master'!$C$4:$C$207,MATCH($B48,'Challan Master'!$S$4:$S$207,0)),"")&amp;" | Deposit "&amp;TEXT(IFERROR(INDEX('Challan Master'!$D$4:$D$207,MATCH($B48,'Challan Master'!$S$4:$S$207,0)),""),"dd-mm-yyyy")&amp;" | Minor Head "&amp;IFERROR(INDEX('Challan Master'!$E$4:$E$207,MATCH($B48,'Challan Master'!$S$4:$S$207,0)),"")&amp;" | Tax ₹"&amp;TEXT(IFERROR(INDEX('Challan Master'!$G$4:$G$207,MATCH($B48,'Challan Master'!$S$4:$S$207,0)),""),"#,##0")&amp;" | Section "&amp;IFERROR(INDEX('Challan Master'!$F$4:$F$207,MATCH($B48,'Challan Master'!$S$4:$S$207,0)),""))</f>
      </c>
      <c r="D48" s="8"/>
      <c r="E48" s="8"/>
      <c r="F48" s="7">
        <f>IF($D48="","",IF(AND(LEN(TRIM(UPPER(E48)))=10,CODE(MID(TRIM(UPPER(E48)),1,1))&gt;=65,CODE(MID(TRIM(UPPER(E48)),1,1))&lt;=90,CODE(MID(TRIM(UPPER(E48)),2,1))&gt;=65,CODE(MID(TRIM(UPPER(E48)),2,1))&lt;=90,CODE(MID(TRIM(UPPER(E48)),3,1))&gt;=65,CODE(MID(TRIM(UPPER(E48)),3,1))&lt;=90,CODE(MID(TRIM(UPPER(E48)),4,1))&gt;=65,CODE(MID(TRIM(UPPER(E48)),4,1))&lt;=90,CODE(MID(TRIM(UPPER(E48)),5,1))&gt;=65,CODE(MID(TRIM(UPPER(E48)),5,1))&lt;=90,CODE(MID(TRIM(UPPER(E48)),10,1))&gt;=65,CODE(MID(TRIM(UPPER(E48)),10,1))&lt;=90,CODE(MID(TRIM(UPPER(E48)),6,1))&gt;=48,CODE(MID(TRIM(UPPER(E48)),6,1))&lt;=57,CODE(MID(TRIM(UPPER(E48)),7,1))&gt;=48,CODE(MID(TRIM(UPPER(E48)),7,1))&lt;=57,CODE(MID(TRIM(UPPER(E48)),8,1))&gt;=48,CODE(MID(TRIM(UPPER(E48)),8,1))&lt;=57,CODE(MID(TRIM(UPPER(E48)),9,1))&gt;=48,CODE(MID(TRIM(UPPER(E48)),9,1))&lt;=57),"N","Y"))</f>
      </c>
      <c r="G48" s="7">
        <f>IF($D48="","",IF(LEN(E48)&lt;4,"",IF(UPPER(MID(E48,4,1))="P","Individual",IF(UPPER(MID(E48,4,1))="H","HUF",IF(UPPER(MID(E48,4,1))="C","Company",IF(UPPER(MID(E48,4,1))="F","Firm",IF(UPPER(MID(E48,4,1))="L","LLP",IF(UPPER(MID(E48,4,1))="T","Trust",IF(UPPER(MID(E48,4,1))="A","AOP","")))))))))</f>
      </c>
      <c r="H48" s="8"/>
      <c r="I48" s="7">
        <f>IF($D48="","",IF(H48="","",IF(F48="Y",SUMPRODUCT(('Rate Lookup'!$A$1:$A$37=H48)*'Rate Lookup'!$D$1:$D$37),IF(OR(G48="Individual",G48="HUF"),SUMPRODUCT(('Rate Lookup'!$A$1:$A$37=H48)*'Rate Lookup'!$B$1:$B$37),SUMPRODUCT(('Rate Lookup'!$A$1:$A$37=H48)*'Rate Lookup'!$C$1:$C$37)))))</f>
      </c>
      <c r="J48" s="8"/>
      <c r="K48" s="8"/>
      <c r="L48" s="7">
        <f>IF($D48="","",ROUND(K48*I48/100,0))</f>
      </c>
      <c r="M48" s="7">
        <f>IF($D48="","",0)</f>
      </c>
      <c r="N48" s="7">
        <f>IF($D48="","",0)</f>
      </c>
      <c r="O48" s="7">
        <f>IF($D48="","",IF(OR(L48=0,J48="",IFERROR(INDEX('Challan Master'!$D$4:$D$207,MATCH($B48,'Challan Master'!$S$4:$S$207,0)),"")="",IFERROR(INDEX('Challan Master'!$D$4:$D$207,MATCH($B48,'Challan Master'!$S$4:$S$207,0)),"")&lt;=0),0,IF(IFERROR(INDEX('Challan Master'!$D$4:$D$207,MATCH($B48,'Challan Master'!$S$4:$S$207,0)),"")&lt;=DATE(YEAR(J48),MONTH(J48)+1,7),0,ROUND(L48*0.015*((YEAR(IFERROR(INDEX('Challan Master'!$D$4:$D$207,MATCH($B48,'Challan Master'!$S$4:$S$207,0)),""))-YEAR(J48))*12+(MONTH(IFERROR(INDEX('Challan Master'!$D$4:$D$207,MATCH($B48,'Challan Master'!$S$4:$S$207,0)),""))-MONTH(J48))+1),0))))</f>
      </c>
      <c r="P48" s="7">
        <f>IF($D48="","",0)</f>
      </c>
      <c r="Q48" s="8"/>
      <c r="R48" s="8"/>
      <c r="S48" s="8"/>
      <c r="T48" s="8"/>
      <c r="U48" s="8"/>
      <c r="V48" s="7">
        <f>IF($B48="","",IFERROR(INDEX('Challan Master'!$AA$4:$AA$207,MATCH($B48,'Challan Master'!$S$4:$S$207,0)),""))</f>
      </c>
    </row>
    <row r="49" spans="1:22" x14ac:dyDescent="0.25">
      <c r="A49" s="7">
        <f>IF($D49="","",COUNTIF($D$4:$D49,"&lt;&gt;"))</f>
      </c>
      <c r="B49" s="8"/>
      <c r="C49" s="7">
        <f>IF($B49="","","BSR "&amp;IFERROR(INDEX('Challan Master'!$B$4:$B$207,MATCH($B49,'Challan Master'!$S$4:$S$207,0)),"")&amp;" | Serial "&amp;IFERROR(INDEX('Challan Master'!$C$4:$C$207,MATCH($B49,'Challan Master'!$S$4:$S$207,0)),"")&amp;" | Deposit "&amp;TEXT(IFERROR(INDEX('Challan Master'!$D$4:$D$207,MATCH($B49,'Challan Master'!$S$4:$S$207,0)),""),"dd-mm-yyyy")&amp;" | Minor Head "&amp;IFERROR(INDEX('Challan Master'!$E$4:$E$207,MATCH($B49,'Challan Master'!$S$4:$S$207,0)),"")&amp;" | Tax ₹"&amp;TEXT(IFERROR(INDEX('Challan Master'!$G$4:$G$207,MATCH($B49,'Challan Master'!$S$4:$S$207,0)),""),"#,##0")&amp;" | Section "&amp;IFERROR(INDEX('Challan Master'!$F$4:$F$207,MATCH($B49,'Challan Master'!$S$4:$S$207,0)),""))</f>
      </c>
      <c r="D49" s="8"/>
      <c r="E49" s="8"/>
      <c r="F49" s="7">
        <f>IF($D49="","",IF(AND(LEN(TRIM(UPPER(E49)))=10,CODE(MID(TRIM(UPPER(E49)),1,1))&gt;=65,CODE(MID(TRIM(UPPER(E49)),1,1))&lt;=90,CODE(MID(TRIM(UPPER(E49)),2,1))&gt;=65,CODE(MID(TRIM(UPPER(E49)),2,1))&lt;=90,CODE(MID(TRIM(UPPER(E49)),3,1))&gt;=65,CODE(MID(TRIM(UPPER(E49)),3,1))&lt;=90,CODE(MID(TRIM(UPPER(E49)),4,1))&gt;=65,CODE(MID(TRIM(UPPER(E49)),4,1))&lt;=90,CODE(MID(TRIM(UPPER(E49)),5,1))&gt;=65,CODE(MID(TRIM(UPPER(E49)),5,1))&lt;=90,CODE(MID(TRIM(UPPER(E49)),10,1))&gt;=65,CODE(MID(TRIM(UPPER(E49)),10,1))&lt;=90,CODE(MID(TRIM(UPPER(E49)),6,1))&gt;=48,CODE(MID(TRIM(UPPER(E49)),6,1))&lt;=57,CODE(MID(TRIM(UPPER(E49)),7,1))&gt;=48,CODE(MID(TRIM(UPPER(E49)),7,1))&lt;=57,CODE(MID(TRIM(UPPER(E49)),8,1))&gt;=48,CODE(MID(TRIM(UPPER(E49)),8,1))&lt;=57,CODE(MID(TRIM(UPPER(E49)),9,1))&gt;=48,CODE(MID(TRIM(UPPER(E49)),9,1))&lt;=57),"N","Y"))</f>
      </c>
      <c r="G49" s="7">
        <f>IF($D49="","",IF(LEN(E49)&lt;4,"",IF(UPPER(MID(E49,4,1))="P","Individual",IF(UPPER(MID(E49,4,1))="H","HUF",IF(UPPER(MID(E49,4,1))="C","Company",IF(UPPER(MID(E49,4,1))="F","Firm",IF(UPPER(MID(E49,4,1))="L","LLP",IF(UPPER(MID(E49,4,1))="T","Trust",IF(UPPER(MID(E49,4,1))="A","AOP","")))))))))</f>
      </c>
      <c r="H49" s="8"/>
      <c r="I49" s="7">
        <f>IF($D49="","",IF(H49="","",IF(F49="Y",SUMPRODUCT(('Rate Lookup'!$A$1:$A$37=H49)*'Rate Lookup'!$D$1:$D$37),IF(OR(G49="Individual",G49="HUF"),SUMPRODUCT(('Rate Lookup'!$A$1:$A$37=H49)*'Rate Lookup'!$B$1:$B$37),SUMPRODUCT(('Rate Lookup'!$A$1:$A$37=H49)*'Rate Lookup'!$C$1:$C$37)))))</f>
      </c>
      <c r="J49" s="8"/>
      <c r="K49" s="8"/>
      <c r="L49" s="7">
        <f>IF($D49="","",ROUND(K49*I49/100,0))</f>
      </c>
      <c r="M49" s="7">
        <f>IF($D49="","",0)</f>
      </c>
      <c r="N49" s="7">
        <f>IF($D49="","",0)</f>
      </c>
      <c r="O49" s="7">
        <f>IF($D49="","",IF(OR(L49=0,J49="",IFERROR(INDEX('Challan Master'!$D$4:$D$207,MATCH($B49,'Challan Master'!$S$4:$S$207,0)),"")="",IFERROR(INDEX('Challan Master'!$D$4:$D$207,MATCH($B49,'Challan Master'!$S$4:$S$207,0)),"")&lt;=0),0,IF(IFERROR(INDEX('Challan Master'!$D$4:$D$207,MATCH($B49,'Challan Master'!$S$4:$S$207,0)),"")&lt;=DATE(YEAR(J49),MONTH(J49)+1,7),0,ROUND(L49*0.015*((YEAR(IFERROR(INDEX('Challan Master'!$D$4:$D$207,MATCH($B49,'Challan Master'!$S$4:$S$207,0)),""))-YEAR(J49))*12+(MONTH(IFERROR(INDEX('Challan Master'!$D$4:$D$207,MATCH($B49,'Challan Master'!$S$4:$S$207,0)),""))-MONTH(J49))+1),0))))</f>
      </c>
      <c r="P49" s="7">
        <f>IF($D49="","",0)</f>
      </c>
      <c r="Q49" s="8"/>
      <c r="R49" s="8"/>
      <c r="S49" s="8"/>
      <c r="T49" s="8"/>
      <c r="U49" s="8"/>
      <c r="V49" s="7">
        <f>IF($B49="","",IFERROR(INDEX('Challan Master'!$AA$4:$AA$207,MATCH($B49,'Challan Master'!$S$4:$S$207,0)),""))</f>
      </c>
    </row>
    <row r="50" spans="1:22" x14ac:dyDescent="0.25">
      <c r="A50" s="7">
        <f>IF($D50="","",COUNTIF($D$4:$D50,"&lt;&gt;"))</f>
      </c>
      <c r="B50" s="8"/>
      <c r="C50" s="7">
        <f>IF($B50="","","BSR "&amp;IFERROR(INDEX('Challan Master'!$B$4:$B$207,MATCH($B50,'Challan Master'!$S$4:$S$207,0)),"")&amp;" | Serial "&amp;IFERROR(INDEX('Challan Master'!$C$4:$C$207,MATCH($B50,'Challan Master'!$S$4:$S$207,0)),"")&amp;" | Deposit "&amp;TEXT(IFERROR(INDEX('Challan Master'!$D$4:$D$207,MATCH($B50,'Challan Master'!$S$4:$S$207,0)),""),"dd-mm-yyyy")&amp;" | Minor Head "&amp;IFERROR(INDEX('Challan Master'!$E$4:$E$207,MATCH($B50,'Challan Master'!$S$4:$S$207,0)),"")&amp;" | Tax ₹"&amp;TEXT(IFERROR(INDEX('Challan Master'!$G$4:$G$207,MATCH($B50,'Challan Master'!$S$4:$S$207,0)),""),"#,##0")&amp;" | Section "&amp;IFERROR(INDEX('Challan Master'!$F$4:$F$207,MATCH($B50,'Challan Master'!$S$4:$S$207,0)),""))</f>
      </c>
      <c r="D50" s="8"/>
      <c r="E50" s="8"/>
      <c r="F50" s="7">
        <f>IF($D50="","",IF(AND(LEN(TRIM(UPPER(E50)))=10,CODE(MID(TRIM(UPPER(E50)),1,1))&gt;=65,CODE(MID(TRIM(UPPER(E50)),1,1))&lt;=90,CODE(MID(TRIM(UPPER(E50)),2,1))&gt;=65,CODE(MID(TRIM(UPPER(E50)),2,1))&lt;=90,CODE(MID(TRIM(UPPER(E50)),3,1))&gt;=65,CODE(MID(TRIM(UPPER(E50)),3,1))&lt;=90,CODE(MID(TRIM(UPPER(E50)),4,1))&gt;=65,CODE(MID(TRIM(UPPER(E50)),4,1))&lt;=90,CODE(MID(TRIM(UPPER(E50)),5,1))&gt;=65,CODE(MID(TRIM(UPPER(E50)),5,1))&lt;=90,CODE(MID(TRIM(UPPER(E50)),10,1))&gt;=65,CODE(MID(TRIM(UPPER(E50)),10,1))&lt;=90,CODE(MID(TRIM(UPPER(E50)),6,1))&gt;=48,CODE(MID(TRIM(UPPER(E50)),6,1))&lt;=57,CODE(MID(TRIM(UPPER(E50)),7,1))&gt;=48,CODE(MID(TRIM(UPPER(E50)),7,1))&lt;=57,CODE(MID(TRIM(UPPER(E50)),8,1))&gt;=48,CODE(MID(TRIM(UPPER(E50)),8,1))&lt;=57,CODE(MID(TRIM(UPPER(E50)),9,1))&gt;=48,CODE(MID(TRIM(UPPER(E50)),9,1))&lt;=57),"N","Y"))</f>
      </c>
      <c r="G50" s="7">
        <f>IF($D50="","",IF(LEN(E50)&lt;4,"",IF(UPPER(MID(E50,4,1))="P","Individual",IF(UPPER(MID(E50,4,1))="H","HUF",IF(UPPER(MID(E50,4,1))="C","Company",IF(UPPER(MID(E50,4,1))="F","Firm",IF(UPPER(MID(E50,4,1))="L","LLP",IF(UPPER(MID(E50,4,1))="T","Trust",IF(UPPER(MID(E50,4,1))="A","AOP","")))))))))</f>
      </c>
      <c r="H50" s="8"/>
      <c r="I50" s="7">
        <f>IF($D50="","",IF(H50="","",IF(F50="Y",SUMPRODUCT(('Rate Lookup'!$A$1:$A$37=H50)*'Rate Lookup'!$D$1:$D$37),IF(OR(G50="Individual",G50="HUF"),SUMPRODUCT(('Rate Lookup'!$A$1:$A$37=H50)*'Rate Lookup'!$B$1:$B$37),SUMPRODUCT(('Rate Lookup'!$A$1:$A$37=H50)*'Rate Lookup'!$C$1:$C$37)))))</f>
      </c>
      <c r="J50" s="8"/>
      <c r="K50" s="8"/>
      <c r="L50" s="7">
        <f>IF($D50="","",ROUND(K50*I50/100,0))</f>
      </c>
      <c r="M50" s="7">
        <f>IF($D50="","",0)</f>
      </c>
      <c r="N50" s="7">
        <f>IF($D50="","",0)</f>
      </c>
      <c r="O50" s="7">
        <f>IF($D50="","",IF(OR(L50=0,J50="",IFERROR(INDEX('Challan Master'!$D$4:$D$207,MATCH($B50,'Challan Master'!$S$4:$S$207,0)),"")="",IFERROR(INDEX('Challan Master'!$D$4:$D$207,MATCH($B50,'Challan Master'!$S$4:$S$207,0)),"")&lt;=0),0,IF(IFERROR(INDEX('Challan Master'!$D$4:$D$207,MATCH($B50,'Challan Master'!$S$4:$S$207,0)),"")&lt;=DATE(YEAR(J50),MONTH(J50)+1,7),0,ROUND(L50*0.015*((YEAR(IFERROR(INDEX('Challan Master'!$D$4:$D$207,MATCH($B50,'Challan Master'!$S$4:$S$207,0)),""))-YEAR(J50))*12+(MONTH(IFERROR(INDEX('Challan Master'!$D$4:$D$207,MATCH($B50,'Challan Master'!$S$4:$S$207,0)),""))-MONTH(J50))+1),0))))</f>
      </c>
      <c r="P50" s="7">
        <f>IF($D50="","",0)</f>
      </c>
      <c r="Q50" s="8"/>
      <c r="R50" s="8"/>
      <c r="S50" s="8"/>
      <c r="T50" s="8"/>
      <c r="U50" s="8"/>
      <c r="V50" s="7">
        <f>IF($B50="","",IFERROR(INDEX('Challan Master'!$AA$4:$AA$207,MATCH($B50,'Challan Master'!$S$4:$S$207,0)),""))</f>
      </c>
    </row>
    <row r="51" spans="1:22" x14ac:dyDescent="0.25">
      <c r="A51" s="7">
        <f>IF($D51="","",COUNTIF($D$4:$D51,"&lt;&gt;"))</f>
      </c>
      <c r="B51" s="8"/>
      <c r="C51" s="7">
        <f>IF($B51="","","BSR "&amp;IFERROR(INDEX('Challan Master'!$B$4:$B$207,MATCH($B51,'Challan Master'!$S$4:$S$207,0)),"")&amp;" | Serial "&amp;IFERROR(INDEX('Challan Master'!$C$4:$C$207,MATCH($B51,'Challan Master'!$S$4:$S$207,0)),"")&amp;" | Deposit "&amp;TEXT(IFERROR(INDEX('Challan Master'!$D$4:$D$207,MATCH($B51,'Challan Master'!$S$4:$S$207,0)),""),"dd-mm-yyyy")&amp;" | Minor Head "&amp;IFERROR(INDEX('Challan Master'!$E$4:$E$207,MATCH($B51,'Challan Master'!$S$4:$S$207,0)),"")&amp;" | Tax ₹"&amp;TEXT(IFERROR(INDEX('Challan Master'!$G$4:$G$207,MATCH($B51,'Challan Master'!$S$4:$S$207,0)),""),"#,##0")&amp;" | Section "&amp;IFERROR(INDEX('Challan Master'!$F$4:$F$207,MATCH($B51,'Challan Master'!$S$4:$S$207,0)),""))</f>
      </c>
      <c r="D51" s="8"/>
      <c r="E51" s="8"/>
      <c r="F51" s="7">
        <f>IF($D51="","",IF(AND(LEN(TRIM(UPPER(E51)))=10,CODE(MID(TRIM(UPPER(E51)),1,1))&gt;=65,CODE(MID(TRIM(UPPER(E51)),1,1))&lt;=90,CODE(MID(TRIM(UPPER(E51)),2,1))&gt;=65,CODE(MID(TRIM(UPPER(E51)),2,1))&lt;=90,CODE(MID(TRIM(UPPER(E51)),3,1))&gt;=65,CODE(MID(TRIM(UPPER(E51)),3,1))&lt;=90,CODE(MID(TRIM(UPPER(E51)),4,1))&gt;=65,CODE(MID(TRIM(UPPER(E51)),4,1))&lt;=90,CODE(MID(TRIM(UPPER(E51)),5,1))&gt;=65,CODE(MID(TRIM(UPPER(E51)),5,1))&lt;=90,CODE(MID(TRIM(UPPER(E51)),10,1))&gt;=65,CODE(MID(TRIM(UPPER(E51)),10,1))&lt;=90,CODE(MID(TRIM(UPPER(E51)),6,1))&gt;=48,CODE(MID(TRIM(UPPER(E51)),6,1))&lt;=57,CODE(MID(TRIM(UPPER(E51)),7,1))&gt;=48,CODE(MID(TRIM(UPPER(E51)),7,1))&lt;=57,CODE(MID(TRIM(UPPER(E51)),8,1))&gt;=48,CODE(MID(TRIM(UPPER(E51)),8,1))&lt;=57,CODE(MID(TRIM(UPPER(E51)),9,1))&gt;=48,CODE(MID(TRIM(UPPER(E51)),9,1))&lt;=57),"N","Y"))</f>
      </c>
      <c r="G51" s="7">
        <f>IF($D51="","",IF(LEN(E51)&lt;4,"",IF(UPPER(MID(E51,4,1))="P","Individual",IF(UPPER(MID(E51,4,1))="H","HUF",IF(UPPER(MID(E51,4,1))="C","Company",IF(UPPER(MID(E51,4,1))="F","Firm",IF(UPPER(MID(E51,4,1))="L","LLP",IF(UPPER(MID(E51,4,1))="T","Trust",IF(UPPER(MID(E51,4,1))="A","AOP","")))))))))</f>
      </c>
      <c r="H51" s="8"/>
      <c r="I51" s="7">
        <f>IF($D51="","",IF(H51="","",IF(F51="Y",SUMPRODUCT(('Rate Lookup'!$A$1:$A$37=H51)*'Rate Lookup'!$D$1:$D$37),IF(OR(G51="Individual",G51="HUF"),SUMPRODUCT(('Rate Lookup'!$A$1:$A$37=H51)*'Rate Lookup'!$B$1:$B$37),SUMPRODUCT(('Rate Lookup'!$A$1:$A$37=H51)*'Rate Lookup'!$C$1:$C$37)))))</f>
      </c>
      <c r="J51" s="8"/>
      <c r="K51" s="8"/>
      <c r="L51" s="7">
        <f>IF($D51="","",ROUND(K51*I51/100,0))</f>
      </c>
      <c r="M51" s="7">
        <f>IF($D51="","",0)</f>
      </c>
      <c r="N51" s="7">
        <f>IF($D51="","",0)</f>
      </c>
      <c r="O51" s="7">
        <f>IF($D51="","",IF(OR(L51=0,J51="",IFERROR(INDEX('Challan Master'!$D$4:$D$207,MATCH($B51,'Challan Master'!$S$4:$S$207,0)),"")="",IFERROR(INDEX('Challan Master'!$D$4:$D$207,MATCH($B51,'Challan Master'!$S$4:$S$207,0)),"")&lt;=0),0,IF(IFERROR(INDEX('Challan Master'!$D$4:$D$207,MATCH($B51,'Challan Master'!$S$4:$S$207,0)),"")&lt;=DATE(YEAR(J51),MONTH(J51)+1,7),0,ROUND(L51*0.015*((YEAR(IFERROR(INDEX('Challan Master'!$D$4:$D$207,MATCH($B51,'Challan Master'!$S$4:$S$207,0)),""))-YEAR(J51))*12+(MONTH(IFERROR(INDEX('Challan Master'!$D$4:$D$207,MATCH($B51,'Challan Master'!$S$4:$S$207,0)),""))-MONTH(J51))+1),0))))</f>
      </c>
      <c r="P51" s="7">
        <f>IF($D51="","",0)</f>
      </c>
      <c r="Q51" s="8"/>
      <c r="R51" s="8"/>
      <c r="S51" s="8"/>
      <c r="T51" s="8"/>
      <c r="U51" s="8"/>
      <c r="V51" s="7">
        <f>IF($B51="","",IFERROR(INDEX('Challan Master'!$AA$4:$AA$207,MATCH($B51,'Challan Master'!$S$4:$S$207,0)),""))</f>
      </c>
    </row>
    <row r="52" spans="1:22" x14ac:dyDescent="0.25">
      <c r="A52" s="7">
        <f>IF($D52="","",COUNTIF($D$4:$D52,"&lt;&gt;"))</f>
      </c>
      <c r="B52" s="8"/>
      <c r="C52" s="7">
        <f>IF($B52="","","BSR "&amp;IFERROR(INDEX('Challan Master'!$B$4:$B$207,MATCH($B52,'Challan Master'!$S$4:$S$207,0)),"")&amp;" | Serial "&amp;IFERROR(INDEX('Challan Master'!$C$4:$C$207,MATCH($B52,'Challan Master'!$S$4:$S$207,0)),"")&amp;" | Deposit "&amp;TEXT(IFERROR(INDEX('Challan Master'!$D$4:$D$207,MATCH($B52,'Challan Master'!$S$4:$S$207,0)),""),"dd-mm-yyyy")&amp;" | Minor Head "&amp;IFERROR(INDEX('Challan Master'!$E$4:$E$207,MATCH($B52,'Challan Master'!$S$4:$S$207,0)),"")&amp;" | Tax ₹"&amp;TEXT(IFERROR(INDEX('Challan Master'!$G$4:$G$207,MATCH($B52,'Challan Master'!$S$4:$S$207,0)),""),"#,##0")&amp;" | Section "&amp;IFERROR(INDEX('Challan Master'!$F$4:$F$207,MATCH($B52,'Challan Master'!$S$4:$S$207,0)),""))</f>
      </c>
      <c r="D52" s="8"/>
      <c r="E52" s="8"/>
      <c r="F52" s="7">
        <f>IF($D52="","",IF(AND(LEN(TRIM(UPPER(E52)))=10,CODE(MID(TRIM(UPPER(E52)),1,1))&gt;=65,CODE(MID(TRIM(UPPER(E52)),1,1))&lt;=90,CODE(MID(TRIM(UPPER(E52)),2,1))&gt;=65,CODE(MID(TRIM(UPPER(E52)),2,1))&lt;=90,CODE(MID(TRIM(UPPER(E52)),3,1))&gt;=65,CODE(MID(TRIM(UPPER(E52)),3,1))&lt;=90,CODE(MID(TRIM(UPPER(E52)),4,1))&gt;=65,CODE(MID(TRIM(UPPER(E52)),4,1))&lt;=90,CODE(MID(TRIM(UPPER(E52)),5,1))&gt;=65,CODE(MID(TRIM(UPPER(E52)),5,1))&lt;=90,CODE(MID(TRIM(UPPER(E52)),10,1))&gt;=65,CODE(MID(TRIM(UPPER(E52)),10,1))&lt;=90,CODE(MID(TRIM(UPPER(E52)),6,1))&gt;=48,CODE(MID(TRIM(UPPER(E52)),6,1))&lt;=57,CODE(MID(TRIM(UPPER(E52)),7,1))&gt;=48,CODE(MID(TRIM(UPPER(E52)),7,1))&lt;=57,CODE(MID(TRIM(UPPER(E52)),8,1))&gt;=48,CODE(MID(TRIM(UPPER(E52)),8,1))&lt;=57,CODE(MID(TRIM(UPPER(E52)),9,1))&gt;=48,CODE(MID(TRIM(UPPER(E52)),9,1))&lt;=57),"N","Y"))</f>
      </c>
      <c r="G52" s="7">
        <f>IF($D52="","",IF(LEN(E52)&lt;4,"",IF(UPPER(MID(E52,4,1))="P","Individual",IF(UPPER(MID(E52,4,1))="H","HUF",IF(UPPER(MID(E52,4,1))="C","Company",IF(UPPER(MID(E52,4,1))="F","Firm",IF(UPPER(MID(E52,4,1))="L","LLP",IF(UPPER(MID(E52,4,1))="T","Trust",IF(UPPER(MID(E52,4,1))="A","AOP","")))))))))</f>
      </c>
      <c r="H52" s="8"/>
      <c r="I52" s="7">
        <f>IF($D52="","",IF(H52="","",IF(F52="Y",SUMPRODUCT(('Rate Lookup'!$A$1:$A$37=H52)*'Rate Lookup'!$D$1:$D$37),IF(OR(G52="Individual",G52="HUF"),SUMPRODUCT(('Rate Lookup'!$A$1:$A$37=H52)*'Rate Lookup'!$B$1:$B$37),SUMPRODUCT(('Rate Lookup'!$A$1:$A$37=H52)*'Rate Lookup'!$C$1:$C$37)))))</f>
      </c>
      <c r="J52" s="8"/>
      <c r="K52" s="8"/>
      <c r="L52" s="7">
        <f>IF($D52="","",ROUND(K52*I52/100,0))</f>
      </c>
      <c r="M52" s="7">
        <f>IF($D52="","",0)</f>
      </c>
      <c r="N52" s="7">
        <f>IF($D52="","",0)</f>
      </c>
      <c r="O52" s="7">
        <f>IF($D52="","",IF(OR(L52=0,J52="",IFERROR(INDEX('Challan Master'!$D$4:$D$207,MATCH($B52,'Challan Master'!$S$4:$S$207,0)),"")="",IFERROR(INDEX('Challan Master'!$D$4:$D$207,MATCH($B52,'Challan Master'!$S$4:$S$207,0)),"")&lt;=0),0,IF(IFERROR(INDEX('Challan Master'!$D$4:$D$207,MATCH($B52,'Challan Master'!$S$4:$S$207,0)),"")&lt;=DATE(YEAR(J52),MONTH(J52)+1,7),0,ROUND(L52*0.015*((YEAR(IFERROR(INDEX('Challan Master'!$D$4:$D$207,MATCH($B52,'Challan Master'!$S$4:$S$207,0)),""))-YEAR(J52))*12+(MONTH(IFERROR(INDEX('Challan Master'!$D$4:$D$207,MATCH($B52,'Challan Master'!$S$4:$S$207,0)),""))-MONTH(J52))+1),0))))</f>
      </c>
      <c r="P52" s="7">
        <f>IF($D52="","",0)</f>
      </c>
      <c r="Q52" s="8"/>
      <c r="R52" s="8"/>
      <c r="S52" s="8"/>
      <c r="T52" s="8"/>
      <c r="U52" s="8"/>
      <c r="V52" s="7">
        <f>IF($B52="","",IFERROR(INDEX('Challan Master'!$AA$4:$AA$207,MATCH($B52,'Challan Master'!$S$4:$S$207,0)),""))</f>
      </c>
    </row>
    <row r="53" spans="1:22" x14ac:dyDescent="0.25">
      <c r="A53" s="7">
        <f>IF($D53="","",COUNTIF($D$4:$D53,"&lt;&gt;"))</f>
      </c>
      <c r="B53" s="8"/>
      <c r="C53" s="7">
        <f>IF($B53="","","BSR "&amp;IFERROR(INDEX('Challan Master'!$B$4:$B$207,MATCH($B53,'Challan Master'!$S$4:$S$207,0)),"")&amp;" | Serial "&amp;IFERROR(INDEX('Challan Master'!$C$4:$C$207,MATCH($B53,'Challan Master'!$S$4:$S$207,0)),"")&amp;" | Deposit "&amp;TEXT(IFERROR(INDEX('Challan Master'!$D$4:$D$207,MATCH($B53,'Challan Master'!$S$4:$S$207,0)),""),"dd-mm-yyyy")&amp;" | Minor Head "&amp;IFERROR(INDEX('Challan Master'!$E$4:$E$207,MATCH($B53,'Challan Master'!$S$4:$S$207,0)),"")&amp;" | Tax ₹"&amp;TEXT(IFERROR(INDEX('Challan Master'!$G$4:$G$207,MATCH($B53,'Challan Master'!$S$4:$S$207,0)),""),"#,##0")&amp;" | Section "&amp;IFERROR(INDEX('Challan Master'!$F$4:$F$207,MATCH($B53,'Challan Master'!$S$4:$S$207,0)),""))</f>
      </c>
      <c r="D53" s="8"/>
      <c r="E53" s="8"/>
      <c r="F53" s="7">
        <f>IF($D53="","",IF(AND(LEN(TRIM(UPPER(E53)))=10,CODE(MID(TRIM(UPPER(E53)),1,1))&gt;=65,CODE(MID(TRIM(UPPER(E53)),1,1))&lt;=90,CODE(MID(TRIM(UPPER(E53)),2,1))&gt;=65,CODE(MID(TRIM(UPPER(E53)),2,1))&lt;=90,CODE(MID(TRIM(UPPER(E53)),3,1))&gt;=65,CODE(MID(TRIM(UPPER(E53)),3,1))&lt;=90,CODE(MID(TRIM(UPPER(E53)),4,1))&gt;=65,CODE(MID(TRIM(UPPER(E53)),4,1))&lt;=90,CODE(MID(TRIM(UPPER(E53)),5,1))&gt;=65,CODE(MID(TRIM(UPPER(E53)),5,1))&lt;=90,CODE(MID(TRIM(UPPER(E53)),10,1))&gt;=65,CODE(MID(TRIM(UPPER(E53)),10,1))&lt;=90,CODE(MID(TRIM(UPPER(E53)),6,1))&gt;=48,CODE(MID(TRIM(UPPER(E53)),6,1))&lt;=57,CODE(MID(TRIM(UPPER(E53)),7,1))&gt;=48,CODE(MID(TRIM(UPPER(E53)),7,1))&lt;=57,CODE(MID(TRIM(UPPER(E53)),8,1))&gt;=48,CODE(MID(TRIM(UPPER(E53)),8,1))&lt;=57,CODE(MID(TRIM(UPPER(E53)),9,1))&gt;=48,CODE(MID(TRIM(UPPER(E53)),9,1))&lt;=57),"N","Y"))</f>
      </c>
      <c r="G53" s="7">
        <f>IF($D53="","",IF(LEN(E53)&lt;4,"",IF(UPPER(MID(E53,4,1))="P","Individual",IF(UPPER(MID(E53,4,1))="H","HUF",IF(UPPER(MID(E53,4,1))="C","Company",IF(UPPER(MID(E53,4,1))="F","Firm",IF(UPPER(MID(E53,4,1))="L","LLP",IF(UPPER(MID(E53,4,1))="T","Trust",IF(UPPER(MID(E53,4,1))="A","AOP","")))))))))</f>
      </c>
      <c r="H53" s="8"/>
      <c r="I53" s="7">
        <f>IF($D53="","",IF(H53="","",IF(F53="Y",SUMPRODUCT(('Rate Lookup'!$A$1:$A$37=H53)*'Rate Lookup'!$D$1:$D$37),IF(OR(G53="Individual",G53="HUF"),SUMPRODUCT(('Rate Lookup'!$A$1:$A$37=H53)*'Rate Lookup'!$B$1:$B$37),SUMPRODUCT(('Rate Lookup'!$A$1:$A$37=H53)*'Rate Lookup'!$C$1:$C$37)))))</f>
      </c>
      <c r="J53" s="8"/>
      <c r="K53" s="8"/>
      <c r="L53" s="7">
        <f>IF($D53="","",ROUND(K53*I53/100,0))</f>
      </c>
      <c r="M53" s="7">
        <f>IF($D53="","",0)</f>
      </c>
      <c r="N53" s="7">
        <f>IF($D53="","",0)</f>
      </c>
      <c r="O53" s="7">
        <f>IF($D53="","",IF(OR(L53=0,J53="",IFERROR(INDEX('Challan Master'!$D$4:$D$207,MATCH($B53,'Challan Master'!$S$4:$S$207,0)),"")="",IFERROR(INDEX('Challan Master'!$D$4:$D$207,MATCH($B53,'Challan Master'!$S$4:$S$207,0)),"")&lt;=0),0,IF(IFERROR(INDEX('Challan Master'!$D$4:$D$207,MATCH($B53,'Challan Master'!$S$4:$S$207,0)),"")&lt;=DATE(YEAR(J53),MONTH(J53)+1,7),0,ROUND(L53*0.015*((YEAR(IFERROR(INDEX('Challan Master'!$D$4:$D$207,MATCH($B53,'Challan Master'!$S$4:$S$207,0)),""))-YEAR(J53))*12+(MONTH(IFERROR(INDEX('Challan Master'!$D$4:$D$207,MATCH($B53,'Challan Master'!$S$4:$S$207,0)),""))-MONTH(J53))+1),0))))</f>
      </c>
      <c r="P53" s="7">
        <f>IF($D53="","",0)</f>
      </c>
      <c r="Q53" s="8"/>
      <c r="R53" s="8"/>
      <c r="S53" s="8"/>
      <c r="T53" s="8"/>
      <c r="U53" s="8"/>
      <c r="V53" s="7">
        <f>IF($B53="","",IFERROR(INDEX('Challan Master'!$AA$4:$AA$207,MATCH($B53,'Challan Master'!$S$4:$S$207,0)),""))</f>
      </c>
    </row>
    <row r="54" spans="1:22" x14ac:dyDescent="0.25">
      <c r="A54" s="7">
        <f>IF($D54="","",COUNTIF($D$4:$D54,"&lt;&gt;"))</f>
      </c>
      <c r="B54" s="8"/>
      <c r="C54" s="7">
        <f>IF($B54="","","BSR "&amp;IFERROR(INDEX('Challan Master'!$B$4:$B$207,MATCH($B54,'Challan Master'!$S$4:$S$207,0)),"")&amp;" | Serial "&amp;IFERROR(INDEX('Challan Master'!$C$4:$C$207,MATCH($B54,'Challan Master'!$S$4:$S$207,0)),"")&amp;" | Deposit "&amp;TEXT(IFERROR(INDEX('Challan Master'!$D$4:$D$207,MATCH($B54,'Challan Master'!$S$4:$S$207,0)),""),"dd-mm-yyyy")&amp;" | Minor Head "&amp;IFERROR(INDEX('Challan Master'!$E$4:$E$207,MATCH($B54,'Challan Master'!$S$4:$S$207,0)),"")&amp;" | Tax ₹"&amp;TEXT(IFERROR(INDEX('Challan Master'!$G$4:$G$207,MATCH($B54,'Challan Master'!$S$4:$S$207,0)),""),"#,##0")&amp;" | Section "&amp;IFERROR(INDEX('Challan Master'!$F$4:$F$207,MATCH($B54,'Challan Master'!$S$4:$S$207,0)),""))</f>
      </c>
      <c r="D54" s="8"/>
      <c r="E54" s="8"/>
      <c r="F54" s="7">
        <f>IF($D54="","",IF(AND(LEN(TRIM(UPPER(E54)))=10,CODE(MID(TRIM(UPPER(E54)),1,1))&gt;=65,CODE(MID(TRIM(UPPER(E54)),1,1))&lt;=90,CODE(MID(TRIM(UPPER(E54)),2,1))&gt;=65,CODE(MID(TRIM(UPPER(E54)),2,1))&lt;=90,CODE(MID(TRIM(UPPER(E54)),3,1))&gt;=65,CODE(MID(TRIM(UPPER(E54)),3,1))&lt;=90,CODE(MID(TRIM(UPPER(E54)),4,1))&gt;=65,CODE(MID(TRIM(UPPER(E54)),4,1))&lt;=90,CODE(MID(TRIM(UPPER(E54)),5,1))&gt;=65,CODE(MID(TRIM(UPPER(E54)),5,1))&lt;=90,CODE(MID(TRIM(UPPER(E54)),10,1))&gt;=65,CODE(MID(TRIM(UPPER(E54)),10,1))&lt;=90,CODE(MID(TRIM(UPPER(E54)),6,1))&gt;=48,CODE(MID(TRIM(UPPER(E54)),6,1))&lt;=57,CODE(MID(TRIM(UPPER(E54)),7,1))&gt;=48,CODE(MID(TRIM(UPPER(E54)),7,1))&lt;=57,CODE(MID(TRIM(UPPER(E54)),8,1))&gt;=48,CODE(MID(TRIM(UPPER(E54)),8,1))&lt;=57,CODE(MID(TRIM(UPPER(E54)),9,1))&gt;=48,CODE(MID(TRIM(UPPER(E54)),9,1))&lt;=57),"N","Y"))</f>
      </c>
      <c r="G54" s="7">
        <f>IF($D54="","",IF(LEN(E54)&lt;4,"",IF(UPPER(MID(E54,4,1))="P","Individual",IF(UPPER(MID(E54,4,1))="H","HUF",IF(UPPER(MID(E54,4,1))="C","Company",IF(UPPER(MID(E54,4,1))="F","Firm",IF(UPPER(MID(E54,4,1))="L","LLP",IF(UPPER(MID(E54,4,1))="T","Trust",IF(UPPER(MID(E54,4,1))="A","AOP","")))))))))</f>
      </c>
      <c r="H54" s="8"/>
      <c r="I54" s="7">
        <f>IF($D54="","",IF(H54="","",IF(F54="Y",SUMPRODUCT(('Rate Lookup'!$A$1:$A$37=H54)*'Rate Lookup'!$D$1:$D$37),IF(OR(G54="Individual",G54="HUF"),SUMPRODUCT(('Rate Lookup'!$A$1:$A$37=H54)*'Rate Lookup'!$B$1:$B$37),SUMPRODUCT(('Rate Lookup'!$A$1:$A$37=H54)*'Rate Lookup'!$C$1:$C$37)))))</f>
      </c>
      <c r="J54" s="8"/>
      <c r="K54" s="8"/>
      <c r="L54" s="7">
        <f>IF($D54="","",ROUND(K54*I54/100,0))</f>
      </c>
      <c r="M54" s="7">
        <f>IF($D54="","",0)</f>
      </c>
      <c r="N54" s="7">
        <f>IF($D54="","",0)</f>
      </c>
      <c r="O54" s="7">
        <f>IF($D54="","",IF(OR(L54=0,J54="",IFERROR(INDEX('Challan Master'!$D$4:$D$207,MATCH($B54,'Challan Master'!$S$4:$S$207,0)),"")="",IFERROR(INDEX('Challan Master'!$D$4:$D$207,MATCH($B54,'Challan Master'!$S$4:$S$207,0)),"")&lt;=0),0,IF(IFERROR(INDEX('Challan Master'!$D$4:$D$207,MATCH($B54,'Challan Master'!$S$4:$S$207,0)),"")&lt;=DATE(YEAR(J54),MONTH(J54)+1,7),0,ROUND(L54*0.015*((YEAR(IFERROR(INDEX('Challan Master'!$D$4:$D$207,MATCH($B54,'Challan Master'!$S$4:$S$207,0)),""))-YEAR(J54))*12+(MONTH(IFERROR(INDEX('Challan Master'!$D$4:$D$207,MATCH($B54,'Challan Master'!$S$4:$S$207,0)),""))-MONTH(J54))+1),0))))</f>
      </c>
      <c r="P54" s="7">
        <f>IF($D54="","",0)</f>
      </c>
      <c r="Q54" s="8"/>
      <c r="R54" s="8"/>
      <c r="S54" s="8"/>
      <c r="T54" s="8"/>
      <c r="U54" s="8"/>
      <c r="V54" s="7">
        <f>IF($B54="","",IFERROR(INDEX('Challan Master'!$AA$4:$AA$207,MATCH($B54,'Challan Master'!$S$4:$S$207,0)),""))</f>
      </c>
    </row>
    <row r="55" spans="1:22" x14ac:dyDescent="0.25">
      <c r="A55" s="7">
        <f>IF($D55="","",COUNTIF($D$4:$D55,"&lt;&gt;"))</f>
      </c>
      <c r="B55" s="8"/>
      <c r="C55" s="7">
        <f>IF($B55="","","BSR "&amp;IFERROR(INDEX('Challan Master'!$B$4:$B$207,MATCH($B55,'Challan Master'!$S$4:$S$207,0)),"")&amp;" | Serial "&amp;IFERROR(INDEX('Challan Master'!$C$4:$C$207,MATCH($B55,'Challan Master'!$S$4:$S$207,0)),"")&amp;" | Deposit "&amp;TEXT(IFERROR(INDEX('Challan Master'!$D$4:$D$207,MATCH($B55,'Challan Master'!$S$4:$S$207,0)),""),"dd-mm-yyyy")&amp;" | Minor Head "&amp;IFERROR(INDEX('Challan Master'!$E$4:$E$207,MATCH($B55,'Challan Master'!$S$4:$S$207,0)),"")&amp;" | Tax ₹"&amp;TEXT(IFERROR(INDEX('Challan Master'!$G$4:$G$207,MATCH($B55,'Challan Master'!$S$4:$S$207,0)),""),"#,##0")&amp;" | Section "&amp;IFERROR(INDEX('Challan Master'!$F$4:$F$207,MATCH($B55,'Challan Master'!$S$4:$S$207,0)),""))</f>
      </c>
      <c r="D55" s="8"/>
      <c r="E55" s="8"/>
      <c r="F55" s="7">
        <f>IF($D55="","",IF(AND(LEN(TRIM(UPPER(E55)))=10,CODE(MID(TRIM(UPPER(E55)),1,1))&gt;=65,CODE(MID(TRIM(UPPER(E55)),1,1))&lt;=90,CODE(MID(TRIM(UPPER(E55)),2,1))&gt;=65,CODE(MID(TRIM(UPPER(E55)),2,1))&lt;=90,CODE(MID(TRIM(UPPER(E55)),3,1))&gt;=65,CODE(MID(TRIM(UPPER(E55)),3,1))&lt;=90,CODE(MID(TRIM(UPPER(E55)),4,1))&gt;=65,CODE(MID(TRIM(UPPER(E55)),4,1))&lt;=90,CODE(MID(TRIM(UPPER(E55)),5,1))&gt;=65,CODE(MID(TRIM(UPPER(E55)),5,1))&lt;=90,CODE(MID(TRIM(UPPER(E55)),10,1))&gt;=65,CODE(MID(TRIM(UPPER(E55)),10,1))&lt;=90,CODE(MID(TRIM(UPPER(E55)),6,1))&gt;=48,CODE(MID(TRIM(UPPER(E55)),6,1))&lt;=57,CODE(MID(TRIM(UPPER(E55)),7,1))&gt;=48,CODE(MID(TRIM(UPPER(E55)),7,1))&lt;=57,CODE(MID(TRIM(UPPER(E55)),8,1))&gt;=48,CODE(MID(TRIM(UPPER(E55)),8,1))&lt;=57,CODE(MID(TRIM(UPPER(E55)),9,1))&gt;=48,CODE(MID(TRIM(UPPER(E55)),9,1))&lt;=57),"N","Y"))</f>
      </c>
      <c r="G55" s="7">
        <f>IF($D55="","",IF(LEN(E55)&lt;4,"",IF(UPPER(MID(E55,4,1))="P","Individual",IF(UPPER(MID(E55,4,1))="H","HUF",IF(UPPER(MID(E55,4,1))="C","Company",IF(UPPER(MID(E55,4,1))="F","Firm",IF(UPPER(MID(E55,4,1))="L","LLP",IF(UPPER(MID(E55,4,1))="T","Trust",IF(UPPER(MID(E55,4,1))="A","AOP","")))))))))</f>
      </c>
      <c r="H55" s="8"/>
      <c r="I55" s="7">
        <f>IF($D55="","",IF(H55="","",IF(F55="Y",SUMPRODUCT(('Rate Lookup'!$A$1:$A$37=H55)*'Rate Lookup'!$D$1:$D$37),IF(OR(G55="Individual",G55="HUF"),SUMPRODUCT(('Rate Lookup'!$A$1:$A$37=H55)*'Rate Lookup'!$B$1:$B$37),SUMPRODUCT(('Rate Lookup'!$A$1:$A$37=H55)*'Rate Lookup'!$C$1:$C$37)))))</f>
      </c>
      <c r="J55" s="8"/>
      <c r="K55" s="8"/>
      <c r="L55" s="7">
        <f>IF($D55="","",ROUND(K55*I55/100,0))</f>
      </c>
      <c r="M55" s="7">
        <f>IF($D55="","",0)</f>
      </c>
      <c r="N55" s="7">
        <f>IF($D55="","",0)</f>
      </c>
      <c r="O55" s="7">
        <f>IF($D55="","",IF(OR(L55=0,J55="",IFERROR(INDEX('Challan Master'!$D$4:$D$207,MATCH($B55,'Challan Master'!$S$4:$S$207,0)),"")="",IFERROR(INDEX('Challan Master'!$D$4:$D$207,MATCH($B55,'Challan Master'!$S$4:$S$207,0)),"")&lt;=0),0,IF(IFERROR(INDEX('Challan Master'!$D$4:$D$207,MATCH($B55,'Challan Master'!$S$4:$S$207,0)),"")&lt;=DATE(YEAR(J55),MONTH(J55)+1,7),0,ROUND(L55*0.015*((YEAR(IFERROR(INDEX('Challan Master'!$D$4:$D$207,MATCH($B55,'Challan Master'!$S$4:$S$207,0)),""))-YEAR(J55))*12+(MONTH(IFERROR(INDEX('Challan Master'!$D$4:$D$207,MATCH($B55,'Challan Master'!$S$4:$S$207,0)),""))-MONTH(J55))+1),0))))</f>
      </c>
      <c r="P55" s="7">
        <f>IF($D55="","",0)</f>
      </c>
      <c r="Q55" s="8"/>
      <c r="R55" s="8"/>
      <c r="S55" s="8"/>
      <c r="T55" s="8"/>
      <c r="U55" s="8"/>
      <c r="V55" s="7">
        <f>IF($B55="","",IFERROR(INDEX('Challan Master'!$AA$4:$AA$207,MATCH($B55,'Challan Master'!$S$4:$S$207,0)),""))</f>
      </c>
    </row>
    <row r="56" spans="1:22" x14ac:dyDescent="0.25">
      <c r="A56" s="7">
        <f>IF($D56="","",COUNTIF($D$4:$D56,"&lt;&gt;"))</f>
      </c>
      <c r="B56" s="8"/>
      <c r="C56" s="7">
        <f>IF($B56="","","BSR "&amp;IFERROR(INDEX('Challan Master'!$B$4:$B$207,MATCH($B56,'Challan Master'!$S$4:$S$207,0)),"")&amp;" | Serial "&amp;IFERROR(INDEX('Challan Master'!$C$4:$C$207,MATCH($B56,'Challan Master'!$S$4:$S$207,0)),"")&amp;" | Deposit "&amp;TEXT(IFERROR(INDEX('Challan Master'!$D$4:$D$207,MATCH($B56,'Challan Master'!$S$4:$S$207,0)),""),"dd-mm-yyyy")&amp;" | Minor Head "&amp;IFERROR(INDEX('Challan Master'!$E$4:$E$207,MATCH($B56,'Challan Master'!$S$4:$S$207,0)),"")&amp;" | Tax ₹"&amp;TEXT(IFERROR(INDEX('Challan Master'!$G$4:$G$207,MATCH($B56,'Challan Master'!$S$4:$S$207,0)),""),"#,##0")&amp;" | Section "&amp;IFERROR(INDEX('Challan Master'!$F$4:$F$207,MATCH($B56,'Challan Master'!$S$4:$S$207,0)),""))</f>
      </c>
      <c r="D56" s="8"/>
      <c r="E56" s="8"/>
      <c r="F56" s="7">
        <f>IF($D56="","",IF(AND(LEN(TRIM(UPPER(E56)))=10,CODE(MID(TRIM(UPPER(E56)),1,1))&gt;=65,CODE(MID(TRIM(UPPER(E56)),1,1))&lt;=90,CODE(MID(TRIM(UPPER(E56)),2,1))&gt;=65,CODE(MID(TRIM(UPPER(E56)),2,1))&lt;=90,CODE(MID(TRIM(UPPER(E56)),3,1))&gt;=65,CODE(MID(TRIM(UPPER(E56)),3,1))&lt;=90,CODE(MID(TRIM(UPPER(E56)),4,1))&gt;=65,CODE(MID(TRIM(UPPER(E56)),4,1))&lt;=90,CODE(MID(TRIM(UPPER(E56)),5,1))&gt;=65,CODE(MID(TRIM(UPPER(E56)),5,1))&lt;=90,CODE(MID(TRIM(UPPER(E56)),10,1))&gt;=65,CODE(MID(TRIM(UPPER(E56)),10,1))&lt;=90,CODE(MID(TRIM(UPPER(E56)),6,1))&gt;=48,CODE(MID(TRIM(UPPER(E56)),6,1))&lt;=57,CODE(MID(TRIM(UPPER(E56)),7,1))&gt;=48,CODE(MID(TRIM(UPPER(E56)),7,1))&lt;=57,CODE(MID(TRIM(UPPER(E56)),8,1))&gt;=48,CODE(MID(TRIM(UPPER(E56)),8,1))&lt;=57,CODE(MID(TRIM(UPPER(E56)),9,1))&gt;=48,CODE(MID(TRIM(UPPER(E56)),9,1))&lt;=57),"N","Y"))</f>
      </c>
      <c r="G56" s="7">
        <f>IF($D56="","",IF(LEN(E56)&lt;4,"",IF(UPPER(MID(E56,4,1))="P","Individual",IF(UPPER(MID(E56,4,1))="H","HUF",IF(UPPER(MID(E56,4,1))="C","Company",IF(UPPER(MID(E56,4,1))="F","Firm",IF(UPPER(MID(E56,4,1))="L","LLP",IF(UPPER(MID(E56,4,1))="T","Trust",IF(UPPER(MID(E56,4,1))="A","AOP","")))))))))</f>
      </c>
      <c r="H56" s="8"/>
      <c r="I56" s="7">
        <f>IF($D56="","",IF(H56="","",IF(F56="Y",SUMPRODUCT(('Rate Lookup'!$A$1:$A$37=H56)*'Rate Lookup'!$D$1:$D$37),IF(OR(G56="Individual",G56="HUF"),SUMPRODUCT(('Rate Lookup'!$A$1:$A$37=H56)*'Rate Lookup'!$B$1:$B$37),SUMPRODUCT(('Rate Lookup'!$A$1:$A$37=H56)*'Rate Lookup'!$C$1:$C$37)))))</f>
      </c>
      <c r="J56" s="8"/>
      <c r="K56" s="8"/>
      <c r="L56" s="7">
        <f>IF($D56="","",ROUND(K56*I56/100,0))</f>
      </c>
      <c r="M56" s="7">
        <f>IF($D56="","",0)</f>
      </c>
      <c r="N56" s="7">
        <f>IF($D56="","",0)</f>
      </c>
      <c r="O56" s="7">
        <f>IF($D56="","",IF(OR(L56=0,J56="",IFERROR(INDEX('Challan Master'!$D$4:$D$207,MATCH($B56,'Challan Master'!$S$4:$S$207,0)),"")="",IFERROR(INDEX('Challan Master'!$D$4:$D$207,MATCH($B56,'Challan Master'!$S$4:$S$207,0)),"")&lt;=0),0,IF(IFERROR(INDEX('Challan Master'!$D$4:$D$207,MATCH($B56,'Challan Master'!$S$4:$S$207,0)),"")&lt;=DATE(YEAR(J56),MONTH(J56)+1,7),0,ROUND(L56*0.015*((YEAR(IFERROR(INDEX('Challan Master'!$D$4:$D$207,MATCH($B56,'Challan Master'!$S$4:$S$207,0)),""))-YEAR(J56))*12+(MONTH(IFERROR(INDEX('Challan Master'!$D$4:$D$207,MATCH($B56,'Challan Master'!$S$4:$S$207,0)),""))-MONTH(J56))+1),0))))</f>
      </c>
      <c r="P56" s="7">
        <f>IF($D56="","",0)</f>
      </c>
      <c r="Q56" s="8"/>
      <c r="R56" s="8"/>
      <c r="S56" s="8"/>
      <c r="T56" s="8"/>
      <c r="U56" s="8"/>
      <c r="V56" s="7">
        <f>IF($B56="","",IFERROR(INDEX('Challan Master'!$AA$4:$AA$207,MATCH($B56,'Challan Master'!$S$4:$S$207,0)),""))</f>
      </c>
    </row>
    <row r="57" spans="1:22" x14ac:dyDescent="0.25">
      <c r="A57" s="7">
        <f>IF($D57="","",COUNTIF($D$4:$D57,"&lt;&gt;"))</f>
      </c>
      <c r="B57" s="8"/>
      <c r="C57" s="7">
        <f>IF($B57="","","BSR "&amp;IFERROR(INDEX('Challan Master'!$B$4:$B$207,MATCH($B57,'Challan Master'!$S$4:$S$207,0)),"")&amp;" | Serial "&amp;IFERROR(INDEX('Challan Master'!$C$4:$C$207,MATCH($B57,'Challan Master'!$S$4:$S$207,0)),"")&amp;" | Deposit "&amp;TEXT(IFERROR(INDEX('Challan Master'!$D$4:$D$207,MATCH($B57,'Challan Master'!$S$4:$S$207,0)),""),"dd-mm-yyyy")&amp;" | Minor Head "&amp;IFERROR(INDEX('Challan Master'!$E$4:$E$207,MATCH($B57,'Challan Master'!$S$4:$S$207,0)),"")&amp;" | Tax ₹"&amp;TEXT(IFERROR(INDEX('Challan Master'!$G$4:$G$207,MATCH($B57,'Challan Master'!$S$4:$S$207,0)),""),"#,##0")&amp;" | Section "&amp;IFERROR(INDEX('Challan Master'!$F$4:$F$207,MATCH($B57,'Challan Master'!$S$4:$S$207,0)),""))</f>
      </c>
      <c r="D57" s="8"/>
      <c r="E57" s="8"/>
      <c r="F57" s="7">
        <f>IF($D57="","",IF(AND(LEN(TRIM(UPPER(E57)))=10,CODE(MID(TRIM(UPPER(E57)),1,1))&gt;=65,CODE(MID(TRIM(UPPER(E57)),1,1))&lt;=90,CODE(MID(TRIM(UPPER(E57)),2,1))&gt;=65,CODE(MID(TRIM(UPPER(E57)),2,1))&lt;=90,CODE(MID(TRIM(UPPER(E57)),3,1))&gt;=65,CODE(MID(TRIM(UPPER(E57)),3,1))&lt;=90,CODE(MID(TRIM(UPPER(E57)),4,1))&gt;=65,CODE(MID(TRIM(UPPER(E57)),4,1))&lt;=90,CODE(MID(TRIM(UPPER(E57)),5,1))&gt;=65,CODE(MID(TRIM(UPPER(E57)),5,1))&lt;=90,CODE(MID(TRIM(UPPER(E57)),10,1))&gt;=65,CODE(MID(TRIM(UPPER(E57)),10,1))&lt;=90,CODE(MID(TRIM(UPPER(E57)),6,1))&gt;=48,CODE(MID(TRIM(UPPER(E57)),6,1))&lt;=57,CODE(MID(TRIM(UPPER(E57)),7,1))&gt;=48,CODE(MID(TRIM(UPPER(E57)),7,1))&lt;=57,CODE(MID(TRIM(UPPER(E57)),8,1))&gt;=48,CODE(MID(TRIM(UPPER(E57)),8,1))&lt;=57,CODE(MID(TRIM(UPPER(E57)),9,1))&gt;=48,CODE(MID(TRIM(UPPER(E57)),9,1))&lt;=57),"N","Y"))</f>
      </c>
      <c r="G57" s="7">
        <f>IF($D57="","",IF(LEN(E57)&lt;4,"",IF(UPPER(MID(E57,4,1))="P","Individual",IF(UPPER(MID(E57,4,1))="H","HUF",IF(UPPER(MID(E57,4,1))="C","Company",IF(UPPER(MID(E57,4,1))="F","Firm",IF(UPPER(MID(E57,4,1))="L","LLP",IF(UPPER(MID(E57,4,1))="T","Trust",IF(UPPER(MID(E57,4,1))="A","AOP","")))))))))</f>
      </c>
      <c r="H57" s="8"/>
      <c r="I57" s="7">
        <f>IF($D57="","",IF(H57="","",IF(F57="Y",SUMPRODUCT(('Rate Lookup'!$A$1:$A$37=H57)*'Rate Lookup'!$D$1:$D$37),IF(OR(G57="Individual",G57="HUF"),SUMPRODUCT(('Rate Lookup'!$A$1:$A$37=H57)*'Rate Lookup'!$B$1:$B$37),SUMPRODUCT(('Rate Lookup'!$A$1:$A$37=H57)*'Rate Lookup'!$C$1:$C$37)))))</f>
      </c>
      <c r="J57" s="8"/>
      <c r="K57" s="8"/>
      <c r="L57" s="7">
        <f>IF($D57="","",ROUND(K57*I57/100,0))</f>
      </c>
      <c r="M57" s="7">
        <f>IF($D57="","",0)</f>
      </c>
      <c r="N57" s="7">
        <f>IF($D57="","",0)</f>
      </c>
      <c r="O57" s="7">
        <f>IF($D57="","",IF(OR(L57=0,J57="",IFERROR(INDEX('Challan Master'!$D$4:$D$207,MATCH($B57,'Challan Master'!$S$4:$S$207,0)),"")="",IFERROR(INDEX('Challan Master'!$D$4:$D$207,MATCH($B57,'Challan Master'!$S$4:$S$207,0)),"")&lt;=0),0,IF(IFERROR(INDEX('Challan Master'!$D$4:$D$207,MATCH($B57,'Challan Master'!$S$4:$S$207,0)),"")&lt;=DATE(YEAR(J57),MONTH(J57)+1,7),0,ROUND(L57*0.015*((YEAR(IFERROR(INDEX('Challan Master'!$D$4:$D$207,MATCH($B57,'Challan Master'!$S$4:$S$207,0)),""))-YEAR(J57))*12+(MONTH(IFERROR(INDEX('Challan Master'!$D$4:$D$207,MATCH($B57,'Challan Master'!$S$4:$S$207,0)),""))-MONTH(J57))+1),0))))</f>
      </c>
      <c r="P57" s="7">
        <f>IF($D57="","",0)</f>
      </c>
      <c r="Q57" s="8"/>
      <c r="R57" s="8"/>
      <c r="S57" s="8"/>
      <c r="T57" s="8"/>
      <c r="U57" s="8"/>
      <c r="V57" s="7">
        <f>IF($B57="","",IFERROR(INDEX('Challan Master'!$AA$4:$AA$207,MATCH($B57,'Challan Master'!$S$4:$S$207,0)),""))</f>
      </c>
    </row>
    <row r="58" spans="1:22" x14ac:dyDescent="0.25">
      <c r="A58" s="7">
        <f>IF($D58="","",COUNTIF($D$4:$D58,"&lt;&gt;"))</f>
      </c>
      <c r="B58" s="8"/>
      <c r="C58" s="7">
        <f>IF($B58="","","BSR "&amp;IFERROR(INDEX('Challan Master'!$B$4:$B$207,MATCH($B58,'Challan Master'!$S$4:$S$207,0)),"")&amp;" | Serial "&amp;IFERROR(INDEX('Challan Master'!$C$4:$C$207,MATCH($B58,'Challan Master'!$S$4:$S$207,0)),"")&amp;" | Deposit "&amp;TEXT(IFERROR(INDEX('Challan Master'!$D$4:$D$207,MATCH($B58,'Challan Master'!$S$4:$S$207,0)),""),"dd-mm-yyyy")&amp;" | Minor Head "&amp;IFERROR(INDEX('Challan Master'!$E$4:$E$207,MATCH($B58,'Challan Master'!$S$4:$S$207,0)),"")&amp;" | Tax ₹"&amp;TEXT(IFERROR(INDEX('Challan Master'!$G$4:$G$207,MATCH($B58,'Challan Master'!$S$4:$S$207,0)),""),"#,##0")&amp;" | Section "&amp;IFERROR(INDEX('Challan Master'!$F$4:$F$207,MATCH($B58,'Challan Master'!$S$4:$S$207,0)),""))</f>
      </c>
      <c r="D58" s="8"/>
      <c r="E58" s="8"/>
      <c r="F58" s="7">
        <f>IF($D58="","",IF(AND(LEN(TRIM(UPPER(E58)))=10,CODE(MID(TRIM(UPPER(E58)),1,1))&gt;=65,CODE(MID(TRIM(UPPER(E58)),1,1))&lt;=90,CODE(MID(TRIM(UPPER(E58)),2,1))&gt;=65,CODE(MID(TRIM(UPPER(E58)),2,1))&lt;=90,CODE(MID(TRIM(UPPER(E58)),3,1))&gt;=65,CODE(MID(TRIM(UPPER(E58)),3,1))&lt;=90,CODE(MID(TRIM(UPPER(E58)),4,1))&gt;=65,CODE(MID(TRIM(UPPER(E58)),4,1))&lt;=90,CODE(MID(TRIM(UPPER(E58)),5,1))&gt;=65,CODE(MID(TRIM(UPPER(E58)),5,1))&lt;=90,CODE(MID(TRIM(UPPER(E58)),10,1))&gt;=65,CODE(MID(TRIM(UPPER(E58)),10,1))&lt;=90,CODE(MID(TRIM(UPPER(E58)),6,1))&gt;=48,CODE(MID(TRIM(UPPER(E58)),6,1))&lt;=57,CODE(MID(TRIM(UPPER(E58)),7,1))&gt;=48,CODE(MID(TRIM(UPPER(E58)),7,1))&lt;=57,CODE(MID(TRIM(UPPER(E58)),8,1))&gt;=48,CODE(MID(TRIM(UPPER(E58)),8,1))&lt;=57,CODE(MID(TRIM(UPPER(E58)),9,1))&gt;=48,CODE(MID(TRIM(UPPER(E58)),9,1))&lt;=57),"N","Y"))</f>
      </c>
      <c r="G58" s="7">
        <f>IF($D58="","",IF(LEN(E58)&lt;4,"",IF(UPPER(MID(E58,4,1))="P","Individual",IF(UPPER(MID(E58,4,1))="H","HUF",IF(UPPER(MID(E58,4,1))="C","Company",IF(UPPER(MID(E58,4,1))="F","Firm",IF(UPPER(MID(E58,4,1))="L","LLP",IF(UPPER(MID(E58,4,1))="T","Trust",IF(UPPER(MID(E58,4,1))="A","AOP","")))))))))</f>
      </c>
      <c r="H58" s="8"/>
      <c r="I58" s="7">
        <f>IF($D58="","",IF(H58="","",IF(F58="Y",SUMPRODUCT(('Rate Lookup'!$A$1:$A$37=H58)*'Rate Lookup'!$D$1:$D$37),IF(OR(G58="Individual",G58="HUF"),SUMPRODUCT(('Rate Lookup'!$A$1:$A$37=H58)*'Rate Lookup'!$B$1:$B$37),SUMPRODUCT(('Rate Lookup'!$A$1:$A$37=H58)*'Rate Lookup'!$C$1:$C$37)))))</f>
      </c>
      <c r="J58" s="8"/>
      <c r="K58" s="8"/>
      <c r="L58" s="7">
        <f>IF($D58="","",ROUND(K58*I58/100,0))</f>
      </c>
      <c r="M58" s="7">
        <f>IF($D58="","",0)</f>
      </c>
      <c r="N58" s="7">
        <f>IF($D58="","",0)</f>
      </c>
      <c r="O58" s="7">
        <f>IF($D58="","",IF(OR(L58=0,J58="",IFERROR(INDEX('Challan Master'!$D$4:$D$207,MATCH($B58,'Challan Master'!$S$4:$S$207,0)),"")="",IFERROR(INDEX('Challan Master'!$D$4:$D$207,MATCH($B58,'Challan Master'!$S$4:$S$207,0)),"")&lt;=0),0,IF(IFERROR(INDEX('Challan Master'!$D$4:$D$207,MATCH($B58,'Challan Master'!$S$4:$S$207,0)),"")&lt;=DATE(YEAR(J58),MONTH(J58)+1,7),0,ROUND(L58*0.015*((YEAR(IFERROR(INDEX('Challan Master'!$D$4:$D$207,MATCH($B58,'Challan Master'!$S$4:$S$207,0)),""))-YEAR(J58))*12+(MONTH(IFERROR(INDEX('Challan Master'!$D$4:$D$207,MATCH($B58,'Challan Master'!$S$4:$S$207,0)),""))-MONTH(J58))+1),0))))</f>
      </c>
      <c r="P58" s="7">
        <f>IF($D58="","",0)</f>
      </c>
      <c r="Q58" s="8"/>
      <c r="R58" s="8"/>
      <c r="S58" s="8"/>
      <c r="T58" s="8"/>
      <c r="U58" s="8"/>
      <c r="V58" s="7">
        <f>IF($B58="","",IFERROR(INDEX('Challan Master'!$AA$4:$AA$207,MATCH($B58,'Challan Master'!$S$4:$S$207,0)),""))</f>
      </c>
    </row>
    <row r="59" spans="1:22" x14ac:dyDescent="0.25">
      <c r="A59" s="7">
        <f>IF($D59="","",COUNTIF($D$4:$D59,"&lt;&gt;"))</f>
      </c>
      <c r="B59" s="8"/>
      <c r="C59" s="7">
        <f>IF($B59="","","BSR "&amp;IFERROR(INDEX('Challan Master'!$B$4:$B$207,MATCH($B59,'Challan Master'!$S$4:$S$207,0)),"")&amp;" | Serial "&amp;IFERROR(INDEX('Challan Master'!$C$4:$C$207,MATCH($B59,'Challan Master'!$S$4:$S$207,0)),"")&amp;" | Deposit "&amp;TEXT(IFERROR(INDEX('Challan Master'!$D$4:$D$207,MATCH($B59,'Challan Master'!$S$4:$S$207,0)),""),"dd-mm-yyyy")&amp;" | Minor Head "&amp;IFERROR(INDEX('Challan Master'!$E$4:$E$207,MATCH($B59,'Challan Master'!$S$4:$S$207,0)),"")&amp;" | Tax ₹"&amp;TEXT(IFERROR(INDEX('Challan Master'!$G$4:$G$207,MATCH($B59,'Challan Master'!$S$4:$S$207,0)),""),"#,##0")&amp;" | Section "&amp;IFERROR(INDEX('Challan Master'!$F$4:$F$207,MATCH($B59,'Challan Master'!$S$4:$S$207,0)),""))</f>
      </c>
      <c r="D59" s="8"/>
      <c r="E59" s="8"/>
      <c r="F59" s="7">
        <f>IF($D59="","",IF(AND(LEN(TRIM(UPPER(E59)))=10,CODE(MID(TRIM(UPPER(E59)),1,1))&gt;=65,CODE(MID(TRIM(UPPER(E59)),1,1))&lt;=90,CODE(MID(TRIM(UPPER(E59)),2,1))&gt;=65,CODE(MID(TRIM(UPPER(E59)),2,1))&lt;=90,CODE(MID(TRIM(UPPER(E59)),3,1))&gt;=65,CODE(MID(TRIM(UPPER(E59)),3,1))&lt;=90,CODE(MID(TRIM(UPPER(E59)),4,1))&gt;=65,CODE(MID(TRIM(UPPER(E59)),4,1))&lt;=90,CODE(MID(TRIM(UPPER(E59)),5,1))&gt;=65,CODE(MID(TRIM(UPPER(E59)),5,1))&lt;=90,CODE(MID(TRIM(UPPER(E59)),10,1))&gt;=65,CODE(MID(TRIM(UPPER(E59)),10,1))&lt;=90,CODE(MID(TRIM(UPPER(E59)),6,1))&gt;=48,CODE(MID(TRIM(UPPER(E59)),6,1))&lt;=57,CODE(MID(TRIM(UPPER(E59)),7,1))&gt;=48,CODE(MID(TRIM(UPPER(E59)),7,1))&lt;=57,CODE(MID(TRIM(UPPER(E59)),8,1))&gt;=48,CODE(MID(TRIM(UPPER(E59)),8,1))&lt;=57,CODE(MID(TRIM(UPPER(E59)),9,1))&gt;=48,CODE(MID(TRIM(UPPER(E59)),9,1))&lt;=57),"N","Y"))</f>
      </c>
      <c r="G59" s="7">
        <f>IF($D59="","",IF(LEN(E59)&lt;4,"",IF(UPPER(MID(E59,4,1))="P","Individual",IF(UPPER(MID(E59,4,1))="H","HUF",IF(UPPER(MID(E59,4,1))="C","Company",IF(UPPER(MID(E59,4,1))="F","Firm",IF(UPPER(MID(E59,4,1))="L","LLP",IF(UPPER(MID(E59,4,1))="T","Trust",IF(UPPER(MID(E59,4,1))="A","AOP","")))))))))</f>
      </c>
      <c r="H59" s="8"/>
      <c r="I59" s="7">
        <f>IF($D59="","",IF(H59="","",IF(F59="Y",SUMPRODUCT(('Rate Lookup'!$A$1:$A$37=H59)*'Rate Lookup'!$D$1:$D$37),IF(OR(G59="Individual",G59="HUF"),SUMPRODUCT(('Rate Lookup'!$A$1:$A$37=H59)*'Rate Lookup'!$B$1:$B$37),SUMPRODUCT(('Rate Lookup'!$A$1:$A$37=H59)*'Rate Lookup'!$C$1:$C$37)))))</f>
      </c>
      <c r="J59" s="8"/>
      <c r="K59" s="8"/>
      <c r="L59" s="7">
        <f>IF($D59="","",ROUND(K59*I59/100,0))</f>
      </c>
      <c r="M59" s="7">
        <f>IF($D59="","",0)</f>
      </c>
      <c r="N59" s="7">
        <f>IF($D59="","",0)</f>
      </c>
      <c r="O59" s="7">
        <f>IF($D59="","",IF(OR(L59=0,J59="",IFERROR(INDEX('Challan Master'!$D$4:$D$207,MATCH($B59,'Challan Master'!$S$4:$S$207,0)),"")="",IFERROR(INDEX('Challan Master'!$D$4:$D$207,MATCH($B59,'Challan Master'!$S$4:$S$207,0)),"")&lt;=0),0,IF(IFERROR(INDEX('Challan Master'!$D$4:$D$207,MATCH($B59,'Challan Master'!$S$4:$S$207,0)),"")&lt;=DATE(YEAR(J59),MONTH(J59)+1,7),0,ROUND(L59*0.015*((YEAR(IFERROR(INDEX('Challan Master'!$D$4:$D$207,MATCH($B59,'Challan Master'!$S$4:$S$207,0)),""))-YEAR(J59))*12+(MONTH(IFERROR(INDEX('Challan Master'!$D$4:$D$207,MATCH($B59,'Challan Master'!$S$4:$S$207,0)),""))-MONTH(J59))+1),0))))</f>
      </c>
      <c r="P59" s="7">
        <f>IF($D59="","",0)</f>
      </c>
      <c r="Q59" s="8"/>
      <c r="R59" s="8"/>
      <c r="S59" s="8"/>
      <c r="T59" s="8"/>
      <c r="U59" s="8"/>
      <c r="V59" s="7">
        <f>IF($B59="","",IFERROR(INDEX('Challan Master'!$AA$4:$AA$207,MATCH($B59,'Challan Master'!$S$4:$S$207,0)),""))</f>
      </c>
    </row>
    <row r="60" spans="1:22" x14ac:dyDescent="0.25">
      <c r="A60" s="7">
        <f>IF($D60="","",COUNTIF($D$4:$D60,"&lt;&gt;"))</f>
      </c>
      <c r="B60" s="8"/>
      <c r="C60" s="7">
        <f>IF($B60="","","BSR "&amp;IFERROR(INDEX('Challan Master'!$B$4:$B$207,MATCH($B60,'Challan Master'!$S$4:$S$207,0)),"")&amp;" | Serial "&amp;IFERROR(INDEX('Challan Master'!$C$4:$C$207,MATCH($B60,'Challan Master'!$S$4:$S$207,0)),"")&amp;" | Deposit "&amp;TEXT(IFERROR(INDEX('Challan Master'!$D$4:$D$207,MATCH($B60,'Challan Master'!$S$4:$S$207,0)),""),"dd-mm-yyyy")&amp;" | Minor Head "&amp;IFERROR(INDEX('Challan Master'!$E$4:$E$207,MATCH($B60,'Challan Master'!$S$4:$S$207,0)),"")&amp;" | Tax ₹"&amp;TEXT(IFERROR(INDEX('Challan Master'!$G$4:$G$207,MATCH($B60,'Challan Master'!$S$4:$S$207,0)),""),"#,##0")&amp;" | Section "&amp;IFERROR(INDEX('Challan Master'!$F$4:$F$207,MATCH($B60,'Challan Master'!$S$4:$S$207,0)),""))</f>
      </c>
      <c r="D60" s="8"/>
      <c r="E60" s="8"/>
      <c r="F60" s="7">
        <f>IF($D60="","",IF(AND(LEN(TRIM(UPPER(E60)))=10,CODE(MID(TRIM(UPPER(E60)),1,1))&gt;=65,CODE(MID(TRIM(UPPER(E60)),1,1))&lt;=90,CODE(MID(TRIM(UPPER(E60)),2,1))&gt;=65,CODE(MID(TRIM(UPPER(E60)),2,1))&lt;=90,CODE(MID(TRIM(UPPER(E60)),3,1))&gt;=65,CODE(MID(TRIM(UPPER(E60)),3,1))&lt;=90,CODE(MID(TRIM(UPPER(E60)),4,1))&gt;=65,CODE(MID(TRIM(UPPER(E60)),4,1))&lt;=90,CODE(MID(TRIM(UPPER(E60)),5,1))&gt;=65,CODE(MID(TRIM(UPPER(E60)),5,1))&lt;=90,CODE(MID(TRIM(UPPER(E60)),10,1))&gt;=65,CODE(MID(TRIM(UPPER(E60)),10,1))&lt;=90,CODE(MID(TRIM(UPPER(E60)),6,1))&gt;=48,CODE(MID(TRIM(UPPER(E60)),6,1))&lt;=57,CODE(MID(TRIM(UPPER(E60)),7,1))&gt;=48,CODE(MID(TRIM(UPPER(E60)),7,1))&lt;=57,CODE(MID(TRIM(UPPER(E60)),8,1))&gt;=48,CODE(MID(TRIM(UPPER(E60)),8,1))&lt;=57,CODE(MID(TRIM(UPPER(E60)),9,1))&gt;=48,CODE(MID(TRIM(UPPER(E60)),9,1))&lt;=57),"N","Y"))</f>
      </c>
      <c r="G60" s="7">
        <f>IF($D60="","",IF(LEN(E60)&lt;4,"",IF(UPPER(MID(E60,4,1))="P","Individual",IF(UPPER(MID(E60,4,1))="H","HUF",IF(UPPER(MID(E60,4,1))="C","Company",IF(UPPER(MID(E60,4,1))="F","Firm",IF(UPPER(MID(E60,4,1))="L","LLP",IF(UPPER(MID(E60,4,1))="T","Trust",IF(UPPER(MID(E60,4,1))="A","AOP","")))))))))</f>
      </c>
      <c r="H60" s="8"/>
      <c r="I60" s="7">
        <f>IF($D60="","",IF(H60="","",IF(F60="Y",SUMPRODUCT(('Rate Lookup'!$A$1:$A$37=H60)*'Rate Lookup'!$D$1:$D$37),IF(OR(G60="Individual",G60="HUF"),SUMPRODUCT(('Rate Lookup'!$A$1:$A$37=H60)*'Rate Lookup'!$B$1:$B$37),SUMPRODUCT(('Rate Lookup'!$A$1:$A$37=H60)*'Rate Lookup'!$C$1:$C$37)))))</f>
      </c>
      <c r="J60" s="8"/>
      <c r="K60" s="8"/>
      <c r="L60" s="7">
        <f>IF($D60="","",ROUND(K60*I60/100,0))</f>
      </c>
      <c r="M60" s="7">
        <f>IF($D60="","",0)</f>
      </c>
      <c r="N60" s="7">
        <f>IF($D60="","",0)</f>
      </c>
      <c r="O60" s="7">
        <f>IF($D60="","",IF(OR(L60=0,J60="",IFERROR(INDEX('Challan Master'!$D$4:$D$207,MATCH($B60,'Challan Master'!$S$4:$S$207,0)),"")="",IFERROR(INDEX('Challan Master'!$D$4:$D$207,MATCH($B60,'Challan Master'!$S$4:$S$207,0)),"")&lt;=0),0,IF(IFERROR(INDEX('Challan Master'!$D$4:$D$207,MATCH($B60,'Challan Master'!$S$4:$S$207,0)),"")&lt;=DATE(YEAR(J60),MONTH(J60)+1,7),0,ROUND(L60*0.015*((YEAR(IFERROR(INDEX('Challan Master'!$D$4:$D$207,MATCH($B60,'Challan Master'!$S$4:$S$207,0)),""))-YEAR(J60))*12+(MONTH(IFERROR(INDEX('Challan Master'!$D$4:$D$207,MATCH($B60,'Challan Master'!$S$4:$S$207,0)),""))-MONTH(J60))+1),0))))</f>
      </c>
      <c r="P60" s="7">
        <f>IF($D60="","",0)</f>
      </c>
      <c r="Q60" s="8"/>
      <c r="R60" s="8"/>
      <c r="S60" s="8"/>
      <c r="T60" s="8"/>
      <c r="U60" s="8"/>
      <c r="V60" s="7">
        <f>IF($B60="","",IFERROR(INDEX('Challan Master'!$AA$4:$AA$207,MATCH($B60,'Challan Master'!$S$4:$S$207,0)),""))</f>
      </c>
    </row>
    <row r="61" spans="1:22" x14ac:dyDescent="0.25">
      <c r="A61" s="7">
        <f>IF($D61="","",COUNTIF($D$4:$D61,"&lt;&gt;"))</f>
      </c>
      <c r="B61" s="8"/>
      <c r="C61" s="7">
        <f>IF($B61="","","BSR "&amp;IFERROR(INDEX('Challan Master'!$B$4:$B$207,MATCH($B61,'Challan Master'!$S$4:$S$207,0)),"")&amp;" | Serial "&amp;IFERROR(INDEX('Challan Master'!$C$4:$C$207,MATCH($B61,'Challan Master'!$S$4:$S$207,0)),"")&amp;" | Deposit "&amp;TEXT(IFERROR(INDEX('Challan Master'!$D$4:$D$207,MATCH($B61,'Challan Master'!$S$4:$S$207,0)),""),"dd-mm-yyyy")&amp;" | Minor Head "&amp;IFERROR(INDEX('Challan Master'!$E$4:$E$207,MATCH($B61,'Challan Master'!$S$4:$S$207,0)),"")&amp;" | Tax ₹"&amp;TEXT(IFERROR(INDEX('Challan Master'!$G$4:$G$207,MATCH($B61,'Challan Master'!$S$4:$S$207,0)),""),"#,##0")&amp;" | Section "&amp;IFERROR(INDEX('Challan Master'!$F$4:$F$207,MATCH($B61,'Challan Master'!$S$4:$S$207,0)),""))</f>
      </c>
      <c r="D61" s="8"/>
      <c r="E61" s="8"/>
      <c r="F61" s="7">
        <f>IF($D61="","",IF(AND(LEN(TRIM(UPPER(E61)))=10,CODE(MID(TRIM(UPPER(E61)),1,1))&gt;=65,CODE(MID(TRIM(UPPER(E61)),1,1))&lt;=90,CODE(MID(TRIM(UPPER(E61)),2,1))&gt;=65,CODE(MID(TRIM(UPPER(E61)),2,1))&lt;=90,CODE(MID(TRIM(UPPER(E61)),3,1))&gt;=65,CODE(MID(TRIM(UPPER(E61)),3,1))&lt;=90,CODE(MID(TRIM(UPPER(E61)),4,1))&gt;=65,CODE(MID(TRIM(UPPER(E61)),4,1))&lt;=90,CODE(MID(TRIM(UPPER(E61)),5,1))&gt;=65,CODE(MID(TRIM(UPPER(E61)),5,1))&lt;=90,CODE(MID(TRIM(UPPER(E61)),10,1))&gt;=65,CODE(MID(TRIM(UPPER(E61)),10,1))&lt;=90,CODE(MID(TRIM(UPPER(E61)),6,1))&gt;=48,CODE(MID(TRIM(UPPER(E61)),6,1))&lt;=57,CODE(MID(TRIM(UPPER(E61)),7,1))&gt;=48,CODE(MID(TRIM(UPPER(E61)),7,1))&lt;=57,CODE(MID(TRIM(UPPER(E61)),8,1))&gt;=48,CODE(MID(TRIM(UPPER(E61)),8,1))&lt;=57,CODE(MID(TRIM(UPPER(E61)),9,1))&gt;=48,CODE(MID(TRIM(UPPER(E61)),9,1))&lt;=57),"N","Y"))</f>
      </c>
      <c r="G61" s="7">
        <f>IF($D61="","",IF(LEN(E61)&lt;4,"",IF(UPPER(MID(E61,4,1))="P","Individual",IF(UPPER(MID(E61,4,1))="H","HUF",IF(UPPER(MID(E61,4,1))="C","Company",IF(UPPER(MID(E61,4,1))="F","Firm",IF(UPPER(MID(E61,4,1))="L","LLP",IF(UPPER(MID(E61,4,1))="T","Trust",IF(UPPER(MID(E61,4,1))="A","AOP","")))))))))</f>
      </c>
      <c r="H61" s="8"/>
      <c r="I61" s="7">
        <f>IF($D61="","",IF(H61="","",IF(F61="Y",SUMPRODUCT(('Rate Lookup'!$A$1:$A$37=H61)*'Rate Lookup'!$D$1:$D$37),IF(OR(G61="Individual",G61="HUF"),SUMPRODUCT(('Rate Lookup'!$A$1:$A$37=H61)*'Rate Lookup'!$B$1:$B$37),SUMPRODUCT(('Rate Lookup'!$A$1:$A$37=H61)*'Rate Lookup'!$C$1:$C$37)))))</f>
      </c>
      <c r="J61" s="8"/>
      <c r="K61" s="8"/>
      <c r="L61" s="7">
        <f>IF($D61="","",ROUND(K61*I61/100,0))</f>
      </c>
      <c r="M61" s="7">
        <f>IF($D61="","",0)</f>
      </c>
      <c r="N61" s="7">
        <f>IF($D61="","",0)</f>
      </c>
      <c r="O61" s="7">
        <f>IF($D61="","",IF(OR(L61=0,J61="",IFERROR(INDEX('Challan Master'!$D$4:$D$207,MATCH($B61,'Challan Master'!$S$4:$S$207,0)),"")="",IFERROR(INDEX('Challan Master'!$D$4:$D$207,MATCH($B61,'Challan Master'!$S$4:$S$207,0)),"")&lt;=0),0,IF(IFERROR(INDEX('Challan Master'!$D$4:$D$207,MATCH($B61,'Challan Master'!$S$4:$S$207,0)),"")&lt;=DATE(YEAR(J61),MONTH(J61)+1,7),0,ROUND(L61*0.015*((YEAR(IFERROR(INDEX('Challan Master'!$D$4:$D$207,MATCH($B61,'Challan Master'!$S$4:$S$207,0)),""))-YEAR(J61))*12+(MONTH(IFERROR(INDEX('Challan Master'!$D$4:$D$207,MATCH($B61,'Challan Master'!$S$4:$S$207,0)),""))-MONTH(J61))+1),0))))</f>
      </c>
      <c r="P61" s="7">
        <f>IF($D61="","",0)</f>
      </c>
      <c r="Q61" s="8"/>
      <c r="R61" s="8"/>
      <c r="S61" s="8"/>
      <c r="T61" s="8"/>
      <c r="U61" s="8"/>
      <c r="V61" s="7">
        <f>IF($B61="","",IFERROR(INDEX('Challan Master'!$AA$4:$AA$207,MATCH($B61,'Challan Master'!$S$4:$S$207,0)),""))</f>
      </c>
    </row>
    <row r="62" spans="1:22" x14ac:dyDescent="0.25">
      <c r="A62" s="7">
        <f>IF($D62="","",COUNTIF($D$4:$D62,"&lt;&gt;"))</f>
      </c>
      <c r="B62" s="8"/>
      <c r="C62" s="7">
        <f>IF($B62="","","BSR "&amp;IFERROR(INDEX('Challan Master'!$B$4:$B$207,MATCH($B62,'Challan Master'!$S$4:$S$207,0)),"")&amp;" | Serial "&amp;IFERROR(INDEX('Challan Master'!$C$4:$C$207,MATCH($B62,'Challan Master'!$S$4:$S$207,0)),"")&amp;" | Deposit "&amp;TEXT(IFERROR(INDEX('Challan Master'!$D$4:$D$207,MATCH($B62,'Challan Master'!$S$4:$S$207,0)),""),"dd-mm-yyyy")&amp;" | Minor Head "&amp;IFERROR(INDEX('Challan Master'!$E$4:$E$207,MATCH($B62,'Challan Master'!$S$4:$S$207,0)),"")&amp;" | Tax ₹"&amp;TEXT(IFERROR(INDEX('Challan Master'!$G$4:$G$207,MATCH($B62,'Challan Master'!$S$4:$S$207,0)),""),"#,##0")&amp;" | Section "&amp;IFERROR(INDEX('Challan Master'!$F$4:$F$207,MATCH($B62,'Challan Master'!$S$4:$S$207,0)),""))</f>
      </c>
      <c r="D62" s="8"/>
      <c r="E62" s="8"/>
      <c r="F62" s="7">
        <f>IF($D62="","",IF(AND(LEN(TRIM(UPPER(E62)))=10,CODE(MID(TRIM(UPPER(E62)),1,1))&gt;=65,CODE(MID(TRIM(UPPER(E62)),1,1))&lt;=90,CODE(MID(TRIM(UPPER(E62)),2,1))&gt;=65,CODE(MID(TRIM(UPPER(E62)),2,1))&lt;=90,CODE(MID(TRIM(UPPER(E62)),3,1))&gt;=65,CODE(MID(TRIM(UPPER(E62)),3,1))&lt;=90,CODE(MID(TRIM(UPPER(E62)),4,1))&gt;=65,CODE(MID(TRIM(UPPER(E62)),4,1))&lt;=90,CODE(MID(TRIM(UPPER(E62)),5,1))&gt;=65,CODE(MID(TRIM(UPPER(E62)),5,1))&lt;=90,CODE(MID(TRIM(UPPER(E62)),10,1))&gt;=65,CODE(MID(TRIM(UPPER(E62)),10,1))&lt;=90,CODE(MID(TRIM(UPPER(E62)),6,1))&gt;=48,CODE(MID(TRIM(UPPER(E62)),6,1))&lt;=57,CODE(MID(TRIM(UPPER(E62)),7,1))&gt;=48,CODE(MID(TRIM(UPPER(E62)),7,1))&lt;=57,CODE(MID(TRIM(UPPER(E62)),8,1))&gt;=48,CODE(MID(TRIM(UPPER(E62)),8,1))&lt;=57,CODE(MID(TRIM(UPPER(E62)),9,1))&gt;=48,CODE(MID(TRIM(UPPER(E62)),9,1))&lt;=57),"N","Y"))</f>
      </c>
      <c r="G62" s="7">
        <f>IF($D62="","",IF(LEN(E62)&lt;4,"",IF(UPPER(MID(E62,4,1))="P","Individual",IF(UPPER(MID(E62,4,1))="H","HUF",IF(UPPER(MID(E62,4,1))="C","Company",IF(UPPER(MID(E62,4,1))="F","Firm",IF(UPPER(MID(E62,4,1))="L","LLP",IF(UPPER(MID(E62,4,1))="T","Trust",IF(UPPER(MID(E62,4,1))="A","AOP","")))))))))</f>
      </c>
      <c r="H62" s="8"/>
      <c r="I62" s="7">
        <f>IF($D62="","",IF(H62="","",IF(F62="Y",SUMPRODUCT(('Rate Lookup'!$A$1:$A$37=H62)*'Rate Lookup'!$D$1:$D$37),IF(OR(G62="Individual",G62="HUF"),SUMPRODUCT(('Rate Lookup'!$A$1:$A$37=H62)*'Rate Lookup'!$B$1:$B$37),SUMPRODUCT(('Rate Lookup'!$A$1:$A$37=H62)*'Rate Lookup'!$C$1:$C$37)))))</f>
      </c>
      <c r="J62" s="8"/>
      <c r="K62" s="8"/>
      <c r="L62" s="7">
        <f>IF($D62="","",ROUND(K62*I62/100,0))</f>
      </c>
      <c r="M62" s="7">
        <f>IF($D62="","",0)</f>
      </c>
      <c r="N62" s="7">
        <f>IF($D62="","",0)</f>
      </c>
      <c r="O62" s="7">
        <f>IF($D62="","",IF(OR(L62=0,J62="",IFERROR(INDEX('Challan Master'!$D$4:$D$207,MATCH($B62,'Challan Master'!$S$4:$S$207,0)),"")="",IFERROR(INDEX('Challan Master'!$D$4:$D$207,MATCH($B62,'Challan Master'!$S$4:$S$207,0)),"")&lt;=0),0,IF(IFERROR(INDEX('Challan Master'!$D$4:$D$207,MATCH($B62,'Challan Master'!$S$4:$S$207,0)),"")&lt;=DATE(YEAR(J62),MONTH(J62)+1,7),0,ROUND(L62*0.015*((YEAR(IFERROR(INDEX('Challan Master'!$D$4:$D$207,MATCH($B62,'Challan Master'!$S$4:$S$207,0)),""))-YEAR(J62))*12+(MONTH(IFERROR(INDEX('Challan Master'!$D$4:$D$207,MATCH($B62,'Challan Master'!$S$4:$S$207,0)),""))-MONTH(J62))+1),0))))</f>
      </c>
      <c r="P62" s="7">
        <f>IF($D62="","",0)</f>
      </c>
      <c r="Q62" s="8"/>
      <c r="R62" s="8"/>
      <c r="S62" s="8"/>
      <c r="T62" s="8"/>
      <c r="U62" s="8"/>
      <c r="V62" s="7">
        <f>IF($B62="","",IFERROR(INDEX('Challan Master'!$AA$4:$AA$207,MATCH($B62,'Challan Master'!$S$4:$S$207,0)),""))</f>
      </c>
    </row>
    <row r="63" spans="1:22" x14ac:dyDescent="0.25">
      <c r="A63" s="7">
        <f>IF($D63="","",COUNTIF($D$4:$D63,"&lt;&gt;"))</f>
      </c>
      <c r="B63" s="8"/>
      <c r="C63" s="7">
        <f>IF($B63="","","BSR "&amp;IFERROR(INDEX('Challan Master'!$B$4:$B$207,MATCH($B63,'Challan Master'!$S$4:$S$207,0)),"")&amp;" | Serial "&amp;IFERROR(INDEX('Challan Master'!$C$4:$C$207,MATCH($B63,'Challan Master'!$S$4:$S$207,0)),"")&amp;" | Deposit "&amp;TEXT(IFERROR(INDEX('Challan Master'!$D$4:$D$207,MATCH($B63,'Challan Master'!$S$4:$S$207,0)),""),"dd-mm-yyyy")&amp;" | Minor Head "&amp;IFERROR(INDEX('Challan Master'!$E$4:$E$207,MATCH($B63,'Challan Master'!$S$4:$S$207,0)),"")&amp;" | Tax ₹"&amp;TEXT(IFERROR(INDEX('Challan Master'!$G$4:$G$207,MATCH($B63,'Challan Master'!$S$4:$S$207,0)),""),"#,##0")&amp;" | Section "&amp;IFERROR(INDEX('Challan Master'!$F$4:$F$207,MATCH($B63,'Challan Master'!$S$4:$S$207,0)),""))</f>
      </c>
      <c r="D63" s="8"/>
      <c r="E63" s="8"/>
      <c r="F63" s="7">
        <f>IF($D63="","",IF(AND(LEN(TRIM(UPPER(E63)))=10,CODE(MID(TRIM(UPPER(E63)),1,1))&gt;=65,CODE(MID(TRIM(UPPER(E63)),1,1))&lt;=90,CODE(MID(TRIM(UPPER(E63)),2,1))&gt;=65,CODE(MID(TRIM(UPPER(E63)),2,1))&lt;=90,CODE(MID(TRIM(UPPER(E63)),3,1))&gt;=65,CODE(MID(TRIM(UPPER(E63)),3,1))&lt;=90,CODE(MID(TRIM(UPPER(E63)),4,1))&gt;=65,CODE(MID(TRIM(UPPER(E63)),4,1))&lt;=90,CODE(MID(TRIM(UPPER(E63)),5,1))&gt;=65,CODE(MID(TRIM(UPPER(E63)),5,1))&lt;=90,CODE(MID(TRIM(UPPER(E63)),10,1))&gt;=65,CODE(MID(TRIM(UPPER(E63)),10,1))&lt;=90,CODE(MID(TRIM(UPPER(E63)),6,1))&gt;=48,CODE(MID(TRIM(UPPER(E63)),6,1))&lt;=57,CODE(MID(TRIM(UPPER(E63)),7,1))&gt;=48,CODE(MID(TRIM(UPPER(E63)),7,1))&lt;=57,CODE(MID(TRIM(UPPER(E63)),8,1))&gt;=48,CODE(MID(TRIM(UPPER(E63)),8,1))&lt;=57,CODE(MID(TRIM(UPPER(E63)),9,1))&gt;=48,CODE(MID(TRIM(UPPER(E63)),9,1))&lt;=57),"N","Y"))</f>
      </c>
      <c r="G63" s="7">
        <f>IF($D63="","",IF(LEN(E63)&lt;4,"",IF(UPPER(MID(E63,4,1))="P","Individual",IF(UPPER(MID(E63,4,1))="H","HUF",IF(UPPER(MID(E63,4,1))="C","Company",IF(UPPER(MID(E63,4,1))="F","Firm",IF(UPPER(MID(E63,4,1))="L","LLP",IF(UPPER(MID(E63,4,1))="T","Trust",IF(UPPER(MID(E63,4,1))="A","AOP","")))))))))</f>
      </c>
      <c r="H63" s="8"/>
      <c r="I63" s="7">
        <f>IF($D63="","",IF(H63="","",IF(F63="Y",SUMPRODUCT(('Rate Lookup'!$A$1:$A$37=H63)*'Rate Lookup'!$D$1:$D$37),IF(OR(G63="Individual",G63="HUF"),SUMPRODUCT(('Rate Lookup'!$A$1:$A$37=H63)*'Rate Lookup'!$B$1:$B$37),SUMPRODUCT(('Rate Lookup'!$A$1:$A$37=H63)*'Rate Lookup'!$C$1:$C$37)))))</f>
      </c>
      <c r="J63" s="8"/>
      <c r="K63" s="8"/>
      <c r="L63" s="7">
        <f>IF($D63="","",ROUND(K63*I63/100,0))</f>
      </c>
      <c r="M63" s="7">
        <f>IF($D63="","",0)</f>
      </c>
      <c r="N63" s="7">
        <f>IF($D63="","",0)</f>
      </c>
      <c r="O63" s="7">
        <f>IF($D63="","",IF(OR(L63=0,J63="",IFERROR(INDEX('Challan Master'!$D$4:$D$207,MATCH($B63,'Challan Master'!$S$4:$S$207,0)),"")="",IFERROR(INDEX('Challan Master'!$D$4:$D$207,MATCH($B63,'Challan Master'!$S$4:$S$207,0)),"")&lt;=0),0,IF(IFERROR(INDEX('Challan Master'!$D$4:$D$207,MATCH($B63,'Challan Master'!$S$4:$S$207,0)),"")&lt;=DATE(YEAR(J63),MONTH(J63)+1,7),0,ROUND(L63*0.015*((YEAR(IFERROR(INDEX('Challan Master'!$D$4:$D$207,MATCH($B63,'Challan Master'!$S$4:$S$207,0)),""))-YEAR(J63))*12+(MONTH(IFERROR(INDEX('Challan Master'!$D$4:$D$207,MATCH($B63,'Challan Master'!$S$4:$S$207,0)),""))-MONTH(J63))+1),0))))</f>
      </c>
      <c r="P63" s="7">
        <f>IF($D63="","",0)</f>
      </c>
      <c r="Q63" s="8"/>
      <c r="R63" s="8"/>
      <c r="S63" s="8"/>
      <c r="T63" s="8"/>
      <c r="U63" s="8"/>
      <c r="V63" s="7">
        <f>IF($B63="","",IFERROR(INDEX('Challan Master'!$AA$4:$AA$207,MATCH($B63,'Challan Master'!$S$4:$S$207,0)),""))</f>
      </c>
    </row>
    <row r="64" spans="1:22" x14ac:dyDescent="0.25">
      <c r="A64" s="7">
        <f>IF($D64="","",COUNTIF($D$4:$D64,"&lt;&gt;"))</f>
      </c>
      <c r="B64" s="8"/>
      <c r="C64" s="7">
        <f>IF($B64="","","BSR "&amp;IFERROR(INDEX('Challan Master'!$B$4:$B$207,MATCH($B64,'Challan Master'!$S$4:$S$207,0)),"")&amp;" | Serial "&amp;IFERROR(INDEX('Challan Master'!$C$4:$C$207,MATCH($B64,'Challan Master'!$S$4:$S$207,0)),"")&amp;" | Deposit "&amp;TEXT(IFERROR(INDEX('Challan Master'!$D$4:$D$207,MATCH($B64,'Challan Master'!$S$4:$S$207,0)),""),"dd-mm-yyyy")&amp;" | Minor Head "&amp;IFERROR(INDEX('Challan Master'!$E$4:$E$207,MATCH($B64,'Challan Master'!$S$4:$S$207,0)),"")&amp;" | Tax ₹"&amp;TEXT(IFERROR(INDEX('Challan Master'!$G$4:$G$207,MATCH($B64,'Challan Master'!$S$4:$S$207,0)),""),"#,##0")&amp;" | Section "&amp;IFERROR(INDEX('Challan Master'!$F$4:$F$207,MATCH($B64,'Challan Master'!$S$4:$S$207,0)),""))</f>
      </c>
      <c r="D64" s="8"/>
      <c r="E64" s="8"/>
      <c r="F64" s="7">
        <f>IF($D64="","",IF(AND(LEN(TRIM(UPPER(E64)))=10,CODE(MID(TRIM(UPPER(E64)),1,1))&gt;=65,CODE(MID(TRIM(UPPER(E64)),1,1))&lt;=90,CODE(MID(TRIM(UPPER(E64)),2,1))&gt;=65,CODE(MID(TRIM(UPPER(E64)),2,1))&lt;=90,CODE(MID(TRIM(UPPER(E64)),3,1))&gt;=65,CODE(MID(TRIM(UPPER(E64)),3,1))&lt;=90,CODE(MID(TRIM(UPPER(E64)),4,1))&gt;=65,CODE(MID(TRIM(UPPER(E64)),4,1))&lt;=90,CODE(MID(TRIM(UPPER(E64)),5,1))&gt;=65,CODE(MID(TRIM(UPPER(E64)),5,1))&lt;=90,CODE(MID(TRIM(UPPER(E64)),10,1))&gt;=65,CODE(MID(TRIM(UPPER(E64)),10,1))&lt;=90,CODE(MID(TRIM(UPPER(E64)),6,1))&gt;=48,CODE(MID(TRIM(UPPER(E64)),6,1))&lt;=57,CODE(MID(TRIM(UPPER(E64)),7,1))&gt;=48,CODE(MID(TRIM(UPPER(E64)),7,1))&lt;=57,CODE(MID(TRIM(UPPER(E64)),8,1))&gt;=48,CODE(MID(TRIM(UPPER(E64)),8,1))&lt;=57,CODE(MID(TRIM(UPPER(E64)),9,1))&gt;=48,CODE(MID(TRIM(UPPER(E64)),9,1))&lt;=57),"N","Y"))</f>
      </c>
      <c r="G64" s="7">
        <f>IF($D64="","",IF(LEN(E64)&lt;4,"",IF(UPPER(MID(E64,4,1))="P","Individual",IF(UPPER(MID(E64,4,1))="H","HUF",IF(UPPER(MID(E64,4,1))="C","Company",IF(UPPER(MID(E64,4,1))="F","Firm",IF(UPPER(MID(E64,4,1))="L","LLP",IF(UPPER(MID(E64,4,1))="T","Trust",IF(UPPER(MID(E64,4,1))="A","AOP","")))))))))</f>
      </c>
      <c r="H64" s="8"/>
      <c r="I64" s="7">
        <f>IF($D64="","",IF(H64="","",IF(F64="Y",SUMPRODUCT(('Rate Lookup'!$A$1:$A$37=H64)*'Rate Lookup'!$D$1:$D$37),IF(OR(G64="Individual",G64="HUF"),SUMPRODUCT(('Rate Lookup'!$A$1:$A$37=H64)*'Rate Lookup'!$B$1:$B$37),SUMPRODUCT(('Rate Lookup'!$A$1:$A$37=H64)*'Rate Lookup'!$C$1:$C$37)))))</f>
      </c>
      <c r="J64" s="8"/>
      <c r="K64" s="8"/>
      <c r="L64" s="7">
        <f>IF($D64="","",ROUND(K64*I64/100,0))</f>
      </c>
      <c r="M64" s="7">
        <f>IF($D64="","",0)</f>
      </c>
      <c r="N64" s="7">
        <f>IF($D64="","",0)</f>
      </c>
      <c r="O64" s="7">
        <f>IF($D64="","",IF(OR(L64=0,J64="",IFERROR(INDEX('Challan Master'!$D$4:$D$207,MATCH($B64,'Challan Master'!$S$4:$S$207,0)),"")="",IFERROR(INDEX('Challan Master'!$D$4:$D$207,MATCH($B64,'Challan Master'!$S$4:$S$207,0)),"")&lt;=0),0,IF(IFERROR(INDEX('Challan Master'!$D$4:$D$207,MATCH($B64,'Challan Master'!$S$4:$S$207,0)),"")&lt;=DATE(YEAR(J64),MONTH(J64)+1,7),0,ROUND(L64*0.015*((YEAR(IFERROR(INDEX('Challan Master'!$D$4:$D$207,MATCH($B64,'Challan Master'!$S$4:$S$207,0)),""))-YEAR(J64))*12+(MONTH(IFERROR(INDEX('Challan Master'!$D$4:$D$207,MATCH($B64,'Challan Master'!$S$4:$S$207,0)),""))-MONTH(J64))+1),0))))</f>
      </c>
      <c r="P64" s="7">
        <f>IF($D64="","",0)</f>
      </c>
      <c r="Q64" s="8"/>
      <c r="R64" s="8"/>
      <c r="S64" s="8"/>
      <c r="T64" s="8"/>
      <c r="U64" s="8"/>
      <c r="V64" s="7">
        <f>IF($B64="","",IFERROR(INDEX('Challan Master'!$AA$4:$AA$207,MATCH($B64,'Challan Master'!$S$4:$S$207,0)),""))</f>
      </c>
    </row>
    <row r="65" spans="1:22" x14ac:dyDescent="0.25">
      <c r="A65" s="7">
        <f>IF($D65="","",COUNTIF($D$4:$D65,"&lt;&gt;"))</f>
      </c>
      <c r="B65" s="8"/>
      <c r="C65" s="7">
        <f>IF($B65="","","BSR "&amp;IFERROR(INDEX('Challan Master'!$B$4:$B$207,MATCH($B65,'Challan Master'!$S$4:$S$207,0)),"")&amp;" | Serial "&amp;IFERROR(INDEX('Challan Master'!$C$4:$C$207,MATCH($B65,'Challan Master'!$S$4:$S$207,0)),"")&amp;" | Deposit "&amp;TEXT(IFERROR(INDEX('Challan Master'!$D$4:$D$207,MATCH($B65,'Challan Master'!$S$4:$S$207,0)),""),"dd-mm-yyyy")&amp;" | Minor Head "&amp;IFERROR(INDEX('Challan Master'!$E$4:$E$207,MATCH($B65,'Challan Master'!$S$4:$S$207,0)),"")&amp;" | Tax ₹"&amp;TEXT(IFERROR(INDEX('Challan Master'!$G$4:$G$207,MATCH($B65,'Challan Master'!$S$4:$S$207,0)),""),"#,##0")&amp;" | Section "&amp;IFERROR(INDEX('Challan Master'!$F$4:$F$207,MATCH($B65,'Challan Master'!$S$4:$S$207,0)),""))</f>
      </c>
      <c r="D65" s="8"/>
      <c r="E65" s="8"/>
      <c r="F65" s="7">
        <f>IF($D65="","",IF(AND(LEN(TRIM(UPPER(E65)))=10,CODE(MID(TRIM(UPPER(E65)),1,1))&gt;=65,CODE(MID(TRIM(UPPER(E65)),1,1))&lt;=90,CODE(MID(TRIM(UPPER(E65)),2,1))&gt;=65,CODE(MID(TRIM(UPPER(E65)),2,1))&lt;=90,CODE(MID(TRIM(UPPER(E65)),3,1))&gt;=65,CODE(MID(TRIM(UPPER(E65)),3,1))&lt;=90,CODE(MID(TRIM(UPPER(E65)),4,1))&gt;=65,CODE(MID(TRIM(UPPER(E65)),4,1))&lt;=90,CODE(MID(TRIM(UPPER(E65)),5,1))&gt;=65,CODE(MID(TRIM(UPPER(E65)),5,1))&lt;=90,CODE(MID(TRIM(UPPER(E65)),10,1))&gt;=65,CODE(MID(TRIM(UPPER(E65)),10,1))&lt;=90,CODE(MID(TRIM(UPPER(E65)),6,1))&gt;=48,CODE(MID(TRIM(UPPER(E65)),6,1))&lt;=57,CODE(MID(TRIM(UPPER(E65)),7,1))&gt;=48,CODE(MID(TRIM(UPPER(E65)),7,1))&lt;=57,CODE(MID(TRIM(UPPER(E65)),8,1))&gt;=48,CODE(MID(TRIM(UPPER(E65)),8,1))&lt;=57,CODE(MID(TRIM(UPPER(E65)),9,1))&gt;=48,CODE(MID(TRIM(UPPER(E65)),9,1))&lt;=57),"N","Y"))</f>
      </c>
      <c r="G65" s="7">
        <f>IF($D65="","",IF(LEN(E65)&lt;4,"",IF(UPPER(MID(E65,4,1))="P","Individual",IF(UPPER(MID(E65,4,1))="H","HUF",IF(UPPER(MID(E65,4,1))="C","Company",IF(UPPER(MID(E65,4,1))="F","Firm",IF(UPPER(MID(E65,4,1))="L","LLP",IF(UPPER(MID(E65,4,1))="T","Trust",IF(UPPER(MID(E65,4,1))="A","AOP","")))))))))</f>
      </c>
      <c r="H65" s="8"/>
      <c r="I65" s="7">
        <f>IF($D65="","",IF(H65="","",IF(F65="Y",SUMPRODUCT(('Rate Lookup'!$A$1:$A$37=H65)*'Rate Lookup'!$D$1:$D$37),IF(OR(G65="Individual",G65="HUF"),SUMPRODUCT(('Rate Lookup'!$A$1:$A$37=H65)*'Rate Lookup'!$B$1:$B$37),SUMPRODUCT(('Rate Lookup'!$A$1:$A$37=H65)*'Rate Lookup'!$C$1:$C$37)))))</f>
      </c>
      <c r="J65" s="8"/>
      <c r="K65" s="8"/>
      <c r="L65" s="7">
        <f>IF($D65="","",ROUND(K65*I65/100,0))</f>
      </c>
      <c r="M65" s="7">
        <f>IF($D65="","",0)</f>
      </c>
      <c r="N65" s="7">
        <f>IF($D65="","",0)</f>
      </c>
      <c r="O65" s="7">
        <f>IF($D65="","",IF(OR(L65=0,J65="",IFERROR(INDEX('Challan Master'!$D$4:$D$207,MATCH($B65,'Challan Master'!$S$4:$S$207,0)),"")="",IFERROR(INDEX('Challan Master'!$D$4:$D$207,MATCH($B65,'Challan Master'!$S$4:$S$207,0)),"")&lt;=0),0,IF(IFERROR(INDEX('Challan Master'!$D$4:$D$207,MATCH($B65,'Challan Master'!$S$4:$S$207,0)),"")&lt;=DATE(YEAR(J65),MONTH(J65)+1,7),0,ROUND(L65*0.015*((YEAR(IFERROR(INDEX('Challan Master'!$D$4:$D$207,MATCH($B65,'Challan Master'!$S$4:$S$207,0)),""))-YEAR(J65))*12+(MONTH(IFERROR(INDEX('Challan Master'!$D$4:$D$207,MATCH($B65,'Challan Master'!$S$4:$S$207,0)),""))-MONTH(J65))+1),0))))</f>
      </c>
      <c r="P65" s="7">
        <f>IF($D65="","",0)</f>
      </c>
      <c r="Q65" s="8"/>
      <c r="R65" s="8"/>
      <c r="S65" s="8"/>
      <c r="T65" s="8"/>
      <c r="U65" s="8"/>
      <c r="V65" s="7">
        <f>IF($B65="","",IFERROR(INDEX('Challan Master'!$AA$4:$AA$207,MATCH($B65,'Challan Master'!$S$4:$S$207,0)),""))</f>
      </c>
    </row>
    <row r="66" spans="1:22" x14ac:dyDescent="0.25">
      <c r="A66" s="7">
        <f>IF($D66="","",COUNTIF($D$4:$D66,"&lt;&gt;"))</f>
      </c>
      <c r="B66" s="8"/>
      <c r="C66" s="7">
        <f>IF($B66="","","BSR "&amp;IFERROR(INDEX('Challan Master'!$B$4:$B$207,MATCH($B66,'Challan Master'!$S$4:$S$207,0)),"")&amp;" | Serial "&amp;IFERROR(INDEX('Challan Master'!$C$4:$C$207,MATCH($B66,'Challan Master'!$S$4:$S$207,0)),"")&amp;" | Deposit "&amp;TEXT(IFERROR(INDEX('Challan Master'!$D$4:$D$207,MATCH($B66,'Challan Master'!$S$4:$S$207,0)),""),"dd-mm-yyyy")&amp;" | Minor Head "&amp;IFERROR(INDEX('Challan Master'!$E$4:$E$207,MATCH($B66,'Challan Master'!$S$4:$S$207,0)),"")&amp;" | Tax ₹"&amp;TEXT(IFERROR(INDEX('Challan Master'!$G$4:$G$207,MATCH($B66,'Challan Master'!$S$4:$S$207,0)),""),"#,##0")&amp;" | Section "&amp;IFERROR(INDEX('Challan Master'!$F$4:$F$207,MATCH($B66,'Challan Master'!$S$4:$S$207,0)),""))</f>
      </c>
      <c r="D66" s="8"/>
      <c r="E66" s="8"/>
      <c r="F66" s="7">
        <f>IF($D66="","",IF(AND(LEN(TRIM(UPPER(E66)))=10,CODE(MID(TRIM(UPPER(E66)),1,1))&gt;=65,CODE(MID(TRIM(UPPER(E66)),1,1))&lt;=90,CODE(MID(TRIM(UPPER(E66)),2,1))&gt;=65,CODE(MID(TRIM(UPPER(E66)),2,1))&lt;=90,CODE(MID(TRIM(UPPER(E66)),3,1))&gt;=65,CODE(MID(TRIM(UPPER(E66)),3,1))&lt;=90,CODE(MID(TRIM(UPPER(E66)),4,1))&gt;=65,CODE(MID(TRIM(UPPER(E66)),4,1))&lt;=90,CODE(MID(TRIM(UPPER(E66)),5,1))&gt;=65,CODE(MID(TRIM(UPPER(E66)),5,1))&lt;=90,CODE(MID(TRIM(UPPER(E66)),10,1))&gt;=65,CODE(MID(TRIM(UPPER(E66)),10,1))&lt;=90,CODE(MID(TRIM(UPPER(E66)),6,1))&gt;=48,CODE(MID(TRIM(UPPER(E66)),6,1))&lt;=57,CODE(MID(TRIM(UPPER(E66)),7,1))&gt;=48,CODE(MID(TRIM(UPPER(E66)),7,1))&lt;=57,CODE(MID(TRIM(UPPER(E66)),8,1))&gt;=48,CODE(MID(TRIM(UPPER(E66)),8,1))&lt;=57,CODE(MID(TRIM(UPPER(E66)),9,1))&gt;=48,CODE(MID(TRIM(UPPER(E66)),9,1))&lt;=57),"N","Y"))</f>
      </c>
      <c r="G66" s="7">
        <f>IF($D66="","",IF(LEN(E66)&lt;4,"",IF(UPPER(MID(E66,4,1))="P","Individual",IF(UPPER(MID(E66,4,1))="H","HUF",IF(UPPER(MID(E66,4,1))="C","Company",IF(UPPER(MID(E66,4,1))="F","Firm",IF(UPPER(MID(E66,4,1))="L","LLP",IF(UPPER(MID(E66,4,1))="T","Trust",IF(UPPER(MID(E66,4,1))="A","AOP","")))))))))</f>
      </c>
      <c r="H66" s="8"/>
      <c r="I66" s="7">
        <f>IF($D66="","",IF(H66="","",IF(F66="Y",SUMPRODUCT(('Rate Lookup'!$A$1:$A$37=H66)*'Rate Lookup'!$D$1:$D$37),IF(OR(G66="Individual",G66="HUF"),SUMPRODUCT(('Rate Lookup'!$A$1:$A$37=H66)*'Rate Lookup'!$B$1:$B$37),SUMPRODUCT(('Rate Lookup'!$A$1:$A$37=H66)*'Rate Lookup'!$C$1:$C$37)))))</f>
      </c>
      <c r="J66" s="8"/>
      <c r="K66" s="8"/>
      <c r="L66" s="7">
        <f>IF($D66="","",ROUND(K66*I66/100,0))</f>
      </c>
      <c r="M66" s="7">
        <f>IF($D66="","",0)</f>
      </c>
      <c r="N66" s="7">
        <f>IF($D66="","",0)</f>
      </c>
      <c r="O66" s="7">
        <f>IF($D66="","",IF(OR(L66=0,J66="",IFERROR(INDEX('Challan Master'!$D$4:$D$207,MATCH($B66,'Challan Master'!$S$4:$S$207,0)),"")="",IFERROR(INDEX('Challan Master'!$D$4:$D$207,MATCH($B66,'Challan Master'!$S$4:$S$207,0)),"")&lt;=0),0,IF(IFERROR(INDEX('Challan Master'!$D$4:$D$207,MATCH($B66,'Challan Master'!$S$4:$S$207,0)),"")&lt;=DATE(YEAR(J66),MONTH(J66)+1,7),0,ROUND(L66*0.015*((YEAR(IFERROR(INDEX('Challan Master'!$D$4:$D$207,MATCH($B66,'Challan Master'!$S$4:$S$207,0)),""))-YEAR(J66))*12+(MONTH(IFERROR(INDEX('Challan Master'!$D$4:$D$207,MATCH($B66,'Challan Master'!$S$4:$S$207,0)),""))-MONTH(J66))+1),0))))</f>
      </c>
      <c r="P66" s="7">
        <f>IF($D66="","",0)</f>
      </c>
      <c r="Q66" s="8"/>
      <c r="R66" s="8"/>
      <c r="S66" s="8"/>
      <c r="T66" s="8"/>
      <c r="U66" s="8"/>
      <c r="V66" s="7">
        <f>IF($B66="","",IFERROR(INDEX('Challan Master'!$AA$4:$AA$207,MATCH($B66,'Challan Master'!$S$4:$S$207,0)),""))</f>
      </c>
    </row>
    <row r="67" spans="1:22" x14ac:dyDescent="0.25">
      <c r="A67" s="7">
        <f>IF($D67="","",COUNTIF($D$4:$D67,"&lt;&gt;"))</f>
      </c>
      <c r="B67" s="8"/>
      <c r="C67" s="7">
        <f>IF($B67="","","BSR "&amp;IFERROR(INDEX('Challan Master'!$B$4:$B$207,MATCH($B67,'Challan Master'!$S$4:$S$207,0)),"")&amp;" | Serial "&amp;IFERROR(INDEX('Challan Master'!$C$4:$C$207,MATCH($B67,'Challan Master'!$S$4:$S$207,0)),"")&amp;" | Deposit "&amp;TEXT(IFERROR(INDEX('Challan Master'!$D$4:$D$207,MATCH($B67,'Challan Master'!$S$4:$S$207,0)),""),"dd-mm-yyyy")&amp;" | Minor Head "&amp;IFERROR(INDEX('Challan Master'!$E$4:$E$207,MATCH($B67,'Challan Master'!$S$4:$S$207,0)),"")&amp;" | Tax ₹"&amp;TEXT(IFERROR(INDEX('Challan Master'!$G$4:$G$207,MATCH($B67,'Challan Master'!$S$4:$S$207,0)),""),"#,##0")&amp;" | Section "&amp;IFERROR(INDEX('Challan Master'!$F$4:$F$207,MATCH($B67,'Challan Master'!$S$4:$S$207,0)),""))</f>
      </c>
      <c r="D67" s="8"/>
      <c r="E67" s="8"/>
      <c r="F67" s="7">
        <f>IF($D67="","",IF(AND(LEN(TRIM(UPPER(E67)))=10,CODE(MID(TRIM(UPPER(E67)),1,1))&gt;=65,CODE(MID(TRIM(UPPER(E67)),1,1))&lt;=90,CODE(MID(TRIM(UPPER(E67)),2,1))&gt;=65,CODE(MID(TRIM(UPPER(E67)),2,1))&lt;=90,CODE(MID(TRIM(UPPER(E67)),3,1))&gt;=65,CODE(MID(TRIM(UPPER(E67)),3,1))&lt;=90,CODE(MID(TRIM(UPPER(E67)),4,1))&gt;=65,CODE(MID(TRIM(UPPER(E67)),4,1))&lt;=90,CODE(MID(TRIM(UPPER(E67)),5,1))&gt;=65,CODE(MID(TRIM(UPPER(E67)),5,1))&lt;=90,CODE(MID(TRIM(UPPER(E67)),10,1))&gt;=65,CODE(MID(TRIM(UPPER(E67)),10,1))&lt;=90,CODE(MID(TRIM(UPPER(E67)),6,1))&gt;=48,CODE(MID(TRIM(UPPER(E67)),6,1))&lt;=57,CODE(MID(TRIM(UPPER(E67)),7,1))&gt;=48,CODE(MID(TRIM(UPPER(E67)),7,1))&lt;=57,CODE(MID(TRIM(UPPER(E67)),8,1))&gt;=48,CODE(MID(TRIM(UPPER(E67)),8,1))&lt;=57,CODE(MID(TRIM(UPPER(E67)),9,1))&gt;=48,CODE(MID(TRIM(UPPER(E67)),9,1))&lt;=57),"N","Y"))</f>
      </c>
      <c r="G67" s="7">
        <f>IF($D67="","",IF(LEN(E67)&lt;4,"",IF(UPPER(MID(E67,4,1))="P","Individual",IF(UPPER(MID(E67,4,1))="H","HUF",IF(UPPER(MID(E67,4,1))="C","Company",IF(UPPER(MID(E67,4,1))="F","Firm",IF(UPPER(MID(E67,4,1))="L","LLP",IF(UPPER(MID(E67,4,1))="T","Trust",IF(UPPER(MID(E67,4,1))="A","AOP","")))))))))</f>
      </c>
      <c r="H67" s="8"/>
      <c r="I67" s="7">
        <f>IF($D67="","",IF(H67="","",IF(F67="Y",SUMPRODUCT(('Rate Lookup'!$A$1:$A$37=H67)*'Rate Lookup'!$D$1:$D$37),IF(OR(G67="Individual",G67="HUF"),SUMPRODUCT(('Rate Lookup'!$A$1:$A$37=H67)*'Rate Lookup'!$B$1:$B$37),SUMPRODUCT(('Rate Lookup'!$A$1:$A$37=H67)*'Rate Lookup'!$C$1:$C$37)))))</f>
      </c>
      <c r="J67" s="8"/>
      <c r="K67" s="8"/>
      <c r="L67" s="7">
        <f>IF($D67="","",ROUND(K67*I67/100,0))</f>
      </c>
      <c r="M67" s="7">
        <f>IF($D67="","",0)</f>
      </c>
      <c r="N67" s="7">
        <f>IF($D67="","",0)</f>
      </c>
      <c r="O67" s="7">
        <f>IF($D67="","",IF(OR(L67=0,J67="",IFERROR(INDEX('Challan Master'!$D$4:$D$207,MATCH($B67,'Challan Master'!$S$4:$S$207,0)),"")="",IFERROR(INDEX('Challan Master'!$D$4:$D$207,MATCH($B67,'Challan Master'!$S$4:$S$207,0)),"")&lt;=0),0,IF(IFERROR(INDEX('Challan Master'!$D$4:$D$207,MATCH($B67,'Challan Master'!$S$4:$S$207,0)),"")&lt;=DATE(YEAR(J67),MONTH(J67)+1,7),0,ROUND(L67*0.015*((YEAR(IFERROR(INDEX('Challan Master'!$D$4:$D$207,MATCH($B67,'Challan Master'!$S$4:$S$207,0)),""))-YEAR(J67))*12+(MONTH(IFERROR(INDEX('Challan Master'!$D$4:$D$207,MATCH($B67,'Challan Master'!$S$4:$S$207,0)),""))-MONTH(J67))+1),0))))</f>
      </c>
      <c r="P67" s="7">
        <f>IF($D67="","",0)</f>
      </c>
      <c r="Q67" s="8"/>
      <c r="R67" s="8"/>
      <c r="S67" s="8"/>
      <c r="T67" s="8"/>
      <c r="U67" s="8"/>
      <c r="V67" s="7">
        <f>IF($B67="","",IFERROR(INDEX('Challan Master'!$AA$4:$AA$207,MATCH($B67,'Challan Master'!$S$4:$S$207,0)),""))</f>
      </c>
    </row>
    <row r="68" spans="1:22" x14ac:dyDescent="0.25">
      <c r="A68" s="7">
        <f>IF($D68="","",COUNTIF($D$4:$D68,"&lt;&gt;"))</f>
      </c>
      <c r="B68" s="8"/>
      <c r="C68" s="7">
        <f>IF($B68="","","BSR "&amp;IFERROR(INDEX('Challan Master'!$B$4:$B$207,MATCH($B68,'Challan Master'!$S$4:$S$207,0)),"")&amp;" | Serial "&amp;IFERROR(INDEX('Challan Master'!$C$4:$C$207,MATCH($B68,'Challan Master'!$S$4:$S$207,0)),"")&amp;" | Deposit "&amp;TEXT(IFERROR(INDEX('Challan Master'!$D$4:$D$207,MATCH($B68,'Challan Master'!$S$4:$S$207,0)),""),"dd-mm-yyyy")&amp;" | Minor Head "&amp;IFERROR(INDEX('Challan Master'!$E$4:$E$207,MATCH($B68,'Challan Master'!$S$4:$S$207,0)),"")&amp;" | Tax ₹"&amp;TEXT(IFERROR(INDEX('Challan Master'!$G$4:$G$207,MATCH($B68,'Challan Master'!$S$4:$S$207,0)),""),"#,##0")&amp;" | Section "&amp;IFERROR(INDEX('Challan Master'!$F$4:$F$207,MATCH($B68,'Challan Master'!$S$4:$S$207,0)),""))</f>
      </c>
      <c r="D68" s="8"/>
      <c r="E68" s="8"/>
      <c r="F68" s="7">
        <f>IF($D68="","",IF(AND(LEN(TRIM(UPPER(E68)))=10,CODE(MID(TRIM(UPPER(E68)),1,1))&gt;=65,CODE(MID(TRIM(UPPER(E68)),1,1))&lt;=90,CODE(MID(TRIM(UPPER(E68)),2,1))&gt;=65,CODE(MID(TRIM(UPPER(E68)),2,1))&lt;=90,CODE(MID(TRIM(UPPER(E68)),3,1))&gt;=65,CODE(MID(TRIM(UPPER(E68)),3,1))&lt;=90,CODE(MID(TRIM(UPPER(E68)),4,1))&gt;=65,CODE(MID(TRIM(UPPER(E68)),4,1))&lt;=90,CODE(MID(TRIM(UPPER(E68)),5,1))&gt;=65,CODE(MID(TRIM(UPPER(E68)),5,1))&lt;=90,CODE(MID(TRIM(UPPER(E68)),10,1))&gt;=65,CODE(MID(TRIM(UPPER(E68)),10,1))&lt;=90,CODE(MID(TRIM(UPPER(E68)),6,1))&gt;=48,CODE(MID(TRIM(UPPER(E68)),6,1))&lt;=57,CODE(MID(TRIM(UPPER(E68)),7,1))&gt;=48,CODE(MID(TRIM(UPPER(E68)),7,1))&lt;=57,CODE(MID(TRIM(UPPER(E68)),8,1))&gt;=48,CODE(MID(TRIM(UPPER(E68)),8,1))&lt;=57,CODE(MID(TRIM(UPPER(E68)),9,1))&gt;=48,CODE(MID(TRIM(UPPER(E68)),9,1))&lt;=57),"N","Y"))</f>
      </c>
      <c r="G68" s="7">
        <f>IF($D68="","",IF(LEN(E68)&lt;4,"",IF(UPPER(MID(E68,4,1))="P","Individual",IF(UPPER(MID(E68,4,1))="H","HUF",IF(UPPER(MID(E68,4,1))="C","Company",IF(UPPER(MID(E68,4,1))="F","Firm",IF(UPPER(MID(E68,4,1))="L","LLP",IF(UPPER(MID(E68,4,1))="T","Trust",IF(UPPER(MID(E68,4,1))="A","AOP","")))))))))</f>
      </c>
      <c r="H68" s="8"/>
      <c r="I68" s="7">
        <f>IF($D68="","",IF(H68="","",IF(F68="Y",SUMPRODUCT(('Rate Lookup'!$A$1:$A$37=H68)*'Rate Lookup'!$D$1:$D$37),IF(OR(G68="Individual",G68="HUF"),SUMPRODUCT(('Rate Lookup'!$A$1:$A$37=H68)*'Rate Lookup'!$B$1:$B$37),SUMPRODUCT(('Rate Lookup'!$A$1:$A$37=H68)*'Rate Lookup'!$C$1:$C$37)))))</f>
      </c>
      <c r="J68" s="8"/>
      <c r="K68" s="8"/>
      <c r="L68" s="7">
        <f>IF($D68="","",ROUND(K68*I68/100,0))</f>
      </c>
      <c r="M68" s="7">
        <f>IF($D68="","",0)</f>
      </c>
      <c r="N68" s="7">
        <f>IF($D68="","",0)</f>
      </c>
      <c r="O68" s="7">
        <f>IF($D68="","",IF(OR(L68=0,J68="",IFERROR(INDEX('Challan Master'!$D$4:$D$207,MATCH($B68,'Challan Master'!$S$4:$S$207,0)),"")="",IFERROR(INDEX('Challan Master'!$D$4:$D$207,MATCH($B68,'Challan Master'!$S$4:$S$207,0)),"")&lt;=0),0,IF(IFERROR(INDEX('Challan Master'!$D$4:$D$207,MATCH($B68,'Challan Master'!$S$4:$S$207,0)),"")&lt;=DATE(YEAR(J68),MONTH(J68)+1,7),0,ROUND(L68*0.015*((YEAR(IFERROR(INDEX('Challan Master'!$D$4:$D$207,MATCH($B68,'Challan Master'!$S$4:$S$207,0)),""))-YEAR(J68))*12+(MONTH(IFERROR(INDEX('Challan Master'!$D$4:$D$207,MATCH($B68,'Challan Master'!$S$4:$S$207,0)),""))-MONTH(J68))+1),0))))</f>
      </c>
      <c r="P68" s="7">
        <f>IF($D68="","",0)</f>
      </c>
      <c r="Q68" s="8"/>
      <c r="R68" s="8"/>
      <c r="S68" s="8"/>
      <c r="T68" s="8"/>
      <c r="U68" s="8"/>
      <c r="V68" s="7">
        <f>IF($B68="","",IFERROR(INDEX('Challan Master'!$AA$4:$AA$207,MATCH($B68,'Challan Master'!$S$4:$S$207,0)),""))</f>
      </c>
    </row>
    <row r="69" spans="1:22" x14ac:dyDescent="0.25">
      <c r="A69" s="7">
        <f>IF($D69="","",COUNTIF($D$4:$D69,"&lt;&gt;"))</f>
      </c>
      <c r="B69" s="8"/>
      <c r="C69" s="7">
        <f>IF($B69="","","BSR "&amp;IFERROR(INDEX('Challan Master'!$B$4:$B$207,MATCH($B69,'Challan Master'!$S$4:$S$207,0)),"")&amp;" | Serial "&amp;IFERROR(INDEX('Challan Master'!$C$4:$C$207,MATCH($B69,'Challan Master'!$S$4:$S$207,0)),"")&amp;" | Deposit "&amp;TEXT(IFERROR(INDEX('Challan Master'!$D$4:$D$207,MATCH($B69,'Challan Master'!$S$4:$S$207,0)),""),"dd-mm-yyyy")&amp;" | Minor Head "&amp;IFERROR(INDEX('Challan Master'!$E$4:$E$207,MATCH($B69,'Challan Master'!$S$4:$S$207,0)),"")&amp;" | Tax ₹"&amp;TEXT(IFERROR(INDEX('Challan Master'!$G$4:$G$207,MATCH($B69,'Challan Master'!$S$4:$S$207,0)),""),"#,##0")&amp;" | Section "&amp;IFERROR(INDEX('Challan Master'!$F$4:$F$207,MATCH($B69,'Challan Master'!$S$4:$S$207,0)),""))</f>
      </c>
      <c r="D69" s="8"/>
      <c r="E69" s="8"/>
      <c r="F69" s="7">
        <f>IF($D69="","",IF(AND(LEN(TRIM(UPPER(E69)))=10,CODE(MID(TRIM(UPPER(E69)),1,1))&gt;=65,CODE(MID(TRIM(UPPER(E69)),1,1))&lt;=90,CODE(MID(TRIM(UPPER(E69)),2,1))&gt;=65,CODE(MID(TRIM(UPPER(E69)),2,1))&lt;=90,CODE(MID(TRIM(UPPER(E69)),3,1))&gt;=65,CODE(MID(TRIM(UPPER(E69)),3,1))&lt;=90,CODE(MID(TRIM(UPPER(E69)),4,1))&gt;=65,CODE(MID(TRIM(UPPER(E69)),4,1))&lt;=90,CODE(MID(TRIM(UPPER(E69)),5,1))&gt;=65,CODE(MID(TRIM(UPPER(E69)),5,1))&lt;=90,CODE(MID(TRIM(UPPER(E69)),10,1))&gt;=65,CODE(MID(TRIM(UPPER(E69)),10,1))&lt;=90,CODE(MID(TRIM(UPPER(E69)),6,1))&gt;=48,CODE(MID(TRIM(UPPER(E69)),6,1))&lt;=57,CODE(MID(TRIM(UPPER(E69)),7,1))&gt;=48,CODE(MID(TRIM(UPPER(E69)),7,1))&lt;=57,CODE(MID(TRIM(UPPER(E69)),8,1))&gt;=48,CODE(MID(TRIM(UPPER(E69)),8,1))&lt;=57,CODE(MID(TRIM(UPPER(E69)),9,1))&gt;=48,CODE(MID(TRIM(UPPER(E69)),9,1))&lt;=57),"N","Y"))</f>
      </c>
      <c r="G69" s="7">
        <f>IF($D69="","",IF(LEN(E69)&lt;4,"",IF(UPPER(MID(E69,4,1))="P","Individual",IF(UPPER(MID(E69,4,1))="H","HUF",IF(UPPER(MID(E69,4,1))="C","Company",IF(UPPER(MID(E69,4,1))="F","Firm",IF(UPPER(MID(E69,4,1))="L","LLP",IF(UPPER(MID(E69,4,1))="T","Trust",IF(UPPER(MID(E69,4,1))="A","AOP","")))))))))</f>
      </c>
      <c r="H69" s="8"/>
      <c r="I69" s="7">
        <f>IF($D69="","",IF(H69="","",IF(F69="Y",SUMPRODUCT(('Rate Lookup'!$A$1:$A$37=H69)*'Rate Lookup'!$D$1:$D$37),IF(OR(G69="Individual",G69="HUF"),SUMPRODUCT(('Rate Lookup'!$A$1:$A$37=H69)*'Rate Lookup'!$B$1:$B$37),SUMPRODUCT(('Rate Lookup'!$A$1:$A$37=H69)*'Rate Lookup'!$C$1:$C$37)))))</f>
      </c>
      <c r="J69" s="8"/>
      <c r="K69" s="8"/>
      <c r="L69" s="7">
        <f>IF($D69="","",ROUND(K69*I69/100,0))</f>
      </c>
      <c r="M69" s="7">
        <f>IF($D69="","",0)</f>
      </c>
      <c r="N69" s="7">
        <f>IF($D69="","",0)</f>
      </c>
      <c r="O69" s="7">
        <f>IF($D69="","",IF(OR(L69=0,J69="",IFERROR(INDEX('Challan Master'!$D$4:$D$207,MATCH($B69,'Challan Master'!$S$4:$S$207,0)),"")="",IFERROR(INDEX('Challan Master'!$D$4:$D$207,MATCH($B69,'Challan Master'!$S$4:$S$207,0)),"")&lt;=0),0,IF(IFERROR(INDEX('Challan Master'!$D$4:$D$207,MATCH($B69,'Challan Master'!$S$4:$S$207,0)),"")&lt;=DATE(YEAR(J69),MONTH(J69)+1,7),0,ROUND(L69*0.015*((YEAR(IFERROR(INDEX('Challan Master'!$D$4:$D$207,MATCH($B69,'Challan Master'!$S$4:$S$207,0)),""))-YEAR(J69))*12+(MONTH(IFERROR(INDEX('Challan Master'!$D$4:$D$207,MATCH($B69,'Challan Master'!$S$4:$S$207,0)),""))-MONTH(J69))+1),0))))</f>
      </c>
      <c r="P69" s="7">
        <f>IF($D69="","",0)</f>
      </c>
      <c r="Q69" s="8"/>
      <c r="R69" s="8"/>
      <c r="S69" s="8"/>
      <c r="T69" s="8"/>
      <c r="U69" s="8"/>
      <c r="V69" s="7">
        <f>IF($B69="","",IFERROR(INDEX('Challan Master'!$AA$4:$AA$207,MATCH($B69,'Challan Master'!$S$4:$S$207,0)),""))</f>
      </c>
    </row>
    <row r="70" spans="1:22" x14ac:dyDescent="0.25">
      <c r="A70" s="7">
        <f>IF($D70="","",COUNTIF($D$4:$D70,"&lt;&gt;"))</f>
      </c>
      <c r="B70" s="8"/>
      <c r="C70" s="7">
        <f>IF($B70="","","BSR "&amp;IFERROR(INDEX('Challan Master'!$B$4:$B$207,MATCH($B70,'Challan Master'!$S$4:$S$207,0)),"")&amp;" | Serial "&amp;IFERROR(INDEX('Challan Master'!$C$4:$C$207,MATCH($B70,'Challan Master'!$S$4:$S$207,0)),"")&amp;" | Deposit "&amp;TEXT(IFERROR(INDEX('Challan Master'!$D$4:$D$207,MATCH($B70,'Challan Master'!$S$4:$S$207,0)),""),"dd-mm-yyyy")&amp;" | Minor Head "&amp;IFERROR(INDEX('Challan Master'!$E$4:$E$207,MATCH($B70,'Challan Master'!$S$4:$S$207,0)),"")&amp;" | Tax ₹"&amp;TEXT(IFERROR(INDEX('Challan Master'!$G$4:$G$207,MATCH($B70,'Challan Master'!$S$4:$S$207,0)),""),"#,##0")&amp;" | Section "&amp;IFERROR(INDEX('Challan Master'!$F$4:$F$207,MATCH($B70,'Challan Master'!$S$4:$S$207,0)),""))</f>
      </c>
      <c r="D70" s="8"/>
      <c r="E70" s="8"/>
      <c r="F70" s="7">
        <f>IF($D70="","",IF(AND(LEN(TRIM(UPPER(E70)))=10,CODE(MID(TRIM(UPPER(E70)),1,1))&gt;=65,CODE(MID(TRIM(UPPER(E70)),1,1))&lt;=90,CODE(MID(TRIM(UPPER(E70)),2,1))&gt;=65,CODE(MID(TRIM(UPPER(E70)),2,1))&lt;=90,CODE(MID(TRIM(UPPER(E70)),3,1))&gt;=65,CODE(MID(TRIM(UPPER(E70)),3,1))&lt;=90,CODE(MID(TRIM(UPPER(E70)),4,1))&gt;=65,CODE(MID(TRIM(UPPER(E70)),4,1))&lt;=90,CODE(MID(TRIM(UPPER(E70)),5,1))&gt;=65,CODE(MID(TRIM(UPPER(E70)),5,1))&lt;=90,CODE(MID(TRIM(UPPER(E70)),10,1))&gt;=65,CODE(MID(TRIM(UPPER(E70)),10,1))&lt;=90,CODE(MID(TRIM(UPPER(E70)),6,1))&gt;=48,CODE(MID(TRIM(UPPER(E70)),6,1))&lt;=57,CODE(MID(TRIM(UPPER(E70)),7,1))&gt;=48,CODE(MID(TRIM(UPPER(E70)),7,1))&lt;=57,CODE(MID(TRIM(UPPER(E70)),8,1))&gt;=48,CODE(MID(TRIM(UPPER(E70)),8,1))&lt;=57,CODE(MID(TRIM(UPPER(E70)),9,1))&gt;=48,CODE(MID(TRIM(UPPER(E70)),9,1))&lt;=57),"N","Y"))</f>
      </c>
      <c r="G70" s="7">
        <f>IF($D70="","",IF(LEN(E70)&lt;4,"",IF(UPPER(MID(E70,4,1))="P","Individual",IF(UPPER(MID(E70,4,1))="H","HUF",IF(UPPER(MID(E70,4,1))="C","Company",IF(UPPER(MID(E70,4,1))="F","Firm",IF(UPPER(MID(E70,4,1))="L","LLP",IF(UPPER(MID(E70,4,1))="T","Trust",IF(UPPER(MID(E70,4,1))="A","AOP","")))))))))</f>
      </c>
      <c r="H70" s="8"/>
      <c r="I70" s="7">
        <f>IF($D70="","",IF(H70="","",IF(F70="Y",SUMPRODUCT(('Rate Lookup'!$A$1:$A$37=H70)*'Rate Lookup'!$D$1:$D$37),IF(OR(G70="Individual",G70="HUF"),SUMPRODUCT(('Rate Lookup'!$A$1:$A$37=H70)*'Rate Lookup'!$B$1:$B$37),SUMPRODUCT(('Rate Lookup'!$A$1:$A$37=H70)*'Rate Lookup'!$C$1:$C$37)))))</f>
      </c>
      <c r="J70" s="8"/>
      <c r="K70" s="8"/>
      <c r="L70" s="7">
        <f>IF($D70="","",ROUND(K70*I70/100,0))</f>
      </c>
      <c r="M70" s="7">
        <f>IF($D70="","",0)</f>
      </c>
      <c r="N70" s="7">
        <f>IF($D70="","",0)</f>
      </c>
      <c r="O70" s="7">
        <f>IF($D70="","",IF(OR(L70=0,J70="",IFERROR(INDEX('Challan Master'!$D$4:$D$207,MATCH($B70,'Challan Master'!$S$4:$S$207,0)),"")="",IFERROR(INDEX('Challan Master'!$D$4:$D$207,MATCH($B70,'Challan Master'!$S$4:$S$207,0)),"")&lt;=0),0,IF(IFERROR(INDEX('Challan Master'!$D$4:$D$207,MATCH($B70,'Challan Master'!$S$4:$S$207,0)),"")&lt;=DATE(YEAR(J70),MONTH(J70)+1,7),0,ROUND(L70*0.015*((YEAR(IFERROR(INDEX('Challan Master'!$D$4:$D$207,MATCH($B70,'Challan Master'!$S$4:$S$207,0)),""))-YEAR(J70))*12+(MONTH(IFERROR(INDEX('Challan Master'!$D$4:$D$207,MATCH($B70,'Challan Master'!$S$4:$S$207,0)),""))-MONTH(J70))+1),0))))</f>
      </c>
      <c r="P70" s="7">
        <f>IF($D70="","",0)</f>
      </c>
      <c r="Q70" s="8"/>
      <c r="R70" s="8"/>
      <c r="S70" s="8"/>
      <c r="T70" s="8"/>
      <c r="U70" s="8"/>
      <c r="V70" s="7">
        <f>IF($B70="","",IFERROR(INDEX('Challan Master'!$AA$4:$AA$207,MATCH($B70,'Challan Master'!$S$4:$S$207,0)),""))</f>
      </c>
    </row>
    <row r="71" spans="1:22" x14ac:dyDescent="0.25">
      <c r="A71" s="7">
        <f>IF($D71="","",COUNTIF($D$4:$D71,"&lt;&gt;"))</f>
      </c>
      <c r="B71" s="8"/>
      <c r="C71" s="7">
        <f>IF($B71="","","BSR "&amp;IFERROR(INDEX('Challan Master'!$B$4:$B$207,MATCH($B71,'Challan Master'!$S$4:$S$207,0)),"")&amp;" | Serial "&amp;IFERROR(INDEX('Challan Master'!$C$4:$C$207,MATCH($B71,'Challan Master'!$S$4:$S$207,0)),"")&amp;" | Deposit "&amp;TEXT(IFERROR(INDEX('Challan Master'!$D$4:$D$207,MATCH($B71,'Challan Master'!$S$4:$S$207,0)),""),"dd-mm-yyyy")&amp;" | Minor Head "&amp;IFERROR(INDEX('Challan Master'!$E$4:$E$207,MATCH($B71,'Challan Master'!$S$4:$S$207,0)),"")&amp;" | Tax ₹"&amp;TEXT(IFERROR(INDEX('Challan Master'!$G$4:$G$207,MATCH($B71,'Challan Master'!$S$4:$S$207,0)),""),"#,##0")&amp;" | Section "&amp;IFERROR(INDEX('Challan Master'!$F$4:$F$207,MATCH($B71,'Challan Master'!$S$4:$S$207,0)),""))</f>
      </c>
      <c r="D71" s="8"/>
      <c r="E71" s="8"/>
      <c r="F71" s="7">
        <f>IF($D71="","",IF(AND(LEN(TRIM(UPPER(E71)))=10,CODE(MID(TRIM(UPPER(E71)),1,1))&gt;=65,CODE(MID(TRIM(UPPER(E71)),1,1))&lt;=90,CODE(MID(TRIM(UPPER(E71)),2,1))&gt;=65,CODE(MID(TRIM(UPPER(E71)),2,1))&lt;=90,CODE(MID(TRIM(UPPER(E71)),3,1))&gt;=65,CODE(MID(TRIM(UPPER(E71)),3,1))&lt;=90,CODE(MID(TRIM(UPPER(E71)),4,1))&gt;=65,CODE(MID(TRIM(UPPER(E71)),4,1))&lt;=90,CODE(MID(TRIM(UPPER(E71)),5,1))&gt;=65,CODE(MID(TRIM(UPPER(E71)),5,1))&lt;=90,CODE(MID(TRIM(UPPER(E71)),10,1))&gt;=65,CODE(MID(TRIM(UPPER(E71)),10,1))&lt;=90,CODE(MID(TRIM(UPPER(E71)),6,1))&gt;=48,CODE(MID(TRIM(UPPER(E71)),6,1))&lt;=57,CODE(MID(TRIM(UPPER(E71)),7,1))&gt;=48,CODE(MID(TRIM(UPPER(E71)),7,1))&lt;=57,CODE(MID(TRIM(UPPER(E71)),8,1))&gt;=48,CODE(MID(TRIM(UPPER(E71)),8,1))&lt;=57,CODE(MID(TRIM(UPPER(E71)),9,1))&gt;=48,CODE(MID(TRIM(UPPER(E71)),9,1))&lt;=57),"N","Y"))</f>
      </c>
      <c r="G71" s="7">
        <f>IF($D71="","",IF(LEN(E71)&lt;4,"",IF(UPPER(MID(E71,4,1))="P","Individual",IF(UPPER(MID(E71,4,1))="H","HUF",IF(UPPER(MID(E71,4,1))="C","Company",IF(UPPER(MID(E71,4,1))="F","Firm",IF(UPPER(MID(E71,4,1))="L","LLP",IF(UPPER(MID(E71,4,1))="T","Trust",IF(UPPER(MID(E71,4,1))="A","AOP","")))))))))</f>
      </c>
      <c r="H71" s="8"/>
      <c r="I71" s="7">
        <f>IF($D71="","",IF(H71="","",IF(F71="Y",SUMPRODUCT(('Rate Lookup'!$A$1:$A$37=H71)*'Rate Lookup'!$D$1:$D$37),IF(OR(G71="Individual",G71="HUF"),SUMPRODUCT(('Rate Lookup'!$A$1:$A$37=H71)*'Rate Lookup'!$B$1:$B$37),SUMPRODUCT(('Rate Lookup'!$A$1:$A$37=H71)*'Rate Lookup'!$C$1:$C$37)))))</f>
      </c>
      <c r="J71" s="8"/>
      <c r="K71" s="8"/>
      <c r="L71" s="7">
        <f>IF($D71="","",ROUND(K71*I71/100,0))</f>
      </c>
      <c r="M71" s="7">
        <f>IF($D71="","",0)</f>
      </c>
      <c r="N71" s="7">
        <f>IF($D71="","",0)</f>
      </c>
      <c r="O71" s="7">
        <f>IF($D71="","",IF(OR(L71=0,J71="",IFERROR(INDEX('Challan Master'!$D$4:$D$207,MATCH($B71,'Challan Master'!$S$4:$S$207,0)),"")="",IFERROR(INDEX('Challan Master'!$D$4:$D$207,MATCH($B71,'Challan Master'!$S$4:$S$207,0)),"")&lt;=0),0,IF(IFERROR(INDEX('Challan Master'!$D$4:$D$207,MATCH($B71,'Challan Master'!$S$4:$S$207,0)),"")&lt;=DATE(YEAR(J71),MONTH(J71)+1,7),0,ROUND(L71*0.015*((YEAR(IFERROR(INDEX('Challan Master'!$D$4:$D$207,MATCH($B71,'Challan Master'!$S$4:$S$207,0)),""))-YEAR(J71))*12+(MONTH(IFERROR(INDEX('Challan Master'!$D$4:$D$207,MATCH($B71,'Challan Master'!$S$4:$S$207,0)),""))-MONTH(J71))+1),0))))</f>
      </c>
      <c r="P71" s="7">
        <f>IF($D71="","",0)</f>
      </c>
      <c r="Q71" s="8"/>
      <c r="R71" s="8"/>
      <c r="S71" s="8"/>
      <c r="T71" s="8"/>
      <c r="U71" s="8"/>
      <c r="V71" s="7">
        <f>IF($B71="","",IFERROR(INDEX('Challan Master'!$AA$4:$AA$207,MATCH($B71,'Challan Master'!$S$4:$S$207,0)),""))</f>
      </c>
    </row>
    <row r="72" spans="1:22" x14ac:dyDescent="0.25">
      <c r="A72" s="7">
        <f>IF($D72="","",COUNTIF($D$4:$D72,"&lt;&gt;"))</f>
      </c>
      <c r="B72" s="8"/>
      <c r="C72" s="7">
        <f>IF($B72="","","BSR "&amp;IFERROR(INDEX('Challan Master'!$B$4:$B$207,MATCH($B72,'Challan Master'!$S$4:$S$207,0)),"")&amp;" | Serial "&amp;IFERROR(INDEX('Challan Master'!$C$4:$C$207,MATCH($B72,'Challan Master'!$S$4:$S$207,0)),"")&amp;" | Deposit "&amp;TEXT(IFERROR(INDEX('Challan Master'!$D$4:$D$207,MATCH($B72,'Challan Master'!$S$4:$S$207,0)),""),"dd-mm-yyyy")&amp;" | Minor Head "&amp;IFERROR(INDEX('Challan Master'!$E$4:$E$207,MATCH($B72,'Challan Master'!$S$4:$S$207,0)),"")&amp;" | Tax ₹"&amp;TEXT(IFERROR(INDEX('Challan Master'!$G$4:$G$207,MATCH($B72,'Challan Master'!$S$4:$S$207,0)),""),"#,##0")&amp;" | Section "&amp;IFERROR(INDEX('Challan Master'!$F$4:$F$207,MATCH($B72,'Challan Master'!$S$4:$S$207,0)),""))</f>
      </c>
      <c r="D72" s="8"/>
      <c r="E72" s="8"/>
      <c r="F72" s="7">
        <f>IF($D72="","",IF(AND(LEN(TRIM(UPPER(E72)))=10,CODE(MID(TRIM(UPPER(E72)),1,1))&gt;=65,CODE(MID(TRIM(UPPER(E72)),1,1))&lt;=90,CODE(MID(TRIM(UPPER(E72)),2,1))&gt;=65,CODE(MID(TRIM(UPPER(E72)),2,1))&lt;=90,CODE(MID(TRIM(UPPER(E72)),3,1))&gt;=65,CODE(MID(TRIM(UPPER(E72)),3,1))&lt;=90,CODE(MID(TRIM(UPPER(E72)),4,1))&gt;=65,CODE(MID(TRIM(UPPER(E72)),4,1))&lt;=90,CODE(MID(TRIM(UPPER(E72)),5,1))&gt;=65,CODE(MID(TRIM(UPPER(E72)),5,1))&lt;=90,CODE(MID(TRIM(UPPER(E72)),10,1))&gt;=65,CODE(MID(TRIM(UPPER(E72)),10,1))&lt;=90,CODE(MID(TRIM(UPPER(E72)),6,1))&gt;=48,CODE(MID(TRIM(UPPER(E72)),6,1))&lt;=57,CODE(MID(TRIM(UPPER(E72)),7,1))&gt;=48,CODE(MID(TRIM(UPPER(E72)),7,1))&lt;=57,CODE(MID(TRIM(UPPER(E72)),8,1))&gt;=48,CODE(MID(TRIM(UPPER(E72)),8,1))&lt;=57,CODE(MID(TRIM(UPPER(E72)),9,1))&gt;=48,CODE(MID(TRIM(UPPER(E72)),9,1))&lt;=57),"N","Y"))</f>
      </c>
      <c r="G72" s="7">
        <f>IF($D72="","",IF(LEN(E72)&lt;4,"",IF(UPPER(MID(E72,4,1))="P","Individual",IF(UPPER(MID(E72,4,1))="H","HUF",IF(UPPER(MID(E72,4,1))="C","Company",IF(UPPER(MID(E72,4,1))="F","Firm",IF(UPPER(MID(E72,4,1))="L","LLP",IF(UPPER(MID(E72,4,1))="T","Trust",IF(UPPER(MID(E72,4,1))="A","AOP","")))))))))</f>
      </c>
      <c r="H72" s="8"/>
      <c r="I72" s="7">
        <f>IF($D72="","",IF(H72="","",IF(F72="Y",SUMPRODUCT(('Rate Lookup'!$A$1:$A$37=H72)*'Rate Lookup'!$D$1:$D$37),IF(OR(G72="Individual",G72="HUF"),SUMPRODUCT(('Rate Lookup'!$A$1:$A$37=H72)*'Rate Lookup'!$B$1:$B$37),SUMPRODUCT(('Rate Lookup'!$A$1:$A$37=H72)*'Rate Lookup'!$C$1:$C$37)))))</f>
      </c>
      <c r="J72" s="8"/>
      <c r="K72" s="8"/>
      <c r="L72" s="7">
        <f>IF($D72="","",ROUND(K72*I72/100,0))</f>
      </c>
      <c r="M72" s="7">
        <f>IF($D72="","",0)</f>
      </c>
      <c r="N72" s="7">
        <f>IF($D72="","",0)</f>
      </c>
      <c r="O72" s="7">
        <f>IF($D72="","",IF(OR(L72=0,J72="",IFERROR(INDEX('Challan Master'!$D$4:$D$207,MATCH($B72,'Challan Master'!$S$4:$S$207,0)),"")="",IFERROR(INDEX('Challan Master'!$D$4:$D$207,MATCH($B72,'Challan Master'!$S$4:$S$207,0)),"")&lt;=0),0,IF(IFERROR(INDEX('Challan Master'!$D$4:$D$207,MATCH($B72,'Challan Master'!$S$4:$S$207,0)),"")&lt;=DATE(YEAR(J72),MONTH(J72)+1,7),0,ROUND(L72*0.015*((YEAR(IFERROR(INDEX('Challan Master'!$D$4:$D$207,MATCH($B72,'Challan Master'!$S$4:$S$207,0)),""))-YEAR(J72))*12+(MONTH(IFERROR(INDEX('Challan Master'!$D$4:$D$207,MATCH($B72,'Challan Master'!$S$4:$S$207,0)),""))-MONTH(J72))+1),0))))</f>
      </c>
      <c r="P72" s="7">
        <f>IF($D72="","",0)</f>
      </c>
      <c r="Q72" s="8"/>
      <c r="R72" s="8"/>
      <c r="S72" s="8"/>
      <c r="T72" s="8"/>
      <c r="U72" s="8"/>
      <c r="V72" s="7">
        <f>IF($B72="","",IFERROR(INDEX('Challan Master'!$AA$4:$AA$207,MATCH($B72,'Challan Master'!$S$4:$S$207,0)),""))</f>
      </c>
    </row>
    <row r="73" spans="1:22" x14ac:dyDescent="0.25">
      <c r="A73" s="7">
        <f>IF($D73="","",COUNTIF($D$4:$D73,"&lt;&gt;"))</f>
      </c>
      <c r="B73" s="8"/>
      <c r="C73" s="7">
        <f>IF($B73="","","BSR "&amp;IFERROR(INDEX('Challan Master'!$B$4:$B$207,MATCH($B73,'Challan Master'!$S$4:$S$207,0)),"")&amp;" | Serial "&amp;IFERROR(INDEX('Challan Master'!$C$4:$C$207,MATCH($B73,'Challan Master'!$S$4:$S$207,0)),"")&amp;" | Deposit "&amp;TEXT(IFERROR(INDEX('Challan Master'!$D$4:$D$207,MATCH($B73,'Challan Master'!$S$4:$S$207,0)),""),"dd-mm-yyyy")&amp;" | Minor Head "&amp;IFERROR(INDEX('Challan Master'!$E$4:$E$207,MATCH($B73,'Challan Master'!$S$4:$S$207,0)),"")&amp;" | Tax ₹"&amp;TEXT(IFERROR(INDEX('Challan Master'!$G$4:$G$207,MATCH($B73,'Challan Master'!$S$4:$S$207,0)),""),"#,##0")&amp;" | Section "&amp;IFERROR(INDEX('Challan Master'!$F$4:$F$207,MATCH($B73,'Challan Master'!$S$4:$S$207,0)),""))</f>
      </c>
      <c r="D73" s="8"/>
      <c r="E73" s="8"/>
      <c r="F73" s="7">
        <f>IF($D73="","",IF(AND(LEN(TRIM(UPPER(E73)))=10,CODE(MID(TRIM(UPPER(E73)),1,1))&gt;=65,CODE(MID(TRIM(UPPER(E73)),1,1))&lt;=90,CODE(MID(TRIM(UPPER(E73)),2,1))&gt;=65,CODE(MID(TRIM(UPPER(E73)),2,1))&lt;=90,CODE(MID(TRIM(UPPER(E73)),3,1))&gt;=65,CODE(MID(TRIM(UPPER(E73)),3,1))&lt;=90,CODE(MID(TRIM(UPPER(E73)),4,1))&gt;=65,CODE(MID(TRIM(UPPER(E73)),4,1))&lt;=90,CODE(MID(TRIM(UPPER(E73)),5,1))&gt;=65,CODE(MID(TRIM(UPPER(E73)),5,1))&lt;=90,CODE(MID(TRIM(UPPER(E73)),10,1))&gt;=65,CODE(MID(TRIM(UPPER(E73)),10,1))&lt;=90,CODE(MID(TRIM(UPPER(E73)),6,1))&gt;=48,CODE(MID(TRIM(UPPER(E73)),6,1))&lt;=57,CODE(MID(TRIM(UPPER(E73)),7,1))&gt;=48,CODE(MID(TRIM(UPPER(E73)),7,1))&lt;=57,CODE(MID(TRIM(UPPER(E73)),8,1))&gt;=48,CODE(MID(TRIM(UPPER(E73)),8,1))&lt;=57,CODE(MID(TRIM(UPPER(E73)),9,1))&gt;=48,CODE(MID(TRIM(UPPER(E73)),9,1))&lt;=57),"N","Y"))</f>
      </c>
      <c r="G73" s="7">
        <f>IF($D73="","",IF(LEN(E73)&lt;4,"",IF(UPPER(MID(E73,4,1))="P","Individual",IF(UPPER(MID(E73,4,1))="H","HUF",IF(UPPER(MID(E73,4,1))="C","Company",IF(UPPER(MID(E73,4,1))="F","Firm",IF(UPPER(MID(E73,4,1))="L","LLP",IF(UPPER(MID(E73,4,1))="T","Trust",IF(UPPER(MID(E73,4,1))="A","AOP","")))))))))</f>
      </c>
      <c r="H73" s="8"/>
      <c r="I73" s="7">
        <f>IF($D73="","",IF(H73="","",IF(F73="Y",SUMPRODUCT(('Rate Lookup'!$A$1:$A$37=H73)*'Rate Lookup'!$D$1:$D$37),IF(OR(G73="Individual",G73="HUF"),SUMPRODUCT(('Rate Lookup'!$A$1:$A$37=H73)*'Rate Lookup'!$B$1:$B$37),SUMPRODUCT(('Rate Lookup'!$A$1:$A$37=H73)*'Rate Lookup'!$C$1:$C$37)))))</f>
      </c>
      <c r="J73" s="8"/>
      <c r="K73" s="8"/>
      <c r="L73" s="7">
        <f>IF($D73="","",ROUND(K73*I73/100,0))</f>
      </c>
      <c r="M73" s="7">
        <f>IF($D73="","",0)</f>
      </c>
      <c r="N73" s="7">
        <f>IF($D73="","",0)</f>
      </c>
      <c r="O73" s="7">
        <f>IF($D73="","",IF(OR(L73=0,J73="",IFERROR(INDEX('Challan Master'!$D$4:$D$207,MATCH($B73,'Challan Master'!$S$4:$S$207,0)),"")="",IFERROR(INDEX('Challan Master'!$D$4:$D$207,MATCH($B73,'Challan Master'!$S$4:$S$207,0)),"")&lt;=0),0,IF(IFERROR(INDEX('Challan Master'!$D$4:$D$207,MATCH($B73,'Challan Master'!$S$4:$S$207,0)),"")&lt;=DATE(YEAR(J73),MONTH(J73)+1,7),0,ROUND(L73*0.015*((YEAR(IFERROR(INDEX('Challan Master'!$D$4:$D$207,MATCH($B73,'Challan Master'!$S$4:$S$207,0)),""))-YEAR(J73))*12+(MONTH(IFERROR(INDEX('Challan Master'!$D$4:$D$207,MATCH($B73,'Challan Master'!$S$4:$S$207,0)),""))-MONTH(J73))+1),0))))</f>
      </c>
      <c r="P73" s="7">
        <f>IF($D73="","",0)</f>
      </c>
      <c r="Q73" s="8"/>
      <c r="R73" s="8"/>
      <c r="S73" s="8"/>
      <c r="T73" s="8"/>
      <c r="U73" s="8"/>
      <c r="V73" s="7">
        <f>IF($B73="","",IFERROR(INDEX('Challan Master'!$AA$4:$AA$207,MATCH($B73,'Challan Master'!$S$4:$S$207,0)),""))</f>
      </c>
    </row>
    <row r="74" spans="1:22" x14ac:dyDescent="0.25">
      <c r="A74" s="7">
        <f>IF($D74="","",COUNTIF($D$4:$D74,"&lt;&gt;"))</f>
      </c>
      <c r="B74" s="8"/>
      <c r="C74" s="7">
        <f>IF($B74="","","BSR "&amp;IFERROR(INDEX('Challan Master'!$B$4:$B$207,MATCH($B74,'Challan Master'!$S$4:$S$207,0)),"")&amp;" | Serial "&amp;IFERROR(INDEX('Challan Master'!$C$4:$C$207,MATCH($B74,'Challan Master'!$S$4:$S$207,0)),"")&amp;" | Deposit "&amp;TEXT(IFERROR(INDEX('Challan Master'!$D$4:$D$207,MATCH($B74,'Challan Master'!$S$4:$S$207,0)),""),"dd-mm-yyyy")&amp;" | Minor Head "&amp;IFERROR(INDEX('Challan Master'!$E$4:$E$207,MATCH($B74,'Challan Master'!$S$4:$S$207,0)),"")&amp;" | Tax ₹"&amp;TEXT(IFERROR(INDEX('Challan Master'!$G$4:$G$207,MATCH($B74,'Challan Master'!$S$4:$S$207,0)),""),"#,##0")&amp;" | Section "&amp;IFERROR(INDEX('Challan Master'!$F$4:$F$207,MATCH($B74,'Challan Master'!$S$4:$S$207,0)),""))</f>
      </c>
      <c r="D74" s="8"/>
      <c r="E74" s="8"/>
      <c r="F74" s="7">
        <f>IF($D74="","",IF(AND(LEN(TRIM(UPPER(E74)))=10,CODE(MID(TRIM(UPPER(E74)),1,1))&gt;=65,CODE(MID(TRIM(UPPER(E74)),1,1))&lt;=90,CODE(MID(TRIM(UPPER(E74)),2,1))&gt;=65,CODE(MID(TRIM(UPPER(E74)),2,1))&lt;=90,CODE(MID(TRIM(UPPER(E74)),3,1))&gt;=65,CODE(MID(TRIM(UPPER(E74)),3,1))&lt;=90,CODE(MID(TRIM(UPPER(E74)),4,1))&gt;=65,CODE(MID(TRIM(UPPER(E74)),4,1))&lt;=90,CODE(MID(TRIM(UPPER(E74)),5,1))&gt;=65,CODE(MID(TRIM(UPPER(E74)),5,1))&lt;=90,CODE(MID(TRIM(UPPER(E74)),10,1))&gt;=65,CODE(MID(TRIM(UPPER(E74)),10,1))&lt;=90,CODE(MID(TRIM(UPPER(E74)),6,1))&gt;=48,CODE(MID(TRIM(UPPER(E74)),6,1))&lt;=57,CODE(MID(TRIM(UPPER(E74)),7,1))&gt;=48,CODE(MID(TRIM(UPPER(E74)),7,1))&lt;=57,CODE(MID(TRIM(UPPER(E74)),8,1))&gt;=48,CODE(MID(TRIM(UPPER(E74)),8,1))&lt;=57,CODE(MID(TRIM(UPPER(E74)),9,1))&gt;=48,CODE(MID(TRIM(UPPER(E74)),9,1))&lt;=57),"N","Y"))</f>
      </c>
      <c r="G74" s="7">
        <f>IF($D74="","",IF(LEN(E74)&lt;4,"",IF(UPPER(MID(E74,4,1))="P","Individual",IF(UPPER(MID(E74,4,1))="H","HUF",IF(UPPER(MID(E74,4,1))="C","Company",IF(UPPER(MID(E74,4,1))="F","Firm",IF(UPPER(MID(E74,4,1))="L","LLP",IF(UPPER(MID(E74,4,1))="T","Trust",IF(UPPER(MID(E74,4,1))="A","AOP","")))))))))</f>
      </c>
      <c r="H74" s="8"/>
      <c r="I74" s="7">
        <f>IF($D74="","",IF(H74="","",IF(F74="Y",SUMPRODUCT(('Rate Lookup'!$A$1:$A$37=H74)*'Rate Lookup'!$D$1:$D$37),IF(OR(G74="Individual",G74="HUF"),SUMPRODUCT(('Rate Lookup'!$A$1:$A$37=H74)*'Rate Lookup'!$B$1:$B$37),SUMPRODUCT(('Rate Lookup'!$A$1:$A$37=H74)*'Rate Lookup'!$C$1:$C$37)))))</f>
      </c>
      <c r="J74" s="8"/>
      <c r="K74" s="8"/>
      <c r="L74" s="7">
        <f>IF($D74="","",ROUND(K74*I74/100,0))</f>
      </c>
      <c r="M74" s="7">
        <f>IF($D74="","",0)</f>
      </c>
      <c r="N74" s="7">
        <f>IF($D74="","",0)</f>
      </c>
      <c r="O74" s="7">
        <f>IF($D74="","",IF(OR(L74=0,J74="",IFERROR(INDEX('Challan Master'!$D$4:$D$207,MATCH($B74,'Challan Master'!$S$4:$S$207,0)),"")="",IFERROR(INDEX('Challan Master'!$D$4:$D$207,MATCH($B74,'Challan Master'!$S$4:$S$207,0)),"")&lt;=0),0,IF(IFERROR(INDEX('Challan Master'!$D$4:$D$207,MATCH($B74,'Challan Master'!$S$4:$S$207,0)),"")&lt;=DATE(YEAR(J74),MONTH(J74)+1,7),0,ROUND(L74*0.015*((YEAR(IFERROR(INDEX('Challan Master'!$D$4:$D$207,MATCH($B74,'Challan Master'!$S$4:$S$207,0)),""))-YEAR(J74))*12+(MONTH(IFERROR(INDEX('Challan Master'!$D$4:$D$207,MATCH($B74,'Challan Master'!$S$4:$S$207,0)),""))-MONTH(J74))+1),0))))</f>
      </c>
      <c r="P74" s="7">
        <f>IF($D74="","",0)</f>
      </c>
      <c r="Q74" s="8"/>
      <c r="R74" s="8"/>
      <c r="S74" s="8"/>
      <c r="T74" s="8"/>
      <c r="U74" s="8"/>
      <c r="V74" s="7">
        <f>IF($B74="","",IFERROR(INDEX('Challan Master'!$AA$4:$AA$207,MATCH($B74,'Challan Master'!$S$4:$S$207,0)),""))</f>
      </c>
    </row>
    <row r="75" spans="1:22" x14ac:dyDescent="0.25">
      <c r="A75" s="7">
        <f>IF($D75="","",COUNTIF($D$4:$D75,"&lt;&gt;"))</f>
      </c>
      <c r="B75" s="8"/>
      <c r="C75" s="7">
        <f>IF($B75="","","BSR "&amp;IFERROR(INDEX('Challan Master'!$B$4:$B$207,MATCH($B75,'Challan Master'!$S$4:$S$207,0)),"")&amp;" | Serial "&amp;IFERROR(INDEX('Challan Master'!$C$4:$C$207,MATCH($B75,'Challan Master'!$S$4:$S$207,0)),"")&amp;" | Deposit "&amp;TEXT(IFERROR(INDEX('Challan Master'!$D$4:$D$207,MATCH($B75,'Challan Master'!$S$4:$S$207,0)),""),"dd-mm-yyyy")&amp;" | Minor Head "&amp;IFERROR(INDEX('Challan Master'!$E$4:$E$207,MATCH($B75,'Challan Master'!$S$4:$S$207,0)),"")&amp;" | Tax ₹"&amp;TEXT(IFERROR(INDEX('Challan Master'!$G$4:$G$207,MATCH($B75,'Challan Master'!$S$4:$S$207,0)),""),"#,##0")&amp;" | Section "&amp;IFERROR(INDEX('Challan Master'!$F$4:$F$207,MATCH($B75,'Challan Master'!$S$4:$S$207,0)),""))</f>
      </c>
      <c r="D75" s="8"/>
      <c r="E75" s="8"/>
      <c r="F75" s="7">
        <f>IF($D75="","",IF(AND(LEN(TRIM(UPPER(E75)))=10,CODE(MID(TRIM(UPPER(E75)),1,1))&gt;=65,CODE(MID(TRIM(UPPER(E75)),1,1))&lt;=90,CODE(MID(TRIM(UPPER(E75)),2,1))&gt;=65,CODE(MID(TRIM(UPPER(E75)),2,1))&lt;=90,CODE(MID(TRIM(UPPER(E75)),3,1))&gt;=65,CODE(MID(TRIM(UPPER(E75)),3,1))&lt;=90,CODE(MID(TRIM(UPPER(E75)),4,1))&gt;=65,CODE(MID(TRIM(UPPER(E75)),4,1))&lt;=90,CODE(MID(TRIM(UPPER(E75)),5,1))&gt;=65,CODE(MID(TRIM(UPPER(E75)),5,1))&lt;=90,CODE(MID(TRIM(UPPER(E75)),10,1))&gt;=65,CODE(MID(TRIM(UPPER(E75)),10,1))&lt;=90,CODE(MID(TRIM(UPPER(E75)),6,1))&gt;=48,CODE(MID(TRIM(UPPER(E75)),6,1))&lt;=57,CODE(MID(TRIM(UPPER(E75)),7,1))&gt;=48,CODE(MID(TRIM(UPPER(E75)),7,1))&lt;=57,CODE(MID(TRIM(UPPER(E75)),8,1))&gt;=48,CODE(MID(TRIM(UPPER(E75)),8,1))&lt;=57,CODE(MID(TRIM(UPPER(E75)),9,1))&gt;=48,CODE(MID(TRIM(UPPER(E75)),9,1))&lt;=57),"N","Y"))</f>
      </c>
      <c r="G75" s="7">
        <f>IF($D75="","",IF(LEN(E75)&lt;4,"",IF(UPPER(MID(E75,4,1))="P","Individual",IF(UPPER(MID(E75,4,1))="H","HUF",IF(UPPER(MID(E75,4,1))="C","Company",IF(UPPER(MID(E75,4,1))="F","Firm",IF(UPPER(MID(E75,4,1))="L","LLP",IF(UPPER(MID(E75,4,1))="T","Trust",IF(UPPER(MID(E75,4,1))="A","AOP","")))))))))</f>
      </c>
      <c r="H75" s="8"/>
      <c r="I75" s="7">
        <f>IF($D75="","",IF(H75="","",IF(F75="Y",SUMPRODUCT(('Rate Lookup'!$A$1:$A$37=H75)*'Rate Lookup'!$D$1:$D$37),IF(OR(G75="Individual",G75="HUF"),SUMPRODUCT(('Rate Lookup'!$A$1:$A$37=H75)*'Rate Lookup'!$B$1:$B$37),SUMPRODUCT(('Rate Lookup'!$A$1:$A$37=H75)*'Rate Lookup'!$C$1:$C$37)))))</f>
      </c>
      <c r="J75" s="8"/>
      <c r="K75" s="8"/>
      <c r="L75" s="7">
        <f>IF($D75="","",ROUND(K75*I75/100,0))</f>
      </c>
      <c r="M75" s="7">
        <f>IF($D75="","",0)</f>
      </c>
      <c r="N75" s="7">
        <f>IF($D75="","",0)</f>
      </c>
      <c r="O75" s="7">
        <f>IF($D75="","",IF(OR(L75=0,J75="",IFERROR(INDEX('Challan Master'!$D$4:$D$207,MATCH($B75,'Challan Master'!$S$4:$S$207,0)),"")="",IFERROR(INDEX('Challan Master'!$D$4:$D$207,MATCH($B75,'Challan Master'!$S$4:$S$207,0)),"")&lt;=0),0,IF(IFERROR(INDEX('Challan Master'!$D$4:$D$207,MATCH($B75,'Challan Master'!$S$4:$S$207,0)),"")&lt;=DATE(YEAR(J75),MONTH(J75)+1,7),0,ROUND(L75*0.015*((YEAR(IFERROR(INDEX('Challan Master'!$D$4:$D$207,MATCH($B75,'Challan Master'!$S$4:$S$207,0)),""))-YEAR(J75))*12+(MONTH(IFERROR(INDEX('Challan Master'!$D$4:$D$207,MATCH($B75,'Challan Master'!$S$4:$S$207,0)),""))-MONTH(J75))+1),0))))</f>
      </c>
      <c r="P75" s="7">
        <f>IF($D75="","",0)</f>
      </c>
      <c r="Q75" s="8"/>
      <c r="R75" s="8"/>
      <c r="S75" s="8"/>
      <c r="T75" s="8"/>
      <c r="U75" s="8"/>
      <c r="V75" s="7">
        <f>IF($B75="","",IFERROR(INDEX('Challan Master'!$AA$4:$AA$207,MATCH($B75,'Challan Master'!$S$4:$S$207,0)),""))</f>
      </c>
    </row>
    <row r="76" spans="1:22" x14ac:dyDescent="0.25">
      <c r="A76" s="7">
        <f>IF($D76="","",COUNTIF($D$4:$D76,"&lt;&gt;"))</f>
      </c>
      <c r="B76" s="8"/>
      <c r="C76" s="7">
        <f>IF($B76="","","BSR "&amp;IFERROR(INDEX('Challan Master'!$B$4:$B$207,MATCH($B76,'Challan Master'!$S$4:$S$207,0)),"")&amp;" | Serial "&amp;IFERROR(INDEX('Challan Master'!$C$4:$C$207,MATCH($B76,'Challan Master'!$S$4:$S$207,0)),"")&amp;" | Deposit "&amp;TEXT(IFERROR(INDEX('Challan Master'!$D$4:$D$207,MATCH($B76,'Challan Master'!$S$4:$S$207,0)),""),"dd-mm-yyyy")&amp;" | Minor Head "&amp;IFERROR(INDEX('Challan Master'!$E$4:$E$207,MATCH($B76,'Challan Master'!$S$4:$S$207,0)),"")&amp;" | Tax ₹"&amp;TEXT(IFERROR(INDEX('Challan Master'!$G$4:$G$207,MATCH($B76,'Challan Master'!$S$4:$S$207,0)),""),"#,##0")&amp;" | Section "&amp;IFERROR(INDEX('Challan Master'!$F$4:$F$207,MATCH($B76,'Challan Master'!$S$4:$S$207,0)),""))</f>
      </c>
      <c r="D76" s="8"/>
      <c r="E76" s="8"/>
      <c r="F76" s="7">
        <f>IF($D76="","",IF(AND(LEN(TRIM(UPPER(E76)))=10,CODE(MID(TRIM(UPPER(E76)),1,1))&gt;=65,CODE(MID(TRIM(UPPER(E76)),1,1))&lt;=90,CODE(MID(TRIM(UPPER(E76)),2,1))&gt;=65,CODE(MID(TRIM(UPPER(E76)),2,1))&lt;=90,CODE(MID(TRIM(UPPER(E76)),3,1))&gt;=65,CODE(MID(TRIM(UPPER(E76)),3,1))&lt;=90,CODE(MID(TRIM(UPPER(E76)),4,1))&gt;=65,CODE(MID(TRIM(UPPER(E76)),4,1))&lt;=90,CODE(MID(TRIM(UPPER(E76)),5,1))&gt;=65,CODE(MID(TRIM(UPPER(E76)),5,1))&lt;=90,CODE(MID(TRIM(UPPER(E76)),10,1))&gt;=65,CODE(MID(TRIM(UPPER(E76)),10,1))&lt;=90,CODE(MID(TRIM(UPPER(E76)),6,1))&gt;=48,CODE(MID(TRIM(UPPER(E76)),6,1))&lt;=57,CODE(MID(TRIM(UPPER(E76)),7,1))&gt;=48,CODE(MID(TRIM(UPPER(E76)),7,1))&lt;=57,CODE(MID(TRIM(UPPER(E76)),8,1))&gt;=48,CODE(MID(TRIM(UPPER(E76)),8,1))&lt;=57,CODE(MID(TRIM(UPPER(E76)),9,1))&gt;=48,CODE(MID(TRIM(UPPER(E76)),9,1))&lt;=57),"N","Y"))</f>
      </c>
      <c r="G76" s="7">
        <f>IF($D76="","",IF(LEN(E76)&lt;4,"",IF(UPPER(MID(E76,4,1))="P","Individual",IF(UPPER(MID(E76,4,1))="H","HUF",IF(UPPER(MID(E76,4,1))="C","Company",IF(UPPER(MID(E76,4,1))="F","Firm",IF(UPPER(MID(E76,4,1))="L","LLP",IF(UPPER(MID(E76,4,1))="T","Trust",IF(UPPER(MID(E76,4,1))="A","AOP","")))))))))</f>
      </c>
      <c r="H76" s="8"/>
      <c r="I76" s="7">
        <f>IF($D76="","",IF(H76="","",IF(F76="Y",SUMPRODUCT(('Rate Lookup'!$A$1:$A$37=H76)*'Rate Lookup'!$D$1:$D$37),IF(OR(G76="Individual",G76="HUF"),SUMPRODUCT(('Rate Lookup'!$A$1:$A$37=H76)*'Rate Lookup'!$B$1:$B$37),SUMPRODUCT(('Rate Lookup'!$A$1:$A$37=H76)*'Rate Lookup'!$C$1:$C$37)))))</f>
      </c>
      <c r="J76" s="8"/>
      <c r="K76" s="8"/>
      <c r="L76" s="7">
        <f>IF($D76="","",ROUND(K76*I76/100,0))</f>
      </c>
      <c r="M76" s="7">
        <f>IF($D76="","",0)</f>
      </c>
      <c r="N76" s="7">
        <f>IF($D76="","",0)</f>
      </c>
      <c r="O76" s="7">
        <f>IF($D76="","",IF(OR(L76=0,J76="",IFERROR(INDEX('Challan Master'!$D$4:$D$207,MATCH($B76,'Challan Master'!$S$4:$S$207,0)),"")="",IFERROR(INDEX('Challan Master'!$D$4:$D$207,MATCH($B76,'Challan Master'!$S$4:$S$207,0)),"")&lt;=0),0,IF(IFERROR(INDEX('Challan Master'!$D$4:$D$207,MATCH($B76,'Challan Master'!$S$4:$S$207,0)),"")&lt;=DATE(YEAR(J76),MONTH(J76)+1,7),0,ROUND(L76*0.015*((YEAR(IFERROR(INDEX('Challan Master'!$D$4:$D$207,MATCH($B76,'Challan Master'!$S$4:$S$207,0)),""))-YEAR(J76))*12+(MONTH(IFERROR(INDEX('Challan Master'!$D$4:$D$207,MATCH($B76,'Challan Master'!$S$4:$S$207,0)),""))-MONTH(J76))+1),0))))</f>
      </c>
      <c r="P76" s="7">
        <f>IF($D76="","",0)</f>
      </c>
      <c r="Q76" s="8"/>
      <c r="R76" s="8"/>
      <c r="S76" s="8"/>
      <c r="T76" s="8"/>
      <c r="U76" s="8"/>
      <c r="V76" s="7">
        <f>IF($B76="","",IFERROR(INDEX('Challan Master'!$AA$4:$AA$207,MATCH($B76,'Challan Master'!$S$4:$S$207,0)),""))</f>
      </c>
    </row>
    <row r="77" spans="1:22" x14ac:dyDescent="0.25">
      <c r="A77" s="7">
        <f>IF($D77="","",COUNTIF($D$4:$D77,"&lt;&gt;"))</f>
      </c>
      <c r="B77" s="8"/>
      <c r="C77" s="7">
        <f>IF($B77="","","BSR "&amp;IFERROR(INDEX('Challan Master'!$B$4:$B$207,MATCH($B77,'Challan Master'!$S$4:$S$207,0)),"")&amp;" | Serial "&amp;IFERROR(INDEX('Challan Master'!$C$4:$C$207,MATCH($B77,'Challan Master'!$S$4:$S$207,0)),"")&amp;" | Deposit "&amp;TEXT(IFERROR(INDEX('Challan Master'!$D$4:$D$207,MATCH($B77,'Challan Master'!$S$4:$S$207,0)),""),"dd-mm-yyyy")&amp;" | Minor Head "&amp;IFERROR(INDEX('Challan Master'!$E$4:$E$207,MATCH($B77,'Challan Master'!$S$4:$S$207,0)),"")&amp;" | Tax ₹"&amp;TEXT(IFERROR(INDEX('Challan Master'!$G$4:$G$207,MATCH($B77,'Challan Master'!$S$4:$S$207,0)),""),"#,##0")&amp;" | Section "&amp;IFERROR(INDEX('Challan Master'!$F$4:$F$207,MATCH($B77,'Challan Master'!$S$4:$S$207,0)),""))</f>
      </c>
      <c r="D77" s="8"/>
      <c r="E77" s="8"/>
      <c r="F77" s="7">
        <f>IF($D77="","",IF(AND(LEN(TRIM(UPPER(E77)))=10,CODE(MID(TRIM(UPPER(E77)),1,1))&gt;=65,CODE(MID(TRIM(UPPER(E77)),1,1))&lt;=90,CODE(MID(TRIM(UPPER(E77)),2,1))&gt;=65,CODE(MID(TRIM(UPPER(E77)),2,1))&lt;=90,CODE(MID(TRIM(UPPER(E77)),3,1))&gt;=65,CODE(MID(TRIM(UPPER(E77)),3,1))&lt;=90,CODE(MID(TRIM(UPPER(E77)),4,1))&gt;=65,CODE(MID(TRIM(UPPER(E77)),4,1))&lt;=90,CODE(MID(TRIM(UPPER(E77)),5,1))&gt;=65,CODE(MID(TRIM(UPPER(E77)),5,1))&lt;=90,CODE(MID(TRIM(UPPER(E77)),10,1))&gt;=65,CODE(MID(TRIM(UPPER(E77)),10,1))&lt;=90,CODE(MID(TRIM(UPPER(E77)),6,1))&gt;=48,CODE(MID(TRIM(UPPER(E77)),6,1))&lt;=57,CODE(MID(TRIM(UPPER(E77)),7,1))&gt;=48,CODE(MID(TRIM(UPPER(E77)),7,1))&lt;=57,CODE(MID(TRIM(UPPER(E77)),8,1))&gt;=48,CODE(MID(TRIM(UPPER(E77)),8,1))&lt;=57,CODE(MID(TRIM(UPPER(E77)),9,1))&gt;=48,CODE(MID(TRIM(UPPER(E77)),9,1))&lt;=57),"N","Y"))</f>
      </c>
      <c r="G77" s="7">
        <f>IF($D77="","",IF(LEN(E77)&lt;4,"",IF(UPPER(MID(E77,4,1))="P","Individual",IF(UPPER(MID(E77,4,1))="H","HUF",IF(UPPER(MID(E77,4,1))="C","Company",IF(UPPER(MID(E77,4,1))="F","Firm",IF(UPPER(MID(E77,4,1))="L","LLP",IF(UPPER(MID(E77,4,1))="T","Trust",IF(UPPER(MID(E77,4,1))="A","AOP","")))))))))</f>
      </c>
      <c r="H77" s="8"/>
      <c r="I77" s="7">
        <f>IF($D77="","",IF(H77="","",IF(F77="Y",SUMPRODUCT(('Rate Lookup'!$A$1:$A$37=H77)*'Rate Lookup'!$D$1:$D$37),IF(OR(G77="Individual",G77="HUF"),SUMPRODUCT(('Rate Lookup'!$A$1:$A$37=H77)*'Rate Lookup'!$B$1:$B$37),SUMPRODUCT(('Rate Lookup'!$A$1:$A$37=H77)*'Rate Lookup'!$C$1:$C$37)))))</f>
      </c>
      <c r="J77" s="8"/>
      <c r="K77" s="8"/>
      <c r="L77" s="7">
        <f>IF($D77="","",ROUND(K77*I77/100,0))</f>
      </c>
      <c r="M77" s="7">
        <f>IF($D77="","",0)</f>
      </c>
      <c r="N77" s="7">
        <f>IF($D77="","",0)</f>
      </c>
      <c r="O77" s="7">
        <f>IF($D77="","",IF(OR(L77=0,J77="",IFERROR(INDEX('Challan Master'!$D$4:$D$207,MATCH($B77,'Challan Master'!$S$4:$S$207,0)),"")="",IFERROR(INDEX('Challan Master'!$D$4:$D$207,MATCH($B77,'Challan Master'!$S$4:$S$207,0)),"")&lt;=0),0,IF(IFERROR(INDEX('Challan Master'!$D$4:$D$207,MATCH($B77,'Challan Master'!$S$4:$S$207,0)),"")&lt;=DATE(YEAR(J77),MONTH(J77)+1,7),0,ROUND(L77*0.015*((YEAR(IFERROR(INDEX('Challan Master'!$D$4:$D$207,MATCH($B77,'Challan Master'!$S$4:$S$207,0)),""))-YEAR(J77))*12+(MONTH(IFERROR(INDEX('Challan Master'!$D$4:$D$207,MATCH($B77,'Challan Master'!$S$4:$S$207,0)),""))-MONTH(J77))+1),0))))</f>
      </c>
      <c r="P77" s="7">
        <f>IF($D77="","",0)</f>
      </c>
      <c r="Q77" s="8"/>
      <c r="R77" s="8"/>
      <c r="S77" s="8"/>
      <c r="T77" s="8"/>
      <c r="U77" s="8"/>
      <c r="V77" s="7">
        <f>IF($B77="","",IFERROR(INDEX('Challan Master'!$AA$4:$AA$207,MATCH($B77,'Challan Master'!$S$4:$S$207,0)),""))</f>
      </c>
    </row>
    <row r="78" spans="1:22" x14ac:dyDescent="0.25">
      <c r="A78" s="7">
        <f>IF($D78="","",COUNTIF($D$4:$D78,"&lt;&gt;"))</f>
      </c>
      <c r="B78" s="8"/>
      <c r="C78" s="7">
        <f>IF($B78="","","BSR "&amp;IFERROR(INDEX('Challan Master'!$B$4:$B$207,MATCH($B78,'Challan Master'!$S$4:$S$207,0)),"")&amp;" | Serial "&amp;IFERROR(INDEX('Challan Master'!$C$4:$C$207,MATCH($B78,'Challan Master'!$S$4:$S$207,0)),"")&amp;" | Deposit "&amp;TEXT(IFERROR(INDEX('Challan Master'!$D$4:$D$207,MATCH($B78,'Challan Master'!$S$4:$S$207,0)),""),"dd-mm-yyyy")&amp;" | Minor Head "&amp;IFERROR(INDEX('Challan Master'!$E$4:$E$207,MATCH($B78,'Challan Master'!$S$4:$S$207,0)),"")&amp;" | Tax ₹"&amp;TEXT(IFERROR(INDEX('Challan Master'!$G$4:$G$207,MATCH($B78,'Challan Master'!$S$4:$S$207,0)),""),"#,##0")&amp;" | Section "&amp;IFERROR(INDEX('Challan Master'!$F$4:$F$207,MATCH($B78,'Challan Master'!$S$4:$S$207,0)),""))</f>
      </c>
      <c r="D78" s="8"/>
      <c r="E78" s="8"/>
      <c r="F78" s="7">
        <f>IF($D78="","",IF(AND(LEN(TRIM(UPPER(E78)))=10,CODE(MID(TRIM(UPPER(E78)),1,1))&gt;=65,CODE(MID(TRIM(UPPER(E78)),1,1))&lt;=90,CODE(MID(TRIM(UPPER(E78)),2,1))&gt;=65,CODE(MID(TRIM(UPPER(E78)),2,1))&lt;=90,CODE(MID(TRIM(UPPER(E78)),3,1))&gt;=65,CODE(MID(TRIM(UPPER(E78)),3,1))&lt;=90,CODE(MID(TRIM(UPPER(E78)),4,1))&gt;=65,CODE(MID(TRIM(UPPER(E78)),4,1))&lt;=90,CODE(MID(TRIM(UPPER(E78)),5,1))&gt;=65,CODE(MID(TRIM(UPPER(E78)),5,1))&lt;=90,CODE(MID(TRIM(UPPER(E78)),10,1))&gt;=65,CODE(MID(TRIM(UPPER(E78)),10,1))&lt;=90,CODE(MID(TRIM(UPPER(E78)),6,1))&gt;=48,CODE(MID(TRIM(UPPER(E78)),6,1))&lt;=57,CODE(MID(TRIM(UPPER(E78)),7,1))&gt;=48,CODE(MID(TRIM(UPPER(E78)),7,1))&lt;=57,CODE(MID(TRIM(UPPER(E78)),8,1))&gt;=48,CODE(MID(TRIM(UPPER(E78)),8,1))&lt;=57,CODE(MID(TRIM(UPPER(E78)),9,1))&gt;=48,CODE(MID(TRIM(UPPER(E78)),9,1))&lt;=57),"N","Y"))</f>
      </c>
      <c r="G78" s="7">
        <f>IF($D78="","",IF(LEN(E78)&lt;4,"",IF(UPPER(MID(E78,4,1))="P","Individual",IF(UPPER(MID(E78,4,1))="H","HUF",IF(UPPER(MID(E78,4,1))="C","Company",IF(UPPER(MID(E78,4,1))="F","Firm",IF(UPPER(MID(E78,4,1))="L","LLP",IF(UPPER(MID(E78,4,1))="T","Trust",IF(UPPER(MID(E78,4,1))="A","AOP","")))))))))</f>
      </c>
      <c r="H78" s="8"/>
      <c r="I78" s="7">
        <f>IF($D78="","",IF(H78="","",IF(F78="Y",SUMPRODUCT(('Rate Lookup'!$A$1:$A$37=H78)*'Rate Lookup'!$D$1:$D$37),IF(OR(G78="Individual",G78="HUF"),SUMPRODUCT(('Rate Lookup'!$A$1:$A$37=H78)*'Rate Lookup'!$B$1:$B$37),SUMPRODUCT(('Rate Lookup'!$A$1:$A$37=H78)*'Rate Lookup'!$C$1:$C$37)))))</f>
      </c>
      <c r="J78" s="8"/>
      <c r="K78" s="8"/>
      <c r="L78" s="7">
        <f>IF($D78="","",ROUND(K78*I78/100,0))</f>
      </c>
      <c r="M78" s="7">
        <f>IF($D78="","",0)</f>
      </c>
      <c r="N78" s="7">
        <f>IF($D78="","",0)</f>
      </c>
      <c r="O78" s="7">
        <f>IF($D78="","",IF(OR(L78=0,J78="",IFERROR(INDEX('Challan Master'!$D$4:$D$207,MATCH($B78,'Challan Master'!$S$4:$S$207,0)),"")="",IFERROR(INDEX('Challan Master'!$D$4:$D$207,MATCH($B78,'Challan Master'!$S$4:$S$207,0)),"")&lt;=0),0,IF(IFERROR(INDEX('Challan Master'!$D$4:$D$207,MATCH($B78,'Challan Master'!$S$4:$S$207,0)),"")&lt;=DATE(YEAR(J78),MONTH(J78)+1,7),0,ROUND(L78*0.015*((YEAR(IFERROR(INDEX('Challan Master'!$D$4:$D$207,MATCH($B78,'Challan Master'!$S$4:$S$207,0)),""))-YEAR(J78))*12+(MONTH(IFERROR(INDEX('Challan Master'!$D$4:$D$207,MATCH($B78,'Challan Master'!$S$4:$S$207,0)),""))-MONTH(J78))+1),0))))</f>
      </c>
      <c r="P78" s="7">
        <f>IF($D78="","",0)</f>
      </c>
      <c r="Q78" s="8"/>
      <c r="R78" s="8"/>
      <c r="S78" s="8"/>
      <c r="T78" s="8"/>
      <c r="U78" s="8"/>
      <c r="V78" s="7">
        <f>IF($B78="","",IFERROR(INDEX('Challan Master'!$AA$4:$AA$207,MATCH($B78,'Challan Master'!$S$4:$S$207,0)),""))</f>
      </c>
    </row>
    <row r="79" spans="1:22" x14ac:dyDescent="0.25">
      <c r="A79" s="7">
        <f>IF($D79="","",COUNTIF($D$4:$D79,"&lt;&gt;"))</f>
      </c>
      <c r="B79" s="8"/>
      <c r="C79" s="7">
        <f>IF($B79="","","BSR "&amp;IFERROR(INDEX('Challan Master'!$B$4:$B$207,MATCH($B79,'Challan Master'!$S$4:$S$207,0)),"")&amp;" | Serial "&amp;IFERROR(INDEX('Challan Master'!$C$4:$C$207,MATCH($B79,'Challan Master'!$S$4:$S$207,0)),"")&amp;" | Deposit "&amp;TEXT(IFERROR(INDEX('Challan Master'!$D$4:$D$207,MATCH($B79,'Challan Master'!$S$4:$S$207,0)),""),"dd-mm-yyyy")&amp;" | Minor Head "&amp;IFERROR(INDEX('Challan Master'!$E$4:$E$207,MATCH($B79,'Challan Master'!$S$4:$S$207,0)),"")&amp;" | Tax ₹"&amp;TEXT(IFERROR(INDEX('Challan Master'!$G$4:$G$207,MATCH($B79,'Challan Master'!$S$4:$S$207,0)),""),"#,##0")&amp;" | Section "&amp;IFERROR(INDEX('Challan Master'!$F$4:$F$207,MATCH($B79,'Challan Master'!$S$4:$S$207,0)),""))</f>
      </c>
      <c r="D79" s="8"/>
      <c r="E79" s="8"/>
      <c r="F79" s="7">
        <f>IF($D79="","",IF(AND(LEN(TRIM(UPPER(E79)))=10,CODE(MID(TRIM(UPPER(E79)),1,1))&gt;=65,CODE(MID(TRIM(UPPER(E79)),1,1))&lt;=90,CODE(MID(TRIM(UPPER(E79)),2,1))&gt;=65,CODE(MID(TRIM(UPPER(E79)),2,1))&lt;=90,CODE(MID(TRIM(UPPER(E79)),3,1))&gt;=65,CODE(MID(TRIM(UPPER(E79)),3,1))&lt;=90,CODE(MID(TRIM(UPPER(E79)),4,1))&gt;=65,CODE(MID(TRIM(UPPER(E79)),4,1))&lt;=90,CODE(MID(TRIM(UPPER(E79)),5,1))&gt;=65,CODE(MID(TRIM(UPPER(E79)),5,1))&lt;=90,CODE(MID(TRIM(UPPER(E79)),10,1))&gt;=65,CODE(MID(TRIM(UPPER(E79)),10,1))&lt;=90,CODE(MID(TRIM(UPPER(E79)),6,1))&gt;=48,CODE(MID(TRIM(UPPER(E79)),6,1))&lt;=57,CODE(MID(TRIM(UPPER(E79)),7,1))&gt;=48,CODE(MID(TRIM(UPPER(E79)),7,1))&lt;=57,CODE(MID(TRIM(UPPER(E79)),8,1))&gt;=48,CODE(MID(TRIM(UPPER(E79)),8,1))&lt;=57,CODE(MID(TRIM(UPPER(E79)),9,1))&gt;=48,CODE(MID(TRIM(UPPER(E79)),9,1))&lt;=57),"N","Y"))</f>
      </c>
      <c r="G79" s="7">
        <f>IF($D79="","",IF(LEN(E79)&lt;4,"",IF(UPPER(MID(E79,4,1))="P","Individual",IF(UPPER(MID(E79,4,1))="H","HUF",IF(UPPER(MID(E79,4,1))="C","Company",IF(UPPER(MID(E79,4,1))="F","Firm",IF(UPPER(MID(E79,4,1))="L","LLP",IF(UPPER(MID(E79,4,1))="T","Trust",IF(UPPER(MID(E79,4,1))="A","AOP","")))))))))</f>
      </c>
      <c r="H79" s="8"/>
      <c r="I79" s="7">
        <f>IF($D79="","",IF(H79="","",IF(F79="Y",SUMPRODUCT(('Rate Lookup'!$A$1:$A$37=H79)*'Rate Lookup'!$D$1:$D$37),IF(OR(G79="Individual",G79="HUF"),SUMPRODUCT(('Rate Lookup'!$A$1:$A$37=H79)*'Rate Lookup'!$B$1:$B$37),SUMPRODUCT(('Rate Lookup'!$A$1:$A$37=H79)*'Rate Lookup'!$C$1:$C$37)))))</f>
      </c>
      <c r="J79" s="8"/>
      <c r="K79" s="8"/>
      <c r="L79" s="7">
        <f>IF($D79="","",ROUND(K79*I79/100,0))</f>
      </c>
      <c r="M79" s="7">
        <f>IF($D79="","",0)</f>
      </c>
      <c r="N79" s="7">
        <f>IF($D79="","",0)</f>
      </c>
      <c r="O79" s="7">
        <f>IF($D79="","",IF(OR(L79=0,J79="",IFERROR(INDEX('Challan Master'!$D$4:$D$207,MATCH($B79,'Challan Master'!$S$4:$S$207,0)),"")="",IFERROR(INDEX('Challan Master'!$D$4:$D$207,MATCH($B79,'Challan Master'!$S$4:$S$207,0)),"")&lt;=0),0,IF(IFERROR(INDEX('Challan Master'!$D$4:$D$207,MATCH($B79,'Challan Master'!$S$4:$S$207,0)),"")&lt;=DATE(YEAR(J79),MONTH(J79)+1,7),0,ROUND(L79*0.015*((YEAR(IFERROR(INDEX('Challan Master'!$D$4:$D$207,MATCH($B79,'Challan Master'!$S$4:$S$207,0)),""))-YEAR(J79))*12+(MONTH(IFERROR(INDEX('Challan Master'!$D$4:$D$207,MATCH($B79,'Challan Master'!$S$4:$S$207,0)),""))-MONTH(J79))+1),0))))</f>
      </c>
      <c r="P79" s="7">
        <f>IF($D79="","",0)</f>
      </c>
      <c r="Q79" s="8"/>
      <c r="R79" s="8"/>
      <c r="S79" s="8"/>
      <c r="T79" s="8"/>
      <c r="U79" s="8"/>
      <c r="V79" s="7">
        <f>IF($B79="","",IFERROR(INDEX('Challan Master'!$AA$4:$AA$207,MATCH($B79,'Challan Master'!$S$4:$S$207,0)),""))</f>
      </c>
    </row>
    <row r="80" spans="1:22" x14ac:dyDescent="0.25">
      <c r="A80" s="7">
        <f>IF($D80="","",COUNTIF($D$4:$D80,"&lt;&gt;"))</f>
      </c>
      <c r="B80" s="8"/>
      <c r="C80" s="7">
        <f>IF($B80="","","BSR "&amp;IFERROR(INDEX('Challan Master'!$B$4:$B$207,MATCH($B80,'Challan Master'!$S$4:$S$207,0)),"")&amp;" | Serial "&amp;IFERROR(INDEX('Challan Master'!$C$4:$C$207,MATCH($B80,'Challan Master'!$S$4:$S$207,0)),"")&amp;" | Deposit "&amp;TEXT(IFERROR(INDEX('Challan Master'!$D$4:$D$207,MATCH($B80,'Challan Master'!$S$4:$S$207,0)),""),"dd-mm-yyyy")&amp;" | Minor Head "&amp;IFERROR(INDEX('Challan Master'!$E$4:$E$207,MATCH($B80,'Challan Master'!$S$4:$S$207,0)),"")&amp;" | Tax ₹"&amp;TEXT(IFERROR(INDEX('Challan Master'!$G$4:$G$207,MATCH($B80,'Challan Master'!$S$4:$S$207,0)),""),"#,##0")&amp;" | Section "&amp;IFERROR(INDEX('Challan Master'!$F$4:$F$207,MATCH($B80,'Challan Master'!$S$4:$S$207,0)),""))</f>
      </c>
      <c r="D80" s="8"/>
      <c r="E80" s="8"/>
      <c r="F80" s="7">
        <f>IF($D80="","",IF(AND(LEN(TRIM(UPPER(E80)))=10,CODE(MID(TRIM(UPPER(E80)),1,1))&gt;=65,CODE(MID(TRIM(UPPER(E80)),1,1))&lt;=90,CODE(MID(TRIM(UPPER(E80)),2,1))&gt;=65,CODE(MID(TRIM(UPPER(E80)),2,1))&lt;=90,CODE(MID(TRIM(UPPER(E80)),3,1))&gt;=65,CODE(MID(TRIM(UPPER(E80)),3,1))&lt;=90,CODE(MID(TRIM(UPPER(E80)),4,1))&gt;=65,CODE(MID(TRIM(UPPER(E80)),4,1))&lt;=90,CODE(MID(TRIM(UPPER(E80)),5,1))&gt;=65,CODE(MID(TRIM(UPPER(E80)),5,1))&lt;=90,CODE(MID(TRIM(UPPER(E80)),10,1))&gt;=65,CODE(MID(TRIM(UPPER(E80)),10,1))&lt;=90,CODE(MID(TRIM(UPPER(E80)),6,1))&gt;=48,CODE(MID(TRIM(UPPER(E80)),6,1))&lt;=57,CODE(MID(TRIM(UPPER(E80)),7,1))&gt;=48,CODE(MID(TRIM(UPPER(E80)),7,1))&lt;=57,CODE(MID(TRIM(UPPER(E80)),8,1))&gt;=48,CODE(MID(TRIM(UPPER(E80)),8,1))&lt;=57,CODE(MID(TRIM(UPPER(E80)),9,1))&gt;=48,CODE(MID(TRIM(UPPER(E80)),9,1))&lt;=57),"N","Y"))</f>
      </c>
      <c r="G80" s="7">
        <f>IF($D80="","",IF(LEN(E80)&lt;4,"",IF(UPPER(MID(E80,4,1))="P","Individual",IF(UPPER(MID(E80,4,1))="H","HUF",IF(UPPER(MID(E80,4,1))="C","Company",IF(UPPER(MID(E80,4,1))="F","Firm",IF(UPPER(MID(E80,4,1))="L","LLP",IF(UPPER(MID(E80,4,1))="T","Trust",IF(UPPER(MID(E80,4,1))="A","AOP","")))))))))</f>
      </c>
      <c r="H80" s="8"/>
      <c r="I80" s="7">
        <f>IF($D80="","",IF(H80="","",IF(F80="Y",SUMPRODUCT(('Rate Lookup'!$A$1:$A$37=H80)*'Rate Lookup'!$D$1:$D$37),IF(OR(G80="Individual",G80="HUF"),SUMPRODUCT(('Rate Lookup'!$A$1:$A$37=H80)*'Rate Lookup'!$B$1:$B$37),SUMPRODUCT(('Rate Lookup'!$A$1:$A$37=H80)*'Rate Lookup'!$C$1:$C$37)))))</f>
      </c>
      <c r="J80" s="8"/>
      <c r="K80" s="8"/>
      <c r="L80" s="7">
        <f>IF($D80="","",ROUND(K80*I80/100,0))</f>
      </c>
      <c r="M80" s="7">
        <f>IF($D80="","",0)</f>
      </c>
      <c r="N80" s="7">
        <f>IF($D80="","",0)</f>
      </c>
      <c r="O80" s="7">
        <f>IF($D80="","",IF(OR(L80=0,J80="",IFERROR(INDEX('Challan Master'!$D$4:$D$207,MATCH($B80,'Challan Master'!$S$4:$S$207,0)),"")="",IFERROR(INDEX('Challan Master'!$D$4:$D$207,MATCH($B80,'Challan Master'!$S$4:$S$207,0)),"")&lt;=0),0,IF(IFERROR(INDEX('Challan Master'!$D$4:$D$207,MATCH($B80,'Challan Master'!$S$4:$S$207,0)),"")&lt;=DATE(YEAR(J80),MONTH(J80)+1,7),0,ROUND(L80*0.015*((YEAR(IFERROR(INDEX('Challan Master'!$D$4:$D$207,MATCH($B80,'Challan Master'!$S$4:$S$207,0)),""))-YEAR(J80))*12+(MONTH(IFERROR(INDEX('Challan Master'!$D$4:$D$207,MATCH($B80,'Challan Master'!$S$4:$S$207,0)),""))-MONTH(J80))+1),0))))</f>
      </c>
      <c r="P80" s="7">
        <f>IF($D80="","",0)</f>
      </c>
      <c r="Q80" s="8"/>
      <c r="R80" s="8"/>
      <c r="S80" s="8"/>
      <c r="T80" s="8"/>
      <c r="U80" s="8"/>
      <c r="V80" s="7">
        <f>IF($B80="","",IFERROR(INDEX('Challan Master'!$AA$4:$AA$207,MATCH($B80,'Challan Master'!$S$4:$S$207,0)),""))</f>
      </c>
    </row>
    <row r="81" spans="1:22" x14ac:dyDescent="0.25">
      <c r="A81" s="7">
        <f>IF($D81="","",COUNTIF($D$4:$D81,"&lt;&gt;"))</f>
      </c>
      <c r="B81" s="8"/>
      <c r="C81" s="7">
        <f>IF($B81="","","BSR "&amp;IFERROR(INDEX('Challan Master'!$B$4:$B$207,MATCH($B81,'Challan Master'!$S$4:$S$207,0)),"")&amp;" | Serial "&amp;IFERROR(INDEX('Challan Master'!$C$4:$C$207,MATCH($B81,'Challan Master'!$S$4:$S$207,0)),"")&amp;" | Deposit "&amp;TEXT(IFERROR(INDEX('Challan Master'!$D$4:$D$207,MATCH($B81,'Challan Master'!$S$4:$S$207,0)),""),"dd-mm-yyyy")&amp;" | Minor Head "&amp;IFERROR(INDEX('Challan Master'!$E$4:$E$207,MATCH($B81,'Challan Master'!$S$4:$S$207,0)),"")&amp;" | Tax ₹"&amp;TEXT(IFERROR(INDEX('Challan Master'!$G$4:$G$207,MATCH($B81,'Challan Master'!$S$4:$S$207,0)),""),"#,##0")&amp;" | Section "&amp;IFERROR(INDEX('Challan Master'!$F$4:$F$207,MATCH($B81,'Challan Master'!$S$4:$S$207,0)),""))</f>
      </c>
      <c r="D81" s="8"/>
      <c r="E81" s="8"/>
      <c r="F81" s="7">
        <f>IF($D81="","",IF(AND(LEN(TRIM(UPPER(E81)))=10,CODE(MID(TRIM(UPPER(E81)),1,1))&gt;=65,CODE(MID(TRIM(UPPER(E81)),1,1))&lt;=90,CODE(MID(TRIM(UPPER(E81)),2,1))&gt;=65,CODE(MID(TRIM(UPPER(E81)),2,1))&lt;=90,CODE(MID(TRIM(UPPER(E81)),3,1))&gt;=65,CODE(MID(TRIM(UPPER(E81)),3,1))&lt;=90,CODE(MID(TRIM(UPPER(E81)),4,1))&gt;=65,CODE(MID(TRIM(UPPER(E81)),4,1))&lt;=90,CODE(MID(TRIM(UPPER(E81)),5,1))&gt;=65,CODE(MID(TRIM(UPPER(E81)),5,1))&lt;=90,CODE(MID(TRIM(UPPER(E81)),10,1))&gt;=65,CODE(MID(TRIM(UPPER(E81)),10,1))&lt;=90,CODE(MID(TRIM(UPPER(E81)),6,1))&gt;=48,CODE(MID(TRIM(UPPER(E81)),6,1))&lt;=57,CODE(MID(TRIM(UPPER(E81)),7,1))&gt;=48,CODE(MID(TRIM(UPPER(E81)),7,1))&lt;=57,CODE(MID(TRIM(UPPER(E81)),8,1))&gt;=48,CODE(MID(TRIM(UPPER(E81)),8,1))&lt;=57,CODE(MID(TRIM(UPPER(E81)),9,1))&gt;=48,CODE(MID(TRIM(UPPER(E81)),9,1))&lt;=57),"N","Y"))</f>
      </c>
      <c r="G81" s="7">
        <f>IF($D81="","",IF(LEN(E81)&lt;4,"",IF(UPPER(MID(E81,4,1))="P","Individual",IF(UPPER(MID(E81,4,1))="H","HUF",IF(UPPER(MID(E81,4,1))="C","Company",IF(UPPER(MID(E81,4,1))="F","Firm",IF(UPPER(MID(E81,4,1))="L","LLP",IF(UPPER(MID(E81,4,1))="T","Trust",IF(UPPER(MID(E81,4,1))="A","AOP","")))))))))</f>
      </c>
      <c r="H81" s="8"/>
      <c r="I81" s="7">
        <f>IF($D81="","",IF(H81="","",IF(F81="Y",SUMPRODUCT(('Rate Lookup'!$A$1:$A$37=H81)*'Rate Lookup'!$D$1:$D$37),IF(OR(G81="Individual",G81="HUF"),SUMPRODUCT(('Rate Lookup'!$A$1:$A$37=H81)*'Rate Lookup'!$B$1:$B$37),SUMPRODUCT(('Rate Lookup'!$A$1:$A$37=H81)*'Rate Lookup'!$C$1:$C$37)))))</f>
      </c>
      <c r="J81" s="8"/>
      <c r="K81" s="8"/>
      <c r="L81" s="7">
        <f>IF($D81="","",ROUND(K81*I81/100,0))</f>
      </c>
      <c r="M81" s="7">
        <f>IF($D81="","",0)</f>
      </c>
      <c r="N81" s="7">
        <f>IF($D81="","",0)</f>
      </c>
      <c r="O81" s="7">
        <f>IF($D81="","",IF(OR(L81=0,J81="",IFERROR(INDEX('Challan Master'!$D$4:$D$207,MATCH($B81,'Challan Master'!$S$4:$S$207,0)),"")="",IFERROR(INDEX('Challan Master'!$D$4:$D$207,MATCH($B81,'Challan Master'!$S$4:$S$207,0)),"")&lt;=0),0,IF(IFERROR(INDEX('Challan Master'!$D$4:$D$207,MATCH($B81,'Challan Master'!$S$4:$S$207,0)),"")&lt;=DATE(YEAR(J81),MONTH(J81)+1,7),0,ROUND(L81*0.015*((YEAR(IFERROR(INDEX('Challan Master'!$D$4:$D$207,MATCH($B81,'Challan Master'!$S$4:$S$207,0)),""))-YEAR(J81))*12+(MONTH(IFERROR(INDEX('Challan Master'!$D$4:$D$207,MATCH($B81,'Challan Master'!$S$4:$S$207,0)),""))-MONTH(J81))+1),0))))</f>
      </c>
      <c r="P81" s="7">
        <f>IF($D81="","",0)</f>
      </c>
      <c r="Q81" s="8"/>
      <c r="R81" s="8"/>
      <c r="S81" s="8"/>
      <c r="T81" s="8"/>
      <c r="U81" s="8"/>
      <c r="V81" s="7">
        <f>IF($B81="","",IFERROR(INDEX('Challan Master'!$AA$4:$AA$207,MATCH($B81,'Challan Master'!$S$4:$S$207,0)),""))</f>
      </c>
    </row>
    <row r="82" spans="1:22" x14ac:dyDescent="0.25">
      <c r="A82" s="7">
        <f>IF($D82="","",COUNTIF($D$4:$D82,"&lt;&gt;"))</f>
      </c>
      <c r="B82" s="8"/>
      <c r="C82" s="7">
        <f>IF($B82="","","BSR "&amp;IFERROR(INDEX('Challan Master'!$B$4:$B$207,MATCH($B82,'Challan Master'!$S$4:$S$207,0)),"")&amp;" | Serial "&amp;IFERROR(INDEX('Challan Master'!$C$4:$C$207,MATCH($B82,'Challan Master'!$S$4:$S$207,0)),"")&amp;" | Deposit "&amp;TEXT(IFERROR(INDEX('Challan Master'!$D$4:$D$207,MATCH($B82,'Challan Master'!$S$4:$S$207,0)),""),"dd-mm-yyyy")&amp;" | Minor Head "&amp;IFERROR(INDEX('Challan Master'!$E$4:$E$207,MATCH($B82,'Challan Master'!$S$4:$S$207,0)),"")&amp;" | Tax ₹"&amp;TEXT(IFERROR(INDEX('Challan Master'!$G$4:$G$207,MATCH($B82,'Challan Master'!$S$4:$S$207,0)),""),"#,##0")&amp;" | Section "&amp;IFERROR(INDEX('Challan Master'!$F$4:$F$207,MATCH($B82,'Challan Master'!$S$4:$S$207,0)),""))</f>
      </c>
      <c r="D82" s="8"/>
      <c r="E82" s="8"/>
      <c r="F82" s="7">
        <f>IF($D82="","",IF(AND(LEN(TRIM(UPPER(E82)))=10,CODE(MID(TRIM(UPPER(E82)),1,1))&gt;=65,CODE(MID(TRIM(UPPER(E82)),1,1))&lt;=90,CODE(MID(TRIM(UPPER(E82)),2,1))&gt;=65,CODE(MID(TRIM(UPPER(E82)),2,1))&lt;=90,CODE(MID(TRIM(UPPER(E82)),3,1))&gt;=65,CODE(MID(TRIM(UPPER(E82)),3,1))&lt;=90,CODE(MID(TRIM(UPPER(E82)),4,1))&gt;=65,CODE(MID(TRIM(UPPER(E82)),4,1))&lt;=90,CODE(MID(TRIM(UPPER(E82)),5,1))&gt;=65,CODE(MID(TRIM(UPPER(E82)),5,1))&lt;=90,CODE(MID(TRIM(UPPER(E82)),10,1))&gt;=65,CODE(MID(TRIM(UPPER(E82)),10,1))&lt;=90,CODE(MID(TRIM(UPPER(E82)),6,1))&gt;=48,CODE(MID(TRIM(UPPER(E82)),6,1))&lt;=57,CODE(MID(TRIM(UPPER(E82)),7,1))&gt;=48,CODE(MID(TRIM(UPPER(E82)),7,1))&lt;=57,CODE(MID(TRIM(UPPER(E82)),8,1))&gt;=48,CODE(MID(TRIM(UPPER(E82)),8,1))&lt;=57,CODE(MID(TRIM(UPPER(E82)),9,1))&gt;=48,CODE(MID(TRIM(UPPER(E82)),9,1))&lt;=57),"N","Y"))</f>
      </c>
      <c r="G82" s="7">
        <f>IF($D82="","",IF(LEN(E82)&lt;4,"",IF(UPPER(MID(E82,4,1))="P","Individual",IF(UPPER(MID(E82,4,1))="H","HUF",IF(UPPER(MID(E82,4,1))="C","Company",IF(UPPER(MID(E82,4,1))="F","Firm",IF(UPPER(MID(E82,4,1))="L","LLP",IF(UPPER(MID(E82,4,1))="T","Trust",IF(UPPER(MID(E82,4,1))="A","AOP","")))))))))</f>
      </c>
      <c r="H82" s="8"/>
      <c r="I82" s="7">
        <f>IF($D82="","",IF(H82="","",IF(F82="Y",SUMPRODUCT(('Rate Lookup'!$A$1:$A$37=H82)*'Rate Lookup'!$D$1:$D$37),IF(OR(G82="Individual",G82="HUF"),SUMPRODUCT(('Rate Lookup'!$A$1:$A$37=H82)*'Rate Lookup'!$B$1:$B$37),SUMPRODUCT(('Rate Lookup'!$A$1:$A$37=H82)*'Rate Lookup'!$C$1:$C$37)))))</f>
      </c>
      <c r="J82" s="8"/>
      <c r="K82" s="8"/>
      <c r="L82" s="7">
        <f>IF($D82="","",ROUND(K82*I82/100,0))</f>
      </c>
      <c r="M82" s="7">
        <f>IF($D82="","",0)</f>
      </c>
      <c r="N82" s="7">
        <f>IF($D82="","",0)</f>
      </c>
      <c r="O82" s="7">
        <f>IF($D82="","",IF(OR(L82=0,J82="",IFERROR(INDEX('Challan Master'!$D$4:$D$207,MATCH($B82,'Challan Master'!$S$4:$S$207,0)),"")="",IFERROR(INDEX('Challan Master'!$D$4:$D$207,MATCH($B82,'Challan Master'!$S$4:$S$207,0)),"")&lt;=0),0,IF(IFERROR(INDEX('Challan Master'!$D$4:$D$207,MATCH($B82,'Challan Master'!$S$4:$S$207,0)),"")&lt;=DATE(YEAR(J82),MONTH(J82)+1,7),0,ROUND(L82*0.015*((YEAR(IFERROR(INDEX('Challan Master'!$D$4:$D$207,MATCH($B82,'Challan Master'!$S$4:$S$207,0)),""))-YEAR(J82))*12+(MONTH(IFERROR(INDEX('Challan Master'!$D$4:$D$207,MATCH($B82,'Challan Master'!$S$4:$S$207,0)),""))-MONTH(J82))+1),0))))</f>
      </c>
      <c r="P82" s="7">
        <f>IF($D82="","",0)</f>
      </c>
      <c r="Q82" s="8"/>
      <c r="R82" s="8"/>
      <c r="S82" s="8"/>
      <c r="T82" s="8"/>
      <c r="U82" s="8"/>
      <c r="V82" s="7">
        <f>IF($B82="","",IFERROR(INDEX('Challan Master'!$AA$4:$AA$207,MATCH($B82,'Challan Master'!$S$4:$S$207,0)),""))</f>
      </c>
    </row>
    <row r="83" spans="1:22" x14ac:dyDescent="0.25">
      <c r="A83" s="7">
        <f>IF($D83="","",COUNTIF($D$4:$D83,"&lt;&gt;"))</f>
      </c>
      <c r="B83" s="8"/>
      <c r="C83" s="7">
        <f>IF($B83="","","BSR "&amp;IFERROR(INDEX('Challan Master'!$B$4:$B$207,MATCH($B83,'Challan Master'!$S$4:$S$207,0)),"")&amp;" | Serial "&amp;IFERROR(INDEX('Challan Master'!$C$4:$C$207,MATCH($B83,'Challan Master'!$S$4:$S$207,0)),"")&amp;" | Deposit "&amp;TEXT(IFERROR(INDEX('Challan Master'!$D$4:$D$207,MATCH($B83,'Challan Master'!$S$4:$S$207,0)),""),"dd-mm-yyyy")&amp;" | Minor Head "&amp;IFERROR(INDEX('Challan Master'!$E$4:$E$207,MATCH($B83,'Challan Master'!$S$4:$S$207,0)),"")&amp;" | Tax ₹"&amp;TEXT(IFERROR(INDEX('Challan Master'!$G$4:$G$207,MATCH($B83,'Challan Master'!$S$4:$S$207,0)),""),"#,##0")&amp;" | Section "&amp;IFERROR(INDEX('Challan Master'!$F$4:$F$207,MATCH($B83,'Challan Master'!$S$4:$S$207,0)),""))</f>
      </c>
      <c r="D83" s="8"/>
      <c r="E83" s="8"/>
      <c r="F83" s="7">
        <f>IF($D83="","",IF(AND(LEN(TRIM(UPPER(E83)))=10,CODE(MID(TRIM(UPPER(E83)),1,1))&gt;=65,CODE(MID(TRIM(UPPER(E83)),1,1))&lt;=90,CODE(MID(TRIM(UPPER(E83)),2,1))&gt;=65,CODE(MID(TRIM(UPPER(E83)),2,1))&lt;=90,CODE(MID(TRIM(UPPER(E83)),3,1))&gt;=65,CODE(MID(TRIM(UPPER(E83)),3,1))&lt;=90,CODE(MID(TRIM(UPPER(E83)),4,1))&gt;=65,CODE(MID(TRIM(UPPER(E83)),4,1))&lt;=90,CODE(MID(TRIM(UPPER(E83)),5,1))&gt;=65,CODE(MID(TRIM(UPPER(E83)),5,1))&lt;=90,CODE(MID(TRIM(UPPER(E83)),10,1))&gt;=65,CODE(MID(TRIM(UPPER(E83)),10,1))&lt;=90,CODE(MID(TRIM(UPPER(E83)),6,1))&gt;=48,CODE(MID(TRIM(UPPER(E83)),6,1))&lt;=57,CODE(MID(TRIM(UPPER(E83)),7,1))&gt;=48,CODE(MID(TRIM(UPPER(E83)),7,1))&lt;=57,CODE(MID(TRIM(UPPER(E83)),8,1))&gt;=48,CODE(MID(TRIM(UPPER(E83)),8,1))&lt;=57,CODE(MID(TRIM(UPPER(E83)),9,1))&gt;=48,CODE(MID(TRIM(UPPER(E83)),9,1))&lt;=57),"N","Y"))</f>
      </c>
      <c r="G83" s="7">
        <f>IF($D83="","",IF(LEN(E83)&lt;4,"",IF(UPPER(MID(E83,4,1))="P","Individual",IF(UPPER(MID(E83,4,1))="H","HUF",IF(UPPER(MID(E83,4,1))="C","Company",IF(UPPER(MID(E83,4,1))="F","Firm",IF(UPPER(MID(E83,4,1))="L","LLP",IF(UPPER(MID(E83,4,1))="T","Trust",IF(UPPER(MID(E83,4,1))="A","AOP","")))))))))</f>
      </c>
      <c r="H83" s="8"/>
      <c r="I83" s="7">
        <f>IF($D83="","",IF(H83="","",IF(F83="Y",SUMPRODUCT(('Rate Lookup'!$A$1:$A$37=H83)*'Rate Lookup'!$D$1:$D$37),IF(OR(G83="Individual",G83="HUF"),SUMPRODUCT(('Rate Lookup'!$A$1:$A$37=H83)*'Rate Lookup'!$B$1:$B$37),SUMPRODUCT(('Rate Lookup'!$A$1:$A$37=H83)*'Rate Lookup'!$C$1:$C$37)))))</f>
      </c>
      <c r="J83" s="8"/>
      <c r="K83" s="8"/>
      <c r="L83" s="7">
        <f>IF($D83="","",ROUND(K83*I83/100,0))</f>
      </c>
      <c r="M83" s="7">
        <f>IF($D83="","",0)</f>
      </c>
      <c r="N83" s="7">
        <f>IF($D83="","",0)</f>
      </c>
      <c r="O83" s="7">
        <f>IF($D83="","",IF(OR(L83=0,J83="",IFERROR(INDEX('Challan Master'!$D$4:$D$207,MATCH($B83,'Challan Master'!$S$4:$S$207,0)),"")="",IFERROR(INDEX('Challan Master'!$D$4:$D$207,MATCH($B83,'Challan Master'!$S$4:$S$207,0)),"")&lt;=0),0,IF(IFERROR(INDEX('Challan Master'!$D$4:$D$207,MATCH($B83,'Challan Master'!$S$4:$S$207,0)),"")&lt;=DATE(YEAR(J83),MONTH(J83)+1,7),0,ROUND(L83*0.015*((YEAR(IFERROR(INDEX('Challan Master'!$D$4:$D$207,MATCH($B83,'Challan Master'!$S$4:$S$207,0)),""))-YEAR(J83))*12+(MONTH(IFERROR(INDEX('Challan Master'!$D$4:$D$207,MATCH($B83,'Challan Master'!$S$4:$S$207,0)),""))-MONTH(J83))+1),0))))</f>
      </c>
      <c r="P83" s="7">
        <f>IF($D83="","",0)</f>
      </c>
      <c r="Q83" s="8"/>
      <c r="R83" s="8"/>
      <c r="S83" s="8"/>
      <c r="T83" s="8"/>
      <c r="U83" s="8"/>
      <c r="V83" s="7">
        <f>IF($B83="","",IFERROR(INDEX('Challan Master'!$AA$4:$AA$207,MATCH($B83,'Challan Master'!$S$4:$S$207,0)),""))</f>
      </c>
    </row>
    <row r="84" spans="1:22" x14ac:dyDescent="0.25">
      <c r="A84" s="7">
        <f>IF($D84="","",COUNTIF($D$4:$D84,"&lt;&gt;"))</f>
      </c>
      <c r="B84" s="8"/>
      <c r="C84" s="7">
        <f>IF($B84="","","BSR "&amp;IFERROR(INDEX('Challan Master'!$B$4:$B$207,MATCH($B84,'Challan Master'!$S$4:$S$207,0)),"")&amp;" | Serial "&amp;IFERROR(INDEX('Challan Master'!$C$4:$C$207,MATCH($B84,'Challan Master'!$S$4:$S$207,0)),"")&amp;" | Deposit "&amp;TEXT(IFERROR(INDEX('Challan Master'!$D$4:$D$207,MATCH($B84,'Challan Master'!$S$4:$S$207,0)),""),"dd-mm-yyyy")&amp;" | Minor Head "&amp;IFERROR(INDEX('Challan Master'!$E$4:$E$207,MATCH($B84,'Challan Master'!$S$4:$S$207,0)),"")&amp;" | Tax ₹"&amp;TEXT(IFERROR(INDEX('Challan Master'!$G$4:$G$207,MATCH($B84,'Challan Master'!$S$4:$S$207,0)),""),"#,##0")&amp;" | Section "&amp;IFERROR(INDEX('Challan Master'!$F$4:$F$207,MATCH($B84,'Challan Master'!$S$4:$S$207,0)),""))</f>
      </c>
      <c r="D84" s="8"/>
      <c r="E84" s="8"/>
      <c r="F84" s="7">
        <f>IF($D84="","",IF(AND(LEN(TRIM(UPPER(E84)))=10,CODE(MID(TRIM(UPPER(E84)),1,1))&gt;=65,CODE(MID(TRIM(UPPER(E84)),1,1))&lt;=90,CODE(MID(TRIM(UPPER(E84)),2,1))&gt;=65,CODE(MID(TRIM(UPPER(E84)),2,1))&lt;=90,CODE(MID(TRIM(UPPER(E84)),3,1))&gt;=65,CODE(MID(TRIM(UPPER(E84)),3,1))&lt;=90,CODE(MID(TRIM(UPPER(E84)),4,1))&gt;=65,CODE(MID(TRIM(UPPER(E84)),4,1))&lt;=90,CODE(MID(TRIM(UPPER(E84)),5,1))&gt;=65,CODE(MID(TRIM(UPPER(E84)),5,1))&lt;=90,CODE(MID(TRIM(UPPER(E84)),10,1))&gt;=65,CODE(MID(TRIM(UPPER(E84)),10,1))&lt;=90,CODE(MID(TRIM(UPPER(E84)),6,1))&gt;=48,CODE(MID(TRIM(UPPER(E84)),6,1))&lt;=57,CODE(MID(TRIM(UPPER(E84)),7,1))&gt;=48,CODE(MID(TRIM(UPPER(E84)),7,1))&lt;=57,CODE(MID(TRIM(UPPER(E84)),8,1))&gt;=48,CODE(MID(TRIM(UPPER(E84)),8,1))&lt;=57,CODE(MID(TRIM(UPPER(E84)),9,1))&gt;=48,CODE(MID(TRIM(UPPER(E84)),9,1))&lt;=57),"N","Y"))</f>
      </c>
      <c r="G84" s="7">
        <f>IF($D84="","",IF(LEN(E84)&lt;4,"",IF(UPPER(MID(E84,4,1))="P","Individual",IF(UPPER(MID(E84,4,1))="H","HUF",IF(UPPER(MID(E84,4,1))="C","Company",IF(UPPER(MID(E84,4,1))="F","Firm",IF(UPPER(MID(E84,4,1))="L","LLP",IF(UPPER(MID(E84,4,1))="T","Trust",IF(UPPER(MID(E84,4,1))="A","AOP","")))))))))</f>
      </c>
      <c r="H84" s="8"/>
      <c r="I84" s="7">
        <f>IF($D84="","",IF(H84="","",IF(F84="Y",SUMPRODUCT(('Rate Lookup'!$A$1:$A$37=H84)*'Rate Lookup'!$D$1:$D$37),IF(OR(G84="Individual",G84="HUF"),SUMPRODUCT(('Rate Lookup'!$A$1:$A$37=H84)*'Rate Lookup'!$B$1:$B$37),SUMPRODUCT(('Rate Lookup'!$A$1:$A$37=H84)*'Rate Lookup'!$C$1:$C$37)))))</f>
      </c>
      <c r="J84" s="8"/>
      <c r="K84" s="8"/>
      <c r="L84" s="7">
        <f>IF($D84="","",ROUND(K84*I84/100,0))</f>
      </c>
      <c r="M84" s="7">
        <f>IF($D84="","",0)</f>
      </c>
      <c r="N84" s="7">
        <f>IF($D84="","",0)</f>
      </c>
      <c r="O84" s="7">
        <f>IF($D84="","",IF(OR(L84=0,J84="",IFERROR(INDEX('Challan Master'!$D$4:$D$207,MATCH($B84,'Challan Master'!$S$4:$S$207,0)),"")="",IFERROR(INDEX('Challan Master'!$D$4:$D$207,MATCH($B84,'Challan Master'!$S$4:$S$207,0)),"")&lt;=0),0,IF(IFERROR(INDEX('Challan Master'!$D$4:$D$207,MATCH($B84,'Challan Master'!$S$4:$S$207,0)),"")&lt;=DATE(YEAR(J84),MONTH(J84)+1,7),0,ROUND(L84*0.015*((YEAR(IFERROR(INDEX('Challan Master'!$D$4:$D$207,MATCH($B84,'Challan Master'!$S$4:$S$207,0)),""))-YEAR(J84))*12+(MONTH(IFERROR(INDEX('Challan Master'!$D$4:$D$207,MATCH($B84,'Challan Master'!$S$4:$S$207,0)),""))-MONTH(J84))+1),0))))</f>
      </c>
      <c r="P84" s="7">
        <f>IF($D84="","",0)</f>
      </c>
      <c r="Q84" s="8"/>
      <c r="R84" s="8"/>
      <c r="S84" s="8"/>
      <c r="T84" s="8"/>
      <c r="U84" s="8"/>
      <c r="V84" s="7">
        <f>IF($B84="","",IFERROR(INDEX('Challan Master'!$AA$4:$AA$207,MATCH($B84,'Challan Master'!$S$4:$S$207,0)),""))</f>
      </c>
    </row>
    <row r="85" spans="1:22" x14ac:dyDescent="0.25">
      <c r="A85" s="7">
        <f>IF($D85="","",COUNTIF($D$4:$D85,"&lt;&gt;"))</f>
      </c>
      <c r="B85" s="8"/>
      <c r="C85" s="7">
        <f>IF($B85="","","BSR "&amp;IFERROR(INDEX('Challan Master'!$B$4:$B$207,MATCH($B85,'Challan Master'!$S$4:$S$207,0)),"")&amp;" | Serial "&amp;IFERROR(INDEX('Challan Master'!$C$4:$C$207,MATCH($B85,'Challan Master'!$S$4:$S$207,0)),"")&amp;" | Deposit "&amp;TEXT(IFERROR(INDEX('Challan Master'!$D$4:$D$207,MATCH($B85,'Challan Master'!$S$4:$S$207,0)),""),"dd-mm-yyyy")&amp;" | Minor Head "&amp;IFERROR(INDEX('Challan Master'!$E$4:$E$207,MATCH($B85,'Challan Master'!$S$4:$S$207,0)),"")&amp;" | Tax ₹"&amp;TEXT(IFERROR(INDEX('Challan Master'!$G$4:$G$207,MATCH($B85,'Challan Master'!$S$4:$S$207,0)),""),"#,##0")&amp;" | Section "&amp;IFERROR(INDEX('Challan Master'!$F$4:$F$207,MATCH($B85,'Challan Master'!$S$4:$S$207,0)),""))</f>
      </c>
      <c r="D85" s="8"/>
      <c r="E85" s="8"/>
      <c r="F85" s="7">
        <f>IF($D85="","",IF(AND(LEN(TRIM(UPPER(E85)))=10,CODE(MID(TRIM(UPPER(E85)),1,1))&gt;=65,CODE(MID(TRIM(UPPER(E85)),1,1))&lt;=90,CODE(MID(TRIM(UPPER(E85)),2,1))&gt;=65,CODE(MID(TRIM(UPPER(E85)),2,1))&lt;=90,CODE(MID(TRIM(UPPER(E85)),3,1))&gt;=65,CODE(MID(TRIM(UPPER(E85)),3,1))&lt;=90,CODE(MID(TRIM(UPPER(E85)),4,1))&gt;=65,CODE(MID(TRIM(UPPER(E85)),4,1))&lt;=90,CODE(MID(TRIM(UPPER(E85)),5,1))&gt;=65,CODE(MID(TRIM(UPPER(E85)),5,1))&lt;=90,CODE(MID(TRIM(UPPER(E85)),10,1))&gt;=65,CODE(MID(TRIM(UPPER(E85)),10,1))&lt;=90,CODE(MID(TRIM(UPPER(E85)),6,1))&gt;=48,CODE(MID(TRIM(UPPER(E85)),6,1))&lt;=57,CODE(MID(TRIM(UPPER(E85)),7,1))&gt;=48,CODE(MID(TRIM(UPPER(E85)),7,1))&lt;=57,CODE(MID(TRIM(UPPER(E85)),8,1))&gt;=48,CODE(MID(TRIM(UPPER(E85)),8,1))&lt;=57,CODE(MID(TRIM(UPPER(E85)),9,1))&gt;=48,CODE(MID(TRIM(UPPER(E85)),9,1))&lt;=57),"N","Y"))</f>
      </c>
      <c r="G85" s="7">
        <f>IF($D85="","",IF(LEN(E85)&lt;4,"",IF(UPPER(MID(E85,4,1))="P","Individual",IF(UPPER(MID(E85,4,1))="H","HUF",IF(UPPER(MID(E85,4,1))="C","Company",IF(UPPER(MID(E85,4,1))="F","Firm",IF(UPPER(MID(E85,4,1))="L","LLP",IF(UPPER(MID(E85,4,1))="T","Trust",IF(UPPER(MID(E85,4,1))="A","AOP","")))))))))</f>
      </c>
      <c r="H85" s="8"/>
      <c r="I85" s="7">
        <f>IF($D85="","",IF(H85="","",IF(F85="Y",SUMPRODUCT(('Rate Lookup'!$A$1:$A$37=H85)*'Rate Lookup'!$D$1:$D$37),IF(OR(G85="Individual",G85="HUF"),SUMPRODUCT(('Rate Lookup'!$A$1:$A$37=H85)*'Rate Lookup'!$B$1:$B$37),SUMPRODUCT(('Rate Lookup'!$A$1:$A$37=H85)*'Rate Lookup'!$C$1:$C$37)))))</f>
      </c>
      <c r="J85" s="8"/>
      <c r="K85" s="8"/>
      <c r="L85" s="7">
        <f>IF($D85="","",ROUND(K85*I85/100,0))</f>
      </c>
      <c r="M85" s="7">
        <f>IF($D85="","",0)</f>
      </c>
      <c r="N85" s="7">
        <f>IF($D85="","",0)</f>
      </c>
      <c r="O85" s="7">
        <f>IF($D85="","",IF(OR(L85=0,J85="",IFERROR(INDEX('Challan Master'!$D$4:$D$207,MATCH($B85,'Challan Master'!$S$4:$S$207,0)),"")="",IFERROR(INDEX('Challan Master'!$D$4:$D$207,MATCH($B85,'Challan Master'!$S$4:$S$207,0)),"")&lt;=0),0,IF(IFERROR(INDEX('Challan Master'!$D$4:$D$207,MATCH($B85,'Challan Master'!$S$4:$S$207,0)),"")&lt;=DATE(YEAR(J85),MONTH(J85)+1,7),0,ROUND(L85*0.015*((YEAR(IFERROR(INDEX('Challan Master'!$D$4:$D$207,MATCH($B85,'Challan Master'!$S$4:$S$207,0)),""))-YEAR(J85))*12+(MONTH(IFERROR(INDEX('Challan Master'!$D$4:$D$207,MATCH($B85,'Challan Master'!$S$4:$S$207,0)),""))-MONTH(J85))+1),0))))</f>
      </c>
      <c r="P85" s="7">
        <f>IF($D85="","",0)</f>
      </c>
      <c r="Q85" s="8"/>
      <c r="R85" s="8"/>
      <c r="S85" s="8"/>
      <c r="T85" s="8"/>
      <c r="U85" s="8"/>
      <c r="V85" s="7">
        <f>IF($B85="","",IFERROR(INDEX('Challan Master'!$AA$4:$AA$207,MATCH($B85,'Challan Master'!$S$4:$S$207,0)),""))</f>
      </c>
    </row>
    <row r="86" spans="1:22" x14ac:dyDescent="0.25">
      <c r="A86" s="7">
        <f>IF($D86="","",COUNTIF($D$4:$D86,"&lt;&gt;"))</f>
      </c>
      <c r="B86" s="8"/>
      <c r="C86" s="7">
        <f>IF($B86="","","BSR "&amp;IFERROR(INDEX('Challan Master'!$B$4:$B$207,MATCH($B86,'Challan Master'!$S$4:$S$207,0)),"")&amp;" | Serial "&amp;IFERROR(INDEX('Challan Master'!$C$4:$C$207,MATCH($B86,'Challan Master'!$S$4:$S$207,0)),"")&amp;" | Deposit "&amp;TEXT(IFERROR(INDEX('Challan Master'!$D$4:$D$207,MATCH($B86,'Challan Master'!$S$4:$S$207,0)),""),"dd-mm-yyyy")&amp;" | Minor Head "&amp;IFERROR(INDEX('Challan Master'!$E$4:$E$207,MATCH($B86,'Challan Master'!$S$4:$S$207,0)),"")&amp;" | Tax ₹"&amp;TEXT(IFERROR(INDEX('Challan Master'!$G$4:$G$207,MATCH($B86,'Challan Master'!$S$4:$S$207,0)),""),"#,##0")&amp;" | Section "&amp;IFERROR(INDEX('Challan Master'!$F$4:$F$207,MATCH($B86,'Challan Master'!$S$4:$S$207,0)),""))</f>
      </c>
      <c r="D86" s="8"/>
      <c r="E86" s="8"/>
      <c r="F86" s="7">
        <f>IF($D86="","",IF(AND(LEN(TRIM(UPPER(E86)))=10,CODE(MID(TRIM(UPPER(E86)),1,1))&gt;=65,CODE(MID(TRIM(UPPER(E86)),1,1))&lt;=90,CODE(MID(TRIM(UPPER(E86)),2,1))&gt;=65,CODE(MID(TRIM(UPPER(E86)),2,1))&lt;=90,CODE(MID(TRIM(UPPER(E86)),3,1))&gt;=65,CODE(MID(TRIM(UPPER(E86)),3,1))&lt;=90,CODE(MID(TRIM(UPPER(E86)),4,1))&gt;=65,CODE(MID(TRIM(UPPER(E86)),4,1))&lt;=90,CODE(MID(TRIM(UPPER(E86)),5,1))&gt;=65,CODE(MID(TRIM(UPPER(E86)),5,1))&lt;=90,CODE(MID(TRIM(UPPER(E86)),10,1))&gt;=65,CODE(MID(TRIM(UPPER(E86)),10,1))&lt;=90,CODE(MID(TRIM(UPPER(E86)),6,1))&gt;=48,CODE(MID(TRIM(UPPER(E86)),6,1))&lt;=57,CODE(MID(TRIM(UPPER(E86)),7,1))&gt;=48,CODE(MID(TRIM(UPPER(E86)),7,1))&lt;=57,CODE(MID(TRIM(UPPER(E86)),8,1))&gt;=48,CODE(MID(TRIM(UPPER(E86)),8,1))&lt;=57,CODE(MID(TRIM(UPPER(E86)),9,1))&gt;=48,CODE(MID(TRIM(UPPER(E86)),9,1))&lt;=57),"N","Y"))</f>
      </c>
      <c r="G86" s="7">
        <f>IF($D86="","",IF(LEN(E86)&lt;4,"",IF(UPPER(MID(E86,4,1))="P","Individual",IF(UPPER(MID(E86,4,1))="H","HUF",IF(UPPER(MID(E86,4,1))="C","Company",IF(UPPER(MID(E86,4,1))="F","Firm",IF(UPPER(MID(E86,4,1))="L","LLP",IF(UPPER(MID(E86,4,1))="T","Trust",IF(UPPER(MID(E86,4,1))="A","AOP","")))))))))</f>
      </c>
      <c r="H86" s="8"/>
      <c r="I86" s="7">
        <f>IF($D86="","",IF(H86="","",IF(F86="Y",SUMPRODUCT(('Rate Lookup'!$A$1:$A$37=H86)*'Rate Lookup'!$D$1:$D$37),IF(OR(G86="Individual",G86="HUF"),SUMPRODUCT(('Rate Lookup'!$A$1:$A$37=H86)*'Rate Lookup'!$B$1:$B$37),SUMPRODUCT(('Rate Lookup'!$A$1:$A$37=H86)*'Rate Lookup'!$C$1:$C$37)))))</f>
      </c>
      <c r="J86" s="8"/>
      <c r="K86" s="8"/>
      <c r="L86" s="7">
        <f>IF($D86="","",ROUND(K86*I86/100,0))</f>
      </c>
      <c r="M86" s="7">
        <f>IF($D86="","",0)</f>
      </c>
      <c r="N86" s="7">
        <f>IF($D86="","",0)</f>
      </c>
      <c r="O86" s="7">
        <f>IF($D86="","",IF(OR(L86=0,J86="",IFERROR(INDEX('Challan Master'!$D$4:$D$207,MATCH($B86,'Challan Master'!$S$4:$S$207,0)),"")="",IFERROR(INDEX('Challan Master'!$D$4:$D$207,MATCH($B86,'Challan Master'!$S$4:$S$207,0)),"")&lt;=0),0,IF(IFERROR(INDEX('Challan Master'!$D$4:$D$207,MATCH($B86,'Challan Master'!$S$4:$S$207,0)),"")&lt;=DATE(YEAR(J86),MONTH(J86)+1,7),0,ROUND(L86*0.015*((YEAR(IFERROR(INDEX('Challan Master'!$D$4:$D$207,MATCH($B86,'Challan Master'!$S$4:$S$207,0)),""))-YEAR(J86))*12+(MONTH(IFERROR(INDEX('Challan Master'!$D$4:$D$207,MATCH($B86,'Challan Master'!$S$4:$S$207,0)),""))-MONTH(J86))+1),0))))</f>
      </c>
      <c r="P86" s="7">
        <f>IF($D86="","",0)</f>
      </c>
      <c r="Q86" s="8"/>
      <c r="R86" s="8"/>
      <c r="S86" s="8"/>
      <c r="T86" s="8"/>
      <c r="U86" s="8"/>
      <c r="V86" s="7">
        <f>IF($B86="","",IFERROR(INDEX('Challan Master'!$AA$4:$AA$207,MATCH($B86,'Challan Master'!$S$4:$S$207,0)),""))</f>
      </c>
    </row>
    <row r="87" spans="1:22" x14ac:dyDescent="0.25">
      <c r="A87" s="7">
        <f>IF($D87="","",COUNTIF($D$4:$D87,"&lt;&gt;"))</f>
      </c>
      <c r="B87" s="8"/>
      <c r="C87" s="7">
        <f>IF($B87="","","BSR "&amp;IFERROR(INDEX('Challan Master'!$B$4:$B$207,MATCH($B87,'Challan Master'!$S$4:$S$207,0)),"")&amp;" | Serial "&amp;IFERROR(INDEX('Challan Master'!$C$4:$C$207,MATCH($B87,'Challan Master'!$S$4:$S$207,0)),"")&amp;" | Deposit "&amp;TEXT(IFERROR(INDEX('Challan Master'!$D$4:$D$207,MATCH($B87,'Challan Master'!$S$4:$S$207,0)),""),"dd-mm-yyyy")&amp;" | Minor Head "&amp;IFERROR(INDEX('Challan Master'!$E$4:$E$207,MATCH($B87,'Challan Master'!$S$4:$S$207,0)),"")&amp;" | Tax ₹"&amp;TEXT(IFERROR(INDEX('Challan Master'!$G$4:$G$207,MATCH($B87,'Challan Master'!$S$4:$S$207,0)),""),"#,##0")&amp;" | Section "&amp;IFERROR(INDEX('Challan Master'!$F$4:$F$207,MATCH($B87,'Challan Master'!$S$4:$S$207,0)),""))</f>
      </c>
      <c r="D87" s="8"/>
      <c r="E87" s="8"/>
      <c r="F87" s="7">
        <f>IF($D87="","",IF(AND(LEN(TRIM(UPPER(E87)))=10,CODE(MID(TRIM(UPPER(E87)),1,1))&gt;=65,CODE(MID(TRIM(UPPER(E87)),1,1))&lt;=90,CODE(MID(TRIM(UPPER(E87)),2,1))&gt;=65,CODE(MID(TRIM(UPPER(E87)),2,1))&lt;=90,CODE(MID(TRIM(UPPER(E87)),3,1))&gt;=65,CODE(MID(TRIM(UPPER(E87)),3,1))&lt;=90,CODE(MID(TRIM(UPPER(E87)),4,1))&gt;=65,CODE(MID(TRIM(UPPER(E87)),4,1))&lt;=90,CODE(MID(TRIM(UPPER(E87)),5,1))&gt;=65,CODE(MID(TRIM(UPPER(E87)),5,1))&lt;=90,CODE(MID(TRIM(UPPER(E87)),10,1))&gt;=65,CODE(MID(TRIM(UPPER(E87)),10,1))&lt;=90,CODE(MID(TRIM(UPPER(E87)),6,1))&gt;=48,CODE(MID(TRIM(UPPER(E87)),6,1))&lt;=57,CODE(MID(TRIM(UPPER(E87)),7,1))&gt;=48,CODE(MID(TRIM(UPPER(E87)),7,1))&lt;=57,CODE(MID(TRIM(UPPER(E87)),8,1))&gt;=48,CODE(MID(TRIM(UPPER(E87)),8,1))&lt;=57,CODE(MID(TRIM(UPPER(E87)),9,1))&gt;=48,CODE(MID(TRIM(UPPER(E87)),9,1))&lt;=57),"N","Y"))</f>
      </c>
      <c r="G87" s="7">
        <f>IF($D87="","",IF(LEN(E87)&lt;4,"",IF(UPPER(MID(E87,4,1))="P","Individual",IF(UPPER(MID(E87,4,1))="H","HUF",IF(UPPER(MID(E87,4,1))="C","Company",IF(UPPER(MID(E87,4,1))="F","Firm",IF(UPPER(MID(E87,4,1))="L","LLP",IF(UPPER(MID(E87,4,1))="T","Trust",IF(UPPER(MID(E87,4,1))="A","AOP","")))))))))</f>
      </c>
      <c r="H87" s="8"/>
      <c r="I87" s="7">
        <f>IF($D87="","",IF(H87="","",IF(F87="Y",SUMPRODUCT(('Rate Lookup'!$A$1:$A$37=H87)*'Rate Lookup'!$D$1:$D$37),IF(OR(G87="Individual",G87="HUF"),SUMPRODUCT(('Rate Lookup'!$A$1:$A$37=H87)*'Rate Lookup'!$B$1:$B$37),SUMPRODUCT(('Rate Lookup'!$A$1:$A$37=H87)*'Rate Lookup'!$C$1:$C$37)))))</f>
      </c>
      <c r="J87" s="8"/>
      <c r="K87" s="8"/>
      <c r="L87" s="7">
        <f>IF($D87="","",ROUND(K87*I87/100,0))</f>
      </c>
      <c r="M87" s="7">
        <f>IF($D87="","",0)</f>
      </c>
      <c r="N87" s="7">
        <f>IF($D87="","",0)</f>
      </c>
      <c r="O87" s="7">
        <f>IF($D87="","",IF(OR(L87=0,J87="",IFERROR(INDEX('Challan Master'!$D$4:$D$207,MATCH($B87,'Challan Master'!$S$4:$S$207,0)),"")="",IFERROR(INDEX('Challan Master'!$D$4:$D$207,MATCH($B87,'Challan Master'!$S$4:$S$207,0)),"")&lt;=0),0,IF(IFERROR(INDEX('Challan Master'!$D$4:$D$207,MATCH($B87,'Challan Master'!$S$4:$S$207,0)),"")&lt;=DATE(YEAR(J87),MONTH(J87)+1,7),0,ROUND(L87*0.015*((YEAR(IFERROR(INDEX('Challan Master'!$D$4:$D$207,MATCH($B87,'Challan Master'!$S$4:$S$207,0)),""))-YEAR(J87))*12+(MONTH(IFERROR(INDEX('Challan Master'!$D$4:$D$207,MATCH($B87,'Challan Master'!$S$4:$S$207,0)),""))-MONTH(J87))+1),0))))</f>
      </c>
      <c r="P87" s="7">
        <f>IF($D87="","",0)</f>
      </c>
      <c r="Q87" s="8"/>
      <c r="R87" s="8"/>
      <c r="S87" s="8"/>
      <c r="T87" s="8"/>
      <c r="U87" s="8"/>
      <c r="V87" s="7">
        <f>IF($B87="","",IFERROR(INDEX('Challan Master'!$AA$4:$AA$207,MATCH($B87,'Challan Master'!$S$4:$S$207,0)),""))</f>
      </c>
    </row>
    <row r="88" spans="1:22" x14ac:dyDescent="0.25">
      <c r="A88" s="7">
        <f>IF($D88="","",COUNTIF($D$4:$D88,"&lt;&gt;"))</f>
      </c>
      <c r="B88" s="8"/>
      <c r="C88" s="7">
        <f>IF($B88="","","BSR "&amp;IFERROR(INDEX('Challan Master'!$B$4:$B$207,MATCH($B88,'Challan Master'!$S$4:$S$207,0)),"")&amp;" | Serial "&amp;IFERROR(INDEX('Challan Master'!$C$4:$C$207,MATCH($B88,'Challan Master'!$S$4:$S$207,0)),"")&amp;" | Deposit "&amp;TEXT(IFERROR(INDEX('Challan Master'!$D$4:$D$207,MATCH($B88,'Challan Master'!$S$4:$S$207,0)),""),"dd-mm-yyyy")&amp;" | Minor Head "&amp;IFERROR(INDEX('Challan Master'!$E$4:$E$207,MATCH($B88,'Challan Master'!$S$4:$S$207,0)),"")&amp;" | Tax ₹"&amp;TEXT(IFERROR(INDEX('Challan Master'!$G$4:$G$207,MATCH($B88,'Challan Master'!$S$4:$S$207,0)),""),"#,##0")&amp;" | Section "&amp;IFERROR(INDEX('Challan Master'!$F$4:$F$207,MATCH($B88,'Challan Master'!$S$4:$S$207,0)),""))</f>
      </c>
      <c r="D88" s="8"/>
      <c r="E88" s="8"/>
      <c r="F88" s="7">
        <f>IF($D88="","",IF(AND(LEN(TRIM(UPPER(E88)))=10,CODE(MID(TRIM(UPPER(E88)),1,1))&gt;=65,CODE(MID(TRIM(UPPER(E88)),1,1))&lt;=90,CODE(MID(TRIM(UPPER(E88)),2,1))&gt;=65,CODE(MID(TRIM(UPPER(E88)),2,1))&lt;=90,CODE(MID(TRIM(UPPER(E88)),3,1))&gt;=65,CODE(MID(TRIM(UPPER(E88)),3,1))&lt;=90,CODE(MID(TRIM(UPPER(E88)),4,1))&gt;=65,CODE(MID(TRIM(UPPER(E88)),4,1))&lt;=90,CODE(MID(TRIM(UPPER(E88)),5,1))&gt;=65,CODE(MID(TRIM(UPPER(E88)),5,1))&lt;=90,CODE(MID(TRIM(UPPER(E88)),10,1))&gt;=65,CODE(MID(TRIM(UPPER(E88)),10,1))&lt;=90,CODE(MID(TRIM(UPPER(E88)),6,1))&gt;=48,CODE(MID(TRIM(UPPER(E88)),6,1))&lt;=57,CODE(MID(TRIM(UPPER(E88)),7,1))&gt;=48,CODE(MID(TRIM(UPPER(E88)),7,1))&lt;=57,CODE(MID(TRIM(UPPER(E88)),8,1))&gt;=48,CODE(MID(TRIM(UPPER(E88)),8,1))&lt;=57,CODE(MID(TRIM(UPPER(E88)),9,1))&gt;=48,CODE(MID(TRIM(UPPER(E88)),9,1))&lt;=57),"N","Y"))</f>
      </c>
      <c r="G88" s="7">
        <f>IF($D88="","",IF(LEN(E88)&lt;4,"",IF(UPPER(MID(E88,4,1))="P","Individual",IF(UPPER(MID(E88,4,1))="H","HUF",IF(UPPER(MID(E88,4,1))="C","Company",IF(UPPER(MID(E88,4,1))="F","Firm",IF(UPPER(MID(E88,4,1))="L","LLP",IF(UPPER(MID(E88,4,1))="T","Trust",IF(UPPER(MID(E88,4,1))="A","AOP","")))))))))</f>
      </c>
      <c r="H88" s="8"/>
      <c r="I88" s="7">
        <f>IF($D88="","",IF(H88="","",IF(F88="Y",SUMPRODUCT(('Rate Lookup'!$A$1:$A$37=H88)*'Rate Lookup'!$D$1:$D$37),IF(OR(G88="Individual",G88="HUF"),SUMPRODUCT(('Rate Lookup'!$A$1:$A$37=H88)*'Rate Lookup'!$B$1:$B$37),SUMPRODUCT(('Rate Lookup'!$A$1:$A$37=H88)*'Rate Lookup'!$C$1:$C$37)))))</f>
      </c>
      <c r="J88" s="8"/>
      <c r="K88" s="8"/>
      <c r="L88" s="7">
        <f>IF($D88="","",ROUND(K88*I88/100,0))</f>
      </c>
      <c r="M88" s="7">
        <f>IF($D88="","",0)</f>
      </c>
      <c r="N88" s="7">
        <f>IF($D88="","",0)</f>
      </c>
      <c r="O88" s="7">
        <f>IF($D88="","",IF(OR(L88=0,J88="",IFERROR(INDEX('Challan Master'!$D$4:$D$207,MATCH($B88,'Challan Master'!$S$4:$S$207,0)),"")="",IFERROR(INDEX('Challan Master'!$D$4:$D$207,MATCH($B88,'Challan Master'!$S$4:$S$207,0)),"")&lt;=0),0,IF(IFERROR(INDEX('Challan Master'!$D$4:$D$207,MATCH($B88,'Challan Master'!$S$4:$S$207,0)),"")&lt;=DATE(YEAR(J88),MONTH(J88)+1,7),0,ROUND(L88*0.015*((YEAR(IFERROR(INDEX('Challan Master'!$D$4:$D$207,MATCH($B88,'Challan Master'!$S$4:$S$207,0)),""))-YEAR(J88))*12+(MONTH(IFERROR(INDEX('Challan Master'!$D$4:$D$207,MATCH($B88,'Challan Master'!$S$4:$S$207,0)),""))-MONTH(J88))+1),0))))</f>
      </c>
      <c r="P88" s="7">
        <f>IF($D88="","",0)</f>
      </c>
      <c r="Q88" s="8"/>
      <c r="R88" s="8"/>
      <c r="S88" s="8"/>
      <c r="T88" s="8"/>
      <c r="U88" s="8"/>
      <c r="V88" s="7">
        <f>IF($B88="","",IFERROR(INDEX('Challan Master'!$AA$4:$AA$207,MATCH($B88,'Challan Master'!$S$4:$S$207,0)),""))</f>
      </c>
    </row>
    <row r="89" spans="1:22" x14ac:dyDescent="0.25">
      <c r="A89" s="7">
        <f>IF($D89="","",COUNTIF($D$4:$D89,"&lt;&gt;"))</f>
      </c>
      <c r="B89" s="8"/>
      <c r="C89" s="7">
        <f>IF($B89="","","BSR "&amp;IFERROR(INDEX('Challan Master'!$B$4:$B$207,MATCH($B89,'Challan Master'!$S$4:$S$207,0)),"")&amp;" | Serial "&amp;IFERROR(INDEX('Challan Master'!$C$4:$C$207,MATCH($B89,'Challan Master'!$S$4:$S$207,0)),"")&amp;" | Deposit "&amp;TEXT(IFERROR(INDEX('Challan Master'!$D$4:$D$207,MATCH($B89,'Challan Master'!$S$4:$S$207,0)),""),"dd-mm-yyyy")&amp;" | Minor Head "&amp;IFERROR(INDEX('Challan Master'!$E$4:$E$207,MATCH($B89,'Challan Master'!$S$4:$S$207,0)),"")&amp;" | Tax ₹"&amp;TEXT(IFERROR(INDEX('Challan Master'!$G$4:$G$207,MATCH($B89,'Challan Master'!$S$4:$S$207,0)),""),"#,##0")&amp;" | Section "&amp;IFERROR(INDEX('Challan Master'!$F$4:$F$207,MATCH($B89,'Challan Master'!$S$4:$S$207,0)),""))</f>
      </c>
      <c r="D89" s="8"/>
      <c r="E89" s="8"/>
      <c r="F89" s="7">
        <f>IF($D89="","",IF(AND(LEN(TRIM(UPPER(E89)))=10,CODE(MID(TRIM(UPPER(E89)),1,1))&gt;=65,CODE(MID(TRIM(UPPER(E89)),1,1))&lt;=90,CODE(MID(TRIM(UPPER(E89)),2,1))&gt;=65,CODE(MID(TRIM(UPPER(E89)),2,1))&lt;=90,CODE(MID(TRIM(UPPER(E89)),3,1))&gt;=65,CODE(MID(TRIM(UPPER(E89)),3,1))&lt;=90,CODE(MID(TRIM(UPPER(E89)),4,1))&gt;=65,CODE(MID(TRIM(UPPER(E89)),4,1))&lt;=90,CODE(MID(TRIM(UPPER(E89)),5,1))&gt;=65,CODE(MID(TRIM(UPPER(E89)),5,1))&lt;=90,CODE(MID(TRIM(UPPER(E89)),10,1))&gt;=65,CODE(MID(TRIM(UPPER(E89)),10,1))&lt;=90,CODE(MID(TRIM(UPPER(E89)),6,1))&gt;=48,CODE(MID(TRIM(UPPER(E89)),6,1))&lt;=57,CODE(MID(TRIM(UPPER(E89)),7,1))&gt;=48,CODE(MID(TRIM(UPPER(E89)),7,1))&lt;=57,CODE(MID(TRIM(UPPER(E89)),8,1))&gt;=48,CODE(MID(TRIM(UPPER(E89)),8,1))&lt;=57,CODE(MID(TRIM(UPPER(E89)),9,1))&gt;=48,CODE(MID(TRIM(UPPER(E89)),9,1))&lt;=57),"N","Y"))</f>
      </c>
      <c r="G89" s="7">
        <f>IF($D89="","",IF(LEN(E89)&lt;4,"",IF(UPPER(MID(E89,4,1))="P","Individual",IF(UPPER(MID(E89,4,1))="H","HUF",IF(UPPER(MID(E89,4,1))="C","Company",IF(UPPER(MID(E89,4,1))="F","Firm",IF(UPPER(MID(E89,4,1))="L","LLP",IF(UPPER(MID(E89,4,1))="T","Trust",IF(UPPER(MID(E89,4,1))="A","AOP","")))))))))</f>
      </c>
      <c r="H89" s="8"/>
      <c r="I89" s="7">
        <f>IF($D89="","",IF(H89="","",IF(F89="Y",SUMPRODUCT(('Rate Lookup'!$A$1:$A$37=H89)*'Rate Lookup'!$D$1:$D$37),IF(OR(G89="Individual",G89="HUF"),SUMPRODUCT(('Rate Lookup'!$A$1:$A$37=H89)*'Rate Lookup'!$B$1:$B$37),SUMPRODUCT(('Rate Lookup'!$A$1:$A$37=H89)*'Rate Lookup'!$C$1:$C$37)))))</f>
      </c>
      <c r="J89" s="8"/>
      <c r="K89" s="8"/>
      <c r="L89" s="7">
        <f>IF($D89="","",ROUND(K89*I89/100,0))</f>
      </c>
      <c r="M89" s="7">
        <f>IF($D89="","",0)</f>
      </c>
      <c r="N89" s="7">
        <f>IF($D89="","",0)</f>
      </c>
      <c r="O89" s="7">
        <f>IF($D89="","",IF(OR(L89=0,J89="",IFERROR(INDEX('Challan Master'!$D$4:$D$207,MATCH($B89,'Challan Master'!$S$4:$S$207,0)),"")="",IFERROR(INDEX('Challan Master'!$D$4:$D$207,MATCH($B89,'Challan Master'!$S$4:$S$207,0)),"")&lt;=0),0,IF(IFERROR(INDEX('Challan Master'!$D$4:$D$207,MATCH($B89,'Challan Master'!$S$4:$S$207,0)),"")&lt;=DATE(YEAR(J89),MONTH(J89)+1,7),0,ROUND(L89*0.015*((YEAR(IFERROR(INDEX('Challan Master'!$D$4:$D$207,MATCH($B89,'Challan Master'!$S$4:$S$207,0)),""))-YEAR(J89))*12+(MONTH(IFERROR(INDEX('Challan Master'!$D$4:$D$207,MATCH($B89,'Challan Master'!$S$4:$S$207,0)),""))-MONTH(J89))+1),0))))</f>
      </c>
      <c r="P89" s="7">
        <f>IF($D89="","",0)</f>
      </c>
      <c r="Q89" s="8"/>
      <c r="R89" s="8"/>
      <c r="S89" s="8"/>
      <c r="T89" s="8"/>
      <c r="U89" s="8"/>
      <c r="V89" s="7">
        <f>IF($B89="","",IFERROR(INDEX('Challan Master'!$AA$4:$AA$207,MATCH($B89,'Challan Master'!$S$4:$S$207,0)),""))</f>
      </c>
    </row>
    <row r="90" spans="1:22" x14ac:dyDescent="0.25">
      <c r="A90" s="7">
        <f>IF($D90="","",COUNTIF($D$4:$D90,"&lt;&gt;"))</f>
      </c>
      <c r="B90" s="8"/>
      <c r="C90" s="7">
        <f>IF($B90="","","BSR "&amp;IFERROR(INDEX('Challan Master'!$B$4:$B$207,MATCH($B90,'Challan Master'!$S$4:$S$207,0)),"")&amp;" | Serial "&amp;IFERROR(INDEX('Challan Master'!$C$4:$C$207,MATCH($B90,'Challan Master'!$S$4:$S$207,0)),"")&amp;" | Deposit "&amp;TEXT(IFERROR(INDEX('Challan Master'!$D$4:$D$207,MATCH($B90,'Challan Master'!$S$4:$S$207,0)),""),"dd-mm-yyyy")&amp;" | Minor Head "&amp;IFERROR(INDEX('Challan Master'!$E$4:$E$207,MATCH($B90,'Challan Master'!$S$4:$S$207,0)),"")&amp;" | Tax ₹"&amp;TEXT(IFERROR(INDEX('Challan Master'!$G$4:$G$207,MATCH($B90,'Challan Master'!$S$4:$S$207,0)),""),"#,##0")&amp;" | Section "&amp;IFERROR(INDEX('Challan Master'!$F$4:$F$207,MATCH($B90,'Challan Master'!$S$4:$S$207,0)),""))</f>
      </c>
      <c r="D90" s="8"/>
      <c r="E90" s="8"/>
      <c r="F90" s="7">
        <f>IF($D90="","",IF(AND(LEN(TRIM(UPPER(E90)))=10,CODE(MID(TRIM(UPPER(E90)),1,1))&gt;=65,CODE(MID(TRIM(UPPER(E90)),1,1))&lt;=90,CODE(MID(TRIM(UPPER(E90)),2,1))&gt;=65,CODE(MID(TRIM(UPPER(E90)),2,1))&lt;=90,CODE(MID(TRIM(UPPER(E90)),3,1))&gt;=65,CODE(MID(TRIM(UPPER(E90)),3,1))&lt;=90,CODE(MID(TRIM(UPPER(E90)),4,1))&gt;=65,CODE(MID(TRIM(UPPER(E90)),4,1))&lt;=90,CODE(MID(TRIM(UPPER(E90)),5,1))&gt;=65,CODE(MID(TRIM(UPPER(E90)),5,1))&lt;=90,CODE(MID(TRIM(UPPER(E90)),10,1))&gt;=65,CODE(MID(TRIM(UPPER(E90)),10,1))&lt;=90,CODE(MID(TRIM(UPPER(E90)),6,1))&gt;=48,CODE(MID(TRIM(UPPER(E90)),6,1))&lt;=57,CODE(MID(TRIM(UPPER(E90)),7,1))&gt;=48,CODE(MID(TRIM(UPPER(E90)),7,1))&lt;=57,CODE(MID(TRIM(UPPER(E90)),8,1))&gt;=48,CODE(MID(TRIM(UPPER(E90)),8,1))&lt;=57,CODE(MID(TRIM(UPPER(E90)),9,1))&gt;=48,CODE(MID(TRIM(UPPER(E90)),9,1))&lt;=57),"N","Y"))</f>
      </c>
      <c r="G90" s="7">
        <f>IF($D90="","",IF(LEN(E90)&lt;4,"",IF(UPPER(MID(E90,4,1))="P","Individual",IF(UPPER(MID(E90,4,1))="H","HUF",IF(UPPER(MID(E90,4,1))="C","Company",IF(UPPER(MID(E90,4,1))="F","Firm",IF(UPPER(MID(E90,4,1))="L","LLP",IF(UPPER(MID(E90,4,1))="T","Trust",IF(UPPER(MID(E90,4,1))="A","AOP","")))))))))</f>
      </c>
      <c r="H90" s="8"/>
      <c r="I90" s="7">
        <f>IF($D90="","",IF(H90="","",IF(F90="Y",SUMPRODUCT(('Rate Lookup'!$A$1:$A$37=H90)*'Rate Lookup'!$D$1:$D$37),IF(OR(G90="Individual",G90="HUF"),SUMPRODUCT(('Rate Lookup'!$A$1:$A$37=H90)*'Rate Lookup'!$B$1:$B$37),SUMPRODUCT(('Rate Lookup'!$A$1:$A$37=H90)*'Rate Lookup'!$C$1:$C$37)))))</f>
      </c>
      <c r="J90" s="8"/>
      <c r="K90" s="8"/>
      <c r="L90" s="7">
        <f>IF($D90="","",ROUND(K90*I90/100,0))</f>
      </c>
      <c r="M90" s="7">
        <f>IF($D90="","",0)</f>
      </c>
      <c r="N90" s="7">
        <f>IF($D90="","",0)</f>
      </c>
      <c r="O90" s="7">
        <f>IF($D90="","",IF(OR(L90=0,J90="",IFERROR(INDEX('Challan Master'!$D$4:$D$207,MATCH($B90,'Challan Master'!$S$4:$S$207,0)),"")="",IFERROR(INDEX('Challan Master'!$D$4:$D$207,MATCH($B90,'Challan Master'!$S$4:$S$207,0)),"")&lt;=0),0,IF(IFERROR(INDEX('Challan Master'!$D$4:$D$207,MATCH($B90,'Challan Master'!$S$4:$S$207,0)),"")&lt;=DATE(YEAR(J90),MONTH(J90)+1,7),0,ROUND(L90*0.015*((YEAR(IFERROR(INDEX('Challan Master'!$D$4:$D$207,MATCH($B90,'Challan Master'!$S$4:$S$207,0)),""))-YEAR(J90))*12+(MONTH(IFERROR(INDEX('Challan Master'!$D$4:$D$207,MATCH($B90,'Challan Master'!$S$4:$S$207,0)),""))-MONTH(J90))+1),0))))</f>
      </c>
      <c r="P90" s="7">
        <f>IF($D90="","",0)</f>
      </c>
      <c r="Q90" s="8"/>
      <c r="R90" s="8"/>
      <c r="S90" s="8"/>
      <c r="T90" s="8"/>
      <c r="U90" s="8"/>
      <c r="V90" s="7">
        <f>IF($B90="","",IFERROR(INDEX('Challan Master'!$AA$4:$AA$207,MATCH($B90,'Challan Master'!$S$4:$S$207,0)),""))</f>
      </c>
    </row>
    <row r="91" spans="1:22" x14ac:dyDescent="0.25">
      <c r="A91" s="7">
        <f>IF($D91="","",COUNTIF($D$4:$D91,"&lt;&gt;"))</f>
      </c>
      <c r="B91" s="8"/>
      <c r="C91" s="7">
        <f>IF($B91="","","BSR "&amp;IFERROR(INDEX('Challan Master'!$B$4:$B$207,MATCH($B91,'Challan Master'!$S$4:$S$207,0)),"")&amp;" | Serial "&amp;IFERROR(INDEX('Challan Master'!$C$4:$C$207,MATCH($B91,'Challan Master'!$S$4:$S$207,0)),"")&amp;" | Deposit "&amp;TEXT(IFERROR(INDEX('Challan Master'!$D$4:$D$207,MATCH($B91,'Challan Master'!$S$4:$S$207,0)),""),"dd-mm-yyyy")&amp;" | Minor Head "&amp;IFERROR(INDEX('Challan Master'!$E$4:$E$207,MATCH($B91,'Challan Master'!$S$4:$S$207,0)),"")&amp;" | Tax ₹"&amp;TEXT(IFERROR(INDEX('Challan Master'!$G$4:$G$207,MATCH($B91,'Challan Master'!$S$4:$S$207,0)),""),"#,##0")&amp;" | Section "&amp;IFERROR(INDEX('Challan Master'!$F$4:$F$207,MATCH($B91,'Challan Master'!$S$4:$S$207,0)),""))</f>
      </c>
      <c r="D91" s="8"/>
      <c r="E91" s="8"/>
      <c r="F91" s="7">
        <f>IF($D91="","",IF(AND(LEN(TRIM(UPPER(E91)))=10,CODE(MID(TRIM(UPPER(E91)),1,1))&gt;=65,CODE(MID(TRIM(UPPER(E91)),1,1))&lt;=90,CODE(MID(TRIM(UPPER(E91)),2,1))&gt;=65,CODE(MID(TRIM(UPPER(E91)),2,1))&lt;=90,CODE(MID(TRIM(UPPER(E91)),3,1))&gt;=65,CODE(MID(TRIM(UPPER(E91)),3,1))&lt;=90,CODE(MID(TRIM(UPPER(E91)),4,1))&gt;=65,CODE(MID(TRIM(UPPER(E91)),4,1))&lt;=90,CODE(MID(TRIM(UPPER(E91)),5,1))&gt;=65,CODE(MID(TRIM(UPPER(E91)),5,1))&lt;=90,CODE(MID(TRIM(UPPER(E91)),10,1))&gt;=65,CODE(MID(TRIM(UPPER(E91)),10,1))&lt;=90,CODE(MID(TRIM(UPPER(E91)),6,1))&gt;=48,CODE(MID(TRIM(UPPER(E91)),6,1))&lt;=57,CODE(MID(TRIM(UPPER(E91)),7,1))&gt;=48,CODE(MID(TRIM(UPPER(E91)),7,1))&lt;=57,CODE(MID(TRIM(UPPER(E91)),8,1))&gt;=48,CODE(MID(TRIM(UPPER(E91)),8,1))&lt;=57,CODE(MID(TRIM(UPPER(E91)),9,1))&gt;=48,CODE(MID(TRIM(UPPER(E91)),9,1))&lt;=57),"N","Y"))</f>
      </c>
      <c r="G91" s="7">
        <f>IF($D91="","",IF(LEN(E91)&lt;4,"",IF(UPPER(MID(E91,4,1))="P","Individual",IF(UPPER(MID(E91,4,1))="H","HUF",IF(UPPER(MID(E91,4,1))="C","Company",IF(UPPER(MID(E91,4,1))="F","Firm",IF(UPPER(MID(E91,4,1))="L","LLP",IF(UPPER(MID(E91,4,1))="T","Trust",IF(UPPER(MID(E91,4,1))="A","AOP","")))))))))</f>
      </c>
      <c r="H91" s="8"/>
      <c r="I91" s="7">
        <f>IF($D91="","",IF(H91="","",IF(F91="Y",SUMPRODUCT(('Rate Lookup'!$A$1:$A$37=H91)*'Rate Lookup'!$D$1:$D$37),IF(OR(G91="Individual",G91="HUF"),SUMPRODUCT(('Rate Lookup'!$A$1:$A$37=H91)*'Rate Lookup'!$B$1:$B$37),SUMPRODUCT(('Rate Lookup'!$A$1:$A$37=H91)*'Rate Lookup'!$C$1:$C$37)))))</f>
      </c>
      <c r="J91" s="8"/>
      <c r="K91" s="8"/>
      <c r="L91" s="7">
        <f>IF($D91="","",ROUND(K91*I91/100,0))</f>
      </c>
      <c r="M91" s="7">
        <f>IF($D91="","",0)</f>
      </c>
      <c r="N91" s="7">
        <f>IF($D91="","",0)</f>
      </c>
      <c r="O91" s="7">
        <f>IF($D91="","",IF(OR(L91=0,J91="",IFERROR(INDEX('Challan Master'!$D$4:$D$207,MATCH($B91,'Challan Master'!$S$4:$S$207,0)),"")="",IFERROR(INDEX('Challan Master'!$D$4:$D$207,MATCH($B91,'Challan Master'!$S$4:$S$207,0)),"")&lt;=0),0,IF(IFERROR(INDEX('Challan Master'!$D$4:$D$207,MATCH($B91,'Challan Master'!$S$4:$S$207,0)),"")&lt;=DATE(YEAR(J91),MONTH(J91)+1,7),0,ROUND(L91*0.015*((YEAR(IFERROR(INDEX('Challan Master'!$D$4:$D$207,MATCH($B91,'Challan Master'!$S$4:$S$207,0)),""))-YEAR(J91))*12+(MONTH(IFERROR(INDEX('Challan Master'!$D$4:$D$207,MATCH($B91,'Challan Master'!$S$4:$S$207,0)),""))-MONTH(J91))+1),0))))</f>
      </c>
      <c r="P91" s="7">
        <f>IF($D91="","",0)</f>
      </c>
      <c r="Q91" s="8"/>
      <c r="R91" s="8"/>
      <c r="S91" s="8"/>
      <c r="T91" s="8"/>
      <c r="U91" s="8"/>
      <c r="V91" s="7">
        <f>IF($B91="","",IFERROR(INDEX('Challan Master'!$AA$4:$AA$207,MATCH($B91,'Challan Master'!$S$4:$S$207,0)),""))</f>
      </c>
    </row>
    <row r="92" spans="1:22" x14ac:dyDescent="0.25">
      <c r="A92" s="7">
        <f>IF($D92="","",COUNTIF($D$4:$D92,"&lt;&gt;"))</f>
      </c>
      <c r="B92" s="8"/>
      <c r="C92" s="7">
        <f>IF($B92="","","BSR "&amp;IFERROR(INDEX('Challan Master'!$B$4:$B$207,MATCH($B92,'Challan Master'!$S$4:$S$207,0)),"")&amp;" | Serial "&amp;IFERROR(INDEX('Challan Master'!$C$4:$C$207,MATCH($B92,'Challan Master'!$S$4:$S$207,0)),"")&amp;" | Deposit "&amp;TEXT(IFERROR(INDEX('Challan Master'!$D$4:$D$207,MATCH($B92,'Challan Master'!$S$4:$S$207,0)),""),"dd-mm-yyyy")&amp;" | Minor Head "&amp;IFERROR(INDEX('Challan Master'!$E$4:$E$207,MATCH($B92,'Challan Master'!$S$4:$S$207,0)),"")&amp;" | Tax ₹"&amp;TEXT(IFERROR(INDEX('Challan Master'!$G$4:$G$207,MATCH($B92,'Challan Master'!$S$4:$S$207,0)),""),"#,##0")&amp;" | Section "&amp;IFERROR(INDEX('Challan Master'!$F$4:$F$207,MATCH($B92,'Challan Master'!$S$4:$S$207,0)),""))</f>
      </c>
      <c r="D92" s="8"/>
      <c r="E92" s="8"/>
      <c r="F92" s="7">
        <f>IF($D92="","",IF(AND(LEN(TRIM(UPPER(E92)))=10,CODE(MID(TRIM(UPPER(E92)),1,1))&gt;=65,CODE(MID(TRIM(UPPER(E92)),1,1))&lt;=90,CODE(MID(TRIM(UPPER(E92)),2,1))&gt;=65,CODE(MID(TRIM(UPPER(E92)),2,1))&lt;=90,CODE(MID(TRIM(UPPER(E92)),3,1))&gt;=65,CODE(MID(TRIM(UPPER(E92)),3,1))&lt;=90,CODE(MID(TRIM(UPPER(E92)),4,1))&gt;=65,CODE(MID(TRIM(UPPER(E92)),4,1))&lt;=90,CODE(MID(TRIM(UPPER(E92)),5,1))&gt;=65,CODE(MID(TRIM(UPPER(E92)),5,1))&lt;=90,CODE(MID(TRIM(UPPER(E92)),10,1))&gt;=65,CODE(MID(TRIM(UPPER(E92)),10,1))&lt;=90,CODE(MID(TRIM(UPPER(E92)),6,1))&gt;=48,CODE(MID(TRIM(UPPER(E92)),6,1))&lt;=57,CODE(MID(TRIM(UPPER(E92)),7,1))&gt;=48,CODE(MID(TRIM(UPPER(E92)),7,1))&lt;=57,CODE(MID(TRIM(UPPER(E92)),8,1))&gt;=48,CODE(MID(TRIM(UPPER(E92)),8,1))&lt;=57,CODE(MID(TRIM(UPPER(E92)),9,1))&gt;=48,CODE(MID(TRIM(UPPER(E92)),9,1))&lt;=57),"N","Y"))</f>
      </c>
      <c r="G92" s="7">
        <f>IF($D92="","",IF(LEN(E92)&lt;4,"",IF(UPPER(MID(E92,4,1))="P","Individual",IF(UPPER(MID(E92,4,1))="H","HUF",IF(UPPER(MID(E92,4,1))="C","Company",IF(UPPER(MID(E92,4,1))="F","Firm",IF(UPPER(MID(E92,4,1))="L","LLP",IF(UPPER(MID(E92,4,1))="T","Trust",IF(UPPER(MID(E92,4,1))="A","AOP","")))))))))</f>
      </c>
      <c r="H92" s="8"/>
      <c r="I92" s="7">
        <f>IF($D92="","",IF(H92="","",IF(F92="Y",SUMPRODUCT(('Rate Lookup'!$A$1:$A$37=H92)*'Rate Lookup'!$D$1:$D$37),IF(OR(G92="Individual",G92="HUF"),SUMPRODUCT(('Rate Lookup'!$A$1:$A$37=H92)*'Rate Lookup'!$B$1:$B$37),SUMPRODUCT(('Rate Lookup'!$A$1:$A$37=H92)*'Rate Lookup'!$C$1:$C$37)))))</f>
      </c>
      <c r="J92" s="8"/>
      <c r="K92" s="8"/>
      <c r="L92" s="7">
        <f>IF($D92="","",ROUND(K92*I92/100,0))</f>
      </c>
      <c r="M92" s="7">
        <f>IF($D92="","",0)</f>
      </c>
      <c r="N92" s="7">
        <f>IF($D92="","",0)</f>
      </c>
      <c r="O92" s="7">
        <f>IF($D92="","",IF(OR(L92=0,J92="",IFERROR(INDEX('Challan Master'!$D$4:$D$207,MATCH($B92,'Challan Master'!$S$4:$S$207,0)),"")="",IFERROR(INDEX('Challan Master'!$D$4:$D$207,MATCH($B92,'Challan Master'!$S$4:$S$207,0)),"")&lt;=0),0,IF(IFERROR(INDEX('Challan Master'!$D$4:$D$207,MATCH($B92,'Challan Master'!$S$4:$S$207,0)),"")&lt;=DATE(YEAR(J92),MONTH(J92)+1,7),0,ROUND(L92*0.015*((YEAR(IFERROR(INDEX('Challan Master'!$D$4:$D$207,MATCH($B92,'Challan Master'!$S$4:$S$207,0)),""))-YEAR(J92))*12+(MONTH(IFERROR(INDEX('Challan Master'!$D$4:$D$207,MATCH($B92,'Challan Master'!$S$4:$S$207,0)),""))-MONTH(J92))+1),0))))</f>
      </c>
      <c r="P92" s="7">
        <f>IF($D92="","",0)</f>
      </c>
      <c r="Q92" s="8"/>
      <c r="R92" s="8"/>
      <c r="S92" s="8"/>
      <c r="T92" s="8"/>
      <c r="U92" s="8"/>
      <c r="V92" s="7">
        <f>IF($B92="","",IFERROR(INDEX('Challan Master'!$AA$4:$AA$207,MATCH($B92,'Challan Master'!$S$4:$S$207,0)),""))</f>
      </c>
    </row>
    <row r="93" spans="1:22" x14ac:dyDescent="0.25">
      <c r="A93" s="7">
        <f>IF($D93="","",COUNTIF($D$4:$D93,"&lt;&gt;"))</f>
      </c>
      <c r="B93" s="8"/>
      <c r="C93" s="7">
        <f>IF($B93="","","BSR "&amp;IFERROR(INDEX('Challan Master'!$B$4:$B$207,MATCH($B93,'Challan Master'!$S$4:$S$207,0)),"")&amp;" | Serial "&amp;IFERROR(INDEX('Challan Master'!$C$4:$C$207,MATCH($B93,'Challan Master'!$S$4:$S$207,0)),"")&amp;" | Deposit "&amp;TEXT(IFERROR(INDEX('Challan Master'!$D$4:$D$207,MATCH($B93,'Challan Master'!$S$4:$S$207,0)),""),"dd-mm-yyyy")&amp;" | Minor Head "&amp;IFERROR(INDEX('Challan Master'!$E$4:$E$207,MATCH($B93,'Challan Master'!$S$4:$S$207,0)),"")&amp;" | Tax ₹"&amp;TEXT(IFERROR(INDEX('Challan Master'!$G$4:$G$207,MATCH($B93,'Challan Master'!$S$4:$S$207,0)),""),"#,##0")&amp;" | Section "&amp;IFERROR(INDEX('Challan Master'!$F$4:$F$207,MATCH($B93,'Challan Master'!$S$4:$S$207,0)),""))</f>
      </c>
      <c r="D93" s="8"/>
      <c r="E93" s="8"/>
      <c r="F93" s="7">
        <f>IF($D93="","",IF(AND(LEN(TRIM(UPPER(E93)))=10,CODE(MID(TRIM(UPPER(E93)),1,1))&gt;=65,CODE(MID(TRIM(UPPER(E93)),1,1))&lt;=90,CODE(MID(TRIM(UPPER(E93)),2,1))&gt;=65,CODE(MID(TRIM(UPPER(E93)),2,1))&lt;=90,CODE(MID(TRIM(UPPER(E93)),3,1))&gt;=65,CODE(MID(TRIM(UPPER(E93)),3,1))&lt;=90,CODE(MID(TRIM(UPPER(E93)),4,1))&gt;=65,CODE(MID(TRIM(UPPER(E93)),4,1))&lt;=90,CODE(MID(TRIM(UPPER(E93)),5,1))&gt;=65,CODE(MID(TRIM(UPPER(E93)),5,1))&lt;=90,CODE(MID(TRIM(UPPER(E93)),10,1))&gt;=65,CODE(MID(TRIM(UPPER(E93)),10,1))&lt;=90,CODE(MID(TRIM(UPPER(E93)),6,1))&gt;=48,CODE(MID(TRIM(UPPER(E93)),6,1))&lt;=57,CODE(MID(TRIM(UPPER(E93)),7,1))&gt;=48,CODE(MID(TRIM(UPPER(E93)),7,1))&lt;=57,CODE(MID(TRIM(UPPER(E93)),8,1))&gt;=48,CODE(MID(TRIM(UPPER(E93)),8,1))&lt;=57,CODE(MID(TRIM(UPPER(E93)),9,1))&gt;=48,CODE(MID(TRIM(UPPER(E93)),9,1))&lt;=57),"N","Y"))</f>
      </c>
      <c r="G93" s="7">
        <f>IF($D93="","",IF(LEN(E93)&lt;4,"",IF(UPPER(MID(E93,4,1))="P","Individual",IF(UPPER(MID(E93,4,1))="H","HUF",IF(UPPER(MID(E93,4,1))="C","Company",IF(UPPER(MID(E93,4,1))="F","Firm",IF(UPPER(MID(E93,4,1))="L","LLP",IF(UPPER(MID(E93,4,1))="T","Trust",IF(UPPER(MID(E93,4,1))="A","AOP","")))))))))</f>
      </c>
      <c r="H93" s="8"/>
      <c r="I93" s="7">
        <f>IF($D93="","",IF(H93="","",IF(F93="Y",SUMPRODUCT(('Rate Lookup'!$A$1:$A$37=H93)*'Rate Lookup'!$D$1:$D$37),IF(OR(G93="Individual",G93="HUF"),SUMPRODUCT(('Rate Lookup'!$A$1:$A$37=H93)*'Rate Lookup'!$B$1:$B$37),SUMPRODUCT(('Rate Lookup'!$A$1:$A$37=H93)*'Rate Lookup'!$C$1:$C$37)))))</f>
      </c>
      <c r="J93" s="8"/>
      <c r="K93" s="8"/>
      <c r="L93" s="7">
        <f>IF($D93="","",ROUND(K93*I93/100,0))</f>
      </c>
      <c r="M93" s="7">
        <f>IF($D93="","",0)</f>
      </c>
      <c r="N93" s="7">
        <f>IF($D93="","",0)</f>
      </c>
      <c r="O93" s="7">
        <f>IF($D93="","",IF(OR(L93=0,J93="",IFERROR(INDEX('Challan Master'!$D$4:$D$207,MATCH($B93,'Challan Master'!$S$4:$S$207,0)),"")="",IFERROR(INDEX('Challan Master'!$D$4:$D$207,MATCH($B93,'Challan Master'!$S$4:$S$207,0)),"")&lt;=0),0,IF(IFERROR(INDEX('Challan Master'!$D$4:$D$207,MATCH($B93,'Challan Master'!$S$4:$S$207,0)),"")&lt;=DATE(YEAR(J93),MONTH(J93)+1,7),0,ROUND(L93*0.015*((YEAR(IFERROR(INDEX('Challan Master'!$D$4:$D$207,MATCH($B93,'Challan Master'!$S$4:$S$207,0)),""))-YEAR(J93))*12+(MONTH(IFERROR(INDEX('Challan Master'!$D$4:$D$207,MATCH($B93,'Challan Master'!$S$4:$S$207,0)),""))-MONTH(J93))+1),0))))</f>
      </c>
      <c r="P93" s="7">
        <f>IF($D93="","",0)</f>
      </c>
      <c r="Q93" s="8"/>
      <c r="R93" s="8"/>
      <c r="S93" s="8"/>
      <c r="T93" s="8"/>
      <c r="U93" s="8"/>
      <c r="V93" s="7">
        <f>IF($B93="","",IFERROR(INDEX('Challan Master'!$AA$4:$AA$207,MATCH($B93,'Challan Master'!$S$4:$S$207,0)),""))</f>
      </c>
    </row>
    <row r="94" spans="1:22" x14ac:dyDescent="0.25">
      <c r="A94" s="7">
        <f>IF($D94="","",COUNTIF($D$4:$D94,"&lt;&gt;"))</f>
      </c>
      <c r="B94" s="8"/>
      <c r="C94" s="7">
        <f>IF($B94="","","BSR "&amp;IFERROR(INDEX('Challan Master'!$B$4:$B$207,MATCH($B94,'Challan Master'!$S$4:$S$207,0)),"")&amp;" | Serial "&amp;IFERROR(INDEX('Challan Master'!$C$4:$C$207,MATCH($B94,'Challan Master'!$S$4:$S$207,0)),"")&amp;" | Deposit "&amp;TEXT(IFERROR(INDEX('Challan Master'!$D$4:$D$207,MATCH($B94,'Challan Master'!$S$4:$S$207,0)),""),"dd-mm-yyyy")&amp;" | Minor Head "&amp;IFERROR(INDEX('Challan Master'!$E$4:$E$207,MATCH($B94,'Challan Master'!$S$4:$S$207,0)),"")&amp;" | Tax ₹"&amp;TEXT(IFERROR(INDEX('Challan Master'!$G$4:$G$207,MATCH($B94,'Challan Master'!$S$4:$S$207,0)),""),"#,##0")&amp;" | Section "&amp;IFERROR(INDEX('Challan Master'!$F$4:$F$207,MATCH($B94,'Challan Master'!$S$4:$S$207,0)),""))</f>
      </c>
      <c r="D94" s="8"/>
      <c r="E94" s="8"/>
      <c r="F94" s="7">
        <f>IF($D94="","",IF(AND(LEN(TRIM(UPPER(E94)))=10,CODE(MID(TRIM(UPPER(E94)),1,1))&gt;=65,CODE(MID(TRIM(UPPER(E94)),1,1))&lt;=90,CODE(MID(TRIM(UPPER(E94)),2,1))&gt;=65,CODE(MID(TRIM(UPPER(E94)),2,1))&lt;=90,CODE(MID(TRIM(UPPER(E94)),3,1))&gt;=65,CODE(MID(TRIM(UPPER(E94)),3,1))&lt;=90,CODE(MID(TRIM(UPPER(E94)),4,1))&gt;=65,CODE(MID(TRIM(UPPER(E94)),4,1))&lt;=90,CODE(MID(TRIM(UPPER(E94)),5,1))&gt;=65,CODE(MID(TRIM(UPPER(E94)),5,1))&lt;=90,CODE(MID(TRIM(UPPER(E94)),10,1))&gt;=65,CODE(MID(TRIM(UPPER(E94)),10,1))&lt;=90,CODE(MID(TRIM(UPPER(E94)),6,1))&gt;=48,CODE(MID(TRIM(UPPER(E94)),6,1))&lt;=57,CODE(MID(TRIM(UPPER(E94)),7,1))&gt;=48,CODE(MID(TRIM(UPPER(E94)),7,1))&lt;=57,CODE(MID(TRIM(UPPER(E94)),8,1))&gt;=48,CODE(MID(TRIM(UPPER(E94)),8,1))&lt;=57,CODE(MID(TRIM(UPPER(E94)),9,1))&gt;=48,CODE(MID(TRIM(UPPER(E94)),9,1))&lt;=57),"N","Y"))</f>
      </c>
      <c r="G94" s="7">
        <f>IF($D94="","",IF(LEN(E94)&lt;4,"",IF(UPPER(MID(E94,4,1))="P","Individual",IF(UPPER(MID(E94,4,1))="H","HUF",IF(UPPER(MID(E94,4,1))="C","Company",IF(UPPER(MID(E94,4,1))="F","Firm",IF(UPPER(MID(E94,4,1))="L","LLP",IF(UPPER(MID(E94,4,1))="T","Trust",IF(UPPER(MID(E94,4,1))="A","AOP","")))))))))</f>
      </c>
      <c r="H94" s="8"/>
      <c r="I94" s="7">
        <f>IF($D94="","",IF(H94="","",IF(F94="Y",SUMPRODUCT(('Rate Lookup'!$A$1:$A$37=H94)*'Rate Lookup'!$D$1:$D$37),IF(OR(G94="Individual",G94="HUF"),SUMPRODUCT(('Rate Lookup'!$A$1:$A$37=H94)*'Rate Lookup'!$B$1:$B$37),SUMPRODUCT(('Rate Lookup'!$A$1:$A$37=H94)*'Rate Lookup'!$C$1:$C$37)))))</f>
      </c>
      <c r="J94" s="8"/>
      <c r="K94" s="8"/>
      <c r="L94" s="7">
        <f>IF($D94="","",ROUND(K94*I94/100,0))</f>
      </c>
      <c r="M94" s="7">
        <f>IF($D94="","",0)</f>
      </c>
      <c r="N94" s="7">
        <f>IF($D94="","",0)</f>
      </c>
      <c r="O94" s="7">
        <f>IF($D94="","",IF(OR(L94=0,J94="",IFERROR(INDEX('Challan Master'!$D$4:$D$207,MATCH($B94,'Challan Master'!$S$4:$S$207,0)),"")="",IFERROR(INDEX('Challan Master'!$D$4:$D$207,MATCH($B94,'Challan Master'!$S$4:$S$207,0)),"")&lt;=0),0,IF(IFERROR(INDEX('Challan Master'!$D$4:$D$207,MATCH($B94,'Challan Master'!$S$4:$S$207,0)),"")&lt;=DATE(YEAR(J94),MONTH(J94)+1,7),0,ROUND(L94*0.015*((YEAR(IFERROR(INDEX('Challan Master'!$D$4:$D$207,MATCH($B94,'Challan Master'!$S$4:$S$207,0)),""))-YEAR(J94))*12+(MONTH(IFERROR(INDEX('Challan Master'!$D$4:$D$207,MATCH($B94,'Challan Master'!$S$4:$S$207,0)),""))-MONTH(J94))+1),0))))</f>
      </c>
      <c r="P94" s="7">
        <f>IF($D94="","",0)</f>
      </c>
      <c r="Q94" s="8"/>
      <c r="R94" s="8"/>
      <c r="S94" s="8"/>
      <c r="T94" s="8"/>
      <c r="U94" s="8"/>
      <c r="V94" s="7">
        <f>IF($B94="","",IFERROR(INDEX('Challan Master'!$AA$4:$AA$207,MATCH($B94,'Challan Master'!$S$4:$S$207,0)),""))</f>
      </c>
    </row>
    <row r="95" spans="1:22" x14ac:dyDescent="0.25">
      <c r="A95" s="7">
        <f>IF($D95="","",COUNTIF($D$4:$D95,"&lt;&gt;"))</f>
      </c>
      <c r="B95" s="8"/>
      <c r="C95" s="7">
        <f>IF($B95="","","BSR "&amp;IFERROR(INDEX('Challan Master'!$B$4:$B$207,MATCH($B95,'Challan Master'!$S$4:$S$207,0)),"")&amp;" | Serial "&amp;IFERROR(INDEX('Challan Master'!$C$4:$C$207,MATCH($B95,'Challan Master'!$S$4:$S$207,0)),"")&amp;" | Deposit "&amp;TEXT(IFERROR(INDEX('Challan Master'!$D$4:$D$207,MATCH($B95,'Challan Master'!$S$4:$S$207,0)),""),"dd-mm-yyyy")&amp;" | Minor Head "&amp;IFERROR(INDEX('Challan Master'!$E$4:$E$207,MATCH($B95,'Challan Master'!$S$4:$S$207,0)),"")&amp;" | Tax ₹"&amp;TEXT(IFERROR(INDEX('Challan Master'!$G$4:$G$207,MATCH($B95,'Challan Master'!$S$4:$S$207,0)),""),"#,##0")&amp;" | Section "&amp;IFERROR(INDEX('Challan Master'!$F$4:$F$207,MATCH($B95,'Challan Master'!$S$4:$S$207,0)),""))</f>
      </c>
      <c r="D95" s="8"/>
      <c r="E95" s="8"/>
      <c r="F95" s="7">
        <f>IF($D95="","",IF(AND(LEN(TRIM(UPPER(E95)))=10,CODE(MID(TRIM(UPPER(E95)),1,1))&gt;=65,CODE(MID(TRIM(UPPER(E95)),1,1))&lt;=90,CODE(MID(TRIM(UPPER(E95)),2,1))&gt;=65,CODE(MID(TRIM(UPPER(E95)),2,1))&lt;=90,CODE(MID(TRIM(UPPER(E95)),3,1))&gt;=65,CODE(MID(TRIM(UPPER(E95)),3,1))&lt;=90,CODE(MID(TRIM(UPPER(E95)),4,1))&gt;=65,CODE(MID(TRIM(UPPER(E95)),4,1))&lt;=90,CODE(MID(TRIM(UPPER(E95)),5,1))&gt;=65,CODE(MID(TRIM(UPPER(E95)),5,1))&lt;=90,CODE(MID(TRIM(UPPER(E95)),10,1))&gt;=65,CODE(MID(TRIM(UPPER(E95)),10,1))&lt;=90,CODE(MID(TRIM(UPPER(E95)),6,1))&gt;=48,CODE(MID(TRIM(UPPER(E95)),6,1))&lt;=57,CODE(MID(TRIM(UPPER(E95)),7,1))&gt;=48,CODE(MID(TRIM(UPPER(E95)),7,1))&lt;=57,CODE(MID(TRIM(UPPER(E95)),8,1))&gt;=48,CODE(MID(TRIM(UPPER(E95)),8,1))&lt;=57,CODE(MID(TRIM(UPPER(E95)),9,1))&gt;=48,CODE(MID(TRIM(UPPER(E95)),9,1))&lt;=57),"N","Y"))</f>
      </c>
      <c r="G95" s="7">
        <f>IF($D95="","",IF(LEN(E95)&lt;4,"",IF(UPPER(MID(E95,4,1))="P","Individual",IF(UPPER(MID(E95,4,1))="H","HUF",IF(UPPER(MID(E95,4,1))="C","Company",IF(UPPER(MID(E95,4,1))="F","Firm",IF(UPPER(MID(E95,4,1))="L","LLP",IF(UPPER(MID(E95,4,1))="T","Trust",IF(UPPER(MID(E95,4,1))="A","AOP","")))))))))</f>
      </c>
      <c r="H95" s="8"/>
      <c r="I95" s="7">
        <f>IF($D95="","",IF(H95="","",IF(F95="Y",SUMPRODUCT(('Rate Lookup'!$A$1:$A$37=H95)*'Rate Lookup'!$D$1:$D$37),IF(OR(G95="Individual",G95="HUF"),SUMPRODUCT(('Rate Lookup'!$A$1:$A$37=H95)*'Rate Lookup'!$B$1:$B$37),SUMPRODUCT(('Rate Lookup'!$A$1:$A$37=H95)*'Rate Lookup'!$C$1:$C$37)))))</f>
      </c>
      <c r="J95" s="8"/>
      <c r="K95" s="8"/>
      <c r="L95" s="7">
        <f>IF($D95="","",ROUND(K95*I95/100,0))</f>
      </c>
      <c r="M95" s="7">
        <f>IF($D95="","",0)</f>
      </c>
      <c r="N95" s="7">
        <f>IF($D95="","",0)</f>
      </c>
      <c r="O95" s="7">
        <f>IF($D95="","",IF(OR(L95=0,J95="",IFERROR(INDEX('Challan Master'!$D$4:$D$207,MATCH($B95,'Challan Master'!$S$4:$S$207,0)),"")="",IFERROR(INDEX('Challan Master'!$D$4:$D$207,MATCH($B95,'Challan Master'!$S$4:$S$207,0)),"")&lt;=0),0,IF(IFERROR(INDEX('Challan Master'!$D$4:$D$207,MATCH($B95,'Challan Master'!$S$4:$S$207,0)),"")&lt;=DATE(YEAR(J95),MONTH(J95)+1,7),0,ROUND(L95*0.015*((YEAR(IFERROR(INDEX('Challan Master'!$D$4:$D$207,MATCH($B95,'Challan Master'!$S$4:$S$207,0)),""))-YEAR(J95))*12+(MONTH(IFERROR(INDEX('Challan Master'!$D$4:$D$207,MATCH($B95,'Challan Master'!$S$4:$S$207,0)),""))-MONTH(J95))+1),0))))</f>
      </c>
      <c r="P95" s="7">
        <f>IF($D95="","",0)</f>
      </c>
      <c r="Q95" s="8"/>
      <c r="R95" s="8"/>
      <c r="S95" s="8"/>
      <c r="T95" s="8"/>
      <c r="U95" s="8"/>
      <c r="V95" s="7">
        <f>IF($B95="","",IFERROR(INDEX('Challan Master'!$AA$4:$AA$207,MATCH($B95,'Challan Master'!$S$4:$S$207,0)),""))</f>
      </c>
    </row>
    <row r="96" spans="1:22" x14ac:dyDescent="0.25">
      <c r="A96" s="7">
        <f>IF($D96="","",COUNTIF($D$4:$D96,"&lt;&gt;"))</f>
      </c>
      <c r="B96" s="8"/>
      <c r="C96" s="7">
        <f>IF($B96="","","BSR "&amp;IFERROR(INDEX('Challan Master'!$B$4:$B$207,MATCH($B96,'Challan Master'!$S$4:$S$207,0)),"")&amp;" | Serial "&amp;IFERROR(INDEX('Challan Master'!$C$4:$C$207,MATCH($B96,'Challan Master'!$S$4:$S$207,0)),"")&amp;" | Deposit "&amp;TEXT(IFERROR(INDEX('Challan Master'!$D$4:$D$207,MATCH($B96,'Challan Master'!$S$4:$S$207,0)),""),"dd-mm-yyyy")&amp;" | Minor Head "&amp;IFERROR(INDEX('Challan Master'!$E$4:$E$207,MATCH($B96,'Challan Master'!$S$4:$S$207,0)),"")&amp;" | Tax ₹"&amp;TEXT(IFERROR(INDEX('Challan Master'!$G$4:$G$207,MATCH($B96,'Challan Master'!$S$4:$S$207,0)),""),"#,##0")&amp;" | Section "&amp;IFERROR(INDEX('Challan Master'!$F$4:$F$207,MATCH($B96,'Challan Master'!$S$4:$S$207,0)),""))</f>
      </c>
      <c r="D96" s="8"/>
      <c r="E96" s="8"/>
      <c r="F96" s="7">
        <f>IF($D96="","",IF(AND(LEN(TRIM(UPPER(E96)))=10,CODE(MID(TRIM(UPPER(E96)),1,1))&gt;=65,CODE(MID(TRIM(UPPER(E96)),1,1))&lt;=90,CODE(MID(TRIM(UPPER(E96)),2,1))&gt;=65,CODE(MID(TRIM(UPPER(E96)),2,1))&lt;=90,CODE(MID(TRIM(UPPER(E96)),3,1))&gt;=65,CODE(MID(TRIM(UPPER(E96)),3,1))&lt;=90,CODE(MID(TRIM(UPPER(E96)),4,1))&gt;=65,CODE(MID(TRIM(UPPER(E96)),4,1))&lt;=90,CODE(MID(TRIM(UPPER(E96)),5,1))&gt;=65,CODE(MID(TRIM(UPPER(E96)),5,1))&lt;=90,CODE(MID(TRIM(UPPER(E96)),10,1))&gt;=65,CODE(MID(TRIM(UPPER(E96)),10,1))&lt;=90,CODE(MID(TRIM(UPPER(E96)),6,1))&gt;=48,CODE(MID(TRIM(UPPER(E96)),6,1))&lt;=57,CODE(MID(TRIM(UPPER(E96)),7,1))&gt;=48,CODE(MID(TRIM(UPPER(E96)),7,1))&lt;=57,CODE(MID(TRIM(UPPER(E96)),8,1))&gt;=48,CODE(MID(TRIM(UPPER(E96)),8,1))&lt;=57,CODE(MID(TRIM(UPPER(E96)),9,1))&gt;=48,CODE(MID(TRIM(UPPER(E96)),9,1))&lt;=57),"N","Y"))</f>
      </c>
      <c r="G96" s="7">
        <f>IF($D96="","",IF(LEN(E96)&lt;4,"",IF(UPPER(MID(E96,4,1))="P","Individual",IF(UPPER(MID(E96,4,1))="H","HUF",IF(UPPER(MID(E96,4,1))="C","Company",IF(UPPER(MID(E96,4,1))="F","Firm",IF(UPPER(MID(E96,4,1))="L","LLP",IF(UPPER(MID(E96,4,1))="T","Trust",IF(UPPER(MID(E96,4,1))="A","AOP","")))))))))</f>
      </c>
      <c r="H96" s="8"/>
      <c r="I96" s="7">
        <f>IF($D96="","",IF(H96="","",IF(F96="Y",SUMPRODUCT(('Rate Lookup'!$A$1:$A$37=H96)*'Rate Lookup'!$D$1:$D$37),IF(OR(G96="Individual",G96="HUF"),SUMPRODUCT(('Rate Lookup'!$A$1:$A$37=H96)*'Rate Lookup'!$B$1:$B$37),SUMPRODUCT(('Rate Lookup'!$A$1:$A$37=H96)*'Rate Lookup'!$C$1:$C$37)))))</f>
      </c>
      <c r="J96" s="8"/>
      <c r="K96" s="8"/>
      <c r="L96" s="7">
        <f>IF($D96="","",ROUND(K96*I96/100,0))</f>
      </c>
      <c r="M96" s="7">
        <f>IF($D96="","",0)</f>
      </c>
      <c r="N96" s="7">
        <f>IF($D96="","",0)</f>
      </c>
      <c r="O96" s="7">
        <f>IF($D96="","",IF(OR(L96=0,J96="",IFERROR(INDEX('Challan Master'!$D$4:$D$207,MATCH($B96,'Challan Master'!$S$4:$S$207,0)),"")="",IFERROR(INDEX('Challan Master'!$D$4:$D$207,MATCH($B96,'Challan Master'!$S$4:$S$207,0)),"")&lt;=0),0,IF(IFERROR(INDEX('Challan Master'!$D$4:$D$207,MATCH($B96,'Challan Master'!$S$4:$S$207,0)),"")&lt;=DATE(YEAR(J96),MONTH(J96)+1,7),0,ROUND(L96*0.015*((YEAR(IFERROR(INDEX('Challan Master'!$D$4:$D$207,MATCH($B96,'Challan Master'!$S$4:$S$207,0)),""))-YEAR(J96))*12+(MONTH(IFERROR(INDEX('Challan Master'!$D$4:$D$207,MATCH($B96,'Challan Master'!$S$4:$S$207,0)),""))-MONTH(J96))+1),0))))</f>
      </c>
      <c r="P96" s="7">
        <f>IF($D96="","",0)</f>
      </c>
      <c r="Q96" s="8"/>
      <c r="R96" s="8"/>
      <c r="S96" s="8"/>
      <c r="T96" s="8"/>
      <c r="U96" s="8"/>
      <c r="V96" s="7">
        <f>IF($B96="","",IFERROR(INDEX('Challan Master'!$AA$4:$AA$207,MATCH($B96,'Challan Master'!$S$4:$S$207,0)),""))</f>
      </c>
    </row>
    <row r="97" spans="1:22" x14ac:dyDescent="0.25">
      <c r="A97" s="7">
        <f>IF($D97="","",COUNTIF($D$4:$D97,"&lt;&gt;"))</f>
      </c>
      <c r="B97" s="8"/>
      <c r="C97" s="7">
        <f>IF($B97="","","BSR "&amp;IFERROR(INDEX('Challan Master'!$B$4:$B$207,MATCH($B97,'Challan Master'!$S$4:$S$207,0)),"")&amp;" | Serial "&amp;IFERROR(INDEX('Challan Master'!$C$4:$C$207,MATCH($B97,'Challan Master'!$S$4:$S$207,0)),"")&amp;" | Deposit "&amp;TEXT(IFERROR(INDEX('Challan Master'!$D$4:$D$207,MATCH($B97,'Challan Master'!$S$4:$S$207,0)),""),"dd-mm-yyyy")&amp;" | Minor Head "&amp;IFERROR(INDEX('Challan Master'!$E$4:$E$207,MATCH($B97,'Challan Master'!$S$4:$S$207,0)),"")&amp;" | Tax ₹"&amp;TEXT(IFERROR(INDEX('Challan Master'!$G$4:$G$207,MATCH($B97,'Challan Master'!$S$4:$S$207,0)),""),"#,##0")&amp;" | Section "&amp;IFERROR(INDEX('Challan Master'!$F$4:$F$207,MATCH($B97,'Challan Master'!$S$4:$S$207,0)),""))</f>
      </c>
      <c r="D97" s="8"/>
      <c r="E97" s="8"/>
      <c r="F97" s="7">
        <f>IF($D97="","",IF(AND(LEN(TRIM(UPPER(E97)))=10,CODE(MID(TRIM(UPPER(E97)),1,1))&gt;=65,CODE(MID(TRIM(UPPER(E97)),1,1))&lt;=90,CODE(MID(TRIM(UPPER(E97)),2,1))&gt;=65,CODE(MID(TRIM(UPPER(E97)),2,1))&lt;=90,CODE(MID(TRIM(UPPER(E97)),3,1))&gt;=65,CODE(MID(TRIM(UPPER(E97)),3,1))&lt;=90,CODE(MID(TRIM(UPPER(E97)),4,1))&gt;=65,CODE(MID(TRIM(UPPER(E97)),4,1))&lt;=90,CODE(MID(TRIM(UPPER(E97)),5,1))&gt;=65,CODE(MID(TRIM(UPPER(E97)),5,1))&lt;=90,CODE(MID(TRIM(UPPER(E97)),10,1))&gt;=65,CODE(MID(TRIM(UPPER(E97)),10,1))&lt;=90,CODE(MID(TRIM(UPPER(E97)),6,1))&gt;=48,CODE(MID(TRIM(UPPER(E97)),6,1))&lt;=57,CODE(MID(TRIM(UPPER(E97)),7,1))&gt;=48,CODE(MID(TRIM(UPPER(E97)),7,1))&lt;=57,CODE(MID(TRIM(UPPER(E97)),8,1))&gt;=48,CODE(MID(TRIM(UPPER(E97)),8,1))&lt;=57,CODE(MID(TRIM(UPPER(E97)),9,1))&gt;=48,CODE(MID(TRIM(UPPER(E97)),9,1))&lt;=57),"N","Y"))</f>
      </c>
      <c r="G97" s="7">
        <f>IF($D97="","",IF(LEN(E97)&lt;4,"",IF(UPPER(MID(E97,4,1))="P","Individual",IF(UPPER(MID(E97,4,1))="H","HUF",IF(UPPER(MID(E97,4,1))="C","Company",IF(UPPER(MID(E97,4,1))="F","Firm",IF(UPPER(MID(E97,4,1))="L","LLP",IF(UPPER(MID(E97,4,1))="T","Trust",IF(UPPER(MID(E97,4,1))="A","AOP","")))))))))</f>
      </c>
      <c r="H97" s="8"/>
      <c r="I97" s="7">
        <f>IF($D97="","",IF(H97="","",IF(F97="Y",SUMPRODUCT(('Rate Lookup'!$A$1:$A$37=H97)*'Rate Lookup'!$D$1:$D$37),IF(OR(G97="Individual",G97="HUF"),SUMPRODUCT(('Rate Lookup'!$A$1:$A$37=H97)*'Rate Lookup'!$B$1:$B$37),SUMPRODUCT(('Rate Lookup'!$A$1:$A$37=H97)*'Rate Lookup'!$C$1:$C$37)))))</f>
      </c>
      <c r="J97" s="8"/>
      <c r="K97" s="8"/>
      <c r="L97" s="7">
        <f>IF($D97="","",ROUND(K97*I97/100,0))</f>
      </c>
      <c r="M97" s="7">
        <f>IF($D97="","",0)</f>
      </c>
      <c r="N97" s="7">
        <f>IF($D97="","",0)</f>
      </c>
      <c r="O97" s="7">
        <f>IF($D97="","",IF(OR(L97=0,J97="",IFERROR(INDEX('Challan Master'!$D$4:$D$207,MATCH($B97,'Challan Master'!$S$4:$S$207,0)),"")="",IFERROR(INDEX('Challan Master'!$D$4:$D$207,MATCH($B97,'Challan Master'!$S$4:$S$207,0)),"")&lt;=0),0,IF(IFERROR(INDEX('Challan Master'!$D$4:$D$207,MATCH($B97,'Challan Master'!$S$4:$S$207,0)),"")&lt;=DATE(YEAR(J97),MONTH(J97)+1,7),0,ROUND(L97*0.015*((YEAR(IFERROR(INDEX('Challan Master'!$D$4:$D$207,MATCH($B97,'Challan Master'!$S$4:$S$207,0)),""))-YEAR(J97))*12+(MONTH(IFERROR(INDEX('Challan Master'!$D$4:$D$207,MATCH($B97,'Challan Master'!$S$4:$S$207,0)),""))-MONTH(J97))+1),0))))</f>
      </c>
      <c r="P97" s="7">
        <f>IF($D97="","",0)</f>
      </c>
      <c r="Q97" s="8"/>
      <c r="R97" s="8"/>
      <c r="S97" s="8"/>
      <c r="T97" s="8"/>
      <c r="U97" s="8"/>
      <c r="V97" s="7">
        <f>IF($B97="","",IFERROR(INDEX('Challan Master'!$AA$4:$AA$207,MATCH($B97,'Challan Master'!$S$4:$S$207,0)),""))</f>
      </c>
    </row>
    <row r="98" spans="1:22" x14ac:dyDescent="0.25">
      <c r="A98" s="7">
        <f>IF($D98="","",COUNTIF($D$4:$D98,"&lt;&gt;"))</f>
      </c>
      <c r="B98" s="8"/>
      <c r="C98" s="7">
        <f>IF($B98="","","BSR "&amp;IFERROR(INDEX('Challan Master'!$B$4:$B$207,MATCH($B98,'Challan Master'!$S$4:$S$207,0)),"")&amp;" | Serial "&amp;IFERROR(INDEX('Challan Master'!$C$4:$C$207,MATCH($B98,'Challan Master'!$S$4:$S$207,0)),"")&amp;" | Deposit "&amp;TEXT(IFERROR(INDEX('Challan Master'!$D$4:$D$207,MATCH($B98,'Challan Master'!$S$4:$S$207,0)),""),"dd-mm-yyyy")&amp;" | Minor Head "&amp;IFERROR(INDEX('Challan Master'!$E$4:$E$207,MATCH($B98,'Challan Master'!$S$4:$S$207,0)),"")&amp;" | Tax ₹"&amp;TEXT(IFERROR(INDEX('Challan Master'!$G$4:$G$207,MATCH($B98,'Challan Master'!$S$4:$S$207,0)),""),"#,##0")&amp;" | Section "&amp;IFERROR(INDEX('Challan Master'!$F$4:$F$207,MATCH($B98,'Challan Master'!$S$4:$S$207,0)),""))</f>
      </c>
      <c r="D98" s="8"/>
      <c r="E98" s="8"/>
      <c r="F98" s="7">
        <f>IF($D98="","",IF(AND(LEN(TRIM(UPPER(E98)))=10,CODE(MID(TRIM(UPPER(E98)),1,1))&gt;=65,CODE(MID(TRIM(UPPER(E98)),1,1))&lt;=90,CODE(MID(TRIM(UPPER(E98)),2,1))&gt;=65,CODE(MID(TRIM(UPPER(E98)),2,1))&lt;=90,CODE(MID(TRIM(UPPER(E98)),3,1))&gt;=65,CODE(MID(TRIM(UPPER(E98)),3,1))&lt;=90,CODE(MID(TRIM(UPPER(E98)),4,1))&gt;=65,CODE(MID(TRIM(UPPER(E98)),4,1))&lt;=90,CODE(MID(TRIM(UPPER(E98)),5,1))&gt;=65,CODE(MID(TRIM(UPPER(E98)),5,1))&lt;=90,CODE(MID(TRIM(UPPER(E98)),10,1))&gt;=65,CODE(MID(TRIM(UPPER(E98)),10,1))&lt;=90,CODE(MID(TRIM(UPPER(E98)),6,1))&gt;=48,CODE(MID(TRIM(UPPER(E98)),6,1))&lt;=57,CODE(MID(TRIM(UPPER(E98)),7,1))&gt;=48,CODE(MID(TRIM(UPPER(E98)),7,1))&lt;=57,CODE(MID(TRIM(UPPER(E98)),8,1))&gt;=48,CODE(MID(TRIM(UPPER(E98)),8,1))&lt;=57,CODE(MID(TRIM(UPPER(E98)),9,1))&gt;=48,CODE(MID(TRIM(UPPER(E98)),9,1))&lt;=57),"N","Y"))</f>
      </c>
      <c r="G98" s="7">
        <f>IF($D98="","",IF(LEN(E98)&lt;4,"",IF(UPPER(MID(E98,4,1))="P","Individual",IF(UPPER(MID(E98,4,1))="H","HUF",IF(UPPER(MID(E98,4,1))="C","Company",IF(UPPER(MID(E98,4,1))="F","Firm",IF(UPPER(MID(E98,4,1))="L","LLP",IF(UPPER(MID(E98,4,1))="T","Trust",IF(UPPER(MID(E98,4,1))="A","AOP","")))))))))</f>
      </c>
      <c r="H98" s="8"/>
      <c r="I98" s="7">
        <f>IF($D98="","",IF(H98="","",IF(F98="Y",SUMPRODUCT(('Rate Lookup'!$A$1:$A$37=H98)*'Rate Lookup'!$D$1:$D$37),IF(OR(G98="Individual",G98="HUF"),SUMPRODUCT(('Rate Lookup'!$A$1:$A$37=H98)*'Rate Lookup'!$B$1:$B$37),SUMPRODUCT(('Rate Lookup'!$A$1:$A$37=H98)*'Rate Lookup'!$C$1:$C$37)))))</f>
      </c>
      <c r="J98" s="8"/>
      <c r="K98" s="8"/>
      <c r="L98" s="7">
        <f>IF($D98="","",ROUND(K98*I98/100,0))</f>
      </c>
      <c r="M98" s="7">
        <f>IF($D98="","",0)</f>
      </c>
      <c r="N98" s="7">
        <f>IF($D98="","",0)</f>
      </c>
      <c r="O98" s="7">
        <f>IF($D98="","",IF(OR(L98=0,J98="",IFERROR(INDEX('Challan Master'!$D$4:$D$207,MATCH($B98,'Challan Master'!$S$4:$S$207,0)),"")="",IFERROR(INDEX('Challan Master'!$D$4:$D$207,MATCH($B98,'Challan Master'!$S$4:$S$207,0)),"")&lt;=0),0,IF(IFERROR(INDEX('Challan Master'!$D$4:$D$207,MATCH($B98,'Challan Master'!$S$4:$S$207,0)),"")&lt;=DATE(YEAR(J98),MONTH(J98)+1,7),0,ROUND(L98*0.015*((YEAR(IFERROR(INDEX('Challan Master'!$D$4:$D$207,MATCH($B98,'Challan Master'!$S$4:$S$207,0)),""))-YEAR(J98))*12+(MONTH(IFERROR(INDEX('Challan Master'!$D$4:$D$207,MATCH($B98,'Challan Master'!$S$4:$S$207,0)),""))-MONTH(J98))+1),0))))</f>
      </c>
      <c r="P98" s="7">
        <f>IF($D98="","",0)</f>
      </c>
      <c r="Q98" s="8"/>
      <c r="R98" s="8"/>
      <c r="S98" s="8"/>
      <c r="T98" s="8"/>
      <c r="U98" s="8"/>
      <c r="V98" s="7">
        <f>IF($B98="","",IFERROR(INDEX('Challan Master'!$AA$4:$AA$207,MATCH($B98,'Challan Master'!$S$4:$S$207,0)),""))</f>
      </c>
    </row>
    <row r="99" spans="1:22" x14ac:dyDescent="0.25">
      <c r="A99" s="7">
        <f>IF($D99="","",COUNTIF($D$4:$D99,"&lt;&gt;"))</f>
      </c>
      <c r="B99" s="8"/>
      <c r="C99" s="7">
        <f>IF($B99="","","BSR "&amp;IFERROR(INDEX('Challan Master'!$B$4:$B$207,MATCH($B99,'Challan Master'!$S$4:$S$207,0)),"")&amp;" | Serial "&amp;IFERROR(INDEX('Challan Master'!$C$4:$C$207,MATCH($B99,'Challan Master'!$S$4:$S$207,0)),"")&amp;" | Deposit "&amp;TEXT(IFERROR(INDEX('Challan Master'!$D$4:$D$207,MATCH($B99,'Challan Master'!$S$4:$S$207,0)),""),"dd-mm-yyyy")&amp;" | Minor Head "&amp;IFERROR(INDEX('Challan Master'!$E$4:$E$207,MATCH($B99,'Challan Master'!$S$4:$S$207,0)),"")&amp;" | Tax ₹"&amp;TEXT(IFERROR(INDEX('Challan Master'!$G$4:$G$207,MATCH($B99,'Challan Master'!$S$4:$S$207,0)),""),"#,##0")&amp;" | Section "&amp;IFERROR(INDEX('Challan Master'!$F$4:$F$207,MATCH($B99,'Challan Master'!$S$4:$S$207,0)),""))</f>
      </c>
      <c r="D99" s="8"/>
      <c r="E99" s="8"/>
      <c r="F99" s="7">
        <f>IF($D99="","",IF(AND(LEN(TRIM(UPPER(E99)))=10,CODE(MID(TRIM(UPPER(E99)),1,1))&gt;=65,CODE(MID(TRIM(UPPER(E99)),1,1))&lt;=90,CODE(MID(TRIM(UPPER(E99)),2,1))&gt;=65,CODE(MID(TRIM(UPPER(E99)),2,1))&lt;=90,CODE(MID(TRIM(UPPER(E99)),3,1))&gt;=65,CODE(MID(TRIM(UPPER(E99)),3,1))&lt;=90,CODE(MID(TRIM(UPPER(E99)),4,1))&gt;=65,CODE(MID(TRIM(UPPER(E99)),4,1))&lt;=90,CODE(MID(TRIM(UPPER(E99)),5,1))&gt;=65,CODE(MID(TRIM(UPPER(E99)),5,1))&lt;=90,CODE(MID(TRIM(UPPER(E99)),10,1))&gt;=65,CODE(MID(TRIM(UPPER(E99)),10,1))&lt;=90,CODE(MID(TRIM(UPPER(E99)),6,1))&gt;=48,CODE(MID(TRIM(UPPER(E99)),6,1))&lt;=57,CODE(MID(TRIM(UPPER(E99)),7,1))&gt;=48,CODE(MID(TRIM(UPPER(E99)),7,1))&lt;=57,CODE(MID(TRIM(UPPER(E99)),8,1))&gt;=48,CODE(MID(TRIM(UPPER(E99)),8,1))&lt;=57,CODE(MID(TRIM(UPPER(E99)),9,1))&gt;=48,CODE(MID(TRIM(UPPER(E99)),9,1))&lt;=57),"N","Y"))</f>
      </c>
      <c r="G99" s="7">
        <f>IF($D99="","",IF(LEN(E99)&lt;4,"",IF(UPPER(MID(E99,4,1))="P","Individual",IF(UPPER(MID(E99,4,1))="H","HUF",IF(UPPER(MID(E99,4,1))="C","Company",IF(UPPER(MID(E99,4,1))="F","Firm",IF(UPPER(MID(E99,4,1))="L","LLP",IF(UPPER(MID(E99,4,1))="T","Trust",IF(UPPER(MID(E99,4,1))="A","AOP","")))))))))</f>
      </c>
      <c r="H99" s="8"/>
      <c r="I99" s="7">
        <f>IF($D99="","",IF(H99="","",IF(F99="Y",SUMPRODUCT(('Rate Lookup'!$A$1:$A$37=H99)*'Rate Lookup'!$D$1:$D$37),IF(OR(G99="Individual",G99="HUF"),SUMPRODUCT(('Rate Lookup'!$A$1:$A$37=H99)*'Rate Lookup'!$B$1:$B$37),SUMPRODUCT(('Rate Lookup'!$A$1:$A$37=H99)*'Rate Lookup'!$C$1:$C$37)))))</f>
      </c>
      <c r="J99" s="8"/>
      <c r="K99" s="8"/>
      <c r="L99" s="7">
        <f>IF($D99="","",ROUND(K99*I99/100,0))</f>
      </c>
      <c r="M99" s="7">
        <f>IF($D99="","",0)</f>
      </c>
      <c r="N99" s="7">
        <f>IF($D99="","",0)</f>
      </c>
      <c r="O99" s="7">
        <f>IF($D99="","",IF(OR(L99=0,J99="",IFERROR(INDEX('Challan Master'!$D$4:$D$207,MATCH($B99,'Challan Master'!$S$4:$S$207,0)),"")="",IFERROR(INDEX('Challan Master'!$D$4:$D$207,MATCH($B99,'Challan Master'!$S$4:$S$207,0)),"")&lt;=0),0,IF(IFERROR(INDEX('Challan Master'!$D$4:$D$207,MATCH($B99,'Challan Master'!$S$4:$S$207,0)),"")&lt;=DATE(YEAR(J99),MONTH(J99)+1,7),0,ROUND(L99*0.015*((YEAR(IFERROR(INDEX('Challan Master'!$D$4:$D$207,MATCH($B99,'Challan Master'!$S$4:$S$207,0)),""))-YEAR(J99))*12+(MONTH(IFERROR(INDEX('Challan Master'!$D$4:$D$207,MATCH($B99,'Challan Master'!$S$4:$S$207,0)),""))-MONTH(J99))+1),0))))</f>
      </c>
      <c r="P99" s="7">
        <f>IF($D99="","",0)</f>
      </c>
      <c r="Q99" s="8"/>
      <c r="R99" s="8"/>
      <c r="S99" s="8"/>
      <c r="T99" s="8"/>
      <c r="U99" s="8"/>
      <c r="V99" s="7">
        <f>IF($B99="","",IFERROR(INDEX('Challan Master'!$AA$4:$AA$207,MATCH($B99,'Challan Master'!$S$4:$S$207,0)),""))</f>
      </c>
    </row>
    <row r="100" spans="1:22" x14ac:dyDescent="0.25">
      <c r="A100" s="7">
        <f>IF($D100="","",COUNTIF($D$4:$D100,"&lt;&gt;"))</f>
      </c>
      <c r="B100" s="8"/>
      <c r="C100" s="7">
        <f>IF($B100="","","BSR "&amp;IFERROR(INDEX('Challan Master'!$B$4:$B$207,MATCH($B100,'Challan Master'!$S$4:$S$207,0)),"")&amp;" | Serial "&amp;IFERROR(INDEX('Challan Master'!$C$4:$C$207,MATCH($B100,'Challan Master'!$S$4:$S$207,0)),"")&amp;" | Deposit "&amp;TEXT(IFERROR(INDEX('Challan Master'!$D$4:$D$207,MATCH($B100,'Challan Master'!$S$4:$S$207,0)),""),"dd-mm-yyyy")&amp;" | Minor Head "&amp;IFERROR(INDEX('Challan Master'!$E$4:$E$207,MATCH($B100,'Challan Master'!$S$4:$S$207,0)),"")&amp;" | Tax ₹"&amp;TEXT(IFERROR(INDEX('Challan Master'!$G$4:$G$207,MATCH($B100,'Challan Master'!$S$4:$S$207,0)),""),"#,##0")&amp;" | Section "&amp;IFERROR(INDEX('Challan Master'!$F$4:$F$207,MATCH($B100,'Challan Master'!$S$4:$S$207,0)),""))</f>
      </c>
      <c r="D100" s="8"/>
      <c r="E100" s="8"/>
      <c r="F100" s="7">
        <f>IF($D100="","",IF(AND(LEN(TRIM(UPPER(E100)))=10,CODE(MID(TRIM(UPPER(E100)),1,1))&gt;=65,CODE(MID(TRIM(UPPER(E100)),1,1))&lt;=90,CODE(MID(TRIM(UPPER(E100)),2,1))&gt;=65,CODE(MID(TRIM(UPPER(E100)),2,1))&lt;=90,CODE(MID(TRIM(UPPER(E100)),3,1))&gt;=65,CODE(MID(TRIM(UPPER(E100)),3,1))&lt;=90,CODE(MID(TRIM(UPPER(E100)),4,1))&gt;=65,CODE(MID(TRIM(UPPER(E100)),4,1))&lt;=90,CODE(MID(TRIM(UPPER(E100)),5,1))&gt;=65,CODE(MID(TRIM(UPPER(E100)),5,1))&lt;=90,CODE(MID(TRIM(UPPER(E100)),10,1))&gt;=65,CODE(MID(TRIM(UPPER(E100)),10,1))&lt;=90,CODE(MID(TRIM(UPPER(E100)),6,1))&gt;=48,CODE(MID(TRIM(UPPER(E100)),6,1))&lt;=57,CODE(MID(TRIM(UPPER(E100)),7,1))&gt;=48,CODE(MID(TRIM(UPPER(E100)),7,1))&lt;=57,CODE(MID(TRIM(UPPER(E100)),8,1))&gt;=48,CODE(MID(TRIM(UPPER(E100)),8,1))&lt;=57,CODE(MID(TRIM(UPPER(E100)),9,1))&gt;=48,CODE(MID(TRIM(UPPER(E100)),9,1))&lt;=57),"N","Y"))</f>
      </c>
      <c r="G100" s="7">
        <f>IF($D100="","",IF(LEN(E100)&lt;4,"",IF(UPPER(MID(E100,4,1))="P","Individual",IF(UPPER(MID(E100,4,1))="H","HUF",IF(UPPER(MID(E100,4,1))="C","Company",IF(UPPER(MID(E100,4,1))="F","Firm",IF(UPPER(MID(E100,4,1))="L","LLP",IF(UPPER(MID(E100,4,1))="T","Trust",IF(UPPER(MID(E100,4,1))="A","AOP","")))))))))</f>
      </c>
      <c r="H100" s="8"/>
      <c r="I100" s="7">
        <f>IF($D100="","",IF(H100="","",IF(F100="Y",SUMPRODUCT(('Rate Lookup'!$A$1:$A$37=H100)*'Rate Lookup'!$D$1:$D$37),IF(OR(G100="Individual",G100="HUF"),SUMPRODUCT(('Rate Lookup'!$A$1:$A$37=H100)*'Rate Lookup'!$B$1:$B$37),SUMPRODUCT(('Rate Lookup'!$A$1:$A$37=H100)*'Rate Lookup'!$C$1:$C$37)))))</f>
      </c>
      <c r="J100" s="8"/>
      <c r="K100" s="8"/>
      <c r="L100" s="7">
        <f>IF($D100="","",ROUND(K100*I100/100,0))</f>
      </c>
      <c r="M100" s="7">
        <f>IF($D100="","",0)</f>
      </c>
      <c r="N100" s="7">
        <f>IF($D100="","",0)</f>
      </c>
      <c r="O100" s="7">
        <f>IF($D100="","",IF(OR(L100=0,J100="",IFERROR(INDEX('Challan Master'!$D$4:$D$207,MATCH($B100,'Challan Master'!$S$4:$S$207,0)),"")="",IFERROR(INDEX('Challan Master'!$D$4:$D$207,MATCH($B100,'Challan Master'!$S$4:$S$207,0)),"")&lt;=0),0,IF(IFERROR(INDEX('Challan Master'!$D$4:$D$207,MATCH($B100,'Challan Master'!$S$4:$S$207,0)),"")&lt;=DATE(YEAR(J100),MONTH(J100)+1,7),0,ROUND(L100*0.015*((YEAR(IFERROR(INDEX('Challan Master'!$D$4:$D$207,MATCH($B100,'Challan Master'!$S$4:$S$207,0)),""))-YEAR(J100))*12+(MONTH(IFERROR(INDEX('Challan Master'!$D$4:$D$207,MATCH($B100,'Challan Master'!$S$4:$S$207,0)),""))-MONTH(J100))+1),0))))</f>
      </c>
      <c r="P100" s="7">
        <f>IF($D100="","",0)</f>
      </c>
      <c r="Q100" s="8"/>
      <c r="R100" s="8"/>
      <c r="S100" s="8"/>
      <c r="T100" s="8"/>
      <c r="U100" s="8"/>
      <c r="V100" s="7">
        <f>IF($B100="","",IFERROR(INDEX('Challan Master'!$AA$4:$AA$207,MATCH($B100,'Challan Master'!$S$4:$S$207,0)),""))</f>
      </c>
    </row>
    <row r="101" spans="1:22" x14ac:dyDescent="0.25">
      <c r="A101" s="7">
        <f>IF($D101="","",COUNTIF($D$4:$D101,"&lt;&gt;"))</f>
      </c>
      <c r="B101" s="8"/>
      <c r="C101" s="7">
        <f>IF($B101="","","BSR "&amp;IFERROR(INDEX('Challan Master'!$B$4:$B$207,MATCH($B101,'Challan Master'!$S$4:$S$207,0)),"")&amp;" | Serial "&amp;IFERROR(INDEX('Challan Master'!$C$4:$C$207,MATCH($B101,'Challan Master'!$S$4:$S$207,0)),"")&amp;" | Deposit "&amp;TEXT(IFERROR(INDEX('Challan Master'!$D$4:$D$207,MATCH($B101,'Challan Master'!$S$4:$S$207,0)),""),"dd-mm-yyyy")&amp;" | Minor Head "&amp;IFERROR(INDEX('Challan Master'!$E$4:$E$207,MATCH($B101,'Challan Master'!$S$4:$S$207,0)),"")&amp;" | Tax ₹"&amp;TEXT(IFERROR(INDEX('Challan Master'!$G$4:$G$207,MATCH($B101,'Challan Master'!$S$4:$S$207,0)),""),"#,##0")&amp;" | Section "&amp;IFERROR(INDEX('Challan Master'!$F$4:$F$207,MATCH($B101,'Challan Master'!$S$4:$S$207,0)),""))</f>
      </c>
      <c r="D101" s="8"/>
      <c r="E101" s="8"/>
      <c r="F101" s="7">
        <f>IF($D101="","",IF(AND(LEN(TRIM(UPPER(E101)))=10,CODE(MID(TRIM(UPPER(E101)),1,1))&gt;=65,CODE(MID(TRIM(UPPER(E101)),1,1))&lt;=90,CODE(MID(TRIM(UPPER(E101)),2,1))&gt;=65,CODE(MID(TRIM(UPPER(E101)),2,1))&lt;=90,CODE(MID(TRIM(UPPER(E101)),3,1))&gt;=65,CODE(MID(TRIM(UPPER(E101)),3,1))&lt;=90,CODE(MID(TRIM(UPPER(E101)),4,1))&gt;=65,CODE(MID(TRIM(UPPER(E101)),4,1))&lt;=90,CODE(MID(TRIM(UPPER(E101)),5,1))&gt;=65,CODE(MID(TRIM(UPPER(E101)),5,1))&lt;=90,CODE(MID(TRIM(UPPER(E101)),10,1))&gt;=65,CODE(MID(TRIM(UPPER(E101)),10,1))&lt;=90,CODE(MID(TRIM(UPPER(E101)),6,1))&gt;=48,CODE(MID(TRIM(UPPER(E101)),6,1))&lt;=57,CODE(MID(TRIM(UPPER(E101)),7,1))&gt;=48,CODE(MID(TRIM(UPPER(E101)),7,1))&lt;=57,CODE(MID(TRIM(UPPER(E101)),8,1))&gt;=48,CODE(MID(TRIM(UPPER(E101)),8,1))&lt;=57,CODE(MID(TRIM(UPPER(E101)),9,1))&gt;=48,CODE(MID(TRIM(UPPER(E101)),9,1))&lt;=57),"N","Y"))</f>
      </c>
      <c r="G101" s="7">
        <f>IF($D101="","",IF(LEN(E101)&lt;4,"",IF(UPPER(MID(E101,4,1))="P","Individual",IF(UPPER(MID(E101,4,1))="H","HUF",IF(UPPER(MID(E101,4,1))="C","Company",IF(UPPER(MID(E101,4,1))="F","Firm",IF(UPPER(MID(E101,4,1))="L","LLP",IF(UPPER(MID(E101,4,1))="T","Trust",IF(UPPER(MID(E101,4,1))="A","AOP","")))))))))</f>
      </c>
      <c r="H101" s="8"/>
      <c r="I101" s="7">
        <f>IF($D101="","",IF(H101="","",IF(F101="Y",SUMPRODUCT(('Rate Lookup'!$A$1:$A$37=H101)*'Rate Lookup'!$D$1:$D$37),IF(OR(G101="Individual",G101="HUF"),SUMPRODUCT(('Rate Lookup'!$A$1:$A$37=H101)*'Rate Lookup'!$B$1:$B$37),SUMPRODUCT(('Rate Lookup'!$A$1:$A$37=H101)*'Rate Lookup'!$C$1:$C$37)))))</f>
      </c>
      <c r="J101" s="8"/>
      <c r="K101" s="8"/>
      <c r="L101" s="7">
        <f>IF($D101="","",ROUND(K101*I101/100,0))</f>
      </c>
      <c r="M101" s="7">
        <f>IF($D101="","",0)</f>
      </c>
      <c r="N101" s="7">
        <f>IF($D101="","",0)</f>
      </c>
      <c r="O101" s="7">
        <f>IF($D101="","",IF(OR(L101=0,J101="",IFERROR(INDEX('Challan Master'!$D$4:$D$207,MATCH($B101,'Challan Master'!$S$4:$S$207,0)),"")="",IFERROR(INDEX('Challan Master'!$D$4:$D$207,MATCH($B101,'Challan Master'!$S$4:$S$207,0)),"")&lt;=0),0,IF(IFERROR(INDEX('Challan Master'!$D$4:$D$207,MATCH($B101,'Challan Master'!$S$4:$S$207,0)),"")&lt;=DATE(YEAR(J101),MONTH(J101)+1,7),0,ROUND(L101*0.015*((YEAR(IFERROR(INDEX('Challan Master'!$D$4:$D$207,MATCH($B101,'Challan Master'!$S$4:$S$207,0)),""))-YEAR(J101))*12+(MONTH(IFERROR(INDEX('Challan Master'!$D$4:$D$207,MATCH($B101,'Challan Master'!$S$4:$S$207,0)),""))-MONTH(J101))+1),0))))</f>
      </c>
      <c r="P101" s="7">
        <f>IF($D101="","",0)</f>
      </c>
      <c r="Q101" s="8"/>
      <c r="R101" s="8"/>
      <c r="S101" s="8"/>
      <c r="T101" s="8"/>
      <c r="U101" s="8"/>
      <c r="V101" s="7">
        <f>IF($B101="","",IFERROR(INDEX('Challan Master'!$AA$4:$AA$207,MATCH($B101,'Challan Master'!$S$4:$S$207,0)),""))</f>
      </c>
    </row>
    <row r="102" spans="1:22" x14ac:dyDescent="0.25">
      <c r="A102" s="7">
        <f>IF($D102="","",COUNTIF($D$4:$D102,"&lt;&gt;"))</f>
      </c>
      <c r="B102" s="8"/>
      <c r="C102" s="7">
        <f>IF($B102="","","BSR "&amp;IFERROR(INDEX('Challan Master'!$B$4:$B$207,MATCH($B102,'Challan Master'!$S$4:$S$207,0)),"")&amp;" | Serial "&amp;IFERROR(INDEX('Challan Master'!$C$4:$C$207,MATCH($B102,'Challan Master'!$S$4:$S$207,0)),"")&amp;" | Deposit "&amp;TEXT(IFERROR(INDEX('Challan Master'!$D$4:$D$207,MATCH($B102,'Challan Master'!$S$4:$S$207,0)),""),"dd-mm-yyyy")&amp;" | Minor Head "&amp;IFERROR(INDEX('Challan Master'!$E$4:$E$207,MATCH($B102,'Challan Master'!$S$4:$S$207,0)),"")&amp;" | Tax ₹"&amp;TEXT(IFERROR(INDEX('Challan Master'!$G$4:$G$207,MATCH($B102,'Challan Master'!$S$4:$S$207,0)),""),"#,##0")&amp;" | Section "&amp;IFERROR(INDEX('Challan Master'!$F$4:$F$207,MATCH($B102,'Challan Master'!$S$4:$S$207,0)),""))</f>
      </c>
      <c r="D102" s="8"/>
      <c r="E102" s="8"/>
      <c r="F102" s="7">
        <f>IF($D102="","",IF(AND(LEN(TRIM(UPPER(E102)))=10,CODE(MID(TRIM(UPPER(E102)),1,1))&gt;=65,CODE(MID(TRIM(UPPER(E102)),1,1))&lt;=90,CODE(MID(TRIM(UPPER(E102)),2,1))&gt;=65,CODE(MID(TRIM(UPPER(E102)),2,1))&lt;=90,CODE(MID(TRIM(UPPER(E102)),3,1))&gt;=65,CODE(MID(TRIM(UPPER(E102)),3,1))&lt;=90,CODE(MID(TRIM(UPPER(E102)),4,1))&gt;=65,CODE(MID(TRIM(UPPER(E102)),4,1))&lt;=90,CODE(MID(TRIM(UPPER(E102)),5,1))&gt;=65,CODE(MID(TRIM(UPPER(E102)),5,1))&lt;=90,CODE(MID(TRIM(UPPER(E102)),10,1))&gt;=65,CODE(MID(TRIM(UPPER(E102)),10,1))&lt;=90,CODE(MID(TRIM(UPPER(E102)),6,1))&gt;=48,CODE(MID(TRIM(UPPER(E102)),6,1))&lt;=57,CODE(MID(TRIM(UPPER(E102)),7,1))&gt;=48,CODE(MID(TRIM(UPPER(E102)),7,1))&lt;=57,CODE(MID(TRIM(UPPER(E102)),8,1))&gt;=48,CODE(MID(TRIM(UPPER(E102)),8,1))&lt;=57,CODE(MID(TRIM(UPPER(E102)),9,1))&gt;=48,CODE(MID(TRIM(UPPER(E102)),9,1))&lt;=57),"N","Y"))</f>
      </c>
      <c r="G102" s="7">
        <f>IF($D102="","",IF(LEN(E102)&lt;4,"",IF(UPPER(MID(E102,4,1))="P","Individual",IF(UPPER(MID(E102,4,1))="H","HUF",IF(UPPER(MID(E102,4,1))="C","Company",IF(UPPER(MID(E102,4,1))="F","Firm",IF(UPPER(MID(E102,4,1))="L","LLP",IF(UPPER(MID(E102,4,1))="T","Trust",IF(UPPER(MID(E102,4,1))="A","AOP","")))))))))</f>
      </c>
      <c r="H102" s="8"/>
      <c r="I102" s="7">
        <f>IF($D102="","",IF(H102="","",IF(F102="Y",SUMPRODUCT(('Rate Lookup'!$A$1:$A$37=H102)*'Rate Lookup'!$D$1:$D$37),IF(OR(G102="Individual",G102="HUF"),SUMPRODUCT(('Rate Lookup'!$A$1:$A$37=H102)*'Rate Lookup'!$B$1:$B$37),SUMPRODUCT(('Rate Lookup'!$A$1:$A$37=H102)*'Rate Lookup'!$C$1:$C$37)))))</f>
      </c>
      <c r="J102" s="8"/>
      <c r="K102" s="8"/>
      <c r="L102" s="7">
        <f>IF($D102="","",ROUND(K102*I102/100,0))</f>
      </c>
      <c r="M102" s="7">
        <f>IF($D102="","",0)</f>
      </c>
      <c r="N102" s="7">
        <f>IF($D102="","",0)</f>
      </c>
      <c r="O102" s="7">
        <f>IF($D102="","",IF(OR(L102=0,J102="",IFERROR(INDEX('Challan Master'!$D$4:$D$207,MATCH($B102,'Challan Master'!$S$4:$S$207,0)),"")="",IFERROR(INDEX('Challan Master'!$D$4:$D$207,MATCH($B102,'Challan Master'!$S$4:$S$207,0)),"")&lt;=0),0,IF(IFERROR(INDEX('Challan Master'!$D$4:$D$207,MATCH($B102,'Challan Master'!$S$4:$S$207,0)),"")&lt;=DATE(YEAR(J102),MONTH(J102)+1,7),0,ROUND(L102*0.015*((YEAR(IFERROR(INDEX('Challan Master'!$D$4:$D$207,MATCH($B102,'Challan Master'!$S$4:$S$207,0)),""))-YEAR(J102))*12+(MONTH(IFERROR(INDEX('Challan Master'!$D$4:$D$207,MATCH($B102,'Challan Master'!$S$4:$S$207,0)),""))-MONTH(J102))+1),0))))</f>
      </c>
      <c r="P102" s="7">
        <f>IF($D102="","",0)</f>
      </c>
      <c r="Q102" s="8"/>
      <c r="R102" s="8"/>
      <c r="S102" s="8"/>
      <c r="T102" s="8"/>
      <c r="U102" s="8"/>
      <c r="V102" s="7">
        <f>IF($B102="","",IFERROR(INDEX('Challan Master'!$AA$4:$AA$207,MATCH($B102,'Challan Master'!$S$4:$S$207,0)),""))</f>
      </c>
    </row>
    <row r="103" spans="1:22" x14ac:dyDescent="0.25">
      <c r="A103" s="7">
        <f>IF($D103="","",COUNTIF($D$4:$D103,"&lt;&gt;"))</f>
      </c>
      <c r="B103" s="8"/>
      <c r="C103" s="7">
        <f>IF($B103="","","BSR "&amp;IFERROR(INDEX('Challan Master'!$B$4:$B$207,MATCH($B103,'Challan Master'!$S$4:$S$207,0)),"")&amp;" | Serial "&amp;IFERROR(INDEX('Challan Master'!$C$4:$C$207,MATCH($B103,'Challan Master'!$S$4:$S$207,0)),"")&amp;" | Deposit "&amp;TEXT(IFERROR(INDEX('Challan Master'!$D$4:$D$207,MATCH($B103,'Challan Master'!$S$4:$S$207,0)),""),"dd-mm-yyyy")&amp;" | Minor Head "&amp;IFERROR(INDEX('Challan Master'!$E$4:$E$207,MATCH($B103,'Challan Master'!$S$4:$S$207,0)),"")&amp;" | Tax ₹"&amp;TEXT(IFERROR(INDEX('Challan Master'!$G$4:$G$207,MATCH($B103,'Challan Master'!$S$4:$S$207,0)),""),"#,##0")&amp;" | Section "&amp;IFERROR(INDEX('Challan Master'!$F$4:$F$207,MATCH($B103,'Challan Master'!$S$4:$S$207,0)),""))</f>
      </c>
      <c r="D103" s="8"/>
      <c r="E103" s="8"/>
      <c r="F103" s="7">
        <f>IF($D103="","",IF(AND(LEN(TRIM(UPPER(E103)))=10,CODE(MID(TRIM(UPPER(E103)),1,1))&gt;=65,CODE(MID(TRIM(UPPER(E103)),1,1))&lt;=90,CODE(MID(TRIM(UPPER(E103)),2,1))&gt;=65,CODE(MID(TRIM(UPPER(E103)),2,1))&lt;=90,CODE(MID(TRIM(UPPER(E103)),3,1))&gt;=65,CODE(MID(TRIM(UPPER(E103)),3,1))&lt;=90,CODE(MID(TRIM(UPPER(E103)),4,1))&gt;=65,CODE(MID(TRIM(UPPER(E103)),4,1))&lt;=90,CODE(MID(TRIM(UPPER(E103)),5,1))&gt;=65,CODE(MID(TRIM(UPPER(E103)),5,1))&lt;=90,CODE(MID(TRIM(UPPER(E103)),10,1))&gt;=65,CODE(MID(TRIM(UPPER(E103)),10,1))&lt;=90,CODE(MID(TRIM(UPPER(E103)),6,1))&gt;=48,CODE(MID(TRIM(UPPER(E103)),6,1))&lt;=57,CODE(MID(TRIM(UPPER(E103)),7,1))&gt;=48,CODE(MID(TRIM(UPPER(E103)),7,1))&lt;=57,CODE(MID(TRIM(UPPER(E103)),8,1))&gt;=48,CODE(MID(TRIM(UPPER(E103)),8,1))&lt;=57,CODE(MID(TRIM(UPPER(E103)),9,1))&gt;=48,CODE(MID(TRIM(UPPER(E103)),9,1))&lt;=57),"N","Y"))</f>
      </c>
      <c r="G103" s="7">
        <f>IF($D103="","",IF(LEN(E103)&lt;4,"",IF(UPPER(MID(E103,4,1))="P","Individual",IF(UPPER(MID(E103,4,1))="H","HUF",IF(UPPER(MID(E103,4,1))="C","Company",IF(UPPER(MID(E103,4,1))="F","Firm",IF(UPPER(MID(E103,4,1))="L","LLP",IF(UPPER(MID(E103,4,1))="T","Trust",IF(UPPER(MID(E103,4,1))="A","AOP","")))))))))</f>
      </c>
      <c r="H103" s="8"/>
      <c r="I103" s="7">
        <f>IF($D103="","",IF(H103="","",IF(F103="Y",SUMPRODUCT(('Rate Lookup'!$A$1:$A$37=H103)*'Rate Lookup'!$D$1:$D$37),IF(OR(G103="Individual",G103="HUF"),SUMPRODUCT(('Rate Lookup'!$A$1:$A$37=H103)*'Rate Lookup'!$B$1:$B$37),SUMPRODUCT(('Rate Lookup'!$A$1:$A$37=H103)*'Rate Lookup'!$C$1:$C$37)))))</f>
      </c>
      <c r="J103" s="8"/>
      <c r="K103" s="8"/>
      <c r="L103" s="7">
        <f>IF($D103="","",ROUND(K103*I103/100,0))</f>
      </c>
      <c r="M103" s="7">
        <f>IF($D103="","",0)</f>
      </c>
      <c r="N103" s="7">
        <f>IF($D103="","",0)</f>
      </c>
      <c r="O103" s="7">
        <f>IF($D103="","",IF(OR(L103=0,J103="",IFERROR(INDEX('Challan Master'!$D$4:$D$207,MATCH($B103,'Challan Master'!$S$4:$S$207,0)),"")="",IFERROR(INDEX('Challan Master'!$D$4:$D$207,MATCH($B103,'Challan Master'!$S$4:$S$207,0)),"")&lt;=0),0,IF(IFERROR(INDEX('Challan Master'!$D$4:$D$207,MATCH($B103,'Challan Master'!$S$4:$S$207,0)),"")&lt;=DATE(YEAR(J103),MONTH(J103)+1,7),0,ROUND(L103*0.015*((YEAR(IFERROR(INDEX('Challan Master'!$D$4:$D$207,MATCH($B103,'Challan Master'!$S$4:$S$207,0)),""))-YEAR(J103))*12+(MONTH(IFERROR(INDEX('Challan Master'!$D$4:$D$207,MATCH($B103,'Challan Master'!$S$4:$S$207,0)),""))-MONTH(J103))+1),0))))</f>
      </c>
      <c r="P103" s="7">
        <f>IF($D103="","",0)</f>
      </c>
      <c r="Q103" s="8"/>
      <c r="R103" s="8"/>
      <c r="S103" s="8"/>
      <c r="T103" s="8"/>
      <c r="U103" s="8"/>
      <c r="V103" s="7">
        <f>IF($B103="","",IFERROR(INDEX('Challan Master'!$AA$4:$AA$207,MATCH($B103,'Challan Master'!$S$4:$S$207,0)),""))</f>
      </c>
    </row>
    <row r="104" spans="1:22" x14ac:dyDescent="0.25">
      <c r="A104" s="7">
        <f>IF($D104="","",COUNTIF($D$4:$D104,"&lt;&gt;"))</f>
      </c>
      <c r="B104" s="8"/>
      <c r="C104" s="7">
        <f>IF($B104="","","BSR "&amp;IFERROR(INDEX('Challan Master'!$B$4:$B$207,MATCH($B104,'Challan Master'!$S$4:$S$207,0)),"")&amp;" | Serial "&amp;IFERROR(INDEX('Challan Master'!$C$4:$C$207,MATCH($B104,'Challan Master'!$S$4:$S$207,0)),"")&amp;" | Deposit "&amp;TEXT(IFERROR(INDEX('Challan Master'!$D$4:$D$207,MATCH($B104,'Challan Master'!$S$4:$S$207,0)),""),"dd-mm-yyyy")&amp;" | Minor Head "&amp;IFERROR(INDEX('Challan Master'!$E$4:$E$207,MATCH($B104,'Challan Master'!$S$4:$S$207,0)),"")&amp;" | Tax ₹"&amp;TEXT(IFERROR(INDEX('Challan Master'!$G$4:$G$207,MATCH($B104,'Challan Master'!$S$4:$S$207,0)),""),"#,##0")&amp;" | Section "&amp;IFERROR(INDEX('Challan Master'!$F$4:$F$207,MATCH($B104,'Challan Master'!$S$4:$S$207,0)),""))</f>
      </c>
      <c r="D104" s="8"/>
      <c r="E104" s="8"/>
      <c r="F104" s="7">
        <f>IF($D104="","",IF(AND(LEN(TRIM(UPPER(E104)))=10,CODE(MID(TRIM(UPPER(E104)),1,1))&gt;=65,CODE(MID(TRIM(UPPER(E104)),1,1))&lt;=90,CODE(MID(TRIM(UPPER(E104)),2,1))&gt;=65,CODE(MID(TRIM(UPPER(E104)),2,1))&lt;=90,CODE(MID(TRIM(UPPER(E104)),3,1))&gt;=65,CODE(MID(TRIM(UPPER(E104)),3,1))&lt;=90,CODE(MID(TRIM(UPPER(E104)),4,1))&gt;=65,CODE(MID(TRIM(UPPER(E104)),4,1))&lt;=90,CODE(MID(TRIM(UPPER(E104)),5,1))&gt;=65,CODE(MID(TRIM(UPPER(E104)),5,1))&lt;=90,CODE(MID(TRIM(UPPER(E104)),10,1))&gt;=65,CODE(MID(TRIM(UPPER(E104)),10,1))&lt;=90,CODE(MID(TRIM(UPPER(E104)),6,1))&gt;=48,CODE(MID(TRIM(UPPER(E104)),6,1))&lt;=57,CODE(MID(TRIM(UPPER(E104)),7,1))&gt;=48,CODE(MID(TRIM(UPPER(E104)),7,1))&lt;=57,CODE(MID(TRIM(UPPER(E104)),8,1))&gt;=48,CODE(MID(TRIM(UPPER(E104)),8,1))&lt;=57,CODE(MID(TRIM(UPPER(E104)),9,1))&gt;=48,CODE(MID(TRIM(UPPER(E104)),9,1))&lt;=57),"N","Y"))</f>
      </c>
      <c r="G104" s="7">
        <f>IF($D104="","",IF(LEN(E104)&lt;4,"",IF(UPPER(MID(E104,4,1))="P","Individual",IF(UPPER(MID(E104,4,1))="H","HUF",IF(UPPER(MID(E104,4,1))="C","Company",IF(UPPER(MID(E104,4,1))="F","Firm",IF(UPPER(MID(E104,4,1))="L","LLP",IF(UPPER(MID(E104,4,1))="T","Trust",IF(UPPER(MID(E104,4,1))="A","AOP","")))))))))</f>
      </c>
      <c r="H104" s="8"/>
      <c r="I104" s="7">
        <f>IF($D104="","",IF(H104="","",IF(F104="Y",SUMPRODUCT(('Rate Lookup'!$A$1:$A$37=H104)*'Rate Lookup'!$D$1:$D$37),IF(OR(G104="Individual",G104="HUF"),SUMPRODUCT(('Rate Lookup'!$A$1:$A$37=H104)*'Rate Lookup'!$B$1:$B$37),SUMPRODUCT(('Rate Lookup'!$A$1:$A$37=H104)*'Rate Lookup'!$C$1:$C$37)))))</f>
      </c>
      <c r="J104" s="8"/>
      <c r="K104" s="8"/>
      <c r="L104" s="7">
        <f>IF($D104="","",ROUND(K104*I104/100,0))</f>
      </c>
      <c r="M104" s="7">
        <f>IF($D104="","",0)</f>
      </c>
      <c r="N104" s="7">
        <f>IF($D104="","",0)</f>
      </c>
      <c r="O104" s="7">
        <f>IF($D104="","",IF(OR(L104=0,J104="",IFERROR(INDEX('Challan Master'!$D$4:$D$207,MATCH($B104,'Challan Master'!$S$4:$S$207,0)),"")="",IFERROR(INDEX('Challan Master'!$D$4:$D$207,MATCH($B104,'Challan Master'!$S$4:$S$207,0)),"")&lt;=0),0,IF(IFERROR(INDEX('Challan Master'!$D$4:$D$207,MATCH($B104,'Challan Master'!$S$4:$S$207,0)),"")&lt;=DATE(YEAR(J104),MONTH(J104)+1,7),0,ROUND(L104*0.015*((YEAR(IFERROR(INDEX('Challan Master'!$D$4:$D$207,MATCH($B104,'Challan Master'!$S$4:$S$207,0)),""))-YEAR(J104))*12+(MONTH(IFERROR(INDEX('Challan Master'!$D$4:$D$207,MATCH($B104,'Challan Master'!$S$4:$S$207,0)),""))-MONTH(J104))+1),0))))</f>
      </c>
      <c r="P104" s="7">
        <f>IF($D104="","",0)</f>
      </c>
      <c r="Q104" s="8"/>
      <c r="R104" s="8"/>
      <c r="S104" s="8"/>
      <c r="T104" s="8"/>
      <c r="U104" s="8"/>
      <c r="V104" s="7">
        <f>IF($B104="","",IFERROR(INDEX('Challan Master'!$AA$4:$AA$207,MATCH($B104,'Challan Master'!$S$4:$S$207,0)),""))</f>
      </c>
    </row>
    <row r="105" spans="1:22" x14ac:dyDescent="0.25">
      <c r="A105" s="7">
        <f>IF($D105="","",COUNTIF($D$4:$D105,"&lt;&gt;"))</f>
      </c>
      <c r="B105" s="8"/>
      <c r="C105" s="7">
        <f>IF($B105="","","BSR "&amp;IFERROR(INDEX('Challan Master'!$B$4:$B$207,MATCH($B105,'Challan Master'!$S$4:$S$207,0)),"")&amp;" | Serial "&amp;IFERROR(INDEX('Challan Master'!$C$4:$C$207,MATCH($B105,'Challan Master'!$S$4:$S$207,0)),"")&amp;" | Deposit "&amp;TEXT(IFERROR(INDEX('Challan Master'!$D$4:$D$207,MATCH($B105,'Challan Master'!$S$4:$S$207,0)),""),"dd-mm-yyyy")&amp;" | Minor Head "&amp;IFERROR(INDEX('Challan Master'!$E$4:$E$207,MATCH($B105,'Challan Master'!$S$4:$S$207,0)),"")&amp;" | Tax ₹"&amp;TEXT(IFERROR(INDEX('Challan Master'!$G$4:$G$207,MATCH($B105,'Challan Master'!$S$4:$S$207,0)),""),"#,##0")&amp;" | Section "&amp;IFERROR(INDEX('Challan Master'!$F$4:$F$207,MATCH($B105,'Challan Master'!$S$4:$S$207,0)),""))</f>
      </c>
      <c r="D105" s="8"/>
      <c r="E105" s="8"/>
      <c r="F105" s="7">
        <f>IF($D105="","",IF(AND(LEN(TRIM(UPPER(E105)))=10,CODE(MID(TRIM(UPPER(E105)),1,1))&gt;=65,CODE(MID(TRIM(UPPER(E105)),1,1))&lt;=90,CODE(MID(TRIM(UPPER(E105)),2,1))&gt;=65,CODE(MID(TRIM(UPPER(E105)),2,1))&lt;=90,CODE(MID(TRIM(UPPER(E105)),3,1))&gt;=65,CODE(MID(TRIM(UPPER(E105)),3,1))&lt;=90,CODE(MID(TRIM(UPPER(E105)),4,1))&gt;=65,CODE(MID(TRIM(UPPER(E105)),4,1))&lt;=90,CODE(MID(TRIM(UPPER(E105)),5,1))&gt;=65,CODE(MID(TRIM(UPPER(E105)),5,1))&lt;=90,CODE(MID(TRIM(UPPER(E105)),10,1))&gt;=65,CODE(MID(TRIM(UPPER(E105)),10,1))&lt;=90,CODE(MID(TRIM(UPPER(E105)),6,1))&gt;=48,CODE(MID(TRIM(UPPER(E105)),6,1))&lt;=57,CODE(MID(TRIM(UPPER(E105)),7,1))&gt;=48,CODE(MID(TRIM(UPPER(E105)),7,1))&lt;=57,CODE(MID(TRIM(UPPER(E105)),8,1))&gt;=48,CODE(MID(TRIM(UPPER(E105)),8,1))&lt;=57,CODE(MID(TRIM(UPPER(E105)),9,1))&gt;=48,CODE(MID(TRIM(UPPER(E105)),9,1))&lt;=57),"N","Y"))</f>
      </c>
      <c r="G105" s="7">
        <f>IF($D105="","",IF(LEN(E105)&lt;4,"",IF(UPPER(MID(E105,4,1))="P","Individual",IF(UPPER(MID(E105,4,1))="H","HUF",IF(UPPER(MID(E105,4,1))="C","Company",IF(UPPER(MID(E105,4,1))="F","Firm",IF(UPPER(MID(E105,4,1))="L","LLP",IF(UPPER(MID(E105,4,1))="T","Trust",IF(UPPER(MID(E105,4,1))="A","AOP","")))))))))</f>
      </c>
      <c r="H105" s="8"/>
      <c r="I105" s="7">
        <f>IF($D105="","",IF(H105="","",IF(F105="Y",SUMPRODUCT(('Rate Lookup'!$A$1:$A$37=H105)*'Rate Lookup'!$D$1:$D$37),IF(OR(G105="Individual",G105="HUF"),SUMPRODUCT(('Rate Lookup'!$A$1:$A$37=H105)*'Rate Lookup'!$B$1:$B$37),SUMPRODUCT(('Rate Lookup'!$A$1:$A$37=H105)*'Rate Lookup'!$C$1:$C$37)))))</f>
      </c>
      <c r="J105" s="8"/>
      <c r="K105" s="8"/>
      <c r="L105" s="7">
        <f>IF($D105="","",ROUND(K105*I105/100,0))</f>
      </c>
      <c r="M105" s="7">
        <f>IF($D105="","",0)</f>
      </c>
      <c r="N105" s="7">
        <f>IF($D105="","",0)</f>
      </c>
      <c r="O105" s="7">
        <f>IF($D105="","",IF(OR(L105=0,J105="",IFERROR(INDEX('Challan Master'!$D$4:$D$207,MATCH($B105,'Challan Master'!$S$4:$S$207,0)),"")="",IFERROR(INDEX('Challan Master'!$D$4:$D$207,MATCH($B105,'Challan Master'!$S$4:$S$207,0)),"")&lt;=0),0,IF(IFERROR(INDEX('Challan Master'!$D$4:$D$207,MATCH($B105,'Challan Master'!$S$4:$S$207,0)),"")&lt;=DATE(YEAR(J105),MONTH(J105)+1,7),0,ROUND(L105*0.015*((YEAR(IFERROR(INDEX('Challan Master'!$D$4:$D$207,MATCH($B105,'Challan Master'!$S$4:$S$207,0)),""))-YEAR(J105))*12+(MONTH(IFERROR(INDEX('Challan Master'!$D$4:$D$207,MATCH($B105,'Challan Master'!$S$4:$S$207,0)),""))-MONTH(J105))+1),0))))</f>
      </c>
      <c r="P105" s="7">
        <f>IF($D105="","",0)</f>
      </c>
      <c r="Q105" s="8"/>
      <c r="R105" s="8"/>
      <c r="S105" s="8"/>
      <c r="T105" s="8"/>
      <c r="U105" s="8"/>
      <c r="V105" s="7">
        <f>IF($B105="","",IFERROR(INDEX('Challan Master'!$AA$4:$AA$207,MATCH($B105,'Challan Master'!$S$4:$S$207,0)),""))</f>
      </c>
    </row>
    <row r="106" spans="1:22" x14ac:dyDescent="0.25">
      <c r="A106" s="7">
        <f>IF($D106="","",COUNTIF($D$4:$D106,"&lt;&gt;"))</f>
      </c>
      <c r="B106" s="8"/>
      <c r="C106" s="7">
        <f>IF($B106="","","BSR "&amp;IFERROR(INDEX('Challan Master'!$B$4:$B$207,MATCH($B106,'Challan Master'!$S$4:$S$207,0)),"")&amp;" | Serial "&amp;IFERROR(INDEX('Challan Master'!$C$4:$C$207,MATCH($B106,'Challan Master'!$S$4:$S$207,0)),"")&amp;" | Deposit "&amp;TEXT(IFERROR(INDEX('Challan Master'!$D$4:$D$207,MATCH($B106,'Challan Master'!$S$4:$S$207,0)),""),"dd-mm-yyyy")&amp;" | Minor Head "&amp;IFERROR(INDEX('Challan Master'!$E$4:$E$207,MATCH($B106,'Challan Master'!$S$4:$S$207,0)),"")&amp;" | Tax ₹"&amp;TEXT(IFERROR(INDEX('Challan Master'!$G$4:$G$207,MATCH($B106,'Challan Master'!$S$4:$S$207,0)),""),"#,##0")&amp;" | Section "&amp;IFERROR(INDEX('Challan Master'!$F$4:$F$207,MATCH($B106,'Challan Master'!$S$4:$S$207,0)),""))</f>
      </c>
      <c r="D106" s="8"/>
      <c r="E106" s="8"/>
      <c r="F106" s="7">
        <f>IF($D106="","",IF(AND(LEN(TRIM(UPPER(E106)))=10,CODE(MID(TRIM(UPPER(E106)),1,1))&gt;=65,CODE(MID(TRIM(UPPER(E106)),1,1))&lt;=90,CODE(MID(TRIM(UPPER(E106)),2,1))&gt;=65,CODE(MID(TRIM(UPPER(E106)),2,1))&lt;=90,CODE(MID(TRIM(UPPER(E106)),3,1))&gt;=65,CODE(MID(TRIM(UPPER(E106)),3,1))&lt;=90,CODE(MID(TRIM(UPPER(E106)),4,1))&gt;=65,CODE(MID(TRIM(UPPER(E106)),4,1))&lt;=90,CODE(MID(TRIM(UPPER(E106)),5,1))&gt;=65,CODE(MID(TRIM(UPPER(E106)),5,1))&lt;=90,CODE(MID(TRIM(UPPER(E106)),10,1))&gt;=65,CODE(MID(TRIM(UPPER(E106)),10,1))&lt;=90,CODE(MID(TRIM(UPPER(E106)),6,1))&gt;=48,CODE(MID(TRIM(UPPER(E106)),6,1))&lt;=57,CODE(MID(TRIM(UPPER(E106)),7,1))&gt;=48,CODE(MID(TRIM(UPPER(E106)),7,1))&lt;=57,CODE(MID(TRIM(UPPER(E106)),8,1))&gt;=48,CODE(MID(TRIM(UPPER(E106)),8,1))&lt;=57,CODE(MID(TRIM(UPPER(E106)),9,1))&gt;=48,CODE(MID(TRIM(UPPER(E106)),9,1))&lt;=57),"N","Y"))</f>
      </c>
      <c r="G106" s="7">
        <f>IF($D106="","",IF(LEN(E106)&lt;4,"",IF(UPPER(MID(E106,4,1))="P","Individual",IF(UPPER(MID(E106,4,1))="H","HUF",IF(UPPER(MID(E106,4,1))="C","Company",IF(UPPER(MID(E106,4,1))="F","Firm",IF(UPPER(MID(E106,4,1))="L","LLP",IF(UPPER(MID(E106,4,1))="T","Trust",IF(UPPER(MID(E106,4,1))="A","AOP","")))))))))</f>
      </c>
      <c r="H106" s="8"/>
      <c r="I106" s="7">
        <f>IF($D106="","",IF(H106="","",IF(F106="Y",SUMPRODUCT(('Rate Lookup'!$A$1:$A$37=H106)*'Rate Lookup'!$D$1:$D$37),IF(OR(G106="Individual",G106="HUF"),SUMPRODUCT(('Rate Lookup'!$A$1:$A$37=H106)*'Rate Lookup'!$B$1:$B$37),SUMPRODUCT(('Rate Lookup'!$A$1:$A$37=H106)*'Rate Lookup'!$C$1:$C$37)))))</f>
      </c>
      <c r="J106" s="8"/>
      <c r="K106" s="8"/>
      <c r="L106" s="7">
        <f>IF($D106="","",ROUND(K106*I106/100,0))</f>
      </c>
      <c r="M106" s="7">
        <f>IF($D106="","",0)</f>
      </c>
      <c r="N106" s="7">
        <f>IF($D106="","",0)</f>
      </c>
      <c r="O106" s="7">
        <f>IF($D106="","",IF(OR(L106=0,J106="",IFERROR(INDEX('Challan Master'!$D$4:$D$207,MATCH($B106,'Challan Master'!$S$4:$S$207,0)),"")="",IFERROR(INDEX('Challan Master'!$D$4:$D$207,MATCH($B106,'Challan Master'!$S$4:$S$207,0)),"")&lt;=0),0,IF(IFERROR(INDEX('Challan Master'!$D$4:$D$207,MATCH($B106,'Challan Master'!$S$4:$S$207,0)),"")&lt;=DATE(YEAR(J106),MONTH(J106)+1,7),0,ROUND(L106*0.015*((YEAR(IFERROR(INDEX('Challan Master'!$D$4:$D$207,MATCH($B106,'Challan Master'!$S$4:$S$207,0)),""))-YEAR(J106))*12+(MONTH(IFERROR(INDEX('Challan Master'!$D$4:$D$207,MATCH($B106,'Challan Master'!$S$4:$S$207,0)),""))-MONTH(J106))+1),0))))</f>
      </c>
      <c r="P106" s="7">
        <f>IF($D106="","",0)</f>
      </c>
      <c r="Q106" s="8"/>
      <c r="R106" s="8"/>
      <c r="S106" s="8"/>
      <c r="T106" s="8"/>
      <c r="U106" s="8"/>
      <c r="V106" s="7">
        <f>IF($B106="","",IFERROR(INDEX('Challan Master'!$AA$4:$AA$207,MATCH($B106,'Challan Master'!$S$4:$S$207,0)),""))</f>
      </c>
    </row>
    <row r="107" spans="1:22" x14ac:dyDescent="0.25">
      <c r="A107" s="7">
        <f>IF($D107="","",COUNTIF($D$4:$D107,"&lt;&gt;"))</f>
      </c>
      <c r="B107" s="8"/>
      <c r="C107" s="7">
        <f>IF($B107="","","BSR "&amp;IFERROR(INDEX('Challan Master'!$B$4:$B$207,MATCH($B107,'Challan Master'!$S$4:$S$207,0)),"")&amp;" | Serial "&amp;IFERROR(INDEX('Challan Master'!$C$4:$C$207,MATCH($B107,'Challan Master'!$S$4:$S$207,0)),"")&amp;" | Deposit "&amp;TEXT(IFERROR(INDEX('Challan Master'!$D$4:$D$207,MATCH($B107,'Challan Master'!$S$4:$S$207,0)),""),"dd-mm-yyyy")&amp;" | Minor Head "&amp;IFERROR(INDEX('Challan Master'!$E$4:$E$207,MATCH($B107,'Challan Master'!$S$4:$S$207,0)),"")&amp;" | Tax ₹"&amp;TEXT(IFERROR(INDEX('Challan Master'!$G$4:$G$207,MATCH($B107,'Challan Master'!$S$4:$S$207,0)),""),"#,##0")&amp;" | Section "&amp;IFERROR(INDEX('Challan Master'!$F$4:$F$207,MATCH($B107,'Challan Master'!$S$4:$S$207,0)),""))</f>
      </c>
      <c r="D107" s="8"/>
      <c r="E107" s="8"/>
      <c r="F107" s="7">
        <f>IF($D107="","",IF(AND(LEN(TRIM(UPPER(E107)))=10,CODE(MID(TRIM(UPPER(E107)),1,1))&gt;=65,CODE(MID(TRIM(UPPER(E107)),1,1))&lt;=90,CODE(MID(TRIM(UPPER(E107)),2,1))&gt;=65,CODE(MID(TRIM(UPPER(E107)),2,1))&lt;=90,CODE(MID(TRIM(UPPER(E107)),3,1))&gt;=65,CODE(MID(TRIM(UPPER(E107)),3,1))&lt;=90,CODE(MID(TRIM(UPPER(E107)),4,1))&gt;=65,CODE(MID(TRIM(UPPER(E107)),4,1))&lt;=90,CODE(MID(TRIM(UPPER(E107)),5,1))&gt;=65,CODE(MID(TRIM(UPPER(E107)),5,1))&lt;=90,CODE(MID(TRIM(UPPER(E107)),10,1))&gt;=65,CODE(MID(TRIM(UPPER(E107)),10,1))&lt;=90,CODE(MID(TRIM(UPPER(E107)),6,1))&gt;=48,CODE(MID(TRIM(UPPER(E107)),6,1))&lt;=57,CODE(MID(TRIM(UPPER(E107)),7,1))&gt;=48,CODE(MID(TRIM(UPPER(E107)),7,1))&lt;=57,CODE(MID(TRIM(UPPER(E107)),8,1))&gt;=48,CODE(MID(TRIM(UPPER(E107)),8,1))&lt;=57,CODE(MID(TRIM(UPPER(E107)),9,1))&gt;=48,CODE(MID(TRIM(UPPER(E107)),9,1))&lt;=57),"N","Y"))</f>
      </c>
      <c r="G107" s="7">
        <f>IF($D107="","",IF(LEN(E107)&lt;4,"",IF(UPPER(MID(E107,4,1))="P","Individual",IF(UPPER(MID(E107,4,1))="H","HUF",IF(UPPER(MID(E107,4,1))="C","Company",IF(UPPER(MID(E107,4,1))="F","Firm",IF(UPPER(MID(E107,4,1))="L","LLP",IF(UPPER(MID(E107,4,1))="T","Trust",IF(UPPER(MID(E107,4,1))="A","AOP","")))))))))</f>
      </c>
      <c r="H107" s="8"/>
      <c r="I107" s="7">
        <f>IF($D107="","",IF(H107="","",IF(F107="Y",SUMPRODUCT(('Rate Lookup'!$A$1:$A$37=H107)*'Rate Lookup'!$D$1:$D$37),IF(OR(G107="Individual",G107="HUF"),SUMPRODUCT(('Rate Lookup'!$A$1:$A$37=H107)*'Rate Lookup'!$B$1:$B$37),SUMPRODUCT(('Rate Lookup'!$A$1:$A$37=H107)*'Rate Lookup'!$C$1:$C$37)))))</f>
      </c>
      <c r="J107" s="8"/>
      <c r="K107" s="8"/>
      <c r="L107" s="7">
        <f>IF($D107="","",ROUND(K107*I107/100,0))</f>
      </c>
      <c r="M107" s="7">
        <f>IF($D107="","",0)</f>
      </c>
      <c r="N107" s="7">
        <f>IF($D107="","",0)</f>
      </c>
      <c r="O107" s="7">
        <f>IF($D107="","",IF(OR(L107=0,J107="",IFERROR(INDEX('Challan Master'!$D$4:$D$207,MATCH($B107,'Challan Master'!$S$4:$S$207,0)),"")="",IFERROR(INDEX('Challan Master'!$D$4:$D$207,MATCH($B107,'Challan Master'!$S$4:$S$207,0)),"")&lt;=0),0,IF(IFERROR(INDEX('Challan Master'!$D$4:$D$207,MATCH($B107,'Challan Master'!$S$4:$S$207,0)),"")&lt;=DATE(YEAR(J107),MONTH(J107)+1,7),0,ROUND(L107*0.015*((YEAR(IFERROR(INDEX('Challan Master'!$D$4:$D$207,MATCH($B107,'Challan Master'!$S$4:$S$207,0)),""))-YEAR(J107))*12+(MONTH(IFERROR(INDEX('Challan Master'!$D$4:$D$207,MATCH($B107,'Challan Master'!$S$4:$S$207,0)),""))-MONTH(J107))+1),0))))</f>
      </c>
      <c r="P107" s="7">
        <f>IF($D107="","",0)</f>
      </c>
      <c r="Q107" s="8"/>
      <c r="R107" s="8"/>
      <c r="S107" s="8"/>
      <c r="T107" s="8"/>
      <c r="U107" s="8"/>
      <c r="V107" s="7">
        <f>IF($B107="","",IFERROR(INDEX('Challan Master'!$AA$4:$AA$207,MATCH($B107,'Challan Master'!$S$4:$S$207,0)),""))</f>
      </c>
    </row>
    <row r="108" spans="1:22" x14ac:dyDescent="0.25">
      <c r="A108" s="7">
        <f>IF($D108="","",COUNTIF($D$4:$D108,"&lt;&gt;"))</f>
      </c>
      <c r="B108" s="8"/>
      <c r="C108" s="7">
        <f>IF($B108="","","BSR "&amp;IFERROR(INDEX('Challan Master'!$B$4:$B$207,MATCH($B108,'Challan Master'!$S$4:$S$207,0)),"")&amp;" | Serial "&amp;IFERROR(INDEX('Challan Master'!$C$4:$C$207,MATCH($B108,'Challan Master'!$S$4:$S$207,0)),"")&amp;" | Deposit "&amp;TEXT(IFERROR(INDEX('Challan Master'!$D$4:$D$207,MATCH($B108,'Challan Master'!$S$4:$S$207,0)),""),"dd-mm-yyyy")&amp;" | Minor Head "&amp;IFERROR(INDEX('Challan Master'!$E$4:$E$207,MATCH($B108,'Challan Master'!$S$4:$S$207,0)),"")&amp;" | Tax ₹"&amp;TEXT(IFERROR(INDEX('Challan Master'!$G$4:$G$207,MATCH($B108,'Challan Master'!$S$4:$S$207,0)),""),"#,##0")&amp;" | Section "&amp;IFERROR(INDEX('Challan Master'!$F$4:$F$207,MATCH($B108,'Challan Master'!$S$4:$S$207,0)),""))</f>
      </c>
      <c r="D108" s="8"/>
      <c r="E108" s="8"/>
      <c r="F108" s="7">
        <f>IF($D108="","",IF(AND(LEN(TRIM(UPPER(E108)))=10,CODE(MID(TRIM(UPPER(E108)),1,1))&gt;=65,CODE(MID(TRIM(UPPER(E108)),1,1))&lt;=90,CODE(MID(TRIM(UPPER(E108)),2,1))&gt;=65,CODE(MID(TRIM(UPPER(E108)),2,1))&lt;=90,CODE(MID(TRIM(UPPER(E108)),3,1))&gt;=65,CODE(MID(TRIM(UPPER(E108)),3,1))&lt;=90,CODE(MID(TRIM(UPPER(E108)),4,1))&gt;=65,CODE(MID(TRIM(UPPER(E108)),4,1))&lt;=90,CODE(MID(TRIM(UPPER(E108)),5,1))&gt;=65,CODE(MID(TRIM(UPPER(E108)),5,1))&lt;=90,CODE(MID(TRIM(UPPER(E108)),10,1))&gt;=65,CODE(MID(TRIM(UPPER(E108)),10,1))&lt;=90,CODE(MID(TRIM(UPPER(E108)),6,1))&gt;=48,CODE(MID(TRIM(UPPER(E108)),6,1))&lt;=57,CODE(MID(TRIM(UPPER(E108)),7,1))&gt;=48,CODE(MID(TRIM(UPPER(E108)),7,1))&lt;=57,CODE(MID(TRIM(UPPER(E108)),8,1))&gt;=48,CODE(MID(TRIM(UPPER(E108)),8,1))&lt;=57,CODE(MID(TRIM(UPPER(E108)),9,1))&gt;=48,CODE(MID(TRIM(UPPER(E108)),9,1))&lt;=57),"N","Y"))</f>
      </c>
      <c r="G108" s="7">
        <f>IF($D108="","",IF(LEN(E108)&lt;4,"",IF(UPPER(MID(E108,4,1))="P","Individual",IF(UPPER(MID(E108,4,1))="H","HUF",IF(UPPER(MID(E108,4,1))="C","Company",IF(UPPER(MID(E108,4,1))="F","Firm",IF(UPPER(MID(E108,4,1))="L","LLP",IF(UPPER(MID(E108,4,1))="T","Trust",IF(UPPER(MID(E108,4,1))="A","AOP","")))))))))</f>
      </c>
      <c r="H108" s="8"/>
      <c r="I108" s="7">
        <f>IF($D108="","",IF(H108="","",IF(F108="Y",SUMPRODUCT(('Rate Lookup'!$A$1:$A$37=H108)*'Rate Lookup'!$D$1:$D$37),IF(OR(G108="Individual",G108="HUF"),SUMPRODUCT(('Rate Lookup'!$A$1:$A$37=H108)*'Rate Lookup'!$B$1:$B$37),SUMPRODUCT(('Rate Lookup'!$A$1:$A$37=H108)*'Rate Lookup'!$C$1:$C$37)))))</f>
      </c>
      <c r="J108" s="8"/>
      <c r="K108" s="8"/>
      <c r="L108" s="7">
        <f>IF($D108="","",ROUND(K108*I108/100,0))</f>
      </c>
      <c r="M108" s="7">
        <f>IF($D108="","",0)</f>
      </c>
      <c r="N108" s="7">
        <f>IF($D108="","",0)</f>
      </c>
      <c r="O108" s="7">
        <f>IF($D108="","",IF(OR(L108=0,J108="",IFERROR(INDEX('Challan Master'!$D$4:$D$207,MATCH($B108,'Challan Master'!$S$4:$S$207,0)),"")="",IFERROR(INDEX('Challan Master'!$D$4:$D$207,MATCH($B108,'Challan Master'!$S$4:$S$207,0)),"")&lt;=0),0,IF(IFERROR(INDEX('Challan Master'!$D$4:$D$207,MATCH($B108,'Challan Master'!$S$4:$S$207,0)),"")&lt;=DATE(YEAR(J108),MONTH(J108)+1,7),0,ROUND(L108*0.015*((YEAR(IFERROR(INDEX('Challan Master'!$D$4:$D$207,MATCH($B108,'Challan Master'!$S$4:$S$207,0)),""))-YEAR(J108))*12+(MONTH(IFERROR(INDEX('Challan Master'!$D$4:$D$207,MATCH($B108,'Challan Master'!$S$4:$S$207,0)),""))-MONTH(J108))+1),0))))</f>
      </c>
      <c r="P108" s="7">
        <f>IF($D108="","",0)</f>
      </c>
      <c r="Q108" s="8"/>
      <c r="R108" s="8"/>
      <c r="S108" s="8"/>
      <c r="T108" s="8"/>
      <c r="U108" s="8"/>
      <c r="V108" s="7">
        <f>IF($B108="","",IFERROR(INDEX('Challan Master'!$AA$4:$AA$207,MATCH($B108,'Challan Master'!$S$4:$S$207,0)),""))</f>
      </c>
    </row>
    <row r="109" spans="1:22" x14ac:dyDescent="0.25">
      <c r="A109" s="7">
        <f>IF($D109="","",COUNTIF($D$4:$D109,"&lt;&gt;"))</f>
      </c>
      <c r="B109" s="8"/>
      <c r="C109" s="7">
        <f>IF($B109="","","BSR "&amp;IFERROR(INDEX('Challan Master'!$B$4:$B$207,MATCH($B109,'Challan Master'!$S$4:$S$207,0)),"")&amp;" | Serial "&amp;IFERROR(INDEX('Challan Master'!$C$4:$C$207,MATCH($B109,'Challan Master'!$S$4:$S$207,0)),"")&amp;" | Deposit "&amp;TEXT(IFERROR(INDEX('Challan Master'!$D$4:$D$207,MATCH($B109,'Challan Master'!$S$4:$S$207,0)),""),"dd-mm-yyyy")&amp;" | Minor Head "&amp;IFERROR(INDEX('Challan Master'!$E$4:$E$207,MATCH($B109,'Challan Master'!$S$4:$S$207,0)),"")&amp;" | Tax ₹"&amp;TEXT(IFERROR(INDEX('Challan Master'!$G$4:$G$207,MATCH($B109,'Challan Master'!$S$4:$S$207,0)),""),"#,##0")&amp;" | Section "&amp;IFERROR(INDEX('Challan Master'!$F$4:$F$207,MATCH($B109,'Challan Master'!$S$4:$S$207,0)),""))</f>
      </c>
      <c r="D109" s="8"/>
      <c r="E109" s="8"/>
      <c r="F109" s="7">
        <f>IF($D109="","",IF(AND(LEN(TRIM(UPPER(E109)))=10,CODE(MID(TRIM(UPPER(E109)),1,1))&gt;=65,CODE(MID(TRIM(UPPER(E109)),1,1))&lt;=90,CODE(MID(TRIM(UPPER(E109)),2,1))&gt;=65,CODE(MID(TRIM(UPPER(E109)),2,1))&lt;=90,CODE(MID(TRIM(UPPER(E109)),3,1))&gt;=65,CODE(MID(TRIM(UPPER(E109)),3,1))&lt;=90,CODE(MID(TRIM(UPPER(E109)),4,1))&gt;=65,CODE(MID(TRIM(UPPER(E109)),4,1))&lt;=90,CODE(MID(TRIM(UPPER(E109)),5,1))&gt;=65,CODE(MID(TRIM(UPPER(E109)),5,1))&lt;=90,CODE(MID(TRIM(UPPER(E109)),10,1))&gt;=65,CODE(MID(TRIM(UPPER(E109)),10,1))&lt;=90,CODE(MID(TRIM(UPPER(E109)),6,1))&gt;=48,CODE(MID(TRIM(UPPER(E109)),6,1))&lt;=57,CODE(MID(TRIM(UPPER(E109)),7,1))&gt;=48,CODE(MID(TRIM(UPPER(E109)),7,1))&lt;=57,CODE(MID(TRIM(UPPER(E109)),8,1))&gt;=48,CODE(MID(TRIM(UPPER(E109)),8,1))&lt;=57,CODE(MID(TRIM(UPPER(E109)),9,1))&gt;=48,CODE(MID(TRIM(UPPER(E109)),9,1))&lt;=57),"N","Y"))</f>
      </c>
      <c r="G109" s="7">
        <f>IF($D109="","",IF(LEN(E109)&lt;4,"",IF(UPPER(MID(E109,4,1))="P","Individual",IF(UPPER(MID(E109,4,1))="H","HUF",IF(UPPER(MID(E109,4,1))="C","Company",IF(UPPER(MID(E109,4,1))="F","Firm",IF(UPPER(MID(E109,4,1))="L","LLP",IF(UPPER(MID(E109,4,1))="T","Trust",IF(UPPER(MID(E109,4,1))="A","AOP","")))))))))</f>
      </c>
      <c r="H109" s="8"/>
      <c r="I109" s="7">
        <f>IF($D109="","",IF(H109="","",IF(F109="Y",SUMPRODUCT(('Rate Lookup'!$A$1:$A$37=H109)*'Rate Lookup'!$D$1:$D$37),IF(OR(G109="Individual",G109="HUF"),SUMPRODUCT(('Rate Lookup'!$A$1:$A$37=H109)*'Rate Lookup'!$B$1:$B$37),SUMPRODUCT(('Rate Lookup'!$A$1:$A$37=H109)*'Rate Lookup'!$C$1:$C$37)))))</f>
      </c>
      <c r="J109" s="8"/>
      <c r="K109" s="8"/>
      <c r="L109" s="7">
        <f>IF($D109="","",ROUND(K109*I109/100,0))</f>
      </c>
      <c r="M109" s="7">
        <f>IF($D109="","",0)</f>
      </c>
      <c r="N109" s="7">
        <f>IF($D109="","",0)</f>
      </c>
      <c r="O109" s="7">
        <f>IF($D109="","",IF(OR(L109=0,J109="",IFERROR(INDEX('Challan Master'!$D$4:$D$207,MATCH($B109,'Challan Master'!$S$4:$S$207,0)),"")="",IFERROR(INDEX('Challan Master'!$D$4:$D$207,MATCH($B109,'Challan Master'!$S$4:$S$207,0)),"")&lt;=0),0,IF(IFERROR(INDEX('Challan Master'!$D$4:$D$207,MATCH($B109,'Challan Master'!$S$4:$S$207,0)),"")&lt;=DATE(YEAR(J109),MONTH(J109)+1,7),0,ROUND(L109*0.015*((YEAR(IFERROR(INDEX('Challan Master'!$D$4:$D$207,MATCH($B109,'Challan Master'!$S$4:$S$207,0)),""))-YEAR(J109))*12+(MONTH(IFERROR(INDEX('Challan Master'!$D$4:$D$207,MATCH($B109,'Challan Master'!$S$4:$S$207,0)),""))-MONTH(J109))+1),0))))</f>
      </c>
      <c r="P109" s="7">
        <f>IF($D109="","",0)</f>
      </c>
      <c r="Q109" s="8"/>
      <c r="R109" s="8"/>
      <c r="S109" s="8"/>
      <c r="T109" s="8"/>
      <c r="U109" s="8"/>
      <c r="V109" s="7">
        <f>IF($B109="","",IFERROR(INDEX('Challan Master'!$AA$4:$AA$207,MATCH($B109,'Challan Master'!$S$4:$S$207,0)),""))</f>
      </c>
    </row>
    <row r="110" spans="1:22" x14ac:dyDescent="0.25">
      <c r="A110" s="7">
        <f>IF($D110="","",COUNTIF($D$4:$D110,"&lt;&gt;"))</f>
      </c>
      <c r="B110" s="8"/>
      <c r="C110" s="7">
        <f>IF($B110="","","BSR "&amp;IFERROR(INDEX('Challan Master'!$B$4:$B$207,MATCH($B110,'Challan Master'!$S$4:$S$207,0)),"")&amp;" | Serial "&amp;IFERROR(INDEX('Challan Master'!$C$4:$C$207,MATCH($B110,'Challan Master'!$S$4:$S$207,0)),"")&amp;" | Deposit "&amp;TEXT(IFERROR(INDEX('Challan Master'!$D$4:$D$207,MATCH($B110,'Challan Master'!$S$4:$S$207,0)),""),"dd-mm-yyyy")&amp;" | Minor Head "&amp;IFERROR(INDEX('Challan Master'!$E$4:$E$207,MATCH($B110,'Challan Master'!$S$4:$S$207,0)),"")&amp;" | Tax ₹"&amp;TEXT(IFERROR(INDEX('Challan Master'!$G$4:$G$207,MATCH($B110,'Challan Master'!$S$4:$S$207,0)),""),"#,##0")&amp;" | Section "&amp;IFERROR(INDEX('Challan Master'!$F$4:$F$207,MATCH($B110,'Challan Master'!$S$4:$S$207,0)),""))</f>
      </c>
      <c r="D110" s="8"/>
      <c r="E110" s="8"/>
      <c r="F110" s="7">
        <f>IF($D110="","",IF(AND(LEN(TRIM(UPPER(E110)))=10,CODE(MID(TRIM(UPPER(E110)),1,1))&gt;=65,CODE(MID(TRIM(UPPER(E110)),1,1))&lt;=90,CODE(MID(TRIM(UPPER(E110)),2,1))&gt;=65,CODE(MID(TRIM(UPPER(E110)),2,1))&lt;=90,CODE(MID(TRIM(UPPER(E110)),3,1))&gt;=65,CODE(MID(TRIM(UPPER(E110)),3,1))&lt;=90,CODE(MID(TRIM(UPPER(E110)),4,1))&gt;=65,CODE(MID(TRIM(UPPER(E110)),4,1))&lt;=90,CODE(MID(TRIM(UPPER(E110)),5,1))&gt;=65,CODE(MID(TRIM(UPPER(E110)),5,1))&lt;=90,CODE(MID(TRIM(UPPER(E110)),10,1))&gt;=65,CODE(MID(TRIM(UPPER(E110)),10,1))&lt;=90,CODE(MID(TRIM(UPPER(E110)),6,1))&gt;=48,CODE(MID(TRIM(UPPER(E110)),6,1))&lt;=57,CODE(MID(TRIM(UPPER(E110)),7,1))&gt;=48,CODE(MID(TRIM(UPPER(E110)),7,1))&lt;=57,CODE(MID(TRIM(UPPER(E110)),8,1))&gt;=48,CODE(MID(TRIM(UPPER(E110)),8,1))&lt;=57,CODE(MID(TRIM(UPPER(E110)),9,1))&gt;=48,CODE(MID(TRIM(UPPER(E110)),9,1))&lt;=57),"N","Y"))</f>
      </c>
      <c r="G110" s="7">
        <f>IF($D110="","",IF(LEN(E110)&lt;4,"",IF(UPPER(MID(E110,4,1))="P","Individual",IF(UPPER(MID(E110,4,1))="H","HUF",IF(UPPER(MID(E110,4,1))="C","Company",IF(UPPER(MID(E110,4,1))="F","Firm",IF(UPPER(MID(E110,4,1))="L","LLP",IF(UPPER(MID(E110,4,1))="T","Trust",IF(UPPER(MID(E110,4,1))="A","AOP","")))))))))</f>
      </c>
      <c r="H110" s="8"/>
      <c r="I110" s="7">
        <f>IF($D110="","",IF(H110="","",IF(F110="Y",SUMPRODUCT(('Rate Lookup'!$A$1:$A$37=H110)*'Rate Lookup'!$D$1:$D$37),IF(OR(G110="Individual",G110="HUF"),SUMPRODUCT(('Rate Lookup'!$A$1:$A$37=H110)*'Rate Lookup'!$B$1:$B$37),SUMPRODUCT(('Rate Lookup'!$A$1:$A$37=H110)*'Rate Lookup'!$C$1:$C$37)))))</f>
      </c>
      <c r="J110" s="8"/>
      <c r="K110" s="8"/>
      <c r="L110" s="7">
        <f>IF($D110="","",ROUND(K110*I110/100,0))</f>
      </c>
      <c r="M110" s="7">
        <f>IF($D110="","",0)</f>
      </c>
      <c r="N110" s="7">
        <f>IF($D110="","",0)</f>
      </c>
      <c r="O110" s="7">
        <f>IF($D110="","",IF(OR(L110=0,J110="",IFERROR(INDEX('Challan Master'!$D$4:$D$207,MATCH($B110,'Challan Master'!$S$4:$S$207,0)),"")="",IFERROR(INDEX('Challan Master'!$D$4:$D$207,MATCH($B110,'Challan Master'!$S$4:$S$207,0)),"")&lt;=0),0,IF(IFERROR(INDEX('Challan Master'!$D$4:$D$207,MATCH($B110,'Challan Master'!$S$4:$S$207,0)),"")&lt;=DATE(YEAR(J110),MONTH(J110)+1,7),0,ROUND(L110*0.015*((YEAR(IFERROR(INDEX('Challan Master'!$D$4:$D$207,MATCH($B110,'Challan Master'!$S$4:$S$207,0)),""))-YEAR(J110))*12+(MONTH(IFERROR(INDEX('Challan Master'!$D$4:$D$207,MATCH($B110,'Challan Master'!$S$4:$S$207,0)),""))-MONTH(J110))+1),0))))</f>
      </c>
      <c r="P110" s="7">
        <f>IF($D110="","",0)</f>
      </c>
      <c r="Q110" s="8"/>
      <c r="R110" s="8"/>
      <c r="S110" s="8"/>
      <c r="T110" s="8"/>
      <c r="U110" s="8"/>
      <c r="V110" s="7">
        <f>IF($B110="","",IFERROR(INDEX('Challan Master'!$AA$4:$AA$207,MATCH($B110,'Challan Master'!$S$4:$S$207,0)),""))</f>
      </c>
    </row>
    <row r="111" spans="1:22" x14ac:dyDescent="0.25">
      <c r="A111" s="7">
        <f>IF($D111="","",COUNTIF($D$4:$D111,"&lt;&gt;"))</f>
      </c>
      <c r="B111" s="8"/>
      <c r="C111" s="7">
        <f>IF($B111="","","BSR "&amp;IFERROR(INDEX('Challan Master'!$B$4:$B$207,MATCH($B111,'Challan Master'!$S$4:$S$207,0)),"")&amp;" | Serial "&amp;IFERROR(INDEX('Challan Master'!$C$4:$C$207,MATCH($B111,'Challan Master'!$S$4:$S$207,0)),"")&amp;" | Deposit "&amp;TEXT(IFERROR(INDEX('Challan Master'!$D$4:$D$207,MATCH($B111,'Challan Master'!$S$4:$S$207,0)),""),"dd-mm-yyyy")&amp;" | Minor Head "&amp;IFERROR(INDEX('Challan Master'!$E$4:$E$207,MATCH($B111,'Challan Master'!$S$4:$S$207,0)),"")&amp;" | Tax ₹"&amp;TEXT(IFERROR(INDEX('Challan Master'!$G$4:$G$207,MATCH($B111,'Challan Master'!$S$4:$S$207,0)),""),"#,##0")&amp;" | Section "&amp;IFERROR(INDEX('Challan Master'!$F$4:$F$207,MATCH($B111,'Challan Master'!$S$4:$S$207,0)),""))</f>
      </c>
      <c r="D111" s="8"/>
      <c r="E111" s="8"/>
      <c r="F111" s="7">
        <f>IF($D111="","",IF(AND(LEN(TRIM(UPPER(E111)))=10,CODE(MID(TRIM(UPPER(E111)),1,1))&gt;=65,CODE(MID(TRIM(UPPER(E111)),1,1))&lt;=90,CODE(MID(TRIM(UPPER(E111)),2,1))&gt;=65,CODE(MID(TRIM(UPPER(E111)),2,1))&lt;=90,CODE(MID(TRIM(UPPER(E111)),3,1))&gt;=65,CODE(MID(TRIM(UPPER(E111)),3,1))&lt;=90,CODE(MID(TRIM(UPPER(E111)),4,1))&gt;=65,CODE(MID(TRIM(UPPER(E111)),4,1))&lt;=90,CODE(MID(TRIM(UPPER(E111)),5,1))&gt;=65,CODE(MID(TRIM(UPPER(E111)),5,1))&lt;=90,CODE(MID(TRIM(UPPER(E111)),10,1))&gt;=65,CODE(MID(TRIM(UPPER(E111)),10,1))&lt;=90,CODE(MID(TRIM(UPPER(E111)),6,1))&gt;=48,CODE(MID(TRIM(UPPER(E111)),6,1))&lt;=57,CODE(MID(TRIM(UPPER(E111)),7,1))&gt;=48,CODE(MID(TRIM(UPPER(E111)),7,1))&lt;=57,CODE(MID(TRIM(UPPER(E111)),8,1))&gt;=48,CODE(MID(TRIM(UPPER(E111)),8,1))&lt;=57,CODE(MID(TRIM(UPPER(E111)),9,1))&gt;=48,CODE(MID(TRIM(UPPER(E111)),9,1))&lt;=57),"N","Y"))</f>
      </c>
      <c r="G111" s="7">
        <f>IF($D111="","",IF(LEN(E111)&lt;4,"",IF(UPPER(MID(E111,4,1))="P","Individual",IF(UPPER(MID(E111,4,1))="H","HUF",IF(UPPER(MID(E111,4,1))="C","Company",IF(UPPER(MID(E111,4,1))="F","Firm",IF(UPPER(MID(E111,4,1))="L","LLP",IF(UPPER(MID(E111,4,1))="T","Trust",IF(UPPER(MID(E111,4,1))="A","AOP","")))))))))</f>
      </c>
      <c r="H111" s="8"/>
      <c r="I111" s="7">
        <f>IF($D111="","",IF(H111="","",IF(F111="Y",SUMPRODUCT(('Rate Lookup'!$A$1:$A$37=H111)*'Rate Lookup'!$D$1:$D$37),IF(OR(G111="Individual",G111="HUF"),SUMPRODUCT(('Rate Lookup'!$A$1:$A$37=H111)*'Rate Lookup'!$B$1:$B$37),SUMPRODUCT(('Rate Lookup'!$A$1:$A$37=H111)*'Rate Lookup'!$C$1:$C$37)))))</f>
      </c>
      <c r="J111" s="8"/>
      <c r="K111" s="8"/>
      <c r="L111" s="7">
        <f>IF($D111="","",ROUND(K111*I111/100,0))</f>
      </c>
      <c r="M111" s="7">
        <f>IF($D111="","",0)</f>
      </c>
      <c r="N111" s="7">
        <f>IF($D111="","",0)</f>
      </c>
      <c r="O111" s="7">
        <f>IF($D111="","",IF(OR(L111=0,J111="",IFERROR(INDEX('Challan Master'!$D$4:$D$207,MATCH($B111,'Challan Master'!$S$4:$S$207,0)),"")="",IFERROR(INDEX('Challan Master'!$D$4:$D$207,MATCH($B111,'Challan Master'!$S$4:$S$207,0)),"")&lt;=0),0,IF(IFERROR(INDEX('Challan Master'!$D$4:$D$207,MATCH($B111,'Challan Master'!$S$4:$S$207,0)),"")&lt;=DATE(YEAR(J111),MONTH(J111)+1,7),0,ROUND(L111*0.015*((YEAR(IFERROR(INDEX('Challan Master'!$D$4:$D$207,MATCH($B111,'Challan Master'!$S$4:$S$207,0)),""))-YEAR(J111))*12+(MONTH(IFERROR(INDEX('Challan Master'!$D$4:$D$207,MATCH($B111,'Challan Master'!$S$4:$S$207,0)),""))-MONTH(J111))+1),0))))</f>
      </c>
      <c r="P111" s="7">
        <f>IF($D111="","",0)</f>
      </c>
      <c r="Q111" s="8"/>
      <c r="R111" s="8"/>
      <c r="S111" s="8"/>
      <c r="T111" s="8"/>
      <c r="U111" s="8"/>
      <c r="V111" s="7">
        <f>IF($B111="","",IFERROR(INDEX('Challan Master'!$AA$4:$AA$207,MATCH($B111,'Challan Master'!$S$4:$S$207,0)),""))</f>
      </c>
    </row>
    <row r="112" spans="1:22" x14ac:dyDescent="0.25">
      <c r="A112" s="7">
        <f>IF($D112="","",COUNTIF($D$4:$D112,"&lt;&gt;"))</f>
      </c>
      <c r="B112" s="8"/>
      <c r="C112" s="7">
        <f>IF($B112="","","BSR "&amp;IFERROR(INDEX('Challan Master'!$B$4:$B$207,MATCH($B112,'Challan Master'!$S$4:$S$207,0)),"")&amp;" | Serial "&amp;IFERROR(INDEX('Challan Master'!$C$4:$C$207,MATCH($B112,'Challan Master'!$S$4:$S$207,0)),"")&amp;" | Deposit "&amp;TEXT(IFERROR(INDEX('Challan Master'!$D$4:$D$207,MATCH($B112,'Challan Master'!$S$4:$S$207,0)),""),"dd-mm-yyyy")&amp;" | Minor Head "&amp;IFERROR(INDEX('Challan Master'!$E$4:$E$207,MATCH($B112,'Challan Master'!$S$4:$S$207,0)),"")&amp;" | Tax ₹"&amp;TEXT(IFERROR(INDEX('Challan Master'!$G$4:$G$207,MATCH($B112,'Challan Master'!$S$4:$S$207,0)),""),"#,##0")&amp;" | Section "&amp;IFERROR(INDEX('Challan Master'!$F$4:$F$207,MATCH($B112,'Challan Master'!$S$4:$S$207,0)),""))</f>
      </c>
      <c r="D112" s="8"/>
      <c r="E112" s="8"/>
      <c r="F112" s="7">
        <f>IF($D112="","",IF(AND(LEN(TRIM(UPPER(E112)))=10,CODE(MID(TRIM(UPPER(E112)),1,1))&gt;=65,CODE(MID(TRIM(UPPER(E112)),1,1))&lt;=90,CODE(MID(TRIM(UPPER(E112)),2,1))&gt;=65,CODE(MID(TRIM(UPPER(E112)),2,1))&lt;=90,CODE(MID(TRIM(UPPER(E112)),3,1))&gt;=65,CODE(MID(TRIM(UPPER(E112)),3,1))&lt;=90,CODE(MID(TRIM(UPPER(E112)),4,1))&gt;=65,CODE(MID(TRIM(UPPER(E112)),4,1))&lt;=90,CODE(MID(TRIM(UPPER(E112)),5,1))&gt;=65,CODE(MID(TRIM(UPPER(E112)),5,1))&lt;=90,CODE(MID(TRIM(UPPER(E112)),10,1))&gt;=65,CODE(MID(TRIM(UPPER(E112)),10,1))&lt;=90,CODE(MID(TRIM(UPPER(E112)),6,1))&gt;=48,CODE(MID(TRIM(UPPER(E112)),6,1))&lt;=57,CODE(MID(TRIM(UPPER(E112)),7,1))&gt;=48,CODE(MID(TRIM(UPPER(E112)),7,1))&lt;=57,CODE(MID(TRIM(UPPER(E112)),8,1))&gt;=48,CODE(MID(TRIM(UPPER(E112)),8,1))&lt;=57,CODE(MID(TRIM(UPPER(E112)),9,1))&gt;=48,CODE(MID(TRIM(UPPER(E112)),9,1))&lt;=57),"N","Y"))</f>
      </c>
      <c r="G112" s="7">
        <f>IF($D112="","",IF(LEN(E112)&lt;4,"",IF(UPPER(MID(E112,4,1))="P","Individual",IF(UPPER(MID(E112,4,1))="H","HUF",IF(UPPER(MID(E112,4,1))="C","Company",IF(UPPER(MID(E112,4,1))="F","Firm",IF(UPPER(MID(E112,4,1))="L","LLP",IF(UPPER(MID(E112,4,1))="T","Trust",IF(UPPER(MID(E112,4,1))="A","AOP","")))))))))</f>
      </c>
      <c r="H112" s="8"/>
      <c r="I112" s="7">
        <f>IF($D112="","",IF(H112="","",IF(F112="Y",SUMPRODUCT(('Rate Lookup'!$A$1:$A$37=H112)*'Rate Lookup'!$D$1:$D$37),IF(OR(G112="Individual",G112="HUF"),SUMPRODUCT(('Rate Lookup'!$A$1:$A$37=H112)*'Rate Lookup'!$B$1:$B$37),SUMPRODUCT(('Rate Lookup'!$A$1:$A$37=H112)*'Rate Lookup'!$C$1:$C$37)))))</f>
      </c>
      <c r="J112" s="8"/>
      <c r="K112" s="8"/>
      <c r="L112" s="7">
        <f>IF($D112="","",ROUND(K112*I112/100,0))</f>
      </c>
      <c r="M112" s="7">
        <f>IF($D112="","",0)</f>
      </c>
      <c r="N112" s="7">
        <f>IF($D112="","",0)</f>
      </c>
      <c r="O112" s="7">
        <f>IF($D112="","",IF(OR(L112=0,J112="",IFERROR(INDEX('Challan Master'!$D$4:$D$207,MATCH($B112,'Challan Master'!$S$4:$S$207,0)),"")="",IFERROR(INDEX('Challan Master'!$D$4:$D$207,MATCH($B112,'Challan Master'!$S$4:$S$207,0)),"")&lt;=0),0,IF(IFERROR(INDEX('Challan Master'!$D$4:$D$207,MATCH($B112,'Challan Master'!$S$4:$S$207,0)),"")&lt;=DATE(YEAR(J112),MONTH(J112)+1,7),0,ROUND(L112*0.015*((YEAR(IFERROR(INDEX('Challan Master'!$D$4:$D$207,MATCH($B112,'Challan Master'!$S$4:$S$207,0)),""))-YEAR(J112))*12+(MONTH(IFERROR(INDEX('Challan Master'!$D$4:$D$207,MATCH($B112,'Challan Master'!$S$4:$S$207,0)),""))-MONTH(J112))+1),0))))</f>
      </c>
      <c r="P112" s="7">
        <f>IF($D112="","",0)</f>
      </c>
      <c r="Q112" s="8"/>
      <c r="R112" s="8"/>
      <c r="S112" s="8"/>
      <c r="T112" s="8"/>
      <c r="U112" s="8"/>
      <c r="V112" s="7">
        <f>IF($B112="","",IFERROR(INDEX('Challan Master'!$AA$4:$AA$207,MATCH($B112,'Challan Master'!$S$4:$S$207,0)),""))</f>
      </c>
    </row>
    <row r="113" spans="1:22" x14ac:dyDescent="0.25">
      <c r="A113" s="7">
        <f>IF($D113="","",COUNTIF($D$4:$D113,"&lt;&gt;"))</f>
      </c>
      <c r="B113" s="8"/>
      <c r="C113" s="7">
        <f>IF($B113="","","BSR "&amp;IFERROR(INDEX('Challan Master'!$B$4:$B$207,MATCH($B113,'Challan Master'!$S$4:$S$207,0)),"")&amp;" | Serial "&amp;IFERROR(INDEX('Challan Master'!$C$4:$C$207,MATCH($B113,'Challan Master'!$S$4:$S$207,0)),"")&amp;" | Deposit "&amp;TEXT(IFERROR(INDEX('Challan Master'!$D$4:$D$207,MATCH($B113,'Challan Master'!$S$4:$S$207,0)),""),"dd-mm-yyyy")&amp;" | Minor Head "&amp;IFERROR(INDEX('Challan Master'!$E$4:$E$207,MATCH($B113,'Challan Master'!$S$4:$S$207,0)),"")&amp;" | Tax ₹"&amp;TEXT(IFERROR(INDEX('Challan Master'!$G$4:$G$207,MATCH($B113,'Challan Master'!$S$4:$S$207,0)),""),"#,##0")&amp;" | Section "&amp;IFERROR(INDEX('Challan Master'!$F$4:$F$207,MATCH($B113,'Challan Master'!$S$4:$S$207,0)),""))</f>
      </c>
      <c r="D113" s="8"/>
      <c r="E113" s="8"/>
      <c r="F113" s="7">
        <f>IF($D113="","",IF(AND(LEN(TRIM(UPPER(E113)))=10,CODE(MID(TRIM(UPPER(E113)),1,1))&gt;=65,CODE(MID(TRIM(UPPER(E113)),1,1))&lt;=90,CODE(MID(TRIM(UPPER(E113)),2,1))&gt;=65,CODE(MID(TRIM(UPPER(E113)),2,1))&lt;=90,CODE(MID(TRIM(UPPER(E113)),3,1))&gt;=65,CODE(MID(TRIM(UPPER(E113)),3,1))&lt;=90,CODE(MID(TRIM(UPPER(E113)),4,1))&gt;=65,CODE(MID(TRIM(UPPER(E113)),4,1))&lt;=90,CODE(MID(TRIM(UPPER(E113)),5,1))&gt;=65,CODE(MID(TRIM(UPPER(E113)),5,1))&lt;=90,CODE(MID(TRIM(UPPER(E113)),10,1))&gt;=65,CODE(MID(TRIM(UPPER(E113)),10,1))&lt;=90,CODE(MID(TRIM(UPPER(E113)),6,1))&gt;=48,CODE(MID(TRIM(UPPER(E113)),6,1))&lt;=57,CODE(MID(TRIM(UPPER(E113)),7,1))&gt;=48,CODE(MID(TRIM(UPPER(E113)),7,1))&lt;=57,CODE(MID(TRIM(UPPER(E113)),8,1))&gt;=48,CODE(MID(TRIM(UPPER(E113)),8,1))&lt;=57,CODE(MID(TRIM(UPPER(E113)),9,1))&gt;=48,CODE(MID(TRIM(UPPER(E113)),9,1))&lt;=57),"N","Y"))</f>
      </c>
      <c r="G113" s="7">
        <f>IF($D113="","",IF(LEN(E113)&lt;4,"",IF(UPPER(MID(E113,4,1))="P","Individual",IF(UPPER(MID(E113,4,1))="H","HUF",IF(UPPER(MID(E113,4,1))="C","Company",IF(UPPER(MID(E113,4,1))="F","Firm",IF(UPPER(MID(E113,4,1))="L","LLP",IF(UPPER(MID(E113,4,1))="T","Trust",IF(UPPER(MID(E113,4,1))="A","AOP","")))))))))</f>
      </c>
      <c r="H113" s="8"/>
      <c r="I113" s="7">
        <f>IF($D113="","",IF(H113="","",IF(F113="Y",SUMPRODUCT(('Rate Lookup'!$A$1:$A$37=H113)*'Rate Lookup'!$D$1:$D$37),IF(OR(G113="Individual",G113="HUF"),SUMPRODUCT(('Rate Lookup'!$A$1:$A$37=H113)*'Rate Lookup'!$B$1:$B$37),SUMPRODUCT(('Rate Lookup'!$A$1:$A$37=H113)*'Rate Lookup'!$C$1:$C$37)))))</f>
      </c>
      <c r="J113" s="8"/>
      <c r="K113" s="8"/>
      <c r="L113" s="7">
        <f>IF($D113="","",ROUND(K113*I113/100,0))</f>
      </c>
      <c r="M113" s="7">
        <f>IF($D113="","",0)</f>
      </c>
      <c r="N113" s="7">
        <f>IF($D113="","",0)</f>
      </c>
      <c r="O113" s="7">
        <f>IF($D113="","",IF(OR(L113=0,J113="",IFERROR(INDEX('Challan Master'!$D$4:$D$207,MATCH($B113,'Challan Master'!$S$4:$S$207,0)),"")="",IFERROR(INDEX('Challan Master'!$D$4:$D$207,MATCH($B113,'Challan Master'!$S$4:$S$207,0)),"")&lt;=0),0,IF(IFERROR(INDEX('Challan Master'!$D$4:$D$207,MATCH($B113,'Challan Master'!$S$4:$S$207,0)),"")&lt;=DATE(YEAR(J113),MONTH(J113)+1,7),0,ROUND(L113*0.015*((YEAR(IFERROR(INDEX('Challan Master'!$D$4:$D$207,MATCH($B113,'Challan Master'!$S$4:$S$207,0)),""))-YEAR(J113))*12+(MONTH(IFERROR(INDEX('Challan Master'!$D$4:$D$207,MATCH($B113,'Challan Master'!$S$4:$S$207,0)),""))-MONTH(J113))+1),0))))</f>
      </c>
      <c r="P113" s="7">
        <f>IF($D113="","",0)</f>
      </c>
      <c r="Q113" s="8"/>
      <c r="R113" s="8"/>
      <c r="S113" s="8"/>
      <c r="T113" s="8"/>
      <c r="U113" s="8"/>
      <c r="V113" s="7">
        <f>IF($B113="","",IFERROR(INDEX('Challan Master'!$AA$4:$AA$207,MATCH($B113,'Challan Master'!$S$4:$S$207,0)),""))</f>
      </c>
    </row>
    <row r="114" spans="1:22" x14ac:dyDescent="0.25">
      <c r="A114" s="7">
        <f>IF($D114="","",COUNTIF($D$4:$D114,"&lt;&gt;"))</f>
      </c>
      <c r="B114" s="8"/>
      <c r="C114" s="7">
        <f>IF($B114="","","BSR "&amp;IFERROR(INDEX('Challan Master'!$B$4:$B$207,MATCH($B114,'Challan Master'!$S$4:$S$207,0)),"")&amp;" | Serial "&amp;IFERROR(INDEX('Challan Master'!$C$4:$C$207,MATCH($B114,'Challan Master'!$S$4:$S$207,0)),"")&amp;" | Deposit "&amp;TEXT(IFERROR(INDEX('Challan Master'!$D$4:$D$207,MATCH($B114,'Challan Master'!$S$4:$S$207,0)),""),"dd-mm-yyyy")&amp;" | Minor Head "&amp;IFERROR(INDEX('Challan Master'!$E$4:$E$207,MATCH($B114,'Challan Master'!$S$4:$S$207,0)),"")&amp;" | Tax ₹"&amp;TEXT(IFERROR(INDEX('Challan Master'!$G$4:$G$207,MATCH($B114,'Challan Master'!$S$4:$S$207,0)),""),"#,##0")&amp;" | Section "&amp;IFERROR(INDEX('Challan Master'!$F$4:$F$207,MATCH($B114,'Challan Master'!$S$4:$S$207,0)),""))</f>
      </c>
      <c r="D114" s="8"/>
      <c r="E114" s="8"/>
      <c r="F114" s="7">
        <f>IF($D114="","",IF(AND(LEN(TRIM(UPPER(E114)))=10,CODE(MID(TRIM(UPPER(E114)),1,1))&gt;=65,CODE(MID(TRIM(UPPER(E114)),1,1))&lt;=90,CODE(MID(TRIM(UPPER(E114)),2,1))&gt;=65,CODE(MID(TRIM(UPPER(E114)),2,1))&lt;=90,CODE(MID(TRIM(UPPER(E114)),3,1))&gt;=65,CODE(MID(TRIM(UPPER(E114)),3,1))&lt;=90,CODE(MID(TRIM(UPPER(E114)),4,1))&gt;=65,CODE(MID(TRIM(UPPER(E114)),4,1))&lt;=90,CODE(MID(TRIM(UPPER(E114)),5,1))&gt;=65,CODE(MID(TRIM(UPPER(E114)),5,1))&lt;=90,CODE(MID(TRIM(UPPER(E114)),10,1))&gt;=65,CODE(MID(TRIM(UPPER(E114)),10,1))&lt;=90,CODE(MID(TRIM(UPPER(E114)),6,1))&gt;=48,CODE(MID(TRIM(UPPER(E114)),6,1))&lt;=57,CODE(MID(TRIM(UPPER(E114)),7,1))&gt;=48,CODE(MID(TRIM(UPPER(E114)),7,1))&lt;=57,CODE(MID(TRIM(UPPER(E114)),8,1))&gt;=48,CODE(MID(TRIM(UPPER(E114)),8,1))&lt;=57,CODE(MID(TRIM(UPPER(E114)),9,1))&gt;=48,CODE(MID(TRIM(UPPER(E114)),9,1))&lt;=57),"N","Y"))</f>
      </c>
      <c r="G114" s="7">
        <f>IF($D114="","",IF(LEN(E114)&lt;4,"",IF(UPPER(MID(E114,4,1))="P","Individual",IF(UPPER(MID(E114,4,1))="H","HUF",IF(UPPER(MID(E114,4,1))="C","Company",IF(UPPER(MID(E114,4,1))="F","Firm",IF(UPPER(MID(E114,4,1))="L","LLP",IF(UPPER(MID(E114,4,1))="T","Trust",IF(UPPER(MID(E114,4,1))="A","AOP","")))))))))</f>
      </c>
      <c r="H114" s="8"/>
      <c r="I114" s="7">
        <f>IF($D114="","",IF(H114="","",IF(F114="Y",SUMPRODUCT(('Rate Lookup'!$A$1:$A$37=H114)*'Rate Lookup'!$D$1:$D$37),IF(OR(G114="Individual",G114="HUF"),SUMPRODUCT(('Rate Lookup'!$A$1:$A$37=H114)*'Rate Lookup'!$B$1:$B$37),SUMPRODUCT(('Rate Lookup'!$A$1:$A$37=H114)*'Rate Lookup'!$C$1:$C$37)))))</f>
      </c>
      <c r="J114" s="8"/>
      <c r="K114" s="8"/>
      <c r="L114" s="7">
        <f>IF($D114="","",ROUND(K114*I114/100,0))</f>
      </c>
      <c r="M114" s="7">
        <f>IF($D114="","",0)</f>
      </c>
      <c r="N114" s="7">
        <f>IF($D114="","",0)</f>
      </c>
      <c r="O114" s="7">
        <f>IF($D114="","",IF(OR(L114=0,J114="",IFERROR(INDEX('Challan Master'!$D$4:$D$207,MATCH($B114,'Challan Master'!$S$4:$S$207,0)),"")="",IFERROR(INDEX('Challan Master'!$D$4:$D$207,MATCH($B114,'Challan Master'!$S$4:$S$207,0)),"")&lt;=0),0,IF(IFERROR(INDEX('Challan Master'!$D$4:$D$207,MATCH($B114,'Challan Master'!$S$4:$S$207,0)),"")&lt;=DATE(YEAR(J114),MONTH(J114)+1,7),0,ROUND(L114*0.015*((YEAR(IFERROR(INDEX('Challan Master'!$D$4:$D$207,MATCH($B114,'Challan Master'!$S$4:$S$207,0)),""))-YEAR(J114))*12+(MONTH(IFERROR(INDEX('Challan Master'!$D$4:$D$207,MATCH($B114,'Challan Master'!$S$4:$S$207,0)),""))-MONTH(J114))+1),0))))</f>
      </c>
      <c r="P114" s="7">
        <f>IF($D114="","",0)</f>
      </c>
      <c r="Q114" s="8"/>
      <c r="R114" s="8"/>
      <c r="S114" s="8"/>
      <c r="T114" s="8"/>
      <c r="U114" s="8"/>
      <c r="V114" s="7">
        <f>IF($B114="","",IFERROR(INDEX('Challan Master'!$AA$4:$AA$207,MATCH($B114,'Challan Master'!$S$4:$S$207,0)),""))</f>
      </c>
    </row>
    <row r="115" spans="1:22" x14ac:dyDescent="0.25">
      <c r="A115" s="7">
        <f>IF($D115="","",COUNTIF($D$4:$D115,"&lt;&gt;"))</f>
      </c>
      <c r="B115" s="8"/>
      <c r="C115" s="7">
        <f>IF($B115="","","BSR "&amp;IFERROR(INDEX('Challan Master'!$B$4:$B$207,MATCH($B115,'Challan Master'!$S$4:$S$207,0)),"")&amp;" | Serial "&amp;IFERROR(INDEX('Challan Master'!$C$4:$C$207,MATCH($B115,'Challan Master'!$S$4:$S$207,0)),"")&amp;" | Deposit "&amp;TEXT(IFERROR(INDEX('Challan Master'!$D$4:$D$207,MATCH($B115,'Challan Master'!$S$4:$S$207,0)),""),"dd-mm-yyyy")&amp;" | Minor Head "&amp;IFERROR(INDEX('Challan Master'!$E$4:$E$207,MATCH($B115,'Challan Master'!$S$4:$S$207,0)),"")&amp;" | Tax ₹"&amp;TEXT(IFERROR(INDEX('Challan Master'!$G$4:$G$207,MATCH($B115,'Challan Master'!$S$4:$S$207,0)),""),"#,##0")&amp;" | Section "&amp;IFERROR(INDEX('Challan Master'!$F$4:$F$207,MATCH($B115,'Challan Master'!$S$4:$S$207,0)),""))</f>
      </c>
      <c r="D115" s="8"/>
      <c r="E115" s="8"/>
      <c r="F115" s="7">
        <f>IF($D115="","",IF(AND(LEN(TRIM(UPPER(E115)))=10,CODE(MID(TRIM(UPPER(E115)),1,1))&gt;=65,CODE(MID(TRIM(UPPER(E115)),1,1))&lt;=90,CODE(MID(TRIM(UPPER(E115)),2,1))&gt;=65,CODE(MID(TRIM(UPPER(E115)),2,1))&lt;=90,CODE(MID(TRIM(UPPER(E115)),3,1))&gt;=65,CODE(MID(TRIM(UPPER(E115)),3,1))&lt;=90,CODE(MID(TRIM(UPPER(E115)),4,1))&gt;=65,CODE(MID(TRIM(UPPER(E115)),4,1))&lt;=90,CODE(MID(TRIM(UPPER(E115)),5,1))&gt;=65,CODE(MID(TRIM(UPPER(E115)),5,1))&lt;=90,CODE(MID(TRIM(UPPER(E115)),10,1))&gt;=65,CODE(MID(TRIM(UPPER(E115)),10,1))&lt;=90,CODE(MID(TRIM(UPPER(E115)),6,1))&gt;=48,CODE(MID(TRIM(UPPER(E115)),6,1))&lt;=57,CODE(MID(TRIM(UPPER(E115)),7,1))&gt;=48,CODE(MID(TRIM(UPPER(E115)),7,1))&lt;=57,CODE(MID(TRIM(UPPER(E115)),8,1))&gt;=48,CODE(MID(TRIM(UPPER(E115)),8,1))&lt;=57,CODE(MID(TRIM(UPPER(E115)),9,1))&gt;=48,CODE(MID(TRIM(UPPER(E115)),9,1))&lt;=57),"N","Y"))</f>
      </c>
      <c r="G115" s="7">
        <f>IF($D115="","",IF(LEN(E115)&lt;4,"",IF(UPPER(MID(E115,4,1))="P","Individual",IF(UPPER(MID(E115,4,1))="H","HUF",IF(UPPER(MID(E115,4,1))="C","Company",IF(UPPER(MID(E115,4,1))="F","Firm",IF(UPPER(MID(E115,4,1))="L","LLP",IF(UPPER(MID(E115,4,1))="T","Trust",IF(UPPER(MID(E115,4,1))="A","AOP","")))))))))</f>
      </c>
      <c r="H115" s="8"/>
      <c r="I115" s="7">
        <f>IF($D115="","",IF(H115="","",IF(F115="Y",SUMPRODUCT(('Rate Lookup'!$A$1:$A$37=H115)*'Rate Lookup'!$D$1:$D$37),IF(OR(G115="Individual",G115="HUF"),SUMPRODUCT(('Rate Lookup'!$A$1:$A$37=H115)*'Rate Lookup'!$B$1:$B$37),SUMPRODUCT(('Rate Lookup'!$A$1:$A$37=H115)*'Rate Lookup'!$C$1:$C$37)))))</f>
      </c>
      <c r="J115" s="8"/>
      <c r="K115" s="8"/>
      <c r="L115" s="7">
        <f>IF($D115="","",ROUND(K115*I115/100,0))</f>
      </c>
      <c r="M115" s="7">
        <f>IF($D115="","",0)</f>
      </c>
      <c r="N115" s="7">
        <f>IF($D115="","",0)</f>
      </c>
      <c r="O115" s="7">
        <f>IF($D115="","",IF(OR(L115=0,J115="",IFERROR(INDEX('Challan Master'!$D$4:$D$207,MATCH($B115,'Challan Master'!$S$4:$S$207,0)),"")="",IFERROR(INDEX('Challan Master'!$D$4:$D$207,MATCH($B115,'Challan Master'!$S$4:$S$207,0)),"")&lt;=0),0,IF(IFERROR(INDEX('Challan Master'!$D$4:$D$207,MATCH($B115,'Challan Master'!$S$4:$S$207,0)),"")&lt;=DATE(YEAR(J115),MONTH(J115)+1,7),0,ROUND(L115*0.015*((YEAR(IFERROR(INDEX('Challan Master'!$D$4:$D$207,MATCH($B115,'Challan Master'!$S$4:$S$207,0)),""))-YEAR(J115))*12+(MONTH(IFERROR(INDEX('Challan Master'!$D$4:$D$207,MATCH($B115,'Challan Master'!$S$4:$S$207,0)),""))-MONTH(J115))+1),0))))</f>
      </c>
      <c r="P115" s="7">
        <f>IF($D115="","",0)</f>
      </c>
      <c r="Q115" s="8"/>
      <c r="R115" s="8"/>
      <c r="S115" s="8"/>
      <c r="T115" s="8"/>
      <c r="U115" s="8"/>
      <c r="V115" s="7">
        <f>IF($B115="","",IFERROR(INDEX('Challan Master'!$AA$4:$AA$207,MATCH($B115,'Challan Master'!$S$4:$S$207,0)),""))</f>
      </c>
    </row>
    <row r="116" spans="1:22" x14ac:dyDescent="0.25">
      <c r="A116" s="7">
        <f>IF($D116="","",COUNTIF($D$4:$D116,"&lt;&gt;"))</f>
      </c>
      <c r="B116" s="8"/>
      <c r="C116" s="7">
        <f>IF($B116="","","BSR "&amp;IFERROR(INDEX('Challan Master'!$B$4:$B$207,MATCH($B116,'Challan Master'!$S$4:$S$207,0)),"")&amp;" | Serial "&amp;IFERROR(INDEX('Challan Master'!$C$4:$C$207,MATCH($B116,'Challan Master'!$S$4:$S$207,0)),"")&amp;" | Deposit "&amp;TEXT(IFERROR(INDEX('Challan Master'!$D$4:$D$207,MATCH($B116,'Challan Master'!$S$4:$S$207,0)),""),"dd-mm-yyyy")&amp;" | Minor Head "&amp;IFERROR(INDEX('Challan Master'!$E$4:$E$207,MATCH($B116,'Challan Master'!$S$4:$S$207,0)),"")&amp;" | Tax ₹"&amp;TEXT(IFERROR(INDEX('Challan Master'!$G$4:$G$207,MATCH($B116,'Challan Master'!$S$4:$S$207,0)),""),"#,##0")&amp;" | Section "&amp;IFERROR(INDEX('Challan Master'!$F$4:$F$207,MATCH($B116,'Challan Master'!$S$4:$S$207,0)),""))</f>
      </c>
      <c r="D116" s="8"/>
      <c r="E116" s="8"/>
      <c r="F116" s="7">
        <f>IF($D116="","",IF(AND(LEN(TRIM(UPPER(E116)))=10,CODE(MID(TRIM(UPPER(E116)),1,1))&gt;=65,CODE(MID(TRIM(UPPER(E116)),1,1))&lt;=90,CODE(MID(TRIM(UPPER(E116)),2,1))&gt;=65,CODE(MID(TRIM(UPPER(E116)),2,1))&lt;=90,CODE(MID(TRIM(UPPER(E116)),3,1))&gt;=65,CODE(MID(TRIM(UPPER(E116)),3,1))&lt;=90,CODE(MID(TRIM(UPPER(E116)),4,1))&gt;=65,CODE(MID(TRIM(UPPER(E116)),4,1))&lt;=90,CODE(MID(TRIM(UPPER(E116)),5,1))&gt;=65,CODE(MID(TRIM(UPPER(E116)),5,1))&lt;=90,CODE(MID(TRIM(UPPER(E116)),10,1))&gt;=65,CODE(MID(TRIM(UPPER(E116)),10,1))&lt;=90,CODE(MID(TRIM(UPPER(E116)),6,1))&gt;=48,CODE(MID(TRIM(UPPER(E116)),6,1))&lt;=57,CODE(MID(TRIM(UPPER(E116)),7,1))&gt;=48,CODE(MID(TRIM(UPPER(E116)),7,1))&lt;=57,CODE(MID(TRIM(UPPER(E116)),8,1))&gt;=48,CODE(MID(TRIM(UPPER(E116)),8,1))&lt;=57,CODE(MID(TRIM(UPPER(E116)),9,1))&gt;=48,CODE(MID(TRIM(UPPER(E116)),9,1))&lt;=57),"N","Y"))</f>
      </c>
      <c r="G116" s="7">
        <f>IF($D116="","",IF(LEN(E116)&lt;4,"",IF(UPPER(MID(E116,4,1))="P","Individual",IF(UPPER(MID(E116,4,1))="H","HUF",IF(UPPER(MID(E116,4,1))="C","Company",IF(UPPER(MID(E116,4,1))="F","Firm",IF(UPPER(MID(E116,4,1))="L","LLP",IF(UPPER(MID(E116,4,1))="T","Trust",IF(UPPER(MID(E116,4,1))="A","AOP","")))))))))</f>
      </c>
      <c r="H116" s="8"/>
      <c r="I116" s="7">
        <f>IF($D116="","",IF(H116="","",IF(F116="Y",SUMPRODUCT(('Rate Lookup'!$A$1:$A$37=H116)*'Rate Lookup'!$D$1:$D$37),IF(OR(G116="Individual",G116="HUF"),SUMPRODUCT(('Rate Lookup'!$A$1:$A$37=H116)*'Rate Lookup'!$B$1:$B$37),SUMPRODUCT(('Rate Lookup'!$A$1:$A$37=H116)*'Rate Lookup'!$C$1:$C$37)))))</f>
      </c>
      <c r="J116" s="8"/>
      <c r="K116" s="8"/>
      <c r="L116" s="7">
        <f>IF($D116="","",ROUND(K116*I116/100,0))</f>
      </c>
      <c r="M116" s="7">
        <f>IF($D116="","",0)</f>
      </c>
      <c r="N116" s="7">
        <f>IF($D116="","",0)</f>
      </c>
      <c r="O116" s="7">
        <f>IF($D116="","",IF(OR(L116=0,J116="",IFERROR(INDEX('Challan Master'!$D$4:$D$207,MATCH($B116,'Challan Master'!$S$4:$S$207,0)),"")="",IFERROR(INDEX('Challan Master'!$D$4:$D$207,MATCH($B116,'Challan Master'!$S$4:$S$207,0)),"")&lt;=0),0,IF(IFERROR(INDEX('Challan Master'!$D$4:$D$207,MATCH($B116,'Challan Master'!$S$4:$S$207,0)),"")&lt;=DATE(YEAR(J116),MONTH(J116)+1,7),0,ROUND(L116*0.015*((YEAR(IFERROR(INDEX('Challan Master'!$D$4:$D$207,MATCH($B116,'Challan Master'!$S$4:$S$207,0)),""))-YEAR(J116))*12+(MONTH(IFERROR(INDEX('Challan Master'!$D$4:$D$207,MATCH($B116,'Challan Master'!$S$4:$S$207,0)),""))-MONTH(J116))+1),0))))</f>
      </c>
      <c r="P116" s="7">
        <f>IF($D116="","",0)</f>
      </c>
      <c r="Q116" s="8"/>
      <c r="R116" s="8"/>
      <c r="S116" s="8"/>
      <c r="T116" s="8"/>
      <c r="U116" s="8"/>
      <c r="V116" s="7">
        <f>IF($B116="","",IFERROR(INDEX('Challan Master'!$AA$4:$AA$207,MATCH($B116,'Challan Master'!$S$4:$S$207,0)),""))</f>
      </c>
    </row>
    <row r="117" spans="1:22" x14ac:dyDescent="0.25">
      <c r="A117" s="7">
        <f>IF($D117="","",COUNTIF($D$4:$D117,"&lt;&gt;"))</f>
      </c>
      <c r="B117" s="8"/>
      <c r="C117" s="7">
        <f>IF($B117="","","BSR "&amp;IFERROR(INDEX('Challan Master'!$B$4:$B$207,MATCH($B117,'Challan Master'!$S$4:$S$207,0)),"")&amp;" | Serial "&amp;IFERROR(INDEX('Challan Master'!$C$4:$C$207,MATCH($B117,'Challan Master'!$S$4:$S$207,0)),"")&amp;" | Deposit "&amp;TEXT(IFERROR(INDEX('Challan Master'!$D$4:$D$207,MATCH($B117,'Challan Master'!$S$4:$S$207,0)),""),"dd-mm-yyyy")&amp;" | Minor Head "&amp;IFERROR(INDEX('Challan Master'!$E$4:$E$207,MATCH($B117,'Challan Master'!$S$4:$S$207,0)),"")&amp;" | Tax ₹"&amp;TEXT(IFERROR(INDEX('Challan Master'!$G$4:$G$207,MATCH($B117,'Challan Master'!$S$4:$S$207,0)),""),"#,##0")&amp;" | Section "&amp;IFERROR(INDEX('Challan Master'!$F$4:$F$207,MATCH($B117,'Challan Master'!$S$4:$S$207,0)),""))</f>
      </c>
      <c r="D117" s="8"/>
      <c r="E117" s="8"/>
      <c r="F117" s="7">
        <f>IF($D117="","",IF(AND(LEN(TRIM(UPPER(E117)))=10,CODE(MID(TRIM(UPPER(E117)),1,1))&gt;=65,CODE(MID(TRIM(UPPER(E117)),1,1))&lt;=90,CODE(MID(TRIM(UPPER(E117)),2,1))&gt;=65,CODE(MID(TRIM(UPPER(E117)),2,1))&lt;=90,CODE(MID(TRIM(UPPER(E117)),3,1))&gt;=65,CODE(MID(TRIM(UPPER(E117)),3,1))&lt;=90,CODE(MID(TRIM(UPPER(E117)),4,1))&gt;=65,CODE(MID(TRIM(UPPER(E117)),4,1))&lt;=90,CODE(MID(TRIM(UPPER(E117)),5,1))&gt;=65,CODE(MID(TRIM(UPPER(E117)),5,1))&lt;=90,CODE(MID(TRIM(UPPER(E117)),10,1))&gt;=65,CODE(MID(TRIM(UPPER(E117)),10,1))&lt;=90,CODE(MID(TRIM(UPPER(E117)),6,1))&gt;=48,CODE(MID(TRIM(UPPER(E117)),6,1))&lt;=57,CODE(MID(TRIM(UPPER(E117)),7,1))&gt;=48,CODE(MID(TRIM(UPPER(E117)),7,1))&lt;=57,CODE(MID(TRIM(UPPER(E117)),8,1))&gt;=48,CODE(MID(TRIM(UPPER(E117)),8,1))&lt;=57,CODE(MID(TRIM(UPPER(E117)),9,1))&gt;=48,CODE(MID(TRIM(UPPER(E117)),9,1))&lt;=57),"N","Y"))</f>
      </c>
      <c r="G117" s="7">
        <f>IF($D117="","",IF(LEN(E117)&lt;4,"",IF(UPPER(MID(E117,4,1))="P","Individual",IF(UPPER(MID(E117,4,1))="H","HUF",IF(UPPER(MID(E117,4,1))="C","Company",IF(UPPER(MID(E117,4,1))="F","Firm",IF(UPPER(MID(E117,4,1))="L","LLP",IF(UPPER(MID(E117,4,1))="T","Trust",IF(UPPER(MID(E117,4,1))="A","AOP","")))))))))</f>
      </c>
      <c r="H117" s="8"/>
      <c r="I117" s="7">
        <f>IF($D117="","",IF(H117="","",IF(F117="Y",SUMPRODUCT(('Rate Lookup'!$A$1:$A$37=H117)*'Rate Lookup'!$D$1:$D$37),IF(OR(G117="Individual",G117="HUF"),SUMPRODUCT(('Rate Lookup'!$A$1:$A$37=H117)*'Rate Lookup'!$B$1:$B$37),SUMPRODUCT(('Rate Lookup'!$A$1:$A$37=H117)*'Rate Lookup'!$C$1:$C$37)))))</f>
      </c>
      <c r="J117" s="8"/>
      <c r="K117" s="8"/>
      <c r="L117" s="7">
        <f>IF($D117="","",ROUND(K117*I117/100,0))</f>
      </c>
      <c r="M117" s="7">
        <f>IF($D117="","",0)</f>
      </c>
      <c r="N117" s="7">
        <f>IF($D117="","",0)</f>
      </c>
      <c r="O117" s="7">
        <f>IF($D117="","",IF(OR(L117=0,J117="",IFERROR(INDEX('Challan Master'!$D$4:$D$207,MATCH($B117,'Challan Master'!$S$4:$S$207,0)),"")="",IFERROR(INDEX('Challan Master'!$D$4:$D$207,MATCH($B117,'Challan Master'!$S$4:$S$207,0)),"")&lt;=0),0,IF(IFERROR(INDEX('Challan Master'!$D$4:$D$207,MATCH($B117,'Challan Master'!$S$4:$S$207,0)),"")&lt;=DATE(YEAR(J117),MONTH(J117)+1,7),0,ROUND(L117*0.015*((YEAR(IFERROR(INDEX('Challan Master'!$D$4:$D$207,MATCH($B117,'Challan Master'!$S$4:$S$207,0)),""))-YEAR(J117))*12+(MONTH(IFERROR(INDEX('Challan Master'!$D$4:$D$207,MATCH($B117,'Challan Master'!$S$4:$S$207,0)),""))-MONTH(J117))+1),0))))</f>
      </c>
      <c r="P117" s="7">
        <f>IF($D117="","",0)</f>
      </c>
      <c r="Q117" s="8"/>
      <c r="R117" s="8"/>
      <c r="S117" s="8"/>
      <c r="T117" s="8"/>
      <c r="U117" s="8"/>
      <c r="V117" s="7">
        <f>IF($B117="","",IFERROR(INDEX('Challan Master'!$AA$4:$AA$207,MATCH($B117,'Challan Master'!$S$4:$S$207,0)),""))</f>
      </c>
    </row>
    <row r="118" spans="1:22" x14ac:dyDescent="0.25">
      <c r="A118" s="7">
        <f>IF($D118="","",COUNTIF($D$4:$D118,"&lt;&gt;"))</f>
      </c>
      <c r="B118" s="8"/>
      <c r="C118" s="7">
        <f>IF($B118="","","BSR "&amp;IFERROR(INDEX('Challan Master'!$B$4:$B$207,MATCH($B118,'Challan Master'!$S$4:$S$207,0)),"")&amp;" | Serial "&amp;IFERROR(INDEX('Challan Master'!$C$4:$C$207,MATCH($B118,'Challan Master'!$S$4:$S$207,0)),"")&amp;" | Deposit "&amp;TEXT(IFERROR(INDEX('Challan Master'!$D$4:$D$207,MATCH($B118,'Challan Master'!$S$4:$S$207,0)),""),"dd-mm-yyyy")&amp;" | Minor Head "&amp;IFERROR(INDEX('Challan Master'!$E$4:$E$207,MATCH($B118,'Challan Master'!$S$4:$S$207,0)),"")&amp;" | Tax ₹"&amp;TEXT(IFERROR(INDEX('Challan Master'!$G$4:$G$207,MATCH($B118,'Challan Master'!$S$4:$S$207,0)),""),"#,##0")&amp;" | Section "&amp;IFERROR(INDEX('Challan Master'!$F$4:$F$207,MATCH($B118,'Challan Master'!$S$4:$S$207,0)),""))</f>
      </c>
      <c r="D118" s="8"/>
      <c r="E118" s="8"/>
      <c r="F118" s="7">
        <f>IF($D118="","",IF(AND(LEN(TRIM(UPPER(E118)))=10,CODE(MID(TRIM(UPPER(E118)),1,1))&gt;=65,CODE(MID(TRIM(UPPER(E118)),1,1))&lt;=90,CODE(MID(TRIM(UPPER(E118)),2,1))&gt;=65,CODE(MID(TRIM(UPPER(E118)),2,1))&lt;=90,CODE(MID(TRIM(UPPER(E118)),3,1))&gt;=65,CODE(MID(TRIM(UPPER(E118)),3,1))&lt;=90,CODE(MID(TRIM(UPPER(E118)),4,1))&gt;=65,CODE(MID(TRIM(UPPER(E118)),4,1))&lt;=90,CODE(MID(TRIM(UPPER(E118)),5,1))&gt;=65,CODE(MID(TRIM(UPPER(E118)),5,1))&lt;=90,CODE(MID(TRIM(UPPER(E118)),10,1))&gt;=65,CODE(MID(TRIM(UPPER(E118)),10,1))&lt;=90,CODE(MID(TRIM(UPPER(E118)),6,1))&gt;=48,CODE(MID(TRIM(UPPER(E118)),6,1))&lt;=57,CODE(MID(TRIM(UPPER(E118)),7,1))&gt;=48,CODE(MID(TRIM(UPPER(E118)),7,1))&lt;=57,CODE(MID(TRIM(UPPER(E118)),8,1))&gt;=48,CODE(MID(TRIM(UPPER(E118)),8,1))&lt;=57,CODE(MID(TRIM(UPPER(E118)),9,1))&gt;=48,CODE(MID(TRIM(UPPER(E118)),9,1))&lt;=57),"N","Y"))</f>
      </c>
      <c r="G118" s="7">
        <f>IF($D118="","",IF(LEN(E118)&lt;4,"",IF(UPPER(MID(E118,4,1))="P","Individual",IF(UPPER(MID(E118,4,1))="H","HUF",IF(UPPER(MID(E118,4,1))="C","Company",IF(UPPER(MID(E118,4,1))="F","Firm",IF(UPPER(MID(E118,4,1))="L","LLP",IF(UPPER(MID(E118,4,1))="T","Trust",IF(UPPER(MID(E118,4,1))="A","AOP","")))))))))</f>
      </c>
      <c r="H118" s="8"/>
      <c r="I118" s="7">
        <f>IF($D118="","",IF(H118="","",IF(F118="Y",SUMPRODUCT(('Rate Lookup'!$A$1:$A$37=H118)*'Rate Lookup'!$D$1:$D$37),IF(OR(G118="Individual",G118="HUF"),SUMPRODUCT(('Rate Lookup'!$A$1:$A$37=H118)*'Rate Lookup'!$B$1:$B$37),SUMPRODUCT(('Rate Lookup'!$A$1:$A$37=H118)*'Rate Lookup'!$C$1:$C$37)))))</f>
      </c>
      <c r="J118" s="8"/>
      <c r="K118" s="8"/>
      <c r="L118" s="7">
        <f>IF($D118="","",ROUND(K118*I118/100,0))</f>
      </c>
      <c r="M118" s="7">
        <f>IF($D118="","",0)</f>
      </c>
      <c r="N118" s="7">
        <f>IF($D118="","",0)</f>
      </c>
      <c r="O118" s="7">
        <f>IF($D118="","",IF(OR(L118=0,J118="",IFERROR(INDEX('Challan Master'!$D$4:$D$207,MATCH($B118,'Challan Master'!$S$4:$S$207,0)),"")="",IFERROR(INDEX('Challan Master'!$D$4:$D$207,MATCH($B118,'Challan Master'!$S$4:$S$207,0)),"")&lt;=0),0,IF(IFERROR(INDEX('Challan Master'!$D$4:$D$207,MATCH($B118,'Challan Master'!$S$4:$S$207,0)),"")&lt;=DATE(YEAR(J118),MONTH(J118)+1,7),0,ROUND(L118*0.015*((YEAR(IFERROR(INDEX('Challan Master'!$D$4:$D$207,MATCH($B118,'Challan Master'!$S$4:$S$207,0)),""))-YEAR(J118))*12+(MONTH(IFERROR(INDEX('Challan Master'!$D$4:$D$207,MATCH($B118,'Challan Master'!$S$4:$S$207,0)),""))-MONTH(J118))+1),0))))</f>
      </c>
      <c r="P118" s="7">
        <f>IF($D118="","",0)</f>
      </c>
      <c r="Q118" s="8"/>
      <c r="R118" s="8"/>
      <c r="S118" s="8"/>
      <c r="T118" s="8"/>
      <c r="U118" s="8"/>
      <c r="V118" s="7">
        <f>IF($B118="","",IFERROR(INDEX('Challan Master'!$AA$4:$AA$207,MATCH($B118,'Challan Master'!$S$4:$S$207,0)),""))</f>
      </c>
    </row>
    <row r="119" spans="1:22" x14ac:dyDescent="0.25">
      <c r="A119" s="7">
        <f>IF($D119="","",COUNTIF($D$4:$D119,"&lt;&gt;"))</f>
      </c>
      <c r="B119" s="8"/>
      <c r="C119" s="7">
        <f>IF($B119="","","BSR "&amp;IFERROR(INDEX('Challan Master'!$B$4:$B$207,MATCH($B119,'Challan Master'!$S$4:$S$207,0)),"")&amp;" | Serial "&amp;IFERROR(INDEX('Challan Master'!$C$4:$C$207,MATCH($B119,'Challan Master'!$S$4:$S$207,0)),"")&amp;" | Deposit "&amp;TEXT(IFERROR(INDEX('Challan Master'!$D$4:$D$207,MATCH($B119,'Challan Master'!$S$4:$S$207,0)),""),"dd-mm-yyyy")&amp;" | Minor Head "&amp;IFERROR(INDEX('Challan Master'!$E$4:$E$207,MATCH($B119,'Challan Master'!$S$4:$S$207,0)),"")&amp;" | Tax ₹"&amp;TEXT(IFERROR(INDEX('Challan Master'!$G$4:$G$207,MATCH($B119,'Challan Master'!$S$4:$S$207,0)),""),"#,##0")&amp;" | Section "&amp;IFERROR(INDEX('Challan Master'!$F$4:$F$207,MATCH($B119,'Challan Master'!$S$4:$S$207,0)),""))</f>
      </c>
      <c r="D119" s="8"/>
      <c r="E119" s="8"/>
      <c r="F119" s="7">
        <f>IF($D119="","",IF(AND(LEN(TRIM(UPPER(E119)))=10,CODE(MID(TRIM(UPPER(E119)),1,1))&gt;=65,CODE(MID(TRIM(UPPER(E119)),1,1))&lt;=90,CODE(MID(TRIM(UPPER(E119)),2,1))&gt;=65,CODE(MID(TRIM(UPPER(E119)),2,1))&lt;=90,CODE(MID(TRIM(UPPER(E119)),3,1))&gt;=65,CODE(MID(TRIM(UPPER(E119)),3,1))&lt;=90,CODE(MID(TRIM(UPPER(E119)),4,1))&gt;=65,CODE(MID(TRIM(UPPER(E119)),4,1))&lt;=90,CODE(MID(TRIM(UPPER(E119)),5,1))&gt;=65,CODE(MID(TRIM(UPPER(E119)),5,1))&lt;=90,CODE(MID(TRIM(UPPER(E119)),10,1))&gt;=65,CODE(MID(TRIM(UPPER(E119)),10,1))&lt;=90,CODE(MID(TRIM(UPPER(E119)),6,1))&gt;=48,CODE(MID(TRIM(UPPER(E119)),6,1))&lt;=57,CODE(MID(TRIM(UPPER(E119)),7,1))&gt;=48,CODE(MID(TRIM(UPPER(E119)),7,1))&lt;=57,CODE(MID(TRIM(UPPER(E119)),8,1))&gt;=48,CODE(MID(TRIM(UPPER(E119)),8,1))&lt;=57,CODE(MID(TRIM(UPPER(E119)),9,1))&gt;=48,CODE(MID(TRIM(UPPER(E119)),9,1))&lt;=57),"N","Y"))</f>
      </c>
      <c r="G119" s="7">
        <f>IF($D119="","",IF(LEN(E119)&lt;4,"",IF(UPPER(MID(E119,4,1))="P","Individual",IF(UPPER(MID(E119,4,1))="H","HUF",IF(UPPER(MID(E119,4,1))="C","Company",IF(UPPER(MID(E119,4,1))="F","Firm",IF(UPPER(MID(E119,4,1))="L","LLP",IF(UPPER(MID(E119,4,1))="T","Trust",IF(UPPER(MID(E119,4,1))="A","AOP","")))))))))</f>
      </c>
      <c r="H119" s="8"/>
      <c r="I119" s="7">
        <f>IF($D119="","",IF(H119="","",IF(F119="Y",SUMPRODUCT(('Rate Lookup'!$A$1:$A$37=H119)*'Rate Lookup'!$D$1:$D$37),IF(OR(G119="Individual",G119="HUF"),SUMPRODUCT(('Rate Lookup'!$A$1:$A$37=H119)*'Rate Lookup'!$B$1:$B$37),SUMPRODUCT(('Rate Lookup'!$A$1:$A$37=H119)*'Rate Lookup'!$C$1:$C$37)))))</f>
      </c>
      <c r="J119" s="8"/>
      <c r="K119" s="8"/>
      <c r="L119" s="7">
        <f>IF($D119="","",ROUND(K119*I119/100,0))</f>
      </c>
      <c r="M119" s="7">
        <f>IF($D119="","",0)</f>
      </c>
      <c r="N119" s="7">
        <f>IF($D119="","",0)</f>
      </c>
      <c r="O119" s="7">
        <f>IF($D119="","",IF(OR(L119=0,J119="",IFERROR(INDEX('Challan Master'!$D$4:$D$207,MATCH($B119,'Challan Master'!$S$4:$S$207,0)),"")="",IFERROR(INDEX('Challan Master'!$D$4:$D$207,MATCH($B119,'Challan Master'!$S$4:$S$207,0)),"")&lt;=0),0,IF(IFERROR(INDEX('Challan Master'!$D$4:$D$207,MATCH($B119,'Challan Master'!$S$4:$S$207,0)),"")&lt;=DATE(YEAR(J119),MONTH(J119)+1,7),0,ROUND(L119*0.015*((YEAR(IFERROR(INDEX('Challan Master'!$D$4:$D$207,MATCH($B119,'Challan Master'!$S$4:$S$207,0)),""))-YEAR(J119))*12+(MONTH(IFERROR(INDEX('Challan Master'!$D$4:$D$207,MATCH($B119,'Challan Master'!$S$4:$S$207,0)),""))-MONTH(J119))+1),0))))</f>
      </c>
      <c r="P119" s="7">
        <f>IF($D119="","",0)</f>
      </c>
      <c r="Q119" s="8"/>
      <c r="R119" s="8"/>
      <c r="S119" s="8"/>
      <c r="T119" s="8"/>
      <c r="U119" s="8"/>
      <c r="V119" s="7">
        <f>IF($B119="","",IFERROR(INDEX('Challan Master'!$AA$4:$AA$207,MATCH($B119,'Challan Master'!$S$4:$S$207,0)),""))</f>
      </c>
    </row>
    <row r="120" spans="1:22" x14ac:dyDescent="0.25">
      <c r="A120" s="7">
        <f>IF($D120="","",COUNTIF($D$4:$D120,"&lt;&gt;"))</f>
      </c>
      <c r="B120" s="8"/>
      <c r="C120" s="7">
        <f>IF($B120="","","BSR "&amp;IFERROR(INDEX('Challan Master'!$B$4:$B$207,MATCH($B120,'Challan Master'!$S$4:$S$207,0)),"")&amp;" | Serial "&amp;IFERROR(INDEX('Challan Master'!$C$4:$C$207,MATCH($B120,'Challan Master'!$S$4:$S$207,0)),"")&amp;" | Deposit "&amp;TEXT(IFERROR(INDEX('Challan Master'!$D$4:$D$207,MATCH($B120,'Challan Master'!$S$4:$S$207,0)),""),"dd-mm-yyyy")&amp;" | Minor Head "&amp;IFERROR(INDEX('Challan Master'!$E$4:$E$207,MATCH($B120,'Challan Master'!$S$4:$S$207,0)),"")&amp;" | Tax ₹"&amp;TEXT(IFERROR(INDEX('Challan Master'!$G$4:$G$207,MATCH($B120,'Challan Master'!$S$4:$S$207,0)),""),"#,##0")&amp;" | Section "&amp;IFERROR(INDEX('Challan Master'!$F$4:$F$207,MATCH($B120,'Challan Master'!$S$4:$S$207,0)),""))</f>
      </c>
      <c r="D120" s="8"/>
      <c r="E120" s="8"/>
      <c r="F120" s="7">
        <f>IF($D120="","",IF(AND(LEN(TRIM(UPPER(E120)))=10,CODE(MID(TRIM(UPPER(E120)),1,1))&gt;=65,CODE(MID(TRIM(UPPER(E120)),1,1))&lt;=90,CODE(MID(TRIM(UPPER(E120)),2,1))&gt;=65,CODE(MID(TRIM(UPPER(E120)),2,1))&lt;=90,CODE(MID(TRIM(UPPER(E120)),3,1))&gt;=65,CODE(MID(TRIM(UPPER(E120)),3,1))&lt;=90,CODE(MID(TRIM(UPPER(E120)),4,1))&gt;=65,CODE(MID(TRIM(UPPER(E120)),4,1))&lt;=90,CODE(MID(TRIM(UPPER(E120)),5,1))&gt;=65,CODE(MID(TRIM(UPPER(E120)),5,1))&lt;=90,CODE(MID(TRIM(UPPER(E120)),10,1))&gt;=65,CODE(MID(TRIM(UPPER(E120)),10,1))&lt;=90,CODE(MID(TRIM(UPPER(E120)),6,1))&gt;=48,CODE(MID(TRIM(UPPER(E120)),6,1))&lt;=57,CODE(MID(TRIM(UPPER(E120)),7,1))&gt;=48,CODE(MID(TRIM(UPPER(E120)),7,1))&lt;=57,CODE(MID(TRIM(UPPER(E120)),8,1))&gt;=48,CODE(MID(TRIM(UPPER(E120)),8,1))&lt;=57,CODE(MID(TRIM(UPPER(E120)),9,1))&gt;=48,CODE(MID(TRIM(UPPER(E120)),9,1))&lt;=57),"N","Y"))</f>
      </c>
      <c r="G120" s="7">
        <f>IF($D120="","",IF(LEN(E120)&lt;4,"",IF(UPPER(MID(E120,4,1))="P","Individual",IF(UPPER(MID(E120,4,1))="H","HUF",IF(UPPER(MID(E120,4,1))="C","Company",IF(UPPER(MID(E120,4,1))="F","Firm",IF(UPPER(MID(E120,4,1))="L","LLP",IF(UPPER(MID(E120,4,1))="T","Trust",IF(UPPER(MID(E120,4,1))="A","AOP","")))))))))</f>
      </c>
      <c r="H120" s="8"/>
      <c r="I120" s="7">
        <f>IF($D120="","",IF(H120="","",IF(F120="Y",SUMPRODUCT(('Rate Lookup'!$A$1:$A$37=H120)*'Rate Lookup'!$D$1:$D$37),IF(OR(G120="Individual",G120="HUF"),SUMPRODUCT(('Rate Lookup'!$A$1:$A$37=H120)*'Rate Lookup'!$B$1:$B$37),SUMPRODUCT(('Rate Lookup'!$A$1:$A$37=H120)*'Rate Lookup'!$C$1:$C$37)))))</f>
      </c>
      <c r="J120" s="8"/>
      <c r="K120" s="8"/>
      <c r="L120" s="7">
        <f>IF($D120="","",ROUND(K120*I120/100,0))</f>
      </c>
      <c r="M120" s="7">
        <f>IF($D120="","",0)</f>
      </c>
      <c r="N120" s="7">
        <f>IF($D120="","",0)</f>
      </c>
      <c r="O120" s="7">
        <f>IF($D120="","",IF(OR(L120=0,J120="",IFERROR(INDEX('Challan Master'!$D$4:$D$207,MATCH($B120,'Challan Master'!$S$4:$S$207,0)),"")="",IFERROR(INDEX('Challan Master'!$D$4:$D$207,MATCH($B120,'Challan Master'!$S$4:$S$207,0)),"")&lt;=0),0,IF(IFERROR(INDEX('Challan Master'!$D$4:$D$207,MATCH($B120,'Challan Master'!$S$4:$S$207,0)),"")&lt;=DATE(YEAR(J120),MONTH(J120)+1,7),0,ROUND(L120*0.015*((YEAR(IFERROR(INDEX('Challan Master'!$D$4:$D$207,MATCH($B120,'Challan Master'!$S$4:$S$207,0)),""))-YEAR(J120))*12+(MONTH(IFERROR(INDEX('Challan Master'!$D$4:$D$207,MATCH($B120,'Challan Master'!$S$4:$S$207,0)),""))-MONTH(J120))+1),0))))</f>
      </c>
      <c r="P120" s="7">
        <f>IF($D120="","",0)</f>
      </c>
      <c r="Q120" s="8"/>
      <c r="R120" s="8"/>
      <c r="S120" s="8"/>
      <c r="T120" s="8"/>
      <c r="U120" s="8"/>
      <c r="V120" s="7">
        <f>IF($B120="","",IFERROR(INDEX('Challan Master'!$AA$4:$AA$207,MATCH($B120,'Challan Master'!$S$4:$S$207,0)),""))</f>
      </c>
    </row>
    <row r="121" spans="1:22" x14ac:dyDescent="0.25">
      <c r="A121" s="7">
        <f>IF($D121="","",COUNTIF($D$4:$D121,"&lt;&gt;"))</f>
      </c>
      <c r="B121" s="8"/>
      <c r="C121" s="7">
        <f>IF($B121="","","BSR "&amp;IFERROR(INDEX('Challan Master'!$B$4:$B$207,MATCH($B121,'Challan Master'!$S$4:$S$207,0)),"")&amp;" | Serial "&amp;IFERROR(INDEX('Challan Master'!$C$4:$C$207,MATCH($B121,'Challan Master'!$S$4:$S$207,0)),"")&amp;" | Deposit "&amp;TEXT(IFERROR(INDEX('Challan Master'!$D$4:$D$207,MATCH($B121,'Challan Master'!$S$4:$S$207,0)),""),"dd-mm-yyyy")&amp;" | Minor Head "&amp;IFERROR(INDEX('Challan Master'!$E$4:$E$207,MATCH($B121,'Challan Master'!$S$4:$S$207,0)),"")&amp;" | Tax ₹"&amp;TEXT(IFERROR(INDEX('Challan Master'!$G$4:$G$207,MATCH($B121,'Challan Master'!$S$4:$S$207,0)),""),"#,##0")&amp;" | Section "&amp;IFERROR(INDEX('Challan Master'!$F$4:$F$207,MATCH($B121,'Challan Master'!$S$4:$S$207,0)),""))</f>
      </c>
      <c r="D121" s="8"/>
      <c r="E121" s="8"/>
      <c r="F121" s="7">
        <f>IF($D121="","",IF(AND(LEN(TRIM(UPPER(E121)))=10,CODE(MID(TRIM(UPPER(E121)),1,1))&gt;=65,CODE(MID(TRIM(UPPER(E121)),1,1))&lt;=90,CODE(MID(TRIM(UPPER(E121)),2,1))&gt;=65,CODE(MID(TRIM(UPPER(E121)),2,1))&lt;=90,CODE(MID(TRIM(UPPER(E121)),3,1))&gt;=65,CODE(MID(TRIM(UPPER(E121)),3,1))&lt;=90,CODE(MID(TRIM(UPPER(E121)),4,1))&gt;=65,CODE(MID(TRIM(UPPER(E121)),4,1))&lt;=90,CODE(MID(TRIM(UPPER(E121)),5,1))&gt;=65,CODE(MID(TRIM(UPPER(E121)),5,1))&lt;=90,CODE(MID(TRIM(UPPER(E121)),10,1))&gt;=65,CODE(MID(TRIM(UPPER(E121)),10,1))&lt;=90,CODE(MID(TRIM(UPPER(E121)),6,1))&gt;=48,CODE(MID(TRIM(UPPER(E121)),6,1))&lt;=57,CODE(MID(TRIM(UPPER(E121)),7,1))&gt;=48,CODE(MID(TRIM(UPPER(E121)),7,1))&lt;=57,CODE(MID(TRIM(UPPER(E121)),8,1))&gt;=48,CODE(MID(TRIM(UPPER(E121)),8,1))&lt;=57,CODE(MID(TRIM(UPPER(E121)),9,1))&gt;=48,CODE(MID(TRIM(UPPER(E121)),9,1))&lt;=57),"N","Y"))</f>
      </c>
      <c r="G121" s="7">
        <f>IF($D121="","",IF(LEN(E121)&lt;4,"",IF(UPPER(MID(E121,4,1))="P","Individual",IF(UPPER(MID(E121,4,1))="H","HUF",IF(UPPER(MID(E121,4,1))="C","Company",IF(UPPER(MID(E121,4,1))="F","Firm",IF(UPPER(MID(E121,4,1))="L","LLP",IF(UPPER(MID(E121,4,1))="T","Trust",IF(UPPER(MID(E121,4,1))="A","AOP","")))))))))</f>
      </c>
      <c r="H121" s="8"/>
      <c r="I121" s="7">
        <f>IF($D121="","",IF(H121="","",IF(F121="Y",SUMPRODUCT(('Rate Lookup'!$A$1:$A$37=H121)*'Rate Lookup'!$D$1:$D$37),IF(OR(G121="Individual",G121="HUF"),SUMPRODUCT(('Rate Lookup'!$A$1:$A$37=H121)*'Rate Lookup'!$B$1:$B$37),SUMPRODUCT(('Rate Lookup'!$A$1:$A$37=H121)*'Rate Lookup'!$C$1:$C$37)))))</f>
      </c>
      <c r="J121" s="8"/>
      <c r="K121" s="8"/>
      <c r="L121" s="7">
        <f>IF($D121="","",ROUND(K121*I121/100,0))</f>
      </c>
      <c r="M121" s="7">
        <f>IF($D121="","",0)</f>
      </c>
      <c r="N121" s="7">
        <f>IF($D121="","",0)</f>
      </c>
      <c r="O121" s="7">
        <f>IF($D121="","",IF(OR(L121=0,J121="",IFERROR(INDEX('Challan Master'!$D$4:$D$207,MATCH($B121,'Challan Master'!$S$4:$S$207,0)),"")="",IFERROR(INDEX('Challan Master'!$D$4:$D$207,MATCH($B121,'Challan Master'!$S$4:$S$207,0)),"")&lt;=0),0,IF(IFERROR(INDEX('Challan Master'!$D$4:$D$207,MATCH($B121,'Challan Master'!$S$4:$S$207,0)),"")&lt;=DATE(YEAR(J121),MONTH(J121)+1,7),0,ROUND(L121*0.015*((YEAR(IFERROR(INDEX('Challan Master'!$D$4:$D$207,MATCH($B121,'Challan Master'!$S$4:$S$207,0)),""))-YEAR(J121))*12+(MONTH(IFERROR(INDEX('Challan Master'!$D$4:$D$207,MATCH($B121,'Challan Master'!$S$4:$S$207,0)),""))-MONTH(J121))+1),0))))</f>
      </c>
      <c r="P121" s="7">
        <f>IF($D121="","",0)</f>
      </c>
      <c r="Q121" s="8"/>
      <c r="R121" s="8"/>
      <c r="S121" s="8"/>
      <c r="T121" s="8"/>
      <c r="U121" s="8"/>
      <c r="V121" s="7">
        <f>IF($B121="","",IFERROR(INDEX('Challan Master'!$AA$4:$AA$207,MATCH($B121,'Challan Master'!$S$4:$S$207,0)),""))</f>
      </c>
    </row>
    <row r="122" spans="1:22" x14ac:dyDescent="0.25">
      <c r="A122" s="7">
        <f>IF($D122="","",COUNTIF($D$4:$D122,"&lt;&gt;"))</f>
      </c>
      <c r="B122" s="8"/>
      <c r="C122" s="7">
        <f>IF($B122="","","BSR "&amp;IFERROR(INDEX('Challan Master'!$B$4:$B$207,MATCH($B122,'Challan Master'!$S$4:$S$207,0)),"")&amp;" | Serial "&amp;IFERROR(INDEX('Challan Master'!$C$4:$C$207,MATCH($B122,'Challan Master'!$S$4:$S$207,0)),"")&amp;" | Deposit "&amp;TEXT(IFERROR(INDEX('Challan Master'!$D$4:$D$207,MATCH($B122,'Challan Master'!$S$4:$S$207,0)),""),"dd-mm-yyyy")&amp;" | Minor Head "&amp;IFERROR(INDEX('Challan Master'!$E$4:$E$207,MATCH($B122,'Challan Master'!$S$4:$S$207,0)),"")&amp;" | Tax ₹"&amp;TEXT(IFERROR(INDEX('Challan Master'!$G$4:$G$207,MATCH($B122,'Challan Master'!$S$4:$S$207,0)),""),"#,##0")&amp;" | Section "&amp;IFERROR(INDEX('Challan Master'!$F$4:$F$207,MATCH($B122,'Challan Master'!$S$4:$S$207,0)),""))</f>
      </c>
      <c r="D122" s="8"/>
      <c r="E122" s="8"/>
      <c r="F122" s="7">
        <f>IF($D122="","",IF(AND(LEN(TRIM(UPPER(E122)))=10,CODE(MID(TRIM(UPPER(E122)),1,1))&gt;=65,CODE(MID(TRIM(UPPER(E122)),1,1))&lt;=90,CODE(MID(TRIM(UPPER(E122)),2,1))&gt;=65,CODE(MID(TRIM(UPPER(E122)),2,1))&lt;=90,CODE(MID(TRIM(UPPER(E122)),3,1))&gt;=65,CODE(MID(TRIM(UPPER(E122)),3,1))&lt;=90,CODE(MID(TRIM(UPPER(E122)),4,1))&gt;=65,CODE(MID(TRIM(UPPER(E122)),4,1))&lt;=90,CODE(MID(TRIM(UPPER(E122)),5,1))&gt;=65,CODE(MID(TRIM(UPPER(E122)),5,1))&lt;=90,CODE(MID(TRIM(UPPER(E122)),10,1))&gt;=65,CODE(MID(TRIM(UPPER(E122)),10,1))&lt;=90,CODE(MID(TRIM(UPPER(E122)),6,1))&gt;=48,CODE(MID(TRIM(UPPER(E122)),6,1))&lt;=57,CODE(MID(TRIM(UPPER(E122)),7,1))&gt;=48,CODE(MID(TRIM(UPPER(E122)),7,1))&lt;=57,CODE(MID(TRIM(UPPER(E122)),8,1))&gt;=48,CODE(MID(TRIM(UPPER(E122)),8,1))&lt;=57,CODE(MID(TRIM(UPPER(E122)),9,1))&gt;=48,CODE(MID(TRIM(UPPER(E122)),9,1))&lt;=57),"N","Y"))</f>
      </c>
      <c r="G122" s="7">
        <f>IF($D122="","",IF(LEN(E122)&lt;4,"",IF(UPPER(MID(E122,4,1))="P","Individual",IF(UPPER(MID(E122,4,1))="H","HUF",IF(UPPER(MID(E122,4,1))="C","Company",IF(UPPER(MID(E122,4,1))="F","Firm",IF(UPPER(MID(E122,4,1))="L","LLP",IF(UPPER(MID(E122,4,1))="T","Trust",IF(UPPER(MID(E122,4,1))="A","AOP","")))))))))</f>
      </c>
      <c r="H122" s="8"/>
      <c r="I122" s="7">
        <f>IF($D122="","",IF(H122="","",IF(F122="Y",SUMPRODUCT(('Rate Lookup'!$A$1:$A$37=H122)*'Rate Lookup'!$D$1:$D$37),IF(OR(G122="Individual",G122="HUF"),SUMPRODUCT(('Rate Lookup'!$A$1:$A$37=H122)*'Rate Lookup'!$B$1:$B$37),SUMPRODUCT(('Rate Lookup'!$A$1:$A$37=H122)*'Rate Lookup'!$C$1:$C$37)))))</f>
      </c>
      <c r="J122" s="8"/>
      <c r="K122" s="8"/>
      <c r="L122" s="7">
        <f>IF($D122="","",ROUND(K122*I122/100,0))</f>
      </c>
      <c r="M122" s="7">
        <f>IF($D122="","",0)</f>
      </c>
      <c r="N122" s="7">
        <f>IF($D122="","",0)</f>
      </c>
      <c r="O122" s="7">
        <f>IF($D122="","",IF(OR(L122=0,J122="",IFERROR(INDEX('Challan Master'!$D$4:$D$207,MATCH($B122,'Challan Master'!$S$4:$S$207,0)),"")="",IFERROR(INDEX('Challan Master'!$D$4:$D$207,MATCH($B122,'Challan Master'!$S$4:$S$207,0)),"")&lt;=0),0,IF(IFERROR(INDEX('Challan Master'!$D$4:$D$207,MATCH($B122,'Challan Master'!$S$4:$S$207,0)),"")&lt;=DATE(YEAR(J122),MONTH(J122)+1,7),0,ROUND(L122*0.015*((YEAR(IFERROR(INDEX('Challan Master'!$D$4:$D$207,MATCH($B122,'Challan Master'!$S$4:$S$207,0)),""))-YEAR(J122))*12+(MONTH(IFERROR(INDEX('Challan Master'!$D$4:$D$207,MATCH($B122,'Challan Master'!$S$4:$S$207,0)),""))-MONTH(J122))+1),0))))</f>
      </c>
      <c r="P122" s="7">
        <f>IF($D122="","",0)</f>
      </c>
      <c r="Q122" s="8"/>
      <c r="R122" s="8"/>
      <c r="S122" s="8"/>
      <c r="T122" s="8"/>
      <c r="U122" s="8"/>
      <c r="V122" s="7">
        <f>IF($B122="","",IFERROR(INDEX('Challan Master'!$AA$4:$AA$207,MATCH($B122,'Challan Master'!$S$4:$S$207,0)),""))</f>
      </c>
    </row>
    <row r="123" spans="1:22" x14ac:dyDescent="0.25">
      <c r="A123" s="7">
        <f>IF($D123="","",COUNTIF($D$4:$D123,"&lt;&gt;"))</f>
      </c>
      <c r="B123" s="8"/>
      <c r="C123" s="7">
        <f>IF($B123="","","BSR "&amp;IFERROR(INDEX('Challan Master'!$B$4:$B$207,MATCH($B123,'Challan Master'!$S$4:$S$207,0)),"")&amp;" | Serial "&amp;IFERROR(INDEX('Challan Master'!$C$4:$C$207,MATCH($B123,'Challan Master'!$S$4:$S$207,0)),"")&amp;" | Deposit "&amp;TEXT(IFERROR(INDEX('Challan Master'!$D$4:$D$207,MATCH($B123,'Challan Master'!$S$4:$S$207,0)),""),"dd-mm-yyyy")&amp;" | Minor Head "&amp;IFERROR(INDEX('Challan Master'!$E$4:$E$207,MATCH($B123,'Challan Master'!$S$4:$S$207,0)),"")&amp;" | Tax ₹"&amp;TEXT(IFERROR(INDEX('Challan Master'!$G$4:$G$207,MATCH($B123,'Challan Master'!$S$4:$S$207,0)),""),"#,##0")&amp;" | Section "&amp;IFERROR(INDEX('Challan Master'!$F$4:$F$207,MATCH($B123,'Challan Master'!$S$4:$S$207,0)),""))</f>
      </c>
      <c r="D123" s="8"/>
      <c r="E123" s="8"/>
      <c r="F123" s="7">
        <f>IF($D123="","",IF(AND(LEN(TRIM(UPPER(E123)))=10,CODE(MID(TRIM(UPPER(E123)),1,1))&gt;=65,CODE(MID(TRIM(UPPER(E123)),1,1))&lt;=90,CODE(MID(TRIM(UPPER(E123)),2,1))&gt;=65,CODE(MID(TRIM(UPPER(E123)),2,1))&lt;=90,CODE(MID(TRIM(UPPER(E123)),3,1))&gt;=65,CODE(MID(TRIM(UPPER(E123)),3,1))&lt;=90,CODE(MID(TRIM(UPPER(E123)),4,1))&gt;=65,CODE(MID(TRIM(UPPER(E123)),4,1))&lt;=90,CODE(MID(TRIM(UPPER(E123)),5,1))&gt;=65,CODE(MID(TRIM(UPPER(E123)),5,1))&lt;=90,CODE(MID(TRIM(UPPER(E123)),10,1))&gt;=65,CODE(MID(TRIM(UPPER(E123)),10,1))&lt;=90,CODE(MID(TRIM(UPPER(E123)),6,1))&gt;=48,CODE(MID(TRIM(UPPER(E123)),6,1))&lt;=57,CODE(MID(TRIM(UPPER(E123)),7,1))&gt;=48,CODE(MID(TRIM(UPPER(E123)),7,1))&lt;=57,CODE(MID(TRIM(UPPER(E123)),8,1))&gt;=48,CODE(MID(TRIM(UPPER(E123)),8,1))&lt;=57,CODE(MID(TRIM(UPPER(E123)),9,1))&gt;=48,CODE(MID(TRIM(UPPER(E123)),9,1))&lt;=57),"N","Y"))</f>
      </c>
      <c r="G123" s="7">
        <f>IF($D123="","",IF(LEN(E123)&lt;4,"",IF(UPPER(MID(E123,4,1))="P","Individual",IF(UPPER(MID(E123,4,1))="H","HUF",IF(UPPER(MID(E123,4,1))="C","Company",IF(UPPER(MID(E123,4,1))="F","Firm",IF(UPPER(MID(E123,4,1))="L","LLP",IF(UPPER(MID(E123,4,1))="T","Trust",IF(UPPER(MID(E123,4,1))="A","AOP","")))))))))</f>
      </c>
      <c r="H123" s="8"/>
      <c r="I123" s="7">
        <f>IF($D123="","",IF(H123="","",IF(F123="Y",SUMPRODUCT(('Rate Lookup'!$A$1:$A$37=H123)*'Rate Lookup'!$D$1:$D$37),IF(OR(G123="Individual",G123="HUF"),SUMPRODUCT(('Rate Lookup'!$A$1:$A$37=H123)*'Rate Lookup'!$B$1:$B$37),SUMPRODUCT(('Rate Lookup'!$A$1:$A$37=H123)*'Rate Lookup'!$C$1:$C$37)))))</f>
      </c>
      <c r="J123" s="8"/>
      <c r="K123" s="8"/>
      <c r="L123" s="7">
        <f>IF($D123="","",ROUND(K123*I123/100,0))</f>
      </c>
      <c r="M123" s="7">
        <f>IF($D123="","",0)</f>
      </c>
      <c r="N123" s="7">
        <f>IF($D123="","",0)</f>
      </c>
      <c r="O123" s="7">
        <f>IF($D123="","",IF(OR(L123=0,J123="",IFERROR(INDEX('Challan Master'!$D$4:$D$207,MATCH($B123,'Challan Master'!$S$4:$S$207,0)),"")="",IFERROR(INDEX('Challan Master'!$D$4:$D$207,MATCH($B123,'Challan Master'!$S$4:$S$207,0)),"")&lt;=0),0,IF(IFERROR(INDEX('Challan Master'!$D$4:$D$207,MATCH($B123,'Challan Master'!$S$4:$S$207,0)),"")&lt;=DATE(YEAR(J123),MONTH(J123)+1,7),0,ROUND(L123*0.015*((YEAR(IFERROR(INDEX('Challan Master'!$D$4:$D$207,MATCH($B123,'Challan Master'!$S$4:$S$207,0)),""))-YEAR(J123))*12+(MONTH(IFERROR(INDEX('Challan Master'!$D$4:$D$207,MATCH($B123,'Challan Master'!$S$4:$S$207,0)),""))-MONTH(J123))+1),0))))</f>
      </c>
      <c r="P123" s="7">
        <f>IF($D123="","",0)</f>
      </c>
      <c r="Q123" s="8"/>
      <c r="R123" s="8"/>
      <c r="S123" s="8"/>
      <c r="T123" s="8"/>
      <c r="U123" s="8"/>
      <c r="V123" s="7">
        <f>IF($B123="","",IFERROR(INDEX('Challan Master'!$AA$4:$AA$207,MATCH($B123,'Challan Master'!$S$4:$S$207,0)),""))</f>
      </c>
    </row>
    <row r="124" spans="1:22" x14ac:dyDescent="0.25">
      <c r="A124" s="7">
        <f>IF($D124="","",COUNTIF($D$4:$D124,"&lt;&gt;"))</f>
      </c>
      <c r="B124" s="8"/>
      <c r="C124" s="7">
        <f>IF($B124="","","BSR "&amp;IFERROR(INDEX('Challan Master'!$B$4:$B$207,MATCH($B124,'Challan Master'!$S$4:$S$207,0)),"")&amp;" | Serial "&amp;IFERROR(INDEX('Challan Master'!$C$4:$C$207,MATCH($B124,'Challan Master'!$S$4:$S$207,0)),"")&amp;" | Deposit "&amp;TEXT(IFERROR(INDEX('Challan Master'!$D$4:$D$207,MATCH($B124,'Challan Master'!$S$4:$S$207,0)),""),"dd-mm-yyyy")&amp;" | Minor Head "&amp;IFERROR(INDEX('Challan Master'!$E$4:$E$207,MATCH($B124,'Challan Master'!$S$4:$S$207,0)),"")&amp;" | Tax ₹"&amp;TEXT(IFERROR(INDEX('Challan Master'!$G$4:$G$207,MATCH($B124,'Challan Master'!$S$4:$S$207,0)),""),"#,##0")&amp;" | Section "&amp;IFERROR(INDEX('Challan Master'!$F$4:$F$207,MATCH($B124,'Challan Master'!$S$4:$S$207,0)),""))</f>
      </c>
      <c r="D124" s="8"/>
      <c r="E124" s="8"/>
      <c r="F124" s="7">
        <f>IF($D124="","",IF(AND(LEN(TRIM(UPPER(E124)))=10,CODE(MID(TRIM(UPPER(E124)),1,1))&gt;=65,CODE(MID(TRIM(UPPER(E124)),1,1))&lt;=90,CODE(MID(TRIM(UPPER(E124)),2,1))&gt;=65,CODE(MID(TRIM(UPPER(E124)),2,1))&lt;=90,CODE(MID(TRIM(UPPER(E124)),3,1))&gt;=65,CODE(MID(TRIM(UPPER(E124)),3,1))&lt;=90,CODE(MID(TRIM(UPPER(E124)),4,1))&gt;=65,CODE(MID(TRIM(UPPER(E124)),4,1))&lt;=90,CODE(MID(TRIM(UPPER(E124)),5,1))&gt;=65,CODE(MID(TRIM(UPPER(E124)),5,1))&lt;=90,CODE(MID(TRIM(UPPER(E124)),10,1))&gt;=65,CODE(MID(TRIM(UPPER(E124)),10,1))&lt;=90,CODE(MID(TRIM(UPPER(E124)),6,1))&gt;=48,CODE(MID(TRIM(UPPER(E124)),6,1))&lt;=57,CODE(MID(TRIM(UPPER(E124)),7,1))&gt;=48,CODE(MID(TRIM(UPPER(E124)),7,1))&lt;=57,CODE(MID(TRIM(UPPER(E124)),8,1))&gt;=48,CODE(MID(TRIM(UPPER(E124)),8,1))&lt;=57,CODE(MID(TRIM(UPPER(E124)),9,1))&gt;=48,CODE(MID(TRIM(UPPER(E124)),9,1))&lt;=57),"N","Y"))</f>
      </c>
      <c r="G124" s="7">
        <f>IF($D124="","",IF(LEN(E124)&lt;4,"",IF(UPPER(MID(E124,4,1))="P","Individual",IF(UPPER(MID(E124,4,1))="H","HUF",IF(UPPER(MID(E124,4,1))="C","Company",IF(UPPER(MID(E124,4,1))="F","Firm",IF(UPPER(MID(E124,4,1))="L","LLP",IF(UPPER(MID(E124,4,1))="T","Trust",IF(UPPER(MID(E124,4,1))="A","AOP","")))))))))</f>
      </c>
      <c r="H124" s="8"/>
      <c r="I124" s="7">
        <f>IF($D124="","",IF(H124="","",IF(F124="Y",SUMPRODUCT(('Rate Lookup'!$A$1:$A$37=H124)*'Rate Lookup'!$D$1:$D$37),IF(OR(G124="Individual",G124="HUF"),SUMPRODUCT(('Rate Lookup'!$A$1:$A$37=H124)*'Rate Lookup'!$B$1:$B$37),SUMPRODUCT(('Rate Lookup'!$A$1:$A$37=H124)*'Rate Lookup'!$C$1:$C$37)))))</f>
      </c>
      <c r="J124" s="8"/>
      <c r="K124" s="8"/>
      <c r="L124" s="7">
        <f>IF($D124="","",ROUND(K124*I124/100,0))</f>
      </c>
      <c r="M124" s="7">
        <f>IF($D124="","",0)</f>
      </c>
      <c r="N124" s="7">
        <f>IF($D124="","",0)</f>
      </c>
      <c r="O124" s="7">
        <f>IF($D124="","",IF(OR(L124=0,J124="",IFERROR(INDEX('Challan Master'!$D$4:$D$207,MATCH($B124,'Challan Master'!$S$4:$S$207,0)),"")="",IFERROR(INDEX('Challan Master'!$D$4:$D$207,MATCH($B124,'Challan Master'!$S$4:$S$207,0)),"")&lt;=0),0,IF(IFERROR(INDEX('Challan Master'!$D$4:$D$207,MATCH($B124,'Challan Master'!$S$4:$S$207,0)),"")&lt;=DATE(YEAR(J124),MONTH(J124)+1,7),0,ROUND(L124*0.015*((YEAR(IFERROR(INDEX('Challan Master'!$D$4:$D$207,MATCH($B124,'Challan Master'!$S$4:$S$207,0)),""))-YEAR(J124))*12+(MONTH(IFERROR(INDEX('Challan Master'!$D$4:$D$207,MATCH($B124,'Challan Master'!$S$4:$S$207,0)),""))-MONTH(J124))+1),0))))</f>
      </c>
      <c r="P124" s="7">
        <f>IF($D124="","",0)</f>
      </c>
      <c r="Q124" s="8"/>
      <c r="R124" s="8"/>
      <c r="S124" s="8"/>
      <c r="T124" s="8"/>
      <c r="U124" s="8"/>
      <c r="V124" s="7">
        <f>IF($B124="","",IFERROR(INDEX('Challan Master'!$AA$4:$AA$207,MATCH($B124,'Challan Master'!$S$4:$S$207,0)),""))</f>
      </c>
    </row>
    <row r="125" spans="1:22" x14ac:dyDescent="0.25">
      <c r="A125" s="7">
        <f>IF($D125="","",COUNTIF($D$4:$D125,"&lt;&gt;"))</f>
      </c>
      <c r="B125" s="8"/>
      <c r="C125" s="7">
        <f>IF($B125="","","BSR "&amp;IFERROR(INDEX('Challan Master'!$B$4:$B$207,MATCH($B125,'Challan Master'!$S$4:$S$207,0)),"")&amp;" | Serial "&amp;IFERROR(INDEX('Challan Master'!$C$4:$C$207,MATCH($B125,'Challan Master'!$S$4:$S$207,0)),"")&amp;" | Deposit "&amp;TEXT(IFERROR(INDEX('Challan Master'!$D$4:$D$207,MATCH($B125,'Challan Master'!$S$4:$S$207,0)),""),"dd-mm-yyyy")&amp;" | Minor Head "&amp;IFERROR(INDEX('Challan Master'!$E$4:$E$207,MATCH($B125,'Challan Master'!$S$4:$S$207,0)),"")&amp;" | Tax ₹"&amp;TEXT(IFERROR(INDEX('Challan Master'!$G$4:$G$207,MATCH($B125,'Challan Master'!$S$4:$S$207,0)),""),"#,##0")&amp;" | Section "&amp;IFERROR(INDEX('Challan Master'!$F$4:$F$207,MATCH($B125,'Challan Master'!$S$4:$S$207,0)),""))</f>
      </c>
      <c r="D125" s="8"/>
      <c r="E125" s="8"/>
      <c r="F125" s="7">
        <f>IF($D125="","",IF(AND(LEN(TRIM(UPPER(E125)))=10,CODE(MID(TRIM(UPPER(E125)),1,1))&gt;=65,CODE(MID(TRIM(UPPER(E125)),1,1))&lt;=90,CODE(MID(TRIM(UPPER(E125)),2,1))&gt;=65,CODE(MID(TRIM(UPPER(E125)),2,1))&lt;=90,CODE(MID(TRIM(UPPER(E125)),3,1))&gt;=65,CODE(MID(TRIM(UPPER(E125)),3,1))&lt;=90,CODE(MID(TRIM(UPPER(E125)),4,1))&gt;=65,CODE(MID(TRIM(UPPER(E125)),4,1))&lt;=90,CODE(MID(TRIM(UPPER(E125)),5,1))&gt;=65,CODE(MID(TRIM(UPPER(E125)),5,1))&lt;=90,CODE(MID(TRIM(UPPER(E125)),10,1))&gt;=65,CODE(MID(TRIM(UPPER(E125)),10,1))&lt;=90,CODE(MID(TRIM(UPPER(E125)),6,1))&gt;=48,CODE(MID(TRIM(UPPER(E125)),6,1))&lt;=57,CODE(MID(TRIM(UPPER(E125)),7,1))&gt;=48,CODE(MID(TRIM(UPPER(E125)),7,1))&lt;=57,CODE(MID(TRIM(UPPER(E125)),8,1))&gt;=48,CODE(MID(TRIM(UPPER(E125)),8,1))&lt;=57,CODE(MID(TRIM(UPPER(E125)),9,1))&gt;=48,CODE(MID(TRIM(UPPER(E125)),9,1))&lt;=57),"N","Y"))</f>
      </c>
      <c r="G125" s="7">
        <f>IF($D125="","",IF(LEN(E125)&lt;4,"",IF(UPPER(MID(E125,4,1))="P","Individual",IF(UPPER(MID(E125,4,1))="H","HUF",IF(UPPER(MID(E125,4,1))="C","Company",IF(UPPER(MID(E125,4,1))="F","Firm",IF(UPPER(MID(E125,4,1))="L","LLP",IF(UPPER(MID(E125,4,1))="T","Trust",IF(UPPER(MID(E125,4,1))="A","AOP","")))))))))</f>
      </c>
      <c r="H125" s="8"/>
      <c r="I125" s="7">
        <f>IF($D125="","",IF(H125="","",IF(F125="Y",SUMPRODUCT(('Rate Lookup'!$A$1:$A$37=H125)*'Rate Lookup'!$D$1:$D$37),IF(OR(G125="Individual",G125="HUF"),SUMPRODUCT(('Rate Lookup'!$A$1:$A$37=H125)*'Rate Lookup'!$B$1:$B$37),SUMPRODUCT(('Rate Lookup'!$A$1:$A$37=H125)*'Rate Lookup'!$C$1:$C$37)))))</f>
      </c>
      <c r="J125" s="8"/>
      <c r="K125" s="8"/>
      <c r="L125" s="7">
        <f>IF($D125="","",ROUND(K125*I125/100,0))</f>
      </c>
      <c r="M125" s="7">
        <f>IF($D125="","",0)</f>
      </c>
      <c r="N125" s="7">
        <f>IF($D125="","",0)</f>
      </c>
      <c r="O125" s="7">
        <f>IF($D125="","",IF(OR(L125=0,J125="",IFERROR(INDEX('Challan Master'!$D$4:$D$207,MATCH($B125,'Challan Master'!$S$4:$S$207,0)),"")="",IFERROR(INDEX('Challan Master'!$D$4:$D$207,MATCH($B125,'Challan Master'!$S$4:$S$207,0)),"")&lt;=0),0,IF(IFERROR(INDEX('Challan Master'!$D$4:$D$207,MATCH($B125,'Challan Master'!$S$4:$S$207,0)),"")&lt;=DATE(YEAR(J125),MONTH(J125)+1,7),0,ROUND(L125*0.015*((YEAR(IFERROR(INDEX('Challan Master'!$D$4:$D$207,MATCH($B125,'Challan Master'!$S$4:$S$207,0)),""))-YEAR(J125))*12+(MONTH(IFERROR(INDEX('Challan Master'!$D$4:$D$207,MATCH($B125,'Challan Master'!$S$4:$S$207,0)),""))-MONTH(J125))+1),0))))</f>
      </c>
      <c r="P125" s="7">
        <f>IF($D125="","",0)</f>
      </c>
      <c r="Q125" s="8"/>
      <c r="R125" s="8"/>
      <c r="S125" s="8"/>
      <c r="T125" s="8"/>
      <c r="U125" s="8"/>
      <c r="V125" s="7">
        <f>IF($B125="","",IFERROR(INDEX('Challan Master'!$AA$4:$AA$207,MATCH($B125,'Challan Master'!$S$4:$S$207,0)),""))</f>
      </c>
    </row>
    <row r="126" spans="1:22" x14ac:dyDescent="0.25">
      <c r="A126" s="7">
        <f>IF($D126="","",COUNTIF($D$4:$D126,"&lt;&gt;"))</f>
      </c>
      <c r="B126" s="8"/>
      <c r="C126" s="7">
        <f>IF($B126="","","BSR "&amp;IFERROR(INDEX('Challan Master'!$B$4:$B$207,MATCH($B126,'Challan Master'!$S$4:$S$207,0)),"")&amp;" | Serial "&amp;IFERROR(INDEX('Challan Master'!$C$4:$C$207,MATCH($B126,'Challan Master'!$S$4:$S$207,0)),"")&amp;" | Deposit "&amp;TEXT(IFERROR(INDEX('Challan Master'!$D$4:$D$207,MATCH($B126,'Challan Master'!$S$4:$S$207,0)),""),"dd-mm-yyyy")&amp;" | Minor Head "&amp;IFERROR(INDEX('Challan Master'!$E$4:$E$207,MATCH($B126,'Challan Master'!$S$4:$S$207,0)),"")&amp;" | Tax ₹"&amp;TEXT(IFERROR(INDEX('Challan Master'!$G$4:$G$207,MATCH($B126,'Challan Master'!$S$4:$S$207,0)),""),"#,##0")&amp;" | Section "&amp;IFERROR(INDEX('Challan Master'!$F$4:$F$207,MATCH($B126,'Challan Master'!$S$4:$S$207,0)),""))</f>
      </c>
      <c r="D126" s="8"/>
      <c r="E126" s="8"/>
      <c r="F126" s="7">
        <f>IF($D126="","",IF(AND(LEN(TRIM(UPPER(E126)))=10,CODE(MID(TRIM(UPPER(E126)),1,1))&gt;=65,CODE(MID(TRIM(UPPER(E126)),1,1))&lt;=90,CODE(MID(TRIM(UPPER(E126)),2,1))&gt;=65,CODE(MID(TRIM(UPPER(E126)),2,1))&lt;=90,CODE(MID(TRIM(UPPER(E126)),3,1))&gt;=65,CODE(MID(TRIM(UPPER(E126)),3,1))&lt;=90,CODE(MID(TRIM(UPPER(E126)),4,1))&gt;=65,CODE(MID(TRIM(UPPER(E126)),4,1))&lt;=90,CODE(MID(TRIM(UPPER(E126)),5,1))&gt;=65,CODE(MID(TRIM(UPPER(E126)),5,1))&lt;=90,CODE(MID(TRIM(UPPER(E126)),10,1))&gt;=65,CODE(MID(TRIM(UPPER(E126)),10,1))&lt;=90,CODE(MID(TRIM(UPPER(E126)),6,1))&gt;=48,CODE(MID(TRIM(UPPER(E126)),6,1))&lt;=57,CODE(MID(TRIM(UPPER(E126)),7,1))&gt;=48,CODE(MID(TRIM(UPPER(E126)),7,1))&lt;=57,CODE(MID(TRIM(UPPER(E126)),8,1))&gt;=48,CODE(MID(TRIM(UPPER(E126)),8,1))&lt;=57,CODE(MID(TRIM(UPPER(E126)),9,1))&gt;=48,CODE(MID(TRIM(UPPER(E126)),9,1))&lt;=57),"N","Y"))</f>
      </c>
      <c r="G126" s="7">
        <f>IF($D126="","",IF(LEN(E126)&lt;4,"",IF(UPPER(MID(E126,4,1))="P","Individual",IF(UPPER(MID(E126,4,1))="H","HUF",IF(UPPER(MID(E126,4,1))="C","Company",IF(UPPER(MID(E126,4,1))="F","Firm",IF(UPPER(MID(E126,4,1))="L","LLP",IF(UPPER(MID(E126,4,1))="T","Trust",IF(UPPER(MID(E126,4,1))="A","AOP","")))))))))</f>
      </c>
      <c r="H126" s="8"/>
      <c r="I126" s="7">
        <f>IF($D126="","",IF(H126="","",IF(F126="Y",SUMPRODUCT(('Rate Lookup'!$A$1:$A$37=H126)*'Rate Lookup'!$D$1:$D$37),IF(OR(G126="Individual",G126="HUF"),SUMPRODUCT(('Rate Lookup'!$A$1:$A$37=H126)*'Rate Lookup'!$B$1:$B$37),SUMPRODUCT(('Rate Lookup'!$A$1:$A$37=H126)*'Rate Lookup'!$C$1:$C$37)))))</f>
      </c>
      <c r="J126" s="8"/>
      <c r="K126" s="8"/>
      <c r="L126" s="7">
        <f>IF($D126="","",ROUND(K126*I126/100,0))</f>
      </c>
      <c r="M126" s="7">
        <f>IF($D126="","",0)</f>
      </c>
      <c r="N126" s="7">
        <f>IF($D126="","",0)</f>
      </c>
      <c r="O126" s="7">
        <f>IF($D126="","",IF(OR(L126=0,J126="",IFERROR(INDEX('Challan Master'!$D$4:$D$207,MATCH($B126,'Challan Master'!$S$4:$S$207,0)),"")="",IFERROR(INDEX('Challan Master'!$D$4:$D$207,MATCH($B126,'Challan Master'!$S$4:$S$207,0)),"")&lt;=0),0,IF(IFERROR(INDEX('Challan Master'!$D$4:$D$207,MATCH($B126,'Challan Master'!$S$4:$S$207,0)),"")&lt;=DATE(YEAR(J126),MONTH(J126)+1,7),0,ROUND(L126*0.015*((YEAR(IFERROR(INDEX('Challan Master'!$D$4:$D$207,MATCH($B126,'Challan Master'!$S$4:$S$207,0)),""))-YEAR(J126))*12+(MONTH(IFERROR(INDEX('Challan Master'!$D$4:$D$207,MATCH($B126,'Challan Master'!$S$4:$S$207,0)),""))-MONTH(J126))+1),0))))</f>
      </c>
      <c r="P126" s="7">
        <f>IF($D126="","",0)</f>
      </c>
      <c r="Q126" s="8"/>
      <c r="R126" s="8"/>
      <c r="S126" s="8"/>
      <c r="T126" s="8"/>
      <c r="U126" s="8"/>
      <c r="V126" s="7">
        <f>IF($B126="","",IFERROR(INDEX('Challan Master'!$AA$4:$AA$207,MATCH($B126,'Challan Master'!$S$4:$S$207,0)),""))</f>
      </c>
    </row>
    <row r="127" spans="1:22" x14ac:dyDescent="0.25">
      <c r="A127" s="7">
        <f>IF($D127="","",COUNTIF($D$4:$D127,"&lt;&gt;"))</f>
      </c>
      <c r="B127" s="8"/>
      <c r="C127" s="7">
        <f>IF($B127="","","BSR "&amp;IFERROR(INDEX('Challan Master'!$B$4:$B$207,MATCH($B127,'Challan Master'!$S$4:$S$207,0)),"")&amp;" | Serial "&amp;IFERROR(INDEX('Challan Master'!$C$4:$C$207,MATCH($B127,'Challan Master'!$S$4:$S$207,0)),"")&amp;" | Deposit "&amp;TEXT(IFERROR(INDEX('Challan Master'!$D$4:$D$207,MATCH($B127,'Challan Master'!$S$4:$S$207,0)),""),"dd-mm-yyyy")&amp;" | Minor Head "&amp;IFERROR(INDEX('Challan Master'!$E$4:$E$207,MATCH($B127,'Challan Master'!$S$4:$S$207,0)),"")&amp;" | Tax ₹"&amp;TEXT(IFERROR(INDEX('Challan Master'!$G$4:$G$207,MATCH($B127,'Challan Master'!$S$4:$S$207,0)),""),"#,##0")&amp;" | Section "&amp;IFERROR(INDEX('Challan Master'!$F$4:$F$207,MATCH($B127,'Challan Master'!$S$4:$S$207,0)),""))</f>
      </c>
      <c r="D127" s="8"/>
      <c r="E127" s="8"/>
      <c r="F127" s="7">
        <f>IF($D127="","",IF(AND(LEN(TRIM(UPPER(E127)))=10,CODE(MID(TRIM(UPPER(E127)),1,1))&gt;=65,CODE(MID(TRIM(UPPER(E127)),1,1))&lt;=90,CODE(MID(TRIM(UPPER(E127)),2,1))&gt;=65,CODE(MID(TRIM(UPPER(E127)),2,1))&lt;=90,CODE(MID(TRIM(UPPER(E127)),3,1))&gt;=65,CODE(MID(TRIM(UPPER(E127)),3,1))&lt;=90,CODE(MID(TRIM(UPPER(E127)),4,1))&gt;=65,CODE(MID(TRIM(UPPER(E127)),4,1))&lt;=90,CODE(MID(TRIM(UPPER(E127)),5,1))&gt;=65,CODE(MID(TRIM(UPPER(E127)),5,1))&lt;=90,CODE(MID(TRIM(UPPER(E127)),10,1))&gt;=65,CODE(MID(TRIM(UPPER(E127)),10,1))&lt;=90,CODE(MID(TRIM(UPPER(E127)),6,1))&gt;=48,CODE(MID(TRIM(UPPER(E127)),6,1))&lt;=57,CODE(MID(TRIM(UPPER(E127)),7,1))&gt;=48,CODE(MID(TRIM(UPPER(E127)),7,1))&lt;=57,CODE(MID(TRIM(UPPER(E127)),8,1))&gt;=48,CODE(MID(TRIM(UPPER(E127)),8,1))&lt;=57,CODE(MID(TRIM(UPPER(E127)),9,1))&gt;=48,CODE(MID(TRIM(UPPER(E127)),9,1))&lt;=57),"N","Y"))</f>
      </c>
      <c r="G127" s="7">
        <f>IF($D127="","",IF(LEN(E127)&lt;4,"",IF(UPPER(MID(E127,4,1))="P","Individual",IF(UPPER(MID(E127,4,1))="H","HUF",IF(UPPER(MID(E127,4,1))="C","Company",IF(UPPER(MID(E127,4,1))="F","Firm",IF(UPPER(MID(E127,4,1))="L","LLP",IF(UPPER(MID(E127,4,1))="T","Trust",IF(UPPER(MID(E127,4,1))="A","AOP","")))))))))</f>
      </c>
      <c r="H127" s="8"/>
      <c r="I127" s="7">
        <f>IF($D127="","",IF(H127="","",IF(F127="Y",SUMPRODUCT(('Rate Lookup'!$A$1:$A$37=H127)*'Rate Lookup'!$D$1:$D$37),IF(OR(G127="Individual",G127="HUF"),SUMPRODUCT(('Rate Lookup'!$A$1:$A$37=H127)*'Rate Lookup'!$B$1:$B$37),SUMPRODUCT(('Rate Lookup'!$A$1:$A$37=H127)*'Rate Lookup'!$C$1:$C$37)))))</f>
      </c>
      <c r="J127" s="8"/>
      <c r="K127" s="8"/>
      <c r="L127" s="7">
        <f>IF($D127="","",ROUND(K127*I127/100,0))</f>
      </c>
      <c r="M127" s="7">
        <f>IF($D127="","",0)</f>
      </c>
      <c r="N127" s="7">
        <f>IF($D127="","",0)</f>
      </c>
      <c r="O127" s="7">
        <f>IF($D127="","",IF(OR(L127=0,J127="",IFERROR(INDEX('Challan Master'!$D$4:$D$207,MATCH($B127,'Challan Master'!$S$4:$S$207,0)),"")="",IFERROR(INDEX('Challan Master'!$D$4:$D$207,MATCH($B127,'Challan Master'!$S$4:$S$207,0)),"")&lt;=0),0,IF(IFERROR(INDEX('Challan Master'!$D$4:$D$207,MATCH($B127,'Challan Master'!$S$4:$S$207,0)),"")&lt;=DATE(YEAR(J127),MONTH(J127)+1,7),0,ROUND(L127*0.015*((YEAR(IFERROR(INDEX('Challan Master'!$D$4:$D$207,MATCH($B127,'Challan Master'!$S$4:$S$207,0)),""))-YEAR(J127))*12+(MONTH(IFERROR(INDEX('Challan Master'!$D$4:$D$207,MATCH($B127,'Challan Master'!$S$4:$S$207,0)),""))-MONTH(J127))+1),0))))</f>
      </c>
      <c r="P127" s="7">
        <f>IF($D127="","",0)</f>
      </c>
      <c r="Q127" s="8"/>
      <c r="R127" s="8"/>
      <c r="S127" s="8"/>
      <c r="T127" s="8"/>
      <c r="U127" s="8"/>
      <c r="V127" s="7">
        <f>IF($B127="","",IFERROR(INDEX('Challan Master'!$AA$4:$AA$207,MATCH($B127,'Challan Master'!$S$4:$S$207,0)),""))</f>
      </c>
    </row>
    <row r="128" spans="1:22" x14ac:dyDescent="0.25">
      <c r="A128" s="7">
        <f>IF($D128="","",COUNTIF($D$4:$D128,"&lt;&gt;"))</f>
      </c>
      <c r="B128" s="8"/>
      <c r="C128" s="7">
        <f>IF($B128="","","BSR "&amp;IFERROR(INDEX('Challan Master'!$B$4:$B$207,MATCH($B128,'Challan Master'!$S$4:$S$207,0)),"")&amp;" | Serial "&amp;IFERROR(INDEX('Challan Master'!$C$4:$C$207,MATCH($B128,'Challan Master'!$S$4:$S$207,0)),"")&amp;" | Deposit "&amp;TEXT(IFERROR(INDEX('Challan Master'!$D$4:$D$207,MATCH($B128,'Challan Master'!$S$4:$S$207,0)),""),"dd-mm-yyyy")&amp;" | Minor Head "&amp;IFERROR(INDEX('Challan Master'!$E$4:$E$207,MATCH($B128,'Challan Master'!$S$4:$S$207,0)),"")&amp;" | Tax ₹"&amp;TEXT(IFERROR(INDEX('Challan Master'!$G$4:$G$207,MATCH($B128,'Challan Master'!$S$4:$S$207,0)),""),"#,##0")&amp;" | Section "&amp;IFERROR(INDEX('Challan Master'!$F$4:$F$207,MATCH($B128,'Challan Master'!$S$4:$S$207,0)),""))</f>
      </c>
      <c r="D128" s="8"/>
      <c r="E128" s="8"/>
      <c r="F128" s="7">
        <f>IF($D128="","",IF(AND(LEN(TRIM(UPPER(E128)))=10,CODE(MID(TRIM(UPPER(E128)),1,1))&gt;=65,CODE(MID(TRIM(UPPER(E128)),1,1))&lt;=90,CODE(MID(TRIM(UPPER(E128)),2,1))&gt;=65,CODE(MID(TRIM(UPPER(E128)),2,1))&lt;=90,CODE(MID(TRIM(UPPER(E128)),3,1))&gt;=65,CODE(MID(TRIM(UPPER(E128)),3,1))&lt;=90,CODE(MID(TRIM(UPPER(E128)),4,1))&gt;=65,CODE(MID(TRIM(UPPER(E128)),4,1))&lt;=90,CODE(MID(TRIM(UPPER(E128)),5,1))&gt;=65,CODE(MID(TRIM(UPPER(E128)),5,1))&lt;=90,CODE(MID(TRIM(UPPER(E128)),10,1))&gt;=65,CODE(MID(TRIM(UPPER(E128)),10,1))&lt;=90,CODE(MID(TRIM(UPPER(E128)),6,1))&gt;=48,CODE(MID(TRIM(UPPER(E128)),6,1))&lt;=57,CODE(MID(TRIM(UPPER(E128)),7,1))&gt;=48,CODE(MID(TRIM(UPPER(E128)),7,1))&lt;=57,CODE(MID(TRIM(UPPER(E128)),8,1))&gt;=48,CODE(MID(TRIM(UPPER(E128)),8,1))&lt;=57,CODE(MID(TRIM(UPPER(E128)),9,1))&gt;=48,CODE(MID(TRIM(UPPER(E128)),9,1))&lt;=57),"N","Y"))</f>
      </c>
      <c r="G128" s="7">
        <f>IF($D128="","",IF(LEN(E128)&lt;4,"",IF(UPPER(MID(E128,4,1))="P","Individual",IF(UPPER(MID(E128,4,1))="H","HUF",IF(UPPER(MID(E128,4,1))="C","Company",IF(UPPER(MID(E128,4,1))="F","Firm",IF(UPPER(MID(E128,4,1))="L","LLP",IF(UPPER(MID(E128,4,1))="T","Trust",IF(UPPER(MID(E128,4,1))="A","AOP","")))))))))</f>
      </c>
      <c r="H128" s="8"/>
      <c r="I128" s="7">
        <f>IF($D128="","",IF(H128="","",IF(F128="Y",SUMPRODUCT(('Rate Lookup'!$A$1:$A$37=H128)*'Rate Lookup'!$D$1:$D$37),IF(OR(G128="Individual",G128="HUF"),SUMPRODUCT(('Rate Lookup'!$A$1:$A$37=H128)*'Rate Lookup'!$B$1:$B$37),SUMPRODUCT(('Rate Lookup'!$A$1:$A$37=H128)*'Rate Lookup'!$C$1:$C$37)))))</f>
      </c>
      <c r="J128" s="8"/>
      <c r="K128" s="8"/>
      <c r="L128" s="7">
        <f>IF($D128="","",ROUND(K128*I128/100,0))</f>
      </c>
      <c r="M128" s="7">
        <f>IF($D128="","",0)</f>
      </c>
      <c r="N128" s="7">
        <f>IF($D128="","",0)</f>
      </c>
      <c r="O128" s="7">
        <f>IF($D128="","",IF(OR(L128=0,J128="",IFERROR(INDEX('Challan Master'!$D$4:$D$207,MATCH($B128,'Challan Master'!$S$4:$S$207,0)),"")="",IFERROR(INDEX('Challan Master'!$D$4:$D$207,MATCH($B128,'Challan Master'!$S$4:$S$207,0)),"")&lt;=0),0,IF(IFERROR(INDEX('Challan Master'!$D$4:$D$207,MATCH($B128,'Challan Master'!$S$4:$S$207,0)),"")&lt;=DATE(YEAR(J128),MONTH(J128)+1,7),0,ROUND(L128*0.015*((YEAR(IFERROR(INDEX('Challan Master'!$D$4:$D$207,MATCH($B128,'Challan Master'!$S$4:$S$207,0)),""))-YEAR(J128))*12+(MONTH(IFERROR(INDEX('Challan Master'!$D$4:$D$207,MATCH($B128,'Challan Master'!$S$4:$S$207,0)),""))-MONTH(J128))+1),0))))</f>
      </c>
      <c r="P128" s="7">
        <f>IF($D128="","",0)</f>
      </c>
      <c r="Q128" s="8"/>
      <c r="R128" s="8"/>
      <c r="S128" s="8"/>
      <c r="T128" s="8"/>
      <c r="U128" s="8"/>
      <c r="V128" s="7">
        <f>IF($B128="","",IFERROR(INDEX('Challan Master'!$AA$4:$AA$207,MATCH($B128,'Challan Master'!$S$4:$S$207,0)),""))</f>
      </c>
    </row>
    <row r="129" spans="1:22" x14ac:dyDescent="0.25">
      <c r="A129" s="7">
        <f>IF($D129="","",COUNTIF($D$4:$D129,"&lt;&gt;"))</f>
      </c>
      <c r="B129" s="8"/>
      <c r="C129" s="7">
        <f>IF($B129="","","BSR "&amp;IFERROR(INDEX('Challan Master'!$B$4:$B$207,MATCH($B129,'Challan Master'!$S$4:$S$207,0)),"")&amp;" | Serial "&amp;IFERROR(INDEX('Challan Master'!$C$4:$C$207,MATCH($B129,'Challan Master'!$S$4:$S$207,0)),"")&amp;" | Deposit "&amp;TEXT(IFERROR(INDEX('Challan Master'!$D$4:$D$207,MATCH($B129,'Challan Master'!$S$4:$S$207,0)),""),"dd-mm-yyyy")&amp;" | Minor Head "&amp;IFERROR(INDEX('Challan Master'!$E$4:$E$207,MATCH($B129,'Challan Master'!$S$4:$S$207,0)),"")&amp;" | Tax ₹"&amp;TEXT(IFERROR(INDEX('Challan Master'!$G$4:$G$207,MATCH($B129,'Challan Master'!$S$4:$S$207,0)),""),"#,##0")&amp;" | Section "&amp;IFERROR(INDEX('Challan Master'!$F$4:$F$207,MATCH($B129,'Challan Master'!$S$4:$S$207,0)),""))</f>
      </c>
      <c r="D129" s="8"/>
      <c r="E129" s="8"/>
      <c r="F129" s="7">
        <f>IF($D129="","",IF(AND(LEN(TRIM(UPPER(E129)))=10,CODE(MID(TRIM(UPPER(E129)),1,1))&gt;=65,CODE(MID(TRIM(UPPER(E129)),1,1))&lt;=90,CODE(MID(TRIM(UPPER(E129)),2,1))&gt;=65,CODE(MID(TRIM(UPPER(E129)),2,1))&lt;=90,CODE(MID(TRIM(UPPER(E129)),3,1))&gt;=65,CODE(MID(TRIM(UPPER(E129)),3,1))&lt;=90,CODE(MID(TRIM(UPPER(E129)),4,1))&gt;=65,CODE(MID(TRIM(UPPER(E129)),4,1))&lt;=90,CODE(MID(TRIM(UPPER(E129)),5,1))&gt;=65,CODE(MID(TRIM(UPPER(E129)),5,1))&lt;=90,CODE(MID(TRIM(UPPER(E129)),10,1))&gt;=65,CODE(MID(TRIM(UPPER(E129)),10,1))&lt;=90,CODE(MID(TRIM(UPPER(E129)),6,1))&gt;=48,CODE(MID(TRIM(UPPER(E129)),6,1))&lt;=57,CODE(MID(TRIM(UPPER(E129)),7,1))&gt;=48,CODE(MID(TRIM(UPPER(E129)),7,1))&lt;=57,CODE(MID(TRIM(UPPER(E129)),8,1))&gt;=48,CODE(MID(TRIM(UPPER(E129)),8,1))&lt;=57,CODE(MID(TRIM(UPPER(E129)),9,1))&gt;=48,CODE(MID(TRIM(UPPER(E129)),9,1))&lt;=57),"N","Y"))</f>
      </c>
      <c r="G129" s="7">
        <f>IF($D129="","",IF(LEN(E129)&lt;4,"",IF(UPPER(MID(E129,4,1))="P","Individual",IF(UPPER(MID(E129,4,1))="H","HUF",IF(UPPER(MID(E129,4,1))="C","Company",IF(UPPER(MID(E129,4,1))="F","Firm",IF(UPPER(MID(E129,4,1))="L","LLP",IF(UPPER(MID(E129,4,1))="T","Trust",IF(UPPER(MID(E129,4,1))="A","AOP","")))))))))</f>
      </c>
      <c r="H129" s="8"/>
      <c r="I129" s="7">
        <f>IF($D129="","",IF(H129="","",IF(F129="Y",SUMPRODUCT(('Rate Lookup'!$A$1:$A$37=H129)*'Rate Lookup'!$D$1:$D$37),IF(OR(G129="Individual",G129="HUF"),SUMPRODUCT(('Rate Lookup'!$A$1:$A$37=H129)*'Rate Lookup'!$B$1:$B$37),SUMPRODUCT(('Rate Lookup'!$A$1:$A$37=H129)*'Rate Lookup'!$C$1:$C$37)))))</f>
      </c>
      <c r="J129" s="8"/>
      <c r="K129" s="8"/>
      <c r="L129" s="7">
        <f>IF($D129="","",ROUND(K129*I129/100,0))</f>
      </c>
      <c r="M129" s="7">
        <f>IF($D129="","",0)</f>
      </c>
      <c r="N129" s="7">
        <f>IF($D129="","",0)</f>
      </c>
      <c r="O129" s="7">
        <f>IF($D129="","",IF(OR(L129=0,J129="",IFERROR(INDEX('Challan Master'!$D$4:$D$207,MATCH($B129,'Challan Master'!$S$4:$S$207,0)),"")="",IFERROR(INDEX('Challan Master'!$D$4:$D$207,MATCH($B129,'Challan Master'!$S$4:$S$207,0)),"")&lt;=0),0,IF(IFERROR(INDEX('Challan Master'!$D$4:$D$207,MATCH($B129,'Challan Master'!$S$4:$S$207,0)),"")&lt;=DATE(YEAR(J129),MONTH(J129)+1,7),0,ROUND(L129*0.015*((YEAR(IFERROR(INDEX('Challan Master'!$D$4:$D$207,MATCH($B129,'Challan Master'!$S$4:$S$207,0)),""))-YEAR(J129))*12+(MONTH(IFERROR(INDEX('Challan Master'!$D$4:$D$207,MATCH($B129,'Challan Master'!$S$4:$S$207,0)),""))-MONTH(J129))+1),0))))</f>
      </c>
      <c r="P129" s="7">
        <f>IF($D129="","",0)</f>
      </c>
      <c r="Q129" s="8"/>
      <c r="R129" s="8"/>
      <c r="S129" s="8"/>
      <c r="T129" s="8"/>
      <c r="U129" s="8"/>
      <c r="V129" s="7">
        <f>IF($B129="","",IFERROR(INDEX('Challan Master'!$AA$4:$AA$207,MATCH($B129,'Challan Master'!$S$4:$S$207,0)),""))</f>
      </c>
    </row>
    <row r="130" spans="1:22" x14ac:dyDescent="0.25">
      <c r="A130" s="7">
        <f>IF($D130="","",COUNTIF($D$4:$D130,"&lt;&gt;"))</f>
      </c>
      <c r="B130" s="8"/>
      <c r="C130" s="7">
        <f>IF($B130="","","BSR "&amp;IFERROR(INDEX('Challan Master'!$B$4:$B$207,MATCH($B130,'Challan Master'!$S$4:$S$207,0)),"")&amp;" | Serial "&amp;IFERROR(INDEX('Challan Master'!$C$4:$C$207,MATCH($B130,'Challan Master'!$S$4:$S$207,0)),"")&amp;" | Deposit "&amp;TEXT(IFERROR(INDEX('Challan Master'!$D$4:$D$207,MATCH($B130,'Challan Master'!$S$4:$S$207,0)),""),"dd-mm-yyyy")&amp;" | Minor Head "&amp;IFERROR(INDEX('Challan Master'!$E$4:$E$207,MATCH($B130,'Challan Master'!$S$4:$S$207,0)),"")&amp;" | Tax ₹"&amp;TEXT(IFERROR(INDEX('Challan Master'!$G$4:$G$207,MATCH($B130,'Challan Master'!$S$4:$S$207,0)),""),"#,##0")&amp;" | Section "&amp;IFERROR(INDEX('Challan Master'!$F$4:$F$207,MATCH($B130,'Challan Master'!$S$4:$S$207,0)),""))</f>
      </c>
      <c r="D130" s="8"/>
      <c r="E130" s="8"/>
      <c r="F130" s="7">
        <f>IF($D130="","",IF(AND(LEN(TRIM(UPPER(E130)))=10,CODE(MID(TRIM(UPPER(E130)),1,1))&gt;=65,CODE(MID(TRIM(UPPER(E130)),1,1))&lt;=90,CODE(MID(TRIM(UPPER(E130)),2,1))&gt;=65,CODE(MID(TRIM(UPPER(E130)),2,1))&lt;=90,CODE(MID(TRIM(UPPER(E130)),3,1))&gt;=65,CODE(MID(TRIM(UPPER(E130)),3,1))&lt;=90,CODE(MID(TRIM(UPPER(E130)),4,1))&gt;=65,CODE(MID(TRIM(UPPER(E130)),4,1))&lt;=90,CODE(MID(TRIM(UPPER(E130)),5,1))&gt;=65,CODE(MID(TRIM(UPPER(E130)),5,1))&lt;=90,CODE(MID(TRIM(UPPER(E130)),10,1))&gt;=65,CODE(MID(TRIM(UPPER(E130)),10,1))&lt;=90,CODE(MID(TRIM(UPPER(E130)),6,1))&gt;=48,CODE(MID(TRIM(UPPER(E130)),6,1))&lt;=57,CODE(MID(TRIM(UPPER(E130)),7,1))&gt;=48,CODE(MID(TRIM(UPPER(E130)),7,1))&lt;=57,CODE(MID(TRIM(UPPER(E130)),8,1))&gt;=48,CODE(MID(TRIM(UPPER(E130)),8,1))&lt;=57,CODE(MID(TRIM(UPPER(E130)),9,1))&gt;=48,CODE(MID(TRIM(UPPER(E130)),9,1))&lt;=57),"N","Y"))</f>
      </c>
      <c r="G130" s="7">
        <f>IF($D130="","",IF(LEN(E130)&lt;4,"",IF(UPPER(MID(E130,4,1))="P","Individual",IF(UPPER(MID(E130,4,1))="H","HUF",IF(UPPER(MID(E130,4,1))="C","Company",IF(UPPER(MID(E130,4,1))="F","Firm",IF(UPPER(MID(E130,4,1))="L","LLP",IF(UPPER(MID(E130,4,1))="T","Trust",IF(UPPER(MID(E130,4,1))="A","AOP","")))))))))</f>
      </c>
      <c r="H130" s="8"/>
      <c r="I130" s="7">
        <f>IF($D130="","",IF(H130="","",IF(F130="Y",SUMPRODUCT(('Rate Lookup'!$A$1:$A$37=H130)*'Rate Lookup'!$D$1:$D$37),IF(OR(G130="Individual",G130="HUF"),SUMPRODUCT(('Rate Lookup'!$A$1:$A$37=H130)*'Rate Lookup'!$B$1:$B$37),SUMPRODUCT(('Rate Lookup'!$A$1:$A$37=H130)*'Rate Lookup'!$C$1:$C$37)))))</f>
      </c>
      <c r="J130" s="8"/>
      <c r="K130" s="8"/>
      <c r="L130" s="7">
        <f>IF($D130="","",ROUND(K130*I130/100,0))</f>
      </c>
      <c r="M130" s="7">
        <f>IF($D130="","",0)</f>
      </c>
      <c r="N130" s="7">
        <f>IF($D130="","",0)</f>
      </c>
      <c r="O130" s="7">
        <f>IF($D130="","",IF(OR(L130=0,J130="",IFERROR(INDEX('Challan Master'!$D$4:$D$207,MATCH($B130,'Challan Master'!$S$4:$S$207,0)),"")="",IFERROR(INDEX('Challan Master'!$D$4:$D$207,MATCH($B130,'Challan Master'!$S$4:$S$207,0)),"")&lt;=0),0,IF(IFERROR(INDEX('Challan Master'!$D$4:$D$207,MATCH($B130,'Challan Master'!$S$4:$S$207,0)),"")&lt;=DATE(YEAR(J130),MONTH(J130)+1,7),0,ROUND(L130*0.015*((YEAR(IFERROR(INDEX('Challan Master'!$D$4:$D$207,MATCH($B130,'Challan Master'!$S$4:$S$207,0)),""))-YEAR(J130))*12+(MONTH(IFERROR(INDEX('Challan Master'!$D$4:$D$207,MATCH($B130,'Challan Master'!$S$4:$S$207,0)),""))-MONTH(J130))+1),0))))</f>
      </c>
      <c r="P130" s="7">
        <f>IF($D130="","",0)</f>
      </c>
      <c r="Q130" s="8"/>
      <c r="R130" s="8"/>
      <c r="S130" s="8"/>
      <c r="T130" s="8"/>
      <c r="U130" s="8"/>
      <c r="V130" s="7">
        <f>IF($B130="","",IFERROR(INDEX('Challan Master'!$AA$4:$AA$207,MATCH($B130,'Challan Master'!$S$4:$S$207,0)),""))</f>
      </c>
    </row>
    <row r="131" spans="1:22" x14ac:dyDescent="0.25">
      <c r="A131" s="7">
        <f>IF($D131="","",COUNTIF($D$4:$D131,"&lt;&gt;"))</f>
      </c>
      <c r="B131" s="8"/>
      <c r="C131" s="7">
        <f>IF($B131="","","BSR "&amp;IFERROR(INDEX('Challan Master'!$B$4:$B$207,MATCH($B131,'Challan Master'!$S$4:$S$207,0)),"")&amp;" | Serial "&amp;IFERROR(INDEX('Challan Master'!$C$4:$C$207,MATCH($B131,'Challan Master'!$S$4:$S$207,0)),"")&amp;" | Deposit "&amp;TEXT(IFERROR(INDEX('Challan Master'!$D$4:$D$207,MATCH($B131,'Challan Master'!$S$4:$S$207,0)),""),"dd-mm-yyyy")&amp;" | Minor Head "&amp;IFERROR(INDEX('Challan Master'!$E$4:$E$207,MATCH($B131,'Challan Master'!$S$4:$S$207,0)),"")&amp;" | Tax ₹"&amp;TEXT(IFERROR(INDEX('Challan Master'!$G$4:$G$207,MATCH($B131,'Challan Master'!$S$4:$S$207,0)),""),"#,##0")&amp;" | Section "&amp;IFERROR(INDEX('Challan Master'!$F$4:$F$207,MATCH($B131,'Challan Master'!$S$4:$S$207,0)),""))</f>
      </c>
      <c r="D131" s="8"/>
      <c r="E131" s="8"/>
      <c r="F131" s="7">
        <f>IF($D131="","",IF(AND(LEN(TRIM(UPPER(E131)))=10,CODE(MID(TRIM(UPPER(E131)),1,1))&gt;=65,CODE(MID(TRIM(UPPER(E131)),1,1))&lt;=90,CODE(MID(TRIM(UPPER(E131)),2,1))&gt;=65,CODE(MID(TRIM(UPPER(E131)),2,1))&lt;=90,CODE(MID(TRIM(UPPER(E131)),3,1))&gt;=65,CODE(MID(TRIM(UPPER(E131)),3,1))&lt;=90,CODE(MID(TRIM(UPPER(E131)),4,1))&gt;=65,CODE(MID(TRIM(UPPER(E131)),4,1))&lt;=90,CODE(MID(TRIM(UPPER(E131)),5,1))&gt;=65,CODE(MID(TRIM(UPPER(E131)),5,1))&lt;=90,CODE(MID(TRIM(UPPER(E131)),10,1))&gt;=65,CODE(MID(TRIM(UPPER(E131)),10,1))&lt;=90,CODE(MID(TRIM(UPPER(E131)),6,1))&gt;=48,CODE(MID(TRIM(UPPER(E131)),6,1))&lt;=57,CODE(MID(TRIM(UPPER(E131)),7,1))&gt;=48,CODE(MID(TRIM(UPPER(E131)),7,1))&lt;=57,CODE(MID(TRIM(UPPER(E131)),8,1))&gt;=48,CODE(MID(TRIM(UPPER(E131)),8,1))&lt;=57,CODE(MID(TRIM(UPPER(E131)),9,1))&gt;=48,CODE(MID(TRIM(UPPER(E131)),9,1))&lt;=57),"N","Y"))</f>
      </c>
      <c r="G131" s="7">
        <f>IF($D131="","",IF(LEN(E131)&lt;4,"",IF(UPPER(MID(E131,4,1))="P","Individual",IF(UPPER(MID(E131,4,1))="H","HUF",IF(UPPER(MID(E131,4,1))="C","Company",IF(UPPER(MID(E131,4,1))="F","Firm",IF(UPPER(MID(E131,4,1))="L","LLP",IF(UPPER(MID(E131,4,1))="T","Trust",IF(UPPER(MID(E131,4,1))="A","AOP","")))))))))</f>
      </c>
      <c r="H131" s="8"/>
      <c r="I131" s="7">
        <f>IF($D131="","",IF(H131="","",IF(F131="Y",SUMPRODUCT(('Rate Lookup'!$A$1:$A$37=H131)*'Rate Lookup'!$D$1:$D$37),IF(OR(G131="Individual",G131="HUF"),SUMPRODUCT(('Rate Lookup'!$A$1:$A$37=H131)*'Rate Lookup'!$B$1:$B$37),SUMPRODUCT(('Rate Lookup'!$A$1:$A$37=H131)*'Rate Lookup'!$C$1:$C$37)))))</f>
      </c>
      <c r="J131" s="8"/>
      <c r="K131" s="8"/>
      <c r="L131" s="7">
        <f>IF($D131="","",ROUND(K131*I131/100,0))</f>
      </c>
      <c r="M131" s="7">
        <f>IF($D131="","",0)</f>
      </c>
      <c r="N131" s="7">
        <f>IF($D131="","",0)</f>
      </c>
      <c r="O131" s="7">
        <f>IF($D131="","",IF(OR(L131=0,J131="",IFERROR(INDEX('Challan Master'!$D$4:$D$207,MATCH($B131,'Challan Master'!$S$4:$S$207,0)),"")="",IFERROR(INDEX('Challan Master'!$D$4:$D$207,MATCH($B131,'Challan Master'!$S$4:$S$207,0)),"")&lt;=0),0,IF(IFERROR(INDEX('Challan Master'!$D$4:$D$207,MATCH($B131,'Challan Master'!$S$4:$S$207,0)),"")&lt;=DATE(YEAR(J131),MONTH(J131)+1,7),0,ROUND(L131*0.015*((YEAR(IFERROR(INDEX('Challan Master'!$D$4:$D$207,MATCH($B131,'Challan Master'!$S$4:$S$207,0)),""))-YEAR(J131))*12+(MONTH(IFERROR(INDEX('Challan Master'!$D$4:$D$207,MATCH($B131,'Challan Master'!$S$4:$S$207,0)),""))-MONTH(J131))+1),0))))</f>
      </c>
      <c r="P131" s="7">
        <f>IF($D131="","",0)</f>
      </c>
      <c r="Q131" s="8"/>
      <c r="R131" s="8"/>
      <c r="S131" s="8"/>
      <c r="T131" s="8"/>
      <c r="U131" s="8"/>
      <c r="V131" s="7">
        <f>IF($B131="","",IFERROR(INDEX('Challan Master'!$AA$4:$AA$207,MATCH($B131,'Challan Master'!$S$4:$S$207,0)),""))</f>
      </c>
    </row>
    <row r="132" spans="1:22" x14ac:dyDescent="0.25">
      <c r="A132" s="7">
        <f>IF($D132="","",COUNTIF($D$4:$D132,"&lt;&gt;"))</f>
      </c>
      <c r="B132" s="8"/>
      <c r="C132" s="7">
        <f>IF($B132="","","BSR "&amp;IFERROR(INDEX('Challan Master'!$B$4:$B$207,MATCH($B132,'Challan Master'!$S$4:$S$207,0)),"")&amp;" | Serial "&amp;IFERROR(INDEX('Challan Master'!$C$4:$C$207,MATCH($B132,'Challan Master'!$S$4:$S$207,0)),"")&amp;" | Deposit "&amp;TEXT(IFERROR(INDEX('Challan Master'!$D$4:$D$207,MATCH($B132,'Challan Master'!$S$4:$S$207,0)),""),"dd-mm-yyyy")&amp;" | Minor Head "&amp;IFERROR(INDEX('Challan Master'!$E$4:$E$207,MATCH($B132,'Challan Master'!$S$4:$S$207,0)),"")&amp;" | Tax ₹"&amp;TEXT(IFERROR(INDEX('Challan Master'!$G$4:$G$207,MATCH($B132,'Challan Master'!$S$4:$S$207,0)),""),"#,##0")&amp;" | Section "&amp;IFERROR(INDEX('Challan Master'!$F$4:$F$207,MATCH($B132,'Challan Master'!$S$4:$S$207,0)),""))</f>
      </c>
      <c r="D132" s="8"/>
      <c r="E132" s="8"/>
      <c r="F132" s="7">
        <f>IF($D132="","",IF(AND(LEN(TRIM(UPPER(E132)))=10,CODE(MID(TRIM(UPPER(E132)),1,1))&gt;=65,CODE(MID(TRIM(UPPER(E132)),1,1))&lt;=90,CODE(MID(TRIM(UPPER(E132)),2,1))&gt;=65,CODE(MID(TRIM(UPPER(E132)),2,1))&lt;=90,CODE(MID(TRIM(UPPER(E132)),3,1))&gt;=65,CODE(MID(TRIM(UPPER(E132)),3,1))&lt;=90,CODE(MID(TRIM(UPPER(E132)),4,1))&gt;=65,CODE(MID(TRIM(UPPER(E132)),4,1))&lt;=90,CODE(MID(TRIM(UPPER(E132)),5,1))&gt;=65,CODE(MID(TRIM(UPPER(E132)),5,1))&lt;=90,CODE(MID(TRIM(UPPER(E132)),10,1))&gt;=65,CODE(MID(TRIM(UPPER(E132)),10,1))&lt;=90,CODE(MID(TRIM(UPPER(E132)),6,1))&gt;=48,CODE(MID(TRIM(UPPER(E132)),6,1))&lt;=57,CODE(MID(TRIM(UPPER(E132)),7,1))&gt;=48,CODE(MID(TRIM(UPPER(E132)),7,1))&lt;=57,CODE(MID(TRIM(UPPER(E132)),8,1))&gt;=48,CODE(MID(TRIM(UPPER(E132)),8,1))&lt;=57,CODE(MID(TRIM(UPPER(E132)),9,1))&gt;=48,CODE(MID(TRIM(UPPER(E132)),9,1))&lt;=57),"N","Y"))</f>
      </c>
      <c r="G132" s="7">
        <f>IF($D132="","",IF(LEN(E132)&lt;4,"",IF(UPPER(MID(E132,4,1))="P","Individual",IF(UPPER(MID(E132,4,1))="H","HUF",IF(UPPER(MID(E132,4,1))="C","Company",IF(UPPER(MID(E132,4,1))="F","Firm",IF(UPPER(MID(E132,4,1))="L","LLP",IF(UPPER(MID(E132,4,1))="T","Trust",IF(UPPER(MID(E132,4,1))="A","AOP","")))))))))</f>
      </c>
      <c r="H132" s="8"/>
      <c r="I132" s="7">
        <f>IF($D132="","",IF(H132="","",IF(F132="Y",SUMPRODUCT(('Rate Lookup'!$A$1:$A$37=H132)*'Rate Lookup'!$D$1:$D$37),IF(OR(G132="Individual",G132="HUF"),SUMPRODUCT(('Rate Lookup'!$A$1:$A$37=H132)*'Rate Lookup'!$B$1:$B$37),SUMPRODUCT(('Rate Lookup'!$A$1:$A$37=H132)*'Rate Lookup'!$C$1:$C$37)))))</f>
      </c>
      <c r="J132" s="8"/>
      <c r="K132" s="8"/>
      <c r="L132" s="7">
        <f>IF($D132="","",ROUND(K132*I132/100,0))</f>
      </c>
      <c r="M132" s="7">
        <f>IF($D132="","",0)</f>
      </c>
      <c r="N132" s="7">
        <f>IF($D132="","",0)</f>
      </c>
      <c r="O132" s="7">
        <f>IF($D132="","",IF(OR(L132=0,J132="",IFERROR(INDEX('Challan Master'!$D$4:$D$207,MATCH($B132,'Challan Master'!$S$4:$S$207,0)),"")="",IFERROR(INDEX('Challan Master'!$D$4:$D$207,MATCH($B132,'Challan Master'!$S$4:$S$207,0)),"")&lt;=0),0,IF(IFERROR(INDEX('Challan Master'!$D$4:$D$207,MATCH($B132,'Challan Master'!$S$4:$S$207,0)),"")&lt;=DATE(YEAR(J132),MONTH(J132)+1,7),0,ROUND(L132*0.015*((YEAR(IFERROR(INDEX('Challan Master'!$D$4:$D$207,MATCH($B132,'Challan Master'!$S$4:$S$207,0)),""))-YEAR(J132))*12+(MONTH(IFERROR(INDEX('Challan Master'!$D$4:$D$207,MATCH($B132,'Challan Master'!$S$4:$S$207,0)),""))-MONTH(J132))+1),0))))</f>
      </c>
      <c r="P132" s="7">
        <f>IF($D132="","",0)</f>
      </c>
      <c r="Q132" s="8"/>
      <c r="R132" s="8"/>
      <c r="S132" s="8"/>
      <c r="T132" s="8"/>
      <c r="U132" s="8"/>
      <c r="V132" s="7">
        <f>IF($B132="","",IFERROR(INDEX('Challan Master'!$AA$4:$AA$207,MATCH($B132,'Challan Master'!$S$4:$S$207,0)),""))</f>
      </c>
    </row>
    <row r="133" spans="1:22" x14ac:dyDescent="0.25">
      <c r="A133" s="7">
        <f>IF($D133="","",COUNTIF($D$4:$D133,"&lt;&gt;"))</f>
      </c>
      <c r="B133" s="8"/>
      <c r="C133" s="7">
        <f>IF($B133="","","BSR "&amp;IFERROR(INDEX('Challan Master'!$B$4:$B$207,MATCH($B133,'Challan Master'!$S$4:$S$207,0)),"")&amp;" | Serial "&amp;IFERROR(INDEX('Challan Master'!$C$4:$C$207,MATCH($B133,'Challan Master'!$S$4:$S$207,0)),"")&amp;" | Deposit "&amp;TEXT(IFERROR(INDEX('Challan Master'!$D$4:$D$207,MATCH($B133,'Challan Master'!$S$4:$S$207,0)),""),"dd-mm-yyyy")&amp;" | Minor Head "&amp;IFERROR(INDEX('Challan Master'!$E$4:$E$207,MATCH($B133,'Challan Master'!$S$4:$S$207,0)),"")&amp;" | Tax ₹"&amp;TEXT(IFERROR(INDEX('Challan Master'!$G$4:$G$207,MATCH($B133,'Challan Master'!$S$4:$S$207,0)),""),"#,##0")&amp;" | Section "&amp;IFERROR(INDEX('Challan Master'!$F$4:$F$207,MATCH($B133,'Challan Master'!$S$4:$S$207,0)),""))</f>
      </c>
      <c r="D133" s="8"/>
      <c r="E133" s="8"/>
      <c r="F133" s="7">
        <f>IF($D133="","",IF(AND(LEN(TRIM(UPPER(E133)))=10,CODE(MID(TRIM(UPPER(E133)),1,1))&gt;=65,CODE(MID(TRIM(UPPER(E133)),1,1))&lt;=90,CODE(MID(TRIM(UPPER(E133)),2,1))&gt;=65,CODE(MID(TRIM(UPPER(E133)),2,1))&lt;=90,CODE(MID(TRIM(UPPER(E133)),3,1))&gt;=65,CODE(MID(TRIM(UPPER(E133)),3,1))&lt;=90,CODE(MID(TRIM(UPPER(E133)),4,1))&gt;=65,CODE(MID(TRIM(UPPER(E133)),4,1))&lt;=90,CODE(MID(TRIM(UPPER(E133)),5,1))&gt;=65,CODE(MID(TRIM(UPPER(E133)),5,1))&lt;=90,CODE(MID(TRIM(UPPER(E133)),10,1))&gt;=65,CODE(MID(TRIM(UPPER(E133)),10,1))&lt;=90,CODE(MID(TRIM(UPPER(E133)),6,1))&gt;=48,CODE(MID(TRIM(UPPER(E133)),6,1))&lt;=57,CODE(MID(TRIM(UPPER(E133)),7,1))&gt;=48,CODE(MID(TRIM(UPPER(E133)),7,1))&lt;=57,CODE(MID(TRIM(UPPER(E133)),8,1))&gt;=48,CODE(MID(TRIM(UPPER(E133)),8,1))&lt;=57,CODE(MID(TRIM(UPPER(E133)),9,1))&gt;=48,CODE(MID(TRIM(UPPER(E133)),9,1))&lt;=57),"N","Y"))</f>
      </c>
      <c r="G133" s="7">
        <f>IF($D133="","",IF(LEN(E133)&lt;4,"",IF(UPPER(MID(E133,4,1))="P","Individual",IF(UPPER(MID(E133,4,1))="H","HUF",IF(UPPER(MID(E133,4,1))="C","Company",IF(UPPER(MID(E133,4,1))="F","Firm",IF(UPPER(MID(E133,4,1))="L","LLP",IF(UPPER(MID(E133,4,1))="T","Trust",IF(UPPER(MID(E133,4,1))="A","AOP","")))))))))</f>
      </c>
      <c r="H133" s="8"/>
      <c r="I133" s="7">
        <f>IF($D133="","",IF(H133="","",IF(F133="Y",SUMPRODUCT(('Rate Lookup'!$A$1:$A$37=H133)*'Rate Lookup'!$D$1:$D$37),IF(OR(G133="Individual",G133="HUF"),SUMPRODUCT(('Rate Lookup'!$A$1:$A$37=H133)*'Rate Lookup'!$B$1:$B$37),SUMPRODUCT(('Rate Lookup'!$A$1:$A$37=H133)*'Rate Lookup'!$C$1:$C$37)))))</f>
      </c>
      <c r="J133" s="8"/>
      <c r="K133" s="8"/>
      <c r="L133" s="7">
        <f>IF($D133="","",ROUND(K133*I133/100,0))</f>
      </c>
      <c r="M133" s="7">
        <f>IF($D133="","",0)</f>
      </c>
      <c r="N133" s="7">
        <f>IF($D133="","",0)</f>
      </c>
      <c r="O133" s="7">
        <f>IF($D133="","",IF(OR(L133=0,J133="",IFERROR(INDEX('Challan Master'!$D$4:$D$207,MATCH($B133,'Challan Master'!$S$4:$S$207,0)),"")="",IFERROR(INDEX('Challan Master'!$D$4:$D$207,MATCH($B133,'Challan Master'!$S$4:$S$207,0)),"")&lt;=0),0,IF(IFERROR(INDEX('Challan Master'!$D$4:$D$207,MATCH($B133,'Challan Master'!$S$4:$S$207,0)),"")&lt;=DATE(YEAR(J133),MONTH(J133)+1,7),0,ROUND(L133*0.015*((YEAR(IFERROR(INDEX('Challan Master'!$D$4:$D$207,MATCH($B133,'Challan Master'!$S$4:$S$207,0)),""))-YEAR(J133))*12+(MONTH(IFERROR(INDEX('Challan Master'!$D$4:$D$207,MATCH($B133,'Challan Master'!$S$4:$S$207,0)),""))-MONTH(J133))+1),0))))</f>
      </c>
      <c r="P133" s="7">
        <f>IF($D133="","",0)</f>
      </c>
      <c r="Q133" s="8"/>
      <c r="R133" s="8"/>
      <c r="S133" s="8"/>
      <c r="T133" s="8"/>
      <c r="U133" s="8"/>
      <c r="V133" s="7">
        <f>IF($B133="","",IFERROR(INDEX('Challan Master'!$AA$4:$AA$207,MATCH($B133,'Challan Master'!$S$4:$S$207,0)),""))</f>
      </c>
    </row>
    <row r="134" spans="1:22" x14ac:dyDescent="0.25">
      <c r="A134" s="7">
        <f>IF($D134="","",COUNTIF($D$4:$D134,"&lt;&gt;"))</f>
      </c>
      <c r="B134" s="8"/>
      <c r="C134" s="7">
        <f>IF($B134="","","BSR "&amp;IFERROR(INDEX('Challan Master'!$B$4:$B$207,MATCH($B134,'Challan Master'!$S$4:$S$207,0)),"")&amp;" | Serial "&amp;IFERROR(INDEX('Challan Master'!$C$4:$C$207,MATCH($B134,'Challan Master'!$S$4:$S$207,0)),"")&amp;" | Deposit "&amp;TEXT(IFERROR(INDEX('Challan Master'!$D$4:$D$207,MATCH($B134,'Challan Master'!$S$4:$S$207,0)),""),"dd-mm-yyyy")&amp;" | Minor Head "&amp;IFERROR(INDEX('Challan Master'!$E$4:$E$207,MATCH($B134,'Challan Master'!$S$4:$S$207,0)),"")&amp;" | Tax ₹"&amp;TEXT(IFERROR(INDEX('Challan Master'!$G$4:$G$207,MATCH($B134,'Challan Master'!$S$4:$S$207,0)),""),"#,##0")&amp;" | Section "&amp;IFERROR(INDEX('Challan Master'!$F$4:$F$207,MATCH($B134,'Challan Master'!$S$4:$S$207,0)),""))</f>
      </c>
      <c r="D134" s="8"/>
      <c r="E134" s="8"/>
      <c r="F134" s="7">
        <f>IF($D134="","",IF(AND(LEN(TRIM(UPPER(E134)))=10,CODE(MID(TRIM(UPPER(E134)),1,1))&gt;=65,CODE(MID(TRIM(UPPER(E134)),1,1))&lt;=90,CODE(MID(TRIM(UPPER(E134)),2,1))&gt;=65,CODE(MID(TRIM(UPPER(E134)),2,1))&lt;=90,CODE(MID(TRIM(UPPER(E134)),3,1))&gt;=65,CODE(MID(TRIM(UPPER(E134)),3,1))&lt;=90,CODE(MID(TRIM(UPPER(E134)),4,1))&gt;=65,CODE(MID(TRIM(UPPER(E134)),4,1))&lt;=90,CODE(MID(TRIM(UPPER(E134)),5,1))&gt;=65,CODE(MID(TRIM(UPPER(E134)),5,1))&lt;=90,CODE(MID(TRIM(UPPER(E134)),10,1))&gt;=65,CODE(MID(TRIM(UPPER(E134)),10,1))&lt;=90,CODE(MID(TRIM(UPPER(E134)),6,1))&gt;=48,CODE(MID(TRIM(UPPER(E134)),6,1))&lt;=57,CODE(MID(TRIM(UPPER(E134)),7,1))&gt;=48,CODE(MID(TRIM(UPPER(E134)),7,1))&lt;=57,CODE(MID(TRIM(UPPER(E134)),8,1))&gt;=48,CODE(MID(TRIM(UPPER(E134)),8,1))&lt;=57,CODE(MID(TRIM(UPPER(E134)),9,1))&gt;=48,CODE(MID(TRIM(UPPER(E134)),9,1))&lt;=57),"N","Y"))</f>
      </c>
      <c r="G134" s="7">
        <f>IF($D134="","",IF(LEN(E134)&lt;4,"",IF(UPPER(MID(E134,4,1))="P","Individual",IF(UPPER(MID(E134,4,1))="H","HUF",IF(UPPER(MID(E134,4,1))="C","Company",IF(UPPER(MID(E134,4,1))="F","Firm",IF(UPPER(MID(E134,4,1))="L","LLP",IF(UPPER(MID(E134,4,1))="T","Trust",IF(UPPER(MID(E134,4,1))="A","AOP","")))))))))</f>
      </c>
      <c r="H134" s="8"/>
      <c r="I134" s="7">
        <f>IF($D134="","",IF(H134="","",IF(F134="Y",SUMPRODUCT(('Rate Lookup'!$A$1:$A$37=H134)*'Rate Lookup'!$D$1:$D$37),IF(OR(G134="Individual",G134="HUF"),SUMPRODUCT(('Rate Lookup'!$A$1:$A$37=H134)*'Rate Lookup'!$B$1:$B$37),SUMPRODUCT(('Rate Lookup'!$A$1:$A$37=H134)*'Rate Lookup'!$C$1:$C$37)))))</f>
      </c>
      <c r="J134" s="8"/>
      <c r="K134" s="8"/>
      <c r="L134" s="7">
        <f>IF($D134="","",ROUND(K134*I134/100,0))</f>
      </c>
      <c r="M134" s="7">
        <f>IF($D134="","",0)</f>
      </c>
      <c r="N134" s="7">
        <f>IF($D134="","",0)</f>
      </c>
      <c r="O134" s="7">
        <f>IF($D134="","",IF(OR(L134=0,J134="",IFERROR(INDEX('Challan Master'!$D$4:$D$207,MATCH($B134,'Challan Master'!$S$4:$S$207,0)),"")="",IFERROR(INDEX('Challan Master'!$D$4:$D$207,MATCH($B134,'Challan Master'!$S$4:$S$207,0)),"")&lt;=0),0,IF(IFERROR(INDEX('Challan Master'!$D$4:$D$207,MATCH($B134,'Challan Master'!$S$4:$S$207,0)),"")&lt;=DATE(YEAR(J134),MONTH(J134)+1,7),0,ROUND(L134*0.015*((YEAR(IFERROR(INDEX('Challan Master'!$D$4:$D$207,MATCH($B134,'Challan Master'!$S$4:$S$207,0)),""))-YEAR(J134))*12+(MONTH(IFERROR(INDEX('Challan Master'!$D$4:$D$207,MATCH($B134,'Challan Master'!$S$4:$S$207,0)),""))-MONTH(J134))+1),0))))</f>
      </c>
      <c r="P134" s="7">
        <f>IF($D134="","",0)</f>
      </c>
      <c r="Q134" s="8"/>
      <c r="R134" s="8"/>
      <c r="S134" s="8"/>
      <c r="T134" s="8"/>
      <c r="U134" s="8"/>
      <c r="V134" s="7">
        <f>IF($B134="","",IFERROR(INDEX('Challan Master'!$AA$4:$AA$207,MATCH($B134,'Challan Master'!$S$4:$S$207,0)),""))</f>
      </c>
    </row>
    <row r="135" spans="1:22" x14ac:dyDescent="0.25">
      <c r="A135" s="7">
        <f>IF($D135="","",COUNTIF($D$4:$D135,"&lt;&gt;"))</f>
      </c>
      <c r="B135" s="8"/>
      <c r="C135" s="7">
        <f>IF($B135="","","BSR "&amp;IFERROR(INDEX('Challan Master'!$B$4:$B$207,MATCH($B135,'Challan Master'!$S$4:$S$207,0)),"")&amp;" | Serial "&amp;IFERROR(INDEX('Challan Master'!$C$4:$C$207,MATCH($B135,'Challan Master'!$S$4:$S$207,0)),"")&amp;" | Deposit "&amp;TEXT(IFERROR(INDEX('Challan Master'!$D$4:$D$207,MATCH($B135,'Challan Master'!$S$4:$S$207,0)),""),"dd-mm-yyyy")&amp;" | Minor Head "&amp;IFERROR(INDEX('Challan Master'!$E$4:$E$207,MATCH($B135,'Challan Master'!$S$4:$S$207,0)),"")&amp;" | Tax ₹"&amp;TEXT(IFERROR(INDEX('Challan Master'!$G$4:$G$207,MATCH($B135,'Challan Master'!$S$4:$S$207,0)),""),"#,##0")&amp;" | Section "&amp;IFERROR(INDEX('Challan Master'!$F$4:$F$207,MATCH($B135,'Challan Master'!$S$4:$S$207,0)),""))</f>
      </c>
      <c r="D135" s="8"/>
      <c r="E135" s="8"/>
      <c r="F135" s="7">
        <f>IF($D135="","",IF(AND(LEN(TRIM(UPPER(E135)))=10,CODE(MID(TRIM(UPPER(E135)),1,1))&gt;=65,CODE(MID(TRIM(UPPER(E135)),1,1))&lt;=90,CODE(MID(TRIM(UPPER(E135)),2,1))&gt;=65,CODE(MID(TRIM(UPPER(E135)),2,1))&lt;=90,CODE(MID(TRIM(UPPER(E135)),3,1))&gt;=65,CODE(MID(TRIM(UPPER(E135)),3,1))&lt;=90,CODE(MID(TRIM(UPPER(E135)),4,1))&gt;=65,CODE(MID(TRIM(UPPER(E135)),4,1))&lt;=90,CODE(MID(TRIM(UPPER(E135)),5,1))&gt;=65,CODE(MID(TRIM(UPPER(E135)),5,1))&lt;=90,CODE(MID(TRIM(UPPER(E135)),10,1))&gt;=65,CODE(MID(TRIM(UPPER(E135)),10,1))&lt;=90,CODE(MID(TRIM(UPPER(E135)),6,1))&gt;=48,CODE(MID(TRIM(UPPER(E135)),6,1))&lt;=57,CODE(MID(TRIM(UPPER(E135)),7,1))&gt;=48,CODE(MID(TRIM(UPPER(E135)),7,1))&lt;=57,CODE(MID(TRIM(UPPER(E135)),8,1))&gt;=48,CODE(MID(TRIM(UPPER(E135)),8,1))&lt;=57,CODE(MID(TRIM(UPPER(E135)),9,1))&gt;=48,CODE(MID(TRIM(UPPER(E135)),9,1))&lt;=57),"N","Y"))</f>
      </c>
      <c r="G135" s="7">
        <f>IF($D135="","",IF(LEN(E135)&lt;4,"",IF(UPPER(MID(E135,4,1))="P","Individual",IF(UPPER(MID(E135,4,1))="H","HUF",IF(UPPER(MID(E135,4,1))="C","Company",IF(UPPER(MID(E135,4,1))="F","Firm",IF(UPPER(MID(E135,4,1))="L","LLP",IF(UPPER(MID(E135,4,1))="T","Trust",IF(UPPER(MID(E135,4,1))="A","AOP","")))))))))</f>
      </c>
      <c r="H135" s="8"/>
      <c r="I135" s="7">
        <f>IF($D135="","",IF(H135="","",IF(F135="Y",SUMPRODUCT(('Rate Lookup'!$A$1:$A$37=H135)*'Rate Lookup'!$D$1:$D$37),IF(OR(G135="Individual",G135="HUF"),SUMPRODUCT(('Rate Lookup'!$A$1:$A$37=H135)*'Rate Lookup'!$B$1:$B$37),SUMPRODUCT(('Rate Lookup'!$A$1:$A$37=H135)*'Rate Lookup'!$C$1:$C$37)))))</f>
      </c>
      <c r="J135" s="8"/>
      <c r="K135" s="8"/>
      <c r="L135" s="7">
        <f>IF($D135="","",ROUND(K135*I135/100,0))</f>
      </c>
      <c r="M135" s="7">
        <f>IF($D135="","",0)</f>
      </c>
      <c r="N135" s="7">
        <f>IF($D135="","",0)</f>
      </c>
      <c r="O135" s="7">
        <f>IF($D135="","",IF(OR(L135=0,J135="",IFERROR(INDEX('Challan Master'!$D$4:$D$207,MATCH($B135,'Challan Master'!$S$4:$S$207,0)),"")="",IFERROR(INDEX('Challan Master'!$D$4:$D$207,MATCH($B135,'Challan Master'!$S$4:$S$207,0)),"")&lt;=0),0,IF(IFERROR(INDEX('Challan Master'!$D$4:$D$207,MATCH($B135,'Challan Master'!$S$4:$S$207,0)),"")&lt;=DATE(YEAR(J135),MONTH(J135)+1,7),0,ROUND(L135*0.015*((YEAR(IFERROR(INDEX('Challan Master'!$D$4:$D$207,MATCH($B135,'Challan Master'!$S$4:$S$207,0)),""))-YEAR(J135))*12+(MONTH(IFERROR(INDEX('Challan Master'!$D$4:$D$207,MATCH($B135,'Challan Master'!$S$4:$S$207,0)),""))-MONTH(J135))+1),0))))</f>
      </c>
      <c r="P135" s="7">
        <f>IF($D135="","",0)</f>
      </c>
      <c r="Q135" s="8"/>
      <c r="R135" s="8"/>
      <c r="S135" s="8"/>
      <c r="T135" s="8"/>
      <c r="U135" s="8"/>
      <c r="V135" s="7">
        <f>IF($B135="","",IFERROR(INDEX('Challan Master'!$AA$4:$AA$207,MATCH($B135,'Challan Master'!$S$4:$S$207,0)),""))</f>
      </c>
    </row>
    <row r="136" spans="1:22" x14ac:dyDescent="0.25">
      <c r="A136" s="7">
        <f>IF($D136="","",COUNTIF($D$4:$D136,"&lt;&gt;"))</f>
      </c>
      <c r="B136" s="8"/>
      <c r="C136" s="7">
        <f>IF($B136="","","BSR "&amp;IFERROR(INDEX('Challan Master'!$B$4:$B$207,MATCH($B136,'Challan Master'!$S$4:$S$207,0)),"")&amp;" | Serial "&amp;IFERROR(INDEX('Challan Master'!$C$4:$C$207,MATCH($B136,'Challan Master'!$S$4:$S$207,0)),"")&amp;" | Deposit "&amp;TEXT(IFERROR(INDEX('Challan Master'!$D$4:$D$207,MATCH($B136,'Challan Master'!$S$4:$S$207,0)),""),"dd-mm-yyyy")&amp;" | Minor Head "&amp;IFERROR(INDEX('Challan Master'!$E$4:$E$207,MATCH($B136,'Challan Master'!$S$4:$S$207,0)),"")&amp;" | Tax ₹"&amp;TEXT(IFERROR(INDEX('Challan Master'!$G$4:$G$207,MATCH($B136,'Challan Master'!$S$4:$S$207,0)),""),"#,##0")&amp;" | Section "&amp;IFERROR(INDEX('Challan Master'!$F$4:$F$207,MATCH($B136,'Challan Master'!$S$4:$S$207,0)),""))</f>
      </c>
      <c r="D136" s="8"/>
      <c r="E136" s="8"/>
      <c r="F136" s="7">
        <f>IF($D136="","",IF(AND(LEN(TRIM(UPPER(E136)))=10,CODE(MID(TRIM(UPPER(E136)),1,1))&gt;=65,CODE(MID(TRIM(UPPER(E136)),1,1))&lt;=90,CODE(MID(TRIM(UPPER(E136)),2,1))&gt;=65,CODE(MID(TRIM(UPPER(E136)),2,1))&lt;=90,CODE(MID(TRIM(UPPER(E136)),3,1))&gt;=65,CODE(MID(TRIM(UPPER(E136)),3,1))&lt;=90,CODE(MID(TRIM(UPPER(E136)),4,1))&gt;=65,CODE(MID(TRIM(UPPER(E136)),4,1))&lt;=90,CODE(MID(TRIM(UPPER(E136)),5,1))&gt;=65,CODE(MID(TRIM(UPPER(E136)),5,1))&lt;=90,CODE(MID(TRIM(UPPER(E136)),10,1))&gt;=65,CODE(MID(TRIM(UPPER(E136)),10,1))&lt;=90,CODE(MID(TRIM(UPPER(E136)),6,1))&gt;=48,CODE(MID(TRIM(UPPER(E136)),6,1))&lt;=57,CODE(MID(TRIM(UPPER(E136)),7,1))&gt;=48,CODE(MID(TRIM(UPPER(E136)),7,1))&lt;=57,CODE(MID(TRIM(UPPER(E136)),8,1))&gt;=48,CODE(MID(TRIM(UPPER(E136)),8,1))&lt;=57,CODE(MID(TRIM(UPPER(E136)),9,1))&gt;=48,CODE(MID(TRIM(UPPER(E136)),9,1))&lt;=57),"N","Y"))</f>
      </c>
      <c r="G136" s="7">
        <f>IF($D136="","",IF(LEN(E136)&lt;4,"",IF(UPPER(MID(E136,4,1))="P","Individual",IF(UPPER(MID(E136,4,1))="H","HUF",IF(UPPER(MID(E136,4,1))="C","Company",IF(UPPER(MID(E136,4,1))="F","Firm",IF(UPPER(MID(E136,4,1))="L","LLP",IF(UPPER(MID(E136,4,1))="T","Trust",IF(UPPER(MID(E136,4,1))="A","AOP","")))))))))</f>
      </c>
      <c r="H136" s="8"/>
      <c r="I136" s="7">
        <f>IF($D136="","",IF(H136="","",IF(F136="Y",SUMPRODUCT(('Rate Lookup'!$A$1:$A$37=H136)*'Rate Lookup'!$D$1:$D$37),IF(OR(G136="Individual",G136="HUF"),SUMPRODUCT(('Rate Lookup'!$A$1:$A$37=H136)*'Rate Lookup'!$B$1:$B$37),SUMPRODUCT(('Rate Lookup'!$A$1:$A$37=H136)*'Rate Lookup'!$C$1:$C$37)))))</f>
      </c>
      <c r="J136" s="8"/>
      <c r="K136" s="8"/>
      <c r="L136" s="7">
        <f>IF($D136="","",ROUND(K136*I136/100,0))</f>
      </c>
      <c r="M136" s="7">
        <f>IF($D136="","",0)</f>
      </c>
      <c r="N136" s="7">
        <f>IF($D136="","",0)</f>
      </c>
      <c r="O136" s="7">
        <f>IF($D136="","",IF(OR(L136=0,J136="",IFERROR(INDEX('Challan Master'!$D$4:$D$207,MATCH($B136,'Challan Master'!$S$4:$S$207,0)),"")="",IFERROR(INDEX('Challan Master'!$D$4:$D$207,MATCH($B136,'Challan Master'!$S$4:$S$207,0)),"")&lt;=0),0,IF(IFERROR(INDEX('Challan Master'!$D$4:$D$207,MATCH($B136,'Challan Master'!$S$4:$S$207,0)),"")&lt;=DATE(YEAR(J136),MONTH(J136)+1,7),0,ROUND(L136*0.015*((YEAR(IFERROR(INDEX('Challan Master'!$D$4:$D$207,MATCH($B136,'Challan Master'!$S$4:$S$207,0)),""))-YEAR(J136))*12+(MONTH(IFERROR(INDEX('Challan Master'!$D$4:$D$207,MATCH($B136,'Challan Master'!$S$4:$S$207,0)),""))-MONTH(J136))+1),0))))</f>
      </c>
      <c r="P136" s="7">
        <f>IF($D136="","",0)</f>
      </c>
      <c r="Q136" s="8"/>
      <c r="R136" s="8"/>
      <c r="S136" s="8"/>
      <c r="T136" s="8"/>
      <c r="U136" s="8"/>
      <c r="V136" s="7">
        <f>IF($B136="","",IFERROR(INDEX('Challan Master'!$AA$4:$AA$207,MATCH($B136,'Challan Master'!$S$4:$S$207,0)),""))</f>
      </c>
    </row>
    <row r="137" spans="1:22" x14ac:dyDescent="0.25">
      <c r="A137" s="7">
        <f>IF($D137="","",COUNTIF($D$4:$D137,"&lt;&gt;"))</f>
      </c>
      <c r="B137" s="8"/>
      <c r="C137" s="7">
        <f>IF($B137="","","BSR "&amp;IFERROR(INDEX('Challan Master'!$B$4:$B$207,MATCH($B137,'Challan Master'!$S$4:$S$207,0)),"")&amp;" | Serial "&amp;IFERROR(INDEX('Challan Master'!$C$4:$C$207,MATCH($B137,'Challan Master'!$S$4:$S$207,0)),"")&amp;" | Deposit "&amp;TEXT(IFERROR(INDEX('Challan Master'!$D$4:$D$207,MATCH($B137,'Challan Master'!$S$4:$S$207,0)),""),"dd-mm-yyyy")&amp;" | Minor Head "&amp;IFERROR(INDEX('Challan Master'!$E$4:$E$207,MATCH($B137,'Challan Master'!$S$4:$S$207,0)),"")&amp;" | Tax ₹"&amp;TEXT(IFERROR(INDEX('Challan Master'!$G$4:$G$207,MATCH($B137,'Challan Master'!$S$4:$S$207,0)),""),"#,##0")&amp;" | Section "&amp;IFERROR(INDEX('Challan Master'!$F$4:$F$207,MATCH($B137,'Challan Master'!$S$4:$S$207,0)),""))</f>
      </c>
      <c r="D137" s="8"/>
      <c r="E137" s="8"/>
      <c r="F137" s="7">
        <f>IF($D137="","",IF(AND(LEN(TRIM(UPPER(E137)))=10,CODE(MID(TRIM(UPPER(E137)),1,1))&gt;=65,CODE(MID(TRIM(UPPER(E137)),1,1))&lt;=90,CODE(MID(TRIM(UPPER(E137)),2,1))&gt;=65,CODE(MID(TRIM(UPPER(E137)),2,1))&lt;=90,CODE(MID(TRIM(UPPER(E137)),3,1))&gt;=65,CODE(MID(TRIM(UPPER(E137)),3,1))&lt;=90,CODE(MID(TRIM(UPPER(E137)),4,1))&gt;=65,CODE(MID(TRIM(UPPER(E137)),4,1))&lt;=90,CODE(MID(TRIM(UPPER(E137)),5,1))&gt;=65,CODE(MID(TRIM(UPPER(E137)),5,1))&lt;=90,CODE(MID(TRIM(UPPER(E137)),10,1))&gt;=65,CODE(MID(TRIM(UPPER(E137)),10,1))&lt;=90,CODE(MID(TRIM(UPPER(E137)),6,1))&gt;=48,CODE(MID(TRIM(UPPER(E137)),6,1))&lt;=57,CODE(MID(TRIM(UPPER(E137)),7,1))&gt;=48,CODE(MID(TRIM(UPPER(E137)),7,1))&lt;=57,CODE(MID(TRIM(UPPER(E137)),8,1))&gt;=48,CODE(MID(TRIM(UPPER(E137)),8,1))&lt;=57,CODE(MID(TRIM(UPPER(E137)),9,1))&gt;=48,CODE(MID(TRIM(UPPER(E137)),9,1))&lt;=57),"N","Y"))</f>
      </c>
      <c r="G137" s="7">
        <f>IF($D137="","",IF(LEN(E137)&lt;4,"",IF(UPPER(MID(E137,4,1))="P","Individual",IF(UPPER(MID(E137,4,1))="H","HUF",IF(UPPER(MID(E137,4,1))="C","Company",IF(UPPER(MID(E137,4,1))="F","Firm",IF(UPPER(MID(E137,4,1))="L","LLP",IF(UPPER(MID(E137,4,1))="T","Trust",IF(UPPER(MID(E137,4,1))="A","AOP","")))))))))</f>
      </c>
      <c r="H137" s="8"/>
      <c r="I137" s="7">
        <f>IF($D137="","",IF(H137="","",IF(F137="Y",SUMPRODUCT(('Rate Lookup'!$A$1:$A$37=H137)*'Rate Lookup'!$D$1:$D$37),IF(OR(G137="Individual",G137="HUF"),SUMPRODUCT(('Rate Lookup'!$A$1:$A$37=H137)*'Rate Lookup'!$B$1:$B$37),SUMPRODUCT(('Rate Lookup'!$A$1:$A$37=H137)*'Rate Lookup'!$C$1:$C$37)))))</f>
      </c>
      <c r="J137" s="8"/>
      <c r="K137" s="8"/>
      <c r="L137" s="7">
        <f>IF($D137="","",ROUND(K137*I137/100,0))</f>
      </c>
      <c r="M137" s="7">
        <f>IF($D137="","",0)</f>
      </c>
      <c r="N137" s="7">
        <f>IF($D137="","",0)</f>
      </c>
      <c r="O137" s="7">
        <f>IF($D137="","",IF(OR(L137=0,J137="",IFERROR(INDEX('Challan Master'!$D$4:$D$207,MATCH($B137,'Challan Master'!$S$4:$S$207,0)),"")="",IFERROR(INDEX('Challan Master'!$D$4:$D$207,MATCH($B137,'Challan Master'!$S$4:$S$207,0)),"")&lt;=0),0,IF(IFERROR(INDEX('Challan Master'!$D$4:$D$207,MATCH($B137,'Challan Master'!$S$4:$S$207,0)),"")&lt;=DATE(YEAR(J137),MONTH(J137)+1,7),0,ROUND(L137*0.015*((YEAR(IFERROR(INDEX('Challan Master'!$D$4:$D$207,MATCH($B137,'Challan Master'!$S$4:$S$207,0)),""))-YEAR(J137))*12+(MONTH(IFERROR(INDEX('Challan Master'!$D$4:$D$207,MATCH($B137,'Challan Master'!$S$4:$S$207,0)),""))-MONTH(J137))+1),0))))</f>
      </c>
      <c r="P137" s="7">
        <f>IF($D137="","",0)</f>
      </c>
      <c r="Q137" s="8"/>
      <c r="R137" s="8"/>
      <c r="S137" s="8"/>
      <c r="T137" s="8"/>
      <c r="U137" s="8"/>
      <c r="V137" s="7">
        <f>IF($B137="","",IFERROR(INDEX('Challan Master'!$AA$4:$AA$207,MATCH($B137,'Challan Master'!$S$4:$S$207,0)),""))</f>
      </c>
    </row>
    <row r="138" spans="1:22" x14ac:dyDescent="0.25">
      <c r="A138" s="7">
        <f>IF($D138="","",COUNTIF($D$4:$D138,"&lt;&gt;"))</f>
      </c>
      <c r="B138" s="8"/>
      <c r="C138" s="7">
        <f>IF($B138="","","BSR "&amp;IFERROR(INDEX('Challan Master'!$B$4:$B$207,MATCH($B138,'Challan Master'!$S$4:$S$207,0)),"")&amp;" | Serial "&amp;IFERROR(INDEX('Challan Master'!$C$4:$C$207,MATCH($B138,'Challan Master'!$S$4:$S$207,0)),"")&amp;" | Deposit "&amp;TEXT(IFERROR(INDEX('Challan Master'!$D$4:$D$207,MATCH($B138,'Challan Master'!$S$4:$S$207,0)),""),"dd-mm-yyyy")&amp;" | Minor Head "&amp;IFERROR(INDEX('Challan Master'!$E$4:$E$207,MATCH($B138,'Challan Master'!$S$4:$S$207,0)),"")&amp;" | Tax ₹"&amp;TEXT(IFERROR(INDEX('Challan Master'!$G$4:$G$207,MATCH($B138,'Challan Master'!$S$4:$S$207,0)),""),"#,##0")&amp;" | Section "&amp;IFERROR(INDEX('Challan Master'!$F$4:$F$207,MATCH($B138,'Challan Master'!$S$4:$S$207,0)),""))</f>
      </c>
      <c r="D138" s="8"/>
      <c r="E138" s="8"/>
      <c r="F138" s="7">
        <f>IF($D138="","",IF(AND(LEN(TRIM(UPPER(E138)))=10,CODE(MID(TRIM(UPPER(E138)),1,1))&gt;=65,CODE(MID(TRIM(UPPER(E138)),1,1))&lt;=90,CODE(MID(TRIM(UPPER(E138)),2,1))&gt;=65,CODE(MID(TRIM(UPPER(E138)),2,1))&lt;=90,CODE(MID(TRIM(UPPER(E138)),3,1))&gt;=65,CODE(MID(TRIM(UPPER(E138)),3,1))&lt;=90,CODE(MID(TRIM(UPPER(E138)),4,1))&gt;=65,CODE(MID(TRIM(UPPER(E138)),4,1))&lt;=90,CODE(MID(TRIM(UPPER(E138)),5,1))&gt;=65,CODE(MID(TRIM(UPPER(E138)),5,1))&lt;=90,CODE(MID(TRIM(UPPER(E138)),10,1))&gt;=65,CODE(MID(TRIM(UPPER(E138)),10,1))&lt;=90,CODE(MID(TRIM(UPPER(E138)),6,1))&gt;=48,CODE(MID(TRIM(UPPER(E138)),6,1))&lt;=57,CODE(MID(TRIM(UPPER(E138)),7,1))&gt;=48,CODE(MID(TRIM(UPPER(E138)),7,1))&lt;=57,CODE(MID(TRIM(UPPER(E138)),8,1))&gt;=48,CODE(MID(TRIM(UPPER(E138)),8,1))&lt;=57,CODE(MID(TRIM(UPPER(E138)),9,1))&gt;=48,CODE(MID(TRIM(UPPER(E138)),9,1))&lt;=57),"N","Y"))</f>
      </c>
      <c r="G138" s="7">
        <f>IF($D138="","",IF(LEN(E138)&lt;4,"",IF(UPPER(MID(E138,4,1))="P","Individual",IF(UPPER(MID(E138,4,1))="H","HUF",IF(UPPER(MID(E138,4,1))="C","Company",IF(UPPER(MID(E138,4,1))="F","Firm",IF(UPPER(MID(E138,4,1))="L","LLP",IF(UPPER(MID(E138,4,1))="T","Trust",IF(UPPER(MID(E138,4,1))="A","AOP","")))))))))</f>
      </c>
      <c r="H138" s="8"/>
      <c r="I138" s="7">
        <f>IF($D138="","",IF(H138="","",IF(F138="Y",SUMPRODUCT(('Rate Lookup'!$A$1:$A$37=H138)*'Rate Lookup'!$D$1:$D$37),IF(OR(G138="Individual",G138="HUF"),SUMPRODUCT(('Rate Lookup'!$A$1:$A$37=H138)*'Rate Lookup'!$B$1:$B$37),SUMPRODUCT(('Rate Lookup'!$A$1:$A$37=H138)*'Rate Lookup'!$C$1:$C$37)))))</f>
      </c>
      <c r="J138" s="8"/>
      <c r="K138" s="8"/>
      <c r="L138" s="7">
        <f>IF($D138="","",ROUND(K138*I138/100,0))</f>
      </c>
      <c r="M138" s="7">
        <f>IF($D138="","",0)</f>
      </c>
      <c r="N138" s="7">
        <f>IF($D138="","",0)</f>
      </c>
      <c r="O138" s="7">
        <f>IF($D138="","",IF(OR(L138=0,J138="",IFERROR(INDEX('Challan Master'!$D$4:$D$207,MATCH($B138,'Challan Master'!$S$4:$S$207,0)),"")="",IFERROR(INDEX('Challan Master'!$D$4:$D$207,MATCH($B138,'Challan Master'!$S$4:$S$207,0)),"")&lt;=0),0,IF(IFERROR(INDEX('Challan Master'!$D$4:$D$207,MATCH($B138,'Challan Master'!$S$4:$S$207,0)),"")&lt;=DATE(YEAR(J138),MONTH(J138)+1,7),0,ROUND(L138*0.015*((YEAR(IFERROR(INDEX('Challan Master'!$D$4:$D$207,MATCH($B138,'Challan Master'!$S$4:$S$207,0)),""))-YEAR(J138))*12+(MONTH(IFERROR(INDEX('Challan Master'!$D$4:$D$207,MATCH($B138,'Challan Master'!$S$4:$S$207,0)),""))-MONTH(J138))+1),0))))</f>
      </c>
      <c r="P138" s="7">
        <f>IF($D138="","",0)</f>
      </c>
      <c r="Q138" s="8"/>
      <c r="R138" s="8"/>
      <c r="S138" s="8"/>
      <c r="T138" s="8"/>
      <c r="U138" s="8"/>
      <c r="V138" s="7">
        <f>IF($B138="","",IFERROR(INDEX('Challan Master'!$AA$4:$AA$207,MATCH($B138,'Challan Master'!$S$4:$S$207,0)),""))</f>
      </c>
    </row>
    <row r="139" spans="1:22" x14ac:dyDescent="0.25">
      <c r="A139" s="7">
        <f>IF($D139="","",COUNTIF($D$4:$D139,"&lt;&gt;"))</f>
      </c>
      <c r="B139" s="8"/>
      <c r="C139" s="7">
        <f>IF($B139="","","BSR "&amp;IFERROR(INDEX('Challan Master'!$B$4:$B$207,MATCH($B139,'Challan Master'!$S$4:$S$207,0)),"")&amp;" | Serial "&amp;IFERROR(INDEX('Challan Master'!$C$4:$C$207,MATCH($B139,'Challan Master'!$S$4:$S$207,0)),"")&amp;" | Deposit "&amp;TEXT(IFERROR(INDEX('Challan Master'!$D$4:$D$207,MATCH($B139,'Challan Master'!$S$4:$S$207,0)),""),"dd-mm-yyyy")&amp;" | Minor Head "&amp;IFERROR(INDEX('Challan Master'!$E$4:$E$207,MATCH($B139,'Challan Master'!$S$4:$S$207,0)),"")&amp;" | Tax ₹"&amp;TEXT(IFERROR(INDEX('Challan Master'!$G$4:$G$207,MATCH($B139,'Challan Master'!$S$4:$S$207,0)),""),"#,##0")&amp;" | Section "&amp;IFERROR(INDEX('Challan Master'!$F$4:$F$207,MATCH($B139,'Challan Master'!$S$4:$S$207,0)),""))</f>
      </c>
      <c r="D139" s="8"/>
      <c r="E139" s="8"/>
      <c r="F139" s="7">
        <f>IF($D139="","",IF(AND(LEN(TRIM(UPPER(E139)))=10,CODE(MID(TRIM(UPPER(E139)),1,1))&gt;=65,CODE(MID(TRIM(UPPER(E139)),1,1))&lt;=90,CODE(MID(TRIM(UPPER(E139)),2,1))&gt;=65,CODE(MID(TRIM(UPPER(E139)),2,1))&lt;=90,CODE(MID(TRIM(UPPER(E139)),3,1))&gt;=65,CODE(MID(TRIM(UPPER(E139)),3,1))&lt;=90,CODE(MID(TRIM(UPPER(E139)),4,1))&gt;=65,CODE(MID(TRIM(UPPER(E139)),4,1))&lt;=90,CODE(MID(TRIM(UPPER(E139)),5,1))&gt;=65,CODE(MID(TRIM(UPPER(E139)),5,1))&lt;=90,CODE(MID(TRIM(UPPER(E139)),10,1))&gt;=65,CODE(MID(TRIM(UPPER(E139)),10,1))&lt;=90,CODE(MID(TRIM(UPPER(E139)),6,1))&gt;=48,CODE(MID(TRIM(UPPER(E139)),6,1))&lt;=57,CODE(MID(TRIM(UPPER(E139)),7,1))&gt;=48,CODE(MID(TRIM(UPPER(E139)),7,1))&lt;=57,CODE(MID(TRIM(UPPER(E139)),8,1))&gt;=48,CODE(MID(TRIM(UPPER(E139)),8,1))&lt;=57,CODE(MID(TRIM(UPPER(E139)),9,1))&gt;=48,CODE(MID(TRIM(UPPER(E139)),9,1))&lt;=57),"N","Y"))</f>
      </c>
      <c r="G139" s="7">
        <f>IF($D139="","",IF(LEN(E139)&lt;4,"",IF(UPPER(MID(E139,4,1))="P","Individual",IF(UPPER(MID(E139,4,1))="H","HUF",IF(UPPER(MID(E139,4,1))="C","Company",IF(UPPER(MID(E139,4,1))="F","Firm",IF(UPPER(MID(E139,4,1))="L","LLP",IF(UPPER(MID(E139,4,1))="T","Trust",IF(UPPER(MID(E139,4,1))="A","AOP","")))))))))</f>
      </c>
      <c r="H139" s="8"/>
      <c r="I139" s="7">
        <f>IF($D139="","",IF(H139="","",IF(F139="Y",SUMPRODUCT(('Rate Lookup'!$A$1:$A$37=H139)*'Rate Lookup'!$D$1:$D$37),IF(OR(G139="Individual",G139="HUF"),SUMPRODUCT(('Rate Lookup'!$A$1:$A$37=H139)*'Rate Lookup'!$B$1:$B$37),SUMPRODUCT(('Rate Lookup'!$A$1:$A$37=H139)*'Rate Lookup'!$C$1:$C$37)))))</f>
      </c>
      <c r="J139" s="8"/>
      <c r="K139" s="8"/>
      <c r="L139" s="7">
        <f>IF($D139="","",ROUND(K139*I139/100,0))</f>
      </c>
      <c r="M139" s="7">
        <f>IF($D139="","",0)</f>
      </c>
      <c r="N139" s="7">
        <f>IF($D139="","",0)</f>
      </c>
      <c r="O139" s="7">
        <f>IF($D139="","",IF(OR(L139=0,J139="",IFERROR(INDEX('Challan Master'!$D$4:$D$207,MATCH($B139,'Challan Master'!$S$4:$S$207,0)),"")="",IFERROR(INDEX('Challan Master'!$D$4:$D$207,MATCH($B139,'Challan Master'!$S$4:$S$207,0)),"")&lt;=0),0,IF(IFERROR(INDEX('Challan Master'!$D$4:$D$207,MATCH($B139,'Challan Master'!$S$4:$S$207,0)),"")&lt;=DATE(YEAR(J139),MONTH(J139)+1,7),0,ROUND(L139*0.015*((YEAR(IFERROR(INDEX('Challan Master'!$D$4:$D$207,MATCH($B139,'Challan Master'!$S$4:$S$207,0)),""))-YEAR(J139))*12+(MONTH(IFERROR(INDEX('Challan Master'!$D$4:$D$207,MATCH($B139,'Challan Master'!$S$4:$S$207,0)),""))-MONTH(J139))+1),0))))</f>
      </c>
      <c r="P139" s="7">
        <f>IF($D139="","",0)</f>
      </c>
      <c r="Q139" s="8"/>
      <c r="R139" s="8"/>
      <c r="S139" s="8"/>
      <c r="T139" s="8"/>
      <c r="U139" s="8"/>
      <c r="V139" s="7">
        <f>IF($B139="","",IFERROR(INDEX('Challan Master'!$AA$4:$AA$207,MATCH($B139,'Challan Master'!$S$4:$S$207,0)),""))</f>
      </c>
    </row>
    <row r="140" spans="1:22" x14ac:dyDescent="0.25">
      <c r="A140" s="7">
        <f>IF($D140="","",COUNTIF($D$4:$D140,"&lt;&gt;"))</f>
      </c>
      <c r="B140" s="8"/>
      <c r="C140" s="7">
        <f>IF($B140="","","BSR "&amp;IFERROR(INDEX('Challan Master'!$B$4:$B$207,MATCH($B140,'Challan Master'!$S$4:$S$207,0)),"")&amp;" | Serial "&amp;IFERROR(INDEX('Challan Master'!$C$4:$C$207,MATCH($B140,'Challan Master'!$S$4:$S$207,0)),"")&amp;" | Deposit "&amp;TEXT(IFERROR(INDEX('Challan Master'!$D$4:$D$207,MATCH($B140,'Challan Master'!$S$4:$S$207,0)),""),"dd-mm-yyyy")&amp;" | Minor Head "&amp;IFERROR(INDEX('Challan Master'!$E$4:$E$207,MATCH($B140,'Challan Master'!$S$4:$S$207,0)),"")&amp;" | Tax ₹"&amp;TEXT(IFERROR(INDEX('Challan Master'!$G$4:$G$207,MATCH($B140,'Challan Master'!$S$4:$S$207,0)),""),"#,##0")&amp;" | Section "&amp;IFERROR(INDEX('Challan Master'!$F$4:$F$207,MATCH($B140,'Challan Master'!$S$4:$S$207,0)),""))</f>
      </c>
      <c r="D140" s="8"/>
      <c r="E140" s="8"/>
      <c r="F140" s="7">
        <f>IF($D140="","",IF(AND(LEN(TRIM(UPPER(E140)))=10,CODE(MID(TRIM(UPPER(E140)),1,1))&gt;=65,CODE(MID(TRIM(UPPER(E140)),1,1))&lt;=90,CODE(MID(TRIM(UPPER(E140)),2,1))&gt;=65,CODE(MID(TRIM(UPPER(E140)),2,1))&lt;=90,CODE(MID(TRIM(UPPER(E140)),3,1))&gt;=65,CODE(MID(TRIM(UPPER(E140)),3,1))&lt;=90,CODE(MID(TRIM(UPPER(E140)),4,1))&gt;=65,CODE(MID(TRIM(UPPER(E140)),4,1))&lt;=90,CODE(MID(TRIM(UPPER(E140)),5,1))&gt;=65,CODE(MID(TRIM(UPPER(E140)),5,1))&lt;=90,CODE(MID(TRIM(UPPER(E140)),10,1))&gt;=65,CODE(MID(TRIM(UPPER(E140)),10,1))&lt;=90,CODE(MID(TRIM(UPPER(E140)),6,1))&gt;=48,CODE(MID(TRIM(UPPER(E140)),6,1))&lt;=57,CODE(MID(TRIM(UPPER(E140)),7,1))&gt;=48,CODE(MID(TRIM(UPPER(E140)),7,1))&lt;=57,CODE(MID(TRIM(UPPER(E140)),8,1))&gt;=48,CODE(MID(TRIM(UPPER(E140)),8,1))&lt;=57,CODE(MID(TRIM(UPPER(E140)),9,1))&gt;=48,CODE(MID(TRIM(UPPER(E140)),9,1))&lt;=57),"N","Y"))</f>
      </c>
      <c r="G140" s="7">
        <f>IF($D140="","",IF(LEN(E140)&lt;4,"",IF(UPPER(MID(E140,4,1))="P","Individual",IF(UPPER(MID(E140,4,1))="H","HUF",IF(UPPER(MID(E140,4,1))="C","Company",IF(UPPER(MID(E140,4,1))="F","Firm",IF(UPPER(MID(E140,4,1))="L","LLP",IF(UPPER(MID(E140,4,1))="T","Trust",IF(UPPER(MID(E140,4,1))="A","AOP","")))))))))</f>
      </c>
      <c r="H140" s="8"/>
      <c r="I140" s="7">
        <f>IF($D140="","",IF(H140="","",IF(F140="Y",SUMPRODUCT(('Rate Lookup'!$A$1:$A$37=H140)*'Rate Lookup'!$D$1:$D$37),IF(OR(G140="Individual",G140="HUF"),SUMPRODUCT(('Rate Lookup'!$A$1:$A$37=H140)*'Rate Lookup'!$B$1:$B$37),SUMPRODUCT(('Rate Lookup'!$A$1:$A$37=H140)*'Rate Lookup'!$C$1:$C$37)))))</f>
      </c>
      <c r="J140" s="8"/>
      <c r="K140" s="8"/>
      <c r="L140" s="7">
        <f>IF($D140="","",ROUND(K140*I140/100,0))</f>
      </c>
      <c r="M140" s="7">
        <f>IF($D140="","",0)</f>
      </c>
      <c r="N140" s="7">
        <f>IF($D140="","",0)</f>
      </c>
      <c r="O140" s="7">
        <f>IF($D140="","",IF(OR(L140=0,J140="",IFERROR(INDEX('Challan Master'!$D$4:$D$207,MATCH($B140,'Challan Master'!$S$4:$S$207,0)),"")="",IFERROR(INDEX('Challan Master'!$D$4:$D$207,MATCH($B140,'Challan Master'!$S$4:$S$207,0)),"")&lt;=0),0,IF(IFERROR(INDEX('Challan Master'!$D$4:$D$207,MATCH($B140,'Challan Master'!$S$4:$S$207,0)),"")&lt;=DATE(YEAR(J140),MONTH(J140)+1,7),0,ROUND(L140*0.015*((YEAR(IFERROR(INDEX('Challan Master'!$D$4:$D$207,MATCH($B140,'Challan Master'!$S$4:$S$207,0)),""))-YEAR(J140))*12+(MONTH(IFERROR(INDEX('Challan Master'!$D$4:$D$207,MATCH($B140,'Challan Master'!$S$4:$S$207,0)),""))-MONTH(J140))+1),0))))</f>
      </c>
      <c r="P140" s="7">
        <f>IF($D140="","",0)</f>
      </c>
      <c r="Q140" s="8"/>
      <c r="R140" s="8"/>
      <c r="S140" s="8"/>
      <c r="T140" s="8"/>
      <c r="U140" s="8"/>
      <c r="V140" s="7">
        <f>IF($B140="","",IFERROR(INDEX('Challan Master'!$AA$4:$AA$207,MATCH($B140,'Challan Master'!$S$4:$S$207,0)),""))</f>
      </c>
    </row>
    <row r="141" spans="1:22" x14ac:dyDescent="0.25">
      <c r="A141" s="7">
        <f>IF($D141="","",COUNTIF($D$4:$D141,"&lt;&gt;"))</f>
      </c>
      <c r="B141" s="8"/>
      <c r="C141" s="7">
        <f>IF($B141="","","BSR "&amp;IFERROR(INDEX('Challan Master'!$B$4:$B$207,MATCH($B141,'Challan Master'!$S$4:$S$207,0)),"")&amp;" | Serial "&amp;IFERROR(INDEX('Challan Master'!$C$4:$C$207,MATCH($B141,'Challan Master'!$S$4:$S$207,0)),"")&amp;" | Deposit "&amp;TEXT(IFERROR(INDEX('Challan Master'!$D$4:$D$207,MATCH($B141,'Challan Master'!$S$4:$S$207,0)),""),"dd-mm-yyyy")&amp;" | Minor Head "&amp;IFERROR(INDEX('Challan Master'!$E$4:$E$207,MATCH($B141,'Challan Master'!$S$4:$S$207,0)),"")&amp;" | Tax ₹"&amp;TEXT(IFERROR(INDEX('Challan Master'!$G$4:$G$207,MATCH($B141,'Challan Master'!$S$4:$S$207,0)),""),"#,##0")&amp;" | Section "&amp;IFERROR(INDEX('Challan Master'!$F$4:$F$207,MATCH($B141,'Challan Master'!$S$4:$S$207,0)),""))</f>
      </c>
      <c r="D141" s="8"/>
      <c r="E141" s="8"/>
      <c r="F141" s="7">
        <f>IF($D141="","",IF(AND(LEN(TRIM(UPPER(E141)))=10,CODE(MID(TRIM(UPPER(E141)),1,1))&gt;=65,CODE(MID(TRIM(UPPER(E141)),1,1))&lt;=90,CODE(MID(TRIM(UPPER(E141)),2,1))&gt;=65,CODE(MID(TRIM(UPPER(E141)),2,1))&lt;=90,CODE(MID(TRIM(UPPER(E141)),3,1))&gt;=65,CODE(MID(TRIM(UPPER(E141)),3,1))&lt;=90,CODE(MID(TRIM(UPPER(E141)),4,1))&gt;=65,CODE(MID(TRIM(UPPER(E141)),4,1))&lt;=90,CODE(MID(TRIM(UPPER(E141)),5,1))&gt;=65,CODE(MID(TRIM(UPPER(E141)),5,1))&lt;=90,CODE(MID(TRIM(UPPER(E141)),10,1))&gt;=65,CODE(MID(TRIM(UPPER(E141)),10,1))&lt;=90,CODE(MID(TRIM(UPPER(E141)),6,1))&gt;=48,CODE(MID(TRIM(UPPER(E141)),6,1))&lt;=57,CODE(MID(TRIM(UPPER(E141)),7,1))&gt;=48,CODE(MID(TRIM(UPPER(E141)),7,1))&lt;=57,CODE(MID(TRIM(UPPER(E141)),8,1))&gt;=48,CODE(MID(TRIM(UPPER(E141)),8,1))&lt;=57,CODE(MID(TRIM(UPPER(E141)),9,1))&gt;=48,CODE(MID(TRIM(UPPER(E141)),9,1))&lt;=57),"N","Y"))</f>
      </c>
      <c r="G141" s="7">
        <f>IF($D141="","",IF(LEN(E141)&lt;4,"",IF(UPPER(MID(E141,4,1))="P","Individual",IF(UPPER(MID(E141,4,1))="H","HUF",IF(UPPER(MID(E141,4,1))="C","Company",IF(UPPER(MID(E141,4,1))="F","Firm",IF(UPPER(MID(E141,4,1))="L","LLP",IF(UPPER(MID(E141,4,1))="T","Trust",IF(UPPER(MID(E141,4,1))="A","AOP","")))))))))</f>
      </c>
      <c r="H141" s="8"/>
      <c r="I141" s="7">
        <f>IF($D141="","",IF(H141="","",IF(F141="Y",SUMPRODUCT(('Rate Lookup'!$A$1:$A$37=H141)*'Rate Lookup'!$D$1:$D$37),IF(OR(G141="Individual",G141="HUF"),SUMPRODUCT(('Rate Lookup'!$A$1:$A$37=H141)*'Rate Lookup'!$B$1:$B$37),SUMPRODUCT(('Rate Lookup'!$A$1:$A$37=H141)*'Rate Lookup'!$C$1:$C$37)))))</f>
      </c>
      <c r="J141" s="8"/>
      <c r="K141" s="8"/>
      <c r="L141" s="7">
        <f>IF($D141="","",ROUND(K141*I141/100,0))</f>
      </c>
      <c r="M141" s="7">
        <f>IF($D141="","",0)</f>
      </c>
      <c r="N141" s="7">
        <f>IF($D141="","",0)</f>
      </c>
      <c r="O141" s="7">
        <f>IF($D141="","",IF(OR(L141=0,J141="",IFERROR(INDEX('Challan Master'!$D$4:$D$207,MATCH($B141,'Challan Master'!$S$4:$S$207,0)),"")="",IFERROR(INDEX('Challan Master'!$D$4:$D$207,MATCH($B141,'Challan Master'!$S$4:$S$207,0)),"")&lt;=0),0,IF(IFERROR(INDEX('Challan Master'!$D$4:$D$207,MATCH($B141,'Challan Master'!$S$4:$S$207,0)),"")&lt;=DATE(YEAR(J141),MONTH(J141)+1,7),0,ROUND(L141*0.015*((YEAR(IFERROR(INDEX('Challan Master'!$D$4:$D$207,MATCH($B141,'Challan Master'!$S$4:$S$207,0)),""))-YEAR(J141))*12+(MONTH(IFERROR(INDEX('Challan Master'!$D$4:$D$207,MATCH($B141,'Challan Master'!$S$4:$S$207,0)),""))-MONTH(J141))+1),0))))</f>
      </c>
      <c r="P141" s="7">
        <f>IF($D141="","",0)</f>
      </c>
      <c r="Q141" s="8"/>
      <c r="R141" s="8"/>
      <c r="S141" s="8"/>
      <c r="T141" s="8"/>
      <c r="U141" s="8"/>
      <c r="V141" s="7">
        <f>IF($B141="","",IFERROR(INDEX('Challan Master'!$AA$4:$AA$207,MATCH($B141,'Challan Master'!$S$4:$S$207,0)),""))</f>
      </c>
    </row>
    <row r="142" spans="1:22" x14ac:dyDescent="0.25">
      <c r="A142" s="7">
        <f>IF($D142="","",COUNTIF($D$4:$D142,"&lt;&gt;"))</f>
      </c>
      <c r="B142" s="8"/>
      <c r="C142" s="7">
        <f>IF($B142="","","BSR "&amp;IFERROR(INDEX('Challan Master'!$B$4:$B$207,MATCH($B142,'Challan Master'!$S$4:$S$207,0)),"")&amp;" | Serial "&amp;IFERROR(INDEX('Challan Master'!$C$4:$C$207,MATCH($B142,'Challan Master'!$S$4:$S$207,0)),"")&amp;" | Deposit "&amp;TEXT(IFERROR(INDEX('Challan Master'!$D$4:$D$207,MATCH($B142,'Challan Master'!$S$4:$S$207,0)),""),"dd-mm-yyyy")&amp;" | Minor Head "&amp;IFERROR(INDEX('Challan Master'!$E$4:$E$207,MATCH($B142,'Challan Master'!$S$4:$S$207,0)),"")&amp;" | Tax ₹"&amp;TEXT(IFERROR(INDEX('Challan Master'!$G$4:$G$207,MATCH($B142,'Challan Master'!$S$4:$S$207,0)),""),"#,##0")&amp;" | Section "&amp;IFERROR(INDEX('Challan Master'!$F$4:$F$207,MATCH($B142,'Challan Master'!$S$4:$S$207,0)),""))</f>
      </c>
      <c r="D142" s="8"/>
      <c r="E142" s="8"/>
      <c r="F142" s="7">
        <f>IF($D142="","",IF(AND(LEN(TRIM(UPPER(E142)))=10,CODE(MID(TRIM(UPPER(E142)),1,1))&gt;=65,CODE(MID(TRIM(UPPER(E142)),1,1))&lt;=90,CODE(MID(TRIM(UPPER(E142)),2,1))&gt;=65,CODE(MID(TRIM(UPPER(E142)),2,1))&lt;=90,CODE(MID(TRIM(UPPER(E142)),3,1))&gt;=65,CODE(MID(TRIM(UPPER(E142)),3,1))&lt;=90,CODE(MID(TRIM(UPPER(E142)),4,1))&gt;=65,CODE(MID(TRIM(UPPER(E142)),4,1))&lt;=90,CODE(MID(TRIM(UPPER(E142)),5,1))&gt;=65,CODE(MID(TRIM(UPPER(E142)),5,1))&lt;=90,CODE(MID(TRIM(UPPER(E142)),10,1))&gt;=65,CODE(MID(TRIM(UPPER(E142)),10,1))&lt;=90,CODE(MID(TRIM(UPPER(E142)),6,1))&gt;=48,CODE(MID(TRIM(UPPER(E142)),6,1))&lt;=57,CODE(MID(TRIM(UPPER(E142)),7,1))&gt;=48,CODE(MID(TRIM(UPPER(E142)),7,1))&lt;=57,CODE(MID(TRIM(UPPER(E142)),8,1))&gt;=48,CODE(MID(TRIM(UPPER(E142)),8,1))&lt;=57,CODE(MID(TRIM(UPPER(E142)),9,1))&gt;=48,CODE(MID(TRIM(UPPER(E142)),9,1))&lt;=57),"N","Y"))</f>
      </c>
      <c r="G142" s="7">
        <f>IF($D142="","",IF(LEN(E142)&lt;4,"",IF(UPPER(MID(E142,4,1))="P","Individual",IF(UPPER(MID(E142,4,1))="H","HUF",IF(UPPER(MID(E142,4,1))="C","Company",IF(UPPER(MID(E142,4,1))="F","Firm",IF(UPPER(MID(E142,4,1))="L","LLP",IF(UPPER(MID(E142,4,1))="T","Trust",IF(UPPER(MID(E142,4,1))="A","AOP","")))))))))</f>
      </c>
      <c r="H142" s="8"/>
      <c r="I142" s="7">
        <f>IF($D142="","",IF(H142="","",IF(F142="Y",SUMPRODUCT(('Rate Lookup'!$A$1:$A$37=H142)*'Rate Lookup'!$D$1:$D$37),IF(OR(G142="Individual",G142="HUF"),SUMPRODUCT(('Rate Lookup'!$A$1:$A$37=H142)*'Rate Lookup'!$B$1:$B$37),SUMPRODUCT(('Rate Lookup'!$A$1:$A$37=H142)*'Rate Lookup'!$C$1:$C$37)))))</f>
      </c>
      <c r="J142" s="8"/>
      <c r="K142" s="8"/>
      <c r="L142" s="7">
        <f>IF($D142="","",ROUND(K142*I142/100,0))</f>
      </c>
      <c r="M142" s="7">
        <f>IF($D142="","",0)</f>
      </c>
      <c r="N142" s="7">
        <f>IF($D142="","",0)</f>
      </c>
      <c r="O142" s="7">
        <f>IF($D142="","",IF(OR(L142=0,J142="",IFERROR(INDEX('Challan Master'!$D$4:$D$207,MATCH($B142,'Challan Master'!$S$4:$S$207,0)),"")="",IFERROR(INDEX('Challan Master'!$D$4:$D$207,MATCH($B142,'Challan Master'!$S$4:$S$207,0)),"")&lt;=0),0,IF(IFERROR(INDEX('Challan Master'!$D$4:$D$207,MATCH($B142,'Challan Master'!$S$4:$S$207,0)),"")&lt;=DATE(YEAR(J142),MONTH(J142)+1,7),0,ROUND(L142*0.015*((YEAR(IFERROR(INDEX('Challan Master'!$D$4:$D$207,MATCH($B142,'Challan Master'!$S$4:$S$207,0)),""))-YEAR(J142))*12+(MONTH(IFERROR(INDEX('Challan Master'!$D$4:$D$207,MATCH($B142,'Challan Master'!$S$4:$S$207,0)),""))-MONTH(J142))+1),0))))</f>
      </c>
      <c r="P142" s="7">
        <f>IF($D142="","",0)</f>
      </c>
      <c r="Q142" s="8"/>
      <c r="R142" s="8"/>
      <c r="S142" s="8"/>
      <c r="T142" s="8"/>
      <c r="U142" s="8"/>
      <c r="V142" s="7">
        <f>IF($B142="","",IFERROR(INDEX('Challan Master'!$AA$4:$AA$207,MATCH($B142,'Challan Master'!$S$4:$S$207,0)),""))</f>
      </c>
    </row>
    <row r="143" spans="1:22" x14ac:dyDescent="0.25">
      <c r="A143" s="7">
        <f>IF($D143="","",COUNTIF($D$4:$D143,"&lt;&gt;"))</f>
      </c>
      <c r="B143" s="8"/>
      <c r="C143" s="7">
        <f>IF($B143="","","BSR "&amp;IFERROR(INDEX('Challan Master'!$B$4:$B$207,MATCH($B143,'Challan Master'!$S$4:$S$207,0)),"")&amp;" | Serial "&amp;IFERROR(INDEX('Challan Master'!$C$4:$C$207,MATCH($B143,'Challan Master'!$S$4:$S$207,0)),"")&amp;" | Deposit "&amp;TEXT(IFERROR(INDEX('Challan Master'!$D$4:$D$207,MATCH($B143,'Challan Master'!$S$4:$S$207,0)),""),"dd-mm-yyyy")&amp;" | Minor Head "&amp;IFERROR(INDEX('Challan Master'!$E$4:$E$207,MATCH($B143,'Challan Master'!$S$4:$S$207,0)),"")&amp;" | Tax ₹"&amp;TEXT(IFERROR(INDEX('Challan Master'!$G$4:$G$207,MATCH($B143,'Challan Master'!$S$4:$S$207,0)),""),"#,##0")&amp;" | Section "&amp;IFERROR(INDEX('Challan Master'!$F$4:$F$207,MATCH($B143,'Challan Master'!$S$4:$S$207,0)),""))</f>
      </c>
      <c r="D143" s="8"/>
      <c r="E143" s="8"/>
      <c r="F143" s="7">
        <f>IF($D143="","",IF(AND(LEN(TRIM(UPPER(E143)))=10,CODE(MID(TRIM(UPPER(E143)),1,1))&gt;=65,CODE(MID(TRIM(UPPER(E143)),1,1))&lt;=90,CODE(MID(TRIM(UPPER(E143)),2,1))&gt;=65,CODE(MID(TRIM(UPPER(E143)),2,1))&lt;=90,CODE(MID(TRIM(UPPER(E143)),3,1))&gt;=65,CODE(MID(TRIM(UPPER(E143)),3,1))&lt;=90,CODE(MID(TRIM(UPPER(E143)),4,1))&gt;=65,CODE(MID(TRIM(UPPER(E143)),4,1))&lt;=90,CODE(MID(TRIM(UPPER(E143)),5,1))&gt;=65,CODE(MID(TRIM(UPPER(E143)),5,1))&lt;=90,CODE(MID(TRIM(UPPER(E143)),10,1))&gt;=65,CODE(MID(TRIM(UPPER(E143)),10,1))&lt;=90,CODE(MID(TRIM(UPPER(E143)),6,1))&gt;=48,CODE(MID(TRIM(UPPER(E143)),6,1))&lt;=57,CODE(MID(TRIM(UPPER(E143)),7,1))&gt;=48,CODE(MID(TRIM(UPPER(E143)),7,1))&lt;=57,CODE(MID(TRIM(UPPER(E143)),8,1))&gt;=48,CODE(MID(TRIM(UPPER(E143)),8,1))&lt;=57,CODE(MID(TRIM(UPPER(E143)),9,1))&gt;=48,CODE(MID(TRIM(UPPER(E143)),9,1))&lt;=57),"N","Y"))</f>
      </c>
      <c r="G143" s="7">
        <f>IF($D143="","",IF(LEN(E143)&lt;4,"",IF(UPPER(MID(E143,4,1))="P","Individual",IF(UPPER(MID(E143,4,1))="H","HUF",IF(UPPER(MID(E143,4,1))="C","Company",IF(UPPER(MID(E143,4,1))="F","Firm",IF(UPPER(MID(E143,4,1))="L","LLP",IF(UPPER(MID(E143,4,1))="T","Trust",IF(UPPER(MID(E143,4,1))="A","AOP","")))))))))</f>
      </c>
      <c r="H143" s="8"/>
      <c r="I143" s="7">
        <f>IF($D143="","",IF(H143="","",IF(F143="Y",SUMPRODUCT(('Rate Lookup'!$A$1:$A$37=H143)*'Rate Lookup'!$D$1:$D$37),IF(OR(G143="Individual",G143="HUF"),SUMPRODUCT(('Rate Lookup'!$A$1:$A$37=H143)*'Rate Lookup'!$B$1:$B$37),SUMPRODUCT(('Rate Lookup'!$A$1:$A$37=H143)*'Rate Lookup'!$C$1:$C$37)))))</f>
      </c>
      <c r="J143" s="8"/>
      <c r="K143" s="8"/>
      <c r="L143" s="7">
        <f>IF($D143="","",ROUND(K143*I143/100,0))</f>
      </c>
      <c r="M143" s="7">
        <f>IF($D143="","",0)</f>
      </c>
      <c r="N143" s="7">
        <f>IF($D143="","",0)</f>
      </c>
      <c r="O143" s="7">
        <f>IF($D143="","",IF(OR(L143=0,J143="",IFERROR(INDEX('Challan Master'!$D$4:$D$207,MATCH($B143,'Challan Master'!$S$4:$S$207,0)),"")="",IFERROR(INDEX('Challan Master'!$D$4:$D$207,MATCH($B143,'Challan Master'!$S$4:$S$207,0)),"")&lt;=0),0,IF(IFERROR(INDEX('Challan Master'!$D$4:$D$207,MATCH($B143,'Challan Master'!$S$4:$S$207,0)),"")&lt;=DATE(YEAR(J143),MONTH(J143)+1,7),0,ROUND(L143*0.015*((YEAR(IFERROR(INDEX('Challan Master'!$D$4:$D$207,MATCH($B143,'Challan Master'!$S$4:$S$207,0)),""))-YEAR(J143))*12+(MONTH(IFERROR(INDEX('Challan Master'!$D$4:$D$207,MATCH($B143,'Challan Master'!$S$4:$S$207,0)),""))-MONTH(J143))+1),0))))</f>
      </c>
      <c r="P143" s="7">
        <f>IF($D143="","",0)</f>
      </c>
      <c r="Q143" s="8"/>
      <c r="R143" s="8"/>
      <c r="S143" s="8"/>
      <c r="T143" s="8"/>
      <c r="U143" s="8"/>
      <c r="V143" s="7">
        <f>IF($B143="","",IFERROR(INDEX('Challan Master'!$AA$4:$AA$207,MATCH($B143,'Challan Master'!$S$4:$S$207,0)),""))</f>
      </c>
    </row>
    <row r="144" spans="1:22" x14ac:dyDescent="0.25">
      <c r="A144" s="7">
        <f>IF($D144="","",COUNTIF($D$4:$D144,"&lt;&gt;"))</f>
      </c>
      <c r="B144" s="8"/>
      <c r="C144" s="7">
        <f>IF($B144="","","BSR "&amp;IFERROR(INDEX('Challan Master'!$B$4:$B$207,MATCH($B144,'Challan Master'!$S$4:$S$207,0)),"")&amp;" | Serial "&amp;IFERROR(INDEX('Challan Master'!$C$4:$C$207,MATCH($B144,'Challan Master'!$S$4:$S$207,0)),"")&amp;" | Deposit "&amp;TEXT(IFERROR(INDEX('Challan Master'!$D$4:$D$207,MATCH($B144,'Challan Master'!$S$4:$S$207,0)),""),"dd-mm-yyyy")&amp;" | Minor Head "&amp;IFERROR(INDEX('Challan Master'!$E$4:$E$207,MATCH($B144,'Challan Master'!$S$4:$S$207,0)),"")&amp;" | Tax ₹"&amp;TEXT(IFERROR(INDEX('Challan Master'!$G$4:$G$207,MATCH($B144,'Challan Master'!$S$4:$S$207,0)),""),"#,##0")&amp;" | Section "&amp;IFERROR(INDEX('Challan Master'!$F$4:$F$207,MATCH($B144,'Challan Master'!$S$4:$S$207,0)),""))</f>
      </c>
      <c r="D144" s="8"/>
      <c r="E144" s="8"/>
      <c r="F144" s="7">
        <f>IF($D144="","",IF(AND(LEN(TRIM(UPPER(E144)))=10,CODE(MID(TRIM(UPPER(E144)),1,1))&gt;=65,CODE(MID(TRIM(UPPER(E144)),1,1))&lt;=90,CODE(MID(TRIM(UPPER(E144)),2,1))&gt;=65,CODE(MID(TRIM(UPPER(E144)),2,1))&lt;=90,CODE(MID(TRIM(UPPER(E144)),3,1))&gt;=65,CODE(MID(TRIM(UPPER(E144)),3,1))&lt;=90,CODE(MID(TRIM(UPPER(E144)),4,1))&gt;=65,CODE(MID(TRIM(UPPER(E144)),4,1))&lt;=90,CODE(MID(TRIM(UPPER(E144)),5,1))&gt;=65,CODE(MID(TRIM(UPPER(E144)),5,1))&lt;=90,CODE(MID(TRIM(UPPER(E144)),10,1))&gt;=65,CODE(MID(TRIM(UPPER(E144)),10,1))&lt;=90,CODE(MID(TRIM(UPPER(E144)),6,1))&gt;=48,CODE(MID(TRIM(UPPER(E144)),6,1))&lt;=57,CODE(MID(TRIM(UPPER(E144)),7,1))&gt;=48,CODE(MID(TRIM(UPPER(E144)),7,1))&lt;=57,CODE(MID(TRIM(UPPER(E144)),8,1))&gt;=48,CODE(MID(TRIM(UPPER(E144)),8,1))&lt;=57,CODE(MID(TRIM(UPPER(E144)),9,1))&gt;=48,CODE(MID(TRIM(UPPER(E144)),9,1))&lt;=57),"N","Y"))</f>
      </c>
      <c r="G144" s="7">
        <f>IF($D144="","",IF(LEN(E144)&lt;4,"",IF(UPPER(MID(E144,4,1))="P","Individual",IF(UPPER(MID(E144,4,1))="H","HUF",IF(UPPER(MID(E144,4,1))="C","Company",IF(UPPER(MID(E144,4,1))="F","Firm",IF(UPPER(MID(E144,4,1))="L","LLP",IF(UPPER(MID(E144,4,1))="T","Trust",IF(UPPER(MID(E144,4,1))="A","AOP","")))))))))</f>
      </c>
      <c r="H144" s="8"/>
      <c r="I144" s="7">
        <f>IF($D144="","",IF(H144="","",IF(F144="Y",SUMPRODUCT(('Rate Lookup'!$A$1:$A$37=H144)*'Rate Lookup'!$D$1:$D$37),IF(OR(G144="Individual",G144="HUF"),SUMPRODUCT(('Rate Lookup'!$A$1:$A$37=H144)*'Rate Lookup'!$B$1:$B$37),SUMPRODUCT(('Rate Lookup'!$A$1:$A$37=H144)*'Rate Lookup'!$C$1:$C$37)))))</f>
      </c>
      <c r="J144" s="8"/>
      <c r="K144" s="8"/>
      <c r="L144" s="7">
        <f>IF($D144="","",ROUND(K144*I144/100,0))</f>
      </c>
      <c r="M144" s="7">
        <f>IF($D144="","",0)</f>
      </c>
      <c r="N144" s="7">
        <f>IF($D144="","",0)</f>
      </c>
      <c r="O144" s="7">
        <f>IF($D144="","",IF(OR(L144=0,J144="",IFERROR(INDEX('Challan Master'!$D$4:$D$207,MATCH($B144,'Challan Master'!$S$4:$S$207,0)),"")="",IFERROR(INDEX('Challan Master'!$D$4:$D$207,MATCH($B144,'Challan Master'!$S$4:$S$207,0)),"")&lt;=0),0,IF(IFERROR(INDEX('Challan Master'!$D$4:$D$207,MATCH($B144,'Challan Master'!$S$4:$S$207,0)),"")&lt;=DATE(YEAR(J144),MONTH(J144)+1,7),0,ROUND(L144*0.015*((YEAR(IFERROR(INDEX('Challan Master'!$D$4:$D$207,MATCH($B144,'Challan Master'!$S$4:$S$207,0)),""))-YEAR(J144))*12+(MONTH(IFERROR(INDEX('Challan Master'!$D$4:$D$207,MATCH($B144,'Challan Master'!$S$4:$S$207,0)),""))-MONTH(J144))+1),0))))</f>
      </c>
      <c r="P144" s="7">
        <f>IF($D144="","",0)</f>
      </c>
      <c r="Q144" s="8"/>
      <c r="R144" s="8"/>
      <c r="S144" s="8"/>
      <c r="T144" s="8"/>
      <c r="U144" s="8"/>
      <c r="V144" s="7">
        <f>IF($B144="","",IFERROR(INDEX('Challan Master'!$AA$4:$AA$207,MATCH($B144,'Challan Master'!$S$4:$S$207,0)),""))</f>
      </c>
    </row>
    <row r="145" spans="1:22" x14ac:dyDescent="0.25">
      <c r="A145" s="7">
        <f>IF($D145="","",COUNTIF($D$4:$D145,"&lt;&gt;"))</f>
      </c>
      <c r="B145" s="8"/>
      <c r="C145" s="7">
        <f>IF($B145="","","BSR "&amp;IFERROR(INDEX('Challan Master'!$B$4:$B$207,MATCH($B145,'Challan Master'!$S$4:$S$207,0)),"")&amp;" | Serial "&amp;IFERROR(INDEX('Challan Master'!$C$4:$C$207,MATCH($B145,'Challan Master'!$S$4:$S$207,0)),"")&amp;" | Deposit "&amp;TEXT(IFERROR(INDEX('Challan Master'!$D$4:$D$207,MATCH($B145,'Challan Master'!$S$4:$S$207,0)),""),"dd-mm-yyyy")&amp;" | Minor Head "&amp;IFERROR(INDEX('Challan Master'!$E$4:$E$207,MATCH($B145,'Challan Master'!$S$4:$S$207,0)),"")&amp;" | Tax ₹"&amp;TEXT(IFERROR(INDEX('Challan Master'!$G$4:$G$207,MATCH($B145,'Challan Master'!$S$4:$S$207,0)),""),"#,##0")&amp;" | Section "&amp;IFERROR(INDEX('Challan Master'!$F$4:$F$207,MATCH($B145,'Challan Master'!$S$4:$S$207,0)),""))</f>
      </c>
      <c r="D145" s="8"/>
      <c r="E145" s="8"/>
      <c r="F145" s="7">
        <f>IF($D145="","",IF(AND(LEN(TRIM(UPPER(E145)))=10,CODE(MID(TRIM(UPPER(E145)),1,1))&gt;=65,CODE(MID(TRIM(UPPER(E145)),1,1))&lt;=90,CODE(MID(TRIM(UPPER(E145)),2,1))&gt;=65,CODE(MID(TRIM(UPPER(E145)),2,1))&lt;=90,CODE(MID(TRIM(UPPER(E145)),3,1))&gt;=65,CODE(MID(TRIM(UPPER(E145)),3,1))&lt;=90,CODE(MID(TRIM(UPPER(E145)),4,1))&gt;=65,CODE(MID(TRIM(UPPER(E145)),4,1))&lt;=90,CODE(MID(TRIM(UPPER(E145)),5,1))&gt;=65,CODE(MID(TRIM(UPPER(E145)),5,1))&lt;=90,CODE(MID(TRIM(UPPER(E145)),10,1))&gt;=65,CODE(MID(TRIM(UPPER(E145)),10,1))&lt;=90,CODE(MID(TRIM(UPPER(E145)),6,1))&gt;=48,CODE(MID(TRIM(UPPER(E145)),6,1))&lt;=57,CODE(MID(TRIM(UPPER(E145)),7,1))&gt;=48,CODE(MID(TRIM(UPPER(E145)),7,1))&lt;=57,CODE(MID(TRIM(UPPER(E145)),8,1))&gt;=48,CODE(MID(TRIM(UPPER(E145)),8,1))&lt;=57,CODE(MID(TRIM(UPPER(E145)),9,1))&gt;=48,CODE(MID(TRIM(UPPER(E145)),9,1))&lt;=57),"N","Y"))</f>
      </c>
      <c r="G145" s="7">
        <f>IF($D145="","",IF(LEN(E145)&lt;4,"",IF(UPPER(MID(E145,4,1))="P","Individual",IF(UPPER(MID(E145,4,1))="H","HUF",IF(UPPER(MID(E145,4,1))="C","Company",IF(UPPER(MID(E145,4,1))="F","Firm",IF(UPPER(MID(E145,4,1))="L","LLP",IF(UPPER(MID(E145,4,1))="T","Trust",IF(UPPER(MID(E145,4,1))="A","AOP","")))))))))</f>
      </c>
      <c r="H145" s="8"/>
      <c r="I145" s="7">
        <f>IF($D145="","",IF(H145="","",IF(F145="Y",SUMPRODUCT(('Rate Lookup'!$A$1:$A$37=H145)*'Rate Lookup'!$D$1:$D$37),IF(OR(G145="Individual",G145="HUF"),SUMPRODUCT(('Rate Lookup'!$A$1:$A$37=H145)*'Rate Lookup'!$B$1:$B$37),SUMPRODUCT(('Rate Lookup'!$A$1:$A$37=H145)*'Rate Lookup'!$C$1:$C$37)))))</f>
      </c>
      <c r="J145" s="8"/>
      <c r="K145" s="8"/>
      <c r="L145" s="7">
        <f>IF($D145="","",ROUND(K145*I145/100,0))</f>
      </c>
      <c r="M145" s="7">
        <f>IF($D145="","",0)</f>
      </c>
      <c r="N145" s="7">
        <f>IF($D145="","",0)</f>
      </c>
      <c r="O145" s="7">
        <f>IF($D145="","",IF(OR(L145=0,J145="",IFERROR(INDEX('Challan Master'!$D$4:$D$207,MATCH($B145,'Challan Master'!$S$4:$S$207,0)),"")="",IFERROR(INDEX('Challan Master'!$D$4:$D$207,MATCH($B145,'Challan Master'!$S$4:$S$207,0)),"")&lt;=0),0,IF(IFERROR(INDEX('Challan Master'!$D$4:$D$207,MATCH($B145,'Challan Master'!$S$4:$S$207,0)),"")&lt;=DATE(YEAR(J145),MONTH(J145)+1,7),0,ROUND(L145*0.015*((YEAR(IFERROR(INDEX('Challan Master'!$D$4:$D$207,MATCH($B145,'Challan Master'!$S$4:$S$207,0)),""))-YEAR(J145))*12+(MONTH(IFERROR(INDEX('Challan Master'!$D$4:$D$207,MATCH($B145,'Challan Master'!$S$4:$S$207,0)),""))-MONTH(J145))+1),0))))</f>
      </c>
      <c r="P145" s="7">
        <f>IF($D145="","",0)</f>
      </c>
      <c r="Q145" s="8"/>
      <c r="R145" s="8"/>
      <c r="S145" s="8"/>
      <c r="T145" s="8"/>
      <c r="U145" s="8"/>
      <c r="V145" s="7">
        <f>IF($B145="","",IFERROR(INDEX('Challan Master'!$AA$4:$AA$207,MATCH($B145,'Challan Master'!$S$4:$S$207,0)),""))</f>
      </c>
    </row>
    <row r="146" spans="1:22" x14ac:dyDescent="0.25">
      <c r="A146" s="7">
        <f>IF($D146="","",COUNTIF($D$4:$D146,"&lt;&gt;"))</f>
      </c>
      <c r="B146" s="8"/>
      <c r="C146" s="7">
        <f>IF($B146="","","BSR "&amp;IFERROR(INDEX('Challan Master'!$B$4:$B$207,MATCH($B146,'Challan Master'!$S$4:$S$207,0)),"")&amp;" | Serial "&amp;IFERROR(INDEX('Challan Master'!$C$4:$C$207,MATCH($B146,'Challan Master'!$S$4:$S$207,0)),"")&amp;" | Deposit "&amp;TEXT(IFERROR(INDEX('Challan Master'!$D$4:$D$207,MATCH($B146,'Challan Master'!$S$4:$S$207,0)),""),"dd-mm-yyyy")&amp;" | Minor Head "&amp;IFERROR(INDEX('Challan Master'!$E$4:$E$207,MATCH($B146,'Challan Master'!$S$4:$S$207,0)),"")&amp;" | Tax ₹"&amp;TEXT(IFERROR(INDEX('Challan Master'!$G$4:$G$207,MATCH($B146,'Challan Master'!$S$4:$S$207,0)),""),"#,##0")&amp;" | Section "&amp;IFERROR(INDEX('Challan Master'!$F$4:$F$207,MATCH($B146,'Challan Master'!$S$4:$S$207,0)),""))</f>
      </c>
      <c r="D146" s="8"/>
      <c r="E146" s="8"/>
      <c r="F146" s="7">
        <f>IF($D146="","",IF(AND(LEN(TRIM(UPPER(E146)))=10,CODE(MID(TRIM(UPPER(E146)),1,1))&gt;=65,CODE(MID(TRIM(UPPER(E146)),1,1))&lt;=90,CODE(MID(TRIM(UPPER(E146)),2,1))&gt;=65,CODE(MID(TRIM(UPPER(E146)),2,1))&lt;=90,CODE(MID(TRIM(UPPER(E146)),3,1))&gt;=65,CODE(MID(TRIM(UPPER(E146)),3,1))&lt;=90,CODE(MID(TRIM(UPPER(E146)),4,1))&gt;=65,CODE(MID(TRIM(UPPER(E146)),4,1))&lt;=90,CODE(MID(TRIM(UPPER(E146)),5,1))&gt;=65,CODE(MID(TRIM(UPPER(E146)),5,1))&lt;=90,CODE(MID(TRIM(UPPER(E146)),10,1))&gt;=65,CODE(MID(TRIM(UPPER(E146)),10,1))&lt;=90,CODE(MID(TRIM(UPPER(E146)),6,1))&gt;=48,CODE(MID(TRIM(UPPER(E146)),6,1))&lt;=57,CODE(MID(TRIM(UPPER(E146)),7,1))&gt;=48,CODE(MID(TRIM(UPPER(E146)),7,1))&lt;=57,CODE(MID(TRIM(UPPER(E146)),8,1))&gt;=48,CODE(MID(TRIM(UPPER(E146)),8,1))&lt;=57,CODE(MID(TRIM(UPPER(E146)),9,1))&gt;=48,CODE(MID(TRIM(UPPER(E146)),9,1))&lt;=57),"N","Y"))</f>
      </c>
      <c r="G146" s="7">
        <f>IF($D146="","",IF(LEN(E146)&lt;4,"",IF(UPPER(MID(E146,4,1))="P","Individual",IF(UPPER(MID(E146,4,1))="H","HUF",IF(UPPER(MID(E146,4,1))="C","Company",IF(UPPER(MID(E146,4,1))="F","Firm",IF(UPPER(MID(E146,4,1))="L","LLP",IF(UPPER(MID(E146,4,1))="T","Trust",IF(UPPER(MID(E146,4,1))="A","AOP","")))))))))</f>
      </c>
      <c r="H146" s="8"/>
      <c r="I146" s="7">
        <f>IF($D146="","",IF(H146="","",IF(F146="Y",SUMPRODUCT(('Rate Lookup'!$A$1:$A$37=H146)*'Rate Lookup'!$D$1:$D$37),IF(OR(G146="Individual",G146="HUF"),SUMPRODUCT(('Rate Lookup'!$A$1:$A$37=H146)*'Rate Lookup'!$B$1:$B$37),SUMPRODUCT(('Rate Lookup'!$A$1:$A$37=H146)*'Rate Lookup'!$C$1:$C$37)))))</f>
      </c>
      <c r="J146" s="8"/>
      <c r="K146" s="8"/>
      <c r="L146" s="7">
        <f>IF($D146="","",ROUND(K146*I146/100,0))</f>
      </c>
      <c r="M146" s="7">
        <f>IF($D146="","",0)</f>
      </c>
      <c r="N146" s="7">
        <f>IF($D146="","",0)</f>
      </c>
      <c r="O146" s="7">
        <f>IF($D146="","",IF(OR(L146=0,J146="",IFERROR(INDEX('Challan Master'!$D$4:$D$207,MATCH($B146,'Challan Master'!$S$4:$S$207,0)),"")="",IFERROR(INDEX('Challan Master'!$D$4:$D$207,MATCH($B146,'Challan Master'!$S$4:$S$207,0)),"")&lt;=0),0,IF(IFERROR(INDEX('Challan Master'!$D$4:$D$207,MATCH($B146,'Challan Master'!$S$4:$S$207,0)),"")&lt;=DATE(YEAR(J146),MONTH(J146)+1,7),0,ROUND(L146*0.015*((YEAR(IFERROR(INDEX('Challan Master'!$D$4:$D$207,MATCH($B146,'Challan Master'!$S$4:$S$207,0)),""))-YEAR(J146))*12+(MONTH(IFERROR(INDEX('Challan Master'!$D$4:$D$207,MATCH($B146,'Challan Master'!$S$4:$S$207,0)),""))-MONTH(J146))+1),0))))</f>
      </c>
      <c r="P146" s="7">
        <f>IF($D146="","",0)</f>
      </c>
      <c r="Q146" s="8"/>
      <c r="R146" s="8"/>
      <c r="S146" s="8"/>
      <c r="T146" s="8"/>
      <c r="U146" s="8"/>
      <c r="V146" s="7">
        <f>IF($B146="","",IFERROR(INDEX('Challan Master'!$AA$4:$AA$207,MATCH($B146,'Challan Master'!$S$4:$S$207,0)),""))</f>
      </c>
    </row>
    <row r="147" spans="1:22" x14ac:dyDescent="0.25">
      <c r="A147" s="7">
        <f>IF($D147="","",COUNTIF($D$4:$D147,"&lt;&gt;"))</f>
      </c>
      <c r="B147" s="8"/>
      <c r="C147" s="7">
        <f>IF($B147="","","BSR "&amp;IFERROR(INDEX('Challan Master'!$B$4:$B$207,MATCH($B147,'Challan Master'!$S$4:$S$207,0)),"")&amp;" | Serial "&amp;IFERROR(INDEX('Challan Master'!$C$4:$C$207,MATCH($B147,'Challan Master'!$S$4:$S$207,0)),"")&amp;" | Deposit "&amp;TEXT(IFERROR(INDEX('Challan Master'!$D$4:$D$207,MATCH($B147,'Challan Master'!$S$4:$S$207,0)),""),"dd-mm-yyyy")&amp;" | Minor Head "&amp;IFERROR(INDEX('Challan Master'!$E$4:$E$207,MATCH($B147,'Challan Master'!$S$4:$S$207,0)),"")&amp;" | Tax ₹"&amp;TEXT(IFERROR(INDEX('Challan Master'!$G$4:$G$207,MATCH($B147,'Challan Master'!$S$4:$S$207,0)),""),"#,##0")&amp;" | Section "&amp;IFERROR(INDEX('Challan Master'!$F$4:$F$207,MATCH($B147,'Challan Master'!$S$4:$S$207,0)),""))</f>
      </c>
      <c r="D147" s="8"/>
      <c r="E147" s="8"/>
      <c r="F147" s="7">
        <f>IF($D147="","",IF(AND(LEN(TRIM(UPPER(E147)))=10,CODE(MID(TRIM(UPPER(E147)),1,1))&gt;=65,CODE(MID(TRIM(UPPER(E147)),1,1))&lt;=90,CODE(MID(TRIM(UPPER(E147)),2,1))&gt;=65,CODE(MID(TRIM(UPPER(E147)),2,1))&lt;=90,CODE(MID(TRIM(UPPER(E147)),3,1))&gt;=65,CODE(MID(TRIM(UPPER(E147)),3,1))&lt;=90,CODE(MID(TRIM(UPPER(E147)),4,1))&gt;=65,CODE(MID(TRIM(UPPER(E147)),4,1))&lt;=90,CODE(MID(TRIM(UPPER(E147)),5,1))&gt;=65,CODE(MID(TRIM(UPPER(E147)),5,1))&lt;=90,CODE(MID(TRIM(UPPER(E147)),10,1))&gt;=65,CODE(MID(TRIM(UPPER(E147)),10,1))&lt;=90,CODE(MID(TRIM(UPPER(E147)),6,1))&gt;=48,CODE(MID(TRIM(UPPER(E147)),6,1))&lt;=57,CODE(MID(TRIM(UPPER(E147)),7,1))&gt;=48,CODE(MID(TRIM(UPPER(E147)),7,1))&lt;=57,CODE(MID(TRIM(UPPER(E147)),8,1))&gt;=48,CODE(MID(TRIM(UPPER(E147)),8,1))&lt;=57,CODE(MID(TRIM(UPPER(E147)),9,1))&gt;=48,CODE(MID(TRIM(UPPER(E147)),9,1))&lt;=57),"N","Y"))</f>
      </c>
      <c r="G147" s="7">
        <f>IF($D147="","",IF(LEN(E147)&lt;4,"",IF(UPPER(MID(E147,4,1))="P","Individual",IF(UPPER(MID(E147,4,1))="H","HUF",IF(UPPER(MID(E147,4,1))="C","Company",IF(UPPER(MID(E147,4,1))="F","Firm",IF(UPPER(MID(E147,4,1))="L","LLP",IF(UPPER(MID(E147,4,1))="T","Trust",IF(UPPER(MID(E147,4,1))="A","AOP","")))))))))</f>
      </c>
      <c r="H147" s="8"/>
      <c r="I147" s="7">
        <f>IF($D147="","",IF(H147="","",IF(F147="Y",SUMPRODUCT(('Rate Lookup'!$A$1:$A$37=H147)*'Rate Lookup'!$D$1:$D$37),IF(OR(G147="Individual",G147="HUF"),SUMPRODUCT(('Rate Lookup'!$A$1:$A$37=H147)*'Rate Lookup'!$B$1:$B$37),SUMPRODUCT(('Rate Lookup'!$A$1:$A$37=H147)*'Rate Lookup'!$C$1:$C$37)))))</f>
      </c>
      <c r="J147" s="8"/>
      <c r="K147" s="8"/>
      <c r="L147" s="7">
        <f>IF($D147="","",ROUND(K147*I147/100,0))</f>
      </c>
      <c r="M147" s="7">
        <f>IF($D147="","",0)</f>
      </c>
      <c r="N147" s="7">
        <f>IF($D147="","",0)</f>
      </c>
      <c r="O147" s="7">
        <f>IF($D147="","",IF(OR(L147=0,J147="",IFERROR(INDEX('Challan Master'!$D$4:$D$207,MATCH($B147,'Challan Master'!$S$4:$S$207,0)),"")="",IFERROR(INDEX('Challan Master'!$D$4:$D$207,MATCH($B147,'Challan Master'!$S$4:$S$207,0)),"")&lt;=0),0,IF(IFERROR(INDEX('Challan Master'!$D$4:$D$207,MATCH($B147,'Challan Master'!$S$4:$S$207,0)),"")&lt;=DATE(YEAR(J147),MONTH(J147)+1,7),0,ROUND(L147*0.015*((YEAR(IFERROR(INDEX('Challan Master'!$D$4:$D$207,MATCH($B147,'Challan Master'!$S$4:$S$207,0)),""))-YEAR(J147))*12+(MONTH(IFERROR(INDEX('Challan Master'!$D$4:$D$207,MATCH($B147,'Challan Master'!$S$4:$S$207,0)),""))-MONTH(J147))+1),0))))</f>
      </c>
      <c r="P147" s="7">
        <f>IF($D147="","",0)</f>
      </c>
      <c r="Q147" s="8"/>
      <c r="R147" s="8"/>
      <c r="S147" s="8"/>
      <c r="T147" s="8"/>
      <c r="U147" s="8"/>
      <c r="V147" s="7">
        <f>IF($B147="","",IFERROR(INDEX('Challan Master'!$AA$4:$AA$207,MATCH($B147,'Challan Master'!$S$4:$S$207,0)),""))</f>
      </c>
    </row>
    <row r="148" spans="1:22" x14ac:dyDescent="0.25">
      <c r="A148" s="7">
        <f>IF($D148="","",COUNTIF($D$4:$D148,"&lt;&gt;"))</f>
      </c>
      <c r="B148" s="8"/>
      <c r="C148" s="7">
        <f>IF($B148="","","BSR "&amp;IFERROR(INDEX('Challan Master'!$B$4:$B$207,MATCH($B148,'Challan Master'!$S$4:$S$207,0)),"")&amp;" | Serial "&amp;IFERROR(INDEX('Challan Master'!$C$4:$C$207,MATCH($B148,'Challan Master'!$S$4:$S$207,0)),"")&amp;" | Deposit "&amp;TEXT(IFERROR(INDEX('Challan Master'!$D$4:$D$207,MATCH($B148,'Challan Master'!$S$4:$S$207,0)),""),"dd-mm-yyyy")&amp;" | Minor Head "&amp;IFERROR(INDEX('Challan Master'!$E$4:$E$207,MATCH($B148,'Challan Master'!$S$4:$S$207,0)),"")&amp;" | Tax ₹"&amp;TEXT(IFERROR(INDEX('Challan Master'!$G$4:$G$207,MATCH($B148,'Challan Master'!$S$4:$S$207,0)),""),"#,##0")&amp;" | Section "&amp;IFERROR(INDEX('Challan Master'!$F$4:$F$207,MATCH($B148,'Challan Master'!$S$4:$S$207,0)),""))</f>
      </c>
      <c r="D148" s="8"/>
      <c r="E148" s="8"/>
      <c r="F148" s="7">
        <f>IF($D148="","",IF(AND(LEN(TRIM(UPPER(E148)))=10,CODE(MID(TRIM(UPPER(E148)),1,1))&gt;=65,CODE(MID(TRIM(UPPER(E148)),1,1))&lt;=90,CODE(MID(TRIM(UPPER(E148)),2,1))&gt;=65,CODE(MID(TRIM(UPPER(E148)),2,1))&lt;=90,CODE(MID(TRIM(UPPER(E148)),3,1))&gt;=65,CODE(MID(TRIM(UPPER(E148)),3,1))&lt;=90,CODE(MID(TRIM(UPPER(E148)),4,1))&gt;=65,CODE(MID(TRIM(UPPER(E148)),4,1))&lt;=90,CODE(MID(TRIM(UPPER(E148)),5,1))&gt;=65,CODE(MID(TRIM(UPPER(E148)),5,1))&lt;=90,CODE(MID(TRIM(UPPER(E148)),10,1))&gt;=65,CODE(MID(TRIM(UPPER(E148)),10,1))&lt;=90,CODE(MID(TRIM(UPPER(E148)),6,1))&gt;=48,CODE(MID(TRIM(UPPER(E148)),6,1))&lt;=57,CODE(MID(TRIM(UPPER(E148)),7,1))&gt;=48,CODE(MID(TRIM(UPPER(E148)),7,1))&lt;=57,CODE(MID(TRIM(UPPER(E148)),8,1))&gt;=48,CODE(MID(TRIM(UPPER(E148)),8,1))&lt;=57,CODE(MID(TRIM(UPPER(E148)),9,1))&gt;=48,CODE(MID(TRIM(UPPER(E148)),9,1))&lt;=57),"N","Y"))</f>
      </c>
      <c r="G148" s="7">
        <f>IF($D148="","",IF(LEN(E148)&lt;4,"",IF(UPPER(MID(E148,4,1))="P","Individual",IF(UPPER(MID(E148,4,1))="H","HUF",IF(UPPER(MID(E148,4,1))="C","Company",IF(UPPER(MID(E148,4,1))="F","Firm",IF(UPPER(MID(E148,4,1))="L","LLP",IF(UPPER(MID(E148,4,1))="T","Trust",IF(UPPER(MID(E148,4,1))="A","AOP","")))))))))</f>
      </c>
      <c r="H148" s="8"/>
      <c r="I148" s="7">
        <f>IF($D148="","",IF(H148="","",IF(F148="Y",SUMPRODUCT(('Rate Lookup'!$A$1:$A$37=H148)*'Rate Lookup'!$D$1:$D$37),IF(OR(G148="Individual",G148="HUF"),SUMPRODUCT(('Rate Lookup'!$A$1:$A$37=H148)*'Rate Lookup'!$B$1:$B$37),SUMPRODUCT(('Rate Lookup'!$A$1:$A$37=H148)*'Rate Lookup'!$C$1:$C$37)))))</f>
      </c>
      <c r="J148" s="8"/>
      <c r="K148" s="8"/>
      <c r="L148" s="7">
        <f>IF($D148="","",ROUND(K148*I148/100,0))</f>
      </c>
      <c r="M148" s="7">
        <f>IF($D148="","",0)</f>
      </c>
      <c r="N148" s="7">
        <f>IF($D148="","",0)</f>
      </c>
      <c r="O148" s="7">
        <f>IF($D148="","",IF(OR(L148=0,J148="",IFERROR(INDEX('Challan Master'!$D$4:$D$207,MATCH($B148,'Challan Master'!$S$4:$S$207,0)),"")="",IFERROR(INDEX('Challan Master'!$D$4:$D$207,MATCH($B148,'Challan Master'!$S$4:$S$207,0)),"")&lt;=0),0,IF(IFERROR(INDEX('Challan Master'!$D$4:$D$207,MATCH($B148,'Challan Master'!$S$4:$S$207,0)),"")&lt;=DATE(YEAR(J148),MONTH(J148)+1,7),0,ROUND(L148*0.015*((YEAR(IFERROR(INDEX('Challan Master'!$D$4:$D$207,MATCH($B148,'Challan Master'!$S$4:$S$207,0)),""))-YEAR(J148))*12+(MONTH(IFERROR(INDEX('Challan Master'!$D$4:$D$207,MATCH($B148,'Challan Master'!$S$4:$S$207,0)),""))-MONTH(J148))+1),0))))</f>
      </c>
      <c r="P148" s="7">
        <f>IF($D148="","",0)</f>
      </c>
      <c r="Q148" s="8"/>
      <c r="R148" s="8"/>
      <c r="S148" s="8"/>
      <c r="T148" s="8"/>
      <c r="U148" s="8"/>
      <c r="V148" s="7">
        <f>IF($B148="","",IFERROR(INDEX('Challan Master'!$AA$4:$AA$207,MATCH($B148,'Challan Master'!$S$4:$S$207,0)),""))</f>
      </c>
    </row>
    <row r="149" spans="1:22" x14ac:dyDescent="0.25">
      <c r="A149" s="7">
        <f>IF($D149="","",COUNTIF($D$4:$D149,"&lt;&gt;"))</f>
      </c>
      <c r="B149" s="8"/>
      <c r="C149" s="7">
        <f>IF($B149="","","BSR "&amp;IFERROR(INDEX('Challan Master'!$B$4:$B$207,MATCH($B149,'Challan Master'!$S$4:$S$207,0)),"")&amp;" | Serial "&amp;IFERROR(INDEX('Challan Master'!$C$4:$C$207,MATCH($B149,'Challan Master'!$S$4:$S$207,0)),"")&amp;" | Deposit "&amp;TEXT(IFERROR(INDEX('Challan Master'!$D$4:$D$207,MATCH($B149,'Challan Master'!$S$4:$S$207,0)),""),"dd-mm-yyyy")&amp;" | Minor Head "&amp;IFERROR(INDEX('Challan Master'!$E$4:$E$207,MATCH($B149,'Challan Master'!$S$4:$S$207,0)),"")&amp;" | Tax ₹"&amp;TEXT(IFERROR(INDEX('Challan Master'!$G$4:$G$207,MATCH($B149,'Challan Master'!$S$4:$S$207,0)),""),"#,##0")&amp;" | Section "&amp;IFERROR(INDEX('Challan Master'!$F$4:$F$207,MATCH($B149,'Challan Master'!$S$4:$S$207,0)),""))</f>
      </c>
      <c r="D149" s="8"/>
      <c r="E149" s="8"/>
      <c r="F149" s="7">
        <f>IF($D149="","",IF(AND(LEN(TRIM(UPPER(E149)))=10,CODE(MID(TRIM(UPPER(E149)),1,1))&gt;=65,CODE(MID(TRIM(UPPER(E149)),1,1))&lt;=90,CODE(MID(TRIM(UPPER(E149)),2,1))&gt;=65,CODE(MID(TRIM(UPPER(E149)),2,1))&lt;=90,CODE(MID(TRIM(UPPER(E149)),3,1))&gt;=65,CODE(MID(TRIM(UPPER(E149)),3,1))&lt;=90,CODE(MID(TRIM(UPPER(E149)),4,1))&gt;=65,CODE(MID(TRIM(UPPER(E149)),4,1))&lt;=90,CODE(MID(TRIM(UPPER(E149)),5,1))&gt;=65,CODE(MID(TRIM(UPPER(E149)),5,1))&lt;=90,CODE(MID(TRIM(UPPER(E149)),10,1))&gt;=65,CODE(MID(TRIM(UPPER(E149)),10,1))&lt;=90,CODE(MID(TRIM(UPPER(E149)),6,1))&gt;=48,CODE(MID(TRIM(UPPER(E149)),6,1))&lt;=57,CODE(MID(TRIM(UPPER(E149)),7,1))&gt;=48,CODE(MID(TRIM(UPPER(E149)),7,1))&lt;=57,CODE(MID(TRIM(UPPER(E149)),8,1))&gt;=48,CODE(MID(TRIM(UPPER(E149)),8,1))&lt;=57,CODE(MID(TRIM(UPPER(E149)),9,1))&gt;=48,CODE(MID(TRIM(UPPER(E149)),9,1))&lt;=57),"N","Y"))</f>
      </c>
      <c r="G149" s="7">
        <f>IF($D149="","",IF(LEN(E149)&lt;4,"",IF(UPPER(MID(E149,4,1))="P","Individual",IF(UPPER(MID(E149,4,1))="H","HUF",IF(UPPER(MID(E149,4,1))="C","Company",IF(UPPER(MID(E149,4,1))="F","Firm",IF(UPPER(MID(E149,4,1))="L","LLP",IF(UPPER(MID(E149,4,1))="T","Trust",IF(UPPER(MID(E149,4,1))="A","AOP","")))))))))</f>
      </c>
      <c r="H149" s="8"/>
      <c r="I149" s="7">
        <f>IF($D149="","",IF(H149="","",IF(F149="Y",SUMPRODUCT(('Rate Lookup'!$A$1:$A$37=H149)*'Rate Lookup'!$D$1:$D$37),IF(OR(G149="Individual",G149="HUF"),SUMPRODUCT(('Rate Lookup'!$A$1:$A$37=H149)*'Rate Lookup'!$B$1:$B$37),SUMPRODUCT(('Rate Lookup'!$A$1:$A$37=H149)*'Rate Lookup'!$C$1:$C$37)))))</f>
      </c>
      <c r="J149" s="8"/>
      <c r="K149" s="8"/>
      <c r="L149" s="7">
        <f>IF($D149="","",ROUND(K149*I149/100,0))</f>
      </c>
      <c r="M149" s="7">
        <f>IF($D149="","",0)</f>
      </c>
      <c r="N149" s="7">
        <f>IF($D149="","",0)</f>
      </c>
      <c r="O149" s="7">
        <f>IF($D149="","",IF(OR(L149=0,J149="",IFERROR(INDEX('Challan Master'!$D$4:$D$207,MATCH($B149,'Challan Master'!$S$4:$S$207,0)),"")="",IFERROR(INDEX('Challan Master'!$D$4:$D$207,MATCH($B149,'Challan Master'!$S$4:$S$207,0)),"")&lt;=0),0,IF(IFERROR(INDEX('Challan Master'!$D$4:$D$207,MATCH($B149,'Challan Master'!$S$4:$S$207,0)),"")&lt;=DATE(YEAR(J149),MONTH(J149)+1,7),0,ROUND(L149*0.015*((YEAR(IFERROR(INDEX('Challan Master'!$D$4:$D$207,MATCH($B149,'Challan Master'!$S$4:$S$207,0)),""))-YEAR(J149))*12+(MONTH(IFERROR(INDEX('Challan Master'!$D$4:$D$207,MATCH($B149,'Challan Master'!$S$4:$S$207,0)),""))-MONTH(J149))+1),0))))</f>
      </c>
      <c r="P149" s="7">
        <f>IF($D149="","",0)</f>
      </c>
      <c r="Q149" s="8"/>
      <c r="R149" s="8"/>
      <c r="S149" s="8"/>
      <c r="T149" s="8"/>
      <c r="U149" s="8"/>
      <c r="V149" s="7">
        <f>IF($B149="","",IFERROR(INDEX('Challan Master'!$AA$4:$AA$207,MATCH($B149,'Challan Master'!$S$4:$S$207,0)),""))</f>
      </c>
    </row>
    <row r="150" spans="1:22" x14ac:dyDescent="0.25">
      <c r="A150" s="7">
        <f>IF($D150="","",COUNTIF($D$4:$D150,"&lt;&gt;"))</f>
      </c>
      <c r="B150" s="8"/>
      <c r="C150" s="7">
        <f>IF($B150="","","BSR "&amp;IFERROR(INDEX('Challan Master'!$B$4:$B$207,MATCH($B150,'Challan Master'!$S$4:$S$207,0)),"")&amp;" | Serial "&amp;IFERROR(INDEX('Challan Master'!$C$4:$C$207,MATCH($B150,'Challan Master'!$S$4:$S$207,0)),"")&amp;" | Deposit "&amp;TEXT(IFERROR(INDEX('Challan Master'!$D$4:$D$207,MATCH($B150,'Challan Master'!$S$4:$S$207,0)),""),"dd-mm-yyyy")&amp;" | Minor Head "&amp;IFERROR(INDEX('Challan Master'!$E$4:$E$207,MATCH($B150,'Challan Master'!$S$4:$S$207,0)),"")&amp;" | Tax ₹"&amp;TEXT(IFERROR(INDEX('Challan Master'!$G$4:$G$207,MATCH($B150,'Challan Master'!$S$4:$S$207,0)),""),"#,##0")&amp;" | Section "&amp;IFERROR(INDEX('Challan Master'!$F$4:$F$207,MATCH($B150,'Challan Master'!$S$4:$S$207,0)),""))</f>
      </c>
      <c r="D150" s="8"/>
      <c r="E150" s="8"/>
      <c r="F150" s="7">
        <f>IF($D150="","",IF(AND(LEN(TRIM(UPPER(E150)))=10,CODE(MID(TRIM(UPPER(E150)),1,1))&gt;=65,CODE(MID(TRIM(UPPER(E150)),1,1))&lt;=90,CODE(MID(TRIM(UPPER(E150)),2,1))&gt;=65,CODE(MID(TRIM(UPPER(E150)),2,1))&lt;=90,CODE(MID(TRIM(UPPER(E150)),3,1))&gt;=65,CODE(MID(TRIM(UPPER(E150)),3,1))&lt;=90,CODE(MID(TRIM(UPPER(E150)),4,1))&gt;=65,CODE(MID(TRIM(UPPER(E150)),4,1))&lt;=90,CODE(MID(TRIM(UPPER(E150)),5,1))&gt;=65,CODE(MID(TRIM(UPPER(E150)),5,1))&lt;=90,CODE(MID(TRIM(UPPER(E150)),10,1))&gt;=65,CODE(MID(TRIM(UPPER(E150)),10,1))&lt;=90,CODE(MID(TRIM(UPPER(E150)),6,1))&gt;=48,CODE(MID(TRIM(UPPER(E150)),6,1))&lt;=57,CODE(MID(TRIM(UPPER(E150)),7,1))&gt;=48,CODE(MID(TRIM(UPPER(E150)),7,1))&lt;=57,CODE(MID(TRIM(UPPER(E150)),8,1))&gt;=48,CODE(MID(TRIM(UPPER(E150)),8,1))&lt;=57,CODE(MID(TRIM(UPPER(E150)),9,1))&gt;=48,CODE(MID(TRIM(UPPER(E150)),9,1))&lt;=57),"N","Y"))</f>
      </c>
      <c r="G150" s="7">
        <f>IF($D150="","",IF(LEN(E150)&lt;4,"",IF(UPPER(MID(E150,4,1))="P","Individual",IF(UPPER(MID(E150,4,1))="H","HUF",IF(UPPER(MID(E150,4,1))="C","Company",IF(UPPER(MID(E150,4,1))="F","Firm",IF(UPPER(MID(E150,4,1))="L","LLP",IF(UPPER(MID(E150,4,1))="T","Trust",IF(UPPER(MID(E150,4,1))="A","AOP","")))))))))</f>
      </c>
      <c r="H150" s="8"/>
      <c r="I150" s="7">
        <f>IF($D150="","",IF(H150="","",IF(F150="Y",SUMPRODUCT(('Rate Lookup'!$A$1:$A$37=H150)*'Rate Lookup'!$D$1:$D$37),IF(OR(G150="Individual",G150="HUF"),SUMPRODUCT(('Rate Lookup'!$A$1:$A$37=H150)*'Rate Lookup'!$B$1:$B$37),SUMPRODUCT(('Rate Lookup'!$A$1:$A$37=H150)*'Rate Lookup'!$C$1:$C$37)))))</f>
      </c>
      <c r="J150" s="8"/>
      <c r="K150" s="8"/>
      <c r="L150" s="7">
        <f>IF($D150="","",ROUND(K150*I150/100,0))</f>
      </c>
      <c r="M150" s="7">
        <f>IF($D150="","",0)</f>
      </c>
      <c r="N150" s="7">
        <f>IF($D150="","",0)</f>
      </c>
      <c r="O150" s="7">
        <f>IF($D150="","",IF(OR(L150=0,J150="",IFERROR(INDEX('Challan Master'!$D$4:$D$207,MATCH($B150,'Challan Master'!$S$4:$S$207,0)),"")="",IFERROR(INDEX('Challan Master'!$D$4:$D$207,MATCH($B150,'Challan Master'!$S$4:$S$207,0)),"")&lt;=0),0,IF(IFERROR(INDEX('Challan Master'!$D$4:$D$207,MATCH($B150,'Challan Master'!$S$4:$S$207,0)),"")&lt;=DATE(YEAR(J150),MONTH(J150)+1,7),0,ROUND(L150*0.015*((YEAR(IFERROR(INDEX('Challan Master'!$D$4:$D$207,MATCH($B150,'Challan Master'!$S$4:$S$207,0)),""))-YEAR(J150))*12+(MONTH(IFERROR(INDEX('Challan Master'!$D$4:$D$207,MATCH($B150,'Challan Master'!$S$4:$S$207,0)),""))-MONTH(J150))+1),0))))</f>
      </c>
      <c r="P150" s="7">
        <f>IF($D150="","",0)</f>
      </c>
      <c r="Q150" s="8"/>
      <c r="R150" s="8"/>
      <c r="S150" s="8"/>
      <c r="T150" s="8"/>
      <c r="U150" s="8"/>
      <c r="V150" s="7">
        <f>IF($B150="","",IFERROR(INDEX('Challan Master'!$AA$4:$AA$207,MATCH($B150,'Challan Master'!$S$4:$S$207,0)),""))</f>
      </c>
    </row>
    <row r="151" spans="1:22" x14ac:dyDescent="0.25">
      <c r="A151" s="7">
        <f>IF($D151="","",COUNTIF($D$4:$D151,"&lt;&gt;"))</f>
      </c>
      <c r="B151" s="8"/>
      <c r="C151" s="7">
        <f>IF($B151="","","BSR "&amp;IFERROR(INDEX('Challan Master'!$B$4:$B$207,MATCH($B151,'Challan Master'!$S$4:$S$207,0)),"")&amp;" | Serial "&amp;IFERROR(INDEX('Challan Master'!$C$4:$C$207,MATCH($B151,'Challan Master'!$S$4:$S$207,0)),"")&amp;" | Deposit "&amp;TEXT(IFERROR(INDEX('Challan Master'!$D$4:$D$207,MATCH($B151,'Challan Master'!$S$4:$S$207,0)),""),"dd-mm-yyyy")&amp;" | Minor Head "&amp;IFERROR(INDEX('Challan Master'!$E$4:$E$207,MATCH($B151,'Challan Master'!$S$4:$S$207,0)),"")&amp;" | Tax ₹"&amp;TEXT(IFERROR(INDEX('Challan Master'!$G$4:$G$207,MATCH($B151,'Challan Master'!$S$4:$S$207,0)),""),"#,##0")&amp;" | Section "&amp;IFERROR(INDEX('Challan Master'!$F$4:$F$207,MATCH($B151,'Challan Master'!$S$4:$S$207,0)),""))</f>
      </c>
      <c r="D151" s="8"/>
      <c r="E151" s="8"/>
      <c r="F151" s="7">
        <f>IF($D151="","",IF(AND(LEN(TRIM(UPPER(E151)))=10,CODE(MID(TRIM(UPPER(E151)),1,1))&gt;=65,CODE(MID(TRIM(UPPER(E151)),1,1))&lt;=90,CODE(MID(TRIM(UPPER(E151)),2,1))&gt;=65,CODE(MID(TRIM(UPPER(E151)),2,1))&lt;=90,CODE(MID(TRIM(UPPER(E151)),3,1))&gt;=65,CODE(MID(TRIM(UPPER(E151)),3,1))&lt;=90,CODE(MID(TRIM(UPPER(E151)),4,1))&gt;=65,CODE(MID(TRIM(UPPER(E151)),4,1))&lt;=90,CODE(MID(TRIM(UPPER(E151)),5,1))&gt;=65,CODE(MID(TRIM(UPPER(E151)),5,1))&lt;=90,CODE(MID(TRIM(UPPER(E151)),10,1))&gt;=65,CODE(MID(TRIM(UPPER(E151)),10,1))&lt;=90,CODE(MID(TRIM(UPPER(E151)),6,1))&gt;=48,CODE(MID(TRIM(UPPER(E151)),6,1))&lt;=57,CODE(MID(TRIM(UPPER(E151)),7,1))&gt;=48,CODE(MID(TRIM(UPPER(E151)),7,1))&lt;=57,CODE(MID(TRIM(UPPER(E151)),8,1))&gt;=48,CODE(MID(TRIM(UPPER(E151)),8,1))&lt;=57,CODE(MID(TRIM(UPPER(E151)),9,1))&gt;=48,CODE(MID(TRIM(UPPER(E151)),9,1))&lt;=57),"N","Y"))</f>
      </c>
      <c r="G151" s="7">
        <f>IF($D151="","",IF(LEN(E151)&lt;4,"",IF(UPPER(MID(E151,4,1))="P","Individual",IF(UPPER(MID(E151,4,1))="H","HUF",IF(UPPER(MID(E151,4,1))="C","Company",IF(UPPER(MID(E151,4,1))="F","Firm",IF(UPPER(MID(E151,4,1))="L","LLP",IF(UPPER(MID(E151,4,1))="T","Trust",IF(UPPER(MID(E151,4,1))="A","AOP","")))))))))</f>
      </c>
      <c r="H151" s="8"/>
      <c r="I151" s="7">
        <f>IF($D151="","",IF(H151="","",IF(F151="Y",SUMPRODUCT(('Rate Lookup'!$A$1:$A$37=H151)*'Rate Lookup'!$D$1:$D$37),IF(OR(G151="Individual",G151="HUF"),SUMPRODUCT(('Rate Lookup'!$A$1:$A$37=H151)*'Rate Lookup'!$B$1:$B$37),SUMPRODUCT(('Rate Lookup'!$A$1:$A$37=H151)*'Rate Lookup'!$C$1:$C$37)))))</f>
      </c>
      <c r="J151" s="8"/>
      <c r="K151" s="8"/>
      <c r="L151" s="7">
        <f>IF($D151="","",ROUND(K151*I151/100,0))</f>
      </c>
      <c r="M151" s="7">
        <f>IF($D151="","",0)</f>
      </c>
      <c r="N151" s="7">
        <f>IF($D151="","",0)</f>
      </c>
      <c r="O151" s="7">
        <f>IF($D151="","",IF(OR(L151=0,J151="",IFERROR(INDEX('Challan Master'!$D$4:$D$207,MATCH($B151,'Challan Master'!$S$4:$S$207,0)),"")="",IFERROR(INDEX('Challan Master'!$D$4:$D$207,MATCH($B151,'Challan Master'!$S$4:$S$207,0)),"")&lt;=0),0,IF(IFERROR(INDEX('Challan Master'!$D$4:$D$207,MATCH($B151,'Challan Master'!$S$4:$S$207,0)),"")&lt;=DATE(YEAR(J151),MONTH(J151)+1,7),0,ROUND(L151*0.015*((YEAR(IFERROR(INDEX('Challan Master'!$D$4:$D$207,MATCH($B151,'Challan Master'!$S$4:$S$207,0)),""))-YEAR(J151))*12+(MONTH(IFERROR(INDEX('Challan Master'!$D$4:$D$207,MATCH($B151,'Challan Master'!$S$4:$S$207,0)),""))-MONTH(J151))+1),0))))</f>
      </c>
      <c r="P151" s="7">
        <f>IF($D151="","",0)</f>
      </c>
      <c r="Q151" s="8"/>
      <c r="R151" s="8"/>
      <c r="S151" s="8"/>
      <c r="T151" s="8"/>
      <c r="U151" s="8"/>
      <c r="V151" s="7">
        <f>IF($B151="","",IFERROR(INDEX('Challan Master'!$AA$4:$AA$207,MATCH($B151,'Challan Master'!$S$4:$S$207,0)),""))</f>
      </c>
    </row>
    <row r="152" spans="1:22" x14ac:dyDescent="0.25">
      <c r="A152" s="7">
        <f>IF($D152="","",COUNTIF($D$4:$D152,"&lt;&gt;"))</f>
      </c>
      <c r="B152" s="8"/>
      <c r="C152" s="7">
        <f>IF($B152="","","BSR "&amp;IFERROR(INDEX('Challan Master'!$B$4:$B$207,MATCH($B152,'Challan Master'!$S$4:$S$207,0)),"")&amp;" | Serial "&amp;IFERROR(INDEX('Challan Master'!$C$4:$C$207,MATCH($B152,'Challan Master'!$S$4:$S$207,0)),"")&amp;" | Deposit "&amp;TEXT(IFERROR(INDEX('Challan Master'!$D$4:$D$207,MATCH($B152,'Challan Master'!$S$4:$S$207,0)),""),"dd-mm-yyyy")&amp;" | Minor Head "&amp;IFERROR(INDEX('Challan Master'!$E$4:$E$207,MATCH($B152,'Challan Master'!$S$4:$S$207,0)),"")&amp;" | Tax ₹"&amp;TEXT(IFERROR(INDEX('Challan Master'!$G$4:$G$207,MATCH($B152,'Challan Master'!$S$4:$S$207,0)),""),"#,##0")&amp;" | Section "&amp;IFERROR(INDEX('Challan Master'!$F$4:$F$207,MATCH($B152,'Challan Master'!$S$4:$S$207,0)),""))</f>
      </c>
      <c r="D152" s="8"/>
      <c r="E152" s="8"/>
      <c r="F152" s="7">
        <f>IF($D152="","",IF(AND(LEN(TRIM(UPPER(E152)))=10,CODE(MID(TRIM(UPPER(E152)),1,1))&gt;=65,CODE(MID(TRIM(UPPER(E152)),1,1))&lt;=90,CODE(MID(TRIM(UPPER(E152)),2,1))&gt;=65,CODE(MID(TRIM(UPPER(E152)),2,1))&lt;=90,CODE(MID(TRIM(UPPER(E152)),3,1))&gt;=65,CODE(MID(TRIM(UPPER(E152)),3,1))&lt;=90,CODE(MID(TRIM(UPPER(E152)),4,1))&gt;=65,CODE(MID(TRIM(UPPER(E152)),4,1))&lt;=90,CODE(MID(TRIM(UPPER(E152)),5,1))&gt;=65,CODE(MID(TRIM(UPPER(E152)),5,1))&lt;=90,CODE(MID(TRIM(UPPER(E152)),10,1))&gt;=65,CODE(MID(TRIM(UPPER(E152)),10,1))&lt;=90,CODE(MID(TRIM(UPPER(E152)),6,1))&gt;=48,CODE(MID(TRIM(UPPER(E152)),6,1))&lt;=57,CODE(MID(TRIM(UPPER(E152)),7,1))&gt;=48,CODE(MID(TRIM(UPPER(E152)),7,1))&lt;=57,CODE(MID(TRIM(UPPER(E152)),8,1))&gt;=48,CODE(MID(TRIM(UPPER(E152)),8,1))&lt;=57,CODE(MID(TRIM(UPPER(E152)),9,1))&gt;=48,CODE(MID(TRIM(UPPER(E152)),9,1))&lt;=57),"N","Y"))</f>
      </c>
      <c r="G152" s="7">
        <f>IF($D152="","",IF(LEN(E152)&lt;4,"",IF(UPPER(MID(E152,4,1))="P","Individual",IF(UPPER(MID(E152,4,1))="H","HUF",IF(UPPER(MID(E152,4,1))="C","Company",IF(UPPER(MID(E152,4,1))="F","Firm",IF(UPPER(MID(E152,4,1))="L","LLP",IF(UPPER(MID(E152,4,1))="T","Trust",IF(UPPER(MID(E152,4,1))="A","AOP","")))))))))</f>
      </c>
      <c r="H152" s="8"/>
      <c r="I152" s="7">
        <f>IF($D152="","",IF(H152="","",IF(F152="Y",SUMPRODUCT(('Rate Lookup'!$A$1:$A$37=H152)*'Rate Lookup'!$D$1:$D$37),IF(OR(G152="Individual",G152="HUF"),SUMPRODUCT(('Rate Lookup'!$A$1:$A$37=H152)*'Rate Lookup'!$B$1:$B$37),SUMPRODUCT(('Rate Lookup'!$A$1:$A$37=H152)*'Rate Lookup'!$C$1:$C$37)))))</f>
      </c>
      <c r="J152" s="8"/>
      <c r="K152" s="8"/>
      <c r="L152" s="7">
        <f>IF($D152="","",ROUND(K152*I152/100,0))</f>
      </c>
      <c r="M152" s="7">
        <f>IF($D152="","",0)</f>
      </c>
      <c r="N152" s="7">
        <f>IF($D152="","",0)</f>
      </c>
      <c r="O152" s="7">
        <f>IF($D152="","",IF(OR(L152=0,J152="",IFERROR(INDEX('Challan Master'!$D$4:$D$207,MATCH($B152,'Challan Master'!$S$4:$S$207,0)),"")="",IFERROR(INDEX('Challan Master'!$D$4:$D$207,MATCH($B152,'Challan Master'!$S$4:$S$207,0)),"")&lt;=0),0,IF(IFERROR(INDEX('Challan Master'!$D$4:$D$207,MATCH($B152,'Challan Master'!$S$4:$S$207,0)),"")&lt;=DATE(YEAR(J152),MONTH(J152)+1,7),0,ROUND(L152*0.015*((YEAR(IFERROR(INDEX('Challan Master'!$D$4:$D$207,MATCH($B152,'Challan Master'!$S$4:$S$207,0)),""))-YEAR(J152))*12+(MONTH(IFERROR(INDEX('Challan Master'!$D$4:$D$207,MATCH($B152,'Challan Master'!$S$4:$S$207,0)),""))-MONTH(J152))+1),0))))</f>
      </c>
      <c r="P152" s="7">
        <f>IF($D152="","",0)</f>
      </c>
      <c r="Q152" s="8"/>
      <c r="R152" s="8"/>
      <c r="S152" s="8"/>
      <c r="T152" s="8"/>
      <c r="U152" s="8"/>
      <c r="V152" s="7">
        <f>IF($B152="","",IFERROR(INDEX('Challan Master'!$AA$4:$AA$207,MATCH($B152,'Challan Master'!$S$4:$S$207,0)),""))</f>
      </c>
    </row>
    <row r="153" spans="1:22" x14ac:dyDescent="0.25">
      <c r="A153" s="7">
        <f>IF($D153="","",COUNTIF($D$4:$D153,"&lt;&gt;"))</f>
      </c>
      <c r="B153" s="8"/>
      <c r="C153" s="7">
        <f>IF($B153="","","BSR "&amp;IFERROR(INDEX('Challan Master'!$B$4:$B$207,MATCH($B153,'Challan Master'!$S$4:$S$207,0)),"")&amp;" | Serial "&amp;IFERROR(INDEX('Challan Master'!$C$4:$C$207,MATCH($B153,'Challan Master'!$S$4:$S$207,0)),"")&amp;" | Deposit "&amp;TEXT(IFERROR(INDEX('Challan Master'!$D$4:$D$207,MATCH($B153,'Challan Master'!$S$4:$S$207,0)),""),"dd-mm-yyyy")&amp;" | Minor Head "&amp;IFERROR(INDEX('Challan Master'!$E$4:$E$207,MATCH($B153,'Challan Master'!$S$4:$S$207,0)),"")&amp;" | Tax ₹"&amp;TEXT(IFERROR(INDEX('Challan Master'!$G$4:$G$207,MATCH($B153,'Challan Master'!$S$4:$S$207,0)),""),"#,##0")&amp;" | Section "&amp;IFERROR(INDEX('Challan Master'!$F$4:$F$207,MATCH($B153,'Challan Master'!$S$4:$S$207,0)),""))</f>
      </c>
      <c r="D153" s="8"/>
      <c r="E153" s="8"/>
      <c r="F153" s="7">
        <f>IF($D153="","",IF(AND(LEN(TRIM(UPPER(E153)))=10,CODE(MID(TRIM(UPPER(E153)),1,1))&gt;=65,CODE(MID(TRIM(UPPER(E153)),1,1))&lt;=90,CODE(MID(TRIM(UPPER(E153)),2,1))&gt;=65,CODE(MID(TRIM(UPPER(E153)),2,1))&lt;=90,CODE(MID(TRIM(UPPER(E153)),3,1))&gt;=65,CODE(MID(TRIM(UPPER(E153)),3,1))&lt;=90,CODE(MID(TRIM(UPPER(E153)),4,1))&gt;=65,CODE(MID(TRIM(UPPER(E153)),4,1))&lt;=90,CODE(MID(TRIM(UPPER(E153)),5,1))&gt;=65,CODE(MID(TRIM(UPPER(E153)),5,1))&lt;=90,CODE(MID(TRIM(UPPER(E153)),10,1))&gt;=65,CODE(MID(TRIM(UPPER(E153)),10,1))&lt;=90,CODE(MID(TRIM(UPPER(E153)),6,1))&gt;=48,CODE(MID(TRIM(UPPER(E153)),6,1))&lt;=57,CODE(MID(TRIM(UPPER(E153)),7,1))&gt;=48,CODE(MID(TRIM(UPPER(E153)),7,1))&lt;=57,CODE(MID(TRIM(UPPER(E153)),8,1))&gt;=48,CODE(MID(TRIM(UPPER(E153)),8,1))&lt;=57,CODE(MID(TRIM(UPPER(E153)),9,1))&gt;=48,CODE(MID(TRIM(UPPER(E153)),9,1))&lt;=57),"N","Y"))</f>
      </c>
      <c r="G153" s="7">
        <f>IF($D153="","",IF(LEN(E153)&lt;4,"",IF(UPPER(MID(E153,4,1))="P","Individual",IF(UPPER(MID(E153,4,1))="H","HUF",IF(UPPER(MID(E153,4,1))="C","Company",IF(UPPER(MID(E153,4,1))="F","Firm",IF(UPPER(MID(E153,4,1))="L","LLP",IF(UPPER(MID(E153,4,1))="T","Trust",IF(UPPER(MID(E153,4,1))="A","AOP","")))))))))</f>
      </c>
      <c r="H153" s="8"/>
      <c r="I153" s="7">
        <f>IF($D153="","",IF(H153="","",IF(F153="Y",SUMPRODUCT(('Rate Lookup'!$A$1:$A$37=H153)*'Rate Lookup'!$D$1:$D$37),IF(OR(G153="Individual",G153="HUF"),SUMPRODUCT(('Rate Lookup'!$A$1:$A$37=H153)*'Rate Lookup'!$B$1:$B$37),SUMPRODUCT(('Rate Lookup'!$A$1:$A$37=H153)*'Rate Lookup'!$C$1:$C$37)))))</f>
      </c>
      <c r="J153" s="8"/>
      <c r="K153" s="8"/>
      <c r="L153" s="7">
        <f>IF($D153="","",ROUND(K153*I153/100,0))</f>
      </c>
      <c r="M153" s="7">
        <f>IF($D153="","",0)</f>
      </c>
      <c r="N153" s="7">
        <f>IF($D153="","",0)</f>
      </c>
      <c r="O153" s="7">
        <f>IF($D153="","",IF(OR(L153=0,J153="",IFERROR(INDEX('Challan Master'!$D$4:$D$207,MATCH($B153,'Challan Master'!$S$4:$S$207,0)),"")="",IFERROR(INDEX('Challan Master'!$D$4:$D$207,MATCH($B153,'Challan Master'!$S$4:$S$207,0)),"")&lt;=0),0,IF(IFERROR(INDEX('Challan Master'!$D$4:$D$207,MATCH($B153,'Challan Master'!$S$4:$S$207,0)),"")&lt;=DATE(YEAR(J153),MONTH(J153)+1,7),0,ROUND(L153*0.015*((YEAR(IFERROR(INDEX('Challan Master'!$D$4:$D$207,MATCH($B153,'Challan Master'!$S$4:$S$207,0)),""))-YEAR(J153))*12+(MONTH(IFERROR(INDEX('Challan Master'!$D$4:$D$207,MATCH($B153,'Challan Master'!$S$4:$S$207,0)),""))-MONTH(J153))+1),0))))</f>
      </c>
      <c r="P153" s="7">
        <f>IF($D153="","",0)</f>
      </c>
      <c r="Q153" s="8"/>
      <c r="R153" s="8"/>
      <c r="S153" s="8"/>
      <c r="T153" s="8"/>
      <c r="U153" s="8"/>
      <c r="V153" s="7">
        <f>IF($B153="","",IFERROR(INDEX('Challan Master'!$AA$4:$AA$207,MATCH($B153,'Challan Master'!$S$4:$S$207,0)),""))</f>
      </c>
    </row>
    <row r="154" spans="1:22" x14ac:dyDescent="0.25">
      <c r="A154" s="7">
        <f>IF($D154="","",COUNTIF($D$4:$D154,"&lt;&gt;"))</f>
      </c>
      <c r="B154" s="8"/>
      <c r="C154" s="7">
        <f>IF($B154="","","BSR "&amp;IFERROR(INDEX('Challan Master'!$B$4:$B$207,MATCH($B154,'Challan Master'!$S$4:$S$207,0)),"")&amp;" | Serial "&amp;IFERROR(INDEX('Challan Master'!$C$4:$C$207,MATCH($B154,'Challan Master'!$S$4:$S$207,0)),"")&amp;" | Deposit "&amp;TEXT(IFERROR(INDEX('Challan Master'!$D$4:$D$207,MATCH($B154,'Challan Master'!$S$4:$S$207,0)),""),"dd-mm-yyyy")&amp;" | Minor Head "&amp;IFERROR(INDEX('Challan Master'!$E$4:$E$207,MATCH($B154,'Challan Master'!$S$4:$S$207,0)),"")&amp;" | Tax ₹"&amp;TEXT(IFERROR(INDEX('Challan Master'!$G$4:$G$207,MATCH($B154,'Challan Master'!$S$4:$S$207,0)),""),"#,##0")&amp;" | Section "&amp;IFERROR(INDEX('Challan Master'!$F$4:$F$207,MATCH($B154,'Challan Master'!$S$4:$S$207,0)),""))</f>
      </c>
      <c r="D154" s="8"/>
      <c r="E154" s="8"/>
      <c r="F154" s="7">
        <f>IF($D154="","",IF(AND(LEN(TRIM(UPPER(E154)))=10,CODE(MID(TRIM(UPPER(E154)),1,1))&gt;=65,CODE(MID(TRIM(UPPER(E154)),1,1))&lt;=90,CODE(MID(TRIM(UPPER(E154)),2,1))&gt;=65,CODE(MID(TRIM(UPPER(E154)),2,1))&lt;=90,CODE(MID(TRIM(UPPER(E154)),3,1))&gt;=65,CODE(MID(TRIM(UPPER(E154)),3,1))&lt;=90,CODE(MID(TRIM(UPPER(E154)),4,1))&gt;=65,CODE(MID(TRIM(UPPER(E154)),4,1))&lt;=90,CODE(MID(TRIM(UPPER(E154)),5,1))&gt;=65,CODE(MID(TRIM(UPPER(E154)),5,1))&lt;=90,CODE(MID(TRIM(UPPER(E154)),10,1))&gt;=65,CODE(MID(TRIM(UPPER(E154)),10,1))&lt;=90,CODE(MID(TRIM(UPPER(E154)),6,1))&gt;=48,CODE(MID(TRIM(UPPER(E154)),6,1))&lt;=57,CODE(MID(TRIM(UPPER(E154)),7,1))&gt;=48,CODE(MID(TRIM(UPPER(E154)),7,1))&lt;=57,CODE(MID(TRIM(UPPER(E154)),8,1))&gt;=48,CODE(MID(TRIM(UPPER(E154)),8,1))&lt;=57,CODE(MID(TRIM(UPPER(E154)),9,1))&gt;=48,CODE(MID(TRIM(UPPER(E154)),9,1))&lt;=57),"N","Y"))</f>
      </c>
      <c r="G154" s="7">
        <f>IF($D154="","",IF(LEN(E154)&lt;4,"",IF(UPPER(MID(E154,4,1))="P","Individual",IF(UPPER(MID(E154,4,1))="H","HUF",IF(UPPER(MID(E154,4,1))="C","Company",IF(UPPER(MID(E154,4,1))="F","Firm",IF(UPPER(MID(E154,4,1))="L","LLP",IF(UPPER(MID(E154,4,1))="T","Trust",IF(UPPER(MID(E154,4,1))="A","AOP","")))))))))</f>
      </c>
      <c r="H154" s="8"/>
      <c r="I154" s="7">
        <f>IF($D154="","",IF(H154="","",IF(F154="Y",SUMPRODUCT(('Rate Lookup'!$A$1:$A$37=H154)*'Rate Lookup'!$D$1:$D$37),IF(OR(G154="Individual",G154="HUF"),SUMPRODUCT(('Rate Lookup'!$A$1:$A$37=H154)*'Rate Lookup'!$B$1:$B$37),SUMPRODUCT(('Rate Lookup'!$A$1:$A$37=H154)*'Rate Lookup'!$C$1:$C$37)))))</f>
      </c>
      <c r="J154" s="8"/>
      <c r="K154" s="8"/>
      <c r="L154" s="7">
        <f>IF($D154="","",ROUND(K154*I154/100,0))</f>
      </c>
      <c r="M154" s="7">
        <f>IF($D154="","",0)</f>
      </c>
      <c r="N154" s="7">
        <f>IF($D154="","",0)</f>
      </c>
      <c r="O154" s="7">
        <f>IF($D154="","",IF(OR(L154=0,J154="",IFERROR(INDEX('Challan Master'!$D$4:$D$207,MATCH($B154,'Challan Master'!$S$4:$S$207,0)),"")="",IFERROR(INDEX('Challan Master'!$D$4:$D$207,MATCH($B154,'Challan Master'!$S$4:$S$207,0)),"")&lt;=0),0,IF(IFERROR(INDEX('Challan Master'!$D$4:$D$207,MATCH($B154,'Challan Master'!$S$4:$S$207,0)),"")&lt;=DATE(YEAR(J154),MONTH(J154)+1,7),0,ROUND(L154*0.015*((YEAR(IFERROR(INDEX('Challan Master'!$D$4:$D$207,MATCH($B154,'Challan Master'!$S$4:$S$207,0)),""))-YEAR(J154))*12+(MONTH(IFERROR(INDEX('Challan Master'!$D$4:$D$207,MATCH($B154,'Challan Master'!$S$4:$S$207,0)),""))-MONTH(J154))+1),0))))</f>
      </c>
      <c r="P154" s="7">
        <f>IF($D154="","",0)</f>
      </c>
      <c r="Q154" s="8"/>
      <c r="R154" s="8"/>
      <c r="S154" s="8"/>
      <c r="T154" s="8"/>
      <c r="U154" s="8"/>
      <c r="V154" s="7">
        <f>IF($B154="","",IFERROR(INDEX('Challan Master'!$AA$4:$AA$207,MATCH($B154,'Challan Master'!$S$4:$S$207,0)),""))</f>
      </c>
    </row>
    <row r="155" spans="1:22" x14ac:dyDescent="0.25">
      <c r="A155" s="7">
        <f>IF($D155="","",COUNTIF($D$4:$D155,"&lt;&gt;"))</f>
      </c>
      <c r="B155" s="8"/>
      <c r="C155" s="7">
        <f>IF($B155="","","BSR "&amp;IFERROR(INDEX('Challan Master'!$B$4:$B$207,MATCH($B155,'Challan Master'!$S$4:$S$207,0)),"")&amp;" | Serial "&amp;IFERROR(INDEX('Challan Master'!$C$4:$C$207,MATCH($B155,'Challan Master'!$S$4:$S$207,0)),"")&amp;" | Deposit "&amp;TEXT(IFERROR(INDEX('Challan Master'!$D$4:$D$207,MATCH($B155,'Challan Master'!$S$4:$S$207,0)),""),"dd-mm-yyyy")&amp;" | Minor Head "&amp;IFERROR(INDEX('Challan Master'!$E$4:$E$207,MATCH($B155,'Challan Master'!$S$4:$S$207,0)),"")&amp;" | Tax ₹"&amp;TEXT(IFERROR(INDEX('Challan Master'!$G$4:$G$207,MATCH($B155,'Challan Master'!$S$4:$S$207,0)),""),"#,##0")&amp;" | Section "&amp;IFERROR(INDEX('Challan Master'!$F$4:$F$207,MATCH($B155,'Challan Master'!$S$4:$S$207,0)),""))</f>
      </c>
      <c r="D155" s="8"/>
      <c r="E155" s="8"/>
      <c r="F155" s="7">
        <f>IF($D155="","",IF(AND(LEN(TRIM(UPPER(E155)))=10,CODE(MID(TRIM(UPPER(E155)),1,1))&gt;=65,CODE(MID(TRIM(UPPER(E155)),1,1))&lt;=90,CODE(MID(TRIM(UPPER(E155)),2,1))&gt;=65,CODE(MID(TRIM(UPPER(E155)),2,1))&lt;=90,CODE(MID(TRIM(UPPER(E155)),3,1))&gt;=65,CODE(MID(TRIM(UPPER(E155)),3,1))&lt;=90,CODE(MID(TRIM(UPPER(E155)),4,1))&gt;=65,CODE(MID(TRIM(UPPER(E155)),4,1))&lt;=90,CODE(MID(TRIM(UPPER(E155)),5,1))&gt;=65,CODE(MID(TRIM(UPPER(E155)),5,1))&lt;=90,CODE(MID(TRIM(UPPER(E155)),10,1))&gt;=65,CODE(MID(TRIM(UPPER(E155)),10,1))&lt;=90,CODE(MID(TRIM(UPPER(E155)),6,1))&gt;=48,CODE(MID(TRIM(UPPER(E155)),6,1))&lt;=57,CODE(MID(TRIM(UPPER(E155)),7,1))&gt;=48,CODE(MID(TRIM(UPPER(E155)),7,1))&lt;=57,CODE(MID(TRIM(UPPER(E155)),8,1))&gt;=48,CODE(MID(TRIM(UPPER(E155)),8,1))&lt;=57,CODE(MID(TRIM(UPPER(E155)),9,1))&gt;=48,CODE(MID(TRIM(UPPER(E155)),9,1))&lt;=57),"N","Y"))</f>
      </c>
      <c r="G155" s="7">
        <f>IF($D155="","",IF(LEN(E155)&lt;4,"",IF(UPPER(MID(E155,4,1))="P","Individual",IF(UPPER(MID(E155,4,1))="H","HUF",IF(UPPER(MID(E155,4,1))="C","Company",IF(UPPER(MID(E155,4,1))="F","Firm",IF(UPPER(MID(E155,4,1))="L","LLP",IF(UPPER(MID(E155,4,1))="T","Trust",IF(UPPER(MID(E155,4,1))="A","AOP","")))))))))</f>
      </c>
      <c r="H155" s="8"/>
      <c r="I155" s="7">
        <f>IF($D155="","",IF(H155="","",IF(F155="Y",SUMPRODUCT(('Rate Lookup'!$A$1:$A$37=H155)*'Rate Lookup'!$D$1:$D$37),IF(OR(G155="Individual",G155="HUF"),SUMPRODUCT(('Rate Lookup'!$A$1:$A$37=H155)*'Rate Lookup'!$B$1:$B$37),SUMPRODUCT(('Rate Lookup'!$A$1:$A$37=H155)*'Rate Lookup'!$C$1:$C$37)))))</f>
      </c>
      <c r="J155" s="8"/>
      <c r="K155" s="8"/>
      <c r="L155" s="7">
        <f>IF($D155="","",ROUND(K155*I155/100,0))</f>
      </c>
      <c r="M155" s="7">
        <f>IF($D155="","",0)</f>
      </c>
      <c r="N155" s="7">
        <f>IF($D155="","",0)</f>
      </c>
      <c r="O155" s="7">
        <f>IF($D155="","",IF(OR(L155=0,J155="",IFERROR(INDEX('Challan Master'!$D$4:$D$207,MATCH($B155,'Challan Master'!$S$4:$S$207,0)),"")="",IFERROR(INDEX('Challan Master'!$D$4:$D$207,MATCH($B155,'Challan Master'!$S$4:$S$207,0)),"")&lt;=0),0,IF(IFERROR(INDEX('Challan Master'!$D$4:$D$207,MATCH($B155,'Challan Master'!$S$4:$S$207,0)),"")&lt;=DATE(YEAR(J155),MONTH(J155)+1,7),0,ROUND(L155*0.015*((YEAR(IFERROR(INDEX('Challan Master'!$D$4:$D$207,MATCH($B155,'Challan Master'!$S$4:$S$207,0)),""))-YEAR(J155))*12+(MONTH(IFERROR(INDEX('Challan Master'!$D$4:$D$207,MATCH($B155,'Challan Master'!$S$4:$S$207,0)),""))-MONTH(J155))+1),0))))</f>
      </c>
      <c r="P155" s="7">
        <f>IF($D155="","",0)</f>
      </c>
      <c r="Q155" s="8"/>
      <c r="R155" s="8"/>
      <c r="S155" s="8"/>
      <c r="T155" s="8"/>
      <c r="U155" s="8"/>
      <c r="V155" s="7">
        <f>IF($B155="","",IFERROR(INDEX('Challan Master'!$AA$4:$AA$207,MATCH($B155,'Challan Master'!$S$4:$S$207,0)),""))</f>
      </c>
    </row>
    <row r="156" spans="1:22" x14ac:dyDescent="0.25">
      <c r="A156" s="7">
        <f>IF($D156="","",COUNTIF($D$4:$D156,"&lt;&gt;"))</f>
      </c>
      <c r="B156" s="8"/>
      <c r="C156" s="7">
        <f>IF($B156="","","BSR "&amp;IFERROR(INDEX('Challan Master'!$B$4:$B$207,MATCH($B156,'Challan Master'!$S$4:$S$207,0)),"")&amp;" | Serial "&amp;IFERROR(INDEX('Challan Master'!$C$4:$C$207,MATCH($B156,'Challan Master'!$S$4:$S$207,0)),"")&amp;" | Deposit "&amp;TEXT(IFERROR(INDEX('Challan Master'!$D$4:$D$207,MATCH($B156,'Challan Master'!$S$4:$S$207,0)),""),"dd-mm-yyyy")&amp;" | Minor Head "&amp;IFERROR(INDEX('Challan Master'!$E$4:$E$207,MATCH($B156,'Challan Master'!$S$4:$S$207,0)),"")&amp;" | Tax ₹"&amp;TEXT(IFERROR(INDEX('Challan Master'!$G$4:$G$207,MATCH($B156,'Challan Master'!$S$4:$S$207,0)),""),"#,##0")&amp;" | Section "&amp;IFERROR(INDEX('Challan Master'!$F$4:$F$207,MATCH($B156,'Challan Master'!$S$4:$S$207,0)),""))</f>
      </c>
      <c r="D156" s="8"/>
      <c r="E156" s="8"/>
      <c r="F156" s="7">
        <f>IF($D156="","",IF(AND(LEN(TRIM(UPPER(E156)))=10,CODE(MID(TRIM(UPPER(E156)),1,1))&gt;=65,CODE(MID(TRIM(UPPER(E156)),1,1))&lt;=90,CODE(MID(TRIM(UPPER(E156)),2,1))&gt;=65,CODE(MID(TRIM(UPPER(E156)),2,1))&lt;=90,CODE(MID(TRIM(UPPER(E156)),3,1))&gt;=65,CODE(MID(TRIM(UPPER(E156)),3,1))&lt;=90,CODE(MID(TRIM(UPPER(E156)),4,1))&gt;=65,CODE(MID(TRIM(UPPER(E156)),4,1))&lt;=90,CODE(MID(TRIM(UPPER(E156)),5,1))&gt;=65,CODE(MID(TRIM(UPPER(E156)),5,1))&lt;=90,CODE(MID(TRIM(UPPER(E156)),10,1))&gt;=65,CODE(MID(TRIM(UPPER(E156)),10,1))&lt;=90,CODE(MID(TRIM(UPPER(E156)),6,1))&gt;=48,CODE(MID(TRIM(UPPER(E156)),6,1))&lt;=57,CODE(MID(TRIM(UPPER(E156)),7,1))&gt;=48,CODE(MID(TRIM(UPPER(E156)),7,1))&lt;=57,CODE(MID(TRIM(UPPER(E156)),8,1))&gt;=48,CODE(MID(TRIM(UPPER(E156)),8,1))&lt;=57,CODE(MID(TRIM(UPPER(E156)),9,1))&gt;=48,CODE(MID(TRIM(UPPER(E156)),9,1))&lt;=57),"N","Y"))</f>
      </c>
      <c r="G156" s="7">
        <f>IF($D156="","",IF(LEN(E156)&lt;4,"",IF(UPPER(MID(E156,4,1))="P","Individual",IF(UPPER(MID(E156,4,1))="H","HUF",IF(UPPER(MID(E156,4,1))="C","Company",IF(UPPER(MID(E156,4,1))="F","Firm",IF(UPPER(MID(E156,4,1))="L","LLP",IF(UPPER(MID(E156,4,1))="T","Trust",IF(UPPER(MID(E156,4,1))="A","AOP","")))))))))</f>
      </c>
      <c r="H156" s="8"/>
      <c r="I156" s="7">
        <f>IF($D156="","",IF(H156="","",IF(F156="Y",SUMPRODUCT(('Rate Lookup'!$A$1:$A$37=H156)*'Rate Lookup'!$D$1:$D$37),IF(OR(G156="Individual",G156="HUF"),SUMPRODUCT(('Rate Lookup'!$A$1:$A$37=H156)*'Rate Lookup'!$B$1:$B$37),SUMPRODUCT(('Rate Lookup'!$A$1:$A$37=H156)*'Rate Lookup'!$C$1:$C$37)))))</f>
      </c>
      <c r="J156" s="8"/>
      <c r="K156" s="8"/>
      <c r="L156" s="7">
        <f>IF($D156="","",ROUND(K156*I156/100,0))</f>
      </c>
      <c r="M156" s="7">
        <f>IF($D156="","",0)</f>
      </c>
      <c r="N156" s="7">
        <f>IF($D156="","",0)</f>
      </c>
      <c r="O156" s="7">
        <f>IF($D156="","",IF(OR(L156=0,J156="",IFERROR(INDEX('Challan Master'!$D$4:$D$207,MATCH($B156,'Challan Master'!$S$4:$S$207,0)),"")="",IFERROR(INDEX('Challan Master'!$D$4:$D$207,MATCH($B156,'Challan Master'!$S$4:$S$207,0)),"")&lt;=0),0,IF(IFERROR(INDEX('Challan Master'!$D$4:$D$207,MATCH($B156,'Challan Master'!$S$4:$S$207,0)),"")&lt;=DATE(YEAR(J156),MONTH(J156)+1,7),0,ROUND(L156*0.015*((YEAR(IFERROR(INDEX('Challan Master'!$D$4:$D$207,MATCH($B156,'Challan Master'!$S$4:$S$207,0)),""))-YEAR(J156))*12+(MONTH(IFERROR(INDEX('Challan Master'!$D$4:$D$207,MATCH($B156,'Challan Master'!$S$4:$S$207,0)),""))-MONTH(J156))+1),0))))</f>
      </c>
      <c r="P156" s="7">
        <f>IF($D156="","",0)</f>
      </c>
      <c r="Q156" s="8"/>
      <c r="R156" s="8"/>
      <c r="S156" s="8"/>
      <c r="T156" s="8"/>
      <c r="U156" s="8"/>
      <c r="V156" s="7">
        <f>IF($B156="","",IFERROR(INDEX('Challan Master'!$AA$4:$AA$207,MATCH($B156,'Challan Master'!$S$4:$S$207,0)),""))</f>
      </c>
    </row>
    <row r="157" spans="1:22" x14ac:dyDescent="0.25">
      <c r="A157" s="7">
        <f>IF($D157="","",COUNTIF($D$4:$D157,"&lt;&gt;"))</f>
      </c>
      <c r="B157" s="8"/>
      <c r="C157" s="7">
        <f>IF($B157="","","BSR "&amp;IFERROR(INDEX('Challan Master'!$B$4:$B$207,MATCH($B157,'Challan Master'!$S$4:$S$207,0)),"")&amp;" | Serial "&amp;IFERROR(INDEX('Challan Master'!$C$4:$C$207,MATCH($B157,'Challan Master'!$S$4:$S$207,0)),"")&amp;" | Deposit "&amp;TEXT(IFERROR(INDEX('Challan Master'!$D$4:$D$207,MATCH($B157,'Challan Master'!$S$4:$S$207,0)),""),"dd-mm-yyyy")&amp;" | Minor Head "&amp;IFERROR(INDEX('Challan Master'!$E$4:$E$207,MATCH($B157,'Challan Master'!$S$4:$S$207,0)),"")&amp;" | Tax ₹"&amp;TEXT(IFERROR(INDEX('Challan Master'!$G$4:$G$207,MATCH($B157,'Challan Master'!$S$4:$S$207,0)),""),"#,##0")&amp;" | Section "&amp;IFERROR(INDEX('Challan Master'!$F$4:$F$207,MATCH($B157,'Challan Master'!$S$4:$S$207,0)),""))</f>
      </c>
      <c r="D157" s="8"/>
      <c r="E157" s="8"/>
      <c r="F157" s="7">
        <f>IF($D157="","",IF(AND(LEN(TRIM(UPPER(E157)))=10,CODE(MID(TRIM(UPPER(E157)),1,1))&gt;=65,CODE(MID(TRIM(UPPER(E157)),1,1))&lt;=90,CODE(MID(TRIM(UPPER(E157)),2,1))&gt;=65,CODE(MID(TRIM(UPPER(E157)),2,1))&lt;=90,CODE(MID(TRIM(UPPER(E157)),3,1))&gt;=65,CODE(MID(TRIM(UPPER(E157)),3,1))&lt;=90,CODE(MID(TRIM(UPPER(E157)),4,1))&gt;=65,CODE(MID(TRIM(UPPER(E157)),4,1))&lt;=90,CODE(MID(TRIM(UPPER(E157)),5,1))&gt;=65,CODE(MID(TRIM(UPPER(E157)),5,1))&lt;=90,CODE(MID(TRIM(UPPER(E157)),10,1))&gt;=65,CODE(MID(TRIM(UPPER(E157)),10,1))&lt;=90,CODE(MID(TRIM(UPPER(E157)),6,1))&gt;=48,CODE(MID(TRIM(UPPER(E157)),6,1))&lt;=57,CODE(MID(TRIM(UPPER(E157)),7,1))&gt;=48,CODE(MID(TRIM(UPPER(E157)),7,1))&lt;=57,CODE(MID(TRIM(UPPER(E157)),8,1))&gt;=48,CODE(MID(TRIM(UPPER(E157)),8,1))&lt;=57,CODE(MID(TRIM(UPPER(E157)),9,1))&gt;=48,CODE(MID(TRIM(UPPER(E157)),9,1))&lt;=57),"N","Y"))</f>
      </c>
      <c r="G157" s="7">
        <f>IF($D157="","",IF(LEN(E157)&lt;4,"",IF(UPPER(MID(E157,4,1))="P","Individual",IF(UPPER(MID(E157,4,1))="H","HUF",IF(UPPER(MID(E157,4,1))="C","Company",IF(UPPER(MID(E157,4,1))="F","Firm",IF(UPPER(MID(E157,4,1))="L","LLP",IF(UPPER(MID(E157,4,1))="T","Trust",IF(UPPER(MID(E157,4,1))="A","AOP","")))))))))</f>
      </c>
      <c r="H157" s="8"/>
      <c r="I157" s="7">
        <f>IF($D157="","",IF(H157="","",IF(F157="Y",SUMPRODUCT(('Rate Lookup'!$A$1:$A$37=H157)*'Rate Lookup'!$D$1:$D$37),IF(OR(G157="Individual",G157="HUF"),SUMPRODUCT(('Rate Lookup'!$A$1:$A$37=H157)*'Rate Lookup'!$B$1:$B$37),SUMPRODUCT(('Rate Lookup'!$A$1:$A$37=H157)*'Rate Lookup'!$C$1:$C$37)))))</f>
      </c>
      <c r="J157" s="8"/>
      <c r="K157" s="8"/>
      <c r="L157" s="7">
        <f>IF($D157="","",ROUND(K157*I157/100,0))</f>
      </c>
      <c r="M157" s="7">
        <f>IF($D157="","",0)</f>
      </c>
      <c r="N157" s="7">
        <f>IF($D157="","",0)</f>
      </c>
      <c r="O157" s="7">
        <f>IF($D157="","",IF(OR(L157=0,J157="",IFERROR(INDEX('Challan Master'!$D$4:$D$207,MATCH($B157,'Challan Master'!$S$4:$S$207,0)),"")="",IFERROR(INDEX('Challan Master'!$D$4:$D$207,MATCH($B157,'Challan Master'!$S$4:$S$207,0)),"")&lt;=0),0,IF(IFERROR(INDEX('Challan Master'!$D$4:$D$207,MATCH($B157,'Challan Master'!$S$4:$S$207,0)),"")&lt;=DATE(YEAR(J157),MONTH(J157)+1,7),0,ROUND(L157*0.015*((YEAR(IFERROR(INDEX('Challan Master'!$D$4:$D$207,MATCH($B157,'Challan Master'!$S$4:$S$207,0)),""))-YEAR(J157))*12+(MONTH(IFERROR(INDEX('Challan Master'!$D$4:$D$207,MATCH($B157,'Challan Master'!$S$4:$S$207,0)),""))-MONTH(J157))+1),0))))</f>
      </c>
      <c r="P157" s="7">
        <f>IF($D157="","",0)</f>
      </c>
      <c r="Q157" s="8"/>
      <c r="R157" s="8"/>
      <c r="S157" s="8"/>
      <c r="T157" s="8"/>
      <c r="U157" s="8"/>
      <c r="V157" s="7">
        <f>IF($B157="","",IFERROR(INDEX('Challan Master'!$AA$4:$AA$207,MATCH($B157,'Challan Master'!$S$4:$S$207,0)),""))</f>
      </c>
    </row>
    <row r="158" spans="1:22" x14ac:dyDescent="0.25">
      <c r="A158" s="7">
        <f>IF($D158="","",COUNTIF($D$4:$D158,"&lt;&gt;"))</f>
      </c>
      <c r="B158" s="8"/>
      <c r="C158" s="7">
        <f>IF($B158="","","BSR "&amp;IFERROR(INDEX('Challan Master'!$B$4:$B$207,MATCH($B158,'Challan Master'!$S$4:$S$207,0)),"")&amp;" | Serial "&amp;IFERROR(INDEX('Challan Master'!$C$4:$C$207,MATCH($B158,'Challan Master'!$S$4:$S$207,0)),"")&amp;" | Deposit "&amp;TEXT(IFERROR(INDEX('Challan Master'!$D$4:$D$207,MATCH($B158,'Challan Master'!$S$4:$S$207,0)),""),"dd-mm-yyyy")&amp;" | Minor Head "&amp;IFERROR(INDEX('Challan Master'!$E$4:$E$207,MATCH($B158,'Challan Master'!$S$4:$S$207,0)),"")&amp;" | Tax ₹"&amp;TEXT(IFERROR(INDEX('Challan Master'!$G$4:$G$207,MATCH($B158,'Challan Master'!$S$4:$S$207,0)),""),"#,##0")&amp;" | Section "&amp;IFERROR(INDEX('Challan Master'!$F$4:$F$207,MATCH($B158,'Challan Master'!$S$4:$S$207,0)),""))</f>
      </c>
      <c r="D158" s="8"/>
      <c r="E158" s="8"/>
      <c r="F158" s="7">
        <f>IF($D158="","",IF(AND(LEN(TRIM(UPPER(E158)))=10,CODE(MID(TRIM(UPPER(E158)),1,1))&gt;=65,CODE(MID(TRIM(UPPER(E158)),1,1))&lt;=90,CODE(MID(TRIM(UPPER(E158)),2,1))&gt;=65,CODE(MID(TRIM(UPPER(E158)),2,1))&lt;=90,CODE(MID(TRIM(UPPER(E158)),3,1))&gt;=65,CODE(MID(TRIM(UPPER(E158)),3,1))&lt;=90,CODE(MID(TRIM(UPPER(E158)),4,1))&gt;=65,CODE(MID(TRIM(UPPER(E158)),4,1))&lt;=90,CODE(MID(TRIM(UPPER(E158)),5,1))&gt;=65,CODE(MID(TRIM(UPPER(E158)),5,1))&lt;=90,CODE(MID(TRIM(UPPER(E158)),10,1))&gt;=65,CODE(MID(TRIM(UPPER(E158)),10,1))&lt;=90,CODE(MID(TRIM(UPPER(E158)),6,1))&gt;=48,CODE(MID(TRIM(UPPER(E158)),6,1))&lt;=57,CODE(MID(TRIM(UPPER(E158)),7,1))&gt;=48,CODE(MID(TRIM(UPPER(E158)),7,1))&lt;=57,CODE(MID(TRIM(UPPER(E158)),8,1))&gt;=48,CODE(MID(TRIM(UPPER(E158)),8,1))&lt;=57,CODE(MID(TRIM(UPPER(E158)),9,1))&gt;=48,CODE(MID(TRIM(UPPER(E158)),9,1))&lt;=57),"N","Y"))</f>
      </c>
      <c r="G158" s="7">
        <f>IF($D158="","",IF(LEN(E158)&lt;4,"",IF(UPPER(MID(E158,4,1))="P","Individual",IF(UPPER(MID(E158,4,1))="H","HUF",IF(UPPER(MID(E158,4,1))="C","Company",IF(UPPER(MID(E158,4,1))="F","Firm",IF(UPPER(MID(E158,4,1))="L","LLP",IF(UPPER(MID(E158,4,1))="T","Trust",IF(UPPER(MID(E158,4,1))="A","AOP","")))))))))</f>
      </c>
      <c r="H158" s="8"/>
      <c r="I158" s="7">
        <f>IF($D158="","",IF(H158="","",IF(F158="Y",SUMPRODUCT(('Rate Lookup'!$A$1:$A$37=H158)*'Rate Lookup'!$D$1:$D$37),IF(OR(G158="Individual",G158="HUF"),SUMPRODUCT(('Rate Lookup'!$A$1:$A$37=H158)*'Rate Lookup'!$B$1:$B$37),SUMPRODUCT(('Rate Lookup'!$A$1:$A$37=H158)*'Rate Lookup'!$C$1:$C$37)))))</f>
      </c>
      <c r="J158" s="8"/>
      <c r="K158" s="8"/>
      <c r="L158" s="7">
        <f>IF($D158="","",ROUND(K158*I158/100,0))</f>
      </c>
      <c r="M158" s="7">
        <f>IF($D158="","",0)</f>
      </c>
      <c r="N158" s="7">
        <f>IF($D158="","",0)</f>
      </c>
      <c r="O158" s="7">
        <f>IF($D158="","",IF(OR(L158=0,J158="",IFERROR(INDEX('Challan Master'!$D$4:$D$207,MATCH($B158,'Challan Master'!$S$4:$S$207,0)),"")="",IFERROR(INDEX('Challan Master'!$D$4:$D$207,MATCH($B158,'Challan Master'!$S$4:$S$207,0)),"")&lt;=0),0,IF(IFERROR(INDEX('Challan Master'!$D$4:$D$207,MATCH($B158,'Challan Master'!$S$4:$S$207,0)),"")&lt;=DATE(YEAR(J158),MONTH(J158)+1,7),0,ROUND(L158*0.015*((YEAR(IFERROR(INDEX('Challan Master'!$D$4:$D$207,MATCH($B158,'Challan Master'!$S$4:$S$207,0)),""))-YEAR(J158))*12+(MONTH(IFERROR(INDEX('Challan Master'!$D$4:$D$207,MATCH($B158,'Challan Master'!$S$4:$S$207,0)),""))-MONTH(J158))+1),0))))</f>
      </c>
      <c r="P158" s="7">
        <f>IF($D158="","",0)</f>
      </c>
      <c r="Q158" s="8"/>
      <c r="R158" s="8"/>
      <c r="S158" s="8"/>
      <c r="T158" s="8"/>
      <c r="U158" s="8"/>
      <c r="V158" s="7">
        <f>IF($B158="","",IFERROR(INDEX('Challan Master'!$AA$4:$AA$207,MATCH($B158,'Challan Master'!$S$4:$S$207,0)),""))</f>
      </c>
    </row>
    <row r="159" spans="1:22" x14ac:dyDescent="0.25">
      <c r="A159" s="7">
        <f>IF($D159="","",COUNTIF($D$4:$D159,"&lt;&gt;"))</f>
      </c>
      <c r="B159" s="8"/>
      <c r="C159" s="7">
        <f>IF($B159="","","BSR "&amp;IFERROR(INDEX('Challan Master'!$B$4:$B$207,MATCH($B159,'Challan Master'!$S$4:$S$207,0)),"")&amp;" | Serial "&amp;IFERROR(INDEX('Challan Master'!$C$4:$C$207,MATCH($B159,'Challan Master'!$S$4:$S$207,0)),"")&amp;" | Deposit "&amp;TEXT(IFERROR(INDEX('Challan Master'!$D$4:$D$207,MATCH($B159,'Challan Master'!$S$4:$S$207,0)),""),"dd-mm-yyyy")&amp;" | Minor Head "&amp;IFERROR(INDEX('Challan Master'!$E$4:$E$207,MATCH($B159,'Challan Master'!$S$4:$S$207,0)),"")&amp;" | Tax ₹"&amp;TEXT(IFERROR(INDEX('Challan Master'!$G$4:$G$207,MATCH($B159,'Challan Master'!$S$4:$S$207,0)),""),"#,##0")&amp;" | Section "&amp;IFERROR(INDEX('Challan Master'!$F$4:$F$207,MATCH($B159,'Challan Master'!$S$4:$S$207,0)),""))</f>
      </c>
      <c r="D159" s="8"/>
      <c r="E159" s="8"/>
      <c r="F159" s="7">
        <f>IF($D159="","",IF(AND(LEN(TRIM(UPPER(E159)))=10,CODE(MID(TRIM(UPPER(E159)),1,1))&gt;=65,CODE(MID(TRIM(UPPER(E159)),1,1))&lt;=90,CODE(MID(TRIM(UPPER(E159)),2,1))&gt;=65,CODE(MID(TRIM(UPPER(E159)),2,1))&lt;=90,CODE(MID(TRIM(UPPER(E159)),3,1))&gt;=65,CODE(MID(TRIM(UPPER(E159)),3,1))&lt;=90,CODE(MID(TRIM(UPPER(E159)),4,1))&gt;=65,CODE(MID(TRIM(UPPER(E159)),4,1))&lt;=90,CODE(MID(TRIM(UPPER(E159)),5,1))&gt;=65,CODE(MID(TRIM(UPPER(E159)),5,1))&lt;=90,CODE(MID(TRIM(UPPER(E159)),10,1))&gt;=65,CODE(MID(TRIM(UPPER(E159)),10,1))&lt;=90,CODE(MID(TRIM(UPPER(E159)),6,1))&gt;=48,CODE(MID(TRIM(UPPER(E159)),6,1))&lt;=57,CODE(MID(TRIM(UPPER(E159)),7,1))&gt;=48,CODE(MID(TRIM(UPPER(E159)),7,1))&lt;=57,CODE(MID(TRIM(UPPER(E159)),8,1))&gt;=48,CODE(MID(TRIM(UPPER(E159)),8,1))&lt;=57,CODE(MID(TRIM(UPPER(E159)),9,1))&gt;=48,CODE(MID(TRIM(UPPER(E159)),9,1))&lt;=57),"N","Y"))</f>
      </c>
      <c r="G159" s="7">
        <f>IF($D159="","",IF(LEN(E159)&lt;4,"",IF(UPPER(MID(E159,4,1))="P","Individual",IF(UPPER(MID(E159,4,1))="H","HUF",IF(UPPER(MID(E159,4,1))="C","Company",IF(UPPER(MID(E159,4,1))="F","Firm",IF(UPPER(MID(E159,4,1))="L","LLP",IF(UPPER(MID(E159,4,1))="T","Trust",IF(UPPER(MID(E159,4,1))="A","AOP","")))))))))</f>
      </c>
      <c r="H159" s="8"/>
      <c r="I159" s="7">
        <f>IF($D159="","",IF(H159="","",IF(F159="Y",SUMPRODUCT(('Rate Lookup'!$A$1:$A$37=H159)*'Rate Lookup'!$D$1:$D$37),IF(OR(G159="Individual",G159="HUF"),SUMPRODUCT(('Rate Lookup'!$A$1:$A$37=H159)*'Rate Lookup'!$B$1:$B$37),SUMPRODUCT(('Rate Lookup'!$A$1:$A$37=H159)*'Rate Lookup'!$C$1:$C$37)))))</f>
      </c>
      <c r="J159" s="8"/>
      <c r="K159" s="8"/>
      <c r="L159" s="7">
        <f>IF($D159="","",ROUND(K159*I159/100,0))</f>
      </c>
      <c r="M159" s="7">
        <f>IF($D159="","",0)</f>
      </c>
      <c r="N159" s="7">
        <f>IF($D159="","",0)</f>
      </c>
      <c r="O159" s="7">
        <f>IF($D159="","",IF(OR(L159=0,J159="",IFERROR(INDEX('Challan Master'!$D$4:$D$207,MATCH($B159,'Challan Master'!$S$4:$S$207,0)),"")="",IFERROR(INDEX('Challan Master'!$D$4:$D$207,MATCH($B159,'Challan Master'!$S$4:$S$207,0)),"")&lt;=0),0,IF(IFERROR(INDEX('Challan Master'!$D$4:$D$207,MATCH($B159,'Challan Master'!$S$4:$S$207,0)),"")&lt;=DATE(YEAR(J159),MONTH(J159)+1,7),0,ROUND(L159*0.015*((YEAR(IFERROR(INDEX('Challan Master'!$D$4:$D$207,MATCH($B159,'Challan Master'!$S$4:$S$207,0)),""))-YEAR(J159))*12+(MONTH(IFERROR(INDEX('Challan Master'!$D$4:$D$207,MATCH($B159,'Challan Master'!$S$4:$S$207,0)),""))-MONTH(J159))+1),0))))</f>
      </c>
      <c r="P159" s="7">
        <f>IF($D159="","",0)</f>
      </c>
      <c r="Q159" s="8"/>
      <c r="R159" s="8"/>
      <c r="S159" s="8"/>
      <c r="T159" s="8"/>
      <c r="U159" s="8"/>
      <c r="V159" s="7">
        <f>IF($B159="","",IFERROR(INDEX('Challan Master'!$AA$4:$AA$207,MATCH($B159,'Challan Master'!$S$4:$S$207,0)),""))</f>
      </c>
    </row>
    <row r="160" spans="1:22" x14ac:dyDescent="0.25">
      <c r="A160" s="7">
        <f>IF($D160="","",COUNTIF($D$4:$D160,"&lt;&gt;"))</f>
      </c>
      <c r="B160" s="8"/>
      <c r="C160" s="7">
        <f>IF($B160="","","BSR "&amp;IFERROR(INDEX('Challan Master'!$B$4:$B$207,MATCH($B160,'Challan Master'!$S$4:$S$207,0)),"")&amp;" | Serial "&amp;IFERROR(INDEX('Challan Master'!$C$4:$C$207,MATCH($B160,'Challan Master'!$S$4:$S$207,0)),"")&amp;" | Deposit "&amp;TEXT(IFERROR(INDEX('Challan Master'!$D$4:$D$207,MATCH($B160,'Challan Master'!$S$4:$S$207,0)),""),"dd-mm-yyyy")&amp;" | Minor Head "&amp;IFERROR(INDEX('Challan Master'!$E$4:$E$207,MATCH($B160,'Challan Master'!$S$4:$S$207,0)),"")&amp;" | Tax ₹"&amp;TEXT(IFERROR(INDEX('Challan Master'!$G$4:$G$207,MATCH($B160,'Challan Master'!$S$4:$S$207,0)),""),"#,##0")&amp;" | Section "&amp;IFERROR(INDEX('Challan Master'!$F$4:$F$207,MATCH($B160,'Challan Master'!$S$4:$S$207,0)),""))</f>
      </c>
      <c r="D160" s="8"/>
      <c r="E160" s="8"/>
      <c r="F160" s="7">
        <f>IF($D160="","",IF(AND(LEN(TRIM(UPPER(E160)))=10,CODE(MID(TRIM(UPPER(E160)),1,1))&gt;=65,CODE(MID(TRIM(UPPER(E160)),1,1))&lt;=90,CODE(MID(TRIM(UPPER(E160)),2,1))&gt;=65,CODE(MID(TRIM(UPPER(E160)),2,1))&lt;=90,CODE(MID(TRIM(UPPER(E160)),3,1))&gt;=65,CODE(MID(TRIM(UPPER(E160)),3,1))&lt;=90,CODE(MID(TRIM(UPPER(E160)),4,1))&gt;=65,CODE(MID(TRIM(UPPER(E160)),4,1))&lt;=90,CODE(MID(TRIM(UPPER(E160)),5,1))&gt;=65,CODE(MID(TRIM(UPPER(E160)),5,1))&lt;=90,CODE(MID(TRIM(UPPER(E160)),10,1))&gt;=65,CODE(MID(TRIM(UPPER(E160)),10,1))&lt;=90,CODE(MID(TRIM(UPPER(E160)),6,1))&gt;=48,CODE(MID(TRIM(UPPER(E160)),6,1))&lt;=57,CODE(MID(TRIM(UPPER(E160)),7,1))&gt;=48,CODE(MID(TRIM(UPPER(E160)),7,1))&lt;=57,CODE(MID(TRIM(UPPER(E160)),8,1))&gt;=48,CODE(MID(TRIM(UPPER(E160)),8,1))&lt;=57,CODE(MID(TRIM(UPPER(E160)),9,1))&gt;=48,CODE(MID(TRIM(UPPER(E160)),9,1))&lt;=57),"N","Y"))</f>
      </c>
      <c r="G160" s="7">
        <f>IF($D160="","",IF(LEN(E160)&lt;4,"",IF(UPPER(MID(E160,4,1))="P","Individual",IF(UPPER(MID(E160,4,1))="H","HUF",IF(UPPER(MID(E160,4,1))="C","Company",IF(UPPER(MID(E160,4,1))="F","Firm",IF(UPPER(MID(E160,4,1))="L","LLP",IF(UPPER(MID(E160,4,1))="T","Trust",IF(UPPER(MID(E160,4,1))="A","AOP","")))))))))</f>
      </c>
      <c r="H160" s="8"/>
      <c r="I160" s="7">
        <f>IF($D160="","",IF(H160="","",IF(F160="Y",SUMPRODUCT(('Rate Lookup'!$A$1:$A$37=H160)*'Rate Lookup'!$D$1:$D$37),IF(OR(G160="Individual",G160="HUF"),SUMPRODUCT(('Rate Lookup'!$A$1:$A$37=H160)*'Rate Lookup'!$B$1:$B$37),SUMPRODUCT(('Rate Lookup'!$A$1:$A$37=H160)*'Rate Lookup'!$C$1:$C$37)))))</f>
      </c>
      <c r="J160" s="8"/>
      <c r="K160" s="8"/>
      <c r="L160" s="7">
        <f>IF($D160="","",ROUND(K160*I160/100,0))</f>
      </c>
      <c r="M160" s="7">
        <f>IF($D160="","",0)</f>
      </c>
      <c r="N160" s="7">
        <f>IF($D160="","",0)</f>
      </c>
      <c r="O160" s="7">
        <f>IF($D160="","",IF(OR(L160=0,J160="",IFERROR(INDEX('Challan Master'!$D$4:$D$207,MATCH($B160,'Challan Master'!$S$4:$S$207,0)),"")="",IFERROR(INDEX('Challan Master'!$D$4:$D$207,MATCH($B160,'Challan Master'!$S$4:$S$207,0)),"")&lt;=0),0,IF(IFERROR(INDEX('Challan Master'!$D$4:$D$207,MATCH($B160,'Challan Master'!$S$4:$S$207,0)),"")&lt;=DATE(YEAR(J160),MONTH(J160)+1,7),0,ROUND(L160*0.015*((YEAR(IFERROR(INDEX('Challan Master'!$D$4:$D$207,MATCH($B160,'Challan Master'!$S$4:$S$207,0)),""))-YEAR(J160))*12+(MONTH(IFERROR(INDEX('Challan Master'!$D$4:$D$207,MATCH($B160,'Challan Master'!$S$4:$S$207,0)),""))-MONTH(J160))+1),0))))</f>
      </c>
      <c r="P160" s="7">
        <f>IF($D160="","",0)</f>
      </c>
      <c r="Q160" s="8"/>
      <c r="R160" s="8"/>
      <c r="S160" s="8"/>
      <c r="T160" s="8"/>
      <c r="U160" s="8"/>
      <c r="V160" s="7">
        <f>IF($B160="","",IFERROR(INDEX('Challan Master'!$AA$4:$AA$207,MATCH($B160,'Challan Master'!$S$4:$S$207,0)),""))</f>
      </c>
    </row>
    <row r="161" spans="1:22" x14ac:dyDescent="0.25">
      <c r="A161" s="7">
        <f>IF($D161="","",COUNTIF($D$4:$D161,"&lt;&gt;"))</f>
      </c>
      <c r="B161" s="8"/>
      <c r="C161" s="7">
        <f>IF($B161="","","BSR "&amp;IFERROR(INDEX('Challan Master'!$B$4:$B$207,MATCH($B161,'Challan Master'!$S$4:$S$207,0)),"")&amp;" | Serial "&amp;IFERROR(INDEX('Challan Master'!$C$4:$C$207,MATCH($B161,'Challan Master'!$S$4:$S$207,0)),"")&amp;" | Deposit "&amp;TEXT(IFERROR(INDEX('Challan Master'!$D$4:$D$207,MATCH($B161,'Challan Master'!$S$4:$S$207,0)),""),"dd-mm-yyyy")&amp;" | Minor Head "&amp;IFERROR(INDEX('Challan Master'!$E$4:$E$207,MATCH($B161,'Challan Master'!$S$4:$S$207,0)),"")&amp;" | Tax ₹"&amp;TEXT(IFERROR(INDEX('Challan Master'!$G$4:$G$207,MATCH($B161,'Challan Master'!$S$4:$S$207,0)),""),"#,##0")&amp;" | Section "&amp;IFERROR(INDEX('Challan Master'!$F$4:$F$207,MATCH($B161,'Challan Master'!$S$4:$S$207,0)),""))</f>
      </c>
      <c r="D161" s="8"/>
      <c r="E161" s="8"/>
      <c r="F161" s="7">
        <f>IF($D161="","",IF(AND(LEN(TRIM(UPPER(E161)))=10,CODE(MID(TRIM(UPPER(E161)),1,1))&gt;=65,CODE(MID(TRIM(UPPER(E161)),1,1))&lt;=90,CODE(MID(TRIM(UPPER(E161)),2,1))&gt;=65,CODE(MID(TRIM(UPPER(E161)),2,1))&lt;=90,CODE(MID(TRIM(UPPER(E161)),3,1))&gt;=65,CODE(MID(TRIM(UPPER(E161)),3,1))&lt;=90,CODE(MID(TRIM(UPPER(E161)),4,1))&gt;=65,CODE(MID(TRIM(UPPER(E161)),4,1))&lt;=90,CODE(MID(TRIM(UPPER(E161)),5,1))&gt;=65,CODE(MID(TRIM(UPPER(E161)),5,1))&lt;=90,CODE(MID(TRIM(UPPER(E161)),10,1))&gt;=65,CODE(MID(TRIM(UPPER(E161)),10,1))&lt;=90,CODE(MID(TRIM(UPPER(E161)),6,1))&gt;=48,CODE(MID(TRIM(UPPER(E161)),6,1))&lt;=57,CODE(MID(TRIM(UPPER(E161)),7,1))&gt;=48,CODE(MID(TRIM(UPPER(E161)),7,1))&lt;=57,CODE(MID(TRIM(UPPER(E161)),8,1))&gt;=48,CODE(MID(TRIM(UPPER(E161)),8,1))&lt;=57,CODE(MID(TRIM(UPPER(E161)),9,1))&gt;=48,CODE(MID(TRIM(UPPER(E161)),9,1))&lt;=57),"N","Y"))</f>
      </c>
      <c r="G161" s="7">
        <f>IF($D161="","",IF(LEN(E161)&lt;4,"",IF(UPPER(MID(E161,4,1))="P","Individual",IF(UPPER(MID(E161,4,1))="H","HUF",IF(UPPER(MID(E161,4,1))="C","Company",IF(UPPER(MID(E161,4,1))="F","Firm",IF(UPPER(MID(E161,4,1))="L","LLP",IF(UPPER(MID(E161,4,1))="T","Trust",IF(UPPER(MID(E161,4,1))="A","AOP","")))))))))</f>
      </c>
      <c r="H161" s="8"/>
      <c r="I161" s="7">
        <f>IF($D161="","",IF(H161="","",IF(F161="Y",SUMPRODUCT(('Rate Lookup'!$A$1:$A$37=H161)*'Rate Lookup'!$D$1:$D$37),IF(OR(G161="Individual",G161="HUF"),SUMPRODUCT(('Rate Lookup'!$A$1:$A$37=H161)*'Rate Lookup'!$B$1:$B$37),SUMPRODUCT(('Rate Lookup'!$A$1:$A$37=H161)*'Rate Lookup'!$C$1:$C$37)))))</f>
      </c>
      <c r="J161" s="8"/>
      <c r="K161" s="8"/>
      <c r="L161" s="7">
        <f>IF($D161="","",ROUND(K161*I161/100,0))</f>
      </c>
      <c r="M161" s="7">
        <f>IF($D161="","",0)</f>
      </c>
      <c r="N161" s="7">
        <f>IF($D161="","",0)</f>
      </c>
      <c r="O161" s="7">
        <f>IF($D161="","",IF(OR(L161=0,J161="",IFERROR(INDEX('Challan Master'!$D$4:$D$207,MATCH($B161,'Challan Master'!$S$4:$S$207,0)),"")="",IFERROR(INDEX('Challan Master'!$D$4:$D$207,MATCH($B161,'Challan Master'!$S$4:$S$207,0)),"")&lt;=0),0,IF(IFERROR(INDEX('Challan Master'!$D$4:$D$207,MATCH($B161,'Challan Master'!$S$4:$S$207,0)),"")&lt;=DATE(YEAR(J161),MONTH(J161)+1,7),0,ROUND(L161*0.015*((YEAR(IFERROR(INDEX('Challan Master'!$D$4:$D$207,MATCH($B161,'Challan Master'!$S$4:$S$207,0)),""))-YEAR(J161))*12+(MONTH(IFERROR(INDEX('Challan Master'!$D$4:$D$207,MATCH($B161,'Challan Master'!$S$4:$S$207,0)),""))-MONTH(J161))+1),0))))</f>
      </c>
      <c r="P161" s="7">
        <f>IF($D161="","",0)</f>
      </c>
      <c r="Q161" s="8"/>
      <c r="R161" s="8"/>
      <c r="S161" s="8"/>
      <c r="T161" s="8"/>
      <c r="U161" s="8"/>
      <c r="V161" s="7">
        <f>IF($B161="","",IFERROR(INDEX('Challan Master'!$AA$4:$AA$207,MATCH($B161,'Challan Master'!$S$4:$S$207,0)),""))</f>
      </c>
    </row>
    <row r="162" spans="1:22" x14ac:dyDescent="0.25">
      <c r="A162" s="7">
        <f>IF($D162="","",COUNTIF($D$4:$D162,"&lt;&gt;"))</f>
      </c>
      <c r="B162" s="8"/>
      <c r="C162" s="7">
        <f>IF($B162="","","BSR "&amp;IFERROR(INDEX('Challan Master'!$B$4:$B$207,MATCH($B162,'Challan Master'!$S$4:$S$207,0)),"")&amp;" | Serial "&amp;IFERROR(INDEX('Challan Master'!$C$4:$C$207,MATCH($B162,'Challan Master'!$S$4:$S$207,0)),"")&amp;" | Deposit "&amp;TEXT(IFERROR(INDEX('Challan Master'!$D$4:$D$207,MATCH($B162,'Challan Master'!$S$4:$S$207,0)),""),"dd-mm-yyyy")&amp;" | Minor Head "&amp;IFERROR(INDEX('Challan Master'!$E$4:$E$207,MATCH($B162,'Challan Master'!$S$4:$S$207,0)),"")&amp;" | Tax ₹"&amp;TEXT(IFERROR(INDEX('Challan Master'!$G$4:$G$207,MATCH($B162,'Challan Master'!$S$4:$S$207,0)),""),"#,##0")&amp;" | Section "&amp;IFERROR(INDEX('Challan Master'!$F$4:$F$207,MATCH($B162,'Challan Master'!$S$4:$S$207,0)),""))</f>
      </c>
      <c r="D162" s="8"/>
      <c r="E162" s="8"/>
      <c r="F162" s="7">
        <f>IF($D162="","",IF(AND(LEN(TRIM(UPPER(E162)))=10,CODE(MID(TRIM(UPPER(E162)),1,1))&gt;=65,CODE(MID(TRIM(UPPER(E162)),1,1))&lt;=90,CODE(MID(TRIM(UPPER(E162)),2,1))&gt;=65,CODE(MID(TRIM(UPPER(E162)),2,1))&lt;=90,CODE(MID(TRIM(UPPER(E162)),3,1))&gt;=65,CODE(MID(TRIM(UPPER(E162)),3,1))&lt;=90,CODE(MID(TRIM(UPPER(E162)),4,1))&gt;=65,CODE(MID(TRIM(UPPER(E162)),4,1))&lt;=90,CODE(MID(TRIM(UPPER(E162)),5,1))&gt;=65,CODE(MID(TRIM(UPPER(E162)),5,1))&lt;=90,CODE(MID(TRIM(UPPER(E162)),10,1))&gt;=65,CODE(MID(TRIM(UPPER(E162)),10,1))&lt;=90,CODE(MID(TRIM(UPPER(E162)),6,1))&gt;=48,CODE(MID(TRIM(UPPER(E162)),6,1))&lt;=57,CODE(MID(TRIM(UPPER(E162)),7,1))&gt;=48,CODE(MID(TRIM(UPPER(E162)),7,1))&lt;=57,CODE(MID(TRIM(UPPER(E162)),8,1))&gt;=48,CODE(MID(TRIM(UPPER(E162)),8,1))&lt;=57,CODE(MID(TRIM(UPPER(E162)),9,1))&gt;=48,CODE(MID(TRIM(UPPER(E162)),9,1))&lt;=57),"N","Y"))</f>
      </c>
      <c r="G162" s="7">
        <f>IF($D162="","",IF(LEN(E162)&lt;4,"",IF(UPPER(MID(E162,4,1))="P","Individual",IF(UPPER(MID(E162,4,1))="H","HUF",IF(UPPER(MID(E162,4,1))="C","Company",IF(UPPER(MID(E162,4,1))="F","Firm",IF(UPPER(MID(E162,4,1))="L","LLP",IF(UPPER(MID(E162,4,1))="T","Trust",IF(UPPER(MID(E162,4,1))="A","AOP","")))))))))</f>
      </c>
      <c r="H162" s="8"/>
      <c r="I162" s="7">
        <f>IF($D162="","",IF(H162="","",IF(F162="Y",SUMPRODUCT(('Rate Lookup'!$A$1:$A$37=H162)*'Rate Lookup'!$D$1:$D$37),IF(OR(G162="Individual",G162="HUF"),SUMPRODUCT(('Rate Lookup'!$A$1:$A$37=H162)*'Rate Lookup'!$B$1:$B$37),SUMPRODUCT(('Rate Lookup'!$A$1:$A$37=H162)*'Rate Lookup'!$C$1:$C$37)))))</f>
      </c>
      <c r="J162" s="8"/>
      <c r="K162" s="8"/>
      <c r="L162" s="7">
        <f>IF($D162="","",ROUND(K162*I162/100,0))</f>
      </c>
      <c r="M162" s="7">
        <f>IF($D162="","",0)</f>
      </c>
      <c r="N162" s="7">
        <f>IF($D162="","",0)</f>
      </c>
      <c r="O162" s="7">
        <f>IF($D162="","",IF(OR(L162=0,J162="",IFERROR(INDEX('Challan Master'!$D$4:$D$207,MATCH($B162,'Challan Master'!$S$4:$S$207,0)),"")="",IFERROR(INDEX('Challan Master'!$D$4:$D$207,MATCH($B162,'Challan Master'!$S$4:$S$207,0)),"")&lt;=0),0,IF(IFERROR(INDEX('Challan Master'!$D$4:$D$207,MATCH($B162,'Challan Master'!$S$4:$S$207,0)),"")&lt;=DATE(YEAR(J162),MONTH(J162)+1,7),0,ROUND(L162*0.015*((YEAR(IFERROR(INDEX('Challan Master'!$D$4:$D$207,MATCH($B162,'Challan Master'!$S$4:$S$207,0)),""))-YEAR(J162))*12+(MONTH(IFERROR(INDEX('Challan Master'!$D$4:$D$207,MATCH($B162,'Challan Master'!$S$4:$S$207,0)),""))-MONTH(J162))+1),0))))</f>
      </c>
      <c r="P162" s="7">
        <f>IF($D162="","",0)</f>
      </c>
      <c r="Q162" s="8"/>
      <c r="R162" s="8"/>
      <c r="S162" s="8"/>
      <c r="T162" s="8"/>
      <c r="U162" s="8"/>
      <c r="V162" s="7">
        <f>IF($B162="","",IFERROR(INDEX('Challan Master'!$AA$4:$AA$207,MATCH($B162,'Challan Master'!$S$4:$S$207,0)),""))</f>
      </c>
    </row>
    <row r="163" spans="1:22" x14ac:dyDescent="0.25">
      <c r="A163" s="7">
        <f>IF($D163="","",COUNTIF($D$4:$D163,"&lt;&gt;"))</f>
      </c>
      <c r="B163" s="8"/>
      <c r="C163" s="7">
        <f>IF($B163="","","BSR "&amp;IFERROR(INDEX('Challan Master'!$B$4:$B$207,MATCH($B163,'Challan Master'!$S$4:$S$207,0)),"")&amp;" | Serial "&amp;IFERROR(INDEX('Challan Master'!$C$4:$C$207,MATCH($B163,'Challan Master'!$S$4:$S$207,0)),"")&amp;" | Deposit "&amp;TEXT(IFERROR(INDEX('Challan Master'!$D$4:$D$207,MATCH($B163,'Challan Master'!$S$4:$S$207,0)),""),"dd-mm-yyyy")&amp;" | Minor Head "&amp;IFERROR(INDEX('Challan Master'!$E$4:$E$207,MATCH($B163,'Challan Master'!$S$4:$S$207,0)),"")&amp;" | Tax ₹"&amp;TEXT(IFERROR(INDEX('Challan Master'!$G$4:$G$207,MATCH($B163,'Challan Master'!$S$4:$S$207,0)),""),"#,##0")&amp;" | Section "&amp;IFERROR(INDEX('Challan Master'!$F$4:$F$207,MATCH($B163,'Challan Master'!$S$4:$S$207,0)),""))</f>
      </c>
      <c r="D163" s="8"/>
      <c r="E163" s="8"/>
      <c r="F163" s="7">
        <f>IF($D163="","",IF(AND(LEN(TRIM(UPPER(E163)))=10,CODE(MID(TRIM(UPPER(E163)),1,1))&gt;=65,CODE(MID(TRIM(UPPER(E163)),1,1))&lt;=90,CODE(MID(TRIM(UPPER(E163)),2,1))&gt;=65,CODE(MID(TRIM(UPPER(E163)),2,1))&lt;=90,CODE(MID(TRIM(UPPER(E163)),3,1))&gt;=65,CODE(MID(TRIM(UPPER(E163)),3,1))&lt;=90,CODE(MID(TRIM(UPPER(E163)),4,1))&gt;=65,CODE(MID(TRIM(UPPER(E163)),4,1))&lt;=90,CODE(MID(TRIM(UPPER(E163)),5,1))&gt;=65,CODE(MID(TRIM(UPPER(E163)),5,1))&lt;=90,CODE(MID(TRIM(UPPER(E163)),10,1))&gt;=65,CODE(MID(TRIM(UPPER(E163)),10,1))&lt;=90,CODE(MID(TRIM(UPPER(E163)),6,1))&gt;=48,CODE(MID(TRIM(UPPER(E163)),6,1))&lt;=57,CODE(MID(TRIM(UPPER(E163)),7,1))&gt;=48,CODE(MID(TRIM(UPPER(E163)),7,1))&lt;=57,CODE(MID(TRIM(UPPER(E163)),8,1))&gt;=48,CODE(MID(TRIM(UPPER(E163)),8,1))&lt;=57,CODE(MID(TRIM(UPPER(E163)),9,1))&gt;=48,CODE(MID(TRIM(UPPER(E163)),9,1))&lt;=57),"N","Y"))</f>
      </c>
      <c r="G163" s="7">
        <f>IF($D163="","",IF(LEN(E163)&lt;4,"",IF(UPPER(MID(E163,4,1))="P","Individual",IF(UPPER(MID(E163,4,1))="H","HUF",IF(UPPER(MID(E163,4,1))="C","Company",IF(UPPER(MID(E163,4,1))="F","Firm",IF(UPPER(MID(E163,4,1))="L","LLP",IF(UPPER(MID(E163,4,1))="T","Trust",IF(UPPER(MID(E163,4,1))="A","AOP","")))))))))</f>
      </c>
      <c r="H163" s="8"/>
      <c r="I163" s="7">
        <f>IF($D163="","",IF(H163="","",IF(F163="Y",SUMPRODUCT(('Rate Lookup'!$A$1:$A$37=H163)*'Rate Lookup'!$D$1:$D$37),IF(OR(G163="Individual",G163="HUF"),SUMPRODUCT(('Rate Lookup'!$A$1:$A$37=H163)*'Rate Lookup'!$B$1:$B$37),SUMPRODUCT(('Rate Lookup'!$A$1:$A$37=H163)*'Rate Lookup'!$C$1:$C$37)))))</f>
      </c>
      <c r="J163" s="8"/>
      <c r="K163" s="8"/>
      <c r="L163" s="7">
        <f>IF($D163="","",ROUND(K163*I163/100,0))</f>
      </c>
      <c r="M163" s="7">
        <f>IF($D163="","",0)</f>
      </c>
      <c r="N163" s="7">
        <f>IF($D163="","",0)</f>
      </c>
      <c r="O163" s="7">
        <f>IF($D163="","",IF(OR(L163=0,J163="",IFERROR(INDEX('Challan Master'!$D$4:$D$207,MATCH($B163,'Challan Master'!$S$4:$S$207,0)),"")="",IFERROR(INDEX('Challan Master'!$D$4:$D$207,MATCH($B163,'Challan Master'!$S$4:$S$207,0)),"")&lt;=0),0,IF(IFERROR(INDEX('Challan Master'!$D$4:$D$207,MATCH($B163,'Challan Master'!$S$4:$S$207,0)),"")&lt;=DATE(YEAR(J163),MONTH(J163)+1,7),0,ROUND(L163*0.015*((YEAR(IFERROR(INDEX('Challan Master'!$D$4:$D$207,MATCH($B163,'Challan Master'!$S$4:$S$207,0)),""))-YEAR(J163))*12+(MONTH(IFERROR(INDEX('Challan Master'!$D$4:$D$207,MATCH($B163,'Challan Master'!$S$4:$S$207,0)),""))-MONTH(J163))+1),0))))</f>
      </c>
      <c r="P163" s="7">
        <f>IF($D163="","",0)</f>
      </c>
      <c r="Q163" s="8"/>
      <c r="R163" s="8"/>
      <c r="S163" s="8"/>
      <c r="T163" s="8"/>
      <c r="U163" s="8"/>
      <c r="V163" s="7">
        <f>IF($B163="","",IFERROR(INDEX('Challan Master'!$AA$4:$AA$207,MATCH($B163,'Challan Master'!$S$4:$S$207,0)),""))</f>
      </c>
    </row>
    <row r="164" spans="1:22" x14ac:dyDescent="0.25">
      <c r="A164" s="7">
        <f>IF($D164="","",COUNTIF($D$4:$D164,"&lt;&gt;"))</f>
      </c>
      <c r="B164" s="8"/>
      <c r="C164" s="7">
        <f>IF($B164="","","BSR "&amp;IFERROR(INDEX('Challan Master'!$B$4:$B$207,MATCH($B164,'Challan Master'!$S$4:$S$207,0)),"")&amp;" | Serial "&amp;IFERROR(INDEX('Challan Master'!$C$4:$C$207,MATCH($B164,'Challan Master'!$S$4:$S$207,0)),"")&amp;" | Deposit "&amp;TEXT(IFERROR(INDEX('Challan Master'!$D$4:$D$207,MATCH($B164,'Challan Master'!$S$4:$S$207,0)),""),"dd-mm-yyyy")&amp;" | Minor Head "&amp;IFERROR(INDEX('Challan Master'!$E$4:$E$207,MATCH($B164,'Challan Master'!$S$4:$S$207,0)),"")&amp;" | Tax ₹"&amp;TEXT(IFERROR(INDEX('Challan Master'!$G$4:$G$207,MATCH($B164,'Challan Master'!$S$4:$S$207,0)),""),"#,##0")&amp;" | Section "&amp;IFERROR(INDEX('Challan Master'!$F$4:$F$207,MATCH($B164,'Challan Master'!$S$4:$S$207,0)),""))</f>
      </c>
      <c r="D164" s="8"/>
      <c r="E164" s="8"/>
      <c r="F164" s="7">
        <f>IF($D164="","",IF(AND(LEN(TRIM(UPPER(E164)))=10,CODE(MID(TRIM(UPPER(E164)),1,1))&gt;=65,CODE(MID(TRIM(UPPER(E164)),1,1))&lt;=90,CODE(MID(TRIM(UPPER(E164)),2,1))&gt;=65,CODE(MID(TRIM(UPPER(E164)),2,1))&lt;=90,CODE(MID(TRIM(UPPER(E164)),3,1))&gt;=65,CODE(MID(TRIM(UPPER(E164)),3,1))&lt;=90,CODE(MID(TRIM(UPPER(E164)),4,1))&gt;=65,CODE(MID(TRIM(UPPER(E164)),4,1))&lt;=90,CODE(MID(TRIM(UPPER(E164)),5,1))&gt;=65,CODE(MID(TRIM(UPPER(E164)),5,1))&lt;=90,CODE(MID(TRIM(UPPER(E164)),10,1))&gt;=65,CODE(MID(TRIM(UPPER(E164)),10,1))&lt;=90,CODE(MID(TRIM(UPPER(E164)),6,1))&gt;=48,CODE(MID(TRIM(UPPER(E164)),6,1))&lt;=57,CODE(MID(TRIM(UPPER(E164)),7,1))&gt;=48,CODE(MID(TRIM(UPPER(E164)),7,1))&lt;=57,CODE(MID(TRIM(UPPER(E164)),8,1))&gt;=48,CODE(MID(TRIM(UPPER(E164)),8,1))&lt;=57,CODE(MID(TRIM(UPPER(E164)),9,1))&gt;=48,CODE(MID(TRIM(UPPER(E164)),9,1))&lt;=57),"N","Y"))</f>
      </c>
      <c r="G164" s="7">
        <f>IF($D164="","",IF(LEN(E164)&lt;4,"",IF(UPPER(MID(E164,4,1))="P","Individual",IF(UPPER(MID(E164,4,1))="H","HUF",IF(UPPER(MID(E164,4,1))="C","Company",IF(UPPER(MID(E164,4,1))="F","Firm",IF(UPPER(MID(E164,4,1))="L","LLP",IF(UPPER(MID(E164,4,1))="T","Trust",IF(UPPER(MID(E164,4,1))="A","AOP","")))))))))</f>
      </c>
      <c r="H164" s="8"/>
      <c r="I164" s="7">
        <f>IF($D164="","",IF(H164="","",IF(F164="Y",SUMPRODUCT(('Rate Lookup'!$A$1:$A$37=H164)*'Rate Lookup'!$D$1:$D$37),IF(OR(G164="Individual",G164="HUF"),SUMPRODUCT(('Rate Lookup'!$A$1:$A$37=H164)*'Rate Lookup'!$B$1:$B$37),SUMPRODUCT(('Rate Lookup'!$A$1:$A$37=H164)*'Rate Lookup'!$C$1:$C$37)))))</f>
      </c>
      <c r="J164" s="8"/>
      <c r="K164" s="8"/>
      <c r="L164" s="7">
        <f>IF($D164="","",ROUND(K164*I164/100,0))</f>
      </c>
      <c r="M164" s="7">
        <f>IF($D164="","",0)</f>
      </c>
      <c r="N164" s="7">
        <f>IF($D164="","",0)</f>
      </c>
      <c r="O164" s="7">
        <f>IF($D164="","",IF(OR(L164=0,J164="",IFERROR(INDEX('Challan Master'!$D$4:$D$207,MATCH($B164,'Challan Master'!$S$4:$S$207,0)),"")="",IFERROR(INDEX('Challan Master'!$D$4:$D$207,MATCH($B164,'Challan Master'!$S$4:$S$207,0)),"")&lt;=0),0,IF(IFERROR(INDEX('Challan Master'!$D$4:$D$207,MATCH($B164,'Challan Master'!$S$4:$S$207,0)),"")&lt;=DATE(YEAR(J164),MONTH(J164)+1,7),0,ROUND(L164*0.015*((YEAR(IFERROR(INDEX('Challan Master'!$D$4:$D$207,MATCH($B164,'Challan Master'!$S$4:$S$207,0)),""))-YEAR(J164))*12+(MONTH(IFERROR(INDEX('Challan Master'!$D$4:$D$207,MATCH($B164,'Challan Master'!$S$4:$S$207,0)),""))-MONTH(J164))+1),0))))</f>
      </c>
      <c r="P164" s="7">
        <f>IF($D164="","",0)</f>
      </c>
      <c r="Q164" s="8"/>
      <c r="R164" s="8"/>
      <c r="S164" s="8"/>
      <c r="T164" s="8"/>
      <c r="U164" s="8"/>
      <c r="V164" s="7">
        <f>IF($B164="","",IFERROR(INDEX('Challan Master'!$AA$4:$AA$207,MATCH($B164,'Challan Master'!$S$4:$S$207,0)),""))</f>
      </c>
    </row>
    <row r="165" spans="1:22" x14ac:dyDescent="0.25">
      <c r="A165" s="7">
        <f>IF($D165="","",COUNTIF($D$4:$D165,"&lt;&gt;"))</f>
      </c>
      <c r="B165" s="8"/>
      <c r="C165" s="7">
        <f>IF($B165="","","BSR "&amp;IFERROR(INDEX('Challan Master'!$B$4:$B$207,MATCH($B165,'Challan Master'!$S$4:$S$207,0)),"")&amp;" | Serial "&amp;IFERROR(INDEX('Challan Master'!$C$4:$C$207,MATCH($B165,'Challan Master'!$S$4:$S$207,0)),"")&amp;" | Deposit "&amp;TEXT(IFERROR(INDEX('Challan Master'!$D$4:$D$207,MATCH($B165,'Challan Master'!$S$4:$S$207,0)),""),"dd-mm-yyyy")&amp;" | Minor Head "&amp;IFERROR(INDEX('Challan Master'!$E$4:$E$207,MATCH($B165,'Challan Master'!$S$4:$S$207,0)),"")&amp;" | Tax ₹"&amp;TEXT(IFERROR(INDEX('Challan Master'!$G$4:$G$207,MATCH($B165,'Challan Master'!$S$4:$S$207,0)),""),"#,##0")&amp;" | Section "&amp;IFERROR(INDEX('Challan Master'!$F$4:$F$207,MATCH($B165,'Challan Master'!$S$4:$S$207,0)),""))</f>
      </c>
      <c r="D165" s="8"/>
      <c r="E165" s="8"/>
      <c r="F165" s="7">
        <f>IF($D165="","",IF(AND(LEN(TRIM(UPPER(E165)))=10,CODE(MID(TRIM(UPPER(E165)),1,1))&gt;=65,CODE(MID(TRIM(UPPER(E165)),1,1))&lt;=90,CODE(MID(TRIM(UPPER(E165)),2,1))&gt;=65,CODE(MID(TRIM(UPPER(E165)),2,1))&lt;=90,CODE(MID(TRIM(UPPER(E165)),3,1))&gt;=65,CODE(MID(TRIM(UPPER(E165)),3,1))&lt;=90,CODE(MID(TRIM(UPPER(E165)),4,1))&gt;=65,CODE(MID(TRIM(UPPER(E165)),4,1))&lt;=90,CODE(MID(TRIM(UPPER(E165)),5,1))&gt;=65,CODE(MID(TRIM(UPPER(E165)),5,1))&lt;=90,CODE(MID(TRIM(UPPER(E165)),10,1))&gt;=65,CODE(MID(TRIM(UPPER(E165)),10,1))&lt;=90,CODE(MID(TRIM(UPPER(E165)),6,1))&gt;=48,CODE(MID(TRIM(UPPER(E165)),6,1))&lt;=57,CODE(MID(TRIM(UPPER(E165)),7,1))&gt;=48,CODE(MID(TRIM(UPPER(E165)),7,1))&lt;=57,CODE(MID(TRIM(UPPER(E165)),8,1))&gt;=48,CODE(MID(TRIM(UPPER(E165)),8,1))&lt;=57,CODE(MID(TRIM(UPPER(E165)),9,1))&gt;=48,CODE(MID(TRIM(UPPER(E165)),9,1))&lt;=57),"N","Y"))</f>
      </c>
      <c r="G165" s="7">
        <f>IF($D165="","",IF(LEN(E165)&lt;4,"",IF(UPPER(MID(E165,4,1))="P","Individual",IF(UPPER(MID(E165,4,1))="H","HUF",IF(UPPER(MID(E165,4,1))="C","Company",IF(UPPER(MID(E165,4,1))="F","Firm",IF(UPPER(MID(E165,4,1))="L","LLP",IF(UPPER(MID(E165,4,1))="T","Trust",IF(UPPER(MID(E165,4,1))="A","AOP","")))))))))</f>
      </c>
      <c r="H165" s="8"/>
      <c r="I165" s="7">
        <f>IF($D165="","",IF(H165="","",IF(F165="Y",SUMPRODUCT(('Rate Lookup'!$A$1:$A$37=H165)*'Rate Lookup'!$D$1:$D$37),IF(OR(G165="Individual",G165="HUF"),SUMPRODUCT(('Rate Lookup'!$A$1:$A$37=H165)*'Rate Lookup'!$B$1:$B$37),SUMPRODUCT(('Rate Lookup'!$A$1:$A$37=H165)*'Rate Lookup'!$C$1:$C$37)))))</f>
      </c>
      <c r="J165" s="8"/>
      <c r="K165" s="8"/>
      <c r="L165" s="7">
        <f>IF($D165="","",ROUND(K165*I165/100,0))</f>
      </c>
      <c r="M165" s="7">
        <f>IF($D165="","",0)</f>
      </c>
      <c r="N165" s="7">
        <f>IF($D165="","",0)</f>
      </c>
      <c r="O165" s="7">
        <f>IF($D165="","",IF(OR(L165=0,J165="",IFERROR(INDEX('Challan Master'!$D$4:$D$207,MATCH($B165,'Challan Master'!$S$4:$S$207,0)),"")="",IFERROR(INDEX('Challan Master'!$D$4:$D$207,MATCH($B165,'Challan Master'!$S$4:$S$207,0)),"")&lt;=0),0,IF(IFERROR(INDEX('Challan Master'!$D$4:$D$207,MATCH($B165,'Challan Master'!$S$4:$S$207,0)),"")&lt;=DATE(YEAR(J165),MONTH(J165)+1,7),0,ROUND(L165*0.015*((YEAR(IFERROR(INDEX('Challan Master'!$D$4:$D$207,MATCH($B165,'Challan Master'!$S$4:$S$207,0)),""))-YEAR(J165))*12+(MONTH(IFERROR(INDEX('Challan Master'!$D$4:$D$207,MATCH($B165,'Challan Master'!$S$4:$S$207,0)),""))-MONTH(J165))+1),0))))</f>
      </c>
      <c r="P165" s="7">
        <f>IF($D165="","",0)</f>
      </c>
      <c r="Q165" s="8"/>
      <c r="R165" s="8"/>
      <c r="S165" s="8"/>
      <c r="T165" s="8"/>
      <c r="U165" s="8"/>
      <c r="V165" s="7">
        <f>IF($B165="","",IFERROR(INDEX('Challan Master'!$AA$4:$AA$207,MATCH($B165,'Challan Master'!$S$4:$S$207,0)),""))</f>
      </c>
    </row>
    <row r="166" spans="1:22" x14ac:dyDescent="0.25">
      <c r="A166" s="7">
        <f>IF($D166="","",COUNTIF($D$4:$D166,"&lt;&gt;"))</f>
      </c>
      <c r="B166" s="8"/>
      <c r="C166" s="7">
        <f>IF($B166="","","BSR "&amp;IFERROR(INDEX('Challan Master'!$B$4:$B$207,MATCH($B166,'Challan Master'!$S$4:$S$207,0)),"")&amp;" | Serial "&amp;IFERROR(INDEX('Challan Master'!$C$4:$C$207,MATCH($B166,'Challan Master'!$S$4:$S$207,0)),"")&amp;" | Deposit "&amp;TEXT(IFERROR(INDEX('Challan Master'!$D$4:$D$207,MATCH($B166,'Challan Master'!$S$4:$S$207,0)),""),"dd-mm-yyyy")&amp;" | Minor Head "&amp;IFERROR(INDEX('Challan Master'!$E$4:$E$207,MATCH($B166,'Challan Master'!$S$4:$S$207,0)),"")&amp;" | Tax ₹"&amp;TEXT(IFERROR(INDEX('Challan Master'!$G$4:$G$207,MATCH($B166,'Challan Master'!$S$4:$S$207,0)),""),"#,##0")&amp;" | Section "&amp;IFERROR(INDEX('Challan Master'!$F$4:$F$207,MATCH($B166,'Challan Master'!$S$4:$S$207,0)),""))</f>
      </c>
      <c r="D166" s="8"/>
      <c r="E166" s="8"/>
      <c r="F166" s="7">
        <f>IF($D166="","",IF(AND(LEN(TRIM(UPPER(E166)))=10,CODE(MID(TRIM(UPPER(E166)),1,1))&gt;=65,CODE(MID(TRIM(UPPER(E166)),1,1))&lt;=90,CODE(MID(TRIM(UPPER(E166)),2,1))&gt;=65,CODE(MID(TRIM(UPPER(E166)),2,1))&lt;=90,CODE(MID(TRIM(UPPER(E166)),3,1))&gt;=65,CODE(MID(TRIM(UPPER(E166)),3,1))&lt;=90,CODE(MID(TRIM(UPPER(E166)),4,1))&gt;=65,CODE(MID(TRIM(UPPER(E166)),4,1))&lt;=90,CODE(MID(TRIM(UPPER(E166)),5,1))&gt;=65,CODE(MID(TRIM(UPPER(E166)),5,1))&lt;=90,CODE(MID(TRIM(UPPER(E166)),10,1))&gt;=65,CODE(MID(TRIM(UPPER(E166)),10,1))&lt;=90,CODE(MID(TRIM(UPPER(E166)),6,1))&gt;=48,CODE(MID(TRIM(UPPER(E166)),6,1))&lt;=57,CODE(MID(TRIM(UPPER(E166)),7,1))&gt;=48,CODE(MID(TRIM(UPPER(E166)),7,1))&lt;=57,CODE(MID(TRIM(UPPER(E166)),8,1))&gt;=48,CODE(MID(TRIM(UPPER(E166)),8,1))&lt;=57,CODE(MID(TRIM(UPPER(E166)),9,1))&gt;=48,CODE(MID(TRIM(UPPER(E166)),9,1))&lt;=57),"N","Y"))</f>
      </c>
      <c r="G166" s="7">
        <f>IF($D166="","",IF(LEN(E166)&lt;4,"",IF(UPPER(MID(E166,4,1))="P","Individual",IF(UPPER(MID(E166,4,1))="H","HUF",IF(UPPER(MID(E166,4,1))="C","Company",IF(UPPER(MID(E166,4,1))="F","Firm",IF(UPPER(MID(E166,4,1))="L","LLP",IF(UPPER(MID(E166,4,1))="T","Trust",IF(UPPER(MID(E166,4,1))="A","AOP","")))))))))</f>
      </c>
      <c r="H166" s="8"/>
      <c r="I166" s="7">
        <f>IF($D166="","",IF(H166="","",IF(F166="Y",SUMPRODUCT(('Rate Lookup'!$A$1:$A$37=H166)*'Rate Lookup'!$D$1:$D$37),IF(OR(G166="Individual",G166="HUF"),SUMPRODUCT(('Rate Lookup'!$A$1:$A$37=H166)*'Rate Lookup'!$B$1:$B$37),SUMPRODUCT(('Rate Lookup'!$A$1:$A$37=H166)*'Rate Lookup'!$C$1:$C$37)))))</f>
      </c>
      <c r="J166" s="8"/>
      <c r="K166" s="8"/>
      <c r="L166" s="7">
        <f>IF($D166="","",ROUND(K166*I166/100,0))</f>
      </c>
      <c r="M166" s="7">
        <f>IF($D166="","",0)</f>
      </c>
      <c r="N166" s="7">
        <f>IF($D166="","",0)</f>
      </c>
      <c r="O166" s="7">
        <f>IF($D166="","",IF(OR(L166=0,J166="",IFERROR(INDEX('Challan Master'!$D$4:$D$207,MATCH($B166,'Challan Master'!$S$4:$S$207,0)),"")="",IFERROR(INDEX('Challan Master'!$D$4:$D$207,MATCH($B166,'Challan Master'!$S$4:$S$207,0)),"")&lt;=0),0,IF(IFERROR(INDEX('Challan Master'!$D$4:$D$207,MATCH($B166,'Challan Master'!$S$4:$S$207,0)),"")&lt;=DATE(YEAR(J166),MONTH(J166)+1,7),0,ROUND(L166*0.015*((YEAR(IFERROR(INDEX('Challan Master'!$D$4:$D$207,MATCH($B166,'Challan Master'!$S$4:$S$207,0)),""))-YEAR(J166))*12+(MONTH(IFERROR(INDEX('Challan Master'!$D$4:$D$207,MATCH($B166,'Challan Master'!$S$4:$S$207,0)),""))-MONTH(J166))+1),0))))</f>
      </c>
      <c r="P166" s="7">
        <f>IF($D166="","",0)</f>
      </c>
      <c r="Q166" s="8"/>
      <c r="R166" s="8"/>
      <c r="S166" s="8"/>
      <c r="T166" s="8"/>
      <c r="U166" s="8"/>
      <c r="V166" s="7">
        <f>IF($B166="","",IFERROR(INDEX('Challan Master'!$AA$4:$AA$207,MATCH($B166,'Challan Master'!$S$4:$S$207,0)),""))</f>
      </c>
    </row>
    <row r="167" spans="1:22" x14ac:dyDescent="0.25">
      <c r="A167" s="7">
        <f>IF($D167="","",COUNTIF($D$4:$D167,"&lt;&gt;"))</f>
      </c>
      <c r="B167" s="8"/>
      <c r="C167" s="7">
        <f>IF($B167="","","BSR "&amp;IFERROR(INDEX('Challan Master'!$B$4:$B$207,MATCH($B167,'Challan Master'!$S$4:$S$207,0)),"")&amp;" | Serial "&amp;IFERROR(INDEX('Challan Master'!$C$4:$C$207,MATCH($B167,'Challan Master'!$S$4:$S$207,0)),"")&amp;" | Deposit "&amp;TEXT(IFERROR(INDEX('Challan Master'!$D$4:$D$207,MATCH($B167,'Challan Master'!$S$4:$S$207,0)),""),"dd-mm-yyyy")&amp;" | Minor Head "&amp;IFERROR(INDEX('Challan Master'!$E$4:$E$207,MATCH($B167,'Challan Master'!$S$4:$S$207,0)),"")&amp;" | Tax ₹"&amp;TEXT(IFERROR(INDEX('Challan Master'!$G$4:$G$207,MATCH($B167,'Challan Master'!$S$4:$S$207,0)),""),"#,##0")&amp;" | Section "&amp;IFERROR(INDEX('Challan Master'!$F$4:$F$207,MATCH($B167,'Challan Master'!$S$4:$S$207,0)),""))</f>
      </c>
      <c r="D167" s="8"/>
      <c r="E167" s="8"/>
      <c r="F167" s="7">
        <f>IF($D167="","",IF(AND(LEN(TRIM(UPPER(E167)))=10,CODE(MID(TRIM(UPPER(E167)),1,1))&gt;=65,CODE(MID(TRIM(UPPER(E167)),1,1))&lt;=90,CODE(MID(TRIM(UPPER(E167)),2,1))&gt;=65,CODE(MID(TRIM(UPPER(E167)),2,1))&lt;=90,CODE(MID(TRIM(UPPER(E167)),3,1))&gt;=65,CODE(MID(TRIM(UPPER(E167)),3,1))&lt;=90,CODE(MID(TRIM(UPPER(E167)),4,1))&gt;=65,CODE(MID(TRIM(UPPER(E167)),4,1))&lt;=90,CODE(MID(TRIM(UPPER(E167)),5,1))&gt;=65,CODE(MID(TRIM(UPPER(E167)),5,1))&lt;=90,CODE(MID(TRIM(UPPER(E167)),10,1))&gt;=65,CODE(MID(TRIM(UPPER(E167)),10,1))&lt;=90,CODE(MID(TRIM(UPPER(E167)),6,1))&gt;=48,CODE(MID(TRIM(UPPER(E167)),6,1))&lt;=57,CODE(MID(TRIM(UPPER(E167)),7,1))&gt;=48,CODE(MID(TRIM(UPPER(E167)),7,1))&lt;=57,CODE(MID(TRIM(UPPER(E167)),8,1))&gt;=48,CODE(MID(TRIM(UPPER(E167)),8,1))&lt;=57,CODE(MID(TRIM(UPPER(E167)),9,1))&gt;=48,CODE(MID(TRIM(UPPER(E167)),9,1))&lt;=57),"N","Y"))</f>
      </c>
      <c r="G167" s="7">
        <f>IF($D167="","",IF(LEN(E167)&lt;4,"",IF(UPPER(MID(E167,4,1))="P","Individual",IF(UPPER(MID(E167,4,1))="H","HUF",IF(UPPER(MID(E167,4,1))="C","Company",IF(UPPER(MID(E167,4,1))="F","Firm",IF(UPPER(MID(E167,4,1))="L","LLP",IF(UPPER(MID(E167,4,1))="T","Trust",IF(UPPER(MID(E167,4,1))="A","AOP","")))))))))</f>
      </c>
      <c r="H167" s="8"/>
      <c r="I167" s="7">
        <f>IF($D167="","",IF(H167="","",IF(F167="Y",SUMPRODUCT(('Rate Lookup'!$A$1:$A$37=H167)*'Rate Lookup'!$D$1:$D$37),IF(OR(G167="Individual",G167="HUF"),SUMPRODUCT(('Rate Lookup'!$A$1:$A$37=H167)*'Rate Lookup'!$B$1:$B$37),SUMPRODUCT(('Rate Lookup'!$A$1:$A$37=H167)*'Rate Lookup'!$C$1:$C$37)))))</f>
      </c>
      <c r="J167" s="8"/>
      <c r="K167" s="8"/>
      <c r="L167" s="7">
        <f>IF($D167="","",ROUND(K167*I167/100,0))</f>
      </c>
      <c r="M167" s="7">
        <f>IF($D167="","",0)</f>
      </c>
      <c r="N167" s="7">
        <f>IF($D167="","",0)</f>
      </c>
      <c r="O167" s="7">
        <f>IF($D167="","",IF(OR(L167=0,J167="",IFERROR(INDEX('Challan Master'!$D$4:$D$207,MATCH($B167,'Challan Master'!$S$4:$S$207,0)),"")="",IFERROR(INDEX('Challan Master'!$D$4:$D$207,MATCH($B167,'Challan Master'!$S$4:$S$207,0)),"")&lt;=0),0,IF(IFERROR(INDEX('Challan Master'!$D$4:$D$207,MATCH($B167,'Challan Master'!$S$4:$S$207,0)),"")&lt;=DATE(YEAR(J167),MONTH(J167)+1,7),0,ROUND(L167*0.015*((YEAR(IFERROR(INDEX('Challan Master'!$D$4:$D$207,MATCH($B167,'Challan Master'!$S$4:$S$207,0)),""))-YEAR(J167))*12+(MONTH(IFERROR(INDEX('Challan Master'!$D$4:$D$207,MATCH($B167,'Challan Master'!$S$4:$S$207,0)),""))-MONTH(J167))+1),0))))</f>
      </c>
      <c r="P167" s="7">
        <f>IF($D167="","",0)</f>
      </c>
      <c r="Q167" s="8"/>
      <c r="R167" s="8"/>
      <c r="S167" s="8"/>
      <c r="T167" s="8"/>
      <c r="U167" s="8"/>
      <c r="V167" s="7">
        <f>IF($B167="","",IFERROR(INDEX('Challan Master'!$AA$4:$AA$207,MATCH($B167,'Challan Master'!$S$4:$S$207,0)),""))</f>
      </c>
    </row>
    <row r="168" spans="1:22" x14ac:dyDescent="0.25">
      <c r="A168" s="7">
        <f>IF($D168="","",COUNTIF($D$4:$D168,"&lt;&gt;"))</f>
      </c>
      <c r="B168" s="8"/>
      <c r="C168" s="7">
        <f>IF($B168="","","BSR "&amp;IFERROR(INDEX('Challan Master'!$B$4:$B$207,MATCH($B168,'Challan Master'!$S$4:$S$207,0)),"")&amp;" | Serial "&amp;IFERROR(INDEX('Challan Master'!$C$4:$C$207,MATCH($B168,'Challan Master'!$S$4:$S$207,0)),"")&amp;" | Deposit "&amp;TEXT(IFERROR(INDEX('Challan Master'!$D$4:$D$207,MATCH($B168,'Challan Master'!$S$4:$S$207,0)),""),"dd-mm-yyyy")&amp;" | Minor Head "&amp;IFERROR(INDEX('Challan Master'!$E$4:$E$207,MATCH($B168,'Challan Master'!$S$4:$S$207,0)),"")&amp;" | Tax ₹"&amp;TEXT(IFERROR(INDEX('Challan Master'!$G$4:$G$207,MATCH($B168,'Challan Master'!$S$4:$S$207,0)),""),"#,##0")&amp;" | Section "&amp;IFERROR(INDEX('Challan Master'!$F$4:$F$207,MATCH($B168,'Challan Master'!$S$4:$S$207,0)),""))</f>
      </c>
      <c r="D168" s="8"/>
      <c r="E168" s="8"/>
      <c r="F168" s="7">
        <f>IF($D168="","",IF(AND(LEN(TRIM(UPPER(E168)))=10,CODE(MID(TRIM(UPPER(E168)),1,1))&gt;=65,CODE(MID(TRIM(UPPER(E168)),1,1))&lt;=90,CODE(MID(TRIM(UPPER(E168)),2,1))&gt;=65,CODE(MID(TRIM(UPPER(E168)),2,1))&lt;=90,CODE(MID(TRIM(UPPER(E168)),3,1))&gt;=65,CODE(MID(TRIM(UPPER(E168)),3,1))&lt;=90,CODE(MID(TRIM(UPPER(E168)),4,1))&gt;=65,CODE(MID(TRIM(UPPER(E168)),4,1))&lt;=90,CODE(MID(TRIM(UPPER(E168)),5,1))&gt;=65,CODE(MID(TRIM(UPPER(E168)),5,1))&lt;=90,CODE(MID(TRIM(UPPER(E168)),10,1))&gt;=65,CODE(MID(TRIM(UPPER(E168)),10,1))&lt;=90,CODE(MID(TRIM(UPPER(E168)),6,1))&gt;=48,CODE(MID(TRIM(UPPER(E168)),6,1))&lt;=57,CODE(MID(TRIM(UPPER(E168)),7,1))&gt;=48,CODE(MID(TRIM(UPPER(E168)),7,1))&lt;=57,CODE(MID(TRIM(UPPER(E168)),8,1))&gt;=48,CODE(MID(TRIM(UPPER(E168)),8,1))&lt;=57,CODE(MID(TRIM(UPPER(E168)),9,1))&gt;=48,CODE(MID(TRIM(UPPER(E168)),9,1))&lt;=57),"N","Y"))</f>
      </c>
      <c r="G168" s="7">
        <f>IF($D168="","",IF(LEN(E168)&lt;4,"",IF(UPPER(MID(E168,4,1))="P","Individual",IF(UPPER(MID(E168,4,1))="H","HUF",IF(UPPER(MID(E168,4,1))="C","Company",IF(UPPER(MID(E168,4,1))="F","Firm",IF(UPPER(MID(E168,4,1))="L","LLP",IF(UPPER(MID(E168,4,1))="T","Trust",IF(UPPER(MID(E168,4,1))="A","AOP","")))))))))</f>
      </c>
      <c r="H168" s="8"/>
      <c r="I168" s="7">
        <f>IF($D168="","",IF(H168="","",IF(F168="Y",SUMPRODUCT(('Rate Lookup'!$A$1:$A$37=H168)*'Rate Lookup'!$D$1:$D$37),IF(OR(G168="Individual",G168="HUF"),SUMPRODUCT(('Rate Lookup'!$A$1:$A$37=H168)*'Rate Lookup'!$B$1:$B$37),SUMPRODUCT(('Rate Lookup'!$A$1:$A$37=H168)*'Rate Lookup'!$C$1:$C$37)))))</f>
      </c>
      <c r="J168" s="8"/>
      <c r="K168" s="8"/>
      <c r="L168" s="7">
        <f>IF($D168="","",ROUND(K168*I168/100,0))</f>
      </c>
      <c r="M168" s="7">
        <f>IF($D168="","",0)</f>
      </c>
      <c r="N168" s="7">
        <f>IF($D168="","",0)</f>
      </c>
      <c r="O168" s="7">
        <f>IF($D168="","",IF(OR(L168=0,J168="",IFERROR(INDEX('Challan Master'!$D$4:$D$207,MATCH($B168,'Challan Master'!$S$4:$S$207,0)),"")="",IFERROR(INDEX('Challan Master'!$D$4:$D$207,MATCH($B168,'Challan Master'!$S$4:$S$207,0)),"")&lt;=0),0,IF(IFERROR(INDEX('Challan Master'!$D$4:$D$207,MATCH($B168,'Challan Master'!$S$4:$S$207,0)),"")&lt;=DATE(YEAR(J168),MONTH(J168)+1,7),0,ROUND(L168*0.015*((YEAR(IFERROR(INDEX('Challan Master'!$D$4:$D$207,MATCH($B168,'Challan Master'!$S$4:$S$207,0)),""))-YEAR(J168))*12+(MONTH(IFERROR(INDEX('Challan Master'!$D$4:$D$207,MATCH($B168,'Challan Master'!$S$4:$S$207,0)),""))-MONTH(J168))+1),0))))</f>
      </c>
      <c r="P168" s="7">
        <f>IF($D168="","",0)</f>
      </c>
      <c r="Q168" s="8"/>
      <c r="R168" s="8"/>
      <c r="S168" s="8"/>
      <c r="T168" s="8"/>
      <c r="U168" s="8"/>
      <c r="V168" s="7">
        <f>IF($B168="","",IFERROR(INDEX('Challan Master'!$AA$4:$AA$207,MATCH($B168,'Challan Master'!$S$4:$S$207,0)),""))</f>
      </c>
    </row>
    <row r="169" spans="1:22" x14ac:dyDescent="0.25">
      <c r="A169" s="7">
        <f>IF($D169="","",COUNTIF($D$4:$D169,"&lt;&gt;"))</f>
      </c>
      <c r="B169" s="8"/>
      <c r="C169" s="7">
        <f>IF($B169="","","BSR "&amp;IFERROR(INDEX('Challan Master'!$B$4:$B$207,MATCH($B169,'Challan Master'!$S$4:$S$207,0)),"")&amp;" | Serial "&amp;IFERROR(INDEX('Challan Master'!$C$4:$C$207,MATCH($B169,'Challan Master'!$S$4:$S$207,0)),"")&amp;" | Deposit "&amp;TEXT(IFERROR(INDEX('Challan Master'!$D$4:$D$207,MATCH($B169,'Challan Master'!$S$4:$S$207,0)),""),"dd-mm-yyyy")&amp;" | Minor Head "&amp;IFERROR(INDEX('Challan Master'!$E$4:$E$207,MATCH($B169,'Challan Master'!$S$4:$S$207,0)),"")&amp;" | Tax ₹"&amp;TEXT(IFERROR(INDEX('Challan Master'!$G$4:$G$207,MATCH($B169,'Challan Master'!$S$4:$S$207,0)),""),"#,##0")&amp;" | Section "&amp;IFERROR(INDEX('Challan Master'!$F$4:$F$207,MATCH($B169,'Challan Master'!$S$4:$S$207,0)),""))</f>
      </c>
      <c r="D169" s="8"/>
      <c r="E169" s="8"/>
      <c r="F169" s="7">
        <f>IF($D169="","",IF(AND(LEN(TRIM(UPPER(E169)))=10,CODE(MID(TRIM(UPPER(E169)),1,1))&gt;=65,CODE(MID(TRIM(UPPER(E169)),1,1))&lt;=90,CODE(MID(TRIM(UPPER(E169)),2,1))&gt;=65,CODE(MID(TRIM(UPPER(E169)),2,1))&lt;=90,CODE(MID(TRIM(UPPER(E169)),3,1))&gt;=65,CODE(MID(TRIM(UPPER(E169)),3,1))&lt;=90,CODE(MID(TRIM(UPPER(E169)),4,1))&gt;=65,CODE(MID(TRIM(UPPER(E169)),4,1))&lt;=90,CODE(MID(TRIM(UPPER(E169)),5,1))&gt;=65,CODE(MID(TRIM(UPPER(E169)),5,1))&lt;=90,CODE(MID(TRIM(UPPER(E169)),10,1))&gt;=65,CODE(MID(TRIM(UPPER(E169)),10,1))&lt;=90,CODE(MID(TRIM(UPPER(E169)),6,1))&gt;=48,CODE(MID(TRIM(UPPER(E169)),6,1))&lt;=57,CODE(MID(TRIM(UPPER(E169)),7,1))&gt;=48,CODE(MID(TRIM(UPPER(E169)),7,1))&lt;=57,CODE(MID(TRIM(UPPER(E169)),8,1))&gt;=48,CODE(MID(TRIM(UPPER(E169)),8,1))&lt;=57,CODE(MID(TRIM(UPPER(E169)),9,1))&gt;=48,CODE(MID(TRIM(UPPER(E169)),9,1))&lt;=57),"N","Y"))</f>
      </c>
      <c r="G169" s="7">
        <f>IF($D169="","",IF(LEN(E169)&lt;4,"",IF(UPPER(MID(E169,4,1))="P","Individual",IF(UPPER(MID(E169,4,1))="H","HUF",IF(UPPER(MID(E169,4,1))="C","Company",IF(UPPER(MID(E169,4,1))="F","Firm",IF(UPPER(MID(E169,4,1))="L","LLP",IF(UPPER(MID(E169,4,1))="T","Trust",IF(UPPER(MID(E169,4,1))="A","AOP","")))))))))</f>
      </c>
      <c r="H169" s="8"/>
      <c r="I169" s="7">
        <f>IF($D169="","",IF(H169="","",IF(F169="Y",SUMPRODUCT(('Rate Lookup'!$A$1:$A$37=H169)*'Rate Lookup'!$D$1:$D$37),IF(OR(G169="Individual",G169="HUF"),SUMPRODUCT(('Rate Lookup'!$A$1:$A$37=H169)*'Rate Lookup'!$B$1:$B$37),SUMPRODUCT(('Rate Lookup'!$A$1:$A$37=H169)*'Rate Lookup'!$C$1:$C$37)))))</f>
      </c>
      <c r="J169" s="8"/>
      <c r="K169" s="8"/>
      <c r="L169" s="7">
        <f>IF($D169="","",ROUND(K169*I169/100,0))</f>
      </c>
      <c r="M169" s="7">
        <f>IF($D169="","",0)</f>
      </c>
      <c r="N169" s="7">
        <f>IF($D169="","",0)</f>
      </c>
      <c r="O169" s="7">
        <f>IF($D169="","",IF(OR(L169=0,J169="",IFERROR(INDEX('Challan Master'!$D$4:$D$207,MATCH($B169,'Challan Master'!$S$4:$S$207,0)),"")="",IFERROR(INDEX('Challan Master'!$D$4:$D$207,MATCH($B169,'Challan Master'!$S$4:$S$207,0)),"")&lt;=0),0,IF(IFERROR(INDEX('Challan Master'!$D$4:$D$207,MATCH($B169,'Challan Master'!$S$4:$S$207,0)),"")&lt;=DATE(YEAR(J169),MONTH(J169)+1,7),0,ROUND(L169*0.015*((YEAR(IFERROR(INDEX('Challan Master'!$D$4:$D$207,MATCH($B169,'Challan Master'!$S$4:$S$207,0)),""))-YEAR(J169))*12+(MONTH(IFERROR(INDEX('Challan Master'!$D$4:$D$207,MATCH($B169,'Challan Master'!$S$4:$S$207,0)),""))-MONTH(J169))+1),0))))</f>
      </c>
      <c r="P169" s="7">
        <f>IF($D169="","",0)</f>
      </c>
      <c r="Q169" s="8"/>
      <c r="R169" s="8"/>
      <c r="S169" s="8"/>
      <c r="T169" s="8"/>
      <c r="U169" s="8"/>
      <c r="V169" s="7">
        <f>IF($B169="","",IFERROR(INDEX('Challan Master'!$AA$4:$AA$207,MATCH($B169,'Challan Master'!$S$4:$S$207,0)),""))</f>
      </c>
    </row>
    <row r="170" spans="1:22" x14ac:dyDescent="0.25">
      <c r="A170" s="7">
        <f>IF($D170="","",COUNTIF($D$4:$D170,"&lt;&gt;"))</f>
      </c>
      <c r="B170" s="8"/>
      <c r="C170" s="7">
        <f>IF($B170="","","BSR "&amp;IFERROR(INDEX('Challan Master'!$B$4:$B$207,MATCH($B170,'Challan Master'!$S$4:$S$207,0)),"")&amp;" | Serial "&amp;IFERROR(INDEX('Challan Master'!$C$4:$C$207,MATCH($B170,'Challan Master'!$S$4:$S$207,0)),"")&amp;" | Deposit "&amp;TEXT(IFERROR(INDEX('Challan Master'!$D$4:$D$207,MATCH($B170,'Challan Master'!$S$4:$S$207,0)),""),"dd-mm-yyyy")&amp;" | Minor Head "&amp;IFERROR(INDEX('Challan Master'!$E$4:$E$207,MATCH($B170,'Challan Master'!$S$4:$S$207,0)),"")&amp;" | Tax ₹"&amp;TEXT(IFERROR(INDEX('Challan Master'!$G$4:$G$207,MATCH($B170,'Challan Master'!$S$4:$S$207,0)),""),"#,##0")&amp;" | Section "&amp;IFERROR(INDEX('Challan Master'!$F$4:$F$207,MATCH($B170,'Challan Master'!$S$4:$S$207,0)),""))</f>
      </c>
      <c r="D170" s="8"/>
      <c r="E170" s="8"/>
      <c r="F170" s="7">
        <f>IF($D170="","",IF(AND(LEN(TRIM(UPPER(E170)))=10,CODE(MID(TRIM(UPPER(E170)),1,1))&gt;=65,CODE(MID(TRIM(UPPER(E170)),1,1))&lt;=90,CODE(MID(TRIM(UPPER(E170)),2,1))&gt;=65,CODE(MID(TRIM(UPPER(E170)),2,1))&lt;=90,CODE(MID(TRIM(UPPER(E170)),3,1))&gt;=65,CODE(MID(TRIM(UPPER(E170)),3,1))&lt;=90,CODE(MID(TRIM(UPPER(E170)),4,1))&gt;=65,CODE(MID(TRIM(UPPER(E170)),4,1))&lt;=90,CODE(MID(TRIM(UPPER(E170)),5,1))&gt;=65,CODE(MID(TRIM(UPPER(E170)),5,1))&lt;=90,CODE(MID(TRIM(UPPER(E170)),10,1))&gt;=65,CODE(MID(TRIM(UPPER(E170)),10,1))&lt;=90,CODE(MID(TRIM(UPPER(E170)),6,1))&gt;=48,CODE(MID(TRIM(UPPER(E170)),6,1))&lt;=57,CODE(MID(TRIM(UPPER(E170)),7,1))&gt;=48,CODE(MID(TRIM(UPPER(E170)),7,1))&lt;=57,CODE(MID(TRIM(UPPER(E170)),8,1))&gt;=48,CODE(MID(TRIM(UPPER(E170)),8,1))&lt;=57,CODE(MID(TRIM(UPPER(E170)),9,1))&gt;=48,CODE(MID(TRIM(UPPER(E170)),9,1))&lt;=57),"N","Y"))</f>
      </c>
      <c r="G170" s="7">
        <f>IF($D170="","",IF(LEN(E170)&lt;4,"",IF(UPPER(MID(E170,4,1))="P","Individual",IF(UPPER(MID(E170,4,1))="H","HUF",IF(UPPER(MID(E170,4,1))="C","Company",IF(UPPER(MID(E170,4,1))="F","Firm",IF(UPPER(MID(E170,4,1))="L","LLP",IF(UPPER(MID(E170,4,1))="T","Trust",IF(UPPER(MID(E170,4,1))="A","AOP","")))))))))</f>
      </c>
      <c r="H170" s="8"/>
      <c r="I170" s="7">
        <f>IF($D170="","",IF(H170="","",IF(F170="Y",SUMPRODUCT(('Rate Lookup'!$A$1:$A$37=H170)*'Rate Lookup'!$D$1:$D$37),IF(OR(G170="Individual",G170="HUF"),SUMPRODUCT(('Rate Lookup'!$A$1:$A$37=H170)*'Rate Lookup'!$B$1:$B$37),SUMPRODUCT(('Rate Lookup'!$A$1:$A$37=H170)*'Rate Lookup'!$C$1:$C$37)))))</f>
      </c>
      <c r="J170" s="8"/>
      <c r="K170" s="8"/>
      <c r="L170" s="7">
        <f>IF($D170="","",ROUND(K170*I170/100,0))</f>
      </c>
      <c r="M170" s="7">
        <f>IF($D170="","",0)</f>
      </c>
      <c r="N170" s="7">
        <f>IF($D170="","",0)</f>
      </c>
      <c r="O170" s="7">
        <f>IF($D170="","",IF(OR(L170=0,J170="",IFERROR(INDEX('Challan Master'!$D$4:$D$207,MATCH($B170,'Challan Master'!$S$4:$S$207,0)),"")="",IFERROR(INDEX('Challan Master'!$D$4:$D$207,MATCH($B170,'Challan Master'!$S$4:$S$207,0)),"")&lt;=0),0,IF(IFERROR(INDEX('Challan Master'!$D$4:$D$207,MATCH($B170,'Challan Master'!$S$4:$S$207,0)),"")&lt;=DATE(YEAR(J170),MONTH(J170)+1,7),0,ROUND(L170*0.015*((YEAR(IFERROR(INDEX('Challan Master'!$D$4:$D$207,MATCH($B170,'Challan Master'!$S$4:$S$207,0)),""))-YEAR(J170))*12+(MONTH(IFERROR(INDEX('Challan Master'!$D$4:$D$207,MATCH($B170,'Challan Master'!$S$4:$S$207,0)),""))-MONTH(J170))+1),0))))</f>
      </c>
      <c r="P170" s="7">
        <f>IF($D170="","",0)</f>
      </c>
      <c r="Q170" s="8"/>
      <c r="R170" s="8"/>
      <c r="S170" s="8"/>
      <c r="T170" s="8"/>
      <c r="U170" s="8"/>
      <c r="V170" s="7">
        <f>IF($B170="","",IFERROR(INDEX('Challan Master'!$AA$4:$AA$207,MATCH($B170,'Challan Master'!$S$4:$S$207,0)),""))</f>
      </c>
    </row>
    <row r="171" spans="1:22" x14ac:dyDescent="0.25">
      <c r="A171" s="7">
        <f>IF($D171="","",COUNTIF($D$4:$D171,"&lt;&gt;"))</f>
      </c>
      <c r="B171" s="8"/>
      <c r="C171" s="7">
        <f>IF($B171="","","BSR "&amp;IFERROR(INDEX('Challan Master'!$B$4:$B$207,MATCH($B171,'Challan Master'!$S$4:$S$207,0)),"")&amp;" | Serial "&amp;IFERROR(INDEX('Challan Master'!$C$4:$C$207,MATCH($B171,'Challan Master'!$S$4:$S$207,0)),"")&amp;" | Deposit "&amp;TEXT(IFERROR(INDEX('Challan Master'!$D$4:$D$207,MATCH($B171,'Challan Master'!$S$4:$S$207,0)),""),"dd-mm-yyyy")&amp;" | Minor Head "&amp;IFERROR(INDEX('Challan Master'!$E$4:$E$207,MATCH($B171,'Challan Master'!$S$4:$S$207,0)),"")&amp;" | Tax ₹"&amp;TEXT(IFERROR(INDEX('Challan Master'!$G$4:$G$207,MATCH($B171,'Challan Master'!$S$4:$S$207,0)),""),"#,##0")&amp;" | Section "&amp;IFERROR(INDEX('Challan Master'!$F$4:$F$207,MATCH($B171,'Challan Master'!$S$4:$S$207,0)),""))</f>
      </c>
      <c r="D171" s="8"/>
      <c r="E171" s="8"/>
      <c r="F171" s="7">
        <f>IF($D171="","",IF(AND(LEN(TRIM(UPPER(E171)))=10,CODE(MID(TRIM(UPPER(E171)),1,1))&gt;=65,CODE(MID(TRIM(UPPER(E171)),1,1))&lt;=90,CODE(MID(TRIM(UPPER(E171)),2,1))&gt;=65,CODE(MID(TRIM(UPPER(E171)),2,1))&lt;=90,CODE(MID(TRIM(UPPER(E171)),3,1))&gt;=65,CODE(MID(TRIM(UPPER(E171)),3,1))&lt;=90,CODE(MID(TRIM(UPPER(E171)),4,1))&gt;=65,CODE(MID(TRIM(UPPER(E171)),4,1))&lt;=90,CODE(MID(TRIM(UPPER(E171)),5,1))&gt;=65,CODE(MID(TRIM(UPPER(E171)),5,1))&lt;=90,CODE(MID(TRIM(UPPER(E171)),10,1))&gt;=65,CODE(MID(TRIM(UPPER(E171)),10,1))&lt;=90,CODE(MID(TRIM(UPPER(E171)),6,1))&gt;=48,CODE(MID(TRIM(UPPER(E171)),6,1))&lt;=57,CODE(MID(TRIM(UPPER(E171)),7,1))&gt;=48,CODE(MID(TRIM(UPPER(E171)),7,1))&lt;=57,CODE(MID(TRIM(UPPER(E171)),8,1))&gt;=48,CODE(MID(TRIM(UPPER(E171)),8,1))&lt;=57,CODE(MID(TRIM(UPPER(E171)),9,1))&gt;=48,CODE(MID(TRIM(UPPER(E171)),9,1))&lt;=57),"N","Y"))</f>
      </c>
      <c r="G171" s="7">
        <f>IF($D171="","",IF(LEN(E171)&lt;4,"",IF(UPPER(MID(E171,4,1))="P","Individual",IF(UPPER(MID(E171,4,1))="H","HUF",IF(UPPER(MID(E171,4,1))="C","Company",IF(UPPER(MID(E171,4,1))="F","Firm",IF(UPPER(MID(E171,4,1))="L","LLP",IF(UPPER(MID(E171,4,1))="T","Trust",IF(UPPER(MID(E171,4,1))="A","AOP","")))))))))</f>
      </c>
      <c r="H171" s="8"/>
      <c r="I171" s="7">
        <f>IF($D171="","",IF(H171="","",IF(F171="Y",SUMPRODUCT(('Rate Lookup'!$A$1:$A$37=H171)*'Rate Lookup'!$D$1:$D$37),IF(OR(G171="Individual",G171="HUF"),SUMPRODUCT(('Rate Lookup'!$A$1:$A$37=H171)*'Rate Lookup'!$B$1:$B$37),SUMPRODUCT(('Rate Lookup'!$A$1:$A$37=H171)*'Rate Lookup'!$C$1:$C$37)))))</f>
      </c>
      <c r="J171" s="8"/>
      <c r="K171" s="8"/>
      <c r="L171" s="7">
        <f>IF($D171="","",ROUND(K171*I171/100,0))</f>
      </c>
      <c r="M171" s="7">
        <f>IF($D171="","",0)</f>
      </c>
      <c r="N171" s="7">
        <f>IF($D171="","",0)</f>
      </c>
      <c r="O171" s="7">
        <f>IF($D171="","",IF(OR(L171=0,J171="",IFERROR(INDEX('Challan Master'!$D$4:$D$207,MATCH($B171,'Challan Master'!$S$4:$S$207,0)),"")="",IFERROR(INDEX('Challan Master'!$D$4:$D$207,MATCH($B171,'Challan Master'!$S$4:$S$207,0)),"")&lt;=0),0,IF(IFERROR(INDEX('Challan Master'!$D$4:$D$207,MATCH($B171,'Challan Master'!$S$4:$S$207,0)),"")&lt;=DATE(YEAR(J171),MONTH(J171)+1,7),0,ROUND(L171*0.015*((YEAR(IFERROR(INDEX('Challan Master'!$D$4:$D$207,MATCH($B171,'Challan Master'!$S$4:$S$207,0)),""))-YEAR(J171))*12+(MONTH(IFERROR(INDEX('Challan Master'!$D$4:$D$207,MATCH($B171,'Challan Master'!$S$4:$S$207,0)),""))-MONTH(J171))+1),0))))</f>
      </c>
      <c r="P171" s="7">
        <f>IF($D171="","",0)</f>
      </c>
      <c r="Q171" s="8"/>
      <c r="R171" s="8"/>
      <c r="S171" s="8"/>
      <c r="T171" s="8"/>
      <c r="U171" s="8"/>
      <c r="V171" s="7">
        <f>IF($B171="","",IFERROR(INDEX('Challan Master'!$AA$4:$AA$207,MATCH($B171,'Challan Master'!$S$4:$S$207,0)),""))</f>
      </c>
    </row>
    <row r="172" spans="1:22" x14ac:dyDescent="0.25">
      <c r="A172" s="7">
        <f>IF($D172="","",COUNTIF($D$4:$D172,"&lt;&gt;"))</f>
      </c>
      <c r="B172" s="8"/>
      <c r="C172" s="7">
        <f>IF($B172="","","BSR "&amp;IFERROR(INDEX('Challan Master'!$B$4:$B$207,MATCH($B172,'Challan Master'!$S$4:$S$207,0)),"")&amp;" | Serial "&amp;IFERROR(INDEX('Challan Master'!$C$4:$C$207,MATCH($B172,'Challan Master'!$S$4:$S$207,0)),"")&amp;" | Deposit "&amp;TEXT(IFERROR(INDEX('Challan Master'!$D$4:$D$207,MATCH($B172,'Challan Master'!$S$4:$S$207,0)),""),"dd-mm-yyyy")&amp;" | Minor Head "&amp;IFERROR(INDEX('Challan Master'!$E$4:$E$207,MATCH($B172,'Challan Master'!$S$4:$S$207,0)),"")&amp;" | Tax ₹"&amp;TEXT(IFERROR(INDEX('Challan Master'!$G$4:$G$207,MATCH($B172,'Challan Master'!$S$4:$S$207,0)),""),"#,##0")&amp;" | Section "&amp;IFERROR(INDEX('Challan Master'!$F$4:$F$207,MATCH($B172,'Challan Master'!$S$4:$S$207,0)),""))</f>
      </c>
      <c r="D172" s="8"/>
      <c r="E172" s="8"/>
      <c r="F172" s="7">
        <f>IF($D172="","",IF(AND(LEN(TRIM(UPPER(E172)))=10,CODE(MID(TRIM(UPPER(E172)),1,1))&gt;=65,CODE(MID(TRIM(UPPER(E172)),1,1))&lt;=90,CODE(MID(TRIM(UPPER(E172)),2,1))&gt;=65,CODE(MID(TRIM(UPPER(E172)),2,1))&lt;=90,CODE(MID(TRIM(UPPER(E172)),3,1))&gt;=65,CODE(MID(TRIM(UPPER(E172)),3,1))&lt;=90,CODE(MID(TRIM(UPPER(E172)),4,1))&gt;=65,CODE(MID(TRIM(UPPER(E172)),4,1))&lt;=90,CODE(MID(TRIM(UPPER(E172)),5,1))&gt;=65,CODE(MID(TRIM(UPPER(E172)),5,1))&lt;=90,CODE(MID(TRIM(UPPER(E172)),10,1))&gt;=65,CODE(MID(TRIM(UPPER(E172)),10,1))&lt;=90,CODE(MID(TRIM(UPPER(E172)),6,1))&gt;=48,CODE(MID(TRIM(UPPER(E172)),6,1))&lt;=57,CODE(MID(TRIM(UPPER(E172)),7,1))&gt;=48,CODE(MID(TRIM(UPPER(E172)),7,1))&lt;=57,CODE(MID(TRIM(UPPER(E172)),8,1))&gt;=48,CODE(MID(TRIM(UPPER(E172)),8,1))&lt;=57,CODE(MID(TRIM(UPPER(E172)),9,1))&gt;=48,CODE(MID(TRIM(UPPER(E172)),9,1))&lt;=57),"N","Y"))</f>
      </c>
      <c r="G172" s="7">
        <f>IF($D172="","",IF(LEN(E172)&lt;4,"",IF(UPPER(MID(E172,4,1))="P","Individual",IF(UPPER(MID(E172,4,1))="H","HUF",IF(UPPER(MID(E172,4,1))="C","Company",IF(UPPER(MID(E172,4,1))="F","Firm",IF(UPPER(MID(E172,4,1))="L","LLP",IF(UPPER(MID(E172,4,1))="T","Trust",IF(UPPER(MID(E172,4,1))="A","AOP","")))))))))</f>
      </c>
      <c r="H172" s="8"/>
      <c r="I172" s="7">
        <f>IF($D172="","",IF(H172="","",IF(F172="Y",SUMPRODUCT(('Rate Lookup'!$A$1:$A$37=H172)*'Rate Lookup'!$D$1:$D$37),IF(OR(G172="Individual",G172="HUF"),SUMPRODUCT(('Rate Lookup'!$A$1:$A$37=H172)*'Rate Lookup'!$B$1:$B$37),SUMPRODUCT(('Rate Lookup'!$A$1:$A$37=H172)*'Rate Lookup'!$C$1:$C$37)))))</f>
      </c>
      <c r="J172" s="8"/>
      <c r="K172" s="8"/>
      <c r="L172" s="7">
        <f>IF($D172="","",ROUND(K172*I172/100,0))</f>
      </c>
      <c r="M172" s="7">
        <f>IF($D172="","",0)</f>
      </c>
      <c r="N172" s="7">
        <f>IF($D172="","",0)</f>
      </c>
      <c r="O172" s="7">
        <f>IF($D172="","",IF(OR(L172=0,J172="",IFERROR(INDEX('Challan Master'!$D$4:$D$207,MATCH($B172,'Challan Master'!$S$4:$S$207,0)),"")="",IFERROR(INDEX('Challan Master'!$D$4:$D$207,MATCH($B172,'Challan Master'!$S$4:$S$207,0)),"")&lt;=0),0,IF(IFERROR(INDEX('Challan Master'!$D$4:$D$207,MATCH($B172,'Challan Master'!$S$4:$S$207,0)),"")&lt;=DATE(YEAR(J172),MONTH(J172)+1,7),0,ROUND(L172*0.015*((YEAR(IFERROR(INDEX('Challan Master'!$D$4:$D$207,MATCH($B172,'Challan Master'!$S$4:$S$207,0)),""))-YEAR(J172))*12+(MONTH(IFERROR(INDEX('Challan Master'!$D$4:$D$207,MATCH($B172,'Challan Master'!$S$4:$S$207,0)),""))-MONTH(J172))+1),0))))</f>
      </c>
      <c r="P172" s="7">
        <f>IF($D172="","",0)</f>
      </c>
      <c r="Q172" s="8"/>
      <c r="R172" s="8"/>
      <c r="S172" s="8"/>
      <c r="T172" s="8"/>
      <c r="U172" s="8"/>
      <c r="V172" s="7">
        <f>IF($B172="","",IFERROR(INDEX('Challan Master'!$AA$4:$AA$207,MATCH($B172,'Challan Master'!$S$4:$S$207,0)),""))</f>
      </c>
    </row>
    <row r="173" spans="1:22" x14ac:dyDescent="0.25">
      <c r="A173" s="7">
        <f>IF($D173="","",COUNTIF($D$4:$D173,"&lt;&gt;"))</f>
      </c>
      <c r="B173" s="8"/>
      <c r="C173" s="7">
        <f>IF($B173="","","BSR "&amp;IFERROR(INDEX('Challan Master'!$B$4:$B$207,MATCH($B173,'Challan Master'!$S$4:$S$207,0)),"")&amp;" | Serial "&amp;IFERROR(INDEX('Challan Master'!$C$4:$C$207,MATCH($B173,'Challan Master'!$S$4:$S$207,0)),"")&amp;" | Deposit "&amp;TEXT(IFERROR(INDEX('Challan Master'!$D$4:$D$207,MATCH($B173,'Challan Master'!$S$4:$S$207,0)),""),"dd-mm-yyyy")&amp;" | Minor Head "&amp;IFERROR(INDEX('Challan Master'!$E$4:$E$207,MATCH($B173,'Challan Master'!$S$4:$S$207,0)),"")&amp;" | Tax ₹"&amp;TEXT(IFERROR(INDEX('Challan Master'!$G$4:$G$207,MATCH($B173,'Challan Master'!$S$4:$S$207,0)),""),"#,##0")&amp;" | Section "&amp;IFERROR(INDEX('Challan Master'!$F$4:$F$207,MATCH($B173,'Challan Master'!$S$4:$S$207,0)),""))</f>
      </c>
      <c r="D173" s="8"/>
      <c r="E173" s="8"/>
      <c r="F173" s="7">
        <f>IF($D173="","",IF(AND(LEN(TRIM(UPPER(E173)))=10,CODE(MID(TRIM(UPPER(E173)),1,1))&gt;=65,CODE(MID(TRIM(UPPER(E173)),1,1))&lt;=90,CODE(MID(TRIM(UPPER(E173)),2,1))&gt;=65,CODE(MID(TRIM(UPPER(E173)),2,1))&lt;=90,CODE(MID(TRIM(UPPER(E173)),3,1))&gt;=65,CODE(MID(TRIM(UPPER(E173)),3,1))&lt;=90,CODE(MID(TRIM(UPPER(E173)),4,1))&gt;=65,CODE(MID(TRIM(UPPER(E173)),4,1))&lt;=90,CODE(MID(TRIM(UPPER(E173)),5,1))&gt;=65,CODE(MID(TRIM(UPPER(E173)),5,1))&lt;=90,CODE(MID(TRIM(UPPER(E173)),10,1))&gt;=65,CODE(MID(TRIM(UPPER(E173)),10,1))&lt;=90,CODE(MID(TRIM(UPPER(E173)),6,1))&gt;=48,CODE(MID(TRIM(UPPER(E173)),6,1))&lt;=57,CODE(MID(TRIM(UPPER(E173)),7,1))&gt;=48,CODE(MID(TRIM(UPPER(E173)),7,1))&lt;=57,CODE(MID(TRIM(UPPER(E173)),8,1))&gt;=48,CODE(MID(TRIM(UPPER(E173)),8,1))&lt;=57,CODE(MID(TRIM(UPPER(E173)),9,1))&gt;=48,CODE(MID(TRIM(UPPER(E173)),9,1))&lt;=57),"N","Y"))</f>
      </c>
      <c r="G173" s="7">
        <f>IF($D173="","",IF(LEN(E173)&lt;4,"",IF(UPPER(MID(E173,4,1))="P","Individual",IF(UPPER(MID(E173,4,1))="H","HUF",IF(UPPER(MID(E173,4,1))="C","Company",IF(UPPER(MID(E173,4,1))="F","Firm",IF(UPPER(MID(E173,4,1))="L","LLP",IF(UPPER(MID(E173,4,1))="T","Trust",IF(UPPER(MID(E173,4,1))="A","AOP","")))))))))</f>
      </c>
      <c r="H173" s="8"/>
      <c r="I173" s="7">
        <f>IF($D173="","",IF(H173="","",IF(F173="Y",SUMPRODUCT(('Rate Lookup'!$A$1:$A$37=H173)*'Rate Lookup'!$D$1:$D$37),IF(OR(G173="Individual",G173="HUF"),SUMPRODUCT(('Rate Lookup'!$A$1:$A$37=H173)*'Rate Lookup'!$B$1:$B$37),SUMPRODUCT(('Rate Lookup'!$A$1:$A$37=H173)*'Rate Lookup'!$C$1:$C$37)))))</f>
      </c>
      <c r="J173" s="8"/>
      <c r="K173" s="8"/>
      <c r="L173" s="7">
        <f>IF($D173="","",ROUND(K173*I173/100,0))</f>
      </c>
      <c r="M173" s="7">
        <f>IF($D173="","",0)</f>
      </c>
      <c r="N173" s="7">
        <f>IF($D173="","",0)</f>
      </c>
      <c r="O173" s="7">
        <f>IF($D173="","",IF(OR(L173=0,J173="",IFERROR(INDEX('Challan Master'!$D$4:$D$207,MATCH($B173,'Challan Master'!$S$4:$S$207,0)),"")="",IFERROR(INDEX('Challan Master'!$D$4:$D$207,MATCH($B173,'Challan Master'!$S$4:$S$207,0)),"")&lt;=0),0,IF(IFERROR(INDEX('Challan Master'!$D$4:$D$207,MATCH($B173,'Challan Master'!$S$4:$S$207,0)),"")&lt;=DATE(YEAR(J173),MONTH(J173)+1,7),0,ROUND(L173*0.015*((YEAR(IFERROR(INDEX('Challan Master'!$D$4:$D$207,MATCH($B173,'Challan Master'!$S$4:$S$207,0)),""))-YEAR(J173))*12+(MONTH(IFERROR(INDEX('Challan Master'!$D$4:$D$207,MATCH($B173,'Challan Master'!$S$4:$S$207,0)),""))-MONTH(J173))+1),0))))</f>
      </c>
      <c r="P173" s="7">
        <f>IF($D173="","",0)</f>
      </c>
      <c r="Q173" s="8"/>
      <c r="R173" s="8"/>
      <c r="S173" s="8"/>
      <c r="T173" s="8"/>
      <c r="U173" s="8"/>
      <c r="V173" s="7">
        <f>IF($B173="","",IFERROR(INDEX('Challan Master'!$AA$4:$AA$207,MATCH($B173,'Challan Master'!$S$4:$S$207,0)),""))</f>
      </c>
    </row>
    <row r="174" spans="1:22" x14ac:dyDescent="0.25">
      <c r="A174" s="7">
        <f>IF($D174="","",COUNTIF($D$4:$D174,"&lt;&gt;"))</f>
      </c>
      <c r="B174" s="8"/>
      <c r="C174" s="7">
        <f>IF($B174="","","BSR "&amp;IFERROR(INDEX('Challan Master'!$B$4:$B$207,MATCH($B174,'Challan Master'!$S$4:$S$207,0)),"")&amp;" | Serial "&amp;IFERROR(INDEX('Challan Master'!$C$4:$C$207,MATCH($B174,'Challan Master'!$S$4:$S$207,0)),"")&amp;" | Deposit "&amp;TEXT(IFERROR(INDEX('Challan Master'!$D$4:$D$207,MATCH($B174,'Challan Master'!$S$4:$S$207,0)),""),"dd-mm-yyyy")&amp;" | Minor Head "&amp;IFERROR(INDEX('Challan Master'!$E$4:$E$207,MATCH($B174,'Challan Master'!$S$4:$S$207,0)),"")&amp;" | Tax ₹"&amp;TEXT(IFERROR(INDEX('Challan Master'!$G$4:$G$207,MATCH($B174,'Challan Master'!$S$4:$S$207,0)),""),"#,##0")&amp;" | Section "&amp;IFERROR(INDEX('Challan Master'!$F$4:$F$207,MATCH($B174,'Challan Master'!$S$4:$S$207,0)),""))</f>
      </c>
      <c r="D174" s="8"/>
      <c r="E174" s="8"/>
      <c r="F174" s="7">
        <f>IF($D174="","",IF(AND(LEN(TRIM(UPPER(E174)))=10,CODE(MID(TRIM(UPPER(E174)),1,1))&gt;=65,CODE(MID(TRIM(UPPER(E174)),1,1))&lt;=90,CODE(MID(TRIM(UPPER(E174)),2,1))&gt;=65,CODE(MID(TRIM(UPPER(E174)),2,1))&lt;=90,CODE(MID(TRIM(UPPER(E174)),3,1))&gt;=65,CODE(MID(TRIM(UPPER(E174)),3,1))&lt;=90,CODE(MID(TRIM(UPPER(E174)),4,1))&gt;=65,CODE(MID(TRIM(UPPER(E174)),4,1))&lt;=90,CODE(MID(TRIM(UPPER(E174)),5,1))&gt;=65,CODE(MID(TRIM(UPPER(E174)),5,1))&lt;=90,CODE(MID(TRIM(UPPER(E174)),10,1))&gt;=65,CODE(MID(TRIM(UPPER(E174)),10,1))&lt;=90,CODE(MID(TRIM(UPPER(E174)),6,1))&gt;=48,CODE(MID(TRIM(UPPER(E174)),6,1))&lt;=57,CODE(MID(TRIM(UPPER(E174)),7,1))&gt;=48,CODE(MID(TRIM(UPPER(E174)),7,1))&lt;=57,CODE(MID(TRIM(UPPER(E174)),8,1))&gt;=48,CODE(MID(TRIM(UPPER(E174)),8,1))&lt;=57,CODE(MID(TRIM(UPPER(E174)),9,1))&gt;=48,CODE(MID(TRIM(UPPER(E174)),9,1))&lt;=57),"N","Y"))</f>
      </c>
      <c r="G174" s="7">
        <f>IF($D174="","",IF(LEN(E174)&lt;4,"",IF(UPPER(MID(E174,4,1))="P","Individual",IF(UPPER(MID(E174,4,1))="H","HUF",IF(UPPER(MID(E174,4,1))="C","Company",IF(UPPER(MID(E174,4,1))="F","Firm",IF(UPPER(MID(E174,4,1))="L","LLP",IF(UPPER(MID(E174,4,1))="T","Trust",IF(UPPER(MID(E174,4,1))="A","AOP","")))))))))</f>
      </c>
      <c r="H174" s="8"/>
      <c r="I174" s="7">
        <f>IF($D174="","",IF(H174="","",IF(F174="Y",SUMPRODUCT(('Rate Lookup'!$A$1:$A$37=H174)*'Rate Lookup'!$D$1:$D$37),IF(OR(G174="Individual",G174="HUF"),SUMPRODUCT(('Rate Lookup'!$A$1:$A$37=H174)*'Rate Lookup'!$B$1:$B$37),SUMPRODUCT(('Rate Lookup'!$A$1:$A$37=H174)*'Rate Lookup'!$C$1:$C$37)))))</f>
      </c>
      <c r="J174" s="8"/>
      <c r="K174" s="8"/>
      <c r="L174" s="7">
        <f>IF($D174="","",ROUND(K174*I174/100,0))</f>
      </c>
      <c r="M174" s="7">
        <f>IF($D174="","",0)</f>
      </c>
      <c r="N174" s="7">
        <f>IF($D174="","",0)</f>
      </c>
      <c r="O174" s="7">
        <f>IF($D174="","",IF(OR(L174=0,J174="",IFERROR(INDEX('Challan Master'!$D$4:$D$207,MATCH($B174,'Challan Master'!$S$4:$S$207,0)),"")="",IFERROR(INDEX('Challan Master'!$D$4:$D$207,MATCH($B174,'Challan Master'!$S$4:$S$207,0)),"")&lt;=0),0,IF(IFERROR(INDEX('Challan Master'!$D$4:$D$207,MATCH($B174,'Challan Master'!$S$4:$S$207,0)),"")&lt;=DATE(YEAR(J174),MONTH(J174)+1,7),0,ROUND(L174*0.015*((YEAR(IFERROR(INDEX('Challan Master'!$D$4:$D$207,MATCH($B174,'Challan Master'!$S$4:$S$207,0)),""))-YEAR(J174))*12+(MONTH(IFERROR(INDEX('Challan Master'!$D$4:$D$207,MATCH($B174,'Challan Master'!$S$4:$S$207,0)),""))-MONTH(J174))+1),0))))</f>
      </c>
      <c r="P174" s="7">
        <f>IF($D174="","",0)</f>
      </c>
      <c r="Q174" s="8"/>
      <c r="R174" s="8"/>
      <c r="S174" s="8"/>
      <c r="T174" s="8"/>
      <c r="U174" s="8"/>
      <c r="V174" s="7">
        <f>IF($B174="","",IFERROR(INDEX('Challan Master'!$AA$4:$AA$207,MATCH($B174,'Challan Master'!$S$4:$S$207,0)),""))</f>
      </c>
    </row>
    <row r="175" spans="1:22" x14ac:dyDescent="0.25">
      <c r="A175" s="7">
        <f>IF($D175="","",COUNTIF($D$4:$D175,"&lt;&gt;"))</f>
      </c>
      <c r="B175" s="8"/>
      <c r="C175" s="7">
        <f>IF($B175="","","BSR "&amp;IFERROR(INDEX('Challan Master'!$B$4:$B$207,MATCH($B175,'Challan Master'!$S$4:$S$207,0)),"")&amp;" | Serial "&amp;IFERROR(INDEX('Challan Master'!$C$4:$C$207,MATCH($B175,'Challan Master'!$S$4:$S$207,0)),"")&amp;" | Deposit "&amp;TEXT(IFERROR(INDEX('Challan Master'!$D$4:$D$207,MATCH($B175,'Challan Master'!$S$4:$S$207,0)),""),"dd-mm-yyyy")&amp;" | Minor Head "&amp;IFERROR(INDEX('Challan Master'!$E$4:$E$207,MATCH($B175,'Challan Master'!$S$4:$S$207,0)),"")&amp;" | Tax ₹"&amp;TEXT(IFERROR(INDEX('Challan Master'!$G$4:$G$207,MATCH($B175,'Challan Master'!$S$4:$S$207,0)),""),"#,##0")&amp;" | Section "&amp;IFERROR(INDEX('Challan Master'!$F$4:$F$207,MATCH($B175,'Challan Master'!$S$4:$S$207,0)),""))</f>
      </c>
      <c r="D175" s="8"/>
      <c r="E175" s="8"/>
      <c r="F175" s="7">
        <f>IF($D175="","",IF(AND(LEN(TRIM(UPPER(E175)))=10,CODE(MID(TRIM(UPPER(E175)),1,1))&gt;=65,CODE(MID(TRIM(UPPER(E175)),1,1))&lt;=90,CODE(MID(TRIM(UPPER(E175)),2,1))&gt;=65,CODE(MID(TRIM(UPPER(E175)),2,1))&lt;=90,CODE(MID(TRIM(UPPER(E175)),3,1))&gt;=65,CODE(MID(TRIM(UPPER(E175)),3,1))&lt;=90,CODE(MID(TRIM(UPPER(E175)),4,1))&gt;=65,CODE(MID(TRIM(UPPER(E175)),4,1))&lt;=90,CODE(MID(TRIM(UPPER(E175)),5,1))&gt;=65,CODE(MID(TRIM(UPPER(E175)),5,1))&lt;=90,CODE(MID(TRIM(UPPER(E175)),10,1))&gt;=65,CODE(MID(TRIM(UPPER(E175)),10,1))&lt;=90,CODE(MID(TRIM(UPPER(E175)),6,1))&gt;=48,CODE(MID(TRIM(UPPER(E175)),6,1))&lt;=57,CODE(MID(TRIM(UPPER(E175)),7,1))&gt;=48,CODE(MID(TRIM(UPPER(E175)),7,1))&lt;=57,CODE(MID(TRIM(UPPER(E175)),8,1))&gt;=48,CODE(MID(TRIM(UPPER(E175)),8,1))&lt;=57,CODE(MID(TRIM(UPPER(E175)),9,1))&gt;=48,CODE(MID(TRIM(UPPER(E175)),9,1))&lt;=57),"N","Y"))</f>
      </c>
      <c r="G175" s="7">
        <f>IF($D175="","",IF(LEN(E175)&lt;4,"",IF(UPPER(MID(E175,4,1))="P","Individual",IF(UPPER(MID(E175,4,1))="H","HUF",IF(UPPER(MID(E175,4,1))="C","Company",IF(UPPER(MID(E175,4,1))="F","Firm",IF(UPPER(MID(E175,4,1))="L","LLP",IF(UPPER(MID(E175,4,1))="T","Trust",IF(UPPER(MID(E175,4,1))="A","AOP","")))))))))</f>
      </c>
      <c r="H175" s="8"/>
      <c r="I175" s="7">
        <f>IF($D175="","",IF(H175="","",IF(F175="Y",SUMPRODUCT(('Rate Lookup'!$A$1:$A$37=H175)*'Rate Lookup'!$D$1:$D$37),IF(OR(G175="Individual",G175="HUF"),SUMPRODUCT(('Rate Lookup'!$A$1:$A$37=H175)*'Rate Lookup'!$B$1:$B$37),SUMPRODUCT(('Rate Lookup'!$A$1:$A$37=H175)*'Rate Lookup'!$C$1:$C$37)))))</f>
      </c>
      <c r="J175" s="8"/>
      <c r="K175" s="8"/>
      <c r="L175" s="7">
        <f>IF($D175="","",ROUND(K175*I175/100,0))</f>
      </c>
      <c r="M175" s="7">
        <f>IF($D175="","",0)</f>
      </c>
      <c r="N175" s="7">
        <f>IF($D175="","",0)</f>
      </c>
      <c r="O175" s="7">
        <f>IF($D175="","",IF(OR(L175=0,J175="",IFERROR(INDEX('Challan Master'!$D$4:$D$207,MATCH($B175,'Challan Master'!$S$4:$S$207,0)),"")="",IFERROR(INDEX('Challan Master'!$D$4:$D$207,MATCH($B175,'Challan Master'!$S$4:$S$207,0)),"")&lt;=0),0,IF(IFERROR(INDEX('Challan Master'!$D$4:$D$207,MATCH($B175,'Challan Master'!$S$4:$S$207,0)),"")&lt;=DATE(YEAR(J175),MONTH(J175)+1,7),0,ROUND(L175*0.015*((YEAR(IFERROR(INDEX('Challan Master'!$D$4:$D$207,MATCH($B175,'Challan Master'!$S$4:$S$207,0)),""))-YEAR(J175))*12+(MONTH(IFERROR(INDEX('Challan Master'!$D$4:$D$207,MATCH($B175,'Challan Master'!$S$4:$S$207,0)),""))-MONTH(J175))+1),0))))</f>
      </c>
      <c r="P175" s="7">
        <f>IF($D175="","",0)</f>
      </c>
      <c r="Q175" s="8"/>
      <c r="R175" s="8"/>
      <c r="S175" s="8"/>
      <c r="T175" s="8"/>
      <c r="U175" s="8"/>
      <c r="V175" s="7">
        <f>IF($B175="","",IFERROR(INDEX('Challan Master'!$AA$4:$AA$207,MATCH($B175,'Challan Master'!$S$4:$S$207,0)),""))</f>
      </c>
    </row>
    <row r="176" spans="1:22" x14ac:dyDescent="0.25">
      <c r="A176" s="7">
        <f>IF($D176="","",COUNTIF($D$4:$D176,"&lt;&gt;"))</f>
      </c>
      <c r="B176" s="8"/>
      <c r="C176" s="7">
        <f>IF($B176="","","BSR "&amp;IFERROR(INDEX('Challan Master'!$B$4:$B$207,MATCH($B176,'Challan Master'!$S$4:$S$207,0)),"")&amp;" | Serial "&amp;IFERROR(INDEX('Challan Master'!$C$4:$C$207,MATCH($B176,'Challan Master'!$S$4:$S$207,0)),"")&amp;" | Deposit "&amp;TEXT(IFERROR(INDEX('Challan Master'!$D$4:$D$207,MATCH($B176,'Challan Master'!$S$4:$S$207,0)),""),"dd-mm-yyyy")&amp;" | Minor Head "&amp;IFERROR(INDEX('Challan Master'!$E$4:$E$207,MATCH($B176,'Challan Master'!$S$4:$S$207,0)),"")&amp;" | Tax ₹"&amp;TEXT(IFERROR(INDEX('Challan Master'!$G$4:$G$207,MATCH($B176,'Challan Master'!$S$4:$S$207,0)),""),"#,##0")&amp;" | Section "&amp;IFERROR(INDEX('Challan Master'!$F$4:$F$207,MATCH($B176,'Challan Master'!$S$4:$S$207,0)),""))</f>
      </c>
      <c r="D176" s="8"/>
      <c r="E176" s="8"/>
      <c r="F176" s="7">
        <f>IF($D176="","",IF(AND(LEN(TRIM(UPPER(E176)))=10,CODE(MID(TRIM(UPPER(E176)),1,1))&gt;=65,CODE(MID(TRIM(UPPER(E176)),1,1))&lt;=90,CODE(MID(TRIM(UPPER(E176)),2,1))&gt;=65,CODE(MID(TRIM(UPPER(E176)),2,1))&lt;=90,CODE(MID(TRIM(UPPER(E176)),3,1))&gt;=65,CODE(MID(TRIM(UPPER(E176)),3,1))&lt;=90,CODE(MID(TRIM(UPPER(E176)),4,1))&gt;=65,CODE(MID(TRIM(UPPER(E176)),4,1))&lt;=90,CODE(MID(TRIM(UPPER(E176)),5,1))&gt;=65,CODE(MID(TRIM(UPPER(E176)),5,1))&lt;=90,CODE(MID(TRIM(UPPER(E176)),10,1))&gt;=65,CODE(MID(TRIM(UPPER(E176)),10,1))&lt;=90,CODE(MID(TRIM(UPPER(E176)),6,1))&gt;=48,CODE(MID(TRIM(UPPER(E176)),6,1))&lt;=57,CODE(MID(TRIM(UPPER(E176)),7,1))&gt;=48,CODE(MID(TRIM(UPPER(E176)),7,1))&lt;=57,CODE(MID(TRIM(UPPER(E176)),8,1))&gt;=48,CODE(MID(TRIM(UPPER(E176)),8,1))&lt;=57,CODE(MID(TRIM(UPPER(E176)),9,1))&gt;=48,CODE(MID(TRIM(UPPER(E176)),9,1))&lt;=57),"N","Y"))</f>
      </c>
      <c r="G176" s="7">
        <f>IF($D176="","",IF(LEN(E176)&lt;4,"",IF(UPPER(MID(E176,4,1))="P","Individual",IF(UPPER(MID(E176,4,1))="H","HUF",IF(UPPER(MID(E176,4,1))="C","Company",IF(UPPER(MID(E176,4,1))="F","Firm",IF(UPPER(MID(E176,4,1))="L","LLP",IF(UPPER(MID(E176,4,1))="T","Trust",IF(UPPER(MID(E176,4,1))="A","AOP","")))))))))</f>
      </c>
      <c r="H176" s="8"/>
      <c r="I176" s="7">
        <f>IF($D176="","",IF(H176="","",IF(F176="Y",SUMPRODUCT(('Rate Lookup'!$A$1:$A$37=H176)*'Rate Lookup'!$D$1:$D$37),IF(OR(G176="Individual",G176="HUF"),SUMPRODUCT(('Rate Lookup'!$A$1:$A$37=H176)*'Rate Lookup'!$B$1:$B$37),SUMPRODUCT(('Rate Lookup'!$A$1:$A$37=H176)*'Rate Lookup'!$C$1:$C$37)))))</f>
      </c>
      <c r="J176" s="8"/>
      <c r="K176" s="8"/>
      <c r="L176" s="7">
        <f>IF($D176="","",ROUND(K176*I176/100,0))</f>
      </c>
      <c r="M176" s="7">
        <f>IF($D176="","",0)</f>
      </c>
      <c r="N176" s="7">
        <f>IF($D176="","",0)</f>
      </c>
      <c r="O176" s="7">
        <f>IF($D176="","",IF(OR(L176=0,J176="",IFERROR(INDEX('Challan Master'!$D$4:$D$207,MATCH($B176,'Challan Master'!$S$4:$S$207,0)),"")="",IFERROR(INDEX('Challan Master'!$D$4:$D$207,MATCH($B176,'Challan Master'!$S$4:$S$207,0)),"")&lt;=0),0,IF(IFERROR(INDEX('Challan Master'!$D$4:$D$207,MATCH($B176,'Challan Master'!$S$4:$S$207,0)),"")&lt;=DATE(YEAR(J176),MONTH(J176)+1,7),0,ROUND(L176*0.015*((YEAR(IFERROR(INDEX('Challan Master'!$D$4:$D$207,MATCH($B176,'Challan Master'!$S$4:$S$207,0)),""))-YEAR(J176))*12+(MONTH(IFERROR(INDEX('Challan Master'!$D$4:$D$207,MATCH($B176,'Challan Master'!$S$4:$S$207,0)),""))-MONTH(J176))+1),0))))</f>
      </c>
      <c r="P176" s="7">
        <f>IF($D176="","",0)</f>
      </c>
      <c r="Q176" s="8"/>
      <c r="R176" s="8"/>
      <c r="S176" s="8"/>
      <c r="T176" s="8"/>
      <c r="U176" s="8"/>
      <c r="V176" s="7">
        <f>IF($B176="","",IFERROR(INDEX('Challan Master'!$AA$4:$AA$207,MATCH($B176,'Challan Master'!$S$4:$S$207,0)),""))</f>
      </c>
    </row>
    <row r="177" spans="1:22" x14ac:dyDescent="0.25">
      <c r="A177" s="7">
        <f>IF($D177="","",COUNTIF($D$4:$D177,"&lt;&gt;"))</f>
      </c>
      <c r="B177" s="8"/>
      <c r="C177" s="7">
        <f>IF($B177="","","BSR "&amp;IFERROR(INDEX('Challan Master'!$B$4:$B$207,MATCH($B177,'Challan Master'!$S$4:$S$207,0)),"")&amp;" | Serial "&amp;IFERROR(INDEX('Challan Master'!$C$4:$C$207,MATCH($B177,'Challan Master'!$S$4:$S$207,0)),"")&amp;" | Deposit "&amp;TEXT(IFERROR(INDEX('Challan Master'!$D$4:$D$207,MATCH($B177,'Challan Master'!$S$4:$S$207,0)),""),"dd-mm-yyyy")&amp;" | Minor Head "&amp;IFERROR(INDEX('Challan Master'!$E$4:$E$207,MATCH($B177,'Challan Master'!$S$4:$S$207,0)),"")&amp;" | Tax ₹"&amp;TEXT(IFERROR(INDEX('Challan Master'!$G$4:$G$207,MATCH($B177,'Challan Master'!$S$4:$S$207,0)),""),"#,##0")&amp;" | Section "&amp;IFERROR(INDEX('Challan Master'!$F$4:$F$207,MATCH($B177,'Challan Master'!$S$4:$S$207,0)),""))</f>
      </c>
      <c r="D177" s="8"/>
      <c r="E177" s="8"/>
      <c r="F177" s="7">
        <f>IF($D177="","",IF(AND(LEN(TRIM(UPPER(E177)))=10,CODE(MID(TRIM(UPPER(E177)),1,1))&gt;=65,CODE(MID(TRIM(UPPER(E177)),1,1))&lt;=90,CODE(MID(TRIM(UPPER(E177)),2,1))&gt;=65,CODE(MID(TRIM(UPPER(E177)),2,1))&lt;=90,CODE(MID(TRIM(UPPER(E177)),3,1))&gt;=65,CODE(MID(TRIM(UPPER(E177)),3,1))&lt;=90,CODE(MID(TRIM(UPPER(E177)),4,1))&gt;=65,CODE(MID(TRIM(UPPER(E177)),4,1))&lt;=90,CODE(MID(TRIM(UPPER(E177)),5,1))&gt;=65,CODE(MID(TRIM(UPPER(E177)),5,1))&lt;=90,CODE(MID(TRIM(UPPER(E177)),10,1))&gt;=65,CODE(MID(TRIM(UPPER(E177)),10,1))&lt;=90,CODE(MID(TRIM(UPPER(E177)),6,1))&gt;=48,CODE(MID(TRIM(UPPER(E177)),6,1))&lt;=57,CODE(MID(TRIM(UPPER(E177)),7,1))&gt;=48,CODE(MID(TRIM(UPPER(E177)),7,1))&lt;=57,CODE(MID(TRIM(UPPER(E177)),8,1))&gt;=48,CODE(MID(TRIM(UPPER(E177)),8,1))&lt;=57,CODE(MID(TRIM(UPPER(E177)),9,1))&gt;=48,CODE(MID(TRIM(UPPER(E177)),9,1))&lt;=57),"N","Y"))</f>
      </c>
      <c r="G177" s="7">
        <f>IF($D177="","",IF(LEN(E177)&lt;4,"",IF(UPPER(MID(E177,4,1))="P","Individual",IF(UPPER(MID(E177,4,1))="H","HUF",IF(UPPER(MID(E177,4,1))="C","Company",IF(UPPER(MID(E177,4,1))="F","Firm",IF(UPPER(MID(E177,4,1))="L","LLP",IF(UPPER(MID(E177,4,1))="T","Trust",IF(UPPER(MID(E177,4,1))="A","AOP","")))))))))</f>
      </c>
      <c r="H177" s="8"/>
      <c r="I177" s="7">
        <f>IF($D177="","",IF(H177="","",IF(F177="Y",SUMPRODUCT(('Rate Lookup'!$A$1:$A$37=H177)*'Rate Lookup'!$D$1:$D$37),IF(OR(G177="Individual",G177="HUF"),SUMPRODUCT(('Rate Lookup'!$A$1:$A$37=H177)*'Rate Lookup'!$B$1:$B$37),SUMPRODUCT(('Rate Lookup'!$A$1:$A$37=H177)*'Rate Lookup'!$C$1:$C$37)))))</f>
      </c>
      <c r="J177" s="8"/>
      <c r="K177" s="8"/>
      <c r="L177" s="7">
        <f>IF($D177="","",ROUND(K177*I177/100,0))</f>
      </c>
      <c r="M177" s="7">
        <f>IF($D177="","",0)</f>
      </c>
      <c r="N177" s="7">
        <f>IF($D177="","",0)</f>
      </c>
      <c r="O177" s="7">
        <f>IF($D177="","",IF(OR(L177=0,J177="",IFERROR(INDEX('Challan Master'!$D$4:$D$207,MATCH($B177,'Challan Master'!$S$4:$S$207,0)),"")="",IFERROR(INDEX('Challan Master'!$D$4:$D$207,MATCH($B177,'Challan Master'!$S$4:$S$207,0)),"")&lt;=0),0,IF(IFERROR(INDEX('Challan Master'!$D$4:$D$207,MATCH($B177,'Challan Master'!$S$4:$S$207,0)),"")&lt;=DATE(YEAR(J177),MONTH(J177)+1,7),0,ROUND(L177*0.015*((YEAR(IFERROR(INDEX('Challan Master'!$D$4:$D$207,MATCH($B177,'Challan Master'!$S$4:$S$207,0)),""))-YEAR(J177))*12+(MONTH(IFERROR(INDEX('Challan Master'!$D$4:$D$207,MATCH($B177,'Challan Master'!$S$4:$S$207,0)),""))-MONTH(J177))+1),0))))</f>
      </c>
      <c r="P177" s="7">
        <f>IF($D177="","",0)</f>
      </c>
      <c r="Q177" s="8"/>
      <c r="R177" s="8"/>
      <c r="S177" s="8"/>
      <c r="T177" s="8"/>
      <c r="U177" s="8"/>
      <c r="V177" s="7">
        <f>IF($B177="","",IFERROR(INDEX('Challan Master'!$AA$4:$AA$207,MATCH($B177,'Challan Master'!$S$4:$S$207,0)),""))</f>
      </c>
    </row>
    <row r="178" spans="1:22" x14ac:dyDescent="0.25">
      <c r="A178" s="7">
        <f>IF($D178="","",COUNTIF($D$4:$D178,"&lt;&gt;"))</f>
      </c>
      <c r="B178" s="8"/>
      <c r="C178" s="7">
        <f>IF($B178="","","BSR "&amp;IFERROR(INDEX('Challan Master'!$B$4:$B$207,MATCH($B178,'Challan Master'!$S$4:$S$207,0)),"")&amp;" | Serial "&amp;IFERROR(INDEX('Challan Master'!$C$4:$C$207,MATCH($B178,'Challan Master'!$S$4:$S$207,0)),"")&amp;" | Deposit "&amp;TEXT(IFERROR(INDEX('Challan Master'!$D$4:$D$207,MATCH($B178,'Challan Master'!$S$4:$S$207,0)),""),"dd-mm-yyyy")&amp;" | Minor Head "&amp;IFERROR(INDEX('Challan Master'!$E$4:$E$207,MATCH($B178,'Challan Master'!$S$4:$S$207,0)),"")&amp;" | Tax ₹"&amp;TEXT(IFERROR(INDEX('Challan Master'!$G$4:$G$207,MATCH($B178,'Challan Master'!$S$4:$S$207,0)),""),"#,##0")&amp;" | Section "&amp;IFERROR(INDEX('Challan Master'!$F$4:$F$207,MATCH($B178,'Challan Master'!$S$4:$S$207,0)),""))</f>
      </c>
      <c r="D178" s="8"/>
      <c r="E178" s="8"/>
      <c r="F178" s="7">
        <f>IF($D178="","",IF(AND(LEN(TRIM(UPPER(E178)))=10,CODE(MID(TRIM(UPPER(E178)),1,1))&gt;=65,CODE(MID(TRIM(UPPER(E178)),1,1))&lt;=90,CODE(MID(TRIM(UPPER(E178)),2,1))&gt;=65,CODE(MID(TRIM(UPPER(E178)),2,1))&lt;=90,CODE(MID(TRIM(UPPER(E178)),3,1))&gt;=65,CODE(MID(TRIM(UPPER(E178)),3,1))&lt;=90,CODE(MID(TRIM(UPPER(E178)),4,1))&gt;=65,CODE(MID(TRIM(UPPER(E178)),4,1))&lt;=90,CODE(MID(TRIM(UPPER(E178)),5,1))&gt;=65,CODE(MID(TRIM(UPPER(E178)),5,1))&lt;=90,CODE(MID(TRIM(UPPER(E178)),10,1))&gt;=65,CODE(MID(TRIM(UPPER(E178)),10,1))&lt;=90,CODE(MID(TRIM(UPPER(E178)),6,1))&gt;=48,CODE(MID(TRIM(UPPER(E178)),6,1))&lt;=57,CODE(MID(TRIM(UPPER(E178)),7,1))&gt;=48,CODE(MID(TRIM(UPPER(E178)),7,1))&lt;=57,CODE(MID(TRIM(UPPER(E178)),8,1))&gt;=48,CODE(MID(TRIM(UPPER(E178)),8,1))&lt;=57,CODE(MID(TRIM(UPPER(E178)),9,1))&gt;=48,CODE(MID(TRIM(UPPER(E178)),9,1))&lt;=57),"N","Y"))</f>
      </c>
      <c r="G178" s="7">
        <f>IF($D178="","",IF(LEN(E178)&lt;4,"",IF(UPPER(MID(E178,4,1))="P","Individual",IF(UPPER(MID(E178,4,1))="H","HUF",IF(UPPER(MID(E178,4,1))="C","Company",IF(UPPER(MID(E178,4,1))="F","Firm",IF(UPPER(MID(E178,4,1))="L","LLP",IF(UPPER(MID(E178,4,1))="T","Trust",IF(UPPER(MID(E178,4,1))="A","AOP","")))))))))</f>
      </c>
      <c r="H178" s="8"/>
      <c r="I178" s="7">
        <f>IF($D178="","",IF(H178="","",IF(F178="Y",SUMPRODUCT(('Rate Lookup'!$A$1:$A$37=H178)*'Rate Lookup'!$D$1:$D$37),IF(OR(G178="Individual",G178="HUF"),SUMPRODUCT(('Rate Lookup'!$A$1:$A$37=H178)*'Rate Lookup'!$B$1:$B$37),SUMPRODUCT(('Rate Lookup'!$A$1:$A$37=H178)*'Rate Lookup'!$C$1:$C$37)))))</f>
      </c>
      <c r="J178" s="8"/>
      <c r="K178" s="8"/>
      <c r="L178" s="7">
        <f>IF($D178="","",ROUND(K178*I178/100,0))</f>
      </c>
      <c r="M178" s="7">
        <f>IF($D178="","",0)</f>
      </c>
      <c r="N178" s="7">
        <f>IF($D178="","",0)</f>
      </c>
      <c r="O178" s="7">
        <f>IF($D178="","",IF(OR(L178=0,J178="",IFERROR(INDEX('Challan Master'!$D$4:$D$207,MATCH($B178,'Challan Master'!$S$4:$S$207,0)),"")="",IFERROR(INDEX('Challan Master'!$D$4:$D$207,MATCH($B178,'Challan Master'!$S$4:$S$207,0)),"")&lt;=0),0,IF(IFERROR(INDEX('Challan Master'!$D$4:$D$207,MATCH($B178,'Challan Master'!$S$4:$S$207,0)),"")&lt;=DATE(YEAR(J178),MONTH(J178)+1,7),0,ROUND(L178*0.015*((YEAR(IFERROR(INDEX('Challan Master'!$D$4:$D$207,MATCH($B178,'Challan Master'!$S$4:$S$207,0)),""))-YEAR(J178))*12+(MONTH(IFERROR(INDEX('Challan Master'!$D$4:$D$207,MATCH($B178,'Challan Master'!$S$4:$S$207,0)),""))-MONTH(J178))+1),0))))</f>
      </c>
      <c r="P178" s="7">
        <f>IF($D178="","",0)</f>
      </c>
      <c r="Q178" s="8"/>
      <c r="R178" s="8"/>
      <c r="S178" s="8"/>
      <c r="T178" s="8"/>
      <c r="U178" s="8"/>
      <c r="V178" s="7">
        <f>IF($B178="","",IFERROR(INDEX('Challan Master'!$AA$4:$AA$207,MATCH($B178,'Challan Master'!$S$4:$S$207,0)),""))</f>
      </c>
    </row>
    <row r="179" spans="1:22" x14ac:dyDescent="0.25">
      <c r="A179" s="7">
        <f>IF($D179="","",COUNTIF($D$4:$D179,"&lt;&gt;"))</f>
      </c>
      <c r="B179" s="8"/>
      <c r="C179" s="7">
        <f>IF($B179="","","BSR "&amp;IFERROR(INDEX('Challan Master'!$B$4:$B$207,MATCH($B179,'Challan Master'!$S$4:$S$207,0)),"")&amp;" | Serial "&amp;IFERROR(INDEX('Challan Master'!$C$4:$C$207,MATCH($B179,'Challan Master'!$S$4:$S$207,0)),"")&amp;" | Deposit "&amp;TEXT(IFERROR(INDEX('Challan Master'!$D$4:$D$207,MATCH($B179,'Challan Master'!$S$4:$S$207,0)),""),"dd-mm-yyyy")&amp;" | Minor Head "&amp;IFERROR(INDEX('Challan Master'!$E$4:$E$207,MATCH($B179,'Challan Master'!$S$4:$S$207,0)),"")&amp;" | Tax ₹"&amp;TEXT(IFERROR(INDEX('Challan Master'!$G$4:$G$207,MATCH($B179,'Challan Master'!$S$4:$S$207,0)),""),"#,##0")&amp;" | Section "&amp;IFERROR(INDEX('Challan Master'!$F$4:$F$207,MATCH($B179,'Challan Master'!$S$4:$S$207,0)),""))</f>
      </c>
      <c r="D179" s="8"/>
      <c r="E179" s="8"/>
      <c r="F179" s="7">
        <f>IF($D179="","",IF(AND(LEN(TRIM(UPPER(E179)))=10,CODE(MID(TRIM(UPPER(E179)),1,1))&gt;=65,CODE(MID(TRIM(UPPER(E179)),1,1))&lt;=90,CODE(MID(TRIM(UPPER(E179)),2,1))&gt;=65,CODE(MID(TRIM(UPPER(E179)),2,1))&lt;=90,CODE(MID(TRIM(UPPER(E179)),3,1))&gt;=65,CODE(MID(TRIM(UPPER(E179)),3,1))&lt;=90,CODE(MID(TRIM(UPPER(E179)),4,1))&gt;=65,CODE(MID(TRIM(UPPER(E179)),4,1))&lt;=90,CODE(MID(TRIM(UPPER(E179)),5,1))&gt;=65,CODE(MID(TRIM(UPPER(E179)),5,1))&lt;=90,CODE(MID(TRIM(UPPER(E179)),10,1))&gt;=65,CODE(MID(TRIM(UPPER(E179)),10,1))&lt;=90,CODE(MID(TRIM(UPPER(E179)),6,1))&gt;=48,CODE(MID(TRIM(UPPER(E179)),6,1))&lt;=57,CODE(MID(TRIM(UPPER(E179)),7,1))&gt;=48,CODE(MID(TRIM(UPPER(E179)),7,1))&lt;=57,CODE(MID(TRIM(UPPER(E179)),8,1))&gt;=48,CODE(MID(TRIM(UPPER(E179)),8,1))&lt;=57,CODE(MID(TRIM(UPPER(E179)),9,1))&gt;=48,CODE(MID(TRIM(UPPER(E179)),9,1))&lt;=57),"N","Y"))</f>
      </c>
      <c r="G179" s="7">
        <f>IF($D179="","",IF(LEN(E179)&lt;4,"",IF(UPPER(MID(E179,4,1))="P","Individual",IF(UPPER(MID(E179,4,1))="H","HUF",IF(UPPER(MID(E179,4,1))="C","Company",IF(UPPER(MID(E179,4,1))="F","Firm",IF(UPPER(MID(E179,4,1))="L","LLP",IF(UPPER(MID(E179,4,1))="T","Trust",IF(UPPER(MID(E179,4,1))="A","AOP","")))))))))</f>
      </c>
      <c r="H179" s="8"/>
      <c r="I179" s="7">
        <f>IF($D179="","",IF(H179="","",IF(F179="Y",SUMPRODUCT(('Rate Lookup'!$A$1:$A$37=H179)*'Rate Lookup'!$D$1:$D$37),IF(OR(G179="Individual",G179="HUF"),SUMPRODUCT(('Rate Lookup'!$A$1:$A$37=H179)*'Rate Lookup'!$B$1:$B$37),SUMPRODUCT(('Rate Lookup'!$A$1:$A$37=H179)*'Rate Lookup'!$C$1:$C$37)))))</f>
      </c>
      <c r="J179" s="8"/>
      <c r="K179" s="8"/>
      <c r="L179" s="7">
        <f>IF($D179="","",ROUND(K179*I179/100,0))</f>
      </c>
      <c r="M179" s="7">
        <f>IF($D179="","",0)</f>
      </c>
      <c r="N179" s="7">
        <f>IF($D179="","",0)</f>
      </c>
      <c r="O179" s="7">
        <f>IF($D179="","",IF(OR(L179=0,J179="",IFERROR(INDEX('Challan Master'!$D$4:$D$207,MATCH($B179,'Challan Master'!$S$4:$S$207,0)),"")="",IFERROR(INDEX('Challan Master'!$D$4:$D$207,MATCH($B179,'Challan Master'!$S$4:$S$207,0)),"")&lt;=0),0,IF(IFERROR(INDEX('Challan Master'!$D$4:$D$207,MATCH($B179,'Challan Master'!$S$4:$S$207,0)),"")&lt;=DATE(YEAR(J179),MONTH(J179)+1,7),0,ROUND(L179*0.015*((YEAR(IFERROR(INDEX('Challan Master'!$D$4:$D$207,MATCH($B179,'Challan Master'!$S$4:$S$207,0)),""))-YEAR(J179))*12+(MONTH(IFERROR(INDEX('Challan Master'!$D$4:$D$207,MATCH($B179,'Challan Master'!$S$4:$S$207,0)),""))-MONTH(J179))+1),0))))</f>
      </c>
      <c r="P179" s="7">
        <f>IF($D179="","",0)</f>
      </c>
      <c r="Q179" s="8"/>
      <c r="R179" s="8"/>
      <c r="S179" s="8"/>
      <c r="T179" s="8"/>
      <c r="U179" s="8"/>
      <c r="V179" s="7">
        <f>IF($B179="","",IFERROR(INDEX('Challan Master'!$AA$4:$AA$207,MATCH($B179,'Challan Master'!$S$4:$S$207,0)),""))</f>
      </c>
    </row>
    <row r="180" spans="1:22" x14ac:dyDescent="0.25">
      <c r="A180" s="7">
        <f>IF($D180="","",COUNTIF($D$4:$D180,"&lt;&gt;"))</f>
      </c>
      <c r="B180" s="8"/>
      <c r="C180" s="7">
        <f>IF($B180="","","BSR "&amp;IFERROR(INDEX('Challan Master'!$B$4:$B$207,MATCH($B180,'Challan Master'!$S$4:$S$207,0)),"")&amp;" | Serial "&amp;IFERROR(INDEX('Challan Master'!$C$4:$C$207,MATCH($B180,'Challan Master'!$S$4:$S$207,0)),"")&amp;" | Deposit "&amp;TEXT(IFERROR(INDEX('Challan Master'!$D$4:$D$207,MATCH($B180,'Challan Master'!$S$4:$S$207,0)),""),"dd-mm-yyyy")&amp;" | Minor Head "&amp;IFERROR(INDEX('Challan Master'!$E$4:$E$207,MATCH($B180,'Challan Master'!$S$4:$S$207,0)),"")&amp;" | Tax ₹"&amp;TEXT(IFERROR(INDEX('Challan Master'!$G$4:$G$207,MATCH($B180,'Challan Master'!$S$4:$S$207,0)),""),"#,##0")&amp;" | Section "&amp;IFERROR(INDEX('Challan Master'!$F$4:$F$207,MATCH($B180,'Challan Master'!$S$4:$S$207,0)),""))</f>
      </c>
      <c r="D180" s="8"/>
      <c r="E180" s="8"/>
      <c r="F180" s="7">
        <f>IF($D180="","",IF(AND(LEN(TRIM(UPPER(E180)))=10,CODE(MID(TRIM(UPPER(E180)),1,1))&gt;=65,CODE(MID(TRIM(UPPER(E180)),1,1))&lt;=90,CODE(MID(TRIM(UPPER(E180)),2,1))&gt;=65,CODE(MID(TRIM(UPPER(E180)),2,1))&lt;=90,CODE(MID(TRIM(UPPER(E180)),3,1))&gt;=65,CODE(MID(TRIM(UPPER(E180)),3,1))&lt;=90,CODE(MID(TRIM(UPPER(E180)),4,1))&gt;=65,CODE(MID(TRIM(UPPER(E180)),4,1))&lt;=90,CODE(MID(TRIM(UPPER(E180)),5,1))&gt;=65,CODE(MID(TRIM(UPPER(E180)),5,1))&lt;=90,CODE(MID(TRIM(UPPER(E180)),10,1))&gt;=65,CODE(MID(TRIM(UPPER(E180)),10,1))&lt;=90,CODE(MID(TRIM(UPPER(E180)),6,1))&gt;=48,CODE(MID(TRIM(UPPER(E180)),6,1))&lt;=57,CODE(MID(TRIM(UPPER(E180)),7,1))&gt;=48,CODE(MID(TRIM(UPPER(E180)),7,1))&lt;=57,CODE(MID(TRIM(UPPER(E180)),8,1))&gt;=48,CODE(MID(TRIM(UPPER(E180)),8,1))&lt;=57,CODE(MID(TRIM(UPPER(E180)),9,1))&gt;=48,CODE(MID(TRIM(UPPER(E180)),9,1))&lt;=57),"N","Y"))</f>
      </c>
      <c r="G180" s="7">
        <f>IF($D180="","",IF(LEN(E180)&lt;4,"",IF(UPPER(MID(E180,4,1))="P","Individual",IF(UPPER(MID(E180,4,1))="H","HUF",IF(UPPER(MID(E180,4,1))="C","Company",IF(UPPER(MID(E180,4,1))="F","Firm",IF(UPPER(MID(E180,4,1))="L","LLP",IF(UPPER(MID(E180,4,1))="T","Trust",IF(UPPER(MID(E180,4,1))="A","AOP","")))))))))</f>
      </c>
      <c r="H180" s="8"/>
      <c r="I180" s="7">
        <f>IF($D180="","",IF(H180="","",IF(F180="Y",SUMPRODUCT(('Rate Lookup'!$A$1:$A$37=H180)*'Rate Lookup'!$D$1:$D$37),IF(OR(G180="Individual",G180="HUF"),SUMPRODUCT(('Rate Lookup'!$A$1:$A$37=H180)*'Rate Lookup'!$B$1:$B$37),SUMPRODUCT(('Rate Lookup'!$A$1:$A$37=H180)*'Rate Lookup'!$C$1:$C$37)))))</f>
      </c>
      <c r="J180" s="8"/>
      <c r="K180" s="8"/>
      <c r="L180" s="7">
        <f>IF($D180="","",ROUND(K180*I180/100,0))</f>
      </c>
      <c r="M180" s="7">
        <f>IF($D180="","",0)</f>
      </c>
      <c r="N180" s="7">
        <f>IF($D180="","",0)</f>
      </c>
      <c r="O180" s="7">
        <f>IF($D180="","",IF(OR(L180=0,J180="",IFERROR(INDEX('Challan Master'!$D$4:$D$207,MATCH($B180,'Challan Master'!$S$4:$S$207,0)),"")="",IFERROR(INDEX('Challan Master'!$D$4:$D$207,MATCH($B180,'Challan Master'!$S$4:$S$207,0)),"")&lt;=0),0,IF(IFERROR(INDEX('Challan Master'!$D$4:$D$207,MATCH($B180,'Challan Master'!$S$4:$S$207,0)),"")&lt;=DATE(YEAR(J180),MONTH(J180)+1,7),0,ROUND(L180*0.015*((YEAR(IFERROR(INDEX('Challan Master'!$D$4:$D$207,MATCH($B180,'Challan Master'!$S$4:$S$207,0)),""))-YEAR(J180))*12+(MONTH(IFERROR(INDEX('Challan Master'!$D$4:$D$207,MATCH($B180,'Challan Master'!$S$4:$S$207,0)),""))-MONTH(J180))+1),0))))</f>
      </c>
      <c r="P180" s="7">
        <f>IF($D180="","",0)</f>
      </c>
      <c r="Q180" s="8"/>
      <c r="R180" s="8"/>
      <c r="S180" s="8"/>
      <c r="T180" s="8"/>
      <c r="U180" s="8"/>
      <c r="V180" s="7">
        <f>IF($B180="","",IFERROR(INDEX('Challan Master'!$AA$4:$AA$207,MATCH($B180,'Challan Master'!$S$4:$S$207,0)),""))</f>
      </c>
    </row>
    <row r="181" spans="1:22" x14ac:dyDescent="0.25">
      <c r="A181" s="7">
        <f>IF($D181="","",COUNTIF($D$4:$D181,"&lt;&gt;"))</f>
      </c>
      <c r="B181" s="8"/>
      <c r="C181" s="7">
        <f>IF($B181="","","BSR "&amp;IFERROR(INDEX('Challan Master'!$B$4:$B$207,MATCH($B181,'Challan Master'!$S$4:$S$207,0)),"")&amp;" | Serial "&amp;IFERROR(INDEX('Challan Master'!$C$4:$C$207,MATCH($B181,'Challan Master'!$S$4:$S$207,0)),"")&amp;" | Deposit "&amp;TEXT(IFERROR(INDEX('Challan Master'!$D$4:$D$207,MATCH($B181,'Challan Master'!$S$4:$S$207,0)),""),"dd-mm-yyyy")&amp;" | Minor Head "&amp;IFERROR(INDEX('Challan Master'!$E$4:$E$207,MATCH($B181,'Challan Master'!$S$4:$S$207,0)),"")&amp;" | Tax ₹"&amp;TEXT(IFERROR(INDEX('Challan Master'!$G$4:$G$207,MATCH($B181,'Challan Master'!$S$4:$S$207,0)),""),"#,##0")&amp;" | Section "&amp;IFERROR(INDEX('Challan Master'!$F$4:$F$207,MATCH($B181,'Challan Master'!$S$4:$S$207,0)),""))</f>
      </c>
      <c r="D181" s="8"/>
      <c r="E181" s="8"/>
      <c r="F181" s="7">
        <f>IF($D181="","",IF(AND(LEN(TRIM(UPPER(E181)))=10,CODE(MID(TRIM(UPPER(E181)),1,1))&gt;=65,CODE(MID(TRIM(UPPER(E181)),1,1))&lt;=90,CODE(MID(TRIM(UPPER(E181)),2,1))&gt;=65,CODE(MID(TRIM(UPPER(E181)),2,1))&lt;=90,CODE(MID(TRIM(UPPER(E181)),3,1))&gt;=65,CODE(MID(TRIM(UPPER(E181)),3,1))&lt;=90,CODE(MID(TRIM(UPPER(E181)),4,1))&gt;=65,CODE(MID(TRIM(UPPER(E181)),4,1))&lt;=90,CODE(MID(TRIM(UPPER(E181)),5,1))&gt;=65,CODE(MID(TRIM(UPPER(E181)),5,1))&lt;=90,CODE(MID(TRIM(UPPER(E181)),10,1))&gt;=65,CODE(MID(TRIM(UPPER(E181)),10,1))&lt;=90,CODE(MID(TRIM(UPPER(E181)),6,1))&gt;=48,CODE(MID(TRIM(UPPER(E181)),6,1))&lt;=57,CODE(MID(TRIM(UPPER(E181)),7,1))&gt;=48,CODE(MID(TRIM(UPPER(E181)),7,1))&lt;=57,CODE(MID(TRIM(UPPER(E181)),8,1))&gt;=48,CODE(MID(TRIM(UPPER(E181)),8,1))&lt;=57,CODE(MID(TRIM(UPPER(E181)),9,1))&gt;=48,CODE(MID(TRIM(UPPER(E181)),9,1))&lt;=57),"N","Y"))</f>
      </c>
      <c r="G181" s="7">
        <f>IF($D181="","",IF(LEN(E181)&lt;4,"",IF(UPPER(MID(E181,4,1))="P","Individual",IF(UPPER(MID(E181,4,1))="H","HUF",IF(UPPER(MID(E181,4,1))="C","Company",IF(UPPER(MID(E181,4,1))="F","Firm",IF(UPPER(MID(E181,4,1))="L","LLP",IF(UPPER(MID(E181,4,1))="T","Trust",IF(UPPER(MID(E181,4,1))="A","AOP","")))))))))</f>
      </c>
      <c r="H181" s="8"/>
      <c r="I181" s="7">
        <f>IF($D181="","",IF(H181="","",IF(F181="Y",SUMPRODUCT(('Rate Lookup'!$A$1:$A$37=H181)*'Rate Lookup'!$D$1:$D$37),IF(OR(G181="Individual",G181="HUF"),SUMPRODUCT(('Rate Lookup'!$A$1:$A$37=H181)*'Rate Lookup'!$B$1:$B$37),SUMPRODUCT(('Rate Lookup'!$A$1:$A$37=H181)*'Rate Lookup'!$C$1:$C$37)))))</f>
      </c>
      <c r="J181" s="8"/>
      <c r="K181" s="8"/>
      <c r="L181" s="7">
        <f>IF($D181="","",ROUND(K181*I181/100,0))</f>
      </c>
      <c r="M181" s="7">
        <f>IF($D181="","",0)</f>
      </c>
      <c r="N181" s="7">
        <f>IF($D181="","",0)</f>
      </c>
      <c r="O181" s="7">
        <f>IF($D181="","",IF(OR(L181=0,J181="",IFERROR(INDEX('Challan Master'!$D$4:$D$207,MATCH($B181,'Challan Master'!$S$4:$S$207,0)),"")="",IFERROR(INDEX('Challan Master'!$D$4:$D$207,MATCH($B181,'Challan Master'!$S$4:$S$207,0)),"")&lt;=0),0,IF(IFERROR(INDEX('Challan Master'!$D$4:$D$207,MATCH($B181,'Challan Master'!$S$4:$S$207,0)),"")&lt;=DATE(YEAR(J181),MONTH(J181)+1,7),0,ROUND(L181*0.015*((YEAR(IFERROR(INDEX('Challan Master'!$D$4:$D$207,MATCH($B181,'Challan Master'!$S$4:$S$207,0)),""))-YEAR(J181))*12+(MONTH(IFERROR(INDEX('Challan Master'!$D$4:$D$207,MATCH($B181,'Challan Master'!$S$4:$S$207,0)),""))-MONTH(J181))+1),0))))</f>
      </c>
      <c r="P181" s="7">
        <f>IF($D181="","",0)</f>
      </c>
      <c r="Q181" s="8"/>
      <c r="R181" s="8"/>
      <c r="S181" s="8"/>
      <c r="T181" s="8"/>
      <c r="U181" s="8"/>
      <c r="V181" s="7">
        <f>IF($B181="","",IFERROR(INDEX('Challan Master'!$AA$4:$AA$207,MATCH($B181,'Challan Master'!$S$4:$S$207,0)),""))</f>
      </c>
    </row>
    <row r="182" spans="1:22" x14ac:dyDescent="0.25">
      <c r="A182" s="7">
        <f>IF($D182="","",COUNTIF($D$4:$D182,"&lt;&gt;"))</f>
      </c>
      <c r="B182" s="8"/>
      <c r="C182" s="7">
        <f>IF($B182="","","BSR "&amp;IFERROR(INDEX('Challan Master'!$B$4:$B$207,MATCH($B182,'Challan Master'!$S$4:$S$207,0)),"")&amp;" | Serial "&amp;IFERROR(INDEX('Challan Master'!$C$4:$C$207,MATCH($B182,'Challan Master'!$S$4:$S$207,0)),"")&amp;" | Deposit "&amp;TEXT(IFERROR(INDEX('Challan Master'!$D$4:$D$207,MATCH($B182,'Challan Master'!$S$4:$S$207,0)),""),"dd-mm-yyyy")&amp;" | Minor Head "&amp;IFERROR(INDEX('Challan Master'!$E$4:$E$207,MATCH($B182,'Challan Master'!$S$4:$S$207,0)),"")&amp;" | Tax ₹"&amp;TEXT(IFERROR(INDEX('Challan Master'!$G$4:$G$207,MATCH($B182,'Challan Master'!$S$4:$S$207,0)),""),"#,##0")&amp;" | Section "&amp;IFERROR(INDEX('Challan Master'!$F$4:$F$207,MATCH($B182,'Challan Master'!$S$4:$S$207,0)),""))</f>
      </c>
      <c r="D182" s="8"/>
      <c r="E182" s="8"/>
      <c r="F182" s="7">
        <f>IF($D182="","",IF(AND(LEN(TRIM(UPPER(E182)))=10,CODE(MID(TRIM(UPPER(E182)),1,1))&gt;=65,CODE(MID(TRIM(UPPER(E182)),1,1))&lt;=90,CODE(MID(TRIM(UPPER(E182)),2,1))&gt;=65,CODE(MID(TRIM(UPPER(E182)),2,1))&lt;=90,CODE(MID(TRIM(UPPER(E182)),3,1))&gt;=65,CODE(MID(TRIM(UPPER(E182)),3,1))&lt;=90,CODE(MID(TRIM(UPPER(E182)),4,1))&gt;=65,CODE(MID(TRIM(UPPER(E182)),4,1))&lt;=90,CODE(MID(TRIM(UPPER(E182)),5,1))&gt;=65,CODE(MID(TRIM(UPPER(E182)),5,1))&lt;=90,CODE(MID(TRIM(UPPER(E182)),10,1))&gt;=65,CODE(MID(TRIM(UPPER(E182)),10,1))&lt;=90,CODE(MID(TRIM(UPPER(E182)),6,1))&gt;=48,CODE(MID(TRIM(UPPER(E182)),6,1))&lt;=57,CODE(MID(TRIM(UPPER(E182)),7,1))&gt;=48,CODE(MID(TRIM(UPPER(E182)),7,1))&lt;=57,CODE(MID(TRIM(UPPER(E182)),8,1))&gt;=48,CODE(MID(TRIM(UPPER(E182)),8,1))&lt;=57,CODE(MID(TRIM(UPPER(E182)),9,1))&gt;=48,CODE(MID(TRIM(UPPER(E182)),9,1))&lt;=57),"N","Y"))</f>
      </c>
      <c r="G182" s="7">
        <f>IF($D182="","",IF(LEN(E182)&lt;4,"",IF(UPPER(MID(E182,4,1))="P","Individual",IF(UPPER(MID(E182,4,1))="H","HUF",IF(UPPER(MID(E182,4,1))="C","Company",IF(UPPER(MID(E182,4,1))="F","Firm",IF(UPPER(MID(E182,4,1))="L","LLP",IF(UPPER(MID(E182,4,1))="T","Trust",IF(UPPER(MID(E182,4,1))="A","AOP","")))))))))</f>
      </c>
      <c r="H182" s="8"/>
      <c r="I182" s="7">
        <f>IF($D182="","",IF(H182="","",IF(F182="Y",SUMPRODUCT(('Rate Lookup'!$A$1:$A$37=H182)*'Rate Lookup'!$D$1:$D$37),IF(OR(G182="Individual",G182="HUF"),SUMPRODUCT(('Rate Lookup'!$A$1:$A$37=H182)*'Rate Lookup'!$B$1:$B$37),SUMPRODUCT(('Rate Lookup'!$A$1:$A$37=H182)*'Rate Lookup'!$C$1:$C$37)))))</f>
      </c>
      <c r="J182" s="8"/>
      <c r="K182" s="8"/>
      <c r="L182" s="7">
        <f>IF($D182="","",ROUND(K182*I182/100,0))</f>
      </c>
      <c r="M182" s="7">
        <f>IF($D182="","",0)</f>
      </c>
      <c r="N182" s="7">
        <f>IF($D182="","",0)</f>
      </c>
      <c r="O182" s="7">
        <f>IF($D182="","",IF(OR(L182=0,J182="",IFERROR(INDEX('Challan Master'!$D$4:$D$207,MATCH($B182,'Challan Master'!$S$4:$S$207,0)),"")="",IFERROR(INDEX('Challan Master'!$D$4:$D$207,MATCH($B182,'Challan Master'!$S$4:$S$207,0)),"")&lt;=0),0,IF(IFERROR(INDEX('Challan Master'!$D$4:$D$207,MATCH($B182,'Challan Master'!$S$4:$S$207,0)),"")&lt;=DATE(YEAR(J182),MONTH(J182)+1,7),0,ROUND(L182*0.015*((YEAR(IFERROR(INDEX('Challan Master'!$D$4:$D$207,MATCH($B182,'Challan Master'!$S$4:$S$207,0)),""))-YEAR(J182))*12+(MONTH(IFERROR(INDEX('Challan Master'!$D$4:$D$207,MATCH($B182,'Challan Master'!$S$4:$S$207,0)),""))-MONTH(J182))+1),0))))</f>
      </c>
      <c r="P182" s="7">
        <f>IF($D182="","",0)</f>
      </c>
      <c r="Q182" s="8"/>
      <c r="R182" s="8"/>
      <c r="S182" s="8"/>
      <c r="T182" s="8"/>
      <c r="U182" s="8"/>
      <c r="V182" s="7">
        <f>IF($B182="","",IFERROR(INDEX('Challan Master'!$AA$4:$AA$207,MATCH($B182,'Challan Master'!$S$4:$S$207,0)),""))</f>
      </c>
    </row>
    <row r="183" spans="1:22" x14ac:dyDescent="0.25">
      <c r="A183" s="7">
        <f>IF($D183="","",COUNTIF($D$4:$D183,"&lt;&gt;"))</f>
      </c>
      <c r="B183" s="8"/>
      <c r="C183" s="7">
        <f>IF($B183="","","BSR "&amp;IFERROR(INDEX('Challan Master'!$B$4:$B$207,MATCH($B183,'Challan Master'!$S$4:$S$207,0)),"")&amp;" | Serial "&amp;IFERROR(INDEX('Challan Master'!$C$4:$C$207,MATCH($B183,'Challan Master'!$S$4:$S$207,0)),"")&amp;" | Deposit "&amp;TEXT(IFERROR(INDEX('Challan Master'!$D$4:$D$207,MATCH($B183,'Challan Master'!$S$4:$S$207,0)),""),"dd-mm-yyyy")&amp;" | Minor Head "&amp;IFERROR(INDEX('Challan Master'!$E$4:$E$207,MATCH($B183,'Challan Master'!$S$4:$S$207,0)),"")&amp;" | Tax ₹"&amp;TEXT(IFERROR(INDEX('Challan Master'!$G$4:$G$207,MATCH($B183,'Challan Master'!$S$4:$S$207,0)),""),"#,##0")&amp;" | Section "&amp;IFERROR(INDEX('Challan Master'!$F$4:$F$207,MATCH($B183,'Challan Master'!$S$4:$S$207,0)),""))</f>
      </c>
      <c r="D183" s="8"/>
      <c r="E183" s="8"/>
      <c r="F183" s="7">
        <f>IF($D183="","",IF(AND(LEN(TRIM(UPPER(E183)))=10,CODE(MID(TRIM(UPPER(E183)),1,1))&gt;=65,CODE(MID(TRIM(UPPER(E183)),1,1))&lt;=90,CODE(MID(TRIM(UPPER(E183)),2,1))&gt;=65,CODE(MID(TRIM(UPPER(E183)),2,1))&lt;=90,CODE(MID(TRIM(UPPER(E183)),3,1))&gt;=65,CODE(MID(TRIM(UPPER(E183)),3,1))&lt;=90,CODE(MID(TRIM(UPPER(E183)),4,1))&gt;=65,CODE(MID(TRIM(UPPER(E183)),4,1))&lt;=90,CODE(MID(TRIM(UPPER(E183)),5,1))&gt;=65,CODE(MID(TRIM(UPPER(E183)),5,1))&lt;=90,CODE(MID(TRIM(UPPER(E183)),10,1))&gt;=65,CODE(MID(TRIM(UPPER(E183)),10,1))&lt;=90,CODE(MID(TRIM(UPPER(E183)),6,1))&gt;=48,CODE(MID(TRIM(UPPER(E183)),6,1))&lt;=57,CODE(MID(TRIM(UPPER(E183)),7,1))&gt;=48,CODE(MID(TRIM(UPPER(E183)),7,1))&lt;=57,CODE(MID(TRIM(UPPER(E183)),8,1))&gt;=48,CODE(MID(TRIM(UPPER(E183)),8,1))&lt;=57,CODE(MID(TRIM(UPPER(E183)),9,1))&gt;=48,CODE(MID(TRIM(UPPER(E183)),9,1))&lt;=57),"N","Y"))</f>
      </c>
      <c r="G183" s="7">
        <f>IF($D183="","",IF(LEN(E183)&lt;4,"",IF(UPPER(MID(E183,4,1))="P","Individual",IF(UPPER(MID(E183,4,1))="H","HUF",IF(UPPER(MID(E183,4,1))="C","Company",IF(UPPER(MID(E183,4,1))="F","Firm",IF(UPPER(MID(E183,4,1))="L","LLP",IF(UPPER(MID(E183,4,1))="T","Trust",IF(UPPER(MID(E183,4,1))="A","AOP","")))))))))</f>
      </c>
      <c r="H183" s="8"/>
      <c r="I183" s="7">
        <f>IF($D183="","",IF(H183="","",IF(F183="Y",SUMPRODUCT(('Rate Lookup'!$A$1:$A$37=H183)*'Rate Lookup'!$D$1:$D$37),IF(OR(G183="Individual",G183="HUF"),SUMPRODUCT(('Rate Lookup'!$A$1:$A$37=H183)*'Rate Lookup'!$B$1:$B$37),SUMPRODUCT(('Rate Lookup'!$A$1:$A$37=H183)*'Rate Lookup'!$C$1:$C$37)))))</f>
      </c>
      <c r="J183" s="8"/>
      <c r="K183" s="8"/>
      <c r="L183" s="7">
        <f>IF($D183="","",ROUND(K183*I183/100,0))</f>
      </c>
      <c r="M183" s="7">
        <f>IF($D183="","",0)</f>
      </c>
      <c r="N183" s="7">
        <f>IF($D183="","",0)</f>
      </c>
      <c r="O183" s="7">
        <f>IF($D183="","",IF(OR(L183=0,J183="",IFERROR(INDEX('Challan Master'!$D$4:$D$207,MATCH($B183,'Challan Master'!$S$4:$S$207,0)),"")="",IFERROR(INDEX('Challan Master'!$D$4:$D$207,MATCH($B183,'Challan Master'!$S$4:$S$207,0)),"")&lt;=0),0,IF(IFERROR(INDEX('Challan Master'!$D$4:$D$207,MATCH($B183,'Challan Master'!$S$4:$S$207,0)),"")&lt;=DATE(YEAR(J183),MONTH(J183)+1,7),0,ROUND(L183*0.015*((YEAR(IFERROR(INDEX('Challan Master'!$D$4:$D$207,MATCH($B183,'Challan Master'!$S$4:$S$207,0)),""))-YEAR(J183))*12+(MONTH(IFERROR(INDEX('Challan Master'!$D$4:$D$207,MATCH($B183,'Challan Master'!$S$4:$S$207,0)),""))-MONTH(J183))+1),0))))</f>
      </c>
      <c r="P183" s="7">
        <f>IF($D183="","",0)</f>
      </c>
      <c r="Q183" s="8"/>
      <c r="R183" s="8"/>
      <c r="S183" s="8"/>
      <c r="T183" s="8"/>
      <c r="U183" s="8"/>
      <c r="V183" s="7">
        <f>IF($B183="","",IFERROR(INDEX('Challan Master'!$AA$4:$AA$207,MATCH($B183,'Challan Master'!$S$4:$S$207,0)),""))</f>
      </c>
    </row>
    <row r="184" spans="1:22" x14ac:dyDescent="0.25">
      <c r="A184" s="7">
        <f>IF($D184="","",COUNTIF($D$4:$D184,"&lt;&gt;"))</f>
      </c>
      <c r="B184" s="8"/>
      <c r="C184" s="7">
        <f>IF($B184="","","BSR "&amp;IFERROR(INDEX('Challan Master'!$B$4:$B$207,MATCH($B184,'Challan Master'!$S$4:$S$207,0)),"")&amp;" | Serial "&amp;IFERROR(INDEX('Challan Master'!$C$4:$C$207,MATCH($B184,'Challan Master'!$S$4:$S$207,0)),"")&amp;" | Deposit "&amp;TEXT(IFERROR(INDEX('Challan Master'!$D$4:$D$207,MATCH($B184,'Challan Master'!$S$4:$S$207,0)),""),"dd-mm-yyyy")&amp;" | Minor Head "&amp;IFERROR(INDEX('Challan Master'!$E$4:$E$207,MATCH($B184,'Challan Master'!$S$4:$S$207,0)),"")&amp;" | Tax ₹"&amp;TEXT(IFERROR(INDEX('Challan Master'!$G$4:$G$207,MATCH($B184,'Challan Master'!$S$4:$S$207,0)),""),"#,##0")&amp;" | Section "&amp;IFERROR(INDEX('Challan Master'!$F$4:$F$207,MATCH($B184,'Challan Master'!$S$4:$S$207,0)),""))</f>
      </c>
      <c r="D184" s="8"/>
      <c r="E184" s="8"/>
      <c r="F184" s="7">
        <f>IF($D184="","",IF(AND(LEN(TRIM(UPPER(E184)))=10,CODE(MID(TRIM(UPPER(E184)),1,1))&gt;=65,CODE(MID(TRIM(UPPER(E184)),1,1))&lt;=90,CODE(MID(TRIM(UPPER(E184)),2,1))&gt;=65,CODE(MID(TRIM(UPPER(E184)),2,1))&lt;=90,CODE(MID(TRIM(UPPER(E184)),3,1))&gt;=65,CODE(MID(TRIM(UPPER(E184)),3,1))&lt;=90,CODE(MID(TRIM(UPPER(E184)),4,1))&gt;=65,CODE(MID(TRIM(UPPER(E184)),4,1))&lt;=90,CODE(MID(TRIM(UPPER(E184)),5,1))&gt;=65,CODE(MID(TRIM(UPPER(E184)),5,1))&lt;=90,CODE(MID(TRIM(UPPER(E184)),10,1))&gt;=65,CODE(MID(TRIM(UPPER(E184)),10,1))&lt;=90,CODE(MID(TRIM(UPPER(E184)),6,1))&gt;=48,CODE(MID(TRIM(UPPER(E184)),6,1))&lt;=57,CODE(MID(TRIM(UPPER(E184)),7,1))&gt;=48,CODE(MID(TRIM(UPPER(E184)),7,1))&lt;=57,CODE(MID(TRIM(UPPER(E184)),8,1))&gt;=48,CODE(MID(TRIM(UPPER(E184)),8,1))&lt;=57,CODE(MID(TRIM(UPPER(E184)),9,1))&gt;=48,CODE(MID(TRIM(UPPER(E184)),9,1))&lt;=57),"N","Y"))</f>
      </c>
      <c r="G184" s="7">
        <f>IF($D184="","",IF(LEN(E184)&lt;4,"",IF(UPPER(MID(E184,4,1))="P","Individual",IF(UPPER(MID(E184,4,1))="H","HUF",IF(UPPER(MID(E184,4,1))="C","Company",IF(UPPER(MID(E184,4,1))="F","Firm",IF(UPPER(MID(E184,4,1))="L","LLP",IF(UPPER(MID(E184,4,1))="T","Trust",IF(UPPER(MID(E184,4,1))="A","AOP","")))))))))</f>
      </c>
      <c r="H184" s="8"/>
      <c r="I184" s="7">
        <f>IF($D184="","",IF(H184="","",IF(F184="Y",SUMPRODUCT(('Rate Lookup'!$A$1:$A$37=H184)*'Rate Lookup'!$D$1:$D$37),IF(OR(G184="Individual",G184="HUF"),SUMPRODUCT(('Rate Lookup'!$A$1:$A$37=H184)*'Rate Lookup'!$B$1:$B$37),SUMPRODUCT(('Rate Lookup'!$A$1:$A$37=H184)*'Rate Lookup'!$C$1:$C$37)))))</f>
      </c>
      <c r="J184" s="8"/>
      <c r="K184" s="8"/>
      <c r="L184" s="7">
        <f>IF($D184="","",ROUND(K184*I184/100,0))</f>
      </c>
      <c r="M184" s="7">
        <f>IF($D184="","",0)</f>
      </c>
      <c r="N184" s="7">
        <f>IF($D184="","",0)</f>
      </c>
      <c r="O184" s="7">
        <f>IF($D184="","",IF(OR(L184=0,J184="",IFERROR(INDEX('Challan Master'!$D$4:$D$207,MATCH($B184,'Challan Master'!$S$4:$S$207,0)),"")="",IFERROR(INDEX('Challan Master'!$D$4:$D$207,MATCH($B184,'Challan Master'!$S$4:$S$207,0)),"")&lt;=0),0,IF(IFERROR(INDEX('Challan Master'!$D$4:$D$207,MATCH($B184,'Challan Master'!$S$4:$S$207,0)),"")&lt;=DATE(YEAR(J184),MONTH(J184)+1,7),0,ROUND(L184*0.015*((YEAR(IFERROR(INDEX('Challan Master'!$D$4:$D$207,MATCH($B184,'Challan Master'!$S$4:$S$207,0)),""))-YEAR(J184))*12+(MONTH(IFERROR(INDEX('Challan Master'!$D$4:$D$207,MATCH($B184,'Challan Master'!$S$4:$S$207,0)),""))-MONTH(J184))+1),0))))</f>
      </c>
      <c r="P184" s="7">
        <f>IF($D184="","",0)</f>
      </c>
      <c r="Q184" s="8"/>
      <c r="R184" s="8"/>
      <c r="S184" s="8"/>
      <c r="T184" s="8"/>
      <c r="U184" s="8"/>
      <c r="V184" s="7">
        <f>IF($B184="","",IFERROR(INDEX('Challan Master'!$AA$4:$AA$207,MATCH($B184,'Challan Master'!$S$4:$S$207,0)),""))</f>
      </c>
    </row>
    <row r="185" spans="1:22" x14ac:dyDescent="0.25">
      <c r="A185" s="7">
        <f>IF($D185="","",COUNTIF($D$4:$D185,"&lt;&gt;"))</f>
      </c>
      <c r="B185" s="8"/>
      <c r="C185" s="7">
        <f>IF($B185="","","BSR "&amp;IFERROR(INDEX('Challan Master'!$B$4:$B$207,MATCH($B185,'Challan Master'!$S$4:$S$207,0)),"")&amp;" | Serial "&amp;IFERROR(INDEX('Challan Master'!$C$4:$C$207,MATCH($B185,'Challan Master'!$S$4:$S$207,0)),"")&amp;" | Deposit "&amp;TEXT(IFERROR(INDEX('Challan Master'!$D$4:$D$207,MATCH($B185,'Challan Master'!$S$4:$S$207,0)),""),"dd-mm-yyyy")&amp;" | Minor Head "&amp;IFERROR(INDEX('Challan Master'!$E$4:$E$207,MATCH($B185,'Challan Master'!$S$4:$S$207,0)),"")&amp;" | Tax ₹"&amp;TEXT(IFERROR(INDEX('Challan Master'!$G$4:$G$207,MATCH($B185,'Challan Master'!$S$4:$S$207,0)),""),"#,##0")&amp;" | Section "&amp;IFERROR(INDEX('Challan Master'!$F$4:$F$207,MATCH($B185,'Challan Master'!$S$4:$S$207,0)),""))</f>
      </c>
      <c r="D185" s="8"/>
      <c r="E185" s="8"/>
      <c r="F185" s="7">
        <f>IF($D185="","",IF(AND(LEN(TRIM(UPPER(E185)))=10,CODE(MID(TRIM(UPPER(E185)),1,1))&gt;=65,CODE(MID(TRIM(UPPER(E185)),1,1))&lt;=90,CODE(MID(TRIM(UPPER(E185)),2,1))&gt;=65,CODE(MID(TRIM(UPPER(E185)),2,1))&lt;=90,CODE(MID(TRIM(UPPER(E185)),3,1))&gt;=65,CODE(MID(TRIM(UPPER(E185)),3,1))&lt;=90,CODE(MID(TRIM(UPPER(E185)),4,1))&gt;=65,CODE(MID(TRIM(UPPER(E185)),4,1))&lt;=90,CODE(MID(TRIM(UPPER(E185)),5,1))&gt;=65,CODE(MID(TRIM(UPPER(E185)),5,1))&lt;=90,CODE(MID(TRIM(UPPER(E185)),10,1))&gt;=65,CODE(MID(TRIM(UPPER(E185)),10,1))&lt;=90,CODE(MID(TRIM(UPPER(E185)),6,1))&gt;=48,CODE(MID(TRIM(UPPER(E185)),6,1))&lt;=57,CODE(MID(TRIM(UPPER(E185)),7,1))&gt;=48,CODE(MID(TRIM(UPPER(E185)),7,1))&lt;=57,CODE(MID(TRIM(UPPER(E185)),8,1))&gt;=48,CODE(MID(TRIM(UPPER(E185)),8,1))&lt;=57,CODE(MID(TRIM(UPPER(E185)),9,1))&gt;=48,CODE(MID(TRIM(UPPER(E185)),9,1))&lt;=57),"N","Y"))</f>
      </c>
      <c r="G185" s="7">
        <f>IF($D185="","",IF(LEN(E185)&lt;4,"",IF(UPPER(MID(E185,4,1))="P","Individual",IF(UPPER(MID(E185,4,1))="H","HUF",IF(UPPER(MID(E185,4,1))="C","Company",IF(UPPER(MID(E185,4,1))="F","Firm",IF(UPPER(MID(E185,4,1))="L","LLP",IF(UPPER(MID(E185,4,1))="T","Trust",IF(UPPER(MID(E185,4,1))="A","AOP","")))))))))</f>
      </c>
      <c r="H185" s="8"/>
      <c r="I185" s="7">
        <f>IF($D185="","",IF(H185="","",IF(F185="Y",SUMPRODUCT(('Rate Lookup'!$A$1:$A$37=H185)*'Rate Lookup'!$D$1:$D$37),IF(OR(G185="Individual",G185="HUF"),SUMPRODUCT(('Rate Lookup'!$A$1:$A$37=H185)*'Rate Lookup'!$B$1:$B$37),SUMPRODUCT(('Rate Lookup'!$A$1:$A$37=H185)*'Rate Lookup'!$C$1:$C$37)))))</f>
      </c>
      <c r="J185" s="8"/>
      <c r="K185" s="8"/>
      <c r="L185" s="7">
        <f>IF($D185="","",ROUND(K185*I185/100,0))</f>
      </c>
      <c r="M185" s="7">
        <f>IF($D185="","",0)</f>
      </c>
      <c r="N185" s="7">
        <f>IF($D185="","",0)</f>
      </c>
      <c r="O185" s="7">
        <f>IF($D185="","",IF(OR(L185=0,J185="",IFERROR(INDEX('Challan Master'!$D$4:$D$207,MATCH($B185,'Challan Master'!$S$4:$S$207,0)),"")="",IFERROR(INDEX('Challan Master'!$D$4:$D$207,MATCH($B185,'Challan Master'!$S$4:$S$207,0)),"")&lt;=0),0,IF(IFERROR(INDEX('Challan Master'!$D$4:$D$207,MATCH($B185,'Challan Master'!$S$4:$S$207,0)),"")&lt;=DATE(YEAR(J185),MONTH(J185)+1,7),0,ROUND(L185*0.015*((YEAR(IFERROR(INDEX('Challan Master'!$D$4:$D$207,MATCH($B185,'Challan Master'!$S$4:$S$207,0)),""))-YEAR(J185))*12+(MONTH(IFERROR(INDEX('Challan Master'!$D$4:$D$207,MATCH($B185,'Challan Master'!$S$4:$S$207,0)),""))-MONTH(J185))+1),0))))</f>
      </c>
      <c r="P185" s="7">
        <f>IF($D185="","",0)</f>
      </c>
      <c r="Q185" s="8"/>
      <c r="R185" s="8"/>
      <c r="S185" s="8"/>
      <c r="T185" s="8"/>
      <c r="U185" s="8"/>
      <c r="V185" s="7">
        <f>IF($B185="","",IFERROR(INDEX('Challan Master'!$AA$4:$AA$207,MATCH($B185,'Challan Master'!$S$4:$S$207,0)),""))</f>
      </c>
    </row>
    <row r="186" spans="1:22" x14ac:dyDescent="0.25">
      <c r="A186" s="7">
        <f>IF($D186="","",COUNTIF($D$4:$D186,"&lt;&gt;"))</f>
      </c>
      <c r="B186" s="8"/>
      <c r="C186" s="7">
        <f>IF($B186="","","BSR "&amp;IFERROR(INDEX('Challan Master'!$B$4:$B$207,MATCH($B186,'Challan Master'!$S$4:$S$207,0)),"")&amp;" | Serial "&amp;IFERROR(INDEX('Challan Master'!$C$4:$C$207,MATCH($B186,'Challan Master'!$S$4:$S$207,0)),"")&amp;" | Deposit "&amp;TEXT(IFERROR(INDEX('Challan Master'!$D$4:$D$207,MATCH($B186,'Challan Master'!$S$4:$S$207,0)),""),"dd-mm-yyyy")&amp;" | Minor Head "&amp;IFERROR(INDEX('Challan Master'!$E$4:$E$207,MATCH($B186,'Challan Master'!$S$4:$S$207,0)),"")&amp;" | Tax ₹"&amp;TEXT(IFERROR(INDEX('Challan Master'!$G$4:$G$207,MATCH($B186,'Challan Master'!$S$4:$S$207,0)),""),"#,##0")&amp;" | Section "&amp;IFERROR(INDEX('Challan Master'!$F$4:$F$207,MATCH($B186,'Challan Master'!$S$4:$S$207,0)),""))</f>
      </c>
      <c r="D186" s="8"/>
      <c r="E186" s="8"/>
      <c r="F186" s="7">
        <f>IF($D186="","",IF(AND(LEN(TRIM(UPPER(E186)))=10,CODE(MID(TRIM(UPPER(E186)),1,1))&gt;=65,CODE(MID(TRIM(UPPER(E186)),1,1))&lt;=90,CODE(MID(TRIM(UPPER(E186)),2,1))&gt;=65,CODE(MID(TRIM(UPPER(E186)),2,1))&lt;=90,CODE(MID(TRIM(UPPER(E186)),3,1))&gt;=65,CODE(MID(TRIM(UPPER(E186)),3,1))&lt;=90,CODE(MID(TRIM(UPPER(E186)),4,1))&gt;=65,CODE(MID(TRIM(UPPER(E186)),4,1))&lt;=90,CODE(MID(TRIM(UPPER(E186)),5,1))&gt;=65,CODE(MID(TRIM(UPPER(E186)),5,1))&lt;=90,CODE(MID(TRIM(UPPER(E186)),10,1))&gt;=65,CODE(MID(TRIM(UPPER(E186)),10,1))&lt;=90,CODE(MID(TRIM(UPPER(E186)),6,1))&gt;=48,CODE(MID(TRIM(UPPER(E186)),6,1))&lt;=57,CODE(MID(TRIM(UPPER(E186)),7,1))&gt;=48,CODE(MID(TRIM(UPPER(E186)),7,1))&lt;=57,CODE(MID(TRIM(UPPER(E186)),8,1))&gt;=48,CODE(MID(TRIM(UPPER(E186)),8,1))&lt;=57,CODE(MID(TRIM(UPPER(E186)),9,1))&gt;=48,CODE(MID(TRIM(UPPER(E186)),9,1))&lt;=57),"N","Y"))</f>
      </c>
      <c r="G186" s="7">
        <f>IF($D186="","",IF(LEN(E186)&lt;4,"",IF(UPPER(MID(E186,4,1))="P","Individual",IF(UPPER(MID(E186,4,1))="H","HUF",IF(UPPER(MID(E186,4,1))="C","Company",IF(UPPER(MID(E186,4,1))="F","Firm",IF(UPPER(MID(E186,4,1))="L","LLP",IF(UPPER(MID(E186,4,1))="T","Trust",IF(UPPER(MID(E186,4,1))="A","AOP","")))))))))</f>
      </c>
      <c r="H186" s="8"/>
      <c r="I186" s="7">
        <f>IF($D186="","",IF(H186="","",IF(F186="Y",SUMPRODUCT(('Rate Lookup'!$A$1:$A$37=H186)*'Rate Lookup'!$D$1:$D$37),IF(OR(G186="Individual",G186="HUF"),SUMPRODUCT(('Rate Lookup'!$A$1:$A$37=H186)*'Rate Lookup'!$B$1:$B$37),SUMPRODUCT(('Rate Lookup'!$A$1:$A$37=H186)*'Rate Lookup'!$C$1:$C$37)))))</f>
      </c>
      <c r="J186" s="8"/>
      <c r="K186" s="8"/>
      <c r="L186" s="7">
        <f>IF($D186="","",ROUND(K186*I186/100,0))</f>
      </c>
      <c r="M186" s="7">
        <f>IF($D186="","",0)</f>
      </c>
      <c r="N186" s="7">
        <f>IF($D186="","",0)</f>
      </c>
      <c r="O186" s="7">
        <f>IF($D186="","",IF(OR(L186=0,J186="",IFERROR(INDEX('Challan Master'!$D$4:$D$207,MATCH($B186,'Challan Master'!$S$4:$S$207,0)),"")="",IFERROR(INDEX('Challan Master'!$D$4:$D$207,MATCH($B186,'Challan Master'!$S$4:$S$207,0)),"")&lt;=0),0,IF(IFERROR(INDEX('Challan Master'!$D$4:$D$207,MATCH($B186,'Challan Master'!$S$4:$S$207,0)),"")&lt;=DATE(YEAR(J186),MONTH(J186)+1,7),0,ROUND(L186*0.015*((YEAR(IFERROR(INDEX('Challan Master'!$D$4:$D$207,MATCH($B186,'Challan Master'!$S$4:$S$207,0)),""))-YEAR(J186))*12+(MONTH(IFERROR(INDEX('Challan Master'!$D$4:$D$207,MATCH($B186,'Challan Master'!$S$4:$S$207,0)),""))-MONTH(J186))+1),0))))</f>
      </c>
      <c r="P186" s="7">
        <f>IF($D186="","",0)</f>
      </c>
      <c r="Q186" s="8"/>
      <c r="R186" s="8"/>
      <c r="S186" s="8"/>
      <c r="T186" s="8"/>
      <c r="U186" s="8"/>
      <c r="V186" s="7">
        <f>IF($B186="","",IFERROR(INDEX('Challan Master'!$AA$4:$AA$207,MATCH($B186,'Challan Master'!$S$4:$S$207,0)),""))</f>
      </c>
    </row>
    <row r="187" spans="1:22" x14ac:dyDescent="0.25">
      <c r="A187" s="7">
        <f>IF($D187="","",COUNTIF($D$4:$D187,"&lt;&gt;"))</f>
      </c>
      <c r="B187" s="8"/>
      <c r="C187" s="7">
        <f>IF($B187="","","BSR "&amp;IFERROR(INDEX('Challan Master'!$B$4:$B$207,MATCH($B187,'Challan Master'!$S$4:$S$207,0)),"")&amp;" | Serial "&amp;IFERROR(INDEX('Challan Master'!$C$4:$C$207,MATCH($B187,'Challan Master'!$S$4:$S$207,0)),"")&amp;" | Deposit "&amp;TEXT(IFERROR(INDEX('Challan Master'!$D$4:$D$207,MATCH($B187,'Challan Master'!$S$4:$S$207,0)),""),"dd-mm-yyyy")&amp;" | Minor Head "&amp;IFERROR(INDEX('Challan Master'!$E$4:$E$207,MATCH($B187,'Challan Master'!$S$4:$S$207,0)),"")&amp;" | Tax ₹"&amp;TEXT(IFERROR(INDEX('Challan Master'!$G$4:$G$207,MATCH($B187,'Challan Master'!$S$4:$S$207,0)),""),"#,##0")&amp;" | Section "&amp;IFERROR(INDEX('Challan Master'!$F$4:$F$207,MATCH($B187,'Challan Master'!$S$4:$S$207,0)),""))</f>
      </c>
      <c r="D187" s="8"/>
      <c r="E187" s="8"/>
      <c r="F187" s="7">
        <f>IF($D187="","",IF(AND(LEN(TRIM(UPPER(E187)))=10,CODE(MID(TRIM(UPPER(E187)),1,1))&gt;=65,CODE(MID(TRIM(UPPER(E187)),1,1))&lt;=90,CODE(MID(TRIM(UPPER(E187)),2,1))&gt;=65,CODE(MID(TRIM(UPPER(E187)),2,1))&lt;=90,CODE(MID(TRIM(UPPER(E187)),3,1))&gt;=65,CODE(MID(TRIM(UPPER(E187)),3,1))&lt;=90,CODE(MID(TRIM(UPPER(E187)),4,1))&gt;=65,CODE(MID(TRIM(UPPER(E187)),4,1))&lt;=90,CODE(MID(TRIM(UPPER(E187)),5,1))&gt;=65,CODE(MID(TRIM(UPPER(E187)),5,1))&lt;=90,CODE(MID(TRIM(UPPER(E187)),10,1))&gt;=65,CODE(MID(TRIM(UPPER(E187)),10,1))&lt;=90,CODE(MID(TRIM(UPPER(E187)),6,1))&gt;=48,CODE(MID(TRIM(UPPER(E187)),6,1))&lt;=57,CODE(MID(TRIM(UPPER(E187)),7,1))&gt;=48,CODE(MID(TRIM(UPPER(E187)),7,1))&lt;=57,CODE(MID(TRIM(UPPER(E187)),8,1))&gt;=48,CODE(MID(TRIM(UPPER(E187)),8,1))&lt;=57,CODE(MID(TRIM(UPPER(E187)),9,1))&gt;=48,CODE(MID(TRIM(UPPER(E187)),9,1))&lt;=57),"N","Y"))</f>
      </c>
      <c r="G187" s="7">
        <f>IF($D187="","",IF(LEN(E187)&lt;4,"",IF(UPPER(MID(E187,4,1))="P","Individual",IF(UPPER(MID(E187,4,1))="H","HUF",IF(UPPER(MID(E187,4,1))="C","Company",IF(UPPER(MID(E187,4,1))="F","Firm",IF(UPPER(MID(E187,4,1))="L","LLP",IF(UPPER(MID(E187,4,1))="T","Trust",IF(UPPER(MID(E187,4,1))="A","AOP","")))))))))</f>
      </c>
      <c r="H187" s="8"/>
      <c r="I187" s="7">
        <f>IF($D187="","",IF(H187="","",IF(F187="Y",SUMPRODUCT(('Rate Lookup'!$A$1:$A$37=H187)*'Rate Lookup'!$D$1:$D$37),IF(OR(G187="Individual",G187="HUF"),SUMPRODUCT(('Rate Lookup'!$A$1:$A$37=H187)*'Rate Lookup'!$B$1:$B$37),SUMPRODUCT(('Rate Lookup'!$A$1:$A$37=H187)*'Rate Lookup'!$C$1:$C$37)))))</f>
      </c>
      <c r="J187" s="8"/>
      <c r="K187" s="8"/>
      <c r="L187" s="7">
        <f>IF($D187="","",ROUND(K187*I187/100,0))</f>
      </c>
      <c r="M187" s="7">
        <f>IF($D187="","",0)</f>
      </c>
      <c r="N187" s="7">
        <f>IF($D187="","",0)</f>
      </c>
      <c r="O187" s="7">
        <f>IF($D187="","",IF(OR(L187=0,J187="",IFERROR(INDEX('Challan Master'!$D$4:$D$207,MATCH($B187,'Challan Master'!$S$4:$S$207,0)),"")="",IFERROR(INDEX('Challan Master'!$D$4:$D$207,MATCH($B187,'Challan Master'!$S$4:$S$207,0)),"")&lt;=0),0,IF(IFERROR(INDEX('Challan Master'!$D$4:$D$207,MATCH($B187,'Challan Master'!$S$4:$S$207,0)),"")&lt;=DATE(YEAR(J187),MONTH(J187)+1,7),0,ROUND(L187*0.015*((YEAR(IFERROR(INDEX('Challan Master'!$D$4:$D$207,MATCH($B187,'Challan Master'!$S$4:$S$207,0)),""))-YEAR(J187))*12+(MONTH(IFERROR(INDEX('Challan Master'!$D$4:$D$207,MATCH($B187,'Challan Master'!$S$4:$S$207,0)),""))-MONTH(J187))+1),0))))</f>
      </c>
      <c r="P187" s="7">
        <f>IF($D187="","",0)</f>
      </c>
      <c r="Q187" s="8"/>
      <c r="R187" s="8"/>
      <c r="S187" s="8"/>
      <c r="T187" s="8"/>
      <c r="U187" s="8"/>
      <c r="V187" s="7">
        <f>IF($B187="","",IFERROR(INDEX('Challan Master'!$AA$4:$AA$207,MATCH($B187,'Challan Master'!$S$4:$S$207,0)),""))</f>
      </c>
    </row>
    <row r="188" spans="1:22" x14ac:dyDescent="0.25">
      <c r="A188" s="7">
        <f>IF($D188="","",COUNTIF($D$4:$D188,"&lt;&gt;"))</f>
      </c>
      <c r="B188" s="8"/>
      <c r="C188" s="7">
        <f>IF($B188="","","BSR "&amp;IFERROR(INDEX('Challan Master'!$B$4:$B$207,MATCH($B188,'Challan Master'!$S$4:$S$207,0)),"")&amp;" | Serial "&amp;IFERROR(INDEX('Challan Master'!$C$4:$C$207,MATCH($B188,'Challan Master'!$S$4:$S$207,0)),"")&amp;" | Deposit "&amp;TEXT(IFERROR(INDEX('Challan Master'!$D$4:$D$207,MATCH($B188,'Challan Master'!$S$4:$S$207,0)),""),"dd-mm-yyyy")&amp;" | Minor Head "&amp;IFERROR(INDEX('Challan Master'!$E$4:$E$207,MATCH($B188,'Challan Master'!$S$4:$S$207,0)),"")&amp;" | Tax ₹"&amp;TEXT(IFERROR(INDEX('Challan Master'!$G$4:$G$207,MATCH($B188,'Challan Master'!$S$4:$S$207,0)),""),"#,##0")&amp;" | Section "&amp;IFERROR(INDEX('Challan Master'!$F$4:$F$207,MATCH($B188,'Challan Master'!$S$4:$S$207,0)),""))</f>
      </c>
      <c r="D188" s="8"/>
      <c r="E188" s="8"/>
      <c r="F188" s="7">
        <f>IF($D188="","",IF(AND(LEN(TRIM(UPPER(E188)))=10,CODE(MID(TRIM(UPPER(E188)),1,1))&gt;=65,CODE(MID(TRIM(UPPER(E188)),1,1))&lt;=90,CODE(MID(TRIM(UPPER(E188)),2,1))&gt;=65,CODE(MID(TRIM(UPPER(E188)),2,1))&lt;=90,CODE(MID(TRIM(UPPER(E188)),3,1))&gt;=65,CODE(MID(TRIM(UPPER(E188)),3,1))&lt;=90,CODE(MID(TRIM(UPPER(E188)),4,1))&gt;=65,CODE(MID(TRIM(UPPER(E188)),4,1))&lt;=90,CODE(MID(TRIM(UPPER(E188)),5,1))&gt;=65,CODE(MID(TRIM(UPPER(E188)),5,1))&lt;=90,CODE(MID(TRIM(UPPER(E188)),10,1))&gt;=65,CODE(MID(TRIM(UPPER(E188)),10,1))&lt;=90,CODE(MID(TRIM(UPPER(E188)),6,1))&gt;=48,CODE(MID(TRIM(UPPER(E188)),6,1))&lt;=57,CODE(MID(TRIM(UPPER(E188)),7,1))&gt;=48,CODE(MID(TRIM(UPPER(E188)),7,1))&lt;=57,CODE(MID(TRIM(UPPER(E188)),8,1))&gt;=48,CODE(MID(TRIM(UPPER(E188)),8,1))&lt;=57,CODE(MID(TRIM(UPPER(E188)),9,1))&gt;=48,CODE(MID(TRIM(UPPER(E188)),9,1))&lt;=57),"N","Y"))</f>
      </c>
      <c r="G188" s="7">
        <f>IF($D188="","",IF(LEN(E188)&lt;4,"",IF(UPPER(MID(E188,4,1))="P","Individual",IF(UPPER(MID(E188,4,1))="H","HUF",IF(UPPER(MID(E188,4,1))="C","Company",IF(UPPER(MID(E188,4,1))="F","Firm",IF(UPPER(MID(E188,4,1))="L","LLP",IF(UPPER(MID(E188,4,1))="T","Trust",IF(UPPER(MID(E188,4,1))="A","AOP","")))))))))</f>
      </c>
      <c r="H188" s="8"/>
      <c r="I188" s="7">
        <f>IF($D188="","",IF(H188="","",IF(F188="Y",SUMPRODUCT(('Rate Lookup'!$A$1:$A$37=H188)*'Rate Lookup'!$D$1:$D$37),IF(OR(G188="Individual",G188="HUF"),SUMPRODUCT(('Rate Lookup'!$A$1:$A$37=H188)*'Rate Lookup'!$B$1:$B$37),SUMPRODUCT(('Rate Lookup'!$A$1:$A$37=H188)*'Rate Lookup'!$C$1:$C$37)))))</f>
      </c>
      <c r="J188" s="8"/>
      <c r="K188" s="8"/>
      <c r="L188" s="7">
        <f>IF($D188="","",ROUND(K188*I188/100,0))</f>
      </c>
      <c r="M188" s="7">
        <f>IF($D188="","",0)</f>
      </c>
      <c r="N188" s="7">
        <f>IF($D188="","",0)</f>
      </c>
      <c r="O188" s="7">
        <f>IF($D188="","",IF(OR(L188=0,J188="",IFERROR(INDEX('Challan Master'!$D$4:$D$207,MATCH($B188,'Challan Master'!$S$4:$S$207,0)),"")="",IFERROR(INDEX('Challan Master'!$D$4:$D$207,MATCH($B188,'Challan Master'!$S$4:$S$207,0)),"")&lt;=0),0,IF(IFERROR(INDEX('Challan Master'!$D$4:$D$207,MATCH($B188,'Challan Master'!$S$4:$S$207,0)),"")&lt;=DATE(YEAR(J188),MONTH(J188)+1,7),0,ROUND(L188*0.015*((YEAR(IFERROR(INDEX('Challan Master'!$D$4:$D$207,MATCH($B188,'Challan Master'!$S$4:$S$207,0)),""))-YEAR(J188))*12+(MONTH(IFERROR(INDEX('Challan Master'!$D$4:$D$207,MATCH($B188,'Challan Master'!$S$4:$S$207,0)),""))-MONTH(J188))+1),0))))</f>
      </c>
      <c r="P188" s="7">
        <f>IF($D188="","",0)</f>
      </c>
      <c r="Q188" s="8"/>
      <c r="R188" s="8"/>
      <c r="S188" s="8"/>
      <c r="T188" s="8"/>
      <c r="U188" s="8"/>
      <c r="V188" s="7">
        <f>IF($B188="","",IFERROR(INDEX('Challan Master'!$AA$4:$AA$207,MATCH($B188,'Challan Master'!$S$4:$S$207,0)),""))</f>
      </c>
    </row>
    <row r="189" spans="1:22" x14ac:dyDescent="0.25">
      <c r="A189" s="7">
        <f>IF($D189="","",COUNTIF($D$4:$D189,"&lt;&gt;"))</f>
      </c>
      <c r="B189" s="8"/>
      <c r="C189" s="7">
        <f>IF($B189="","","BSR "&amp;IFERROR(INDEX('Challan Master'!$B$4:$B$207,MATCH($B189,'Challan Master'!$S$4:$S$207,0)),"")&amp;" | Serial "&amp;IFERROR(INDEX('Challan Master'!$C$4:$C$207,MATCH($B189,'Challan Master'!$S$4:$S$207,0)),"")&amp;" | Deposit "&amp;TEXT(IFERROR(INDEX('Challan Master'!$D$4:$D$207,MATCH($B189,'Challan Master'!$S$4:$S$207,0)),""),"dd-mm-yyyy")&amp;" | Minor Head "&amp;IFERROR(INDEX('Challan Master'!$E$4:$E$207,MATCH($B189,'Challan Master'!$S$4:$S$207,0)),"")&amp;" | Tax ₹"&amp;TEXT(IFERROR(INDEX('Challan Master'!$G$4:$G$207,MATCH($B189,'Challan Master'!$S$4:$S$207,0)),""),"#,##0")&amp;" | Section "&amp;IFERROR(INDEX('Challan Master'!$F$4:$F$207,MATCH($B189,'Challan Master'!$S$4:$S$207,0)),""))</f>
      </c>
      <c r="D189" s="8"/>
      <c r="E189" s="8"/>
      <c r="F189" s="7">
        <f>IF($D189="","",IF(AND(LEN(TRIM(UPPER(E189)))=10,CODE(MID(TRIM(UPPER(E189)),1,1))&gt;=65,CODE(MID(TRIM(UPPER(E189)),1,1))&lt;=90,CODE(MID(TRIM(UPPER(E189)),2,1))&gt;=65,CODE(MID(TRIM(UPPER(E189)),2,1))&lt;=90,CODE(MID(TRIM(UPPER(E189)),3,1))&gt;=65,CODE(MID(TRIM(UPPER(E189)),3,1))&lt;=90,CODE(MID(TRIM(UPPER(E189)),4,1))&gt;=65,CODE(MID(TRIM(UPPER(E189)),4,1))&lt;=90,CODE(MID(TRIM(UPPER(E189)),5,1))&gt;=65,CODE(MID(TRIM(UPPER(E189)),5,1))&lt;=90,CODE(MID(TRIM(UPPER(E189)),10,1))&gt;=65,CODE(MID(TRIM(UPPER(E189)),10,1))&lt;=90,CODE(MID(TRIM(UPPER(E189)),6,1))&gt;=48,CODE(MID(TRIM(UPPER(E189)),6,1))&lt;=57,CODE(MID(TRIM(UPPER(E189)),7,1))&gt;=48,CODE(MID(TRIM(UPPER(E189)),7,1))&lt;=57,CODE(MID(TRIM(UPPER(E189)),8,1))&gt;=48,CODE(MID(TRIM(UPPER(E189)),8,1))&lt;=57,CODE(MID(TRIM(UPPER(E189)),9,1))&gt;=48,CODE(MID(TRIM(UPPER(E189)),9,1))&lt;=57),"N","Y"))</f>
      </c>
      <c r="G189" s="7">
        <f>IF($D189="","",IF(LEN(E189)&lt;4,"",IF(UPPER(MID(E189,4,1))="P","Individual",IF(UPPER(MID(E189,4,1))="H","HUF",IF(UPPER(MID(E189,4,1))="C","Company",IF(UPPER(MID(E189,4,1))="F","Firm",IF(UPPER(MID(E189,4,1))="L","LLP",IF(UPPER(MID(E189,4,1))="T","Trust",IF(UPPER(MID(E189,4,1))="A","AOP","")))))))))</f>
      </c>
      <c r="H189" s="8"/>
      <c r="I189" s="7">
        <f>IF($D189="","",IF(H189="","",IF(F189="Y",SUMPRODUCT(('Rate Lookup'!$A$1:$A$37=H189)*'Rate Lookup'!$D$1:$D$37),IF(OR(G189="Individual",G189="HUF"),SUMPRODUCT(('Rate Lookup'!$A$1:$A$37=H189)*'Rate Lookup'!$B$1:$B$37),SUMPRODUCT(('Rate Lookup'!$A$1:$A$37=H189)*'Rate Lookup'!$C$1:$C$37)))))</f>
      </c>
      <c r="J189" s="8"/>
      <c r="K189" s="8"/>
      <c r="L189" s="7">
        <f>IF($D189="","",ROUND(K189*I189/100,0))</f>
      </c>
      <c r="M189" s="7">
        <f>IF($D189="","",0)</f>
      </c>
      <c r="N189" s="7">
        <f>IF($D189="","",0)</f>
      </c>
      <c r="O189" s="7">
        <f>IF($D189="","",IF(OR(L189=0,J189="",IFERROR(INDEX('Challan Master'!$D$4:$D$207,MATCH($B189,'Challan Master'!$S$4:$S$207,0)),"")="",IFERROR(INDEX('Challan Master'!$D$4:$D$207,MATCH($B189,'Challan Master'!$S$4:$S$207,0)),"")&lt;=0),0,IF(IFERROR(INDEX('Challan Master'!$D$4:$D$207,MATCH($B189,'Challan Master'!$S$4:$S$207,0)),"")&lt;=DATE(YEAR(J189),MONTH(J189)+1,7),0,ROUND(L189*0.015*((YEAR(IFERROR(INDEX('Challan Master'!$D$4:$D$207,MATCH($B189,'Challan Master'!$S$4:$S$207,0)),""))-YEAR(J189))*12+(MONTH(IFERROR(INDEX('Challan Master'!$D$4:$D$207,MATCH($B189,'Challan Master'!$S$4:$S$207,0)),""))-MONTH(J189))+1),0))))</f>
      </c>
      <c r="P189" s="7">
        <f>IF($D189="","",0)</f>
      </c>
      <c r="Q189" s="8"/>
      <c r="R189" s="8"/>
      <c r="S189" s="8"/>
      <c r="T189" s="8"/>
      <c r="U189" s="8"/>
      <c r="V189" s="7">
        <f>IF($B189="","",IFERROR(INDEX('Challan Master'!$AA$4:$AA$207,MATCH($B189,'Challan Master'!$S$4:$S$207,0)),""))</f>
      </c>
    </row>
    <row r="190" spans="1:22" x14ac:dyDescent="0.25">
      <c r="A190" s="7">
        <f>IF($D190="","",COUNTIF($D$4:$D190,"&lt;&gt;"))</f>
      </c>
      <c r="B190" s="8"/>
      <c r="C190" s="7">
        <f>IF($B190="","","BSR "&amp;IFERROR(INDEX('Challan Master'!$B$4:$B$207,MATCH($B190,'Challan Master'!$S$4:$S$207,0)),"")&amp;" | Serial "&amp;IFERROR(INDEX('Challan Master'!$C$4:$C$207,MATCH($B190,'Challan Master'!$S$4:$S$207,0)),"")&amp;" | Deposit "&amp;TEXT(IFERROR(INDEX('Challan Master'!$D$4:$D$207,MATCH($B190,'Challan Master'!$S$4:$S$207,0)),""),"dd-mm-yyyy")&amp;" | Minor Head "&amp;IFERROR(INDEX('Challan Master'!$E$4:$E$207,MATCH($B190,'Challan Master'!$S$4:$S$207,0)),"")&amp;" | Tax ₹"&amp;TEXT(IFERROR(INDEX('Challan Master'!$G$4:$G$207,MATCH($B190,'Challan Master'!$S$4:$S$207,0)),""),"#,##0")&amp;" | Section "&amp;IFERROR(INDEX('Challan Master'!$F$4:$F$207,MATCH($B190,'Challan Master'!$S$4:$S$207,0)),""))</f>
      </c>
      <c r="D190" s="8"/>
      <c r="E190" s="8"/>
      <c r="F190" s="7">
        <f>IF($D190="","",IF(AND(LEN(TRIM(UPPER(E190)))=10,CODE(MID(TRIM(UPPER(E190)),1,1))&gt;=65,CODE(MID(TRIM(UPPER(E190)),1,1))&lt;=90,CODE(MID(TRIM(UPPER(E190)),2,1))&gt;=65,CODE(MID(TRIM(UPPER(E190)),2,1))&lt;=90,CODE(MID(TRIM(UPPER(E190)),3,1))&gt;=65,CODE(MID(TRIM(UPPER(E190)),3,1))&lt;=90,CODE(MID(TRIM(UPPER(E190)),4,1))&gt;=65,CODE(MID(TRIM(UPPER(E190)),4,1))&lt;=90,CODE(MID(TRIM(UPPER(E190)),5,1))&gt;=65,CODE(MID(TRIM(UPPER(E190)),5,1))&lt;=90,CODE(MID(TRIM(UPPER(E190)),10,1))&gt;=65,CODE(MID(TRIM(UPPER(E190)),10,1))&lt;=90,CODE(MID(TRIM(UPPER(E190)),6,1))&gt;=48,CODE(MID(TRIM(UPPER(E190)),6,1))&lt;=57,CODE(MID(TRIM(UPPER(E190)),7,1))&gt;=48,CODE(MID(TRIM(UPPER(E190)),7,1))&lt;=57,CODE(MID(TRIM(UPPER(E190)),8,1))&gt;=48,CODE(MID(TRIM(UPPER(E190)),8,1))&lt;=57,CODE(MID(TRIM(UPPER(E190)),9,1))&gt;=48,CODE(MID(TRIM(UPPER(E190)),9,1))&lt;=57),"N","Y"))</f>
      </c>
      <c r="G190" s="7">
        <f>IF($D190="","",IF(LEN(E190)&lt;4,"",IF(UPPER(MID(E190,4,1))="P","Individual",IF(UPPER(MID(E190,4,1))="H","HUF",IF(UPPER(MID(E190,4,1))="C","Company",IF(UPPER(MID(E190,4,1))="F","Firm",IF(UPPER(MID(E190,4,1))="L","LLP",IF(UPPER(MID(E190,4,1))="T","Trust",IF(UPPER(MID(E190,4,1))="A","AOP","")))))))))</f>
      </c>
      <c r="H190" s="8"/>
      <c r="I190" s="7">
        <f>IF($D190="","",IF(H190="","",IF(F190="Y",SUMPRODUCT(('Rate Lookup'!$A$1:$A$37=H190)*'Rate Lookup'!$D$1:$D$37),IF(OR(G190="Individual",G190="HUF"),SUMPRODUCT(('Rate Lookup'!$A$1:$A$37=H190)*'Rate Lookup'!$B$1:$B$37),SUMPRODUCT(('Rate Lookup'!$A$1:$A$37=H190)*'Rate Lookup'!$C$1:$C$37)))))</f>
      </c>
      <c r="J190" s="8"/>
      <c r="K190" s="8"/>
      <c r="L190" s="7">
        <f>IF($D190="","",ROUND(K190*I190/100,0))</f>
      </c>
      <c r="M190" s="7">
        <f>IF($D190="","",0)</f>
      </c>
      <c r="N190" s="7">
        <f>IF($D190="","",0)</f>
      </c>
      <c r="O190" s="7">
        <f>IF($D190="","",IF(OR(L190=0,J190="",IFERROR(INDEX('Challan Master'!$D$4:$D$207,MATCH($B190,'Challan Master'!$S$4:$S$207,0)),"")="",IFERROR(INDEX('Challan Master'!$D$4:$D$207,MATCH($B190,'Challan Master'!$S$4:$S$207,0)),"")&lt;=0),0,IF(IFERROR(INDEX('Challan Master'!$D$4:$D$207,MATCH($B190,'Challan Master'!$S$4:$S$207,0)),"")&lt;=DATE(YEAR(J190),MONTH(J190)+1,7),0,ROUND(L190*0.015*((YEAR(IFERROR(INDEX('Challan Master'!$D$4:$D$207,MATCH($B190,'Challan Master'!$S$4:$S$207,0)),""))-YEAR(J190))*12+(MONTH(IFERROR(INDEX('Challan Master'!$D$4:$D$207,MATCH($B190,'Challan Master'!$S$4:$S$207,0)),""))-MONTH(J190))+1),0))))</f>
      </c>
      <c r="P190" s="7">
        <f>IF($D190="","",0)</f>
      </c>
      <c r="Q190" s="8"/>
      <c r="R190" s="8"/>
      <c r="S190" s="8"/>
      <c r="T190" s="8"/>
      <c r="U190" s="8"/>
      <c r="V190" s="7">
        <f>IF($B190="","",IFERROR(INDEX('Challan Master'!$AA$4:$AA$207,MATCH($B190,'Challan Master'!$S$4:$S$207,0)),""))</f>
      </c>
    </row>
    <row r="191" spans="1:22" x14ac:dyDescent="0.25">
      <c r="A191" s="7">
        <f>IF($D191="","",COUNTIF($D$4:$D191,"&lt;&gt;"))</f>
      </c>
      <c r="B191" s="8"/>
      <c r="C191" s="7">
        <f>IF($B191="","","BSR "&amp;IFERROR(INDEX('Challan Master'!$B$4:$B$207,MATCH($B191,'Challan Master'!$S$4:$S$207,0)),"")&amp;" | Serial "&amp;IFERROR(INDEX('Challan Master'!$C$4:$C$207,MATCH($B191,'Challan Master'!$S$4:$S$207,0)),"")&amp;" | Deposit "&amp;TEXT(IFERROR(INDEX('Challan Master'!$D$4:$D$207,MATCH($B191,'Challan Master'!$S$4:$S$207,0)),""),"dd-mm-yyyy")&amp;" | Minor Head "&amp;IFERROR(INDEX('Challan Master'!$E$4:$E$207,MATCH($B191,'Challan Master'!$S$4:$S$207,0)),"")&amp;" | Tax ₹"&amp;TEXT(IFERROR(INDEX('Challan Master'!$G$4:$G$207,MATCH($B191,'Challan Master'!$S$4:$S$207,0)),""),"#,##0")&amp;" | Section "&amp;IFERROR(INDEX('Challan Master'!$F$4:$F$207,MATCH($B191,'Challan Master'!$S$4:$S$207,0)),""))</f>
      </c>
      <c r="D191" s="8"/>
      <c r="E191" s="8"/>
      <c r="F191" s="7">
        <f>IF($D191="","",IF(AND(LEN(TRIM(UPPER(E191)))=10,CODE(MID(TRIM(UPPER(E191)),1,1))&gt;=65,CODE(MID(TRIM(UPPER(E191)),1,1))&lt;=90,CODE(MID(TRIM(UPPER(E191)),2,1))&gt;=65,CODE(MID(TRIM(UPPER(E191)),2,1))&lt;=90,CODE(MID(TRIM(UPPER(E191)),3,1))&gt;=65,CODE(MID(TRIM(UPPER(E191)),3,1))&lt;=90,CODE(MID(TRIM(UPPER(E191)),4,1))&gt;=65,CODE(MID(TRIM(UPPER(E191)),4,1))&lt;=90,CODE(MID(TRIM(UPPER(E191)),5,1))&gt;=65,CODE(MID(TRIM(UPPER(E191)),5,1))&lt;=90,CODE(MID(TRIM(UPPER(E191)),10,1))&gt;=65,CODE(MID(TRIM(UPPER(E191)),10,1))&lt;=90,CODE(MID(TRIM(UPPER(E191)),6,1))&gt;=48,CODE(MID(TRIM(UPPER(E191)),6,1))&lt;=57,CODE(MID(TRIM(UPPER(E191)),7,1))&gt;=48,CODE(MID(TRIM(UPPER(E191)),7,1))&lt;=57,CODE(MID(TRIM(UPPER(E191)),8,1))&gt;=48,CODE(MID(TRIM(UPPER(E191)),8,1))&lt;=57,CODE(MID(TRIM(UPPER(E191)),9,1))&gt;=48,CODE(MID(TRIM(UPPER(E191)),9,1))&lt;=57),"N","Y"))</f>
      </c>
      <c r="G191" s="7">
        <f>IF($D191="","",IF(LEN(E191)&lt;4,"",IF(UPPER(MID(E191,4,1))="P","Individual",IF(UPPER(MID(E191,4,1))="H","HUF",IF(UPPER(MID(E191,4,1))="C","Company",IF(UPPER(MID(E191,4,1))="F","Firm",IF(UPPER(MID(E191,4,1))="L","LLP",IF(UPPER(MID(E191,4,1))="T","Trust",IF(UPPER(MID(E191,4,1))="A","AOP","")))))))))</f>
      </c>
      <c r="H191" s="8"/>
      <c r="I191" s="7">
        <f>IF($D191="","",IF(H191="","",IF(F191="Y",SUMPRODUCT(('Rate Lookup'!$A$1:$A$37=H191)*'Rate Lookup'!$D$1:$D$37),IF(OR(G191="Individual",G191="HUF"),SUMPRODUCT(('Rate Lookup'!$A$1:$A$37=H191)*'Rate Lookup'!$B$1:$B$37),SUMPRODUCT(('Rate Lookup'!$A$1:$A$37=H191)*'Rate Lookup'!$C$1:$C$37)))))</f>
      </c>
      <c r="J191" s="8"/>
      <c r="K191" s="8"/>
      <c r="L191" s="7">
        <f>IF($D191="","",ROUND(K191*I191/100,0))</f>
      </c>
      <c r="M191" s="7">
        <f>IF($D191="","",0)</f>
      </c>
      <c r="N191" s="7">
        <f>IF($D191="","",0)</f>
      </c>
      <c r="O191" s="7">
        <f>IF($D191="","",IF(OR(L191=0,J191="",IFERROR(INDEX('Challan Master'!$D$4:$D$207,MATCH($B191,'Challan Master'!$S$4:$S$207,0)),"")="",IFERROR(INDEX('Challan Master'!$D$4:$D$207,MATCH($B191,'Challan Master'!$S$4:$S$207,0)),"")&lt;=0),0,IF(IFERROR(INDEX('Challan Master'!$D$4:$D$207,MATCH($B191,'Challan Master'!$S$4:$S$207,0)),"")&lt;=DATE(YEAR(J191),MONTH(J191)+1,7),0,ROUND(L191*0.015*((YEAR(IFERROR(INDEX('Challan Master'!$D$4:$D$207,MATCH($B191,'Challan Master'!$S$4:$S$207,0)),""))-YEAR(J191))*12+(MONTH(IFERROR(INDEX('Challan Master'!$D$4:$D$207,MATCH($B191,'Challan Master'!$S$4:$S$207,0)),""))-MONTH(J191))+1),0))))</f>
      </c>
      <c r="P191" s="7">
        <f>IF($D191="","",0)</f>
      </c>
      <c r="Q191" s="8"/>
      <c r="R191" s="8"/>
      <c r="S191" s="8"/>
      <c r="T191" s="8"/>
      <c r="U191" s="8"/>
      <c r="V191" s="7">
        <f>IF($B191="","",IFERROR(INDEX('Challan Master'!$AA$4:$AA$207,MATCH($B191,'Challan Master'!$S$4:$S$207,0)),""))</f>
      </c>
    </row>
    <row r="192" spans="1:22" x14ac:dyDescent="0.25">
      <c r="A192" s="7">
        <f>IF($D192="","",COUNTIF($D$4:$D192,"&lt;&gt;"))</f>
      </c>
      <c r="B192" s="8"/>
      <c r="C192" s="7">
        <f>IF($B192="","","BSR "&amp;IFERROR(INDEX('Challan Master'!$B$4:$B$207,MATCH($B192,'Challan Master'!$S$4:$S$207,0)),"")&amp;" | Serial "&amp;IFERROR(INDEX('Challan Master'!$C$4:$C$207,MATCH($B192,'Challan Master'!$S$4:$S$207,0)),"")&amp;" | Deposit "&amp;TEXT(IFERROR(INDEX('Challan Master'!$D$4:$D$207,MATCH($B192,'Challan Master'!$S$4:$S$207,0)),""),"dd-mm-yyyy")&amp;" | Minor Head "&amp;IFERROR(INDEX('Challan Master'!$E$4:$E$207,MATCH($B192,'Challan Master'!$S$4:$S$207,0)),"")&amp;" | Tax ₹"&amp;TEXT(IFERROR(INDEX('Challan Master'!$G$4:$G$207,MATCH($B192,'Challan Master'!$S$4:$S$207,0)),""),"#,##0")&amp;" | Section "&amp;IFERROR(INDEX('Challan Master'!$F$4:$F$207,MATCH($B192,'Challan Master'!$S$4:$S$207,0)),""))</f>
      </c>
      <c r="D192" s="8"/>
      <c r="E192" s="8"/>
      <c r="F192" s="7">
        <f>IF($D192="","",IF(AND(LEN(TRIM(UPPER(E192)))=10,CODE(MID(TRIM(UPPER(E192)),1,1))&gt;=65,CODE(MID(TRIM(UPPER(E192)),1,1))&lt;=90,CODE(MID(TRIM(UPPER(E192)),2,1))&gt;=65,CODE(MID(TRIM(UPPER(E192)),2,1))&lt;=90,CODE(MID(TRIM(UPPER(E192)),3,1))&gt;=65,CODE(MID(TRIM(UPPER(E192)),3,1))&lt;=90,CODE(MID(TRIM(UPPER(E192)),4,1))&gt;=65,CODE(MID(TRIM(UPPER(E192)),4,1))&lt;=90,CODE(MID(TRIM(UPPER(E192)),5,1))&gt;=65,CODE(MID(TRIM(UPPER(E192)),5,1))&lt;=90,CODE(MID(TRIM(UPPER(E192)),10,1))&gt;=65,CODE(MID(TRIM(UPPER(E192)),10,1))&lt;=90,CODE(MID(TRIM(UPPER(E192)),6,1))&gt;=48,CODE(MID(TRIM(UPPER(E192)),6,1))&lt;=57,CODE(MID(TRIM(UPPER(E192)),7,1))&gt;=48,CODE(MID(TRIM(UPPER(E192)),7,1))&lt;=57,CODE(MID(TRIM(UPPER(E192)),8,1))&gt;=48,CODE(MID(TRIM(UPPER(E192)),8,1))&lt;=57,CODE(MID(TRIM(UPPER(E192)),9,1))&gt;=48,CODE(MID(TRIM(UPPER(E192)),9,1))&lt;=57),"N","Y"))</f>
      </c>
      <c r="G192" s="7">
        <f>IF($D192="","",IF(LEN(E192)&lt;4,"",IF(UPPER(MID(E192,4,1))="P","Individual",IF(UPPER(MID(E192,4,1))="H","HUF",IF(UPPER(MID(E192,4,1))="C","Company",IF(UPPER(MID(E192,4,1))="F","Firm",IF(UPPER(MID(E192,4,1))="L","LLP",IF(UPPER(MID(E192,4,1))="T","Trust",IF(UPPER(MID(E192,4,1))="A","AOP","")))))))))</f>
      </c>
      <c r="H192" s="8"/>
      <c r="I192" s="7">
        <f>IF($D192="","",IF(H192="","",IF(F192="Y",SUMPRODUCT(('Rate Lookup'!$A$1:$A$37=H192)*'Rate Lookup'!$D$1:$D$37),IF(OR(G192="Individual",G192="HUF"),SUMPRODUCT(('Rate Lookup'!$A$1:$A$37=H192)*'Rate Lookup'!$B$1:$B$37),SUMPRODUCT(('Rate Lookup'!$A$1:$A$37=H192)*'Rate Lookup'!$C$1:$C$37)))))</f>
      </c>
      <c r="J192" s="8"/>
      <c r="K192" s="8"/>
      <c r="L192" s="7">
        <f>IF($D192="","",ROUND(K192*I192/100,0))</f>
      </c>
      <c r="M192" s="7">
        <f>IF($D192="","",0)</f>
      </c>
      <c r="N192" s="7">
        <f>IF($D192="","",0)</f>
      </c>
      <c r="O192" s="7">
        <f>IF($D192="","",IF(OR(L192=0,J192="",IFERROR(INDEX('Challan Master'!$D$4:$D$207,MATCH($B192,'Challan Master'!$S$4:$S$207,0)),"")="",IFERROR(INDEX('Challan Master'!$D$4:$D$207,MATCH($B192,'Challan Master'!$S$4:$S$207,0)),"")&lt;=0),0,IF(IFERROR(INDEX('Challan Master'!$D$4:$D$207,MATCH($B192,'Challan Master'!$S$4:$S$207,0)),"")&lt;=DATE(YEAR(J192),MONTH(J192)+1,7),0,ROUND(L192*0.015*((YEAR(IFERROR(INDEX('Challan Master'!$D$4:$D$207,MATCH($B192,'Challan Master'!$S$4:$S$207,0)),""))-YEAR(J192))*12+(MONTH(IFERROR(INDEX('Challan Master'!$D$4:$D$207,MATCH($B192,'Challan Master'!$S$4:$S$207,0)),""))-MONTH(J192))+1),0))))</f>
      </c>
      <c r="P192" s="7">
        <f>IF($D192="","",0)</f>
      </c>
      <c r="Q192" s="8"/>
      <c r="R192" s="8"/>
      <c r="S192" s="8"/>
      <c r="T192" s="8"/>
      <c r="U192" s="8"/>
      <c r="V192" s="7">
        <f>IF($B192="","",IFERROR(INDEX('Challan Master'!$AA$4:$AA$207,MATCH($B192,'Challan Master'!$S$4:$S$207,0)),""))</f>
      </c>
    </row>
    <row r="193" spans="1:22" x14ac:dyDescent="0.25">
      <c r="A193" s="7">
        <f>IF($D193="","",COUNTIF($D$4:$D193,"&lt;&gt;"))</f>
      </c>
      <c r="B193" s="8"/>
      <c r="C193" s="7">
        <f>IF($B193="","","BSR "&amp;IFERROR(INDEX('Challan Master'!$B$4:$B$207,MATCH($B193,'Challan Master'!$S$4:$S$207,0)),"")&amp;" | Serial "&amp;IFERROR(INDEX('Challan Master'!$C$4:$C$207,MATCH($B193,'Challan Master'!$S$4:$S$207,0)),"")&amp;" | Deposit "&amp;TEXT(IFERROR(INDEX('Challan Master'!$D$4:$D$207,MATCH($B193,'Challan Master'!$S$4:$S$207,0)),""),"dd-mm-yyyy")&amp;" | Minor Head "&amp;IFERROR(INDEX('Challan Master'!$E$4:$E$207,MATCH($B193,'Challan Master'!$S$4:$S$207,0)),"")&amp;" | Tax ₹"&amp;TEXT(IFERROR(INDEX('Challan Master'!$G$4:$G$207,MATCH($B193,'Challan Master'!$S$4:$S$207,0)),""),"#,##0")&amp;" | Section "&amp;IFERROR(INDEX('Challan Master'!$F$4:$F$207,MATCH($B193,'Challan Master'!$S$4:$S$207,0)),""))</f>
      </c>
      <c r="D193" s="8"/>
      <c r="E193" s="8"/>
      <c r="F193" s="7">
        <f>IF($D193="","",IF(AND(LEN(TRIM(UPPER(E193)))=10,CODE(MID(TRIM(UPPER(E193)),1,1))&gt;=65,CODE(MID(TRIM(UPPER(E193)),1,1))&lt;=90,CODE(MID(TRIM(UPPER(E193)),2,1))&gt;=65,CODE(MID(TRIM(UPPER(E193)),2,1))&lt;=90,CODE(MID(TRIM(UPPER(E193)),3,1))&gt;=65,CODE(MID(TRIM(UPPER(E193)),3,1))&lt;=90,CODE(MID(TRIM(UPPER(E193)),4,1))&gt;=65,CODE(MID(TRIM(UPPER(E193)),4,1))&lt;=90,CODE(MID(TRIM(UPPER(E193)),5,1))&gt;=65,CODE(MID(TRIM(UPPER(E193)),5,1))&lt;=90,CODE(MID(TRIM(UPPER(E193)),10,1))&gt;=65,CODE(MID(TRIM(UPPER(E193)),10,1))&lt;=90,CODE(MID(TRIM(UPPER(E193)),6,1))&gt;=48,CODE(MID(TRIM(UPPER(E193)),6,1))&lt;=57,CODE(MID(TRIM(UPPER(E193)),7,1))&gt;=48,CODE(MID(TRIM(UPPER(E193)),7,1))&lt;=57,CODE(MID(TRIM(UPPER(E193)),8,1))&gt;=48,CODE(MID(TRIM(UPPER(E193)),8,1))&lt;=57,CODE(MID(TRIM(UPPER(E193)),9,1))&gt;=48,CODE(MID(TRIM(UPPER(E193)),9,1))&lt;=57),"N","Y"))</f>
      </c>
      <c r="G193" s="7">
        <f>IF($D193="","",IF(LEN(E193)&lt;4,"",IF(UPPER(MID(E193,4,1))="P","Individual",IF(UPPER(MID(E193,4,1))="H","HUF",IF(UPPER(MID(E193,4,1))="C","Company",IF(UPPER(MID(E193,4,1))="F","Firm",IF(UPPER(MID(E193,4,1))="L","LLP",IF(UPPER(MID(E193,4,1))="T","Trust",IF(UPPER(MID(E193,4,1))="A","AOP","")))))))))</f>
      </c>
      <c r="H193" s="8"/>
      <c r="I193" s="7">
        <f>IF($D193="","",IF(H193="","",IF(F193="Y",SUMPRODUCT(('Rate Lookup'!$A$1:$A$37=H193)*'Rate Lookup'!$D$1:$D$37),IF(OR(G193="Individual",G193="HUF"),SUMPRODUCT(('Rate Lookup'!$A$1:$A$37=H193)*'Rate Lookup'!$B$1:$B$37),SUMPRODUCT(('Rate Lookup'!$A$1:$A$37=H193)*'Rate Lookup'!$C$1:$C$37)))))</f>
      </c>
      <c r="J193" s="8"/>
      <c r="K193" s="8"/>
      <c r="L193" s="7">
        <f>IF($D193="","",ROUND(K193*I193/100,0))</f>
      </c>
      <c r="M193" s="7">
        <f>IF($D193="","",0)</f>
      </c>
      <c r="N193" s="7">
        <f>IF($D193="","",0)</f>
      </c>
      <c r="O193" s="7">
        <f>IF($D193="","",IF(OR(L193=0,J193="",IFERROR(INDEX('Challan Master'!$D$4:$D$207,MATCH($B193,'Challan Master'!$S$4:$S$207,0)),"")="",IFERROR(INDEX('Challan Master'!$D$4:$D$207,MATCH($B193,'Challan Master'!$S$4:$S$207,0)),"")&lt;=0),0,IF(IFERROR(INDEX('Challan Master'!$D$4:$D$207,MATCH($B193,'Challan Master'!$S$4:$S$207,0)),"")&lt;=DATE(YEAR(J193),MONTH(J193)+1,7),0,ROUND(L193*0.015*((YEAR(IFERROR(INDEX('Challan Master'!$D$4:$D$207,MATCH($B193,'Challan Master'!$S$4:$S$207,0)),""))-YEAR(J193))*12+(MONTH(IFERROR(INDEX('Challan Master'!$D$4:$D$207,MATCH($B193,'Challan Master'!$S$4:$S$207,0)),""))-MONTH(J193))+1),0))))</f>
      </c>
      <c r="P193" s="7">
        <f>IF($D193="","",0)</f>
      </c>
      <c r="Q193" s="8"/>
      <c r="R193" s="8"/>
      <c r="S193" s="8"/>
      <c r="T193" s="8"/>
      <c r="U193" s="8"/>
      <c r="V193" s="7">
        <f>IF($B193="","",IFERROR(INDEX('Challan Master'!$AA$4:$AA$207,MATCH($B193,'Challan Master'!$S$4:$S$207,0)),""))</f>
      </c>
    </row>
    <row r="194" spans="1:22" x14ac:dyDescent="0.25">
      <c r="A194" s="7">
        <f>IF($D194="","",COUNTIF($D$4:$D194,"&lt;&gt;"))</f>
      </c>
      <c r="B194" s="8"/>
      <c r="C194" s="7">
        <f>IF($B194="","","BSR "&amp;IFERROR(INDEX('Challan Master'!$B$4:$B$207,MATCH($B194,'Challan Master'!$S$4:$S$207,0)),"")&amp;" | Serial "&amp;IFERROR(INDEX('Challan Master'!$C$4:$C$207,MATCH($B194,'Challan Master'!$S$4:$S$207,0)),"")&amp;" | Deposit "&amp;TEXT(IFERROR(INDEX('Challan Master'!$D$4:$D$207,MATCH($B194,'Challan Master'!$S$4:$S$207,0)),""),"dd-mm-yyyy")&amp;" | Minor Head "&amp;IFERROR(INDEX('Challan Master'!$E$4:$E$207,MATCH($B194,'Challan Master'!$S$4:$S$207,0)),"")&amp;" | Tax ₹"&amp;TEXT(IFERROR(INDEX('Challan Master'!$G$4:$G$207,MATCH($B194,'Challan Master'!$S$4:$S$207,0)),""),"#,##0")&amp;" | Section "&amp;IFERROR(INDEX('Challan Master'!$F$4:$F$207,MATCH($B194,'Challan Master'!$S$4:$S$207,0)),""))</f>
      </c>
      <c r="D194" s="8"/>
      <c r="E194" s="8"/>
      <c r="F194" s="7">
        <f>IF($D194="","",IF(AND(LEN(TRIM(UPPER(E194)))=10,CODE(MID(TRIM(UPPER(E194)),1,1))&gt;=65,CODE(MID(TRIM(UPPER(E194)),1,1))&lt;=90,CODE(MID(TRIM(UPPER(E194)),2,1))&gt;=65,CODE(MID(TRIM(UPPER(E194)),2,1))&lt;=90,CODE(MID(TRIM(UPPER(E194)),3,1))&gt;=65,CODE(MID(TRIM(UPPER(E194)),3,1))&lt;=90,CODE(MID(TRIM(UPPER(E194)),4,1))&gt;=65,CODE(MID(TRIM(UPPER(E194)),4,1))&lt;=90,CODE(MID(TRIM(UPPER(E194)),5,1))&gt;=65,CODE(MID(TRIM(UPPER(E194)),5,1))&lt;=90,CODE(MID(TRIM(UPPER(E194)),10,1))&gt;=65,CODE(MID(TRIM(UPPER(E194)),10,1))&lt;=90,CODE(MID(TRIM(UPPER(E194)),6,1))&gt;=48,CODE(MID(TRIM(UPPER(E194)),6,1))&lt;=57,CODE(MID(TRIM(UPPER(E194)),7,1))&gt;=48,CODE(MID(TRIM(UPPER(E194)),7,1))&lt;=57,CODE(MID(TRIM(UPPER(E194)),8,1))&gt;=48,CODE(MID(TRIM(UPPER(E194)),8,1))&lt;=57,CODE(MID(TRIM(UPPER(E194)),9,1))&gt;=48,CODE(MID(TRIM(UPPER(E194)),9,1))&lt;=57),"N","Y"))</f>
      </c>
      <c r="G194" s="7">
        <f>IF($D194="","",IF(LEN(E194)&lt;4,"",IF(UPPER(MID(E194,4,1))="P","Individual",IF(UPPER(MID(E194,4,1))="H","HUF",IF(UPPER(MID(E194,4,1))="C","Company",IF(UPPER(MID(E194,4,1))="F","Firm",IF(UPPER(MID(E194,4,1))="L","LLP",IF(UPPER(MID(E194,4,1))="T","Trust",IF(UPPER(MID(E194,4,1))="A","AOP","")))))))))</f>
      </c>
      <c r="H194" s="8"/>
      <c r="I194" s="7">
        <f>IF($D194="","",IF(H194="","",IF(F194="Y",SUMPRODUCT(('Rate Lookup'!$A$1:$A$37=H194)*'Rate Lookup'!$D$1:$D$37),IF(OR(G194="Individual",G194="HUF"),SUMPRODUCT(('Rate Lookup'!$A$1:$A$37=H194)*'Rate Lookup'!$B$1:$B$37),SUMPRODUCT(('Rate Lookup'!$A$1:$A$37=H194)*'Rate Lookup'!$C$1:$C$37)))))</f>
      </c>
      <c r="J194" s="8"/>
      <c r="K194" s="8"/>
      <c r="L194" s="7">
        <f>IF($D194="","",ROUND(K194*I194/100,0))</f>
      </c>
      <c r="M194" s="7">
        <f>IF($D194="","",0)</f>
      </c>
      <c r="N194" s="7">
        <f>IF($D194="","",0)</f>
      </c>
      <c r="O194" s="7">
        <f>IF($D194="","",IF(OR(L194=0,J194="",IFERROR(INDEX('Challan Master'!$D$4:$D$207,MATCH($B194,'Challan Master'!$S$4:$S$207,0)),"")="",IFERROR(INDEX('Challan Master'!$D$4:$D$207,MATCH($B194,'Challan Master'!$S$4:$S$207,0)),"")&lt;=0),0,IF(IFERROR(INDEX('Challan Master'!$D$4:$D$207,MATCH($B194,'Challan Master'!$S$4:$S$207,0)),"")&lt;=DATE(YEAR(J194),MONTH(J194)+1,7),0,ROUND(L194*0.015*((YEAR(IFERROR(INDEX('Challan Master'!$D$4:$D$207,MATCH($B194,'Challan Master'!$S$4:$S$207,0)),""))-YEAR(J194))*12+(MONTH(IFERROR(INDEX('Challan Master'!$D$4:$D$207,MATCH($B194,'Challan Master'!$S$4:$S$207,0)),""))-MONTH(J194))+1),0))))</f>
      </c>
      <c r="P194" s="7">
        <f>IF($D194="","",0)</f>
      </c>
      <c r="Q194" s="8"/>
      <c r="R194" s="8"/>
      <c r="S194" s="8"/>
      <c r="T194" s="8"/>
      <c r="U194" s="8"/>
      <c r="V194" s="7">
        <f>IF($B194="","",IFERROR(INDEX('Challan Master'!$AA$4:$AA$207,MATCH($B194,'Challan Master'!$S$4:$S$207,0)),""))</f>
      </c>
    </row>
    <row r="195" spans="1:22" x14ac:dyDescent="0.25">
      <c r="A195" s="7">
        <f>IF($D195="","",COUNTIF($D$4:$D195,"&lt;&gt;"))</f>
      </c>
      <c r="B195" s="8"/>
      <c r="C195" s="7">
        <f>IF($B195="","","BSR "&amp;IFERROR(INDEX('Challan Master'!$B$4:$B$207,MATCH($B195,'Challan Master'!$S$4:$S$207,0)),"")&amp;" | Serial "&amp;IFERROR(INDEX('Challan Master'!$C$4:$C$207,MATCH($B195,'Challan Master'!$S$4:$S$207,0)),"")&amp;" | Deposit "&amp;TEXT(IFERROR(INDEX('Challan Master'!$D$4:$D$207,MATCH($B195,'Challan Master'!$S$4:$S$207,0)),""),"dd-mm-yyyy")&amp;" | Minor Head "&amp;IFERROR(INDEX('Challan Master'!$E$4:$E$207,MATCH($B195,'Challan Master'!$S$4:$S$207,0)),"")&amp;" | Tax ₹"&amp;TEXT(IFERROR(INDEX('Challan Master'!$G$4:$G$207,MATCH($B195,'Challan Master'!$S$4:$S$207,0)),""),"#,##0")&amp;" | Section "&amp;IFERROR(INDEX('Challan Master'!$F$4:$F$207,MATCH($B195,'Challan Master'!$S$4:$S$207,0)),""))</f>
      </c>
      <c r="D195" s="8"/>
      <c r="E195" s="8"/>
      <c r="F195" s="7">
        <f>IF($D195="","",IF(AND(LEN(TRIM(UPPER(E195)))=10,CODE(MID(TRIM(UPPER(E195)),1,1))&gt;=65,CODE(MID(TRIM(UPPER(E195)),1,1))&lt;=90,CODE(MID(TRIM(UPPER(E195)),2,1))&gt;=65,CODE(MID(TRIM(UPPER(E195)),2,1))&lt;=90,CODE(MID(TRIM(UPPER(E195)),3,1))&gt;=65,CODE(MID(TRIM(UPPER(E195)),3,1))&lt;=90,CODE(MID(TRIM(UPPER(E195)),4,1))&gt;=65,CODE(MID(TRIM(UPPER(E195)),4,1))&lt;=90,CODE(MID(TRIM(UPPER(E195)),5,1))&gt;=65,CODE(MID(TRIM(UPPER(E195)),5,1))&lt;=90,CODE(MID(TRIM(UPPER(E195)),10,1))&gt;=65,CODE(MID(TRIM(UPPER(E195)),10,1))&lt;=90,CODE(MID(TRIM(UPPER(E195)),6,1))&gt;=48,CODE(MID(TRIM(UPPER(E195)),6,1))&lt;=57,CODE(MID(TRIM(UPPER(E195)),7,1))&gt;=48,CODE(MID(TRIM(UPPER(E195)),7,1))&lt;=57,CODE(MID(TRIM(UPPER(E195)),8,1))&gt;=48,CODE(MID(TRIM(UPPER(E195)),8,1))&lt;=57,CODE(MID(TRIM(UPPER(E195)),9,1))&gt;=48,CODE(MID(TRIM(UPPER(E195)),9,1))&lt;=57),"N","Y"))</f>
      </c>
      <c r="G195" s="7">
        <f>IF($D195="","",IF(LEN(E195)&lt;4,"",IF(UPPER(MID(E195,4,1))="P","Individual",IF(UPPER(MID(E195,4,1))="H","HUF",IF(UPPER(MID(E195,4,1))="C","Company",IF(UPPER(MID(E195,4,1))="F","Firm",IF(UPPER(MID(E195,4,1))="L","LLP",IF(UPPER(MID(E195,4,1))="T","Trust",IF(UPPER(MID(E195,4,1))="A","AOP","")))))))))</f>
      </c>
      <c r="H195" s="8"/>
      <c r="I195" s="7">
        <f>IF($D195="","",IF(H195="","",IF(F195="Y",SUMPRODUCT(('Rate Lookup'!$A$1:$A$37=H195)*'Rate Lookup'!$D$1:$D$37),IF(OR(G195="Individual",G195="HUF"),SUMPRODUCT(('Rate Lookup'!$A$1:$A$37=H195)*'Rate Lookup'!$B$1:$B$37),SUMPRODUCT(('Rate Lookup'!$A$1:$A$37=H195)*'Rate Lookup'!$C$1:$C$37)))))</f>
      </c>
      <c r="J195" s="8"/>
      <c r="K195" s="8"/>
      <c r="L195" s="7">
        <f>IF($D195="","",ROUND(K195*I195/100,0))</f>
      </c>
      <c r="M195" s="7">
        <f>IF($D195="","",0)</f>
      </c>
      <c r="N195" s="7">
        <f>IF($D195="","",0)</f>
      </c>
      <c r="O195" s="7">
        <f>IF($D195="","",IF(OR(L195=0,J195="",IFERROR(INDEX('Challan Master'!$D$4:$D$207,MATCH($B195,'Challan Master'!$S$4:$S$207,0)),"")="",IFERROR(INDEX('Challan Master'!$D$4:$D$207,MATCH($B195,'Challan Master'!$S$4:$S$207,0)),"")&lt;=0),0,IF(IFERROR(INDEX('Challan Master'!$D$4:$D$207,MATCH($B195,'Challan Master'!$S$4:$S$207,0)),"")&lt;=DATE(YEAR(J195),MONTH(J195)+1,7),0,ROUND(L195*0.015*((YEAR(IFERROR(INDEX('Challan Master'!$D$4:$D$207,MATCH($B195,'Challan Master'!$S$4:$S$207,0)),""))-YEAR(J195))*12+(MONTH(IFERROR(INDEX('Challan Master'!$D$4:$D$207,MATCH($B195,'Challan Master'!$S$4:$S$207,0)),""))-MONTH(J195))+1),0))))</f>
      </c>
      <c r="P195" s="7">
        <f>IF($D195="","",0)</f>
      </c>
      <c r="Q195" s="8"/>
      <c r="R195" s="8"/>
      <c r="S195" s="8"/>
      <c r="T195" s="8"/>
      <c r="U195" s="8"/>
      <c r="V195" s="7">
        <f>IF($B195="","",IFERROR(INDEX('Challan Master'!$AA$4:$AA$207,MATCH($B195,'Challan Master'!$S$4:$S$207,0)),""))</f>
      </c>
    </row>
    <row r="196" spans="1:22" x14ac:dyDescent="0.25">
      <c r="A196" s="7">
        <f>IF($D196="","",COUNTIF($D$4:$D196,"&lt;&gt;"))</f>
      </c>
      <c r="B196" s="8"/>
      <c r="C196" s="7">
        <f>IF($B196="","","BSR "&amp;IFERROR(INDEX('Challan Master'!$B$4:$B$207,MATCH($B196,'Challan Master'!$S$4:$S$207,0)),"")&amp;" | Serial "&amp;IFERROR(INDEX('Challan Master'!$C$4:$C$207,MATCH($B196,'Challan Master'!$S$4:$S$207,0)),"")&amp;" | Deposit "&amp;TEXT(IFERROR(INDEX('Challan Master'!$D$4:$D$207,MATCH($B196,'Challan Master'!$S$4:$S$207,0)),""),"dd-mm-yyyy")&amp;" | Minor Head "&amp;IFERROR(INDEX('Challan Master'!$E$4:$E$207,MATCH($B196,'Challan Master'!$S$4:$S$207,0)),"")&amp;" | Tax ₹"&amp;TEXT(IFERROR(INDEX('Challan Master'!$G$4:$G$207,MATCH($B196,'Challan Master'!$S$4:$S$207,0)),""),"#,##0")&amp;" | Section "&amp;IFERROR(INDEX('Challan Master'!$F$4:$F$207,MATCH($B196,'Challan Master'!$S$4:$S$207,0)),""))</f>
      </c>
      <c r="D196" s="8"/>
      <c r="E196" s="8"/>
      <c r="F196" s="7">
        <f>IF($D196="","",IF(AND(LEN(TRIM(UPPER(E196)))=10,CODE(MID(TRIM(UPPER(E196)),1,1))&gt;=65,CODE(MID(TRIM(UPPER(E196)),1,1))&lt;=90,CODE(MID(TRIM(UPPER(E196)),2,1))&gt;=65,CODE(MID(TRIM(UPPER(E196)),2,1))&lt;=90,CODE(MID(TRIM(UPPER(E196)),3,1))&gt;=65,CODE(MID(TRIM(UPPER(E196)),3,1))&lt;=90,CODE(MID(TRIM(UPPER(E196)),4,1))&gt;=65,CODE(MID(TRIM(UPPER(E196)),4,1))&lt;=90,CODE(MID(TRIM(UPPER(E196)),5,1))&gt;=65,CODE(MID(TRIM(UPPER(E196)),5,1))&lt;=90,CODE(MID(TRIM(UPPER(E196)),10,1))&gt;=65,CODE(MID(TRIM(UPPER(E196)),10,1))&lt;=90,CODE(MID(TRIM(UPPER(E196)),6,1))&gt;=48,CODE(MID(TRIM(UPPER(E196)),6,1))&lt;=57,CODE(MID(TRIM(UPPER(E196)),7,1))&gt;=48,CODE(MID(TRIM(UPPER(E196)),7,1))&lt;=57,CODE(MID(TRIM(UPPER(E196)),8,1))&gt;=48,CODE(MID(TRIM(UPPER(E196)),8,1))&lt;=57,CODE(MID(TRIM(UPPER(E196)),9,1))&gt;=48,CODE(MID(TRIM(UPPER(E196)),9,1))&lt;=57),"N","Y"))</f>
      </c>
      <c r="G196" s="7">
        <f>IF($D196="","",IF(LEN(E196)&lt;4,"",IF(UPPER(MID(E196,4,1))="P","Individual",IF(UPPER(MID(E196,4,1))="H","HUF",IF(UPPER(MID(E196,4,1))="C","Company",IF(UPPER(MID(E196,4,1))="F","Firm",IF(UPPER(MID(E196,4,1))="L","LLP",IF(UPPER(MID(E196,4,1))="T","Trust",IF(UPPER(MID(E196,4,1))="A","AOP","")))))))))</f>
      </c>
      <c r="H196" s="8"/>
      <c r="I196" s="7">
        <f>IF($D196="","",IF(H196="","",IF(F196="Y",SUMPRODUCT(('Rate Lookup'!$A$1:$A$37=H196)*'Rate Lookup'!$D$1:$D$37),IF(OR(G196="Individual",G196="HUF"),SUMPRODUCT(('Rate Lookup'!$A$1:$A$37=H196)*'Rate Lookup'!$B$1:$B$37),SUMPRODUCT(('Rate Lookup'!$A$1:$A$37=H196)*'Rate Lookup'!$C$1:$C$37)))))</f>
      </c>
      <c r="J196" s="8"/>
      <c r="K196" s="8"/>
      <c r="L196" s="7">
        <f>IF($D196="","",ROUND(K196*I196/100,0))</f>
      </c>
      <c r="M196" s="7">
        <f>IF($D196="","",0)</f>
      </c>
      <c r="N196" s="7">
        <f>IF($D196="","",0)</f>
      </c>
      <c r="O196" s="7">
        <f>IF($D196="","",IF(OR(L196=0,J196="",IFERROR(INDEX('Challan Master'!$D$4:$D$207,MATCH($B196,'Challan Master'!$S$4:$S$207,0)),"")="",IFERROR(INDEX('Challan Master'!$D$4:$D$207,MATCH($B196,'Challan Master'!$S$4:$S$207,0)),"")&lt;=0),0,IF(IFERROR(INDEX('Challan Master'!$D$4:$D$207,MATCH($B196,'Challan Master'!$S$4:$S$207,0)),"")&lt;=DATE(YEAR(J196),MONTH(J196)+1,7),0,ROUND(L196*0.015*((YEAR(IFERROR(INDEX('Challan Master'!$D$4:$D$207,MATCH($B196,'Challan Master'!$S$4:$S$207,0)),""))-YEAR(J196))*12+(MONTH(IFERROR(INDEX('Challan Master'!$D$4:$D$207,MATCH($B196,'Challan Master'!$S$4:$S$207,0)),""))-MONTH(J196))+1),0))))</f>
      </c>
      <c r="P196" s="7">
        <f>IF($D196="","",0)</f>
      </c>
      <c r="Q196" s="8"/>
      <c r="R196" s="8"/>
      <c r="S196" s="8"/>
      <c r="T196" s="8"/>
      <c r="U196" s="8"/>
      <c r="V196" s="7">
        <f>IF($B196="","",IFERROR(INDEX('Challan Master'!$AA$4:$AA$207,MATCH($B196,'Challan Master'!$S$4:$S$207,0)),""))</f>
      </c>
    </row>
    <row r="197" spans="1:22" x14ac:dyDescent="0.25">
      <c r="A197" s="7">
        <f>IF($D197="","",COUNTIF($D$4:$D197,"&lt;&gt;"))</f>
      </c>
      <c r="B197" s="8"/>
      <c r="C197" s="7">
        <f>IF($B197="","","BSR "&amp;IFERROR(INDEX('Challan Master'!$B$4:$B$207,MATCH($B197,'Challan Master'!$S$4:$S$207,0)),"")&amp;" | Serial "&amp;IFERROR(INDEX('Challan Master'!$C$4:$C$207,MATCH($B197,'Challan Master'!$S$4:$S$207,0)),"")&amp;" | Deposit "&amp;TEXT(IFERROR(INDEX('Challan Master'!$D$4:$D$207,MATCH($B197,'Challan Master'!$S$4:$S$207,0)),""),"dd-mm-yyyy")&amp;" | Minor Head "&amp;IFERROR(INDEX('Challan Master'!$E$4:$E$207,MATCH($B197,'Challan Master'!$S$4:$S$207,0)),"")&amp;" | Tax ₹"&amp;TEXT(IFERROR(INDEX('Challan Master'!$G$4:$G$207,MATCH($B197,'Challan Master'!$S$4:$S$207,0)),""),"#,##0")&amp;" | Section "&amp;IFERROR(INDEX('Challan Master'!$F$4:$F$207,MATCH($B197,'Challan Master'!$S$4:$S$207,0)),""))</f>
      </c>
      <c r="D197" s="8"/>
      <c r="E197" s="8"/>
      <c r="F197" s="7">
        <f>IF($D197="","",IF(AND(LEN(TRIM(UPPER(E197)))=10,CODE(MID(TRIM(UPPER(E197)),1,1))&gt;=65,CODE(MID(TRIM(UPPER(E197)),1,1))&lt;=90,CODE(MID(TRIM(UPPER(E197)),2,1))&gt;=65,CODE(MID(TRIM(UPPER(E197)),2,1))&lt;=90,CODE(MID(TRIM(UPPER(E197)),3,1))&gt;=65,CODE(MID(TRIM(UPPER(E197)),3,1))&lt;=90,CODE(MID(TRIM(UPPER(E197)),4,1))&gt;=65,CODE(MID(TRIM(UPPER(E197)),4,1))&lt;=90,CODE(MID(TRIM(UPPER(E197)),5,1))&gt;=65,CODE(MID(TRIM(UPPER(E197)),5,1))&lt;=90,CODE(MID(TRIM(UPPER(E197)),10,1))&gt;=65,CODE(MID(TRIM(UPPER(E197)),10,1))&lt;=90,CODE(MID(TRIM(UPPER(E197)),6,1))&gt;=48,CODE(MID(TRIM(UPPER(E197)),6,1))&lt;=57,CODE(MID(TRIM(UPPER(E197)),7,1))&gt;=48,CODE(MID(TRIM(UPPER(E197)),7,1))&lt;=57,CODE(MID(TRIM(UPPER(E197)),8,1))&gt;=48,CODE(MID(TRIM(UPPER(E197)),8,1))&lt;=57,CODE(MID(TRIM(UPPER(E197)),9,1))&gt;=48,CODE(MID(TRIM(UPPER(E197)),9,1))&lt;=57),"N","Y"))</f>
      </c>
      <c r="G197" s="7">
        <f>IF($D197="","",IF(LEN(E197)&lt;4,"",IF(UPPER(MID(E197,4,1))="P","Individual",IF(UPPER(MID(E197,4,1))="H","HUF",IF(UPPER(MID(E197,4,1))="C","Company",IF(UPPER(MID(E197,4,1))="F","Firm",IF(UPPER(MID(E197,4,1))="L","LLP",IF(UPPER(MID(E197,4,1))="T","Trust",IF(UPPER(MID(E197,4,1))="A","AOP","")))))))))</f>
      </c>
      <c r="H197" s="8"/>
      <c r="I197" s="7">
        <f>IF($D197="","",IF(H197="","",IF(F197="Y",SUMPRODUCT(('Rate Lookup'!$A$1:$A$37=H197)*'Rate Lookup'!$D$1:$D$37),IF(OR(G197="Individual",G197="HUF"),SUMPRODUCT(('Rate Lookup'!$A$1:$A$37=H197)*'Rate Lookup'!$B$1:$B$37),SUMPRODUCT(('Rate Lookup'!$A$1:$A$37=H197)*'Rate Lookup'!$C$1:$C$37)))))</f>
      </c>
      <c r="J197" s="8"/>
      <c r="K197" s="8"/>
      <c r="L197" s="7">
        <f>IF($D197="","",ROUND(K197*I197/100,0))</f>
      </c>
      <c r="M197" s="7">
        <f>IF($D197="","",0)</f>
      </c>
      <c r="N197" s="7">
        <f>IF($D197="","",0)</f>
      </c>
      <c r="O197" s="7">
        <f>IF($D197="","",IF(OR(L197=0,J197="",IFERROR(INDEX('Challan Master'!$D$4:$D$207,MATCH($B197,'Challan Master'!$S$4:$S$207,0)),"")="",IFERROR(INDEX('Challan Master'!$D$4:$D$207,MATCH($B197,'Challan Master'!$S$4:$S$207,0)),"")&lt;=0),0,IF(IFERROR(INDEX('Challan Master'!$D$4:$D$207,MATCH($B197,'Challan Master'!$S$4:$S$207,0)),"")&lt;=DATE(YEAR(J197),MONTH(J197)+1,7),0,ROUND(L197*0.015*((YEAR(IFERROR(INDEX('Challan Master'!$D$4:$D$207,MATCH($B197,'Challan Master'!$S$4:$S$207,0)),""))-YEAR(J197))*12+(MONTH(IFERROR(INDEX('Challan Master'!$D$4:$D$207,MATCH($B197,'Challan Master'!$S$4:$S$207,0)),""))-MONTH(J197))+1),0))))</f>
      </c>
      <c r="P197" s="7">
        <f>IF($D197="","",0)</f>
      </c>
      <c r="Q197" s="8"/>
      <c r="R197" s="8"/>
      <c r="S197" s="8"/>
      <c r="T197" s="8"/>
      <c r="U197" s="8"/>
      <c r="V197" s="7">
        <f>IF($B197="","",IFERROR(INDEX('Challan Master'!$AA$4:$AA$207,MATCH($B197,'Challan Master'!$S$4:$S$207,0)),""))</f>
      </c>
    </row>
    <row r="198" spans="1:22" x14ac:dyDescent="0.25">
      <c r="A198" s="7">
        <f>IF($D198="","",COUNTIF($D$4:$D198,"&lt;&gt;"))</f>
      </c>
      <c r="B198" s="8"/>
      <c r="C198" s="7">
        <f>IF($B198="","","BSR "&amp;IFERROR(INDEX('Challan Master'!$B$4:$B$207,MATCH($B198,'Challan Master'!$S$4:$S$207,0)),"")&amp;" | Serial "&amp;IFERROR(INDEX('Challan Master'!$C$4:$C$207,MATCH($B198,'Challan Master'!$S$4:$S$207,0)),"")&amp;" | Deposit "&amp;TEXT(IFERROR(INDEX('Challan Master'!$D$4:$D$207,MATCH($B198,'Challan Master'!$S$4:$S$207,0)),""),"dd-mm-yyyy")&amp;" | Minor Head "&amp;IFERROR(INDEX('Challan Master'!$E$4:$E$207,MATCH($B198,'Challan Master'!$S$4:$S$207,0)),"")&amp;" | Tax ₹"&amp;TEXT(IFERROR(INDEX('Challan Master'!$G$4:$G$207,MATCH($B198,'Challan Master'!$S$4:$S$207,0)),""),"#,##0")&amp;" | Section "&amp;IFERROR(INDEX('Challan Master'!$F$4:$F$207,MATCH($B198,'Challan Master'!$S$4:$S$207,0)),""))</f>
      </c>
      <c r="D198" s="8"/>
      <c r="E198" s="8"/>
      <c r="F198" s="7">
        <f>IF($D198="","",IF(AND(LEN(TRIM(UPPER(E198)))=10,CODE(MID(TRIM(UPPER(E198)),1,1))&gt;=65,CODE(MID(TRIM(UPPER(E198)),1,1))&lt;=90,CODE(MID(TRIM(UPPER(E198)),2,1))&gt;=65,CODE(MID(TRIM(UPPER(E198)),2,1))&lt;=90,CODE(MID(TRIM(UPPER(E198)),3,1))&gt;=65,CODE(MID(TRIM(UPPER(E198)),3,1))&lt;=90,CODE(MID(TRIM(UPPER(E198)),4,1))&gt;=65,CODE(MID(TRIM(UPPER(E198)),4,1))&lt;=90,CODE(MID(TRIM(UPPER(E198)),5,1))&gt;=65,CODE(MID(TRIM(UPPER(E198)),5,1))&lt;=90,CODE(MID(TRIM(UPPER(E198)),10,1))&gt;=65,CODE(MID(TRIM(UPPER(E198)),10,1))&lt;=90,CODE(MID(TRIM(UPPER(E198)),6,1))&gt;=48,CODE(MID(TRIM(UPPER(E198)),6,1))&lt;=57,CODE(MID(TRIM(UPPER(E198)),7,1))&gt;=48,CODE(MID(TRIM(UPPER(E198)),7,1))&lt;=57,CODE(MID(TRIM(UPPER(E198)),8,1))&gt;=48,CODE(MID(TRIM(UPPER(E198)),8,1))&lt;=57,CODE(MID(TRIM(UPPER(E198)),9,1))&gt;=48,CODE(MID(TRIM(UPPER(E198)),9,1))&lt;=57),"N","Y"))</f>
      </c>
      <c r="G198" s="7">
        <f>IF($D198="","",IF(LEN(E198)&lt;4,"",IF(UPPER(MID(E198,4,1))="P","Individual",IF(UPPER(MID(E198,4,1))="H","HUF",IF(UPPER(MID(E198,4,1))="C","Company",IF(UPPER(MID(E198,4,1))="F","Firm",IF(UPPER(MID(E198,4,1))="L","LLP",IF(UPPER(MID(E198,4,1))="T","Trust",IF(UPPER(MID(E198,4,1))="A","AOP","")))))))))</f>
      </c>
      <c r="H198" s="8"/>
      <c r="I198" s="7">
        <f>IF($D198="","",IF(H198="","",IF(F198="Y",SUMPRODUCT(('Rate Lookup'!$A$1:$A$37=H198)*'Rate Lookup'!$D$1:$D$37),IF(OR(G198="Individual",G198="HUF"),SUMPRODUCT(('Rate Lookup'!$A$1:$A$37=H198)*'Rate Lookup'!$B$1:$B$37),SUMPRODUCT(('Rate Lookup'!$A$1:$A$37=H198)*'Rate Lookup'!$C$1:$C$37)))))</f>
      </c>
      <c r="J198" s="8"/>
      <c r="K198" s="8"/>
      <c r="L198" s="7">
        <f>IF($D198="","",ROUND(K198*I198/100,0))</f>
      </c>
      <c r="M198" s="7">
        <f>IF($D198="","",0)</f>
      </c>
      <c r="N198" s="7">
        <f>IF($D198="","",0)</f>
      </c>
      <c r="O198" s="7">
        <f>IF($D198="","",IF(OR(L198=0,J198="",IFERROR(INDEX('Challan Master'!$D$4:$D$207,MATCH($B198,'Challan Master'!$S$4:$S$207,0)),"")="",IFERROR(INDEX('Challan Master'!$D$4:$D$207,MATCH($B198,'Challan Master'!$S$4:$S$207,0)),"")&lt;=0),0,IF(IFERROR(INDEX('Challan Master'!$D$4:$D$207,MATCH($B198,'Challan Master'!$S$4:$S$207,0)),"")&lt;=DATE(YEAR(J198),MONTH(J198)+1,7),0,ROUND(L198*0.015*((YEAR(IFERROR(INDEX('Challan Master'!$D$4:$D$207,MATCH($B198,'Challan Master'!$S$4:$S$207,0)),""))-YEAR(J198))*12+(MONTH(IFERROR(INDEX('Challan Master'!$D$4:$D$207,MATCH($B198,'Challan Master'!$S$4:$S$207,0)),""))-MONTH(J198))+1),0))))</f>
      </c>
      <c r="P198" s="7">
        <f>IF($D198="","",0)</f>
      </c>
      <c r="Q198" s="8"/>
      <c r="R198" s="8"/>
      <c r="S198" s="8"/>
      <c r="T198" s="8"/>
      <c r="U198" s="8"/>
      <c r="V198" s="7">
        <f>IF($B198="","",IFERROR(INDEX('Challan Master'!$AA$4:$AA$207,MATCH($B198,'Challan Master'!$S$4:$S$207,0)),""))</f>
      </c>
    </row>
    <row r="199" spans="1:22" x14ac:dyDescent="0.25">
      <c r="A199" s="7">
        <f>IF($D199="","",COUNTIF($D$4:$D199,"&lt;&gt;"))</f>
      </c>
      <c r="B199" s="8"/>
      <c r="C199" s="7">
        <f>IF($B199="","","BSR "&amp;IFERROR(INDEX('Challan Master'!$B$4:$B$207,MATCH($B199,'Challan Master'!$S$4:$S$207,0)),"")&amp;" | Serial "&amp;IFERROR(INDEX('Challan Master'!$C$4:$C$207,MATCH($B199,'Challan Master'!$S$4:$S$207,0)),"")&amp;" | Deposit "&amp;TEXT(IFERROR(INDEX('Challan Master'!$D$4:$D$207,MATCH($B199,'Challan Master'!$S$4:$S$207,0)),""),"dd-mm-yyyy")&amp;" | Minor Head "&amp;IFERROR(INDEX('Challan Master'!$E$4:$E$207,MATCH($B199,'Challan Master'!$S$4:$S$207,0)),"")&amp;" | Tax ₹"&amp;TEXT(IFERROR(INDEX('Challan Master'!$G$4:$G$207,MATCH($B199,'Challan Master'!$S$4:$S$207,0)),""),"#,##0")&amp;" | Section "&amp;IFERROR(INDEX('Challan Master'!$F$4:$F$207,MATCH($B199,'Challan Master'!$S$4:$S$207,0)),""))</f>
      </c>
      <c r="D199" s="8"/>
      <c r="E199" s="8"/>
      <c r="F199" s="7">
        <f>IF($D199="","",IF(AND(LEN(TRIM(UPPER(E199)))=10,CODE(MID(TRIM(UPPER(E199)),1,1))&gt;=65,CODE(MID(TRIM(UPPER(E199)),1,1))&lt;=90,CODE(MID(TRIM(UPPER(E199)),2,1))&gt;=65,CODE(MID(TRIM(UPPER(E199)),2,1))&lt;=90,CODE(MID(TRIM(UPPER(E199)),3,1))&gt;=65,CODE(MID(TRIM(UPPER(E199)),3,1))&lt;=90,CODE(MID(TRIM(UPPER(E199)),4,1))&gt;=65,CODE(MID(TRIM(UPPER(E199)),4,1))&lt;=90,CODE(MID(TRIM(UPPER(E199)),5,1))&gt;=65,CODE(MID(TRIM(UPPER(E199)),5,1))&lt;=90,CODE(MID(TRIM(UPPER(E199)),10,1))&gt;=65,CODE(MID(TRIM(UPPER(E199)),10,1))&lt;=90,CODE(MID(TRIM(UPPER(E199)),6,1))&gt;=48,CODE(MID(TRIM(UPPER(E199)),6,1))&lt;=57,CODE(MID(TRIM(UPPER(E199)),7,1))&gt;=48,CODE(MID(TRIM(UPPER(E199)),7,1))&lt;=57,CODE(MID(TRIM(UPPER(E199)),8,1))&gt;=48,CODE(MID(TRIM(UPPER(E199)),8,1))&lt;=57,CODE(MID(TRIM(UPPER(E199)),9,1))&gt;=48,CODE(MID(TRIM(UPPER(E199)),9,1))&lt;=57),"N","Y"))</f>
      </c>
      <c r="G199" s="7">
        <f>IF($D199="","",IF(LEN(E199)&lt;4,"",IF(UPPER(MID(E199,4,1))="P","Individual",IF(UPPER(MID(E199,4,1))="H","HUF",IF(UPPER(MID(E199,4,1))="C","Company",IF(UPPER(MID(E199,4,1))="F","Firm",IF(UPPER(MID(E199,4,1))="L","LLP",IF(UPPER(MID(E199,4,1))="T","Trust",IF(UPPER(MID(E199,4,1))="A","AOP","")))))))))</f>
      </c>
      <c r="H199" s="8"/>
      <c r="I199" s="7">
        <f>IF($D199="","",IF(H199="","",IF(F199="Y",SUMPRODUCT(('Rate Lookup'!$A$1:$A$37=H199)*'Rate Lookup'!$D$1:$D$37),IF(OR(G199="Individual",G199="HUF"),SUMPRODUCT(('Rate Lookup'!$A$1:$A$37=H199)*'Rate Lookup'!$B$1:$B$37),SUMPRODUCT(('Rate Lookup'!$A$1:$A$37=H199)*'Rate Lookup'!$C$1:$C$37)))))</f>
      </c>
      <c r="J199" s="8"/>
      <c r="K199" s="8"/>
      <c r="L199" s="7">
        <f>IF($D199="","",ROUND(K199*I199/100,0))</f>
      </c>
      <c r="M199" s="7">
        <f>IF($D199="","",0)</f>
      </c>
      <c r="N199" s="7">
        <f>IF($D199="","",0)</f>
      </c>
      <c r="O199" s="7">
        <f>IF($D199="","",IF(OR(L199=0,J199="",IFERROR(INDEX('Challan Master'!$D$4:$D$207,MATCH($B199,'Challan Master'!$S$4:$S$207,0)),"")="",IFERROR(INDEX('Challan Master'!$D$4:$D$207,MATCH($B199,'Challan Master'!$S$4:$S$207,0)),"")&lt;=0),0,IF(IFERROR(INDEX('Challan Master'!$D$4:$D$207,MATCH($B199,'Challan Master'!$S$4:$S$207,0)),"")&lt;=DATE(YEAR(J199),MONTH(J199)+1,7),0,ROUND(L199*0.015*((YEAR(IFERROR(INDEX('Challan Master'!$D$4:$D$207,MATCH($B199,'Challan Master'!$S$4:$S$207,0)),""))-YEAR(J199))*12+(MONTH(IFERROR(INDEX('Challan Master'!$D$4:$D$207,MATCH($B199,'Challan Master'!$S$4:$S$207,0)),""))-MONTH(J199))+1),0))))</f>
      </c>
      <c r="P199" s="7">
        <f>IF($D199="","",0)</f>
      </c>
      <c r="Q199" s="8"/>
      <c r="R199" s="8"/>
      <c r="S199" s="8"/>
      <c r="T199" s="8"/>
      <c r="U199" s="8"/>
      <c r="V199" s="7">
        <f>IF($B199="","",IFERROR(INDEX('Challan Master'!$AA$4:$AA$207,MATCH($B199,'Challan Master'!$S$4:$S$207,0)),""))</f>
      </c>
    </row>
    <row r="200" spans="1:22" x14ac:dyDescent="0.25">
      <c r="A200" s="7">
        <f>IF($D200="","",COUNTIF($D$4:$D200,"&lt;&gt;"))</f>
      </c>
      <c r="B200" s="8"/>
      <c r="C200" s="7">
        <f>IF($B200="","","BSR "&amp;IFERROR(INDEX('Challan Master'!$B$4:$B$207,MATCH($B200,'Challan Master'!$S$4:$S$207,0)),"")&amp;" | Serial "&amp;IFERROR(INDEX('Challan Master'!$C$4:$C$207,MATCH($B200,'Challan Master'!$S$4:$S$207,0)),"")&amp;" | Deposit "&amp;TEXT(IFERROR(INDEX('Challan Master'!$D$4:$D$207,MATCH($B200,'Challan Master'!$S$4:$S$207,0)),""),"dd-mm-yyyy")&amp;" | Minor Head "&amp;IFERROR(INDEX('Challan Master'!$E$4:$E$207,MATCH($B200,'Challan Master'!$S$4:$S$207,0)),"")&amp;" | Tax ₹"&amp;TEXT(IFERROR(INDEX('Challan Master'!$G$4:$G$207,MATCH($B200,'Challan Master'!$S$4:$S$207,0)),""),"#,##0")&amp;" | Section "&amp;IFERROR(INDEX('Challan Master'!$F$4:$F$207,MATCH($B200,'Challan Master'!$S$4:$S$207,0)),""))</f>
      </c>
      <c r="D200" s="8"/>
      <c r="E200" s="8"/>
      <c r="F200" s="7">
        <f>IF($D200="","",IF(AND(LEN(TRIM(UPPER(E200)))=10,CODE(MID(TRIM(UPPER(E200)),1,1))&gt;=65,CODE(MID(TRIM(UPPER(E200)),1,1))&lt;=90,CODE(MID(TRIM(UPPER(E200)),2,1))&gt;=65,CODE(MID(TRIM(UPPER(E200)),2,1))&lt;=90,CODE(MID(TRIM(UPPER(E200)),3,1))&gt;=65,CODE(MID(TRIM(UPPER(E200)),3,1))&lt;=90,CODE(MID(TRIM(UPPER(E200)),4,1))&gt;=65,CODE(MID(TRIM(UPPER(E200)),4,1))&lt;=90,CODE(MID(TRIM(UPPER(E200)),5,1))&gt;=65,CODE(MID(TRIM(UPPER(E200)),5,1))&lt;=90,CODE(MID(TRIM(UPPER(E200)),10,1))&gt;=65,CODE(MID(TRIM(UPPER(E200)),10,1))&lt;=90,CODE(MID(TRIM(UPPER(E200)),6,1))&gt;=48,CODE(MID(TRIM(UPPER(E200)),6,1))&lt;=57,CODE(MID(TRIM(UPPER(E200)),7,1))&gt;=48,CODE(MID(TRIM(UPPER(E200)),7,1))&lt;=57,CODE(MID(TRIM(UPPER(E200)),8,1))&gt;=48,CODE(MID(TRIM(UPPER(E200)),8,1))&lt;=57,CODE(MID(TRIM(UPPER(E200)),9,1))&gt;=48,CODE(MID(TRIM(UPPER(E200)),9,1))&lt;=57),"N","Y"))</f>
      </c>
      <c r="G200" s="7">
        <f>IF($D200="","",IF(LEN(E200)&lt;4,"",IF(UPPER(MID(E200,4,1))="P","Individual",IF(UPPER(MID(E200,4,1))="H","HUF",IF(UPPER(MID(E200,4,1))="C","Company",IF(UPPER(MID(E200,4,1))="F","Firm",IF(UPPER(MID(E200,4,1))="L","LLP",IF(UPPER(MID(E200,4,1))="T","Trust",IF(UPPER(MID(E200,4,1))="A","AOP","")))))))))</f>
      </c>
      <c r="H200" s="8"/>
      <c r="I200" s="7">
        <f>IF($D200="","",IF(H200="","",IF(F200="Y",SUMPRODUCT(('Rate Lookup'!$A$1:$A$37=H200)*'Rate Lookup'!$D$1:$D$37),IF(OR(G200="Individual",G200="HUF"),SUMPRODUCT(('Rate Lookup'!$A$1:$A$37=H200)*'Rate Lookup'!$B$1:$B$37),SUMPRODUCT(('Rate Lookup'!$A$1:$A$37=H200)*'Rate Lookup'!$C$1:$C$37)))))</f>
      </c>
      <c r="J200" s="8"/>
      <c r="K200" s="8"/>
      <c r="L200" s="7">
        <f>IF($D200="","",ROUND(K200*I200/100,0))</f>
      </c>
      <c r="M200" s="7">
        <f>IF($D200="","",0)</f>
      </c>
      <c r="N200" s="7">
        <f>IF($D200="","",0)</f>
      </c>
      <c r="O200" s="7">
        <f>IF($D200="","",IF(OR(L200=0,J200="",IFERROR(INDEX('Challan Master'!$D$4:$D$207,MATCH($B200,'Challan Master'!$S$4:$S$207,0)),"")="",IFERROR(INDEX('Challan Master'!$D$4:$D$207,MATCH($B200,'Challan Master'!$S$4:$S$207,0)),"")&lt;=0),0,IF(IFERROR(INDEX('Challan Master'!$D$4:$D$207,MATCH($B200,'Challan Master'!$S$4:$S$207,0)),"")&lt;=DATE(YEAR(J200),MONTH(J200)+1,7),0,ROUND(L200*0.015*((YEAR(IFERROR(INDEX('Challan Master'!$D$4:$D$207,MATCH($B200,'Challan Master'!$S$4:$S$207,0)),""))-YEAR(J200))*12+(MONTH(IFERROR(INDEX('Challan Master'!$D$4:$D$207,MATCH($B200,'Challan Master'!$S$4:$S$207,0)),""))-MONTH(J200))+1),0))))</f>
      </c>
      <c r="P200" s="7">
        <f>IF($D200="","",0)</f>
      </c>
      <c r="Q200" s="8"/>
      <c r="R200" s="8"/>
      <c r="S200" s="8"/>
      <c r="T200" s="8"/>
      <c r="U200" s="8"/>
      <c r="V200" s="7">
        <f>IF($B200="","",IFERROR(INDEX('Challan Master'!$AA$4:$AA$207,MATCH($B200,'Challan Master'!$S$4:$S$207,0)),""))</f>
      </c>
    </row>
    <row r="201" spans="1:22" x14ac:dyDescent="0.25">
      <c r="A201" s="7">
        <f>IF($D201="","",COUNTIF($D$4:$D201,"&lt;&gt;"))</f>
      </c>
      <c r="B201" s="8"/>
      <c r="C201" s="7">
        <f>IF($B201="","","BSR "&amp;IFERROR(INDEX('Challan Master'!$B$4:$B$207,MATCH($B201,'Challan Master'!$S$4:$S$207,0)),"")&amp;" | Serial "&amp;IFERROR(INDEX('Challan Master'!$C$4:$C$207,MATCH($B201,'Challan Master'!$S$4:$S$207,0)),"")&amp;" | Deposit "&amp;TEXT(IFERROR(INDEX('Challan Master'!$D$4:$D$207,MATCH($B201,'Challan Master'!$S$4:$S$207,0)),""),"dd-mm-yyyy")&amp;" | Minor Head "&amp;IFERROR(INDEX('Challan Master'!$E$4:$E$207,MATCH($B201,'Challan Master'!$S$4:$S$207,0)),"")&amp;" | Tax ₹"&amp;TEXT(IFERROR(INDEX('Challan Master'!$G$4:$G$207,MATCH($B201,'Challan Master'!$S$4:$S$207,0)),""),"#,##0")&amp;" | Section "&amp;IFERROR(INDEX('Challan Master'!$F$4:$F$207,MATCH($B201,'Challan Master'!$S$4:$S$207,0)),""))</f>
      </c>
      <c r="D201" s="8"/>
      <c r="E201" s="8"/>
      <c r="F201" s="7">
        <f>IF($D201="","",IF(AND(LEN(TRIM(UPPER(E201)))=10,CODE(MID(TRIM(UPPER(E201)),1,1))&gt;=65,CODE(MID(TRIM(UPPER(E201)),1,1))&lt;=90,CODE(MID(TRIM(UPPER(E201)),2,1))&gt;=65,CODE(MID(TRIM(UPPER(E201)),2,1))&lt;=90,CODE(MID(TRIM(UPPER(E201)),3,1))&gt;=65,CODE(MID(TRIM(UPPER(E201)),3,1))&lt;=90,CODE(MID(TRIM(UPPER(E201)),4,1))&gt;=65,CODE(MID(TRIM(UPPER(E201)),4,1))&lt;=90,CODE(MID(TRIM(UPPER(E201)),5,1))&gt;=65,CODE(MID(TRIM(UPPER(E201)),5,1))&lt;=90,CODE(MID(TRIM(UPPER(E201)),10,1))&gt;=65,CODE(MID(TRIM(UPPER(E201)),10,1))&lt;=90,CODE(MID(TRIM(UPPER(E201)),6,1))&gt;=48,CODE(MID(TRIM(UPPER(E201)),6,1))&lt;=57,CODE(MID(TRIM(UPPER(E201)),7,1))&gt;=48,CODE(MID(TRIM(UPPER(E201)),7,1))&lt;=57,CODE(MID(TRIM(UPPER(E201)),8,1))&gt;=48,CODE(MID(TRIM(UPPER(E201)),8,1))&lt;=57,CODE(MID(TRIM(UPPER(E201)),9,1))&gt;=48,CODE(MID(TRIM(UPPER(E201)),9,1))&lt;=57),"N","Y"))</f>
      </c>
      <c r="G201" s="7">
        <f>IF($D201="","",IF(LEN(E201)&lt;4,"",IF(UPPER(MID(E201,4,1))="P","Individual",IF(UPPER(MID(E201,4,1))="H","HUF",IF(UPPER(MID(E201,4,1))="C","Company",IF(UPPER(MID(E201,4,1))="F","Firm",IF(UPPER(MID(E201,4,1))="L","LLP",IF(UPPER(MID(E201,4,1))="T","Trust",IF(UPPER(MID(E201,4,1))="A","AOP","")))))))))</f>
      </c>
      <c r="H201" s="8"/>
      <c r="I201" s="7">
        <f>IF($D201="","",IF(H201="","",IF(F201="Y",SUMPRODUCT(('Rate Lookup'!$A$1:$A$37=H201)*'Rate Lookup'!$D$1:$D$37),IF(OR(G201="Individual",G201="HUF"),SUMPRODUCT(('Rate Lookup'!$A$1:$A$37=H201)*'Rate Lookup'!$B$1:$B$37),SUMPRODUCT(('Rate Lookup'!$A$1:$A$37=H201)*'Rate Lookup'!$C$1:$C$37)))))</f>
      </c>
      <c r="J201" s="8"/>
      <c r="K201" s="8"/>
      <c r="L201" s="7">
        <f>IF($D201="","",ROUND(K201*I201/100,0))</f>
      </c>
      <c r="M201" s="7">
        <f>IF($D201="","",0)</f>
      </c>
      <c r="N201" s="7">
        <f>IF($D201="","",0)</f>
      </c>
      <c r="O201" s="7">
        <f>IF($D201="","",IF(OR(L201=0,J201="",IFERROR(INDEX('Challan Master'!$D$4:$D$207,MATCH($B201,'Challan Master'!$S$4:$S$207,0)),"")="",IFERROR(INDEX('Challan Master'!$D$4:$D$207,MATCH($B201,'Challan Master'!$S$4:$S$207,0)),"")&lt;=0),0,IF(IFERROR(INDEX('Challan Master'!$D$4:$D$207,MATCH($B201,'Challan Master'!$S$4:$S$207,0)),"")&lt;=DATE(YEAR(J201),MONTH(J201)+1,7),0,ROUND(L201*0.015*((YEAR(IFERROR(INDEX('Challan Master'!$D$4:$D$207,MATCH($B201,'Challan Master'!$S$4:$S$207,0)),""))-YEAR(J201))*12+(MONTH(IFERROR(INDEX('Challan Master'!$D$4:$D$207,MATCH($B201,'Challan Master'!$S$4:$S$207,0)),""))-MONTH(J201))+1),0))))</f>
      </c>
      <c r="P201" s="7">
        <f>IF($D201="","",0)</f>
      </c>
      <c r="Q201" s="8"/>
      <c r="R201" s="8"/>
      <c r="S201" s="8"/>
      <c r="T201" s="8"/>
      <c r="U201" s="8"/>
      <c r="V201" s="7">
        <f>IF($B201="","",IFERROR(INDEX('Challan Master'!$AA$4:$AA$207,MATCH($B201,'Challan Master'!$S$4:$S$207,0)),""))</f>
      </c>
    </row>
    <row r="202" spans="1:22" x14ac:dyDescent="0.25">
      <c r="A202" s="7">
        <f>IF($D202="","",COUNTIF($D$4:$D202,"&lt;&gt;"))</f>
      </c>
      <c r="B202" s="8"/>
      <c r="C202" s="7">
        <f>IF($B202="","","BSR "&amp;IFERROR(INDEX('Challan Master'!$B$4:$B$207,MATCH($B202,'Challan Master'!$S$4:$S$207,0)),"")&amp;" | Serial "&amp;IFERROR(INDEX('Challan Master'!$C$4:$C$207,MATCH($B202,'Challan Master'!$S$4:$S$207,0)),"")&amp;" | Deposit "&amp;TEXT(IFERROR(INDEX('Challan Master'!$D$4:$D$207,MATCH($B202,'Challan Master'!$S$4:$S$207,0)),""),"dd-mm-yyyy")&amp;" | Minor Head "&amp;IFERROR(INDEX('Challan Master'!$E$4:$E$207,MATCH($B202,'Challan Master'!$S$4:$S$207,0)),"")&amp;" | Tax ₹"&amp;TEXT(IFERROR(INDEX('Challan Master'!$G$4:$G$207,MATCH($B202,'Challan Master'!$S$4:$S$207,0)),""),"#,##0")&amp;" | Section "&amp;IFERROR(INDEX('Challan Master'!$F$4:$F$207,MATCH($B202,'Challan Master'!$S$4:$S$207,0)),""))</f>
      </c>
      <c r="D202" s="8"/>
      <c r="E202" s="8"/>
      <c r="F202" s="7">
        <f>IF($D202="","",IF(AND(LEN(TRIM(UPPER(E202)))=10,CODE(MID(TRIM(UPPER(E202)),1,1))&gt;=65,CODE(MID(TRIM(UPPER(E202)),1,1))&lt;=90,CODE(MID(TRIM(UPPER(E202)),2,1))&gt;=65,CODE(MID(TRIM(UPPER(E202)),2,1))&lt;=90,CODE(MID(TRIM(UPPER(E202)),3,1))&gt;=65,CODE(MID(TRIM(UPPER(E202)),3,1))&lt;=90,CODE(MID(TRIM(UPPER(E202)),4,1))&gt;=65,CODE(MID(TRIM(UPPER(E202)),4,1))&lt;=90,CODE(MID(TRIM(UPPER(E202)),5,1))&gt;=65,CODE(MID(TRIM(UPPER(E202)),5,1))&lt;=90,CODE(MID(TRIM(UPPER(E202)),10,1))&gt;=65,CODE(MID(TRIM(UPPER(E202)),10,1))&lt;=90,CODE(MID(TRIM(UPPER(E202)),6,1))&gt;=48,CODE(MID(TRIM(UPPER(E202)),6,1))&lt;=57,CODE(MID(TRIM(UPPER(E202)),7,1))&gt;=48,CODE(MID(TRIM(UPPER(E202)),7,1))&lt;=57,CODE(MID(TRIM(UPPER(E202)),8,1))&gt;=48,CODE(MID(TRIM(UPPER(E202)),8,1))&lt;=57,CODE(MID(TRIM(UPPER(E202)),9,1))&gt;=48,CODE(MID(TRIM(UPPER(E202)),9,1))&lt;=57),"N","Y"))</f>
      </c>
      <c r="G202" s="7">
        <f>IF($D202="","",IF(LEN(E202)&lt;4,"",IF(UPPER(MID(E202,4,1))="P","Individual",IF(UPPER(MID(E202,4,1))="H","HUF",IF(UPPER(MID(E202,4,1))="C","Company",IF(UPPER(MID(E202,4,1))="F","Firm",IF(UPPER(MID(E202,4,1))="L","LLP",IF(UPPER(MID(E202,4,1))="T","Trust",IF(UPPER(MID(E202,4,1))="A","AOP","")))))))))</f>
      </c>
      <c r="H202" s="8"/>
      <c r="I202" s="7">
        <f>IF($D202="","",IF(H202="","",IF(F202="Y",SUMPRODUCT(('Rate Lookup'!$A$1:$A$37=H202)*'Rate Lookup'!$D$1:$D$37),IF(OR(G202="Individual",G202="HUF"),SUMPRODUCT(('Rate Lookup'!$A$1:$A$37=H202)*'Rate Lookup'!$B$1:$B$37),SUMPRODUCT(('Rate Lookup'!$A$1:$A$37=H202)*'Rate Lookup'!$C$1:$C$37)))))</f>
      </c>
      <c r="J202" s="8"/>
      <c r="K202" s="8"/>
      <c r="L202" s="7">
        <f>IF($D202="","",ROUND(K202*I202/100,0))</f>
      </c>
      <c r="M202" s="7">
        <f>IF($D202="","",0)</f>
      </c>
      <c r="N202" s="7">
        <f>IF($D202="","",0)</f>
      </c>
      <c r="O202" s="7">
        <f>IF($D202="","",IF(OR(L202=0,J202="",IFERROR(INDEX('Challan Master'!$D$4:$D$207,MATCH($B202,'Challan Master'!$S$4:$S$207,0)),"")="",IFERROR(INDEX('Challan Master'!$D$4:$D$207,MATCH($B202,'Challan Master'!$S$4:$S$207,0)),"")&lt;=0),0,IF(IFERROR(INDEX('Challan Master'!$D$4:$D$207,MATCH($B202,'Challan Master'!$S$4:$S$207,0)),"")&lt;=DATE(YEAR(J202),MONTH(J202)+1,7),0,ROUND(L202*0.015*((YEAR(IFERROR(INDEX('Challan Master'!$D$4:$D$207,MATCH($B202,'Challan Master'!$S$4:$S$207,0)),""))-YEAR(J202))*12+(MONTH(IFERROR(INDEX('Challan Master'!$D$4:$D$207,MATCH($B202,'Challan Master'!$S$4:$S$207,0)),""))-MONTH(J202))+1),0))))</f>
      </c>
      <c r="P202" s="7">
        <f>IF($D202="","",0)</f>
      </c>
      <c r="Q202" s="8"/>
      <c r="R202" s="8"/>
      <c r="S202" s="8"/>
      <c r="T202" s="8"/>
      <c r="U202" s="8"/>
      <c r="V202" s="7">
        <f>IF($B202="","",IFERROR(INDEX('Challan Master'!$AA$4:$AA$207,MATCH($B202,'Challan Master'!$S$4:$S$207,0)),""))</f>
      </c>
    </row>
    <row r="203" spans="1:22" x14ac:dyDescent="0.25">
      <c r="A203" s="7">
        <f>IF($D203="","",COUNTIF($D$4:$D203,"&lt;&gt;"))</f>
      </c>
      <c r="B203" s="8"/>
      <c r="C203" s="7">
        <f>IF($B203="","","BSR "&amp;IFERROR(INDEX('Challan Master'!$B$4:$B$207,MATCH($B203,'Challan Master'!$S$4:$S$207,0)),"")&amp;" | Serial "&amp;IFERROR(INDEX('Challan Master'!$C$4:$C$207,MATCH($B203,'Challan Master'!$S$4:$S$207,0)),"")&amp;" | Deposit "&amp;TEXT(IFERROR(INDEX('Challan Master'!$D$4:$D$207,MATCH($B203,'Challan Master'!$S$4:$S$207,0)),""),"dd-mm-yyyy")&amp;" | Minor Head "&amp;IFERROR(INDEX('Challan Master'!$E$4:$E$207,MATCH($B203,'Challan Master'!$S$4:$S$207,0)),"")&amp;" | Tax ₹"&amp;TEXT(IFERROR(INDEX('Challan Master'!$G$4:$G$207,MATCH($B203,'Challan Master'!$S$4:$S$207,0)),""),"#,##0")&amp;" | Section "&amp;IFERROR(INDEX('Challan Master'!$F$4:$F$207,MATCH($B203,'Challan Master'!$S$4:$S$207,0)),""))</f>
      </c>
      <c r="D203" s="8"/>
      <c r="E203" s="8"/>
      <c r="F203" s="7">
        <f>IF($D203="","",IF(AND(LEN(TRIM(UPPER(E203)))=10,CODE(MID(TRIM(UPPER(E203)),1,1))&gt;=65,CODE(MID(TRIM(UPPER(E203)),1,1))&lt;=90,CODE(MID(TRIM(UPPER(E203)),2,1))&gt;=65,CODE(MID(TRIM(UPPER(E203)),2,1))&lt;=90,CODE(MID(TRIM(UPPER(E203)),3,1))&gt;=65,CODE(MID(TRIM(UPPER(E203)),3,1))&lt;=90,CODE(MID(TRIM(UPPER(E203)),4,1))&gt;=65,CODE(MID(TRIM(UPPER(E203)),4,1))&lt;=90,CODE(MID(TRIM(UPPER(E203)),5,1))&gt;=65,CODE(MID(TRIM(UPPER(E203)),5,1))&lt;=90,CODE(MID(TRIM(UPPER(E203)),10,1))&gt;=65,CODE(MID(TRIM(UPPER(E203)),10,1))&lt;=90,CODE(MID(TRIM(UPPER(E203)),6,1))&gt;=48,CODE(MID(TRIM(UPPER(E203)),6,1))&lt;=57,CODE(MID(TRIM(UPPER(E203)),7,1))&gt;=48,CODE(MID(TRIM(UPPER(E203)),7,1))&lt;=57,CODE(MID(TRIM(UPPER(E203)),8,1))&gt;=48,CODE(MID(TRIM(UPPER(E203)),8,1))&lt;=57,CODE(MID(TRIM(UPPER(E203)),9,1))&gt;=48,CODE(MID(TRIM(UPPER(E203)),9,1))&lt;=57),"N","Y"))</f>
      </c>
      <c r="G203" s="7">
        <f>IF($D203="","",IF(LEN(E203)&lt;4,"",IF(UPPER(MID(E203,4,1))="P","Individual",IF(UPPER(MID(E203,4,1))="H","HUF",IF(UPPER(MID(E203,4,1))="C","Company",IF(UPPER(MID(E203,4,1))="F","Firm",IF(UPPER(MID(E203,4,1))="L","LLP",IF(UPPER(MID(E203,4,1))="T","Trust",IF(UPPER(MID(E203,4,1))="A","AOP","")))))))))</f>
      </c>
      <c r="H203" s="8"/>
      <c r="I203" s="7">
        <f>IF($D203="","",IF(H203="","",IF(F203="Y",SUMPRODUCT(('Rate Lookup'!$A$1:$A$37=H203)*'Rate Lookup'!$D$1:$D$37),IF(OR(G203="Individual",G203="HUF"),SUMPRODUCT(('Rate Lookup'!$A$1:$A$37=H203)*'Rate Lookup'!$B$1:$B$37),SUMPRODUCT(('Rate Lookup'!$A$1:$A$37=H203)*'Rate Lookup'!$C$1:$C$37)))))</f>
      </c>
      <c r="J203" s="8"/>
      <c r="K203" s="8"/>
      <c r="L203" s="7">
        <f>IF($D203="","",ROUND(K203*I203/100,0))</f>
      </c>
      <c r="M203" s="7">
        <f>IF($D203="","",0)</f>
      </c>
      <c r="N203" s="7">
        <f>IF($D203="","",0)</f>
      </c>
      <c r="O203" s="7">
        <f>IF($D203="","",IF(OR(L203=0,J203="",IFERROR(INDEX('Challan Master'!$D$4:$D$207,MATCH($B203,'Challan Master'!$S$4:$S$207,0)),"")="",IFERROR(INDEX('Challan Master'!$D$4:$D$207,MATCH($B203,'Challan Master'!$S$4:$S$207,0)),"")&lt;=0),0,IF(IFERROR(INDEX('Challan Master'!$D$4:$D$207,MATCH($B203,'Challan Master'!$S$4:$S$207,0)),"")&lt;=DATE(YEAR(J203),MONTH(J203)+1,7),0,ROUND(L203*0.015*((YEAR(IFERROR(INDEX('Challan Master'!$D$4:$D$207,MATCH($B203,'Challan Master'!$S$4:$S$207,0)),""))-YEAR(J203))*12+(MONTH(IFERROR(INDEX('Challan Master'!$D$4:$D$207,MATCH($B203,'Challan Master'!$S$4:$S$207,0)),""))-MONTH(J203))+1),0))))</f>
      </c>
      <c r="P203" s="7">
        <f>IF($D203="","",0)</f>
      </c>
      <c r="Q203" s="8"/>
      <c r="R203" s="8"/>
      <c r="S203" s="8"/>
      <c r="T203" s="8"/>
      <c r="U203" s="8"/>
      <c r="V203" s="7">
        <f>IF($B203="","",IFERROR(INDEX('Challan Master'!$AA$4:$AA$207,MATCH($B203,'Challan Master'!$S$4:$S$207,0)),""))</f>
      </c>
    </row>
    <row r="204" spans="1:22" x14ac:dyDescent="0.25">
      <c r="A204" s="7">
        <f>IF($D204="","",COUNTIF($D$4:$D204,"&lt;&gt;"))</f>
      </c>
      <c r="B204" s="8"/>
      <c r="C204" s="7">
        <f>IF($B204="","","BSR "&amp;IFERROR(INDEX('Challan Master'!$B$4:$B$207,MATCH($B204,'Challan Master'!$S$4:$S$207,0)),"")&amp;" | Serial "&amp;IFERROR(INDEX('Challan Master'!$C$4:$C$207,MATCH($B204,'Challan Master'!$S$4:$S$207,0)),"")&amp;" | Deposit "&amp;TEXT(IFERROR(INDEX('Challan Master'!$D$4:$D$207,MATCH($B204,'Challan Master'!$S$4:$S$207,0)),""),"dd-mm-yyyy")&amp;" | Minor Head "&amp;IFERROR(INDEX('Challan Master'!$E$4:$E$207,MATCH($B204,'Challan Master'!$S$4:$S$207,0)),"")&amp;" | Tax ₹"&amp;TEXT(IFERROR(INDEX('Challan Master'!$G$4:$G$207,MATCH($B204,'Challan Master'!$S$4:$S$207,0)),""),"#,##0")&amp;" | Section "&amp;IFERROR(INDEX('Challan Master'!$F$4:$F$207,MATCH($B204,'Challan Master'!$S$4:$S$207,0)),""))</f>
      </c>
      <c r="D204" s="8"/>
      <c r="E204" s="8"/>
      <c r="F204" s="7">
        <f>IF($D204="","",IF(AND(LEN(TRIM(UPPER(E204)))=10,CODE(MID(TRIM(UPPER(E204)),1,1))&gt;=65,CODE(MID(TRIM(UPPER(E204)),1,1))&lt;=90,CODE(MID(TRIM(UPPER(E204)),2,1))&gt;=65,CODE(MID(TRIM(UPPER(E204)),2,1))&lt;=90,CODE(MID(TRIM(UPPER(E204)),3,1))&gt;=65,CODE(MID(TRIM(UPPER(E204)),3,1))&lt;=90,CODE(MID(TRIM(UPPER(E204)),4,1))&gt;=65,CODE(MID(TRIM(UPPER(E204)),4,1))&lt;=90,CODE(MID(TRIM(UPPER(E204)),5,1))&gt;=65,CODE(MID(TRIM(UPPER(E204)),5,1))&lt;=90,CODE(MID(TRIM(UPPER(E204)),10,1))&gt;=65,CODE(MID(TRIM(UPPER(E204)),10,1))&lt;=90,CODE(MID(TRIM(UPPER(E204)),6,1))&gt;=48,CODE(MID(TRIM(UPPER(E204)),6,1))&lt;=57,CODE(MID(TRIM(UPPER(E204)),7,1))&gt;=48,CODE(MID(TRIM(UPPER(E204)),7,1))&lt;=57,CODE(MID(TRIM(UPPER(E204)),8,1))&gt;=48,CODE(MID(TRIM(UPPER(E204)),8,1))&lt;=57,CODE(MID(TRIM(UPPER(E204)),9,1))&gt;=48,CODE(MID(TRIM(UPPER(E204)),9,1))&lt;=57),"N","Y"))</f>
      </c>
      <c r="G204" s="7">
        <f>IF($D204="","",IF(LEN(E204)&lt;4,"",IF(UPPER(MID(E204,4,1))="P","Individual",IF(UPPER(MID(E204,4,1))="H","HUF",IF(UPPER(MID(E204,4,1))="C","Company",IF(UPPER(MID(E204,4,1))="F","Firm",IF(UPPER(MID(E204,4,1))="L","LLP",IF(UPPER(MID(E204,4,1))="T","Trust",IF(UPPER(MID(E204,4,1))="A","AOP","")))))))))</f>
      </c>
      <c r="H204" s="8"/>
      <c r="I204" s="7">
        <f>IF($D204="","",IF(H204="","",IF(F204="Y",SUMPRODUCT(('Rate Lookup'!$A$1:$A$37=H204)*'Rate Lookup'!$D$1:$D$37),IF(OR(G204="Individual",G204="HUF"),SUMPRODUCT(('Rate Lookup'!$A$1:$A$37=H204)*'Rate Lookup'!$B$1:$B$37),SUMPRODUCT(('Rate Lookup'!$A$1:$A$37=H204)*'Rate Lookup'!$C$1:$C$37)))))</f>
      </c>
      <c r="J204" s="8"/>
      <c r="K204" s="8"/>
      <c r="L204" s="7">
        <f>IF($D204="","",ROUND(K204*I204/100,0))</f>
      </c>
      <c r="M204" s="7">
        <f>IF($D204="","",0)</f>
      </c>
      <c r="N204" s="7">
        <f>IF($D204="","",0)</f>
      </c>
      <c r="O204" s="7">
        <f>IF($D204="","",IF(OR(L204=0,J204="",IFERROR(INDEX('Challan Master'!$D$4:$D$207,MATCH($B204,'Challan Master'!$S$4:$S$207,0)),"")="",IFERROR(INDEX('Challan Master'!$D$4:$D$207,MATCH($B204,'Challan Master'!$S$4:$S$207,0)),"")&lt;=0),0,IF(IFERROR(INDEX('Challan Master'!$D$4:$D$207,MATCH($B204,'Challan Master'!$S$4:$S$207,0)),"")&lt;=DATE(YEAR(J204),MONTH(J204)+1,7),0,ROUND(L204*0.015*((YEAR(IFERROR(INDEX('Challan Master'!$D$4:$D$207,MATCH($B204,'Challan Master'!$S$4:$S$207,0)),""))-YEAR(J204))*12+(MONTH(IFERROR(INDEX('Challan Master'!$D$4:$D$207,MATCH($B204,'Challan Master'!$S$4:$S$207,0)),""))-MONTH(J204))+1),0))))</f>
      </c>
      <c r="P204" s="7">
        <f>IF($D204="","",0)</f>
      </c>
      <c r="Q204" s="8"/>
      <c r="R204" s="8"/>
      <c r="S204" s="8"/>
      <c r="T204" s="8"/>
      <c r="U204" s="8"/>
      <c r="V204" s="7">
        <f>IF($B204="","",IFERROR(INDEX('Challan Master'!$AA$4:$AA$207,MATCH($B204,'Challan Master'!$S$4:$S$207,0)),""))</f>
      </c>
    </row>
    <row r="205" spans="1:22" x14ac:dyDescent="0.25">
      <c r="A205" s="7">
        <f>IF($D205="","",COUNTIF($D$4:$D205,"&lt;&gt;"))</f>
      </c>
      <c r="B205" s="8"/>
      <c r="C205" s="7">
        <f>IF($B205="","","BSR "&amp;IFERROR(INDEX('Challan Master'!$B$4:$B$207,MATCH($B205,'Challan Master'!$S$4:$S$207,0)),"")&amp;" | Serial "&amp;IFERROR(INDEX('Challan Master'!$C$4:$C$207,MATCH($B205,'Challan Master'!$S$4:$S$207,0)),"")&amp;" | Deposit "&amp;TEXT(IFERROR(INDEX('Challan Master'!$D$4:$D$207,MATCH($B205,'Challan Master'!$S$4:$S$207,0)),""),"dd-mm-yyyy")&amp;" | Minor Head "&amp;IFERROR(INDEX('Challan Master'!$E$4:$E$207,MATCH($B205,'Challan Master'!$S$4:$S$207,0)),"")&amp;" | Tax ₹"&amp;TEXT(IFERROR(INDEX('Challan Master'!$G$4:$G$207,MATCH($B205,'Challan Master'!$S$4:$S$207,0)),""),"#,##0")&amp;" | Section "&amp;IFERROR(INDEX('Challan Master'!$F$4:$F$207,MATCH($B205,'Challan Master'!$S$4:$S$207,0)),""))</f>
      </c>
      <c r="D205" s="8"/>
      <c r="E205" s="8"/>
      <c r="F205" s="7">
        <f>IF($D205="","",IF(AND(LEN(TRIM(UPPER(E205)))=10,CODE(MID(TRIM(UPPER(E205)),1,1))&gt;=65,CODE(MID(TRIM(UPPER(E205)),1,1))&lt;=90,CODE(MID(TRIM(UPPER(E205)),2,1))&gt;=65,CODE(MID(TRIM(UPPER(E205)),2,1))&lt;=90,CODE(MID(TRIM(UPPER(E205)),3,1))&gt;=65,CODE(MID(TRIM(UPPER(E205)),3,1))&lt;=90,CODE(MID(TRIM(UPPER(E205)),4,1))&gt;=65,CODE(MID(TRIM(UPPER(E205)),4,1))&lt;=90,CODE(MID(TRIM(UPPER(E205)),5,1))&gt;=65,CODE(MID(TRIM(UPPER(E205)),5,1))&lt;=90,CODE(MID(TRIM(UPPER(E205)),10,1))&gt;=65,CODE(MID(TRIM(UPPER(E205)),10,1))&lt;=90,CODE(MID(TRIM(UPPER(E205)),6,1))&gt;=48,CODE(MID(TRIM(UPPER(E205)),6,1))&lt;=57,CODE(MID(TRIM(UPPER(E205)),7,1))&gt;=48,CODE(MID(TRIM(UPPER(E205)),7,1))&lt;=57,CODE(MID(TRIM(UPPER(E205)),8,1))&gt;=48,CODE(MID(TRIM(UPPER(E205)),8,1))&lt;=57,CODE(MID(TRIM(UPPER(E205)),9,1))&gt;=48,CODE(MID(TRIM(UPPER(E205)),9,1))&lt;=57),"N","Y"))</f>
      </c>
      <c r="G205" s="7">
        <f>IF($D205="","",IF(LEN(E205)&lt;4,"",IF(UPPER(MID(E205,4,1))="P","Individual",IF(UPPER(MID(E205,4,1))="H","HUF",IF(UPPER(MID(E205,4,1))="C","Company",IF(UPPER(MID(E205,4,1))="F","Firm",IF(UPPER(MID(E205,4,1))="L","LLP",IF(UPPER(MID(E205,4,1))="T","Trust",IF(UPPER(MID(E205,4,1))="A","AOP","")))))))))</f>
      </c>
      <c r="H205" s="8"/>
      <c r="I205" s="7">
        <f>IF($D205="","",IF(H205="","",IF(F205="Y",SUMPRODUCT(('Rate Lookup'!$A$1:$A$37=H205)*'Rate Lookup'!$D$1:$D$37),IF(OR(G205="Individual",G205="HUF"),SUMPRODUCT(('Rate Lookup'!$A$1:$A$37=H205)*'Rate Lookup'!$B$1:$B$37),SUMPRODUCT(('Rate Lookup'!$A$1:$A$37=H205)*'Rate Lookup'!$C$1:$C$37)))))</f>
      </c>
      <c r="J205" s="8"/>
      <c r="K205" s="8"/>
      <c r="L205" s="7">
        <f>IF($D205="","",ROUND(K205*I205/100,0))</f>
      </c>
      <c r="M205" s="7">
        <f>IF($D205="","",0)</f>
      </c>
      <c r="N205" s="7">
        <f>IF($D205="","",0)</f>
      </c>
      <c r="O205" s="7">
        <f>IF($D205="","",IF(OR(L205=0,J205="",IFERROR(INDEX('Challan Master'!$D$4:$D$207,MATCH($B205,'Challan Master'!$S$4:$S$207,0)),"")="",IFERROR(INDEX('Challan Master'!$D$4:$D$207,MATCH($B205,'Challan Master'!$S$4:$S$207,0)),"")&lt;=0),0,IF(IFERROR(INDEX('Challan Master'!$D$4:$D$207,MATCH($B205,'Challan Master'!$S$4:$S$207,0)),"")&lt;=DATE(YEAR(J205),MONTH(J205)+1,7),0,ROUND(L205*0.015*((YEAR(IFERROR(INDEX('Challan Master'!$D$4:$D$207,MATCH($B205,'Challan Master'!$S$4:$S$207,0)),""))-YEAR(J205))*12+(MONTH(IFERROR(INDEX('Challan Master'!$D$4:$D$207,MATCH($B205,'Challan Master'!$S$4:$S$207,0)),""))-MONTH(J205))+1),0))))</f>
      </c>
      <c r="P205" s="7">
        <f>IF($D205="","",0)</f>
      </c>
      <c r="Q205" s="8"/>
      <c r="R205" s="8"/>
      <c r="S205" s="8"/>
      <c r="T205" s="8"/>
      <c r="U205" s="8"/>
      <c r="V205" s="7">
        <f>IF($B205="","",IFERROR(INDEX('Challan Master'!$AA$4:$AA$207,MATCH($B205,'Challan Master'!$S$4:$S$207,0)),""))</f>
      </c>
    </row>
    <row r="206" spans="1:22" x14ac:dyDescent="0.25">
      <c r="A206" s="7">
        <f>IF($D206="","",COUNTIF($D$4:$D206,"&lt;&gt;"))</f>
      </c>
      <c r="B206" s="8"/>
      <c r="C206" s="7">
        <f>IF($B206="","","BSR "&amp;IFERROR(INDEX('Challan Master'!$B$4:$B$207,MATCH($B206,'Challan Master'!$S$4:$S$207,0)),"")&amp;" | Serial "&amp;IFERROR(INDEX('Challan Master'!$C$4:$C$207,MATCH($B206,'Challan Master'!$S$4:$S$207,0)),"")&amp;" | Deposit "&amp;TEXT(IFERROR(INDEX('Challan Master'!$D$4:$D$207,MATCH($B206,'Challan Master'!$S$4:$S$207,0)),""),"dd-mm-yyyy")&amp;" | Minor Head "&amp;IFERROR(INDEX('Challan Master'!$E$4:$E$207,MATCH($B206,'Challan Master'!$S$4:$S$207,0)),"")&amp;" | Tax ₹"&amp;TEXT(IFERROR(INDEX('Challan Master'!$G$4:$G$207,MATCH($B206,'Challan Master'!$S$4:$S$207,0)),""),"#,##0")&amp;" | Section "&amp;IFERROR(INDEX('Challan Master'!$F$4:$F$207,MATCH($B206,'Challan Master'!$S$4:$S$207,0)),""))</f>
      </c>
      <c r="D206" s="8"/>
      <c r="E206" s="8"/>
      <c r="F206" s="7">
        <f>IF($D206="","",IF(AND(LEN(TRIM(UPPER(E206)))=10,CODE(MID(TRIM(UPPER(E206)),1,1))&gt;=65,CODE(MID(TRIM(UPPER(E206)),1,1))&lt;=90,CODE(MID(TRIM(UPPER(E206)),2,1))&gt;=65,CODE(MID(TRIM(UPPER(E206)),2,1))&lt;=90,CODE(MID(TRIM(UPPER(E206)),3,1))&gt;=65,CODE(MID(TRIM(UPPER(E206)),3,1))&lt;=90,CODE(MID(TRIM(UPPER(E206)),4,1))&gt;=65,CODE(MID(TRIM(UPPER(E206)),4,1))&lt;=90,CODE(MID(TRIM(UPPER(E206)),5,1))&gt;=65,CODE(MID(TRIM(UPPER(E206)),5,1))&lt;=90,CODE(MID(TRIM(UPPER(E206)),10,1))&gt;=65,CODE(MID(TRIM(UPPER(E206)),10,1))&lt;=90,CODE(MID(TRIM(UPPER(E206)),6,1))&gt;=48,CODE(MID(TRIM(UPPER(E206)),6,1))&lt;=57,CODE(MID(TRIM(UPPER(E206)),7,1))&gt;=48,CODE(MID(TRIM(UPPER(E206)),7,1))&lt;=57,CODE(MID(TRIM(UPPER(E206)),8,1))&gt;=48,CODE(MID(TRIM(UPPER(E206)),8,1))&lt;=57,CODE(MID(TRIM(UPPER(E206)),9,1))&gt;=48,CODE(MID(TRIM(UPPER(E206)),9,1))&lt;=57),"N","Y"))</f>
      </c>
      <c r="G206" s="7">
        <f>IF($D206="","",IF(LEN(E206)&lt;4,"",IF(UPPER(MID(E206,4,1))="P","Individual",IF(UPPER(MID(E206,4,1))="H","HUF",IF(UPPER(MID(E206,4,1))="C","Company",IF(UPPER(MID(E206,4,1))="F","Firm",IF(UPPER(MID(E206,4,1))="L","LLP",IF(UPPER(MID(E206,4,1))="T","Trust",IF(UPPER(MID(E206,4,1))="A","AOP","")))))))))</f>
      </c>
      <c r="H206" s="8"/>
      <c r="I206" s="7">
        <f>IF($D206="","",IF(H206="","",IF(F206="Y",SUMPRODUCT(('Rate Lookup'!$A$1:$A$37=H206)*'Rate Lookup'!$D$1:$D$37),IF(OR(G206="Individual",G206="HUF"),SUMPRODUCT(('Rate Lookup'!$A$1:$A$37=H206)*'Rate Lookup'!$B$1:$B$37),SUMPRODUCT(('Rate Lookup'!$A$1:$A$37=H206)*'Rate Lookup'!$C$1:$C$37)))))</f>
      </c>
      <c r="J206" s="8"/>
      <c r="K206" s="8"/>
      <c r="L206" s="7">
        <f>IF($D206="","",ROUND(K206*I206/100,0))</f>
      </c>
      <c r="M206" s="7">
        <f>IF($D206="","",0)</f>
      </c>
      <c r="N206" s="7">
        <f>IF($D206="","",0)</f>
      </c>
      <c r="O206" s="7">
        <f>IF($D206="","",IF(OR(L206=0,J206="",IFERROR(INDEX('Challan Master'!$D$4:$D$207,MATCH($B206,'Challan Master'!$S$4:$S$207,0)),"")="",IFERROR(INDEX('Challan Master'!$D$4:$D$207,MATCH($B206,'Challan Master'!$S$4:$S$207,0)),"")&lt;=0),0,IF(IFERROR(INDEX('Challan Master'!$D$4:$D$207,MATCH($B206,'Challan Master'!$S$4:$S$207,0)),"")&lt;=DATE(YEAR(J206),MONTH(J206)+1,7),0,ROUND(L206*0.015*((YEAR(IFERROR(INDEX('Challan Master'!$D$4:$D$207,MATCH($B206,'Challan Master'!$S$4:$S$207,0)),""))-YEAR(J206))*12+(MONTH(IFERROR(INDEX('Challan Master'!$D$4:$D$207,MATCH($B206,'Challan Master'!$S$4:$S$207,0)),""))-MONTH(J206))+1),0))))</f>
      </c>
      <c r="P206" s="7">
        <f>IF($D206="","",0)</f>
      </c>
      <c r="Q206" s="8"/>
      <c r="R206" s="8"/>
      <c r="S206" s="8"/>
      <c r="T206" s="8"/>
      <c r="U206" s="8"/>
      <c r="V206" s="7">
        <f>IF($B206="","",IFERROR(INDEX('Challan Master'!$AA$4:$AA$207,MATCH($B206,'Challan Master'!$S$4:$S$207,0)),""))</f>
      </c>
    </row>
    <row r="207" spans="1:22" x14ac:dyDescent="0.25">
      <c r="A207" s="7">
        <f>IF($D207="","",COUNTIF($D$4:$D207,"&lt;&gt;"))</f>
      </c>
      <c r="B207" s="8"/>
      <c r="C207" s="7">
        <f>IF($B207="","","BSR "&amp;IFERROR(INDEX('Challan Master'!$B$4:$B$207,MATCH($B207,'Challan Master'!$S$4:$S$207,0)),"")&amp;" | Serial "&amp;IFERROR(INDEX('Challan Master'!$C$4:$C$207,MATCH($B207,'Challan Master'!$S$4:$S$207,0)),"")&amp;" | Deposit "&amp;TEXT(IFERROR(INDEX('Challan Master'!$D$4:$D$207,MATCH($B207,'Challan Master'!$S$4:$S$207,0)),""),"dd-mm-yyyy")&amp;" | Minor Head "&amp;IFERROR(INDEX('Challan Master'!$E$4:$E$207,MATCH($B207,'Challan Master'!$S$4:$S$207,0)),"")&amp;" | Tax ₹"&amp;TEXT(IFERROR(INDEX('Challan Master'!$G$4:$G$207,MATCH($B207,'Challan Master'!$S$4:$S$207,0)),""),"#,##0")&amp;" | Section "&amp;IFERROR(INDEX('Challan Master'!$F$4:$F$207,MATCH($B207,'Challan Master'!$S$4:$S$207,0)),""))</f>
      </c>
      <c r="D207" s="8"/>
      <c r="E207" s="8"/>
      <c r="F207" s="7">
        <f>IF($D207="","",IF(AND(LEN(TRIM(UPPER(E207)))=10,CODE(MID(TRIM(UPPER(E207)),1,1))&gt;=65,CODE(MID(TRIM(UPPER(E207)),1,1))&lt;=90,CODE(MID(TRIM(UPPER(E207)),2,1))&gt;=65,CODE(MID(TRIM(UPPER(E207)),2,1))&lt;=90,CODE(MID(TRIM(UPPER(E207)),3,1))&gt;=65,CODE(MID(TRIM(UPPER(E207)),3,1))&lt;=90,CODE(MID(TRIM(UPPER(E207)),4,1))&gt;=65,CODE(MID(TRIM(UPPER(E207)),4,1))&lt;=90,CODE(MID(TRIM(UPPER(E207)),5,1))&gt;=65,CODE(MID(TRIM(UPPER(E207)),5,1))&lt;=90,CODE(MID(TRIM(UPPER(E207)),10,1))&gt;=65,CODE(MID(TRIM(UPPER(E207)),10,1))&lt;=90,CODE(MID(TRIM(UPPER(E207)),6,1))&gt;=48,CODE(MID(TRIM(UPPER(E207)),6,1))&lt;=57,CODE(MID(TRIM(UPPER(E207)),7,1))&gt;=48,CODE(MID(TRIM(UPPER(E207)),7,1))&lt;=57,CODE(MID(TRIM(UPPER(E207)),8,1))&gt;=48,CODE(MID(TRIM(UPPER(E207)),8,1))&lt;=57,CODE(MID(TRIM(UPPER(E207)),9,1))&gt;=48,CODE(MID(TRIM(UPPER(E207)),9,1))&lt;=57),"N","Y"))</f>
      </c>
      <c r="G207" s="7">
        <f>IF($D207="","",IF(LEN(E207)&lt;4,"",IF(UPPER(MID(E207,4,1))="P","Individual",IF(UPPER(MID(E207,4,1))="H","HUF",IF(UPPER(MID(E207,4,1))="C","Company",IF(UPPER(MID(E207,4,1))="F","Firm",IF(UPPER(MID(E207,4,1))="L","LLP",IF(UPPER(MID(E207,4,1))="T","Trust",IF(UPPER(MID(E207,4,1))="A","AOP","")))))))))</f>
      </c>
      <c r="H207" s="8"/>
      <c r="I207" s="7">
        <f>IF($D207="","",IF(H207="","",IF(F207="Y",SUMPRODUCT(('Rate Lookup'!$A$1:$A$37=H207)*'Rate Lookup'!$D$1:$D$37),IF(OR(G207="Individual",G207="HUF"),SUMPRODUCT(('Rate Lookup'!$A$1:$A$37=H207)*'Rate Lookup'!$B$1:$B$37),SUMPRODUCT(('Rate Lookup'!$A$1:$A$37=H207)*'Rate Lookup'!$C$1:$C$37)))))</f>
      </c>
      <c r="J207" s="8"/>
      <c r="K207" s="8"/>
      <c r="L207" s="7">
        <f>IF($D207="","",ROUND(K207*I207/100,0))</f>
      </c>
      <c r="M207" s="7">
        <f>IF($D207="","",0)</f>
      </c>
      <c r="N207" s="7">
        <f>IF($D207="","",0)</f>
      </c>
      <c r="O207" s="7">
        <f>IF($D207="","",IF(OR(L207=0,J207="",IFERROR(INDEX('Challan Master'!$D$4:$D$207,MATCH($B207,'Challan Master'!$S$4:$S$207,0)),"")="",IFERROR(INDEX('Challan Master'!$D$4:$D$207,MATCH($B207,'Challan Master'!$S$4:$S$207,0)),"")&lt;=0),0,IF(IFERROR(INDEX('Challan Master'!$D$4:$D$207,MATCH($B207,'Challan Master'!$S$4:$S$207,0)),"")&lt;=DATE(YEAR(J207),MONTH(J207)+1,7),0,ROUND(L207*0.015*((YEAR(IFERROR(INDEX('Challan Master'!$D$4:$D$207,MATCH($B207,'Challan Master'!$S$4:$S$207,0)),""))-YEAR(J207))*12+(MONTH(IFERROR(INDEX('Challan Master'!$D$4:$D$207,MATCH($B207,'Challan Master'!$S$4:$S$207,0)),""))-MONTH(J207))+1),0))))</f>
      </c>
      <c r="P207" s="7">
        <f>IF($D207="","",0)</f>
      </c>
      <c r="Q207" s="8"/>
      <c r="R207" s="8"/>
      <c r="S207" s="8"/>
      <c r="T207" s="8"/>
      <c r="U207" s="8"/>
      <c r="V207" s="7">
        <f>IF($B207="","",IFERROR(INDEX('Challan Master'!$AA$4:$AA$207,MATCH($B207,'Challan Master'!$S$4:$S$207,0)),""))</f>
      </c>
    </row>
  </sheetData>
  <sheetProtection sheet="1" formatCells="0" formatColumns="0" formatRows="0"/>
  <mergeCells count="2">
    <mergeCell ref="A1:V1"/>
    <mergeCell ref="A2:V2"/>
  </mergeCells>
  <conditionalFormatting sqref="A2:V2">
    <cfRule type="expression" dxfId="13" priority="1">
      <formula>ISNUMBER(SEARCH("VALIDATION FAILED",$A2))</formula>
    </cfRule>
    <cfRule type="expression" dxfId="14" priority="2">
      <formula>ISNUMBER(SEARCH("Validation Successful",$A2))</formula>
    </cfRule>
  </conditionalFormatting>
  <conditionalFormatting sqref="B4:B207">
    <cfRule type="expression" dxfId="15" priority="1">
      <formula>AND($D4&lt;&gt;"",$B4="")</formula>
    </cfRule>
  </conditionalFormatting>
  <conditionalFormatting sqref="E4:E207">
    <cfRule type="expression" dxfId="16" priority="2">
      <formula>$F4="Y"</formula>
    </cfRule>
  </conditionalFormatting>
  <conditionalFormatting sqref="A4:V207">
    <cfRule type="expression" dxfId="17" priority="3">
      <formula>$V4="Over-applied"</formula>
    </cfRule>
  </conditionalFormatting>
  <dataValidations count="10">
    <dataValidation type="list" allowBlank="1" showErrorMessage="1" errorTitle="Invalid Challan" error="Pick a challan from the dropdown — it must already exist on the Challan Master sheet." sqref="B10:B207">
      <formula1>'Challan Master'!$S$4:$S$207</formula1>
    </dataValidation>
    <dataValidation type="list" allowBlank="1" showErrorMessage="1" errorTitle="Invalid Challan" error="Pick a challan from the dropdown — it must already exist on the Challan Master sheet." sqref="B4:B207">
      <formula1>'Challan Master'!$S$4:$S$207</formula1>
    </dataValidation>
    <dataValidation type="list" allowBlank="1" showErrorMessage="1" errorTitle="Invalid Section" error="Pick a section from the dropdown list." sqref="H10:H207">
      <formula1>'Rate Lookup'!$A$1:$A$37</formula1>
    </dataValidation>
    <dataValidation type="list" allowBlank="1" showErrorMessage="1" errorTitle="Invalid Section" error="Pick a section from the dropdown list." sqref="H4:H207">
      <formula1>'Rate Lookup'!$A$1:$A$37</formula1>
    </dataValidation>
    <dataValidation type="date" allowBlank="1" showErrorMessage="1" errorTitle="Invalid Date" error="Enter a real date (use the date picker), between 01-Apr-2020 and 31-Mar-2030." sqref="J10:J207">
      <formula1>43922</formula1>
      <formula2>47573</formula2>
    </dataValidation>
    <dataValidation type="date" allowBlank="1" showErrorMessage="1" errorTitle="Invalid Date" error="Enter a real date (use the date picker), between 01-Apr-2020 and 31-Mar-2030." sqref="J4:J207">
      <formula1>43922</formula1>
      <formula2>47573</formula2>
    </dataValidation>
    <dataValidation type="decimal" operator="greaterThanOrEqual" allowBlank="1" showErrorMessage="1" errorTitle="Invalid Amount" error="Must be a number of 0 or more." sqref="K10:K207">
      <formula1>0</formula1>
    </dataValidation>
    <dataValidation type="decimal" operator="greaterThanOrEqual" allowBlank="1" showErrorMessage="1" errorTitle="Invalid Amount" error="Must be a number of 0 or more." sqref="K4:K207">
      <formula1>0</formula1>
    </dataValidation>
    <dataValidation type="list" allowBlank="1" showErrorMessage="1" errorTitle="Invalid Reason Code" error="Pick a Reason Code from the dropdown (A/B/C/D/E/Y/Z)." sqref="Q10:Q207">
      <formula1>"A,B,C,D,E,Y,Z"</formula1>
    </dataValidation>
    <dataValidation type="list" allowBlank="1" showErrorMessage="1" errorTitle="Invalid Reason Code" error="Pick a Reason Code from the dropdown (A/B/C/D/E/Y/Z)." sqref="Q4:Q207">
      <formula1>"A,B,C,D,E,Y,Z"</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40" customWidth="1"/>
    <col min="3" max="3" width="70" customWidth="1"/>
    <col min="4" max="4" width="26" customWidth="1"/>
    <col min="5" max="7" width="12" customWidth="1"/>
    <col min="8" max="8" width="40" customWidth="1"/>
    <col min="9" max="9" width="12" customWidth="1"/>
    <col min="10" max="16" width="13" customWidth="1"/>
    <col min="17" max="17" width="12" customWidth="1"/>
    <col min="18" max="18" width="20" customWidth="1"/>
    <col min="19" max="19" width="14" customWidth="1"/>
    <col min="20" max="20" width="16" customWidth="1"/>
    <col min="21" max="21" width="18" customWidth="1"/>
    <col min="22" max="22" width="14" customWidth="1"/>
  </cols>
  <sheetData>
    <row r="1" ht="22" customHeight="1" spans="1:22" x14ac:dyDescent="0.25">
      <c r="A1" s="3" t="s">
        <v>103</v>
      </c>
      <c r="B1" s="3"/>
      <c r="C1" s="3"/>
      <c r="D1" s="3"/>
      <c r="E1" s="3"/>
      <c r="F1" s="3"/>
      <c r="G1" s="3"/>
      <c r="H1" s="3"/>
      <c r="I1" s="3"/>
      <c r="J1" s="3"/>
      <c r="K1" s="3"/>
      <c r="L1" s="3"/>
      <c r="M1" s="3"/>
      <c r="N1" s="3"/>
      <c r="O1" s="3"/>
      <c r="P1" s="3"/>
      <c r="Q1" s="3"/>
      <c r="R1" s="3"/>
      <c r="S1" s="3"/>
      <c r="T1" s="3"/>
      <c r="U1" s="3"/>
      <c r="V1" s="3"/>
    </row>
    <row r="2" ht="20" customHeight="1" spans="1:22" x14ac:dyDescent="0.25">
      <c r="A2" s="5">
        <f>IF(AND(SUMPRODUCT(($D$4:$D$207&lt;&gt;"")*($B$4:$B$207=""))=0,SUMPRODUCT(($D$4:$D$207&lt;&gt;"")*($V$4:$V$207="Over-applied"))=0),"✅ Validation Successful — every entry has a Challan selected, none reference an over-applied challan ("&amp;COUNTIF($D$4:$D$207,"&lt;&gt;")&amp;" entries checked).","❌ VALIDATION FAILED — "&amp;SUMPRODUCT(($D$4:$D$207&lt;&gt;"")*($B$4:$B$207=""))&amp;" entr(y/ies) missing a Challan selection, "&amp;SUMPRODUCT(($D$4:$D$207&lt;&gt;"")*($V$4:$V$207="Over-applied"))&amp;" entr(y/ies) posted against an Over-applied challan. See the pink/red-highlighted row(s) below.")</f>
      </c>
      <c r="B2" s="5"/>
      <c r="C2" s="5"/>
      <c r="D2" s="5"/>
      <c r="E2" s="5"/>
      <c r="F2" s="5"/>
      <c r="G2" s="5"/>
      <c r="H2" s="5"/>
      <c r="I2" s="5"/>
      <c r="J2" s="5"/>
      <c r="K2" s="5"/>
      <c r="L2" s="5"/>
      <c r="M2" s="5"/>
      <c r="N2" s="5"/>
      <c r="O2" s="5"/>
      <c r="P2" s="5"/>
      <c r="Q2" s="5"/>
      <c r="R2" s="5"/>
      <c r="S2" s="5"/>
      <c r="T2" s="5"/>
      <c r="U2" s="5"/>
      <c r="V2" s="5"/>
    </row>
    <row r="3" ht="40" customHeight="1" spans="1:22" x14ac:dyDescent="0.25">
      <c r="A3" s="6" t="s">
        <v>54</v>
      </c>
      <c r="B3" s="6" t="s">
        <v>82</v>
      </c>
      <c r="C3" s="6" t="s">
        <v>83</v>
      </c>
      <c r="D3" s="6" t="s">
        <v>84</v>
      </c>
      <c r="E3" s="6" t="s">
        <v>85</v>
      </c>
      <c r="F3" s="6" t="s">
        <v>86</v>
      </c>
      <c r="G3" s="6" t="s">
        <v>87</v>
      </c>
      <c r="H3" s="6" t="s">
        <v>88</v>
      </c>
      <c r="I3" s="6" t="s">
        <v>89</v>
      </c>
      <c r="J3" s="6" t="s">
        <v>90</v>
      </c>
      <c r="K3" s="6" t="s">
        <v>91</v>
      </c>
      <c r="L3" s="6" t="s">
        <v>92</v>
      </c>
      <c r="M3" s="6" t="s">
        <v>93</v>
      </c>
      <c r="N3" s="6" t="s">
        <v>94</v>
      </c>
      <c r="O3" s="6" t="s">
        <v>95</v>
      </c>
      <c r="P3" s="6" t="s">
        <v>96</v>
      </c>
      <c r="Q3" s="6" t="s">
        <v>97</v>
      </c>
      <c r="R3" s="6" t="s">
        <v>98</v>
      </c>
      <c r="S3" s="6" t="s">
        <v>99</v>
      </c>
      <c r="T3" s="6" t="s">
        <v>100</v>
      </c>
      <c r="U3" s="6" t="s">
        <v>71</v>
      </c>
      <c r="V3" s="6" t="s">
        <v>101</v>
      </c>
    </row>
    <row r="4" spans="1:22" x14ac:dyDescent="0.25">
      <c r="A4" s="7">
        <f>IF($D4="","",COUNTIF($D$4:$D4,"&lt;&gt;"))</f>
      </c>
      <c r="B4" s="8"/>
      <c r="C4" s="7">
        <f>IF($B4="","","BSR "&amp;IFERROR(INDEX('Challan Master'!$B$4:$B$207,MATCH($B4,'Challan Master'!$S$4:$S$207,0)),"")&amp;" | Serial "&amp;IFERROR(INDEX('Challan Master'!$C$4:$C$207,MATCH($B4,'Challan Master'!$S$4:$S$207,0)),"")&amp;" | Deposit "&amp;TEXT(IFERROR(INDEX('Challan Master'!$D$4:$D$207,MATCH($B4,'Challan Master'!$S$4:$S$207,0)),""),"dd-mm-yyyy")&amp;" | Minor Head "&amp;IFERROR(INDEX('Challan Master'!$E$4:$E$207,MATCH($B4,'Challan Master'!$S$4:$S$207,0)),"")&amp;" | Tax ₹"&amp;TEXT(IFERROR(INDEX('Challan Master'!$G$4:$G$207,MATCH($B4,'Challan Master'!$S$4:$S$207,0)),""),"#,##0")&amp;" | Section "&amp;IFERROR(INDEX('Challan Master'!$F$4:$F$207,MATCH($B4,'Challan Master'!$S$4:$S$207,0)),""))</f>
      </c>
      <c r="D4" s="8"/>
      <c r="E4" s="8"/>
      <c r="F4" s="7">
        <f>IF($D4="","",IF(AND(LEN(TRIM(UPPER(E4)))=10,CODE(MID(TRIM(UPPER(E4)),1,1))&gt;=65,CODE(MID(TRIM(UPPER(E4)),1,1))&lt;=90,CODE(MID(TRIM(UPPER(E4)),2,1))&gt;=65,CODE(MID(TRIM(UPPER(E4)),2,1))&lt;=90,CODE(MID(TRIM(UPPER(E4)),3,1))&gt;=65,CODE(MID(TRIM(UPPER(E4)),3,1))&lt;=90,CODE(MID(TRIM(UPPER(E4)),4,1))&gt;=65,CODE(MID(TRIM(UPPER(E4)),4,1))&lt;=90,CODE(MID(TRIM(UPPER(E4)),5,1))&gt;=65,CODE(MID(TRIM(UPPER(E4)),5,1))&lt;=90,CODE(MID(TRIM(UPPER(E4)),10,1))&gt;=65,CODE(MID(TRIM(UPPER(E4)),10,1))&lt;=90,CODE(MID(TRIM(UPPER(E4)),6,1))&gt;=48,CODE(MID(TRIM(UPPER(E4)),6,1))&lt;=57,CODE(MID(TRIM(UPPER(E4)),7,1))&gt;=48,CODE(MID(TRIM(UPPER(E4)),7,1))&lt;=57,CODE(MID(TRIM(UPPER(E4)),8,1))&gt;=48,CODE(MID(TRIM(UPPER(E4)),8,1))&lt;=57,CODE(MID(TRIM(UPPER(E4)),9,1))&gt;=48,CODE(MID(TRIM(UPPER(E4)),9,1))&lt;=57),"N","Y"))</f>
      </c>
      <c r="G4" s="7">
        <f>IF($D4="","",IF(LEN(E4)&lt;4,"",IF(UPPER(MID(E4,4,1))="P","Individual",IF(UPPER(MID(E4,4,1))="H","HUF",IF(UPPER(MID(E4,4,1))="C","Company",IF(UPPER(MID(E4,4,1))="F","Firm",IF(UPPER(MID(E4,4,1))="L","LLP",IF(UPPER(MID(E4,4,1))="T","Trust",IF(UPPER(MID(E4,4,1))="A","AOP","")))))))))</f>
      </c>
      <c r="H4" s="8"/>
      <c r="I4" s="7">
        <f>IF($D4="","",IF(H4="","",IF(F4="Y",SUMPRODUCT(('Rate Lookup'!$A$1:$A$37=H4)*'Rate Lookup'!$D$1:$D$37),IF(OR(G4="Individual",G4="HUF"),SUMPRODUCT(('Rate Lookup'!$A$1:$A$37=H4)*'Rate Lookup'!$B$1:$B$37),SUMPRODUCT(('Rate Lookup'!$A$1:$A$37=H4)*'Rate Lookup'!$C$1:$C$37)))))</f>
      </c>
      <c r="J4" s="8"/>
      <c r="K4" s="8"/>
      <c r="L4" s="7">
        <f>IF($D4="","",ROUND(K4*I4/100,0))</f>
      </c>
      <c r="M4" s="7">
        <f>IF($D4="","",0)</f>
      </c>
      <c r="N4" s="7">
        <f>IF($D4="","",0)</f>
      </c>
      <c r="O4" s="7">
        <f>IF($D4="","",IF(OR(L4=0,J4="",IFERROR(INDEX('Challan Master'!$D$4:$D$207,MATCH($B4,'Challan Master'!$S$4:$S$207,0)),"")="",IFERROR(INDEX('Challan Master'!$D$4:$D$207,MATCH($B4,'Challan Master'!$S$4:$S$207,0)),"")&lt;=0),0,IF(IFERROR(INDEX('Challan Master'!$D$4:$D$207,MATCH($B4,'Challan Master'!$S$4:$S$207,0)),"")&lt;=DATE(YEAR(J4),MONTH(J4)+1,7),0,ROUND(L4*0.015*((YEAR(IFERROR(INDEX('Challan Master'!$D$4:$D$207,MATCH($B4,'Challan Master'!$S$4:$S$207,0)),""))-YEAR(J4))*12+(MONTH(IFERROR(INDEX('Challan Master'!$D$4:$D$207,MATCH($B4,'Challan Master'!$S$4:$S$207,0)),""))-MONTH(J4))+1),0))))</f>
      </c>
      <c r="P4" s="7">
        <f>IF($D4="","",0)</f>
      </c>
      <c r="Q4" s="8"/>
      <c r="R4" s="8"/>
      <c r="S4" s="8"/>
      <c r="T4" s="8"/>
      <c r="U4" s="8"/>
      <c r="V4" s="7">
        <f>IF($B4="","",IFERROR(INDEX('Challan Master'!$AA$4:$AA$207,MATCH($B4,'Challan Master'!$S$4:$S$207,0)),""))</f>
      </c>
    </row>
    <row r="5" spans="1:22" x14ac:dyDescent="0.25">
      <c r="A5" s="7">
        <f>IF($D5="","",COUNTIF($D$4:$D5,"&lt;&gt;"))</f>
      </c>
      <c r="B5" s="8"/>
      <c r="C5" s="7">
        <f>IF($B5="","","BSR "&amp;IFERROR(INDEX('Challan Master'!$B$4:$B$207,MATCH($B5,'Challan Master'!$S$4:$S$207,0)),"")&amp;" | Serial "&amp;IFERROR(INDEX('Challan Master'!$C$4:$C$207,MATCH($B5,'Challan Master'!$S$4:$S$207,0)),"")&amp;" | Deposit "&amp;TEXT(IFERROR(INDEX('Challan Master'!$D$4:$D$207,MATCH($B5,'Challan Master'!$S$4:$S$207,0)),""),"dd-mm-yyyy")&amp;" | Minor Head "&amp;IFERROR(INDEX('Challan Master'!$E$4:$E$207,MATCH($B5,'Challan Master'!$S$4:$S$207,0)),"")&amp;" | Tax ₹"&amp;TEXT(IFERROR(INDEX('Challan Master'!$G$4:$G$207,MATCH($B5,'Challan Master'!$S$4:$S$207,0)),""),"#,##0")&amp;" | Section "&amp;IFERROR(INDEX('Challan Master'!$F$4:$F$207,MATCH($B5,'Challan Master'!$S$4:$S$207,0)),""))</f>
      </c>
      <c r="D5" s="8"/>
      <c r="E5" s="8"/>
      <c r="F5" s="7">
        <f>IF($D5="","",IF(AND(LEN(TRIM(UPPER(E5)))=10,CODE(MID(TRIM(UPPER(E5)),1,1))&gt;=65,CODE(MID(TRIM(UPPER(E5)),1,1))&lt;=90,CODE(MID(TRIM(UPPER(E5)),2,1))&gt;=65,CODE(MID(TRIM(UPPER(E5)),2,1))&lt;=90,CODE(MID(TRIM(UPPER(E5)),3,1))&gt;=65,CODE(MID(TRIM(UPPER(E5)),3,1))&lt;=90,CODE(MID(TRIM(UPPER(E5)),4,1))&gt;=65,CODE(MID(TRIM(UPPER(E5)),4,1))&lt;=90,CODE(MID(TRIM(UPPER(E5)),5,1))&gt;=65,CODE(MID(TRIM(UPPER(E5)),5,1))&lt;=90,CODE(MID(TRIM(UPPER(E5)),10,1))&gt;=65,CODE(MID(TRIM(UPPER(E5)),10,1))&lt;=90,CODE(MID(TRIM(UPPER(E5)),6,1))&gt;=48,CODE(MID(TRIM(UPPER(E5)),6,1))&lt;=57,CODE(MID(TRIM(UPPER(E5)),7,1))&gt;=48,CODE(MID(TRIM(UPPER(E5)),7,1))&lt;=57,CODE(MID(TRIM(UPPER(E5)),8,1))&gt;=48,CODE(MID(TRIM(UPPER(E5)),8,1))&lt;=57,CODE(MID(TRIM(UPPER(E5)),9,1))&gt;=48,CODE(MID(TRIM(UPPER(E5)),9,1))&lt;=57),"N","Y"))</f>
      </c>
      <c r="G5" s="7">
        <f>IF($D5="","",IF(LEN(E5)&lt;4,"",IF(UPPER(MID(E5,4,1))="P","Individual",IF(UPPER(MID(E5,4,1))="H","HUF",IF(UPPER(MID(E5,4,1))="C","Company",IF(UPPER(MID(E5,4,1))="F","Firm",IF(UPPER(MID(E5,4,1))="L","LLP",IF(UPPER(MID(E5,4,1))="T","Trust",IF(UPPER(MID(E5,4,1))="A","AOP","")))))))))</f>
      </c>
      <c r="H5" s="8"/>
      <c r="I5" s="7">
        <f>IF($D5="","",IF(H5="","",IF(F5="Y",SUMPRODUCT(('Rate Lookup'!$A$1:$A$37=H5)*'Rate Lookup'!$D$1:$D$37),IF(OR(G5="Individual",G5="HUF"),SUMPRODUCT(('Rate Lookup'!$A$1:$A$37=H5)*'Rate Lookup'!$B$1:$B$37),SUMPRODUCT(('Rate Lookup'!$A$1:$A$37=H5)*'Rate Lookup'!$C$1:$C$37)))))</f>
      </c>
      <c r="J5" s="8"/>
      <c r="K5" s="8"/>
      <c r="L5" s="7">
        <f>IF($D5="","",ROUND(K5*I5/100,0))</f>
      </c>
      <c r="M5" s="7">
        <f>IF($D5="","",0)</f>
      </c>
      <c r="N5" s="7">
        <f>IF($D5="","",0)</f>
      </c>
      <c r="O5" s="7">
        <f>IF($D5="","",IF(OR(L5=0,J5="",IFERROR(INDEX('Challan Master'!$D$4:$D$207,MATCH($B5,'Challan Master'!$S$4:$S$207,0)),"")="",IFERROR(INDEX('Challan Master'!$D$4:$D$207,MATCH($B5,'Challan Master'!$S$4:$S$207,0)),"")&lt;=0),0,IF(IFERROR(INDEX('Challan Master'!$D$4:$D$207,MATCH($B5,'Challan Master'!$S$4:$S$207,0)),"")&lt;=DATE(YEAR(J5),MONTH(J5)+1,7),0,ROUND(L5*0.015*((YEAR(IFERROR(INDEX('Challan Master'!$D$4:$D$207,MATCH($B5,'Challan Master'!$S$4:$S$207,0)),""))-YEAR(J5))*12+(MONTH(IFERROR(INDEX('Challan Master'!$D$4:$D$207,MATCH($B5,'Challan Master'!$S$4:$S$207,0)),""))-MONTH(J5))+1),0))))</f>
      </c>
      <c r="P5" s="7">
        <f>IF($D5="","",0)</f>
      </c>
      <c r="Q5" s="8"/>
      <c r="R5" s="8"/>
      <c r="S5" s="8"/>
      <c r="T5" s="8"/>
      <c r="U5" s="8"/>
      <c r="V5" s="7">
        <f>IF($B5="","",IFERROR(INDEX('Challan Master'!$AA$4:$AA$207,MATCH($B5,'Challan Master'!$S$4:$S$207,0)),""))</f>
      </c>
    </row>
    <row r="6" spans="1:22" x14ac:dyDescent="0.25">
      <c r="A6" s="7">
        <f>IF($D6="","",COUNTIF($D$4:$D6,"&lt;&gt;"))</f>
      </c>
      <c r="B6" s="8"/>
      <c r="C6" s="7">
        <f>IF($B6="","","BSR "&amp;IFERROR(INDEX('Challan Master'!$B$4:$B$207,MATCH($B6,'Challan Master'!$S$4:$S$207,0)),"")&amp;" | Serial "&amp;IFERROR(INDEX('Challan Master'!$C$4:$C$207,MATCH($B6,'Challan Master'!$S$4:$S$207,0)),"")&amp;" | Deposit "&amp;TEXT(IFERROR(INDEX('Challan Master'!$D$4:$D$207,MATCH($B6,'Challan Master'!$S$4:$S$207,0)),""),"dd-mm-yyyy")&amp;" | Minor Head "&amp;IFERROR(INDEX('Challan Master'!$E$4:$E$207,MATCH($B6,'Challan Master'!$S$4:$S$207,0)),"")&amp;" | Tax ₹"&amp;TEXT(IFERROR(INDEX('Challan Master'!$G$4:$G$207,MATCH($B6,'Challan Master'!$S$4:$S$207,0)),""),"#,##0")&amp;" | Section "&amp;IFERROR(INDEX('Challan Master'!$F$4:$F$207,MATCH($B6,'Challan Master'!$S$4:$S$207,0)),""))</f>
      </c>
      <c r="D6" s="8"/>
      <c r="E6" s="8"/>
      <c r="F6" s="7">
        <f>IF($D6="","",IF(AND(LEN(TRIM(UPPER(E6)))=10,CODE(MID(TRIM(UPPER(E6)),1,1))&gt;=65,CODE(MID(TRIM(UPPER(E6)),1,1))&lt;=90,CODE(MID(TRIM(UPPER(E6)),2,1))&gt;=65,CODE(MID(TRIM(UPPER(E6)),2,1))&lt;=90,CODE(MID(TRIM(UPPER(E6)),3,1))&gt;=65,CODE(MID(TRIM(UPPER(E6)),3,1))&lt;=90,CODE(MID(TRIM(UPPER(E6)),4,1))&gt;=65,CODE(MID(TRIM(UPPER(E6)),4,1))&lt;=90,CODE(MID(TRIM(UPPER(E6)),5,1))&gt;=65,CODE(MID(TRIM(UPPER(E6)),5,1))&lt;=90,CODE(MID(TRIM(UPPER(E6)),10,1))&gt;=65,CODE(MID(TRIM(UPPER(E6)),10,1))&lt;=90,CODE(MID(TRIM(UPPER(E6)),6,1))&gt;=48,CODE(MID(TRIM(UPPER(E6)),6,1))&lt;=57,CODE(MID(TRIM(UPPER(E6)),7,1))&gt;=48,CODE(MID(TRIM(UPPER(E6)),7,1))&lt;=57,CODE(MID(TRIM(UPPER(E6)),8,1))&gt;=48,CODE(MID(TRIM(UPPER(E6)),8,1))&lt;=57,CODE(MID(TRIM(UPPER(E6)),9,1))&gt;=48,CODE(MID(TRIM(UPPER(E6)),9,1))&lt;=57),"N","Y"))</f>
      </c>
      <c r="G6" s="7">
        <f>IF($D6="","",IF(LEN(E6)&lt;4,"",IF(UPPER(MID(E6,4,1))="P","Individual",IF(UPPER(MID(E6,4,1))="H","HUF",IF(UPPER(MID(E6,4,1))="C","Company",IF(UPPER(MID(E6,4,1))="F","Firm",IF(UPPER(MID(E6,4,1))="L","LLP",IF(UPPER(MID(E6,4,1))="T","Trust",IF(UPPER(MID(E6,4,1))="A","AOP","")))))))))</f>
      </c>
      <c r="H6" s="8"/>
      <c r="I6" s="7">
        <f>IF($D6="","",IF(H6="","",IF(F6="Y",SUMPRODUCT(('Rate Lookup'!$A$1:$A$37=H6)*'Rate Lookup'!$D$1:$D$37),IF(OR(G6="Individual",G6="HUF"),SUMPRODUCT(('Rate Lookup'!$A$1:$A$37=H6)*'Rate Lookup'!$B$1:$B$37),SUMPRODUCT(('Rate Lookup'!$A$1:$A$37=H6)*'Rate Lookup'!$C$1:$C$37)))))</f>
      </c>
      <c r="J6" s="8"/>
      <c r="K6" s="8"/>
      <c r="L6" s="7">
        <f>IF($D6="","",ROUND(K6*I6/100,0))</f>
      </c>
      <c r="M6" s="7">
        <f>IF($D6="","",0)</f>
      </c>
      <c r="N6" s="7">
        <f>IF($D6="","",0)</f>
      </c>
      <c r="O6" s="7">
        <f>IF($D6="","",IF(OR(L6=0,J6="",IFERROR(INDEX('Challan Master'!$D$4:$D$207,MATCH($B6,'Challan Master'!$S$4:$S$207,0)),"")="",IFERROR(INDEX('Challan Master'!$D$4:$D$207,MATCH($B6,'Challan Master'!$S$4:$S$207,0)),"")&lt;=0),0,IF(IFERROR(INDEX('Challan Master'!$D$4:$D$207,MATCH($B6,'Challan Master'!$S$4:$S$207,0)),"")&lt;=DATE(YEAR(J6),MONTH(J6)+1,7),0,ROUND(L6*0.015*((YEAR(IFERROR(INDEX('Challan Master'!$D$4:$D$207,MATCH($B6,'Challan Master'!$S$4:$S$207,0)),""))-YEAR(J6))*12+(MONTH(IFERROR(INDEX('Challan Master'!$D$4:$D$207,MATCH($B6,'Challan Master'!$S$4:$S$207,0)),""))-MONTH(J6))+1),0))))</f>
      </c>
      <c r="P6" s="7">
        <f>IF($D6="","",0)</f>
      </c>
      <c r="Q6" s="8"/>
      <c r="R6" s="8"/>
      <c r="S6" s="8"/>
      <c r="T6" s="8"/>
      <c r="U6" s="8"/>
      <c r="V6" s="7">
        <f>IF($B6="","",IFERROR(INDEX('Challan Master'!$AA$4:$AA$207,MATCH($B6,'Challan Master'!$S$4:$S$207,0)),""))</f>
      </c>
    </row>
    <row r="7" spans="1:22" x14ac:dyDescent="0.25">
      <c r="A7" s="7">
        <f>IF($D7="","",COUNTIF($D$4:$D7,"&lt;&gt;"))</f>
      </c>
      <c r="B7" s="8"/>
      <c r="C7" s="7">
        <f>IF($B7="","","BSR "&amp;IFERROR(INDEX('Challan Master'!$B$4:$B$207,MATCH($B7,'Challan Master'!$S$4:$S$207,0)),"")&amp;" | Serial "&amp;IFERROR(INDEX('Challan Master'!$C$4:$C$207,MATCH($B7,'Challan Master'!$S$4:$S$207,0)),"")&amp;" | Deposit "&amp;TEXT(IFERROR(INDEX('Challan Master'!$D$4:$D$207,MATCH($B7,'Challan Master'!$S$4:$S$207,0)),""),"dd-mm-yyyy")&amp;" | Minor Head "&amp;IFERROR(INDEX('Challan Master'!$E$4:$E$207,MATCH($B7,'Challan Master'!$S$4:$S$207,0)),"")&amp;" | Tax ₹"&amp;TEXT(IFERROR(INDEX('Challan Master'!$G$4:$G$207,MATCH($B7,'Challan Master'!$S$4:$S$207,0)),""),"#,##0")&amp;" | Section "&amp;IFERROR(INDEX('Challan Master'!$F$4:$F$207,MATCH($B7,'Challan Master'!$S$4:$S$207,0)),""))</f>
      </c>
      <c r="D7" s="8"/>
      <c r="E7" s="8"/>
      <c r="F7" s="7">
        <f>IF($D7="","",IF(AND(LEN(TRIM(UPPER(E7)))=10,CODE(MID(TRIM(UPPER(E7)),1,1))&gt;=65,CODE(MID(TRIM(UPPER(E7)),1,1))&lt;=90,CODE(MID(TRIM(UPPER(E7)),2,1))&gt;=65,CODE(MID(TRIM(UPPER(E7)),2,1))&lt;=90,CODE(MID(TRIM(UPPER(E7)),3,1))&gt;=65,CODE(MID(TRIM(UPPER(E7)),3,1))&lt;=90,CODE(MID(TRIM(UPPER(E7)),4,1))&gt;=65,CODE(MID(TRIM(UPPER(E7)),4,1))&lt;=90,CODE(MID(TRIM(UPPER(E7)),5,1))&gt;=65,CODE(MID(TRIM(UPPER(E7)),5,1))&lt;=90,CODE(MID(TRIM(UPPER(E7)),10,1))&gt;=65,CODE(MID(TRIM(UPPER(E7)),10,1))&lt;=90,CODE(MID(TRIM(UPPER(E7)),6,1))&gt;=48,CODE(MID(TRIM(UPPER(E7)),6,1))&lt;=57,CODE(MID(TRIM(UPPER(E7)),7,1))&gt;=48,CODE(MID(TRIM(UPPER(E7)),7,1))&lt;=57,CODE(MID(TRIM(UPPER(E7)),8,1))&gt;=48,CODE(MID(TRIM(UPPER(E7)),8,1))&lt;=57,CODE(MID(TRIM(UPPER(E7)),9,1))&gt;=48,CODE(MID(TRIM(UPPER(E7)),9,1))&lt;=57),"N","Y"))</f>
      </c>
      <c r="G7" s="7">
        <f>IF($D7="","",IF(LEN(E7)&lt;4,"",IF(UPPER(MID(E7,4,1))="P","Individual",IF(UPPER(MID(E7,4,1))="H","HUF",IF(UPPER(MID(E7,4,1))="C","Company",IF(UPPER(MID(E7,4,1))="F","Firm",IF(UPPER(MID(E7,4,1))="L","LLP",IF(UPPER(MID(E7,4,1))="T","Trust",IF(UPPER(MID(E7,4,1))="A","AOP","")))))))))</f>
      </c>
      <c r="H7" s="8"/>
      <c r="I7" s="7">
        <f>IF($D7="","",IF(H7="","",IF(F7="Y",SUMPRODUCT(('Rate Lookup'!$A$1:$A$37=H7)*'Rate Lookup'!$D$1:$D$37),IF(OR(G7="Individual",G7="HUF"),SUMPRODUCT(('Rate Lookup'!$A$1:$A$37=H7)*'Rate Lookup'!$B$1:$B$37),SUMPRODUCT(('Rate Lookup'!$A$1:$A$37=H7)*'Rate Lookup'!$C$1:$C$37)))))</f>
      </c>
      <c r="J7" s="8"/>
      <c r="K7" s="8"/>
      <c r="L7" s="7">
        <f>IF($D7="","",ROUND(K7*I7/100,0))</f>
      </c>
      <c r="M7" s="7">
        <f>IF($D7="","",0)</f>
      </c>
      <c r="N7" s="7">
        <f>IF($D7="","",0)</f>
      </c>
      <c r="O7" s="7">
        <f>IF($D7="","",IF(OR(L7=0,J7="",IFERROR(INDEX('Challan Master'!$D$4:$D$207,MATCH($B7,'Challan Master'!$S$4:$S$207,0)),"")="",IFERROR(INDEX('Challan Master'!$D$4:$D$207,MATCH($B7,'Challan Master'!$S$4:$S$207,0)),"")&lt;=0),0,IF(IFERROR(INDEX('Challan Master'!$D$4:$D$207,MATCH($B7,'Challan Master'!$S$4:$S$207,0)),"")&lt;=DATE(YEAR(J7),MONTH(J7)+1,7),0,ROUND(L7*0.015*((YEAR(IFERROR(INDEX('Challan Master'!$D$4:$D$207,MATCH($B7,'Challan Master'!$S$4:$S$207,0)),""))-YEAR(J7))*12+(MONTH(IFERROR(INDEX('Challan Master'!$D$4:$D$207,MATCH($B7,'Challan Master'!$S$4:$S$207,0)),""))-MONTH(J7))+1),0))))</f>
      </c>
      <c r="P7" s="7">
        <f>IF($D7="","",0)</f>
      </c>
      <c r="Q7" s="8"/>
      <c r="R7" s="8"/>
      <c r="S7" s="8"/>
      <c r="T7" s="8"/>
      <c r="U7" s="8"/>
      <c r="V7" s="7">
        <f>IF($B7="","",IFERROR(INDEX('Challan Master'!$AA$4:$AA$207,MATCH($B7,'Challan Master'!$S$4:$S$207,0)),""))</f>
      </c>
    </row>
    <row r="8" spans="1:22" x14ac:dyDescent="0.25">
      <c r="A8" s="7">
        <f>IF($D8="","",COUNTIF($D$4:$D8,"&lt;&gt;"))</f>
      </c>
      <c r="B8" s="8"/>
      <c r="C8" s="7">
        <f>IF($B8="","","BSR "&amp;IFERROR(INDEX('Challan Master'!$B$4:$B$207,MATCH($B8,'Challan Master'!$S$4:$S$207,0)),"")&amp;" | Serial "&amp;IFERROR(INDEX('Challan Master'!$C$4:$C$207,MATCH($B8,'Challan Master'!$S$4:$S$207,0)),"")&amp;" | Deposit "&amp;TEXT(IFERROR(INDEX('Challan Master'!$D$4:$D$207,MATCH($B8,'Challan Master'!$S$4:$S$207,0)),""),"dd-mm-yyyy")&amp;" | Minor Head "&amp;IFERROR(INDEX('Challan Master'!$E$4:$E$207,MATCH($B8,'Challan Master'!$S$4:$S$207,0)),"")&amp;" | Tax ₹"&amp;TEXT(IFERROR(INDEX('Challan Master'!$G$4:$G$207,MATCH($B8,'Challan Master'!$S$4:$S$207,0)),""),"#,##0")&amp;" | Section "&amp;IFERROR(INDEX('Challan Master'!$F$4:$F$207,MATCH($B8,'Challan Master'!$S$4:$S$207,0)),""))</f>
      </c>
      <c r="D8" s="8"/>
      <c r="E8" s="8"/>
      <c r="F8" s="7">
        <f>IF($D8="","",IF(AND(LEN(TRIM(UPPER(E8)))=10,CODE(MID(TRIM(UPPER(E8)),1,1))&gt;=65,CODE(MID(TRIM(UPPER(E8)),1,1))&lt;=90,CODE(MID(TRIM(UPPER(E8)),2,1))&gt;=65,CODE(MID(TRIM(UPPER(E8)),2,1))&lt;=90,CODE(MID(TRIM(UPPER(E8)),3,1))&gt;=65,CODE(MID(TRIM(UPPER(E8)),3,1))&lt;=90,CODE(MID(TRIM(UPPER(E8)),4,1))&gt;=65,CODE(MID(TRIM(UPPER(E8)),4,1))&lt;=90,CODE(MID(TRIM(UPPER(E8)),5,1))&gt;=65,CODE(MID(TRIM(UPPER(E8)),5,1))&lt;=90,CODE(MID(TRIM(UPPER(E8)),10,1))&gt;=65,CODE(MID(TRIM(UPPER(E8)),10,1))&lt;=90,CODE(MID(TRIM(UPPER(E8)),6,1))&gt;=48,CODE(MID(TRIM(UPPER(E8)),6,1))&lt;=57,CODE(MID(TRIM(UPPER(E8)),7,1))&gt;=48,CODE(MID(TRIM(UPPER(E8)),7,1))&lt;=57,CODE(MID(TRIM(UPPER(E8)),8,1))&gt;=48,CODE(MID(TRIM(UPPER(E8)),8,1))&lt;=57,CODE(MID(TRIM(UPPER(E8)),9,1))&gt;=48,CODE(MID(TRIM(UPPER(E8)),9,1))&lt;=57),"N","Y"))</f>
      </c>
      <c r="G8" s="7">
        <f>IF($D8="","",IF(LEN(E8)&lt;4,"",IF(UPPER(MID(E8,4,1))="P","Individual",IF(UPPER(MID(E8,4,1))="H","HUF",IF(UPPER(MID(E8,4,1))="C","Company",IF(UPPER(MID(E8,4,1))="F","Firm",IF(UPPER(MID(E8,4,1))="L","LLP",IF(UPPER(MID(E8,4,1))="T","Trust",IF(UPPER(MID(E8,4,1))="A","AOP","")))))))))</f>
      </c>
      <c r="H8" s="8"/>
      <c r="I8" s="7">
        <f>IF($D8="","",IF(H8="","",IF(F8="Y",SUMPRODUCT(('Rate Lookup'!$A$1:$A$37=H8)*'Rate Lookup'!$D$1:$D$37),IF(OR(G8="Individual",G8="HUF"),SUMPRODUCT(('Rate Lookup'!$A$1:$A$37=H8)*'Rate Lookup'!$B$1:$B$37),SUMPRODUCT(('Rate Lookup'!$A$1:$A$37=H8)*'Rate Lookup'!$C$1:$C$37)))))</f>
      </c>
      <c r="J8" s="8"/>
      <c r="K8" s="8"/>
      <c r="L8" s="7">
        <f>IF($D8="","",ROUND(K8*I8/100,0))</f>
      </c>
      <c r="M8" s="7">
        <f>IF($D8="","",0)</f>
      </c>
      <c r="N8" s="7">
        <f>IF($D8="","",0)</f>
      </c>
      <c r="O8" s="7">
        <f>IF($D8="","",IF(OR(L8=0,J8="",IFERROR(INDEX('Challan Master'!$D$4:$D$207,MATCH($B8,'Challan Master'!$S$4:$S$207,0)),"")="",IFERROR(INDEX('Challan Master'!$D$4:$D$207,MATCH($B8,'Challan Master'!$S$4:$S$207,0)),"")&lt;=0),0,IF(IFERROR(INDEX('Challan Master'!$D$4:$D$207,MATCH($B8,'Challan Master'!$S$4:$S$207,0)),"")&lt;=DATE(YEAR(J8),MONTH(J8)+1,7),0,ROUND(L8*0.015*((YEAR(IFERROR(INDEX('Challan Master'!$D$4:$D$207,MATCH($B8,'Challan Master'!$S$4:$S$207,0)),""))-YEAR(J8))*12+(MONTH(IFERROR(INDEX('Challan Master'!$D$4:$D$207,MATCH($B8,'Challan Master'!$S$4:$S$207,0)),""))-MONTH(J8))+1),0))))</f>
      </c>
      <c r="P8" s="7">
        <f>IF($D8="","",0)</f>
      </c>
      <c r="Q8" s="8"/>
      <c r="R8" s="8"/>
      <c r="S8" s="8"/>
      <c r="T8" s="8"/>
      <c r="U8" s="8"/>
      <c r="V8" s="7">
        <f>IF($B8="","",IFERROR(INDEX('Challan Master'!$AA$4:$AA$207,MATCH($B8,'Challan Master'!$S$4:$S$207,0)),""))</f>
      </c>
    </row>
    <row r="9" spans="1:22" x14ac:dyDescent="0.25">
      <c r="A9" s="7">
        <f>IF($D9="","",COUNTIF($D$4:$D9,"&lt;&gt;"))</f>
      </c>
      <c r="B9" s="8"/>
      <c r="C9" s="7">
        <f>IF($B9="","","BSR "&amp;IFERROR(INDEX('Challan Master'!$B$4:$B$207,MATCH($B9,'Challan Master'!$S$4:$S$207,0)),"")&amp;" | Serial "&amp;IFERROR(INDEX('Challan Master'!$C$4:$C$207,MATCH($B9,'Challan Master'!$S$4:$S$207,0)),"")&amp;" | Deposit "&amp;TEXT(IFERROR(INDEX('Challan Master'!$D$4:$D$207,MATCH($B9,'Challan Master'!$S$4:$S$207,0)),""),"dd-mm-yyyy")&amp;" | Minor Head "&amp;IFERROR(INDEX('Challan Master'!$E$4:$E$207,MATCH($B9,'Challan Master'!$S$4:$S$207,0)),"")&amp;" | Tax ₹"&amp;TEXT(IFERROR(INDEX('Challan Master'!$G$4:$G$207,MATCH($B9,'Challan Master'!$S$4:$S$207,0)),""),"#,##0")&amp;" | Section "&amp;IFERROR(INDEX('Challan Master'!$F$4:$F$207,MATCH($B9,'Challan Master'!$S$4:$S$207,0)),""))</f>
      </c>
      <c r="D9" s="8"/>
      <c r="E9" s="8"/>
      <c r="F9" s="7">
        <f>IF($D9="","",IF(AND(LEN(TRIM(UPPER(E9)))=10,CODE(MID(TRIM(UPPER(E9)),1,1))&gt;=65,CODE(MID(TRIM(UPPER(E9)),1,1))&lt;=90,CODE(MID(TRIM(UPPER(E9)),2,1))&gt;=65,CODE(MID(TRIM(UPPER(E9)),2,1))&lt;=90,CODE(MID(TRIM(UPPER(E9)),3,1))&gt;=65,CODE(MID(TRIM(UPPER(E9)),3,1))&lt;=90,CODE(MID(TRIM(UPPER(E9)),4,1))&gt;=65,CODE(MID(TRIM(UPPER(E9)),4,1))&lt;=90,CODE(MID(TRIM(UPPER(E9)),5,1))&gt;=65,CODE(MID(TRIM(UPPER(E9)),5,1))&lt;=90,CODE(MID(TRIM(UPPER(E9)),10,1))&gt;=65,CODE(MID(TRIM(UPPER(E9)),10,1))&lt;=90,CODE(MID(TRIM(UPPER(E9)),6,1))&gt;=48,CODE(MID(TRIM(UPPER(E9)),6,1))&lt;=57,CODE(MID(TRIM(UPPER(E9)),7,1))&gt;=48,CODE(MID(TRIM(UPPER(E9)),7,1))&lt;=57,CODE(MID(TRIM(UPPER(E9)),8,1))&gt;=48,CODE(MID(TRIM(UPPER(E9)),8,1))&lt;=57,CODE(MID(TRIM(UPPER(E9)),9,1))&gt;=48,CODE(MID(TRIM(UPPER(E9)),9,1))&lt;=57),"N","Y"))</f>
      </c>
      <c r="G9" s="7">
        <f>IF($D9="","",IF(LEN(E9)&lt;4,"",IF(UPPER(MID(E9,4,1))="P","Individual",IF(UPPER(MID(E9,4,1))="H","HUF",IF(UPPER(MID(E9,4,1))="C","Company",IF(UPPER(MID(E9,4,1))="F","Firm",IF(UPPER(MID(E9,4,1))="L","LLP",IF(UPPER(MID(E9,4,1))="T","Trust",IF(UPPER(MID(E9,4,1))="A","AOP","")))))))))</f>
      </c>
      <c r="H9" s="8"/>
      <c r="I9" s="7">
        <f>IF($D9="","",IF(H9="","",IF(F9="Y",SUMPRODUCT(('Rate Lookup'!$A$1:$A$37=H9)*'Rate Lookup'!$D$1:$D$37),IF(OR(G9="Individual",G9="HUF"),SUMPRODUCT(('Rate Lookup'!$A$1:$A$37=H9)*'Rate Lookup'!$B$1:$B$37),SUMPRODUCT(('Rate Lookup'!$A$1:$A$37=H9)*'Rate Lookup'!$C$1:$C$37)))))</f>
      </c>
      <c r="J9" s="8"/>
      <c r="K9" s="8"/>
      <c r="L9" s="7">
        <f>IF($D9="","",ROUND(K9*I9/100,0))</f>
      </c>
      <c r="M9" s="7">
        <f>IF($D9="","",0)</f>
      </c>
      <c r="N9" s="7">
        <f>IF($D9="","",0)</f>
      </c>
      <c r="O9" s="7">
        <f>IF($D9="","",IF(OR(L9=0,J9="",IFERROR(INDEX('Challan Master'!$D$4:$D$207,MATCH($B9,'Challan Master'!$S$4:$S$207,0)),"")="",IFERROR(INDEX('Challan Master'!$D$4:$D$207,MATCH($B9,'Challan Master'!$S$4:$S$207,0)),"")&lt;=0),0,IF(IFERROR(INDEX('Challan Master'!$D$4:$D$207,MATCH($B9,'Challan Master'!$S$4:$S$207,0)),"")&lt;=DATE(YEAR(J9),MONTH(J9)+1,7),0,ROUND(L9*0.015*((YEAR(IFERROR(INDEX('Challan Master'!$D$4:$D$207,MATCH($B9,'Challan Master'!$S$4:$S$207,0)),""))-YEAR(J9))*12+(MONTH(IFERROR(INDEX('Challan Master'!$D$4:$D$207,MATCH($B9,'Challan Master'!$S$4:$S$207,0)),""))-MONTH(J9))+1),0))))</f>
      </c>
      <c r="P9" s="7">
        <f>IF($D9="","",0)</f>
      </c>
      <c r="Q9" s="8"/>
      <c r="R9" s="8"/>
      <c r="S9" s="8"/>
      <c r="T9" s="8"/>
      <c r="U9" s="8"/>
      <c r="V9" s="7">
        <f>IF($B9="","",IFERROR(INDEX('Challan Master'!$AA$4:$AA$207,MATCH($B9,'Challan Master'!$S$4:$S$207,0)),""))</f>
      </c>
    </row>
    <row r="10" spans="1:22" x14ac:dyDescent="0.25">
      <c r="A10" s="7">
        <f>IF($D10="","",COUNTIF($D$4:$D10,"&lt;&gt;"))</f>
      </c>
      <c r="B10" s="8"/>
      <c r="C10" s="7">
        <f>IF($B10="","","BSR "&amp;IFERROR(INDEX('Challan Master'!$B$4:$B$207,MATCH($B10,'Challan Master'!$S$4:$S$207,0)),"")&amp;" | Serial "&amp;IFERROR(INDEX('Challan Master'!$C$4:$C$207,MATCH($B10,'Challan Master'!$S$4:$S$207,0)),"")&amp;" | Deposit "&amp;TEXT(IFERROR(INDEX('Challan Master'!$D$4:$D$207,MATCH($B10,'Challan Master'!$S$4:$S$207,0)),""),"dd-mm-yyyy")&amp;" | Minor Head "&amp;IFERROR(INDEX('Challan Master'!$E$4:$E$207,MATCH($B10,'Challan Master'!$S$4:$S$207,0)),"")&amp;" | Tax ₹"&amp;TEXT(IFERROR(INDEX('Challan Master'!$G$4:$G$207,MATCH($B10,'Challan Master'!$S$4:$S$207,0)),""),"#,##0")&amp;" | Section "&amp;IFERROR(INDEX('Challan Master'!$F$4:$F$207,MATCH($B10,'Challan Master'!$S$4:$S$207,0)),""))</f>
      </c>
      <c r="D10" s="8"/>
      <c r="E10" s="8"/>
      <c r="F10" s="7">
        <f>IF($D10="","",IF(AND(LEN(TRIM(UPPER(E10)))=10,CODE(MID(TRIM(UPPER(E10)),1,1))&gt;=65,CODE(MID(TRIM(UPPER(E10)),1,1))&lt;=90,CODE(MID(TRIM(UPPER(E10)),2,1))&gt;=65,CODE(MID(TRIM(UPPER(E10)),2,1))&lt;=90,CODE(MID(TRIM(UPPER(E10)),3,1))&gt;=65,CODE(MID(TRIM(UPPER(E10)),3,1))&lt;=90,CODE(MID(TRIM(UPPER(E10)),4,1))&gt;=65,CODE(MID(TRIM(UPPER(E10)),4,1))&lt;=90,CODE(MID(TRIM(UPPER(E10)),5,1))&gt;=65,CODE(MID(TRIM(UPPER(E10)),5,1))&lt;=90,CODE(MID(TRIM(UPPER(E10)),10,1))&gt;=65,CODE(MID(TRIM(UPPER(E10)),10,1))&lt;=90,CODE(MID(TRIM(UPPER(E10)),6,1))&gt;=48,CODE(MID(TRIM(UPPER(E10)),6,1))&lt;=57,CODE(MID(TRIM(UPPER(E10)),7,1))&gt;=48,CODE(MID(TRIM(UPPER(E10)),7,1))&lt;=57,CODE(MID(TRIM(UPPER(E10)),8,1))&gt;=48,CODE(MID(TRIM(UPPER(E10)),8,1))&lt;=57,CODE(MID(TRIM(UPPER(E10)),9,1))&gt;=48,CODE(MID(TRIM(UPPER(E10)),9,1))&lt;=57),"N","Y"))</f>
      </c>
      <c r="G10" s="7">
        <f>IF($D10="","",IF(LEN(E10)&lt;4,"",IF(UPPER(MID(E10,4,1))="P","Individual",IF(UPPER(MID(E10,4,1))="H","HUF",IF(UPPER(MID(E10,4,1))="C","Company",IF(UPPER(MID(E10,4,1))="F","Firm",IF(UPPER(MID(E10,4,1))="L","LLP",IF(UPPER(MID(E10,4,1))="T","Trust",IF(UPPER(MID(E10,4,1))="A","AOP","")))))))))</f>
      </c>
      <c r="H10" s="8"/>
      <c r="I10" s="7">
        <f>IF($D10="","",IF(H10="","",IF(F10="Y",SUMPRODUCT(('Rate Lookup'!$A$1:$A$37=H10)*'Rate Lookup'!$D$1:$D$37),IF(OR(G10="Individual",G10="HUF"),SUMPRODUCT(('Rate Lookup'!$A$1:$A$37=H10)*'Rate Lookup'!$B$1:$B$37),SUMPRODUCT(('Rate Lookup'!$A$1:$A$37=H10)*'Rate Lookup'!$C$1:$C$37)))))</f>
      </c>
      <c r="J10" s="8"/>
      <c r="K10" s="8"/>
      <c r="L10" s="7">
        <f>IF($D10="","",ROUND(K10*I10/100,0))</f>
      </c>
      <c r="M10" s="7">
        <f>IF($D10="","",0)</f>
      </c>
      <c r="N10" s="7">
        <f>IF($D10="","",0)</f>
      </c>
      <c r="O10" s="7">
        <f>IF($D10="","",IF(OR(L10=0,J10="",IFERROR(INDEX('Challan Master'!$D$4:$D$207,MATCH($B10,'Challan Master'!$S$4:$S$207,0)),"")="",IFERROR(INDEX('Challan Master'!$D$4:$D$207,MATCH($B10,'Challan Master'!$S$4:$S$207,0)),"")&lt;=0),0,IF(IFERROR(INDEX('Challan Master'!$D$4:$D$207,MATCH($B10,'Challan Master'!$S$4:$S$207,0)),"")&lt;=DATE(YEAR(J10),MONTH(J10)+1,7),0,ROUND(L10*0.015*((YEAR(IFERROR(INDEX('Challan Master'!$D$4:$D$207,MATCH($B10,'Challan Master'!$S$4:$S$207,0)),""))-YEAR(J10))*12+(MONTH(IFERROR(INDEX('Challan Master'!$D$4:$D$207,MATCH($B10,'Challan Master'!$S$4:$S$207,0)),""))-MONTH(J10))+1),0))))</f>
      </c>
      <c r="P10" s="7">
        <f>IF($D10="","",0)</f>
      </c>
      <c r="Q10" s="8"/>
      <c r="R10" s="8"/>
      <c r="S10" s="8"/>
      <c r="T10" s="8"/>
      <c r="U10" s="8"/>
      <c r="V10" s="7">
        <f>IF($B10="","",IFERROR(INDEX('Challan Master'!$AA$4:$AA$207,MATCH($B10,'Challan Master'!$S$4:$S$207,0)),""))</f>
      </c>
    </row>
    <row r="11" spans="1:22" x14ac:dyDescent="0.25">
      <c r="A11" s="7">
        <f>IF($D11="","",COUNTIF($D$4:$D11,"&lt;&gt;"))</f>
      </c>
      <c r="B11" s="8"/>
      <c r="C11" s="7">
        <f>IF($B11="","","BSR "&amp;IFERROR(INDEX('Challan Master'!$B$4:$B$207,MATCH($B11,'Challan Master'!$S$4:$S$207,0)),"")&amp;" | Serial "&amp;IFERROR(INDEX('Challan Master'!$C$4:$C$207,MATCH($B11,'Challan Master'!$S$4:$S$207,0)),"")&amp;" | Deposit "&amp;TEXT(IFERROR(INDEX('Challan Master'!$D$4:$D$207,MATCH($B11,'Challan Master'!$S$4:$S$207,0)),""),"dd-mm-yyyy")&amp;" | Minor Head "&amp;IFERROR(INDEX('Challan Master'!$E$4:$E$207,MATCH($B11,'Challan Master'!$S$4:$S$207,0)),"")&amp;" | Tax ₹"&amp;TEXT(IFERROR(INDEX('Challan Master'!$G$4:$G$207,MATCH($B11,'Challan Master'!$S$4:$S$207,0)),""),"#,##0")&amp;" | Section "&amp;IFERROR(INDEX('Challan Master'!$F$4:$F$207,MATCH($B11,'Challan Master'!$S$4:$S$207,0)),""))</f>
      </c>
      <c r="D11" s="8"/>
      <c r="E11" s="8"/>
      <c r="F11" s="7">
        <f>IF($D11="","",IF(AND(LEN(TRIM(UPPER(E11)))=10,CODE(MID(TRIM(UPPER(E11)),1,1))&gt;=65,CODE(MID(TRIM(UPPER(E11)),1,1))&lt;=90,CODE(MID(TRIM(UPPER(E11)),2,1))&gt;=65,CODE(MID(TRIM(UPPER(E11)),2,1))&lt;=90,CODE(MID(TRIM(UPPER(E11)),3,1))&gt;=65,CODE(MID(TRIM(UPPER(E11)),3,1))&lt;=90,CODE(MID(TRIM(UPPER(E11)),4,1))&gt;=65,CODE(MID(TRIM(UPPER(E11)),4,1))&lt;=90,CODE(MID(TRIM(UPPER(E11)),5,1))&gt;=65,CODE(MID(TRIM(UPPER(E11)),5,1))&lt;=90,CODE(MID(TRIM(UPPER(E11)),10,1))&gt;=65,CODE(MID(TRIM(UPPER(E11)),10,1))&lt;=90,CODE(MID(TRIM(UPPER(E11)),6,1))&gt;=48,CODE(MID(TRIM(UPPER(E11)),6,1))&lt;=57,CODE(MID(TRIM(UPPER(E11)),7,1))&gt;=48,CODE(MID(TRIM(UPPER(E11)),7,1))&lt;=57,CODE(MID(TRIM(UPPER(E11)),8,1))&gt;=48,CODE(MID(TRIM(UPPER(E11)),8,1))&lt;=57,CODE(MID(TRIM(UPPER(E11)),9,1))&gt;=48,CODE(MID(TRIM(UPPER(E11)),9,1))&lt;=57),"N","Y"))</f>
      </c>
      <c r="G11" s="7">
        <f>IF($D11="","",IF(LEN(E11)&lt;4,"",IF(UPPER(MID(E11,4,1))="P","Individual",IF(UPPER(MID(E11,4,1))="H","HUF",IF(UPPER(MID(E11,4,1))="C","Company",IF(UPPER(MID(E11,4,1))="F","Firm",IF(UPPER(MID(E11,4,1))="L","LLP",IF(UPPER(MID(E11,4,1))="T","Trust",IF(UPPER(MID(E11,4,1))="A","AOP","")))))))))</f>
      </c>
      <c r="H11" s="8"/>
      <c r="I11" s="7">
        <f>IF($D11="","",IF(H11="","",IF(F11="Y",SUMPRODUCT(('Rate Lookup'!$A$1:$A$37=H11)*'Rate Lookup'!$D$1:$D$37),IF(OR(G11="Individual",G11="HUF"),SUMPRODUCT(('Rate Lookup'!$A$1:$A$37=H11)*'Rate Lookup'!$B$1:$B$37),SUMPRODUCT(('Rate Lookup'!$A$1:$A$37=H11)*'Rate Lookup'!$C$1:$C$37)))))</f>
      </c>
      <c r="J11" s="8"/>
      <c r="K11" s="8"/>
      <c r="L11" s="7">
        <f>IF($D11="","",ROUND(K11*I11/100,0))</f>
      </c>
      <c r="M11" s="7">
        <f>IF($D11="","",0)</f>
      </c>
      <c r="N11" s="7">
        <f>IF($D11="","",0)</f>
      </c>
      <c r="O11" s="7">
        <f>IF($D11="","",IF(OR(L11=0,J11="",IFERROR(INDEX('Challan Master'!$D$4:$D$207,MATCH($B11,'Challan Master'!$S$4:$S$207,0)),"")="",IFERROR(INDEX('Challan Master'!$D$4:$D$207,MATCH($B11,'Challan Master'!$S$4:$S$207,0)),"")&lt;=0),0,IF(IFERROR(INDEX('Challan Master'!$D$4:$D$207,MATCH($B11,'Challan Master'!$S$4:$S$207,0)),"")&lt;=DATE(YEAR(J11),MONTH(J11)+1,7),0,ROUND(L11*0.015*((YEAR(IFERROR(INDEX('Challan Master'!$D$4:$D$207,MATCH($B11,'Challan Master'!$S$4:$S$207,0)),""))-YEAR(J11))*12+(MONTH(IFERROR(INDEX('Challan Master'!$D$4:$D$207,MATCH($B11,'Challan Master'!$S$4:$S$207,0)),""))-MONTH(J11))+1),0))))</f>
      </c>
      <c r="P11" s="7">
        <f>IF($D11="","",0)</f>
      </c>
      <c r="Q11" s="8"/>
      <c r="R11" s="8"/>
      <c r="S11" s="8"/>
      <c r="T11" s="8"/>
      <c r="U11" s="8"/>
      <c r="V11" s="7">
        <f>IF($B11="","",IFERROR(INDEX('Challan Master'!$AA$4:$AA$207,MATCH($B11,'Challan Master'!$S$4:$S$207,0)),""))</f>
      </c>
    </row>
    <row r="12" spans="1:22" x14ac:dyDescent="0.25">
      <c r="A12" s="7">
        <f>IF($D12="","",COUNTIF($D$4:$D12,"&lt;&gt;"))</f>
      </c>
      <c r="B12" s="8"/>
      <c r="C12" s="7">
        <f>IF($B12="","","BSR "&amp;IFERROR(INDEX('Challan Master'!$B$4:$B$207,MATCH($B12,'Challan Master'!$S$4:$S$207,0)),"")&amp;" | Serial "&amp;IFERROR(INDEX('Challan Master'!$C$4:$C$207,MATCH($B12,'Challan Master'!$S$4:$S$207,0)),"")&amp;" | Deposit "&amp;TEXT(IFERROR(INDEX('Challan Master'!$D$4:$D$207,MATCH($B12,'Challan Master'!$S$4:$S$207,0)),""),"dd-mm-yyyy")&amp;" | Minor Head "&amp;IFERROR(INDEX('Challan Master'!$E$4:$E$207,MATCH($B12,'Challan Master'!$S$4:$S$207,0)),"")&amp;" | Tax ₹"&amp;TEXT(IFERROR(INDEX('Challan Master'!$G$4:$G$207,MATCH($B12,'Challan Master'!$S$4:$S$207,0)),""),"#,##0")&amp;" | Section "&amp;IFERROR(INDEX('Challan Master'!$F$4:$F$207,MATCH($B12,'Challan Master'!$S$4:$S$207,0)),""))</f>
      </c>
      <c r="D12" s="8"/>
      <c r="E12" s="8"/>
      <c r="F12" s="7">
        <f>IF($D12="","",IF(AND(LEN(TRIM(UPPER(E12)))=10,CODE(MID(TRIM(UPPER(E12)),1,1))&gt;=65,CODE(MID(TRIM(UPPER(E12)),1,1))&lt;=90,CODE(MID(TRIM(UPPER(E12)),2,1))&gt;=65,CODE(MID(TRIM(UPPER(E12)),2,1))&lt;=90,CODE(MID(TRIM(UPPER(E12)),3,1))&gt;=65,CODE(MID(TRIM(UPPER(E12)),3,1))&lt;=90,CODE(MID(TRIM(UPPER(E12)),4,1))&gt;=65,CODE(MID(TRIM(UPPER(E12)),4,1))&lt;=90,CODE(MID(TRIM(UPPER(E12)),5,1))&gt;=65,CODE(MID(TRIM(UPPER(E12)),5,1))&lt;=90,CODE(MID(TRIM(UPPER(E12)),10,1))&gt;=65,CODE(MID(TRIM(UPPER(E12)),10,1))&lt;=90,CODE(MID(TRIM(UPPER(E12)),6,1))&gt;=48,CODE(MID(TRIM(UPPER(E12)),6,1))&lt;=57,CODE(MID(TRIM(UPPER(E12)),7,1))&gt;=48,CODE(MID(TRIM(UPPER(E12)),7,1))&lt;=57,CODE(MID(TRIM(UPPER(E12)),8,1))&gt;=48,CODE(MID(TRIM(UPPER(E12)),8,1))&lt;=57,CODE(MID(TRIM(UPPER(E12)),9,1))&gt;=48,CODE(MID(TRIM(UPPER(E12)),9,1))&lt;=57),"N","Y"))</f>
      </c>
      <c r="G12" s="7">
        <f>IF($D12="","",IF(LEN(E12)&lt;4,"",IF(UPPER(MID(E12,4,1))="P","Individual",IF(UPPER(MID(E12,4,1))="H","HUF",IF(UPPER(MID(E12,4,1))="C","Company",IF(UPPER(MID(E12,4,1))="F","Firm",IF(UPPER(MID(E12,4,1))="L","LLP",IF(UPPER(MID(E12,4,1))="T","Trust",IF(UPPER(MID(E12,4,1))="A","AOP","")))))))))</f>
      </c>
      <c r="H12" s="8"/>
      <c r="I12" s="7">
        <f>IF($D12="","",IF(H12="","",IF(F12="Y",SUMPRODUCT(('Rate Lookup'!$A$1:$A$37=H12)*'Rate Lookup'!$D$1:$D$37),IF(OR(G12="Individual",G12="HUF"),SUMPRODUCT(('Rate Lookup'!$A$1:$A$37=H12)*'Rate Lookup'!$B$1:$B$37),SUMPRODUCT(('Rate Lookup'!$A$1:$A$37=H12)*'Rate Lookup'!$C$1:$C$37)))))</f>
      </c>
      <c r="J12" s="8"/>
      <c r="K12" s="8"/>
      <c r="L12" s="7">
        <f>IF($D12="","",ROUND(K12*I12/100,0))</f>
      </c>
      <c r="M12" s="7">
        <f>IF($D12="","",0)</f>
      </c>
      <c r="N12" s="7">
        <f>IF($D12="","",0)</f>
      </c>
      <c r="O12" s="7">
        <f>IF($D12="","",IF(OR(L12=0,J12="",IFERROR(INDEX('Challan Master'!$D$4:$D$207,MATCH($B12,'Challan Master'!$S$4:$S$207,0)),"")="",IFERROR(INDEX('Challan Master'!$D$4:$D$207,MATCH($B12,'Challan Master'!$S$4:$S$207,0)),"")&lt;=0),0,IF(IFERROR(INDEX('Challan Master'!$D$4:$D$207,MATCH($B12,'Challan Master'!$S$4:$S$207,0)),"")&lt;=DATE(YEAR(J12),MONTH(J12)+1,7),0,ROUND(L12*0.015*((YEAR(IFERROR(INDEX('Challan Master'!$D$4:$D$207,MATCH($B12,'Challan Master'!$S$4:$S$207,0)),""))-YEAR(J12))*12+(MONTH(IFERROR(INDEX('Challan Master'!$D$4:$D$207,MATCH($B12,'Challan Master'!$S$4:$S$207,0)),""))-MONTH(J12))+1),0))))</f>
      </c>
      <c r="P12" s="7">
        <f>IF($D12="","",0)</f>
      </c>
      <c r="Q12" s="8"/>
      <c r="R12" s="8"/>
      <c r="S12" s="8"/>
      <c r="T12" s="8"/>
      <c r="U12" s="8"/>
      <c r="V12" s="7">
        <f>IF($B12="","",IFERROR(INDEX('Challan Master'!$AA$4:$AA$207,MATCH($B12,'Challan Master'!$S$4:$S$207,0)),""))</f>
      </c>
    </row>
    <row r="13" spans="1:22" x14ac:dyDescent="0.25">
      <c r="A13" s="7">
        <f>IF($D13="","",COUNTIF($D$4:$D13,"&lt;&gt;"))</f>
      </c>
      <c r="B13" s="8"/>
      <c r="C13" s="7">
        <f>IF($B13="","","BSR "&amp;IFERROR(INDEX('Challan Master'!$B$4:$B$207,MATCH($B13,'Challan Master'!$S$4:$S$207,0)),"")&amp;" | Serial "&amp;IFERROR(INDEX('Challan Master'!$C$4:$C$207,MATCH($B13,'Challan Master'!$S$4:$S$207,0)),"")&amp;" | Deposit "&amp;TEXT(IFERROR(INDEX('Challan Master'!$D$4:$D$207,MATCH($B13,'Challan Master'!$S$4:$S$207,0)),""),"dd-mm-yyyy")&amp;" | Minor Head "&amp;IFERROR(INDEX('Challan Master'!$E$4:$E$207,MATCH($B13,'Challan Master'!$S$4:$S$207,0)),"")&amp;" | Tax ₹"&amp;TEXT(IFERROR(INDEX('Challan Master'!$G$4:$G$207,MATCH($B13,'Challan Master'!$S$4:$S$207,0)),""),"#,##0")&amp;" | Section "&amp;IFERROR(INDEX('Challan Master'!$F$4:$F$207,MATCH($B13,'Challan Master'!$S$4:$S$207,0)),""))</f>
      </c>
      <c r="D13" s="8"/>
      <c r="E13" s="8"/>
      <c r="F13" s="7">
        <f>IF($D13="","",IF(AND(LEN(TRIM(UPPER(E13)))=10,CODE(MID(TRIM(UPPER(E13)),1,1))&gt;=65,CODE(MID(TRIM(UPPER(E13)),1,1))&lt;=90,CODE(MID(TRIM(UPPER(E13)),2,1))&gt;=65,CODE(MID(TRIM(UPPER(E13)),2,1))&lt;=90,CODE(MID(TRIM(UPPER(E13)),3,1))&gt;=65,CODE(MID(TRIM(UPPER(E13)),3,1))&lt;=90,CODE(MID(TRIM(UPPER(E13)),4,1))&gt;=65,CODE(MID(TRIM(UPPER(E13)),4,1))&lt;=90,CODE(MID(TRIM(UPPER(E13)),5,1))&gt;=65,CODE(MID(TRIM(UPPER(E13)),5,1))&lt;=90,CODE(MID(TRIM(UPPER(E13)),10,1))&gt;=65,CODE(MID(TRIM(UPPER(E13)),10,1))&lt;=90,CODE(MID(TRIM(UPPER(E13)),6,1))&gt;=48,CODE(MID(TRIM(UPPER(E13)),6,1))&lt;=57,CODE(MID(TRIM(UPPER(E13)),7,1))&gt;=48,CODE(MID(TRIM(UPPER(E13)),7,1))&lt;=57,CODE(MID(TRIM(UPPER(E13)),8,1))&gt;=48,CODE(MID(TRIM(UPPER(E13)),8,1))&lt;=57,CODE(MID(TRIM(UPPER(E13)),9,1))&gt;=48,CODE(MID(TRIM(UPPER(E13)),9,1))&lt;=57),"N","Y"))</f>
      </c>
      <c r="G13" s="7">
        <f>IF($D13="","",IF(LEN(E13)&lt;4,"",IF(UPPER(MID(E13,4,1))="P","Individual",IF(UPPER(MID(E13,4,1))="H","HUF",IF(UPPER(MID(E13,4,1))="C","Company",IF(UPPER(MID(E13,4,1))="F","Firm",IF(UPPER(MID(E13,4,1))="L","LLP",IF(UPPER(MID(E13,4,1))="T","Trust",IF(UPPER(MID(E13,4,1))="A","AOP","")))))))))</f>
      </c>
      <c r="H13" s="8"/>
      <c r="I13" s="7">
        <f>IF($D13="","",IF(H13="","",IF(F13="Y",SUMPRODUCT(('Rate Lookup'!$A$1:$A$37=H13)*'Rate Lookup'!$D$1:$D$37),IF(OR(G13="Individual",G13="HUF"),SUMPRODUCT(('Rate Lookup'!$A$1:$A$37=H13)*'Rate Lookup'!$B$1:$B$37),SUMPRODUCT(('Rate Lookup'!$A$1:$A$37=H13)*'Rate Lookup'!$C$1:$C$37)))))</f>
      </c>
      <c r="J13" s="8"/>
      <c r="K13" s="8"/>
      <c r="L13" s="7">
        <f>IF($D13="","",ROUND(K13*I13/100,0))</f>
      </c>
      <c r="M13" s="7">
        <f>IF($D13="","",0)</f>
      </c>
      <c r="N13" s="7">
        <f>IF($D13="","",0)</f>
      </c>
      <c r="O13" s="7">
        <f>IF($D13="","",IF(OR(L13=0,J13="",IFERROR(INDEX('Challan Master'!$D$4:$D$207,MATCH($B13,'Challan Master'!$S$4:$S$207,0)),"")="",IFERROR(INDEX('Challan Master'!$D$4:$D$207,MATCH($B13,'Challan Master'!$S$4:$S$207,0)),"")&lt;=0),0,IF(IFERROR(INDEX('Challan Master'!$D$4:$D$207,MATCH($B13,'Challan Master'!$S$4:$S$207,0)),"")&lt;=DATE(YEAR(J13),MONTH(J13)+1,7),0,ROUND(L13*0.015*((YEAR(IFERROR(INDEX('Challan Master'!$D$4:$D$207,MATCH($B13,'Challan Master'!$S$4:$S$207,0)),""))-YEAR(J13))*12+(MONTH(IFERROR(INDEX('Challan Master'!$D$4:$D$207,MATCH($B13,'Challan Master'!$S$4:$S$207,0)),""))-MONTH(J13))+1),0))))</f>
      </c>
      <c r="P13" s="7">
        <f>IF($D13="","",0)</f>
      </c>
      <c r="Q13" s="8"/>
      <c r="R13" s="8"/>
      <c r="S13" s="8"/>
      <c r="T13" s="8"/>
      <c r="U13" s="8"/>
      <c r="V13" s="7">
        <f>IF($B13="","",IFERROR(INDEX('Challan Master'!$AA$4:$AA$207,MATCH($B13,'Challan Master'!$S$4:$S$207,0)),""))</f>
      </c>
    </row>
    <row r="14" spans="1:22" x14ac:dyDescent="0.25">
      <c r="A14" s="7">
        <f>IF($D14="","",COUNTIF($D$4:$D14,"&lt;&gt;"))</f>
      </c>
      <c r="B14" s="8"/>
      <c r="C14" s="7">
        <f>IF($B14="","","BSR "&amp;IFERROR(INDEX('Challan Master'!$B$4:$B$207,MATCH($B14,'Challan Master'!$S$4:$S$207,0)),"")&amp;" | Serial "&amp;IFERROR(INDEX('Challan Master'!$C$4:$C$207,MATCH($B14,'Challan Master'!$S$4:$S$207,0)),"")&amp;" | Deposit "&amp;TEXT(IFERROR(INDEX('Challan Master'!$D$4:$D$207,MATCH($B14,'Challan Master'!$S$4:$S$207,0)),""),"dd-mm-yyyy")&amp;" | Minor Head "&amp;IFERROR(INDEX('Challan Master'!$E$4:$E$207,MATCH($B14,'Challan Master'!$S$4:$S$207,0)),"")&amp;" | Tax ₹"&amp;TEXT(IFERROR(INDEX('Challan Master'!$G$4:$G$207,MATCH($B14,'Challan Master'!$S$4:$S$207,0)),""),"#,##0")&amp;" | Section "&amp;IFERROR(INDEX('Challan Master'!$F$4:$F$207,MATCH($B14,'Challan Master'!$S$4:$S$207,0)),""))</f>
      </c>
      <c r="D14" s="8"/>
      <c r="E14" s="8"/>
      <c r="F14" s="7">
        <f>IF($D14="","",IF(AND(LEN(TRIM(UPPER(E14)))=10,CODE(MID(TRIM(UPPER(E14)),1,1))&gt;=65,CODE(MID(TRIM(UPPER(E14)),1,1))&lt;=90,CODE(MID(TRIM(UPPER(E14)),2,1))&gt;=65,CODE(MID(TRIM(UPPER(E14)),2,1))&lt;=90,CODE(MID(TRIM(UPPER(E14)),3,1))&gt;=65,CODE(MID(TRIM(UPPER(E14)),3,1))&lt;=90,CODE(MID(TRIM(UPPER(E14)),4,1))&gt;=65,CODE(MID(TRIM(UPPER(E14)),4,1))&lt;=90,CODE(MID(TRIM(UPPER(E14)),5,1))&gt;=65,CODE(MID(TRIM(UPPER(E14)),5,1))&lt;=90,CODE(MID(TRIM(UPPER(E14)),10,1))&gt;=65,CODE(MID(TRIM(UPPER(E14)),10,1))&lt;=90,CODE(MID(TRIM(UPPER(E14)),6,1))&gt;=48,CODE(MID(TRIM(UPPER(E14)),6,1))&lt;=57,CODE(MID(TRIM(UPPER(E14)),7,1))&gt;=48,CODE(MID(TRIM(UPPER(E14)),7,1))&lt;=57,CODE(MID(TRIM(UPPER(E14)),8,1))&gt;=48,CODE(MID(TRIM(UPPER(E14)),8,1))&lt;=57,CODE(MID(TRIM(UPPER(E14)),9,1))&gt;=48,CODE(MID(TRIM(UPPER(E14)),9,1))&lt;=57),"N","Y"))</f>
      </c>
      <c r="G14" s="7">
        <f>IF($D14="","",IF(LEN(E14)&lt;4,"",IF(UPPER(MID(E14,4,1))="P","Individual",IF(UPPER(MID(E14,4,1))="H","HUF",IF(UPPER(MID(E14,4,1))="C","Company",IF(UPPER(MID(E14,4,1))="F","Firm",IF(UPPER(MID(E14,4,1))="L","LLP",IF(UPPER(MID(E14,4,1))="T","Trust",IF(UPPER(MID(E14,4,1))="A","AOP","")))))))))</f>
      </c>
      <c r="H14" s="8"/>
      <c r="I14" s="7">
        <f>IF($D14="","",IF(H14="","",IF(F14="Y",SUMPRODUCT(('Rate Lookup'!$A$1:$A$37=H14)*'Rate Lookup'!$D$1:$D$37),IF(OR(G14="Individual",G14="HUF"),SUMPRODUCT(('Rate Lookup'!$A$1:$A$37=H14)*'Rate Lookup'!$B$1:$B$37),SUMPRODUCT(('Rate Lookup'!$A$1:$A$37=H14)*'Rate Lookup'!$C$1:$C$37)))))</f>
      </c>
      <c r="J14" s="8"/>
      <c r="K14" s="8"/>
      <c r="L14" s="7">
        <f>IF($D14="","",ROUND(K14*I14/100,0))</f>
      </c>
      <c r="M14" s="7">
        <f>IF($D14="","",0)</f>
      </c>
      <c r="N14" s="7">
        <f>IF($D14="","",0)</f>
      </c>
      <c r="O14" s="7">
        <f>IF($D14="","",IF(OR(L14=0,J14="",IFERROR(INDEX('Challan Master'!$D$4:$D$207,MATCH($B14,'Challan Master'!$S$4:$S$207,0)),"")="",IFERROR(INDEX('Challan Master'!$D$4:$D$207,MATCH($B14,'Challan Master'!$S$4:$S$207,0)),"")&lt;=0),0,IF(IFERROR(INDEX('Challan Master'!$D$4:$D$207,MATCH($B14,'Challan Master'!$S$4:$S$207,0)),"")&lt;=DATE(YEAR(J14),MONTH(J14)+1,7),0,ROUND(L14*0.015*((YEAR(IFERROR(INDEX('Challan Master'!$D$4:$D$207,MATCH($B14,'Challan Master'!$S$4:$S$207,0)),""))-YEAR(J14))*12+(MONTH(IFERROR(INDEX('Challan Master'!$D$4:$D$207,MATCH($B14,'Challan Master'!$S$4:$S$207,0)),""))-MONTH(J14))+1),0))))</f>
      </c>
      <c r="P14" s="7">
        <f>IF($D14="","",0)</f>
      </c>
      <c r="Q14" s="8"/>
      <c r="R14" s="8"/>
      <c r="S14" s="8"/>
      <c r="T14" s="8"/>
      <c r="U14" s="8"/>
      <c r="V14" s="7">
        <f>IF($B14="","",IFERROR(INDEX('Challan Master'!$AA$4:$AA$207,MATCH($B14,'Challan Master'!$S$4:$S$207,0)),""))</f>
      </c>
    </row>
    <row r="15" spans="1:22" x14ac:dyDescent="0.25">
      <c r="A15" s="7">
        <f>IF($D15="","",COUNTIF($D$4:$D15,"&lt;&gt;"))</f>
      </c>
      <c r="B15" s="8"/>
      <c r="C15" s="7">
        <f>IF($B15="","","BSR "&amp;IFERROR(INDEX('Challan Master'!$B$4:$B$207,MATCH($B15,'Challan Master'!$S$4:$S$207,0)),"")&amp;" | Serial "&amp;IFERROR(INDEX('Challan Master'!$C$4:$C$207,MATCH($B15,'Challan Master'!$S$4:$S$207,0)),"")&amp;" | Deposit "&amp;TEXT(IFERROR(INDEX('Challan Master'!$D$4:$D$207,MATCH($B15,'Challan Master'!$S$4:$S$207,0)),""),"dd-mm-yyyy")&amp;" | Minor Head "&amp;IFERROR(INDEX('Challan Master'!$E$4:$E$207,MATCH($B15,'Challan Master'!$S$4:$S$207,0)),"")&amp;" | Tax ₹"&amp;TEXT(IFERROR(INDEX('Challan Master'!$G$4:$G$207,MATCH($B15,'Challan Master'!$S$4:$S$207,0)),""),"#,##0")&amp;" | Section "&amp;IFERROR(INDEX('Challan Master'!$F$4:$F$207,MATCH($B15,'Challan Master'!$S$4:$S$207,0)),""))</f>
      </c>
      <c r="D15" s="8"/>
      <c r="E15" s="8"/>
      <c r="F15" s="7">
        <f>IF($D15="","",IF(AND(LEN(TRIM(UPPER(E15)))=10,CODE(MID(TRIM(UPPER(E15)),1,1))&gt;=65,CODE(MID(TRIM(UPPER(E15)),1,1))&lt;=90,CODE(MID(TRIM(UPPER(E15)),2,1))&gt;=65,CODE(MID(TRIM(UPPER(E15)),2,1))&lt;=90,CODE(MID(TRIM(UPPER(E15)),3,1))&gt;=65,CODE(MID(TRIM(UPPER(E15)),3,1))&lt;=90,CODE(MID(TRIM(UPPER(E15)),4,1))&gt;=65,CODE(MID(TRIM(UPPER(E15)),4,1))&lt;=90,CODE(MID(TRIM(UPPER(E15)),5,1))&gt;=65,CODE(MID(TRIM(UPPER(E15)),5,1))&lt;=90,CODE(MID(TRIM(UPPER(E15)),10,1))&gt;=65,CODE(MID(TRIM(UPPER(E15)),10,1))&lt;=90,CODE(MID(TRIM(UPPER(E15)),6,1))&gt;=48,CODE(MID(TRIM(UPPER(E15)),6,1))&lt;=57,CODE(MID(TRIM(UPPER(E15)),7,1))&gt;=48,CODE(MID(TRIM(UPPER(E15)),7,1))&lt;=57,CODE(MID(TRIM(UPPER(E15)),8,1))&gt;=48,CODE(MID(TRIM(UPPER(E15)),8,1))&lt;=57,CODE(MID(TRIM(UPPER(E15)),9,1))&gt;=48,CODE(MID(TRIM(UPPER(E15)),9,1))&lt;=57),"N","Y"))</f>
      </c>
      <c r="G15" s="7">
        <f>IF($D15="","",IF(LEN(E15)&lt;4,"",IF(UPPER(MID(E15,4,1))="P","Individual",IF(UPPER(MID(E15,4,1))="H","HUF",IF(UPPER(MID(E15,4,1))="C","Company",IF(UPPER(MID(E15,4,1))="F","Firm",IF(UPPER(MID(E15,4,1))="L","LLP",IF(UPPER(MID(E15,4,1))="T","Trust",IF(UPPER(MID(E15,4,1))="A","AOP","")))))))))</f>
      </c>
      <c r="H15" s="8"/>
      <c r="I15" s="7">
        <f>IF($D15="","",IF(H15="","",IF(F15="Y",SUMPRODUCT(('Rate Lookup'!$A$1:$A$37=H15)*'Rate Lookup'!$D$1:$D$37),IF(OR(G15="Individual",G15="HUF"),SUMPRODUCT(('Rate Lookup'!$A$1:$A$37=H15)*'Rate Lookup'!$B$1:$B$37),SUMPRODUCT(('Rate Lookup'!$A$1:$A$37=H15)*'Rate Lookup'!$C$1:$C$37)))))</f>
      </c>
      <c r="J15" s="8"/>
      <c r="K15" s="8"/>
      <c r="L15" s="7">
        <f>IF($D15="","",ROUND(K15*I15/100,0))</f>
      </c>
      <c r="M15" s="7">
        <f>IF($D15="","",0)</f>
      </c>
      <c r="N15" s="7">
        <f>IF($D15="","",0)</f>
      </c>
      <c r="O15" s="7">
        <f>IF($D15="","",IF(OR(L15=0,J15="",IFERROR(INDEX('Challan Master'!$D$4:$D$207,MATCH($B15,'Challan Master'!$S$4:$S$207,0)),"")="",IFERROR(INDEX('Challan Master'!$D$4:$D$207,MATCH($B15,'Challan Master'!$S$4:$S$207,0)),"")&lt;=0),0,IF(IFERROR(INDEX('Challan Master'!$D$4:$D$207,MATCH($B15,'Challan Master'!$S$4:$S$207,0)),"")&lt;=DATE(YEAR(J15),MONTH(J15)+1,7),0,ROUND(L15*0.015*((YEAR(IFERROR(INDEX('Challan Master'!$D$4:$D$207,MATCH($B15,'Challan Master'!$S$4:$S$207,0)),""))-YEAR(J15))*12+(MONTH(IFERROR(INDEX('Challan Master'!$D$4:$D$207,MATCH($B15,'Challan Master'!$S$4:$S$207,0)),""))-MONTH(J15))+1),0))))</f>
      </c>
      <c r="P15" s="7">
        <f>IF($D15="","",0)</f>
      </c>
      <c r="Q15" s="8"/>
      <c r="R15" s="8"/>
      <c r="S15" s="8"/>
      <c r="T15" s="8"/>
      <c r="U15" s="8"/>
      <c r="V15" s="7">
        <f>IF($B15="","",IFERROR(INDEX('Challan Master'!$AA$4:$AA$207,MATCH($B15,'Challan Master'!$S$4:$S$207,0)),""))</f>
      </c>
    </row>
    <row r="16" spans="1:22" x14ac:dyDescent="0.25">
      <c r="A16" s="7">
        <f>IF($D16="","",COUNTIF($D$4:$D16,"&lt;&gt;"))</f>
      </c>
      <c r="B16" s="8"/>
      <c r="C16" s="7">
        <f>IF($B16="","","BSR "&amp;IFERROR(INDEX('Challan Master'!$B$4:$B$207,MATCH($B16,'Challan Master'!$S$4:$S$207,0)),"")&amp;" | Serial "&amp;IFERROR(INDEX('Challan Master'!$C$4:$C$207,MATCH($B16,'Challan Master'!$S$4:$S$207,0)),"")&amp;" | Deposit "&amp;TEXT(IFERROR(INDEX('Challan Master'!$D$4:$D$207,MATCH($B16,'Challan Master'!$S$4:$S$207,0)),""),"dd-mm-yyyy")&amp;" | Minor Head "&amp;IFERROR(INDEX('Challan Master'!$E$4:$E$207,MATCH($B16,'Challan Master'!$S$4:$S$207,0)),"")&amp;" | Tax ₹"&amp;TEXT(IFERROR(INDEX('Challan Master'!$G$4:$G$207,MATCH($B16,'Challan Master'!$S$4:$S$207,0)),""),"#,##0")&amp;" | Section "&amp;IFERROR(INDEX('Challan Master'!$F$4:$F$207,MATCH($B16,'Challan Master'!$S$4:$S$207,0)),""))</f>
      </c>
      <c r="D16" s="8"/>
      <c r="E16" s="8"/>
      <c r="F16" s="7">
        <f>IF($D16="","",IF(AND(LEN(TRIM(UPPER(E16)))=10,CODE(MID(TRIM(UPPER(E16)),1,1))&gt;=65,CODE(MID(TRIM(UPPER(E16)),1,1))&lt;=90,CODE(MID(TRIM(UPPER(E16)),2,1))&gt;=65,CODE(MID(TRIM(UPPER(E16)),2,1))&lt;=90,CODE(MID(TRIM(UPPER(E16)),3,1))&gt;=65,CODE(MID(TRIM(UPPER(E16)),3,1))&lt;=90,CODE(MID(TRIM(UPPER(E16)),4,1))&gt;=65,CODE(MID(TRIM(UPPER(E16)),4,1))&lt;=90,CODE(MID(TRIM(UPPER(E16)),5,1))&gt;=65,CODE(MID(TRIM(UPPER(E16)),5,1))&lt;=90,CODE(MID(TRIM(UPPER(E16)),10,1))&gt;=65,CODE(MID(TRIM(UPPER(E16)),10,1))&lt;=90,CODE(MID(TRIM(UPPER(E16)),6,1))&gt;=48,CODE(MID(TRIM(UPPER(E16)),6,1))&lt;=57,CODE(MID(TRIM(UPPER(E16)),7,1))&gt;=48,CODE(MID(TRIM(UPPER(E16)),7,1))&lt;=57,CODE(MID(TRIM(UPPER(E16)),8,1))&gt;=48,CODE(MID(TRIM(UPPER(E16)),8,1))&lt;=57,CODE(MID(TRIM(UPPER(E16)),9,1))&gt;=48,CODE(MID(TRIM(UPPER(E16)),9,1))&lt;=57),"N","Y"))</f>
      </c>
      <c r="G16" s="7">
        <f>IF($D16="","",IF(LEN(E16)&lt;4,"",IF(UPPER(MID(E16,4,1))="P","Individual",IF(UPPER(MID(E16,4,1))="H","HUF",IF(UPPER(MID(E16,4,1))="C","Company",IF(UPPER(MID(E16,4,1))="F","Firm",IF(UPPER(MID(E16,4,1))="L","LLP",IF(UPPER(MID(E16,4,1))="T","Trust",IF(UPPER(MID(E16,4,1))="A","AOP","")))))))))</f>
      </c>
      <c r="H16" s="8"/>
      <c r="I16" s="7">
        <f>IF($D16="","",IF(H16="","",IF(F16="Y",SUMPRODUCT(('Rate Lookup'!$A$1:$A$37=H16)*'Rate Lookup'!$D$1:$D$37),IF(OR(G16="Individual",G16="HUF"),SUMPRODUCT(('Rate Lookup'!$A$1:$A$37=H16)*'Rate Lookup'!$B$1:$B$37),SUMPRODUCT(('Rate Lookup'!$A$1:$A$37=H16)*'Rate Lookup'!$C$1:$C$37)))))</f>
      </c>
      <c r="J16" s="8"/>
      <c r="K16" s="8"/>
      <c r="L16" s="7">
        <f>IF($D16="","",ROUND(K16*I16/100,0))</f>
      </c>
      <c r="M16" s="7">
        <f>IF($D16="","",0)</f>
      </c>
      <c r="N16" s="7">
        <f>IF($D16="","",0)</f>
      </c>
      <c r="O16" s="7">
        <f>IF($D16="","",IF(OR(L16=0,J16="",IFERROR(INDEX('Challan Master'!$D$4:$D$207,MATCH($B16,'Challan Master'!$S$4:$S$207,0)),"")="",IFERROR(INDEX('Challan Master'!$D$4:$D$207,MATCH($B16,'Challan Master'!$S$4:$S$207,0)),"")&lt;=0),0,IF(IFERROR(INDEX('Challan Master'!$D$4:$D$207,MATCH($B16,'Challan Master'!$S$4:$S$207,0)),"")&lt;=DATE(YEAR(J16),MONTH(J16)+1,7),0,ROUND(L16*0.015*((YEAR(IFERROR(INDEX('Challan Master'!$D$4:$D$207,MATCH($B16,'Challan Master'!$S$4:$S$207,0)),""))-YEAR(J16))*12+(MONTH(IFERROR(INDEX('Challan Master'!$D$4:$D$207,MATCH($B16,'Challan Master'!$S$4:$S$207,0)),""))-MONTH(J16))+1),0))))</f>
      </c>
      <c r="P16" s="7">
        <f>IF($D16="","",0)</f>
      </c>
      <c r="Q16" s="8"/>
      <c r="R16" s="8"/>
      <c r="S16" s="8"/>
      <c r="T16" s="8"/>
      <c r="U16" s="8"/>
      <c r="V16" s="7">
        <f>IF($B16="","",IFERROR(INDEX('Challan Master'!$AA$4:$AA$207,MATCH($B16,'Challan Master'!$S$4:$S$207,0)),""))</f>
      </c>
    </row>
    <row r="17" spans="1:22" x14ac:dyDescent="0.25">
      <c r="A17" s="7">
        <f>IF($D17="","",COUNTIF($D$4:$D17,"&lt;&gt;"))</f>
      </c>
      <c r="B17" s="8"/>
      <c r="C17" s="7">
        <f>IF($B17="","","BSR "&amp;IFERROR(INDEX('Challan Master'!$B$4:$B$207,MATCH($B17,'Challan Master'!$S$4:$S$207,0)),"")&amp;" | Serial "&amp;IFERROR(INDEX('Challan Master'!$C$4:$C$207,MATCH($B17,'Challan Master'!$S$4:$S$207,0)),"")&amp;" | Deposit "&amp;TEXT(IFERROR(INDEX('Challan Master'!$D$4:$D$207,MATCH($B17,'Challan Master'!$S$4:$S$207,0)),""),"dd-mm-yyyy")&amp;" | Minor Head "&amp;IFERROR(INDEX('Challan Master'!$E$4:$E$207,MATCH($B17,'Challan Master'!$S$4:$S$207,0)),"")&amp;" | Tax ₹"&amp;TEXT(IFERROR(INDEX('Challan Master'!$G$4:$G$207,MATCH($B17,'Challan Master'!$S$4:$S$207,0)),""),"#,##0")&amp;" | Section "&amp;IFERROR(INDEX('Challan Master'!$F$4:$F$207,MATCH($B17,'Challan Master'!$S$4:$S$207,0)),""))</f>
      </c>
      <c r="D17" s="8"/>
      <c r="E17" s="8"/>
      <c r="F17" s="7">
        <f>IF($D17="","",IF(AND(LEN(TRIM(UPPER(E17)))=10,CODE(MID(TRIM(UPPER(E17)),1,1))&gt;=65,CODE(MID(TRIM(UPPER(E17)),1,1))&lt;=90,CODE(MID(TRIM(UPPER(E17)),2,1))&gt;=65,CODE(MID(TRIM(UPPER(E17)),2,1))&lt;=90,CODE(MID(TRIM(UPPER(E17)),3,1))&gt;=65,CODE(MID(TRIM(UPPER(E17)),3,1))&lt;=90,CODE(MID(TRIM(UPPER(E17)),4,1))&gt;=65,CODE(MID(TRIM(UPPER(E17)),4,1))&lt;=90,CODE(MID(TRIM(UPPER(E17)),5,1))&gt;=65,CODE(MID(TRIM(UPPER(E17)),5,1))&lt;=90,CODE(MID(TRIM(UPPER(E17)),10,1))&gt;=65,CODE(MID(TRIM(UPPER(E17)),10,1))&lt;=90,CODE(MID(TRIM(UPPER(E17)),6,1))&gt;=48,CODE(MID(TRIM(UPPER(E17)),6,1))&lt;=57,CODE(MID(TRIM(UPPER(E17)),7,1))&gt;=48,CODE(MID(TRIM(UPPER(E17)),7,1))&lt;=57,CODE(MID(TRIM(UPPER(E17)),8,1))&gt;=48,CODE(MID(TRIM(UPPER(E17)),8,1))&lt;=57,CODE(MID(TRIM(UPPER(E17)),9,1))&gt;=48,CODE(MID(TRIM(UPPER(E17)),9,1))&lt;=57),"N","Y"))</f>
      </c>
      <c r="G17" s="7">
        <f>IF($D17="","",IF(LEN(E17)&lt;4,"",IF(UPPER(MID(E17,4,1))="P","Individual",IF(UPPER(MID(E17,4,1))="H","HUF",IF(UPPER(MID(E17,4,1))="C","Company",IF(UPPER(MID(E17,4,1))="F","Firm",IF(UPPER(MID(E17,4,1))="L","LLP",IF(UPPER(MID(E17,4,1))="T","Trust",IF(UPPER(MID(E17,4,1))="A","AOP","")))))))))</f>
      </c>
      <c r="H17" s="8"/>
      <c r="I17" s="7">
        <f>IF($D17="","",IF(H17="","",IF(F17="Y",SUMPRODUCT(('Rate Lookup'!$A$1:$A$37=H17)*'Rate Lookup'!$D$1:$D$37),IF(OR(G17="Individual",G17="HUF"),SUMPRODUCT(('Rate Lookup'!$A$1:$A$37=H17)*'Rate Lookup'!$B$1:$B$37),SUMPRODUCT(('Rate Lookup'!$A$1:$A$37=H17)*'Rate Lookup'!$C$1:$C$37)))))</f>
      </c>
      <c r="J17" s="8"/>
      <c r="K17" s="8"/>
      <c r="L17" s="7">
        <f>IF($D17="","",ROUND(K17*I17/100,0))</f>
      </c>
      <c r="M17" s="7">
        <f>IF($D17="","",0)</f>
      </c>
      <c r="N17" s="7">
        <f>IF($D17="","",0)</f>
      </c>
      <c r="O17" s="7">
        <f>IF($D17="","",IF(OR(L17=0,J17="",IFERROR(INDEX('Challan Master'!$D$4:$D$207,MATCH($B17,'Challan Master'!$S$4:$S$207,0)),"")="",IFERROR(INDEX('Challan Master'!$D$4:$D$207,MATCH($B17,'Challan Master'!$S$4:$S$207,0)),"")&lt;=0),0,IF(IFERROR(INDEX('Challan Master'!$D$4:$D$207,MATCH($B17,'Challan Master'!$S$4:$S$207,0)),"")&lt;=DATE(YEAR(J17),MONTH(J17)+1,7),0,ROUND(L17*0.015*((YEAR(IFERROR(INDEX('Challan Master'!$D$4:$D$207,MATCH($B17,'Challan Master'!$S$4:$S$207,0)),""))-YEAR(J17))*12+(MONTH(IFERROR(INDEX('Challan Master'!$D$4:$D$207,MATCH($B17,'Challan Master'!$S$4:$S$207,0)),""))-MONTH(J17))+1),0))))</f>
      </c>
      <c r="P17" s="7">
        <f>IF($D17="","",0)</f>
      </c>
      <c r="Q17" s="8"/>
      <c r="R17" s="8"/>
      <c r="S17" s="8"/>
      <c r="T17" s="8"/>
      <c r="U17" s="8"/>
      <c r="V17" s="7">
        <f>IF($B17="","",IFERROR(INDEX('Challan Master'!$AA$4:$AA$207,MATCH($B17,'Challan Master'!$S$4:$S$207,0)),""))</f>
      </c>
    </row>
    <row r="18" spans="1:22" x14ac:dyDescent="0.25">
      <c r="A18" s="7">
        <f>IF($D18="","",COUNTIF($D$4:$D18,"&lt;&gt;"))</f>
      </c>
      <c r="B18" s="8"/>
      <c r="C18" s="7">
        <f>IF($B18="","","BSR "&amp;IFERROR(INDEX('Challan Master'!$B$4:$B$207,MATCH($B18,'Challan Master'!$S$4:$S$207,0)),"")&amp;" | Serial "&amp;IFERROR(INDEX('Challan Master'!$C$4:$C$207,MATCH($B18,'Challan Master'!$S$4:$S$207,0)),"")&amp;" | Deposit "&amp;TEXT(IFERROR(INDEX('Challan Master'!$D$4:$D$207,MATCH($B18,'Challan Master'!$S$4:$S$207,0)),""),"dd-mm-yyyy")&amp;" | Minor Head "&amp;IFERROR(INDEX('Challan Master'!$E$4:$E$207,MATCH($B18,'Challan Master'!$S$4:$S$207,0)),"")&amp;" | Tax ₹"&amp;TEXT(IFERROR(INDEX('Challan Master'!$G$4:$G$207,MATCH($B18,'Challan Master'!$S$4:$S$207,0)),""),"#,##0")&amp;" | Section "&amp;IFERROR(INDEX('Challan Master'!$F$4:$F$207,MATCH($B18,'Challan Master'!$S$4:$S$207,0)),""))</f>
      </c>
      <c r="D18" s="8"/>
      <c r="E18" s="8"/>
      <c r="F18" s="7">
        <f>IF($D18="","",IF(AND(LEN(TRIM(UPPER(E18)))=10,CODE(MID(TRIM(UPPER(E18)),1,1))&gt;=65,CODE(MID(TRIM(UPPER(E18)),1,1))&lt;=90,CODE(MID(TRIM(UPPER(E18)),2,1))&gt;=65,CODE(MID(TRIM(UPPER(E18)),2,1))&lt;=90,CODE(MID(TRIM(UPPER(E18)),3,1))&gt;=65,CODE(MID(TRIM(UPPER(E18)),3,1))&lt;=90,CODE(MID(TRIM(UPPER(E18)),4,1))&gt;=65,CODE(MID(TRIM(UPPER(E18)),4,1))&lt;=90,CODE(MID(TRIM(UPPER(E18)),5,1))&gt;=65,CODE(MID(TRIM(UPPER(E18)),5,1))&lt;=90,CODE(MID(TRIM(UPPER(E18)),10,1))&gt;=65,CODE(MID(TRIM(UPPER(E18)),10,1))&lt;=90,CODE(MID(TRIM(UPPER(E18)),6,1))&gt;=48,CODE(MID(TRIM(UPPER(E18)),6,1))&lt;=57,CODE(MID(TRIM(UPPER(E18)),7,1))&gt;=48,CODE(MID(TRIM(UPPER(E18)),7,1))&lt;=57,CODE(MID(TRIM(UPPER(E18)),8,1))&gt;=48,CODE(MID(TRIM(UPPER(E18)),8,1))&lt;=57,CODE(MID(TRIM(UPPER(E18)),9,1))&gt;=48,CODE(MID(TRIM(UPPER(E18)),9,1))&lt;=57),"N","Y"))</f>
      </c>
      <c r="G18" s="7">
        <f>IF($D18="","",IF(LEN(E18)&lt;4,"",IF(UPPER(MID(E18,4,1))="P","Individual",IF(UPPER(MID(E18,4,1))="H","HUF",IF(UPPER(MID(E18,4,1))="C","Company",IF(UPPER(MID(E18,4,1))="F","Firm",IF(UPPER(MID(E18,4,1))="L","LLP",IF(UPPER(MID(E18,4,1))="T","Trust",IF(UPPER(MID(E18,4,1))="A","AOP","")))))))))</f>
      </c>
      <c r="H18" s="8"/>
      <c r="I18" s="7">
        <f>IF($D18="","",IF(H18="","",IF(F18="Y",SUMPRODUCT(('Rate Lookup'!$A$1:$A$37=H18)*'Rate Lookup'!$D$1:$D$37),IF(OR(G18="Individual",G18="HUF"),SUMPRODUCT(('Rate Lookup'!$A$1:$A$37=H18)*'Rate Lookup'!$B$1:$B$37),SUMPRODUCT(('Rate Lookup'!$A$1:$A$37=H18)*'Rate Lookup'!$C$1:$C$37)))))</f>
      </c>
      <c r="J18" s="8"/>
      <c r="K18" s="8"/>
      <c r="L18" s="7">
        <f>IF($D18="","",ROUND(K18*I18/100,0))</f>
      </c>
      <c r="M18" s="7">
        <f>IF($D18="","",0)</f>
      </c>
      <c r="N18" s="7">
        <f>IF($D18="","",0)</f>
      </c>
      <c r="O18" s="7">
        <f>IF($D18="","",IF(OR(L18=0,J18="",IFERROR(INDEX('Challan Master'!$D$4:$D$207,MATCH($B18,'Challan Master'!$S$4:$S$207,0)),"")="",IFERROR(INDEX('Challan Master'!$D$4:$D$207,MATCH($B18,'Challan Master'!$S$4:$S$207,0)),"")&lt;=0),0,IF(IFERROR(INDEX('Challan Master'!$D$4:$D$207,MATCH($B18,'Challan Master'!$S$4:$S$207,0)),"")&lt;=DATE(YEAR(J18),MONTH(J18)+1,7),0,ROUND(L18*0.015*((YEAR(IFERROR(INDEX('Challan Master'!$D$4:$D$207,MATCH($B18,'Challan Master'!$S$4:$S$207,0)),""))-YEAR(J18))*12+(MONTH(IFERROR(INDEX('Challan Master'!$D$4:$D$207,MATCH($B18,'Challan Master'!$S$4:$S$207,0)),""))-MONTH(J18))+1),0))))</f>
      </c>
      <c r="P18" s="7">
        <f>IF($D18="","",0)</f>
      </c>
      <c r="Q18" s="8"/>
      <c r="R18" s="8"/>
      <c r="S18" s="8"/>
      <c r="T18" s="8"/>
      <c r="U18" s="8"/>
      <c r="V18" s="7">
        <f>IF($B18="","",IFERROR(INDEX('Challan Master'!$AA$4:$AA$207,MATCH($B18,'Challan Master'!$S$4:$S$207,0)),""))</f>
      </c>
    </row>
    <row r="19" spans="1:22" x14ac:dyDescent="0.25">
      <c r="A19" s="7">
        <f>IF($D19="","",COUNTIF($D$4:$D19,"&lt;&gt;"))</f>
      </c>
      <c r="B19" s="8"/>
      <c r="C19" s="7">
        <f>IF($B19="","","BSR "&amp;IFERROR(INDEX('Challan Master'!$B$4:$B$207,MATCH($B19,'Challan Master'!$S$4:$S$207,0)),"")&amp;" | Serial "&amp;IFERROR(INDEX('Challan Master'!$C$4:$C$207,MATCH($B19,'Challan Master'!$S$4:$S$207,0)),"")&amp;" | Deposit "&amp;TEXT(IFERROR(INDEX('Challan Master'!$D$4:$D$207,MATCH($B19,'Challan Master'!$S$4:$S$207,0)),""),"dd-mm-yyyy")&amp;" | Minor Head "&amp;IFERROR(INDEX('Challan Master'!$E$4:$E$207,MATCH($B19,'Challan Master'!$S$4:$S$207,0)),"")&amp;" | Tax ₹"&amp;TEXT(IFERROR(INDEX('Challan Master'!$G$4:$G$207,MATCH($B19,'Challan Master'!$S$4:$S$207,0)),""),"#,##0")&amp;" | Section "&amp;IFERROR(INDEX('Challan Master'!$F$4:$F$207,MATCH($B19,'Challan Master'!$S$4:$S$207,0)),""))</f>
      </c>
      <c r="D19" s="8"/>
      <c r="E19" s="8"/>
      <c r="F19" s="7">
        <f>IF($D19="","",IF(AND(LEN(TRIM(UPPER(E19)))=10,CODE(MID(TRIM(UPPER(E19)),1,1))&gt;=65,CODE(MID(TRIM(UPPER(E19)),1,1))&lt;=90,CODE(MID(TRIM(UPPER(E19)),2,1))&gt;=65,CODE(MID(TRIM(UPPER(E19)),2,1))&lt;=90,CODE(MID(TRIM(UPPER(E19)),3,1))&gt;=65,CODE(MID(TRIM(UPPER(E19)),3,1))&lt;=90,CODE(MID(TRIM(UPPER(E19)),4,1))&gt;=65,CODE(MID(TRIM(UPPER(E19)),4,1))&lt;=90,CODE(MID(TRIM(UPPER(E19)),5,1))&gt;=65,CODE(MID(TRIM(UPPER(E19)),5,1))&lt;=90,CODE(MID(TRIM(UPPER(E19)),10,1))&gt;=65,CODE(MID(TRIM(UPPER(E19)),10,1))&lt;=90,CODE(MID(TRIM(UPPER(E19)),6,1))&gt;=48,CODE(MID(TRIM(UPPER(E19)),6,1))&lt;=57,CODE(MID(TRIM(UPPER(E19)),7,1))&gt;=48,CODE(MID(TRIM(UPPER(E19)),7,1))&lt;=57,CODE(MID(TRIM(UPPER(E19)),8,1))&gt;=48,CODE(MID(TRIM(UPPER(E19)),8,1))&lt;=57,CODE(MID(TRIM(UPPER(E19)),9,1))&gt;=48,CODE(MID(TRIM(UPPER(E19)),9,1))&lt;=57),"N","Y"))</f>
      </c>
      <c r="G19" s="7">
        <f>IF($D19="","",IF(LEN(E19)&lt;4,"",IF(UPPER(MID(E19,4,1))="P","Individual",IF(UPPER(MID(E19,4,1))="H","HUF",IF(UPPER(MID(E19,4,1))="C","Company",IF(UPPER(MID(E19,4,1))="F","Firm",IF(UPPER(MID(E19,4,1))="L","LLP",IF(UPPER(MID(E19,4,1))="T","Trust",IF(UPPER(MID(E19,4,1))="A","AOP","")))))))))</f>
      </c>
      <c r="H19" s="8"/>
      <c r="I19" s="7">
        <f>IF($D19="","",IF(H19="","",IF(F19="Y",SUMPRODUCT(('Rate Lookup'!$A$1:$A$37=H19)*'Rate Lookup'!$D$1:$D$37),IF(OR(G19="Individual",G19="HUF"),SUMPRODUCT(('Rate Lookup'!$A$1:$A$37=H19)*'Rate Lookup'!$B$1:$B$37),SUMPRODUCT(('Rate Lookup'!$A$1:$A$37=H19)*'Rate Lookup'!$C$1:$C$37)))))</f>
      </c>
      <c r="J19" s="8"/>
      <c r="K19" s="8"/>
      <c r="L19" s="7">
        <f>IF($D19="","",ROUND(K19*I19/100,0))</f>
      </c>
      <c r="M19" s="7">
        <f>IF($D19="","",0)</f>
      </c>
      <c r="N19" s="7">
        <f>IF($D19="","",0)</f>
      </c>
      <c r="O19" s="7">
        <f>IF($D19="","",IF(OR(L19=0,J19="",IFERROR(INDEX('Challan Master'!$D$4:$D$207,MATCH($B19,'Challan Master'!$S$4:$S$207,0)),"")="",IFERROR(INDEX('Challan Master'!$D$4:$D$207,MATCH($B19,'Challan Master'!$S$4:$S$207,0)),"")&lt;=0),0,IF(IFERROR(INDEX('Challan Master'!$D$4:$D$207,MATCH($B19,'Challan Master'!$S$4:$S$207,0)),"")&lt;=DATE(YEAR(J19),MONTH(J19)+1,7),0,ROUND(L19*0.015*((YEAR(IFERROR(INDEX('Challan Master'!$D$4:$D$207,MATCH($B19,'Challan Master'!$S$4:$S$207,0)),""))-YEAR(J19))*12+(MONTH(IFERROR(INDEX('Challan Master'!$D$4:$D$207,MATCH($B19,'Challan Master'!$S$4:$S$207,0)),""))-MONTH(J19))+1),0))))</f>
      </c>
      <c r="P19" s="7">
        <f>IF($D19="","",0)</f>
      </c>
      <c r="Q19" s="8"/>
      <c r="R19" s="8"/>
      <c r="S19" s="8"/>
      <c r="T19" s="8"/>
      <c r="U19" s="8"/>
      <c r="V19" s="7">
        <f>IF($B19="","",IFERROR(INDEX('Challan Master'!$AA$4:$AA$207,MATCH($B19,'Challan Master'!$S$4:$S$207,0)),""))</f>
      </c>
    </row>
    <row r="20" spans="1:22" x14ac:dyDescent="0.25">
      <c r="A20" s="7">
        <f>IF($D20="","",COUNTIF($D$4:$D20,"&lt;&gt;"))</f>
      </c>
      <c r="B20" s="8"/>
      <c r="C20" s="7">
        <f>IF($B20="","","BSR "&amp;IFERROR(INDEX('Challan Master'!$B$4:$B$207,MATCH($B20,'Challan Master'!$S$4:$S$207,0)),"")&amp;" | Serial "&amp;IFERROR(INDEX('Challan Master'!$C$4:$C$207,MATCH($B20,'Challan Master'!$S$4:$S$207,0)),"")&amp;" | Deposit "&amp;TEXT(IFERROR(INDEX('Challan Master'!$D$4:$D$207,MATCH($B20,'Challan Master'!$S$4:$S$207,0)),""),"dd-mm-yyyy")&amp;" | Minor Head "&amp;IFERROR(INDEX('Challan Master'!$E$4:$E$207,MATCH($B20,'Challan Master'!$S$4:$S$207,0)),"")&amp;" | Tax ₹"&amp;TEXT(IFERROR(INDEX('Challan Master'!$G$4:$G$207,MATCH($B20,'Challan Master'!$S$4:$S$207,0)),""),"#,##0")&amp;" | Section "&amp;IFERROR(INDEX('Challan Master'!$F$4:$F$207,MATCH($B20,'Challan Master'!$S$4:$S$207,0)),""))</f>
      </c>
      <c r="D20" s="8"/>
      <c r="E20" s="8"/>
      <c r="F20" s="7">
        <f>IF($D20="","",IF(AND(LEN(TRIM(UPPER(E20)))=10,CODE(MID(TRIM(UPPER(E20)),1,1))&gt;=65,CODE(MID(TRIM(UPPER(E20)),1,1))&lt;=90,CODE(MID(TRIM(UPPER(E20)),2,1))&gt;=65,CODE(MID(TRIM(UPPER(E20)),2,1))&lt;=90,CODE(MID(TRIM(UPPER(E20)),3,1))&gt;=65,CODE(MID(TRIM(UPPER(E20)),3,1))&lt;=90,CODE(MID(TRIM(UPPER(E20)),4,1))&gt;=65,CODE(MID(TRIM(UPPER(E20)),4,1))&lt;=90,CODE(MID(TRIM(UPPER(E20)),5,1))&gt;=65,CODE(MID(TRIM(UPPER(E20)),5,1))&lt;=90,CODE(MID(TRIM(UPPER(E20)),10,1))&gt;=65,CODE(MID(TRIM(UPPER(E20)),10,1))&lt;=90,CODE(MID(TRIM(UPPER(E20)),6,1))&gt;=48,CODE(MID(TRIM(UPPER(E20)),6,1))&lt;=57,CODE(MID(TRIM(UPPER(E20)),7,1))&gt;=48,CODE(MID(TRIM(UPPER(E20)),7,1))&lt;=57,CODE(MID(TRIM(UPPER(E20)),8,1))&gt;=48,CODE(MID(TRIM(UPPER(E20)),8,1))&lt;=57,CODE(MID(TRIM(UPPER(E20)),9,1))&gt;=48,CODE(MID(TRIM(UPPER(E20)),9,1))&lt;=57),"N","Y"))</f>
      </c>
      <c r="G20" s="7">
        <f>IF($D20="","",IF(LEN(E20)&lt;4,"",IF(UPPER(MID(E20,4,1))="P","Individual",IF(UPPER(MID(E20,4,1))="H","HUF",IF(UPPER(MID(E20,4,1))="C","Company",IF(UPPER(MID(E20,4,1))="F","Firm",IF(UPPER(MID(E20,4,1))="L","LLP",IF(UPPER(MID(E20,4,1))="T","Trust",IF(UPPER(MID(E20,4,1))="A","AOP","")))))))))</f>
      </c>
      <c r="H20" s="8"/>
      <c r="I20" s="7">
        <f>IF($D20="","",IF(H20="","",IF(F20="Y",SUMPRODUCT(('Rate Lookup'!$A$1:$A$37=H20)*'Rate Lookup'!$D$1:$D$37),IF(OR(G20="Individual",G20="HUF"),SUMPRODUCT(('Rate Lookup'!$A$1:$A$37=H20)*'Rate Lookup'!$B$1:$B$37),SUMPRODUCT(('Rate Lookup'!$A$1:$A$37=H20)*'Rate Lookup'!$C$1:$C$37)))))</f>
      </c>
      <c r="J20" s="8"/>
      <c r="K20" s="8"/>
      <c r="L20" s="7">
        <f>IF($D20="","",ROUND(K20*I20/100,0))</f>
      </c>
      <c r="M20" s="7">
        <f>IF($D20="","",0)</f>
      </c>
      <c r="N20" s="7">
        <f>IF($D20="","",0)</f>
      </c>
      <c r="O20" s="7">
        <f>IF($D20="","",IF(OR(L20=0,J20="",IFERROR(INDEX('Challan Master'!$D$4:$D$207,MATCH($B20,'Challan Master'!$S$4:$S$207,0)),"")="",IFERROR(INDEX('Challan Master'!$D$4:$D$207,MATCH($B20,'Challan Master'!$S$4:$S$207,0)),"")&lt;=0),0,IF(IFERROR(INDEX('Challan Master'!$D$4:$D$207,MATCH($B20,'Challan Master'!$S$4:$S$207,0)),"")&lt;=DATE(YEAR(J20),MONTH(J20)+1,7),0,ROUND(L20*0.015*((YEAR(IFERROR(INDEX('Challan Master'!$D$4:$D$207,MATCH($B20,'Challan Master'!$S$4:$S$207,0)),""))-YEAR(J20))*12+(MONTH(IFERROR(INDEX('Challan Master'!$D$4:$D$207,MATCH($B20,'Challan Master'!$S$4:$S$207,0)),""))-MONTH(J20))+1),0))))</f>
      </c>
      <c r="P20" s="7">
        <f>IF($D20="","",0)</f>
      </c>
      <c r="Q20" s="8"/>
      <c r="R20" s="8"/>
      <c r="S20" s="8"/>
      <c r="T20" s="8"/>
      <c r="U20" s="8"/>
      <c r="V20" s="7">
        <f>IF($B20="","",IFERROR(INDEX('Challan Master'!$AA$4:$AA$207,MATCH($B20,'Challan Master'!$S$4:$S$207,0)),""))</f>
      </c>
    </row>
    <row r="21" spans="1:22" x14ac:dyDescent="0.25">
      <c r="A21" s="7">
        <f>IF($D21="","",COUNTIF($D$4:$D21,"&lt;&gt;"))</f>
      </c>
      <c r="B21" s="8"/>
      <c r="C21" s="7">
        <f>IF($B21="","","BSR "&amp;IFERROR(INDEX('Challan Master'!$B$4:$B$207,MATCH($B21,'Challan Master'!$S$4:$S$207,0)),"")&amp;" | Serial "&amp;IFERROR(INDEX('Challan Master'!$C$4:$C$207,MATCH($B21,'Challan Master'!$S$4:$S$207,0)),"")&amp;" | Deposit "&amp;TEXT(IFERROR(INDEX('Challan Master'!$D$4:$D$207,MATCH($B21,'Challan Master'!$S$4:$S$207,0)),""),"dd-mm-yyyy")&amp;" | Minor Head "&amp;IFERROR(INDEX('Challan Master'!$E$4:$E$207,MATCH($B21,'Challan Master'!$S$4:$S$207,0)),"")&amp;" | Tax ₹"&amp;TEXT(IFERROR(INDEX('Challan Master'!$G$4:$G$207,MATCH($B21,'Challan Master'!$S$4:$S$207,0)),""),"#,##0")&amp;" | Section "&amp;IFERROR(INDEX('Challan Master'!$F$4:$F$207,MATCH($B21,'Challan Master'!$S$4:$S$207,0)),""))</f>
      </c>
      <c r="D21" s="8"/>
      <c r="E21" s="8"/>
      <c r="F21" s="7">
        <f>IF($D21="","",IF(AND(LEN(TRIM(UPPER(E21)))=10,CODE(MID(TRIM(UPPER(E21)),1,1))&gt;=65,CODE(MID(TRIM(UPPER(E21)),1,1))&lt;=90,CODE(MID(TRIM(UPPER(E21)),2,1))&gt;=65,CODE(MID(TRIM(UPPER(E21)),2,1))&lt;=90,CODE(MID(TRIM(UPPER(E21)),3,1))&gt;=65,CODE(MID(TRIM(UPPER(E21)),3,1))&lt;=90,CODE(MID(TRIM(UPPER(E21)),4,1))&gt;=65,CODE(MID(TRIM(UPPER(E21)),4,1))&lt;=90,CODE(MID(TRIM(UPPER(E21)),5,1))&gt;=65,CODE(MID(TRIM(UPPER(E21)),5,1))&lt;=90,CODE(MID(TRIM(UPPER(E21)),10,1))&gt;=65,CODE(MID(TRIM(UPPER(E21)),10,1))&lt;=90,CODE(MID(TRIM(UPPER(E21)),6,1))&gt;=48,CODE(MID(TRIM(UPPER(E21)),6,1))&lt;=57,CODE(MID(TRIM(UPPER(E21)),7,1))&gt;=48,CODE(MID(TRIM(UPPER(E21)),7,1))&lt;=57,CODE(MID(TRIM(UPPER(E21)),8,1))&gt;=48,CODE(MID(TRIM(UPPER(E21)),8,1))&lt;=57,CODE(MID(TRIM(UPPER(E21)),9,1))&gt;=48,CODE(MID(TRIM(UPPER(E21)),9,1))&lt;=57),"N","Y"))</f>
      </c>
      <c r="G21" s="7">
        <f>IF($D21="","",IF(LEN(E21)&lt;4,"",IF(UPPER(MID(E21,4,1))="P","Individual",IF(UPPER(MID(E21,4,1))="H","HUF",IF(UPPER(MID(E21,4,1))="C","Company",IF(UPPER(MID(E21,4,1))="F","Firm",IF(UPPER(MID(E21,4,1))="L","LLP",IF(UPPER(MID(E21,4,1))="T","Trust",IF(UPPER(MID(E21,4,1))="A","AOP","")))))))))</f>
      </c>
      <c r="H21" s="8"/>
      <c r="I21" s="7">
        <f>IF($D21="","",IF(H21="","",IF(F21="Y",SUMPRODUCT(('Rate Lookup'!$A$1:$A$37=H21)*'Rate Lookup'!$D$1:$D$37),IF(OR(G21="Individual",G21="HUF"),SUMPRODUCT(('Rate Lookup'!$A$1:$A$37=H21)*'Rate Lookup'!$B$1:$B$37),SUMPRODUCT(('Rate Lookup'!$A$1:$A$37=H21)*'Rate Lookup'!$C$1:$C$37)))))</f>
      </c>
      <c r="J21" s="8"/>
      <c r="K21" s="8"/>
      <c r="L21" s="7">
        <f>IF($D21="","",ROUND(K21*I21/100,0))</f>
      </c>
      <c r="M21" s="7">
        <f>IF($D21="","",0)</f>
      </c>
      <c r="N21" s="7">
        <f>IF($D21="","",0)</f>
      </c>
      <c r="O21" s="7">
        <f>IF($D21="","",IF(OR(L21=0,J21="",IFERROR(INDEX('Challan Master'!$D$4:$D$207,MATCH($B21,'Challan Master'!$S$4:$S$207,0)),"")="",IFERROR(INDEX('Challan Master'!$D$4:$D$207,MATCH($B21,'Challan Master'!$S$4:$S$207,0)),"")&lt;=0),0,IF(IFERROR(INDEX('Challan Master'!$D$4:$D$207,MATCH($B21,'Challan Master'!$S$4:$S$207,0)),"")&lt;=DATE(YEAR(J21),MONTH(J21)+1,7),0,ROUND(L21*0.015*((YEAR(IFERROR(INDEX('Challan Master'!$D$4:$D$207,MATCH($B21,'Challan Master'!$S$4:$S$207,0)),""))-YEAR(J21))*12+(MONTH(IFERROR(INDEX('Challan Master'!$D$4:$D$207,MATCH($B21,'Challan Master'!$S$4:$S$207,0)),""))-MONTH(J21))+1),0))))</f>
      </c>
      <c r="P21" s="7">
        <f>IF($D21="","",0)</f>
      </c>
      <c r="Q21" s="8"/>
      <c r="R21" s="8"/>
      <c r="S21" s="8"/>
      <c r="T21" s="8"/>
      <c r="U21" s="8"/>
      <c r="V21" s="7">
        <f>IF($B21="","",IFERROR(INDEX('Challan Master'!$AA$4:$AA$207,MATCH($B21,'Challan Master'!$S$4:$S$207,0)),""))</f>
      </c>
    </row>
    <row r="22" spans="1:22" x14ac:dyDescent="0.25">
      <c r="A22" s="7">
        <f>IF($D22="","",COUNTIF($D$4:$D22,"&lt;&gt;"))</f>
      </c>
      <c r="B22" s="8"/>
      <c r="C22" s="7">
        <f>IF($B22="","","BSR "&amp;IFERROR(INDEX('Challan Master'!$B$4:$B$207,MATCH($B22,'Challan Master'!$S$4:$S$207,0)),"")&amp;" | Serial "&amp;IFERROR(INDEX('Challan Master'!$C$4:$C$207,MATCH($B22,'Challan Master'!$S$4:$S$207,0)),"")&amp;" | Deposit "&amp;TEXT(IFERROR(INDEX('Challan Master'!$D$4:$D$207,MATCH($B22,'Challan Master'!$S$4:$S$207,0)),""),"dd-mm-yyyy")&amp;" | Minor Head "&amp;IFERROR(INDEX('Challan Master'!$E$4:$E$207,MATCH($B22,'Challan Master'!$S$4:$S$207,0)),"")&amp;" | Tax ₹"&amp;TEXT(IFERROR(INDEX('Challan Master'!$G$4:$G$207,MATCH($B22,'Challan Master'!$S$4:$S$207,0)),""),"#,##0")&amp;" | Section "&amp;IFERROR(INDEX('Challan Master'!$F$4:$F$207,MATCH($B22,'Challan Master'!$S$4:$S$207,0)),""))</f>
      </c>
      <c r="D22" s="8"/>
      <c r="E22" s="8"/>
      <c r="F22" s="7">
        <f>IF($D22="","",IF(AND(LEN(TRIM(UPPER(E22)))=10,CODE(MID(TRIM(UPPER(E22)),1,1))&gt;=65,CODE(MID(TRIM(UPPER(E22)),1,1))&lt;=90,CODE(MID(TRIM(UPPER(E22)),2,1))&gt;=65,CODE(MID(TRIM(UPPER(E22)),2,1))&lt;=90,CODE(MID(TRIM(UPPER(E22)),3,1))&gt;=65,CODE(MID(TRIM(UPPER(E22)),3,1))&lt;=90,CODE(MID(TRIM(UPPER(E22)),4,1))&gt;=65,CODE(MID(TRIM(UPPER(E22)),4,1))&lt;=90,CODE(MID(TRIM(UPPER(E22)),5,1))&gt;=65,CODE(MID(TRIM(UPPER(E22)),5,1))&lt;=90,CODE(MID(TRIM(UPPER(E22)),10,1))&gt;=65,CODE(MID(TRIM(UPPER(E22)),10,1))&lt;=90,CODE(MID(TRIM(UPPER(E22)),6,1))&gt;=48,CODE(MID(TRIM(UPPER(E22)),6,1))&lt;=57,CODE(MID(TRIM(UPPER(E22)),7,1))&gt;=48,CODE(MID(TRIM(UPPER(E22)),7,1))&lt;=57,CODE(MID(TRIM(UPPER(E22)),8,1))&gt;=48,CODE(MID(TRIM(UPPER(E22)),8,1))&lt;=57,CODE(MID(TRIM(UPPER(E22)),9,1))&gt;=48,CODE(MID(TRIM(UPPER(E22)),9,1))&lt;=57),"N","Y"))</f>
      </c>
      <c r="G22" s="7">
        <f>IF($D22="","",IF(LEN(E22)&lt;4,"",IF(UPPER(MID(E22,4,1))="P","Individual",IF(UPPER(MID(E22,4,1))="H","HUF",IF(UPPER(MID(E22,4,1))="C","Company",IF(UPPER(MID(E22,4,1))="F","Firm",IF(UPPER(MID(E22,4,1))="L","LLP",IF(UPPER(MID(E22,4,1))="T","Trust",IF(UPPER(MID(E22,4,1))="A","AOP","")))))))))</f>
      </c>
      <c r="H22" s="8"/>
      <c r="I22" s="7">
        <f>IF($D22="","",IF(H22="","",IF(F22="Y",SUMPRODUCT(('Rate Lookup'!$A$1:$A$37=H22)*'Rate Lookup'!$D$1:$D$37),IF(OR(G22="Individual",G22="HUF"),SUMPRODUCT(('Rate Lookup'!$A$1:$A$37=H22)*'Rate Lookup'!$B$1:$B$37),SUMPRODUCT(('Rate Lookup'!$A$1:$A$37=H22)*'Rate Lookup'!$C$1:$C$37)))))</f>
      </c>
      <c r="J22" s="8"/>
      <c r="K22" s="8"/>
      <c r="L22" s="7">
        <f>IF($D22="","",ROUND(K22*I22/100,0))</f>
      </c>
      <c r="M22" s="7">
        <f>IF($D22="","",0)</f>
      </c>
      <c r="N22" s="7">
        <f>IF($D22="","",0)</f>
      </c>
      <c r="O22" s="7">
        <f>IF($D22="","",IF(OR(L22=0,J22="",IFERROR(INDEX('Challan Master'!$D$4:$D$207,MATCH($B22,'Challan Master'!$S$4:$S$207,0)),"")="",IFERROR(INDEX('Challan Master'!$D$4:$D$207,MATCH($B22,'Challan Master'!$S$4:$S$207,0)),"")&lt;=0),0,IF(IFERROR(INDEX('Challan Master'!$D$4:$D$207,MATCH($B22,'Challan Master'!$S$4:$S$207,0)),"")&lt;=DATE(YEAR(J22),MONTH(J22)+1,7),0,ROUND(L22*0.015*((YEAR(IFERROR(INDEX('Challan Master'!$D$4:$D$207,MATCH($B22,'Challan Master'!$S$4:$S$207,0)),""))-YEAR(J22))*12+(MONTH(IFERROR(INDEX('Challan Master'!$D$4:$D$207,MATCH($B22,'Challan Master'!$S$4:$S$207,0)),""))-MONTH(J22))+1),0))))</f>
      </c>
      <c r="P22" s="7">
        <f>IF($D22="","",0)</f>
      </c>
      <c r="Q22" s="8"/>
      <c r="R22" s="8"/>
      <c r="S22" s="8"/>
      <c r="T22" s="8"/>
      <c r="U22" s="8"/>
      <c r="V22" s="7">
        <f>IF($B22="","",IFERROR(INDEX('Challan Master'!$AA$4:$AA$207,MATCH($B22,'Challan Master'!$S$4:$S$207,0)),""))</f>
      </c>
    </row>
    <row r="23" spans="1:22" x14ac:dyDescent="0.25">
      <c r="A23" s="7">
        <f>IF($D23="","",COUNTIF($D$4:$D23,"&lt;&gt;"))</f>
      </c>
      <c r="B23" s="8"/>
      <c r="C23" s="7">
        <f>IF($B23="","","BSR "&amp;IFERROR(INDEX('Challan Master'!$B$4:$B$207,MATCH($B23,'Challan Master'!$S$4:$S$207,0)),"")&amp;" | Serial "&amp;IFERROR(INDEX('Challan Master'!$C$4:$C$207,MATCH($B23,'Challan Master'!$S$4:$S$207,0)),"")&amp;" | Deposit "&amp;TEXT(IFERROR(INDEX('Challan Master'!$D$4:$D$207,MATCH($B23,'Challan Master'!$S$4:$S$207,0)),""),"dd-mm-yyyy")&amp;" | Minor Head "&amp;IFERROR(INDEX('Challan Master'!$E$4:$E$207,MATCH($B23,'Challan Master'!$S$4:$S$207,0)),"")&amp;" | Tax ₹"&amp;TEXT(IFERROR(INDEX('Challan Master'!$G$4:$G$207,MATCH($B23,'Challan Master'!$S$4:$S$207,0)),""),"#,##0")&amp;" | Section "&amp;IFERROR(INDEX('Challan Master'!$F$4:$F$207,MATCH($B23,'Challan Master'!$S$4:$S$207,0)),""))</f>
      </c>
      <c r="D23" s="8"/>
      <c r="E23" s="8"/>
      <c r="F23" s="7">
        <f>IF($D23="","",IF(AND(LEN(TRIM(UPPER(E23)))=10,CODE(MID(TRIM(UPPER(E23)),1,1))&gt;=65,CODE(MID(TRIM(UPPER(E23)),1,1))&lt;=90,CODE(MID(TRIM(UPPER(E23)),2,1))&gt;=65,CODE(MID(TRIM(UPPER(E23)),2,1))&lt;=90,CODE(MID(TRIM(UPPER(E23)),3,1))&gt;=65,CODE(MID(TRIM(UPPER(E23)),3,1))&lt;=90,CODE(MID(TRIM(UPPER(E23)),4,1))&gt;=65,CODE(MID(TRIM(UPPER(E23)),4,1))&lt;=90,CODE(MID(TRIM(UPPER(E23)),5,1))&gt;=65,CODE(MID(TRIM(UPPER(E23)),5,1))&lt;=90,CODE(MID(TRIM(UPPER(E23)),10,1))&gt;=65,CODE(MID(TRIM(UPPER(E23)),10,1))&lt;=90,CODE(MID(TRIM(UPPER(E23)),6,1))&gt;=48,CODE(MID(TRIM(UPPER(E23)),6,1))&lt;=57,CODE(MID(TRIM(UPPER(E23)),7,1))&gt;=48,CODE(MID(TRIM(UPPER(E23)),7,1))&lt;=57,CODE(MID(TRIM(UPPER(E23)),8,1))&gt;=48,CODE(MID(TRIM(UPPER(E23)),8,1))&lt;=57,CODE(MID(TRIM(UPPER(E23)),9,1))&gt;=48,CODE(MID(TRIM(UPPER(E23)),9,1))&lt;=57),"N","Y"))</f>
      </c>
      <c r="G23" s="7">
        <f>IF($D23="","",IF(LEN(E23)&lt;4,"",IF(UPPER(MID(E23,4,1))="P","Individual",IF(UPPER(MID(E23,4,1))="H","HUF",IF(UPPER(MID(E23,4,1))="C","Company",IF(UPPER(MID(E23,4,1))="F","Firm",IF(UPPER(MID(E23,4,1))="L","LLP",IF(UPPER(MID(E23,4,1))="T","Trust",IF(UPPER(MID(E23,4,1))="A","AOP","")))))))))</f>
      </c>
      <c r="H23" s="8"/>
      <c r="I23" s="7">
        <f>IF($D23="","",IF(H23="","",IF(F23="Y",SUMPRODUCT(('Rate Lookup'!$A$1:$A$37=H23)*'Rate Lookup'!$D$1:$D$37),IF(OR(G23="Individual",G23="HUF"),SUMPRODUCT(('Rate Lookup'!$A$1:$A$37=H23)*'Rate Lookup'!$B$1:$B$37),SUMPRODUCT(('Rate Lookup'!$A$1:$A$37=H23)*'Rate Lookup'!$C$1:$C$37)))))</f>
      </c>
      <c r="J23" s="8"/>
      <c r="K23" s="8"/>
      <c r="L23" s="7">
        <f>IF($D23="","",ROUND(K23*I23/100,0))</f>
      </c>
      <c r="M23" s="7">
        <f>IF($D23="","",0)</f>
      </c>
      <c r="N23" s="7">
        <f>IF($D23="","",0)</f>
      </c>
      <c r="O23" s="7">
        <f>IF($D23="","",IF(OR(L23=0,J23="",IFERROR(INDEX('Challan Master'!$D$4:$D$207,MATCH($B23,'Challan Master'!$S$4:$S$207,0)),"")="",IFERROR(INDEX('Challan Master'!$D$4:$D$207,MATCH($B23,'Challan Master'!$S$4:$S$207,0)),"")&lt;=0),0,IF(IFERROR(INDEX('Challan Master'!$D$4:$D$207,MATCH($B23,'Challan Master'!$S$4:$S$207,0)),"")&lt;=DATE(YEAR(J23),MONTH(J23)+1,7),0,ROUND(L23*0.015*((YEAR(IFERROR(INDEX('Challan Master'!$D$4:$D$207,MATCH($B23,'Challan Master'!$S$4:$S$207,0)),""))-YEAR(J23))*12+(MONTH(IFERROR(INDEX('Challan Master'!$D$4:$D$207,MATCH($B23,'Challan Master'!$S$4:$S$207,0)),""))-MONTH(J23))+1),0))))</f>
      </c>
      <c r="P23" s="7">
        <f>IF($D23="","",0)</f>
      </c>
      <c r="Q23" s="8"/>
      <c r="R23" s="8"/>
      <c r="S23" s="8"/>
      <c r="T23" s="8"/>
      <c r="U23" s="8"/>
      <c r="V23" s="7">
        <f>IF($B23="","",IFERROR(INDEX('Challan Master'!$AA$4:$AA$207,MATCH($B23,'Challan Master'!$S$4:$S$207,0)),""))</f>
      </c>
    </row>
    <row r="24" spans="1:22" x14ac:dyDescent="0.25">
      <c r="A24" s="7">
        <f>IF($D24="","",COUNTIF($D$4:$D24,"&lt;&gt;"))</f>
      </c>
      <c r="B24" s="8"/>
      <c r="C24" s="7">
        <f>IF($B24="","","BSR "&amp;IFERROR(INDEX('Challan Master'!$B$4:$B$207,MATCH($B24,'Challan Master'!$S$4:$S$207,0)),"")&amp;" | Serial "&amp;IFERROR(INDEX('Challan Master'!$C$4:$C$207,MATCH($B24,'Challan Master'!$S$4:$S$207,0)),"")&amp;" | Deposit "&amp;TEXT(IFERROR(INDEX('Challan Master'!$D$4:$D$207,MATCH($B24,'Challan Master'!$S$4:$S$207,0)),""),"dd-mm-yyyy")&amp;" | Minor Head "&amp;IFERROR(INDEX('Challan Master'!$E$4:$E$207,MATCH($B24,'Challan Master'!$S$4:$S$207,0)),"")&amp;" | Tax ₹"&amp;TEXT(IFERROR(INDEX('Challan Master'!$G$4:$G$207,MATCH($B24,'Challan Master'!$S$4:$S$207,0)),""),"#,##0")&amp;" | Section "&amp;IFERROR(INDEX('Challan Master'!$F$4:$F$207,MATCH($B24,'Challan Master'!$S$4:$S$207,0)),""))</f>
      </c>
      <c r="D24" s="8"/>
      <c r="E24" s="8"/>
      <c r="F24" s="7">
        <f>IF($D24="","",IF(AND(LEN(TRIM(UPPER(E24)))=10,CODE(MID(TRIM(UPPER(E24)),1,1))&gt;=65,CODE(MID(TRIM(UPPER(E24)),1,1))&lt;=90,CODE(MID(TRIM(UPPER(E24)),2,1))&gt;=65,CODE(MID(TRIM(UPPER(E24)),2,1))&lt;=90,CODE(MID(TRIM(UPPER(E24)),3,1))&gt;=65,CODE(MID(TRIM(UPPER(E24)),3,1))&lt;=90,CODE(MID(TRIM(UPPER(E24)),4,1))&gt;=65,CODE(MID(TRIM(UPPER(E24)),4,1))&lt;=90,CODE(MID(TRIM(UPPER(E24)),5,1))&gt;=65,CODE(MID(TRIM(UPPER(E24)),5,1))&lt;=90,CODE(MID(TRIM(UPPER(E24)),10,1))&gt;=65,CODE(MID(TRIM(UPPER(E24)),10,1))&lt;=90,CODE(MID(TRIM(UPPER(E24)),6,1))&gt;=48,CODE(MID(TRIM(UPPER(E24)),6,1))&lt;=57,CODE(MID(TRIM(UPPER(E24)),7,1))&gt;=48,CODE(MID(TRIM(UPPER(E24)),7,1))&lt;=57,CODE(MID(TRIM(UPPER(E24)),8,1))&gt;=48,CODE(MID(TRIM(UPPER(E24)),8,1))&lt;=57,CODE(MID(TRIM(UPPER(E24)),9,1))&gt;=48,CODE(MID(TRIM(UPPER(E24)),9,1))&lt;=57),"N","Y"))</f>
      </c>
      <c r="G24" s="7">
        <f>IF($D24="","",IF(LEN(E24)&lt;4,"",IF(UPPER(MID(E24,4,1))="P","Individual",IF(UPPER(MID(E24,4,1))="H","HUF",IF(UPPER(MID(E24,4,1))="C","Company",IF(UPPER(MID(E24,4,1))="F","Firm",IF(UPPER(MID(E24,4,1))="L","LLP",IF(UPPER(MID(E24,4,1))="T","Trust",IF(UPPER(MID(E24,4,1))="A","AOP","")))))))))</f>
      </c>
      <c r="H24" s="8"/>
      <c r="I24" s="7">
        <f>IF($D24="","",IF(H24="","",IF(F24="Y",SUMPRODUCT(('Rate Lookup'!$A$1:$A$37=H24)*'Rate Lookup'!$D$1:$D$37),IF(OR(G24="Individual",G24="HUF"),SUMPRODUCT(('Rate Lookup'!$A$1:$A$37=H24)*'Rate Lookup'!$B$1:$B$37),SUMPRODUCT(('Rate Lookup'!$A$1:$A$37=H24)*'Rate Lookup'!$C$1:$C$37)))))</f>
      </c>
      <c r="J24" s="8"/>
      <c r="K24" s="8"/>
      <c r="L24" s="7">
        <f>IF($D24="","",ROUND(K24*I24/100,0))</f>
      </c>
      <c r="M24" s="7">
        <f>IF($D24="","",0)</f>
      </c>
      <c r="N24" s="7">
        <f>IF($D24="","",0)</f>
      </c>
      <c r="O24" s="7">
        <f>IF($D24="","",IF(OR(L24=0,J24="",IFERROR(INDEX('Challan Master'!$D$4:$D$207,MATCH($B24,'Challan Master'!$S$4:$S$207,0)),"")="",IFERROR(INDEX('Challan Master'!$D$4:$D$207,MATCH($B24,'Challan Master'!$S$4:$S$207,0)),"")&lt;=0),0,IF(IFERROR(INDEX('Challan Master'!$D$4:$D$207,MATCH($B24,'Challan Master'!$S$4:$S$207,0)),"")&lt;=DATE(YEAR(J24),MONTH(J24)+1,7),0,ROUND(L24*0.015*((YEAR(IFERROR(INDEX('Challan Master'!$D$4:$D$207,MATCH($B24,'Challan Master'!$S$4:$S$207,0)),""))-YEAR(J24))*12+(MONTH(IFERROR(INDEX('Challan Master'!$D$4:$D$207,MATCH($B24,'Challan Master'!$S$4:$S$207,0)),""))-MONTH(J24))+1),0))))</f>
      </c>
      <c r="P24" s="7">
        <f>IF($D24="","",0)</f>
      </c>
      <c r="Q24" s="8"/>
      <c r="R24" s="8"/>
      <c r="S24" s="8"/>
      <c r="T24" s="8"/>
      <c r="U24" s="8"/>
      <c r="V24" s="7">
        <f>IF($B24="","",IFERROR(INDEX('Challan Master'!$AA$4:$AA$207,MATCH($B24,'Challan Master'!$S$4:$S$207,0)),""))</f>
      </c>
    </row>
    <row r="25" spans="1:22" x14ac:dyDescent="0.25">
      <c r="A25" s="7">
        <f>IF($D25="","",COUNTIF($D$4:$D25,"&lt;&gt;"))</f>
      </c>
      <c r="B25" s="8"/>
      <c r="C25" s="7">
        <f>IF($B25="","","BSR "&amp;IFERROR(INDEX('Challan Master'!$B$4:$B$207,MATCH($B25,'Challan Master'!$S$4:$S$207,0)),"")&amp;" | Serial "&amp;IFERROR(INDEX('Challan Master'!$C$4:$C$207,MATCH($B25,'Challan Master'!$S$4:$S$207,0)),"")&amp;" | Deposit "&amp;TEXT(IFERROR(INDEX('Challan Master'!$D$4:$D$207,MATCH($B25,'Challan Master'!$S$4:$S$207,0)),""),"dd-mm-yyyy")&amp;" | Minor Head "&amp;IFERROR(INDEX('Challan Master'!$E$4:$E$207,MATCH($B25,'Challan Master'!$S$4:$S$207,0)),"")&amp;" | Tax ₹"&amp;TEXT(IFERROR(INDEX('Challan Master'!$G$4:$G$207,MATCH($B25,'Challan Master'!$S$4:$S$207,0)),""),"#,##0")&amp;" | Section "&amp;IFERROR(INDEX('Challan Master'!$F$4:$F$207,MATCH($B25,'Challan Master'!$S$4:$S$207,0)),""))</f>
      </c>
      <c r="D25" s="8"/>
      <c r="E25" s="8"/>
      <c r="F25" s="7">
        <f>IF($D25="","",IF(AND(LEN(TRIM(UPPER(E25)))=10,CODE(MID(TRIM(UPPER(E25)),1,1))&gt;=65,CODE(MID(TRIM(UPPER(E25)),1,1))&lt;=90,CODE(MID(TRIM(UPPER(E25)),2,1))&gt;=65,CODE(MID(TRIM(UPPER(E25)),2,1))&lt;=90,CODE(MID(TRIM(UPPER(E25)),3,1))&gt;=65,CODE(MID(TRIM(UPPER(E25)),3,1))&lt;=90,CODE(MID(TRIM(UPPER(E25)),4,1))&gt;=65,CODE(MID(TRIM(UPPER(E25)),4,1))&lt;=90,CODE(MID(TRIM(UPPER(E25)),5,1))&gt;=65,CODE(MID(TRIM(UPPER(E25)),5,1))&lt;=90,CODE(MID(TRIM(UPPER(E25)),10,1))&gt;=65,CODE(MID(TRIM(UPPER(E25)),10,1))&lt;=90,CODE(MID(TRIM(UPPER(E25)),6,1))&gt;=48,CODE(MID(TRIM(UPPER(E25)),6,1))&lt;=57,CODE(MID(TRIM(UPPER(E25)),7,1))&gt;=48,CODE(MID(TRIM(UPPER(E25)),7,1))&lt;=57,CODE(MID(TRIM(UPPER(E25)),8,1))&gt;=48,CODE(MID(TRIM(UPPER(E25)),8,1))&lt;=57,CODE(MID(TRIM(UPPER(E25)),9,1))&gt;=48,CODE(MID(TRIM(UPPER(E25)),9,1))&lt;=57),"N","Y"))</f>
      </c>
      <c r="G25" s="7">
        <f>IF($D25="","",IF(LEN(E25)&lt;4,"",IF(UPPER(MID(E25,4,1))="P","Individual",IF(UPPER(MID(E25,4,1))="H","HUF",IF(UPPER(MID(E25,4,1))="C","Company",IF(UPPER(MID(E25,4,1))="F","Firm",IF(UPPER(MID(E25,4,1))="L","LLP",IF(UPPER(MID(E25,4,1))="T","Trust",IF(UPPER(MID(E25,4,1))="A","AOP","")))))))))</f>
      </c>
      <c r="H25" s="8"/>
      <c r="I25" s="7">
        <f>IF($D25="","",IF(H25="","",IF(F25="Y",SUMPRODUCT(('Rate Lookup'!$A$1:$A$37=H25)*'Rate Lookup'!$D$1:$D$37),IF(OR(G25="Individual",G25="HUF"),SUMPRODUCT(('Rate Lookup'!$A$1:$A$37=H25)*'Rate Lookup'!$B$1:$B$37),SUMPRODUCT(('Rate Lookup'!$A$1:$A$37=H25)*'Rate Lookup'!$C$1:$C$37)))))</f>
      </c>
      <c r="J25" s="8"/>
      <c r="K25" s="8"/>
      <c r="L25" s="7">
        <f>IF($D25="","",ROUND(K25*I25/100,0))</f>
      </c>
      <c r="M25" s="7">
        <f>IF($D25="","",0)</f>
      </c>
      <c r="N25" s="7">
        <f>IF($D25="","",0)</f>
      </c>
      <c r="O25" s="7">
        <f>IF($D25="","",IF(OR(L25=0,J25="",IFERROR(INDEX('Challan Master'!$D$4:$D$207,MATCH($B25,'Challan Master'!$S$4:$S$207,0)),"")="",IFERROR(INDEX('Challan Master'!$D$4:$D$207,MATCH($B25,'Challan Master'!$S$4:$S$207,0)),"")&lt;=0),0,IF(IFERROR(INDEX('Challan Master'!$D$4:$D$207,MATCH($B25,'Challan Master'!$S$4:$S$207,0)),"")&lt;=DATE(YEAR(J25),MONTH(J25)+1,7),0,ROUND(L25*0.015*((YEAR(IFERROR(INDEX('Challan Master'!$D$4:$D$207,MATCH($B25,'Challan Master'!$S$4:$S$207,0)),""))-YEAR(J25))*12+(MONTH(IFERROR(INDEX('Challan Master'!$D$4:$D$207,MATCH($B25,'Challan Master'!$S$4:$S$207,0)),""))-MONTH(J25))+1),0))))</f>
      </c>
      <c r="P25" s="7">
        <f>IF($D25="","",0)</f>
      </c>
      <c r="Q25" s="8"/>
      <c r="R25" s="8"/>
      <c r="S25" s="8"/>
      <c r="T25" s="8"/>
      <c r="U25" s="8"/>
      <c r="V25" s="7">
        <f>IF($B25="","",IFERROR(INDEX('Challan Master'!$AA$4:$AA$207,MATCH($B25,'Challan Master'!$S$4:$S$207,0)),""))</f>
      </c>
    </row>
    <row r="26" spans="1:22" x14ac:dyDescent="0.25">
      <c r="A26" s="7">
        <f>IF($D26="","",COUNTIF($D$4:$D26,"&lt;&gt;"))</f>
      </c>
      <c r="B26" s="8"/>
      <c r="C26" s="7">
        <f>IF($B26="","","BSR "&amp;IFERROR(INDEX('Challan Master'!$B$4:$B$207,MATCH($B26,'Challan Master'!$S$4:$S$207,0)),"")&amp;" | Serial "&amp;IFERROR(INDEX('Challan Master'!$C$4:$C$207,MATCH($B26,'Challan Master'!$S$4:$S$207,0)),"")&amp;" | Deposit "&amp;TEXT(IFERROR(INDEX('Challan Master'!$D$4:$D$207,MATCH($B26,'Challan Master'!$S$4:$S$207,0)),""),"dd-mm-yyyy")&amp;" | Minor Head "&amp;IFERROR(INDEX('Challan Master'!$E$4:$E$207,MATCH($B26,'Challan Master'!$S$4:$S$207,0)),"")&amp;" | Tax ₹"&amp;TEXT(IFERROR(INDEX('Challan Master'!$G$4:$G$207,MATCH($B26,'Challan Master'!$S$4:$S$207,0)),""),"#,##0")&amp;" | Section "&amp;IFERROR(INDEX('Challan Master'!$F$4:$F$207,MATCH($B26,'Challan Master'!$S$4:$S$207,0)),""))</f>
      </c>
      <c r="D26" s="8"/>
      <c r="E26" s="8"/>
      <c r="F26" s="7">
        <f>IF($D26="","",IF(AND(LEN(TRIM(UPPER(E26)))=10,CODE(MID(TRIM(UPPER(E26)),1,1))&gt;=65,CODE(MID(TRIM(UPPER(E26)),1,1))&lt;=90,CODE(MID(TRIM(UPPER(E26)),2,1))&gt;=65,CODE(MID(TRIM(UPPER(E26)),2,1))&lt;=90,CODE(MID(TRIM(UPPER(E26)),3,1))&gt;=65,CODE(MID(TRIM(UPPER(E26)),3,1))&lt;=90,CODE(MID(TRIM(UPPER(E26)),4,1))&gt;=65,CODE(MID(TRIM(UPPER(E26)),4,1))&lt;=90,CODE(MID(TRIM(UPPER(E26)),5,1))&gt;=65,CODE(MID(TRIM(UPPER(E26)),5,1))&lt;=90,CODE(MID(TRIM(UPPER(E26)),10,1))&gt;=65,CODE(MID(TRIM(UPPER(E26)),10,1))&lt;=90,CODE(MID(TRIM(UPPER(E26)),6,1))&gt;=48,CODE(MID(TRIM(UPPER(E26)),6,1))&lt;=57,CODE(MID(TRIM(UPPER(E26)),7,1))&gt;=48,CODE(MID(TRIM(UPPER(E26)),7,1))&lt;=57,CODE(MID(TRIM(UPPER(E26)),8,1))&gt;=48,CODE(MID(TRIM(UPPER(E26)),8,1))&lt;=57,CODE(MID(TRIM(UPPER(E26)),9,1))&gt;=48,CODE(MID(TRIM(UPPER(E26)),9,1))&lt;=57),"N","Y"))</f>
      </c>
      <c r="G26" s="7">
        <f>IF($D26="","",IF(LEN(E26)&lt;4,"",IF(UPPER(MID(E26,4,1))="P","Individual",IF(UPPER(MID(E26,4,1))="H","HUF",IF(UPPER(MID(E26,4,1))="C","Company",IF(UPPER(MID(E26,4,1))="F","Firm",IF(UPPER(MID(E26,4,1))="L","LLP",IF(UPPER(MID(E26,4,1))="T","Trust",IF(UPPER(MID(E26,4,1))="A","AOP","")))))))))</f>
      </c>
      <c r="H26" s="8"/>
      <c r="I26" s="7">
        <f>IF($D26="","",IF(H26="","",IF(F26="Y",SUMPRODUCT(('Rate Lookup'!$A$1:$A$37=H26)*'Rate Lookup'!$D$1:$D$37),IF(OR(G26="Individual",G26="HUF"),SUMPRODUCT(('Rate Lookup'!$A$1:$A$37=H26)*'Rate Lookup'!$B$1:$B$37),SUMPRODUCT(('Rate Lookup'!$A$1:$A$37=H26)*'Rate Lookup'!$C$1:$C$37)))))</f>
      </c>
      <c r="J26" s="8"/>
      <c r="K26" s="8"/>
      <c r="L26" s="7">
        <f>IF($D26="","",ROUND(K26*I26/100,0))</f>
      </c>
      <c r="M26" s="7">
        <f>IF($D26="","",0)</f>
      </c>
      <c r="N26" s="7">
        <f>IF($D26="","",0)</f>
      </c>
      <c r="O26" s="7">
        <f>IF($D26="","",IF(OR(L26=0,J26="",IFERROR(INDEX('Challan Master'!$D$4:$D$207,MATCH($B26,'Challan Master'!$S$4:$S$207,0)),"")="",IFERROR(INDEX('Challan Master'!$D$4:$D$207,MATCH($B26,'Challan Master'!$S$4:$S$207,0)),"")&lt;=0),0,IF(IFERROR(INDEX('Challan Master'!$D$4:$D$207,MATCH($B26,'Challan Master'!$S$4:$S$207,0)),"")&lt;=DATE(YEAR(J26),MONTH(J26)+1,7),0,ROUND(L26*0.015*((YEAR(IFERROR(INDEX('Challan Master'!$D$4:$D$207,MATCH($B26,'Challan Master'!$S$4:$S$207,0)),""))-YEAR(J26))*12+(MONTH(IFERROR(INDEX('Challan Master'!$D$4:$D$207,MATCH($B26,'Challan Master'!$S$4:$S$207,0)),""))-MONTH(J26))+1),0))))</f>
      </c>
      <c r="P26" s="7">
        <f>IF($D26="","",0)</f>
      </c>
      <c r="Q26" s="8"/>
      <c r="R26" s="8"/>
      <c r="S26" s="8"/>
      <c r="T26" s="8"/>
      <c r="U26" s="8"/>
      <c r="V26" s="7">
        <f>IF($B26="","",IFERROR(INDEX('Challan Master'!$AA$4:$AA$207,MATCH($B26,'Challan Master'!$S$4:$S$207,0)),""))</f>
      </c>
    </row>
    <row r="27" spans="1:22" x14ac:dyDescent="0.25">
      <c r="A27" s="7">
        <f>IF($D27="","",COUNTIF($D$4:$D27,"&lt;&gt;"))</f>
      </c>
      <c r="B27" s="8"/>
      <c r="C27" s="7">
        <f>IF($B27="","","BSR "&amp;IFERROR(INDEX('Challan Master'!$B$4:$B$207,MATCH($B27,'Challan Master'!$S$4:$S$207,0)),"")&amp;" | Serial "&amp;IFERROR(INDEX('Challan Master'!$C$4:$C$207,MATCH($B27,'Challan Master'!$S$4:$S$207,0)),"")&amp;" | Deposit "&amp;TEXT(IFERROR(INDEX('Challan Master'!$D$4:$D$207,MATCH($B27,'Challan Master'!$S$4:$S$207,0)),""),"dd-mm-yyyy")&amp;" | Minor Head "&amp;IFERROR(INDEX('Challan Master'!$E$4:$E$207,MATCH($B27,'Challan Master'!$S$4:$S$207,0)),"")&amp;" | Tax ₹"&amp;TEXT(IFERROR(INDEX('Challan Master'!$G$4:$G$207,MATCH($B27,'Challan Master'!$S$4:$S$207,0)),""),"#,##0")&amp;" | Section "&amp;IFERROR(INDEX('Challan Master'!$F$4:$F$207,MATCH($B27,'Challan Master'!$S$4:$S$207,0)),""))</f>
      </c>
      <c r="D27" s="8"/>
      <c r="E27" s="8"/>
      <c r="F27" s="7">
        <f>IF($D27="","",IF(AND(LEN(TRIM(UPPER(E27)))=10,CODE(MID(TRIM(UPPER(E27)),1,1))&gt;=65,CODE(MID(TRIM(UPPER(E27)),1,1))&lt;=90,CODE(MID(TRIM(UPPER(E27)),2,1))&gt;=65,CODE(MID(TRIM(UPPER(E27)),2,1))&lt;=90,CODE(MID(TRIM(UPPER(E27)),3,1))&gt;=65,CODE(MID(TRIM(UPPER(E27)),3,1))&lt;=90,CODE(MID(TRIM(UPPER(E27)),4,1))&gt;=65,CODE(MID(TRIM(UPPER(E27)),4,1))&lt;=90,CODE(MID(TRIM(UPPER(E27)),5,1))&gt;=65,CODE(MID(TRIM(UPPER(E27)),5,1))&lt;=90,CODE(MID(TRIM(UPPER(E27)),10,1))&gt;=65,CODE(MID(TRIM(UPPER(E27)),10,1))&lt;=90,CODE(MID(TRIM(UPPER(E27)),6,1))&gt;=48,CODE(MID(TRIM(UPPER(E27)),6,1))&lt;=57,CODE(MID(TRIM(UPPER(E27)),7,1))&gt;=48,CODE(MID(TRIM(UPPER(E27)),7,1))&lt;=57,CODE(MID(TRIM(UPPER(E27)),8,1))&gt;=48,CODE(MID(TRIM(UPPER(E27)),8,1))&lt;=57,CODE(MID(TRIM(UPPER(E27)),9,1))&gt;=48,CODE(MID(TRIM(UPPER(E27)),9,1))&lt;=57),"N","Y"))</f>
      </c>
      <c r="G27" s="7">
        <f>IF($D27="","",IF(LEN(E27)&lt;4,"",IF(UPPER(MID(E27,4,1))="P","Individual",IF(UPPER(MID(E27,4,1))="H","HUF",IF(UPPER(MID(E27,4,1))="C","Company",IF(UPPER(MID(E27,4,1))="F","Firm",IF(UPPER(MID(E27,4,1))="L","LLP",IF(UPPER(MID(E27,4,1))="T","Trust",IF(UPPER(MID(E27,4,1))="A","AOP","")))))))))</f>
      </c>
      <c r="H27" s="8"/>
      <c r="I27" s="7">
        <f>IF($D27="","",IF(H27="","",IF(F27="Y",SUMPRODUCT(('Rate Lookup'!$A$1:$A$37=H27)*'Rate Lookup'!$D$1:$D$37),IF(OR(G27="Individual",G27="HUF"),SUMPRODUCT(('Rate Lookup'!$A$1:$A$37=H27)*'Rate Lookup'!$B$1:$B$37),SUMPRODUCT(('Rate Lookup'!$A$1:$A$37=H27)*'Rate Lookup'!$C$1:$C$37)))))</f>
      </c>
      <c r="J27" s="8"/>
      <c r="K27" s="8"/>
      <c r="L27" s="7">
        <f>IF($D27="","",ROUND(K27*I27/100,0))</f>
      </c>
      <c r="M27" s="7">
        <f>IF($D27="","",0)</f>
      </c>
      <c r="N27" s="7">
        <f>IF($D27="","",0)</f>
      </c>
      <c r="O27" s="7">
        <f>IF($D27="","",IF(OR(L27=0,J27="",IFERROR(INDEX('Challan Master'!$D$4:$D$207,MATCH($B27,'Challan Master'!$S$4:$S$207,0)),"")="",IFERROR(INDEX('Challan Master'!$D$4:$D$207,MATCH($B27,'Challan Master'!$S$4:$S$207,0)),"")&lt;=0),0,IF(IFERROR(INDEX('Challan Master'!$D$4:$D$207,MATCH($B27,'Challan Master'!$S$4:$S$207,0)),"")&lt;=DATE(YEAR(J27),MONTH(J27)+1,7),0,ROUND(L27*0.015*((YEAR(IFERROR(INDEX('Challan Master'!$D$4:$D$207,MATCH($B27,'Challan Master'!$S$4:$S$207,0)),""))-YEAR(J27))*12+(MONTH(IFERROR(INDEX('Challan Master'!$D$4:$D$207,MATCH($B27,'Challan Master'!$S$4:$S$207,0)),""))-MONTH(J27))+1),0))))</f>
      </c>
      <c r="P27" s="7">
        <f>IF($D27="","",0)</f>
      </c>
      <c r="Q27" s="8"/>
      <c r="R27" s="8"/>
      <c r="S27" s="8"/>
      <c r="T27" s="8"/>
      <c r="U27" s="8"/>
      <c r="V27" s="7">
        <f>IF($B27="","",IFERROR(INDEX('Challan Master'!$AA$4:$AA$207,MATCH($B27,'Challan Master'!$S$4:$S$207,0)),""))</f>
      </c>
    </row>
    <row r="28" spans="1:22" x14ac:dyDescent="0.25">
      <c r="A28" s="7">
        <f>IF($D28="","",COUNTIF($D$4:$D28,"&lt;&gt;"))</f>
      </c>
      <c r="B28" s="8"/>
      <c r="C28" s="7">
        <f>IF($B28="","","BSR "&amp;IFERROR(INDEX('Challan Master'!$B$4:$B$207,MATCH($B28,'Challan Master'!$S$4:$S$207,0)),"")&amp;" | Serial "&amp;IFERROR(INDEX('Challan Master'!$C$4:$C$207,MATCH($B28,'Challan Master'!$S$4:$S$207,0)),"")&amp;" | Deposit "&amp;TEXT(IFERROR(INDEX('Challan Master'!$D$4:$D$207,MATCH($B28,'Challan Master'!$S$4:$S$207,0)),""),"dd-mm-yyyy")&amp;" | Minor Head "&amp;IFERROR(INDEX('Challan Master'!$E$4:$E$207,MATCH($B28,'Challan Master'!$S$4:$S$207,0)),"")&amp;" | Tax ₹"&amp;TEXT(IFERROR(INDEX('Challan Master'!$G$4:$G$207,MATCH($B28,'Challan Master'!$S$4:$S$207,0)),""),"#,##0")&amp;" | Section "&amp;IFERROR(INDEX('Challan Master'!$F$4:$F$207,MATCH($B28,'Challan Master'!$S$4:$S$207,0)),""))</f>
      </c>
      <c r="D28" s="8"/>
      <c r="E28" s="8"/>
      <c r="F28" s="7">
        <f>IF($D28="","",IF(AND(LEN(TRIM(UPPER(E28)))=10,CODE(MID(TRIM(UPPER(E28)),1,1))&gt;=65,CODE(MID(TRIM(UPPER(E28)),1,1))&lt;=90,CODE(MID(TRIM(UPPER(E28)),2,1))&gt;=65,CODE(MID(TRIM(UPPER(E28)),2,1))&lt;=90,CODE(MID(TRIM(UPPER(E28)),3,1))&gt;=65,CODE(MID(TRIM(UPPER(E28)),3,1))&lt;=90,CODE(MID(TRIM(UPPER(E28)),4,1))&gt;=65,CODE(MID(TRIM(UPPER(E28)),4,1))&lt;=90,CODE(MID(TRIM(UPPER(E28)),5,1))&gt;=65,CODE(MID(TRIM(UPPER(E28)),5,1))&lt;=90,CODE(MID(TRIM(UPPER(E28)),10,1))&gt;=65,CODE(MID(TRIM(UPPER(E28)),10,1))&lt;=90,CODE(MID(TRIM(UPPER(E28)),6,1))&gt;=48,CODE(MID(TRIM(UPPER(E28)),6,1))&lt;=57,CODE(MID(TRIM(UPPER(E28)),7,1))&gt;=48,CODE(MID(TRIM(UPPER(E28)),7,1))&lt;=57,CODE(MID(TRIM(UPPER(E28)),8,1))&gt;=48,CODE(MID(TRIM(UPPER(E28)),8,1))&lt;=57,CODE(MID(TRIM(UPPER(E28)),9,1))&gt;=48,CODE(MID(TRIM(UPPER(E28)),9,1))&lt;=57),"N","Y"))</f>
      </c>
      <c r="G28" s="7">
        <f>IF($D28="","",IF(LEN(E28)&lt;4,"",IF(UPPER(MID(E28,4,1))="P","Individual",IF(UPPER(MID(E28,4,1))="H","HUF",IF(UPPER(MID(E28,4,1))="C","Company",IF(UPPER(MID(E28,4,1))="F","Firm",IF(UPPER(MID(E28,4,1))="L","LLP",IF(UPPER(MID(E28,4,1))="T","Trust",IF(UPPER(MID(E28,4,1))="A","AOP","")))))))))</f>
      </c>
      <c r="H28" s="8"/>
      <c r="I28" s="7">
        <f>IF($D28="","",IF(H28="","",IF(F28="Y",SUMPRODUCT(('Rate Lookup'!$A$1:$A$37=H28)*'Rate Lookup'!$D$1:$D$37),IF(OR(G28="Individual",G28="HUF"),SUMPRODUCT(('Rate Lookup'!$A$1:$A$37=H28)*'Rate Lookup'!$B$1:$B$37),SUMPRODUCT(('Rate Lookup'!$A$1:$A$37=H28)*'Rate Lookup'!$C$1:$C$37)))))</f>
      </c>
      <c r="J28" s="8"/>
      <c r="K28" s="8"/>
      <c r="L28" s="7">
        <f>IF($D28="","",ROUND(K28*I28/100,0))</f>
      </c>
      <c r="M28" s="7">
        <f>IF($D28="","",0)</f>
      </c>
      <c r="N28" s="7">
        <f>IF($D28="","",0)</f>
      </c>
      <c r="O28" s="7">
        <f>IF($D28="","",IF(OR(L28=0,J28="",IFERROR(INDEX('Challan Master'!$D$4:$D$207,MATCH($B28,'Challan Master'!$S$4:$S$207,0)),"")="",IFERROR(INDEX('Challan Master'!$D$4:$D$207,MATCH($B28,'Challan Master'!$S$4:$S$207,0)),"")&lt;=0),0,IF(IFERROR(INDEX('Challan Master'!$D$4:$D$207,MATCH($B28,'Challan Master'!$S$4:$S$207,0)),"")&lt;=DATE(YEAR(J28),MONTH(J28)+1,7),0,ROUND(L28*0.015*((YEAR(IFERROR(INDEX('Challan Master'!$D$4:$D$207,MATCH($B28,'Challan Master'!$S$4:$S$207,0)),""))-YEAR(J28))*12+(MONTH(IFERROR(INDEX('Challan Master'!$D$4:$D$207,MATCH($B28,'Challan Master'!$S$4:$S$207,0)),""))-MONTH(J28))+1),0))))</f>
      </c>
      <c r="P28" s="7">
        <f>IF($D28="","",0)</f>
      </c>
      <c r="Q28" s="8"/>
      <c r="R28" s="8"/>
      <c r="S28" s="8"/>
      <c r="T28" s="8"/>
      <c r="U28" s="8"/>
      <c r="V28" s="7">
        <f>IF($B28="","",IFERROR(INDEX('Challan Master'!$AA$4:$AA$207,MATCH($B28,'Challan Master'!$S$4:$S$207,0)),""))</f>
      </c>
    </row>
    <row r="29" spans="1:22" x14ac:dyDescent="0.25">
      <c r="A29" s="7">
        <f>IF($D29="","",COUNTIF($D$4:$D29,"&lt;&gt;"))</f>
      </c>
      <c r="B29" s="8"/>
      <c r="C29" s="7">
        <f>IF($B29="","","BSR "&amp;IFERROR(INDEX('Challan Master'!$B$4:$B$207,MATCH($B29,'Challan Master'!$S$4:$S$207,0)),"")&amp;" | Serial "&amp;IFERROR(INDEX('Challan Master'!$C$4:$C$207,MATCH($B29,'Challan Master'!$S$4:$S$207,0)),"")&amp;" | Deposit "&amp;TEXT(IFERROR(INDEX('Challan Master'!$D$4:$D$207,MATCH($B29,'Challan Master'!$S$4:$S$207,0)),""),"dd-mm-yyyy")&amp;" | Minor Head "&amp;IFERROR(INDEX('Challan Master'!$E$4:$E$207,MATCH($B29,'Challan Master'!$S$4:$S$207,0)),"")&amp;" | Tax ₹"&amp;TEXT(IFERROR(INDEX('Challan Master'!$G$4:$G$207,MATCH($B29,'Challan Master'!$S$4:$S$207,0)),""),"#,##0")&amp;" | Section "&amp;IFERROR(INDEX('Challan Master'!$F$4:$F$207,MATCH($B29,'Challan Master'!$S$4:$S$207,0)),""))</f>
      </c>
      <c r="D29" s="8"/>
      <c r="E29" s="8"/>
      <c r="F29" s="7">
        <f>IF($D29="","",IF(AND(LEN(TRIM(UPPER(E29)))=10,CODE(MID(TRIM(UPPER(E29)),1,1))&gt;=65,CODE(MID(TRIM(UPPER(E29)),1,1))&lt;=90,CODE(MID(TRIM(UPPER(E29)),2,1))&gt;=65,CODE(MID(TRIM(UPPER(E29)),2,1))&lt;=90,CODE(MID(TRIM(UPPER(E29)),3,1))&gt;=65,CODE(MID(TRIM(UPPER(E29)),3,1))&lt;=90,CODE(MID(TRIM(UPPER(E29)),4,1))&gt;=65,CODE(MID(TRIM(UPPER(E29)),4,1))&lt;=90,CODE(MID(TRIM(UPPER(E29)),5,1))&gt;=65,CODE(MID(TRIM(UPPER(E29)),5,1))&lt;=90,CODE(MID(TRIM(UPPER(E29)),10,1))&gt;=65,CODE(MID(TRIM(UPPER(E29)),10,1))&lt;=90,CODE(MID(TRIM(UPPER(E29)),6,1))&gt;=48,CODE(MID(TRIM(UPPER(E29)),6,1))&lt;=57,CODE(MID(TRIM(UPPER(E29)),7,1))&gt;=48,CODE(MID(TRIM(UPPER(E29)),7,1))&lt;=57,CODE(MID(TRIM(UPPER(E29)),8,1))&gt;=48,CODE(MID(TRIM(UPPER(E29)),8,1))&lt;=57,CODE(MID(TRIM(UPPER(E29)),9,1))&gt;=48,CODE(MID(TRIM(UPPER(E29)),9,1))&lt;=57),"N","Y"))</f>
      </c>
      <c r="G29" s="7">
        <f>IF($D29="","",IF(LEN(E29)&lt;4,"",IF(UPPER(MID(E29,4,1))="P","Individual",IF(UPPER(MID(E29,4,1))="H","HUF",IF(UPPER(MID(E29,4,1))="C","Company",IF(UPPER(MID(E29,4,1))="F","Firm",IF(UPPER(MID(E29,4,1))="L","LLP",IF(UPPER(MID(E29,4,1))="T","Trust",IF(UPPER(MID(E29,4,1))="A","AOP","")))))))))</f>
      </c>
      <c r="H29" s="8"/>
      <c r="I29" s="7">
        <f>IF($D29="","",IF(H29="","",IF(F29="Y",SUMPRODUCT(('Rate Lookup'!$A$1:$A$37=H29)*'Rate Lookup'!$D$1:$D$37),IF(OR(G29="Individual",G29="HUF"),SUMPRODUCT(('Rate Lookup'!$A$1:$A$37=H29)*'Rate Lookup'!$B$1:$B$37),SUMPRODUCT(('Rate Lookup'!$A$1:$A$37=H29)*'Rate Lookup'!$C$1:$C$37)))))</f>
      </c>
      <c r="J29" s="8"/>
      <c r="K29" s="8"/>
      <c r="L29" s="7">
        <f>IF($D29="","",ROUND(K29*I29/100,0))</f>
      </c>
      <c r="M29" s="7">
        <f>IF($D29="","",0)</f>
      </c>
      <c r="N29" s="7">
        <f>IF($D29="","",0)</f>
      </c>
      <c r="O29" s="7">
        <f>IF($D29="","",IF(OR(L29=0,J29="",IFERROR(INDEX('Challan Master'!$D$4:$D$207,MATCH($B29,'Challan Master'!$S$4:$S$207,0)),"")="",IFERROR(INDEX('Challan Master'!$D$4:$D$207,MATCH($B29,'Challan Master'!$S$4:$S$207,0)),"")&lt;=0),0,IF(IFERROR(INDEX('Challan Master'!$D$4:$D$207,MATCH($B29,'Challan Master'!$S$4:$S$207,0)),"")&lt;=DATE(YEAR(J29),MONTH(J29)+1,7),0,ROUND(L29*0.015*((YEAR(IFERROR(INDEX('Challan Master'!$D$4:$D$207,MATCH($B29,'Challan Master'!$S$4:$S$207,0)),""))-YEAR(J29))*12+(MONTH(IFERROR(INDEX('Challan Master'!$D$4:$D$207,MATCH($B29,'Challan Master'!$S$4:$S$207,0)),""))-MONTH(J29))+1),0))))</f>
      </c>
      <c r="P29" s="7">
        <f>IF($D29="","",0)</f>
      </c>
      <c r="Q29" s="8"/>
      <c r="R29" s="8"/>
      <c r="S29" s="8"/>
      <c r="T29" s="8"/>
      <c r="U29" s="8"/>
      <c r="V29" s="7">
        <f>IF($B29="","",IFERROR(INDEX('Challan Master'!$AA$4:$AA$207,MATCH($B29,'Challan Master'!$S$4:$S$207,0)),""))</f>
      </c>
    </row>
    <row r="30" spans="1:22" x14ac:dyDescent="0.25">
      <c r="A30" s="7">
        <f>IF($D30="","",COUNTIF($D$4:$D30,"&lt;&gt;"))</f>
      </c>
      <c r="B30" s="8"/>
      <c r="C30" s="7">
        <f>IF($B30="","","BSR "&amp;IFERROR(INDEX('Challan Master'!$B$4:$B$207,MATCH($B30,'Challan Master'!$S$4:$S$207,0)),"")&amp;" | Serial "&amp;IFERROR(INDEX('Challan Master'!$C$4:$C$207,MATCH($B30,'Challan Master'!$S$4:$S$207,0)),"")&amp;" | Deposit "&amp;TEXT(IFERROR(INDEX('Challan Master'!$D$4:$D$207,MATCH($B30,'Challan Master'!$S$4:$S$207,0)),""),"dd-mm-yyyy")&amp;" | Minor Head "&amp;IFERROR(INDEX('Challan Master'!$E$4:$E$207,MATCH($B30,'Challan Master'!$S$4:$S$207,0)),"")&amp;" | Tax ₹"&amp;TEXT(IFERROR(INDEX('Challan Master'!$G$4:$G$207,MATCH($B30,'Challan Master'!$S$4:$S$207,0)),""),"#,##0")&amp;" | Section "&amp;IFERROR(INDEX('Challan Master'!$F$4:$F$207,MATCH($B30,'Challan Master'!$S$4:$S$207,0)),""))</f>
      </c>
      <c r="D30" s="8"/>
      <c r="E30" s="8"/>
      <c r="F30" s="7">
        <f>IF($D30="","",IF(AND(LEN(TRIM(UPPER(E30)))=10,CODE(MID(TRIM(UPPER(E30)),1,1))&gt;=65,CODE(MID(TRIM(UPPER(E30)),1,1))&lt;=90,CODE(MID(TRIM(UPPER(E30)),2,1))&gt;=65,CODE(MID(TRIM(UPPER(E30)),2,1))&lt;=90,CODE(MID(TRIM(UPPER(E30)),3,1))&gt;=65,CODE(MID(TRIM(UPPER(E30)),3,1))&lt;=90,CODE(MID(TRIM(UPPER(E30)),4,1))&gt;=65,CODE(MID(TRIM(UPPER(E30)),4,1))&lt;=90,CODE(MID(TRIM(UPPER(E30)),5,1))&gt;=65,CODE(MID(TRIM(UPPER(E30)),5,1))&lt;=90,CODE(MID(TRIM(UPPER(E30)),10,1))&gt;=65,CODE(MID(TRIM(UPPER(E30)),10,1))&lt;=90,CODE(MID(TRIM(UPPER(E30)),6,1))&gt;=48,CODE(MID(TRIM(UPPER(E30)),6,1))&lt;=57,CODE(MID(TRIM(UPPER(E30)),7,1))&gt;=48,CODE(MID(TRIM(UPPER(E30)),7,1))&lt;=57,CODE(MID(TRIM(UPPER(E30)),8,1))&gt;=48,CODE(MID(TRIM(UPPER(E30)),8,1))&lt;=57,CODE(MID(TRIM(UPPER(E30)),9,1))&gt;=48,CODE(MID(TRIM(UPPER(E30)),9,1))&lt;=57),"N","Y"))</f>
      </c>
      <c r="G30" s="7">
        <f>IF($D30="","",IF(LEN(E30)&lt;4,"",IF(UPPER(MID(E30,4,1))="P","Individual",IF(UPPER(MID(E30,4,1))="H","HUF",IF(UPPER(MID(E30,4,1))="C","Company",IF(UPPER(MID(E30,4,1))="F","Firm",IF(UPPER(MID(E30,4,1))="L","LLP",IF(UPPER(MID(E30,4,1))="T","Trust",IF(UPPER(MID(E30,4,1))="A","AOP","")))))))))</f>
      </c>
      <c r="H30" s="8"/>
      <c r="I30" s="7">
        <f>IF($D30="","",IF(H30="","",IF(F30="Y",SUMPRODUCT(('Rate Lookup'!$A$1:$A$37=H30)*'Rate Lookup'!$D$1:$D$37),IF(OR(G30="Individual",G30="HUF"),SUMPRODUCT(('Rate Lookup'!$A$1:$A$37=H30)*'Rate Lookup'!$B$1:$B$37),SUMPRODUCT(('Rate Lookup'!$A$1:$A$37=H30)*'Rate Lookup'!$C$1:$C$37)))))</f>
      </c>
      <c r="J30" s="8"/>
      <c r="K30" s="8"/>
      <c r="L30" s="7">
        <f>IF($D30="","",ROUND(K30*I30/100,0))</f>
      </c>
      <c r="M30" s="7">
        <f>IF($D30="","",0)</f>
      </c>
      <c r="N30" s="7">
        <f>IF($D30="","",0)</f>
      </c>
      <c r="O30" s="7">
        <f>IF($D30="","",IF(OR(L30=0,J30="",IFERROR(INDEX('Challan Master'!$D$4:$D$207,MATCH($B30,'Challan Master'!$S$4:$S$207,0)),"")="",IFERROR(INDEX('Challan Master'!$D$4:$D$207,MATCH($B30,'Challan Master'!$S$4:$S$207,0)),"")&lt;=0),0,IF(IFERROR(INDEX('Challan Master'!$D$4:$D$207,MATCH($B30,'Challan Master'!$S$4:$S$207,0)),"")&lt;=DATE(YEAR(J30),MONTH(J30)+1,7),0,ROUND(L30*0.015*((YEAR(IFERROR(INDEX('Challan Master'!$D$4:$D$207,MATCH($B30,'Challan Master'!$S$4:$S$207,0)),""))-YEAR(J30))*12+(MONTH(IFERROR(INDEX('Challan Master'!$D$4:$D$207,MATCH($B30,'Challan Master'!$S$4:$S$207,0)),""))-MONTH(J30))+1),0))))</f>
      </c>
      <c r="P30" s="7">
        <f>IF($D30="","",0)</f>
      </c>
      <c r="Q30" s="8"/>
      <c r="R30" s="8"/>
      <c r="S30" s="8"/>
      <c r="T30" s="8"/>
      <c r="U30" s="8"/>
      <c r="V30" s="7">
        <f>IF($B30="","",IFERROR(INDEX('Challan Master'!$AA$4:$AA$207,MATCH($B30,'Challan Master'!$S$4:$S$207,0)),""))</f>
      </c>
    </row>
    <row r="31" spans="1:22" x14ac:dyDescent="0.25">
      <c r="A31" s="7">
        <f>IF($D31="","",COUNTIF($D$4:$D31,"&lt;&gt;"))</f>
      </c>
      <c r="B31" s="8"/>
      <c r="C31" s="7">
        <f>IF($B31="","","BSR "&amp;IFERROR(INDEX('Challan Master'!$B$4:$B$207,MATCH($B31,'Challan Master'!$S$4:$S$207,0)),"")&amp;" | Serial "&amp;IFERROR(INDEX('Challan Master'!$C$4:$C$207,MATCH($B31,'Challan Master'!$S$4:$S$207,0)),"")&amp;" | Deposit "&amp;TEXT(IFERROR(INDEX('Challan Master'!$D$4:$D$207,MATCH($B31,'Challan Master'!$S$4:$S$207,0)),""),"dd-mm-yyyy")&amp;" | Minor Head "&amp;IFERROR(INDEX('Challan Master'!$E$4:$E$207,MATCH($B31,'Challan Master'!$S$4:$S$207,0)),"")&amp;" | Tax ₹"&amp;TEXT(IFERROR(INDEX('Challan Master'!$G$4:$G$207,MATCH($B31,'Challan Master'!$S$4:$S$207,0)),""),"#,##0")&amp;" | Section "&amp;IFERROR(INDEX('Challan Master'!$F$4:$F$207,MATCH($B31,'Challan Master'!$S$4:$S$207,0)),""))</f>
      </c>
      <c r="D31" s="8"/>
      <c r="E31" s="8"/>
      <c r="F31" s="7">
        <f>IF($D31="","",IF(AND(LEN(TRIM(UPPER(E31)))=10,CODE(MID(TRIM(UPPER(E31)),1,1))&gt;=65,CODE(MID(TRIM(UPPER(E31)),1,1))&lt;=90,CODE(MID(TRIM(UPPER(E31)),2,1))&gt;=65,CODE(MID(TRIM(UPPER(E31)),2,1))&lt;=90,CODE(MID(TRIM(UPPER(E31)),3,1))&gt;=65,CODE(MID(TRIM(UPPER(E31)),3,1))&lt;=90,CODE(MID(TRIM(UPPER(E31)),4,1))&gt;=65,CODE(MID(TRIM(UPPER(E31)),4,1))&lt;=90,CODE(MID(TRIM(UPPER(E31)),5,1))&gt;=65,CODE(MID(TRIM(UPPER(E31)),5,1))&lt;=90,CODE(MID(TRIM(UPPER(E31)),10,1))&gt;=65,CODE(MID(TRIM(UPPER(E31)),10,1))&lt;=90,CODE(MID(TRIM(UPPER(E31)),6,1))&gt;=48,CODE(MID(TRIM(UPPER(E31)),6,1))&lt;=57,CODE(MID(TRIM(UPPER(E31)),7,1))&gt;=48,CODE(MID(TRIM(UPPER(E31)),7,1))&lt;=57,CODE(MID(TRIM(UPPER(E31)),8,1))&gt;=48,CODE(MID(TRIM(UPPER(E31)),8,1))&lt;=57,CODE(MID(TRIM(UPPER(E31)),9,1))&gt;=48,CODE(MID(TRIM(UPPER(E31)),9,1))&lt;=57),"N","Y"))</f>
      </c>
      <c r="G31" s="7">
        <f>IF($D31="","",IF(LEN(E31)&lt;4,"",IF(UPPER(MID(E31,4,1))="P","Individual",IF(UPPER(MID(E31,4,1))="H","HUF",IF(UPPER(MID(E31,4,1))="C","Company",IF(UPPER(MID(E31,4,1))="F","Firm",IF(UPPER(MID(E31,4,1))="L","LLP",IF(UPPER(MID(E31,4,1))="T","Trust",IF(UPPER(MID(E31,4,1))="A","AOP","")))))))))</f>
      </c>
      <c r="H31" s="8"/>
      <c r="I31" s="7">
        <f>IF($D31="","",IF(H31="","",IF(F31="Y",SUMPRODUCT(('Rate Lookup'!$A$1:$A$37=H31)*'Rate Lookup'!$D$1:$D$37),IF(OR(G31="Individual",G31="HUF"),SUMPRODUCT(('Rate Lookup'!$A$1:$A$37=H31)*'Rate Lookup'!$B$1:$B$37),SUMPRODUCT(('Rate Lookup'!$A$1:$A$37=H31)*'Rate Lookup'!$C$1:$C$37)))))</f>
      </c>
      <c r="J31" s="8"/>
      <c r="K31" s="8"/>
      <c r="L31" s="7">
        <f>IF($D31="","",ROUND(K31*I31/100,0))</f>
      </c>
      <c r="M31" s="7">
        <f>IF($D31="","",0)</f>
      </c>
      <c r="N31" s="7">
        <f>IF($D31="","",0)</f>
      </c>
      <c r="O31" s="7">
        <f>IF($D31="","",IF(OR(L31=0,J31="",IFERROR(INDEX('Challan Master'!$D$4:$D$207,MATCH($B31,'Challan Master'!$S$4:$S$207,0)),"")="",IFERROR(INDEX('Challan Master'!$D$4:$D$207,MATCH($B31,'Challan Master'!$S$4:$S$207,0)),"")&lt;=0),0,IF(IFERROR(INDEX('Challan Master'!$D$4:$D$207,MATCH($B31,'Challan Master'!$S$4:$S$207,0)),"")&lt;=DATE(YEAR(J31),MONTH(J31)+1,7),0,ROUND(L31*0.015*((YEAR(IFERROR(INDEX('Challan Master'!$D$4:$D$207,MATCH($B31,'Challan Master'!$S$4:$S$207,0)),""))-YEAR(J31))*12+(MONTH(IFERROR(INDEX('Challan Master'!$D$4:$D$207,MATCH($B31,'Challan Master'!$S$4:$S$207,0)),""))-MONTH(J31))+1),0))))</f>
      </c>
      <c r="P31" s="7">
        <f>IF($D31="","",0)</f>
      </c>
      <c r="Q31" s="8"/>
      <c r="R31" s="8"/>
      <c r="S31" s="8"/>
      <c r="T31" s="8"/>
      <c r="U31" s="8"/>
      <c r="V31" s="7">
        <f>IF($B31="","",IFERROR(INDEX('Challan Master'!$AA$4:$AA$207,MATCH($B31,'Challan Master'!$S$4:$S$207,0)),""))</f>
      </c>
    </row>
    <row r="32" spans="1:22" x14ac:dyDescent="0.25">
      <c r="A32" s="7">
        <f>IF($D32="","",COUNTIF($D$4:$D32,"&lt;&gt;"))</f>
      </c>
      <c r="B32" s="8"/>
      <c r="C32" s="7">
        <f>IF($B32="","","BSR "&amp;IFERROR(INDEX('Challan Master'!$B$4:$B$207,MATCH($B32,'Challan Master'!$S$4:$S$207,0)),"")&amp;" | Serial "&amp;IFERROR(INDEX('Challan Master'!$C$4:$C$207,MATCH($B32,'Challan Master'!$S$4:$S$207,0)),"")&amp;" | Deposit "&amp;TEXT(IFERROR(INDEX('Challan Master'!$D$4:$D$207,MATCH($B32,'Challan Master'!$S$4:$S$207,0)),""),"dd-mm-yyyy")&amp;" | Minor Head "&amp;IFERROR(INDEX('Challan Master'!$E$4:$E$207,MATCH($B32,'Challan Master'!$S$4:$S$207,0)),"")&amp;" | Tax ₹"&amp;TEXT(IFERROR(INDEX('Challan Master'!$G$4:$G$207,MATCH($B32,'Challan Master'!$S$4:$S$207,0)),""),"#,##0")&amp;" | Section "&amp;IFERROR(INDEX('Challan Master'!$F$4:$F$207,MATCH($B32,'Challan Master'!$S$4:$S$207,0)),""))</f>
      </c>
      <c r="D32" s="8"/>
      <c r="E32" s="8"/>
      <c r="F32" s="7">
        <f>IF($D32="","",IF(AND(LEN(TRIM(UPPER(E32)))=10,CODE(MID(TRIM(UPPER(E32)),1,1))&gt;=65,CODE(MID(TRIM(UPPER(E32)),1,1))&lt;=90,CODE(MID(TRIM(UPPER(E32)),2,1))&gt;=65,CODE(MID(TRIM(UPPER(E32)),2,1))&lt;=90,CODE(MID(TRIM(UPPER(E32)),3,1))&gt;=65,CODE(MID(TRIM(UPPER(E32)),3,1))&lt;=90,CODE(MID(TRIM(UPPER(E32)),4,1))&gt;=65,CODE(MID(TRIM(UPPER(E32)),4,1))&lt;=90,CODE(MID(TRIM(UPPER(E32)),5,1))&gt;=65,CODE(MID(TRIM(UPPER(E32)),5,1))&lt;=90,CODE(MID(TRIM(UPPER(E32)),10,1))&gt;=65,CODE(MID(TRIM(UPPER(E32)),10,1))&lt;=90,CODE(MID(TRIM(UPPER(E32)),6,1))&gt;=48,CODE(MID(TRIM(UPPER(E32)),6,1))&lt;=57,CODE(MID(TRIM(UPPER(E32)),7,1))&gt;=48,CODE(MID(TRIM(UPPER(E32)),7,1))&lt;=57,CODE(MID(TRIM(UPPER(E32)),8,1))&gt;=48,CODE(MID(TRIM(UPPER(E32)),8,1))&lt;=57,CODE(MID(TRIM(UPPER(E32)),9,1))&gt;=48,CODE(MID(TRIM(UPPER(E32)),9,1))&lt;=57),"N","Y"))</f>
      </c>
      <c r="G32" s="7">
        <f>IF($D32="","",IF(LEN(E32)&lt;4,"",IF(UPPER(MID(E32,4,1))="P","Individual",IF(UPPER(MID(E32,4,1))="H","HUF",IF(UPPER(MID(E32,4,1))="C","Company",IF(UPPER(MID(E32,4,1))="F","Firm",IF(UPPER(MID(E32,4,1))="L","LLP",IF(UPPER(MID(E32,4,1))="T","Trust",IF(UPPER(MID(E32,4,1))="A","AOP","")))))))))</f>
      </c>
      <c r="H32" s="8"/>
      <c r="I32" s="7">
        <f>IF($D32="","",IF(H32="","",IF(F32="Y",SUMPRODUCT(('Rate Lookup'!$A$1:$A$37=H32)*'Rate Lookup'!$D$1:$D$37),IF(OR(G32="Individual",G32="HUF"),SUMPRODUCT(('Rate Lookup'!$A$1:$A$37=H32)*'Rate Lookup'!$B$1:$B$37),SUMPRODUCT(('Rate Lookup'!$A$1:$A$37=H32)*'Rate Lookup'!$C$1:$C$37)))))</f>
      </c>
      <c r="J32" s="8"/>
      <c r="K32" s="8"/>
      <c r="L32" s="7">
        <f>IF($D32="","",ROUND(K32*I32/100,0))</f>
      </c>
      <c r="M32" s="7">
        <f>IF($D32="","",0)</f>
      </c>
      <c r="N32" s="7">
        <f>IF($D32="","",0)</f>
      </c>
      <c r="O32" s="7">
        <f>IF($D32="","",IF(OR(L32=0,J32="",IFERROR(INDEX('Challan Master'!$D$4:$D$207,MATCH($B32,'Challan Master'!$S$4:$S$207,0)),"")="",IFERROR(INDEX('Challan Master'!$D$4:$D$207,MATCH($B32,'Challan Master'!$S$4:$S$207,0)),"")&lt;=0),0,IF(IFERROR(INDEX('Challan Master'!$D$4:$D$207,MATCH($B32,'Challan Master'!$S$4:$S$207,0)),"")&lt;=DATE(YEAR(J32),MONTH(J32)+1,7),0,ROUND(L32*0.015*((YEAR(IFERROR(INDEX('Challan Master'!$D$4:$D$207,MATCH($B32,'Challan Master'!$S$4:$S$207,0)),""))-YEAR(J32))*12+(MONTH(IFERROR(INDEX('Challan Master'!$D$4:$D$207,MATCH($B32,'Challan Master'!$S$4:$S$207,0)),""))-MONTH(J32))+1),0))))</f>
      </c>
      <c r="P32" s="7">
        <f>IF($D32="","",0)</f>
      </c>
      <c r="Q32" s="8"/>
      <c r="R32" s="8"/>
      <c r="S32" s="8"/>
      <c r="T32" s="8"/>
      <c r="U32" s="8"/>
      <c r="V32" s="7">
        <f>IF($B32="","",IFERROR(INDEX('Challan Master'!$AA$4:$AA$207,MATCH($B32,'Challan Master'!$S$4:$S$207,0)),""))</f>
      </c>
    </row>
    <row r="33" spans="1:22" x14ac:dyDescent="0.25">
      <c r="A33" s="7">
        <f>IF($D33="","",COUNTIF($D$4:$D33,"&lt;&gt;"))</f>
      </c>
      <c r="B33" s="8"/>
      <c r="C33" s="7">
        <f>IF($B33="","","BSR "&amp;IFERROR(INDEX('Challan Master'!$B$4:$B$207,MATCH($B33,'Challan Master'!$S$4:$S$207,0)),"")&amp;" | Serial "&amp;IFERROR(INDEX('Challan Master'!$C$4:$C$207,MATCH($B33,'Challan Master'!$S$4:$S$207,0)),"")&amp;" | Deposit "&amp;TEXT(IFERROR(INDEX('Challan Master'!$D$4:$D$207,MATCH($B33,'Challan Master'!$S$4:$S$207,0)),""),"dd-mm-yyyy")&amp;" | Minor Head "&amp;IFERROR(INDEX('Challan Master'!$E$4:$E$207,MATCH($B33,'Challan Master'!$S$4:$S$207,0)),"")&amp;" | Tax ₹"&amp;TEXT(IFERROR(INDEX('Challan Master'!$G$4:$G$207,MATCH($B33,'Challan Master'!$S$4:$S$207,0)),""),"#,##0")&amp;" | Section "&amp;IFERROR(INDEX('Challan Master'!$F$4:$F$207,MATCH($B33,'Challan Master'!$S$4:$S$207,0)),""))</f>
      </c>
      <c r="D33" s="8"/>
      <c r="E33" s="8"/>
      <c r="F33" s="7">
        <f>IF($D33="","",IF(AND(LEN(TRIM(UPPER(E33)))=10,CODE(MID(TRIM(UPPER(E33)),1,1))&gt;=65,CODE(MID(TRIM(UPPER(E33)),1,1))&lt;=90,CODE(MID(TRIM(UPPER(E33)),2,1))&gt;=65,CODE(MID(TRIM(UPPER(E33)),2,1))&lt;=90,CODE(MID(TRIM(UPPER(E33)),3,1))&gt;=65,CODE(MID(TRIM(UPPER(E33)),3,1))&lt;=90,CODE(MID(TRIM(UPPER(E33)),4,1))&gt;=65,CODE(MID(TRIM(UPPER(E33)),4,1))&lt;=90,CODE(MID(TRIM(UPPER(E33)),5,1))&gt;=65,CODE(MID(TRIM(UPPER(E33)),5,1))&lt;=90,CODE(MID(TRIM(UPPER(E33)),10,1))&gt;=65,CODE(MID(TRIM(UPPER(E33)),10,1))&lt;=90,CODE(MID(TRIM(UPPER(E33)),6,1))&gt;=48,CODE(MID(TRIM(UPPER(E33)),6,1))&lt;=57,CODE(MID(TRIM(UPPER(E33)),7,1))&gt;=48,CODE(MID(TRIM(UPPER(E33)),7,1))&lt;=57,CODE(MID(TRIM(UPPER(E33)),8,1))&gt;=48,CODE(MID(TRIM(UPPER(E33)),8,1))&lt;=57,CODE(MID(TRIM(UPPER(E33)),9,1))&gt;=48,CODE(MID(TRIM(UPPER(E33)),9,1))&lt;=57),"N","Y"))</f>
      </c>
      <c r="G33" s="7">
        <f>IF($D33="","",IF(LEN(E33)&lt;4,"",IF(UPPER(MID(E33,4,1))="P","Individual",IF(UPPER(MID(E33,4,1))="H","HUF",IF(UPPER(MID(E33,4,1))="C","Company",IF(UPPER(MID(E33,4,1))="F","Firm",IF(UPPER(MID(E33,4,1))="L","LLP",IF(UPPER(MID(E33,4,1))="T","Trust",IF(UPPER(MID(E33,4,1))="A","AOP","")))))))))</f>
      </c>
      <c r="H33" s="8"/>
      <c r="I33" s="7">
        <f>IF($D33="","",IF(H33="","",IF(F33="Y",SUMPRODUCT(('Rate Lookup'!$A$1:$A$37=H33)*'Rate Lookup'!$D$1:$D$37),IF(OR(G33="Individual",G33="HUF"),SUMPRODUCT(('Rate Lookup'!$A$1:$A$37=H33)*'Rate Lookup'!$B$1:$B$37),SUMPRODUCT(('Rate Lookup'!$A$1:$A$37=H33)*'Rate Lookup'!$C$1:$C$37)))))</f>
      </c>
      <c r="J33" s="8"/>
      <c r="K33" s="8"/>
      <c r="L33" s="7">
        <f>IF($D33="","",ROUND(K33*I33/100,0))</f>
      </c>
      <c r="M33" s="7">
        <f>IF($D33="","",0)</f>
      </c>
      <c r="N33" s="7">
        <f>IF($D33="","",0)</f>
      </c>
      <c r="O33" s="7">
        <f>IF($D33="","",IF(OR(L33=0,J33="",IFERROR(INDEX('Challan Master'!$D$4:$D$207,MATCH($B33,'Challan Master'!$S$4:$S$207,0)),"")="",IFERROR(INDEX('Challan Master'!$D$4:$D$207,MATCH($B33,'Challan Master'!$S$4:$S$207,0)),"")&lt;=0),0,IF(IFERROR(INDEX('Challan Master'!$D$4:$D$207,MATCH($B33,'Challan Master'!$S$4:$S$207,0)),"")&lt;=DATE(YEAR(J33),MONTH(J33)+1,7),0,ROUND(L33*0.015*((YEAR(IFERROR(INDEX('Challan Master'!$D$4:$D$207,MATCH($B33,'Challan Master'!$S$4:$S$207,0)),""))-YEAR(J33))*12+(MONTH(IFERROR(INDEX('Challan Master'!$D$4:$D$207,MATCH($B33,'Challan Master'!$S$4:$S$207,0)),""))-MONTH(J33))+1),0))))</f>
      </c>
      <c r="P33" s="7">
        <f>IF($D33="","",0)</f>
      </c>
      <c r="Q33" s="8"/>
      <c r="R33" s="8"/>
      <c r="S33" s="8"/>
      <c r="T33" s="8"/>
      <c r="U33" s="8"/>
      <c r="V33" s="7">
        <f>IF($B33="","",IFERROR(INDEX('Challan Master'!$AA$4:$AA$207,MATCH($B33,'Challan Master'!$S$4:$S$207,0)),""))</f>
      </c>
    </row>
    <row r="34" spans="1:22" x14ac:dyDescent="0.25">
      <c r="A34" s="7">
        <f>IF($D34="","",COUNTIF($D$4:$D34,"&lt;&gt;"))</f>
      </c>
      <c r="B34" s="8"/>
      <c r="C34" s="7">
        <f>IF($B34="","","BSR "&amp;IFERROR(INDEX('Challan Master'!$B$4:$B$207,MATCH($B34,'Challan Master'!$S$4:$S$207,0)),"")&amp;" | Serial "&amp;IFERROR(INDEX('Challan Master'!$C$4:$C$207,MATCH($B34,'Challan Master'!$S$4:$S$207,0)),"")&amp;" | Deposit "&amp;TEXT(IFERROR(INDEX('Challan Master'!$D$4:$D$207,MATCH($B34,'Challan Master'!$S$4:$S$207,0)),""),"dd-mm-yyyy")&amp;" | Minor Head "&amp;IFERROR(INDEX('Challan Master'!$E$4:$E$207,MATCH($B34,'Challan Master'!$S$4:$S$207,0)),"")&amp;" | Tax ₹"&amp;TEXT(IFERROR(INDEX('Challan Master'!$G$4:$G$207,MATCH($B34,'Challan Master'!$S$4:$S$207,0)),""),"#,##0")&amp;" | Section "&amp;IFERROR(INDEX('Challan Master'!$F$4:$F$207,MATCH($B34,'Challan Master'!$S$4:$S$207,0)),""))</f>
      </c>
      <c r="D34" s="8"/>
      <c r="E34" s="8"/>
      <c r="F34" s="7">
        <f>IF($D34="","",IF(AND(LEN(TRIM(UPPER(E34)))=10,CODE(MID(TRIM(UPPER(E34)),1,1))&gt;=65,CODE(MID(TRIM(UPPER(E34)),1,1))&lt;=90,CODE(MID(TRIM(UPPER(E34)),2,1))&gt;=65,CODE(MID(TRIM(UPPER(E34)),2,1))&lt;=90,CODE(MID(TRIM(UPPER(E34)),3,1))&gt;=65,CODE(MID(TRIM(UPPER(E34)),3,1))&lt;=90,CODE(MID(TRIM(UPPER(E34)),4,1))&gt;=65,CODE(MID(TRIM(UPPER(E34)),4,1))&lt;=90,CODE(MID(TRIM(UPPER(E34)),5,1))&gt;=65,CODE(MID(TRIM(UPPER(E34)),5,1))&lt;=90,CODE(MID(TRIM(UPPER(E34)),10,1))&gt;=65,CODE(MID(TRIM(UPPER(E34)),10,1))&lt;=90,CODE(MID(TRIM(UPPER(E34)),6,1))&gt;=48,CODE(MID(TRIM(UPPER(E34)),6,1))&lt;=57,CODE(MID(TRIM(UPPER(E34)),7,1))&gt;=48,CODE(MID(TRIM(UPPER(E34)),7,1))&lt;=57,CODE(MID(TRIM(UPPER(E34)),8,1))&gt;=48,CODE(MID(TRIM(UPPER(E34)),8,1))&lt;=57,CODE(MID(TRIM(UPPER(E34)),9,1))&gt;=48,CODE(MID(TRIM(UPPER(E34)),9,1))&lt;=57),"N","Y"))</f>
      </c>
      <c r="G34" s="7">
        <f>IF($D34="","",IF(LEN(E34)&lt;4,"",IF(UPPER(MID(E34,4,1))="P","Individual",IF(UPPER(MID(E34,4,1))="H","HUF",IF(UPPER(MID(E34,4,1))="C","Company",IF(UPPER(MID(E34,4,1))="F","Firm",IF(UPPER(MID(E34,4,1))="L","LLP",IF(UPPER(MID(E34,4,1))="T","Trust",IF(UPPER(MID(E34,4,1))="A","AOP","")))))))))</f>
      </c>
      <c r="H34" s="8"/>
      <c r="I34" s="7">
        <f>IF($D34="","",IF(H34="","",IF(F34="Y",SUMPRODUCT(('Rate Lookup'!$A$1:$A$37=H34)*'Rate Lookup'!$D$1:$D$37),IF(OR(G34="Individual",G34="HUF"),SUMPRODUCT(('Rate Lookup'!$A$1:$A$37=H34)*'Rate Lookup'!$B$1:$B$37),SUMPRODUCT(('Rate Lookup'!$A$1:$A$37=H34)*'Rate Lookup'!$C$1:$C$37)))))</f>
      </c>
      <c r="J34" s="8"/>
      <c r="K34" s="8"/>
      <c r="L34" s="7">
        <f>IF($D34="","",ROUND(K34*I34/100,0))</f>
      </c>
      <c r="M34" s="7">
        <f>IF($D34="","",0)</f>
      </c>
      <c r="N34" s="7">
        <f>IF($D34="","",0)</f>
      </c>
      <c r="O34" s="7">
        <f>IF($D34="","",IF(OR(L34=0,J34="",IFERROR(INDEX('Challan Master'!$D$4:$D$207,MATCH($B34,'Challan Master'!$S$4:$S$207,0)),"")="",IFERROR(INDEX('Challan Master'!$D$4:$D$207,MATCH($B34,'Challan Master'!$S$4:$S$207,0)),"")&lt;=0),0,IF(IFERROR(INDEX('Challan Master'!$D$4:$D$207,MATCH($B34,'Challan Master'!$S$4:$S$207,0)),"")&lt;=DATE(YEAR(J34),MONTH(J34)+1,7),0,ROUND(L34*0.015*((YEAR(IFERROR(INDEX('Challan Master'!$D$4:$D$207,MATCH($B34,'Challan Master'!$S$4:$S$207,0)),""))-YEAR(J34))*12+(MONTH(IFERROR(INDEX('Challan Master'!$D$4:$D$207,MATCH($B34,'Challan Master'!$S$4:$S$207,0)),""))-MONTH(J34))+1),0))))</f>
      </c>
      <c r="P34" s="7">
        <f>IF($D34="","",0)</f>
      </c>
      <c r="Q34" s="8"/>
      <c r="R34" s="8"/>
      <c r="S34" s="8"/>
      <c r="T34" s="8"/>
      <c r="U34" s="8"/>
      <c r="V34" s="7">
        <f>IF($B34="","",IFERROR(INDEX('Challan Master'!$AA$4:$AA$207,MATCH($B34,'Challan Master'!$S$4:$S$207,0)),""))</f>
      </c>
    </row>
    <row r="35" spans="1:22" x14ac:dyDescent="0.25">
      <c r="A35" s="7">
        <f>IF($D35="","",COUNTIF($D$4:$D35,"&lt;&gt;"))</f>
      </c>
      <c r="B35" s="8"/>
      <c r="C35" s="7">
        <f>IF($B35="","","BSR "&amp;IFERROR(INDEX('Challan Master'!$B$4:$B$207,MATCH($B35,'Challan Master'!$S$4:$S$207,0)),"")&amp;" | Serial "&amp;IFERROR(INDEX('Challan Master'!$C$4:$C$207,MATCH($B35,'Challan Master'!$S$4:$S$207,0)),"")&amp;" | Deposit "&amp;TEXT(IFERROR(INDEX('Challan Master'!$D$4:$D$207,MATCH($B35,'Challan Master'!$S$4:$S$207,0)),""),"dd-mm-yyyy")&amp;" | Minor Head "&amp;IFERROR(INDEX('Challan Master'!$E$4:$E$207,MATCH($B35,'Challan Master'!$S$4:$S$207,0)),"")&amp;" | Tax ₹"&amp;TEXT(IFERROR(INDEX('Challan Master'!$G$4:$G$207,MATCH($B35,'Challan Master'!$S$4:$S$207,0)),""),"#,##0")&amp;" | Section "&amp;IFERROR(INDEX('Challan Master'!$F$4:$F$207,MATCH($B35,'Challan Master'!$S$4:$S$207,0)),""))</f>
      </c>
      <c r="D35" s="8"/>
      <c r="E35" s="8"/>
      <c r="F35" s="7">
        <f>IF($D35="","",IF(AND(LEN(TRIM(UPPER(E35)))=10,CODE(MID(TRIM(UPPER(E35)),1,1))&gt;=65,CODE(MID(TRIM(UPPER(E35)),1,1))&lt;=90,CODE(MID(TRIM(UPPER(E35)),2,1))&gt;=65,CODE(MID(TRIM(UPPER(E35)),2,1))&lt;=90,CODE(MID(TRIM(UPPER(E35)),3,1))&gt;=65,CODE(MID(TRIM(UPPER(E35)),3,1))&lt;=90,CODE(MID(TRIM(UPPER(E35)),4,1))&gt;=65,CODE(MID(TRIM(UPPER(E35)),4,1))&lt;=90,CODE(MID(TRIM(UPPER(E35)),5,1))&gt;=65,CODE(MID(TRIM(UPPER(E35)),5,1))&lt;=90,CODE(MID(TRIM(UPPER(E35)),10,1))&gt;=65,CODE(MID(TRIM(UPPER(E35)),10,1))&lt;=90,CODE(MID(TRIM(UPPER(E35)),6,1))&gt;=48,CODE(MID(TRIM(UPPER(E35)),6,1))&lt;=57,CODE(MID(TRIM(UPPER(E35)),7,1))&gt;=48,CODE(MID(TRIM(UPPER(E35)),7,1))&lt;=57,CODE(MID(TRIM(UPPER(E35)),8,1))&gt;=48,CODE(MID(TRIM(UPPER(E35)),8,1))&lt;=57,CODE(MID(TRIM(UPPER(E35)),9,1))&gt;=48,CODE(MID(TRIM(UPPER(E35)),9,1))&lt;=57),"N","Y"))</f>
      </c>
      <c r="G35" s="7">
        <f>IF($D35="","",IF(LEN(E35)&lt;4,"",IF(UPPER(MID(E35,4,1))="P","Individual",IF(UPPER(MID(E35,4,1))="H","HUF",IF(UPPER(MID(E35,4,1))="C","Company",IF(UPPER(MID(E35,4,1))="F","Firm",IF(UPPER(MID(E35,4,1))="L","LLP",IF(UPPER(MID(E35,4,1))="T","Trust",IF(UPPER(MID(E35,4,1))="A","AOP","")))))))))</f>
      </c>
      <c r="H35" s="8"/>
      <c r="I35" s="7">
        <f>IF($D35="","",IF(H35="","",IF(F35="Y",SUMPRODUCT(('Rate Lookup'!$A$1:$A$37=H35)*'Rate Lookup'!$D$1:$D$37),IF(OR(G35="Individual",G35="HUF"),SUMPRODUCT(('Rate Lookup'!$A$1:$A$37=H35)*'Rate Lookup'!$B$1:$B$37),SUMPRODUCT(('Rate Lookup'!$A$1:$A$37=H35)*'Rate Lookup'!$C$1:$C$37)))))</f>
      </c>
      <c r="J35" s="8"/>
      <c r="K35" s="8"/>
      <c r="L35" s="7">
        <f>IF($D35="","",ROUND(K35*I35/100,0))</f>
      </c>
      <c r="M35" s="7">
        <f>IF($D35="","",0)</f>
      </c>
      <c r="N35" s="7">
        <f>IF($D35="","",0)</f>
      </c>
      <c r="O35" s="7">
        <f>IF($D35="","",IF(OR(L35=0,J35="",IFERROR(INDEX('Challan Master'!$D$4:$D$207,MATCH($B35,'Challan Master'!$S$4:$S$207,0)),"")="",IFERROR(INDEX('Challan Master'!$D$4:$D$207,MATCH($B35,'Challan Master'!$S$4:$S$207,0)),"")&lt;=0),0,IF(IFERROR(INDEX('Challan Master'!$D$4:$D$207,MATCH($B35,'Challan Master'!$S$4:$S$207,0)),"")&lt;=DATE(YEAR(J35),MONTH(J35)+1,7),0,ROUND(L35*0.015*((YEAR(IFERROR(INDEX('Challan Master'!$D$4:$D$207,MATCH($B35,'Challan Master'!$S$4:$S$207,0)),""))-YEAR(J35))*12+(MONTH(IFERROR(INDEX('Challan Master'!$D$4:$D$207,MATCH($B35,'Challan Master'!$S$4:$S$207,0)),""))-MONTH(J35))+1),0))))</f>
      </c>
      <c r="P35" s="7">
        <f>IF($D35="","",0)</f>
      </c>
      <c r="Q35" s="8"/>
      <c r="R35" s="8"/>
      <c r="S35" s="8"/>
      <c r="T35" s="8"/>
      <c r="U35" s="8"/>
      <c r="V35" s="7">
        <f>IF($B35="","",IFERROR(INDEX('Challan Master'!$AA$4:$AA$207,MATCH($B35,'Challan Master'!$S$4:$S$207,0)),""))</f>
      </c>
    </row>
    <row r="36" spans="1:22" x14ac:dyDescent="0.25">
      <c r="A36" s="7">
        <f>IF($D36="","",COUNTIF($D$4:$D36,"&lt;&gt;"))</f>
      </c>
      <c r="B36" s="8"/>
      <c r="C36" s="7">
        <f>IF($B36="","","BSR "&amp;IFERROR(INDEX('Challan Master'!$B$4:$B$207,MATCH($B36,'Challan Master'!$S$4:$S$207,0)),"")&amp;" | Serial "&amp;IFERROR(INDEX('Challan Master'!$C$4:$C$207,MATCH($B36,'Challan Master'!$S$4:$S$207,0)),"")&amp;" | Deposit "&amp;TEXT(IFERROR(INDEX('Challan Master'!$D$4:$D$207,MATCH($B36,'Challan Master'!$S$4:$S$207,0)),""),"dd-mm-yyyy")&amp;" | Minor Head "&amp;IFERROR(INDEX('Challan Master'!$E$4:$E$207,MATCH($B36,'Challan Master'!$S$4:$S$207,0)),"")&amp;" | Tax ₹"&amp;TEXT(IFERROR(INDEX('Challan Master'!$G$4:$G$207,MATCH($B36,'Challan Master'!$S$4:$S$207,0)),""),"#,##0")&amp;" | Section "&amp;IFERROR(INDEX('Challan Master'!$F$4:$F$207,MATCH($B36,'Challan Master'!$S$4:$S$207,0)),""))</f>
      </c>
      <c r="D36" s="8"/>
      <c r="E36" s="8"/>
      <c r="F36" s="7">
        <f>IF($D36="","",IF(AND(LEN(TRIM(UPPER(E36)))=10,CODE(MID(TRIM(UPPER(E36)),1,1))&gt;=65,CODE(MID(TRIM(UPPER(E36)),1,1))&lt;=90,CODE(MID(TRIM(UPPER(E36)),2,1))&gt;=65,CODE(MID(TRIM(UPPER(E36)),2,1))&lt;=90,CODE(MID(TRIM(UPPER(E36)),3,1))&gt;=65,CODE(MID(TRIM(UPPER(E36)),3,1))&lt;=90,CODE(MID(TRIM(UPPER(E36)),4,1))&gt;=65,CODE(MID(TRIM(UPPER(E36)),4,1))&lt;=90,CODE(MID(TRIM(UPPER(E36)),5,1))&gt;=65,CODE(MID(TRIM(UPPER(E36)),5,1))&lt;=90,CODE(MID(TRIM(UPPER(E36)),10,1))&gt;=65,CODE(MID(TRIM(UPPER(E36)),10,1))&lt;=90,CODE(MID(TRIM(UPPER(E36)),6,1))&gt;=48,CODE(MID(TRIM(UPPER(E36)),6,1))&lt;=57,CODE(MID(TRIM(UPPER(E36)),7,1))&gt;=48,CODE(MID(TRIM(UPPER(E36)),7,1))&lt;=57,CODE(MID(TRIM(UPPER(E36)),8,1))&gt;=48,CODE(MID(TRIM(UPPER(E36)),8,1))&lt;=57,CODE(MID(TRIM(UPPER(E36)),9,1))&gt;=48,CODE(MID(TRIM(UPPER(E36)),9,1))&lt;=57),"N","Y"))</f>
      </c>
      <c r="G36" s="7">
        <f>IF($D36="","",IF(LEN(E36)&lt;4,"",IF(UPPER(MID(E36,4,1))="P","Individual",IF(UPPER(MID(E36,4,1))="H","HUF",IF(UPPER(MID(E36,4,1))="C","Company",IF(UPPER(MID(E36,4,1))="F","Firm",IF(UPPER(MID(E36,4,1))="L","LLP",IF(UPPER(MID(E36,4,1))="T","Trust",IF(UPPER(MID(E36,4,1))="A","AOP","")))))))))</f>
      </c>
      <c r="H36" s="8"/>
      <c r="I36" s="7">
        <f>IF($D36="","",IF(H36="","",IF(F36="Y",SUMPRODUCT(('Rate Lookup'!$A$1:$A$37=H36)*'Rate Lookup'!$D$1:$D$37),IF(OR(G36="Individual",G36="HUF"),SUMPRODUCT(('Rate Lookup'!$A$1:$A$37=H36)*'Rate Lookup'!$B$1:$B$37),SUMPRODUCT(('Rate Lookup'!$A$1:$A$37=H36)*'Rate Lookup'!$C$1:$C$37)))))</f>
      </c>
      <c r="J36" s="8"/>
      <c r="K36" s="8"/>
      <c r="L36" s="7">
        <f>IF($D36="","",ROUND(K36*I36/100,0))</f>
      </c>
      <c r="M36" s="7">
        <f>IF($D36="","",0)</f>
      </c>
      <c r="N36" s="7">
        <f>IF($D36="","",0)</f>
      </c>
      <c r="O36" s="7">
        <f>IF($D36="","",IF(OR(L36=0,J36="",IFERROR(INDEX('Challan Master'!$D$4:$D$207,MATCH($B36,'Challan Master'!$S$4:$S$207,0)),"")="",IFERROR(INDEX('Challan Master'!$D$4:$D$207,MATCH($B36,'Challan Master'!$S$4:$S$207,0)),"")&lt;=0),0,IF(IFERROR(INDEX('Challan Master'!$D$4:$D$207,MATCH($B36,'Challan Master'!$S$4:$S$207,0)),"")&lt;=DATE(YEAR(J36),MONTH(J36)+1,7),0,ROUND(L36*0.015*((YEAR(IFERROR(INDEX('Challan Master'!$D$4:$D$207,MATCH($B36,'Challan Master'!$S$4:$S$207,0)),""))-YEAR(J36))*12+(MONTH(IFERROR(INDEX('Challan Master'!$D$4:$D$207,MATCH($B36,'Challan Master'!$S$4:$S$207,0)),""))-MONTH(J36))+1),0))))</f>
      </c>
      <c r="P36" s="7">
        <f>IF($D36="","",0)</f>
      </c>
      <c r="Q36" s="8"/>
      <c r="R36" s="8"/>
      <c r="S36" s="8"/>
      <c r="T36" s="8"/>
      <c r="U36" s="8"/>
      <c r="V36" s="7">
        <f>IF($B36="","",IFERROR(INDEX('Challan Master'!$AA$4:$AA$207,MATCH($B36,'Challan Master'!$S$4:$S$207,0)),""))</f>
      </c>
    </row>
    <row r="37" spans="1:22" x14ac:dyDescent="0.25">
      <c r="A37" s="7">
        <f>IF($D37="","",COUNTIF($D$4:$D37,"&lt;&gt;"))</f>
      </c>
      <c r="B37" s="8"/>
      <c r="C37" s="7">
        <f>IF($B37="","","BSR "&amp;IFERROR(INDEX('Challan Master'!$B$4:$B$207,MATCH($B37,'Challan Master'!$S$4:$S$207,0)),"")&amp;" | Serial "&amp;IFERROR(INDEX('Challan Master'!$C$4:$C$207,MATCH($B37,'Challan Master'!$S$4:$S$207,0)),"")&amp;" | Deposit "&amp;TEXT(IFERROR(INDEX('Challan Master'!$D$4:$D$207,MATCH($B37,'Challan Master'!$S$4:$S$207,0)),""),"dd-mm-yyyy")&amp;" | Minor Head "&amp;IFERROR(INDEX('Challan Master'!$E$4:$E$207,MATCH($B37,'Challan Master'!$S$4:$S$207,0)),"")&amp;" | Tax ₹"&amp;TEXT(IFERROR(INDEX('Challan Master'!$G$4:$G$207,MATCH($B37,'Challan Master'!$S$4:$S$207,0)),""),"#,##0")&amp;" | Section "&amp;IFERROR(INDEX('Challan Master'!$F$4:$F$207,MATCH($B37,'Challan Master'!$S$4:$S$207,0)),""))</f>
      </c>
      <c r="D37" s="8"/>
      <c r="E37" s="8"/>
      <c r="F37" s="7">
        <f>IF($D37="","",IF(AND(LEN(TRIM(UPPER(E37)))=10,CODE(MID(TRIM(UPPER(E37)),1,1))&gt;=65,CODE(MID(TRIM(UPPER(E37)),1,1))&lt;=90,CODE(MID(TRIM(UPPER(E37)),2,1))&gt;=65,CODE(MID(TRIM(UPPER(E37)),2,1))&lt;=90,CODE(MID(TRIM(UPPER(E37)),3,1))&gt;=65,CODE(MID(TRIM(UPPER(E37)),3,1))&lt;=90,CODE(MID(TRIM(UPPER(E37)),4,1))&gt;=65,CODE(MID(TRIM(UPPER(E37)),4,1))&lt;=90,CODE(MID(TRIM(UPPER(E37)),5,1))&gt;=65,CODE(MID(TRIM(UPPER(E37)),5,1))&lt;=90,CODE(MID(TRIM(UPPER(E37)),10,1))&gt;=65,CODE(MID(TRIM(UPPER(E37)),10,1))&lt;=90,CODE(MID(TRIM(UPPER(E37)),6,1))&gt;=48,CODE(MID(TRIM(UPPER(E37)),6,1))&lt;=57,CODE(MID(TRIM(UPPER(E37)),7,1))&gt;=48,CODE(MID(TRIM(UPPER(E37)),7,1))&lt;=57,CODE(MID(TRIM(UPPER(E37)),8,1))&gt;=48,CODE(MID(TRIM(UPPER(E37)),8,1))&lt;=57,CODE(MID(TRIM(UPPER(E37)),9,1))&gt;=48,CODE(MID(TRIM(UPPER(E37)),9,1))&lt;=57),"N","Y"))</f>
      </c>
      <c r="G37" s="7">
        <f>IF($D37="","",IF(LEN(E37)&lt;4,"",IF(UPPER(MID(E37,4,1))="P","Individual",IF(UPPER(MID(E37,4,1))="H","HUF",IF(UPPER(MID(E37,4,1))="C","Company",IF(UPPER(MID(E37,4,1))="F","Firm",IF(UPPER(MID(E37,4,1))="L","LLP",IF(UPPER(MID(E37,4,1))="T","Trust",IF(UPPER(MID(E37,4,1))="A","AOP","")))))))))</f>
      </c>
      <c r="H37" s="8"/>
      <c r="I37" s="7">
        <f>IF($D37="","",IF(H37="","",IF(F37="Y",SUMPRODUCT(('Rate Lookup'!$A$1:$A$37=H37)*'Rate Lookup'!$D$1:$D$37),IF(OR(G37="Individual",G37="HUF"),SUMPRODUCT(('Rate Lookup'!$A$1:$A$37=H37)*'Rate Lookup'!$B$1:$B$37),SUMPRODUCT(('Rate Lookup'!$A$1:$A$37=H37)*'Rate Lookup'!$C$1:$C$37)))))</f>
      </c>
      <c r="J37" s="8"/>
      <c r="K37" s="8"/>
      <c r="L37" s="7">
        <f>IF($D37="","",ROUND(K37*I37/100,0))</f>
      </c>
      <c r="M37" s="7">
        <f>IF($D37="","",0)</f>
      </c>
      <c r="N37" s="7">
        <f>IF($D37="","",0)</f>
      </c>
      <c r="O37" s="7">
        <f>IF($D37="","",IF(OR(L37=0,J37="",IFERROR(INDEX('Challan Master'!$D$4:$D$207,MATCH($B37,'Challan Master'!$S$4:$S$207,0)),"")="",IFERROR(INDEX('Challan Master'!$D$4:$D$207,MATCH($B37,'Challan Master'!$S$4:$S$207,0)),"")&lt;=0),0,IF(IFERROR(INDEX('Challan Master'!$D$4:$D$207,MATCH($B37,'Challan Master'!$S$4:$S$207,0)),"")&lt;=DATE(YEAR(J37),MONTH(J37)+1,7),0,ROUND(L37*0.015*((YEAR(IFERROR(INDEX('Challan Master'!$D$4:$D$207,MATCH($B37,'Challan Master'!$S$4:$S$207,0)),""))-YEAR(J37))*12+(MONTH(IFERROR(INDEX('Challan Master'!$D$4:$D$207,MATCH($B37,'Challan Master'!$S$4:$S$207,0)),""))-MONTH(J37))+1),0))))</f>
      </c>
      <c r="P37" s="7">
        <f>IF($D37="","",0)</f>
      </c>
      <c r="Q37" s="8"/>
      <c r="R37" s="8"/>
      <c r="S37" s="8"/>
      <c r="T37" s="8"/>
      <c r="U37" s="8"/>
      <c r="V37" s="7">
        <f>IF($B37="","",IFERROR(INDEX('Challan Master'!$AA$4:$AA$207,MATCH($B37,'Challan Master'!$S$4:$S$207,0)),""))</f>
      </c>
    </row>
    <row r="38" spans="1:22" x14ac:dyDescent="0.25">
      <c r="A38" s="7">
        <f>IF($D38="","",COUNTIF($D$4:$D38,"&lt;&gt;"))</f>
      </c>
      <c r="B38" s="8"/>
      <c r="C38" s="7">
        <f>IF($B38="","","BSR "&amp;IFERROR(INDEX('Challan Master'!$B$4:$B$207,MATCH($B38,'Challan Master'!$S$4:$S$207,0)),"")&amp;" | Serial "&amp;IFERROR(INDEX('Challan Master'!$C$4:$C$207,MATCH($B38,'Challan Master'!$S$4:$S$207,0)),"")&amp;" | Deposit "&amp;TEXT(IFERROR(INDEX('Challan Master'!$D$4:$D$207,MATCH($B38,'Challan Master'!$S$4:$S$207,0)),""),"dd-mm-yyyy")&amp;" | Minor Head "&amp;IFERROR(INDEX('Challan Master'!$E$4:$E$207,MATCH($B38,'Challan Master'!$S$4:$S$207,0)),"")&amp;" | Tax ₹"&amp;TEXT(IFERROR(INDEX('Challan Master'!$G$4:$G$207,MATCH($B38,'Challan Master'!$S$4:$S$207,0)),""),"#,##0")&amp;" | Section "&amp;IFERROR(INDEX('Challan Master'!$F$4:$F$207,MATCH($B38,'Challan Master'!$S$4:$S$207,0)),""))</f>
      </c>
      <c r="D38" s="8"/>
      <c r="E38" s="8"/>
      <c r="F38" s="7">
        <f>IF($D38="","",IF(AND(LEN(TRIM(UPPER(E38)))=10,CODE(MID(TRIM(UPPER(E38)),1,1))&gt;=65,CODE(MID(TRIM(UPPER(E38)),1,1))&lt;=90,CODE(MID(TRIM(UPPER(E38)),2,1))&gt;=65,CODE(MID(TRIM(UPPER(E38)),2,1))&lt;=90,CODE(MID(TRIM(UPPER(E38)),3,1))&gt;=65,CODE(MID(TRIM(UPPER(E38)),3,1))&lt;=90,CODE(MID(TRIM(UPPER(E38)),4,1))&gt;=65,CODE(MID(TRIM(UPPER(E38)),4,1))&lt;=90,CODE(MID(TRIM(UPPER(E38)),5,1))&gt;=65,CODE(MID(TRIM(UPPER(E38)),5,1))&lt;=90,CODE(MID(TRIM(UPPER(E38)),10,1))&gt;=65,CODE(MID(TRIM(UPPER(E38)),10,1))&lt;=90,CODE(MID(TRIM(UPPER(E38)),6,1))&gt;=48,CODE(MID(TRIM(UPPER(E38)),6,1))&lt;=57,CODE(MID(TRIM(UPPER(E38)),7,1))&gt;=48,CODE(MID(TRIM(UPPER(E38)),7,1))&lt;=57,CODE(MID(TRIM(UPPER(E38)),8,1))&gt;=48,CODE(MID(TRIM(UPPER(E38)),8,1))&lt;=57,CODE(MID(TRIM(UPPER(E38)),9,1))&gt;=48,CODE(MID(TRIM(UPPER(E38)),9,1))&lt;=57),"N","Y"))</f>
      </c>
      <c r="G38" s="7">
        <f>IF($D38="","",IF(LEN(E38)&lt;4,"",IF(UPPER(MID(E38,4,1))="P","Individual",IF(UPPER(MID(E38,4,1))="H","HUF",IF(UPPER(MID(E38,4,1))="C","Company",IF(UPPER(MID(E38,4,1))="F","Firm",IF(UPPER(MID(E38,4,1))="L","LLP",IF(UPPER(MID(E38,4,1))="T","Trust",IF(UPPER(MID(E38,4,1))="A","AOP","")))))))))</f>
      </c>
      <c r="H38" s="8"/>
      <c r="I38" s="7">
        <f>IF($D38="","",IF(H38="","",IF(F38="Y",SUMPRODUCT(('Rate Lookup'!$A$1:$A$37=H38)*'Rate Lookup'!$D$1:$D$37),IF(OR(G38="Individual",G38="HUF"),SUMPRODUCT(('Rate Lookup'!$A$1:$A$37=H38)*'Rate Lookup'!$B$1:$B$37),SUMPRODUCT(('Rate Lookup'!$A$1:$A$37=H38)*'Rate Lookup'!$C$1:$C$37)))))</f>
      </c>
      <c r="J38" s="8"/>
      <c r="K38" s="8"/>
      <c r="L38" s="7">
        <f>IF($D38="","",ROUND(K38*I38/100,0))</f>
      </c>
      <c r="M38" s="7">
        <f>IF($D38="","",0)</f>
      </c>
      <c r="N38" s="7">
        <f>IF($D38="","",0)</f>
      </c>
      <c r="O38" s="7">
        <f>IF($D38="","",IF(OR(L38=0,J38="",IFERROR(INDEX('Challan Master'!$D$4:$D$207,MATCH($B38,'Challan Master'!$S$4:$S$207,0)),"")="",IFERROR(INDEX('Challan Master'!$D$4:$D$207,MATCH($B38,'Challan Master'!$S$4:$S$207,0)),"")&lt;=0),0,IF(IFERROR(INDEX('Challan Master'!$D$4:$D$207,MATCH($B38,'Challan Master'!$S$4:$S$207,0)),"")&lt;=DATE(YEAR(J38),MONTH(J38)+1,7),0,ROUND(L38*0.015*((YEAR(IFERROR(INDEX('Challan Master'!$D$4:$D$207,MATCH($B38,'Challan Master'!$S$4:$S$207,0)),""))-YEAR(J38))*12+(MONTH(IFERROR(INDEX('Challan Master'!$D$4:$D$207,MATCH($B38,'Challan Master'!$S$4:$S$207,0)),""))-MONTH(J38))+1),0))))</f>
      </c>
      <c r="P38" s="7">
        <f>IF($D38="","",0)</f>
      </c>
      <c r="Q38" s="8"/>
      <c r="R38" s="8"/>
      <c r="S38" s="8"/>
      <c r="T38" s="8"/>
      <c r="U38" s="8"/>
      <c r="V38" s="7">
        <f>IF($B38="","",IFERROR(INDEX('Challan Master'!$AA$4:$AA$207,MATCH($B38,'Challan Master'!$S$4:$S$207,0)),""))</f>
      </c>
    </row>
    <row r="39" spans="1:22" x14ac:dyDescent="0.25">
      <c r="A39" s="7">
        <f>IF($D39="","",COUNTIF($D$4:$D39,"&lt;&gt;"))</f>
      </c>
      <c r="B39" s="8"/>
      <c r="C39" s="7">
        <f>IF($B39="","","BSR "&amp;IFERROR(INDEX('Challan Master'!$B$4:$B$207,MATCH($B39,'Challan Master'!$S$4:$S$207,0)),"")&amp;" | Serial "&amp;IFERROR(INDEX('Challan Master'!$C$4:$C$207,MATCH($B39,'Challan Master'!$S$4:$S$207,0)),"")&amp;" | Deposit "&amp;TEXT(IFERROR(INDEX('Challan Master'!$D$4:$D$207,MATCH($B39,'Challan Master'!$S$4:$S$207,0)),""),"dd-mm-yyyy")&amp;" | Minor Head "&amp;IFERROR(INDEX('Challan Master'!$E$4:$E$207,MATCH($B39,'Challan Master'!$S$4:$S$207,0)),"")&amp;" | Tax ₹"&amp;TEXT(IFERROR(INDEX('Challan Master'!$G$4:$G$207,MATCH($B39,'Challan Master'!$S$4:$S$207,0)),""),"#,##0")&amp;" | Section "&amp;IFERROR(INDEX('Challan Master'!$F$4:$F$207,MATCH($B39,'Challan Master'!$S$4:$S$207,0)),""))</f>
      </c>
      <c r="D39" s="8"/>
      <c r="E39" s="8"/>
      <c r="F39" s="7">
        <f>IF($D39="","",IF(AND(LEN(TRIM(UPPER(E39)))=10,CODE(MID(TRIM(UPPER(E39)),1,1))&gt;=65,CODE(MID(TRIM(UPPER(E39)),1,1))&lt;=90,CODE(MID(TRIM(UPPER(E39)),2,1))&gt;=65,CODE(MID(TRIM(UPPER(E39)),2,1))&lt;=90,CODE(MID(TRIM(UPPER(E39)),3,1))&gt;=65,CODE(MID(TRIM(UPPER(E39)),3,1))&lt;=90,CODE(MID(TRIM(UPPER(E39)),4,1))&gt;=65,CODE(MID(TRIM(UPPER(E39)),4,1))&lt;=90,CODE(MID(TRIM(UPPER(E39)),5,1))&gt;=65,CODE(MID(TRIM(UPPER(E39)),5,1))&lt;=90,CODE(MID(TRIM(UPPER(E39)),10,1))&gt;=65,CODE(MID(TRIM(UPPER(E39)),10,1))&lt;=90,CODE(MID(TRIM(UPPER(E39)),6,1))&gt;=48,CODE(MID(TRIM(UPPER(E39)),6,1))&lt;=57,CODE(MID(TRIM(UPPER(E39)),7,1))&gt;=48,CODE(MID(TRIM(UPPER(E39)),7,1))&lt;=57,CODE(MID(TRIM(UPPER(E39)),8,1))&gt;=48,CODE(MID(TRIM(UPPER(E39)),8,1))&lt;=57,CODE(MID(TRIM(UPPER(E39)),9,1))&gt;=48,CODE(MID(TRIM(UPPER(E39)),9,1))&lt;=57),"N","Y"))</f>
      </c>
      <c r="G39" s="7">
        <f>IF($D39="","",IF(LEN(E39)&lt;4,"",IF(UPPER(MID(E39,4,1))="P","Individual",IF(UPPER(MID(E39,4,1))="H","HUF",IF(UPPER(MID(E39,4,1))="C","Company",IF(UPPER(MID(E39,4,1))="F","Firm",IF(UPPER(MID(E39,4,1))="L","LLP",IF(UPPER(MID(E39,4,1))="T","Trust",IF(UPPER(MID(E39,4,1))="A","AOP","")))))))))</f>
      </c>
      <c r="H39" s="8"/>
      <c r="I39" s="7">
        <f>IF($D39="","",IF(H39="","",IF(F39="Y",SUMPRODUCT(('Rate Lookup'!$A$1:$A$37=H39)*'Rate Lookup'!$D$1:$D$37),IF(OR(G39="Individual",G39="HUF"),SUMPRODUCT(('Rate Lookup'!$A$1:$A$37=H39)*'Rate Lookup'!$B$1:$B$37),SUMPRODUCT(('Rate Lookup'!$A$1:$A$37=H39)*'Rate Lookup'!$C$1:$C$37)))))</f>
      </c>
      <c r="J39" s="8"/>
      <c r="K39" s="8"/>
      <c r="L39" s="7">
        <f>IF($D39="","",ROUND(K39*I39/100,0))</f>
      </c>
      <c r="M39" s="7">
        <f>IF($D39="","",0)</f>
      </c>
      <c r="N39" s="7">
        <f>IF($D39="","",0)</f>
      </c>
      <c r="O39" s="7">
        <f>IF($D39="","",IF(OR(L39=0,J39="",IFERROR(INDEX('Challan Master'!$D$4:$D$207,MATCH($B39,'Challan Master'!$S$4:$S$207,0)),"")="",IFERROR(INDEX('Challan Master'!$D$4:$D$207,MATCH($B39,'Challan Master'!$S$4:$S$207,0)),"")&lt;=0),0,IF(IFERROR(INDEX('Challan Master'!$D$4:$D$207,MATCH($B39,'Challan Master'!$S$4:$S$207,0)),"")&lt;=DATE(YEAR(J39),MONTH(J39)+1,7),0,ROUND(L39*0.015*((YEAR(IFERROR(INDEX('Challan Master'!$D$4:$D$207,MATCH($B39,'Challan Master'!$S$4:$S$207,0)),""))-YEAR(J39))*12+(MONTH(IFERROR(INDEX('Challan Master'!$D$4:$D$207,MATCH($B39,'Challan Master'!$S$4:$S$207,0)),""))-MONTH(J39))+1),0))))</f>
      </c>
      <c r="P39" s="7">
        <f>IF($D39="","",0)</f>
      </c>
      <c r="Q39" s="8"/>
      <c r="R39" s="8"/>
      <c r="S39" s="8"/>
      <c r="T39" s="8"/>
      <c r="U39" s="8"/>
      <c r="V39" s="7">
        <f>IF($B39="","",IFERROR(INDEX('Challan Master'!$AA$4:$AA$207,MATCH($B39,'Challan Master'!$S$4:$S$207,0)),""))</f>
      </c>
    </row>
    <row r="40" spans="1:22" x14ac:dyDescent="0.25">
      <c r="A40" s="7">
        <f>IF($D40="","",COUNTIF($D$4:$D40,"&lt;&gt;"))</f>
      </c>
      <c r="B40" s="8"/>
      <c r="C40" s="7">
        <f>IF($B40="","","BSR "&amp;IFERROR(INDEX('Challan Master'!$B$4:$B$207,MATCH($B40,'Challan Master'!$S$4:$S$207,0)),"")&amp;" | Serial "&amp;IFERROR(INDEX('Challan Master'!$C$4:$C$207,MATCH($B40,'Challan Master'!$S$4:$S$207,0)),"")&amp;" | Deposit "&amp;TEXT(IFERROR(INDEX('Challan Master'!$D$4:$D$207,MATCH($B40,'Challan Master'!$S$4:$S$207,0)),""),"dd-mm-yyyy")&amp;" | Minor Head "&amp;IFERROR(INDEX('Challan Master'!$E$4:$E$207,MATCH($B40,'Challan Master'!$S$4:$S$207,0)),"")&amp;" | Tax ₹"&amp;TEXT(IFERROR(INDEX('Challan Master'!$G$4:$G$207,MATCH($B40,'Challan Master'!$S$4:$S$207,0)),""),"#,##0")&amp;" | Section "&amp;IFERROR(INDEX('Challan Master'!$F$4:$F$207,MATCH($B40,'Challan Master'!$S$4:$S$207,0)),""))</f>
      </c>
      <c r="D40" s="8"/>
      <c r="E40" s="8"/>
      <c r="F40" s="7">
        <f>IF($D40="","",IF(AND(LEN(TRIM(UPPER(E40)))=10,CODE(MID(TRIM(UPPER(E40)),1,1))&gt;=65,CODE(MID(TRIM(UPPER(E40)),1,1))&lt;=90,CODE(MID(TRIM(UPPER(E40)),2,1))&gt;=65,CODE(MID(TRIM(UPPER(E40)),2,1))&lt;=90,CODE(MID(TRIM(UPPER(E40)),3,1))&gt;=65,CODE(MID(TRIM(UPPER(E40)),3,1))&lt;=90,CODE(MID(TRIM(UPPER(E40)),4,1))&gt;=65,CODE(MID(TRIM(UPPER(E40)),4,1))&lt;=90,CODE(MID(TRIM(UPPER(E40)),5,1))&gt;=65,CODE(MID(TRIM(UPPER(E40)),5,1))&lt;=90,CODE(MID(TRIM(UPPER(E40)),10,1))&gt;=65,CODE(MID(TRIM(UPPER(E40)),10,1))&lt;=90,CODE(MID(TRIM(UPPER(E40)),6,1))&gt;=48,CODE(MID(TRIM(UPPER(E40)),6,1))&lt;=57,CODE(MID(TRIM(UPPER(E40)),7,1))&gt;=48,CODE(MID(TRIM(UPPER(E40)),7,1))&lt;=57,CODE(MID(TRIM(UPPER(E40)),8,1))&gt;=48,CODE(MID(TRIM(UPPER(E40)),8,1))&lt;=57,CODE(MID(TRIM(UPPER(E40)),9,1))&gt;=48,CODE(MID(TRIM(UPPER(E40)),9,1))&lt;=57),"N","Y"))</f>
      </c>
      <c r="G40" s="7">
        <f>IF($D40="","",IF(LEN(E40)&lt;4,"",IF(UPPER(MID(E40,4,1))="P","Individual",IF(UPPER(MID(E40,4,1))="H","HUF",IF(UPPER(MID(E40,4,1))="C","Company",IF(UPPER(MID(E40,4,1))="F","Firm",IF(UPPER(MID(E40,4,1))="L","LLP",IF(UPPER(MID(E40,4,1))="T","Trust",IF(UPPER(MID(E40,4,1))="A","AOP","")))))))))</f>
      </c>
      <c r="H40" s="8"/>
      <c r="I40" s="7">
        <f>IF($D40="","",IF(H40="","",IF(F40="Y",SUMPRODUCT(('Rate Lookup'!$A$1:$A$37=H40)*'Rate Lookup'!$D$1:$D$37),IF(OR(G40="Individual",G40="HUF"),SUMPRODUCT(('Rate Lookup'!$A$1:$A$37=H40)*'Rate Lookup'!$B$1:$B$37),SUMPRODUCT(('Rate Lookup'!$A$1:$A$37=H40)*'Rate Lookup'!$C$1:$C$37)))))</f>
      </c>
      <c r="J40" s="8"/>
      <c r="K40" s="8"/>
      <c r="L40" s="7">
        <f>IF($D40="","",ROUND(K40*I40/100,0))</f>
      </c>
      <c r="M40" s="7">
        <f>IF($D40="","",0)</f>
      </c>
      <c r="N40" s="7">
        <f>IF($D40="","",0)</f>
      </c>
      <c r="O40" s="7">
        <f>IF($D40="","",IF(OR(L40=0,J40="",IFERROR(INDEX('Challan Master'!$D$4:$D$207,MATCH($B40,'Challan Master'!$S$4:$S$207,0)),"")="",IFERROR(INDEX('Challan Master'!$D$4:$D$207,MATCH($B40,'Challan Master'!$S$4:$S$207,0)),"")&lt;=0),0,IF(IFERROR(INDEX('Challan Master'!$D$4:$D$207,MATCH($B40,'Challan Master'!$S$4:$S$207,0)),"")&lt;=DATE(YEAR(J40),MONTH(J40)+1,7),0,ROUND(L40*0.015*((YEAR(IFERROR(INDEX('Challan Master'!$D$4:$D$207,MATCH($B40,'Challan Master'!$S$4:$S$207,0)),""))-YEAR(J40))*12+(MONTH(IFERROR(INDEX('Challan Master'!$D$4:$D$207,MATCH($B40,'Challan Master'!$S$4:$S$207,0)),""))-MONTH(J40))+1),0))))</f>
      </c>
      <c r="P40" s="7">
        <f>IF($D40="","",0)</f>
      </c>
      <c r="Q40" s="8"/>
      <c r="R40" s="8"/>
      <c r="S40" s="8"/>
      <c r="T40" s="8"/>
      <c r="U40" s="8"/>
      <c r="V40" s="7">
        <f>IF($B40="","",IFERROR(INDEX('Challan Master'!$AA$4:$AA$207,MATCH($B40,'Challan Master'!$S$4:$S$207,0)),""))</f>
      </c>
    </row>
    <row r="41" spans="1:22" x14ac:dyDescent="0.25">
      <c r="A41" s="7">
        <f>IF($D41="","",COUNTIF($D$4:$D41,"&lt;&gt;"))</f>
      </c>
      <c r="B41" s="8"/>
      <c r="C41" s="7">
        <f>IF($B41="","","BSR "&amp;IFERROR(INDEX('Challan Master'!$B$4:$B$207,MATCH($B41,'Challan Master'!$S$4:$S$207,0)),"")&amp;" | Serial "&amp;IFERROR(INDEX('Challan Master'!$C$4:$C$207,MATCH($B41,'Challan Master'!$S$4:$S$207,0)),"")&amp;" | Deposit "&amp;TEXT(IFERROR(INDEX('Challan Master'!$D$4:$D$207,MATCH($B41,'Challan Master'!$S$4:$S$207,0)),""),"dd-mm-yyyy")&amp;" | Minor Head "&amp;IFERROR(INDEX('Challan Master'!$E$4:$E$207,MATCH($B41,'Challan Master'!$S$4:$S$207,0)),"")&amp;" | Tax ₹"&amp;TEXT(IFERROR(INDEX('Challan Master'!$G$4:$G$207,MATCH($B41,'Challan Master'!$S$4:$S$207,0)),""),"#,##0")&amp;" | Section "&amp;IFERROR(INDEX('Challan Master'!$F$4:$F$207,MATCH($B41,'Challan Master'!$S$4:$S$207,0)),""))</f>
      </c>
      <c r="D41" s="8"/>
      <c r="E41" s="8"/>
      <c r="F41" s="7">
        <f>IF($D41="","",IF(AND(LEN(TRIM(UPPER(E41)))=10,CODE(MID(TRIM(UPPER(E41)),1,1))&gt;=65,CODE(MID(TRIM(UPPER(E41)),1,1))&lt;=90,CODE(MID(TRIM(UPPER(E41)),2,1))&gt;=65,CODE(MID(TRIM(UPPER(E41)),2,1))&lt;=90,CODE(MID(TRIM(UPPER(E41)),3,1))&gt;=65,CODE(MID(TRIM(UPPER(E41)),3,1))&lt;=90,CODE(MID(TRIM(UPPER(E41)),4,1))&gt;=65,CODE(MID(TRIM(UPPER(E41)),4,1))&lt;=90,CODE(MID(TRIM(UPPER(E41)),5,1))&gt;=65,CODE(MID(TRIM(UPPER(E41)),5,1))&lt;=90,CODE(MID(TRIM(UPPER(E41)),10,1))&gt;=65,CODE(MID(TRIM(UPPER(E41)),10,1))&lt;=90,CODE(MID(TRIM(UPPER(E41)),6,1))&gt;=48,CODE(MID(TRIM(UPPER(E41)),6,1))&lt;=57,CODE(MID(TRIM(UPPER(E41)),7,1))&gt;=48,CODE(MID(TRIM(UPPER(E41)),7,1))&lt;=57,CODE(MID(TRIM(UPPER(E41)),8,1))&gt;=48,CODE(MID(TRIM(UPPER(E41)),8,1))&lt;=57,CODE(MID(TRIM(UPPER(E41)),9,1))&gt;=48,CODE(MID(TRIM(UPPER(E41)),9,1))&lt;=57),"N","Y"))</f>
      </c>
      <c r="G41" s="7">
        <f>IF($D41="","",IF(LEN(E41)&lt;4,"",IF(UPPER(MID(E41,4,1))="P","Individual",IF(UPPER(MID(E41,4,1))="H","HUF",IF(UPPER(MID(E41,4,1))="C","Company",IF(UPPER(MID(E41,4,1))="F","Firm",IF(UPPER(MID(E41,4,1))="L","LLP",IF(UPPER(MID(E41,4,1))="T","Trust",IF(UPPER(MID(E41,4,1))="A","AOP","")))))))))</f>
      </c>
      <c r="H41" s="8"/>
      <c r="I41" s="7">
        <f>IF($D41="","",IF(H41="","",IF(F41="Y",SUMPRODUCT(('Rate Lookup'!$A$1:$A$37=H41)*'Rate Lookup'!$D$1:$D$37),IF(OR(G41="Individual",G41="HUF"),SUMPRODUCT(('Rate Lookup'!$A$1:$A$37=H41)*'Rate Lookup'!$B$1:$B$37),SUMPRODUCT(('Rate Lookup'!$A$1:$A$37=H41)*'Rate Lookup'!$C$1:$C$37)))))</f>
      </c>
      <c r="J41" s="8"/>
      <c r="K41" s="8"/>
      <c r="L41" s="7">
        <f>IF($D41="","",ROUND(K41*I41/100,0))</f>
      </c>
      <c r="M41" s="7">
        <f>IF($D41="","",0)</f>
      </c>
      <c r="N41" s="7">
        <f>IF($D41="","",0)</f>
      </c>
      <c r="O41" s="7">
        <f>IF($D41="","",IF(OR(L41=0,J41="",IFERROR(INDEX('Challan Master'!$D$4:$D$207,MATCH($B41,'Challan Master'!$S$4:$S$207,0)),"")="",IFERROR(INDEX('Challan Master'!$D$4:$D$207,MATCH($B41,'Challan Master'!$S$4:$S$207,0)),"")&lt;=0),0,IF(IFERROR(INDEX('Challan Master'!$D$4:$D$207,MATCH($B41,'Challan Master'!$S$4:$S$207,0)),"")&lt;=DATE(YEAR(J41),MONTH(J41)+1,7),0,ROUND(L41*0.015*((YEAR(IFERROR(INDEX('Challan Master'!$D$4:$D$207,MATCH($B41,'Challan Master'!$S$4:$S$207,0)),""))-YEAR(J41))*12+(MONTH(IFERROR(INDEX('Challan Master'!$D$4:$D$207,MATCH($B41,'Challan Master'!$S$4:$S$207,0)),""))-MONTH(J41))+1),0))))</f>
      </c>
      <c r="P41" s="7">
        <f>IF($D41="","",0)</f>
      </c>
      <c r="Q41" s="8"/>
      <c r="R41" s="8"/>
      <c r="S41" s="8"/>
      <c r="T41" s="8"/>
      <c r="U41" s="8"/>
      <c r="V41" s="7">
        <f>IF($B41="","",IFERROR(INDEX('Challan Master'!$AA$4:$AA$207,MATCH($B41,'Challan Master'!$S$4:$S$207,0)),""))</f>
      </c>
    </row>
    <row r="42" spans="1:22" x14ac:dyDescent="0.25">
      <c r="A42" s="7">
        <f>IF($D42="","",COUNTIF($D$4:$D42,"&lt;&gt;"))</f>
      </c>
      <c r="B42" s="8"/>
      <c r="C42" s="7">
        <f>IF($B42="","","BSR "&amp;IFERROR(INDEX('Challan Master'!$B$4:$B$207,MATCH($B42,'Challan Master'!$S$4:$S$207,0)),"")&amp;" | Serial "&amp;IFERROR(INDEX('Challan Master'!$C$4:$C$207,MATCH($B42,'Challan Master'!$S$4:$S$207,0)),"")&amp;" | Deposit "&amp;TEXT(IFERROR(INDEX('Challan Master'!$D$4:$D$207,MATCH($B42,'Challan Master'!$S$4:$S$207,0)),""),"dd-mm-yyyy")&amp;" | Minor Head "&amp;IFERROR(INDEX('Challan Master'!$E$4:$E$207,MATCH($B42,'Challan Master'!$S$4:$S$207,0)),"")&amp;" | Tax ₹"&amp;TEXT(IFERROR(INDEX('Challan Master'!$G$4:$G$207,MATCH($B42,'Challan Master'!$S$4:$S$207,0)),""),"#,##0")&amp;" | Section "&amp;IFERROR(INDEX('Challan Master'!$F$4:$F$207,MATCH($B42,'Challan Master'!$S$4:$S$207,0)),""))</f>
      </c>
      <c r="D42" s="8"/>
      <c r="E42" s="8"/>
      <c r="F42" s="7">
        <f>IF($D42="","",IF(AND(LEN(TRIM(UPPER(E42)))=10,CODE(MID(TRIM(UPPER(E42)),1,1))&gt;=65,CODE(MID(TRIM(UPPER(E42)),1,1))&lt;=90,CODE(MID(TRIM(UPPER(E42)),2,1))&gt;=65,CODE(MID(TRIM(UPPER(E42)),2,1))&lt;=90,CODE(MID(TRIM(UPPER(E42)),3,1))&gt;=65,CODE(MID(TRIM(UPPER(E42)),3,1))&lt;=90,CODE(MID(TRIM(UPPER(E42)),4,1))&gt;=65,CODE(MID(TRIM(UPPER(E42)),4,1))&lt;=90,CODE(MID(TRIM(UPPER(E42)),5,1))&gt;=65,CODE(MID(TRIM(UPPER(E42)),5,1))&lt;=90,CODE(MID(TRIM(UPPER(E42)),10,1))&gt;=65,CODE(MID(TRIM(UPPER(E42)),10,1))&lt;=90,CODE(MID(TRIM(UPPER(E42)),6,1))&gt;=48,CODE(MID(TRIM(UPPER(E42)),6,1))&lt;=57,CODE(MID(TRIM(UPPER(E42)),7,1))&gt;=48,CODE(MID(TRIM(UPPER(E42)),7,1))&lt;=57,CODE(MID(TRIM(UPPER(E42)),8,1))&gt;=48,CODE(MID(TRIM(UPPER(E42)),8,1))&lt;=57,CODE(MID(TRIM(UPPER(E42)),9,1))&gt;=48,CODE(MID(TRIM(UPPER(E42)),9,1))&lt;=57),"N","Y"))</f>
      </c>
      <c r="G42" s="7">
        <f>IF($D42="","",IF(LEN(E42)&lt;4,"",IF(UPPER(MID(E42,4,1))="P","Individual",IF(UPPER(MID(E42,4,1))="H","HUF",IF(UPPER(MID(E42,4,1))="C","Company",IF(UPPER(MID(E42,4,1))="F","Firm",IF(UPPER(MID(E42,4,1))="L","LLP",IF(UPPER(MID(E42,4,1))="T","Trust",IF(UPPER(MID(E42,4,1))="A","AOP","")))))))))</f>
      </c>
      <c r="H42" s="8"/>
      <c r="I42" s="7">
        <f>IF($D42="","",IF(H42="","",IF(F42="Y",SUMPRODUCT(('Rate Lookup'!$A$1:$A$37=H42)*'Rate Lookup'!$D$1:$D$37),IF(OR(G42="Individual",G42="HUF"),SUMPRODUCT(('Rate Lookup'!$A$1:$A$37=H42)*'Rate Lookup'!$B$1:$B$37),SUMPRODUCT(('Rate Lookup'!$A$1:$A$37=H42)*'Rate Lookup'!$C$1:$C$37)))))</f>
      </c>
      <c r="J42" s="8"/>
      <c r="K42" s="8"/>
      <c r="L42" s="7">
        <f>IF($D42="","",ROUND(K42*I42/100,0))</f>
      </c>
      <c r="M42" s="7">
        <f>IF($D42="","",0)</f>
      </c>
      <c r="N42" s="7">
        <f>IF($D42="","",0)</f>
      </c>
      <c r="O42" s="7">
        <f>IF($D42="","",IF(OR(L42=0,J42="",IFERROR(INDEX('Challan Master'!$D$4:$D$207,MATCH($B42,'Challan Master'!$S$4:$S$207,0)),"")="",IFERROR(INDEX('Challan Master'!$D$4:$D$207,MATCH($B42,'Challan Master'!$S$4:$S$207,0)),"")&lt;=0),0,IF(IFERROR(INDEX('Challan Master'!$D$4:$D$207,MATCH($B42,'Challan Master'!$S$4:$S$207,0)),"")&lt;=DATE(YEAR(J42),MONTH(J42)+1,7),0,ROUND(L42*0.015*((YEAR(IFERROR(INDEX('Challan Master'!$D$4:$D$207,MATCH($B42,'Challan Master'!$S$4:$S$207,0)),""))-YEAR(J42))*12+(MONTH(IFERROR(INDEX('Challan Master'!$D$4:$D$207,MATCH($B42,'Challan Master'!$S$4:$S$207,0)),""))-MONTH(J42))+1),0))))</f>
      </c>
      <c r="P42" s="7">
        <f>IF($D42="","",0)</f>
      </c>
      <c r="Q42" s="8"/>
      <c r="R42" s="8"/>
      <c r="S42" s="8"/>
      <c r="T42" s="8"/>
      <c r="U42" s="8"/>
      <c r="V42" s="7">
        <f>IF($B42="","",IFERROR(INDEX('Challan Master'!$AA$4:$AA$207,MATCH($B42,'Challan Master'!$S$4:$S$207,0)),""))</f>
      </c>
    </row>
    <row r="43" spans="1:22" x14ac:dyDescent="0.25">
      <c r="A43" s="7">
        <f>IF($D43="","",COUNTIF($D$4:$D43,"&lt;&gt;"))</f>
      </c>
      <c r="B43" s="8"/>
      <c r="C43" s="7">
        <f>IF($B43="","","BSR "&amp;IFERROR(INDEX('Challan Master'!$B$4:$B$207,MATCH($B43,'Challan Master'!$S$4:$S$207,0)),"")&amp;" | Serial "&amp;IFERROR(INDEX('Challan Master'!$C$4:$C$207,MATCH($B43,'Challan Master'!$S$4:$S$207,0)),"")&amp;" | Deposit "&amp;TEXT(IFERROR(INDEX('Challan Master'!$D$4:$D$207,MATCH($B43,'Challan Master'!$S$4:$S$207,0)),""),"dd-mm-yyyy")&amp;" | Minor Head "&amp;IFERROR(INDEX('Challan Master'!$E$4:$E$207,MATCH($B43,'Challan Master'!$S$4:$S$207,0)),"")&amp;" | Tax ₹"&amp;TEXT(IFERROR(INDEX('Challan Master'!$G$4:$G$207,MATCH($B43,'Challan Master'!$S$4:$S$207,0)),""),"#,##0")&amp;" | Section "&amp;IFERROR(INDEX('Challan Master'!$F$4:$F$207,MATCH($B43,'Challan Master'!$S$4:$S$207,0)),""))</f>
      </c>
      <c r="D43" s="8"/>
      <c r="E43" s="8"/>
      <c r="F43" s="7">
        <f>IF($D43="","",IF(AND(LEN(TRIM(UPPER(E43)))=10,CODE(MID(TRIM(UPPER(E43)),1,1))&gt;=65,CODE(MID(TRIM(UPPER(E43)),1,1))&lt;=90,CODE(MID(TRIM(UPPER(E43)),2,1))&gt;=65,CODE(MID(TRIM(UPPER(E43)),2,1))&lt;=90,CODE(MID(TRIM(UPPER(E43)),3,1))&gt;=65,CODE(MID(TRIM(UPPER(E43)),3,1))&lt;=90,CODE(MID(TRIM(UPPER(E43)),4,1))&gt;=65,CODE(MID(TRIM(UPPER(E43)),4,1))&lt;=90,CODE(MID(TRIM(UPPER(E43)),5,1))&gt;=65,CODE(MID(TRIM(UPPER(E43)),5,1))&lt;=90,CODE(MID(TRIM(UPPER(E43)),10,1))&gt;=65,CODE(MID(TRIM(UPPER(E43)),10,1))&lt;=90,CODE(MID(TRIM(UPPER(E43)),6,1))&gt;=48,CODE(MID(TRIM(UPPER(E43)),6,1))&lt;=57,CODE(MID(TRIM(UPPER(E43)),7,1))&gt;=48,CODE(MID(TRIM(UPPER(E43)),7,1))&lt;=57,CODE(MID(TRIM(UPPER(E43)),8,1))&gt;=48,CODE(MID(TRIM(UPPER(E43)),8,1))&lt;=57,CODE(MID(TRIM(UPPER(E43)),9,1))&gt;=48,CODE(MID(TRIM(UPPER(E43)),9,1))&lt;=57),"N","Y"))</f>
      </c>
      <c r="G43" s="7">
        <f>IF($D43="","",IF(LEN(E43)&lt;4,"",IF(UPPER(MID(E43,4,1))="P","Individual",IF(UPPER(MID(E43,4,1))="H","HUF",IF(UPPER(MID(E43,4,1))="C","Company",IF(UPPER(MID(E43,4,1))="F","Firm",IF(UPPER(MID(E43,4,1))="L","LLP",IF(UPPER(MID(E43,4,1))="T","Trust",IF(UPPER(MID(E43,4,1))="A","AOP","")))))))))</f>
      </c>
      <c r="H43" s="8"/>
      <c r="I43" s="7">
        <f>IF($D43="","",IF(H43="","",IF(F43="Y",SUMPRODUCT(('Rate Lookup'!$A$1:$A$37=H43)*'Rate Lookup'!$D$1:$D$37),IF(OR(G43="Individual",G43="HUF"),SUMPRODUCT(('Rate Lookup'!$A$1:$A$37=H43)*'Rate Lookup'!$B$1:$B$37),SUMPRODUCT(('Rate Lookup'!$A$1:$A$37=H43)*'Rate Lookup'!$C$1:$C$37)))))</f>
      </c>
      <c r="J43" s="8"/>
      <c r="K43" s="8"/>
      <c r="L43" s="7">
        <f>IF($D43="","",ROUND(K43*I43/100,0))</f>
      </c>
      <c r="M43" s="7">
        <f>IF($D43="","",0)</f>
      </c>
      <c r="N43" s="7">
        <f>IF($D43="","",0)</f>
      </c>
      <c r="O43" s="7">
        <f>IF($D43="","",IF(OR(L43=0,J43="",IFERROR(INDEX('Challan Master'!$D$4:$D$207,MATCH($B43,'Challan Master'!$S$4:$S$207,0)),"")="",IFERROR(INDEX('Challan Master'!$D$4:$D$207,MATCH($B43,'Challan Master'!$S$4:$S$207,0)),"")&lt;=0),0,IF(IFERROR(INDEX('Challan Master'!$D$4:$D$207,MATCH($B43,'Challan Master'!$S$4:$S$207,0)),"")&lt;=DATE(YEAR(J43),MONTH(J43)+1,7),0,ROUND(L43*0.015*((YEAR(IFERROR(INDEX('Challan Master'!$D$4:$D$207,MATCH($B43,'Challan Master'!$S$4:$S$207,0)),""))-YEAR(J43))*12+(MONTH(IFERROR(INDEX('Challan Master'!$D$4:$D$207,MATCH($B43,'Challan Master'!$S$4:$S$207,0)),""))-MONTH(J43))+1),0))))</f>
      </c>
      <c r="P43" s="7">
        <f>IF($D43="","",0)</f>
      </c>
      <c r="Q43" s="8"/>
      <c r="R43" s="8"/>
      <c r="S43" s="8"/>
      <c r="T43" s="8"/>
      <c r="U43" s="8"/>
      <c r="V43" s="7">
        <f>IF($B43="","",IFERROR(INDEX('Challan Master'!$AA$4:$AA$207,MATCH($B43,'Challan Master'!$S$4:$S$207,0)),""))</f>
      </c>
    </row>
    <row r="44" spans="1:22" x14ac:dyDescent="0.25">
      <c r="A44" s="7">
        <f>IF($D44="","",COUNTIF($D$4:$D44,"&lt;&gt;"))</f>
      </c>
      <c r="B44" s="8"/>
      <c r="C44" s="7">
        <f>IF($B44="","","BSR "&amp;IFERROR(INDEX('Challan Master'!$B$4:$B$207,MATCH($B44,'Challan Master'!$S$4:$S$207,0)),"")&amp;" | Serial "&amp;IFERROR(INDEX('Challan Master'!$C$4:$C$207,MATCH($B44,'Challan Master'!$S$4:$S$207,0)),"")&amp;" | Deposit "&amp;TEXT(IFERROR(INDEX('Challan Master'!$D$4:$D$207,MATCH($B44,'Challan Master'!$S$4:$S$207,0)),""),"dd-mm-yyyy")&amp;" | Minor Head "&amp;IFERROR(INDEX('Challan Master'!$E$4:$E$207,MATCH($B44,'Challan Master'!$S$4:$S$207,0)),"")&amp;" | Tax ₹"&amp;TEXT(IFERROR(INDEX('Challan Master'!$G$4:$G$207,MATCH($B44,'Challan Master'!$S$4:$S$207,0)),""),"#,##0")&amp;" | Section "&amp;IFERROR(INDEX('Challan Master'!$F$4:$F$207,MATCH($B44,'Challan Master'!$S$4:$S$207,0)),""))</f>
      </c>
      <c r="D44" s="8"/>
      <c r="E44" s="8"/>
      <c r="F44" s="7">
        <f>IF($D44="","",IF(AND(LEN(TRIM(UPPER(E44)))=10,CODE(MID(TRIM(UPPER(E44)),1,1))&gt;=65,CODE(MID(TRIM(UPPER(E44)),1,1))&lt;=90,CODE(MID(TRIM(UPPER(E44)),2,1))&gt;=65,CODE(MID(TRIM(UPPER(E44)),2,1))&lt;=90,CODE(MID(TRIM(UPPER(E44)),3,1))&gt;=65,CODE(MID(TRIM(UPPER(E44)),3,1))&lt;=90,CODE(MID(TRIM(UPPER(E44)),4,1))&gt;=65,CODE(MID(TRIM(UPPER(E44)),4,1))&lt;=90,CODE(MID(TRIM(UPPER(E44)),5,1))&gt;=65,CODE(MID(TRIM(UPPER(E44)),5,1))&lt;=90,CODE(MID(TRIM(UPPER(E44)),10,1))&gt;=65,CODE(MID(TRIM(UPPER(E44)),10,1))&lt;=90,CODE(MID(TRIM(UPPER(E44)),6,1))&gt;=48,CODE(MID(TRIM(UPPER(E44)),6,1))&lt;=57,CODE(MID(TRIM(UPPER(E44)),7,1))&gt;=48,CODE(MID(TRIM(UPPER(E44)),7,1))&lt;=57,CODE(MID(TRIM(UPPER(E44)),8,1))&gt;=48,CODE(MID(TRIM(UPPER(E44)),8,1))&lt;=57,CODE(MID(TRIM(UPPER(E44)),9,1))&gt;=48,CODE(MID(TRIM(UPPER(E44)),9,1))&lt;=57),"N","Y"))</f>
      </c>
      <c r="G44" s="7">
        <f>IF($D44="","",IF(LEN(E44)&lt;4,"",IF(UPPER(MID(E44,4,1))="P","Individual",IF(UPPER(MID(E44,4,1))="H","HUF",IF(UPPER(MID(E44,4,1))="C","Company",IF(UPPER(MID(E44,4,1))="F","Firm",IF(UPPER(MID(E44,4,1))="L","LLP",IF(UPPER(MID(E44,4,1))="T","Trust",IF(UPPER(MID(E44,4,1))="A","AOP","")))))))))</f>
      </c>
      <c r="H44" s="8"/>
      <c r="I44" s="7">
        <f>IF($D44="","",IF(H44="","",IF(F44="Y",SUMPRODUCT(('Rate Lookup'!$A$1:$A$37=H44)*'Rate Lookup'!$D$1:$D$37),IF(OR(G44="Individual",G44="HUF"),SUMPRODUCT(('Rate Lookup'!$A$1:$A$37=H44)*'Rate Lookup'!$B$1:$B$37),SUMPRODUCT(('Rate Lookup'!$A$1:$A$37=H44)*'Rate Lookup'!$C$1:$C$37)))))</f>
      </c>
      <c r="J44" s="8"/>
      <c r="K44" s="8"/>
      <c r="L44" s="7">
        <f>IF($D44="","",ROUND(K44*I44/100,0))</f>
      </c>
      <c r="M44" s="7">
        <f>IF($D44="","",0)</f>
      </c>
      <c r="N44" s="7">
        <f>IF($D44="","",0)</f>
      </c>
      <c r="O44" s="7">
        <f>IF($D44="","",IF(OR(L44=0,J44="",IFERROR(INDEX('Challan Master'!$D$4:$D$207,MATCH($B44,'Challan Master'!$S$4:$S$207,0)),"")="",IFERROR(INDEX('Challan Master'!$D$4:$D$207,MATCH($B44,'Challan Master'!$S$4:$S$207,0)),"")&lt;=0),0,IF(IFERROR(INDEX('Challan Master'!$D$4:$D$207,MATCH($B44,'Challan Master'!$S$4:$S$207,0)),"")&lt;=DATE(YEAR(J44),MONTH(J44)+1,7),0,ROUND(L44*0.015*((YEAR(IFERROR(INDEX('Challan Master'!$D$4:$D$207,MATCH($B44,'Challan Master'!$S$4:$S$207,0)),""))-YEAR(J44))*12+(MONTH(IFERROR(INDEX('Challan Master'!$D$4:$D$207,MATCH($B44,'Challan Master'!$S$4:$S$207,0)),""))-MONTH(J44))+1),0))))</f>
      </c>
      <c r="P44" s="7">
        <f>IF($D44="","",0)</f>
      </c>
      <c r="Q44" s="8"/>
      <c r="R44" s="8"/>
      <c r="S44" s="8"/>
      <c r="T44" s="8"/>
      <c r="U44" s="8"/>
      <c r="V44" s="7">
        <f>IF($B44="","",IFERROR(INDEX('Challan Master'!$AA$4:$AA$207,MATCH($B44,'Challan Master'!$S$4:$S$207,0)),""))</f>
      </c>
    </row>
    <row r="45" spans="1:22" x14ac:dyDescent="0.25">
      <c r="A45" s="7">
        <f>IF($D45="","",COUNTIF($D$4:$D45,"&lt;&gt;"))</f>
      </c>
      <c r="B45" s="8"/>
      <c r="C45" s="7">
        <f>IF($B45="","","BSR "&amp;IFERROR(INDEX('Challan Master'!$B$4:$B$207,MATCH($B45,'Challan Master'!$S$4:$S$207,0)),"")&amp;" | Serial "&amp;IFERROR(INDEX('Challan Master'!$C$4:$C$207,MATCH($B45,'Challan Master'!$S$4:$S$207,0)),"")&amp;" | Deposit "&amp;TEXT(IFERROR(INDEX('Challan Master'!$D$4:$D$207,MATCH($B45,'Challan Master'!$S$4:$S$207,0)),""),"dd-mm-yyyy")&amp;" | Minor Head "&amp;IFERROR(INDEX('Challan Master'!$E$4:$E$207,MATCH($B45,'Challan Master'!$S$4:$S$207,0)),"")&amp;" | Tax ₹"&amp;TEXT(IFERROR(INDEX('Challan Master'!$G$4:$G$207,MATCH($B45,'Challan Master'!$S$4:$S$207,0)),""),"#,##0")&amp;" | Section "&amp;IFERROR(INDEX('Challan Master'!$F$4:$F$207,MATCH($B45,'Challan Master'!$S$4:$S$207,0)),""))</f>
      </c>
      <c r="D45" s="8"/>
      <c r="E45" s="8"/>
      <c r="F45" s="7">
        <f>IF($D45="","",IF(AND(LEN(TRIM(UPPER(E45)))=10,CODE(MID(TRIM(UPPER(E45)),1,1))&gt;=65,CODE(MID(TRIM(UPPER(E45)),1,1))&lt;=90,CODE(MID(TRIM(UPPER(E45)),2,1))&gt;=65,CODE(MID(TRIM(UPPER(E45)),2,1))&lt;=90,CODE(MID(TRIM(UPPER(E45)),3,1))&gt;=65,CODE(MID(TRIM(UPPER(E45)),3,1))&lt;=90,CODE(MID(TRIM(UPPER(E45)),4,1))&gt;=65,CODE(MID(TRIM(UPPER(E45)),4,1))&lt;=90,CODE(MID(TRIM(UPPER(E45)),5,1))&gt;=65,CODE(MID(TRIM(UPPER(E45)),5,1))&lt;=90,CODE(MID(TRIM(UPPER(E45)),10,1))&gt;=65,CODE(MID(TRIM(UPPER(E45)),10,1))&lt;=90,CODE(MID(TRIM(UPPER(E45)),6,1))&gt;=48,CODE(MID(TRIM(UPPER(E45)),6,1))&lt;=57,CODE(MID(TRIM(UPPER(E45)),7,1))&gt;=48,CODE(MID(TRIM(UPPER(E45)),7,1))&lt;=57,CODE(MID(TRIM(UPPER(E45)),8,1))&gt;=48,CODE(MID(TRIM(UPPER(E45)),8,1))&lt;=57,CODE(MID(TRIM(UPPER(E45)),9,1))&gt;=48,CODE(MID(TRIM(UPPER(E45)),9,1))&lt;=57),"N","Y"))</f>
      </c>
      <c r="G45" s="7">
        <f>IF($D45="","",IF(LEN(E45)&lt;4,"",IF(UPPER(MID(E45,4,1))="P","Individual",IF(UPPER(MID(E45,4,1))="H","HUF",IF(UPPER(MID(E45,4,1))="C","Company",IF(UPPER(MID(E45,4,1))="F","Firm",IF(UPPER(MID(E45,4,1))="L","LLP",IF(UPPER(MID(E45,4,1))="T","Trust",IF(UPPER(MID(E45,4,1))="A","AOP","")))))))))</f>
      </c>
      <c r="H45" s="8"/>
      <c r="I45" s="7">
        <f>IF($D45="","",IF(H45="","",IF(F45="Y",SUMPRODUCT(('Rate Lookup'!$A$1:$A$37=H45)*'Rate Lookup'!$D$1:$D$37),IF(OR(G45="Individual",G45="HUF"),SUMPRODUCT(('Rate Lookup'!$A$1:$A$37=H45)*'Rate Lookup'!$B$1:$B$37),SUMPRODUCT(('Rate Lookup'!$A$1:$A$37=H45)*'Rate Lookup'!$C$1:$C$37)))))</f>
      </c>
      <c r="J45" s="8"/>
      <c r="K45" s="8"/>
      <c r="L45" s="7">
        <f>IF($D45="","",ROUND(K45*I45/100,0))</f>
      </c>
      <c r="M45" s="7">
        <f>IF($D45="","",0)</f>
      </c>
      <c r="N45" s="7">
        <f>IF($D45="","",0)</f>
      </c>
      <c r="O45" s="7">
        <f>IF($D45="","",IF(OR(L45=0,J45="",IFERROR(INDEX('Challan Master'!$D$4:$D$207,MATCH($B45,'Challan Master'!$S$4:$S$207,0)),"")="",IFERROR(INDEX('Challan Master'!$D$4:$D$207,MATCH($B45,'Challan Master'!$S$4:$S$207,0)),"")&lt;=0),0,IF(IFERROR(INDEX('Challan Master'!$D$4:$D$207,MATCH($B45,'Challan Master'!$S$4:$S$207,0)),"")&lt;=DATE(YEAR(J45),MONTH(J45)+1,7),0,ROUND(L45*0.015*((YEAR(IFERROR(INDEX('Challan Master'!$D$4:$D$207,MATCH($B45,'Challan Master'!$S$4:$S$207,0)),""))-YEAR(J45))*12+(MONTH(IFERROR(INDEX('Challan Master'!$D$4:$D$207,MATCH($B45,'Challan Master'!$S$4:$S$207,0)),""))-MONTH(J45))+1),0))))</f>
      </c>
      <c r="P45" s="7">
        <f>IF($D45="","",0)</f>
      </c>
      <c r="Q45" s="8"/>
      <c r="R45" s="8"/>
      <c r="S45" s="8"/>
      <c r="T45" s="8"/>
      <c r="U45" s="8"/>
      <c r="V45" s="7">
        <f>IF($B45="","",IFERROR(INDEX('Challan Master'!$AA$4:$AA$207,MATCH($B45,'Challan Master'!$S$4:$S$207,0)),""))</f>
      </c>
    </row>
    <row r="46" spans="1:22" x14ac:dyDescent="0.25">
      <c r="A46" s="7">
        <f>IF($D46="","",COUNTIF($D$4:$D46,"&lt;&gt;"))</f>
      </c>
      <c r="B46" s="8"/>
      <c r="C46" s="7">
        <f>IF($B46="","","BSR "&amp;IFERROR(INDEX('Challan Master'!$B$4:$B$207,MATCH($B46,'Challan Master'!$S$4:$S$207,0)),"")&amp;" | Serial "&amp;IFERROR(INDEX('Challan Master'!$C$4:$C$207,MATCH($B46,'Challan Master'!$S$4:$S$207,0)),"")&amp;" | Deposit "&amp;TEXT(IFERROR(INDEX('Challan Master'!$D$4:$D$207,MATCH($B46,'Challan Master'!$S$4:$S$207,0)),""),"dd-mm-yyyy")&amp;" | Minor Head "&amp;IFERROR(INDEX('Challan Master'!$E$4:$E$207,MATCH($B46,'Challan Master'!$S$4:$S$207,0)),"")&amp;" | Tax ₹"&amp;TEXT(IFERROR(INDEX('Challan Master'!$G$4:$G$207,MATCH($B46,'Challan Master'!$S$4:$S$207,0)),""),"#,##0")&amp;" | Section "&amp;IFERROR(INDEX('Challan Master'!$F$4:$F$207,MATCH($B46,'Challan Master'!$S$4:$S$207,0)),""))</f>
      </c>
      <c r="D46" s="8"/>
      <c r="E46" s="8"/>
      <c r="F46" s="7">
        <f>IF($D46="","",IF(AND(LEN(TRIM(UPPER(E46)))=10,CODE(MID(TRIM(UPPER(E46)),1,1))&gt;=65,CODE(MID(TRIM(UPPER(E46)),1,1))&lt;=90,CODE(MID(TRIM(UPPER(E46)),2,1))&gt;=65,CODE(MID(TRIM(UPPER(E46)),2,1))&lt;=90,CODE(MID(TRIM(UPPER(E46)),3,1))&gt;=65,CODE(MID(TRIM(UPPER(E46)),3,1))&lt;=90,CODE(MID(TRIM(UPPER(E46)),4,1))&gt;=65,CODE(MID(TRIM(UPPER(E46)),4,1))&lt;=90,CODE(MID(TRIM(UPPER(E46)),5,1))&gt;=65,CODE(MID(TRIM(UPPER(E46)),5,1))&lt;=90,CODE(MID(TRIM(UPPER(E46)),10,1))&gt;=65,CODE(MID(TRIM(UPPER(E46)),10,1))&lt;=90,CODE(MID(TRIM(UPPER(E46)),6,1))&gt;=48,CODE(MID(TRIM(UPPER(E46)),6,1))&lt;=57,CODE(MID(TRIM(UPPER(E46)),7,1))&gt;=48,CODE(MID(TRIM(UPPER(E46)),7,1))&lt;=57,CODE(MID(TRIM(UPPER(E46)),8,1))&gt;=48,CODE(MID(TRIM(UPPER(E46)),8,1))&lt;=57,CODE(MID(TRIM(UPPER(E46)),9,1))&gt;=48,CODE(MID(TRIM(UPPER(E46)),9,1))&lt;=57),"N","Y"))</f>
      </c>
      <c r="G46" s="7">
        <f>IF($D46="","",IF(LEN(E46)&lt;4,"",IF(UPPER(MID(E46,4,1))="P","Individual",IF(UPPER(MID(E46,4,1))="H","HUF",IF(UPPER(MID(E46,4,1))="C","Company",IF(UPPER(MID(E46,4,1))="F","Firm",IF(UPPER(MID(E46,4,1))="L","LLP",IF(UPPER(MID(E46,4,1))="T","Trust",IF(UPPER(MID(E46,4,1))="A","AOP","")))))))))</f>
      </c>
      <c r="H46" s="8"/>
      <c r="I46" s="7">
        <f>IF($D46="","",IF(H46="","",IF(F46="Y",SUMPRODUCT(('Rate Lookup'!$A$1:$A$37=H46)*'Rate Lookup'!$D$1:$D$37),IF(OR(G46="Individual",G46="HUF"),SUMPRODUCT(('Rate Lookup'!$A$1:$A$37=H46)*'Rate Lookup'!$B$1:$B$37),SUMPRODUCT(('Rate Lookup'!$A$1:$A$37=H46)*'Rate Lookup'!$C$1:$C$37)))))</f>
      </c>
      <c r="J46" s="8"/>
      <c r="K46" s="8"/>
      <c r="L46" s="7">
        <f>IF($D46="","",ROUND(K46*I46/100,0))</f>
      </c>
      <c r="M46" s="7">
        <f>IF($D46="","",0)</f>
      </c>
      <c r="N46" s="7">
        <f>IF($D46="","",0)</f>
      </c>
      <c r="O46" s="7">
        <f>IF($D46="","",IF(OR(L46=0,J46="",IFERROR(INDEX('Challan Master'!$D$4:$D$207,MATCH($B46,'Challan Master'!$S$4:$S$207,0)),"")="",IFERROR(INDEX('Challan Master'!$D$4:$D$207,MATCH($B46,'Challan Master'!$S$4:$S$207,0)),"")&lt;=0),0,IF(IFERROR(INDEX('Challan Master'!$D$4:$D$207,MATCH($B46,'Challan Master'!$S$4:$S$207,0)),"")&lt;=DATE(YEAR(J46),MONTH(J46)+1,7),0,ROUND(L46*0.015*((YEAR(IFERROR(INDEX('Challan Master'!$D$4:$D$207,MATCH($B46,'Challan Master'!$S$4:$S$207,0)),""))-YEAR(J46))*12+(MONTH(IFERROR(INDEX('Challan Master'!$D$4:$D$207,MATCH($B46,'Challan Master'!$S$4:$S$207,0)),""))-MONTH(J46))+1),0))))</f>
      </c>
      <c r="P46" s="7">
        <f>IF($D46="","",0)</f>
      </c>
      <c r="Q46" s="8"/>
      <c r="R46" s="8"/>
      <c r="S46" s="8"/>
      <c r="T46" s="8"/>
      <c r="U46" s="8"/>
      <c r="V46" s="7">
        <f>IF($B46="","",IFERROR(INDEX('Challan Master'!$AA$4:$AA$207,MATCH($B46,'Challan Master'!$S$4:$S$207,0)),""))</f>
      </c>
    </row>
    <row r="47" spans="1:22" x14ac:dyDescent="0.25">
      <c r="A47" s="7">
        <f>IF($D47="","",COUNTIF($D$4:$D47,"&lt;&gt;"))</f>
      </c>
      <c r="B47" s="8"/>
      <c r="C47" s="7">
        <f>IF($B47="","","BSR "&amp;IFERROR(INDEX('Challan Master'!$B$4:$B$207,MATCH($B47,'Challan Master'!$S$4:$S$207,0)),"")&amp;" | Serial "&amp;IFERROR(INDEX('Challan Master'!$C$4:$C$207,MATCH($B47,'Challan Master'!$S$4:$S$207,0)),"")&amp;" | Deposit "&amp;TEXT(IFERROR(INDEX('Challan Master'!$D$4:$D$207,MATCH($B47,'Challan Master'!$S$4:$S$207,0)),""),"dd-mm-yyyy")&amp;" | Minor Head "&amp;IFERROR(INDEX('Challan Master'!$E$4:$E$207,MATCH($B47,'Challan Master'!$S$4:$S$207,0)),"")&amp;" | Tax ₹"&amp;TEXT(IFERROR(INDEX('Challan Master'!$G$4:$G$207,MATCH($B47,'Challan Master'!$S$4:$S$207,0)),""),"#,##0")&amp;" | Section "&amp;IFERROR(INDEX('Challan Master'!$F$4:$F$207,MATCH($B47,'Challan Master'!$S$4:$S$207,0)),""))</f>
      </c>
      <c r="D47" s="8"/>
      <c r="E47" s="8"/>
      <c r="F47" s="7">
        <f>IF($D47="","",IF(AND(LEN(TRIM(UPPER(E47)))=10,CODE(MID(TRIM(UPPER(E47)),1,1))&gt;=65,CODE(MID(TRIM(UPPER(E47)),1,1))&lt;=90,CODE(MID(TRIM(UPPER(E47)),2,1))&gt;=65,CODE(MID(TRIM(UPPER(E47)),2,1))&lt;=90,CODE(MID(TRIM(UPPER(E47)),3,1))&gt;=65,CODE(MID(TRIM(UPPER(E47)),3,1))&lt;=90,CODE(MID(TRIM(UPPER(E47)),4,1))&gt;=65,CODE(MID(TRIM(UPPER(E47)),4,1))&lt;=90,CODE(MID(TRIM(UPPER(E47)),5,1))&gt;=65,CODE(MID(TRIM(UPPER(E47)),5,1))&lt;=90,CODE(MID(TRIM(UPPER(E47)),10,1))&gt;=65,CODE(MID(TRIM(UPPER(E47)),10,1))&lt;=90,CODE(MID(TRIM(UPPER(E47)),6,1))&gt;=48,CODE(MID(TRIM(UPPER(E47)),6,1))&lt;=57,CODE(MID(TRIM(UPPER(E47)),7,1))&gt;=48,CODE(MID(TRIM(UPPER(E47)),7,1))&lt;=57,CODE(MID(TRIM(UPPER(E47)),8,1))&gt;=48,CODE(MID(TRIM(UPPER(E47)),8,1))&lt;=57,CODE(MID(TRIM(UPPER(E47)),9,1))&gt;=48,CODE(MID(TRIM(UPPER(E47)),9,1))&lt;=57),"N","Y"))</f>
      </c>
      <c r="G47" s="7">
        <f>IF($D47="","",IF(LEN(E47)&lt;4,"",IF(UPPER(MID(E47,4,1))="P","Individual",IF(UPPER(MID(E47,4,1))="H","HUF",IF(UPPER(MID(E47,4,1))="C","Company",IF(UPPER(MID(E47,4,1))="F","Firm",IF(UPPER(MID(E47,4,1))="L","LLP",IF(UPPER(MID(E47,4,1))="T","Trust",IF(UPPER(MID(E47,4,1))="A","AOP","")))))))))</f>
      </c>
      <c r="H47" s="8"/>
      <c r="I47" s="7">
        <f>IF($D47="","",IF(H47="","",IF(F47="Y",SUMPRODUCT(('Rate Lookup'!$A$1:$A$37=H47)*'Rate Lookup'!$D$1:$D$37),IF(OR(G47="Individual",G47="HUF"),SUMPRODUCT(('Rate Lookup'!$A$1:$A$37=H47)*'Rate Lookup'!$B$1:$B$37),SUMPRODUCT(('Rate Lookup'!$A$1:$A$37=H47)*'Rate Lookup'!$C$1:$C$37)))))</f>
      </c>
      <c r="J47" s="8"/>
      <c r="K47" s="8"/>
      <c r="L47" s="7">
        <f>IF($D47="","",ROUND(K47*I47/100,0))</f>
      </c>
      <c r="M47" s="7">
        <f>IF($D47="","",0)</f>
      </c>
      <c r="N47" s="7">
        <f>IF($D47="","",0)</f>
      </c>
      <c r="O47" s="7">
        <f>IF($D47="","",IF(OR(L47=0,J47="",IFERROR(INDEX('Challan Master'!$D$4:$D$207,MATCH($B47,'Challan Master'!$S$4:$S$207,0)),"")="",IFERROR(INDEX('Challan Master'!$D$4:$D$207,MATCH($B47,'Challan Master'!$S$4:$S$207,0)),"")&lt;=0),0,IF(IFERROR(INDEX('Challan Master'!$D$4:$D$207,MATCH($B47,'Challan Master'!$S$4:$S$207,0)),"")&lt;=DATE(YEAR(J47),MONTH(J47)+1,7),0,ROUND(L47*0.015*((YEAR(IFERROR(INDEX('Challan Master'!$D$4:$D$207,MATCH($B47,'Challan Master'!$S$4:$S$207,0)),""))-YEAR(J47))*12+(MONTH(IFERROR(INDEX('Challan Master'!$D$4:$D$207,MATCH($B47,'Challan Master'!$S$4:$S$207,0)),""))-MONTH(J47))+1),0))))</f>
      </c>
      <c r="P47" s="7">
        <f>IF($D47="","",0)</f>
      </c>
      <c r="Q47" s="8"/>
      <c r="R47" s="8"/>
      <c r="S47" s="8"/>
      <c r="T47" s="8"/>
      <c r="U47" s="8"/>
      <c r="V47" s="7">
        <f>IF($B47="","",IFERROR(INDEX('Challan Master'!$AA$4:$AA$207,MATCH($B47,'Challan Master'!$S$4:$S$207,0)),""))</f>
      </c>
    </row>
    <row r="48" spans="1:22" x14ac:dyDescent="0.25">
      <c r="A48" s="7">
        <f>IF($D48="","",COUNTIF($D$4:$D48,"&lt;&gt;"))</f>
      </c>
      <c r="B48" s="8"/>
      <c r="C48" s="7">
        <f>IF($B48="","","BSR "&amp;IFERROR(INDEX('Challan Master'!$B$4:$B$207,MATCH($B48,'Challan Master'!$S$4:$S$207,0)),"")&amp;" | Serial "&amp;IFERROR(INDEX('Challan Master'!$C$4:$C$207,MATCH($B48,'Challan Master'!$S$4:$S$207,0)),"")&amp;" | Deposit "&amp;TEXT(IFERROR(INDEX('Challan Master'!$D$4:$D$207,MATCH($B48,'Challan Master'!$S$4:$S$207,0)),""),"dd-mm-yyyy")&amp;" | Minor Head "&amp;IFERROR(INDEX('Challan Master'!$E$4:$E$207,MATCH($B48,'Challan Master'!$S$4:$S$207,0)),"")&amp;" | Tax ₹"&amp;TEXT(IFERROR(INDEX('Challan Master'!$G$4:$G$207,MATCH($B48,'Challan Master'!$S$4:$S$207,0)),""),"#,##0")&amp;" | Section "&amp;IFERROR(INDEX('Challan Master'!$F$4:$F$207,MATCH($B48,'Challan Master'!$S$4:$S$207,0)),""))</f>
      </c>
      <c r="D48" s="8"/>
      <c r="E48" s="8"/>
      <c r="F48" s="7">
        <f>IF($D48="","",IF(AND(LEN(TRIM(UPPER(E48)))=10,CODE(MID(TRIM(UPPER(E48)),1,1))&gt;=65,CODE(MID(TRIM(UPPER(E48)),1,1))&lt;=90,CODE(MID(TRIM(UPPER(E48)),2,1))&gt;=65,CODE(MID(TRIM(UPPER(E48)),2,1))&lt;=90,CODE(MID(TRIM(UPPER(E48)),3,1))&gt;=65,CODE(MID(TRIM(UPPER(E48)),3,1))&lt;=90,CODE(MID(TRIM(UPPER(E48)),4,1))&gt;=65,CODE(MID(TRIM(UPPER(E48)),4,1))&lt;=90,CODE(MID(TRIM(UPPER(E48)),5,1))&gt;=65,CODE(MID(TRIM(UPPER(E48)),5,1))&lt;=90,CODE(MID(TRIM(UPPER(E48)),10,1))&gt;=65,CODE(MID(TRIM(UPPER(E48)),10,1))&lt;=90,CODE(MID(TRIM(UPPER(E48)),6,1))&gt;=48,CODE(MID(TRIM(UPPER(E48)),6,1))&lt;=57,CODE(MID(TRIM(UPPER(E48)),7,1))&gt;=48,CODE(MID(TRIM(UPPER(E48)),7,1))&lt;=57,CODE(MID(TRIM(UPPER(E48)),8,1))&gt;=48,CODE(MID(TRIM(UPPER(E48)),8,1))&lt;=57,CODE(MID(TRIM(UPPER(E48)),9,1))&gt;=48,CODE(MID(TRIM(UPPER(E48)),9,1))&lt;=57),"N","Y"))</f>
      </c>
      <c r="G48" s="7">
        <f>IF($D48="","",IF(LEN(E48)&lt;4,"",IF(UPPER(MID(E48,4,1))="P","Individual",IF(UPPER(MID(E48,4,1))="H","HUF",IF(UPPER(MID(E48,4,1))="C","Company",IF(UPPER(MID(E48,4,1))="F","Firm",IF(UPPER(MID(E48,4,1))="L","LLP",IF(UPPER(MID(E48,4,1))="T","Trust",IF(UPPER(MID(E48,4,1))="A","AOP","")))))))))</f>
      </c>
      <c r="H48" s="8"/>
      <c r="I48" s="7">
        <f>IF($D48="","",IF(H48="","",IF(F48="Y",SUMPRODUCT(('Rate Lookup'!$A$1:$A$37=H48)*'Rate Lookup'!$D$1:$D$37),IF(OR(G48="Individual",G48="HUF"),SUMPRODUCT(('Rate Lookup'!$A$1:$A$37=H48)*'Rate Lookup'!$B$1:$B$37),SUMPRODUCT(('Rate Lookup'!$A$1:$A$37=H48)*'Rate Lookup'!$C$1:$C$37)))))</f>
      </c>
      <c r="J48" s="8"/>
      <c r="K48" s="8"/>
      <c r="L48" s="7">
        <f>IF($D48="","",ROUND(K48*I48/100,0))</f>
      </c>
      <c r="M48" s="7">
        <f>IF($D48="","",0)</f>
      </c>
      <c r="N48" s="7">
        <f>IF($D48="","",0)</f>
      </c>
      <c r="O48" s="7">
        <f>IF($D48="","",IF(OR(L48=0,J48="",IFERROR(INDEX('Challan Master'!$D$4:$D$207,MATCH($B48,'Challan Master'!$S$4:$S$207,0)),"")="",IFERROR(INDEX('Challan Master'!$D$4:$D$207,MATCH($B48,'Challan Master'!$S$4:$S$207,0)),"")&lt;=0),0,IF(IFERROR(INDEX('Challan Master'!$D$4:$D$207,MATCH($B48,'Challan Master'!$S$4:$S$207,0)),"")&lt;=DATE(YEAR(J48),MONTH(J48)+1,7),0,ROUND(L48*0.015*((YEAR(IFERROR(INDEX('Challan Master'!$D$4:$D$207,MATCH($B48,'Challan Master'!$S$4:$S$207,0)),""))-YEAR(J48))*12+(MONTH(IFERROR(INDEX('Challan Master'!$D$4:$D$207,MATCH($B48,'Challan Master'!$S$4:$S$207,0)),""))-MONTH(J48))+1),0))))</f>
      </c>
      <c r="P48" s="7">
        <f>IF($D48="","",0)</f>
      </c>
      <c r="Q48" s="8"/>
      <c r="R48" s="8"/>
      <c r="S48" s="8"/>
      <c r="T48" s="8"/>
      <c r="U48" s="8"/>
      <c r="V48" s="7">
        <f>IF($B48="","",IFERROR(INDEX('Challan Master'!$AA$4:$AA$207,MATCH($B48,'Challan Master'!$S$4:$S$207,0)),""))</f>
      </c>
    </row>
    <row r="49" spans="1:22" x14ac:dyDescent="0.25">
      <c r="A49" s="7">
        <f>IF($D49="","",COUNTIF($D$4:$D49,"&lt;&gt;"))</f>
      </c>
      <c r="B49" s="8"/>
      <c r="C49" s="7">
        <f>IF($B49="","","BSR "&amp;IFERROR(INDEX('Challan Master'!$B$4:$B$207,MATCH($B49,'Challan Master'!$S$4:$S$207,0)),"")&amp;" | Serial "&amp;IFERROR(INDEX('Challan Master'!$C$4:$C$207,MATCH($B49,'Challan Master'!$S$4:$S$207,0)),"")&amp;" | Deposit "&amp;TEXT(IFERROR(INDEX('Challan Master'!$D$4:$D$207,MATCH($B49,'Challan Master'!$S$4:$S$207,0)),""),"dd-mm-yyyy")&amp;" | Minor Head "&amp;IFERROR(INDEX('Challan Master'!$E$4:$E$207,MATCH($B49,'Challan Master'!$S$4:$S$207,0)),"")&amp;" | Tax ₹"&amp;TEXT(IFERROR(INDEX('Challan Master'!$G$4:$G$207,MATCH($B49,'Challan Master'!$S$4:$S$207,0)),""),"#,##0")&amp;" | Section "&amp;IFERROR(INDEX('Challan Master'!$F$4:$F$207,MATCH($B49,'Challan Master'!$S$4:$S$207,0)),""))</f>
      </c>
      <c r="D49" s="8"/>
      <c r="E49" s="8"/>
      <c r="F49" s="7">
        <f>IF($D49="","",IF(AND(LEN(TRIM(UPPER(E49)))=10,CODE(MID(TRIM(UPPER(E49)),1,1))&gt;=65,CODE(MID(TRIM(UPPER(E49)),1,1))&lt;=90,CODE(MID(TRIM(UPPER(E49)),2,1))&gt;=65,CODE(MID(TRIM(UPPER(E49)),2,1))&lt;=90,CODE(MID(TRIM(UPPER(E49)),3,1))&gt;=65,CODE(MID(TRIM(UPPER(E49)),3,1))&lt;=90,CODE(MID(TRIM(UPPER(E49)),4,1))&gt;=65,CODE(MID(TRIM(UPPER(E49)),4,1))&lt;=90,CODE(MID(TRIM(UPPER(E49)),5,1))&gt;=65,CODE(MID(TRIM(UPPER(E49)),5,1))&lt;=90,CODE(MID(TRIM(UPPER(E49)),10,1))&gt;=65,CODE(MID(TRIM(UPPER(E49)),10,1))&lt;=90,CODE(MID(TRIM(UPPER(E49)),6,1))&gt;=48,CODE(MID(TRIM(UPPER(E49)),6,1))&lt;=57,CODE(MID(TRIM(UPPER(E49)),7,1))&gt;=48,CODE(MID(TRIM(UPPER(E49)),7,1))&lt;=57,CODE(MID(TRIM(UPPER(E49)),8,1))&gt;=48,CODE(MID(TRIM(UPPER(E49)),8,1))&lt;=57,CODE(MID(TRIM(UPPER(E49)),9,1))&gt;=48,CODE(MID(TRIM(UPPER(E49)),9,1))&lt;=57),"N","Y"))</f>
      </c>
      <c r="G49" s="7">
        <f>IF($D49="","",IF(LEN(E49)&lt;4,"",IF(UPPER(MID(E49,4,1))="P","Individual",IF(UPPER(MID(E49,4,1))="H","HUF",IF(UPPER(MID(E49,4,1))="C","Company",IF(UPPER(MID(E49,4,1))="F","Firm",IF(UPPER(MID(E49,4,1))="L","LLP",IF(UPPER(MID(E49,4,1))="T","Trust",IF(UPPER(MID(E49,4,1))="A","AOP","")))))))))</f>
      </c>
      <c r="H49" s="8"/>
      <c r="I49" s="7">
        <f>IF($D49="","",IF(H49="","",IF(F49="Y",SUMPRODUCT(('Rate Lookup'!$A$1:$A$37=H49)*'Rate Lookup'!$D$1:$D$37),IF(OR(G49="Individual",G49="HUF"),SUMPRODUCT(('Rate Lookup'!$A$1:$A$37=H49)*'Rate Lookup'!$B$1:$B$37),SUMPRODUCT(('Rate Lookup'!$A$1:$A$37=H49)*'Rate Lookup'!$C$1:$C$37)))))</f>
      </c>
      <c r="J49" s="8"/>
      <c r="K49" s="8"/>
      <c r="L49" s="7">
        <f>IF($D49="","",ROUND(K49*I49/100,0))</f>
      </c>
      <c r="M49" s="7">
        <f>IF($D49="","",0)</f>
      </c>
      <c r="N49" s="7">
        <f>IF($D49="","",0)</f>
      </c>
      <c r="O49" s="7">
        <f>IF($D49="","",IF(OR(L49=0,J49="",IFERROR(INDEX('Challan Master'!$D$4:$D$207,MATCH($B49,'Challan Master'!$S$4:$S$207,0)),"")="",IFERROR(INDEX('Challan Master'!$D$4:$D$207,MATCH($B49,'Challan Master'!$S$4:$S$207,0)),"")&lt;=0),0,IF(IFERROR(INDEX('Challan Master'!$D$4:$D$207,MATCH($B49,'Challan Master'!$S$4:$S$207,0)),"")&lt;=DATE(YEAR(J49),MONTH(J49)+1,7),0,ROUND(L49*0.015*((YEAR(IFERROR(INDEX('Challan Master'!$D$4:$D$207,MATCH($B49,'Challan Master'!$S$4:$S$207,0)),""))-YEAR(J49))*12+(MONTH(IFERROR(INDEX('Challan Master'!$D$4:$D$207,MATCH($B49,'Challan Master'!$S$4:$S$207,0)),""))-MONTH(J49))+1),0))))</f>
      </c>
      <c r="P49" s="7">
        <f>IF($D49="","",0)</f>
      </c>
      <c r="Q49" s="8"/>
      <c r="R49" s="8"/>
      <c r="S49" s="8"/>
      <c r="T49" s="8"/>
      <c r="U49" s="8"/>
      <c r="V49" s="7">
        <f>IF($B49="","",IFERROR(INDEX('Challan Master'!$AA$4:$AA$207,MATCH($B49,'Challan Master'!$S$4:$S$207,0)),""))</f>
      </c>
    </row>
    <row r="50" spans="1:22" x14ac:dyDescent="0.25">
      <c r="A50" s="7">
        <f>IF($D50="","",COUNTIF($D$4:$D50,"&lt;&gt;"))</f>
      </c>
      <c r="B50" s="8"/>
      <c r="C50" s="7">
        <f>IF($B50="","","BSR "&amp;IFERROR(INDEX('Challan Master'!$B$4:$B$207,MATCH($B50,'Challan Master'!$S$4:$S$207,0)),"")&amp;" | Serial "&amp;IFERROR(INDEX('Challan Master'!$C$4:$C$207,MATCH($B50,'Challan Master'!$S$4:$S$207,0)),"")&amp;" | Deposit "&amp;TEXT(IFERROR(INDEX('Challan Master'!$D$4:$D$207,MATCH($B50,'Challan Master'!$S$4:$S$207,0)),""),"dd-mm-yyyy")&amp;" | Minor Head "&amp;IFERROR(INDEX('Challan Master'!$E$4:$E$207,MATCH($B50,'Challan Master'!$S$4:$S$207,0)),"")&amp;" | Tax ₹"&amp;TEXT(IFERROR(INDEX('Challan Master'!$G$4:$G$207,MATCH($B50,'Challan Master'!$S$4:$S$207,0)),""),"#,##0")&amp;" | Section "&amp;IFERROR(INDEX('Challan Master'!$F$4:$F$207,MATCH($B50,'Challan Master'!$S$4:$S$207,0)),""))</f>
      </c>
      <c r="D50" s="8"/>
      <c r="E50" s="8"/>
      <c r="F50" s="7">
        <f>IF($D50="","",IF(AND(LEN(TRIM(UPPER(E50)))=10,CODE(MID(TRIM(UPPER(E50)),1,1))&gt;=65,CODE(MID(TRIM(UPPER(E50)),1,1))&lt;=90,CODE(MID(TRIM(UPPER(E50)),2,1))&gt;=65,CODE(MID(TRIM(UPPER(E50)),2,1))&lt;=90,CODE(MID(TRIM(UPPER(E50)),3,1))&gt;=65,CODE(MID(TRIM(UPPER(E50)),3,1))&lt;=90,CODE(MID(TRIM(UPPER(E50)),4,1))&gt;=65,CODE(MID(TRIM(UPPER(E50)),4,1))&lt;=90,CODE(MID(TRIM(UPPER(E50)),5,1))&gt;=65,CODE(MID(TRIM(UPPER(E50)),5,1))&lt;=90,CODE(MID(TRIM(UPPER(E50)),10,1))&gt;=65,CODE(MID(TRIM(UPPER(E50)),10,1))&lt;=90,CODE(MID(TRIM(UPPER(E50)),6,1))&gt;=48,CODE(MID(TRIM(UPPER(E50)),6,1))&lt;=57,CODE(MID(TRIM(UPPER(E50)),7,1))&gt;=48,CODE(MID(TRIM(UPPER(E50)),7,1))&lt;=57,CODE(MID(TRIM(UPPER(E50)),8,1))&gt;=48,CODE(MID(TRIM(UPPER(E50)),8,1))&lt;=57,CODE(MID(TRIM(UPPER(E50)),9,1))&gt;=48,CODE(MID(TRIM(UPPER(E50)),9,1))&lt;=57),"N","Y"))</f>
      </c>
      <c r="G50" s="7">
        <f>IF($D50="","",IF(LEN(E50)&lt;4,"",IF(UPPER(MID(E50,4,1))="P","Individual",IF(UPPER(MID(E50,4,1))="H","HUF",IF(UPPER(MID(E50,4,1))="C","Company",IF(UPPER(MID(E50,4,1))="F","Firm",IF(UPPER(MID(E50,4,1))="L","LLP",IF(UPPER(MID(E50,4,1))="T","Trust",IF(UPPER(MID(E50,4,1))="A","AOP","")))))))))</f>
      </c>
      <c r="H50" s="8"/>
      <c r="I50" s="7">
        <f>IF($D50="","",IF(H50="","",IF(F50="Y",SUMPRODUCT(('Rate Lookup'!$A$1:$A$37=H50)*'Rate Lookup'!$D$1:$D$37),IF(OR(G50="Individual",G50="HUF"),SUMPRODUCT(('Rate Lookup'!$A$1:$A$37=H50)*'Rate Lookup'!$B$1:$B$37),SUMPRODUCT(('Rate Lookup'!$A$1:$A$37=H50)*'Rate Lookup'!$C$1:$C$37)))))</f>
      </c>
      <c r="J50" s="8"/>
      <c r="K50" s="8"/>
      <c r="L50" s="7">
        <f>IF($D50="","",ROUND(K50*I50/100,0))</f>
      </c>
      <c r="M50" s="7">
        <f>IF($D50="","",0)</f>
      </c>
      <c r="N50" s="7">
        <f>IF($D50="","",0)</f>
      </c>
      <c r="O50" s="7">
        <f>IF($D50="","",IF(OR(L50=0,J50="",IFERROR(INDEX('Challan Master'!$D$4:$D$207,MATCH($B50,'Challan Master'!$S$4:$S$207,0)),"")="",IFERROR(INDEX('Challan Master'!$D$4:$D$207,MATCH($B50,'Challan Master'!$S$4:$S$207,0)),"")&lt;=0),0,IF(IFERROR(INDEX('Challan Master'!$D$4:$D$207,MATCH($B50,'Challan Master'!$S$4:$S$207,0)),"")&lt;=DATE(YEAR(J50),MONTH(J50)+1,7),0,ROUND(L50*0.015*((YEAR(IFERROR(INDEX('Challan Master'!$D$4:$D$207,MATCH($B50,'Challan Master'!$S$4:$S$207,0)),""))-YEAR(J50))*12+(MONTH(IFERROR(INDEX('Challan Master'!$D$4:$D$207,MATCH($B50,'Challan Master'!$S$4:$S$207,0)),""))-MONTH(J50))+1),0))))</f>
      </c>
      <c r="P50" s="7">
        <f>IF($D50="","",0)</f>
      </c>
      <c r="Q50" s="8"/>
      <c r="R50" s="8"/>
      <c r="S50" s="8"/>
      <c r="T50" s="8"/>
      <c r="U50" s="8"/>
      <c r="V50" s="7">
        <f>IF($B50="","",IFERROR(INDEX('Challan Master'!$AA$4:$AA$207,MATCH($B50,'Challan Master'!$S$4:$S$207,0)),""))</f>
      </c>
    </row>
    <row r="51" spans="1:22" x14ac:dyDescent="0.25">
      <c r="A51" s="7">
        <f>IF($D51="","",COUNTIF($D$4:$D51,"&lt;&gt;"))</f>
      </c>
      <c r="B51" s="8"/>
      <c r="C51" s="7">
        <f>IF($B51="","","BSR "&amp;IFERROR(INDEX('Challan Master'!$B$4:$B$207,MATCH($B51,'Challan Master'!$S$4:$S$207,0)),"")&amp;" | Serial "&amp;IFERROR(INDEX('Challan Master'!$C$4:$C$207,MATCH($B51,'Challan Master'!$S$4:$S$207,0)),"")&amp;" | Deposit "&amp;TEXT(IFERROR(INDEX('Challan Master'!$D$4:$D$207,MATCH($B51,'Challan Master'!$S$4:$S$207,0)),""),"dd-mm-yyyy")&amp;" | Minor Head "&amp;IFERROR(INDEX('Challan Master'!$E$4:$E$207,MATCH($B51,'Challan Master'!$S$4:$S$207,0)),"")&amp;" | Tax ₹"&amp;TEXT(IFERROR(INDEX('Challan Master'!$G$4:$G$207,MATCH($B51,'Challan Master'!$S$4:$S$207,0)),""),"#,##0")&amp;" | Section "&amp;IFERROR(INDEX('Challan Master'!$F$4:$F$207,MATCH($B51,'Challan Master'!$S$4:$S$207,0)),""))</f>
      </c>
      <c r="D51" s="8"/>
      <c r="E51" s="8"/>
      <c r="F51" s="7">
        <f>IF($D51="","",IF(AND(LEN(TRIM(UPPER(E51)))=10,CODE(MID(TRIM(UPPER(E51)),1,1))&gt;=65,CODE(MID(TRIM(UPPER(E51)),1,1))&lt;=90,CODE(MID(TRIM(UPPER(E51)),2,1))&gt;=65,CODE(MID(TRIM(UPPER(E51)),2,1))&lt;=90,CODE(MID(TRIM(UPPER(E51)),3,1))&gt;=65,CODE(MID(TRIM(UPPER(E51)),3,1))&lt;=90,CODE(MID(TRIM(UPPER(E51)),4,1))&gt;=65,CODE(MID(TRIM(UPPER(E51)),4,1))&lt;=90,CODE(MID(TRIM(UPPER(E51)),5,1))&gt;=65,CODE(MID(TRIM(UPPER(E51)),5,1))&lt;=90,CODE(MID(TRIM(UPPER(E51)),10,1))&gt;=65,CODE(MID(TRIM(UPPER(E51)),10,1))&lt;=90,CODE(MID(TRIM(UPPER(E51)),6,1))&gt;=48,CODE(MID(TRIM(UPPER(E51)),6,1))&lt;=57,CODE(MID(TRIM(UPPER(E51)),7,1))&gt;=48,CODE(MID(TRIM(UPPER(E51)),7,1))&lt;=57,CODE(MID(TRIM(UPPER(E51)),8,1))&gt;=48,CODE(MID(TRIM(UPPER(E51)),8,1))&lt;=57,CODE(MID(TRIM(UPPER(E51)),9,1))&gt;=48,CODE(MID(TRIM(UPPER(E51)),9,1))&lt;=57),"N","Y"))</f>
      </c>
      <c r="G51" s="7">
        <f>IF($D51="","",IF(LEN(E51)&lt;4,"",IF(UPPER(MID(E51,4,1))="P","Individual",IF(UPPER(MID(E51,4,1))="H","HUF",IF(UPPER(MID(E51,4,1))="C","Company",IF(UPPER(MID(E51,4,1))="F","Firm",IF(UPPER(MID(E51,4,1))="L","LLP",IF(UPPER(MID(E51,4,1))="T","Trust",IF(UPPER(MID(E51,4,1))="A","AOP","")))))))))</f>
      </c>
      <c r="H51" s="8"/>
      <c r="I51" s="7">
        <f>IF($D51="","",IF(H51="","",IF(F51="Y",SUMPRODUCT(('Rate Lookup'!$A$1:$A$37=H51)*'Rate Lookup'!$D$1:$D$37),IF(OR(G51="Individual",G51="HUF"),SUMPRODUCT(('Rate Lookup'!$A$1:$A$37=H51)*'Rate Lookup'!$B$1:$B$37),SUMPRODUCT(('Rate Lookup'!$A$1:$A$37=H51)*'Rate Lookup'!$C$1:$C$37)))))</f>
      </c>
      <c r="J51" s="8"/>
      <c r="K51" s="8"/>
      <c r="L51" s="7">
        <f>IF($D51="","",ROUND(K51*I51/100,0))</f>
      </c>
      <c r="M51" s="7">
        <f>IF($D51="","",0)</f>
      </c>
      <c r="N51" s="7">
        <f>IF($D51="","",0)</f>
      </c>
      <c r="O51" s="7">
        <f>IF($D51="","",IF(OR(L51=0,J51="",IFERROR(INDEX('Challan Master'!$D$4:$D$207,MATCH($B51,'Challan Master'!$S$4:$S$207,0)),"")="",IFERROR(INDEX('Challan Master'!$D$4:$D$207,MATCH($B51,'Challan Master'!$S$4:$S$207,0)),"")&lt;=0),0,IF(IFERROR(INDEX('Challan Master'!$D$4:$D$207,MATCH($B51,'Challan Master'!$S$4:$S$207,0)),"")&lt;=DATE(YEAR(J51),MONTH(J51)+1,7),0,ROUND(L51*0.015*((YEAR(IFERROR(INDEX('Challan Master'!$D$4:$D$207,MATCH($B51,'Challan Master'!$S$4:$S$207,0)),""))-YEAR(J51))*12+(MONTH(IFERROR(INDEX('Challan Master'!$D$4:$D$207,MATCH($B51,'Challan Master'!$S$4:$S$207,0)),""))-MONTH(J51))+1),0))))</f>
      </c>
      <c r="P51" s="7">
        <f>IF($D51="","",0)</f>
      </c>
      <c r="Q51" s="8"/>
      <c r="R51" s="8"/>
      <c r="S51" s="8"/>
      <c r="T51" s="8"/>
      <c r="U51" s="8"/>
      <c r="V51" s="7">
        <f>IF($B51="","",IFERROR(INDEX('Challan Master'!$AA$4:$AA$207,MATCH($B51,'Challan Master'!$S$4:$S$207,0)),""))</f>
      </c>
    </row>
    <row r="52" spans="1:22" x14ac:dyDescent="0.25">
      <c r="A52" s="7">
        <f>IF($D52="","",COUNTIF($D$4:$D52,"&lt;&gt;"))</f>
      </c>
      <c r="B52" s="8"/>
      <c r="C52" s="7">
        <f>IF($B52="","","BSR "&amp;IFERROR(INDEX('Challan Master'!$B$4:$B$207,MATCH($B52,'Challan Master'!$S$4:$S$207,0)),"")&amp;" | Serial "&amp;IFERROR(INDEX('Challan Master'!$C$4:$C$207,MATCH($B52,'Challan Master'!$S$4:$S$207,0)),"")&amp;" | Deposit "&amp;TEXT(IFERROR(INDEX('Challan Master'!$D$4:$D$207,MATCH($B52,'Challan Master'!$S$4:$S$207,0)),""),"dd-mm-yyyy")&amp;" | Minor Head "&amp;IFERROR(INDEX('Challan Master'!$E$4:$E$207,MATCH($B52,'Challan Master'!$S$4:$S$207,0)),"")&amp;" | Tax ₹"&amp;TEXT(IFERROR(INDEX('Challan Master'!$G$4:$G$207,MATCH($B52,'Challan Master'!$S$4:$S$207,0)),""),"#,##0")&amp;" | Section "&amp;IFERROR(INDEX('Challan Master'!$F$4:$F$207,MATCH($B52,'Challan Master'!$S$4:$S$207,0)),""))</f>
      </c>
      <c r="D52" s="8"/>
      <c r="E52" s="8"/>
      <c r="F52" s="7">
        <f>IF($D52="","",IF(AND(LEN(TRIM(UPPER(E52)))=10,CODE(MID(TRIM(UPPER(E52)),1,1))&gt;=65,CODE(MID(TRIM(UPPER(E52)),1,1))&lt;=90,CODE(MID(TRIM(UPPER(E52)),2,1))&gt;=65,CODE(MID(TRIM(UPPER(E52)),2,1))&lt;=90,CODE(MID(TRIM(UPPER(E52)),3,1))&gt;=65,CODE(MID(TRIM(UPPER(E52)),3,1))&lt;=90,CODE(MID(TRIM(UPPER(E52)),4,1))&gt;=65,CODE(MID(TRIM(UPPER(E52)),4,1))&lt;=90,CODE(MID(TRIM(UPPER(E52)),5,1))&gt;=65,CODE(MID(TRIM(UPPER(E52)),5,1))&lt;=90,CODE(MID(TRIM(UPPER(E52)),10,1))&gt;=65,CODE(MID(TRIM(UPPER(E52)),10,1))&lt;=90,CODE(MID(TRIM(UPPER(E52)),6,1))&gt;=48,CODE(MID(TRIM(UPPER(E52)),6,1))&lt;=57,CODE(MID(TRIM(UPPER(E52)),7,1))&gt;=48,CODE(MID(TRIM(UPPER(E52)),7,1))&lt;=57,CODE(MID(TRIM(UPPER(E52)),8,1))&gt;=48,CODE(MID(TRIM(UPPER(E52)),8,1))&lt;=57,CODE(MID(TRIM(UPPER(E52)),9,1))&gt;=48,CODE(MID(TRIM(UPPER(E52)),9,1))&lt;=57),"N","Y"))</f>
      </c>
      <c r="G52" s="7">
        <f>IF($D52="","",IF(LEN(E52)&lt;4,"",IF(UPPER(MID(E52,4,1))="P","Individual",IF(UPPER(MID(E52,4,1))="H","HUF",IF(UPPER(MID(E52,4,1))="C","Company",IF(UPPER(MID(E52,4,1))="F","Firm",IF(UPPER(MID(E52,4,1))="L","LLP",IF(UPPER(MID(E52,4,1))="T","Trust",IF(UPPER(MID(E52,4,1))="A","AOP","")))))))))</f>
      </c>
      <c r="H52" s="8"/>
      <c r="I52" s="7">
        <f>IF($D52="","",IF(H52="","",IF(F52="Y",SUMPRODUCT(('Rate Lookup'!$A$1:$A$37=H52)*'Rate Lookup'!$D$1:$D$37),IF(OR(G52="Individual",G52="HUF"),SUMPRODUCT(('Rate Lookup'!$A$1:$A$37=H52)*'Rate Lookup'!$B$1:$B$37),SUMPRODUCT(('Rate Lookup'!$A$1:$A$37=H52)*'Rate Lookup'!$C$1:$C$37)))))</f>
      </c>
      <c r="J52" s="8"/>
      <c r="K52" s="8"/>
      <c r="L52" s="7">
        <f>IF($D52="","",ROUND(K52*I52/100,0))</f>
      </c>
      <c r="M52" s="7">
        <f>IF($D52="","",0)</f>
      </c>
      <c r="N52" s="7">
        <f>IF($D52="","",0)</f>
      </c>
      <c r="O52" s="7">
        <f>IF($D52="","",IF(OR(L52=0,J52="",IFERROR(INDEX('Challan Master'!$D$4:$D$207,MATCH($B52,'Challan Master'!$S$4:$S$207,0)),"")="",IFERROR(INDEX('Challan Master'!$D$4:$D$207,MATCH($B52,'Challan Master'!$S$4:$S$207,0)),"")&lt;=0),0,IF(IFERROR(INDEX('Challan Master'!$D$4:$D$207,MATCH($B52,'Challan Master'!$S$4:$S$207,0)),"")&lt;=DATE(YEAR(J52),MONTH(J52)+1,7),0,ROUND(L52*0.015*((YEAR(IFERROR(INDEX('Challan Master'!$D$4:$D$207,MATCH($B52,'Challan Master'!$S$4:$S$207,0)),""))-YEAR(J52))*12+(MONTH(IFERROR(INDEX('Challan Master'!$D$4:$D$207,MATCH($B52,'Challan Master'!$S$4:$S$207,0)),""))-MONTH(J52))+1),0))))</f>
      </c>
      <c r="P52" s="7">
        <f>IF($D52="","",0)</f>
      </c>
      <c r="Q52" s="8"/>
      <c r="R52" s="8"/>
      <c r="S52" s="8"/>
      <c r="T52" s="8"/>
      <c r="U52" s="8"/>
      <c r="V52" s="7">
        <f>IF($B52="","",IFERROR(INDEX('Challan Master'!$AA$4:$AA$207,MATCH($B52,'Challan Master'!$S$4:$S$207,0)),""))</f>
      </c>
    </row>
    <row r="53" spans="1:22" x14ac:dyDescent="0.25">
      <c r="A53" s="7">
        <f>IF($D53="","",COUNTIF($D$4:$D53,"&lt;&gt;"))</f>
      </c>
      <c r="B53" s="8"/>
      <c r="C53" s="7">
        <f>IF($B53="","","BSR "&amp;IFERROR(INDEX('Challan Master'!$B$4:$B$207,MATCH($B53,'Challan Master'!$S$4:$S$207,0)),"")&amp;" | Serial "&amp;IFERROR(INDEX('Challan Master'!$C$4:$C$207,MATCH($B53,'Challan Master'!$S$4:$S$207,0)),"")&amp;" | Deposit "&amp;TEXT(IFERROR(INDEX('Challan Master'!$D$4:$D$207,MATCH($B53,'Challan Master'!$S$4:$S$207,0)),""),"dd-mm-yyyy")&amp;" | Minor Head "&amp;IFERROR(INDEX('Challan Master'!$E$4:$E$207,MATCH($B53,'Challan Master'!$S$4:$S$207,0)),"")&amp;" | Tax ₹"&amp;TEXT(IFERROR(INDEX('Challan Master'!$G$4:$G$207,MATCH($B53,'Challan Master'!$S$4:$S$207,0)),""),"#,##0")&amp;" | Section "&amp;IFERROR(INDEX('Challan Master'!$F$4:$F$207,MATCH($B53,'Challan Master'!$S$4:$S$207,0)),""))</f>
      </c>
      <c r="D53" s="8"/>
      <c r="E53" s="8"/>
      <c r="F53" s="7">
        <f>IF($D53="","",IF(AND(LEN(TRIM(UPPER(E53)))=10,CODE(MID(TRIM(UPPER(E53)),1,1))&gt;=65,CODE(MID(TRIM(UPPER(E53)),1,1))&lt;=90,CODE(MID(TRIM(UPPER(E53)),2,1))&gt;=65,CODE(MID(TRIM(UPPER(E53)),2,1))&lt;=90,CODE(MID(TRIM(UPPER(E53)),3,1))&gt;=65,CODE(MID(TRIM(UPPER(E53)),3,1))&lt;=90,CODE(MID(TRIM(UPPER(E53)),4,1))&gt;=65,CODE(MID(TRIM(UPPER(E53)),4,1))&lt;=90,CODE(MID(TRIM(UPPER(E53)),5,1))&gt;=65,CODE(MID(TRIM(UPPER(E53)),5,1))&lt;=90,CODE(MID(TRIM(UPPER(E53)),10,1))&gt;=65,CODE(MID(TRIM(UPPER(E53)),10,1))&lt;=90,CODE(MID(TRIM(UPPER(E53)),6,1))&gt;=48,CODE(MID(TRIM(UPPER(E53)),6,1))&lt;=57,CODE(MID(TRIM(UPPER(E53)),7,1))&gt;=48,CODE(MID(TRIM(UPPER(E53)),7,1))&lt;=57,CODE(MID(TRIM(UPPER(E53)),8,1))&gt;=48,CODE(MID(TRIM(UPPER(E53)),8,1))&lt;=57,CODE(MID(TRIM(UPPER(E53)),9,1))&gt;=48,CODE(MID(TRIM(UPPER(E53)),9,1))&lt;=57),"N","Y"))</f>
      </c>
      <c r="G53" s="7">
        <f>IF($D53="","",IF(LEN(E53)&lt;4,"",IF(UPPER(MID(E53,4,1))="P","Individual",IF(UPPER(MID(E53,4,1))="H","HUF",IF(UPPER(MID(E53,4,1))="C","Company",IF(UPPER(MID(E53,4,1))="F","Firm",IF(UPPER(MID(E53,4,1))="L","LLP",IF(UPPER(MID(E53,4,1))="T","Trust",IF(UPPER(MID(E53,4,1))="A","AOP","")))))))))</f>
      </c>
      <c r="H53" s="8"/>
      <c r="I53" s="7">
        <f>IF($D53="","",IF(H53="","",IF(F53="Y",SUMPRODUCT(('Rate Lookup'!$A$1:$A$37=H53)*'Rate Lookup'!$D$1:$D$37),IF(OR(G53="Individual",G53="HUF"),SUMPRODUCT(('Rate Lookup'!$A$1:$A$37=H53)*'Rate Lookup'!$B$1:$B$37),SUMPRODUCT(('Rate Lookup'!$A$1:$A$37=H53)*'Rate Lookup'!$C$1:$C$37)))))</f>
      </c>
      <c r="J53" s="8"/>
      <c r="K53" s="8"/>
      <c r="L53" s="7">
        <f>IF($D53="","",ROUND(K53*I53/100,0))</f>
      </c>
      <c r="M53" s="7">
        <f>IF($D53="","",0)</f>
      </c>
      <c r="N53" s="7">
        <f>IF($D53="","",0)</f>
      </c>
      <c r="O53" s="7">
        <f>IF($D53="","",IF(OR(L53=0,J53="",IFERROR(INDEX('Challan Master'!$D$4:$D$207,MATCH($B53,'Challan Master'!$S$4:$S$207,0)),"")="",IFERROR(INDEX('Challan Master'!$D$4:$D$207,MATCH($B53,'Challan Master'!$S$4:$S$207,0)),"")&lt;=0),0,IF(IFERROR(INDEX('Challan Master'!$D$4:$D$207,MATCH($B53,'Challan Master'!$S$4:$S$207,0)),"")&lt;=DATE(YEAR(J53),MONTH(J53)+1,7),0,ROUND(L53*0.015*((YEAR(IFERROR(INDEX('Challan Master'!$D$4:$D$207,MATCH($B53,'Challan Master'!$S$4:$S$207,0)),""))-YEAR(J53))*12+(MONTH(IFERROR(INDEX('Challan Master'!$D$4:$D$207,MATCH($B53,'Challan Master'!$S$4:$S$207,0)),""))-MONTH(J53))+1),0))))</f>
      </c>
      <c r="P53" s="7">
        <f>IF($D53="","",0)</f>
      </c>
      <c r="Q53" s="8"/>
      <c r="R53" s="8"/>
      <c r="S53" s="8"/>
      <c r="T53" s="8"/>
      <c r="U53" s="8"/>
      <c r="V53" s="7">
        <f>IF($B53="","",IFERROR(INDEX('Challan Master'!$AA$4:$AA$207,MATCH($B53,'Challan Master'!$S$4:$S$207,0)),""))</f>
      </c>
    </row>
    <row r="54" spans="1:22" x14ac:dyDescent="0.25">
      <c r="A54" s="7">
        <f>IF($D54="","",COUNTIF($D$4:$D54,"&lt;&gt;"))</f>
      </c>
      <c r="B54" s="8"/>
      <c r="C54" s="7">
        <f>IF($B54="","","BSR "&amp;IFERROR(INDEX('Challan Master'!$B$4:$B$207,MATCH($B54,'Challan Master'!$S$4:$S$207,0)),"")&amp;" | Serial "&amp;IFERROR(INDEX('Challan Master'!$C$4:$C$207,MATCH($B54,'Challan Master'!$S$4:$S$207,0)),"")&amp;" | Deposit "&amp;TEXT(IFERROR(INDEX('Challan Master'!$D$4:$D$207,MATCH($B54,'Challan Master'!$S$4:$S$207,0)),""),"dd-mm-yyyy")&amp;" | Minor Head "&amp;IFERROR(INDEX('Challan Master'!$E$4:$E$207,MATCH($B54,'Challan Master'!$S$4:$S$207,0)),"")&amp;" | Tax ₹"&amp;TEXT(IFERROR(INDEX('Challan Master'!$G$4:$G$207,MATCH($B54,'Challan Master'!$S$4:$S$207,0)),""),"#,##0")&amp;" | Section "&amp;IFERROR(INDEX('Challan Master'!$F$4:$F$207,MATCH($B54,'Challan Master'!$S$4:$S$207,0)),""))</f>
      </c>
      <c r="D54" s="8"/>
      <c r="E54" s="8"/>
      <c r="F54" s="7">
        <f>IF($D54="","",IF(AND(LEN(TRIM(UPPER(E54)))=10,CODE(MID(TRIM(UPPER(E54)),1,1))&gt;=65,CODE(MID(TRIM(UPPER(E54)),1,1))&lt;=90,CODE(MID(TRIM(UPPER(E54)),2,1))&gt;=65,CODE(MID(TRIM(UPPER(E54)),2,1))&lt;=90,CODE(MID(TRIM(UPPER(E54)),3,1))&gt;=65,CODE(MID(TRIM(UPPER(E54)),3,1))&lt;=90,CODE(MID(TRIM(UPPER(E54)),4,1))&gt;=65,CODE(MID(TRIM(UPPER(E54)),4,1))&lt;=90,CODE(MID(TRIM(UPPER(E54)),5,1))&gt;=65,CODE(MID(TRIM(UPPER(E54)),5,1))&lt;=90,CODE(MID(TRIM(UPPER(E54)),10,1))&gt;=65,CODE(MID(TRIM(UPPER(E54)),10,1))&lt;=90,CODE(MID(TRIM(UPPER(E54)),6,1))&gt;=48,CODE(MID(TRIM(UPPER(E54)),6,1))&lt;=57,CODE(MID(TRIM(UPPER(E54)),7,1))&gt;=48,CODE(MID(TRIM(UPPER(E54)),7,1))&lt;=57,CODE(MID(TRIM(UPPER(E54)),8,1))&gt;=48,CODE(MID(TRIM(UPPER(E54)),8,1))&lt;=57,CODE(MID(TRIM(UPPER(E54)),9,1))&gt;=48,CODE(MID(TRIM(UPPER(E54)),9,1))&lt;=57),"N","Y"))</f>
      </c>
      <c r="G54" s="7">
        <f>IF($D54="","",IF(LEN(E54)&lt;4,"",IF(UPPER(MID(E54,4,1))="P","Individual",IF(UPPER(MID(E54,4,1))="H","HUF",IF(UPPER(MID(E54,4,1))="C","Company",IF(UPPER(MID(E54,4,1))="F","Firm",IF(UPPER(MID(E54,4,1))="L","LLP",IF(UPPER(MID(E54,4,1))="T","Trust",IF(UPPER(MID(E54,4,1))="A","AOP","")))))))))</f>
      </c>
      <c r="H54" s="8"/>
      <c r="I54" s="7">
        <f>IF($D54="","",IF(H54="","",IF(F54="Y",SUMPRODUCT(('Rate Lookup'!$A$1:$A$37=H54)*'Rate Lookup'!$D$1:$D$37),IF(OR(G54="Individual",G54="HUF"),SUMPRODUCT(('Rate Lookup'!$A$1:$A$37=H54)*'Rate Lookup'!$B$1:$B$37),SUMPRODUCT(('Rate Lookup'!$A$1:$A$37=H54)*'Rate Lookup'!$C$1:$C$37)))))</f>
      </c>
      <c r="J54" s="8"/>
      <c r="K54" s="8"/>
      <c r="L54" s="7">
        <f>IF($D54="","",ROUND(K54*I54/100,0))</f>
      </c>
      <c r="M54" s="7">
        <f>IF($D54="","",0)</f>
      </c>
      <c r="N54" s="7">
        <f>IF($D54="","",0)</f>
      </c>
      <c r="O54" s="7">
        <f>IF($D54="","",IF(OR(L54=0,J54="",IFERROR(INDEX('Challan Master'!$D$4:$D$207,MATCH($B54,'Challan Master'!$S$4:$S$207,0)),"")="",IFERROR(INDEX('Challan Master'!$D$4:$D$207,MATCH($B54,'Challan Master'!$S$4:$S$207,0)),"")&lt;=0),0,IF(IFERROR(INDEX('Challan Master'!$D$4:$D$207,MATCH($B54,'Challan Master'!$S$4:$S$207,0)),"")&lt;=DATE(YEAR(J54),MONTH(J54)+1,7),0,ROUND(L54*0.015*((YEAR(IFERROR(INDEX('Challan Master'!$D$4:$D$207,MATCH($B54,'Challan Master'!$S$4:$S$207,0)),""))-YEAR(J54))*12+(MONTH(IFERROR(INDEX('Challan Master'!$D$4:$D$207,MATCH($B54,'Challan Master'!$S$4:$S$207,0)),""))-MONTH(J54))+1),0))))</f>
      </c>
      <c r="P54" s="7">
        <f>IF($D54="","",0)</f>
      </c>
      <c r="Q54" s="8"/>
      <c r="R54" s="8"/>
      <c r="S54" s="8"/>
      <c r="T54" s="8"/>
      <c r="U54" s="8"/>
      <c r="V54" s="7">
        <f>IF($B54="","",IFERROR(INDEX('Challan Master'!$AA$4:$AA$207,MATCH($B54,'Challan Master'!$S$4:$S$207,0)),""))</f>
      </c>
    </row>
    <row r="55" spans="1:22" x14ac:dyDescent="0.25">
      <c r="A55" s="7">
        <f>IF($D55="","",COUNTIF($D$4:$D55,"&lt;&gt;"))</f>
      </c>
      <c r="B55" s="8"/>
      <c r="C55" s="7">
        <f>IF($B55="","","BSR "&amp;IFERROR(INDEX('Challan Master'!$B$4:$B$207,MATCH($B55,'Challan Master'!$S$4:$S$207,0)),"")&amp;" | Serial "&amp;IFERROR(INDEX('Challan Master'!$C$4:$C$207,MATCH($B55,'Challan Master'!$S$4:$S$207,0)),"")&amp;" | Deposit "&amp;TEXT(IFERROR(INDEX('Challan Master'!$D$4:$D$207,MATCH($B55,'Challan Master'!$S$4:$S$207,0)),""),"dd-mm-yyyy")&amp;" | Minor Head "&amp;IFERROR(INDEX('Challan Master'!$E$4:$E$207,MATCH($B55,'Challan Master'!$S$4:$S$207,0)),"")&amp;" | Tax ₹"&amp;TEXT(IFERROR(INDEX('Challan Master'!$G$4:$G$207,MATCH($B55,'Challan Master'!$S$4:$S$207,0)),""),"#,##0")&amp;" | Section "&amp;IFERROR(INDEX('Challan Master'!$F$4:$F$207,MATCH($B55,'Challan Master'!$S$4:$S$207,0)),""))</f>
      </c>
      <c r="D55" s="8"/>
      <c r="E55" s="8"/>
      <c r="F55" s="7">
        <f>IF($D55="","",IF(AND(LEN(TRIM(UPPER(E55)))=10,CODE(MID(TRIM(UPPER(E55)),1,1))&gt;=65,CODE(MID(TRIM(UPPER(E55)),1,1))&lt;=90,CODE(MID(TRIM(UPPER(E55)),2,1))&gt;=65,CODE(MID(TRIM(UPPER(E55)),2,1))&lt;=90,CODE(MID(TRIM(UPPER(E55)),3,1))&gt;=65,CODE(MID(TRIM(UPPER(E55)),3,1))&lt;=90,CODE(MID(TRIM(UPPER(E55)),4,1))&gt;=65,CODE(MID(TRIM(UPPER(E55)),4,1))&lt;=90,CODE(MID(TRIM(UPPER(E55)),5,1))&gt;=65,CODE(MID(TRIM(UPPER(E55)),5,1))&lt;=90,CODE(MID(TRIM(UPPER(E55)),10,1))&gt;=65,CODE(MID(TRIM(UPPER(E55)),10,1))&lt;=90,CODE(MID(TRIM(UPPER(E55)),6,1))&gt;=48,CODE(MID(TRIM(UPPER(E55)),6,1))&lt;=57,CODE(MID(TRIM(UPPER(E55)),7,1))&gt;=48,CODE(MID(TRIM(UPPER(E55)),7,1))&lt;=57,CODE(MID(TRIM(UPPER(E55)),8,1))&gt;=48,CODE(MID(TRIM(UPPER(E55)),8,1))&lt;=57,CODE(MID(TRIM(UPPER(E55)),9,1))&gt;=48,CODE(MID(TRIM(UPPER(E55)),9,1))&lt;=57),"N","Y"))</f>
      </c>
      <c r="G55" s="7">
        <f>IF($D55="","",IF(LEN(E55)&lt;4,"",IF(UPPER(MID(E55,4,1))="P","Individual",IF(UPPER(MID(E55,4,1))="H","HUF",IF(UPPER(MID(E55,4,1))="C","Company",IF(UPPER(MID(E55,4,1))="F","Firm",IF(UPPER(MID(E55,4,1))="L","LLP",IF(UPPER(MID(E55,4,1))="T","Trust",IF(UPPER(MID(E55,4,1))="A","AOP","")))))))))</f>
      </c>
      <c r="H55" s="8"/>
      <c r="I55" s="7">
        <f>IF($D55="","",IF(H55="","",IF(F55="Y",SUMPRODUCT(('Rate Lookup'!$A$1:$A$37=H55)*'Rate Lookup'!$D$1:$D$37),IF(OR(G55="Individual",G55="HUF"),SUMPRODUCT(('Rate Lookup'!$A$1:$A$37=H55)*'Rate Lookup'!$B$1:$B$37),SUMPRODUCT(('Rate Lookup'!$A$1:$A$37=H55)*'Rate Lookup'!$C$1:$C$37)))))</f>
      </c>
      <c r="J55" s="8"/>
      <c r="K55" s="8"/>
      <c r="L55" s="7">
        <f>IF($D55="","",ROUND(K55*I55/100,0))</f>
      </c>
      <c r="M55" s="7">
        <f>IF($D55="","",0)</f>
      </c>
      <c r="N55" s="7">
        <f>IF($D55="","",0)</f>
      </c>
      <c r="O55" s="7">
        <f>IF($D55="","",IF(OR(L55=0,J55="",IFERROR(INDEX('Challan Master'!$D$4:$D$207,MATCH($B55,'Challan Master'!$S$4:$S$207,0)),"")="",IFERROR(INDEX('Challan Master'!$D$4:$D$207,MATCH($B55,'Challan Master'!$S$4:$S$207,0)),"")&lt;=0),0,IF(IFERROR(INDEX('Challan Master'!$D$4:$D$207,MATCH($B55,'Challan Master'!$S$4:$S$207,0)),"")&lt;=DATE(YEAR(J55),MONTH(J55)+1,7),0,ROUND(L55*0.015*((YEAR(IFERROR(INDEX('Challan Master'!$D$4:$D$207,MATCH($B55,'Challan Master'!$S$4:$S$207,0)),""))-YEAR(J55))*12+(MONTH(IFERROR(INDEX('Challan Master'!$D$4:$D$207,MATCH($B55,'Challan Master'!$S$4:$S$207,0)),""))-MONTH(J55))+1),0))))</f>
      </c>
      <c r="P55" s="7">
        <f>IF($D55="","",0)</f>
      </c>
      <c r="Q55" s="8"/>
      <c r="R55" s="8"/>
      <c r="S55" s="8"/>
      <c r="T55" s="8"/>
      <c r="U55" s="8"/>
      <c r="V55" s="7">
        <f>IF($B55="","",IFERROR(INDEX('Challan Master'!$AA$4:$AA$207,MATCH($B55,'Challan Master'!$S$4:$S$207,0)),""))</f>
      </c>
    </row>
    <row r="56" spans="1:22" x14ac:dyDescent="0.25">
      <c r="A56" s="7">
        <f>IF($D56="","",COUNTIF($D$4:$D56,"&lt;&gt;"))</f>
      </c>
      <c r="B56" s="8"/>
      <c r="C56" s="7">
        <f>IF($B56="","","BSR "&amp;IFERROR(INDEX('Challan Master'!$B$4:$B$207,MATCH($B56,'Challan Master'!$S$4:$S$207,0)),"")&amp;" | Serial "&amp;IFERROR(INDEX('Challan Master'!$C$4:$C$207,MATCH($B56,'Challan Master'!$S$4:$S$207,0)),"")&amp;" | Deposit "&amp;TEXT(IFERROR(INDEX('Challan Master'!$D$4:$D$207,MATCH($B56,'Challan Master'!$S$4:$S$207,0)),""),"dd-mm-yyyy")&amp;" | Minor Head "&amp;IFERROR(INDEX('Challan Master'!$E$4:$E$207,MATCH($B56,'Challan Master'!$S$4:$S$207,0)),"")&amp;" | Tax ₹"&amp;TEXT(IFERROR(INDEX('Challan Master'!$G$4:$G$207,MATCH($B56,'Challan Master'!$S$4:$S$207,0)),""),"#,##0")&amp;" | Section "&amp;IFERROR(INDEX('Challan Master'!$F$4:$F$207,MATCH($B56,'Challan Master'!$S$4:$S$207,0)),""))</f>
      </c>
      <c r="D56" s="8"/>
      <c r="E56" s="8"/>
      <c r="F56" s="7">
        <f>IF($D56="","",IF(AND(LEN(TRIM(UPPER(E56)))=10,CODE(MID(TRIM(UPPER(E56)),1,1))&gt;=65,CODE(MID(TRIM(UPPER(E56)),1,1))&lt;=90,CODE(MID(TRIM(UPPER(E56)),2,1))&gt;=65,CODE(MID(TRIM(UPPER(E56)),2,1))&lt;=90,CODE(MID(TRIM(UPPER(E56)),3,1))&gt;=65,CODE(MID(TRIM(UPPER(E56)),3,1))&lt;=90,CODE(MID(TRIM(UPPER(E56)),4,1))&gt;=65,CODE(MID(TRIM(UPPER(E56)),4,1))&lt;=90,CODE(MID(TRIM(UPPER(E56)),5,1))&gt;=65,CODE(MID(TRIM(UPPER(E56)),5,1))&lt;=90,CODE(MID(TRIM(UPPER(E56)),10,1))&gt;=65,CODE(MID(TRIM(UPPER(E56)),10,1))&lt;=90,CODE(MID(TRIM(UPPER(E56)),6,1))&gt;=48,CODE(MID(TRIM(UPPER(E56)),6,1))&lt;=57,CODE(MID(TRIM(UPPER(E56)),7,1))&gt;=48,CODE(MID(TRIM(UPPER(E56)),7,1))&lt;=57,CODE(MID(TRIM(UPPER(E56)),8,1))&gt;=48,CODE(MID(TRIM(UPPER(E56)),8,1))&lt;=57,CODE(MID(TRIM(UPPER(E56)),9,1))&gt;=48,CODE(MID(TRIM(UPPER(E56)),9,1))&lt;=57),"N","Y"))</f>
      </c>
      <c r="G56" s="7">
        <f>IF($D56="","",IF(LEN(E56)&lt;4,"",IF(UPPER(MID(E56,4,1))="P","Individual",IF(UPPER(MID(E56,4,1))="H","HUF",IF(UPPER(MID(E56,4,1))="C","Company",IF(UPPER(MID(E56,4,1))="F","Firm",IF(UPPER(MID(E56,4,1))="L","LLP",IF(UPPER(MID(E56,4,1))="T","Trust",IF(UPPER(MID(E56,4,1))="A","AOP","")))))))))</f>
      </c>
      <c r="H56" s="8"/>
      <c r="I56" s="7">
        <f>IF($D56="","",IF(H56="","",IF(F56="Y",SUMPRODUCT(('Rate Lookup'!$A$1:$A$37=H56)*'Rate Lookup'!$D$1:$D$37),IF(OR(G56="Individual",G56="HUF"),SUMPRODUCT(('Rate Lookup'!$A$1:$A$37=H56)*'Rate Lookup'!$B$1:$B$37),SUMPRODUCT(('Rate Lookup'!$A$1:$A$37=H56)*'Rate Lookup'!$C$1:$C$37)))))</f>
      </c>
      <c r="J56" s="8"/>
      <c r="K56" s="8"/>
      <c r="L56" s="7">
        <f>IF($D56="","",ROUND(K56*I56/100,0))</f>
      </c>
      <c r="M56" s="7">
        <f>IF($D56="","",0)</f>
      </c>
      <c r="N56" s="7">
        <f>IF($D56="","",0)</f>
      </c>
      <c r="O56" s="7">
        <f>IF($D56="","",IF(OR(L56=0,J56="",IFERROR(INDEX('Challan Master'!$D$4:$D$207,MATCH($B56,'Challan Master'!$S$4:$S$207,0)),"")="",IFERROR(INDEX('Challan Master'!$D$4:$D$207,MATCH($B56,'Challan Master'!$S$4:$S$207,0)),"")&lt;=0),0,IF(IFERROR(INDEX('Challan Master'!$D$4:$D$207,MATCH($B56,'Challan Master'!$S$4:$S$207,0)),"")&lt;=DATE(YEAR(J56),MONTH(J56)+1,7),0,ROUND(L56*0.015*((YEAR(IFERROR(INDEX('Challan Master'!$D$4:$D$207,MATCH($B56,'Challan Master'!$S$4:$S$207,0)),""))-YEAR(J56))*12+(MONTH(IFERROR(INDEX('Challan Master'!$D$4:$D$207,MATCH($B56,'Challan Master'!$S$4:$S$207,0)),""))-MONTH(J56))+1),0))))</f>
      </c>
      <c r="P56" s="7">
        <f>IF($D56="","",0)</f>
      </c>
      <c r="Q56" s="8"/>
      <c r="R56" s="8"/>
      <c r="S56" s="8"/>
      <c r="T56" s="8"/>
      <c r="U56" s="8"/>
      <c r="V56" s="7">
        <f>IF($B56="","",IFERROR(INDEX('Challan Master'!$AA$4:$AA$207,MATCH($B56,'Challan Master'!$S$4:$S$207,0)),""))</f>
      </c>
    </row>
    <row r="57" spans="1:22" x14ac:dyDescent="0.25">
      <c r="A57" s="7">
        <f>IF($D57="","",COUNTIF($D$4:$D57,"&lt;&gt;"))</f>
      </c>
      <c r="B57" s="8"/>
      <c r="C57" s="7">
        <f>IF($B57="","","BSR "&amp;IFERROR(INDEX('Challan Master'!$B$4:$B$207,MATCH($B57,'Challan Master'!$S$4:$S$207,0)),"")&amp;" | Serial "&amp;IFERROR(INDEX('Challan Master'!$C$4:$C$207,MATCH($B57,'Challan Master'!$S$4:$S$207,0)),"")&amp;" | Deposit "&amp;TEXT(IFERROR(INDEX('Challan Master'!$D$4:$D$207,MATCH($B57,'Challan Master'!$S$4:$S$207,0)),""),"dd-mm-yyyy")&amp;" | Minor Head "&amp;IFERROR(INDEX('Challan Master'!$E$4:$E$207,MATCH($B57,'Challan Master'!$S$4:$S$207,0)),"")&amp;" | Tax ₹"&amp;TEXT(IFERROR(INDEX('Challan Master'!$G$4:$G$207,MATCH($B57,'Challan Master'!$S$4:$S$207,0)),""),"#,##0")&amp;" | Section "&amp;IFERROR(INDEX('Challan Master'!$F$4:$F$207,MATCH($B57,'Challan Master'!$S$4:$S$207,0)),""))</f>
      </c>
      <c r="D57" s="8"/>
      <c r="E57" s="8"/>
      <c r="F57" s="7">
        <f>IF($D57="","",IF(AND(LEN(TRIM(UPPER(E57)))=10,CODE(MID(TRIM(UPPER(E57)),1,1))&gt;=65,CODE(MID(TRIM(UPPER(E57)),1,1))&lt;=90,CODE(MID(TRIM(UPPER(E57)),2,1))&gt;=65,CODE(MID(TRIM(UPPER(E57)),2,1))&lt;=90,CODE(MID(TRIM(UPPER(E57)),3,1))&gt;=65,CODE(MID(TRIM(UPPER(E57)),3,1))&lt;=90,CODE(MID(TRIM(UPPER(E57)),4,1))&gt;=65,CODE(MID(TRIM(UPPER(E57)),4,1))&lt;=90,CODE(MID(TRIM(UPPER(E57)),5,1))&gt;=65,CODE(MID(TRIM(UPPER(E57)),5,1))&lt;=90,CODE(MID(TRIM(UPPER(E57)),10,1))&gt;=65,CODE(MID(TRIM(UPPER(E57)),10,1))&lt;=90,CODE(MID(TRIM(UPPER(E57)),6,1))&gt;=48,CODE(MID(TRIM(UPPER(E57)),6,1))&lt;=57,CODE(MID(TRIM(UPPER(E57)),7,1))&gt;=48,CODE(MID(TRIM(UPPER(E57)),7,1))&lt;=57,CODE(MID(TRIM(UPPER(E57)),8,1))&gt;=48,CODE(MID(TRIM(UPPER(E57)),8,1))&lt;=57,CODE(MID(TRIM(UPPER(E57)),9,1))&gt;=48,CODE(MID(TRIM(UPPER(E57)),9,1))&lt;=57),"N","Y"))</f>
      </c>
      <c r="G57" s="7">
        <f>IF($D57="","",IF(LEN(E57)&lt;4,"",IF(UPPER(MID(E57,4,1))="P","Individual",IF(UPPER(MID(E57,4,1))="H","HUF",IF(UPPER(MID(E57,4,1))="C","Company",IF(UPPER(MID(E57,4,1))="F","Firm",IF(UPPER(MID(E57,4,1))="L","LLP",IF(UPPER(MID(E57,4,1))="T","Trust",IF(UPPER(MID(E57,4,1))="A","AOP","")))))))))</f>
      </c>
      <c r="H57" s="8"/>
      <c r="I57" s="7">
        <f>IF($D57="","",IF(H57="","",IF(F57="Y",SUMPRODUCT(('Rate Lookup'!$A$1:$A$37=H57)*'Rate Lookup'!$D$1:$D$37),IF(OR(G57="Individual",G57="HUF"),SUMPRODUCT(('Rate Lookup'!$A$1:$A$37=H57)*'Rate Lookup'!$B$1:$B$37),SUMPRODUCT(('Rate Lookup'!$A$1:$A$37=H57)*'Rate Lookup'!$C$1:$C$37)))))</f>
      </c>
      <c r="J57" s="8"/>
      <c r="K57" s="8"/>
      <c r="L57" s="7">
        <f>IF($D57="","",ROUND(K57*I57/100,0))</f>
      </c>
      <c r="M57" s="7">
        <f>IF($D57="","",0)</f>
      </c>
      <c r="N57" s="7">
        <f>IF($D57="","",0)</f>
      </c>
      <c r="O57" s="7">
        <f>IF($D57="","",IF(OR(L57=0,J57="",IFERROR(INDEX('Challan Master'!$D$4:$D$207,MATCH($B57,'Challan Master'!$S$4:$S$207,0)),"")="",IFERROR(INDEX('Challan Master'!$D$4:$D$207,MATCH($B57,'Challan Master'!$S$4:$S$207,0)),"")&lt;=0),0,IF(IFERROR(INDEX('Challan Master'!$D$4:$D$207,MATCH($B57,'Challan Master'!$S$4:$S$207,0)),"")&lt;=DATE(YEAR(J57),MONTH(J57)+1,7),0,ROUND(L57*0.015*((YEAR(IFERROR(INDEX('Challan Master'!$D$4:$D$207,MATCH($B57,'Challan Master'!$S$4:$S$207,0)),""))-YEAR(J57))*12+(MONTH(IFERROR(INDEX('Challan Master'!$D$4:$D$207,MATCH($B57,'Challan Master'!$S$4:$S$207,0)),""))-MONTH(J57))+1),0))))</f>
      </c>
      <c r="P57" s="7">
        <f>IF($D57="","",0)</f>
      </c>
      <c r="Q57" s="8"/>
      <c r="R57" s="8"/>
      <c r="S57" s="8"/>
      <c r="T57" s="8"/>
      <c r="U57" s="8"/>
      <c r="V57" s="7">
        <f>IF($B57="","",IFERROR(INDEX('Challan Master'!$AA$4:$AA$207,MATCH($B57,'Challan Master'!$S$4:$S$207,0)),""))</f>
      </c>
    </row>
    <row r="58" spans="1:22" x14ac:dyDescent="0.25">
      <c r="A58" s="7">
        <f>IF($D58="","",COUNTIF($D$4:$D58,"&lt;&gt;"))</f>
      </c>
      <c r="B58" s="8"/>
      <c r="C58" s="7">
        <f>IF($B58="","","BSR "&amp;IFERROR(INDEX('Challan Master'!$B$4:$B$207,MATCH($B58,'Challan Master'!$S$4:$S$207,0)),"")&amp;" | Serial "&amp;IFERROR(INDEX('Challan Master'!$C$4:$C$207,MATCH($B58,'Challan Master'!$S$4:$S$207,0)),"")&amp;" | Deposit "&amp;TEXT(IFERROR(INDEX('Challan Master'!$D$4:$D$207,MATCH($B58,'Challan Master'!$S$4:$S$207,0)),""),"dd-mm-yyyy")&amp;" | Minor Head "&amp;IFERROR(INDEX('Challan Master'!$E$4:$E$207,MATCH($B58,'Challan Master'!$S$4:$S$207,0)),"")&amp;" | Tax ₹"&amp;TEXT(IFERROR(INDEX('Challan Master'!$G$4:$G$207,MATCH($B58,'Challan Master'!$S$4:$S$207,0)),""),"#,##0")&amp;" | Section "&amp;IFERROR(INDEX('Challan Master'!$F$4:$F$207,MATCH($B58,'Challan Master'!$S$4:$S$207,0)),""))</f>
      </c>
      <c r="D58" s="8"/>
      <c r="E58" s="8"/>
      <c r="F58" s="7">
        <f>IF($D58="","",IF(AND(LEN(TRIM(UPPER(E58)))=10,CODE(MID(TRIM(UPPER(E58)),1,1))&gt;=65,CODE(MID(TRIM(UPPER(E58)),1,1))&lt;=90,CODE(MID(TRIM(UPPER(E58)),2,1))&gt;=65,CODE(MID(TRIM(UPPER(E58)),2,1))&lt;=90,CODE(MID(TRIM(UPPER(E58)),3,1))&gt;=65,CODE(MID(TRIM(UPPER(E58)),3,1))&lt;=90,CODE(MID(TRIM(UPPER(E58)),4,1))&gt;=65,CODE(MID(TRIM(UPPER(E58)),4,1))&lt;=90,CODE(MID(TRIM(UPPER(E58)),5,1))&gt;=65,CODE(MID(TRIM(UPPER(E58)),5,1))&lt;=90,CODE(MID(TRIM(UPPER(E58)),10,1))&gt;=65,CODE(MID(TRIM(UPPER(E58)),10,1))&lt;=90,CODE(MID(TRIM(UPPER(E58)),6,1))&gt;=48,CODE(MID(TRIM(UPPER(E58)),6,1))&lt;=57,CODE(MID(TRIM(UPPER(E58)),7,1))&gt;=48,CODE(MID(TRIM(UPPER(E58)),7,1))&lt;=57,CODE(MID(TRIM(UPPER(E58)),8,1))&gt;=48,CODE(MID(TRIM(UPPER(E58)),8,1))&lt;=57,CODE(MID(TRIM(UPPER(E58)),9,1))&gt;=48,CODE(MID(TRIM(UPPER(E58)),9,1))&lt;=57),"N","Y"))</f>
      </c>
      <c r="G58" s="7">
        <f>IF($D58="","",IF(LEN(E58)&lt;4,"",IF(UPPER(MID(E58,4,1))="P","Individual",IF(UPPER(MID(E58,4,1))="H","HUF",IF(UPPER(MID(E58,4,1))="C","Company",IF(UPPER(MID(E58,4,1))="F","Firm",IF(UPPER(MID(E58,4,1))="L","LLP",IF(UPPER(MID(E58,4,1))="T","Trust",IF(UPPER(MID(E58,4,1))="A","AOP","")))))))))</f>
      </c>
      <c r="H58" s="8"/>
      <c r="I58" s="7">
        <f>IF($D58="","",IF(H58="","",IF(F58="Y",SUMPRODUCT(('Rate Lookup'!$A$1:$A$37=H58)*'Rate Lookup'!$D$1:$D$37),IF(OR(G58="Individual",G58="HUF"),SUMPRODUCT(('Rate Lookup'!$A$1:$A$37=H58)*'Rate Lookup'!$B$1:$B$37),SUMPRODUCT(('Rate Lookup'!$A$1:$A$37=H58)*'Rate Lookup'!$C$1:$C$37)))))</f>
      </c>
      <c r="J58" s="8"/>
      <c r="K58" s="8"/>
      <c r="L58" s="7">
        <f>IF($D58="","",ROUND(K58*I58/100,0))</f>
      </c>
      <c r="M58" s="7">
        <f>IF($D58="","",0)</f>
      </c>
      <c r="N58" s="7">
        <f>IF($D58="","",0)</f>
      </c>
      <c r="O58" s="7">
        <f>IF($D58="","",IF(OR(L58=0,J58="",IFERROR(INDEX('Challan Master'!$D$4:$D$207,MATCH($B58,'Challan Master'!$S$4:$S$207,0)),"")="",IFERROR(INDEX('Challan Master'!$D$4:$D$207,MATCH($B58,'Challan Master'!$S$4:$S$207,0)),"")&lt;=0),0,IF(IFERROR(INDEX('Challan Master'!$D$4:$D$207,MATCH($B58,'Challan Master'!$S$4:$S$207,0)),"")&lt;=DATE(YEAR(J58),MONTH(J58)+1,7),0,ROUND(L58*0.015*((YEAR(IFERROR(INDEX('Challan Master'!$D$4:$D$207,MATCH($B58,'Challan Master'!$S$4:$S$207,0)),""))-YEAR(J58))*12+(MONTH(IFERROR(INDEX('Challan Master'!$D$4:$D$207,MATCH($B58,'Challan Master'!$S$4:$S$207,0)),""))-MONTH(J58))+1),0))))</f>
      </c>
      <c r="P58" s="7">
        <f>IF($D58="","",0)</f>
      </c>
      <c r="Q58" s="8"/>
      <c r="R58" s="8"/>
      <c r="S58" s="8"/>
      <c r="T58" s="8"/>
      <c r="U58" s="8"/>
      <c r="V58" s="7">
        <f>IF($B58="","",IFERROR(INDEX('Challan Master'!$AA$4:$AA$207,MATCH($B58,'Challan Master'!$S$4:$S$207,0)),""))</f>
      </c>
    </row>
    <row r="59" spans="1:22" x14ac:dyDescent="0.25">
      <c r="A59" s="7">
        <f>IF($D59="","",COUNTIF($D$4:$D59,"&lt;&gt;"))</f>
      </c>
      <c r="B59" s="8"/>
      <c r="C59" s="7">
        <f>IF($B59="","","BSR "&amp;IFERROR(INDEX('Challan Master'!$B$4:$B$207,MATCH($B59,'Challan Master'!$S$4:$S$207,0)),"")&amp;" | Serial "&amp;IFERROR(INDEX('Challan Master'!$C$4:$C$207,MATCH($B59,'Challan Master'!$S$4:$S$207,0)),"")&amp;" | Deposit "&amp;TEXT(IFERROR(INDEX('Challan Master'!$D$4:$D$207,MATCH($B59,'Challan Master'!$S$4:$S$207,0)),""),"dd-mm-yyyy")&amp;" | Minor Head "&amp;IFERROR(INDEX('Challan Master'!$E$4:$E$207,MATCH($B59,'Challan Master'!$S$4:$S$207,0)),"")&amp;" | Tax ₹"&amp;TEXT(IFERROR(INDEX('Challan Master'!$G$4:$G$207,MATCH($B59,'Challan Master'!$S$4:$S$207,0)),""),"#,##0")&amp;" | Section "&amp;IFERROR(INDEX('Challan Master'!$F$4:$F$207,MATCH($B59,'Challan Master'!$S$4:$S$207,0)),""))</f>
      </c>
      <c r="D59" s="8"/>
      <c r="E59" s="8"/>
      <c r="F59" s="7">
        <f>IF($D59="","",IF(AND(LEN(TRIM(UPPER(E59)))=10,CODE(MID(TRIM(UPPER(E59)),1,1))&gt;=65,CODE(MID(TRIM(UPPER(E59)),1,1))&lt;=90,CODE(MID(TRIM(UPPER(E59)),2,1))&gt;=65,CODE(MID(TRIM(UPPER(E59)),2,1))&lt;=90,CODE(MID(TRIM(UPPER(E59)),3,1))&gt;=65,CODE(MID(TRIM(UPPER(E59)),3,1))&lt;=90,CODE(MID(TRIM(UPPER(E59)),4,1))&gt;=65,CODE(MID(TRIM(UPPER(E59)),4,1))&lt;=90,CODE(MID(TRIM(UPPER(E59)),5,1))&gt;=65,CODE(MID(TRIM(UPPER(E59)),5,1))&lt;=90,CODE(MID(TRIM(UPPER(E59)),10,1))&gt;=65,CODE(MID(TRIM(UPPER(E59)),10,1))&lt;=90,CODE(MID(TRIM(UPPER(E59)),6,1))&gt;=48,CODE(MID(TRIM(UPPER(E59)),6,1))&lt;=57,CODE(MID(TRIM(UPPER(E59)),7,1))&gt;=48,CODE(MID(TRIM(UPPER(E59)),7,1))&lt;=57,CODE(MID(TRIM(UPPER(E59)),8,1))&gt;=48,CODE(MID(TRIM(UPPER(E59)),8,1))&lt;=57,CODE(MID(TRIM(UPPER(E59)),9,1))&gt;=48,CODE(MID(TRIM(UPPER(E59)),9,1))&lt;=57),"N","Y"))</f>
      </c>
      <c r="G59" s="7">
        <f>IF($D59="","",IF(LEN(E59)&lt;4,"",IF(UPPER(MID(E59,4,1))="P","Individual",IF(UPPER(MID(E59,4,1))="H","HUF",IF(UPPER(MID(E59,4,1))="C","Company",IF(UPPER(MID(E59,4,1))="F","Firm",IF(UPPER(MID(E59,4,1))="L","LLP",IF(UPPER(MID(E59,4,1))="T","Trust",IF(UPPER(MID(E59,4,1))="A","AOP","")))))))))</f>
      </c>
      <c r="H59" s="8"/>
      <c r="I59" s="7">
        <f>IF($D59="","",IF(H59="","",IF(F59="Y",SUMPRODUCT(('Rate Lookup'!$A$1:$A$37=H59)*'Rate Lookup'!$D$1:$D$37),IF(OR(G59="Individual",G59="HUF"),SUMPRODUCT(('Rate Lookup'!$A$1:$A$37=H59)*'Rate Lookup'!$B$1:$B$37),SUMPRODUCT(('Rate Lookup'!$A$1:$A$37=H59)*'Rate Lookup'!$C$1:$C$37)))))</f>
      </c>
      <c r="J59" s="8"/>
      <c r="K59" s="8"/>
      <c r="L59" s="7">
        <f>IF($D59="","",ROUND(K59*I59/100,0))</f>
      </c>
      <c r="M59" s="7">
        <f>IF($D59="","",0)</f>
      </c>
      <c r="N59" s="7">
        <f>IF($D59="","",0)</f>
      </c>
      <c r="O59" s="7">
        <f>IF($D59="","",IF(OR(L59=0,J59="",IFERROR(INDEX('Challan Master'!$D$4:$D$207,MATCH($B59,'Challan Master'!$S$4:$S$207,0)),"")="",IFERROR(INDEX('Challan Master'!$D$4:$D$207,MATCH($B59,'Challan Master'!$S$4:$S$207,0)),"")&lt;=0),0,IF(IFERROR(INDEX('Challan Master'!$D$4:$D$207,MATCH($B59,'Challan Master'!$S$4:$S$207,0)),"")&lt;=DATE(YEAR(J59),MONTH(J59)+1,7),0,ROUND(L59*0.015*((YEAR(IFERROR(INDEX('Challan Master'!$D$4:$D$207,MATCH($B59,'Challan Master'!$S$4:$S$207,0)),""))-YEAR(J59))*12+(MONTH(IFERROR(INDEX('Challan Master'!$D$4:$D$207,MATCH($B59,'Challan Master'!$S$4:$S$207,0)),""))-MONTH(J59))+1),0))))</f>
      </c>
      <c r="P59" s="7">
        <f>IF($D59="","",0)</f>
      </c>
      <c r="Q59" s="8"/>
      <c r="R59" s="8"/>
      <c r="S59" s="8"/>
      <c r="T59" s="8"/>
      <c r="U59" s="8"/>
      <c r="V59" s="7">
        <f>IF($B59="","",IFERROR(INDEX('Challan Master'!$AA$4:$AA$207,MATCH($B59,'Challan Master'!$S$4:$S$207,0)),""))</f>
      </c>
    </row>
    <row r="60" spans="1:22" x14ac:dyDescent="0.25">
      <c r="A60" s="7">
        <f>IF($D60="","",COUNTIF($D$4:$D60,"&lt;&gt;"))</f>
      </c>
      <c r="B60" s="8"/>
      <c r="C60" s="7">
        <f>IF($B60="","","BSR "&amp;IFERROR(INDEX('Challan Master'!$B$4:$B$207,MATCH($B60,'Challan Master'!$S$4:$S$207,0)),"")&amp;" | Serial "&amp;IFERROR(INDEX('Challan Master'!$C$4:$C$207,MATCH($B60,'Challan Master'!$S$4:$S$207,0)),"")&amp;" | Deposit "&amp;TEXT(IFERROR(INDEX('Challan Master'!$D$4:$D$207,MATCH($B60,'Challan Master'!$S$4:$S$207,0)),""),"dd-mm-yyyy")&amp;" | Minor Head "&amp;IFERROR(INDEX('Challan Master'!$E$4:$E$207,MATCH($B60,'Challan Master'!$S$4:$S$207,0)),"")&amp;" | Tax ₹"&amp;TEXT(IFERROR(INDEX('Challan Master'!$G$4:$G$207,MATCH($B60,'Challan Master'!$S$4:$S$207,0)),""),"#,##0")&amp;" | Section "&amp;IFERROR(INDEX('Challan Master'!$F$4:$F$207,MATCH($B60,'Challan Master'!$S$4:$S$207,0)),""))</f>
      </c>
      <c r="D60" s="8"/>
      <c r="E60" s="8"/>
      <c r="F60" s="7">
        <f>IF($D60="","",IF(AND(LEN(TRIM(UPPER(E60)))=10,CODE(MID(TRIM(UPPER(E60)),1,1))&gt;=65,CODE(MID(TRIM(UPPER(E60)),1,1))&lt;=90,CODE(MID(TRIM(UPPER(E60)),2,1))&gt;=65,CODE(MID(TRIM(UPPER(E60)),2,1))&lt;=90,CODE(MID(TRIM(UPPER(E60)),3,1))&gt;=65,CODE(MID(TRIM(UPPER(E60)),3,1))&lt;=90,CODE(MID(TRIM(UPPER(E60)),4,1))&gt;=65,CODE(MID(TRIM(UPPER(E60)),4,1))&lt;=90,CODE(MID(TRIM(UPPER(E60)),5,1))&gt;=65,CODE(MID(TRIM(UPPER(E60)),5,1))&lt;=90,CODE(MID(TRIM(UPPER(E60)),10,1))&gt;=65,CODE(MID(TRIM(UPPER(E60)),10,1))&lt;=90,CODE(MID(TRIM(UPPER(E60)),6,1))&gt;=48,CODE(MID(TRIM(UPPER(E60)),6,1))&lt;=57,CODE(MID(TRIM(UPPER(E60)),7,1))&gt;=48,CODE(MID(TRIM(UPPER(E60)),7,1))&lt;=57,CODE(MID(TRIM(UPPER(E60)),8,1))&gt;=48,CODE(MID(TRIM(UPPER(E60)),8,1))&lt;=57,CODE(MID(TRIM(UPPER(E60)),9,1))&gt;=48,CODE(MID(TRIM(UPPER(E60)),9,1))&lt;=57),"N","Y"))</f>
      </c>
      <c r="G60" s="7">
        <f>IF($D60="","",IF(LEN(E60)&lt;4,"",IF(UPPER(MID(E60,4,1))="P","Individual",IF(UPPER(MID(E60,4,1))="H","HUF",IF(UPPER(MID(E60,4,1))="C","Company",IF(UPPER(MID(E60,4,1))="F","Firm",IF(UPPER(MID(E60,4,1))="L","LLP",IF(UPPER(MID(E60,4,1))="T","Trust",IF(UPPER(MID(E60,4,1))="A","AOP","")))))))))</f>
      </c>
      <c r="H60" s="8"/>
      <c r="I60" s="7">
        <f>IF($D60="","",IF(H60="","",IF(F60="Y",SUMPRODUCT(('Rate Lookup'!$A$1:$A$37=H60)*'Rate Lookup'!$D$1:$D$37),IF(OR(G60="Individual",G60="HUF"),SUMPRODUCT(('Rate Lookup'!$A$1:$A$37=H60)*'Rate Lookup'!$B$1:$B$37),SUMPRODUCT(('Rate Lookup'!$A$1:$A$37=H60)*'Rate Lookup'!$C$1:$C$37)))))</f>
      </c>
      <c r="J60" s="8"/>
      <c r="K60" s="8"/>
      <c r="L60" s="7">
        <f>IF($D60="","",ROUND(K60*I60/100,0))</f>
      </c>
      <c r="M60" s="7">
        <f>IF($D60="","",0)</f>
      </c>
      <c r="N60" s="7">
        <f>IF($D60="","",0)</f>
      </c>
      <c r="O60" s="7">
        <f>IF($D60="","",IF(OR(L60=0,J60="",IFERROR(INDEX('Challan Master'!$D$4:$D$207,MATCH($B60,'Challan Master'!$S$4:$S$207,0)),"")="",IFERROR(INDEX('Challan Master'!$D$4:$D$207,MATCH($B60,'Challan Master'!$S$4:$S$207,0)),"")&lt;=0),0,IF(IFERROR(INDEX('Challan Master'!$D$4:$D$207,MATCH($B60,'Challan Master'!$S$4:$S$207,0)),"")&lt;=DATE(YEAR(J60),MONTH(J60)+1,7),0,ROUND(L60*0.015*((YEAR(IFERROR(INDEX('Challan Master'!$D$4:$D$207,MATCH($B60,'Challan Master'!$S$4:$S$207,0)),""))-YEAR(J60))*12+(MONTH(IFERROR(INDEX('Challan Master'!$D$4:$D$207,MATCH($B60,'Challan Master'!$S$4:$S$207,0)),""))-MONTH(J60))+1),0))))</f>
      </c>
      <c r="P60" s="7">
        <f>IF($D60="","",0)</f>
      </c>
      <c r="Q60" s="8"/>
      <c r="R60" s="8"/>
      <c r="S60" s="8"/>
      <c r="T60" s="8"/>
      <c r="U60" s="8"/>
      <c r="V60" s="7">
        <f>IF($B60="","",IFERROR(INDEX('Challan Master'!$AA$4:$AA$207,MATCH($B60,'Challan Master'!$S$4:$S$207,0)),""))</f>
      </c>
    </row>
    <row r="61" spans="1:22" x14ac:dyDescent="0.25">
      <c r="A61" s="7">
        <f>IF($D61="","",COUNTIF($D$4:$D61,"&lt;&gt;"))</f>
      </c>
      <c r="B61" s="8"/>
      <c r="C61" s="7">
        <f>IF($B61="","","BSR "&amp;IFERROR(INDEX('Challan Master'!$B$4:$B$207,MATCH($B61,'Challan Master'!$S$4:$S$207,0)),"")&amp;" | Serial "&amp;IFERROR(INDEX('Challan Master'!$C$4:$C$207,MATCH($B61,'Challan Master'!$S$4:$S$207,0)),"")&amp;" | Deposit "&amp;TEXT(IFERROR(INDEX('Challan Master'!$D$4:$D$207,MATCH($B61,'Challan Master'!$S$4:$S$207,0)),""),"dd-mm-yyyy")&amp;" | Minor Head "&amp;IFERROR(INDEX('Challan Master'!$E$4:$E$207,MATCH($B61,'Challan Master'!$S$4:$S$207,0)),"")&amp;" | Tax ₹"&amp;TEXT(IFERROR(INDEX('Challan Master'!$G$4:$G$207,MATCH($B61,'Challan Master'!$S$4:$S$207,0)),""),"#,##0")&amp;" | Section "&amp;IFERROR(INDEX('Challan Master'!$F$4:$F$207,MATCH($B61,'Challan Master'!$S$4:$S$207,0)),""))</f>
      </c>
      <c r="D61" s="8"/>
      <c r="E61" s="8"/>
      <c r="F61" s="7">
        <f>IF($D61="","",IF(AND(LEN(TRIM(UPPER(E61)))=10,CODE(MID(TRIM(UPPER(E61)),1,1))&gt;=65,CODE(MID(TRIM(UPPER(E61)),1,1))&lt;=90,CODE(MID(TRIM(UPPER(E61)),2,1))&gt;=65,CODE(MID(TRIM(UPPER(E61)),2,1))&lt;=90,CODE(MID(TRIM(UPPER(E61)),3,1))&gt;=65,CODE(MID(TRIM(UPPER(E61)),3,1))&lt;=90,CODE(MID(TRIM(UPPER(E61)),4,1))&gt;=65,CODE(MID(TRIM(UPPER(E61)),4,1))&lt;=90,CODE(MID(TRIM(UPPER(E61)),5,1))&gt;=65,CODE(MID(TRIM(UPPER(E61)),5,1))&lt;=90,CODE(MID(TRIM(UPPER(E61)),10,1))&gt;=65,CODE(MID(TRIM(UPPER(E61)),10,1))&lt;=90,CODE(MID(TRIM(UPPER(E61)),6,1))&gt;=48,CODE(MID(TRIM(UPPER(E61)),6,1))&lt;=57,CODE(MID(TRIM(UPPER(E61)),7,1))&gt;=48,CODE(MID(TRIM(UPPER(E61)),7,1))&lt;=57,CODE(MID(TRIM(UPPER(E61)),8,1))&gt;=48,CODE(MID(TRIM(UPPER(E61)),8,1))&lt;=57,CODE(MID(TRIM(UPPER(E61)),9,1))&gt;=48,CODE(MID(TRIM(UPPER(E61)),9,1))&lt;=57),"N","Y"))</f>
      </c>
      <c r="G61" s="7">
        <f>IF($D61="","",IF(LEN(E61)&lt;4,"",IF(UPPER(MID(E61,4,1))="P","Individual",IF(UPPER(MID(E61,4,1))="H","HUF",IF(UPPER(MID(E61,4,1))="C","Company",IF(UPPER(MID(E61,4,1))="F","Firm",IF(UPPER(MID(E61,4,1))="L","LLP",IF(UPPER(MID(E61,4,1))="T","Trust",IF(UPPER(MID(E61,4,1))="A","AOP","")))))))))</f>
      </c>
      <c r="H61" s="8"/>
      <c r="I61" s="7">
        <f>IF($D61="","",IF(H61="","",IF(F61="Y",SUMPRODUCT(('Rate Lookup'!$A$1:$A$37=H61)*'Rate Lookup'!$D$1:$D$37),IF(OR(G61="Individual",G61="HUF"),SUMPRODUCT(('Rate Lookup'!$A$1:$A$37=H61)*'Rate Lookup'!$B$1:$B$37),SUMPRODUCT(('Rate Lookup'!$A$1:$A$37=H61)*'Rate Lookup'!$C$1:$C$37)))))</f>
      </c>
      <c r="J61" s="8"/>
      <c r="K61" s="8"/>
      <c r="L61" s="7">
        <f>IF($D61="","",ROUND(K61*I61/100,0))</f>
      </c>
      <c r="M61" s="7">
        <f>IF($D61="","",0)</f>
      </c>
      <c r="N61" s="7">
        <f>IF($D61="","",0)</f>
      </c>
      <c r="O61" s="7">
        <f>IF($D61="","",IF(OR(L61=0,J61="",IFERROR(INDEX('Challan Master'!$D$4:$D$207,MATCH($B61,'Challan Master'!$S$4:$S$207,0)),"")="",IFERROR(INDEX('Challan Master'!$D$4:$D$207,MATCH($B61,'Challan Master'!$S$4:$S$207,0)),"")&lt;=0),0,IF(IFERROR(INDEX('Challan Master'!$D$4:$D$207,MATCH($B61,'Challan Master'!$S$4:$S$207,0)),"")&lt;=DATE(YEAR(J61),MONTH(J61)+1,7),0,ROUND(L61*0.015*((YEAR(IFERROR(INDEX('Challan Master'!$D$4:$D$207,MATCH($B61,'Challan Master'!$S$4:$S$207,0)),""))-YEAR(J61))*12+(MONTH(IFERROR(INDEX('Challan Master'!$D$4:$D$207,MATCH($B61,'Challan Master'!$S$4:$S$207,0)),""))-MONTH(J61))+1),0))))</f>
      </c>
      <c r="P61" s="7">
        <f>IF($D61="","",0)</f>
      </c>
      <c r="Q61" s="8"/>
      <c r="R61" s="8"/>
      <c r="S61" s="8"/>
      <c r="T61" s="8"/>
      <c r="U61" s="8"/>
      <c r="V61" s="7">
        <f>IF($B61="","",IFERROR(INDEX('Challan Master'!$AA$4:$AA$207,MATCH($B61,'Challan Master'!$S$4:$S$207,0)),""))</f>
      </c>
    </row>
    <row r="62" spans="1:22" x14ac:dyDescent="0.25">
      <c r="A62" s="7">
        <f>IF($D62="","",COUNTIF($D$4:$D62,"&lt;&gt;"))</f>
      </c>
      <c r="B62" s="8"/>
      <c r="C62" s="7">
        <f>IF($B62="","","BSR "&amp;IFERROR(INDEX('Challan Master'!$B$4:$B$207,MATCH($B62,'Challan Master'!$S$4:$S$207,0)),"")&amp;" | Serial "&amp;IFERROR(INDEX('Challan Master'!$C$4:$C$207,MATCH($B62,'Challan Master'!$S$4:$S$207,0)),"")&amp;" | Deposit "&amp;TEXT(IFERROR(INDEX('Challan Master'!$D$4:$D$207,MATCH($B62,'Challan Master'!$S$4:$S$207,0)),""),"dd-mm-yyyy")&amp;" | Minor Head "&amp;IFERROR(INDEX('Challan Master'!$E$4:$E$207,MATCH($B62,'Challan Master'!$S$4:$S$207,0)),"")&amp;" | Tax ₹"&amp;TEXT(IFERROR(INDEX('Challan Master'!$G$4:$G$207,MATCH($B62,'Challan Master'!$S$4:$S$207,0)),""),"#,##0")&amp;" | Section "&amp;IFERROR(INDEX('Challan Master'!$F$4:$F$207,MATCH($B62,'Challan Master'!$S$4:$S$207,0)),""))</f>
      </c>
      <c r="D62" s="8"/>
      <c r="E62" s="8"/>
      <c r="F62" s="7">
        <f>IF($D62="","",IF(AND(LEN(TRIM(UPPER(E62)))=10,CODE(MID(TRIM(UPPER(E62)),1,1))&gt;=65,CODE(MID(TRIM(UPPER(E62)),1,1))&lt;=90,CODE(MID(TRIM(UPPER(E62)),2,1))&gt;=65,CODE(MID(TRIM(UPPER(E62)),2,1))&lt;=90,CODE(MID(TRIM(UPPER(E62)),3,1))&gt;=65,CODE(MID(TRIM(UPPER(E62)),3,1))&lt;=90,CODE(MID(TRIM(UPPER(E62)),4,1))&gt;=65,CODE(MID(TRIM(UPPER(E62)),4,1))&lt;=90,CODE(MID(TRIM(UPPER(E62)),5,1))&gt;=65,CODE(MID(TRIM(UPPER(E62)),5,1))&lt;=90,CODE(MID(TRIM(UPPER(E62)),10,1))&gt;=65,CODE(MID(TRIM(UPPER(E62)),10,1))&lt;=90,CODE(MID(TRIM(UPPER(E62)),6,1))&gt;=48,CODE(MID(TRIM(UPPER(E62)),6,1))&lt;=57,CODE(MID(TRIM(UPPER(E62)),7,1))&gt;=48,CODE(MID(TRIM(UPPER(E62)),7,1))&lt;=57,CODE(MID(TRIM(UPPER(E62)),8,1))&gt;=48,CODE(MID(TRIM(UPPER(E62)),8,1))&lt;=57,CODE(MID(TRIM(UPPER(E62)),9,1))&gt;=48,CODE(MID(TRIM(UPPER(E62)),9,1))&lt;=57),"N","Y"))</f>
      </c>
      <c r="G62" s="7">
        <f>IF($D62="","",IF(LEN(E62)&lt;4,"",IF(UPPER(MID(E62,4,1))="P","Individual",IF(UPPER(MID(E62,4,1))="H","HUF",IF(UPPER(MID(E62,4,1))="C","Company",IF(UPPER(MID(E62,4,1))="F","Firm",IF(UPPER(MID(E62,4,1))="L","LLP",IF(UPPER(MID(E62,4,1))="T","Trust",IF(UPPER(MID(E62,4,1))="A","AOP","")))))))))</f>
      </c>
      <c r="H62" s="8"/>
      <c r="I62" s="7">
        <f>IF($D62="","",IF(H62="","",IF(F62="Y",SUMPRODUCT(('Rate Lookup'!$A$1:$A$37=H62)*'Rate Lookup'!$D$1:$D$37),IF(OR(G62="Individual",G62="HUF"),SUMPRODUCT(('Rate Lookup'!$A$1:$A$37=H62)*'Rate Lookup'!$B$1:$B$37),SUMPRODUCT(('Rate Lookup'!$A$1:$A$37=H62)*'Rate Lookup'!$C$1:$C$37)))))</f>
      </c>
      <c r="J62" s="8"/>
      <c r="K62" s="8"/>
      <c r="L62" s="7">
        <f>IF($D62="","",ROUND(K62*I62/100,0))</f>
      </c>
      <c r="M62" s="7">
        <f>IF($D62="","",0)</f>
      </c>
      <c r="N62" s="7">
        <f>IF($D62="","",0)</f>
      </c>
      <c r="O62" s="7">
        <f>IF($D62="","",IF(OR(L62=0,J62="",IFERROR(INDEX('Challan Master'!$D$4:$D$207,MATCH($B62,'Challan Master'!$S$4:$S$207,0)),"")="",IFERROR(INDEX('Challan Master'!$D$4:$D$207,MATCH($B62,'Challan Master'!$S$4:$S$207,0)),"")&lt;=0),0,IF(IFERROR(INDEX('Challan Master'!$D$4:$D$207,MATCH($B62,'Challan Master'!$S$4:$S$207,0)),"")&lt;=DATE(YEAR(J62),MONTH(J62)+1,7),0,ROUND(L62*0.015*((YEAR(IFERROR(INDEX('Challan Master'!$D$4:$D$207,MATCH($B62,'Challan Master'!$S$4:$S$207,0)),""))-YEAR(J62))*12+(MONTH(IFERROR(INDEX('Challan Master'!$D$4:$D$207,MATCH($B62,'Challan Master'!$S$4:$S$207,0)),""))-MONTH(J62))+1),0))))</f>
      </c>
      <c r="P62" s="7">
        <f>IF($D62="","",0)</f>
      </c>
      <c r="Q62" s="8"/>
      <c r="R62" s="8"/>
      <c r="S62" s="8"/>
      <c r="T62" s="8"/>
      <c r="U62" s="8"/>
      <c r="V62" s="7">
        <f>IF($B62="","",IFERROR(INDEX('Challan Master'!$AA$4:$AA$207,MATCH($B62,'Challan Master'!$S$4:$S$207,0)),""))</f>
      </c>
    </row>
    <row r="63" spans="1:22" x14ac:dyDescent="0.25">
      <c r="A63" s="7">
        <f>IF($D63="","",COUNTIF($D$4:$D63,"&lt;&gt;"))</f>
      </c>
      <c r="B63" s="8"/>
      <c r="C63" s="7">
        <f>IF($B63="","","BSR "&amp;IFERROR(INDEX('Challan Master'!$B$4:$B$207,MATCH($B63,'Challan Master'!$S$4:$S$207,0)),"")&amp;" | Serial "&amp;IFERROR(INDEX('Challan Master'!$C$4:$C$207,MATCH($B63,'Challan Master'!$S$4:$S$207,0)),"")&amp;" | Deposit "&amp;TEXT(IFERROR(INDEX('Challan Master'!$D$4:$D$207,MATCH($B63,'Challan Master'!$S$4:$S$207,0)),""),"dd-mm-yyyy")&amp;" | Minor Head "&amp;IFERROR(INDEX('Challan Master'!$E$4:$E$207,MATCH($B63,'Challan Master'!$S$4:$S$207,0)),"")&amp;" | Tax ₹"&amp;TEXT(IFERROR(INDEX('Challan Master'!$G$4:$G$207,MATCH($B63,'Challan Master'!$S$4:$S$207,0)),""),"#,##0")&amp;" | Section "&amp;IFERROR(INDEX('Challan Master'!$F$4:$F$207,MATCH($B63,'Challan Master'!$S$4:$S$207,0)),""))</f>
      </c>
      <c r="D63" s="8"/>
      <c r="E63" s="8"/>
      <c r="F63" s="7">
        <f>IF($D63="","",IF(AND(LEN(TRIM(UPPER(E63)))=10,CODE(MID(TRIM(UPPER(E63)),1,1))&gt;=65,CODE(MID(TRIM(UPPER(E63)),1,1))&lt;=90,CODE(MID(TRIM(UPPER(E63)),2,1))&gt;=65,CODE(MID(TRIM(UPPER(E63)),2,1))&lt;=90,CODE(MID(TRIM(UPPER(E63)),3,1))&gt;=65,CODE(MID(TRIM(UPPER(E63)),3,1))&lt;=90,CODE(MID(TRIM(UPPER(E63)),4,1))&gt;=65,CODE(MID(TRIM(UPPER(E63)),4,1))&lt;=90,CODE(MID(TRIM(UPPER(E63)),5,1))&gt;=65,CODE(MID(TRIM(UPPER(E63)),5,1))&lt;=90,CODE(MID(TRIM(UPPER(E63)),10,1))&gt;=65,CODE(MID(TRIM(UPPER(E63)),10,1))&lt;=90,CODE(MID(TRIM(UPPER(E63)),6,1))&gt;=48,CODE(MID(TRIM(UPPER(E63)),6,1))&lt;=57,CODE(MID(TRIM(UPPER(E63)),7,1))&gt;=48,CODE(MID(TRIM(UPPER(E63)),7,1))&lt;=57,CODE(MID(TRIM(UPPER(E63)),8,1))&gt;=48,CODE(MID(TRIM(UPPER(E63)),8,1))&lt;=57,CODE(MID(TRIM(UPPER(E63)),9,1))&gt;=48,CODE(MID(TRIM(UPPER(E63)),9,1))&lt;=57),"N","Y"))</f>
      </c>
      <c r="G63" s="7">
        <f>IF($D63="","",IF(LEN(E63)&lt;4,"",IF(UPPER(MID(E63,4,1))="P","Individual",IF(UPPER(MID(E63,4,1))="H","HUF",IF(UPPER(MID(E63,4,1))="C","Company",IF(UPPER(MID(E63,4,1))="F","Firm",IF(UPPER(MID(E63,4,1))="L","LLP",IF(UPPER(MID(E63,4,1))="T","Trust",IF(UPPER(MID(E63,4,1))="A","AOP","")))))))))</f>
      </c>
      <c r="H63" s="8"/>
      <c r="I63" s="7">
        <f>IF($D63="","",IF(H63="","",IF(F63="Y",SUMPRODUCT(('Rate Lookup'!$A$1:$A$37=H63)*'Rate Lookup'!$D$1:$D$37),IF(OR(G63="Individual",G63="HUF"),SUMPRODUCT(('Rate Lookup'!$A$1:$A$37=H63)*'Rate Lookup'!$B$1:$B$37),SUMPRODUCT(('Rate Lookup'!$A$1:$A$37=H63)*'Rate Lookup'!$C$1:$C$37)))))</f>
      </c>
      <c r="J63" s="8"/>
      <c r="K63" s="8"/>
      <c r="L63" s="7">
        <f>IF($D63="","",ROUND(K63*I63/100,0))</f>
      </c>
      <c r="M63" s="7">
        <f>IF($D63="","",0)</f>
      </c>
      <c r="N63" s="7">
        <f>IF($D63="","",0)</f>
      </c>
      <c r="O63" s="7">
        <f>IF($D63="","",IF(OR(L63=0,J63="",IFERROR(INDEX('Challan Master'!$D$4:$D$207,MATCH($B63,'Challan Master'!$S$4:$S$207,0)),"")="",IFERROR(INDEX('Challan Master'!$D$4:$D$207,MATCH($B63,'Challan Master'!$S$4:$S$207,0)),"")&lt;=0),0,IF(IFERROR(INDEX('Challan Master'!$D$4:$D$207,MATCH($B63,'Challan Master'!$S$4:$S$207,0)),"")&lt;=DATE(YEAR(J63),MONTH(J63)+1,7),0,ROUND(L63*0.015*((YEAR(IFERROR(INDEX('Challan Master'!$D$4:$D$207,MATCH($B63,'Challan Master'!$S$4:$S$207,0)),""))-YEAR(J63))*12+(MONTH(IFERROR(INDEX('Challan Master'!$D$4:$D$207,MATCH($B63,'Challan Master'!$S$4:$S$207,0)),""))-MONTH(J63))+1),0))))</f>
      </c>
      <c r="P63" s="7">
        <f>IF($D63="","",0)</f>
      </c>
      <c r="Q63" s="8"/>
      <c r="R63" s="8"/>
      <c r="S63" s="8"/>
      <c r="T63" s="8"/>
      <c r="U63" s="8"/>
      <c r="V63" s="7">
        <f>IF($B63="","",IFERROR(INDEX('Challan Master'!$AA$4:$AA$207,MATCH($B63,'Challan Master'!$S$4:$S$207,0)),""))</f>
      </c>
    </row>
    <row r="64" spans="1:22" x14ac:dyDescent="0.25">
      <c r="A64" s="7">
        <f>IF($D64="","",COUNTIF($D$4:$D64,"&lt;&gt;"))</f>
      </c>
      <c r="B64" s="8"/>
      <c r="C64" s="7">
        <f>IF($B64="","","BSR "&amp;IFERROR(INDEX('Challan Master'!$B$4:$B$207,MATCH($B64,'Challan Master'!$S$4:$S$207,0)),"")&amp;" | Serial "&amp;IFERROR(INDEX('Challan Master'!$C$4:$C$207,MATCH($B64,'Challan Master'!$S$4:$S$207,0)),"")&amp;" | Deposit "&amp;TEXT(IFERROR(INDEX('Challan Master'!$D$4:$D$207,MATCH($B64,'Challan Master'!$S$4:$S$207,0)),""),"dd-mm-yyyy")&amp;" | Minor Head "&amp;IFERROR(INDEX('Challan Master'!$E$4:$E$207,MATCH($B64,'Challan Master'!$S$4:$S$207,0)),"")&amp;" | Tax ₹"&amp;TEXT(IFERROR(INDEX('Challan Master'!$G$4:$G$207,MATCH($B64,'Challan Master'!$S$4:$S$207,0)),""),"#,##0")&amp;" | Section "&amp;IFERROR(INDEX('Challan Master'!$F$4:$F$207,MATCH($B64,'Challan Master'!$S$4:$S$207,0)),""))</f>
      </c>
      <c r="D64" s="8"/>
      <c r="E64" s="8"/>
      <c r="F64" s="7">
        <f>IF($D64="","",IF(AND(LEN(TRIM(UPPER(E64)))=10,CODE(MID(TRIM(UPPER(E64)),1,1))&gt;=65,CODE(MID(TRIM(UPPER(E64)),1,1))&lt;=90,CODE(MID(TRIM(UPPER(E64)),2,1))&gt;=65,CODE(MID(TRIM(UPPER(E64)),2,1))&lt;=90,CODE(MID(TRIM(UPPER(E64)),3,1))&gt;=65,CODE(MID(TRIM(UPPER(E64)),3,1))&lt;=90,CODE(MID(TRIM(UPPER(E64)),4,1))&gt;=65,CODE(MID(TRIM(UPPER(E64)),4,1))&lt;=90,CODE(MID(TRIM(UPPER(E64)),5,1))&gt;=65,CODE(MID(TRIM(UPPER(E64)),5,1))&lt;=90,CODE(MID(TRIM(UPPER(E64)),10,1))&gt;=65,CODE(MID(TRIM(UPPER(E64)),10,1))&lt;=90,CODE(MID(TRIM(UPPER(E64)),6,1))&gt;=48,CODE(MID(TRIM(UPPER(E64)),6,1))&lt;=57,CODE(MID(TRIM(UPPER(E64)),7,1))&gt;=48,CODE(MID(TRIM(UPPER(E64)),7,1))&lt;=57,CODE(MID(TRIM(UPPER(E64)),8,1))&gt;=48,CODE(MID(TRIM(UPPER(E64)),8,1))&lt;=57,CODE(MID(TRIM(UPPER(E64)),9,1))&gt;=48,CODE(MID(TRIM(UPPER(E64)),9,1))&lt;=57),"N","Y"))</f>
      </c>
      <c r="G64" s="7">
        <f>IF($D64="","",IF(LEN(E64)&lt;4,"",IF(UPPER(MID(E64,4,1))="P","Individual",IF(UPPER(MID(E64,4,1))="H","HUF",IF(UPPER(MID(E64,4,1))="C","Company",IF(UPPER(MID(E64,4,1))="F","Firm",IF(UPPER(MID(E64,4,1))="L","LLP",IF(UPPER(MID(E64,4,1))="T","Trust",IF(UPPER(MID(E64,4,1))="A","AOP","")))))))))</f>
      </c>
      <c r="H64" s="8"/>
      <c r="I64" s="7">
        <f>IF($D64="","",IF(H64="","",IF(F64="Y",SUMPRODUCT(('Rate Lookup'!$A$1:$A$37=H64)*'Rate Lookup'!$D$1:$D$37),IF(OR(G64="Individual",G64="HUF"),SUMPRODUCT(('Rate Lookup'!$A$1:$A$37=H64)*'Rate Lookup'!$B$1:$B$37),SUMPRODUCT(('Rate Lookup'!$A$1:$A$37=H64)*'Rate Lookup'!$C$1:$C$37)))))</f>
      </c>
      <c r="J64" s="8"/>
      <c r="K64" s="8"/>
      <c r="L64" s="7">
        <f>IF($D64="","",ROUND(K64*I64/100,0))</f>
      </c>
      <c r="M64" s="7">
        <f>IF($D64="","",0)</f>
      </c>
      <c r="N64" s="7">
        <f>IF($D64="","",0)</f>
      </c>
      <c r="O64" s="7">
        <f>IF($D64="","",IF(OR(L64=0,J64="",IFERROR(INDEX('Challan Master'!$D$4:$D$207,MATCH($B64,'Challan Master'!$S$4:$S$207,0)),"")="",IFERROR(INDEX('Challan Master'!$D$4:$D$207,MATCH($B64,'Challan Master'!$S$4:$S$207,0)),"")&lt;=0),0,IF(IFERROR(INDEX('Challan Master'!$D$4:$D$207,MATCH($B64,'Challan Master'!$S$4:$S$207,0)),"")&lt;=DATE(YEAR(J64),MONTH(J64)+1,7),0,ROUND(L64*0.015*((YEAR(IFERROR(INDEX('Challan Master'!$D$4:$D$207,MATCH($B64,'Challan Master'!$S$4:$S$207,0)),""))-YEAR(J64))*12+(MONTH(IFERROR(INDEX('Challan Master'!$D$4:$D$207,MATCH($B64,'Challan Master'!$S$4:$S$207,0)),""))-MONTH(J64))+1),0))))</f>
      </c>
      <c r="P64" s="7">
        <f>IF($D64="","",0)</f>
      </c>
      <c r="Q64" s="8"/>
      <c r="R64" s="8"/>
      <c r="S64" s="8"/>
      <c r="T64" s="8"/>
      <c r="U64" s="8"/>
      <c r="V64" s="7">
        <f>IF($B64="","",IFERROR(INDEX('Challan Master'!$AA$4:$AA$207,MATCH($B64,'Challan Master'!$S$4:$S$207,0)),""))</f>
      </c>
    </row>
    <row r="65" spans="1:22" x14ac:dyDescent="0.25">
      <c r="A65" s="7">
        <f>IF($D65="","",COUNTIF($D$4:$D65,"&lt;&gt;"))</f>
      </c>
      <c r="B65" s="8"/>
      <c r="C65" s="7">
        <f>IF($B65="","","BSR "&amp;IFERROR(INDEX('Challan Master'!$B$4:$B$207,MATCH($B65,'Challan Master'!$S$4:$S$207,0)),"")&amp;" | Serial "&amp;IFERROR(INDEX('Challan Master'!$C$4:$C$207,MATCH($B65,'Challan Master'!$S$4:$S$207,0)),"")&amp;" | Deposit "&amp;TEXT(IFERROR(INDEX('Challan Master'!$D$4:$D$207,MATCH($B65,'Challan Master'!$S$4:$S$207,0)),""),"dd-mm-yyyy")&amp;" | Minor Head "&amp;IFERROR(INDEX('Challan Master'!$E$4:$E$207,MATCH($B65,'Challan Master'!$S$4:$S$207,0)),"")&amp;" | Tax ₹"&amp;TEXT(IFERROR(INDEX('Challan Master'!$G$4:$G$207,MATCH($B65,'Challan Master'!$S$4:$S$207,0)),""),"#,##0")&amp;" | Section "&amp;IFERROR(INDEX('Challan Master'!$F$4:$F$207,MATCH($B65,'Challan Master'!$S$4:$S$207,0)),""))</f>
      </c>
      <c r="D65" s="8"/>
      <c r="E65" s="8"/>
      <c r="F65" s="7">
        <f>IF($D65="","",IF(AND(LEN(TRIM(UPPER(E65)))=10,CODE(MID(TRIM(UPPER(E65)),1,1))&gt;=65,CODE(MID(TRIM(UPPER(E65)),1,1))&lt;=90,CODE(MID(TRIM(UPPER(E65)),2,1))&gt;=65,CODE(MID(TRIM(UPPER(E65)),2,1))&lt;=90,CODE(MID(TRIM(UPPER(E65)),3,1))&gt;=65,CODE(MID(TRIM(UPPER(E65)),3,1))&lt;=90,CODE(MID(TRIM(UPPER(E65)),4,1))&gt;=65,CODE(MID(TRIM(UPPER(E65)),4,1))&lt;=90,CODE(MID(TRIM(UPPER(E65)),5,1))&gt;=65,CODE(MID(TRIM(UPPER(E65)),5,1))&lt;=90,CODE(MID(TRIM(UPPER(E65)),10,1))&gt;=65,CODE(MID(TRIM(UPPER(E65)),10,1))&lt;=90,CODE(MID(TRIM(UPPER(E65)),6,1))&gt;=48,CODE(MID(TRIM(UPPER(E65)),6,1))&lt;=57,CODE(MID(TRIM(UPPER(E65)),7,1))&gt;=48,CODE(MID(TRIM(UPPER(E65)),7,1))&lt;=57,CODE(MID(TRIM(UPPER(E65)),8,1))&gt;=48,CODE(MID(TRIM(UPPER(E65)),8,1))&lt;=57,CODE(MID(TRIM(UPPER(E65)),9,1))&gt;=48,CODE(MID(TRIM(UPPER(E65)),9,1))&lt;=57),"N","Y"))</f>
      </c>
      <c r="G65" s="7">
        <f>IF($D65="","",IF(LEN(E65)&lt;4,"",IF(UPPER(MID(E65,4,1))="P","Individual",IF(UPPER(MID(E65,4,1))="H","HUF",IF(UPPER(MID(E65,4,1))="C","Company",IF(UPPER(MID(E65,4,1))="F","Firm",IF(UPPER(MID(E65,4,1))="L","LLP",IF(UPPER(MID(E65,4,1))="T","Trust",IF(UPPER(MID(E65,4,1))="A","AOP","")))))))))</f>
      </c>
      <c r="H65" s="8"/>
      <c r="I65" s="7">
        <f>IF($D65="","",IF(H65="","",IF(F65="Y",SUMPRODUCT(('Rate Lookup'!$A$1:$A$37=H65)*'Rate Lookup'!$D$1:$D$37),IF(OR(G65="Individual",G65="HUF"),SUMPRODUCT(('Rate Lookup'!$A$1:$A$37=H65)*'Rate Lookup'!$B$1:$B$37),SUMPRODUCT(('Rate Lookup'!$A$1:$A$37=H65)*'Rate Lookup'!$C$1:$C$37)))))</f>
      </c>
      <c r="J65" s="8"/>
      <c r="K65" s="8"/>
      <c r="L65" s="7">
        <f>IF($D65="","",ROUND(K65*I65/100,0))</f>
      </c>
      <c r="M65" s="7">
        <f>IF($D65="","",0)</f>
      </c>
      <c r="N65" s="7">
        <f>IF($D65="","",0)</f>
      </c>
      <c r="O65" s="7">
        <f>IF($D65="","",IF(OR(L65=0,J65="",IFERROR(INDEX('Challan Master'!$D$4:$D$207,MATCH($B65,'Challan Master'!$S$4:$S$207,0)),"")="",IFERROR(INDEX('Challan Master'!$D$4:$D$207,MATCH($B65,'Challan Master'!$S$4:$S$207,0)),"")&lt;=0),0,IF(IFERROR(INDEX('Challan Master'!$D$4:$D$207,MATCH($B65,'Challan Master'!$S$4:$S$207,0)),"")&lt;=DATE(YEAR(J65),MONTH(J65)+1,7),0,ROUND(L65*0.015*((YEAR(IFERROR(INDEX('Challan Master'!$D$4:$D$207,MATCH($B65,'Challan Master'!$S$4:$S$207,0)),""))-YEAR(J65))*12+(MONTH(IFERROR(INDEX('Challan Master'!$D$4:$D$207,MATCH($B65,'Challan Master'!$S$4:$S$207,0)),""))-MONTH(J65))+1),0))))</f>
      </c>
      <c r="P65" s="7">
        <f>IF($D65="","",0)</f>
      </c>
      <c r="Q65" s="8"/>
      <c r="R65" s="8"/>
      <c r="S65" s="8"/>
      <c r="T65" s="8"/>
      <c r="U65" s="8"/>
      <c r="V65" s="7">
        <f>IF($B65="","",IFERROR(INDEX('Challan Master'!$AA$4:$AA$207,MATCH($B65,'Challan Master'!$S$4:$S$207,0)),""))</f>
      </c>
    </row>
    <row r="66" spans="1:22" x14ac:dyDescent="0.25">
      <c r="A66" s="7">
        <f>IF($D66="","",COUNTIF($D$4:$D66,"&lt;&gt;"))</f>
      </c>
      <c r="B66" s="8"/>
      <c r="C66" s="7">
        <f>IF($B66="","","BSR "&amp;IFERROR(INDEX('Challan Master'!$B$4:$B$207,MATCH($B66,'Challan Master'!$S$4:$S$207,0)),"")&amp;" | Serial "&amp;IFERROR(INDEX('Challan Master'!$C$4:$C$207,MATCH($B66,'Challan Master'!$S$4:$S$207,0)),"")&amp;" | Deposit "&amp;TEXT(IFERROR(INDEX('Challan Master'!$D$4:$D$207,MATCH($B66,'Challan Master'!$S$4:$S$207,0)),""),"dd-mm-yyyy")&amp;" | Minor Head "&amp;IFERROR(INDEX('Challan Master'!$E$4:$E$207,MATCH($B66,'Challan Master'!$S$4:$S$207,0)),"")&amp;" | Tax ₹"&amp;TEXT(IFERROR(INDEX('Challan Master'!$G$4:$G$207,MATCH($B66,'Challan Master'!$S$4:$S$207,0)),""),"#,##0")&amp;" | Section "&amp;IFERROR(INDEX('Challan Master'!$F$4:$F$207,MATCH($B66,'Challan Master'!$S$4:$S$207,0)),""))</f>
      </c>
      <c r="D66" s="8"/>
      <c r="E66" s="8"/>
      <c r="F66" s="7">
        <f>IF($D66="","",IF(AND(LEN(TRIM(UPPER(E66)))=10,CODE(MID(TRIM(UPPER(E66)),1,1))&gt;=65,CODE(MID(TRIM(UPPER(E66)),1,1))&lt;=90,CODE(MID(TRIM(UPPER(E66)),2,1))&gt;=65,CODE(MID(TRIM(UPPER(E66)),2,1))&lt;=90,CODE(MID(TRIM(UPPER(E66)),3,1))&gt;=65,CODE(MID(TRIM(UPPER(E66)),3,1))&lt;=90,CODE(MID(TRIM(UPPER(E66)),4,1))&gt;=65,CODE(MID(TRIM(UPPER(E66)),4,1))&lt;=90,CODE(MID(TRIM(UPPER(E66)),5,1))&gt;=65,CODE(MID(TRIM(UPPER(E66)),5,1))&lt;=90,CODE(MID(TRIM(UPPER(E66)),10,1))&gt;=65,CODE(MID(TRIM(UPPER(E66)),10,1))&lt;=90,CODE(MID(TRIM(UPPER(E66)),6,1))&gt;=48,CODE(MID(TRIM(UPPER(E66)),6,1))&lt;=57,CODE(MID(TRIM(UPPER(E66)),7,1))&gt;=48,CODE(MID(TRIM(UPPER(E66)),7,1))&lt;=57,CODE(MID(TRIM(UPPER(E66)),8,1))&gt;=48,CODE(MID(TRIM(UPPER(E66)),8,1))&lt;=57,CODE(MID(TRIM(UPPER(E66)),9,1))&gt;=48,CODE(MID(TRIM(UPPER(E66)),9,1))&lt;=57),"N","Y"))</f>
      </c>
      <c r="G66" s="7">
        <f>IF($D66="","",IF(LEN(E66)&lt;4,"",IF(UPPER(MID(E66,4,1))="P","Individual",IF(UPPER(MID(E66,4,1))="H","HUF",IF(UPPER(MID(E66,4,1))="C","Company",IF(UPPER(MID(E66,4,1))="F","Firm",IF(UPPER(MID(E66,4,1))="L","LLP",IF(UPPER(MID(E66,4,1))="T","Trust",IF(UPPER(MID(E66,4,1))="A","AOP","")))))))))</f>
      </c>
      <c r="H66" s="8"/>
      <c r="I66" s="7">
        <f>IF($D66="","",IF(H66="","",IF(F66="Y",SUMPRODUCT(('Rate Lookup'!$A$1:$A$37=H66)*'Rate Lookup'!$D$1:$D$37),IF(OR(G66="Individual",G66="HUF"),SUMPRODUCT(('Rate Lookup'!$A$1:$A$37=H66)*'Rate Lookup'!$B$1:$B$37),SUMPRODUCT(('Rate Lookup'!$A$1:$A$37=H66)*'Rate Lookup'!$C$1:$C$37)))))</f>
      </c>
      <c r="J66" s="8"/>
      <c r="K66" s="8"/>
      <c r="L66" s="7">
        <f>IF($D66="","",ROUND(K66*I66/100,0))</f>
      </c>
      <c r="M66" s="7">
        <f>IF($D66="","",0)</f>
      </c>
      <c r="N66" s="7">
        <f>IF($D66="","",0)</f>
      </c>
      <c r="O66" s="7">
        <f>IF($D66="","",IF(OR(L66=0,J66="",IFERROR(INDEX('Challan Master'!$D$4:$D$207,MATCH($B66,'Challan Master'!$S$4:$S$207,0)),"")="",IFERROR(INDEX('Challan Master'!$D$4:$D$207,MATCH($B66,'Challan Master'!$S$4:$S$207,0)),"")&lt;=0),0,IF(IFERROR(INDEX('Challan Master'!$D$4:$D$207,MATCH($B66,'Challan Master'!$S$4:$S$207,0)),"")&lt;=DATE(YEAR(J66),MONTH(J66)+1,7),0,ROUND(L66*0.015*((YEAR(IFERROR(INDEX('Challan Master'!$D$4:$D$207,MATCH($B66,'Challan Master'!$S$4:$S$207,0)),""))-YEAR(J66))*12+(MONTH(IFERROR(INDEX('Challan Master'!$D$4:$D$207,MATCH($B66,'Challan Master'!$S$4:$S$207,0)),""))-MONTH(J66))+1),0))))</f>
      </c>
      <c r="P66" s="7">
        <f>IF($D66="","",0)</f>
      </c>
      <c r="Q66" s="8"/>
      <c r="R66" s="8"/>
      <c r="S66" s="8"/>
      <c r="T66" s="8"/>
      <c r="U66" s="8"/>
      <c r="V66" s="7">
        <f>IF($B66="","",IFERROR(INDEX('Challan Master'!$AA$4:$AA$207,MATCH($B66,'Challan Master'!$S$4:$S$207,0)),""))</f>
      </c>
    </row>
    <row r="67" spans="1:22" x14ac:dyDescent="0.25">
      <c r="A67" s="7">
        <f>IF($D67="","",COUNTIF($D$4:$D67,"&lt;&gt;"))</f>
      </c>
      <c r="B67" s="8"/>
      <c r="C67" s="7">
        <f>IF($B67="","","BSR "&amp;IFERROR(INDEX('Challan Master'!$B$4:$B$207,MATCH($B67,'Challan Master'!$S$4:$S$207,0)),"")&amp;" | Serial "&amp;IFERROR(INDEX('Challan Master'!$C$4:$C$207,MATCH($B67,'Challan Master'!$S$4:$S$207,0)),"")&amp;" | Deposit "&amp;TEXT(IFERROR(INDEX('Challan Master'!$D$4:$D$207,MATCH($B67,'Challan Master'!$S$4:$S$207,0)),""),"dd-mm-yyyy")&amp;" | Minor Head "&amp;IFERROR(INDEX('Challan Master'!$E$4:$E$207,MATCH($B67,'Challan Master'!$S$4:$S$207,0)),"")&amp;" | Tax ₹"&amp;TEXT(IFERROR(INDEX('Challan Master'!$G$4:$G$207,MATCH($B67,'Challan Master'!$S$4:$S$207,0)),""),"#,##0")&amp;" | Section "&amp;IFERROR(INDEX('Challan Master'!$F$4:$F$207,MATCH($B67,'Challan Master'!$S$4:$S$207,0)),""))</f>
      </c>
      <c r="D67" s="8"/>
      <c r="E67" s="8"/>
      <c r="F67" s="7">
        <f>IF($D67="","",IF(AND(LEN(TRIM(UPPER(E67)))=10,CODE(MID(TRIM(UPPER(E67)),1,1))&gt;=65,CODE(MID(TRIM(UPPER(E67)),1,1))&lt;=90,CODE(MID(TRIM(UPPER(E67)),2,1))&gt;=65,CODE(MID(TRIM(UPPER(E67)),2,1))&lt;=90,CODE(MID(TRIM(UPPER(E67)),3,1))&gt;=65,CODE(MID(TRIM(UPPER(E67)),3,1))&lt;=90,CODE(MID(TRIM(UPPER(E67)),4,1))&gt;=65,CODE(MID(TRIM(UPPER(E67)),4,1))&lt;=90,CODE(MID(TRIM(UPPER(E67)),5,1))&gt;=65,CODE(MID(TRIM(UPPER(E67)),5,1))&lt;=90,CODE(MID(TRIM(UPPER(E67)),10,1))&gt;=65,CODE(MID(TRIM(UPPER(E67)),10,1))&lt;=90,CODE(MID(TRIM(UPPER(E67)),6,1))&gt;=48,CODE(MID(TRIM(UPPER(E67)),6,1))&lt;=57,CODE(MID(TRIM(UPPER(E67)),7,1))&gt;=48,CODE(MID(TRIM(UPPER(E67)),7,1))&lt;=57,CODE(MID(TRIM(UPPER(E67)),8,1))&gt;=48,CODE(MID(TRIM(UPPER(E67)),8,1))&lt;=57,CODE(MID(TRIM(UPPER(E67)),9,1))&gt;=48,CODE(MID(TRIM(UPPER(E67)),9,1))&lt;=57),"N","Y"))</f>
      </c>
      <c r="G67" s="7">
        <f>IF($D67="","",IF(LEN(E67)&lt;4,"",IF(UPPER(MID(E67,4,1))="P","Individual",IF(UPPER(MID(E67,4,1))="H","HUF",IF(UPPER(MID(E67,4,1))="C","Company",IF(UPPER(MID(E67,4,1))="F","Firm",IF(UPPER(MID(E67,4,1))="L","LLP",IF(UPPER(MID(E67,4,1))="T","Trust",IF(UPPER(MID(E67,4,1))="A","AOP","")))))))))</f>
      </c>
      <c r="H67" s="8"/>
      <c r="I67" s="7">
        <f>IF($D67="","",IF(H67="","",IF(F67="Y",SUMPRODUCT(('Rate Lookup'!$A$1:$A$37=H67)*'Rate Lookup'!$D$1:$D$37),IF(OR(G67="Individual",G67="HUF"),SUMPRODUCT(('Rate Lookup'!$A$1:$A$37=H67)*'Rate Lookup'!$B$1:$B$37),SUMPRODUCT(('Rate Lookup'!$A$1:$A$37=H67)*'Rate Lookup'!$C$1:$C$37)))))</f>
      </c>
      <c r="J67" s="8"/>
      <c r="K67" s="8"/>
      <c r="L67" s="7">
        <f>IF($D67="","",ROUND(K67*I67/100,0))</f>
      </c>
      <c r="M67" s="7">
        <f>IF($D67="","",0)</f>
      </c>
      <c r="N67" s="7">
        <f>IF($D67="","",0)</f>
      </c>
      <c r="O67" s="7">
        <f>IF($D67="","",IF(OR(L67=0,J67="",IFERROR(INDEX('Challan Master'!$D$4:$D$207,MATCH($B67,'Challan Master'!$S$4:$S$207,0)),"")="",IFERROR(INDEX('Challan Master'!$D$4:$D$207,MATCH($B67,'Challan Master'!$S$4:$S$207,0)),"")&lt;=0),0,IF(IFERROR(INDEX('Challan Master'!$D$4:$D$207,MATCH($B67,'Challan Master'!$S$4:$S$207,0)),"")&lt;=DATE(YEAR(J67),MONTH(J67)+1,7),0,ROUND(L67*0.015*((YEAR(IFERROR(INDEX('Challan Master'!$D$4:$D$207,MATCH($B67,'Challan Master'!$S$4:$S$207,0)),""))-YEAR(J67))*12+(MONTH(IFERROR(INDEX('Challan Master'!$D$4:$D$207,MATCH($B67,'Challan Master'!$S$4:$S$207,0)),""))-MONTH(J67))+1),0))))</f>
      </c>
      <c r="P67" s="7">
        <f>IF($D67="","",0)</f>
      </c>
      <c r="Q67" s="8"/>
      <c r="R67" s="8"/>
      <c r="S67" s="8"/>
      <c r="T67" s="8"/>
      <c r="U67" s="8"/>
      <c r="V67" s="7">
        <f>IF($B67="","",IFERROR(INDEX('Challan Master'!$AA$4:$AA$207,MATCH($B67,'Challan Master'!$S$4:$S$207,0)),""))</f>
      </c>
    </row>
    <row r="68" spans="1:22" x14ac:dyDescent="0.25">
      <c r="A68" s="7">
        <f>IF($D68="","",COUNTIF($D$4:$D68,"&lt;&gt;"))</f>
      </c>
      <c r="B68" s="8"/>
      <c r="C68" s="7">
        <f>IF($B68="","","BSR "&amp;IFERROR(INDEX('Challan Master'!$B$4:$B$207,MATCH($B68,'Challan Master'!$S$4:$S$207,0)),"")&amp;" | Serial "&amp;IFERROR(INDEX('Challan Master'!$C$4:$C$207,MATCH($B68,'Challan Master'!$S$4:$S$207,0)),"")&amp;" | Deposit "&amp;TEXT(IFERROR(INDEX('Challan Master'!$D$4:$D$207,MATCH($B68,'Challan Master'!$S$4:$S$207,0)),""),"dd-mm-yyyy")&amp;" | Minor Head "&amp;IFERROR(INDEX('Challan Master'!$E$4:$E$207,MATCH($B68,'Challan Master'!$S$4:$S$207,0)),"")&amp;" | Tax ₹"&amp;TEXT(IFERROR(INDEX('Challan Master'!$G$4:$G$207,MATCH($B68,'Challan Master'!$S$4:$S$207,0)),""),"#,##0")&amp;" | Section "&amp;IFERROR(INDEX('Challan Master'!$F$4:$F$207,MATCH($B68,'Challan Master'!$S$4:$S$207,0)),""))</f>
      </c>
      <c r="D68" s="8"/>
      <c r="E68" s="8"/>
      <c r="F68" s="7">
        <f>IF($D68="","",IF(AND(LEN(TRIM(UPPER(E68)))=10,CODE(MID(TRIM(UPPER(E68)),1,1))&gt;=65,CODE(MID(TRIM(UPPER(E68)),1,1))&lt;=90,CODE(MID(TRIM(UPPER(E68)),2,1))&gt;=65,CODE(MID(TRIM(UPPER(E68)),2,1))&lt;=90,CODE(MID(TRIM(UPPER(E68)),3,1))&gt;=65,CODE(MID(TRIM(UPPER(E68)),3,1))&lt;=90,CODE(MID(TRIM(UPPER(E68)),4,1))&gt;=65,CODE(MID(TRIM(UPPER(E68)),4,1))&lt;=90,CODE(MID(TRIM(UPPER(E68)),5,1))&gt;=65,CODE(MID(TRIM(UPPER(E68)),5,1))&lt;=90,CODE(MID(TRIM(UPPER(E68)),10,1))&gt;=65,CODE(MID(TRIM(UPPER(E68)),10,1))&lt;=90,CODE(MID(TRIM(UPPER(E68)),6,1))&gt;=48,CODE(MID(TRIM(UPPER(E68)),6,1))&lt;=57,CODE(MID(TRIM(UPPER(E68)),7,1))&gt;=48,CODE(MID(TRIM(UPPER(E68)),7,1))&lt;=57,CODE(MID(TRIM(UPPER(E68)),8,1))&gt;=48,CODE(MID(TRIM(UPPER(E68)),8,1))&lt;=57,CODE(MID(TRIM(UPPER(E68)),9,1))&gt;=48,CODE(MID(TRIM(UPPER(E68)),9,1))&lt;=57),"N","Y"))</f>
      </c>
      <c r="G68" s="7">
        <f>IF($D68="","",IF(LEN(E68)&lt;4,"",IF(UPPER(MID(E68,4,1))="P","Individual",IF(UPPER(MID(E68,4,1))="H","HUF",IF(UPPER(MID(E68,4,1))="C","Company",IF(UPPER(MID(E68,4,1))="F","Firm",IF(UPPER(MID(E68,4,1))="L","LLP",IF(UPPER(MID(E68,4,1))="T","Trust",IF(UPPER(MID(E68,4,1))="A","AOP","")))))))))</f>
      </c>
      <c r="H68" s="8"/>
      <c r="I68" s="7">
        <f>IF($D68="","",IF(H68="","",IF(F68="Y",SUMPRODUCT(('Rate Lookup'!$A$1:$A$37=H68)*'Rate Lookup'!$D$1:$D$37),IF(OR(G68="Individual",G68="HUF"),SUMPRODUCT(('Rate Lookup'!$A$1:$A$37=H68)*'Rate Lookup'!$B$1:$B$37),SUMPRODUCT(('Rate Lookup'!$A$1:$A$37=H68)*'Rate Lookup'!$C$1:$C$37)))))</f>
      </c>
      <c r="J68" s="8"/>
      <c r="K68" s="8"/>
      <c r="L68" s="7">
        <f>IF($D68="","",ROUND(K68*I68/100,0))</f>
      </c>
      <c r="M68" s="7">
        <f>IF($D68="","",0)</f>
      </c>
      <c r="N68" s="7">
        <f>IF($D68="","",0)</f>
      </c>
      <c r="O68" s="7">
        <f>IF($D68="","",IF(OR(L68=0,J68="",IFERROR(INDEX('Challan Master'!$D$4:$D$207,MATCH($B68,'Challan Master'!$S$4:$S$207,0)),"")="",IFERROR(INDEX('Challan Master'!$D$4:$D$207,MATCH($B68,'Challan Master'!$S$4:$S$207,0)),"")&lt;=0),0,IF(IFERROR(INDEX('Challan Master'!$D$4:$D$207,MATCH($B68,'Challan Master'!$S$4:$S$207,0)),"")&lt;=DATE(YEAR(J68),MONTH(J68)+1,7),0,ROUND(L68*0.015*((YEAR(IFERROR(INDEX('Challan Master'!$D$4:$D$207,MATCH($B68,'Challan Master'!$S$4:$S$207,0)),""))-YEAR(J68))*12+(MONTH(IFERROR(INDEX('Challan Master'!$D$4:$D$207,MATCH($B68,'Challan Master'!$S$4:$S$207,0)),""))-MONTH(J68))+1),0))))</f>
      </c>
      <c r="P68" s="7">
        <f>IF($D68="","",0)</f>
      </c>
      <c r="Q68" s="8"/>
      <c r="R68" s="8"/>
      <c r="S68" s="8"/>
      <c r="T68" s="8"/>
      <c r="U68" s="8"/>
      <c r="V68" s="7">
        <f>IF($B68="","",IFERROR(INDEX('Challan Master'!$AA$4:$AA$207,MATCH($B68,'Challan Master'!$S$4:$S$207,0)),""))</f>
      </c>
    </row>
    <row r="69" spans="1:22" x14ac:dyDescent="0.25">
      <c r="A69" s="7">
        <f>IF($D69="","",COUNTIF($D$4:$D69,"&lt;&gt;"))</f>
      </c>
      <c r="B69" s="8"/>
      <c r="C69" s="7">
        <f>IF($B69="","","BSR "&amp;IFERROR(INDEX('Challan Master'!$B$4:$B$207,MATCH($B69,'Challan Master'!$S$4:$S$207,0)),"")&amp;" | Serial "&amp;IFERROR(INDEX('Challan Master'!$C$4:$C$207,MATCH($B69,'Challan Master'!$S$4:$S$207,0)),"")&amp;" | Deposit "&amp;TEXT(IFERROR(INDEX('Challan Master'!$D$4:$D$207,MATCH($B69,'Challan Master'!$S$4:$S$207,0)),""),"dd-mm-yyyy")&amp;" | Minor Head "&amp;IFERROR(INDEX('Challan Master'!$E$4:$E$207,MATCH($B69,'Challan Master'!$S$4:$S$207,0)),"")&amp;" | Tax ₹"&amp;TEXT(IFERROR(INDEX('Challan Master'!$G$4:$G$207,MATCH($B69,'Challan Master'!$S$4:$S$207,0)),""),"#,##0")&amp;" | Section "&amp;IFERROR(INDEX('Challan Master'!$F$4:$F$207,MATCH($B69,'Challan Master'!$S$4:$S$207,0)),""))</f>
      </c>
      <c r="D69" s="8"/>
      <c r="E69" s="8"/>
      <c r="F69" s="7">
        <f>IF($D69="","",IF(AND(LEN(TRIM(UPPER(E69)))=10,CODE(MID(TRIM(UPPER(E69)),1,1))&gt;=65,CODE(MID(TRIM(UPPER(E69)),1,1))&lt;=90,CODE(MID(TRIM(UPPER(E69)),2,1))&gt;=65,CODE(MID(TRIM(UPPER(E69)),2,1))&lt;=90,CODE(MID(TRIM(UPPER(E69)),3,1))&gt;=65,CODE(MID(TRIM(UPPER(E69)),3,1))&lt;=90,CODE(MID(TRIM(UPPER(E69)),4,1))&gt;=65,CODE(MID(TRIM(UPPER(E69)),4,1))&lt;=90,CODE(MID(TRIM(UPPER(E69)),5,1))&gt;=65,CODE(MID(TRIM(UPPER(E69)),5,1))&lt;=90,CODE(MID(TRIM(UPPER(E69)),10,1))&gt;=65,CODE(MID(TRIM(UPPER(E69)),10,1))&lt;=90,CODE(MID(TRIM(UPPER(E69)),6,1))&gt;=48,CODE(MID(TRIM(UPPER(E69)),6,1))&lt;=57,CODE(MID(TRIM(UPPER(E69)),7,1))&gt;=48,CODE(MID(TRIM(UPPER(E69)),7,1))&lt;=57,CODE(MID(TRIM(UPPER(E69)),8,1))&gt;=48,CODE(MID(TRIM(UPPER(E69)),8,1))&lt;=57,CODE(MID(TRIM(UPPER(E69)),9,1))&gt;=48,CODE(MID(TRIM(UPPER(E69)),9,1))&lt;=57),"N","Y"))</f>
      </c>
      <c r="G69" s="7">
        <f>IF($D69="","",IF(LEN(E69)&lt;4,"",IF(UPPER(MID(E69,4,1))="P","Individual",IF(UPPER(MID(E69,4,1))="H","HUF",IF(UPPER(MID(E69,4,1))="C","Company",IF(UPPER(MID(E69,4,1))="F","Firm",IF(UPPER(MID(E69,4,1))="L","LLP",IF(UPPER(MID(E69,4,1))="T","Trust",IF(UPPER(MID(E69,4,1))="A","AOP","")))))))))</f>
      </c>
      <c r="H69" s="8"/>
      <c r="I69" s="7">
        <f>IF($D69="","",IF(H69="","",IF(F69="Y",SUMPRODUCT(('Rate Lookup'!$A$1:$A$37=H69)*'Rate Lookup'!$D$1:$D$37),IF(OR(G69="Individual",G69="HUF"),SUMPRODUCT(('Rate Lookup'!$A$1:$A$37=H69)*'Rate Lookup'!$B$1:$B$37),SUMPRODUCT(('Rate Lookup'!$A$1:$A$37=H69)*'Rate Lookup'!$C$1:$C$37)))))</f>
      </c>
      <c r="J69" s="8"/>
      <c r="K69" s="8"/>
      <c r="L69" s="7">
        <f>IF($D69="","",ROUND(K69*I69/100,0))</f>
      </c>
      <c r="M69" s="7">
        <f>IF($D69="","",0)</f>
      </c>
      <c r="N69" s="7">
        <f>IF($D69="","",0)</f>
      </c>
      <c r="O69" s="7">
        <f>IF($D69="","",IF(OR(L69=0,J69="",IFERROR(INDEX('Challan Master'!$D$4:$D$207,MATCH($B69,'Challan Master'!$S$4:$S$207,0)),"")="",IFERROR(INDEX('Challan Master'!$D$4:$D$207,MATCH($B69,'Challan Master'!$S$4:$S$207,0)),"")&lt;=0),0,IF(IFERROR(INDEX('Challan Master'!$D$4:$D$207,MATCH($B69,'Challan Master'!$S$4:$S$207,0)),"")&lt;=DATE(YEAR(J69),MONTH(J69)+1,7),0,ROUND(L69*0.015*((YEAR(IFERROR(INDEX('Challan Master'!$D$4:$D$207,MATCH($B69,'Challan Master'!$S$4:$S$207,0)),""))-YEAR(J69))*12+(MONTH(IFERROR(INDEX('Challan Master'!$D$4:$D$207,MATCH($B69,'Challan Master'!$S$4:$S$207,0)),""))-MONTH(J69))+1),0))))</f>
      </c>
      <c r="P69" s="7">
        <f>IF($D69="","",0)</f>
      </c>
      <c r="Q69" s="8"/>
      <c r="R69" s="8"/>
      <c r="S69" s="8"/>
      <c r="T69" s="8"/>
      <c r="U69" s="8"/>
      <c r="V69" s="7">
        <f>IF($B69="","",IFERROR(INDEX('Challan Master'!$AA$4:$AA$207,MATCH($B69,'Challan Master'!$S$4:$S$207,0)),""))</f>
      </c>
    </row>
    <row r="70" spans="1:22" x14ac:dyDescent="0.25">
      <c r="A70" s="7">
        <f>IF($D70="","",COUNTIF($D$4:$D70,"&lt;&gt;"))</f>
      </c>
      <c r="B70" s="8"/>
      <c r="C70" s="7">
        <f>IF($B70="","","BSR "&amp;IFERROR(INDEX('Challan Master'!$B$4:$B$207,MATCH($B70,'Challan Master'!$S$4:$S$207,0)),"")&amp;" | Serial "&amp;IFERROR(INDEX('Challan Master'!$C$4:$C$207,MATCH($B70,'Challan Master'!$S$4:$S$207,0)),"")&amp;" | Deposit "&amp;TEXT(IFERROR(INDEX('Challan Master'!$D$4:$D$207,MATCH($B70,'Challan Master'!$S$4:$S$207,0)),""),"dd-mm-yyyy")&amp;" | Minor Head "&amp;IFERROR(INDEX('Challan Master'!$E$4:$E$207,MATCH($B70,'Challan Master'!$S$4:$S$207,0)),"")&amp;" | Tax ₹"&amp;TEXT(IFERROR(INDEX('Challan Master'!$G$4:$G$207,MATCH($B70,'Challan Master'!$S$4:$S$207,0)),""),"#,##0")&amp;" | Section "&amp;IFERROR(INDEX('Challan Master'!$F$4:$F$207,MATCH($B70,'Challan Master'!$S$4:$S$207,0)),""))</f>
      </c>
      <c r="D70" s="8"/>
      <c r="E70" s="8"/>
      <c r="F70" s="7">
        <f>IF($D70="","",IF(AND(LEN(TRIM(UPPER(E70)))=10,CODE(MID(TRIM(UPPER(E70)),1,1))&gt;=65,CODE(MID(TRIM(UPPER(E70)),1,1))&lt;=90,CODE(MID(TRIM(UPPER(E70)),2,1))&gt;=65,CODE(MID(TRIM(UPPER(E70)),2,1))&lt;=90,CODE(MID(TRIM(UPPER(E70)),3,1))&gt;=65,CODE(MID(TRIM(UPPER(E70)),3,1))&lt;=90,CODE(MID(TRIM(UPPER(E70)),4,1))&gt;=65,CODE(MID(TRIM(UPPER(E70)),4,1))&lt;=90,CODE(MID(TRIM(UPPER(E70)),5,1))&gt;=65,CODE(MID(TRIM(UPPER(E70)),5,1))&lt;=90,CODE(MID(TRIM(UPPER(E70)),10,1))&gt;=65,CODE(MID(TRIM(UPPER(E70)),10,1))&lt;=90,CODE(MID(TRIM(UPPER(E70)),6,1))&gt;=48,CODE(MID(TRIM(UPPER(E70)),6,1))&lt;=57,CODE(MID(TRIM(UPPER(E70)),7,1))&gt;=48,CODE(MID(TRIM(UPPER(E70)),7,1))&lt;=57,CODE(MID(TRIM(UPPER(E70)),8,1))&gt;=48,CODE(MID(TRIM(UPPER(E70)),8,1))&lt;=57,CODE(MID(TRIM(UPPER(E70)),9,1))&gt;=48,CODE(MID(TRIM(UPPER(E70)),9,1))&lt;=57),"N","Y"))</f>
      </c>
      <c r="G70" s="7">
        <f>IF($D70="","",IF(LEN(E70)&lt;4,"",IF(UPPER(MID(E70,4,1))="P","Individual",IF(UPPER(MID(E70,4,1))="H","HUF",IF(UPPER(MID(E70,4,1))="C","Company",IF(UPPER(MID(E70,4,1))="F","Firm",IF(UPPER(MID(E70,4,1))="L","LLP",IF(UPPER(MID(E70,4,1))="T","Trust",IF(UPPER(MID(E70,4,1))="A","AOP","")))))))))</f>
      </c>
      <c r="H70" s="8"/>
      <c r="I70" s="7">
        <f>IF($D70="","",IF(H70="","",IF(F70="Y",SUMPRODUCT(('Rate Lookup'!$A$1:$A$37=H70)*'Rate Lookup'!$D$1:$D$37),IF(OR(G70="Individual",G70="HUF"),SUMPRODUCT(('Rate Lookup'!$A$1:$A$37=H70)*'Rate Lookup'!$B$1:$B$37),SUMPRODUCT(('Rate Lookup'!$A$1:$A$37=H70)*'Rate Lookup'!$C$1:$C$37)))))</f>
      </c>
      <c r="J70" s="8"/>
      <c r="K70" s="8"/>
      <c r="L70" s="7">
        <f>IF($D70="","",ROUND(K70*I70/100,0))</f>
      </c>
      <c r="M70" s="7">
        <f>IF($D70="","",0)</f>
      </c>
      <c r="N70" s="7">
        <f>IF($D70="","",0)</f>
      </c>
      <c r="O70" s="7">
        <f>IF($D70="","",IF(OR(L70=0,J70="",IFERROR(INDEX('Challan Master'!$D$4:$D$207,MATCH($B70,'Challan Master'!$S$4:$S$207,0)),"")="",IFERROR(INDEX('Challan Master'!$D$4:$D$207,MATCH($B70,'Challan Master'!$S$4:$S$207,0)),"")&lt;=0),0,IF(IFERROR(INDEX('Challan Master'!$D$4:$D$207,MATCH($B70,'Challan Master'!$S$4:$S$207,0)),"")&lt;=DATE(YEAR(J70),MONTH(J70)+1,7),0,ROUND(L70*0.015*((YEAR(IFERROR(INDEX('Challan Master'!$D$4:$D$207,MATCH($B70,'Challan Master'!$S$4:$S$207,0)),""))-YEAR(J70))*12+(MONTH(IFERROR(INDEX('Challan Master'!$D$4:$D$207,MATCH($B70,'Challan Master'!$S$4:$S$207,0)),""))-MONTH(J70))+1),0))))</f>
      </c>
      <c r="P70" s="7">
        <f>IF($D70="","",0)</f>
      </c>
      <c r="Q70" s="8"/>
      <c r="R70" s="8"/>
      <c r="S70" s="8"/>
      <c r="T70" s="8"/>
      <c r="U70" s="8"/>
      <c r="V70" s="7">
        <f>IF($B70="","",IFERROR(INDEX('Challan Master'!$AA$4:$AA$207,MATCH($B70,'Challan Master'!$S$4:$S$207,0)),""))</f>
      </c>
    </row>
    <row r="71" spans="1:22" x14ac:dyDescent="0.25">
      <c r="A71" s="7">
        <f>IF($D71="","",COUNTIF($D$4:$D71,"&lt;&gt;"))</f>
      </c>
      <c r="B71" s="8"/>
      <c r="C71" s="7">
        <f>IF($B71="","","BSR "&amp;IFERROR(INDEX('Challan Master'!$B$4:$B$207,MATCH($B71,'Challan Master'!$S$4:$S$207,0)),"")&amp;" | Serial "&amp;IFERROR(INDEX('Challan Master'!$C$4:$C$207,MATCH($B71,'Challan Master'!$S$4:$S$207,0)),"")&amp;" | Deposit "&amp;TEXT(IFERROR(INDEX('Challan Master'!$D$4:$D$207,MATCH($B71,'Challan Master'!$S$4:$S$207,0)),""),"dd-mm-yyyy")&amp;" | Minor Head "&amp;IFERROR(INDEX('Challan Master'!$E$4:$E$207,MATCH($B71,'Challan Master'!$S$4:$S$207,0)),"")&amp;" | Tax ₹"&amp;TEXT(IFERROR(INDEX('Challan Master'!$G$4:$G$207,MATCH($B71,'Challan Master'!$S$4:$S$207,0)),""),"#,##0")&amp;" | Section "&amp;IFERROR(INDEX('Challan Master'!$F$4:$F$207,MATCH($B71,'Challan Master'!$S$4:$S$207,0)),""))</f>
      </c>
      <c r="D71" s="8"/>
      <c r="E71" s="8"/>
      <c r="F71" s="7">
        <f>IF($D71="","",IF(AND(LEN(TRIM(UPPER(E71)))=10,CODE(MID(TRIM(UPPER(E71)),1,1))&gt;=65,CODE(MID(TRIM(UPPER(E71)),1,1))&lt;=90,CODE(MID(TRIM(UPPER(E71)),2,1))&gt;=65,CODE(MID(TRIM(UPPER(E71)),2,1))&lt;=90,CODE(MID(TRIM(UPPER(E71)),3,1))&gt;=65,CODE(MID(TRIM(UPPER(E71)),3,1))&lt;=90,CODE(MID(TRIM(UPPER(E71)),4,1))&gt;=65,CODE(MID(TRIM(UPPER(E71)),4,1))&lt;=90,CODE(MID(TRIM(UPPER(E71)),5,1))&gt;=65,CODE(MID(TRIM(UPPER(E71)),5,1))&lt;=90,CODE(MID(TRIM(UPPER(E71)),10,1))&gt;=65,CODE(MID(TRIM(UPPER(E71)),10,1))&lt;=90,CODE(MID(TRIM(UPPER(E71)),6,1))&gt;=48,CODE(MID(TRIM(UPPER(E71)),6,1))&lt;=57,CODE(MID(TRIM(UPPER(E71)),7,1))&gt;=48,CODE(MID(TRIM(UPPER(E71)),7,1))&lt;=57,CODE(MID(TRIM(UPPER(E71)),8,1))&gt;=48,CODE(MID(TRIM(UPPER(E71)),8,1))&lt;=57,CODE(MID(TRIM(UPPER(E71)),9,1))&gt;=48,CODE(MID(TRIM(UPPER(E71)),9,1))&lt;=57),"N","Y"))</f>
      </c>
      <c r="G71" s="7">
        <f>IF($D71="","",IF(LEN(E71)&lt;4,"",IF(UPPER(MID(E71,4,1))="P","Individual",IF(UPPER(MID(E71,4,1))="H","HUF",IF(UPPER(MID(E71,4,1))="C","Company",IF(UPPER(MID(E71,4,1))="F","Firm",IF(UPPER(MID(E71,4,1))="L","LLP",IF(UPPER(MID(E71,4,1))="T","Trust",IF(UPPER(MID(E71,4,1))="A","AOP","")))))))))</f>
      </c>
      <c r="H71" s="8"/>
      <c r="I71" s="7">
        <f>IF($D71="","",IF(H71="","",IF(F71="Y",SUMPRODUCT(('Rate Lookup'!$A$1:$A$37=H71)*'Rate Lookup'!$D$1:$D$37),IF(OR(G71="Individual",G71="HUF"),SUMPRODUCT(('Rate Lookup'!$A$1:$A$37=H71)*'Rate Lookup'!$B$1:$B$37),SUMPRODUCT(('Rate Lookup'!$A$1:$A$37=H71)*'Rate Lookup'!$C$1:$C$37)))))</f>
      </c>
      <c r="J71" s="8"/>
      <c r="K71" s="8"/>
      <c r="L71" s="7">
        <f>IF($D71="","",ROUND(K71*I71/100,0))</f>
      </c>
      <c r="M71" s="7">
        <f>IF($D71="","",0)</f>
      </c>
      <c r="N71" s="7">
        <f>IF($D71="","",0)</f>
      </c>
      <c r="O71" s="7">
        <f>IF($D71="","",IF(OR(L71=0,J71="",IFERROR(INDEX('Challan Master'!$D$4:$D$207,MATCH($B71,'Challan Master'!$S$4:$S$207,0)),"")="",IFERROR(INDEX('Challan Master'!$D$4:$D$207,MATCH($B71,'Challan Master'!$S$4:$S$207,0)),"")&lt;=0),0,IF(IFERROR(INDEX('Challan Master'!$D$4:$D$207,MATCH($B71,'Challan Master'!$S$4:$S$207,0)),"")&lt;=DATE(YEAR(J71),MONTH(J71)+1,7),0,ROUND(L71*0.015*((YEAR(IFERROR(INDEX('Challan Master'!$D$4:$D$207,MATCH($B71,'Challan Master'!$S$4:$S$207,0)),""))-YEAR(J71))*12+(MONTH(IFERROR(INDEX('Challan Master'!$D$4:$D$207,MATCH($B71,'Challan Master'!$S$4:$S$207,0)),""))-MONTH(J71))+1),0))))</f>
      </c>
      <c r="P71" s="7">
        <f>IF($D71="","",0)</f>
      </c>
      <c r="Q71" s="8"/>
      <c r="R71" s="8"/>
      <c r="S71" s="8"/>
      <c r="T71" s="8"/>
      <c r="U71" s="8"/>
      <c r="V71" s="7">
        <f>IF($B71="","",IFERROR(INDEX('Challan Master'!$AA$4:$AA$207,MATCH($B71,'Challan Master'!$S$4:$S$207,0)),""))</f>
      </c>
    </row>
    <row r="72" spans="1:22" x14ac:dyDescent="0.25">
      <c r="A72" s="7">
        <f>IF($D72="","",COUNTIF($D$4:$D72,"&lt;&gt;"))</f>
      </c>
      <c r="B72" s="8"/>
      <c r="C72" s="7">
        <f>IF($B72="","","BSR "&amp;IFERROR(INDEX('Challan Master'!$B$4:$B$207,MATCH($B72,'Challan Master'!$S$4:$S$207,0)),"")&amp;" | Serial "&amp;IFERROR(INDEX('Challan Master'!$C$4:$C$207,MATCH($B72,'Challan Master'!$S$4:$S$207,0)),"")&amp;" | Deposit "&amp;TEXT(IFERROR(INDEX('Challan Master'!$D$4:$D$207,MATCH($B72,'Challan Master'!$S$4:$S$207,0)),""),"dd-mm-yyyy")&amp;" | Minor Head "&amp;IFERROR(INDEX('Challan Master'!$E$4:$E$207,MATCH($B72,'Challan Master'!$S$4:$S$207,0)),"")&amp;" | Tax ₹"&amp;TEXT(IFERROR(INDEX('Challan Master'!$G$4:$G$207,MATCH($B72,'Challan Master'!$S$4:$S$207,0)),""),"#,##0")&amp;" | Section "&amp;IFERROR(INDEX('Challan Master'!$F$4:$F$207,MATCH($B72,'Challan Master'!$S$4:$S$207,0)),""))</f>
      </c>
      <c r="D72" s="8"/>
      <c r="E72" s="8"/>
      <c r="F72" s="7">
        <f>IF($D72="","",IF(AND(LEN(TRIM(UPPER(E72)))=10,CODE(MID(TRIM(UPPER(E72)),1,1))&gt;=65,CODE(MID(TRIM(UPPER(E72)),1,1))&lt;=90,CODE(MID(TRIM(UPPER(E72)),2,1))&gt;=65,CODE(MID(TRIM(UPPER(E72)),2,1))&lt;=90,CODE(MID(TRIM(UPPER(E72)),3,1))&gt;=65,CODE(MID(TRIM(UPPER(E72)),3,1))&lt;=90,CODE(MID(TRIM(UPPER(E72)),4,1))&gt;=65,CODE(MID(TRIM(UPPER(E72)),4,1))&lt;=90,CODE(MID(TRIM(UPPER(E72)),5,1))&gt;=65,CODE(MID(TRIM(UPPER(E72)),5,1))&lt;=90,CODE(MID(TRIM(UPPER(E72)),10,1))&gt;=65,CODE(MID(TRIM(UPPER(E72)),10,1))&lt;=90,CODE(MID(TRIM(UPPER(E72)),6,1))&gt;=48,CODE(MID(TRIM(UPPER(E72)),6,1))&lt;=57,CODE(MID(TRIM(UPPER(E72)),7,1))&gt;=48,CODE(MID(TRIM(UPPER(E72)),7,1))&lt;=57,CODE(MID(TRIM(UPPER(E72)),8,1))&gt;=48,CODE(MID(TRIM(UPPER(E72)),8,1))&lt;=57,CODE(MID(TRIM(UPPER(E72)),9,1))&gt;=48,CODE(MID(TRIM(UPPER(E72)),9,1))&lt;=57),"N","Y"))</f>
      </c>
      <c r="G72" s="7">
        <f>IF($D72="","",IF(LEN(E72)&lt;4,"",IF(UPPER(MID(E72,4,1))="P","Individual",IF(UPPER(MID(E72,4,1))="H","HUF",IF(UPPER(MID(E72,4,1))="C","Company",IF(UPPER(MID(E72,4,1))="F","Firm",IF(UPPER(MID(E72,4,1))="L","LLP",IF(UPPER(MID(E72,4,1))="T","Trust",IF(UPPER(MID(E72,4,1))="A","AOP","")))))))))</f>
      </c>
      <c r="H72" s="8"/>
      <c r="I72" s="7">
        <f>IF($D72="","",IF(H72="","",IF(F72="Y",SUMPRODUCT(('Rate Lookup'!$A$1:$A$37=H72)*'Rate Lookup'!$D$1:$D$37),IF(OR(G72="Individual",G72="HUF"),SUMPRODUCT(('Rate Lookup'!$A$1:$A$37=H72)*'Rate Lookup'!$B$1:$B$37),SUMPRODUCT(('Rate Lookup'!$A$1:$A$37=H72)*'Rate Lookup'!$C$1:$C$37)))))</f>
      </c>
      <c r="J72" s="8"/>
      <c r="K72" s="8"/>
      <c r="L72" s="7">
        <f>IF($D72="","",ROUND(K72*I72/100,0))</f>
      </c>
      <c r="M72" s="7">
        <f>IF($D72="","",0)</f>
      </c>
      <c r="N72" s="7">
        <f>IF($D72="","",0)</f>
      </c>
      <c r="O72" s="7">
        <f>IF($D72="","",IF(OR(L72=0,J72="",IFERROR(INDEX('Challan Master'!$D$4:$D$207,MATCH($B72,'Challan Master'!$S$4:$S$207,0)),"")="",IFERROR(INDEX('Challan Master'!$D$4:$D$207,MATCH($B72,'Challan Master'!$S$4:$S$207,0)),"")&lt;=0),0,IF(IFERROR(INDEX('Challan Master'!$D$4:$D$207,MATCH($B72,'Challan Master'!$S$4:$S$207,0)),"")&lt;=DATE(YEAR(J72),MONTH(J72)+1,7),0,ROUND(L72*0.015*((YEAR(IFERROR(INDEX('Challan Master'!$D$4:$D$207,MATCH($B72,'Challan Master'!$S$4:$S$207,0)),""))-YEAR(J72))*12+(MONTH(IFERROR(INDEX('Challan Master'!$D$4:$D$207,MATCH($B72,'Challan Master'!$S$4:$S$207,0)),""))-MONTH(J72))+1),0))))</f>
      </c>
      <c r="P72" s="7">
        <f>IF($D72="","",0)</f>
      </c>
      <c r="Q72" s="8"/>
      <c r="R72" s="8"/>
      <c r="S72" s="8"/>
      <c r="T72" s="8"/>
      <c r="U72" s="8"/>
      <c r="V72" s="7">
        <f>IF($B72="","",IFERROR(INDEX('Challan Master'!$AA$4:$AA$207,MATCH($B72,'Challan Master'!$S$4:$S$207,0)),""))</f>
      </c>
    </row>
    <row r="73" spans="1:22" x14ac:dyDescent="0.25">
      <c r="A73" s="7">
        <f>IF($D73="","",COUNTIF($D$4:$D73,"&lt;&gt;"))</f>
      </c>
      <c r="B73" s="8"/>
      <c r="C73" s="7">
        <f>IF($B73="","","BSR "&amp;IFERROR(INDEX('Challan Master'!$B$4:$B$207,MATCH($B73,'Challan Master'!$S$4:$S$207,0)),"")&amp;" | Serial "&amp;IFERROR(INDEX('Challan Master'!$C$4:$C$207,MATCH($B73,'Challan Master'!$S$4:$S$207,0)),"")&amp;" | Deposit "&amp;TEXT(IFERROR(INDEX('Challan Master'!$D$4:$D$207,MATCH($B73,'Challan Master'!$S$4:$S$207,0)),""),"dd-mm-yyyy")&amp;" | Minor Head "&amp;IFERROR(INDEX('Challan Master'!$E$4:$E$207,MATCH($B73,'Challan Master'!$S$4:$S$207,0)),"")&amp;" | Tax ₹"&amp;TEXT(IFERROR(INDEX('Challan Master'!$G$4:$G$207,MATCH($B73,'Challan Master'!$S$4:$S$207,0)),""),"#,##0")&amp;" | Section "&amp;IFERROR(INDEX('Challan Master'!$F$4:$F$207,MATCH($B73,'Challan Master'!$S$4:$S$207,0)),""))</f>
      </c>
      <c r="D73" s="8"/>
      <c r="E73" s="8"/>
      <c r="F73" s="7">
        <f>IF($D73="","",IF(AND(LEN(TRIM(UPPER(E73)))=10,CODE(MID(TRIM(UPPER(E73)),1,1))&gt;=65,CODE(MID(TRIM(UPPER(E73)),1,1))&lt;=90,CODE(MID(TRIM(UPPER(E73)),2,1))&gt;=65,CODE(MID(TRIM(UPPER(E73)),2,1))&lt;=90,CODE(MID(TRIM(UPPER(E73)),3,1))&gt;=65,CODE(MID(TRIM(UPPER(E73)),3,1))&lt;=90,CODE(MID(TRIM(UPPER(E73)),4,1))&gt;=65,CODE(MID(TRIM(UPPER(E73)),4,1))&lt;=90,CODE(MID(TRIM(UPPER(E73)),5,1))&gt;=65,CODE(MID(TRIM(UPPER(E73)),5,1))&lt;=90,CODE(MID(TRIM(UPPER(E73)),10,1))&gt;=65,CODE(MID(TRIM(UPPER(E73)),10,1))&lt;=90,CODE(MID(TRIM(UPPER(E73)),6,1))&gt;=48,CODE(MID(TRIM(UPPER(E73)),6,1))&lt;=57,CODE(MID(TRIM(UPPER(E73)),7,1))&gt;=48,CODE(MID(TRIM(UPPER(E73)),7,1))&lt;=57,CODE(MID(TRIM(UPPER(E73)),8,1))&gt;=48,CODE(MID(TRIM(UPPER(E73)),8,1))&lt;=57,CODE(MID(TRIM(UPPER(E73)),9,1))&gt;=48,CODE(MID(TRIM(UPPER(E73)),9,1))&lt;=57),"N","Y"))</f>
      </c>
      <c r="G73" s="7">
        <f>IF($D73="","",IF(LEN(E73)&lt;4,"",IF(UPPER(MID(E73,4,1))="P","Individual",IF(UPPER(MID(E73,4,1))="H","HUF",IF(UPPER(MID(E73,4,1))="C","Company",IF(UPPER(MID(E73,4,1))="F","Firm",IF(UPPER(MID(E73,4,1))="L","LLP",IF(UPPER(MID(E73,4,1))="T","Trust",IF(UPPER(MID(E73,4,1))="A","AOP","")))))))))</f>
      </c>
      <c r="H73" s="8"/>
      <c r="I73" s="7">
        <f>IF($D73="","",IF(H73="","",IF(F73="Y",SUMPRODUCT(('Rate Lookup'!$A$1:$A$37=H73)*'Rate Lookup'!$D$1:$D$37),IF(OR(G73="Individual",G73="HUF"),SUMPRODUCT(('Rate Lookup'!$A$1:$A$37=H73)*'Rate Lookup'!$B$1:$B$37),SUMPRODUCT(('Rate Lookup'!$A$1:$A$37=H73)*'Rate Lookup'!$C$1:$C$37)))))</f>
      </c>
      <c r="J73" s="8"/>
      <c r="K73" s="8"/>
      <c r="L73" s="7">
        <f>IF($D73="","",ROUND(K73*I73/100,0))</f>
      </c>
      <c r="M73" s="7">
        <f>IF($D73="","",0)</f>
      </c>
      <c r="N73" s="7">
        <f>IF($D73="","",0)</f>
      </c>
      <c r="O73" s="7">
        <f>IF($D73="","",IF(OR(L73=0,J73="",IFERROR(INDEX('Challan Master'!$D$4:$D$207,MATCH($B73,'Challan Master'!$S$4:$S$207,0)),"")="",IFERROR(INDEX('Challan Master'!$D$4:$D$207,MATCH($B73,'Challan Master'!$S$4:$S$207,0)),"")&lt;=0),0,IF(IFERROR(INDEX('Challan Master'!$D$4:$D$207,MATCH($B73,'Challan Master'!$S$4:$S$207,0)),"")&lt;=DATE(YEAR(J73),MONTH(J73)+1,7),0,ROUND(L73*0.015*((YEAR(IFERROR(INDEX('Challan Master'!$D$4:$D$207,MATCH($B73,'Challan Master'!$S$4:$S$207,0)),""))-YEAR(J73))*12+(MONTH(IFERROR(INDEX('Challan Master'!$D$4:$D$207,MATCH($B73,'Challan Master'!$S$4:$S$207,0)),""))-MONTH(J73))+1),0))))</f>
      </c>
      <c r="P73" s="7">
        <f>IF($D73="","",0)</f>
      </c>
      <c r="Q73" s="8"/>
      <c r="R73" s="8"/>
      <c r="S73" s="8"/>
      <c r="T73" s="8"/>
      <c r="U73" s="8"/>
      <c r="V73" s="7">
        <f>IF($B73="","",IFERROR(INDEX('Challan Master'!$AA$4:$AA$207,MATCH($B73,'Challan Master'!$S$4:$S$207,0)),""))</f>
      </c>
    </row>
    <row r="74" spans="1:22" x14ac:dyDescent="0.25">
      <c r="A74" s="7">
        <f>IF($D74="","",COUNTIF($D$4:$D74,"&lt;&gt;"))</f>
      </c>
      <c r="B74" s="8"/>
      <c r="C74" s="7">
        <f>IF($B74="","","BSR "&amp;IFERROR(INDEX('Challan Master'!$B$4:$B$207,MATCH($B74,'Challan Master'!$S$4:$S$207,0)),"")&amp;" | Serial "&amp;IFERROR(INDEX('Challan Master'!$C$4:$C$207,MATCH($B74,'Challan Master'!$S$4:$S$207,0)),"")&amp;" | Deposit "&amp;TEXT(IFERROR(INDEX('Challan Master'!$D$4:$D$207,MATCH($B74,'Challan Master'!$S$4:$S$207,0)),""),"dd-mm-yyyy")&amp;" | Minor Head "&amp;IFERROR(INDEX('Challan Master'!$E$4:$E$207,MATCH($B74,'Challan Master'!$S$4:$S$207,0)),"")&amp;" | Tax ₹"&amp;TEXT(IFERROR(INDEX('Challan Master'!$G$4:$G$207,MATCH($B74,'Challan Master'!$S$4:$S$207,0)),""),"#,##0")&amp;" | Section "&amp;IFERROR(INDEX('Challan Master'!$F$4:$F$207,MATCH($B74,'Challan Master'!$S$4:$S$207,0)),""))</f>
      </c>
      <c r="D74" s="8"/>
      <c r="E74" s="8"/>
      <c r="F74" s="7">
        <f>IF($D74="","",IF(AND(LEN(TRIM(UPPER(E74)))=10,CODE(MID(TRIM(UPPER(E74)),1,1))&gt;=65,CODE(MID(TRIM(UPPER(E74)),1,1))&lt;=90,CODE(MID(TRIM(UPPER(E74)),2,1))&gt;=65,CODE(MID(TRIM(UPPER(E74)),2,1))&lt;=90,CODE(MID(TRIM(UPPER(E74)),3,1))&gt;=65,CODE(MID(TRIM(UPPER(E74)),3,1))&lt;=90,CODE(MID(TRIM(UPPER(E74)),4,1))&gt;=65,CODE(MID(TRIM(UPPER(E74)),4,1))&lt;=90,CODE(MID(TRIM(UPPER(E74)),5,1))&gt;=65,CODE(MID(TRIM(UPPER(E74)),5,1))&lt;=90,CODE(MID(TRIM(UPPER(E74)),10,1))&gt;=65,CODE(MID(TRIM(UPPER(E74)),10,1))&lt;=90,CODE(MID(TRIM(UPPER(E74)),6,1))&gt;=48,CODE(MID(TRIM(UPPER(E74)),6,1))&lt;=57,CODE(MID(TRIM(UPPER(E74)),7,1))&gt;=48,CODE(MID(TRIM(UPPER(E74)),7,1))&lt;=57,CODE(MID(TRIM(UPPER(E74)),8,1))&gt;=48,CODE(MID(TRIM(UPPER(E74)),8,1))&lt;=57,CODE(MID(TRIM(UPPER(E74)),9,1))&gt;=48,CODE(MID(TRIM(UPPER(E74)),9,1))&lt;=57),"N","Y"))</f>
      </c>
      <c r="G74" s="7">
        <f>IF($D74="","",IF(LEN(E74)&lt;4,"",IF(UPPER(MID(E74,4,1))="P","Individual",IF(UPPER(MID(E74,4,1))="H","HUF",IF(UPPER(MID(E74,4,1))="C","Company",IF(UPPER(MID(E74,4,1))="F","Firm",IF(UPPER(MID(E74,4,1))="L","LLP",IF(UPPER(MID(E74,4,1))="T","Trust",IF(UPPER(MID(E74,4,1))="A","AOP","")))))))))</f>
      </c>
      <c r="H74" s="8"/>
      <c r="I74" s="7">
        <f>IF($D74="","",IF(H74="","",IF(F74="Y",SUMPRODUCT(('Rate Lookup'!$A$1:$A$37=H74)*'Rate Lookup'!$D$1:$D$37),IF(OR(G74="Individual",G74="HUF"),SUMPRODUCT(('Rate Lookup'!$A$1:$A$37=H74)*'Rate Lookup'!$B$1:$B$37),SUMPRODUCT(('Rate Lookup'!$A$1:$A$37=H74)*'Rate Lookup'!$C$1:$C$37)))))</f>
      </c>
      <c r="J74" s="8"/>
      <c r="K74" s="8"/>
      <c r="L74" s="7">
        <f>IF($D74="","",ROUND(K74*I74/100,0))</f>
      </c>
      <c r="M74" s="7">
        <f>IF($D74="","",0)</f>
      </c>
      <c r="N74" s="7">
        <f>IF($D74="","",0)</f>
      </c>
      <c r="O74" s="7">
        <f>IF($D74="","",IF(OR(L74=0,J74="",IFERROR(INDEX('Challan Master'!$D$4:$D$207,MATCH($B74,'Challan Master'!$S$4:$S$207,0)),"")="",IFERROR(INDEX('Challan Master'!$D$4:$D$207,MATCH($B74,'Challan Master'!$S$4:$S$207,0)),"")&lt;=0),0,IF(IFERROR(INDEX('Challan Master'!$D$4:$D$207,MATCH($B74,'Challan Master'!$S$4:$S$207,0)),"")&lt;=DATE(YEAR(J74),MONTH(J74)+1,7),0,ROUND(L74*0.015*((YEAR(IFERROR(INDEX('Challan Master'!$D$4:$D$207,MATCH($B74,'Challan Master'!$S$4:$S$207,0)),""))-YEAR(J74))*12+(MONTH(IFERROR(INDEX('Challan Master'!$D$4:$D$207,MATCH($B74,'Challan Master'!$S$4:$S$207,0)),""))-MONTH(J74))+1),0))))</f>
      </c>
      <c r="P74" s="7">
        <f>IF($D74="","",0)</f>
      </c>
      <c r="Q74" s="8"/>
      <c r="R74" s="8"/>
      <c r="S74" s="8"/>
      <c r="T74" s="8"/>
      <c r="U74" s="8"/>
      <c r="V74" s="7">
        <f>IF($B74="","",IFERROR(INDEX('Challan Master'!$AA$4:$AA$207,MATCH($B74,'Challan Master'!$S$4:$S$207,0)),""))</f>
      </c>
    </row>
    <row r="75" spans="1:22" x14ac:dyDescent="0.25">
      <c r="A75" s="7">
        <f>IF($D75="","",COUNTIF($D$4:$D75,"&lt;&gt;"))</f>
      </c>
      <c r="B75" s="8"/>
      <c r="C75" s="7">
        <f>IF($B75="","","BSR "&amp;IFERROR(INDEX('Challan Master'!$B$4:$B$207,MATCH($B75,'Challan Master'!$S$4:$S$207,0)),"")&amp;" | Serial "&amp;IFERROR(INDEX('Challan Master'!$C$4:$C$207,MATCH($B75,'Challan Master'!$S$4:$S$207,0)),"")&amp;" | Deposit "&amp;TEXT(IFERROR(INDEX('Challan Master'!$D$4:$D$207,MATCH($B75,'Challan Master'!$S$4:$S$207,0)),""),"dd-mm-yyyy")&amp;" | Minor Head "&amp;IFERROR(INDEX('Challan Master'!$E$4:$E$207,MATCH($B75,'Challan Master'!$S$4:$S$207,0)),"")&amp;" | Tax ₹"&amp;TEXT(IFERROR(INDEX('Challan Master'!$G$4:$G$207,MATCH($B75,'Challan Master'!$S$4:$S$207,0)),""),"#,##0")&amp;" | Section "&amp;IFERROR(INDEX('Challan Master'!$F$4:$F$207,MATCH($B75,'Challan Master'!$S$4:$S$207,0)),""))</f>
      </c>
      <c r="D75" s="8"/>
      <c r="E75" s="8"/>
      <c r="F75" s="7">
        <f>IF($D75="","",IF(AND(LEN(TRIM(UPPER(E75)))=10,CODE(MID(TRIM(UPPER(E75)),1,1))&gt;=65,CODE(MID(TRIM(UPPER(E75)),1,1))&lt;=90,CODE(MID(TRIM(UPPER(E75)),2,1))&gt;=65,CODE(MID(TRIM(UPPER(E75)),2,1))&lt;=90,CODE(MID(TRIM(UPPER(E75)),3,1))&gt;=65,CODE(MID(TRIM(UPPER(E75)),3,1))&lt;=90,CODE(MID(TRIM(UPPER(E75)),4,1))&gt;=65,CODE(MID(TRIM(UPPER(E75)),4,1))&lt;=90,CODE(MID(TRIM(UPPER(E75)),5,1))&gt;=65,CODE(MID(TRIM(UPPER(E75)),5,1))&lt;=90,CODE(MID(TRIM(UPPER(E75)),10,1))&gt;=65,CODE(MID(TRIM(UPPER(E75)),10,1))&lt;=90,CODE(MID(TRIM(UPPER(E75)),6,1))&gt;=48,CODE(MID(TRIM(UPPER(E75)),6,1))&lt;=57,CODE(MID(TRIM(UPPER(E75)),7,1))&gt;=48,CODE(MID(TRIM(UPPER(E75)),7,1))&lt;=57,CODE(MID(TRIM(UPPER(E75)),8,1))&gt;=48,CODE(MID(TRIM(UPPER(E75)),8,1))&lt;=57,CODE(MID(TRIM(UPPER(E75)),9,1))&gt;=48,CODE(MID(TRIM(UPPER(E75)),9,1))&lt;=57),"N","Y"))</f>
      </c>
      <c r="G75" s="7">
        <f>IF($D75="","",IF(LEN(E75)&lt;4,"",IF(UPPER(MID(E75,4,1))="P","Individual",IF(UPPER(MID(E75,4,1))="H","HUF",IF(UPPER(MID(E75,4,1))="C","Company",IF(UPPER(MID(E75,4,1))="F","Firm",IF(UPPER(MID(E75,4,1))="L","LLP",IF(UPPER(MID(E75,4,1))="T","Trust",IF(UPPER(MID(E75,4,1))="A","AOP","")))))))))</f>
      </c>
      <c r="H75" s="8"/>
      <c r="I75" s="7">
        <f>IF($D75="","",IF(H75="","",IF(F75="Y",SUMPRODUCT(('Rate Lookup'!$A$1:$A$37=H75)*'Rate Lookup'!$D$1:$D$37),IF(OR(G75="Individual",G75="HUF"),SUMPRODUCT(('Rate Lookup'!$A$1:$A$37=H75)*'Rate Lookup'!$B$1:$B$37),SUMPRODUCT(('Rate Lookup'!$A$1:$A$37=H75)*'Rate Lookup'!$C$1:$C$37)))))</f>
      </c>
      <c r="J75" s="8"/>
      <c r="K75" s="8"/>
      <c r="L75" s="7">
        <f>IF($D75="","",ROUND(K75*I75/100,0))</f>
      </c>
      <c r="M75" s="7">
        <f>IF($D75="","",0)</f>
      </c>
      <c r="N75" s="7">
        <f>IF($D75="","",0)</f>
      </c>
      <c r="O75" s="7">
        <f>IF($D75="","",IF(OR(L75=0,J75="",IFERROR(INDEX('Challan Master'!$D$4:$D$207,MATCH($B75,'Challan Master'!$S$4:$S$207,0)),"")="",IFERROR(INDEX('Challan Master'!$D$4:$D$207,MATCH($B75,'Challan Master'!$S$4:$S$207,0)),"")&lt;=0),0,IF(IFERROR(INDEX('Challan Master'!$D$4:$D$207,MATCH($B75,'Challan Master'!$S$4:$S$207,0)),"")&lt;=DATE(YEAR(J75),MONTH(J75)+1,7),0,ROUND(L75*0.015*((YEAR(IFERROR(INDEX('Challan Master'!$D$4:$D$207,MATCH($B75,'Challan Master'!$S$4:$S$207,0)),""))-YEAR(J75))*12+(MONTH(IFERROR(INDEX('Challan Master'!$D$4:$D$207,MATCH($B75,'Challan Master'!$S$4:$S$207,0)),""))-MONTH(J75))+1),0))))</f>
      </c>
      <c r="P75" s="7">
        <f>IF($D75="","",0)</f>
      </c>
      <c r="Q75" s="8"/>
      <c r="R75" s="8"/>
      <c r="S75" s="8"/>
      <c r="T75" s="8"/>
      <c r="U75" s="8"/>
      <c r="V75" s="7">
        <f>IF($B75="","",IFERROR(INDEX('Challan Master'!$AA$4:$AA$207,MATCH($B75,'Challan Master'!$S$4:$S$207,0)),""))</f>
      </c>
    </row>
    <row r="76" spans="1:22" x14ac:dyDescent="0.25">
      <c r="A76" s="7">
        <f>IF($D76="","",COUNTIF($D$4:$D76,"&lt;&gt;"))</f>
      </c>
      <c r="B76" s="8"/>
      <c r="C76" s="7">
        <f>IF($B76="","","BSR "&amp;IFERROR(INDEX('Challan Master'!$B$4:$B$207,MATCH($B76,'Challan Master'!$S$4:$S$207,0)),"")&amp;" | Serial "&amp;IFERROR(INDEX('Challan Master'!$C$4:$C$207,MATCH($B76,'Challan Master'!$S$4:$S$207,0)),"")&amp;" | Deposit "&amp;TEXT(IFERROR(INDEX('Challan Master'!$D$4:$D$207,MATCH($B76,'Challan Master'!$S$4:$S$207,0)),""),"dd-mm-yyyy")&amp;" | Minor Head "&amp;IFERROR(INDEX('Challan Master'!$E$4:$E$207,MATCH($B76,'Challan Master'!$S$4:$S$207,0)),"")&amp;" | Tax ₹"&amp;TEXT(IFERROR(INDEX('Challan Master'!$G$4:$G$207,MATCH($B76,'Challan Master'!$S$4:$S$207,0)),""),"#,##0")&amp;" | Section "&amp;IFERROR(INDEX('Challan Master'!$F$4:$F$207,MATCH($B76,'Challan Master'!$S$4:$S$207,0)),""))</f>
      </c>
      <c r="D76" s="8"/>
      <c r="E76" s="8"/>
      <c r="F76" s="7">
        <f>IF($D76="","",IF(AND(LEN(TRIM(UPPER(E76)))=10,CODE(MID(TRIM(UPPER(E76)),1,1))&gt;=65,CODE(MID(TRIM(UPPER(E76)),1,1))&lt;=90,CODE(MID(TRIM(UPPER(E76)),2,1))&gt;=65,CODE(MID(TRIM(UPPER(E76)),2,1))&lt;=90,CODE(MID(TRIM(UPPER(E76)),3,1))&gt;=65,CODE(MID(TRIM(UPPER(E76)),3,1))&lt;=90,CODE(MID(TRIM(UPPER(E76)),4,1))&gt;=65,CODE(MID(TRIM(UPPER(E76)),4,1))&lt;=90,CODE(MID(TRIM(UPPER(E76)),5,1))&gt;=65,CODE(MID(TRIM(UPPER(E76)),5,1))&lt;=90,CODE(MID(TRIM(UPPER(E76)),10,1))&gt;=65,CODE(MID(TRIM(UPPER(E76)),10,1))&lt;=90,CODE(MID(TRIM(UPPER(E76)),6,1))&gt;=48,CODE(MID(TRIM(UPPER(E76)),6,1))&lt;=57,CODE(MID(TRIM(UPPER(E76)),7,1))&gt;=48,CODE(MID(TRIM(UPPER(E76)),7,1))&lt;=57,CODE(MID(TRIM(UPPER(E76)),8,1))&gt;=48,CODE(MID(TRIM(UPPER(E76)),8,1))&lt;=57,CODE(MID(TRIM(UPPER(E76)),9,1))&gt;=48,CODE(MID(TRIM(UPPER(E76)),9,1))&lt;=57),"N","Y"))</f>
      </c>
      <c r="G76" s="7">
        <f>IF($D76="","",IF(LEN(E76)&lt;4,"",IF(UPPER(MID(E76,4,1))="P","Individual",IF(UPPER(MID(E76,4,1))="H","HUF",IF(UPPER(MID(E76,4,1))="C","Company",IF(UPPER(MID(E76,4,1))="F","Firm",IF(UPPER(MID(E76,4,1))="L","LLP",IF(UPPER(MID(E76,4,1))="T","Trust",IF(UPPER(MID(E76,4,1))="A","AOP","")))))))))</f>
      </c>
      <c r="H76" s="8"/>
      <c r="I76" s="7">
        <f>IF($D76="","",IF(H76="","",IF(F76="Y",SUMPRODUCT(('Rate Lookup'!$A$1:$A$37=H76)*'Rate Lookup'!$D$1:$D$37),IF(OR(G76="Individual",G76="HUF"),SUMPRODUCT(('Rate Lookup'!$A$1:$A$37=H76)*'Rate Lookup'!$B$1:$B$37),SUMPRODUCT(('Rate Lookup'!$A$1:$A$37=H76)*'Rate Lookup'!$C$1:$C$37)))))</f>
      </c>
      <c r="J76" s="8"/>
      <c r="K76" s="8"/>
      <c r="L76" s="7">
        <f>IF($D76="","",ROUND(K76*I76/100,0))</f>
      </c>
      <c r="M76" s="7">
        <f>IF($D76="","",0)</f>
      </c>
      <c r="N76" s="7">
        <f>IF($D76="","",0)</f>
      </c>
      <c r="O76" s="7">
        <f>IF($D76="","",IF(OR(L76=0,J76="",IFERROR(INDEX('Challan Master'!$D$4:$D$207,MATCH($B76,'Challan Master'!$S$4:$S$207,0)),"")="",IFERROR(INDEX('Challan Master'!$D$4:$D$207,MATCH($B76,'Challan Master'!$S$4:$S$207,0)),"")&lt;=0),0,IF(IFERROR(INDEX('Challan Master'!$D$4:$D$207,MATCH($B76,'Challan Master'!$S$4:$S$207,0)),"")&lt;=DATE(YEAR(J76),MONTH(J76)+1,7),0,ROUND(L76*0.015*((YEAR(IFERROR(INDEX('Challan Master'!$D$4:$D$207,MATCH($B76,'Challan Master'!$S$4:$S$207,0)),""))-YEAR(J76))*12+(MONTH(IFERROR(INDEX('Challan Master'!$D$4:$D$207,MATCH($B76,'Challan Master'!$S$4:$S$207,0)),""))-MONTH(J76))+1),0))))</f>
      </c>
      <c r="P76" s="7">
        <f>IF($D76="","",0)</f>
      </c>
      <c r="Q76" s="8"/>
      <c r="R76" s="8"/>
      <c r="S76" s="8"/>
      <c r="T76" s="8"/>
      <c r="U76" s="8"/>
      <c r="V76" s="7">
        <f>IF($B76="","",IFERROR(INDEX('Challan Master'!$AA$4:$AA$207,MATCH($B76,'Challan Master'!$S$4:$S$207,0)),""))</f>
      </c>
    </row>
    <row r="77" spans="1:22" x14ac:dyDescent="0.25">
      <c r="A77" s="7">
        <f>IF($D77="","",COUNTIF($D$4:$D77,"&lt;&gt;"))</f>
      </c>
      <c r="B77" s="8"/>
      <c r="C77" s="7">
        <f>IF($B77="","","BSR "&amp;IFERROR(INDEX('Challan Master'!$B$4:$B$207,MATCH($B77,'Challan Master'!$S$4:$S$207,0)),"")&amp;" | Serial "&amp;IFERROR(INDEX('Challan Master'!$C$4:$C$207,MATCH($B77,'Challan Master'!$S$4:$S$207,0)),"")&amp;" | Deposit "&amp;TEXT(IFERROR(INDEX('Challan Master'!$D$4:$D$207,MATCH($B77,'Challan Master'!$S$4:$S$207,0)),""),"dd-mm-yyyy")&amp;" | Minor Head "&amp;IFERROR(INDEX('Challan Master'!$E$4:$E$207,MATCH($B77,'Challan Master'!$S$4:$S$207,0)),"")&amp;" | Tax ₹"&amp;TEXT(IFERROR(INDEX('Challan Master'!$G$4:$G$207,MATCH($B77,'Challan Master'!$S$4:$S$207,0)),""),"#,##0")&amp;" | Section "&amp;IFERROR(INDEX('Challan Master'!$F$4:$F$207,MATCH($B77,'Challan Master'!$S$4:$S$207,0)),""))</f>
      </c>
      <c r="D77" s="8"/>
      <c r="E77" s="8"/>
      <c r="F77" s="7">
        <f>IF($D77="","",IF(AND(LEN(TRIM(UPPER(E77)))=10,CODE(MID(TRIM(UPPER(E77)),1,1))&gt;=65,CODE(MID(TRIM(UPPER(E77)),1,1))&lt;=90,CODE(MID(TRIM(UPPER(E77)),2,1))&gt;=65,CODE(MID(TRIM(UPPER(E77)),2,1))&lt;=90,CODE(MID(TRIM(UPPER(E77)),3,1))&gt;=65,CODE(MID(TRIM(UPPER(E77)),3,1))&lt;=90,CODE(MID(TRIM(UPPER(E77)),4,1))&gt;=65,CODE(MID(TRIM(UPPER(E77)),4,1))&lt;=90,CODE(MID(TRIM(UPPER(E77)),5,1))&gt;=65,CODE(MID(TRIM(UPPER(E77)),5,1))&lt;=90,CODE(MID(TRIM(UPPER(E77)),10,1))&gt;=65,CODE(MID(TRIM(UPPER(E77)),10,1))&lt;=90,CODE(MID(TRIM(UPPER(E77)),6,1))&gt;=48,CODE(MID(TRIM(UPPER(E77)),6,1))&lt;=57,CODE(MID(TRIM(UPPER(E77)),7,1))&gt;=48,CODE(MID(TRIM(UPPER(E77)),7,1))&lt;=57,CODE(MID(TRIM(UPPER(E77)),8,1))&gt;=48,CODE(MID(TRIM(UPPER(E77)),8,1))&lt;=57,CODE(MID(TRIM(UPPER(E77)),9,1))&gt;=48,CODE(MID(TRIM(UPPER(E77)),9,1))&lt;=57),"N","Y"))</f>
      </c>
      <c r="G77" s="7">
        <f>IF($D77="","",IF(LEN(E77)&lt;4,"",IF(UPPER(MID(E77,4,1))="P","Individual",IF(UPPER(MID(E77,4,1))="H","HUF",IF(UPPER(MID(E77,4,1))="C","Company",IF(UPPER(MID(E77,4,1))="F","Firm",IF(UPPER(MID(E77,4,1))="L","LLP",IF(UPPER(MID(E77,4,1))="T","Trust",IF(UPPER(MID(E77,4,1))="A","AOP","")))))))))</f>
      </c>
      <c r="H77" s="8"/>
      <c r="I77" s="7">
        <f>IF($D77="","",IF(H77="","",IF(F77="Y",SUMPRODUCT(('Rate Lookup'!$A$1:$A$37=H77)*'Rate Lookup'!$D$1:$D$37),IF(OR(G77="Individual",G77="HUF"),SUMPRODUCT(('Rate Lookup'!$A$1:$A$37=H77)*'Rate Lookup'!$B$1:$B$37),SUMPRODUCT(('Rate Lookup'!$A$1:$A$37=H77)*'Rate Lookup'!$C$1:$C$37)))))</f>
      </c>
      <c r="J77" s="8"/>
      <c r="K77" s="8"/>
      <c r="L77" s="7">
        <f>IF($D77="","",ROUND(K77*I77/100,0))</f>
      </c>
      <c r="M77" s="7">
        <f>IF($D77="","",0)</f>
      </c>
      <c r="N77" s="7">
        <f>IF($D77="","",0)</f>
      </c>
      <c r="O77" s="7">
        <f>IF($D77="","",IF(OR(L77=0,J77="",IFERROR(INDEX('Challan Master'!$D$4:$D$207,MATCH($B77,'Challan Master'!$S$4:$S$207,0)),"")="",IFERROR(INDEX('Challan Master'!$D$4:$D$207,MATCH($B77,'Challan Master'!$S$4:$S$207,0)),"")&lt;=0),0,IF(IFERROR(INDEX('Challan Master'!$D$4:$D$207,MATCH($B77,'Challan Master'!$S$4:$S$207,0)),"")&lt;=DATE(YEAR(J77),MONTH(J77)+1,7),0,ROUND(L77*0.015*((YEAR(IFERROR(INDEX('Challan Master'!$D$4:$D$207,MATCH($B77,'Challan Master'!$S$4:$S$207,0)),""))-YEAR(J77))*12+(MONTH(IFERROR(INDEX('Challan Master'!$D$4:$D$207,MATCH($B77,'Challan Master'!$S$4:$S$207,0)),""))-MONTH(J77))+1),0))))</f>
      </c>
      <c r="P77" s="7">
        <f>IF($D77="","",0)</f>
      </c>
      <c r="Q77" s="8"/>
      <c r="R77" s="8"/>
      <c r="S77" s="8"/>
      <c r="T77" s="8"/>
      <c r="U77" s="8"/>
      <c r="V77" s="7">
        <f>IF($B77="","",IFERROR(INDEX('Challan Master'!$AA$4:$AA$207,MATCH($B77,'Challan Master'!$S$4:$S$207,0)),""))</f>
      </c>
    </row>
    <row r="78" spans="1:22" x14ac:dyDescent="0.25">
      <c r="A78" s="7">
        <f>IF($D78="","",COUNTIF($D$4:$D78,"&lt;&gt;"))</f>
      </c>
      <c r="B78" s="8"/>
      <c r="C78" s="7">
        <f>IF($B78="","","BSR "&amp;IFERROR(INDEX('Challan Master'!$B$4:$B$207,MATCH($B78,'Challan Master'!$S$4:$S$207,0)),"")&amp;" | Serial "&amp;IFERROR(INDEX('Challan Master'!$C$4:$C$207,MATCH($B78,'Challan Master'!$S$4:$S$207,0)),"")&amp;" | Deposit "&amp;TEXT(IFERROR(INDEX('Challan Master'!$D$4:$D$207,MATCH($B78,'Challan Master'!$S$4:$S$207,0)),""),"dd-mm-yyyy")&amp;" | Minor Head "&amp;IFERROR(INDEX('Challan Master'!$E$4:$E$207,MATCH($B78,'Challan Master'!$S$4:$S$207,0)),"")&amp;" | Tax ₹"&amp;TEXT(IFERROR(INDEX('Challan Master'!$G$4:$G$207,MATCH($B78,'Challan Master'!$S$4:$S$207,0)),""),"#,##0")&amp;" | Section "&amp;IFERROR(INDEX('Challan Master'!$F$4:$F$207,MATCH($B78,'Challan Master'!$S$4:$S$207,0)),""))</f>
      </c>
      <c r="D78" s="8"/>
      <c r="E78" s="8"/>
      <c r="F78" s="7">
        <f>IF($D78="","",IF(AND(LEN(TRIM(UPPER(E78)))=10,CODE(MID(TRIM(UPPER(E78)),1,1))&gt;=65,CODE(MID(TRIM(UPPER(E78)),1,1))&lt;=90,CODE(MID(TRIM(UPPER(E78)),2,1))&gt;=65,CODE(MID(TRIM(UPPER(E78)),2,1))&lt;=90,CODE(MID(TRIM(UPPER(E78)),3,1))&gt;=65,CODE(MID(TRIM(UPPER(E78)),3,1))&lt;=90,CODE(MID(TRIM(UPPER(E78)),4,1))&gt;=65,CODE(MID(TRIM(UPPER(E78)),4,1))&lt;=90,CODE(MID(TRIM(UPPER(E78)),5,1))&gt;=65,CODE(MID(TRIM(UPPER(E78)),5,1))&lt;=90,CODE(MID(TRIM(UPPER(E78)),10,1))&gt;=65,CODE(MID(TRIM(UPPER(E78)),10,1))&lt;=90,CODE(MID(TRIM(UPPER(E78)),6,1))&gt;=48,CODE(MID(TRIM(UPPER(E78)),6,1))&lt;=57,CODE(MID(TRIM(UPPER(E78)),7,1))&gt;=48,CODE(MID(TRIM(UPPER(E78)),7,1))&lt;=57,CODE(MID(TRIM(UPPER(E78)),8,1))&gt;=48,CODE(MID(TRIM(UPPER(E78)),8,1))&lt;=57,CODE(MID(TRIM(UPPER(E78)),9,1))&gt;=48,CODE(MID(TRIM(UPPER(E78)),9,1))&lt;=57),"N","Y"))</f>
      </c>
      <c r="G78" s="7">
        <f>IF($D78="","",IF(LEN(E78)&lt;4,"",IF(UPPER(MID(E78,4,1))="P","Individual",IF(UPPER(MID(E78,4,1))="H","HUF",IF(UPPER(MID(E78,4,1))="C","Company",IF(UPPER(MID(E78,4,1))="F","Firm",IF(UPPER(MID(E78,4,1))="L","LLP",IF(UPPER(MID(E78,4,1))="T","Trust",IF(UPPER(MID(E78,4,1))="A","AOP","")))))))))</f>
      </c>
      <c r="H78" s="8"/>
      <c r="I78" s="7">
        <f>IF($D78="","",IF(H78="","",IF(F78="Y",SUMPRODUCT(('Rate Lookup'!$A$1:$A$37=H78)*'Rate Lookup'!$D$1:$D$37),IF(OR(G78="Individual",G78="HUF"),SUMPRODUCT(('Rate Lookup'!$A$1:$A$37=H78)*'Rate Lookup'!$B$1:$B$37),SUMPRODUCT(('Rate Lookup'!$A$1:$A$37=H78)*'Rate Lookup'!$C$1:$C$37)))))</f>
      </c>
      <c r="J78" s="8"/>
      <c r="K78" s="8"/>
      <c r="L78" s="7">
        <f>IF($D78="","",ROUND(K78*I78/100,0))</f>
      </c>
      <c r="M78" s="7">
        <f>IF($D78="","",0)</f>
      </c>
      <c r="N78" s="7">
        <f>IF($D78="","",0)</f>
      </c>
      <c r="O78" s="7">
        <f>IF($D78="","",IF(OR(L78=0,J78="",IFERROR(INDEX('Challan Master'!$D$4:$D$207,MATCH($B78,'Challan Master'!$S$4:$S$207,0)),"")="",IFERROR(INDEX('Challan Master'!$D$4:$D$207,MATCH($B78,'Challan Master'!$S$4:$S$207,0)),"")&lt;=0),0,IF(IFERROR(INDEX('Challan Master'!$D$4:$D$207,MATCH($B78,'Challan Master'!$S$4:$S$207,0)),"")&lt;=DATE(YEAR(J78),MONTH(J78)+1,7),0,ROUND(L78*0.015*((YEAR(IFERROR(INDEX('Challan Master'!$D$4:$D$207,MATCH($B78,'Challan Master'!$S$4:$S$207,0)),""))-YEAR(J78))*12+(MONTH(IFERROR(INDEX('Challan Master'!$D$4:$D$207,MATCH($B78,'Challan Master'!$S$4:$S$207,0)),""))-MONTH(J78))+1),0))))</f>
      </c>
      <c r="P78" s="7">
        <f>IF($D78="","",0)</f>
      </c>
      <c r="Q78" s="8"/>
      <c r="R78" s="8"/>
      <c r="S78" s="8"/>
      <c r="T78" s="8"/>
      <c r="U78" s="8"/>
      <c r="V78" s="7">
        <f>IF($B78="","",IFERROR(INDEX('Challan Master'!$AA$4:$AA$207,MATCH($B78,'Challan Master'!$S$4:$S$207,0)),""))</f>
      </c>
    </row>
    <row r="79" spans="1:22" x14ac:dyDescent="0.25">
      <c r="A79" s="7">
        <f>IF($D79="","",COUNTIF($D$4:$D79,"&lt;&gt;"))</f>
      </c>
      <c r="B79" s="8"/>
      <c r="C79" s="7">
        <f>IF($B79="","","BSR "&amp;IFERROR(INDEX('Challan Master'!$B$4:$B$207,MATCH($B79,'Challan Master'!$S$4:$S$207,0)),"")&amp;" | Serial "&amp;IFERROR(INDEX('Challan Master'!$C$4:$C$207,MATCH($B79,'Challan Master'!$S$4:$S$207,0)),"")&amp;" | Deposit "&amp;TEXT(IFERROR(INDEX('Challan Master'!$D$4:$D$207,MATCH($B79,'Challan Master'!$S$4:$S$207,0)),""),"dd-mm-yyyy")&amp;" | Minor Head "&amp;IFERROR(INDEX('Challan Master'!$E$4:$E$207,MATCH($B79,'Challan Master'!$S$4:$S$207,0)),"")&amp;" | Tax ₹"&amp;TEXT(IFERROR(INDEX('Challan Master'!$G$4:$G$207,MATCH($B79,'Challan Master'!$S$4:$S$207,0)),""),"#,##0")&amp;" | Section "&amp;IFERROR(INDEX('Challan Master'!$F$4:$F$207,MATCH($B79,'Challan Master'!$S$4:$S$207,0)),""))</f>
      </c>
      <c r="D79" s="8"/>
      <c r="E79" s="8"/>
      <c r="F79" s="7">
        <f>IF($D79="","",IF(AND(LEN(TRIM(UPPER(E79)))=10,CODE(MID(TRIM(UPPER(E79)),1,1))&gt;=65,CODE(MID(TRIM(UPPER(E79)),1,1))&lt;=90,CODE(MID(TRIM(UPPER(E79)),2,1))&gt;=65,CODE(MID(TRIM(UPPER(E79)),2,1))&lt;=90,CODE(MID(TRIM(UPPER(E79)),3,1))&gt;=65,CODE(MID(TRIM(UPPER(E79)),3,1))&lt;=90,CODE(MID(TRIM(UPPER(E79)),4,1))&gt;=65,CODE(MID(TRIM(UPPER(E79)),4,1))&lt;=90,CODE(MID(TRIM(UPPER(E79)),5,1))&gt;=65,CODE(MID(TRIM(UPPER(E79)),5,1))&lt;=90,CODE(MID(TRIM(UPPER(E79)),10,1))&gt;=65,CODE(MID(TRIM(UPPER(E79)),10,1))&lt;=90,CODE(MID(TRIM(UPPER(E79)),6,1))&gt;=48,CODE(MID(TRIM(UPPER(E79)),6,1))&lt;=57,CODE(MID(TRIM(UPPER(E79)),7,1))&gt;=48,CODE(MID(TRIM(UPPER(E79)),7,1))&lt;=57,CODE(MID(TRIM(UPPER(E79)),8,1))&gt;=48,CODE(MID(TRIM(UPPER(E79)),8,1))&lt;=57,CODE(MID(TRIM(UPPER(E79)),9,1))&gt;=48,CODE(MID(TRIM(UPPER(E79)),9,1))&lt;=57),"N","Y"))</f>
      </c>
      <c r="G79" s="7">
        <f>IF($D79="","",IF(LEN(E79)&lt;4,"",IF(UPPER(MID(E79,4,1))="P","Individual",IF(UPPER(MID(E79,4,1))="H","HUF",IF(UPPER(MID(E79,4,1))="C","Company",IF(UPPER(MID(E79,4,1))="F","Firm",IF(UPPER(MID(E79,4,1))="L","LLP",IF(UPPER(MID(E79,4,1))="T","Trust",IF(UPPER(MID(E79,4,1))="A","AOP","")))))))))</f>
      </c>
      <c r="H79" s="8"/>
      <c r="I79" s="7">
        <f>IF($D79="","",IF(H79="","",IF(F79="Y",SUMPRODUCT(('Rate Lookup'!$A$1:$A$37=H79)*'Rate Lookup'!$D$1:$D$37),IF(OR(G79="Individual",G79="HUF"),SUMPRODUCT(('Rate Lookup'!$A$1:$A$37=H79)*'Rate Lookup'!$B$1:$B$37),SUMPRODUCT(('Rate Lookup'!$A$1:$A$37=H79)*'Rate Lookup'!$C$1:$C$37)))))</f>
      </c>
      <c r="J79" s="8"/>
      <c r="K79" s="8"/>
      <c r="L79" s="7">
        <f>IF($D79="","",ROUND(K79*I79/100,0))</f>
      </c>
      <c r="M79" s="7">
        <f>IF($D79="","",0)</f>
      </c>
      <c r="N79" s="7">
        <f>IF($D79="","",0)</f>
      </c>
      <c r="O79" s="7">
        <f>IF($D79="","",IF(OR(L79=0,J79="",IFERROR(INDEX('Challan Master'!$D$4:$D$207,MATCH($B79,'Challan Master'!$S$4:$S$207,0)),"")="",IFERROR(INDEX('Challan Master'!$D$4:$D$207,MATCH($B79,'Challan Master'!$S$4:$S$207,0)),"")&lt;=0),0,IF(IFERROR(INDEX('Challan Master'!$D$4:$D$207,MATCH($B79,'Challan Master'!$S$4:$S$207,0)),"")&lt;=DATE(YEAR(J79),MONTH(J79)+1,7),0,ROUND(L79*0.015*((YEAR(IFERROR(INDEX('Challan Master'!$D$4:$D$207,MATCH($B79,'Challan Master'!$S$4:$S$207,0)),""))-YEAR(J79))*12+(MONTH(IFERROR(INDEX('Challan Master'!$D$4:$D$207,MATCH($B79,'Challan Master'!$S$4:$S$207,0)),""))-MONTH(J79))+1),0))))</f>
      </c>
      <c r="P79" s="7">
        <f>IF($D79="","",0)</f>
      </c>
      <c r="Q79" s="8"/>
      <c r="R79" s="8"/>
      <c r="S79" s="8"/>
      <c r="T79" s="8"/>
      <c r="U79" s="8"/>
      <c r="V79" s="7">
        <f>IF($B79="","",IFERROR(INDEX('Challan Master'!$AA$4:$AA$207,MATCH($B79,'Challan Master'!$S$4:$S$207,0)),""))</f>
      </c>
    </row>
    <row r="80" spans="1:22" x14ac:dyDescent="0.25">
      <c r="A80" s="7">
        <f>IF($D80="","",COUNTIF($D$4:$D80,"&lt;&gt;"))</f>
      </c>
      <c r="B80" s="8"/>
      <c r="C80" s="7">
        <f>IF($B80="","","BSR "&amp;IFERROR(INDEX('Challan Master'!$B$4:$B$207,MATCH($B80,'Challan Master'!$S$4:$S$207,0)),"")&amp;" | Serial "&amp;IFERROR(INDEX('Challan Master'!$C$4:$C$207,MATCH($B80,'Challan Master'!$S$4:$S$207,0)),"")&amp;" | Deposit "&amp;TEXT(IFERROR(INDEX('Challan Master'!$D$4:$D$207,MATCH($B80,'Challan Master'!$S$4:$S$207,0)),""),"dd-mm-yyyy")&amp;" | Minor Head "&amp;IFERROR(INDEX('Challan Master'!$E$4:$E$207,MATCH($B80,'Challan Master'!$S$4:$S$207,0)),"")&amp;" | Tax ₹"&amp;TEXT(IFERROR(INDEX('Challan Master'!$G$4:$G$207,MATCH($B80,'Challan Master'!$S$4:$S$207,0)),""),"#,##0")&amp;" | Section "&amp;IFERROR(INDEX('Challan Master'!$F$4:$F$207,MATCH($B80,'Challan Master'!$S$4:$S$207,0)),""))</f>
      </c>
      <c r="D80" s="8"/>
      <c r="E80" s="8"/>
      <c r="F80" s="7">
        <f>IF($D80="","",IF(AND(LEN(TRIM(UPPER(E80)))=10,CODE(MID(TRIM(UPPER(E80)),1,1))&gt;=65,CODE(MID(TRIM(UPPER(E80)),1,1))&lt;=90,CODE(MID(TRIM(UPPER(E80)),2,1))&gt;=65,CODE(MID(TRIM(UPPER(E80)),2,1))&lt;=90,CODE(MID(TRIM(UPPER(E80)),3,1))&gt;=65,CODE(MID(TRIM(UPPER(E80)),3,1))&lt;=90,CODE(MID(TRIM(UPPER(E80)),4,1))&gt;=65,CODE(MID(TRIM(UPPER(E80)),4,1))&lt;=90,CODE(MID(TRIM(UPPER(E80)),5,1))&gt;=65,CODE(MID(TRIM(UPPER(E80)),5,1))&lt;=90,CODE(MID(TRIM(UPPER(E80)),10,1))&gt;=65,CODE(MID(TRIM(UPPER(E80)),10,1))&lt;=90,CODE(MID(TRIM(UPPER(E80)),6,1))&gt;=48,CODE(MID(TRIM(UPPER(E80)),6,1))&lt;=57,CODE(MID(TRIM(UPPER(E80)),7,1))&gt;=48,CODE(MID(TRIM(UPPER(E80)),7,1))&lt;=57,CODE(MID(TRIM(UPPER(E80)),8,1))&gt;=48,CODE(MID(TRIM(UPPER(E80)),8,1))&lt;=57,CODE(MID(TRIM(UPPER(E80)),9,1))&gt;=48,CODE(MID(TRIM(UPPER(E80)),9,1))&lt;=57),"N","Y"))</f>
      </c>
      <c r="G80" s="7">
        <f>IF($D80="","",IF(LEN(E80)&lt;4,"",IF(UPPER(MID(E80,4,1))="P","Individual",IF(UPPER(MID(E80,4,1))="H","HUF",IF(UPPER(MID(E80,4,1))="C","Company",IF(UPPER(MID(E80,4,1))="F","Firm",IF(UPPER(MID(E80,4,1))="L","LLP",IF(UPPER(MID(E80,4,1))="T","Trust",IF(UPPER(MID(E80,4,1))="A","AOP","")))))))))</f>
      </c>
      <c r="H80" s="8"/>
      <c r="I80" s="7">
        <f>IF($D80="","",IF(H80="","",IF(F80="Y",SUMPRODUCT(('Rate Lookup'!$A$1:$A$37=H80)*'Rate Lookup'!$D$1:$D$37),IF(OR(G80="Individual",G80="HUF"),SUMPRODUCT(('Rate Lookup'!$A$1:$A$37=H80)*'Rate Lookup'!$B$1:$B$37),SUMPRODUCT(('Rate Lookup'!$A$1:$A$37=H80)*'Rate Lookup'!$C$1:$C$37)))))</f>
      </c>
      <c r="J80" s="8"/>
      <c r="K80" s="8"/>
      <c r="L80" s="7">
        <f>IF($D80="","",ROUND(K80*I80/100,0))</f>
      </c>
      <c r="M80" s="7">
        <f>IF($D80="","",0)</f>
      </c>
      <c r="N80" s="7">
        <f>IF($D80="","",0)</f>
      </c>
      <c r="O80" s="7">
        <f>IF($D80="","",IF(OR(L80=0,J80="",IFERROR(INDEX('Challan Master'!$D$4:$D$207,MATCH($B80,'Challan Master'!$S$4:$S$207,0)),"")="",IFERROR(INDEX('Challan Master'!$D$4:$D$207,MATCH($B80,'Challan Master'!$S$4:$S$207,0)),"")&lt;=0),0,IF(IFERROR(INDEX('Challan Master'!$D$4:$D$207,MATCH($B80,'Challan Master'!$S$4:$S$207,0)),"")&lt;=DATE(YEAR(J80),MONTH(J80)+1,7),0,ROUND(L80*0.015*((YEAR(IFERROR(INDEX('Challan Master'!$D$4:$D$207,MATCH($B80,'Challan Master'!$S$4:$S$207,0)),""))-YEAR(J80))*12+(MONTH(IFERROR(INDEX('Challan Master'!$D$4:$D$207,MATCH($B80,'Challan Master'!$S$4:$S$207,0)),""))-MONTH(J80))+1),0))))</f>
      </c>
      <c r="P80" s="7">
        <f>IF($D80="","",0)</f>
      </c>
      <c r="Q80" s="8"/>
      <c r="R80" s="8"/>
      <c r="S80" s="8"/>
      <c r="T80" s="8"/>
      <c r="U80" s="8"/>
      <c r="V80" s="7">
        <f>IF($B80="","",IFERROR(INDEX('Challan Master'!$AA$4:$AA$207,MATCH($B80,'Challan Master'!$S$4:$S$207,0)),""))</f>
      </c>
    </row>
    <row r="81" spans="1:22" x14ac:dyDescent="0.25">
      <c r="A81" s="7">
        <f>IF($D81="","",COUNTIF($D$4:$D81,"&lt;&gt;"))</f>
      </c>
      <c r="B81" s="8"/>
      <c r="C81" s="7">
        <f>IF($B81="","","BSR "&amp;IFERROR(INDEX('Challan Master'!$B$4:$B$207,MATCH($B81,'Challan Master'!$S$4:$S$207,0)),"")&amp;" | Serial "&amp;IFERROR(INDEX('Challan Master'!$C$4:$C$207,MATCH($B81,'Challan Master'!$S$4:$S$207,0)),"")&amp;" | Deposit "&amp;TEXT(IFERROR(INDEX('Challan Master'!$D$4:$D$207,MATCH($B81,'Challan Master'!$S$4:$S$207,0)),""),"dd-mm-yyyy")&amp;" | Minor Head "&amp;IFERROR(INDEX('Challan Master'!$E$4:$E$207,MATCH($B81,'Challan Master'!$S$4:$S$207,0)),"")&amp;" | Tax ₹"&amp;TEXT(IFERROR(INDEX('Challan Master'!$G$4:$G$207,MATCH($B81,'Challan Master'!$S$4:$S$207,0)),""),"#,##0")&amp;" | Section "&amp;IFERROR(INDEX('Challan Master'!$F$4:$F$207,MATCH($B81,'Challan Master'!$S$4:$S$207,0)),""))</f>
      </c>
      <c r="D81" s="8"/>
      <c r="E81" s="8"/>
      <c r="F81" s="7">
        <f>IF($D81="","",IF(AND(LEN(TRIM(UPPER(E81)))=10,CODE(MID(TRIM(UPPER(E81)),1,1))&gt;=65,CODE(MID(TRIM(UPPER(E81)),1,1))&lt;=90,CODE(MID(TRIM(UPPER(E81)),2,1))&gt;=65,CODE(MID(TRIM(UPPER(E81)),2,1))&lt;=90,CODE(MID(TRIM(UPPER(E81)),3,1))&gt;=65,CODE(MID(TRIM(UPPER(E81)),3,1))&lt;=90,CODE(MID(TRIM(UPPER(E81)),4,1))&gt;=65,CODE(MID(TRIM(UPPER(E81)),4,1))&lt;=90,CODE(MID(TRIM(UPPER(E81)),5,1))&gt;=65,CODE(MID(TRIM(UPPER(E81)),5,1))&lt;=90,CODE(MID(TRIM(UPPER(E81)),10,1))&gt;=65,CODE(MID(TRIM(UPPER(E81)),10,1))&lt;=90,CODE(MID(TRIM(UPPER(E81)),6,1))&gt;=48,CODE(MID(TRIM(UPPER(E81)),6,1))&lt;=57,CODE(MID(TRIM(UPPER(E81)),7,1))&gt;=48,CODE(MID(TRIM(UPPER(E81)),7,1))&lt;=57,CODE(MID(TRIM(UPPER(E81)),8,1))&gt;=48,CODE(MID(TRIM(UPPER(E81)),8,1))&lt;=57,CODE(MID(TRIM(UPPER(E81)),9,1))&gt;=48,CODE(MID(TRIM(UPPER(E81)),9,1))&lt;=57),"N","Y"))</f>
      </c>
      <c r="G81" s="7">
        <f>IF($D81="","",IF(LEN(E81)&lt;4,"",IF(UPPER(MID(E81,4,1))="P","Individual",IF(UPPER(MID(E81,4,1))="H","HUF",IF(UPPER(MID(E81,4,1))="C","Company",IF(UPPER(MID(E81,4,1))="F","Firm",IF(UPPER(MID(E81,4,1))="L","LLP",IF(UPPER(MID(E81,4,1))="T","Trust",IF(UPPER(MID(E81,4,1))="A","AOP","")))))))))</f>
      </c>
      <c r="H81" s="8"/>
      <c r="I81" s="7">
        <f>IF($D81="","",IF(H81="","",IF(F81="Y",SUMPRODUCT(('Rate Lookup'!$A$1:$A$37=H81)*'Rate Lookup'!$D$1:$D$37),IF(OR(G81="Individual",G81="HUF"),SUMPRODUCT(('Rate Lookup'!$A$1:$A$37=H81)*'Rate Lookup'!$B$1:$B$37),SUMPRODUCT(('Rate Lookup'!$A$1:$A$37=H81)*'Rate Lookup'!$C$1:$C$37)))))</f>
      </c>
      <c r="J81" s="8"/>
      <c r="K81" s="8"/>
      <c r="L81" s="7">
        <f>IF($D81="","",ROUND(K81*I81/100,0))</f>
      </c>
      <c r="M81" s="7">
        <f>IF($D81="","",0)</f>
      </c>
      <c r="N81" s="7">
        <f>IF($D81="","",0)</f>
      </c>
      <c r="O81" s="7">
        <f>IF($D81="","",IF(OR(L81=0,J81="",IFERROR(INDEX('Challan Master'!$D$4:$D$207,MATCH($B81,'Challan Master'!$S$4:$S$207,0)),"")="",IFERROR(INDEX('Challan Master'!$D$4:$D$207,MATCH($B81,'Challan Master'!$S$4:$S$207,0)),"")&lt;=0),0,IF(IFERROR(INDEX('Challan Master'!$D$4:$D$207,MATCH($B81,'Challan Master'!$S$4:$S$207,0)),"")&lt;=DATE(YEAR(J81),MONTH(J81)+1,7),0,ROUND(L81*0.015*((YEAR(IFERROR(INDEX('Challan Master'!$D$4:$D$207,MATCH($B81,'Challan Master'!$S$4:$S$207,0)),""))-YEAR(J81))*12+(MONTH(IFERROR(INDEX('Challan Master'!$D$4:$D$207,MATCH($B81,'Challan Master'!$S$4:$S$207,0)),""))-MONTH(J81))+1),0))))</f>
      </c>
      <c r="P81" s="7">
        <f>IF($D81="","",0)</f>
      </c>
      <c r="Q81" s="8"/>
      <c r="R81" s="8"/>
      <c r="S81" s="8"/>
      <c r="T81" s="8"/>
      <c r="U81" s="8"/>
      <c r="V81" s="7">
        <f>IF($B81="","",IFERROR(INDEX('Challan Master'!$AA$4:$AA$207,MATCH($B81,'Challan Master'!$S$4:$S$207,0)),""))</f>
      </c>
    </row>
    <row r="82" spans="1:22" x14ac:dyDescent="0.25">
      <c r="A82" s="7">
        <f>IF($D82="","",COUNTIF($D$4:$D82,"&lt;&gt;"))</f>
      </c>
      <c r="B82" s="8"/>
      <c r="C82" s="7">
        <f>IF($B82="","","BSR "&amp;IFERROR(INDEX('Challan Master'!$B$4:$B$207,MATCH($B82,'Challan Master'!$S$4:$S$207,0)),"")&amp;" | Serial "&amp;IFERROR(INDEX('Challan Master'!$C$4:$C$207,MATCH($B82,'Challan Master'!$S$4:$S$207,0)),"")&amp;" | Deposit "&amp;TEXT(IFERROR(INDEX('Challan Master'!$D$4:$D$207,MATCH($B82,'Challan Master'!$S$4:$S$207,0)),""),"dd-mm-yyyy")&amp;" | Minor Head "&amp;IFERROR(INDEX('Challan Master'!$E$4:$E$207,MATCH($B82,'Challan Master'!$S$4:$S$207,0)),"")&amp;" | Tax ₹"&amp;TEXT(IFERROR(INDEX('Challan Master'!$G$4:$G$207,MATCH($B82,'Challan Master'!$S$4:$S$207,0)),""),"#,##0")&amp;" | Section "&amp;IFERROR(INDEX('Challan Master'!$F$4:$F$207,MATCH($B82,'Challan Master'!$S$4:$S$207,0)),""))</f>
      </c>
      <c r="D82" s="8"/>
      <c r="E82" s="8"/>
      <c r="F82" s="7">
        <f>IF($D82="","",IF(AND(LEN(TRIM(UPPER(E82)))=10,CODE(MID(TRIM(UPPER(E82)),1,1))&gt;=65,CODE(MID(TRIM(UPPER(E82)),1,1))&lt;=90,CODE(MID(TRIM(UPPER(E82)),2,1))&gt;=65,CODE(MID(TRIM(UPPER(E82)),2,1))&lt;=90,CODE(MID(TRIM(UPPER(E82)),3,1))&gt;=65,CODE(MID(TRIM(UPPER(E82)),3,1))&lt;=90,CODE(MID(TRIM(UPPER(E82)),4,1))&gt;=65,CODE(MID(TRIM(UPPER(E82)),4,1))&lt;=90,CODE(MID(TRIM(UPPER(E82)),5,1))&gt;=65,CODE(MID(TRIM(UPPER(E82)),5,1))&lt;=90,CODE(MID(TRIM(UPPER(E82)),10,1))&gt;=65,CODE(MID(TRIM(UPPER(E82)),10,1))&lt;=90,CODE(MID(TRIM(UPPER(E82)),6,1))&gt;=48,CODE(MID(TRIM(UPPER(E82)),6,1))&lt;=57,CODE(MID(TRIM(UPPER(E82)),7,1))&gt;=48,CODE(MID(TRIM(UPPER(E82)),7,1))&lt;=57,CODE(MID(TRIM(UPPER(E82)),8,1))&gt;=48,CODE(MID(TRIM(UPPER(E82)),8,1))&lt;=57,CODE(MID(TRIM(UPPER(E82)),9,1))&gt;=48,CODE(MID(TRIM(UPPER(E82)),9,1))&lt;=57),"N","Y"))</f>
      </c>
      <c r="G82" s="7">
        <f>IF($D82="","",IF(LEN(E82)&lt;4,"",IF(UPPER(MID(E82,4,1))="P","Individual",IF(UPPER(MID(E82,4,1))="H","HUF",IF(UPPER(MID(E82,4,1))="C","Company",IF(UPPER(MID(E82,4,1))="F","Firm",IF(UPPER(MID(E82,4,1))="L","LLP",IF(UPPER(MID(E82,4,1))="T","Trust",IF(UPPER(MID(E82,4,1))="A","AOP","")))))))))</f>
      </c>
      <c r="H82" s="8"/>
      <c r="I82" s="7">
        <f>IF($D82="","",IF(H82="","",IF(F82="Y",SUMPRODUCT(('Rate Lookup'!$A$1:$A$37=H82)*'Rate Lookup'!$D$1:$D$37),IF(OR(G82="Individual",G82="HUF"),SUMPRODUCT(('Rate Lookup'!$A$1:$A$37=H82)*'Rate Lookup'!$B$1:$B$37),SUMPRODUCT(('Rate Lookup'!$A$1:$A$37=H82)*'Rate Lookup'!$C$1:$C$37)))))</f>
      </c>
      <c r="J82" s="8"/>
      <c r="K82" s="8"/>
      <c r="L82" s="7">
        <f>IF($D82="","",ROUND(K82*I82/100,0))</f>
      </c>
      <c r="M82" s="7">
        <f>IF($D82="","",0)</f>
      </c>
      <c r="N82" s="7">
        <f>IF($D82="","",0)</f>
      </c>
      <c r="O82" s="7">
        <f>IF($D82="","",IF(OR(L82=0,J82="",IFERROR(INDEX('Challan Master'!$D$4:$D$207,MATCH($B82,'Challan Master'!$S$4:$S$207,0)),"")="",IFERROR(INDEX('Challan Master'!$D$4:$D$207,MATCH($B82,'Challan Master'!$S$4:$S$207,0)),"")&lt;=0),0,IF(IFERROR(INDEX('Challan Master'!$D$4:$D$207,MATCH($B82,'Challan Master'!$S$4:$S$207,0)),"")&lt;=DATE(YEAR(J82),MONTH(J82)+1,7),0,ROUND(L82*0.015*((YEAR(IFERROR(INDEX('Challan Master'!$D$4:$D$207,MATCH($B82,'Challan Master'!$S$4:$S$207,0)),""))-YEAR(J82))*12+(MONTH(IFERROR(INDEX('Challan Master'!$D$4:$D$207,MATCH($B82,'Challan Master'!$S$4:$S$207,0)),""))-MONTH(J82))+1),0))))</f>
      </c>
      <c r="P82" s="7">
        <f>IF($D82="","",0)</f>
      </c>
      <c r="Q82" s="8"/>
      <c r="R82" s="8"/>
      <c r="S82" s="8"/>
      <c r="T82" s="8"/>
      <c r="U82" s="8"/>
      <c r="V82" s="7">
        <f>IF($B82="","",IFERROR(INDEX('Challan Master'!$AA$4:$AA$207,MATCH($B82,'Challan Master'!$S$4:$S$207,0)),""))</f>
      </c>
    </row>
    <row r="83" spans="1:22" x14ac:dyDescent="0.25">
      <c r="A83" s="7">
        <f>IF($D83="","",COUNTIF($D$4:$D83,"&lt;&gt;"))</f>
      </c>
      <c r="B83" s="8"/>
      <c r="C83" s="7">
        <f>IF($B83="","","BSR "&amp;IFERROR(INDEX('Challan Master'!$B$4:$B$207,MATCH($B83,'Challan Master'!$S$4:$S$207,0)),"")&amp;" | Serial "&amp;IFERROR(INDEX('Challan Master'!$C$4:$C$207,MATCH($B83,'Challan Master'!$S$4:$S$207,0)),"")&amp;" | Deposit "&amp;TEXT(IFERROR(INDEX('Challan Master'!$D$4:$D$207,MATCH($B83,'Challan Master'!$S$4:$S$207,0)),""),"dd-mm-yyyy")&amp;" | Minor Head "&amp;IFERROR(INDEX('Challan Master'!$E$4:$E$207,MATCH($B83,'Challan Master'!$S$4:$S$207,0)),"")&amp;" | Tax ₹"&amp;TEXT(IFERROR(INDEX('Challan Master'!$G$4:$G$207,MATCH($B83,'Challan Master'!$S$4:$S$207,0)),""),"#,##0")&amp;" | Section "&amp;IFERROR(INDEX('Challan Master'!$F$4:$F$207,MATCH($B83,'Challan Master'!$S$4:$S$207,0)),""))</f>
      </c>
      <c r="D83" s="8"/>
      <c r="E83" s="8"/>
      <c r="F83" s="7">
        <f>IF($D83="","",IF(AND(LEN(TRIM(UPPER(E83)))=10,CODE(MID(TRIM(UPPER(E83)),1,1))&gt;=65,CODE(MID(TRIM(UPPER(E83)),1,1))&lt;=90,CODE(MID(TRIM(UPPER(E83)),2,1))&gt;=65,CODE(MID(TRIM(UPPER(E83)),2,1))&lt;=90,CODE(MID(TRIM(UPPER(E83)),3,1))&gt;=65,CODE(MID(TRIM(UPPER(E83)),3,1))&lt;=90,CODE(MID(TRIM(UPPER(E83)),4,1))&gt;=65,CODE(MID(TRIM(UPPER(E83)),4,1))&lt;=90,CODE(MID(TRIM(UPPER(E83)),5,1))&gt;=65,CODE(MID(TRIM(UPPER(E83)),5,1))&lt;=90,CODE(MID(TRIM(UPPER(E83)),10,1))&gt;=65,CODE(MID(TRIM(UPPER(E83)),10,1))&lt;=90,CODE(MID(TRIM(UPPER(E83)),6,1))&gt;=48,CODE(MID(TRIM(UPPER(E83)),6,1))&lt;=57,CODE(MID(TRIM(UPPER(E83)),7,1))&gt;=48,CODE(MID(TRIM(UPPER(E83)),7,1))&lt;=57,CODE(MID(TRIM(UPPER(E83)),8,1))&gt;=48,CODE(MID(TRIM(UPPER(E83)),8,1))&lt;=57,CODE(MID(TRIM(UPPER(E83)),9,1))&gt;=48,CODE(MID(TRIM(UPPER(E83)),9,1))&lt;=57),"N","Y"))</f>
      </c>
      <c r="G83" s="7">
        <f>IF($D83="","",IF(LEN(E83)&lt;4,"",IF(UPPER(MID(E83,4,1))="P","Individual",IF(UPPER(MID(E83,4,1))="H","HUF",IF(UPPER(MID(E83,4,1))="C","Company",IF(UPPER(MID(E83,4,1))="F","Firm",IF(UPPER(MID(E83,4,1))="L","LLP",IF(UPPER(MID(E83,4,1))="T","Trust",IF(UPPER(MID(E83,4,1))="A","AOP","")))))))))</f>
      </c>
      <c r="H83" s="8"/>
      <c r="I83" s="7">
        <f>IF($D83="","",IF(H83="","",IF(F83="Y",SUMPRODUCT(('Rate Lookup'!$A$1:$A$37=H83)*'Rate Lookup'!$D$1:$D$37),IF(OR(G83="Individual",G83="HUF"),SUMPRODUCT(('Rate Lookup'!$A$1:$A$37=H83)*'Rate Lookup'!$B$1:$B$37),SUMPRODUCT(('Rate Lookup'!$A$1:$A$37=H83)*'Rate Lookup'!$C$1:$C$37)))))</f>
      </c>
      <c r="J83" s="8"/>
      <c r="K83" s="8"/>
      <c r="L83" s="7">
        <f>IF($D83="","",ROUND(K83*I83/100,0))</f>
      </c>
      <c r="M83" s="7">
        <f>IF($D83="","",0)</f>
      </c>
      <c r="N83" s="7">
        <f>IF($D83="","",0)</f>
      </c>
      <c r="O83" s="7">
        <f>IF($D83="","",IF(OR(L83=0,J83="",IFERROR(INDEX('Challan Master'!$D$4:$D$207,MATCH($B83,'Challan Master'!$S$4:$S$207,0)),"")="",IFERROR(INDEX('Challan Master'!$D$4:$D$207,MATCH($B83,'Challan Master'!$S$4:$S$207,0)),"")&lt;=0),0,IF(IFERROR(INDEX('Challan Master'!$D$4:$D$207,MATCH($B83,'Challan Master'!$S$4:$S$207,0)),"")&lt;=DATE(YEAR(J83),MONTH(J83)+1,7),0,ROUND(L83*0.015*((YEAR(IFERROR(INDEX('Challan Master'!$D$4:$D$207,MATCH($B83,'Challan Master'!$S$4:$S$207,0)),""))-YEAR(J83))*12+(MONTH(IFERROR(INDEX('Challan Master'!$D$4:$D$207,MATCH($B83,'Challan Master'!$S$4:$S$207,0)),""))-MONTH(J83))+1),0))))</f>
      </c>
      <c r="P83" s="7">
        <f>IF($D83="","",0)</f>
      </c>
      <c r="Q83" s="8"/>
      <c r="R83" s="8"/>
      <c r="S83" s="8"/>
      <c r="T83" s="8"/>
      <c r="U83" s="8"/>
      <c r="V83" s="7">
        <f>IF($B83="","",IFERROR(INDEX('Challan Master'!$AA$4:$AA$207,MATCH($B83,'Challan Master'!$S$4:$S$207,0)),""))</f>
      </c>
    </row>
    <row r="84" spans="1:22" x14ac:dyDescent="0.25">
      <c r="A84" s="7">
        <f>IF($D84="","",COUNTIF($D$4:$D84,"&lt;&gt;"))</f>
      </c>
      <c r="B84" s="8"/>
      <c r="C84" s="7">
        <f>IF($B84="","","BSR "&amp;IFERROR(INDEX('Challan Master'!$B$4:$B$207,MATCH($B84,'Challan Master'!$S$4:$S$207,0)),"")&amp;" | Serial "&amp;IFERROR(INDEX('Challan Master'!$C$4:$C$207,MATCH($B84,'Challan Master'!$S$4:$S$207,0)),"")&amp;" | Deposit "&amp;TEXT(IFERROR(INDEX('Challan Master'!$D$4:$D$207,MATCH($B84,'Challan Master'!$S$4:$S$207,0)),""),"dd-mm-yyyy")&amp;" | Minor Head "&amp;IFERROR(INDEX('Challan Master'!$E$4:$E$207,MATCH($B84,'Challan Master'!$S$4:$S$207,0)),"")&amp;" | Tax ₹"&amp;TEXT(IFERROR(INDEX('Challan Master'!$G$4:$G$207,MATCH($B84,'Challan Master'!$S$4:$S$207,0)),""),"#,##0")&amp;" | Section "&amp;IFERROR(INDEX('Challan Master'!$F$4:$F$207,MATCH($B84,'Challan Master'!$S$4:$S$207,0)),""))</f>
      </c>
      <c r="D84" s="8"/>
      <c r="E84" s="8"/>
      <c r="F84" s="7">
        <f>IF($D84="","",IF(AND(LEN(TRIM(UPPER(E84)))=10,CODE(MID(TRIM(UPPER(E84)),1,1))&gt;=65,CODE(MID(TRIM(UPPER(E84)),1,1))&lt;=90,CODE(MID(TRIM(UPPER(E84)),2,1))&gt;=65,CODE(MID(TRIM(UPPER(E84)),2,1))&lt;=90,CODE(MID(TRIM(UPPER(E84)),3,1))&gt;=65,CODE(MID(TRIM(UPPER(E84)),3,1))&lt;=90,CODE(MID(TRIM(UPPER(E84)),4,1))&gt;=65,CODE(MID(TRIM(UPPER(E84)),4,1))&lt;=90,CODE(MID(TRIM(UPPER(E84)),5,1))&gt;=65,CODE(MID(TRIM(UPPER(E84)),5,1))&lt;=90,CODE(MID(TRIM(UPPER(E84)),10,1))&gt;=65,CODE(MID(TRIM(UPPER(E84)),10,1))&lt;=90,CODE(MID(TRIM(UPPER(E84)),6,1))&gt;=48,CODE(MID(TRIM(UPPER(E84)),6,1))&lt;=57,CODE(MID(TRIM(UPPER(E84)),7,1))&gt;=48,CODE(MID(TRIM(UPPER(E84)),7,1))&lt;=57,CODE(MID(TRIM(UPPER(E84)),8,1))&gt;=48,CODE(MID(TRIM(UPPER(E84)),8,1))&lt;=57,CODE(MID(TRIM(UPPER(E84)),9,1))&gt;=48,CODE(MID(TRIM(UPPER(E84)),9,1))&lt;=57),"N","Y"))</f>
      </c>
      <c r="G84" s="7">
        <f>IF($D84="","",IF(LEN(E84)&lt;4,"",IF(UPPER(MID(E84,4,1))="P","Individual",IF(UPPER(MID(E84,4,1))="H","HUF",IF(UPPER(MID(E84,4,1))="C","Company",IF(UPPER(MID(E84,4,1))="F","Firm",IF(UPPER(MID(E84,4,1))="L","LLP",IF(UPPER(MID(E84,4,1))="T","Trust",IF(UPPER(MID(E84,4,1))="A","AOP","")))))))))</f>
      </c>
      <c r="H84" s="8"/>
      <c r="I84" s="7">
        <f>IF($D84="","",IF(H84="","",IF(F84="Y",SUMPRODUCT(('Rate Lookup'!$A$1:$A$37=H84)*'Rate Lookup'!$D$1:$D$37),IF(OR(G84="Individual",G84="HUF"),SUMPRODUCT(('Rate Lookup'!$A$1:$A$37=H84)*'Rate Lookup'!$B$1:$B$37),SUMPRODUCT(('Rate Lookup'!$A$1:$A$37=H84)*'Rate Lookup'!$C$1:$C$37)))))</f>
      </c>
      <c r="J84" s="8"/>
      <c r="K84" s="8"/>
      <c r="L84" s="7">
        <f>IF($D84="","",ROUND(K84*I84/100,0))</f>
      </c>
      <c r="M84" s="7">
        <f>IF($D84="","",0)</f>
      </c>
      <c r="N84" s="7">
        <f>IF($D84="","",0)</f>
      </c>
      <c r="O84" s="7">
        <f>IF($D84="","",IF(OR(L84=0,J84="",IFERROR(INDEX('Challan Master'!$D$4:$D$207,MATCH($B84,'Challan Master'!$S$4:$S$207,0)),"")="",IFERROR(INDEX('Challan Master'!$D$4:$D$207,MATCH($B84,'Challan Master'!$S$4:$S$207,0)),"")&lt;=0),0,IF(IFERROR(INDEX('Challan Master'!$D$4:$D$207,MATCH($B84,'Challan Master'!$S$4:$S$207,0)),"")&lt;=DATE(YEAR(J84),MONTH(J84)+1,7),0,ROUND(L84*0.015*((YEAR(IFERROR(INDEX('Challan Master'!$D$4:$D$207,MATCH($B84,'Challan Master'!$S$4:$S$207,0)),""))-YEAR(J84))*12+(MONTH(IFERROR(INDEX('Challan Master'!$D$4:$D$207,MATCH($B84,'Challan Master'!$S$4:$S$207,0)),""))-MONTH(J84))+1),0))))</f>
      </c>
      <c r="P84" s="7">
        <f>IF($D84="","",0)</f>
      </c>
      <c r="Q84" s="8"/>
      <c r="R84" s="8"/>
      <c r="S84" s="8"/>
      <c r="T84" s="8"/>
      <c r="U84" s="8"/>
      <c r="V84" s="7">
        <f>IF($B84="","",IFERROR(INDEX('Challan Master'!$AA$4:$AA$207,MATCH($B84,'Challan Master'!$S$4:$S$207,0)),""))</f>
      </c>
    </row>
    <row r="85" spans="1:22" x14ac:dyDescent="0.25">
      <c r="A85" s="7">
        <f>IF($D85="","",COUNTIF($D$4:$D85,"&lt;&gt;"))</f>
      </c>
      <c r="B85" s="8"/>
      <c r="C85" s="7">
        <f>IF($B85="","","BSR "&amp;IFERROR(INDEX('Challan Master'!$B$4:$B$207,MATCH($B85,'Challan Master'!$S$4:$S$207,0)),"")&amp;" | Serial "&amp;IFERROR(INDEX('Challan Master'!$C$4:$C$207,MATCH($B85,'Challan Master'!$S$4:$S$207,0)),"")&amp;" | Deposit "&amp;TEXT(IFERROR(INDEX('Challan Master'!$D$4:$D$207,MATCH($B85,'Challan Master'!$S$4:$S$207,0)),""),"dd-mm-yyyy")&amp;" | Minor Head "&amp;IFERROR(INDEX('Challan Master'!$E$4:$E$207,MATCH($B85,'Challan Master'!$S$4:$S$207,0)),"")&amp;" | Tax ₹"&amp;TEXT(IFERROR(INDEX('Challan Master'!$G$4:$G$207,MATCH($B85,'Challan Master'!$S$4:$S$207,0)),""),"#,##0")&amp;" | Section "&amp;IFERROR(INDEX('Challan Master'!$F$4:$F$207,MATCH($B85,'Challan Master'!$S$4:$S$207,0)),""))</f>
      </c>
      <c r="D85" s="8"/>
      <c r="E85" s="8"/>
      <c r="F85" s="7">
        <f>IF($D85="","",IF(AND(LEN(TRIM(UPPER(E85)))=10,CODE(MID(TRIM(UPPER(E85)),1,1))&gt;=65,CODE(MID(TRIM(UPPER(E85)),1,1))&lt;=90,CODE(MID(TRIM(UPPER(E85)),2,1))&gt;=65,CODE(MID(TRIM(UPPER(E85)),2,1))&lt;=90,CODE(MID(TRIM(UPPER(E85)),3,1))&gt;=65,CODE(MID(TRIM(UPPER(E85)),3,1))&lt;=90,CODE(MID(TRIM(UPPER(E85)),4,1))&gt;=65,CODE(MID(TRIM(UPPER(E85)),4,1))&lt;=90,CODE(MID(TRIM(UPPER(E85)),5,1))&gt;=65,CODE(MID(TRIM(UPPER(E85)),5,1))&lt;=90,CODE(MID(TRIM(UPPER(E85)),10,1))&gt;=65,CODE(MID(TRIM(UPPER(E85)),10,1))&lt;=90,CODE(MID(TRIM(UPPER(E85)),6,1))&gt;=48,CODE(MID(TRIM(UPPER(E85)),6,1))&lt;=57,CODE(MID(TRIM(UPPER(E85)),7,1))&gt;=48,CODE(MID(TRIM(UPPER(E85)),7,1))&lt;=57,CODE(MID(TRIM(UPPER(E85)),8,1))&gt;=48,CODE(MID(TRIM(UPPER(E85)),8,1))&lt;=57,CODE(MID(TRIM(UPPER(E85)),9,1))&gt;=48,CODE(MID(TRIM(UPPER(E85)),9,1))&lt;=57),"N","Y"))</f>
      </c>
      <c r="G85" s="7">
        <f>IF($D85="","",IF(LEN(E85)&lt;4,"",IF(UPPER(MID(E85,4,1))="P","Individual",IF(UPPER(MID(E85,4,1))="H","HUF",IF(UPPER(MID(E85,4,1))="C","Company",IF(UPPER(MID(E85,4,1))="F","Firm",IF(UPPER(MID(E85,4,1))="L","LLP",IF(UPPER(MID(E85,4,1))="T","Trust",IF(UPPER(MID(E85,4,1))="A","AOP","")))))))))</f>
      </c>
      <c r="H85" s="8"/>
      <c r="I85" s="7">
        <f>IF($D85="","",IF(H85="","",IF(F85="Y",SUMPRODUCT(('Rate Lookup'!$A$1:$A$37=H85)*'Rate Lookup'!$D$1:$D$37),IF(OR(G85="Individual",G85="HUF"),SUMPRODUCT(('Rate Lookup'!$A$1:$A$37=H85)*'Rate Lookup'!$B$1:$B$37),SUMPRODUCT(('Rate Lookup'!$A$1:$A$37=H85)*'Rate Lookup'!$C$1:$C$37)))))</f>
      </c>
      <c r="J85" s="8"/>
      <c r="K85" s="8"/>
      <c r="L85" s="7">
        <f>IF($D85="","",ROUND(K85*I85/100,0))</f>
      </c>
      <c r="M85" s="7">
        <f>IF($D85="","",0)</f>
      </c>
      <c r="N85" s="7">
        <f>IF($D85="","",0)</f>
      </c>
      <c r="O85" s="7">
        <f>IF($D85="","",IF(OR(L85=0,J85="",IFERROR(INDEX('Challan Master'!$D$4:$D$207,MATCH($B85,'Challan Master'!$S$4:$S$207,0)),"")="",IFERROR(INDEX('Challan Master'!$D$4:$D$207,MATCH($B85,'Challan Master'!$S$4:$S$207,0)),"")&lt;=0),0,IF(IFERROR(INDEX('Challan Master'!$D$4:$D$207,MATCH($B85,'Challan Master'!$S$4:$S$207,0)),"")&lt;=DATE(YEAR(J85),MONTH(J85)+1,7),0,ROUND(L85*0.015*((YEAR(IFERROR(INDEX('Challan Master'!$D$4:$D$207,MATCH($B85,'Challan Master'!$S$4:$S$207,0)),""))-YEAR(J85))*12+(MONTH(IFERROR(INDEX('Challan Master'!$D$4:$D$207,MATCH($B85,'Challan Master'!$S$4:$S$207,0)),""))-MONTH(J85))+1),0))))</f>
      </c>
      <c r="P85" s="7">
        <f>IF($D85="","",0)</f>
      </c>
      <c r="Q85" s="8"/>
      <c r="R85" s="8"/>
      <c r="S85" s="8"/>
      <c r="T85" s="8"/>
      <c r="U85" s="8"/>
      <c r="V85" s="7">
        <f>IF($B85="","",IFERROR(INDEX('Challan Master'!$AA$4:$AA$207,MATCH($B85,'Challan Master'!$S$4:$S$207,0)),""))</f>
      </c>
    </row>
    <row r="86" spans="1:22" x14ac:dyDescent="0.25">
      <c r="A86" s="7">
        <f>IF($D86="","",COUNTIF($D$4:$D86,"&lt;&gt;"))</f>
      </c>
      <c r="B86" s="8"/>
      <c r="C86" s="7">
        <f>IF($B86="","","BSR "&amp;IFERROR(INDEX('Challan Master'!$B$4:$B$207,MATCH($B86,'Challan Master'!$S$4:$S$207,0)),"")&amp;" | Serial "&amp;IFERROR(INDEX('Challan Master'!$C$4:$C$207,MATCH($B86,'Challan Master'!$S$4:$S$207,0)),"")&amp;" | Deposit "&amp;TEXT(IFERROR(INDEX('Challan Master'!$D$4:$D$207,MATCH($B86,'Challan Master'!$S$4:$S$207,0)),""),"dd-mm-yyyy")&amp;" | Minor Head "&amp;IFERROR(INDEX('Challan Master'!$E$4:$E$207,MATCH($B86,'Challan Master'!$S$4:$S$207,0)),"")&amp;" | Tax ₹"&amp;TEXT(IFERROR(INDEX('Challan Master'!$G$4:$G$207,MATCH($B86,'Challan Master'!$S$4:$S$207,0)),""),"#,##0")&amp;" | Section "&amp;IFERROR(INDEX('Challan Master'!$F$4:$F$207,MATCH($B86,'Challan Master'!$S$4:$S$207,0)),""))</f>
      </c>
      <c r="D86" s="8"/>
      <c r="E86" s="8"/>
      <c r="F86" s="7">
        <f>IF($D86="","",IF(AND(LEN(TRIM(UPPER(E86)))=10,CODE(MID(TRIM(UPPER(E86)),1,1))&gt;=65,CODE(MID(TRIM(UPPER(E86)),1,1))&lt;=90,CODE(MID(TRIM(UPPER(E86)),2,1))&gt;=65,CODE(MID(TRIM(UPPER(E86)),2,1))&lt;=90,CODE(MID(TRIM(UPPER(E86)),3,1))&gt;=65,CODE(MID(TRIM(UPPER(E86)),3,1))&lt;=90,CODE(MID(TRIM(UPPER(E86)),4,1))&gt;=65,CODE(MID(TRIM(UPPER(E86)),4,1))&lt;=90,CODE(MID(TRIM(UPPER(E86)),5,1))&gt;=65,CODE(MID(TRIM(UPPER(E86)),5,1))&lt;=90,CODE(MID(TRIM(UPPER(E86)),10,1))&gt;=65,CODE(MID(TRIM(UPPER(E86)),10,1))&lt;=90,CODE(MID(TRIM(UPPER(E86)),6,1))&gt;=48,CODE(MID(TRIM(UPPER(E86)),6,1))&lt;=57,CODE(MID(TRIM(UPPER(E86)),7,1))&gt;=48,CODE(MID(TRIM(UPPER(E86)),7,1))&lt;=57,CODE(MID(TRIM(UPPER(E86)),8,1))&gt;=48,CODE(MID(TRIM(UPPER(E86)),8,1))&lt;=57,CODE(MID(TRIM(UPPER(E86)),9,1))&gt;=48,CODE(MID(TRIM(UPPER(E86)),9,1))&lt;=57),"N","Y"))</f>
      </c>
      <c r="G86" s="7">
        <f>IF($D86="","",IF(LEN(E86)&lt;4,"",IF(UPPER(MID(E86,4,1))="P","Individual",IF(UPPER(MID(E86,4,1))="H","HUF",IF(UPPER(MID(E86,4,1))="C","Company",IF(UPPER(MID(E86,4,1))="F","Firm",IF(UPPER(MID(E86,4,1))="L","LLP",IF(UPPER(MID(E86,4,1))="T","Trust",IF(UPPER(MID(E86,4,1))="A","AOP","")))))))))</f>
      </c>
      <c r="H86" s="8"/>
      <c r="I86" s="7">
        <f>IF($D86="","",IF(H86="","",IF(F86="Y",SUMPRODUCT(('Rate Lookup'!$A$1:$A$37=H86)*'Rate Lookup'!$D$1:$D$37),IF(OR(G86="Individual",G86="HUF"),SUMPRODUCT(('Rate Lookup'!$A$1:$A$37=H86)*'Rate Lookup'!$B$1:$B$37),SUMPRODUCT(('Rate Lookup'!$A$1:$A$37=H86)*'Rate Lookup'!$C$1:$C$37)))))</f>
      </c>
      <c r="J86" s="8"/>
      <c r="K86" s="8"/>
      <c r="L86" s="7">
        <f>IF($D86="","",ROUND(K86*I86/100,0))</f>
      </c>
      <c r="M86" s="7">
        <f>IF($D86="","",0)</f>
      </c>
      <c r="N86" s="7">
        <f>IF($D86="","",0)</f>
      </c>
      <c r="O86" s="7">
        <f>IF($D86="","",IF(OR(L86=0,J86="",IFERROR(INDEX('Challan Master'!$D$4:$D$207,MATCH($B86,'Challan Master'!$S$4:$S$207,0)),"")="",IFERROR(INDEX('Challan Master'!$D$4:$D$207,MATCH($B86,'Challan Master'!$S$4:$S$207,0)),"")&lt;=0),0,IF(IFERROR(INDEX('Challan Master'!$D$4:$D$207,MATCH($B86,'Challan Master'!$S$4:$S$207,0)),"")&lt;=DATE(YEAR(J86),MONTH(J86)+1,7),0,ROUND(L86*0.015*((YEAR(IFERROR(INDEX('Challan Master'!$D$4:$D$207,MATCH($B86,'Challan Master'!$S$4:$S$207,0)),""))-YEAR(J86))*12+(MONTH(IFERROR(INDEX('Challan Master'!$D$4:$D$207,MATCH($B86,'Challan Master'!$S$4:$S$207,0)),""))-MONTH(J86))+1),0))))</f>
      </c>
      <c r="P86" s="7">
        <f>IF($D86="","",0)</f>
      </c>
      <c r="Q86" s="8"/>
      <c r="R86" s="8"/>
      <c r="S86" s="8"/>
      <c r="T86" s="8"/>
      <c r="U86" s="8"/>
      <c r="V86" s="7">
        <f>IF($B86="","",IFERROR(INDEX('Challan Master'!$AA$4:$AA$207,MATCH($B86,'Challan Master'!$S$4:$S$207,0)),""))</f>
      </c>
    </row>
    <row r="87" spans="1:22" x14ac:dyDescent="0.25">
      <c r="A87" s="7">
        <f>IF($D87="","",COUNTIF($D$4:$D87,"&lt;&gt;"))</f>
      </c>
      <c r="B87" s="8"/>
      <c r="C87" s="7">
        <f>IF($B87="","","BSR "&amp;IFERROR(INDEX('Challan Master'!$B$4:$B$207,MATCH($B87,'Challan Master'!$S$4:$S$207,0)),"")&amp;" | Serial "&amp;IFERROR(INDEX('Challan Master'!$C$4:$C$207,MATCH($B87,'Challan Master'!$S$4:$S$207,0)),"")&amp;" | Deposit "&amp;TEXT(IFERROR(INDEX('Challan Master'!$D$4:$D$207,MATCH($B87,'Challan Master'!$S$4:$S$207,0)),""),"dd-mm-yyyy")&amp;" | Minor Head "&amp;IFERROR(INDEX('Challan Master'!$E$4:$E$207,MATCH($B87,'Challan Master'!$S$4:$S$207,0)),"")&amp;" | Tax ₹"&amp;TEXT(IFERROR(INDEX('Challan Master'!$G$4:$G$207,MATCH($B87,'Challan Master'!$S$4:$S$207,0)),""),"#,##0")&amp;" | Section "&amp;IFERROR(INDEX('Challan Master'!$F$4:$F$207,MATCH($B87,'Challan Master'!$S$4:$S$207,0)),""))</f>
      </c>
      <c r="D87" s="8"/>
      <c r="E87" s="8"/>
      <c r="F87" s="7">
        <f>IF($D87="","",IF(AND(LEN(TRIM(UPPER(E87)))=10,CODE(MID(TRIM(UPPER(E87)),1,1))&gt;=65,CODE(MID(TRIM(UPPER(E87)),1,1))&lt;=90,CODE(MID(TRIM(UPPER(E87)),2,1))&gt;=65,CODE(MID(TRIM(UPPER(E87)),2,1))&lt;=90,CODE(MID(TRIM(UPPER(E87)),3,1))&gt;=65,CODE(MID(TRIM(UPPER(E87)),3,1))&lt;=90,CODE(MID(TRIM(UPPER(E87)),4,1))&gt;=65,CODE(MID(TRIM(UPPER(E87)),4,1))&lt;=90,CODE(MID(TRIM(UPPER(E87)),5,1))&gt;=65,CODE(MID(TRIM(UPPER(E87)),5,1))&lt;=90,CODE(MID(TRIM(UPPER(E87)),10,1))&gt;=65,CODE(MID(TRIM(UPPER(E87)),10,1))&lt;=90,CODE(MID(TRIM(UPPER(E87)),6,1))&gt;=48,CODE(MID(TRIM(UPPER(E87)),6,1))&lt;=57,CODE(MID(TRIM(UPPER(E87)),7,1))&gt;=48,CODE(MID(TRIM(UPPER(E87)),7,1))&lt;=57,CODE(MID(TRIM(UPPER(E87)),8,1))&gt;=48,CODE(MID(TRIM(UPPER(E87)),8,1))&lt;=57,CODE(MID(TRIM(UPPER(E87)),9,1))&gt;=48,CODE(MID(TRIM(UPPER(E87)),9,1))&lt;=57),"N","Y"))</f>
      </c>
      <c r="G87" s="7">
        <f>IF($D87="","",IF(LEN(E87)&lt;4,"",IF(UPPER(MID(E87,4,1))="P","Individual",IF(UPPER(MID(E87,4,1))="H","HUF",IF(UPPER(MID(E87,4,1))="C","Company",IF(UPPER(MID(E87,4,1))="F","Firm",IF(UPPER(MID(E87,4,1))="L","LLP",IF(UPPER(MID(E87,4,1))="T","Trust",IF(UPPER(MID(E87,4,1))="A","AOP","")))))))))</f>
      </c>
      <c r="H87" s="8"/>
      <c r="I87" s="7">
        <f>IF($D87="","",IF(H87="","",IF(F87="Y",SUMPRODUCT(('Rate Lookup'!$A$1:$A$37=H87)*'Rate Lookup'!$D$1:$D$37),IF(OR(G87="Individual",G87="HUF"),SUMPRODUCT(('Rate Lookup'!$A$1:$A$37=H87)*'Rate Lookup'!$B$1:$B$37),SUMPRODUCT(('Rate Lookup'!$A$1:$A$37=H87)*'Rate Lookup'!$C$1:$C$37)))))</f>
      </c>
      <c r="J87" s="8"/>
      <c r="K87" s="8"/>
      <c r="L87" s="7">
        <f>IF($D87="","",ROUND(K87*I87/100,0))</f>
      </c>
      <c r="M87" s="7">
        <f>IF($D87="","",0)</f>
      </c>
      <c r="N87" s="7">
        <f>IF($D87="","",0)</f>
      </c>
      <c r="O87" s="7">
        <f>IF($D87="","",IF(OR(L87=0,J87="",IFERROR(INDEX('Challan Master'!$D$4:$D$207,MATCH($B87,'Challan Master'!$S$4:$S$207,0)),"")="",IFERROR(INDEX('Challan Master'!$D$4:$D$207,MATCH($B87,'Challan Master'!$S$4:$S$207,0)),"")&lt;=0),0,IF(IFERROR(INDEX('Challan Master'!$D$4:$D$207,MATCH($B87,'Challan Master'!$S$4:$S$207,0)),"")&lt;=DATE(YEAR(J87),MONTH(J87)+1,7),0,ROUND(L87*0.015*((YEAR(IFERROR(INDEX('Challan Master'!$D$4:$D$207,MATCH($B87,'Challan Master'!$S$4:$S$207,0)),""))-YEAR(J87))*12+(MONTH(IFERROR(INDEX('Challan Master'!$D$4:$D$207,MATCH($B87,'Challan Master'!$S$4:$S$207,0)),""))-MONTH(J87))+1),0))))</f>
      </c>
      <c r="P87" s="7">
        <f>IF($D87="","",0)</f>
      </c>
      <c r="Q87" s="8"/>
      <c r="R87" s="8"/>
      <c r="S87" s="8"/>
      <c r="T87" s="8"/>
      <c r="U87" s="8"/>
      <c r="V87" s="7">
        <f>IF($B87="","",IFERROR(INDEX('Challan Master'!$AA$4:$AA$207,MATCH($B87,'Challan Master'!$S$4:$S$207,0)),""))</f>
      </c>
    </row>
    <row r="88" spans="1:22" x14ac:dyDescent="0.25">
      <c r="A88" s="7">
        <f>IF($D88="","",COUNTIF($D$4:$D88,"&lt;&gt;"))</f>
      </c>
      <c r="B88" s="8"/>
      <c r="C88" s="7">
        <f>IF($B88="","","BSR "&amp;IFERROR(INDEX('Challan Master'!$B$4:$B$207,MATCH($B88,'Challan Master'!$S$4:$S$207,0)),"")&amp;" | Serial "&amp;IFERROR(INDEX('Challan Master'!$C$4:$C$207,MATCH($B88,'Challan Master'!$S$4:$S$207,0)),"")&amp;" | Deposit "&amp;TEXT(IFERROR(INDEX('Challan Master'!$D$4:$D$207,MATCH($B88,'Challan Master'!$S$4:$S$207,0)),""),"dd-mm-yyyy")&amp;" | Minor Head "&amp;IFERROR(INDEX('Challan Master'!$E$4:$E$207,MATCH($B88,'Challan Master'!$S$4:$S$207,0)),"")&amp;" | Tax ₹"&amp;TEXT(IFERROR(INDEX('Challan Master'!$G$4:$G$207,MATCH($B88,'Challan Master'!$S$4:$S$207,0)),""),"#,##0")&amp;" | Section "&amp;IFERROR(INDEX('Challan Master'!$F$4:$F$207,MATCH($B88,'Challan Master'!$S$4:$S$207,0)),""))</f>
      </c>
      <c r="D88" s="8"/>
      <c r="E88" s="8"/>
      <c r="F88" s="7">
        <f>IF($D88="","",IF(AND(LEN(TRIM(UPPER(E88)))=10,CODE(MID(TRIM(UPPER(E88)),1,1))&gt;=65,CODE(MID(TRIM(UPPER(E88)),1,1))&lt;=90,CODE(MID(TRIM(UPPER(E88)),2,1))&gt;=65,CODE(MID(TRIM(UPPER(E88)),2,1))&lt;=90,CODE(MID(TRIM(UPPER(E88)),3,1))&gt;=65,CODE(MID(TRIM(UPPER(E88)),3,1))&lt;=90,CODE(MID(TRIM(UPPER(E88)),4,1))&gt;=65,CODE(MID(TRIM(UPPER(E88)),4,1))&lt;=90,CODE(MID(TRIM(UPPER(E88)),5,1))&gt;=65,CODE(MID(TRIM(UPPER(E88)),5,1))&lt;=90,CODE(MID(TRIM(UPPER(E88)),10,1))&gt;=65,CODE(MID(TRIM(UPPER(E88)),10,1))&lt;=90,CODE(MID(TRIM(UPPER(E88)),6,1))&gt;=48,CODE(MID(TRIM(UPPER(E88)),6,1))&lt;=57,CODE(MID(TRIM(UPPER(E88)),7,1))&gt;=48,CODE(MID(TRIM(UPPER(E88)),7,1))&lt;=57,CODE(MID(TRIM(UPPER(E88)),8,1))&gt;=48,CODE(MID(TRIM(UPPER(E88)),8,1))&lt;=57,CODE(MID(TRIM(UPPER(E88)),9,1))&gt;=48,CODE(MID(TRIM(UPPER(E88)),9,1))&lt;=57),"N","Y"))</f>
      </c>
      <c r="G88" s="7">
        <f>IF($D88="","",IF(LEN(E88)&lt;4,"",IF(UPPER(MID(E88,4,1))="P","Individual",IF(UPPER(MID(E88,4,1))="H","HUF",IF(UPPER(MID(E88,4,1))="C","Company",IF(UPPER(MID(E88,4,1))="F","Firm",IF(UPPER(MID(E88,4,1))="L","LLP",IF(UPPER(MID(E88,4,1))="T","Trust",IF(UPPER(MID(E88,4,1))="A","AOP","")))))))))</f>
      </c>
      <c r="H88" s="8"/>
      <c r="I88" s="7">
        <f>IF($D88="","",IF(H88="","",IF(F88="Y",SUMPRODUCT(('Rate Lookup'!$A$1:$A$37=H88)*'Rate Lookup'!$D$1:$D$37),IF(OR(G88="Individual",G88="HUF"),SUMPRODUCT(('Rate Lookup'!$A$1:$A$37=H88)*'Rate Lookup'!$B$1:$B$37),SUMPRODUCT(('Rate Lookup'!$A$1:$A$37=H88)*'Rate Lookup'!$C$1:$C$37)))))</f>
      </c>
      <c r="J88" s="8"/>
      <c r="K88" s="8"/>
      <c r="L88" s="7">
        <f>IF($D88="","",ROUND(K88*I88/100,0))</f>
      </c>
      <c r="M88" s="7">
        <f>IF($D88="","",0)</f>
      </c>
      <c r="N88" s="7">
        <f>IF($D88="","",0)</f>
      </c>
      <c r="O88" s="7">
        <f>IF($D88="","",IF(OR(L88=0,J88="",IFERROR(INDEX('Challan Master'!$D$4:$D$207,MATCH($B88,'Challan Master'!$S$4:$S$207,0)),"")="",IFERROR(INDEX('Challan Master'!$D$4:$D$207,MATCH($B88,'Challan Master'!$S$4:$S$207,0)),"")&lt;=0),0,IF(IFERROR(INDEX('Challan Master'!$D$4:$D$207,MATCH($B88,'Challan Master'!$S$4:$S$207,0)),"")&lt;=DATE(YEAR(J88),MONTH(J88)+1,7),0,ROUND(L88*0.015*((YEAR(IFERROR(INDEX('Challan Master'!$D$4:$D$207,MATCH($B88,'Challan Master'!$S$4:$S$207,0)),""))-YEAR(J88))*12+(MONTH(IFERROR(INDEX('Challan Master'!$D$4:$D$207,MATCH($B88,'Challan Master'!$S$4:$S$207,0)),""))-MONTH(J88))+1),0))))</f>
      </c>
      <c r="P88" s="7">
        <f>IF($D88="","",0)</f>
      </c>
      <c r="Q88" s="8"/>
      <c r="R88" s="8"/>
      <c r="S88" s="8"/>
      <c r="T88" s="8"/>
      <c r="U88" s="8"/>
      <c r="V88" s="7">
        <f>IF($B88="","",IFERROR(INDEX('Challan Master'!$AA$4:$AA$207,MATCH($B88,'Challan Master'!$S$4:$S$207,0)),""))</f>
      </c>
    </row>
    <row r="89" spans="1:22" x14ac:dyDescent="0.25">
      <c r="A89" s="7">
        <f>IF($D89="","",COUNTIF($D$4:$D89,"&lt;&gt;"))</f>
      </c>
      <c r="B89" s="8"/>
      <c r="C89" s="7">
        <f>IF($B89="","","BSR "&amp;IFERROR(INDEX('Challan Master'!$B$4:$B$207,MATCH($B89,'Challan Master'!$S$4:$S$207,0)),"")&amp;" | Serial "&amp;IFERROR(INDEX('Challan Master'!$C$4:$C$207,MATCH($B89,'Challan Master'!$S$4:$S$207,0)),"")&amp;" | Deposit "&amp;TEXT(IFERROR(INDEX('Challan Master'!$D$4:$D$207,MATCH($B89,'Challan Master'!$S$4:$S$207,0)),""),"dd-mm-yyyy")&amp;" | Minor Head "&amp;IFERROR(INDEX('Challan Master'!$E$4:$E$207,MATCH($B89,'Challan Master'!$S$4:$S$207,0)),"")&amp;" | Tax ₹"&amp;TEXT(IFERROR(INDEX('Challan Master'!$G$4:$G$207,MATCH($B89,'Challan Master'!$S$4:$S$207,0)),""),"#,##0")&amp;" | Section "&amp;IFERROR(INDEX('Challan Master'!$F$4:$F$207,MATCH($B89,'Challan Master'!$S$4:$S$207,0)),""))</f>
      </c>
      <c r="D89" s="8"/>
      <c r="E89" s="8"/>
      <c r="F89" s="7">
        <f>IF($D89="","",IF(AND(LEN(TRIM(UPPER(E89)))=10,CODE(MID(TRIM(UPPER(E89)),1,1))&gt;=65,CODE(MID(TRIM(UPPER(E89)),1,1))&lt;=90,CODE(MID(TRIM(UPPER(E89)),2,1))&gt;=65,CODE(MID(TRIM(UPPER(E89)),2,1))&lt;=90,CODE(MID(TRIM(UPPER(E89)),3,1))&gt;=65,CODE(MID(TRIM(UPPER(E89)),3,1))&lt;=90,CODE(MID(TRIM(UPPER(E89)),4,1))&gt;=65,CODE(MID(TRIM(UPPER(E89)),4,1))&lt;=90,CODE(MID(TRIM(UPPER(E89)),5,1))&gt;=65,CODE(MID(TRIM(UPPER(E89)),5,1))&lt;=90,CODE(MID(TRIM(UPPER(E89)),10,1))&gt;=65,CODE(MID(TRIM(UPPER(E89)),10,1))&lt;=90,CODE(MID(TRIM(UPPER(E89)),6,1))&gt;=48,CODE(MID(TRIM(UPPER(E89)),6,1))&lt;=57,CODE(MID(TRIM(UPPER(E89)),7,1))&gt;=48,CODE(MID(TRIM(UPPER(E89)),7,1))&lt;=57,CODE(MID(TRIM(UPPER(E89)),8,1))&gt;=48,CODE(MID(TRIM(UPPER(E89)),8,1))&lt;=57,CODE(MID(TRIM(UPPER(E89)),9,1))&gt;=48,CODE(MID(TRIM(UPPER(E89)),9,1))&lt;=57),"N","Y"))</f>
      </c>
      <c r="G89" s="7">
        <f>IF($D89="","",IF(LEN(E89)&lt;4,"",IF(UPPER(MID(E89,4,1))="P","Individual",IF(UPPER(MID(E89,4,1))="H","HUF",IF(UPPER(MID(E89,4,1))="C","Company",IF(UPPER(MID(E89,4,1))="F","Firm",IF(UPPER(MID(E89,4,1))="L","LLP",IF(UPPER(MID(E89,4,1))="T","Trust",IF(UPPER(MID(E89,4,1))="A","AOP","")))))))))</f>
      </c>
      <c r="H89" s="8"/>
      <c r="I89" s="7">
        <f>IF($D89="","",IF(H89="","",IF(F89="Y",SUMPRODUCT(('Rate Lookup'!$A$1:$A$37=H89)*'Rate Lookup'!$D$1:$D$37),IF(OR(G89="Individual",G89="HUF"),SUMPRODUCT(('Rate Lookup'!$A$1:$A$37=H89)*'Rate Lookup'!$B$1:$B$37),SUMPRODUCT(('Rate Lookup'!$A$1:$A$37=H89)*'Rate Lookup'!$C$1:$C$37)))))</f>
      </c>
      <c r="J89" s="8"/>
      <c r="K89" s="8"/>
      <c r="L89" s="7">
        <f>IF($D89="","",ROUND(K89*I89/100,0))</f>
      </c>
      <c r="M89" s="7">
        <f>IF($D89="","",0)</f>
      </c>
      <c r="N89" s="7">
        <f>IF($D89="","",0)</f>
      </c>
      <c r="O89" s="7">
        <f>IF($D89="","",IF(OR(L89=0,J89="",IFERROR(INDEX('Challan Master'!$D$4:$D$207,MATCH($B89,'Challan Master'!$S$4:$S$207,0)),"")="",IFERROR(INDEX('Challan Master'!$D$4:$D$207,MATCH($B89,'Challan Master'!$S$4:$S$207,0)),"")&lt;=0),0,IF(IFERROR(INDEX('Challan Master'!$D$4:$D$207,MATCH($B89,'Challan Master'!$S$4:$S$207,0)),"")&lt;=DATE(YEAR(J89),MONTH(J89)+1,7),0,ROUND(L89*0.015*((YEAR(IFERROR(INDEX('Challan Master'!$D$4:$D$207,MATCH($B89,'Challan Master'!$S$4:$S$207,0)),""))-YEAR(J89))*12+(MONTH(IFERROR(INDEX('Challan Master'!$D$4:$D$207,MATCH($B89,'Challan Master'!$S$4:$S$207,0)),""))-MONTH(J89))+1),0))))</f>
      </c>
      <c r="P89" s="7">
        <f>IF($D89="","",0)</f>
      </c>
      <c r="Q89" s="8"/>
      <c r="R89" s="8"/>
      <c r="S89" s="8"/>
      <c r="T89" s="8"/>
      <c r="U89" s="8"/>
      <c r="V89" s="7">
        <f>IF($B89="","",IFERROR(INDEX('Challan Master'!$AA$4:$AA$207,MATCH($B89,'Challan Master'!$S$4:$S$207,0)),""))</f>
      </c>
    </row>
    <row r="90" spans="1:22" x14ac:dyDescent="0.25">
      <c r="A90" s="7">
        <f>IF($D90="","",COUNTIF($D$4:$D90,"&lt;&gt;"))</f>
      </c>
      <c r="B90" s="8"/>
      <c r="C90" s="7">
        <f>IF($B90="","","BSR "&amp;IFERROR(INDEX('Challan Master'!$B$4:$B$207,MATCH($B90,'Challan Master'!$S$4:$S$207,0)),"")&amp;" | Serial "&amp;IFERROR(INDEX('Challan Master'!$C$4:$C$207,MATCH($B90,'Challan Master'!$S$4:$S$207,0)),"")&amp;" | Deposit "&amp;TEXT(IFERROR(INDEX('Challan Master'!$D$4:$D$207,MATCH($B90,'Challan Master'!$S$4:$S$207,0)),""),"dd-mm-yyyy")&amp;" | Minor Head "&amp;IFERROR(INDEX('Challan Master'!$E$4:$E$207,MATCH($B90,'Challan Master'!$S$4:$S$207,0)),"")&amp;" | Tax ₹"&amp;TEXT(IFERROR(INDEX('Challan Master'!$G$4:$G$207,MATCH($B90,'Challan Master'!$S$4:$S$207,0)),""),"#,##0")&amp;" | Section "&amp;IFERROR(INDEX('Challan Master'!$F$4:$F$207,MATCH($B90,'Challan Master'!$S$4:$S$207,0)),""))</f>
      </c>
      <c r="D90" s="8"/>
      <c r="E90" s="8"/>
      <c r="F90" s="7">
        <f>IF($D90="","",IF(AND(LEN(TRIM(UPPER(E90)))=10,CODE(MID(TRIM(UPPER(E90)),1,1))&gt;=65,CODE(MID(TRIM(UPPER(E90)),1,1))&lt;=90,CODE(MID(TRIM(UPPER(E90)),2,1))&gt;=65,CODE(MID(TRIM(UPPER(E90)),2,1))&lt;=90,CODE(MID(TRIM(UPPER(E90)),3,1))&gt;=65,CODE(MID(TRIM(UPPER(E90)),3,1))&lt;=90,CODE(MID(TRIM(UPPER(E90)),4,1))&gt;=65,CODE(MID(TRIM(UPPER(E90)),4,1))&lt;=90,CODE(MID(TRIM(UPPER(E90)),5,1))&gt;=65,CODE(MID(TRIM(UPPER(E90)),5,1))&lt;=90,CODE(MID(TRIM(UPPER(E90)),10,1))&gt;=65,CODE(MID(TRIM(UPPER(E90)),10,1))&lt;=90,CODE(MID(TRIM(UPPER(E90)),6,1))&gt;=48,CODE(MID(TRIM(UPPER(E90)),6,1))&lt;=57,CODE(MID(TRIM(UPPER(E90)),7,1))&gt;=48,CODE(MID(TRIM(UPPER(E90)),7,1))&lt;=57,CODE(MID(TRIM(UPPER(E90)),8,1))&gt;=48,CODE(MID(TRIM(UPPER(E90)),8,1))&lt;=57,CODE(MID(TRIM(UPPER(E90)),9,1))&gt;=48,CODE(MID(TRIM(UPPER(E90)),9,1))&lt;=57),"N","Y"))</f>
      </c>
      <c r="G90" s="7">
        <f>IF($D90="","",IF(LEN(E90)&lt;4,"",IF(UPPER(MID(E90,4,1))="P","Individual",IF(UPPER(MID(E90,4,1))="H","HUF",IF(UPPER(MID(E90,4,1))="C","Company",IF(UPPER(MID(E90,4,1))="F","Firm",IF(UPPER(MID(E90,4,1))="L","LLP",IF(UPPER(MID(E90,4,1))="T","Trust",IF(UPPER(MID(E90,4,1))="A","AOP","")))))))))</f>
      </c>
      <c r="H90" s="8"/>
      <c r="I90" s="7">
        <f>IF($D90="","",IF(H90="","",IF(F90="Y",SUMPRODUCT(('Rate Lookup'!$A$1:$A$37=H90)*'Rate Lookup'!$D$1:$D$37),IF(OR(G90="Individual",G90="HUF"),SUMPRODUCT(('Rate Lookup'!$A$1:$A$37=H90)*'Rate Lookup'!$B$1:$B$37),SUMPRODUCT(('Rate Lookup'!$A$1:$A$37=H90)*'Rate Lookup'!$C$1:$C$37)))))</f>
      </c>
      <c r="J90" s="8"/>
      <c r="K90" s="8"/>
      <c r="L90" s="7">
        <f>IF($D90="","",ROUND(K90*I90/100,0))</f>
      </c>
      <c r="M90" s="7">
        <f>IF($D90="","",0)</f>
      </c>
      <c r="N90" s="7">
        <f>IF($D90="","",0)</f>
      </c>
      <c r="O90" s="7">
        <f>IF($D90="","",IF(OR(L90=0,J90="",IFERROR(INDEX('Challan Master'!$D$4:$D$207,MATCH($B90,'Challan Master'!$S$4:$S$207,0)),"")="",IFERROR(INDEX('Challan Master'!$D$4:$D$207,MATCH($B90,'Challan Master'!$S$4:$S$207,0)),"")&lt;=0),0,IF(IFERROR(INDEX('Challan Master'!$D$4:$D$207,MATCH($B90,'Challan Master'!$S$4:$S$207,0)),"")&lt;=DATE(YEAR(J90),MONTH(J90)+1,7),0,ROUND(L90*0.015*((YEAR(IFERROR(INDEX('Challan Master'!$D$4:$D$207,MATCH($B90,'Challan Master'!$S$4:$S$207,0)),""))-YEAR(J90))*12+(MONTH(IFERROR(INDEX('Challan Master'!$D$4:$D$207,MATCH($B90,'Challan Master'!$S$4:$S$207,0)),""))-MONTH(J90))+1),0))))</f>
      </c>
      <c r="P90" s="7">
        <f>IF($D90="","",0)</f>
      </c>
      <c r="Q90" s="8"/>
      <c r="R90" s="8"/>
      <c r="S90" s="8"/>
      <c r="T90" s="8"/>
      <c r="U90" s="8"/>
      <c r="V90" s="7">
        <f>IF($B90="","",IFERROR(INDEX('Challan Master'!$AA$4:$AA$207,MATCH($B90,'Challan Master'!$S$4:$S$207,0)),""))</f>
      </c>
    </row>
    <row r="91" spans="1:22" x14ac:dyDescent="0.25">
      <c r="A91" s="7">
        <f>IF($D91="","",COUNTIF($D$4:$D91,"&lt;&gt;"))</f>
      </c>
      <c r="B91" s="8"/>
      <c r="C91" s="7">
        <f>IF($B91="","","BSR "&amp;IFERROR(INDEX('Challan Master'!$B$4:$B$207,MATCH($B91,'Challan Master'!$S$4:$S$207,0)),"")&amp;" | Serial "&amp;IFERROR(INDEX('Challan Master'!$C$4:$C$207,MATCH($B91,'Challan Master'!$S$4:$S$207,0)),"")&amp;" | Deposit "&amp;TEXT(IFERROR(INDEX('Challan Master'!$D$4:$D$207,MATCH($B91,'Challan Master'!$S$4:$S$207,0)),""),"dd-mm-yyyy")&amp;" | Minor Head "&amp;IFERROR(INDEX('Challan Master'!$E$4:$E$207,MATCH($B91,'Challan Master'!$S$4:$S$207,0)),"")&amp;" | Tax ₹"&amp;TEXT(IFERROR(INDEX('Challan Master'!$G$4:$G$207,MATCH($B91,'Challan Master'!$S$4:$S$207,0)),""),"#,##0")&amp;" | Section "&amp;IFERROR(INDEX('Challan Master'!$F$4:$F$207,MATCH($B91,'Challan Master'!$S$4:$S$207,0)),""))</f>
      </c>
      <c r="D91" s="8"/>
      <c r="E91" s="8"/>
      <c r="F91" s="7">
        <f>IF($D91="","",IF(AND(LEN(TRIM(UPPER(E91)))=10,CODE(MID(TRIM(UPPER(E91)),1,1))&gt;=65,CODE(MID(TRIM(UPPER(E91)),1,1))&lt;=90,CODE(MID(TRIM(UPPER(E91)),2,1))&gt;=65,CODE(MID(TRIM(UPPER(E91)),2,1))&lt;=90,CODE(MID(TRIM(UPPER(E91)),3,1))&gt;=65,CODE(MID(TRIM(UPPER(E91)),3,1))&lt;=90,CODE(MID(TRIM(UPPER(E91)),4,1))&gt;=65,CODE(MID(TRIM(UPPER(E91)),4,1))&lt;=90,CODE(MID(TRIM(UPPER(E91)),5,1))&gt;=65,CODE(MID(TRIM(UPPER(E91)),5,1))&lt;=90,CODE(MID(TRIM(UPPER(E91)),10,1))&gt;=65,CODE(MID(TRIM(UPPER(E91)),10,1))&lt;=90,CODE(MID(TRIM(UPPER(E91)),6,1))&gt;=48,CODE(MID(TRIM(UPPER(E91)),6,1))&lt;=57,CODE(MID(TRIM(UPPER(E91)),7,1))&gt;=48,CODE(MID(TRIM(UPPER(E91)),7,1))&lt;=57,CODE(MID(TRIM(UPPER(E91)),8,1))&gt;=48,CODE(MID(TRIM(UPPER(E91)),8,1))&lt;=57,CODE(MID(TRIM(UPPER(E91)),9,1))&gt;=48,CODE(MID(TRIM(UPPER(E91)),9,1))&lt;=57),"N","Y"))</f>
      </c>
      <c r="G91" s="7">
        <f>IF($D91="","",IF(LEN(E91)&lt;4,"",IF(UPPER(MID(E91,4,1))="P","Individual",IF(UPPER(MID(E91,4,1))="H","HUF",IF(UPPER(MID(E91,4,1))="C","Company",IF(UPPER(MID(E91,4,1))="F","Firm",IF(UPPER(MID(E91,4,1))="L","LLP",IF(UPPER(MID(E91,4,1))="T","Trust",IF(UPPER(MID(E91,4,1))="A","AOP","")))))))))</f>
      </c>
      <c r="H91" s="8"/>
      <c r="I91" s="7">
        <f>IF($D91="","",IF(H91="","",IF(F91="Y",SUMPRODUCT(('Rate Lookup'!$A$1:$A$37=H91)*'Rate Lookup'!$D$1:$D$37),IF(OR(G91="Individual",G91="HUF"),SUMPRODUCT(('Rate Lookup'!$A$1:$A$37=H91)*'Rate Lookup'!$B$1:$B$37),SUMPRODUCT(('Rate Lookup'!$A$1:$A$37=H91)*'Rate Lookup'!$C$1:$C$37)))))</f>
      </c>
      <c r="J91" s="8"/>
      <c r="K91" s="8"/>
      <c r="L91" s="7">
        <f>IF($D91="","",ROUND(K91*I91/100,0))</f>
      </c>
      <c r="M91" s="7">
        <f>IF($D91="","",0)</f>
      </c>
      <c r="N91" s="7">
        <f>IF($D91="","",0)</f>
      </c>
      <c r="O91" s="7">
        <f>IF($D91="","",IF(OR(L91=0,J91="",IFERROR(INDEX('Challan Master'!$D$4:$D$207,MATCH($B91,'Challan Master'!$S$4:$S$207,0)),"")="",IFERROR(INDEX('Challan Master'!$D$4:$D$207,MATCH($B91,'Challan Master'!$S$4:$S$207,0)),"")&lt;=0),0,IF(IFERROR(INDEX('Challan Master'!$D$4:$D$207,MATCH($B91,'Challan Master'!$S$4:$S$207,0)),"")&lt;=DATE(YEAR(J91),MONTH(J91)+1,7),0,ROUND(L91*0.015*((YEAR(IFERROR(INDEX('Challan Master'!$D$4:$D$207,MATCH($B91,'Challan Master'!$S$4:$S$207,0)),""))-YEAR(J91))*12+(MONTH(IFERROR(INDEX('Challan Master'!$D$4:$D$207,MATCH($B91,'Challan Master'!$S$4:$S$207,0)),""))-MONTH(J91))+1),0))))</f>
      </c>
      <c r="P91" s="7">
        <f>IF($D91="","",0)</f>
      </c>
      <c r="Q91" s="8"/>
      <c r="R91" s="8"/>
      <c r="S91" s="8"/>
      <c r="T91" s="8"/>
      <c r="U91" s="8"/>
      <c r="V91" s="7">
        <f>IF($B91="","",IFERROR(INDEX('Challan Master'!$AA$4:$AA$207,MATCH($B91,'Challan Master'!$S$4:$S$207,0)),""))</f>
      </c>
    </row>
    <row r="92" spans="1:22" x14ac:dyDescent="0.25">
      <c r="A92" s="7">
        <f>IF($D92="","",COUNTIF($D$4:$D92,"&lt;&gt;"))</f>
      </c>
      <c r="B92" s="8"/>
      <c r="C92" s="7">
        <f>IF($B92="","","BSR "&amp;IFERROR(INDEX('Challan Master'!$B$4:$B$207,MATCH($B92,'Challan Master'!$S$4:$S$207,0)),"")&amp;" | Serial "&amp;IFERROR(INDEX('Challan Master'!$C$4:$C$207,MATCH($B92,'Challan Master'!$S$4:$S$207,0)),"")&amp;" | Deposit "&amp;TEXT(IFERROR(INDEX('Challan Master'!$D$4:$D$207,MATCH($B92,'Challan Master'!$S$4:$S$207,0)),""),"dd-mm-yyyy")&amp;" | Minor Head "&amp;IFERROR(INDEX('Challan Master'!$E$4:$E$207,MATCH($B92,'Challan Master'!$S$4:$S$207,0)),"")&amp;" | Tax ₹"&amp;TEXT(IFERROR(INDEX('Challan Master'!$G$4:$G$207,MATCH($B92,'Challan Master'!$S$4:$S$207,0)),""),"#,##0")&amp;" | Section "&amp;IFERROR(INDEX('Challan Master'!$F$4:$F$207,MATCH($B92,'Challan Master'!$S$4:$S$207,0)),""))</f>
      </c>
      <c r="D92" s="8"/>
      <c r="E92" s="8"/>
      <c r="F92" s="7">
        <f>IF($D92="","",IF(AND(LEN(TRIM(UPPER(E92)))=10,CODE(MID(TRIM(UPPER(E92)),1,1))&gt;=65,CODE(MID(TRIM(UPPER(E92)),1,1))&lt;=90,CODE(MID(TRIM(UPPER(E92)),2,1))&gt;=65,CODE(MID(TRIM(UPPER(E92)),2,1))&lt;=90,CODE(MID(TRIM(UPPER(E92)),3,1))&gt;=65,CODE(MID(TRIM(UPPER(E92)),3,1))&lt;=90,CODE(MID(TRIM(UPPER(E92)),4,1))&gt;=65,CODE(MID(TRIM(UPPER(E92)),4,1))&lt;=90,CODE(MID(TRIM(UPPER(E92)),5,1))&gt;=65,CODE(MID(TRIM(UPPER(E92)),5,1))&lt;=90,CODE(MID(TRIM(UPPER(E92)),10,1))&gt;=65,CODE(MID(TRIM(UPPER(E92)),10,1))&lt;=90,CODE(MID(TRIM(UPPER(E92)),6,1))&gt;=48,CODE(MID(TRIM(UPPER(E92)),6,1))&lt;=57,CODE(MID(TRIM(UPPER(E92)),7,1))&gt;=48,CODE(MID(TRIM(UPPER(E92)),7,1))&lt;=57,CODE(MID(TRIM(UPPER(E92)),8,1))&gt;=48,CODE(MID(TRIM(UPPER(E92)),8,1))&lt;=57,CODE(MID(TRIM(UPPER(E92)),9,1))&gt;=48,CODE(MID(TRIM(UPPER(E92)),9,1))&lt;=57),"N","Y"))</f>
      </c>
      <c r="G92" s="7">
        <f>IF($D92="","",IF(LEN(E92)&lt;4,"",IF(UPPER(MID(E92,4,1))="P","Individual",IF(UPPER(MID(E92,4,1))="H","HUF",IF(UPPER(MID(E92,4,1))="C","Company",IF(UPPER(MID(E92,4,1))="F","Firm",IF(UPPER(MID(E92,4,1))="L","LLP",IF(UPPER(MID(E92,4,1))="T","Trust",IF(UPPER(MID(E92,4,1))="A","AOP","")))))))))</f>
      </c>
      <c r="H92" s="8"/>
      <c r="I92" s="7">
        <f>IF($D92="","",IF(H92="","",IF(F92="Y",SUMPRODUCT(('Rate Lookup'!$A$1:$A$37=H92)*'Rate Lookup'!$D$1:$D$37),IF(OR(G92="Individual",G92="HUF"),SUMPRODUCT(('Rate Lookup'!$A$1:$A$37=H92)*'Rate Lookup'!$B$1:$B$37),SUMPRODUCT(('Rate Lookup'!$A$1:$A$37=H92)*'Rate Lookup'!$C$1:$C$37)))))</f>
      </c>
      <c r="J92" s="8"/>
      <c r="K92" s="8"/>
      <c r="L92" s="7">
        <f>IF($D92="","",ROUND(K92*I92/100,0))</f>
      </c>
      <c r="M92" s="7">
        <f>IF($D92="","",0)</f>
      </c>
      <c r="N92" s="7">
        <f>IF($D92="","",0)</f>
      </c>
      <c r="O92" s="7">
        <f>IF($D92="","",IF(OR(L92=0,J92="",IFERROR(INDEX('Challan Master'!$D$4:$D$207,MATCH($B92,'Challan Master'!$S$4:$S$207,0)),"")="",IFERROR(INDEX('Challan Master'!$D$4:$D$207,MATCH($B92,'Challan Master'!$S$4:$S$207,0)),"")&lt;=0),0,IF(IFERROR(INDEX('Challan Master'!$D$4:$D$207,MATCH($B92,'Challan Master'!$S$4:$S$207,0)),"")&lt;=DATE(YEAR(J92),MONTH(J92)+1,7),0,ROUND(L92*0.015*((YEAR(IFERROR(INDEX('Challan Master'!$D$4:$D$207,MATCH($B92,'Challan Master'!$S$4:$S$207,0)),""))-YEAR(J92))*12+(MONTH(IFERROR(INDEX('Challan Master'!$D$4:$D$207,MATCH($B92,'Challan Master'!$S$4:$S$207,0)),""))-MONTH(J92))+1),0))))</f>
      </c>
      <c r="P92" s="7">
        <f>IF($D92="","",0)</f>
      </c>
      <c r="Q92" s="8"/>
      <c r="R92" s="8"/>
      <c r="S92" s="8"/>
      <c r="T92" s="8"/>
      <c r="U92" s="8"/>
      <c r="V92" s="7">
        <f>IF($B92="","",IFERROR(INDEX('Challan Master'!$AA$4:$AA$207,MATCH($B92,'Challan Master'!$S$4:$S$207,0)),""))</f>
      </c>
    </row>
    <row r="93" spans="1:22" x14ac:dyDescent="0.25">
      <c r="A93" s="7">
        <f>IF($D93="","",COUNTIF($D$4:$D93,"&lt;&gt;"))</f>
      </c>
      <c r="B93" s="8"/>
      <c r="C93" s="7">
        <f>IF($B93="","","BSR "&amp;IFERROR(INDEX('Challan Master'!$B$4:$B$207,MATCH($B93,'Challan Master'!$S$4:$S$207,0)),"")&amp;" | Serial "&amp;IFERROR(INDEX('Challan Master'!$C$4:$C$207,MATCH($B93,'Challan Master'!$S$4:$S$207,0)),"")&amp;" | Deposit "&amp;TEXT(IFERROR(INDEX('Challan Master'!$D$4:$D$207,MATCH($B93,'Challan Master'!$S$4:$S$207,0)),""),"dd-mm-yyyy")&amp;" | Minor Head "&amp;IFERROR(INDEX('Challan Master'!$E$4:$E$207,MATCH($B93,'Challan Master'!$S$4:$S$207,0)),"")&amp;" | Tax ₹"&amp;TEXT(IFERROR(INDEX('Challan Master'!$G$4:$G$207,MATCH($B93,'Challan Master'!$S$4:$S$207,0)),""),"#,##0")&amp;" | Section "&amp;IFERROR(INDEX('Challan Master'!$F$4:$F$207,MATCH($B93,'Challan Master'!$S$4:$S$207,0)),""))</f>
      </c>
      <c r="D93" s="8"/>
      <c r="E93" s="8"/>
      <c r="F93" s="7">
        <f>IF($D93="","",IF(AND(LEN(TRIM(UPPER(E93)))=10,CODE(MID(TRIM(UPPER(E93)),1,1))&gt;=65,CODE(MID(TRIM(UPPER(E93)),1,1))&lt;=90,CODE(MID(TRIM(UPPER(E93)),2,1))&gt;=65,CODE(MID(TRIM(UPPER(E93)),2,1))&lt;=90,CODE(MID(TRIM(UPPER(E93)),3,1))&gt;=65,CODE(MID(TRIM(UPPER(E93)),3,1))&lt;=90,CODE(MID(TRIM(UPPER(E93)),4,1))&gt;=65,CODE(MID(TRIM(UPPER(E93)),4,1))&lt;=90,CODE(MID(TRIM(UPPER(E93)),5,1))&gt;=65,CODE(MID(TRIM(UPPER(E93)),5,1))&lt;=90,CODE(MID(TRIM(UPPER(E93)),10,1))&gt;=65,CODE(MID(TRIM(UPPER(E93)),10,1))&lt;=90,CODE(MID(TRIM(UPPER(E93)),6,1))&gt;=48,CODE(MID(TRIM(UPPER(E93)),6,1))&lt;=57,CODE(MID(TRIM(UPPER(E93)),7,1))&gt;=48,CODE(MID(TRIM(UPPER(E93)),7,1))&lt;=57,CODE(MID(TRIM(UPPER(E93)),8,1))&gt;=48,CODE(MID(TRIM(UPPER(E93)),8,1))&lt;=57,CODE(MID(TRIM(UPPER(E93)),9,1))&gt;=48,CODE(MID(TRIM(UPPER(E93)),9,1))&lt;=57),"N","Y"))</f>
      </c>
      <c r="G93" s="7">
        <f>IF($D93="","",IF(LEN(E93)&lt;4,"",IF(UPPER(MID(E93,4,1))="P","Individual",IF(UPPER(MID(E93,4,1))="H","HUF",IF(UPPER(MID(E93,4,1))="C","Company",IF(UPPER(MID(E93,4,1))="F","Firm",IF(UPPER(MID(E93,4,1))="L","LLP",IF(UPPER(MID(E93,4,1))="T","Trust",IF(UPPER(MID(E93,4,1))="A","AOP","")))))))))</f>
      </c>
      <c r="H93" s="8"/>
      <c r="I93" s="7">
        <f>IF($D93="","",IF(H93="","",IF(F93="Y",SUMPRODUCT(('Rate Lookup'!$A$1:$A$37=H93)*'Rate Lookup'!$D$1:$D$37),IF(OR(G93="Individual",G93="HUF"),SUMPRODUCT(('Rate Lookup'!$A$1:$A$37=H93)*'Rate Lookup'!$B$1:$B$37),SUMPRODUCT(('Rate Lookup'!$A$1:$A$37=H93)*'Rate Lookup'!$C$1:$C$37)))))</f>
      </c>
      <c r="J93" s="8"/>
      <c r="K93" s="8"/>
      <c r="L93" s="7">
        <f>IF($D93="","",ROUND(K93*I93/100,0))</f>
      </c>
      <c r="M93" s="7">
        <f>IF($D93="","",0)</f>
      </c>
      <c r="N93" s="7">
        <f>IF($D93="","",0)</f>
      </c>
      <c r="O93" s="7">
        <f>IF($D93="","",IF(OR(L93=0,J93="",IFERROR(INDEX('Challan Master'!$D$4:$D$207,MATCH($B93,'Challan Master'!$S$4:$S$207,0)),"")="",IFERROR(INDEX('Challan Master'!$D$4:$D$207,MATCH($B93,'Challan Master'!$S$4:$S$207,0)),"")&lt;=0),0,IF(IFERROR(INDEX('Challan Master'!$D$4:$D$207,MATCH($B93,'Challan Master'!$S$4:$S$207,0)),"")&lt;=DATE(YEAR(J93),MONTH(J93)+1,7),0,ROUND(L93*0.015*((YEAR(IFERROR(INDEX('Challan Master'!$D$4:$D$207,MATCH($B93,'Challan Master'!$S$4:$S$207,0)),""))-YEAR(J93))*12+(MONTH(IFERROR(INDEX('Challan Master'!$D$4:$D$207,MATCH($B93,'Challan Master'!$S$4:$S$207,0)),""))-MONTH(J93))+1),0))))</f>
      </c>
      <c r="P93" s="7">
        <f>IF($D93="","",0)</f>
      </c>
      <c r="Q93" s="8"/>
      <c r="R93" s="8"/>
      <c r="S93" s="8"/>
      <c r="T93" s="8"/>
      <c r="U93" s="8"/>
      <c r="V93" s="7">
        <f>IF($B93="","",IFERROR(INDEX('Challan Master'!$AA$4:$AA$207,MATCH($B93,'Challan Master'!$S$4:$S$207,0)),""))</f>
      </c>
    </row>
    <row r="94" spans="1:22" x14ac:dyDescent="0.25">
      <c r="A94" s="7">
        <f>IF($D94="","",COUNTIF($D$4:$D94,"&lt;&gt;"))</f>
      </c>
      <c r="B94" s="8"/>
      <c r="C94" s="7">
        <f>IF($B94="","","BSR "&amp;IFERROR(INDEX('Challan Master'!$B$4:$B$207,MATCH($B94,'Challan Master'!$S$4:$S$207,0)),"")&amp;" | Serial "&amp;IFERROR(INDEX('Challan Master'!$C$4:$C$207,MATCH($B94,'Challan Master'!$S$4:$S$207,0)),"")&amp;" | Deposit "&amp;TEXT(IFERROR(INDEX('Challan Master'!$D$4:$D$207,MATCH($B94,'Challan Master'!$S$4:$S$207,0)),""),"dd-mm-yyyy")&amp;" | Minor Head "&amp;IFERROR(INDEX('Challan Master'!$E$4:$E$207,MATCH($B94,'Challan Master'!$S$4:$S$207,0)),"")&amp;" | Tax ₹"&amp;TEXT(IFERROR(INDEX('Challan Master'!$G$4:$G$207,MATCH($B94,'Challan Master'!$S$4:$S$207,0)),""),"#,##0")&amp;" | Section "&amp;IFERROR(INDEX('Challan Master'!$F$4:$F$207,MATCH($B94,'Challan Master'!$S$4:$S$207,0)),""))</f>
      </c>
      <c r="D94" s="8"/>
      <c r="E94" s="8"/>
      <c r="F94" s="7">
        <f>IF($D94="","",IF(AND(LEN(TRIM(UPPER(E94)))=10,CODE(MID(TRIM(UPPER(E94)),1,1))&gt;=65,CODE(MID(TRIM(UPPER(E94)),1,1))&lt;=90,CODE(MID(TRIM(UPPER(E94)),2,1))&gt;=65,CODE(MID(TRIM(UPPER(E94)),2,1))&lt;=90,CODE(MID(TRIM(UPPER(E94)),3,1))&gt;=65,CODE(MID(TRIM(UPPER(E94)),3,1))&lt;=90,CODE(MID(TRIM(UPPER(E94)),4,1))&gt;=65,CODE(MID(TRIM(UPPER(E94)),4,1))&lt;=90,CODE(MID(TRIM(UPPER(E94)),5,1))&gt;=65,CODE(MID(TRIM(UPPER(E94)),5,1))&lt;=90,CODE(MID(TRIM(UPPER(E94)),10,1))&gt;=65,CODE(MID(TRIM(UPPER(E94)),10,1))&lt;=90,CODE(MID(TRIM(UPPER(E94)),6,1))&gt;=48,CODE(MID(TRIM(UPPER(E94)),6,1))&lt;=57,CODE(MID(TRIM(UPPER(E94)),7,1))&gt;=48,CODE(MID(TRIM(UPPER(E94)),7,1))&lt;=57,CODE(MID(TRIM(UPPER(E94)),8,1))&gt;=48,CODE(MID(TRIM(UPPER(E94)),8,1))&lt;=57,CODE(MID(TRIM(UPPER(E94)),9,1))&gt;=48,CODE(MID(TRIM(UPPER(E94)),9,1))&lt;=57),"N","Y"))</f>
      </c>
      <c r="G94" s="7">
        <f>IF($D94="","",IF(LEN(E94)&lt;4,"",IF(UPPER(MID(E94,4,1))="P","Individual",IF(UPPER(MID(E94,4,1))="H","HUF",IF(UPPER(MID(E94,4,1))="C","Company",IF(UPPER(MID(E94,4,1))="F","Firm",IF(UPPER(MID(E94,4,1))="L","LLP",IF(UPPER(MID(E94,4,1))="T","Trust",IF(UPPER(MID(E94,4,1))="A","AOP","")))))))))</f>
      </c>
      <c r="H94" s="8"/>
      <c r="I94" s="7">
        <f>IF($D94="","",IF(H94="","",IF(F94="Y",SUMPRODUCT(('Rate Lookup'!$A$1:$A$37=H94)*'Rate Lookup'!$D$1:$D$37),IF(OR(G94="Individual",G94="HUF"),SUMPRODUCT(('Rate Lookup'!$A$1:$A$37=H94)*'Rate Lookup'!$B$1:$B$37),SUMPRODUCT(('Rate Lookup'!$A$1:$A$37=H94)*'Rate Lookup'!$C$1:$C$37)))))</f>
      </c>
      <c r="J94" s="8"/>
      <c r="K94" s="8"/>
      <c r="L94" s="7">
        <f>IF($D94="","",ROUND(K94*I94/100,0))</f>
      </c>
      <c r="M94" s="7">
        <f>IF($D94="","",0)</f>
      </c>
      <c r="N94" s="7">
        <f>IF($D94="","",0)</f>
      </c>
      <c r="O94" s="7">
        <f>IF($D94="","",IF(OR(L94=0,J94="",IFERROR(INDEX('Challan Master'!$D$4:$D$207,MATCH($B94,'Challan Master'!$S$4:$S$207,0)),"")="",IFERROR(INDEX('Challan Master'!$D$4:$D$207,MATCH($B94,'Challan Master'!$S$4:$S$207,0)),"")&lt;=0),0,IF(IFERROR(INDEX('Challan Master'!$D$4:$D$207,MATCH($B94,'Challan Master'!$S$4:$S$207,0)),"")&lt;=DATE(YEAR(J94),MONTH(J94)+1,7),0,ROUND(L94*0.015*((YEAR(IFERROR(INDEX('Challan Master'!$D$4:$D$207,MATCH($B94,'Challan Master'!$S$4:$S$207,0)),""))-YEAR(J94))*12+(MONTH(IFERROR(INDEX('Challan Master'!$D$4:$D$207,MATCH($B94,'Challan Master'!$S$4:$S$207,0)),""))-MONTH(J94))+1),0))))</f>
      </c>
      <c r="P94" s="7">
        <f>IF($D94="","",0)</f>
      </c>
      <c r="Q94" s="8"/>
      <c r="R94" s="8"/>
      <c r="S94" s="8"/>
      <c r="T94" s="8"/>
      <c r="U94" s="8"/>
      <c r="V94" s="7">
        <f>IF($B94="","",IFERROR(INDEX('Challan Master'!$AA$4:$AA$207,MATCH($B94,'Challan Master'!$S$4:$S$207,0)),""))</f>
      </c>
    </row>
    <row r="95" spans="1:22" x14ac:dyDescent="0.25">
      <c r="A95" s="7">
        <f>IF($D95="","",COUNTIF($D$4:$D95,"&lt;&gt;"))</f>
      </c>
      <c r="B95" s="8"/>
      <c r="C95" s="7">
        <f>IF($B95="","","BSR "&amp;IFERROR(INDEX('Challan Master'!$B$4:$B$207,MATCH($B95,'Challan Master'!$S$4:$S$207,0)),"")&amp;" | Serial "&amp;IFERROR(INDEX('Challan Master'!$C$4:$C$207,MATCH($B95,'Challan Master'!$S$4:$S$207,0)),"")&amp;" | Deposit "&amp;TEXT(IFERROR(INDEX('Challan Master'!$D$4:$D$207,MATCH($B95,'Challan Master'!$S$4:$S$207,0)),""),"dd-mm-yyyy")&amp;" | Minor Head "&amp;IFERROR(INDEX('Challan Master'!$E$4:$E$207,MATCH($B95,'Challan Master'!$S$4:$S$207,0)),"")&amp;" | Tax ₹"&amp;TEXT(IFERROR(INDEX('Challan Master'!$G$4:$G$207,MATCH($B95,'Challan Master'!$S$4:$S$207,0)),""),"#,##0")&amp;" | Section "&amp;IFERROR(INDEX('Challan Master'!$F$4:$F$207,MATCH($B95,'Challan Master'!$S$4:$S$207,0)),""))</f>
      </c>
      <c r="D95" s="8"/>
      <c r="E95" s="8"/>
      <c r="F95" s="7">
        <f>IF($D95="","",IF(AND(LEN(TRIM(UPPER(E95)))=10,CODE(MID(TRIM(UPPER(E95)),1,1))&gt;=65,CODE(MID(TRIM(UPPER(E95)),1,1))&lt;=90,CODE(MID(TRIM(UPPER(E95)),2,1))&gt;=65,CODE(MID(TRIM(UPPER(E95)),2,1))&lt;=90,CODE(MID(TRIM(UPPER(E95)),3,1))&gt;=65,CODE(MID(TRIM(UPPER(E95)),3,1))&lt;=90,CODE(MID(TRIM(UPPER(E95)),4,1))&gt;=65,CODE(MID(TRIM(UPPER(E95)),4,1))&lt;=90,CODE(MID(TRIM(UPPER(E95)),5,1))&gt;=65,CODE(MID(TRIM(UPPER(E95)),5,1))&lt;=90,CODE(MID(TRIM(UPPER(E95)),10,1))&gt;=65,CODE(MID(TRIM(UPPER(E95)),10,1))&lt;=90,CODE(MID(TRIM(UPPER(E95)),6,1))&gt;=48,CODE(MID(TRIM(UPPER(E95)),6,1))&lt;=57,CODE(MID(TRIM(UPPER(E95)),7,1))&gt;=48,CODE(MID(TRIM(UPPER(E95)),7,1))&lt;=57,CODE(MID(TRIM(UPPER(E95)),8,1))&gt;=48,CODE(MID(TRIM(UPPER(E95)),8,1))&lt;=57,CODE(MID(TRIM(UPPER(E95)),9,1))&gt;=48,CODE(MID(TRIM(UPPER(E95)),9,1))&lt;=57),"N","Y"))</f>
      </c>
      <c r="G95" s="7">
        <f>IF($D95="","",IF(LEN(E95)&lt;4,"",IF(UPPER(MID(E95,4,1))="P","Individual",IF(UPPER(MID(E95,4,1))="H","HUF",IF(UPPER(MID(E95,4,1))="C","Company",IF(UPPER(MID(E95,4,1))="F","Firm",IF(UPPER(MID(E95,4,1))="L","LLP",IF(UPPER(MID(E95,4,1))="T","Trust",IF(UPPER(MID(E95,4,1))="A","AOP","")))))))))</f>
      </c>
      <c r="H95" s="8"/>
      <c r="I95" s="7">
        <f>IF($D95="","",IF(H95="","",IF(F95="Y",SUMPRODUCT(('Rate Lookup'!$A$1:$A$37=H95)*'Rate Lookup'!$D$1:$D$37),IF(OR(G95="Individual",G95="HUF"),SUMPRODUCT(('Rate Lookup'!$A$1:$A$37=H95)*'Rate Lookup'!$B$1:$B$37),SUMPRODUCT(('Rate Lookup'!$A$1:$A$37=H95)*'Rate Lookup'!$C$1:$C$37)))))</f>
      </c>
      <c r="J95" s="8"/>
      <c r="K95" s="8"/>
      <c r="L95" s="7">
        <f>IF($D95="","",ROUND(K95*I95/100,0))</f>
      </c>
      <c r="M95" s="7">
        <f>IF($D95="","",0)</f>
      </c>
      <c r="N95" s="7">
        <f>IF($D95="","",0)</f>
      </c>
      <c r="O95" s="7">
        <f>IF($D95="","",IF(OR(L95=0,J95="",IFERROR(INDEX('Challan Master'!$D$4:$D$207,MATCH($B95,'Challan Master'!$S$4:$S$207,0)),"")="",IFERROR(INDEX('Challan Master'!$D$4:$D$207,MATCH($B95,'Challan Master'!$S$4:$S$207,0)),"")&lt;=0),0,IF(IFERROR(INDEX('Challan Master'!$D$4:$D$207,MATCH($B95,'Challan Master'!$S$4:$S$207,0)),"")&lt;=DATE(YEAR(J95),MONTH(J95)+1,7),0,ROUND(L95*0.015*((YEAR(IFERROR(INDEX('Challan Master'!$D$4:$D$207,MATCH($B95,'Challan Master'!$S$4:$S$207,0)),""))-YEAR(J95))*12+(MONTH(IFERROR(INDEX('Challan Master'!$D$4:$D$207,MATCH($B95,'Challan Master'!$S$4:$S$207,0)),""))-MONTH(J95))+1),0))))</f>
      </c>
      <c r="P95" s="7">
        <f>IF($D95="","",0)</f>
      </c>
      <c r="Q95" s="8"/>
      <c r="R95" s="8"/>
      <c r="S95" s="8"/>
      <c r="T95" s="8"/>
      <c r="U95" s="8"/>
      <c r="V95" s="7">
        <f>IF($B95="","",IFERROR(INDEX('Challan Master'!$AA$4:$AA$207,MATCH($B95,'Challan Master'!$S$4:$S$207,0)),""))</f>
      </c>
    </row>
    <row r="96" spans="1:22" x14ac:dyDescent="0.25">
      <c r="A96" s="7">
        <f>IF($D96="","",COUNTIF($D$4:$D96,"&lt;&gt;"))</f>
      </c>
      <c r="B96" s="8"/>
      <c r="C96" s="7">
        <f>IF($B96="","","BSR "&amp;IFERROR(INDEX('Challan Master'!$B$4:$B$207,MATCH($B96,'Challan Master'!$S$4:$S$207,0)),"")&amp;" | Serial "&amp;IFERROR(INDEX('Challan Master'!$C$4:$C$207,MATCH($B96,'Challan Master'!$S$4:$S$207,0)),"")&amp;" | Deposit "&amp;TEXT(IFERROR(INDEX('Challan Master'!$D$4:$D$207,MATCH($B96,'Challan Master'!$S$4:$S$207,0)),""),"dd-mm-yyyy")&amp;" | Minor Head "&amp;IFERROR(INDEX('Challan Master'!$E$4:$E$207,MATCH($B96,'Challan Master'!$S$4:$S$207,0)),"")&amp;" | Tax ₹"&amp;TEXT(IFERROR(INDEX('Challan Master'!$G$4:$G$207,MATCH($B96,'Challan Master'!$S$4:$S$207,0)),""),"#,##0")&amp;" | Section "&amp;IFERROR(INDEX('Challan Master'!$F$4:$F$207,MATCH($B96,'Challan Master'!$S$4:$S$207,0)),""))</f>
      </c>
      <c r="D96" s="8"/>
      <c r="E96" s="8"/>
      <c r="F96" s="7">
        <f>IF($D96="","",IF(AND(LEN(TRIM(UPPER(E96)))=10,CODE(MID(TRIM(UPPER(E96)),1,1))&gt;=65,CODE(MID(TRIM(UPPER(E96)),1,1))&lt;=90,CODE(MID(TRIM(UPPER(E96)),2,1))&gt;=65,CODE(MID(TRIM(UPPER(E96)),2,1))&lt;=90,CODE(MID(TRIM(UPPER(E96)),3,1))&gt;=65,CODE(MID(TRIM(UPPER(E96)),3,1))&lt;=90,CODE(MID(TRIM(UPPER(E96)),4,1))&gt;=65,CODE(MID(TRIM(UPPER(E96)),4,1))&lt;=90,CODE(MID(TRIM(UPPER(E96)),5,1))&gt;=65,CODE(MID(TRIM(UPPER(E96)),5,1))&lt;=90,CODE(MID(TRIM(UPPER(E96)),10,1))&gt;=65,CODE(MID(TRIM(UPPER(E96)),10,1))&lt;=90,CODE(MID(TRIM(UPPER(E96)),6,1))&gt;=48,CODE(MID(TRIM(UPPER(E96)),6,1))&lt;=57,CODE(MID(TRIM(UPPER(E96)),7,1))&gt;=48,CODE(MID(TRIM(UPPER(E96)),7,1))&lt;=57,CODE(MID(TRIM(UPPER(E96)),8,1))&gt;=48,CODE(MID(TRIM(UPPER(E96)),8,1))&lt;=57,CODE(MID(TRIM(UPPER(E96)),9,1))&gt;=48,CODE(MID(TRIM(UPPER(E96)),9,1))&lt;=57),"N","Y"))</f>
      </c>
      <c r="G96" s="7">
        <f>IF($D96="","",IF(LEN(E96)&lt;4,"",IF(UPPER(MID(E96,4,1))="P","Individual",IF(UPPER(MID(E96,4,1))="H","HUF",IF(UPPER(MID(E96,4,1))="C","Company",IF(UPPER(MID(E96,4,1))="F","Firm",IF(UPPER(MID(E96,4,1))="L","LLP",IF(UPPER(MID(E96,4,1))="T","Trust",IF(UPPER(MID(E96,4,1))="A","AOP","")))))))))</f>
      </c>
      <c r="H96" s="8"/>
      <c r="I96" s="7">
        <f>IF($D96="","",IF(H96="","",IF(F96="Y",SUMPRODUCT(('Rate Lookup'!$A$1:$A$37=H96)*'Rate Lookup'!$D$1:$D$37),IF(OR(G96="Individual",G96="HUF"),SUMPRODUCT(('Rate Lookup'!$A$1:$A$37=H96)*'Rate Lookup'!$B$1:$B$37),SUMPRODUCT(('Rate Lookup'!$A$1:$A$37=H96)*'Rate Lookup'!$C$1:$C$37)))))</f>
      </c>
      <c r="J96" s="8"/>
      <c r="K96" s="8"/>
      <c r="L96" s="7">
        <f>IF($D96="","",ROUND(K96*I96/100,0))</f>
      </c>
      <c r="M96" s="7">
        <f>IF($D96="","",0)</f>
      </c>
      <c r="N96" s="7">
        <f>IF($D96="","",0)</f>
      </c>
      <c r="O96" s="7">
        <f>IF($D96="","",IF(OR(L96=0,J96="",IFERROR(INDEX('Challan Master'!$D$4:$D$207,MATCH($B96,'Challan Master'!$S$4:$S$207,0)),"")="",IFERROR(INDEX('Challan Master'!$D$4:$D$207,MATCH($B96,'Challan Master'!$S$4:$S$207,0)),"")&lt;=0),0,IF(IFERROR(INDEX('Challan Master'!$D$4:$D$207,MATCH($B96,'Challan Master'!$S$4:$S$207,0)),"")&lt;=DATE(YEAR(J96),MONTH(J96)+1,7),0,ROUND(L96*0.015*((YEAR(IFERROR(INDEX('Challan Master'!$D$4:$D$207,MATCH($B96,'Challan Master'!$S$4:$S$207,0)),""))-YEAR(J96))*12+(MONTH(IFERROR(INDEX('Challan Master'!$D$4:$D$207,MATCH($B96,'Challan Master'!$S$4:$S$207,0)),""))-MONTH(J96))+1),0))))</f>
      </c>
      <c r="P96" s="7">
        <f>IF($D96="","",0)</f>
      </c>
      <c r="Q96" s="8"/>
      <c r="R96" s="8"/>
      <c r="S96" s="8"/>
      <c r="T96" s="8"/>
      <c r="U96" s="8"/>
      <c r="V96" s="7">
        <f>IF($B96="","",IFERROR(INDEX('Challan Master'!$AA$4:$AA$207,MATCH($B96,'Challan Master'!$S$4:$S$207,0)),""))</f>
      </c>
    </row>
    <row r="97" spans="1:22" x14ac:dyDescent="0.25">
      <c r="A97" s="7">
        <f>IF($D97="","",COUNTIF($D$4:$D97,"&lt;&gt;"))</f>
      </c>
      <c r="B97" s="8"/>
      <c r="C97" s="7">
        <f>IF($B97="","","BSR "&amp;IFERROR(INDEX('Challan Master'!$B$4:$B$207,MATCH($B97,'Challan Master'!$S$4:$S$207,0)),"")&amp;" | Serial "&amp;IFERROR(INDEX('Challan Master'!$C$4:$C$207,MATCH($B97,'Challan Master'!$S$4:$S$207,0)),"")&amp;" | Deposit "&amp;TEXT(IFERROR(INDEX('Challan Master'!$D$4:$D$207,MATCH($B97,'Challan Master'!$S$4:$S$207,0)),""),"dd-mm-yyyy")&amp;" | Minor Head "&amp;IFERROR(INDEX('Challan Master'!$E$4:$E$207,MATCH($B97,'Challan Master'!$S$4:$S$207,0)),"")&amp;" | Tax ₹"&amp;TEXT(IFERROR(INDEX('Challan Master'!$G$4:$G$207,MATCH($B97,'Challan Master'!$S$4:$S$207,0)),""),"#,##0")&amp;" | Section "&amp;IFERROR(INDEX('Challan Master'!$F$4:$F$207,MATCH($B97,'Challan Master'!$S$4:$S$207,0)),""))</f>
      </c>
      <c r="D97" s="8"/>
      <c r="E97" s="8"/>
      <c r="F97" s="7">
        <f>IF($D97="","",IF(AND(LEN(TRIM(UPPER(E97)))=10,CODE(MID(TRIM(UPPER(E97)),1,1))&gt;=65,CODE(MID(TRIM(UPPER(E97)),1,1))&lt;=90,CODE(MID(TRIM(UPPER(E97)),2,1))&gt;=65,CODE(MID(TRIM(UPPER(E97)),2,1))&lt;=90,CODE(MID(TRIM(UPPER(E97)),3,1))&gt;=65,CODE(MID(TRIM(UPPER(E97)),3,1))&lt;=90,CODE(MID(TRIM(UPPER(E97)),4,1))&gt;=65,CODE(MID(TRIM(UPPER(E97)),4,1))&lt;=90,CODE(MID(TRIM(UPPER(E97)),5,1))&gt;=65,CODE(MID(TRIM(UPPER(E97)),5,1))&lt;=90,CODE(MID(TRIM(UPPER(E97)),10,1))&gt;=65,CODE(MID(TRIM(UPPER(E97)),10,1))&lt;=90,CODE(MID(TRIM(UPPER(E97)),6,1))&gt;=48,CODE(MID(TRIM(UPPER(E97)),6,1))&lt;=57,CODE(MID(TRIM(UPPER(E97)),7,1))&gt;=48,CODE(MID(TRIM(UPPER(E97)),7,1))&lt;=57,CODE(MID(TRIM(UPPER(E97)),8,1))&gt;=48,CODE(MID(TRIM(UPPER(E97)),8,1))&lt;=57,CODE(MID(TRIM(UPPER(E97)),9,1))&gt;=48,CODE(MID(TRIM(UPPER(E97)),9,1))&lt;=57),"N","Y"))</f>
      </c>
      <c r="G97" s="7">
        <f>IF($D97="","",IF(LEN(E97)&lt;4,"",IF(UPPER(MID(E97,4,1))="P","Individual",IF(UPPER(MID(E97,4,1))="H","HUF",IF(UPPER(MID(E97,4,1))="C","Company",IF(UPPER(MID(E97,4,1))="F","Firm",IF(UPPER(MID(E97,4,1))="L","LLP",IF(UPPER(MID(E97,4,1))="T","Trust",IF(UPPER(MID(E97,4,1))="A","AOP","")))))))))</f>
      </c>
      <c r="H97" s="8"/>
      <c r="I97" s="7">
        <f>IF($D97="","",IF(H97="","",IF(F97="Y",SUMPRODUCT(('Rate Lookup'!$A$1:$A$37=H97)*'Rate Lookup'!$D$1:$D$37),IF(OR(G97="Individual",G97="HUF"),SUMPRODUCT(('Rate Lookup'!$A$1:$A$37=H97)*'Rate Lookup'!$B$1:$B$37),SUMPRODUCT(('Rate Lookup'!$A$1:$A$37=H97)*'Rate Lookup'!$C$1:$C$37)))))</f>
      </c>
      <c r="J97" s="8"/>
      <c r="K97" s="8"/>
      <c r="L97" s="7">
        <f>IF($D97="","",ROUND(K97*I97/100,0))</f>
      </c>
      <c r="M97" s="7">
        <f>IF($D97="","",0)</f>
      </c>
      <c r="N97" s="7">
        <f>IF($D97="","",0)</f>
      </c>
      <c r="O97" s="7">
        <f>IF($D97="","",IF(OR(L97=0,J97="",IFERROR(INDEX('Challan Master'!$D$4:$D$207,MATCH($B97,'Challan Master'!$S$4:$S$207,0)),"")="",IFERROR(INDEX('Challan Master'!$D$4:$D$207,MATCH($B97,'Challan Master'!$S$4:$S$207,0)),"")&lt;=0),0,IF(IFERROR(INDEX('Challan Master'!$D$4:$D$207,MATCH($B97,'Challan Master'!$S$4:$S$207,0)),"")&lt;=DATE(YEAR(J97),MONTH(J97)+1,7),0,ROUND(L97*0.015*((YEAR(IFERROR(INDEX('Challan Master'!$D$4:$D$207,MATCH($B97,'Challan Master'!$S$4:$S$207,0)),""))-YEAR(J97))*12+(MONTH(IFERROR(INDEX('Challan Master'!$D$4:$D$207,MATCH($B97,'Challan Master'!$S$4:$S$207,0)),""))-MONTH(J97))+1),0))))</f>
      </c>
      <c r="P97" s="7">
        <f>IF($D97="","",0)</f>
      </c>
      <c r="Q97" s="8"/>
      <c r="R97" s="8"/>
      <c r="S97" s="8"/>
      <c r="T97" s="8"/>
      <c r="U97" s="8"/>
      <c r="V97" s="7">
        <f>IF($B97="","",IFERROR(INDEX('Challan Master'!$AA$4:$AA$207,MATCH($B97,'Challan Master'!$S$4:$S$207,0)),""))</f>
      </c>
    </row>
    <row r="98" spans="1:22" x14ac:dyDescent="0.25">
      <c r="A98" s="7">
        <f>IF($D98="","",COUNTIF($D$4:$D98,"&lt;&gt;"))</f>
      </c>
      <c r="B98" s="8"/>
      <c r="C98" s="7">
        <f>IF($B98="","","BSR "&amp;IFERROR(INDEX('Challan Master'!$B$4:$B$207,MATCH($B98,'Challan Master'!$S$4:$S$207,0)),"")&amp;" | Serial "&amp;IFERROR(INDEX('Challan Master'!$C$4:$C$207,MATCH($B98,'Challan Master'!$S$4:$S$207,0)),"")&amp;" | Deposit "&amp;TEXT(IFERROR(INDEX('Challan Master'!$D$4:$D$207,MATCH($B98,'Challan Master'!$S$4:$S$207,0)),""),"dd-mm-yyyy")&amp;" | Minor Head "&amp;IFERROR(INDEX('Challan Master'!$E$4:$E$207,MATCH($B98,'Challan Master'!$S$4:$S$207,0)),"")&amp;" | Tax ₹"&amp;TEXT(IFERROR(INDEX('Challan Master'!$G$4:$G$207,MATCH($B98,'Challan Master'!$S$4:$S$207,0)),""),"#,##0")&amp;" | Section "&amp;IFERROR(INDEX('Challan Master'!$F$4:$F$207,MATCH($B98,'Challan Master'!$S$4:$S$207,0)),""))</f>
      </c>
      <c r="D98" s="8"/>
      <c r="E98" s="8"/>
      <c r="F98" s="7">
        <f>IF($D98="","",IF(AND(LEN(TRIM(UPPER(E98)))=10,CODE(MID(TRIM(UPPER(E98)),1,1))&gt;=65,CODE(MID(TRIM(UPPER(E98)),1,1))&lt;=90,CODE(MID(TRIM(UPPER(E98)),2,1))&gt;=65,CODE(MID(TRIM(UPPER(E98)),2,1))&lt;=90,CODE(MID(TRIM(UPPER(E98)),3,1))&gt;=65,CODE(MID(TRIM(UPPER(E98)),3,1))&lt;=90,CODE(MID(TRIM(UPPER(E98)),4,1))&gt;=65,CODE(MID(TRIM(UPPER(E98)),4,1))&lt;=90,CODE(MID(TRIM(UPPER(E98)),5,1))&gt;=65,CODE(MID(TRIM(UPPER(E98)),5,1))&lt;=90,CODE(MID(TRIM(UPPER(E98)),10,1))&gt;=65,CODE(MID(TRIM(UPPER(E98)),10,1))&lt;=90,CODE(MID(TRIM(UPPER(E98)),6,1))&gt;=48,CODE(MID(TRIM(UPPER(E98)),6,1))&lt;=57,CODE(MID(TRIM(UPPER(E98)),7,1))&gt;=48,CODE(MID(TRIM(UPPER(E98)),7,1))&lt;=57,CODE(MID(TRIM(UPPER(E98)),8,1))&gt;=48,CODE(MID(TRIM(UPPER(E98)),8,1))&lt;=57,CODE(MID(TRIM(UPPER(E98)),9,1))&gt;=48,CODE(MID(TRIM(UPPER(E98)),9,1))&lt;=57),"N","Y"))</f>
      </c>
      <c r="G98" s="7">
        <f>IF($D98="","",IF(LEN(E98)&lt;4,"",IF(UPPER(MID(E98,4,1))="P","Individual",IF(UPPER(MID(E98,4,1))="H","HUF",IF(UPPER(MID(E98,4,1))="C","Company",IF(UPPER(MID(E98,4,1))="F","Firm",IF(UPPER(MID(E98,4,1))="L","LLP",IF(UPPER(MID(E98,4,1))="T","Trust",IF(UPPER(MID(E98,4,1))="A","AOP","")))))))))</f>
      </c>
      <c r="H98" s="8"/>
      <c r="I98" s="7">
        <f>IF($D98="","",IF(H98="","",IF(F98="Y",SUMPRODUCT(('Rate Lookup'!$A$1:$A$37=H98)*'Rate Lookup'!$D$1:$D$37),IF(OR(G98="Individual",G98="HUF"),SUMPRODUCT(('Rate Lookup'!$A$1:$A$37=H98)*'Rate Lookup'!$B$1:$B$37),SUMPRODUCT(('Rate Lookup'!$A$1:$A$37=H98)*'Rate Lookup'!$C$1:$C$37)))))</f>
      </c>
      <c r="J98" s="8"/>
      <c r="K98" s="8"/>
      <c r="L98" s="7">
        <f>IF($D98="","",ROUND(K98*I98/100,0))</f>
      </c>
      <c r="M98" s="7">
        <f>IF($D98="","",0)</f>
      </c>
      <c r="N98" s="7">
        <f>IF($D98="","",0)</f>
      </c>
      <c r="O98" s="7">
        <f>IF($D98="","",IF(OR(L98=0,J98="",IFERROR(INDEX('Challan Master'!$D$4:$D$207,MATCH($B98,'Challan Master'!$S$4:$S$207,0)),"")="",IFERROR(INDEX('Challan Master'!$D$4:$D$207,MATCH($B98,'Challan Master'!$S$4:$S$207,0)),"")&lt;=0),0,IF(IFERROR(INDEX('Challan Master'!$D$4:$D$207,MATCH($B98,'Challan Master'!$S$4:$S$207,0)),"")&lt;=DATE(YEAR(J98),MONTH(J98)+1,7),0,ROUND(L98*0.015*((YEAR(IFERROR(INDEX('Challan Master'!$D$4:$D$207,MATCH($B98,'Challan Master'!$S$4:$S$207,0)),""))-YEAR(J98))*12+(MONTH(IFERROR(INDEX('Challan Master'!$D$4:$D$207,MATCH($B98,'Challan Master'!$S$4:$S$207,0)),""))-MONTH(J98))+1),0))))</f>
      </c>
      <c r="P98" s="7">
        <f>IF($D98="","",0)</f>
      </c>
      <c r="Q98" s="8"/>
      <c r="R98" s="8"/>
      <c r="S98" s="8"/>
      <c r="T98" s="8"/>
      <c r="U98" s="8"/>
      <c r="V98" s="7">
        <f>IF($B98="","",IFERROR(INDEX('Challan Master'!$AA$4:$AA$207,MATCH($B98,'Challan Master'!$S$4:$S$207,0)),""))</f>
      </c>
    </row>
    <row r="99" spans="1:22" x14ac:dyDescent="0.25">
      <c r="A99" s="7">
        <f>IF($D99="","",COUNTIF($D$4:$D99,"&lt;&gt;"))</f>
      </c>
      <c r="B99" s="8"/>
      <c r="C99" s="7">
        <f>IF($B99="","","BSR "&amp;IFERROR(INDEX('Challan Master'!$B$4:$B$207,MATCH($B99,'Challan Master'!$S$4:$S$207,0)),"")&amp;" | Serial "&amp;IFERROR(INDEX('Challan Master'!$C$4:$C$207,MATCH($B99,'Challan Master'!$S$4:$S$207,0)),"")&amp;" | Deposit "&amp;TEXT(IFERROR(INDEX('Challan Master'!$D$4:$D$207,MATCH($B99,'Challan Master'!$S$4:$S$207,0)),""),"dd-mm-yyyy")&amp;" | Minor Head "&amp;IFERROR(INDEX('Challan Master'!$E$4:$E$207,MATCH($B99,'Challan Master'!$S$4:$S$207,0)),"")&amp;" | Tax ₹"&amp;TEXT(IFERROR(INDEX('Challan Master'!$G$4:$G$207,MATCH($B99,'Challan Master'!$S$4:$S$207,0)),""),"#,##0")&amp;" | Section "&amp;IFERROR(INDEX('Challan Master'!$F$4:$F$207,MATCH($B99,'Challan Master'!$S$4:$S$207,0)),""))</f>
      </c>
      <c r="D99" s="8"/>
      <c r="E99" s="8"/>
      <c r="F99" s="7">
        <f>IF($D99="","",IF(AND(LEN(TRIM(UPPER(E99)))=10,CODE(MID(TRIM(UPPER(E99)),1,1))&gt;=65,CODE(MID(TRIM(UPPER(E99)),1,1))&lt;=90,CODE(MID(TRIM(UPPER(E99)),2,1))&gt;=65,CODE(MID(TRIM(UPPER(E99)),2,1))&lt;=90,CODE(MID(TRIM(UPPER(E99)),3,1))&gt;=65,CODE(MID(TRIM(UPPER(E99)),3,1))&lt;=90,CODE(MID(TRIM(UPPER(E99)),4,1))&gt;=65,CODE(MID(TRIM(UPPER(E99)),4,1))&lt;=90,CODE(MID(TRIM(UPPER(E99)),5,1))&gt;=65,CODE(MID(TRIM(UPPER(E99)),5,1))&lt;=90,CODE(MID(TRIM(UPPER(E99)),10,1))&gt;=65,CODE(MID(TRIM(UPPER(E99)),10,1))&lt;=90,CODE(MID(TRIM(UPPER(E99)),6,1))&gt;=48,CODE(MID(TRIM(UPPER(E99)),6,1))&lt;=57,CODE(MID(TRIM(UPPER(E99)),7,1))&gt;=48,CODE(MID(TRIM(UPPER(E99)),7,1))&lt;=57,CODE(MID(TRIM(UPPER(E99)),8,1))&gt;=48,CODE(MID(TRIM(UPPER(E99)),8,1))&lt;=57,CODE(MID(TRIM(UPPER(E99)),9,1))&gt;=48,CODE(MID(TRIM(UPPER(E99)),9,1))&lt;=57),"N","Y"))</f>
      </c>
      <c r="G99" s="7">
        <f>IF($D99="","",IF(LEN(E99)&lt;4,"",IF(UPPER(MID(E99,4,1))="P","Individual",IF(UPPER(MID(E99,4,1))="H","HUF",IF(UPPER(MID(E99,4,1))="C","Company",IF(UPPER(MID(E99,4,1))="F","Firm",IF(UPPER(MID(E99,4,1))="L","LLP",IF(UPPER(MID(E99,4,1))="T","Trust",IF(UPPER(MID(E99,4,1))="A","AOP","")))))))))</f>
      </c>
      <c r="H99" s="8"/>
      <c r="I99" s="7">
        <f>IF($D99="","",IF(H99="","",IF(F99="Y",SUMPRODUCT(('Rate Lookup'!$A$1:$A$37=H99)*'Rate Lookup'!$D$1:$D$37),IF(OR(G99="Individual",G99="HUF"),SUMPRODUCT(('Rate Lookup'!$A$1:$A$37=H99)*'Rate Lookup'!$B$1:$B$37),SUMPRODUCT(('Rate Lookup'!$A$1:$A$37=H99)*'Rate Lookup'!$C$1:$C$37)))))</f>
      </c>
      <c r="J99" s="8"/>
      <c r="K99" s="8"/>
      <c r="L99" s="7">
        <f>IF($D99="","",ROUND(K99*I99/100,0))</f>
      </c>
      <c r="M99" s="7">
        <f>IF($D99="","",0)</f>
      </c>
      <c r="N99" s="7">
        <f>IF($D99="","",0)</f>
      </c>
      <c r="O99" s="7">
        <f>IF($D99="","",IF(OR(L99=0,J99="",IFERROR(INDEX('Challan Master'!$D$4:$D$207,MATCH($B99,'Challan Master'!$S$4:$S$207,0)),"")="",IFERROR(INDEX('Challan Master'!$D$4:$D$207,MATCH($B99,'Challan Master'!$S$4:$S$207,0)),"")&lt;=0),0,IF(IFERROR(INDEX('Challan Master'!$D$4:$D$207,MATCH($B99,'Challan Master'!$S$4:$S$207,0)),"")&lt;=DATE(YEAR(J99),MONTH(J99)+1,7),0,ROUND(L99*0.015*((YEAR(IFERROR(INDEX('Challan Master'!$D$4:$D$207,MATCH($B99,'Challan Master'!$S$4:$S$207,0)),""))-YEAR(J99))*12+(MONTH(IFERROR(INDEX('Challan Master'!$D$4:$D$207,MATCH($B99,'Challan Master'!$S$4:$S$207,0)),""))-MONTH(J99))+1),0))))</f>
      </c>
      <c r="P99" s="7">
        <f>IF($D99="","",0)</f>
      </c>
      <c r="Q99" s="8"/>
      <c r="R99" s="8"/>
      <c r="S99" s="8"/>
      <c r="T99" s="8"/>
      <c r="U99" s="8"/>
      <c r="V99" s="7">
        <f>IF($B99="","",IFERROR(INDEX('Challan Master'!$AA$4:$AA$207,MATCH($B99,'Challan Master'!$S$4:$S$207,0)),""))</f>
      </c>
    </row>
    <row r="100" spans="1:22" x14ac:dyDescent="0.25">
      <c r="A100" s="7">
        <f>IF($D100="","",COUNTIF($D$4:$D100,"&lt;&gt;"))</f>
      </c>
      <c r="B100" s="8"/>
      <c r="C100" s="7">
        <f>IF($B100="","","BSR "&amp;IFERROR(INDEX('Challan Master'!$B$4:$B$207,MATCH($B100,'Challan Master'!$S$4:$S$207,0)),"")&amp;" | Serial "&amp;IFERROR(INDEX('Challan Master'!$C$4:$C$207,MATCH($B100,'Challan Master'!$S$4:$S$207,0)),"")&amp;" | Deposit "&amp;TEXT(IFERROR(INDEX('Challan Master'!$D$4:$D$207,MATCH($B100,'Challan Master'!$S$4:$S$207,0)),""),"dd-mm-yyyy")&amp;" | Minor Head "&amp;IFERROR(INDEX('Challan Master'!$E$4:$E$207,MATCH($B100,'Challan Master'!$S$4:$S$207,0)),"")&amp;" | Tax ₹"&amp;TEXT(IFERROR(INDEX('Challan Master'!$G$4:$G$207,MATCH($B100,'Challan Master'!$S$4:$S$207,0)),""),"#,##0")&amp;" | Section "&amp;IFERROR(INDEX('Challan Master'!$F$4:$F$207,MATCH($B100,'Challan Master'!$S$4:$S$207,0)),""))</f>
      </c>
      <c r="D100" s="8"/>
      <c r="E100" s="8"/>
      <c r="F100" s="7">
        <f>IF($D100="","",IF(AND(LEN(TRIM(UPPER(E100)))=10,CODE(MID(TRIM(UPPER(E100)),1,1))&gt;=65,CODE(MID(TRIM(UPPER(E100)),1,1))&lt;=90,CODE(MID(TRIM(UPPER(E100)),2,1))&gt;=65,CODE(MID(TRIM(UPPER(E100)),2,1))&lt;=90,CODE(MID(TRIM(UPPER(E100)),3,1))&gt;=65,CODE(MID(TRIM(UPPER(E100)),3,1))&lt;=90,CODE(MID(TRIM(UPPER(E100)),4,1))&gt;=65,CODE(MID(TRIM(UPPER(E100)),4,1))&lt;=90,CODE(MID(TRIM(UPPER(E100)),5,1))&gt;=65,CODE(MID(TRIM(UPPER(E100)),5,1))&lt;=90,CODE(MID(TRIM(UPPER(E100)),10,1))&gt;=65,CODE(MID(TRIM(UPPER(E100)),10,1))&lt;=90,CODE(MID(TRIM(UPPER(E100)),6,1))&gt;=48,CODE(MID(TRIM(UPPER(E100)),6,1))&lt;=57,CODE(MID(TRIM(UPPER(E100)),7,1))&gt;=48,CODE(MID(TRIM(UPPER(E100)),7,1))&lt;=57,CODE(MID(TRIM(UPPER(E100)),8,1))&gt;=48,CODE(MID(TRIM(UPPER(E100)),8,1))&lt;=57,CODE(MID(TRIM(UPPER(E100)),9,1))&gt;=48,CODE(MID(TRIM(UPPER(E100)),9,1))&lt;=57),"N","Y"))</f>
      </c>
      <c r="G100" s="7">
        <f>IF($D100="","",IF(LEN(E100)&lt;4,"",IF(UPPER(MID(E100,4,1))="P","Individual",IF(UPPER(MID(E100,4,1))="H","HUF",IF(UPPER(MID(E100,4,1))="C","Company",IF(UPPER(MID(E100,4,1))="F","Firm",IF(UPPER(MID(E100,4,1))="L","LLP",IF(UPPER(MID(E100,4,1))="T","Trust",IF(UPPER(MID(E100,4,1))="A","AOP","")))))))))</f>
      </c>
      <c r="H100" s="8"/>
      <c r="I100" s="7">
        <f>IF($D100="","",IF(H100="","",IF(F100="Y",SUMPRODUCT(('Rate Lookup'!$A$1:$A$37=H100)*'Rate Lookup'!$D$1:$D$37),IF(OR(G100="Individual",G100="HUF"),SUMPRODUCT(('Rate Lookup'!$A$1:$A$37=H100)*'Rate Lookup'!$B$1:$B$37),SUMPRODUCT(('Rate Lookup'!$A$1:$A$37=H100)*'Rate Lookup'!$C$1:$C$37)))))</f>
      </c>
      <c r="J100" s="8"/>
      <c r="K100" s="8"/>
      <c r="L100" s="7">
        <f>IF($D100="","",ROUND(K100*I100/100,0))</f>
      </c>
      <c r="M100" s="7">
        <f>IF($D100="","",0)</f>
      </c>
      <c r="N100" s="7">
        <f>IF($D100="","",0)</f>
      </c>
      <c r="O100" s="7">
        <f>IF($D100="","",IF(OR(L100=0,J100="",IFERROR(INDEX('Challan Master'!$D$4:$D$207,MATCH($B100,'Challan Master'!$S$4:$S$207,0)),"")="",IFERROR(INDEX('Challan Master'!$D$4:$D$207,MATCH($B100,'Challan Master'!$S$4:$S$207,0)),"")&lt;=0),0,IF(IFERROR(INDEX('Challan Master'!$D$4:$D$207,MATCH($B100,'Challan Master'!$S$4:$S$207,0)),"")&lt;=DATE(YEAR(J100),MONTH(J100)+1,7),0,ROUND(L100*0.015*((YEAR(IFERROR(INDEX('Challan Master'!$D$4:$D$207,MATCH($B100,'Challan Master'!$S$4:$S$207,0)),""))-YEAR(J100))*12+(MONTH(IFERROR(INDEX('Challan Master'!$D$4:$D$207,MATCH($B100,'Challan Master'!$S$4:$S$207,0)),""))-MONTH(J100))+1),0))))</f>
      </c>
      <c r="P100" s="7">
        <f>IF($D100="","",0)</f>
      </c>
      <c r="Q100" s="8"/>
      <c r="R100" s="8"/>
      <c r="S100" s="8"/>
      <c r="T100" s="8"/>
      <c r="U100" s="8"/>
      <c r="V100" s="7">
        <f>IF($B100="","",IFERROR(INDEX('Challan Master'!$AA$4:$AA$207,MATCH($B100,'Challan Master'!$S$4:$S$207,0)),""))</f>
      </c>
    </row>
    <row r="101" spans="1:22" x14ac:dyDescent="0.25">
      <c r="A101" s="7">
        <f>IF($D101="","",COUNTIF($D$4:$D101,"&lt;&gt;"))</f>
      </c>
      <c r="B101" s="8"/>
      <c r="C101" s="7">
        <f>IF($B101="","","BSR "&amp;IFERROR(INDEX('Challan Master'!$B$4:$B$207,MATCH($B101,'Challan Master'!$S$4:$S$207,0)),"")&amp;" | Serial "&amp;IFERROR(INDEX('Challan Master'!$C$4:$C$207,MATCH($B101,'Challan Master'!$S$4:$S$207,0)),"")&amp;" | Deposit "&amp;TEXT(IFERROR(INDEX('Challan Master'!$D$4:$D$207,MATCH($B101,'Challan Master'!$S$4:$S$207,0)),""),"dd-mm-yyyy")&amp;" | Minor Head "&amp;IFERROR(INDEX('Challan Master'!$E$4:$E$207,MATCH($B101,'Challan Master'!$S$4:$S$207,0)),"")&amp;" | Tax ₹"&amp;TEXT(IFERROR(INDEX('Challan Master'!$G$4:$G$207,MATCH($B101,'Challan Master'!$S$4:$S$207,0)),""),"#,##0")&amp;" | Section "&amp;IFERROR(INDEX('Challan Master'!$F$4:$F$207,MATCH($B101,'Challan Master'!$S$4:$S$207,0)),""))</f>
      </c>
      <c r="D101" s="8"/>
      <c r="E101" s="8"/>
      <c r="F101" s="7">
        <f>IF($D101="","",IF(AND(LEN(TRIM(UPPER(E101)))=10,CODE(MID(TRIM(UPPER(E101)),1,1))&gt;=65,CODE(MID(TRIM(UPPER(E101)),1,1))&lt;=90,CODE(MID(TRIM(UPPER(E101)),2,1))&gt;=65,CODE(MID(TRIM(UPPER(E101)),2,1))&lt;=90,CODE(MID(TRIM(UPPER(E101)),3,1))&gt;=65,CODE(MID(TRIM(UPPER(E101)),3,1))&lt;=90,CODE(MID(TRIM(UPPER(E101)),4,1))&gt;=65,CODE(MID(TRIM(UPPER(E101)),4,1))&lt;=90,CODE(MID(TRIM(UPPER(E101)),5,1))&gt;=65,CODE(MID(TRIM(UPPER(E101)),5,1))&lt;=90,CODE(MID(TRIM(UPPER(E101)),10,1))&gt;=65,CODE(MID(TRIM(UPPER(E101)),10,1))&lt;=90,CODE(MID(TRIM(UPPER(E101)),6,1))&gt;=48,CODE(MID(TRIM(UPPER(E101)),6,1))&lt;=57,CODE(MID(TRIM(UPPER(E101)),7,1))&gt;=48,CODE(MID(TRIM(UPPER(E101)),7,1))&lt;=57,CODE(MID(TRIM(UPPER(E101)),8,1))&gt;=48,CODE(MID(TRIM(UPPER(E101)),8,1))&lt;=57,CODE(MID(TRIM(UPPER(E101)),9,1))&gt;=48,CODE(MID(TRIM(UPPER(E101)),9,1))&lt;=57),"N","Y"))</f>
      </c>
      <c r="G101" s="7">
        <f>IF($D101="","",IF(LEN(E101)&lt;4,"",IF(UPPER(MID(E101,4,1))="P","Individual",IF(UPPER(MID(E101,4,1))="H","HUF",IF(UPPER(MID(E101,4,1))="C","Company",IF(UPPER(MID(E101,4,1))="F","Firm",IF(UPPER(MID(E101,4,1))="L","LLP",IF(UPPER(MID(E101,4,1))="T","Trust",IF(UPPER(MID(E101,4,1))="A","AOP","")))))))))</f>
      </c>
      <c r="H101" s="8"/>
      <c r="I101" s="7">
        <f>IF($D101="","",IF(H101="","",IF(F101="Y",SUMPRODUCT(('Rate Lookup'!$A$1:$A$37=H101)*'Rate Lookup'!$D$1:$D$37),IF(OR(G101="Individual",G101="HUF"),SUMPRODUCT(('Rate Lookup'!$A$1:$A$37=H101)*'Rate Lookup'!$B$1:$B$37),SUMPRODUCT(('Rate Lookup'!$A$1:$A$37=H101)*'Rate Lookup'!$C$1:$C$37)))))</f>
      </c>
      <c r="J101" s="8"/>
      <c r="K101" s="8"/>
      <c r="L101" s="7">
        <f>IF($D101="","",ROUND(K101*I101/100,0))</f>
      </c>
      <c r="M101" s="7">
        <f>IF($D101="","",0)</f>
      </c>
      <c r="N101" s="7">
        <f>IF($D101="","",0)</f>
      </c>
      <c r="O101" s="7">
        <f>IF($D101="","",IF(OR(L101=0,J101="",IFERROR(INDEX('Challan Master'!$D$4:$D$207,MATCH($B101,'Challan Master'!$S$4:$S$207,0)),"")="",IFERROR(INDEX('Challan Master'!$D$4:$D$207,MATCH($B101,'Challan Master'!$S$4:$S$207,0)),"")&lt;=0),0,IF(IFERROR(INDEX('Challan Master'!$D$4:$D$207,MATCH($B101,'Challan Master'!$S$4:$S$207,0)),"")&lt;=DATE(YEAR(J101),MONTH(J101)+1,7),0,ROUND(L101*0.015*((YEAR(IFERROR(INDEX('Challan Master'!$D$4:$D$207,MATCH($B101,'Challan Master'!$S$4:$S$207,0)),""))-YEAR(J101))*12+(MONTH(IFERROR(INDEX('Challan Master'!$D$4:$D$207,MATCH($B101,'Challan Master'!$S$4:$S$207,0)),""))-MONTH(J101))+1),0))))</f>
      </c>
      <c r="P101" s="7">
        <f>IF($D101="","",0)</f>
      </c>
      <c r="Q101" s="8"/>
      <c r="R101" s="8"/>
      <c r="S101" s="8"/>
      <c r="T101" s="8"/>
      <c r="U101" s="8"/>
      <c r="V101" s="7">
        <f>IF($B101="","",IFERROR(INDEX('Challan Master'!$AA$4:$AA$207,MATCH($B101,'Challan Master'!$S$4:$S$207,0)),""))</f>
      </c>
    </row>
    <row r="102" spans="1:22" x14ac:dyDescent="0.25">
      <c r="A102" s="7">
        <f>IF($D102="","",COUNTIF($D$4:$D102,"&lt;&gt;"))</f>
      </c>
      <c r="B102" s="8"/>
      <c r="C102" s="7">
        <f>IF($B102="","","BSR "&amp;IFERROR(INDEX('Challan Master'!$B$4:$B$207,MATCH($B102,'Challan Master'!$S$4:$S$207,0)),"")&amp;" | Serial "&amp;IFERROR(INDEX('Challan Master'!$C$4:$C$207,MATCH($B102,'Challan Master'!$S$4:$S$207,0)),"")&amp;" | Deposit "&amp;TEXT(IFERROR(INDEX('Challan Master'!$D$4:$D$207,MATCH($B102,'Challan Master'!$S$4:$S$207,0)),""),"dd-mm-yyyy")&amp;" | Minor Head "&amp;IFERROR(INDEX('Challan Master'!$E$4:$E$207,MATCH($B102,'Challan Master'!$S$4:$S$207,0)),"")&amp;" | Tax ₹"&amp;TEXT(IFERROR(INDEX('Challan Master'!$G$4:$G$207,MATCH($B102,'Challan Master'!$S$4:$S$207,0)),""),"#,##0")&amp;" | Section "&amp;IFERROR(INDEX('Challan Master'!$F$4:$F$207,MATCH($B102,'Challan Master'!$S$4:$S$207,0)),""))</f>
      </c>
      <c r="D102" s="8"/>
      <c r="E102" s="8"/>
      <c r="F102" s="7">
        <f>IF($D102="","",IF(AND(LEN(TRIM(UPPER(E102)))=10,CODE(MID(TRIM(UPPER(E102)),1,1))&gt;=65,CODE(MID(TRIM(UPPER(E102)),1,1))&lt;=90,CODE(MID(TRIM(UPPER(E102)),2,1))&gt;=65,CODE(MID(TRIM(UPPER(E102)),2,1))&lt;=90,CODE(MID(TRIM(UPPER(E102)),3,1))&gt;=65,CODE(MID(TRIM(UPPER(E102)),3,1))&lt;=90,CODE(MID(TRIM(UPPER(E102)),4,1))&gt;=65,CODE(MID(TRIM(UPPER(E102)),4,1))&lt;=90,CODE(MID(TRIM(UPPER(E102)),5,1))&gt;=65,CODE(MID(TRIM(UPPER(E102)),5,1))&lt;=90,CODE(MID(TRIM(UPPER(E102)),10,1))&gt;=65,CODE(MID(TRIM(UPPER(E102)),10,1))&lt;=90,CODE(MID(TRIM(UPPER(E102)),6,1))&gt;=48,CODE(MID(TRIM(UPPER(E102)),6,1))&lt;=57,CODE(MID(TRIM(UPPER(E102)),7,1))&gt;=48,CODE(MID(TRIM(UPPER(E102)),7,1))&lt;=57,CODE(MID(TRIM(UPPER(E102)),8,1))&gt;=48,CODE(MID(TRIM(UPPER(E102)),8,1))&lt;=57,CODE(MID(TRIM(UPPER(E102)),9,1))&gt;=48,CODE(MID(TRIM(UPPER(E102)),9,1))&lt;=57),"N","Y"))</f>
      </c>
      <c r="G102" s="7">
        <f>IF($D102="","",IF(LEN(E102)&lt;4,"",IF(UPPER(MID(E102,4,1))="P","Individual",IF(UPPER(MID(E102,4,1))="H","HUF",IF(UPPER(MID(E102,4,1))="C","Company",IF(UPPER(MID(E102,4,1))="F","Firm",IF(UPPER(MID(E102,4,1))="L","LLP",IF(UPPER(MID(E102,4,1))="T","Trust",IF(UPPER(MID(E102,4,1))="A","AOP","")))))))))</f>
      </c>
      <c r="H102" s="8"/>
      <c r="I102" s="7">
        <f>IF($D102="","",IF(H102="","",IF(F102="Y",SUMPRODUCT(('Rate Lookup'!$A$1:$A$37=H102)*'Rate Lookup'!$D$1:$D$37),IF(OR(G102="Individual",G102="HUF"),SUMPRODUCT(('Rate Lookup'!$A$1:$A$37=H102)*'Rate Lookup'!$B$1:$B$37),SUMPRODUCT(('Rate Lookup'!$A$1:$A$37=H102)*'Rate Lookup'!$C$1:$C$37)))))</f>
      </c>
      <c r="J102" s="8"/>
      <c r="K102" s="8"/>
      <c r="L102" s="7">
        <f>IF($D102="","",ROUND(K102*I102/100,0))</f>
      </c>
      <c r="M102" s="7">
        <f>IF($D102="","",0)</f>
      </c>
      <c r="N102" s="7">
        <f>IF($D102="","",0)</f>
      </c>
      <c r="O102" s="7">
        <f>IF($D102="","",IF(OR(L102=0,J102="",IFERROR(INDEX('Challan Master'!$D$4:$D$207,MATCH($B102,'Challan Master'!$S$4:$S$207,0)),"")="",IFERROR(INDEX('Challan Master'!$D$4:$D$207,MATCH($B102,'Challan Master'!$S$4:$S$207,0)),"")&lt;=0),0,IF(IFERROR(INDEX('Challan Master'!$D$4:$D$207,MATCH($B102,'Challan Master'!$S$4:$S$207,0)),"")&lt;=DATE(YEAR(J102),MONTH(J102)+1,7),0,ROUND(L102*0.015*((YEAR(IFERROR(INDEX('Challan Master'!$D$4:$D$207,MATCH($B102,'Challan Master'!$S$4:$S$207,0)),""))-YEAR(J102))*12+(MONTH(IFERROR(INDEX('Challan Master'!$D$4:$D$207,MATCH($B102,'Challan Master'!$S$4:$S$207,0)),""))-MONTH(J102))+1),0))))</f>
      </c>
      <c r="P102" s="7">
        <f>IF($D102="","",0)</f>
      </c>
      <c r="Q102" s="8"/>
      <c r="R102" s="8"/>
      <c r="S102" s="8"/>
      <c r="T102" s="8"/>
      <c r="U102" s="8"/>
      <c r="V102" s="7">
        <f>IF($B102="","",IFERROR(INDEX('Challan Master'!$AA$4:$AA$207,MATCH($B102,'Challan Master'!$S$4:$S$207,0)),""))</f>
      </c>
    </row>
    <row r="103" spans="1:22" x14ac:dyDescent="0.25">
      <c r="A103" s="7">
        <f>IF($D103="","",COUNTIF($D$4:$D103,"&lt;&gt;"))</f>
      </c>
      <c r="B103" s="8"/>
      <c r="C103" s="7">
        <f>IF($B103="","","BSR "&amp;IFERROR(INDEX('Challan Master'!$B$4:$B$207,MATCH($B103,'Challan Master'!$S$4:$S$207,0)),"")&amp;" | Serial "&amp;IFERROR(INDEX('Challan Master'!$C$4:$C$207,MATCH($B103,'Challan Master'!$S$4:$S$207,0)),"")&amp;" | Deposit "&amp;TEXT(IFERROR(INDEX('Challan Master'!$D$4:$D$207,MATCH($B103,'Challan Master'!$S$4:$S$207,0)),""),"dd-mm-yyyy")&amp;" | Minor Head "&amp;IFERROR(INDEX('Challan Master'!$E$4:$E$207,MATCH($B103,'Challan Master'!$S$4:$S$207,0)),"")&amp;" | Tax ₹"&amp;TEXT(IFERROR(INDEX('Challan Master'!$G$4:$G$207,MATCH($B103,'Challan Master'!$S$4:$S$207,0)),""),"#,##0")&amp;" | Section "&amp;IFERROR(INDEX('Challan Master'!$F$4:$F$207,MATCH($B103,'Challan Master'!$S$4:$S$207,0)),""))</f>
      </c>
      <c r="D103" s="8"/>
      <c r="E103" s="8"/>
      <c r="F103" s="7">
        <f>IF($D103="","",IF(AND(LEN(TRIM(UPPER(E103)))=10,CODE(MID(TRIM(UPPER(E103)),1,1))&gt;=65,CODE(MID(TRIM(UPPER(E103)),1,1))&lt;=90,CODE(MID(TRIM(UPPER(E103)),2,1))&gt;=65,CODE(MID(TRIM(UPPER(E103)),2,1))&lt;=90,CODE(MID(TRIM(UPPER(E103)),3,1))&gt;=65,CODE(MID(TRIM(UPPER(E103)),3,1))&lt;=90,CODE(MID(TRIM(UPPER(E103)),4,1))&gt;=65,CODE(MID(TRIM(UPPER(E103)),4,1))&lt;=90,CODE(MID(TRIM(UPPER(E103)),5,1))&gt;=65,CODE(MID(TRIM(UPPER(E103)),5,1))&lt;=90,CODE(MID(TRIM(UPPER(E103)),10,1))&gt;=65,CODE(MID(TRIM(UPPER(E103)),10,1))&lt;=90,CODE(MID(TRIM(UPPER(E103)),6,1))&gt;=48,CODE(MID(TRIM(UPPER(E103)),6,1))&lt;=57,CODE(MID(TRIM(UPPER(E103)),7,1))&gt;=48,CODE(MID(TRIM(UPPER(E103)),7,1))&lt;=57,CODE(MID(TRIM(UPPER(E103)),8,1))&gt;=48,CODE(MID(TRIM(UPPER(E103)),8,1))&lt;=57,CODE(MID(TRIM(UPPER(E103)),9,1))&gt;=48,CODE(MID(TRIM(UPPER(E103)),9,1))&lt;=57),"N","Y"))</f>
      </c>
      <c r="G103" s="7">
        <f>IF($D103="","",IF(LEN(E103)&lt;4,"",IF(UPPER(MID(E103,4,1))="P","Individual",IF(UPPER(MID(E103,4,1))="H","HUF",IF(UPPER(MID(E103,4,1))="C","Company",IF(UPPER(MID(E103,4,1))="F","Firm",IF(UPPER(MID(E103,4,1))="L","LLP",IF(UPPER(MID(E103,4,1))="T","Trust",IF(UPPER(MID(E103,4,1))="A","AOP","")))))))))</f>
      </c>
      <c r="H103" s="8"/>
      <c r="I103" s="7">
        <f>IF($D103="","",IF(H103="","",IF(F103="Y",SUMPRODUCT(('Rate Lookup'!$A$1:$A$37=H103)*'Rate Lookup'!$D$1:$D$37),IF(OR(G103="Individual",G103="HUF"),SUMPRODUCT(('Rate Lookup'!$A$1:$A$37=H103)*'Rate Lookup'!$B$1:$B$37),SUMPRODUCT(('Rate Lookup'!$A$1:$A$37=H103)*'Rate Lookup'!$C$1:$C$37)))))</f>
      </c>
      <c r="J103" s="8"/>
      <c r="K103" s="8"/>
      <c r="L103" s="7">
        <f>IF($D103="","",ROUND(K103*I103/100,0))</f>
      </c>
      <c r="M103" s="7">
        <f>IF($D103="","",0)</f>
      </c>
      <c r="N103" s="7">
        <f>IF($D103="","",0)</f>
      </c>
      <c r="O103" s="7">
        <f>IF($D103="","",IF(OR(L103=0,J103="",IFERROR(INDEX('Challan Master'!$D$4:$D$207,MATCH($B103,'Challan Master'!$S$4:$S$207,0)),"")="",IFERROR(INDEX('Challan Master'!$D$4:$D$207,MATCH($B103,'Challan Master'!$S$4:$S$207,0)),"")&lt;=0),0,IF(IFERROR(INDEX('Challan Master'!$D$4:$D$207,MATCH($B103,'Challan Master'!$S$4:$S$207,0)),"")&lt;=DATE(YEAR(J103),MONTH(J103)+1,7),0,ROUND(L103*0.015*((YEAR(IFERROR(INDEX('Challan Master'!$D$4:$D$207,MATCH($B103,'Challan Master'!$S$4:$S$207,0)),""))-YEAR(J103))*12+(MONTH(IFERROR(INDEX('Challan Master'!$D$4:$D$207,MATCH($B103,'Challan Master'!$S$4:$S$207,0)),""))-MONTH(J103))+1),0))))</f>
      </c>
      <c r="P103" s="7">
        <f>IF($D103="","",0)</f>
      </c>
      <c r="Q103" s="8"/>
      <c r="R103" s="8"/>
      <c r="S103" s="8"/>
      <c r="T103" s="8"/>
      <c r="U103" s="8"/>
      <c r="V103" s="7">
        <f>IF($B103="","",IFERROR(INDEX('Challan Master'!$AA$4:$AA$207,MATCH($B103,'Challan Master'!$S$4:$S$207,0)),""))</f>
      </c>
    </row>
    <row r="104" spans="1:22" x14ac:dyDescent="0.25">
      <c r="A104" s="7">
        <f>IF($D104="","",COUNTIF($D$4:$D104,"&lt;&gt;"))</f>
      </c>
      <c r="B104" s="8"/>
      <c r="C104" s="7">
        <f>IF($B104="","","BSR "&amp;IFERROR(INDEX('Challan Master'!$B$4:$B$207,MATCH($B104,'Challan Master'!$S$4:$S$207,0)),"")&amp;" | Serial "&amp;IFERROR(INDEX('Challan Master'!$C$4:$C$207,MATCH($B104,'Challan Master'!$S$4:$S$207,0)),"")&amp;" | Deposit "&amp;TEXT(IFERROR(INDEX('Challan Master'!$D$4:$D$207,MATCH($B104,'Challan Master'!$S$4:$S$207,0)),""),"dd-mm-yyyy")&amp;" | Minor Head "&amp;IFERROR(INDEX('Challan Master'!$E$4:$E$207,MATCH($B104,'Challan Master'!$S$4:$S$207,0)),"")&amp;" | Tax ₹"&amp;TEXT(IFERROR(INDEX('Challan Master'!$G$4:$G$207,MATCH($B104,'Challan Master'!$S$4:$S$207,0)),""),"#,##0")&amp;" | Section "&amp;IFERROR(INDEX('Challan Master'!$F$4:$F$207,MATCH($B104,'Challan Master'!$S$4:$S$207,0)),""))</f>
      </c>
      <c r="D104" s="8"/>
      <c r="E104" s="8"/>
      <c r="F104" s="7">
        <f>IF($D104="","",IF(AND(LEN(TRIM(UPPER(E104)))=10,CODE(MID(TRIM(UPPER(E104)),1,1))&gt;=65,CODE(MID(TRIM(UPPER(E104)),1,1))&lt;=90,CODE(MID(TRIM(UPPER(E104)),2,1))&gt;=65,CODE(MID(TRIM(UPPER(E104)),2,1))&lt;=90,CODE(MID(TRIM(UPPER(E104)),3,1))&gt;=65,CODE(MID(TRIM(UPPER(E104)),3,1))&lt;=90,CODE(MID(TRIM(UPPER(E104)),4,1))&gt;=65,CODE(MID(TRIM(UPPER(E104)),4,1))&lt;=90,CODE(MID(TRIM(UPPER(E104)),5,1))&gt;=65,CODE(MID(TRIM(UPPER(E104)),5,1))&lt;=90,CODE(MID(TRIM(UPPER(E104)),10,1))&gt;=65,CODE(MID(TRIM(UPPER(E104)),10,1))&lt;=90,CODE(MID(TRIM(UPPER(E104)),6,1))&gt;=48,CODE(MID(TRIM(UPPER(E104)),6,1))&lt;=57,CODE(MID(TRIM(UPPER(E104)),7,1))&gt;=48,CODE(MID(TRIM(UPPER(E104)),7,1))&lt;=57,CODE(MID(TRIM(UPPER(E104)),8,1))&gt;=48,CODE(MID(TRIM(UPPER(E104)),8,1))&lt;=57,CODE(MID(TRIM(UPPER(E104)),9,1))&gt;=48,CODE(MID(TRIM(UPPER(E104)),9,1))&lt;=57),"N","Y"))</f>
      </c>
      <c r="G104" s="7">
        <f>IF($D104="","",IF(LEN(E104)&lt;4,"",IF(UPPER(MID(E104,4,1))="P","Individual",IF(UPPER(MID(E104,4,1))="H","HUF",IF(UPPER(MID(E104,4,1))="C","Company",IF(UPPER(MID(E104,4,1))="F","Firm",IF(UPPER(MID(E104,4,1))="L","LLP",IF(UPPER(MID(E104,4,1))="T","Trust",IF(UPPER(MID(E104,4,1))="A","AOP","")))))))))</f>
      </c>
      <c r="H104" s="8"/>
      <c r="I104" s="7">
        <f>IF($D104="","",IF(H104="","",IF(F104="Y",SUMPRODUCT(('Rate Lookup'!$A$1:$A$37=H104)*'Rate Lookup'!$D$1:$D$37),IF(OR(G104="Individual",G104="HUF"),SUMPRODUCT(('Rate Lookup'!$A$1:$A$37=H104)*'Rate Lookup'!$B$1:$B$37),SUMPRODUCT(('Rate Lookup'!$A$1:$A$37=H104)*'Rate Lookup'!$C$1:$C$37)))))</f>
      </c>
      <c r="J104" s="8"/>
      <c r="K104" s="8"/>
      <c r="L104" s="7">
        <f>IF($D104="","",ROUND(K104*I104/100,0))</f>
      </c>
      <c r="M104" s="7">
        <f>IF($D104="","",0)</f>
      </c>
      <c r="N104" s="7">
        <f>IF($D104="","",0)</f>
      </c>
      <c r="O104" s="7">
        <f>IF($D104="","",IF(OR(L104=0,J104="",IFERROR(INDEX('Challan Master'!$D$4:$D$207,MATCH($B104,'Challan Master'!$S$4:$S$207,0)),"")="",IFERROR(INDEX('Challan Master'!$D$4:$D$207,MATCH($B104,'Challan Master'!$S$4:$S$207,0)),"")&lt;=0),0,IF(IFERROR(INDEX('Challan Master'!$D$4:$D$207,MATCH($B104,'Challan Master'!$S$4:$S$207,0)),"")&lt;=DATE(YEAR(J104),MONTH(J104)+1,7),0,ROUND(L104*0.015*((YEAR(IFERROR(INDEX('Challan Master'!$D$4:$D$207,MATCH($B104,'Challan Master'!$S$4:$S$207,0)),""))-YEAR(J104))*12+(MONTH(IFERROR(INDEX('Challan Master'!$D$4:$D$207,MATCH($B104,'Challan Master'!$S$4:$S$207,0)),""))-MONTH(J104))+1),0))))</f>
      </c>
      <c r="P104" s="7">
        <f>IF($D104="","",0)</f>
      </c>
      <c r="Q104" s="8"/>
      <c r="R104" s="8"/>
      <c r="S104" s="8"/>
      <c r="T104" s="8"/>
      <c r="U104" s="8"/>
      <c r="V104" s="7">
        <f>IF($B104="","",IFERROR(INDEX('Challan Master'!$AA$4:$AA$207,MATCH($B104,'Challan Master'!$S$4:$S$207,0)),""))</f>
      </c>
    </row>
    <row r="105" spans="1:22" x14ac:dyDescent="0.25">
      <c r="A105" s="7">
        <f>IF($D105="","",COUNTIF($D$4:$D105,"&lt;&gt;"))</f>
      </c>
      <c r="B105" s="8"/>
      <c r="C105" s="7">
        <f>IF($B105="","","BSR "&amp;IFERROR(INDEX('Challan Master'!$B$4:$B$207,MATCH($B105,'Challan Master'!$S$4:$S$207,0)),"")&amp;" | Serial "&amp;IFERROR(INDEX('Challan Master'!$C$4:$C$207,MATCH($B105,'Challan Master'!$S$4:$S$207,0)),"")&amp;" | Deposit "&amp;TEXT(IFERROR(INDEX('Challan Master'!$D$4:$D$207,MATCH($B105,'Challan Master'!$S$4:$S$207,0)),""),"dd-mm-yyyy")&amp;" | Minor Head "&amp;IFERROR(INDEX('Challan Master'!$E$4:$E$207,MATCH($B105,'Challan Master'!$S$4:$S$207,0)),"")&amp;" | Tax ₹"&amp;TEXT(IFERROR(INDEX('Challan Master'!$G$4:$G$207,MATCH($B105,'Challan Master'!$S$4:$S$207,0)),""),"#,##0")&amp;" | Section "&amp;IFERROR(INDEX('Challan Master'!$F$4:$F$207,MATCH($B105,'Challan Master'!$S$4:$S$207,0)),""))</f>
      </c>
      <c r="D105" s="8"/>
      <c r="E105" s="8"/>
      <c r="F105" s="7">
        <f>IF($D105="","",IF(AND(LEN(TRIM(UPPER(E105)))=10,CODE(MID(TRIM(UPPER(E105)),1,1))&gt;=65,CODE(MID(TRIM(UPPER(E105)),1,1))&lt;=90,CODE(MID(TRIM(UPPER(E105)),2,1))&gt;=65,CODE(MID(TRIM(UPPER(E105)),2,1))&lt;=90,CODE(MID(TRIM(UPPER(E105)),3,1))&gt;=65,CODE(MID(TRIM(UPPER(E105)),3,1))&lt;=90,CODE(MID(TRIM(UPPER(E105)),4,1))&gt;=65,CODE(MID(TRIM(UPPER(E105)),4,1))&lt;=90,CODE(MID(TRIM(UPPER(E105)),5,1))&gt;=65,CODE(MID(TRIM(UPPER(E105)),5,1))&lt;=90,CODE(MID(TRIM(UPPER(E105)),10,1))&gt;=65,CODE(MID(TRIM(UPPER(E105)),10,1))&lt;=90,CODE(MID(TRIM(UPPER(E105)),6,1))&gt;=48,CODE(MID(TRIM(UPPER(E105)),6,1))&lt;=57,CODE(MID(TRIM(UPPER(E105)),7,1))&gt;=48,CODE(MID(TRIM(UPPER(E105)),7,1))&lt;=57,CODE(MID(TRIM(UPPER(E105)),8,1))&gt;=48,CODE(MID(TRIM(UPPER(E105)),8,1))&lt;=57,CODE(MID(TRIM(UPPER(E105)),9,1))&gt;=48,CODE(MID(TRIM(UPPER(E105)),9,1))&lt;=57),"N","Y"))</f>
      </c>
      <c r="G105" s="7">
        <f>IF($D105="","",IF(LEN(E105)&lt;4,"",IF(UPPER(MID(E105,4,1))="P","Individual",IF(UPPER(MID(E105,4,1))="H","HUF",IF(UPPER(MID(E105,4,1))="C","Company",IF(UPPER(MID(E105,4,1))="F","Firm",IF(UPPER(MID(E105,4,1))="L","LLP",IF(UPPER(MID(E105,4,1))="T","Trust",IF(UPPER(MID(E105,4,1))="A","AOP","")))))))))</f>
      </c>
      <c r="H105" s="8"/>
      <c r="I105" s="7">
        <f>IF($D105="","",IF(H105="","",IF(F105="Y",SUMPRODUCT(('Rate Lookup'!$A$1:$A$37=H105)*'Rate Lookup'!$D$1:$D$37),IF(OR(G105="Individual",G105="HUF"),SUMPRODUCT(('Rate Lookup'!$A$1:$A$37=H105)*'Rate Lookup'!$B$1:$B$37),SUMPRODUCT(('Rate Lookup'!$A$1:$A$37=H105)*'Rate Lookup'!$C$1:$C$37)))))</f>
      </c>
      <c r="J105" s="8"/>
      <c r="K105" s="8"/>
      <c r="L105" s="7">
        <f>IF($D105="","",ROUND(K105*I105/100,0))</f>
      </c>
      <c r="M105" s="7">
        <f>IF($D105="","",0)</f>
      </c>
      <c r="N105" s="7">
        <f>IF($D105="","",0)</f>
      </c>
      <c r="O105" s="7">
        <f>IF($D105="","",IF(OR(L105=0,J105="",IFERROR(INDEX('Challan Master'!$D$4:$D$207,MATCH($B105,'Challan Master'!$S$4:$S$207,0)),"")="",IFERROR(INDEX('Challan Master'!$D$4:$D$207,MATCH($B105,'Challan Master'!$S$4:$S$207,0)),"")&lt;=0),0,IF(IFERROR(INDEX('Challan Master'!$D$4:$D$207,MATCH($B105,'Challan Master'!$S$4:$S$207,0)),"")&lt;=DATE(YEAR(J105),MONTH(J105)+1,7),0,ROUND(L105*0.015*((YEAR(IFERROR(INDEX('Challan Master'!$D$4:$D$207,MATCH($B105,'Challan Master'!$S$4:$S$207,0)),""))-YEAR(J105))*12+(MONTH(IFERROR(INDEX('Challan Master'!$D$4:$D$207,MATCH($B105,'Challan Master'!$S$4:$S$207,0)),""))-MONTH(J105))+1),0))))</f>
      </c>
      <c r="P105" s="7">
        <f>IF($D105="","",0)</f>
      </c>
      <c r="Q105" s="8"/>
      <c r="R105" s="8"/>
      <c r="S105" s="8"/>
      <c r="T105" s="8"/>
      <c r="U105" s="8"/>
      <c r="V105" s="7">
        <f>IF($B105="","",IFERROR(INDEX('Challan Master'!$AA$4:$AA$207,MATCH($B105,'Challan Master'!$S$4:$S$207,0)),""))</f>
      </c>
    </row>
    <row r="106" spans="1:22" x14ac:dyDescent="0.25">
      <c r="A106" s="7">
        <f>IF($D106="","",COUNTIF($D$4:$D106,"&lt;&gt;"))</f>
      </c>
      <c r="B106" s="8"/>
      <c r="C106" s="7">
        <f>IF($B106="","","BSR "&amp;IFERROR(INDEX('Challan Master'!$B$4:$B$207,MATCH($B106,'Challan Master'!$S$4:$S$207,0)),"")&amp;" | Serial "&amp;IFERROR(INDEX('Challan Master'!$C$4:$C$207,MATCH($B106,'Challan Master'!$S$4:$S$207,0)),"")&amp;" | Deposit "&amp;TEXT(IFERROR(INDEX('Challan Master'!$D$4:$D$207,MATCH($B106,'Challan Master'!$S$4:$S$207,0)),""),"dd-mm-yyyy")&amp;" | Minor Head "&amp;IFERROR(INDEX('Challan Master'!$E$4:$E$207,MATCH($B106,'Challan Master'!$S$4:$S$207,0)),"")&amp;" | Tax ₹"&amp;TEXT(IFERROR(INDEX('Challan Master'!$G$4:$G$207,MATCH($B106,'Challan Master'!$S$4:$S$207,0)),""),"#,##0")&amp;" | Section "&amp;IFERROR(INDEX('Challan Master'!$F$4:$F$207,MATCH($B106,'Challan Master'!$S$4:$S$207,0)),""))</f>
      </c>
      <c r="D106" s="8"/>
      <c r="E106" s="8"/>
      <c r="F106" s="7">
        <f>IF($D106="","",IF(AND(LEN(TRIM(UPPER(E106)))=10,CODE(MID(TRIM(UPPER(E106)),1,1))&gt;=65,CODE(MID(TRIM(UPPER(E106)),1,1))&lt;=90,CODE(MID(TRIM(UPPER(E106)),2,1))&gt;=65,CODE(MID(TRIM(UPPER(E106)),2,1))&lt;=90,CODE(MID(TRIM(UPPER(E106)),3,1))&gt;=65,CODE(MID(TRIM(UPPER(E106)),3,1))&lt;=90,CODE(MID(TRIM(UPPER(E106)),4,1))&gt;=65,CODE(MID(TRIM(UPPER(E106)),4,1))&lt;=90,CODE(MID(TRIM(UPPER(E106)),5,1))&gt;=65,CODE(MID(TRIM(UPPER(E106)),5,1))&lt;=90,CODE(MID(TRIM(UPPER(E106)),10,1))&gt;=65,CODE(MID(TRIM(UPPER(E106)),10,1))&lt;=90,CODE(MID(TRIM(UPPER(E106)),6,1))&gt;=48,CODE(MID(TRIM(UPPER(E106)),6,1))&lt;=57,CODE(MID(TRIM(UPPER(E106)),7,1))&gt;=48,CODE(MID(TRIM(UPPER(E106)),7,1))&lt;=57,CODE(MID(TRIM(UPPER(E106)),8,1))&gt;=48,CODE(MID(TRIM(UPPER(E106)),8,1))&lt;=57,CODE(MID(TRIM(UPPER(E106)),9,1))&gt;=48,CODE(MID(TRIM(UPPER(E106)),9,1))&lt;=57),"N","Y"))</f>
      </c>
      <c r="G106" s="7">
        <f>IF($D106="","",IF(LEN(E106)&lt;4,"",IF(UPPER(MID(E106,4,1))="P","Individual",IF(UPPER(MID(E106,4,1))="H","HUF",IF(UPPER(MID(E106,4,1))="C","Company",IF(UPPER(MID(E106,4,1))="F","Firm",IF(UPPER(MID(E106,4,1))="L","LLP",IF(UPPER(MID(E106,4,1))="T","Trust",IF(UPPER(MID(E106,4,1))="A","AOP","")))))))))</f>
      </c>
      <c r="H106" s="8"/>
      <c r="I106" s="7">
        <f>IF($D106="","",IF(H106="","",IF(F106="Y",SUMPRODUCT(('Rate Lookup'!$A$1:$A$37=H106)*'Rate Lookup'!$D$1:$D$37),IF(OR(G106="Individual",G106="HUF"),SUMPRODUCT(('Rate Lookup'!$A$1:$A$37=H106)*'Rate Lookup'!$B$1:$B$37),SUMPRODUCT(('Rate Lookup'!$A$1:$A$37=H106)*'Rate Lookup'!$C$1:$C$37)))))</f>
      </c>
      <c r="J106" s="8"/>
      <c r="K106" s="8"/>
      <c r="L106" s="7">
        <f>IF($D106="","",ROUND(K106*I106/100,0))</f>
      </c>
      <c r="M106" s="7">
        <f>IF($D106="","",0)</f>
      </c>
      <c r="N106" s="7">
        <f>IF($D106="","",0)</f>
      </c>
      <c r="O106" s="7">
        <f>IF($D106="","",IF(OR(L106=0,J106="",IFERROR(INDEX('Challan Master'!$D$4:$D$207,MATCH($B106,'Challan Master'!$S$4:$S$207,0)),"")="",IFERROR(INDEX('Challan Master'!$D$4:$D$207,MATCH($B106,'Challan Master'!$S$4:$S$207,0)),"")&lt;=0),0,IF(IFERROR(INDEX('Challan Master'!$D$4:$D$207,MATCH($B106,'Challan Master'!$S$4:$S$207,0)),"")&lt;=DATE(YEAR(J106),MONTH(J106)+1,7),0,ROUND(L106*0.015*((YEAR(IFERROR(INDEX('Challan Master'!$D$4:$D$207,MATCH($B106,'Challan Master'!$S$4:$S$207,0)),""))-YEAR(J106))*12+(MONTH(IFERROR(INDEX('Challan Master'!$D$4:$D$207,MATCH($B106,'Challan Master'!$S$4:$S$207,0)),""))-MONTH(J106))+1),0))))</f>
      </c>
      <c r="P106" s="7">
        <f>IF($D106="","",0)</f>
      </c>
      <c r="Q106" s="8"/>
      <c r="R106" s="8"/>
      <c r="S106" s="8"/>
      <c r="T106" s="8"/>
      <c r="U106" s="8"/>
      <c r="V106" s="7">
        <f>IF($B106="","",IFERROR(INDEX('Challan Master'!$AA$4:$AA$207,MATCH($B106,'Challan Master'!$S$4:$S$207,0)),""))</f>
      </c>
    </row>
    <row r="107" spans="1:22" x14ac:dyDescent="0.25">
      <c r="A107" s="7">
        <f>IF($D107="","",COUNTIF($D$4:$D107,"&lt;&gt;"))</f>
      </c>
      <c r="B107" s="8"/>
      <c r="C107" s="7">
        <f>IF($B107="","","BSR "&amp;IFERROR(INDEX('Challan Master'!$B$4:$B$207,MATCH($B107,'Challan Master'!$S$4:$S$207,0)),"")&amp;" | Serial "&amp;IFERROR(INDEX('Challan Master'!$C$4:$C$207,MATCH($B107,'Challan Master'!$S$4:$S$207,0)),"")&amp;" | Deposit "&amp;TEXT(IFERROR(INDEX('Challan Master'!$D$4:$D$207,MATCH($B107,'Challan Master'!$S$4:$S$207,0)),""),"dd-mm-yyyy")&amp;" | Minor Head "&amp;IFERROR(INDEX('Challan Master'!$E$4:$E$207,MATCH($B107,'Challan Master'!$S$4:$S$207,0)),"")&amp;" | Tax ₹"&amp;TEXT(IFERROR(INDEX('Challan Master'!$G$4:$G$207,MATCH($B107,'Challan Master'!$S$4:$S$207,0)),""),"#,##0")&amp;" | Section "&amp;IFERROR(INDEX('Challan Master'!$F$4:$F$207,MATCH($B107,'Challan Master'!$S$4:$S$207,0)),""))</f>
      </c>
      <c r="D107" s="8"/>
      <c r="E107" s="8"/>
      <c r="F107" s="7">
        <f>IF($D107="","",IF(AND(LEN(TRIM(UPPER(E107)))=10,CODE(MID(TRIM(UPPER(E107)),1,1))&gt;=65,CODE(MID(TRIM(UPPER(E107)),1,1))&lt;=90,CODE(MID(TRIM(UPPER(E107)),2,1))&gt;=65,CODE(MID(TRIM(UPPER(E107)),2,1))&lt;=90,CODE(MID(TRIM(UPPER(E107)),3,1))&gt;=65,CODE(MID(TRIM(UPPER(E107)),3,1))&lt;=90,CODE(MID(TRIM(UPPER(E107)),4,1))&gt;=65,CODE(MID(TRIM(UPPER(E107)),4,1))&lt;=90,CODE(MID(TRIM(UPPER(E107)),5,1))&gt;=65,CODE(MID(TRIM(UPPER(E107)),5,1))&lt;=90,CODE(MID(TRIM(UPPER(E107)),10,1))&gt;=65,CODE(MID(TRIM(UPPER(E107)),10,1))&lt;=90,CODE(MID(TRIM(UPPER(E107)),6,1))&gt;=48,CODE(MID(TRIM(UPPER(E107)),6,1))&lt;=57,CODE(MID(TRIM(UPPER(E107)),7,1))&gt;=48,CODE(MID(TRIM(UPPER(E107)),7,1))&lt;=57,CODE(MID(TRIM(UPPER(E107)),8,1))&gt;=48,CODE(MID(TRIM(UPPER(E107)),8,1))&lt;=57,CODE(MID(TRIM(UPPER(E107)),9,1))&gt;=48,CODE(MID(TRIM(UPPER(E107)),9,1))&lt;=57),"N","Y"))</f>
      </c>
      <c r="G107" s="7">
        <f>IF($D107="","",IF(LEN(E107)&lt;4,"",IF(UPPER(MID(E107,4,1))="P","Individual",IF(UPPER(MID(E107,4,1))="H","HUF",IF(UPPER(MID(E107,4,1))="C","Company",IF(UPPER(MID(E107,4,1))="F","Firm",IF(UPPER(MID(E107,4,1))="L","LLP",IF(UPPER(MID(E107,4,1))="T","Trust",IF(UPPER(MID(E107,4,1))="A","AOP","")))))))))</f>
      </c>
      <c r="H107" s="8"/>
      <c r="I107" s="7">
        <f>IF($D107="","",IF(H107="","",IF(F107="Y",SUMPRODUCT(('Rate Lookup'!$A$1:$A$37=H107)*'Rate Lookup'!$D$1:$D$37),IF(OR(G107="Individual",G107="HUF"),SUMPRODUCT(('Rate Lookup'!$A$1:$A$37=H107)*'Rate Lookup'!$B$1:$B$37),SUMPRODUCT(('Rate Lookup'!$A$1:$A$37=H107)*'Rate Lookup'!$C$1:$C$37)))))</f>
      </c>
      <c r="J107" s="8"/>
      <c r="K107" s="8"/>
      <c r="L107" s="7">
        <f>IF($D107="","",ROUND(K107*I107/100,0))</f>
      </c>
      <c r="M107" s="7">
        <f>IF($D107="","",0)</f>
      </c>
      <c r="N107" s="7">
        <f>IF($D107="","",0)</f>
      </c>
      <c r="O107" s="7">
        <f>IF($D107="","",IF(OR(L107=0,J107="",IFERROR(INDEX('Challan Master'!$D$4:$D$207,MATCH($B107,'Challan Master'!$S$4:$S$207,0)),"")="",IFERROR(INDEX('Challan Master'!$D$4:$D$207,MATCH($B107,'Challan Master'!$S$4:$S$207,0)),"")&lt;=0),0,IF(IFERROR(INDEX('Challan Master'!$D$4:$D$207,MATCH($B107,'Challan Master'!$S$4:$S$207,0)),"")&lt;=DATE(YEAR(J107),MONTH(J107)+1,7),0,ROUND(L107*0.015*((YEAR(IFERROR(INDEX('Challan Master'!$D$4:$D$207,MATCH($B107,'Challan Master'!$S$4:$S$207,0)),""))-YEAR(J107))*12+(MONTH(IFERROR(INDEX('Challan Master'!$D$4:$D$207,MATCH($B107,'Challan Master'!$S$4:$S$207,0)),""))-MONTH(J107))+1),0))))</f>
      </c>
      <c r="P107" s="7">
        <f>IF($D107="","",0)</f>
      </c>
      <c r="Q107" s="8"/>
      <c r="R107" s="8"/>
      <c r="S107" s="8"/>
      <c r="T107" s="8"/>
      <c r="U107" s="8"/>
      <c r="V107" s="7">
        <f>IF($B107="","",IFERROR(INDEX('Challan Master'!$AA$4:$AA$207,MATCH($B107,'Challan Master'!$S$4:$S$207,0)),""))</f>
      </c>
    </row>
    <row r="108" spans="1:22" x14ac:dyDescent="0.25">
      <c r="A108" s="7">
        <f>IF($D108="","",COUNTIF($D$4:$D108,"&lt;&gt;"))</f>
      </c>
      <c r="B108" s="8"/>
      <c r="C108" s="7">
        <f>IF($B108="","","BSR "&amp;IFERROR(INDEX('Challan Master'!$B$4:$B$207,MATCH($B108,'Challan Master'!$S$4:$S$207,0)),"")&amp;" | Serial "&amp;IFERROR(INDEX('Challan Master'!$C$4:$C$207,MATCH($B108,'Challan Master'!$S$4:$S$207,0)),"")&amp;" | Deposit "&amp;TEXT(IFERROR(INDEX('Challan Master'!$D$4:$D$207,MATCH($B108,'Challan Master'!$S$4:$S$207,0)),""),"dd-mm-yyyy")&amp;" | Minor Head "&amp;IFERROR(INDEX('Challan Master'!$E$4:$E$207,MATCH($B108,'Challan Master'!$S$4:$S$207,0)),"")&amp;" | Tax ₹"&amp;TEXT(IFERROR(INDEX('Challan Master'!$G$4:$G$207,MATCH($B108,'Challan Master'!$S$4:$S$207,0)),""),"#,##0")&amp;" | Section "&amp;IFERROR(INDEX('Challan Master'!$F$4:$F$207,MATCH($B108,'Challan Master'!$S$4:$S$207,0)),""))</f>
      </c>
      <c r="D108" s="8"/>
      <c r="E108" s="8"/>
      <c r="F108" s="7">
        <f>IF($D108="","",IF(AND(LEN(TRIM(UPPER(E108)))=10,CODE(MID(TRIM(UPPER(E108)),1,1))&gt;=65,CODE(MID(TRIM(UPPER(E108)),1,1))&lt;=90,CODE(MID(TRIM(UPPER(E108)),2,1))&gt;=65,CODE(MID(TRIM(UPPER(E108)),2,1))&lt;=90,CODE(MID(TRIM(UPPER(E108)),3,1))&gt;=65,CODE(MID(TRIM(UPPER(E108)),3,1))&lt;=90,CODE(MID(TRIM(UPPER(E108)),4,1))&gt;=65,CODE(MID(TRIM(UPPER(E108)),4,1))&lt;=90,CODE(MID(TRIM(UPPER(E108)),5,1))&gt;=65,CODE(MID(TRIM(UPPER(E108)),5,1))&lt;=90,CODE(MID(TRIM(UPPER(E108)),10,1))&gt;=65,CODE(MID(TRIM(UPPER(E108)),10,1))&lt;=90,CODE(MID(TRIM(UPPER(E108)),6,1))&gt;=48,CODE(MID(TRIM(UPPER(E108)),6,1))&lt;=57,CODE(MID(TRIM(UPPER(E108)),7,1))&gt;=48,CODE(MID(TRIM(UPPER(E108)),7,1))&lt;=57,CODE(MID(TRIM(UPPER(E108)),8,1))&gt;=48,CODE(MID(TRIM(UPPER(E108)),8,1))&lt;=57,CODE(MID(TRIM(UPPER(E108)),9,1))&gt;=48,CODE(MID(TRIM(UPPER(E108)),9,1))&lt;=57),"N","Y"))</f>
      </c>
      <c r="G108" s="7">
        <f>IF($D108="","",IF(LEN(E108)&lt;4,"",IF(UPPER(MID(E108,4,1))="P","Individual",IF(UPPER(MID(E108,4,1))="H","HUF",IF(UPPER(MID(E108,4,1))="C","Company",IF(UPPER(MID(E108,4,1))="F","Firm",IF(UPPER(MID(E108,4,1))="L","LLP",IF(UPPER(MID(E108,4,1))="T","Trust",IF(UPPER(MID(E108,4,1))="A","AOP","")))))))))</f>
      </c>
      <c r="H108" s="8"/>
      <c r="I108" s="7">
        <f>IF($D108="","",IF(H108="","",IF(F108="Y",SUMPRODUCT(('Rate Lookup'!$A$1:$A$37=H108)*'Rate Lookup'!$D$1:$D$37),IF(OR(G108="Individual",G108="HUF"),SUMPRODUCT(('Rate Lookup'!$A$1:$A$37=H108)*'Rate Lookup'!$B$1:$B$37),SUMPRODUCT(('Rate Lookup'!$A$1:$A$37=H108)*'Rate Lookup'!$C$1:$C$37)))))</f>
      </c>
      <c r="J108" s="8"/>
      <c r="K108" s="8"/>
      <c r="L108" s="7">
        <f>IF($D108="","",ROUND(K108*I108/100,0))</f>
      </c>
      <c r="M108" s="7">
        <f>IF($D108="","",0)</f>
      </c>
      <c r="N108" s="7">
        <f>IF($D108="","",0)</f>
      </c>
      <c r="O108" s="7">
        <f>IF($D108="","",IF(OR(L108=0,J108="",IFERROR(INDEX('Challan Master'!$D$4:$D$207,MATCH($B108,'Challan Master'!$S$4:$S$207,0)),"")="",IFERROR(INDEX('Challan Master'!$D$4:$D$207,MATCH($B108,'Challan Master'!$S$4:$S$207,0)),"")&lt;=0),0,IF(IFERROR(INDEX('Challan Master'!$D$4:$D$207,MATCH($B108,'Challan Master'!$S$4:$S$207,0)),"")&lt;=DATE(YEAR(J108),MONTH(J108)+1,7),0,ROUND(L108*0.015*((YEAR(IFERROR(INDEX('Challan Master'!$D$4:$D$207,MATCH($B108,'Challan Master'!$S$4:$S$207,0)),""))-YEAR(J108))*12+(MONTH(IFERROR(INDEX('Challan Master'!$D$4:$D$207,MATCH($B108,'Challan Master'!$S$4:$S$207,0)),""))-MONTH(J108))+1),0))))</f>
      </c>
      <c r="P108" s="7">
        <f>IF($D108="","",0)</f>
      </c>
      <c r="Q108" s="8"/>
      <c r="R108" s="8"/>
      <c r="S108" s="8"/>
      <c r="T108" s="8"/>
      <c r="U108" s="8"/>
      <c r="V108" s="7">
        <f>IF($B108="","",IFERROR(INDEX('Challan Master'!$AA$4:$AA$207,MATCH($B108,'Challan Master'!$S$4:$S$207,0)),""))</f>
      </c>
    </row>
    <row r="109" spans="1:22" x14ac:dyDescent="0.25">
      <c r="A109" s="7">
        <f>IF($D109="","",COUNTIF($D$4:$D109,"&lt;&gt;"))</f>
      </c>
      <c r="B109" s="8"/>
      <c r="C109" s="7">
        <f>IF($B109="","","BSR "&amp;IFERROR(INDEX('Challan Master'!$B$4:$B$207,MATCH($B109,'Challan Master'!$S$4:$S$207,0)),"")&amp;" | Serial "&amp;IFERROR(INDEX('Challan Master'!$C$4:$C$207,MATCH($B109,'Challan Master'!$S$4:$S$207,0)),"")&amp;" | Deposit "&amp;TEXT(IFERROR(INDEX('Challan Master'!$D$4:$D$207,MATCH($B109,'Challan Master'!$S$4:$S$207,0)),""),"dd-mm-yyyy")&amp;" | Minor Head "&amp;IFERROR(INDEX('Challan Master'!$E$4:$E$207,MATCH($B109,'Challan Master'!$S$4:$S$207,0)),"")&amp;" | Tax ₹"&amp;TEXT(IFERROR(INDEX('Challan Master'!$G$4:$G$207,MATCH($B109,'Challan Master'!$S$4:$S$207,0)),""),"#,##0")&amp;" | Section "&amp;IFERROR(INDEX('Challan Master'!$F$4:$F$207,MATCH($B109,'Challan Master'!$S$4:$S$207,0)),""))</f>
      </c>
      <c r="D109" s="8"/>
      <c r="E109" s="8"/>
      <c r="F109" s="7">
        <f>IF($D109="","",IF(AND(LEN(TRIM(UPPER(E109)))=10,CODE(MID(TRIM(UPPER(E109)),1,1))&gt;=65,CODE(MID(TRIM(UPPER(E109)),1,1))&lt;=90,CODE(MID(TRIM(UPPER(E109)),2,1))&gt;=65,CODE(MID(TRIM(UPPER(E109)),2,1))&lt;=90,CODE(MID(TRIM(UPPER(E109)),3,1))&gt;=65,CODE(MID(TRIM(UPPER(E109)),3,1))&lt;=90,CODE(MID(TRIM(UPPER(E109)),4,1))&gt;=65,CODE(MID(TRIM(UPPER(E109)),4,1))&lt;=90,CODE(MID(TRIM(UPPER(E109)),5,1))&gt;=65,CODE(MID(TRIM(UPPER(E109)),5,1))&lt;=90,CODE(MID(TRIM(UPPER(E109)),10,1))&gt;=65,CODE(MID(TRIM(UPPER(E109)),10,1))&lt;=90,CODE(MID(TRIM(UPPER(E109)),6,1))&gt;=48,CODE(MID(TRIM(UPPER(E109)),6,1))&lt;=57,CODE(MID(TRIM(UPPER(E109)),7,1))&gt;=48,CODE(MID(TRIM(UPPER(E109)),7,1))&lt;=57,CODE(MID(TRIM(UPPER(E109)),8,1))&gt;=48,CODE(MID(TRIM(UPPER(E109)),8,1))&lt;=57,CODE(MID(TRIM(UPPER(E109)),9,1))&gt;=48,CODE(MID(TRIM(UPPER(E109)),9,1))&lt;=57),"N","Y"))</f>
      </c>
      <c r="G109" s="7">
        <f>IF($D109="","",IF(LEN(E109)&lt;4,"",IF(UPPER(MID(E109,4,1))="P","Individual",IF(UPPER(MID(E109,4,1))="H","HUF",IF(UPPER(MID(E109,4,1))="C","Company",IF(UPPER(MID(E109,4,1))="F","Firm",IF(UPPER(MID(E109,4,1))="L","LLP",IF(UPPER(MID(E109,4,1))="T","Trust",IF(UPPER(MID(E109,4,1))="A","AOP","")))))))))</f>
      </c>
      <c r="H109" s="8"/>
      <c r="I109" s="7">
        <f>IF($D109="","",IF(H109="","",IF(F109="Y",SUMPRODUCT(('Rate Lookup'!$A$1:$A$37=H109)*'Rate Lookup'!$D$1:$D$37),IF(OR(G109="Individual",G109="HUF"),SUMPRODUCT(('Rate Lookup'!$A$1:$A$37=H109)*'Rate Lookup'!$B$1:$B$37),SUMPRODUCT(('Rate Lookup'!$A$1:$A$37=H109)*'Rate Lookup'!$C$1:$C$37)))))</f>
      </c>
      <c r="J109" s="8"/>
      <c r="K109" s="8"/>
      <c r="L109" s="7">
        <f>IF($D109="","",ROUND(K109*I109/100,0))</f>
      </c>
      <c r="M109" s="7">
        <f>IF($D109="","",0)</f>
      </c>
      <c r="N109" s="7">
        <f>IF($D109="","",0)</f>
      </c>
      <c r="O109" s="7">
        <f>IF($D109="","",IF(OR(L109=0,J109="",IFERROR(INDEX('Challan Master'!$D$4:$D$207,MATCH($B109,'Challan Master'!$S$4:$S$207,0)),"")="",IFERROR(INDEX('Challan Master'!$D$4:$D$207,MATCH($B109,'Challan Master'!$S$4:$S$207,0)),"")&lt;=0),0,IF(IFERROR(INDEX('Challan Master'!$D$4:$D$207,MATCH($B109,'Challan Master'!$S$4:$S$207,0)),"")&lt;=DATE(YEAR(J109),MONTH(J109)+1,7),0,ROUND(L109*0.015*((YEAR(IFERROR(INDEX('Challan Master'!$D$4:$D$207,MATCH($B109,'Challan Master'!$S$4:$S$207,0)),""))-YEAR(J109))*12+(MONTH(IFERROR(INDEX('Challan Master'!$D$4:$D$207,MATCH($B109,'Challan Master'!$S$4:$S$207,0)),""))-MONTH(J109))+1),0))))</f>
      </c>
      <c r="P109" s="7">
        <f>IF($D109="","",0)</f>
      </c>
      <c r="Q109" s="8"/>
      <c r="R109" s="8"/>
      <c r="S109" s="8"/>
      <c r="T109" s="8"/>
      <c r="U109" s="8"/>
      <c r="V109" s="7">
        <f>IF($B109="","",IFERROR(INDEX('Challan Master'!$AA$4:$AA$207,MATCH($B109,'Challan Master'!$S$4:$S$207,0)),""))</f>
      </c>
    </row>
    <row r="110" spans="1:22" x14ac:dyDescent="0.25">
      <c r="A110" s="7">
        <f>IF($D110="","",COUNTIF($D$4:$D110,"&lt;&gt;"))</f>
      </c>
      <c r="B110" s="8"/>
      <c r="C110" s="7">
        <f>IF($B110="","","BSR "&amp;IFERROR(INDEX('Challan Master'!$B$4:$B$207,MATCH($B110,'Challan Master'!$S$4:$S$207,0)),"")&amp;" | Serial "&amp;IFERROR(INDEX('Challan Master'!$C$4:$C$207,MATCH($B110,'Challan Master'!$S$4:$S$207,0)),"")&amp;" | Deposit "&amp;TEXT(IFERROR(INDEX('Challan Master'!$D$4:$D$207,MATCH($B110,'Challan Master'!$S$4:$S$207,0)),""),"dd-mm-yyyy")&amp;" | Minor Head "&amp;IFERROR(INDEX('Challan Master'!$E$4:$E$207,MATCH($B110,'Challan Master'!$S$4:$S$207,0)),"")&amp;" | Tax ₹"&amp;TEXT(IFERROR(INDEX('Challan Master'!$G$4:$G$207,MATCH($B110,'Challan Master'!$S$4:$S$207,0)),""),"#,##0")&amp;" | Section "&amp;IFERROR(INDEX('Challan Master'!$F$4:$F$207,MATCH($B110,'Challan Master'!$S$4:$S$207,0)),""))</f>
      </c>
      <c r="D110" s="8"/>
      <c r="E110" s="8"/>
      <c r="F110" s="7">
        <f>IF($D110="","",IF(AND(LEN(TRIM(UPPER(E110)))=10,CODE(MID(TRIM(UPPER(E110)),1,1))&gt;=65,CODE(MID(TRIM(UPPER(E110)),1,1))&lt;=90,CODE(MID(TRIM(UPPER(E110)),2,1))&gt;=65,CODE(MID(TRIM(UPPER(E110)),2,1))&lt;=90,CODE(MID(TRIM(UPPER(E110)),3,1))&gt;=65,CODE(MID(TRIM(UPPER(E110)),3,1))&lt;=90,CODE(MID(TRIM(UPPER(E110)),4,1))&gt;=65,CODE(MID(TRIM(UPPER(E110)),4,1))&lt;=90,CODE(MID(TRIM(UPPER(E110)),5,1))&gt;=65,CODE(MID(TRIM(UPPER(E110)),5,1))&lt;=90,CODE(MID(TRIM(UPPER(E110)),10,1))&gt;=65,CODE(MID(TRIM(UPPER(E110)),10,1))&lt;=90,CODE(MID(TRIM(UPPER(E110)),6,1))&gt;=48,CODE(MID(TRIM(UPPER(E110)),6,1))&lt;=57,CODE(MID(TRIM(UPPER(E110)),7,1))&gt;=48,CODE(MID(TRIM(UPPER(E110)),7,1))&lt;=57,CODE(MID(TRIM(UPPER(E110)),8,1))&gt;=48,CODE(MID(TRIM(UPPER(E110)),8,1))&lt;=57,CODE(MID(TRIM(UPPER(E110)),9,1))&gt;=48,CODE(MID(TRIM(UPPER(E110)),9,1))&lt;=57),"N","Y"))</f>
      </c>
      <c r="G110" s="7">
        <f>IF($D110="","",IF(LEN(E110)&lt;4,"",IF(UPPER(MID(E110,4,1))="P","Individual",IF(UPPER(MID(E110,4,1))="H","HUF",IF(UPPER(MID(E110,4,1))="C","Company",IF(UPPER(MID(E110,4,1))="F","Firm",IF(UPPER(MID(E110,4,1))="L","LLP",IF(UPPER(MID(E110,4,1))="T","Trust",IF(UPPER(MID(E110,4,1))="A","AOP","")))))))))</f>
      </c>
      <c r="H110" s="8"/>
      <c r="I110" s="7">
        <f>IF($D110="","",IF(H110="","",IF(F110="Y",SUMPRODUCT(('Rate Lookup'!$A$1:$A$37=H110)*'Rate Lookup'!$D$1:$D$37),IF(OR(G110="Individual",G110="HUF"),SUMPRODUCT(('Rate Lookup'!$A$1:$A$37=H110)*'Rate Lookup'!$B$1:$B$37),SUMPRODUCT(('Rate Lookup'!$A$1:$A$37=H110)*'Rate Lookup'!$C$1:$C$37)))))</f>
      </c>
      <c r="J110" s="8"/>
      <c r="K110" s="8"/>
      <c r="L110" s="7">
        <f>IF($D110="","",ROUND(K110*I110/100,0))</f>
      </c>
      <c r="M110" s="7">
        <f>IF($D110="","",0)</f>
      </c>
      <c r="N110" s="7">
        <f>IF($D110="","",0)</f>
      </c>
      <c r="O110" s="7">
        <f>IF($D110="","",IF(OR(L110=0,J110="",IFERROR(INDEX('Challan Master'!$D$4:$D$207,MATCH($B110,'Challan Master'!$S$4:$S$207,0)),"")="",IFERROR(INDEX('Challan Master'!$D$4:$D$207,MATCH($B110,'Challan Master'!$S$4:$S$207,0)),"")&lt;=0),0,IF(IFERROR(INDEX('Challan Master'!$D$4:$D$207,MATCH($B110,'Challan Master'!$S$4:$S$207,0)),"")&lt;=DATE(YEAR(J110),MONTH(J110)+1,7),0,ROUND(L110*0.015*((YEAR(IFERROR(INDEX('Challan Master'!$D$4:$D$207,MATCH($B110,'Challan Master'!$S$4:$S$207,0)),""))-YEAR(J110))*12+(MONTH(IFERROR(INDEX('Challan Master'!$D$4:$D$207,MATCH($B110,'Challan Master'!$S$4:$S$207,0)),""))-MONTH(J110))+1),0))))</f>
      </c>
      <c r="P110" s="7">
        <f>IF($D110="","",0)</f>
      </c>
      <c r="Q110" s="8"/>
      <c r="R110" s="8"/>
      <c r="S110" s="8"/>
      <c r="T110" s="8"/>
      <c r="U110" s="8"/>
      <c r="V110" s="7">
        <f>IF($B110="","",IFERROR(INDEX('Challan Master'!$AA$4:$AA$207,MATCH($B110,'Challan Master'!$S$4:$S$207,0)),""))</f>
      </c>
    </row>
    <row r="111" spans="1:22" x14ac:dyDescent="0.25">
      <c r="A111" s="7">
        <f>IF($D111="","",COUNTIF($D$4:$D111,"&lt;&gt;"))</f>
      </c>
      <c r="B111" s="8"/>
      <c r="C111" s="7">
        <f>IF($B111="","","BSR "&amp;IFERROR(INDEX('Challan Master'!$B$4:$B$207,MATCH($B111,'Challan Master'!$S$4:$S$207,0)),"")&amp;" | Serial "&amp;IFERROR(INDEX('Challan Master'!$C$4:$C$207,MATCH($B111,'Challan Master'!$S$4:$S$207,0)),"")&amp;" | Deposit "&amp;TEXT(IFERROR(INDEX('Challan Master'!$D$4:$D$207,MATCH($B111,'Challan Master'!$S$4:$S$207,0)),""),"dd-mm-yyyy")&amp;" | Minor Head "&amp;IFERROR(INDEX('Challan Master'!$E$4:$E$207,MATCH($B111,'Challan Master'!$S$4:$S$207,0)),"")&amp;" | Tax ₹"&amp;TEXT(IFERROR(INDEX('Challan Master'!$G$4:$G$207,MATCH($B111,'Challan Master'!$S$4:$S$207,0)),""),"#,##0")&amp;" | Section "&amp;IFERROR(INDEX('Challan Master'!$F$4:$F$207,MATCH($B111,'Challan Master'!$S$4:$S$207,0)),""))</f>
      </c>
      <c r="D111" s="8"/>
      <c r="E111" s="8"/>
      <c r="F111" s="7">
        <f>IF($D111="","",IF(AND(LEN(TRIM(UPPER(E111)))=10,CODE(MID(TRIM(UPPER(E111)),1,1))&gt;=65,CODE(MID(TRIM(UPPER(E111)),1,1))&lt;=90,CODE(MID(TRIM(UPPER(E111)),2,1))&gt;=65,CODE(MID(TRIM(UPPER(E111)),2,1))&lt;=90,CODE(MID(TRIM(UPPER(E111)),3,1))&gt;=65,CODE(MID(TRIM(UPPER(E111)),3,1))&lt;=90,CODE(MID(TRIM(UPPER(E111)),4,1))&gt;=65,CODE(MID(TRIM(UPPER(E111)),4,1))&lt;=90,CODE(MID(TRIM(UPPER(E111)),5,1))&gt;=65,CODE(MID(TRIM(UPPER(E111)),5,1))&lt;=90,CODE(MID(TRIM(UPPER(E111)),10,1))&gt;=65,CODE(MID(TRIM(UPPER(E111)),10,1))&lt;=90,CODE(MID(TRIM(UPPER(E111)),6,1))&gt;=48,CODE(MID(TRIM(UPPER(E111)),6,1))&lt;=57,CODE(MID(TRIM(UPPER(E111)),7,1))&gt;=48,CODE(MID(TRIM(UPPER(E111)),7,1))&lt;=57,CODE(MID(TRIM(UPPER(E111)),8,1))&gt;=48,CODE(MID(TRIM(UPPER(E111)),8,1))&lt;=57,CODE(MID(TRIM(UPPER(E111)),9,1))&gt;=48,CODE(MID(TRIM(UPPER(E111)),9,1))&lt;=57),"N","Y"))</f>
      </c>
      <c r="G111" s="7">
        <f>IF($D111="","",IF(LEN(E111)&lt;4,"",IF(UPPER(MID(E111,4,1))="P","Individual",IF(UPPER(MID(E111,4,1))="H","HUF",IF(UPPER(MID(E111,4,1))="C","Company",IF(UPPER(MID(E111,4,1))="F","Firm",IF(UPPER(MID(E111,4,1))="L","LLP",IF(UPPER(MID(E111,4,1))="T","Trust",IF(UPPER(MID(E111,4,1))="A","AOP","")))))))))</f>
      </c>
      <c r="H111" s="8"/>
      <c r="I111" s="7">
        <f>IF($D111="","",IF(H111="","",IF(F111="Y",SUMPRODUCT(('Rate Lookup'!$A$1:$A$37=H111)*'Rate Lookup'!$D$1:$D$37),IF(OR(G111="Individual",G111="HUF"),SUMPRODUCT(('Rate Lookup'!$A$1:$A$37=H111)*'Rate Lookup'!$B$1:$B$37),SUMPRODUCT(('Rate Lookup'!$A$1:$A$37=H111)*'Rate Lookup'!$C$1:$C$37)))))</f>
      </c>
      <c r="J111" s="8"/>
      <c r="K111" s="8"/>
      <c r="L111" s="7">
        <f>IF($D111="","",ROUND(K111*I111/100,0))</f>
      </c>
      <c r="M111" s="7">
        <f>IF($D111="","",0)</f>
      </c>
      <c r="N111" s="7">
        <f>IF($D111="","",0)</f>
      </c>
      <c r="O111" s="7">
        <f>IF($D111="","",IF(OR(L111=0,J111="",IFERROR(INDEX('Challan Master'!$D$4:$D$207,MATCH($B111,'Challan Master'!$S$4:$S$207,0)),"")="",IFERROR(INDEX('Challan Master'!$D$4:$D$207,MATCH($B111,'Challan Master'!$S$4:$S$207,0)),"")&lt;=0),0,IF(IFERROR(INDEX('Challan Master'!$D$4:$D$207,MATCH($B111,'Challan Master'!$S$4:$S$207,0)),"")&lt;=DATE(YEAR(J111),MONTH(J111)+1,7),0,ROUND(L111*0.015*((YEAR(IFERROR(INDEX('Challan Master'!$D$4:$D$207,MATCH($B111,'Challan Master'!$S$4:$S$207,0)),""))-YEAR(J111))*12+(MONTH(IFERROR(INDEX('Challan Master'!$D$4:$D$207,MATCH($B111,'Challan Master'!$S$4:$S$207,0)),""))-MONTH(J111))+1),0))))</f>
      </c>
      <c r="P111" s="7">
        <f>IF($D111="","",0)</f>
      </c>
      <c r="Q111" s="8"/>
      <c r="R111" s="8"/>
      <c r="S111" s="8"/>
      <c r="T111" s="8"/>
      <c r="U111" s="8"/>
      <c r="V111" s="7">
        <f>IF($B111="","",IFERROR(INDEX('Challan Master'!$AA$4:$AA$207,MATCH($B111,'Challan Master'!$S$4:$S$207,0)),""))</f>
      </c>
    </row>
    <row r="112" spans="1:22" x14ac:dyDescent="0.25">
      <c r="A112" s="7">
        <f>IF($D112="","",COUNTIF($D$4:$D112,"&lt;&gt;"))</f>
      </c>
      <c r="B112" s="8"/>
      <c r="C112" s="7">
        <f>IF($B112="","","BSR "&amp;IFERROR(INDEX('Challan Master'!$B$4:$B$207,MATCH($B112,'Challan Master'!$S$4:$S$207,0)),"")&amp;" | Serial "&amp;IFERROR(INDEX('Challan Master'!$C$4:$C$207,MATCH($B112,'Challan Master'!$S$4:$S$207,0)),"")&amp;" | Deposit "&amp;TEXT(IFERROR(INDEX('Challan Master'!$D$4:$D$207,MATCH($B112,'Challan Master'!$S$4:$S$207,0)),""),"dd-mm-yyyy")&amp;" | Minor Head "&amp;IFERROR(INDEX('Challan Master'!$E$4:$E$207,MATCH($B112,'Challan Master'!$S$4:$S$207,0)),"")&amp;" | Tax ₹"&amp;TEXT(IFERROR(INDEX('Challan Master'!$G$4:$G$207,MATCH($B112,'Challan Master'!$S$4:$S$207,0)),""),"#,##0")&amp;" | Section "&amp;IFERROR(INDEX('Challan Master'!$F$4:$F$207,MATCH($B112,'Challan Master'!$S$4:$S$207,0)),""))</f>
      </c>
      <c r="D112" s="8"/>
      <c r="E112" s="8"/>
      <c r="F112" s="7">
        <f>IF($D112="","",IF(AND(LEN(TRIM(UPPER(E112)))=10,CODE(MID(TRIM(UPPER(E112)),1,1))&gt;=65,CODE(MID(TRIM(UPPER(E112)),1,1))&lt;=90,CODE(MID(TRIM(UPPER(E112)),2,1))&gt;=65,CODE(MID(TRIM(UPPER(E112)),2,1))&lt;=90,CODE(MID(TRIM(UPPER(E112)),3,1))&gt;=65,CODE(MID(TRIM(UPPER(E112)),3,1))&lt;=90,CODE(MID(TRIM(UPPER(E112)),4,1))&gt;=65,CODE(MID(TRIM(UPPER(E112)),4,1))&lt;=90,CODE(MID(TRIM(UPPER(E112)),5,1))&gt;=65,CODE(MID(TRIM(UPPER(E112)),5,1))&lt;=90,CODE(MID(TRIM(UPPER(E112)),10,1))&gt;=65,CODE(MID(TRIM(UPPER(E112)),10,1))&lt;=90,CODE(MID(TRIM(UPPER(E112)),6,1))&gt;=48,CODE(MID(TRIM(UPPER(E112)),6,1))&lt;=57,CODE(MID(TRIM(UPPER(E112)),7,1))&gt;=48,CODE(MID(TRIM(UPPER(E112)),7,1))&lt;=57,CODE(MID(TRIM(UPPER(E112)),8,1))&gt;=48,CODE(MID(TRIM(UPPER(E112)),8,1))&lt;=57,CODE(MID(TRIM(UPPER(E112)),9,1))&gt;=48,CODE(MID(TRIM(UPPER(E112)),9,1))&lt;=57),"N","Y"))</f>
      </c>
      <c r="G112" s="7">
        <f>IF($D112="","",IF(LEN(E112)&lt;4,"",IF(UPPER(MID(E112,4,1))="P","Individual",IF(UPPER(MID(E112,4,1))="H","HUF",IF(UPPER(MID(E112,4,1))="C","Company",IF(UPPER(MID(E112,4,1))="F","Firm",IF(UPPER(MID(E112,4,1))="L","LLP",IF(UPPER(MID(E112,4,1))="T","Trust",IF(UPPER(MID(E112,4,1))="A","AOP","")))))))))</f>
      </c>
      <c r="H112" s="8"/>
      <c r="I112" s="7">
        <f>IF($D112="","",IF(H112="","",IF(F112="Y",SUMPRODUCT(('Rate Lookup'!$A$1:$A$37=H112)*'Rate Lookup'!$D$1:$D$37),IF(OR(G112="Individual",G112="HUF"),SUMPRODUCT(('Rate Lookup'!$A$1:$A$37=H112)*'Rate Lookup'!$B$1:$B$37),SUMPRODUCT(('Rate Lookup'!$A$1:$A$37=H112)*'Rate Lookup'!$C$1:$C$37)))))</f>
      </c>
      <c r="J112" s="8"/>
      <c r="K112" s="8"/>
      <c r="L112" s="7">
        <f>IF($D112="","",ROUND(K112*I112/100,0))</f>
      </c>
      <c r="M112" s="7">
        <f>IF($D112="","",0)</f>
      </c>
      <c r="N112" s="7">
        <f>IF($D112="","",0)</f>
      </c>
      <c r="O112" s="7">
        <f>IF($D112="","",IF(OR(L112=0,J112="",IFERROR(INDEX('Challan Master'!$D$4:$D$207,MATCH($B112,'Challan Master'!$S$4:$S$207,0)),"")="",IFERROR(INDEX('Challan Master'!$D$4:$D$207,MATCH($B112,'Challan Master'!$S$4:$S$207,0)),"")&lt;=0),0,IF(IFERROR(INDEX('Challan Master'!$D$4:$D$207,MATCH($B112,'Challan Master'!$S$4:$S$207,0)),"")&lt;=DATE(YEAR(J112),MONTH(J112)+1,7),0,ROUND(L112*0.015*((YEAR(IFERROR(INDEX('Challan Master'!$D$4:$D$207,MATCH($B112,'Challan Master'!$S$4:$S$207,0)),""))-YEAR(J112))*12+(MONTH(IFERROR(INDEX('Challan Master'!$D$4:$D$207,MATCH($B112,'Challan Master'!$S$4:$S$207,0)),""))-MONTH(J112))+1),0))))</f>
      </c>
      <c r="P112" s="7">
        <f>IF($D112="","",0)</f>
      </c>
      <c r="Q112" s="8"/>
      <c r="R112" s="8"/>
      <c r="S112" s="8"/>
      <c r="T112" s="8"/>
      <c r="U112" s="8"/>
      <c r="V112" s="7">
        <f>IF($B112="","",IFERROR(INDEX('Challan Master'!$AA$4:$AA$207,MATCH($B112,'Challan Master'!$S$4:$S$207,0)),""))</f>
      </c>
    </row>
    <row r="113" spans="1:22" x14ac:dyDescent="0.25">
      <c r="A113" s="7">
        <f>IF($D113="","",COUNTIF($D$4:$D113,"&lt;&gt;"))</f>
      </c>
      <c r="B113" s="8"/>
      <c r="C113" s="7">
        <f>IF($B113="","","BSR "&amp;IFERROR(INDEX('Challan Master'!$B$4:$B$207,MATCH($B113,'Challan Master'!$S$4:$S$207,0)),"")&amp;" | Serial "&amp;IFERROR(INDEX('Challan Master'!$C$4:$C$207,MATCH($B113,'Challan Master'!$S$4:$S$207,0)),"")&amp;" | Deposit "&amp;TEXT(IFERROR(INDEX('Challan Master'!$D$4:$D$207,MATCH($B113,'Challan Master'!$S$4:$S$207,0)),""),"dd-mm-yyyy")&amp;" | Minor Head "&amp;IFERROR(INDEX('Challan Master'!$E$4:$E$207,MATCH($B113,'Challan Master'!$S$4:$S$207,0)),"")&amp;" | Tax ₹"&amp;TEXT(IFERROR(INDEX('Challan Master'!$G$4:$G$207,MATCH($B113,'Challan Master'!$S$4:$S$207,0)),""),"#,##0")&amp;" | Section "&amp;IFERROR(INDEX('Challan Master'!$F$4:$F$207,MATCH($B113,'Challan Master'!$S$4:$S$207,0)),""))</f>
      </c>
      <c r="D113" s="8"/>
      <c r="E113" s="8"/>
      <c r="F113" s="7">
        <f>IF($D113="","",IF(AND(LEN(TRIM(UPPER(E113)))=10,CODE(MID(TRIM(UPPER(E113)),1,1))&gt;=65,CODE(MID(TRIM(UPPER(E113)),1,1))&lt;=90,CODE(MID(TRIM(UPPER(E113)),2,1))&gt;=65,CODE(MID(TRIM(UPPER(E113)),2,1))&lt;=90,CODE(MID(TRIM(UPPER(E113)),3,1))&gt;=65,CODE(MID(TRIM(UPPER(E113)),3,1))&lt;=90,CODE(MID(TRIM(UPPER(E113)),4,1))&gt;=65,CODE(MID(TRIM(UPPER(E113)),4,1))&lt;=90,CODE(MID(TRIM(UPPER(E113)),5,1))&gt;=65,CODE(MID(TRIM(UPPER(E113)),5,1))&lt;=90,CODE(MID(TRIM(UPPER(E113)),10,1))&gt;=65,CODE(MID(TRIM(UPPER(E113)),10,1))&lt;=90,CODE(MID(TRIM(UPPER(E113)),6,1))&gt;=48,CODE(MID(TRIM(UPPER(E113)),6,1))&lt;=57,CODE(MID(TRIM(UPPER(E113)),7,1))&gt;=48,CODE(MID(TRIM(UPPER(E113)),7,1))&lt;=57,CODE(MID(TRIM(UPPER(E113)),8,1))&gt;=48,CODE(MID(TRIM(UPPER(E113)),8,1))&lt;=57,CODE(MID(TRIM(UPPER(E113)),9,1))&gt;=48,CODE(MID(TRIM(UPPER(E113)),9,1))&lt;=57),"N","Y"))</f>
      </c>
      <c r="G113" s="7">
        <f>IF($D113="","",IF(LEN(E113)&lt;4,"",IF(UPPER(MID(E113,4,1))="P","Individual",IF(UPPER(MID(E113,4,1))="H","HUF",IF(UPPER(MID(E113,4,1))="C","Company",IF(UPPER(MID(E113,4,1))="F","Firm",IF(UPPER(MID(E113,4,1))="L","LLP",IF(UPPER(MID(E113,4,1))="T","Trust",IF(UPPER(MID(E113,4,1))="A","AOP","")))))))))</f>
      </c>
      <c r="H113" s="8"/>
      <c r="I113" s="7">
        <f>IF($D113="","",IF(H113="","",IF(F113="Y",SUMPRODUCT(('Rate Lookup'!$A$1:$A$37=H113)*'Rate Lookup'!$D$1:$D$37),IF(OR(G113="Individual",G113="HUF"),SUMPRODUCT(('Rate Lookup'!$A$1:$A$37=H113)*'Rate Lookup'!$B$1:$B$37),SUMPRODUCT(('Rate Lookup'!$A$1:$A$37=H113)*'Rate Lookup'!$C$1:$C$37)))))</f>
      </c>
      <c r="J113" s="8"/>
      <c r="K113" s="8"/>
      <c r="L113" s="7">
        <f>IF($D113="","",ROUND(K113*I113/100,0))</f>
      </c>
      <c r="M113" s="7">
        <f>IF($D113="","",0)</f>
      </c>
      <c r="N113" s="7">
        <f>IF($D113="","",0)</f>
      </c>
      <c r="O113" s="7">
        <f>IF($D113="","",IF(OR(L113=0,J113="",IFERROR(INDEX('Challan Master'!$D$4:$D$207,MATCH($B113,'Challan Master'!$S$4:$S$207,0)),"")="",IFERROR(INDEX('Challan Master'!$D$4:$D$207,MATCH($B113,'Challan Master'!$S$4:$S$207,0)),"")&lt;=0),0,IF(IFERROR(INDEX('Challan Master'!$D$4:$D$207,MATCH($B113,'Challan Master'!$S$4:$S$207,0)),"")&lt;=DATE(YEAR(J113),MONTH(J113)+1,7),0,ROUND(L113*0.015*((YEAR(IFERROR(INDEX('Challan Master'!$D$4:$D$207,MATCH($B113,'Challan Master'!$S$4:$S$207,0)),""))-YEAR(J113))*12+(MONTH(IFERROR(INDEX('Challan Master'!$D$4:$D$207,MATCH($B113,'Challan Master'!$S$4:$S$207,0)),""))-MONTH(J113))+1),0))))</f>
      </c>
      <c r="P113" s="7">
        <f>IF($D113="","",0)</f>
      </c>
      <c r="Q113" s="8"/>
      <c r="R113" s="8"/>
      <c r="S113" s="8"/>
      <c r="T113" s="8"/>
      <c r="U113" s="8"/>
      <c r="V113" s="7">
        <f>IF($B113="","",IFERROR(INDEX('Challan Master'!$AA$4:$AA$207,MATCH($B113,'Challan Master'!$S$4:$S$207,0)),""))</f>
      </c>
    </row>
    <row r="114" spans="1:22" x14ac:dyDescent="0.25">
      <c r="A114" s="7">
        <f>IF($D114="","",COUNTIF($D$4:$D114,"&lt;&gt;"))</f>
      </c>
      <c r="B114" s="8"/>
      <c r="C114" s="7">
        <f>IF($B114="","","BSR "&amp;IFERROR(INDEX('Challan Master'!$B$4:$B$207,MATCH($B114,'Challan Master'!$S$4:$S$207,0)),"")&amp;" | Serial "&amp;IFERROR(INDEX('Challan Master'!$C$4:$C$207,MATCH($B114,'Challan Master'!$S$4:$S$207,0)),"")&amp;" | Deposit "&amp;TEXT(IFERROR(INDEX('Challan Master'!$D$4:$D$207,MATCH($B114,'Challan Master'!$S$4:$S$207,0)),""),"dd-mm-yyyy")&amp;" | Minor Head "&amp;IFERROR(INDEX('Challan Master'!$E$4:$E$207,MATCH($B114,'Challan Master'!$S$4:$S$207,0)),"")&amp;" | Tax ₹"&amp;TEXT(IFERROR(INDEX('Challan Master'!$G$4:$G$207,MATCH($B114,'Challan Master'!$S$4:$S$207,0)),""),"#,##0")&amp;" | Section "&amp;IFERROR(INDEX('Challan Master'!$F$4:$F$207,MATCH($B114,'Challan Master'!$S$4:$S$207,0)),""))</f>
      </c>
      <c r="D114" s="8"/>
      <c r="E114" s="8"/>
      <c r="F114" s="7">
        <f>IF($D114="","",IF(AND(LEN(TRIM(UPPER(E114)))=10,CODE(MID(TRIM(UPPER(E114)),1,1))&gt;=65,CODE(MID(TRIM(UPPER(E114)),1,1))&lt;=90,CODE(MID(TRIM(UPPER(E114)),2,1))&gt;=65,CODE(MID(TRIM(UPPER(E114)),2,1))&lt;=90,CODE(MID(TRIM(UPPER(E114)),3,1))&gt;=65,CODE(MID(TRIM(UPPER(E114)),3,1))&lt;=90,CODE(MID(TRIM(UPPER(E114)),4,1))&gt;=65,CODE(MID(TRIM(UPPER(E114)),4,1))&lt;=90,CODE(MID(TRIM(UPPER(E114)),5,1))&gt;=65,CODE(MID(TRIM(UPPER(E114)),5,1))&lt;=90,CODE(MID(TRIM(UPPER(E114)),10,1))&gt;=65,CODE(MID(TRIM(UPPER(E114)),10,1))&lt;=90,CODE(MID(TRIM(UPPER(E114)),6,1))&gt;=48,CODE(MID(TRIM(UPPER(E114)),6,1))&lt;=57,CODE(MID(TRIM(UPPER(E114)),7,1))&gt;=48,CODE(MID(TRIM(UPPER(E114)),7,1))&lt;=57,CODE(MID(TRIM(UPPER(E114)),8,1))&gt;=48,CODE(MID(TRIM(UPPER(E114)),8,1))&lt;=57,CODE(MID(TRIM(UPPER(E114)),9,1))&gt;=48,CODE(MID(TRIM(UPPER(E114)),9,1))&lt;=57),"N","Y"))</f>
      </c>
      <c r="G114" s="7">
        <f>IF($D114="","",IF(LEN(E114)&lt;4,"",IF(UPPER(MID(E114,4,1))="P","Individual",IF(UPPER(MID(E114,4,1))="H","HUF",IF(UPPER(MID(E114,4,1))="C","Company",IF(UPPER(MID(E114,4,1))="F","Firm",IF(UPPER(MID(E114,4,1))="L","LLP",IF(UPPER(MID(E114,4,1))="T","Trust",IF(UPPER(MID(E114,4,1))="A","AOP","")))))))))</f>
      </c>
      <c r="H114" s="8"/>
      <c r="I114" s="7">
        <f>IF($D114="","",IF(H114="","",IF(F114="Y",SUMPRODUCT(('Rate Lookup'!$A$1:$A$37=H114)*'Rate Lookup'!$D$1:$D$37),IF(OR(G114="Individual",G114="HUF"),SUMPRODUCT(('Rate Lookup'!$A$1:$A$37=H114)*'Rate Lookup'!$B$1:$B$37),SUMPRODUCT(('Rate Lookup'!$A$1:$A$37=H114)*'Rate Lookup'!$C$1:$C$37)))))</f>
      </c>
      <c r="J114" s="8"/>
      <c r="K114" s="8"/>
      <c r="L114" s="7">
        <f>IF($D114="","",ROUND(K114*I114/100,0))</f>
      </c>
      <c r="M114" s="7">
        <f>IF($D114="","",0)</f>
      </c>
      <c r="N114" s="7">
        <f>IF($D114="","",0)</f>
      </c>
      <c r="O114" s="7">
        <f>IF($D114="","",IF(OR(L114=0,J114="",IFERROR(INDEX('Challan Master'!$D$4:$D$207,MATCH($B114,'Challan Master'!$S$4:$S$207,0)),"")="",IFERROR(INDEX('Challan Master'!$D$4:$D$207,MATCH($B114,'Challan Master'!$S$4:$S$207,0)),"")&lt;=0),0,IF(IFERROR(INDEX('Challan Master'!$D$4:$D$207,MATCH($B114,'Challan Master'!$S$4:$S$207,0)),"")&lt;=DATE(YEAR(J114),MONTH(J114)+1,7),0,ROUND(L114*0.015*((YEAR(IFERROR(INDEX('Challan Master'!$D$4:$D$207,MATCH($B114,'Challan Master'!$S$4:$S$207,0)),""))-YEAR(J114))*12+(MONTH(IFERROR(INDEX('Challan Master'!$D$4:$D$207,MATCH($B114,'Challan Master'!$S$4:$S$207,0)),""))-MONTH(J114))+1),0))))</f>
      </c>
      <c r="P114" s="7">
        <f>IF($D114="","",0)</f>
      </c>
      <c r="Q114" s="8"/>
      <c r="R114" s="8"/>
      <c r="S114" s="8"/>
      <c r="T114" s="8"/>
      <c r="U114" s="8"/>
      <c r="V114" s="7">
        <f>IF($B114="","",IFERROR(INDEX('Challan Master'!$AA$4:$AA$207,MATCH($B114,'Challan Master'!$S$4:$S$207,0)),""))</f>
      </c>
    </row>
    <row r="115" spans="1:22" x14ac:dyDescent="0.25">
      <c r="A115" s="7">
        <f>IF($D115="","",COUNTIF($D$4:$D115,"&lt;&gt;"))</f>
      </c>
      <c r="B115" s="8"/>
      <c r="C115" s="7">
        <f>IF($B115="","","BSR "&amp;IFERROR(INDEX('Challan Master'!$B$4:$B$207,MATCH($B115,'Challan Master'!$S$4:$S$207,0)),"")&amp;" | Serial "&amp;IFERROR(INDEX('Challan Master'!$C$4:$C$207,MATCH($B115,'Challan Master'!$S$4:$S$207,0)),"")&amp;" | Deposit "&amp;TEXT(IFERROR(INDEX('Challan Master'!$D$4:$D$207,MATCH($B115,'Challan Master'!$S$4:$S$207,0)),""),"dd-mm-yyyy")&amp;" | Minor Head "&amp;IFERROR(INDEX('Challan Master'!$E$4:$E$207,MATCH($B115,'Challan Master'!$S$4:$S$207,0)),"")&amp;" | Tax ₹"&amp;TEXT(IFERROR(INDEX('Challan Master'!$G$4:$G$207,MATCH($B115,'Challan Master'!$S$4:$S$207,0)),""),"#,##0")&amp;" | Section "&amp;IFERROR(INDEX('Challan Master'!$F$4:$F$207,MATCH($B115,'Challan Master'!$S$4:$S$207,0)),""))</f>
      </c>
      <c r="D115" s="8"/>
      <c r="E115" s="8"/>
      <c r="F115" s="7">
        <f>IF($D115="","",IF(AND(LEN(TRIM(UPPER(E115)))=10,CODE(MID(TRIM(UPPER(E115)),1,1))&gt;=65,CODE(MID(TRIM(UPPER(E115)),1,1))&lt;=90,CODE(MID(TRIM(UPPER(E115)),2,1))&gt;=65,CODE(MID(TRIM(UPPER(E115)),2,1))&lt;=90,CODE(MID(TRIM(UPPER(E115)),3,1))&gt;=65,CODE(MID(TRIM(UPPER(E115)),3,1))&lt;=90,CODE(MID(TRIM(UPPER(E115)),4,1))&gt;=65,CODE(MID(TRIM(UPPER(E115)),4,1))&lt;=90,CODE(MID(TRIM(UPPER(E115)),5,1))&gt;=65,CODE(MID(TRIM(UPPER(E115)),5,1))&lt;=90,CODE(MID(TRIM(UPPER(E115)),10,1))&gt;=65,CODE(MID(TRIM(UPPER(E115)),10,1))&lt;=90,CODE(MID(TRIM(UPPER(E115)),6,1))&gt;=48,CODE(MID(TRIM(UPPER(E115)),6,1))&lt;=57,CODE(MID(TRIM(UPPER(E115)),7,1))&gt;=48,CODE(MID(TRIM(UPPER(E115)),7,1))&lt;=57,CODE(MID(TRIM(UPPER(E115)),8,1))&gt;=48,CODE(MID(TRIM(UPPER(E115)),8,1))&lt;=57,CODE(MID(TRIM(UPPER(E115)),9,1))&gt;=48,CODE(MID(TRIM(UPPER(E115)),9,1))&lt;=57),"N","Y"))</f>
      </c>
      <c r="G115" s="7">
        <f>IF($D115="","",IF(LEN(E115)&lt;4,"",IF(UPPER(MID(E115,4,1))="P","Individual",IF(UPPER(MID(E115,4,1))="H","HUF",IF(UPPER(MID(E115,4,1))="C","Company",IF(UPPER(MID(E115,4,1))="F","Firm",IF(UPPER(MID(E115,4,1))="L","LLP",IF(UPPER(MID(E115,4,1))="T","Trust",IF(UPPER(MID(E115,4,1))="A","AOP","")))))))))</f>
      </c>
      <c r="H115" s="8"/>
      <c r="I115" s="7">
        <f>IF($D115="","",IF(H115="","",IF(F115="Y",SUMPRODUCT(('Rate Lookup'!$A$1:$A$37=H115)*'Rate Lookup'!$D$1:$D$37),IF(OR(G115="Individual",G115="HUF"),SUMPRODUCT(('Rate Lookup'!$A$1:$A$37=H115)*'Rate Lookup'!$B$1:$B$37),SUMPRODUCT(('Rate Lookup'!$A$1:$A$37=H115)*'Rate Lookup'!$C$1:$C$37)))))</f>
      </c>
      <c r="J115" s="8"/>
      <c r="K115" s="8"/>
      <c r="L115" s="7">
        <f>IF($D115="","",ROUND(K115*I115/100,0))</f>
      </c>
      <c r="M115" s="7">
        <f>IF($D115="","",0)</f>
      </c>
      <c r="N115" s="7">
        <f>IF($D115="","",0)</f>
      </c>
      <c r="O115" s="7">
        <f>IF($D115="","",IF(OR(L115=0,J115="",IFERROR(INDEX('Challan Master'!$D$4:$D$207,MATCH($B115,'Challan Master'!$S$4:$S$207,0)),"")="",IFERROR(INDEX('Challan Master'!$D$4:$D$207,MATCH($B115,'Challan Master'!$S$4:$S$207,0)),"")&lt;=0),0,IF(IFERROR(INDEX('Challan Master'!$D$4:$D$207,MATCH($B115,'Challan Master'!$S$4:$S$207,0)),"")&lt;=DATE(YEAR(J115),MONTH(J115)+1,7),0,ROUND(L115*0.015*((YEAR(IFERROR(INDEX('Challan Master'!$D$4:$D$207,MATCH($B115,'Challan Master'!$S$4:$S$207,0)),""))-YEAR(J115))*12+(MONTH(IFERROR(INDEX('Challan Master'!$D$4:$D$207,MATCH($B115,'Challan Master'!$S$4:$S$207,0)),""))-MONTH(J115))+1),0))))</f>
      </c>
      <c r="P115" s="7">
        <f>IF($D115="","",0)</f>
      </c>
      <c r="Q115" s="8"/>
      <c r="R115" s="8"/>
      <c r="S115" s="8"/>
      <c r="T115" s="8"/>
      <c r="U115" s="8"/>
      <c r="V115" s="7">
        <f>IF($B115="","",IFERROR(INDEX('Challan Master'!$AA$4:$AA$207,MATCH($B115,'Challan Master'!$S$4:$S$207,0)),""))</f>
      </c>
    </row>
    <row r="116" spans="1:22" x14ac:dyDescent="0.25">
      <c r="A116" s="7">
        <f>IF($D116="","",COUNTIF($D$4:$D116,"&lt;&gt;"))</f>
      </c>
      <c r="B116" s="8"/>
      <c r="C116" s="7">
        <f>IF($B116="","","BSR "&amp;IFERROR(INDEX('Challan Master'!$B$4:$B$207,MATCH($B116,'Challan Master'!$S$4:$S$207,0)),"")&amp;" | Serial "&amp;IFERROR(INDEX('Challan Master'!$C$4:$C$207,MATCH($B116,'Challan Master'!$S$4:$S$207,0)),"")&amp;" | Deposit "&amp;TEXT(IFERROR(INDEX('Challan Master'!$D$4:$D$207,MATCH($B116,'Challan Master'!$S$4:$S$207,0)),""),"dd-mm-yyyy")&amp;" | Minor Head "&amp;IFERROR(INDEX('Challan Master'!$E$4:$E$207,MATCH($B116,'Challan Master'!$S$4:$S$207,0)),"")&amp;" | Tax ₹"&amp;TEXT(IFERROR(INDEX('Challan Master'!$G$4:$G$207,MATCH($B116,'Challan Master'!$S$4:$S$207,0)),""),"#,##0")&amp;" | Section "&amp;IFERROR(INDEX('Challan Master'!$F$4:$F$207,MATCH($B116,'Challan Master'!$S$4:$S$207,0)),""))</f>
      </c>
      <c r="D116" s="8"/>
      <c r="E116" s="8"/>
      <c r="F116" s="7">
        <f>IF($D116="","",IF(AND(LEN(TRIM(UPPER(E116)))=10,CODE(MID(TRIM(UPPER(E116)),1,1))&gt;=65,CODE(MID(TRIM(UPPER(E116)),1,1))&lt;=90,CODE(MID(TRIM(UPPER(E116)),2,1))&gt;=65,CODE(MID(TRIM(UPPER(E116)),2,1))&lt;=90,CODE(MID(TRIM(UPPER(E116)),3,1))&gt;=65,CODE(MID(TRIM(UPPER(E116)),3,1))&lt;=90,CODE(MID(TRIM(UPPER(E116)),4,1))&gt;=65,CODE(MID(TRIM(UPPER(E116)),4,1))&lt;=90,CODE(MID(TRIM(UPPER(E116)),5,1))&gt;=65,CODE(MID(TRIM(UPPER(E116)),5,1))&lt;=90,CODE(MID(TRIM(UPPER(E116)),10,1))&gt;=65,CODE(MID(TRIM(UPPER(E116)),10,1))&lt;=90,CODE(MID(TRIM(UPPER(E116)),6,1))&gt;=48,CODE(MID(TRIM(UPPER(E116)),6,1))&lt;=57,CODE(MID(TRIM(UPPER(E116)),7,1))&gt;=48,CODE(MID(TRIM(UPPER(E116)),7,1))&lt;=57,CODE(MID(TRIM(UPPER(E116)),8,1))&gt;=48,CODE(MID(TRIM(UPPER(E116)),8,1))&lt;=57,CODE(MID(TRIM(UPPER(E116)),9,1))&gt;=48,CODE(MID(TRIM(UPPER(E116)),9,1))&lt;=57),"N","Y"))</f>
      </c>
      <c r="G116" s="7">
        <f>IF($D116="","",IF(LEN(E116)&lt;4,"",IF(UPPER(MID(E116,4,1))="P","Individual",IF(UPPER(MID(E116,4,1))="H","HUF",IF(UPPER(MID(E116,4,1))="C","Company",IF(UPPER(MID(E116,4,1))="F","Firm",IF(UPPER(MID(E116,4,1))="L","LLP",IF(UPPER(MID(E116,4,1))="T","Trust",IF(UPPER(MID(E116,4,1))="A","AOP","")))))))))</f>
      </c>
      <c r="H116" s="8"/>
      <c r="I116" s="7">
        <f>IF($D116="","",IF(H116="","",IF(F116="Y",SUMPRODUCT(('Rate Lookup'!$A$1:$A$37=H116)*'Rate Lookup'!$D$1:$D$37),IF(OR(G116="Individual",G116="HUF"),SUMPRODUCT(('Rate Lookup'!$A$1:$A$37=H116)*'Rate Lookup'!$B$1:$B$37),SUMPRODUCT(('Rate Lookup'!$A$1:$A$37=H116)*'Rate Lookup'!$C$1:$C$37)))))</f>
      </c>
      <c r="J116" s="8"/>
      <c r="K116" s="8"/>
      <c r="L116" s="7">
        <f>IF($D116="","",ROUND(K116*I116/100,0))</f>
      </c>
      <c r="M116" s="7">
        <f>IF($D116="","",0)</f>
      </c>
      <c r="N116" s="7">
        <f>IF($D116="","",0)</f>
      </c>
      <c r="O116" s="7">
        <f>IF($D116="","",IF(OR(L116=0,J116="",IFERROR(INDEX('Challan Master'!$D$4:$D$207,MATCH($B116,'Challan Master'!$S$4:$S$207,0)),"")="",IFERROR(INDEX('Challan Master'!$D$4:$D$207,MATCH($B116,'Challan Master'!$S$4:$S$207,0)),"")&lt;=0),0,IF(IFERROR(INDEX('Challan Master'!$D$4:$D$207,MATCH($B116,'Challan Master'!$S$4:$S$207,0)),"")&lt;=DATE(YEAR(J116),MONTH(J116)+1,7),0,ROUND(L116*0.015*((YEAR(IFERROR(INDEX('Challan Master'!$D$4:$D$207,MATCH($B116,'Challan Master'!$S$4:$S$207,0)),""))-YEAR(J116))*12+(MONTH(IFERROR(INDEX('Challan Master'!$D$4:$D$207,MATCH($B116,'Challan Master'!$S$4:$S$207,0)),""))-MONTH(J116))+1),0))))</f>
      </c>
      <c r="P116" s="7">
        <f>IF($D116="","",0)</f>
      </c>
      <c r="Q116" s="8"/>
      <c r="R116" s="8"/>
      <c r="S116" s="8"/>
      <c r="T116" s="8"/>
      <c r="U116" s="8"/>
      <c r="V116" s="7">
        <f>IF($B116="","",IFERROR(INDEX('Challan Master'!$AA$4:$AA$207,MATCH($B116,'Challan Master'!$S$4:$S$207,0)),""))</f>
      </c>
    </row>
    <row r="117" spans="1:22" x14ac:dyDescent="0.25">
      <c r="A117" s="7">
        <f>IF($D117="","",COUNTIF($D$4:$D117,"&lt;&gt;"))</f>
      </c>
      <c r="B117" s="8"/>
      <c r="C117" s="7">
        <f>IF($B117="","","BSR "&amp;IFERROR(INDEX('Challan Master'!$B$4:$B$207,MATCH($B117,'Challan Master'!$S$4:$S$207,0)),"")&amp;" | Serial "&amp;IFERROR(INDEX('Challan Master'!$C$4:$C$207,MATCH($B117,'Challan Master'!$S$4:$S$207,0)),"")&amp;" | Deposit "&amp;TEXT(IFERROR(INDEX('Challan Master'!$D$4:$D$207,MATCH($B117,'Challan Master'!$S$4:$S$207,0)),""),"dd-mm-yyyy")&amp;" | Minor Head "&amp;IFERROR(INDEX('Challan Master'!$E$4:$E$207,MATCH($B117,'Challan Master'!$S$4:$S$207,0)),"")&amp;" | Tax ₹"&amp;TEXT(IFERROR(INDEX('Challan Master'!$G$4:$G$207,MATCH($B117,'Challan Master'!$S$4:$S$207,0)),""),"#,##0")&amp;" | Section "&amp;IFERROR(INDEX('Challan Master'!$F$4:$F$207,MATCH($B117,'Challan Master'!$S$4:$S$207,0)),""))</f>
      </c>
      <c r="D117" s="8"/>
      <c r="E117" s="8"/>
      <c r="F117" s="7">
        <f>IF($D117="","",IF(AND(LEN(TRIM(UPPER(E117)))=10,CODE(MID(TRIM(UPPER(E117)),1,1))&gt;=65,CODE(MID(TRIM(UPPER(E117)),1,1))&lt;=90,CODE(MID(TRIM(UPPER(E117)),2,1))&gt;=65,CODE(MID(TRIM(UPPER(E117)),2,1))&lt;=90,CODE(MID(TRIM(UPPER(E117)),3,1))&gt;=65,CODE(MID(TRIM(UPPER(E117)),3,1))&lt;=90,CODE(MID(TRIM(UPPER(E117)),4,1))&gt;=65,CODE(MID(TRIM(UPPER(E117)),4,1))&lt;=90,CODE(MID(TRIM(UPPER(E117)),5,1))&gt;=65,CODE(MID(TRIM(UPPER(E117)),5,1))&lt;=90,CODE(MID(TRIM(UPPER(E117)),10,1))&gt;=65,CODE(MID(TRIM(UPPER(E117)),10,1))&lt;=90,CODE(MID(TRIM(UPPER(E117)),6,1))&gt;=48,CODE(MID(TRIM(UPPER(E117)),6,1))&lt;=57,CODE(MID(TRIM(UPPER(E117)),7,1))&gt;=48,CODE(MID(TRIM(UPPER(E117)),7,1))&lt;=57,CODE(MID(TRIM(UPPER(E117)),8,1))&gt;=48,CODE(MID(TRIM(UPPER(E117)),8,1))&lt;=57,CODE(MID(TRIM(UPPER(E117)),9,1))&gt;=48,CODE(MID(TRIM(UPPER(E117)),9,1))&lt;=57),"N","Y"))</f>
      </c>
      <c r="G117" s="7">
        <f>IF($D117="","",IF(LEN(E117)&lt;4,"",IF(UPPER(MID(E117,4,1))="P","Individual",IF(UPPER(MID(E117,4,1))="H","HUF",IF(UPPER(MID(E117,4,1))="C","Company",IF(UPPER(MID(E117,4,1))="F","Firm",IF(UPPER(MID(E117,4,1))="L","LLP",IF(UPPER(MID(E117,4,1))="T","Trust",IF(UPPER(MID(E117,4,1))="A","AOP","")))))))))</f>
      </c>
      <c r="H117" s="8"/>
      <c r="I117" s="7">
        <f>IF($D117="","",IF(H117="","",IF(F117="Y",SUMPRODUCT(('Rate Lookup'!$A$1:$A$37=H117)*'Rate Lookup'!$D$1:$D$37),IF(OR(G117="Individual",G117="HUF"),SUMPRODUCT(('Rate Lookup'!$A$1:$A$37=H117)*'Rate Lookup'!$B$1:$B$37),SUMPRODUCT(('Rate Lookup'!$A$1:$A$37=H117)*'Rate Lookup'!$C$1:$C$37)))))</f>
      </c>
      <c r="J117" s="8"/>
      <c r="K117" s="8"/>
      <c r="L117" s="7">
        <f>IF($D117="","",ROUND(K117*I117/100,0))</f>
      </c>
      <c r="M117" s="7">
        <f>IF($D117="","",0)</f>
      </c>
      <c r="N117" s="7">
        <f>IF($D117="","",0)</f>
      </c>
      <c r="O117" s="7">
        <f>IF($D117="","",IF(OR(L117=0,J117="",IFERROR(INDEX('Challan Master'!$D$4:$D$207,MATCH($B117,'Challan Master'!$S$4:$S$207,0)),"")="",IFERROR(INDEX('Challan Master'!$D$4:$D$207,MATCH($B117,'Challan Master'!$S$4:$S$207,0)),"")&lt;=0),0,IF(IFERROR(INDEX('Challan Master'!$D$4:$D$207,MATCH($B117,'Challan Master'!$S$4:$S$207,0)),"")&lt;=DATE(YEAR(J117),MONTH(J117)+1,7),0,ROUND(L117*0.015*((YEAR(IFERROR(INDEX('Challan Master'!$D$4:$D$207,MATCH($B117,'Challan Master'!$S$4:$S$207,0)),""))-YEAR(J117))*12+(MONTH(IFERROR(INDEX('Challan Master'!$D$4:$D$207,MATCH($B117,'Challan Master'!$S$4:$S$207,0)),""))-MONTH(J117))+1),0))))</f>
      </c>
      <c r="P117" s="7">
        <f>IF($D117="","",0)</f>
      </c>
      <c r="Q117" s="8"/>
      <c r="R117" s="8"/>
      <c r="S117" s="8"/>
      <c r="T117" s="8"/>
      <c r="U117" s="8"/>
      <c r="V117" s="7">
        <f>IF($B117="","",IFERROR(INDEX('Challan Master'!$AA$4:$AA$207,MATCH($B117,'Challan Master'!$S$4:$S$207,0)),""))</f>
      </c>
    </row>
    <row r="118" spans="1:22" x14ac:dyDescent="0.25">
      <c r="A118" s="7">
        <f>IF($D118="","",COUNTIF($D$4:$D118,"&lt;&gt;"))</f>
      </c>
      <c r="B118" s="8"/>
      <c r="C118" s="7">
        <f>IF($B118="","","BSR "&amp;IFERROR(INDEX('Challan Master'!$B$4:$B$207,MATCH($B118,'Challan Master'!$S$4:$S$207,0)),"")&amp;" | Serial "&amp;IFERROR(INDEX('Challan Master'!$C$4:$C$207,MATCH($B118,'Challan Master'!$S$4:$S$207,0)),"")&amp;" | Deposit "&amp;TEXT(IFERROR(INDEX('Challan Master'!$D$4:$D$207,MATCH($B118,'Challan Master'!$S$4:$S$207,0)),""),"dd-mm-yyyy")&amp;" | Minor Head "&amp;IFERROR(INDEX('Challan Master'!$E$4:$E$207,MATCH($B118,'Challan Master'!$S$4:$S$207,0)),"")&amp;" | Tax ₹"&amp;TEXT(IFERROR(INDEX('Challan Master'!$G$4:$G$207,MATCH($B118,'Challan Master'!$S$4:$S$207,0)),""),"#,##0")&amp;" | Section "&amp;IFERROR(INDEX('Challan Master'!$F$4:$F$207,MATCH($B118,'Challan Master'!$S$4:$S$207,0)),""))</f>
      </c>
      <c r="D118" s="8"/>
      <c r="E118" s="8"/>
      <c r="F118" s="7">
        <f>IF($D118="","",IF(AND(LEN(TRIM(UPPER(E118)))=10,CODE(MID(TRIM(UPPER(E118)),1,1))&gt;=65,CODE(MID(TRIM(UPPER(E118)),1,1))&lt;=90,CODE(MID(TRIM(UPPER(E118)),2,1))&gt;=65,CODE(MID(TRIM(UPPER(E118)),2,1))&lt;=90,CODE(MID(TRIM(UPPER(E118)),3,1))&gt;=65,CODE(MID(TRIM(UPPER(E118)),3,1))&lt;=90,CODE(MID(TRIM(UPPER(E118)),4,1))&gt;=65,CODE(MID(TRIM(UPPER(E118)),4,1))&lt;=90,CODE(MID(TRIM(UPPER(E118)),5,1))&gt;=65,CODE(MID(TRIM(UPPER(E118)),5,1))&lt;=90,CODE(MID(TRIM(UPPER(E118)),10,1))&gt;=65,CODE(MID(TRIM(UPPER(E118)),10,1))&lt;=90,CODE(MID(TRIM(UPPER(E118)),6,1))&gt;=48,CODE(MID(TRIM(UPPER(E118)),6,1))&lt;=57,CODE(MID(TRIM(UPPER(E118)),7,1))&gt;=48,CODE(MID(TRIM(UPPER(E118)),7,1))&lt;=57,CODE(MID(TRIM(UPPER(E118)),8,1))&gt;=48,CODE(MID(TRIM(UPPER(E118)),8,1))&lt;=57,CODE(MID(TRIM(UPPER(E118)),9,1))&gt;=48,CODE(MID(TRIM(UPPER(E118)),9,1))&lt;=57),"N","Y"))</f>
      </c>
      <c r="G118" s="7">
        <f>IF($D118="","",IF(LEN(E118)&lt;4,"",IF(UPPER(MID(E118,4,1))="P","Individual",IF(UPPER(MID(E118,4,1))="H","HUF",IF(UPPER(MID(E118,4,1))="C","Company",IF(UPPER(MID(E118,4,1))="F","Firm",IF(UPPER(MID(E118,4,1))="L","LLP",IF(UPPER(MID(E118,4,1))="T","Trust",IF(UPPER(MID(E118,4,1))="A","AOP","")))))))))</f>
      </c>
      <c r="H118" s="8"/>
      <c r="I118" s="7">
        <f>IF($D118="","",IF(H118="","",IF(F118="Y",SUMPRODUCT(('Rate Lookup'!$A$1:$A$37=H118)*'Rate Lookup'!$D$1:$D$37),IF(OR(G118="Individual",G118="HUF"),SUMPRODUCT(('Rate Lookup'!$A$1:$A$37=H118)*'Rate Lookup'!$B$1:$B$37),SUMPRODUCT(('Rate Lookup'!$A$1:$A$37=H118)*'Rate Lookup'!$C$1:$C$37)))))</f>
      </c>
      <c r="J118" s="8"/>
      <c r="K118" s="8"/>
      <c r="L118" s="7">
        <f>IF($D118="","",ROUND(K118*I118/100,0))</f>
      </c>
      <c r="M118" s="7">
        <f>IF($D118="","",0)</f>
      </c>
      <c r="N118" s="7">
        <f>IF($D118="","",0)</f>
      </c>
      <c r="O118" s="7">
        <f>IF($D118="","",IF(OR(L118=0,J118="",IFERROR(INDEX('Challan Master'!$D$4:$D$207,MATCH($B118,'Challan Master'!$S$4:$S$207,0)),"")="",IFERROR(INDEX('Challan Master'!$D$4:$D$207,MATCH($B118,'Challan Master'!$S$4:$S$207,0)),"")&lt;=0),0,IF(IFERROR(INDEX('Challan Master'!$D$4:$D$207,MATCH($B118,'Challan Master'!$S$4:$S$207,0)),"")&lt;=DATE(YEAR(J118),MONTH(J118)+1,7),0,ROUND(L118*0.015*((YEAR(IFERROR(INDEX('Challan Master'!$D$4:$D$207,MATCH($B118,'Challan Master'!$S$4:$S$207,0)),""))-YEAR(J118))*12+(MONTH(IFERROR(INDEX('Challan Master'!$D$4:$D$207,MATCH($B118,'Challan Master'!$S$4:$S$207,0)),""))-MONTH(J118))+1),0))))</f>
      </c>
      <c r="P118" s="7">
        <f>IF($D118="","",0)</f>
      </c>
      <c r="Q118" s="8"/>
      <c r="R118" s="8"/>
      <c r="S118" s="8"/>
      <c r="T118" s="8"/>
      <c r="U118" s="8"/>
      <c r="V118" s="7">
        <f>IF($B118="","",IFERROR(INDEX('Challan Master'!$AA$4:$AA$207,MATCH($B118,'Challan Master'!$S$4:$S$207,0)),""))</f>
      </c>
    </row>
    <row r="119" spans="1:22" x14ac:dyDescent="0.25">
      <c r="A119" s="7">
        <f>IF($D119="","",COUNTIF($D$4:$D119,"&lt;&gt;"))</f>
      </c>
      <c r="B119" s="8"/>
      <c r="C119" s="7">
        <f>IF($B119="","","BSR "&amp;IFERROR(INDEX('Challan Master'!$B$4:$B$207,MATCH($B119,'Challan Master'!$S$4:$S$207,0)),"")&amp;" | Serial "&amp;IFERROR(INDEX('Challan Master'!$C$4:$C$207,MATCH($B119,'Challan Master'!$S$4:$S$207,0)),"")&amp;" | Deposit "&amp;TEXT(IFERROR(INDEX('Challan Master'!$D$4:$D$207,MATCH($B119,'Challan Master'!$S$4:$S$207,0)),""),"dd-mm-yyyy")&amp;" | Minor Head "&amp;IFERROR(INDEX('Challan Master'!$E$4:$E$207,MATCH($B119,'Challan Master'!$S$4:$S$207,0)),"")&amp;" | Tax ₹"&amp;TEXT(IFERROR(INDEX('Challan Master'!$G$4:$G$207,MATCH($B119,'Challan Master'!$S$4:$S$207,0)),""),"#,##0")&amp;" | Section "&amp;IFERROR(INDEX('Challan Master'!$F$4:$F$207,MATCH($B119,'Challan Master'!$S$4:$S$207,0)),""))</f>
      </c>
      <c r="D119" s="8"/>
      <c r="E119" s="8"/>
      <c r="F119" s="7">
        <f>IF($D119="","",IF(AND(LEN(TRIM(UPPER(E119)))=10,CODE(MID(TRIM(UPPER(E119)),1,1))&gt;=65,CODE(MID(TRIM(UPPER(E119)),1,1))&lt;=90,CODE(MID(TRIM(UPPER(E119)),2,1))&gt;=65,CODE(MID(TRIM(UPPER(E119)),2,1))&lt;=90,CODE(MID(TRIM(UPPER(E119)),3,1))&gt;=65,CODE(MID(TRIM(UPPER(E119)),3,1))&lt;=90,CODE(MID(TRIM(UPPER(E119)),4,1))&gt;=65,CODE(MID(TRIM(UPPER(E119)),4,1))&lt;=90,CODE(MID(TRIM(UPPER(E119)),5,1))&gt;=65,CODE(MID(TRIM(UPPER(E119)),5,1))&lt;=90,CODE(MID(TRIM(UPPER(E119)),10,1))&gt;=65,CODE(MID(TRIM(UPPER(E119)),10,1))&lt;=90,CODE(MID(TRIM(UPPER(E119)),6,1))&gt;=48,CODE(MID(TRIM(UPPER(E119)),6,1))&lt;=57,CODE(MID(TRIM(UPPER(E119)),7,1))&gt;=48,CODE(MID(TRIM(UPPER(E119)),7,1))&lt;=57,CODE(MID(TRIM(UPPER(E119)),8,1))&gt;=48,CODE(MID(TRIM(UPPER(E119)),8,1))&lt;=57,CODE(MID(TRIM(UPPER(E119)),9,1))&gt;=48,CODE(MID(TRIM(UPPER(E119)),9,1))&lt;=57),"N","Y"))</f>
      </c>
      <c r="G119" s="7">
        <f>IF($D119="","",IF(LEN(E119)&lt;4,"",IF(UPPER(MID(E119,4,1))="P","Individual",IF(UPPER(MID(E119,4,1))="H","HUF",IF(UPPER(MID(E119,4,1))="C","Company",IF(UPPER(MID(E119,4,1))="F","Firm",IF(UPPER(MID(E119,4,1))="L","LLP",IF(UPPER(MID(E119,4,1))="T","Trust",IF(UPPER(MID(E119,4,1))="A","AOP","")))))))))</f>
      </c>
      <c r="H119" s="8"/>
      <c r="I119" s="7">
        <f>IF($D119="","",IF(H119="","",IF(F119="Y",SUMPRODUCT(('Rate Lookup'!$A$1:$A$37=H119)*'Rate Lookup'!$D$1:$D$37),IF(OR(G119="Individual",G119="HUF"),SUMPRODUCT(('Rate Lookup'!$A$1:$A$37=H119)*'Rate Lookup'!$B$1:$B$37),SUMPRODUCT(('Rate Lookup'!$A$1:$A$37=H119)*'Rate Lookup'!$C$1:$C$37)))))</f>
      </c>
      <c r="J119" s="8"/>
      <c r="K119" s="8"/>
      <c r="L119" s="7">
        <f>IF($D119="","",ROUND(K119*I119/100,0))</f>
      </c>
      <c r="M119" s="7">
        <f>IF($D119="","",0)</f>
      </c>
      <c r="N119" s="7">
        <f>IF($D119="","",0)</f>
      </c>
      <c r="O119" s="7">
        <f>IF($D119="","",IF(OR(L119=0,J119="",IFERROR(INDEX('Challan Master'!$D$4:$D$207,MATCH($B119,'Challan Master'!$S$4:$S$207,0)),"")="",IFERROR(INDEX('Challan Master'!$D$4:$D$207,MATCH($B119,'Challan Master'!$S$4:$S$207,0)),"")&lt;=0),0,IF(IFERROR(INDEX('Challan Master'!$D$4:$D$207,MATCH($B119,'Challan Master'!$S$4:$S$207,0)),"")&lt;=DATE(YEAR(J119),MONTH(J119)+1,7),0,ROUND(L119*0.015*((YEAR(IFERROR(INDEX('Challan Master'!$D$4:$D$207,MATCH($B119,'Challan Master'!$S$4:$S$207,0)),""))-YEAR(J119))*12+(MONTH(IFERROR(INDEX('Challan Master'!$D$4:$D$207,MATCH($B119,'Challan Master'!$S$4:$S$207,0)),""))-MONTH(J119))+1),0))))</f>
      </c>
      <c r="P119" s="7">
        <f>IF($D119="","",0)</f>
      </c>
      <c r="Q119" s="8"/>
      <c r="R119" s="8"/>
      <c r="S119" s="8"/>
      <c r="T119" s="8"/>
      <c r="U119" s="8"/>
      <c r="V119" s="7">
        <f>IF($B119="","",IFERROR(INDEX('Challan Master'!$AA$4:$AA$207,MATCH($B119,'Challan Master'!$S$4:$S$207,0)),""))</f>
      </c>
    </row>
    <row r="120" spans="1:22" x14ac:dyDescent="0.25">
      <c r="A120" s="7">
        <f>IF($D120="","",COUNTIF($D$4:$D120,"&lt;&gt;"))</f>
      </c>
      <c r="B120" s="8"/>
      <c r="C120" s="7">
        <f>IF($B120="","","BSR "&amp;IFERROR(INDEX('Challan Master'!$B$4:$B$207,MATCH($B120,'Challan Master'!$S$4:$S$207,0)),"")&amp;" | Serial "&amp;IFERROR(INDEX('Challan Master'!$C$4:$C$207,MATCH($B120,'Challan Master'!$S$4:$S$207,0)),"")&amp;" | Deposit "&amp;TEXT(IFERROR(INDEX('Challan Master'!$D$4:$D$207,MATCH($B120,'Challan Master'!$S$4:$S$207,0)),""),"dd-mm-yyyy")&amp;" | Minor Head "&amp;IFERROR(INDEX('Challan Master'!$E$4:$E$207,MATCH($B120,'Challan Master'!$S$4:$S$207,0)),"")&amp;" | Tax ₹"&amp;TEXT(IFERROR(INDEX('Challan Master'!$G$4:$G$207,MATCH($B120,'Challan Master'!$S$4:$S$207,0)),""),"#,##0")&amp;" | Section "&amp;IFERROR(INDEX('Challan Master'!$F$4:$F$207,MATCH($B120,'Challan Master'!$S$4:$S$207,0)),""))</f>
      </c>
      <c r="D120" s="8"/>
      <c r="E120" s="8"/>
      <c r="F120" s="7">
        <f>IF($D120="","",IF(AND(LEN(TRIM(UPPER(E120)))=10,CODE(MID(TRIM(UPPER(E120)),1,1))&gt;=65,CODE(MID(TRIM(UPPER(E120)),1,1))&lt;=90,CODE(MID(TRIM(UPPER(E120)),2,1))&gt;=65,CODE(MID(TRIM(UPPER(E120)),2,1))&lt;=90,CODE(MID(TRIM(UPPER(E120)),3,1))&gt;=65,CODE(MID(TRIM(UPPER(E120)),3,1))&lt;=90,CODE(MID(TRIM(UPPER(E120)),4,1))&gt;=65,CODE(MID(TRIM(UPPER(E120)),4,1))&lt;=90,CODE(MID(TRIM(UPPER(E120)),5,1))&gt;=65,CODE(MID(TRIM(UPPER(E120)),5,1))&lt;=90,CODE(MID(TRIM(UPPER(E120)),10,1))&gt;=65,CODE(MID(TRIM(UPPER(E120)),10,1))&lt;=90,CODE(MID(TRIM(UPPER(E120)),6,1))&gt;=48,CODE(MID(TRIM(UPPER(E120)),6,1))&lt;=57,CODE(MID(TRIM(UPPER(E120)),7,1))&gt;=48,CODE(MID(TRIM(UPPER(E120)),7,1))&lt;=57,CODE(MID(TRIM(UPPER(E120)),8,1))&gt;=48,CODE(MID(TRIM(UPPER(E120)),8,1))&lt;=57,CODE(MID(TRIM(UPPER(E120)),9,1))&gt;=48,CODE(MID(TRIM(UPPER(E120)),9,1))&lt;=57),"N","Y"))</f>
      </c>
      <c r="G120" s="7">
        <f>IF($D120="","",IF(LEN(E120)&lt;4,"",IF(UPPER(MID(E120,4,1))="P","Individual",IF(UPPER(MID(E120,4,1))="H","HUF",IF(UPPER(MID(E120,4,1))="C","Company",IF(UPPER(MID(E120,4,1))="F","Firm",IF(UPPER(MID(E120,4,1))="L","LLP",IF(UPPER(MID(E120,4,1))="T","Trust",IF(UPPER(MID(E120,4,1))="A","AOP","")))))))))</f>
      </c>
      <c r="H120" s="8"/>
      <c r="I120" s="7">
        <f>IF($D120="","",IF(H120="","",IF(F120="Y",SUMPRODUCT(('Rate Lookup'!$A$1:$A$37=H120)*'Rate Lookup'!$D$1:$D$37),IF(OR(G120="Individual",G120="HUF"),SUMPRODUCT(('Rate Lookup'!$A$1:$A$37=H120)*'Rate Lookup'!$B$1:$B$37),SUMPRODUCT(('Rate Lookup'!$A$1:$A$37=H120)*'Rate Lookup'!$C$1:$C$37)))))</f>
      </c>
      <c r="J120" s="8"/>
      <c r="K120" s="8"/>
      <c r="L120" s="7">
        <f>IF($D120="","",ROUND(K120*I120/100,0))</f>
      </c>
      <c r="M120" s="7">
        <f>IF($D120="","",0)</f>
      </c>
      <c r="N120" s="7">
        <f>IF($D120="","",0)</f>
      </c>
      <c r="O120" s="7">
        <f>IF($D120="","",IF(OR(L120=0,J120="",IFERROR(INDEX('Challan Master'!$D$4:$D$207,MATCH($B120,'Challan Master'!$S$4:$S$207,0)),"")="",IFERROR(INDEX('Challan Master'!$D$4:$D$207,MATCH($B120,'Challan Master'!$S$4:$S$207,0)),"")&lt;=0),0,IF(IFERROR(INDEX('Challan Master'!$D$4:$D$207,MATCH($B120,'Challan Master'!$S$4:$S$207,0)),"")&lt;=DATE(YEAR(J120),MONTH(J120)+1,7),0,ROUND(L120*0.015*((YEAR(IFERROR(INDEX('Challan Master'!$D$4:$D$207,MATCH($B120,'Challan Master'!$S$4:$S$207,0)),""))-YEAR(J120))*12+(MONTH(IFERROR(INDEX('Challan Master'!$D$4:$D$207,MATCH($B120,'Challan Master'!$S$4:$S$207,0)),""))-MONTH(J120))+1),0))))</f>
      </c>
      <c r="P120" s="7">
        <f>IF($D120="","",0)</f>
      </c>
      <c r="Q120" s="8"/>
      <c r="R120" s="8"/>
      <c r="S120" s="8"/>
      <c r="T120" s="8"/>
      <c r="U120" s="8"/>
      <c r="V120" s="7">
        <f>IF($B120="","",IFERROR(INDEX('Challan Master'!$AA$4:$AA$207,MATCH($B120,'Challan Master'!$S$4:$S$207,0)),""))</f>
      </c>
    </row>
    <row r="121" spans="1:22" x14ac:dyDescent="0.25">
      <c r="A121" s="7">
        <f>IF($D121="","",COUNTIF($D$4:$D121,"&lt;&gt;"))</f>
      </c>
      <c r="B121" s="8"/>
      <c r="C121" s="7">
        <f>IF($B121="","","BSR "&amp;IFERROR(INDEX('Challan Master'!$B$4:$B$207,MATCH($B121,'Challan Master'!$S$4:$S$207,0)),"")&amp;" | Serial "&amp;IFERROR(INDEX('Challan Master'!$C$4:$C$207,MATCH($B121,'Challan Master'!$S$4:$S$207,0)),"")&amp;" | Deposit "&amp;TEXT(IFERROR(INDEX('Challan Master'!$D$4:$D$207,MATCH($B121,'Challan Master'!$S$4:$S$207,0)),""),"dd-mm-yyyy")&amp;" | Minor Head "&amp;IFERROR(INDEX('Challan Master'!$E$4:$E$207,MATCH($B121,'Challan Master'!$S$4:$S$207,0)),"")&amp;" | Tax ₹"&amp;TEXT(IFERROR(INDEX('Challan Master'!$G$4:$G$207,MATCH($B121,'Challan Master'!$S$4:$S$207,0)),""),"#,##0")&amp;" | Section "&amp;IFERROR(INDEX('Challan Master'!$F$4:$F$207,MATCH($B121,'Challan Master'!$S$4:$S$207,0)),""))</f>
      </c>
      <c r="D121" s="8"/>
      <c r="E121" s="8"/>
      <c r="F121" s="7">
        <f>IF($D121="","",IF(AND(LEN(TRIM(UPPER(E121)))=10,CODE(MID(TRIM(UPPER(E121)),1,1))&gt;=65,CODE(MID(TRIM(UPPER(E121)),1,1))&lt;=90,CODE(MID(TRIM(UPPER(E121)),2,1))&gt;=65,CODE(MID(TRIM(UPPER(E121)),2,1))&lt;=90,CODE(MID(TRIM(UPPER(E121)),3,1))&gt;=65,CODE(MID(TRIM(UPPER(E121)),3,1))&lt;=90,CODE(MID(TRIM(UPPER(E121)),4,1))&gt;=65,CODE(MID(TRIM(UPPER(E121)),4,1))&lt;=90,CODE(MID(TRIM(UPPER(E121)),5,1))&gt;=65,CODE(MID(TRIM(UPPER(E121)),5,1))&lt;=90,CODE(MID(TRIM(UPPER(E121)),10,1))&gt;=65,CODE(MID(TRIM(UPPER(E121)),10,1))&lt;=90,CODE(MID(TRIM(UPPER(E121)),6,1))&gt;=48,CODE(MID(TRIM(UPPER(E121)),6,1))&lt;=57,CODE(MID(TRIM(UPPER(E121)),7,1))&gt;=48,CODE(MID(TRIM(UPPER(E121)),7,1))&lt;=57,CODE(MID(TRIM(UPPER(E121)),8,1))&gt;=48,CODE(MID(TRIM(UPPER(E121)),8,1))&lt;=57,CODE(MID(TRIM(UPPER(E121)),9,1))&gt;=48,CODE(MID(TRIM(UPPER(E121)),9,1))&lt;=57),"N","Y"))</f>
      </c>
      <c r="G121" s="7">
        <f>IF($D121="","",IF(LEN(E121)&lt;4,"",IF(UPPER(MID(E121,4,1))="P","Individual",IF(UPPER(MID(E121,4,1))="H","HUF",IF(UPPER(MID(E121,4,1))="C","Company",IF(UPPER(MID(E121,4,1))="F","Firm",IF(UPPER(MID(E121,4,1))="L","LLP",IF(UPPER(MID(E121,4,1))="T","Trust",IF(UPPER(MID(E121,4,1))="A","AOP","")))))))))</f>
      </c>
      <c r="H121" s="8"/>
      <c r="I121" s="7">
        <f>IF($D121="","",IF(H121="","",IF(F121="Y",SUMPRODUCT(('Rate Lookup'!$A$1:$A$37=H121)*'Rate Lookup'!$D$1:$D$37),IF(OR(G121="Individual",G121="HUF"),SUMPRODUCT(('Rate Lookup'!$A$1:$A$37=H121)*'Rate Lookup'!$B$1:$B$37),SUMPRODUCT(('Rate Lookup'!$A$1:$A$37=H121)*'Rate Lookup'!$C$1:$C$37)))))</f>
      </c>
      <c r="J121" s="8"/>
      <c r="K121" s="8"/>
      <c r="L121" s="7">
        <f>IF($D121="","",ROUND(K121*I121/100,0))</f>
      </c>
      <c r="M121" s="7">
        <f>IF($D121="","",0)</f>
      </c>
      <c r="N121" s="7">
        <f>IF($D121="","",0)</f>
      </c>
      <c r="O121" s="7">
        <f>IF($D121="","",IF(OR(L121=0,J121="",IFERROR(INDEX('Challan Master'!$D$4:$D$207,MATCH($B121,'Challan Master'!$S$4:$S$207,0)),"")="",IFERROR(INDEX('Challan Master'!$D$4:$D$207,MATCH($B121,'Challan Master'!$S$4:$S$207,0)),"")&lt;=0),0,IF(IFERROR(INDEX('Challan Master'!$D$4:$D$207,MATCH($B121,'Challan Master'!$S$4:$S$207,0)),"")&lt;=DATE(YEAR(J121),MONTH(J121)+1,7),0,ROUND(L121*0.015*((YEAR(IFERROR(INDEX('Challan Master'!$D$4:$D$207,MATCH($B121,'Challan Master'!$S$4:$S$207,0)),""))-YEAR(J121))*12+(MONTH(IFERROR(INDEX('Challan Master'!$D$4:$D$207,MATCH($B121,'Challan Master'!$S$4:$S$207,0)),""))-MONTH(J121))+1),0))))</f>
      </c>
      <c r="P121" s="7">
        <f>IF($D121="","",0)</f>
      </c>
      <c r="Q121" s="8"/>
      <c r="R121" s="8"/>
      <c r="S121" s="8"/>
      <c r="T121" s="8"/>
      <c r="U121" s="8"/>
      <c r="V121" s="7">
        <f>IF($B121="","",IFERROR(INDEX('Challan Master'!$AA$4:$AA$207,MATCH($B121,'Challan Master'!$S$4:$S$207,0)),""))</f>
      </c>
    </row>
    <row r="122" spans="1:22" x14ac:dyDescent="0.25">
      <c r="A122" s="7">
        <f>IF($D122="","",COUNTIF($D$4:$D122,"&lt;&gt;"))</f>
      </c>
      <c r="B122" s="8"/>
      <c r="C122" s="7">
        <f>IF($B122="","","BSR "&amp;IFERROR(INDEX('Challan Master'!$B$4:$B$207,MATCH($B122,'Challan Master'!$S$4:$S$207,0)),"")&amp;" | Serial "&amp;IFERROR(INDEX('Challan Master'!$C$4:$C$207,MATCH($B122,'Challan Master'!$S$4:$S$207,0)),"")&amp;" | Deposit "&amp;TEXT(IFERROR(INDEX('Challan Master'!$D$4:$D$207,MATCH($B122,'Challan Master'!$S$4:$S$207,0)),""),"dd-mm-yyyy")&amp;" | Minor Head "&amp;IFERROR(INDEX('Challan Master'!$E$4:$E$207,MATCH($B122,'Challan Master'!$S$4:$S$207,0)),"")&amp;" | Tax ₹"&amp;TEXT(IFERROR(INDEX('Challan Master'!$G$4:$G$207,MATCH($B122,'Challan Master'!$S$4:$S$207,0)),""),"#,##0")&amp;" | Section "&amp;IFERROR(INDEX('Challan Master'!$F$4:$F$207,MATCH($B122,'Challan Master'!$S$4:$S$207,0)),""))</f>
      </c>
      <c r="D122" s="8"/>
      <c r="E122" s="8"/>
      <c r="F122" s="7">
        <f>IF($D122="","",IF(AND(LEN(TRIM(UPPER(E122)))=10,CODE(MID(TRIM(UPPER(E122)),1,1))&gt;=65,CODE(MID(TRIM(UPPER(E122)),1,1))&lt;=90,CODE(MID(TRIM(UPPER(E122)),2,1))&gt;=65,CODE(MID(TRIM(UPPER(E122)),2,1))&lt;=90,CODE(MID(TRIM(UPPER(E122)),3,1))&gt;=65,CODE(MID(TRIM(UPPER(E122)),3,1))&lt;=90,CODE(MID(TRIM(UPPER(E122)),4,1))&gt;=65,CODE(MID(TRIM(UPPER(E122)),4,1))&lt;=90,CODE(MID(TRIM(UPPER(E122)),5,1))&gt;=65,CODE(MID(TRIM(UPPER(E122)),5,1))&lt;=90,CODE(MID(TRIM(UPPER(E122)),10,1))&gt;=65,CODE(MID(TRIM(UPPER(E122)),10,1))&lt;=90,CODE(MID(TRIM(UPPER(E122)),6,1))&gt;=48,CODE(MID(TRIM(UPPER(E122)),6,1))&lt;=57,CODE(MID(TRIM(UPPER(E122)),7,1))&gt;=48,CODE(MID(TRIM(UPPER(E122)),7,1))&lt;=57,CODE(MID(TRIM(UPPER(E122)),8,1))&gt;=48,CODE(MID(TRIM(UPPER(E122)),8,1))&lt;=57,CODE(MID(TRIM(UPPER(E122)),9,1))&gt;=48,CODE(MID(TRIM(UPPER(E122)),9,1))&lt;=57),"N","Y"))</f>
      </c>
      <c r="G122" s="7">
        <f>IF($D122="","",IF(LEN(E122)&lt;4,"",IF(UPPER(MID(E122,4,1))="P","Individual",IF(UPPER(MID(E122,4,1))="H","HUF",IF(UPPER(MID(E122,4,1))="C","Company",IF(UPPER(MID(E122,4,1))="F","Firm",IF(UPPER(MID(E122,4,1))="L","LLP",IF(UPPER(MID(E122,4,1))="T","Trust",IF(UPPER(MID(E122,4,1))="A","AOP","")))))))))</f>
      </c>
      <c r="H122" s="8"/>
      <c r="I122" s="7">
        <f>IF($D122="","",IF(H122="","",IF(F122="Y",SUMPRODUCT(('Rate Lookup'!$A$1:$A$37=H122)*'Rate Lookup'!$D$1:$D$37),IF(OR(G122="Individual",G122="HUF"),SUMPRODUCT(('Rate Lookup'!$A$1:$A$37=H122)*'Rate Lookup'!$B$1:$B$37),SUMPRODUCT(('Rate Lookup'!$A$1:$A$37=H122)*'Rate Lookup'!$C$1:$C$37)))))</f>
      </c>
      <c r="J122" s="8"/>
      <c r="K122" s="8"/>
      <c r="L122" s="7">
        <f>IF($D122="","",ROUND(K122*I122/100,0))</f>
      </c>
      <c r="M122" s="7">
        <f>IF($D122="","",0)</f>
      </c>
      <c r="N122" s="7">
        <f>IF($D122="","",0)</f>
      </c>
      <c r="O122" s="7">
        <f>IF($D122="","",IF(OR(L122=0,J122="",IFERROR(INDEX('Challan Master'!$D$4:$D$207,MATCH($B122,'Challan Master'!$S$4:$S$207,0)),"")="",IFERROR(INDEX('Challan Master'!$D$4:$D$207,MATCH($B122,'Challan Master'!$S$4:$S$207,0)),"")&lt;=0),0,IF(IFERROR(INDEX('Challan Master'!$D$4:$D$207,MATCH($B122,'Challan Master'!$S$4:$S$207,0)),"")&lt;=DATE(YEAR(J122),MONTH(J122)+1,7),0,ROUND(L122*0.015*((YEAR(IFERROR(INDEX('Challan Master'!$D$4:$D$207,MATCH($B122,'Challan Master'!$S$4:$S$207,0)),""))-YEAR(J122))*12+(MONTH(IFERROR(INDEX('Challan Master'!$D$4:$D$207,MATCH($B122,'Challan Master'!$S$4:$S$207,0)),""))-MONTH(J122))+1),0))))</f>
      </c>
      <c r="P122" s="7">
        <f>IF($D122="","",0)</f>
      </c>
      <c r="Q122" s="8"/>
      <c r="R122" s="8"/>
      <c r="S122" s="8"/>
      <c r="T122" s="8"/>
      <c r="U122" s="8"/>
      <c r="V122" s="7">
        <f>IF($B122="","",IFERROR(INDEX('Challan Master'!$AA$4:$AA$207,MATCH($B122,'Challan Master'!$S$4:$S$207,0)),""))</f>
      </c>
    </row>
    <row r="123" spans="1:22" x14ac:dyDescent="0.25">
      <c r="A123" s="7">
        <f>IF($D123="","",COUNTIF($D$4:$D123,"&lt;&gt;"))</f>
      </c>
      <c r="B123" s="8"/>
      <c r="C123" s="7">
        <f>IF($B123="","","BSR "&amp;IFERROR(INDEX('Challan Master'!$B$4:$B$207,MATCH($B123,'Challan Master'!$S$4:$S$207,0)),"")&amp;" | Serial "&amp;IFERROR(INDEX('Challan Master'!$C$4:$C$207,MATCH($B123,'Challan Master'!$S$4:$S$207,0)),"")&amp;" | Deposit "&amp;TEXT(IFERROR(INDEX('Challan Master'!$D$4:$D$207,MATCH($B123,'Challan Master'!$S$4:$S$207,0)),""),"dd-mm-yyyy")&amp;" | Minor Head "&amp;IFERROR(INDEX('Challan Master'!$E$4:$E$207,MATCH($B123,'Challan Master'!$S$4:$S$207,0)),"")&amp;" | Tax ₹"&amp;TEXT(IFERROR(INDEX('Challan Master'!$G$4:$G$207,MATCH($B123,'Challan Master'!$S$4:$S$207,0)),""),"#,##0")&amp;" | Section "&amp;IFERROR(INDEX('Challan Master'!$F$4:$F$207,MATCH($B123,'Challan Master'!$S$4:$S$207,0)),""))</f>
      </c>
      <c r="D123" s="8"/>
      <c r="E123" s="8"/>
      <c r="F123" s="7">
        <f>IF($D123="","",IF(AND(LEN(TRIM(UPPER(E123)))=10,CODE(MID(TRIM(UPPER(E123)),1,1))&gt;=65,CODE(MID(TRIM(UPPER(E123)),1,1))&lt;=90,CODE(MID(TRIM(UPPER(E123)),2,1))&gt;=65,CODE(MID(TRIM(UPPER(E123)),2,1))&lt;=90,CODE(MID(TRIM(UPPER(E123)),3,1))&gt;=65,CODE(MID(TRIM(UPPER(E123)),3,1))&lt;=90,CODE(MID(TRIM(UPPER(E123)),4,1))&gt;=65,CODE(MID(TRIM(UPPER(E123)),4,1))&lt;=90,CODE(MID(TRIM(UPPER(E123)),5,1))&gt;=65,CODE(MID(TRIM(UPPER(E123)),5,1))&lt;=90,CODE(MID(TRIM(UPPER(E123)),10,1))&gt;=65,CODE(MID(TRIM(UPPER(E123)),10,1))&lt;=90,CODE(MID(TRIM(UPPER(E123)),6,1))&gt;=48,CODE(MID(TRIM(UPPER(E123)),6,1))&lt;=57,CODE(MID(TRIM(UPPER(E123)),7,1))&gt;=48,CODE(MID(TRIM(UPPER(E123)),7,1))&lt;=57,CODE(MID(TRIM(UPPER(E123)),8,1))&gt;=48,CODE(MID(TRIM(UPPER(E123)),8,1))&lt;=57,CODE(MID(TRIM(UPPER(E123)),9,1))&gt;=48,CODE(MID(TRIM(UPPER(E123)),9,1))&lt;=57),"N","Y"))</f>
      </c>
      <c r="G123" s="7">
        <f>IF($D123="","",IF(LEN(E123)&lt;4,"",IF(UPPER(MID(E123,4,1))="P","Individual",IF(UPPER(MID(E123,4,1))="H","HUF",IF(UPPER(MID(E123,4,1))="C","Company",IF(UPPER(MID(E123,4,1))="F","Firm",IF(UPPER(MID(E123,4,1))="L","LLP",IF(UPPER(MID(E123,4,1))="T","Trust",IF(UPPER(MID(E123,4,1))="A","AOP","")))))))))</f>
      </c>
      <c r="H123" s="8"/>
      <c r="I123" s="7">
        <f>IF($D123="","",IF(H123="","",IF(F123="Y",SUMPRODUCT(('Rate Lookup'!$A$1:$A$37=H123)*'Rate Lookup'!$D$1:$D$37),IF(OR(G123="Individual",G123="HUF"),SUMPRODUCT(('Rate Lookup'!$A$1:$A$37=H123)*'Rate Lookup'!$B$1:$B$37),SUMPRODUCT(('Rate Lookup'!$A$1:$A$37=H123)*'Rate Lookup'!$C$1:$C$37)))))</f>
      </c>
      <c r="J123" s="8"/>
      <c r="K123" s="8"/>
      <c r="L123" s="7">
        <f>IF($D123="","",ROUND(K123*I123/100,0))</f>
      </c>
      <c r="M123" s="7">
        <f>IF($D123="","",0)</f>
      </c>
      <c r="N123" s="7">
        <f>IF($D123="","",0)</f>
      </c>
      <c r="O123" s="7">
        <f>IF($D123="","",IF(OR(L123=0,J123="",IFERROR(INDEX('Challan Master'!$D$4:$D$207,MATCH($B123,'Challan Master'!$S$4:$S$207,0)),"")="",IFERROR(INDEX('Challan Master'!$D$4:$D$207,MATCH($B123,'Challan Master'!$S$4:$S$207,0)),"")&lt;=0),0,IF(IFERROR(INDEX('Challan Master'!$D$4:$D$207,MATCH($B123,'Challan Master'!$S$4:$S$207,0)),"")&lt;=DATE(YEAR(J123),MONTH(J123)+1,7),0,ROUND(L123*0.015*((YEAR(IFERROR(INDEX('Challan Master'!$D$4:$D$207,MATCH($B123,'Challan Master'!$S$4:$S$207,0)),""))-YEAR(J123))*12+(MONTH(IFERROR(INDEX('Challan Master'!$D$4:$D$207,MATCH($B123,'Challan Master'!$S$4:$S$207,0)),""))-MONTH(J123))+1),0))))</f>
      </c>
      <c r="P123" s="7">
        <f>IF($D123="","",0)</f>
      </c>
      <c r="Q123" s="8"/>
      <c r="R123" s="8"/>
      <c r="S123" s="8"/>
      <c r="T123" s="8"/>
      <c r="U123" s="8"/>
      <c r="V123" s="7">
        <f>IF($B123="","",IFERROR(INDEX('Challan Master'!$AA$4:$AA$207,MATCH($B123,'Challan Master'!$S$4:$S$207,0)),""))</f>
      </c>
    </row>
    <row r="124" spans="1:22" x14ac:dyDescent="0.25">
      <c r="A124" s="7">
        <f>IF($D124="","",COUNTIF($D$4:$D124,"&lt;&gt;"))</f>
      </c>
      <c r="B124" s="8"/>
      <c r="C124" s="7">
        <f>IF($B124="","","BSR "&amp;IFERROR(INDEX('Challan Master'!$B$4:$B$207,MATCH($B124,'Challan Master'!$S$4:$S$207,0)),"")&amp;" | Serial "&amp;IFERROR(INDEX('Challan Master'!$C$4:$C$207,MATCH($B124,'Challan Master'!$S$4:$S$207,0)),"")&amp;" | Deposit "&amp;TEXT(IFERROR(INDEX('Challan Master'!$D$4:$D$207,MATCH($B124,'Challan Master'!$S$4:$S$207,0)),""),"dd-mm-yyyy")&amp;" | Minor Head "&amp;IFERROR(INDEX('Challan Master'!$E$4:$E$207,MATCH($B124,'Challan Master'!$S$4:$S$207,0)),"")&amp;" | Tax ₹"&amp;TEXT(IFERROR(INDEX('Challan Master'!$G$4:$G$207,MATCH($B124,'Challan Master'!$S$4:$S$207,0)),""),"#,##0")&amp;" | Section "&amp;IFERROR(INDEX('Challan Master'!$F$4:$F$207,MATCH($B124,'Challan Master'!$S$4:$S$207,0)),""))</f>
      </c>
      <c r="D124" s="8"/>
      <c r="E124" s="8"/>
      <c r="F124" s="7">
        <f>IF($D124="","",IF(AND(LEN(TRIM(UPPER(E124)))=10,CODE(MID(TRIM(UPPER(E124)),1,1))&gt;=65,CODE(MID(TRIM(UPPER(E124)),1,1))&lt;=90,CODE(MID(TRIM(UPPER(E124)),2,1))&gt;=65,CODE(MID(TRIM(UPPER(E124)),2,1))&lt;=90,CODE(MID(TRIM(UPPER(E124)),3,1))&gt;=65,CODE(MID(TRIM(UPPER(E124)),3,1))&lt;=90,CODE(MID(TRIM(UPPER(E124)),4,1))&gt;=65,CODE(MID(TRIM(UPPER(E124)),4,1))&lt;=90,CODE(MID(TRIM(UPPER(E124)),5,1))&gt;=65,CODE(MID(TRIM(UPPER(E124)),5,1))&lt;=90,CODE(MID(TRIM(UPPER(E124)),10,1))&gt;=65,CODE(MID(TRIM(UPPER(E124)),10,1))&lt;=90,CODE(MID(TRIM(UPPER(E124)),6,1))&gt;=48,CODE(MID(TRIM(UPPER(E124)),6,1))&lt;=57,CODE(MID(TRIM(UPPER(E124)),7,1))&gt;=48,CODE(MID(TRIM(UPPER(E124)),7,1))&lt;=57,CODE(MID(TRIM(UPPER(E124)),8,1))&gt;=48,CODE(MID(TRIM(UPPER(E124)),8,1))&lt;=57,CODE(MID(TRIM(UPPER(E124)),9,1))&gt;=48,CODE(MID(TRIM(UPPER(E124)),9,1))&lt;=57),"N","Y"))</f>
      </c>
      <c r="G124" s="7">
        <f>IF($D124="","",IF(LEN(E124)&lt;4,"",IF(UPPER(MID(E124,4,1))="P","Individual",IF(UPPER(MID(E124,4,1))="H","HUF",IF(UPPER(MID(E124,4,1))="C","Company",IF(UPPER(MID(E124,4,1))="F","Firm",IF(UPPER(MID(E124,4,1))="L","LLP",IF(UPPER(MID(E124,4,1))="T","Trust",IF(UPPER(MID(E124,4,1))="A","AOP","")))))))))</f>
      </c>
      <c r="H124" s="8"/>
      <c r="I124" s="7">
        <f>IF($D124="","",IF(H124="","",IF(F124="Y",SUMPRODUCT(('Rate Lookup'!$A$1:$A$37=H124)*'Rate Lookup'!$D$1:$D$37),IF(OR(G124="Individual",G124="HUF"),SUMPRODUCT(('Rate Lookup'!$A$1:$A$37=H124)*'Rate Lookup'!$B$1:$B$37),SUMPRODUCT(('Rate Lookup'!$A$1:$A$37=H124)*'Rate Lookup'!$C$1:$C$37)))))</f>
      </c>
      <c r="J124" s="8"/>
      <c r="K124" s="8"/>
      <c r="L124" s="7">
        <f>IF($D124="","",ROUND(K124*I124/100,0))</f>
      </c>
      <c r="M124" s="7">
        <f>IF($D124="","",0)</f>
      </c>
      <c r="N124" s="7">
        <f>IF($D124="","",0)</f>
      </c>
      <c r="O124" s="7">
        <f>IF($D124="","",IF(OR(L124=0,J124="",IFERROR(INDEX('Challan Master'!$D$4:$D$207,MATCH($B124,'Challan Master'!$S$4:$S$207,0)),"")="",IFERROR(INDEX('Challan Master'!$D$4:$D$207,MATCH($B124,'Challan Master'!$S$4:$S$207,0)),"")&lt;=0),0,IF(IFERROR(INDEX('Challan Master'!$D$4:$D$207,MATCH($B124,'Challan Master'!$S$4:$S$207,0)),"")&lt;=DATE(YEAR(J124),MONTH(J124)+1,7),0,ROUND(L124*0.015*((YEAR(IFERROR(INDEX('Challan Master'!$D$4:$D$207,MATCH($B124,'Challan Master'!$S$4:$S$207,0)),""))-YEAR(J124))*12+(MONTH(IFERROR(INDEX('Challan Master'!$D$4:$D$207,MATCH($B124,'Challan Master'!$S$4:$S$207,0)),""))-MONTH(J124))+1),0))))</f>
      </c>
      <c r="P124" s="7">
        <f>IF($D124="","",0)</f>
      </c>
      <c r="Q124" s="8"/>
      <c r="R124" s="8"/>
      <c r="S124" s="8"/>
      <c r="T124" s="8"/>
      <c r="U124" s="8"/>
      <c r="V124" s="7">
        <f>IF($B124="","",IFERROR(INDEX('Challan Master'!$AA$4:$AA$207,MATCH($B124,'Challan Master'!$S$4:$S$207,0)),""))</f>
      </c>
    </row>
    <row r="125" spans="1:22" x14ac:dyDescent="0.25">
      <c r="A125" s="7">
        <f>IF($D125="","",COUNTIF($D$4:$D125,"&lt;&gt;"))</f>
      </c>
      <c r="B125" s="8"/>
      <c r="C125" s="7">
        <f>IF($B125="","","BSR "&amp;IFERROR(INDEX('Challan Master'!$B$4:$B$207,MATCH($B125,'Challan Master'!$S$4:$S$207,0)),"")&amp;" | Serial "&amp;IFERROR(INDEX('Challan Master'!$C$4:$C$207,MATCH($B125,'Challan Master'!$S$4:$S$207,0)),"")&amp;" | Deposit "&amp;TEXT(IFERROR(INDEX('Challan Master'!$D$4:$D$207,MATCH($B125,'Challan Master'!$S$4:$S$207,0)),""),"dd-mm-yyyy")&amp;" | Minor Head "&amp;IFERROR(INDEX('Challan Master'!$E$4:$E$207,MATCH($B125,'Challan Master'!$S$4:$S$207,0)),"")&amp;" | Tax ₹"&amp;TEXT(IFERROR(INDEX('Challan Master'!$G$4:$G$207,MATCH($B125,'Challan Master'!$S$4:$S$207,0)),""),"#,##0")&amp;" | Section "&amp;IFERROR(INDEX('Challan Master'!$F$4:$F$207,MATCH($B125,'Challan Master'!$S$4:$S$207,0)),""))</f>
      </c>
      <c r="D125" s="8"/>
      <c r="E125" s="8"/>
      <c r="F125" s="7">
        <f>IF($D125="","",IF(AND(LEN(TRIM(UPPER(E125)))=10,CODE(MID(TRIM(UPPER(E125)),1,1))&gt;=65,CODE(MID(TRIM(UPPER(E125)),1,1))&lt;=90,CODE(MID(TRIM(UPPER(E125)),2,1))&gt;=65,CODE(MID(TRIM(UPPER(E125)),2,1))&lt;=90,CODE(MID(TRIM(UPPER(E125)),3,1))&gt;=65,CODE(MID(TRIM(UPPER(E125)),3,1))&lt;=90,CODE(MID(TRIM(UPPER(E125)),4,1))&gt;=65,CODE(MID(TRIM(UPPER(E125)),4,1))&lt;=90,CODE(MID(TRIM(UPPER(E125)),5,1))&gt;=65,CODE(MID(TRIM(UPPER(E125)),5,1))&lt;=90,CODE(MID(TRIM(UPPER(E125)),10,1))&gt;=65,CODE(MID(TRIM(UPPER(E125)),10,1))&lt;=90,CODE(MID(TRIM(UPPER(E125)),6,1))&gt;=48,CODE(MID(TRIM(UPPER(E125)),6,1))&lt;=57,CODE(MID(TRIM(UPPER(E125)),7,1))&gt;=48,CODE(MID(TRIM(UPPER(E125)),7,1))&lt;=57,CODE(MID(TRIM(UPPER(E125)),8,1))&gt;=48,CODE(MID(TRIM(UPPER(E125)),8,1))&lt;=57,CODE(MID(TRIM(UPPER(E125)),9,1))&gt;=48,CODE(MID(TRIM(UPPER(E125)),9,1))&lt;=57),"N","Y"))</f>
      </c>
      <c r="G125" s="7">
        <f>IF($D125="","",IF(LEN(E125)&lt;4,"",IF(UPPER(MID(E125,4,1))="P","Individual",IF(UPPER(MID(E125,4,1))="H","HUF",IF(UPPER(MID(E125,4,1))="C","Company",IF(UPPER(MID(E125,4,1))="F","Firm",IF(UPPER(MID(E125,4,1))="L","LLP",IF(UPPER(MID(E125,4,1))="T","Trust",IF(UPPER(MID(E125,4,1))="A","AOP","")))))))))</f>
      </c>
      <c r="H125" s="8"/>
      <c r="I125" s="7">
        <f>IF($D125="","",IF(H125="","",IF(F125="Y",SUMPRODUCT(('Rate Lookup'!$A$1:$A$37=H125)*'Rate Lookup'!$D$1:$D$37),IF(OR(G125="Individual",G125="HUF"),SUMPRODUCT(('Rate Lookup'!$A$1:$A$37=H125)*'Rate Lookup'!$B$1:$B$37),SUMPRODUCT(('Rate Lookup'!$A$1:$A$37=H125)*'Rate Lookup'!$C$1:$C$37)))))</f>
      </c>
      <c r="J125" s="8"/>
      <c r="K125" s="8"/>
      <c r="L125" s="7">
        <f>IF($D125="","",ROUND(K125*I125/100,0))</f>
      </c>
      <c r="M125" s="7">
        <f>IF($D125="","",0)</f>
      </c>
      <c r="N125" s="7">
        <f>IF($D125="","",0)</f>
      </c>
      <c r="O125" s="7">
        <f>IF($D125="","",IF(OR(L125=0,J125="",IFERROR(INDEX('Challan Master'!$D$4:$D$207,MATCH($B125,'Challan Master'!$S$4:$S$207,0)),"")="",IFERROR(INDEX('Challan Master'!$D$4:$D$207,MATCH($B125,'Challan Master'!$S$4:$S$207,0)),"")&lt;=0),0,IF(IFERROR(INDEX('Challan Master'!$D$4:$D$207,MATCH($B125,'Challan Master'!$S$4:$S$207,0)),"")&lt;=DATE(YEAR(J125),MONTH(J125)+1,7),0,ROUND(L125*0.015*((YEAR(IFERROR(INDEX('Challan Master'!$D$4:$D$207,MATCH($B125,'Challan Master'!$S$4:$S$207,0)),""))-YEAR(J125))*12+(MONTH(IFERROR(INDEX('Challan Master'!$D$4:$D$207,MATCH($B125,'Challan Master'!$S$4:$S$207,0)),""))-MONTH(J125))+1),0))))</f>
      </c>
      <c r="P125" s="7">
        <f>IF($D125="","",0)</f>
      </c>
      <c r="Q125" s="8"/>
      <c r="R125" s="8"/>
      <c r="S125" s="8"/>
      <c r="T125" s="8"/>
      <c r="U125" s="8"/>
      <c r="V125" s="7">
        <f>IF($B125="","",IFERROR(INDEX('Challan Master'!$AA$4:$AA$207,MATCH($B125,'Challan Master'!$S$4:$S$207,0)),""))</f>
      </c>
    </row>
    <row r="126" spans="1:22" x14ac:dyDescent="0.25">
      <c r="A126" s="7">
        <f>IF($D126="","",COUNTIF($D$4:$D126,"&lt;&gt;"))</f>
      </c>
      <c r="B126" s="8"/>
      <c r="C126" s="7">
        <f>IF($B126="","","BSR "&amp;IFERROR(INDEX('Challan Master'!$B$4:$B$207,MATCH($B126,'Challan Master'!$S$4:$S$207,0)),"")&amp;" | Serial "&amp;IFERROR(INDEX('Challan Master'!$C$4:$C$207,MATCH($B126,'Challan Master'!$S$4:$S$207,0)),"")&amp;" | Deposit "&amp;TEXT(IFERROR(INDEX('Challan Master'!$D$4:$D$207,MATCH($B126,'Challan Master'!$S$4:$S$207,0)),""),"dd-mm-yyyy")&amp;" | Minor Head "&amp;IFERROR(INDEX('Challan Master'!$E$4:$E$207,MATCH($B126,'Challan Master'!$S$4:$S$207,0)),"")&amp;" | Tax ₹"&amp;TEXT(IFERROR(INDEX('Challan Master'!$G$4:$G$207,MATCH($B126,'Challan Master'!$S$4:$S$207,0)),""),"#,##0")&amp;" | Section "&amp;IFERROR(INDEX('Challan Master'!$F$4:$F$207,MATCH($B126,'Challan Master'!$S$4:$S$207,0)),""))</f>
      </c>
      <c r="D126" s="8"/>
      <c r="E126" s="8"/>
      <c r="F126" s="7">
        <f>IF($D126="","",IF(AND(LEN(TRIM(UPPER(E126)))=10,CODE(MID(TRIM(UPPER(E126)),1,1))&gt;=65,CODE(MID(TRIM(UPPER(E126)),1,1))&lt;=90,CODE(MID(TRIM(UPPER(E126)),2,1))&gt;=65,CODE(MID(TRIM(UPPER(E126)),2,1))&lt;=90,CODE(MID(TRIM(UPPER(E126)),3,1))&gt;=65,CODE(MID(TRIM(UPPER(E126)),3,1))&lt;=90,CODE(MID(TRIM(UPPER(E126)),4,1))&gt;=65,CODE(MID(TRIM(UPPER(E126)),4,1))&lt;=90,CODE(MID(TRIM(UPPER(E126)),5,1))&gt;=65,CODE(MID(TRIM(UPPER(E126)),5,1))&lt;=90,CODE(MID(TRIM(UPPER(E126)),10,1))&gt;=65,CODE(MID(TRIM(UPPER(E126)),10,1))&lt;=90,CODE(MID(TRIM(UPPER(E126)),6,1))&gt;=48,CODE(MID(TRIM(UPPER(E126)),6,1))&lt;=57,CODE(MID(TRIM(UPPER(E126)),7,1))&gt;=48,CODE(MID(TRIM(UPPER(E126)),7,1))&lt;=57,CODE(MID(TRIM(UPPER(E126)),8,1))&gt;=48,CODE(MID(TRIM(UPPER(E126)),8,1))&lt;=57,CODE(MID(TRIM(UPPER(E126)),9,1))&gt;=48,CODE(MID(TRIM(UPPER(E126)),9,1))&lt;=57),"N","Y"))</f>
      </c>
      <c r="G126" s="7">
        <f>IF($D126="","",IF(LEN(E126)&lt;4,"",IF(UPPER(MID(E126,4,1))="P","Individual",IF(UPPER(MID(E126,4,1))="H","HUF",IF(UPPER(MID(E126,4,1))="C","Company",IF(UPPER(MID(E126,4,1))="F","Firm",IF(UPPER(MID(E126,4,1))="L","LLP",IF(UPPER(MID(E126,4,1))="T","Trust",IF(UPPER(MID(E126,4,1))="A","AOP","")))))))))</f>
      </c>
      <c r="H126" s="8"/>
      <c r="I126" s="7">
        <f>IF($D126="","",IF(H126="","",IF(F126="Y",SUMPRODUCT(('Rate Lookup'!$A$1:$A$37=H126)*'Rate Lookup'!$D$1:$D$37),IF(OR(G126="Individual",G126="HUF"),SUMPRODUCT(('Rate Lookup'!$A$1:$A$37=H126)*'Rate Lookup'!$B$1:$B$37),SUMPRODUCT(('Rate Lookup'!$A$1:$A$37=H126)*'Rate Lookup'!$C$1:$C$37)))))</f>
      </c>
      <c r="J126" s="8"/>
      <c r="K126" s="8"/>
      <c r="L126" s="7">
        <f>IF($D126="","",ROUND(K126*I126/100,0))</f>
      </c>
      <c r="M126" s="7">
        <f>IF($D126="","",0)</f>
      </c>
      <c r="N126" s="7">
        <f>IF($D126="","",0)</f>
      </c>
      <c r="O126" s="7">
        <f>IF($D126="","",IF(OR(L126=0,J126="",IFERROR(INDEX('Challan Master'!$D$4:$D$207,MATCH($B126,'Challan Master'!$S$4:$S$207,0)),"")="",IFERROR(INDEX('Challan Master'!$D$4:$D$207,MATCH($B126,'Challan Master'!$S$4:$S$207,0)),"")&lt;=0),0,IF(IFERROR(INDEX('Challan Master'!$D$4:$D$207,MATCH($B126,'Challan Master'!$S$4:$S$207,0)),"")&lt;=DATE(YEAR(J126),MONTH(J126)+1,7),0,ROUND(L126*0.015*((YEAR(IFERROR(INDEX('Challan Master'!$D$4:$D$207,MATCH($B126,'Challan Master'!$S$4:$S$207,0)),""))-YEAR(J126))*12+(MONTH(IFERROR(INDEX('Challan Master'!$D$4:$D$207,MATCH($B126,'Challan Master'!$S$4:$S$207,0)),""))-MONTH(J126))+1),0))))</f>
      </c>
      <c r="P126" s="7">
        <f>IF($D126="","",0)</f>
      </c>
      <c r="Q126" s="8"/>
      <c r="R126" s="8"/>
      <c r="S126" s="8"/>
      <c r="T126" s="8"/>
      <c r="U126" s="8"/>
      <c r="V126" s="7">
        <f>IF($B126="","",IFERROR(INDEX('Challan Master'!$AA$4:$AA$207,MATCH($B126,'Challan Master'!$S$4:$S$207,0)),""))</f>
      </c>
    </row>
    <row r="127" spans="1:22" x14ac:dyDescent="0.25">
      <c r="A127" s="7">
        <f>IF($D127="","",COUNTIF($D$4:$D127,"&lt;&gt;"))</f>
      </c>
      <c r="B127" s="8"/>
      <c r="C127" s="7">
        <f>IF($B127="","","BSR "&amp;IFERROR(INDEX('Challan Master'!$B$4:$B$207,MATCH($B127,'Challan Master'!$S$4:$S$207,0)),"")&amp;" | Serial "&amp;IFERROR(INDEX('Challan Master'!$C$4:$C$207,MATCH($B127,'Challan Master'!$S$4:$S$207,0)),"")&amp;" | Deposit "&amp;TEXT(IFERROR(INDEX('Challan Master'!$D$4:$D$207,MATCH($B127,'Challan Master'!$S$4:$S$207,0)),""),"dd-mm-yyyy")&amp;" | Minor Head "&amp;IFERROR(INDEX('Challan Master'!$E$4:$E$207,MATCH($B127,'Challan Master'!$S$4:$S$207,0)),"")&amp;" | Tax ₹"&amp;TEXT(IFERROR(INDEX('Challan Master'!$G$4:$G$207,MATCH($B127,'Challan Master'!$S$4:$S$207,0)),""),"#,##0")&amp;" | Section "&amp;IFERROR(INDEX('Challan Master'!$F$4:$F$207,MATCH($B127,'Challan Master'!$S$4:$S$207,0)),""))</f>
      </c>
      <c r="D127" s="8"/>
      <c r="E127" s="8"/>
      <c r="F127" s="7">
        <f>IF($D127="","",IF(AND(LEN(TRIM(UPPER(E127)))=10,CODE(MID(TRIM(UPPER(E127)),1,1))&gt;=65,CODE(MID(TRIM(UPPER(E127)),1,1))&lt;=90,CODE(MID(TRIM(UPPER(E127)),2,1))&gt;=65,CODE(MID(TRIM(UPPER(E127)),2,1))&lt;=90,CODE(MID(TRIM(UPPER(E127)),3,1))&gt;=65,CODE(MID(TRIM(UPPER(E127)),3,1))&lt;=90,CODE(MID(TRIM(UPPER(E127)),4,1))&gt;=65,CODE(MID(TRIM(UPPER(E127)),4,1))&lt;=90,CODE(MID(TRIM(UPPER(E127)),5,1))&gt;=65,CODE(MID(TRIM(UPPER(E127)),5,1))&lt;=90,CODE(MID(TRIM(UPPER(E127)),10,1))&gt;=65,CODE(MID(TRIM(UPPER(E127)),10,1))&lt;=90,CODE(MID(TRIM(UPPER(E127)),6,1))&gt;=48,CODE(MID(TRIM(UPPER(E127)),6,1))&lt;=57,CODE(MID(TRIM(UPPER(E127)),7,1))&gt;=48,CODE(MID(TRIM(UPPER(E127)),7,1))&lt;=57,CODE(MID(TRIM(UPPER(E127)),8,1))&gt;=48,CODE(MID(TRIM(UPPER(E127)),8,1))&lt;=57,CODE(MID(TRIM(UPPER(E127)),9,1))&gt;=48,CODE(MID(TRIM(UPPER(E127)),9,1))&lt;=57),"N","Y"))</f>
      </c>
      <c r="G127" s="7">
        <f>IF($D127="","",IF(LEN(E127)&lt;4,"",IF(UPPER(MID(E127,4,1))="P","Individual",IF(UPPER(MID(E127,4,1))="H","HUF",IF(UPPER(MID(E127,4,1))="C","Company",IF(UPPER(MID(E127,4,1))="F","Firm",IF(UPPER(MID(E127,4,1))="L","LLP",IF(UPPER(MID(E127,4,1))="T","Trust",IF(UPPER(MID(E127,4,1))="A","AOP","")))))))))</f>
      </c>
      <c r="H127" s="8"/>
      <c r="I127" s="7">
        <f>IF($D127="","",IF(H127="","",IF(F127="Y",SUMPRODUCT(('Rate Lookup'!$A$1:$A$37=H127)*'Rate Lookup'!$D$1:$D$37),IF(OR(G127="Individual",G127="HUF"),SUMPRODUCT(('Rate Lookup'!$A$1:$A$37=H127)*'Rate Lookup'!$B$1:$B$37),SUMPRODUCT(('Rate Lookup'!$A$1:$A$37=H127)*'Rate Lookup'!$C$1:$C$37)))))</f>
      </c>
      <c r="J127" s="8"/>
      <c r="K127" s="8"/>
      <c r="L127" s="7">
        <f>IF($D127="","",ROUND(K127*I127/100,0))</f>
      </c>
      <c r="M127" s="7">
        <f>IF($D127="","",0)</f>
      </c>
      <c r="N127" s="7">
        <f>IF($D127="","",0)</f>
      </c>
      <c r="O127" s="7">
        <f>IF($D127="","",IF(OR(L127=0,J127="",IFERROR(INDEX('Challan Master'!$D$4:$D$207,MATCH($B127,'Challan Master'!$S$4:$S$207,0)),"")="",IFERROR(INDEX('Challan Master'!$D$4:$D$207,MATCH($B127,'Challan Master'!$S$4:$S$207,0)),"")&lt;=0),0,IF(IFERROR(INDEX('Challan Master'!$D$4:$D$207,MATCH($B127,'Challan Master'!$S$4:$S$207,0)),"")&lt;=DATE(YEAR(J127),MONTH(J127)+1,7),0,ROUND(L127*0.015*((YEAR(IFERROR(INDEX('Challan Master'!$D$4:$D$207,MATCH($B127,'Challan Master'!$S$4:$S$207,0)),""))-YEAR(J127))*12+(MONTH(IFERROR(INDEX('Challan Master'!$D$4:$D$207,MATCH($B127,'Challan Master'!$S$4:$S$207,0)),""))-MONTH(J127))+1),0))))</f>
      </c>
      <c r="P127" s="7">
        <f>IF($D127="","",0)</f>
      </c>
      <c r="Q127" s="8"/>
      <c r="R127" s="8"/>
      <c r="S127" s="8"/>
      <c r="T127" s="8"/>
      <c r="U127" s="8"/>
      <c r="V127" s="7">
        <f>IF($B127="","",IFERROR(INDEX('Challan Master'!$AA$4:$AA$207,MATCH($B127,'Challan Master'!$S$4:$S$207,0)),""))</f>
      </c>
    </row>
    <row r="128" spans="1:22" x14ac:dyDescent="0.25">
      <c r="A128" s="7">
        <f>IF($D128="","",COUNTIF($D$4:$D128,"&lt;&gt;"))</f>
      </c>
      <c r="B128" s="8"/>
      <c r="C128" s="7">
        <f>IF($B128="","","BSR "&amp;IFERROR(INDEX('Challan Master'!$B$4:$B$207,MATCH($B128,'Challan Master'!$S$4:$S$207,0)),"")&amp;" | Serial "&amp;IFERROR(INDEX('Challan Master'!$C$4:$C$207,MATCH($B128,'Challan Master'!$S$4:$S$207,0)),"")&amp;" | Deposit "&amp;TEXT(IFERROR(INDEX('Challan Master'!$D$4:$D$207,MATCH($B128,'Challan Master'!$S$4:$S$207,0)),""),"dd-mm-yyyy")&amp;" | Minor Head "&amp;IFERROR(INDEX('Challan Master'!$E$4:$E$207,MATCH($B128,'Challan Master'!$S$4:$S$207,0)),"")&amp;" | Tax ₹"&amp;TEXT(IFERROR(INDEX('Challan Master'!$G$4:$G$207,MATCH($B128,'Challan Master'!$S$4:$S$207,0)),""),"#,##0")&amp;" | Section "&amp;IFERROR(INDEX('Challan Master'!$F$4:$F$207,MATCH($B128,'Challan Master'!$S$4:$S$207,0)),""))</f>
      </c>
      <c r="D128" s="8"/>
      <c r="E128" s="8"/>
      <c r="F128" s="7">
        <f>IF($D128="","",IF(AND(LEN(TRIM(UPPER(E128)))=10,CODE(MID(TRIM(UPPER(E128)),1,1))&gt;=65,CODE(MID(TRIM(UPPER(E128)),1,1))&lt;=90,CODE(MID(TRIM(UPPER(E128)),2,1))&gt;=65,CODE(MID(TRIM(UPPER(E128)),2,1))&lt;=90,CODE(MID(TRIM(UPPER(E128)),3,1))&gt;=65,CODE(MID(TRIM(UPPER(E128)),3,1))&lt;=90,CODE(MID(TRIM(UPPER(E128)),4,1))&gt;=65,CODE(MID(TRIM(UPPER(E128)),4,1))&lt;=90,CODE(MID(TRIM(UPPER(E128)),5,1))&gt;=65,CODE(MID(TRIM(UPPER(E128)),5,1))&lt;=90,CODE(MID(TRIM(UPPER(E128)),10,1))&gt;=65,CODE(MID(TRIM(UPPER(E128)),10,1))&lt;=90,CODE(MID(TRIM(UPPER(E128)),6,1))&gt;=48,CODE(MID(TRIM(UPPER(E128)),6,1))&lt;=57,CODE(MID(TRIM(UPPER(E128)),7,1))&gt;=48,CODE(MID(TRIM(UPPER(E128)),7,1))&lt;=57,CODE(MID(TRIM(UPPER(E128)),8,1))&gt;=48,CODE(MID(TRIM(UPPER(E128)),8,1))&lt;=57,CODE(MID(TRIM(UPPER(E128)),9,1))&gt;=48,CODE(MID(TRIM(UPPER(E128)),9,1))&lt;=57),"N","Y"))</f>
      </c>
      <c r="G128" s="7">
        <f>IF($D128="","",IF(LEN(E128)&lt;4,"",IF(UPPER(MID(E128,4,1))="P","Individual",IF(UPPER(MID(E128,4,1))="H","HUF",IF(UPPER(MID(E128,4,1))="C","Company",IF(UPPER(MID(E128,4,1))="F","Firm",IF(UPPER(MID(E128,4,1))="L","LLP",IF(UPPER(MID(E128,4,1))="T","Trust",IF(UPPER(MID(E128,4,1))="A","AOP","")))))))))</f>
      </c>
      <c r="H128" s="8"/>
      <c r="I128" s="7">
        <f>IF($D128="","",IF(H128="","",IF(F128="Y",SUMPRODUCT(('Rate Lookup'!$A$1:$A$37=H128)*'Rate Lookup'!$D$1:$D$37),IF(OR(G128="Individual",G128="HUF"),SUMPRODUCT(('Rate Lookup'!$A$1:$A$37=H128)*'Rate Lookup'!$B$1:$B$37),SUMPRODUCT(('Rate Lookup'!$A$1:$A$37=H128)*'Rate Lookup'!$C$1:$C$37)))))</f>
      </c>
      <c r="J128" s="8"/>
      <c r="K128" s="8"/>
      <c r="L128" s="7">
        <f>IF($D128="","",ROUND(K128*I128/100,0))</f>
      </c>
      <c r="M128" s="7">
        <f>IF($D128="","",0)</f>
      </c>
      <c r="N128" s="7">
        <f>IF($D128="","",0)</f>
      </c>
      <c r="O128" s="7">
        <f>IF($D128="","",IF(OR(L128=0,J128="",IFERROR(INDEX('Challan Master'!$D$4:$D$207,MATCH($B128,'Challan Master'!$S$4:$S$207,0)),"")="",IFERROR(INDEX('Challan Master'!$D$4:$D$207,MATCH($B128,'Challan Master'!$S$4:$S$207,0)),"")&lt;=0),0,IF(IFERROR(INDEX('Challan Master'!$D$4:$D$207,MATCH($B128,'Challan Master'!$S$4:$S$207,0)),"")&lt;=DATE(YEAR(J128),MONTH(J128)+1,7),0,ROUND(L128*0.015*((YEAR(IFERROR(INDEX('Challan Master'!$D$4:$D$207,MATCH($B128,'Challan Master'!$S$4:$S$207,0)),""))-YEAR(J128))*12+(MONTH(IFERROR(INDEX('Challan Master'!$D$4:$D$207,MATCH($B128,'Challan Master'!$S$4:$S$207,0)),""))-MONTH(J128))+1),0))))</f>
      </c>
      <c r="P128" s="7">
        <f>IF($D128="","",0)</f>
      </c>
      <c r="Q128" s="8"/>
      <c r="R128" s="8"/>
      <c r="S128" s="8"/>
      <c r="T128" s="8"/>
      <c r="U128" s="8"/>
      <c r="V128" s="7">
        <f>IF($B128="","",IFERROR(INDEX('Challan Master'!$AA$4:$AA$207,MATCH($B128,'Challan Master'!$S$4:$S$207,0)),""))</f>
      </c>
    </row>
    <row r="129" spans="1:22" x14ac:dyDescent="0.25">
      <c r="A129" s="7">
        <f>IF($D129="","",COUNTIF($D$4:$D129,"&lt;&gt;"))</f>
      </c>
      <c r="B129" s="8"/>
      <c r="C129" s="7">
        <f>IF($B129="","","BSR "&amp;IFERROR(INDEX('Challan Master'!$B$4:$B$207,MATCH($B129,'Challan Master'!$S$4:$S$207,0)),"")&amp;" | Serial "&amp;IFERROR(INDEX('Challan Master'!$C$4:$C$207,MATCH($B129,'Challan Master'!$S$4:$S$207,0)),"")&amp;" | Deposit "&amp;TEXT(IFERROR(INDEX('Challan Master'!$D$4:$D$207,MATCH($B129,'Challan Master'!$S$4:$S$207,0)),""),"dd-mm-yyyy")&amp;" | Minor Head "&amp;IFERROR(INDEX('Challan Master'!$E$4:$E$207,MATCH($B129,'Challan Master'!$S$4:$S$207,0)),"")&amp;" | Tax ₹"&amp;TEXT(IFERROR(INDEX('Challan Master'!$G$4:$G$207,MATCH($B129,'Challan Master'!$S$4:$S$207,0)),""),"#,##0")&amp;" | Section "&amp;IFERROR(INDEX('Challan Master'!$F$4:$F$207,MATCH($B129,'Challan Master'!$S$4:$S$207,0)),""))</f>
      </c>
      <c r="D129" s="8"/>
      <c r="E129" s="8"/>
      <c r="F129" s="7">
        <f>IF($D129="","",IF(AND(LEN(TRIM(UPPER(E129)))=10,CODE(MID(TRIM(UPPER(E129)),1,1))&gt;=65,CODE(MID(TRIM(UPPER(E129)),1,1))&lt;=90,CODE(MID(TRIM(UPPER(E129)),2,1))&gt;=65,CODE(MID(TRIM(UPPER(E129)),2,1))&lt;=90,CODE(MID(TRIM(UPPER(E129)),3,1))&gt;=65,CODE(MID(TRIM(UPPER(E129)),3,1))&lt;=90,CODE(MID(TRIM(UPPER(E129)),4,1))&gt;=65,CODE(MID(TRIM(UPPER(E129)),4,1))&lt;=90,CODE(MID(TRIM(UPPER(E129)),5,1))&gt;=65,CODE(MID(TRIM(UPPER(E129)),5,1))&lt;=90,CODE(MID(TRIM(UPPER(E129)),10,1))&gt;=65,CODE(MID(TRIM(UPPER(E129)),10,1))&lt;=90,CODE(MID(TRIM(UPPER(E129)),6,1))&gt;=48,CODE(MID(TRIM(UPPER(E129)),6,1))&lt;=57,CODE(MID(TRIM(UPPER(E129)),7,1))&gt;=48,CODE(MID(TRIM(UPPER(E129)),7,1))&lt;=57,CODE(MID(TRIM(UPPER(E129)),8,1))&gt;=48,CODE(MID(TRIM(UPPER(E129)),8,1))&lt;=57,CODE(MID(TRIM(UPPER(E129)),9,1))&gt;=48,CODE(MID(TRIM(UPPER(E129)),9,1))&lt;=57),"N","Y"))</f>
      </c>
      <c r="G129" s="7">
        <f>IF($D129="","",IF(LEN(E129)&lt;4,"",IF(UPPER(MID(E129,4,1))="P","Individual",IF(UPPER(MID(E129,4,1))="H","HUF",IF(UPPER(MID(E129,4,1))="C","Company",IF(UPPER(MID(E129,4,1))="F","Firm",IF(UPPER(MID(E129,4,1))="L","LLP",IF(UPPER(MID(E129,4,1))="T","Trust",IF(UPPER(MID(E129,4,1))="A","AOP","")))))))))</f>
      </c>
      <c r="H129" s="8"/>
      <c r="I129" s="7">
        <f>IF($D129="","",IF(H129="","",IF(F129="Y",SUMPRODUCT(('Rate Lookup'!$A$1:$A$37=H129)*'Rate Lookup'!$D$1:$D$37),IF(OR(G129="Individual",G129="HUF"),SUMPRODUCT(('Rate Lookup'!$A$1:$A$37=H129)*'Rate Lookup'!$B$1:$B$37),SUMPRODUCT(('Rate Lookup'!$A$1:$A$37=H129)*'Rate Lookup'!$C$1:$C$37)))))</f>
      </c>
      <c r="J129" s="8"/>
      <c r="K129" s="8"/>
      <c r="L129" s="7">
        <f>IF($D129="","",ROUND(K129*I129/100,0))</f>
      </c>
      <c r="M129" s="7">
        <f>IF($D129="","",0)</f>
      </c>
      <c r="N129" s="7">
        <f>IF($D129="","",0)</f>
      </c>
      <c r="O129" s="7">
        <f>IF($D129="","",IF(OR(L129=0,J129="",IFERROR(INDEX('Challan Master'!$D$4:$D$207,MATCH($B129,'Challan Master'!$S$4:$S$207,0)),"")="",IFERROR(INDEX('Challan Master'!$D$4:$D$207,MATCH($B129,'Challan Master'!$S$4:$S$207,0)),"")&lt;=0),0,IF(IFERROR(INDEX('Challan Master'!$D$4:$D$207,MATCH($B129,'Challan Master'!$S$4:$S$207,0)),"")&lt;=DATE(YEAR(J129),MONTH(J129)+1,7),0,ROUND(L129*0.015*((YEAR(IFERROR(INDEX('Challan Master'!$D$4:$D$207,MATCH($B129,'Challan Master'!$S$4:$S$207,0)),""))-YEAR(J129))*12+(MONTH(IFERROR(INDEX('Challan Master'!$D$4:$D$207,MATCH($B129,'Challan Master'!$S$4:$S$207,0)),""))-MONTH(J129))+1),0))))</f>
      </c>
      <c r="P129" s="7">
        <f>IF($D129="","",0)</f>
      </c>
      <c r="Q129" s="8"/>
      <c r="R129" s="8"/>
      <c r="S129" s="8"/>
      <c r="T129" s="8"/>
      <c r="U129" s="8"/>
      <c r="V129" s="7">
        <f>IF($B129="","",IFERROR(INDEX('Challan Master'!$AA$4:$AA$207,MATCH($B129,'Challan Master'!$S$4:$S$207,0)),""))</f>
      </c>
    </row>
    <row r="130" spans="1:22" x14ac:dyDescent="0.25">
      <c r="A130" s="7">
        <f>IF($D130="","",COUNTIF($D$4:$D130,"&lt;&gt;"))</f>
      </c>
      <c r="B130" s="8"/>
      <c r="C130" s="7">
        <f>IF($B130="","","BSR "&amp;IFERROR(INDEX('Challan Master'!$B$4:$B$207,MATCH($B130,'Challan Master'!$S$4:$S$207,0)),"")&amp;" | Serial "&amp;IFERROR(INDEX('Challan Master'!$C$4:$C$207,MATCH($B130,'Challan Master'!$S$4:$S$207,0)),"")&amp;" | Deposit "&amp;TEXT(IFERROR(INDEX('Challan Master'!$D$4:$D$207,MATCH($B130,'Challan Master'!$S$4:$S$207,0)),""),"dd-mm-yyyy")&amp;" | Minor Head "&amp;IFERROR(INDEX('Challan Master'!$E$4:$E$207,MATCH($B130,'Challan Master'!$S$4:$S$207,0)),"")&amp;" | Tax ₹"&amp;TEXT(IFERROR(INDEX('Challan Master'!$G$4:$G$207,MATCH($B130,'Challan Master'!$S$4:$S$207,0)),""),"#,##0")&amp;" | Section "&amp;IFERROR(INDEX('Challan Master'!$F$4:$F$207,MATCH($B130,'Challan Master'!$S$4:$S$207,0)),""))</f>
      </c>
      <c r="D130" s="8"/>
      <c r="E130" s="8"/>
      <c r="F130" s="7">
        <f>IF($D130="","",IF(AND(LEN(TRIM(UPPER(E130)))=10,CODE(MID(TRIM(UPPER(E130)),1,1))&gt;=65,CODE(MID(TRIM(UPPER(E130)),1,1))&lt;=90,CODE(MID(TRIM(UPPER(E130)),2,1))&gt;=65,CODE(MID(TRIM(UPPER(E130)),2,1))&lt;=90,CODE(MID(TRIM(UPPER(E130)),3,1))&gt;=65,CODE(MID(TRIM(UPPER(E130)),3,1))&lt;=90,CODE(MID(TRIM(UPPER(E130)),4,1))&gt;=65,CODE(MID(TRIM(UPPER(E130)),4,1))&lt;=90,CODE(MID(TRIM(UPPER(E130)),5,1))&gt;=65,CODE(MID(TRIM(UPPER(E130)),5,1))&lt;=90,CODE(MID(TRIM(UPPER(E130)),10,1))&gt;=65,CODE(MID(TRIM(UPPER(E130)),10,1))&lt;=90,CODE(MID(TRIM(UPPER(E130)),6,1))&gt;=48,CODE(MID(TRIM(UPPER(E130)),6,1))&lt;=57,CODE(MID(TRIM(UPPER(E130)),7,1))&gt;=48,CODE(MID(TRIM(UPPER(E130)),7,1))&lt;=57,CODE(MID(TRIM(UPPER(E130)),8,1))&gt;=48,CODE(MID(TRIM(UPPER(E130)),8,1))&lt;=57,CODE(MID(TRIM(UPPER(E130)),9,1))&gt;=48,CODE(MID(TRIM(UPPER(E130)),9,1))&lt;=57),"N","Y"))</f>
      </c>
      <c r="G130" s="7">
        <f>IF($D130="","",IF(LEN(E130)&lt;4,"",IF(UPPER(MID(E130,4,1))="P","Individual",IF(UPPER(MID(E130,4,1))="H","HUF",IF(UPPER(MID(E130,4,1))="C","Company",IF(UPPER(MID(E130,4,1))="F","Firm",IF(UPPER(MID(E130,4,1))="L","LLP",IF(UPPER(MID(E130,4,1))="T","Trust",IF(UPPER(MID(E130,4,1))="A","AOP","")))))))))</f>
      </c>
      <c r="H130" s="8"/>
      <c r="I130" s="7">
        <f>IF($D130="","",IF(H130="","",IF(F130="Y",SUMPRODUCT(('Rate Lookup'!$A$1:$A$37=H130)*'Rate Lookup'!$D$1:$D$37),IF(OR(G130="Individual",G130="HUF"),SUMPRODUCT(('Rate Lookup'!$A$1:$A$37=H130)*'Rate Lookup'!$B$1:$B$37),SUMPRODUCT(('Rate Lookup'!$A$1:$A$37=H130)*'Rate Lookup'!$C$1:$C$37)))))</f>
      </c>
      <c r="J130" s="8"/>
      <c r="K130" s="8"/>
      <c r="L130" s="7">
        <f>IF($D130="","",ROUND(K130*I130/100,0))</f>
      </c>
      <c r="M130" s="7">
        <f>IF($D130="","",0)</f>
      </c>
      <c r="N130" s="7">
        <f>IF($D130="","",0)</f>
      </c>
      <c r="O130" s="7">
        <f>IF($D130="","",IF(OR(L130=0,J130="",IFERROR(INDEX('Challan Master'!$D$4:$D$207,MATCH($B130,'Challan Master'!$S$4:$S$207,0)),"")="",IFERROR(INDEX('Challan Master'!$D$4:$D$207,MATCH($B130,'Challan Master'!$S$4:$S$207,0)),"")&lt;=0),0,IF(IFERROR(INDEX('Challan Master'!$D$4:$D$207,MATCH($B130,'Challan Master'!$S$4:$S$207,0)),"")&lt;=DATE(YEAR(J130),MONTH(J130)+1,7),0,ROUND(L130*0.015*((YEAR(IFERROR(INDEX('Challan Master'!$D$4:$D$207,MATCH($B130,'Challan Master'!$S$4:$S$207,0)),""))-YEAR(J130))*12+(MONTH(IFERROR(INDEX('Challan Master'!$D$4:$D$207,MATCH($B130,'Challan Master'!$S$4:$S$207,0)),""))-MONTH(J130))+1),0))))</f>
      </c>
      <c r="P130" s="7">
        <f>IF($D130="","",0)</f>
      </c>
      <c r="Q130" s="8"/>
      <c r="R130" s="8"/>
      <c r="S130" s="8"/>
      <c r="T130" s="8"/>
      <c r="U130" s="8"/>
      <c r="V130" s="7">
        <f>IF($B130="","",IFERROR(INDEX('Challan Master'!$AA$4:$AA$207,MATCH($B130,'Challan Master'!$S$4:$S$207,0)),""))</f>
      </c>
    </row>
    <row r="131" spans="1:22" x14ac:dyDescent="0.25">
      <c r="A131" s="7">
        <f>IF($D131="","",COUNTIF($D$4:$D131,"&lt;&gt;"))</f>
      </c>
      <c r="B131" s="8"/>
      <c r="C131" s="7">
        <f>IF($B131="","","BSR "&amp;IFERROR(INDEX('Challan Master'!$B$4:$B$207,MATCH($B131,'Challan Master'!$S$4:$S$207,0)),"")&amp;" | Serial "&amp;IFERROR(INDEX('Challan Master'!$C$4:$C$207,MATCH($B131,'Challan Master'!$S$4:$S$207,0)),"")&amp;" | Deposit "&amp;TEXT(IFERROR(INDEX('Challan Master'!$D$4:$D$207,MATCH($B131,'Challan Master'!$S$4:$S$207,0)),""),"dd-mm-yyyy")&amp;" | Minor Head "&amp;IFERROR(INDEX('Challan Master'!$E$4:$E$207,MATCH($B131,'Challan Master'!$S$4:$S$207,0)),"")&amp;" | Tax ₹"&amp;TEXT(IFERROR(INDEX('Challan Master'!$G$4:$G$207,MATCH($B131,'Challan Master'!$S$4:$S$207,0)),""),"#,##0")&amp;" | Section "&amp;IFERROR(INDEX('Challan Master'!$F$4:$F$207,MATCH($B131,'Challan Master'!$S$4:$S$207,0)),""))</f>
      </c>
      <c r="D131" s="8"/>
      <c r="E131" s="8"/>
      <c r="F131" s="7">
        <f>IF($D131="","",IF(AND(LEN(TRIM(UPPER(E131)))=10,CODE(MID(TRIM(UPPER(E131)),1,1))&gt;=65,CODE(MID(TRIM(UPPER(E131)),1,1))&lt;=90,CODE(MID(TRIM(UPPER(E131)),2,1))&gt;=65,CODE(MID(TRIM(UPPER(E131)),2,1))&lt;=90,CODE(MID(TRIM(UPPER(E131)),3,1))&gt;=65,CODE(MID(TRIM(UPPER(E131)),3,1))&lt;=90,CODE(MID(TRIM(UPPER(E131)),4,1))&gt;=65,CODE(MID(TRIM(UPPER(E131)),4,1))&lt;=90,CODE(MID(TRIM(UPPER(E131)),5,1))&gt;=65,CODE(MID(TRIM(UPPER(E131)),5,1))&lt;=90,CODE(MID(TRIM(UPPER(E131)),10,1))&gt;=65,CODE(MID(TRIM(UPPER(E131)),10,1))&lt;=90,CODE(MID(TRIM(UPPER(E131)),6,1))&gt;=48,CODE(MID(TRIM(UPPER(E131)),6,1))&lt;=57,CODE(MID(TRIM(UPPER(E131)),7,1))&gt;=48,CODE(MID(TRIM(UPPER(E131)),7,1))&lt;=57,CODE(MID(TRIM(UPPER(E131)),8,1))&gt;=48,CODE(MID(TRIM(UPPER(E131)),8,1))&lt;=57,CODE(MID(TRIM(UPPER(E131)),9,1))&gt;=48,CODE(MID(TRIM(UPPER(E131)),9,1))&lt;=57),"N","Y"))</f>
      </c>
      <c r="G131" s="7">
        <f>IF($D131="","",IF(LEN(E131)&lt;4,"",IF(UPPER(MID(E131,4,1))="P","Individual",IF(UPPER(MID(E131,4,1))="H","HUF",IF(UPPER(MID(E131,4,1))="C","Company",IF(UPPER(MID(E131,4,1))="F","Firm",IF(UPPER(MID(E131,4,1))="L","LLP",IF(UPPER(MID(E131,4,1))="T","Trust",IF(UPPER(MID(E131,4,1))="A","AOP","")))))))))</f>
      </c>
      <c r="H131" s="8"/>
      <c r="I131" s="7">
        <f>IF($D131="","",IF(H131="","",IF(F131="Y",SUMPRODUCT(('Rate Lookup'!$A$1:$A$37=H131)*'Rate Lookup'!$D$1:$D$37),IF(OR(G131="Individual",G131="HUF"),SUMPRODUCT(('Rate Lookup'!$A$1:$A$37=H131)*'Rate Lookup'!$B$1:$B$37),SUMPRODUCT(('Rate Lookup'!$A$1:$A$37=H131)*'Rate Lookup'!$C$1:$C$37)))))</f>
      </c>
      <c r="J131" s="8"/>
      <c r="K131" s="8"/>
      <c r="L131" s="7">
        <f>IF($D131="","",ROUND(K131*I131/100,0))</f>
      </c>
      <c r="M131" s="7">
        <f>IF($D131="","",0)</f>
      </c>
      <c r="N131" s="7">
        <f>IF($D131="","",0)</f>
      </c>
      <c r="O131" s="7">
        <f>IF($D131="","",IF(OR(L131=0,J131="",IFERROR(INDEX('Challan Master'!$D$4:$D$207,MATCH($B131,'Challan Master'!$S$4:$S$207,0)),"")="",IFERROR(INDEX('Challan Master'!$D$4:$D$207,MATCH($B131,'Challan Master'!$S$4:$S$207,0)),"")&lt;=0),0,IF(IFERROR(INDEX('Challan Master'!$D$4:$D$207,MATCH($B131,'Challan Master'!$S$4:$S$207,0)),"")&lt;=DATE(YEAR(J131),MONTH(J131)+1,7),0,ROUND(L131*0.015*((YEAR(IFERROR(INDEX('Challan Master'!$D$4:$D$207,MATCH($B131,'Challan Master'!$S$4:$S$207,0)),""))-YEAR(J131))*12+(MONTH(IFERROR(INDEX('Challan Master'!$D$4:$D$207,MATCH($B131,'Challan Master'!$S$4:$S$207,0)),""))-MONTH(J131))+1),0))))</f>
      </c>
      <c r="P131" s="7">
        <f>IF($D131="","",0)</f>
      </c>
      <c r="Q131" s="8"/>
      <c r="R131" s="8"/>
      <c r="S131" s="8"/>
      <c r="T131" s="8"/>
      <c r="U131" s="8"/>
      <c r="V131" s="7">
        <f>IF($B131="","",IFERROR(INDEX('Challan Master'!$AA$4:$AA$207,MATCH($B131,'Challan Master'!$S$4:$S$207,0)),""))</f>
      </c>
    </row>
    <row r="132" spans="1:22" x14ac:dyDescent="0.25">
      <c r="A132" s="7">
        <f>IF($D132="","",COUNTIF($D$4:$D132,"&lt;&gt;"))</f>
      </c>
      <c r="B132" s="8"/>
      <c r="C132" s="7">
        <f>IF($B132="","","BSR "&amp;IFERROR(INDEX('Challan Master'!$B$4:$B$207,MATCH($B132,'Challan Master'!$S$4:$S$207,0)),"")&amp;" | Serial "&amp;IFERROR(INDEX('Challan Master'!$C$4:$C$207,MATCH($B132,'Challan Master'!$S$4:$S$207,0)),"")&amp;" | Deposit "&amp;TEXT(IFERROR(INDEX('Challan Master'!$D$4:$D$207,MATCH($B132,'Challan Master'!$S$4:$S$207,0)),""),"dd-mm-yyyy")&amp;" | Minor Head "&amp;IFERROR(INDEX('Challan Master'!$E$4:$E$207,MATCH($B132,'Challan Master'!$S$4:$S$207,0)),"")&amp;" | Tax ₹"&amp;TEXT(IFERROR(INDEX('Challan Master'!$G$4:$G$207,MATCH($B132,'Challan Master'!$S$4:$S$207,0)),""),"#,##0")&amp;" | Section "&amp;IFERROR(INDEX('Challan Master'!$F$4:$F$207,MATCH($B132,'Challan Master'!$S$4:$S$207,0)),""))</f>
      </c>
      <c r="D132" s="8"/>
      <c r="E132" s="8"/>
      <c r="F132" s="7">
        <f>IF($D132="","",IF(AND(LEN(TRIM(UPPER(E132)))=10,CODE(MID(TRIM(UPPER(E132)),1,1))&gt;=65,CODE(MID(TRIM(UPPER(E132)),1,1))&lt;=90,CODE(MID(TRIM(UPPER(E132)),2,1))&gt;=65,CODE(MID(TRIM(UPPER(E132)),2,1))&lt;=90,CODE(MID(TRIM(UPPER(E132)),3,1))&gt;=65,CODE(MID(TRIM(UPPER(E132)),3,1))&lt;=90,CODE(MID(TRIM(UPPER(E132)),4,1))&gt;=65,CODE(MID(TRIM(UPPER(E132)),4,1))&lt;=90,CODE(MID(TRIM(UPPER(E132)),5,1))&gt;=65,CODE(MID(TRIM(UPPER(E132)),5,1))&lt;=90,CODE(MID(TRIM(UPPER(E132)),10,1))&gt;=65,CODE(MID(TRIM(UPPER(E132)),10,1))&lt;=90,CODE(MID(TRIM(UPPER(E132)),6,1))&gt;=48,CODE(MID(TRIM(UPPER(E132)),6,1))&lt;=57,CODE(MID(TRIM(UPPER(E132)),7,1))&gt;=48,CODE(MID(TRIM(UPPER(E132)),7,1))&lt;=57,CODE(MID(TRIM(UPPER(E132)),8,1))&gt;=48,CODE(MID(TRIM(UPPER(E132)),8,1))&lt;=57,CODE(MID(TRIM(UPPER(E132)),9,1))&gt;=48,CODE(MID(TRIM(UPPER(E132)),9,1))&lt;=57),"N","Y"))</f>
      </c>
      <c r="G132" s="7">
        <f>IF($D132="","",IF(LEN(E132)&lt;4,"",IF(UPPER(MID(E132,4,1))="P","Individual",IF(UPPER(MID(E132,4,1))="H","HUF",IF(UPPER(MID(E132,4,1))="C","Company",IF(UPPER(MID(E132,4,1))="F","Firm",IF(UPPER(MID(E132,4,1))="L","LLP",IF(UPPER(MID(E132,4,1))="T","Trust",IF(UPPER(MID(E132,4,1))="A","AOP","")))))))))</f>
      </c>
      <c r="H132" s="8"/>
      <c r="I132" s="7">
        <f>IF($D132="","",IF(H132="","",IF(F132="Y",SUMPRODUCT(('Rate Lookup'!$A$1:$A$37=H132)*'Rate Lookup'!$D$1:$D$37),IF(OR(G132="Individual",G132="HUF"),SUMPRODUCT(('Rate Lookup'!$A$1:$A$37=H132)*'Rate Lookup'!$B$1:$B$37),SUMPRODUCT(('Rate Lookup'!$A$1:$A$37=H132)*'Rate Lookup'!$C$1:$C$37)))))</f>
      </c>
      <c r="J132" s="8"/>
      <c r="K132" s="8"/>
      <c r="L132" s="7">
        <f>IF($D132="","",ROUND(K132*I132/100,0))</f>
      </c>
      <c r="M132" s="7">
        <f>IF($D132="","",0)</f>
      </c>
      <c r="N132" s="7">
        <f>IF($D132="","",0)</f>
      </c>
      <c r="O132" s="7">
        <f>IF($D132="","",IF(OR(L132=0,J132="",IFERROR(INDEX('Challan Master'!$D$4:$D$207,MATCH($B132,'Challan Master'!$S$4:$S$207,0)),"")="",IFERROR(INDEX('Challan Master'!$D$4:$D$207,MATCH($B132,'Challan Master'!$S$4:$S$207,0)),"")&lt;=0),0,IF(IFERROR(INDEX('Challan Master'!$D$4:$D$207,MATCH($B132,'Challan Master'!$S$4:$S$207,0)),"")&lt;=DATE(YEAR(J132),MONTH(J132)+1,7),0,ROUND(L132*0.015*((YEAR(IFERROR(INDEX('Challan Master'!$D$4:$D$207,MATCH($B132,'Challan Master'!$S$4:$S$207,0)),""))-YEAR(J132))*12+(MONTH(IFERROR(INDEX('Challan Master'!$D$4:$D$207,MATCH($B132,'Challan Master'!$S$4:$S$207,0)),""))-MONTH(J132))+1),0))))</f>
      </c>
      <c r="P132" s="7">
        <f>IF($D132="","",0)</f>
      </c>
      <c r="Q132" s="8"/>
      <c r="R132" s="8"/>
      <c r="S132" s="8"/>
      <c r="T132" s="8"/>
      <c r="U132" s="8"/>
      <c r="V132" s="7">
        <f>IF($B132="","",IFERROR(INDEX('Challan Master'!$AA$4:$AA$207,MATCH($B132,'Challan Master'!$S$4:$S$207,0)),""))</f>
      </c>
    </row>
    <row r="133" spans="1:22" x14ac:dyDescent="0.25">
      <c r="A133" s="7">
        <f>IF($D133="","",COUNTIF($D$4:$D133,"&lt;&gt;"))</f>
      </c>
      <c r="B133" s="8"/>
      <c r="C133" s="7">
        <f>IF($B133="","","BSR "&amp;IFERROR(INDEX('Challan Master'!$B$4:$B$207,MATCH($B133,'Challan Master'!$S$4:$S$207,0)),"")&amp;" | Serial "&amp;IFERROR(INDEX('Challan Master'!$C$4:$C$207,MATCH($B133,'Challan Master'!$S$4:$S$207,0)),"")&amp;" | Deposit "&amp;TEXT(IFERROR(INDEX('Challan Master'!$D$4:$D$207,MATCH($B133,'Challan Master'!$S$4:$S$207,0)),""),"dd-mm-yyyy")&amp;" | Minor Head "&amp;IFERROR(INDEX('Challan Master'!$E$4:$E$207,MATCH($B133,'Challan Master'!$S$4:$S$207,0)),"")&amp;" | Tax ₹"&amp;TEXT(IFERROR(INDEX('Challan Master'!$G$4:$G$207,MATCH($B133,'Challan Master'!$S$4:$S$207,0)),""),"#,##0")&amp;" | Section "&amp;IFERROR(INDEX('Challan Master'!$F$4:$F$207,MATCH($B133,'Challan Master'!$S$4:$S$207,0)),""))</f>
      </c>
      <c r="D133" s="8"/>
      <c r="E133" s="8"/>
      <c r="F133" s="7">
        <f>IF($D133="","",IF(AND(LEN(TRIM(UPPER(E133)))=10,CODE(MID(TRIM(UPPER(E133)),1,1))&gt;=65,CODE(MID(TRIM(UPPER(E133)),1,1))&lt;=90,CODE(MID(TRIM(UPPER(E133)),2,1))&gt;=65,CODE(MID(TRIM(UPPER(E133)),2,1))&lt;=90,CODE(MID(TRIM(UPPER(E133)),3,1))&gt;=65,CODE(MID(TRIM(UPPER(E133)),3,1))&lt;=90,CODE(MID(TRIM(UPPER(E133)),4,1))&gt;=65,CODE(MID(TRIM(UPPER(E133)),4,1))&lt;=90,CODE(MID(TRIM(UPPER(E133)),5,1))&gt;=65,CODE(MID(TRIM(UPPER(E133)),5,1))&lt;=90,CODE(MID(TRIM(UPPER(E133)),10,1))&gt;=65,CODE(MID(TRIM(UPPER(E133)),10,1))&lt;=90,CODE(MID(TRIM(UPPER(E133)),6,1))&gt;=48,CODE(MID(TRIM(UPPER(E133)),6,1))&lt;=57,CODE(MID(TRIM(UPPER(E133)),7,1))&gt;=48,CODE(MID(TRIM(UPPER(E133)),7,1))&lt;=57,CODE(MID(TRIM(UPPER(E133)),8,1))&gt;=48,CODE(MID(TRIM(UPPER(E133)),8,1))&lt;=57,CODE(MID(TRIM(UPPER(E133)),9,1))&gt;=48,CODE(MID(TRIM(UPPER(E133)),9,1))&lt;=57),"N","Y"))</f>
      </c>
      <c r="G133" s="7">
        <f>IF($D133="","",IF(LEN(E133)&lt;4,"",IF(UPPER(MID(E133,4,1))="P","Individual",IF(UPPER(MID(E133,4,1))="H","HUF",IF(UPPER(MID(E133,4,1))="C","Company",IF(UPPER(MID(E133,4,1))="F","Firm",IF(UPPER(MID(E133,4,1))="L","LLP",IF(UPPER(MID(E133,4,1))="T","Trust",IF(UPPER(MID(E133,4,1))="A","AOP","")))))))))</f>
      </c>
      <c r="H133" s="8"/>
      <c r="I133" s="7">
        <f>IF($D133="","",IF(H133="","",IF(F133="Y",SUMPRODUCT(('Rate Lookup'!$A$1:$A$37=H133)*'Rate Lookup'!$D$1:$D$37),IF(OR(G133="Individual",G133="HUF"),SUMPRODUCT(('Rate Lookup'!$A$1:$A$37=H133)*'Rate Lookup'!$B$1:$B$37),SUMPRODUCT(('Rate Lookup'!$A$1:$A$37=H133)*'Rate Lookup'!$C$1:$C$37)))))</f>
      </c>
      <c r="J133" s="8"/>
      <c r="K133" s="8"/>
      <c r="L133" s="7">
        <f>IF($D133="","",ROUND(K133*I133/100,0))</f>
      </c>
      <c r="M133" s="7">
        <f>IF($D133="","",0)</f>
      </c>
      <c r="N133" s="7">
        <f>IF($D133="","",0)</f>
      </c>
      <c r="O133" s="7">
        <f>IF($D133="","",IF(OR(L133=0,J133="",IFERROR(INDEX('Challan Master'!$D$4:$D$207,MATCH($B133,'Challan Master'!$S$4:$S$207,0)),"")="",IFERROR(INDEX('Challan Master'!$D$4:$D$207,MATCH($B133,'Challan Master'!$S$4:$S$207,0)),"")&lt;=0),0,IF(IFERROR(INDEX('Challan Master'!$D$4:$D$207,MATCH($B133,'Challan Master'!$S$4:$S$207,0)),"")&lt;=DATE(YEAR(J133),MONTH(J133)+1,7),0,ROUND(L133*0.015*((YEAR(IFERROR(INDEX('Challan Master'!$D$4:$D$207,MATCH($B133,'Challan Master'!$S$4:$S$207,0)),""))-YEAR(J133))*12+(MONTH(IFERROR(INDEX('Challan Master'!$D$4:$D$207,MATCH($B133,'Challan Master'!$S$4:$S$207,0)),""))-MONTH(J133))+1),0))))</f>
      </c>
      <c r="P133" s="7">
        <f>IF($D133="","",0)</f>
      </c>
      <c r="Q133" s="8"/>
      <c r="R133" s="8"/>
      <c r="S133" s="8"/>
      <c r="T133" s="8"/>
      <c r="U133" s="8"/>
      <c r="V133" s="7">
        <f>IF($B133="","",IFERROR(INDEX('Challan Master'!$AA$4:$AA$207,MATCH($B133,'Challan Master'!$S$4:$S$207,0)),""))</f>
      </c>
    </row>
    <row r="134" spans="1:22" x14ac:dyDescent="0.25">
      <c r="A134" s="7">
        <f>IF($D134="","",COUNTIF($D$4:$D134,"&lt;&gt;"))</f>
      </c>
      <c r="B134" s="8"/>
      <c r="C134" s="7">
        <f>IF($B134="","","BSR "&amp;IFERROR(INDEX('Challan Master'!$B$4:$B$207,MATCH($B134,'Challan Master'!$S$4:$S$207,0)),"")&amp;" | Serial "&amp;IFERROR(INDEX('Challan Master'!$C$4:$C$207,MATCH($B134,'Challan Master'!$S$4:$S$207,0)),"")&amp;" | Deposit "&amp;TEXT(IFERROR(INDEX('Challan Master'!$D$4:$D$207,MATCH($B134,'Challan Master'!$S$4:$S$207,0)),""),"dd-mm-yyyy")&amp;" | Minor Head "&amp;IFERROR(INDEX('Challan Master'!$E$4:$E$207,MATCH($B134,'Challan Master'!$S$4:$S$207,0)),"")&amp;" | Tax ₹"&amp;TEXT(IFERROR(INDEX('Challan Master'!$G$4:$G$207,MATCH($B134,'Challan Master'!$S$4:$S$207,0)),""),"#,##0")&amp;" | Section "&amp;IFERROR(INDEX('Challan Master'!$F$4:$F$207,MATCH($B134,'Challan Master'!$S$4:$S$207,0)),""))</f>
      </c>
      <c r="D134" s="8"/>
      <c r="E134" s="8"/>
      <c r="F134" s="7">
        <f>IF($D134="","",IF(AND(LEN(TRIM(UPPER(E134)))=10,CODE(MID(TRIM(UPPER(E134)),1,1))&gt;=65,CODE(MID(TRIM(UPPER(E134)),1,1))&lt;=90,CODE(MID(TRIM(UPPER(E134)),2,1))&gt;=65,CODE(MID(TRIM(UPPER(E134)),2,1))&lt;=90,CODE(MID(TRIM(UPPER(E134)),3,1))&gt;=65,CODE(MID(TRIM(UPPER(E134)),3,1))&lt;=90,CODE(MID(TRIM(UPPER(E134)),4,1))&gt;=65,CODE(MID(TRIM(UPPER(E134)),4,1))&lt;=90,CODE(MID(TRIM(UPPER(E134)),5,1))&gt;=65,CODE(MID(TRIM(UPPER(E134)),5,1))&lt;=90,CODE(MID(TRIM(UPPER(E134)),10,1))&gt;=65,CODE(MID(TRIM(UPPER(E134)),10,1))&lt;=90,CODE(MID(TRIM(UPPER(E134)),6,1))&gt;=48,CODE(MID(TRIM(UPPER(E134)),6,1))&lt;=57,CODE(MID(TRIM(UPPER(E134)),7,1))&gt;=48,CODE(MID(TRIM(UPPER(E134)),7,1))&lt;=57,CODE(MID(TRIM(UPPER(E134)),8,1))&gt;=48,CODE(MID(TRIM(UPPER(E134)),8,1))&lt;=57,CODE(MID(TRIM(UPPER(E134)),9,1))&gt;=48,CODE(MID(TRIM(UPPER(E134)),9,1))&lt;=57),"N","Y"))</f>
      </c>
      <c r="G134" s="7">
        <f>IF($D134="","",IF(LEN(E134)&lt;4,"",IF(UPPER(MID(E134,4,1))="P","Individual",IF(UPPER(MID(E134,4,1))="H","HUF",IF(UPPER(MID(E134,4,1))="C","Company",IF(UPPER(MID(E134,4,1))="F","Firm",IF(UPPER(MID(E134,4,1))="L","LLP",IF(UPPER(MID(E134,4,1))="T","Trust",IF(UPPER(MID(E134,4,1))="A","AOP","")))))))))</f>
      </c>
      <c r="H134" s="8"/>
      <c r="I134" s="7">
        <f>IF($D134="","",IF(H134="","",IF(F134="Y",SUMPRODUCT(('Rate Lookup'!$A$1:$A$37=H134)*'Rate Lookup'!$D$1:$D$37),IF(OR(G134="Individual",G134="HUF"),SUMPRODUCT(('Rate Lookup'!$A$1:$A$37=H134)*'Rate Lookup'!$B$1:$B$37),SUMPRODUCT(('Rate Lookup'!$A$1:$A$37=H134)*'Rate Lookup'!$C$1:$C$37)))))</f>
      </c>
      <c r="J134" s="8"/>
      <c r="K134" s="8"/>
      <c r="L134" s="7">
        <f>IF($D134="","",ROUND(K134*I134/100,0))</f>
      </c>
      <c r="M134" s="7">
        <f>IF($D134="","",0)</f>
      </c>
      <c r="N134" s="7">
        <f>IF($D134="","",0)</f>
      </c>
      <c r="O134" s="7">
        <f>IF($D134="","",IF(OR(L134=0,J134="",IFERROR(INDEX('Challan Master'!$D$4:$D$207,MATCH($B134,'Challan Master'!$S$4:$S$207,0)),"")="",IFERROR(INDEX('Challan Master'!$D$4:$D$207,MATCH($B134,'Challan Master'!$S$4:$S$207,0)),"")&lt;=0),0,IF(IFERROR(INDEX('Challan Master'!$D$4:$D$207,MATCH($B134,'Challan Master'!$S$4:$S$207,0)),"")&lt;=DATE(YEAR(J134),MONTH(J134)+1,7),0,ROUND(L134*0.015*((YEAR(IFERROR(INDEX('Challan Master'!$D$4:$D$207,MATCH($B134,'Challan Master'!$S$4:$S$207,0)),""))-YEAR(J134))*12+(MONTH(IFERROR(INDEX('Challan Master'!$D$4:$D$207,MATCH($B134,'Challan Master'!$S$4:$S$207,0)),""))-MONTH(J134))+1),0))))</f>
      </c>
      <c r="P134" s="7">
        <f>IF($D134="","",0)</f>
      </c>
      <c r="Q134" s="8"/>
      <c r="R134" s="8"/>
      <c r="S134" s="8"/>
      <c r="T134" s="8"/>
      <c r="U134" s="8"/>
      <c r="V134" s="7">
        <f>IF($B134="","",IFERROR(INDEX('Challan Master'!$AA$4:$AA$207,MATCH($B134,'Challan Master'!$S$4:$S$207,0)),""))</f>
      </c>
    </row>
    <row r="135" spans="1:22" x14ac:dyDescent="0.25">
      <c r="A135" s="7">
        <f>IF($D135="","",COUNTIF($D$4:$D135,"&lt;&gt;"))</f>
      </c>
      <c r="B135" s="8"/>
      <c r="C135" s="7">
        <f>IF($B135="","","BSR "&amp;IFERROR(INDEX('Challan Master'!$B$4:$B$207,MATCH($B135,'Challan Master'!$S$4:$S$207,0)),"")&amp;" | Serial "&amp;IFERROR(INDEX('Challan Master'!$C$4:$C$207,MATCH($B135,'Challan Master'!$S$4:$S$207,0)),"")&amp;" | Deposit "&amp;TEXT(IFERROR(INDEX('Challan Master'!$D$4:$D$207,MATCH($B135,'Challan Master'!$S$4:$S$207,0)),""),"dd-mm-yyyy")&amp;" | Minor Head "&amp;IFERROR(INDEX('Challan Master'!$E$4:$E$207,MATCH($B135,'Challan Master'!$S$4:$S$207,0)),"")&amp;" | Tax ₹"&amp;TEXT(IFERROR(INDEX('Challan Master'!$G$4:$G$207,MATCH($B135,'Challan Master'!$S$4:$S$207,0)),""),"#,##0")&amp;" | Section "&amp;IFERROR(INDEX('Challan Master'!$F$4:$F$207,MATCH($B135,'Challan Master'!$S$4:$S$207,0)),""))</f>
      </c>
      <c r="D135" s="8"/>
      <c r="E135" s="8"/>
      <c r="F135" s="7">
        <f>IF($D135="","",IF(AND(LEN(TRIM(UPPER(E135)))=10,CODE(MID(TRIM(UPPER(E135)),1,1))&gt;=65,CODE(MID(TRIM(UPPER(E135)),1,1))&lt;=90,CODE(MID(TRIM(UPPER(E135)),2,1))&gt;=65,CODE(MID(TRIM(UPPER(E135)),2,1))&lt;=90,CODE(MID(TRIM(UPPER(E135)),3,1))&gt;=65,CODE(MID(TRIM(UPPER(E135)),3,1))&lt;=90,CODE(MID(TRIM(UPPER(E135)),4,1))&gt;=65,CODE(MID(TRIM(UPPER(E135)),4,1))&lt;=90,CODE(MID(TRIM(UPPER(E135)),5,1))&gt;=65,CODE(MID(TRIM(UPPER(E135)),5,1))&lt;=90,CODE(MID(TRIM(UPPER(E135)),10,1))&gt;=65,CODE(MID(TRIM(UPPER(E135)),10,1))&lt;=90,CODE(MID(TRIM(UPPER(E135)),6,1))&gt;=48,CODE(MID(TRIM(UPPER(E135)),6,1))&lt;=57,CODE(MID(TRIM(UPPER(E135)),7,1))&gt;=48,CODE(MID(TRIM(UPPER(E135)),7,1))&lt;=57,CODE(MID(TRIM(UPPER(E135)),8,1))&gt;=48,CODE(MID(TRIM(UPPER(E135)),8,1))&lt;=57,CODE(MID(TRIM(UPPER(E135)),9,1))&gt;=48,CODE(MID(TRIM(UPPER(E135)),9,1))&lt;=57),"N","Y"))</f>
      </c>
      <c r="G135" s="7">
        <f>IF($D135="","",IF(LEN(E135)&lt;4,"",IF(UPPER(MID(E135,4,1))="P","Individual",IF(UPPER(MID(E135,4,1))="H","HUF",IF(UPPER(MID(E135,4,1))="C","Company",IF(UPPER(MID(E135,4,1))="F","Firm",IF(UPPER(MID(E135,4,1))="L","LLP",IF(UPPER(MID(E135,4,1))="T","Trust",IF(UPPER(MID(E135,4,1))="A","AOP","")))))))))</f>
      </c>
      <c r="H135" s="8"/>
      <c r="I135" s="7">
        <f>IF($D135="","",IF(H135="","",IF(F135="Y",SUMPRODUCT(('Rate Lookup'!$A$1:$A$37=H135)*'Rate Lookup'!$D$1:$D$37),IF(OR(G135="Individual",G135="HUF"),SUMPRODUCT(('Rate Lookup'!$A$1:$A$37=H135)*'Rate Lookup'!$B$1:$B$37),SUMPRODUCT(('Rate Lookup'!$A$1:$A$37=H135)*'Rate Lookup'!$C$1:$C$37)))))</f>
      </c>
      <c r="J135" s="8"/>
      <c r="K135" s="8"/>
      <c r="L135" s="7">
        <f>IF($D135="","",ROUND(K135*I135/100,0))</f>
      </c>
      <c r="M135" s="7">
        <f>IF($D135="","",0)</f>
      </c>
      <c r="N135" s="7">
        <f>IF($D135="","",0)</f>
      </c>
      <c r="O135" s="7">
        <f>IF($D135="","",IF(OR(L135=0,J135="",IFERROR(INDEX('Challan Master'!$D$4:$D$207,MATCH($B135,'Challan Master'!$S$4:$S$207,0)),"")="",IFERROR(INDEX('Challan Master'!$D$4:$D$207,MATCH($B135,'Challan Master'!$S$4:$S$207,0)),"")&lt;=0),0,IF(IFERROR(INDEX('Challan Master'!$D$4:$D$207,MATCH($B135,'Challan Master'!$S$4:$S$207,0)),"")&lt;=DATE(YEAR(J135),MONTH(J135)+1,7),0,ROUND(L135*0.015*((YEAR(IFERROR(INDEX('Challan Master'!$D$4:$D$207,MATCH($B135,'Challan Master'!$S$4:$S$207,0)),""))-YEAR(J135))*12+(MONTH(IFERROR(INDEX('Challan Master'!$D$4:$D$207,MATCH($B135,'Challan Master'!$S$4:$S$207,0)),""))-MONTH(J135))+1),0))))</f>
      </c>
      <c r="P135" s="7">
        <f>IF($D135="","",0)</f>
      </c>
      <c r="Q135" s="8"/>
      <c r="R135" s="8"/>
      <c r="S135" s="8"/>
      <c r="T135" s="8"/>
      <c r="U135" s="8"/>
      <c r="V135" s="7">
        <f>IF($B135="","",IFERROR(INDEX('Challan Master'!$AA$4:$AA$207,MATCH($B135,'Challan Master'!$S$4:$S$207,0)),""))</f>
      </c>
    </row>
    <row r="136" spans="1:22" x14ac:dyDescent="0.25">
      <c r="A136" s="7">
        <f>IF($D136="","",COUNTIF($D$4:$D136,"&lt;&gt;"))</f>
      </c>
      <c r="B136" s="8"/>
      <c r="C136" s="7">
        <f>IF($B136="","","BSR "&amp;IFERROR(INDEX('Challan Master'!$B$4:$B$207,MATCH($B136,'Challan Master'!$S$4:$S$207,0)),"")&amp;" | Serial "&amp;IFERROR(INDEX('Challan Master'!$C$4:$C$207,MATCH($B136,'Challan Master'!$S$4:$S$207,0)),"")&amp;" | Deposit "&amp;TEXT(IFERROR(INDEX('Challan Master'!$D$4:$D$207,MATCH($B136,'Challan Master'!$S$4:$S$207,0)),""),"dd-mm-yyyy")&amp;" | Minor Head "&amp;IFERROR(INDEX('Challan Master'!$E$4:$E$207,MATCH($B136,'Challan Master'!$S$4:$S$207,0)),"")&amp;" | Tax ₹"&amp;TEXT(IFERROR(INDEX('Challan Master'!$G$4:$G$207,MATCH($B136,'Challan Master'!$S$4:$S$207,0)),""),"#,##0")&amp;" | Section "&amp;IFERROR(INDEX('Challan Master'!$F$4:$F$207,MATCH($B136,'Challan Master'!$S$4:$S$207,0)),""))</f>
      </c>
      <c r="D136" s="8"/>
      <c r="E136" s="8"/>
      <c r="F136" s="7">
        <f>IF($D136="","",IF(AND(LEN(TRIM(UPPER(E136)))=10,CODE(MID(TRIM(UPPER(E136)),1,1))&gt;=65,CODE(MID(TRIM(UPPER(E136)),1,1))&lt;=90,CODE(MID(TRIM(UPPER(E136)),2,1))&gt;=65,CODE(MID(TRIM(UPPER(E136)),2,1))&lt;=90,CODE(MID(TRIM(UPPER(E136)),3,1))&gt;=65,CODE(MID(TRIM(UPPER(E136)),3,1))&lt;=90,CODE(MID(TRIM(UPPER(E136)),4,1))&gt;=65,CODE(MID(TRIM(UPPER(E136)),4,1))&lt;=90,CODE(MID(TRIM(UPPER(E136)),5,1))&gt;=65,CODE(MID(TRIM(UPPER(E136)),5,1))&lt;=90,CODE(MID(TRIM(UPPER(E136)),10,1))&gt;=65,CODE(MID(TRIM(UPPER(E136)),10,1))&lt;=90,CODE(MID(TRIM(UPPER(E136)),6,1))&gt;=48,CODE(MID(TRIM(UPPER(E136)),6,1))&lt;=57,CODE(MID(TRIM(UPPER(E136)),7,1))&gt;=48,CODE(MID(TRIM(UPPER(E136)),7,1))&lt;=57,CODE(MID(TRIM(UPPER(E136)),8,1))&gt;=48,CODE(MID(TRIM(UPPER(E136)),8,1))&lt;=57,CODE(MID(TRIM(UPPER(E136)),9,1))&gt;=48,CODE(MID(TRIM(UPPER(E136)),9,1))&lt;=57),"N","Y"))</f>
      </c>
      <c r="G136" s="7">
        <f>IF($D136="","",IF(LEN(E136)&lt;4,"",IF(UPPER(MID(E136,4,1))="P","Individual",IF(UPPER(MID(E136,4,1))="H","HUF",IF(UPPER(MID(E136,4,1))="C","Company",IF(UPPER(MID(E136,4,1))="F","Firm",IF(UPPER(MID(E136,4,1))="L","LLP",IF(UPPER(MID(E136,4,1))="T","Trust",IF(UPPER(MID(E136,4,1))="A","AOP","")))))))))</f>
      </c>
      <c r="H136" s="8"/>
      <c r="I136" s="7">
        <f>IF($D136="","",IF(H136="","",IF(F136="Y",SUMPRODUCT(('Rate Lookup'!$A$1:$A$37=H136)*'Rate Lookup'!$D$1:$D$37),IF(OR(G136="Individual",G136="HUF"),SUMPRODUCT(('Rate Lookup'!$A$1:$A$37=H136)*'Rate Lookup'!$B$1:$B$37),SUMPRODUCT(('Rate Lookup'!$A$1:$A$37=H136)*'Rate Lookup'!$C$1:$C$37)))))</f>
      </c>
      <c r="J136" s="8"/>
      <c r="K136" s="8"/>
      <c r="L136" s="7">
        <f>IF($D136="","",ROUND(K136*I136/100,0))</f>
      </c>
      <c r="M136" s="7">
        <f>IF($D136="","",0)</f>
      </c>
      <c r="N136" s="7">
        <f>IF($D136="","",0)</f>
      </c>
      <c r="O136" s="7">
        <f>IF($D136="","",IF(OR(L136=0,J136="",IFERROR(INDEX('Challan Master'!$D$4:$D$207,MATCH($B136,'Challan Master'!$S$4:$S$207,0)),"")="",IFERROR(INDEX('Challan Master'!$D$4:$D$207,MATCH($B136,'Challan Master'!$S$4:$S$207,0)),"")&lt;=0),0,IF(IFERROR(INDEX('Challan Master'!$D$4:$D$207,MATCH($B136,'Challan Master'!$S$4:$S$207,0)),"")&lt;=DATE(YEAR(J136),MONTH(J136)+1,7),0,ROUND(L136*0.015*((YEAR(IFERROR(INDEX('Challan Master'!$D$4:$D$207,MATCH($B136,'Challan Master'!$S$4:$S$207,0)),""))-YEAR(J136))*12+(MONTH(IFERROR(INDEX('Challan Master'!$D$4:$D$207,MATCH($B136,'Challan Master'!$S$4:$S$207,0)),""))-MONTH(J136))+1),0))))</f>
      </c>
      <c r="P136" s="7">
        <f>IF($D136="","",0)</f>
      </c>
      <c r="Q136" s="8"/>
      <c r="R136" s="8"/>
      <c r="S136" s="8"/>
      <c r="T136" s="8"/>
      <c r="U136" s="8"/>
      <c r="V136" s="7">
        <f>IF($B136="","",IFERROR(INDEX('Challan Master'!$AA$4:$AA$207,MATCH($B136,'Challan Master'!$S$4:$S$207,0)),""))</f>
      </c>
    </row>
    <row r="137" spans="1:22" x14ac:dyDescent="0.25">
      <c r="A137" s="7">
        <f>IF($D137="","",COUNTIF($D$4:$D137,"&lt;&gt;"))</f>
      </c>
      <c r="B137" s="8"/>
      <c r="C137" s="7">
        <f>IF($B137="","","BSR "&amp;IFERROR(INDEX('Challan Master'!$B$4:$B$207,MATCH($B137,'Challan Master'!$S$4:$S$207,0)),"")&amp;" | Serial "&amp;IFERROR(INDEX('Challan Master'!$C$4:$C$207,MATCH($B137,'Challan Master'!$S$4:$S$207,0)),"")&amp;" | Deposit "&amp;TEXT(IFERROR(INDEX('Challan Master'!$D$4:$D$207,MATCH($B137,'Challan Master'!$S$4:$S$207,0)),""),"dd-mm-yyyy")&amp;" | Minor Head "&amp;IFERROR(INDEX('Challan Master'!$E$4:$E$207,MATCH($B137,'Challan Master'!$S$4:$S$207,0)),"")&amp;" | Tax ₹"&amp;TEXT(IFERROR(INDEX('Challan Master'!$G$4:$G$207,MATCH($B137,'Challan Master'!$S$4:$S$207,0)),""),"#,##0")&amp;" | Section "&amp;IFERROR(INDEX('Challan Master'!$F$4:$F$207,MATCH($B137,'Challan Master'!$S$4:$S$207,0)),""))</f>
      </c>
      <c r="D137" s="8"/>
      <c r="E137" s="8"/>
      <c r="F137" s="7">
        <f>IF($D137="","",IF(AND(LEN(TRIM(UPPER(E137)))=10,CODE(MID(TRIM(UPPER(E137)),1,1))&gt;=65,CODE(MID(TRIM(UPPER(E137)),1,1))&lt;=90,CODE(MID(TRIM(UPPER(E137)),2,1))&gt;=65,CODE(MID(TRIM(UPPER(E137)),2,1))&lt;=90,CODE(MID(TRIM(UPPER(E137)),3,1))&gt;=65,CODE(MID(TRIM(UPPER(E137)),3,1))&lt;=90,CODE(MID(TRIM(UPPER(E137)),4,1))&gt;=65,CODE(MID(TRIM(UPPER(E137)),4,1))&lt;=90,CODE(MID(TRIM(UPPER(E137)),5,1))&gt;=65,CODE(MID(TRIM(UPPER(E137)),5,1))&lt;=90,CODE(MID(TRIM(UPPER(E137)),10,1))&gt;=65,CODE(MID(TRIM(UPPER(E137)),10,1))&lt;=90,CODE(MID(TRIM(UPPER(E137)),6,1))&gt;=48,CODE(MID(TRIM(UPPER(E137)),6,1))&lt;=57,CODE(MID(TRIM(UPPER(E137)),7,1))&gt;=48,CODE(MID(TRIM(UPPER(E137)),7,1))&lt;=57,CODE(MID(TRIM(UPPER(E137)),8,1))&gt;=48,CODE(MID(TRIM(UPPER(E137)),8,1))&lt;=57,CODE(MID(TRIM(UPPER(E137)),9,1))&gt;=48,CODE(MID(TRIM(UPPER(E137)),9,1))&lt;=57),"N","Y"))</f>
      </c>
      <c r="G137" s="7">
        <f>IF($D137="","",IF(LEN(E137)&lt;4,"",IF(UPPER(MID(E137,4,1))="P","Individual",IF(UPPER(MID(E137,4,1))="H","HUF",IF(UPPER(MID(E137,4,1))="C","Company",IF(UPPER(MID(E137,4,1))="F","Firm",IF(UPPER(MID(E137,4,1))="L","LLP",IF(UPPER(MID(E137,4,1))="T","Trust",IF(UPPER(MID(E137,4,1))="A","AOP","")))))))))</f>
      </c>
      <c r="H137" s="8"/>
      <c r="I137" s="7">
        <f>IF($D137="","",IF(H137="","",IF(F137="Y",SUMPRODUCT(('Rate Lookup'!$A$1:$A$37=H137)*'Rate Lookup'!$D$1:$D$37),IF(OR(G137="Individual",G137="HUF"),SUMPRODUCT(('Rate Lookup'!$A$1:$A$37=H137)*'Rate Lookup'!$B$1:$B$37),SUMPRODUCT(('Rate Lookup'!$A$1:$A$37=H137)*'Rate Lookup'!$C$1:$C$37)))))</f>
      </c>
      <c r="J137" s="8"/>
      <c r="K137" s="8"/>
      <c r="L137" s="7">
        <f>IF($D137="","",ROUND(K137*I137/100,0))</f>
      </c>
      <c r="M137" s="7">
        <f>IF($D137="","",0)</f>
      </c>
      <c r="N137" s="7">
        <f>IF($D137="","",0)</f>
      </c>
      <c r="O137" s="7">
        <f>IF($D137="","",IF(OR(L137=0,J137="",IFERROR(INDEX('Challan Master'!$D$4:$D$207,MATCH($B137,'Challan Master'!$S$4:$S$207,0)),"")="",IFERROR(INDEX('Challan Master'!$D$4:$D$207,MATCH($B137,'Challan Master'!$S$4:$S$207,0)),"")&lt;=0),0,IF(IFERROR(INDEX('Challan Master'!$D$4:$D$207,MATCH($B137,'Challan Master'!$S$4:$S$207,0)),"")&lt;=DATE(YEAR(J137),MONTH(J137)+1,7),0,ROUND(L137*0.015*((YEAR(IFERROR(INDEX('Challan Master'!$D$4:$D$207,MATCH($B137,'Challan Master'!$S$4:$S$207,0)),""))-YEAR(J137))*12+(MONTH(IFERROR(INDEX('Challan Master'!$D$4:$D$207,MATCH($B137,'Challan Master'!$S$4:$S$207,0)),""))-MONTH(J137))+1),0))))</f>
      </c>
      <c r="P137" s="7">
        <f>IF($D137="","",0)</f>
      </c>
      <c r="Q137" s="8"/>
      <c r="R137" s="8"/>
      <c r="S137" s="8"/>
      <c r="T137" s="8"/>
      <c r="U137" s="8"/>
      <c r="V137" s="7">
        <f>IF($B137="","",IFERROR(INDEX('Challan Master'!$AA$4:$AA$207,MATCH($B137,'Challan Master'!$S$4:$S$207,0)),""))</f>
      </c>
    </row>
    <row r="138" spans="1:22" x14ac:dyDescent="0.25">
      <c r="A138" s="7">
        <f>IF($D138="","",COUNTIF($D$4:$D138,"&lt;&gt;"))</f>
      </c>
      <c r="B138" s="8"/>
      <c r="C138" s="7">
        <f>IF($B138="","","BSR "&amp;IFERROR(INDEX('Challan Master'!$B$4:$B$207,MATCH($B138,'Challan Master'!$S$4:$S$207,0)),"")&amp;" | Serial "&amp;IFERROR(INDEX('Challan Master'!$C$4:$C$207,MATCH($B138,'Challan Master'!$S$4:$S$207,0)),"")&amp;" | Deposit "&amp;TEXT(IFERROR(INDEX('Challan Master'!$D$4:$D$207,MATCH($B138,'Challan Master'!$S$4:$S$207,0)),""),"dd-mm-yyyy")&amp;" | Minor Head "&amp;IFERROR(INDEX('Challan Master'!$E$4:$E$207,MATCH($B138,'Challan Master'!$S$4:$S$207,0)),"")&amp;" | Tax ₹"&amp;TEXT(IFERROR(INDEX('Challan Master'!$G$4:$G$207,MATCH($B138,'Challan Master'!$S$4:$S$207,0)),""),"#,##0")&amp;" | Section "&amp;IFERROR(INDEX('Challan Master'!$F$4:$F$207,MATCH($B138,'Challan Master'!$S$4:$S$207,0)),""))</f>
      </c>
      <c r="D138" s="8"/>
      <c r="E138" s="8"/>
      <c r="F138" s="7">
        <f>IF($D138="","",IF(AND(LEN(TRIM(UPPER(E138)))=10,CODE(MID(TRIM(UPPER(E138)),1,1))&gt;=65,CODE(MID(TRIM(UPPER(E138)),1,1))&lt;=90,CODE(MID(TRIM(UPPER(E138)),2,1))&gt;=65,CODE(MID(TRIM(UPPER(E138)),2,1))&lt;=90,CODE(MID(TRIM(UPPER(E138)),3,1))&gt;=65,CODE(MID(TRIM(UPPER(E138)),3,1))&lt;=90,CODE(MID(TRIM(UPPER(E138)),4,1))&gt;=65,CODE(MID(TRIM(UPPER(E138)),4,1))&lt;=90,CODE(MID(TRIM(UPPER(E138)),5,1))&gt;=65,CODE(MID(TRIM(UPPER(E138)),5,1))&lt;=90,CODE(MID(TRIM(UPPER(E138)),10,1))&gt;=65,CODE(MID(TRIM(UPPER(E138)),10,1))&lt;=90,CODE(MID(TRIM(UPPER(E138)),6,1))&gt;=48,CODE(MID(TRIM(UPPER(E138)),6,1))&lt;=57,CODE(MID(TRIM(UPPER(E138)),7,1))&gt;=48,CODE(MID(TRIM(UPPER(E138)),7,1))&lt;=57,CODE(MID(TRIM(UPPER(E138)),8,1))&gt;=48,CODE(MID(TRIM(UPPER(E138)),8,1))&lt;=57,CODE(MID(TRIM(UPPER(E138)),9,1))&gt;=48,CODE(MID(TRIM(UPPER(E138)),9,1))&lt;=57),"N","Y"))</f>
      </c>
      <c r="G138" s="7">
        <f>IF($D138="","",IF(LEN(E138)&lt;4,"",IF(UPPER(MID(E138,4,1))="P","Individual",IF(UPPER(MID(E138,4,1))="H","HUF",IF(UPPER(MID(E138,4,1))="C","Company",IF(UPPER(MID(E138,4,1))="F","Firm",IF(UPPER(MID(E138,4,1))="L","LLP",IF(UPPER(MID(E138,4,1))="T","Trust",IF(UPPER(MID(E138,4,1))="A","AOP","")))))))))</f>
      </c>
      <c r="H138" s="8"/>
      <c r="I138" s="7">
        <f>IF($D138="","",IF(H138="","",IF(F138="Y",SUMPRODUCT(('Rate Lookup'!$A$1:$A$37=H138)*'Rate Lookup'!$D$1:$D$37),IF(OR(G138="Individual",G138="HUF"),SUMPRODUCT(('Rate Lookup'!$A$1:$A$37=H138)*'Rate Lookup'!$B$1:$B$37),SUMPRODUCT(('Rate Lookup'!$A$1:$A$37=H138)*'Rate Lookup'!$C$1:$C$37)))))</f>
      </c>
      <c r="J138" s="8"/>
      <c r="K138" s="8"/>
      <c r="L138" s="7">
        <f>IF($D138="","",ROUND(K138*I138/100,0))</f>
      </c>
      <c r="M138" s="7">
        <f>IF($D138="","",0)</f>
      </c>
      <c r="N138" s="7">
        <f>IF($D138="","",0)</f>
      </c>
      <c r="O138" s="7">
        <f>IF($D138="","",IF(OR(L138=0,J138="",IFERROR(INDEX('Challan Master'!$D$4:$D$207,MATCH($B138,'Challan Master'!$S$4:$S$207,0)),"")="",IFERROR(INDEX('Challan Master'!$D$4:$D$207,MATCH($B138,'Challan Master'!$S$4:$S$207,0)),"")&lt;=0),0,IF(IFERROR(INDEX('Challan Master'!$D$4:$D$207,MATCH($B138,'Challan Master'!$S$4:$S$207,0)),"")&lt;=DATE(YEAR(J138),MONTH(J138)+1,7),0,ROUND(L138*0.015*((YEAR(IFERROR(INDEX('Challan Master'!$D$4:$D$207,MATCH($B138,'Challan Master'!$S$4:$S$207,0)),""))-YEAR(J138))*12+(MONTH(IFERROR(INDEX('Challan Master'!$D$4:$D$207,MATCH($B138,'Challan Master'!$S$4:$S$207,0)),""))-MONTH(J138))+1),0))))</f>
      </c>
      <c r="P138" s="7">
        <f>IF($D138="","",0)</f>
      </c>
      <c r="Q138" s="8"/>
      <c r="R138" s="8"/>
      <c r="S138" s="8"/>
      <c r="T138" s="8"/>
      <c r="U138" s="8"/>
      <c r="V138" s="7">
        <f>IF($B138="","",IFERROR(INDEX('Challan Master'!$AA$4:$AA$207,MATCH($B138,'Challan Master'!$S$4:$S$207,0)),""))</f>
      </c>
    </row>
    <row r="139" spans="1:22" x14ac:dyDescent="0.25">
      <c r="A139" s="7">
        <f>IF($D139="","",COUNTIF($D$4:$D139,"&lt;&gt;"))</f>
      </c>
      <c r="B139" s="8"/>
      <c r="C139" s="7">
        <f>IF($B139="","","BSR "&amp;IFERROR(INDEX('Challan Master'!$B$4:$B$207,MATCH($B139,'Challan Master'!$S$4:$S$207,0)),"")&amp;" | Serial "&amp;IFERROR(INDEX('Challan Master'!$C$4:$C$207,MATCH($B139,'Challan Master'!$S$4:$S$207,0)),"")&amp;" | Deposit "&amp;TEXT(IFERROR(INDEX('Challan Master'!$D$4:$D$207,MATCH($B139,'Challan Master'!$S$4:$S$207,0)),""),"dd-mm-yyyy")&amp;" | Minor Head "&amp;IFERROR(INDEX('Challan Master'!$E$4:$E$207,MATCH($B139,'Challan Master'!$S$4:$S$207,0)),"")&amp;" | Tax ₹"&amp;TEXT(IFERROR(INDEX('Challan Master'!$G$4:$G$207,MATCH($B139,'Challan Master'!$S$4:$S$207,0)),""),"#,##0")&amp;" | Section "&amp;IFERROR(INDEX('Challan Master'!$F$4:$F$207,MATCH($B139,'Challan Master'!$S$4:$S$207,0)),""))</f>
      </c>
      <c r="D139" s="8"/>
      <c r="E139" s="8"/>
      <c r="F139" s="7">
        <f>IF($D139="","",IF(AND(LEN(TRIM(UPPER(E139)))=10,CODE(MID(TRIM(UPPER(E139)),1,1))&gt;=65,CODE(MID(TRIM(UPPER(E139)),1,1))&lt;=90,CODE(MID(TRIM(UPPER(E139)),2,1))&gt;=65,CODE(MID(TRIM(UPPER(E139)),2,1))&lt;=90,CODE(MID(TRIM(UPPER(E139)),3,1))&gt;=65,CODE(MID(TRIM(UPPER(E139)),3,1))&lt;=90,CODE(MID(TRIM(UPPER(E139)),4,1))&gt;=65,CODE(MID(TRIM(UPPER(E139)),4,1))&lt;=90,CODE(MID(TRIM(UPPER(E139)),5,1))&gt;=65,CODE(MID(TRIM(UPPER(E139)),5,1))&lt;=90,CODE(MID(TRIM(UPPER(E139)),10,1))&gt;=65,CODE(MID(TRIM(UPPER(E139)),10,1))&lt;=90,CODE(MID(TRIM(UPPER(E139)),6,1))&gt;=48,CODE(MID(TRIM(UPPER(E139)),6,1))&lt;=57,CODE(MID(TRIM(UPPER(E139)),7,1))&gt;=48,CODE(MID(TRIM(UPPER(E139)),7,1))&lt;=57,CODE(MID(TRIM(UPPER(E139)),8,1))&gt;=48,CODE(MID(TRIM(UPPER(E139)),8,1))&lt;=57,CODE(MID(TRIM(UPPER(E139)),9,1))&gt;=48,CODE(MID(TRIM(UPPER(E139)),9,1))&lt;=57),"N","Y"))</f>
      </c>
      <c r="G139" s="7">
        <f>IF($D139="","",IF(LEN(E139)&lt;4,"",IF(UPPER(MID(E139,4,1))="P","Individual",IF(UPPER(MID(E139,4,1))="H","HUF",IF(UPPER(MID(E139,4,1))="C","Company",IF(UPPER(MID(E139,4,1))="F","Firm",IF(UPPER(MID(E139,4,1))="L","LLP",IF(UPPER(MID(E139,4,1))="T","Trust",IF(UPPER(MID(E139,4,1))="A","AOP","")))))))))</f>
      </c>
      <c r="H139" s="8"/>
      <c r="I139" s="7">
        <f>IF($D139="","",IF(H139="","",IF(F139="Y",SUMPRODUCT(('Rate Lookup'!$A$1:$A$37=H139)*'Rate Lookup'!$D$1:$D$37),IF(OR(G139="Individual",G139="HUF"),SUMPRODUCT(('Rate Lookup'!$A$1:$A$37=H139)*'Rate Lookup'!$B$1:$B$37),SUMPRODUCT(('Rate Lookup'!$A$1:$A$37=H139)*'Rate Lookup'!$C$1:$C$37)))))</f>
      </c>
      <c r="J139" s="8"/>
      <c r="K139" s="8"/>
      <c r="L139" s="7">
        <f>IF($D139="","",ROUND(K139*I139/100,0))</f>
      </c>
      <c r="M139" s="7">
        <f>IF($D139="","",0)</f>
      </c>
      <c r="N139" s="7">
        <f>IF($D139="","",0)</f>
      </c>
      <c r="O139" s="7">
        <f>IF($D139="","",IF(OR(L139=0,J139="",IFERROR(INDEX('Challan Master'!$D$4:$D$207,MATCH($B139,'Challan Master'!$S$4:$S$207,0)),"")="",IFERROR(INDEX('Challan Master'!$D$4:$D$207,MATCH($B139,'Challan Master'!$S$4:$S$207,0)),"")&lt;=0),0,IF(IFERROR(INDEX('Challan Master'!$D$4:$D$207,MATCH($B139,'Challan Master'!$S$4:$S$207,0)),"")&lt;=DATE(YEAR(J139),MONTH(J139)+1,7),0,ROUND(L139*0.015*((YEAR(IFERROR(INDEX('Challan Master'!$D$4:$D$207,MATCH($B139,'Challan Master'!$S$4:$S$207,0)),""))-YEAR(J139))*12+(MONTH(IFERROR(INDEX('Challan Master'!$D$4:$D$207,MATCH($B139,'Challan Master'!$S$4:$S$207,0)),""))-MONTH(J139))+1),0))))</f>
      </c>
      <c r="P139" s="7">
        <f>IF($D139="","",0)</f>
      </c>
      <c r="Q139" s="8"/>
      <c r="R139" s="8"/>
      <c r="S139" s="8"/>
      <c r="T139" s="8"/>
      <c r="U139" s="8"/>
      <c r="V139" s="7">
        <f>IF($B139="","",IFERROR(INDEX('Challan Master'!$AA$4:$AA$207,MATCH($B139,'Challan Master'!$S$4:$S$207,0)),""))</f>
      </c>
    </row>
    <row r="140" spans="1:22" x14ac:dyDescent="0.25">
      <c r="A140" s="7">
        <f>IF($D140="","",COUNTIF($D$4:$D140,"&lt;&gt;"))</f>
      </c>
      <c r="B140" s="8"/>
      <c r="C140" s="7">
        <f>IF($B140="","","BSR "&amp;IFERROR(INDEX('Challan Master'!$B$4:$B$207,MATCH($B140,'Challan Master'!$S$4:$S$207,0)),"")&amp;" | Serial "&amp;IFERROR(INDEX('Challan Master'!$C$4:$C$207,MATCH($B140,'Challan Master'!$S$4:$S$207,0)),"")&amp;" | Deposit "&amp;TEXT(IFERROR(INDEX('Challan Master'!$D$4:$D$207,MATCH($B140,'Challan Master'!$S$4:$S$207,0)),""),"dd-mm-yyyy")&amp;" | Minor Head "&amp;IFERROR(INDEX('Challan Master'!$E$4:$E$207,MATCH($B140,'Challan Master'!$S$4:$S$207,0)),"")&amp;" | Tax ₹"&amp;TEXT(IFERROR(INDEX('Challan Master'!$G$4:$G$207,MATCH($B140,'Challan Master'!$S$4:$S$207,0)),""),"#,##0")&amp;" | Section "&amp;IFERROR(INDEX('Challan Master'!$F$4:$F$207,MATCH($B140,'Challan Master'!$S$4:$S$207,0)),""))</f>
      </c>
      <c r="D140" s="8"/>
      <c r="E140" s="8"/>
      <c r="F140" s="7">
        <f>IF($D140="","",IF(AND(LEN(TRIM(UPPER(E140)))=10,CODE(MID(TRIM(UPPER(E140)),1,1))&gt;=65,CODE(MID(TRIM(UPPER(E140)),1,1))&lt;=90,CODE(MID(TRIM(UPPER(E140)),2,1))&gt;=65,CODE(MID(TRIM(UPPER(E140)),2,1))&lt;=90,CODE(MID(TRIM(UPPER(E140)),3,1))&gt;=65,CODE(MID(TRIM(UPPER(E140)),3,1))&lt;=90,CODE(MID(TRIM(UPPER(E140)),4,1))&gt;=65,CODE(MID(TRIM(UPPER(E140)),4,1))&lt;=90,CODE(MID(TRIM(UPPER(E140)),5,1))&gt;=65,CODE(MID(TRIM(UPPER(E140)),5,1))&lt;=90,CODE(MID(TRIM(UPPER(E140)),10,1))&gt;=65,CODE(MID(TRIM(UPPER(E140)),10,1))&lt;=90,CODE(MID(TRIM(UPPER(E140)),6,1))&gt;=48,CODE(MID(TRIM(UPPER(E140)),6,1))&lt;=57,CODE(MID(TRIM(UPPER(E140)),7,1))&gt;=48,CODE(MID(TRIM(UPPER(E140)),7,1))&lt;=57,CODE(MID(TRIM(UPPER(E140)),8,1))&gt;=48,CODE(MID(TRIM(UPPER(E140)),8,1))&lt;=57,CODE(MID(TRIM(UPPER(E140)),9,1))&gt;=48,CODE(MID(TRIM(UPPER(E140)),9,1))&lt;=57),"N","Y"))</f>
      </c>
      <c r="G140" s="7">
        <f>IF($D140="","",IF(LEN(E140)&lt;4,"",IF(UPPER(MID(E140,4,1))="P","Individual",IF(UPPER(MID(E140,4,1))="H","HUF",IF(UPPER(MID(E140,4,1))="C","Company",IF(UPPER(MID(E140,4,1))="F","Firm",IF(UPPER(MID(E140,4,1))="L","LLP",IF(UPPER(MID(E140,4,1))="T","Trust",IF(UPPER(MID(E140,4,1))="A","AOP","")))))))))</f>
      </c>
      <c r="H140" s="8"/>
      <c r="I140" s="7">
        <f>IF($D140="","",IF(H140="","",IF(F140="Y",SUMPRODUCT(('Rate Lookup'!$A$1:$A$37=H140)*'Rate Lookup'!$D$1:$D$37),IF(OR(G140="Individual",G140="HUF"),SUMPRODUCT(('Rate Lookup'!$A$1:$A$37=H140)*'Rate Lookup'!$B$1:$B$37),SUMPRODUCT(('Rate Lookup'!$A$1:$A$37=H140)*'Rate Lookup'!$C$1:$C$37)))))</f>
      </c>
      <c r="J140" s="8"/>
      <c r="K140" s="8"/>
      <c r="L140" s="7">
        <f>IF($D140="","",ROUND(K140*I140/100,0))</f>
      </c>
      <c r="M140" s="7">
        <f>IF($D140="","",0)</f>
      </c>
      <c r="N140" s="7">
        <f>IF($D140="","",0)</f>
      </c>
      <c r="O140" s="7">
        <f>IF($D140="","",IF(OR(L140=0,J140="",IFERROR(INDEX('Challan Master'!$D$4:$D$207,MATCH($B140,'Challan Master'!$S$4:$S$207,0)),"")="",IFERROR(INDEX('Challan Master'!$D$4:$D$207,MATCH($B140,'Challan Master'!$S$4:$S$207,0)),"")&lt;=0),0,IF(IFERROR(INDEX('Challan Master'!$D$4:$D$207,MATCH($B140,'Challan Master'!$S$4:$S$207,0)),"")&lt;=DATE(YEAR(J140),MONTH(J140)+1,7),0,ROUND(L140*0.015*((YEAR(IFERROR(INDEX('Challan Master'!$D$4:$D$207,MATCH($B140,'Challan Master'!$S$4:$S$207,0)),""))-YEAR(J140))*12+(MONTH(IFERROR(INDEX('Challan Master'!$D$4:$D$207,MATCH($B140,'Challan Master'!$S$4:$S$207,0)),""))-MONTH(J140))+1),0))))</f>
      </c>
      <c r="P140" s="7">
        <f>IF($D140="","",0)</f>
      </c>
      <c r="Q140" s="8"/>
      <c r="R140" s="8"/>
      <c r="S140" s="8"/>
      <c r="T140" s="8"/>
      <c r="U140" s="8"/>
      <c r="V140" s="7">
        <f>IF($B140="","",IFERROR(INDEX('Challan Master'!$AA$4:$AA$207,MATCH($B140,'Challan Master'!$S$4:$S$207,0)),""))</f>
      </c>
    </row>
    <row r="141" spans="1:22" x14ac:dyDescent="0.25">
      <c r="A141" s="7">
        <f>IF($D141="","",COUNTIF($D$4:$D141,"&lt;&gt;"))</f>
      </c>
      <c r="B141" s="8"/>
      <c r="C141" s="7">
        <f>IF($B141="","","BSR "&amp;IFERROR(INDEX('Challan Master'!$B$4:$B$207,MATCH($B141,'Challan Master'!$S$4:$S$207,0)),"")&amp;" | Serial "&amp;IFERROR(INDEX('Challan Master'!$C$4:$C$207,MATCH($B141,'Challan Master'!$S$4:$S$207,0)),"")&amp;" | Deposit "&amp;TEXT(IFERROR(INDEX('Challan Master'!$D$4:$D$207,MATCH($B141,'Challan Master'!$S$4:$S$207,0)),""),"dd-mm-yyyy")&amp;" | Minor Head "&amp;IFERROR(INDEX('Challan Master'!$E$4:$E$207,MATCH($B141,'Challan Master'!$S$4:$S$207,0)),"")&amp;" | Tax ₹"&amp;TEXT(IFERROR(INDEX('Challan Master'!$G$4:$G$207,MATCH($B141,'Challan Master'!$S$4:$S$207,0)),""),"#,##0")&amp;" | Section "&amp;IFERROR(INDEX('Challan Master'!$F$4:$F$207,MATCH($B141,'Challan Master'!$S$4:$S$207,0)),""))</f>
      </c>
      <c r="D141" s="8"/>
      <c r="E141" s="8"/>
      <c r="F141" s="7">
        <f>IF($D141="","",IF(AND(LEN(TRIM(UPPER(E141)))=10,CODE(MID(TRIM(UPPER(E141)),1,1))&gt;=65,CODE(MID(TRIM(UPPER(E141)),1,1))&lt;=90,CODE(MID(TRIM(UPPER(E141)),2,1))&gt;=65,CODE(MID(TRIM(UPPER(E141)),2,1))&lt;=90,CODE(MID(TRIM(UPPER(E141)),3,1))&gt;=65,CODE(MID(TRIM(UPPER(E141)),3,1))&lt;=90,CODE(MID(TRIM(UPPER(E141)),4,1))&gt;=65,CODE(MID(TRIM(UPPER(E141)),4,1))&lt;=90,CODE(MID(TRIM(UPPER(E141)),5,1))&gt;=65,CODE(MID(TRIM(UPPER(E141)),5,1))&lt;=90,CODE(MID(TRIM(UPPER(E141)),10,1))&gt;=65,CODE(MID(TRIM(UPPER(E141)),10,1))&lt;=90,CODE(MID(TRIM(UPPER(E141)),6,1))&gt;=48,CODE(MID(TRIM(UPPER(E141)),6,1))&lt;=57,CODE(MID(TRIM(UPPER(E141)),7,1))&gt;=48,CODE(MID(TRIM(UPPER(E141)),7,1))&lt;=57,CODE(MID(TRIM(UPPER(E141)),8,1))&gt;=48,CODE(MID(TRIM(UPPER(E141)),8,1))&lt;=57,CODE(MID(TRIM(UPPER(E141)),9,1))&gt;=48,CODE(MID(TRIM(UPPER(E141)),9,1))&lt;=57),"N","Y"))</f>
      </c>
      <c r="G141" s="7">
        <f>IF($D141="","",IF(LEN(E141)&lt;4,"",IF(UPPER(MID(E141,4,1))="P","Individual",IF(UPPER(MID(E141,4,1))="H","HUF",IF(UPPER(MID(E141,4,1))="C","Company",IF(UPPER(MID(E141,4,1))="F","Firm",IF(UPPER(MID(E141,4,1))="L","LLP",IF(UPPER(MID(E141,4,1))="T","Trust",IF(UPPER(MID(E141,4,1))="A","AOP","")))))))))</f>
      </c>
      <c r="H141" s="8"/>
      <c r="I141" s="7">
        <f>IF($D141="","",IF(H141="","",IF(F141="Y",SUMPRODUCT(('Rate Lookup'!$A$1:$A$37=H141)*'Rate Lookup'!$D$1:$D$37),IF(OR(G141="Individual",G141="HUF"),SUMPRODUCT(('Rate Lookup'!$A$1:$A$37=H141)*'Rate Lookup'!$B$1:$B$37),SUMPRODUCT(('Rate Lookup'!$A$1:$A$37=H141)*'Rate Lookup'!$C$1:$C$37)))))</f>
      </c>
      <c r="J141" s="8"/>
      <c r="K141" s="8"/>
      <c r="L141" s="7">
        <f>IF($D141="","",ROUND(K141*I141/100,0))</f>
      </c>
      <c r="M141" s="7">
        <f>IF($D141="","",0)</f>
      </c>
      <c r="N141" s="7">
        <f>IF($D141="","",0)</f>
      </c>
      <c r="O141" s="7">
        <f>IF($D141="","",IF(OR(L141=0,J141="",IFERROR(INDEX('Challan Master'!$D$4:$D$207,MATCH($B141,'Challan Master'!$S$4:$S$207,0)),"")="",IFERROR(INDEX('Challan Master'!$D$4:$D$207,MATCH($B141,'Challan Master'!$S$4:$S$207,0)),"")&lt;=0),0,IF(IFERROR(INDEX('Challan Master'!$D$4:$D$207,MATCH($B141,'Challan Master'!$S$4:$S$207,0)),"")&lt;=DATE(YEAR(J141),MONTH(J141)+1,7),0,ROUND(L141*0.015*((YEAR(IFERROR(INDEX('Challan Master'!$D$4:$D$207,MATCH($B141,'Challan Master'!$S$4:$S$207,0)),""))-YEAR(J141))*12+(MONTH(IFERROR(INDEX('Challan Master'!$D$4:$D$207,MATCH($B141,'Challan Master'!$S$4:$S$207,0)),""))-MONTH(J141))+1),0))))</f>
      </c>
      <c r="P141" s="7">
        <f>IF($D141="","",0)</f>
      </c>
      <c r="Q141" s="8"/>
      <c r="R141" s="8"/>
      <c r="S141" s="8"/>
      <c r="T141" s="8"/>
      <c r="U141" s="8"/>
      <c r="V141" s="7">
        <f>IF($B141="","",IFERROR(INDEX('Challan Master'!$AA$4:$AA$207,MATCH($B141,'Challan Master'!$S$4:$S$207,0)),""))</f>
      </c>
    </row>
    <row r="142" spans="1:22" x14ac:dyDescent="0.25">
      <c r="A142" s="7">
        <f>IF($D142="","",COUNTIF($D$4:$D142,"&lt;&gt;"))</f>
      </c>
      <c r="B142" s="8"/>
      <c r="C142" s="7">
        <f>IF($B142="","","BSR "&amp;IFERROR(INDEX('Challan Master'!$B$4:$B$207,MATCH($B142,'Challan Master'!$S$4:$S$207,0)),"")&amp;" | Serial "&amp;IFERROR(INDEX('Challan Master'!$C$4:$C$207,MATCH($B142,'Challan Master'!$S$4:$S$207,0)),"")&amp;" | Deposit "&amp;TEXT(IFERROR(INDEX('Challan Master'!$D$4:$D$207,MATCH($B142,'Challan Master'!$S$4:$S$207,0)),""),"dd-mm-yyyy")&amp;" | Minor Head "&amp;IFERROR(INDEX('Challan Master'!$E$4:$E$207,MATCH($B142,'Challan Master'!$S$4:$S$207,0)),"")&amp;" | Tax ₹"&amp;TEXT(IFERROR(INDEX('Challan Master'!$G$4:$G$207,MATCH($B142,'Challan Master'!$S$4:$S$207,0)),""),"#,##0")&amp;" | Section "&amp;IFERROR(INDEX('Challan Master'!$F$4:$F$207,MATCH($B142,'Challan Master'!$S$4:$S$207,0)),""))</f>
      </c>
      <c r="D142" s="8"/>
      <c r="E142" s="8"/>
      <c r="F142" s="7">
        <f>IF($D142="","",IF(AND(LEN(TRIM(UPPER(E142)))=10,CODE(MID(TRIM(UPPER(E142)),1,1))&gt;=65,CODE(MID(TRIM(UPPER(E142)),1,1))&lt;=90,CODE(MID(TRIM(UPPER(E142)),2,1))&gt;=65,CODE(MID(TRIM(UPPER(E142)),2,1))&lt;=90,CODE(MID(TRIM(UPPER(E142)),3,1))&gt;=65,CODE(MID(TRIM(UPPER(E142)),3,1))&lt;=90,CODE(MID(TRIM(UPPER(E142)),4,1))&gt;=65,CODE(MID(TRIM(UPPER(E142)),4,1))&lt;=90,CODE(MID(TRIM(UPPER(E142)),5,1))&gt;=65,CODE(MID(TRIM(UPPER(E142)),5,1))&lt;=90,CODE(MID(TRIM(UPPER(E142)),10,1))&gt;=65,CODE(MID(TRIM(UPPER(E142)),10,1))&lt;=90,CODE(MID(TRIM(UPPER(E142)),6,1))&gt;=48,CODE(MID(TRIM(UPPER(E142)),6,1))&lt;=57,CODE(MID(TRIM(UPPER(E142)),7,1))&gt;=48,CODE(MID(TRIM(UPPER(E142)),7,1))&lt;=57,CODE(MID(TRIM(UPPER(E142)),8,1))&gt;=48,CODE(MID(TRIM(UPPER(E142)),8,1))&lt;=57,CODE(MID(TRIM(UPPER(E142)),9,1))&gt;=48,CODE(MID(TRIM(UPPER(E142)),9,1))&lt;=57),"N","Y"))</f>
      </c>
      <c r="G142" s="7">
        <f>IF($D142="","",IF(LEN(E142)&lt;4,"",IF(UPPER(MID(E142,4,1))="P","Individual",IF(UPPER(MID(E142,4,1))="H","HUF",IF(UPPER(MID(E142,4,1))="C","Company",IF(UPPER(MID(E142,4,1))="F","Firm",IF(UPPER(MID(E142,4,1))="L","LLP",IF(UPPER(MID(E142,4,1))="T","Trust",IF(UPPER(MID(E142,4,1))="A","AOP","")))))))))</f>
      </c>
      <c r="H142" s="8"/>
      <c r="I142" s="7">
        <f>IF($D142="","",IF(H142="","",IF(F142="Y",SUMPRODUCT(('Rate Lookup'!$A$1:$A$37=H142)*'Rate Lookup'!$D$1:$D$37),IF(OR(G142="Individual",G142="HUF"),SUMPRODUCT(('Rate Lookup'!$A$1:$A$37=H142)*'Rate Lookup'!$B$1:$B$37),SUMPRODUCT(('Rate Lookup'!$A$1:$A$37=H142)*'Rate Lookup'!$C$1:$C$37)))))</f>
      </c>
      <c r="J142" s="8"/>
      <c r="K142" s="8"/>
      <c r="L142" s="7">
        <f>IF($D142="","",ROUND(K142*I142/100,0))</f>
      </c>
      <c r="M142" s="7">
        <f>IF($D142="","",0)</f>
      </c>
      <c r="N142" s="7">
        <f>IF($D142="","",0)</f>
      </c>
      <c r="O142" s="7">
        <f>IF($D142="","",IF(OR(L142=0,J142="",IFERROR(INDEX('Challan Master'!$D$4:$D$207,MATCH($B142,'Challan Master'!$S$4:$S$207,0)),"")="",IFERROR(INDEX('Challan Master'!$D$4:$D$207,MATCH($B142,'Challan Master'!$S$4:$S$207,0)),"")&lt;=0),0,IF(IFERROR(INDEX('Challan Master'!$D$4:$D$207,MATCH($B142,'Challan Master'!$S$4:$S$207,0)),"")&lt;=DATE(YEAR(J142),MONTH(J142)+1,7),0,ROUND(L142*0.015*((YEAR(IFERROR(INDEX('Challan Master'!$D$4:$D$207,MATCH($B142,'Challan Master'!$S$4:$S$207,0)),""))-YEAR(J142))*12+(MONTH(IFERROR(INDEX('Challan Master'!$D$4:$D$207,MATCH($B142,'Challan Master'!$S$4:$S$207,0)),""))-MONTH(J142))+1),0))))</f>
      </c>
      <c r="P142" s="7">
        <f>IF($D142="","",0)</f>
      </c>
      <c r="Q142" s="8"/>
      <c r="R142" s="8"/>
      <c r="S142" s="8"/>
      <c r="T142" s="8"/>
      <c r="U142" s="8"/>
      <c r="V142" s="7">
        <f>IF($B142="","",IFERROR(INDEX('Challan Master'!$AA$4:$AA$207,MATCH($B142,'Challan Master'!$S$4:$S$207,0)),""))</f>
      </c>
    </row>
    <row r="143" spans="1:22" x14ac:dyDescent="0.25">
      <c r="A143" s="7">
        <f>IF($D143="","",COUNTIF($D$4:$D143,"&lt;&gt;"))</f>
      </c>
      <c r="B143" s="8"/>
      <c r="C143" s="7">
        <f>IF($B143="","","BSR "&amp;IFERROR(INDEX('Challan Master'!$B$4:$B$207,MATCH($B143,'Challan Master'!$S$4:$S$207,0)),"")&amp;" | Serial "&amp;IFERROR(INDEX('Challan Master'!$C$4:$C$207,MATCH($B143,'Challan Master'!$S$4:$S$207,0)),"")&amp;" | Deposit "&amp;TEXT(IFERROR(INDEX('Challan Master'!$D$4:$D$207,MATCH($B143,'Challan Master'!$S$4:$S$207,0)),""),"dd-mm-yyyy")&amp;" | Minor Head "&amp;IFERROR(INDEX('Challan Master'!$E$4:$E$207,MATCH($B143,'Challan Master'!$S$4:$S$207,0)),"")&amp;" | Tax ₹"&amp;TEXT(IFERROR(INDEX('Challan Master'!$G$4:$G$207,MATCH($B143,'Challan Master'!$S$4:$S$207,0)),""),"#,##0")&amp;" | Section "&amp;IFERROR(INDEX('Challan Master'!$F$4:$F$207,MATCH($B143,'Challan Master'!$S$4:$S$207,0)),""))</f>
      </c>
      <c r="D143" s="8"/>
      <c r="E143" s="8"/>
      <c r="F143" s="7">
        <f>IF($D143="","",IF(AND(LEN(TRIM(UPPER(E143)))=10,CODE(MID(TRIM(UPPER(E143)),1,1))&gt;=65,CODE(MID(TRIM(UPPER(E143)),1,1))&lt;=90,CODE(MID(TRIM(UPPER(E143)),2,1))&gt;=65,CODE(MID(TRIM(UPPER(E143)),2,1))&lt;=90,CODE(MID(TRIM(UPPER(E143)),3,1))&gt;=65,CODE(MID(TRIM(UPPER(E143)),3,1))&lt;=90,CODE(MID(TRIM(UPPER(E143)),4,1))&gt;=65,CODE(MID(TRIM(UPPER(E143)),4,1))&lt;=90,CODE(MID(TRIM(UPPER(E143)),5,1))&gt;=65,CODE(MID(TRIM(UPPER(E143)),5,1))&lt;=90,CODE(MID(TRIM(UPPER(E143)),10,1))&gt;=65,CODE(MID(TRIM(UPPER(E143)),10,1))&lt;=90,CODE(MID(TRIM(UPPER(E143)),6,1))&gt;=48,CODE(MID(TRIM(UPPER(E143)),6,1))&lt;=57,CODE(MID(TRIM(UPPER(E143)),7,1))&gt;=48,CODE(MID(TRIM(UPPER(E143)),7,1))&lt;=57,CODE(MID(TRIM(UPPER(E143)),8,1))&gt;=48,CODE(MID(TRIM(UPPER(E143)),8,1))&lt;=57,CODE(MID(TRIM(UPPER(E143)),9,1))&gt;=48,CODE(MID(TRIM(UPPER(E143)),9,1))&lt;=57),"N","Y"))</f>
      </c>
      <c r="G143" s="7">
        <f>IF($D143="","",IF(LEN(E143)&lt;4,"",IF(UPPER(MID(E143,4,1))="P","Individual",IF(UPPER(MID(E143,4,1))="H","HUF",IF(UPPER(MID(E143,4,1))="C","Company",IF(UPPER(MID(E143,4,1))="F","Firm",IF(UPPER(MID(E143,4,1))="L","LLP",IF(UPPER(MID(E143,4,1))="T","Trust",IF(UPPER(MID(E143,4,1))="A","AOP","")))))))))</f>
      </c>
      <c r="H143" s="8"/>
      <c r="I143" s="7">
        <f>IF($D143="","",IF(H143="","",IF(F143="Y",SUMPRODUCT(('Rate Lookup'!$A$1:$A$37=H143)*'Rate Lookup'!$D$1:$D$37),IF(OR(G143="Individual",G143="HUF"),SUMPRODUCT(('Rate Lookup'!$A$1:$A$37=H143)*'Rate Lookup'!$B$1:$B$37),SUMPRODUCT(('Rate Lookup'!$A$1:$A$37=H143)*'Rate Lookup'!$C$1:$C$37)))))</f>
      </c>
      <c r="J143" s="8"/>
      <c r="K143" s="8"/>
      <c r="L143" s="7">
        <f>IF($D143="","",ROUND(K143*I143/100,0))</f>
      </c>
      <c r="M143" s="7">
        <f>IF($D143="","",0)</f>
      </c>
      <c r="N143" s="7">
        <f>IF($D143="","",0)</f>
      </c>
      <c r="O143" s="7">
        <f>IF($D143="","",IF(OR(L143=0,J143="",IFERROR(INDEX('Challan Master'!$D$4:$D$207,MATCH($B143,'Challan Master'!$S$4:$S$207,0)),"")="",IFERROR(INDEX('Challan Master'!$D$4:$D$207,MATCH($B143,'Challan Master'!$S$4:$S$207,0)),"")&lt;=0),0,IF(IFERROR(INDEX('Challan Master'!$D$4:$D$207,MATCH($B143,'Challan Master'!$S$4:$S$207,0)),"")&lt;=DATE(YEAR(J143),MONTH(J143)+1,7),0,ROUND(L143*0.015*((YEAR(IFERROR(INDEX('Challan Master'!$D$4:$D$207,MATCH($B143,'Challan Master'!$S$4:$S$207,0)),""))-YEAR(J143))*12+(MONTH(IFERROR(INDEX('Challan Master'!$D$4:$D$207,MATCH($B143,'Challan Master'!$S$4:$S$207,0)),""))-MONTH(J143))+1),0))))</f>
      </c>
      <c r="P143" s="7">
        <f>IF($D143="","",0)</f>
      </c>
      <c r="Q143" s="8"/>
      <c r="R143" s="8"/>
      <c r="S143" s="8"/>
      <c r="T143" s="8"/>
      <c r="U143" s="8"/>
      <c r="V143" s="7">
        <f>IF($B143="","",IFERROR(INDEX('Challan Master'!$AA$4:$AA$207,MATCH($B143,'Challan Master'!$S$4:$S$207,0)),""))</f>
      </c>
    </row>
    <row r="144" spans="1:22" x14ac:dyDescent="0.25">
      <c r="A144" s="7">
        <f>IF($D144="","",COUNTIF($D$4:$D144,"&lt;&gt;"))</f>
      </c>
      <c r="B144" s="8"/>
      <c r="C144" s="7">
        <f>IF($B144="","","BSR "&amp;IFERROR(INDEX('Challan Master'!$B$4:$B$207,MATCH($B144,'Challan Master'!$S$4:$S$207,0)),"")&amp;" | Serial "&amp;IFERROR(INDEX('Challan Master'!$C$4:$C$207,MATCH($B144,'Challan Master'!$S$4:$S$207,0)),"")&amp;" | Deposit "&amp;TEXT(IFERROR(INDEX('Challan Master'!$D$4:$D$207,MATCH($B144,'Challan Master'!$S$4:$S$207,0)),""),"dd-mm-yyyy")&amp;" | Minor Head "&amp;IFERROR(INDEX('Challan Master'!$E$4:$E$207,MATCH($B144,'Challan Master'!$S$4:$S$207,0)),"")&amp;" | Tax ₹"&amp;TEXT(IFERROR(INDEX('Challan Master'!$G$4:$G$207,MATCH($B144,'Challan Master'!$S$4:$S$207,0)),""),"#,##0")&amp;" | Section "&amp;IFERROR(INDEX('Challan Master'!$F$4:$F$207,MATCH($B144,'Challan Master'!$S$4:$S$207,0)),""))</f>
      </c>
      <c r="D144" s="8"/>
      <c r="E144" s="8"/>
      <c r="F144" s="7">
        <f>IF($D144="","",IF(AND(LEN(TRIM(UPPER(E144)))=10,CODE(MID(TRIM(UPPER(E144)),1,1))&gt;=65,CODE(MID(TRIM(UPPER(E144)),1,1))&lt;=90,CODE(MID(TRIM(UPPER(E144)),2,1))&gt;=65,CODE(MID(TRIM(UPPER(E144)),2,1))&lt;=90,CODE(MID(TRIM(UPPER(E144)),3,1))&gt;=65,CODE(MID(TRIM(UPPER(E144)),3,1))&lt;=90,CODE(MID(TRIM(UPPER(E144)),4,1))&gt;=65,CODE(MID(TRIM(UPPER(E144)),4,1))&lt;=90,CODE(MID(TRIM(UPPER(E144)),5,1))&gt;=65,CODE(MID(TRIM(UPPER(E144)),5,1))&lt;=90,CODE(MID(TRIM(UPPER(E144)),10,1))&gt;=65,CODE(MID(TRIM(UPPER(E144)),10,1))&lt;=90,CODE(MID(TRIM(UPPER(E144)),6,1))&gt;=48,CODE(MID(TRIM(UPPER(E144)),6,1))&lt;=57,CODE(MID(TRIM(UPPER(E144)),7,1))&gt;=48,CODE(MID(TRIM(UPPER(E144)),7,1))&lt;=57,CODE(MID(TRIM(UPPER(E144)),8,1))&gt;=48,CODE(MID(TRIM(UPPER(E144)),8,1))&lt;=57,CODE(MID(TRIM(UPPER(E144)),9,1))&gt;=48,CODE(MID(TRIM(UPPER(E144)),9,1))&lt;=57),"N","Y"))</f>
      </c>
      <c r="G144" s="7">
        <f>IF($D144="","",IF(LEN(E144)&lt;4,"",IF(UPPER(MID(E144,4,1))="P","Individual",IF(UPPER(MID(E144,4,1))="H","HUF",IF(UPPER(MID(E144,4,1))="C","Company",IF(UPPER(MID(E144,4,1))="F","Firm",IF(UPPER(MID(E144,4,1))="L","LLP",IF(UPPER(MID(E144,4,1))="T","Trust",IF(UPPER(MID(E144,4,1))="A","AOP","")))))))))</f>
      </c>
      <c r="H144" s="8"/>
      <c r="I144" s="7">
        <f>IF($D144="","",IF(H144="","",IF(F144="Y",SUMPRODUCT(('Rate Lookup'!$A$1:$A$37=H144)*'Rate Lookup'!$D$1:$D$37),IF(OR(G144="Individual",G144="HUF"),SUMPRODUCT(('Rate Lookup'!$A$1:$A$37=H144)*'Rate Lookup'!$B$1:$B$37),SUMPRODUCT(('Rate Lookup'!$A$1:$A$37=H144)*'Rate Lookup'!$C$1:$C$37)))))</f>
      </c>
      <c r="J144" s="8"/>
      <c r="K144" s="8"/>
      <c r="L144" s="7">
        <f>IF($D144="","",ROUND(K144*I144/100,0))</f>
      </c>
      <c r="M144" s="7">
        <f>IF($D144="","",0)</f>
      </c>
      <c r="N144" s="7">
        <f>IF($D144="","",0)</f>
      </c>
      <c r="O144" s="7">
        <f>IF($D144="","",IF(OR(L144=0,J144="",IFERROR(INDEX('Challan Master'!$D$4:$D$207,MATCH($B144,'Challan Master'!$S$4:$S$207,0)),"")="",IFERROR(INDEX('Challan Master'!$D$4:$D$207,MATCH($B144,'Challan Master'!$S$4:$S$207,0)),"")&lt;=0),0,IF(IFERROR(INDEX('Challan Master'!$D$4:$D$207,MATCH($B144,'Challan Master'!$S$4:$S$207,0)),"")&lt;=DATE(YEAR(J144),MONTH(J144)+1,7),0,ROUND(L144*0.015*((YEAR(IFERROR(INDEX('Challan Master'!$D$4:$D$207,MATCH($B144,'Challan Master'!$S$4:$S$207,0)),""))-YEAR(J144))*12+(MONTH(IFERROR(INDEX('Challan Master'!$D$4:$D$207,MATCH($B144,'Challan Master'!$S$4:$S$207,0)),""))-MONTH(J144))+1),0))))</f>
      </c>
      <c r="P144" s="7">
        <f>IF($D144="","",0)</f>
      </c>
      <c r="Q144" s="8"/>
      <c r="R144" s="8"/>
      <c r="S144" s="8"/>
      <c r="T144" s="8"/>
      <c r="U144" s="8"/>
      <c r="V144" s="7">
        <f>IF($B144="","",IFERROR(INDEX('Challan Master'!$AA$4:$AA$207,MATCH($B144,'Challan Master'!$S$4:$S$207,0)),""))</f>
      </c>
    </row>
    <row r="145" spans="1:22" x14ac:dyDescent="0.25">
      <c r="A145" s="7">
        <f>IF($D145="","",COUNTIF($D$4:$D145,"&lt;&gt;"))</f>
      </c>
      <c r="B145" s="8"/>
      <c r="C145" s="7">
        <f>IF($B145="","","BSR "&amp;IFERROR(INDEX('Challan Master'!$B$4:$B$207,MATCH($B145,'Challan Master'!$S$4:$S$207,0)),"")&amp;" | Serial "&amp;IFERROR(INDEX('Challan Master'!$C$4:$C$207,MATCH($B145,'Challan Master'!$S$4:$S$207,0)),"")&amp;" | Deposit "&amp;TEXT(IFERROR(INDEX('Challan Master'!$D$4:$D$207,MATCH($B145,'Challan Master'!$S$4:$S$207,0)),""),"dd-mm-yyyy")&amp;" | Minor Head "&amp;IFERROR(INDEX('Challan Master'!$E$4:$E$207,MATCH($B145,'Challan Master'!$S$4:$S$207,0)),"")&amp;" | Tax ₹"&amp;TEXT(IFERROR(INDEX('Challan Master'!$G$4:$G$207,MATCH($B145,'Challan Master'!$S$4:$S$207,0)),""),"#,##0")&amp;" | Section "&amp;IFERROR(INDEX('Challan Master'!$F$4:$F$207,MATCH($B145,'Challan Master'!$S$4:$S$207,0)),""))</f>
      </c>
      <c r="D145" s="8"/>
      <c r="E145" s="8"/>
      <c r="F145" s="7">
        <f>IF($D145="","",IF(AND(LEN(TRIM(UPPER(E145)))=10,CODE(MID(TRIM(UPPER(E145)),1,1))&gt;=65,CODE(MID(TRIM(UPPER(E145)),1,1))&lt;=90,CODE(MID(TRIM(UPPER(E145)),2,1))&gt;=65,CODE(MID(TRIM(UPPER(E145)),2,1))&lt;=90,CODE(MID(TRIM(UPPER(E145)),3,1))&gt;=65,CODE(MID(TRIM(UPPER(E145)),3,1))&lt;=90,CODE(MID(TRIM(UPPER(E145)),4,1))&gt;=65,CODE(MID(TRIM(UPPER(E145)),4,1))&lt;=90,CODE(MID(TRIM(UPPER(E145)),5,1))&gt;=65,CODE(MID(TRIM(UPPER(E145)),5,1))&lt;=90,CODE(MID(TRIM(UPPER(E145)),10,1))&gt;=65,CODE(MID(TRIM(UPPER(E145)),10,1))&lt;=90,CODE(MID(TRIM(UPPER(E145)),6,1))&gt;=48,CODE(MID(TRIM(UPPER(E145)),6,1))&lt;=57,CODE(MID(TRIM(UPPER(E145)),7,1))&gt;=48,CODE(MID(TRIM(UPPER(E145)),7,1))&lt;=57,CODE(MID(TRIM(UPPER(E145)),8,1))&gt;=48,CODE(MID(TRIM(UPPER(E145)),8,1))&lt;=57,CODE(MID(TRIM(UPPER(E145)),9,1))&gt;=48,CODE(MID(TRIM(UPPER(E145)),9,1))&lt;=57),"N","Y"))</f>
      </c>
      <c r="G145" s="7">
        <f>IF($D145="","",IF(LEN(E145)&lt;4,"",IF(UPPER(MID(E145,4,1))="P","Individual",IF(UPPER(MID(E145,4,1))="H","HUF",IF(UPPER(MID(E145,4,1))="C","Company",IF(UPPER(MID(E145,4,1))="F","Firm",IF(UPPER(MID(E145,4,1))="L","LLP",IF(UPPER(MID(E145,4,1))="T","Trust",IF(UPPER(MID(E145,4,1))="A","AOP","")))))))))</f>
      </c>
      <c r="H145" s="8"/>
      <c r="I145" s="7">
        <f>IF($D145="","",IF(H145="","",IF(F145="Y",SUMPRODUCT(('Rate Lookup'!$A$1:$A$37=H145)*'Rate Lookup'!$D$1:$D$37),IF(OR(G145="Individual",G145="HUF"),SUMPRODUCT(('Rate Lookup'!$A$1:$A$37=H145)*'Rate Lookup'!$B$1:$B$37),SUMPRODUCT(('Rate Lookup'!$A$1:$A$37=H145)*'Rate Lookup'!$C$1:$C$37)))))</f>
      </c>
      <c r="J145" s="8"/>
      <c r="K145" s="8"/>
      <c r="L145" s="7">
        <f>IF($D145="","",ROUND(K145*I145/100,0))</f>
      </c>
      <c r="M145" s="7">
        <f>IF($D145="","",0)</f>
      </c>
      <c r="N145" s="7">
        <f>IF($D145="","",0)</f>
      </c>
      <c r="O145" s="7">
        <f>IF($D145="","",IF(OR(L145=0,J145="",IFERROR(INDEX('Challan Master'!$D$4:$D$207,MATCH($B145,'Challan Master'!$S$4:$S$207,0)),"")="",IFERROR(INDEX('Challan Master'!$D$4:$D$207,MATCH($B145,'Challan Master'!$S$4:$S$207,0)),"")&lt;=0),0,IF(IFERROR(INDEX('Challan Master'!$D$4:$D$207,MATCH($B145,'Challan Master'!$S$4:$S$207,0)),"")&lt;=DATE(YEAR(J145),MONTH(J145)+1,7),0,ROUND(L145*0.015*((YEAR(IFERROR(INDEX('Challan Master'!$D$4:$D$207,MATCH($B145,'Challan Master'!$S$4:$S$207,0)),""))-YEAR(J145))*12+(MONTH(IFERROR(INDEX('Challan Master'!$D$4:$D$207,MATCH($B145,'Challan Master'!$S$4:$S$207,0)),""))-MONTH(J145))+1),0))))</f>
      </c>
      <c r="P145" s="7">
        <f>IF($D145="","",0)</f>
      </c>
      <c r="Q145" s="8"/>
      <c r="R145" s="8"/>
      <c r="S145" s="8"/>
      <c r="T145" s="8"/>
      <c r="U145" s="8"/>
      <c r="V145" s="7">
        <f>IF($B145="","",IFERROR(INDEX('Challan Master'!$AA$4:$AA$207,MATCH($B145,'Challan Master'!$S$4:$S$207,0)),""))</f>
      </c>
    </row>
    <row r="146" spans="1:22" x14ac:dyDescent="0.25">
      <c r="A146" s="7">
        <f>IF($D146="","",COUNTIF($D$4:$D146,"&lt;&gt;"))</f>
      </c>
      <c r="B146" s="8"/>
      <c r="C146" s="7">
        <f>IF($B146="","","BSR "&amp;IFERROR(INDEX('Challan Master'!$B$4:$B$207,MATCH($B146,'Challan Master'!$S$4:$S$207,0)),"")&amp;" | Serial "&amp;IFERROR(INDEX('Challan Master'!$C$4:$C$207,MATCH($B146,'Challan Master'!$S$4:$S$207,0)),"")&amp;" | Deposit "&amp;TEXT(IFERROR(INDEX('Challan Master'!$D$4:$D$207,MATCH($B146,'Challan Master'!$S$4:$S$207,0)),""),"dd-mm-yyyy")&amp;" | Minor Head "&amp;IFERROR(INDEX('Challan Master'!$E$4:$E$207,MATCH($B146,'Challan Master'!$S$4:$S$207,0)),"")&amp;" | Tax ₹"&amp;TEXT(IFERROR(INDEX('Challan Master'!$G$4:$G$207,MATCH($B146,'Challan Master'!$S$4:$S$207,0)),""),"#,##0")&amp;" | Section "&amp;IFERROR(INDEX('Challan Master'!$F$4:$F$207,MATCH($B146,'Challan Master'!$S$4:$S$207,0)),""))</f>
      </c>
      <c r="D146" s="8"/>
      <c r="E146" s="8"/>
      <c r="F146" s="7">
        <f>IF($D146="","",IF(AND(LEN(TRIM(UPPER(E146)))=10,CODE(MID(TRIM(UPPER(E146)),1,1))&gt;=65,CODE(MID(TRIM(UPPER(E146)),1,1))&lt;=90,CODE(MID(TRIM(UPPER(E146)),2,1))&gt;=65,CODE(MID(TRIM(UPPER(E146)),2,1))&lt;=90,CODE(MID(TRIM(UPPER(E146)),3,1))&gt;=65,CODE(MID(TRIM(UPPER(E146)),3,1))&lt;=90,CODE(MID(TRIM(UPPER(E146)),4,1))&gt;=65,CODE(MID(TRIM(UPPER(E146)),4,1))&lt;=90,CODE(MID(TRIM(UPPER(E146)),5,1))&gt;=65,CODE(MID(TRIM(UPPER(E146)),5,1))&lt;=90,CODE(MID(TRIM(UPPER(E146)),10,1))&gt;=65,CODE(MID(TRIM(UPPER(E146)),10,1))&lt;=90,CODE(MID(TRIM(UPPER(E146)),6,1))&gt;=48,CODE(MID(TRIM(UPPER(E146)),6,1))&lt;=57,CODE(MID(TRIM(UPPER(E146)),7,1))&gt;=48,CODE(MID(TRIM(UPPER(E146)),7,1))&lt;=57,CODE(MID(TRIM(UPPER(E146)),8,1))&gt;=48,CODE(MID(TRIM(UPPER(E146)),8,1))&lt;=57,CODE(MID(TRIM(UPPER(E146)),9,1))&gt;=48,CODE(MID(TRIM(UPPER(E146)),9,1))&lt;=57),"N","Y"))</f>
      </c>
      <c r="G146" s="7">
        <f>IF($D146="","",IF(LEN(E146)&lt;4,"",IF(UPPER(MID(E146,4,1))="P","Individual",IF(UPPER(MID(E146,4,1))="H","HUF",IF(UPPER(MID(E146,4,1))="C","Company",IF(UPPER(MID(E146,4,1))="F","Firm",IF(UPPER(MID(E146,4,1))="L","LLP",IF(UPPER(MID(E146,4,1))="T","Trust",IF(UPPER(MID(E146,4,1))="A","AOP","")))))))))</f>
      </c>
      <c r="H146" s="8"/>
      <c r="I146" s="7">
        <f>IF($D146="","",IF(H146="","",IF(F146="Y",SUMPRODUCT(('Rate Lookup'!$A$1:$A$37=H146)*'Rate Lookup'!$D$1:$D$37),IF(OR(G146="Individual",G146="HUF"),SUMPRODUCT(('Rate Lookup'!$A$1:$A$37=H146)*'Rate Lookup'!$B$1:$B$37),SUMPRODUCT(('Rate Lookup'!$A$1:$A$37=H146)*'Rate Lookup'!$C$1:$C$37)))))</f>
      </c>
      <c r="J146" s="8"/>
      <c r="K146" s="8"/>
      <c r="L146" s="7">
        <f>IF($D146="","",ROUND(K146*I146/100,0))</f>
      </c>
      <c r="M146" s="7">
        <f>IF($D146="","",0)</f>
      </c>
      <c r="N146" s="7">
        <f>IF($D146="","",0)</f>
      </c>
      <c r="O146" s="7">
        <f>IF($D146="","",IF(OR(L146=0,J146="",IFERROR(INDEX('Challan Master'!$D$4:$D$207,MATCH($B146,'Challan Master'!$S$4:$S$207,0)),"")="",IFERROR(INDEX('Challan Master'!$D$4:$D$207,MATCH($B146,'Challan Master'!$S$4:$S$207,0)),"")&lt;=0),0,IF(IFERROR(INDEX('Challan Master'!$D$4:$D$207,MATCH($B146,'Challan Master'!$S$4:$S$207,0)),"")&lt;=DATE(YEAR(J146),MONTH(J146)+1,7),0,ROUND(L146*0.015*((YEAR(IFERROR(INDEX('Challan Master'!$D$4:$D$207,MATCH($B146,'Challan Master'!$S$4:$S$207,0)),""))-YEAR(J146))*12+(MONTH(IFERROR(INDEX('Challan Master'!$D$4:$D$207,MATCH($B146,'Challan Master'!$S$4:$S$207,0)),""))-MONTH(J146))+1),0))))</f>
      </c>
      <c r="P146" s="7">
        <f>IF($D146="","",0)</f>
      </c>
      <c r="Q146" s="8"/>
      <c r="R146" s="8"/>
      <c r="S146" s="8"/>
      <c r="T146" s="8"/>
      <c r="U146" s="8"/>
      <c r="V146" s="7">
        <f>IF($B146="","",IFERROR(INDEX('Challan Master'!$AA$4:$AA$207,MATCH($B146,'Challan Master'!$S$4:$S$207,0)),""))</f>
      </c>
    </row>
    <row r="147" spans="1:22" x14ac:dyDescent="0.25">
      <c r="A147" s="7">
        <f>IF($D147="","",COUNTIF($D$4:$D147,"&lt;&gt;"))</f>
      </c>
      <c r="B147" s="8"/>
      <c r="C147" s="7">
        <f>IF($B147="","","BSR "&amp;IFERROR(INDEX('Challan Master'!$B$4:$B$207,MATCH($B147,'Challan Master'!$S$4:$S$207,0)),"")&amp;" | Serial "&amp;IFERROR(INDEX('Challan Master'!$C$4:$C$207,MATCH($B147,'Challan Master'!$S$4:$S$207,0)),"")&amp;" | Deposit "&amp;TEXT(IFERROR(INDEX('Challan Master'!$D$4:$D$207,MATCH($B147,'Challan Master'!$S$4:$S$207,0)),""),"dd-mm-yyyy")&amp;" | Minor Head "&amp;IFERROR(INDEX('Challan Master'!$E$4:$E$207,MATCH($B147,'Challan Master'!$S$4:$S$207,0)),"")&amp;" | Tax ₹"&amp;TEXT(IFERROR(INDEX('Challan Master'!$G$4:$G$207,MATCH($B147,'Challan Master'!$S$4:$S$207,0)),""),"#,##0")&amp;" | Section "&amp;IFERROR(INDEX('Challan Master'!$F$4:$F$207,MATCH($B147,'Challan Master'!$S$4:$S$207,0)),""))</f>
      </c>
      <c r="D147" s="8"/>
      <c r="E147" s="8"/>
      <c r="F147" s="7">
        <f>IF($D147="","",IF(AND(LEN(TRIM(UPPER(E147)))=10,CODE(MID(TRIM(UPPER(E147)),1,1))&gt;=65,CODE(MID(TRIM(UPPER(E147)),1,1))&lt;=90,CODE(MID(TRIM(UPPER(E147)),2,1))&gt;=65,CODE(MID(TRIM(UPPER(E147)),2,1))&lt;=90,CODE(MID(TRIM(UPPER(E147)),3,1))&gt;=65,CODE(MID(TRIM(UPPER(E147)),3,1))&lt;=90,CODE(MID(TRIM(UPPER(E147)),4,1))&gt;=65,CODE(MID(TRIM(UPPER(E147)),4,1))&lt;=90,CODE(MID(TRIM(UPPER(E147)),5,1))&gt;=65,CODE(MID(TRIM(UPPER(E147)),5,1))&lt;=90,CODE(MID(TRIM(UPPER(E147)),10,1))&gt;=65,CODE(MID(TRIM(UPPER(E147)),10,1))&lt;=90,CODE(MID(TRIM(UPPER(E147)),6,1))&gt;=48,CODE(MID(TRIM(UPPER(E147)),6,1))&lt;=57,CODE(MID(TRIM(UPPER(E147)),7,1))&gt;=48,CODE(MID(TRIM(UPPER(E147)),7,1))&lt;=57,CODE(MID(TRIM(UPPER(E147)),8,1))&gt;=48,CODE(MID(TRIM(UPPER(E147)),8,1))&lt;=57,CODE(MID(TRIM(UPPER(E147)),9,1))&gt;=48,CODE(MID(TRIM(UPPER(E147)),9,1))&lt;=57),"N","Y"))</f>
      </c>
      <c r="G147" s="7">
        <f>IF($D147="","",IF(LEN(E147)&lt;4,"",IF(UPPER(MID(E147,4,1))="P","Individual",IF(UPPER(MID(E147,4,1))="H","HUF",IF(UPPER(MID(E147,4,1))="C","Company",IF(UPPER(MID(E147,4,1))="F","Firm",IF(UPPER(MID(E147,4,1))="L","LLP",IF(UPPER(MID(E147,4,1))="T","Trust",IF(UPPER(MID(E147,4,1))="A","AOP","")))))))))</f>
      </c>
      <c r="H147" s="8"/>
      <c r="I147" s="7">
        <f>IF($D147="","",IF(H147="","",IF(F147="Y",SUMPRODUCT(('Rate Lookup'!$A$1:$A$37=H147)*'Rate Lookup'!$D$1:$D$37),IF(OR(G147="Individual",G147="HUF"),SUMPRODUCT(('Rate Lookup'!$A$1:$A$37=H147)*'Rate Lookup'!$B$1:$B$37),SUMPRODUCT(('Rate Lookup'!$A$1:$A$37=H147)*'Rate Lookup'!$C$1:$C$37)))))</f>
      </c>
      <c r="J147" s="8"/>
      <c r="K147" s="8"/>
      <c r="L147" s="7">
        <f>IF($D147="","",ROUND(K147*I147/100,0))</f>
      </c>
      <c r="M147" s="7">
        <f>IF($D147="","",0)</f>
      </c>
      <c r="N147" s="7">
        <f>IF($D147="","",0)</f>
      </c>
      <c r="O147" s="7">
        <f>IF($D147="","",IF(OR(L147=0,J147="",IFERROR(INDEX('Challan Master'!$D$4:$D$207,MATCH($B147,'Challan Master'!$S$4:$S$207,0)),"")="",IFERROR(INDEX('Challan Master'!$D$4:$D$207,MATCH($B147,'Challan Master'!$S$4:$S$207,0)),"")&lt;=0),0,IF(IFERROR(INDEX('Challan Master'!$D$4:$D$207,MATCH($B147,'Challan Master'!$S$4:$S$207,0)),"")&lt;=DATE(YEAR(J147),MONTH(J147)+1,7),0,ROUND(L147*0.015*((YEAR(IFERROR(INDEX('Challan Master'!$D$4:$D$207,MATCH($B147,'Challan Master'!$S$4:$S$207,0)),""))-YEAR(J147))*12+(MONTH(IFERROR(INDEX('Challan Master'!$D$4:$D$207,MATCH($B147,'Challan Master'!$S$4:$S$207,0)),""))-MONTH(J147))+1),0))))</f>
      </c>
      <c r="P147" s="7">
        <f>IF($D147="","",0)</f>
      </c>
      <c r="Q147" s="8"/>
      <c r="R147" s="8"/>
      <c r="S147" s="8"/>
      <c r="T147" s="8"/>
      <c r="U147" s="8"/>
      <c r="V147" s="7">
        <f>IF($B147="","",IFERROR(INDEX('Challan Master'!$AA$4:$AA$207,MATCH($B147,'Challan Master'!$S$4:$S$207,0)),""))</f>
      </c>
    </row>
    <row r="148" spans="1:22" x14ac:dyDescent="0.25">
      <c r="A148" s="7">
        <f>IF($D148="","",COUNTIF($D$4:$D148,"&lt;&gt;"))</f>
      </c>
      <c r="B148" s="8"/>
      <c r="C148" s="7">
        <f>IF($B148="","","BSR "&amp;IFERROR(INDEX('Challan Master'!$B$4:$B$207,MATCH($B148,'Challan Master'!$S$4:$S$207,0)),"")&amp;" | Serial "&amp;IFERROR(INDEX('Challan Master'!$C$4:$C$207,MATCH($B148,'Challan Master'!$S$4:$S$207,0)),"")&amp;" | Deposit "&amp;TEXT(IFERROR(INDEX('Challan Master'!$D$4:$D$207,MATCH($B148,'Challan Master'!$S$4:$S$207,0)),""),"dd-mm-yyyy")&amp;" | Minor Head "&amp;IFERROR(INDEX('Challan Master'!$E$4:$E$207,MATCH($B148,'Challan Master'!$S$4:$S$207,0)),"")&amp;" | Tax ₹"&amp;TEXT(IFERROR(INDEX('Challan Master'!$G$4:$G$207,MATCH($B148,'Challan Master'!$S$4:$S$207,0)),""),"#,##0")&amp;" | Section "&amp;IFERROR(INDEX('Challan Master'!$F$4:$F$207,MATCH($B148,'Challan Master'!$S$4:$S$207,0)),""))</f>
      </c>
      <c r="D148" s="8"/>
      <c r="E148" s="8"/>
      <c r="F148" s="7">
        <f>IF($D148="","",IF(AND(LEN(TRIM(UPPER(E148)))=10,CODE(MID(TRIM(UPPER(E148)),1,1))&gt;=65,CODE(MID(TRIM(UPPER(E148)),1,1))&lt;=90,CODE(MID(TRIM(UPPER(E148)),2,1))&gt;=65,CODE(MID(TRIM(UPPER(E148)),2,1))&lt;=90,CODE(MID(TRIM(UPPER(E148)),3,1))&gt;=65,CODE(MID(TRIM(UPPER(E148)),3,1))&lt;=90,CODE(MID(TRIM(UPPER(E148)),4,1))&gt;=65,CODE(MID(TRIM(UPPER(E148)),4,1))&lt;=90,CODE(MID(TRIM(UPPER(E148)),5,1))&gt;=65,CODE(MID(TRIM(UPPER(E148)),5,1))&lt;=90,CODE(MID(TRIM(UPPER(E148)),10,1))&gt;=65,CODE(MID(TRIM(UPPER(E148)),10,1))&lt;=90,CODE(MID(TRIM(UPPER(E148)),6,1))&gt;=48,CODE(MID(TRIM(UPPER(E148)),6,1))&lt;=57,CODE(MID(TRIM(UPPER(E148)),7,1))&gt;=48,CODE(MID(TRIM(UPPER(E148)),7,1))&lt;=57,CODE(MID(TRIM(UPPER(E148)),8,1))&gt;=48,CODE(MID(TRIM(UPPER(E148)),8,1))&lt;=57,CODE(MID(TRIM(UPPER(E148)),9,1))&gt;=48,CODE(MID(TRIM(UPPER(E148)),9,1))&lt;=57),"N","Y"))</f>
      </c>
      <c r="G148" s="7">
        <f>IF($D148="","",IF(LEN(E148)&lt;4,"",IF(UPPER(MID(E148,4,1))="P","Individual",IF(UPPER(MID(E148,4,1))="H","HUF",IF(UPPER(MID(E148,4,1))="C","Company",IF(UPPER(MID(E148,4,1))="F","Firm",IF(UPPER(MID(E148,4,1))="L","LLP",IF(UPPER(MID(E148,4,1))="T","Trust",IF(UPPER(MID(E148,4,1))="A","AOP","")))))))))</f>
      </c>
      <c r="H148" s="8"/>
      <c r="I148" s="7">
        <f>IF($D148="","",IF(H148="","",IF(F148="Y",SUMPRODUCT(('Rate Lookup'!$A$1:$A$37=H148)*'Rate Lookup'!$D$1:$D$37),IF(OR(G148="Individual",G148="HUF"),SUMPRODUCT(('Rate Lookup'!$A$1:$A$37=H148)*'Rate Lookup'!$B$1:$B$37),SUMPRODUCT(('Rate Lookup'!$A$1:$A$37=H148)*'Rate Lookup'!$C$1:$C$37)))))</f>
      </c>
      <c r="J148" s="8"/>
      <c r="K148" s="8"/>
      <c r="L148" s="7">
        <f>IF($D148="","",ROUND(K148*I148/100,0))</f>
      </c>
      <c r="M148" s="7">
        <f>IF($D148="","",0)</f>
      </c>
      <c r="N148" s="7">
        <f>IF($D148="","",0)</f>
      </c>
      <c r="O148" s="7">
        <f>IF($D148="","",IF(OR(L148=0,J148="",IFERROR(INDEX('Challan Master'!$D$4:$D$207,MATCH($B148,'Challan Master'!$S$4:$S$207,0)),"")="",IFERROR(INDEX('Challan Master'!$D$4:$D$207,MATCH($B148,'Challan Master'!$S$4:$S$207,0)),"")&lt;=0),0,IF(IFERROR(INDEX('Challan Master'!$D$4:$D$207,MATCH($B148,'Challan Master'!$S$4:$S$207,0)),"")&lt;=DATE(YEAR(J148),MONTH(J148)+1,7),0,ROUND(L148*0.015*((YEAR(IFERROR(INDEX('Challan Master'!$D$4:$D$207,MATCH($B148,'Challan Master'!$S$4:$S$207,0)),""))-YEAR(J148))*12+(MONTH(IFERROR(INDEX('Challan Master'!$D$4:$D$207,MATCH($B148,'Challan Master'!$S$4:$S$207,0)),""))-MONTH(J148))+1),0))))</f>
      </c>
      <c r="P148" s="7">
        <f>IF($D148="","",0)</f>
      </c>
      <c r="Q148" s="8"/>
      <c r="R148" s="8"/>
      <c r="S148" s="8"/>
      <c r="T148" s="8"/>
      <c r="U148" s="8"/>
      <c r="V148" s="7">
        <f>IF($B148="","",IFERROR(INDEX('Challan Master'!$AA$4:$AA$207,MATCH($B148,'Challan Master'!$S$4:$S$207,0)),""))</f>
      </c>
    </row>
    <row r="149" spans="1:22" x14ac:dyDescent="0.25">
      <c r="A149" s="7">
        <f>IF($D149="","",COUNTIF($D$4:$D149,"&lt;&gt;"))</f>
      </c>
      <c r="B149" s="8"/>
      <c r="C149" s="7">
        <f>IF($B149="","","BSR "&amp;IFERROR(INDEX('Challan Master'!$B$4:$B$207,MATCH($B149,'Challan Master'!$S$4:$S$207,0)),"")&amp;" | Serial "&amp;IFERROR(INDEX('Challan Master'!$C$4:$C$207,MATCH($B149,'Challan Master'!$S$4:$S$207,0)),"")&amp;" | Deposit "&amp;TEXT(IFERROR(INDEX('Challan Master'!$D$4:$D$207,MATCH($B149,'Challan Master'!$S$4:$S$207,0)),""),"dd-mm-yyyy")&amp;" | Minor Head "&amp;IFERROR(INDEX('Challan Master'!$E$4:$E$207,MATCH($B149,'Challan Master'!$S$4:$S$207,0)),"")&amp;" | Tax ₹"&amp;TEXT(IFERROR(INDEX('Challan Master'!$G$4:$G$207,MATCH($B149,'Challan Master'!$S$4:$S$207,0)),""),"#,##0")&amp;" | Section "&amp;IFERROR(INDEX('Challan Master'!$F$4:$F$207,MATCH($B149,'Challan Master'!$S$4:$S$207,0)),""))</f>
      </c>
      <c r="D149" s="8"/>
      <c r="E149" s="8"/>
      <c r="F149" s="7">
        <f>IF($D149="","",IF(AND(LEN(TRIM(UPPER(E149)))=10,CODE(MID(TRIM(UPPER(E149)),1,1))&gt;=65,CODE(MID(TRIM(UPPER(E149)),1,1))&lt;=90,CODE(MID(TRIM(UPPER(E149)),2,1))&gt;=65,CODE(MID(TRIM(UPPER(E149)),2,1))&lt;=90,CODE(MID(TRIM(UPPER(E149)),3,1))&gt;=65,CODE(MID(TRIM(UPPER(E149)),3,1))&lt;=90,CODE(MID(TRIM(UPPER(E149)),4,1))&gt;=65,CODE(MID(TRIM(UPPER(E149)),4,1))&lt;=90,CODE(MID(TRIM(UPPER(E149)),5,1))&gt;=65,CODE(MID(TRIM(UPPER(E149)),5,1))&lt;=90,CODE(MID(TRIM(UPPER(E149)),10,1))&gt;=65,CODE(MID(TRIM(UPPER(E149)),10,1))&lt;=90,CODE(MID(TRIM(UPPER(E149)),6,1))&gt;=48,CODE(MID(TRIM(UPPER(E149)),6,1))&lt;=57,CODE(MID(TRIM(UPPER(E149)),7,1))&gt;=48,CODE(MID(TRIM(UPPER(E149)),7,1))&lt;=57,CODE(MID(TRIM(UPPER(E149)),8,1))&gt;=48,CODE(MID(TRIM(UPPER(E149)),8,1))&lt;=57,CODE(MID(TRIM(UPPER(E149)),9,1))&gt;=48,CODE(MID(TRIM(UPPER(E149)),9,1))&lt;=57),"N","Y"))</f>
      </c>
      <c r="G149" s="7">
        <f>IF($D149="","",IF(LEN(E149)&lt;4,"",IF(UPPER(MID(E149,4,1))="P","Individual",IF(UPPER(MID(E149,4,1))="H","HUF",IF(UPPER(MID(E149,4,1))="C","Company",IF(UPPER(MID(E149,4,1))="F","Firm",IF(UPPER(MID(E149,4,1))="L","LLP",IF(UPPER(MID(E149,4,1))="T","Trust",IF(UPPER(MID(E149,4,1))="A","AOP","")))))))))</f>
      </c>
      <c r="H149" s="8"/>
      <c r="I149" s="7">
        <f>IF($D149="","",IF(H149="","",IF(F149="Y",SUMPRODUCT(('Rate Lookup'!$A$1:$A$37=H149)*'Rate Lookup'!$D$1:$D$37),IF(OR(G149="Individual",G149="HUF"),SUMPRODUCT(('Rate Lookup'!$A$1:$A$37=H149)*'Rate Lookup'!$B$1:$B$37),SUMPRODUCT(('Rate Lookup'!$A$1:$A$37=H149)*'Rate Lookup'!$C$1:$C$37)))))</f>
      </c>
      <c r="J149" s="8"/>
      <c r="K149" s="8"/>
      <c r="L149" s="7">
        <f>IF($D149="","",ROUND(K149*I149/100,0))</f>
      </c>
      <c r="M149" s="7">
        <f>IF($D149="","",0)</f>
      </c>
      <c r="N149" s="7">
        <f>IF($D149="","",0)</f>
      </c>
      <c r="O149" s="7">
        <f>IF($D149="","",IF(OR(L149=0,J149="",IFERROR(INDEX('Challan Master'!$D$4:$D$207,MATCH($B149,'Challan Master'!$S$4:$S$207,0)),"")="",IFERROR(INDEX('Challan Master'!$D$4:$D$207,MATCH($B149,'Challan Master'!$S$4:$S$207,0)),"")&lt;=0),0,IF(IFERROR(INDEX('Challan Master'!$D$4:$D$207,MATCH($B149,'Challan Master'!$S$4:$S$207,0)),"")&lt;=DATE(YEAR(J149),MONTH(J149)+1,7),0,ROUND(L149*0.015*((YEAR(IFERROR(INDEX('Challan Master'!$D$4:$D$207,MATCH($B149,'Challan Master'!$S$4:$S$207,0)),""))-YEAR(J149))*12+(MONTH(IFERROR(INDEX('Challan Master'!$D$4:$D$207,MATCH($B149,'Challan Master'!$S$4:$S$207,0)),""))-MONTH(J149))+1),0))))</f>
      </c>
      <c r="P149" s="7">
        <f>IF($D149="","",0)</f>
      </c>
      <c r="Q149" s="8"/>
      <c r="R149" s="8"/>
      <c r="S149" s="8"/>
      <c r="T149" s="8"/>
      <c r="U149" s="8"/>
      <c r="V149" s="7">
        <f>IF($B149="","",IFERROR(INDEX('Challan Master'!$AA$4:$AA$207,MATCH($B149,'Challan Master'!$S$4:$S$207,0)),""))</f>
      </c>
    </row>
    <row r="150" spans="1:22" x14ac:dyDescent="0.25">
      <c r="A150" s="7">
        <f>IF($D150="","",COUNTIF($D$4:$D150,"&lt;&gt;"))</f>
      </c>
      <c r="B150" s="8"/>
      <c r="C150" s="7">
        <f>IF($B150="","","BSR "&amp;IFERROR(INDEX('Challan Master'!$B$4:$B$207,MATCH($B150,'Challan Master'!$S$4:$S$207,0)),"")&amp;" | Serial "&amp;IFERROR(INDEX('Challan Master'!$C$4:$C$207,MATCH($B150,'Challan Master'!$S$4:$S$207,0)),"")&amp;" | Deposit "&amp;TEXT(IFERROR(INDEX('Challan Master'!$D$4:$D$207,MATCH($B150,'Challan Master'!$S$4:$S$207,0)),""),"dd-mm-yyyy")&amp;" | Minor Head "&amp;IFERROR(INDEX('Challan Master'!$E$4:$E$207,MATCH($B150,'Challan Master'!$S$4:$S$207,0)),"")&amp;" | Tax ₹"&amp;TEXT(IFERROR(INDEX('Challan Master'!$G$4:$G$207,MATCH($B150,'Challan Master'!$S$4:$S$207,0)),""),"#,##0")&amp;" | Section "&amp;IFERROR(INDEX('Challan Master'!$F$4:$F$207,MATCH($B150,'Challan Master'!$S$4:$S$207,0)),""))</f>
      </c>
      <c r="D150" s="8"/>
      <c r="E150" s="8"/>
      <c r="F150" s="7">
        <f>IF($D150="","",IF(AND(LEN(TRIM(UPPER(E150)))=10,CODE(MID(TRIM(UPPER(E150)),1,1))&gt;=65,CODE(MID(TRIM(UPPER(E150)),1,1))&lt;=90,CODE(MID(TRIM(UPPER(E150)),2,1))&gt;=65,CODE(MID(TRIM(UPPER(E150)),2,1))&lt;=90,CODE(MID(TRIM(UPPER(E150)),3,1))&gt;=65,CODE(MID(TRIM(UPPER(E150)),3,1))&lt;=90,CODE(MID(TRIM(UPPER(E150)),4,1))&gt;=65,CODE(MID(TRIM(UPPER(E150)),4,1))&lt;=90,CODE(MID(TRIM(UPPER(E150)),5,1))&gt;=65,CODE(MID(TRIM(UPPER(E150)),5,1))&lt;=90,CODE(MID(TRIM(UPPER(E150)),10,1))&gt;=65,CODE(MID(TRIM(UPPER(E150)),10,1))&lt;=90,CODE(MID(TRIM(UPPER(E150)),6,1))&gt;=48,CODE(MID(TRIM(UPPER(E150)),6,1))&lt;=57,CODE(MID(TRIM(UPPER(E150)),7,1))&gt;=48,CODE(MID(TRIM(UPPER(E150)),7,1))&lt;=57,CODE(MID(TRIM(UPPER(E150)),8,1))&gt;=48,CODE(MID(TRIM(UPPER(E150)),8,1))&lt;=57,CODE(MID(TRIM(UPPER(E150)),9,1))&gt;=48,CODE(MID(TRIM(UPPER(E150)),9,1))&lt;=57),"N","Y"))</f>
      </c>
      <c r="G150" s="7">
        <f>IF($D150="","",IF(LEN(E150)&lt;4,"",IF(UPPER(MID(E150,4,1))="P","Individual",IF(UPPER(MID(E150,4,1))="H","HUF",IF(UPPER(MID(E150,4,1))="C","Company",IF(UPPER(MID(E150,4,1))="F","Firm",IF(UPPER(MID(E150,4,1))="L","LLP",IF(UPPER(MID(E150,4,1))="T","Trust",IF(UPPER(MID(E150,4,1))="A","AOP","")))))))))</f>
      </c>
      <c r="H150" s="8"/>
      <c r="I150" s="7">
        <f>IF($D150="","",IF(H150="","",IF(F150="Y",SUMPRODUCT(('Rate Lookup'!$A$1:$A$37=H150)*'Rate Lookup'!$D$1:$D$37),IF(OR(G150="Individual",G150="HUF"),SUMPRODUCT(('Rate Lookup'!$A$1:$A$37=H150)*'Rate Lookup'!$B$1:$B$37),SUMPRODUCT(('Rate Lookup'!$A$1:$A$37=H150)*'Rate Lookup'!$C$1:$C$37)))))</f>
      </c>
      <c r="J150" s="8"/>
      <c r="K150" s="8"/>
      <c r="L150" s="7">
        <f>IF($D150="","",ROUND(K150*I150/100,0))</f>
      </c>
      <c r="M150" s="7">
        <f>IF($D150="","",0)</f>
      </c>
      <c r="N150" s="7">
        <f>IF($D150="","",0)</f>
      </c>
      <c r="O150" s="7">
        <f>IF($D150="","",IF(OR(L150=0,J150="",IFERROR(INDEX('Challan Master'!$D$4:$D$207,MATCH($B150,'Challan Master'!$S$4:$S$207,0)),"")="",IFERROR(INDEX('Challan Master'!$D$4:$D$207,MATCH($B150,'Challan Master'!$S$4:$S$207,0)),"")&lt;=0),0,IF(IFERROR(INDEX('Challan Master'!$D$4:$D$207,MATCH($B150,'Challan Master'!$S$4:$S$207,0)),"")&lt;=DATE(YEAR(J150),MONTH(J150)+1,7),0,ROUND(L150*0.015*((YEAR(IFERROR(INDEX('Challan Master'!$D$4:$D$207,MATCH($B150,'Challan Master'!$S$4:$S$207,0)),""))-YEAR(J150))*12+(MONTH(IFERROR(INDEX('Challan Master'!$D$4:$D$207,MATCH($B150,'Challan Master'!$S$4:$S$207,0)),""))-MONTH(J150))+1),0))))</f>
      </c>
      <c r="P150" s="7">
        <f>IF($D150="","",0)</f>
      </c>
      <c r="Q150" s="8"/>
      <c r="R150" s="8"/>
      <c r="S150" s="8"/>
      <c r="T150" s="8"/>
      <c r="U150" s="8"/>
      <c r="V150" s="7">
        <f>IF($B150="","",IFERROR(INDEX('Challan Master'!$AA$4:$AA$207,MATCH($B150,'Challan Master'!$S$4:$S$207,0)),""))</f>
      </c>
    </row>
    <row r="151" spans="1:22" x14ac:dyDescent="0.25">
      <c r="A151" s="7">
        <f>IF($D151="","",COUNTIF($D$4:$D151,"&lt;&gt;"))</f>
      </c>
      <c r="B151" s="8"/>
      <c r="C151" s="7">
        <f>IF($B151="","","BSR "&amp;IFERROR(INDEX('Challan Master'!$B$4:$B$207,MATCH($B151,'Challan Master'!$S$4:$S$207,0)),"")&amp;" | Serial "&amp;IFERROR(INDEX('Challan Master'!$C$4:$C$207,MATCH($B151,'Challan Master'!$S$4:$S$207,0)),"")&amp;" | Deposit "&amp;TEXT(IFERROR(INDEX('Challan Master'!$D$4:$D$207,MATCH($B151,'Challan Master'!$S$4:$S$207,0)),""),"dd-mm-yyyy")&amp;" | Minor Head "&amp;IFERROR(INDEX('Challan Master'!$E$4:$E$207,MATCH($B151,'Challan Master'!$S$4:$S$207,0)),"")&amp;" | Tax ₹"&amp;TEXT(IFERROR(INDEX('Challan Master'!$G$4:$G$207,MATCH($B151,'Challan Master'!$S$4:$S$207,0)),""),"#,##0")&amp;" | Section "&amp;IFERROR(INDEX('Challan Master'!$F$4:$F$207,MATCH($B151,'Challan Master'!$S$4:$S$207,0)),""))</f>
      </c>
      <c r="D151" s="8"/>
      <c r="E151" s="8"/>
      <c r="F151" s="7">
        <f>IF($D151="","",IF(AND(LEN(TRIM(UPPER(E151)))=10,CODE(MID(TRIM(UPPER(E151)),1,1))&gt;=65,CODE(MID(TRIM(UPPER(E151)),1,1))&lt;=90,CODE(MID(TRIM(UPPER(E151)),2,1))&gt;=65,CODE(MID(TRIM(UPPER(E151)),2,1))&lt;=90,CODE(MID(TRIM(UPPER(E151)),3,1))&gt;=65,CODE(MID(TRIM(UPPER(E151)),3,1))&lt;=90,CODE(MID(TRIM(UPPER(E151)),4,1))&gt;=65,CODE(MID(TRIM(UPPER(E151)),4,1))&lt;=90,CODE(MID(TRIM(UPPER(E151)),5,1))&gt;=65,CODE(MID(TRIM(UPPER(E151)),5,1))&lt;=90,CODE(MID(TRIM(UPPER(E151)),10,1))&gt;=65,CODE(MID(TRIM(UPPER(E151)),10,1))&lt;=90,CODE(MID(TRIM(UPPER(E151)),6,1))&gt;=48,CODE(MID(TRIM(UPPER(E151)),6,1))&lt;=57,CODE(MID(TRIM(UPPER(E151)),7,1))&gt;=48,CODE(MID(TRIM(UPPER(E151)),7,1))&lt;=57,CODE(MID(TRIM(UPPER(E151)),8,1))&gt;=48,CODE(MID(TRIM(UPPER(E151)),8,1))&lt;=57,CODE(MID(TRIM(UPPER(E151)),9,1))&gt;=48,CODE(MID(TRIM(UPPER(E151)),9,1))&lt;=57),"N","Y"))</f>
      </c>
      <c r="G151" s="7">
        <f>IF($D151="","",IF(LEN(E151)&lt;4,"",IF(UPPER(MID(E151,4,1))="P","Individual",IF(UPPER(MID(E151,4,1))="H","HUF",IF(UPPER(MID(E151,4,1))="C","Company",IF(UPPER(MID(E151,4,1))="F","Firm",IF(UPPER(MID(E151,4,1))="L","LLP",IF(UPPER(MID(E151,4,1))="T","Trust",IF(UPPER(MID(E151,4,1))="A","AOP","")))))))))</f>
      </c>
      <c r="H151" s="8"/>
      <c r="I151" s="7">
        <f>IF($D151="","",IF(H151="","",IF(F151="Y",SUMPRODUCT(('Rate Lookup'!$A$1:$A$37=H151)*'Rate Lookup'!$D$1:$D$37),IF(OR(G151="Individual",G151="HUF"),SUMPRODUCT(('Rate Lookup'!$A$1:$A$37=H151)*'Rate Lookup'!$B$1:$B$37),SUMPRODUCT(('Rate Lookup'!$A$1:$A$37=H151)*'Rate Lookup'!$C$1:$C$37)))))</f>
      </c>
      <c r="J151" s="8"/>
      <c r="K151" s="8"/>
      <c r="L151" s="7">
        <f>IF($D151="","",ROUND(K151*I151/100,0))</f>
      </c>
      <c r="M151" s="7">
        <f>IF($D151="","",0)</f>
      </c>
      <c r="N151" s="7">
        <f>IF($D151="","",0)</f>
      </c>
      <c r="O151" s="7">
        <f>IF($D151="","",IF(OR(L151=0,J151="",IFERROR(INDEX('Challan Master'!$D$4:$D$207,MATCH($B151,'Challan Master'!$S$4:$S$207,0)),"")="",IFERROR(INDEX('Challan Master'!$D$4:$D$207,MATCH($B151,'Challan Master'!$S$4:$S$207,0)),"")&lt;=0),0,IF(IFERROR(INDEX('Challan Master'!$D$4:$D$207,MATCH($B151,'Challan Master'!$S$4:$S$207,0)),"")&lt;=DATE(YEAR(J151),MONTH(J151)+1,7),0,ROUND(L151*0.015*((YEAR(IFERROR(INDEX('Challan Master'!$D$4:$D$207,MATCH($B151,'Challan Master'!$S$4:$S$207,0)),""))-YEAR(J151))*12+(MONTH(IFERROR(INDEX('Challan Master'!$D$4:$D$207,MATCH($B151,'Challan Master'!$S$4:$S$207,0)),""))-MONTH(J151))+1),0))))</f>
      </c>
      <c r="P151" s="7">
        <f>IF($D151="","",0)</f>
      </c>
      <c r="Q151" s="8"/>
      <c r="R151" s="8"/>
      <c r="S151" s="8"/>
      <c r="T151" s="8"/>
      <c r="U151" s="8"/>
      <c r="V151" s="7">
        <f>IF($B151="","",IFERROR(INDEX('Challan Master'!$AA$4:$AA$207,MATCH($B151,'Challan Master'!$S$4:$S$207,0)),""))</f>
      </c>
    </row>
    <row r="152" spans="1:22" x14ac:dyDescent="0.25">
      <c r="A152" s="7">
        <f>IF($D152="","",COUNTIF($D$4:$D152,"&lt;&gt;"))</f>
      </c>
      <c r="B152" s="8"/>
      <c r="C152" s="7">
        <f>IF($B152="","","BSR "&amp;IFERROR(INDEX('Challan Master'!$B$4:$B$207,MATCH($B152,'Challan Master'!$S$4:$S$207,0)),"")&amp;" | Serial "&amp;IFERROR(INDEX('Challan Master'!$C$4:$C$207,MATCH($B152,'Challan Master'!$S$4:$S$207,0)),"")&amp;" | Deposit "&amp;TEXT(IFERROR(INDEX('Challan Master'!$D$4:$D$207,MATCH($B152,'Challan Master'!$S$4:$S$207,0)),""),"dd-mm-yyyy")&amp;" | Minor Head "&amp;IFERROR(INDEX('Challan Master'!$E$4:$E$207,MATCH($B152,'Challan Master'!$S$4:$S$207,0)),"")&amp;" | Tax ₹"&amp;TEXT(IFERROR(INDEX('Challan Master'!$G$4:$G$207,MATCH($B152,'Challan Master'!$S$4:$S$207,0)),""),"#,##0")&amp;" | Section "&amp;IFERROR(INDEX('Challan Master'!$F$4:$F$207,MATCH($B152,'Challan Master'!$S$4:$S$207,0)),""))</f>
      </c>
      <c r="D152" s="8"/>
      <c r="E152" s="8"/>
      <c r="F152" s="7">
        <f>IF($D152="","",IF(AND(LEN(TRIM(UPPER(E152)))=10,CODE(MID(TRIM(UPPER(E152)),1,1))&gt;=65,CODE(MID(TRIM(UPPER(E152)),1,1))&lt;=90,CODE(MID(TRIM(UPPER(E152)),2,1))&gt;=65,CODE(MID(TRIM(UPPER(E152)),2,1))&lt;=90,CODE(MID(TRIM(UPPER(E152)),3,1))&gt;=65,CODE(MID(TRIM(UPPER(E152)),3,1))&lt;=90,CODE(MID(TRIM(UPPER(E152)),4,1))&gt;=65,CODE(MID(TRIM(UPPER(E152)),4,1))&lt;=90,CODE(MID(TRIM(UPPER(E152)),5,1))&gt;=65,CODE(MID(TRIM(UPPER(E152)),5,1))&lt;=90,CODE(MID(TRIM(UPPER(E152)),10,1))&gt;=65,CODE(MID(TRIM(UPPER(E152)),10,1))&lt;=90,CODE(MID(TRIM(UPPER(E152)),6,1))&gt;=48,CODE(MID(TRIM(UPPER(E152)),6,1))&lt;=57,CODE(MID(TRIM(UPPER(E152)),7,1))&gt;=48,CODE(MID(TRIM(UPPER(E152)),7,1))&lt;=57,CODE(MID(TRIM(UPPER(E152)),8,1))&gt;=48,CODE(MID(TRIM(UPPER(E152)),8,1))&lt;=57,CODE(MID(TRIM(UPPER(E152)),9,1))&gt;=48,CODE(MID(TRIM(UPPER(E152)),9,1))&lt;=57),"N","Y"))</f>
      </c>
      <c r="G152" s="7">
        <f>IF($D152="","",IF(LEN(E152)&lt;4,"",IF(UPPER(MID(E152,4,1))="P","Individual",IF(UPPER(MID(E152,4,1))="H","HUF",IF(UPPER(MID(E152,4,1))="C","Company",IF(UPPER(MID(E152,4,1))="F","Firm",IF(UPPER(MID(E152,4,1))="L","LLP",IF(UPPER(MID(E152,4,1))="T","Trust",IF(UPPER(MID(E152,4,1))="A","AOP","")))))))))</f>
      </c>
      <c r="H152" s="8"/>
      <c r="I152" s="7">
        <f>IF($D152="","",IF(H152="","",IF(F152="Y",SUMPRODUCT(('Rate Lookup'!$A$1:$A$37=H152)*'Rate Lookup'!$D$1:$D$37),IF(OR(G152="Individual",G152="HUF"),SUMPRODUCT(('Rate Lookup'!$A$1:$A$37=H152)*'Rate Lookup'!$B$1:$B$37),SUMPRODUCT(('Rate Lookup'!$A$1:$A$37=H152)*'Rate Lookup'!$C$1:$C$37)))))</f>
      </c>
      <c r="J152" s="8"/>
      <c r="K152" s="8"/>
      <c r="L152" s="7">
        <f>IF($D152="","",ROUND(K152*I152/100,0))</f>
      </c>
      <c r="M152" s="7">
        <f>IF($D152="","",0)</f>
      </c>
      <c r="N152" s="7">
        <f>IF($D152="","",0)</f>
      </c>
      <c r="O152" s="7">
        <f>IF($D152="","",IF(OR(L152=0,J152="",IFERROR(INDEX('Challan Master'!$D$4:$D$207,MATCH($B152,'Challan Master'!$S$4:$S$207,0)),"")="",IFERROR(INDEX('Challan Master'!$D$4:$D$207,MATCH($B152,'Challan Master'!$S$4:$S$207,0)),"")&lt;=0),0,IF(IFERROR(INDEX('Challan Master'!$D$4:$D$207,MATCH($B152,'Challan Master'!$S$4:$S$207,0)),"")&lt;=DATE(YEAR(J152),MONTH(J152)+1,7),0,ROUND(L152*0.015*((YEAR(IFERROR(INDEX('Challan Master'!$D$4:$D$207,MATCH($B152,'Challan Master'!$S$4:$S$207,0)),""))-YEAR(J152))*12+(MONTH(IFERROR(INDEX('Challan Master'!$D$4:$D$207,MATCH($B152,'Challan Master'!$S$4:$S$207,0)),""))-MONTH(J152))+1),0))))</f>
      </c>
      <c r="P152" s="7">
        <f>IF($D152="","",0)</f>
      </c>
      <c r="Q152" s="8"/>
      <c r="R152" s="8"/>
      <c r="S152" s="8"/>
      <c r="T152" s="8"/>
      <c r="U152" s="8"/>
      <c r="V152" s="7">
        <f>IF($B152="","",IFERROR(INDEX('Challan Master'!$AA$4:$AA$207,MATCH($B152,'Challan Master'!$S$4:$S$207,0)),""))</f>
      </c>
    </row>
    <row r="153" spans="1:22" x14ac:dyDescent="0.25">
      <c r="A153" s="7">
        <f>IF($D153="","",COUNTIF($D$4:$D153,"&lt;&gt;"))</f>
      </c>
      <c r="B153" s="8"/>
      <c r="C153" s="7">
        <f>IF($B153="","","BSR "&amp;IFERROR(INDEX('Challan Master'!$B$4:$B$207,MATCH($B153,'Challan Master'!$S$4:$S$207,0)),"")&amp;" | Serial "&amp;IFERROR(INDEX('Challan Master'!$C$4:$C$207,MATCH($B153,'Challan Master'!$S$4:$S$207,0)),"")&amp;" | Deposit "&amp;TEXT(IFERROR(INDEX('Challan Master'!$D$4:$D$207,MATCH($B153,'Challan Master'!$S$4:$S$207,0)),""),"dd-mm-yyyy")&amp;" | Minor Head "&amp;IFERROR(INDEX('Challan Master'!$E$4:$E$207,MATCH($B153,'Challan Master'!$S$4:$S$207,0)),"")&amp;" | Tax ₹"&amp;TEXT(IFERROR(INDEX('Challan Master'!$G$4:$G$207,MATCH($B153,'Challan Master'!$S$4:$S$207,0)),""),"#,##0")&amp;" | Section "&amp;IFERROR(INDEX('Challan Master'!$F$4:$F$207,MATCH($B153,'Challan Master'!$S$4:$S$207,0)),""))</f>
      </c>
      <c r="D153" s="8"/>
      <c r="E153" s="8"/>
      <c r="F153" s="7">
        <f>IF($D153="","",IF(AND(LEN(TRIM(UPPER(E153)))=10,CODE(MID(TRIM(UPPER(E153)),1,1))&gt;=65,CODE(MID(TRIM(UPPER(E153)),1,1))&lt;=90,CODE(MID(TRIM(UPPER(E153)),2,1))&gt;=65,CODE(MID(TRIM(UPPER(E153)),2,1))&lt;=90,CODE(MID(TRIM(UPPER(E153)),3,1))&gt;=65,CODE(MID(TRIM(UPPER(E153)),3,1))&lt;=90,CODE(MID(TRIM(UPPER(E153)),4,1))&gt;=65,CODE(MID(TRIM(UPPER(E153)),4,1))&lt;=90,CODE(MID(TRIM(UPPER(E153)),5,1))&gt;=65,CODE(MID(TRIM(UPPER(E153)),5,1))&lt;=90,CODE(MID(TRIM(UPPER(E153)),10,1))&gt;=65,CODE(MID(TRIM(UPPER(E153)),10,1))&lt;=90,CODE(MID(TRIM(UPPER(E153)),6,1))&gt;=48,CODE(MID(TRIM(UPPER(E153)),6,1))&lt;=57,CODE(MID(TRIM(UPPER(E153)),7,1))&gt;=48,CODE(MID(TRIM(UPPER(E153)),7,1))&lt;=57,CODE(MID(TRIM(UPPER(E153)),8,1))&gt;=48,CODE(MID(TRIM(UPPER(E153)),8,1))&lt;=57,CODE(MID(TRIM(UPPER(E153)),9,1))&gt;=48,CODE(MID(TRIM(UPPER(E153)),9,1))&lt;=57),"N","Y"))</f>
      </c>
      <c r="G153" s="7">
        <f>IF($D153="","",IF(LEN(E153)&lt;4,"",IF(UPPER(MID(E153,4,1))="P","Individual",IF(UPPER(MID(E153,4,1))="H","HUF",IF(UPPER(MID(E153,4,1))="C","Company",IF(UPPER(MID(E153,4,1))="F","Firm",IF(UPPER(MID(E153,4,1))="L","LLP",IF(UPPER(MID(E153,4,1))="T","Trust",IF(UPPER(MID(E153,4,1))="A","AOP","")))))))))</f>
      </c>
      <c r="H153" s="8"/>
      <c r="I153" s="7">
        <f>IF($D153="","",IF(H153="","",IF(F153="Y",SUMPRODUCT(('Rate Lookup'!$A$1:$A$37=H153)*'Rate Lookup'!$D$1:$D$37),IF(OR(G153="Individual",G153="HUF"),SUMPRODUCT(('Rate Lookup'!$A$1:$A$37=H153)*'Rate Lookup'!$B$1:$B$37),SUMPRODUCT(('Rate Lookup'!$A$1:$A$37=H153)*'Rate Lookup'!$C$1:$C$37)))))</f>
      </c>
      <c r="J153" s="8"/>
      <c r="K153" s="8"/>
      <c r="L153" s="7">
        <f>IF($D153="","",ROUND(K153*I153/100,0))</f>
      </c>
      <c r="M153" s="7">
        <f>IF($D153="","",0)</f>
      </c>
      <c r="N153" s="7">
        <f>IF($D153="","",0)</f>
      </c>
      <c r="O153" s="7">
        <f>IF($D153="","",IF(OR(L153=0,J153="",IFERROR(INDEX('Challan Master'!$D$4:$D$207,MATCH($B153,'Challan Master'!$S$4:$S$207,0)),"")="",IFERROR(INDEX('Challan Master'!$D$4:$D$207,MATCH($B153,'Challan Master'!$S$4:$S$207,0)),"")&lt;=0),0,IF(IFERROR(INDEX('Challan Master'!$D$4:$D$207,MATCH($B153,'Challan Master'!$S$4:$S$207,0)),"")&lt;=DATE(YEAR(J153),MONTH(J153)+1,7),0,ROUND(L153*0.015*((YEAR(IFERROR(INDEX('Challan Master'!$D$4:$D$207,MATCH($B153,'Challan Master'!$S$4:$S$207,0)),""))-YEAR(J153))*12+(MONTH(IFERROR(INDEX('Challan Master'!$D$4:$D$207,MATCH($B153,'Challan Master'!$S$4:$S$207,0)),""))-MONTH(J153))+1),0))))</f>
      </c>
      <c r="P153" s="7">
        <f>IF($D153="","",0)</f>
      </c>
      <c r="Q153" s="8"/>
      <c r="R153" s="8"/>
      <c r="S153" s="8"/>
      <c r="T153" s="8"/>
      <c r="U153" s="8"/>
      <c r="V153" s="7">
        <f>IF($B153="","",IFERROR(INDEX('Challan Master'!$AA$4:$AA$207,MATCH($B153,'Challan Master'!$S$4:$S$207,0)),""))</f>
      </c>
    </row>
    <row r="154" spans="1:22" x14ac:dyDescent="0.25">
      <c r="A154" s="7">
        <f>IF($D154="","",COUNTIF($D$4:$D154,"&lt;&gt;"))</f>
      </c>
      <c r="B154" s="8"/>
      <c r="C154" s="7">
        <f>IF($B154="","","BSR "&amp;IFERROR(INDEX('Challan Master'!$B$4:$B$207,MATCH($B154,'Challan Master'!$S$4:$S$207,0)),"")&amp;" | Serial "&amp;IFERROR(INDEX('Challan Master'!$C$4:$C$207,MATCH($B154,'Challan Master'!$S$4:$S$207,0)),"")&amp;" | Deposit "&amp;TEXT(IFERROR(INDEX('Challan Master'!$D$4:$D$207,MATCH($B154,'Challan Master'!$S$4:$S$207,0)),""),"dd-mm-yyyy")&amp;" | Minor Head "&amp;IFERROR(INDEX('Challan Master'!$E$4:$E$207,MATCH($B154,'Challan Master'!$S$4:$S$207,0)),"")&amp;" | Tax ₹"&amp;TEXT(IFERROR(INDEX('Challan Master'!$G$4:$G$207,MATCH($B154,'Challan Master'!$S$4:$S$207,0)),""),"#,##0")&amp;" | Section "&amp;IFERROR(INDEX('Challan Master'!$F$4:$F$207,MATCH($B154,'Challan Master'!$S$4:$S$207,0)),""))</f>
      </c>
      <c r="D154" s="8"/>
      <c r="E154" s="8"/>
      <c r="F154" s="7">
        <f>IF($D154="","",IF(AND(LEN(TRIM(UPPER(E154)))=10,CODE(MID(TRIM(UPPER(E154)),1,1))&gt;=65,CODE(MID(TRIM(UPPER(E154)),1,1))&lt;=90,CODE(MID(TRIM(UPPER(E154)),2,1))&gt;=65,CODE(MID(TRIM(UPPER(E154)),2,1))&lt;=90,CODE(MID(TRIM(UPPER(E154)),3,1))&gt;=65,CODE(MID(TRIM(UPPER(E154)),3,1))&lt;=90,CODE(MID(TRIM(UPPER(E154)),4,1))&gt;=65,CODE(MID(TRIM(UPPER(E154)),4,1))&lt;=90,CODE(MID(TRIM(UPPER(E154)),5,1))&gt;=65,CODE(MID(TRIM(UPPER(E154)),5,1))&lt;=90,CODE(MID(TRIM(UPPER(E154)),10,1))&gt;=65,CODE(MID(TRIM(UPPER(E154)),10,1))&lt;=90,CODE(MID(TRIM(UPPER(E154)),6,1))&gt;=48,CODE(MID(TRIM(UPPER(E154)),6,1))&lt;=57,CODE(MID(TRIM(UPPER(E154)),7,1))&gt;=48,CODE(MID(TRIM(UPPER(E154)),7,1))&lt;=57,CODE(MID(TRIM(UPPER(E154)),8,1))&gt;=48,CODE(MID(TRIM(UPPER(E154)),8,1))&lt;=57,CODE(MID(TRIM(UPPER(E154)),9,1))&gt;=48,CODE(MID(TRIM(UPPER(E154)),9,1))&lt;=57),"N","Y"))</f>
      </c>
      <c r="G154" s="7">
        <f>IF($D154="","",IF(LEN(E154)&lt;4,"",IF(UPPER(MID(E154,4,1))="P","Individual",IF(UPPER(MID(E154,4,1))="H","HUF",IF(UPPER(MID(E154,4,1))="C","Company",IF(UPPER(MID(E154,4,1))="F","Firm",IF(UPPER(MID(E154,4,1))="L","LLP",IF(UPPER(MID(E154,4,1))="T","Trust",IF(UPPER(MID(E154,4,1))="A","AOP","")))))))))</f>
      </c>
      <c r="H154" s="8"/>
      <c r="I154" s="7">
        <f>IF($D154="","",IF(H154="","",IF(F154="Y",SUMPRODUCT(('Rate Lookup'!$A$1:$A$37=H154)*'Rate Lookup'!$D$1:$D$37),IF(OR(G154="Individual",G154="HUF"),SUMPRODUCT(('Rate Lookup'!$A$1:$A$37=H154)*'Rate Lookup'!$B$1:$B$37),SUMPRODUCT(('Rate Lookup'!$A$1:$A$37=H154)*'Rate Lookup'!$C$1:$C$37)))))</f>
      </c>
      <c r="J154" s="8"/>
      <c r="K154" s="8"/>
      <c r="L154" s="7">
        <f>IF($D154="","",ROUND(K154*I154/100,0))</f>
      </c>
      <c r="M154" s="7">
        <f>IF($D154="","",0)</f>
      </c>
      <c r="N154" s="7">
        <f>IF($D154="","",0)</f>
      </c>
      <c r="O154" s="7">
        <f>IF($D154="","",IF(OR(L154=0,J154="",IFERROR(INDEX('Challan Master'!$D$4:$D$207,MATCH($B154,'Challan Master'!$S$4:$S$207,0)),"")="",IFERROR(INDEX('Challan Master'!$D$4:$D$207,MATCH($B154,'Challan Master'!$S$4:$S$207,0)),"")&lt;=0),0,IF(IFERROR(INDEX('Challan Master'!$D$4:$D$207,MATCH($B154,'Challan Master'!$S$4:$S$207,0)),"")&lt;=DATE(YEAR(J154),MONTH(J154)+1,7),0,ROUND(L154*0.015*((YEAR(IFERROR(INDEX('Challan Master'!$D$4:$D$207,MATCH($B154,'Challan Master'!$S$4:$S$207,0)),""))-YEAR(J154))*12+(MONTH(IFERROR(INDEX('Challan Master'!$D$4:$D$207,MATCH($B154,'Challan Master'!$S$4:$S$207,0)),""))-MONTH(J154))+1),0))))</f>
      </c>
      <c r="P154" s="7">
        <f>IF($D154="","",0)</f>
      </c>
      <c r="Q154" s="8"/>
      <c r="R154" s="8"/>
      <c r="S154" s="8"/>
      <c r="T154" s="8"/>
      <c r="U154" s="8"/>
      <c r="V154" s="7">
        <f>IF($B154="","",IFERROR(INDEX('Challan Master'!$AA$4:$AA$207,MATCH($B154,'Challan Master'!$S$4:$S$207,0)),""))</f>
      </c>
    </row>
    <row r="155" spans="1:22" x14ac:dyDescent="0.25">
      <c r="A155" s="7">
        <f>IF($D155="","",COUNTIF($D$4:$D155,"&lt;&gt;"))</f>
      </c>
      <c r="B155" s="8"/>
      <c r="C155" s="7">
        <f>IF($B155="","","BSR "&amp;IFERROR(INDEX('Challan Master'!$B$4:$B$207,MATCH($B155,'Challan Master'!$S$4:$S$207,0)),"")&amp;" | Serial "&amp;IFERROR(INDEX('Challan Master'!$C$4:$C$207,MATCH($B155,'Challan Master'!$S$4:$S$207,0)),"")&amp;" | Deposit "&amp;TEXT(IFERROR(INDEX('Challan Master'!$D$4:$D$207,MATCH($B155,'Challan Master'!$S$4:$S$207,0)),""),"dd-mm-yyyy")&amp;" | Minor Head "&amp;IFERROR(INDEX('Challan Master'!$E$4:$E$207,MATCH($B155,'Challan Master'!$S$4:$S$207,0)),"")&amp;" | Tax ₹"&amp;TEXT(IFERROR(INDEX('Challan Master'!$G$4:$G$207,MATCH($B155,'Challan Master'!$S$4:$S$207,0)),""),"#,##0")&amp;" | Section "&amp;IFERROR(INDEX('Challan Master'!$F$4:$F$207,MATCH($B155,'Challan Master'!$S$4:$S$207,0)),""))</f>
      </c>
      <c r="D155" s="8"/>
      <c r="E155" s="8"/>
      <c r="F155" s="7">
        <f>IF($D155="","",IF(AND(LEN(TRIM(UPPER(E155)))=10,CODE(MID(TRIM(UPPER(E155)),1,1))&gt;=65,CODE(MID(TRIM(UPPER(E155)),1,1))&lt;=90,CODE(MID(TRIM(UPPER(E155)),2,1))&gt;=65,CODE(MID(TRIM(UPPER(E155)),2,1))&lt;=90,CODE(MID(TRIM(UPPER(E155)),3,1))&gt;=65,CODE(MID(TRIM(UPPER(E155)),3,1))&lt;=90,CODE(MID(TRIM(UPPER(E155)),4,1))&gt;=65,CODE(MID(TRIM(UPPER(E155)),4,1))&lt;=90,CODE(MID(TRIM(UPPER(E155)),5,1))&gt;=65,CODE(MID(TRIM(UPPER(E155)),5,1))&lt;=90,CODE(MID(TRIM(UPPER(E155)),10,1))&gt;=65,CODE(MID(TRIM(UPPER(E155)),10,1))&lt;=90,CODE(MID(TRIM(UPPER(E155)),6,1))&gt;=48,CODE(MID(TRIM(UPPER(E155)),6,1))&lt;=57,CODE(MID(TRIM(UPPER(E155)),7,1))&gt;=48,CODE(MID(TRIM(UPPER(E155)),7,1))&lt;=57,CODE(MID(TRIM(UPPER(E155)),8,1))&gt;=48,CODE(MID(TRIM(UPPER(E155)),8,1))&lt;=57,CODE(MID(TRIM(UPPER(E155)),9,1))&gt;=48,CODE(MID(TRIM(UPPER(E155)),9,1))&lt;=57),"N","Y"))</f>
      </c>
      <c r="G155" s="7">
        <f>IF($D155="","",IF(LEN(E155)&lt;4,"",IF(UPPER(MID(E155,4,1))="P","Individual",IF(UPPER(MID(E155,4,1))="H","HUF",IF(UPPER(MID(E155,4,1))="C","Company",IF(UPPER(MID(E155,4,1))="F","Firm",IF(UPPER(MID(E155,4,1))="L","LLP",IF(UPPER(MID(E155,4,1))="T","Trust",IF(UPPER(MID(E155,4,1))="A","AOP","")))))))))</f>
      </c>
      <c r="H155" s="8"/>
      <c r="I155" s="7">
        <f>IF($D155="","",IF(H155="","",IF(F155="Y",SUMPRODUCT(('Rate Lookup'!$A$1:$A$37=H155)*'Rate Lookup'!$D$1:$D$37),IF(OR(G155="Individual",G155="HUF"),SUMPRODUCT(('Rate Lookup'!$A$1:$A$37=H155)*'Rate Lookup'!$B$1:$B$37),SUMPRODUCT(('Rate Lookup'!$A$1:$A$37=H155)*'Rate Lookup'!$C$1:$C$37)))))</f>
      </c>
      <c r="J155" s="8"/>
      <c r="K155" s="8"/>
      <c r="L155" s="7">
        <f>IF($D155="","",ROUND(K155*I155/100,0))</f>
      </c>
      <c r="M155" s="7">
        <f>IF($D155="","",0)</f>
      </c>
      <c r="N155" s="7">
        <f>IF($D155="","",0)</f>
      </c>
      <c r="O155" s="7">
        <f>IF($D155="","",IF(OR(L155=0,J155="",IFERROR(INDEX('Challan Master'!$D$4:$D$207,MATCH($B155,'Challan Master'!$S$4:$S$207,0)),"")="",IFERROR(INDEX('Challan Master'!$D$4:$D$207,MATCH($B155,'Challan Master'!$S$4:$S$207,0)),"")&lt;=0),0,IF(IFERROR(INDEX('Challan Master'!$D$4:$D$207,MATCH($B155,'Challan Master'!$S$4:$S$207,0)),"")&lt;=DATE(YEAR(J155),MONTH(J155)+1,7),0,ROUND(L155*0.015*((YEAR(IFERROR(INDEX('Challan Master'!$D$4:$D$207,MATCH($B155,'Challan Master'!$S$4:$S$207,0)),""))-YEAR(J155))*12+(MONTH(IFERROR(INDEX('Challan Master'!$D$4:$D$207,MATCH($B155,'Challan Master'!$S$4:$S$207,0)),""))-MONTH(J155))+1),0))))</f>
      </c>
      <c r="P155" s="7">
        <f>IF($D155="","",0)</f>
      </c>
      <c r="Q155" s="8"/>
      <c r="R155" s="8"/>
      <c r="S155" s="8"/>
      <c r="T155" s="8"/>
      <c r="U155" s="8"/>
      <c r="V155" s="7">
        <f>IF($B155="","",IFERROR(INDEX('Challan Master'!$AA$4:$AA$207,MATCH($B155,'Challan Master'!$S$4:$S$207,0)),""))</f>
      </c>
    </row>
    <row r="156" spans="1:22" x14ac:dyDescent="0.25">
      <c r="A156" s="7">
        <f>IF($D156="","",COUNTIF($D$4:$D156,"&lt;&gt;"))</f>
      </c>
      <c r="B156" s="8"/>
      <c r="C156" s="7">
        <f>IF($B156="","","BSR "&amp;IFERROR(INDEX('Challan Master'!$B$4:$B$207,MATCH($B156,'Challan Master'!$S$4:$S$207,0)),"")&amp;" | Serial "&amp;IFERROR(INDEX('Challan Master'!$C$4:$C$207,MATCH($B156,'Challan Master'!$S$4:$S$207,0)),"")&amp;" | Deposit "&amp;TEXT(IFERROR(INDEX('Challan Master'!$D$4:$D$207,MATCH($B156,'Challan Master'!$S$4:$S$207,0)),""),"dd-mm-yyyy")&amp;" | Minor Head "&amp;IFERROR(INDEX('Challan Master'!$E$4:$E$207,MATCH($B156,'Challan Master'!$S$4:$S$207,0)),"")&amp;" | Tax ₹"&amp;TEXT(IFERROR(INDEX('Challan Master'!$G$4:$G$207,MATCH($B156,'Challan Master'!$S$4:$S$207,0)),""),"#,##0")&amp;" | Section "&amp;IFERROR(INDEX('Challan Master'!$F$4:$F$207,MATCH($B156,'Challan Master'!$S$4:$S$207,0)),""))</f>
      </c>
      <c r="D156" s="8"/>
      <c r="E156" s="8"/>
      <c r="F156" s="7">
        <f>IF($D156="","",IF(AND(LEN(TRIM(UPPER(E156)))=10,CODE(MID(TRIM(UPPER(E156)),1,1))&gt;=65,CODE(MID(TRIM(UPPER(E156)),1,1))&lt;=90,CODE(MID(TRIM(UPPER(E156)),2,1))&gt;=65,CODE(MID(TRIM(UPPER(E156)),2,1))&lt;=90,CODE(MID(TRIM(UPPER(E156)),3,1))&gt;=65,CODE(MID(TRIM(UPPER(E156)),3,1))&lt;=90,CODE(MID(TRIM(UPPER(E156)),4,1))&gt;=65,CODE(MID(TRIM(UPPER(E156)),4,1))&lt;=90,CODE(MID(TRIM(UPPER(E156)),5,1))&gt;=65,CODE(MID(TRIM(UPPER(E156)),5,1))&lt;=90,CODE(MID(TRIM(UPPER(E156)),10,1))&gt;=65,CODE(MID(TRIM(UPPER(E156)),10,1))&lt;=90,CODE(MID(TRIM(UPPER(E156)),6,1))&gt;=48,CODE(MID(TRIM(UPPER(E156)),6,1))&lt;=57,CODE(MID(TRIM(UPPER(E156)),7,1))&gt;=48,CODE(MID(TRIM(UPPER(E156)),7,1))&lt;=57,CODE(MID(TRIM(UPPER(E156)),8,1))&gt;=48,CODE(MID(TRIM(UPPER(E156)),8,1))&lt;=57,CODE(MID(TRIM(UPPER(E156)),9,1))&gt;=48,CODE(MID(TRIM(UPPER(E156)),9,1))&lt;=57),"N","Y"))</f>
      </c>
      <c r="G156" s="7">
        <f>IF($D156="","",IF(LEN(E156)&lt;4,"",IF(UPPER(MID(E156,4,1))="P","Individual",IF(UPPER(MID(E156,4,1))="H","HUF",IF(UPPER(MID(E156,4,1))="C","Company",IF(UPPER(MID(E156,4,1))="F","Firm",IF(UPPER(MID(E156,4,1))="L","LLP",IF(UPPER(MID(E156,4,1))="T","Trust",IF(UPPER(MID(E156,4,1))="A","AOP","")))))))))</f>
      </c>
      <c r="H156" s="8"/>
      <c r="I156" s="7">
        <f>IF($D156="","",IF(H156="","",IF(F156="Y",SUMPRODUCT(('Rate Lookup'!$A$1:$A$37=H156)*'Rate Lookup'!$D$1:$D$37),IF(OR(G156="Individual",G156="HUF"),SUMPRODUCT(('Rate Lookup'!$A$1:$A$37=H156)*'Rate Lookup'!$B$1:$B$37),SUMPRODUCT(('Rate Lookup'!$A$1:$A$37=H156)*'Rate Lookup'!$C$1:$C$37)))))</f>
      </c>
      <c r="J156" s="8"/>
      <c r="K156" s="8"/>
      <c r="L156" s="7">
        <f>IF($D156="","",ROUND(K156*I156/100,0))</f>
      </c>
      <c r="M156" s="7">
        <f>IF($D156="","",0)</f>
      </c>
      <c r="N156" s="7">
        <f>IF($D156="","",0)</f>
      </c>
      <c r="O156" s="7">
        <f>IF($D156="","",IF(OR(L156=0,J156="",IFERROR(INDEX('Challan Master'!$D$4:$D$207,MATCH($B156,'Challan Master'!$S$4:$S$207,0)),"")="",IFERROR(INDEX('Challan Master'!$D$4:$D$207,MATCH($B156,'Challan Master'!$S$4:$S$207,0)),"")&lt;=0),0,IF(IFERROR(INDEX('Challan Master'!$D$4:$D$207,MATCH($B156,'Challan Master'!$S$4:$S$207,0)),"")&lt;=DATE(YEAR(J156),MONTH(J156)+1,7),0,ROUND(L156*0.015*((YEAR(IFERROR(INDEX('Challan Master'!$D$4:$D$207,MATCH($B156,'Challan Master'!$S$4:$S$207,0)),""))-YEAR(J156))*12+(MONTH(IFERROR(INDEX('Challan Master'!$D$4:$D$207,MATCH($B156,'Challan Master'!$S$4:$S$207,0)),""))-MONTH(J156))+1),0))))</f>
      </c>
      <c r="P156" s="7">
        <f>IF($D156="","",0)</f>
      </c>
      <c r="Q156" s="8"/>
      <c r="R156" s="8"/>
      <c r="S156" s="8"/>
      <c r="T156" s="8"/>
      <c r="U156" s="8"/>
      <c r="V156" s="7">
        <f>IF($B156="","",IFERROR(INDEX('Challan Master'!$AA$4:$AA$207,MATCH($B156,'Challan Master'!$S$4:$S$207,0)),""))</f>
      </c>
    </row>
    <row r="157" spans="1:22" x14ac:dyDescent="0.25">
      <c r="A157" s="7">
        <f>IF($D157="","",COUNTIF($D$4:$D157,"&lt;&gt;"))</f>
      </c>
      <c r="B157" s="8"/>
      <c r="C157" s="7">
        <f>IF($B157="","","BSR "&amp;IFERROR(INDEX('Challan Master'!$B$4:$B$207,MATCH($B157,'Challan Master'!$S$4:$S$207,0)),"")&amp;" | Serial "&amp;IFERROR(INDEX('Challan Master'!$C$4:$C$207,MATCH($B157,'Challan Master'!$S$4:$S$207,0)),"")&amp;" | Deposit "&amp;TEXT(IFERROR(INDEX('Challan Master'!$D$4:$D$207,MATCH($B157,'Challan Master'!$S$4:$S$207,0)),""),"dd-mm-yyyy")&amp;" | Minor Head "&amp;IFERROR(INDEX('Challan Master'!$E$4:$E$207,MATCH($B157,'Challan Master'!$S$4:$S$207,0)),"")&amp;" | Tax ₹"&amp;TEXT(IFERROR(INDEX('Challan Master'!$G$4:$G$207,MATCH($B157,'Challan Master'!$S$4:$S$207,0)),""),"#,##0")&amp;" | Section "&amp;IFERROR(INDEX('Challan Master'!$F$4:$F$207,MATCH($B157,'Challan Master'!$S$4:$S$207,0)),""))</f>
      </c>
      <c r="D157" s="8"/>
      <c r="E157" s="8"/>
      <c r="F157" s="7">
        <f>IF($D157="","",IF(AND(LEN(TRIM(UPPER(E157)))=10,CODE(MID(TRIM(UPPER(E157)),1,1))&gt;=65,CODE(MID(TRIM(UPPER(E157)),1,1))&lt;=90,CODE(MID(TRIM(UPPER(E157)),2,1))&gt;=65,CODE(MID(TRIM(UPPER(E157)),2,1))&lt;=90,CODE(MID(TRIM(UPPER(E157)),3,1))&gt;=65,CODE(MID(TRIM(UPPER(E157)),3,1))&lt;=90,CODE(MID(TRIM(UPPER(E157)),4,1))&gt;=65,CODE(MID(TRIM(UPPER(E157)),4,1))&lt;=90,CODE(MID(TRIM(UPPER(E157)),5,1))&gt;=65,CODE(MID(TRIM(UPPER(E157)),5,1))&lt;=90,CODE(MID(TRIM(UPPER(E157)),10,1))&gt;=65,CODE(MID(TRIM(UPPER(E157)),10,1))&lt;=90,CODE(MID(TRIM(UPPER(E157)),6,1))&gt;=48,CODE(MID(TRIM(UPPER(E157)),6,1))&lt;=57,CODE(MID(TRIM(UPPER(E157)),7,1))&gt;=48,CODE(MID(TRIM(UPPER(E157)),7,1))&lt;=57,CODE(MID(TRIM(UPPER(E157)),8,1))&gt;=48,CODE(MID(TRIM(UPPER(E157)),8,1))&lt;=57,CODE(MID(TRIM(UPPER(E157)),9,1))&gt;=48,CODE(MID(TRIM(UPPER(E157)),9,1))&lt;=57),"N","Y"))</f>
      </c>
      <c r="G157" s="7">
        <f>IF($D157="","",IF(LEN(E157)&lt;4,"",IF(UPPER(MID(E157,4,1))="P","Individual",IF(UPPER(MID(E157,4,1))="H","HUF",IF(UPPER(MID(E157,4,1))="C","Company",IF(UPPER(MID(E157,4,1))="F","Firm",IF(UPPER(MID(E157,4,1))="L","LLP",IF(UPPER(MID(E157,4,1))="T","Trust",IF(UPPER(MID(E157,4,1))="A","AOP","")))))))))</f>
      </c>
      <c r="H157" s="8"/>
      <c r="I157" s="7">
        <f>IF($D157="","",IF(H157="","",IF(F157="Y",SUMPRODUCT(('Rate Lookup'!$A$1:$A$37=H157)*'Rate Lookup'!$D$1:$D$37),IF(OR(G157="Individual",G157="HUF"),SUMPRODUCT(('Rate Lookup'!$A$1:$A$37=H157)*'Rate Lookup'!$B$1:$B$37),SUMPRODUCT(('Rate Lookup'!$A$1:$A$37=H157)*'Rate Lookup'!$C$1:$C$37)))))</f>
      </c>
      <c r="J157" s="8"/>
      <c r="K157" s="8"/>
      <c r="L157" s="7">
        <f>IF($D157="","",ROUND(K157*I157/100,0))</f>
      </c>
      <c r="M157" s="7">
        <f>IF($D157="","",0)</f>
      </c>
      <c r="N157" s="7">
        <f>IF($D157="","",0)</f>
      </c>
      <c r="O157" s="7">
        <f>IF($D157="","",IF(OR(L157=0,J157="",IFERROR(INDEX('Challan Master'!$D$4:$D$207,MATCH($B157,'Challan Master'!$S$4:$S$207,0)),"")="",IFERROR(INDEX('Challan Master'!$D$4:$D$207,MATCH($B157,'Challan Master'!$S$4:$S$207,0)),"")&lt;=0),0,IF(IFERROR(INDEX('Challan Master'!$D$4:$D$207,MATCH($B157,'Challan Master'!$S$4:$S$207,0)),"")&lt;=DATE(YEAR(J157),MONTH(J157)+1,7),0,ROUND(L157*0.015*((YEAR(IFERROR(INDEX('Challan Master'!$D$4:$D$207,MATCH($B157,'Challan Master'!$S$4:$S$207,0)),""))-YEAR(J157))*12+(MONTH(IFERROR(INDEX('Challan Master'!$D$4:$D$207,MATCH($B157,'Challan Master'!$S$4:$S$207,0)),""))-MONTH(J157))+1),0))))</f>
      </c>
      <c r="P157" s="7">
        <f>IF($D157="","",0)</f>
      </c>
      <c r="Q157" s="8"/>
      <c r="R157" s="8"/>
      <c r="S157" s="8"/>
      <c r="T157" s="8"/>
      <c r="U157" s="8"/>
      <c r="V157" s="7">
        <f>IF($B157="","",IFERROR(INDEX('Challan Master'!$AA$4:$AA$207,MATCH($B157,'Challan Master'!$S$4:$S$207,0)),""))</f>
      </c>
    </row>
    <row r="158" spans="1:22" x14ac:dyDescent="0.25">
      <c r="A158" s="7">
        <f>IF($D158="","",COUNTIF($D$4:$D158,"&lt;&gt;"))</f>
      </c>
      <c r="B158" s="8"/>
      <c r="C158" s="7">
        <f>IF($B158="","","BSR "&amp;IFERROR(INDEX('Challan Master'!$B$4:$B$207,MATCH($B158,'Challan Master'!$S$4:$S$207,0)),"")&amp;" | Serial "&amp;IFERROR(INDEX('Challan Master'!$C$4:$C$207,MATCH($B158,'Challan Master'!$S$4:$S$207,0)),"")&amp;" | Deposit "&amp;TEXT(IFERROR(INDEX('Challan Master'!$D$4:$D$207,MATCH($B158,'Challan Master'!$S$4:$S$207,0)),""),"dd-mm-yyyy")&amp;" | Minor Head "&amp;IFERROR(INDEX('Challan Master'!$E$4:$E$207,MATCH($B158,'Challan Master'!$S$4:$S$207,0)),"")&amp;" | Tax ₹"&amp;TEXT(IFERROR(INDEX('Challan Master'!$G$4:$G$207,MATCH($B158,'Challan Master'!$S$4:$S$207,0)),""),"#,##0")&amp;" | Section "&amp;IFERROR(INDEX('Challan Master'!$F$4:$F$207,MATCH($B158,'Challan Master'!$S$4:$S$207,0)),""))</f>
      </c>
      <c r="D158" s="8"/>
      <c r="E158" s="8"/>
      <c r="F158" s="7">
        <f>IF($D158="","",IF(AND(LEN(TRIM(UPPER(E158)))=10,CODE(MID(TRIM(UPPER(E158)),1,1))&gt;=65,CODE(MID(TRIM(UPPER(E158)),1,1))&lt;=90,CODE(MID(TRIM(UPPER(E158)),2,1))&gt;=65,CODE(MID(TRIM(UPPER(E158)),2,1))&lt;=90,CODE(MID(TRIM(UPPER(E158)),3,1))&gt;=65,CODE(MID(TRIM(UPPER(E158)),3,1))&lt;=90,CODE(MID(TRIM(UPPER(E158)),4,1))&gt;=65,CODE(MID(TRIM(UPPER(E158)),4,1))&lt;=90,CODE(MID(TRIM(UPPER(E158)),5,1))&gt;=65,CODE(MID(TRIM(UPPER(E158)),5,1))&lt;=90,CODE(MID(TRIM(UPPER(E158)),10,1))&gt;=65,CODE(MID(TRIM(UPPER(E158)),10,1))&lt;=90,CODE(MID(TRIM(UPPER(E158)),6,1))&gt;=48,CODE(MID(TRIM(UPPER(E158)),6,1))&lt;=57,CODE(MID(TRIM(UPPER(E158)),7,1))&gt;=48,CODE(MID(TRIM(UPPER(E158)),7,1))&lt;=57,CODE(MID(TRIM(UPPER(E158)),8,1))&gt;=48,CODE(MID(TRIM(UPPER(E158)),8,1))&lt;=57,CODE(MID(TRIM(UPPER(E158)),9,1))&gt;=48,CODE(MID(TRIM(UPPER(E158)),9,1))&lt;=57),"N","Y"))</f>
      </c>
      <c r="G158" s="7">
        <f>IF($D158="","",IF(LEN(E158)&lt;4,"",IF(UPPER(MID(E158,4,1))="P","Individual",IF(UPPER(MID(E158,4,1))="H","HUF",IF(UPPER(MID(E158,4,1))="C","Company",IF(UPPER(MID(E158,4,1))="F","Firm",IF(UPPER(MID(E158,4,1))="L","LLP",IF(UPPER(MID(E158,4,1))="T","Trust",IF(UPPER(MID(E158,4,1))="A","AOP","")))))))))</f>
      </c>
      <c r="H158" s="8"/>
      <c r="I158" s="7">
        <f>IF($D158="","",IF(H158="","",IF(F158="Y",SUMPRODUCT(('Rate Lookup'!$A$1:$A$37=H158)*'Rate Lookup'!$D$1:$D$37),IF(OR(G158="Individual",G158="HUF"),SUMPRODUCT(('Rate Lookup'!$A$1:$A$37=H158)*'Rate Lookup'!$B$1:$B$37),SUMPRODUCT(('Rate Lookup'!$A$1:$A$37=H158)*'Rate Lookup'!$C$1:$C$37)))))</f>
      </c>
      <c r="J158" s="8"/>
      <c r="K158" s="8"/>
      <c r="L158" s="7">
        <f>IF($D158="","",ROUND(K158*I158/100,0))</f>
      </c>
      <c r="M158" s="7">
        <f>IF($D158="","",0)</f>
      </c>
      <c r="N158" s="7">
        <f>IF($D158="","",0)</f>
      </c>
      <c r="O158" s="7">
        <f>IF($D158="","",IF(OR(L158=0,J158="",IFERROR(INDEX('Challan Master'!$D$4:$D$207,MATCH($B158,'Challan Master'!$S$4:$S$207,0)),"")="",IFERROR(INDEX('Challan Master'!$D$4:$D$207,MATCH($B158,'Challan Master'!$S$4:$S$207,0)),"")&lt;=0),0,IF(IFERROR(INDEX('Challan Master'!$D$4:$D$207,MATCH($B158,'Challan Master'!$S$4:$S$207,0)),"")&lt;=DATE(YEAR(J158),MONTH(J158)+1,7),0,ROUND(L158*0.015*((YEAR(IFERROR(INDEX('Challan Master'!$D$4:$D$207,MATCH($B158,'Challan Master'!$S$4:$S$207,0)),""))-YEAR(J158))*12+(MONTH(IFERROR(INDEX('Challan Master'!$D$4:$D$207,MATCH($B158,'Challan Master'!$S$4:$S$207,0)),""))-MONTH(J158))+1),0))))</f>
      </c>
      <c r="P158" s="7">
        <f>IF($D158="","",0)</f>
      </c>
      <c r="Q158" s="8"/>
      <c r="R158" s="8"/>
      <c r="S158" s="8"/>
      <c r="T158" s="8"/>
      <c r="U158" s="8"/>
      <c r="V158" s="7">
        <f>IF($B158="","",IFERROR(INDEX('Challan Master'!$AA$4:$AA$207,MATCH($B158,'Challan Master'!$S$4:$S$207,0)),""))</f>
      </c>
    </row>
    <row r="159" spans="1:22" x14ac:dyDescent="0.25">
      <c r="A159" s="7">
        <f>IF($D159="","",COUNTIF($D$4:$D159,"&lt;&gt;"))</f>
      </c>
      <c r="B159" s="8"/>
      <c r="C159" s="7">
        <f>IF($B159="","","BSR "&amp;IFERROR(INDEX('Challan Master'!$B$4:$B$207,MATCH($B159,'Challan Master'!$S$4:$S$207,0)),"")&amp;" | Serial "&amp;IFERROR(INDEX('Challan Master'!$C$4:$C$207,MATCH($B159,'Challan Master'!$S$4:$S$207,0)),"")&amp;" | Deposit "&amp;TEXT(IFERROR(INDEX('Challan Master'!$D$4:$D$207,MATCH($B159,'Challan Master'!$S$4:$S$207,0)),""),"dd-mm-yyyy")&amp;" | Minor Head "&amp;IFERROR(INDEX('Challan Master'!$E$4:$E$207,MATCH($B159,'Challan Master'!$S$4:$S$207,0)),"")&amp;" | Tax ₹"&amp;TEXT(IFERROR(INDEX('Challan Master'!$G$4:$G$207,MATCH($B159,'Challan Master'!$S$4:$S$207,0)),""),"#,##0")&amp;" | Section "&amp;IFERROR(INDEX('Challan Master'!$F$4:$F$207,MATCH($B159,'Challan Master'!$S$4:$S$207,0)),""))</f>
      </c>
      <c r="D159" s="8"/>
      <c r="E159" s="8"/>
      <c r="F159" s="7">
        <f>IF($D159="","",IF(AND(LEN(TRIM(UPPER(E159)))=10,CODE(MID(TRIM(UPPER(E159)),1,1))&gt;=65,CODE(MID(TRIM(UPPER(E159)),1,1))&lt;=90,CODE(MID(TRIM(UPPER(E159)),2,1))&gt;=65,CODE(MID(TRIM(UPPER(E159)),2,1))&lt;=90,CODE(MID(TRIM(UPPER(E159)),3,1))&gt;=65,CODE(MID(TRIM(UPPER(E159)),3,1))&lt;=90,CODE(MID(TRIM(UPPER(E159)),4,1))&gt;=65,CODE(MID(TRIM(UPPER(E159)),4,1))&lt;=90,CODE(MID(TRIM(UPPER(E159)),5,1))&gt;=65,CODE(MID(TRIM(UPPER(E159)),5,1))&lt;=90,CODE(MID(TRIM(UPPER(E159)),10,1))&gt;=65,CODE(MID(TRIM(UPPER(E159)),10,1))&lt;=90,CODE(MID(TRIM(UPPER(E159)),6,1))&gt;=48,CODE(MID(TRIM(UPPER(E159)),6,1))&lt;=57,CODE(MID(TRIM(UPPER(E159)),7,1))&gt;=48,CODE(MID(TRIM(UPPER(E159)),7,1))&lt;=57,CODE(MID(TRIM(UPPER(E159)),8,1))&gt;=48,CODE(MID(TRIM(UPPER(E159)),8,1))&lt;=57,CODE(MID(TRIM(UPPER(E159)),9,1))&gt;=48,CODE(MID(TRIM(UPPER(E159)),9,1))&lt;=57),"N","Y"))</f>
      </c>
      <c r="G159" s="7">
        <f>IF($D159="","",IF(LEN(E159)&lt;4,"",IF(UPPER(MID(E159,4,1))="P","Individual",IF(UPPER(MID(E159,4,1))="H","HUF",IF(UPPER(MID(E159,4,1))="C","Company",IF(UPPER(MID(E159,4,1))="F","Firm",IF(UPPER(MID(E159,4,1))="L","LLP",IF(UPPER(MID(E159,4,1))="T","Trust",IF(UPPER(MID(E159,4,1))="A","AOP","")))))))))</f>
      </c>
      <c r="H159" s="8"/>
      <c r="I159" s="7">
        <f>IF($D159="","",IF(H159="","",IF(F159="Y",SUMPRODUCT(('Rate Lookup'!$A$1:$A$37=H159)*'Rate Lookup'!$D$1:$D$37),IF(OR(G159="Individual",G159="HUF"),SUMPRODUCT(('Rate Lookup'!$A$1:$A$37=H159)*'Rate Lookup'!$B$1:$B$37),SUMPRODUCT(('Rate Lookup'!$A$1:$A$37=H159)*'Rate Lookup'!$C$1:$C$37)))))</f>
      </c>
      <c r="J159" s="8"/>
      <c r="K159" s="8"/>
      <c r="L159" s="7">
        <f>IF($D159="","",ROUND(K159*I159/100,0))</f>
      </c>
      <c r="M159" s="7">
        <f>IF($D159="","",0)</f>
      </c>
      <c r="N159" s="7">
        <f>IF($D159="","",0)</f>
      </c>
      <c r="O159" s="7">
        <f>IF($D159="","",IF(OR(L159=0,J159="",IFERROR(INDEX('Challan Master'!$D$4:$D$207,MATCH($B159,'Challan Master'!$S$4:$S$207,0)),"")="",IFERROR(INDEX('Challan Master'!$D$4:$D$207,MATCH($B159,'Challan Master'!$S$4:$S$207,0)),"")&lt;=0),0,IF(IFERROR(INDEX('Challan Master'!$D$4:$D$207,MATCH($B159,'Challan Master'!$S$4:$S$207,0)),"")&lt;=DATE(YEAR(J159),MONTH(J159)+1,7),0,ROUND(L159*0.015*((YEAR(IFERROR(INDEX('Challan Master'!$D$4:$D$207,MATCH($B159,'Challan Master'!$S$4:$S$207,0)),""))-YEAR(J159))*12+(MONTH(IFERROR(INDEX('Challan Master'!$D$4:$D$207,MATCH($B159,'Challan Master'!$S$4:$S$207,0)),""))-MONTH(J159))+1),0))))</f>
      </c>
      <c r="P159" s="7">
        <f>IF($D159="","",0)</f>
      </c>
      <c r="Q159" s="8"/>
      <c r="R159" s="8"/>
      <c r="S159" s="8"/>
      <c r="T159" s="8"/>
      <c r="U159" s="8"/>
      <c r="V159" s="7">
        <f>IF($B159="","",IFERROR(INDEX('Challan Master'!$AA$4:$AA$207,MATCH($B159,'Challan Master'!$S$4:$S$207,0)),""))</f>
      </c>
    </row>
    <row r="160" spans="1:22" x14ac:dyDescent="0.25">
      <c r="A160" s="7">
        <f>IF($D160="","",COUNTIF($D$4:$D160,"&lt;&gt;"))</f>
      </c>
      <c r="B160" s="8"/>
      <c r="C160" s="7">
        <f>IF($B160="","","BSR "&amp;IFERROR(INDEX('Challan Master'!$B$4:$B$207,MATCH($B160,'Challan Master'!$S$4:$S$207,0)),"")&amp;" | Serial "&amp;IFERROR(INDEX('Challan Master'!$C$4:$C$207,MATCH($B160,'Challan Master'!$S$4:$S$207,0)),"")&amp;" | Deposit "&amp;TEXT(IFERROR(INDEX('Challan Master'!$D$4:$D$207,MATCH($B160,'Challan Master'!$S$4:$S$207,0)),""),"dd-mm-yyyy")&amp;" | Minor Head "&amp;IFERROR(INDEX('Challan Master'!$E$4:$E$207,MATCH($B160,'Challan Master'!$S$4:$S$207,0)),"")&amp;" | Tax ₹"&amp;TEXT(IFERROR(INDEX('Challan Master'!$G$4:$G$207,MATCH($B160,'Challan Master'!$S$4:$S$207,0)),""),"#,##0")&amp;" | Section "&amp;IFERROR(INDEX('Challan Master'!$F$4:$F$207,MATCH($B160,'Challan Master'!$S$4:$S$207,0)),""))</f>
      </c>
      <c r="D160" s="8"/>
      <c r="E160" s="8"/>
      <c r="F160" s="7">
        <f>IF($D160="","",IF(AND(LEN(TRIM(UPPER(E160)))=10,CODE(MID(TRIM(UPPER(E160)),1,1))&gt;=65,CODE(MID(TRIM(UPPER(E160)),1,1))&lt;=90,CODE(MID(TRIM(UPPER(E160)),2,1))&gt;=65,CODE(MID(TRIM(UPPER(E160)),2,1))&lt;=90,CODE(MID(TRIM(UPPER(E160)),3,1))&gt;=65,CODE(MID(TRIM(UPPER(E160)),3,1))&lt;=90,CODE(MID(TRIM(UPPER(E160)),4,1))&gt;=65,CODE(MID(TRIM(UPPER(E160)),4,1))&lt;=90,CODE(MID(TRIM(UPPER(E160)),5,1))&gt;=65,CODE(MID(TRIM(UPPER(E160)),5,1))&lt;=90,CODE(MID(TRIM(UPPER(E160)),10,1))&gt;=65,CODE(MID(TRIM(UPPER(E160)),10,1))&lt;=90,CODE(MID(TRIM(UPPER(E160)),6,1))&gt;=48,CODE(MID(TRIM(UPPER(E160)),6,1))&lt;=57,CODE(MID(TRIM(UPPER(E160)),7,1))&gt;=48,CODE(MID(TRIM(UPPER(E160)),7,1))&lt;=57,CODE(MID(TRIM(UPPER(E160)),8,1))&gt;=48,CODE(MID(TRIM(UPPER(E160)),8,1))&lt;=57,CODE(MID(TRIM(UPPER(E160)),9,1))&gt;=48,CODE(MID(TRIM(UPPER(E160)),9,1))&lt;=57),"N","Y"))</f>
      </c>
      <c r="G160" s="7">
        <f>IF($D160="","",IF(LEN(E160)&lt;4,"",IF(UPPER(MID(E160,4,1))="P","Individual",IF(UPPER(MID(E160,4,1))="H","HUF",IF(UPPER(MID(E160,4,1))="C","Company",IF(UPPER(MID(E160,4,1))="F","Firm",IF(UPPER(MID(E160,4,1))="L","LLP",IF(UPPER(MID(E160,4,1))="T","Trust",IF(UPPER(MID(E160,4,1))="A","AOP","")))))))))</f>
      </c>
      <c r="H160" s="8"/>
      <c r="I160" s="7">
        <f>IF($D160="","",IF(H160="","",IF(F160="Y",SUMPRODUCT(('Rate Lookup'!$A$1:$A$37=H160)*'Rate Lookup'!$D$1:$D$37),IF(OR(G160="Individual",G160="HUF"),SUMPRODUCT(('Rate Lookup'!$A$1:$A$37=H160)*'Rate Lookup'!$B$1:$B$37),SUMPRODUCT(('Rate Lookup'!$A$1:$A$37=H160)*'Rate Lookup'!$C$1:$C$37)))))</f>
      </c>
      <c r="J160" s="8"/>
      <c r="K160" s="8"/>
      <c r="L160" s="7">
        <f>IF($D160="","",ROUND(K160*I160/100,0))</f>
      </c>
      <c r="M160" s="7">
        <f>IF($D160="","",0)</f>
      </c>
      <c r="N160" s="7">
        <f>IF($D160="","",0)</f>
      </c>
      <c r="O160" s="7">
        <f>IF($D160="","",IF(OR(L160=0,J160="",IFERROR(INDEX('Challan Master'!$D$4:$D$207,MATCH($B160,'Challan Master'!$S$4:$S$207,0)),"")="",IFERROR(INDEX('Challan Master'!$D$4:$D$207,MATCH($B160,'Challan Master'!$S$4:$S$207,0)),"")&lt;=0),0,IF(IFERROR(INDEX('Challan Master'!$D$4:$D$207,MATCH($B160,'Challan Master'!$S$4:$S$207,0)),"")&lt;=DATE(YEAR(J160),MONTH(J160)+1,7),0,ROUND(L160*0.015*((YEAR(IFERROR(INDEX('Challan Master'!$D$4:$D$207,MATCH($B160,'Challan Master'!$S$4:$S$207,0)),""))-YEAR(J160))*12+(MONTH(IFERROR(INDEX('Challan Master'!$D$4:$D$207,MATCH($B160,'Challan Master'!$S$4:$S$207,0)),""))-MONTH(J160))+1),0))))</f>
      </c>
      <c r="P160" s="7">
        <f>IF($D160="","",0)</f>
      </c>
      <c r="Q160" s="8"/>
      <c r="R160" s="8"/>
      <c r="S160" s="8"/>
      <c r="T160" s="8"/>
      <c r="U160" s="8"/>
      <c r="V160" s="7">
        <f>IF($B160="","",IFERROR(INDEX('Challan Master'!$AA$4:$AA$207,MATCH($B160,'Challan Master'!$S$4:$S$207,0)),""))</f>
      </c>
    </row>
    <row r="161" spans="1:22" x14ac:dyDescent="0.25">
      <c r="A161" s="7">
        <f>IF($D161="","",COUNTIF($D$4:$D161,"&lt;&gt;"))</f>
      </c>
      <c r="B161" s="8"/>
      <c r="C161" s="7">
        <f>IF($B161="","","BSR "&amp;IFERROR(INDEX('Challan Master'!$B$4:$B$207,MATCH($B161,'Challan Master'!$S$4:$S$207,0)),"")&amp;" | Serial "&amp;IFERROR(INDEX('Challan Master'!$C$4:$C$207,MATCH($B161,'Challan Master'!$S$4:$S$207,0)),"")&amp;" | Deposit "&amp;TEXT(IFERROR(INDEX('Challan Master'!$D$4:$D$207,MATCH($B161,'Challan Master'!$S$4:$S$207,0)),""),"dd-mm-yyyy")&amp;" | Minor Head "&amp;IFERROR(INDEX('Challan Master'!$E$4:$E$207,MATCH($B161,'Challan Master'!$S$4:$S$207,0)),"")&amp;" | Tax ₹"&amp;TEXT(IFERROR(INDEX('Challan Master'!$G$4:$G$207,MATCH($B161,'Challan Master'!$S$4:$S$207,0)),""),"#,##0")&amp;" | Section "&amp;IFERROR(INDEX('Challan Master'!$F$4:$F$207,MATCH($B161,'Challan Master'!$S$4:$S$207,0)),""))</f>
      </c>
      <c r="D161" s="8"/>
      <c r="E161" s="8"/>
      <c r="F161" s="7">
        <f>IF($D161="","",IF(AND(LEN(TRIM(UPPER(E161)))=10,CODE(MID(TRIM(UPPER(E161)),1,1))&gt;=65,CODE(MID(TRIM(UPPER(E161)),1,1))&lt;=90,CODE(MID(TRIM(UPPER(E161)),2,1))&gt;=65,CODE(MID(TRIM(UPPER(E161)),2,1))&lt;=90,CODE(MID(TRIM(UPPER(E161)),3,1))&gt;=65,CODE(MID(TRIM(UPPER(E161)),3,1))&lt;=90,CODE(MID(TRIM(UPPER(E161)),4,1))&gt;=65,CODE(MID(TRIM(UPPER(E161)),4,1))&lt;=90,CODE(MID(TRIM(UPPER(E161)),5,1))&gt;=65,CODE(MID(TRIM(UPPER(E161)),5,1))&lt;=90,CODE(MID(TRIM(UPPER(E161)),10,1))&gt;=65,CODE(MID(TRIM(UPPER(E161)),10,1))&lt;=90,CODE(MID(TRIM(UPPER(E161)),6,1))&gt;=48,CODE(MID(TRIM(UPPER(E161)),6,1))&lt;=57,CODE(MID(TRIM(UPPER(E161)),7,1))&gt;=48,CODE(MID(TRIM(UPPER(E161)),7,1))&lt;=57,CODE(MID(TRIM(UPPER(E161)),8,1))&gt;=48,CODE(MID(TRIM(UPPER(E161)),8,1))&lt;=57,CODE(MID(TRIM(UPPER(E161)),9,1))&gt;=48,CODE(MID(TRIM(UPPER(E161)),9,1))&lt;=57),"N","Y"))</f>
      </c>
      <c r="G161" s="7">
        <f>IF($D161="","",IF(LEN(E161)&lt;4,"",IF(UPPER(MID(E161,4,1))="P","Individual",IF(UPPER(MID(E161,4,1))="H","HUF",IF(UPPER(MID(E161,4,1))="C","Company",IF(UPPER(MID(E161,4,1))="F","Firm",IF(UPPER(MID(E161,4,1))="L","LLP",IF(UPPER(MID(E161,4,1))="T","Trust",IF(UPPER(MID(E161,4,1))="A","AOP","")))))))))</f>
      </c>
      <c r="H161" s="8"/>
      <c r="I161" s="7">
        <f>IF($D161="","",IF(H161="","",IF(F161="Y",SUMPRODUCT(('Rate Lookup'!$A$1:$A$37=H161)*'Rate Lookup'!$D$1:$D$37),IF(OR(G161="Individual",G161="HUF"),SUMPRODUCT(('Rate Lookup'!$A$1:$A$37=H161)*'Rate Lookup'!$B$1:$B$37),SUMPRODUCT(('Rate Lookup'!$A$1:$A$37=H161)*'Rate Lookup'!$C$1:$C$37)))))</f>
      </c>
      <c r="J161" s="8"/>
      <c r="K161" s="8"/>
      <c r="L161" s="7">
        <f>IF($D161="","",ROUND(K161*I161/100,0))</f>
      </c>
      <c r="M161" s="7">
        <f>IF($D161="","",0)</f>
      </c>
      <c r="N161" s="7">
        <f>IF($D161="","",0)</f>
      </c>
      <c r="O161" s="7">
        <f>IF($D161="","",IF(OR(L161=0,J161="",IFERROR(INDEX('Challan Master'!$D$4:$D$207,MATCH($B161,'Challan Master'!$S$4:$S$207,0)),"")="",IFERROR(INDEX('Challan Master'!$D$4:$D$207,MATCH($B161,'Challan Master'!$S$4:$S$207,0)),"")&lt;=0),0,IF(IFERROR(INDEX('Challan Master'!$D$4:$D$207,MATCH($B161,'Challan Master'!$S$4:$S$207,0)),"")&lt;=DATE(YEAR(J161),MONTH(J161)+1,7),0,ROUND(L161*0.015*((YEAR(IFERROR(INDEX('Challan Master'!$D$4:$D$207,MATCH($B161,'Challan Master'!$S$4:$S$207,0)),""))-YEAR(J161))*12+(MONTH(IFERROR(INDEX('Challan Master'!$D$4:$D$207,MATCH($B161,'Challan Master'!$S$4:$S$207,0)),""))-MONTH(J161))+1),0))))</f>
      </c>
      <c r="P161" s="7">
        <f>IF($D161="","",0)</f>
      </c>
      <c r="Q161" s="8"/>
      <c r="R161" s="8"/>
      <c r="S161" s="8"/>
      <c r="T161" s="8"/>
      <c r="U161" s="8"/>
      <c r="V161" s="7">
        <f>IF($B161="","",IFERROR(INDEX('Challan Master'!$AA$4:$AA$207,MATCH($B161,'Challan Master'!$S$4:$S$207,0)),""))</f>
      </c>
    </row>
    <row r="162" spans="1:22" x14ac:dyDescent="0.25">
      <c r="A162" s="7">
        <f>IF($D162="","",COUNTIF($D$4:$D162,"&lt;&gt;"))</f>
      </c>
      <c r="B162" s="8"/>
      <c r="C162" s="7">
        <f>IF($B162="","","BSR "&amp;IFERROR(INDEX('Challan Master'!$B$4:$B$207,MATCH($B162,'Challan Master'!$S$4:$S$207,0)),"")&amp;" | Serial "&amp;IFERROR(INDEX('Challan Master'!$C$4:$C$207,MATCH($B162,'Challan Master'!$S$4:$S$207,0)),"")&amp;" | Deposit "&amp;TEXT(IFERROR(INDEX('Challan Master'!$D$4:$D$207,MATCH($B162,'Challan Master'!$S$4:$S$207,0)),""),"dd-mm-yyyy")&amp;" | Minor Head "&amp;IFERROR(INDEX('Challan Master'!$E$4:$E$207,MATCH($B162,'Challan Master'!$S$4:$S$207,0)),"")&amp;" | Tax ₹"&amp;TEXT(IFERROR(INDEX('Challan Master'!$G$4:$G$207,MATCH($B162,'Challan Master'!$S$4:$S$207,0)),""),"#,##0")&amp;" | Section "&amp;IFERROR(INDEX('Challan Master'!$F$4:$F$207,MATCH($B162,'Challan Master'!$S$4:$S$207,0)),""))</f>
      </c>
      <c r="D162" s="8"/>
      <c r="E162" s="8"/>
      <c r="F162" s="7">
        <f>IF($D162="","",IF(AND(LEN(TRIM(UPPER(E162)))=10,CODE(MID(TRIM(UPPER(E162)),1,1))&gt;=65,CODE(MID(TRIM(UPPER(E162)),1,1))&lt;=90,CODE(MID(TRIM(UPPER(E162)),2,1))&gt;=65,CODE(MID(TRIM(UPPER(E162)),2,1))&lt;=90,CODE(MID(TRIM(UPPER(E162)),3,1))&gt;=65,CODE(MID(TRIM(UPPER(E162)),3,1))&lt;=90,CODE(MID(TRIM(UPPER(E162)),4,1))&gt;=65,CODE(MID(TRIM(UPPER(E162)),4,1))&lt;=90,CODE(MID(TRIM(UPPER(E162)),5,1))&gt;=65,CODE(MID(TRIM(UPPER(E162)),5,1))&lt;=90,CODE(MID(TRIM(UPPER(E162)),10,1))&gt;=65,CODE(MID(TRIM(UPPER(E162)),10,1))&lt;=90,CODE(MID(TRIM(UPPER(E162)),6,1))&gt;=48,CODE(MID(TRIM(UPPER(E162)),6,1))&lt;=57,CODE(MID(TRIM(UPPER(E162)),7,1))&gt;=48,CODE(MID(TRIM(UPPER(E162)),7,1))&lt;=57,CODE(MID(TRIM(UPPER(E162)),8,1))&gt;=48,CODE(MID(TRIM(UPPER(E162)),8,1))&lt;=57,CODE(MID(TRIM(UPPER(E162)),9,1))&gt;=48,CODE(MID(TRIM(UPPER(E162)),9,1))&lt;=57),"N","Y"))</f>
      </c>
      <c r="G162" s="7">
        <f>IF($D162="","",IF(LEN(E162)&lt;4,"",IF(UPPER(MID(E162,4,1))="P","Individual",IF(UPPER(MID(E162,4,1))="H","HUF",IF(UPPER(MID(E162,4,1))="C","Company",IF(UPPER(MID(E162,4,1))="F","Firm",IF(UPPER(MID(E162,4,1))="L","LLP",IF(UPPER(MID(E162,4,1))="T","Trust",IF(UPPER(MID(E162,4,1))="A","AOP","")))))))))</f>
      </c>
      <c r="H162" s="8"/>
      <c r="I162" s="7">
        <f>IF($D162="","",IF(H162="","",IF(F162="Y",SUMPRODUCT(('Rate Lookup'!$A$1:$A$37=H162)*'Rate Lookup'!$D$1:$D$37),IF(OR(G162="Individual",G162="HUF"),SUMPRODUCT(('Rate Lookup'!$A$1:$A$37=H162)*'Rate Lookup'!$B$1:$B$37),SUMPRODUCT(('Rate Lookup'!$A$1:$A$37=H162)*'Rate Lookup'!$C$1:$C$37)))))</f>
      </c>
      <c r="J162" s="8"/>
      <c r="K162" s="8"/>
      <c r="L162" s="7">
        <f>IF($D162="","",ROUND(K162*I162/100,0))</f>
      </c>
      <c r="M162" s="7">
        <f>IF($D162="","",0)</f>
      </c>
      <c r="N162" s="7">
        <f>IF($D162="","",0)</f>
      </c>
      <c r="O162" s="7">
        <f>IF($D162="","",IF(OR(L162=0,J162="",IFERROR(INDEX('Challan Master'!$D$4:$D$207,MATCH($B162,'Challan Master'!$S$4:$S$207,0)),"")="",IFERROR(INDEX('Challan Master'!$D$4:$D$207,MATCH($B162,'Challan Master'!$S$4:$S$207,0)),"")&lt;=0),0,IF(IFERROR(INDEX('Challan Master'!$D$4:$D$207,MATCH($B162,'Challan Master'!$S$4:$S$207,0)),"")&lt;=DATE(YEAR(J162),MONTH(J162)+1,7),0,ROUND(L162*0.015*((YEAR(IFERROR(INDEX('Challan Master'!$D$4:$D$207,MATCH($B162,'Challan Master'!$S$4:$S$207,0)),""))-YEAR(J162))*12+(MONTH(IFERROR(INDEX('Challan Master'!$D$4:$D$207,MATCH($B162,'Challan Master'!$S$4:$S$207,0)),""))-MONTH(J162))+1),0))))</f>
      </c>
      <c r="P162" s="7">
        <f>IF($D162="","",0)</f>
      </c>
      <c r="Q162" s="8"/>
      <c r="R162" s="8"/>
      <c r="S162" s="8"/>
      <c r="T162" s="8"/>
      <c r="U162" s="8"/>
      <c r="V162" s="7">
        <f>IF($B162="","",IFERROR(INDEX('Challan Master'!$AA$4:$AA$207,MATCH($B162,'Challan Master'!$S$4:$S$207,0)),""))</f>
      </c>
    </row>
    <row r="163" spans="1:22" x14ac:dyDescent="0.25">
      <c r="A163" s="7">
        <f>IF($D163="","",COUNTIF($D$4:$D163,"&lt;&gt;"))</f>
      </c>
      <c r="B163" s="8"/>
      <c r="C163" s="7">
        <f>IF($B163="","","BSR "&amp;IFERROR(INDEX('Challan Master'!$B$4:$B$207,MATCH($B163,'Challan Master'!$S$4:$S$207,0)),"")&amp;" | Serial "&amp;IFERROR(INDEX('Challan Master'!$C$4:$C$207,MATCH($B163,'Challan Master'!$S$4:$S$207,0)),"")&amp;" | Deposit "&amp;TEXT(IFERROR(INDEX('Challan Master'!$D$4:$D$207,MATCH($B163,'Challan Master'!$S$4:$S$207,0)),""),"dd-mm-yyyy")&amp;" | Minor Head "&amp;IFERROR(INDEX('Challan Master'!$E$4:$E$207,MATCH($B163,'Challan Master'!$S$4:$S$207,0)),"")&amp;" | Tax ₹"&amp;TEXT(IFERROR(INDEX('Challan Master'!$G$4:$G$207,MATCH($B163,'Challan Master'!$S$4:$S$207,0)),""),"#,##0")&amp;" | Section "&amp;IFERROR(INDEX('Challan Master'!$F$4:$F$207,MATCH($B163,'Challan Master'!$S$4:$S$207,0)),""))</f>
      </c>
      <c r="D163" s="8"/>
      <c r="E163" s="8"/>
      <c r="F163" s="7">
        <f>IF($D163="","",IF(AND(LEN(TRIM(UPPER(E163)))=10,CODE(MID(TRIM(UPPER(E163)),1,1))&gt;=65,CODE(MID(TRIM(UPPER(E163)),1,1))&lt;=90,CODE(MID(TRIM(UPPER(E163)),2,1))&gt;=65,CODE(MID(TRIM(UPPER(E163)),2,1))&lt;=90,CODE(MID(TRIM(UPPER(E163)),3,1))&gt;=65,CODE(MID(TRIM(UPPER(E163)),3,1))&lt;=90,CODE(MID(TRIM(UPPER(E163)),4,1))&gt;=65,CODE(MID(TRIM(UPPER(E163)),4,1))&lt;=90,CODE(MID(TRIM(UPPER(E163)),5,1))&gt;=65,CODE(MID(TRIM(UPPER(E163)),5,1))&lt;=90,CODE(MID(TRIM(UPPER(E163)),10,1))&gt;=65,CODE(MID(TRIM(UPPER(E163)),10,1))&lt;=90,CODE(MID(TRIM(UPPER(E163)),6,1))&gt;=48,CODE(MID(TRIM(UPPER(E163)),6,1))&lt;=57,CODE(MID(TRIM(UPPER(E163)),7,1))&gt;=48,CODE(MID(TRIM(UPPER(E163)),7,1))&lt;=57,CODE(MID(TRIM(UPPER(E163)),8,1))&gt;=48,CODE(MID(TRIM(UPPER(E163)),8,1))&lt;=57,CODE(MID(TRIM(UPPER(E163)),9,1))&gt;=48,CODE(MID(TRIM(UPPER(E163)),9,1))&lt;=57),"N","Y"))</f>
      </c>
      <c r="G163" s="7">
        <f>IF($D163="","",IF(LEN(E163)&lt;4,"",IF(UPPER(MID(E163,4,1))="P","Individual",IF(UPPER(MID(E163,4,1))="H","HUF",IF(UPPER(MID(E163,4,1))="C","Company",IF(UPPER(MID(E163,4,1))="F","Firm",IF(UPPER(MID(E163,4,1))="L","LLP",IF(UPPER(MID(E163,4,1))="T","Trust",IF(UPPER(MID(E163,4,1))="A","AOP","")))))))))</f>
      </c>
      <c r="H163" s="8"/>
      <c r="I163" s="7">
        <f>IF($D163="","",IF(H163="","",IF(F163="Y",SUMPRODUCT(('Rate Lookup'!$A$1:$A$37=H163)*'Rate Lookup'!$D$1:$D$37),IF(OR(G163="Individual",G163="HUF"),SUMPRODUCT(('Rate Lookup'!$A$1:$A$37=H163)*'Rate Lookup'!$B$1:$B$37),SUMPRODUCT(('Rate Lookup'!$A$1:$A$37=H163)*'Rate Lookup'!$C$1:$C$37)))))</f>
      </c>
      <c r="J163" s="8"/>
      <c r="K163" s="8"/>
      <c r="L163" s="7">
        <f>IF($D163="","",ROUND(K163*I163/100,0))</f>
      </c>
      <c r="M163" s="7">
        <f>IF($D163="","",0)</f>
      </c>
      <c r="N163" s="7">
        <f>IF($D163="","",0)</f>
      </c>
      <c r="O163" s="7">
        <f>IF($D163="","",IF(OR(L163=0,J163="",IFERROR(INDEX('Challan Master'!$D$4:$D$207,MATCH($B163,'Challan Master'!$S$4:$S$207,0)),"")="",IFERROR(INDEX('Challan Master'!$D$4:$D$207,MATCH($B163,'Challan Master'!$S$4:$S$207,0)),"")&lt;=0),0,IF(IFERROR(INDEX('Challan Master'!$D$4:$D$207,MATCH($B163,'Challan Master'!$S$4:$S$207,0)),"")&lt;=DATE(YEAR(J163),MONTH(J163)+1,7),0,ROUND(L163*0.015*((YEAR(IFERROR(INDEX('Challan Master'!$D$4:$D$207,MATCH($B163,'Challan Master'!$S$4:$S$207,0)),""))-YEAR(J163))*12+(MONTH(IFERROR(INDEX('Challan Master'!$D$4:$D$207,MATCH($B163,'Challan Master'!$S$4:$S$207,0)),""))-MONTH(J163))+1),0))))</f>
      </c>
      <c r="P163" s="7">
        <f>IF($D163="","",0)</f>
      </c>
      <c r="Q163" s="8"/>
      <c r="R163" s="8"/>
      <c r="S163" s="8"/>
      <c r="T163" s="8"/>
      <c r="U163" s="8"/>
      <c r="V163" s="7">
        <f>IF($B163="","",IFERROR(INDEX('Challan Master'!$AA$4:$AA$207,MATCH($B163,'Challan Master'!$S$4:$S$207,0)),""))</f>
      </c>
    </row>
    <row r="164" spans="1:22" x14ac:dyDescent="0.25">
      <c r="A164" s="7">
        <f>IF($D164="","",COUNTIF($D$4:$D164,"&lt;&gt;"))</f>
      </c>
      <c r="B164" s="8"/>
      <c r="C164" s="7">
        <f>IF($B164="","","BSR "&amp;IFERROR(INDEX('Challan Master'!$B$4:$B$207,MATCH($B164,'Challan Master'!$S$4:$S$207,0)),"")&amp;" | Serial "&amp;IFERROR(INDEX('Challan Master'!$C$4:$C$207,MATCH($B164,'Challan Master'!$S$4:$S$207,0)),"")&amp;" | Deposit "&amp;TEXT(IFERROR(INDEX('Challan Master'!$D$4:$D$207,MATCH($B164,'Challan Master'!$S$4:$S$207,0)),""),"dd-mm-yyyy")&amp;" | Minor Head "&amp;IFERROR(INDEX('Challan Master'!$E$4:$E$207,MATCH($B164,'Challan Master'!$S$4:$S$207,0)),"")&amp;" | Tax ₹"&amp;TEXT(IFERROR(INDEX('Challan Master'!$G$4:$G$207,MATCH($B164,'Challan Master'!$S$4:$S$207,0)),""),"#,##0")&amp;" | Section "&amp;IFERROR(INDEX('Challan Master'!$F$4:$F$207,MATCH($B164,'Challan Master'!$S$4:$S$207,0)),""))</f>
      </c>
      <c r="D164" s="8"/>
      <c r="E164" s="8"/>
      <c r="F164" s="7">
        <f>IF($D164="","",IF(AND(LEN(TRIM(UPPER(E164)))=10,CODE(MID(TRIM(UPPER(E164)),1,1))&gt;=65,CODE(MID(TRIM(UPPER(E164)),1,1))&lt;=90,CODE(MID(TRIM(UPPER(E164)),2,1))&gt;=65,CODE(MID(TRIM(UPPER(E164)),2,1))&lt;=90,CODE(MID(TRIM(UPPER(E164)),3,1))&gt;=65,CODE(MID(TRIM(UPPER(E164)),3,1))&lt;=90,CODE(MID(TRIM(UPPER(E164)),4,1))&gt;=65,CODE(MID(TRIM(UPPER(E164)),4,1))&lt;=90,CODE(MID(TRIM(UPPER(E164)),5,1))&gt;=65,CODE(MID(TRIM(UPPER(E164)),5,1))&lt;=90,CODE(MID(TRIM(UPPER(E164)),10,1))&gt;=65,CODE(MID(TRIM(UPPER(E164)),10,1))&lt;=90,CODE(MID(TRIM(UPPER(E164)),6,1))&gt;=48,CODE(MID(TRIM(UPPER(E164)),6,1))&lt;=57,CODE(MID(TRIM(UPPER(E164)),7,1))&gt;=48,CODE(MID(TRIM(UPPER(E164)),7,1))&lt;=57,CODE(MID(TRIM(UPPER(E164)),8,1))&gt;=48,CODE(MID(TRIM(UPPER(E164)),8,1))&lt;=57,CODE(MID(TRIM(UPPER(E164)),9,1))&gt;=48,CODE(MID(TRIM(UPPER(E164)),9,1))&lt;=57),"N","Y"))</f>
      </c>
      <c r="G164" s="7">
        <f>IF($D164="","",IF(LEN(E164)&lt;4,"",IF(UPPER(MID(E164,4,1))="P","Individual",IF(UPPER(MID(E164,4,1))="H","HUF",IF(UPPER(MID(E164,4,1))="C","Company",IF(UPPER(MID(E164,4,1))="F","Firm",IF(UPPER(MID(E164,4,1))="L","LLP",IF(UPPER(MID(E164,4,1))="T","Trust",IF(UPPER(MID(E164,4,1))="A","AOP","")))))))))</f>
      </c>
      <c r="H164" s="8"/>
      <c r="I164" s="7">
        <f>IF($D164="","",IF(H164="","",IF(F164="Y",SUMPRODUCT(('Rate Lookup'!$A$1:$A$37=H164)*'Rate Lookup'!$D$1:$D$37),IF(OR(G164="Individual",G164="HUF"),SUMPRODUCT(('Rate Lookup'!$A$1:$A$37=H164)*'Rate Lookup'!$B$1:$B$37),SUMPRODUCT(('Rate Lookup'!$A$1:$A$37=H164)*'Rate Lookup'!$C$1:$C$37)))))</f>
      </c>
      <c r="J164" s="8"/>
      <c r="K164" s="8"/>
      <c r="L164" s="7">
        <f>IF($D164="","",ROUND(K164*I164/100,0))</f>
      </c>
      <c r="M164" s="7">
        <f>IF($D164="","",0)</f>
      </c>
      <c r="N164" s="7">
        <f>IF($D164="","",0)</f>
      </c>
      <c r="O164" s="7">
        <f>IF($D164="","",IF(OR(L164=0,J164="",IFERROR(INDEX('Challan Master'!$D$4:$D$207,MATCH($B164,'Challan Master'!$S$4:$S$207,0)),"")="",IFERROR(INDEX('Challan Master'!$D$4:$D$207,MATCH($B164,'Challan Master'!$S$4:$S$207,0)),"")&lt;=0),0,IF(IFERROR(INDEX('Challan Master'!$D$4:$D$207,MATCH($B164,'Challan Master'!$S$4:$S$207,0)),"")&lt;=DATE(YEAR(J164),MONTH(J164)+1,7),0,ROUND(L164*0.015*((YEAR(IFERROR(INDEX('Challan Master'!$D$4:$D$207,MATCH($B164,'Challan Master'!$S$4:$S$207,0)),""))-YEAR(J164))*12+(MONTH(IFERROR(INDEX('Challan Master'!$D$4:$D$207,MATCH($B164,'Challan Master'!$S$4:$S$207,0)),""))-MONTH(J164))+1),0))))</f>
      </c>
      <c r="P164" s="7">
        <f>IF($D164="","",0)</f>
      </c>
      <c r="Q164" s="8"/>
      <c r="R164" s="8"/>
      <c r="S164" s="8"/>
      <c r="T164" s="8"/>
      <c r="U164" s="8"/>
      <c r="V164" s="7">
        <f>IF($B164="","",IFERROR(INDEX('Challan Master'!$AA$4:$AA$207,MATCH($B164,'Challan Master'!$S$4:$S$207,0)),""))</f>
      </c>
    </row>
    <row r="165" spans="1:22" x14ac:dyDescent="0.25">
      <c r="A165" s="7">
        <f>IF($D165="","",COUNTIF($D$4:$D165,"&lt;&gt;"))</f>
      </c>
      <c r="B165" s="8"/>
      <c r="C165" s="7">
        <f>IF($B165="","","BSR "&amp;IFERROR(INDEX('Challan Master'!$B$4:$B$207,MATCH($B165,'Challan Master'!$S$4:$S$207,0)),"")&amp;" | Serial "&amp;IFERROR(INDEX('Challan Master'!$C$4:$C$207,MATCH($B165,'Challan Master'!$S$4:$S$207,0)),"")&amp;" | Deposit "&amp;TEXT(IFERROR(INDEX('Challan Master'!$D$4:$D$207,MATCH($B165,'Challan Master'!$S$4:$S$207,0)),""),"dd-mm-yyyy")&amp;" | Minor Head "&amp;IFERROR(INDEX('Challan Master'!$E$4:$E$207,MATCH($B165,'Challan Master'!$S$4:$S$207,0)),"")&amp;" | Tax ₹"&amp;TEXT(IFERROR(INDEX('Challan Master'!$G$4:$G$207,MATCH($B165,'Challan Master'!$S$4:$S$207,0)),""),"#,##0")&amp;" | Section "&amp;IFERROR(INDEX('Challan Master'!$F$4:$F$207,MATCH($B165,'Challan Master'!$S$4:$S$207,0)),""))</f>
      </c>
      <c r="D165" s="8"/>
      <c r="E165" s="8"/>
      <c r="F165" s="7">
        <f>IF($D165="","",IF(AND(LEN(TRIM(UPPER(E165)))=10,CODE(MID(TRIM(UPPER(E165)),1,1))&gt;=65,CODE(MID(TRIM(UPPER(E165)),1,1))&lt;=90,CODE(MID(TRIM(UPPER(E165)),2,1))&gt;=65,CODE(MID(TRIM(UPPER(E165)),2,1))&lt;=90,CODE(MID(TRIM(UPPER(E165)),3,1))&gt;=65,CODE(MID(TRIM(UPPER(E165)),3,1))&lt;=90,CODE(MID(TRIM(UPPER(E165)),4,1))&gt;=65,CODE(MID(TRIM(UPPER(E165)),4,1))&lt;=90,CODE(MID(TRIM(UPPER(E165)),5,1))&gt;=65,CODE(MID(TRIM(UPPER(E165)),5,1))&lt;=90,CODE(MID(TRIM(UPPER(E165)),10,1))&gt;=65,CODE(MID(TRIM(UPPER(E165)),10,1))&lt;=90,CODE(MID(TRIM(UPPER(E165)),6,1))&gt;=48,CODE(MID(TRIM(UPPER(E165)),6,1))&lt;=57,CODE(MID(TRIM(UPPER(E165)),7,1))&gt;=48,CODE(MID(TRIM(UPPER(E165)),7,1))&lt;=57,CODE(MID(TRIM(UPPER(E165)),8,1))&gt;=48,CODE(MID(TRIM(UPPER(E165)),8,1))&lt;=57,CODE(MID(TRIM(UPPER(E165)),9,1))&gt;=48,CODE(MID(TRIM(UPPER(E165)),9,1))&lt;=57),"N","Y"))</f>
      </c>
      <c r="G165" s="7">
        <f>IF($D165="","",IF(LEN(E165)&lt;4,"",IF(UPPER(MID(E165,4,1))="P","Individual",IF(UPPER(MID(E165,4,1))="H","HUF",IF(UPPER(MID(E165,4,1))="C","Company",IF(UPPER(MID(E165,4,1))="F","Firm",IF(UPPER(MID(E165,4,1))="L","LLP",IF(UPPER(MID(E165,4,1))="T","Trust",IF(UPPER(MID(E165,4,1))="A","AOP","")))))))))</f>
      </c>
      <c r="H165" s="8"/>
      <c r="I165" s="7">
        <f>IF($D165="","",IF(H165="","",IF(F165="Y",SUMPRODUCT(('Rate Lookup'!$A$1:$A$37=H165)*'Rate Lookup'!$D$1:$D$37),IF(OR(G165="Individual",G165="HUF"),SUMPRODUCT(('Rate Lookup'!$A$1:$A$37=H165)*'Rate Lookup'!$B$1:$B$37),SUMPRODUCT(('Rate Lookup'!$A$1:$A$37=H165)*'Rate Lookup'!$C$1:$C$37)))))</f>
      </c>
      <c r="J165" s="8"/>
      <c r="K165" s="8"/>
      <c r="L165" s="7">
        <f>IF($D165="","",ROUND(K165*I165/100,0))</f>
      </c>
      <c r="M165" s="7">
        <f>IF($D165="","",0)</f>
      </c>
      <c r="N165" s="7">
        <f>IF($D165="","",0)</f>
      </c>
      <c r="O165" s="7">
        <f>IF($D165="","",IF(OR(L165=0,J165="",IFERROR(INDEX('Challan Master'!$D$4:$D$207,MATCH($B165,'Challan Master'!$S$4:$S$207,0)),"")="",IFERROR(INDEX('Challan Master'!$D$4:$D$207,MATCH($B165,'Challan Master'!$S$4:$S$207,0)),"")&lt;=0),0,IF(IFERROR(INDEX('Challan Master'!$D$4:$D$207,MATCH($B165,'Challan Master'!$S$4:$S$207,0)),"")&lt;=DATE(YEAR(J165),MONTH(J165)+1,7),0,ROUND(L165*0.015*((YEAR(IFERROR(INDEX('Challan Master'!$D$4:$D$207,MATCH($B165,'Challan Master'!$S$4:$S$207,0)),""))-YEAR(J165))*12+(MONTH(IFERROR(INDEX('Challan Master'!$D$4:$D$207,MATCH($B165,'Challan Master'!$S$4:$S$207,0)),""))-MONTH(J165))+1),0))))</f>
      </c>
      <c r="P165" s="7">
        <f>IF($D165="","",0)</f>
      </c>
      <c r="Q165" s="8"/>
      <c r="R165" s="8"/>
      <c r="S165" s="8"/>
      <c r="T165" s="8"/>
      <c r="U165" s="8"/>
      <c r="V165" s="7">
        <f>IF($B165="","",IFERROR(INDEX('Challan Master'!$AA$4:$AA$207,MATCH($B165,'Challan Master'!$S$4:$S$207,0)),""))</f>
      </c>
    </row>
    <row r="166" spans="1:22" x14ac:dyDescent="0.25">
      <c r="A166" s="7">
        <f>IF($D166="","",COUNTIF($D$4:$D166,"&lt;&gt;"))</f>
      </c>
      <c r="B166" s="8"/>
      <c r="C166" s="7">
        <f>IF($B166="","","BSR "&amp;IFERROR(INDEX('Challan Master'!$B$4:$B$207,MATCH($B166,'Challan Master'!$S$4:$S$207,0)),"")&amp;" | Serial "&amp;IFERROR(INDEX('Challan Master'!$C$4:$C$207,MATCH($B166,'Challan Master'!$S$4:$S$207,0)),"")&amp;" | Deposit "&amp;TEXT(IFERROR(INDEX('Challan Master'!$D$4:$D$207,MATCH($B166,'Challan Master'!$S$4:$S$207,0)),""),"dd-mm-yyyy")&amp;" | Minor Head "&amp;IFERROR(INDEX('Challan Master'!$E$4:$E$207,MATCH($B166,'Challan Master'!$S$4:$S$207,0)),"")&amp;" | Tax ₹"&amp;TEXT(IFERROR(INDEX('Challan Master'!$G$4:$G$207,MATCH($B166,'Challan Master'!$S$4:$S$207,0)),""),"#,##0")&amp;" | Section "&amp;IFERROR(INDEX('Challan Master'!$F$4:$F$207,MATCH($B166,'Challan Master'!$S$4:$S$207,0)),""))</f>
      </c>
      <c r="D166" s="8"/>
      <c r="E166" s="8"/>
      <c r="F166" s="7">
        <f>IF($D166="","",IF(AND(LEN(TRIM(UPPER(E166)))=10,CODE(MID(TRIM(UPPER(E166)),1,1))&gt;=65,CODE(MID(TRIM(UPPER(E166)),1,1))&lt;=90,CODE(MID(TRIM(UPPER(E166)),2,1))&gt;=65,CODE(MID(TRIM(UPPER(E166)),2,1))&lt;=90,CODE(MID(TRIM(UPPER(E166)),3,1))&gt;=65,CODE(MID(TRIM(UPPER(E166)),3,1))&lt;=90,CODE(MID(TRIM(UPPER(E166)),4,1))&gt;=65,CODE(MID(TRIM(UPPER(E166)),4,1))&lt;=90,CODE(MID(TRIM(UPPER(E166)),5,1))&gt;=65,CODE(MID(TRIM(UPPER(E166)),5,1))&lt;=90,CODE(MID(TRIM(UPPER(E166)),10,1))&gt;=65,CODE(MID(TRIM(UPPER(E166)),10,1))&lt;=90,CODE(MID(TRIM(UPPER(E166)),6,1))&gt;=48,CODE(MID(TRIM(UPPER(E166)),6,1))&lt;=57,CODE(MID(TRIM(UPPER(E166)),7,1))&gt;=48,CODE(MID(TRIM(UPPER(E166)),7,1))&lt;=57,CODE(MID(TRIM(UPPER(E166)),8,1))&gt;=48,CODE(MID(TRIM(UPPER(E166)),8,1))&lt;=57,CODE(MID(TRIM(UPPER(E166)),9,1))&gt;=48,CODE(MID(TRIM(UPPER(E166)),9,1))&lt;=57),"N","Y"))</f>
      </c>
      <c r="G166" s="7">
        <f>IF($D166="","",IF(LEN(E166)&lt;4,"",IF(UPPER(MID(E166,4,1))="P","Individual",IF(UPPER(MID(E166,4,1))="H","HUF",IF(UPPER(MID(E166,4,1))="C","Company",IF(UPPER(MID(E166,4,1))="F","Firm",IF(UPPER(MID(E166,4,1))="L","LLP",IF(UPPER(MID(E166,4,1))="T","Trust",IF(UPPER(MID(E166,4,1))="A","AOP","")))))))))</f>
      </c>
      <c r="H166" s="8"/>
      <c r="I166" s="7">
        <f>IF($D166="","",IF(H166="","",IF(F166="Y",SUMPRODUCT(('Rate Lookup'!$A$1:$A$37=H166)*'Rate Lookup'!$D$1:$D$37),IF(OR(G166="Individual",G166="HUF"),SUMPRODUCT(('Rate Lookup'!$A$1:$A$37=H166)*'Rate Lookup'!$B$1:$B$37),SUMPRODUCT(('Rate Lookup'!$A$1:$A$37=H166)*'Rate Lookup'!$C$1:$C$37)))))</f>
      </c>
      <c r="J166" s="8"/>
      <c r="K166" s="8"/>
      <c r="L166" s="7">
        <f>IF($D166="","",ROUND(K166*I166/100,0))</f>
      </c>
      <c r="M166" s="7">
        <f>IF($D166="","",0)</f>
      </c>
      <c r="N166" s="7">
        <f>IF($D166="","",0)</f>
      </c>
      <c r="O166" s="7">
        <f>IF($D166="","",IF(OR(L166=0,J166="",IFERROR(INDEX('Challan Master'!$D$4:$D$207,MATCH($B166,'Challan Master'!$S$4:$S$207,0)),"")="",IFERROR(INDEX('Challan Master'!$D$4:$D$207,MATCH($B166,'Challan Master'!$S$4:$S$207,0)),"")&lt;=0),0,IF(IFERROR(INDEX('Challan Master'!$D$4:$D$207,MATCH($B166,'Challan Master'!$S$4:$S$207,0)),"")&lt;=DATE(YEAR(J166),MONTH(J166)+1,7),0,ROUND(L166*0.015*((YEAR(IFERROR(INDEX('Challan Master'!$D$4:$D$207,MATCH($B166,'Challan Master'!$S$4:$S$207,0)),""))-YEAR(J166))*12+(MONTH(IFERROR(INDEX('Challan Master'!$D$4:$D$207,MATCH($B166,'Challan Master'!$S$4:$S$207,0)),""))-MONTH(J166))+1),0))))</f>
      </c>
      <c r="P166" s="7">
        <f>IF($D166="","",0)</f>
      </c>
      <c r="Q166" s="8"/>
      <c r="R166" s="8"/>
      <c r="S166" s="8"/>
      <c r="T166" s="8"/>
      <c r="U166" s="8"/>
      <c r="V166" s="7">
        <f>IF($B166="","",IFERROR(INDEX('Challan Master'!$AA$4:$AA$207,MATCH($B166,'Challan Master'!$S$4:$S$207,0)),""))</f>
      </c>
    </row>
    <row r="167" spans="1:22" x14ac:dyDescent="0.25">
      <c r="A167" s="7">
        <f>IF($D167="","",COUNTIF($D$4:$D167,"&lt;&gt;"))</f>
      </c>
      <c r="B167" s="8"/>
      <c r="C167" s="7">
        <f>IF($B167="","","BSR "&amp;IFERROR(INDEX('Challan Master'!$B$4:$B$207,MATCH($B167,'Challan Master'!$S$4:$S$207,0)),"")&amp;" | Serial "&amp;IFERROR(INDEX('Challan Master'!$C$4:$C$207,MATCH($B167,'Challan Master'!$S$4:$S$207,0)),"")&amp;" | Deposit "&amp;TEXT(IFERROR(INDEX('Challan Master'!$D$4:$D$207,MATCH($B167,'Challan Master'!$S$4:$S$207,0)),""),"dd-mm-yyyy")&amp;" | Minor Head "&amp;IFERROR(INDEX('Challan Master'!$E$4:$E$207,MATCH($B167,'Challan Master'!$S$4:$S$207,0)),"")&amp;" | Tax ₹"&amp;TEXT(IFERROR(INDEX('Challan Master'!$G$4:$G$207,MATCH($B167,'Challan Master'!$S$4:$S$207,0)),""),"#,##0")&amp;" | Section "&amp;IFERROR(INDEX('Challan Master'!$F$4:$F$207,MATCH($B167,'Challan Master'!$S$4:$S$207,0)),""))</f>
      </c>
      <c r="D167" s="8"/>
      <c r="E167" s="8"/>
      <c r="F167" s="7">
        <f>IF($D167="","",IF(AND(LEN(TRIM(UPPER(E167)))=10,CODE(MID(TRIM(UPPER(E167)),1,1))&gt;=65,CODE(MID(TRIM(UPPER(E167)),1,1))&lt;=90,CODE(MID(TRIM(UPPER(E167)),2,1))&gt;=65,CODE(MID(TRIM(UPPER(E167)),2,1))&lt;=90,CODE(MID(TRIM(UPPER(E167)),3,1))&gt;=65,CODE(MID(TRIM(UPPER(E167)),3,1))&lt;=90,CODE(MID(TRIM(UPPER(E167)),4,1))&gt;=65,CODE(MID(TRIM(UPPER(E167)),4,1))&lt;=90,CODE(MID(TRIM(UPPER(E167)),5,1))&gt;=65,CODE(MID(TRIM(UPPER(E167)),5,1))&lt;=90,CODE(MID(TRIM(UPPER(E167)),10,1))&gt;=65,CODE(MID(TRIM(UPPER(E167)),10,1))&lt;=90,CODE(MID(TRIM(UPPER(E167)),6,1))&gt;=48,CODE(MID(TRIM(UPPER(E167)),6,1))&lt;=57,CODE(MID(TRIM(UPPER(E167)),7,1))&gt;=48,CODE(MID(TRIM(UPPER(E167)),7,1))&lt;=57,CODE(MID(TRIM(UPPER(E167)),8,1))&gt;=48,CODE(MID(TRIM(UPPER(E167)),8,1))&lt;=57,CODE(MID(TRIM(UPPER(E167)),9,1))&gt;=48,CODE(MID(TRIM(UPPER(E167)),9,1))&lt;=57),"N","Y"))</f>
      </c>
      <c r="G167" s="7">
        <f>IF($D167="","",IF(LEN(E167)&lt;4,"",IF(UPPER(MID(E167,4,1))="P","Individual",IF(UPPER(MID(E167,4,1))="H","HUF",IF(UPPER(MID(E167,4,1))="C","Company",IF(UPPER(MID(E167,4,1))="F","Firm",IF(UPPER(MID(E167,4,1))="L","LLP",IF(UPPER(MID(E167,4,1))="T","Trust",IF(UPPER(MID(E167,4,1))="A","AOP","")))))))))</f>
      </c>
      <c r="H167" s="8"/>
      <c r="I167" s="7">
        <f>IF($D167="","",IF(H167="","",IF(F167="Y",SUMPRODUCT(('Rate Lookup'!$A$1:$A$37=H167)*'Rate Lookup'!$D$1:$D$37),IF(OR(G167="Individual",G167="HUF"),SUMPRODUCT(('Rate Lookup'!$A$1:$A$37=H167)*'Rate Lookup'!$B$1:$B$37),SUMPRODUCT(('Rate Lookup'!$A$1:$A$37=H167)*'Rate Lookup'!$C$1:$C$37)))))</f>
      </c>
      <c r="J167" s="8"/>
      <c r="K167" s="8"/>
      <c r="L167" s="7">
        <f>IF($D167="","",ROUND(K167*I167/100,0))</f>
      </c>
      <c r="M167" s="7">
        <f>IF($D167="","",0)</f>
      </c>
      <c r="N167" s="7">
        <f>IF($D167="","",0)</f>
      </c>
      <c r="O167" s="7">
        <f>IF($D167="","",IF(OR(L167=0,J167="",IFERROR(INDEX('Challan Master'!$D$4:$D$207,MATCH($B167,'Challan Master'!$S$4:$S$207,0)),"")="",IFERROR(INDEX('Challan Master'!$D$4:$D$207,MATCH($B167,'Challan Master'!$S$4:$S$207,0)),"")&lt;=0),0,IF(IFERROR(INDEX('Challan Master'!$D$4:$D$207,MATCH($B167,'Challan Master'!$S$4:$S$207,0)),"")&lt;=DATE(YEAR(J167),MONTH(J167)+1,7),0,ROUND(L167*0.015*((YEAR(IFERROR(INDEX('Challan Master'!$D$4:$D$207,MATCH($B167,'Challan Master'!$S$4:$S$207,0)),""))-YEAR(J167))*12+(MONTH(IFERROR(INDEX('Challan Master'!$D$4:$D$207,MATCH($B167,'Challan Master'!$S$4:$S$207,0)),""))-MONTH(J167))+1),0))))</f>
      </c>
      <c r="P167" s="7">
        <f>IF($D167="","",0)</f>
      </c>
      <c r="Q167" s="8"/>
      <c r="R167" s="8"/>
      <c r="S167" s="8"/>
      <c r="T167" s="8"/>
      <c r="U167" s="8"/>
      <c r="V167" s="7">
        <f>IF($B167="","",IFERROR(INDEX('Challan Master'!$AA$4:$AA$207,MATCH($B167,'Challan Master'!$S$4:$S$207,0)),""))</f>
      </c>
    </row>
    <row r="168" spans="1:22" x14ac:dyDescent="0.25">
      <c r="A168" s="7">
        <f>IF($D168="","",COUNTIF($D$4:$D168,"&lt;&gt;"))</f>
      </c>
      <c r="B168" s="8"/>
      <c r="C168" s="7">
        <f>IF($B168="","","BSR "&amp;IFERROR(INDEX('Challan Master'!$B$4:$B$207,MATCH($B168,'Challan Master'!$S$4:$S$207,0)),"")&amp;" | Serial "&amp;IFERROR(INDEX('Challan Master'!$C$4:$C$207,MATCH($B168,'Challan Master'!$S$4:$S$207,0)),"")&amp;" | Deposit "&amp;TEXT(IFERROR(INDEX('Challan Master'!$D$4:$D$207,MATCH($B168,'Challan Master'!$S$4:$S$207,0)),""),"dd-mm-yyyy")&amp;" | Minor Head "&amp;IFERROR(INDEX('Challan Master'!$E$4:$E$207,MATCH($B168,'Challan Master'!$S$4:$S$207,0)),"")&amp;" | Tax ₹"&amp;TEXT(IFERROR(INDEX('Challan Master'!$G$4:$G$207,MATCH($B168,'Challan Master'!$S$4:$S$207,0)),""),"#,##0")&amp;" | Section "&amp;IFERROR(INDEX('Challan Master'!$F$4:$F$207,MATCH($B168,'Challan Master'!$S$4:$S$207,0)),""))</f>
      </c>
      <c r="D168" s="8"/>
      <c r="E168" s="8"/>
      <c r="F168" s="7">
        <f>IF($D168="","",IF(AND(LEN(TRIM(UPPER(E168)))=10,CODE(MID(TRIM(UPPER(E168)),1,1))&gt;=65,CODE(MID(TRIM(UPPER(E168)),1,1))&lt;=90,CODE(MID(TRIM(UPPER(E168)),2,1))&gt;=65,CODE(MID(TRIM(UPPER(E168)),2,1))&lt;=90,CODE(MID(TRIM(UPPER(E168)),3,1))&gt;=65,CODE(MID(TRIM(UPPER(E168)),3,1))&lt;=90,CODE(MID(TRIM(UPPER(E168)),4,1))&gt;=65,CODE(MID(TRIM(UPPER(E168)),4,1))&lt;=90,CODE(MID(TRIM(UPPER(E168)),5,1))&gt;=65,CODE(MID(TRIM(UPPER(E168)),5,1))&lt;=90,CODE(MID(TRIM(UPPER(E168)),10,1))&gt;=65,CODE(MID(TRIM(UPPER(E168)),10,1))&lt;=90,CODE(MID(TRIM(UPPER(E168)),6,1))&gt;=48,CODE(MID(TRIM(UPPER(E168)),6,1))&lt;=57,CODE(MID(TRIM(UPPER(E168)),7,1))&gt;=48,CODE(MID(TRIM(UPPER(E168)),7,1))&lt;=57,CODE(MID(TRIM(UPPER(E168)),8,1))&gt;=48,CODE(MID(TRIM(UPPER(E168)),8,1))&lt;=57,CODE(MID(TRIM(UPPER(E168)),9,1))&gt;=48,CODE(MID(TRIM(UPPER(E168)),9,1))&lt;=57),"N","Y"))</f>
      </c>
      <c r="G168" s="7">
        <f>IF($D168="","",IF(LEN(E168)&lt;4,"",IF(UPPER(MID(E168,4,1))="P","Individual",IF(UPPER(MID(E168,4,1))="H","HUF",IF(UPPER(MID(E168,4,1))="C","Company",IF(UPPER(MID(E168,4,1))="F","Firm",IF(UPPER(MID(E168,4,1))="L","LLP",IF(UPPER(MID(E168,4,1))="T","Trust",IF(UPPER(MID(E168,4,1))="A","AOP","")))))))))</f>
      </c>
      <c r="H168" s="8"/>
      <c r="I168" s="7">
        <f>IF($D168="","",IF(H168="","",IF(F168="Y",SUMPRODUCT(('Rate Lookup'!$A$1:$A$37=H168)*'Rate Lookup'!$D$1:$D$37),IF(OR(G168="Individual",G168="HUF"),SUMPRODUCT(('Rate Lookup'!$A$1:$A$37=H168)*'Rate Lookup'!$B$1:$B$37),SUMPRODUCT(('Rate Lookup'!$A$1:$A$37=H168)*'Rate Lookup'!$C$1:$C$37)))))</f>
      </c>
      <c r="J168" s="8"/>
      <c r="K168" s="8"/>
      <c r="L168" s="7">
        <f>IF($D168="","",ROUND(K168*I168/100,0))</f>
      </c>
      <c r="M168" s="7">
        <f>IF($D168="","",0)</f>
      </c>
      <c r="N168" s="7">
        <f>IF($D168="","",0)</f>
      </c>
      <c r="O168" s="7">
        <f>IF($D168="","",IF(OR(L168=0,J168="",IFERROR(INDEX('Challan Master'!$D$4:$D$207,MATCH($B168,'Challan Master'!$S$4:$S$207,0)),"")="",IFERROR(INDEX('Challan Master'!$D$4:$D$207,MATCH($B168,'Challan Master'!$S$4:$S$207,0)),"")&lt;=0),0,IF(IFERROR(INDEX('Challan Master'!$D$4:$D$207,MATCH($B168,'Challan Master'!$S$4:$S$207,0)),"")&lt;=DATE(YEAR(J168),MONTH(J168)+1,7),0,ROUND(L168*0.015*((YEAR(IFERROR(INDEX('Challan Master'!$D$4:$D$207,MATCH($B168,'Challan Master'!$S$4:$S$207,0)),""))-YEAR(J168))*12+(MONTH(IFERROR(INDEX('Challan Master'!$D$4:$D$207,MATCH($B168,'Challan Master'!$S$4:$S$207,0)),""))-MONTH(J168))+1),0))))</f>
      </c>
      <c r="P168" s="7">
        <f>IF($D168="","",0)</f>
      </c>
      <c r="Q168" s="8"/>
      <c r="R168" s="8"/>
      <c r="S168" s="8"/>
      <c r="T168" s="8"/>
      <c r="U168" s="8"/>
      <c r="V168" s="7">
        <f>IF($B168="","",IFERROR(INDEX('Challan Master'!$AA$4:$AA$207,MATCH($B168,'Challan Master'!$S$4:$S$207,0)),""))</f>
      </c>
    </row>
    <row r="169" spans="1:22" x14ac:dyDescent="0.25">
      <c r="A169" s="7">
        <f>IF($D169="","",COUNTIF($D$4:$D169,"&lt;&gt;"))</f>
      </c>
      <c r="B169" s="8"/>
      <c r="C169" s="7">
        <f>IF($B169="","","BSR "&amp;IFERROR(INDEX('Challan Master'!$B$4:$B$207,MATCH($B169,'Challan Master'!$S$4:$S$207,0)),"")&amp;" | Serial "&amp;IFERROR(INDEX('Challan Master'!$C$4:$C$207,MATCH($B169,'Challan Master'!$S$4:$S$207,0)),"")&amp;" | Deposit "&amp;TEXT(IFERROR(INDEX('Challan Master'!$D$4:$D$207,MATCH($B169,'Challan Master'!$S$4:$S$207,0)),""),"dd-mm-yyyy")&amp;" | Minor Head "&amp;IFERROR(INDEX('Challan Master'!$E$4:$E$207,MATCH($B169,'Challan Master'!$S$4:$S$207,0)),"")&amp;" | Tax ₹"&amp;TEXT(IFERROR(INDEX('Challan Master'!$G$4:$G$207,MATCH($B169,'Challan Master'!$S$4:$S$207,0)),""),"#,##0")&amp;" | Section "&amp;IFERROR(INDEX('Challan Master'!$F$4:$F$207,MATCH($B169,'Challan Master'!$S$4:$S$207,0)),""))</f>
      </c>
      <c r="D169" s="8"/>
      <c r="E169" s="8"/>
      <c r="F169" s="7">
        <f>IF($D169="","",IF(AND(LEN(TRIM(UPPER(E169)))=10,CODE(MID(TRIM(UPPER(E169)),1,1))&gt;=65,CODE(MID(TRIM(UPPER(E169)),1,1))&lt;=90,CODE(MID(TRIM(UPPER(E169)),2,1))&gt;=65,CODE(MID(TRIM(UPPER(E169)),2,1))&lt;=90,CODE(MID(TRIM(UPPER(E169)),3,1))&gt;=65,CODE(MID(TRIM(UPPER(E169)),3,1))&lt;=90,CODE(MID(TRIM(UPPER(E169)),4,1))&gt;=65,CODE(MID(TRIM(UPPER(E169)),4,1))&lt;=90,CODE(MID(TRIM(UPPER(E169)),5,1))&gt;=65,CODE(MID(TRIM(UPPER(E169)),5,1))&lt;=90,CODE(MID(TRIM(UPPER(E169)),10,1))&gt;=65,CODE(MID(TRIM(UPPER(E169)),10,1))&lt;=90,CODE(MID(TRIM(UPPER(E169)),6,1))&gt;=48,CODE(MID(TRIM(UPPER(E169)),6,1))&lt;=57,CODE(MID(TRIM(UPPER(E169)),7,1))&gt;=48,CODE(MID(TRIM(UPPER(E169)),7,1))&lt;=57,CODE(MID(TRIM(UPPER(E169)),8,1))&gt;=48,CODE(MID(TRIM(UPPER(E169)),8,1))&lt;=57,CODE(MID(TRIM(UPPER(E169)),9,1))&gt;=48,CODE(MID(TRIM(UPPER(E169)),9,1))&lt;=57),"N","Y"))</f>
      </c>
      <c r="G169" s="7">
        <f>IF($D169="","",IF(LEN(E169)&lt;4,"",IF(UPPER(MID(E169,4,1))="P","Individual",IF(UPPER(MID(E169,4,1))="H","HUF",IF(UPPER(MID(E169,4,1))="C","Company",IF(UPPER(MID(E169,4,1))="F","Firm",IF(UPPER(MID(E169,4,1))="L","LLP",IF(UPPER(MID(E169,4,1))="T","Trust",IF(UPPER(MID(E169,4,1))="A","AOP","")))))))))</f>
      </c>
      <c r="H169" s="8"/>
      <c r="I169" s="7">
        <f>IF($D169="","",IF(H169="","",IF(F169="Y",SUMPRODUCT(('Rate Lookup'!$A$1:$A$37=H169)*'Rate Lookup'!$D$1:$D$37),IF(OR(G169="Individual",G169="HUF"),SUMPRODUCT(('Rate Lookup'!$A$1:$A$37=H169)*'Rate Lookup'!$B$1:$B$37),SUMPRODUCT(('Rate Lookup'!$A$1:$A$37=H169)*'Rate Lookup'!$C$1:$C$37)))))</f>
      </c>
      <c r="J169" s="8"/>
      <c r="K169" s="8"/>
      <c r="L169" s="7">
        <f>IF($D169="","",ROUND(K169*I169/100,0))</f>
      </c>
      <c r="M169" s="7">
        <f>IF($D169="","",0)</f>
      </c>
      <c r="N169" s="7">
        <f>IF($D169="","",0)</f>
      </c>
      <c r="O169" s="7">
        <f>IF($D169="","",IF(OR(L169=0,J169="",IFERROR(INDEX('Challan Master'!$D$4:$D$207,MATCH($B169,'Challan Master'!$S$4:$S$207,0)),"")="",IFERROR(INDEX('Challan Master'!$D$4:$D$207,MATCH($B169,'Challan Master'!$S$4:$S$207,0)),"")&lt;=0),0,IF(IFERROR(INDEX('Challan Master'!$D$4:$D$207,MATCH($B169,'Challan Master'!$S$4:$S$207,0)),"")&lt;=DATE(YEAR(J169),MONTH(J169)+1,7),0,ROUND(L169*0.015*((YEAR(IFERROR(INDEX('Challan Master'!$D$4:$D$207,MATCH($B169,'Challan Master'!$S$4:$S$207,0)),""))-YEAR(J169))*12+(MONTH(IFERROR(INDEX('Challan Master'!$D$4:$D$207,MATCH($B169,'Challan Master'!$S$4:$S$207,0)),""))-MONTH(J169))+1),0))))</f>
      </c>
      <c r="P169" s="7">
        <f>IF($D169="","",0)</f>
      </c>
      <c r="Q169" s="8"/>
      <c r="R169" s="8"/>
      <c r="S169" s="8"/>
      <c r="T169" s="8"/>
      <c r="U169" s="8"/>
      <c r="V169" s="7">
        <f>IF($B169="","",IFERROR(INDEX('Challan Master'!$AA$4:$AA$207,MATCH($B169,'Challan Master'!$S$4:$S$207,0)),""))</f>
      </c>
    </row>
    <row r="170" spans="1:22" x14ac:dyDescent="0.25">
      <c r="A170" s="7">
        <f>IF($D170="","",COUNTIF($D$4:$D170,"&lt;&gt;"))</f>
      </c>
      <c r="B170" s="8"/>
      <c r="C170" s="7">
        <f>IF($B170="","","BSR "&amp;IFERROR(INDEX('Challan Master'!$B$4:$B$207,MATCH($B170,'Challan Master'!$S$4:$S$207,0)),"")&amp;" | Serial "&amp;IFERROR(INDEX('Challan Master'!$C$4:$C$207,MATCH($B170,'Challan Master'!$S$4:$S$207,0)),"")&amp;" | Deposit "&amp;TEXT(IFERROR(INDEX('Challan Master'!$D$4:$D$207,MATCH($B170,'Challan Master'!$S$4:$S$207,0)),""),"dd-mm-yyyy")&amp;" | Minor Head "&amp;IFERROR(INDEX('Challan Master'!$E$4:$E$207,MATCH($B170,'Challan Master'!$S$4:$S$207,0)),"")&amp;" | Tax ₹"&amp;TEXT(IFERROR(INDEX('Challan Master'!$G$4:$G$207,MATCH($B170,'Challan Master'!$S$4:$S$207,0)),""),"#,##0")&amp;" | Section "&amp;IFERROR(INDEX('Challan Master'!$F$4:$F$207,MATCH($B170,'Challan Master'!$S$4:$S$207,0)),""))</f>
      </c>
      <c r="D170" s="8"/>
      <c r="E170" s="8"/>
      <c r="F170" s="7">
        <f>IF($D170="","",IF(AND(LEN(TRIM(UPPER(E170)))=10,CODE(MID(TRIM(UPPER(E170)),1,1))&gt;=65,CODE(MID(TRIM(UPPER(E170)),1,1))&lt;=90,CODE(MID(TRIM(UPPER(E170)),2,1))&gt;=65,CODE(MID(TRIM(UPPER(E170)),2,1))&lt;=90,CODE(MID(TRIM(UPPER(E170)),3,1))&gt;=65,CODE(MID(TRIM(UPPER(E170)),3,1))&lt;=90,CODE(MID(TRIM(UPPER(E170)),4,1))&gt;=65,CODE(MID(TRIM(UPPER(E170)),4,1))&lt;=90,CODE(MID(TRIM(UPPER(E170)),5,1))&gt;=65,CODE(MID(TRIM(UPPER(E170)),5,1))&lt;=90,CODE(MID(TRIM(UPPER(E170)),10,1))&gt;=65,CODE(MID(TRIM(UPPER(E170)),10,1))&lt;=90,CODE(MID(TRIM(UPPER(E170)),6,1))&gt;=48,CODE(MID(TRIM(UPPER(E170)),6,1))&lt;=57,CODE(MID(TRIM(UPPER(E170)),7,1))&gt;=48,CODE(MID(TRIM(UPPER(E170)),7,1))&lt;=57,CODE(MID(TRIM(UPPER(E170)),8,1))&gt;=48,CODE(MID(TRIM(UPPER(E170)),8,1))&lt;=57,CODE(MID(TRIM(UPPER(E170)),9,1))&gt;=48,CODE(MID(TRIM(UPPER(E170)),9,1))&lt;=57),"N","Y"))</f>
      </c>
      <c r="G170" s="7">
        <f>IF($D170="","",IF(LEN(E170)&lt;4,"",IF(UPPER(MID(E170,4,1))="P","Individual",IF(UPPER(MID(E170,4,1))="H","HUF",IF(UPPER(MID(E170,4,1))="C","Company",IF(UPPER(MID(E170,4,1))="F","Firm",IF(UPPER(MID(E170,4,1))="L","LLP",IF(UPPER(MID(E170,4,1))="T","Trust",IF(UPPER(MID(E170,4,1))="A","AOP","")))))))))</f>
      </c>
      <c r="H170" s="8"/>
      <c r="I170" s="7">
        <f>IF($D170="","",IF(H170="","",IF(F170="Y",SUMPRODUCT(('Rate Lookup'!$A$1:$A$37=H170)*'Rate Lookup'!$D$1:$D$37),IF(OR(G170="Individual",G170="HUF"),SUMPRODUCT(('Rate Lookup'!$A$1:$A$37=H170)*'Rate Lookup'!$B$1:$B$37),SUMPRODUCT(('Rate Lookup'!$A$1:$A$37=H170)*'Rate Lookup'!$C$1:$C$37)))))</f>
      </c>
      <c r="J170" s="8"/>
      <c r="K170" s="8"/>
      <c r="L170" s="7">
        <f>IF($D170="","",ROUND(K170*I170/100,0))</f>
      </c>
      <c r="M170" s="7">
        <f>IF($D170="","",0)</f>
      </c>
      <c r="N170" s="7">
        <f>IF($D170="","",0)</f>
      </c>
      <c r="O170" s="7">
        <f>IF($D170="","",IF(OR(L170=0,J170="",IFERROR(INDEX('Challan Master'!$D$4:$D$207,MATCH($B170,'Challan Master'!$S$4:$S$207,0)),"")="",IFERROR(INDEX('Challan Master'!$D$4:$D$207,MATCH($B170,'Challan Master'!$S$4:$S$207,0)),"")&lt;=0),0,IF(IFERROR(INDEX('Challan Master'!$D$4:$D$207,MATCH($B170,'Challan Master'!$S$4:$S$207,0)),"")&lt;=DATE(YEAR(J170),MONTH(J170)+1,7),0,ROUND(L170*0.015*((YEAR(IFERROR(INDEX('Challan Master'!$D$4:$D$207,MATCH($B170,'Challan Master'!$S$4:$S$207,0)),""))-YEAR(J170))*12+(MONTH(IFERROR(INDEX('Challan Master'!$D$4:$D$207,MATCH($B170,'Challan Master'!$S$4:$S$207,0)),""))-MONTH(J170))+1),0))))</f>
      </c>
      <c r="P170" s="7">
        <f>IF($D170="","",0)</f>
      </c>
      <c r="Q170" s="8"/>
      <c r="R170" s="8"/>
      <c r="S170" s="8"/>
      <c r="T170" s="8"/>
      <c r="U170" s="8"/>
      <c r="V170" s="7">
        <f>IF($B170="","",IFERROR(INDEX('Challan Master'!$AA$4:$AA$207,MATCH($B170,'Challan Master'!$S$4:$S$207,0)),""))</f>
      </c>
    </row>
    <row r="171" spans="1:22" x14ac:dyDescent="0.25">
      <c r="A171" s="7">
        <f>IF($D171="","",COUNTIF($D$4:$D171,"&lt;&gt;"))</f>
      </c>
      <c r="B171" s="8"/>
      <c r="C171" s="7">
        <f>IF($B171="","","BSR "&amp;IFERROR(INDEX('Challan Master'!$B$4:$B$207,MATCH($B171,'Challan Master'!$S$4:$S$207,0)),"")&amp;" | Serial "&amp;IFERROR(INDEX('Challan Master'!$C$4:$C$207,MATCH($B171,'Challan Master'!$S$4:$S$207,0)),"")&amp;" | Deposit "&amp;TEXT(IFERROR(INDEX('Challan Master'!$D$4:$D$207,MATCH($B171,'Challan Master'!$S$4:$S$207,0)),""),"dd-mm-yyyy")&amp;" | Minor Head "&amp;IFERROR(INDEX('Challan Master'!$E$4:$E$207,MATCH($B171,'Challan Master'!$S$4:$S$207,0)),"")&amp;" | Tax ₹"&amp;TEXT(IFERROR(INDEX('Challan Master'!$G$4:$G$207,MATCH($B171,'Challan Master'!$S$4:$S$207,0)),""),"#,##0")&amp;" | Section "&amp;IFERROR(INDEX('Challan Master'!$F$4:$F$207,MATCH($B171,'Challan Master'!$S$4:$S$207,0)),""))</f>
      </c>
      <c r="D171" s="8"/>
      <c r="E171" s="8"/>
      <c r="F171" s="7">
        <f>IF($D171="","",IF(AND(LEN(TRIM(UPPER(E171)))=10,CODE(MID(TRIM(UPPER(E171)),1,1))&gt;=65,CODE(MID(TRIM(UPPER(E171)),1,1))&lt;=90,CODE(MID(TRIM(UPPER(E171)),2,1))&gt;=65,CODE(MID(TRIM(UPPER(E171)),2,1))&lt;=90,CODE(MID(TRIM(UPPER(E171)),3,1))&gt;=65,CODE(MID(TRIM(UPPER(E171)),3,1))&lt;=90,CODE(MID(TRIM(UPPER(E171)),4,1))&gt;=65,CODE(MID(TRIM(UPPER(E171)),4,1))&lt;=90,CODE(MID(TRIM(UPPER(E171)),5,1))&gt;=65,CODE(MID(TRIM(UPPER(E171)),5,1))&lt;=90,CODE(MID(TRIM(UPPER(E171)),10,1))&gt;=65,CODE(MID(TRIM(UPPER(E171)),10,1))&lt;=90,CODE(MID(TRIM(UPPER(E171)),6,1))&gt;=48,CODE(MID(TRIM(UPPER(E171)),6,1))&lt;=57,CODE(MID(TRIM(UPPER(E171)),7,1))&gt;=48,CODE(MID(TRIM(UPPER(E171)),7,1))&lt;=57,CODE(MID(TRIM(UPPER(E171)),8,1))&gt;=48,CODE(MID(TRIM(UPPER(E171)),8,1))&lt;=57,CODE(MID(TRIM(UPPER(E171)),9,1))&gt;=48,CODE(MID(TRIM(UPPER(E171)),9,1))&lt;=57),"N","Y"))</f>
      </c>
      <c r="G171" s="7">
        <f>IF($D171="","",IF(LEN(E171)&lt;4,"",IF(UPPER(MID(E171,4,1))="P","Individual",IF(UPPER(MID(E171,4,1))="H","HUF",IF(UPPER(MID(E171,4,1))="C","Company",IF(UPPER(MID(E171,4,1))="F","Firm",IF(UPPER(MID(E171,4,1))="L","LLP",IF(UPPER(MID(E171,4,1))="T","Trust",IF(UPPER(MID(E171,4,1))="A","AOP","")))))))))</f>
      </c>
      <c r="H171" s="8"/>
      <c r="I171" s="7">
        <f>IF($D171="","",IF(H171="","",IF(F171="Y",SUMPRODUCT(('Rate Lookup'!$A$1:$A$37=H171)*'Rate Lookup'!$D$1:$D$37),IF(OR(G171="Individual",G171="HUF"),SUMPRODUCT(('Rate Lookup'!$A$1:$A$37=H171)*'Rate Lookup'!$B$1:$B$37),SUMPRODUCT(('Rate Lookup'!$A$1:$A$37=H171)*'Rate Lookup'!$C$1:$C$37)))))</f>
      </c>
      <c r="J171" s="8"/>
      <c r="K171" s="8"/>
      <c r="L171" s="7">
        <f>IF($D171="","",ROUND(K171*I171/100,0))</f>
      </c>
      <c r="M171" s="7">
        <f>IF($D171="","",0)</f>
      </c>
      <c r="N171" s="7">
        <f>IF($D171="","",0)</f>
      </c>
      <c r="O171" s="7">
        <f>IF($D171="","",IF(OR(L171=0,J171="",IFERROR(INDEX('Challan Master'!$D$4:$D$207,MATCH($B171,'Challan Master'!$S$4:$S$207,0)),"")="",IFERROR(INDEX('Challan Master'!$D$4:$D$207,MATCH($B171,'Challan Master'!$S$4:$S$207,0)),"")&lt;=0),0,IF(IFERROR(INDEX('Challan Master'!$D$4:$D$207,MATCH($B171,'Challan Master'!$S$4:$S$207,0)),"")&lt;=DATE(YEAR(J171),MONTH(J171)+1,7),0,ROUND(L171*0.015*((YEAR(IFERROR(INDEX('Challan Master'!$D$4:$D$207,MATCH($B171,'Challan Master'!$S$4:$S$207,0)),""))-YEAR(J171))*12+(MONTH(IFERROR(INDEX('Challan Master'!$D$4:$D$207,MATCH($B171,'Challan Master'!$S$4:$S$207,0)),""))-MONTH(J171))+1),0))))</f>
      </c>
      <c r="P171" s="7">
        <f>IF($D171="","",0)</f>
      </c>
      <c r="Q171" s="8"/>
      <c r="R171" s="8"/>
      <c r="S171" s="8"/>
      <c r="T171" s="8"/>
      <c r="U171" s="8"/>
      <c r="V171" s="7">
        <f>IF($B171="","",IFERROR(INDEX('Challan Master'!$AA$4:$AA$207,MATCH($B171,'Challan Master'!$S$4:$S$207,0)),""))</f>
      </c>
    </row>
    <row r="172" spans="1:22" x14ac:dyDescent="0.25">
      <c r="A172" s="7">
        <f>IF($D172="","",COUNTIF($D$4:$D172,"&lt;&gt;"))</f>
      </c>
      <c r="B172" s="8"/>
      <c r="C172" s="7">
        <f>IF($B172="","","BSR "&amp;IFERROR(INDEX('Challan Master'!$B$4:$B$207,MATCH($B172,'Challan Master'!$S$4:$S$207,0)),"")&amp;" | Serial "&amp;IFERROR(INDEX('Challan Master'!$C$4:$C$207,MATCH($B172,'Challan Master'!$S$4:$S$207,0)),"")&amp;" | Deposit "&amp;TEXT(IFERROR(INDEX('Challan Master'!$D$4:$D$207,MATCH($B172,'Challan Master'!$S$4:$S$207,0)),""),"dd-mm-yyyy")&amp;" | Minor Head "&amp;IFERROR(INDEX('Challan Master'!$E$4:$E$207,MATCH($B172,'Challan Master'!$S$4:$S$207,0)),"")&amp;" | Tax ₹"&amp;TEXT(IFERROR(INDEX('Challan Master'!$G$4:$G$207,MATCH($B172,'Challan Master'!$S$4:$S$207,0)),""),"#,##0")&amp;" | Section "&amp;IFERROR(INDEX('Challan Master'!$F$4:$F$207,MATCH($B172,'Challan Master'!$S$4:$S$207,0)),""))</f>
      </c>
      <c r="D172" s="8"/>
      <c r="E172" s="8"/>
      <c r="F172" s="7">
        <f>IF($D172="","",IF(AND(LEN(TRIM(UPPER(E172)))=10,CODE(MID(TRIM(UPPER(E172)),1,1))&gt;=65,CODE(MID(TRIM(UPPER(E172)),1,1))&lt;=90,CODE(MID(TRIM(UPPER(E172)),2,1))&gt;=65,CODE(MID(TRIM(UPPER(E172)),2,1))&lt;=90,CODE(MID(TRIM(UPPER(E172)),3,1))&gt;=65,CODE(MID(TRIM(UPPER(E172)),3,1))&lt;=90,CODE(MID(TRIM(UPPER(E172)),4,1))&gt;=65,CODE(MID(TRIM(UPPER(E172)),4,1))&lt;=90,CODE(MID(TRIM(UPPER(E172)),5,1))&gt;=65,CODE(MID(TRIM(UPPER(E172)),5,1))&lt;=90,CODE(MID(TRIM(UPPER(E172)),10,1))&gt;=65,CODE(MID(TRIM(UPPER(E172)),10,1))&lt;=90,CODE(MID(TRIM(UPPER(E172)),6,1))&gt;=48,CODE(MID(TRIM(UPPER(E172)),6,1))&lt;=57,CODE(MID(TRIM(UPPER(E172)),7,1))&gt;=48,CODE(MID(TRIM(UPPER(E172)),7,1))&lt;=57,CODE(MID(TRIM(UPPER(E172)),8,1))&gt;=48,CODE(MID(TRIM(UPPER(E172)),8,1))&lt;=57,CODE(MID(TRIM(UPPER(E172)),9,1))&gt;=48,CODE(MID(TRIM(UPPER(E172)),9,1))&lt;=57),"N","Y"))</f>
      </c>
      <c r="G172" s="7">
        <f>IF($D172="","",IF(LEN(E172)&lt;4,"",IF(UPPER(MID(E172,4,1))="P","Individual",IF(UPPER(MID(E172,4,1))="H","HUF",IF(UPPER(MID(E172,4,1))="C","Company",IF(UPPER(MID(E172,4,1))="F","Firm",IF(UPPER(MID(E172,4,1))="L","LLP",IF(UPPER(MID(E172,4,1))="T","Trust",IF(UPPER(MID(E172,4,1))="A","AOP","")))))))))</f>
      </c>
      <c r="H172" s="8"/>
      <c r="I172" s="7">
        <f>IF($D172="","",IF(H172="","",IF(F172="Y",SUMPRODUCT(('Rate Lookup'!$A$1:$A$37=H172)*'Rate Lookup'!$D$1:$D$37),IF(OR(G172="Individual",G172="HUF"),SUMPRODUCT(('Rate Lookup'!$A$1:$A$37=H172)*'Rate Lookup'!$B$1:$B$37),SUMPRODUCT(('Rate Lookup'!$A$1:$A$37=H172)*'Rate Lookup'!$C$1:$C$37)))))</f>
      </c>
      <c r="J172" s="8"/>
      <c r="K172" s="8"/>
      <c r="L172" s="7">
        <f>IF($D172="","",ROUND(K172*I172/100,0))</f>
      </c>
      <c r="M172" s="7">
        <f>IF($D172="","",0)</f>
      </c>
      <c r="N172" s="7">
        <f>IF($D172="","",0)</f>
      </c>
      <c r="O172" s="7">
        <f>IF($D172="","",IF(OR(L172=0,J172="",IFERROR(INDEX('Challan Master'!$D$4:$D$207,MATCH($B172,'Challan Master'!$S$4:$S$207,0)),"")="",IFERROR(INDEX('Challan Master'!$D$4:$D$207,MATCH($B172,'Challan Master'!$S$4:$S$207,0)),"")&lt;=0),0,IF(IFERROR(INDEX('Challan Master'!$D$4:$D$207,MATCH($B172,'Challan Master'!$S$4:$S$207,0)),"")&lt;=DATE(YEAR(J172),MONTH(J172)+1,7),0,ROUND(L172*0.015*((YEAR(IFERROR(INDEX('Challan Master'!$D$4:$D$207,MATCH($B172,'Challan Master'!$S$4:$S$207,0)),""))-YEAR(J172))*12+(MONTH(IFERROR(INDEX('Challan Master'!$D$4:$D$207,MATCH($B172,'Challan Master'!$S$4:$S$207,0)),""))-MONTH(J172))+1),0))))</f>
      </c>
      <c r="P172" s="7">
        <f>IF($D172="","",0)</f>
      </c>
      <c r="Q172" s="8"/>
      <c r="R172" s="8"/>
      <c r="S172" s="8"/>
      <c r="T172" s="8"/>
      <c r="U172" s="8"/>
      <c r="V172" s="7">
        <f>IF($B172="","",IFERROR(INDEX('Challan Master'!$AA$4:$AA$207,MATCH($B172,'Challan Master'!$S$4:$S$207,0)),""))</f>
      </c>
    </row>
    <row r="173" spans="1:22" x14ac:dyDescent="0.25">
      <c r="A173" s="7">
        <f>IF($D173="","",COUNTIF($D$4:$D173,"&lt;&gt;"))</f>
      </c>
      <c r="B173" s="8"/>
      <c r="C173" s="7">
        <f>IF($B173="","","BSR "&amp;IFERROR(INDEX('Challan Master'!$B$4:$B$207,MATCH($B173,'Challan Master'!$S$4:$S$207,0)),"")&amp;" | Serial "&amp;IFERROR(INDEX('Challan Master'!$C$4:$C$207,MATCH($B173,'Challan Master'!$S$4:$S$207,0)),"")&amp;" | Deposit "&amp;TEXT(IFERROR(INDEX('Challan Master'!$D$4:$D$207,MATCH($B173,'Challan Master'!$S$4:$S$207,0)),""),"dd-mm-yyyy")&amp;" | Minor Head "&amp;IFERROR(INDEX('Challan Master'!$E$4:$E$207,MATCH($B173,'Challan Master'!$S$4:$S$207,0)),"")&amp;" | Tax ₹"&amp;TEXT(IFERROR(INDEX('Challan Master'!$G$4:$G$207,MATCH($B173,'Challan Master'!$S$4:$S$207,0)),""),"#,##0")&amp;" | Section "&amp;IFERROR(INDEX('Challan Master'!$F$4:$F$207,MATCH($B173,'Challan Master'!$S$4:$S$207,0)),""))</f>
      </c>
      <c r="D173" s="8"/>
      <c r="E173" s="8"/>
      <c r="F173" s="7">
        <f>IF($D173="","",IF(AND(LEN(TRIM(UPPER(E173)))=10,CODE(MID(TRIM(UPPER(E173)),1,1))&gt;=65,CODE(MID(TRIM(UPPER(E173)),1,1))&lt;=90,CODE(MID(TRIM(UPPER(E173)),2,1))&gt;=65,CODE(MID(TRIM(UPPER(E173)),2,1))&lt;=90,CODE(MID(TRIM(UPPER(E173)),3,1))&gt;=65,CODE(MID(TRIM(UPPER(E173)),3,1))&lt;=90,CODE(MID(TRIM(UPPER(E173)),4,1))&gt;=65,CODE(MID(TRIM(UPPER(E173)),4,1))&lt;=90,CODE(MID(TRIM(UPPER(E173)),5,1))&gt;=65,CODE(MID(TRIM(UPPER(E173)),5,1))&lt;=90,CODE(MID(TRIM(UPPER(E173)),10,1))&gt;=65,CODE(MID(TRIM(UPPER(E173)),10,1))&lt;=90,CODE(MID(TRIM(UPPER(E173)),6,1))&gt;=48,CODE(MID(TRIM(UPPER(E173)),6,1))&lt;=57,CODE(MID(TRIM(UPPER(E173)),7,1))&gt;=48,CODE(MID(TRIM(UPPER(E173)),7,1))&lt;=57,CODE(MID(TRIM(UPPER(E173)),8,1))&gt;=48,CODE(MID(TRIM(UPPER(E173)),8,1))&lt;=57,CODE(MID(TRIM(UPPER(E173)),9,1))&gt;=48,CODE(MID(TRIM(UPPER(E173)),9,1))&lt;=57),"N","Y"))</f>
      </c>
      <c r="G173" s="7">
        <f>IF($D173="","",IF(LEN(E173)&lt;4,"",IF(UPPER(MID(E173,4,1))="P","Individual",IF(UPPER(MID(E173,4,1))="H","HUF",IF(UPPER(MID(E173,4,1))="C","Company",IF(UPPER(MID(E173,4,1))="F","Firm",IF(UPPER(MID(E173,4,1))="L","LLP",IF(UPPER(MID(E173,4,1))="T","Trust",IF(UPPER(MID(E173,4,1))="A","AOP","")))))))))</f>
      </c>
      <c r="H173" s="8"/>
      <c r="I173" s="7">
        <f>IF($D173="","",IF(H173="","",IF(F173="Y",SUMPRODUCT(('Rate Lookup'!$A$1:$A$37=H173)*'Rate Lookup'!$D$1:$D$37),IF(OR(G173="Individual",G173="HUF"),SUMPRODUCT(('Rate Lookup'!$A$1:$A$37=H173)*'Rate Lookup'!$B$1:$B$37),SUMPRODUCT(('Rate Lookup'!$A$1:$A$37=H173)*'Rate Lookup'!$C$1:$C$37)))))</f>
      </c>
      <c r="J173" s="8"/>
      <c r="K173" s="8"/>
      <c r="L173" s="7">
        <f>IF($D173="","",ROUND(K173*I173/100,0))</f>
      </c>
      <c r="M173" s="7">
        <f>IF($D173="","",0)</f>
      </c>
      <c r="N173" s="7">
        <f>IF($D173="","",0)</f>
      </c>
      <c r="O173" s="7">
        <f>IF($D173="","",IF(OR(L173=0,J173="",IFERROR(INDEX('Challan Master'!$D$4:$D$207,MATCH($B173,'Challan Master'!$S$4:$S$207,0)),"")="",IFERROR(INDEX('Challan Master'!$D$4:$D$207,MATCH($B173,'Challan Master'!$S$4:$S$207,0)),"")&lt;=0),0,IF(IFERROR(INDEX('Challan Master'!$D$4:$D$207,MATCH($B173,'Challan Master'!$S$4:$S$207,0)),"")&lt;=DATE(YEAR(J173),MONTH(J173)+1,7),0,ROUND(L173*0.015*((YEAR(IFERROR(INDEX('Challan Master'!$D$4:$D$207,MATCH($B173,'Challan Master'!$S$4:$S$207,0)),""))-YEAR(J173))*12+(MONTH(IFERROR(INDEX('Challan Master'!$D$4:$D$207,MATCH($B173,'Challan Master'!$S$4:$S$207,0)),""))-MONTH(J173))+1),0))))</f>
      </c>
      <c r="P173" s="7">
        <f>IF($D173="","",0)</f>
      </c>
      <c r="Q173" s="8"/>
      <c r="R173" s="8"/>
      <c r="S173" s="8"/>
      <c r="T173" s="8"/>
      <c r="U173" s="8"/>
      <c r="V173" s="7">
        <f>IF($B173="","",IFERROR(INDEX('Challan Master'!$AA$4:$AA$207,MATCH($B173,'Challan Master'!$S$4:$S$207,0)),""))</f>
      </c>
    </row>
    <row r="174" spans="1:22" x14ac:dyDescent="0.25">
      <c r="A174" s="7">
        <f>IF($D174="","",COUNTIF($D$4:$D174,"&lt;&gt;"))</f>
      </c>
      <c r="B174" s="8"/>
      <c r="C174" s="7">
        <f>IF($B174="","","BSR "&amp;IFERROR(INDEX('Challan Master'!$B$4:$B$207,MATCH($B174,'Challan Master'!$S$4:$S$207,0)),"")&amp;" | Serial "&amp;IFERROR(INDEX('Challan Master'!$C$4:$C$207,MATCH($B174,'Challan Master'!$S$4:$S$207,0)),"")&amp;" | Deposit "&amp;TEXT(IFERROR(INDEX('Challan Master'!$D$4:$D$207,MATCH($B174,'Challan Master'!$S$4:$S$207,0)),""),"dd-mm-yyyy")&amp;" | Minor Head "&amp;IFERROR(INDEX('Challan Master'!$E$4:$E$207,MATCH($B174,'Challan Master'!$S$4:$S$207,0)),"")&amp;" | Tax ₹"&amp;TEXT(IFERROR(INDEX('Challan Master'!$G$4:$G$207,MATCH($B174,'Challan Master'!$S$4:$S$207,0)),""),"#,##0")&amp;" | Section "&amp;IFERROR(INDEX('Challan Master'!$F$4:$F$207,MATCH($B174,'Challan Master'!$S$4:$S$207,0)),""))</f>
      </c>
      <c r="D174" s="8"/>
      <c r="E174" s="8"/>
      <c r="F174" s="7">
        <f>IF($D174="","",IF(AND(LEN(TRIM(UPPER(E174)))=10,CODE(MID(TRIM(UPPER(E174)),1,1))&gt;=65,CODE(MID(TRIM(UPPER(E174)),1,1))&lt;=90,CODE(MID(TRIM(UPPER(E174)),2,1))&gt;=65,CODE(MID(TRIM(UPPER(E174)),2,1))&lt;=90,CODE(MID(TRIM(UPPER(E174)),3,1))&gt;=65,CODE(MID(TRIM(UPPER(E174)),3,1))&lt;=90,CODE(MID(TRIM(UPPER(E174)),4,1))&gt;=65,CODE(MID(TRIM(UPPER(E174)),4,1))&lt;=90,CODE(MID(TRIM(UPPER(E174)),5,1))&gt;=65,CODE(MID(TRIM(UPPER(E174)),5,1))&lt;=90,CODE(MID(TRIM(UPPER(E174)),10,1))&gt;=65,CODE(MID(TRIM(UPPER(E174)),10,1))&lt;=90,CODE(MID(TRIM(UPPER(E174)),6,1))&gt;=48,CODE(MID(TRIM(UPPER(E174)),6,1))&lt;=57,CODE(MID(TRIM(UPPER(E174)),7,1))&gt;=48,CODE(MID(TRIM(UPPER(E174)),7,1))&lt;=57,CODE(MID(TRIM(UPPER(E174)),8,1))&gt;=48,CODE(MID(TRIM(UPPER(E174)),8,1))&lt;=57,CODE(MID(TRIM(UPPER(E174)),9,1))&gt;=48,CODE(MID(TRIM(UPPER(E174)),9,1))&lt;=57),"N","Y"))</f>
      </c>
      <c r="G174" s="7">
        <f>IF($D174="","",IF(LEN(E174)&lt;4,"",IF(UPPER(MID(E174,4,1))="P","Individual",IF(UPPER(MID(E174,4,1))="H","HUF",IF(UPPER(MID(E174,4,1))="C","Company",IF(UPPER(MID(E174,4,1))="F","Firm",IF(UPPER(MID(E174,4,1))="L","LLP",IF(UPPER(MID(E174,4,1))="T","Trust",IF(UPPER(MID(E174,4,1))="A","AOP","")))))))))</f>
      </c>
      <c r="H174" s="8"/>
      <c r="I174" s="7">
        <f>IF($D174="","",IF(H174="","",IF(F174="Y",SUMPRODUCT(('Rate Lookup'!$A$1:$A$37=H174)*'Rate Lookup'!$D$1:$D$37),IF(OR(G174="Individual",G174="HUF"),SUMPRODUCT(('Rate Lookup'!$A$1:$A$37=H174)*'Rate Lookup'!$B$1:$B$37),SUMPRODUCT(('Rate Lookup'!$A$1:$A$37=H174)*'Rate Lookup'!$C$1:$C$37)))))</f>
      </c>
      <c r="J174" s="8"/>
      <c r="K174" s="8"/>
      <c r="L174" s="7">
        <f>IF($D174="","",ROUND(K174*I174/100,0))</f>
      </c>
      <c r="M174" s="7">
        <f>IF($D174="","",0)</f>
      </c>
      <c r="N174" s="7">
        <f>IF($D174="","",0)</f>
      </c>
      <c r="O174" s="7">
        <f>IF($D174="","",IF(OR(L174=0,J174="",IFERROR(INDEX('Challan Master'!$D$4:$D$207,MATCH($B174,'Challan Master'!$S$4:$S$207,0)),"")="",IFERROR(INDEX('Challan Master'!$D$4:$D$207,MATCH($B174,'Challan Master'!$S$4:$S$207,0)),"")&lt;=0),0,IF(IFERROR(INDEX('Challan Master'!$D$4:$D$207,MATCH($B174,'Challan Master'!$S$4:$S$207,0)),"")&lt;=DATE(YEAR(J174),MONTH(J174)+1,7),0,ROUND(L174*0.015*((YEAR(IFERROR(INDEX('Challan Master'!$D$4:$D$207,MATCH($B174,'Challan Master'!$S$4:$S$207,0)),""))-YEAR(J174))*12+(MONTH(IFERROR(INDEX('Challan Master'!$D$4:$D$207,MATCH($B174,'Challan Master'!$S$4:$S$207,0)),""))-MONTH(J174))+1),0))))</f>
      </c>
      <c r="P174" s="7">
        <f>IF($D174="","",0)</f>
      </c>
      <c r="Q174" s="8"/>
      <c r="R174" s="8"/>
      <c r="S174" s="8"/>
      <c r="T174" s="8"/>
      <c r="U174" s="8"/>
      <c r="V174" s="7">
        <f>IF($B174="","",IFERROR(INDEX('Challan Master'!$AA$4:$AA$207,MATCH($B174,'Challan Master'!$S$4:$S$207,0)),""))</f>
      </c>
    </row>
    <row r="175" spans="1:22" x14ac:dyDescent="0.25">
      <c r="A175" s="7">
        <f>IF($D175="","",COUNTIF($D$4:$D175,"&lt;&gt;"))</f>
      </c>
      <c r="B175" s="8"/>
      <c r="C175" s="7">
        <f>IF($B175="","","BSR "&amp;IFERROR(INDEX('Challan Master'!$B$4:$B$207,MATCH($B175,'Challan Master'!$S$4:$S$207,0)),"")&amp;" | Serial "&amp;IFERROR(INDEX('Challan Master'!$C$4:$C$207,MATCH($B175,'Challan Master'!$S$4:$S$207,0)),"")&amp;" | Deposit "&amp;TEXT(IFERROR(INDEX('Challan Master'!$D$4:$D$207,MATCH($B175,'Challan Master'!$S$4:$S$207,0)),""),"dd-mm-yyyy")&amp;" | Minor Head "&amp;IFERROR(INDEX('Challan Master'!$E$4:$E$207,MATCH($B175,'Challan Master'!$S$4:$S$207,0)),"")&amp;" | Tax ₹"&amp;TEXT(IFERROR(INDEX('Challan Master'!$G$4:$G$207,MATCH($B175,'Challan Master'!$S$4:$S$207,0)),""),"#,##0")&amp;" | Section "&amp;IFERROR(INDEX('Challan Master'!$F$4:$F$207,MATCH($B175,'Challan Master'!$S$4:$S$207,0)),""))</f>
      </c>
      <c r="D175" s="8"/>
      <c r="E175" s="8"/>
      <c r="F175" s="7">
        <f>IF($D175="","",IF(AND(LEN(TRIM(UPPER(E175)))=10,CODE(MID(TRIM(UPPER(E175)),1,1))&gt;=65,CODE(MID(TRIM(UPPER(E175)),1,1))&lt;=90,CODE(MID(TRIM(UPPER(E175)),2,1))&gt;=65,CODE(MID(TRIM(UPPER(E175)),2,1))&lt;=90,CODE(MID(TRIM(UPPER(E175)),3,1))&gt;=65,CODE(MID(TRIM(UPPER(E175)),3,1))&lt;=90,CODE(MID(TRIM(UPPER(E175)),4,1))&gt;=65,CODE(MID(TRIM(UPPER(E175)),4,1))&lt;=90,CODE(MID(TRIM(UPPER(E175)),5,1))&gt;=65,CODE(MID(TRIM(UPPER(E175)),5,1))&lt;=90,CODE(MID(TRIM(UPPER(E175)),10,1))&gt;=65,CODE(MID(TRIM(UPPER(E175)),10,1))&lt;=90,CODE(MID(TRIM(UPPER(E175)),6,1))&gt;=48,CODE(MID(TRIM(UPPER(E175)),6,1))&lt;=57,CODE(MID(TRIM(UPPER(E175)),7,1))&gt;=48,CODE(MID(TRIM(UPPER(E175)),7,1))&lt;=57,CODE(MID(TRIM(UPPER(E175)),8,1))&gt;=48,CODE(MID(TRIM(UPPER(E175)),8,1))&lt;=57,CODE(MID(TRIM(UPPER(E175)),9,1))&gt;=48,CODE(MID(TRIM(UPPER(E175)),9,1))&lt;=57),"N","Y"))</f>
      </c>
      <c r="G175" s="7">
        <f>IF($D175="","",IF(LEN(E175)&lt;4,"",IF(UPPER(MID(E175,4,1))="P","Individual",IF(UPPER(MID(E175,4,1))="H","HUF",IF(UPPER(MID(E175,4,1))="C","Company",IF(UPPER(MID(E175,4,1))="F","Firm",IF(UPPER(MID(E175,4,1))="L","LLP",IF(UPPER(MID(E175,4,1))="T","Trust",IF(UPPER(MID(E175,4,1))="A","AOP","")))))))))</f>
      </c>
      <c r="H175" s="8"/>
      <c r="I175" s="7">
        <f>IF($D175="","",IF(H175="","",IF(F175="Y",SUMPRODUCT(('Rate Lookup'!$A$1:$A$37=H175)*'Rate Lookup'!$D$1:$D$37),IF(OR(G175="Individual",G175="HUF"),SUMPRODUCT(('Rate Lookup'!$A$1:$A$37=H175)*'Rate Lookup'!$B$1:$B$37),SUMPRODUCT(('Rate Lookup'!$A$1:$A$37=H175)*'Rate Lookup'!$C$1:$C$37)))))</f>
      </c>
      <c r="J175" s="8"/>
      <c r="K175" s="8"/>
      <c r="L175" s="7">
        <f>IF($D175="","",ROUND(K175*I175/100,0))</f>
      </c>
      <c r="M175" s="7">
        <f>IF($D175="","",0)</f>
      </c>
      <c r="N175" s="7">
        <f>IF($D175="","",0)</f>
      </c>
      <c r="O175" s="7">
        <f>IF($D175="","",IF(OR(L175=0,J175="",IFERROR(INDEX('Challan Master'!$D$4:$D$207,MATCH($B175,'Challan Master'!$S$4:$S$207,0)),"")="",IFERROR(INDEX('Challan Master'!$D$4:$D$207,MATCH($B175,'Challan Master'!$S$4:$S$207,0)),"")&lt;=0),0,IF(IFERROR(INDEX('Challan Master'!$D$4:$D$207,MATCH($B175,'Challan Master'!$S$4:$S$207,0)),"")&lt;=DATE(YEAR(J175),MONTH(J175)+1,7),0,ROUND(L175*0.015*((YEAR(IFERROR(INDEX('Challan Master'!$D$4:$D$207,MATCH($B175,'Challan Master'!$S$4:$S$207,0)),""))-YEAR(J175))*12+(MONTH(IFERROR(INDEX('Challan Master'!$D$4:$D$207,MATCH($B175,'Challan Master'!$S$4:$S$207,0)),""))-MONTH(J175))+1),0))))</f>
      </c>
      <c r="P175" s="7">
        <f>IF($D175="","",0)</f>
      </c>
      <c r="Q175" s="8"/>
      <c r="R175" s="8"/>
      <c r="S175" s="8"/>
      <c r="T175" s="8"/>
      <c r="U175" s="8"/>
      <c r="V175" s="7">
        <f>IF($B175="","",IFERROR(INDEX('Challan Master'!$AA$4:$AA$207,MATCH($B175,'Challan Master'!$S$4:$S$207,0)),""))</f>
      </c>
    </row>
    <row r="176" spans="1:22" x14ac:dyDescent="0.25">
      <c r="A176" s="7">
        <f>IF($D176="","",COUNTIF($D$4:$D176,"&lt;&gt;"))</f>
      </c>
      <c r="B176" s="8"/>
      <c r="C176" s="7">
        <f>IF($B176="","","BSR "&amp;IFERROR(INDEX('Challan Master'!$B$4:$B$207,MATCH($B176,'Challan Master'!$S$4:$S$207,0)),"")&amp;" | Serial "&amp;IFERROR(INDEX('Challan Master'!$C$4:$C$207,MATCH($B176,'Challan Master'!$S$4:$S$207,0)),"")&amp;" | Deposit "&amp;TEXT(IFERROR(INDEX('Challan Master'!$D$4:$D$207,MATCH($B176,'Challan Master'!$S$4:$S$207,0)),""),"dd-mm-yyyy")&amp;" | Minor Head "&amp;IFERROR(INDEX('Challan Master'!$E$4:$E$207,MATCH($B176,'Challan Master'!$S$4:$S$207,0)),"")&amp;" | Tax ₹"&amp;TEXT(IFERROR(INDEX('Challan Master'!$G$4:$G$207,MATCH($B176,'Challan Master'!$S$4:$S$207,0)),""),"#,##0")&amp;" | Section "&amp;IFERROR(INDEX('Challan Master'!$F$4:$F$207,MATCH($B176,'Challan Master'!$S$4:$S$207,0)),""))</f>
      </c>
      <c r="D176" s="8"/>
      <c r="E176" s="8"/>
      <c r="F176" s="7">
        <f>IF($D176="","",IF(AND(LEN(TRIM(UPPER(E176)))=10,CODE(MID(TRIM(UPPER(E176)),1,1))&gt;=65,CODE(MID(TRIM(UPPER(E176)),1,1))&lt;=90,CODE(MID(TRIM(UPPER(E176)),2,1))&gt;=65,CODE(MID(TRIM(UPPER(E176)),2,1))&lt;=90,CODE(MID(TRIM(UPPER(E176)),3,1))&gt;=65,CODE(MID(TRIM(UPPER(E176)),3,1))&lt;=90,CODE(MID(TRIM(UPPER(E176)),4,1))&gt;=65,CODE(MID(TRIM(UPPER(E176)),4,1))&lt;=90,CODE(MID(TRIM(UPPER(E176)),5,1))&gt;=65,CODE(MID(TRIM(UPPER(E176)),5,1))&lt;=90,CODE(MID(TRIM(UPPER(E176)),10,1))&gt;=65,CODE(MID(TRIM(UPPER(E176)),10,1))&lt;=90,CODE(MID(TRIM(UPPER(E176)),6,1))&gt;=48,CODE(MID(TRIM(UPPER(E176)),6,1))&lt;=57,CODE(MID(TRIM(UPPER(E176)),7,1))&gt;=48,CODE(MID(TRIM(UPPER(E176)),7,1))&lt;=57,CODE(MID(TRIM(UPPER(E176)),8,1))&gt;=48,CODE(MID(TRIM(UPPER(E176)),8,1))&lt;=57,CODE(MID(TRIM(UPPER(E176)),9,1))&gt;=48,CODE(MID(TRIM(UPPER(E176)),9,1))&lt;=57),"N","Y"))</f>
      </c>
      <c r="G176" s="7">
        <f>IF($D176="","",IF(LEN(E176)&lt;4,"",IF(UPPER(MID(E176,4,1))="P","Individual",IF(UPPER(MID(E176,4,1))="H","HUF",IF(UPPER(MID(E176,4,1))="C","Company",IF(UPPER(MID(E176,4,1))="F","Firm",IF(UPPER(MID(E176,4,1))="L","LLP",IF(UPPER(MID(E176,4,1))="T","Trust",IF(UPPER(MID(E176,4,1))="A","AOP","")))))))))</f>
      </c>
      <c r="H176" s="8"/>
      <c r="I176" s="7">
        <f>IF($D176="","",IF(H176="","",IF(F176="Y",SUMPRODUCT(('Rate Lookup'!$A$1:$A$37=H176)*'Rate Lookup'!$D$1:$D$37),IF(OR(G176="Individual",G176="HUF"),SUMPRODUCT(('Rate Lookup'!$A$1:$A$37=H176)*'Rate Lookup'!$B$1:$B$37),SUMPRODUCT(('Rate Lookup'!$A$1:$A$37=H176)*'Rate Lookup'!$C$1:$C$37)))))</f>
      </c>
      <c r="J176" s="8"/>
      <c r="K176" s="8"/>
      <c r="L176" s="7">
        <f>IF($D176="","",ROUND(K176*I176/100,0))</f>
      </c>
      <c r="M176" s="7">
        <f>IF($D176="","",0)</f>
      </c>
      <c r="N176" s="7">
        <f>IF($D176="","",0)</f>
      </c>
      <c r="O176" s="7">
        <f>IF($D176="","",IF(OR(L176=0,J176="",IFERROR(INDEX('Challan Master'!$D$4:$D$207,MATCH($B176,'Challan Master'!$S$4:$S$207,0)),"")="",IFERROR(INDEX('Challan Master'!$D$4:$D$207,MATCH($B176,'Challan Master'!$S$4:$S$207,0)),"")&lt;=0),0,IF(IFERROR(INDEX('Challan Master'!$D$4:$D$207,MATCH($B176,'Challan Master'!$S$4:$S$207,0)),"")&lt;=DATE(YEAR(J176),MONTH(J176)+1,7),0,ROUND(L176*0.015*((YEAR(IFERROR(INDEX('Challan Master'!$D$4:$D$207,MATCH($B176,'Challan Master'!$S$4:$S$207,0)),""))-YEAR(J176))*12+(MONTH(IFERROR(INDEX('Challan Master'!$D$4:$D$207,MATCH($B176,'Challan Master'!$S$4:$S$207,0)),""))-MONTH(J176))+1),0))))</f>
      </c>
      <c r="P176" s="7">
        <f>IF($D176="","",0)</f>
      </c>
      <c r="Q176" s="8"/>
      <c r="R176" s="8"/>
      <c r="S176" s="8"/>
      <c r="T176" s="8"/>
      <c r="U176" s="8"/>
      <c r="V176" s="7">
        <f>IF($B176="","",IFERROR(INDEX('Challan Master'!$AA$4:$AA$207,MATCH($B176,'Challan Master'!$S$4:$S$207,0)),""))</f>
      </c>
    </row>
    <row r="177" spans="1:22" x14ac:dyDescent="0.25">
      <c r="A177" s="7">
        <f>IF($D177="","",COUNTIF($D$4:$D177,"&lt;&gt;"))</f>
      </c>
      <c r="B177" s="8"/>
      <c r="C177" s="7">
        <f>IF($B177="","","BSR "&amp;IFERROR(INDEX('Challan Master'!$B$4:$B$207,MATCH($B177,'Challan Master'!$S$4:$S$207,0)),"")&amp;" | Serial "&amp;IFERROR(INDEX('Challan Master'!$C$4:$C$207,MATCH($B177,'Challan Master'!$S$4:$S$207,0)),"")&amp;" | Deposit "&amp;TEXT(IFERROR(INDEX('Challan Master'!$D$4:$D$207,MATCH($B177,'Challan Master'!$S$4:$S$207,0)),""),"dd-mm-yyyy")&amp;" | Minor Head "&amp;IFERROR(INDEX('Challan Master'!$E$4:$E$207,MATCH($B177,'Challan Master'!$S$4:$S$207,0)),"")&amp;" | Tax ₹"&amp;TEXT(IFERROR(INDEX('Challan Master'!$G$4:$G$207,MATCH($B177,'Challan Master'!$S$4:$S$207,0)),""),"#,##0")&amp;" | Section "&amp;IFERROR(INDEX('Challan Master'!$F$4:$F$207,MATCH($B177,'Challan Master'!$S$4:$S$207,0)),""))</f>
      </c>
      <c r="D177" s="8"/>
      <c r="E177" s="8"/>
      <c r="F177" s="7">
        <f>IF($D177="","",IF(AND(LEN(TRIM(UPPER(E177)))=10,CODE(MID(TRIM(UPPER(E177)),1,1))&gt;=65,CODE(MID(TRIM(UPPER(E177)),1,1))&lt;=90,CODE(MID(TRIM(UPPER(E177)),2,1))&gt;=65,CODE(MID(TRIM(UPPER(E177)),2,1))&lt;=90,CODE(MID(TRIM(UPPER(E177)),3,1))&gt;=65,CODE(MID(TRIM(UPPER(E177)),3,1))&lt;=90,CODE(MID(TRIM(UPPER(E177)),4,1))&gt;=65,CODE(MID(TRIM(UPPER(E177)),4,1))&lt;=90,CODE(MID(TRIM(UPPER(E177)),5,1))&gt;=65,CODE(MID(TRIM(UPPER(E177)),5,1))&lt;=90,CODE(MID(TRIM(UPPER(E177)),10,1))&gt;=65,CODE(MID(TRIM(UPPER(E177)),10,1))&lt;=90,CODE(MID(TRIM(UPPER(E177)),6,1))&gt;=48,CODE(MID(TRIM(UPPER(E177)),6,1))&lt;=57,CODE(MID(TRIM(UPPER(E177)),7,1))&gt;=48,CODE(MID(TRIM(UPPER(E177)),7,1))&lt;=57,CODE(MID(TRIM(UPPER(E177)),8,1))&gt;=48,CODE(MID(TRIM(UPPER(E177)),8,1))&lt;=57,CODE(MID(TRIM(UPPER(E177)),9,1))&gt;=48,CODE(MID(TRIM(UPPER(E177)),9,1))&lt;=57),"N","Y"))</f>
      </c>
      <c r="G177" s="7">
        <f>IF($D177="","",IF(LEN(E177)&lt;4,"",IF(UPPER(MID(E177,4,1))="P","Individual",IF(UPPER(MID(E177,4,1))="H","HUF",IF(UPPER(MID(E177,4,1))="C","Company",IF(UPPER(MID(E177,4,1))="F","Firm",IF(UPPER(MID(E177,4,1))="L","LLP",IF(UPPER(MID(E177,4,1))="T","Trust",IF(UPPER(MID(E177,4,1))="A","AOP","")))))))))</f>
      </c>
      <c r="H177" s="8"/>
      <c r="I177" s="7">
        <f>IF($D177="","",IF(H177="","",IF(F177="Y",SUMPRODUCT(('Rate Lookup'!$A$1:$A$37=H177)*'Rate Lookup'!$D$1:$D$37),IF(OR(G177="Individual",G177="HUF"),SUMPRODUCT(('Rate Lookup'!$A$1:$A$37=H177)*'Rate Lookup'!$B$1:$B$37),SUMPRODUCT(('Rate Lookup'!$A$1:$A$37=H177)*'Rate Lookup'!$C$1:$C$37)))))</f>
      </c>
      <c r="J177" s="8"/>
      <c r="K177" s="8"/>
      <c r="L177" s="7">
        <f>IF($D177="","",ROUND(K177*I177/100,0))</f>
      </c>
      <c r="M177" s="7">
        <f>IF($D177="","",0)</f>
      </c>
      <c r="N177" s="7">
        <f>IF($D177="","",0)</f>
      </c>
      <c r="O177" s="7">
        <f>IF($D177="","",IF(OR(L177=0,J177="",IFERROR(INDEX('Challan Master'!$D$4:$D$207,MATCH($B177,'Challan Master'!$S$4:$S$207,0)),"")="",IFERROR(INDEX('Challan Master'!$D$4:$D$207,MATCH($B177,'Challan Master'!$S$4:$S$207,0)),"")&lt;=0),0,IF(IFERROR(INDEX('Challan Master'!$D$4:$D$207,MATCH($B177,'Challan Master'!$S$4:$S$207,0)),"")&lt;=DATE(YEAR(J177),MONTH(J177)+1,7),0,ROUND(L177*0.015*((YEAR(IFERROR(INDEX('Challan Master'!$D$4:$D$207,MATCH($B177,'Challan Master'!$S$4:$S$207,0)),""))-YEAR(J177))*12+(MONTH(IFERROR(INDEX('Challan Master'!$D$4:$D$207,MATCH($B177,'Challan Master'!$S$4:$S$207,0)),""))-MONTH(J177))+1),0))))</f>
      </c>
      <c r="P177" s="7">
        <f>IF($D177="","",0)</f>
      </c>
      <c r="Q177" s="8"/>
      <c r="R177" s="8"/>
      <c r="S177" s="8"/>
      <c r="T177" s="8"/>
      <c r="U177" s="8"/>
      <c r="V177" s="7">
        <f>IF($B177="","",IFERROR(INDEX('Challan Master'!$AA$4:$AA$207,MATCH($B177,'Challan Master'!$S$4:$S$207,0)),""))</f>
      </c>
    </row>
    <row r="178" spans="1:22" x14ac:dyDescent="0.25">
      <c r="A178" s="7">
        <f>IF($D178="","",COUNTIF($D$4:$D178,"&lt;&gt;"))</f>
      </c>
      <c r="B178" s="8"/>
      <c r="C178" s="7">
        <f>IF($B178="","","BSR "&amp;IFERROR(INDEX('Challan Master'!$B$4:$B$207,MATCH($B178,'Challan Master'!$S$4:$S$207,0)),"")&amp;" | Serial "&amp;IFERROR(INDEX('Challan Master'!$C$4:$C$207,MATCH($B178,'Challan Master'!$S$4:$S$207,0)),"")&amp;" | Deposit "&amp;TEXT(IFERROR(INDEX('Challan Master'!$D$4:$D$207,MATCH($B178,'Challan Master'!$S$4:$S$207,0)),""),"dd-mm-yyyy")&amp;" | Minor Head "&amp;IFERROR(INDEX('Challan Master'!$E$4:$E$207,MATCH($B178,'Challan Master'!$S$4:$S$207,0)),"")&amp;" | Tax ₹"&amp;TEXT(IFERROR(INDEX('Challan Master'!$G$4:$G$207,MATCH($B178,'Challan Master'!$S$4:$S$207,0)),""),"#,##0")&amp;" | Section "&amp;IFERROR(INDEX('Challan Master'!$F$4:$F$207,MATCH($B178,'Challan Master'!$S$4:$S$207,0)),""))</f>
      </c>
      <c r="D178" s="8"/>
      <c r="E178" s="8"/>
      <c r="F178" s="7">
        <f>IF($D178="","",IF(AND(LEN(TRIM(UPPER(E178)))=10,CODE(MID(TRIM(UPPER(E178)),1,1))&gt;=65,CODE(MID(TRIM(UPPER(E178)),1,1))&lt;=90,CODE(MID(TRIM(UPPER(E178)),2,1))&gt;=65,CODE(MID(TRIM(UPPER(E178)),2,1))&lt;=90,CODE(MID(TRIM(UPPER(E178)),3,1))&gt;=65,CODE(MID(TRIM(UPPER(E178)),3,1))&lt;=90,CODE(MID(TRIM(UPPER(E178)),4,1))&gt;=65,CODE(MID(TRIM(UPPER(E178)),4,1))&lt;=90,CODE(MID(TRIM(UPPER(E178)),5,1))&gt;=65,CODE(MID(TRIM(UPPER(E178)),5,1))&lt;=90,CODE(MID(TRIM(UPPER(E178)),10,1))&gt;=65,CODE(MID(TRIM(UPPER(E178)),10,1))&lt;=90,CODE(MID(TRIM(UPPER(E178)),6,1))&gt;=48,CODE(MID(TRIM(UPPER(E178)),6,1))&lt;=57,CODE(MID(TRIM(UPPER(E178)),7,1))&gt;=48,CODE(MID(TRIM(UPPER(E178)),7,1))&lt;=57,CODE(MID(TRIM(UPPER(E178)),8,1))&gt;=48,CODE(MID(TRIM(UPPER(E178)),8,1))&lt;=57,CODE(MID(TRIM(UPPER(E178)),9,1))&gt;=48,CODE(MID(TRIM(UPPER(E178)),9,1))&lt;=57),"N","Y"))</f>
      </c>
      <c r="G178" s="7">
        <f>IF($D178="","",IF(LEN(E178)&lt;4,"",IF(UPPER(MID(E178,4,1))="P","Individual",IF(UPPER(MID(E178,4,1))="H","HUF",IF(UPPER(MID(E178,4,1))="C","Company",IF(UPPER(MID(E178,4,1))="F","Firm",IF(UPPER(MID(E178,4,1))="L","LLP",IF(UPPER(MID(E178,4,1))="T","Trust",IF(UPPER(MID(E178,4,1))="A","AOP","")))))))))</f>
      </c>
      <c r="H178" s="8"/>
      <c r="I178" s="7">
        <f>IF($D178="","",IF(H178="","",IF(F178="Y",SUMPRODUCT(('Rate Lookup'!$A$1:$A$37=H178)*'Rate Lookup'!$D$1:$D$37),IF(OR(G178="Individual",G178="HUF"),SUMPRODUCT(('Rate Lookup'!$A$1:$A$37=H178)*'Rate Lookup'!$B$1:$B$37),SUMPRODUCT(('Rate Lookup'!$A$1:$A$37=H178)*'Rate Lookup'!$C$1:$C$37)))))</f>
      </c>
      <c r="J178" s="8"/>
      <c r="K178" s="8"/>
      <c r="L178" s="7">
        <f>IF($D178="","",ROUND(K178*I178/100,0))</f>
      </c>
      <c r="M178" s="7">
        <f>IF($D178="","",0)</f>
      </c>
      <c r="N178" s="7">
        <f>IF($D178="","",0)</f>
      </c>
      <c r="O178" s="7">
        <f>IF($D178="","",IF(OR(L178=0,J178="",IFERROR(INDEX('Challan Master'!$D$4:$D$207,MATCH($B178,'Challan Master'!$S$4:$S$207,0)),"")="",IFERROR(INDEX('Challan Master'!$D$4:$D$207,MATCH($B178,'Challan Master'!$S$4:$S$207,0)),"")&lt;=0),0,IF(IFERROR(INDEX('Challan Master'!$D$4:$D$207,MATCH($B178,'Challan Master'!$S$4:$S$207,0)),"")&lt;=DATE(YEAR(J178),MONTH(J178)+1,7),0,ROUND(L178*0.015*((YEAR(IFERROR(INDEX('Challan Master'!$D$4:$D$207,MATCH($B178,'Challan Master'!$S$4:$S$207,0)),""))-YEAR(J178))*12+(MONTH(IFERROR(INDEX('Challan Master'!$D$4:$D$207,MATCH($B178,'Challan Master'!$S$4:$S$207,0)),""))-MONTH(J178))+1),0))))</f>
      </c>
      <c r="P178" s="7">
        <f>IF($D178="","",0)</f>
      </c>
      <c r="Q178" s="8"/>
      <c r="R178" s="8"/>
      <c r="S178" s="8"/>
      <c r="T178" s="8"/>
      <c r="U178" s="8"/>
      <c r="V178" s="7">
        <f>IF($B178="","",IFERROR(INDEX('Challan Master'!$AA$4:$AA$207,MATCH($B178,'Challan Master'!$S$4:$S$207,0)),""))</f>
      </c>
    </row>
    <row r="179" spans="1:22" x14ac:dyDescent="0.25">
      <c r="A179" s="7">
        <f>IF($D179="","",COUNTIF($D$4:$D179,"&lt;&gt;"))</f>
      </c>
      <c r="B179" s="8"/>
      <c r="C179" s="7">
        <f>IF($B179="","","BSR "&amp;IFERROR(INDEX('Challan Master'!$B$4:$B$207,MATCH($B179,'Challan Master'!$S$4:$S$207,0)),"")&amp;" | Serial "&amp;IFERROR(INDEX('Challan Master'!$C$4:$C$207,MATCH($B179,'Challan Master'!$S$4:$S$207,0)),"")&amp;" | Deposit "&amp;TEXT(IFERROR(INDEX('Challan Master'!$D$4:$D$207,MATCH($B179,'Challan Master'!$S$4:$S$207,0)),""),"dd-mm-yyyy")&amp;" | Minor Head "&amp;IFERROR(INDEX('Challan Master'!$E$4:$E$207,MATCH($B179,'Challan Master'!$S$4:$S$207,0)),"")&amp;" | Tax ₹"&amp;TEXT(IFERROR(INDEX('Challan Master'!$G$4:$G$207,MATCH($B179,'Challan Master'!$S$4:$S$207,0)),""),"#,##0")&amp;" | Section "&amp;IFERROR(INDEX('Challan Master'!$F$4:$F$207,MATCH($B179,'Challan Master'!$S$4:$S$207,0)),""))</f>
      </c>
      <c r="D179" s="8"/>
      <c r="E179" s="8"/>
      <c r="F179" s="7">
        <f>IF($D179="","",IF(AND(LEN(TRIM(UPPER(E179)))=10,CODE(MID(TRIM(UPPER(E179)),1,1))&gt;=65,CODE(MID(TRIM(UPPER(E179)),1,1))&lt;=90,CODE(MID(TRIM(UPPER(E179)),2,1))&gt;=65,CODE(MID(TRIM(UPPER(E179)),2,1))&lt;=90,CODE(MID(TRIM(UPPER(E179)),3,1))&gt;=65,CODE(MID(TRIM(UPPER(E179)),3,1))&lt;=90,CODE(MID(TRIM(UPPER(E179)),4,1))&gt;=65,CODE(MID(TRIM(UPPER(E179)),4,1))&lt;=90,CODE(MID(TRIM(UPPER(E179)),5,1))&gt;=65,CODE(MID(TRIM(UPPER(E179)),5,1))&lt;=90,CODE(MID(TRIM(UPPER(E179)),10,1))&gt;=65,CODE(MID(TRIM(UPPER(E179)),10,1))&lt;=90,CODE(MID(TRIM(UPPER(E179)),6,1))&gt;=48,CODE(MID(TRIM(UPPER(E179)),6,1))&lt;=57,CODE(MID(TRIM(UPPER(E179)),7,1))&gt;=48,CODE(MID(TRIM(UPPER(E179)),7,1))&lt;=57,CODE(MID(TRIM(UPPER(E179)),8,1))&gt;=48,CODE(MID(TRIM(UPPER(E179)),8,1))&lt;=57,CODE(MID(TRIM(UPPER(E179)),9,1))&gt;=48,CODE(MID(TRIM(UPPER(E179)),9,1))&lt;=57),"N","Y"))</f>
      </c>
      <c r="G179" s="7">
        <f>IF($D179="","",IF(LEN(E179)&lt;4,"",IF(UPPER(MID(E179,4,1))="P","Individual",IF(UPPER(MID(E179,4,1))="H","HUF",IF(UPPER(MID(E179,4,1))="C","Company",IF(UPPER(MID(E179,4,1))="F","Firm",IF(UPPER(MID(E179,4,1))="L","LLP",IF(UPPER(MID(E179,4,1))="T","Trust",IF(UPPER(MID(E179,4,1))="A","AOP","")))))))))</f>
      </c>
      <c r="H179" s="8"/>
      <c r="I179" s="7">
        <f>IF($D179="","",IF(H179="","",IF(F179="Y",SUMPRODUCT(('Rate Lookup'!$A$1:$A$37=H179)*'Rate Lookup'!$D$1:$D$37),IF(OR(G179="Individual",G179="HUF"),SUMPRODUCT(('Rate Lookup'!$A$1:$A$37=H179)*'Rate Lookup'!$B$1:$B$37),SUMPRODUCT(('Rate Lookup'!$A$1:$A$37=H179)*'Rate Lookup'!$C$1:$C$37)))))</f>
      </c>
      <c r="J179" s="8"/>
      <c r="K179" s="8"/>
      <c r="L179" s="7">
        <f>IF($D179="","",ROUND(K179*I179/100,0))</f>
      </c>
      <c r="M179" s="7">
        <f>IF($D179="","",0)</f>
      </c>
      <c r="N179" s="7">
        <f>IF($D179="","",0)</f>
      </c>
      <c r="O179" s="7">
        <f>IF($D179="","",IF(OR(L179=0,J179="",IFERROR(INDEX('Challan Master'!$D$4:$D$207,MATCH($B179,'Challan Master'!$S$4:$S$207,0)),"")="",IFERROR(INDEX('Challan Master'!$D$4:$D$207,MATCH($B179,'Challan Master'!$S$4:$S$207,0)),"")&lt;=0),0,IF(IFERROR(INDEX('Challan Master'!$D$4:$D$207,MATCH($B179,'Challan Master'!$S$4:$S$207,0)),"")&lt;=DATE(YEAR(J179),MONTH(J179)+1,7),0,ROUND(L179*0.015*((YEAR(IFERROR(INDEX('Challan Master'!$D$4:$D$207,MATCH($B179,'Challan Master'!$S$4:$S$207,0)),""))-YEAR(J179))*12+(MONTH(IFERROR(INDEX('Challan Master'!$D$4:$D$207,MATCH($B179,'Challan Master'!$S$4:$S$207,0)),""))-MONTH(J179))+1),0))))</f>
      </c>
      <c r="P179" s="7">
        <f>IF($D179="","",0)</f>
      </c>
      <c r="Q179" s="8"/>
      <c r="R179" s="8"/>
      <c r="S179" s="8"/>
      <c r="T179" s="8"/>
      <c r="U179" s="8"/>
      <c r="V179" s="7">
        <f>IF($B179="","",IFERROR(INDEX('Challan Master'!$AA$4:$AA$207,MATCH($B179,'Challan Master'!$S$4:$S$207,0)),""))</f>
      </c>
    </row>
    <row r="180" spans="1:22" x14ac:dyDescent="0.25">
      <c r="A180" s="7">
        <f>IF($D180="","",COUNTIF($D$4:$D180,"&lt;&gt;"))</f>
      </c>
      <c r="B180" s="8"/>
      <c r="C180" s="7">
        <f>IF($B180="","","BSR "&amp;IFERROR(INDEX('Challan Master'!$B$4:$B$207,MATCH($B180,'Challan Master'!$S$4:$S$207,0)),"")&amp;" | Serial "&amp;IFERROR(INDEX('Challan Master'!$C$4:$C$207,MATCH($B180,'Challan Master'!$S$4:$S$207,0)),"")&amp;" | Deposit "&amp;TEXT(IFERROR(INDEX('Challan Master'!$D$4:$D$207,MATCH($B180,'Challan Master'!$S$4:$S$207,0)),""),"dd-mm-yyyy")&amp;" | Minor Head "&amp;IFERROR(INDEX('Challan Master'!$E$4:$E$207,MATCH($B180,'Challan Master'!$S$4:$S$207,0)),"")&amp;" | Tax ₹"&amp;TEXT(IFERROR(INDEX('Challan Master'!$G$4:$G$207,MATCH($B180,'Challan Master'!$S$4:$S$207,0)),""),"#,##0")&amp;" | Section "&amp;IFERROR(INDEX('Challan Master'!$F$4:$F$207,MATCH($B180,'Challan Master'!$S$4:$S$207,0)),""))</f>
      </c>
      <c r="D180" s="8"/>
      <c r="E180" s="8"/>
      <c r="F180" s="7">
        <f>IF($D180="","",IF(AND(LEN(TRIM(UPPER(E180)))=10,CODE(MID(TRIM(UPPER(E180)),1,1))&gt;=65,CODE(MID(TRIM(UPPER(E180)),1,1))&lt;=90,CODE(MID(TRIM(UPPER(E180)),2,1))&gt;=65,CODE(MID(TRIM(UPPER(E180)),2,1))&lt;=90,CODE(MID(TRIM(UPPER(E180)),3,1))&gt;=65,CODE(MID(TRIM(UPPER(E180)),3,1))&lt;=90,CODE(MID(TRIM(UPPER(E180)),4,1))&gt;=65,CODE(MID(TRIM(UPPER(E180)),4,1))&lt;=90,CODE(MID(TRIM(UPPER(E180)),5,1))&gt;=65,CODE(MID(TRIM(UPPER(E180)),5,1))&lt;=90,CODE(MID(TRIM(UPPER(E180)),10,1))&gt;=65,CODE(MID(TRIM(UPPER(E180)),10,1))&lt;=90,CODE(MID(TRIM(UPPER(E180)),6,1))&gt;=48,CODE(MID(TRIM(UPPER(E180)),6,1))&lt;=57,CODE(MID(TRIM(UPPER(E180)),7,1))&gt;=48,CODE(MID(TRIM(UPPER(E180)),7,1))&lt;=57,CODE(MID(TRIM(UPPER(E180)),8,1))&gt;=48,CODE(MID(TRIM(UPPER(E180)),8,1))&lt;=57,CODE(MID(TRIM(UPPER(E180)),9,1))&gt;=48,CODE(MID(TRIM(UPPER(E180)),9,1))&lt;=57),"N","Y"))</f>
      </c>
      <c r="G180" s="7">
        <f>IF($D180="","",IF(LEN(E180)&lt;4,"",IF(UPPER(MID(E180,4,1))="P","Individual",IF(UPPER(MID(E180,4,1))="H","HUF",IF(UPPER(MID(E180,4,1))="C","Company",IF(UPPER(MID(E180,4,1))="F","Firm",IF(UPPER(MID(E180,4,1))="L","LLP",IF(UPPER(MID(E180,4,1))="T","Trust",IF(UPPER(MID(E180,4,1))="A","AOP","")))))))))</f>
      </c>
      <c r="H180" s="8"/>
      <c r="I180" s="7">
        <f>IF($D180="","",IF(H180="","",IF(F180="Y",SUMPRODUCT(('Rate Lookup'!$A$1:$A$37=H180)*'Rate Lookup'!$D$1:$D$37),IF(OR(G180="Individual",G180="HUF"),SUMPRODUCT(('Rate Lookup'!$A$1:$A$37=H180)*'Rate Lookup'!$B$1:$B$37),SUMPRODUCT(('Rate Lookup'!$A$1:$A$37=H180)*'Rate Lookup'!$C$1:$C$37)))))</f>
      </c>
      <c r="J180" s="8"/>
      <c r="K180" s="8"/>
      <c r="L180" s="7">
        <f>IF($D180="","",ROUND(K180*I180/100,0))</f>
      </c>
      <c r="M180" s="7">
        <f>IF($D180="","",0)</f>
      </c>
      <c r="N180" s="7">
        <f>IF($D180="","",0)</f>
      </c>
      <c r="O180" s="7">
        <f>IF($D180="","",IF(OR(L180=0,J180="",IFERROR(INDEX('Challan Master'!$D$4:$D$207,MATCH($B180,'Challan Master'!$S$4:$S$207,0)),"")="",IFERROR(INDEX('Challan Master'!$D$4:$D$207,MATCH($B180,'Challan Master'!$S$4:$S$207,0)),"")&lt;=0),0,IF(IFERROR(INDEX('Challan Master'!$D$4:$D$207,MATCH($B180,'Challan Master'!$S$4:$S$207,0)),"")&lt;=DATE(YEAR(J180),MONTH(J180)+1,7),0,ROUND(L180*0.015*((YEAR(IFERROR(INDEX('Challan Master'!$D$4:$D$207,MATCH($B180,'Challan Master'!$S$4:$S$207,0)),""))-YEAR(J180))*12+(MONTH(IFERROR(INDEX('Challan Master'!$D$4:$D$207,MATCH($B180,'Challan Master'!$S$4:$S$207,0)),""))-MONTH(J180))+1),0))))</f>
      </c>
      <c r="P180" s="7">
        <f>IF($D180="","",0)</f>
      </c>
      <c r="Q180" s="8"/>
      <c r="R180" s="8"/>
      <c r="S180" s="8"/>
      <c r="T180" s="8"/>
      <c r="U180" s="8"/>
      <c r="V180" s="7">
        <f>IF($B180="","",IFERROR(INDEX('Challan Master'!$AA$4:$AA$207,MATCH($B180,'Challan Master'!$S$4:$S$207,0)),""))</f>
      </c>
    </row>
    <row r="181" spans="1:22" x14ac:dyDescent="0.25">
      <c r="A181" s="7">
        <f>IF($D181="","",COUNTIF($D$4:$D181,"&lt;&gt;"))</f>
      </c>
      <c r="B181" s="8"/>
      <c r="C181" s="7">
        <f>IF($B181="","","BSR "&amp;IFERROR(INDEX('Challan Master'!$B$4:$B$207,MATCH($B181,'Challan Master'!$S$4:$S$207,0)),"")&amp;" | Serial "&amp;IFERROR(INDEX('Challan Master'!$C$4:$C$207,MATCH($B181,'Challan Master'!$S$4:$S$207,0)),"")&amp;" | Deposit "&amp;TEXT(IFERROR(INDEX('Challan Master'!$D$4:$D$207,MATCH($B181,'Challan Master'!$S$4:$S$207,0)),""),"dd-mm-yyyy")&amp;" | Minor Head "&amp;IFERROR(INDEX('Challan Master'!$E$4:$E$207,MATCH($B181,'Challan Master'!$S$4:$S$207,0)),"")&amp;" | Tax ₹"&amp;TEXT(IFERROR(INDEX('Challan Master'!$G$4:$G$207,MATCH($B181,'Challan Master'!$S$4:$S$207,0)),""),"#,##0")&amp;" | Section "&amp;IFERROR(INDEX('Challan Master'!$F$4:$F$207,MATCH($B181,'Challan Master'!$S$4:$S$207,0)),""))</f>
      </c>
      <c r="D181" s="8"/>
      <c r="E181" s="8"/>
      <c r="F181" s="7">
        <f>IF($D181="","",IF(AND(LEN(TRIM(UPPER(E181)))=10,CODE(MID(TRIM(UPPER(E181)),1,1))&gt;=65,CODE(MID(TRIM(UPPER(E181)),1,1))&lt;=90,CODE(MID(TRIM(UPPER(E181)),2,1))&gt;=65,CODE(MID(TRIM(UPPER(E181)),2,1))&lt;=90,CODE(MID(TRIM(UPPER(E181)),3,1))&gt;=65,CODE(MID(TRIM(UPPER(E181)),3,1))&lt;=90,CODE(MID(TRIM(UPPER(E181)),4,1))&gt;=65,CODE(MID(TRIM(UPPER(E181)),4,1))&lt;=90,CODE(MID(TRIM(UPPER(E181)),5,1))&gt;=65,CODE(MID(TRIM(UPPER(E181)),5,1))&lt;=90,CODE(MID(TRIM(UPPER(E181)),10,1))&gt;=65,CODE(MID(TRIM(UPPER(E181)),10,1))&lt;=90,CODE(MID(TRIM(UPPER(E181)),6,1))&gt;=48,CODE(MID(TRIM(UPPER(E181)),6,1))&lt;=57,CODE(MID(TRIM(UPPER(E181)),7,1))&gt;=48,CODE(MID(TRIM(UPPER(E181)),7,1))&lt;=57,CODE(MID(TRIM(UPPER(E181)),8,1))&gt;=48,CODE(MID(TRIM(UPPER(E181)),8,1))&lt;=57,CODE(MID(TRIM(UPPER(E181)),9,1))&gt;=48,CODE(MID(TRIM(UPPER(E181)),9,1))&lt;=57),"N","Y"))</f>
      </c>
      <c r="G181" s="7">
        <f>IF($D181="","",IF(LEN(E181)&lt;4,"",IF(UPPER(MID(E181,4,1))="P","Individual",IF(UPPER(MID(E181,4,1))="H","HUF",IF(UPPER(MID(E181,4,1))="C","Company",IF(UPPER(MID(E181,4,1))="F","Firm",IF(UPPER(MID(E181,4,1))="L","LLP",IF(UPPER(MID(E181,4,1))="T","Trust",IF(UPPER(MID(E181,4,1))="A","AOP","")))))))))</f>
      </c>
      <c r="H181" s="8"/>
      <c r="I181" s="7">
        <f>IF($D181="","",IF(H181="","",IF(F181="Y",SUMPRODUCT(('Rate Lookup'!$A$1:$A$37=H181)*'Rate Lookup'!$D$1:$D$37),IF(OR(G181="Individual",G181="HUF"),SUMPRODUCT(('Rate Lookup'!$A$1:$A$37=H181)*'Rate Lookup'!$B$1:$B$37),SUMPRODUCT(('Rate Lookup'!$A$1:$A$37=H181)*'Rate Lookup'!$C$1:$C$37)))))</f>
      </c>
      <c r="J181" s="8"/>
      <c r="K181" s="8"/>
      <c r="L181" s="7">
        <f>IF($D181="","",ROUND(K181*I181/100,0))</f>
      </c>
      <c r="M181" s="7">
        <f>IF($D181="","",0)</f>
      </c>
      <c r="N181" s="7">
        <f>IF($D181="","",0)</f>
      </c>
      <c r="O181" s="7">
        <f>IF($D181="","",IF(OR(L181=0,J181="",IFERROR(INDEX('Challan Master'!$D$4:$D$207,MATCH($B181,'Challan Master'!$S$4:$S$207,0)),"")="",IFERROR(INDEX('Challan Master'!$D$4:$D$207,MATCH($B181,'Challan Master'!$S$4:$S$207,0)),"")&lt;=0),0,IF(IFERROR(INDEX('Challan Master'!$D$4:$D$207,MATCH($B181,'Challan Master'!$S$4:$S$207,0)),"")&lt;=DATE(YEAR(J181),MONTH(J181)+1,7),0,ROUND(L181*0.015*((YEAR(IFERROR(INDEX('Challan Master'!$D$4:$D$207,MATCH($B181,'Challan Master'!$S$4:$S$207,0)),""))-YEAR(J181))*12+(MONTH(IFERROR(INDEX('Challan Master'!$D$4:$D$207,MATCH($B181,'Challan Master'!$S$4:$S$207,0)),""))-MONTH(J181))+1),0))))</f>
      </c>
      <c r="P181" s="7">
        <f>IF($D181="","",0)</f>
      </c>
      <c r="Q181" s="8"/>
      <c r="R181" s="8"/>
      <c r="S181" s="8"/>
      <c r="T181" s="8"/>
      <c r="U181" s="8"/>
      <c r="V181" s="7">
        <f>IF($B181="","",IFERROR(INDEX('Challan Master'!$AA$4:$AA$207,MATCH($B181,'Challan Master'!$S$4:$S$207,0)),""))</f>
      </c>
    </row>
    <row r="182" spans="1:22" x14ac:dyDescent="0.25">
      <c r="A182" s="7">
        <f>IF($D182="","",COUNTIF($D$4:$D182,"&lt;&gt;"))</f>
      </c>
      <c r="B182" s="8"/>
      <c r="C182" s="7">
        <f>IF($B182="","","BSR "&amp;IFERROR(INDEX('Challan Master'!$B$4:$B$207,MATCH($B182,'Challan Master'!$S$4:$S$207,0)),"")&amp;" | Serial "&amp;IFERROR(INDEX('Challan Master'!$C$4:$C$207,MATCH($B182,'Challan Master'!$S$4:$S$207,0)),"")&amp;" | Deposit "&amp;TEXT(IFERROR(INDEX('Challan Master'!$D$4:$D$207,MATCH($B182,'Challan Master'!$S$4:$S$207,0)),""),"dd-mm-yyyy")&amp;" | Minor Head "&amp;IFERROR(INDEX('Challan Master'!$E$4:$E$207,MATCH($B182,'Challan Master'!$S$4:$S$207,0)),"")&amp;" | Tax ₹"&amp;TEXT(IFERROR(INDEX('Challan Master'!$G$4:$G$207,MATCH($B182,'Challan Master'!$S$4:$S$207,0)),""),"#,##0")&amp;" | Section "&amp;IFERROR(INDEX('Challan Master'!$F$4:$F$207,MATCH($B182,'Challan Master'!$S$4:$S$207,0)),""))</f>
      </c>
      <c r="D182" s="8"/>
      <c r="E182" s="8"/>
      <c r="F182" s="7">
        <f>IF($D182="","",IF(AND(LEN(TRIM(UPPER(E182)))=10,CODE(MID(TRIM(UPPER(E182)),1,1))&gt;=65,CODE(MID(TRIM(UPPER(E182)),1,1))&lt;=90,CODE(MID(TRIM(UPPER(E182)),2,1))&gt;=65,CODE(MID(TRIM(UPPER(E182)),2,1))&lt;=90,CODE(MID(TRIM(UPPER(E182)),3,1))&gt;=65,CODE(MID(TRIM(UPPER(E182)),3,1))&lt;=90,CODE(MID(TRIM(UPPER(E182)),4,1))&gt;=65,CODE(MID(TRIM(UPPER(E182)),4,1))&lt;=90,CODE(MID(TRIM(UPPER(E182)),5,1))&gt;=65,CODE(MID(TRIM(UPPER(E182)),5,1))&lt;=90,CODE(MID(TRIM(UPPER(E182)),10,1))&gt;=65,CODE(MID(TRIM(UPPER(E182)),10,1))&lt;=90,CODE(MID(TRIM(UPPER(E182)),6,1))&gt;=48,CODE(MID(TRIM(UPPER(E182)),6,1))&lt;=57,CODE(MID(TRIM(UPPER(E182)),7,1))&gt;=48,CODE(MID(TRIM(UPPER(E182)),7,1))&lt;=57,CODE(MID(TRIM(UPPER(E182)),8,1))&gt;=48,CODE(MID(TRIM(UPPER(E182)),8,1))&lt;=57,CODE(MID(TRIM(UPPER(E182)),9,1))&gt;=48,CODE(MID(TRIM(UPPER(E182)),9,1))&lt;=57),"N","Y"))</f>
      </c>
      <c r="G182" s="7">
        <f>IF($D182="","",IF(LEN(E182)&lt;4,"",IF(UPPER(MID(E182,4,1))="P","Individual",IF(UPPER(MID(E182,4,1))="H","HUF",IF(UPPER(MID(E182,4,1))="C","Company",IF(UPPER(MID(E182,4,1))="F","Firm",IF(UPPER(MID(E182,4,1))="L","LLP",IF(UPPER(MID(E182,4,1))="T","Trust",IF(UPPER(MID(E182,4,1))="A","AOP","")))))))))</f>
      </c>
      <c r="H182" s="8"/>
      <c r="I182" s="7">
        <f>IF($D182="","",IF(H182="","",IF(F182="Y",SUMPRODUCT(('Rate Lookup'!$A$1:$A$37=H182)*'Rate Lookup'!$D$1:$D$37),IF(OR(G182="Individual",G182="HUF"),SUMPRODUCT(('Rate Lookup'!$A$1:$A$37=H182)*'Rate Lookup'!$B$1:$B$37),SUMPRODUCT(('Rate Lookup'!$A$1:$A$37=H182)*'Rate Lookup'!$C$1:$C$37)))))</f>
      </c>
      <c r="J182" s="8"/>
      <c r="K182" s="8"/>
      <c r="L182" s="7">
        <f>IF($D182="","",ROUND(K182*I182/100,0))</f>
      </c>
      <c r="M182" s="7">
        <f>IF($D182="","",0)</f>
      </c>
      <c r="N182" s="7">
        <f>IF($D182="","",0)</f>
      </c>
      <c r="O182" s="7">
        <f>IF($D182="","",IF(OR(L182=0,J182="",IFERROR(INDEX('Challan Master'!$D$4:$D$207,MATCH($B182,'Challan Master'!$S$4:$S$207,0)),"")="",IFERROR(INDEX('Challan Master'!$D$4:$D$207,MATCH($B182,'Challan Master'!$S$4:$S$207,0)),"")&lt;=0),0,IF(IFERROR(INDEX('Challan Master'!$D$4:$D$207,MATCH($B182,'Challan Master'!$S$4:$S$207,0)),"")&lt;=DATE(YEAR(J182),MONTH(J182)+1,7),0,ROUND(L182*0.015*((YEAR(IFERROR(INDEX('Challan Master'!$D$4:$D$207,MATCH($B182,'Challan Master'!$S$4:$S$207,0)),""))-YEAR(J182))*12+(MONTH(IFERROR(INDEX('Challan Master'!$D$4:$D$207,MATCH($B182,'Challan Master'!$S$4:$S$207,0)),""))-MONTH(J182))+1),0))))</f>
      </c>
      <c r="P182" s="7">
        <f>IF($D182="","",0)</f>
      </c>
      <c r="Q182" s="8"/>
      <c r="R182" s="8"/>
      <c r="S182" s="8"/>
      <c r="T182" s="8"/>
      <c r="U182" s="8"/>
      <c r="V182" s="7">
        <f>IF($B182="","",IFERROR(INDEX('Challan Master'!$AA$4:$AA$207,MATCH($B182,'Challan Master'!$S$4:$S$207,0)),""))</f>
      </c>
    </row>
    <row r="183" spans="1:22" x14ac:dyDescent="0.25">
      <c r="A183" s="7">
        <f>IF($D183="","",COUNTIF($D$4:$D183,"&lt;&gt;"))</f>
      </c>
      <c r="B183" s="8"/>
      <c r="C183" s="7">
        <f>IF($B183="","","BSR "&amp;IFERROR(INDEX('Challan Master'!$B$4:$B$207,MATCH($B183,'Challan Master'!$S$4:$S$207,0)),"")&amp;" | Serial "&amp;IFERROR(INDEX('Challan Master'!$C$4:$C$207,MATCH($B183,'Challan Master'!$S$4:$S$207,0)),"")&amp;" | Deposit "&amp;TEXT(IFERROR(INDEX('Challan Master'!$D$4:$D$207,MATCH($B183,'Challan Master'!$S$4:$S$207,0)),""),"dd-mm-yyyy")&amp;" | Minor Head "&amp;IFERROR(INDEX('Challan Master'!$E$4:$E$207,MATCH($B183,'Challan Master'!$S$4:$S$207,0)),"")&amp;" | Tax ₹"&amp;TEXT(IFERROR(INDEX('Challan Master'!$G$4:$G$207,MATCH($B183,'Challan Master'!$S$4:$S$207,0)),""),"#,##0")&amp;" | Section "&amp;IFERROR(INDEX('Challan Master'!$F$4:$F$207,MATCH($B183,'Challan Master'!$S$4:$S$207,0)),""))</f>
      </c>
      <c r="D183" s="8"/>
      <c r="E183" s="8"/>
      <c r="F183" s="7">
        <f>IF($D183="","",IF(AND(LEN(TRIM(UPPER(E183)))=10,CODE(MID(TRIM(UPPER(E183)),1,1))&gt;=65,CODE(MID(TRIM(UPPER(E183)),1,1))&lt;=90,CODE(MID(TRIM(UPPER(E183)),2,1))&gt;=65,CODE(MID(TRIM(UPPER(E183)),2,1))&lt;=90,CODE(MID(TRIM(UPPER(E183)),3,1))&gt;=65,CODE(MID(TRIM(UPPER(E183)),3,1))&lt;=90,CODE(MID(TRIM(UPPER(E183)),4,1))&gt;=65,CODE(MID(TRIM(UPPER(E183)),4,1))&lt;=90,CODE(MID(TRIM(UPPER(E183)),5,1))&gt;=65,CODE(MID(TRIM(UPPER(E183)),5,1))&lt;=90,CODE(MID(TRIM(UPPER(E183)),10,1))&gt;=65,CODE(MID(TRIM(UPPER(E183)),10,1))&lt;=90,CODE(MID(TRIM(UPPER(E183)),6,1))&gt;=48,CODE(MID(TRIM(UPPER(E183)),6,1))&lt;=57,CODE(MID(TRIM(UPPER(E183)),7,1))&gt;=48,CODE(MID(TRIM(UPPER(E183)),7,1))&lt;=57,CODE(MID(TRIM(UPPER(E183)),8,1))&gt;=48,CODE(MID(TRIM(UPPER(E183)),8,1))&lt;=57,CODE(MID(TRIM(UPPER(E183)),9,1))&gt;=48,CODE(MID(TRIM(UPPER(E183)),9,1))&lt;=57),"N","Y"))</f>
      </c>
      <c r="G183" s="7">
        <f>IF($D183="","",IF(LEN(E183)&lt;4,"",IF(UPPER(MID(E183,4,1))="P","Individual",IF(UPPER(MID(E183,4,1))="H","HUF",IF(UPPER(MID(E183,4,1))="C","Company",IF(UPPER(MID(E183,4,1))="F","Firm",IF(UPPER(MID(E183,4,1))="L","LLP",IF(UPPER(MID(E183,4,1))="T","Trust",IF(UPPER(MID(E183,4,1))="A","AOP","")))))))))</f>
      </c>
      <c r="H183" s="8"/>
      <c r="I183" s="7">
        <f>IF($D183="","",IF(H183="","",IF(F183="Y",SUMPRODUCT(('Rate Lookup'!$A$1:$A$37=H183)*'Rate Lookup'!$D$1:$D$37),IF(OR(G183="Individual",G183="HUF"),SUMPRODUCT(('Rate Lookup'!$A$1:$A$37=H183)*'Rate Lookup'!$B$1:$B$37),SUMPRODUCT(('Rate Lookup'!$A$1:$A$37=H183)*'Rate Lookup'!$C$1:$C$37)))))</f>
      </c>
      <c r="J183" s="8"/>
      <c r="K183" s="8"/>
      <c r="L183" s="7">
        <f>IF($D183="","",ROUND(K183*I183/100,0))</f>
      </c>
      <c r="M183" s="7">
        <f>IF($D183="","",0)</f>
      </c>
      <c r="N183" s="7">
        <f>IF($D183="","",0)</f>
      </c>
      <c r="O183" s="7">
        <f>IF($D183="","",IF(OR(L183=0,J183="",IFERROR(INDEX('Challan Master'!$D$4:$D$207,MATCH($B183,'Challan Master'!$S$4:$S$207,0)),"")="",IFERROR(INDEX('Challan Master'!$D$4:$D$207,MATCH($B183,'Challan Master'!$S$4:$S$207,0)),"")&lt;=0),0,IF(IFERROR(INDEX('Challan Master'!$D$4:$D$207,MATCH($B183,'Challan Master'!$S$4:$S$207,0)),"")&lt;=DATE(YEAR(J183),MONTH(J183)+1,7),0,ROUND(L183*0.015*((YEAR(IFERROR(INDEX('Challan Master'!$D$4:$D$207,MATCH($B183,'Challan Master'!$S$4:$S$207,0)),""))-YEAR(J183))*12+(MONTH(IFERROR(INDEX('Challan Master'!$D$4:$D$207,MATCH($B183,'Challan Master'!$S$4:$S$207,0)),""))-MONTH(J183))+1),0))))</f>
      </c>
      <c r="P183" s="7">
        <f>IF($D183="","",0)</f>
      </c>
      <c r="Q183" s="8"/>
      <c r="R183" s="8"/>
      <c r="S183" s="8"/>
      <c r="T183" s="8"/>
      <c r="U183" s="8"/>
      <c r="V183" s="7">
        <f>IF($B183="","",IFERROR(INDEX('Challan Master'!$AA$4:$AA$207,MATCH($B183,'Challan Master'!$S$4:$S$207,0)),""))</f>
      </c>
    </row>
    <row r="184" spans="1:22" x14ac:dyDescent="0.25">
      <c r="A184" s="7">
        <f>IF($D184="","",COUNTIF($D$4:$D184,"&lt;&gt;"))</f>
      </c>
      <c r="B184" s="8"/>
      <c r="C184" s="7">
        <f>IF($B184="","","BSR "&amp;IFERROR(INDEX('Challan Master'!$B$4:$B$207,MATCH($B184,'Challan Master'!$S$4:$S$207,0)),"")&amp;" | Serial "&amp;IFERROR(INDEX('Challan Master'!$C$4:$C$207,MATCH($B184,'Challan Master'!$S$4:$S$207,0)),"")&amp;" | Deposit "&amp;TEXT(IFERROR(INDEX('Challan Master'!$D$4:$D$207,MATCH($B184,'Challan Master'!$S$4:$S$207,0)),""),"dd-mm-yyyy")&amp;" | Minor Head "&amp;IFERROR(INDEX('Challan Master'!$E$4:$E$207,MATCH($B184,'Challan Master'!$S$4:$S$207,0)),"")&amp;" | Tax ₹"&amp;TEXT(IFERROR(INDEX('Challan Master'!$G$4:$G$207,MATCH($B184,'Challan Master'!$S$4:$S$207,0)),""),"#,##0")&amp;" | Section "&amp;IFERROR(INDEX('Challan Master'!$F$4:$F$207,MATCH($B184,'Challan Master'!$S$4:$S$207,0)),""))</f>
      </c>
      <c r="D184" s="8"/>
      <c r="E184" s="8"/>
      <c r="F184" s="7">
        <f>IF($D184="","",IF(AND(LEN(TRIM(UPPER(E184)))=10,CODE(MID(TRIM(UPPER(E184)),1,1))&gt;=65,CODE(MID(TRIM(UPPER(E184)),1,1))&lt;=90,CODE(MID(TRIM(UPPER(E184)),2,1))&gt;=65,CODE(MID(TRIM(UPPER(E184)),2,1))&lt;=90,CODE(MID(TRIM(UPPER(E184)),3,1))&gt;=65,CODE(MID(TRIM(UPPER(E184)),3,1))&lt;=90,CODE(MID(TRIM(UPPER(E184)),4,1))&gt;=65,CODE(MID(TRIM(UPPER(E184)),4,1))&lt;=90,CODE(MID(TRIM(UPPER(E184)),5,1))&gt;=65,CODE(MID(TRIM(UPPER(E184)),5,1))&lt;=90,CODE(MID(TRIM(UPPER(E184)),10,1))&gt;=65,CODE(MID(TRIM(UPPER(E184)),10,1))&lt;=90,CODE(MID(TRIM(UPPER(E184)),6,1))&gt;=48,CODE(MID(TRIM(UPPER(E184)),6,1))&lt;=57,CODE(MID(TRIM(UPPER(E184)),7,1))&gt;=48,CODE(MID(TRIM(UPPER(E184)),7,1))&lt;=57,CODE(MID(TRIM(UPPER(E184)),8,1))&gt;=48,CODE(MID(TRIM(UPPER(E184)),8,1))&lt;=57,CODE(MID(TRIM(UPPER(E184)),9,1))&gt;=48,CODE(MID(TRIM(UPPER(E184)),9,1))&lt;=57),"N","Y"))</f>
      </c>
      <c r="G184" s="7">
        <f>IF($D184="","",IF(LEN(E184)&lt;4,"",IF(UPPER(MID(E184,4,1))="P","Individual",IF(UPPER(MID(E184,4,1))="H","HUF",IF(UPPER(MID(E184,4,1))="C","Company",IF(UPPER(MID(E184,4,1))="F","Firm",IF(UPPER(MID(E184,4,1))="L","LLP",IF(UPPER(MID(E184,4,1))="T","Trust",IF(UPPER(MID(E184,4,1))="A","AOP","")))))))))</f>
      </c>
      <c r="H184" s="8"/>
      <c r="I184" s="7">
        <f>IF($D184="","",IF(H184="","",IF(F184="Y",SUMPRODUCT(('Rate Lookup'!$A$1:$A$37=H184)*'Rate Lookup'!$D$1:$D$37),IF(OR(G184="Individual",G184="HUF"),SUMPRODUCT(('Rate Lookup'!$A$1:$A$37=H184)*'Rate Lookup'!$B$1:$B$37),SUMPRODUCT(('Rate Lookup'!$A$1:$A$37=H184)*'Rate Lookup'!$C$1:$C$37)))))</f>
      </c>
      <c r="J184" s="8"/>
      <c r="K184" s="8"/>
      <c r="L184" s="7">
        <f>IF($D184="","",ROUND(K184*I184/100,0))</f>
      </c>
      <c r="M184" s="7">
        <f>IF($D184="","",0)</f>
      </c>
      <c r="N184" s="7">
        <f>IF($D184="","",0)</f>
      </c>
      <c r="O184" s="7">
        <f>IF($D184="","",IF(OR(L184=0,J184="",IFERROR(INDEX('Challan Master'!$D$4:$D$207,MATCH($B184,'Challan Master'!$S$4:$S$207,0)),"")="",IFERROR(INDEX('Challan Master'!$D$4:$D$207,MATCH($B184,'Challan Master'!$S$4:$S$207,0)),"")&lt;=0),0,IF(IFERROR(INDEX('Challan Master'!$D$4:$D$207,MATCH($B184,'Challan Master'!$S$4:$S$207,0)),"")&lt;=DATE(YEAR(J184),MONTH(J184)+1,7),0,ROUND(L184*0.015*((YEAR(IFERROR(INDEX('Challan Master'!$D$4:$D$207,MATCH($B184,'Challan Master'!$S$4:$S$207,0)),""))-YEAR(J184))*12+(MONTH(IFERROR(INDEX('Challan Master'!$D$4:$D$207,MATCH($B184,'Challan Master'!$S$4:$S$207,0)),""))-MONTH(J184))+1),0))))</f>
      </c>
      <c r="P184" s="7">
        <f>IF($D184="","",0)</f>
      </c>
      <c r="Q184" s="8"/>
      <c r="R184" s="8"/>
      <c r="S184" s="8"/>
      <c r="T184" s="8"/>
      <c r="U184" s="8"/>
      <c r="V184" s="7">
        <f>IF($B184="","",IFERROR(INDEX('Challan Master'!$AA$4:$AA$207,MATCH($B184,'Challan Master'!$S$4:$S$207,0)),""))</f>
      </c>
    </row>
    <row r="185" spans="1:22" x14ac:dyDescent="0.25">
      <c r="A185" s="7">
        <f>IF($D185="","",COUNTIF($D$4:$D185,"&lt;&gt;"))</f>
      </c>
      <c r="B185" s="8"/>
      <c r="C185" s="7">
        <f>IF($B185="","","BSR "&amp;IFERROR(INDEX('Challan Master'!$B$4:$B$207,MATCH($B185,'Challan Master'!$S$4:$S$207,0)),"")&amp;" | Serial "&amp;IFERROR(INDEX('Challan Master'!$C$4:$C$207,MATCH($B185,'Challan Master'!$S$4:$S$207,0)),"")&amp;" | Deposit "&amp;TEXT(IFERROR(INDEX('Challan Master'!$D$4:$D$207,MATCH($B185,'Challan Master'!$S$4:$S$207,0)),""),"dd-mm-yyyy")&amp;" | Minor Head "&amp;IFERROR(INDEX('Challan Master'!$E$4:$E$207,MATCH($B185,'Challan Master'!$S$4:$S$207,0)),"")&amp;" | Tax ₹"&amp;TEXT(IFERROR(INDEX('Challan Master'!$G$4:$G$207,MATCH($B185,'Challan Master'!$S$4:$S$207,0)),""),"#,##0")&amp;" | Section "&amp;IFERROR(INDEX('Challan Master'!$F$4:$F$207,MATCH($B185,'Challan Master'!$S$4:$S$207,0)),""))</f>
      </c>
      <c r="D185" s="8"/>
      <c r="E185" s="8"/>
      <c r="F185" s="7">
        <f>IF($D185="","",IF(AND(LEN(TRIM(UPPER(E185)))=10,CODE(MID(TRIM(UPPER(E185)),1,1))&gt;=65,CODE(MID(TRIM(UPPER(E185)),1,1))&lt;=90,CODE(MID(TRIM(UPPER(E185)),2,1))&gt;=65,CODE(MID(TRIM(UPPER(E185)),2,1))&lt;=90,CODE(MID(TRIM(UPPER(E185)),3,1))&gt;=65,CODE(MID(TRIM(UPPER(E185)),3,1))&lt;=90,CODE(MID(TRIM(UPPER(E185)),4,1))&gt;=65,CODE(MID(TRIM(UPPER(E185)),4,1))&lt;=90,CODE(MID(TRIM(UPPER(E185)),5,1))&gt;=65,CODE(MID(TRIM(UPPER(E185)),5,1))&lt;=90,CODE(MID(TRIM(UPPER(E185)),10,1))&gt;=65,CODE(MID(TRIM(UPPER(E185)),10,1))&lt;=90,CODE(MID(TRIM(UPPER(E185)),6,1))&gt;=48,CODE(MID(TRIM(UPPER(E185)),6,1))&lt;=57,CODE(MID(TRIM(UPPER(E185)),7,1))&gt;=48,CODE(MID(TRIM(UPPER(E185)),7,1))&lt;=57,CODE(MID(TRIM(UPPER(E185)),8,1))&gt;=48,CODE(MID(TRIM(UPPER(E185)),8,1))&lt;=57,CODE(MID(TRIM(UPPER(E185)),9,1))&gt;=48,CODE(MID(TRIM(UPPER(E185)),9,1))&lt;=57),"N","Y"))</f>
      </c>
      <c r="G185" s="7">
        <f>IF($D185="","",IF(LEN(E185)&lt;4,"",IF(UPPER(MID(E185,4,1))="P","Individual",IF(UPPER(MID(E185,4,1))="H","HUF",IF(UPPER(MID(E185,4,1))="C","Company",IF(UPPER(MID(E185,4,1))="F","Firm",IF(UPPER(MID(E185,4,1))="L","LLP",IF(UPPER(MID(E185,4,1))="T","Trust",IF(UPPER(MID(E185,4,1))="A","AOP","")))))))))</f>
      </c>
      <c r="H185" s="8"/>
      <c r="I185" s="7">
        <f>IF($D185="","",IF(H185="","",IF(F185="Y",SUMPRODUCT(('Rate Lookup'!$A$1:$A$37=H185)*'Rate Lookup'!$D$1:$D$37),IF(OR(G185="Individual",G185="HUF"),SUMPRODUCT(('Rate Lookup'!$A$1:$A$37=H185)*'Rate Lookup'!$B$1:$B$37),SUMPRODUCT(('Rate Lookup'!$A$1:$A$37=H185)*'Rate Lookup'!$C$1:$C$37)))))</f>
      </c>
      <c r="J185" s="8"/>
      <c r="K185" s="8"/>
      <c r="L185" s="7">
        <f>IF($D185="","",ROUND(K185*I185/100,0))</f>
      </c>
      <c r="M185" s="7">
        <f>IF($D185="","",0)</f>
      </c>
      <c r="N185" s="7">
        <f>IF($D185="","",0)</f>
      </c>
      <c r="O185" s="7">
        <f>IF($D185="","",IF(OR(L185=0,J185="",IFERROR(INDEX('Challan Master'!$D$4:$D$207,MATCH($B185,'Challan Master'!$S$4:$S$207,0)),"")="",IFERROR(INDEX('Challan Master'!$D$4:$D$207,MATCH($B185,'Challan Master'!$S$4:$S$207,0)),"")&lt;=0),0,IF(IFERROR(INDEX('Challan Master'!$D$4:$D$207,MATCH($B185,'Challan Master'!$S$4:$S$207,0)),"")&lt;=DATE(YEAR(J185),MONTH(J185)+1,7),0,ROUND(L185*0.015*((YEAR(IFERROR(INDEX('Challan Master'!$D$4:$D$207,MATCH($B185,'Challan Master'!$S$4:$S$207,0)),""))-YEAR(J185))*12+(MONTH(IFERROR(INDEX('Challan Master'!$D$4:$D$207,MATCH($B185,'Challan Master'!$S$4:$S$207,0)),""))-MONTH(J185))+1),0))))</f>
      </c>
      <c r="P185" s="7">
        <f>IF($D185="","",0)</f>
      </c>
      <c r="Q185" s="8"/>
      <c r="R185" s="8"/>
      <c r="S185" s="8"/>
      <c r="T185" s="8"/>
      <c r="U185" s="8"/>
      <c r="V185" s="7">
        <f>IF($B185="","",IFERROR(INDEX('Challan Master'!$AA$4:$AA$207,MATCH($B185,'Challan Master'!$S$4:$S$207,0)),""))</f>
      </c>
    </row>
    <row r="186" spans="1:22" x14ac:dyDescent="0.25">
      <c r="A186" s="7">
        <f>IF($D186="","",COUNTIF($D$4:$D186,"&lt;&gt;"))</f>
      </c>
      <c r="B186" s="8"/>
      <c r="C186" s="7">
        <f>IF($B186="","","BSR "&amp;IFERROR(INDEX('Challan Master'!$B$4:$B$207,MATCH($B186,'Challan Master'!$S$4:$S$207,0)),"")&amp;" | Serial "&amp;IFERROR(INDEX('Challan Master'!$C$4:$C$207,MATCH($B186,'Challan Master'!$S$4:$S$207,0)),"")&amp;" | Deposit "&amp;TEXT(IFERROR(INDEX('Challan Master'!$D$4:$D$207,MATCH($B186,'Challan Master'!$S$4:$S$207,0)),""),"dd-mm-yyyy")&amp;" | Minor Head "&amp;IFERROR(INDEX('Challan Master'!$E$4:$E$207,MATCH($B186,'Challan Master'!$S$4:$S$207,0)),"")&amp;" | Tax ₹"&amp;TEXT(IFERROR(INDEX('Challan Master'!$G$4:$G$207,MATCH($B186,'Challan Master'!$S$4:$S$207,0)),""),"#,##0")&amp;" | Section "&amp;IFERROR(INDEX('Challan Master'!$F$4:$F$207,MATCH($B186,'Challan Master'!$S$4:$S$207,0)),""))</f>
      </c>
      <c r="D186" s="8"/>
      <c r="E186" s="8"/>
      <c r="F186" s="7">
        <f>IF($D186="","",IF(AND(LEN(TRIM(UPPER(E186)))=10,CODE(MID(TRIM(UPPER(E186)),1,1))&gt;=65,CODE(MID(TRIM(UPPER(E186)),1,1))&lt;=90,CODE(MID(TRIM(UPPER(E186)),2,1))&gt;=65,CODE(MID(TRIM(UPPER(E186)),2,1))&lt;=90,CODE(MID(TRIM(UPPER(E186)),3,1))&gt;=65,CODE(MID(TRIM(UPPER(E186)),3,1))&lt;=90,CODE(MID(TRIM(UPPER(E186)),4,1))&gt;=65,CODE(MID(TRIM(UPPER(E186)),4,1))&lt;=90,CODE(MID(TRIM(UPPER(E186)),5,1))&gt;=65,CODE(MID(TRIM(UPPER(E186)),5,1))&lt;=90,CODE(MID(TRIM(UPPER(E186)),10,1))&gt;=65,CODE(MID(TRIM(UPPER(E186)),10,1))&lt;=90,CODE(MID(TRIM(UPPER(E186)),6,1))&gt;=48,CODE(MID(TRIM(UPPER(E186)),6,1))&lt;=57,CODE(MID(TRIM(UPPER(E186)),7,1))&gt;=48,CODE(MID(TRIM(UPPER(E186)),7,1))&lt;=57,CODE(MID(TRIM(UPPER(E186)),8,1))&gt;=48,CODE(MID(TRIM(UPPER(E186)),8,1))&lt;=57,CODE(MID(TRIM(UPPER(E186)),9,1))&gt;=48,CODE(MID(TRIM(UPPER(E186)),9,1))&lt;=57),"N","Y"))</f>
      </c>
      <c r="G186" s="7">
        <f>IF($D186="","",IF(LEN(E186)&lt;4,"",IF(UPPER(MID(E186,4,1))="P","Individual",IF(UPPER(MID(E186,4,1))="H","HUF",IF(UPPER(MID(E186,4,1))="C","Company",IF(UPPER(MID(E186,4,1))="F","Firm",IF(UPPER(MID(E186,4,1))="L","LLP",IF(UPPER(MID(E186,4,1))="T","Trust",IF(UPPER(MID(E186,4,1))="A","AOP","")))))))))</f>
      </c>
      <c r="H186" s="8"/>
      <c r="I186" s="7">
        <f>IF($D186="","",IF(H186="","",IF(F186="Y",SUMPRODUCT(('Rate Lookup'!$A$1:$A$37=H186)*'Rate Lookup'!$D$1:$D$37),IF(OR(G186="Individual",G186="HUF"),SUMPRODUCT(('Rate Lookup'!$A$1:$A$37=H186)*'Rate Lookup'!$B$1:$B$37),SUMPRODUCT(('Rate Lookup'!$A$1:$A$37=H186)*'Rate Lookup'!$C$1:$C$37)))))</f>
      </c>
      <c r="J186" s="8"/>
      <c r="K186" s="8"/>
      <c r="L186" s="7">
        <f>IF($D186="","",ROUND(K186*I186/100,0))</f>
      </c>
      <c r="M186" s="7">
        <f>IF($D186="","",0)</f>
      </c>
      <c r="N186" s="7">
        <f>IF($D186="","",0)</f>
      </c>
      <c r="O186" s="7">
        <f>IF($D186="","",IF(OR(L186=0,J186="",IFERROR(INDEX('Challan Master'!$D$4:$D$207,MATCH($B186,'Challan Master'!$S$4:$S$207,0)),"")="",IFERROR(INDEX('Challan Master'!$D$4:$D$207,MATCH($B186,'Challan Master'!$S$4:$S$207,0)),"")&lt;=0),0,IF(IFERROR(INDEX('Challan Master'!$D$4:$D$207,MATCH($B186,'Challan Master'!$S$4:$S$207,0)),"")&lt;=DATE(YEAR(J186),MONTH(J186)+1,7),0,ROUND(L186*0.015*((YEAR(IFERROR(INDEX('Challan Master'!$D$4:$D$207,MATCH($B186,'Challan Master'!$S$4:$S$207,0)),""))-YEAR(J186))*12+(MONTH(IFERROR(INDEX('Challan Master'!$D$4:$D$207,MATCH($B186,'Challan Master'!$S$4:$S$207,0)),""))-MONTH(J186))+1),0))))</f>
      </c>
      <c r="P186" s="7">
        <f>IF($D186="","",0)</f>
      </c>
      <c r="Q186" s="8"/>
      <c r="R186" s="8"/>
      <c r="S186" s="8"/>
      <c r="T186" s="8"/>
      <c r="U186" s="8"/>
      <c r="V186" s="7">
        <f>IF($B186="","",IFERROR(INDEX('Challan Master'!$AA$4:$AA$207,MATCH($B186,'Challan Master'!$S$4:$S$207,0)),""))</f>
      </c>
    </row>
    <row r="187" spans="1:22" x14ac:dyDescent="0.25">
      <c r="A187" s="7">
        <f>IF($D187="","",COUNTIF($D$4:$D187,"&lt;&gt;"))</f>
      </c>
      <c r="B187" s="8"/>
      <c r="C187" s="7">
        <f>IF($B187="","","BSR "&amp;IFERROR(INDEX('Challan Master'!$B$4:$B$207,MATCH($B187,'Challan Master'!$S$4:$S$207,0)),"")&amp;" | Serial "&amp;IFERROR(INDEX('Challan Master'!$C$4:$C$207,MATCH($B187,'Challan Master'!$S$4:$S$207,0)),"")&amp;" | Deposit "&amp;TEXT(IFERROR(INDEX('Challan Master'!$D$4:$D$207,MATCH($B187,'Challan Master'!$S$4:$S$207,0)),""),"dd-mm-yyyy")&amp;" | Minor Head "&amp;IFERROR(INDEX('Challan Master'!$E$4:$E$207,MATCH($B187,'Challan Master'!$S$4:$S$207,0)),"")&amp;" | Tax ₹"&amp;TEXT(IFERROR(INDEX('Challan Master'!$G$4:$G$207,MATCH($B187,'Challan Master'!$S$4:$S$207,0)),""),"#,##0")&amp;" | Section "&amp;IFERROR(INDEX('Challan Master'!$F$4:$F$207,MATCH($B187,'Challan Master'!$S$4:$S$207,0)),""))</f>
      </c>
      <c r="D187" s="8"/>
      <c r="E187" s="8"/>
      <c r="F187" s="7">
        <f>IF($D187="","",IF(AND(LEN(TRIM(UPPER(E187)))=10,CODE(MID(TRIM(UPPER(E187)),1,1))&gt;=65,CODE(MID(TRIM(UPPER(E187)),1,1))&lt;=90,CODE(MID(TRIM(UPPER(E187)),2,1))&gt;=65,CODE(MID(TRIM(UPPER(E187)),2,1))&lt;=90,CODE(MID(TRIM(UPPER(E187)),3,1))&gt;=65,CODE(MID(TRIM(UPPER(E187)),3,1))&lt;=90,CODE(MID(TRIM(UPPER(E187)),4,1))&gt;=65,CODE(MID(TRIM(UPPER(E187)),4,1))&lt;=90,CODE(MID(TRIM(UPPER(E187)),5,1))&gt;=65,CODE(MID(TRIM(UPPER(E187)),5,1))&lt;=90,CODE(MID(TRIM(UPPER(E187)),10,1))&gt;=65,CODE(MID(TRIM(UPPER(E187)),10,1))&lt;=90,CODE(MID(TRIM(UPPER(E187)),6,1))&gt;=48,CODE(MID(TRIM(UPPER(E187)),6,1))&lt;=57,CODE(MID(TRIM(UPPER(E187)),7,1))&gt;=48,CODE(MID(TRIM(UPPER(E187)),7,1))&lt;=57,CODE(MID(TRIM(UPPER(E187)),8,1))&gt;=48,CODE(MID(TRIM(UPPER(E187)),8,1))&lt;=57,CODE(MID(TRIM(UPPER(E187)),9,1))&gt;=48,CODE(MID(TRIM(UPPER(E187)),9,1))&lt;=57),"N","Y"))</f>
      </c>
      <c r="G187" s="7">
        <f>IF($D187="","",IF(LEN(E187)&lt;4,"",IF(UPPER(MID(E187,4,1))="P","Individual",IF(UPPER(MID(E187,4,1))="H","HUF",IF(UPPER(MID(E187,4,1))="C","Company",IF(UPPER(MID(E187,4,1))="F","Firm",IF(UPPER(MID(E187,4,1))="L","LLP",IF(UPPER(MID(E187,4,1))="T","Trust",IF(UPPER(MID(E187,4,1))="A","AOP","")))))))))</f>
      </c>
      <c r="H187" s="8"/>
      <c r="I187" s="7">
        <f>IF($D187="","",IF(H187="","",IF(F187="Y",SUMPRODUCT(('Rate Lookup'!$A$1:$A$37=H187)*'Rate Lookup'!$D$1:$D$37),IF(OR(G187="Individual",G187="HUF"),SUMPRODUCT(('Rate Lookup'!$A$1:$A$37=H187)*'Rate Lookup'!$B$1:$B$37),SUMPRODUCT(('Rate Lookup'!$A$1:$A$37=H187)*'Rate Lookup'!$C$1:$C$37)))))</f>
      </c>
      <c r="J187" s="8"/>
      <c r="K187" s="8"/>
      <c r="L187" s="7">
        <f>IF($D187="","",ROUND(K187*I187/100,0))</f>
      </c>
      <c r="M187" s="7">
        <f>IF($D187="","",0)</f>
      </c>
      <c r="N187" s="7">
        <f>IF($D187="","",0)</f>
      </c>
      <c r="O187" s="7">
        <f>IF($D187="","",IF(OR(L187=0,J187="",IFERROR(INDEX('Challan Master'!$D$4:$D$207,MATCH($B187,'Challan Master'!$S$4:$S$207,0)),"")="",IFERROR(INDEX('Challan Master'!$D$4:$D$207,MATCH($B187,'Challan Master'!$S$4:$S$207,0)),"")&lt;=0),0,IF(IFERROR(INDEX('Challan Master'!$D$4:$D$207,MATCH($B187,'Challan Master'!$S$4:$S$207,0)),"")&lt;=DATE(YEAR(J187),MONTH(J187)+1,7),0,ROUND(L187*0.015*((YEAR(IFERROR(INDEX('Challan Master'!$D$4:$D$207,MATCH($B187,'Challan Master'!$S$4:$S$207,0)),""))-YEAR(J187))*12+(MONTH(IFERROR(INDEX('Challan Master'!$D$4:$D$207,MATCH($B187,'Challan Master'!$S$4:$S$207,0)),""))-MONTH(J187))+1),0))))</f>
      </c>
      <c r="P187" s="7">
        <f>IF($D187="","",0)</f>
      </c>
      <c r="Q187" s="8"/>
      <c r="R187" s="8"/>
      <c r="S187" s="8"/>
      <c r="T187" s="8"/>
      <c r="U187" s="8"/>
      <c r="V187" s="7">
        <f>IF($B187="","",IFERROR(INDEX('Challan Master'!$AA$4:$AA$207,MATCH($B187,'Challan Master'!$S$4:$S$207,0)),""))</f>
      </c>
    </row>
    <row r="188" spans="1:22" x14ac:dyDescent="0.25">
      <c r="A188" s="7">
        <f>IF($D188="","",COUNTIF($D$4:$D188,"&lt;&gt;"))</f>
      </c>
      <c r="B188" s="8"/>
      <c r="C188" s="7">
        <f>IF($B188="","","BSR "&amp;IFERROR(INDEX('Challan Master'!$B$4:$B$207,MATCH($B188,'Challan Master'!$S$4:$S$207,0)),"")&amp;" | Serial "&amp;IFERROR(INDEX('Challan Master'!$C$4:$C$207,MATCH($B188,'Challan Master'!$S$4:$S$207,0)),"")&amp;" | Deposit "&amp;TEXT(IFERROR(INDEX('Challan Master'!$D$4:$D$207,MATCH($B188,'Challan Master'!$S$4:$S$207,0)),""),"dd-mm-yyyy")&amp;" | Minor Head "&amp;IFERROR(INDEX('Challan Master'!$E$4:$E$207,MATCH($B188,'Challan Master'!$S$4:$S$207,0)),"")&amp;" | Tax ₹"&amp;TEXT(IFERROR(INDEX('Challan Master'!$G$4:$G$207,MATCH($B188,'Challan Master'!$S$4:$S$207,0)),""),"#,##0")&amp;" | Section "&amp;IFERROR(INDEX('Challan Master'!$F$4:$F$207,MATCH($B188,'Challan Master'!$S$4:$S$207,0)),""))</f>
      </c>
      <c r="D188" s="8"/>
      <c r="E188" s="8"/>
      <c r="F188" s="7">
        <f>IF($D188="","",IF(AND(LEN(TRIM(UPPER(E188)))=10,CODE(MID(TRIM(UPPER(E188)),1,1))&gt;=65,CODE(MID(TRIM(UPPER(E188)),1,1))&lt;=90,CODE(MID(TRIM(UPPER(E188)),2,1))&gt;=65,CODE(MID(TRIM(UPPER(E188)),2,1))&lt;=90,CODE(MID(TRIM(UPPER(E188)),3,1))&gt;=65,CODE(MID(TRIM(UPPER(E188)),3,1))&lt;=90,CODE(MID(TRIM(UPPER(E188)),4,1))&gt;=65,CODE(MID(TRIM(UPPER(E188)),4,1))&lt;=90,CODE(MID(TRIM(UPPER(E188)),5,1))&gt;=65,CODE(MID(TRIM(UPPER(E188)),5,1))&lt;=90,CODE(MID(TRIM(UPPER(E188)),10,1))&gt;=65,CODE(MID(TRIM(UPPER(E188)),10,1))&lt;=90,CODE(MID(TRIM(UPPER(E188)),6,1))&gt;=48,CODE(MID(TRIM(UPPER(E188)),6,1))&lt;=57,CODE(MID(TRIM(UPPER(E188)),7,1))&gt;=48,CODE(MID(TRIM(UPPER(E188)),7,1))&lt;=57,CODE(MID(TRIM(UPPER(E188)),8,1))&gt;=48,CODE(MID(TRIM(UPPER(E188)),8,1))&lt;=57,CODE(MID(TRIM(UPPER(E188)),9,1))&gt;=48,CODE(MID(TRIM(UPPER(E188)),9,1))&lt;=57),"N","Y"))</f>
      </c>
      <c r="G188" s="7">
        <f>IF($D188="","",IF(LEN(E188)&lt;4,"",IF(UPPER(MID(E188,4,1))="P","Individual",IF(UPPER(MID(E188,4,1))="H","HUF",IF(UPPER(MID(E188,4,1))="C","Company",IF(UPPER(MID(E188,4,1))="F","Firm",IF(UPPER(MID(E188,4,1))="L","LLP",IF(UPPER(MID(E188,4,1))="T","Trust",IF(UPPER(MID(E188,4,1))="A","AOP","")))))))))</f>
      </c>
      <c r="H188" s="8"/>
      <c r="I188" s="7">
        <f>IF($D188="","",IF(H188="","",IF(F188="Y",SUMPRODUCT(('Rate Lookup'!$A$1:$A$37=H188)*'Rate Lookup'!$D$1:$D$37),IF(OR(G188="Individual",G188="HUF"),SUMPRODUCT(('Rate Lookup'!$A$1:$A$37=H188)*'Rate Lookup'!$B$1:$B$37),SUMPRODUCT(('Rate Lookup'!$A$1:$A$37=H188)*'Rate Lookup'!$C$1:$C$37)))))</f>
      </c>
      <c r="J188" s="8"/>
      <c r="K188" s="8"/>
      <c r="L188" s="7">
        <f>IF($D188="","",ROUND(K188*I188/100,0))</f>
      </c>
      <c r="M188" s="7">
        <f>IF($D188="","",0)</f>
      </c>
      <c r="N188" s="7">
        <f>IF($D188="","",0)</f>
      </c>
      <c r="O188" s="7">
        <f>IF($D188="","",IF(OR(L188=0,J188="",IFERROR(INDEX('Challan Master'!$D$4:$D$207,MATCH($B188,'Challan Master'!$S$4:$S$207,0)),"")="",IFERROR(INDEX('Challan Master'!$D$4:$D$207,MATCH($B188,'Challan Master'!$S$4:$S$207,0)),"")&lt;=0),0,IF(IFERROR(INDEX('Challan Master'!$D$4:$D$207,MATCH($B188,'Challan Master'!$S$4:$S$207,0)),"")&lt;=DATE(YEAR(J188),MONTH(J188)+1,7),0,ROUND(L188*0.015*((YEAR(IFERROR(INDEX('Challan Master'!$D$4:$D$207,MATCH($B188,'Challan Master'!$S$4:$S$207,0)),""))-YEAR(J188))*12+(MONTH(IFERROR(INDEX('Challan Master'!$D$4:$D$207,MATCH($B188,'Challan Master'!$S$4:$S$207,0)),""))-MONTH(J188))+1),0))))</f>
      </c>
      <c r="P188" s="7">
        <f>IF($D188="","",0)</f>
      </c>
      <c r="Q188" s="8"/>
      <c r="R188" s="8"/>
      <c r="S188" s="8"/>
      <c r="T188" s="8"/>
      <c r="U188" s="8"/>
      <c r="V188" s="7">
        <f>IF($B188="","",IFERROR(INDEX('Challan Master'!$AA$4:$AA$207,MATCH($B188,'Challan Master'!$S$4:$S$207,0)),""))</f>
      </c>
    </row>
    <row r="189" spans="1:22" x14ac:dyDescent="0.25">
      <c r="A189" s="7">
        <f>IF($D189="","",COUNTIF($D$4:$D189,"&lt;&gt;"))</f>
      </c>
      <c r="B189" s="8"/>
      <c r="C189" s="7">
        <f>IF($B189="","","BSR "&amp;IFERROR(INDEX('Challan Master'!$B$4:$B$207,MATCH($B189,'Challan Master'!$S$4:$S$207,0)),"")&amp;" | Serial "&amp;IFERROR(INDEX('Challan Master'!$C$4:$C$207,MATCH($B189,'Challan Master'!$S$4:$S$207,0)),"")&amp;" | Deposit "&amp;TEXT(IFERROR(INDEX('Challan Master'!$D$4:$D$207,MATCH($B189,'Challan Master'!$S$4:$S$207,0)),""),"dd-mm-yyyy")&amp;" | Minor Head "&amp;IFERROR(INDEX('Challan Master'!$E$4:$E$207,MATCH($B189,'Challan Master'!$S$4:$S$207,0)),"")&amp;" | Tax ₹"&amp;TEXT(IFERROR(INDEX('Challan Master'!$G$4:$G$207,MATCH($B189,'Challan Master'!$S$4:$S$207,0)),""),"#,##0")&amp;" | Section "&amp;IFERROR(INDEX('Challan Master'!$F$4:$F$207,MATCH($B189,'Challan Master'!$S$4:$S$207,0)),""))</f>
      </c>
      <c r="D189" s="8"/>
      <c r="E189" s="8"/>
      <c r="F189" s="7">
        <f>IF($D189="","",IF(AND(LEN(TRIM(UPPER(E189)))=10,CODE(MID(TRIM(UPPER(E189)),1,1))&gt;=65,CODE(MID(TRIM(UPPER(E189)),1,1))&lt;=90,CODE(MID(TRIM(UPPER(E189)),2,1))&gt;=65,CODE(MID(TRIM(UPPER(E189)),2,1))&lt;=90,CODE(MID(TRIM(UPPER(E189)),3,1))&gt;=65,CODE(MID(TRIM(UPPER(E189)),3,1))&lt;=90,CODE(MID(TRIM(UPPER(E189)),4,1))&gt;=65,CODE(MID(TRIM(UPPER(E189)),4,1))&lt;=90,CODE(MID(TRIM(UPPER(E189)),5,1))&gt;=65,CODE(MID(TRIM(UPPER(E189)),5,1))&lt;=90,CODE(MID(TRIM(UPPER(E189)),10,1))&gt;=65,CODE(MID(TRIM(UPPER(E189)),10,1))&lt;=90,CODE(MID(TRIM(UPPER(E189)),6,1))&gt;=48,CODE(MID(TRIM(UPPER(E189)),6,1))&lt;=57,CODE(MID(TRIM(UPPER(E189)),7,1))&gt;=48,CODE(MID(TRIM(UPPER(E189)),7,1))&lt;=57,CODE(MID(TRIM(UPPER(E189)),8,1))&gt;=48,CODE(MID(TRIM(UPPER(E189)),8,1))&lt;=57,CODE(MID(TRIM(UPPER(E189)),9,1))&gt;=48,CODE(MID(TRIM(UPPER(E189)),9,1))&lt;=57),"N","Y"))</f>
      </c>
      <c r="G189" s="7">
        <f>IF($D189="","",IF(LEN(E189)&lt;4,"",IF(UPPER(MID(E189,4,1))="P","Individual",IF(UPPER(MID(E189,4,1))="H","HUF",IF(UPPER(MID(E189,4,1))="C","Company",IF(UPPER(MID(E189,4,1))="F","Firm",IF(UPPER(MID(E189,4,1))="L","LLP",IF(UPPER(MID(E189,4,1))="T","Trust",IF(UPPER(MID(E189,4,1))="A","AOP","")))))))))</f>
      </c>
      <c r="H189" s="8"/>
      <c r="I189" s="7">
        <f>IF($D189="","",IF(H189="","",IF(F189="Y",SUMPRODUCT(('Rate Lookup'!$A$1:$A$37=H189)*'Rate Lookup'!$D$1:$D$37),IF(OR(G189="Individual",G189="HUF"),SUMPRODUCT(('Rate Lookup'!$A$1:$A$37=H189)*'Rate Lookup'!$B$1:$B$37),SUMPRODUCT(('Rate Lookup'!$A$1:$A$37=H189)*'Rate Lookup'!$C$1:$C$37)))))</f>
      </c>
      <c r="J189" s="8"/>
      <c r="K189" s="8"/>
      <c r="L189" s="7">
        <f>IF($D189="","",ROUND(K189*I189/100,0))</f>
      </c>
      <c r="M189" s="7">
        <f>IF($D189="","",0)</f>
      </c>
      <c r="N189" s="7">
        <f>IF($D189="","",0)</f>
      </c>
      <c r="O189" s="7">
        <f>IF($D189="","",IF(OR(L189=0,J189="",IFERROR(INDEX('Challan Master'!$D$4:$D$207,MATCH($B189,'Challan Master'!$S$4:$S$207,0)),"")="",IFERROR(INDEX('Challan Master'!$D$4:$D$207,MATCH($B189,'Challan Master'!$S$4:$S$207,0)),"")&lt;=0),0,IF(IFERROR(INDEX('Challan Master'!$D$4:$D$207,MATCH($B189,'Challan Master'!$S$4:$S$207,0)),"")&lt;=DATE(YEAR(J189),MONTH(J189)+1,7),0,ROUND(L189*0.015*((YEAR(IFERROR(INDEX('Challan Master'!$D$4:$D$207,MATCH($B189,'Challan Master'!$S$4:$S$207,0)),""))-YEAR(J189))*12+(MONTH(IFERROR(INDEX('Challan Master'!$D$4:$D$207,MATCH($B189,'Challan Master'!$S$4:$S$207,0)),""))-MONTH(J189))+1),0))))</f>
      </c>
      <c r="P189" s="7">
        <f>IF($D189="","",0)</f>
      </c>
      <c r="Q189" s="8"/>
      <c r="R189" s="8"/>
      <c r="S189" s="8"/>
      <c r="T189" s="8"/>
      <c r="U189" s="8"/>
      <c r="V189" s="7">
        <f>IF($B189="","",IFERROR(INDEX('Challan Master'!$AA$4:$AA$207,MATCH($B189,'Challan Master'!$S$4:$S$207,0)),""))</f>
      </c>
    </row>
    <row r="190" spans="1:22" x14ac:dyDescent="0.25">
      <c r="A190" s="7">
        <f>IF($D190="","",COUNTIF($D$4:$D190,"&lt;&gt;"))</f>
      </c>
      <c r="B190" s="8"/>
      <c r="C190" s="7">
        <f>IF($B190="","","BSR "&amp;IFERROR(INDEX('Challan Master'!$B$4:$B$207,MATCH($B190,'Challan Master'!$S$4:$S$207,0)),"")&amp;" | Serial "&amp;IFERROR(INDEX('Challan Master'!$C$4:$C$207,MATCH($B190,'Challan Master'!$S$4:$S$207,0)),"")&amp;" | Deposit "&amp;TEXT(IFERROR(INDEX('Challan Master'!$D$4:$D$207,MATCH($B190,'Challan Master'!$S$4:$S$207,0)),""),"dd-mm-yyyy")&amp;" | Minor Head "&amp;IFERROR(INDEX('Challan Master'!$E$4:$E$207,MATCH($B190,'Challan Master'!$S$4:$S$207,0)),"")&amp;" | Tax ₹"&amp;TEXT(IFERROR(INDEX('Challan Master'!$G$4:$G$207,MATCH($B190,'Challan Master'!$S$4:$S$207,0)),""),"#,##0")&amp;" | Section "&amp;IFERROR(INDEX('Challan Master'!$F$4:$F$207,MATCH($B190,'Challan Master'!$S$4:$S$207,0)),""))</f>
      </c>
      <c r="D190" s="8"/>
      <c r="E190" s="8"/>
      <c r="F190" s="7">
        <f>IF($D190="","",IF(AND(LEN(TRIM(UPPER(E190)))=10,CODE(MID(TRIM(UPPER(E190)),1,1))&gt;=65,CODE(MID(TRIM(UPPER(E190)),1,1))&lt;=90,CODE(MID(TRIM(UPPER(E190)),2,1))&gt;=65,CODE(MID(TRIM(UPPER(E190)),2,1))&lt;=90,CODE(MID(TRIM(UPPER(E190)),3,1))&gt;=65,CODE(MID(TRIM(UPPER(E190)),3,1))&lt;=90,CODE(MID(TRIM(UPPER(E190)),4,1))&gt;=65,CODE(MID(TRIM(UPPER(E190)),4,1))&lt;=90,CODE(MID(TRIM(UPPER(E190)),5,1))&gt;=65,CODE(MID(TRIM(UPPER(E190)),5,1))&lt;=90,CODE(MID(TRIM(UPPER(E190)),10,1))&gt;=65,CODE(MID(TRIM(UPPER(E190)),10,1))&lt;=90,CODE(MID(TRIM(UPPER(E190)),6,1))&gt;=48,CODE(MID(TRIM(UPPER(E190)),6,1))&lt;=57,CODE(MID(TRIM(UPPER(E190)),7,1))&gt;=48,CODE(MID(TRIM(UPPER(E190)),7,1))&lt;=57,CODE(MID(TRIM(UPPER(E190)),8,1))&gt;=48,CODE(MID(TRIM(UPPER(E190)),8,1))&lt;=57,CODE(MID(TRIM(UPPER(E190)),9,1))&gt;=48,CODE(MID(TRIM(UPPER(E190)),9,1))&lt;=57),"N","Y"))</f>
      </c>
      <c r="G190" s="7">
        <f>IF($D190="","",IF(LEN(E190)&lt;4,"",IF(UPPER(MID(E190,4,1))="P","Individual",IF(UPPER(MID(E190,4,1))="H","HUF",IF(UPPER(MID(E190,4,1))="C","Company",IF(UPPER(MID(E190,4,1))="F","Firm",IF(UPPER(MID(E190,4,1))="L","LLP",IF(UPPER(MID(E190,4,1))="T","Trust",IF(UPPER(MID(E190,4,1))="A","AOP","")))))))))</f>
      </c>
      <c r="H190" s="8"/>
      <c r="I190" s="7">
        <f>IF($D190="","",IF(H190="","",IF(F190="Y",SUMPRODUCT(('Rate Lookup'!$A$1:$A$37=H190)*'Rate Lookup'!$D$1:$D$37),IF(OR(G190="Individual",G190="HUF"),SUMPRODUCT(('Rate Lookup'!$A$1:$A$37=H190)*'Rate Lookup'!$B$1:$B$37),SUMPRODUCT(('Rate Lookup'!$A$1:$A$37=H190)*'Rate Lookup'!$C$1:$C$37)))))</f>
      </c>
      <c r="J190" s="8"/>
      <c r="K190" s="8"/>
      <c r="L190" s="7">
        <f>IF($D190="","",ROUND(K190*I190/100,0))</f>
      </c>
      <c r="M190" s="7">
        <f>IF($D190="","",0)</f>
      </c>
      <c r="N190" s="7">
        <f>IF($D190="","",0)</f>
      </c>
      <c r="O190" s="7">
        <f>IF($D190="","",IF(OR(L190=0,J190="",IFERROR(INDEX('Challan Master'!$D$4:$D$207,MATCH($B190,'Challan Master'!$S$4:$S$207,0)),"")="",IFERROR(INDEX('Challan Master'!$D$4:$D$207,MATCH($B190,'Challan Master'!$S$4:$S$207,0)),"")&lt;=0),0,IF(IFERROR(INDEX('Challan Master'!$D$4:$D$207,MATCH($B190,'Challan Master'!$S$4:$S$207,0)),"")&lt;=DATE(YEAR(J190),MONTH(J190)+1,7),0,ROUND(L190*0.015*((YEAR(IFERROR(INDEX('Challan Master'!$D$4:$D$207,MATCH($B190,'Challan Master'!$S$4:$S$207,0)),""))-YEAR(J190))*12+(MONTH(IFERROR(INDEX('Challan Master'!$D$4:$D$207,MATCH($B190,'Challan Master'!$S$4:$S$207,0)),""))-MONTH(J190))+1),0))))</f>
      </c>
      <c r="P190" s="7">
        <f>IF($D190="","",0)</f>
      </c>
      <c r="Q190" s="8"/>
      <c r="R190" s="8"/>
      <c r="S190" s="8"/>
      <c r="T190" s="8"/>
      <c r="U190" s="8"/>
      <c r="V190" s="7">
        <f>IF($B190="","",IFERROR(INDEX('Challan Master'!$AA$4:$AA$207,MATCH($B190,'Challan Master'!$S$4:$S$207,0)),""))</f>
      </c>
    </row>
    <row r="191" spans="1:22" x14ac:dyDescent="0.25">
      <c r="A191" s="7">
        <f>IF($D191="","",COUNTIF($D$4:$D191,"&lt;&gt;"))</f>
      </c>
      <c r="B191" s="8"/>
      <c r="C191" s="7">
        <f>IF($B191="","","BSR "&amp;IFERROR(INDEX('Challan Master'!$B$4:$B$207,MATCH($B191,'Challan Master'!$S$4:$S$207,0)),"")&amp;" | Serial "&amp;IFERROR(INDEX('Challan Master'!$C$4:$C$207,MATCH($B191,'Challan Master'!$S$4:$S$207,0)),"")&amp;" | Deposit "&amp;TEXT(IFERROR(INDEX('Challan Master'!$D$4:$D$207,MATCH($B191,'Challan Master'!$S$4:$S$207,0)),""),"dd-mm-yyyy")&amp;" | Minor Head "&amp;IFERROR(INDEX('Challan Master'!$E$4:$E$207,MATCH($B191,'Challan Master'!$S$4:$S$207,0)),"")&amp;" | Tax ₹"&amp;TEXT(IFERROR(INDEX('Challan Master'!$G$4:$G$207,MATCH($B191,'Challan Master'!$S$4:$S$207,0)),""),"#,##0")&amp;" | Section "&amp;IFERROR(INDEX('Challan Master'!$F$4:$F$207,MATCH($B191,'Challan Master'!$S$4:$S$207,0)),""))</f>
      </c>
      <c r="D191" s="8"/>
      <c r="E191" s="8"/>
      <c r="F191" s="7">
        <f>IF($D191="","",IF(AND(LEN(TRIM(UPPER(E191)))=10,CODE(MID(TRIM(UPPER(E191)),1,1))&gt;=65,CODE(MID(TRIM(UPPER(E191)),1,1))&lt;=90,CODE(MID(TRIM(UPPER(E191)),2,1))&gt;=65,CODE(MID(TRIM(UPPER(E191)),2,1))&lt;=90,CODE(MID(TRIM(UPPER(E191)),3,1))&gt;=65,CODE(MID(TRIM(UPPER(E191)),3,1))&lt;=90,CODE(MID(TRIM(UPPER(E191)),4,1))&gt;=65,CODE(MID(TRIM(UPPER(E191)),4,1))&lt;=90,CODE(MID(TRIM(UPPER(E191)),5,1))&gt;=65,CODE(MID(TRIM(UPPER(E191)),5,1))&lt;=90,CODE(MID(TRIM(UPPER(E191)),10,1))&gt;=65,CODE(MID(TRIM(UPPER(E191)),10,1))&lt;=90,CODE(MID(TRIM(UPPER(E191)),6,1))&gt;=48,CODE(MID(TRIM(UPPER(E191)),6,1))&lt;=57,CODE(MID(TRIM(UPPER(E191)),7,1))&gt;=48,CODE(MID(TRIM(UPPER(E191)),7,1))&lt;=57,CODE(MID(TRIM(UPPER(E191)),8,1))&gt;=48,CODE(MID(TRIM(UPPER(E191)),8,1))&lt;=57,CODE(MID(TRIM(UPPER(E191)),9,1))&gt;=48,CODE(MID(TRIM(UPPER(E191)),9,1))&lt;=57),"N","Y"))</f>
      </c>
      <c r="G191" s="7">
        <f>IF($D191="","",IF(LEN(E191)&lt;4,"",IF(UPPER(MID(E191,4,1))="P","Individual",IF(UPPER(MID(E191,4,1))="H","HUF",IF(UPPER(MID(E191,4,1))="C","Company",IF(UPPER(MID(E191,4,1))="F","Firm",IF(UPPER(MID(E191,4,1))="L","LLP",IF(UPPER(MID(E191,4,1))="T","Trust",IF(UPPER(MID(E191,4,1))="A","AOP","")))))))))</f>
      </c>
      <c r="H191" s="8"/>
      <c r="I191" s="7">
        <f>IF($D191="","",IF(H191="","",IF(F191="Y",SUMPRODUCT(('Rate Lookup'!$A$1:$A$37=H191)*'Rate Lookup'!$D$1:$D$37),IF(OR(G191="Individual",G191="HUF"),SUMPRODUCT(('Rate Lookup'!$A$1:$A$37=H191)*'Rate Lookup'!$B$1:$B$37),SUMPRODUCT(('Rate Lookup'!$A$1:$A$37=H191)*'Rate Lookup'!$C$1:$C$37)))))</f>
      </c>
      <c r="J191" s="8"/>
      <c r="K191" s="8"/>
      <c r="L191" s="7">
        <f>IF($D191="","",ROUND(K191*I191/100,0))</f>
      </c>
      <c r="M191" s="7">
        <f>IF($D191="","",0)</f>
      </c>
      <c r="N191" s="7">
        <f>IF($D191="","",0)</f>
      </c>
      <c r="O191" s="7">
        <f>IF($D191="","",IF(OR(L191=0,J191="",IFERROR(INDEX('Challan Master'!$D$4:$D$207,MATCH($B191,'Challan Master'!$S$4:$S$207,0)),"")="",IFERROR(INDEX('Challan Master'!$D$4:$D$207,MATCH($B191,'Challan Master'!$S$4:$S$207,0)),"")&lt;=0),0,IF(IFERROR(INDEX('Challan Master'!$D$4:$D$207,MATCH($B191,'Challan Master'!$S$4:$S$207,0)),"")&lt;=DATE(YEAR(J191),MONTH(J191)+1,7),0,ROUND(L191*0.015*((YEAR(IFERROR(INDEX('Challan Master'!$D$4:$D$207,MATCH($B191,'Challan Master'!$S$4:$S$207,0)),""))-YEAR(J191))*12+(MONTH(IFERROR(INDEX('Challan Master'!$D$4:$D$207,MATCH($B191,'Challan Master'!$S$4:$S$207,0)),""))-MONTH(J191))+1),0))))</f>
      </c>
      <c r="P191" s="7">
        <f>IF($D191="","",0)</f>
      </c>
      <c r="Q191" s="8"/>
      <c r="R191" s="8"/>
      <c r="S191" s="8"/>
      <c r="T191" s="8"/>
      <c r="U191" s="8"/>
      <c r="V191" s="7">
        <f>IF($B191="","",IFERROR(INDEX('Challan Master'!$AA$4:$AA$207,MATCH($B191,'Challan Master'!$S$4:$S$207,0)),""))</f>
      </c>
    </row>
    <row r="192" spans="1:22" x14ac:dyDescent="0.25">
      <c r="A192" s="7">
        <f>IF($D192="","",COUNTIF($D$4:$D192,"&lt;&gt;"))</f>
      </c>
      <c r="B192" s="8"/>
      <c r="C192" s="7">
        <f>IF($B192="","","BSR "&amp;IFERROR(INDEX('Challan Master'!$B$4:$B$207,MATCH($B192,'Challan Master'!$S$4:$S$207,0)),"")&amp;" | Serial "&amp;IFERROR(INDEX('Challan Master'!$C$4:$C$207,MATCH($B192,'Challan Master'!$S$4:$S$207,0)),"")&amp;" | Deposit "&amp;TEXT(IFERROR(INDEX('Challan Master'!$D$4:$D$207,MATCH($B192,'Challan Master'!$S$4:$S$207,0)),""),"dd-mm-yyyy")&amp;" | Minor Head "&amp;IFERROR(INDEX('Challan Master'!$E$4:$E$207,MATCH($B192,'Challan Master'!$S$4:$S$207,0)),"")&amp;" | Tax ₹"&amp;TEXT(IFERROR(INDEX('Challan Master'!$G$4:$G$207,MATCH($B192,'Challan Master'!$S$4:$S$207,0)),""),"#,##0")&amp;" | Section "&amp;IFERROR(INDEX('Challan Master'!$F$4:$F$207,MATCH($B192,'Challan Master'!$S$4:$S$207,0)),""))</f>
      </c>
      <c r="D192" s="8"/>
      <c r="E192" s="8"/>
      <c r="F192" s="7">
        <f>IF($D192="","",IF(AND(LEN(TRIM(UPPER(E192)))=10,CODE(MID(TRIM(UPPER(E192)),1,1))&gt;=65,CODE(MID(TRIM(UPPER(E192)),1,1))&lt;=90,CODE(MID(TRIM(UPPER(E192)),2,1))&gt;=65,CODE(MID(TRIM(UPPER(E192)),2,1))&lt;=90,CODE(MID(TRIM(UPPER(E192)),3,1))&gt;=65,CODE(MID(TRIM(UPPER(E192)),3,1))&lt;=90,CODE(MID(TRIM(UPPER(E192)),4,1))&gt;=65,CODE(MID(TRIM(UPPER(E192)),4,1))&lt;=90,CODE(MID(TRIM(UPPER(E192)),5,1))&gt;=65,CODE(MID(TRIM(UPPER(E192)),5,1))&lt;=90,CODE(MID(TRIM(UPPER(E192)),10,1))&gt;=65,CODE(MID(TRIM(UPPER(E192)),10,1))&lt;=90,CODE(MID(TRIM(UPPER(E192)),6,1))&gt;=48,CODE(MID(TRIM(UPPER(E192)),6,1))&lt;=57,CODE(MID(TRIM(UPPER(E192)),7,1))&gt;=48,CODE(MID(TRIM(UPPER(E192)),7,1))&lt;=57,CODE(MID(TRIM(UPPER(E192)),8,1))&gt;=48,CODE(MID(TRIM(UPPER(E192)),8,1))&lt;=57,CODE(MID(TRIM(UPPER(E192)),9,1))&gt;=48,CODE(MID(TRIM(UPPER(E192)),9,1))&lt;=57),"N","Y"))</f>
      </c>
      <c r="G192" s="7">
        <f>IF($D192="","",IF(LEN(E192)&lt;4,"",IF(UPPER(MID(E192,4,1))="P","Individual",IF(UPPER(MID(E192,4,1))="H","HUF",IF(UPPER(MID(E192,4,1))="C","Company",IF(UPPER(MID(E192,4,1))="F","Firm",IF(UPPER(MID(E192,4,1))="L","LLP",IF(UPPER(MID(E192,4,1))="T","Trust",IF(UPPER(MID(E192,4,1))="A","AOP","")))))))))</f>
      </c>
      <c r="H192" s="8"/>
      <c r="I192" s="7">
        <f>IF($D192="","",IF(H192="","",IF(F192="Y",SUMPRODUCT(('Rate Lookup'!$A$1:$A$37=H192)*'Rate Lookup'!$D$1:$D$37),IF(OR(G192="Individual",G192="HUF"),SUMPRODUCT(('Rate Lookup'!$A$1:$A$37=H192)*'Rate Lookup'!$B$1:$B$37),SUMPRODUCT(('Rate Lookup'!$A$1:$A$37=H192)*'Rate Lookup'!$C$1:$C$37)))))</f>
      </c>
      <c r="J192" s="8"/>
      <c r="K192" s="8"/>
      <c r="L192" s="7">
        <f>IF($D192="","",ROUND(K192*I192/100,0))</f>
      </c>
      <c r="M192" s="7">
        <f>IF($D192="","",0)</f>
      </c>
      <c r="N192" s="7">
        <f>IF($D192="","",0)</f>
      </c>
      <c r="O192" s="7">
        <f>IF($D192="","",IF(OR(L192=0,J192="",IFERROR(INDEX('Challan Master'!$D$4:$D$207,MATCH($B192,'Challan Master'!$S$4:$S$207,0)),"")="",IFERROR(INDEX('Challan Master'!$D$4:$D$207,MATCH($B192,'Challan Master'!$S$4:$S$207,0)),"")&lt;=0),0,IF(IFERROR(INDEX('Challan Master'!$D$4:$D$207,MATCH($B192,'Challan Master'!$S$4:$S$207,0)),"")&lt;=DATE(YEAR(J192),MONTH(J192)+1,7),0,ROUND(L192*0.015*((YEAR(IFERROR(INDEX('Challan Master'!$D$4:$D$207,MATCH($B192,'Challan Master'!$S$4:$S$207,0)),""))-YEAR(J192))*12+(MONTH(IFERROR(INDEX('Challan Master'!$D$4:$D$207,MATCH($B192,'Challan Master'!$S$4:$S$207,0)),""))-MONTH(J192))+1),0))))</f>
      </c>
      <c r="P192" s="7">
        <f>IF($D192="","",0)</f>
      </c>
      <c r="Q192" s="8"/>
      <c r="R192" s="8"/>
      <c r="S192" s="8"/>
      <c r="T192" s="8"/>
      <c r="U192" s="8"/>
      <c r="V192" s="7">
        <f>IF($B192="","",IFERROR(INDEX('Challan Master'!$AA$4:$AA$207,MATCH($B192,'Challan Master'!$S$4:$S$207,0)),""))</f>
      </c>
    </row>
    <row r="193" spans="1:22" x14ac:dyDescent="0.25">
      <c r="A193" s="7">
        <f>IF($D193="","",COUNTIF($D$4:$D193,"&lt;&gt;"))</f>
      </c>
      <c r="B193" s="8"/>
      <c r="C193" s="7">
        <f>IF($B193="","","BSR "&amp;IFERROR(INDEX('Challan Master'!$B$4:$B$207,MATCH($B193,'Challan Master'!$S$4:$S$207,0)),"")&amp;" | Serial "&amp;IFERROR(INDEX('Challan Master'!$C$4:$C$207,MATCH($B193,'Challan Master'!$S$4:$S$207,0)),"")&amp;" | Deposit "&amp;TEXT(IFERROR(INDEX('Challan Master'!$D$4:$D$207,MATCH($B193,'Challan Master'!$S$4:$S$207,0)),""),"dd-mm-yyyy")&amp;" | Minor Head "&amp;IFERROR(INDEX('Challan Master'!$E$4:$E$207,MATCH($B193,'Challan Master'!$S$4:$S$207,0)),"")&amp;" | Tax ₹"&amp;TEXT(IFERROR(INDEX('Challan Master'!$G$4:$G$207,MATCH($B193,'Challan Master'!$S$4:$S$207,0)),""),"#,##0")&amp;" | Section "&amp;IFERROR(INDEX('Challan Master'!$F$4:$F$207,MATCH($B193,'Challan Master'!$S$4:$S$207,0)),""))</f>
      </c>
      <c r="D193" s="8"/>
      <c r="E193" s="8"/>
      <c r="F193" s="7">
        <f>IF($D193="","",IF(AND(LEN(TRIM(UPPER(E193)))=10,CODE(MID(TRIM(UPPER(E193)),1,1))&gt;=65,CODE(MID(TRIM(UPPER(E193)),1,1))&lt;=90,CODE(MID(TRIM(UPPER(E193)),2,1))&gt;=65,CODE(MID(TRIM(UPPER(E193)),2,1))&lt;=90,CODE(MID(TRIM(UPPER(E193)),3,1))&gt;=65,CODE(MID(TRIM(UPPER(E193)),3,1))&lt;=90,CODE(MID(TRIM(UPPER(E193)),4,1))&gt;=65,CODE(MID(TRIM(UPPER(E193)),4,1))&lt;=90,CODE(MID(TRIM(UPPER(E193)),5,1))&gt;=65,CODE(MID(TRIM(UPPER(E193)),5,1))&lt;=90,CODE(MID(TRIM(UPPER(E193)),10,1))&gt;=65,CODE(MID(TRIM(UPPER(E193)),10,1))&lt;=90,CODE(MID(TRIM(UPPER(E193)),6,1))&gt;=48,CODE(MID(TRIM(UPPER(E193)),6,1))&lt;=57,CODE(MID(TRIM(UPPER(E193)),7,1))&gt;=48,CODE(MID(TRIM(UPPER(E193)),7,1))&lt;=57,CODE(MID(TRIM(UPPER(E193)),8,1))&gt;=48,CODE(MID(TRIM(UPPER(E193)),8,1))&lt;=57,CODE(MID(TRIM(UPPER(E193)),9,1))&gt;=48,CODE(MID(TRIM(UPPER(E193)),9,1))&lt;=57),"N","Y"))</f>
      </c>
      <c r="G193" s="7">
        <f>IF($D193="","",IF(LEN(E193)&lt;4,"",IF(UPPER(MID(E193,4,1))="P","Individual",IF(UPPER(MID(E193,4,1))="H","HUF",IF(UPPER(MID(E193,4,1))="C","Company",IF(UPPER(MID(E193,4,1))="F","Firm",IF(UPPER(MID(E193,4,1))="L","LLP",IF(UPPER(MID(E193,4,1))="T","Trust",IF(UPPER(MID(E193,4,1))="A","AOP","")))))))))</f>
      </c>
      <c r="H193" s="8"/>
      <c r="I193" s="7">
        <f>IF($D193="","",IF(H193="","",IF(F193="Y",SUMPRODUCT(('Rate Lookup'!$A$1:$A$37=H193)*'Rate Lookup'!$D$1:$D$37),IF(OR(G193="Individual",G193="HUF"),SUMPRODUCT(('Rate Lookup'!$A$1:$A$37=H193)*'Rate Lookup'!$B$1:$B$37),SUMPRODUCT(('Rate Lookup'!$A$1:$A$37=H193)*'Rate Lookup'!$C$1:$C$37)))))</f>
      </c>
      <c r="J193" s="8"/>
      <c r="K193" s="8"/>
      <c r="L193" s="7">
        <f>IF($D193="","",ROUND(K193*I193/100,0))</f>
      </c>
      <c r="M193" s="7">
        <f>IF($D193="","",0)</f>
      </c>
      <c r="N193" s="7">
        <f>IF($D193="","",0)</f>
      </c>
      <c r="O193" s="7">
        <f>IF($D193="","",IF(OR(L193=0,J193="",IFERROR(INDEX('Challan Master'!$D$4:$D$207,MATCH($B193,'Challan Master'!$S$4:$S$207,0)),"")="",IFERROR(INDEX('Challan Master'!$D$4:$D$207,MATCH($B193,'Challan Master'!$S$4:$S$207,0)),"")&lt;=0),0,IF(IFERROR(INDEX('Challan Master'!$D$4:$D$207,MATCH($B193,'Challan Master'!$S$4:$S$207,0)),"")&lt;=DATE(YEAR(J193),MONTH(J193)+1,7),0,ROUND(L193*0.015*((YEAR(IFERROR(INDEX('Challan Master'!$D$4:$D$207,MATCH($B193,'Challan Master'!$S$4:$S$207,0)),""))-YEAR(J193))*12+(MONTH(IFERROR(INDEX('Challan Master'!$D$4:$D$207,MATCH($B193,'Challan Master'!$S$4:$S$207,0)),""))-MONTH(J193))+1),0))))</f>
      </c>
      <c r="P193" s="7">
        <f>IF($D193="","",0)</f>
      </c>
      <c r="Q193" s="8"/>
      <c r="R193" s="8"/>
      <c r="S193" s="8"/>
      <c r="T193" s="8"/>
      <c r="U193" s="8"/>
      <c r="V193" s="7">
        <f>IF($B193="","",IFERROR(INDEX('Challan Master'!$AA$4:$AA$207,MATCH($B193,'Challan Master'!$S$4:$S$207,0)),""))</f>
      </c>
    </row>
    <row r="194" spans="1:22" x14ac:dyDescent="0.25">
      <c r="A194" s="7">
        <f>IF($D194="","",COUNTIF($D$4:$D194,"&lt;&gt;"))</f>
      </c>
      <c r="B194" s="8"/>
      <c r="C194" s="7">
        <f>IF($B194="","","BSR "&amp;IFERROR(INDEX('Challan Master'!$B$4:$B$207,MATCH($B194,'Challan Master'!$S$4:$S$207,0)),"")&amp;" | Serial "&amp;IFERROR(INDEX('Challan Master'!$C$4:$C$207,MATCH($B194,'Challan Master'!$S$4:$S$207,0)),"")&amp;" | Deposit "&amp;TEXT(IFERROR(INDEX('Challan Master'!$D$4:$D$207,MATCH($B194,'Challan Master'!$S$4:$S$207,0)),""),"dd-mm-yyyy")&amp;" | Minor Head "&amp;IFERROR(INDEX('Challan Master'!$E$4:$E$207,MATCH($B194,'Challan Master'!$S$4:$S$207,0)),"")&amp;" | Tax ₹"&amp;TEXT(IFERROR(INDEX('Challan Master'!$G$4:$G$207,MATCH($B194,'Challan Master'!$S$4:$S$207,0)),""),"#,##0")&amp;" | Section "&amp;IFERROR(INDEX('Challan Master'!$F$4:$F$207,MATCH($B194,'Challan Master'!$S$4:$S$207,0)),""))</f>
      </c>
      <c r="D194" s="8"/>
      <c r="E194" s="8"/>
      <c r="F194" s="7">
        <f>IF($D194="","",IF(AND(LEN(TRIM(UPPER(E194)))=10,CODE(MID(TRIM(UPPER(E194)),1,1))&gt;=65,CODE(MID(TRIM(UPPER(E194)),1,1))&lt;=90,CODE(MID(TRIM(UPPER(E194)),2,1))&gt;=65,CODE(MID(TRIM(UPPER(E194)),2,1))&lt;=90,CODE(MID(TRIM(UPPER(E194)),3,1))&gt;=65,CODE(MID(TRIM(UPPER(E194)),3,1))&lt;=90,CODE(MID(TRIM(UPPER(E194)),4,1))&gt;=65,CODE(MID(TRIM(UPPER(E194)),4,1))&lt;=90,CODE(MID(TRIM(UPPER(E194)),5,1))&gt;=65,CODE(MID(TRIM(UPPER(E194)),5,1))&lt;=90,CODE(MID(TRIM(UPPER(E194)),10,1))&gt;=65,CODE(MID(TRIM(UPPER(E194)),10,1))&lt;=90,CODE(MID(TRIM(UPPER(E194)),6,1))&gt;=48,CODE(MID(TRIM(UPPER(E194)),6,1))&lt;=57,CODE(MID(TRIM(UPPER(E194)),7,1))&gt;=48,CODE(MID(TRIM(UPPER(E194)),7,1))&lt;=57,CODE(MID(TRIM(UPPER(E194)),8,1))&gt;=48,CODE(MID(TRIM(UPPER(E194)),8,1))&lt;=57,CODE(MID(TRIM(UPPER(E194)),9,1))&gt;=48,CODE(MID(TRIM(UPPER(E194)),9,1))&lt;=57),"N","Y"))</f>
      </c>
      <c r="G194" s="7">
        <f>IF($D194="","",IF(LEN(E194)&lt;4,"",IF(UPPER(MID(E194,4,1))="P","Individual",IF(UPPER(MID(E194,4,1))="H","HUF",IF(UPPER(MID(E194,4,1))="C","Company",IF(UPPER(MID(E194,4,1))="F","Firm",IF(UPPER(MID(E194,4,1))="L","LLP",IF(UPPER(MID(E194,4,1))="T","Trust",IF(UPPER(MID(E194,4,1))="A","AOP","")))))))))</f>
      </c>
      <c r="H194" s="8"/>
      <c r="I194" s="7">
        <f>IF($D194="","",IF(H194="","",IF(F194="Y",SUMPRODUCT(('Rate Lookup'!$A$1:$A$37=H194)*'Rate Lookup'!$D$1:$D$37),IF(OR(G194="Individual",G194="HUF"),SUMPRODUCT(('Rate Lookup'!$A$1:$A$37=H194)*'Rate Lookup'!$B$1:$B$37),SUMPRODUCT(('Rate Lookup'!$A$1:$A$37=H194)*'Rate Lookup'!$C$1:$C$37)))))</f>
      </c>
      <c r="J194" s="8"/>
      <c r="K194" s="8"/>
      <c r="L194" s="7">
        <f>IF($D194="","",ROUND(K194*I194/100,0))</f>
      </c>
      <c r="M194" s="7">
        <f>IF($D194="","",0)</f>
      </c>
      <c r="N194" s="7">
        <f>IF($D194="","",0)</f>
      </c>
      <c r="O194" s="7">
        <f>IF($D194="","",IF(OR(L194=0,J194="",IFERROR(INDEX('Challan Master'!$D$4:$D$207,MATCH($B194,'Challan Master'!$S$4:$S$207,0)),"")="",IFERROR(INDEX('Challan Master'!$D$4:$D$207,MATCH($B194,'Challan Master'!$S$4:$S$207,0)),"")&lt;=0),0,IF(IFERROR(INDEX('Challan Master'!$D$4:$D$207,MATCH($B194,'Challan Master'!$S$4:$S$207,0)),"")&lt;=DATE(YEAR(J194),MONTH(J194)+1,7),0,ROUND(L194*0.015*((YEAR(IFERROR(INDEX('Challan Master'!$D$4:$D$207,MATCH($B194,'Challan Master'!$S$4:$S$207,0)),""))-YEAR(J194))*12+(MONTH(IFERROR(INDEX('Challan Master'!$D$4:$D$207,MATCH($B194,'Challan Master'!$S$4:$S$207,0)),""))-MONTH(J194))+1),0))))</f>
      </c>
      <c r="P194" s="7">
        <f>IF($D194="","",0)</f>
      </c>
      <c r="Q194" s="8"/>
      <c r="R194" s="8"/>
      <c r="S194" s="8"/>
      <c r="T194" s="8"/>
      <c r="U194" s="8"/>
      <c r="V194" s="7">
        <f>IF($B194="","",IFERROR(INDEX('Challan Master'!$AA$4:$AA$207,MATCH($B194,'Challan Master'!$S$4:$S$207,0)),""))</f>
      </c>
    </row>
    <row r="195" spans="1:22" x14ac:dyDescent="0.25">
      <c r="A195" s="7">
        <f>IF($D195="","",COUNTIF($D$4:$D195,"&lt;&gt;"))</f>
      </c>
      <c r="B195" s="8"/>
      <c r="C195" s="7">
        <f>IF($B195="","","BSR "&amp;IFERROR(INDEX('Challan Master'!$B$4:$B$207,MATCH($B195,'Challan Master'!$S$4:$S$207,0)),"")&amp;" | Serial "&amp;IFERROR(INDEX('Challan Master'!$C$4:$C$207,MATCH($B195,'Challan Master'!$S$4:$S$207,0)),"")&amp;" | Deposit "&amp;TEXT(IFERROR(INDEX('Challan Master'!$D$4:$D$207,MATCH($B195,'Challan Master'!$S$4:$S$207,0)),""),"dd-mm-yyyy")&amp;" | Minor Head "&amp;IFERROR(INDEX('Challan Master'!$E$4:$E$207,MATCH($B195,'Challan Master'!$S$4:$S$207,0)),"")&amp;" | Tax ₹"&amp;TEXT(IFERROR(INDEX('Challan Master'!$G$4:$G$207,MATCH($B195,'Challan Master'!$S$4:$S$207,0)),""),"#,##0")&amp;" | Section "&amp;IFERROR(INDEX('Challan Master'!$F$4:$F$207,MATCH($B195,'Challan Master'!$S$4:$S$207,0)),""))</f>
      </c>
      <c r="D195" s="8"/>
      <c r="E195" s="8"/>
      <c r="F195" s="7">
        <f>IF($D195="","",IF(AND(LEN(TRIM(UPPER(E195)))=10,CODE(MID(TRIM(UPPER(E195)),1,1))&gt;=65,CODE(MID(TRIM(UPPER(E195)),1,1))&lt;=90,CODE(MID(TRIM(UPPER(E195)),2,1))&gt;=65,CODE(MID(TRIM(UPPER(E195)),2,1))&lt;=90,CODE(MID(TRIM(UPPER(E195)),3,1))&gt;=65,CODE(MID(TRIM(UPPER(E195)),3,1))&lt;=90,CODE(MID(TRIM(UPPER(E195)),4,1))&gt;=65,CODE(MID(TRIM(UPPER(E195)),4,1))&lt;=90,CODE(MID(TRIM(UPPER(E195)),5,1))&gt;=65,CODE(MID(TRIM(UPPER(E195)),5,1))&lt;=90,CODE(MID(TRIM(UPPER(E195)),10,1))&gt;=65,CODE(MID(TRIM(UPPER(E195)),10,1))&lt;=90,CODE(MID(TRIM(UPPER(E195)),6,1))&gt;=48,CODE(MID(TRIM(UPPER(E195)),6,1))&lt;=57,CODE(MID(TRIM(UPPER(E195)),7,1))&gt;=48,CODE(MID(TRIM(UPPER(E195)),7,1))&lt;=57,CODE(MID(TRIM(UPPER(E195)),8,1))&gt;=48,CODE(MID(TRIM(UPPER(E195)),8,1))&lt;=57,CODE(MID(TRIM(UPPER(E195)),9,1))&gt;=48,CODE(MID(TRIM(UPPER(E195)),9,1))&lt;=57),"N","Y"))</f>
      </c>
      <c r="G195" s="7">
        <f>IF($D195="","",IF(LEN(E195)&lt;4,"",IF(UPPER(MID(E195,4,1))="P","Individual",IF(UPPER(MID(E195,4,1))="H","HUF",IF(UPPER(MID(E195,4,1))="C","Company",IF(UPPER(MID(E195,4,1))="F","Firm",IF(UPPER(MID(E195,4,1))="L","LLP",IF(UPPER(MID(E195,4,1))="T","Trust",IF(UPPER(MID(E195,4,1))="A","AOP","")))))))))</f>
      </c>
      <c r="H195" s="8"/>
      <c r="I195" s="7">
        <f>IF($D195="","",IF(H195="","",IF(F195="Y",SUMPRODUCT(('Rate Lookup'!$A$1:$A$37=H195)*'Rate Lookup'!$D$1:$D$37),IF(OR(G195="Individual",G195="HUF"),SUMPRODUCT(('Rate Lookup'!$A$1:$A$37=H195)*'Rate Lookup'!$B$1:$B$37),SUMPRODUCT(('Rate Lookup'!$A$1:$A$37=H195)*'Rate Lookup'!$C$1:$C$37)))))</f>
      </c>
      <c r="J195" s="8"/>
      <c r="K195" s="8"/>
      <c r="L195" s="7">
        <f>IF($D195="","",ROUND(K195*I195/100,0))</f>
      </c>
      <c r="M195" s="7">
        <f>IF($D195="","",0)</f>
      </c>
      <c r="N195" s="7">
        <f>IF($D195="","",0)</f>
      </c>
      <c r="O195" s="7">
        <f>IF($D195="","",IF(OR(L195=0,J195="",IFERROR(INDEX('Challan Master'!$D$4:$D$207,MATCH($B195,'Challan Master'!$S$4:$S$207,0)),"")="",IFERROR(INDEX('Challan Master'!$D$4:$D$207,MATCH($B195,'Challan Master'!$S$4:$S$207,0)),"")&lt;=0),0,IF(IFERROR(INDEX('Challan Master'!$D$4:$D$207,MATCH($B195,'Challan Master'!$S$4:$S$207,0)),"")&lt;=DATE(YEAR(J195),MONTH(J195)+1,7),0,ROUND(L195*0.015*((YEAR(IFERROR(INDEX('Challan Master'!$D$4:$D$207,MATCH($B195,'Challan Master'!$S$4:$S$207,0)),""))-YEAR(J195))*12+(MONTH(IFERROR(INDEX('Challan Master'!$D$4:$D$207,MATCH($B195,'Challan Master'!$S$4:$S$207,0)),""))-MONTH(J195))+1),0))))</f>
      </c>
      <c r="P195" s="7">
        <f>IF($D195="","",0)</f>
      </c>
      <c r="Q195" s="8"/>
      <c r="R195" s="8"/>
      <c r="S195" s="8"/>
      <c r="T195" s="8"/>
      <c r="U195" s="8"/>
      <c r="V195" s="7">
        <f>IF($B195="","",IFERROR(INDEX('Challan Master'!$AA$4:$AA$207,MATCH($B195,'Challan Master'!$S$4:$S$207,0)),""))</f>
      </c>
    </row>
    <row r="196" spans="1:22" x14ac:dyDescent="0.25">
      <c r="A196" s="7">
        <f>IF($D196="","",COUNTIF($D$4:$D196,"&lt;&gt;"))</f>
      </c>
      <c r="B196" s="8"/>
      <c r="C196" s="7">
        <f>IF($B196="","","BSR "&amp;IFERROR(INDEX('Challan Master'!$B$4:$B$207,MATCH($B196,'Challan Master'!$S$4:$S$207,0)),"")&amp;" | Serial "&amp;IFERROR(INDEX('Challan Master'!$C$4:$C$207,MATCH($B196,'Challan Master'!$S$4:$S$207,0)),"")&amp;" | Deposit "&amp;TEXT(IFERROR(INDEX('Challan Master'!$D$4:$D$207,MATCH($B196,'Challan Master'!$S$4:$S$207,0)),""),"dd-mm-yyyy")&amp;" | Minor Head "&amp;IFERROR(INDEX('Challan Master'!$E$4:$E$207,MATCH($B196,'Challan Master'!$S$4:$S$207,0)),"")&amp;" | Tax ₹"&amp;TEXT(IFERROR(INDEX('Challan Master'!$G$4:$G$207,MATCH($B196,'Challan Master'!$S$4:$S$207,0)),""),"#,##0")&amp;" | Section "&amp;IFERROR(INDEX('Challan Master'!$F$4:$F$207,MATCH($B196,'Challan Master'!$S$4:$S$207,0)),""))</f>
      </c>
      <c r="D196" s="8"/>
      <c r="E196" s="8"/>
      <c r="F196" s="7">
        <f>IF($D196="","",IF(AND(LEN(TRIM(UPPER(E196)))=10,CODE(MID(TRIM(UPPER(E196)),1,1))&gt;=65,CODE(MID(TRIM(UPPER(E196)),1,1))&lt;=90,CODE(MID(TRIM(UPPER(E196)),2,1))&gt;=65,CODE(MID(TRIM(UPPER(E196)),2,1))&lt;=90,CODE(MID(TRIM(UPPER(E196)),3,1))&gt;=65,CODE(MID(TRIM(UPPER(E196)),3,1))&lt;=90,CODE(MID(TRIM(UPPER(E196)),4,1))&gt;=65,CODE(MID(TRIM(UPPER(E196)),4,1))&lt;=90,CODE(MID(TRIM(UPPER(E196)),5,1))&gt;=65,CODE(MID(TRIM(UPPER(E196)),5,1))&lt;=90,CODE(MID(TRIM(UPPER(E196)),10,1))&gt;=65,CODE(MID(TRIM(UPPER(E196)),10,1))&lt;=90,CODE(MID(TRIM(UPPER(E196)),6,1))&gt;=48,CODE(MID(TRIM(UPPER(E196)),6,1))&lt;=57,CODE(MID(TRIM(UPPER(E196)),7,1))&gt;=48,CODE(MID(TRIM(UPPER(E196)),7,1))&lt;=57,CODE(MID(TRIM(UPPER(E196)),8,1))&gt;=48,CODE(MID(TRIM(UPPER(E196)),8,1))&lt;=57,CODE(MID(TRIM(UPPER(E196)),9,1))&gt;=48,CODE(MID(TRIM(UPPER(E196)),9,1))&lt;=57),"N","Y"))</f>
      </c>
      <c r="G196" s="7">
        <f>IF($D196="","",IF(LEN(E196)&lt;4,"",IF(UPPER(MID(E196,4,1))="P","Individual",IF(UPPER(MID(E196,4,1))="H","HUF",IF(UPPER(MID(E196,4,1))="C","Company",IF(UPPER(MID(E196,4,1))="F","Firm",IF(UPPER(MID(E196,4,1))="L","LLP",IF(UPPER(MID(E196,4,1))="T","Trust",IF(UPPER(MID(E196,4,1))="A","AOP","")))))))))</f>
      </c>
      <c r="H196" s="8"/>
      <c r="I196" s="7">
        <f>IF($D196="","",IF(H196="","",IF(F196="Y",SUMPRODUCT(('Rate Lookup'!$A$1:$A$37=H196)*'Rate Lookup'!$D$1:$D$37),IF(OR(G196="Individual",G196="HUF"),SUMPRODUCT(('Rate Lookup'!$A$1:$A$37=H196)*'Rate Lookup'!$B$1:$B$37),SUMPRODUCT(('Rate Lookup'!$A$1:$A$37=H196)*'Rate Lookup'!$C$1:$C$37)))))</f>
      </c>
      <c r="J196" s="8"/>
      <c r="K196" s="8"/>
      <c r="L196" s="7">
        <f>IF($D196="","",ROUND(K196*I196/100,0))</f>
      </c>
      <c r="M196" s="7">
        <f>IF($D196="","",0)</f>
      </c>
      <c r="N196" s="7">
        <f>IF($D196="","",0)</f>
      </c>
      <c r="O196" s="7">
        <f>IF($D196="","",IF(OR(L196=0,J196="",IFERROR(INDEX('Challan Master'!$D$4:$D$207,MATCH($B196,'Challan Master'!$S$4:$S$207,0)),"")="",IFERROR(INDEX('Challan Master'!$D$4:$D$207,MATCH($B196,'Challan Master'!$S$4:$S$207,0)),"")&lt;=0),0,IF(IFERROR(INDEX('Challan Master'!$D$4:$D$207,MATCH($B196,'Challan Master'!$S$4:$S$207,0)),"")&lt;=DATE(YEAR(J196),MONTH(J196)+1,7),0,ROUND(L196*0.015*((YEAR(IFERROR(INDEX('Challan Master'!$D$4:$D$207,MATCH($B196,'Challan Master'!$S$4:$S$207,0)),""))-YEAR(J196))*12+(MONTH(IFERROR(INDEX('Challan Master'!$D$4:$D$207,MATCH($B196,'Challan Master'!$S$4:$S$207,0)),""))-MONTH(J196))+1),0))))</f>
      </c>
      <c r="P196" s="7">
        <f>IF($D196="","",0)</f>
      </c>
      <c r="Q196" s="8"/>
      <c r="R196" s="8"/>
      <c r="S196" s="8"/>
      <c r="T196" s="8"/>
      <c r="U196" s="8"/>
      <c r="V196" s="7">
        <f>IF($B196="","",IFERROR(INDEX('Challan Master'!$AA$4:$AA$207,MATCH($B196,'Challan Master'!$S$4:$S$207,0)),""))</f>
      </c>
    </row>
    <row r="197" spans="1:22" x14ac:dyDescent="0.25">
      <c r="A197" s="7">
        <f>IF($D197="","",COUNTIF($D$4:$D197,"&lt;&gt;"))</f>
      </c>
      <c r="B197" s="8"/>
      <c r="C197" s="7">
        <f>IF($B197="","","BSR "&amp;IFERROR(INDEX('Challan Master'!$B$4:$B$207,MATCH($B197,'Challan Master'!$S$4:$S$207,0)),"")&amp;" | Serial "&amp;IFERROR(INDEX('Challan Master'!$C$4:$C$207,MATCH($B197,'Challan Master'!$S$4:$S$207,0)),"")&amp;" | Deposit "&amp;TEXT(IFERROR(INDEX('Challan Master'!$D$4:$D$207,MATCH($B197,'Challan Master'!$S$4:$S$207,0)),""),"dd-mm-yyyy")&amp;" | Minor Head "&amp;IFERROR(INDEX('Challan Master'!$E$4:$E$207,MATCH($B197,'Challan Master'!$S$4:$S$207,0)),"")&amp;" | Tax ₹"&amp;TEXT(IFERROR(INDEX('Challan Master'!$G$4:$G$207,MATCH($B197,'Challan Master'!$S$4:$S$207,0)),""),"#,##0")&amp;" | Section "&amp;IFERROR(INDEX('Challan Master'!$F$4:$F$207,MATCH($B197,'Challan Master'!$S$4:$S$207,0)),""))</f>
      </c>
      <c r="D197" s="8"/>
      <c r="E197" s="8"/>
      <c r="F197" s="7">
        <f>IF($D197="","",IF(AND(LEN(TRIM(UPPER(E197)))=10,CODE(MID(TRIM(UPPER(E197)),1,1))&gt;=65,CODE(MID(TRIM(UPPER(E197)),1,1))&lt;=90,CODE(MID(TRIM(UPPER(E197)),2,1))&gt;=65,CODE(MID(TRIM(UPPER(E197)),2,1))&lt;=90,CODE(MID(TRIM(UPPER(E197)),3,1))&gt;=65,CODE(MID(TRIM(UPPER(E197)),3,1))&lt;=90,CODE(MID(TRIM(UPPER(E197)),4,1))&gt;=65,CODE(MID(TRIM(UPPER(E197)),4,1))&lt;=90,CODE(MID(TRIM(UPPER(E197)),5,1))&gt;=65,CODE(MID(TRIM(UPPER(E197)),5,1))&lt;=90,CODE(MID(TRIM(UPPER(E197)),10,1))&gt;=65,CODE(MID(TRIM(UPPER(E197)),10,1))&lt;=90,CODE(MID(TRIM(UPPER(E197)),6,1))&gt;=48,CODE(MID(TRIM(UPPER(E197)),6,1))&lt;=57,CODE(MID(TRIM(UPPER(E197)),7,1))&gt;=48,CODE(MID(TRIM(UPPER(E197)),7,1))&lt;=57,CODE(MID(TRIM(UPPER(E197)),8,1))&gt;=48,CODE(MID(TRIM(UPPER(E197)),8,1))&lt;=57,CODE(MID(TRIM(UPPER(E197)),9,1))&gt;=48,CODE(MID(TRIM(UPPER(E197)),9,1))&lt;=57),"N","Y"))</f>
      </c>
      <c r="G197" s="7">
        <f>IF($D197="","",IF(LEN(E197)&lt;4,"",IF(UPPER(MID(E197,4,1))="P","Individual",IF(UPPER(MID(E197,4,1))="H","HUF",IF(UPPER(MID(E197,4,1))="C","Company",IF(UPPER(MID(E197,4,1))="F","Firm",IF(UPPER(MID(E197,4,1))="L","LLP",IF(UPPER(MID(E197,4,1))="T","Trust",IF(UPPER(MID(E197,4,1))="A","AOP","")))))))))</f>
      </c>
      <c r="H197" s="8"/>
      <c r="I197" s="7">
        <f>IF($D197="","",IF(H197="","",IF(F197="Y",SUMPRODUCT(('Rate Lookup'!$A$1:$A$37=H197)*'Rate Lookup'!$D$1:$D$37),IF(OR(G197="Individual",G197="HUF"),SUMPRODUCT(('Rate Lookup'!$A$1:$A$37=H197)*'Rate Lookup'!$B$1:$B$37),SUMPRODUCT(('Rate Lookup'!$A$1:$A$37=H197)*'Rate Lookup'!$C$1:$C$37)))))</f>
      </c>
      <c r="J197" s="8"/>
      <c r="K197" s="8"/>
      <c r="L197" s="7">
        <f>IF($D197="","",ROUND(K197*I197/100,0))</f>
      </c>
      <c r="M197" s="7">
        <f>IF($D197="","",0)</f>
      </c>
      <c r="N197" s="7">
        <f>IF($D197="","",0)</f>
      </c>
      <c r="O197" s="7">
        <f>IF($D197="","",IF(OR(L197=0,J197="",IFERROR(INDEX('Challan Master'!$D$4:$D$207,MATCH($B197,'Challan Master'!$S$4:$S$207,0)),"")="",IFERROR(INDEX('Challan Master'!$D$4:$D$207,MATCH($B197,'Challan Master'!$S$4:$S$207,0)),"")&lt;=0),0,IF(IFERROR(INDEX('Challan Master'!$D$4:$D$207,MATCH($B197,'Challan Master'!$S$4:$S$207,0)),"")&lt;=DATE(YEAR(J197),MONTH(J197)+1,7),0,ROUND(L197*0.015*((YEAR(IFERROR(INDEX('Challan Master'!$D$4:$D$207,MATCH($B197,'Challan Master'!$S$4:$S$207,0)),""))-YEAR(J197))*12+(MONTH(IFERROR(INDEX('Challan Master'!$D$4:$D$207,MATCH($B197,'Challan Master'!$S$4:$S$207,0)),""))-MONTH(J197))+1),0))))</f>
      </c>
      <c r="P197" s="7">
        <f>IF($D197="","",0)</f>
      </c>
      <c r="Q197" s="8"/>
      <c r="R197" s="8"/>
      <c r="S197" s="8"/>
      <c r="T197" s="8"/>
      <c r="U197" s="8"/>
      <c r="V197" s="7">
        <f>IF($B197="","",IFERROR(INDEX('Challan Master'!$AA$4:$AA$207,MATCH($B197,'Challan Master'!$S$4:$S$207,0)),""))</f>
      </c>
    </row>
    <row r="198" spans="1:22" x14ac:dyDescent="0.25">
      <c r="A198" s="7">
        <f>IF($D198="","",COUNTIF($D$4:$D198,"&lt;&gt;"))</f>
      </c>
      <c r="B198" s="8"/>
      <c r="C198" s="7">
        <f>IF($B198="","","BSR "&amp;IFERROR(INDEX('Challan Master'!$B$4:$B$207,MATCH($B198,'Challan Master'!$S$4:$S$207,0)),"")&amp;" | Serial "&amp;IFERROR(INDEX('Challan Master'!$C$4:$C$207,MATCH($B198,'Challan Master'!$S$4:$S$207,0)),"")&amp;" | Deposit "&amp;TEXT(IFERROR(INDEX('Challan Master'!$D$4:$D$207,MATCH($B198,'Challan Master'!$S$4:$S$207,0)),""),"dd-mm-yyyy")&amp;" | Minor Head "&amp;IFERROR(INDEX('Challan Master'!$E$4:$E$207,MATCH($B198,'Challan Master'!$S$4:$S$207,0)),"")&amp;" | Tax ₹"&amp;TEXT(IFERROR(INDEX('Challan Master'!$G$4:$G$207,MATCH($B198,'Challan Master'!$S$4:$S$207,0)),""),"#,##0")&amp;" | Section "&amp;IFERROR(INDEX('Challan Master'!$F$4:$F$207,MATCH($B198,'Challan Master'!$S$4:$S$207,0)),""))</f>
      </c>
      <c r="D198" s="8"/>
      <c r="E198" s="8"/>
      <c r="F198" s="7">
        <f>IF($D198="","",IF(AND(LEN(TRIM(UPPER(E198)))=10,CODE(MID(TRIM(UPPER(E198)),1,1))&gt;=65,CODE(MID(TRIM(UPPER(E198)),1,1))&lt;=90,CODE(MID(TRIM(UPPER(E198)),2,1))&gt;=65,CODE(MID(TRIM(UPPER(E198)),2,1))&lt;=90,CODE(MID(TRIM(UPPER(E198)),3,1))&gt;=65,CODE(MID(TRIM(UPPER(E198)),3,1))&lt;=90,CODE(MID(TRIM(UPPER(E198)),4,1))&gt;=65,CODE(MID(TRIM(UPPER(E198)),4,1))&lt;=90,CODE(MID(TRIM(UPPER(E198)),5,1))&gt;=65,CODE(MID(TRIM(UPPER(E198)),5,1))&lt;=90,CODE(MID(TRIM(UPPER(E198)),10,1))&gt;=65,CODE(MID(TRIM(UPPER(E198)),10,1))&lt;=90,CODE(MID(TRIM(UPPER(E198)),6,1))&gt;=48,CODE(MID(TRIM(UPPER(E198)),6,1))&lt;=57,CODE(MID(TRIM(UPPER(E198)),7,1))&gt;=48,CODE(MID(TRIM(UPPER(E198)),7,1))&lt;=57,CODE(MID(TRIM(UPPER(E198)),8,1))&gt;=48,CODE(MID(TRIM(UPPER(E198)),8,1))&lt;=57,CODE(MID(TRIM(UPPER(E198)),9,1))&gt;=48,CODE(MID(TRIM(UPPER(E198)),9,1))&lt;=57),"N","Y"))</f>
      </c>
      <c r="G198" s="7">
        <f>IF($D198="","",IF(LEN(E198)&lt;4,"",IF(UPPER(MID(E198,4,1))="P","Individual",IF(UPPER(MID(E198,4,1))="H","HUF",IF(UPPER(MID(E198,4,1))="C","Company",IF(UPPER(MID(E198,4,1))="F","Firm",IF(UPPER(MID(E198,4,1))="L","LLP",IF(UPPER(MID(E198,4,1))="T","Trust",IF(UPPER(MID(E198,4,1))="A","AOP","")))))))))</f>
      </c>
      <c r="H198" s="8"/>
      <c r="I198" s="7">
        <f>IF($D198="","",IF(H198="","",IF(F198="Y",SUMPRODUCT(('Rate Lookup'!$A$1:$A$37=H198)*'Rate Lookup'!$D$1:$D$37),IF(OR(G198="Individual",G198="HUF"),SUMPRODUCT(('Rate Lookup'!$A$1:$A$37=H198)*'Rate Lookup'!$B$1:$B$37),SUMPRODUCT(('Rate Lookup'!$A$1:$A$37=H198)*'Rate Lookup'!$C$1:$C$37)))))</f>
      </c>
      <c r="J198" s="8"/>
      <c r="K198" s="8"/>
      <c r="L198" s="7">
        <f>IF($D198="","",ROUND(K198*I198/100,0))</f>
      </c>
      <c r="M198" s="7">
        <f>IF($D198="","",0)</f>
      </c>
      <c r="N198" s="7">
        <f>IF($D198="","",0)</f>
      </c>
      <c r="O198" s="7">
        <f>IF($D198="","",IF(OR(L198=0,J198="",IFERROR(INDEX('Challan Master'!$D$4:$D$207,MATCH($B198,'Challan Master'!$S$4:$S$207,0)),"")="",IFERROR(INDEX('Challan Master'!$D$4:$D$207,MATCH($B198,'Challan Master'!$S$4:$S$207,0)),"")&lt;=0),0,IF(IFERROR(INDEX('Challan Master'!$D$4:$D$207,MATCH($B198,'Challan Master'!$S$4:$S$207,0)),"")&lt;=DATE(YEAR(J198),MONTH(J198)+1,7),0,ROUND(L198*0.015*((YEAR(IFERROR(INDEX('Challan Master'!$D$4:$D$207,MATCH($B198,'Challan Master'!$S$4:$S$207,0)),""))-YEAR(J198))*12+(MONTH(IFERROR(INDEX('Challan Master'!$D$4:$D$207,MATCH($B198,'Challan Master'!$S$4:$S$207,0)),""))-MONTH(J198))+1),0))))</f>
      </c>
      <c r="P198" s="7">
        <f>IF($D198="","",0)</f>
      </c>
      <c r="Q198" s="8"/>
      <c r="R198" s="8"/>
      <c r="S198" s="8"/>
      <c r="T198" s="8"/>
      <c r="U198" s="8"/>
      <c r="V198" s="7">
        <f>IF($B198="","",IFERROR(INDEX('Challan Master'!$AA$4:$AA$207,MATCH($B198,'Challan Master'!$S$4:$S$207,0)),""))</f>
      </c>
    </row>
    <row r="199" spans="1:22" x14ac:dyDescent="0.25">
      <c r="A199" s="7">
        <f>IF($D199="","",COUNTIF($D$4:$D199,"&lt;&gt;"))</f>
      </c>
      <c r="B199" s="8"/>
      <c r="C199" s="7">
        <f>IF($B199="","","BSR "&amp;IFERROR(INDEX('Challan Master'!$B$4:$B$207,MATCH($B199,'Challan Master'!$S$4:$S$207,0)),"")&amp;" | Serial "&amp;IFERROR(INDEX('Challan Master'!$C$4:$C$207,MATCH($B199,'Challan Master'!$S$4:$S$207,0)),"")&amp;" | Deposit "&amp;TEXT(IFERROR(INDEX('Challan Master'!$D$4:$D$207,MATCH($B199,'Challan Master'!$S$4:$S$207,0)),""),"dd-mm-yyyy")&amp;" | Minor Head "&amp;IFERROR(INDEX('Challan Master'!$E$4:$E$207,MATCH($B199,'Challan Master'!$S$4:$S$207,0)),"")&amp;" | Tax ₹"&amp;TEXT(IFERROR(INDEX('Challan Master'!$G$4:$G$207,MATCH($B199,'Challan Master'!$S$4:$S$207,0)),""),"#,##0")&amp;" | Section "&amp;IFERROR(INDEX('Challan Master'!$F$4:$F$207,MATCH($B199,'Challan Master'!$S$4:$S$207,0)),""))</f>
      </c>
      <c r="D199" s="8"/>
      <c r="E199" s="8"/>
      <c r="F199" s="7">
        <f>IF($D199="","",IF(AND(LEN(TRIM(UPPER(E199)))=10,CODE(MID(TRIM(UPPER(E199)),1,1))&gt;=65,CODE(MID(TRIM(UPPER(E199)),1,1))&lt;=90,CODE(MID(TRIM(UPPER(E199)),2,1))&gt;=65,CODE(MID(TRIM(UPPER(E199)),2,1))&lt;=90,CODE(MID(TRIM(UPPER(E199)),3,1))&gt;=65,CODE(MID(TRIM(UPPER(E199)),3,1))&lt;=90,CODE(MID(TRIM(UPPER(E199)),4,1))&gt;=65,CODE(MID(TRIM(UPPER(E199)),4,1))&lt;=90,CODE(MID(TRIM(UPPER(E199)),5,1))&gt;=65,CODE(MID(TRIM(UPPER(E199)),5,1))&lt;=90,CODE(MID(TRIM(UPPER(E199)),10,1))&gt;=65,CODE(MID(TRIM(UPPER(E199)),10,1))&lt;=90,CODE(MID(TRIM(UPPER(E199)),6,1))&gt;=48,CODE(MID(TRIM(UPPER(E199)),6,1))&lt;=57,CODE(MID(TRIM(UPPER(E199)),7,1))&gt;=48,CODE(MID(TRIM(UPPER(E199)),7,1))&lt;=57,CODE(MID(TRIM(UPPER(E199)),8,1))&gt;=48,CODE(MID(TRIM(UPPER(E199)),8,1))&lt;=57,CODE(MID(TRIM(UPPER(E199)),9,1))&gt;=48,CODE(MID(TRIM(UPPER(E199)),9,1))&lt;=57),"N","Y"))</f>
      </c>
      <c r="G199" s="7">
        <f>IF($D199="","",IF(LEN(E199)&lt;4,"",IF(UPPER(MID(E199,4,1))="P","Individual",IF(UPPER(MID(E199,4,1))="H","HUF",IF(UPPER(MID(E199,4,1))="C","Company",IF(UPPER(MID(E199,4,1))="F","Firm",IF(UPPER(MID(E199,4,1))="L","LLP",IF(UPPER(MID(E199,4,1))="T","Trust",IF(UPPER(MID(E199,4,1))="A","AOP","")))))))))</f>
      </c>
      <c r="H199" s="8"/>
      <c r="I199" s="7">
        <f>IF($D199="","",IF(H199="","",IF(F199="Y",SUMPRODUCT(('Rate Lookup'!$A$1:$A$37=H199)*'Rate Lookup'!$D$1:$D$37),IF(OR(G199="Individual",G199="HUF"),SUMPRODUCT(('Rate Lookup'!$A$1:$A$37=H199)*'Rate Lookup'!$B$1:$B$37),SUMPRODUCT(('Rate Lookup'!$A$1:$A$37=H199)*'Rate Lookup'!$C$1:$C$37)))))</f>
      </c>
      <c r="J199" s="8"/>
      <c r="K199" s="8"/>
      <c r="L199" s="7">
        <f>IF($D199="","",ROUND(K199*I199/100,0))</f>
      </c>
      <c r="M199" s="7">
        <f>IF($D199="","",0)</f>
      </c>
      <c r="N199" s="7">
        <f>IF($D199="","",0)</f>
      </c>
      <c r="O199" s="7">
        <f>IF($D199="","",IF(OR(L199=0,J199="",IFERROR(INDEX('Challan Master'!$D$4:$D$207,MATCH($B199,'Challan Master'!$S$4:$S$207,0)),"")="",IFERROR(INDEX('Challan Master'!$D$4:$D$207,MATCH($B199,'Challan Master'!$S$4:$S$207,0)),"")&lt;=0),0,IF(IFERROR(INDEX('Challan Master'!$D$4:$D$207,MATCH($B199,'Challan Master'!$S$4:$S$207,0)),"")&lt;=DATE(YEAR(J199),MONTH(J199)+1,7),0,ROUND(L199*0.015*((YEAR(IFERROR(INDEX('Challan Master'!$D$4:$D$207,MATCH($B199,'Challan Master'!$S$4:$S$207,0)),""))-YEAR(J199))*12+(MONTH(IFERROR(INDEX('Challan Master'!$D$4:$D$207,MATCH($B199,'Challan Master'!$S$4:$S$207,0)),""))-MONTH(J199))+1),0))))</f>
      </c>
      <c r="P199" s="7">
        <f>IF($D199="","",0)</f>
      </c>
      <c r="Q199" s="8"/>
      <c r="R199" s="8"/>
      <c r="S199" s="8"/>
      <c r="T199" s="8"/>
      <c r="U199" s="8"/>
      <c r="V199" s="7">
        <f>IF($B199="","",IFERROR(INDEX('Challan Master'!$AA$4:$AA$207,MATCH($B199,'Challan Master'!$S$4:$S$207,0)),""))</f>
      </c>
    </row>
    <row r="200" spans="1:22" x14ac:dyDescent="0.25">
      <c r="A200" s="7">
        <f>IF($D200="","",COUNTIF($D$4:$D200,"&lt;&gt;"))</f>
      </c>
      <c r="B200" s="8"/>
      <c r="C200" s="7">
        <f>IF($B200="","","BSR "&amp;IFERROR(INDEX('Challan Master'!$B$4:$B$207,MATCH($B200,'Challan Master'!$S$4:$S$207,0)),"")&amp;" | Serial "&amp;IFERROR(INDEX('Challan Master'!$C$4:$C$207,MATCH($B200,'Challan Master'!$S$4:$S$207,0)),"")&amp;" | Deposit "&amp;TEXT(IFERROR(INDEX('Challan Master'!$D$4:$D$207,MATCH($B200,'Challan Master'!$S$4:$S$207,0)),""),"dd-mm-yyyy")&amp;" | Minor Head "&amp;IFERROR(INDEX('Challan Master'!$E$4:$E$207,MATCH($B200,'Challan Master'!$S$4:$S$207,0)),"")&amp;" | Tax ₹"&amp;TEXT(IFERROR(INDEX('Challan Master'!$G$4:$G$207,MATCH($B200,'Challan Master'!$S$4:$S$207,0)),""),"#,##0")&amp;" | Section "&amp;IFERROR(INDEX('Challan Master'!$F$4:$F$207,MATCH($B200,'Challan Master'!$S$4:$S$207,0)),""))</f>
      </c>
      <c r="D200" s="8"/>
      <c r="E200" s="8"/>
      <c r="F200" s="7">
        <f>IF($D200="","",IF(AND(LEN(TRIM(UPPER(E200)))=10,CODE(MID(TRIM(UPPER(E200)),1,1))&gt;=65,CODE(MID(TRIM(UPPER(E200)),1,1))&lt;=90,CODE(MID(TRIM(UPPER(E200)),2,1))&gt;=65,CODE(MID(TRIM(UPPER(E200)),2,1))&lt;=90,CODE(MID(TRIM(UPPER(E200)),3,1))&gt;=65,CODE(MID(TRIM(UPPER(E200)),3,1))&lt;=90,CODE(MID(TRIM(UPPER(E200)),4,1))&gt;=65,CODE(MID(TRIM(UPPER(E200)),4,1))&lt;=90,CODE(MID(TRIM(UPPER(E200)),5,1))&gt;=65,CODE(MID(TRIM(UPPER(E200)),5,1))&lt;=90,CODE(MID(TRIM(UPPER(E200)),10,1))&gt;=65,CODE(MID(TRIM(UPPER(E200)),10,1))&lt;=90,CODE(MID(TRIM(UPPER(E200)),6,1))&gt;=48,CODE(MID(TRIM(UPPER(E200)),6,1))&lt;=57,CODE(MID(TRIM(UPPER(E200)),7,1))&gt;=48,CODE(MID(TRIM(UPPER(E200)),7,1))&lt;=57,CODE(MID(TRIM(UPPER(E200)),8,1))&gt;=48,CODE(MID(TRIM(UPPER(E200)),8,1))&lt;=57,CODE(MID(TRIM(UPPER(E200)),9,1))&gt;=48,CODE(MID(TRIM(UPPER(E200)),9,1))&lt;=57),"N","Y"))</f>
      </c>
      <c r="G200" s="7">
        <f>IF($D200="","",IF(LEN(E200)&lt;4,"",IF(UPPER(MID(E200,4,1))="P","Individual",IF(UPPER(MID(E200,4,1))="H","HUF",IF(UPPER(MID(E200,4,1))="C","Company",IF(UPPER(MID(E200,4,1))="F","Firm",IF(UPPER(MID(E200,4,1))="L","LLP",IF(UPPER(MID(E200,4,1))="T","Trust",IF(UPPER(MID(E200,4,1))="A","AOP","")))))))))</f>
      </c>
      <c r="H200" s="8"/>
      <c r="I200" s="7">
        <f>IF($D200="","",IF(H200="","",IF(F200="Y",SUMPRODUCT(('Rate Lookup'!$A$1:$A$37=H200)*'Rate Lookup'!$D$1:$D$37),IF(OR(G200="Individual",G200="HUF"),SUMPRODUCT(('Rate Lookup'!$A$1:$A$37=H200)*'Rate Lookup'!$B$1:$B$37),SUMPRODUCT(('Rate Lookup'!$A$1:$A$37=H200)*'Rate Lookup'!$C$1:$C$37)))))</f>
      </c>
      <c r="J200" s="8"/>
      <c r="K200" s="8"/>
      <c r="L200" s="7">
        <f>IF($D200="","",ROUND(K200*I200/100,0))</f>
      </c>
      <c r="M200" s="7">
        <f>IF($D200="","",0)</f>
      </c>
      <c r="N200" s="7">
        <f>IF($D200="","",0)</f>
      </c>
      <c r="O200" s="7">
        <f>IF($D200="","",IF(OR(L200=0,J200="",IFERROR(INDEX('Challan Master'!$D$4:$D$207,MATCH($B200,'Challan Master'!$S$4:$S$207,0)),"")="",IFERROR(INDEX('Challan Master'!$D$4:$D$207,MATCH($B200,'Challan Master'!$S$4:$S$207,0)),"")&lt;=0),0,IF(IFERROR(INDEX('Challan Master'!$D$4:$D$207,MATCH($B200,'Challan Master'!$S$4:$S$207,0)),"")&lt;=DATE(YEAR(J200),MONTH(J200)+1,7),0,ROUND(L200*0.015*((YEAR(IFERROR(INDEX('Challan Master'!$D$4:$D$207,MATCH($B200,'Challan Master'!$S$4:$S$207,0)),""))-YEAR(J200))*12+(MONTH(IFERROR(INDEX('Challan Master'!$D$4:$D$207,MATCH($B200,'Challan Master'!$S$4:$S$207,0)),""))-MONTH(J200))+1),0))))</f>
      </c>
      <c r="P200" s="7">
        <f>IF($D200="","",0)</f>
      </c>
      <c r="Q200" s="8"/>
      <c r="R200" s="8"/>
      <c r="S200" s="8"/>
      <c r="T200" s="8"/>
      <c r="U200" s="8"/>
      <c r="V200" s="7">
        <f>IF($B200="","",IFERROR(INDEX('Challan Master'!$AA$4:$AA$207,MATCH($B200,'Challan Master'!$S$4:$S$207,0)),""))</f>
      </c>
    </row>
    <row r="201" spans="1:22" x14ac:dyDescent="0.25">
      <c r="A201" s="7">
        <f>IF($D201="","",COUNTIF($D$4:$D201,"&lt;&gt;"))</f>
      </c>
      <c r="B201" s="8"/>
      <c r="C201" s="7">
        <f>IF($B201="","","BSR "&amp;IFERROR(INDEX('Challan Master'!$B$4:$B$207,MATCH($B201,'Challan Master'!$S$4:$S$207,0)),"")&amp;" | Serial "&amp;IFERROR(INDEX('Challan Master'!$C$4:$C$207,MATCH($B201,'Challan Master'!$S$4:$S$207,0)),"")&amp;" | Deposit "&amp;TEXT(IFERROR(INDEX('Challan Master'!$D$4:$D$207,MATCH($B201,'Challan Master'!$S$4:$S$207,0)),""),"dd-mm-yyyy")&amp;" | Minor Head "&amp;IFERROR(INDEX('Challan Master'!$E$4:$E$207,MATCH($B201,'Challan Master'!$S$4:$S$207,0)),"")&amp;" | Tax ₹"&amp;TEXT(IFERROR(INDEX('Challan Master'!$G$4:$G$207,MATCH($B201,'Challan Master'!$S$4:$S$207,0)),""),"#,##0")&amp;" | Section "&amp;IFERROR(INDEX('Challan Master'!$F$4:$F$207,MATCH($B201,'Challan Master'!$S$4:$S$207,0)),""))</f>
      </c>
      <c r="D201" s="8"/>
      <c r="E201" s="8"/>
      <c r="F201" s="7">
        <f>IF($D201="","",IF(AND(LEN(TRIM(UPPER(E201)))=10,CODE(MID(TRIM(UPPER(E201)),1,1))&gt;=65,CODE(MID(TRIM(UPPER(E201)),1,1))&lt;=90,CODE(MID(TRIM(UPPER(E201)),2,1))&gt;=65,CODE(MID(TRIM(UPPER(E201)),2,1))&lt;=90,CODE(MID(TRIM(UPPER(E201)),3,1))&gt;=65,CODE(MID(TRIM(UPPER(E201)),3,1))&lt;=90,CODE(MID(TRIM(UPPER(E201)),4,1))&gt;=65,CODE(MID(TRIM(UPPER(E201)),4,1))&lt;=90,CODE(MID(TRIM(UPPER(E201)),5,1))&gt;=65,CODE(MID(TRIM(UPPER(E201)),5,1))&lt;=90,CODE(MID(TRIM(UPPER(E201)),10,1))&gt;=65,CODE(MID(TRIM(UPPER(E201)),10,1))&lt;=90,CODE(MID(TRIM(UPPER(E201)),6,1))&gt;=48,CODE(MID(TRIM(UPPER(E201)),6,1))&lt;=57,CODE(MID(TRIM(UPPER(E201)),7,1))&gt;=48,CODE(MID(TRIM(UPPER(E201)),7,1))&lt;=57,CODE(MID(TRIM(UPPER(E201)),8,1))&gt;=48,CODE(MID(TRIM(UPPER(E201)),8,1))&lt;=57,CODE(MID(TRIM(UPPER(E201)),9,1))&gt;=48,CODE(MID(TRIM(UPPER(E201)),9,1))&lt;=57),"N","Y"))</f>
      </c>
      <c r="G201" s="7">
        <f>IF($D201="","",IF(LEN(E201)&lt;4,"",IF(UPPER(MID(E201,4,1))="P","Individual",IF(UPPER(MID(E201,4,1))="H","HUF",IF(UPPER(MID(E201,4,1))="C","Company",IF(UPPER(MID(E201,4,1))="F","Firm",IF(UPPER(MID(E201,4,1))="L","LLP",IF(UPPER(MID(E201,4,1))="T","Trust",IF(UPPER(MID(E201,4,1))="A","AOP","")))))))))</f>
      </c>
      <c r="H201" s="8"/>
      <c r="I201" s="7">
        <f>IF($D201="","",IF(H201="","",IF(F201="Y",SUMPRODUCT(('Rate Lookup'!$A$1:$A$37=H201)*'Rate Lookup'!$D$1:$D$37),IF(OR(G201="Individual",G201="HUF"),SUMPRODUCT(('Rate Lookup'!$A$1:$A$37=H201)*'Rate Lookup'!$B$1:$B$37),SUMPRODUCT(('Rate Lookup'!$A$1:$A$37=H201)*'Rate Lookup'!$C$1:$C$37)))))</f>
      </c>
      <c r="J201" s="8"/>
      <c r="K201" s="8"/>
      <c r="L201" s="7">
        <f>IF($D201="","",ROUND(K201*I201/100,0))</f>
      </c>
      <c r="M201" s="7">
        <f>IF($D201="","",0)</f>
      </c>
      <c r="N201" s="7">
        <f>IF($D201="","",0)</f>
      </c>
      <c r="O201" s="7">
        <f>IF($D201="","",IF(OR(L201=0,J201="",IFERROR(INDEX('Challan Master'!$D$4:$D$207,MATCH($B201,'Challan Master'!$S$4:$S$207,0)),"")="",IFERROR(INDEX('Challan Master'!$D$4:$D$207,MATCH($B201,'Challan Master'!$S$4:$S$207,0)),"")&lt;=0),0,IF(IFERROR(INDEX('Challan Master'!$D$4:$D$207,MATCH($B201,'Challan Master'!$S$4:$S$207,0)),"")&lt;=DATE(YEAR(J201),MONTH(J201)+1,7),0,ROUND(L201*0.015*((YEAR(IFERROR(INDEX('Challan Master'!$D$4:$D$207,MATCH($B201,'Challan Master'!$S$4:$S$207,0)),""))-YEAR(J201))*12+(MONTH(IFERROR(INDEX('Challan Master'!$D$4:$D$207,MATCH($B201,'Challan Master'!$S$4:$S$207,0)),""))-MONTH(J201))+1),0))))</f>
      </c>
      <c r="P201" s="7">
        <f>IF($D201="","",0)</f>
      </c>
      <c r="Q201" s="8"/>
      <c r="R201" s="8"/>
      <c r="S201" s="8"/>
      <c r="T201" s="8"/>
      <c r="U201" s="8"/>
      <c r="V201" s="7">
        <f>IF($B201="","",IFERROR(INDEX('Challan Master'!$AA$4:$AA$207,MATCH($B201,'Challan Master'!$S$4:$S$207,0)),""))</f>
      </c>
    </row>
    <row r="202" spans="1:22" x14ac:dyDescent="0.25">
      <c r="A202" s="7">
        <f>IF($D202="","",COUNTIF($D$4:$D202,"&lt;&gt;"))</f>
      </c>
      <c r="B202" s="8"/>
      <c r="C202" s="7">
        <f>IF($B202="","","BSR "&amp;IFERROR(INDEX('Challan Master'!$B$4:$B$207,MATCH($B202,'Challan Master'!$S$4:$S$207,0)),"")&amp;" | Serial "&amp;IFERROR(INDEX('Challan Master'!$C$4:$C$207,MATCH($B202,'Challan Master'!$S$4:$S$207,0)),"")&amp;" | Deposit "&amp;TEXT(IFERROR(INDEX('Challan Master'!$D$4:$D$207,MATCH($B202,'Challan Master'!$S$4:$S$207,0)),""),"dd-mm-yyyy")&amp;" | Minor Head "&amp;IFERROR(INDEX('Challan Master'!$E$4:$E$207,MATCH($B202,'Challan Master'!$S$4:$S$207,0)),"")&amp;" | Tax ₹"&amp;TEXT(IFERROR(INDEX('Challan Master'!$G$4:$G$207,MATCH($B202,'Challan Master'!$S$4:$S$207,0)),""),"#,##0")&amp;" | Section "&amp;IFERROR(INDEX('Challan Master'!$F$4:$F$207,MATCH($B202,'Challan Master'!$S$4:$S$207,0)),""))</f>
      </c>
      <c r="D202" s="8"/>
      <c r="E202" s="8"/>
      <c r="F202" s="7">
        <f>IF($D202="","",IF(AND(LEN(TRIM(UPPER(E202)))=10,CODE(MID(TRIM(UPPER(E202)),1,1))&gt;=65,CODE(MID(TRIM(UPPER(E202)),1,1))&lt;=90,CODE(MID(TRIM(UPPER(E202)),2,1))&gt;=65,CODE(MID(TRIM(UPPER(E202)),2,1))&lt;=90,CODE(MID(TRIM(UPPER(E202)),3,1))&gt;=65,CODE(MID(TRIM(UPPER(E202)),3,1))&lt;=90,CODE(MID(TRIM(UPPER(E202)),4,1))&gt;=65,CODE(MID(TRIM(UPPER(E202)),4,1))&lt;=90,CODE(MID(TRIM(UPPER(E202)),5,1))&gt;=65,CODE(MID(TRIM(UPPER(E202)),5,1))&lt;=90,CODE(MID(TRIM(UPPER(E202)),10,1))&gt;=65,CODE(MID(TRIM(UPPER(E202)),10,1))&lt;=90,CODE(MID(TRIM(UPPER(E202)),6,1))&gt;=48,CODE(MID(TRIM(UPPER(E202)),6,1))&lt;=57,CODE(MID(TRIM(UPPER(E202)),7,1))&gt;=48,CODE(MID(TRIM(UPPER(E202)),7,1))&lt;=57,CODE(MID(TRIM(UPPER(E202)),8,1))&gt;=48,CODE(MID(TRIM(UPPER(E202)),8,1))&lt;=57,CODE(MID(TRIM(UPPER(E202)),9,1))&gt;=48,CODE(MID(TRIM(UPPER(E202)),9,1))&lt;=57),"N","Y"))</f>
      </c>
      <c r="G202" s="7">
        <f>IF($D202="","",IF(LEN(E202)&lt;4,"",IF(UPPER(MID(E202,4,1))="P","Individual",IF(UPPER(MID(E202,4,1))="H","HUF",IF(UPPER(MID(E202,4,1))="C","Company",IF(UPPER(MID(E202,4,1))="F","Firm",IF(UPPER(MID(E202,4,1))="L","LLP",IF(UPPER(MID(E202,4,1))="T","Trust",IF(UPPER(MID(E202,4,1))="A","AOP","")))))))))</f>
      </c>
      <c r="H202" s="8"/>
      <c r="I202" s="7">
        <f>IF($D202="","",IF(H202="","",IF(F202="Y",SUMPRODUCT(('Rate Lookup'!$A$1:$A$37=H202)*'Rate Lookup'!$D$1:$D$37),IF(OR(G202="Individual",G202="HUF"),SUMPRODUCT(('Rate Lookup'!$A$1:$A$37=H202)*'Rate Lookup'!$B$1:$B$37),SUMPRODUCT(('Rate Lookup'!$A$1:$A$37=H202)*'Rate Lookup'!$C$1:$C$37)))))</f>
      </c>
      <c r="J202" s="8"/>
      <c r="K202" s="8"/>
      <c r="L202" s="7">
        <f>IF($D202="","",ROUND(K202*I202/100,0))</f>
      </c>
      <c r="M202" s="7">
        <f>IF($D202="","",0)</f>
      </c>
      <c r="N202" s="7">
        <f>IF($D202="","",0)</f>
      </c>
      <c r="O202" s="7">
        <f>IF($D202="","",IF(OR(L202=0,J202="",IFERROR(INDEX('Challan Master'!$D$4:$D$207,MATCH($B202,'Challan Master'!$S$4:$S$207,0)),"")="",IFERROR(INDEX('Challan Master'!$D$4:$D$207,MATCH($B202,'Challan Master'!$S$4:$S$207,0)),"")&lt;=0),0,IF(IFERROR(INDEX('Challan Master'!$D$4:$D$207,MATCH($B202,'Challan Master'!$S$4:$S$207,0)),"")&lt;=DATE(YEAR(J202),MONTH(J202)+1,7),0,ROUND(L202*0.015*((YEAR(IFERROR(INDEX('Challan Master'!$D$4:$D$207,MATCH($B202,'Challan Master'!$S$4:$S$207,0)),""))-YEAR(J202))*12+(MONTH(IFERROR(INDEX('Challan Master'!$D$4:$D$207,MATCH($B202,'Challan Master'!$S$4:$S$207,0)),""))-MONTH(J202))+1),0))))</f>
      </c>
      <c r="P202" s="7">
        <f>IF($D202="","",0)</f>
      </c>
      <c r="Q202" s="8"/>
      <c r="R202" s="8"/>
      <c r="S202" s="8"/>
      <c r="T202" s="8"/>
      <c r="U202" s="8"/>
      <c r="V202" s="7">
        <f>IF($B202="","",IFERROR(INDEX('Challan Master'!$AA$4:$AA$207,MATCH($B202,'Challan Master'!$S$4:$S$207,0)),""))</f>
      </c>
    </row>
    <row r="203" spans="1:22" x14ac:dyDescent="0.25">
      <c r="A203" s="7">
        <f>IF($D203="","",COUNTIF($D$4:$D203,"&lt;&gt;"))</f>
      </c>
      <c r="B203" s="8"/>
      <c r="C203" s="7">
        <f>IF($B203="","","BSR "&amp;IFERROR(INDEX('Challan Master'!$B$4:$B$207,MATCH($B203,'Challan Master'!$S$4:$S$207,0)),"")&amp;" | Serial "&amp;IFERROR(INDEX('Challan Master'!$C$4:$C$207,MATCH($B203,'Challan Master'!$S$4:$S$207,0)),"")&amp;" | Deposit "&amp;TEXT(IFERROR(INDEX('Challan Master'!$D$4:$D$207,MATCH($B203,'Challan Master'!$S$4:$S$207,0)),""),"dd-mm-yyyy")&amp;" | Minor Head "&amp;IFERROR(INDEX('Challan Master'!$E$4:$E$207,MATCH($B203,'Challan Master'!$S$4:$S$207,0)),"")&amp;" | Tax ₹"&amp;TEXT(IFERROR(INDEX('Challan Master'!$G$4:$G$207,MATCH($B203,'Challan Master'!$S$4:$S$207,0)),""),"#,##0")&amp;" | Section "&amp;IFERROR(INDEX('Challan Master'!$F$4:$F$207,MATCH($B203,'Challan Master'!$S$4:$S$207,0)),""))</f>
      </c>
      <c r="D203" s="8"/>
      <c r="E203" s="8"/>
      <c r="F203" s="7">
        <f>IF($D203="","",IF(AND(LEN(TRIM(UPPER(E203)))=10,CODE(MID(TRIM(UPPER(E203)),1,1))&gt;=65,CODE(MID(TRIM(UPPER(E203)),1,1))&lt;=90,CODE(MID(TRIM(UPPER(E203)),2,1))&gt;=65,CODE(MID(TRIM(UPPER(E203)),2,1))&lt;=90,CODE(MID(TRIM(UPPER(E203)),3,1))&gt;=65,CODE(MID(TRIM(UPPER(E203)),3,1))&lt;=90,CODE(MID(TRIM(UPPER(E203)),4,1))&gt;=65,CODE(MID(TRIM(UPPER(E203)),4,1))&lt;=90,CODE(MID(TRIM(UPPER(E203)),5,1))&gt;=65,CODE(MID(TRIM(UPPER(E203)),5,1))&lt;=90,CODE(MID(TRIM(UPPER(E203)),10,1))&gt;=65,CODE(MID(TRIM(UPPER(E203)),10,1))&lt;=90,CODE(MID(TRIM(UPPER(E203)),6,1))&gt;=48,CODE(MID(TRIM(UPPER(E203)),6,1))&lt;=57,CODE(MID(TRIM(UPPER(E203)),7,1))&gt;=48,CODE(MID(TRIM(UPPER(E203)),7,1))&lt;=57,CODE(MID(TRIM(UPPER(E203)),8,1))&gt;=48,CODE(MID(TRIM(UPPER(E203)),8,1))&lt;=57,CODE(MID(TRIM(UPPER(E203)),9,1))&gt;=48,CODE(MID(TRIM(UPPER(E203)),9,1))&lt;=57),"N","Y"))</f>
      </c>
      <c r="G203" s="7">
        <f>IF($D203="","",IF(LEN(E203)&lt;4,"",IF(UPPER(MID(E203,4,1))="P","Individual",IF(UPPER(MID(E203,4,1))="H","HUF",IF(UPPER(MID(E203,4,1))="C","Company",IF(UPPER(MID(E203,4,1))="F","Firm",IF(UPPER(MID(E203,4,1))="L","LLP",IF(UPPER(MID(E203,4,1))="T","Trust",IF(UPPER(MID(E203,4,1))="A","AOP","")))))))))</f>
      </c>
      <c r="H203" s="8"/>
      <c r="I203" s="7">
        <f>IF($D203="","",IF(H203="","",IF(F203="Y",SUMPRODUCT(('Rate Lookup'!$A$1:$A$37=H203)*'Rate Lookup'!$D$1:$D$37),IF(OR(G203="Individual",G203="HUF"),SUMPRODUCT(('Rate Lookup'!$A$1:$A$37=H203)*'Rate Lookup'!$B$1:$B$37),SUMPRODUCT(('Rate Lookup'!$A$1:$A$37=H203)*'Rate Lookup'!$C$1:$C$37)))))</f>
      </c>
      <c r="J203" s="8"/>
      <c r="K203" s="8"/>
      <c r="L203" s="7">
        <f>IF($D203="","",ROUND(K203*I203/100,0))</f>
      </c>
      <c r="M203" s="7">
        <f>IF($D203="","",0)</f>
      </c>
      <c r="N203" s="7">
        <f>IF($D203="","",0)</f>
      </c>
      <c r="O203" s="7">
        <f>IF($D203="","",IF(OR(L203=0,J203="",IFERROR(INDEX('Challan Master'!$D$4:$D$207,MATCH($B203,'Challan Master'!$S$4:$S$207,0)),"")="",IFERROR(INDEX('Challan Master'!$D$4:$D$207,MATCH($B203,'Challan Master'!$S$4:$S$207,0)),"")&lt;=0),0,IF(IFERROR(INDEX('Challan Master'!$D$4:$D$207,MATCH($B203,'Challan Master'!$S$4:$S$207,0)),"")&lt;=DATE(YEAR(J203),MONTH(J203)+1,7),0,ROUND(L203*0.015*((YEAR(IFERROR(INDEX('Challan Master'!$D$4:$D$207,MATCH($B203,'Challan Master'!$S$4:$S$207,0)),""))-YEAR(J203))*12+(MONTH(IFERROR(INDEX('Challan Master'!$D$4:$D$207,MATCH($B203,'Challan Master'!$S$4:$S$207,0)),""))-MONTH(J203))+1),0))))</f>
      </c>
      <c r="P203" s="7">
        <f>IF($D203="","",0)</f>
      </c>
      <c r="Q203" s="8"/>
      <c r="R203" s="8"/>
      <c r="S203" s="8"/>
      <c r="T203" s="8"/>
      <c r="U203" s="8"/>
      <c r="V203" s="7">
        <f>IF($B203="","",IFERROR(INDEX('Challan Master'!$AA$4:$AA$207,MATCH($B203,'Challan Master'!$S$4:$S$207,0)),""))</f>
      </c>
    </row>
    <row r="204" spans="1:22" x14ac:dyDescent="0.25">
      <c r="A204" s="7">
        <f>IF($D204="","",COUNTIF($D$4:$D204,"&lt;&gt;"))</f>
      </c>
      <c r="B204" s="8"/>
      <c r="C204" s="7">
        <f>IF($B204="","","BSR "&amp;IFERROR(INDEX('Challan Master'!$B$4:$B$207,MATCH($B204,'Challan Master'!$S$4:$S$207,0)),"")&amp;" | Serial "&amp;IFERROR(INDEX('Challan Master'!$C$4:$C$207,MATCH($B204,'Challan Master'!$S$4:$S$207,0)),"")&amp;" | Deposit "&amp;TEXT(IFERROR(INDEX('Challan Master'!$D$4:$D$207,MATCH($B204,'Challan Master'!$S$4:$S$207,0)),""),"dd-mm-yyyy")&amp;" | Minor Head "&amp;IFERROR(INDEX('Challan Master'!$E$4:$E$207,MATCH($B204,'Challan Master'!$S$4:$S$207,0)),"")&amp;" | Tax ₹"&amp;TEXT(IFERROR(INDEX('Challan Master'!$G$4:$G$207,MATCH($B204,'Challan Master'!$S$4:$S$207,0)),""),"#,##0")&amp;" | Section "&amp;IFERROR(INDEX('Challan Master'!$F$4:$F$207,MATCH($B204,'Challan Master'!$S$4:$S$207,0)),""))</f>
      </c>
      <c r="D204" s="8"/>
      <c r="E204" s="8"/>
      <c r="F204" s="7">
        <f>IF($D204="","",IF(AND(LEN(TRIM(UPPER(E204)))=10,CODE(MID(TRIM(UPPER(E204)),1,1))&gt;=65,CODE(MID(TRIM(UPPER(E204)),1,1))&lt;=90,CODE(MID(TRIM(UPPER(E204)),2,1))&gt;=65,CODE(MID(TRIM(UPPER(E204)),2,1))&lt;=90,CODE(MID(TRIM(UPPER(E204)),3,1))&gt;=65,CODE(MID(TRIM(UPPER(E204)),3,1))&lt;=90,CODE(MID(TRIM(UPPER(E204)),4,1))&gt;=65,CODE(MID(TRIM(UPPER(E204)),4,1))&lt;=90,CODE(MID(TRIM(UPPER(E204)),5,1))&gt;=65,CODE(MID(TRIM(UPPER(E204)),5,1))&lt;=90,CODE(MID(TRIM(UPPER(E204)),10,1))&gt;=65,CODE(MID(TRIM(UPPER(E204)),10,1))&lt;=90,CODE(MID(TRIM(UPPER(E204)),6,1))&gt;=48,CODE(MID(TRIM(UPPER(E204)),6,1))&lt;=57,CODE(MID(TRIM(UPPER(E204)),7,1))&gt;=48,CODE(MID(TRIM(UPPER(E204)),7,1))&lt;=57,CODE(MID(TRIM(UPPER(E204)),8,1))&gt;=48,CODE(MID(TRIM(UPPER(E204)),8,1))&lt;=57,CODE(MID(TRIM(UPPER(E204)),9,1))&gt;=48,CODE(MID(TRIM(UPPER(E204)),9,1))&lt;=57),"N","Y"))</f>
      </c>
      <c r="G204" s="7">
        <f>IF($D204="","",IF(LEN(E204)&lt;4,"",IF(UPPER(MID(E204,4,1))="P","Individual",IF(UPPER(MID(E204,4,1))="H","HUF",IF(UPPER(MID(E204,4,1))="C","Company",IF(UPPER(MID(E204,4,1))="F","Firm",IF(UPPER(MID(E204,4,1))="L","LLP",IF(UPPER(MID(E204,4,1))="T","Trust",IF(UPPER(MID(E204,4,1))="A","AOP","")))))))))</f>
      </c>
      <c r="H204" s="8"/>
      <c r="I204" s="7">
        <f>IF($D204="","",IF(H204="","",IF(F204="Y",SUMPRODUCT(('Rate Lookup'!$A$1:$A$37=H204)*'Rate Lookup'!$D$1:$D$37),IF(OR(G204="Individual",G204="HUF"),SUMPRODUCT(('Rate Lookup'!$A$1:$A$37=H204)*'Rate Lookup'!$B$1:$B$37),SUMPRODUCT(('Rate Lookup'!$A$1:$A$37=H204)*'Rate Lookup'!$C$1:$C$37)))))</f>
      </c>
      <c r="J204" s="8"/>
      <c r="K204" s="8"/>
      <c r="L204" s="7">
        <f>IF($D204="","",ROUND(K204*I204/100,0))</f>
      </c>
      <c r="M204" s="7">
        <f>IF($D204="","",0)</f>
      </c>
      <c r="N204" s="7">
        <f>IF($D204="","",0)</f>
      </c>
      <c r="O204" s="7">
        <f>IF($D204="","",IF(OR(L204=0,J204="",IFERROR(INDEX('Challan Master'!$D$4:$D$207,MATCH($B204,'Challan Master'!$S$4:$S$207,0)),"")="",IFERROR(INDEX('Challan Master'!$D$4:$D$207,MATCH($B204,'Challan Master'!$S$4:$S$207,0)),"")&lt;=0),0,IF(IFERROR(INDEX('Challan Master'!$D$4:$D$207,MATCH($B204,'Challan Master'!$S$4:$S$207,0)),"")&lt;=DATE(YEAR(J204),MONTH(J204)+1,7),0,ROUND(L204*0.015*((YEAR(IFERROR(INDEX('Challan Master'!$D$4:$D$207,MATCH($B204,'Challan Master'!$S$4:$S$207,0)),""))-YEAR(J204))*12+(MONTH(IFERROR(INDEX('Challan Master'!$D$4:$D$207,MATCH($B204,'Challan Master'!$S$4:$S$207,0)),""))-MONTH(J204))+1),0))))</f>
      </c>
      <c r="P204" s="7">
        <f>IF($D204="","",0)</f>
      </c>
      <c r="Q204" s="8"/>
      <c r="R204" s="8"/>
      <c r="S204" s="8"/>
      <c r="T204" s="8"/>
      <c r="U204" s="8"/>
      <c r="V204" s="7">
        <f>IF($B204="","",IFERROR(INDEX('Challan Master'!$AA$4:$AA$207,MATCH($B204,'Challan Master'!$S$4:$S$207,0)),""))</f>
      </c>
    </row>
    <row r="205" spans="1:22" x14ac:dyDescent="0.25">
      <c r="A205" s="7">
        <f>IF($D205="","",COUNTIF($D$4:$D205,"&lt;&gt;"))</f>
      </c>
      <c r="B205" s="8"/>
      <c r="C205" s="7">
        <f>IF($B205="","","BSR "&amp;IFERROR(INDEX('Challan Master'!$B$4:$B$207,MATCH($B205,'Challan Master'!$S$4:$S$207,0)),"")&amp;" | Serial "&amp;IFERROR(INDEX('Challan Master'!$C$4:$C$207,MATCH($B205,'Challan Master'!$S$4:$S$207,0)),"")&amp;" | Deposit "&amp;TEXT(IFERROR(INDEX('Challan Master'!$D$4:$D$207,MATCH($B205,'Challan Master'!$S$4:$S$207,0)),""),"dd-mm-yyyy")&amp;" | Minor Head "&amp;IFERROR(INDEX('Challan Master'!$E$4:$E$207,MATCH($B205,'Challan Master'!$S$4:$S$207,0)),"")&amp;" | Tax ₹"&amp;TEXT(IFERROR(INDEX('Challan Master'!$G$4:$G$207,MATCH($B205,'Challan Master'!$S$4:$S$207,0)),""),"#,##0")&amp;" | Section "&amp;IFERROR(INDEX('Challan Master'!$F$4:$F$207,MATCH($B205,'Challan Master'!$S$4:$S$207,0)),""))</f>
      </c>
      <c r="D205" s="8"/>
      <c r="E205" s="8"/>
      <c r="F205" s="7">
        <f>IF($D205="","",IF(AND(LEN(TRIM(UPPER(E205)))=10,CODE(MID(TRIM(UPPER(E205)),1,1))&gt;=65,CODE(MID(TRIM(UPPER(E205)),1,1))&lt;=90,CODE(MID(TRIM(UPPER(E205)),2,1))&gt;=65,CODE(MID(TRIM(UPPER(E205)),2,1))&lt;=90,CODE(MID(TRIM(UPPER(E205)),3,1))&gt;=65,CODE(MID(TRIM(UPPER(E205)),3,1))&lt;=90,CODE(MID(TRIM(UPPER(E205)),4,1))&gt;=65,CODE(MID(TRIM(UPPER(E205)),4,1))&lt;=90,CODE(MID(TRIM(UPPER(E205)),5,1))&gt;=65,CODE(MID(TRIM(UPPER(E205)),5,1))&lt;=90,CODE(MID(TRIM(UPPER(E205)),10,1))&gt;=65,CODE(MID(TRIM(UPPER(E205)),10,1))&lt;=90,CODE(MID(TRIM(UPPER(E205)),6,1))&gt;=48,CODE(MID(TRIM(UPPER(E205)),6,1))&lt;=57,CODE(MID(TRIM(UPPER(E205)),7,1))&gt;=48,CODE(MID(TRIM(UPPER(E205)),7,1))&lt;=57,CODE(MID(TRIM(UPPER(E205)),8,1))&gt;=48,CODE(MID(TRIM(UPPER(E205)),8,1))&lt;=57,CODE(MID(TRIM(UPPER(E205)),9,1))&gt;=48,CODE(MID(TRIM(UPPER(E205)),9,1))&lt;=57),"N","Y"))</f>
      </c>
      <c r="G205" s="7">
        <f>IF($D205="","",IF(LEN(E205)&lt;4,"",IF(UPPER(MID(E205,4,1))="P","Individual",IF(UPPER(MID(E205,4,1))="H","HUF",IF(UPPER(MID(E205,4,1))="C","Company",IF(UPPER(MID(E205,4,1))="F","Firm",IF(UPPER(MID(E205,4,1))="L","LLP",IF(UPPER(MID(E205,4,1))="T","Trust",IF(UPPER(MID(E205,4,1))="A","AOP","")))))))))</f>
      </c>
      <c r="H205" s="8"/>
      <c r="I205" s="7">
        <f>IF($D205="","",IF(H205="","",IF(F205="Y",SUMPRODUCT(('Rate Lookup'!$A$1:$A$37=H205)*'Rate Lookup'!$D$1:$D$37),IF(OR(G205="Individual",G205="HUF"),SUMPRODUCT(('Rate Lookup'!$A$1:$A$37=H205)*'Rate Lookup'!$B$1:$B$37),SUMPRODUCT(('Rate Lookup'!$A$1:$A$37=H205)*'Rate Lookup'!$C$1:$C$37)))))</f>
      </c>
      <c r="J205" s="8"/>
      <c r="K205" s="8"/>
      <c r="L205" s="7">
        <f>IF($D205="","",ROUND(K205*I205/100,0))</f>
      </c>
      <c r="M205" s="7">
        <f>IF($D205="","",0)</f>
      </c>
      <c r="N205" s="7">
        <f>IF($D205="","",0)</f>
      </c>
      <c r="O205" s="7">
        <f>IF($D205="","",IF(OR(L205=0,J205="",IFERROR(INDEX('Challan Master'!$D$4:$D$207,MATCH($B205,'Challan Master'!$S$4:$S$207,0)),"")="",IFERROR(INDEX('Challan Master'!$D$4:$D$207,MATCH($B205,'Challan Master'!$S$4:$S$207,0)),"")&lt;=0),0,IF(IFERROR(INDEX('Challan Master'!$D$4:$D$207,MATCH($B205,'Challan Master'!$S$4:$S$207,0)),"")&lt;=DATE(YEAR(J205),MONTH(J205)+1,7),0,ROUND(L205*0.015*((YEAR(IFERROR(INDEX('Challan Master'!$D$4:$D$207,MATCH($B205,'Challan Master'!$S$4:$S$207,0)),""))-YEAR(J205))*12+(MONTH(IFERROR(INDEX('Challan Master'!$D$4:$D$207,MATCH($B205,'Challan Master'!$S$4:$S$207,0)),""))-MONTH(J205))+1),0))))</f>
      </c>
      <c r="P205" s="7">
        <f>IF($D205="","",0)</f>
      </c>
      <c r="Q205" s="8"/>
      <c r="R205" s="8"/>
      <c r="S205" s="8"/>
      <c r="T205" s="8"/>
      <c r="U205" s="8"/>
      <c r="V205" s="7">
        <f>IF($B205="","",IFERROR(INDEX('Challan Master'!$AA$4:$AA$207,MATCH($B205,'Challan Master'!$S$4:$S$207,0)),""))</f>
      </c>
    </row>
    <row r="206" spans="1:22" x14ac:dyDescent="0.25">
      <c r="A206" s="7">
        <f>IF($D206="","",COUNTIF($D$4:$D206,"&lt;&gt;"))</f>
      </c>
      <c r="B206" s="8"/>
      <c r="C206" s="7">
        <f>IF($B206="","","BSR "&amp;IFERROR(INDEX('Challan Master'!$B$4:$B$207,MATCH($B206,'Challan Master'!$S$4:$S$207,0)),"")&amp;" | Serial "&amp;IFERROR(INDEX('Challan Master'!$C$4:$C$207,MATCH($B206,'Challan Master'!$S$4:$S$207,0)),"")&amp;" | Deposit "&amp;TEXT(IFERROR(INDEX('Challan Master'!$D$4:$D$207,MATCH($B206,'Challan Master'!$S$4:$S$207,0)),""),"dd-mm-yyyy")&amp;" | Minor Head "&amp;IFERROR(INDEX('Challan Master'!$E$4:$E$207,MATCH($B206,'Challan Master'!$S$4:$S$207,0)),"")&amp;" | Tax ₹"&amp;TEXT(IFERROR(INDEX('Challan Master'!$G$4:$G$207,MATCH($B206,'Challan Master'!$S$4:$S$207,0)),""),"#,##0")&amp;" | Section "&amp;IFERROR(INDEX('Challan Master'!$F$4:$F$207,MATCH($B206,'Challan Master'!$S$4:$S$207,0)),""))</f>
      </c>
      <c r="D206" s="8"/>
      <c r="E206" s="8"/>
      <c r="F206" s="7">
        <f>IF($D206="","",IF(AND(LEN(TRIM(UPPER(E206)))=10,CODE(MID(TRIM(UPPER(E206)),1,1))&gt;=65,CODE(MID(TRIM(UPPER(E206)),1,1))&lt;=90,CODE(MID(TRIM(UPPER(E206)),2,1))&gt;=65,CODE(MID(TRIM(UPPER(E206)),2,1))&lt;=90,CODE(MID(TRIM(UPPER(E206)),3,1))&gt;=65,CODE(MID(TRIM(UPPER(E206)),3,1))&lt;=90,CODE(MID(TRIM(UPPER(E206)),4,1))&gt;=65,CODE(MID(TRIM(UPPER(E206)),4,1))&lt;=90,CODE(MID(TRIM(UPPER(E206)),5,1))&gt;=65,CODE(MID(TRIM(UPPER(E206)),5,1))&lt;=90,CODE(MID(TRIM(UPPER(E206)),10,1))&gt;=65,CODE(MID(TRIM(UPPER(E206)),10,1))&lt;=90,CODE(MID(TRIM(UPPER(E206)),6,1))&gt;=48,CODE(MID(TRIM(UPPER(E206)),6,1))&lt;=57,CODE(MID(TRIM(UPPER(E206)),7,1))&gt;=48,CODE(MID(TRIM(UPPER(E206)),7,1))&lt;=57,CODE(MID(TRIM(UPPER(E206)),8,1))&gt;=48,CODE(MID(TRIM(UPPER(E206)),8,1))&lt;=57,CODE(MID(TRIM(UPPER(E206)),9,1))&gt;=48,CODE(MID(TRIM(UPPER(E206)),9,1))&lt;=57),"N","Y"))</f>
      </c>
      <c r="G206" s="7">
        <f>IF($D206="","",IF(LEN(E206)&lt;4,"",IF(UPPER(MID(E206,4,1))="P","Individual",IF(UPPER(MID(E206,4,1))="H","HUF",IF(UPPER(MID(E206,4,1))="C","Company",IF(UPPER(MID(E206,4,1))="F","Firm",IF(UPPER(MID(E206,4,1))="L","LLP",IF(UPPER(MID(E206,4,1))="T","Trust",IF(UPPER(MID(E206,4,1))="A","AOP","")))))))))</f>
      </c>
      <c r="H206" s="8"/>
      <c r="I206" s="7">
        <f>IF($D206="","",IF(H206="","",IF(F206="Y",SUMPRODUCT(('Rate Lookup'!$A$1:$A$37=H206)*'Rate Lookup'!$D$1:$D$37),IF(OR(G206="Individual",G206="HUF"),SUMPRODUCT(('Rate Lookup'!$A$1:$A$37=H206)*'Rate Lookup'!$B$1:$B$37),SUMPRODUCT(('Rate Lookup'!$A$1:$A$37=H206)*'Rate Lookup'!$C$1:$C$37)))))</f>
      </c>
      <c r="J206" s="8"/>
      <c r="K206" s="8"/>
      <c r="L206" s="7">
        <f>IF($D206="","",ROUND(K206*I206/100,0))</f>
      </c>
      <c r="M206" s="7">
        <f>IF($D206="","",0)</f>
      </c>
      <c r="N206" s="7">
        <f>IF($D206="","",0)</f>
      </c>
      <c r="O206" s="7">
        <f>IF($D206="","",IF(OR(L206=0,J206="",IFERROR(INDEX('Challan Master'!$D$4:$D$207,MATCH($B206,'Challan Master'!$S$4:$S$207,0)),"")="",IFERROR(INDEX('Challan Master'!$D$4:$D$207,MATCH($B206,'Challan Master'!$S$4:$S$207,0)),"")&lt;=0),0,IF(IFERROR(INDEX('Challan Master'!$D$4:$D$207,MATCH($B206,'Challan Master'!$S$4:$S$207,0)),"")&lt;=DATE(YEAR(J206),MONTH(J206)+1,7),0,ROUND(L206*0.015*((YEAR(IFERROR(INDEX('Challan Master'!$D$4:$D$207,MATCH($B206,'Challan Master'!$S$4:$S$207,0)),""))-YEAR(J206))*12+(MONTH(IFERROR(INDEX('Challan Master'!$D$4:$D$207,MATCH($B206,'Challan Master'!$S$4:$S$207,0)),""))-MONTH(J206))+1),0))))</f>
      </c>
      <c r="P206" s="7">
        <f>IF($D206="","",0)</f>
      </c>
      <c r="Q206" s="8"/>
      <c r="R206" s="8"/>
      <c r="S206" s="8"/>
      <c r="T206" s="8"/>
      <c r="U206" s="8"/>
      <c r="V206" s="7">
        <f>IF($B206="","",IFERROR(INDEX('Challan Master'!$AA$4:$AA$207,MATCH($B206,'Challan Master'!$S$4:$S$207,0)),""))</f>
      </c>
    </row>
    <row r="207" spans="1:22" x14ac:dyDescent="0.25">
      <c r="A207" s="7">
        <f>IF($D207="","",COUNTIF($D$4:$D207,"&lt;&gt;"))</f>
      </c>
      <c r="B207" s="8"/>
      <c r="C207" s="7">
        <f>IF($B207="","","BSR "&amp;IFERROR(INDEX('Challan Master'!$B$4:$B$207,MATCH($B207,'Challan Master'!$S$4:$S$207,0)),"")&amp;" | Serial "&amp;IFERROR(INDEX('Challan Master'!$C$4:$C$207,MATCH($B207,'Challan Master'!$S$4:$S$207,0)),"")&amp;" | Deposit "&amp;TEXT(IFERROR(INDEX('Challan Master'!$D$4:$D$207,MATCH($B207,'Challan Master'!$S$4:$S$207,0)),""),"dd-mm-yyyy")&amp;" | Minor Head "&amp;IFERROR(INDEX('Challan Master'!$E$4:$E$207,MATCH($B207,'Challan Master'!$S$4:$S$207,0)),"")&amp;" | Tax ₹"&amp;TEXT(IFERROR(INDEX('Challan Master'!$G$4:$G$207,MATCH($B207,'Challan Master'!$S$4:$S$207,0)),""),"#,##0")&amp;" | Section "&amp;IFERROR(INDEX('Challan Master'!$F$4:$F$207,MATCH($B207,'Challan Master'!$S$4:$S$207,0)),""))</f>
      </c>
      <c r="D207" s="8"/>
      <c r="E207" s="8"/>
      <c r="F207" s="7">
        <f>IF($D207="","",IF(AND(LEN(TRIM(UPPER(E207)))=10,CODE(MID(TRIM(UPPER(E207)),1,1))&gt;=65,CODE(MID(TRIM(UPPER(E207)),1,1))&lt;=90,CODE(MID(TRIM(UPPER(E207)),2,1))&gt;=65,CODE(MID(TRIM(UPPER(E207)),2,1))&lt;=90,CODE(MID(TRIM(UPPER(E207)),3,1))&gt;=65,CODE(MID(TRIM(UPPER(E207)),3,1))&lt;=90,CODE(MID(TRIM(UPPER(E207)),4,1))&gt;=65,CODE(MID(TRIM(UPPER(E207)),4,1))&lt;=90,CODE(MID(TRIM(UPPER(E207)),5,1))&gt;=65,CODE(MID(TRIM(UPPER(E207)),5,1))&lt;=90,CODE(MID(TRIM(UPPER(E207)),10,1))&gt;=65,CODE(MID(TRIM(UPPER(E207)),10,1))&lt;=90,CODE(MID(TRIM(UPPER(E207)),6,1))&gt;=48,CODE(MID(TRIM(UPPER(E207)),6,1))&lt;=57,CODE(MID(TRIM(UPPER(E207)),7,1))&gt;=48,CODE(MID(TRIM(UPPER(E207)),7,1))&lt;=57,CODE(MID(TRIM(UPPER(E207)),8,1))&gt;=48,CODE(MID(TRIM(UPPER(E207)),8,1))&lt;=57,CODE(MID(TRIM(UPPER(E207)),9,1))&gt;=48,CODE(MID(TRIM(UPPER(E207)),9,1))&lt;=57),"N","Y"))</f>
      </c>
      <c r="G207" s="7">
        <f>IF($D207="","",IF(LEN(E207)&lt;4,"",IF(UPPER(MID(E207,4,1))="P","Individual",IF(UPPER(MID(E207,4,1))="H","HUF",IF(UPPER(MID(E207,4,1))="C","Company",IF(UPPER(MID(E207,4,1))="F","Firm",IF(UPPER(MID(E207,4,1))="L","LLP",IF(UPPER(MID(E207,4,1))="T","Trust",IF(UPPER(MID(E207,4,1))="A","AOP","")))))))))</f>
      </c>
      <c r="H207" s="8"/>
      <c r="I207" s="7">
        <f>IF($D207="","",IF(H207="","",IF(F207="Y",SUMPRODUCT(('Rate Lookup'!$A$1:$A$37=H207)*'Rate Lookup'!$D$1:$D$37),IF(OR(G207="Individual",G207="HUF"),SUMPRODUCT(('Rate Lookup'!$A$1:$A$37=H207)*'Rate Lookup'!$B$1:$B$37),SUMPRODUCT(('Rate Lookup'!$A$1:$A$37=H207)*'Rate Lookup'!$C$1:$C$37)))))</f>
      </c>
      <c r="J207" s="8"/>
      <c r="K207" s="8"/>
      <c r="L207" s="7">
        <f>IF($D207="","",ROUND(K207*I207/100,0))</f>
      </c>
      <c r="M207" s="7">
        <f>IF($D207="","",0)</f>
      </c>
      <c r="N207" s="7">
        <f>IF($D207="","",0)</f>
      </c>
      <c r="O207" s="7">
        <f>IF($D207="","",IF(OR(L207=0,J207="",IFERROR(INDEX('Challan Master'!$D$4:$D$207,MATCH($B207,'Challan Master'!$S$4:$S$207,0)),"")="",IFERROR(INDEX('Challan Master'!$D$4:$D$207,MATCH($B207,'Challan Master'!$S$4:$S$207,0)),"")&lt;=0),0,IF(IFERROR(INDEX('Challan Master'!$D$4:$D$207,MATCH($B207,'Challan Master'!$S$4:$S$207,0)),"")&lt;=DATE(YEAR(J207),MONTH(J207)+1,7),0,ROUND(L207*0.015*((YEAR(IFERROR(INDEX('Challan Master'!$D$4:$D$207,MATCH($B207,'Challan Master'!$S$4:$S$207,0)),""))-YEAR(J207))*12+(MONTH(IFERROR(INDEX('Challan Master'!$D$4:$D$207,MATCH($B207,'Challan Master'!$S$4:$S$207,0)),""))-MONTH(J207))+1),0))))</f>
      </c>
      <c r="P207" s="7">
        <f>IF($D207="","",0)</f>
      </c>
      <c r="Q207" s="8"/>
      <c r="R207" s="8"/>
      <c r="S207" s="8"/>
      <c r="T207" s="8"/>
      <c r="U207" s="8"/>
      <c r="V207" s="7">
        <f>IF($B207="","",IFERROR(INDEX('Challan Master'!$AA$4:$AA$207,MATCH($B207,'Challan Master'!$S$4:$S$207,0)),""))</f>
      </c>
    </row>
  </sheetData>
  <sheetProtection sheet="1" formatCells="0" formatColumns="0" formatRows="0"/>
  <mergeCells count="2">
    <mergeCell ref="A1:V1"/>
    <mergeCell ref="A2:V2"/>
  </mergeCells>
  <conditionalFormatting sqref="A2:V2">
    <cfRule type="expression" dxfId="18" priority="1">
      <formula>ISNUMBER(SEARCH("VALIDATION FAILED",$A2))</formula>
    </cfRule>
    <cfRule type="expression" dxfId="19" priority="2">
      <formula>ISNUMBER(SEARCH("Validation Successful",$A2))</formula>
    </cfRule>
  </conditionalFormatting>
  <conditionalFormatting sqref="B4:B207">
    <cfRule type="expression" dxfId="20" priority="1">
      <formula>AND($D4&lt;&gt;"",$B4="")</formula>
    </cfRule>
  </conditionalFormatting>
  <conditionalFormatting sqref="E4:E207">
    <cfRule type="expression" dxfId="21" priority="2">
      <formula>$F4="Y"</formula>
    </cfRule>
  </conditionalFormatting>
  <conditionalFormatting sqref="A4:V207">
    <cfRule type="expression" dxfId="22" priority="3">
      <formula>$V4="Over-applied"</formula>
    </cfRule>
  </conditionalFormatting>
  <dataValidations count="10">
    <dataValidation type="list" allowBlank="1" showErrorMessage="1" errorTitle="Invalid Challan" error="Pick a challan from the dropdown — it must already exist on the Challan Master sheet." sqref="B10:B207">
      <formula1>'Challan Master'!$S$4:$S$207</formula1>
    </dataValidation>
    <dataValidation type="list" allowBlank="1" showErrorMessage="1" errorTitle="Invalid Challan" error="Pick a challan from the dropdown — it must already exist on the Challan Master sheet." sqref="B4:B207">
      <formula1>'Challan Master'!$S$4:$S$207</formula1>
    </dataValidation>
    <dataValidation type="list" allowBlank="1" showErrorMessage="1" errorTitle="Invalid Section" error="Pick a section from the dropdown list." sqref="H10:H207">
      <formula1>'Rate Lookup'!$A$1:$A$37</formula1>
    </dataValidation>
    <dataValidation type="list" allowBlank="1" showErrorMessage="1" errorTitle="Invalid Section" error="Pick a section from the dropdown list." sqref="H4:H207">
      <formula1>'Rate Lookup'!$A$1:$A$37</formula1>
    </dataValidation>
    <dataValidation type="date" allowBlank="1" showErrorMessage="1" errorTitle="Invalid Date" error="Enter a real date (use the date picker), between 01-Apr-2020 and 31-Mar-2030." sqref="J10:J207">
      <formula1>43922</formula1>
      <formula2>47573</formula2>
    </dataValidation>
    <dataValidation type="date" allowBlank="1" showErrorMessage="1" errorTitle="Invalid Date" error="Enter a real date (use the date picker), between 01-Apr-2020 and 31-Mar-2030." sqref="J4:J207">
      <formula1>43922</formula1>
      <formula2>47573</formula2>
    </dataValidation>
    <dataValidation type="decimal" operator="greaterThanOrEqual" allowBlank="1" showErrorMessage="1" errorTitle="Invalid Amount" error="Must be a number of 0 or more." sqref="K10:K207">
      <formula1>0</formula1>
    </dataValidation>
    <dataValidation type="decimal" operator="greaterThanOrEqual" allowBlank="1" showErrorMessage="1" errorTitle="Invalid Amount" error="Must be a number of 0 or more." sqref="K4:K207">
      <formula1>0</formula1>
    </dataValidation>
    <dataValidation type="list" allowBlank="1" showErrorMessage="1" errorTitle="Invalid Reason Code" error="Pick a Reason Code from the dropdown (A/B/C/D/E/Y/Z)." sqref="Q10:Q207">
      <formula1>"A,B,C,D,E,Y,Z"</formula1>
    </dataValidation>
    <dataValidation type="list" allowBlank="1" showErrorMessage="1" errorTitle="Invalid Reason Code" error="Pick a Reason Code from the dropdown (A/B/C/D/E/Y/Z)." sqref="Q4:Q207">
      <formula1>"A,B,C,D,E,Y,Z"</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40" customWidth="1"/>
    <col min="3" max="3" width="70" customWidth="1"/>
    <col min="4" max="4" width="26" customWidth="1"/>
    <col min="5" max="7" width="12" customWidth="1"/>
    <col min="8" max="8" width="40" customWidth="1"/>
    <col min="9" max="9" width="12" customWidth="1"/>
    <col min="10" max="16" width="13" customWidth="1"/>
    <col min="17" max="17" width="12" customWidth="1"/>
    <col min="18" max="18" width="20" customWidth="1"/>
    <col min="19" max="19" width="14" customWidth="1"/>
    <col min="20" max="20" width="16" customWidth="1"/>
    <col min="21" max="21" width="18" customWidth="1"/>
    <col min="22" max="22" width="14" customWidth="1"/>
  </cols>
  <sheetData>
    <row r="1" ht="22" customHeight="1" spans="1:22" x14ac:dyDescent="0.25">
      <c r="A1" s="3" t="s">
        <v>104</v>
      </c>
      <c r="B1" s="3"/>
      <c r="C1" s="3"/>
      <c r="D1" s="3"/>
      <c r="E1" s="3"/>
      <c r="F1" s="3"/>
      <c r="G1" s="3"/>
      <c r="H1" s="3"/>
      <c r="I1" s="3"/>
      <c r="J1" s="3"/>
      <c r="K1" s="3"/>
      <c r="L1" s="3"/>
      <c r="M1" s="3"/>
      <c r="N1" s="3"/>
      <c r="O1" s="3"/>
      <c r="P1" s="3"/>
      <c r="Q1" s="3"/>
      <c r="R1" s="3"/>
      <c r="S1" s="3"/>
      <c r="T1" s="3"/>
      <c r="U1" s="3"/>
      <c r="V1" s="3"/>
    </row>
    <row r="2" ht="20" customHeight="1" spans="1:22" x14ac:dyDescent="0.25">
      <c r="A2" s="5">
        <f>IF(AND(SUMPRODUCT(($D$4:$D$207&lt;&gt;"")*($B$4:$B$207=""))=0,SUMPRODUCT(($D$4:$D$207&lt;&gt;"")*($V$4:$V$207="Over-applied"))=0),"✅ Validation Successful — every entry has a Challan selected, none reference an over-applied challan ("&amp;COUNTIF($D$4:$D$207,"&lt;&gt;")&amp;" entries checked).","❌ VALIDATION FAILED — "&amp;SUMPRODUCT(($D$4:$D$207&lt;&gt;"")*($B$4:$B$207=""))&amp;" entr(y/ies) missing a Challan selection, "&amp;SUMPRODUCT(($D$4:$D$207&lt;&gt;"")*($V$4:$V$207="Over-applied"))&amp;" entr(y/ies) posted against an Over-applied challan. See the pink/red-highlighted row(s) below.")</f>
      </c>
      <c r="B2" s="5"/>
      <c r="C2" s="5"/>
      <c r="D2" s="5"/>
      <c r="E2" s="5"/>
      <c r="F2" s="5"/>
      <c r="G2" s="5"/>
      <c r="H2" s="5"/>
      <c r="I2" s="5"/>
      <c r="J2" s="5"/>
      <c r="K2" s="5"/>
      <c r="L2" s="5"/>
      <c r="M2" s="5"/>
      <c r="N2" s="5"/>
      <c r="O2" s="5"/>
      <c r="P2" s="5"/>
      <c r="Q2" s="5"/>
      <c r="R2" s="5"/>
      <c r="S2" s="5"/>
      <c r="T2" s="5"/>
      <c r="U2" s="5"/>
      <c r="V2" s="5"/>
    </row>
    <row r="3" ht="40" customHeight="1" spans="1:22" x14ac:dyDescent="0.25">
      <c r="A3" s="6" t="s">
        <v>54</v>
      </c>
      <c r="B3" s="6" t="s">
        <v>82</v>
      </c>
      <c r="C3" s="6" t="s">
        <v>83</v>
      </c>
      <c r="D3" s="6" t="s">
        <v>84</v>
      </c>
      <c r="E3" s="6" t="s">
        <v>85</v>
      </c>
      <c r="F3" s="6" t="s">
        <v>86</v>
      </c>
      <c r="G3" s="6" t="s">
        <v>87</v>
      </c>
      <c r="H3" s="6" t="s">
        <v>88</v>
      </c>
      <c r="I3" s="6" t="s">
        <v>89</v>
      </c>
      <c r="J3" s="6" t="s">
        <v>90</v>
      </c>
      <c r="K3" s="6" t="s">
        <v>91</v>
      </c>
      <c r="L3" s="6" t="s">
        <v>92</v>
      </c>
      <c r="M3" s="6" t="s">
        <v>93</v>
      </c>
      <c r="N3" s="6" t="s">
        <v>94</v>
      </c>
      <c r="O3" s="6" t="s">
        <v>95</v>
      </c>
      <c r="P3" s="6" t="s">
        <v>96</v>
      </c>
      <c r="Q3" s="6" t="s">
        <v>97</v>
      </c>
      <c r="R3" s="6" t="s">
        <v>98</v>
      </c>
      <c r="S3" s="6" t="s">
        <v>99</v>
      </c>
      <c r="T3" s="6" t="s">
        <v>100</v>
      </c>
      <c r="U3" s="6" t="s">
        <v>71</v>
      </c>
      <c r="V3" s="6" t="s">
        <v>101</v>
      </c>
    </row>
    <row r="4" spans="1:22" x14ac:dyDescent="0.25">
      <c r="A4" s="7">
        <f>IF($D4="","",COUNTIF($D$4:$D4,"&lt;&gt;"))</f>
      </c>
      <c r="B4" s="8"/>
      <c r="C4" s="7">
        <f>IF($B4="","","BSR "&amp;IFERROR(INDEX('Challan Master'!$B$4:$B$207,MATCH($B4,'Challan Master'!$S$4:$S$207,0)),"")&amp;" | Serial "&amp;IFERROR(INDEX('Challan Master'!$C$4:$C$207,MATCH($B4,'Challan Master'!$S$4:$S$207,0)),"")&amp;" | Deposit "&amp;TEXT(IFERROR(INDEX('Challan Master'!$D$4:$D$207,MATCH($B4,'Challan Master'!$S$4:$S$207,0)),""),"dd-mm-yyyy")&amp;" | Minor Head "&amp;IFERROR(INDEX('Challan Master'!$E$4:$E$207,MATCH($B4,'Challan Master'!$S$4:$S$207,0)),"")&amp;" | Tax ₹"&amp;TEXT(IFERROR(INDEX('Challan Master'!$G$4:$G$207,MATCH($B4,'Challan Master'!$S$4:$S$207,0)),""),"#,##0")&amp;" | Section "&amp;IFERROR(INDEX('Challan Master'!$F$4:$F$207,MATCH($B4,'Challan Master'!$S$4:$S$207,0)),""))</f>
      </c>
      <c r="D4" s="8"/>
      <c r="E4" s="8"/>
      <c r="F4" s="7">
        <f>IF($D4="","",IF(AND(LEN(TRIM(UPPER(E4)))=10,CODE(MID(TRIM(UPPER(E4)),1,1))&gt;=65,CODE(MID(TRIM(UPPER(E4)),1,1))&lt;=90,CODE(MID(TRIM(UPPER(E4)),2,1))&gt;=65,CODE(MID(TRIM(UPPER(E4)),2,1))&lt;=90,CODE(MID(TRIM(UPPER(E4)),3,1))&gt;=65,CODE(MID(TRIM(UPPER(E4)),3,1))&lt;=90,CODE(MID(TRIM(UPPER(E4)),4,1))&gt;=65,CODE(MID(TRIM(UPPER(E4)),4,1))&lt;=90,CODE(MID(TRIM(UPPER(E4)),5,1))&gt;=65,CODE(MID(TRIM(UPPER(E4)),5,1))&lt;=90,CODE(MID(TRIM(UPPER(E4)),10,1))&gt;=65,CODE(MID(TRIM(UPPER(E4)),10,1))&lt;=90,CODE(MID(TRIM(UPPER(E4)),6,1))&gt;=48,CODE(MID(TRIM(UPPER(E4)),6,1))&lt;=57,CODE(MID(TRIM(UPPER(E4)),7,1))&gt;=48,CODE(MID(TRIM(UPPER(E4)),7,1))&lt;=57,CODE(MID(TRIM(UPPER(E4)),8,1))&gt;=48,CODE(MID(TRIM(UPPER(E4)),8,1))&lt;=57,CODE(MID(TRIM(UPPER(E4)),9,1))&gt;=48,CODE(MID(TRIM(UPPER(E4)),9,1))&lt;=57),"N","Y"))</f>
      </c>
      <c r="G4" s="7">
        <f>IF($D4="","",IF(LEN(E4)&lt;4,"",IF(UPPER(MID(E4,4,1))="P","Individual",IF(UPPER(MID(E4,4,1))="H","HUF",IF(UPPER(MID(E4,4,1))="C","Company",IF(UPPER(MID(E4,4,1))="F","Firm",IF(UPPER(MID(E4,4,1))="L","LLP",IF(UPPER(MID(E4,4,1))="T","Trust",IF(UPPER(MID(E4,4,1))="A","AOP","")))))))))</f>
      </c>
      <c r="H4" s="8"/>
      <c r="I4" s="7">
        <f>IF($D4="","",IF(H4="","",IF(F4="Y",SUMPRODUCT(('Rate Lookup'!$A$1:$A$37=H4)*'Rate Lookup'!$D$1:$D$37),IF(OR(G4="Individual",G4="HUF"),SUMPRODUCT(('Rate Lookup'!$A$1:$A$37=H4)*'Rate Lookup'!$B$1:$B$37),SUMPRODUCT(('Rate Lookup'!$A$1:$A$37=H4)*'Rate Lookup'!$C$1:$C$37)))))</f>
      </c>
      <c r="J4" s="8"/>
      <c r="K4" s="8"/>
      <c r="L4" s="7">
        <f>IF($D4="","",ROUND(K4*I4/100,0))</f>
      </c>
      <c r="M4" s="7">
        <f>IF($D4="","",0)</f>
      </c>
      <c r="N4" s="7">
        <f>IF($D4="","",0)</f>
      </c>
      <c r="O4" s="7">
        <f>IF($D4="","",IF(OR(L4=0,J4="",IFERROR(INDEX('Challan Master'!$D$4:$D$207,MATCH($B4,'Challan Master'!$S$4:$S$207,0)),"")="",IFERROR(INDEX('Challan Master'!$D$4:$D$207,MATCH($B4,'Challan Master'!$S$4:$S$207,0)),"")&lt;=0),0,IF(IFERROR(INDEX('Challan Master'!$D$4:$D$207,MATCH($B4,'Challan Master'!$S$4:$S$207,0)),"")&lt;=DATE(YEAR(J4),MONTH(J4)+1,7),0,ROUND(L4*0.015*((YEAR(IFERROR(INDEX('Challan Master'!$D$4:$D$207,MATCH($B4,'Challan Master'!$S$4:$S$207,0)),""))-YEAR(J4))*12+(MONTH(IFERROR(INDEX('Challan Master'!$D$4:$D$207,MATCH($B4,'Challan Master'!$S$4:$S$207,0)),""))-MONTH(J4))+1),0))))</f>
      </c>
      <c r="P4" s="7">
        <f>IF($D4="","",0)</f>
      </c>
      <c r="Q4" s="8"/>
      <c r="R4" s="8"/>
      <c r="S4" s="8"/>
      <c r="T4" s="8"/>
      <c r="U4" s="8"/>
      <c r="V4" s="7">
        <f>IF($B4="","",IFERROR(INDEX('Challan Master'!$AA$4:$AA$207,MATCH($B4,'Challan Master'!$S$4:$S$207,0)),""))</f>
      </c>
    </row>
    <row r="5" spans="1:22" x14ac:dyDescent="0.25">
      <c r="A5" s="7">
        <f>IF($D5="","",COUNTIF($D$4:$D5,"&lt;&gt;"))</f>
      </c>
      <c r="B5" s="8"/>
      <c r="C5" s="7">
        <f>IF($B5="","","BSR "&amp;IFERROR(INDEX('Challan Master'!$B$4:$B$207,MATCH($B5,'Challan Master'!$S$4:$S$207,0)),"")&amp;" | Serial "&amp;IFERROR(INDEX('Challan Master'!$C$4:$C$207,MATCH($B5,'Challan Master'!$S$4:$S$207,0)),"")&amp;" | Deposit "&amp;TEXT(IFERROR(INDEX('Challan Master'!$D$4:$D$207,MATCH($B5,'Challan Master'!$S$4:$S$207,0)),""),"dd-mm-yyyy")&amp;" | Minor Head "&amp;IFERROR(INDEX('Challan Master'!$E$4:$E$207,MATCH($B5,'Challan Master'!$S$4:$S$207,0)),"")&amp;" | Tax ₹"&amp;TEXT(IFERROR(INDEX('Challan Master'!$G$4:$G$207,MATCH($B5,'Challan Master'!$S$4:$S$207,0)),""),"#,##0")&amp;" | Section "&amp;IFERROR(INDEX('Challan Master'!$F$4:$F$207,MATCH($B5,'Challan Master'!$S$4:$S$207,0)),""))</f>
      </c>
      <c r="D5" s="8"/>
      <c r="E5" s="8"/>
      <c r="F5" s="7">
        <f>IF($D5="","",IF(AND(LEN(TRIM(UPPER(E5)))=10,CODE(MID(TRIM(UPPER(E5)),1,1))&gt;=65,CODE(MID(TRIM(UPPER(E5)),1,1))&lt;=90,CODE(MID(TRIM(UPPER(E5)),2,1))&gt;=65,CODE(MID(TRIM(UPPER(E5)),2,1))&lt;=90,CODE(MID(TRIM(UPPER(E5)),3,1))&gt;=65,CODE(MID(TRIM(UPPER(E5)),3,1))&lt;=90,CODE(MID(TRIM(UPPER(E5)),4,1))&gt;=65,CODE(MID(TRIM(UPPER(E5)),4,1))&lt;=90,CODE(MID(TRIM(UPPER(E5)),5,1))&gt;=65,CODE(MID(TRIM(UPPER(E5)),5,1))&lt;=90,CODE(MID(TRIM(UPPER(E5)),10,1))&gt;=65,CODE(MID(TRIM(UPPER(E5)),10,1))&lt;=90,CODE(MID(TRIM(UPPER(E5)),6,1))&gt;=48,CODE(MID(TRIM(UPPER(E5)),6,1))&lt;=57,CODE(MID(TRIM(UPPER(E5)),7,1))&gt;=48,CODE(MID(TRIM(UPPER(E5)),7,1))&lt;=57,CODE(MID(TRIM(UPPER(E5)),8,1))&gt;=48,CODE(MID(TRIM(UPPER(E5)),8,1))&lt;=57,CODE(MID(TRIM(UPPER(E5)),9,1))&gt;=48,CODE(MID(TRIM(UPPER(E5)),9,1))&lt;=57),"N","Y"))</f>
      </c>
      <c r="G5" s="7">
        <f>IF($D5="","",IF(LEN(E5)&lt;4,"",IF(UPPER(MID(E5,4,1))="P","Individual",IF(UPPER(MID(E5,4,1))="H","HUF",IF(UPPER(MID(E5,4,1))="C","Company",IF(UPPER(MID(E5,4,1))="F","Firm",IF(UPPER(MID(E5,4,1))="L","LLP",IF(UPPER(MID(E5,4,1))="T","Trust",IF(UPPER(MID(E5,4,1))="A","AOP","")))))))))</f>
      </c>
      <c r="H5" s="8"/>
      <c r="I5" s="7">
        <f>IF($D5="","",IF(H5="","",IF(F5="Y",SUMPRODUCT(('Rate Lookup'!$A$1:$A$37=H5)*'Rate Lookup'!$D$1:$D$37),IF(OR(G5="Individual",G5="HUF"),SUMPRODUCT(('Rate Lookup'!$A$1:$A$37=H5)*'Rate Lookup'!$B$1:$B$37),SUMPRODUCT(('Rate Lookup'!$A$1:$A$37=H5)*'Rate Lookup'!$C$1:$C$37)))))</f>
      </c>
      <c r="J5" s="8"/>
      <c r="K5" s="8"/>
      <c r="L5" s="7">
        <f>IF($D5="","",ROUND(K5*I5/100,0))</f>
      </c>
      <c r="M5" s="7">
        <f>IF($D5="","",0)</f>
      </c>
      <c r="N5" s="7">
        <f>IF($D5="","",0)</f>
      </c>
      <c r="O5" s="7">
        <f>IF($D5="","",IF(OR(L5=0,J5="",IFERROR(INDEX('Challan Master'!$D$4:$D$207,MATCH($B5,'Challan Master'!$S$4:$S$207,0)),"")="",IFERROR(INDEX('Challan Master'!$D$4:$D$207,MATCH($B5,'Challan Master'!$S$4:$S$207,0)),"")&lt;=0),0,IF(IFERROR(INDEX('Challan Master'!$D$4:$D$207,MATCH($B5,'Challan Master'!$S$4:$S$207,0)),"")&lt;=DATE(YEAR(J5),MONTH(J5)+1,7),0,ROUND(L5*0.015*((YEAR(IFERROR(INDEX('Challan Master'!$D$4:$D$207,MATCH($B5,'Challan Master'!$S$4:$S$207,0)),""))-YEAR(J5))*12+(MONTH(IFERROR(INDEX('Challan Master'!$D$4:$D$207,MATCH($B5,'Challan Master'!$S$4:$S$207,0)),""))-MONTH(J5))+1),0))))</f>
      </c>
      <c r="P5" s="7">
        <f>IF($D5="","",0)</f>
      </c>
      <c r="Q5" s="8"/>
      <c r="R5" s="8"/>
      <c r="S5" s="8"/>
      <c r="T5" s="8"/>
      <c r="U5" s="8"/>
      <c r="V5" s="7">
        <f>IF($B5="","",IFERROR(INDEX('Challan Master'!$AA$4:$AA$207,MATCH($B5,'Challan Master'!$S$4:$S$207,0)),""))</f>
      </c>
    </row>
    <row r="6" spans="1:22" x14ac:dyDescent="0.25">
      <c r="A6" s="7">
        <f>IF($D6="","",COUNTIF($D$4:$D6,"&lt;&gt;"))</f>
      </c>
      <c r="B6" s="8"/>
      <c r="C6" s="7">
        <f>IF($B6="","","BSR "&amp;IFERROR(INDEX('Challan Master'!$B$4:$B$207,MATCH($B6,'Challan Master'!$S$4:$S$207,0)),"")&amp;" | Serial "&amp;IFERROR(INDEX('Challan Master'!$C$4:$C$207,MATCH($B6,'Challan Master'!$S$4:$S$207,0)),"")&amp;" | Deposit "&amp;TEXT(IFERROR(INDEX('Challan Master'!$D$4:$D$207,MATCH($B6,'Challan Master'!$S$4:$S$207,0)),""),"dd-mm-yyyy")&amp;" | Minor Head "&amp;IFERROR(INDEX('Challan Master'!$E$4:$E$207,MATCH($B6,'Challan Master'!$S$4:$S$207,0)),"")&amp;" | Tax ₹"&amp;TEXT(IFERROR(INDEX('Challan Master'!$G$4:$G$207,MATCH($B6,'Challan Master'!$S$4:$S$207,0)),""),"#,##0")&amp;" | Section "&amp;IFERROR(INDEX('Challan Master'!$F$4:$F$207,MATCH($B6,'Challan Master'!$S$4:$S$207,0)),""))</f>
      </c>
      <c r="D6" s="8"/>
      <c r="E6" s="8"/>
      <c r="F6" s="7">
        <f>IF($D6="","",IF(AND(LEN(TRIM(UPPER(E6)))=10,CODE(MID(TRIM(UPPER(E6)),1,1))&gt;=65,CODE(MID(TRIM(UPPER(E6)),1,1))&lt;=90,CODE(MID(TRIM(UPPER(E6)),2,1))&gt;=65,CODE(MID(TRIM(UPPER(E6)),2,1))&lt;=90,CODE(MID(TRIM(UPPER(E6)),3,1))&gt;=65,CODE(MID(TRIM(UPPER(E6)),3,1))&lt;=90,CODE(MID(TRIM(UPPER(E6)),4,1))&gt;=65,CODE(MID(TRIM(UPPER(E6)),4,1))&lt;=90,CODE(MID(TRIM(UPPER(E6)),5,1))&gt;=65,CODE(MID(TRIM(UPPER(E6)),5,1))&lt;=90,CODE(MID(TRIM(UPPER(E6)),10,1))&gt;=65,CODE(MID(TRIM(UPPER(E6)),10,1))&lt;=90,CODE(MID(TRIM(UPPER(E6)),6,1))&gt;=48,CODE(MID(TRIM(UPPER(E6)),6,1))&lt;=57,CODE(MID(TRIM(UPPER(E6)),7,1))&gt;=48,CODE(MID(TRIM(UPPER(E6)),7,1))&lt;=57,CODE(MID(TRIM(UPPER(E6)),8,1))&gt;=48,CODE(MID(TRIM(UPPER(E6)),8,1))&lt;=57,CODE(MID(TRIM(UPPER(E6)),9,1))&gt;=48,CODE(MID(TRIM(UPPER(E6)),9,1))&lt;=57),"N","Y"))</f>
      </c>
      <c r="G6" s="7">
        <f>IF($D6="","",IF(LEN(E6)&lt;4,"",IF(UPPER(MID(E6,4,1))="P","Individual",IF(UPPER(MID(E6,4,1))="H","HUF",IF(UPPER(MID(E6,4,1))="C","Company",IF(UPPER(MID(E6,4,1))="F","Firm",IF(UPPER(MID(E6,4,1))="L","LLP",IF(UPPER(MID(E6,4,1))="T","Trust",IF(UPPER(MID(E6,4,1))="A","AOP","")))))))))</f>
      </c>
      <c r="H6" s="8"/>
      <c r="I6" s="7">
        <f>IF($D6="","",IF(H6="","",IF(F6="Y",SUMPRODUCT(('Rate Lookup'!$A$1:$A$37=H6)*'Rate Lookup'!$D$1:$D$37),IF(OR(G6="Individual",G6="HUF"),SUMPRODUCT(('Rate Lookup'!$A$1:$A$37=H6)*'Rate Lookup'!$B$1:$B$37),SUMPRODUCT(('Rate Lookup'!$A$1:$A$37=H6)*'Rate Lookup'!$C$1:$C$37)))))</f>
      </c>
      <c r="J6" s="8"/>
      <c r="K6" s="8"/>
      <c r="L6" s="7">
        <f>IF($D6="","",ROUND(K6*I6/100,0))</f>
      </c>
      <c r="M6" s="7">
        <f>IF($D6="","",0)</f>
      </c>
      <c r="N6" s="7">
        <f>IF($D6="","",0)</f>
      </c>
      <c r="O6" s="7">
        <f>IF($D6="","",IF(OR(L6=0,J6="",IFERROR(INDEX('Challan Master'!$D$4:$D$207,MATCH($B6,'Challan Master'!$S$4:$S$207,0)),"")="",IFERROR(INDEX('Challan Master'!$D$4:$D$207,MATCH($B6,'Challan Master'!$S$4:$S$207,0)),"")&lt;=0),0,IF(IFERROR(INDEX('Challan Master'!$D$4:$D$207,MATCH($B6,'Challan Master'!$S$4:$S$207,0)),"")&lt;=DATE(YEAR(J6),MONTH(J6)+1,7),0,ROUND(L6*0.015*((YEAR(IFERROR(INDEX('Challan Master'!$D$4:$D$207,MATCH($B6,'Challan Master'!$S$4:$S$207,0)),""))-YEAR(J6))*12+(MONTH(IFERROR(INDEX('Challan Master'!$D$4:$D$207,MATCH($B6,'Challan Master'!$S$4:$S$207,0)),""))-MONTH(J6))+1),0))))</f>
      </c>
      <c r="P6" s="7">
        <f>IF($D6="","",0)</f>
      </c>
      <c r="Q6" s="8"/>
      <c r="R6" s="8"/>
      <c r="S6" s="8"/>
      <c r="T6" s="8"/>
      <c r="U6" s="8"/>
      <c r="V6" s="7">
        <f>IF($B6="","",IFERROR(INDEX('Challan Master'!$AA$4:$AA$207,MATCH($B6,'Challan Master'!$S$4:$S$207,0)),""))</f>
      </c>
    </row>
    <row r="7" spans="1:22" x14ac:dyDescent="0.25">
      <c r="A7" s="7">
        <f>IF($D7="","",COUNTIF($D$4:$D7,"&lt;&gt;"))</f>
      </c>
      <c r="B7" s="8"/>
      <c r="C7" s="7">
        <f>IF($B7="","","BSR "&amp;IFERROR(INDEX('Challan Master'!$B$4:$B$207,MATCH($B7,'Challan Master'!$S$4:$S$207,0)),"")&amp;" | Serial "&amp;IFERROR(INDEX('Challan Master'!$C$4:$C$207,MATCH($B7,'Challan Master'!$S$4:$S$207,0)),"")&amp;" | Deposit "&amp;TEXT(IFERROR(INDEX('Challan Master'!$D$4:$D$207,MATCH($B7,'Challan Master'!$S$4:$S$207,0)),""),"dd-mm-yyyy")&amp;" | Minor Head "&amp;IFERROR(INDEX('Challan Master'!$E$4:$E$207,MATCH($B7,'Challan Master'!$S$4:$S$207,0)),"")&amp;" | Tax ₹"&amp;TEXT(IFERROR(INDEX('Challan Master'!$G$4:$G$207,MATCH($B7,'Challan Master'!$S$4:$S$207,0)),""),"#,##0")&amp;" | Section "&amp;IFERROR(INDEX('Challan Master'!$F$4:$F$207,MATCH($B7,'Challan Master'!$S$4:$S$207,0)),""))</f>
      </c>
      <c r="D7" s="8"/>
      <c r="E7" s="8"/>
      <c r="F7" s="7">
        <f>IF($D7="","",IF(AND(LEN(TRIM(UPPER(E7)))=10,CODE(MID(TRIM(UPPER(E7)),1,1))&gt;=65,CODE(MID(TRIM(UPPER(E7)),1,1))&lt;=90,CODE(MID(TRIM(UPPER(E7)),2,1))&gt;=65,CODE(MID(TRIM(UPPER(E7)),2,1))&lt;=90,CODE(MID(TRIM(UPPER(E7)),3,1))&gt;=65,CODE(MID(TRIM(UPPER(E7)),3,1))&lt;=90,CODE(MID(TRIM(UPPER(E7)),4,1))&gt;=65,CODE(MID(TRIM(UPPER(E7)),4,1))&lt;=90,CODE(MID(TRIM(UPPER(E7)),5,1))&gt;=65,CODE(MID(TRIM(UPPER(E7)),5,1))&lt;=90,CODE(MID(TRIM(UPPER(E7)),10,1))&gt;=65,CODE(MID(TRIM(UPPER(E7)),10,1))&lt;=90,CODE(MID(TRIM(UPPER(E7)),6,1))&gt;=48,CODE(MID(TRIM(UPPER(E7)),6,1))&lt;=57,CODE(MID(TRIM(UPPER(E7)),7,1))&gt;=48,CODE(MID(TRIM(UPPER(E7)),7,1))&lt;=57,CODE(MID(TRIM(UPPER(E7)),8,1))&gt;=48,CODE(MID(TRIM(UPPER(E7)),8,1))&lt;=57,CODE(MID(TRIM(UPPER(E7)),9,1))&gt;=48,CODE(MID(TRIM(UPPER(E7)),9,1))&lt;=57),"N","Y"))</f>
      </c>
      <c r="G7" s="7">
        <f>IF($D7="","",IF(LEN(E7)&lt;4,"",IF(UPPER(MID(E7,4,1))="P","Individual",IF(UPPER(MID(E7,4,1))="H","HUF",IF(UPPER(MID(E7,4,1))="C","Company",IF(UPPER(MID(E7,4,1))="F","Firm",IF(UPPER(MID(E7,4,1))="L","LLP",IF(UPPER(MID(E7,4,1))="T","Trust",IF(UPPER(MID(E7,4,1))="A","AOP","")))))))))</f>
      </c>
      <c r="H7" s="8"/>
      <c r="I7" s="7">
        <f>IF($D7="","",IF(H7="","",IF(F7="Y",SUMPRODUCT(('Rate Lookup'!$A$1:$A$37=H7)*'Rate Lookup'!$D$1:$D$37),IF(OR(G7="Individual",G7="HUF"),SUMPRODUCT(('Rate Lookup'!$A$1:$A$37=H7)*'Rate Lookup'!$B$1:$B$37),SUMPRODUCT(('Rate Lookup'!$A$1:$A$37=H7)*'Rate Lookup'!$C$1:$C$37)))))</f>
      </c>
      <c r="J7" s="8"/>
      <c r="K7" s="8"/>
      <c r="L7" s="7">
        <f>IF($D7="","",ROUND(K7*I7/100,0))</f>
      </c>
      <c r="M7" s="7">
        <f>IF($D7="","",0)</f>
      </c>
      <c r="N7" s="7">
        <f>IF($D7="","",0)</f>
      </c>
      <c r="O7" s="7">
        <f>IF($D7="","",IF(OR(L7=0,J7="",IFERROR(INDEX('Challan Master'!$D$4:$D$207,MATCH($B7,'Challan Master'!$S$4:$S$207,0)),"")="",IFERROR(INDEX('Challan Master'!$D$4:$D$207,MATCH($B7,'Challan Master'!$S$4:$S$207,0)),"")&lt;=0),0,IF(IFERROR(INDEX('Challan Master'!$D$4:$D$207,MATCH($B7,'Challan Master'!$S$4:$S$207,0)),"")&lt;=DATE(YEAR(J7),MONTH(J7)+1,7),0,ROUND(L7*0.015*((YEAR(IFERROR(INDEX('Challan Master'!$D$4:$D$207,MATCH($B7,'Challan Master'!$S$4:$S$207,0)),""))-YEAR(J7))*12+(MONTH(IFERROR(INDEX('Challan Master'!$D$4:$D$207,MATCH($B7,'Challan Master'!$S$4:$S$207,0)),""))-MONTH(J7))+1),0))))</f>
      </c>
      <c r="P7" s="7">
        <f>IF($D7="","",0)</f>
      </c>
      <c r="Q7" s="8"/>
      <c r="R7" s="8"/>
      <c r="S7" s="8"/>
      <c r="T7" s="8"/>
      <c r="U7" s="8"/>
      <c r="V7" s="7">
        <f>IF($B7="","",IFERROR(INDEX('Challan Master'!$AA$4:$AA$207,MATCH($B7,'Challan Master'!$S$4:$S$207,0)),""))</f>
      </c>
    </row>
    <row r="8" spans="1:22" x14ac:dyDescent="0.25">
      <c r="A8" s="7">
        <f>IF($D8="","",COUNTIF($D$4:$D8,"&lt;&gt;"))</f>
      </c>
      <c r="B8" s="8"/>
      <c r="C8" s="7">
        <f>IF($B8="","","BSR "&amp;IFERROR(INDEX('Challan Master'!$B$4:$B$207,MATCH($B8,'Challan Master'!$S$4:$S$207,0)),"")&amp;" | Serial "&amp;IFERROR(INDEX('Challan Master'!$C$4:$C$207,MATCH($B8,'Challan Master'!$S$4:$S$207,0)),"")&amp;" | Deposit "&amp;TEXT(IFERROR(INDEX('Challan Master'!$D$4:$D$207,MATCH($B8,'Challan Master'!$S$4:$S$207,0)),""),"dd-mm-yyyy")&amp;" | Minor Head "&amp;IFERROR(INDEX('Challan Master'!$E$4:$E$207,MATCH($B8,'Challan Master'!$S$4:$S$207,0)),"")&amp;" | Tax ₹"&amp;TEXT(IFERROR(INDEX('Challan Master'!$G$4:$G$207,MATCH($B8,'Challan Master'!$S$4:$S$207,0)),""),"#,##0")&amp;" | Section "&amp;IFERROR(INDEX('Challan Master'!$F$4:$F$207,MATCH($B8,'Challan Master'!$S$4:$S$207,0)),""))</f>
      </c>
      <c r="D8" s="8"/>
      <c r="E8" s="8"/>
      <c r="F8" s="7">
        <f>IF($D8="","",IF(AND(LEN(TRIM(UPPER(E8)))=10,CODE(MID(TRIM(UPPER(E8)),1,1))&gt;=65,CODE(MID(TRIM(UPPER(E8)),1,1))&lt;=90,CODE(MID(TRIM(UPPER(E8)),2,1))&gt;=65,CODE(MID(TRIM(UPPER(E8)),2,1))&lt;=90,CODE(MID(TRIM(UPPER(E8)),3,1))&gt;=65,CODE(MID(TRIM(UPPER(E8)),3,1))&lt;=90,CODE(MID(TRIM(UPPER(E8)),4,1))&gt;=65,CODE(MID(TRIM(UPPER(E8)),4,1))&lt;=90,CODE(MID(TRIM(UPPER(E8)),5,1))&gt;=65,CODE(MID(TRIM(UPPER(E8)),5,1))&lt;=90,CODE(MID(TRIM(UPPER(E8)),10,1))&gt;=65,CODE(MID(TRIM(UPPER(E8)),10,1))&lt;=90,CODE(MID(TRIM(UPPER(E8)),6,1))&gt;=48,CODE(MID(TRIM(UPPER(E8)),6,1))&lt;=57,CODE(MID(TRIM(UPPER(E8)),7,1))&gt;=48,CODE(MID(TRIM(UPPER(E8)),7,1))&lt;=57,CODE(MID(TRIM(UPPER(E8)),8,1))&gt;=48,CODE(MID(TRIM(UPPER(E8)),8,1))&lt;=57,CODE(MID(TRIM(UPPER(E8)),9,1))&gt;=48,CODE(MID(TRIM(UPPER(E8)),9,1))&lt;=57),"N","Y"))</f>
      </c>
      <c r="G8" s="7">
        <f>IF($D8="","",IF(LEN(E8)&lt;4,"",IF(UPPER(MID(E8,4,1))="P","Individual",IF(UPPER(MID(E8,4,1))="H","HUF",IF(UPPER(MID(E8,4,1))="C","Company",IF(UPPER(MID(E8,4,1))="F","Firm",IF(UPPER(MID(E8,4,1))="L","LLP",IF(UPPER(MID(E8,4,1))="T","Trust",IF(UPPER(MID(E8,4,1))="A","AOP","")))))))))</f>
      </c>
      <c r="H8" s="8"/>
      <c r="I8" s="7">
        <f>IF($D8="","",IF(H8="","",IF(F8="Y",SUMPRODUCT(('Rate Lookup'!$A$1:$A$37=H8)*'Rate Lookup'!$D$1:$D$37),IF(OR(G8="Individual",G8="HUF"),SUMPRODUCT(('Rate Lookup'!$A$1:$A$37=H8)*'Rate Lookup'!$B$1:$B$37),SUMPRODUCT(('Rate Lookup'!$A$1:$A$37=H8)*'Rate Lookup'!$C$1:$C$37)))))</f>
      </c>
      <c r="J8" s="8"/>
      <c r="K8" s="8"/>
      <c r="L8" s="7">
        <f>IF($D8="","",ROUND(K8*I8/100,0))</f>
      </c>
      <c r="M8" s="7">
        <f>IF($D8="","",0)</f>
      </c>
      <c r="N8" s="7">
        <f>IF($D8="","",0)</f>
      </c>
      <c r="O8" s="7">
        <f>IF($D8="","",IF(OR(L8=0,J8="",IFERROR(INDEX('Challan Master'!$D$4:$D$207,MATCH($B8,'Challan Master'!$S$4:$S$207,0)),"")="",IFERROR(INDEX('Challan Master'!$D$4:$D$207,MATCH($B8,'Challan Master'!$S$4:$S$207,0)),"")&lt;=0),0,IF(IFERROR(INDEX('Challan Master'!$D$4:$D$207,MATCH($B8,'Challan Master'!$S$4:$S$207,0)),"")&lt;=DATE(YEAR(J8),MONTH(J8)+1,7),0,ROUND(L8*0.015*((YEAR(IFERROR(INDEX('Challan Master'!$D$4:$D$207,MATCH($B8,'Challan Master'!$S$4:$S$207,0)),""))-YEAR(J8))*12+(MONTH(IFERROR(INDEX('Challan Master'!$D$4:$D$207,MATCH($B8,'Challan Master'!$S$4:$S$207,0)),""))-MONTH(J8))+1),0))))</f>
      </c>
      <c r="P8" s="7">
        <f>IF($D8="","",0)</f>
      </c>
      <c r="Q8" s="8"/>
      <c r="R8" s="8"/>
      <c r="S8" s="8"/>
      <c r="T8" s="8"/>
      <c r="U8" s="8"/>
      <c r="V8" s="7">
        <f>IF($B8="","",IFERROR(INDEX('Challan Master'!$AA$4:$AA$207,MATCH($B8,'Challan Master'!$S$4:$S$207,0)),""))</f>
      </c>
    </row>
    <row r="9" spans="1:22" x14ac:dyDescent="0.25">
      <c r="A9" s="7">
        <f>IF($D9="","",COUNTIF($D$4:$D9,"&lt;&gt;"))</f>
      </c>
      <c r="B9" s="8"/>
      <c r="C9" s="7">
        <f>IF($B9="","","BSR "&amp;IFERROR(INDEX('Challan Master'!$B$4:$B$207,MATCH($B9,'Challan Master'!$S$4:$S$207,0)),"")&amp;" | Serial "&amp;IFERROR(INDEX('Challan Master'!$C$4:$C$207,MATCH($B9,'Challan Master'!$S$4:$S$207,0)),"")&amp;" | Deposit "&amp;TEXT(IFERROR(INDEX('Challan Master'!$D$4:$D$207,MATCH($B9,'Challan Master'!$S$4:$S$207,0)),""),"dd-mm-yyyy")&amp;" | Minor Head "&amp;IFERROR(INDEX('Challan Master'!$E$4:$E$207,MATCH($B9,'Challan Master'!$S$4:$S$207,0)),"")&amp;" | Tax ₹"&amp;TEXT(IFERROR(INDEX('Challan Master'!$G$4:$G$207,MATCH($B9,'Challan Master'!$S$4:$S$207,0)),""),"#,##0")&amp;" | Section "&amp;IFERROR(INDEX('Challan Master'!$F$4:$F$207,MATCH($B9,'Challan Master'!$S$4:$S$207,0)),""))</f>
      </c>
      <c r="D9" s="8"/>
      <c r="E9" s="8"/>
      <c r="F9" s="7">
        <f>IF($D9="","",IF(AND(LEN(TRIM(UPPER(E9)))=10,CODE(MID(TRIM(UPPER(E9)),1,1))&gt;=65,CODE(MID(TRIM(UPPER(E9)),1,1))&lt;=90,CODE(MID(TRIM(UPPER(E9)),2,1))&gt;=65,CODE(MID(TRIM(UPPER(E9)),2,1))&lt;=90,CODE(MID(TRIM(UPPER(E9)),3,1))&gt;=65,CODE(MID(TRIM(UPPER(E9)),3,1))&lt;=90,CODE(MID(TRIM(UPPER(E9)),4,1))&gt;=65,CODE(MID(TRIM(UPPER(E9)),4,1))&lt;=90,CODE(MID(TRIM(UPPER(E9)),5,1))&gt;=65,CODE(MID(TRIM(UPPER(E9)),5,1))&lt;=90,CODE(MID(TRIM(UPPER(E9)),10,1))&gt;=65,CODE(MID(TRIM(UPPER(E9)),10,1))&lt;=90,CODE(MID(TRIM(UPPER(E9)),6,1))&gt;=48,CODE(MID(TRIM(UPPER(E9)),6,1))&lt;=57,CODE(MID(TRIM(UPPER(E9)),7,1))&gt;=48,CODE(MID(TRIM(UPPER(E9)),7,1))&lt;=57,CODE(MID(TRIM(UPPER(E9)),8,1))&gt;=48,CODE(MID(TRIM(UPPER(E9)),8,1))&lt;=57,CODE(MID(TRIM(UPPER(E9)),9,1))&gt;=48,CODE(MID(TRIM(UPPER(E9)),9,1))&lt;=57),"N","Y"))</f>
      </c>
      <c r="G9" s="7">
        <f>IF($D9="","",IF(LEN(E9)&lt;4,"",IF(UPPER(MID(E9,4,1))="P","Individual",IF(UPPER(MID(E9,4,1))="H","HUF",IF(UPPER(MID(E9,4,1))="C","Company",IF(UPPER(MID(E9,4,1))="F","Firm",IF(UPPER(MID(E9,4,1))="L","LLP",IF(UPPER(MID(E9,4,1))="T","Trust",IF(UPPER(MID(E9,4,1))="A","AOP","")))))))))</f>
      </c>
      <c r="H9" s="8"/>
      <c r="I9" s="7">
        <f>IF($D9="","",IF(H9="","",IF(F9="Y",SUMPRODUCT(('Rate Lookup'!$A$1:$A$37=H9)*'Rate Lookup'!$D$1:$D$37),IF(OR(G9="Individual",G9="HUF"),SUMPRODUCT(('Rate Lookup'!$A$1:$A$37=H9)*'Rate Lookup'!$B$1:$B$37),SUMPRODUCT(('Rate Lookup'!$A$1:$A$37=H9)*'Rate Lookup'!$C$1:$C$37)))))</f>
      </c>
      <c r="J9" s="8"/>
      <c r="K9" s="8"/>
      <c r="L9" s="7">
        <f>IF($D9="","",ROUND(K9*I9/100,0))</f>
      </c>
      <c r="M9" s="7">
        <f>IF($D9="","",0)</f>
      </c>
      <c r="N9" s="7">
        <f>IF($D9="","",0)</f>
      </c>
      <c r="O9" s="7">
        <f>IF($D9="","",IF(OR(L9=0,J9="",IFERROR(INDEX('Challan Master'!$D$4:$D$207,MATCH($B9,'Challan Master'!$S$4:$S$207,0)),"")="",IFERROR(INDEX('Challan Master'!$D$4:$D$207,MATCH($B9,'Challan Master'!$S$4:$S$207,0)),"")&lt;=0),0,IF(IFERROR(INDEX('Challan Master'!$D$4:$D$207,MATCH($B9,'Challan Master'!$S$4:$S$207,0)),"")&lt;=DATE(YEAR(J9),MONTH(J9)+1,7),0,ROUND(L9*0.015*((YEAR(IFERROR(INDEX('Challan Master'!$D$4:$D$207,MATCH($B9,'Challan Master'!$S$4:$S$207,0)),""))-YEAR(J9))*12+(MONTH(IFERROR(INDEX('Challan Master'!$D$4:$D$207,MATCH($B9,'Challan Master'!$S$4:$S$207,0)),""))-MONTH(J9))+1),0))))</f>
      </c>
      <c r="P9" s="7">
        <f>IF($D9="","",0)</f>
      </c>
      <c r="Q9" s="8"/>
      <c r="R9" s="8"/>
      <c r="S9" s="8"/>
      <c r="T9" s="8"/>
      <c r="U9" s="8"/>
      <c r="V9" s="7">
        <f>IF($B9="","",IFERROR(INDEX('Challan Master'!$AA$4:$AA$207,MATCH($B9,'Challan Master'!$S$4:$S$207,0)),""))</f>
      </c>
    </row>
    <row r="10" spans="1:22" x14ac:dyDescent="0.25">
      <c r="A10" s="7">
        <f>IF($D10="","",COUNTIF($D$4:$D10,"&lt;&gt;"))</f>
      </c>
      <c r="B10" s="8"/>
      <c r="C10" s="7">
        <f>IF($B10="","","BSR "&amp;IFERROR(INDEX('Challan Master'!$B$4:$B$207,MATCH($B10,'Challan Master'!$S$4:$S$207,0)),"")&amp;" | Serial "&amp;IFERROR(INDEX('Challan Master'!$C$4:$C$207,MATCH($B10,'Challan Master'!$S$4:$S$207,0)),"")&amp;" | Deposit "&amp;TEXT(IFERROR(INDEX('Challan Master'!$D$4:$D$207,MATCH($B10,'Challan Master'!$S$4:$S$207,0)),""),"dd-mm-yyyy")&amp;" | Minor Head "&amp;IFERROR(INDEX('Challan Master'!$E$4:$E$207,MATCH($B10,'Challan Master'!$S$4:$S$207,0)),"")&amp;" | Tax ₹"&amp;TEXT(IFERROR(INDEX('Challan Master'!$G$4:$G$207,MATCH($B10,'Challan Master'!$S$4:$S$207,0)),""),"#,##0")&amp;" | Section "&amp;IFERROR(INDEX('Challan Master'!$F$4:$F$207,MATCH($B10,'Challan Master'!$S$4:$S$207,0)),""))</f>
      </c>
      <c r="D10" s="8"/>
      <c r="E10" s="8"/>
      <c r="F10" s="7">
        <f>IF($D10="","",IF(AND(LEN(TRIM(UPPER(E10)))=10,CODE(MID(TRIM(UPPER(E10)),1,1))&gt;=65,CODE(MID(TRIM(UPPER(E10)),1,1))&lt;=90,CODE(MID(TRIM(UPPER(E10)),2,1))&gt;=65,CODE(MID(TRIM(UPPER(E10)),2,1))&lt;=90,CODE(MID(TRIM(UPPER(E10)),3,1))&gt;=65,CODE(MID(TRIM(UPPER(E10)),3,1))&lt;=90,CODE(MID(TRIM(UPPER(E10)),4,1))&gt;=65,CODE(MID(TRIM(UPPER(E10)),4,1))&lt;=90,CODE(MID(TRIM(UPPER(E10)),5,1))&gt;=65,CODE(MID(TRIM(UPPER(E10)),5,1))&lt;=90,CODE(MID(TRIM(UPPER(E10)),10,1))&gt;=65,CODE(MID(TRIM(UPPER(E10)),10,1))&lt;=90,CODE(MID(TRIM(UPPER(E10)),6,1))&gt;=48,CODE(MID(TRIM(UPPER(E10)),6,1))&lt;=57,CODE(MID(TRIM(UPPER(E10)),7,1))&gt;=48,CODE(MID(TRIM(UPPER(E10)),7,1))&lt;=57,CODE(MID(TRIM(UPPER(E10)),8,1))&gt;=48,CODE(MID(TRIM(UPPER(E10)),8,1))&lt;=57,CODE(MID(TRIM(UPPER(E10)),9,1))&gt;=48,CODE(MID(TRIM(UPPER(E10)),9,1))&lt;=57),"N","Y"))</f>
      </c>
      <c r="G10" s="7">
        <f>IF($D10="","",IF(LEN(E10)&lt;4,"",IF(UPPER(MID(E10,4,1))="P","Individual",IF(UPPER(MID(E10,4,1))="H","HUF",IF(UPPER(MID(E10,4,1))="C","Company",IF(UPPER(MID(E10,4,1))="F","Firm",IF(UPPER(MID(E10,4,1))="L","LLP",IF(UPPER(MID(E10,4,1))="T","Trust",IF(UPPER(MID(E10,4,1))="A","AOP","")))))))))</f>
      </c>
      <c r="H10" s="8"/>
      <c r="I10" s="7">
        <f>IF($D10="","",IF(H10="","",IF(F10="Y",SUMPRODUCT(('Rate Lookup'!$A$1:$A$37=H10)*'Rate Lookup'!$D$1:$D$37),IF(OR(G10="Individual",G10="HUF"),SUMPRODUCT(('Rate Lookup'!$A$1:$A$37=H10)*'Rate Lookup'!$B$1:$B$37),SUMPRODUCT(('Rate Lookup'!$A$1:$A$37=H10)*'Rate Lookup'!$C$1:$C$37)))))</f>
      </c>
      <c r="J10" s="8"/>
      <c r="K10" s="8"/>
      <c r="L10" s="7">
        <f>IF($D10="","",ROUND(K10*I10/100,0))</f>
      </c>
      <c r="M10" s="7">
        <f>IF($D10="","",0)</f>
      </c>
      <c r="N10" s="7">
        <f>IF($D10="","",0)</f>
      </c>
      <c r="O10" s="7">
        <f>IF($D10="","",IF(OR(L10=0,J10="",IFERROR(INDEX('Challan Master'!$D$4:$D$207,MATCH($B10,'Challan Master'!$S$4:$S$207,0)),"")="",IFERROR(INDEX('Challan Master'!$D$4:$D$207,MATCH($B10,'Challan Master'!$S$4:$S$207,0)),"")&lt;=0),0,IF(IFERROR(INDEX('Challan Master'!$D$4:$D$207,MATCH($B10,'Challan Master'!$S$4:$S$207,0)),"")&lt;=DATE(YEAR(J10),MONTH(J10)+1,7),0,ROUND(L10*0.015*((YEAR(IFERROR(INDEX('Challan Master'!$D$4:$D$207,MATCH($B10,'Challan Master'!$S$4:$S$207,0)),""))-YEAR(J10))*12+(MONTH(IFERROR(INDEX('Challan Master'!$D$4:$D$207,MATCH($B10,'Challan Master'!$S$4:$S$207,0)),""))-MONTH(J10))+1),0))))</f>
      </c>
      <c r="P10" s="7">
        <f>IF($D10="","",0)</f>
      </c>
      <c r="Q10" s="8"/>
      <c r="R10" s="8"/>
      <c r="S10" s="8"/>
      <c r="T10" s="8"/>
      <c r="U10" s="8"/>
      <c r="V10" s="7">
        <f>IF($B10="","",IFERROR(INDEX('Challan Master'!$AA$4:$AA$207,MATCH($B10,'Challan Master'!$S$4:$S$207,0)),""))</f>
      </c>
    </row>
    <row r="11" spans="1:22" x14ac:dyDescent="0.25">
      <c r="A11" s="7">
        <f>IF($D11="","",COUNTIF($D$4:$D11,"&lt;&gt;"))</f>
      </c>
      <c r="B11" s="8"/>
      <c r="C11" s="7">
        <f>IF($B11="","","BSR "&amp;IFERROR(INDEX('Challan Master'!$B$4:$B$207,MATCH($B11,'Challan Master'!$S$4:$S$207,0)),"")&amp;" | Serial "&amp;IFERROR(INDEX('Challan Master'!$C$4:$C$207,MATCH($B11,'Challan Master'!$S$4:$S$207,0)),"")&amp;" | Deposit "&amp;TEXT(IFERROR(INDEX('Challan Master'!$D$4:$D$207,MATCH($B11,'Challan Master'!$S$4:$S$207,0)),""),"dd-mm-yyyy")&amp;" | Minor Head "&amp;IFERROR(INDEX('Challan Master'!$E$4:$E$207,MATCH($B11,'Challan Master'!$S$4:$S$207,0)),"")&amp;" | Tax ₹"&amp;TEXT(IFERROR(INDEX('Challan Master'!$G$4:$G$207,MATCH($B11,'Challan Master'!$S$4:$S$207,0)),""),"#,##0")&amp;" | Section "&amp;IFERROR(INDEX('Challan Master'!$F$4:$F$207,MATCH($B11,'Challan Master'!$S$4:$S$207,0)),""))</f>
      </c>
      <c r="D11" s="8"/>
      <c r="E11" s="8"/>
      <c r="F11" s="7">
        <f>IF($D11="","",IF(AND(LEN(TRIM(UPPER(E11)))=10,CODE(MID(TRIM(UPPER(E11)),1,1))&gt;=65,CODE(MID(TRIM(UPPER(E11)),1,1))&lt;=90,CODE(MID(TRIM(UPPER(E11)),2,1))&gt;=65,CODE(MID(TRIM(UPPER(E11)),2,1))&lt;=90,CODE(MID(TRIM(UPPER(E11)),3,1))&gt;=65,CODE(MID(TRIM(UPPER(E11)),3,1))&lt;=90,CODE(MID(TRIM(UPPER(E11)),4,1))&gt;=65,CODE(MID(TRIM(UPPER(E11)),4,1))&lt;=90,CODE(MID(TRIM(UPPER(E11)),5,1))&gt;=65,CODE(MID(TRIM(UPPER(E11)),5,1))&lt;=90,CODE(MID(TRIM(UPPER(E11)),10,1))&gt;=65,CODE(MID(TRIM(UPPER(E11)),10,1))&lt;=90,CODE(MID(TRIM(UPPER(E11)),6,1))&gt;=48,CODE(MID(TRIM(UPPER(E11)),6,1))&lt;=57,CODE(MID(TRIM(UPPER(E11)),7,1))&gt;=48,CODE(MID(TRIM(UPPER(E11)),7,1))&lt;=57,CODE(MID(TRIM(UPPER(E11)),8,1))&gt;=48,CODE(MID(TRIM(UPPER(E11)),8,1))&lt;=57,CODE(MID(TRIM(UPPER(E11)),9,1))&gt;=48,CODE(MID(TRIM(UPPER(E11)),9,1))&lt;=57),"N","Y"))</f>
      </c>
      <c r="G11" s="7">
        <f>IF($D11="","",IF(LEN(E11)&lt;4,"",IF(UPPER(MID(E11,4,1))="P","Individual",IF(UPPER(MID(E11,4,1))="H","HUF",IF(UPPER(MID(E11,4,1))="C","Company",IF(UPPER(MID(E11,4,1))="F","Firm",IF(UPPER(MID(E11,4,1))="L","LLP",IF(UPPER(MID(E11,4,1))="T","Trust",IF(UPPER(MID(E11,4,1))="A","AOP","")))))))))</f>
      </c>
      <c r="H11" s="8"/>
      <c r="I11" s="7">
        <f>IF($D11="","",IF(H11="","",IF(F11="Y",SUMPRODUCT(('Rate Lookup'!$A$1:$A$37=H11)*'Rate Lookup'!$D$1:$D$37),IF(OR(G11="Individual",G11="HUF"),SUMPRODUCT(('Rate Lookup'!$A$1:$A$37=H11)*'Rate Lookup'!$B$1:$B$37),SUMPRODUCT(('Rate Lookup'!$A$1:$A$37=H11)*'Rate Lookup'!$C$1:$C$37)))))</f>
      </c>
      <c r="J11" s="8"/>
      <c r="K11" s="8"/>
      <c r="L11" s="7">
        <f>IF($D11="","",ROUND(K11*I11/100,0))</f>
      </c>
      <c r="M11" s="7">
        <f>IF($D11="","",0)</f>
      </c>
      <c r="N11" s="7">
        <f>IF($D11="","",0)</f>
      </c>
      <c r="O11" s="7">
        <f>IF($D11="","",IF(OR(L11=0,J11="",IFERROR(INDEX('Challan Master'!$D$4:$D$207,MATCH($B11,'Challan Master'!$S$4:$S$207,0)),"")="",IFERROR(INDEX('Challan Master'!$D$4:$D$207,MATCH($B11,'Challan Master'!$S$4:$S$207,0)),"")&lt;=0),0,IF(IFERROR(INDEX('Challan Master'!$D$4:$D$207,MATCH($B11,'Challan Master'!$S$4:$S$207,0)),"")&lt;=DATE(YEAR(J11),MONTH(J11)+1,7),0,ROUND(L11*0.015*((YEAR(IFERROR(INDEX('Challan Master'!$D$4:$D$207,MATCH($B11,'Challan Master'!$S$4:$S$207,0)),""))-YEAR(J11))*12+(MONTH(IFERROR(INDEX('Challan Master'!$D$4:$D$207,MATCH($B11,'Challan Master'!$S$4:$S$207,0)),""))-MONTH(J11))+1),0))))</f>
      </c>
      <c r="P11" s="7">
        <f>IF($D11="","",0)</f>
      </c>
      <c r="Q11" s="8"/>
      <c r="R11" s="8"/>
      <c r="S11" s="8"/>
      <c r="T11" s="8"/>
      <c r="U11" s="8"/>
      <c r="V11" s="7">
        <f>IF($B11="","",IFERROR(INDEX('Challan Master'!$AA$4:$AA$207,MATCH($B11,'Challan Master'!$S$4:$S$207,0)),""))</f>
      </c>
    </row>
    <row r="12" spans="1:22" x14ac:dyDescent="0.25">
      <c r="A12" s="7">
        <f>IF($D12="","",COUNTIF($D$4:$D12,"&lt;&gt;"))</f>
      </c>
      <c r="B12" s="8"/>
      <c r="C12" s="7">
        <f>IF($B12="","","BSR "&amp;IFERROR(INDEX('Challan Master'!$B$4:$B$207,MATCH($B12,'Challan Master'!$S$4:$S$207,0)),"")&amp;" | Serial "&amp;IFERROR(INDEX('Challan Master'!$C$4:$C$207,MATCH($B12,'Challan Master'!$S$4:$S$207,0)),"")&amp;" | Deposit "&amp;TEXT(IFERROR(INDEX('Challan Master'!$D$4:$D$207,MATCH($B12,'Challan Master'!$S$4:$S$207,0)),""),"dd-mm-yyyy")&amp;" | Minor Head "&amp;IFERROR(INDEX('Challan Master'!$E$4:$E$207,MATCH($B12,'Challan Master'!$S$4:$S$207,0)),"")&amp;" | Tax ₹"&amp;TEXT(IFERROR(INDEX('Challan Master'!$G$4:$G$207,MATCH($B12,'Challan Master'!$S$4:$S$207,0)),""),"#,##0")&amp;" | Section "&amp;IFERROR(INDEX('Challan Master'!$F$4:$F$207,MATCH($B12,'Challan Master'!$S$4:$S$207,0)),""))</f>
      </c>
      <c r="D12" s="8"/>
      <c r="E12" s="8"/>
      <c r="F12" s="7">
        <f>IF($D12="","",IF(AND(LEN(TRIM(UPPER(E12)))=10,CODE(MID(TRIM(UPPER(E12)),1,1))&gt;=65,CODE(MID(TRIM(UPPER(E12)),1,1))&lt;=90,CODE(MID(TRIM(UPPER(E12)),2,1))&gt;=65,CODE(MID(TRIM(UPPER(E12)),2,1))&lt;=90,CODE(MID(TRIM(UPPER(E12)),3,1))&gt;=65,CODE(MID(TRIM(UPPER(E12)),3,1))&lt;=90,CODE(MID(TRIM(UPPER(E12)),4,1))&gt;=65,CODE(MID(TRIM(UPPER(E12)),4,1))&lt;=90,CODE(MID(TRIM(UPPER(E12)),5,1))&gt;=65,CODE(MID(TRIM(UPPER(E12)),5,1))&lt;=90,CODE(MID(TRIM(UPPER(E12)),10,1))&gt;=65,CODE(MID(TRIM(UPPER(E12)),10,1))&lt;=90,CODE(MID(TRIM(UPPER(E12)),6,1))&gt;=48,CODE(MID(TRIM(UPPER(E12)),6,1))&lt;=57,CODE(MID(TRIM(UPPER(E12)),7,1))&gt;=48,CODE(MID(TRIM(UPPER(E12)),7,1))&lt;=57,CODE(MID(TRIM(UPPER(E12)),8,1))&gt;=48,CODE(MID(TRIM(UPPER(E12)),8,1))&lt;=57,CODE(MID(TRIM(UPPER(E12)),9,1))&gt;=48,CODE(MID(TRIM(UPPER(E12)),9,1))&lt;=57),"N","Y"))</f>
      </c>
      <c r="G12" s="7">
        <f>IF($D12="","",IF(LEN(E12)&lt;4,"",IF(UPPER(MID(E12,4,1))="P","Individual",IF(UPPER(MID(E12,4,1))="H","HUF",IF(UPPER(MID(E12,4,1))="C","Company",IF(UPPER(MID(E12,4,1))="F","Firm",IF(UPPER(MID(E12,4,1))="L","LLP",IF(UPPER(MID(E12,4,1))="T","Trust",IF(UPPER(MID(E12,4,1))="A","AOP","")))))))))</f>
      </c>
      <c r="H12" s="8"/>
      <c r="I12" s="7">
        <f>IF($D12="","",IF(H12="","",IF(F12="Y",SUMPRODUCT(('Rate Lookup'!$A$1:$A$37=H12)*'Rate Lookup'!$D$1:$D$37),IF(OR(G12="Individual",G12="HUF"),SUMPRODUCT(('Rate Lookup'!$A$1:$A$37=H12)*'Rate Lookup'!$B$1:$B$37),SUMPRODUCT(('Rate Lookup'!$A$1:$A$37=H12)*'Rate Lookup'!$C$1:$C$37)))))</f>
      </c>
      <c r="J12" s="8"/>
      <c r="K12" s="8"/>
      <c r="L12" s="7">
        <f>IF($D12="","",ROUND(K12*I12/100,0))</f>
      </c>
      <c r="M12" s="7">
        <f>IF($D12="","",0)</f>
      </c>
      <c r="N12" s="7">
        <f>IF($D12="","",0)</f>
      </c>
      <c r="O12" s="7">
        <f>IF($D12="","",IF(OR(L12=0,J12="",IFERROR(INDEX('Challan Master'!$D$4:$D$207,MATCH($B12,'Challan Master'!$S$4:$S$207,0)),"")="",IFERROR(INDEX('Challan Master'!$D$4:$D$207,MATCH($B12,'Challan Master'!$S$4:$S$207,0)),"")&lt;=0),0,IF(IFERROR(INDEX('Challan Master'!$D$4:$D$207,MATCH($B12,'Challan Master'!$S$4:$S$207,0)),"")&lt;=DATE(YEAR(J12),MONTH(J12)+1,7),0,ROUND(L12*0.015*((YEAR(IFERROR(INDEX('Challan Master'!$D$4:$D$207,MATCH($B12,'Challan Master'!$S$4:$S$207,0)),""))-YEAR(J12))*12+(MONTH(IFERROR(INDEX('Challan Master'!$D$4:$D$207,MATCH($B12,'Challan Master'!$S$4:$S$207,0)),""))-MONTH(J12))+1),0))))</f>
      </c>
      <c r="P12" s="7">
        <f>IF($D12="","",0)</f>
      </c>
      <c r="Q12" s="8"/>
      <c r="R12" s="8"/>
      <c r="S12" s="8"/>
      <c r="T12" s="8"/>
      <c r="U12" s="8"/>
      <c r="V12" s="7">
        <f>IF($B12="","",IFERROR(INDEX('Challan Master'!$AA$4:$AA$207,MATCH($B12,'Challan Master'!$S$4:$S$207,0)),""))</f>
      </c>
    </row>
    <row r="13" spans="1:22" x14ac:dyDescent="0.25">
      <c r="A13" s="7">
        <f>IF($D13="","",COUNTIF($D$4:$D13,"&lt;&gt;"))</f>
      </c>
      <c r="B13" s="8"/>
      <c r="C13" s="7">
        <f>IF($B13="","","BSR "&amp;IFERROR(INDEX('Challan Master'!$B$4:$B$207,MATCH($B13,'Challan Master'!$S$4:$S$207,0)),"")&amp;" | Serial "&amp;IFERROR(INDEX('Challan Master'!$C$4:$C$207,MATCH($B13,'Challan Master'!$S$4:$S$207,0)),"")&amp;" | Deposit "&amp;TEXT(IFERROR(INDEX('Challan Master'!$D$4:$D$207,MATCH($B13,'Challan Master'!$S$4:$S$207,0)),""),"dd-mm-yyyy")&amp;" | Minor Head "&amp;IFERROR(INDEX('Challan Master'!$E$4:$E$207,MATCH($B13,'Challan Master'!$S$4:$S$207,0)),"")&amp;" | Tax ₹"&amp;TEXT(IFERROR(INDEX('Challan Master'!$G$4:$G$207,MATCH($B13,'Challan Master'!$S$4:$S$207,0)),""),"#,##0")&amp;" | Section "&amp;IFERROR(INDEX('Challan Master'!$F$4:$F$207,MATCH($B13,'Challan Master'!$S$4:$S$207,0)),""))</f>
      </c>
      <c r="D13" s="8"/>
      <c r="E13" s="8"/>
      <c r="F13" s="7">
        <f>IF($D13="","",IF(AND(LEN(TRIM(UPPER(E13)))=10,CODE(MID(TRIM(UPPER(E13)),1,1))&gt;=65,CODE(MID(TRIM(UPPER(E13)),1,1))&lt;=90,CODE(MID(TRIM(UPPER(E13)),2,1))&gt;=65,CODE(MID(TRIM(UPPER(E13)),2,1))&lt;=90,CODE(MID(TRIM(UPPER(E13)),3,1))&gt;=65,CODE(MID(TRIM(UPPER(E13)),3,1))&lt;=90,CODE(MID(TRIM(UPPER(E13)),4,1))&gt;=65,CODE(MID(TRIM(UPPER(E13)),4,1))&lt;=90,CODE(MID(TRIM(UPPER(E13)),5,1))&gt;=65,CODE(MID(TRIM(UPPER(E13)),5,1))&lt;=90,CODE(MID(TRIM(UPPER(E13)),10,1))&gt;=65,CODE(MID(TRIM(UPPER(E13)),10,1))&lt;=90,CODE(MID(TRIM(UPPER(E13)),6,1))&gt;=48,CODE(MID(TRIM(UPPER(E13)),6,1))&lt;=57,CODE(MID(TRIM(UPPER(E13)),7,1))&gt;=48,CODE(MID(TRIM(UPPER(E13)),7,1))&lt;=57,CODE(MID(TRIM(UPPER(E13)),8,1))&gt;=48,CODE(MID(TRIM(UPPER(E13)),8,1))&lt;=57,CODE(MID(TRIM(UPPER(E13)),9,1))&gt;=48,CODE(MID(TRIM(UPPER(E13)),9,1))&lt;=57),"N","Y"))</f>
      </c>
      <c r="G13" s="7">
        <f>IF($D13="","",IF(LEN(E13)&lt;4,"",IF(UPPER(MID(E13,4,1))="P","Individual",IF(UPPER(MID(E13,4,1))="H","HUF",IF(UPPER(MID(E13,4,1))="C","Company",IF(UPPER(MID(E13,4,1))="F","Firm",IF(UPPER(MID(E13,4,1))="L","LLP",IF(UPPER(MID(E13,4,1))="T","Trust",IF(UPPER(MID(E13,4,1))="A","AOP","")))))))))</f>
      </c>
      <c r="H13" s="8"/>
      <c r="I13" s="7">
        <f>IF($D13="","",IF(H13="","",IF(F13="Y",SUMPRODUCT(('Rate Lookup'!$A$1:$A$37=H13)*'Rate Lookup'!$D$1:$D$37),IF(OR(G13="Individual",G13="HUF"),SUMPRODUCT(('Rate Lookup'!$A$1:$A$37=H13)*'Rate Lookup'!$B$1:$B$37),SUMPRODUCT(('Rate Lookup'!$A$1:$A$37=H13)*'Rate Lookup'!$C$1:$C$37)))))</f>
      </c>
      <c r="J13" s="8"/>
      <c r="K13" s="8"/>
      <c r="L13" s="7">
        <f>IF($D13="","",ROUND(K13*I13/100,0))</f>
      </c>
      <c r="M13" s="7">
        <f>IF($D13="","",0)</f>
      </c>
      <c r="N13" s="7">
        <f>IF($D13="","",0)</f>
      </c>
      <c r="O13" s="7">
        <f>IF($D13="","",IF(OR(L13=0,J13="",IFERROR(INDEX('Challan Master'!$D$4:$D$207,MATCH($B13,'Challan Master'!$S$4:$S$207,0)),"")="",IFERROR(INDEX('Challan Master'!$D$4:$D$207,MATCH($B13,'Challan Master'!$S$4:$S$207,0)),"")&lt;=0),0,IF(IFERROR(INDEX('Challan Master'!$D$4:$D$207,MATCH($B13,'Challan Master'!$S$4:$S$207,0)),"")&lt;=DATE(YEAR(J13),MONTH(J13)+1,7),0,ROUND(L13*0.015*((YEAR(IFERROR(INDEX('Challan Master'!$D$4:$D$207,MATCH($B13,'Challan Master'!$S$4:$S$207,0)),""))-YEAR(J13))*12+(MONTH(IFERROR(INDEX('Challan Master'!$D$4:$D$207,MATCH($B13,'Challan Master'!$S$4:$S$207,0)),""))-MONTH(J13))+1),0))))</f>
      </c>
      <c r="P13" s="7">
        <f>IF($D13="","",0)</f>
      </c>
      <c r="Q13" s="8"/>
      <c r="R13" s="8"/>
      <c r="S13" s="8"/>
      <c r="T13" s="8"/>
      <c r="U13" s="8"/>
      <c r="V13" s="7">
        <f>IF($B13="","",IFERROR(INDEX('Challan Master'!$AA$4:$AA$207,MATCH($B13,'Challan Master'!$S$4:$S$207,0)),""))</f>
      </c>
    </row>
    <row r="14" spans="1:22" x14ac:dyDescent="0.25">
      <c r="A14" s="7">
        <f>IF($D14="","",COUNTIF($D$4:$D14,"&lt;&gt;"))</f>
      </c>
      <c r="B14" s="8"/>
      <c r="C14" s="7">
        <f>IF($B14="","","BSR "&amp;IFERROR(INDEX('Challan Master'!$B$4:$B$207,MATCH($B14,'Challan Master'!$S$4:$S$207,0)),"")&amp;" | Serial "&amp;IFERROR(INDEX('Challan Master'!$C$4:$C$207,MATCH($B14,'Challan Master'!$S$4:$S$207,0)),"")&amp;" | Deposit "&amp;TEXT(IFERROR(INDEX('Challan Master'!$D$4:$D$207,MATCH($B14,'Challan Master'!$S$4:$S$207,0)),""),"dd-mm-yyyy")&amp;" | Minor Head "&amp;IFERROR(INDEX('Challan Master'!$E$4:$E$207,MATCH($B14,'Challan Master'!$S$4:$S$207,0)),"")&amp;" | Tax ₹"&amp;TEXT(IFERROR(INDEX('Challan Master'!$G$4:$G$207,MATCH($B14,'Challan Master'!$S$4:$S$207,0)),""),"#,##0")&amp;" | Section "&amp;IFERROR(INDEX('Challan Master'!$F$4:$F$207,MATCH($B14,'Challan Master'!$S$4:$S$207,0)),""))</f>
      </c>
      <c r="D14" s="8"/>
      <c r="E14" s="8"/>
      <c r="F14" s="7">
        <f>IF($D14="","",IF(AND(LEN(TRIM(UPPER(E14)))=10,CODE(MID(TRIM(UPPER(E14)),1,1))&gt;=65,CODE(MID(TRIM(UPPER(E14)),1,1))&lt;=90,CODE(MID(TRIM(UPPER(E14)),2,1))&gt;=65,CODE(MID(TRIM(UPPER(E14)),2,1))&lt;=90,CODE(MID(TRIM(UPPER(E14)),3,1))&gt;=65,CODE(MID(TRIM(UPPER(E14)),3,1))&lt;=90,CODE(MID(TRIM(UPPER(E14)),4,1))&gt;=65,CODE(MID(TRIM(UPPER(E14)),4,1))&lt;=90,CODE(MID(TRIM(UPPER(E14)),5,1))&gt;=65,CODE(MID(TRIM(UPPER(E14)),5,1))&lt;=90,CODE(MID(TRIM(UPPER(E14)),10,1))&gt;=65,CODE(MID(TRIM(UPPER(E14)),10,1))&lt;=90,CODE(MID(TRIM(UPPER(E14)),6,1))&gt;=48,CODE(MID(TRIM(UPPER(E14)),6,1))&lt;=57,CODE(MID(TRIM(UPPER(E14)),7,1))&gt;=48,CODE(MID(TRIM(UPPER(E14)),7,1))&lt;=57,CODE(MID(TRIM(UPPER(E14)),8,1))&gt;=48,CODE(MID(TRIM(UPPER(E14)),8,1))&lt;=57,CODE(MID(TRIM(UPPER(E14)),9,1))&gt;=48,CODE(MID(TRIM(UPPER(E14)),9,1))&lt;=57),"N","Y"))</f>
      </c>
      <c r="G14" s="7">
        <f>IF($D14="","",IF(LEN(E14)&lt;4,"",IF(UPPER(MID(E14,4,1))="P","Individual",IF(UPPER(MID(E14,4,1))="H","HUF",IF(UPPER(MID(E14,4,1))="C","Company",IF(UPPER(MID(E14,4,1))="F","Firm",IF(UPPER(MID(E14,4,1))="L","LLP",IF(UPPER(MID(E14,4,1))="T","Trust",IF(UPPER(MID(E14,4,1))="A","AOP","")))))))))</f>
      </c>
      <c r="H14" s="8"/>
      <c r="I14" s="7">
        <f>IF($D14="","",IF(H14="","",IF(F14="Y",SUMPRODUCT(('Rate Lookup'!$A$1:$A$37=H14)*'Rate Lookup'!$D$1:$D$37),IF(OR(G14="Individual",G14="HUF"),SUMPRODUCT(('Rate Lookup'!$A$1:$A$37=H14)*'Rate Lookup'!$B$1:$B$37),SUMPRODUCT(('Rate Lookup'!$A$1:$A$37=H14)*'Rate Lookup'!$C$1:$C$37)))))</f>
      </c>
      <c r="J14" s="8"/>
      <c r="K14" s="8"/>
      <c r="L14" s="7">
        <f>IF($D14="","",ROUND(K14*I14/100,0))</f>
      </c>
      <c r="M14" s="7">
        <f>IF($D14="","",0)</f>
      </c>
      <c r="N14" s="7">
        <f>IF($D14="","",0)</f>
      </c>
      <c r="O14" s="7">
        <f>IF($D14="","",IF(OR(L14=0,J14="",IFERROR(INDEX('Challan Master'!$D$4:$D$207,MATCH($B14,'Challan Master'!$S$4:$S$207,0)),"")="",IFERROR(INDEX('Challan Master'!$D$4:$D$207,MATCH($B14,'Challan Master'!$S$4:$S$207,0)),"")&lt;=0),0,IF(IFERROR(INDEX('Challan Master'!$D$4:$D$207,MATCH($B14,'Challan Master'!$S$4:$S$207,0)),"")&lt;=DATE(YEAR(J14),MONTH(J14)+1,7),0,ROUND(L14*0.015*((YEAR(IFERROR(INDEX('Challan Master'!$D$4:$D$207,MATCH($B14,'Challan Master'!$S$4:$S$207,0)),""))-YEAR(J14))*12+(MONTH(IFERROR(INDEX('Challan Master'!$D$4:$D$207,MATCH($B14,'Challan Master'!$S$4:$S$207,0)),""))-MONTH(J14))+1),0))))</f>
      </c>
      <c r="P14" s="7">
        <f>IF($D14="","",0)</f>
      </c>
      <c r="Q14" s="8"/>
      <c r="R14" s="8"/>
      <c r="S14" s="8"/>
      <c r="T14" s="8"/>
      <c r="U14" s="8"/>
      <c r="V14" s="7">
        <f>IF($B14="","",IFERROR(INDEX('Challan Master'!$AA$4:$AA$207,MATCH($B14,'Challan Master'!$S$4:$S$207,0)),""))</f>
      </c>
    </row>
    <row r="15" spans="1:22" x14ac:dyDescent="0.25">
      <c r="A15" s="7">
        <f>IF($D15="","",COUNTIF($D$4:$D15,"&lt;&gt;"))</f>
      </c>
      <c r="B15" s="8"/>
      <c r="C15" s="7">
        <f>IF($B15="","","BSR "&amp;IFERROR(INDEX('Challan Master'!$B$4:$B$207,MATCH($B15,'Challan Master'!$S$4:$S$207,0)),"")&amp;" | Serial "&amp;IFERROR(INDEX('Challan Master'!$C$4:$C$207,MATCH($B15,'Challan Master'!$S$4:$S$207,0)),"")&amp;" | Deposit "&amp;TEXT(IFERROR(INDEX('Challan Master'!$D$4:$D$207,MATCH($B15,'Challan Master'!$S$4:$S$207,0)),""),"dd-mm-yyyy")&amp;" | Minor Head "&amp;IFERROR(INDEX('Challan Master'!$E$4:$E$207,MATCH($B15,'Challan Master'!$S$4:$S$207,0)),"")&amp;" | Tax ₹"&amp;TEXT(IFERROR(INDEX('Challan Master'!$G$4:$G$207,MATCH($B15,'Challan Master'!$S$4:$S$207,0)),""),"#,##0")&amp;" | Section "&amp;IFERROR(INDEX('Challan Master'!$F$4:$F$207,MATCH($B15,'Challan Master'!$S$4:$S$207,0)),""))</f>
      </c>
      <c r="D15" s="8"/>
      <c r="E15" s="8"/>
      <c r="F15" s="7">
        <f>IF($D15="","",IF(AND(LEN(TRIM(UPPER(E15)))=10,CODE(MID(TRIM(UPPER(E15)),1,1))&gt;=65,CODE(MID(TRIM(UPPER(E15)),1,1))&lt;=90,CODE(MID(TRIM(UPPER(E15)),2,1))&gt;=65,CODE(MID(TRIM(UPPER(E15)),2,1))&lt;=90,CODE(MID(TRIM(UPPER(E15)),3,1))&gt;=65,CODE(MID(TRIM(UPPER(E15)),3,1))&lt;=90,CODE(MID(TRIM(UPPER(E15)),4,1))&gt;=65,CODE(MID(TRIM(UPPER(E15)),4,1))&lt;=90,CODE(MID(TRIM(UPPER(E15)),5,1))&gt;=65,CODE(MID(TRIM(UPPER(E15)),5,1))&lt;=90,CODE(MID(TRIM(UPPER(E15)),10,1))&gt;=65,CODE(MID(TRIM(UPPER(E15)),10,1))&lt;=90,CODE(MID(TRIM(UPPER(E15)),6,1))&gt;=48,CODE(MID(TRIM(UPPER(E15)),6,1))&lt;=57,CODE(MID(TRIM(UPPER(E15)),7,1))&gt;=48,CODE(MID(TRIM(UPPER(E15)),7,1))&lt;=57,CODE(MID(TRIM(UPPER(E15)),8,1))&gt;=48,CODE(MID(TRIM(UPPER(E15)),8,1))&lt;=57,CODE(MID(TRIM(UPPER(E15)),9,1))&gt;=48,CODE(MID(TRIM(UPPER(E15)),9,1))&lt;=57),"N","Y"))</f>
      </c>
      <c r="G15" s="7">
        <f>IF($D15="","",IF(LEN(E15)&lt;4,"",IF(UPPER(MID(E15,4,1))="P","Individual",IF(UPPER(MID(E15,4,1))="H","HUF",IF(UPPER(MID(E15,4,1))="C","Company",IF(UPPER(MID(E15,4,1))="F","Firm",IF(UPPER(MID(E15,4,1))="L","LLP",IF(UPPER(MID(E15,4,1))="T","Trust",IF(UPPER(MID(E15,4,1))="A","AOP","")))))))))</f>
      </c>
      <c r="H15" s="8"/>
      <c r="I15" s="7">
        <f>IF($D15="","",IF(H15="","",IF(F15="Y",SUMPRODUCT(('Rate Lookup'!$A$1:$A$37=H15)*'Rate Lookup'!$D$1:$D$37),IF(OR(G15="Individual",G15="HUF"),SUMPRODUCT(('Rate Lookup'!$A$1:$A$37=H15)*'Rate Lookup'!$B$1:$B$37),SUMPRODUCT(('Rate Lookup'!$A$1:$A$37=H15)*'Rate Lookup'!$C$1:$C$37)))))</f>
      </c>
      <c r="J15" s="8"/>
      <c r="K15" s="8"/>
      <c r="L15" s="7">
        <f>IF($D15="","",ROUND(K15*I15/100,0))</f>
      </c>
      <c r="M15" s="7">
        <f>IF($D15="","",0)</f>
      </c>
      <c r="N15" s="7">
        <f>IF($D15="","",0)</f>
      </c>
      <c r="O15" s="7">
        <f>IF($D15="","",IF(OR(L15=0,J15="",IFERROR(INDEX('Challan Master'!$D$4:$D$207,MATCH($B15,'Challan Master'!$S$4:$S$207,0)),"")="",IFERROR(INDEX('Challan Master'!$D$4:$D$207,MATCH($B15,'Challan Master'!$S$4:$S$207,0)),"")&lt;=0),0,IF(IFERROR(INDEX('Challan Master'!$D$4:$D$207,MATCH($B15,'Challan Master'!$S$4:$S$207,0)),"")&lt;=DATE(YEAR(J15),MONTH(J15)+1,7),0,ROUND(L15*0.015*((YEAR(IFERROR(INDEX('Challan Master'!$D$4:$D$207,MATCH($B15,'Challan Master'!$S$4:$S$207,0)),""))-YEAR(J15))*12+(MONTH(IFERROR(INDEX('Challan Master'!$D$4:$D$207,MATCH($B15,'Challan Master'!$S$4:$S$207,0)),""))-MONTH(J15))+1),0))))</f>
      </c>
      <c r="P15" s="7">
        <f>IF($D15="","",0)</f>
      </c>
      <c r="Q15" s="8"/>
      <c r="R15" s="8"/>
      <c r="S15" s="8"/>
      <c r="T15" s="8"/>
      <c r="U15" s="8"/>
      <c r="V15" s="7">
        <f>IF($B15="","",IFERROR(INDEX('Challan Master'!$AA$4:$AA$207,MATCH($B15,'Challan Master'!$S$4:$S$207,0)),""))</f>
      </c>
    </row>
    <row r="16" spans="1:22" x14ac:dyDescent="0.25">
      <c r="A16" s="7">
        <f>IF($D16="","",COUNTIF($D$4:$D16,"&lt;&gt;"))</f>
      </c>
      <c r="B16" s="8"/>
      <c r="C16" s="7">
        <f>IF($B16="","","BSR "&amp;IFERROR(INDEX('Challan Master'!$B$4:$B$207,MATCH($B16,'Challan Master'!$S$4:$S$207,0)),"")&amp;" | Serial "&amp;IFERROR(INDEX('Challan Master'!$C$4:$C$207,MATCH($B16,'Challan Master'!$S$4:$S$207,0)),"")&amp;" | Deposit "&amp;TEXT(IFERROR(INDEX('Challan Master'!$D$4:$D$207,MATCH($B16,'Challan Master'!$S$4:$S$207,0)),""),"dd-mm-yyyy")&amp;" | Minor Head "&amp;IFERROR(INDEX('Challan Master'!$E$4:$E$207,MATCH($B16,'Challan Master'!$S$4:$S$207,0)),"")&amp;" | Tax ₹"&amp;TEXT(IFERROR(INDEX('Challan Master'!$G$4:$G$207,MATCH($B16,'Challan Master'!$S$4:$S$207,0)),""),"#,##0")&amp;" | Section "&amp;IFERROR(INDEX('Challan Master'!$F$4:$F$207,MATCH($B16,'Challan Master'!$S$4:$S$207,0)),""))</f>
      </c>
      <c r="D16" s="8"/>
      <c r="E16" s="8"/>
      <c r="F16" s="7">
        <f>IF($D16="","",IF(AND(LEN(TRIM(UPPER(E16)))=10,CODE(MID(TRIM(UPPER(E16)),1,1))&gt;=65,CODE(MID(TRIM(UPPER(E16)),1,1))&lt;=90,CODE(MID(TRIM(UPPER(E16)),2,1))&gt;=65,CODE(MID(TRIM(UPPER(E16)),2,1))&lt;=90,CODE(MID(TRIM(UPPER(E16)),3,1))&gt;=65,CODE(MID(TRIM(UPPER(E16)),3,1))&lt;=90,CODE(MID(TRIM(UPPER(E16)),4,1))&gt;=65,CODE(MID(TRIM(UPPER(E16)),4,1))&lt;=90,CODE(MID(TRIM(UPPER(E16)),5,1))&gt;=65,CODE(MID(TRIM(UPPER(E16)),5,1))&lt;=90,CODE(MID(TRIM(UPPER(E16)),10,1))&gt;=65,CODE(MID(TRIM(UPPER(E16)),10,1))&lt;=90,CODE(MID(TRIM(UPPER(E16)),6,1))&gt;=48,CODE(MID(TRIM(UPPER(E16)),6,1))&lt;=57,CODE(MID(TRIM(UPPER(E16)),7,1))&gt;=48,CODE(MID(TRIM(UPPER(E16)),7,1))&lt;=57,CODE(MID(TRIM(UPPER(E16)),8,1))&gt;=48,CODE(MID(TRIM(UPPER(E16)),8,1))&lt;=57,CODE(MID(TRIM(UPPER(E16)),9,1))&gt;=48,CODE(MID(TRIM(UPPER(E16)),9,1))&lt;=57),"N","Y"))</f>
      </c>
      <c r="G16" s="7">
        <f>IF($D16="","",IF(LEN(E16)&lt;4,"",IF(UPPER(MID(E16,4,1))="P","Individual",IF(UPPER(MID(E16,4,1))="H","HUF",IF(UPPER(MID(E16,4,1))="C","Company",IF(UPPER(MID(E16,4,1))="F","Firm",IF(UPPER(MID(E16,4,1))="L","LLP",IF(UPPER(MID(E16,4,1))="T","Trust",IF(UPPER(MID(E16,4,1))="A","AOP","")))))))))</f>
      </c>
      <c r="H16" s="8"/>
      <c r="I16" s="7">
        <f>IF($D16="","",IF(H16="","",IF(F16="Y",SUMPRODUCT(('Rate Lookup'!$A$1:$A$37=H16)*'Rate Lookup'!$D$1:$D$37),IF(OR(G16="Individual",G16="HUF"),SUMPRODUCT(('Rate Lookup'!$A$1:$A$37=H16)*'Rate Lookup'!$B$1:$B$37),SUMPRODUCT(('Rate Lookup'!$A$1:$A$37=H16)*'Rate Lookup'!$C$1:$C$37)))))</f>
      </c>
      <c r="J16" s="8"/>
      <c r="K16" s="8"/>
      <c r="L16" s="7">
        <f>IF($D16="","",ROUND(K16*I16/100,0))</f>
      </c>
      <c r="M16" s="7">
        <f>IF($D16="","",0)</f>
      </c>
      <c r="N16" s="7">
        <f>IF($D16="","",0)</f>
      </c>
      <c r="O16" s="7">
        <f>IF($D16="","",IF(OR(L16=0,J16="",IFERROR(INDEX('Challan Master'!$D$4:$D$207,MATCH($B16,'Challan Master'!$S$4:$S$207,0)),"")="",IFERROR(INDEX('Challan Master'!$D$4:$D$207,MATCH($B16,'Challan Master'!$S$4:$S$207,0)),"")&lt;=0),0,IF(IFERROR(INDEX('Challan Master'!$D$4:$D$207,MATCH($B16,'Challan Master'!$S$4:$S$207,0)),"")&lt;=DATE(YEAR(J16),MONTH(J16)+1,7),0,ROUND(L16*0.015*((YEAR(IFERROR(INDEX('Challan Master'!$D$4:$D$207,MATCH($B16,'Challan Master'!$S$4:$S$207,0)),""))-YEAR(J16))*12+(MONTH(IFERROR(INDEX('Challan Master'!$D$4:$D$207,MATCH($B16,'Challan Master'!$S$4:$S$207,0)),""))-MONTH(J16))+1),0))))</f>
      </c>
      <c r="P16" s="7">
        <f>IF($D16="","",0)</f>
      </c>
      <c r="Q16" s="8"/>
      <c r="R16" s="8"/>
      <c r="S16" s="8"/>
      <c r="T16" s="8"/>
      <c r="U16" s="8"/>
      <c r="V16" s="7">
        <f>IF($B16="","",IFERROR(INDEX('Challan Master'!$AA$4:$AA$207,MATCH($B16,'Challan Master'!$S$4:$S$207,0)),""))</f>
      </c>
    </row>
    <row r="17" spans="1:22" x14ac:dyDescent="0.25">
      <c r="A17" s="7">
        <f>IF($D17="","",COUNTIF($D$4:$D17,"&lt;&gt;"))</f>
      </c>
      <c r="B17" s="8"/>
      <c r="C17" s="7">
        <f>IF($B17="","","BSR "&amp;IFERROR(INDEX('Challan Master'!$B$4:$B$207,MATCH($B17,'Challan Master'!$S$4:$S$207,0)),"")&amp;" | Serial "&amp;IFERROR(INDEX('Challan Master'!$C$4:$C$207,MATCH($B17,'Challan Master'!$S$4:$S$207,0)),"")&amp;" | Deposit "&amp;TEXT(IFERROR(INDEX('Challan Master'!$D$4:$D$207,MATCH($B17,'Challan Master'!$S$4:$S$207,0)),""),"dd-mm-yyyy")&amp;" | Minor Head "&amp;IFERROR(INDEX('Challan Master'!$E$4:$E$207,MATCH($B17,'Challan Master'!$S$4:$S$207,0)),"")&amp;" | Tax ₹"&amp;TEXT(IFERROR(INDEX('Challan Master'!$G$4:$G$207,MATCH($B17,'Challan Master'!$S$4:$S$207,0)),""),"#,##0")&amp;" | Section "&amp;IFERROR(INDEX('Challan Master'!$F$4:$F$207,MATCH($B17,'Challan Master'!$S$4:$S$207,0)),""))</f>
      </c>
      <c r="D17" s="8"/>
      <c r="E17" s="8"/>
      <c r="F17" s="7">
        <f>IF($D17="","",IF(AND(LEN(TRIM(UPPER(E17)))=10,CODE(MID(TRIM(UPPER(E17)),1,1))&gt;=65,CODE(MID(TRIM(UPPER(E17)),1,1))&lt;=90,CODE(MID(TRIM(UPPER(E17)),2,1))&gt;=65,CODE(MID(TRIM(UPPER(E17)),2,1))&lt;=90,CODE(MID(TRIM(UPPER(E17)),3,1))&gt;=65,CODE(MID(TRIM(UPPER(E17)),3,1))&lt;=90,CODE(MID(TRIM(UPPER(E17)),4,1))&gt;=65,CODE(MID(TRIM(UPPER(E17)),4,1))&lt;=90,CODE(MID(TRIM(UPPER(E17)),5,1))&gt;=65,CODE(MID(TRIM(UPPER(E17)),5,1))&lt;=90,CODE(MID(TRIM(UPPER(E17)),10,1))&gt;=65,CODE(MID(TRIM(UPPER(E17)),10,1))&lt;=90,CODE(MID(TRIM(UPPER(E17)),6,1))&gt;=48,CODE(MID(TRIM(UPPER(E17)),6,1))&lt;=57,CODE(MID(TRIM(UPPER(E17)),7,1))&gt;=48,CODE(MID(TRIM(UPPER(E17)),7,1))&lt;=57,CODE(MID(TRIM(UPPER(E17)),8,1))&gt;=48,CODE(MID(TRIM(UPPER(E17)),8,1))&lt;=57,CODE(MID(TRIM(UPPER(E17)),9,1))&gt;=48,CODE(MID(TRIM(UPPER(E17)),9,1))&lt;=57),"N","Y"))</f>
      </c>
      <c r="G17" s="7">
        <f>IF($D17="","",IF(LEN(E17)&lt;4,"",IF(UPPER(MID(E17,4,1))="P","Individual",IF(UPPER(MID(E17,4,1))="H","HUF",IF(UPPER(MID(E17,4,1))="C","Company",IF(UPPER(MID(E17,4,1))="F","Firm",IF(UPPER(MID(E17,4,1))="L","LLP",IF(UPPER(MID(E17,4,1))="T","Trust",IF(UPPER(MID(E17,4,1))="A","AOP","")))))))))</f>
      </c>
      <c r="H17" s="8"/>
      <c r="I17" s="7">
        <f>IF($D17="","",IF(H17="","",IF(F17="Y",SUMPRODUCT(('Rate Lookup'!$A$1:$A$37=H17)*'Rate Lookup'!$D$1:$D$37),IF(OR(G17="Individual",G17="HUF"),SUMPRODUCT(('Rate Lookup'!$A$1:$A$37=H17)*'Rate Lookup'!$B$1:$B$37),SUMPRODUCT(('Rate Lookup'!$A$1:$A$37=H17)*'Rate Lookup'!$C$1:$C$37)))))</f>
      </c>
      <c r="J17" s="8"/>
      <c r="K17" s="8"/>
      <c r="L17" s="7">
        <f>IF($D17="","",ROUND(K17*I17/100,0))</f>
      </c>
      <c r="M17" s="7">
        <f>IF($D17="","",0)</f>
      </c>
      <c r="N17" s="7">
        <f>IF($D17="","",0)</f>
      </c>
      <c r="O17" s="7">
        <f>IF($D17="","",IF(OR(L17=0,J17="",IFERROR(INDEX('Challan Master'!$D$4:$D$207,MATCH($B17,'Challan Master'!$S$4:$S$207,0)),"")="",IFERROR(INDEX('Challan Master'!$D$4:$D$207,MATCH($B17,'Challan Master'!$S$4:$S$207,0)),"")&lt;=0),0,IF(IFERROR(INDEX('Challan Master'!$D$4:$D$207,MATCH($B17,'Challan Master'!$S$4:$S$207,0)),"")&lt;=DATE(YEAR(J17),MONTH(J17)+1,7),0,ROUND(L17*0.015*((YEAR(IFERROR(INDEX('Challan Master'!$D$4:$D$207,MATCH($B17,'Challan Master'!$S$4:$S$207,0)),""))-YEAR(J17))*12+(MONTH(IFERROR(INDEX('Challan Master'!$D$4:$D$207,MATCH($B17,'Challan Master'!$S$4:$S$207,0)),""))-MONTH(J17))+1),0))))</f>
      </c>
      <c r="P17" s="7">
        <f>IF($D17="","",0)</f>
      </c>
      <c r="Q17" s="8"/>
      <c r="R17" s="8"/>
      <c r="S17" s="8"/>
      <c r="T17" s="8"/>
      <c r="U17" s="8"/>
      <c r="V17" s="7">
        <f>IF($B17="","",IFERROR(INDEX('Challan Master'!$AA$4:$AA$207,MATCH($B17,'Challan Master'!$S$4:$S$207,0)),""))</f>
      </c>
    </row>
    <row r="18" spans="1:22" x14ac:dyDescent="0.25">
      <c r="A18" s="7">
        <f>IF($D18="","",COUNTIF($D$4:$D18,"&lt;&gt;"))</f>
      </c>
      <c r="B18" s="8"/>
      <c r="C18" s="7">
        <f>IF($B18="","","BSR "&amp;IFERROR(INDEX('Challan Master'!$B$4:$B$207,MATCH($B18,'Challan Master'!$S$4:$S$207,0)),"")&amp;" | Serial "&amp;IFERROR(INDEX('Challan Master'!$C$4:$C$207,MATCH($B18,'Challan Master'!$S$4:$S$207,0)),"")&amp;" | Deposit "&amp;TEXT(IFERROR(INDEX('Challan Master'!$D$4:$D$207,MATCH($B18,'Challan Master'!$S$4:$S$207,0)),""),"dd-mm-yyyy")&amp;" | Minor Head "&amp;IFERROR(INDEX('Challan Master'!$E$4:$E$207,MATCH($B18,'Challan Master'!$S$4:$S$207,0)),"")&amp;" | Tax ₹"&amp;TEXT(IFERROR(INDEX('Challan Master'!$G$4:$G$207,MATCH($B18,'Challan Master'!$S$4:$S$207,0)),""),"#,##0")&amp;" | Section "&amp;IFERROR(INDEX('Challan Master'!$F$4:$F$207,MATCH($B18,'Challan Master'!$S$4:$S$207,0)),""))</f>
      </c>
      <c r="D18" s="8"/>
      <c r="E18" s="8"/>
      <c r="F18" s="7">
        <f>IF($D18="","",IF(AND(LEN(TRIM(UPPER(E18)))=10,CODE(MID(TRIM(UPPER(E18)),1,1))&gt;=65,CODE(MID(TRIM(UPPER(E18)),1,1))&lt;=90,CODE(MID(TRIM(UPPER(E18)),2,1))&gt;=65,CODE(MID(TRIM(UPPER(E18)),2,1))&lt;=90,CODE(MID(TRIM(UPPER(E18)),3,1))&gt;=65,CODE(MID(TRIM(UPPER(E18)),3,1))&lt;=90,CODE(MID(TRIM(UPPER(E18)),4,1))&gt;=65,CODE(MID(TRIM(UPPER(E18)),4,1))&lt;=90,CODE(MID(TRIM(UPPER(E18)),5,1))&gt;=65,CODE(MID(TRIM(UPPER(E18)),5,1))&lt;=90,CODE(MID(TRIM(UPPER(E18)),10,1))&gt;=65,CODE(MID(TRIM(UPPER(E18)),10,1))&lt;=90,CODE(MID(TRIM(UPPER(E18)),6,1))&gt;=48,CODE(MID(TRIM(UPPER(E18)),6,1))&lt;=57,CODE(MID(TRIM(UPPER(E18)),7,1))&gt;=48,CODE(MID(TRIM(UPPER(E18)),7,1))&lt;=57,CODE(MID(TRIM(UPPER(E18)),8,1))&gt;=48,CODE(MID(TRIM(UPPER(E18)),8,1))&lt;=57,CODE(MID(TRIM(UPPER(E18)),9,1))&gt;=48,CODE(MID(TRIM(UPPER(E18)),9,1))&lt;=57),"N","Y"))</f>
      </c>
      <c r="G18" s="7">
        <f>IF($D18="","",IF(LEN(E18)&lt;4,"",IF(UPPER(MID(E18,4,1))="P","Individual",IF(UPPER(MID(E18,4,1))="H","HUF",IF(UPPER(MID(E18,4,1))="C","Company",IF(UPPER(MID(E18,4,1))="F","Firm",IF(UPPER(MID(E18,4,1))="L","LLP",IF(UPPER(MID(E18,4,1))="T","Trust",IF(UPPER(MID(E18,4,1))="A","AOP","")))))))))</f>
      </c>
      <c r="H18" s="8"/>
      <c r="I18" s="7">
        <f>IF($D18="","",IF(H18="","",IF(F18="Y",SUMPRODUCT(('Rate Lookup'!$A$1:$A$37=H18)*'Rate Lookup'!$D$1:$D$37),IF(OR(G18="Individual",G18="HUF"),SUMPRODUCT(('Rate Lookup'!$A$1:$A$37=H18)*'Rate Lookup'!$B$1:$B$37),SUMPRODUCT(('Rate Lookup'!$A$1:$A$37=H18)*'Rate Lookup'!$C$1:$C$37)))))</f>
      </c>
      <c r="J18" s="8"/>
      <c r="K18" s="8"/>
      <c r="L18" s="7">
        <f>IF($D18="","",ROUND(K18*I18/100,0))</f>
      </c>
      <c r="M18" s="7">
        <f>IF($D18="","",0)</f>
      </c>
      <c r="N18" s="7">
        <f>IF($D18="","",0)</f>
      </c>
      <c r="O18" s="7">
        <f>IF($D18="","",IF(OR(L18=0,J18="",IFERROR(INDEX('Challan Master'!$D$4:$D$207,MATCH($B18,'Challan Master'!$S$4:$S$207,0)),"")="",IFERROR(INDEX('Challan Master'!$D$4:$D$207,MATCH($B18,'Challan Master'!$S$4:$S$207,0)),"")&lt;=0),0,IF(IFERROR(INDEX('Challan Master'!$D$4:$D$207,MATCH($B18,'Challan Master'!$S$4:$S$207,0)),"")&lt;=DATE(YEAR(J18),MONTH(J18)+1,7),0,ROUND(L18*0.015*((YEAR(IFERROR(INDEX('Challan Master'!$D$4:$D$207,MATCH($B18,'Challan Master'!$S$4:$S$207,0)),""))-YEAR(J18))*12+(MONTH(IFERROR(INDEX('Challan Master'!$D$4:$D$207,MATCH($B18,'Challan Master'!$S$4:$S$207,0)),""))-MONTH(J18))+1),0))))</f>
      </c>
      <c r="P18" s="7">
        <f>IF($D18="","",0)</f>
      </c>
      <c r="Q18" s="8"/>
      <c r="R18" s="8"/>
      <c r="S18" s="8"/>
      <c r="T18" s="8"/>
      <c r="U18" s="8"/>
      <c r="V18" s="7">
        <f>IF($B18="","",IFERROR(INDEX('Challan Master'!$AA$4:$AA$207,MATCH($B18,'Challan Master'!$S$4:$S$207,0)),""))</f>
      </c>
    </row>
    <row r="19" spans="1:22" x14ac:dyDescent="0.25">
      <c r="A19" s="7">
        <f>IF($D19="","",COUNTIF($D$4:$D19,"&lt;&gt;"))</f>
      </c>
      <c r="B19" s="8"/>
      <c r="C19" s="7">
        <f>IF($B19="","","BSR "&amp;IFERROR(INDEX('Challan Master'!$B$4:$B$207,MATCH($B19,'Challan Master'!$S$4:$S$207,0)),"")&amp;" | Serial "&amp;IFERROR(INDEX('Challan Master'!$C$4:$C$207,MATCH($B19,'Challan Master'!$S$4:$S$207,0)),"")&amp;" | Deposit "&amp;TEXT(IFERROR(INDEX('Challan Master'!$D$4:$D$207,MATCH($B19,'Challan Master'!$S$4:$S$207,0)),""),"dd-mm-yyyy")&amp;" | Minor Head "&amp;IFERROR(INDEX('Challan Master'!$E$4:$E$207,MATCH($B19,'Challan Master'!$S$4:$S$207,0)),"")&amp;" | Tax ₹"&amp;TEXT(IFERROR(INDEX('Challan Master'!$G$4:$G$207,MATCH($B19,'Challan Master'!$S$4:$S$207,0)),""),"#,##0")&amp;" | Section "&amp;IFERROR(INDEX('Challan Master'!$F$4:$F$207,MATCH($B19,'Challan Master'!$S$4:$S$207,0)),""))</f>
      </c>
      <c r="D19" s="8"/>
      <c r="E19" s="8"/>
      <c r="F19" s="7">
        <f>IF($D19="","",IF(AND(LEN(TRIM(UPPER(E19)))=10,CODE(MID(TRIM(UPPER(E19)),1,1))&gt;=65,CODE(MID(TRIM(UPPER(E19)),1,1))&lt;=90,CODE(MID(TRIM(UPPER(E19)),2,1))&gt;=65,CODE(MID(TRIM(UPPER(E19)),2,1))&lt;=90,CODE(MID(TRIM(UPPER(E19)),3,1))&gt;=65,CODE(MID(TRIM(UPPER(E19)),3,1))&lt;=90,CODE(MID(TRIM(UPPER(E19)),4,1))&gt;=65,CODE(MID(TRIM(UPPER(E19)),4,1))&lt;=90,CODE(MID(TRIM(UPPER(E19)),5,1))&gt;=65,CODE(MID(TRIM(UPPER(E19)),5,1))&lt;=90,CODE(MID(TRIM(UPPER(E19)),10,1))&gt;=65,CODE(MID(TRIM(UPPER(E19)),10,1))&lt;=90,CODE(MID(TRIM(UPPER(E19)),6,1))&gt;=48,CODE(MID(TRIM(UPPER(E19)),6,1))&lt;=57,CODE(MID(TRIM(UPPER(E19)),7,1))&gt;=48,CODE(MID(TRIM(UPPER(E19)),7,1))&lt;=57,CODE(MID(TRIM(UPPER(E19)),8,1))&gt;=48,CODE(MID(TRIM(UPPER(E19)),8,1))&lt;=57,CODE(MID(TRIM(UPPER(E19)),9,1))&gt;=48,CODE(MID(TRIM(UPPER(E19)),9,1))&lt;=57),"N","Y"))</f>
      </c>
      <c r="G19" s="7">
        <f>IF($D19="","",IF(LEN(E19)&lt;4,"",IF(UPPER(MID(E19,4,1))="P","Individual",IF(UPPER(MID(E19,4,1))="H","HUF",IF(UPPER(MID(E19,4,1))="C","Company",IF(UPPER(MID(E19,4,1))="F","Firm",IF(UPPER(MID(E19,4,1))="L","LLP",IF(UPPER(MID(E19,4,1))="T","Trust",IF(UPPER(MID(E19,4,1))="A","AOP","")))))))))</f>
      </c>
      <c r="H19" s="8"/>
      <c r="I19" s="7">
        <f>IF($D19="","",IF(H19="","",IF(F19="Y",SUMPRODUCT(('Rate Lookup'!$A$1:$A$37=H19)*'Rate Lookup'!$D$1:$D$37),IF(OR(G19="Individual",G19="HUF"),SUMPRODUCT(('Rate Lookup'!$A$1:$A$37=H19)*'Rate Lookup'!$B$1:$B$37),SUMPRODUCT(('Rate Lookup'!$A$1:$A$37=H19)*'Rate Lookup'!$C$1:$C$37)))))</f>
      </c>
      <c r="J19" s="8"/>
      <c r="K19" s="8"/>
      <c r="L19" s="7">
        <f>IF($D19="","",ROUND(K19*I19/100,0))</f>
      </c>
      <c r="M19" s="7">
        <f>IF($D19="","",0)</f>
      </c>
      <c r="N19" s="7">
        <f>IF($D19="","",0)</f>
      </c>
      <c r="O19" s="7">
        <f>IF($D19="","",IF(OR(L19=0,J19="",IFERROR(INDEX('Challan Master'!$D$4:$D$207,MATCH($B19,'Challan Master'!$S$4:$S$207,0)),"")="",IFERROR(INDEX('Challan Master'!$D$4:$D$207,MATCH($B19,'Challan Master'!$S$4:$S$207,0)),"")&lt;=0),0,IF(IFERROR(INDEX('Challan Master'!$D$4:$D$207,MATCH($B19,'Challan Master'!$S$4:$S$207,0)),"")&lt;=DATE(YEAR(J19),MONTH(J19)+1,7),0,ROUND(L19*0.015*((YEAR(IFERROR(INDEX('Challan Master'!$D$4:$D$207,MATCH($B19,'Challan Master'!$S$4:$S$207,0)),""))-YEAR(J19))*12+(MONTH(IFERROR(INDEX('Challan Master'!$D$4:$D$207,MATCH($B19,'Challan Master'!$S$4:$S$207,0)),""))-MONTH(J19))+1),0))))</f>
      </c>
      <c r="P19" s="7">
        <f>IF($D19="","",0)</f>
      </c>
      <c r="Q19" s="8"/>
      <c r="R19" s="8"/>
      <c r="S19" s="8"/>
      <c r="T19" s="8"/>
      <c r="U19" s="8"/>
      <c r="V19" s="7">
        <f>IF($B19="","",IFERROR(INDEX('Challan Master'!$AA$4:$AA$207,MATCH($B19,'Challan Master'!$S$4:$S$207,0)),""))</f>
      </c>
    </row>
    <row r="20" spans="1:22" x14ac:dyDescent="0.25">
      <c r="A20" s="7">
        <f>IF($D20="","",COUNTIF($D$4:$D20,"&lt;&gt;"))</f>
      </c>
      <c r="B20" s="8"/>
      <c r="C20" s="7">
        <f>IF($B20="","","BSR "&amp;IFERROR(INDEX('Challan Master'!$B$4:$B$207,MATCH($B20,'Challan Master'!$S$4:$S$207,0)),"")&amp;" | Serial "&amp;IFERROR(INDEX('Challan Master'!$C$4:$C$207,MATCH($B20,'Challan Master'!$S$4:$S$207,0)),"")&amp;" | Deposit "&amp;TEXT(IFERROR(INDEX('Challan Master'!$D$4:$D$207,MATCH($B20,'Challan Master'!$S$4:$S$207,0)),""),"dd-mm-yyyy")&amp;" | Minor Head "&amp;IFERROR(INDEX('Challan Master'!$E$4:$E$207,MATCH($B20,'Challan Master'!$S$4:$S$207,0)),"")&amp;" | Tax ₹"&amp;TEXT(IFERROR(INDEX('Challan Master'!$G$4:$G$207,MATCH($B20,'Challan Master'!$S$4:$S$207,0)),""),"#,##0")&amp;" | Section "&amp;IFERROR(INDEX('Challan Master'!$F$4:$F$207,MATCH($B20,'Challan Master'!$S$4:$S$207,0)),""))</f>
      </c>
      <c r="D20" s="8"/>
      <c r="E20" s="8"/>
      <c r="F20" s="7">
        <f>IF($D20="","",IF(AND(LEN(TRIM(UPPER(E20)))=10,CODE(MID(TRIM(UPPER(E20)),1,1))&gt;=65,CODE(MID(TRIM(UPPER(E20)),1,1))&lt;=90,CODE(MID(TRIM(UPPER(E20)),2,1))&gt;=65,CODE(MID(TRIM(UPPER(E20)),2,1))&lt;=90,CODE(MID(TRIM(UPPER(E20)),3,1))&gt;=65,CODE(MID(TRIM(UPPER(E20)),3,1))&lt;=90,CODE(MID(TRIM(UPPER(E20)),4,1))&gt;=65,CODE(MID(TRIM(UPPER(E20)),4,1))&lt;=90,CODE(MID(TRIM(UPPER(E20)),5,1))&gt;=65,CODE(MID(TRIM(UPPER(E20)),5,1))&lt;=90,CODE(MID(TRIM(UPPER(E20)),10,1))&gt;=65,CODE(MID(TRIM(UPPER(E20)),10,1))&lt;=90,CODE(MID(TRIM(UPPER(E20)),6,1))&gt;=48,CODE(MID(TRIM(UPPER(E20)),6,1))&lt;=57,CODE(MID(TRIM(UPPER(E20)),7,1))&gt;=48,CODE(MID(TRIM(UPPER(E20)),7,1))&lt;=57,CODE(MID(TRIM(UPPER(E20)),8,1))&gt;=48,CODE(MID(TRIM(UPPER(E20)),8,1))&lt;=57,CODE(MID(TRIM(UPPER(E20)),9,1))&gt;=48,CODE(MID(TRIM(UPPER(E20)),9,1))&lt;=57),"N","Y"))</f>
      </c>
      <c r="G20" s="7">
        <f>IF($D20="","",IF(LEN(E20)&lt;4,"",IF(UPPER(MID(E20,4,1))="P","Individual",IF(UPPER(MID(E20,4,1))="H","HUF",IF(UPPER(MID(E20,4,1))="C","Company",IF(UPPER(MID(E20,4,1))="F","Firm",IF(UPPER(MID(E20,4,1))="L","LLP",IF(UPPER(MID(E20,4,1))="T","Trust",IF(UPPER(MID(E20,4,1))="A","AOP","")))))))))</f>
      </c>
      <c r="H20" s="8"/>
      <c r="I20" s="7">
        <f>IF($D20="","",IF(H20="","",IF(F20="Y",SUMPRODUCT(('Rate Lookup'!$A$1:$A$37=H20)*'Rate Lookup'!$D$1:$D$37),IF(OR(G20="Individual",G20="HUF"),SUMPRODUCT(('Rate Lookup'!$A$1:$A$37=H20)*'Rate Lookup'!$B$1:$B$37),SUMPRODUCT(('Rate Lookup'!$A$1:$A$37=H20)*'Rate Lookup'!$C$1:$C$37)))))</f>
      </c>
      <c r="J20" s="8"/>
      <c r="K20" s="8"/>
      <c r="L20" s="7">
        <f>IF($D20="","",ROUND(K20*I20/100,0))</f>
      </c>
      <c r="M20" s="7">
        <f>IF($D20="","",0)</f>
      </c>
      <c r="N20" s="7">
        <f>IF($D20="","",0)</f>
      </c>
      <c r="O20" s="7">
        <f>IF($D20="","",IF(OR(L20=0,J20="",IFERROR(INDEX('Challan Master'!$D$4:$D$207,MATCH($B20,'Challan Master'!$S$4:$S$207,0)),"")="",IFERROR(INDEX('Challan Master'!$D$4:$D$207,MATCH($B20,'Challan Master'!$S$4:$S$207,0)),"")&lt;=0),0,IF(IFERROR(INDEX('Challan Master'!$D$4:$D$207,MATCH($B20,'Challan Master'!$S$4:$S$207,0)),"")&lt;=DATE(YEAR(J20),MONTH(J20)+1,7),0,ROUND(L20*0.015*((YEAR(IFERROR(INDEX('Challan Master'!$D$4:$D$207,MATCH($B20,'Challan Master'!$S$4:$S$207,0)),""))-YEAR(J20))*12+(MONTH(IFERROR(INDEX('Challan Master'!$D$4:$D$207,MATCH($B20,'Challan Master'!$S$4:$S$207,0)),""))-MONTH(J20))+1),0))))</f>
      </c>
      <c r="P20" s="7">
        <f>IF($D20="","",0)</f>
      </c>
      <c r="Q20" s="8"/>
      <c r="R20" s="8"/>
      <c r="S20" s="8"/>
      <c r="T20" s="8"/>
      <c r="U20" s="8"/>
      <c r="V20" s="7">
        <f>IF($B20="","",IFERROR(INDEX('Challan Master'!$AA$4:$AA$207,MATCH($B20,'Challan Master'!$S$4:$S$207,0)),""))</f>
      </c>
    </row>
    <row r="21" spans="1:22" x14ac:dyDescent="0.25">
      <c r="A21" s="7">
        <f>IF($D21="","",COUNTIF($D$4:$D21,"&lt;&gt;"))</f>
      </c>
      <c r="B21" s="8"/>
      <c r="C21" s="7">
        <f>IF($B21="","","BSR "&amp;IFERROR(INDEX('Challan Master'!$B$4:$B$207,MATCH($B21,'Challan Master'!$S$4:$S$207,0)),"")&amp;" | Serial "&amp;IFERROR(INDEX('Challan Master'!$C$4:$C$207,MATCH($B21,'Challan Master'!$S$4:$S$207,0)),"")&amp;" | Deposit "&amp;TEXT(IFERROR(INDEX('Challan Master'!$D$4:$D$207,MATCH($B21,'Challan Master'!$S$4:$S$207,0)),""),"dd-mm-yyyy")&amp;" | Minor Head "&amp;IFERROR(INDEX('Challan Master'!$E$4:$E$207,MATCH($B21,'Challan Master'!$S$4:$S$207,0)),"")&amp;" | Tax ₹"&amp;TEXT(IFERROR(INDEX('Challan Master'!$G$4:$G$207,MATCH($B21,'Challan Master'!$S$4:$S$207,0)),""),"#,##0")&amp;" | Section "&amp;IFERROR(INDEX('Challan Master'!$F$4:$F$207,MATCH($B21,'Challan Master'!$S$4:$S$207,0)),""))</f>
      </c>
      <c r="D21" s="8"/>
      <c r="E21" s="8"/>
      <c r="F21" s="7">
        <f>IF($D21="","",IF(AND(LEN(TRIM(UPPER(E21)))=10,CODE(MID(TRIM(UPPER(E21)),1,1))&gt;=65,CODE(MID(TRIM(UPPER(E21)),1,1))&lt;=90,CODE(MID(TRIM(UPPER(E21)),2,1))&gt;=65,CODE(MID(TRIM(UPPER(E21)),2,1))&lt;=90,CODE(MID(TRIM(UPPER(E21)),3,1))&gt;=65,CODE(MID(TRIM(UPPER(E21)),3,1))&lt;=90,CODE(MID(TRIM(UPPER(E21)),4,1))&gt;=65,CODE(MID(TRIM(UPPER(E21)),4,1))&lt;=90,CODE(MID(TRIM(UPPER(E21)),5,1))&gt;=65,CODE(MID(TRIM(UPPER(E21)),5,1))&lt;=90,CODE(MID(TRIM(UPPER(E21)),10,1))&gt;=65,CODE(MID(TRIM(UPPER(E21)),10,1))&lt;=90,CODE(MID(TRIM(UPPER(E21)),6,1))&gt;=48,CODE(MID(TRIM(UPPER(E21)),6,1))&lt;=57,CODE(MID(TRIM(UPPER(E21)),7,1))&gt;=48,CODE(MID(TRIM(UPPER(E21)),7,1))&lt;=57,CODE(MID(TRIM(UPPER(E21)),8,1))&gt;=48,CODE(MID(TRIM(UPPER(E21)),8,1))&lt;=57,CODE(MID(TRIM(UPPER(E21)),9,1))&gt;=48,CODE(MID(TRIM(UPPER(E21)),9,1))&lt;=57),"N","Y"))</f>
      </c>
      <c r="G21" s="7">
        <f>IF($D21="","",IF(LEN(E21)&lt;4,"",IF(UPPER(MID(E21,4,1))="P","Individual",IF(UPPER(MID(E21,4,1))="H","HUF",IF(UPPER(MID(E21,4,1))="C","Company",IF(UPPER(MID(E21,4,1))="F","Firm",IF(UPPER(MID(E21,4,1))="L","LLP",IF(UPPER(MID(E21,4,1))="T","Trust",IF(UPPER(MID(E21,4,1))="A","AOP","")))))))))</f>
      </c>
      <c r="H21" s="8"/>
      <c r="I21" s="7">
        <f>IF($D21="","",IF(H21="","",IF(F21="Y",SUMPRODUCT(('Rate Lookup'!$A$1:$A$37=H21)*'Rate Lookup'!$D$1:$D$37),IF(OR(G21="Individual",G21="HUF"),SUMPRODUCT(('Rate Lookup'!$A$1:$A$37=H21)*'Rate Lookup'!$B$1:$B$37),SUMPRODUCT(('Rate Lookup'!$A$1:$A$37=H21)*'Rate Lookup'!$C$1:$C$37)))))</f>
      </c>
      <c r="J21" s="8"/>
      <c r="K21" s="8"/>
      <c r="L21" s="7">
        <f>IF($D21="","",ROUND(K21*I21/100,0))</f>
      </c>
      <c r="M21" s="7">
        <f>IF($D21="","",0)</f>
      </c>
      <c r="N21" s="7">
        <f>IF($D21="","",0)</f>
      </c>
      <c r="O21" s="7">
        <f>IF($D21="","",IF(OR(L21=0,J21="",IFERROR(INDEX('Challan Master'!$D$4:$D$207,MATCH($B21,'Challan Master'!$S$4:$S$207,0)),"")="",IFERROR(INDEX('Challan Master'!$D$4:$D$207,MATCH($B21,'Challan Master'!$S$4:$S$207,0)),"")&lt;=0),0,IF(IFERROR(INDEX('Challan Master'!$D$4:$D$207,MATCH($B21,'Challan Master'!$S$4:$S$207,0)),"")&lt;=DATE(YEAR(J21),MONTH(J21)+1,7),0,ROUND(L21*0.015*((YEAR(IFERROR(INDEX('Challan Master'!$D$4:$D$207,MATCH($B21,'Challan Master'!$S$4:$S$207,0)),""))-YEAR(J21))*12+(MONTH(IFERROR(INDEX('Challan Master'!$D$4:$D$207,MATCH($B21,'Challan Master'!$S$4:$S$207,0)),""))-MONTH(J21))+1),0))))</f>
      </c>
      <c r="P21" s="7">
        <f>IF($D21="","",0)</f>
      </c>
      <c r="Q21" s="8"/>
      <c r="R21" s="8"/>
      <c r="S21" s="8"/>
      <c r="T21" s="8"/>
      <c r="U21" s="8"/>
      <c r="V21" s="7">
        <f>IF($B21="","",IFERROR(INDEX('Challan Master'!$AA$4:$AA$207,MATCH($B21,'Challan Master'!$S$4:$S$207,0)),""))</f>
      </c>
    </row>
    <row r="22" spans="1:22" x14ac:dyDescent="0.25">
      <c r="A22" s="7">
        <f>IF($D22="","",COUNTIF($D$4:$D22,"&lt;&gt;"))</f>
      </c>
      <c r="B22" s="8"/>
      <c r="C22" s="7">
        <f>IF($B22="","","BSR "&amp;IFERROR(INDEX('Challan Master'!$B$4:$B$207,MATCH($B22,'Challan Master'!$S$4:$S$207,0)),"")&amp;" | Serial "&amp;IFERROR(INDEX('Challan Master'!$C$4:$C$207,MATCH($B22,'Challan Master'!$S$4:$S$207,0)),"")&amp;" | Deposit "&amp;TEXT(IFERROR(INDEX('Challan Master'!$D$4:$D$207,MATCH($B22,'Challan Master'!$S$4:$S$207,0)),""),"dd-mm-yyyy")&amp;" | Minor Head "&amp;IFERROR(INDEX('Challan Master'!$E$4:$E$207,MATCH($B22,'Challan Master'!$S$4:$S$207,0)),"")&amp;" | Tax ₹"&amp;TEXT(IFERROR(INDEX('Challan Master'!$G$4:$G$207,MATCH($B22,'Challan Master'!$S$4:$S$207,0)),""),"#,##0")&amp;" | Section "&amp;IFERROR(INDEX('Challan Master'!$F$4:$F$207,MATCH($B22,'Challan Master'!$S$4:$S$207,0)),""))</f>
      </c>
      <c r="D22" s="8"/>
      <c r="E22" s="8"/>
      <c r="F22" s="7">
        <f>IF($D22="","",IF(AND(LEN(TRIM(UPPER(E22)))=10,CODE(MID(TRIM(UPPER(E22)),1,1))&gt;=65,CODE(MID(TRIM(UPPER(E22)),1,1))&lt;=90,CODE(MID(TRIM(UPPER(E22)),2,1))&gt;=65,CODE(MID(TRIM(UPPER(E22)),2,1))&lt;=90,CODE(MID(TRIM(UPPER(E22)),3,1))&gt;=65,CODE(MID(TRIM(UPPER(E22)),3,1))&lt;=90,CODE(MID(TRIM(UPPER(E22)),4,1))&gt;=65,CODE(MID(TRIM(UPPER(E22)),4,1))&lt;=90,CODE(MID(TRIM(UPPER(E22)),5,1))&gt;=65,CODE(MID(TRIM(UPPER(E22)),5,1))&lt;=90,CODE(MID(TRIM(UPPER(E22)),10,1))&gt;=65,CODE(MID(TRIM(UPPER(E22)),10,1))&lt;=90,CODE(MID(TRIM(UPPER(E22)),6,1))&gt;=48,CODE(MID(TRIM(UPPER(E22)),6,1))&lt;=57,CODE(MID(TRIM(UPPER(E22)),7,1))&gt;=48,CODE(MID(TRIM(UPPER(E22)),7,1))&lt;=57,CODE(MID(TRIM(UPPER(E22)),8,1))&gt;=48,CODE(MID(TRIM(UPPER(E22)),8,1))&lt;=57,CODE(MID(TRIM(UPPER(E22)),9,1))&gt;=48,CODE(MID(TRIM(UPPER(E22)),9,1))&lt;=57),"N","Y"))</f>
      </c>
      <c r="G22" s="7">
        <f>IF($D22="","",IF(LEN(E22)&lt;4,"",IF(UPPER(MID(E22,4,1))="P","Individual",IF(UPPER(MID(E22,4,1))="H","HUF",IF(UPPER(MID(E22,4,1))="C","Company",IF(UPPER(MID(E22,4,1))="F","Firm",IF(UPPER(MID(E22,4,1))="L","LLP",IF(UPPER(MID(E22,4,1))="T","Trust",IF(UPPER(MID(E22,4,1))="A","AOP","")))))))))</f>
      </c>
      <c r="H22" s="8"/>
      <c r="I22" s="7">
        <f>IF($D22="","",IF(H22="","",IF(F22="Y",SUMPRODUCT(('Rate Lookup'!$A$1:$A$37=H22)*'Rate Lookup'!$D$1:$D$37),IF(OR(G22="Individual",G22="HUF"),SUMPRODUCT(('Rate Lookup'!$A$1:$A$37=H22)*'Rate Lookup'!$B$1:$B$37),SUMPRODUCT(('Rate Lookup'!$A$1:$A$37=H22)*'Rate Lookup'!$C$1:$C$37)))))</f>
      </c>
      <c r="J22" s="8"/>
      <c r="K22" s="8"/>
      <c r="L22" s="7">
        <f>IF($D22="","",ROUND(K22*I22/100,0))</f>
      </c>
      <c r="M22" s="7">
        <f>IF($D22="","",0)</f>
      </c>
      <c r="N22" s="7">
        <f>IF($D22="","",0)</f>
      </c>
      <c r="O22" s="7">
        <f>IF($D22="","",IF(OR(L22=0,J22="",IFERROR(INDEX('Challan Master'!$D$4:$D$207,MATCH($B22,'Challan Master'!$S$4:$S$207,0)),"")="",IFERROR(INDEX('Challan Master'!$D$4:$D$207,MATCH($B22,'Challan Master'!$S$4:$S$207,0)),"")&lt;=0),0,IF(IFERROR(INDEX('Challan Master'!$D$4:$D$207,MATCH($B22,'Challan Master'!$S$4:$S$207,0)),"")&lt;=DATE(YEAR(J22),MONTH(J22)+1,7),0,ROUND(L22*0.015*((YEAR(IFERROR(INDEX('Challan Master'!$D$4:$D$207,MATCH($B22,'Challan Master'!$S$4:$S$207,0)),""))-YEAR(J22))*12+(MONTH(IFERROR(INDEX('Challan Master'!$D$4:$D$207,MATCH($B22,'Challan Master'!$S$4:$S$207,0)),""))-MONTH(J22))+1),0))))</f>
      </c>
      <c r="P22" s="7">
        <f>IF($D22="","",0)</f>
      </c>
      <c r="Q22" s="8"/>
      <c r="R22" s="8"/>
      <c r="S22" s="8"/>
      <c r="T22" s="8"/>
      <c r="U22" s="8"/>
      <c r="V22" s="7">
        <f>IF($B22="","",IFERROR(INDEX('Challan Master'!$AA$4:$AA$207,MATCH($B22,'Challan Master'!$S$4:$S$207,0)),""))</f>
      </c>
    </row>
    <row r="23" spans="1:22" x14ac:dyDescent="0.25">
      <c r="A23" s="7">
        <f>IF($D23="","",COUNTIF($D$4:$D23,"&lt;&gt;"))</f>
      </c>
      <c r="B23" s="8"/>
      <c r="C23" s="7">
        <f>IF($B23="","","BSR "&amp;IFERROR(INDEX('Challan Master'!$B$4:$B$207,MATCH($B23,'Challan Master'!$S$4:$S$207,0)),"")&amp;" | Serial "&amp;IFERROR(INDEX('Challan Master'!$C$4:$C$207,MATCH($B23,'Challan Master'!$S$4:$S$207,0)),"")&amp;" | Deposit "&amp;TEXT(IFERROR(INDEX('Challan Master'!$D$4:$D$207,MATCH($B23,'Challan Master'!$S$4:$S$207,0)),""),"dd-mm-yyyy")&amp;" | Minor Head "&amp;IFERROR(INDEX('Challan Master'!$E$4:$E$207,MATCH($B23,'Challan Master'!$S$4:$S$207,0)),"")&amp;" | Tax ₹"&amp;TEXT(IFERROR(INDEX('Challan Master'!$G$4:$G$207,MATCH($B23,'Challan Master'!$S$4:$S$207,0)),""),"#,##0")&amp;" | Section "&amp;IFERROR(INDEX('Challan Master'!$F$4:$F$207,MATCH($B23,'Challan Master'!$S$4:$S$207,0)),""))</f>
      </c>
      <c r="D23" s="8"/>
      <c r="E23" s="8"/>
      <c r="F23" s="7">
        <f>IF($D23="","",IF(AND(LEN(TRIM(UPPER(E23)))=10,CODE(MID(TRIM(UPPER(E23)),1,1))&gt;=65,CODE(MID(TRIM(UPPER(E23)),1,1))&lt;=90,CODE(MID(TRIM(UPPER(E23)),2,1))&gt;=65,CODE(MID(TRIM(UPPER(E23)),2,1))&lt;=90,CODE(MID(TRIM(UPPER(E23)),3,1))&gt;=65,CODE(MID(TRIM(UPPER(E23)),3,1))&lt;=90,CODE(MID(TRIM(UPPER(E23)),4,1))&gt;=65,CODE(MID(TRIM(UPPER(E23)),4,1))&lt;=90,CODE(MID(TRIM(UPPER(E23)),5,1))&gt;=65,CODE(MID(TRIM(UPPER(E23)),5,1))&lt;=90,CODE(MID(TRIM(UPPER(E23)),10,1))&gt;=65,CODE(MID(TRIM(UPPER(E23)),10,1))&lt;=90,CODE(MID(TRIM(UPPER(E23)),6,1))&gt;=48,CODE(MID(TRIM(UPPER(E23)),6,1))&lt;=57,CODE(MID(TRIM(UPPER(E23)),7,1))&gt;=48,CODE(MID(TRIM(UPPER(E23)),7,1))&lt;=57,CODE(MID(TRIM(UPPER(E23)),8,1))&gt;=48,CODE(MID(TRIM(UPPER(E23)),8,1))&lt;=57,CODE(MID(TRIM(UPPER(E23)),9,1))&gt;=48,CODE(MID(TRIM(UPPER(E23)),9,1))&lt;=57),"N","Y"))</f>
      </c>
      <c r="G23" s="7">
        <f>IF($D23="","",IF(LEN(E23)&lt;4,"",IF(UPPER(MID(E23,4,1))="P","Individual",IF(UPPER(MID(E23,4,1))="H","HUF",IF(UPPER(MID(E23,4,1))="C","Company",IF(UPPER(MID(E23,4,1))="F","Firm",IF(UPPER(MID(E23,4,1))="L","LLP",IF(UPPER(MID(E23,4,1))="T","Trust",IF(UPPER(MID(E23,4,1))="A","AOP","")))))))))</f>
      </c>
      <c r="H23" s="8"/>
      <c r="I23" s="7">
        <f>IF($D23="","",IF(H23="","",IF(F23="Y",SUMPRODUCT(('Rate Lookup'!$A$1:$A$37=H23)*'Rate Lookup'!$D$1:$D$37),IF(OR(G23="Individual",G23="HUF"),SUMPRODUCT(('Rate Lookup'!$A$1:$A$37=H23)*'Rate Lookup'!$B$1:$B$37),SUMPRODUCT(('Rate Lookup'!$A$1:$A$37=H23)*'Rate Lookup'!$C$1:$C$37)))))</f>
      </c>
      <c r="J23" s="8"/>
      <c r="K23" s="8"/>
      <c r="L23" s="7">
        <f>IF($D23="","",ROUND(K23*I23/100,0))</f>
      </c>
      <c r="M23" s="7">
        <f>IF($D23="","",0)</f>
      </c>
      <c r="N23" s="7">
        <f>IF($D23="","",0)</f>
      </c>
      <c r="O23" s="7">
        <f>IF($D23="","",IF(OR(L23=0,J23="",IFERROR(INDEX('Challan Master'!$D$4:$D$207,MATCH($B23,'Challan Master'!$S$4:$S$207,0)),"")="",IFERROR(INDEX('Challan Master'!$D$4:$D$207,MATCH($B23,'Challan Master'!$S$4:$S$207,0)),"")&lt;=0),0,IF(IFERROR(INDEX('Challan Master'!$D$4:$D$207,MATCH($B23,'Challan Master'!$S$4:$S$207,0)),"")&lt;=DATE(YEAR(J23),MONTH(J23)+1,7),0,ROUND(L23*0.015*((YEAR(IFERROR(INDEX('Challan Master'!$D$4:$D$207,MATCH($B23,'Challan Master'!$S$4:$S$207,0)),""))-YEAR(J23))*12+(MONTH(IFERROR(INDEX('Challan Master'!$D$4:$D$207,MATCH($B23,'Challan Master'!$S$4:$S$207,0)),""))-MONTH(J23))+1),0))))</f>
      </c>
      <c r="P23" s="7">
        <f>IF($D23="","",0)</f>
      </c>
      <c r="Q23" s="8"/>
      <c r="R23" s="8"/>
      <c r="S23" s="8"/>
      <c r="T23" s="8"/>
      <c r="U23" s="8"/>
      <c r="V23" s="7">
        <f>IF($B23="","",IFERROR(INDEX('Challan Master'!$AA$4:$AA$207,MATCH($B23,'Challan Master'!$S$4:$S$207,0)),""))</f>
      </c>
    </row>
    <row r="24" spans="1:22" x14ac:dyDescent="0.25">
      <c r="A24" s="7">
        <f>IF($D24="","",COUNTIF($D$4:$D24,"&lt;&gt;"))</f>
      </c>
      <c r="B24" s="8"/>
      <c r="C24" s="7">
        <f>IF($B24="","","BSR "&amp;IFERROR(INDEX('Challan Master'!$B$4:$B$207,MATCH($B24,'Challan Master'!$S$4:$S$207,0)),"")&amp;" | Serial "&amp;IFERROR(INDEX('Challan Master'!$C$4:$C$207,MATCH($B24,'Challan Master'!$S$4:$S$207,0)),"")&amp;" | Deposit "&amp;TEXT(IFERROR(INDEX('Challan Master'!$D$4:$D$207,MATCH($B24,'Challan Master'!$S$4:$S$207,0)),""),"dd-mm-yyyy")&amp;" | Minor Head "&amp;IFERROR(INDEX('Challan Master'!$E$4:$E$207,MATCH($B24,'Challan Master'!$S$4:$S$207,0)),"")&amp;" | Tax ₹"&amp;TEXT(IFERROR(INDEX('Challan Master'!$G$4:$G$207,MATCH($B24,'Challan Master'!$S$4:$S$207,0)),""),"#,##0")&amp;" | Section "&amp;IFERROR(INDEX('Challan Master'!$F$4:$F$207,MATCH($B24,'Challan Master'!$S$4:$S$207,0)),""))</f>
      </c>
      <c r="D24" s="8"/>
      <c r="E24" s="8"/>
      <c r="F24" s="7">
        <f>IF($D24="","",IF(AND(LEN(TRIM(UPPER(E24)))=10,CODE(MID(TRIM(UPPER(E24)),1,1))&gt;=65,CODE(MID(TRIM(UPPER(E24)),1,1))&lt;=90,CODE(MID(TRIM(UPPER(E24)),2,1))&gt;=65,CODE(MID(TRIM(UPPER(E24)),2,1))&lt;=90,CODE(MID(TRIM(UPPER(E24)),3,1))&gt;=65,CODE(MID(TRIM(UPPER(E24)),3,1))&lt;=90,CODE(MID(TRIM(UPPER(E24)),4,1))&gt;=65,CODE(MID(TRIM(UPPER(E24)),4,1))&lt;=90,CODE(MID(TRIM(UPPER(E24)),5,1))&gt;=65,CODE(MID(TRIM(UPPER(E24)),5,1))&lt;=90,CODE(MID(TRIM(UPPER(E24)),10,1))&gt;=65,CODE(MID(TRIM(UPPER(E24)),10,1))&lt;=90,CODE(MID(TRIM(UPPER(E24)),6,1))&gt;=48,CODE(MID(TRIM(UPPER(E24)),6,1))&lt;=57,CODE(MID(TRIM(UPPER(E24)),7,1))&gt;=48,CODE(MID(TRIM(UPPER(E24)),7,1))&lt;=57,CODE(MID(TRIM(UPPER(E24)),8,1))&gt;=48,CODE(MID(TRIM(UPPER(E24)),8,1))&lt;=57,CODE(MID(TRIM(UPPER(E24)),9,1))&gt;=48,CODE(MID(TRIM(UPPER(E24)),9,1))&lt;=57),"N","Y"))</f>
      </c>
      <c r="G24" s="7">
        <f>IF($D24="","",IF(LEN(E24)&lt;4,"",IF(UPPER(MID(E24,4,1))="P","Individual",IF(UPPER(MID(E24,4,1))="H","HUF",IF(UPPER(MID(E24,4,1))="C","Company",IF(UPPER(MID(E24,4,1))="F","Firm",IF(UPPER(MID(E24,4,1))="L","LLP",IF(UPPER(MID(E24,4,1))="T","Trust",IF(UPPER(MID(E24,4,1))="A","AOP","")))))))))</f>
      </c>
      <c r="H24" s="8"/>
      <c r="I24" s="7">
        <f>IF($D24="","",IF(H24="","",IF(F24="Y",SUMPRODUCT(('Rate Lookup'!$A$1:$A$37=H24)*'Rate Lookup'!$D$1:$D$37),IF(OR(G24="Individual",G24="HUF"),SUMPRODUCT(('Rate Lookup'!$A$1:$A$37=H24)*'Rate Lookup'!$B$1:$B$37),SUMPRODUCT(('Rate Lookup'!$A$1:$A$37=H24)*'Rate Lookup'!$C$1:$C$37)))))</f>
      </c>
      <c r="J24" s="8"/>
      <c r="K24" s="8"/>
      <c r="L24" s="7">
        <f>IF($D24="","",ROUND(K24*I24/100,0))</f>
      </c>
      <c r="M24" s="7">
        <f>IF($D24="","",0)</f>
      </c>
      <c r="N24" s="7">
        <f>IF($D24="","",0)</f>
      </c>
      <c r="O24" s="7">
        <f>IF($D24="","",IF(OR(L24=0,J24="",IFERROR(INDEX('Challan Master'!$D$4:$D$207,MATCH($B24,'Challan Master'!$S$4:$S$207,0)),"")="",IFERROR(INDEX('Challan Master'!$D$4:$D$207,MATCH($B24,'Challan Master'!$S$4:$S$207,0)),"")&lt;=0),0,IF(IFERROR(INDEX('Challan Master'!$D$4:$D$207,MATCH($B24,'Challan Master'!$S$4:$S$207,0)),"")&lt;=DATE(YEAR(J24),MONTH(J24)+1,7),0,ROUND(L24*0.015*((YEAR(IFERROR(INDEX('Challan Master'!$D$4:$D$207,MATCH($B24,'Challan Master'!$S$4:$S$207,0)),""))-YEAR(J24))*12+(MONTH(IFERROR(INDEX('Challan Master'!$D$4:$D$207,MATCH($B24,'Challan Master'!$S$4:$S$207,0)),""))-MONTH(J24))+1),0))))</f>
      </c>
      <c r="P24" s="7">
        <f>IF($D24="","",0)</f>
      </c>
      <c r="Q24" s="8"/>
      <c r="R24" s="8"/>
      <c r="S24" s="8"/>
      <c r="T24" s="8"/>
      <c r="U24" s="8"/>
      <c r="V24" s="7">
        <f>IF($B24="","",IFERROR(INDEX('Challan Master'!$AA$4:$AA$207,MATCH($B24,'Challan Master'!$S$4:$S$207,0)),""))</f>
      </c>
    </row>
    <row r="25" spans="1:22" x14ac:dyDescent="0.25">
      <c r="A25" s="7">
        <f>IF($D25="","",COUNTIF($D$4:$D25,"&lt;&gt;"))</f>
      </c>
      <c r="B25" s="8"/>
      <c r="C25" s="7">
        <f>IF($B25="","","BSR "&amp;IFERROR(INDEX('Challan Master'!$B$4:$B$207,MATCH($B25,'Challan Master'!$S$4:$S$207,0)),"")&amp;" | Serial "&amp;IFERROR(INDEX('Challan Master'!$C$4:$C$207,MATCH($B25,'Challan Master'!$S$4:$S$207,0)),"")&amp;" | Deposit "&amp;TEXT(IFERROR(INDEX('Challan Master'!$D$4:$D$207,MATCH($B25,'Challan Master'!$S$4:$S$207,0)),""),"dd-mm-yyyy")&amp;" | Minor Head "&amp;IFERROR(INDEX('Challan Master'!$E$4:$E$207,MATCH($B25,'Challan Master'!$S$4:$S$207,0)),"")&amp;" | Tax ₹"&amp;TEXT(IFERROR(INDEX('Challan Master'!$G$4:$G$207,MATCH($B25,'Challan Master'!$S$4:$S$207,0)),""),"#,##0")&amp;" | Section "&amp;IFERROR(INDEX('Challan Master'!$F$4:$F$207,MATCH($B25,'Challan Master'!$S$4:$S$207,0)),""))</f>
      </c>
      <c r="D25" s="8"/>
      <c r="E25" s="8"/>
      <c r="F25" s="7">
        <f>IF($D25="","",IF(AND(LEN(TRIM(UPPER(E25)))=10,CODE(MID(TRIM(UPPER(E25)),1,1))&gt;=65,CODE(MID(TRIM(UPPER(E25)),1,1))&lt;=90,CODE(MID(TRIM(UPPER(E25)),2,1))&gt;=65,CODE(MID(TRIM(UPPER(E25)),2,1))&lt;=90,CODE(MID(TRIM(UPPER(E25)),3,1))&gt;=65,CODE(MID(TRIM(UPPER(E25)),3,1))&lt;=90,CODE(MID(TRIM(UPPER(E25)),4,1))&gt;=65,CODE(MID(TRIM(UPPER(E25)),4,1))&lt;=90,CODE(MID(TRIM(UPPER(E25)),5,1))&gt;=65,CODE(MID(TRIM(UPPER(E25)),5,1))&lt;=90,CODE(MID(TRIM(UPPER(E25)),10,1))&gt;=65,CODE(MID(TRIM(UPPER(E25)),10,1))&lt;=90,CODE(MID(TRIM(UPPER(E25)),6,1))&gt;=48,CODE(MID(TRIM(UPPER(E25)),6,1))&lt;=57,CODE(MID(TRIM(UPPER(E25)),7,1))&gt;=48,CODE(MID(TRIM(UPPER(E25)),7,1))&lt;=57,CODE(MID(TRIM(UPPER(E25)),8,1))&gt;=48,CODE(MID(TRIM(UPPER(E25)),8,1))&lt;=57,CODE(MID(TRIM(UPPER(E25)),9,1))&gt;=48,CODE(MID(TRIM(UPPER(E25)),9,1))&lt;=57),"N","Y"))</f>
      </c>
      <c r="G25" s="7">
        <f>IF($D25="","",IF(LEN(E25)&lt;4,"",IF(UPPER(MID(E25,4,1))="P","Individual",IF(UPPER(MID(E25,4,1))="H","HUF",IF(UPPER(MID(E25,4,1))="C","Company",IF(UPPER(MID(E25,4,1))="F","Firm",IF(UPPER(MID(E25,4,1))="L","LLP",IF(UPPER(MID(E25,4,1))="T","Trust",IF(UPPER(MID(E25,4,1))="A","AOP","")))))))))</f>
      </c>
      <c r="H25" s="8"/>
      <c r="I25" s="7">
        <f>IF($D25="","",IF(H25="","",IF(F25="Y",SUMPRODUCT(('Rate Lookup'!$A$1:$A$37=H25)*'Rate Lookup'!$D$1:$D$37),IF(OR(G25="Individual",G25="HUF"),SUMPRODUCT(('Rate Lookup'!$A$1:$A$37=H25)*'Rate Lookup'!$B$1:$B$37),SUMPRODUCT(('Rate Lookup'!$A$1:$A$37=H25)*'Rate Lookup'!$C$1:$C$37)))))</f>
      </c>
      <c r="J25" s="8"/>
      <c r="K25" s="8"/>
      <c r="L25" s="7">
        <f>IF($D25="","",ROUND(K25*I25/100,0))</f>
      </c>
      <c r="M25" s="7">
        <f>IF($D25="","",0)</f>
      </c>
      <c r="N25" s="7">
        <f>IF($D25="","",0)</f>
      </c>
      <c r="O25" s="7">
        <f>IF($D25="","",IF(OR(L25=0,J25="",IFERROR(INDEX('Challan Master'!$D$4:$D$207,MATCH($B25,'Challan Master'!$S$4:$S$207,0)),"")="",IFERROR(INDEX('Challan Master'!$D$4:$D$207,MATCH($B25,'Challan Master'!$S$4:$S$207,0)),"")&lt;=0),0,IF(IFERROR(INDEX('Challan Master'!$D$4:$D$207,MATCH($B25,'Challan Master'!$S$4:$S$207,0)),"")&lt;=DATE(YEAR(J25),MONTH(J25)+1,7),0,ROUND(L25*0.015*((YEAR(IFERROR(INDEX('Challan Master'!$D$4:$D$207,MATCH($B25,'Challan Master'!$S$4:$S$207,0)),""))-YEAR(J25))*12+(MONTH(IFERROR(INDEX('Challan Master'!$D$4:$D$207,MATCH($B25,'Challan Master'!$S$4:$S$207,0)),""))-MONTH(J25))+1),0))))</f>
      </c>
      <c r="P25" s="7">
        <f>IF($D25="","",0)</f>
      </c>
      <c r="Q25" s="8"/>
      <c r="R25" s="8"/>
      <c r="S25" s="8"/>
      <c r="T25" s="8"/>
      <c r="U25" s="8"/>
      <c r="V25" s="7">
        <f>IF($B25="","",IFERROR(INDEX('Challan Master'!$AA$4:$AA$207,MATCH($B25,'Challan Master'!$S$4:$S$207,0)),""))</f>
      </c>
    </row>
    <row r="26" spans="1:22" x14ac:dyDescent="0.25">
      <c r="A26" s="7">
        <f>IF($D26="","",COUNTIF($D$4:$D26,"&lt;&gt;"))</f>
      </c>
      <c r="B26" s="8"/>
      <c r="C26" s="7">
        <f>IF($B26="","","BSR "&amp;IFERROR(INDEX('Challan Master'!$B$4:$B$207,MATCH($B26,'Challan Master'!$S$4:$S$207,0)),"")&amp;" | Serial "&amp;IFERROR(INDEX('Challan Master'!$C$4:$C$207,MATCH($B26,'Challan Master'!$S$4:$S$207,0)),"")&amp;" | Deposit "&amp;TEXT(IFERROR(INDEX('Challan Master'!$D$4:$D$207,MATCH($B26,'Challan Master'!$S$4:$S$207,0)),""),"dd-mm-yyyy")&amp;" | Minor Head "&amp;IFERROR(INDEX('Challan Master'!$E$4:$E$207,MATCH($B26,'Challan Master'!$S$4:$S$207,0)),"")&amp;" | Tax ₹"&amp;TEXT(IFERROR(INDEX('Challan Master'!$G$4:$G$207,MATCH($B26,'Challan Master'!$S$4:$S$207,0)),""),"#,##0")&amp;" | Section "&amp;IFERROR(INDEX('Challan Master'!$F$4:$F$207,MATCH($B26,'Challan Master'!$S$4:$S$207,0)),""))</f>
      </c>
      <c r="D26" s="8"/>
      <c r="E26" s="8"/>
      <c r="F26" s="7">
        <f>IF($D26="","",IF(AND(LEN(TRIM(UPPER(E26)))=10,CODE(MID(TRIM(UPPER(E26)),1,1))&gt;=65,CODE(MID(TRIM(UPPER(E26)),1,1))&lt;=90,CODE(MID(TRIM(UPPER(E26)),2,1))&gt;=65,CODE(MID(TRIM(UPPER(E26)),2,1))&lt;=90,CODE(MID(TRIM(UPPER(E26)),3,1))&gt;=65,CODE(MID(TRIM(UPPER(E26)),3,1))&lt;=90,CODE(MID(TRIM(UPPER(E26)),4,1))&gt;=65,CODE(MID(TRIM(UPPER(E26)),4,1))&lt;=90,CODE(MID(TRIM(UPPER(E26)),5,1))&gt;=65,CODE(MID(TRIM(UPPER(E26)),5,1))&lt;=90,CODE(MID(TRIM(UPPER(E26)),10,1))&gt;=65,CODE(MID(TRIM(UPPER(E26)),10,1))&lt;=90,CODE(MID(TRIM(UPPER(E26)),6,1))&gt;=48,CODE(MID(TRIM(UPPER(E26)),6,1))&lt;=57,CODE(MID(TRIM(UPPER(E26)),7,1))&gt;=48,CODE(MID(TRIM(UPPER(E26)),7,1))&lt;=57,CODE(MID(TRIM(UPPER(E26)),8,1))&gt;=48,CODE(MID(TRIM(UPPER(E26)),8,1))&lt;=57,CODE(MID(TRIM(UPPER(E26)),9,1))&gt;=48,CODE(MID(TRIM(UPPER(E26)),9,1))&lt;=57),"N","Y"))</f>
      </c>
      <c r="G26" s="7">
        <f>IF($D26="","",IF(LEN(E26)&lt;4,"",IF(UPPER(MID(E26,4,1))="P","Individual",IF(UPPER(MID(E26,4,1))="H","HUF",IF(UPPER(MID(E26,4,1))="C","Company",IF(UPPER(MID(E26,4,1))="F","Firm",IF(UPPER(MID(E26,4,1))="L","LLP",IF(UPPER(MID(E26,4,1))="T","Trust",IF(UPPER(MID(E26,4,1))="A","AOP","")))))))))</f>
      </c>
      <c r="H26" s="8"/>
      <c r="I26" s="7">
        <f>IF($D26="","",IF(H26="","",IF(F26="Y",SUMPRODUCT(('Rate Lookup'!$A$1:$A$37=H26)*'Rate Lookup'!$D$1:$D$37),IF(OR(G26="Individual",G26="HUF"),SUMPRODUCT(('Rate Lookup'!$A$1:$A$37=H26)*'Rate Lookup'!$B$1:$B$37),SUMPRODUCT(('Rate Lookup'!$A$1:$A$37=H26)*'Rate Lookup'!$C$1:$C$37)))))</f>
      </c>
      <c r="J26" s="8"/>
      <c r="K26" s="8"/>
      <c r="L26" s="7">
        <f>IF($D26="","",ROUND(K26*I26/100,0))</f>
      </c>
      <c r="M26" s="7">
        <f>IF($D26="","",0)</f>
      </c>
      <c r="N26" s="7">
        <f>IF($D26="","",0)</f>
      </c>
      <c r="O26" s="7">
        <f>IF($D26="","",IF(OR(L26=0,J26="",IFERROR(INDEX('Challan Master'!$D$4:$D$207,MATCH($B26,'Challan Master'!$S$4:$S$207,0)),"")="",IFERROR(INDEX('Challan Master'!$D$4:$D$207,MATCH($B26,'Challan Master'!$S$4:$S$207,0)),"")&lt;=0),0,IF(IFERROR(INDEX('Challan Master'!$D$4:$D$207,MATCH($B26,'Challan Master'!$S$4:$S$207,0)),"")&lt;=DATE(YEAR(J26),MONTH(J26)+1,7),0,ROUND(L26*0.015*((YEAR(IFERROR(INDEX('Challan Master'!$D$4:$D$207,MATCH($B26,'Challan Master'!$S$4:$S$207,0)),""))-YEAR(J26))*12+(MONTH(IFERROR(INDEX('Challan Master'!$D$4:$D$207,MATCH($B26,'Challan Master'!$S$4:$S$207,0)),""))-MONTH(J26))+1),0))))</f>
      </c>
      <c r="P26" s="7">
        <f>IF($D26="","",0)</f>
      </c>
      <c r="Q26" s="8"/>
      <c r="R26" s="8"/>
      <c r="S26" s="8"/>
      <c r="T26" s="8"/>
      <c r="U26" s="8"/>
      <c r="V26" s="7">
        <f>IF($B26="","",IFERROR(INDEX('Challan Master'!$AA$4:$AA$207,MATCH($B26,'Challan Master'!$S$4:$S$207,0)),""))</f>
      </c>
    </row>
    <row r="27" spans="1:22" x14ac:dyDescent="0.25">
      <c r="A27" s="7">
        <f>IF($D27="","",COUNTIF($D$4:$D27,"&lt;&gt;"))</f>
      </c>
      <c r="B27" s="8"/>
      <c r="C27" s="7">
        <f>IF($B27="","","BSR "&amp;IFERROR(INDEX('Challan Master'!$B$4:$B$207,MATCH($B27,'Challan Master'!$S$4:$S$207,0)),"")&amp;" | Serial "&amp;IFERROR(INDEX('Challan Master'!$C$4:$C$207,MATCH($B27,'Challan Master'!$S$4:$S$207,0)),"")&amp;" | Deposit "&amp;TEXT(IFERROR(INDEX('Challan Master'!$D$4:$D$207,MATCH($B27,'Challan Master'!$S$4:$S$207,0)),""),"dd-mm-yyyy")&amp;" | Minor Head "&amp;IFERROR(INDEX('Challan Master'!$E$4:$E$207,MATCH($B27,'Challan Master'!$S$4:$S$207,0)),"")&amp;" | Tax ₹"&amp;TEXT(IFERROR(INDEX('Challan Master'!$G$4:$G$207,MATCH($B27,'Challan Master'!$S$4:$S$207,0)),""),"#,##0")&amp;" | Section "&amp;IFERROR(INDEX('Challan Master'!$F$4:$F$207,MATCH($B27,'Challan Master'!$S$4:$S$207,0)),""))</f>
      </c>
      <c r="D27" s="8"/>
      <c r="E27" s="8"/>
      <c r="F27" s="7">
        <f>IF($D27="","",IF(AND(LEN(TRIM(UPPER(E27)))=10,CODE(MID(TRIM(UPPER(E27)),1,1))&gt;=65,CODE(MID(TRIM(UPPER(E27)),1,1))&lt;=90,CODE(MID(TRIM(UPPER(E27)),2,1))&gt;=65,CODE(MID(TRIM(UPPER(E27)),2,1))&lt;=90,CODE(MID(TRIM(UPPER(E27)),3,1))&gt;=65,CODE(MID(TRIM(UPPER(E27)),3,1))&lt;=90,CODE(MID(TRIM(UPPER(E27)),4,1))&gt;=65,CODE(MID(TRIM(UPPER(E27)),4,1))&lt;=90,CODE(MID(TRIM(UPPER(E27)),5,1))&gt;=65,CODE(MID(TRIM(UPPER(E27)),5,1))&lt;=90,CODE(MID(TRIM(UPPER(E27)),10,1))&gt;=65,CODE(MID(TRIM(UPPER(E27)),10,1))&lt;=90,CODE(MID(TRIM(UPPER(E27)),6,1))&gt;=48,CODE(MID(TRIM(UPPER(E27)),6,1))&lt;=57,CODE(MID(TRIM(UPPER(E27)),7,1))&gt;=48,CODE(MID(TRIM(UPPER(E27)),7,1))&lt;=57,CODE(MID(TRIM(UPPER(E27)),8,1))&gt;=48,CODE(MID(TRIM(UPPER(E27)),8,1))&lt;=57,CODE(MID(TRIM(UPPER(E27)),9,1))&gt;=48,CODE(MID(TRIM(UPPER(E27)),9,1))&lt;=57),"N","Y"))</f>
      </c>
      <c r="G27" s="7">
        <f>IF($D27="","",IF(LEN(E27)&lt;4,"",IF(UPPER(MID(E27,4,1))="P","Individual",IF(UPPER(MID(E27,4,1))="H","HUF",IF(UPPER(MID(E27,4,1))="C","Company",IF(UPPER(MID(E27,4,1))="F","Firm",IF(UPPER(MID(E27,4,1))="L","LLP",IF(UPPER(MID(E27,4,1))="T","Trust",IF(UPPER(MID(E27,4,1))="A","AOP","")))))))))</f>
      </c>
      <c r="H27" s="8"/>
      <c r="I27" s="7">
        <f>IF($D27="","",IF(H27="","",IF(F27="Y",SUMPRODUCT(('Rate Lookup'!$A$1:$A$37=H27)*'Rate Lookup'!$D$1:$D$37),IF(OR(G27="Individual",G27="HUF"),SUMPRODUCT(('Rate Lookup'!$A$1:$A$37=H27)*'Rate Lookup'!$B$1:$B$37),SUMPRODUCT(('Rate Lookup'!$A$1:$A$37=H27)*'Rate Lookup'!$C$1:$C$37)))))</f>
      </c>
      <c r="J27" s="8"/>
      <c r="K27" s="8"/>
      <c r="L27" s="7">
        <f>IF($D27="","",ROUND(K27*I27/100,0))</f>
      </c>
      <c r="M27" s="7">
        <f>IF($D27="","",0)</f>
      </c>
      <c r="N27" s="7">
        <f>IF($D27="","",0)</f>
      </c>
      <c r="O27" s="7">
        <f>IF($D27="","",IF(OR(L27=0,J27="",IFERROR(INDEX('Challan Master'!$D$4:$D$207,MATCH($B27,'Challan Master'!$S$4:$S$207,0)),"")="",IFERROR(INDEX('Challan Master'!$D$4:$D$207,MATCH($B27,'Challan Master'!$S$4:$S$207,0)),"")&lt;=0),0,IF(IFERROR(INDEX('Challan Master'!$D$4:$D$207,MATCH($B27,'Challan Master'!$S$4:$S$207,0)),"")&lt;=DATE(YEAR(J27),MONTH(J27)+1,7),0,ROUND(L27*0.015*((YEAR(IFERROR(INDEX('Challan Master'!$D$4:$D$207,MATCH($B27,'Challan Master'!$S$4:$S$207,0)),""))-YEAR(J27))*12+(MONTH(IFERROR(INDEX('Challan Master'!$D$4:$D$207,MATCH($B27,'Challan Master'!$S$4:$S$207,0)),""))-MONTH(J27))+1),0))))</f>
      </c>
      <c r="P27" s="7">
        <f>IF($D27="","",0)</f>
      </c>
      <c r="Q27" s="8"/>
      <c r="R27" s="8"/>
      <c r="S27" s="8"/>
      <c r="T27" s="8"/>
      <c r="U27" s="8"/>
      <c r="V27" s="7">
        <f>IF($B27="","",IFERROR(INDEX('Challan Master'!$AA$4:$AA$207,MATCH($B27,'Challan Master'!$S$4:$S$207,0)),""))</f>
      </c>
    </row>
    <row r="28" spans="1:22" x14ac:dyDescent="0.25">
      <c r="A28" s="7">
        <f>IF($D28="","",COUNTIF($D$4:$D28,"&lt;&gt;"))</f>
      </c>
      <c r="B28" s="8"/>
      <c r="C28" s="7">
        <f>IF($B28="","","BSR "&amp;IFERROR(INDEX('Challan Master'!$B$4:$B$207,MATCH($B28,'Challan Master'!$S$4:$S$207,0)),"")&amp;" | Serial "&amp;IFERROR(INDEX('Challan Master'!$C$4:$C$207,MATCH($B28,'Challan Master'!$S$4:$S$207,0)),"")&amp;" | Deposit "&amp;TEXT(IFERROR(INDEX('Challan Master'!$D$4:$D$207,MATCH($B28,'Challan Master'!$S$4:$S$207,0)),""),"dd-mm-yyyy")&amp;" | Minor Head "&amp;IFERROR(INDEX('Challan Master'!$E$4:$E$207,MATCH($B28,'Challan Master'!$S$4:$S$207,0)),"")&amp;" | Tax ₹"&amp;TEXT(IFERROR(INDEX('Challan Master'!$G$4:$G$207,MATCH($B28,'Challan Master'!$S$4:$S$207,0)),""),"#,##0")&amp;" | Section "&amp;IFERROR(INDEX('Challan Master'!$F$4:$F$207,MATCH($B28,'Challan Master'!$S$4:$S$207,0)),""))</f>
      </c>
      <c r="D28" s="8"/>
      <c r="E28" s="8"/>
      <c r="F28" s="7">
        <f>IF($D28="","",IF(AND(LEN(TRIM(UPPER(E28)))=10,CODE(MID(TRIM(UPPER(E28)),1,1))&gt;=65,CODE(MID(TRIM(UPPER(E28)),1,1))&lt;=90,CODE(MID(TRIM(UPPER(E28)),2,1))&gt;=65,CODE(MID(TRIM(UPPER(E28)),2,1))&lt;=90,CODE(MID(TRIM(UPPER(E28)),3,1))&gt;=65,CODE(MID(TRIM(UPPER(E28)),3,1))&lt;=90,CODE(MID(TRIM(UPPER(E28)),4,1))&gt;=65,CODE(MID(TRIM(UPPER(E28)),4,1))&lt;=90,CODE(MID(TRIM(UPPER(E28)),5,1))&gt;=65,CODE(MID(TRIM(UPPER(E28)),5,1))&lt;=90,CODE(MID(TRIM(UPPER(E28)),10,1))&gt;=65,CODE(MID(TRIM(UPPER(E28)),10,1))&lt;=90,CODE(MID(TRIM(UPPER(E28)),6,1))&gt;=48,CODE(MID(TRIM(UPPER(E28)),6,1))&lt;=57,CODE(MID(TRIM(UPPER(E28)),7,1))&gt;=48,CODE(MID(TRIM(UPPER(E28)),7,1))&lt;=57,CODE(MID(TRIM(UPPER(E28)),8,1))&gt;=48,CODE(MID(TRIM(UPPER(E28)),8,1))&lt;=57,CODE(MID(TRIM(UPPER(E28)),9,1))&gt;=48,CODE(MID(TRIM(UPPER(E28)),9,1))&lt;=57),"N","Y"))</f>
      </c>
      <c r="G28" s="7">
        <f>IF($D28="","",IF(LEN(E28)&lt;4,"",IF(UPPER(MID(E28,4,1))="P","Individual",IF(UPPER(MID(E28,4,1))="H","HUF",IF(UPPER(MID(E28,4,1))="C","Company",IF(UPPER(MID(E28,4,1))="F","Firm",IF(UPPER(MID(E28,4,1))="L","LLP",IF(UPPER(MID(E28,4,1))="T","Trust",IF(UPPER(MID(E28,4,1))="A","AOP","")))))))))</f>
      </c>
      <c r="H28" s="8"/>
      <c r="I28" s="7">
        <f>IF($D28="","",IF(H28="","",IF(F28="Y",SUMPRODUCT(('Rate Lookup'!$A$1:$A$37=H28)*'Rate Lookup'!$D$1:$D$37),IF(OR(G28="Individual",G28="HUF"),SUMPRODUCT(('Rate Lookup'!$A$1:$A$37=H28)*'Rate Lookup'!$B$1:$B$37),SUMPRODUCT(('Rate Lookup'!$A$1:$A$37=H28)*'Rate Lookup'!$C$1:$C$37)))))</f>
      </c>
      <c r="J28" s="8"/>
      <c r="K28" s="8"/>
      <c r="L28" s="7">
        <f>IF($D28="","",ROUND(K28*I28/100,0))</f>
      </c>
      <c r="M28" s="7">
        <f>IF($D28="","",0)</f>
      </c>
      <c r="N28" s="7">
        <f>IF($D28="","",0)</f>
      </c>
      <c r="O28" s="7">
        <f>IF($D28="","",IF(OR(L28=0,J28="",IFERROR(INDEX('Challan Master'!$D$4:$D$207,MATCH($B28,'Challan Master'!$S$4:$S$207,0)),"")="",IFERROR(INDEX('Challan Master'!$D$4:$D$207,MATCH($B28,'Challan Master'!$S$4:$S$207,0)),"")&lt;=0),0,IF(IFERROR(INDEX('Challan Master'!$D$4:$D$207,MATCH($B28,'Challan Master'!$S$4:$S$207,0)),"")&lt;=DATE(YEAR(J28),MONTH(J28)+1,7),0,ROUND(L28*0.015*((YEAR(IFERROR(INDEX('Challan Master'!$D$4:$D$207,MATCH($B28,'Challan Master'!$S$4:$S$207,0)),""))-YEAR(J28))*12+(MONTH(IFERROR(INDEX('Challan Master'!$D$4:$D$207,MATCH($B28,'Challan Master'!$S$4:$S$207,0)),""))-MONTH(J28))+1),0))))</f>
      </c>
      <c r="P28" s="7">
        <f>IF($D28="","",0)</f>
      </c>
      <c r="Q28" s="8"/>
      <c r="R28" s="8"/>
      <c r="S28" s="8"/>
      <c r="T28" s="8"/>
      <c r="U28" s="8"/>
      <c r="V28" s="7">
        <f>IF($B28="","",IFERROR(INDEX('Challan Master'!$AA$4:$AA$207,MATCH($B28,'Challan Master'!$S$4:$S$207,0)),""))</f>
      </c>
    </row>
    <row r="29" spans="1:22" x14ac:dyDescent="0.25">
      <c r="A29" s="7">
        <f>IF($D29="","",COUNTIF($D$4:$D29,"&lt;&gt;"))</f>
      </c>
      <c r="B29" s="8"/>
      <c r="C29" s="7">
        <f>IF($B29="","","BSR "&amp;IFERROR(INDEX('Challan Master'!$B$4:$B$207,MATCH($B29,'Challan Master'!$S$4:$S$207,0)),"")&amp;" | Serial "&amp;IFERROR(INDEX('Challan Master'!$C$4:$C$207,MATCH($B29,'Challan Master'!$S$4:$S$207,0)),"")&amp;" | Deposit "&amp;TEXT(IFERROR(INDEX('Challan Master'!$D$4:$D$207,MATCH($B29,'Challan Master'!$S$4:$S$207,0)),""),"dd-mm-yyyy")&amp;" | Minor Head "&amp;IFERROR(INDEX('Challan Master'!$E$4:$E$207,MATCH($B29,'Challan Master'!$S$4:$S$207,0)),"")&amp;" | Tax ₹"&amp;TEXT(IFERROR(INDEX('Challan Master'!$G$4:$G$207,MATCH($B29,'Challan Master'!$S$4:$S$207,0)),""),"#,##0")&amp;" | Section "&amp;IFERROR(INDEX('Challan Master'!$F$4:$F$207,MATCH($B29,'Challan Master'!$S$4:$S$207,0)),""))</f>
      </c>
      <c r="D29" s="8"/>
      <c r="E29" s="8"/>
      <c r="F29" s="7">
        <f>IF($D29="","",IF(AND(LEN(TRIM(UPPER(E29)))=10,CODE(MID(TRIM(UPPER(E29)),1,1))&gt;=65,CODE(MID(TRIM(UPPER(E29)),1,1))&lt;=90,CODE(MID(TRIM(UPPER(E29)),2,1))&gt;=65,CODE(MID(TRIM(UPPER(E29)),2,1))&lt;=90,CODE(MID(TRIM(UPPER(E29)),3,1))&gt;=65,CODE(MID(TRIM(UPPER(E29)),3,1))&lt;=90,CODE(MID(TRIM(UPPER(E29)),4,1))&gt;=65,CODE(MID(TRIM(UPPER(E29)),4,1))&lt;=90,CODE(MID(TRIM(UPPER(E29)),5,1))&gt;=65,CODE(MID(TRIM(UPPER(E29)),5,1))&lt;=90,CODE(MID(TRIM(UPPER(E29)),10,1))&gt;=65,CODE(MID(TRIM(UPPER(E29)),10,1))&lt;=90,CODE(MID(TRIM(UPPER(E29)),6,1))&gt;=48,CODE(MID(TRIM(UPPER(E29)),6,1))&lt;=57,CODE(MID(TRIM(UPPER(E29)),7,1))&gt;=48,CODE(MID(TRIM(UPPER(E29)),7,1))&lt;=57,CODE(MID(TRIM(UPPER(E29)),8,1))&gt;=48,CODE(MID(TRIM(UPPER(E29)),8,1))&lt;=57,CODE(MID(TRIM(UPPER(E29)),9,1))&gt;=48,CODE(MID(TRIM(UPPER(E29)),9,1))&lt;=57),"N","Y"))</f>
      </c>
      <c r="G29" s="7">
        <f>IF($D29="","",IF(LEN(E29)&lt;4,"",IF(UPPER(MID(E29,4,1))="P","Individual",IF(UPPER(MID(E29,4,1))="H","HUF",IF(UPPER(MID(E29,4,1))="C","Company",IF(UPPER(MID(E29,4,1))="F","Firm",IF(UPPER(MID(E29,4,1))="L","LLP",IF(UPPER(MID(E29,4,1))="T","Trust",IF(UPPER(MID(E29,4,1))="A","AOP","")))))))))</f>
      </c>
      <c r="H29" s="8"/>
      <c r="I29" s="7">
        <f>IF($D29="","",IF(H29="","",IF(F29="Y",SUMPRODUCT(('Rate Lookup'!$A$1:$A$37=H29)*'Rate Lookup'!$D$1:$D$37),IF(OR(G29="Individual",G29="HUF"),SUMPRODUCT(('Rate Lookup'!$A$1:$A$37=H29)*'Rate Lookup'!$B$1:$B$37),SUMPRODUCT(('Rate Lookup'!$A$1:$A$37=H29)*'Rate Lookup'!$C$1:$C$37)))))</f>
      </c>
      <c r="J29" s="8"/>
      <c r="K29" s="8"/>
      <c r="L29" s="7">
        <f>IF($D29="","",ROUND(K29*I29/100,0))</f>
      </c>
      <c r="M29" s="7">
        <f>IF($D29="","",0)</f>
      </c>
      <c r="N29" s="7">
        <f>IF($D29="","",0)</f>
      </c>
      <c r="O29" s="7">
        <f>IF($D29="","",IF(OR(L29=0,J29="",IFERROR(INDEX('Challan Master'!$D$4:$D$207,MATCH($B29,'Challan Master'!$S$4:$S$207,0)),"")="",IFERROR(INDEX('Challan Master'!$D$4:$D$207,MATCH($B29,'Challan Master'!$S$4:$S$207,0)),"")&lt;=0),0,IF(IFERROR(INDEX('Challan Master'!$D$4:$D$207,MATCH($B29,'Challan Master'!$S$4:$S$207,0)),"")&lt;=DATE(YEAR(J29),MONTH(J29)+1,7),0,ROUND(L29*0.015*((YEAR(IFERROR(INDEX('Challan Master'!$D$4:$D$207,MATCH($B29,'Challan Master'!$S$4:$S$207,0)),""))-YEAR(J29))*12+(MONTH(IFERROR(INDEX('Challan Master'!$D$4:$D$207,MATCH($B29,'Challan Master'!$S$4:$S$207,0)),""))-MONTH(J29))+1),0))))</f>
      </c>
      <c r="P29" s="7">
        <f>IF($D29="","",0)</f>
      </c>
      <c r="Q29" s="8"/>
      <c r="R29" s="8"/>
      <c r="S29" s="8"/>
      <c r="T29" s="8"/>
      <c r="U29" s="8"/>
      <c r="V29" s="7">
        <f>IF($B29="","",IFERROR(INDEX('Challan Master'!$AA$4:$AA$207,MATCH($B29,'Challan Master'!$S$4:$S$207,0)),""))</f>
      </c>
    </row>
    <row r="30" spans="1:22" x14ac:dyDescent="0.25">
      <c r="A30" s="7">
        <f>IF($D30="","",COUNTIF($D$4:$D30,"&lt;&gt;"))</f>
      </c>
      <c r="B30" s="8"/>
      <c r="C30" s="7">
        <f>IF($B30="","","BSR "&amp;IFERROR(INDEX('Challan Master'!$B$4:$B$207,MATCH($B30,'Challan Master'!$S$4:$S$207,0)),"")&amp;" | Serial "&amp;IFERROR(INDEX('Challan Master'!$C$4:$C$207,MATCH($B30,'Challan Master'!$S$4:$S$207,0)),"")&amp;" | Deposit "&amp;TEXT(IFERROR(INDEX('Challan Master'!$D$4:$D$207,MATCH($B30,'Challan Master'!$S$4:$S$207,0)),""),"dd-mm-yyyy")&amp;" | Minor Head "&amp;IFERROR(INDEX('Challan Master'!$E$4:$E$207,MATCH($B30,'Challan Master'!$S$4:$S$207,0)),"")&amp;" | Tax ₹"&amp;TEXT(IFERROR(INDEX('Challan Master'!$G$4:$G$207,MATCH($B30,'Challan Master'!$S$4:$S$207,0)),""),"#,##0")&amp;" | Section "&amp;IFERROR(INDEX('Challan Master'!$F$4:$F$207,MATCH($B30,'Challan Master'!$S$4:$S$207,0)),""))</f>
      </c>
      <c r="D30" s="8"/>
      <c r="E30" s="8"/>
      <c r="F30" s="7">
        <f>IF($D30="","",IF(AND(LEN(TRIM(UPPER(E30)))=10,CODE(MID(TRIM(UPPER(E30)),1,1))&gt;=65,CODE(MID(TRIM(UPPER(E30)),1,1))&lt;=90,CODE(MID(TRIM(UPPER(E30)),2,1))&gt;=65,CODE(MID(TRIM(UPPER(E30)),2,1))&lt;=90,CODE(MID(TRIM(UPPER(E30)),3,1))&gt;=65,CODE(MID(TRIM(UPPER(E30)),3,1))&lt;=90,CODE(MID(TRIM(UPPER(E30)),4,1))&gt;=65,CODE(MID(TRIM(UPPER(E30)),4,1))&lt;=90,CODE(MID(TRIM(UPPER(E30)),5,1))&gt;=65,CODE(MID(TRIM(UPPER(E30)),5,1))&lt;=90,CODE(MID(TRIM(UPPER(E30)),10,1))&gt;=65,CODE(MID(TRIM(UPPER(E30)),10,1))&lt;=90,CODE(MID(TRIM(UPPER(E30)),6,1))&gt;=48,CODE(MID(TRIM(UPPER(E30)),6,1))&lt;=57,CODE(MID(TRIM(UPPER(E30)),7,1))&gt;=48,CODE(MID(TRIM(UPPER(E30)),7,1))&lt;=57,CODE(MID(TRIM(UPPER(E30)),8,1))&gt;=48,CODE(MID(TRIM(UPPER(E30)),8,1))&lt;=57,CODE(MID(TRIM(UPPER(E30)),9,1))&gt;=48,CODE(MID(TRIM(UPPER(E30)),9,1))&lt;=57),"N","Y"))</f>
      </c>
      <c r="G30" s="7">
        <f>IF($D30="","",IF(LEN(E30)&lt;4,"",IF(UPPER(MID(E30,4,1))="P","Individual",IF(UPPER(MID(E30,4,1))="H","HUF",IF(UPPER(MID(E30,4,1))="C","Company",IF(UPPER(MID(E30,4,1))="F","Firm",IF(UPPER(MID(E30,4,1))="L","LLP",IF(UPPER(MID(E30,4,1))="T","Trust",IF(UPPER(MID(E30,4,1))="A","AOP","")))))))))</f>
      </c>
      <c r="H30" s="8"/>
      <c r="I30" s="7">
        <f>IF($D30="","",IF(H30="","",IF(F30="Y",SUMPRODUCT(('Rate Lookup'!$A$1:$A$37=H30)*'Rate Lookup'!$D$1:$D$37),IF(OR(G30="Individual",G30="HUF"),SUMPRODUCT(('Rate Lookup'!$A$1:$A$37=H30)*'Rate Lookup'!$B$1:$B$37),SUMPRODUCT(('Rate Lookup'!$A$1:$A$37=H30)*'Rate Lookup'!$C$1:$C$37)))))</f>
      </c>
      <c r="J30" s="8"/>
      <c r="K30" s="8"/>
      <c r="L30" s="7">
        <f>IF($D30="","",ROUND(K30*I30/100,0))</f>
      </c>
      <c r="M30" s="7">
        <f>IF($D30="","",0)</f>
      </c>
      <c r="N30" s="7">
        <f>IF($D30="","",0)</f>
      </c>
      <c r="O30" s="7">
        <f>IF($D30="","",IF(OR(L30=0,J30="",IFERROR(INDEX('Challan Master'!$D$4:$D$207,MATCH($B30,'Challan Master'!$S$4:$S$207,0)),"")="",IFERROR(INDEX('Challan Master'!$D$4:$D$207,MATCH($B30,'Challan Master'!$S$4:$S$207,0)),"")&lt;=0),0,IF(IFERROR(INDEX('Challan Master'!$D$4:$D$207,MATCH($B30,'Challan Master'!$S$4:$S$207,0)),"")&lt;=DATE(YEAR(J30),MONTH(J30)+1,7),0,ROUND(L30*0.015*((YEAR(IFERROR(INDEX('Challan Master'!$D$4:$D$207,MATCH($B30,'Challan Master'!$S$4:$S$207,0)),""))-YEAR(J30))*12+(MONTH(IFERROR(INDEX('Challan Master'!$D$4:$D$207,MATCH($B30,'Challan Master'!$S$4:$S$207,0)),""))-MONTH(J30))+1),0))))</f>
      </c>
      <c r="P30" s="7">
        <f>IF($D30="","",0)</f>
      </c>
      <c r="Q30" s="8"/>
      <c r="R30" s="8"/>
      <c r="S30" s="8"/>
      <c r="T30" s="8"/>
      <c r="U30" s="8"/>
      <c r="V30" s="7">
        <f>IF($B30="","",IFERROR(INDEX('Challan Master'!$AA$4:$AA$207,MATCH($B30,'Challan Master'!$S$4:$S$207,0)),""))</f>
      </c>
    </row>
    <row r="31" spans="1:22" x14ac:dyDescent="0.25">
      <c r="A31" s="7">
        <f>IF($D31="","",COUNTIF($D$4:$D31,"&lt;&gt;"))</f>
      </c>
      <c r="B31" s="8"/>
      <c r="C31" s="7">
        <f>IF($B31="","","BSR "&amp;IFERROR(INDEX('Challan Master'!$B$4:$B$207,MATCH($B31,'Challan Master'!$S$4:$S$207,0)),"")&amp;" | Serial "&amp;IFERROR(INDEX('Challan Master'!$C$4:$C$207,MATCH($B31,'Challan Master'!$S$4:$S$207,0)),"")&amp;" | Deposit "&amp;TEXT(IFERROR(INDEX('Challan Master'!$D$4:$D$207,MATCH($B31,'Challan Master'!$S$4:$S$207,0)),""),"dd-mm-yyyy")&amp;" | Minor Head "&amp;IFERROR(INDEX('Challan Master'!$E$4:$E$207,MATCH($B31,'Challan Master'!$S$4:$S$207,0)),"")&amp;" | Tax ₹"&amp;TEXT(IFERROR(INDEX('Challan Master'!$G$4:$G$207,MATCH($B31,'Challan Master'!$S$4:$S$207,0)),""),"#,##0")&amp;" | Section "&amp;IFERROR(INDEX('Challan Master'!$F$4:$F$207,MATCH($B31,'Challan Master'!$S$4:$S$207,0)),""))</f>
      </c>
      <c r="D31" s="8"/>
      <c r="E31" s="8"/>
      <c r="F31" s="7">
        <f>IF($D31="","",IF(AND(LEN(TRIM(UPPER(E31)))=10,CODE(MID(TRIM(UPPER(E31)),1,1))&gt;=65,CODE(MID(TRIM(UPPER(E31)),1,1))&lt;=90,CODE(MID(TRIM(UPPER(E31)),2,1))&gt;=65,CODE(MID(TRIM(UPPER(E31)),2,1))&lt;=90,CODE(MID(TRIM(UPPER(E31)),3,1))&gt;=65,CODE(MID(TRIM(UPPER(E31)),3,1))&lt;=90,CODE(MID(TRIM(UPPER(E31)),4,1))&gt;=65,CODE(MID(TRIM(UPPER(E31)),4,1))&lt;=90,CODE(MID(TRIM(UPPER(E31)),5,1))&gt;=65,CODE(MID(TRIM(UPPER(E31)),5,1))&lt;=90,CODE(MID(TRIM(UPPER(E31)),10,1))&gt;=65,CODE(MID(TRIM(UPPER(E31)),10,1))&lt;=90,CODE(MID(TRIM(UPPER(E31)),6,1))&gt;=48,CODE(MID(TRIM(UPPER(E31)),6,1))&lt;=57,CODE(MID(TRIM(UPPER(E31)),7,1))&gt;=48,CODE(MID(TRIM(UPPER(E31)),7,1))&lt;=57,CODE(MID(TRIM(UPPER(E31)),8,1))&gt;=48,CODE(MID(TRIM(UPPER(E31)),8,1))&lt;=57,CODE(MID(TRIM(UPPER(E31)),9,1))&gt;=48,CODE(MID(TRIM(UPPER(E31)),9,1))&lt;=57),"N","Y"))</f>
      </c>
      <c r="G31" s="7">
        <f>IF($D31="","",IF(LEN(E31)&lt;4,"",IF(UPPER(MID(E31,4,1))="P","Individual",IF(UPPER(MID(E31,4,1))="H","HUF",IF(UPPER(MID(E31,4,1))="C","Company",IF(UPPER(MID(E31,4,1))="F","Firm",IF(UPPER(MID(E31,4,1))="L","LLP",IF(UPPER(MID(E31,4,1))="T","Trust",IF(UPPER(MID(E31,4,1))="A","AOP","")))))))))</f>
      </c>
      <c r="H31" s="8"/>
      <c r="I31" s="7">
        <f>IF($D31="","",IF(H31="","",IF(F31="Y",SUMPRODUCT(('Rate Lookup'!$A$1:$A$37=H31)*'Rate Lookup'!$D$1:$D$37),IF(OR(G31="Individual",G31="HUF"),SUMPRODUCT(('Rate Lookup'!$A$1:$A$37=H31)*'Rate Lookup'!$B$1:$B$37),SUMPRODUCT(('Rate Lookup'!$A$1:$A$37=H31)*'Rate Lookup'!$C$1:$C$37)))))</f>
      </c>
      <c r="J31" s="8"/>
      <c r="K31" s="8"/>
      <c r="L31" s="7">
        <f>IF($D31="","",ROUND(K31*I31/100,0))</f>
      </c>
      <c r="M31" s="7">
        <f>IF($D31="","",0)</f>
      </c>
      <c r="N31" s="7">
        <f>IF($D31="","",0)</f>
      </c>
      <c r="O31" s="7">
        <f>IF($D31="","",IF(OR(L31=0,J31="",IFERROR(INDEX('Challan Master'!$D$4:$D$207,MATCH($B31,'Challan Master'!$S$4:$S$207,0)),"")="",IFERROR(INDEX('Challan Master'!$D$4:$D$207,MATCH($B31,'Challan Master'!$S$4:$S$207,0)),"")&lt;=0),0,IF(IFERROR(INDEX('Challan Master'!$D$4:$D$207,MATCH($B31,'Challan Master'!$S$4:$S$207,0)),"")&lt;=DATE(YEAR(J31),MONTH(J31)+1,7),0,ROUND(L31*0.015*((YEAR(IFERROR(INDEX('Challan Master'!$D$4:$D$207,MATCH($B31,'Challan Master'!$S$4:$S$207,0)),""))-YEAR(J31))*12+(MONTH(IFERROR(INDEX('Challan Master'!$D$4:$D$207,MATCH($B31,'Challan Master'!$S$4:$S$207,0)),""))-MONTH(J31))+1),0))))</f>
      </c>
      <c r="P31" s="7">
        <f>IF($D31="","",0)</f>
      </c>
      <c r="Q31" s="8"/>
      <c r="R31" s="8"/>
      <c r="S31" s="8"/>
      <c r="T31" s="8"/>
      <c r="U31" s="8"/>
      <c r="V31" s="7">
        <f>IF($B31="","",IFERROR(INDEX('Challan Master'!$AA$4:$AA$207,MATCH($B31,'Challan Master'!$S$4:$S$207,0)),""))</f>
      </c>
    </row>
    <row r="32" spans="1:22" x14ac:dyDescent="0.25">
      <c r="A32" s="7">
        <f>IF($D32="","",COUNTIF($D$4:$D32,"&lt;&gt;"))</f>
      </c>
      <c r="B32" s="8"/>
      <c r="C32" s="7">
        <f>IF($B32="","","BSR "&amp;IFERROR(INDEX('Challan Master'!$B$4:$B$207,MATCH($B32,'Challan Master'!$S$4:$S$207,0)),"")&amp;" | Serial "&amp;IFERROR(INDEX('Challan Master'!$C$4:$C$207,MATCH($B32,'Challan Master'!$S$4:$S$207,0)),"")&amp;" | Deposit "&amp;TEXT(IFERROR(INDEX('Challan Master'!$D$4:$D$207,MATCH($B32,'Challan Master'!$S$4:$S$207,0)),""),"dd-mm-yyyy")&amp;" | Minor Head "&amp;IFERROR(INDEX('Challan Master'!$E$4:$E$207,MATCH($B32,'Challan Master'!$S$4:$S$207,0)),"")&amp;" | Tax ₹"&amp;TEXT(IFERROR(INDEX('Challan Master'!$G$4:$G$207,MATCH($B32,'Challan Master'!$S$4:$S$207,0)),""),"#,##0")&amp;" | Section "&amp;IFERROR(INDEX('Challan Master'!$F$4:$F$207,MATCH($B32,'Challan Master'!$S$4:$S$207,0)),""))</f>
      </c>
      <c r="D32" s="8"/>
      <c r="E32" s="8"/>
      <c r="F32" s="7">
        <f>IF($D32="","",IF(AND(LEN(TRIM(UPPER(E32)))=10,CODE(MID(TRIM(UPPER(E32)),1,1))&gt;=65,CODE(MID(TRIM(UPPER(E32)),1,1))&lt;=90,CODE(MID(TRIM(UPPER(E32)),2,1))&gt;=65,CODE(MID(TRIM(UPPER(E32)),2,1))&lt;=90,CODE(MID(TRIM(UPPER(E32)),3,1))&gt;=65,CODE(MID(TRIM(UPPER(E32)),3,1))&lt;=90,CODE(MID(TRIM(UPPER(E32)),4,1))&gt;=65,CODE(MID(TRIM(UPPER(E32)),4,1))&lt;=90,CODE(MID(TRIM(UPPER(E32)),5,1))&gt;=65,CODE(MID(TRIM(UPPER(E32)),5,1))&lt;=90,CODE(MID(TRIM(UPPER(E32)),10,1))&gt;=65,CODE(MID(TRIM(UPPER(E32)),10,1))&lt;=90,CODE(MID(TRIM(UPPER(E32)),6,1))&gt;=48,CODE(MID(TRIM(UPPER(E32)),6,1))&lt;=57,CODE(MID(TRIM(UPPER(E32)),7,1))&gt;=48,CODE(MID(TRIM(UPPER(E32)),7,1))&lt;=57,CODE(MID(TRIM(UPPER(E32)),8,1))&gt;=48,CODE(MID(TRIM(UPPER(E32)),8,1))&lt;=57,CODE(MID(TRIM(UPPER(E32)),9,1))&gt;=48,CODE(MID(TRIM(UPPER(E32)),9,1))&lt;=57),"N","Y"))</f>
      </c>
      <c r="G32" s="7">
        <f>IF($D32="","",IF(LEN(E32)&lt;4,"",IF(UPPER(MID(E32,4,1))="P","Individual",IF(UPPER(MID(E32,4,1))="H","HUF",IF(UPPER(MID(E32,4,1))="C","Company",IF(UPPER(MID(E32,4,1))="F","Firm",IF(UPPER(MID(E32,4,1))="L","LLP",IF(UPPER(MID(E32,4,1))="T","Trust",IF(UPPER(MID(E32,4,1))="A","AOP","")))))))))</f>
      </c>
      <c r="H32" s="8"/>
      <c r="I32" s="7">
        <f>IF($D32="","",IF(H32="","",IF(F32="Y",SUMPRODUCT(('Rate Lookup'!$A$1:$A$37=H32)*'Rate Lookup'!$D$1:$D$37),IF(OR(G32="Individual",G32="HUF"),SUMPRODUCT(('Rate Lookup'!$A$1:$A$37=H32)*'Rate Lookup'!$B$1:$B$37),SUMPRODUCT(('Rate Lookup'!$A$1:$A$37=H32)*'Rate Lookup'!$C$1:$C$37)))))</f>
      </c>
      <c r="J32" s="8"/>
      <c r="K32" s="8"/>
      <c r="L32" s="7">
        <f>IF($D32="","",ROUND(K32*I32/100,0))</f>
      </c>
      <c r="M32" s="7">
        <f>IF($D32="","",0)</f>
      </c>
      <c r="N32" s="7">
        <f>IF($D32="","",0)</f>
      </c>
      <c r="O32" s="7">
        <f>IF($D32="","",IF(OR(L32=0,J32="",IFERROR(INDEX('Challan Master'!$D$4:$D$207,MATCH($B32,'Challan Master'!$S$4:$S$207,0)),"")="",IFERROR(INDEX('Challan Master'!$D$4:$D$207,MATCH($B32,'Challan Master'!$S$4:$S$207,0)),"")&lt;=0),0,IF(IFERROR(INDEX('Challan Master'!$D$4:$D$207,MATCH($B32,'Challan Master'!$S$4:$S$207,0)),"")&lt;=DATE(YEAR(J32),MONTH(J32)+1,7),0,ROUND(L32*0.015*((YEAR(IFERROR(INDEX('Challan Master'!$D$4:$D$207,MATCH($B32,'Challan Master'!$S$4:$S$207,0)),""))-YEAR(J32))*12+(MONTH(IFERROR(INDEX('Challan Master'!$D$4:$D$207,MATCH($B32,'Challan Master'!$S$4:$S$207,0)),""))-MONTH(J32))+1),0))))</f>
      </c>
      <c r="P32" s="7">
        <f>IF($D32="","",0)</f>
      </c>
      <c r="Q32" s="8"/>
      <c r="R32" s="8"/>
      <c r="S32" s="8"/>
      <c r="T32" s="8"/>
      <c r="U32" s="8"/>
      <c r="V32" s="7">
        <f>IF($B32="","",IFERROR(INDEX('Challan Master'!$AA$4:$AA$207,MATCH($B32,'Challan Master'!$S$4:$S$207,0)),""))</f>
      </c>
    </row>
    <row r="33" spans="1:22" x14ac:dyDescent="0.25">
      <c r="A33" s="7">
        <f>IF($D33="","",COUNTIF($D$4:$D33,"&lt;&gt;"))</f>
      </c>
      <c r="B33" s="8"/>
      <c r="C33" s="7">
        <f>IF($B33="","","BSR "&amp;IFERROR(INDEX('Challan Master'!$B$4:$B$207,MATCH($B33,'Challan Master'!$S$4:$S$207,0)),"")&amp;" | Serial "&amp;IFERROR(INDEX('Challan Master'!$C$4:$C$207,MATCH($B33,'Challan Master'!$S$4:$S$207,0)),"")&amp;" | Deposit "&amp;TEXT(IFERROR(INDEX('Challan Master'!$D$4:$D$207,MATCH($B33,'Challan Master'!$S$4:$S$207,0)),""),"dd-mm-yyyy")&amp;" | Minor Head "&amp;IFERROR(INDEX('Challan Master'!$E$4:$E$207,MATCH($B33,'Challan Master'!$S$4:$S$207,0)),"")&amp;" | Tax ₹"&amp;TEXT(IFERROR(INDEX('Challan Master'!$G$4:$G$207,MATCH($B33,'Challan Master'!$S$4:$S$207,0)),""),"#,##0")&amp;" | Section "&amp;IFERROR(INDEX('Challan Master'!$F$4:$F$207,MATCH($B33,'Challan Master'!$S$4:$S$207,0)),""))</f>
      </c>
      <c r="D33" s="8"/>
      <c r="E33" s="8"/>
      <c r="F33" s="7">
        <f>IF($D33="","",IF(AND(LEN(TRIM(UPPER(E33)))=10,CODE(MID(TRIM(UPPER(E33)),1,1))&gt;=65,CODE(MID(TRIM(UPPER(E33)),1,1))&lt;=90,CODE(MID(TRIM(UPPER(E33)),2,1))&gt;=65,CODE(MID(TRIM(UPPER(E33)),2,1))&lt;=90,CODE(MID(TRIM(UPPER(E33)),3,1))&gt;=65,CODE(MID(TRIM(UPPER(E33)),3,1))&lt;=90,CODE(MID(TRIM(UPPER(E33)),4,1))&gt;=65,CODE(MID(TRIM(UPPER(E33)),4,1))&lt;=90,CODE(MID(TRIM(UPPER(E33)),5,1))&gt;=65,CODE(MID(TRIM(UPPER(E33)),5,1))&lt;=90,CODE(MID(TRIM(UPPER(E33)),10,1))&gt;=65,CODE(MID(TRIM(UPPER(E33)),10,1))&lt;=90,CODE(MID(TRIM(UPPER(E33)),6,1))&gt;=48,CODE(MID(TRIM(UPPER(E33)),6,1))&lt;=57,CODE(MID(TRIM(UPPER(E33)),7,1))&gt;=48,CODE(MID(TRIM(UPPER(E33)),7,1))&lt;=57,CODE(MID(TRIM(UPPER(E33)),8,1))&gt;=48,CODE(MID(TRIM(UPPER(E33)),8,1))&lt;=57,CODE(MID(TRIM(UPPER(E33)),9,1))&gt;=48,CODE(MID(TRIM(UPPER(E33)),9,1))&lt;=57),"N","Y"))</f>
      </c>
      <c r="G33" s="7">
        <f>IF($D33="","",IF(LEN(E33)&lt;4,"",IF(UPPER(MID(E33,4,1))="P","Individual",IF(UPPER(MID(E33,4,1))="H","HUF",IF(UPPER(MID(E33,4,1))="C","Company",IF(UPPER(MID(E33,4,1))="F","Firm",IF(UPPER(MID(E33,4,1))="L","LLP",IF(UPPER(MID(E33,4,1))="T","Trust",IF(UPPER(MID(E33,4,1))="A","AOP","")))))))))</f>
      </c>
      <c r="H33" s="8"/>
      <c r="I33" s="7">
        <f>IF($D33="","",IF(H33="","",IF(F33="Y",SUMPRODUCT(('Rate Lookup'!$A$1:$A$37=H33)*'Rate Lookup'!$D$1:$D$37),IF(OR(G33="Individual",G33="HUF"),SUMPRODUCT(('Rate Lookup'!$A$1:$A$37=H33)*'Rate Lookup'!$B$1:$B$37),SUMPRODUCT(('Rate Lookup'!$A$1:$A$37=H33)*'Rate Lookup'!$C$1:$C$37)))))</f>
      </c>
      <c r="J33" s="8"/>
      <c r="K33" s="8"/>
      <c r="L33" s="7">
        <f>IF($D33="","",ROUND(K33*I33/100,0))</f>
      </c>
      <c r="M33" s="7">
        <f>IF($D33="","",0)</f>
      </c>
      <c r="N33" s="7">
        <f>IF($D33="","",0)</f>
      </c>
      <c r="O33" s="7">
        <f>IF($D33="","",IF(OR(L33=0,J33="",IFERROR(INDEX('Challan Master'!$D$4:$D$207,MATCH($B33,'Challan Master'!$S$4:$S$207,0)),"")="",IFERROR(INDEX('Challan Master'!$D$4:$D$207,MATCH($B33,'Challan Master'!$S$4:$S$207,0)),"")&lt;=0),0,IF(IFERROR(INDEX('Challan Master'!$D$4:$D$207,MATCH($B33,'Challan Master'!$S$4:$S$207,0)),"")&lt;=DATE(YEAR(J33),MONTH(J33)+1,7),0,ROUND(L33*0.015*((YEAR(IFERROR(INDEX('Challan Master'!$D$4:$D$207,MATCH($B33,'Challan Master'!$S$4:$S$207,0)),""))-YEAR(J33))*12+(MONTH(IFERROR(INDEX('Challan Master'!$D$4:$D$207,MATCH($B33,'Challan Master'!$S$4:$S$207,0)),""))-MONTH(J33))+1),0))))</f>
      </c>
      <c r="P33" s="7">
        <f>IF($D33="","",0)</f>
      </c>
      <c r="Q33" s="8"/>
      <c r="R33" s="8"/>
      <c r="S33" s="8"/>
      <c r="T33" s="8"/>
      <c r="U33" s="8"/>
      <c r="V33" s="7">
        <f>IF($B33="","",IFERROR(INDEX('Challan Master'!$AA$4:$AA$207,MATCH($B33,'Challan Master'!$S$4:$S$207,0)),""))</f>
      </c>
    </row>
    <row r="34" spans="1:22" x14ac:dyDescent="0.25">
      <c r="A34" s="7">
        <f>IF($D34="","",COUNTIF($D$4:$D34,"&lt;&gt;"))</f>
      </c>
      <c r="B34" s="8"/>
      <c r="C34" s="7">
        <f>IF($B34="","","BSR "&amp;IFERROR(INDEX('Challan Master'!$B$4:$B$207,MATCH($B34,'Challan Master'!$S$4:$S$207,0)),"")&amp;" | Serial "&amp;IFERROR(INDEX('Challan Master'!$C$4:$C$207,MATCH($B34,'Challan Master'!$S$4:$S$207,0)),"")&amp;" | Deposit "&amp;TEXT(IFERROR(INDEX('Challan Master'!$D$4:$D$207,MATCH($B34,'Challan Master'!$S$4:$S$207,0)),""),"dd-mm-yyyy")&amp;" | Minor Head "&amp;IFERROR(INDEX('Challan Master'!$E$4:$E$207,MATCH($B34,'Challan Master'!$S$4:$S$207,0)),"")&amp;" | Tax ₹"&amp;TEXT(IFERROR(INDEX('Challan Master'!$G$4:$G$207,MATCH($B34,'Challan Master'!$S$4:$S$207,0)),""),"#,##0")&amp;" | Section "&amp;IFERROR(INDEX('Challan Master'!$F$4:$F$207,MATCH($B34,'Challan Master'!$S$4:$S$207,0)),""))</f>
      </c>
      <c r="D34" s="8"/>
      <c r="E34" s="8"/>
      <c r="F34" s="7">
        <f>IF($D34="","",IF(AND(LEN(TRIM(UPPER(E34)))=10,CODE(MID(TRIM(UPPER(E34)),1,1))&gt;=65,CODE(MID(TRIM(UPPER(E34)),1,1))&lt;=90,CODE(MID(TRIM(UPPER(E34)),2,1))&gt;=65,CODE(MID(TRIM(UPPER(E34)),2,1))&lt;=90,CODE(MID(TRIM(UPPER(E34)),3,1))&gt;=65,CODE(MID(TRIM(UPPER(E34)),3,1))&lt;=90,CODE(MID(TRIM(UPPER(E34)),4,1))&gt;=65,CODE(MID(TRIM(UPPER(E34)),4,1))&lt;=90,CODE(MID(TRIM(UPPER(E34)),5,1))&gt;=65,CODE(MID(TRIM(UPPER(E34)),5,1))&lt;=90,CODE(MID(TRIM(UPPER(E34)),10,1))&gt;=65,CODE(MID(TRIM(UPPER(E34)),10,1))&lt;=90,CODE(MID(TRIM(UPPER(E34)),6,1))&gt;=48,CODE(MID(TRIM(UPPER(E34)),6,1))&lt;=57,CODE(MID(TRIM(UPPER(E34)),7,1))&gt;=48,CODE(MID(TRIM(UPPER(E34)),7,1))&lt;=57,CODE(MID(TRIM(UPPER(E34)),8,1))&gt;=48,CODE(MID(TRIM(UPPER(E34)),8,1))&lt;=57,CODE(MID(TRIM(UPPER(E34)),9,1))&gt;=48,CODE(MID(TRIM(UPPER(E34)),9,1))&lt;=57),"N","Y"))</f>
      </c>
      <c r="G34" s="7">
        <f>IF($D34="","",IF(LEN(E34)&lt;4,"",IF(UPPER(MID(E34,4,1))="P","Individual",IF(UPPER(MID(E34,4,1))="H","HUF",IF(UPPER(MID(E34,4,1))="C","Company",IF(UPPER(MID(E34,4,1))="F","Firm",IF(UPPER(MID(E34,4,1))="L","LLP",IF(UPPER(MID(E34,4,1))="T","Trust",IF(UPPER(MID(E34,4,1))="A","AOP","")))))))))</f>
      </c>
      <c r="H34" s="8"/>
      <c r="I34" s="7">
        <f>IF($D34="","",IF(H34="","",IF(F34="Y",SUMPRODUCT(('Rate Lookup'!$A$1:$A$37=H34)*'Rate Lookup'!$D$1:$D$37),IF(OR(G34="Individual",G34="HUF"),SUMPRODUCT(('Rate Lookup'!$A$1:$A$37=H34)*'Rate Lookup'!$B$1:$B$37),SUMPRODUCT(('Rate Lookup'!$A$1:$A$37=H34)*'Rate Lookup'!$C$1:$C$37)))))</f>
      </c>
      <c r="J34" s="8"/>
      <c r="K34" s="8"/>
      <c r="L34" s="7">
        <f>IF($D34="","",ROUND(K34*I34/100,0))</f>
      </c>
      <c r="M34" s="7">
        <f>IF($D34="","",0)</f>
      </c>
      <c r="N34" s="7">
        <f>IF($D34="","",0)</f>
      </c>
      <c r="O34" s="7">
        <f>IF($D34="","",IF(OR(L34=0,J34="",IFERROR(INDEX('Challan Master'!$D$4:$D$207,MATCH($B34,'Challan Master'!$S$4:$S$207,0)),"")="",IFERROR(INDEX('Challan Master'!$D$4:$D$207,MATCH($B34,'Challan Master'!$S$4:$S$207,0)),"")&lt;=0),0,IF(IFERROR(INDEX('Challan Master'!$D$4:$D$207,MATCH($B34,'Challan Master'!$S$4:$S$207,0)),"")&lt;=DATE(YEAR(J34),MONTH(J34)+1,7),0,ROUND(L34*0.015*((YEAR(IFERROR(INDEX('Challan Master'!$D$4:$D$207,MATCH($B34,'Challan Master'!$S$4:$S$207,0)),""))-YEAR(J34))*12+(MONTH(IFERROR(INDEX('Challan Master'!$D$4:$D$207,MATCH($B34,'Challan Master'!$S$4:$S$207,0)),""))-MONTH(J34))+1),0))))</f>
      </c>
      <c r="P34" s="7">
        <f>IF($D34="","",0)</f>
      </c>
      <c r="Q34" s="8"/>
      <c r="R34" s="8"/>
      <c r="S34" s="8"/>
      <c r="T34" s="8"/>
      <c r="U34" s="8"/>
      <c r="V34" s="7">
        <f>IF($B34="","",IFERROR(INDEX('Challan Master'!$AA$4:$AA$207,MATCH($B34,'Challan Master'!$S$4:$S$207,0)),""))</f>
      </c>
    </row>
    <row r="35" spans="1:22" x14ac:dyDescent="0.25">
      <c r="A35" s="7">
        <f>IF($D35="","",COUNTIF($D$4:$D35,"&lt;&gt;"))</f>
      </c>
      <c r="B35" s="8"/>
      <c r="C35" s="7">
        <f>IF($B35="","","BSR "&amp;IFERROR(INDEX('Challan Master'!$B$4:$B$207,MATCH($B35,'Challan Master'!$S$4:$S$207,0)),"")&amp;" | Serial "&amp;IFERROR(INDEX('Challan Master'!$C$4:$C$207,MATCH($B35,'Challan Master'!$S$4:$S$207,0)),"")&amp;" | Deposit "&amp;TEXT(IFERROR(INDEX('Challan Master'!$D$4:$D$207,MATCH($B35,'Challan Master'!$S$4:$S$207,0)),""),"dd-mm-yyyy")&amp;" | Minor Head "&amp;IFERROR(INDEX('Challan Master'!$E$4:$E$207,MATCH($B35,'Challan Master'!$S$4:$S$207,0)),"")&amp;" | Tax ₹"&amp;TEXT(IFERROR(INDEX('Challan Master'!$G$4:$G$207,MATCH($B35,'Challan Master'!$S$4:$S$207,0)),""),"#,##0")&amp;" | Section "&amp;IFERROR(INDEX('Challan Master'!$F$4:$F$207,MATCH($B35,'Challan Master'!$S$4:$S$207,0)),""))</f>
      </c>
      <c r="D35" s="8"/>
      <c r="E35" s="8"/>
      <c r="F35" s="7">
        <f>IF($D35="","",IF(AND(LEN(TRIM(UPPER(E35)))=10,CODE(MID(TRIM(UPPER(E35)),1,1))&gt;=65,CODE(MID(TRIM(UPPER(E35)),1,1))&lt;=90,CODE(MID(TRIM(UPPER(E35)),2,1))&gt;=65,CODE(MID(TRIM(UPPER(E35)),2,1))&lt;=90,CODE(MID(TRIM(UPPER(E35)),3,1))&gt;=65,CODE(MID(TRIM(UPPER(E35)),3,1))&lt;=90,CODE(MID(TRIM(UPPER(E35)),4,1))&gt;=65,CODE(MID(TRIM(UPPER(E35)),4,1))&lt;=90,CODE(MID(TRIM(UPPER(E35)),5,1))&gt;=65,CODE(MID(TRIM(UPPER(E35)),5,1))&lt;=90,CODE(MID(TRIM(UPPER(E35)),10,1))&gt;=65,CODE(MID(TRIM(UPPER(E35)),10,1))&lt;=90,CODE(MID(TRIM(UPPER(E35)),6,1))&gt;=48,CODE(MID(TRIM(UPPER(E35)),6,1))&lt;=57,CODE(MID(TRIM(UPPER(E35)),7,1))&gt;=48,CODE(MID(TRIM(UPPER(E35)),7,1))&lt;=57,CODE(MID(TRIM(UPPER(E35)),8,1))&gt;=48,CODE(MID(TRIM(UPPER(E35)),8,1))&lt;=57,CODE(MID(TRIM(UPPER(E35)),9,1))&gt;=48,CODE(MID(TRIM(UPPER(E35)),9,1))&lt;=57),"N","Y"))</f>
      </c>
      <c r="G35" s="7">
        <f>IF($D35="","",IF(LEN(E35)&lt;4,"",IF(UPPER(MID(E35,4,1))="P","Individual",IF(UPPER(MID(E35,4,1))="H","HUF",IF(UPPER(MID(E35,4,1))="C","Company",IF(UPPER(MID(E35,4,1))="F","Firm",IF(UPPER(MID(E35,4,1))="L","LLP",IF(UPPER(MID(E35,4,1))="T","Trust",IF(UPPER(MID(E35,4,1))="A","AOP","")))))))))</f>
      </c>
      <c r="H35" s="8"/>
      <c r="I35" s="7">
        <f>IF($D35="","",IF(H35="","",IF(F35="Y",SUMPRODUCT(('Rate Lookup'!$A$1:$A$37=H35)*'Rate Lookup'!$D$1:$D$37),IF(OR(G35="Individual",G35="HUF"),SUMPRODUCT(('Rate Lookup'!$A$1:$A$37=H35)*'Rate Lookup'!$B$1:$B$37),SUMPRODUCT(('Rate Lookup'!$A$1:$A$37=H35)*'Rate Lookup'!$C$1:$C$37)))))</f>
      </c>
      <c r="J35" s="8"/>
      <c r="K35" s="8"/>
      <c r="L35" s="7">
        <f>IF($D35="","",ROUND(K35*I35/100,0))</f>
      </c>
      <c r="M35" s="7">
        <f>IF($D35="","",0)</f>
      </c>
      <c r="N35" s="7">
        <f>IF($D35="","",0)</f>
      </c>
      <c r="O35" s="7">
        <f>IF($D35="","",IF(OR(L35=0,J35="",IFERROR(INDEX('Challan Master'!$D$4:$D$207,MATCH($B35,'Challan Master'!$S$4:$S$207,0)),"")="",IFERROR(INDEX('Challan Master'!$D$4:$D$207,MATCH($B35,'Challan Master'!$S$4:$S$207,0)),"")&lt;=0),0,IF(IFERROR(INDEX('Challan Master'!$D$4:$D$207,MATCH($B35,'Challan Master'!$S$4:$S$207,0)),"")&lt;=DATE(YEAR(J35),MONTH(J35)+1,7),0,ROUND(L35*0.015*((YEAR(IFERROR(INDEX('Challan Master'!$D$4:$D$207,MATCH($B35,'Challan Master'!$S$4:$S$207,0)),""))-YEAR(J35))*12+(MONTH(IFERROR(INDEX('Challan Master'!$D$4:$D$207,MATCH($B35,'Challan Master'!$S$4:$S$207,0)),""))-MONTH(J35))+1),0))))</f>
      </c>
      <c r="P35" s="7">
        <f>IF($D35="","",0)</f>
      </c>
      <c r="Q35" s="8"/>
      <c r="R35" s="8"/>
      <c r="S35" s="8"/>
      <c r="T35" s="8"/>
      <c r="U35" s="8"/>
      <c r="V35" s="7">
        <f>IF($B35="","",IFERROR(INDEX('Challan Master'!$AA$4:$AA$207,MATCH($B35,'Challan Master'!$S$4:$S$207,0)),""))</f>
      </c>
    </row>
    <row r="36" spans="1:22" x14ac:dyDescent="0.25">
      <c r="A36" s="7">
        <f>IF($D36="","",COUNTIF($D$4:$D36,"&lt;&gt;"))</f>
      </c>
      <c r="B36" s="8"/>
      <c r="C36" s="7">
        <f>IF($B36="","","BSR "&amp;IFERROR(INDEX('Challan Master'!$B$4:$B$207,MATCH($B36,'Challan Master'!$S$4:$S$207,0)),"")&amp;" | Serial "&amp;IFERROR(INDEX('Challan Master'!$C$4:$C$207,MATCH($B36,'Challan Master'!$S$4:$S$207,0)),"")&amp;" | Deposit "&amp;TEXT(IFERROR(INDEX('Challan Master'!$D$4:$D$207,MATCH($B36,'Challan Master'!$S$4:$S$207,0)),""),"dd-mm-yyyy")&amp;" | Minor Head "&amp;IFERROR(INDEX('Challan Master'!$E$4:$E$207,MATCH($B36,'Challan Master'!$S$4:$S$207,0)),"")&amp;" | Tax ₹"&amp;TEXT(IFERROR(INDEX('Challan Master'!$G$4:$G$207,MATCH($B36,'Challan Master'!$S$4:$S$207,0)),""),"#,##0")&amp;" | Section "&amp;IFERROR(INDEX('Challan Master'!$F$4:$F$207,MATCH($B36,'Challan Master'!$S$4:$S$207,0)),""))</f>
      </c>
      <c r="D36" s="8"/>
      <c r="E36" s="8"/>
      <c r="F36" s="7">
        <f>IF($D36="","",IF(AND(LEN(TRIM(UPPER(E36)))=10,CODE(MID(TRIM(UPPER(E36)),1,1))&gt;=65,CODE(MID(TRIM(UPPER(E36)),1,1))&lt;=90,CODE(MID(TRIM(UPPER(E36)),2,1))&gt;=65,CODE(MID(TRIM(UPPER(E36)),2,1))&lt;=90,CODE(MID(TRIM(UPPER(E36)),3,1))&gt;=65,CODE(MID(TRIM(UPPER(E36)),3,1))&lt;=90,CODE(MID(TRIM(UPPER(E36)),4,1))&gt;=65,CODE(MID(TRIM(UPPER(E36)),4,1))&lt;=90,CODE(MID(TRIM(UPPER(E36)),5,1))&gt;=65,CODE(MID(TRIM(UPPER(E36)),5,1))&lt;=90,CODE(MID(TRIM(UPPER(E36)),10,1))&gt;=65,CODE(MID(TRIM(UPPER(E36)),10,1))&lt;=90,CODE(MID(TRIM(UPPER(E36)),6,1))&gt;=48,CODE(MID(TRIM(UPPER(E36)),6,1))&lt;=57,CODE(MID(TRIM(UPPER(E36)),7,1))&gt;=48,CODE(MID(TRIM(UPPER(E36)),7,1))&lt;=57,CODE(MID(TRIM(UPPER(E36)),8,1))&gt;=48,CODE(MID(TRIM(UPPER(E36)),8,1))&lt;=57,CODE(MID(TRIM(UPPER(E36)),9,1))&gt;=48,CODE(MID(TRIM(UPPER(E36)),9,1))&lt;=57),"N","Y"))</f>
      </c>
      <c r="G36" s="7">
        <f>IF($D36="","",IF(LEN(E36)&lt;4,"",IF(UPPER(MID(E36,4,1))="P","Individual",IF(UPPER(MID(E36,4,1))="H","HUF",IF(UPPER(MID(E36,4,1))="C","Company",IF(UPPER(MID(E36,4,1))="F","Firm",IF(UPPER(MID(E36,4,1))="L","LLP",IF(UPPER(MID(E36,4,1))="T","Trust",IF(UPPER(MID(E36,4,1))="A","AOP","")))))))))</f>
      </c>
      <c r="H36" s="8"/>
      <c r="I36" s="7">
        <f>IF($D36="","",IF(H36="","",IF(F36="Y",SUMPRODUCT(('Rate Lookup'!$A$1:$A$37=H36)*'Rate Lookup'!$D$1:$D$37),IF(OR(G36="Individual",G36="HUF"),SUMPRODUCT(('Rate Lookup'!$A$1:$A$37=H36)*'Rate Lookup'!$B$1:$B$37),SUMPRODUCT(('Rate Lookup'!$A$1:$A$37=H36)*'Rate Lookup'!$C$1:$C$37)))))</f>
      </c>
      <c r="J36" s="8"/>
      <c r="K36" s="8"/>
      <c r="L36" s="7">
        <f>IF($D36="","",ROUND(K36*I36/100,0))</f>
      </c>
      <c r="M36" s="7">
        <f>IF($D36="","",0)</f>
      </c>
      <c r="N36" s="7">
        <f>IF($D36="","",0)</f>
      </c>
      <c r="O36" s="7">
        <f>IF($D36="","",IF(OR(L36=0,J36="",IFERROR(INDEX('Challan Master'!$D$4:$D$207,MATCH($B36,'Challan Master'!$S$4:$S$207,0)),"")="",IFERROR(INDEX('Challan Master'!$D$4:$D$207,MATCH($B36,'Challan Master'!$S$4:$S$207,0)),"")&lt;=0),0,IF(IFERROR(INDEX('Challan Master'!$D$4:$D$207,MATCH($B36,'Challan Master'!$S$4:$S$207,0)),"")&lt;=DATE(YEAR(J36),MONTH(J36)+1,7),0,ROUND(L36*0.015*((YEAR(IFERROR(INDEX('Challan Master'!$D$4:$D$207,MATCH($B36,'Challan Master'!$S$4:$S$207,0)),""))-YEAR(J36))*12+(MONTH(IFERROR(INDEX('Challan Master'!$D$4:$D$207,MATCH($B36,'Challan Master'!$S$4:$S$207,0)),""))-MONTH(J36))+1),0))))</f>
      </c>
      <c r="P36" s="7">
        <f>IF($D36="","",0)</f>
      </c>
      <c r="Q36" s="8"/>
      <c r="R36" s="8"/>
      <c r="S36" s="8"/>
      <c r="T36" s="8"/>
      <c r="U36" s="8"/>
      <c r="V36" s="7">
        <f>IF($B36="","",IFERROR(INDEX('Challan Master'!$AA$4:$AA$207,MATCH($B36,'Challan Master'!$S$4:$S$207,0)),""))</f>
      </c>
    </row>
    <row r="37" spans="1:22" x14ac:dyDescent="0.25">
      <c r="A37" s="7">
        <f>IF($D37="","",COUNTIF($D$4:$D37,"&lt;&gt;"))</f>
      </c>
      <c r="B37" s="8"/>
      <c r="C37" s="7">
        <f>IF($B37="","","BSR "&amp;IFERROR(INDEX('Challan Master'!$B$4:$B$207,MATCH($B37,'Challan Master'!$S$4:$S$207,0)),"")&amp;" | Serial "&amp;IFERROR(INDEX('Challan Master'!$C$4:$C$207,MATCH($B37,'Challan Master'!$S$4:$S$207,0)),"")&amp;" | Deposit "&amp;TEXT(IFERROR(INDEX('Challan Master'!$D$4:$D$207,MATCH($B37,'Challan Master'!$S$4:$S$207,0)),""),"dd-mm-yyyy")&amp;" | Minor Head "&amp;IFERROR(INDEX('Challan Master'!$E$4:$E$207,MATCH($B37,'Challan Master'!$S$4:$S$207,0)),"")&amp;" | Tax ₹"&amp;TEXT(IFERROR(INDEX('Challan Master'!$G$4:$G$207,MATCH($B37,'Challan Master'!$S$4:$S$207,0)),""),"#,##0")&amp;" | Section "&amp;IFERROR(INDEX('Challan Master'!$F$4:$F$207,MATCH($B37,'Challan Master'!$S$4:$S$207,0)),""))</f>
      </c>
      <c r="D37" s="8"/>
      <c r="E37" s="8"/>
      <c r="F37" s="7">
        <f>IF($D37="","",IF(AND(LEN(TRIM(UPPER(E37)))=10,CODE(MID(TRIM(UPPER(E37)),1,1))&gt;=65,CODE(MID(TRIM(UPPER(E37)),1,1))&lt;=90,CODE(MID(TRIM(UPPER(E37)),2,1))&gt;=65,CODE(MID(TRIM(UPPER(E37)),2,1))&lt;=90,CODE(MID(TRIM(UPPER(E37)),3,1))&gt;=65,CODE(MID(TRIM(UPPER(E37)),3,1))&lt;=90,CODE(MID(TRIM(UPPER(E37)),4,1))&gt;=65,CODE(MID(TRIM(UPPER(E37)),4,1))&lt;=90,CODE(MID(TRIM(UPPER(E37)),5,1))&gt;=65,CODE(MID(TRIM(UPPER(E37)),5,1))&lt;=90,CODE(MID(TRIM(UPPER(E37)),10,1))&gt;=65,CODE(MID(TRIM(UPPER(E37)),10,1))&lt;=90,CODE(MID(TRIM(UPPER(E37)),6,1))&gt;=48,CODE(MID(TRIM(UPPER(E37)),6,1))&lt;=57,CODE(MID(TRIM(UPPER(E37)),7,1))&gt;=48,CODE(MID(TRIM(UPPER(E37)),7,1))&lt;=57,CODE(MID(TRIM(UPPER(E37)),8,1))&gt;=48,CODE(MID(TRIM(UPPER(E37)),8,1))&lt;=57,CODE(MID(TRIM(UPPER(E37)),9,1))&gt;=48,CODE(MID(TRIM(UPPER(E37)),9,1))&lt;=57),"N","Y"))</f>
      </c>
      <c r="G37" s="7">
        <f>IF($D37="","",IF(LEN(E37)&lt;4,"",IF(UPPER(MID(E37,4,1))="P","Individual",IF(UPPER(MID(E37,4,1))="H","HUF",IF(UPPER(MID(E37,4,1))="C","Company",IF(UPPER(MID(E37,4,1))="F","Firm",IF(UPPER(MID(E37,4,1))="L","LLP",IF(UPPER(MID(E37,4,1))="T","Trust",IF(UPPER(MID(E37,4,1))="A","AOP","")))))))))</f>
      </c>
      <c r="H37" s="8"/>
      <c r="I37" s="7">
        <f>IF($D37="","",IF(H37="","",IF(F37="Y",SUMPRODUCT(('Rate Lookup'!$A$1:$A$37=H37)*'Rate Lookup'!$D$1:$D$37),IF(OR(G37="Individual",G37="HUF"),SUMPRODUCT(('Rate Lookup'!$A$1:$A$37=H37)*'Rate Lookup'!$B$1:$B$37),SUMPRODUCT(('Rate Lookup'!$A$1:$A$37=H37)*'Rate Lookup'!$C$1:$C$37)))))</f>
      </c>
      <c r="J37" s="8"/>
      <c r="K37" s="8"/>
      <c r="L37" s="7">
        <f>IF($D37="","",ROUND(K37*I37/100,0))</f>
      </c>
      <c r="M37" s="7">
        <f>IF($D37="","",0)</f>
      </c>
      <c r="N37" s="7">
        <f>IF($D37="","",0)</f>
      </c>
      <c r="O37" s="7">
        <f>IF($D37="","",IF(OR(L37=0,J37="",IFERROR(INDEX('Challan Master'!$D$4:$D$207,MATCH($B37,'Challan Master'!$S$4:$S$207,0)),"")="",IFERROR(INDEX('Challan Master'!$D$4:$D$207,MATCH($B37,'Challan Master'!$S$4:$S$207,0)),"")&lt;=0),0,IF(IFERROR(INDEX('Challan Master'!$D$4:$D$207,MATCH($B37,'Challan Master'!$S$4:$S$207,0)),"")&lt;=DATE(YEAR(J37),MONTH(J37)+1,7),0,ROUND(L37*0.015*((YEAR(IFERROR(INDEX('Challan Master'!$D$4:$D$207,MATCH($B37,'Challan Master'!$S$4:$S$207,0)),""))-YEAR(J37))*12+(MONTH(IFERROR(INDEX('Challan Master'!$D$4:$D$207,MATCH($B37,'Challan Master'!$S$4:$S$207,0)),""))-MONTH(J37))+1),0))))</f>
      </c>
      <c r="P37" s="7">
        <f>IF($D37="","",0)</f>
      </c>
      <c r="Q37" s="8"/>
      <c r="R37" s="8"/>
      <c r="S37" s="8"/>
      <c r="T37" s="8"/>
      <c r="U37" s="8"/>
      <c r="V37" s="7">
        <f>IF($B37="","",IFERROR(INDEX('Challan Master'!$AA$4:$AA$207,MATCH($B37,'Challan Master'!$S$4:$S$207,0)),""))</f>
      </c>
    </row>
    <row r="38" spans="1:22" x14ac:dyDescent="0.25">
      <c r="A38" s="7">
        <f>IF($D38="","",COUNTIF($D$4:$D38,"&lt;&gt;"))</f>
      </c>
      <c r="B38" s="8"/>
      <c r="C38" s="7">
        <f>IF($B38="","","BSR "&amp;IFERROR(INDEX('Challan Master'!$B$4:$B$207,MATCH($B38,'Challan Master'!$S$4:$S$207,0)),"")&amp;" | Serial "&amp;IFERROR(INDEX('Challan Master'!$C$4:$C$207,MATCH($B38,'Challan Master'!$S$4:$S$207,0)),"")&amp;" | Deposit "&amp;TEXT(IFERROR(INDEX('Challan Master'!$D$4:$D$207,MATCH($B38,'Challan Master'!$S$4:$S$207,0)),""),"dd-mm-yyyy")&amp;" | Minor Head "&amp;IFERROR(INDEX('Challan Master'!$E$4:$E$207,MATCH($B38,'Challan Master'!$S$4:$S$207,0)),"")&amp;" | Tax ₹"&amp;TEXT(IFERROR(INDEX('Challan Master'!$G$4:$G$207,MATCH($B38,'Challan Master'!$S$4:$S$207,0)),""),"#,##0")&amp;" | Section "&amp;IFERROR(INDEX('Challan Master'!$F$4:$F$207,MATCH($B38,'Challan Master'!$S$4:$S$207,0)),""))</f>
      </c>
      <c r="D38" s="8"/>
      <c r="E38" s="8"/>
      <c r="F38" s="7">
        <f>IF($D38="","",IF(AND(LEN(TRIM(UPPER(E38)))=10,CODE(MID(TRIM(UPPER(E38)),1,1))&gt;=65,CODE(MID(TRIM(UPPER(E38)),1,1))&lt;=90,CODE(MID(TRIM(UPPER(E38)),2,1))&gt;=65,CODE(MID(TRIM(UPPER(E38)),2,1))&lt;=90,CODE(MID(TRIM(UPPER(E38)),3,1))&gt;=65,CODE(MID(TRIM(UPPER(E38)),3,1))&lt;=90,CODE(MID(TRIM(UPPER(E38)),4,1))&gt;=65,CODE(MID(TRIM(UPPER(E38)),4,1))&lt;=90,CODE(MID(TRIM(UPPER(E38)),5,1))&gt;=65,CODE(MID(TRIM(UPPER(E38)),5,1))&lt;=90,CODE(MID(TRIM(UPPER(E38)),10,1))&gt;=65,CODE(MID(TRIM(UPPER(E38)),10,1))&lt;=90,CODE(MID(TRIM(UPPER(E38)),6,1))&gt;=48,CODE(MID(TRIM(UPPER(E38)),6,1))&lt;=57,CODE(MID(TRIM(UPPER(E38)),7,1))&gt;=48,CODE(MID(TRIM(UPPER(E38)),7,1))&lt;=57,CODE(MID(TRIM(UPPER(E38)),8,1))&gt;=48,CODE(MID(TRIM(UPPER(E38)),8,1))&lt;=57,CODE(MID(TRIM(UPPER(E38)),9,1))&gt;=48,CODE(MID(TRIM(UPPER(E38)),9,1))&lt;=57),"N","Y"))</f>
      </c>
      <c r="G38" s="7">
        <f>IF($D38="","",IF(LEN(E38)&lt;4,"",IF(UPPER(MID(E38,4,1))="P","Individual",IF(UPPER(MID(E38,4,1))="H","HUF",IF(UPPER(MID(E38,4,1))="C","Company",IF(UPPER(MID(E38,4,1))="F","Firm",IF(UPPER(MID(E38,4,1))="L","LLP",IF(UPPER(MID(E38,4,1))="T","Trust",IF(UPPER(MID(E38,4,1))="A","AOP","")))))))))</f>
      </c>
      <c r="H38" s="8"/>
      <c r="I38" s="7">
        <f>IF($D38="","",IF(H38="","",IF(F38="Y",SUMPRODUCT(('Rate Lookup'!$A$1:$A$37=H38)*'Rate Lookup'!$D$1:$D$37),IF(OR(G38="Individual",G38="HUF"),SUMPRODUCT(('Rate Lookup'!$A$1:$A$37=H38)*'Rate Lookup'!$B$1:$B$37),SUMPRODUCT(('Rate Lookup'!$A$1:$A$37=H38)*'Rate Lookup'!$C$1:$C$37)))))</f>
      </c>
      <c r="J38" s="8"/>
      <c r="K38" s="8"/>
      <c r="L38" s="7">
        <f>IF($D38="","",ROUND(K38*I38/100,0))</f>
      </c>
      <c r="M38" s="7">
        <f>IF($D38="","",0)</f>
      </c>
      <c r="N38" s="7">
        <f>IF($D38="","",0)</f>
      </c>
      <c r="O38" s="7">
        <f>IF($D38="","",IF(OR(L38=0,J38="",IFERROR(INDEX('Challan Master'!$D$4:$D$207,MATCH($B38,'Challan Master'!$S$4:$S$207,0)),"")="",IFERROR(INDEX('Challan Master'!$D$4:$D$207,MATCH($B38,'Challan Master'!$S$4:$S$207,0)),"")&lt;=0),0,IF(IFERROR(INDEX('Challan Master'!$D$4:$D$207,MATCH($B38,'Challan Master'!$S$4:$S$207,0)),"")&lt;=DATE(YEAR(J38),MONTH(J38)+1,7),0,ROUND(L38*0.015*((YEAR(IFERROR(INDEX('Challan Master'!$D$4:$D$207,MATCH($B38,'Challan Master'!$S$4:$S$207,0)),""))-YEAR(J38))*12+(MONTH(IFERROR(INDEX('Challan Master'!$D$4:$D$207,MATCH($B38,'Challan Master'!$S$4:$S$207,0)),""))-MONTH(J38))+1),0))))</f>
      </c>
      <c r="P38" s="7">
        <f>IF($D38="","",0)</f>
      </c>
      <c r="Q38" s="8"/>
      <c r="R38" s="8"/>
      <c r="S38" s="8"/>
      <c r="T38" s="8"/>
      <c r="U38" s="8"/>
      <c r="V38" s="7">
        <f>IF($B38="","",IFERROR(INDEX('Challan Master'!$AA$4:$AA$207,MATCH($B38,'Challan Master'!$S$4:$S$207,0)),""))</f>
      </c>
    </row>
    <row r="39" spans="1:22" x14ac:dyDescent="0.25">
      <c r="A39" s="7">
        <f>IF($D39="","",COUNTIF($D$4:$D39,"&lt;&gt;"))</f>
      </c>
      <c r="B39" s="8"/>
      <c r="C39" s="7">
        <f>IF($B39="","","BSR "&amp;IFERROR(INDEX('Challan Master'!$B$4:$B$207,MATCH($B39,'Challan Master'!$S$4:$S$207,0)),"")&amp;" | Serial "&amp;IFERROR(INDEX('Challan Master'!$C$4:$C$207,MATCH($B39,'Challan Master'!$S$4:$S$207,0)),"")&amp;" | Deposit "&amp;TEXT(IFERROR(INDEX('Challan Master'!$D$4:$D$207,MATCH($B39,'Challan Master'!$S$4:$S$207,0)),""),"dd-mm-yyyy")&amp;" | Minor Head "&amp;IFERROR(INDEX('Challan Master'!$E$4:$E$207,MATCH($B39,'Challan Master'!$S$4:$S$207,0)),"")&amp;" | Tax ₹"&amp;TEXT(IFERROR(INDEX('Challan Master'!$G$4:$G$207,MATCH($B39,'Challan Master'!$S$4:$S$207,0)),""),"#,##0")&amp;" | Section "&amp;IFERROR(INDEX('Challan Master'!$F$4:$F$207,MATCH($B39,'Challan Master'!$S$4:$S$207,0)),""))</f>
      </c>
      <c r="D39" s="8"/>
      <c r="E39" s="8"/>
      <c r="F39" s="7">
        <f>IF($D39="","",IF(AND(LEN(TRIM(UPPER(E39)))=10,CODE(MID(TRIM(UPPER(E39)),1,1))&gt;=65,CODE(MID(TRIM(UPPER(E39)),1,1))&lt;=90,CODE(MID(TRIM(UPPER(E39)),2,1))&gt;=65,CODE(MID(TRIM(UPPER(E39)),2,1))&lt;=90,CODE(MID(TRIM(UPPER(E39)),3,1))&gt;=65,CODE(MID(TRIM(UPPER(E39)),3,1))&lt;=90,CODE(MID(TRIM(UPPER(E39)),4,1))&gt;=65,CODE(MID(TRIM(UPPER(E39)),4,1))&lt;=90,CODE(MID(TRIM(UPPER(E39)),5,1))&gt;=65,CODE(MID(TRIM(UPPER(E39)),5,1))&lt;=90,CODE(MID(TRIM(UPPER(E39)),10,1))&gt;=65,CODE(MID(TRIM(UPPER(E39)),10,1))&lt;=90,CODE(MID(TRIM(UPPER(E39)),6,1))&gt;=48,CODE(MID(TRIM(UPPER(E39)),6,1))&lt;=57,CODE(MID(TRIM(UPPER(E39)),7,1))&gt;=48,CODE(MID(TRIM(UPPER(E39)),7,1))&lt;=57,CODE(MID(TRIM(UPPER(E39)),8,1))&gt;=48,CODE(MID(TRIM(UPPER(E39)),8,1))&lt;=57,CODE(MID(TRIM(UPPER(E39)),9,1))&gt;=48,CODE(MID(TRIM(UPPER(E39)),9,1))&lt;=57),"N","Y"))</f>
      </c>
      <c r="G39" s="7">
        <f>IF($D39="","",IF(LEN(E39)&lt;4,"",IF(UPPER(MID(E39,4,1))="P","Individual",IF(UPPER(MID(E39,4,1))="H","HUF",IF(UPPER(MID(E39,4,1))="C","Company",IF(UPPER(MID(E39,4,1))="F","Firm",IF(UPPER(MID(E39,4,1))="L","LLP",IF(UPPER(MID(E39,4,1))="T","Trust",IF(UPPER(MID(E39,4,1))="A","AOP","")))))))))</f>
      </c>
      <c r="H39" s="8"/>
      <c r="I39" s="7">
        <f>IF($D39="","",IF(H39="","",IF(F39="Y",SUMPRODUCT(('Rate Lookup'!$A$1:$A$37=H39)*'Rate Lookup'!$D$1:$D$37),IF(OR(G39="Individual",G39="HUF"),SUMPRODUCT(('Rate Lookup'!$A$1:$A$37=H39)*'Rate Lookup'!$B$1:$B$37),SUMPRODUCT(('Rate Lookup'!$A$1:$A$37=H39)*'Rate Lookup'!$C$1:$C$37)))))</f>
      </c>
      <c r="J39" s="8"/>
      <c r="K39" s="8"/>
      <c r="L39" s="7">
        <f>IF($D39="","",ROUND(K39*I39/100,0))</f>
      </c>
      <c r="M39" s="7">
        <f>IF($D39="","",0)</f>
      </c>
      <c r="N39" s="7">
        <f>IF($D39="","",0)</f>
      </c>
      <c r="O39" s="7">
        <f>IF($D39="","",IF(OR(L39=0,J39="",IFERROR(INDEX('Challan Master'!$D$4:$D$207,MATCH($B39,'Challan Master'!$S$4:$S$207,0)),"")="",IFERROR(INDEX('Challan Master'!$D$4:$D$207,MATCH($B39,'Challan Master'!$S$4:$S$207,0)),"")&lt;=0),0,IF(IFERROR(INDEX('Challan Master'!$D$4:$D$207,MATCH($B39,'Challan Master'!$S$4:$S$207,0)),"")&lt;=DATE(YEAR(J39),MONTH(J39)+1,7),0,ROUND(L39*0.015*((YEAR(IFERROR(INDEX('Challan Master'!$D$4:$D$207,MATCH($B39,'Challan Master'!$S$4:$S$207,0)),""))-YEAR(J39))*12+(MONTH(IFERROR(INDEX('Challan Master'!$D$4:$D$207,MATCH($B39,'Challan Master'!$S$4:$S$207,0)),""))-MONTH(J39))+1),0))))</f>
      </c>
      <c r="P39" s="7">
        <f>IF($D39="","",0)</f>
      </c>
      <c r="Q39" s="8"/>
      <c r="R39" s="8"/>
      <c r="S39" s="8"/>
      <c r="T39" s="8"/>
      <c r="U39" s="8"/>
      <c r="V39" s="7">
        <f>IF($B39="","",IFERROR(INDEX('Challan Master'!$AA$4:$AA$207,MATCH($B39,'Challan Master'!$S$4:$S$207,0)),""))</f>
      </c>
    </row>
    <row r="40" spans="1:22" x14ac:dyDescent="0.25">
      <c r="A40" s="7">
        <f>IF($D40="","",COUNTIF($D$4:$D40,"&lt;&gt;"))</f>
      </c>
      <c r="B40" s="8"/>
      <c r="C40" s="7">
        <f>IF($B40="","","BSR "&amp;IFERROR(INDEX('Challan Master'!$B$4:$B$207,MATCH($B40,'Challan Master'!$S$4:$S$207,0)),"")&amp;" | Serial "&amp;IFERROR(INDEX('Challan Master'!$C$4:$C$207,MATCH($B40,'Challan Master'!$S$4:$S$207,0)),"")&amp;" | Deposit "&amp;TEXT(IFERROR(INDEX('Challan Master'!$D$4:$D$207,MATCH($B40,'Challan Master'!$S$4:$S$207,0)),""),"dd-mm-yyyy")&amp;" | Minor Head "&amp;IFERROR(INDEX('Challan Master'!$E$4:$E$207,MATCH($B40,'Challan Master'!$S$4:$S$207,0)),"")&amp;" | Tax ₹"&amp;TEXT(IFERROR(INDEX('Challan Master'!$G$4:$G$207,MATCH($B40,'Challan Master'!$S$4:$S$207,0)),""),"#,##0")&amp;" | Section "&amp;IFERROR(INDEX('Challan Master'!$F$4:$F$207,MATCH($B40,'Challan Master'!$S$4:$S$207,0)),""))</f>
      </c>
      <c r="D40" s="8"/>
      <c r="E40" s="8"/>
      <c r="F40" s="7">
        <f>IF($D40="","",IF(AND(LEN(TRIM(UPPER(E40)))=10,CODE(MID(TRIM(UPPER(E40)),1,1))&gt;=65,CODE(MID(TRIM(UPPER(E40)),1,1))&lt;=90,CODE(MID(TRIM(UPPER(E40)),2,1))&gt;=65,CODE(MID(TRIM(UPPER(E40)),2,1))&lt;=90,CODE(MID(TRIM(UPPER(E40)),3,1))&gt;=65,CODE(MID(TRIM(UPPER(E40)),3,1))&lt;=90,CODE(MID(TRIM(UPPER(E40)),4,1))&gt;=65,CODE(MID(TRIM(UPPER(E40)),4,1))&lt;=90,CODE(MID(TRIM(UPPER(E40)),5,1))&gt;=65,CODE(MID(TRIM(UPPER(E40)),5,1))&lt;=90,CODE(MID(TRIM(UPPER(E40)),10,1))&gt;=65,CODE(MID(TRIM(UPPER(E40)),10,1))&lt;=90,CODE(MID(TRIM(UPPER(E40)),6,1))&gt;=48,CODE(MID(TRIM(UPPER(E40)),6,1))&lt;=57,CODE(MID(TRIM(UPPER(E40)),7,1))&gt;=48,CODE(MID(TRIM(UPPER(E40)),7,1))&lt;=57,CODE(MID(TRIM(UPPER(E40)),8,1))&gt;=48,CODE(MID(TRIM(UPPER(E40)),8,1))&lt;=57,CODE(MID(TRIM(UPPER(E40)),9,1))&gt;=48,CODE(MID(TRIM(UPPER(E40)),9,1))&lt;=57),"N","Y"))</f>
      </c>
      <c r="G40" s="7">
        <f>IF($D40="","",IF(LEN(E40)&lt;4,"",IF(UPPER(MID(E40,4,1))="P","Individual",IF(UPPER(MID(E40,4,1))="H","HUF",IF(UPPER(MID(E40,4,1))="C","Company",IF(UPPER(MID(E40,4,1))="F","Firm",IF(UPPER(MID(E40,4,1))="L","LLP",IF(UPPER(MID(E40,4,1))="T","Trust",IF(UPPER(MID(E40,4,1))="A","AOP","")))))))))</f>
      </c>
      <c r="H40" s="8"/>
      <c r="I40" s="7">
        <f>IF($D40="","",IF(H40="","",IF(F40="Y",SUMPRODUCT(('Rate Lookup'!$A$1:$A$37=H40)*'Rate Lookup'!$D$1:$D$37),IF(OR(G40="Individual",G40="HUF"),SUMPRODUCT(('Rate Lookup'!$A$1:$A$37=H40)*'Rate Lookup'!$B$1:$B$37),SUMPRODUCT(('Rate Lookup'!$A$1:$A$37=H40)*'Rate Lookup'!$C$1:$C$37)))))</f>
      </c>
      <c r="J40" s="8"/>
      <c r="K40" s="8"/>
      <c r="L40" s="7">
        <f>IF($D40="","",ROUND(K40*I40/100,0))</f>
      </c>
      <c r="M40" s="7">
        <f>IF($D40="","",0)</f>
      </c>
      <c r="N40" s="7">
        <f>IF($D40="","",0)</f>
      </c>
      <c r="O40" s="7">
        <f>IF($D40="","",IF(OR(L40=0,J40="",IFERROR(INDEX('Challan Master'!$D$4:$D$207,MATCH($B40,'Challan Master'!$S$4:$S$207,0)),"")="",IFERROR(INDEX('Challan Master'!$D$4:$D$207,MATCH($B40,'Challan Master'!$S$4:$S$207,0)),"")&lt;=0),0,IF(IFERROR(INDEX('Challan Master'!$D$4:$D$207,MATCH($B40,'Challan Master'!$S$4:$S$207,0)),"")&lt;=DATE(YEAR(J40),MONTH(J40)+1,7),0,ROUND(L40*0.015*((YEAR(IFERROR(INDEX('Challan Master'!$D$4:$D$207,MATCH($B40,'Challan Master'!$S$4:$S$207,0)),""))-YEAR(J40))*12+(MONTH(IFERROR(INDEX('Challan Master'!$D$4:$D$207,MATCH($B40,'Challan Master'!$S$4:$S$207,0)),""))-MONTH(J40))+1),0))))</f>
      </c>
      <c r="P40" s="7">
        <f>IF($D40="","",0)</f>
      </c>
      <c r="Q40" s="8"/>
      <c r="R40" s="8"/>
      <c r="S40" s="8"/>
      <c r="T40" s="8"/>
      <c r="U40" s="8"/>
      <c r="V40" s="7">
        <f>IF($B40="","",IFERROR(INDEX('Challan Master'!$AA$4:$AA$207,MATCH($B40,'Challan Master'!$S$4:$S$207,0)),""))</f>
      </c>
    </row>
    <row r="41" spans="1:22" x14ac:dyDescent="0.25">
      <c r="A41" s="7">
        <f>IF($D41="","",COUNTIF($D$4:$D41,"&lt;&gt;"))</f>
      </c>
      <c r="B41" s="8"/>
      <c r="C41" s="7">
        <f>IF($B41="","","BSR "&amp;IFERROR(INDEX('Challan Master'!$B$4:$B$207,MATCH($B41,'Challan Master'!$S$4:$S$207,0)),"")&amp;" | Serial "&amp;IFERROR(INDEX('Challan Master'!$C$4:$C$207,MATCH($B41,'Challan Master'!$S$4:$S$207,0)),"")&amp;" | Deposit "&amp;TEXT(IFERROR(INDEX('Challan Master'!$D$4:$D$207,MATCH($B41,'Challan Master'!$S$4:$S$207,0)),""),"dd-mm-yyyy")&amp;" | Minor Head "&amp;IFERROR(INDEX('Challan Master'!$E$4:$E$207,MATCH($B41,'Challan Master'!$S$4:$S$207,0)),"")&amp;" | Tax ₹"&amp;TEXT(IFERROR(INDEX('Challan Master'!$G$4:$G$207,MATCH($B41,'Challan Master'!$S$4:$S$207,0)),""),"#,##0")&amp;" | Section "&amp;IFERROR(INDEX('Challan Master'!$F$4:$F$207,MATCH($B41,'Challan Master'!$S$4:$S$207,0)),""))</f>
      </c>
      <c r="D41" s="8"/>
      <c r="E41" s="8"/>
      <c r="F41" s="7">
        <f>IF($D41="","",IF(AND(LEN(TRIM(UPPER(E41)))=10,CODE(MID(TRIM(UPPER(E41)),1,1))&gt;=65,CODE(MID(TRIM(UPPER(E41)),1,1))&lt;=90,CODE(MID(TRIM(UPPER(E41)),2,1))&gt;=65,CODE(MID(TRIM(UPPER(E41)),2,1))&lt;=90,CODE(MID(TRIM(UPPER(E41)),3,1))&gt;=65,CODE(MID(TRIM(UPPER(E41)),3,1))&lt;=90,CODE(MID(TRIM(UPPER(E41)),4,1))&gt;=65,CODE(MID(TRIM(UPPER(E41)),4,1))&lt;=90,CODE(MID(TRIM(UPPER(E41)),5,1))&gt;=65,CODE(MID(TRIM(UPPER(E41)),5,1))&lt;=90,CODE(MID(TRIM(UPPER(E41)),10,1))&gt;=65,CODE(MID(TRIM(UPPER(E41)),10,1))&lt;=90,CODE(MID(TRIM(UPPER(E41)),6,1))&gt;=48,CODE(MID(TRIM(UPPER(E41)),6,1))&lt;=57,CODE(MID(TRIM(UPPER(E41)),7,1))&gt;=48,CODE(MID(TRIM(UPPER(E41)),7,1))&lt;=57,CODE(MID(TRIM(UPPER(E41)),8,1))&gt;=48,CODE(MID(TRIM(UPPER(E41)),8,1))&lt;=57,CODE(MID(TRIM(UPPER(E41)),9,1))&gt;=48,CODE(MID(TRIM(UPPER(E41)),9,1))&lt;=57),"N","Y"))</f>
      </c>
      <c r="G41" s="7">
        <f>IF($D41="","",IF(LEN(E41)&lt;4,"",IF(UPPER(MID(E41,4,1))="P","Individual",IF(UPPER(MID(E41,4,1))="H","HUF",IF(UPPER(MID(E41,4,1))="C","Company",IF(UPPER(MID(E41,4,1))="F","Firm",IF(UPPER(MID(E41,4,1))="L","LLP",IF(UPPER(MID(E41,4,1))="T","Trust",IF(UPPER(MID(E41,4,1))="A","AOP","")))))))))</f>
      </c>
      <c r="H41" s="8"/>
      <c r="I41" s="7">
        <f>IF($D41="","",IF(H41="","",IF(F41="Y",SUMPRODUCT(('Rate Lookup'!$A$1:$A$37=H41)*'Rate Lookup'!$D$1:$D$37),IF(OR(G41="Individual",G41="HUF"),SUMPRODUCT(('Rate Lookup'!$A$1:$A$37=H41)*'Rate Lookup'!$B$1:$B$37),SUMPRODUCT(('Rate Lookup'!$A$1:$A$37=H41)*'Rate Lookup'!$C$1:$C$37)))))</f>
      </c>
      <c r="J41" s="8"/>
      <c r="K41" s="8"/>
      <c r="L41" s="7">
        <f>IF($D41="","",ROUND(K41*I41/100,0))</f>
      </c>
      <c r="M41" s="7">
        <f>IF($D41="","",0)</f>
      </c>
      <c r="N41" s="7">
        <f>IF($D41="","",0)</f>
      </c>
      <c r="O41" s="7">
        <f>IF($D41="","",IF(OR(L41=0,J41="",IFERROR(INDEX('Challan Master'!$D$4:$D$207,MATCH($B41,'Challan Master'!$S$4:$S$207,0)),"")="",IFERROR(INDEX('Challan Master'!$D$4:$D$207,MATCH($B41,'Challan Master'!$S$4:$S$207,0)),"")&lt;=0),0,IF(IFERROR(INDEX('Challan Master'!$D$4:$D$207,MATCH($B41,'Challan Master'!$S$4:$S$207,0)),"")&lt;=DATE(YEAR(J41),MONTH(J41)+1,7),0,ROUND(L41*0.015*((YEAR(IFERROR(INDEX('Challan Master'!$D$4:$D$207,MATCH($B41,'Challan Master'!$S$4:$S$207,0)),""))-YEAR(J41))*12+(MONTH(IFERROR(INDEX('Challan Master'!$D$4:$D$207,MATCH($B41,'Challan Master'!$S$4:$S$207,0)),""))-MONTH(J41))+1),0))))</f>
      </c>
      <c r="P41" s="7">
        <f>IF($D41="","",0)</f>
      </c>
      <c r="Q41" s="8"/>
      <c r="R41" s="8"/>
      <c r="S41" s="8"/>
      <c r="T41" s="8"/>
      <c r="U41" s="8"/>
      <c r="V41" s="7">
        <f>IF($B41="","",IFERROR(INDEX('Challan Master'!$AA$4:$AA$207,MATCH($B41,'Challan Master'!$S$4:$S$207,0)),""))</f>
      </c>
    </row>
    <row r="42" spans="1:22" x14ac:dyDescent="0.25">
      <c r="A42" s="7">
        <f>IF($D42="","",COUNTIF($D$4:$D42,"&lt;&gt;"))</f>
      </c>
      <c r="B42" s="8"/>
      <c r="C42" s="7">
        <f>IF($B42="","","BSR "&amp;IFERROR(INDEX('Challan Master'!$B$4:$B$207,MATCH($B42,'Challan Master'!$S$4:$S$207,0)),"")&amp;" | Serial "&amp;IFERROR(INDEX('Challan Master'!$C$4:$C$207,MATCH($B42,'Challan Master'!$S$4:$S$207,0)),"")&amp;" | Deposit "&amp;TEXT(IFERROR(INDEX('Challan Master'!$D$4:$D$207,MATCH($B42,'Challan Master'!$S$4:$S$207,0)),""),"dd-mm-yyyy")&amp;" | Minor Head "&amp;IFERROR(INDEX('Challan Master'!$E$4:$E$207,MATCH($B42,'Challan Master'!$S$4:$S$207,0)),"")&amp;" | Tax ₹"&amp;TEXT(IFERROR(INDEX('Challan Master'!$G$4:$G$207,MATCH($B42,'Challan Master'!$S$4:$S$207,0)),""),"#,##0")&amp;" | Section "&amp;IFERROR(INDEX('Challan Master'!$F$4:$F$207,MATCH($B42,'Challan Master'!$S$4:$S$207,0)),""))</f>
      </c>
      <c r="D42" s="8"/>
      <c r="E42" s="8"/>
      <c r="F42" s="7">
        <f>IF($D42="","",IF(AND(LEN(TRIM(UPPER(E42)))=10,CODE(MID(TRIM(UPPER(E42)),1,1))&gt;=65,CODE(MID(TRIM(UPPER(E42)),1,1))&lt;=90,CODE(MID(TRIM(UPPER(E42)),2,1))&gt;=65,CODE(MID(TRIM(UPPER(E42)),2,1))&lt;=90,CODE(MID(TRIM(UPPER(E42)),3,1))&gt;=65,CODE(MID(TRIM(UPPER(E42)),3,1))&lt;=90,CODE(MID(TRIM(UPPER(E42)),4,1))&gt;=65,CODE(MID(TRIM(UPPER(E42)),4,1))&lt;=90,CODE(MID(TRIM(UPPER(E42)),5,1))&gt;=65,CODE(MID(TRIM(UPPER(E42)),5,1))&lt;=90,CODE(MID(TRIM(UPPER(E42)),10,1))&gt;=65,CODE(MID(TRIM(UPPER(E42)),10,1))&lt;=90,CODE(MID(TRIM(UPPER(E42)),6,1))&gt;=48,CODE(MID(TRIM(UPPER(E42)),6,1))&lt;=57,CODE(MID(TRIM(UPPER(E42)),7,1))&gt;=48,CODE(MID(TRIM(UPPER(E42)),7,1))&lt;=57,CODE(MID(TRIM(UPPER(E42)),8,1))&gt;=48,CODE(MID(TRIM(UPPER(E42)),8,1))&lt;=57,CODE(MID(TRIM(UPPER(E42)),9,1))&gt;=48,CODE(MID(TRIM(UPPER(E42)),9,1))&lt;=57),"N","Y"))</f>
      </c>
      <c r="G42" s="7">
        <f>IF($D42="","",IF(LEN(E42)&lt;4,"",IF(UPPER(MID(E42,4,1))="P","Individual",IF(UPPER(MID(E42,4,1))="H","HUF",IF(UPPER(MID(E42,4,1))="C","Company",IF(UPPER(MID(E42,4,1))="F","Firm",IF(UPPER(MID(E42,4,1))="L","LLP",IF(UPPER(MID(E42,4,1))="T","Trust",IF(UPPER(MID(E42,4,1))="A","AOP","")))))))))</f>
      </c>
      <c r="H42" s="8"/>
      <c r="I42" s="7">
        <f>IF($D42="","",IF(H42="","",IF(F42="Y",SUMPRODUCT(('Rate Lookup'!$A$1:$A$37=H42)*'Rate Lookup'!$D$1:$D$37),IF(OR(G42="Individual",G42="HUF"),SUMPRODUCT(('Rate Lookup'!$A$1:$A$37=H42)*'Rate Lookup'!$B$1:$B$37),SUMPRODUCT(('Rate Lookup'!$A$1:$A$37=H42)*'Rate Lookup'!$C$1:$C$37)))))</f>
      </c>
      <c r="J42" s="8"/>
      <c r="K42" s="8"/>
      <c r="L42" s="7">
        <f>IF($D42="","",ROUND(K42*I42/100,0))</f>
      </c>
      <c r="M42" s="7">
        <f>IF($D42="","",0)</f>
      </c>
      <c r="N42" s="7">
        <f>IF($D42="","",0)</f>
      </c>
      <c r="O42" s="7">
        <f>IF($D42="","",IF(OR(L42=0,J42="",IFERROR(INDEX('Challan Master'!$D$4:$D$207,MATCH($B42,'Challan Master'!$S$4:$S$207,0)),"")="",IFERROR(INDEX('Challan Master'!$D$4:$D$207,MATCH($B42,'Challan Master'!$S$4:$S$207,0)),"")&lt;=0),0,IF(IFERROR(INDEX('Challan Master'!$D$4:$D$207,MATCH($B42,'Challan Master'!$S$4:$S$207,0)),"")&lt;=DATE(YEAR(J42),MONTH(J42)+1,7),0,ROUND(L42*0.015*((YEAR(IFERROR(INDEX('Challan Master'!$D$4:$D$207,MATCH($B42,'Challan Master'!$S$4:$S$207,0)),""))-YEAR(J42))*12+(MONTH(IFERROR(INDEX('Challan Master'!$D$4:$D$207,MATCH($B42,'Challan Master'!$S$4:$S$207,0)),""))-MONTH(J42))+1),0))))</f>
      </c>
      <c r="P42" s="7">
        <f>IF($D42="","",0)</f>
      </c>
      <c r="Q42" s="8"/>
      <c r="R42" s="8"/>
      <c r="S42" s="8"/>
      <c r="T42" s="8"/>
      <c r="U42" s="8"/>
      <c r="V42" s="7">
        <f>IF($B42="","",IFERROR(INDEX('Challan Master'!$AA$4:$AA$207,MATCH($B42,'Challan Master'!$S$4:$S$207,0)),""))</f>
      </c>
    </row>
    <row r="43" spans="1:22" x14ac:dyDescent="0.25">
      <c r="A43" s="7">
        <f>IF($D43="","",COUNTIF($D$4:$D43,"&lt;&gt;"))</f>
      </c>
      <c r="B43" s="8"/>
      <c r="C43" s="7">
        <f>IF($B43="","","BSR "&amp;IFERROR(INDEX('Challan Master'!$B$4:$B$207,MATCH($B43,'Challan Master'!$S$4:$S$207,0)),"")&amp;" | Serial "&amp;IFERROR(INDEX('Challan Master'!$C$4:$C$207,MATCH($B43,'Challan Master'!$S$4:$S$207,0)),"")&amp;" | Deposit "&amp;TEXT(IFERROR(INDEX('Challan Master'!$D$4:$D$207,MATCH($B43,'Challan Master'!$S$4:$S$207,0)),""),"dd-mm-yyyy")&amp;" | Minor Head "&amp;IFERROR(INDEX('Challan Master'!$E$4:$E$207,MATCH($B43,'Challan Master'!$S$4:$S$207,0)),"")&amp;" | Tax ₹"&amp;TEXT(IFERROR(INDEX('Challan Master'!$G$4:$G$207,MATCH($B43,'Challan Master'!$S$4:$S$207,0)),""),"#,##0")&amp;" | Section "&amp;IFERROR(INDEX('Challan Master'!$F$4:$F$207,MATCH($B43,'Challan Master'!$S$4:$S$207,0)),""))</f>
      </c>
      <c r="D43" s="8"/>
      <c r="E43" s="8"/>
      <c r="F43" s="7">
        <f>IF($D43="","",IF(AND(LEN(TRIM(UPPER(E43)))=10,CODE(MID(TRIM(UPPER(E43)),1,1))&gt;=65,CODE(MID(TRIM(UPPER(E43)),1,1))&lt;=90,CODE(MID(TRIM(UPPER(E43)),2,1))&gt;=65,CODE(MID(TRIM(UPPER(E43)),2,1))&lt;=90,CODE(MID(TRIM(UPPER(E43)),3,1))&gt;=65,CODE(MID(TRIM(UPPER(E43)),3,1))&lt;=90,CODE(MID(TRIM(UPPER(E43)),4,1))&gt;=65,CODE(MID(TRIM(UPPER(E43)),4,1))&lt;=90,CODE(MID(TRIM(UPPER(E43)),5,1))&gt;=65,CODE(MID(TRIM(UPPER(E43)),5,1))&lt;=90,CODE(MID(TRIM(UPPER(E43)),10,1))&gt;=65,CODE(MID(TRIM(UPPER(E43)),10,1))&lt;=90,CODE(MID(TRIM(UPPER(E43)),6,1))&gt;=48,CODE(MID(TRIM(UPPER(E43)),6,1))&lt;=57,CODE(MID(TRIM(UPPER(E43)),7,1))&gt;=48,CODE(MID(TRIM(UPPER(E43)),7,1))&lt;=57,CODE(MID(TRIM(UPPER(E43)),8,1))&gt;=48,CODE(MID(TRIM(UPPER(E43)),8,1))&lt;=57,CODE(MID(TRIM(UPPER(E43)),9,1))&gt;=48,CODE(MID(TRIM(UPPER(E43)),9,1))&lt;=57),"N","Y"))</f>
      </c>
      <c r="G43" s="7">
        <f>IF($D43="","",IF(LEN(E43)&lt;4,"",IF(UPPER(MID(E43,4,1))="P","Individual",IF(UPPER(MID(E43,4,1))="H","HUF",IF(UPPER(MID(E43,4,1))="C","Company",IF(UPPER(MID(E43,4,1))="F","Firm",IF(UPPER(MID(E43,4,1))="L","LLP",IF(UPPER(MID(E43,4,1))="T","Trust",IF(UPPER(MID(E43,4,1))="A","AOP","")))))))))</f>
      </c>
      <c r="H43" s="8"/>
      <c r="I43" s="7">
        <f>IF($D43="","",IF(H43="","",IF(F43="Y",SUMPRODUCT(('Rate Lookup'!$A$1:$A$37=H43)*'Rate Lookup'!$D$1:$D$37),IF(OR(G43="Individual",G43="HUF"),SUMPRODUCT(('Rate Lookup'!$A$1:$A$37=H43)*'Rate Lookup'!$B$1:$B$37),SUMPRODUCT(('Rate Lookup'!$A$1:$A$37=H43)*'Rate Lookup'!$C$1:$C$37)))))</f>
      </c>
      <c r="J43" s="8"/>
      <c r="K43" s="8"/>
      <c r="L43" s="7">
        <f>IF($D43="","",ROUND(K43*I43/100,0))</f>
      </c>
      <c r="M43" s="7">
        <f>IF($D43="","",0)</f>
      </c>
      <c r="N43" s="7">
        <f>IF($D43="","",0)</f>
      </c>
      <c r="O43" s="7">
        <f>IF($D43="","",IF(OR(L43=0,J43="",IFERROR(INDEX('Challan Master'!$D$4:$D$207,MATCH($B43,'Challan Master'!$S$4:$S$207,0)),"")="",IFERROR(INDEX('Challan Master'!$D$4:$D$207,MATCH($B43,'Challan Master'!$S$4:$S$207,0)),"")&lt;=0),0,IF(IFERROR(INDEX('Challan Master'!$D$4:$D$207,MATCH($B43,'Challan Master'!$S$4:$S$207,0)),"")&lt;=DATE(YEAR(J43),MONTH(J43)+1,7),0,ROUND(L43*0.015*((YEAR(IFERROR(INDEX('Challan Master'!$D$4:$D$207,MATCH($B43,'Challan Master'!$S$4:$S$207,0)),""))-YEAR(J43))*12+(MONTH(IFERROR(INDEX('Challan Master'!$D$4:$D$207,MATCH($B43,'Challan Master'!$S$4:$S$207,0)),""))-MONTH(J43))+1),0))))</f>
      </c>
      <c r="P43" s="7">
        <f>IF($D43="","",0)</f>
      </c>
      <c r="Q43" s="8"/>
      <c r="R43" s="8"/>
      <c r="S43" s="8"/>
      <c r="T43" s="8"/>
      <c r="U43" s="8"/>
      <c r="V43" s="7">
        <f>IF($B43="","",IFERROR(INDEX('Challan Master'!$AA$4:$AA$207,MATCH($B43,'Challan Master'!$S$4:$S$207,0)),""))</f>
      </c>
    </row>
    <row r="44" spans="1:22" x14ac:dyDescent="0.25">
      <c r="A44" s="7">
        <f>IF($D44="","",COUNTIF($D$4:$D44,"&lt;&gt;"))</f>
      </c>
      <c r="B44" s="8"/>
      <c r="C44" s="7">
        <f>IF($B44="","","BSR "&amp;IFERROR(INDEX('Challan Master'!$B$4:$B$207,MATCH($B44,'Challan Master'!$S$4:$S$207,0)),"")&amp;" | Serial "&amp;IFERROR(INDEX('Challan Master'!$C$4:$C$207,MATCH($B44,'Challan Master'!$S$4:$S$207,0)),"")&amp;" | Deposit "&amp;TEXT(IFERROR(INDEX('Challan Master'!$D$4:$D$207,MATCH($B44,'Challan Master'!$S$4:$S$207,0)),""),"dd-mm-yyyy")&amp;" | Minor Head "&amp;IFERROR(INDEX('Challan Master'!$E$4:$E$207,MATCH($B44,'Challan Master'!$S$4:$S$207,0)),"")&amp;" | Tax ₹"&amp;TEXT(IFERROR(INDEX('Challan Master'!$G$4:$G$207,MATCH($B44,'Challan Master'!$S$4:$S$207,0)),""),"#,##0")&amp;" | Section "&amp;IFERROR(INDEX('Challan Master'!$F$4:$F$207,MATCH($B44,'Challan Master'!$S$4:$S$207,0)),""))</f>
      </c>
      <c r="D44" s="8"/>
      <c r="E44" s="8"/>
      <c r="F44" s="7">
        <f>IF($D44="","",IF(AND(LEN(TRIM(UPPER(E44)))=10,CODE(MID(TRIM(UPPER(E44)),1,1))&gt;=65,CODE(MID(TRIM(UPPER(E44)),1,1))&lt;=90,CODE(MID(TRIM(UPPER(E44)),2,1))&gt;=65,CODE(MID(TRIM(UPPER(E44)),2,1))&lt;=90,CODE(MID(TRIM(UPPER(E44)),3,1))&gt;=65,CODE(MID(TRIM(UPPER(E44)),3,1))&lt;=90,CODE(MID(TRIM(UPPER(E44)),4,1))&gt;=65,CODE(MID(TRIM(UPPER(E44)),4,1))&lt;=90,CODE(MID(TRIM(UPPER(E44)),5,1))&gt;=65,CODE(MID(TRIM(UPPER(E44)),5,1))&lt;=90,CODE(MID(TRIM(UPPER(E44)),10,1))&gt;=65,CODE(MID(TRIM(UPPER(E44)),10,1))&lt;=90,CODE(MID(TRIM(UPPER(E44)),6,1))&gt;=48,CODE(MID(TRIM(UPPER(E44)),6,1))&lt;=57,CODE(MID(TRIM(UPPER(E44)),7,1))&gt;=48,CODE(MID(TRIM(UPPER(E44)),7,1))&lt;=57,CODE(MID(TRIM(UPPER(E44)),8,1))&gt;=48,CODE(MID(TRIM(UPPER(E44)),8,1))&lt;=57,CODE(MID(TRIM(UPPER(E44)),9,1))&gt;=48,CODE(MID(TRIM(UPPER(E44)),9,1))&lt;=57),"N","Y"))</f>
      </c>
      <c r="G44" s="7">
        <f>IF($D44="","",IF(LEN(E44)&lt;4,"",IF(UPPER(MID(E44,4,1))="P","Individual",IF(UPPER(MID(E44,4,1))="H","HUF",IF(UPPER(MID(E44,4,1))="C","Company",IF(UPPER(MID(E44,4,1))="F","Firm",IF(UPPER(MID(E44,4,1))="L","LLP",IF(UPPER(MID(E44,4,1))="T","Trust",IF(UPPER(MID(E44,4,1))="A","AOP","")))))))))</f>
      </c>
      <c r="H44" s="8"/>
      <c r="I44" s="7">
        <f>IF($D44="","",IF(H44="","",IF(F44="Y",SUMPRODUCT(('Rate Lookup'!$A$1:$A$37=H44)*'Rate Lookup'!$D$1:$D$37),IF(OR(G44="Individual",G44="HUF"),SUMPRODUCT(('Rate Lookup'!$A$1:$A$37=H44)*'Rate Lookup'!$B$1:$B$37),SUMPRODUCT(('Rate Lookup'!$A$1:$A$37=H44)*'Rate Lookup'!$C$1:$C$37)))))</f>
      </c>
      <c r="J44" s="8"/>
      <c r="K44" s="8"/>
      <c r="L44" s="7">
        <f>IF($D44="","",ROUND(K44*I44/100,0))</f>
      </c>
      <c r="M44" s="7">
        <f>IF($D44="","",0)</f>
      </c>
      <c r="N44" s="7">
        <f>IF($D44="","",0)</f>
      </c>
      <c r="O44" s="7">
        <f>IF($D44="","",IF(OR(L44=0,J44="",IFERROR(INDEX('Challan Master'!$D$4:$D$207,MATCH($B44,'Challan Master'!$S$4:$S$207,0)),"")="",IFERROR(INDEX('Challan Master'!$D$4:$D$207,MATCH($B44,'Challan Master'!$S$4:$S$207,0)),"")&lt;=0),0,IF(IFERROR(INDEX('Challan Master'!$D$4:$D$207,MATCH($B44,'Challan Master'!$S$4:$S$207,0)),"")&lt;=DATE(YEAR(J44),MONTH(J44)+1,7),0,ROUND(L44*0.015*((YEAR(IFERROR(INDEX('Challan Master'!$D$4:$D$207,MATCH($B44,'Challan Master'!$S$4:$S$207,0)),""))-YEAR(J44))*12+(MONTH(IFERROR(INDEX('Challan Master'!$D$4:$D$207,MATCH($B44,'Challan Master'!$S$4:$S$207,0)),""))-MONTH(J44))+1),0))))</f>
      </c>
      <c r="P44" s="7">
        <f>IF($D44="","",0)</f>
      </c>
      <c r="Q44" s="8"/>
      <c r="R44" s="8"/>
      <c r="S44" s="8"/>
      <c r="T44" s="8"/>
      <c r="U44" s="8"/>
      <c r="V44" s="7">
        <f>IF($B44="","",IFERROR(INDEX('Challan Master'!$AA$4:$AA$207,MATCH($B44,'Challan Master'!$S$4:$S$207,0)),""))</f>
      </c>
    </row>
    <row r="45" spans="1:22" x14ac:dyDescent="0.25">
      <c r="A45" s="7">
        <f>IF($D45="","",COUNTIF($D$4:$D45,"&lt;&gt;"))</f>
      </c>
      <c r="B45" s="8"/>
      <c r="C45" s="7">
        <f>IF($B45="","","BSR "&amp;IFERROR(INDEX('Challan Master'!$B$4:$B$207,MATCH($B45,'Challan Master'!$S$4:$S$207,0)),"")&amp;" | Serial "&amp;IFERROR(INDEX('Challan Master'!$C$4:$C$207,MATCH($B45,'Challan Master'!$S$4:$S$207,0)),"")&amp;" | Deposit "&amp;TEXT(IFERROR(INDEX('Challan Master'!$D$4:$D$207,MATCH($B45,'Challan Master'!$S$4:$S$207,0)),""),"dd-mm-yyyy")&amp;" | Minor Head "&amp;IFERROR(INDEX('Challan Master'!$E$4:$E$207,MATCH($B45,'Challan Master'!$S$4:$S$207,0)),"")&amp;" | Tax ₹"&amp;TEXT(IFERROR(INDEX('Challan Master'!$G$4:$G$207,MATCH($B45,'Challan Master'!$S$4:$S$207,0)),""),"#,##0")&amp;" | Section "&amp;IFERROR(INDEX('Challan Master'!$F$4:$F$207,MATCH($B45,'Challan Master'!$S$4:$S$207,0)),""))</f>
      </c>
      <c r="D45" s="8"/>
      <c r="E45" s="8"/>
      <c r="F45" s="7">
        <f>IF($D45="","",IF(AND(LEN(TRIM(UPPER(E45)))=10,CODE(MID(TRIM(UPPER(E45)),1,1))&gt;=65,CODE(MID(TRIM(UPPER(E45)),1,1))&lt;=90,CODE(MID(TRIM(UPPER(E45)),2,1))&gt;=65,CODE(MID(TRIM(UPPER(E45)),2,1))&lt;=90,CODE(MID(TRIM(UPPER(E45)),3,1))&gt;=65,CODE(MID(TRIM(UPPER(E45)),3,1))&lt;=90,CODE(MID(TRIM(UPPER(E45)),4,1))&gt;=65,CODE(MID(TRIM(UPPER(E45)),4,1))&lt;=90,CODE(MID(TRIM(UPPER(E45)),5,1))&gt;=65,CODE(MID(TRIM(UPPER(E45)),5,1))&lt;=90,CODE(MID(TRIM(UPPER(E45)),10,1))&gt;=65,CODE(MID(TRIM(UPPER(E45)),10,1))&lt;=90,CODE(MID(TRIM(UPPER(E45)),6,1))&gt;=48,CODE(MID(TRIM(UPPER(E45)),6,1))&lt;=57,CODE(MID(TRIM(UPPER(E45)),7,1))&gt;=48,CODE(MID(TRIM(UPPER(E45)),7,1))&lt;=57,CODE(MID(TRIM(UPPER(E45)),8,1))&gt;=48,CODE(MID(TRIM(UPPER(E45)),8,1))&lt;=57,CODE(MID(TRIM(UPPER(E45)),9,1))&gt;=48,CODE(MID(TRIM(UPPER(E45)),9,1))&lt;=57),"N","Y"))</f>
      </c>
      <c r="G45" s="7">
        <f>IF($D45="","",IF(LEN(E45)&lt;4,"",IF(UPPER(MID(E45,4,1))="P","Individual",IF(UPPER(MID(E45,4,1))="H","HUF",IF(UPPER(MID(E45,4,1))="C","Company",IF(UPPER(MID(E45,4,1))="F","Firm",IF(UPPER(MID(E45,4,1))="L","LLP",IF(UPPER(MID(E45,4,1))="T","Trust",IF(UPPER(MID(E45,4,1))="A","AOP","")))))))))</f>
      </c>
      <c r="H45" s="8"/>
      <c r="I45" s="7">
        <f>IF($D45="","",IF(H45="","",IF(F45="Y",SUMPRODUCT(('Rate Lookup'!$A$1:$A$37=H45)*'Rate Lookup'!$D$1:$D$37),IF(OR(G45="Individual",G45="HUF"),SUMPRODUCT(('Rate Lookup'!$A$1:$A$37=H45)*'Rate Lookup'!$B$1:$B$37),SUMPRODUCT(('Rate Lookup'!$A$1:$A$37=H45)*'Rate Lookup'!$C$1:$C$37)))))</f>
      </c>
      <c r="J45" s="8"/>
      <c r="K45" s="8"/>
      <c r="L45" s="7">
        <f>IF($D45="","",ROUND(K45*I45/100,0))</f>
      </c>
      <c r="M45" s="7">
        <f>IF($D45="","",0)</f>
      </c>
      <c r="N45" s="7">
        <f>IF($D45="","",0)</f>
      </c>
      <c r="O45" s="7">
        <f>IF($D45="","",IF(OR(L45=0,J45="",IFERROR(INDEX('Challan Master'!$D$4:$D$207,MATCH($B45,'Challan Master'!$S$4:$S$207,0)),"")="",IFERROR(INDEX('Challan Master'!$D$4:$D$207,MATCH($B45,'Challan Master'!$S$4:$S$207,0)),"")&lt;=0),0,IF(IFERROR(INDEX('Challan Master'!$D$4:$D$207,MATCH($B45,'Challan Master'!$S$4:$S$207,0)),"")&lt;=DATE(YEAR(J45),MONTH(J45)+1,7),0,ROUND(L45*0.015*((YEAR(IFERROR(INDEX('Challan Master'!$D$4:$D$207,MATCH($B45,'Challan Master'!$S$4:$S$207,0)),""))-YEAR(J45))*12+(MONTH(IFERROR(INDEX('Challan Master'!$D$4:$D$207,MATCH($B45,'Challan Master'!$S$4:$S$207,0)),""))-MONTH(J45))+1),0))))</f>
      </c>
      <c r="P45" s="7">
        <f>IF($D45="","",0)</f>
      </c>
      <c r="Q45" s="8"/>
      <c r="R45" s="8"/>
      <c r="S45" s="8"/>
      <c r="T45" s="8"/>
      <c r="U45" s="8"/>
      <c r="V45" s="7">
        <f>IF($B45="","",IFERROR(INDEX('Challan Master'!$AA$4:$AA$207,MATCH($B45,'Challan Master'!$S$4:$S$207,0)),""))</f>
      </c>
    </row>
    <row r="46" spans="1:22" x14ac:dyDescent="0.25">
      <c r="A46" s="7">
        <f>IF($D46="","",COUNTIF($D$4:$D46,"&lt;&gt;"))</f>
      </c>
      <c r="B46" s="8"/>
      <c r="C46" s="7">
        <f>IF($B46="","","BSR "&amp;IFERROR(INDEX('Challan Master'!$B$4:$B$207,MATCH($B46,'Challan Master'!$S$4:$S$207,0)),"")&amp;" | Serial "&amp;IFERROR(INDEX('Challan Master'!$C$4:$C$207,MATCH($B46,'Challan Master'!$S$4:$S$207,0)),"")&amp;" | Deposit "&amp;TEXT(IFERROR(INDEX('Challan Master'!$D$4:$D$207,MATCH($B46,'Challan Master'!$S$4:$S$207,0)),""),"dd-mm-yyyy")&amp;" | Minor Head "&amp;IFERROR(INDEX('Challan Master'!$E$4:$E$207,MATCH($B46,'Challan Master'!$S$4:$S$207,0)),"")&amp;" | Tax ₹"&amp;TEXT(IFERROR(INDEX('Challan Master'!$G$4:$G$207,MATCH($B46,'Challan Master'!$S$4:$S$207,0)),""),"#,##0")&amp;" | Section "&amp;IFERROR(INDEX('Challan Master'!$F$4:$F$207,MATCH($B46,'Challan Master'!$S$4:$S$207,0)),""))</f>
      </c>
      <c r="D46" s="8"/>
      <c r="E46" s="8"/>
      <c r="F46" s="7">
        <f>IF($D46="","",IF(AND(LEN(TRIM(UPPER(E46)))=10,CODE(MID(TRIM(UPPER(E46)),1,1))&gt;=65,CODE(MID(TRIM(UPPER(E46)),1,1))&lt;=90,CODE(MID(TRIM(UPPER(E46)),2,1))&gt;=65,CODE(MID(TRIM(UPPER(E46)),2,1))&lt;=90,CODE(MID(TRIM(UPPER(E46)),3,1))&gt;=65,CODE(MID(TRIM(UPPER(E46)),3,1))&lt;=90,CODE(MID(TRIM(UPPER(E46)),4,1))&gt;=65,CODE(MID(TRIM(UPPER(E46)),4,1))&lt;=90,CODE(MID(TRIM(UPPER(E46)),5,1))&gt;=65,CODE(MID(TRIM(UPPER(E46)),5,1))&lt;=90,CODE(MID(TRIM(UPPER(E46)),10,1))&gt;=65,CODE(MID(TRIM(UPPER(E46)),10,1))&lt;=90,CODE(MID(TRIM(UPPER(E46)),6,1))&gt;=48,CODE(MID(TRIM(UPPER(E46)),6,1))&lt;=57,CODE(MID(TRIM(UPPER(E46)),7,1))&gt;=48,CODE(MID(TRIM(UPPER(E46)),7,1))&lt;=57,CODE(MID(TRIM(UPPER(E46)),8,1))&gt;=48,CODE(MID(TRIM(UPPER(E46)),8,1))&lt;=57,CODE(MID(TRIM(UPPER(E46)),9,1))&gt;=48,CODE(MID(TRIM(UPPER(E46)),9,1))&lt;=57),"N","Y"))</f>
      </c>
      <c r="G46" s="7">
        <f>IF($D46="","",IF(LEN(E46)&lt;4,"",IF(UPPER(MID(E46,4,1))="P","Individual",IF(UPPER(MID(E46,4,1))="H","HUF",IF(UPPER(MID(E46,4,1))="C","Company",IF(UPPER(MID(E46,4,1))="F","Firm",IF(UPPER(MID(E46,4,1))="L","LLP",IF(UPPER(MID(E46,4,1))="T","Trust",IF(UPPER(MID(E46,4,1))="A","AOP","")))))))))</f>
      </c>
      <c r="H46" s="8"/>
      <c r="I46" s="7">
        <f>IF($D46="","",IF(H46="","",IF(F46="Y",SUMPRODUCT(('Rate Lookup'!$A$1:$A$37=H46)*'Rate Lookup'!$D$1:$D$37),IF(OR(G46="Individual",G46="HUF"),SUMPRODUCT(('Rate Lookup'!$A$1:$A$37=H46)*'Rate Lookup'!$B$1:$B$37),SUMPRODUCT(('Rate Lookup'!$A$1:$A$37=H46)*'Rate Lookup'!$C$1:$C$37)))))</f>
      </c>
      <c r="J46" s="8"/>
      <c r="K46" s="8"/>
      <c r="L46" s="7">
        <f>IF($D46="","",ROUND(K46*I46/100,0))</f>
      </c>
      <c r="M46" s="7">
        <f>IF($D46="","",0)</f>
      </c>
      <c r="N46" s="7">
        <f>IF($D46="","",0)</f>
      </c>
      <c r="O46" s="7">
        <f>IF($D46="","",IF(OR(L46=0,J46="",IFERROR(INDEX('Challan Master'!$D$4:$D$207,MATCH($B46,'Challan Master'!$S$4:$S$207,0)),"")="",IFERROR(INDEX('Challan Master'!$D$4:$D$207,MATCH($B46,'Challan Master'!$S$4:$S$207,0)),"")&lt;=0),0,IF(IFERROR(INDEX('Challan Master'!$D$4:$D$207,MATCH($B46,'Challan Master'!$S$4:$S$207,0)),"")&lt;=DATE(YEAR(J46),MONTH(J46)+1,7),0,ROUND(L46*0.015*((YEAR(IFERROR(INDEX('Challan Master'!$D$4:$D$207,MATCH($B46,'Challan Master'!$S$4:$S$207,0)),""))-YEAR(J46))*12+(MONTH(IFERROR(INDEX('Challan Master'!$D$4:$D$207,MATCH($B46,'Challan Master'!$S$4:$S$207,0)),""))-MONTH(J46))+1),0))))</f>
      </c>
      <c r="P46" s="7">
        <f>IF($D46="","",0)</f>
      </c>
      <c r="Q46" s="8"/>
      <c r="R46" s="8"/>
      <c r="S46" s="8"/>
      <c r="T46" s="8"/>
      <c r="U46" s="8"/>
      <c r="V46" s="7">
        <f>IF($B46="","",IFERROR(INDEX('Challan Master'!$AA$4:$AA$207,MATCH($B46,'Challan Master'!$S$4:$S$207,0)),""))</f>
      </c>
    </row>
    <row r="47" spans="1:22" x14ac:dyDescent="0.25">
      <c r="A47" s="7">
        <f>IF($D47="","",COUNTIF($D$4:$D47,"&lt;&gt;"))</f>
      </c>
      <c r="B47" s="8"/>
      <c r="C47" s="7">
        <f>IF($B47="","","BSR "&amp;IFERROR(INDEX('Challan Master'!$B$4:$B$207,MATCH($B47,'Challan Master'!$S$4:$S$207,0)),"")&amp;" | Serial "&amp;IFERROR(INDEX('Challan Master'!$C$4:$C$207,MATCH($B47,'Challan Master'!$S$4:$S$207,0)),"")&amp;" | Deposit "&amp;TEXT(IFERROR(INDEX('Challan Master'!$D$4:$D$207,MATCH($B47,'Challan Master'!$S$4:$S$207,0)),""),"dd-mm-yyyy")&amp;" | Minor Head "&amp;IFERROR(INDEX('Challan Master'!$E$4:$E$207,MATCH($B47,'Challan Master'!$S$4:$S$207,0)),"")&amp;" | Tax ₹"&amp;TEXT(IFERROR(INDEX('Challan Master'!$G$4:$G$207,MATCH($B47,'Challan Master'!$S$4:$S$207,0)),""),"#,##0")&amp;" | Section "&amp;IFERROR(INDEX('Challan Master'!$F$4:$F$207,MATCH($B47,'Challan Master'!$S$4:$S$207,0)),""))</f>
      </c>
      <c r="D47" s="8"/>
      <c r="E47" s="8"/>
      <c r="F47" s="7">
        <f>IF($D47="","",IF(AND(LEN(TRIM(UPPER(E47)))=10,CODE(MID(TRIM(UPPER(E47)),1,1))&gt;=65,CODE(MID(TRIM(UPPER(E47)),1,1))&lt;=90,CODE(MID(TRIM(UPPER(E47)),2,1))&gt;=65,CODE(MID(TRIM(UPPER(E47)),2,1))&lt;=90,CODE(MID(TRIM(UPPER(E47)),3,1))&gt;=65,CODE(MID(TRIM(UPPER(E47)),3,1))&lt;=90,CODE(MID(TRIM(UPPER(E47)),4,1))&gt;=65,CODE(MID(TRIM(UPPER(E47)),4,1))&lt;=90,CODE(MID(TRIM(UPPER(E47)),5,1))&gt;=65,CODE(MID(TRIM(UPPER(E47)),5,1))&lt;=90,CODE(MID(TRIM(UPPER(E47)),10,1))&gt;=65,CODE(MID(TRIM(UPPER(E47)),10,1))&lt;=90,CODE(MID(TRIM(UPPER(E47)),6,1))&gt;=48,CODE(MID(TRIM(UPPER(E47)),6,1))&lt;=57,CODE(MID(TRIM(UPPER(E47)),7,1))&gt;=48,CODE(MID(TRIM(UPPER(E47)),7,1))&lt;=57,CODE(MID(TRIM(UPPER(E47)),8,1))&gt;=48,CODE(MID(TRIM(UPPER(E47)),8,1))&lt;=57,CODE(MID(TRIM(UPPER(E47)),9,1))&gt;=48,CODE(MID(TRIM(UPPER(E47)),9,1))&lt;=57),"N","Y"))</f>
      </c>
      <c r="G47" s="7">
        <f>IF($D47="","",IF(LEN(E47)&lt;4,"",IF(UPPER(MID(E47,4,1))="P","Individual",IF(UPPER(MID(E47,4,1))="H","HUF",IF(UPPER(MID(E47,4,1))="C","Company",IF(UPPER(MID(E47,4,1))="F","Firm",IF(UPPER(MID(E47,4,1))="L","LLP",IF(UPPER(MID(E47,4,1))="T","Trust",IF(UPPER(MID(E47,4,1))="A","AOP","")))))))))</f>
      </c>
      <c r="H47" s="8"/>
      <c r="I47" s="7">
        <f>IF($D47="","",IF(H47="","",IF(F47="Y",SUMPRODUCT(('Rate Lookup'!$A$1:$A$37=H47)*'Rate Lookup'!$D$1:$D$37),IF(OR(G47="Individual",G47="HUF"),SUMPRODUCT(('Rate Lookup'!$A$1:$A$37=H47)*'Rate Lookup'!$B$1:$B$37),SUMPRODUCT(('Rate Lookup'!$A$1:$A$37=H47)*'Rate Lookup'!$C$1:$C$37)))))</f>
      </c>
      <c r="J47" s="8"/>
      <c r="K47" s="8"/>
      <c r="L47" s="7">
        <f>IF($D47="","",ROUND(K47*I47/100,0))</f>
      </c>
      <c r="M47" s="7">
        <f>IF($D47="","",0)</f>
      </c>
      <c r="N47" s="7">
        <f>IF($D47="","",0)</f>
      </c>
      <c r="O47" s="7">
        <f>IF($D47="","",IF(OR(L47=0,J47="",IFERROR(INDEX('Challan Master'!$D$4:$D$207,MATCH($B47,'Challan Master'!$S$4:$S$207,0)),"")="",IFERROR(INDEX('Challan Master'!$D$4:$D$207,MATCH($B47,'Challan Master'!$S$4:$S$207,0)),"")&lt;=0),0,IF(IFERROR(INDEX('Challan Master'!$D$4:$D$207,MATCH($B47,'Challan Master'!$S$4:$S$207,0)),"")&lt;=DATE(YEAR(J47),MONTH(J47)+1,7),0,ROUND(L47*0.015*((YEAR(IFERROR(INDEX('Challan Master'!$D$4:$D$207,MATCH($B47,'Challan Master'!$S$4:$S$207,0)),""))-YEAR(J47))*12+(MONTH(IFERROR(INDEX('Challan Master'!$D$4:$D$207,MATCH($B47,'Challan Master'!$S$4:$S$207,0)),""))-MONTH(J47))+1),0))))</f>
      </c>
      <c r="P47" s="7">
        <f>IF($D47="","",0)</f>
      </c>
      <c r="Q47" s="8"/>
      <c r="R47" s="8"/>
      <c r="S47" s="8"/>
      <c r="T47" s="8"/>
      <c r="U47" s="8"/>
      <c r="V47" s="7">
        <f>IF($B47="","",IFERROR(INDEX('Challan Master'!$AA$4:$AA$207,MATCH($B47,'Challan Master'!$S$4:$S$207,0)),""))</f>
      </c>
    </row>
    <row r="48" spans="1:22" x14ac:dyDescent="0.25">
      <c r="A48" s="7">
        <f>IF($D48="","",COUNTIF($D$4:$D48,"&lt;&gt;"))</f>
      </c>
      <c r="B48" s="8"/>
      <c r="C48" s="7">
        <f>IF($B48="","","BSR "&amp;IFERROR(INDEX('Challan Master'!$B$4:$B$207,MATCH($B48,'Challan Master'!$S$4:$S$207,0)),"")&amp;" | Serial "&amp;IFERROR(INDEX('Challan Master'!$C$4:$C$207,MATCH($B48,'Challan Master'!$S$4:$S$207,0)),"")&amp;" | Deposit "&amp;TEXT(IFERROR(INDEX('Challan Master'!$D$4:$D$207,MATCH($B48,'Challan Master'!$S$4:$S$207,0)),""),"dd-mm-yyyy")&amp;" | Minor Head "&amp;IFERROR(INDEX('Challan Master'!$E$4:$E$207,MATCH($B48,'Challan Master'!$S$4:$S$207,0)),"")&amp;" | Tax ₹"&amp;TEXT(IFERROR(INDEX('Challan Master'!$G$4:$G$207,MATCH($B48,'Challan Master'!$S$4:$S$207,0)),""),"#,##0")&amp;" | Section "&amp;IFERROR(INDEX('Challan Master'!$F$4:$F$207,MATCH($B48,'Challan Master'!$S$4:$S$207,0)),""))</f>
      </c>
      <c r="D48" s="8"/>
      <c r="E48" s="8"/>
      <c r="F48" s="7">
        <f>IF($D48="","",IF(AND(LEN(TRIM(UPPER(E48)))=10,CODE(MID(TRIM(UPPER(E48)),1,1))&gt;=65,CODE(MID(TRIM(UPPER(E48)),1,1))&lt;=90,CODE(MID(TRIM(UPPER(E48)),2,1))&gt;=65,CODE(MID(TRIM(UPPER(E48)),2,1))&lt;=90,CODE(MID(TRIM(UPPER(E48)),3,1))&gt;=65,CODE(MID(TRIM(UPPER(E48)),3,1))&lt;=90,CODE(MID(TRIM(UPPER(E48)),4,1))&gt;=65,CODE(MID(TRIM(UPPER(E48)),4,1))&lt;=90,CODE(MID(TRIM(UPPER(E48)),5,1))&gt;=65,CODE(MID(TRIM(UPPER(E48)),5,1))&lt;=90,CODE(MID(TRIM(UPPER(E48)),10,1))&gt;=65,CODE(MID(TRIM(UPPER(E48)),10,1))&lt;=90,CODE(MID(TRIM(UPPER(E48)),6,1))&gt;=48,CODE(MID(TRIM(UPPER(E48)),6,1))&lt;=57,CODE(MID(TRIM(UPPER(E48)),7,1))&gt;=48,CODE(MID(TRIM(UPPER(E48)),7,1))&lt;=57,CODE(MID(TRIM(UPPER(E48)),8,1))&gt;=48,CODE(MID(TRIM(UPPER(E48)),8,1))&lt;=57,CODE(MID(TRIM(UPPER(E48)),9,1))&gt;=48,CODE(MID(TRIM(UPPER(E48)),9,1))&lt;=57),"N","Y"))</f>
      </c>
      <c r="G48" s="7">
        <f>IF($D48="","",IF(LEN(E48)&lt;4,"",IF(UPPER(MID(E48,4,1))="P","Individual",IF(UPPER(MID(E48,4,1))="H","HUF",IF(UPPER(MID(E48,4,1))="C","Company",IF(UPPER(MID(E48,4,1))="F","Firm",IF(UPPER(MID(E48,4,1))="L","LLP",IF(UPPER(MID(E48,4,1))="T","Trust",IF(UPPER(MID(E48,4,1))="A","AOP","")))))))))</f>
      </c>
      <c r="H48" s="8"/>
      <c r="I48" s="7">
        <f>IF($D48="","",IF(H48="","",IF(F48="Y",SUMPRODUCT(('Rate Lookup'!$A$1:$A$37=H48)*'Rate Lookup'!$D$1:$D$37),IF(OR(G48="Individual",G48="HUF"),SUMPRODUCT(('Rate Lookup'!$A$1:$A$37=H48)*'Rate Lookup'!$B$1:$B$37),SUMPRODUCT(('Rate Lookup'!$A$1:$A$37=H48)*'Rate Lookup'!$C$1:$C$37)))))</f>
      </c>
      <c r="J48" s="8"/>
      <c r="K48" s="8"/>
      <c r="L48" s="7">
        <f>IF($D48="","",ROUND(K48*I48/100,0))</f>
      </c>
      <c r="M48" s="7">
        <f>IF($D48="","",0)</f>
      </c>
      <c r="N48" s="7">
        <f>IF($D48="","",0)</f>
      </c>
      <c r="O48" s="7">
        <f>IF($D48="","",IF(OR(L48=0,J48="",IFERROR(INDEX('Challan Master'!$D$4:$D$207,MATCH($B48,'Challan Master'!$S$4:$S$207,0)),"")="",IFERROR(INDEX('Challan Master'!$D$4:$D$207,MATCH($B48,'Challan Master'!$S$4:$S$207,0)),"")&lt;=0),0,IF(IFERROR(INDEX('Challan Master'!$D$4:$D$207,MATCH($B48,'Challan Master'!$S$4:$S$207,0)),"")&lt;=DATE(YEAR(J48),MONTH(J48)+1,7),0,ROUND(L48*0.015*((YEAR(IFERROR(INDEX('Challan Master'!$D$4:$D$207,MATCH($B48,'Challan Master'!$S$4:$S$207,0)),""))-YEAR(J48))*12+(MONTH(IFERROR(INDEX('Challan Master'!$D$4:$D$207,MATCH($B48,'Challan Master'!$S$4:$S$207,0)),""))-MONTH(J48))+1),0))))</f>
      </c>
      <c r="P48" s="7">
        <f>IF($D48="","",0)</f>
      </c>
      <c r="Q48" s="8"/>
      <c r="R48" s="8"/>
      <c r="S48" s="8"/>
      <c r="T48" s="8"/>
      <c r="U48" s="8"/>
      <c r="V48" s="7">
        <f>IF($B48="","",IFERROR(INDEX('Challan Master'!$AA$4:$AA$207,MATCH($B48,'Challan Master'!$S$4:$S$207,0)),""))</f>
      </c>
    </row>
    <row r="49" spans="1:22" x14ac:dyDescent="0.25">
      <c r="A49" s="7">
        <f>IF($D49="","",COUNTIF($D$4:$D49,"&lt;&gt;"))</f>
      </c>
      <c r="B49" s="8"/>
      <c r="C49" s="7">
        <f>IF($B49="","","BSR "&amp;IFERROR(INDEX('Challan Master'!$B$4:$B$207,MATCH($B49,'Challan Master'!$S$4:$S$207,0)),"")&amp;" | Serial "&amp;IFERROR(INDEX('Challan Master'!$C$4:$C$207,MATCH($B49,'Challan Master'!$S$4:$S$207,0)),"")&amp;" | Deposit "&amp;TEXT(IFERROR(INDEX('Challan Master'!$D$4:$D$207,MATCH($B49,'Challan Master'!$S$4:$S$207,0)),""),"dd-mm-yyyy")&amp;" | Minor Head "&amp;IFERROR(INDEX('Challan Master'!$E$4:$E$207,MATCH($B49,'Challan Master'!$S$4:$S$207,0)),"")&amp;" | Tax ₹"&amp;TEXT(IFERROR(INDEX('Challan Master'!$G$4:$G$207,MATCH($B49,'Challan Master'!$S$4:$S$207,0)),""),"#,##0")&amp;" | Section "&amp;IFERROR(INDEX('Challan Master'!$F$4:$F$207,MATCH($B49,'Challan Master'!$S$4:$S$207,0)),""))</f>
      </c>
      <c r="D49" s="8"/>
      <c r="E49" s="8"/>
      <c r="F49" s="7">
        <f>IF($D49="","",IF(AND(LEN(TRIM(UPPER(E49)))=10,CODE(MID(TRIM(UPPER(E49)),1,1))&gt;=65,CODE(MID(TRIM(UPPER(E49)),1,1))&lt;=90,CODE(MID(TRIM(UPPER(E49)),2,1))&gt;=65,CODE(MID(TRIM(UPPER(E49)),2,1))&lt;=90,CODE(MID(TRIM(UPPER(E49)),3,1))&gt;=65,CODE(MID(TRIM(UPPER(E49)),3,1))&lt;=90,CODE(MID(TRIM(UPPER(E49)),4,1))&gt;=65,CODE(MID(TRIM(UPPER(E49)),4,1))&lt;=90,CODE(MID(TRIM(UPPER(E49)),5,1))&gt;=65,CODE(MID(TRIM(UPPER(E49)),5,1))&lt;=90,CODE(MID(TRIM(UPPER(E49)),10,1))&gt;=65,CODE(MID(TRIM(UPPER(E49)),10,1))&lt;=90,CODE(MID(TRIM(UPPER(E49)),6,1))&gt;=48,CODE(MID(TRIM(UPPER(E49)),6,1))&lt;=57,CODE(MID(TRIM(UPPER(E49)),7,1))&gt;=48,CODE(MID(TRIM(UPPER(E49)),7,1))&lt;=57,CODE(MID(TRIM(UPPER(E49)),8,1))&gt;=48,CODE(MID(TRIM(UPPER(E49)),8,1))&lt;=57,CODE(MID(TRIM(UPPER(E49)),9,1))&gt;=48,CODE(MID(TRIM(UPPER(E49)),9,1))&lt;=57),"N","Y"))</f>
      </c>
      <c r="G49" s="7">
        <f>IF($D49="","",IF(LEN(E49)&lt;4,"",IF(UPPER(MID(E49,4,1))="P","Individual",IF(UPPER(MID(E49,4,1))="H","HUF",IF(UPPER(MID(E49,4,1))="C","Company",IF(UPPER(MID(E49,4,1))="F","Firm",IF(UPPER(MID(E49,4,1))="L","LLP",IF(UPPER(MID(E49,4,1))="T","Trust",IF(UPPER(MID(E49,4,1))="A","AOP","")))))))))</f>
      </c>
      <c r="H49" s="8"/>
      <c r="I49" s="7">
        <f>IF($D49="","",IF(H49="","",IF(F49="Y",SUMPRODUCT(('Rate Lookup'!$A$1:$A$37=H49)*'Rate Lookup'!$D$1:$D$37),IF(OR(G49="Individual",G49="HUF"),SUMPRODUCT(('Rate Lookup'!$A$1:$A$37=H49)*'Rate Lookup'!$B$1:$B$37),SUMPRODUCT(('Rate Lookup'!$A$1:$A$37=H49)*'Rate Lookup'!$C$1:$C$37)))))</f>
      </c>
      <c r="J49" s="8"/>
      <c r="K49" s="8"/>
      <c r="L49" s="7">
        <f>IF($D49="","",ROUND(K49*I49/100,0))</f>
      </c>
      <c r="M49" s="7">
        <f>IF($D49="","",0)</f>
      </c>
      <c r="N49" s="7">
        <f>IF($D49="","",0)</f>
      </c>
      <c r="O49" s="7">
        <f>IF($D49="","",IF(OR(L49=0,J49="",IFERROR(INDEX('Challan Master'!$D$4:$D$207,MATCH($B49,'Challan Master'!$S$4:$S$207,0)),"")="",IFERROR(INDEX('Challan Master'!$D$4:$D$207,MATCH($B49,'Challan Master'!$S$4:$S$207,0)),"")&lt;=0),0,IF(IFERROR(INDEX('Challan Master'!$D$4:$D$207,MATCH($B49,'Challan Master'!$S$4:$S$207,0)),"")&lt;=DATE(YEAR(J49),MONTH(J49)+1,7),0,ROUND(L49*0.015*((YEAR(IFERROR(INDEX('Challan Master'!$D$4:$D$207,MATCH($B49,'Challan Master'!$S$4:$S$207,0)),""))-YEAR(J49))*12+(MONTH(IFERROR(INDEX('Challan Master'!$D$4:$D$207,MATCH($B49,'Challan Master'!$S$4:$S$207,0)),""))-MONTH(J49))+1),0))))</f>
      </c>
      <c r="P49" s="7">
        <f>IF($D49="","",0)</f>
      </c>
      <c r="Q49" s="8"/>
      <c r="R49" s="8"/>
      <c r="S49" s="8"/>
      <c r="T49" s="8"/>
      <c r="U49" s="8"/>
      <c r="V49" s="7">
        <f>IF($B49="","",IFERROR(INDEX('Challan Master'!$AA$4:$AA$207,MATCH($B49,'Challan Master'!$S$4:$S$207,0)),""))</f>
      </c>
    </row>
    <row r="50" spans="1:22" x14ac:dyDescent="0.25">
      <c r="A50" s="7">
        <f>IF($D50="","",COUNTIF($D$4:$D50,"&lt;&gt;"))</f>
      </c>
      <c r="B50" s="8"/>
      <c r="C50" s="7">
        <f>IF($B50="","","BSR "&amp;IFERROR(INDEX('Challan Master'!$B$4:$B$207,MATCH($B50,'Challan Master'!$S$4:$S$207,0)),"")&amp;" | Serial "&amp;IFERROR(INDEX('Challan Master'!$C$4:$C$207,MATCH($B50,'Challan Master'!$S$4:$S$207,0)),"")&amp;" | Deposit "&amp;TEXT(IFERROR(INDEX('Challan Master'!$D$4:$D$207,MATCH($B50,'Challan Master'!$S$4:$S$207,0)),""),"dd-mm-yyyy")&amp;" | Minor Head "&amp;IFERROR(INDEX('Challan Master'!$E$4:$E$207,MATCH($B50,'Challan Master'!$S$4:$S$207,0)),"")&amp;" | Tax ₹"&amp;TEXT(IFERROR(INDEX('Challan Master'!$G$4:$G$207,MATCH($B50,'Challan Master'!$S$4:$S$207,0)),""),"#,##0")&amp;" | Section "&amp;IFERROR(INDEX('Challan Master'!$F$4:$F$207,MATCH($B50,'Challan Master'!$S$4:$S$207,0)),""))</f>
      </c>
      <c r="D50" s="8"/>
      <c r="E50" s="8"/>
      <c r="F50" s="7">
        <f>IF($D50="","",IF(AND(LEN(TRIM(UPPER(E50)))=10,CODE(MID(TRIM(UPPER(E50)),1,1))&gt;=65,CODE(MID(TRIM(UPPER(E50)),1,1))&lt;=90,CODE(MID(TRIM(UPPER(E50)),2,1))&gt;=65,CODE(MID(TRIM(UPPER(E50)),2,1))&lt;=90,CODE(MID(TRIM(UPPER(E50)),3,1))&gt;=65,CODE(MID(TRIM(UPPER(E50)),3,1))&lt;=90,CODE(MID(TRIM(UPPER(E50)),4,1))&gt;=65,CODE(MID(TRIM(UPPER(E50)),4,1))&lt;=90,CODE(MID(TRIM(UPPER(E50)),5,1))&gt;=65,CODE(MID(TRIM(UPPER(E50)),5,1))&lt;=90,CODE(MID(TRIM(UPPER(E50)),10,1))&gt;=65,CODE(MID(TRIM(UPPER(E50)),10,1))&lt;=90,CODE(MID(TRIM(UPPER(E50)),6,1))&gt;=48,CODE(MID(TRIM(UPPER(E50)),6,1))&lt;=57,CODE(MID(TRIM(UPPER(E50)),7,1))&gt;=48,CODE(MID(TRIM(UPPER(E50)),7,1))&lt;=57,CODE(MID(TRIM(UPPER(E50)),8,1))&gt;=48,CODE(MID(TRIM(UPPER(E50)),8,1))&lt;=57,CODE(MID(TRIM(UPPER(E50)),9,1))&gt;=48,CODE(MID(TRIM(UPPER(E50)),9,1))&lt;=57),"N","Y"))</f>
      </c>
      <c r="G50" s="7">
        <f>IF($D50="","",IF(LEN(E50)&lt;4,"",IF(UPPER(MID(E50,4,1))="P","Individual",IF(UPPER(MID(E50,4,1))="H","HUF",IF(UPPER(MID(E50,4,1))="C","Company",IF(UPPER(MID(E50,4,1))="F","Firm",IF(UPPER(MID(E50,4,1))="L","LLP",IF(UPPER(MID(E50,4,1))="T","Trust",IF(UPPER(MID(E50,4,1))="A","AOP","")))))))))</f>
      </c>
      <c r="H50" s="8"/>
      <c r="I50" s="7">
        <f>IF($D50="","",IF(H50="","",IF(F50="Y",SUMPRODUCT(('Rate Lookup'!$A$1:$A$37=H50)*'Rate Lookup'!$D$1:$D$37),IF(OR(G50="Individual",G50="HUF"),SUMPRODUCT(('Rate Lookup'!$A$1:$A$37=H50)*'Rate Lookup'!$B$1:$B$37),SUMPRODUCT(('Rate Lookup'!$A$1:$A$37=H50)*'Rate Lookup'!$C$1:$C$37)))))</f>
      </c>
      <c r="J50" s="8"/>
      <c r="K50" s="8"/>
      <c r="L50" s="7">
        <f>IF($D50="","",ROUND(K50*I50/100,0))</f>
      </c>
      <c r="M50" s="7">
        <f>IF($D50="","",0)</f>
      </c>
      <c r="N50" s="7">
        <f>IF($D50="","",0)</f>
      </c>
      <c r="O50" s="7">
        <f>IF($D50="","",IF(OR(L50=0,J50="",IFERROR(INDEX('Challan Master'!$D$4:$D$207,MATCH($B50,'Challan Master'!$S$4:$S$207,0)),"")="",IFERROR(INDEX('Challan Master'!$D$4:$D$207,MATCH($B50,'Challan Master'!$S$4:$S$207,0)),"")&lt;=0),0,IF(IFERROR(INDEX('Challan Master'!$D$4:$D$207,MATCH($B50,'Challan Master'!$S$4:$S$207,0)),"")&lt;=DATE(YEAR(J50),MONTH(J50)+1,7),0,ROUND(L50*0.015*((YEAR(IFERROR(INDEX('Challan Master'!$D$4:$D$207,MATCH($B50,'Challan Master'!$S$4:$S$207,0)),""))-YEAR(J50))*12+(MONTH(IFERROR(INDEX('Challan Master'!$D$4:$D$207,MATCH($B50,'Challan Master'!$S$4:$S$207,0)),""))-MONTH(J50))+1),0))))</f>
      </c>
      <c r="P50" s="7">
        <f>IF($D50="","",0)</f>
      </c>
      <c r="Q50" s="8"/>
      <c r="R50" s="8"/>
      <c r="S50" s="8"/>
      <c r="T50" s="8"/>
      <c r="U50" s="8"/>
      <c r="V50" s="7">
        <f>IF($B50="","",IFERROR(INDEX('Challan Master'!$AA$4:$AA$207,MATCH($B50,'Challan Master'!$S$4:$S$207,0)),""))</f>
      </c>
    </row>
    <row r="51" spans="1:22" x14ac:dyDescent="0.25">
      <c r="A51" s="7">
        <f>IF($D51="","",COUNTIF($D$4:$D51,"&lt;&gt;"))</f>
      </c>
      <c r="B51" s="8"/>
      <c r="C51" s="7">
        <f>IF($B51="","","BSR "&amp;IFERROR(INDEX('Challan Master'!$B$4:$B$207,MATCH($B51,'Challan Master'!$S$4:$S$207,0)),"")&amp;" | Serial "&amp;IFERROR(INDEX('Challan Master'!$C$4:$C$207,MATCH($B51,'Challan Master'!$S$4:$S$207,0)),"")&amp;" | Deposit "&amp;TEXT(IFERROR(INDEX('Challan Master'!$D$4:$D$207,MATCH($B51,'Challan Master'!$S$4:$S$207,0)),""),"dd-mm-yyyy")&amp;" | Minor Head "&amp;IFERROR(INDEX('Challan Master'!$E$4:$E$207,MATCH($B51,'Challan Master'!$S$4:$S$207,0)),"")&amp;" | Tax ₹"&amp;TEXT(IFERROR(INDEX('Challan Master'!$G$4:$G$207,MATCH($B51,'Challan Master'!$S$4:$S$207,0)),""),"#,##0")&amp;" | Section "&amp;IFERROR(INDEX('Challan Master'!$F$4:$F$207,MATCH($B51,'Challan Master'!$S$4:$S$207,0)),""))</f>
      </c>
      <c r="D51" s="8"/>
      <c r="E51" s="8"/>
      <c r="F51" s="7">
        <f>IF($D51="","",IF(AND(LEN(TRIM(UPPER(E51)))=10,CODE(MID(TRIM(UPPER(E51)),1,1))&gt;=65,CODE(MID(TRIM(UPPER(E51)),1,1))&lt;=90,CODE(MID(TRIM(UPPER(E51)),2,1))&gt;=65,CODE(MID(TRIM(UPPER(E51)),2,1))&lt;=90,CODE(MID(TRIM(UPPER(E51)),3,1))&gt;=65,CODE(MID(TRIM(UPPER(E51)),3,1))&lt;=90,CODE(MID(TRIM(UPPER(E51)),4,1))&gt;=65,CODE(MID(TRIM(UPPER(E51)),4,1))&lt;=90,CODE(MID(TRIM(UPPER(E51)),5,1))&gt;=65,CODE(MID(TRIM(UPPER(E51)),5,1))&lt;=90,CODE(MID(TRIM(UPPER(E51)),10,1))&gt;=65,CODE(MID(TRIM(UPPER(E51)),10,1))&lt;=90,CODE(MID(TRIM(UPPER(E51)),6,1))&gt;=48,CODE(MID(TRIM(UPPER(E51)),6,1))&lt;=57,CODE(MID(TRIM(UPPER(E51)),7,1))&gt;=48,CODE(MID(TRIM(UPPER(E51)),7,1))&lt;=57,CODE(MID(TRIM(UPPER(E51)),8,1))&gt;=48,CODE(MID(TRIM(UPPER(E51)),8,1))&lt;=57,CODE(MID(TRIM(UPPER(E51)),9,1))&gt;=48,CODE(MID(TRIM(UPPER(E51)),9,1))&lt;=57),"N","Y"))</f>
      </c>
      <c r="G51" s="7">
        <f>IF($D51="","",IF(LEN(E51)&lt;4,"",IF(UPPER(MID(E51,4,1))="P","Individual",IF(UPPER(MID(E51,4,1))="H","HUF",IF(UPPER(MID(E51,4,1))="C","Company",IF(UPPER(MID(E51,4,1))="F","Firm",IF(UPPER(MID(E51,4,1))="L","LLP",IF(UPPER(MID(E51,4,1))="T","Trust",IF(UPPER(MID(E51,4,1))="A","AOP","")))))))))</f>
      </c>
      <c r="H51" s="8"/>
      <c r="I51" s="7">
        <f>IF($D51="","",IF(H51="","",IF(F51="Y",SUMPRODUCT(('Rate Lookup'!$A$1:$A$37=H51)*'Rate Lookup'!$D$1:$D$37),IF(OR(G51="Individual",G51="HUF"),SUMPRODUCT(('Rate Lookup'!$A$1:$A$37=H51)*'Rate Lookup'!$B$1:$B$37),SUMPRODUCT(('Rate Lookup'!$A$1:$A$37=H51)*'Rate Lookup'!$C$1:$C$37)))))</f>
      </c>
      <c r="J51" s="8"/>
      <c r="K51" s="8"/>
      <c r="L51" s="7">
        <f>IF($D51="","",ROUND(K51*I51/100,0))</f>
      </c>
      <c r="M51" s="7">
        <f>IF($D51="","",0)</f>
      </c>
      <c r="N51" s="7">
        <f>IF($D51="","",0)</f>
      </c>
      <c r="O51" s="7">
        <f>IF($D51="","",IF(OR(L51=0,J51="",IFERROR(INDEX('Challan Master'!$D$4:$D$207,MATCH($B51,'Challan Master'!$S$4:$S$207,0)),"")="",IFERROR(INDEX('Challan Master'!$D$4:$D$207,MATCH($B51,'Challan Master'!$S$4:$S$207,0)),"")&lt;=0),0,IF(IFERROR(INDEX('Challan Master'!$D$4:$D$207,MATCH($B51,'Challan Master'!$S$4:$S$207,0)),"")&lt;=DATE(YEAR(J51),MONTH(J51)+1,7),0,ROUND(L51*0.015*((YEAR(IFERROR(INDEX('Challan Master'!$D$4:$D$207,MATCH($B51,'Challan Master'!$S$4:$S$207,0)),""))-YEAR(J51))*12+(MONTH(IFERROR(INDEX('Challan Master'!$D$4:$D$207,MATCH($B51,'Challan Master'!$S$4:$S$207,0)),""))-MONTH(J51))+1),0))))</f>
      </c>
      <c r="P51" s="7">
        <f>IF($D51="","",0)</f>
      </c>
      <c r="Q51" s="8"/>
      <c r="R51" s="8"/>
      <c r="S51" s="8"/>
      <c r="T51" s="8"/>
      <c r="U51" s="8"/>
      <c r="V51" s="7">
        <f>IF($B51="","",IFERROR(INDEX('Challan Master'!$AA$4:$AA$207,MATCH($B51,'Challan Master'!$S$4:$S$207,0)),""))</f>
      </c>
    </row>
    <row r="52" spans="1:22" x14ac:dyDescent="0.25">
      <c r="A52" s="7">
        <f>IF($D52="","",COUNTIF($D$4:$D52,"&lt;&gt;"))</f>
      </c>
      <c r="B52" s="8"/>
      <c r="C52" s="7">
        <f>IF($B52="","","BSR "&amp;IFERROR(INDEX('Challan Master'!$B$4:$B$207,MATCH($B52,'Challan Master'!$S$4:$S$207,0)),"")&amp;" | Serial "&amp;IFERROR(INDEX('Challan Master'!$C$4:$C$207,MATCH($B52,'Challan Master'!$S$4:$S$207,0)),"")&amp;" | Deposit "&amp;TEXT(IFERROR(INDEX('Challan Master'!$D$4:$D$207,MATCH($B52,'Challan Master'!$S$4:$S$207,0)),""),"dd-mm-yyyy")&amp;" | Minor Head "&amp;IFERROR(INDEX('Challan Master'!$E$4:$E$207,MATCH($B52,'Challan Master'!$S$4:$S$207,0)),"")&amp;" | Tax ₹"&amp;TEXT(IFERROR(INDEX('Challan Master'!$G$4:$G$207,MATCH($B52,'Challan Master'!$S$4:$S$207,0)),""),"#,##0")&amp;" | Section "&amp;IFERROR(INDEX('Challan Master'!$F$4:$F$207,MATCH($B52,'Challan Master'!$S$4:$S$207,0)),""))</f>
      </c>
      <c r="D52" s="8"/>
      <c r="E52" s="8"/>
      <c r="F52" s="7">
        <f>IF($D52="","",IF(AND(LEN(TRIM(UPPER(E52)))=10,CODE(MID(TRIM(UPPER(E52)),1,1))&gt;=65,CODE(MID(TRIM(UPPER(E52)),1,1))&lt;=90,CODE(MID(TRIM(UPPER(E52)),2,1))&gt;=65,CODE(MID(TRIM(UPPER(E52)),2,1))&lt;=90,CODE(MID(TRIM(UPPER(E52)),3,1))&gt;=65,CODE(MID(TRIM(UPPER(E52)),3,1))&lt;=90,CODE(MID(TRIM(UPPER(E52)),4,1))&gt;=65,CODE(MID(TRIM(UPPER(E52)),4,1))&lt;=90,CODE(MID(TRIM(UPPER(E52)),5,1))&gt;=65,CODE(MID(TRIM(UPPER(E52)),5,1))&lt;=90,CODE(MID(TRIM(UPPER(E52)),10,1))&gt;=65,CODE(MID(TRIM(UPPER(E52)),10,1))&lt;=90,CODE(MID(TRIM(UPPER(E52)),6,1))&gt;=48,CODE(MID(TRIM(UPPER(E52)),6,1))&lt;=57,CODE(MID(TRIM(UPPER(E52)),7,1))&gt;=48,CODE(MID(TRIM(UPPER(E52)),7,1))&lt;=57,CODE(MID(TRIM(UPPER(E52)),8,1))&gt;=48,CODE(MID(TRIM(UPPER(E52)),8,1))&lt;=57,CODE(MID(TRIM(UPPER(E52)),9,1))&gt;=48,CODE(MID(TRIM(UPPER(E52)),9,1))&lt;=57),"N","Y"))</f>
      </c>
      <c r="G52" s="7">
        <f>IF($D52="","",IF(LEN(E52)&lt;4,"",IF(UPPER(MID(E52,4,1))="P","Individual",IF(UPPER(MID(E52,4,1))="H","HUF",IF(UPPER(MID(E52,4,1))="C","Company",IF(UPPER(MID(E52,4,1))="F","Firm",IF(UPPER(MID(E52,4,1))="L","LLP",IF(UPPER(MID(E52,4,1))="T","Trust",IF(UPPER(MID(E52,4,1))="A","AOP","")))))))))</f>
      </c>
      <c r="H52" s="8"/>
      <c r="I52" s="7">
        <f>IF($D52="","",IF(H52="","",IF(F52="Y",SUMPRODUCT(('Rate Lookup'!$A$1:$A$37=H52)*'Rate Lookup'!$D$1:$D$37),IF(OR(G52="Individual",G52="HUF"),SUMPRODUCT(('Rate Lookup'!$A$1:$A$37=H52)*'Rate Lookup'!$B$1:$B$37),SUMPRODUCT(('Rate Lookup'!$A$1:$A$37=H52)*'Rate Lookup'!$C$1:$C$37)))))</f>
      </c>
      <c r="J52" s="8"/>
      <c r="K52" s="8"/>
      <c r="L52" s="7">
        <f>IF($D52="","",ROUND(K52*I52/100,0))</f>
      </c>
      <c r="M52" s="7">
        <f>IF($D52="","",0)</f>
      </c>
      <c r="N52" s="7">
        <f>IF($D52="","",0)</f>
      </c>
      <c r="O52" s="7">
        <f>IF($D52="","",IF(OR(L52=0,J52="",IFERROR(INDEX('Challan Master'!$D$4:$D$207,MATCH($B52,'Challan Master'!$S$4:$S$207,0)),"")="",IFERROR(INDEX('Challan Master'!$D$4:$D$207,MATCH($B52,'Challan Master'!$S$4:$S$207,0)),"")&lt;=0),0,IF(IFERROR(INDEX('Challan Master'!$D$4:$D$207,MATCH($B52,'Challan Master'!$S$4:$S$207,0)),"")&lt;=DATE(YEAR(J52),MONTH(J52)+1,7),0,ROUND(L52*0.015*((YEAR(IFERROR(INDEX('Challan Master'!$D$4:$D$207,MATCH($B52,'Challan Master'!$S$4:$S$207,0)),""))-YEAR(J52))*12+(MONTH(IFERROR(INDEX('Challan Master'!$D$4:$D$207,MATCH($B52,'Challan Master'!$S$4:$S$207,0)),""))-MONTH(J52))+1),0))))</f>
      </c>
      <c r="P52" s="7">
        <f>IF($D52="","",0)</f>
      </c>
      <c r="Q52" s="8"/>
      <c r="R52" s="8"/>
      <c r="S52" s="8"/>
      <c r="T52" s="8"/>
      <c r="U52" s="8"/>
      <c r="V52" s="7">
        <f>IF($B52="","",IFERROR(INDEX('Challan Master'!$AA$4:$AA$207,MATCH($B52,'Challan Master'!$S$4:$S$207,0)),""))</f>
      </c>
    </row>
    <row r="53" spans="1:22" x14ac:dyDescent="0.25">
      <c r="A53" s="7">
        <f>IF($D53="","",COUNTIF($D$4:$D53,"&lt;&gt;"))</f>
      </c>
      <c r="B53" s="8"/>
      <c r="C53" s="7">
        <f>IF($B53="","","BSR "&amp;IFERROR(INDEX('Challan Master'!$B$4:$B$207,MATCH($B53,'Challan Master'!$S$4:$S$207,0)),"")&amp;" | Serial "&amp;IFERROR(INDEX('Challan Master'!$C$4:$C$207,MATCH($B53,'Challan Master'!$S$4:$S$207,0)),"")&amp;" | Deposit "&amp;TEXT(IFERROR(INDEX('Challan Master'!$D$4:$D$207,MATCH($B53,'Challan Master'!$S$4:$S$207,0)),""),"dd-mm-yyyy")&amp;" | Minor Head "&amp;IFERROR(INDEX('Challan Master'!$E$4:$E$207,MATCH($B53,'Challan Master'!$S$4:$S$207,0)),"")&amp;" | Tax ₹"&amp;TEXT(IFERROR(INDEX('Challan Master'!$G$4:$G$207,MATCH($B53,'Challan Master'!$S$4:$S$207,0)),""),"#,##0")&amp;" | Section "&amp;IFERROR(INDEX('Challan Master'!$F$4:$F$207,MATCH($B53,'Challan Master'!$S$4:$S$207,0)),""))</f>
      </c>
      <c r="D53" s="8"/>
      <c r="E53" s="8"/>
      <c r="F53" s="7">
        <f>IF($D53="","",IF(AND(LEN(TRIM(UPPER(E53)))=10,CODE(MID(TRIM(UPPER(E53)),1,1))&gt;=65,CODE(MID(TRIM(UPPER(E53)),1,1))&lt;=90,CODE(MID(TRIM(UPPER(E53)),2,1))&gt;=65,CODE(MID(TRIM(UPPER(E53)),2,1))&lt;=90,CODE(MID(TRIM(UPPER(E53)),3,1))&gt;=65,CODE(MID(TRIM(UPPER(E53)),3,1))&lt;=90,CODE(MID(TRIM(UPPER(E53)),4,1))&gt;=65,CODE(MID(TRIM(UPPER(E53)),4,1))&lt;=90,CODE(MID(TRIM(UPPER(E53)),5,1))&gt;=65,CODE(MID(TRIM(UPPER(E53)),5,1))&lt;=90,CODE(MID(TRIM(UPPER(E53)),10,1))&gt;=65,CODE(MID(TRIM(UPPER(E53)),10,1))&lt;=90,CODE(MID(TRIM(UPPER(E53)),6,1))&gt;=48,CODE(MID(TRIM(UPPER(E53)),6,1))&lt;=57,CODE(MID(TRIM(UPPER(E53)),7,1))&gt;=48,CODE(MID(TRIM(UPPER(E53)),7,1))&lt;=57,CODE(MID(TRIM(UPPER(E53)),8,1))&gt;=48,CODE(MID(TRIM(UPPER(E53)),8,1))&lt;=57,CODE(MID(TRIM(UPPER(E53)),9,1))&gt;=48,CODE(MID(TRIM(UPPER(E53)),9,1))&lt;=57),"N","Y"))</f>
      </c>
      <c r="G53" s="7">
        <f>IF($D53="","",IF(LEN(E53)&lt;4,"",IF(UPPER(MID(E53,4,1))="P","Individual",IF(UPPER(MID(E53,4,1))="H","HUF",IF(UPPER(MID(E53,4,1))="C","Company",IF(UPPER(MID(E53,4,1))="F","Firm",IF(UPPER(MID(E53,4,1))="L","LLP",IF(UPPER(MID(E53,4,1))="T","Trust",IF(UPPER(MID(E53,4,1))="A","AOP","")))))))))</f>
      </c>
      <c r="H53" s="8"/>
      <c r="I53" s="7">
        <f>IF($D53="","",IF(H53="","",IF(F53="Y",SUMPRODUCT(('Rate Lookup'!$A$1:$A$37=H53)*'Rate Lookup'!$D$1:$D$37),IF(OR(G53="Individual",G53="HUF"),SUMPRODUCT(('Rate Lookup'!$A$1:$A$37=H53)*'Rate Lookup'!$B$1:$B$37),SUMPRODUCT(('Rate Lookup'!$A$1:$A$37=H53)*'Rate Lookup'!$C$1:$C$37)))))</f>
      </c>
      <c r="J53" s="8"/>
      <c r="K53" s="8"/>
      <c r="L53" s="7">
        <f>IF($D53="","",ROUND(K53*I53/100,0))</f>
      </c>
      <c r="M53" s="7">
        <f>IF($D53="","",0)</f>
      </c>
      <c r="N53" s="7">
        <f>IF($D53="","",0)</f>
      </c>
      <c r="O53" s="7">
        <f>IF($D53="","",IF(OR(L53=0,J53="",IFERROR(INDEX('Challan Master'!$D$4:$D$207,MATCH($B53,'Challan Master'!$S$4:$S$207,0)),"")="",IFERROR(INDEX('Challan Master'!$D$4:$D$207,MATCH($B53,'Challan Master'!$S$4:$S$207,0)),"")&lt;=0),0,IF(IFERROR(INDEX('Challan Master'!$D$4:$D$207,MATCH($B53,'Challan Master'!$S$4:$S$207,0)),"")&lt;=DATE(YEAR(J53),MONTH(J53)+1,7),0,ROUND(L53*0.015*((YEAR(IFERROR(INDEX('Challan Master'!$D$4:$D$207,MATCH($B53,'Challan Master'!$S$4:$S$207,0)),""))-YEAR(J53))*12+(MONTH(IFERROR(INDEX('Challan Master'!$D$4:$D$207,MATCH($B53,'Challan Master'!$S$4:$S$207,0)),""))-MONTH(J53))+1),0))))</f>
      </c>
      <c r="P53" s="7">
        <f>IF($D53="","",0)</f>
      </c>
      <c r="Q53" s="8"/>
      <c r="R53" s="8"/>
      <c r="S53" s="8"/>
      <c r="T53" s="8"/>
      <c r="U53" s="8"/>
      <c r="V53" s="7">
        <f>IF($B53="","",IFERROR(INDEX('Challan Master'!$AA$4:$AA$207,MATCH($B53,'Challan Master'!$S$4:$S$207,0)),""))</f>
      </c>
    </row>
    <row r="54" spans="1:22" x14ac:dyDescent="0.25">
      <c r="A54" s="7">
        <f>IF($D54="","",COUNTIF($D$4:$D54,"&lt;&gt;"))</f>
      </c>
      <c r="B54" s="8"/>
      <c r="C54" s="7">
        <f>IF($B54="","","BSR "&amp;IFERROR(INDEX('Challan Master'!$B$4:$B$207,MATCH($B54,'Challan Master'!$S$4:$S$207,0)),"")&amp;" | Serial "&amp;IFERROR(INDEX('Challan Master'!$C$4:$C$207,MATCH($B54,'Challan Master'!$S$4:$S$207,0)),"")&amp;" | Deposit "&amp;TEXT(IFERROR(INDEX('Challan Master'!$D$4:$D$207,MATCH($B54,'Challan Master'!$S$4:$S$207,0)),""),"dd-mm-yyyy")&amp;" | Minor Head "&amp;IFERROR(INDEX('Challan Master'!$E$4:$E$207,MATCH($B54,'Challan Master'!$S$4:$S$207,0)),"")&amp;" | Tax ₹"&amp;TEXT(IFERROR(INDEX('Challan Master'!$G$4:$G$207,MATCH($B54,'Challan Master'!$S$4:$S$207,0)),""),"#,##0")&amp;" | Section "&amp;IFERROR(INDEX('Challan Master'!$F$4:$F$207,MATCH($B54,'Challan Master'!$S$4:$S$207,0)),""))</f>
      </c>
      <c r="D54" s="8"/>
      <c r="E54" s="8"/>
      <c r="F54" s="7">
        <f>IF($D54="","",IF(AND(LEN(TRIM(UPPER(E54)))=10,CODE(MID(TRIM(UPPER(E54)),1,1))&gt;=65,CODE(MID(TRIM(UPPER(E54)),1,1))&lt;=90,CODE(MID(TRIM(UPPER(E54)),2,1))&gt;=65,CODE(MID(TRIM(UPPER(E54)),2,1))&lt;=90,CODE(MID(TRIM(UPPER(E54)),3,1))&gt;=65,CODE(MID(TRIM(UPPER(E54)),3,1))&lt;=90,CODE(MID(TRIM(UPPER(E54)),4,1))&gt;=65,CODE(MID(TRIM(UPPER(E54)),4,1))&lt;=90,CODE(MID(TRIM(UPPER(E54)),5,1))&gt;=65,CODE(MID(TRIM(UPPER(E54)),5,1))&lt;=90,CODE(MID(TRIM(UPPER(E54)),10,1))&gt;=65,CODE(MID(TRIM(UPPER(E54)),10,1))&lt;=90,CODE(MID(TRIM(UPPER(E54)),6,1))&gt;=48,CODE(MID(TRIM(UPPER(E54)),6,1))&lt;=57,CODE(MID(TRIM(UPPER(E54)),7,1))&gt;=48,CODE(MID(TRIM(UPPER(E54)),7,1))&lt;=57,CODE(MID(TRIM(UPPER(E54)),8,1))&gt;=48,CODE(MID(TRIM(UPPER(E54)),8,1))&lt;=57,CODE(MID(TRIM(UPPER(E54)),9,1))&gt;=48,CODE(MID(TRIM(UPPER(E54)),9,1))&lt;=57),"N","Y"))</f>
      </c>
      <c r="G54" s="7">
        <f>IF($D54="","",IF(LEN(E54)&lt;4,"",IF(UPPER(MID(E54,4,1))="P","Individual",IF(UPPER(MID(E54,4,1))="H","HUF",IF(UPPER(MID(E54,4,1))="C","Company",IF(UPPER(MID(E54,4,1))="F","Firm",IF(UPPER(MID(E54,4,1))="L","LLP",IF(UPPER(MID(E54,4,1))="T","Trust",IF(UPPER(MID(E54,4,1))="A","AOP","")))))))))</f>
      </c>
      <c r="H54" s="8"/>
      <c r="I54" s="7">
        <f>IF($D54="","",IF(H54="","",IF(F54="Y",SUMPRODUCT(('Rate Lookup'!$A$1:$A$37=H54)*'Rate Lookup'!$D$1:$D$37),IF(OR(G54="Individual",G54="HUF"),SUMPRODUCT(('Rate Lookup'!$A$1:$A$37=H54)*'Rate Lookup'!$B$1:$B$37),SUMPRODUCT(('Rate Lookup'!$A$1:$A$37=H54)*'Rate Lookup'!$C$1:$C$37)))))</f>
      </c>
      <c r="J54" s="8"/>
      <c r="K54" s="8"/>
      <c r="L54" s="7">
        <f>IF($D54="","",ROUND(K54*I54/100,0))</f>
      </c>
      <c r="M54" s="7">
        <f>IF($D54="","",0)</f>
      </c>
      <c r="N54" s="7">
        <f>IF($D54="","",0)</f>
      </c>
      <c r="O54" s="7">
        <f>IF($D54="","",IF(OR(L54=0,J54="",IFERROR(INDEX('Challan Master'!$D$4:$D$207,MATCH($B54,'Challan Master'!$S$4:$S$207,0)),"")="",IFERROR(INDEX('Challan Master'!$D$4:$D$207,MATCH($B54,'Challan Master'!$S$4:$S$207,0)),"")&lt;=0),0,IF(IFERROR(INDEX('Challan Master'!$D$4:$D$207,MATCH($B54,'Challan Master'!$S$4:$S$207,0)),"")&lt;=DATE(YEAR(J54),MONTH(J54)+1,7),0,ROUND(L54*0.015*((YEAR(IFERROR(INDEX('Challan Master'!$D$4:$D$207,MATCH($B54,'Challan Master'!$S$4:$S$207,0)),""))-YEAR(J54))*12+(MONTH(IFERROR(INDEX('Challan Master'!$D$4:$D$207,MATCH($B54,'Challan Master'!$S$4:$S$207,0)),""))-MONTH(J54))+1),0))))</f>
      </c>
      <c r="P54" s="7">
        <f>IF($D54="","",0)</f>
      </c>
      <c r="Q54" s="8"/>
      <c r="R54" s="8"/>
      <c r="S54" s="8"/>
      <c r="T54" s="8"/>
      <c r="U54" s="8"/>
      <c r="V54" s="7">
        <f>IF($B54="","",IFERROR(INDEX('Challan Master'!$AA$4:$AA$207,MATCH($B54,'Challan Master'!$S$4:$S$207,0)),""))</f>
      </c>
    </row>
    <row r="55" spans="1:22" x14ac:dyDescent="0.25">
      <c r="A55" s="7">
        <f>IF($D55="","",COUNTIF($D$4:$D55,"&lt;&gt;"))</f>
      </c>
      <c r="B55" s="8"/>
      <c r="C55" s="7">
        <f>IF($B55="","","BSR "&amp;IFERROR(INDEX('Challan Master'!$B$4:$B$207,MATCH($B55,'Challan Master'!$S$4:$S$207,0)),"")&amp;" | Serial "&amp;IFERROR(INDEX('Challan Master'!$C$4:$C$207,MATCH($B55,'Challan Master'!$S$4:$S$207,0)),"")&amp;" | Deposit "&amp;TEXT(IFERROR(INDEX('Challan Master'!$D$4:$D$207,MATCH($B55,'Challan Master'!$S$4:$S$207,0)),""),"dd-mm-yyyy")&amp;" | Minor Head "&amp;IFERROR(INDEX('Challan Master'!$E$4:$E$207,MATCH($B55,'Challan Master'!$S$4:$S$207,0)),"")&amp;" | Tax ₹"&amp;TEXT(IFERROR(INDEX('Challan Master'!$G$4:$G$207,MATCH($B55,'Challan Master'!$S$4:$S$207,0)),""),"#,##0")&amp;" | Section "&amp;IFERROR(INDEX('Challan Master'!$F$4:$F$207,MATCH($B55,'Challan Master'!$S$4:$S$207,0)),""))</f>
      </c>
      <c r="D55" s="8"/>
      <c r="E55" s="8"/>
      <c r="F55" s="7">
        <f>IF($D55="","",IF(AND(LEN(TRIM(UPPER(E55)))=10,CODE(MID(TRIM(UPPER(E55)),1,1))&gt;=65,CODE(MID(TRIM(UPPER(E55)),1,1))&lt;=90,CODE(MID(TRIM(UPPER(E55)),2,1))&gt;=65,CODE(MID(TRIM(UPPER(E55)),2,1))&lt;=90,CODE(MID(TRIM(UPPER(E55)),3,1))&gt;=65,CODE(MID(TRIM(UPPER(E55)),3,1))&lt;=90,CODE(MID(TRIM(UPPER(E55)),4,1))&gt;=65,CODE(MID(TRIM(UPPER(E55)),4,1))&lt;=90,CODE(MID(TRIM(UPPER(E55)),5,1))&gt;=65,CODE(MID(TRIM(UPPER(E55)),5,1))&lt;=90,CODE(MID(TRIM(UPPER(E55)),10,1))&gt;=65,CODE(MID(TRIM(UPPER(E55)),10,1))&lt;=90,CODE(MID(TRIM(UPPER(E55)),6,1))&gt;=48,CODE(MID(TRIM(UPPER(E55)),6,1))&lt;=57,CODE(MID(TRIM(UPPER(E55)),7,1))&gt;=48,CODE(MID(TRIM(UPPER(E55)),7,1))&lt;=57,CODE(MID(TRIM(UPPER(E55)),8,1))&gt;=48,CODE(MID(TRIM(UPPER(E55)),8,1))&lt;=57,CODE(MID(TRIM(UPPER(E55)),9,1))&gt;=48,CODE(MID(TRIM(UPPER(E55)),9,1))&lt;=57),"N","Y"))</f>
      </c>
      <c r="G55" s="7">
        <f>IF($D55="","",IF(LEN(E55)&lt;4,"",IF(UPPER(MID(E55,4,1))="P","Individual",IF(UPPER(MID(E55,4,1))="H","HUF",IF(UPPER(MID(E55,4,1))="C","Company",IF(UPPER(MID(E55,4,1))="F","Firm",IF(UPPER(MID(E55,4,1))="L","LLP",IF(UPPER(MID(E55,4,1))="T","Trust",IF(UPPER(MID(E55,4,1))="A","AOP","")))))))))</f>
      </c>
      <c r="H55" s="8"/>
      <c r="I55" s="7">
        <f>IF($D55="","",IF(H55="","",IF(F55="Y",SUMPRODUCT(('Rate Lookup'!$A$1:$A$37=H55)*'Rate Lookup'!$D$1:$D$37),IF(OR(G55="Individual",G55="HUF"),SUMPRODUCT(('Rate Lookup'!$A$1:$A$37=H55)*'Rate Lookup'!$B$1:$B$37),SUMPRODUCT(('Rate Lookup'!$A$1:$A$37=H55)*'Rate Lookup'!$C$1:$C$37)))))</f>
      </c>
      <c r="J55" s="8"/>
      <c r="K55" s="8"/>
      <c r="L55" s="7">
        <f>IF($D55="","",ROUND(K55*I55/100,0))</f>
      </c>
      <c r="M55" s="7">
        <f>IF($D55="","",0)</f>
      </c>
      <c r="N55" s="7">
        <f>IF($D55="","",0)</f>
      </c>
      <c r="O55" s="7">
        <f>IF($D55="","",IF(OR(L55=0,J55="",IFERROR(INDEX('Challan Master'!$D$4:$D$207,MATCH($B55,'Challan Master'!$S$4:$S$207,0)),"")="",IFERROR(INDEX('Challan Master'!$D$4:$D$207,MATCH($B55,'Challan Master'!$S$4:$S$207,0)),"")&lt;=0),0,IF(IFERROR(INDEX('Challan Master'!$D$4:$D$207,MATCH($B55,'Challan Master'!$S$4:$S$207,0)),"")&lt;=DATE(YEAR(J55),MONTH(J55)+1,7),0,ROUND(L55*0.015*((YEAR(IFERROR(INDEX('Challan Master'!$D$4:$D$207,MATCH($B55,'Challan Master'!$S$4:$S$207,0)),""))-YEAR(J55))*12+(MONTH(IFERROR(INDEX('Challan Master'!$D$4:$D$207,MATCH($B55,'Challan Master'!$S$4:$S$207,0)),""))-MONTH(J55))+1),0))))</f>
      </c>
      <c r="P55" s="7">
        <f>IF($D55="","",0)</f>
      </c>
      <c r="Q55" s="8"/>
      <c r="R55" s="8"/>
      <c r="S55" s="8"/>
      <c r="T55" s="8"/>
      <c r="U55" s="8"/>
      <c r="V55" s="7">
        <f>IF($B55="","",IFERROR(INDEX('Challan Master'!$AA$4:$AA$207,MATCH($B55,'Challan Master'!$S$4:$S$207,0)),""))</f>
      </c>
    </row>
    <row r="56" spans="1:22" x14ac:dyDescent="0.25">
      <c r="A56" s="7">
        <f>IF($D56="","",COUNTIF($D$4:$D56,"&lt;&gt;"))</f>
      </c>
      <c r="B56" s="8"/>
      <c r="C56" s="7">
        <f>IF($B56="","","BSR "&amp;IFERROR(INDEX('Challan Master'!$B$4:$B$207,MATCH($B56,'Challan Master'!$S$4:$S$207,0)),"")&amp;" | Serial "&amp;IFERROR(INDEX('Challan Master'!$C$4:$C$207,MATCH($B56,'Challan Master'!$S$4:$S$207,0)),"")&amp;" | Deposit "&amp;TEXT(IFERROR(INDEX('Challan Master'!$D$4:$D$207,MATCH($B56,'Challan Master'!$S$4:$S$207,0)),""),"dd-mm-yyyy")&amp;" | Minor Head "&amp;IFERROR(INDEX('Challan Master'!$E$4:$E$207,MATCH($B56,'Challan Master'!$S$4:$S$207,0)),"")&amp;" | Tax ₹"&amp;TEXT(IFERROR(INDEX('Challan Master'!$G$4:$G$207,MATCH($B56,'Challan Master'!$S$4:$S$207,0)),""),"#,##0")&amp;" | Section "&amp;IFERROR(INDEX('Challan Master'!$F$4:$F$207,MATCH($B56,'Challan Master'!$S$4:$S$207,0)),""))</f>
      </c>
      <c r="D56" s="8"/>
      <c r="E56" s="8"/>
      <c r="F56" s="7">
        <f>IF($D56="","",IF(AND(LEN(TRIM(UPPER(E56)))=10,CODE(MID(TRIM(UPPER(E56)),1,1))&gt;=65,CODE(MID(TRIM(UPPER(E56)),1,1))&lt;=90,CODE(MID(TRIM(UPPER(E56)),2,1))&gt;=65,CODE(MID(TRIM(UPPER(E56)),2,1))&lt;=90,CODE(MID(TRIM(UPPER(E56)),3,1))&gt;=65,CODE(MID(TRIM(UPPER(E56)),3,1))&lt;=90,CODE(MID(TRIM(UPPER(E56)),4,1))&gt;=65,CODE(MID(TRIM(UPPER(E56)),4,1))&lt;=90,CODE(MID(TRIM(UPPER(E56)),5,1))&gt;=65,CODE(MID(TRIM(UPPER(E56)),5,1))&lt;=90,CODE(MID(TRIM(UPPER(E56)),10,1))&gt;=65,CODE(MID(TRIM(UPPER(E56)),10,1))&lt;=90,CODE(MID(TRIM(UPPER(E56)),6,1))&gt;=48,CODE(MID(TRIM(UPPER(E56)),6,1))&lt;=57,CODE(MID(TRIM(UPPER(E56)),7,1))&gt;=48,CODE(MID(TRIM(UPPER(E56)),7,1))&lt;=57,CODE(MID(TRIM(UPPER(E56)),8,1))&gt;=48,CODE(MID(TRIM(UPPER(E56)),8,1))&lt;=57,CODE(MID(TRIM(UPPER(E56)),9,1))&gt;=48,CODE(MID(TRIM(UPPER(E56)),9,1))&lt;=57),"N","Y"))</f>
      </c>
      <c r="G56" s="7">
        <f>IF($D56="","",IF(LEN(E56)&lt;4,"",IF(UPPER(MID(E56,4,1))="P","Individual",IF(UPPER(MID(E56,4,1))="H","HUF",IF(UPPER(MID(E56,4,1))="C","Company",IF(UPPER(MID(E56,4,1))="F","Firm",IF(UPPER(MID(E56,4,1))="L","LLP",IF(UPPER(MID(E56,4,1))="T","Trust",IF(UPPER(MID(E56,4,1))="A","AOP","")))))))))</f>
      </c>
      <c r="H56" s="8"/>
      <c r="I56" s="7">
        <f>IF($D56="","",IF(H56="","",IF(F56="Y",SUMPRODUCT(('Rate Lookup'!$A$1:$A$37=H56)*'Rate Lookup'!$D$1:$D$37),IF(OR(G56="Individual",G56="HUF"),SUMPRODUCT(('Rate Lookup'!$A$1:$A$37=H56)*'Rate Lookup'!$B$1:$B$37),SUMPRODUCT(('Rate Lookup'!$A$1:$A$37=H56)*'Rate Lookup'!$C$1:$C$37)))))</f>
      </c>
      <c r="J56" s="8"/>
      <c r="K56" s="8"/>
      <c r="L56" s="7">
        <f>IF($D56="","",ROUND(K56*I56/100,0))</f>
      </c>
      <c r="M56" s="7">
        <f>IF($D56="","",0)</f>
      </c>
      <c r="N56" s="7">
        <f>IF($D56="","",0)</f>
      </c>
      <c r="O56" s="7">
        <f>IF($D56="","",IF(OR(L56=0,J56="",IFERROR(INDEX('Challan Master'!$D$4:$D$207,MATCH($B56,'Challan Master'!$S$4:$S$207,0)),"")="",IFERROR(INDEX('Challan Master'!$D$4:$D$207,MATCH($B56,'Challan Master'!$S$4:$S$207,0)),"")&lt;=0),0,IF(IFERROR(INDEX('Challan Master'!$D$4:$D$207,MATCH($B56,'Challan Master'!$S$4:$S$207,0)),"")&lt;=DATE(YEAR(J56),MONTH(J56)+1,7),0,ROUND(L56*0.015*((YEAR(IFERROR(INDEX('Challan Master'!$D$4:$D$207,MATCH($B56,'Challan Master'!$S$4:$S$207,0)),""))-YEAR(J56))*12+(MONTH(IFERROR(INDEX('Challan Master'!$D$4:$D$207,MATCH($B56,'Challan Master'!$S$4:$S$207,0)),""))-MONTH(J56))+1),0))))</f>
      </c>
      <c r="P56" s="7">
        <f>IF($D56="","",0)</f>
      </c>
      <c r="Q56" s="8"/>
      <c r="R56" s="8"/>
      <c r="S56" s="8"/>
      <c r="T56" s="8"/>
      <c r="U56" s="8"/>
      <c r="V56" s="7">
        <f>IF($B56="","",IFERROR(INDEX('Challan Master'!$AA$4:$AA$207,MATCH($B56,'Challan Master'!$S$4:$S$207,0)),""))</f>
      </c>
    </row>
    <row r="57" spans="1:22" x14ac:dyDescent="0.25">
      <c r="A57" s="7">
        <f>IF($D57="","",COUNTIF($D$4:$D57,"&lt;&gt;"))</f>
      </c>
      <c r="B57" s="8"/>
      <c r="C57" s="7">
        <f>IF($B57="","","BSR "&amp;IFERROR(INDEX('Challan Master'!$B$4:$B$207,MATCH($B57,'Challan Master'!$S$4:$S$207,0)),"")&amp;" | Serial "&amp;IFERROR(INDEX('Challan Master'!$C$4:$C$207,MATCH($B57,'Challan Master'!$S$4:$S$207,0)),"")&amp;" | Deposit "&amp;TEXT(IFERROR(INDEX('Challan Master'!$D$4:$D$207,MATCH($B57,'Challan Master'!$S$4:$S$207,0)),""),"dd-mm-yyyy")&amp;" | Minor Head "&amp;IFERROR(INDEX('Challan Master'!$E$4:$E$207,MATCH($B57,'Challan Master'!$S$4:$S$207,0)),"")&amp;" | Tax ₹"&amp;TEXT(IFERROR(INDEX('Challan Master'!$G$4:$G$207,MATCH($B57,'Challan Master'!$S$4:$S$207,0)),""),"#,##0")&amp;" | Section "&amp;IFERROR(INDEX('Challan Master'!$F$4:$F$207,MATCH($B57,'Challan Master'!$S$4:$S$207,0)),""))</f>
      </c>
      <c r="D57" s="8"/>
      <c r="E57" s="8"/>
      <c r="F57" s="7">
        <f>IF($D57="","",IF(AND(LEN(TRIM(UPPER(E57)))=10,CODE(MID(TRIM(UPPER(E57)),1,1))&gt;=65,CODE(MID(TRIM(UPPER(E57)),1,1))&lt;=90,CODE(MID(TRIM(UPPER(E57)),2,1))&gt;=65,CODE(MID(TRIM(UPPER(E57)),2,1))&lt;=90,CODE(MID(TRIM(UPPER(E57)),3,1))&gt;=65,CODE(MID(TRIM(UPPER(E57)),3,1))&lt;=90,CODE(MID(TRIM(UPPER(E57)),4,1))&gt;=65,CODE(MID(TRIM(UPPER(E57)),4,1))&lt;=90,CODE(MID(TRIM(UPPER(E57)),5,1))&gt;=65,CODE(MID(TRIM(UPPER(E57)),5,1))&lt;=90,CODE(MID(TRIM(UPPER(E57)),10,1))&gt;=65,CODE(MID(TRIM(UPPER(E57)),10,1))&lt;=90,CODE(MID(TRIM(UPPER(E57)),6,1))&gt;=48,CODE(MID(TRIM(UPPER(E57)),6,1))&lt;=57,CODE(MID(TRIM(UPPER(E57)),7,1))&gt;=48,CODE(MID(TRIM(UPPER(E57)),7,1))&lt;=57,CODE(MID(TRIM(UPPER(E57)),8,1))&gt;=48,CODE(MID(TRIM(UPPER(E57)),8,1))&lt;=57,CODE(MID(TRIM(UPPER(E57)),9,1))&gt;=48,CODE(MID(TRIM(UPPER(E57)),9,1))&lt;=57),"N","Y"))</f>
      </c>
      <c r="G57" s="7">
        <f>IF($D57="","",IF(LEN(E57)&lt;4,"",IF(UPPER(MID(E57,4,1))="P","Individual",IF(UPPER(MID(E57,4,1))="H","HUF",IF(UPPER(MID(E57,4,1))="C","Company",IF(UPPER(MID(E57,4,1))="F","Firm",IF(UPPER(MID(E57,4,1))="L","LLP",IF(UPPER(MID(E57,4,1))="T","Trust",IF(UPPER(MID(E57,4,1))="A","AOP","")))))))))</f>
      </c>
      <c r="H57" s="8"/>
      <c r="I57" s="7">
        <f>IF($D57="","",IF(H57="","",IF(F57="Y",SUMPRODUCT(('Rate Lookup'!$A$1:$A$37=H57)*'Rate Lookup'!$D$1:$D$37),IF(OR(G57="Individual",G57="HUF"),SUMPRODUCT(('Rate Lookup'!$A$1:$A$37=H57)*'Rate Lookup'!$B$1:$B$37),SUMPRODUCT(('Rate Lookup'!$A$1:$A$37=H57)*'Rate Lookup'!$C$1:$C$37)))))</f>
      </c>
      <c r="J57" s="8"/>
      <c r="K57" s="8"/>
      <c r="L57" s="7">
        <f>IF($D57="","",ROUND(K57*I57/100,0))</f>
      </c>
      <c r="M57" s="7">
        <f>IF($D57="","",0)</f>
      </c>
      <c r="N57" s="7">
        <f>IF($D57="","",0)</f>
      </c>
      <c r="O57" s="7">
        <f>IF($D57="","",IF(OR(L57=0,J57="",IFERROR(INDEX('Challan Master'!$D$4:$D$207,MATCH($B57,'Challan Master'!$S$4:$S$207,0)),"")="",IFERROR(INDEX('Challan Master'!$D$4:$D$207,MATCH($B57,'Challan Master'!$S$4:$S$207,0)),"")&lt;=0),0,IF(IFERROR(INDEX('Challan Master'!$D$4:$D$207,MATCH($B57,'Challan Master'!$S$4:$S$207,0)),"")&lt;=DATE(YEAR(J57),MONTH(J57)+1,7),0,ROUND(L57*0.015*((YEAR(IFERROR(INDEX('Challan Master'!$D$4:$D$207,MATCH($B57,'Challan Master'!$S$4:$S$207,0)),""))-YEAR(J57))*12+(MONTH(IFERROR(INDEX('Challan Master'!$D$4:$D$207,MATCH($B57,'Challan Master'!$S$4:$S$207,0)),""))-MONTH(J57))+1),0))))</f>
      </c>
      <c r="P57" s="7">
        <f>IF($D57="","",0)</f>
      </c>
      <c r="Q57" s="8"/>
      <c r="R57" s="8"/>
      <c r="S57" s="8"/>
      <c r="T57" s="8"/>
      <c r="U57" s="8"/>
      <c r="V57" s="7">
        <f>IF($B57="","",IFERROR(INDEX('Challan Master'!$AA$4:$AA$207,MATCH($B57,'Challan Master'!$S$4:$S$207,0)),""))</f>
      </c>
    </row>
    <row r="58" spans="1:22" x14ac:dyDescent="0.25">
      <c r="A58" s="7">
        <f>IF($D58="","",COUNTIF($D$4:$D58,"&lt;&gt;"))</f>
      </c>
      <c r="B58" s="8"/>
      <c r="C58" s="7">
        <f>IF($B58="","","BSR "&amp;IFERROR(INDEX('Challan Master'!$B$4:$B$207,MATCH($B58,'Challan Master'!$S$4:$S$207,0)),"")&amp;" | Serial "&amp;IFERROR(INDEX('Challan Master'!$C$4:$C$207,MATCH($B58,'Challan Master'!$S$4:$S$207,0)),"")&amp;" | Deposit "&amp;TEXT(IFERROR(INDEX('Challan Master'!$D$4:$D$207,MATCH($B58,'Challan Master'!$S$4:$S$207,0)),""),"dd-mm-yyyy")&amp;" | Minor Head "&amp;IFERROR(INDEX('Challan Master'!$E$4:$E$207,MATCH($B58,'Challan Master'!$S$4:$S$207,0)),"")&amp;" | Tax ₹"&amp;TEXT(IFERROR(INDEX('Challan Master'!$G$4:$G$207,MATCH($B58,'Challan Master'!$S$4:$S$207,0)),""),"#,##0")&amp;" | Section "&amp;IFERROR(INDEX('Challan Master'!$F$4:$F$207,MATCH($B58,'Challan Master'!$S$4:$S$207,0)),""))</f>
      </c>
      <c r="D58" s="8"/>
      <c r="E58" s="8"/>
      <c r="F58" s="7">
        <f>IF($D58="","",IF(AND(LEN(TRIM(UPPER(E58)))=10,CODE(MID(TRIM(UPPER(E58)),1,1))&gt;=65,CODE(MID(TRIM(UPPER(E58)),1,1))&lt;=90,CODE(MID(TRIM(UPPER(E58)),2,1))&gt;=65,CODE(MID(TRIM(UPPER(E58)),2,1))&lt;=90,CODE(MID(TRIM(UPPER(E58)),3,1))&gt;=65,CODE(MID(TRIM(UPPER(E58)),3,1))&lt;=90,CODE(MID(TRIM(UPPER(E58)),4,1))&gt;=65,CODE(MID(TRIM(UPPER(E58)),4,1))&lt;=90,CODE(MID(TRIM(UPPER(E58)),5,1))&gt;=65,CODE(MID(TRIM(UPPER(E58)),5,1))&lt;=90,CODE(MID(TRIM(UPPER(E58)),10,1))&gt;=65,CODE(MID(TRIM(UPPER(E58)),10,1))&lt;=90,CODE(MID(TRIM(UPPER(E58)),6,1))&gt;=48,CODE(MID(TRIM(UPPER(E58)),6,1))&lt;=57,CODE(MID(TRIM(UPPER(E58)),7,1))&gt;=48,CODE(MID(TRIM(UPPER(E58)),7,1))&lt;=57,CODE(MID(TRIM(UPPER(E58)),8,1))&gt;=48,CODE(MID(TRIM(UPPER(E58)),8,1))&lt;=57,CODE(MID(TRIM(UPPER(E58)),9,1))&gt;=48,CODE(MID(TRIM(UPPER(E58)),9,1))&lt;=57),"N","Y"))</f>
      </c>
      <c r="G58" s="7">
        <f>IF($D58="","",IF(LEN(E58)&lt;4,"",IF(UPPER(MID(E58,4,1))="P","Individual",IF(UPPER(MID(E58,4,1))="H","HUF",IF(UPPER(MID(E58,4,1))="C","Company",IF(UPPER(MID(E58,4,1))="F","Firm",IF(UPPER(MID(E58,4,1))="L","LLP",IF(UPPER(MID(E58,4,1))="T","Trust",IF(UPPER(MID(E58,4,1))="A","AOP","")))))))))</f>
      </c>
      <c r="H58" s="8"/>
      <c r="I58" s="7">
        <f>IF($D58="","",IF(H58="","",IF(F58="Y",SUMPRODUCT(('Rate Lookup'!$A$1:$A$37=H58)*'Rate Lookup'!$D$1:$D$37),IF(OR(G58="Individual",G58="HUF"),SUMPRODUCT(('Rate Lookup'!$A$1:$A$37=H58)*'Rate Lookup'!$B$1:$B$37),SUMPRODUCT(('Rate Lookup'!$A$1:$A$37=H58)*'Rate Lookup'!$C$1:$C$37)))))</f>
      </c>
      <c r="J58" s="8"/>
      <c r="K58" s="8"/>
      <c r="L58" s="7">
        <f>IF($D58="","",ROUND(K58*I58/100,0))</f>
      </c>
      <c r="M58" s="7">
        <f>IF($D58="","",0)</f>
      </c>
      <c r="N58" s="7">
        <f>IF($D58="","",0)</f>
      </c>
      <c r="O58" s="7">
        <f>IF($D58="","",IF(OR(L58=0,J58="",IFERROR(INDEX('Challan Master'!$D$4:$D$207,MATCH($B58,'Challan Master'!$S$4:$S$207,0)),"")="",IFERROR(INDEX('Challan Master'!$D$4:$D$207,MATCH($B58,'Challan Master'!$S$4:$S$207,0)),"")&lt;=0),0,IF(IFERROR(INDEX('Challan Master'!$D$4:$D$207,MATCH($B58,'Challan Master'!$S$4:$S$207,0)),"")&lt;=DATE(YEAR(J58),MONTH(J58)+1,7),0,ROUND(L58*0.015*((YEAR(IFERROR(INDEX('Challan Master'!$D$4:$D$207,MATCH($B58,'Challan Master'!$S$4:$S$207,0)),""))-YEAR(J58))*12+(MONTH(IFERROR(INDEX('Challan Master'!$D$4:$D$207,MATCH($B58,'Challan Master'!$S$4:$S$207,0)),""))-MONTH(J58))+1),0))))</f>
      </c>
      <c r="P58" s="7">
        <f>IF($D58="","",0)</f>
      </c>
      <c r="Q58" s="8"/>
      <c r="R58" s="8"/>
      <c r="S58" s="8"/>
      <c r="T58" s="8"/>
      <c r="U58" s="8"/>
      <c r="V58" s="7">
        <f>IF($B58="","",IFERROR(INDEX('Challan Master'!$AA$4:$AA$207,MATCH($B58,'Challan Master'!$S$4:$S$207,0)),""))</f>
      </c>
    </row>
    <row r="59" spans="1:22" x14ac:dyDescent="0.25">
      <c r="A59" s="7">
        <f>IF($D59="","",COUNTIF($D$4:$D59,"&lt;&gt;"))</f>
      </c>
      <c r="B59" s="8"/>
      <c r="C59" s="7">
        <f>IF($B59="","","BSR "&amp;IFERROR(INDEX('Challan Master'!$B$4:$B$207,MATCH($B59,'Challan Master'!$S$4:$S$207,0)),"")&amp;" | Serial "&amp;IFERROR(INDEX('Challan Master'!$C$4:$C$207,MATCH($B59,'Challan Master'!$S$4:$S$207,0)),"")&amp;" | Deposit "&amp;TEXT(IFERROR(INDEX('Challan Master'!$D$4:$D$207,MATCH($B59,'Challan Master'!$S$4:$S$207,0)),""),"dd-mm-yyyy")&amp;" | Minor Head "&amp;IFERROR(INDEX('Challan Master'!$E$4:$E$207,MATCH($B59,'Challan Master'!$S$4:$S$207,0)),"")&amp;" | Tax ₹"&amp;TEXT(IFERROR(INDEX('Challan Master'!$G$4:$G$207,MATCH($B59,'Challan Master'!$S$4:$S$207,0)),""),"#,##0")&amp;" | Section "&amp;IFERROR(INDEX('Challan Master'!$F$4:$F$207,MATCH($B59,'Challan Master'!$S$4:$S$207,0)),""))</f>
      </c>
      <c r="D59" s="8"/>
      <c r="E59" s="8"/>
      <c r="F59" s="7">
        <f>IF($D59="","",IF(AND(LEN(TRIM(UPPER(E59)))=10,CODE(MID(TRIM(UPPER(E59)),1,1))&gt;=65,CODE(MID(TRIM(UPPER(E59)),1,1))&lt;=90,CODE(MID(TRIM(UPPER(E59)),2,1))&gt;=65,CODE(MID(TRIM(UPPER(E59)),2,1))&lt;=90,CODE(MID(TRIM(UPPER(E59)),3,1))&gt;=65,CODE(MID(TRIM(UPPER(E59)),3,1))&lt;=90,CODE(MID(TRIM(UPPER(E59)),4,1))&gt;=65,CODE(MID(TRIM(UPPER(E59)),4,1))&lt;=90,CODE(MID(TRIM(UPPER(E59)),5,1))&gt;=65,CODE(MID(TRIM(UPPER(E59)),5,1))&lt;=90,CODE(MID(TRIM(UPPER(E59)),10,1))&gt;=65,CODE(MID(TRIM(UPPER(E59)),10,1))&lt;=90,CODE(MID(TRIM(UPPER(E59)),6,1))&gt;=48,CODE(MID(TRIM(UPPER(E59)),6,1))&lt;=57,CODE(MID(TRIM(UPPER(E59)),7,1))&gt;=48,CODE(MID(TRIM(UPPER(E59)),7,1))&lt;=57,CODE(MID(TRIM(UPPER(E59)),8,1))&gt;=48,CODE(MID(TRIM(UPPER(E59)),8,1))&lt;=57,CODE(MID(TRIM(UPPER(E59)),9,1))&gt;=48,CODE(MID(TRIM(UPPER(E59)),9,1))&lt;=57),"N","Y"))</f>
      </c>
      <c r="G59" s="7">
        <f>IF($D59="","",IF(LEN(E59)&lt;4,"",IF(UPPER(MID(E59,4,1))="P","Individual",IF(UPPER(MID(E59,4,1))="H","HUF",IF(UPPER(MID(E59,4,1))="C","Company",IF(UPPER(MID(E59,4,1))="F","Firm",IF(UPPER(MID(E59,4,1))="L","LLP",IF(UPPER(MID(E59,4,1))="T","Trust",IF(UPPER(MID(E59,4,1))="A","AOP","")))))))))</f>
      </c>
      <c r="H59" s="8"/>
      <c r="I59" s="7">
        <f>IF($D59="","",IF(H59="","",IF(F59="Y",SUMPRODUCT(('Rate Lookup'!$A$1:$A$37=H59)*'Rate Lookup'!$D$1:$D$37),IF(OR(G59="Individual",G59="HUF"),SUMPRODUCT(('Rate Lookup'!$A$1:$A$37=H59)*'Rate Lookup'!$B$1:$B$37),SUMPRODUCT(('Rate Lookup'!$A$1:$A$37=H59)*'Rate Lookup'!$C$1:$C$37)))))</f>
      </c>
      <c r="J59" s="8"/>
      <c r="K59" s="8"/>
      <c r="L59" s="7">
        <f>IF($D59="","",ROUND(K59*I59/100,0))</f>
      </c>
      <c r="M59" s="7">
        <f>IF($D59="","",0)</f>
      </c>
      <c r="N59" s="7">
        <f>IF($D59="","",0)</f>
      </c>
      <c r="O59" s="7">
        <f>IF($D59="","",IF(OR(L59=0,J59="",IFERROR(INDEX('Challan Master'!$D$4:$D$207,MATCH($B59,'Challan Master'!$S$4:$S$207,0)),"")="",IFERROR(INDEX('Challan Master'!$D$4:$D$207,MATCH($B59,'Challan Master'!$S$4:$S$207,0)),"")&lt;=0),0,IF(IFERROR(INDEX('Challan Master'!$D$4:$D$207,MATCH($B59,'Challan Master'!$S$4:$S$207,0)),"")&lt;=DATE(YEAR(J59),MONTH(J59)+1,7),0,ROUND(L59*0.015*((YEAR(IFERROR(INDEX('Challan Master'!$D$4:$D$207,MATCH($B59,'Challan Master'!$S$4:$S$207,0)),""))-YEAR(J59))*12+(MONTH(IFERROR(INDEX('Challan Master'!$D$4:$D$207,MATCH($B59,'Challan Master'!$S$4:$S$207,0)),""))-MONTH(J59))+1),0))))</f>
      </c>
      <c r="P59" s="7">
        <f>IF($D59="","",0)</f>
      </c>
      <c r="Q59" s="8"/>
      <c r="R59" s="8"/>
      <c r="S59" s="8"/>
      <c r="T59" s="8"/>
      <c r="U59" s="8"/>
      <c r="V59" s="7">
        <f>IF($B59="","",IFERROR(INDEX('Challan Master'!$AA$4:$AA$207,MATCH($B59,'Challan Master'!$S$4:$S$207,0)),""))</f>
      </c>
    </row>
    <row r="60" spans="1:22" x14ac:dyDescent="0.25">
      <c r="A60" s="7">
        <f>IF($D60="","",COUNTIF($D$4:$D60,"&lt;&gt;"))</f>
      </c>
      <c r="B60" s="8"/>
      <c r="C60" s="7">
        <f>IF($B60="","","BSR "&amp;IFERROR(INDEX('Challan Master'!$B$4:$B$207,MATCH($B60,'Challan Master'!$S$4:$S$207,0)),"")&amp;" | Serial "&amp;IFERROR(INDEX('Challan Master'!$C$4:$C$207,MATCH($B60,'Challan Master'!$S$4:$S$207,0)),"")&amp;" | Deposit "&amp;TEXT(IFERROR(INDEX('Challan Master'!$D$4:$D$207,MATCH($B60,'Challan Master'!$S$4:$S$207,0)),""),"dd-mm-yyyy")&amp;" | Minor Head "&amp;IFERROR(INDEX('Challan Master'!$E$4:$E$207,MATCH($B60,'Challan Master'!$S$4:$S$207,0)),"")&amp;" | Tax ₹"&amp;TEXT(IFERROR(INDEX('Challan Master'!$G$4:$G$207,MATCH($B60,'Challan Master'!$S$4:$S$207,0)),""),"#,##0")&amp;" | Section "&amp;IFERROR(INDEX('Challan Master'!$F$4:$F$207,MATCH($B60,'Challan Master'!$S$4:$S$207,0)),""))</f>
      </c>
      <c r="D60" s="8"/>
      <c r="E60" s="8"/>
      <c r="F60" s="7">
        <f>IF($D60="","",IF(AND(LEN(TRIM(UPPER(E60)))=10,CODE(MID(TRIM(UPPER(E60)),1,1))&gt;=65,CODE(MID(TRIM(UPPER(E60)),1,1))&lt;=90,CODE(MID(TRIM(UPPER(E60)),2,1))&gt;=65,CODE(MID(TRIM(UPPER(E60)),2,1))&lt;=90,CODE(MID(TRIM(UPPER(E60)),3,1))&gt;=65,CODE(MID(TRIM(UPPER(E60)),3,1))&lt;=90,CODE(MID(TRIM(UPPER(E60)),4,1))&gt;=65,CODE(MID(TRIM(UPPER(E60)),4,1))&lt;=90,CODE(MID(TRIM(UPPER(E60)),5,1))&gt;=65,CODE(MID(TRIM(UPPER(E60)),5,1))&lt;=90,CODE(MID(TRIM(UPPER(E60)),10,1))&gt;=65,CODE(MID(TRIM(UPPER(E60)),10,1))&lt;=90,CODE(MID(TRIM(UPPER(E60)),6,1))&gt;=48,CODE(MID(TRIM(UPPER(E60)),6,1))&lt;=57,CODE(MID(TRIM(UPPER(E60)),7,1))&gt;=48,CODE(MID(TRIM(UPPER(E60)),7,1))&lt;=57,CODE(MID(TRIM(UPPER(E60)),8,1))&gt;=48,CODE(MID(TRIM(UPPER(E60)),8,1))&lt;=57,CODE(MID(TRIM(UPPER(E60)),9,1))&gt;=48,CODE(MID(TRIM(UPPER(E60)),9,1))&lt;=57),"N","Y"))</f>
      </c>
      <c r="G60" s="7">
        <f>IF($D60="","",IF(LEN(E60)&lt;4,"",IF(UPPER(MID(E60,4,1))="P","Individual",IF(UPPER(MID(E60,4,1))="H","HUF",IF(UPPER(MID(E60,4,1))="C","Company",IF(UPPER(MID(E60,4,1))="F","Firm",IF(UPPER(MID(E60,4,1))="L","LLP",IF(UPPER(MID(E60,4,1))="T","Trust",IF(UPPER(MID(E60,4,1))="A","AOP","")))))))))</f>
      </c>
      <c r="H60" s="8"/>
      <c r="I60" s="7">
        <f>IF($D60="","",IF(H60="","",IF(F60="Y",SUMPRODUCT(('Rate Lookup'!$A$1:$A$37=H60)*'Rate Lookup'!$D$1:$D$37),IF(OR(G60="Individual",G60="HUF"),SUMPRODUCT(('Rate Lookup'!$A$1:$A$37=H60)*'Rate Lookup'!$B$1:$B$37),SUMPRODUCT(('Rate Lookup'!$A$1:$A$37=H60)*'Rate Lookup'!$C$1:$C$37)))))</f>
      </c>
      <c r="J60" s="8"/>
      <c r="K60" s="8"/>
      <c r="L60" s="7">
        <f>IF($D60="","",ROUND(K60*I60/100,0))</f>
      </c>
      <c r="M60" s="7">
        <f>IF($D60="","",0)</f>
      </c>
      <c r="N60" s="7">
        <f>IF($D60="","",0)</f>
      </c>
      <c r="O60" s="7">
        <f>IF($D60="","",IF(OR(L60=0,J60="",IFERROR(INDEX('Challan Master'!$D$4:$D$207,MATCH($B60,'Challan Master'!$S$4:$S$207,0)),"")="",IFERROR(INDEX('Challan Master'!$D$4:$D$207,MATCH($B60,'Challan Master'!$S$4:$S$207,0)),"")&lt;=0),0,IF(IFERROR(INDEX('Challan Master'!$D$4:$D$207,MATCH($B60,'Challan Master'!$S$4:$S$207,0)),"")&lt;=DATE(YEAR(J60),MONTH(J60)+1,7),0,ROUND(L60*0.015*((YEAR(IFERROR(INDEX('Challan Master'!$D$4:$D$207,MATCH($B60,'Challan Master'!$S$4:$S$207,0)),""))-YEAR(J60))*12+(MONTH(IFERROR(INDEX('Challan Master'!$D$4:$D$207,MATCH($B60,'Challan Master'!$S$4:$S$207,0)),""))-MONTH(J60))+1),0))))</f>
      </c>
      <c r="P60" s="7">
        <f>IF($D60="","",0)</f>
      </c>
      <c r="Q60" s="8"/>
      <c r="R60" s="8"/>
      <c r="S60" s="8"/>
      <c r="T60" s="8"/>
      <c r="U60" s="8"/>
      <c r="V60" s="7">
        <f>IF($B60="","",IFERROR(INDEX('Challan Master'!$AA$4:$AA$207,MATCH($B60,'Challan Master'!$S$4:$S$207,0)),""))</f>
      </c>
    </row>
    <row r="61" spans="1:22" x14ac:dyDescent="0.25">
      <c r="A61" s="7">
        <f>IF($D61="","",COUNTIF($D$4:$D61,"&lt;&gt;"))</f>
      </c>
      <c r="B61" s="8"/>
      <c r="C61" s="7">
        <f>IF($B61="","","BSR "&amp;IFERROR(INDEX('Challan Master'!$B$4:$B$207,MATCH($B61,'Challan Master'!$S$4:$S$207,0)),"")&amp;" | Serial "&amp;IFERROR(INDEX('Challan Master'!$C$4:$C$207,MATCH($B61,'Challan Master'!$S$4:$S$207,0)),"")&amp;" | Deposit "&amp;TEXT(IFERROR(INDEX('Challan Master'!$D$4:$D$207,MATCH($B61,'Challan Master'!$S$4:$S$207,0)),""),"dd-mm-yyyy")&amp;" | Minor Head "&amp;IFERROR(INDEX('Challan Master'!$E$4:$E$207,MATCH($B61,'Challan Master'!$S$4:$S$207,0)),"")&amp;" | Tax ₹"&amp;TEXT(IFERROR(INDEX('Challan Master'!$G$4:$G$207,MATCH($B61,'Challan Master'!$S$4:$S$207,0)),""),"#,##0")&amp;" | Section "&amp;IFERROR(INDEX('Challan Master'!$F$4:$F$207,MATCH($B61,'Challan Master'!$S$4:$S$207,0)),""))</f>
      </c>
      <c r="D61" s="8"/>
      <c r="E61" s="8"/>
      <c r="F61" s="7">
        <f>IF($D61="","",IF(AND(LEN(TRIM(UPPER(E61)))=10,CODE(MID(TRIM(UPPER(E61)),1,1))&gt;=65,CODE(MID(TRIM(UPPER(E61)),1,1))&lt;=90,CODE(MID(TRIM(UPPER(E61)),2,1))&gt;=65,CODE(MID(TRIM(UPPER(E61)),2,1))&lt;=90,CODE(MID(TRIM(UPPER(E61)),3,1))&gt;=65,CODE(MID(TRIM(UPPER(E61)),3,1))&lt;=90,CODE(MID(TRIM(UPPER(E61)),4,1))&gt;=65,CODE(MID(TRIM(UPPER(E61)),4,1))&lt;=90,CODE(MID(TRIM(UPPER(E61)),5,1))&gt;=65,CODE(MID(TRIM(UPPER(E61)),5,1))&lt;=90,CODE(MID(TRIM(UPPER(E61)),10,1))&gt;=65,CODE(MID(TRIM(UPPER(E61)),10,1))&lt;=90,CODE(MID(TRIM(UPPER(E61)),6,1))&gt;=48,CODE(MID(TRIM(UPPER(E61)),6,1))&lt;=57,CODE(MID(TRIM(UPPER(E61)),7,1))&gt;=48,CODE(MID(TRIM(UPPER(E61)),7,1))&lt;=57,CODE(MID(TRIM(UPPER(E61)),8,1))&gt;=48,CODE(MID(TRIM(UPPER(E61)),8,1))&lt;=57,CODE(MID(TRIM(UPPER(E61)),9,1))&gt;=48,CODE(MID(TRIM(UPPER(E61)),9,1))&lt;=57),"N","Y"))</f>
      </c>
      <c r="G61" s="7">
        <f>IF($D61="","",IF(LEN(E61)&lt;4,"",IF(UPPER(MID(E61,4,1))="P","Individual",IF(UPPER(MID(E61,4,1))="H","HUF",IF(UPPER(MID(E61,4,1))="C","Company",IF(UPPER(MID(E61,4,1))="F","Firm",IF(UPPER(MID(E61,4,1))="L","LLP",IF(UPPER(MID(E61,4,1))="T","Trust",IF(UPPER(MID(E61,4,1))="A","AOP","")))))))))</f>
      </c>
      <c r="H61" s="8"/>
      <c r="I61" s="7">
        <f>IF($D61="","",IF(H61="","",IF(F61="Y",SUMPRODUCT(('Rate Lookup'!$A$1:$A$37=H61)*'Rate Lookup'!$D$1:$D$37),IF(OR(G61="Individual",G61="HUF"),SUMPRODUCT(('Rate Lookup'!$A$1:$A$37=H61)*'Rate Lookup'!$B$1:$B$37),SUMPRODUCT(('Rate Lookup'!$A$1:$A$37=H61)*'Rate Lookup'!$C$1:$C$37)))))</f>
      </c>
      <c r="J61" s="8"/>
      <c r="K61" s="8"/>
      <c r="L61" s="7">
        <f>IF($D61="","",ROUND(K61*I61/100,0))</f>
      </c>
      <c r="M61" s="7">
        <f>IF($D61="","",0)</f>
      </c>
      <c r="N61" s="7">
        <f>IF($D61="","",0)</f>
      </c>
      <c r="O61" s="7">
        <f>IF($D61="","",IF(OR(L61=0,J61="",IFERROR(INDEX('Challan Master'!$D$4:$D$207,MATCH($B61,'Challan Master'!$S$4:$S$207,0)),"")="",IFERROR(INDEX('Challan Master'!$D$4:$D$207,MATCH($B61,'Challan Master'!$S$4:$S$207,0)),"")&lt;=0),0,IF(IFERROR(INDEX('Challan Master'!$D$4:$D$207,MATCH($B61,'Challan Master'!$S$4:$S$207,0)),"")&lt;=DATE(YEAR(J61),MONTH(J61)+1,7),0,ROUND(L61*0.015*((YEAR(IFERROR(INDEX('Challan Master'!$D$4:$D$207,MATCH($B61,'Challan Master'!$S$4:$S$207,0)),""))-YEAR(J61))*12+(MONTH(IFERROR(INDEX('Challan Master'!$D$4:$D$207,MATCH($B61,'Challan Master'!$S$4:$S$207,0)),""))-MONTH(J61))+1),0))))</f>
      </c>
      <c r="P61" s="7">
        <f>IF($D61="","",0)</f>
      </c>
      <c r="Q61" s="8"/>
      <c r="R61" s="8"/>
      <c r="S61" s="8"/>
      <c r="T61" s="8"/>
      <c r="U61" s="8"/>
      <c r="V61" s="7">
        <f>IF($B61="","",IFERROR(INDEX('Challan Master'!$AA$4:$AA$207,MATCH($B61,'Challan Master'!$S$4:$S$207,0)),""))</f>
      </c>
    </row>
    <row r="62" spans="1:22" x14ac:dyDescent="0.25">
      <c r="A62" s="7">
        <f>IF($D62="","",COUNTIF($D$4:$D62,"&lt;&gt;"))</f>
      </c>
      <c r="B62" s="8"/>
      <c r="C62" s="7">
        <f>IF($B62="","","BSR "&amp;IFERROR(INDEX('Challan Master'!$B$4:$B$207,MATCH($B62,'Challan Master'!$S$4:$S$207,0)),"")&amp;" | Serial "&amp;IFERROR(INDEX('Challan Master'!$C$4:$C$207,MATCH($B62,'Challan Master'!$S$4:$S$207,0)),"")&amp;" | Deposit "&amp;TEXT(IFERROR(INDEX('Challan Master'!$D$4:$D$207,MATCH($B62,'Challan Master'!$S$4:$S$207,0)),""),"dd-mm-yyyy")&amp;" | Minor Head "&amp;IFERROR(INDEX('Challan Master'!$E$4:$E$207,MATCH($B62,'Challan Master'!$S$4:$S$207,0)),"")&amp;" | Tax ₹"&amp;TEXT(IFERROR(INDEX('Challan Master'!$G$4:$G$207,MATCH($B62,'Challan Master'!$S$4:$S$207,0)),""),"#,##0")&amp;" | Section "&amp;IFERROR(INDEX('Challan Master'!$F$4:$F$207,MATCH($B62,'Challan Master'!$S$4:$S$207,0)),""))</f>
      </c>
      <c r="D62" s="8"/>
      <c r="E62" s="8"/>
      <c r="F62" s="7">
        <f>IF($D62="","",IF(AND(LEN(TRIM(UPPER(E62)))=10,CODE(MID(TRIM(UPPER(E62)),1,1))&gt;=65,CODE(MID(TRIM(UPPER(E62)),1,1))&lt;=90,CODE(MID(TRIM(UPPER(E62)),2,1))&gt;=65,CODE(MID(TRIM(UPPER(E62)),2,1))&lt;=90,CODE(MID(TRIM(UPPER(E62)),3,1))&gt;=65,CODE(MID(TRIM(UPPER(E62)),3,1))&lt;=90,CODE(MID(TRIM(UPPER(E62)),4,1))&gt;=65,CODE(MID(TRIM(UPPER(E62)),4,1))&lt;=90,CODE(MID(TRIM(UPPER(E62)),5,1))&gt;=65,CODE(MID(TRIM(UPPER(E62)),5,1))&lt;=90,CODE(MID(TRIM(UPPER(E62)),10,1))&gt;=65,CODE(MID(TRIM(UPPER(E62)),10,1))&lt;=90,CODE(MID(TRIM(UPPER(E62)),6,1))&gt;=48,CODE(MID(TRIM(UPPER(E62)),6,1))&lt;=57,CODE(MID(TRIM(UPPER(E62)),7,1))&gt;=48,CODE(MID(TRIM(UPPER(E62)),7,1))&lt;=57,CODE(MID(TRIM(UPPER(E62)),8,1))&gt;=48,CODE(MID(TRIM(UPPER(E62)),8,1))&lt;=57,CODE(MID(TRIM(UPPER(E62)),9,1))&gt;=48,CODE(MID(TRIM(UPPER(E62)),9,1))&lt;=57),"N","Y"))</f>
      </c>
      <c r="G62" s="7">
        <f>IF($D62="","",IF(LEN(E62)&lt;4,"",IF(UPPER(MID(E62,4,1))="P","Individual",IF(UPPER(MID(E62,4,1))="H","HUF",IF(UPPER(MID(E62,4,1))="C","Company",IF(UPPER(MID(E62,4,1))="F","Firm",IF(UPPER(MID(E62,4,1))="L","LLP",IF(UPPER(MID(E62,4,1))="T","Trust",IF(UPPER(MID(E62,4,1))="A","AOP","")))))))))</f>
      </c>
      <c r="H62" s="8"/>
      <c r="I62" s="7">
        <f>IF($D62="","",IF(H62="","",IF(F62="Y",SUMPRODUCT(('Rate Lookup'!$A$1:$A$37=H62)*'Rate Lookup'!$D$1:$D$37),IF(OR(G62="Individual",G62="HUF"),SUMPRODUCT(('Rate Lookup'!$A$1:$A$37=H62)*'Rate Lookup'!$B$1:$B$37),SUMPRODUCT(('Rate Lookup'!$A$1:$A$37=H62)*'Rate Lookup'!$C$1:$C$37)))))</f>
      </c>
      <c r="J62" s="8"/>
      <c r="K62" s="8"/>
      <c r="L62" s="7">
        <f>IF($D62="","",ROUND(K62*I62/100,0))</f>
      </c>
      <c r="M62" s="7">
        <f>IF($D62="","",0)</f>
      </c>
      <c r="N62" s="7">
        <f>IF($D62="","",0)</f>
      </c>
      <c r="O62" s="7">
        <f>IF($D62="","",IF(OR(L62=0,J62="",IFERROR(INDEX('Challan Master'!$D$4:$D$207,MATCH($B62,'Challan Master'!$S$4:$S$207,0)),"")="",IFERROR(INDEX('Challan Master'!$D$4:$D$207,MATCH($B62,'Challan Master'!$S$4:$S$207,0)),"")&lt;=0),0,IF(IFERROR(INDEX('Challan Master'!$D$4:$D$207,MATCH($B62,'Challan Master'!$S$4:$S$207,0)),"")&lt;=DATE(YEAR(J62),MONTH(J62)+1,7),0,ROUND(L62*0.015*((YEAR(IFERROR(INDEX('Challan Master'!$D$4:$D$207,MATCH($B62,'Challan Master'!$S$4:$S$207,0)),""))-YEAR(J62))*12+(MONTH(IFERROR(INDEX('Challan Master'!$D$4:$D$207,MATCH($B62,'Challan Master'!$S$4:$S$207,0)),""))-MONTH(J62))+1),0))))</f>
      </c>
      <c r="P62" s="7">
        <f>IF($D62="","",0)</f>
      </c>
      <c r="Q62" s="8"/>
      <c r="R62" s="8"/>
      <c r="S62" s="8"/>
      <c r="T62" s="8"/>
      <c r="U62" s="8"/>
      <c r="V62" s="7">
        <f>IF($B62="","",IFERROR(INDEX('Challan Master'!$AA$4:$AA$207,MATCH($B62,'Challan Master'!$S$4:$S$207,0)),""))</f>
      </c>
    </row>
    <row r="63" spans="1:22" x14ac:dyDescent="0.25">
      <c r="A63" s="7">
        <f>IF($D63="","",COUNTIF($D$4:$D63,"&lt;&gt;"))</f>
      </c>
      <c r="B63" s="8"/>
      <c r="C63" s="7">
        <f>IF($B63="","","BSR "&amp;IFERROR(INDEX('Challan Master'!$B$4:$B$207,MATCH($B63,'Challan Master'!$S$4:$S$207,0)),"")&amp;" | Serial "&amp;IFERROR(INDEX('Challan Master'!$C$4:$C$207,MATCH($B63,'Challan Master'!$S$4:$S$207,0)),"")&amp;" | Deposit "&amp;TEXT(IFERROR(INDEX('Challan Master'!$D$4:$D$207,MATCH($B63,'Challan Master'!$S$4:$S$207,0)),""),"dd-mm-yyyy")&amp;" | Minor Head "&amp;IFERROR(INDEX('Challan Master'!$E$4:$E$207,MATCH($B63,'Challan Master'!$S$4:$S$207,0)),"")&amp;" | Tax ₹"&amp;TEXT(IFERROR(INDEX('Challan Master'!$G$4:$G$207,MATCH($B63,'Challan Master'!$S$4:$S$207,0)),""),"#,##0")&amp;" | Section "&amp;IFERROR(INDEX('Challan Master'!$F$4:$F$207,MATCH($B63,'Challan Master'!$S$4:$S$207,0)),""))</f>
      </c>
      <c r="D63" s="8"/>
      <c r="E63" s="8"/>
      <c r="F63" s="7">
        <f>IF($D63="","",IF(AND(LEN(TRIM(UPPER(E63)))=10,CODE(MID(TRIM(UPPER(E63)),1,1))&gt;=65,CODE(MID(TRIM(UPPER(E63)),1,1))&lt;=90,CODE(MID(TRIM(UPPER(E63)),2,1))&gt;=65,CODE(MID(TRIM(UPPER(E63)),2,1))&lt;=90,CODE(MID(TRIM(UPPER(E63)),3,1))&gt;=65,CODE(MID(TRIM(UPPER(E63)),3,1))&lt;=90,CODE(MID(TRIM(UPPER(E63)),4,1))&gt;=65,CODE(MID(TRIM(UPPER(E63)),4,1))&lt;=90,CODE(MID(TRIM(UPPER(E63)),5,1))&gt;=65,CODE(MID(TRIM(UPPER(E63)),5,1))&lt;=90,CODE(MID(TRIM(UPPER(E63)),10,1))&gt;=65,CODE(MID(TRIM(UPPER(E63)),10,1))&lt;=90,CODE(MID(TRIM(UPPER(E63)),6,1))&gt;=48,CODE(MID(TRIM(UPPER(E63)),6,1))&lt;=57,CODE(MID(TRIM(UPPER(E63)),7,1))&gt;=48,CODE(MID(TRIM(UPPER(E63)),7,1))&lt;=57,CODE(MID(TRIM(UPPER(E63)),8,1))&gt;=48,CODE(MID(TRIM(UPPER(E63)),8,1))&lt;=57,CODE(MID(TRIM(UPPER(E63)),9,1))&gt;=48,CODE(MID(TRIM(UPPER(E63)),9,1))&lt;=57),"N","Y"))</f>
      </c>
      <c r="G63" s="7">
        <f>IF($D63="","",IF(LEN(E63)&lt;4,"",IF(UPPER(MID(E63,4,1))="P","Individual",IF(UPPER(MID(E63,4,1))="H","HUF",IF(UPPER(MID(E63,4,1))="C","Company",IF(UPPER(MID(E63,4,1))="F","Firm",IF(UPPER(MID(E63,4,1))="L","LLP",IF(UPPER(MID(E63,4,1))="T","Trust",IF(UPPER(MID(E63,4,1))="A","AOP","")))))))))</f>
      </c>
      <c r="H63" s="8"/>
      <c r="I63" s="7">
        <f>IF($D63="","",IF(H63="","",IF(F63="Y",SUMPRODUCT(('Rate Lookup'!$A$1:$A$37=H63)*'Rate Lookup'!$D$1:$D$37),IF(OR(G63="Individual",G63="HUF"),SUMPRODUCT(('Rate Lookup'!$A$1:$A$37=H63)*'Rate Lookup'!$B$1:$B$37),SUMPRODUCT(('Rate Lookup'!$A$1:$A$37=H63)*'Rate Lookup'!$C$1:$C$37)))))</f>
      </c>
      <c r="J63" s="8"/>
      <c r="K63" s="8"/>
      <c r="L63" s="7">
        <f>IF($D63="","",ROUND(K63*I63/100,0))</f>
      </c>
      <c r="M63" s="7">
        <f>IF($D63="","",0)</f>
      </c>
      <c r="N63" s="7">
        <f>IF($D63="","",0)</f>
      </c>
      <c r="O63" s="7">
        <f>IF($D63="","",IF(OR(L63=0,J63="",IFERROR(INDEX('Challan Master'!$D$4:$D$207,MATCH($B63,'Challan Master'!$S$4:$S$207,0)),"")="",IFERROR(INDEX('Challan Master'!$D$4:$D$207,MATCH($B63,'Challan Master'!$S$4:$S$207,0)),"")&lt;=0),0,IF(IFERROR(INDEX('Challan Master'!$D$4:$D$207,MATCH($B63,'Challan Master'!$S$4:$S$207,0)),"")&lt;=DATE(YEAR(J63),MONTH(J63)+1,7),0,ROUND(L63*0.015*((YEAR(IFERROR(INDEX('Challan Master'!$D$4:$D$207,MATCH($B63,'Challan Master'!$S$4:$S$207,0)),""))-YEAR(J63))*12+(MONTH(IFERROR(INDEX('Challan Master'!$D$4:$D$207,MATCH($B63,'Challan Master'!$S$4:$S$207,0)),""))-MONTH(J63))+1),0))))</f>
      </c>
      <c r="P63" s="7">
        <f>IF($D63="","",0)</f>
      </c>
      <c r="Q63" s="8"/>
      <c r="R63" s="8"/>
      <c r="S63" s="8"/>
      <c r="T63" s="8"/>
      <c r="U63" s="8"/>
      <c r="V63" s="7">
        <f>IF($B63="","",IFERROR(INDEX('Challan Master'!$AA$4:$AA$207,MATCH($B63,'Challan Master'!$S$4:$S$207,0)),""))</f>
      </c>
    </row>
    <row r="64" spans="1:22" x14ac:dyDescent="0.25">
      <c r="A64" s="7">
        <f>IF($D64="","",COUNTIF($D$4:$D64,"&lt;&gt;"))</f>
      </c>
      <c r="B64" s="8"/>
      <c r="C64" s="7">
        <f>IF($B64="","","BSR "&amp;IFERROR(INDEX('Challan Master'!$B$4:$B$207,MATCH($B64,'Challan Master'!$S$4:$S$207,0)),"")&amp;" | Serial "&amp;IFERROR(INDEX('Challan Master'!$C$4:$C$207,MATCH($B64,'Challan Master'!$S$4:$S$207,0)),"")&amp;" | Deposit "&amp;TEXT(IFERROR(INDEX('Challan Master'!$D$4:$D$207,MATCH($B64,'Challan Master'!$S$4:$S$207,0)),""),"dd-mm-yyyy")&amp;" | Minor Head "&amp;IFERROR(INDEX('Challan Master'!$E$4:$E$207,MATCH($B64,'Challan Master'!$S$4:$S$207,0)),"")&amp;" | Tax ₹"&amp;TEXT(IFERROR(INDEX('Challan Master'!$G$4:$G$207,MATCH($B64,'Challan Master'!$S$4:$S$207,0)),""),"#,##0")&amp;" | Section "&amp;IFERROR(INDEX('Challan Master'!$F$4:$F$207,MATCH($B64,'Challan Master'!$S$4:$S$207,0)),""))</f>
      </c>
      <c r="D64" s="8"/>
      <c r="E64" s="8"/>
      <c r="F64" s="7">
        <f>IF($D64="","",IF(AND(LEN(TRIM(UPPER(E64)))=10,CODE(MID(TRIM(UPPER(E64)),1,1))&gt;=65,CODE(MID(TRIM(UPPER(E64)),1,1))&lt;=90,CODE(MID(TRIM(UPPER(E64)),2,1))&gt;=65,CODE(MID(TRIM(UPPER(E64)),2,1))&lt;=90,CODE(MID(TRIM(UPPER(E64)),3,1))&gt;=65,CODE(MID(TRIM(UPPER(E64)),3,1))&lt;=90,CODE(MID(TRIM(UPPER(E64)),4,1))&gt;=65,CODE(MID(TRIM(UPPER(E64)),4,1))&lt;=90,CODE(MID(TRIM(UPPER(E64)),5,1))&gt;=65,CODE(MID(TRIM(UPPER(E64)),5,1))&lt;=90,CODE(MID(TRIM(UPPER(E64)),10,1))&gt;=65,CODE(MID(TRIM(UPPER(E64)),10,1))&lt;=90,CODE(MID(TRIM(UPPER(E64)),6,1))&gt;=48,CODE(MID(TRIM(UPPER(E64)),6,1))&lt;=57,CODE(MID(TRIM(UPPER(E64)),7,1))&gt;=48,CODE(MID(TRIM(UPPER(E64)),7,1))&lt;=57,CODE(MID(TRIM(UPPER(E64)),8,1))&gt;=48,CODE(MID(TRIM(UPPER(E64)),8,1))&lt;=57,CODE(MID(TRIM(UPPER(E64)),9,1))&gt;=48,CODE(MID(TRIM(UPPER(E64)),9,1))&lt;=57),"N","Y"))</f>
      </c>
      <c r="G64" s="7">
        <f>IF($D64="","",IF(LEN(E64)&lt;4,"",IF(UPPER(MID(E64,4,1))="P","Individual",IF(UPPER(MID(E64,4,1))="H","HUF",IF(UPPER(MID(E64,4,1))="C","Company",IF(UPPER(MID(E64,4,1))="F","Firm",IF(UPPER(MID(E64,4,1))="L","LLP",IF(UPPER(MID(E64,4,1))="T","Trust",IF(UPPER(MID(E64,4,1))="A","AOP","")))))))))</f>
      </c>
      <c r="H64" s="8"/>
      <c r="I64" s="7">
        <f>IF($D64="","",IF(H64="","",IF(F64="Y",SUMPRODUCT(('Rate Lookup'!$A$1:$A$37=H64)*'Rate Lookup'!$D$1:$D$37),IF(OR(G64="Individual",G64="HUF"),SUMPRODUCT(('Rate Lookup'!$A$1:$A$37=H64)*'Rate Lookup'!$B$1:$B$37),SUMPRODUCT(('Rate Lookup'!$A$1:$A$37=H64)*'Rate Lookup'!$C$1:$C$37)))))</f>
      </c>
      <c r="J64" s="8"/>
      <c r="K64" s="8"/>
      <c r="L64" s="7">
        <f>IF($D64="","",ROUND(K64*I64/100,0))</f>
      </c>
      <c r="M64" s="7">
        <f>IF($D64="","",0)</f>
      </c>
      <c r="N64" s="7">
        <f>IF($D64="","",0)</f>
      </c>
      <c r="O64" s="7">
        <f>IF($D64="","",IF(OR(L64=0,J64="",IFERROR(INDEX('Challan Master'!$D$4:$D$207,MATCH($B64,'Challan Master'!$S$4:$S$207,0)),"")="",IFERROR(INDEX('Challan Master'!$D$4:$D$207,MATCH($B64,'Challan Master'!$S$4:$S$207,0)),"")&lt;=0),0,IF(IFERROR(INDEX('Challan Master'!$D$4:$D$207,MATCH($B64,'Challan Master'!$S$4:$S$207,0)),"")&lt;=DATE(YEAR(J64),MONTH(J64)+1,7),0,ROUND(L64*0.015*((YEAR(IFERROR(INDEX('Challan Master'!$D$4:$D$207,MATCH($B64,'Challan Master'!$S$4:$S$207,0)),""))-YEAR(J64))*12+(MONTH(IFERROR(INDEX('Challan Master'!$D$4:$D$207,MATCH($B64,'Challan Master'!$S$4:$S$207,0)),""))-MONTH(J64))+1),0))))</f>
      </c>
      <c r="P64" s="7">
        <f>IF($D64="","",0)</f>
      </c>
      <c r="Q64" s="8"/>
      <c r="R64" s="8"/>
      <c r="S64" s="8"/>
      <c r="T64" s="8"/>
      <c r="U64" s="8"/>
      <c r="V64" s="7">
        <f>IF($B64="","",IFERROR(INDEX('Challan Master'!$AA$4:$AA$207,MATCH($B64,'Challan Master'!$S$4:$S$207,0)),""))</f>
      </c>
    </row>
    <row r="65" spans="1:22" x14ac:dyDescent="0.25">
      <c r="A65" s="7">
        <f>IF($D65="","",COUNTIF($D$4:$D65,"&lt;&gt;"))</f>
      </c>
      <c r="B65" s="8"/>
      <c r="C65" s="7">
        <f>IF($B65="","","BSR "&amp;IFERROR(INDEX('Challan Master'!$B$4:$B$207,MATCH($B65,'Challan Master'!$S$4:$S$207,0)),"")&amp;" | Serial "&amp;IFERROR(INDEX('Challan Master'!$C$4:$C$207,MATCH($B65,'Challan Master'!$S$4:$S$207,0)),"")&amp;" | Deposit "&amp;TEXT(IFERROR(INDEX('Challan Master'!$D$4:$D$207,MATCH($B65,'Challan Master'!$S$4:$S$207,0)),""),"dd-mm-yyyy")&amp;" | Minor Head "&amp;IFERROR(INDEX('Challan Master'!$E$4:$E$207,MATCH($B65,'Challan Master'!$S$4:$S$207,0)),"")&amp;" | Tax ₹"&amp;TEXT(IFERROR(INDEX('Challan Master'!$G$4:$G$207,MATCH($B65,'Challan Master'!$S$4:$S$207,0)),""),"#,##0")&amp;" | Section "&amp;IFERROR(INDEX('Challan Master'!$F$4:$F$207,MATCH($B65,'Challan Master'!$S$4:$S$207,0)),""))</f>
      </c>
      <c r="D65" s="8"/>
      <c r="E65" s="8"/>
      <c r="F65" s="7">
        <f>IF($D65="","",IF(AND(LEN(TRIM(UPPER(E65)))=10,CODE(MID(TRIM(UPPER(E65)),1,1))&gt;=65,CODE(MID(TRIM(UPPER(E65)),1,1))&lt;=90,CODE(MID(TRIM(UPPER(E65)),2,1))&gt;=65,CODE(MID(TRIM(UPPER(E65)),2,1))&lt;=90,CODE(MID(TRIM(UPPER(E65)),3,1))&gt;=65,CODE(MID(TRIM(UPPER(E65)),3,1))&lt;=90,CODE(MID(TRIM(UPPER(E65)),4,1))&gt;=65,CODE(MID(TRIM(UPPER(E65)),4,1))&lt;=90,CODE(MID(TRIM(UPPER(E65)),5,1))&gt;=65,CODE(MID(TRIM(UPPER(E65)),5,1))&lt;=90,CODE(MID(TRIM(UPPER(E65)),10,1))&gt;=65,CODE(MID(TRIM(UPPER(E65)),10,1))&lt;=90,CODE(MID(TRIM(UPPER(E65)),6,1))&gt;=48,CODE(MID(TRIM(UPPER(E65)),6,1))&lt;=57,CODE(MID(TRIM(UPPER(E65)),7,1))&gt;=48,CODE(MID(TRIM(UPPER(E65)),7,1))&lt;=57,CODE(MID(TRIM(UPPER(E65)),8,1))&gt;=48,CODE(MID(TRIM(UPPER(E65)),8,1))&lt;=57,CODE(MID(TRIM(UPPER(E65)),9,1))&gt;=48,CODE(MID(TRIM(UPPER(E65)),9,1))&lt;=57),"N","Y"))</f>
      </c>
      <c r="G65" s="7">
        <f>IF($D65="","",IF(LEN(E65)&lt;4,"",IF(UPPER(MID(E65,4,1))="P","Individual",IF(UPPER(MID(E65,4,1))="H","HUF",IF(UPPER(MID(E65,4,1))="C","Company",IF(UPPER(MID(E65,4,1))="F","Firm",IF(UPPER(MID(E65,4,1))="L","LLP",IF(UPPER(MID(E65,4,1))="T","Trust",IF(UPPER(MID(E65,4,1))="A","AOP","")))))))))</f>
      </c>
      <c r="H65" s="8"/>
      <c r="I65" s="7">
        <f>IF($D65="","",IF(H65="","",IF(F65="Y",SUMPRODUCT(('Rate Lookup'!$A$1:$A$37=H65)*'Rate Lookup'!$D$1:$D$37),IF(OR(G65="Individual",G65="HUF"),SUMPRODUCT(('Rate Lookup'!$A$1:$A$37=H65)*'Rate Lookup'!$B$1:$B$37),SUMPRODUCT(('Rate Lookup'!$A$1:$A$37=H65)*'Rate Lookup'!$C$1:$C$37)))))</f>
      </c>
      <c r="J65" s="8"/>
      <c r="K65" s="8"/>
      <c r="L65" s="7">
        <f>IF($D65="","",ROUND(K65*I65/100,0))</f>
      </c>
      <c r="M65" s="7">
        <f>IF($D65="","",0)</f>
      </c>
      <c r="N65" s="7">
        <f>IF($D65="","",0)</f>
      </c>
      <c r="O65" s="7">
        <f>IF($D65="","",IF(OR(L65=0,J65="",IFERROR(INDEX('Challan Master'!$D$4:$D$207,MATCH($B65,'Challan Master'!$S$4:$S$207,0)),"")="",IFERROR(INDEX('Challan Master'!$D$4:$D$207,MATCH($B65,'Challan Master'!$S$4:$S$207,0)),"")&lt;=0),0,IF(IFERROR(INDEX('Challan Master'!$D$4:$D$207,MATCH($B65,'Challan Master'!$S$4:$S$207,0)),"")&lt;=DATE(YEAR(J65),MONTH(J65)+1,7),0,ROUND(L65*0.015*((YEAR(IFERROR(INDEX('Challan Master'!$D$4:$D$207,MATCH($B65,'Challan Master'!$S$4:$S$207,0)),""))-YEAR(J65))*12+(MONTH(IFERROR(INDEX('Challan Master'!$D$4:$D$207,MATCH($B65,'Challan Master'!$S$4:$S$207,0)),""))-MONTH(J65))+1),0))))</f>
      </c>
      <c r="P65" s="7">
        <f>IF($D65="","",0)</f>
      </c>
      <c r="Q65" s="8"/>
      <c r="R65" s="8"/>
      <c r="S65" s="8"/>
      <c r="T65" s="8"/>
      <c r="U65" s="8"/>
      <c r="V65" s="7">
        <f>IF($B65="","",IFERROR(INDEX('Challan Master'!$AA$4:$AA$207,MATCH($B65,'Challan Master'!$S$4:$S$207,0)),""))</f>
      </c>
    </row>
    <row r="66" spans="1:22" x14ac:dyDescent="0.25">
      <c r="A66" s="7">
        <f>IF($D66="","",COUNTIF($D$4:$D66,"&lt;&gt;"))</f>
      </c>
      <c r="B66" s="8"/>
      <c r="C66" s="7">
        <f>IF($B66="","","BSR "&amp;IFERROR(INDEX('Challan Master'!$B$4:$B$207,MATCH($B66,'Challan Master'!$S$4:$S$207,0)),"")&amp;" | Serial "&amp;IFERROR(INDEX('Challan Master'!$C$4:$C$207,MATCH($B66,'Challan Master'!$S$4:$S$207,0)),"")&amp;" | Deposit "&amp;TEXT(IFERROR(INDEX('Challan Master'!$D$4:$D$207,MATCH($B66,'Challan Master'!$S$4:$S$207,0)),""),"dd-mm-yyyy")&amp;" | Minor Head "&amp;IFERROR(INDEX('Challan Master'!$E$4:$E$207,MATCH($B66,'Challan Master'!$S$4:$S$207,0)),"")&amp;" | Tax ₹"&amp;TEXT(IFERROR(INDEX('Challan Master'!$G$4:$G$207,MATCH($B66,'Challan Master'!$S$4:$S$207,0)),""),"#,##0")&amp;" | Section "&amp;IFERROR(INDEX('Challan Master'!$F$4:$F$207,MATCH($B66,'Challan Master'!$S$4:$S$207,0)),""))</f>
      </c>
      <c r="D66" s="8"/>
      <c r="E66" s="8"/>
      <c r="F66" s="7">
        <f>IF($D66="","",IF(AND(LEN(TRIM(UPPER(E66)))=10,CODE(MID(TRIM(UPPER(E66)),1,1))&gt;=65,CODE(MID(TRIM(UPPER(E66)),1,1))&lt;=90,CODE(MID(TRIM(UPPER(E66)),2,1))&gt;=65,CODE(MID(TRIM(UPPER(E66)),2,1))&lt;=90,CODE(MID(TRIM(UPPER(E66)),3,1))&gt;=65,CODE(MID(TRIM(UPPER(E66)),3,1))&lt;=90,CODE(MID(TRIM(UPPER(E66)),4,1))&gt;=65,CODE(MID(TRIM(UPPER(E66)),4,1))&lt;=90,CODE(MID(TRIM(UPPER(E66)),5,1))&gt;=65,CODE(MID(TRIM(UPPER(E66)),5,1))&lt;=90,CODE(MID(TRIM(UPPER(E66)),10,1))&gt;=65,CODE(MID(TRIM(UPPER(E66)),10,1))&lt;=90,CODE(MID(TRIM(UPPER(E66)),6,1))&gt;=48,CODE(MID(TRIM(UPPER(E66)),6,1))&lt;=57,CODE(MID(TRIM(UPPER(E66)),7,1))&gt;=48,CODE(MID(TRIM(UPPER(E66)),7,1))&lt;=57,CODE(MID(TRIM(UPPER(E66)),8,1))&gt;=48,CODE(MID(TRIM(UPPER(E66)),8,1))&lt;=57,CODE(MID(TRIM(UPPER(E66)),9,1))&gt;=48,CODE(MID(TRIM(UPPER(E66)),9,1))&lt;=57),"N","Y"))</f>
      </c>
      <c r="G66" s="7">
        <f>IF($D66="","",IF(LEN(E66)&lt;4,"",IF(UPPER(MID(E66,4,1))="P","Individual",IF(UPPER(MID(E66,4,1))="H","HUF",IF(UPPER(MID(E66,4,1))="C","Company",IF(UPPER(MID(E66,4,1))="F","Firm",IF(UPPER(MID(E66,4,1))="L","LLP",IF(UPPER(MID(E66,4,1))="T","Trust",IF(UPPER(MID(E66,4,1))="A","AOP","")))))))))</f>
      </c>
      <c r="H66" s="8"/>
      <c r="I66" s="7">
        <f>IF($D66="","",IF(H66="","",IF(F66="Y",SUMPRODUCT(('Rate Lookup'!$A$1:$A$37=H66)*'Rate Lookup'!$D$1:$D$37),IF(OR(G66="Individual",G66="HUF"),SUMPRODUCT(('Rate Lookup'!$A$1:$A$37=H66)*'Rate Lookup'!$B$1:$B$37),SUMPRODUCT(('Rate Lookup'!$A$1:$A$37=H66)*'Rate Lookup'!$C$1:$C$37)))))</f>
      </c>
      <c r="J66" s="8"/>
      <c r="K66" s="8"/>
      <c r="L66" s="7">
        <f>IF($D66="","",ROUND(K66*I66/100,0))</f>
      </c>
      <c r="M66" s="7">
        <f>IF($D66="","",0)</f>
      </c>
      <c r="N66" s="7">
        <f>IF($D66="","",0)</f>
      </c>
      <c r="O66" s="7">
        <f>IF($D66="","",IF(OR(L66=0,J66="",IFERROR(INDEX('Challan Master'!$D$4:$D$207,MATCH($B66,'Challan Master'!$S$4:$S$207,0)),"")="",IFERROR(INDEX('Challan Master'!$D$4:$D$207,MATCH($B66,'Challan Master'!$S$4:$S$207,0)),"")&lt;=0),0,IF(IFERROR(INDEX('Challan Master'!$D$4:$D$207,MATCH($B66,'Challan Master'!$S$4:$S$207,0)),"")&lt;=DATE(YEAR(J66),MONTH(J66)+1,7),0,ROUND(L66*0.015*((YEAR(IFERROR(INDEX('Challan Master'!$D$4:$D$207,MATCH($B66,'Challan Master'!$S$4:$S$207,0)),""))-YEAR(J66))*12+(MONTH(IFERROR(INDEX('Challan Master'!$D$4:$D$207,MATCH($B66,'Challan Master'!$S$4:$S$207,0)),""))-MONTH(J66))+1),0))))</f>
      </c>
      <c r="P66" s="7">
        <f>IF($D66="","",0)</f>
      </c>
      <c r="Q66" s="8"/>
      <c r="R66" s="8"/>
      <c r="S66" s="8"/>
      <c r="T66" s="8"/>
      <c r="U66" s="8"/>
      <c r="V66" s="7">
        <f>IF($B66="","",IFERROR(INDEX('Challan Master'!$AA$4:$AA$207,MATCH($B66,'Challan Master'!$S$4:$S$207,0)),""))</f>
      </c>
    </row>
    <row r="67" spans="1:22" x14ac:dyDescent="0.25">
      <c r="A67" s="7">
        <f>IF($D67="","",COUNTIF($D$4:$D67,"&lt;&gt;"))</f>
      </c>
      <c r="B67" s="8"/>
      <c r="C67" s="7">
        <f>IF($B67="","","BSR "&amp;IFERROR(INDEX('Challan Master'!$B$4:$B$207,MATCH($B67,'Challan Master'!$S$4:$S$207,0)),"")&amp;" | Serial "&amp;IFERROR(INDEX('Challan Master'!$C$4:$C$207,MATCH($B67,'Challan Master'!$S$4:$S$207,0)),"")&amp;" | Deposit "&amp;TEXT(IFERROR(INDEX('Challan Master'!$D$4:$D$207,MATCH($B67,'Challan Master'!$S$4:$S$207,0)),""),"dd-mm-yyyy")&amp;" | Minor Head "&amp;IFERROR(INDEX('Challan Master'!$E$4:$E$207,MATCH($B67,'Challan Master'!$S$4:$S$207,0)),"")&amp;" | Tax ₹"&amp;TEXT(IFERROR(INDEX('Challan Master'!$G$4:$G$207,MATCH($B67,'Challan Master'!$S$4:$S$207,0)),""),"#,##0")&amp;" | Section "&amp;IFERROR(INDEX('Challan Master'!$F$4:$F$207,MATCH($B67,'Challan Master'!$S$4:$S$207,0)),""))</f>
      </c>
      <c r="D67" s="8"/>
      <c r="E67" s="8"/>
      <c r="F67" s="7">
        <f>IF($D67="","",IF(AND(LEN(TRIM(UPPER(E67)))=10,CODE(MID(TRIM(UPPER(E67)),1,1))&gt;=65,CODE(MID(TRIM(UPPER(E67)),1,1))&lt;=90,CODE(MID(TRIM(UPPER(E67)),2,1))&gt;=65,CODE(MID(TRIM(UPPER(E67)),2,1))&lt;=90,CODE(MID(TRIM(UPPER(E67)),3,1))&gt;=65,CODE(MID(TRIM(UPPER(E67)),3,1))&lt;=90,CODE(MID(TRIM(UPPER(E67)),4,1))&gt;=65,CODE(MID(TRIM(UPPER(E67)),4,1))&lt;=90,CODE(MID(TRIM(UPPER(E67)),5,1))&gt;=65,CODE(MID(TRIM(UPPER(E67)),5,1))&lt;=90,CODE(MID(TRIM(UPPER(E67)),10,1))&gt;=65,CODE(MID(TRIM(UPPER(E67)),10,1))&lt;=90,CODE(MID(TRIM(UPPER(E67)),6,1))&gt;=48,CODE(MID(TRIM(UPPER(E67)),6,1))&lt;=57,CODE(MID(TRIM(UPPER(E67)),7,1))&gt;=48,CODE(MID(TRIM(UPPER(E67)),7,1))&lt;=57,CODE(MID(TRIM(UPPER(E67)),8,1))&gt;=48,CODE(MID(TRIM(UPPER(E67)),8,1))&lt;=57,CODE(MID(TRIM(UPPER(E67)),9,1))&gt;=48,CODE(MID(TRIM(UPPER(E67)),9,1))&lt;=57),"N","Y"))</f>
      </c>
      <c r="G67" s="7">
        <f>IF($D67="","",IF(LEN(E67)&lt;4,"",IF(UPPER(MID(E67,4,1))="P","Individual",IF(UPPER(MID(E67,4,1))="H","HUF",IF(UPPER(MID(E67,4,1))="C","Company",IF(UPPER(MID(E67,4,1))="F","Firm",IF(UPPER(MID(E67,4,1))="L","LLP",IF(UPPER(MID(E67,4,1))="T","Trust",IF(UPPER(MID(E67,4,1))="A","AOP","")))))))))</f>
      </c>
      <c r="H67" s="8"/>
      <c r="I67" s="7">
        <f>IF($D67="","",IF(H67="","",IF(F67="Y",SUMPRODUCT(('Rate Lookup'!$A$1:$A$37=H67)*'Rate Lookup'!$D$1:$D$37),IF(OR(G67="Individual",G67="HUF"),SUMPRODUCT(('Rate Lookup'!$A$1:$A$37=H67)*'Rate Lookup'!$B$1:$B$37),SUMPRODUCT(('Rate Lookup'!$A$1:$A$37=H67)*'Rate Lookup'!$C$1:$C$37)))))</f>
      </c>
      <c r="J67" s="8"/>
      <c r="K67" s="8"/>
      <c r="L67" s="7">
        <f>IF($D67="","",ROUND(K67*I67/100,0))</f>
      </c>
      <c r="M67" s="7">
        <f>IF($D67="","",0)</f>
      </c>
      <c r="N67" s="7">
        <f>IF($D67="","",0)</f>
      </c>
      <c r="O67" s="7">
        <f>IF($D67="","",IF(OR(L67=0,J67="",IFERROR(INDEX('Challan Master'!$D$4:$D$207,MATCH($B67,'Challan Master'!$S$4:$S$207,0)),"")="",IFERROR(INDEX('Challan Master'!$D$4:$D$207,MATCH($B67,'Challan Master'!$S$4:$S$207,0)),"")&lt;=0),0,IF(IFERROR(INDEX('Challan Master'!$D$4:$D$207,MATCH($B67,'Challan Master'!$S$4:$S$207,0)),"")&lt;=DATE(YEAR(J67),MONTH(J67)+1,7),0,ROUND(L67*0.015*((YEAR(IFERROR(INDEX('Challan Master'!$D$4:$D$207,MATCH($B67,'Challan Master'!$S$4:$S$207,0)),""))-YEAR(J67))*12+(MONTH(IFERROR(INDEX('Challan Master'!$D$4:$D$207,MATCH($B67,'Challan Master'!$S$4:$S$207,0)),""))-MONTH(J67))+1),0))))</f>
      </c>
      <c r="P67" s="7">
        <f>IF($D67="","",0)</f>
      </c>
      <c r="Q67" s="8"/>
      <c r="R67" s="8"/>
      <c r="S67" s="8"/>
      <c r="T67" s="8"/>
      <c r="U67" s="8"/>
      <c r="V67" s="7">
        <f>IF($B67="","",IFERROR(INDEX('Challan Master'!$AA$4:$AA$207,MATCH($B67,'Challan Master'!$S$4:$S$207,0)),""))</f>
      </c>
    </row>
    <row r="68" spans="1:22" x14ac:dyDescent="0.25">
      <c r="A68" s="7">
        <f>IF($D68="","",COUNTIF($D$4:$D68,"&lt;&gt;"))</f>
      </c>
      <c r="B68" s="8"/>
      <c r="C68" s="7">
        <f>IF($B68="","","BSR "&amp;IFERROR(INDEX('Challan Master'!$B$4:$B$207,MATCH($B68,'Challan Master'!$S$4:$S$207,0)),"")&amp;" | Serial "&amp;IFERROR(INDEX('Challan Master'!$C$4:$C$207,MATCH($B68,'Challan Master'!$S$4:$S$207,0)),"")&amp;" | Deposit "&amp;TEXT(IFERROR(INDEX('Challan Master'!$D$4:$D$207,MATCH($B68,'Challan Master'!$S$4:$S$207,0)),""),"dd-mm-yyyy")&amp;" | Minor Head "&amp;IFERROR(INDEX('Challan Master'!$E$4:$E$207,MATCH($B68,'Challan Master'!$S$4:$S$207,0)),"")&amp;" | Tax ₹"&amp;TEXT(IFERROR(INDEX('Challan Master'!$G$4:$G$207,MATCH($B68,'Challan Master'!$S$4:$S$207,0)),""),"#,##0")&amp;" | Section "&amp;IFERROR(INDEX('Challan Master'!$F$4:$F$207,MATCH($B68,'Challan Master'!$S$4:$S$207,0)),""))</f>
      </c>
      <c r="D68" s="8"/>
      <c r="E68" s="8"/>
      <c r="F68" s="7">
        <f>IF($D68="","",IF(AND(LEN(TRIM(UPPER(E68)))=10,CODE(MID(TRIM(UPPER(E68)),1,1))&gt;=65,CODE(MID(TRIM(UPPER(E68)),1,1))&lt;=90,CODE(MID(TRIM(UPPER(E68)),2,1))&gt;=65,CODE(MID(TRIM(UPPER(E68)),2,1))&lt;=90,CODE(MID(TRIM(UPPER(E68)),3,1))&gt;=65,CODE(MID(TRIM(UPPER(E68)),3,1))&lt;=90,CODE(MID(TRIM(UPPER(E68)),4,1))&gt;=65,CODE(MID(TRIM(UPPER(E68)),4,1))&lt;=90,CODE(MID(TRIM(UPPER(E68)),5,1))&gt;=65,CODE(MID(TRIM(UPPER(E68)),5,1))&lt;=90,CODE(MID(TRIM(UPPER(E68)),10,1))&gt;=65,CODE(MID(TRIM(UPPER(E68)),10,1))&lt;=90,CODE(MID(TRIM(UPPER(E68)),6,1))&gt;=48,CODE(MID(TRIM(UPPER(E68)),6,1))&lt;=57,CODE(MID(TRIM(UPPER(E68)),7,1))&gt;=48,CODE(MID(TRIM(UPPER(E68)),7,1))&lt;=57,CODE(MID(TRIM(UPPER(E68)),8,1))&gt;=48,CODE(MID(TRIM(UPPER(E68)),8,1))&lt;=57,CODE(MID(TRIM(UPPER(E68)),9,1))&gt;=48,CODE(MID(TRIM(UPPER(E68)),9,1))&lt;=57),"N","Y"))</f>
      </c>
      <c r="G68" s="7">
        <f>IF($D68="","",IF(LEN(E68)&lt;4,"",IF(UPPER(MID(E68,4,1))="P","Individual",IF(UPPER(MID(E68,4,1))="H","HUF",IF(UPPER(MID(E68,4,1))="C","Company",IF(UPPER(MID(E68,4,1))="F","Firm",IF(UPPER(MID(E68,4,1))="L","LLP",IF(UPPER(MID(E68,4,1))="T","Trust",IF(UPPER(MID(E68,4,1))="A","AOP","")))))))))</f>
      </c>
      <c r="H68" s="8"/>
      <c r="I68" s="7">
        <f>IF($D68="","",IF(H68="","",IF(F68="Y",SUMPRODUCT(('Rate Lookup'!$A$1:$A$37=H68)*'Rate Lookup'!$D$1:$D$37),IF(OR(G68="Individual",G68="HUF"),SUMPRODUCT(('Rate Lookup'!$A$1:$A$37=H68)*'Rate Lookup'!$B$1:$B$37),SUMPRODUCT(('Rate Lookup'!$A$1:$A$37=H68)*'Rate Lookup'!$C$1:$C$37)))))</f>
      </c>
      <c r="J68" s="8"/>
      <c r="K68" s="8"/>
      <c r="L68" s="7">
        <f>IF($D68="","",ROUND(K68*I68/100,0))</f>
      </c>
      <c r="M68" s="7">
        <f>IF($D68="","",0)</f>
      </c>
      <c r="N68" s="7">
        <f>IF($D68="","",0)</f>
      </c>
      <c r="O68" s="7">
        <f>IF($D68="","",IF(OR(L68=0,J68="",IFERROR(INDEX('Challan Master'!$D$4:$D$207,MATCH($B68,'Challan Master'!$S$4:$S$207,0)),"")="",IFERROR(INDEX('Challan Master'!$D$4:$D$207,MATCH($B68,'Challan Master'!$S$4:$S$207,0)),"")&lt;=0),0,IF(IFERROR(INDEX('Challan Master'!$D$4:$D$207,MATCH($B68,'Challan Master'!$S$4:$S$207,0)),"")&lt;=DATE(YEAR(J68),MONTH(J68)+1,7),0,ROUND(L68*0.015*((YEAR(IFERROR(INDEX('Challan Master'!$D$4:$D$207,MATCH($B68,'Challan Master'!$S$4:$S$207,0)),""))-YEAR(J68))*12+(MONTH(IFERROR(INDEX('Challan Master'!$D$4:$D$207,MATCH($B68,'Challan Master'!$S$4:$S$207,0)),""))-MONTH(J68))+1),0))))</f>
      </c>
      <c r="P68" s="7">
        <f>IF($D68="","",0)</f>
      </c>
      <c r="Q68" s="8"/>
      <c r="R68" s="8"/>
      <c r="S68" s="8"/>
      <c r="T68" s="8"/>
      <c r="U68" s="8"/>
      <c r="V68" s="7">
        <f>IF($B68="","",IFERROR(INDEX('Challan Master'!$AA$4:$AA$207,MATCH($B68,'Challan Master'!$S$4:$S$207,0)),""))</f>
      </c>
    </row>
    <row r="69" spans="1:22" x14ac:dyDescent="0.25">
      <c r="A69" s="7">
        <f>IF($D69="","",COUNTIF($D$4:$D69,"&lt;&gt;"))</f>
      </c>
      <c r="B69" s="8"/>
      <c r="C69" s="7">
        <f>IF($B69="","","BSR "&amp;IFERROR(INDEX('Challan Master'!$B$4:$B$207,MATCH($B69,'Challan Master'!$S$4:$S$207,0)),"")&amp;" | Serial "&amp;IFERROR(INDEX('Challan Master'!$C$4:$C$207,MATCH($B69,'Challan Master'!$S$4:$S$207,0)),"")&amp;" | Deposit "&amp;TEXT(IFERROR(INDEX('Challan Master'!$D$4:$D$207,MATCH($B69,'Challan Master'!$S$4:$S$207,0)),""),"dd-mm-yyyy")&amp;" | Minor Head "&amp;IFERROR(INDEX('Challan Master'!$E$4:$E$207,MATCH($B69,'Challan Master'!$S$4:$S$207,0)),"")&amp;" | Tax ₹"&amp;TEXT(IFERROR(INDEX('Challan Master'!$G$4:$G$207,MATCH($B69,'Challan Master'!$S$4:$S$207,0)),""),"#,##0")&amp;" | Section "&amp;IFERROR(INDEX('Challan Master'!$F$4:$F$207,MATCH($B69,'Challan Master'!$S$4:$S$207,0)),""))</f>
      </c>
      <c r="D69" s="8"/>
      <c r="E69" s="8"/>
      <c r="F69" s="7">
        <f>IF($D69="","",IF(AND(LEN(TRIM(UPPER(E69)))=10,CODE(MID(TRIM(UPPER(E69)),1,1))&gt;=65,CODE(MID(TRIM(UPPER(E69)),1,1))&lt;=90,CODE(MID(TRIM(UPPER(E69)),2,1))&gt;=65,CODE(MID(TRIM(UPPER(E69)),2,1))&lt;=90,CODE(MID(TRIM(UPPER(E69)),3,1))&gt;=65,CODE(MID(TRIM(UPPER(E69)),3,1))&lt;=90,CODE(MID(TRIM(UPPER(E69)),4,1))&gt;=65,CODE(MID(TRIM(UPPER(E69)),4,1))&lt;=90,CODE(MID(TRIM(UPPER(E69)),5,1))&gt;=65,CODE(MID(TRIM(UPPER(E69)),5,1))&lt;=90,CODE(MID(TRIM(UPPER(E69)),10,1))&gt;=65,CODE(MID(TRIM(UPPER(E69)),10,1))&lt;=90,CODE(MID(TRIM(UPPER(E69)),6,1))&gt;=48,CODE(MID(TRIM(UPPER(E69)),6,1))&lt;=57,CODE(MID(TRIM(UPPER(E69)),7,1))&gt;=48,CODE(MID(TRIM(UPPER(E69)),7,1))&lt;=57,CODE(MID(TRIM(UPPER(E69)),8,1))&gt;=48,CODE(MID(TRIM(UPPER(E69)),8,1))&lt;=57,CODE(MID(TRIM(UPPER(E69)),9,1))&gt;=48,CODE(MID(TRIM(UPPER(E69)),9,1))&lt;=57),"N","Y"))</f>
      </c>
      <c r="G69" s="7">
        <f>IF($D69="","",IF(LEN(E69)&lt;4,"",IF(UPPER(MID(E69,4,1))="P","Individual",IF(UPPER(MID(E69,4,1))="H","HUF",IF(UPPER(MID(E69,4,1))="C","Company",IF(UPPER(MID(E69,4,1))="F","Firm",IF(UPPER(MID(E69,4,1))="L","LLP",IF(UPPER(MID(E69,4,1))="T","Trust",IF(UPPER(MID(E69,4,1))="A","AOP","")))))))))</f>
      </c>
      <c r="H69" s="8"/>
      <c r="I69" s="7">
        <f>IF($D69="","",IF(H69="","",IF(F69="Y",SUMPRODUCT(('Rate Lookup'!$A$1:$A$37=H69)*'Rate Lookup'!$D$1:$D$37),IF(OR(G69="Individual",G69="HUF"),SUMPRODUCT(('Rate Lookup'!$A$1:$A$37=H69)*'Rate Lookup'!$B$1:$B$37),SUMPRODUCT(('Rate Lookup'!$A$1:$A$37=H69)*'Rate Lookup'!$C$1:$C$37)))))</f>
      </c>
      <c r="J69" s="8"/>
      <c r="K69" s="8"/>
      <c r="L69" s="7">
        <f>IF($D69="","",ROUND(K69*I69/100,0))</f>
      </c>
      <c r="M69" s="7">
        <f>IF($D69="","",0)</f>
      </c>
      <c r="N69" s="7">
        <f>IF($D69="","",0)</f>
      </c>
      <c r="O69" s="7">
        <f>IF($D69="","",IF(OR(L69=0,J69="",IFERROR(INDEX('Challan Master'!$D$4:$D$207,MATCH($B69,'Challan Master'!$S$4:$S$207,0)),"")="",IFERROR(INDEX('Challan Master'!$D$4:$D$207,MATCH($B69,'Challan Master'!$S$4:$S$207,0)),"")&lt;=0),0,IF(IFERROR(INDEX('Challan Master'!$D$4:$D$207,MATCH($B69,'Challan Master'!$S$4:$S$207,0)),"")&lt;=DATE(YEAR(J69),MONTH(J69)+1,7),0,ROUND(L69*0.015*((YEAR(IFERROR(INDEX('Challan Master'!$D$4:$D$207,MATCH($B69,'Challan Master'!$S$4:$S$207,0)),""))-YEAR(J69))*12+(MONTH(IFERROR(INDEX('Challan Master'!$D$4:$D$207,MATCH($B69,'Challan Master'!$S$4:$S$207,0)),""))-MONTH(J69))+1),0))))</f>
      </c>
      <c r="P69" s="7">
        <f>IF($D69="","",0)</f>
      </c>
      <c r="Q69" s="8"/>
      <c r="R69" s="8"/>
      <c r="S69" s="8"/>
      <c r="T69" s="8"/>
      <c r="U69" s="8"/>
      <c r="V69" s="7">
        <f>IF($B69="","",IFERROR(INDEX('Challan Master'!$AA$4:$AA$207,MATCH($B69,'Challan Master'!$S$4:$S$207,0)),""))</f>
      </c>
    </row>
    <row r="70" spans="1:22" x14ac:dyDescent="0.25">
      <c r="A70" s="7">
        <f>IF($D70="","",COUNTIF($D$4:$D70,"&lt;&gt;"))</f>
      </c>
      <c r="B70" s="8"/>
      <c r="C70" s="7">
        <f>IF($B70="","","BSR "&amp;IFERROR(INDEX('Challan Master'!$B$4:$B$207,MATCH($B70,'Challan Master'!$S$4:$S$207,0)),"")&amp;" | Serial "&amp;IFERROR(INDEX('Challan Master'!$C$4:$C$207,MATCH($B70,'Challan Master'!$S$4:$S$207,0)),"")&amp;" | Deposit "&amp;TEXT(IFERROR(INDEX('Challan Master'!$D$4:$D$207,MATCH($B70,'Challan Master'!$S$4:$S$207,0)),""),"dd-mm-yyyy")&amp;" | Minor Head "&amp;IFERROR(INDEX('Challan Master'!$E$4:$E$207,MATCH($B70,'Challan Master'!$S$4:$S$207,0)),"")&amp;" | Tax ₹"&amp;TEXT(IFERROR(INDEX('Challan Master'!$G$4:$G$207,MATCH($B70,'Challan Master'!$S$4:$S$207,0)),""),"#,##0")&amp;" | Section "&amp;IFERROR(INDEX('Challan Master'!$F$4:$F$207,MATCH($B70,'Challan Master'!$S$4:$S$207,0)),""))</f>
      </c>
      <c r="D70" s="8"/>
      <c r="E70" s="8"/>
      <c r="F70" s="7">
        <f>IF($D70="","",IF(AND(LEN(TRIM(UPPER(E70)))=10,CODE(MID(TRIM(UPPER(E70)),1,1))&gt;=65,CODE(MID(TRIM(UPPER(E70)),1,1))&lt;=90,CODE(MID(TRIM(UPPER(E70)),2,1))&gt;=65,CODE(MID(TRIM(UPPER(E70)),2,1))&lt;=90,CODE(MID(TRIM(UPPER(E70)),3,1))&gt;=65,CODE(MID(TRIM(UPPER(E70)),3,1))&lt;=90,CODE(MID(TRIM(UPPER(E70)),4,1))&gt;=65,CODE(MID(TRIM(UPPER(E70)),4,1))&lt;=90,CODE(MID(TRIM(UPPER(E70)),5,1))&gt;=65,CODE(MID(TRIM(UPPER(E70)),5,1))&lt;=90,CODE(MID(TRIM(UPPER(E70)),10,1))&gt;=65,CODE(MID(TRIM(UPPER(E70)),10,1))&lt;=90,CODE(MID(TRIM(UPPER(E70)),6,1))&gt;=48,CODE(MID(TRIM(UPPER(E70)),6,1))&lt;=57,CODE(MID(TRIM(UPPER(E70)),7,1))&gt;=48,CODE(MID(TRIM(UPPER(E70)),7,1))&lt;=57,CODE(MID(TRIM(UPPER(E70)),8,1))&gt;=48,CODE(MID(TRIM(UPPER(E70)),8,1))&lt;=57,CODE(MID(TRIM(UPPER(E70)),9,1))&gt;=48,CODE(MID(TRIM(UPPER(E70)),9,1))&lt;=57),"N","Y"))</f>
      </c>
      <c r="G70" s="7">
        <f>IF($D70="","",IF(LEN(E70)&lt;4,"",IF(UPPER(MID(E70,4,1))="P","Individual",IF(UPPER(MID(E70,4,1))="H","HUF",IF(UPPER(MID(E70,4,1))="C","Company",IF(UPPER(MID(E70,4,1))="F","Firm",IF(UPPER(MID(E70,4,1))="L","LLP",IF(UPPER(MID(E70,4,1))="T","Trust",IF(UPPER(MID(E70,4,1))="A","AOP","")))))))))</f>
      </c>
      <c r="H70" s="8"/>
      <c r="I70" s="7">
        <f>IF($D70="","",IF(H70="","",IF(F70="Y",SUMPRODUCT(('Rate Lookup'!$A$1:$A$37=H70)*'Rate Lookup'!$D$1:$D$37),IF(OR(G70="Individual",G70="HUF"),SUMPRODUCT(('Rate Lookup'!$A$1:$A$37=H70)*'Rate Lookup'!$B$1:$B$37),SUMPRODUCT(('Rate Lookup'!$A$1:$A$37=H70)*'Rate Lookup'!$C$1:$C$37)))))</f>
      </c>
      <c r="J70" s="8"/>
      <c r="K70" s="8"/>
      <c r="L70" s="7">
        <f>IF($D70="","",ROUND(K70*I70/100,0))</f>
      </c>
      <c r="M70" s="7">
        <f>IF($D70="","",0)</f>
      </c>
      <c r="N70" s="7">
        <f>IF($D70="","",0)</f>
      </c>
      <c r="O70" s="7">
        <f>IF($D70="","",IF(OR(L70=0,J70="",IFERROR(INDEX('Challan Master'!$D$4:$D$207,MATCH($B70,'Challan Master'!$S$4:$S$207,0)),"")="",IFERROR(INDEX('Challan Master'!$D$4:$D$207,MATCH($B70,'Challan Master'!$S$4:$S$207,0)),"")&lt;=0),0,IF(IFERROR(INDEX('Challan Master'!$D$4:$D$207,MATCH($B70,'Challan Master'!$S$4:$S$207,0)),"")&lt;=DATE(YEAR(J70),MONTH(J70)+1,7),0,ROUND(L70*0.015*((YEAR(IFERROR(INDEX('Challan Master'!$D$4:$D$207,MATCH($B70,'Challan Master'!$S$4:$S$207,0)),""))-YEAR(J70))*12+(MONTH(IFERROR(INDEX('Challan Master'!$D$4:$D$207,MATCH($B70,'Challan Master'!$S$4:$S$207,0)),""))-MONTH(J70))+1),0))))</f>
      </c>
      <c r="P70" s="7">
        <f>IF($D70="","",0)</f>
      </c>
      <c r="Q70" s="8"/>
      <c r="R70" s="8"/>
      <c r="S70" s="8"/>
      <c r="T70" s="8"/>
      <c r="U70" s="8"/>
      <c r="V70" s="7">
        <f>IF($B70="","",IFERROR(INDEX('Challan Master'!$AA$4:$AA$207,MATCH($B70,'Challan Master'!$S$4:$S$207,0)),""))</f>
      </c>
    </row>
    <row r="71" spans="1:22" x14ac:dyDescent="0.25">
      <c r="A71" s="7">
        <f>IF($D71="","",COUNTIF($D$4:$D71,"&lt;&gt;"))</f>
      </c>
      <c r="B71" s="8"/>
      <c r="C71" s="7">
        <f>IF($B71="","","BSR "&amp;IFERROR(INDEX('Challan Master'!$B$4:$B$207,MATCH($B71,'Challan Master'!$S$4:$S$207,0)),"")&amp;" | Serial "&amp;IFERROR(INDEX('Challan Master'!$C$4:$C$207,MATCH($B71,'Challan Master'!$S$4:$S$207,0)),"")&amp;" | Deposit "&amp;TEXT(IFERROR(INDEX('Challan Master'!$D$4:$D$207,MATCH($B71,'Challan Master'!$S$4:$S$207,0)),""),"dd-mm-yyyy")&amp;" | Minor Head "&amp;IFERROR(INDEX('Challan Master'!$E$4:$E$207,MATCH($B71,'Challan Master'!$S$4:$S$207,0)),"")&amp;" | Tax ₹"&amp;TEXT(IFERROR(INDEX('Challan Master'!$G$4:$G$207,MATCH($B71,'Challan Master'!$S$4:$S$207,0)),""),"#,##0")&amp;" | Section "&amp;IFERROR(INDEX('Challan Master'!$F$4:$F$207,MATCH($B71,'Challan Master'!$S$4:$S$207,0)),""))</f>
      </c>
      <c r="D71" s="8"/>
      <c r="E71" s="8"/>
      <c r="F71" s="7">
        <f>IF($D71="","",IF(AND(LEN(TRIM(UPPER(E71)))=10,CODE(MID(TRIM(UPPER(E71)),1,1))&gt;=65,CODE(MID(TRIM(UPPER(E71)),1,1))&lt;=90,CODE(MID(TRIM(UPPER(E71)),2,1))&gt;=65,CODE(MID(TRIM(UPPER(E71)),2,1))&lt;=90,CODE(MID(TRIM(UPPER(E71)),3,1))&gt;=65,CODE(MID(TRIM(UPPER(E71)),3,1))&lt;=90,CODE(MID(TRIM(UPPER(E71)),4,1))&gt;=65,CODE(MID(TRIM(UPPER(E71)),4,1))&lt;=90,CODE(MID(TRIM(UPPER(E71)),5,1))&gt;=65,CODE(MID(TRIM(UPPER(E71)),5,1))&lt;=90,CODE(MID(TRIM(UPPER(E71)),10,1))&gt;=65,CODE(MID(TRIM(UPPER(E71)),10,1))&lt;=90,CODE(MID(TRIM(UPPER(E71)),6,1))&gt;=48,CODE(MID(TRIM(UPPER(E71)),6,1))&lt;=57,CODE(MID(TRIM(UPPER(E71)),7,1))&gt;=48,CODE(MID(TRIM(UPPER(E71)),7,1))&lt;=57,CODE(MID(TRIM(UPPER(E71)),8,1))&gt;=48,CODE(MID(TRIM(UPPER(E71)),8,1))&lt;=57,CODE(MID(TRIM(UPPER(E71)),9,1))&gt;=48,CODE(MID(TRIM(UPPER(E71)),9,1))&lt;=57),"N","Y"))</f>
      </c>
      <c r="G71" s="7">
        <f>IF($D71="","",IF(LEN(E71)&lt;4,"",IF(UPPER(MID(E71,4,1))="P","Individual",IF(UPPER(MID(E71,4,1))="H","HUF",IF(UPPER(MID(E71,4,1))="C","Company",IF(UPPER(MID(E71,4,1))="F","Firm",IF(UPPER(MID(E71,4,1))="L","LLP",IF(UPPER(MID(E71,4,1))="T","Trust",IF(UPPER(MID(E71,4,1))="A","AOP","")))))))))</f>
      </c>
      <c r="H71" s="8"/>
      <c r="I71" s="7">
        <f>IF($D71="","",IF(H71="","",IF(F71="Y",SUMPRODUCT(('Rate Lookup'!$A$1:$A$37=H71)*'Rate Lookup'!$D$1:$D$37),IF(OR(G71="Individual",G71="HUF"),SUMPRODUCT(('Rate Lookup'!$A$1:$A$37=H71)*'Rate Lookup'!$B$1:$B$37),SUMPRODUCT(('Rate Lookup'!$A$1:$A$37=H71)*'Rate Lookup'!$C$1:$C$37)))))</f>
      </c>
      <c r="J71" s="8"/>
      <c r="K71" s="8"/>
      <c r="L71" s="7">
        <f>IF($D71="","",ROUND(K71*I71/100,0))</f>
      </c>
      <c r="M71" s="7">
        <f>IF($D71="","",0)</f>
      </c>
      <c r="N71" s="7">
        <f>IF($D71="","",0)</f>
      </c>
      <c r="O71" s="7">
        <f>IF($D71="","",IF(OR(L71=0,J71="",IFERROR(INDEX('Challan Master'!$D$4:$D$207,MATCH($B71,'Challan Master'!$S$4:$S$207,0)),"")="",IFERROR(INDEX('Challan Master'!$D$4:$D$207,MATCH($B71,'Challan Master'!$S$4:$S$207,0)),"")&lt;=0),0,IF(IFERROR(INDEX('Challan Master'!$D$4:$D$207,MATCH($B71,'Challan Master'!$S$4:$S$207,0)),"")&lt;=DATE(YEAR(J71),MONTH(J71)+1,7),0,ROUND(L71*0.015*((YEAR(IFERROR(INDEX('Challan Master'!$D$4:$D$207,MATCH($B71,'Challan Master'!$S$4:$S$207,0)),""))-YEAR(J71))*12+(MONTH(IFERROR(INDEX('Challan Master'!$D$4:$D$207,MATCH($B71,'Challan Master'!$S$4:$S$207,0)),""))-MONTH(J71))+1),0))))</f>
      </c>
      <c r="P71" s="7">
        <f>IF($D71="","",0)</f>
      </c>
      <c r="Q71" s="8"/>
      <c r="R71" s="8"/>
      <c r="S71" s="8"/>
      <c r="T71" s="8"/>
      <c r="U71" s="8"/>
      <c r="V71" s="7">
        <f>IF($B71="","",IFERROR(INDEX('Challan Master'!$AA$4:$AA$207,MATCH($B71,'Challan Master'!$S$4:$S$207,0)),""))</f>
      </c>
    </row>
    <row r="72" spans="1:22" x14ac:dyDescent="0.25">
      <c r="A72" s="7">
        <f>IF($D72="","",COUNTIF($D$4:$D72,"&lt;&gt;"))</f>
      </c>
      <c r="B72" s="8"/>
      <c r="C72" s="7">
        <f>IF($B72="","","BSR "&amp;IFERROR(INDEX('Challan Master'!$B$4:$B$207,MATCH($B72,'Challan Master'!$S$4:$S$207,0)),"")&amp;" | Serial "&amp;IFERROR(INDEX('Challan Master'!$C$4:$C$207,MATCH($B72,'Challan Master'!$S$4:$S$207,0)),"")&amp;" | Deposit "&amp;TEXT(IFERROR(INDEX('Challan Master'!$D$4:$D$207,MATCH($B72,'Challan Master'!$S$4:$S$207,0)),""),"dd-mm-yyyy")&amp;" | Minor Head "&amp;IFERROR(INDEX('Challan Master'!$E$4:$E$207,MATCH($B72,'Challan Master'!$S$4:$S$207,0)),"")&amp;" | Tax ₹"&amp;TEXT(IFERROR(INDEX('Challan Master'!$G$4:$G$207,MATCH($B72,'Challan Master'!$S$4:$S$207,0)),""),"#,##0")&amp;" | Section "&amp;IFERROR(INDEX('Challan Master'!$F$4:$F$207,MATCH($B72,'Challan Master'!$S$4:$S$207,0)),""))</f>
      </c>
      <c r="D72" s="8"/>
      <c r="E72" s="8"/>
      <c r="F72" s="7">
        <f>IF($D72="","",IF(AND(LEN(TRIM(UPPER(E72)))=10,CODE(MID(TRIM(UPPER(E72)),1,1))&gt;=65,CODE(MID(TRIM(UPPER(E72)),1,1))&lt;=90,CODE(MID(TRIM(UPPER(E72)),2,1))&gt;=65,CODE(MID(TRIM(UPPER(E72)),2,1))&lt;=90,CODE(MID(TRIM(UPPER(E72)),3,1))&gt;=65,CODE(MID(TRIM(UPPER(E72)),3,1))&lt;=90,CODE(MID(TRIM(UPPER(E72)),4,1))&gt;=65,CODE(MID(TRIM(UPPER(E72)),4,1))&lt;=90,CODE(MID(TRIM(UPPER(E72)),5,1))&gt;=65,CODE(MID(TRIM(UPPER(E72)),5,1))&lt;=90,CODE(MID(TRIM(UPPER(E72)),10,1))&gt;=65,CODE(MID(TRIM(UPPER(E72)),10,1))&lt;=90,CODE(MID(TRIM(UPPER(E72)),6,1))&gt;=48,CODE(MID(TRIM(UPPER(E72)),6,1))&lt;=57,CODE(MID(TRIM(UPPER(E72)),7,1))&gt;=48,CODE(MID(TRIM(UPPER(E72)),7,1))&lt;=57,CODE(MID(TRIM(UPPER(E72)),8,1))&gt;=48,CODE(MID(TRIM(UPPER(E72)),8,1))&lt;=57,CODE(MID(TRIM(UPPER(E72)),9,1))&gt;=48,CODE(MID(TRIM(UPPER(E72)),9,1))&lt;=57),"N","Y"))</f>
      </c>
      <c r="G72" s="7">
        <f>IF($D72="","",IF(LEN(E72)&lt;4,"",IF(UPPER(MID(E72,4,1))="P","Individual",IF(UPPER(MID(E72,4,1))="H","HUF",IF(UPPER(MID(E72,4,1))="C","Company",IF(UPPER(MID(E72,4,1))="F","Firm",IF(UPPER(MID(E72,4,1))="L","LLP",IF(UPPER(MID(E72,4,1))="T","Trust",IF(UPPER(MID(E72,4,1))="A","AOP","")))))))))</f>
      </c>
      <c r="H72" s="8"/>
      <c r="I72" s="7">
        <f>IF($D72="","",IF(H72="","",IF(F72="Y",SUMPRODUCT(('Rate Lookup'!$A$1:$A$37=H72)*'Rate Lookup'!$D$1:$D$37),IF(OR(G72="Individual",G72="HUF"),SUMPRODUCT(('Rate Lookup'!$A$1:$A$37=H72)*'Rate Lookup'!$B$1:$B$37),SUMPRODUCT(('Rate Lookup'!$A$1:$A$37=H72)*'Rate Lookup'!$C$1:$C$37)))))</f>
      </c>
      <c r="J72" s="8"/>
      <c r="K72" s="8"/>
      <c r="L72" s="7">
        <f>IF($D72="","",ROUND(K72*I72/100,0))</f>
      </c>
      <c r="M72" s="7">
        <f>IF($D72="","",0)</f>
      </c>
      <c r="N72" s="7">
        <f>IF($D72="","",0)</f>
      </c>
      <c r="O72" s="7">
        <f>IF($D72="","",IF(OR(L72=0,J72="",IFERROR(INDEX('Challan Master'!$D$4:$D$207,MATCH($B72,'Challan Master'!$S$4:$S$207,0)),"")="",IFERROR(INDEX('Challan Master'!$D$4:$D$207,MATCH($B72,'Challan Master'!$S$4:$S$207,0)),"")&lt;=0),0,IF(IFERROR(INDEX('Challan Master'!$D$4:$D$207,MATCH($B72,'Challan Master'!$S$4:$S$207,0)),"")&lt;=DATE(YEAR(J72),MONTH(J72)+1,7),0,ROUND(L72*0.015*((YEAR(IFERROR(INDEX('Challan Master'!$D$4:$D$207,MATCH($B72,'Challan Master'!$S$4:$S$207,0)),""))-YEAR(J72))*12+(MONTH(IFERROR(INDEX('Challan Master'!$D$4:$D$207,MATCH($B72,'Challan Master'!$S$4:$S$207,0)),""))-MONTH(J72))+1),0))))</f>
      </c>
      <c r="P72" s="7">
        <f>IF($D72="","",0)</f>
      </c>
      <c r="Q72" s="8"/>
      <c r="R72" s="8"/>
      <c r="S72" s="8"/>
      <c r="T72" s="8"/>
      <c r="U72" s="8"/>
      <c r="V72" s="7">
        <f>IF($B72="","",IFERROR(INDEX('Challan Master'!$AA$4:$AA$207,MATCH($B72,'Challan Master'!$S$4:$S$207,0)),""))</f>
      </c>
    </row>
    <row r="73" spans="1:22" x14ac:dyDescent="0.25">
      <c r="A73" s="7">
        <f>IF($D73="","",COUNTIF($D$4:$D73,"&lt;&gt;"))</f>
      </c>
      <c r="B73" s="8"/>
      <c r="C73" s="7">
        <f>IF($B73="","","BSR "&amp;IFERROR(INDEX('Challan Master'!$B$4:$B$207,MATCH($B73,'Challan Master'!$S$4:$S$207,0)),"")&amp;" | Serial "&amp;IFERROR(INDEX('Challan Master'!$C$4:$C$207,MATCH($B73,'Challan Master'!$S$4:$S$207,0)),"")&amp;" | Deposit "&amp;TEXT(IFERROR(INDEX('Challan Master'!$D$4:$D$207,MATCH($B73,'Challan Master'!$S$4:$S$207,0)),""),"dd-mm-yyyy")&amp;" | Minor Head "&amp;IFERROR(INDEX('Challan Master'!$E$4:$E$207,MATCH($B73,'Challan Master'!$S$4:$S$207,0)),"")&amp;" | Tax ₹"&amp;TEXT(IFERROR(INDEX('Challan Master'!$G$4:$G$207,MATCH($B73,'Challan Master'!$S$4:$S$207,0)),""),"#,##0")&amp;" | Section "&amp;IFERROR(INDEX('Challan Master'!$F$4:$F$207,MATCH($B73,'Challan Master'!$S$4:$S$207,0)),""))</f>
      </c>
      <c r="D73" s="8"/>
      <c r="E73" s="8"/>
      <c r="F73" s="7">
        <f>IF($D73="","",IF(AND(LEN(TRIM(UPPER(E73)))=10,CODE(MID(TRIM(UPPER(E73)),1,1))&gt;=65,CODE(MID(TRIM(UPPER(E73)),1,1))&lt;=90,CODE(MID(TRIM(UPPER(E73)),2,1))&gt;=65,CODE(MID(TRIM(UPPER(E73)),2,1))&lt;=90,CODE(MID(TRIM(UPPER(E73)),3,1))&gt;=65,CODE(MID(TRIM(UPPER(E73)),3,1))&lt;=90,CODE(MID(TRIM(UPPER(E73)),4,1))&gt;=65,CODE(MID(TRIM(UPPER(E73)),4,1))&lt;=90,CODE(MID(TRIM(UPPER(E73)),5,1))&gt;=65,CODE(MID(TRIM(UPPER(E73)),5,1))&lt;=90,CODE(MID(TRIM(UPPER(E73)),10,1))&gt;=65,CODE(MID(TRIM(UPPER(E73)),10,1))&lt;=90,CODE(MID(TRIM(UPPER(E73)),6,1))&gt;=48,CODE(MID(TRIM(UPPER(E73)),6,1))&lt;=57,CODE(MID(TRIM(UPPER(E73)),7,1))&gt;=48,CODE(MID(TRIM(UPPER(E73)),7,1))&lt;=57,CODE(MID(TRIM(UPPER(E73)),8,1))&gt;=48,CODE(MID(TRIM(UPPER(E73)),8,1))&lt;=57,CODE(MID(TRIM(UPPER(E73)),9,1))&gt;=48,CODE(MID(TRIM(UPPER(E73)),9,1))&lt;=57),"N","Y"))</f>
      </c>
      <c r="G73" s="7">
        <f>IF($D73="","",IF(LEN(E73)&lt;4,"",IF(UPPER(MID(E73,4,1))="P","Individual",IF(UPPER(MID(E73,4,1))="H","HUF",IF(UPPER(MID(E73,4,1))="C","Company",IF(UPPER(MID(E73,4,1))="F","Firm",IF(UPPER(MID(E73,4,1))="L","LLP",IF(UPPER(MID(E73,4,1))="T","Trust",IF(UPPER(MID(E73,4,1))="A","AOP","")))))))))</f>
      </c>
      <c r="H73" s="8"/>
      <c r="I73" s="7">
        <f>IF($D73="","",IF(H73="","",IF(F73="Y",SUMPRODUCT(('Rate Lookup'!$A$1:$A$37=H73)*'Rate Lookup'!$D$1:$D$37),IF(OR(G73="Individual",G73="HUF"),SUMPRODUCT(('Rate Lookup'!$A$1:$A$37=H73)*'Rate Lookup'!$B$1:$B$37),SUMPRODUCT(('Rate Lookup'!$A$1:$A$37=H73)*'Rate Lookup'!$C$1:$C$37)))))</f>
      </c>
      <c r="J73" s="8"/>
      <c r="K73" s="8"/>
      <c r="L73" s="7">
        <f>IF($D73="","",ROUND(K73*I73/100,0))</f>
      </c>
      <c r="M73" s="7">
        <f>IF($D73="","",0)</f>
      </c>
      <c r="N73" s="7">
        <f>IF($D73="","",0)</f>
      </c>
      <c r="O73" s="7">
        <f>IF($D73="","",IF(OR(L73=0,J73="",IFERROR(INDEX('Challan Master'!$D$4:$D$207,MATCH($B73,'Challan Master'!$S$4:$S$207,0)),"")="",IFERROR(INDEX('Challan Master'!$D$4:$D$207,MATCH($B73,'Challan Master'!$S$4:$S$207,0)),"")&lt;=0),0,IF(IFERROR(INDEX('Challan Master'!$D$4:$D$207,MATCH($B73,'Challan Master'!$S$4:$S$207,0)),"")&lt;=DATE(YEAR(J73),MONTH(J73)+1,7),0,ROUND(L73*0.015*((YEAR(IFERROR(INDEX('Challan Master'!$D$4:$D$207,MATCH($B73,'Challan Master'!$S$4:$S$207,0)),""))-YEAR(J73))*12+(MONTH(IFERROR(INDEX('Challan Master'!$D$4:$D$207,MATCH($B73,'Challan Master'!$S$4:$S$207,0)),""))-MONTH(J73))+1),0))))</f>
      </c>
      <c r="P73" s="7">
        <f>IF($D73="","",0)</f>
      </c>
      <c r="Q73" s="8"/>
      <c r="R73" s="8"/>
      <c r="S73" s="8"/>
      <c r="T73" s="8"/>
      <c r="U73" s="8"/>
      <c r="V73" s="7">
        <f>IF($B73="","",IFERROR(INDEX('Challan Master'!$AA$4:$AA$207,MATCH($B73,'Challan Master'!$S$4:$S$207,0)),""))</f>
      </c>
    </row>
    <row r="74" spans="1:22" x14ac:dyDescent="0.25">
      <c r="A74" s="7">
        <f>IF($D74="","",COUNTIF($D$4:$D74,"&lt;&gt;"))</f>
      </c>
      <c r="B74" s="8"/>
      <c r="C74" s="7">
        <f>IF($B74="","","BSR "&amp;IFERROR(INDEX('Challan Master'!$B$4:$B$207,MATCH($B74,'Challan Master'!$S$4:$S$207,0)),"")&amp;" | Serial "&amp;IFERROR(INDEX('Challan Master'!$C$4:$C$207,MATCH($B74,'Challan Master'!$S$4:$S$207,0)),"")&amp;" | Deposit "&amp;TEXT(IFERROR(INDEX('Challan Master'!$D$4:$D$207,MATCH($B74,'Challan Master'!$S$4:$S$207,0)),""),"dd-mm-yyyy")&amp;" | Minor Head "&amp;IFERROR(INDEX('Challan Master'!$E$4:$E$207,MATCH($B74,'Challan Master'!$S$4:$S$207,0)),"")&amp;" | Tax ₹"&amp;TEXT(IFERROR(INDEX('Challan Master'!$G$4:$G$207,MATCH($B74,'Challan Master'!$S$4:$S$207,0)),""),"#,##0")&amp;" | Section "&amp;IFERROR(INDEX('Challan Master'!$F$4:$F$207,MATCH($B74,'Challan Master'!$S$4:$S$207,0)),""))</f>
      </c>
      <c r="D74" s="8"/>
      <c r="E74" s="8"/>
      <c r="F74" s="7">
        <f>IF($D74="","",IF(AND(LEN(TRIM(UPPER(E74)))=10,CODE(MID(TRIM(UPPER(E74)),1,1))&gt;=65,CODE(MID(TRIM(UPPER(E74)),1,1))&lt;=90,CODE(MID(TRIM(UPPER(E74)),2,1))&gt;=65,CODE(MID(TRIM(UPPER(E74)),2,1))&lt;=90,CODE(MID(TRIM(UPPER(E74)),3,1))&gt;=65,CODE(MID(TRIM(UPPER(E74)),3,1))&lt;=90,CODE(MID(TRIM(UPPER(E74)),4,1))&gt;=65,CODE(MID(TRIM(UPPER(E74)),4,1))&lt;=90,CODE(MID(TRIM(UPPER(E74)),5,1))&gt;=65,CODE(MID(TRIM(UPPER(E74)),5,1))&lt;=90,CODE(MID(TRIM(UPPER(E74)),10,1))&gt;=65,CODE(MID(TRIM(UPPER(E74)),10,1))&lt;=90,CODE(MID(TRIM(UPPER(E74)),6,1))&gt;=48,CODE(MID(TRIM(UPPER(E74)),6,1))&lt;=57,CODE(MID(TRIM(UPPER(E74)),7,1))&gt;=48,CODE(MID(TRIM(UPPER(E74)),7,1))&lt;=57,CODE(MID(TRIM(UPPER(E74)),8,1))&gt;=48,CODE(MID(TRIM(UPPER(E74)),8,1))&lt;=57,CODE(MID(TRIM(UPPER(E74)),9,1))&gt;=48,CODE(MID(TRIM(UPPER(E74)),9,1))&lt;=57),"N","Y"))</f>
      </c>
      <c r="G74" s="7">
        <f>IF($D74="","",IF(LEN(E74)&lt;4,"",IF(UPPER(MID(E74,4,1))="P","Individual",IF(UPPER(MID(E74,4,1))="H","HUF",IF(UPPER(MID(E74,4,1))="C","Company",IF(UPPER(MID(E74,4,1))="F","Firm",IF(UPPER(MID(E74,4,1))="L","LLP",IF(UPPER(MID(E74,4,1))="T","Trust",IF(UPPER(MID(E74,4,1))="A","AOP","")))))))))</f>
      </c>
      <c r="H74" s="8"/>
      <c r="I74" s="7">
        <f>IF($D74="","",IF(H74="","",IF(F74="Y",SUMPRODUCT(('Rate Lookup'!$A$1:$A$37=H74)*'Rate Lookup'!$D$1:$D$37),IF(OR(G74="Individual",G74="HUF"),SUMPRODUCT(('Rate Lookup'!$A$1:$A$37=H74)*'Rate Lookup'!$B$1:$B$37),SUMPRODUCT(('Rate Lookup'!$A$1:$A$37=H74)*'Rate Lookup'!$C$1:$C$37)))))</f>
      </c>
      <c r="J74" s="8"/>
      <c r="K74" s="8"/>
      <c r="L74" s="7">
        <f>IF($D74="","",ROUND(K74*I74/100,0))</f>
      </c>
      <c r="M74" s="7">
        <f>IF($D74="","",0)</f>
      </c>
      <c r="N74" s="7">
        <f>IF($D74="","",0)</f>
      </c>
      <c r="O74" s="7">
        <f>IF($D74="","",IF(OR(L74=0,J74="",IFERROR(INDEX('Challan Master'!$D$4:$D$207,MATCH($B74,'Challan Master'!$S$4:$S$207,0)),"")="",IFERROR(INDEX('Challan Master'!$D$4:$D$207,MATCH($B74,'Challan Master'!$S$4:$S$207,0)),"")&lt;=0),0,IF(IFERROR(INDEX('Challan Master'!$D$4:$D$207,MATCH($B74,'Challan Master'!$S$4:$S$207,0)),"")&lt;=DATE(YEAR(J74),MONTH(J74)+1,7),0,ROUND(L74*0.015*((YEAR(IFERROR(INDEX('Challan Master'!$D$4:$D$207,MATCH($B74,'Challan Master'!$S$4:$S$207,0)),""))-YEAR(J74))*12+(MONTH(IFERROR(INDEX('Challan Master'!$D$4:$D$207,MATCH($B74,'Challan Master'!$S$4:$S$207,0)),""))-MONTH(J74))+1),0))))</f>
      </c>
      <c r="P74" s="7">
        <f>IF($D74="","",0)</f>
      </c>
      <c r="Q74" s="8"/>
      <c r="R74" s="8"/>
      <c r="S74" s="8"/>
      <c r="T74" s="8"/>
      <c r="U74" s="8"/>
      <c r="V74" s="7">
        <f>IF($B74="","",IFERROR(INDEX('Challan Master'!$AA$4:$AA$207,MATCH($B74,'Challan Master'!$S$4:$S$207,0)),""))</f>
      </c>
    </row>
    <row r="75" spans="1:22" x14ac:dyDescent="0.25">
      <c r="A75" s="7">
        <f>IF($D75="","",COUNTIF($D$4:$D75,"&lt;&gt;"))</f>
      </c>
      <c r="B75" s="8"/>
      <c r="C75" s="7">
        <f>IF($B75="","","BSR "&amp;IFERROR(INDEX('Challan Master'!$B$4:$B$207,MATCH($B75,'Challan Master'!$S$4:$S$207,0)),"")&amp;" | Serial "&amp;IFERROR(INDEX('Challan Master'!$C$4:$C$207,MATCH($B75,'Challan Master'!$S$4:$S$207,0)),"")&amp;" | Deposit "&amp;TEXT(IFERROR(INDEX('Challan Master'!$D$4:$D$207,MATCH($B75,'Challan Master'!$S$4:$S$207,0)),""),"dd-mm-yyyy")&amp;" | Minor Head "&amp;IFERROR(INDEX('Challan Master'!$E$4:$E$207,MATCH($B75,'Challan Master'!$S$4:$S$207,0)),"")&amp;" | Tax ₹"&amp;TEXT(IFERROR(INDEX('Challan Master'!$G$4:$G$207,MATCH($B75,'Challan Master'!$S$4:$S$207,0)),""),"#,##0")&amp;" | Section "&amp;IFERROR(INDEX('Challan Master'!$F$4:$F$207,MATCH($B75,'Challan Master'!$S$4:$S$207,0)),""))</f>
      </c>
      <c r="D75" s="8"/>
      <c r="E75" s="8"/>
      <c r="F75" s="7">
        <f>IF($D75="","",IF(AND(LEN(TRIM(UPPER(E75)))=10,CODE(MID(TRIM(UPPER(E75)),1,1))&gt;=65,CODE(MID(TRIM(UPPER(E75)),1,1))&lt;=90,CODE(MID(TRIM(UPPER(E75)),2,1))&gt;=65,CODE(MID(TRIM(UPPER(E75)),2,1))&lt;=90,CODE(MID(TRIM(UPPER(E75)),3,1))&gt;=65,CODE(MID(TRIM(UPPER(E75)),3,1))&lt;=90,CODE(MID(TRIM(UPPER(E75)),4,1))&gt;=65,CODE(MID(TRIM(UPPER(E75)),4,1))&lt;=90,CODE(MID(TRIM(UPPER(E75)),5,1))&gt;=65,CODE(MID(TRIM(UPPER(E75)),5,1))&lt;=90,CODE(MID(TRIM(UPPER(E75)),10,1))&gt;=65,CODE(MID(TRIM(UPPER(E75)),10,1))&lt;=90,CODE(MID(TRIM(UPPER(E75)),6,1))&gt;=48,CODE(MID(TRIM(UPPER(E75)),6,1))&lt;=57,CODE(MID(TRIM(UPPER(E75)),7,1))&gt;=48,CODE(MID(TRIM(UPPER(E75)),7,1))&lt;=57,CODE(MID(TRIM(UPPER(E75)),8,1))&gt;=48,CODE(MID(TRIM(UPPER(E75)),8,1))&lt;=57,CODE(MID(TRIM(UPPER(E75)),9,1))&gt;=48,CODE(MID(TRIM(UPPER(E75)),9,1))&lt;=57),"N","Y"))</f>
      </c>
      <c r="G75" s="7">
        <f>IF($D75="","",IF(LEN(E75)&lt;4,"",IF(UPPER(MID(E75,4,1))="P","Individual",IF(UPPER(MID(E75,4,1))="H","HUF",IF(UPPER(MID(E75,4,1))="C","Company",IF(UPPER(MID(E75,4,1))="F","Firm",IF(UPPER(MID(E75,4,1))="L","LLP",IF(UPPER(MID(E75,4,1))="T","Trust",IF(UPPER(MID(E75,4,1))="A","AOP","")))))))))</f>
      </c>
      <c r="H75" s="8"/>
      <c r="I75" s="7">
        <f>IF($D75="","",IF(H75="","",IF(F75="Y",SUMPRODUCT(('Rate Lookup'!$A$1:$A$37=H75)*'Rate Lookup'!$D$1:$D$37),IF(OR(G75="Individual",G75="HUF"),SUMPRODUCT(('Rate Lookup'!$A$1:$A$37=H75)*'Rate Lookup'!$B$1:$B$37),SUMPRODUCT(('Rate Lookup'!$A$1:$A$37=H75)*'Rate Lookup'!$C$1:$C$37)))))</f>
      </c>
      <c r="J75" s="8"/>
      <c r="K75" s="8"/>
      <c r="L75" s="7">
        <f>IF($D75="","",ROUND(K75*I75/100,0))</f>
      </c>
      <c r="M75" s="7">
        <f>IF($D75="","",0)</f>
      </c>
      <c r="N75" s="7">
        <f>IF($D75="","",0)</f>
      </c>
      <c r="O75" s="7">
        <f>IF($D75="","",IF(OR(L75=0,J75="",IFERROR(INDEX('Challan Master'!$D$4:$D$207,MATCH($B75,'Challan Master'!$S$4:$S$207,0)),"")="",IFERROR(INDEX('Challan Master'!$D$4:$D$207,MATCH($B75,'Challan Master'!$S$4:$S$207,0)),"")&lt;=0),0,IF(IFERROR(INDEX('Challan Master'!$D$4:$D$207,MATCH($B75,'Challan Master'!$S$4:$S$207,0)),"")&lt;=DATE(YEAR(J75),MONTH(J75)+1,7),0,ROUND(L75*0.015*((YEAR(IFERROR(INDEX('Challan Master'!$D$4:$D$207,MATCH($B75,'Challan Master'!$S$4:$S$207,0)),""))-YEAR(J75))*12+(MONTH(IFERROR(INDEX('Challan Master'!$D$4:$D$207,MATCH($B75,'Challan Master'!$S$4:$S$207,0)),""))-MONTH(J75))+1),0))))</f>
      </c>
      <c r="P75" s="7">
        <f>IF($D75="","",0)</f>
      </c>
      <c r="Q75" s="8"/>
      <c r="R75" s="8"/>
      <c r="S75" s="8"/>
      <c r="T75" s="8"/>
      <c r="U75" s="8"/>
      <c r="V75" s="7">
        <f>IF($B75="","",IFERROR(INDEX('Challan Master'!$AA$4:$AA$207,MATCH($B75,'Challan Master'!$S$4:$S$207,0)),""))</f>
      </c>
    </row>
    <row r="76" spans="1:22" x14ac:dyDescent="0.25">
      <c r="A76" s="7">
        <f>IF($D76="","",COUNTIF($D$4:$D76,"&lt;&gt;"))</f>
      </c>
      <c r="B76" s="8"/>
      <c r="C76" s="7">
        <f>IF($B76="","","BSR "&amp;IFERROR(INDEX('Challan Master'!$B$4:$B$207,MATCH($B76,'Challan Master'!$S$4:$S$207,0)),"")&amp;" | Serial "&amp;IFERROR(INDEX('Challan Master'!$C$4:$C$207,MATCH($B76,'Challan Master'!$S$4:$S$207,0)),"")&amp;" | Deposit "&amp;TEXT(IFERROR(INDEX('Challan Master'!$D$4:$D$207,MATCH($B76,'Challan Master'!$S$4:$S$207,0)),""),"dd-mm-yyyy")&amp;" | Minor Head "&amp;IFERROR(INDEX('Challan Master'!$E$4:$E$207,MATCH($B76,'Challan Master'!$S$4:$S$207,0)),"")&amp;" | Tax ₹"&amp;TEXT(IFERROR(INDEX('Challan Master'!$G$4:$G$207,MATCH($B76,'Challan Master'!$S$4:$S$207,0)),""),"#,##0")&amp;" | Section "&amp;IFERROR(INDEX('Challan Master'!$F$4:$F$207,MATCH($B76,'Challan Master'!$S$4:$S$207,0)),""))</f>
      </c>
      <c r="D76" s="8"/>
      <c r="E76" s="8"/>
      <c r="F76" s="7">
        <f>IF($D76="","",IF(AND(LEN(TRIM(UPPER(E76)))=10,CODE(MID(TRIM(UPPER(E76)),1,1))&gt;=65,CODE(MID(TRIM(UPPER(E76)),1,1))&lt;=90,CODE(MID(TRIM(UPPER(E76)),2,1))&gt;=65,CODE(MID(TRIM(UPPER(E76)),2,1))&lt;=90,CODE(MID(TRIM(UPPER(E76)),3,1))&gt;=65,CODE(MID(TRIM(UPPER(E76)),3,1))&lt;=90,CODE(MID(TRIM(UPPER(E76)),4,1))&gt;=65,CODE(MID(TRIM(UPPER(E76)),4,1))&lt;=90,CODE(MID(TRIM(UPPER(E76)),5,1))&gt;=65,CODE(MID(TRIM(UPPER(E76)),5,1))&lt;=90,CODE(MID(TRIM(UPPER(E76)),10,1))&gt;=65,CODE(MID(TRIM(UPPER(E76)),10,1))&lt;=90,CODE(MID(TRIM(UPPER(E76)),6,1))&gt;=48,CODE(MID(TRIM(UPPER(E76)),6,1))&lt;=57,CODE(MID(TRIM(UPPER(E76)),7,1))&gt;=48,CODE(MID(TRIM(UPPER(E76)),7,1))&lt;=57,CODE(MID(TRIM(UPPER(E76)),8,1))&gt;=48,CODE(MID(TRIM(UPPER(E76)),8,1))&lt;=57,CODE(MID(TRIM(UPPER(E76)),9,1))&gt;=48,CODE(MID(TRIM(UPPER(E76)),9,1))&lt;=57),"N","Y"))</f>
      </c>
      <c r="G76" s="7">
        <f>IF($D76="","",IF(LEN(E76)&lt;4,"",IF(UPPER(MID(E76,4,1))="P","Individual",IF(UPPER(MID(E76,4,1))="H","HUF",IF(UPPER(MID(E76,4,1))="C","Company",IF(UPPER(MID(E76,4,1))="F","Firm",IF(UPPER(MID(E76,4,1))="L","LLP",IF(UPPER(MID(E76,4,1))="T","Trust",IF(UPPER(MID(E76,4,1))="A","AOP","")))))))))</f>
      </c>
      <c r="H76" s="8"/>
      <c r="I76" s="7">
        <f>IF($D76="","",IF(H76="","",IF(F76="Y",SUMPRODUCT(('Rate Lookup'!$A$1:$A$37=H76)*'Rate Lookup'!$D$1:$D$37),IF(OR(G76="Individual",G76="HUF"),SUMPRODUCT(('Rate Lookup'!$A$1:$A$37=H76)*'Rate Lookup'!$B$1:$B$37),SUMPRODUCT(('Rate Lookup'!$A$1:$A$37=H76)*'Rate Lookup'!$C$1:$C$37)))))</f>
      </c>
      <c r="J76" s="8"/>
      <c r="K76" s="8"/>
      <c r="L76" s="7">
        <f>IF($D76="","",ROUND(K76*I76/100,0))</f>
      </c>
      <c r="M76" s="7">
        <f>IF($D76="","",0)</f>
      </c>
      <c r="N76" s="7">
        <f>IF($D76="","",0)</f>
      </c>
      <c r="O76" s="7">
        <f>IF($D76="","",IF(OR(L76=0,J76="",IFERROR(INDEX('Challan Master'!$D$4:$D$207,MATCH($B76,'Challan Master'!$S$4:$S$207,0)),"")="",IFERROR(INDEX('Challan Master'!$D$4:$D$207,MATCH($B76,'Challan Master'!$S$4:$S$207,0)),"")&lt;=0),0,IF(IFERROR(INDEX('Challan Master'!$D$4:$D$207,MATCH($B76,'Challan Master'!$S$4:$S$207,0)),"")&lt;=DATE(YEAR(J76),MONTH(J76)+1,7),0,ROUND(L76*0.015*((YEAR(IFERROR(INDEX('Challan Master'!$D$4:$D$207,MATCH($B76,'Challan Master'!$S$4:$S$207,0)),""))-YEAR(J76))*12+(MONTH(IFERROR(INDEX('Challan Master'!$D$4:$D$207,MATCH($B76,'Challan Master'!$S$4:$S$207,0)),""))-MONTH(J76))+1),0))))</f>
      </c>
      <c r="P76" s="7">
        <f>IF($D76="","",0)</f>
      </c>
      <c r="Q76" s="8"/>
      <c r="R76" s="8"/>
      <c r="S76" s="8"/>
      <c r="T76" s="8"/>
      <c r="U76" s="8"/>
      <c r="V76" s="7">
        <f>IF($B76="","",IFERROR(INDEX('Challan Master'!$AA$4:$AA$207,MATCH($B76,'Challan Master'!$S$4:$S$207,0)),""))</f>
      </c>
    </row>
    <row r="77" spans="1:22" x14ac:dyDescent="0.25">
      <c r="A77" s="7">
        <f>IF($D77="","",COUNTIF($D$4:$D77,"&lt;&gt;"))</f>
      </c>
      <c r="B77" s="8"/>
      <c r="C77" s="7">
        <f>IF($B77="","","BSR "&amp;IFERROR(INDEX('Challan Master'!$B$4:$B$207,MATCH($B77,'Challan Master'!$S$4:$S$207,0)),"")&amp;" | Serial "&amp;IFERROR(INDEX('Challan Master'!$C$4:$C$207,MATCH($B77,'Challan Master'!$S$4:$S$207,0)),"")&amp;" | Deposit "&amp;TEXT(IFERROR(INDEX('Challan Master'!$D$4:$D$207,MATCH($B77,'Challan Master'!$S$4:$S$207,0)),""),"dd-mm-yyyy")&amp;" | Minor Head "&amp;IFERROR(INDEX('Challan Master'!$E$4:$E$207,MATCH($B77,'Challan Master'!$S$4:$S$207,0)),"")&amp;" | Tax ₹"&amp;TEXT(IFERROR(INDEX('Challan Master'!$G$4:$G$207,MATCH($B77,'Challan Master'!$S$4:$S$207,0)),""),"#,##0")&amp;" | Section "&amp;IFERROR(INDEX('Challan Master'!$F$4:$F$207,MATCH($B77,'Challan Master'!$S$4:$S$207,0)),""))</f>
      </c>
      <c r="D77" s="8"/>
      <c r="E77" s="8"/>
      <c r="F77" s="7">
        <f>IF($D77="","",IF(AND(LEN(TRIM(UPPER(E77)))=10,CODE(MID(TRIM(UPPER(E77)),1,1))&gt;=65,CODE(MID(TRIM(UPPER(E77)),1,1))&lt;=90,CODE(MID(TRIM(UPPER(E77)),2,1))&gt;=65,CODE(MID(TRIM(UPPER(E77)),2,1))&lt;=90,CODE(MID(TRIM(UPPER(E77)),3,1))&gt;=65,CODE(MID(TRIM(UPPER(E77)),3,1))&lt;=90,CODE(MID(TRIM(UPPER(E77)),4,1))&gt;=65,CODE(MID(TRIM(UPPER(E77)),4,1))&lt;=90,CODE(MID(TRIM(UPPER(E77)),5,1))&gt;=65,CODE(MID(TRIM(UPPER(E77)),5,1))&lt;=90,CODE(MID(TRIM(UPPER(E77)),10,1))&gt;=65,CODE(MID(TRIM(UPPER(E77)),10,1))&lt;=90,CODE(MID(TRIM(UPPER(E77)),6,1))&gt;=48,CODE(MID(TRIM(UPPER(E77)),6,1))&lt;=57,CODE(MID(TRIM(UPPER(E77)),7,1))&gt;=48,CODE(MID(TRIM(UPPER(E77)),7,1))&lt;=57,CODE(MID(TRIM(UPPER(E77)),8,1))&gt;=48,CODE(MID(TRIM(UPPER(E77)),8,1))&lt;=57,CODE(MID(TRIM(UPPER(E77)),9,1))&gt;=48,CODE(MID(TRIM(UPPER(E77)),9,1))&lt;=57),"N","Y"))</f>
      </c>
      <c r="G77" s="7">
        <f>IF($D77="","",IF(LEN(E77)&lt;4,"",IF(UPPER(MID(E77,4,1))="P","Individual",IF(UPPER(MID(E77,4,1))="H","HUF",IF(UPPER(MID(E77,4,1))="C","Company",IF(UPPER(MID(E77,4,1))="F","Firm",IF(UPPER(MID(E77,4,1))="L","LLP",IF(UPPER(MID(E77,4,1))="T","Trust",IF(UPPER(MID(E77,4,1))="A","AOP","")))))))))</f>
      </c>
      <c r="H77" s="8"/>
      <c r="I77" s="7">
        <f>IF($D77="","",IF(H77="","",IF(F77="Y",SUMPRODUCT(('Rate Lookup'!$A$1:$A$37=H77)*'Rate Lookup'!$D$1:$D$37),IF(OR(G77="Individual",G77="HUF"),SUMPRODUCT(('Rate Lookup'!$A$1:$A$37=H77)*'Rate Lookup'!$B$1:$B$37),SUMPRODUCT(('Rate Lookup'!$A$1:$A$37=H77)*'Rate Lookup'!$C$1:$C$37)))))</f>
      </c>
      <c r="J77" s="8"/>
      <c r="K77" s="8"/>
      <c r="L77" s="7">
        <f>IF($D77="","",ROUND(K77*I77/100,0))</f>
      </c>
      <c r="M77" s="7">
        <f>IF($D77="","",0)</f>
      </c>
      <c r="N77" s="7">
        <f>IF($D77="","",0)</f>
      </c>
      <c r="O77" s="7">
        <f>IF($D77="","",IF(OR(L77=0,J77="",IFERROR(INDEX('Challan Master'!$D$4:$D$207,MATCH($B77,'Challan Master'!$S$4:$S$207,0)),"")="",IFERROR(INDEX('Challan Master'!$D$4:$D$207,MATCH($B77,'Challan Master'!$S$4:$S$207,0)),"")&lt;=0),0,IF(IFERROR(INDEX('Challan Master'!$D$4:$D$207,MATCH($B77,'Challan Master'!$S$4:$S$207,0)),"")&lt;=DATE(YEAR(J77),MONTH(J77)+1,7),0,ROUND(L77*0.015*((YEAR(IFERROR(INDEX('Challan Master'!$D$4:$D$207,MATCH($B77,'Challan Master'!$S$4:$S$207,0)),""))-YEAR(J77))*12+(MONTH(IFERROR(INDEX('Challan Master'!$D$4:$D$207,MATCH($B77,'Challan Master'!$S$4:$S$207,0)),""))-MONTH(J77))+1),0))))</f>
      </c>
      <c r="P77" s="7">
        <f>IF($D77="","",0)</f>
      </c>
      <c r="Q77" s="8"/>
      <c r="R77" s="8"/>
      <c r="S77" s="8"/>
      <c r="T77" s="8"/>
      <c r="U77" s="8"/>
      <c r="V77" s="7">
        <f>IF($B77="","",IFERROR(INDEX('Challan Master'!$AA$4:$AA$207,MATCH($B77,'Challan Master'!$S$4:$S$207,0)),""))</f>
      </c>
    </row>
    <row r="78" spans="1:22" x14ac:dyDescent="0.25">
      <c r="A78" s="7">
        <f>IF($D78="","",COUNTIF($D$4:$D78,"&lt;&gt;"))</f>
      </c>
      <c r="B78" s="8"/>
      <c r="C78" s="7">
        <f>IF($B78="","","BSR "&amp;IFERROR(INDEX('Challan Master'!$B$4:$B$207,MATCH($B78,'Challan Master'!$S$4:$S$207,0)),"")&amp;" | Serial "&amp;IFERROR(INDEX('Challan Master'!$C$4:$C$207,MATCH($B78,'Challan Master'!$S$4:$S$207,0)),"")&amp;" | Deposit "&amp;TEXT(IFERROR(INDEX('Challan Master'!$D$4:$D$207,MATCH($B78,'Challan Master'!$S$4:$S$207,0)),""),"dd-mm-yyyy")&amp;" | Minor Head "&amp;IFERROR(INDEX('Challan Master'!$E$4:$E$207,MATCH($B78,'Challan Master'!$S$4:$S$207,0)),"")&amp;" | Tax ₹"&amp;TEXT(IFERROR(INDEX('Challan Master'!$G$4:$G$207,MATCH($B78,'Challan Master'!$S$4:$S$207,0)),""),"#,##0")&amp;" | Section "&amp;IFERROR(INDEX('Challan Master'!$F$4:$F$207,MATCH($B78,'Challan Master'!$S$4:$S$207,0)),""))</f>
      </c>
      <c r="D78" s="8"/>
      <c r="E78" s="8"/>
      <c r="F78" s="7">
        <f>IF($D78="","",IF(AND(LEN(TRIM(UPPER(E78)))=10,CODE(MID(TRIM(UPPER(E78)),1,1))&gt;=65,CODE(MID(TRIM(UPPER(E78)),1,1))&lt;=90,CODE(MID(TRIM(UPPER(E78)),2,1))&gt;=65,CODE(MID(TRIM(UPPER(E78)),2,1))&lt;=90,CODE(MID(TRIM(UPPER(E78)),3,1))&gt;=65,CODE(MID(TRIM(UPPER(E78)),3,1))&lt;=90,CODE(MID(TRIM(UPPER(E78)),4,1))&gt;=65,CODE(MID(TRIM(UPPER(E78)),4,1))&lt;=90,CODE(MID(TRIM(UPPER(E78)),5,1))&gt;=65,CODE(MID(TRIM(UPPER(E78)),5,1))&lt;=90,CODE(MID(TRIM(UPPER(E78)),10,1))&gt;=65,CODE(MID(TRIM(UPPER(E78)),10,1))&lt;=90,CODE(MID(TRIM(UPPER(E78)),6,1))&gt;=48,CODE(MID(TRIM(UPPER(E78)),6,1))&lt;=57,CODE(MID(TRIM(UPPER(E78)),7,1))&gt;=48,CODE(MID(TRIM(UPPER(E78)),7,1))&lt;=57,CODE(MID(TRIM(UPPER(E78)),8,1))&gt;=48,CODE(MID(TRIM(UPPER(E78)),8,1))&lt;=57,CODE(MID(TRIM(UPPER(E78)),9,1))&gt;=48,CODE(MID(TRIM(UPPER(E78)),9,1))&lt;=57),"N","Y"))</f>
      </c>
      <c r="G78" s="7">
        <f>IF($D78="","",IF(LEN(E78)&lt;4,"",IF(UPPER(MID(E78,4,1))="P","Individual",IF(UPPER(MID(E78,4,1))="H","HUF",IF(UPPER(MID(E78,4,1))="C","Company",IF(UPPER(MID(E78,4,1))="F","Firm",IF(UPPER(MID(E78,4,1))="L","LLP",IF(UPPER(MID(E78,4,1))="T","Trust",IF(UPPER(MID(E78,4,1))="A","AOP","")))))))))</f>
      </c>
      <c r="H78" s="8"/>
      <c r="I78" s="7">
        <f>IF($D78="","",IF(H78="","",IF(F78="Y",SUMPRODUCT(('Rate Lookup'!$A$1:$A$37=H78)*'Rate Lookup'!$D$1:$D$37),IF(OR(G78="Individual",G78="HUF"),SUMPRODUCT(('Rate Lookup'!$A$1:$A$37=H78)*'Rate Lookup'!$B$1:$B$37),SUMPRODUCT(('Rate Lookup'!$A$1:$A$37=H78)*'Rate Lookup'!$C$1:$C$37)))))</f>
      </c>
      <c r="J78" s="8"/>
      <c r="K78" s="8"/>
      <c r="L78" s="7">
        <f>IF($D78="","",ROUND(K78*I78/100,0))</f>
      </c>
      <c r="M78" s="7">
        <f>IF($D78="","",0)</f>
      </c>
      <c r="N78" s="7">
        <f>IF($D78="","",0)</f>
      </c>
      <c r="O78" s="7">
        <f>IF($D78="","",IF(OR(L78=0,J78="",IFERROR(INDEX('Challan Master'!$D$4:$D$207,MATCH($B78,'Challan Master'!$S$4:$S$207,0)),"")="",IFERROR(INDEX('Challan Master'!$D$4:$D$207,MATCH($B78,'Challan Master'!$S$4:$S$207,0)),"")&lt;=0),0,IF(IFERROR(INDEX('Challan Master'!$D$4:$D$207,MATCH($B78,'Challan Master'!$S$4:$S$207,0)),"")&lt;=DATE(YEAR(J78),MONTH(J78)+1,7),0,ROUND(L78*0.015*((YEAR(IFERROR(INDEX('Challan Master'!$D$4:$D$207,MATCH($B78,'Challan Master'!$S$4:$S$207,0)),""))-YEAR(J78))*12+(MONTH(IFERROR(INDEX('Challan Master'!$D$4:$D$207,MATCH($B78,'Challan Master'!$S$4:$S$207,0)),""))-MONTH(J78))+1),0))))</f>
      </c>
      <c r="P78" s="7">
        <f>IF($D78="","",0)</f>
      </c>
      <c r="Q78" s="8"/>
      <c r="R78" s="8"/>
      <c r="S78" s="8"/>
      <c r="T78" s="8"/>
      <c r="U78" s="8"/>
      <c r="V78" s="7">
        <f>IF($B78="","",IFERROR(INDEX('Challan Master'!$AA$4:$AA$207,MATCH($B78,'Challan Master'!$S$4:$S$207,0)),""))</f>
      </c>
    </row>
    <row r="79" spans="1:22" x14ac:dyDescent="0.25">
      <c r="A79" s="7">
        <f>IF($D79="","",COUNTIF($D$4:$D79,"&lt;&gt;"))</f>
      </c>
      <c r="B79" s="8"/>
      <c r="C79" s="7">
        <f>IF($B79="","","BSR "&amp;IFERROR(INDEX('Challan Master'!$B$4:$B$207,MATCH($B79,'Challan Master'!$S$4:$S$207,0)),"")&amp;" | Serial "&amp;IFERROR(INDEX('Challan Master'!$C$4:$C$207,MATCH($B79,'Challan Master'!$S$4:$S$207,0)),"")&amp;" | Deposit "&amp;TEXT(IFERROR(INDEX('Challan Master'!$D$4:$D$207,MATCH($B79,'Challan Master'!$S$4:$S$207,0)),""),"dd-mm-yyyy")&amp;" | Minor Head "&amp;IFERROR(INDEX('Challan Master'!$E$4:$E$207,MATCH($B79,'Challan Master'!$S$4:$S$207,0)),"")&amp;" | Tax ₹"&amp;TEXT(IFERROR(INDEX('Challan Master'!$G$4:$G$207,MATCH($B79,'Challan Master'!$S$4:$S$207,0)),""),"#,##0")&amp;" | Section "&amp;IFERROR(INDEX('Challan Master'!$F$4:$F$207,MATCH($B79,'Challan Master'!$S$4:$S$207,0)),""))</f>
      </c>
      <c r="D79" s="8"/>
      <c r="E79" s="8"/>
      <c r="F79" s="7">
        <f>IF($D79="","",IF(AND(LEN(TRIM(UPPER(E79)))=10,CODE(MID(TRIM(UPPER(E79)),1,1))&gt;=65,CODE(MID(TRIM(UPPER(E79)),1,1))&lt;=90,CODE(MID(TRIM(UPPER(E79)),2,1))&gt;=65,CODE(MID(TRIM(UPPER(E79)),2,1))&lt;=90,CODE(MID(TRIM(UPPER(E79)),3,1))&gt;=65,CODE(MID(TRIM(UPPER(E79)),3,1))&lt;=90,CODE(MID(TRIM(UPPER(E79)),4,1))&gt;=65,CODE(MID(TRIM(UPPER(E79)),4,1))&lt;=90,CODE(MID(TRIM(UPPER(E79)),5,1))&gt;=65,CODE(MID(TRIM(UPPER(E79)),5,1))&lt;=90,CODE(MID(TRIM(UPPER(E79)),10,1))&gt;=65,CODE(MID(TRIM(UPPER(E79)),10,1))&lt;=90,CODE(MID(TRIM(UPPER(E79)),6,1))&gt;=48,CODE(MID(TRIM(UPPER(E79)),6,1))&lt;=57,CODE(MID(TRIM(UPPER(E79)),7,1))&gt;=48,CODE(MID(TRIM(UPPER(E79)),7,1))&lt;=57,CODE(MID(TRIM(UPPER(E79)),8,1))&gt;=48,CODE(MID(TRIM(UPPER(E79)),8,1))&lt;=57,CODE(MID(TRIM(UPPER(E79)),9,1))&gt;=48,CODE(MID(TRIM(UPPER(E79)),9,1))&lt;=57),"N","Y"))</f>
      </c>
      <c r="G79" s="7">
        <f>IF($D79="","",IF(LEN(E79)&lt;4,"",IF(UPPER(MID(E79,4,1))="P","Individual",IF(UPPER(MID(E79,4,1))="H","HUF",IF(UPPER(MID(E79,4,1))="C","Company",IF(UPPER(MID(E79,4,1))="F","Firm",IF(UPPER(MID(E79,4,1))="L","LLP",IF(UPPER(MID(E79,4,1))="T","Trust",IF(UPPER(MID(E79,4,1))="A","AOP","")))))))))</f>
      </c>
      <c r="H79" s="8"/>
      <c r="I79" s="7">
        <f>IF($D79="","",IF(H79="","",IF(F79="Y",SUMPRODUCT(('Rate Lookup'!$A$1:$A$37=H79)*'Rate Lookup'!$D$1:$D$37),IF(OR(G79="Individual",G79="HUF"),SUMPRODUCT(('Rate Lookup'!$A$1:$A$37=H79)*'Rate Lookup'!$B$1:$B$37),SUMPRODUCT(('Rate Lookup'!$A$1:$A$37=H79)*'Rate Lookup'!$C$1:$C$37)))))</f>
      </c>
      <c r="J79" s="8"/>
      <c r="K79" s="8"/>
      <c r="L79" s="7">
        <f>IF($D79="","",ROUND(K79*I79/100,0))</f>
      </c>
      <c r="M79" s="7">
        <f>IF($D79="","",0)</f>
      </c>
      <c r="N79" s="7">
        <f>IF($D79="","",0)</f>
      </c>
      <c r="O79" s="7">
        <f>IF($D79="","",IF(OR(L79=0,J79="",IFERROR(INDEX('Challan Master'!$D$4:$D$207,MATCH($B79,'Challan Master'!$S$4:$S$207,0)),"")="",IFERROR(INDEX('Challan Master'!$D$4:$D$207,MATCH($B79,'Challan Master'!$S$4:$S$207,0)),"")&lt;=0),0,IF(IFERROR(INDEX('Challan Master'!$D$4:$D$207,MATCH($B79,'Challan Master'!$S$4:$S$207,0)),"")&lt;=DATE(YEAR(J79),MONTH(J79)+1,7),0,ROUND(L79*0.015*((YEAR(IFERROR(INDEX('Challan Master'!$D$4:$D$207,MATCH($B79,'Challan Master'!$S$4:$S$207,0)),""))-YEAR(J79))*12+(MONTH(IFERROR(INDEX('Challan Master'!$D$4:$D$207,MATCH($B79,'Challan Master'!$S$4:$S$207,0)),""))-MONTH(J79))+1),0))))</f>
      </c>
      <c r="P79" s="7">
        <f>IF($D79="","",0)</f>
      </c>
      <c r="Q79" s="8"/>
      <c r="R79" s="8"/>
      <c r="S79" s="8"/>
      <c r="T79" s="8"/>
      <c r="U79" s="8"/>
      <c r="V79" s="7">
        <f>IF($B79="","",IFERROR(INDEX('Challan Master'!$AA$4:$AA$207,MATCH($B79,'Challan Master'!$S$4:$S$207,0)),""))</f>
      </c>
    </row>
    <row r="80" spans="1:22" x14ac:dyDescent="0.25">
      <c r="A80" s="7">
        <f>IF($D80="","",COUNTIF($D$4:$D80,"&lt;&gt;"))</f>
      </c>
      <c r="B80" s="8"/>
      <c r="C80" s="7">
        <f>IF($B80="","","BSR "&amp;IFERROR(INDEX('Challan Master'!$B$4:$B$207,MATCH($B80,'Challan Master'!$S$4:$S$207,0)),"")&amp;" | Serial "&amp;IFERROR(INDEX('Challan Master'!$C$4:$C$207,MATCH($B80,'Challan Master'!$S$4:$S$207,0)),"")&amp;" | Deposit "&amp;TEXT(IFERROR(INDEX('Challan Master'!$D$4:$D$207,MATCH($B80,'Challan Master'!$S$4:$S$207,0)),""),"dd-mm-yyyy")&amp;" | Minor Head "&amp;IFERROR(INDEX('Challan Master'!$E$4:$E$207,MATCH($B80,'Challan Master'!$S$4:$S$207,0)),"")&amp;" | Tax ₹"&amp;TEXT(IFERROR(INDEX('Challan Master'!$G$4:$G$207,MATCH($B80,'Challan Master'!$S$4:$S$207,0)),""),"#,##0")&amp;" | Section "&amp;IFERROR(INDEX('Challan Master'!$F$4:$F$207,MATCH($B80,'Challan Master'!$S$4:$S$207,0)),""))</f>
      </c>
      <c r="D80" s="8"/>
      <c r="E80" s="8"/>
      <c r="F80" s="7">
        <f>IF($D80="","",IF(AND(LEN(TRIM(UPPER(E80)))=10,CODE(MID(TRIM(UPPER(E80)),1,1))&gt;=65,CODE(MID(TRIM(UPPER(E80)),1,1))&lt;=90,CODE(MID(TRIM(UPPER(E80)),2,1))&gt;=65,CODE(MID(TRIM(UPPER(E80)),2,1))&lt;=90,CODE(MID(TRIM(UPPER(E80)),3,1))&gt;=65,CODE(MID(TRIM(UPPER(E80)),3,1))&lt;=90,CODE(MID(TRIM(UPPER(E80)),4,1))&gt;=65,CODE(MID(TRIM(UPPER(E80)),4,1))&lt;=90,CODE(MID(TRIM(UPPER(E80)),5,1))&gt;=65,CODE(MID(TRIM(UPPER(E80)),5,1))&lt;=90,CODE(MID(TRIM(UPPER(E80)),10,1))&gt;=65,CODE(MID(TRIM(UPPER(E80)),10,1))&lt;=90,CODE(MID(TRIM(UPPER(E80)),6,1))&gt;=48,CODE(MID(TRIM(UPPER(E80)),6,1))&lt;=57,CODE(MID(TRIM(UPPER(E80)),7,1))&gt;=48,CODE(MID(TRIM(UPPER(E80)),7,1))&lt;=57,CODE(MID(TRIM(UPPER(E80)),8,1))&gt;=48,CODE(MID(TRIM(UPPER(E80)),8,1))&lt;=57,CODE(MID(TRIM(UPPER(E80)),9,1))&gt;=48,CODE(MID(TRIM(UPPER(E80)),9,1))&lt;=57),"N","Y"))</f>
      </c>
      <c r="G80" s="7">
        <f>IF($D80="","",IF(LEN(E80)&lt;4,"",IF(UPPER(MID(E80,4,1))="P","Individual",IF(UPPER(MID(E80,4,1))="H","HUF",IF(UPPER(MID(E80,4,1))="C","Company",IF(UPPER(MID(E80,4,1))="F","Firm",IF(UPPER(MID(E80,4,1))="L","LLP",IF(UPPER(MID(E80,4,1))="T","Trust",IF(UPPER(MID(E80,4,1))="A","AOP","")))))))))</f>
      </c>
      <c r="H80" s="8"/>
      <c r="I80" s="7">
        <f>IF($D80="","",IF(H80="","",IF(F80="Y",SUMPRODUCT(('Rate Lookup'!$A$1:$A$37=H80)*'Rate Lookup'!$D$1:$D$37),IF(OR(G80="Individual",G80="HUF"),SUMPRODUCT(('Rate Lookup'!$A$1:$A$37=H80)*'Rate Lookup'!$B$1:$B$37),SUMPRODUCT(('Rate Lookup'!$A$1:$A$37=H80)*'Rate Lookup'!$C$1:$C$37)))))</f>
      </c>
      <c r="J80" s="8"/>
      <c r="K80" s="8"/>
      <c r="L80" s="7">
        <f>IF($D80="","",ROUND(K80*I80/100,0))</f>
      </c>
      <c r="M80" s="7">
        <f>IF($D80="","",0)</f>
      </c>
      <c r="N80" s="7">
        <f>IF($D80="","",0)</f>
      </c>
      <c r="O80" s="7">
        <f>IF($D80="","",IF(OR(L80=0,J80="",IFERROR(INDEX('Challan Master'!$D$4:$D$207,MATCH($B80,'Challan Master'!$S$4:$S$207,0)),"")="",IFERROR(INDEX('Challan Master'!$D$4:$D$207,MATCH($B80,'Challan Master'!$S$4:$S$207,0)),"")&lt;=0),0,IF(IFERROR(INDEX('Challan Master'!$D$4:$D$207,MATCH($B80,'Challan Master'!$S$4:$S$207,0)),"")&lt;=DATE(YEAR(J80),MONTH(J80)+1,7),0,ROUND(L80*0.015*((YEAR(IFERROR(INDEX('Challan Master'!$D$4:$D$207,MATCH($B80,'Challan Master'!$S$4:$S$207,0)),""))-YEAR(J80))*12+(MONTH(IFERROR(INDEX('Challan Master'!$D$4:$D$207,MATCH($B80,'Challan Master'!$S$4:$S$207,0)),""))-MONTH(J80))+1),0))))</f>
      </c>
      <c r="P80" s="7">
        <f>IF($D80="","",0)</f>
      </c>
      <c r="Q80" s="8"/>
      <c r="R80" s="8"/>
      <c r="S80" s="8"/>
      <c r="T80" s="8"/>
      <c r="U80" s="8"/>
      <c r="V80" s="7">
        <f>IF($B80="","",IFERROR(INDEX('Challan Master'!$AA$4:$AA$207,MATCH($B80,'Challan Master'!$S$4:$S$207,0)),""))</f>
      </c>
    </row>
    <row r="81" spans="1:22" x14ac:dyDescent="0.25">
      <c r="A81" s="7">
        <f>IF($D81="","",COUNTIF($D$4:$D81,"&lt;&gt;"))</f>
      </c>
      <c r="B81" s="8"/>
      <c r="C81" s="7">
        <f>IF($B81="","","BSR "&amp;IFERROR(INDEX('Challan Master'!$B$4:$B$207,MATCH($B81,'Challan Master'!$S$4:$S$207,0)),"")&amp;" | Serial "&amp;IFERROR(INDEX('Challan Master'!$C$4:$C$207,MATCH($B81,'Challan Master'!$S$4:$S$207,0)),"")&amp;" | Deposit "&amp;TEXT(IFERROR(INDEX('Challan Master'!$D$4:$D$207,MATCH($B81,'Challan Master'!$S$4:$S$207,0)),""),"dd-mm-yyyy")&amp;" | Minor Head "&amp;IFERROR(INDEX('Challan Master'!$E$4:$E$207,MATCH($B81,'Challan Master'!$S$4:$S$207,0)),"")&amp;" | Tax ₹"&amp;TEXT(IFERROR(INDEX('Challan Master'!$G$4:$G$207,MATCH($B81,'Challan Master'!$S$4:$S$207,0)),""),"#,##0")&amp;" | Section "&amp;IFERROR(INDEX('Challan Master'!$F$4:$F$207,MATCH($B81,'Challan Master'!$S$4:$S$207,0)),""))</f>
      </c>
      <c r="D81" s="8"/>
      <c r="E81" s="8"/>
      <c r="F81" s="7">
        <f>IF($D81="","",IF(AND(LEN(TRIM(UPPER(E81)))=10,CODE(MID(TRIM(UPPER(E81)),1,1))&gt;=65,CODE(MID(TRIM(UPPER(E81)),1,1))&lt;=90,CODE(MID(TRIM(UPPER(E81)),2,1))&gt;=65,CODE(MID(TRIM(UPPER(E81)),2,1))&lt;=90,CODE(MID(TRIM(UPPER(E81)),3,1))&gt;=65,CODE(MID(TRIM(UPPER(E81)),3,1))&lt;=90,CODE(MID(TRIM(UPPER(E81)),4,1))&gt;=65,CODE(MID(TRIM(UPPER(E81)),4,1))&lt;=90,CODE(MID(TRIM(UPPER(E81)),5,1))&gt;=65,CODE(MID(TRIM(UPPER(E81)),5,1))&lt;=90,CODE(MID(TRIM(UPPER(E81)),10,1))&gt;=65,CODE(MID(TRIM(UPPER(E81)),10,1))&lt;=90,CODE(MID(TRIM(UPPER(E81)),6,1))&gt;=48,CODE(MID(TRIM(UPPER(E81)),6,1))&lt;=57,CODE(MID(TRIM(UPPER(E81)),7,1))&gt;=48,CODE(MID(TRIM(UPPER(E81)),7,1))&lt;=57,CODE(MID(TRIM(UPPER(E81)),8,1))&gt;=48,CODE(MID(TRIM(UPPER(E81)),8,1))&lt;=57,CODE(MID(TRIM(UPPER(E81)),9,1))&gt;=48,CODE(MID(TRIM(UPPER(E81)),9,1))&lt;=57),"N","Y"))</f>
      </c>
      <c r="G81" s="7">
        <f>IF($D81="","",IF(LEN(E81)&lt;4,"",IF(UPPER(MID(E81,4,1))="P","Individual",IF(UPPER(MID(E81,4,1))="H","HUF",IF(UPPER(MID(E81,4,1))="C","Company",IF(UPPER(MID(E81,4,1))="F","Firm",IF(UPPER(MID(E81,4,1))="L","LLP",IF(UPPER(MID(E81,4,1))="T","Trust",IF(UPPER(MID(E81,4,1))="A","AOP","")))))))))</f>
      </c>
      <c r="H81" s="8"/>
      <c r="I81" s="7">
        <f>IF($D81="","",IF(H81="","",IF(F81="Y",SUMPRODUCT(('Rate Lookup'!$A$1:$A$37=H81)*'Rate Lookup'!$D$1:$D$37),IF(OR(G81="Individual",G81="HUF"),SUMPRODUCT(('Rate Lookup'!$A$1:$A$37=H81)*'Rate Lookup'!$B$1:$B$37),SUMPRODUCT(('Rate Lookup'!$A$1:$A$37=H81)*'Rate Lookup'!$C$1:$C$37)))))</f>
      </c>
      <c r="J81" s="8"/>
      <c r="K81" s="8"/>
      <c r="L81" s="7">
        <f>IF($D81="","",ROUND(K81*I81/100,0))</f>
      </c>
      <c r="M81" s="7">
        <f>IF($D81="","",0)</f>
      </c>
      <c r="N81" s="7">
        <f>IF($D81="","",0)</f>
      </c>
      <c r="O81" s="7">
        <f>IF($D81="","",IF(OR(L81=0,J81="",IFERROR(INDEX('Challan Master'!$D$4:$D$207,MATCH($B81,'Challan Master'!$S$4:$S$207,0)),"")="",IFERROR(INDEX('Challan Master'!$D$4:$D$207,MATCH($B81,'Challan Master'!$S$4:$S$207,0)),"")&lt;=0),0,IF(IFERROR(INDEX('Challan Master'!$D$4:$D$207,MATCH($B81,'Challan Master'!$S$4:$S$207,0)),"")&lt;=DATE(YEAR(J81),MONTH(J81)+1,7),0,ROUND(L81*0.015*((YEAR(IFERROR(INDEX('Challan Master'!$D$4:$D$207,MATCH($B81,'Challan Master'!$S$4:$S$207,0)),""))-YEAR(J81))*12+(MONTH(IFERROR(INDEX('Challan Master'!$D$4:$D$207,MATCH($B81,'Challan Master'!$S$4:$S$207,0)),""))-MONTH(J81))+1),0))))</f>
      </c>
      <c r="P81" s="7">
        <f>IF($D81="","",0)</f>
      </c>
      <c r="Q81" s="8"/>
      <c r="R81" s="8"/>
      <c r="S81" s="8"/>
      <c r="T81" s="8"/>
      <c r="U81" s="8"/>
      <c r="V81" s="7">
        <f>IF($B81="","",IFERROR(INDEX('Challan Master'!$AA$4:$AA$207,MATCH($B81,'Challan Master'!$S$4:$S$207,0)),""))</f>
      </c>
    </row>
    <row r="82" spans="1:22" x14ac:dyDescent="0.25">
      <c r="A82" s="7">
        <f>IF($D82="","",COUNTIF($D$4:$D82,"&lt;&gt;"))</f>
      </c>
      <c r="B82" s="8"/>
      <c r="C82" s="7">
        <f>IF($B82="","","BSR "&amp;IFERROR(INDEX('Challan Master'!$B$4:$B$207,MATCH($B82,'Challan Master'!$S$4:$S$207,0)),"")&amp;" | Serial "&amp;IFERROR(INDEX('Challan Master'!$C$4:$C$207,MATCH($B82,'Challan Master'!$S$4:$S$207,0)),"")&amp;" | Deposit "&amp;TEXT(IFERROR(INDEX('Challan Master'!$D$4:$D$207,MATCH($B82,'Challan Master'!$S$4:$S$207,0)),""),"dd-mm-yyyy")&amp;" | Minor Head "&amp;IFERROR(INDEX('Challan Master'!$E$4:$E$207,MATCH($B82,'Challan Master'!$S$4:$S$207,0)),"")&amp;" | Tax ₹"&amp;TEXT(IFERROR(INDEX('Challan Master'!$G$4:$G$207,MATCH($B82,'Challan Master'!$S$4:$S$207,0)),""),"#,##0")&amp;" | Section "&amp;IFERROR(INDEX('Challan Master'!$F$4:$F$207,MATCH($B82,'Challan Master'!$S$4:$S$207,0)),""))</f>
      </c>
      <c r="D82" s="8"/>
      <c r="E82" s="8"/>
      <c r="F82" s="7">
        <f>IF($D82="","",IF(AND(LEN(TRIM(UPPER(E82)))=10,CODE(MID(TRIM(UPPER(E82)),1,1))&gt;=65,CODE(MID(TRIM(UPPER(E82)),1,1))&lt;=90,CODE(MID(TRIM(UPPER(E82)),2,1))&gt;=65,CODE(MID(TRIM(UPPER(E82)),2,1))&lt;=90,CODE(MID(TRIM(UPPER(E82)),3,1))&gt;=65,CODE(MID(TRIM(UPPER(E82)),3,1))&lt;=90,CODE(MID(TRIM(UPPER(E82)),4,1))&gt;=65,CODE(MID(TRIM(UPPER(E82)),4,1))&lt;=90,CODE(MID(TRIM(UPPER(E82)),5,1))&gt;=65,CODE(MID(TRIM(UPPER(E82)),5,1))&lt;=90,CODE(MID(TRIM(UPPER(E82)),10,1))&gt;=65,CODE(MID(TRIM(UPPER(E82)),10,1))&lt;=90,CODE(MID(TRIM(UPPER(E82)),6,1))&gt;=48,CODE(MID(TRIM(UPPER(E82)),6,1))&lt;=57,CODE(MID(TRIM(UPPER(E82)),7,1))&gt;=48,CODE(MID(TRIM(UPPER(E82)),7,1))&lt;=57,CODE(MID(TRIM(UPPER(E82)),8,1))&gt;=48,CODE(MID(TRIM(UPPER(E82)),8,1))&lt;=57,CODE(MID(TRIM(UPPER(E82)),9,1))&gt;=48,CODE(MID(TRIM(UPPER(E82)),9,1))&lt;=57),"N","Y"))</f>
      </c>
      <c r="G82" s="7">
        <f>IF($D82="","",IF(LEN(E82)&lt;4,"",IF(UPPER(MID(E82,4,1))="P","Individual",IF(UPPER(MID(E82,4,1))="H","HUF",IF(UPPER(MID(E82,4,1))="C","Company",IF(UPPER(MID(E82,4,1))="F","Firm",IF(UPPER(MID(E82,4,1))="L","LLP",IF(UPPER(MID(E82,4,1))="T","Trust",IF(UPPER(MID(E82,4,1))="A","AOP","")))))))))</f>
      </c>
      <c r="H82" s="8"/>
      <c r="I82" s="7">
        <f>IF($D82="","",IF(H82="","",IF(F82="Y",SUMPRODUCT(('Rate Lookup'!$A$1:$A$37=H82)*'Rate Lookup'!$D$1:$D$37),IF(OR(G82="Individual",G82="HUF"),SUMPRODUCT(('Rate Lookup'!$A$1:$A$37=H82)*'Rate Lookup'!$B$1:$B$37),SUMPRODUCT(('Rate Lookup'!$A$1:$A$37=H82)*'Rate Lookup'!$C$1:$C$37)))))</f>
      </c>
      <c r="J82" s="8"/>
      <c r="K82" s="8"/>
      <c r="L82" s="7">
        <f>IF($D82="","",ROUND(K82*I82/100,0))</f>
      </c>
      <c r="M82" s="7">
        <f>IF($D82="","",0)</f>
      </c>
      <c r="N82" s="7">
        <f>IF($D82="","",0)</f>
      </c>
      <c r="O82" s="7">
        <f>IF($D82="","",IF(OR(L82=0,J82="",IFERROR(INDEX('Challan Master'!$D$4:$D$207,MATCH($B82,'Challan Master'!$S$4:$S$207,0)),"")="",IFERROR(INDEX('Challan Master'!$D$4:$D$207,MATCH($B82,'Challan Master'!$S$4:$S$207,0)),"")&lt;=0),0,IF(IFERROR(INDEX('Challan Master'!$D$4:$D$207,MATCH($B82,'Challan Master'!$S$4:$S$207,0)),"")&lt;=DATE(YEAR(J82),MONTH(J82)+1,7),0,ROUND(L82*0.015*((YEAR(IFERROR(INDEX('Challan Master'!$D$4:$D$207,MATCH($B82,'Challan Master'!$S$4:$S$207,0)),""))-YEAR(J82))*12+(MONTH(IFERROR(INDEX('Challan Master'!$D$4:$D$207,MATCH($B82,'Challan Master'!$S$4:$S$207,0)),""))-MONTH(J82))+1),0))))</f>
      </c>
      <c r="P82" s="7">
        <f>IF($D82="","",0)</f>
      </c>
      <c r="Q82" s="8"/>
      <c r="R82" s="8"/>
      <c r="S82" s="8"/>
      <c r="T82" s="8"/>
      <c r="U82" s="8"/>
      <c r="V82" s="7">
        <f>IF($B82="","",IFERROR(INDEX('Challan Master'!$AA$4:$AA$207,MATCH($B82,'Challan Master'!$S$4:$S$207,0)),""))</f>
      </c>
    </row>
    <row r="83" spans="1:22" x14ac:dyDescent="0.25">
      <c r="A83" s="7">
        <f>IF($D83="","",COUNTIF($D$4:$D83,"&lt;&gt;"))</f>
      </c>
      <c r="B83" s="8"/>
      <c r="C83" s="7">
        <f>IF($B83="","","BSR "&amp;IFERROR(INDEX('Challan Master'!$B$4:$B$207,MATCH($B83,'Challan Master'!$S$4:$S$207,0)),"")&amp;" | Serial "&amp;IFERROR(INDEX('Challan Master'!$C$4:$C$207,MATCH($B83,'Challan Master'!$S$4:$S$207,0)),"")&amp;" | Deposit "&amp;TEXT(IFERROR(INDEX('Challan Master'!$D$4:$D$207,MATCH($B83,'Challan Master'!$S$4:$S$207,0)),""),"dd-mm-yyyy")&amp;" | Minor Head "&amp;IFERROR(INDEX('Challan Master'!$E$4:$E$207,MATCH($B83,'Challan Master'!$S$4:$S$207,0)),"")&amp;" | Tax ₹"&amp;TEXT(IFERROR(INDEX('Challan Master'!$G$4:$G$207,MATCH($B83,'Challan Master'!$S$4:$S$207,0)),""),"#,##0")&amp;" | Section "&amp;IFERROR(INDEX('Challan Master'!$F$4:$F$207,MATCH($B83,'Challan Master'!$S$4:$S$207,0)),""))</f>
      </c>
      <c r="D83" s="8"/>
      <c r="E83" s="8"/>
      <c r="F83" s="7">
        <f>IF($D83="","",IF(AND(LEN(TRIM(UPPER(E83)))=10,CODE(MID(TRIM(UPPER(E83)),1,1))&gt;=65,CODE(MID(TRIM(UPPER(E83)),1,1))&lt;=90,CODE(MID(TRIM(UPPER(E83)),2,1))&gt;=65,CODE(MID(TRIM(UPPER(E83)),2,1))&lt;=90,CODE(MID(TRIM(UPPER(E83)),3,1))&gt;=65,CODE(MID(TRIM(UPPER(E83)),3,1))&lt;=90,CODE(MID(TRIM(UPPER(E83)),4,1))&gt;=65,CODE(MID(TRIM(UPPER(E83)),4,1))&lt;=90,CODE(MID(TRIM(UPPER(E83)),5,1))&gt;=65,CODE(MID(TRIM(UPPER(E83)),5,1))&lt;=90,CODE(MID(TRIM(UPPER(E83)),10,1))&gt;=65,CODE(MID(TRIM(UPPER(E83)),10,1))&lt;=90,CODE(MID(TRIM(UPPER(E83)),6,1))&gt;=48,CODE(MID(TRIM(UPPER(E83)),6,1))&lt;=57,CODE(MID(TRIM(UPPER(E83)),7,1))&gt;=48,CODE(MID(TRIM(UPPER(E83)),7,1))&lt;=57,CODE(MID(TRIM(UPPER(E83)),8,1))&gt;=48,CODE(MID(TRIM(UPPER(E83)),8,1))&lt;=57,CODE(MID(TRIM(UPPER(E83)),9,1))&gt;=48,CODE(MID(TRIM(UPPER(E83)),9,1))&lt;=57),"N","Y"))</f>
      </c>
      <c r="G83" s="7">
        <f>IF($D83="","",IF(LEN(E83)&lt;4,"",IF(UPPER(MID(E83,4,1))="P","Individual",IF(UPPER(MID(E83,4,1))="H","HUF",IF(UPPER(MID(E83,4,1))="C","Company",IF(UPPER(MID(E83,4,1))="F","Firm",IF(UPPER(MID(E83,4,1))="L","LLP",IF(UPPER(MID(E83,4,1))="T","Trust",IF(UPPER(MID(E83,4,1))="A","AOP","")))))))))</f>
      </c>
      <c r="H83" s="8"/>
      <c r="I83" s="7">
        <f>IF($D83="","",IF(H83="","",IF(F83="Y",SUMPRODUCT(('Rate Lookup'!$A$1:$A$37=H83)*'Rate Lookup'!$D$1:$D$37),IF(OR(G83="Individual",G83="HUF"),SUMPRODUCT(('Rate Lookup'!$A$1:$A$37=H83)*'Rate Lookup'!$B$1:$B$37),SUMPRODUCT(('Rate Lookup'!$A$1:$A$37=H83)*'Rate Lookup'!$C$1:$C$37)))))</f>
      </c>
      <c r="J83" s="8"/>
      <c r="K83" s="8"/>
      <c r="L83" s="7">
        <f>IF($D83="","",ROUND(K83*I83/100,0))</f>
      </c>
      <c r="M83" s="7">
        <f>IF($D83="","",0)</f>
      </c>
      <c r="N83" s="7">
        <f>IF($D83="","",0)</f>
      </c>
      <c r="O83" s="7">
        <f>IF($D83="","",IF(OR(L83=0,J83="",IFERROR(INDEX('Challan Master'!$D$4:$D$207,MATCH($B83,'Challan Master'!$S$4:$S$207,0)),"")="",IFERROR(INDEX('Challan Master'!$D$4:$D$207,MATCH($B83,'Challan Master'!$S$4:$S$207,0)),"")&lt;=0),0,IF(IFERROR(INDEX('Challan Master'!$D$4:$D$207,MATCH($B83,'Challan Master'!$S$4:$S$207,0)),"")&lt;=DATE(YEAR(J83),MONTH(J83)+1,7),0,ROUND(L83*0.015*((YEAR(IFERROR(INDEX('Challan Master'!$D$4:$D$207,MATCH($B83,'Challan Master'!$S$4:$S$207,0)),""))-YEAR(J83))*12+(MONTH(IFERROR(INDEX('Challan Master'!$D$4:$D$207,MATCH($B83,'Challan Master'!$S$4:$S$207,0)),""))-MONTH(J83))+1),0))))</f>
      </c>
      <c r="P83" s="7">
        <f>IF($D83="","",0)</f>
      </c>
      <c r="Q83" s="8"/>
      <c r="R83" s="8"/>
      <c r="S83" s="8"/>
      <c r="T83" s="8"/>
      <c r="U83" s="8"/>
      <c r="V83" s="7">
        <f>IF($B83="","",IFERROR(INDEX('Challan Master'!$AA$4:$AA$207,MATCH($B83,'Challan Master'!$S$4:$S$207,0)),""))</f>
      </c>
    </row>
    <row r="84" spans="1:22" x14ac:dyDescent="0.25">
      <c r="A84" s="7">
        <f>IF($D84="","",COUNTIF($D$4:$D84,"&lt;&gt;"))</f>
      </c>
      <c r="B84" s="8"/>
      <c r="C84" s="7">
        <f>IF($B84="","","BSR "&amp;IFERROR(INDEX('Challan Master'!$B$4:$B$207,MATCH($B84,'Challan Master'!$S$4:$S$207,0)),"")&amp;" | Serial "&amp;IFERROR(INDEX('Challan Master'!$C$4:$C$207,MATCH($B84,'Challan Master'!$S$4:$S$207,0)),"")&amp;" | Deposit "&amp;TEXT(IFERROR(INDEX('Challan Master'!$D$4:$D$207,MATCH($B84,'Challan Master'!$S$4:$S$207,0)),""),"dd-mm-yyyy")&amp;" | Minor Head "&amp;IFERROR(INDEX('Challan Master'!$E$4:$E$207,MATCH($B84,'Challan Master'!$S$4:$S$207,0)),"")&amp;" | Tax ₹"&amp;TEXT(IFERROR(INDEX('Challan Master'!$G$4:$G$207,MATCH($B84,'Challan Master'!$S$4:$S$207,0)),""),"#,##0")&amp;" | Section "&amp;IFERROR(INDEX('Challan Master'!$F$4:$F$207,MATCH($B84,'Challan Master'!$S$4:$S$207,0)),""))</f>
      </c>
      <c r="D84" s="8"/>
      <c r="E84" s="8"/>
      <c r="F84" s="7">
        <f>IF($D84="","",IF(AND(LEN(TRIM(UPPER(E84)))=10,CODE(MID(TRIM(UPPER(E84)),1,1))&gt;=65,CODE(MID(TRIM(UPPER(E84)),1,1))&lt;=90,CODE(MID(TRIM(UPPER(E84)),2,1))&gt;=65,CODE(MID(TRIM(UPPER(E84)),2,1))&lt;=90,CODE(MID(TRIM(UPPER(E84)),3,1))&gt;=65,CODE(MID(TRIM(UPPER(E84)),3,1))&lt;=90,CODE(MID(TRIM(UPPER(E84)),4,1))&gt;=65,CODE(MID(TRIM(UPPER(E84)),4,1))&lt;=90,CODE(MID(TRIM(UPPER(E84)),5,1))&gt;=65,CODE(MID(TRIM(UPPER(E84)),5,1))&lt;=90,CODE(MID(TRIM(UPPER(E84)),10,1))&gt;=65,CODE(MID(TRIM(UPPER(E84)),10,1))&lt;=90,CODE(MID(TRIM(UPPER(E84)),6,1))&gt;=48,CODE(MID(TRIM(UPPER(E84)),6,1))&lt;=57,CODE(MID(TRIM(UPPER(E84)),7,1))&gt;=48,CODE(MID(TRIM(UPPER(E84)),7,1))&lt;=57,CODE(MID(TRIM(UPPER(E84)),8,1))&gt;=48,CODE(MID(TRIM(UPPER(E84)),8,1))&lt;=57,CODE(MID(TRIM(UPPER(E84)),9,1))&gt;=48,CODE(MID(TRIM(UPPER(E84)),9,1))&lt;=57),"N","Y"))</f>
      </c>
      <c r="G84" s="7">
        <f>IF($D84="","",IF(LEN(E84)&lt;4,"",IF(UPPER(MID(E84,4,1))="P","Individual",IF(UPPER(MID(E84,4,1))="H","HUF",IF(UPPER(MID(E84,4,1))="C","Company",IF(UPPER(MID(E84,4,1))="F","Firm",IF(UPPER(MID(E84,4,1))="L","LLP",IF(UPPER(MID(E84,4,1))="T","Trust",IF(UPPER(MID(E84,4,1))="A","AOP","")))))))))</f>
      </c>
      <c r="H84" s="8"/>
      <c r="I84" s="7">
        <f>IF($D84="","",IF(H84="","",IF(F84="Y",SUMPRODUCT(('Rate Lookup'!$A$1:$A$37=H84)*'Rate Lookup'!$D$1:$D$37),IF(OR(G84="Individual",G84="HUF"),SUMPRODUCT(('Rate Lookup'!$A$1:$A$37=H84)*'Rate Lookup'!$B$1:$B$37),SUMPRODUCT(('Rate Lookup'!$A$1:$A$37=H84)*'Rate Lookup'!$C$1:$C$37)))))</f>
      </c>
      <c r="J84" s="8"/>
      <c r="K84" s="8"/>
      <c r="L84" s="7">
        <f>IF($D84="","",ROUND(K84*I84/100,0))</f>
      </c>
      <c r="M84" s="7">
        <f>IF($D84="","",0)</f>
      </c>
      <c r="N84" s="7">
        <f>IF($D84="","",0)</f>
      </c>
      <c r="O84" s="7">
        <f>IF($D84="","",IF(OR(L84=0,J84="",IFERROR(INDEX('Challan Master'!$D$4:$D$207,MATCH($B84,'Challan Master'!$S$4:$S$207,0)),"")="",IFERROR(INDEX('Challan Master'!$D$4:$D$207,MATCH($B84,'Challan Master'!$S$4:$S$207,0)),"")&lt;=0),0,IF(IFERROR(INDEX('Challan Master'!$D$4:$D$207,MATCH($B84,'Challan Master'!$S$4:$S$207,0)),"")&lt;=DATE(YEAR(J84),MONTH(J84)+1,7),0,ROUND(L84*0.015*((YEAR(IFERROR(INDEX('Challan Master'!$D$4:$D$207,MATCH($B84,'Challan Master'!$S$4:$S$207,0)),""))-YEAR(J84))*12+(MONTH(IFERROR(INDEX('Challan Master'!$D$4:$D$207,MATCH($B84,'Challan Master'!$S$4:$S$207,0)),""))-MONTH(J84))+1),0))))</f>
      </c>
      <c r="P84" s="7">
        <f>IF($D84="","",0)</f>
      </c>
      <c r="Q84" s="8"/>
      <c r="R84" s="8"/>
      <c r="S84" s="8"/>
      <c r="T84" s="8"/>
      <c r="U84" s="8"/>
      <c r="V84" s="7">
        <f>IF($B84="","",IFERROR(INDEX('Challan Master'!$AA$4:$AA$207,MATCH($B84,'Challan Master'!$S$4:$S$207,0)),""))</f>
      </c>
    </row>
    <row r="85" spans="1:22" x14ac:dyDescent="0.25">
      <c r="A85" s="7">
        <f>IF($D85="","",COUNTIF($D$4:$D85,"&lt;&gt;"))</f>
      </c>
      <c r="B85" s="8"/>
      <c r="C85" s="7">
        <f>IF($B85="","","BSR "&amp;IFERROR(INDEX('Challan Master'!$B$4:$B$207,MATCH($B85,'Challan Master'!$S$4:$S$207,0)),"")&amp;" | Serial "&amp;IFERROR(INDEX('Challan Master'!$C$4:$C$207,MATCH($B85,'Challan Master'!$S$4:$S$207,0)),"")&amp;" | Deposit "&amp;TEXT(IFERROR(INDEX('Challan Master'!$D$4:$D$207,MATCH($B85,'Challan Master'!$S$4:$S$207,0)),""),"dd-mm-yyyy")&amp;" | Minor Head "&amp;IFERROR(INDEX('Challan Master'!$E$4:$E$207,MATCH($B85,'Challan Master'!$S$4:$S$207,0)),"")&amp;" | Tax ₹"&amp;TEXT(IFERROR(INDEX('Challan Master'!$G$4:$G$207,MATCH($B85,'Challan Master'!$S$4:$S$207,0)),""),"#,##0")&amp;" | Section "&amp;IFERROR(INDEX('Challan Master'!$F$4:$F$207,MATCH($B85,'Challan Master'!$S$4:$S$207,0)),""))</f>
      </c>
      <c r="D85" s="8"/>
      <c r="E85" s="8"/>
      <c r="F85" s="7">
        <f>IF($D85="","",IF(AND(LEN(TRIM(UPPER(E85)))=10,CODE(MID(TRIM(UPPER(E85)),1,1))&gt;=65,CODE(MID(TRIM(UPPER(E85)),1,1))&lt;=90,CODE(MID(TRIM(UPPER(E85)),2,1))&gt;=65,CODE(MID(TRIM(UPPER(E85)),2,1))&lt;=90,CODE(MID(TRIM(UPPER(E85)),3,1))&gt;=65,CODE(MID(TRIM(UPPER(E85)),3,1))&lt;=90,CODE(MID(TRIM(UPPER(E85)),4,1))&gt;=65,CODE(MID(TRIM(UPPER(E85)),4,1))&lt;=90,CODE(MID(TRIM(UPPER(E85)),5,1))&gt;=65,CODE(MID(TRIM(UPPER(E85)),5,1))&lt;=90,CODE(MID(TRIM(UPPER(E85)),10,1))&gt;=65,CODE(MID(TRIM(UPPER(E85)),10,1))&lt;=90,CODE(MID(TRIM(UPPER(E85)),6,1))&gt;=48,CODE(MID(TRIM(UPPER(E85)),6,1))&lt;=57,CODE(MID(TRIM(UPPER(E85)),7,1))&gt;=48,CODE(MID(TRIM(UPPER(E85)),7,1))&lt;=57,CODE(MID(TRIM(UPPER(E85)),8,1))&gt;=48,CODE(MID(TRIM(UPPER(E85)),8,1))&lt;=57,CODE(MID(TRIM(UPPER(E85)),9,1))&gt;=48,CODE(MID(TRIM(UPPER(E85)),9,1))&lt;=57),"N","Y"))</f>
      </c>
      <c r="G85" s="7">
        <f>IF($D85="","",IF(LEN(E85)&lt;4,"",IF(UPPER(MID(E85,4,1))="P","Individual",IF(UPPER(MID(E85,4,1))="H","HUF",IF(UPPER(MID(E85,4,1))="C","Company",IF(UPPER(MID(E85,4,1))="F","Firm",IF(UPPER(MID(E85,4,1))="L","LLP",IF(UPPER(MID(E85,4,1))="T","Trust",IF(UPPER(MID(E85,4,1))="A","AOP","")))))))))</f>
      </c>
      <c r="H85" s="8"/>
      <c r="I85" s="7">
        <f>IF($D85="","",IF(H85="","",IF(F85="Y",SUMPRODUCT(('Rate Lookup'!$A$1:$A$37=H85)*'Rate Lookup'!$D$1:$D$37),IF(OR(G85="Individual",G85="HUF"),SUMPRODUCT(('Rate Lookup'!$A$1:$A$37=H85)*'Rate Lookup'!$B$1:$B$37),SUMPRODUCT(('Rate Lookup'!$A$1:$A$37=H85)*'Rate Lookup'!$C$1:$C$37)))))</f>
      </c>
      <c r="J85" s="8"/>
      <c r="K85" s="8"/>
      <c r="L85" s="7">
        <f>IF($D85="","",ROUND(K85*I85/100,0))</f>
      </c>
      <c r="M85" s="7">
        <f>IF($D85="","",0)</f>
      </c>
      <c r="N85" s="7">
        <f>IF($D85="","",0)</f>
      </c>
      <c r="O85" s="7">
        <f>IF($D85="","",IF(OR(L85=0,J85="",IFERROR(INDEX('Challan Master'!$D$4:$D$207,MATCH($B85,'Challan Master'!$S$4:$S$207,0)),"")="",IFERROR(INDEX('Challan Master'!$D$4:$D$207,MATCH($B85,'Challan Master'!$S$4:$S$207,0)),"")&lt;=0),0,IF(IFERROR(INDEX('Challan Master'!$D$4:$D$207,MATCH($B85,'Challan Master'!$S$4:$S$207,0)),"")&lt;=DATE(YEAR(J85),MONTH(J85)+1,7),0,ROUND(L85*0.015*((YEAR(IFERROR(INDEX('Challan Master'!$D$4:$D$207,MATCH($B85,'Challan Master'!$S$4:$S$207,0)),""))-YEAR(J85))*12+(MONTH(IFERROR(INDEX('Challan Master'!$D$4:$D$207,MATCH($B85,'Challan Master'!$S$4:$S$207,0)),""))-MONTH(J85))+1),0))))</f>
      </c>
      <c r="P85" s="7">
        <f>IF($D85="","",0)</f>
      </c>
      <c r="Q85" s="8"/>
      <c r="R85" s="8"/>
      <c r="S85" s="8"/>
      <c r="T85" s="8"/>
      <c r="U85" s="8"/>
      <c r="V85" s="7">
        <f>IF($B85="","",IFERROR(INDEX('Challan Master'!$AA$4:$AA$207,MATCH($B85,'Challan Master'!$S$4:$S$207,0)),""))</f>
      </c>
    </row>
    <row r="86" spans="1:22" x14ac:dyDescent="0.25">
      <c r="A86" s="7">
        <f>IF($D86="","",COUNTIF($D$4:$D86,"&lt;&gt;"))</f>
      </c>
      <c r="B86" s="8"/>
      <c r="C86" s="7">
        <f>IF($B86="","","BSR "&amp;IFERROR(INDEX('Challan Master'!$B$4:$B$207,MATCH($B86,'Challan Master'!$S$4:$S$207,0)),"")&amp;" | Serial "&amp;IFERROR(INDEX('Challan Master'!$C$4:$C$207,MATCH($B86,'Challan Master'!$S$4:$S$207,0)),"")&amp;" | Deposit "&amp;TEXT(IFERROR(INDEX('Challan Master'!$D$4:$D$207,MATCH($B86,'Challan Master'!$S$4:$S$207,0)),""),"dd-mm-yyyy")&amp;" | Minor Head "&amp;IFERROR(INDEX('Challan Master'!$E$4:$E$207,MATCH($B86,'Challan Master'!$S$4:$S$207,0)),"")&amp;" | Tax ₹"&amp;TEXT(IFERROR(INDEX('Challan Master'!$G$4:$G$207,MATCH($B86,'Challan Master'!$S$4:$S$207,0)),""),"#,##0")&amp;" | Section "&amp;IFERROR(INDEX('Challan Master'!$F$4:$F$207,MATCH($B86,'Challan Master'!$S$4:$S$207,0)),""))</f>
      </c>
      <c r="D86" s="8"/>
      <c r="E86" s="8"/>
      <c r="F86" s="7">
        <f>IF($D86="","",IF(AND(LEN(TRIM(UPPER(E86)))=10,CODE(MID(TRIM(UPPER(E86)),1,1))&gt;=65,CODE(MID(TRIM(UPPER(E86)),1,1))&lt;=90,CODE(MID(TRIM(UPPER(E86)),2,1))&gt;=65,CODE(MID(TRIM(UPPER(E86)),2,1))&lt;=90,CODE(MID(TRIM(UPPER(E86)),3,1))&gt;=65,CODE(MID(TRIM(UPPER(E86)),3,1))&lt;=90,CODE(MID(TRIM(UPPER(E86)),4,1))&gt;=65,CODE(MID(TRIM(UPPER(E86)),4,1))&lt;=90,CODE(MID(TRIM(UPPER(E86)),5,1))&gt;=65,CODE(MID(TRIM(UPPER(E86)),5,1))&lt;=90,CODE(MID(TRIM(UPPER(E86)),10,1))&gt;=65,CODE(MID(TRIM(UPPER(E86)),10,1))&lt;=90,CODE(MID(TRIM(UPPER(E86)),6,1))&gt;=48,CODE(MID(TRIM(UPPER(E86)),6,1))&lt;=57,CODE(MID(TRIM(UPPER(E86)),7,1))&gt;=48,CODE(MID(TRIM(UPPER(E86)),7,1))&lt;=57,CODE(MID(TRIM(UPPER(E86)),8,1))&gt;=48,CODE(MID(TRIM(UPPER(E86)),8,1))&lt;=57,CODE(MID(TRIM(UPPER(E86)),9,1))&gt;=48,CODE(MID(TRIM(UPPER(E86)),9,1))&lt;=57),"N","Y"))</f>
      </c>
      <c r="G86" s="7">
        <f>IF($D86="","",IF(LEN(E86)&lt;4,"",IF(UPPER(MID(E86,4,1))="P","Individual",IF(UPPER(MID(E86,4,1))="H","HUF",IF(UPPER(MID(E86,4,1))="C","Company",IF(UPPER(MID(E86,4,1))="F","Firm",IF(UPPER(MID(E86,4,1))="L","LLP",IF(UPPER(MID(E86,4,1))="T","Trust",IF(UPPER(MID(E86,4,1))="A","AOP","")))))))))</f>
      </c>
      <c r="H86" s="8"/>
      <c r="I86" s="7">
        <f>IF($D86="","",IF(H86="","",IF(F86="Y",SUMPRODUCT(('Rate Lookup'!$A$1:$A$37=H86)*'Rate Lookup'!$D$1:$D$37),IF(OR(G86="Individual",G86="HUF"),SUMPRODUCT(('Rate Lookup'!$A$1:$A$37=H86)*'Rate Lookup'!$B$1:$B$37),SUMPRODUCT(('Rate Lookup'!$A$1:$A$37=H86)*'Rate Lookup'!$C$1:$C$37)))))</f>
      </c>
      <c r="J86" s="8"/>
      <c r="K86" s="8"/>
      <c r="L86" s="7">
        <f>IF($D86="","",ROUND(K86*I86/100,0))</f>
      </c>
      <c r="M86" s="7">
        <f>IF($D86="","",0)</f>
      </c>
      <c r="N86" s="7">
        <f>IF($D86="","",0)</f>
      </c>
      <c r="O86" s="7">
        <f>IF($D86="","",IF(OR(L86=0,J86="",IFERROR(INDEX('Challan Master'!$D$4:$D$207,MATCH($B86,'Challan Master'!$S$4:$S$207,0)),"")="",IFERROR(INDEX('Challan Master'!$D$4:$D$207,MATCH($B86,'Challan Master'!$S$4:$S$207,0)),"")&lt;=0),0,IF(IFERROR(INDEX('Challan Master'!$D$4:$D$207,MATCH($B86,'Challan Master'!$S$4:$S$207,0)),"")&lt;=DATE(YEAR(J86),MONTH(J86)+1,7),0,ROUND(L86*0.015*((YEAR(IFERROR(INDEX('Challan Master'!$D$4:$D$207,MATCH($B86,'Challan Master'!$S$4:$S$207,0)),""))-YEAR(J86))*12+(MONTH(IFERROR(INDEX('Challan Master'!$D$4:$D$207,MATCH($B86,'Challan Master'!$S$4:$S$207,0)),""))-MONTH(J86))+1),0))))</f>
      </c>
      <c r="P86" s="7">
        <f>IF($D86="","",0)</f>
      </c>
      <c r="Q86" s="8"/>
      <c r="R86" s="8"/>
      <c r="S86" s="8"/>
      <c r="T86" s="8"/>
      <c r="U86" s="8"/>
      <c r="V86" s="7">
        <f>IF($B86="","",IFERROR(INDEX('Challan Master'!$AA$4:$AA$207,MATCH($B86,'Challan Master'!$S$4:$S$207,0)),""))</f>
      </c>
    </row>
    <row r="87" spans="1:22" x14ac:dyDescent="0.25">
      <c r="A87" s="7">
        <f>IF($D87="","",COUNTIF($D$4:$D87,"&lt;&gt;"))</f>
      </c>
      <c r="B87" s="8"/>
      <c r="C87" s="7">
        <f>IF($B87="","","BSR "&amp;IFERROR(INDEX('Challan Master'!$B$4:$B$207,MATCH($B87,'Challan Master'!$S$4:$S$207,0)),"")&amp;" | Serial "&amp;IFERROR(INDEX('Challan Master'!$C$4:$C$207,MATCH($B87,'Challan Master'!$S$4:$S$207,0)),"")&amp;" | Deposit "&amp;TEXT(IFERROR(INDEX('Challan Master'!$D$4:$D$207,MATCH($B87,'Challan Master'!$S$4:$S$207,0)),""),"dd-mm-yyyy")&amp;" | Minor Head "&amp;IFERROR(INDEX('Challan Master'!$E$4:$E$207,MATCH($B87,'Challan Master'!$S$4:$S$207,0)),"")&amp;" | Tax ₹"&amp;TEXT(IFERROR(INDEX('Challan Master'!$G$4:$G$207,MATCH($B87,'Challan Master'!$S$4:$S$207,0)),""),"#,##0")&amp;" | Section "&amp;IFERROR(INDEX('Challan Master'!$F$4:$F$207,MATCH($B87,'Challan Master'!$S$4:$S$207,0)),""))</f>
      </c>
      <c r="D87" s="8"/>
      <c r="E87" s="8"/>
      <c r="F87" s="7">
        <f>IF($D87="","",IF(AND(LEN(TRIM(UPPER(E87)))=10,CODE(MID(TRIM(UPPER(E87)),1,1))&gt;=65,CODE(MID(TRIM(UPPER(E87)),1,1))&lt;=90,CODE(MID(TRIM(UPPER(E87)),2,1))&gt;=65,CODE(MID(TRIM(UPPER(E87)),2,1))&lt;=90,CODE(MID(TRIM(UPPER(E87)),3,1))&gt;=65,CODE(MID(TRIM(UPPER(E87)),3,1))&lt;=90,CODE(MID(TRIM(UPPER(E87)),4,1))&gt;=65,CODE(MID(TRIM(UPPER(E87)),4,1))&lt;=90,CODE(MID(TRIM(UPPER(E87)),5,1))&gt;=65,CODE(MID(TRIM(UPPER(E87)),5,1))&lt;=90,CODE(MID(TRIM(UPPER(E87)),10,1))&gt;=65,CODE(MID(TRIM(UPPER(E87)),10,1))&lt;=90,CODE(MID(TRIM(UPPER(E87)),6,1))&gt;=48,CODE(MID(TRIM(UPPER(E87)),6,1))&lt;=57,CODE(MID(TRIM(UPPER(E87)),7,1))&gt;=48,CODE(MID(TRIM(UPPER(E87)),7,1))&lt;=57,CODE(MID(TRIM(UPPER(E87)),8,1))&gt;=48,CODE(MID(TRIM(UPPER(E87)),8,1))&lt;=57,CODE(MID(TRIM(UPPER(E87)),9,1))&gt;=48,CODE(MID(TRIM(UPPER(E87)),9,1))&lt;=57),"N","Y"))</f>
      </c>
      <c r="G87" s="7">
        <f>IF($D87="","",IF(LEN(E87)&lt;4,"",IF(UPPER(MID(E87,4,1))="P","Individual",IF(UPPER(MID(E87,4,1))="H","HUF",IF(UPPER(MID(E87,4,1))="C","Company",IF(UPPER(MID(E87,4,1))="F","Firm",IF(UPPER(MID(E87,4,1))="L","LLP",IF(UPPER(MID(E87,4,1))="T","Trust",IF(UPPER(MID(E87,4,1))="A","AOP","")))))))))</f>
      </c>
      <c r="H87" s="8"/>
      <c r="I87" s="7">
        <f>IF($D87="","",IF(H87="","",IF(F87="Y",SUMPRODUCT(('Rate Lookup'!$A$1:$A$37=H87)*'Rate Lookup'!$D$1:$D$37),IF(OR(G87="Individual",G87="HUF"),SUMPRODUCT(('Rate Lookup'!$A$1:$A$37=H87)*'Rate Lookup'!$B$1:$B$37),SUMPRODUCT(('Rate Lookup'!$A$1:$A$37=H87)*'Rate Lookup'!$C$1:$C$37)))))</f>
      </c>
      <c r="J87" s="8"/>
      <c r="K87" s="8"/>
      <c r="L87" s="7">
        <f>IF($D87="","",ROUND(K87*I87/100,0))</f>
      </c>
      <c r="M87" s="7">
        <f>IF($D87="","",0)</f>
      </c>
      <c r="N87" s="7">
        <f>IF($D87="","",0)</f>
      </c>
      <c r="O87" s="7">
        <f>IF($D87="","",IF(OR(L87=0,J87="",IFERROR(INDEX('Challan Master'!$D$4:$D$207,MATCH($B87,'Challan Master'!$S$4:$S$207,0)),"")="",IFERROR(INDEX('Challan Master'!$D$4:$D$207,MATCH($B87,'Challan Master'!$S$4:$S$207,0)),"")&lt;=0),0,IF(IFERROR(INDEX('Challan Master'!$D$4:$D$207,MATCH($B87,'Challan Master'!$S$4:$S$207,0)),"")&lt;=DATE(YEAR(J87),MONTH(J87)+1,7),0,ROUND(L87*0.015*((YEAR(IFERROR(INDEX('Challan Master'!$D$4:$D$207,MATCH($B87,'Challan Master'!$S$4:$S$207,0)),""))-YEAR(J87))*12+(MONTH(IFERROR(INDEX('Challan Master'!$D$4:$D$207,MATCH($B87,'Challan Master'!$S$4:$S$207,0)),""))-MONTH(J87))+1),0))))</f>
      </c>
      <c r="P87" s="7">
        <f>IF($D87="","",0)</f>
      </c>
      <c r="Q87" s="8"/>
      <c r="R87" s="8"/>
      <c r="S87" s="8"/>
      <c r="T87" s="8"/>
      <c r="U87" s="8"/>
      <c r="V87" s="7">
        <f>IF($B87="","",IFERROR(INDEX('Challan Master'!$AA$4:$AA$207,MATCH($B87,'Challan Master'!$S$4:$S$207,0)),""))</f>
      </c>
    </row>
    <row r="88" spans="1:22" x14ac:dyDescent="0.25">
      <c r="A88" s="7">
        <f>IF($D88="","",COUNTIF($D$4:$D88,"&lt;&gt;"))</f>
      </c>
      <c r="B88" s="8"/>
      <c r="C88" s="7">
        <f>IF($B88="","","BSR "&amp;IFERROR(INDEX('Challan Master'!$B$4:$B$207,MATCH($B88,'Challan Master'!$S$4:$S$207,0)),"")&amp;" | Serial "&amp;IFERROR(INDEX('Challan Master'!$C$4:$C$207,MATCH($B88,'Challan Master'!$S$4:$S$207,0)),"")&amp;" | Deposit "&amp;TEXT(IFERROR(INDEX('Challan Master'!$D$4:$D$207,MATCH($B88,'Challan Master'!$S$4:$S$207,0)),""),"dd-mm-yyyy")&amp;" | Minor Head "&amp;IFERROR(INDEX('Challan Master'!$E$4:$E$207,MATCH($B88,'Challan Master'!$S$4:$S$207,0)),"")&amp;" | Tax ₹"&amp;TEXT(IFERROR(INDEX('Challan Master'!$G$4:$G$207,MATCH($B88,'Challan Master'!$S$4:$S$207,0)),""),"#,##0")&amp;" | Section "&amp;IFERROR(INDEX('Challan Master'!$F$4:$F$207,MATCH($B88,'Challan Master'!$S$4:$S$207,0)),""))</f>
      </c>
      <c r="D88" s="8"/>
      <c r="E88" s="8"/>
      <c r="F88" s="7">
        <f>IF($D88="","",IF(AND(LEN(TRIM(UPPER(E88)))=10,CODE(MID(TRIM(UPPER(E88)),1,1))&gt;=65,CODE(MID(TRIM(UPPER(E88)),1,1))&lt;=90,CODE(MID(TRIM(UPPER(E88)),2,1))&gt;=65,CODE(MID(TRIM(UPPER(E88)),2,1))&lt;=90,CODE(MID(TRIM(UPPER(E88)),3,1))&gt;=65,CODE(MID(TRIM(UPPER(E88)),3,1))&lt;=90,CODE(MID(TRIM(UPPER(E88)),4,1))&gt;=65,CODE(MID(TRIM(UPPER(E88)),4,1))&lt;=90,CODE(MID(TRIM(UPPER(E88)),5,1))&gt;=65,CODE(MID(TRIM(UPPER(E88)),5,1))&lt;=90,CODE(MID(TRIM(UPPER(E88)),10,1))&gt;=65,CODE(MID(TRIM(UPPER(E88)),10,1))&lt;=90,CODE(MID(TRIM(UPPER(E88)),6,1))&gt;=48,CODE(MID(TRIM(UPPER(E88)),6,1))&lt;=57,CODE(MID(TRIM(UPPER(E88)),7,1))&gt;=48,CODE(MID(TRIM(UPPER(E88)),7,1))&lt;=57,CODE(MID(TRIM(UPPER(E88)),8,1))&gt;=48,CODE(MID(TRIM(UPPER(E88)),8,1))&lt;=57,CODE(MID(TRIM(UPPER(E88)),9,1))&gt;=48,CODE(MID(TRIM(UPPER(E88)),9,1))&lt;=57),"N","Y"))</f>
      </c>
      <c r="G88" s="7">
        <f>IF($D88="","",IF(LEN(E88)&lt;4,"",IF(UPPER(MID(E88,4,1))="P","Individual",IF(UPPER(MID(E88,4,1))="H","HUF",IF(UPPER(MID(E88,4,1))="C","Company",IF(UPPER(MID(E88,4,1))="F","Firm",IF(UPPER(MID(E88,4,1))="L","LLP",IF(UPPER(MID(E88,4,1))="T","Trust",IF(UPPER(MID(E88,4,1))="A","AOP","")))))))))</f>
      </c>
      <c r="H88" s="8"/>
      <c r="I88" s="7">
        <f>IF($D88="","",IF(H88="","",IF(F88="Y",SUMPRODUCT(('Rate Lookup'!$A$1:$A$37=H88)*'Rate Lookup'!$D$1:$D$37),IF(OR(G88="Individual",G88="HUF"),SUMPRODUCT(('Rate Lookup'!$A$1:$A$37=H88)*'Rate Lookup'!$B$1:$B$37),SUMPRODUCT(('Rate Lookup'!$A$1:$A$37=H88)*'Rate Lookup'!$C$1:$C$37)))))</f>
      </c>
      <c r="J88" s="8"/>
      <c r="K88" s="8"/>
      <c r="L88" s="7">
        <f>IF($D88="","",ROUND(K88*I88/100,0))</f>
      </c>
      <c r="M88" s="7">
        <f>IF($D88="","",0)</f>
      </c>
      <c r="N88" s="7">
        <f>IF($D88="","",0)</f>
      </c>
      <c r="O88" s="7">
        <f>IF($D88="","",IF(OR(L88=0,J88="",IFERROR(INDEX('Challan Master'!$D$4:$D$207,MATCH($B88,'Challan Master'!$S$4:$S$207,0)),"")="",IFERROR(INDEX('Challan Master'!$D$4:$D$207,MATCH($B88,'Challan Master'!$S$4:$S$207,0)),"")&lt;=0),0,IF(IFERROR(INDEX('Challan Master'!$D$4:$D$207,MATCH($B88,'Challan Master'!$S$4:$S$207,0)),"")&lt;=DATE(YEAR(J88),MONTH(J88)+1,7),0,ROUND(L88*0.015*((YEAR(IFERROR(INDEX('Challan Master'!$D$4:$D$207,MATCH($B88,'Challan Master'!$S$4:$S$207,0)),""))-YEAR(J88))*12+(MONTH(IFERROR(INDEX('Challan Master'!$D$4:$D$207,MATCH($B88,'Challan Master'!$S$4:$S$207,0)),""))-MONTH(J88))+1),0))))</f>
      </c>
      <c r="P88" s="7">
        <f>IF($D88="","",0)</f>
      </c>
      <c r="Q88" s="8"/>
      <c r="R88" s="8"/>
      <c r="S88" s="8"/>
      <c r="T88" s="8"/>
      <c r="U88" s="8"/>
      <c r="V88" s="7">
        <f>IF($B88="","",IFERROR(INDEX('Challan Master'!$AA$4:$AA$207,MATCH($B88,'Challan Master'!$S$4:$S$207,0)),""))</f>
      </c>
    </row>
    <row r="89" spans="1:22" x14ac:dyDescent="0.25">
      <c r="A89" s="7">
        <f>IF($D89="","",COUNTIF($D$4:$D89,"&lt;&gt;"))</f>
      </c>
      <c r="B89" s="8"/>
      <c r="C89" s="7">
        <f>IF($B89="","","BSR "&amp;IFERROR(INDEX('Challan Master'!$B$4:$B$207,MATCH($B89,'Challan Master'!$S$4:$S$207,0)),"")&amp;" | Serial "&amp;IFERROR(INDEX('Challan Master'!$C$4:$C$207,MATCH($B89,'Challan Master'!$S$4:$S$207,0)),"")&amp;" | Deposit "&amp;TEXT(IFERROR(INDEX('Challan Master'!$D$4:$D$207,MATCH($B89,'Challan Master'!$S$4:$S$207,0)),""),"dd-mm-yyyy")&amp;" | Minor Head "&amp;IFERROR(INDEX('Challan Master'!$E$4:$E$207,MATCH($B89,'Challan Master'!$S$4:$S$207,0)),"")&amp;" | Tax ₹"&amp;TEXT(IFERROR(INDEX('Challan Master'!$G$4:$G$207,MATCH($B89,'Challan Master'!$S$4:$S$207,0)),""),"#,##0")&amp;" | Section "&amp;IFERROR(INDEX('Challan Master'!$F$4:$F$207,MATCH($B89,'Challan Master'!$S$4:$S$207,0)),""))</f>
      </c>
      <c r="D89" s="8"/>
      <c r="E89" s="8"/>
      <c r="F89" s="7">
        <f>IF($D89="","",IF(AND(LEN(TRIM(UPPER(E89)))=10,CODE(MID(TRIM(UPPER(E89)),1,1))&gt;=65,CODE(MID(TRIM(UPPER(E89)),1,1))&lt;=90,CODE(MID(TRIM(UPPER(E89)),2,1))&gt;=65,CODE(MID(TRIM(UPPER(E89)),2,1))&lt;=90,CODE(MID(TRIM(UPPER(E89)),3,1))&gt;=65,CODE(MID(TRIM(UPPER(E89)),3,1))&lt;=90,CODE(MID(TRIM(UPPER(E89)),4,1))&gt;=65,CODE(MID(TRIM(UPPER(E89)),4,1))&lt;=90,CODE(MID(TRIM(UPPER(E89)),5,1))&gt;=65,CODE(MID(TRIM(UPPER(E89)),5,1))&lt;=90,CODE(MID(TRIM(UPPER(E89)),10,1))&gt;=65,CODE(MID(TRIM(UPPER(E89)),10,1))&lt;=90,CODE(MID(TRIM(UPPER(E89)),6,1))&gt;=48,CODE(MID(TRIM(UPPER(E89)),6,1))&lt;=57,CODE(MID(TRIM(UPPER(E89)),7,1))&gt;=48,CODE(MID(TRIM(UPPER(E89)),7,1))&lt;=57,CODE(MID(TRIM(UPPER(E89)),8,1))&gt;=48,CODE(MID(TRIM(UPPER(E89)),8,1))&lt;=57,CODE(MID(TRIM(UPPER(E89)),9,1))&gt;=48,CODE(MID(TRIM(UPPER(E89)),9,1))&lt;=57),"N","Y"))</f>
      </c>
      <c r="G89" s="7">
        <f>IF($D89="","",IF(LEN(E89)&lt;4,"",IF(UPPER(MID(E89,4,1))="P","Individual",IF(UPPER(MID(E89,4,1))="H","HUF",IF(UPPER(MID(E89,4,1))="C","Company",IF(UPPER(MID(E89,4,1))="F","Firm",IF(UPPER(MID(E89,4,1))="L","LLP",IF(UPPER(MID(E89,4,1))="T","Trust",IF(UPPER(MID(E89,4,1))="A","AOP","")))))))))</f>
      </c>
      <c r="H89" s="8"/>
      <c r="I89" s="7">
        <f>IF($D89="","",IF(H89="","",IF(F89="Y",SUMPRODUCT(('Rate Lookup'!$A$1:$A$37=H89)*'Rate Lookup'!$D$1:$D$37),IF(OR(G89="Individual",G89="HUF"),SUMPRODUCT(('Rate Lookup'!$A$1:$A$37=H89)*'Rate Lookup'!$B$1:$B$37),SUMPRODUCT(('Rate Lookup'!$A$1:$A$37=H89)*'Rate Lookup'!$C$1:$C$37)))))</f>
      </c>
      <c r="J89" s="8"/>
      <c r="K89" s="8"/>
      <c r="L89" s="7">
        <f>IF($D89="","",ROUND(K89*I89/100,0))</f>
      </c>
      <c r="M89" s="7">
        <f>IF($D89="","",0)</f>
      </c>
      <c r="N89" s="7">
        <f>IF($D89="","",0)</f>
      </c>
      <c r="O89" s="7">
        <f>IF($D89="","",IF(OR(L89=0,J89="",IFERROR(INDEX('Challan Master'!$D$4:$D$207,MATCH($B89,'Challan Master'!$S$4:$S$207,0)),"")="",IFERROR(INDEX('Challan Master'!$D$4:$D$207,MATCH($B89,'Challan Master'!$S$4:$S$207,0)),"")&lt;=0),0,IF(IFERROR(INDEX('Challan Master'!$D$4:$D$207,MATCH($B89,'Challan Master'!$S$4:$S$207,0)),"")&lt;=DATE(YEAR(J89),MONTH(J89)+1,7),0,ROUND(L89*0.015*((YEAR(IFERROR(INDEX('Challan Master'!$D$4:$D$207,MATCH($B89,'Challan Master'!$S$4:$S$207,0)),""))-YEAR(J89))*12+(MONTH(IFERROR(INDEX('Challan Master'!$D$4:$D$207,MATCH($B89,'Challan Master'!$S$4:$S$207,0)),""))-MONTH(J89))+1),0))))</f>
      </c>
      <c r="P89" s="7">
        <f>IF($D89="","",0)</f>
      </c>
      <c r="Q89" s="8"/>
      <c r="R89" s="8"/>
      <c r="S89" s="8"/>
      <c r="T89" s="8"/>
      <c r="U89" s="8"/>
      <c r="V89" s="7">
        <f>IF($B89="","",IFERROR(INDEX('Challan Master'!$AA$4:$AA$207,MATCH($B89,'Challan Master'!$S$4:$S$207,0)),""))</f>
      </c>
    </row>
    <row r="90" spans="1:22" x14ac:dyDescent="0.25">
      <c r="A90" s="7">
        <f>IF($D90="","",COUNTIF($D$4:$D90,"&lt;&gt;"))</f>
      </c>
      <c r="B90" s="8"/>
      <c r="C90" s="7">
        <f>IF($B90="","","BSR "&amp;IFERROR(INDEX('Challan Master'!$B$4:$B$207,MATCH($B90,'Challan Master'!$S$4:$S$207,0)),"")&amp;" | Serial "&amp;IFERROR(INDEX('Challan Master'!$C$4:$C$207,MATCH($B90,'Challan Master'!$S$4:$S$207,0)),"")&amp;" | Deposit "&amp;TEXT(IFERROR(INDEX('Challan Master'!$D$4:$D$207,MATCH($B90,'Challan Master'!$S$4:$S$207,0)),""),"dd-mm-yyyy")&amp;" | Minor Head "&amp;IFERROR(INDEX('Challan Master'!$E$4:$E$207,MATCH($B90,'Challan Master'!$S$4:$S$207,0)),"")&amp;" | Tax ₹"&amp;TEXT(IFERROR(INDEX('Challan Master'!$G$4:$G$207,MATCH($B90,'Challan Master'!$S$4:$S$207,0)),""),"#,##0")&amp;" | Section "&amp;IFERROR(INDEX('Challan Master'!$F$4:$F$207,MATCH($B90,'Challan Master'!$S$4:$S$207,0)),""))</f>
      </c>
      <c r="D90" s="8"/>
      <c r="E90" s="8"/>
      <c r="F90" s="7">
        <f>IF($D90="","",IF(AND(LEN(TRIM(UPPER(E90)))=10,CODE(MID(TRIM(UPPER(E90)),1,1))&gt;=65,CODE(MID(TRIM(UPPER(E90)),1,1))&lt;=90,CODE(MID(TRIM(UPPER(E90)),2,1))&gt;=65,CODE(MID(TRIM(UPPER(E90)),2,1))&lt;=90,CODE(MID(TRIM(UPPER(E90)),3,1))&gt;=65,CODE(MID(TRIM(UPPER(E90)),3,1))&lt;=90,CODE(MID(TRIM(UPPER(E90)),4,1))&gt;=65,CODE(MID(TRIM(UPPER(E90)),4,1))&lt;=90,CODE(MID(TRIM(UPPER(E90)),5,1))&gt;=65,CODE(MID(TRIM(UPPER(E90)),5,1))&lt;=90,CODE(MID(TRIM(UPPER(E90)),10,1))&gt;=65,CODE(MID(TRIM(UPPER(E90)),10,1))&lt;=90,CODE(MID(TRIM(UPPER(E90)),6,1))&gt;=48,CODE(MID(TRIM(UPPER(E90)),6,1))&lt;=57,CODE(MID(TRIM(UPPER(E90)),7,1))&gt;=48,CODE(MID(TRIM(UPPER(E90)),7,1))&lt;=57,CODE(MID(TRIM(UPPER(E90)),8,1))&gt;=48,CODE(MID(TRIM(UPPER(E90)),8,1))&lt;=57,CODE(MID(TRIM(UPPER(E90)),9,1))&gt;=48,CODE(MID(TRIM(UPPER(E90)),9,1))&lt;=57),"N","Y"))</f>
      </c>
      <c r="G90" s="7">
        <f>IF($D90="","",IF(LEN(E90)&lt;4,"",IF(UPPER(MID(E90,4,1))="P","Individual",IF(UPPER(MID(E90,4,1))="H","HUF",IF(UPPER(MID(E90,4,1))="C","Company",IF(UPPER(MID(E90,4,1))="F","Firm",IF(UPPER(MID(E90,4,1))="L","LLP",IF(UPPER(MID(E90,4,1))="T","Trust",IF(UPPER(MID(E90,4,1))="A","AOP","")))))))))</f>
      </c>
      <c r="H90" s="8"/>
      <c r="I90" s="7">
        <f>IF($D90="","",IF(H90="","",IF(F90="Y",SUMPRODUCT(('Rate Lookup'!$A$1:$A$37=H90)*'Rate Lookup'!$D$1:$D$37),IF(OR(G90="Individual",G90="HUF"),SUMPRODUCT(('Rate Lookup'!$A$1:$A$37=H90)*'Rate Lookup'!$B$1:$B$37),SUMPRODUCT(('Rate Lookup'!$A$1:$A$37=H90)*'Rate Lookup'!$C$1:$C$37)))))</f>
      </c>
      <c r="J90" s="8"/>
      <c r="K90" s="8"/>
      <c r="L90" s="7">
        <f>IF($D90="","",ROUND(K90*I90/100,0))</f>
      </c>
      <c r="M90" s="7">
        <f>IF($D90="","",0)</f>
      </c>
      <c r="N90" s="7">
        <f>IF($D90="","",0)</f>
      </c>
      <c r="O90" s="7">
        <f>IF($D90="","",IF(OR(L90=0,J90="",IFERROR(INDEX('Challan Master'!$D$4:$D$207,MATCH($B90,'Challan Master'!$S$4:$S$207,0)),"")="",IFERROR(INDEX('Challan Master'!$D$4:$D$207,MATCH($B90,'Challan Master'!$S$4:$S$207,0)),"")&lt;=0),0,IF(IFERROR(INDEX('Challan Master'!$D$4:$D$207,MATCH($B90,'Challan Master'!$S$4:$S$207,0)),"")&lt;=DATE(YEAR(J90),MONTH(J90)+1,7),0,ROUND(L90*0.015*((YEAR(IFERROR(INDEX('Challan Master'!$D$4:$D$207,MATCH($B90,'Challan Master'!$S$4:$S$207,0)),""))-YEAR(J90))*12+(MONTH(IFERROR(INDEX('Challan Master'!$D$4:$D$207,MATCH($B90,'Challan Master'!$S$4:$S$207,0)),""))-MONTH(J90))+1),0))))</f>
      </c>
      <c r="P90" s="7">
        <f>IF($D90="","",0)</f>
      </c>
      <c r="Q90" s="8"/>
      <c r="R90" s="8"/>
      <c r="S90" s="8"/>
      <c r="T90" s="8"/>
      <c r="U90" s="8"/>
      <c r="V90" s="7">
        <f>IF($B90="","",IFERROR(INDEX('Challan Master'!$AA$4:$AA$207,MATCH($B90,'Challan Master'!$S$4:$S$207,0)),""))</f>
      </c>
    </row>
    <row r="91" spans="1:22" x14ac:dyDescent="0.25">
      <c r="A91" s="7">
        <f>IF($D91="","",COUNTIF($D$4:$D91,"&lt;&gt;"))</f>
      </c>
      <c r="B91" s="8"/>
      <c r="C91" s="7">
        <f>IF($B91="","","BSR "&amp;IFERROR(INDEX('Challan Master'!$B$4:$B$207,MATCH($B91,'Challan Master'!$S$4:$S$207,0)),"")&amp;" | Serial "&amp;IFERROR(INDEX('Challan Master'!$C$4:$C$207,MATCH($B91,'Challan Master'!$S$4:$S$207,0)),"")&amp;" | Deposit "&amp;TEXT(IFERROR(INDEX('Challan Master'!$D$4:$D$207,MATCH($B91,'Challan Master'!$S$4:$S$207,0)),""),"dd-mm-yyyy")&amp;" | Minor Head "&amp;IFERROR(INDEX('Challan Master'!$E$4:$E$207,MATCH($B91,'Challan Master'!$S$4:$S$207,0)),"")&amp;" | Tax ₹"&amp;TEXT(IFERROR(INDEX('Challan Master'!$G$4:$G$207,MATCH($B91,'Challan Master'!$S$4:$S$207,0)),""),"#,##0")&amp;" | Section "&amp;IFERROR(INDEX('Challan Master'!$F$4:$F$207,MATCH($B91,'Challan Master'!$S$4:$S$207,0)),""))</f>
      </c>
      <c r="D91" s="8"/>
      <c r="E91" s="8"/>
      <c r="F91" s="7">
        <f>IF($D91="","",IF(AND(LEN(TRIM(UPPER(E91)))=10,CODE(MID(TRIM(UPPER(E91)),1,1))&gt;=65,CODE(MID(TRIM(UPPER(E91)),1,1))&lt;=90,CODE(MID(TRIM(UPPER(E91)),2,1))&gt;=65,CODE(MID(TRIM(UPPER(E91)),2,1))&lt;=90,CODE(MID(TRIM(UPPER(E91)),3,1))&gt;=65,CODE(MID(TRIM(UPPER(E91)),3,1))&lt;=90,CODE(MID(TRIM(UPPER(E91)),4,1))&gt;=65,CODE(MID(TRIM(UPPER(E91)),4,1))&lt;=90,CODE(MID(TRIM(UPPER(E91)),5,1))&gt;=65,CODE(MID(TRIM(UPPER(E91)),5,1))&lt;=90,CODE(MID(TRIM(UPPER(E91)),10,1))&gt;=65,CODE(MID(TRIM(UPPER(E91)),10,1))&lt;=90,CODE(MID(TRIM(UPPER(E91)),6,1))&gt;=48,CODE(MID(TRIM(UPPER(E91)),6,1))&lt;=57,CODE(MID(TRIM(UPPER(E91)),7,1))&gt;=48,CODE(MID(TRIM(UPPER(E91)),7,1))&lt;=57,CODE(MID(TRIM(UPPER(E91)),8,1))&gt;=48,CODE(MID(TRIM(UPPER(E91)),8,1))&lt;=57,CODE(MID(TRIM(UPPER(E91)),9,1))&gt;=48,CODE(MID(TRIM(UPPER(E91)),9,1))&lt;=57),"N","Y"))</f>
      </c>
      <c r="G91" s="7">
        <f>IF($D91="","",IF(LEN(E91)&lt;4,"",IF(UPPER(MID(E91,4,1))="P","Individual",IF(UPPER(MID(E91,4,1))="H","HUF",IF(UPPER(MID(E91,4,1))="C","Company",IF(UPPER(MID(E91,4,1))="F","Firm",IF(UPPER(MID(E91,4,1))="L","LLP",IF(UPPER(MID(E91,4,1))="T","Trust",IF(UPPER(MID(E91,4,1))="A","AOP","")))))))))</f>
      </c>
      <c r="H91" s="8"/>
      <c r="I91" s="7">
        <f>IF($D91="","",IF(H91="","",IF(F91="Y",SUMPRODUCT(('Rate Lookup'!$A$1:$A$37=H91)*'Rate Lookup'!$D$1:$D$37),IF(OR(G91="Individual",G91="HUF"),SUMPRODUCT(('Rate Lookup'!$A$1:$A$37=H91)*'Rate Lookup'!$B$1:$B$37),SUMPRODUCT(('Rate Lookup'!$A$1:$A$37=H91)*'Rate Lookup'!$C$1:$C$37)))))</f>
      </c>
      <c r="J91" s="8"/>
      <c r="K91" s="8"/>
      <c r="L91" s="7">
        <f>IF($D91="","",ROUND(K91*I91/100,0))</f>
      </c>
      <c r="M91" s="7">
        <f>IF($D91="","",0)</f>
      </c>
      <c r="N91" s="7">
        <f>IF($D91="","",0)</f>
      </c>
      <c r="O91" s="7">
        <f>IF($D91="","",IF(OR(L91=0,J91="",IFERROR(INDEX('Challan Master'!$D$4:$D$207,MATCH($B91,'Challan Master'!$S$4:$S$207,0)),"")="",IFERROR(INDEX('Challan Master'!$D$4:$D$207,MATCH($B91,'Challan Master'!$S$4:$S$207,0)),"")&lt;=0),0,IF(IFERROR(INDEX('Challan Master'!$D$4:$D$207,MATCH($B91,'Challan Master'!$S$4:$S$207,0)),"")&lt;=DATE(YEAR(J91),MONTH(J91)+1,7),0,ROUND(L91*0.015*((YEAR(IFERROR(INDEX('Challan Master'!$D$4:$D$207,MATCH($B91,'Challan Master'!$S$4:$S$207,0)),""))-YEAR(J91))*12+(MONTH(IFERROR(INDEX('Challan Master'!$D$4:$D$207,MATCH($B91,'Challan Master'!$S$4:$S$207,0)),""))-MONTH(J91))+1),0))))</f>
      </c>
      <c r="P91" s="7">
        <f>IF($D91="","",0)</f>
      </c>
      <c r="Q91" s="8"/>
      <c r="R91" s="8"/>
      <c r="S91" s="8"/>
      <c r="T91" s="8"/>
      <c r="U91" s="8"/>
      <c r="V91" s="7">
        <f>IF($B91="","",IFERROR(INDEX('Challan Master'!$AA$4:$AA$207,MATCH($B91,'Challan Master'!$S$4:$S$207,0)),""))</f>
      </c>
    </row>
    <row r="92" spans="1:22" x14ac:dyDescent="0.25">
      <c r="A92" s="7">
        <f>IF($D92="","",COUNTIF($D$4:$D92,"&lt;&gt;"))</f>
      </c>
      <c r="B92" s="8"/>
      <c r="C92" s="7">
        <f>IF($B92="","","BSR "&amp;IFERROR(INDEX('Challan Master'!$B$4:$B$207,MATCH($B92,'Challan Master'!$S$4:$S$207,0)),"")&amp;" | Serial "&amp;IFERROR(INDEX('Challan Master'!$C$4:$C$207,MATCH($B92,'Challan Master'!$S$4:$S$207,0)),"")&amp;" | Deposit "&amp;TEXT(IFERROR(INDEX('Challan Master'!$D$4:$D$207,MATCH($B92,'Challan Master'!$S$4:$S$207,0)),""),"dd-mm-yyyy")&amp;" | Minor Head "&amp;IFERROR(INDEX('Challan Master'!$E$4:$E$207,MATCH($B92,'Challan Master'!$S$4:$S$207,0)),"")&amp;" | Tax ₹"&amp;TEXT(IFERROR(INDEX('Challan Master'!$G$4:$G$207,MATCH($B92,'Challan Master'!$S$4:$S$207,0)),""),"#,##0")&amp;" | Section "&amp;IFERROR(INDEX('Challan Master'!$F$4:$F$207,MATCH($B92,'Challan Master'!$S$4:$S$207,0)),""))</f>
      </c>
      <c r="D92" s="8"/>
      <c r="E92" s="8"/>
      <c r="F92" s="7">
        <f>IF($D92="","",IF(AND(LEN(TRIM(UPPER(E92)))=10,CODE(MID(TRIM(UPPER(E92)),1,1))&gt;=65,CODE(MID(TRIM(UPPER(E92)),1,1))&lt;=90,CODE(MID(TRIM(UPPER(E92)),2,1))&gt;=65,CODE(MID(TRIM(UPPER(E92)),2,1))&lt;=90,CODE(MID(TRIM(UPPER(E92)),3,1))&gt;=65,CODE(MID(TRIM(UPPER(E92)),3,1))&lt;=90,CODE(MID(TRIM(UPPER(E92)),4,1))&gt;=65,CODE(MID(TRIM(UPPER(E92)),4,1))&lt;=90,CODE(MID(TRIM(UPPER(E92)),5,1))&gt;=65,CODE(MID(TRIM(UPPER(E92)),5,1))&lt;=90,CODE(MID(TRIM(UPPER(E92)),10,1))&gt;=65,CODE(MID(TRIM(UPPER(E92)),10,1))&lt;=90,CODE(MID(TRIM(UPPER(E92)),6,1))&gt;=48,CODE(MID(TRIM(UPPER(E92)),6,1))&lt;=57,CODE(MID(TRIM(UPPER(E92)),7,1))&gt;=48,CODE(MID(TRIM(UPPER(E92)),7,1))&lt;=57,CODE(MID(TRIM(UPPER(E92)),8,1))&gt;=48,CODE(MID(TRIM(UPPER(E92)),8,1))&lt;=57,CODE(MID(TRIM(UPPER(E92)),9,1))&gt;=48,CODE(MID(TRIM(UPPER(E92)),9,1))&lt;=57),"N","Y"))</f>
      </c>
      <c r="G92" s="7">
        <f>IF($D92="","",IF(LEN(E92)&lt;4,"",IF(UPPER(MID(E92,4,1))="P","Individual",IF(UPPER(MID(E92,4,1))="H","HUF",IF(UPPER(MID(E92,4,1))="C","Company",IF(UPPER(MID(E92,4,1))="F","Firm",IF(UPPER(MID(E92,4,1))="L","LLP",IF(UPPER(MID(E92,4,1))="T","Trust",IF(UPPER(MID(E92,4,1))="A","AOP","")))))))))</f>
      </c>
      <c r="H92" s="8"/>
      <c r="I92" s="7">
        <f>IF($D92="","",IF(H92="","",IF(F92="Y",SUMPRODUCT(('Rate Lookup'!$A$1:$A$37=H92)*'Rate Lookup'!$D$1:$D$37),IF(OR(G92="Individual",G92="HUF"),SUMPRODUCT(('Rate Lookup'!$A$1:$A$37=H92)*'Rate Lookup'!$B$1:$B$37),SUMPRODUCT(('Rate Lookup'!$A$1:$A$37=H92)*'Rate Lookup'!$C$1:$C$37)))))</f>
      </c>
      <c r="J92" s="8"/>
      <c r="K92" s="8"/>
      <c r="L92" s="7">
        <f>IF($D92="","",ROUND(K92*I92/100,0))</f>
      </c>
      <c r="M92" s="7">
        <f>IF($D92="","",0)</f>
      </c>
      <c r="N92" s="7">
        <f>IF($D92="","",0)</f>
      </c>
      <c r="O92" s="7">
        <f>IF($D92="","",IF(OR(L92=0,J92="",IFERROR(INDEX('Challan Master'!$D$4:$D$207,MATCH($B92,'Challan Master'!$S$4:$S$207,0)),"")="",IFERROR(INDEX('Challan Master'!$D$4:$D$207,MATCH($B92,'Challan Master'!$S$4:$S$207,0)),"")&lt;=0),0,IF(IFERROR(INDEX('Challan Master'!$D$4:$D$207,MATCH($B92,'Challan Master'!$S$4:$S$207,0)),"")&lt;=DATE(YEAR(J92),MONTH(J92)+1,7),0,ROUND(L92*0.015*((YEAR(IFERROR(INDEX('Challan Master'!$D$4:$D$207,MATCH($B92,'Challan Master'!$S$4:$S$207,0)),""))-YEAR(J92))*12+(MONTH(IFERROR(INDEX('Challan Master'!$D$4:$D$207,MATCH($B92,'Challan Master'!$S$4:$S$207,0)),""))-MONTH(J92))+1),0))))</f>
      </c>
      <c r="P92" s="7">
        <f>IF($D92="","",0)</f>
      </c>
      <c r="Q92" s="8"/>
      <c r="R92" s="8"/>
      <c r="S92" s="8"/>
      <c r="T92" s="8"/>
      <c r="U92" s="8"/>
      <c r="V92" s="7">
        <f>IF($B92="","",IFERROR(INDEX('Challan Master'!$AA$4:$AA$207,MATCH($B92,'Challan Master'!$S$4:$S$207,0)),""))</f>
      </c>
    </row>
    <row r="93" spans="1:22" x14ac:dyDescent="0.25">
      <c r="A93" s="7">
        <f>IF($D93="","",COUNTIF($D$4:$D93,"&lt;&gt;"))</f>
      </c>
      <c r="B93" s="8"/>
      <c r="C93" s="7">
        <f>IF($B93="","","BSR "&amp;IFERROR(INDEX('Challan Master'!$B$4:$B$207,MATCH($B93,'Challan Master'!$S$4:$S$207,0)),"")&amp;" | Serial "&amp;IFERROR(INDEX('Challan Master'!$C$4:$C$207,MATCH($B93,'Challan Master'!$S$4:$S$207,0)),"")&amp;" | Deposit "&amp;TEXT(IFERROR(INDEX('Challan Master'!$D$4:$D$207,MATCH($B93,'Challan Master'!$S$4:$S$207,0)),""),"dd-mm-yyyy")&amp;" | Minor Head "&amp;IFERROR(INDEX('Challan Master'!$E$4:$E$207,MATCH($B93,'Challan Master'!$S$4:$S$207,0)),"")&amp;" | Tax ₹"&amp;TEXT(IFERROR(INDEX('Challan Master'!$G$4:$G$207,MATCH($B93,'Challan Master'!$S$4:$S$207,0)),""),"#,##0")&amp;" | Section "&amp;IFERROR(INDEX('Challan Master'!$F$4:$F$207,MATCH($B93,'Challan Master'!$S$4:$S$207,0)),""))</f>
      </c>
      <c r="D93" s="8"/>
      <c r="E93" s="8"/>
      <c r="F93" s="7">
        <f>IF($D93="","",IF(AND(LEN(TRIM(UPPER(E93)))=10,CODE(MID(TRIM(UPPER(E93)),1,1))&gt;=65,CODE(MID(TRIM(UPPER(E93)),1,1))&lt;=90,CODE(MID(TRIM(UPPER(E93)),2,1))&gt;=65,CODE(MID(TRIM(UPPER(E93)),2,1))&lt;=90,CODE(MID(TRIM(UPPER(E93)),3,1))&gt;=65,CODE(MID(TRIM(UPPER(E93)),3,1))&lt;=90,CODE(MID(TRIM(UPPER(E93)),4,1))&gt;=65,CODE(MID(TRIM(UPPER(E93)),4,1))&lt;=90,CODE(MID(TRIM(UPPER(E93)),5,1))&gt;=65,CODE(MID(TRIM(UPPER(E93)),5,1))&lt;=90,CODE(MID(TRIM(UPPER(E93)),10,1))&gt;=65,CODE(MID(TRIM(UPPER(E93)),10,1))&lt;=90,CODE(MID(TRIM(UPPER(E93)),6,1))&gt;=48,CODE(MID(TRIM(UPPER(E93)),6,1))&lt;=57,CODE(MID(TRIM(UPPER(E93)),7,1))&gt;=48,CODE(MID(TRIM(UPPER(E93)),7,1))&lt;=57,CODE(MID(TRIM(UPPER(E93)),8,1))&gt;=48,CODE(MID(TRIM(UPPER(E93)),8,1))&lt;=57,CODE(MID(TRIM(UPPER(E93)),9,1))&gt;=48,CODE(MID(TRIM(UPPER(E93)),9,1))&lt;=57),"N","Y"))</f>
      </c>
      <c r="G93" s="7">
        <f>IF($D93="","",IF(LEN(E93)&lt;4,"",IF(UPPER(MID(E93,4,1))="P","Individual",IF(UPPER(MID(E93,4,1))="H","HUF",IF(UPPER(MID(E93,4,1))="C","Company",IF(UPPER(MID(E93,4,1))="F","Firm",IF(UPPER(MID(E93,4,1))="L","LLP",IF(UPPER(MID(E93,4,1))="T","Trust",IF(UPPER(MID(E93,4,1))="A","AOP","")))))))))</f>
      </c>
      <c r="H93" s="8"/>
      <c r="I93" s="7">
        <f>IF($D93="","",IF(H93="","",IF(F93="Y",SUMPRODUCT(('Rate Lookup'!$A$1:$A$37=H93)*'Rate Lookup'!$D$1:$D$37),IF(OR(G93="Individual",G93="HUF"),SUMPRODUCT(('Rate Lookup'!$A$1:$A$37=H93)*'Rate Lookup'!$B$1:$B$37),SUMPRODUCT(('Rate Lookup'!$A$1:$A$37=H93)*'Rate Lookup'!$C$1:$C$37)))))</f>
      </c>
      <c r="J93" s="8"/>
      <c r="K93" s="8"/>
      <c r="L93" s="7">
        <f>IF($D93="","",ROUND(K93*I93/100,0))</f>
      </c>
      <c r="M93" s="7">
        <f>IF($D93="","",0)</f>
      </c>
      <c r="N93" s="7">
        <f>IF($D93="","",0)</f>
      </c>
      <c r="O93" s="7">
        <f>IF($D93="","",IF(OR(L93=0,J93="",IFERROR(INDEX('Challan Master'!$D$4:$D$207,MATCH($B93,'Challan Master'!$S$4:$S$207,0)),"")="",IFERROR(INDEX('Challan Master'!$D$4:$D$207,MATCH($B93,'Challan Master'!$S$4:$S$207,0)),"")&lt;=0),0,IF(IFERROR(INDEX('Challan Master'!$D$4:$D$207,MATCH($B93,'Challan Master'!$S$4:$S$207,0)),"")&lt;=DATE(YEAR(J93),MONTH(J93)+1,7),0,ROUND(L93*0.015*((YEAR(IFERROR(INDEX('Challan Master'!$D$4:$D$207,MATCH($B93,'Challan Master'!$S$4:$S$207,0)),""))-YEAR(J93))*12+(MONTH(IFERROR(INDEX('Challan Master'!$D$4:$D$207,MATCH($B93,'Challan Master'!$S$4:$S$207,0)),""))-MONTH(J93))+1),0))))</f>
      </c>
      <c r="P93" s="7">
        <f>IF($D93="","",0)</f>
      </c>
      <c r="Q93" s="8"/>
      <c r="R93" s="8"/>
      <c r="S93" s="8"/>
      <c r="T93" s="8"/>
      <c r="U93" s="8"/>
      <c r="V93" s="7">
        <f>IF($B93="","",IFERROR(INDEX('Challan Master'!$AA$4:$AA$207,MATCH($B93,'Challan Master'!$S$4:$S$207,0)),""))</f>
      </c>
    </row>
    <row r="94" spans="1:22" x14ac:dyDescent="0.25">
      <c r="A94" s="7">
        <f>IF($D94="","",COUNTIF($D$4:$D94,"&lt;&gt;"))</f>
      </c>
      <c r="B94" s="8"/>
      <c r="C94" s="7">
        <f>IF($B94="","","BSR "&amp;IFERROR(INDEX('Challan Master'!$B$4:$B$207,MATCH($B94,'Challan Master'!$S$4:$S$207,0)),"")&amp;" | Serial "&amp;IFERROR(INDEX('Challan Master'!$C$4:$C$207,MATCH($B94,'Challan Master'!$S$4:$S$207,0)),"")&amp;" | Deposit "&amp;TEXT(IFERROR(INDEX('Challan Master'!$D$4:$D$207,MATCH($B94,'Challan Master'!$S$4:$S$207,0)),""),"dd-mm-yyyy")&amp;" | Minor Head "&amp;IFERROR(INDEX('Challan Master'!$E$4:$E$207,MATCH($B94,'Challan Master'!$S$4:$S$207,0)),"")&amp;" | Tax ₹"&amp;TEXT(IFERROR(INDEX('Challan Master'!$G$4:$G$207,MATCH($B94,'Challan Master'!$S$4:$S$207,0)),""),"#,##0")&amp;" | Section "&amp;IFERROR(INDEX('Challan Master'!$F$4:$F$207,MATCH($B94,'Challan Master'!$S$4:$S$207,0)),""))</f>
      </c>
      <c r="D94" s="8"/>
      <c r="E94" s="8"/>
      <c r="F94" s="7">
        <f>IF($D94="","",IF(AND(LEN(TRIM(UPPER(E94)))=10,CODE(MID(TRIM(UPPER(E94)),1,1))&gt;=65,CODE(MID(TRIM(UPPER(E94)),1,1))&lt;=90,CODE(MID(TRIM(UPPER(E94)),2,1))&gt;=65,CODE(MID(TRIM(UPPER(E94)),2,1))&lt;=90,CODE(MID(TRIM(UPPER(E94)),3,1))&gt;=65,CODE(MID(TRIM(UPPER(E94)),3,1))&lt;=90,CODE(MID(TRIM(UPPER(E94)),4,1))&gt;=65,CODE(MID(TRIM(UPPER(E94)),4,1))&lt;=90,CODE(MID(TRIM(UPPER(E94)),5,1))&gt;=65,CODE(MID(TRIM(UPPER(E94)),5,1))&lt;=90,CODE(MID(TRIM(UPPER(E94)),10,1))&gt;=65,CODE(MID(TRIM(UPPER(E94)),10,1))&lt;=90,CODE(MID(TRIM(UPPER(E94)),6,1))&gt;=48,CODE(MID(TRIM(UPPER(E94)),6,1))&lt;=57,CODE(MID(TRIM(UPPER(E94)),7,1))&gt;=48,CODE(MID(TRIM(UPPER(E94)),7,1))&lt;=57,CODE(MID(TRIM(UPPER(E94)),8,1))&gt;=48,CODE(MID(TRIM(UPPER(E94)),8,1))&lt;=57,CODE(MID(TRIM(UPPER(E94)),9,1))&gt;=48,CODE(MID(TRIM(UPPER(E94)),9,1))&lt;=57),"N","Y"))</f>
      </c>
      <c r="G94" s="7">
        <f>IF($D94="","",IF(LEN(E94)&lt;4,"",IF(UPPER(MID(E94,4,1))="P","Individual",IF(UPPER(MID(E94,4,1))="H","HUF",IF(UPPER(MID(E94,4,1))="C","Company",IF(UPPER(MID(E94,4,1))="F","Firm",IF(UPPER(MID(E94,4,1))="L","LLP",IF(UPPER(MID(E94,4,1))="T","Trust",IF(UPPER(MID(E94,4,1))="A","AOP","")))))))))</f>
      </c>
      <c r="H94" s="8"/>
      <c r="I94" s="7">
        <f>IF($D94="","",IF(H94="","",IF(F94="Y",SUMPRODUCT(('Rate Lookup'!$A$1:$A$37=H94)*'Rate Lookup'!$D$1:$D$37),IF(OR(G94="Individual",G94="HUF"),SUMPRODUCT(('Rate Lookup'!$A$1:$A$37=H94)*'Rate Lookup'!$B$1:$B$37),SUMPRODUCT(('Rate Lookup'!$A$1:$A$37=H94)*'Rate Lookup'!$C$1:$C$37)))))</f>
      </c>
      <c r="J94" s="8"/>
      <c r="K94" s="8"/>
      <c r="L94" s="7">
        <f>IF($D94="","",ROUND(K94*I94/100,0))</f>
      </c>
      <c r="M94" s="7">
        <f>IF($D94="","",0)</f>
      </c>
      <c r="N94" s="7">
        <f>IF($D94="","",0)</f>
      </c>
      <c r="O94" s="7">
        <f>IF($D94="","",IF(OR(L94=0,J94="",IFERROR(INDEX('Challan Master'!$D$4:$D$207,MATCH($B94,'Challan Master'!$S$4:$S$207,0)),"")="",IFERROR(INDEX('Challan Master'!$D$4:$D$207,MATCH($B94,'Challan Master'!$S$4:$S$207,0)),"")&lt;=0),0,IF(IFERROR(INDEX('Challan Master'!$D$4:$D$207,MATCH($B94,'Challan Master'!$S$4:$S$207,0)),"")&lt;=DATE(YEAR(J94),MONTH(J94)+1,7),0,ROUND(L94*0.015*((YEAR(IFERROR(INDEX('Challan Master'!$D$4:$D$207,MATCH($B94,'Challan Master'!$S$4:$S$207,0)),""))-YEAR(J94))*12+(MONTH(IFERROR(INDEX('Challan Master'!$D$4:$D$207,MATCH($B94,'Challan Master'!$S$4:$S$207,0)),""))-MONTH(J94))+1),0))))</f>
      </c>
      <c r="P94" s="7">
        <f>IF($D94="","",0)</f>
      </c>
      <c r="Q94" s="8"/>
      <c r="R94" s="8"/>
      <c r="S94" s="8"/>
      <c r="T94" s="8"/>
      <c r="U94" s="8"/>
      <c r="V94" s="7">
        <f>IF($B94="","",IFERROR(INDEX('Challan Master'!$AA$4:$AA$207,MATCH($B94,'Challan Master'!$S$4:$S$207,0)),""))</f>
      </c>
    </row>
    <row r="95" spans="1:22" x14ac:dyDescent="0.25">
      <c r="A95" s="7">
        <f>IF($D95="","",COUNTIF($D$4:$D95,"&lt;&gt;"))</f>
      </c>
      <c r="B95" s="8"/>
      <c r="C95" s="7">
        <f>IF($B95="","","BSR "&amp;IFERROR(INDEX('Challan Master'!$B$4:$B$207,MATCH($B95,'Challan Master'!$S$4:$S$207,0)),"")&amp;" | Serial "&amp;IFERROR(INDEX('Challan Master'!$C$4:$C$207,MATCH($B95,'Challan Master'!$S$4:$S$207,0)),"")&amp;" | Deposit "&amp;TEXT(IFERROR(INDEX('Challan Master'!$D$4:$D$207,MATCH($B95,'Challan Master'!$S$4:$S$207,0)),""),"dd-mm-yyyy")&amp;" | Minor Head "&amp;IFERROR(INDEX('Challan Master'!$E$4:$E$207,MATCH($B95,'Challan Master'!$S$4:$S$207,0)),"")&amp;" | Tax ₹"&amp;TEXT(IFERROR(INDEX('Challan Master'!$G$4:$G$207,MATCH($B95,'Challan Master'!$S$4:$S$207,0)),""),"#,##0")&amp;" | Section "&amp;IFERROR(INDEX('Challan Master'!$F$4:$F$207,MATCH($B95,'Challan Master'!$S$4:$S$207,0)),""))</f>
      </c>
      <c r="D95" s="8"/>
      <c r="E95" s="8"/>
      <c r="F95" s="7">
        <f>IF($D95="","",IF(AND(LEN(TRIM(UPPER(E95)))=10,CODE(MID(TRIM(UPPER(E95)),1,1))&gt;=65,CODE(MID(TRIM(UPPER(E95)),1,1))&lt;=90,CODE(MID(TRIM(UPPER(E95)),2,1))&gt;=65,CODE(MID(TRIM(UPPER(E95)),2,1))&lt;=90,CODE(MID(TRIM(UPPER(E95)),3,1))&gt;=65,CODE(MID(TRIM(UPPER(E95)),3,1))&lt;=90,CODE(MID(TRIM(UPPER(E95)),4,1))&gt;=65,CODE(MID(TRIM(UPPER(E95)),4,1))&lt;=90,CODE(MID(TRIM(UPPER(E95)),5,1))&gt;=65,CODE(MID(TRIM(UPPER(E95)),5,1))&lt;=90,CODE(MID(TRIM(UPPER(E95)),10,1))&gt;=65,CODE(MID(TRIM(UPPER(E95)),10,1))&lt;=90,CODE(MID(TRIM(UPPER(E95)),6,1))&gt;=48,CODE(MID(TRIM(UPPER(E95)),6,1))&lt;=57,CODE(MID(TRIM(UPPER(E95)),7,1))&gt;=48,CODE(MID(TRIM(UPPER(E95)),7,1))&lt;=57,CODE(MID(TRIM(UPPER(E95)),8,1))&gt;=48,CODE(MID(TRIM(UPPER(E95)),8,1))&lt;=57,CODE(MID(TRIM(UPPER(E95)),9,1))&gt;=48,CODE(MID(TRIM(UPPER(E95)),9,1))&lt;=57),"N","Y"))</f>
      </c>
      <c r="G95" s="7">
        <f>IF($D95="","",IF(LEN(E95)&lt;4,"",IF(UPPER(MID(E95,4,1))="P","Individual",IF(UPPER(MID(E95,4,1))="H","HUF",IF(UPPER(MID(E95,4,1))="C","Company",IF(UPPER(MID(E95,4,1))="F","Firm",IF(UPPER(MID(E95,4,1))="L","LLP",IF(UPPER(MID(E95,4,1))="T","Trust",IF(UPPER(MID(E95,4,1))="A","AOP","")))))))))</f>
      </c>
      <c r="H95" s="8"/>
      <c r="I95" s="7">
        <f>IF($D95="","",IF(H95="","",IF(F95="Y",SUMPRODUCT(('Rate Lookup'!$A$1:$A$37=H95)*'Rate Lookup'!$D$1:$D$37),IF(OR(G95="Individual",G95="HUF"),SUMPRODUCT(('Rate Lookup'!$A$1:$A$37=H95)*'Rate Lookup'!$B$1:$B$37),SUMPRODUCT(('Rate Lookup'!$A$1:$A$37=H95)*'Rate Lookup'!$C$1:$C$37)))))</f>
      </c>
      <c r="J95" s="8"/>
      <c r="K95" s="8"/>
      <c r="L95" s="7">
        <f>IF($D95="","",ROUND(K95*I95/100,0))</f>
      </c>
      <c r="M95" s="7">
        <f>IF($D95="","",0)</f>
      </c>
      <c r="N95" s="7">
        <f>IF($D95="","",0)</f>
      </c>
      <c r="O95" s="7">
        <f>IF($D95="","",IF(OR(L95=0,J95="",IFERROR(INDEX('Challan Master'!$D$4:$D$207,MATCH($B95,'Challan Master'!$S$4:$S$207,0)),"")="",IFERROR(INDEX('Challan Master'!$D$4:$D$207,MATCH($B95,'Challan Master'!$S$4:$S$207,0)),"")&lt;=0),0,IF(IFERROR(INDEX('Challan Master'!$D$4:$D$207,MATCH($B95,'Challan Master'!$S$4:$S$207,0)),"")&lt;=DATE(YEAR(J95),MONTH(J95)+1,7),0,ROUND(L95*0.015*((YEAR(IFERROR(INDEX('Challan Master'!$D$4:$D$207,MATCH($B95,'Challan Master'!$S$4:$S$207,0)),""))-YEAR(J95))*12+(MONTH(IFERROR(INDEX('Challan Master'!$D$4:$D$207,MATCH($B95,'Challan Master'!$S$4:$S$207,0)),""))-MONTH(J95))+1),0))))</f>
      </c>
      <c r="P95" s="7">
        <f>IF($D95="","",0)</f>
      </c>
      <c r="Q95" s="8"/>
      <c r="R95" s="8"/>
      <c r="S95" s="8"/>
      <c r="T95" s="8"/>
      <c r="U95" s="8"/>
      <c r="V95" s="7">
        <f>IF($B95="","",IFERROR(INDEX('Challan Master'!$AA$4:$AA$207,MATCH($B95,'Challan Master'!$S$4:$S$207,0)),""))</f>
      </c>
    </row>
    <row r="96" spans="1:22" x14ac:dyDescent="0.25">
      <c r="A96" s="7">
        <f>IF($D96="","",COUNTIF($D$4:$D96,"&lt;&gt;"))</f>
      </c>
      <c r="B96" s="8"/>
      <c r="C96" s="7">
        <f>IF($B96="","","BSR "&amp;IFERROR(INDEX('Challan Master'!$B$4:$B$207,MATCH($B96,'Challan Master'!$S$4:$S$207,0)),"")&amp;" | Serial "&amp;IFERROR(INDEX('Challan Master'!$C$4:$C$207,MATCH($B96,'Challan Master'!$S$4:$S$207,0)),"")&amp;" | Deposit "&amp;TEXT(IFERROR(INDEX('Challan Master'!$D$4:$D$207,MATCH($B96,'Challan Master'!$S$4:$S$207,0)),""),"dd-mm-yyyy")&amp;" | Minor Head "&amp;IFERROR(INDEX('Challan Master'!$E$4:$E$207,MATCH($B96,'Challan Master'!$S$4:$S$207,0)),"")&amp;" | Tax ₹"&amp;TEXT(IFERROR(INDEX('Challan Master'!$G$4:$G$207,MATCH($B96,'Challan Master'!$S$4:$S$207,0)),""),"#,##0")&amp;" | Section "&amp;IFERROR(INDEX('Challan Master'!$F$4:$F$207,MATCH($B96,'Challan Master'!$S$4:$S$207,0)),""))</f>
      </c>
      <c r="D96" s="8"/>
      <c r="E96" s="8"/>
      <c r="F96" s="7">
        <f>IF($D96="","",IF(AND(LEN(TRIM(UPPER(E96)))=10,CODE(MID(TRIM(UPPER(E96)),1,1))&gt;=65,CODE(MID(TRIM(UPPER(E96)),1,1))&lt;=90,CODE(MID(TRIM(UPPER(E96)),2,1))&gt;=65,CODE(MID(TRIM(UPPER(E96)),2,1))&lt;=90,CODE(MID(TRIM(UPPER(E96)),3,1))&gt;=65,CODE(MID(TRIM(UPPER(E96)),3,1))&lt;=90,CODE(MID(TRIM(UPPER(E96)),4,1))&gt;=65,CODE(MID(TRIM(UPPER(E96)),4,1))&lt;=90,CODE(MID(TRIM(UPPER(E96)),5,1))&gt;=65,CODE(MID(TRIM(UPPER(E96)),5,1))&lt;=90,CODE(MID(TRIM(UPPER(E96)),10,1))&gt;=65,CODE(MID(TRIM(UPPER(E96)),10,1))&lt;=90,CODE(MID(TRIM(UPPER(E96)),6,1))&gt;=48,CODE(MID(TRIM(UPPER(E96)),6,1))&lt;=57,CODE(MID(TRIM(UPPER(E96)),7,1))&gt;=48,CODE(MID(TRIM(UPPER(E96)),7,1))&lt;=57,CODE(MID(TRIM(UPPER(E96)),8,1))&gt;=48,CODE(MID(TRIM(UPPER(E96)),8,1))&lt;=57,CODE(MID(TRIM(UPPER(E96)),9,1))&gt;=48,CODE(MID(TRIM(UPPER(E96)),9,1))&lt;=57),"N","Y"))</f>
      </c>
      <c r="G96" s="7">
        <f>IF($D96="","",IF(LEN(E96)&lt;4,"",IF(UPPER(MID(E96,4,1))="P","Individual",IF(UPPER(MID(E96,4,1))="H","HUF",IF(UPPER(MID(E96,4,1))="C","Company",IF(UPPER(MID(E96,4,1))="F","Firm",IF(UPPER(MID(E96,4,1))="L","LLP",IF(UPPER(MID(E96,4,1))="T","Trust",IF(UPPER(MID(E96,4,1))="A","AOP","")))))))))</f>
      </c>
      <c r="H96" s="8"/>
      <c r="I96" s="7">
        <f>IF($D96="","",IF(H96="","",IF(F96="Y",SUMPRODUCT(('Rate Lookup'!$A$1:$A$37=H96)*'Rate Lookup'!$D$1:$D$37),IF(OR(G96="Individual",G96="HUF"),SUMPRODUCT(('Rate Lookup'!$A$1:$A$37=H96)*'Rate Lookup'!$B$1:$B$37),SUMPRODUCT(('Rate Lookup'!$A$1:$A$37=H96)*'Rate Lookup'!$C$1:$C$37)))))</f>
      </c>
      <c r="J96" s="8"/>
      <c r="K96" s="8"/>
      <c r="L96" s="7">
        <f>IF($D96="","",ROUND(K96*I96/100,0))</f>
      </c>
      <c r="M96" s="7">
        <f>IF($D96="","",0)</f>
      </c>
      <c r="N96" s="7">
        <f>IF($D96="","",0)</f>
      </c>
      <c r="O96" s="7">
        <f>IF($D96="","",IF(OR(L96=0,J96="",IFERROR(INDEX('Challan Master'!$D$4:$D$207,MATCH($B96,'Challan Master'!$S$4:$S$207,0)),"")="",IFERROR(INDEX('Challan Master'!$D$4:$D$207,MATCH($B96,'Challan Master'!$S$4:$S$207,0)),"")&lt;=0),0,IF(IFERROR(INDEX('Challan Master'!$D$4:$D$207,MATCH($B96,'Challan Master'!$S$4:$S$207,0)),"")&lt;=DATE(YEAR(J96),MONTH(J96)+1,7),0,ROUND(L96*0.015*((YEAR(IFERROR(INDEX('Challan Master'!$D$4:$D$207,MATCH($B96,'Challan Master'!$S$4:$S$207,0)),""))-YEAR(J96))*12+(MONTH(IFERROR(INDEX('Challan Master'!$D$4:$D$207,MATCH($B96,'Challan Master'!$S$4:$S$207,0)),""))-MONTH(J96))+1),0))))</f>
      </c>
      <c r="P96" s="7">
        <f>IF($D96="","",0)</f>
      </c>
      <c r="Q96" s="8"/>
      <c r="R96" s="8"/>
      <c r="S96" s="8"/>
      <c r="T96" s="8"/>
      <c r="U96" s="8"/>
      <c r="V96" s="7">
        <f>IF($B96="","",IFERROR(INDEX('Challan Master'!$AA$4:$AA$207,MATCH($B96,'Challan Master'!$S$4:$S$207,0)),""))</f>
      </c>
    </row>
    <row r="97" spans="1:22" x14ac:dyDescent="0.25">
      <c r="A97" s="7">
        <f>IF($D97="","",COUNTIF($D$4:$D97,"&lt;&gt;"))</f>
      </c>
      <c r="B97" s="8"/>
      <c r="C97" s="7">
        <f>IF($B97="","","BSR "&amp;IFERROR(INDEX('Challan Master'!$B$4:$B$207,MATCH($B97,'Challan Master'!$S$4:$S$207,0)),"")&amp;" | Serial "&amp;IFERROR(INDEX('Challan Master'!$C$4:$C$207,MATCH($B97,'Challan Master'!$S$4:$S$207,0)),"")&amp;" | Deposit "&amp;TEXT(IFERROR(INDEX('Challan Master'!$D$4:$D$207,MATCH($B97,'Challan Master'!$S$4:$S$207,0)),""),"dd-mm-yyyy")&amp;" | Minor Head "&amp;IFERROR(INDEX('Challan Master'!$E$4:$E$207,MATCH($B97,'Challan Master'!$S$4:$S$207,0)),"")&amp;" | Tax ₹"&amp;TEXT(IFERROR(INDEX('Challan Master'!$G$4:$G$207,MATCH($B97,'Challan Master'!$S$4:$S$207,0)),""),"#,##0")&amp;" | Section "&amp;IFERROR(INDEX('Challan Master'!$F$4:$F$207,MATCH($B97,'Challan Master'!$S$4:$S$207,0)),""))</f>
      </c>
      <c r="D97" s="8"/>
      <c r="E97" s="8"/>
      <c r="F97" s="7">
        <f>IF($D97="","",IF(AND(LEN(TRIM(UPPER(E97)))=10,CODE(MID(TRIM(UPPER(E97)),1,1))&gt;=65,CODE(MID(TRIM(UPPER(E97)),1,1))&lt;=90,CODE(MID(TRIM(UPPER(E97)),2,1))&gt;=65,CODE(MID(TRIM(UPPER(E97)),2,1))&lt;=90,CODE(MID(TRIM(UPPER(E97)),3,1))&gt;=65,CODE(MID(TRIM(UPPER(E97)),3,1))&lt;=90,CODE(MID(TRIM(UPPER(E97)),4,1))&gt;=65,CODE(MID(TRIM(UPPER(E97)),4,1))&lt;=90,CODE(MID(TRIM(UPPER(E97)),5,1))&gt;=65,CODE(MID(TRIM(UPPER(E97)),5,1))&lt;=90,CODE(MID(TRIM(UPPER(E97)),10,1))&gt;=65,CODE(MID(TRIM(UPPER(E97)),10,1))&lt;=90,CODE(MID(TRIM(UPPER(E97)),6,1))&gt;=48,CODE(MID(TRIM(UPPER(E97)),6,1))&lt;=57,CODE(MID(TRIM(UPPER(E97)),7,1))&gt;=48,CODE(MID(TRIM(UPPER(E97)),7,1))&lt;=57,CODE(MID(TRIM(UPPER(E97)),8,1))&gt;=48,CODE(MID(TRIM(UPPER(E97)),8,1))&lt;=57,CODE(MID(TRIM(UPPER(E97)),9,1))&gt;=48,CODE(MID(TRIM(UPPER(E97)),9,1))&lt;=57),"N","Y"))</f>
      </c>
      <c r="G97" s="7">
        <f>IF($D97="","",IF(LEN(E97)&lt;4,"",IF(UPPER(MID(E97,4,1))="P","Individual",IF(UPPER(MID(E97,4,1))="H","HUF",IF(UPPER(MID(E97,4,1))="C","Company",IF(UPPER(MID(E97,4,1))="F","Firm",IF(UPPER(MID(E97,4,1))="L","LLP",IF(UPPER(MID(E97,4,1))="T","Trust",IF(UPPER(MID(E97,4,1))="A","AOP","")))))))))</f>
      </c>
      <c r="H97" s="8"/>
      <c r="I97" s="7">
        <f>IF($D97="","",IF(H97="","",IF(F97="Y",SUMPRODUCT(('Rate Lookup'!$A$1:$A$37=H97)*'Rate Lookup'!$D$1:$D$37),IF(OR(G97="Individual",G97="HUF"),SUMPRODUCT(('Rate Lookup'!$A$1:$A$37=H97)*'Rate Lookup'!$B$1:$B$37),SUMPRODUCT(('Rate Lookup'!$A$1:$A$37=H97)*'Rate Lookup'!$C$1:$C$37)))))</f>
      </c>
      <c r="J97" s="8"/>
      <c r="K97" s="8"/>
      <c r="L97" s="7">
        <f>IF($D97="","",ROUND(K97*I97/100,0))</f>
      </c>
      <c r="M97" s="7">
        <f>IF($D97="","",0)</f>
      </c>
      <c r="N97" s="7">
        <f>IF($D97="","",0)</f>
      </c>
      <c r="O97" s="7">
        <f>IF($D97="","",IF(OR(L97=0,J97="",IFERROR(INDEX('Challan Master'!$D$4:$D$207,MATCH($B97,'Challan Master'!$S$4:$S$207,0)),"")="",IFERROR(INDEX('Challan Master'!$D$4:$D$207,MATCH($B97,'Challan Master'!$S$4:$S$207,0)),"")&lt;=0),0,IF(IFERROR(INDEX('Challan Master'!$D$4:$D$207,MATCH($B97,'Challan Master'!$S$4:$S$207,0)),"")&lt;=DATE(YEAR(J97),MONTH(J97)+1,7),0,ROUND(L97*0.015*((YEAR(IFERROR(INDEX('Challan Master'!$D$4:$D$207,MATCH($B97,'Challan Master'!$S$4:$S$207,0)),""))-YEAR(J97))*12+(MONTH(IFERROR(INDEX('Challan Master'!$D$4:$D$207,MATCH($B97,'Challan Master'!$S$4:$S$207,0)),""))-MONTH(J97))+1),0))))</f>
      </c>
      <c r="P97" s="7">
        <f>IF($D97="","",0)</f>
      </c>
      <c r="Q97" s="8"/>
      <c r="R97" s="8"/>
      <c r="S97" s="8"/>
      <c r="T97" s="8"/>
      <c r="U97" s="8"/>
      <c r="V97" s="7">
        <f>IF($B97="","",IFERROR(INDEX('Challan Master'!$AA$4:$AA$207,MATCH($B97,'Challan Master'!$S$4:$S$207,0)),""))</f>
      </c>
    </row>
    <row r="98" spans="1:22" x14ac:dyDescent="0.25">
      <c r="A98" s="7">
        <f>IF($D98="","",COUNTIF($D$4:$D98,"&lt;&gt;"))</f>
      </c>
      <c r="B98" s="8"/>
      <c r="C98" s="7">
        <f>IF($B98="","","BSR "&amp;IFERROR(INDEX('Challan Master'!$B$4:$B$207,MATCH($B98,'Challan Master'!$S$4:$S$207,0)),"")&amp;" | Serial "&amp;IFERROR(INDEX('Challan Master'!$C$4:$C$207,MATCH($B98,'Challan Master'!$S$4:$S$207,0)),"")&amp;" | Deposit "&amp;TEXT(IFERROR(INDEX('Challan Master'!$D$4:$D$207,MATCH($B98,'Challan Master'!$S$4:$S$207,0)),""),"dd-mm-yyyy")&amp;" | Minor Head "&amp;IFERROR(INDEX('Challan Master'!$E$4:$E$207,MATCH($B98,'Challan Master'!$S$4:$S$207,0)),"")&amp;" | Tax ₹"&amp;TEXT(IFERROR(INDEX('Challan Master'!$G$4:$G$207,MATCH($B98,'Challan Master'!$S$4:$S$207,0)),""),"#,##0")&amp;" | Section "&amp;IFERROR(INDEX('Challan Master'!$F$4:$F$207,MATCH($B98,'Challan Master'!$S$4:$S$207,0)),""))</f>
      </c>
      <c r="D98" s="8"/>
      <c r="E98" s="8"/>
      <c r="F98" s="7">
        <f>IF($D98="","",IF(AND(LEN(TRIM(UPPER(E98)))=10,CODE(MID(TRIM(UPPER(E98)),1,1))&gt;=65,CODE(MID(TRIM(UPPER(E98)),1,1))&lt;=90,CODE(MID(TRIM(UPPER(E98)),2,1))&gt;=65,CODE(MID(TRIM(UPPER(E98)),2,1))&lt;=90,CODE(MID(TRIM(UPPER(E98)),3,1))&gt;=65,CODE(MID(TRIM(UPPER(E98)),3,1))&lt;=90,CODE(MID(TRIM(UPPER(E98)),4,1))&gt;=65,CODE(MID(TRIM(UPPER(E98)),4,1))&lt;=90,CODE(MID(TRIM(UPPER(E98)),5,1))&gt;=65,CODE(MID(TRIM(UPPER(E98)),5,1))&lt;=90,CODE(MID(TRIM(UPPER(E98)),10,1))&gt;=65,CODE(MID(TRIM(UPPER(E98)),10,1))&lt;=90,CODE(MID(TRIM(UPPER(E98)),6,1))&gt;=48,CODE(MID(TRIM(UPPER(E98)),6,1))&lt;=57,CODE(MID(TRIM(UPPER(E98)),7,1))&gt;=48,CODE(MID(TRIM(UPPER(E98)),7,1))&lt;=57,CODE(MID(TRIM(UPPER(E98)),8,1))&gt;=48,CODE(MID(TRIM(UPPER(E98)),8,1))&lt;=57,CODE(MID(TRIM(UPPER(E98)),9,1))&gt;=48,CODE(MID(TRIM(UPPER(E98)),9,1))&lt;=57),"N","Y"))</f>
      </c>
      <c r="G98" s="7">
        <f>IF($D98="","",IF(LEN(E98)&lt;4,"",IF(UPPER(MID(E98,4,1))="P","Individual",IF(UPPER(MID(E98,4,1))="H","HUF",IF(UPPER(MID(E98,4,1))="C","Company",IF(UPPER(MID(E98,4,1))="F","Firm",IF(UPPER(MID(E98,4,1))="L","LLP",IF(UPPER(MID(E98,4,1))="T","Trust",IF(UPPER(MID(E98,4,1))="A","AOP","")))))))))</f>
      </c>
      <c r="H98" s="8"/>
      <c r="I98" s="7">
        <f>IF($D98="","",IF(H98="","",IF(F98="Y",SUMPRODUCT(('Rate Lookup'!$A$1:$A$37=H98)*'Rate Lookup'!$D$1:$D$37),IF(OR(G98="Individual",G98="HUF"),SUMPRODUCT(('Rate Lookup'!$A$1:$A$37=H98)*'Rate Lookup'!$B$1:$B$37),SUMPRODUCT(('Rate Lookup'!$A$1:$A$37=H98)*'Rate Lookup'!$C$1:$C$37)))))</f>
      </c>
      <c r="J98" s="8"/>
      <c r="K98" s="8"/>
      <c r="L98" s="7">
        <f>IF($D98="","",ROUND(K98*I98/100,0))</f>
      </c>
      <c r="M98" s="7">
        <f>IF($D98="","",0)</f>
      </c>
      <c r="N98" s="7">
        <f>IF($D98="","",0)</f>
      </c>
      <c r="O98" s="7">
        <f>IF($D98="","",IF(OR(L98=0,J98="",IFERROR(INDEX('Challan Master'!$D$4:$D$207,MATCH($B98,'Challan Master'!$S$4:$S$207,0)),"")="",IFERROR(INDEX('Challan Master'!$D$4:$D$207,MATCH($B98,'Challan Master'!$S$4:$S$207,0)),"")&lt;=0),0,IF(IFERROR(INDEX('Challan Master'!$D$4:$D$207,MATCH($B98,'Challan Master'!$S$4:$S$207,0)),"")&lt;=DATE(YEAR(J98),MONTH(J98)+1,7),0,ROUND(L98*0.015*((YEAR(IFERROR(INDEX('Challan Master'!$D$4:$D$207,MATCH($B98,'Challan Master'!$S$4:$S$207,0)),""))-YEAR(J98))*12+(MONTH(IFERROR(INDEX('Challan Master'!$D$4:$D$207,MATCH($B98,'Challan Master'!$S$4:$S$207,0)),""))-MONTH(J98))+1),0))))</f>
      </c>
      <c r="P98" s="7">
        <f>IF($D98="","",0)</f>
      </c>
      <c r="Q98" s="8"/>
      <c r="R98" s="8"/>
      <c r="S98" s="8"/>
      <c r="T98" s="8"/>
      <c r="U98" s="8"/>
      <c r="V98" s="7">
        <f>IF($B98="","",IFERROR(INDEX('Challan Master'!$AA$4:$AA$207,MATCH($B98,'Challan Master'!$S$4:$S$207,0)),""))</f>
      </c>
    </row>
    <row r="99" spans="1:22" x14ac:dyDescent="0.25">
      <c r="A99" s="7">
        <f>IF($D99="","",COUNTIF($D$4:$D99,"&lt;&gt;"))</f>
      </c>
      <c r="B99" s="8"/>
      <c r="C99" s="7">
        <f>IF($B99="","","BSR "&amp;IFERROR(INDEX('Challan Master'!$B$4:$B$207,MATCH($B99,'Challan Master'!$S$4:$S$207,0)),"")&amp;" | Serial "&amp;IFERROR(INDEX('Challan Master'!$C$4:$C$207,MATCH($B99,'Challan Master'!$S$4:$S$207,0)),"")&amp;" | Deposit "&amp;TEXT(IFERROR(INDEX('Challan Master'!$D$4:$D$207,MATCH($B99,'Challan Master'!$S$4:$S$207,0)),""),"dd-mm-yyyy")&amp;" | Minor Head "&amp;IFERROR(INDEX('Challan Master'!$E$4:$E$207,MATCH($B99,'Challan Master'!$S$4:$S$207,0)),"")&amp;" | Tax ₹"&amp;TEXT(IFERROR(INDEX('Challan Master'!$G$4:$G$207,MATCH($B99,'Challan Master'!$S$4:$S$207,0)),""),"#,##0")&amp;" | Section "&amp;IFERROR(INDEX('Challan Master'!$F$4:$F$207,MATCH($B99,'Challan Master'!$S$4:$S$207,0)),""))</f>
      </c>
      <c r="D99" s="8"/>
      <c r="E99" s="8"/>
      <c r="F99" s="7">
        <f>IF($D99="","",IF(AND(LEN(TRIM(UPPER(E99)))=10,CODE(MID(TRIM(UPPER(E99)),1,1))&gt;=65,CODE(MID(TRIM(UPPER(E99)),1,1))&lt;=90,CODE(MID(TRIM(UPPER(E99)),2,1))&gt;=65,CODE(MID(TRIM(UPPER(E99)),2,1))&lt;=90,CODE(MID(TRIM(UPPER(E99)),3,1))&gt;=65,CODE(MID(TRIM(UPPER(E99)),3,1))&lt;=90,CODE(MID(TRIM(UPPER(E99)),4,1))&gt;=65,CODE(MID(TRIM(UPPER(E99)),4,1))&lt;=90,CODE(MID(TRIM(UPPER(E99)),5,1))&gt;=65,CODE(MID(TRIM(UPPER(E99)),5,1))&lt;=90,CODE(MID(TRIM(UPPER(E99)),10,1))&gt;=65,CODE(MID(TRIM(UPPER(E99)),10,1))&lt;=90,CODE(MID(TRIM(UPPER(E99)),6,1))&gt;=48,CODE(MID(TRIM(UPPER(E99)),6,1))&lt;=57,CODE(MID(TRIM(UPPER(E99)),7,1))&gt;=48,CODE(MID(TRIM(UPPER(E99)),7,1))&lt;=57,CODE(MID(TRIM(UPPER(E99)),8,1))&gt;=48,CODE(MID(TRIM(UPPER(E99)),8,1))&lt;=57,CODE(MID(TRIM(UPPER(E99)),9,1))&gt;=48,CODE(MID(TRIM(UPPER(E99)),9,1))&lt;=57),"N","Y"))</f>
      </c>
      <c r="G99" s="7">
        <f>IF($D99="","",IF(LEN(E99)&lt;4,"",IF(UPPER(MID(E99,4,1))="P","Individual",IF(UPPER(MID(E99,4,1))="H","HUF",IF(UPPER(MID(E99,4,1))="C","Company",IF(UPPER(MID(E99,4,1))="F","Firm",IF(UPPER(MID(E99,4,1))="L","LLP",IF(UPPER(MID(E99,4,1))="T","Trust",IF(UPPER(MID(E99,4,1))="A","AOP","")))))))))</f>
      </c>
      <c r="H99" s="8"/>
      <c r="I99" s="7">
        <f>IF($D99="","",IF(H99="","",IF(F99="Y",SUMPRODUCT(('Rate Lookup'!$A$1:$A$37=H99)*'Rate Lookup'!$D$1:$D$37),IF(OR(G99="Individual",G99="HUF"),SUMPRODUCT(('Rate Lookup'!$A$1:$A$37=H99)*'Rate Lookup'!$B$1:$B$37),SUMPRODUCT(('Rate Lookup'!$A$1:$A$37=H99)*'Rate Lookup'!$C$1:$C$37)))))</f>
      </c>
      <c r="J99" s="8"/>
      <c r="K99" s="8"/>
      <c r="L99" s="7">
        <f>IF($D99="","",ROUND(K99*I99/100,0))</f>
      </c>
      <c r="M99" s="7">
        <f>IF($D99="","",0)</f>
      </c>
      <c r="N99" s="7">
        <f>IF($D99="","",0)</f>
      </c>
      <c r="O99" s="7">
        <f>IF($D99="","",IF(OR(L99=0,J99="",IFERROR(INDEX('Challan Master'!$D$4:$D$207,MATCH($B99,'Challan Master'!$S$4:$S$207,0)),"")="",IFERROR(INDEX('Challan Master'!$D$4:$D$207,MATCH($B99,'Challan Master'!$S$4:$S$207,0)),"")&lt;=0),0,IF(IFERROR(INDEX('Challan Master'!$D$4:$D$207,MATCH($B99,'Challan Master'!$S$4:$S$207,0)),"")&lt;=DATE(YEAR(J99),MONTH(J99)+1,7),0,ROUND(L99*0.015*((YEAR(IFERROR(INDEX('Challan Master'!$D$4:$D$207,MATCH($B99,'Challan Master'!$S$4:$S$207,0)),""))-YEAR(J99))*12+(MONTH(IFERROR(INDEX('Challan Master'!$D$4:$D$207,MATCH($B99,'Challan Master'!$S$4:$S$207,0)),""))-MONTH(J99))+1),0))))</f>
      </c>
      <c r="P99" s="7">
        <f>IF($D99="","",0)</f>
      </c>
      <c r="Q99" s="8"/>
      <c r="R99" s="8"/>
      <c r="S99" s="8"/>
      <c r="T99" s="8"/>
      <c r="U99" s="8"/>
      <c r="V99" s="7">
        <f>IF($B99="","",IFERROR(INDEX('Challan Master'!$AA$4:$AA$207,MATCH($B99,'Challan Master'!$S$4:$S$207,0)),""))</f>
      </c>
    </row>
    <row r="100" spans="1:22" x14ac:dyDescent="0.25">
      <c r="A100" s="7">
        <f>IF($D100="","",COUNTIF($D$4:$D100,"&lt;&gt;"))</f>
      </c>
      <c r="B100" s="8"/>
      <c r="C100" s="7">
        <f>IF($B100="","","BSR "&amp;IFERROR(INDEX('Challan Master'!$B$4:$B$207,MATCH($B100,'Challan Master'!$S$4:$S$207,0)),"")&amp;" | Serial "&amp;IFERROR(INDEX('Challan Master'!$C$4:$C$207,MATCH($B100,'Challan Master'!$S$4:$S$207,0)),"")&amp;" | Deposit "&amp;TEXT(IFERROR(INDEX('Challan Master'!$D$4:$D$207,MATCH($B100,'Challan Master'!$S$4:$S$207,0)),""),"dd-mm-yyyy")&amp;" | Minor Head "&amp;IFERROR(INDEX('Challan Master'!$E$4:$E$207,MATCH($B100,'Challan Master'!$S$4:$S$207,0)),"")&amp;" | Tax ₹"&amp;TEXT(IFERROR(INDEX('Challan Master'!$G$4:$G$207,MATCH($B100,'Challan Master'!$S$4:$S$207,0)),""),"#,##0")&amp;" | Section "&amp;IFERROR(INDEX('Challan Master'!$F$4:$F$207,MATCH($B100,'Challan Master'!$S$4:$S$207,0)),""))</f>
      </c>
      <c r="D100" s="8"/>
      <c r="E100" s="8"/>
      <c r="F100" s="7">
        <f>IF($D100="","",IF(AND(LEN(TRIM(UPPER(E100)))=10,CODE(MID(TRIM(UPPER(E100)),1,1))&gt;=65,CODE(MID(TRIM(UPPER(E100)),1,1))&lt;=90,CODE(MID(TRIM(UPPER(E100)),2,1))&gt;=65,CODE(MID(TRIM(UPPER(E100)),2,1))&lt;=90,CODE(MID(TRIM(UPPER(E100)),3,1))&gt;=65,CODE(MID(TRIM(UPPER(E100)),3,1))&lt;=90,CODE(MID(TRIM(UPPER(E100)),4,1))&gt;=65,CODE(MID(TRIM(UPPER(E100)),4,1))&lt;=90,CODE(MID(TRIM(UPPER(E100)),5,1))&gt;=65,CODE(MID(TRIM(UPPER(E100)),5,1))&lt;=90,CODE(MID(TRIM(UPPER(E100)),10,1))&gt;=65,CODE(MID(TRIM(UPPER(E100)),10,1))&lt;=90,CODE(MID(TRIM(UPPER(E100)),6,1))&gt;=48,CODE(MID(TRIM(UPPER(E100)),6,1))&lt;=57,CODE(MID(TRIM(UPPER(E100)),7,1))&gt;=48,CODE(MID(TRIM(UPPER(E100)),7,1))&lt;=57,CODE(MID(TRIM(UPPER(E100)),8,1))&gt;=48,CODE(MID(TRIM(UPPER(E100)),8,1))&lt;=57,CODE(MID(TRIM(UPPER(E100)),9,1))&gt;=48,CODE(MID(TRIM(UPPER(E100)),9,1))&lt;=57),"N","Y"))</f>
      </c>
      <c r="G100" s="7">
        <f>IF($D100="","",IF(LEN(E100)&lt;4,"",IF(UPPER(MID(E100,4,1))="P","Individual",IF(UPPER(MID(E100,4,1))="H","HUF",IF(UPPER(MID(E100,4,1))="C","Company",IF(UPPER(MID(E100,4,1))="F","Firm",IF(UPPER(MID(E100,4,1))="L","LLP",IF(UPPER(MID(E100,4,1))="T","Trust",IF(UPPER(MID(E100,4,1))="A","AOP","")))))))))</f>
      </c>
      <c r="H100" s="8"/>
      <c r="I100" s="7">
        <f>IF($D100="","",IF(H100="","",IF(F100="Y",SUMPRODUCT(('Rate Lookup'!$A$1:$A$37=H100)*'Rate Lookup'!$D$1:$D$37),IF(OR(G100="Individual",G100="HUF"),SUMPRODUCT(('Rate Lookup'!$A$1:$A$37=H100)*'Rate Lookup'!$B$1:$B$37),SUMPRODUCT(('Rate Lookup'!$A$1:$A$37=H100)*'Rate Lookup'!$C$1:$C$37)))))</f>
      </c>
      <c r="J100" s="8"/>
      <c r="K100" s="8"/>
      <c r="L100" s="7">
        <f>IF($D100="","",ROUND(K100*I100/100,0))</f>
      </c>
      <c r="M100" s="7">
        <f>IF($D100="","",0)</f>
      </c>
      <c r="N100" s="7">
        <f>IF($D100="","",0)</f>
      </c>
      <c r="O100" s="7">
        <f>IF($D100="","",IF(OR(L100=0,J100="",IFERROR(INDEX('Challan Master'!$D$4:$D$207,MATCH($B100,'Challan Master'!$S$4:$S$207,0)),"")="",IFERROR(INDEX('Challan Master'!$D$4:$D$207,MATCH($B100,'Challan Master'!$S$4:$S$207,0)),"")&lt;=0),0,IF(IFERROR(INDEX('Challan Master'!$D$4:$D$207,MATCH($B100,'Challan Master'!$S$4:$S$207,0)),"")&lt;=DATE(YEAR(J100),MONTH(J100)+1,7),0,ROUND(L100*0.015*((YEAR(IFERROR(INDEX('Challan Master'!$D$4:$D$207,MATCH($B100,'Challan Master'!$S$4:$S$207,0)),""))-YEAR(J100))*12+(MONTH(IFERROR(INDEX('Challan Master'!$D$4:$D$207,MATCH($B100,'Challan Master'!$S$4:$S$207,0)),""))-MONTH(J100))+1),0))))</f>
      </c>
      <c r="P100" s="7">
        <f>IF($D100="","",0)</f>
      </c>
      <c r="Q100" s="8"/>
      <c r="R100" s="8"/>
      <c r="S100" s="8"/>
      <c r="T100" s="8"/>
      <c r="U100" s="8"/>
      <c r="V100" s="7">
        <f>IF($B100="","",IFERROR(INDEX('Challan Master'!$AA$4:$AA$207,MATCH($B100,'Challan Master'!$S$4:$S$207,0)),""))</f>
      </c>
    </row>
    <row r="101" spans="1:22" x14ac:dyDescent="0.25">
      <c r="A101" s="7">
        <f>IF($D101="","",COUNTIF($D$4:$D101,"&lt;&gt;"))</f>
      </c>
      <c r="B101" s="8"/>
      <c r="C101" s="7">
        <f>IF($B101="","","BSR "&amp;IFERROR(INDEX('Challan Master'!$B$4:$B$207,MATCH($B101,'Challan Master'!$S$4:$S$207,0)),"")&amp;" | Serial "&amp;IFERROR(INDEX('Challan Master'!$C$4:$C$207,MATCH($B101,'Challan Master'!$S$4:$S$207,0)),"")&amp;" | Deposit "&amp;TEXT(IFERROR(INDEX('Challan Master'!$D$4:$D$207,MATCH($B101,'Challan Master'!$S$4:$S$207,0)),""),"dd-mm-yyyy")&amp;" | Minor Head "&amp;IFERROR(INDEX('Challan Master'!$E$4:$E$207,MATCH($B101,'Challan Master'!$S$4:$S$207,0)),"")&amp;" | Tax ₹"&amp;TEXT(IFERROR(INDEX('Challan Master'!$G$4:$G$207,MATCH($B101,'Challan Master'!$S$4:$S$207,0)),""),"#,##0")&amp;" | Section "&amp;IFERROR(INDEX('Challan Master'!$F$4:$F$207,MATCH($B101,'Challan Master'!$S$4:$S$207,0)),""))</f>
      </c>
      <c r="D101" s="8"/>
      <c r="E101" s="8"/>
      <c r="F101" s="7">
        <f>IF($D101="","",IF(AND(LEN(TRIM(UPPER(E101)))=10,CODE(MID(TRIM(UPPER(E101)),1,1))&gt;=65,CODE(MID(TRIM(UPPER(E101)),1,1))&lt;=90,CODE(MID(TRIM(UPPER(E101)),2,1))&gt;=65,CODE(MID(TRIM(UPPER(E101)),2,1))&lt;=90,CODE(MID(TRIM(UPPER(E101)),3,1))&gt;=65,CODE(MID(TRIM(UPPER(E101)),3,1))&lt;=90,CODE(MID(TRIM(UPPER(E101)),4,1))&gt;=65,CODE(MID(TRIM(UPPER(E101)),4,1))&lt;=90,CODE(MID(TRIM(UPPER(E101)),5,1))&gt;=65,CODE(MID(TRIM(UPPER(E101)),5,1))&lt;=90,CODE(MID(TRIM(UPPER(E101)),10,1))&gt;=65,CODE(MID(TRIM(UPPER(E101)),10,1))&lt;=90,CODE(MID(TRIM(UPPER(E101)),6,1))&gt;=48,CODE(MID(TRIM(UPPER(E101)),6,1))&lt;=57,CODE(MID(TRIM(UPPER(E101)),7,1))&gt;=48,CODE(MID(TRIM(UPPER(E101)),7,1))&lt;=57,CODE(MID(TRIM(UPPER(E101)),8,1))&gt;=48,CODE(MID(TRIM(UPPER(E101)),8,1))&lt;=57,CODE(MID(TRIM(UPPER(E101)),9,1))&gt;=48,CODE(MID(TRIM(UPPER(E101)),9,1))&lt;=57),"N","Y"))</f>
      </c>
      <c r="G101" s="7">
        <f>IF($D101="","",IF(LEN(E101)&lt;4,"",IF(UPPER(MID(E101,4,1))="P","Individual",IF(UPPER(MID(E101,4,1))="H","HUF",IF(UPPER(MID(E101,4,1))="C","Company",IF(UPPER(MID(E101,4,1))="F","Firm",IF(UPPER(MID(E101,4,1))="L","LLP",IF(UPPER(MID(E101,4,1))="T","Trust",IF(UPPER(MID(E101,4,1))="A","AOP","")))))))))</f>
      </c>
      <c r="H101" s="8"/>
      <c r="I101" s="7">
        <f>IF($D101="","",IF(H101="","",IF(F101="Y",SUMPRODUCT(('Rate Lookup'!$A$1:$A$37=H101)*'Rate Lookup'!$D$1:$D$37),IF(OR(G101="Individual",G101="HUF"),SUMPRODUCT(('Rate Lookup'!$A$1:$A$37=H101)*'Rate Lookup'!$B$1:$B$37),SUMPRODUCT(('Rate Lookup'!$A$1:$A$37=H101)*'Rate Lookup'!$C$1:$C$37)))))</f>
      </c>
      <c r="J101" s="8"/>
      <c r="K101" s="8"/>
      <c r="L101" s="7">
        <f>IF($D101="","",ROUND(K101*I101/100,0))</f>
      </c>
      <c r="M101" s="7">
        <f>IF($D101="","",0)</f>
      </c>
      <c r="N101" s="7">
        <f>IF($D101="","",0)</f>
      </c>
      <c r="O101" s="7">
        <f>IF($D101="","",IF(OR(L101=0,J101="",IFERROR(INDEX('Challan Master'!$D$4:$D$207,MATCH($B101,'Challan Master'!$S$4:$S$207,0)),"")="",IFERROR(INDEX('Challan Master'!$D$4:$D$207,MATCH($B101,'Challan Master'!$S$4:$S$207,0)),"")&lt;=0),0,IF(IFERROR(INDEX('Challan Master'!$D$4:$D$207,MATCH($B101,'Challan Master'!$S$4:$S$207,0)),"")&lt;=DATE(YEAR(J101),MONTH(J101)+1,7),0,ROUND(L101*0.015*((YEAR(IFERROR(INDEX('Challan Master'!$D$4:$D$207,MATCH($B101,'Challan Master'!$S$4:$S$207,0)),""))-YEAR(J101))*12+(MONTH(IFERROR(INDEX('Challan Master'!$D$4:$D$207,MATCH($B101,'Challan Master'!$S$4:$S$207,0)),""))-MONTH(J101))+1),0))))</f>
      </c>
      <c r="P101" s="7">
        <f>IF($D101="","",0)</f>
      </c>
      <c r="Q101" s="8"/>
      <c r="R101" s="8"/>
      <c r="S101" s="8"/>
      <c r="T101" s="8"/>
      <c r="U101" s="8"/>
      <c r="V101" s="7">
        <f>IF($B101="","",IFERROR(INDEX('Challan Master'!$AA$4:$AA$207,MATCH($B101,'Challan Master'!$S$4:$S$207,0)),""))</f>
      </c>
    </row>
    <row r="102" spans="1:22" x14ac:dyDescent="0.25">
      <c r="A102" s="7">
        <f>IF($D102="","",COUNTIF($D$4:$D102,"&lt;&gt;"))</f>
      </c>
      <c r="B102" s="8"/>
      <c r="C102" s="7">
        <f>IF($B102="","","BSR "&amp;IFERROR(INDEX('Challan Master'!$B$4:$B$207,MATCH($B102,'Challan Master'!$S$4:$S$207,0)),"")&amp;" | Serial "&amp;IFERROR(INDEX('Challan Master'!$C$4:$C$207,MATCH($B102,'Challan Master'!$S$4:$S$207,0)),"")&amp;" | Deposit "&amp;TEXT(IFERROR(INDEX('Challan Master'!$D$4:$D$207,MATCH($B102,'Challan Master'!$S$4:$S$207,0)),""),"dd-mm-yyyy")&amp;" | Minor Head "&amp;IFERROR(INDEX('Challan Master'!$E$4:$E$207,MATCH($B102,'Challan Master'!$S$4:$S$207,0)),"")&amp;" | Tax ₹"&amp;TEXT(IFERROR(INDEX('Challan Master'!$G$4:$G$207,MATCH($B102,'Challan Master'!$S$4:$S$207,0)),""),"#,##0")&amp;" | Section "&amp;IFERROR(INDEX('Challan Master'!$F$4:$F$207,MATCH($B102,'Challan Master'!$S$4:$S$207,0)),""))</f>
      </c>
      <c r="D102" s="8"/>
      <c r="E102" s="8"/>
      <c r="F102" s="7">
        <f>IF($D102="","",IF(AND(LEN(TRIM(UPPER(E102)))=10,CODE(MID(TRIM(UPPER(E102)),1,1))&gt;=65,CODE(MID(TRIM(UPPER(E102)),1,1))&lt;=90,CODE(MID(TRIM(UPPER(E102)),2,1))&gt;=65,CODE(MID(TRIM(UPPER(E102)),2,1))&lt;=90,CODE(MID(TRIM(UPPER(E102)),3,1))&gt;=65,CODE(MID(TRIM(UPPER(E102)),3,1))&lt;=90,CODE(MID(TRIM(UPPER(E102)),4,1))&gt;=65,CODE(MID(TRIM(UPPER(E102)),4,1))&lt;=90,CODE(MID(TRIM(UPPER(E102)),5,1))&gt;=65,CODE(MID(TRIM(UPPER(E102)),5,1))&lt;=90,CODE(MID(TRIM(UPPER(E102)),10,1))&gt;=65,CODE(MID(TRIM(UPPER(E102)),10,1))&lt;=90,CODE(MID(TRIM(UPPER(E102)),6,1))&gt;=48,CODE(MID(TRIM(UPPER(E102)),6,1))&lt;=57,CODE(MID(TRIM(UPPER(E102)),7,1))&gt;=48,CODE(MID(TRIM(UPPER(E102)),7,1))&lt;=57,CODE(MID(TRIM(UPPER(E102)),8,1))&gt;=48,CODE(MID(TRIM(UPPER(E102)),8,1))&lt;=57,CODE(MID(TRIM(UPPER(E102)),9,1))&gt;=48,CODE(MID(TRIM(UPPER(E102)),9,1))&lt;=57),"N","Y"))</f>
      </c>
      <c r="G102" s="7">
        <f>IF($D102="","",IF(LEN(E102)&lt;4,"",IF(UPPER(MID(E102,4,1))="P","Individual",IF(UPPER(MID(E102,4,1))="H","HUF",IF(UPPER(MID(E102,4,1))="C","Company",IF(UPPER(MID(E102,4,1))="F","Firm",IF(UPPER(MID(E102,4,1))="L","LLP",IF(UPPER(MID(E102,4,1))="T","Trust",IF(UPPER(MID(E102,4,1))="A","AOP","")))))))))</f>
      </c>
      <c r="H102" s="8"/>
      <c r="I102" s="7">
        <f>IF($D102="","",IF(H102="","",IF(F102="Y",SUMPRODUCT(('Rate Lookup'!$A$1:$A$37=H102)*'Rate Lookup'!$D$1:$D$37),IF(OR(G102="Individual",G102="HUF"),SUMPRODUCT(('Rate Lookup'!$A$1:$A$37=H102)*'Rate Lookup'!$B$1:$B$37),SUMPRODUCT(('Rate Lookup'!$A$1:$A$37=H102)*'Rate Lookup'!$C$1:$C$37)))))</f>
      </c>
      <c r="J102" s="8"/>
      <c r="K102" s="8"/>
      <c r="L102" s="7">
        <f>IF($D102="","",ROUND(K102*I102/100,0))</f>
      </c>
      <c r="M102" s="7">
        <f>IF($D102="","",0)</f>
      </c>
      <c r="N102" s="7">
        <f>IF($D102="","",0)</f>
      </c>
      <c r="O102" s="7">
        <f>IF($D102="","",IF(OR(L102=0,J102="",IFERROR(INDEX('Challan Master'!$D$4:$D$207,MATCH($B102,'Challan Master'!$S$4:$S$207,0)),"")="",IFERROR(INDEX('Challan Master'!$D$4:$D$207,MATCH($B102,'Challan Master'!$S$4:$S$207,0)),"")&lt;=0),0,IF(IFERROR(INDEX('Challan Master'!$D$4:$D$207,MATCH($B102,'Challan Master'!$S$4:$S$207,0)),"")&lt;=DATE(YEAR(J102),MONTH(J102)+1,7),0,ROUND(L102*0.015*((YEAR(IFERROR(INDEX('Challan Master'!$D$4:$D$207,MATCH($B102,'Challan Master'!$S$4:$S$207,0)),""))-YEAR(J102))*12+(MONTH(IFERROR(INDEX('Challan Master'!$D$4:$D$207,MATCH($B102,'Challan Master'!$S$4:$S$207,0)),""))-MONTH(J102))+1),0))))</f>
      </c>
      <c r="P102" s="7">
        <f>IF($D102="","",0)</f>
      </c>
      <c r="Q102" s="8"/>
      <c r="R102" s="8"/>
      <c r="S102" s="8"/>
      <c r="T102" s="8"/>
      <c r="U102" s="8"/>
      <c r="V102" s="7">
        <f>IF($B102="","",IFERROR(INDEX('Challan Master'!$AA$4:$AA$207,MATCH($B102,'Challan Master'!$S$4:$S$207,0)),""))</f>
      </c>
    </row>
    <row r="103" spans="1:22" x14ac:dyDescent="0.25">
      <c r="A103" s="7">
        <f>IF($D103="","",COUNTIF($D$4:$D103,"&lt;&gt;"))</f>
      </c>
      <c r="B103" s="8"/>
      <c r="C103" s="7">
        <f>IF($B103="","","BSR "&amp;IFERROR(INDEX('Challan Master'!$B$4:$B$207,MATCH($B103,'Challan Master'!$S$4:$S$207,0)),"")&amp;" | Serial "&amp;IFERROR(INDEX('Challan Master'!$C$4:$C$207,MATCH($B103,'Challan Master'!$S$4:$S$207,0)),"")&amp;" | Deposit "&amp;TEXT(IFERROR(INDEX('Challan Master'!$D$4:$D$207,MATCH($B103,'Challan Master'!$S$4:$S$207,0)),""),"dd-mm-yyyy")&amp;" | Minor Head "&amp;IFERROR(INDEX('Challan Master'!$E$4:$E$207,MATCH($B103,'Challan Master'!$S$4:$S$207,0)),"")&amp;" | Tax ₹"&amp;TEXT(IFERROR(INDEX('Challan Master'!$G$4:$G$207,MATCH($B103,'Challan Master'!$S$4:$S$207,0)),""),"#,##0")&amp;" | Section "&amp;IFERROR(INDEX('Challan Master'!$F$4:$F$207,MATCH($B103,'Challan Master'!$S$4:$S$207,0)),""))</f>
      </c>
      <c r="D103" s="8"/>
      <c r="E103" s="8"/>
      <c r="F103" s="7">
        <f>IF($D103="","",IF(AND(LEN(TRIM(UPPER(E103)))=10,CODE(MID(TRIM(UPPER(E103)),1,1))&gt;=65,CODE(MID(TRIM(UPPER(E103)),1,1))&lt;=90,CODE(MID(TRIM(UPPER(E103)),2,1))&gt;=65,CODE(MID(TRIM(UPPER(E103)),2,1))&lt;=90,CODE(MID(TRIM(UPPER(E103)),3,1))&gt;=65,CODE(MID(TRIM(UPPER(E103)),3,1))&lt;=90,CODE(MID(TRIM(UPPER(E103)),4,1))&gt;=65,CODE(MID(TRIM(UPPER(E103)),4,1))&lt;=90,CODE(MID(TRIM(UPPER(E103)),5,1))&gt;=65,CODE(MID(TRIM(UPPER(E103)),5,1))&lt;=90,CODE(MID(TRIM(UPPER(E103)),10,1))&gt;=65,CODE(MID(TRIM(UPPER(E103)),10,1))&lt;=90,CODE(MID(TRIM(UPPER(E103)),6,1))&gt;=48,CODE(MID(TRIM(UPPER(E103)),6,1))&lt;=57,CODE(MID(TRIM(UPPER(E103)),7,1))&gt;=48,CODE(MID(TRIM(UPPER(E103)),7,1))&lt;=57,CODE(MID(TRIM(UPPER(E103)),8,1))&gt;=48,CODE(MID(TRIM(UPPER(E103)),8,1))&lt;=57,CODE(MID(TRIM(UPPER(E103)),9,1))&gt;=48,CODE(MID(TRIM(UPPER(E103)),9,1))&lt;=57),"N","Y"))</f>
      </c>
      <c r="G103" s="7">
        <f>IF($D103="","",IF(LEN(E103)&lt;4,"",IF(UPPER(MID(E103,4,1))="P","Individual",IF(UPPER(MID(E103,4,1))="H","HUF",IF(UPPER(MID(E103,4,1))="C","Company",IF(UPPER(MID(E103,4,1))="F","Firm",IF(UPPER(MID(E103,4,1))="L","LLP",IF(UPPER(MID(E103,4,1))="T","Trust",IF(UPPER(MID(E103,4,1))="A","AOP","")))))))))</f>
      </c>
      <c r="H103" s="8"/>
      <c r="I103" s="7">
        <f>IF($D103="","",IF(H103="","",IF(F103="Y",SUMPRODUCT(('Rate Lookup'!$A$1:$A$37=H103)*'Rate Lookup'!$D$1:$D$37),IF(OR(G103="Individual",G103="HUF"),SUMPRODUCT(('Rate Lookup'!$A$1:$A$37=H103)*'Rate Lookup'!$B$1:$B$37),SUMPRODUCT(('Rate Lookup'!$A$1:$A$37=H103)*'Rate Lookup'!$C$1:$C$37)))))</f>
      </c>
      <c r="J103" s="8"/>
      <c r="K103" s="8"/>
      <c r="L103" s="7">
        <f>IF($D103="","",ROUND(K103*I103/100,0))</f>
      </c>
      <c r="M103" s="7">
        <f>IF($D103="","",0)</f>
      </c>
      <c r="N103" s="7">
        <f>IF($D103="","",0)</f>
      </c>
      <c r="O103" s="7">
        <f>IF($D103="","",IF(OR(L103=0,J103="",IFERROR(INDEX('Challan Master'!$D$4:$D$207,MATCH($B103,'Challan Master'!$S$4:$S$207,0)),"")="",IFERROR(INDEX('Challan Master'!$D$4:$D$207,MATCH($B103,'Challan Master'!$S$4:$S$207,0)),"")&lt;=0),0,IF(IFERROR(INDEX('Challan Master'!$D$4:$D$207,MATCH($B103,'Challan Master'!$S$4:$S$207,0)),"")&lt;=DATE(YEAR(J103),MONTH(J103)+1,7),0,ROUND(L103*0.015*((YEAR(IFERROR(INDEX('Challan Master'!$D$4:$D$207,MATCH($B103,'Challan Master'!$S$4:$S$207,0)),""))-YEAR(J103))*12+(MONTH(IFERROR(INDEX('Challan Master'!$D$4:$D$207,MATCH($B103,'Challan Master'!$S$4:$S$207,0)),""))-MONTH(J103))+1),0))))</f>
      </c>
      <c r="P103" s="7">
        <f>IF($D103="","",0)</f>
      </c>
      <c r="Q103" s="8"/>
      <c r="R103" s="8"/>
      <c r="S103" s="8"/>
      <c r="T103" s="8"/>
      <c r="U103" s="8"/>
      <c r="V103" s="7">
        <f>IF($B103="","",IFERROR(INDEX('Challan Master'!$AA$4:$AA$207,MATCH($B103,'Challan Master'!$S$4:$S$207,0)),""))</f>
      </c>
    </row>
    <row r="104" spans="1:22" x14ac:dyDescent="0.25">
      <c r="A104" s="7">
        <f>IF($D104="","",COUNTIF($D$4:$D104,"&lt;&gt;"))</f>
      </c>
      <c r="B104" s="8"/>
      <c r="C104" s="7">
        <f>IF($B104="","","BSR "&amp;IFERROR(INDEX('Challan Master'!$B$4:$B$207,MATCH($B104,'Challan Master'!$S$4:$S$207,0)),"")&amp;" | Serial "&amp;IFERROR(INDEX('Challan Master'!$C$4:$C$207,MATCH($B104,'Challan Master'!$S$4:$S$207,0)),"")&amp;" | Deposit "&amp;TEXT(IFERROR(INDEX('Challan Master'!$D$4:$D$207,MATCH($B104,'Challan Master'!$S$4:$S$207,0)),""),"dd-mm-yyyy")&amp;" | Minor Head "&amp;IFERROR(INDEX('Challan Master'!$E$4:$E$207,MATCH($B104,'Challan Master'!$S$4:$S$207,0)),"")&amp;" | Tax ₹"&amp;TEXT(IFERROR(INDEX('Challan Master'!$G$4:$G$207,MATCH($B104,'Challan Master'!$S$4:$S$207,0)),""),"#,##0")&amp;" | Section "&amp;IFERROR(INDEX('Challan Master'!$F$4:$F$207,MATCH($B104,'Challan Master'!$S$4:$S$207,0)),""))</f>
      </c>
      <c r="D104" s="8"/>
      <c r="E104" s="8"/>
      <c r="F104" s="7">
        <f>IF($D104="","",IF(AND(LEN(TRIM(UPPER(E104)))=10,CODE(MID(TRIM(UPPER(E104)),1,1))&gt;=65,CODE(MID(TRIM(UPPER(E104)),1,1))&lt;=90,CODE(MID(TRIM(UPPER(E104)),2,1))&gt;=65,CODE(MID(TRIM(UPPER(E104)),2,1))&lt;=90,CODE(MID(TRIM(UPPER(E104)),3,1))&gt;=65,CODE(MID(TRIM(UPPER(E104)),3,1))&lt;=90,CODE(MID(TRIM(UPPER(E104)),4,1))&gt;=65,CODE(MID(TRIM(UPPER(E104)),4,1))&lt;=90,CODE(MID(TRIM(UPPER(E104)),5,1))&gt;=65,CODE(MID(TRIM(UPPER(E104)),5,1))&lt;=90,CODE(MID(TRIM(UPPER(E104)),10,1))&gt;=65,CODE(MID(TRIM(UPPER(E104)),10,1))&lt;=90,CODE(MID(TRIM(UPPER(E104)),6,1))&gt;=48,CODE(MID(TRIM(UPPER(E104)),6,1))&lt;=57,CODE(MID(TRIM(UPPER(E104)),7,1))&gt;=48,CODE(MID(TRIM(UPPER(E104)),7,1))&lt;=57,CODE(MID(TRIM(UPPER(E104)),8,1))&gt;=48,CODE(MID(TRIM(UPPER(E104)),8,1))&lt;=57,CODE(MID(TRIM(UPPER(E104)),9,1))&gt;=48,CODE(MID(TRIM(UPPER(E104)),9,1))&lt;=57),"N","Y"))</f>
      </c>
      <c r="G104" s="7">
        <f>IF($D104="","",IF(LEN(E104)&lt;4,"",IF(UPPER(MID(E104,4,1))="P","Individual",IF(UPPER(MID(E104,4,1))="H","HUF",IF(UPPER(MID(E104,4,1))="C","Company",IF(UPPER(MID(E104,4,1))="F","Firm",IF(UPPER(MID(E104,4,1))="L","LLP",IF(UPPER(MID(E104,4,1))="T","Trust",IF(UPPER(MID(E104,4,1))="A","AOP","")))))))))</f>
      </c>
      <c r="H104" s="8"/>
      <c r="I104" s="7">
        <f>IF($D104="","",IF(H104="","",IF(F104="Y",SUMPRODUCT(('Rate Lookup'!$A$1:$A$37=H104)*'Rate Lookup'!$D$1:$D$37),IF(OR(G104="Individual",G104="HUF"),SUMPRODUCT(('Rate Lookup'!$A$1:$A$37=H104)*'Rate Lookup'!$B$1:$B$37),SUMPRODUCT(('Rate Lookup'!$A$1:$A$37=H104)*'Rate Lookup'!$C$1:$C$37)))))</f>
      </c>
      <c r="J104" s="8"/>
      <c r="K104" s="8"/>
      <c r="L104" s="7">
        <f>IF($D104="","",ROUND(K104*I104/100,0))</f>
      </c>
      <c r="M104" s="7">
        <f>IF($D104="","",0)</f>
      </c>
      <c r="N104" s="7">
        <f>IF($D104="","",0)</f>
      </c>
      <c r="O104" s="7">
        <f>IF($D104="","",IF(OR(L104=0,J104="",IFERROR(INDEX('Challan Master'!$D$4:$D$207,MATCH($B104,'Challan Master'!$S$4:$S$207,0)),"")="",IFERROR(INDEX('Challan Master'!$D$4:$D$207,MATCH($B104,'Challan Master'!$S$4:$S$207,0)),"")&lt;=0),0,IF(IFERROR(INDEX('Challan Master'!$D$4:$D$207,MATCH($B104,'Challan Master'!$S$4:$S$207,0)),"")&lt;=DATE(YEAR(J104),MONTH(J104)+1,7),0,ROUND(L104*0.015*((YEAR(IFERROR(INDEX('Challan Master'!$D$4:$D$207,MATCH($B104,'Challan Master'!$S$4:$S$207,0)),""))-YEAR(J104))*12+(MONTH(IFERROR(INDEX('Challan Master'!$D$4:$D$207,MATCH($B104,'Challan Master'!$S$4:$S$207,0)),""))-MONTH(J104))+1),0))))</f>
      </c>
      <c r="P104" s="7">
        <f>IF($D104="","",0)</f>
      </c>
      <c r="Q104" s="8"/>
      <c r="R104" s="8"/>
      <c r="S104" s="8"/>
      <c r="T104" s="8"/>
      <c r="U104" s="8"/>
      <c r="V104" s="7">
        <f>IF($B104="","",IFERROR(INDEX('Challan Master'!$AA$4:$AA$207,MATCH($B104,'Challan Master'!$S$4:$S$207,0)),""))</f>
      </c>
    </row>
    <row r="105" spans="1:22" x14ac:dyDescent="0.25">
      <c r="A105" s="7">
        <f>IF($D105="","",COUNTIF($D$4:$D105,"&lt;&gt;"))</f>
      </c>
      <c r="B105" s="8"/>
      <c r="C105" s="7">
        <f>IF($B105="","","BSR "&amp;IFERROR(INDEX('Challan Master'!$B$4:$B$207,MATCH($B105,'Challan Master'!$S$4:$S$207,0)),"")&amp;" | Serial "&amp;IFERROR(INDEX('Challan Master'!$C$4:$C$207,MATCH($B105,'Challan Master'!$S$4:$S$207,0)),"")&amp;" | Deposit "&amp;TEXT(IFERROR(INDEX('Challan Master'!$D$4:$D$207,MATCH($B105,'Challan Master'!$S$4:$S$207,0)),""),"dd-mm-yyyy")&amp;" | Minor Head "&amp;IFERROR(INDEX('Challan Master'!$E$4:$E$207,MATCH($B105,'Challan Master'!$S$4:$S$207,0)),"")&amp;" | Tax ₹"&amp;TEXT(IFERROR(INDEX('Challan Master'!$G$4:$G$207,MATCH($B105,'Challan Master'!$S$4:$S$207,0)),""),"#,##0")&amp;" | Section "&amp;IFERROR(INDEX('Challan Master'!$F$4:$F$207,MATCH($B105,'Challan Master'!$S$4:$S$207,0)),""))</f>
      </c>
      <c r="D105" s="8"/>
      <c r="E105" s="8"/>
      <c r="F105" s="7">
        <f>IF($D105="","",IF(AND(LEN(TRIM(UPPER(E105)))=10,CODE(MID(TRIM(UPPER(E105)),1,1))&gt;=65,CODE(MID(TRIM(UPPER(E105)),1,1))&lt;=90,CODE(MID(TRIM(UPPER(E105)),2,1))&gt;=65,CODE(MID(TRIM(UPPER(E105)),2,1))&lt;=90,CODE(MID(TRIM(UPPER(E105)),3,1))&gt;=65,CODE(MID(TRIM(UPPER(E105)),3,1))&lt;=90,CODE(MID(TRIM(UPPER(E105)),4,1))&gt;=65,CODE(MID(TRIM(UPPER(E105)),4,1))&lt;=90,CODE(MID(TRIM(UPPER(E105)),5,1))&gt;=65,CODE(MID(TRIM(UPPER(E105)),5,1))&lt;=90,CODE(MID(TRIM(UPPER(E105)),10,1))&gt;=65,CODE(MID(TRIM(UPPER(E105)),10,1))&lt;=90,CODE(MID(TRIM(UPPER(E105)),6,1))&gt;=48,CODE(MID(TRIM(UPPER(E105)),6,1))&lt;=57,CODE(MID(TRIM(UPPER(E105)),7,1))&gt;=48,CODE(MID(TRIM(UPPER(E105)),7,1))&lt;=57,CODE(MID(TRIM(UPPER(E105)),8,1))&gt;=48,CODE(MID(TRIM(UPPER(E105)),8,1))&lt;=57,CODE(MID(TRIM(UPPER(E105)),9,1))&gt;=48,CODE(MID(TRIM(UPPER(E105)),9,1))&lt;=57),"N","Y"))</f>
      </c>
      <c r="G105" s="7">
        <f>IF($D105="","",IF(LEN(E105)&lt;4,"",IF(UPPER(MID(E105,4,1))="P","Individual",IF(UPPER(MID(E105,4,1))="H","HUF",IF(UPPER(MID(E105,4,1))="C","Company",IF(UPPER(MID(E105,4,1))="F","Firm",IF(UPPER(MID(E105,4,1))="L","LLP",IF(UPPER(MID(E105,4,1))="T","Trust",IF(UPPER(MID(E105,4,1))="A","AOP","")))))))))</f>
      </c>
      <c r="H105" s="8"/>
      <c r="I105" s="7">
        <f>IF($D105="","",IF(H105="","",IF(F105="Y",SUMPRODUCT(('Rate Lookup'!$A$1:$A$37=H105)*'Rate Lookup'!$D$1:$D$37),IF(OR(G105="Individual",G105="HUF"),SUMPRODUCT(('Rate Lookup'!$A$1:$A$37=H105)*'Rate Lookup'!$B$1:$B$37),SUMPRODUCT(('Rate Lookup'!$A$1:$A$37=H105)*'Rate Lookup'!$C$1:$C$37)))))</f>
      </c>
      <c r="J105" s="8"/>
      <c r="K105" s="8"/>
      <c r="L105" s="7">
        <f>IF($D105="","",ROUND(K105*I105/100,0))</f>
      </c>
      <c r="M105" s="7">
        <f>IF($D105="","",0)</f>
      </c>
      <c r="N105" s="7">
        <f>IF($D105="","",0)</f>
      </c>
      <c r="O105" s="7">
        <f>IF($D105="","",IF(OR(L105=0,J105="",IFERROR(INDEX('Challan Master'!$D$4:$D$207,MATCH($B105,'Challan Master'!$S$4:$S$207,0)),"")="",IFERROR(INDEX('Challan Master'!$D$4:$D$207,MATCH($B105,'Challan Master'!$S$4:$S$207,0)),"")&lt;=0),0,IF(IFERROR(INDEX('Challan Master'!$D$4:$D$207,MATCH($B105,'Challan Master'!$S$4:$S$207,0)),"")&lt;=DATE(YEAR(J105),MONTH(J105)+1,7),0,ROUND(L105*0.015*((YEAR(IFERROR(INDEX('Challan Master'!$D$4:$D$207,MATCH($B105,'Challan Master'!$S$4:$S$207,0)),""))-YEAR(J105))*12+(MONTH(IFERROR(INDEX('Challan Master'!$D$4:$D$207,MATCH($B105,'Challan Master'!$S$4:$S$207,0)),""))-MONTH(J105))+1),0))))</f>
      </c>
      <c r="P105" s="7">
        <f>IF($D105="","",0)</f>
      </c>
      <c r="Q105" s="8"/>
      <c r="R105" s="8"/>
      <c r="S105" s="8"/>
      <c r="T105" s="8"/>
      <c r="U105" s="8"/>
      <c r="V105" s="7">
        <f>IF($B105="","",IFERROR(INDEX('Challan Master'!$AA$4:$AA$207,MATCH($B105,'Challan Master'!$S$4:$S$207,0)),""))</f>
      </c>
    </row>
    <row r="106" spans="1:22" x14ac:dyDescent="0.25">
      <c r="A106" s="7">
        <f>IF($D106="","",COUNTIF($D$4:$D106,"&lt;&gt;"))</f>
      </c>
      <c r="B106" s="8"/>
      <c r="C106" s="7">
        <f>IF($B106="","","BSR "&amp;IFERROR(INDEX('Challan Master'!$B$4:$B$207,MATCH($B106,'Challan Master'!$S$4:$S$207,0)),"")&amp;" | Serial "&amp;IFERROR(INDEX('Challan Master'!$C$4:$C$207,MATCH($B106,'Challan Master'!$S$4:$S$207,0)),"")&amp;" | Deposit "&amp;TEXT(IFERROR(INDEX('Challan Master'!$D$4:$D$207,MATCH($B106,'Challan Master'!$S$4:$S$207,0)),""),"dd-mm-yyyy")&amp;" | Minor Head "&amp;IFERROR(INDEX('Challan Master'!$E$4:$E$207,MATCH($B106,'Challan Master'!$S$4:$S$207,0)),"")&amp;" | Tax ₹"&amp;TEXT(IFERROR(INDEX('Challan Master'!$G$4:$G$207,MATCH($B106,'Challan Master'!$S$4:$S$207,0)),""),"#,##0")&amp;" | Section "&amp;IFERROR(INDEX('Challan Master'!$F$4:$F$207,MATCH($B106,'Challan Master'!$S$4:$S$207,0)),""))</f>
      </c>
      <c r="D106" s="8"/>
      <c r="E106" s="8"/>
      <c r="F106" s="7">
        <f>IF($D106="","",IF(AND(LEN(TRIM(UPPER(E106)))=10,CODE(MID(TRIM(UPPER(E106)),1,1))&gt;=65,CODE(MID(TRIM(UPPER(E106)),1,1))&lt;=90,CODE(MID(TRIM(UPPER(E106)),2,1))&gt;=65,CODE(MID(TRIM(UPPER(E106)),2,1))&lt;=90,CODE(MID(TRIM(UPPER(E106)),3,1))&gt;=65,CODE(MID(TRIM(UPPER(E106)),3,1))&lt;=90,CODE(MID(TRIM(UPPER(E106)),4,1))&gt;=65,CODE(MID(TRIM(UPPER(E106)),4,1))&lt;=90,CODE(MID(TRIM(UPPER(E106)),5,1))&gt;=65,CODE(MID(TRIM(UPPER(E106)),5,1))&lt;=90,CODE(MID(TRIM(UPPER(E106)),10,1))&gt;=65,CODE(MID(TRIM(UPPER(E106)),10,1))&lt;=90,CODE(MID(TRIM(UPPER(E106)),6,1))&gt;=48,CODE(MID(TRIM(UPPER(E106)),6,1))&lt;=57,CODE(MID(TRIM(UPPER(E106)),7,1))&gt;=48,CODE(MID(TRIM(UPPER(E106)),7,1))&lt;=57,CODE(MID(TRIM(UPPER(E106)),8,1))&gt;=48,CODE(MID(TRIM(UPPER(E106)),8,1))&lt;=57,CODE(MID(TRIM(UPPER(E106)),9,1))&gt;=48,CODE(MID(TRIM(UPPER(E106)),9,1))&lt;=57),"N","Y"))</f>
      </c>
      <c r="G106" s="7">
        <f>IF($D106="","",IF(LEN(E106)&lt;4,"",IF(UPPER(MID(E106,4,1))="P","Individual",IF(UPPER(MID(E106,4,1))="H","HUF",IF(UPPER(MID(E106,4,1))="C","Company",IF(UPPER(MID(E106,4,1))="F","Firm",IF(UPPER(MID(E106,4,1))="L","LLP",IF(UPPER(MID(E106,4,1))="T","Trust",IF(UPPER(MID(E106,4,1))="A","AOP","")))))))))</f>
      </c>
      <c r="H106" s="8"/>
      <c r="I106" s="7">
        <f>IF($D106="","",IF(H106="","",IF(F106="Y",SUMPRODUCT(('Rate Lookup'!$A$1:$A$37=H106)*'Rate Lookup'!$D$1:$D$37),IF(OR(G106="Individual",G106="HUF"),SUMPRODUCT(('Rate Lookup'!$A$1:$A$37=H106)*'Rate Lookup'!$B$1:$B$37),SUMPRODUCT(('Rate Lookup'!$A$1:$A$37=H106)*'Rate Lookup'!$C$1:$C$37)))))</f>
      </c>
      <c r="J106" s="8"/>
      <c r="K106" s="8"/>
      <c r="L106" s="7">
        <f>IF($D106="","",ROUND(K106*I106/100,0))</f>
      </c>
      <c r="M106" s="7">
        <f>IF($D106="","",0)</f>
      </c>
      <c r="N106" s="7">
        <f>IF($D106="","",0)</f>
      </c>
      <c r="O106" s="7">
        <f>IF($D106="","",IF(OR(L106=0,J106="",IFERROR(INDEX('Challan Master'!$D$4:$D$207,MATCH($B106,'Challan Master'!$S$4:$S$207,0)),"")="",IFERROR(INDEX('Challan Master'!$D$4:$D$207,MATCH($B106,'Challan Master'!$S$4:$S$207,0)),"")&lt;=0),0,IF(IFERROR(INDEX('Challan Master'!$D$4:$D$207,MATCH($B106,'Challan Master'!$S$4:$S$207,0)),"")&lt;=DATE(YEAR(J106),MONTH(J106)+1,7),0,ROUND(L106*0.015*((YEAR(IFERROR(INDEX('Challan Master'!$D$4:$D$207,MATCH($B106,'Challan Master'!$S$4:$S$207,0)),""))-YEAR(J106))*12+(MONTH(IFERROR(INDEX('Challan Master'!$D$4:$D$207,MATCH($B106,'Challan Master'!$S$4:$S$207,0)),""))-MONTH(J106))+1),0))))</f>
      </c>
      <c r="P106" s="7">
        <f>IF($D106="","",0)</f>
      </c>
      <c r="Q106" s="8"/>
      <c r="R106" s="8"/>
      <c r="S106" s="8"/>
      <c r="T106" s="8"/>
      <c r="U106" s="8"/>
      <c r="V106" s="7">
        <f>IF($B106="","",IFERROR(INDEX('Challan Master'!$AA$4:$AA$207,MATCH($B106,'Challan Master'!$S$4:$S$207,0)),""))</f>
      </c>
    </row>
    <row r="107" spans="1:22" x14ac:dyDescent="0.25">
      <c r="A107" s="7">
        <f>IF($D107="","",COUNTIF($D$4:$D107,"&lt;&gt;"))</f>
      </c>
      <c r="B107" s="8"/>
      <c r="C107" s="7">
        <f>IF($B107="","","BSR "&amp;IFERROR(INDEX('Challan Master'!$B$4:$B$207,MATCH($B107,'Challan Master'!$S$4:$S$207,0)),"")&amp;" | Serial "&amp;IFERROR(INDEX('Challan Master'!$C$4:$C$207,MATCH($B107,'Challan Master'!$S$4:$S$207,0)),"")&amp;" | Deposit "&amp;TEXT(IFERROR(INDEX('Challan Master'!$D$4:$D$207,MATCH($B107,'Challan Master'!$S$4:$S$207,0)),""),"dd-mm-yyyy")&amp;" | Minor Head "&amp;IFERROR(INDEX('Challan Master'!$E$4:$E$207,MATCH($B107,'Challan Master'!$S$4:$S$207,0)),"")&amp;" | Tax ₹"&amp;TEXT(IFERROR(INDEX('Challan Master'!$G$4:$G$207,MATCH($B107,'Challan Master'!$S$4:$S$207,0)),""),"#,##0")&amp;" | Section "&amp;IFERROR(INDEX('Challan Master'!$F$4:$F$207,MATCH($B107,'Challan Master'!$S$4:$S$207,0)),""))</f>
      </c>
      <c r="D107" s="8"/>
      <c r="E107" s="8"/>
      <c r="F107" s="7">
        <f>IF($D107="","",IF(AND(LEN(TRIM(UPPER(E107)))=10,CODE(MID(TRIM(UPPER(E107)),1,1))&gt;=65,CODE(MID(TRIM(UPPER(E107)),1,1))&lt;=90,CODE(MID(TRIM(UPPER(E107)),2,1))&gt;=65,CODE(MID(TRIM(UPPER(E107)),2,1))&lt;=90,CODE(MID(TRIM(UPPER(E107)),3,1))&gt;=65,CODE(MID(TRIM(UPPER(E107)),3,1))&lt;=90,CODE(MID(TRIM(UPPER(E107)),4,1))&gt;=65,CODE(MID(TRIM(UPPER(E107)),4,1))&lt;=90,CODE(MID(TRIM(UPPER(E107)),5,1))&gt;=65,CODE(MID(TRIM(UPPER(E107)),5,1))&lt;=90,CODE(MID(TRIM(UPPER(E107)),10,1))&gt;=65,CODE(MID(TRIM(UPPER(E107)),10,1))&lt;=90,CODE(MID(TRIM(UPPER(E107)),6,1))&gt;=48,CODE(MID(TRIM(UPPER(E107)),6,1))&lt;=57,CODE(MID(TRIM(UPPER(E107)),7,1))&gt;=48,CODE(MID(TRIM(UPPER(E107)),7,1))&lt;=57,CODE(MID(TRIM(UPPER(E107)),8,1))&gt;=48,CODE(MID(TRIM(UPPER(E107)),8,1))&lt;=57,CODE(MID(TRIM(UPPER(E107)),9,1))&gt;=48,CODE(MID(TRIM(UPPER(E107)),9,1))&lt;=57),"N","Y"))</f>
      </c>
      <c r="G107" s="7">
        <f>IF($D107="","",IF(LEN(E107)&lt;4,"",IF(UPPER(MID(E107,4,1))="P","Individual",IF(UPPER(MID(E107,4,1))="H","HUF",IF(UPPER(MID(E107,4,1))="C","Company",IF(UPPER(MID(E107,4,1))="F","Firm",IF(UPPER(MID(E107,4,1))="L","LLP",IF(UPPER(MID(E107,4,1))="T","Trust",IF(UPPER(MID(E107,4,1))="A","AOP","")))))))))</f>
      </c>
      <c r="H107" s="8"/>
      <c r="I107" s="7">
        <f>IF($D107="","",IF(H107="","",IF(F107="Y",SUMPRODUCT(('Rate Lookup'!$A$1:$A$37=H107)*'Rate Lookup'!$D$1:$D$37),IF(OR(G107="Individual",G107="HUF"),SUMPRODUCT(('Rate Lookup'!$A$1:$A$37=H107)*'Rate Lookup'!$B$1:$B$37),SUMPRODUCT(('Rate Lookup'!$A$1:$A$37=H107)*'Rate Lookup'!$C$1:$C$37)))))</f>
      </c>
      <c r="J107" s="8"/>
      <c r="K107" s="8"/>
      <c r="L107" s="7">
        <f>IF($D107="","",ROUND(K107*I107/100,0))</f>
      </c>
      <c r="M107" s="7">
        <f>IF($D107="","",0)</f>
      </c>
      <c r="N107" s="7">
        <f>IF($D107="","",0)</f>
      </c>
      <c r="O107" s="7">
        <f>IF($D107="","",IF(OR(L107=0,J107="",IFERROR(INDEX('Challan Master'!$D$4:$D$207,MATCH($B107,'Challan Master'!$S$4:$S$207,0)),"")="",IFERROR(INDEX('Challan Master'!$D$4:$D$207,MATCH($B107,'Challan Master'!$S$4:$S$207,0)),"")&lt;=0),0,IF(IFERROR(INDEX('Challan Master'!$D$4:$D$207,MATCH($B107,'Challan Master'!$S$4:$S$207,0)),"")&lt;=DATE(YEAR(J107),MONTH(J107)+1,7),0,ROUND(L107*0.015*((YEAR(IFERROR(INDEX('Challan Master'!$D$4:$D$207,MATCH($B107,'Challan Master'!$S$4:$S$207,0)),""))-YEAR(J107))*12+(MONTH(IFERROR(INDEX('Challan Master'!$D$4:$D$207,MATCH($B107,'Challan Master'!$S$4:$S$207,0)),""))-MONTH(J107))+1),0))))</f>
      </c>
      <c r="P107" s="7">
        <f>IF($D107="","",0)</f>
      </c>
      <c r="Q107" s="8"/>
      <c r="R107" s="8"/>
      <c r="S107" s="8"/>
      <c r="T107" s="8"/>
      <c r="U107" s="8"/>
      <c r="V107" s="7">
        <f>IF($B107="","",IFERROR(INDEX('Challan Master'!$AA$4:$AA$207,MATCH($B107,'Challan Master'!$S$4:$S$207,0)),""))</f>
      </c>
    </row>
    <row r="108" spans="1:22" x14ac:dyDescent="0.25">
      <c r="A108" s="7">
        <f>IF($D108="","",COUNTIF($D$4:$D108,"&lt;&gt;"))</f>
      </c>
      <c r="B108" s="8"/>
      <c r="C108" s="7">
        <f>IF($B108="","","BSR "&amp;IFERROR(INDEX('Challan Master'!$B$4:$B$207,MATCH($B108,'Challan Master'!$S$4:$S$207,0)),"")&amp;" | Serial "&amp;IFERROR(INDEX('Challan Master'!$C$4:$C$207,MATCH($B108,'Challan Master'!$S$4:$S$207,0)),"")&amp;" | Deposit "&amp;TEXT(IFERROR(INDEX('Challan Master'!$D$4:$D$207,MATCH($B108,'Challan Master'!$S$4:$S$207,0)),""),"dd-mm-yyyy")&amp;" | Minor Head "&amp;IFERROR(INDEX('Challan Master'!$E$4:$E$207,MATCH($B108,'Challan Master'!$S$4:$S$207,0)),"")&amp;" | Tax ₹"&amp;TEXT(IFERROR(INDEX('Challan Master'!$G$4:$G$207,MATCH($B108,'Challan Master'!$S$4:$S$207,0)),""),"#,##0")&amp;" | Section "&amp;IFERROR(INDEX('Challan Master'!$F$4:$F$207,MATCH($B108,'Challan Master'!$S$4:$S$207,0)),""))</f>
      </c>
      <c r="D108" s="8"/>
      <c r="E108" s="8"/>
      <c r="F108" s="7">
        <f>IF($D108="","",IF(AND(LEN(TRIM(UPPER(E108)))=10,CODE(MID(TRIM(UPPER(E108)),1,1))&gt;=65,CODE(MID(TRIM(UPPER(E108)),1,1))&lt;=90,CODE(MID(TRIM(UPPER(E108)),2,1))&gt;=65,CODE(MID(TRIM(UPPER(E108)),2,1))&lt;=90,CODE(MID(TRIM(UPPER(E108)),3,1))&gt;=65,CODE(MID(TRIM(UPPER(E108)),3,1))&lt;=90,CODE(MID(TRIM(UPPER(E108)),4,1))&gt;=65,CODE(MID(TRIM(UPPER(E108)),4,1))&lt;=90,CODE(MID(TRIM(UPPER(E108)),5,1))&gt;=65,CODE(MID(TRIM(UPPER(E108)),5,1))&lt;=90,CODE(MID(TRIM(UPPER(E108)),10,1))&gt;=65,CODE(MID(TRIM(UPPER(E108)),10,1))&lt;=90,CODE(MID(TRIM(UPPER(E108)),6,1))&gt;=48,CODE(MID(TRIM(UPPER(E108)),6,1))&lt;=57,CODE(MID(TRIM(UPPER(E108)),7,1))&gt;=48,CODE(MID(TRIM(UPPER(E108)),7,1))&lt;=57,CODE(MID(TRIM(UPPER(E108)),8,1))&gt;=48,CODE(MID(TRIM(UPPER(E108)),8,1))&lt;=57,CODE(MID(TRIM(UPPER(E108)),9,1))&gt;=48,CODE(MID(TRIM(UPPER(E108)),9,1))&lt;=57),"N","Y"))</f>
      </c>
      <c r="G108" s="7">
        <f>IF($D108="","",IF(LEN(E108)&lt;4,"",IF(UPPER(MID(E108,4,1))="P","Individual",IF(UPPER(MID(E108,4,1))="H","HUF",IF(UPPER(MID(E108,4,1))="C","Company",IF(UPPER(MID(E108,4,1))="F","Firm",IF(UPPER(MID(E108,4,1))="L","LLP",IF(UPPER(MID(E108,4,1))="T","Trust",IF(UPPER(MID(E108,4,1))="A","AOP","")))))))))</f>
      </c>
      <c r="H108" s="8"/>
      <c r="I108" s="7">
        <f>IF($D108="","",IF(H108="","",IF(F108="Y",SUMPRODUCT(('Rate Lookup'!$A$1:$A$37=H108)*'Rate Lookup'!$D$1:$D$37),IF(OR(G108="Individual",G108="HUF"),SUMPRODUCT(('Rate Lookup'!$A$1:$A$37=H108)*'Rate Lookup'!$B$1:$B$37),SUMPRODUCT(('Rate Lookup'!$A$1:$A$37=H108)*'Rate Lookup'!$C$1:$C$37)))))</f>
      </c>
      <c r="J108" s="8"/>
      <c r="K108" s="8"/>
      <c r="L108" s="7">
        <f>IF($D108="","",ROUND(K108*I108/100,0))</f>
      </c>
      <c r="M108" s="7">
        <f>IF($D108="","",0)</f>
      </c>
      <c r="N108" s="7">
        <f>IF($D108="","",0)</f>
      </c>
      <c r="O108" s="7">
        <f>IF($D108="","",IF(OR(L108=0,J108="",IFERROR(INDEX('Challan Master'!$D$4:$D$207,MATCH($B108,'Challan Master'!$S$4:$S$207,0)),"")="",IFERROR(INDEX('Challan Master'!$D$4:$D$207,MATCH($B108,'Challan Master'!$S$4:$S$207,0)),"")&lt;=0),0,IF(IFERROR(INDEX('Challan Master'!$D$4:$D$207,MATCH($B108,'Challan Master'!$S$4:$S$207,0)),"")&lt;=DATE(YEAR(J108),MONTH(J108)+1,7),0,ROUND(L108*0.015*((YEAR(IFERROR(INDEX('Challan Master'!$D$4:$D$207,MATCH($B108,'Challan Master'!$S$4:$S$207,0)),""))-YEAR(J108))*12+(MONTH(IFERROR(INDEX('Challan Master'!$D$4:$D$207,MATCH($B108,'Challan Master'!$S$4:$S$207,0)),""))-MONTH(J108))+1),0))))</f>
      </c>
      <c r="P108" s="7">
        <f>IF($D108="","",0)</f>
      </c>
      <c r="Q108" s="8"/>
      <c r="R108" s="8"/>
      <c r="S108" s="8"/>
      <c r="T108" s="8"/>
      <c r="U108" s="8"/>
      <c r="V108" s="7">
        <f>IF($B108="","",IFERROR(INDEX('Challan Master'!$AA$4:$AA$207,MATCH($B108,'Challan Master'!$S$4:$S$207,0)),""))</f>
      </c>
    </row>
    <row r="109" spans="1:22" x14ac:dyDescent="0.25">
      <c r="A109" s="7">
        <f>IF($D109="","",COUNTIF($D$4:$D109,"&lt;&gt;"))</f>
      </c>
      <c r="B109" s="8"/>
      <c r="C109" s="7">
        <f>IF($B109="","","BSR "&amp;IFERROR(INDEX('Challan Master'!$B$4:$B$207,MATCH($B109,'Challan Master'!$S$4:$S$207,0)),"")&amp;" | Serial "&amp;IFERROR(INDEX('Challan Master'!$C$4:$C$207,MATCH($B109,'Challan Master'!$S$4:$S$207,0)),"")&amp;" | Deposit "&amp;TEXT(IFERROR(INDEX('Challan Master'!$D$4:$D$207,MATCH($B109,'Challan Master'!$S$4:$S$207,0)),""),"dd-mm-yyyy")&amp;" | Minor Head "&amp;IFERROR(INDEX('Challan Master'!$E$4:$E$207,MATCH($B109,'Challan Master'!$S$4:$S$207,0)),"")&amp;" | Tax ₹"&amp;TEXT(IFERROR(INDEX('Challan Master'!$G$4:$G$207,MATCH($B109,'Challan Master'!$S$4:$S$207,0)),""),"#,##0")&amp;" | Section "&amp;IFERROR(INDEX('Challan Master'!$F$4:$F$207,MATCH($B109,'Challan Master'!$S$4:$S$207,0)),""))</f>
      </c>
      <c r="D109" s="8"/>
      <c r="E109" s="8"/>
      <c r="F109" s="7">
        <f>IF($D109="","",IF(AND(LEN(TRIM(UPPER(E109)))=10,CODE(MID(TRIM(UPPER(E109)),1,1))&gt;=65,CODE(MID(TRIM(UPPER(E109)),1,1))&lt;=90,CODE(MID(TRIM(UPPER(E109)),2,1))&gt;=65,CODE(MID(TRIM(UPPER(E109)),2,1))&lt;=90,CODE(MID(TRIM(UPPER(E109)),3,1))&gt;=65,CODE(MID(TRIM(UPPER(E109)),3,1))&lt;=90,CODE(MID(TRIM(UPPER(E109)),4,1))&gt;=65,CODE(MID(TRIM(UPPER(E109)),4,1))&lt;=90,CODE(MID(TRIM(UPPER(E109)),5,1))&gt;=65,CODE(MID(TRIM(UPPER(E109)),5,1))&lt;=90,CODE(MID(TRIM(UPPER(E109)),10,1))&gt;=65,CODE(MID(TRIM(UPPER(E109)),10,1))&lt;=90,CODE(MID(TRIM(UPPER(E109)),6,1))&gt;=48,CODE(MID(TRIM(UPPER(E109)),6,1))&lt;=57,CODE(MID(TRIM(UPPER(E109)),7,1))&gt;=48,CODE(MID(TRIM(UPPER(E109)),7,1))&lt;=57,CODE(MID(TRIM(UPPER(E109)),8,1))&gt;=48,CODE(MID(TRIM(UPPER(E109)),8,1))&lt;=57,CODE(MID(TRIM(UPPER(E109)),9,1))&gt;=48,CODE(MID(TRIM(UPPER(E109)),9,1))&lt;=57),"N","Y"))</f>
      </c>
      <c r="G109" s="7">
        <f>IF($D109="","",IF(LEN(E109)&lt;4,"",IF(UPPER(MID(E109,4,1))="P","Individual",IF(UPPER(MID(E109,4,1))="H","HUF",IF(UPPER(MID(E109,4,1))="C","Company",IF(UPPER(MID(E109,4,1))="F","Firm",IF(UPPER(MID(E109,4,1))="L","LLP",IF(UPPER(MID(E109,4,1))="T","Trust",IF(UPPER(MID(E109,4,1))="A","AOP","")))))))))</f>
      </c>
      <c r="H109" s="8"/>
      <c r="I109" s="7">
        <f>IF($D109="","",IF(H109="","",IF(F109="Y",SUMPRODUCT(('Rate Lookup'!$A$1:$A$37=H109)*'Rate Lookup'!$D$1:$D$37),IF(OR(G109="Individual",G109="HUF"),SUMPRODUCT(('Rate Lookup'!$A$1:$A$37=H109)*'Rate Lookup'!$B$1:$B$37),SUMPRODUCT(('Rate Lookup'!$A$1:$A$37=H109)*'Rate Lookup'!$C$1:$C$37)))))</f>
      </c>
      <c r="J109" s="8"/>
      <c r="K109" s="8"/>
      <c r="L109" s="7">
        <f>IF($D109="","",ROUND(K109*I109/100,0))</f>
      </c>
      <c r="M109" s="7">
        <f>IF($D109="","",0)</f>
      </c>
      <c r="N109" s="7">
        <f>IF($D109="","",0)</f>
      </c>
      <c r="O109" s="7">
        <f>IF($D109="","",IF(OR(L109=0,J109="",IFERROR(INDEX('Challan Master'!$D$4:$D$207,MATCH($B109,'Challan Master'!$S$4:$S$207,0)),"")="",IFERROR(INDEX('Challan Master'!$D$4:$D$207,MATCH($B109,'Challan Master'!$S$4:$S$207,0)),"")&lt;=0),0,IF(IFERROR(INDEX('Challan Master'!$D$4:$D$207,MATCH($B109,'Challan Master'!$S$4:$S$207,0)),"")&lt;=DATE(YEAR(J109),MONTH(J109)+1,7),0,ROUND(L109*0.015*((YEAR(IFERROR(INDEX('Challan Master'!$D$4:$D$207,MATCH($B109,'Challan Master'!$S$4:$S$207,0)),""))-YEAR(J109))*12+(MONTH(IFERROR(INDEX('Challan Master'!$D$4:$D$207,MATCH($B109,'Challan Master'!$S$4:$S$207,0)),""))-MONTH(J109))+1),0))))</f>
      </c>
      <c r="P109" s="7">
        <f>IF($D109="","",0)</f>
      </c>
      <c r="Q109" s="8"/>
      <c r="R109" s="8"/>
      <c r="S109" s="8"/>
      <c r="T109" s="8"/>
      <c r="U109" s="8"/>
      <c r="V109" s="7">
        <f>IF($B109="","",IFERROR(INDEX('Challan Master'!$AA$4:$AA$207,MATCH($B109,'Challan Master'!$S$4:$S$207,0)),""))</f>
      </c>
    </row>
    <row r="110" spans="1:22" x14ac:dyDescent="0.25">
      <c r="A110" s="7">
        <f>IF($D110="","",COUNTIF($D$4:$D110,"&lt;&gt;"))</f>
      </c>
      <c r="B110" s="8"/>
      <c r="C110" s="7">
        <f>IF($B110="","","BSR "&amp;IFERROR(INDEX('Challan Master'!$B$4:$B$207,MATCH($B110,'Challan Master'!$S$4:$S$207,0)),"")&amp;" | Serial "&amp;IFERROR(INDEX('Challan Master'!$C$4:$C$207,MATCH($B110,'Challan Master'!$S$4:$S$207,0)),"")&amp;" | Deposit "&amp;TEXT(IFERROR(INDEX('Challan Master'!$D$4:$D$207,MATCH($B110,'Challan Master'!$S$4:$S$207,0)),""),"dd-mm-yyyy")&amp;" | Minor Head "&amp;IFERROR(INDEX('Challan Master'!$E$4:$E$207,MATCH($B110,'Challan Master'!$S$4:$S$207,0)),"")&amp;" | Tax ₹"&amp;TEXT(IFERROR(INDEX('Challan Master'!$G$4:$G$207,MATCH($B110,'Challan Master'!$S$4:$S$207,0)),""),"#,##0")&amp;" | Section "&amp;IFERROR(INDEX('Challan Master'!$F$4:$F$207,MATCH($B110,'Challan Master'!$S$4:$S$207,0)),""))</f>
      </c>
      <c r="D110" s="8"/>
      <c r="E110" s="8"/>
      <c r="F110" s="7">
        <f>IF($D110="","",IF(AND(LEN(TRIM(UPPER(E110)))=10,CODE(MID(TRIM(UPPER(E110)),1,1))&gt;=65,CODE(MID(TRIM(UPPER(E110)),1,1))&lt;=90,CODE(MID(TRIM(UPPER(E110)),2,1))&gt;=65,CODE(MID(TRIM(UPPER(E110)),2,1))&lt;=90,CODE(MID(TRIM(UPPER(E110)),3,1))&gt;=65,CODE(MID(TRIM(UPPER(E110)),3,1))&lt;=90,CODE(MID(TRIM(UPPER(E110)),4,1))&gt;=65,CODE(MID(TRIM(UPPER(E110)),4,1))&lt;=90,CODE(MID(TRIM(UPPER(E110)),5,1))&gt;=65,CODE(MID(TRIM(UPPER(E110)),5,1))&lt;=90,CODE(MID(TRIM(UPPER(E110)),10,1))&gt;=65,CODE(MID(TRIM(UPPER(E110)),10,1))&lt;=90,CODE(MID(TRIM(UPPER(E110)),6,1))&gt;=48,CODE(MID(TRIM(UPPER(E110)),6,1))&lt;=57,CODE(MID(TRIM(UPPER(E110)),7,1))&gt;=48,CODE(MID(TRIM(UPPER(E110)),7,1))&lt;=57,CODE(MID(TRIM(UPPER(E110)),8,1))&gt;=48,CODE(MID(TRIM(UPPER(E110)),8,1))&lt;=57,CODE(MID(TRIM(UPPER(E110)),9,1))&gt;=48,CODE(MID(TRIM(UPPER(E110)),9,1))&lt;=57),"N","Y"))</f>
      </c>
      <c r="G110" s="7">
        <f>IF($D110="","",IF(LEN(E110)&lt;4,"",IF(UPPER(MID(E110,4,1))="P","Individual",IF(UPPER(MID(E110,4,1))="H","HUF",IF(UPPER(MID(E110,4,1))="C","Company",IF(UPPER(MID(E110,4,1))="F","Firm",IF(UPPER(MID(E110,4,1))="L","LLP",IF(UPPER(MID(E110,4,1))="T","Trust",IF(UPPER(MID(E110,4,1))="A","AOP","")))))))))</f>
      </c>
      <c r="H110" s="8"/>
      <c r="I110" s="7">
        <f>IF($D110="","",IF(H110="","",IF(F110="Y",SUMPRODUCT(('Rate Lookup'!$A$1:$A$37=H110)*'Rate Lookup'!$D$1:$D$37),IF(OR(G110="Individual",G110="HUF"),SUMPRODUCT(('Rate Lookup'!$A$1:$A$37=H110)*'Rate Lookup'!$B$1:$B$37),SUMPRODUCT(('Rate Lookup'!$A$1:$A$37=H110)*'Rate Lookup'!$C$1:$C$37)))))</f>
      </c>
      <c r="J110" s="8"/>
      <c r="K110" s="8"/>
      <c r="L110" s="7">
        <f>IF($D110="","",ROUND(K110*I110/100,0))</f>
      </c>
      <c r="M110" s="7">
        <f>IF($D110="","",0)</f>
      </c>
      <c r="N110" s="7">
        <f>IF($D110="","",0)</f>
      </c>
      <c r="O110" s="7">
        <f>IF($D110="","",IF(OR(L110=0,J110="",IFERROR(INDEX('Challan Master'!$D$4:$D$207,MATCH($B110,'Challan Master'!$S$4:$S$207,0)),"")="",IFERROR(INDEX('Challan Master'!$D$4:$D$207,MATCH($B110,'Challan Master'!$S$4:$S$207,0)),"")&lt;=0),0,IF(IFERROR(INDEX('Challan Master'!$D$4:$D$207,MATCH($B110,'Challan Master'!$S$4:$S$207,0)),"")&lt;=DATE(YEAR(J110),MONTH(J110)+1,7),0,ROUND(L110*0.015*((YEAR(IFERROR(INDEX('Challan Master'!$D$4:$D$207,MATCH($B110,'Challan Master'!$S$4:$S$207,0)),""))-YEAR(J110))*12+(MONTH(IFERROR(INDEX('Challan Master'!$D$4:$D$207,MATCH($B110,'Challan Master'!$S$4:$S$207,0)),""))-MONTH(J110))+1),0))))</f>
      </c>
      <c r="P110" s="7">
        <f>IF($D110="","",0)</f>
      </c>
      <c r="Q110" s="8"/>
      <c r="R110" s="8"/>
      <c r="S110" s="8"/>
      <c r="T110" s="8"/>
      <c r="U110" s="8"/>
      <c r="V110" s="7">
        <f>IF($B110="","",IFERROR(INDEX('Challan Master'!$AA$4:$AA$207,MATCH($B110,'Challan Master'!$S$4:$S$207,0)),""))</f>
      </c>
    </row>
    <row r="111" spans="1:22" x14ac:dyDescent="0.25">
      <c r="A111" s="7">
        <f>IF($D111="","",COUNTIF($D$4:$D111,"&lt;&gt;"))</f>
      </c>
      <c r="B111" s="8"/>
      <c r="C111" s="7">
        <f>IF($B111="","","BSR "&amp;IFERROR(INDEX('Challan Master'!$B$4:$B$207,MATCH($B111,'Challan Master'!$S$4:$S$207,0)),"")&amp;" | Serial "&amp;IFERROR(INDEX('Challan Master'!$C$4:$C$207,MATCH($B111,'Challan Master'!$S$4:$S$207,0)),"")&amp;" | Deposit "&amp;TEXT(IFERROR(INDEX('Challan Master'!$D$4:$D$207,MATCH($B111,'Challan Master'!$S$4:$S$207,0)),""),"dd-mm-yyyy")&amp;" | Minor Head "&amp;IFERROR(INDEX('Challan Master'!$E$4:$E$207,MATCH($B111,'Challan Master'!$S$4:$S$207,0)),"")&amp;" | Tax ₹"&amp;TEXT(IFERROR(INDEX('Challan Master'!$G$4:$G$207,MATCH($B111,'Challan Master'!$S$4:$S$207,0)),""),"#,##0")&amp;" | Section "&amp;IFERROR(INDEX('Challan Master'!$F$4:$F$207,MATCH($B111,'Challan Master'!$S$4:$S$207,0)),""))</f>
      </c>
      <c r="D111" s="8"/>
      <c r="E111" s="8"/>
      <c r="F111" s="7">
        <f>IF($D111="","",IF(AND(LEN(TRIM(UPPER(E111)))=10,CODE(MID(TRIM(UPPER(E111)),1,1))&gt;=65,CODE(MID(TRIM(UPPER(E111)),1,1))&lt;=90,CODE(MID(TRIM(UPPER(E111)),2,1))&gt;=65,CODE(MID(TRIM(UPPER(E111)),2,1))&lt;=90,CODE(MID(TRIM(UPPER(E111)),3,1))&gt;=65,CODE(MID(TRIM(UPPER(E111)),3,1))&lt;=90,CODE(MID(TRIM(UPPER(E111)),4,1))&gt;=65,CODE(MID(TRIM(UPPER(E111)),4,1))&lt;=90,CODE(MID(TRIM(UPPER(E111)),5,1))&gt;=65,CODE(MID(TRIM(UPPER(E111)),5,1))&lt;=90,CODE(MID(TRIM(UPPER(E111)),10,1))&gt;=65,CODE(MID(TRIM(UPPER(E111)),10,1))&lt;=90,CODE(MID(TRIM(UPPER(E111)),6,1))&gt;=48,CODE(MID(TRIM(UPPER(E111)),6,1))&lt;=57,CODE(MID(TRIM(UPPER(E111)),7,1))&gt;=48,CODE(MID(TRIM(UPPER(E111)),7,1))&lt;=57,CODE(MID(TRIM(UPPER(E111)),8,1))&gt;=48,CODE(MID(TRIM(UPPER(E111)),8,1))&lt;=57,CODE(MID(TRIM(UPPER(E111)),9,1))&gt;=48,CODE(MID(TRIM(UPPER(E111)),9,1))&lt;=57),"N","Y"))</f>
      </c>
      <c r="G111" s="7">
        <f>IF($D111="","",IF(LEN(E111)&lt;4,"",IF(UPPER(MID(E111,4,1))="P","Individual",IF(UPPER(MID(E111,4,1))="H","HUF",IF(UPPER(MID(E111,4,1))="C","Company",IF(UPPER(MID(E111,4,1))="F","Firm",IF(UPPER(MID(E111,4,1))="L","LLP",IF(UPPER(MID(E111,4,1))="T","Trust",IF(UPPER(MID(E111,4,1))="A","AOP","")))))))))</f>
      </c>
      <c r="H111" s="8"/>
      <c r="I111" s="7">
        <f>IF($D111="","",IF(H111="","",IF(F111="Y",SUMPRODUCT(('Rate Lookup'!$A$1:$A$37=H111)*'Rate Lookup'!$D$1:$D$37),IF(OR(G111="Individual",G111="HUF"),SUMPRODUCT(('Rate Lookup'!$A$1:$A$37=H111)*'Rate Lookup'!$B$1:$B$37),SUMPRODUCT(('Rate Lookup'!$A$1:$A$37=H111)*'Rate Lookup'!$C$1:$C$37)))))</f>
      </c>
      <c r="J111" s="8"/>
      <c r="K111" s="8"/>
      <c r="L111" s="7">
        <f>IF($D111="","",ROUND(K111*I111/100,0))</f>
      </c>
      <c r="M111" s="7">
        <f>IF($D111="","",0)</f>
      </c>
      <c r="N111" s="7">
        <f>IF($D111="","",0)</f>
      </c>
      <c r="O111" s="7">
        <f>IF($D111="","",IF(OR(L111=0,J111="",IFERROR(INDEX('Challan Master'!$D$4:$D$207,MATCH($B111,'Challan Master'!$S$4:$S$207,0)),"")="",IFERROR(INDEX('Challan Master'!$D$4:$D$207,MATCH($B111,'Challan Master'!$S$4:$S$207,0)),"")&lt;=0),0,IF(IFERROR(INDEX('Challan Master'!$D$4:$D$207,MATCH($B111,'Challan Master'!$S$4:$S$207,0)),"")&lt;=DATE(YEAR(J111),MONTH(J111)+1,7),0,ROUND(L111*0.015*((YEAR(IFERROR(INDEX('Challan Master'!$D$4:$D$207,MATCH($B111,'Challan Master'!$S$4:$S$207,0)),""))-YEAR(J111))*12+(MONTH(IFERROR(INDEX('Challan Master'!$D$4:$D$207,MATCH($B111,'Challan Master'!$S$4:$S$207,0)),""))-MONTH(J111))+1),0))))</f>
      </c>
      <c r="P111" s="7">
        <f>IF($D111="","",0)</f>
      </c>
      <c r="Q111" s="8"/>
      <c r="R111" s="8"/>
      <c r="S111" s="8"/>
      <c r="T111" s="8"/>
      <c r="U111" s="8"/>
      <c r="V111" s="7">
        <f>IF($B111="","",IFERROR(INDEX('Challan Master'!$AA$4:$AA$207,MATCH($B111,'Challan Master'!$S$4:$S$207,0)),""))</f>
      </c>
    </row>
    <row r="112" spans="1:22" x14ac:dyDescent="0.25">
      <c r="A112" s="7">
        <f>IF($D112="","",COUNTIF($D$4:$D112,"&lt;&gt;"))</f>
      </c>
      <c r="B112" s="8"/>
      <c r="C112" s="7">
        <f>IF($B112="","","BSR "&amp;IFERROR(INDEX('Challan Master'!$B$4:$B$207,MATCH($B112,'Challan Master'!$S$4:$S$207,0)),"")&amp;" | Serial "&amp;IFERROR(INDEX('Challan Master'!$C$4:$C$207,MATCH($B112,'Challan Master'!$S$4:$S$207,0)),"")&amp;" | Deposit "&amp;TEXT(IFERROR(INDEX('Challan Master'!$D$4:$D$207,MATCH($B112,'Challan Master'!$S$4:$S$207,0)),""),"dd-mm-yyyy")&amp;" | Minor Head "&amp;IFERROR(INDEX('Challan Master'!$E$4:$E$207,MATCH($B112,'Challan Master'!$S$4:$S$207,0)),"")&amp;" | Tax ₹"&amp;TEXT(IFERROR(INDEX('Challan Master'!$G$4:$G$207,MATCH($B112,'Challan Master'!$S$4:$S$207,0)),""),"#,##0")&amp;" | Section "&amp;IFERROR(INDEX('Challan Master'!$F$4:$F$207,MATCH($B112,'Challan Master'!$S$4:$S$207,0)),""))</f>
      </c>
      <c r="D112" s="8"/>
      <c r="E112" s="8"/>
      <c r="F112" s="7">
        <f>IF($D112="","",IF(AND(LEN(TRIM(UPPER(E112)))=10,CODE(MID(TRIM(UPPER(E112)),1,1))&gt;=65,CODE(MID(TRIM(UPPER(E112)),1,1))&lt;=90,CODE(MID(TRIM(UPPER(E112)),2,1))&gt;=65,CODE(MID(TRIM(UPPER(E112)),2,1))&lt;=90,CODE(MID(TRIM(UPPER(E112)),3,1))&gt;=65,CODE(MID(TRIM(UPPER(E112)),3,1))&lt;=90,CODE(MID(TRIM(UPPER(E112)),4,1))&gt;=65,CODE(MID(TRIM(UPPER(E112)),4,1))&lt;=90,CODE(MID(TRIM(UPPER(E112)),5,1))&gt;=65,CODE(MID(TRIM(UPPER(E112)),5,1))&lt;=90,CODE(MID(TRIM(UPPER(E112)),10,1))&gt;=65,CODE(MID(TRIM(UPPER(E112)),10,1))&lt;=90,CODE(MID(TRIM(UPPER(E112)),6,1))&gt;=48,CODE(MID(TRIM(UPPER(E112)),6,1))&lt;=57,CODE(MID(TRIM(UPPER(E112)),7,1))&gt;=48,CODE(MID(TRIM(UPPER(E112)),7,1))&lt;=57,CODE(MID(TRIM(UPPER(E112)),8,1))&gt;=48,CODE(MID(TRIM(UPPER(E112)),8,1))&lt;=57,CODE(MID(TRIM(UPPER(E112)),9,1))&gt;=48,CODE(MID(TRIM(UPPER(E112)),9,1))&lt;=57),"N","Y"))</f>
      </c>
      <c r="G112" s="7">
        <f>IF($D112="","",IF(LEN(E112)&lt;4,"",IF(UPPER(MID(E112,4,1))="P","Individual",IF(UPPER(MID(E112,4,1))="H","HUF",IF(UPPER(MID(E112,4,1))="C","Company",IF(UPPER(MID(E112,4,1))="F","Firm",IF(UPPER(MID(E112,4,1))="L","LLP",IF(UPPER(MID(E112,4,1))="T","Trust",IF(UPPER(MID(E112,4,1))="A","AOP","")))))))))</f>
      </c>
      <c r="H112" s="8"/>
      <c r="I112" s="7">
        <f>IF($D112="","",IF(H112="","",IF(F112="Y",SUMPRODUCT(('Rate Lookup'!$A$1:$A$37=H112)*'Rate Lookup'!$D$1:$D$37),IF(OR(G112="Individual",G112="HUF"),SUMPRODUCT(('Rate Lookup'!$A$1:$A$37=H112)*'Rate Lookup'!$B$1:$B$37),SUMPRODUCT(('Rate Lookup'!$A$1:$A$37=H112)*'Rate Lookup'!$C$1:$C$37)))))</f>
      </c>
      <c r="J112" s="8"/>
      <c r="K112" s="8"/>
      <c r="L112" s="7">
        <f>IF($D112="","",ROUND(K112*I112/100,0))</f>
      </c>
      <c r="M112" s="7">
        <f>IF($D112="","",0)</f>
      </c>
      <c r="N112" s="7">
        <f>IF($D112="","",0)</f>
      </c>
      <c r="O112" s="7">
        <f>IF($D112="","",IF(OR(L112=0,J112="",IFERROR(INDEX('Challan Master'!$D$4:$D$207,MATCH($B112,'Challan Master'!$S$4:$S$207,0)),"")="",IFERROR(INDEX('Challan Master'!$D$4:$D$207,MATCH($B112,'Challan Master'!$S$4:$S$207,0)),"")&lt;=0),0,IF(IFERROR(INDEX('Challan Master'!$D$4:$D$207,MATCH($B112,'Challan Master'!$S$4:$S$207,0)),"")&lt;=DATE(YEAR(J112),MONTH(J112)+1,7),0,ROUND(L112*0.015*((YEAR(IFERROR(INDEX('Challan Master'!$D$4:$D$207,MATCH($B112,'Challan Master'!$S$4:$S$207,0)),""))-YEAR(J112))*12+(MONTH(IFERROR(INDEX('Challan Master'!$D$4:$D$207,MATCH($B112,'Challan Master'!$S$4:$S$207,0)),""))-MONTH(J112))+1),0))))</f>
      </c>
      <c r="P112" s="7">
        <f>IF($D112="","",0)</f>
      </c>
      <c r="Q112" s="8"/>
      <c r="R112" s="8"/>
      <c r="S112" s="8"/>
      <c r="T112" s="8"/>
      <c r="U112" s="8"/>
      <c r="V112" s="7">
        <f>IF($B112="","",IFERROR(INDEX('Challan Master'!$AA$4:$AA$207,MATCH($B112,'Challan Master'!$S$4:$S$207,0)),""))</f>
      </c>
    </row>
    <row r="113" spans="1:22" x14ac:dyDescent="0.25">
      <c r="A113" s="7">
        <f>IF($D113="","",COUNTIF($D$4:$D113,"&lt;&gt;"))</f>
      </c>
      <c r="B113" s="8"/>
      <c r="C113" s="7">
        <f>IF($B113="","","BSR "&amp;IFERROR(INDEX('Challan Master'!$B$4:$B$207,MATCH($B113,'Challan Master'!$S$4:$S$207,0)),"")&amp;" | Serial "&amp;IFERROR(INDEX('Challan Master'!$C$4:$C$207,MATCH($B113,'Challan Master'!$S$4:$S$207,0)),"")&amp;" | Deposit "&amp;TEXT(IFERROR(INDEX('Challan Master'!$D$4:$D$207,MATCH($B113,'Challan Master'!$S$4:$S$207,0)),""),"dd-mm-yyyy")&amp;" | Minor Head "&amp;IFERROR(INDEX('Challan Master'!$E$4:$E$207,MATCH($B113,'Challan Master'!$S$4:$S$207,0)),"")&amp;" | Tax ₹"&amp;TEXT(IFERROR(INDEX('Challan Master'!$G$4:$G$207,MATCH($B113,'Challan Master'!$S$4:$S$207,0)),""),"#,##0")&amp;" | Section "&amp;IFERROR(INDEX('Challan Master'!$F$4:$F$207,MATCH($B113,'Challan Master'!$S$4:$S$207,0)),""))</f>
      </c>
      <c r="D113" s="8"/>
      <c r="E113" s="8"/>
      <c r="F113" s="7">
        <f>IF($D113="","",IF(AND(LEN(TRIM(UPPER(E113)))=10,CODE(MID(TRIM(UPPER(E113)),1,1))&gt;=65,CODE(MID(TRIM(UPPER(E113)),1,1))&lt;=90,CODE(MID(TRIM(UPPER(E113)),2,1))&gt;=65,CODE(MID(TRIM(UPPER(E113)),2,1))&lt;=90,CODE(MID(TRIM(UPPER(E113)),3,1))&gt;=65,CODE(MID(TRIM(UPPER(E113)),3,1))&lt;=90,CODE(MID(TRIM(UPPER(E113)),4,1))&gt;=65,CODE(MID(TRIM(UPPER(E113)),4,1))&lt;=90,CODE(MID(TRIM(UPPER(E113)),5,1))&gt;=65,CODE(MID(TRIM(UPPER(E113)),5,1))&lt;=90,CODE(MID(TRIM(UPPER(E113)),10,1))&gt;=65,CODE(MID(TRIM(UPPER(E113)),10,1))&lt;=90,CODE(MID(TRIM(UPPER(E113)),6,1))&gt;=48,CODE(MID(TRIM(UPPER(E113)),6,1))&lt;=57,CODE(MID(TRIM(UPPER(E113)),7,1))&gt;=48,CODE(MID(TRIM(UPPER(E113)),7,1))&lt;=57,CODE(MID(TRIM(UPPER(E113)),8,1))&gt;=48,CODE(MID(TRIM(UPPER(E113)),8,1))&lt;=57,CODE(MID(TRIM(UPPER(E113)),9,1))&gt;=48,CODE(MID(TRIM(UPPER(E113)),9,1))&lt;=57),"N","Y"))</f>
      </c>
      <c r="G113" s="7">
        <f>IF($D113="","",IF(LEN(E113)&lt;4,"",IF(UPPER(MID(E113,4,1))="P","Individual",IF(UPPER(MID(E113,4,1))="H","HUF",IF(UPPER(MID(E113,4,1))="C","Company",IF(UPPER(MID(E113,4,1))="F","Firm",IF(UPPER(MID(E113,4,1))="L","LLP",IF(UPPER(MID(E113,4,1))="T","Trust",IF(UPPER(MID(E113,4,1))="A","AOP","")))))))))</f>
      </c>
      <c r="H113" s="8"/>
      <c r="I113" s="7">
        <f>IF($D113="","",IF(H113="","",IF(F113="Y",SUMPRODUCT(('Rate Lookup'!$A$1:$A$37=H113)*'Rate Lookup'!$D$1:$D$37),IF(OR(G113="Individual",G113="HUF"),SUMPRODUCT(('Rate Lookup'!$A$1:$A$37=H113)*'Rate Lookup'!$B$1:$B$37),SUMPRODUCT(('Rate Lookup'!$A$1:$A$37=H113)*'Rate Lookup'!$C$1:$C$37)))))</f>
      </c>
      <c r="J113" s="8"/>
      <c r="K113" s="8"/>
      <c r="L113" s="7">
        <f>IF($D113="","",ROUND(K113*I113/100,0))</f>
      </c>
      <c r="M113" s="7">
        <f>IF($D113="","",0)</f>
      </c>
      <c r="N113" s="7">
        <f>IF($D113="","",0)</f>
      </c>
      <c r="O113" s="7">
        <f>IF($D113="","",IF(OR(L113=0,J113="",IFERROR(INDEX('Challan Master'!$D$4:$D$207,MATCH($B113,'Challan Master'!$S$4:$S$207,0)),"")="",IFERROR(INDEX('Challan Master'!$D$4:$D$207,MATCH($B113,'Challan Master'!$S$4:$S$207,0)),"")&lt;=0),0,IF(IFERROR(INDEX('Challan Master'!$D$4:$D$207,MATCH($B113,'Challan Master'!$S$4:$S$207,0)),"")&lt;=DATE(YEAR(J113),MONTH(J113)+1,7),0,ROUND(L113*0.015*((YEAR(IFERROR(INDEX('Challan Master'!$D$4:$D$207,MATCH($B113,'Challan Master'!$S$4:$S$207,0)),""))-YEAR(J113))*12+(MONTH(IFERROR(INDEX('Challan Master'!$D$4:$D$207,MATCH($B113,'Challan Master'!$S$4:$S$207,0)),""))-MONTH(J113))+1),0))))</f>
      </c>
      <c r="P113" s="7">
        <f>IF($D113="","",0)</f>
      </c>
      <c r="Q113" s="8"/>
      <c r="R113" s="8"/>
      <c r="S113" s="8"/>
      <c r="T113" s="8"/>
      <c r="U113" s="8"/>
      <c r="V113" s="7">
        <f>IF($B113="","",IFERROR(INDEX('Challan Master'!$AA$4:$AA$207,MATCH($B113,'Challan Master'!$S$4:$S$207,0)),""))</f>
      </c>
    </row>
    <row r="114" spans="1:22" x14ac:dyDescent="0.25">
      <c r="A114" s="7">
        <f>IF($D114="","",COUNTIF($D$4:$D114,"&lt;&gt;"))</f>
      </c>
      <c r="B114" s="8"/>
      <c r="C114" s="7">
        <f>IF($B114="","","BSR "&amp;IFERROR(INDEX('Challan Master'!$B$4:$B$207,MATCH($B114,'Challan Master'!$S$4:$S$207,0)),"")&amp;" | Serial "&amp;IFERROR(INDEX('Challan Master'!$C$4:$C$207,MATCH($B114,'Challan Master'!$S$4:$S$207,0)),"")&amp;" | Deposit "&amp;TEXT(IFERROR(INDEX('Challan Master'!$D$4:$D$207,MATCH($B114,'Challan Master'!$S$4:$S$207,0)),""),"dd-mm-yyyy")&amp;" | Minor Head "&amp;IFERROR(INDEX('Challan Master'!$E$4:$E$207,MATCH($B114,'Challan Master'!$S$4:$S$207,0)),"")&amp;" | Tax ₹"&amp;TEXT(IFERROR(INDEX('Challan Master'!$G$4:$G$207,MATCH($B114,'Challan Master'!$S$4:$S$207,0)),""),"#,##0")&amp;" | Section "&amp;IFERROR(INDEX('Challan Master'!$F$4:$F$207,MATCH($B114,'Challan Master'!$S$4:$S$207,0)),""))</f>
      </c>
      <c r="D114" s="8"/>
      <c r="E114" s="8"/>
      <c r="F114" s="7">
        <f>IF($D114="","",IF(AND(LEN(TRIM(UPPER(E114)))=10,CODE(MID(TRIM(UPPER(E114)),1,1))&gt;=65,CODE(MID(TRIM(UPPER(E114)),1,1))&lt;=90,CODE(MID(TRIM(UPPER(E114)),2,1))&gt;=65,CODE(MID(TRIM(UPPER(E114)),2,1))&lt;=90,CODE(MID(TRIM(UPPER(E114)),3,1))&gt;=65,CODE(MID(TRIM(UPPER(E114)),3,1))&lt;=90,CODE(MID(TRIM(UPPER(E114)),4,1))&gt;=65,CODE(MID(TRIM(UPPER(E114)),4,1))&lt;=90,CODE(MID(TRIM(UPPER(E114)),5,1))&gt;=65,CODE(MID(TRIM(UPPER(E114)),5,1))&lt;=90,CODE(MID(TRIM(UPPER(E114)),10,1))&gt;=65,CODE(MID(TRIM(UPPER(E114)),10,1))&lt;=90,CODE(MID(TRIM(UPPER(E114)),6,1))&gt;=48,CODE(MID(TRIM(UPPER(E114)),6,1))&lt;=57,CODE(MID(TRIM(UPPER(E114)),7,1))&gt;=48,CODE(MID(TRIM(UPPER(E114)),7,1))&lt;=57,CODE(MID(TRIM(UPPER(E114)),8,1))&gt;=48,CODE(MID(TRIM(UPPER(E114)),8,1))&lt;=57,CODE(MID(TRIM(UPPER(E114)),9,1))&gt;=48,CODE(MID(TRIM(UPPER(E114)),9,1))&lt;=57),"N","Y"))</f>
      </c>
      <c r="G114" s="7">
        <f>IF($D114="","",IF(LEN(E114)&lt;4,"",IF(UPPER(MID(E114,4,1))="P","Individual",IF(UPPER(MID(E114,4,1))="H","HUF",IF(UPPER(MID(E114,4,1))="C","Company",IF(UPPER(MID(E114,4,1))="F","Firm",IF(UPPER(MID(E114,4,1))="L","LLP",IF(UPPER(MID(E114,4,1))="T","Trust",IF(UPPER(MID(E114,4,1))="A","AOP","")))))))))</f>
      </c>
      <c r="H114" s="8"/>
      <c r="I114" s="7">
        <f>IF($D114="","",IF(H114="","",IF(F114="Y",SUMPRODUCT(('Rate Lookup'!$A$1:$A$37=H114)*'Rate Lookup'!$D$1:$D$37),IF(OR(G114="Individual",G114="HUF"),SUMPRODUCT(('Rate Lookup'!$A$1:$A$37=H114)*'Rate Lookup'!$B$1:$B$37),SUMPRODUCT(('Rate Lookup'!$A$1:$A$37=H114)*'Rate Lookup'!$C$1:$C$37)))))</f>
      </c>
      <c r="J114" s="8"/>
      <c r="K114" s="8"/>
      <c r="L114" s="7">
        <f>IF($D114="","",ROUND(K114*I114/100,0))</f>
      </c>
      <c r="M114" s="7">
        <f>IF($D114="","",0)</f>
      </c>
      <c r="N114" s="7">
        <f>IF($D114="","",0)</f>
      </c>
      <c r="O114" s="7">
        <f>IF($D114="","",IF(OR(L114=0,J114="",IFERROR(INDEX('Challan Master'!$D$4:$D$207,MATCH($B114,'Challan Master'!$S$4:$S$207,0)),"")="",IFERROR(INDEX('Challan Master'!$D$4:$D$207,MATCH($B114,'Challan Master'!$S$4:$S$207,0)),"")&lt;=0),0,IF(IFERROR(INDEX('Challan Master'!$D$4:$D$207,MATCH($B114,'Challan Master'!$S$4:$S$207,0)),"")&lt;=DATE(YEAR(J114),MONTH(J114)+1,7),0,ROUND(L114*0.015*((YEAR(IFERROR(INDEX('Challan Master'!$D$4:$D$207,MATCH($B114,'Challan Master'!$S$4:$S$207,0)),""))-YEAR(J114))*12+(MONTH(IFERROR(INDEX('Challan Master'!$D$4:$D$207,MATCH($B114,'Challan Master'!$S$4:$S$207,0)),""))-MONTH(J114))+1),0))))</f>
      </c>
      <c r="P114" s="7">
        <f>IF($D114="","",0)</f>
      </c>
      <c r="Q114" s="8"/>
      <c r="R114" s="8"/>
      <c r="S114" s="8"/>
      <c r="T114" s="8"/>
      <c r="U114" s="8"/>
      <c r="V114" s="7">
        <f>IF($B114="","",IFERROR(INDEX('Challan Master'!$AA$4:$AA$207,MATCH($B114,'Challan Master'!$S$4:$S$207,0)),""))</f>
      </c>
    </row>
    <row r="115" spans="1:22" x14ac:dyDescent="0.25">
      <c r="A115" s="7">
        <f>IF($D115="","",COUNTIF($D$4:$D115,"&lt;&gt;"))</f>
      </c>
      <c r="B115" s="8"/>
      <c r="C115" s="7">
        <f>IF($B115="","","BSR "&amp;IFERROR(INDEX('Challan Master'!$B$4:$B$207,MATCH($B115,'Challan Master'!$S$4:$S$207,0)),"")&amp;" | Serial "&amp;IFERROR(INDEX('Challan Master'!$C$4:$C$207,MATCH($B115,'Challan Master'!$S$4:$S$207,0)),"")&amp;" | Deposit "&amp;TEXT(IFERROR(INDEX('Challan Master'!$D$4:$D$207,MATCH($B115,'Challan Master'!$S$4:$S$207,0)),""),"dd-mm-yyyy")&amp;" | Minor Head "&amp;IFERROR(INDEX('Challan Master'!$E$4:$E$207,MATCH($B115,'Challan Master'!$S$4:$S$207,0)),"")&amp;" | Tax ₹"&amp;TEXT(IFERROR(INDEX('Challan Master'!$G$4:$G$207,MATCH($B115,'Challan Master'!$S$4:$S$207,0)),""),"#,##0")&amp;" | Section "&amp;IFERROR(INDEX('Challan Master'!$F$4:$F$207,MATCH($B115,'Challan Master'!$S$4:$S$207,0)),""))</f>
      </c>
      <c r="D115" s="8"/>
      <c r="E115" s="8"/>
      <c r="F115" s="7">
        <f>IF($D115="","",IF(AND(LEN(TRIM(UPPER(E115)))=10,CODE(MID(TRIM(UPPER(E115)),1,1))&gt;=65,CODE(MID(TRIM(UPPER(E115)),1,1))&lt;=90,CODE(MID(TRIM(UPPER(E115)),2,1))&gt;=65,CODE(MID(TRIM(UPPER(E115)),2,1))&lt;=90,CODE(MID(TRIM(UPPER(E115)),3,1))&gt;=65,CODE(MID(TRIM(UPPER(E115)),3,1))&lt;=90,CODE(MID(TRIM(UPPER(E115)),4,1))&gt;=65,CODE(MID(TRIM(UPPER(E115)),4,1))&lt;=90,CODE(MID(TRIM(UPPER(E115)),5,1))&gt;=65,CODE(MID(TRIM(UPPER(E115)),5,1))&lt;=90,CODE(MID(TRIM(UPPER(E115)),10,1))&gt;=65,CODE(MID(TRIM(UPPER(E115)),10,1))&lt;=90,CODE(MID(TRIM(UPPER(E115)),6,1))&gt;=48,CODE(MID(TRIM(UPPER(E115)),6,1))&lt;=57,CODE(MID(TRIM(UPPER(E115)),7,1))&gt;=48,CODE(MID(TRIM(UPPER(E115)),7,1))&lt;=57,CODE(MID(TRIM(UPPER(E115)),8,1))&gt;=48,CODE(MID(TRIM(UPPER(E115)),8,1))&lt;=57,CODE(MID(TRIM(UPPER(E115)),9,1))&gt;=48,CODE(MID(TRIM(UPPER(E115)),9,1))&lt;=57),"N","Y"))</f>
      </c>
      <c r="G115" s="7">
        <f>IF($D115="","",IF(LEN(E115)&lt;4,"",IF(UPPER(MID(E115,4,1))="P","Individual",IF(UPPER(MID(E115,4,1))="H","HUF",IF(UPPER(MID(E115,4,1))="C","Company",IF(UPPER(MID(E115,4,1))="F","Firm",IF(UPPER(MID(E115,4,1))="L","LLP",IF(UPPER(MID(E115,4,1))="T","Trust",IF(UPPER(MID(E115,4,1))="A","AOP","")))))))))</f>
      </c>
      <c r="H115" s="8"/>
      <c r="I115" s="7">
        <f>IF($D115="","",IF(H115="","",IF(F115="Y",SUMPRODUCT(('Rate Lookup'!$A$1:$A$37=H115)*'Rate Lookup'!$D$1:$D$37),IF(OR(G115="Individual",G115="HUF"),SUMPRODUCT(('Rate Lookup'!$A$1:$A$37=H115)*'Rate Lookup'!$B$1:$B$37),SUMPRODUCT(('Rate Lookup'!$A$1:$A$37=H115)*'Rate Lookup'!$C$1:$C$37)))))</f>
      </c>
      <c r="J115" s="8"/>
      <c r="K115" s="8"/>
      <c r="L115" s="7">
        <f>IF($D115="","",ROUND(K115*I115/100,0))</f>
      </c>
      <c r="M115" s="7">
        <f>IF($D115="","",0)</f>
      </c>
      <c r="N115" s="7">
        <f>IF($D115="","",0)</f>
      </c>
      <c r="O115" s="7">
        <f>IF($D115="","",IF(OR(L115=0,J115="",IFERROR(INDEX('Challan Master'!$D$4:$D$207,MATCH($B115,'Challan Master'!$S$4:$S$207,0)),"")="",IFERROR(INDEX('Challan Master'!$D$4:$D$207,MATCH($B115,'Challan Master'!$S$4:$S$207,0)),"")&lt;=0),0,IF(IFERROR(INDEX('Challan Master'!$D$4:$D$207,MATCH($B115,'Challan Master'!$S$4:$S$207,0)),"")&lt;=DATE(YEAR(J115),MONTH(J115)+1,7),0,ROUND(L115*0.015*((YEAR(IFERROR(INDEX('Challan Master'!$D$4:$D$207,MATCH($B115,'Challan Master'!$S$4:$S$207,0)),""))-YEAR(J115))*12+(MONTH(IFERROR(INDEX('Challan Master'!$D$4:$D$207,MATCH($B115,'Challan Master'!$S$4:$S$207,0)),""))-MONTH(J115))+1),0))))</f>
      </c>
      <c r="P115" s="7">
        <f>IF($D115="","",0)</f>
      </c>
      <c r="Q115" s="8"/>
      <c r="R115" s="8"/>
      <c r="S115" s="8"/>
      <c r="T115" s="8"/>
      <c r="U115" s="8"/>
      <c r="V115" s="7">
        <f>IF($B115="","",IFERROR(INDEX('Challan Master'!$AA$4:$AA$207,MATCH($B115,'Challan Master'!$S$4:$S$207,0)),""))</f>
      </c>
    </row>
    <row r="116" spans="1:22" x14ac:dyDescent="0.25">
      <c r="A116" s="7">
        <f>IF($D116="","",COUNTIF($D$4:$D116,"&lt;&gt;"))</f>
      </c>
      <c r="B116" s="8"/>
      <c r="C116" s="7">
        <f>IF($B116="","","BSR "&amp;IFERROR(INDEX('Challan Master'!$B$4:$B$207,MATCH($B116,'Challan Master'!$S$4:$S$207,0)),"")&amp;" | Serial "&amp;IFERROR(INDEX('Challan Master'!$C$4:$C$207,MATCH($B116,'Challan Master'!$S$4:$S$207,0)),"")&amp;" | Deposit "&amp;TEXT(IFERROR(INDEX('Challan Master'!$D$4:$D$207,MATCH($B116,'Challan Master'!$S$4:$S$207,0)),""),"dd-mm-yyyy")&amp;" | Minor Head "&amp;IFERROR(INDEX('Challan Master'!$E$4:$E$207,MATCH($B116,'Challan Master'!$S$4:$S$207,0)),"")&amp;" | Tax ₹"&amp;TEXT(IFERROR(INDEX('Challan Master'!$G$4:$G$207,MATCH($B116,'Challan Master'!$S$4:$S$207,0)),""),"#,##0")&amp;" | Section "&amp;IFERROR(INDEX('Challan Master'!$F$4:$F$207,MATCH($B116,'Challan Master'!$S$4:$S$207,0)),""))</f>
      </c>
      <c r="D116" s="8"/>
      <c r="E116" s="8"/>
      <c r="F116" s="7">
        <f>IF($D116="","",IF(AND(LEN(TRIM(UPPER(E116)))=10,CODE(MID(TRIM(UPPER(E116)),1,1))&gt;=65,CODE(MID(TRIM(UPPER(E116)),1,1))&lt;=90,CODE(MID(TRIM(UPPER(E116)),2,1))&gt;=65,CODE(MID(TRIM(UPPER(E116)),2,1))&lt;=90,CODE(MID(TRIM(UPPER(E116)),3,1))&gt;=65,CODE(MID(TRIM(UPPER(E116)),3,1))&lt;=90,CODE(MID(TRIM(UPPER(E116)),4,1))&gt;=65,CODE(MID(TRIM(UPPER(E116)),4,1))&lt;=90,CODE(MID(TRIM(UPPER(E116)),5,1))&gt;=65,CODE(MID(TRIM(UPPER(E116)),5,1))&lt;=90,CODE(MID(TRIM(UPPER(E116)),10,1))&gt;=65,CODE(MID(TRIM(UPPER(E116)),10,1))&lt;=90,CODE(MID(TRIM(UPPER(E116)),6,1))&gt;=48,CODE(MID(TRIM(UPPER(E116)),6,1))&lt;=57,CODE(MID(TRIM(UPPER(E116)),7,1))&gt;=48,CODE(MID(TRIM(UPPER(E116)),7,1))&lt;=57,CODE(MID(TRIM(UPPER(E116)),8,1))&gt;=48,CODE(MID(TRIM(UPPER(E116)),8,1))&lt;=57,CODE(MID(TRIM(UPPER(E116)),9,1))&gt;=48,CODE(MID(TRIM(UPPER(E116)),9,1))&lt;=57),"N","Y"))</f>
      </c>
      <c r="G116" s="7">
        <f>IF($D116="","",IF(LEN(E116)&lt;4,"",IF(UPPER(MID(E116,4,1))="P","Individual",IF(UPPER(MID(E116,4,1))="H","HUF",IF(UPPER(MID(E116,4,1))="C","Company",IF(UPPER(MID(E116,4,1))="F","Firm",IF(UPPER(MID(E116,4,1))="L","LLP",IF(UPPER(MID(E116,4,1))="T","Trust",IF(UPPER(MID(E116,4,1))="A","AOP","")))))))))</f>
      </c>
      <c r="H116" s="8"/>
      <c r="I116" s="7">
        <f>IF($D116="","",IF(H116="","",IF(F116="Y",SUMPRODUCT(('Rate Lookup'!$A$1:$A$37=H116)*'Rate Lookup'!$D$1:$D$37),IF(OR(G116="Individual",G116="HUF"),SUMPRODUCT(('Rate Lookup'!$A$1:$A$37=H116)*'Rate Lookup'!$B$1:$B$37),SUMPRODUCT(('Rate Lookup'!$A$1:$A$37=H116)*'Rate Lookup'!$C$1:$C$37)))))</f>
      </c>
      <c r="J116" s="8"/>
      <c r="K116" s="8"/>
      <c r="L116" s="7">
        <f>IF($D116="","",ROUND(K116*I116/100,0))</f>
      </c>
      <c r="M116" s="7">
        <f>IF($D116="","",0)</f>
      </c>
      <c r="N116" s="7">
        <f>IF($D116="","",0)</f>
      </c>
      <c r="O116" s="7">
        <f>IF($D116="","",IF(OR(L116=0,J116="",IFERROR(INDEX('Challan Master'!$D$4:$D$207,MATCH($B116,'Challan Master'!$S$4:$S$207,0)),"")="",IFERROR(INDEX('Challan Master'!$D$4:$D$207,MATCH($B116,'Challan Master'!$S$4:$S$207,0)),"")&lt;=0),0,IF(IFERROR(INDEX('Challan Master'!$D$4:$D$207,MATCH($B116,'Challan Master'!$S$4:$S$207,0)),"")&lt;=DATE(YEAR(J116),MONTH(J116)+1,7),0,ROUND(L116*0.015*((YEAR(IFERROR(INDEX('Challan Master'!$D$4:$D$207,MATCH($B116,'Challan Master'!$S$4:$S$207,0)),""))-YEAR(J116))*12+(MONTH(IFERROR(INDEX('Challan Master'!$D$4:$D$207,MATCH($B116,'Challan Master'!$S$4:$S$207,0)),""))-MONTH(J116))+1),0))))</f>
      </c>
      <c r="P116" s="7">
        <f>IF($D116="","",0)</f>
      </c>
      <c r="Q116" s="8"/>
      <c r="R116" s="8"/>
      <c r="S116" s="8"/>
      <c r="T116" s="8"/>
      <c r="U116" s="8"/>
      <c r="V116" s="7">
        <f>IF($B116="","",IFERROR(INDEX('Challan Master'!$AA$4:$AA$207,MATCH($B116,'Challan Master'!$S$4:$S$207,0)),""))</f>
      </c>
    </row>
    <row r="117" spans="1:22" x14ac:dyDescent="0.25">
      <c r="A117" s="7">
        <f>IF($D117="","",COUNTIF($D$4:$D117,"&lt;&gt;"))</f>
      </c>
      <c r="B117" s="8"/>
      <c r="C117" s="7">
        <f>IF($B117="","","BSR "&amp;IFERROR(INDEX('Challan Master'!$B$4:$B$207,MATCH($B117,'Challan Master'!$S$4:$S$207,0)),"")&amp;" | Serial "&amp;IFERROR(INDEX('Challan Master'!$C$4:$C$207,MATCH($B117,'Challan Master'!$S$4:$S$207,0)),"")&amp;" | Deposit "&amp;TEXT(IFERROR(INDEX('Challan Master'!$D$4:$D$207,MATCH($B117,'Challan Master'!$S$4:$S$207,0)),""),"dd-mm-yyyy")&amp;" | Minor Head "&amp;IFERROR(INDEX('Challan Master'!$E$4:$E$207,MATCH($B117,'Challan Master'!$S$4:$S$207,0)),"")&amp;" | Tax ₹"&amp;TEXT(IFERROR(INDEX('Challan Master'!$G$4:$G$207,MATCH($B117,'Challan Master'!$S$4:$S$207,0)),""),"#,##0")&amp;" | Section "&amp;IFERROR(INDEX('Challan Master'!$F$4:$F$207,MATCH($B117,'Challan Master'!$S$4:$S$207,0)),""))</f>
      </c>
      <c r="D117" s="8"/>
      <c r="E117" s="8"/>
      <c r="F117" s="7">
        <f>IF($D117="","",IF(AND(LEN(TRIM(UPPER(E117)))=10,CODE(MID(TRIM(UPPER(E117)),1,1))&gt;=65,CODE(MID(TRIM(UPPER(E117)),1,1))&lt;=90,CODE(MID(TRIM(UPPER(E117)),2,1))&gt;=65,CODE(MID(TRIM(UPPER(E117)),2,1))&lt;=90,CODE(MID(TRIM(UPPER(E117)),3,1))&gt;=65,CODE(MID(TRIM(UPPER(E117)),3,1))&lt;=90,CODE(MID(TRIM(UPPER(E117)),4,1))&gt;=65,CODE(MID(TRIM(UPPER(E117)),4,1))&lt;=90,CODE(MID(TRIM(UPPER(E117)),5,1))&gt;=65,CODE(MID(TRIM(UPPER(E117)),5,1))&lt;=90,CODE(MID(TRIM(UPPER(E117)),10,1))&gt;=65,CODE(MID(TRIM(UPPER(E117)),10,1))&lt;=90,CODE(MID(TRIM(UPPER(E117)),6,1))&gt;=48,CODE(MID(TRIM(UPPER(E117)),6,1))&lt;=57,CODE(MID(TRIM(UPPER(E117)),7,1))&gt;=48,CODE(MID(TRIM(UPPER(E117)),7,1))&lt;=57,CODE(MID(TRIM(UPPER(E117)),8,1))&gt;=48,CODE(MID(TRIM(UPPER(E117)),8,1))&lt;=57,CODE(MID(TRIM(UPPER(E117)),9,1))&gt;=48,CODE(MID(TRIM(UPPER(E117)),9,1))&lt;=57),"N","Y"))</f>
      </c>
      <c r="G117" s="7">
        <f>IF($D117="","",IF(LEN(E117)&lt;4,"",IF(UPPER(MID(E117,4,1))="P","Individual",IF(UPPER(MID(E117,4,1))="H","HUF",IF(UPPER(MID(E117,4,1))="C","Company",IF(UPPER(MID(E117,4,1))="F","Firm",IF(UPPER(MID(E117,4,1))="L","LLP",IF(UPPER(MID(E117,4,1))="T","Trust",IF(UPPER(MID(E117,4,1))="A","AOP","")))))))))</f>
      </c>
      <c r="H117" s="8"/>
      <c r="I117" s="7">
        <f>IF($D117="","",IF(H117="","",IF(F117="Y",SUMPRODUCT(('Rate Lookup'!$A$1:$A$37=H117)*'Rate Lookup'!$D$1:$D$37),IF(OR(G117="Individual",G117="HUF"),SUMPRODUCT(('Rate Lookup'!$A$1:$A$37=H117)*'Rate Lookup'!$B$1:$B$37),SUMPRODUCT(('Rate Lookup'!$A$1:$A$37=H117)*'Rate Lookup'!$C$1:$C$37)))))</f>
      </c>
      <c r="J117" s="8"/>
      <c r="K117" s="8"/>
      <c r="L117" s="7">
        <f>IF($D117="","",ROUND(K117*I117/100,0))</f>
      </c>
      <c r="M117" s="7">
        <f>IF($D117="","",0)</f>
      </c>
      <c r="N117" s="7">
        <f>IF($D117="","",0)</f>
      </c>
      <c r="O117" s="7">
        <f>IF($D117="","",IF(OR(L117=0,J117="",IFERROR(INDEX('Challan Master'!$D$4:$D$207,MATCH($B117,'Challan Master'!$S$4:$S$207,0)),"")="",IFERROR(INDEX('Challan Master'!$D$4:$D$207,MATCH($B117,'Challan Master'!$S$4:$S$207,0)),"")&lt;=0),0,IF(IFERROR(INDEX('Challan Master'!$D$4:$D$207,MATCH($B117,'Challan Master'!$S$4:$S$207,0)),"")&lt;=DATE(YEAR(J117),MONTH(J117)+1,7),0,ROUND(L117*0.015*((YEAR(IFERROR(INDEX('Challan Master'!$D$4:$D$207,MATCH($B117,'Challan Master'!$S$4:$S$207,0)),""))-YEAR(J117))*12+(MONTH(IFERROR(INDEX('Challan Master'!$D$4:$D$207,MATCH($B117,'Challan Master'!$S$4:$S$207,0)),""))-MONTH(J117))+1),0))))</f>
      </c>
      <c r="P117" s="7">
        <f>IF($D117="","",0)</f>
      </c>
      <c r="Q117" s="8"/>
      <c r="R117" s="8"/>
      <c r="S117" s="8"/>
      <c r="T117" s="8"/>
      <c r="U117" s="8"/>
      <c r="V117" s="7">
        <f>IF($B117="","",IFERROR(INDEX('Challan Master'!$AA$4:$AA$207,MATCH($B117,'Challan Master'!$S$4:$S$207,0)),""))</f>
      </c>
    </row>
    <row r="118" spans="1:22" x14ac:dyDescent="0.25">
      <c r="A118" s="7">
        <f>IF($D118="","",COUNTIF($D$4:$D118,"&lt;&gt;"))</f>
      </c>
      <c r="B118" s="8"/>
      <c r="C118" s="7">
        <f>IF($B118="","","BSR "&amp;IFERROR(INDEX('Challan Master'!$B$4:$B$207,MATCH($B118,'Challan Master'!$S$4:$S$207,0)),"")&amp;" | Serial "&amp;IFERROR(INDEX('Challan Master'!$C$4:$C$207,MATCH($B118,'Challan Master'!$S$4:$S$207,0)),"")&amp;" | Deposit "&amp;TEXT(IFERROR(INDEX('Challan Master'!$D$4:$D$207,MATCH($B118,'Challan Master'!$S$4:$S$207,0)),""),"dd-mm-yyyy")&amp;" | Minor Head "&amp;IFERROR(INDEX('Challan Master'!$E$4:$E$207,MATCH($B118,'Challan Master'!$S$4:$S$207,0)),"")&amp;" | Tax ₹"&amp;TEXT(IFERROR(INDEX('Challan Master'!$G$4:$G$207,MATCH($B118,'Challan Master'!$S$4:$S$207,0)),""),"#,##0")&amp;" | Section "&amp;IFERROR(INDEX('Challan Master'!$F$4:$F$207,MATCH($B118,'Challan Master'!$S$4:$S$207,0)),""))</f>
      </c>
      <c r="D118" s="8"/>
      <c r="E118" s="8"/>
      <c r="F118" s="7">
        <f>IF($D118="","",IF(AND(LEN(TRIM(UPPER(E118)))=10,CODE(MID(TRIM(UPPER(E118)),1,1))&gt;=65,CODE(MID(TRIM(UPPER(E118)),1,1))&lt;=90,CODE(MID(TRIM(UPPER(E118)),2,1))&gt;=65,CODE(MID(TRIM(UPPER(E118)),2,1))&lt;=90,CODE(MID(TRIM(UPPER(E118)),3,1))&gt;=65,CODE(MID(TRIM(UPPER(E118)),3,1))&lt;=90,CODE(MID(TRIM(UPPER(E118)),4,1))&gt;=65,CODE(MID(TRIM(UPPER(E118)),4,1))&lt;=90,CODE(MID(TRIM(UPPER(E118)),5,1))&gt;=65,CODE(MID(TRIM(UPPER(E118)),5,1))&lt;=90,CODE(MID(TRIM(UPPER(E118)),10,1))&gt;=65,CODE(MID(TRIM(UPPER(E118)),10,1))&lt;=90,CODE(MID(TRIM(UPPER(E118)),6,1))&gt;=48,CODE(MID(TRIM(UPPER(E118)),6,1))&lt;=57,CODE(MID(TRIM(UPPER(E118)),7,1))&gt;=48,CODE(MID(TRIM(UPPER(E118)),7,1))&lt;=57,CODE(MID(TRIM(UPPER(E118)),8,1))&gt;=48,CODE(MID(TRIM(UPPER(E118)),8,1))&lt;=57,CODE(MID(TRIM(UPPER(E118)),9,1))&gt;=48,CODE(MID(TRIM(UPPER(E118)),9,1))&lt;=57),"N","Y"))</f>
      </c>
      <c r="G118" s="7">
        <f>IF($D118="","",IF(LEN(E118)&lt;4,"",IF(UPPER(MID(E118,4,1))="P","Individual",IF(UPPER(MID(E118,4,1))="H","HUF",IF(UPPER(MID(E118,4,1))="C","Company",IF(UPPER(MID(E118,4,1))="F","Firm",IF(UPPER(MID(E118,4,1))="L","LLP",IF(UPPER(MID(E118,4,1))="T","Trust",IF(UPPER(MID(E118,4,1))="A","AOP","")))))))))</f>
      </c>
      <c r="H118" s="8"/>
      <c r="I118" s="7">
        <f>IF($D118="","",IF(H118="","",IF(F118="Y",SUMPRODUCT(('Rate Lookup'!$A$1:$A$37=H118)*'Rate Lookup'!$D$1:$D$37),IF(OR(G118="Individual",G118="HUF"),SUMPRODUCT(('Rate Lookup'!$A$1:$A$37=H118)*'Rate Lookup'!$B$1:$B$37),SUMPRODUCT(('Rate Lookup'!$A$1:$A$37=H118)*'Rate Lookup'!$C$1:$C$37)))))</f>
      </c>
      <c r="J118" s="8"/>
      <c r="K118" s="8"/>
      <c r="L118" s="7">
        <f>IF($D118="","",ROUND(K118*I118/100,0))</f>
      </c>
      <c r="M118" s="7">
        <f>IF($D118="","",0)</f>
      </c>
      <c r="N118" s="7">
        <f>IF($D118="","",0)</f>
      </c>
      <c r="O118" s="7">
        <f>IF($D118="","",IF(OR(L118=0,J118="",IFERROR(INDEX('Challan Master'!$D$4:$D$207,MATCH($B118,'Challan Master'!$S$4:$S$207,0)),"")="",IFERROR(INDEX('Challan Master'!$D$4:$D$207,MATCH($B118,'Challan Master'!$S$4:$S$207,0)),"")&lt;=0),0,IF(IFERROR(INDEX('Challan Master'!$D$4:$D$207,MATCH($B118,'Challan Master'!$S$4:$S$207,0)),"")&lt;=DATE(YEAR(J118),MONTH(J118)+1,7),0,ROUND(L118*0.015*((YEAR(IFERROR(INDEX('Challan Master'!$D$4:$D$207,MATCH($B118,'Challan Master'!$S$4:$S$207,0)),""))-YEAR(J118))*12+(MONTH(IFERROR(INDEX('Challan Master'!$D$4:$D$207,MATCH($B118,'Challan Master'!$S$4:$S$207,0)),""))-MONTH(J118))+1),0))))</f>
      </c>
      <c r="P118" s="7">
        <f>IF($D118="","",0)</f>
      </c>
      <c r="Q118" s="8"/>
      <c r="R118" s="8"/>
      <c r="S118" s="8"/>
      <c r="T118" s="8"/>
      <c r="U118" s="8"/>
      <c r="V118" s="7">
        <f>IF($B118="","",IFERROR(INDEX('Challan Master'!$AA$4:$AA$207,MATCH($B118,'Challan Master'!$S$4:$S$207,0)),""))</f>
      </c>
    </row>
    <row r="119" spans="1:22" x14ac:dyDescent="0.25">
      <c r="A119" s="7">
        <f>IF($D119="","",COUNTIF($D$4:$D119,"&lt;&gt;"))</f>
      </c>
      <c r="B119" s="8"/>
      <c r="C119" s="7">
        <f>IF($B119="","","BSR "&amp;IFERROR(INDEX('Challan Master'!$B$4:$B$207,MATCH($B119,'Challan Master'!$S$4:$S$207,0)),"")&amp;" | Serial "&amp;IFERROR(INDEX('Challan Master'!$C$4:$C$207,MATCH($B119,'Challan Master'!$S$4:$S$207,0)),"")&amp;" | Deposit "&amp;TEXT(IFERROR(INDEX('Challan Master'!$D$4:$D$207,MATCH($B119,'Challan Master'!$S$4:$S$207,0)),""),"dd-mm-yyyy")&amp;" | Minor Head "&amp;IFERROR(INDEX('Challan Master'!$E$4:$E$207,MATCH($B119,'Challan Master'!$S$4:$S$207,0)),"")&amp;" | Tax ₹"&amp;TEXT(IFERROR(INDEX('Challan Master'!$G$4:$G$207,MATCH($B119,'Challan Master'!$S$4:$S$207,0)),""),"#,##0")&amp;" | Section "&amp;IFERROR(INDEX('Challan Master'!$F$4:$F$207,MATCH($B119,'Challan Master'!$S$4:$S$207,0)),""))</f>
      </c>
      <c r="D119" s="8"/>
      <c r="E119" s="8"/>
      <c r="F119" s="7">
        <f>IF($D119="","",IF(AND(LEN(TRIM(UPPER(E119)))=10,CODE(MID(TRIM(UPPER(E119)),1,1))&gt;=65,CODE(MID(TRIM(UPPER(E119)),1,1))&lt;=90,CODE(MID(TRIM(UPPER(E119)),2,1))&gt;=65,CODE(MID(TRIM(UPPER(E119)),2,1))&lt;=90,CODE(MID(TRIM(UPPER(E119)),3,1))&gt;=65,CODE(MID(TRIM(UPPER(E119)),3,1))&lt;=90,CODE(MID(TRIM(UPPER(E119)),4,1))&gt;=65,CODE(MID(TRIM(UPPER(E119)),4,1))&lt;=90,CODE(MID(TRIM(UPPER(E119)),5,1))&gt;=65,CODE(MID(TRIM(UPPER(E119)),5,1))&lt;=90,CODE(MID(TRIM(UPPER(E119)),10,1))&gt;=65,CODE(MID(TRIM(UPPER(E119)),10,1))&lt;=90,CODE(MID(TRIM(UPPER(E119)),6,1))&gt;=48,CODE(MID(TRIM(UPPER(E119)),6,1))&lt;=57,CODE(MID(TRIM(UPPER(E119)),7,1))&gt;=48,CODE(MID(TRIM(UPPER(E119)),7,1))&lt;=57,CODE(MID(TRIM(UPPER(E119)),8,1))&gt;=48,CODE(MID(TRIM(UPPER(E119)),8,1))&lt;=57,CODE(MID(TRIM(UPPER(E119)),9,1))&gt;=48,CODE(MID(TRIM(UPPER(E119)),9,1))&lt;=57),"N","Y"))</f>
      </c>
      <c r="G119" s="7">
        <f>IF($D119="","",IF(LEN(E119)&lt;4,"",IF(UPPER(MID(E119,4,1))="P","Individual",IF(UPPER(MID(E119,4,1))="H","HUF",IF(UPPER(MID(E119,4,1))="C","Company",IF(UPPER(MID(E119,4,1))="F","Firm",IF(UPPER(MID(E119,4,1))="L","LLP",IF(UPPER(MID(E119,4,1))="T","Trust",IF(UPPER(MID(E119,4,1))="A","AOP","")))))))))</f>
      </c>
      <c r="H119" s="8"/>
      <c r="I119" s="7">
        <f>IF($D119="","",IF(H119="","",IF(F119="Y",SUMPRODUCT(('Rate Lookup'!$A$1:$A$37=H119)*'Rate Lookup'!$D$1:$D$37),IF(OR(G119="Individual",G119="HUF"),SUMPRODUCT(('Rate Lookup'!$A$1:$A$37=H119)*'Rate Lookup'!$B$1:$B$37),SUMPRODUCT(('Rate Lookup'!$A$1:$A$37=H119)*'Rate Lookup'!$C$1:$C$37)))))</f>
      </c>
      <c r="J119" s="8"/>
      <c r="K119" s="8"/>
      <c r="L119" s="7">
        <f>IF($D119="","",ROUND(K119*I119/100,0))</f>
      </c>
      <c r="M119" s="7">
        <f>IF($D119="","",0)</f>
      </c>
      <c r="N119" s="7">
        <f>IF($D119="","",0)</f>
      </c>
      <c r="O119" s="7">
        <f>IF($D119="","",IF(OR(L119=0,J119="",IFERROR(INDEX('Challan Master'!$D$4:$D$207,MATCH($B119,'Challan Master'!$S$4:$S$207,0)),"")="",IFERROR(INDEX('Challan Master'!$D$4:$D$207,MATCH($B119,'Challan Master'!$S$4:$S$207,0)),"")&lt;=0),0,IF(IFERROR(INDEX('Challan Master'!$D$4:$D$207,MATCH($B119,'Challan Master'!$S$4:$S$207,0)),"")&lt;=DATE(YEAR(J119),MONTH(J119)+1,7),0,ROUND(L119*0.015*((YEAR(IFERROR(INDEX('Challan Master'!$D$4:$D$207,MATCH($B119,'Challan Master'!$S$4:$S$207,0)),""))-YEAR(J119))*12+(MONTH(IFERROR(INDEX('Challan Master'!$D$4:$D$207,MATCH($B119,'Challan Master'!$S$4:$S$207,0)),""))-MONTH(J119))+1),0))))</f>
      </c>
      <c r="P119" s="7">
        <f>IF($D119="","",0)</f>
      </c>
      <c r="Q119" s="8"/>
      <c r="R119" s="8"/>
      <c r="S119" s="8"/>
      <c r="T119" s="8"/>
      <c r="U119" s="8"/>
      <c r="V119" s="7">
        <f>IF($B119="","",IFERROR(INDEX('Challan Master'!$AA$4:$AA$207,MATCH($B119,'Challan Master'!$S$4:$S$207,0)),""))</f>
      </c>
    </row>
    <row r="120" spans="1:22" x14ac:dyDescent="0.25">
      <c r="A120" s="7">
        <f>IF($D120="","",COUNTIF($D$4:$D120,"&lt;&gt;"))</f>
      </c>
      <c r="B120" s="8"/>
      <c r="C120" s="7">
        <f>IF($B120="","","BSR "&amp;IFERROR(INDEX('Challan Master'!$B$4:$B$207,MATCH($B120,'Challan Master'!$S$4:$S$207,0)),"")&amp;" | Serial "&amp;IFERROR(INDEX('Challan Master'!$C$4:$C$207,MATCH($B120,'Challan Master'!$S$4:$S$207,0)),"")&amp;" | Deposit "&amp;TEXT(IFERROR(INDEX('Challan Master'!$D$4:$D$207,MATCH($B120,'Challan Master'!$S$4:$S$207,0)),""),"dd-mm-yyyy")&amp;" | Minor Head "&amp;IFERROR(INDEX('Challan Master'!$E$4:$E$207,MATCH($B120,'Challan Master'!$S$4:$S$207,0)),"")&amp;" | Tax ₹"&amp;TEXT(IFERROR(INDEX('Challan Master'!$G$4:$G$207,MATCH($B120,'Challan Master'!$S$4:$S$207,0)),""),"#,##0")&amp;" | Section "&amp;IFERROR(INDEX('Challan Master'!$F$4:$F$207,MATCH($B120,'Challan Master'!$S$4:$S$207,0)),""))</f>
      </c>
      <c r="D120" s="8"/>
      <c r="E120" s="8"/>
      <c r="F120" s="7">
        <f>IF($D120="","",IF(AND(LEN(TRIM(UPPER(E120)))=10,CODE(MID(TRIM(UPPER(E120)),1,1))&gt;=65,CODE(MID(TRIM(UPPER(E120)),1,1))&lt;=90,CODE(MID(TRIM(UPPER(E120)),2,1))&gt;=65,CODE(MID(TRIM(UPPER(E120)),2,1))&lt;=90,CODE(MID(TRIM(UPPER(E120)),3,1))&gt;=65,CODE(MID(TRIM(UPPER(E120)),3,1))&lt;=90,CODE(MID(TRIM(UPPER(E120)),4,1))&gt;=65,CODE(MID(TRIM(UPPER(E120)),4,1))&lt;=90,CODE(MID(TRIM(UPPER(E120)),5,1))&gt;=65,CODE(MID(TRIM(UPPER(E120)),5,1))&lt;=90,CODE(MID(TRIM(UPPER(E120)),10,1))&gt;=65,CODE(MID(TRIM(UPPER(E120)),10,1))&lt;=90,CODE(MID(TRIM(UPPER(E120)),6,1))&gt;=48,CODE(MID(TRIM(UPPER(E120)),6,1))&lt;=57,CODE(MID(TRIM(UPPER(E120)),7,1))&gt;=48,CODE(MID(TRIM(UPPER(E120)),7,1))&lt;=57,CODE(MID(TRIM(UPPER(E120)),8,1))&gt;=48,CODE(MID(TRIM(UPPER(E120)),8,1))&lt;=57,CODE(MID(TRIM(UPPER(E120)),9,1))&gt;=48,CODE(MID(TRIM(UPPER(E120)),9,1))&lt;=57),"N","Y"))</f>
      </c>
      <c r="G120" s="7">
        <f>IF($D120="","",IF(LEN(E120)&lt;4,"",IF(UPPER(MID(E120,4,1))="P","Individual",IF(UPPER(MID(E120,4,1))="H","HUF",IF(UPPER(MID(E120,4,1))="C","Company",IF(UPPER(MID(E120,4,1))="F","Firm",IF(UPPER(MID(E120,4,1))="L","LLP",IF(UPPER(MID(E120,4,1))="T","Trust",IF(UPPER(MID(E120,4,1))="A","AOP","")))))))))</f>
      </c>
      <c r="H120" s="8"/>
      <c r="I120" s="7">
        <f>IF($D120="","",IF(H120="","",IF(F120="Y",SUMPRODUCT(('Rate Lookup'!$A$1:$A$37=H120)*'Rate Lookup'!$D$1:$D$37),IF(OR(G120="Individual",G120="HUF"),SUMPRODUCT(('Rate Lookup'!$A$1:$A$37=H120)*'Rate Lookup'!$B$1:$B$37),SUMPRODUCT(('Rate Lookup'!$A$1:$A$37=H120)*'Rate Lookup'!$C$1:$C$37)))))</f>
      </c>
      <c r="J120" s="8"/>
      <c r="K120" s="8"/>
      <c r="L120" s="7">
        <f>IF($D120="","",ROUND(K120*I120/100,0))</f>
      </c>
      <c r="M120" s="7">
        <f>IF($D120="","",0)</f>
      </c>
      <c r="N120" s="7">
        <f>IF($D120="","",0)</f>
      </c>
      <c r="O120" s="7">
        <f>IF($D120="","",IF(OR(L120=0,J120="",IFERROR(INDEX('Challan Master'!$D$4:$D$207,MATCH($B120,'Challan Master'!$S$4:$S$207,0)),"")="",IFERROR(INDEX('Challan Master'!$D$4:$D$207,MATCH($B120,'Challan Master'!$S$4:$S$207,0)),"")&lt;=0),0,IF(IFERROR(INDEX('Challan Master'!$D$4:$D$207,MATCH($B120,'Challan Master'!$S$4:$S$207,0)),"")&lt;=DATE(YEAR(J120),MONTH(J120)+1,7),0,ROUND(L120*0.015*((YEAR(IFERROR(INDEX('Challan Master'!$D$4:$D$207,MATCH($B120,'Challan Master'!$S$4:$S$207,0)),""))-YEAR(J120))*12+(MONTH(IFERROR(INDEX('Challan Master'!$D$4:$D$207,MATCH($B120,'Challan Master'!$S$4:$S$207,0)),""))-MONTH(J120))+1),0))))</f>
      </c>
      <c r="P120" s="7">
        <f>IF($D120="","",0)</f>
      </c>
      <c r="Q120" s="8"/>
      <c r="R120" s="8"/>
      <c r="S120" s="8"/>
      <c r="T120" s="8"/>
      <c r="U120" s="8"/>
      <c r="V120" s="7">
        <f>IF($B120="","",IFERROR(INDEX('Challan Master'!$AA$4:$AA$207,MATCH($B120,'Challan Master'!$S$4:$S$207,0)),""))</f>
      </c>
    </row>
    <row r="121" spans="1:22" x14ac:dyDescent="0.25">
      <c r="A121" s="7">
        <f>IF($D121="","",COUNTIF($D$4:$D121,"&lt;&gt;"))</f>
      </c>
      <c r="B121" s="8"/>
      <c r="C121" s="7">
        <f>IF($B121="","","BSR "&amp;IFERROR(INDEX('Challan Master'!$B$4:$B$207,MATCH($B121,'Challan Master'!$S$4:$S$207,0)),"")&amp;" | Serial "&amp;IFERROR(INDEX('Challan Master'!$C$4:$C$207,MATCH($B121,'Challan Master'!$S$4:$S$207,0)),"")&amp;" | Deposit "&amp;TEXT(IFERROR(INDEX('Challan Master'!$D$4:$D$207,MATCH($B121,'Challan Master'!$S$4:$S$207,0)),""),"dd-mm-yyyy")&amp;" | Minor Head "&amp;IFERROR(INDEX('Challan Master'!$E$4:$E$207,MATCH($B121,'Challan Master'!$S$4:$S$207,0)),"")&amp;" | Tax ₹"&amp;TEXT(IFERROR(INDEX('Challan Master'!$G$4:$G$207,MATCH($B121,'Challan Master'!$S$4:$S$207,0)),""),"#,##0")&amp;" | Section "&amp;IFERROR(INDEX('Challan Master'!$F$4:$F$207,MATCH($B121,'Challan Master'!$S$4:$S$207,0)),""))</f>
      </c>
      <c r="D121" s="8"/>
      <c r="E121" s="8"/>
      <c r="F121" s="7">
        <f>IF($D121="","",IF(AND(LEN(TRIM(UPPER(E121)))=10,CODE(MID(TRIM(UPPER(E121)),1,1))&gt;=65,CODE(MID(TRIM(UPPER(E121)),1,1))&lt;=90,CODE(MID(TRIM(UPPER(E121)),2,1))&gt;=65,CODE(MID(TRIM(UPPER(E121)),2,1))&lt;=90,CODE(MID(TRIM(UPPER(E121)),3,1))&gt;=65,CODE(MID(TRIM(UPPER(E121)),3,1))&lt;=90,CODE(MID(TRIM(UPPER(E121)),4,1))&gt;=65,CODE(MID(TRIM(UPPER(E121)),4,1))&lt;=90,CODE(MID(TRIM(UPPER(E121)),5,1))&gt;=65,CODE(MID(TRIM(UPPER(E121)),5,1))&lt;=90,CODE(MID(TRIM(UPPER(E121)),10,1))&gt;=65,CODE(MID(TRIM(UPPER(E121)),10,1))&lt;=90,CODE(MID(TRIM(UPPER(E121)),6,1))&gt;=48,CODE(MID(TRIM(UPPER(E121)),6,1))&lt;=57,CODE(MID(TRIM(UPPER(E121)),7,1))&gt;=48,CODE(MID(TRIM(UPPER(E121)),7,1))&lt;=57,CODE(MID(TRIM(UPPER(E121)),8,1))&gt;=48,CODE(MID(TRIM(UPPER(E121)),8,1))&lt;=57,CODE(MID(TRIM(UPPER(E121)),9,1))&gt;=48,CODE(MID(TRIM(UPPER(E121)),9,1))&lt;=57),"N","Y"))</f>
      </c>
      <c r="G121" s="7">
        <f>IF($D121="","",IF(LEN(E121)&lt;4,"",IF(UPPER(MID(E121,4,1))="P","Individual",IF(UPPER(MID(E121,4,1))="H","HUF",IF(UPPER(MID(E121,4,1))="C","Company",IF(UPPER(MID(E121,4,1))="F","Firm",IF(UPPER(MID(E121,4,1))="L","LLP",IF(UPPER(MID(E121,4,1))="T","Trust",IF(UPPER(MID(E121,4,1))="A","AOP","")))))))))</f>
      </c>
      <c r="H121" s="8"/>
      <c r="I121" s="7">
        <f>IF($D121="","",IF(H121="","",IF(F121="Y",SUMPRODUCT(('Rate Lookup'!$A$1:$A$37=H121)*'Rate Lookup'!$D$1:$D$37),IF(OR(G121="Individual",G121="HUF"),SUMPRODUCT(('Rate Lookup'!$A$1:$A$37=H121)*'Rate Lookup'!$B$1:$B$37),SUMPRODUCT(('Rate Lookup'!$A$1:$A$37=H121)*'Rate Lookup'!$C$1:$C$37)))))</f>
      </c>
      <c r="J121" s="8"/>
      <c r="K121" s="8"/>
      <c r="L121" s="7">
        <f>IF($D121="","",ROUND(K121*I121/100,0))</f>
      </c>
      <c r="M121" s="7">
        <f>IF($D121="","",0)</f>
      </c>
      <c r="N121" s="7">
        <f>IF($D121="","",0)</f>
      </c>
      <c r="O121" s="7">
        <f>IF($D121="","",IF(OR(L121=0,J121="",IFERROR(INDEX('Challan Master'!$D$4:$D$207,MATCH($B121,'Challan Master'!$S$4:$S$207,0)),"")="",IFERROR(INDEX('Challan Master'!$D$4:$D$207,MATCH($B121,'Challan Master'!$S$4:$S$207,0)),"")&lt;=0),0,IF(IFERROR(INDEX('Challan Master'!$D$4:$D$207,MATCH($B121,'Challan Master'!$S$4:$S$207,0)),"")&lt;=DATE(YEAR(J121),MONTH(J121)+1,7),0,ROUND(L121*0.015*((YEAR(IFERROR(INDEX('Challan Master'!$D$4:$D$207,MATCH($B121,'Challan Master'!$S$4:$S$207,0)),""))-YEAR(J121))*12+(MONTH(IFERROR(INDEX('Challan Master'!$D$4:$D$207,MATCH($B121,'Challan Master'!$S$4:$S$207,0)),""))-MONTH(J121))+1),0))))</f>
      </c>
      <c r="P121" s="7">
        <f>IF($D121="","",0)</f>
      </c>
      <c r="Q121" s="8"/>
      <c r="R121" s="8"/>
      <c r="S121" s="8"/>
      <c r="T121" s="8"/>
      <c r="U121" s="8"/>
      <c r="V121" s="7">
        <f>IF($B121="","",IFERROR(INDEX('Challan Master'!$AA$4:$AA$207,MATCH($B121,'Challan Master'!$S$4:$S$207,0)),""))</f>
      </c>
    </row>
    <row r="122" spans="1:22" x14ac:dyDescent="0.25">
      <c r="A122" s="7">
        <f>IF($D122="","",COUNTIF($D$4:$D122,"&lt;&gt;"))</f>
      </c>
      <c r="B122" s="8"/>
      <c r="C122" s="7">
        <f>IF($B122="","","BSR "&amp;IFERROR(INDEX('Challan Master'!$B$4:$B$207,MATCH($B122,'Challan Master'!$S$4:$S$207,0)),"")&amp;" | Serial "&amp;IFERROR(INDEX('Challan Master'!$C$4:$C$207,MATCH($B122,'Challan Master'!$S$4:$S$207,0)),"")&amp;" | Deposit "&amp;TEXT(IFERROR(INDEX('Challan Master'!$D$4:$D$207,MATCH($B122,'Challan Master'!$S$4:$S$207,0)),""),"dd-mm-yyyy")&amp;" | Minor Head "&amp;IFERROR(INDEX('Challan Master'!$E$4:$E$207,MATCH($B122,'Challan Master'!$S$4:$S$207,0)),"")&amp;" | Tax ₹"&amp;TEXT(IFERROR(INDEX('Challan Master'!$G$4:$G$207,MATCH($B122,'Challan Master'!$S$4:$S$207,0)),""),"#,##0")&amp;" | Section "&amp;IFERROR(INDEX('Challan Master'!$F$4:$F$207,MATCH($B122,'Challan Master'!$S$4:$S$207,0)),""))</f>
      </c>
      <c r="D122" s="8"/>
      <c r="E122" s="8"/>
      <c r="F122" s="7">
        <f>IF($D122="","",IF(AND(LEN(TRIM(UPPER(E122)))=10,CODE(MID(TRIM(UPPER(E122)),1,1))&gt;=65,CODE(MID(TRIM(UPPER(E122)),1,1))&lt;=90,CODE(MID(TRIM(UPPER(E122)),2,1))&gt;=65,CODE(MID(TRIM(UPPER(E122)),2,1))&lt;=90,CODE(MID(TRIM(UPPER(E122)),3,1))&gt;=65,CODE(MID(TRIM(UPPER(E122)),3,1))&lt;=90,CODE(MID(TRIM(UPPER(E122)),4,1))&gt;=65,CODE(MID(TRIM(UPPER(E122)),4,1))&lt;=90,CODE(MID(TRIM(UPPER(E122)),5,1))&gt;=65,CODE(MID(TRIM(UPPER(E122)),5,1))&lt;=90,CODE(MID(TRIM(UPPER(E122)),10,1))&gt;=65,CODE(MID(TRIM(UPPER(E122)),10,1))&lt;=90,CODE(MID(TRIM(UPPER(E122)),6,1))&gt;=48,CODE(MID(TRIM(UPPER(E122)),6,1))&lt;=57,CODE(MID(TRIM(UPPER(E122)),7,1))&gt;=48,CODE(MID(TRIM(UPPER(E122)),7,1))&lt;=57,CODE(MID(TRIM(UPPER(E122)),8,1))&gt;=48,CODE(MID(TRIM(UPPER(E122)),8,1))&lt;=57,CODE(MID(TRIM(UPPER(E122)),9,1))&gt;=48,CODE(MID(TRIM(UPPER(E122)),9,1))&lt;=57),"N","Y"))</f>
      </c>
      <c r="G122" s="7">
        <f>IF($D122="","",IF(LEN(E122)&lt;4,"",IF(UPPER(MID(E122,4,1))="P","Individual",IF(UPPER(MID(E122,4,1))="H","HUF",IF(UPPER(MID(E122,4,1))="C","Company",IF(UPPER(MID(E122,4,1))="F","Firm",IF(UPPER(MID(E122,4,1))="L","LLP",IF(UPPER(MID(E122,4,1))="T","Trust",IF(UPPER(MID(E122,4,1))="A","AOP","")))))))))</f>
      </c>
      <c r="H122" s="8"/>
      <c r="I122" s="7">
        <f>IF($D122="","",IF(H122="","",IF(F122="Y",SUMPRODUCT(('Rate Lookup'!$A$1:$A$37=H122)*'Rate Lookup'!$D$1:$D$37),IF(OR(G122="Individual",G122="HUF"),SUMPRODUCT(('Rate Lookup'!$A$1:$A$37=H122)*'Rate Lookup'!$B$1:$B$37),SUMPRODUCT(('Rate Lookup'!$A$1:$A$37=H122)*'Rate Lookup'!$C$1:$C$37)))))</f>
      </c>
      <c r="J122" s="8"/>
      <c r="K122" s="8"/>
      <c r="L122" s="7">
        <f>IF($D122="","",ROUND(K122*I122/100,0))</f>
      </c>
      <c r="M122" s="7">
        <f>IF($D122="","",0)</f>
      </c>
      <c r="N122" s="7">
        <f>IF($D122="","",0)</f>
      </c>
      <c r="O122" s="7">
        <f>IF($D122="","",IF(OR(L122=0,J122="",IFERROR(INDEX('Challan Master'!$D$4:$D$207,MATCH($B122,'Challan Master'!$S$4:$S$207,0)),"")="",IFERROR(INDEX('Challan Master'!$D$4:$D$207,MATCH($B122,'Challan Master'!$S$4:$S$207,0)),"")&lt;=0),0,IF(IFERROR(INDEX('Challan Master'!$D$4:$D$207,MATCH($B122,'Challan Master'!$S$4:$S$207,0)),"")&lt;=DATE(YEAR(J122),MONTH(J122)+1,7),0,ROUND(L122*0.015*((YEAR(IFERROR(INDEX('Challan Master'!$D$4:$D$207,MATCH($B122,'Challan Master'!$S$4:$S$207,0)),""))-YEAR(J122))*12+(MONTH(IFERROR(INDEX('Challan Master'!$D$4:$D$207,MATCH($B122,'Challan Master'!$S$4:$S$207,0)),""))-MONTH(J122))+1),0))))</f>
      </c>
      <c r="P122" s="7">
        <f>IF($D122="","",0)</f>
      </c>
      <c r="Q122" s="8"/>
      <c r="R122" s="8"/>
      <c r="S122" s="8"/>
      <c r="T122" s="8"/>
      <c r="U122" s="8"/>
      <c r="V122" s="7">
        <f>IF($B122="","",IFERROR(INDEX('Challan Master'!$AA$4:$AA$207,MATCH($B122,'Challan Master'!$S$4:$S$207,0)),""))</f>
      </c>
    </row>
    <row r="123" spans="1:22" x14ac:dyDescent="0.25">
      <c r="A123" s="7">
        <f>IF($D123="","",COUNTIF($D$4:$D123,"&lt;&gt;"))</f>
      </c>
      <c r="B123" s="8"/>
      <c r="C123" s="7">
        <f>IF($B123="","","BSR "&amp;IFERROR(INDEX('Challan Master'!$B$4:$B$207,MATCH($B123,'Challan Master'!$S$4:$S$207,0)),"")&amp;" | Serial "&amp;IFERROR(INDEX('Challan Master'!$C$4:$C$207,MATCH($B123,'Challan Master'!$S$4:$S$207,0)),"")&amp;" | Deposit "&amp;TEXT(IFERROR(INDEX('Challan Master'!$D$4:$D$207,MATCH($B123,'Challan Master'!$S$4:$S$207,0)),""),"dd-mm-yyyy")&amp;" | Minor Head "&amp;IFERROR(INDEX('Challan Master'!$E$4:$E$207,MATCH($B123,'Challan Master'!$S$4:$S$207,0)),"")&amp;" | Tax ₹"&amp;TEXT(IFERROR(INDEX('Challan Master'!$G$4:$G$207,MATCH($B123,'Challan Master'!$S$4:$S$207,0)),""),"#,##0")&amp;" | Section "&amp;IFERROR(INDEX('Challan Master'!$F$4:$F$207,MATCH($B123,'Challan Master'!$S$4:$S$207,0)),""))</f>
      </c>
      <c r="D123" s="8"/>
      <c r="E123" s="8"/>
      <c r="F123" s="7">
        <f>IF($D123="","",IF(AND(LEN(TRIM(UPPER(E123)))=10,CODE(MID(TRIM(UPPER(E123)),1,1))&gt;=65,CODE(MID(TRIM(UPPER(E123)),1,1))&lt;=90,CODE(MID(TRIM(UPPER(E123)),2,1))&gt;=65,CODE(MID(TRIM(UPPER(E123)),2,1))&lt;=90,CODE(MID(TRIM(UPPER(E123)),3,1))&gt;=65,CODE(MID(TRIM(UPPER(E123)),3,1))&lt;=90,CODE(MID(TRIM(UPPER(E123)),4,1))&gt;=65,CODE(MID(TRIM(UPPER(E123)),4,1))&lt;=90,CODE(MID(TRIM(UPPER(E123)),5,1))&gt;=65,CODE(MID(TRIM(UPPER(E123)),5,1))&lt;=90,CODE(MID(TRIM(UPPER(E123)),10,1))&gt;=65,CODE(MID(TRIM(UPPER(E123)),10,1))&lt;=90,CODE(MID(TRIM(UPPER(E123)),6,1))&gt;=48,CODE(MID(TRIM(UPPER(E123)),6,1))&lt;=57,CODE(MID(TRIM(UPPER(E123)),7,1))&gt;=48,CODE(MID(TRIM(UPPER(E123)),7,1))&lt;=57,CODE(MID(TRIM(UPPER(E123)),8,1))&gt;=48,CODE(MID(TRIM(UPPER(E123)),8,1))&lt;=57,CODE(MID(TRIM(UPPER(E123)),9,1))&gt;=48,CODE(MID(TRIM(UPPER(E123)),9,1))&lt;=57),"N","Y"))</f>
      </c>
      <c r="G123" s="7">
        <f>IF($D123="","",IF(LEN(E123)&lt;4,"",IF(UPPER(MID(E123,4,1))="P","Individual",IF(UPPER(MID(E123,4,1))="H","HUF",IF(UPPER(MID(E123,4,1))="C","Company",IF(UPPER(MID(E123,4,1))="F","Firm",IF(UPPER(MID(E123,4,1))="L","LLP",IF(UPPER(MID(E123,4,1))="T","Trust",IF(UPPER(MID(E123,4,1))="A","AOP","")))))))))</f>
      </c>
      <c r="H123" s="8"/>
      <c r="I123" s="7">
        <f>IF($D123="","",IF(H123="","",IF(F123="Y",SUMPRODUCT(('Rate Lookup'!$A$1:$A$37=H123)*'Rate Lookup'!$D$1:$D$37),IF(OR(G123="Individual",G123="HUF"),SUMPRODUCT(('Rate Lookup'!$A$1:$A$37=H123)*'Rate Lookup'!$B$1:$B$37),SUMPRODUCT(('Rate Lookup'!$A$1:$A$37=H123)*'Rate Lookup'!$C$1:$C$37)))))</f>
      </c>
      <c r="J123" s="8"/>
      <c r="K123" s="8"/>
      <c r="L123" s="7">
        <f>IF($D123="","",ROUND(K123*I123/100,0))</f>
      </c>
      <c r="M123" s="7">
        <f>IF($D123="","",0)</f>
      </c>
      <c r="N123" s="7">
        <f>IF($D123="","",0)</f>
      </c>
      <c r="O123" s="7">
        <f>IF($D123="","",IF(OR(L123=0,J123="",IFERROR(INDEX('Challan Master'!$D$4:$D$207,MATCH($B123,'Challan Master'!$S$4:$S$207,0)),"")="",IFERROR(INDEX('Challan Master'!$D$4:$D$207,MATCH($B123,'Challan Master'!$S$4:$S$207,0)),"")&lt;=0),0,IF(IFERROR(INDEX('Challan Master'!$D$4:$D$207,MATCH($B123,'Challan Master'!$S$4:$S$207,0)),"")&lt;=DATE(YEAR(J123),MONTH(J123)+1,7),0,ROUND(L123*0.015*((YEAR(IFERROR(INDEX('Challan Master'!$D$4:$D$207,MATCH($B123,'Challan Master'!$S$4:$S$207,0)),""))-YEAR(J123))*12+(MONTH(IFERROR(INDEX('Challan Master'!$D$4:$D$207,MATCH($B123,'Challan Master'!$S$4:$S$207,0)),""))-MONTH(J123))+1),0))))</f>
      </c>
      <c r="P123" s="7">
        <f>IF($D123="","",0)</f>
      </c>
      <c r="Q123" s="8"/>
      <c r="R123" s="8"/>
      <c r="S123" s="8"/>
      <c r="T123" s="8"/>
      <c r="U123" s="8"/>
      <c r="V123" s="7">
        <f>IF($B123="","",IFERROR(INDEX('Challan Master'!$AA$4:$AA$207,MATCH($B123,'Challan Master'!$S$4:$S$207,0)),""))</f>
      </c>
    </row>
    <row r="124" spans="1:22" x14ac:dyDescent="0.25">
      <c r="A124" s="7">
        <f>IF($D124="","",COUNTIF($D$4:$D124,"&lt;&gt;"))</f>
      </c>
      <c r="B124" s="8"/>
      <c r="C124" s="7">
        <f>IF($B124="","","BSR "&amp;IFERROR(INDEX('Challan Master'!$B$4:$B$207,MATCH($B124,'Challan Master'!$S$4:$S$207,0)),"")&amp;" | Serial "&amp;IFERROR(INDEX('Challan Master'!$C$4:$C$207,MATCH($B124,'Challan Master'!$S$4:$S$207,0)),"")&amp;" | Deposit "&amp;TEXT(IFERROR(INDEX('Challan Master'!$D$4:$D$207,MATCH($B124,'Challan Master'!$S$4:$S$207,0)),""),"dd-mm-yyyy")&amp;" | Minor Head "&amp;IFERROR(INDEX('Challan Master'!$E$4:$E$207,MATCH($B124,'Challan Master'!$S$4:$S$207,0)),"")&amp;" | Tax ₹"&amp;TEXT(IFERROR(INDEX('Challan Master'!$G$4:$G$207,MATCH($B124,'Challan Master'!$S$4:$S$207,0)),""),"#,##0")&amp;" | Section "&amp;IFERROR(INDEX('Challan Master'!$F$4:$F$207,MATCH($B124,'Challan Master'!$S$4:$S$207,0)),""))</f>
      </c>
      <c r="D124" s="8"/>
      <c r="E124" s="8"/>
      <c r="F124" s="7">
        <f>IF($D124="","",IF(AND(LEN(TRIM(UPPER(E124)))=10,CODE(MID(TRIM(UPPER(E124)),1,1))&gt;=65,CODE(MID(TRIM(UPPER(E124)),1,1))&lt;=90,CODE(MID(TRIM(UPPER(E124)),2,1))&gt;=65,CODE(MID(TRIM(UPPER(E124)),2,1))&lt;=90,CODE(MID(TRIM(UPPER(E124)),3,1))&gt;=65,CODE(MID(TRIM(UPPER(E124)),3,1))&lt;=90,CODE(MID(TRIM(UPPER(E124)),4,1))&gt;=65,CODE(MID(TRIM(UPPER(E124)),4,1))&lt;=90,CODE(MID(TRIM(UPPER(E124)),5,1))&gt;=65,CODE(MID(TRIM(UPPER(E124)),5,1))&lt;=90,CODE(MID(TRIM(UPPER(E124)),10,1))&gt;=65,CODE(MID(TRIM(UPPER(E124)),10,1))&lt;=90,CODE(MID(TRIM(UPPER(E124)),6,1))&gt;=48,CODE(MID(TRIM(UPPER(E124)),6,1))&lt;=57,CODE(MID(TRIM(UPPER(E124)),7,1))&gt;=48,CODE(MID(TRIM(UPPER(E124)),7,1))&lt;=57,CODE(MID(TRIM(UPPER(E124)),8,1))&gt;=48,CODE(MID(TRIM(UPPER(E124)),8,1))&lt;=57,CODE(MID(TRIM(UPPER(E124)),9,1))&gt;=48,CODE(MID(TRIM(UPPER(E124)),9,1))&lt;=57),"N","Y"))</f>
      </c>
      <c r="G124" s="7">
        <f>IF($D124="","",IF(LEN(E124)&lt;4,"",IF(UPPER(MID(E124,4,1))="P","Individual",IF(UPPER(MID(E124,4,1))="H","HUF",IF(UPPER(MID(E124,4,1))="C","Company",IF(UPPER(MID(E124,4,1))="F","Firm",IF(UPPER(MID(E124,4,1))="L","LLP",IF(UPPER(MID(E124,4,1))="T","Trust",IF(UPPER(MID(E124,4,1))="A","AOP","")))))))))</f>
      </c>
      <c r="H124" s="8"/>
      <c r="I124" s="7">
        <f>IF($D124="","",IF(H124="","",IF(F124="Y",SUMPRODUCT(('Rate Lookup'!$A$1:$A$37=H124)*'Rate Lookup'!$D$1:$D$37),IF(OR(G124="Individual",G124="HUF"),SUMPRODUCT(('Rate Lookup'!$A$1:$A$37=H124)*'Rate Lookup'!$B$1:$B$37),SUMPRODUCT(('Rate Lookup'!$A$1:$A$37=H124)*'Rate Lookup'!$C$1:$C$37)))))</f>
      </c>
      <c r="J124" s="8"/>
      <c r="K124" s="8"/>
      <c r="L124" s="7">
        <f>IF($D124="","",ROUND(K124*I124/100,0))</f>
      </c>
      <c r="M124" s="7">
        <f>IF($D124="","",0)</f>
      </c>
      <c r="N124" s="7">
        <f>IF($D124="","",0)</f>
      </c>
      <c r="O124" s="7">
        <f>IF($D124="","",IF(OR(L124=0,J124="",IFERROR(INDEX('Challan Master'!$D$4:$D$207,MATCH($B124,'Challan Master'!$S$4:$S$207,0)),"")="",IFERROR(INDEX('Challan Master'!$D$4:$D$207,MATCH($B124,'Challan Master'!$S$4:$S$207,0)),"")&lt;=0),0,IF(IFERROR(INDEX('Challan Master'!$D$4:$D$207,MATCH($B124,'Challan Master'!$S$4:$S$207,0)),"")&lt;=DATE(YEAR(J124),MONTH(J124)+1,7),0,ROUND(L124*0.015*((YEAR(IFERROR(INDEX('Challan Master'!$D$4:$D$207,MATCH($B124,'Challan Master'!$S$4:$S$207,0)),""))-YEAR(J124))*12+(MONTH(IFERROR(INDEX('Challan Master'!$D$4:$D$207,MATCH($B124,'Challan Master'!$S$4:$S$207,0)),""))-MONTH(J124))+1),0))))</f>
      </c>
      <c r="P124" s="7">
        <f>IF($D124="","",0)</f>
      </c>
      <c r="Q124" s="8"/>
      <c r="R124" s="8"/>
      <c r="S124" s="8"/>
      <c r="T124" s="8"/>
      <c r="U124" s="8"/>
      <c r="V124" s="7">
        <f>IF($B124="","",IFERROR(INDEX('Challan Master'!$AA$4:$AA$207,MATCH($B124,'Challan Master'!$S$4:$S$207,0)),""))</f>
      </c>
    </row>
    <row r="125" spans="1:22" x14ac:dyDescent="0.25">
      <c r="A125" s="7">
        <f>IF($D125="","",COUNTIF($D$4:$D125,"&lt;&gt;"))</f>
      </c>
      <c r="B125" s="8"/>
      <c r="C125" s="7">
        <f>IF($B125="","","BSR "&amp;IFERROR(INDEX('Challan Master'!$B$4:$B$207,MATCH($B125,'Challan Master'!$S$4:$S$207,0)),"")&amp;" | Serial "&amp;IFERROR(INDEX('Challan Master'!$C$4:$C$207,MATCH($B125,'Challan Master'!$S$4:$S$207,0)),"")&amp;" | Deposit "&amp;TEXT(IFERROR(INDEX('Challan Master'!$D$4:$D$207,MATCH($B125,'Challan Master'!$S$4:$S$207,0)),""),"dd-mm-yyyy")&amp;" | Minor Head "&amp;IFERROR(INDEX('Challan Master'!$E$4:$E$207,MATCH($B125,'Challan Master'!$S$4:$S$207,0)),"")&amp;" | Tax ₹"&amp;TEXT(IFERROR(INDEX('Challan Master'!$G$4:$G$207,MATCH($B125,'Challan Master'!$S$4:$S$207,0)),""),"#,##0")&amp;" | Section "&amp;IFERROR(INDEX('Challan Master'!$F$4:$F$207,MATCH($B125,'Challan Master'!$S$4:$S$207,0)),""))</f>
      </c>
      <c r="D125" s="8"/>
      <c r="E125" s="8"/>
      <c r="F125" s="7">
        <f>IF($D125="","",IF(AND(LEN(TRIM(UPPER(E125)))=10,CODE(MID(TRIM(UPPER(E125)),1,1))&gt;=65,CODE(MID(TRIM(UPPER(E125)),1,1))&lt;=90,CODE(MID(TRIM(UPPER(E125)),2,1))&gt;=65,CODE(MID(TRIM(UPPER(E125)),2,1))&lt;=90,CODE(MID(TRIM(UPPER(E125)),3,1))&gt;=65,CODE(MID(TRIM(UPPER(E125)),3,1))&lt;=90,CODE(MID(TRIM(UPPER(E125)),4,1))&gt;=65,CODE(MID(TRIM(UPPER(E125)),4,1))&lt;=90,CODE(MID(TRIM(UPPER(E125)),5,1))&gt;=65,CODE(MID(TRIM(UPPER(E125)),5,1))&lt;=90,CODE(MID(TRIM(UPPER(E125)),10,1))&gt;=65,CODE(MID(TRIM(UPPER(E125)),10,1))&lt;=90,CODE(MID(TRIM(UPPER(E125)),6,1))&gt;=48,CODE(MID(TRIM(UPPER(E125)),6,1))&lt;=57,CODE(MID(TRIM(UPPER(E125)),7,1))&gt;=48,CODE(MID(TRIM(UPPER(E125)),7,1))&lt;=57,CODE(MID(TRIM(UPPER(E125)),8,1))&gt;=48,CODE(MID(TRIM(UPPER(E125)),8,1))&lt;=57,CODE(MID(TRIM(UPPER(E125)),9,1))&gt;=48,CODE(MID(TRIM(UPPER(E125)),9,1))&lt;=57),"N","Y"))</f>
      </c>
      <c r="G125" s="7">
        <f>IF($D125="","",IF(LEN(E125)&lt;4,"",IF(UPPER(MID(E125,4,1))="P","Individual",IF(UPPER(MID(E125,4,1))="H","HUF",IF(UPPER(MID(E125,4,1))="C","Company",IF(UPPER(MID(E125,4,1))="F","Firm",IF(UPPER(MID(E125,4,1))="L","LLP",IF(UPPER(MID(E125,4,1))="T","Trust",IF(UPPER(MID(E125,4,1))="A","AOP","")))))))))</f>
      </c>
      <c r="H125" s="8"/>
      <c r="I125" s="7">
        <f>IF($D125="","",IF(H125="","",IF(F125="Y",SUMPRODUCT(('Rate Lookup'!$A$1:$A$37=H125)*'Rate Lookup'!$D$1:$D$37),IF(OR(G125="Individual",G125="HUF"),SUMPRODUCT(('Rate Lookup'!$A$1:$A$37=H125)*'Rate Lookup'!$B$1:$B$37),SUMPRODUCT(('Rate Lookup'!$A$1:$A$37=H125)*'Rate Lookup'!$C$1:$C$37)))))</f>
      </c>
      <c r="J125" s="8"/>
      <c r="K125" s="8"/>
      <c r="L125" s="7">
        <f>IF($D125="","",ROUND(K125*I125/100,0))</f>
      </c>
      <c r="M125" s="7">
        <f>IF($D125="","",0)</f>
      </c>
      <c r="N125" s="7">
        <f>IF($D125="","",0)</f>
      </c>
      <c r="O125" s="7">
        <f>IF($D125="","",IF(OR(L125=0,J125="",IFERROR(INDEX('Challan Master'!$D$4:$D$207,MATCH($B125,'Challan Master'!$S$4:$S$207,0)),"")="",IFERROR(INDEX('Challan Master'!$D$4:$D$207,MATCH($B125,'Challan Master'!$S$4:$S$207,0)),"")&lt;=0),0,IF(IFERROR(INDEX('Challan Master'!$D$4:$D$207,MATCH($B125,'Challan Master'!$S$4:$S$207,0)),"")&lt;=DATE(YEAR(J125),MONTH(J125)+1,7),0,ROUND(L125*0.015*((YEAR(IFERROR(INDEX('Challan Master'!$D$4:$D$207,MATCH($B125,'Challan Master'!$S$4:$S$207,0)),""))-YEAR(J125))*12+(MONTH(IFERROR(INDEX('Challan Master'!$D$4:$D$207,MATCH($B125,'Challan Master'!$S$4:$S$207,0)),""))-MONTH(J125))+1),0))))</f>
      </c>
      <c r="P125" s="7">
        <f>IF($D125="","",0)</f>
      </c>
      <c r="Q125" s="8"/>
      <c r="R125" s="8"/>
      <c r="S125" s="8"/>
      <c r="T125" s="8"/>
      <c r="U125" s="8"/>
      <c r="V125" s="7">
        <f>IF($B125="","",IFERROR(INDEX('Challan Master'!$AA$4:$AA$207,MATCH($B125,'Challan Master'!$S$4:$S$207,0)),""))</f>
      </c>
    </row>
    <row r="126" spans="1:22" x14ac:dyDescent="0.25">
      <c r="A126" s="7">
        <f>IF($D126="","",COUNTIF($D$4:$D126,"&lt;&gt;"))</f>
      </c>
      <c r="B126" s="8"/>
      <c r="C126" s="7">
        <f>IF($B126="","","BSR "&amp;IFERROR(INDEX('Challan Master'!$B$4:$B$207,MATCH($B126,'Challan Master'!$S$4:$S$207,0)),"")&amp;" | Serial "&amp;IFERROR(INDEX('Challan Master'!$C$4:$C$207,MATCH($B126,'Challan Master'!$S$4:$S$207,0)),"")&amp;" | Deposit "&amp;TEXT(IFERROR(INDEX('Challan Master'!$D$4:$D$207,MATCH($B126,'Challan Master'!$S$4:$S$207,0)),""),"dd-mm-yyyy")&amp;" | Minor Head "&amp;IFERROR(INDEX('Challan Master'!$E$4:$E$207,MATCH($B126,'Challan Master'!$S$4:$S$207,0)),"")&amp;" | Tax ₹"&amp;TEXT(IFERROR(INDEX('Challan Master'!$G$4:$G$207,MATCH($B126,'Challan Master'!$S$4:$S$207,0)),""),"#,##0")&amp;" | Section "&amp;IFERROR(INDEX('Challan Master'!$F$4:$F$207,MATCH($B126,'Challan Master'!$S$4:$S$207,0)),""))</f>
      </c>
      <c r="D126" s="8"/>
      <c r="E126" s="8"/>
      <c r="F126" s="7">
        <f>IF($D126="","",IF(AND(LEN(TRIM(UPPER(E126)))=10,CODE(MID(TRIM(UPPER(E126)),1,1))&gt;=65,CODE(MID(TRIM(UPPER(E126)),1,1))&lt;=90,CODE(MID(TRIM(UPPER(E126)),2,1))&gt;=65,CODE(MID(TRIM(UPPER(E126)),2,1))&lt;=90,CODE(MID(TRIM(UPPER(E126)),3,1))&gt;=65,CODE(MID(TRIM(UPPER(E126)),3,1))&lt;=90,CODE(MID(TRIM(UPPER(E126)),4,1))&gt;=65,CODE(MID(TRIM(UPPER(E126)),4,1))&lt;=90,CODE(MID(TRIM(UPPER(E126)),5,1))&gt;=65,CODE(MID(TRIM(UPPER(E126)),5,1))&lt;=90,CODE(MID(TRIM(UPPER(E126)),10,1))&gt;=65,CODE(MID(TRIM(UPPER(E126)),10,1))&lt;=90,CODE(MID(TRIM(UPPER(E126)),6,1))&gt;=48,CODE(MID(TRIM(UPPER(E126)),6,1))&lt;=57,CODE(MID(TRIM(UPPER(E126)),7,1))&gt;=48,CODE(MID(TRIM(UPPER(E126)),7,1))&lt;=57,CODE(MID(TRIM(UPPER(E126)),8,1))&gt;=48,CODE(MID(TRIM(UPPER(E126)),8,1))&lt;=57,CODE(MID(TRIM(UPPER(E126)),9,1))&gt;=48,CODE(MID(TRIM(UPPER(E126)),9,1))&lt;=57),"N","Y"))</f>
      </c>
      <c r="G126" s="7">
        <f>IF($D126="","",IF(LEN(E126)&lt;4,"",IF(UPPER(MID(E126,4,1))="P","Individual",IF(UPPER(MID(E126,4,1))="H","HUF",IF(UPPER(MID(E126,4,1))="C","Company",IF(UPPER(MID(E126,4,1))="F","Firm",IF(UPPER(MID(E126,4,1))="L","LLP",IF(UPPER(MID(E126,4,1))="T","Trust",IF(UPPER(MID(E126,4,1))="A","AOP","")))))))))</f>
      </c>
      <c r="H126" s="8"/>
      <c r="I126" s="7">
        <f>IF($D126="","",IF(H126="","",IF(F126="Y",SUMPRODUCT(('Rate Lookup'!$A$1:$A$37=H126)*'Rate Lookup'!$D$1:$D$37),IF(OR(G126="Individual",G126="HUF"),SUMPRODUCT(('Rate Lookup'!$A$1:$A$37=H126)*'Rate Lookup'!$B$1:$B$37),SUMPRODUCT(('Rate Lookup'!$A$1:$A$37=H126)*'Rate Lookup'!$C$1:$C$37)))))</f>
      </c>
      <c r="J126" s="8"/>
      <c r="K126" s="8"/>
      <c r="L126" s="7">
        <f>IF($D126="","",ROUND(K126*I126/100,0))</f>
      </c>
      <c r="M126" s="7">
        <f>IF($D126="","",0)</f>
      </c>
      <c r="N126" s="7">
        <f>IF($D126="","",0)</f>
      </c>
      <c r="O126" s="7">
        <f>IF($D126="","",IF(OR(L126=0,J126="",IFERROR(INDEX('Challan Master'!$D$4:$D$207,MATCH($B126,'Challan Master'!$S$4:$S$207,0)),"")="",IFERROR(INDEX('Challan Master'!$D$4:$D$207,MATCH($B126,'Challan Master'!$S$4:$S$207,0)),"")&lt;=0),0,IF(IFERROR(INDEX('Challan Master'!$D$4:$D$207,MATCH($B126,'Challan Master'!$S$4:$S$207,0)),"")&lt;=DATE(YEAR(J126),MONTH(J126)+1,7),0,ROUND(L126*0.015*((YEAR(IFERROR(INDEX('Challan Master'!$D$4:$D$207,MATCH($B126,'Challan Master'!$S$4:$S$207,0)),""))-YEAR(J126))*12+(MONTH(IFERROR(INDEX('Challan Master'!$D$4:$D$207,MATCH($B126,'Challan Master'!$S$4:$S$207,0)),""))-MONTH(J126))+1),0))))</f>
      </c>
      <c r="P126" s="7">
        <f>IF($D126="","",0)</f>
      </c>
      <c r="Q126" s="8"/>
      <c r="R126" s="8"/>
      <c r="S126" s="8"/>
      <c r="T126" s="8"/>
      <c r="U126" s="8"/>
      <c r="V126" s="7">
        <f>IF($B126="","",IFERROR(INDEX('Challan Master'!$AA$4:$AA$207,MATCH($B126,'Challan Master'!$S$4:$S$207,0)),""))</f>
      </c>
    </row>
    <row r="127" spans="1:22" x14ac:dyDescent="0.25">
      <c r="A127" s="7">
        <f>IF($D127="","",COUNTIF($D$4:$D127,"&lt;&gt;"))</f>
      </c>
      <c r="B127" s="8"/>
      <c r="C127" s="7">
        <f>IF($B127="","","BSR "&amp;IFERROR(INDEX('Challan Master'!$B$4:$B$207,MATCH($B127,'Challan Master'!$S$4:$S$207,0)),"")&amp;" | Serial "&amp;IFERROR(INDEX('Challan Master'!$C$4:$C$207,MATCH($B127,'Challan Master'!$S$4:$S$207,0)),"")&amp;" | Deposit "&amp;TEXT(IFERROR(INDEX('Challan Master'!$D$4:$D$207,MATCH($B127,'Challan Master'!$S$4:$S$207,0)),""),"dd-mm-yyyy")&amp;" | Minor Head "&amp;IFERROR(INDEX('Challan Master'!$E$4:$E$207,MATCH($B127,'Challan Master'!$S$4:$S$207,0)),"")&amp;" | Tax ₹"&amp;TEXT(IFERROR(INDEX('Challan Master'!$G$4:$G$207,MATCH($B127,'Challan Master'!$S$4:$S$207,0)),""),"#,##0")&amp;" | Section "&amp;IFERROR(INDEX('Challan Master'!$F$4:$F$207,MATCH($B127,'Challan Master'!$S$4:$S$207,0)),""))</f>
      </c>
      <c r="D127" s="8"/>
      <c r="E127" s="8"/>
      <c r="F127" s="7">
        <f>IF($D127="","",IF(AND(LEN(TRIM(UPPER(E127)))=10,CODE(MID(TRIM(UPPER(E127)),1,1))&gt;=65,CODE(MID(TRIM(UPPER(E127)),1,1))&lt;=90,CODE(MID(TRIM(UPPER(E127)),2,1))&gt;=65,CODE(MID(TRIM(UPPER(E127)),2,1))&lt;=90,CODE(MID(TRIM(UPPER(E127)),3,1))&gt;=65,CODE(MID(TRIM(UPPER(E127)),3,1))&lt;=90,CODE(MID(TRIM(UPPER(E127)),4,1))&gt;=65,CODE(MID(TRIM(UPPER(E127)),4,1))&lt;=90,CODE(MID(TRIM(UPPER(E127)),5,1))&gt;=65,CODE(MID(TRIM(UPPER(E127)),5,1))&lt;=90,CODE(MID(TRIM(UPPER(E127)),10,1))&gt;=65,CODE(MID(TRIM(UPPER(E127)),10,1))&lt;=90,CODE(MID(TRIM(UPPER(E127)),6,1))&gt;=48,CODE(MID(TRIM(UPPER(E127)),6,1))&lt;=57,CODE(MID(TRIM(UPPER(E127)),7,1))&gt;=48,CODE(MID(TRIM(UPPER(E127)),7,1))&lt;=57,CODE(MID(TRIM(UPPER(E127)),8,1))&gt;=48,CODE(MID(TRIM(UPPER(E127)),8,1))&lt;=57,CODE(MID(TRIM(UPPER(E127)),9,1))&gt;=48,CODE(MID(TRIM(UPPER(E127)),9,1))&lt;=57),"N","Y"))</f>
      </c>
      <c r="G127" s="7">
        <f>IF($D127="","",IF(LEN(E127)&lt;4,"",IF(UPPER(MID(E127,4,1))="P","Individual",IF(UPPER(MID(E127,4,1))="H","HUF",IF(UPPER(MID(E127,4,1))="C","Company",IF(UPPER(MID(E127,4,1))="F","Firm",IF(UPPER(MID(E127,4,1))="L","LLP",IF(UPPER(MID(E127,4,1))="T","Trust",IF(UPPER(MID(E127,4,1))="A","AOP","")))))))))</f>
      </c>
      <c r="H127" s="8"/>
      <c r="I127" s="7">
        <f>IF($D127="","",IF(H127="","",IF(F127="Y",SUMPRODUCT(('Rate Lookup'!$A$1:$A$37=H127)*'Rate Lookup'!$D$1:$D$37),IF(OR(G127="Individual",G127="HUF"),SUMPRODUCT(('Rate Lookup'!$A$1:$A$37=H127)*'Rate Lookup'!$B$1:$B$37),SUMPRODUCT(('Rate Lookup'!$A$1:$A$37=H127)*'Rate Lookup'!$C$1:$C$37)))))</f>
      </c>
      <c r="J127" s="8"/>
      <c r="K127" s="8"/>
      <c r="L127" s="7">
        <f>IF($D127="","",ROUND(K127*I127/100,0))</f>
      </c>
      <c r="M127" s="7">
        <f>IF($D127="","",0)</f>
      </c>
      <c r="N127" s="7">
        <f>IF($D127="","",0)</f>
      </c>
      <c r="O127" s="7">
        <f>IF($D127="","",IF(OR(L127=0,J127="",IFERROR(INDEX('Challan Master'!$D$4:$D$207,MATCH($B127,'Challan Master'!$S$4:$S$207,0)),"")="",IFERROR(INDEX('Challan Master'!$D$4:$D$207,MATCH($B127,'Challan Master'!$S$4:$S$207,0)),"")&lt;=0),0,IF(IFERROR(INDEX('Challan Master'!$D$4:$D$207,MATCH($B127,'Challan Master'!$S$4:$S$207,0)),"")&lt;=DATE(YEAR(J127),MONTH(J127)+1,7),0,ROUND(L127*0.015*((YEAR(IFERROR(INDEX('Challan Master'!$D$4:$D$207,MATCH($B127,'Challan Master'!$S$4:$S$207,0)),""))-YEAR(J127))*12+(MONTH(IFERROR(INDEX('Challan Master'!$D$4:$D$207,MATCH($B127,'Challan Master'!$S$4:$S$207,0)),""))-MONTH(J127))+1),0))))</f>
      </c>
      <c r="P127" s="7">
        <f>IF($D127="","",0)</f>
      </c>
      <c r="Q127" s="8"/>
      <c r="R127" s="8"/>
      <c r="S127" s="8"/>
      <c r="T127" s="8"/>
      <c r="U127" s="8"/>
      <c r="V127" s="7">
        <f>IF($B127="","",IFERROR(INDEX('Challan Master'!$AA$4:$AA$207,MATCH($B127,'Challan Master'!$S$4:$S$207,0)),""))</f>
      </c>
    </row>
    <row r="128" spans="1:22" x14ac:dyDescent="0.25">
      <c r="A128" s="7">
        <f>IF($D128="","",COUNTIF($D$4:$D128,"&lt;&gt;"))</f>
      </c>
      <c r="B128" s="8"/>
      <c r="C128" s="7">
        <f>IF($B128="","","BSR "&amp;IFERROR(INDEX('Challan Master'!$B$4:$B$207,MATCH($B128,'Challan Master'!$S$4:$S$207,0)),"")&amp;" | Serial "&amp;IFERROR(INDEX('Challan Master'!$C$4:$C$207,MATCH($B128,'Challan Master'!$S$4:$S$207,0)),"")&amp;" | Deposit "&amp;TEXT(IFERROR(INDEX('Challan Master'!$D$4:$D$207,MATCH($B128,'Challan Master'!$S$4:$S$207,0)),""),"dd-mm-yyyy")&amp;" | Minor Head "&amp;IFERROR(INDEX('Challan Master'!$E$4:$E$207,MATCH($B128,'Challan Master'!$S$4:$S$207,0)),"")&amp;" | Tax ₹"&amp;TEXT(IFERROR(INDEX('Challan Master'!$G$4:$G$207,MATCH($B128,'Challan Master'!$S$4:$S$207,0)),""),"#,##0")&amp;" | Section "&amp;IFERROR(INDEX('Challan Master'!$F$4:$F$207,MATCH($B128,'Challan Master'!$S$4:$S$207,0)),""))</f>
      </c>
      <c r="D128" s="8"/>
      <c r="E128" s="8"/>
      <c r="F128" s="7">
        <f>IF($D128="","",IF(AND(LEN(TRIM(UPPER(E128)))=10,CODE(MID(TRIM(UPPER(E128)),1,1))&gt;=65,CODE(MID(TRIM(UPPER(E128)),1,1))&lt;=90,CODE(MID(TRIM(UPPER(E128)),2,1))&gt;=65,CODE(MID(TRIM(UPPER(E128)),2,1))&lt;=90,CODE(MID(TRIM(UPPER(E128)),3,1))&gt;=65,CODE(MID(TRIM(UPPER(E128)),3,1))&lt;=90,CODE(MID(TRIM(UPPER(E128)),4,1))&gt;=65,CODE(MID(TRIM(UPPER(E128)),4,1))&lt;=90,CODE(MID(TRIM(UPPER(E128)),5,1))&gt;=65,CODE(MID(TRIM(UPPER(E128)),5,1))&lt;=90,CODE(MID(TRIM(UPPER(E128)),10,1))&gt;=65,CODE(MID(TRIM(UPPER(E128)),10,1))&lt;=90,CODE(MID(TRIM(UPPER(E128)),6,1))&gt;=48,CODE(MID(TRIM(UPPER(E128)),6,1))&lt;=57,CODE(MID(TRIM(UPPER(E128)),7,1))&gt;=48,CODE(MID(TRIM(UPPER(E128)),7,1))&lt;=57,CODE(MID(TRIM(UPPER(E128)),8,1))&gt;=48,CODE(MID(TRIM(UPPER(E128)),8,1))&lt;=57,CODE(MID(TRIM(UPPER(E128)),9,1))&gt;=48,CODE(MID(TRIM(UPPER(E128)),9,1))&lt;=57),"N","Y"))</f>
      </c>
      <c r="G128" s="7">
        <f>IF($D128="","",IF(LEN(E128)&lt;4,"",IF(UPPER(MID(E128,4,1))="P","Individual",IF(UPPER(MID(E128,4,1))="H","HUF",IF(UPPER(MID(E128,4,1))="C","Company",IF(UPPER(MID(E128,4,1))="F","Firm",IF(UPPER(MID(E128,4,1))="L","LLP",IF(UPPER(MID(E128,4,1))="T","Trust",IF(UPPER(MID(E128,4,1))="A","AOP","")))))))))</f>
      </c>
      <c r="H128" s="8"/>
      <c r="I128" s="7">
        <f>IF($D128="","",IF(H128="","",IF(F128="Y",SUMPRODUCT(('Rate Lookup'!$A$1:$A$37=H128)*'Rate Lookup'!$D$1:$D$37),IF(OR(G128="Individual",G128="HUF"),SUMPRODUCT(('Rate Lookup'!$A$1:$A$37=H128)*'Rate Lookup'!$B$1:$B$37),SUMPRODUCT(('Rate Lookup'!$A$1:$A$37=H128)*'Rate Lookup'!$C$1:$C$37)))))</f>
      </c>
      <c r="J128" s="8"/>
      <c r="K128" s="8"/>
      <c r="L128" s="7">
        <f>IF($D128="","",ROUND(K128*I128/100,0))</f>
      </c>
      <c r="M128" s="7">
        <f>IF($D128="","",0)</f>
      </c>
      <c r="N128" s="7">
        <f>IF($D128="","",0)</f>
      </c>
      <c r="O128" s="7">
        <f>IF($D128="","",IF(OR(L128=0,J128="",IFERROR(INDEX('Challan Master'!$D$4:$D$207,MATCH($B128,'Challan Master'!$S$4:$S$207,0)),"")="",IFERROR(INDEX('Challan Master'!$D$4:$D$207,MATCH($B128,'Challan Master'!$S$4:$S$207,0)),"")&lt;=0),0,IF(IFERROR(INDEX('Challan Master'!$D$4:$D$207,MATCH($B128,'Challan Master'!$S$4:$S$207,0)),"")&lt;=DATE(YEAR(J128),MONTH(J128)+1,7),0,ROUND(L128*0.015*((YEAR(IFERROR(INDEX('Challan Master'!$D$4:$D$207,MATCH($B128,'Challan Master'!$S$4:$S$207,0)),""))-YEAR(J128))*12+(MONTH(IFERROR(INDEX('Challan Master'!$D$4:$D$207,MATCH($B128,'Challan Master'!$S$4:$S$207,0)),""))-MONTH(J128))+1),0))))</f>
      </c>
      <c r="P128" s="7">
        <f>IF($D128="","",0)</f>
      </c>
      <c r="Q128" s="8"/>
      <c r="R128" s="8"/>
      <c r="S128" s="8"/>
      <c r="T128" s="8"/>
      <c r="U128" s="8"/>
      <c r="V128" s="7">
        <f>IF($B128="","",IFERROR(INDEX('Challan Master'!$AA$4:$AA$207,MATCH($B128,'Challan Master'!$S$4:$S$207,0)),""))</f>
      </c>
    </row>
    <row r="129" spans="1:22" x14ac:dyDescent="0.25">
      <c r="A129" s="7">
        <f>IF($D129="","",COUNTIF($D$4:$D129,"&lt;&gt;"))</f>
      </c>
      <c r="B129" s="8"/>
      <c r="C129" s="7">
        <f>IF($B129="","","BSR "&amp;IFERROR(INDEX('Challan Master'!$B$4:$B$207,MATCH($B129,'Challan Master'!$S$4:$S$207,0)),"")&amp;" | Serial "&amp;IFERROR(INDEX('Challan Master'!$C$4:$C$207,MATCH($B129,'Challan Master'!$S$4:$S$207,0)),"")&amp;" | Deposit "&amp;TEXT(IFERROR(INDEX('Challan Master'!$D$4:$D$207,MATCH($B129,'Challan Master'!$S$4:$S$207,0)),""),"dd-mm-yyyy")&amp;" | Minor Head "&amp;IFERROR(INDEX('Challan Master'!$E$4:$E$207,MATCH($B129,'Challan Master'!$S$4:$S$207,0)),"")&amp;" | Tax ₹"&amp;TEXT(IFERROR(INDEX('Challan Master'!$G$4:$G$207,MATCH($B129,'Challan Master'!$S$4:$S$207,0)),""),"#,##0")&amp;" | Section "&amp;IFERROR(INDEX('Challan Master'!$F$4:$F$207,MATCH($B129,'Challan Master'!$S$4:$S$207,0)),""))</f>
      </c>
      <c r="D129" s="8"/>
      <c r="E129" s="8"/>
      <c r="F129" s="7">
        <f>IF($D129="","",IF(AND(LEN(TRIM(UPPER(E129)))=10,CODE(MID(TRIM(UPPER(E129)),1,1))&gt;=65,CODE(MID(TRIM(UPPER(E129)),1,1))&lt;=90,CODE(MID(TRIM(UPPER(E129)),2,1))&gt;=65,CODE(MID(TRIM(UPPER(E129)),2,1))&lt;=90,CODE(MID(TRIM(UPPER(E129)),3,1))&gt;=65,CODE(MID(TRIM(UPPER(E129)),3,1))&lt;=90,CODE(MID(TRIM(UPPER(E129)),4,1))&gt;=65,CODE(MID(TRIM(UPPER(E129)),4,1))&lt;=90,CODE(MID(TRIM(UPPER(E129)),5,1))&gt;=65,CODE(MID(TRIM(UPPER(E129)),5,1))&lt;=90,CODE(MID(TRIM(UPPER(E129)),10,1))&gt;=65,CODE(MID(TRIM(UPPER(E129)),10,1))&lt;=90,CODE(MID(TRIM(UPPER(E129)),6,1))&gt;=48,CODE(MID(TRIM(UPPER(E129)),6,1))&lt;=57,CODE(MID(TRIM(UPPER(E129)),7,1))&gt;=48,CODE(MID(TRIM(UPPER(E129)),7,1))&lt;=57,CODE(MID(TRIM(UPPER(E129)),8,1))&gt;=48,CODE(MID(TRIM(UPPER(E129)),8,1))&lt;=57,CODE(MID(TRIM(UPPER(E129)),9,1))&gt;=48,CODE(MID(TRIM(UPPER(E129)),9,1))&lt;=57),"N","Y"))</f>
      </c>
      <c r="G129" s="7">
        <f>IF($D129="","",IF(LEN(E129)&lt;4,"",IF(UPPER(MID(E129,4,1))="P","Individual",IF(UPPER(MID(E129,4,1))="H","HUF",IF(UPPER(MID(E129,4,1))="C","Company",IF(UPPER(MID(E129,4,1))="F","Firm",IF(UPPER(MID(E129,4,1))="L","LLP",IF(UPPER(MID(E129,4,1))="T","Trust",IF(UPPER(MID(E129,4,1))="A","AOP","")))))))))</f>
      </c>
      <c r="H129" s="8"/>
      <c r="I129" s="7">
        <f>IF($D129="","",IF(H129="","",IF(F129="Y",SUMPRODUCT(('Rate Lookup'!$A$1:$A$37=H129)*'Rate Lookup'!$D$1:$D$37),IF(OR(G129="Individual",G129="HUF"),SUMPRODUCT(('Rate Lookup'!$A$1:$A$37=H129)*'Rate Lookup'!$B$1:$B$37),SUMPRODUCT(('Rate Lookup'!$A$1:$A$37=H129)*'Rate Lookup'!$C$1:$C$37)))))</f>
      </c>
      <c r="J129" s="8"/>
      <c r="K129" s="8"/>
      <c r="L129" s="7">
        <f>IF($D129="","",ROUND(K129*I129/100,0))</f>
      </c>
      <c r="M129" s="7">
        <f>IF($D129="","",0)</f>
      </c>
      <c r="N129" s="7">
        <f>IF($D129="","",0)</f>
      </c>
      <c r="O129" s="7">
        <f>IF($D129="","",IF(OR(L129=0,J129="",IFERROR(INDEX('Challan Master'!$D$4:$D$207,MATCH($B129,'Challan Master'!$S$4:$S$207,0)),"")="",IFERROR(INDEX('Challan Master'!$D$4:$D$207,MATCH($B129,'Challan Master'!$S$4:$S$207,0)),"")&lt;=0),0,IF(IFERROR(INDEX('Challan Master'!$D$4:$D$207,MATCH($B129,'Challan Master'!$S$4:$S$207,0)),"")&lt;=DATE(YEAR(J129),MONTH(J129)+1,7),0,ROUND(L129*0.015*((YEAR(IFERROR(INDEX('Challan Master'!$D$4:$D$207,MATCH($B129,'Challan Master'!$S$4:$S$207,0)),""))-YEAR(J129))*12+(MONTH(IFERROR(INDEX('Challan Master'!$D$4:$D$207,MATCH($B129,'Challan Master'!$S$4:$S$207,0)),""))-MONTH(J129))+1),0))))</f>
      </c>
      <c r="P129" s="7">
        <f>IF($D129="","",0)</f>
      </c>
      <c r="Q129" s="8"/>
      <c r="R129" s="8"/>
      <c r="S129" s="8"/>
      <c r="T129" s="8"/>
      <c r="U129" s="8"/>
      <c r="V129" s="7">
        <f>IF($B129="","",IFERROR(INDEX('Challan Master'!$AA$4:$AA$207,MATCH($B129,'Challan Master'!$S$4:$S$207,0)),""))</f>
      </c>
    </row>
    <row r="130" spans="1:22" x14ac:dyDescent="0.25">
      <c r="A130" s="7">
        <f>IF($D130="","",COUNTIF($D$4:$D130,"&lt;&gt;"))</f>
      </c>
      <c r="B130" s="8"/>
      <c r="C130" s="7">
        <f>IF($B130="","","BSR "&amp;IFERROR(INDEX('Challan Master'!$B$4:$B$207,MATCH($B130,'Challan Master'!$S$4:$S$207,0)),"")&amp;" | Serial "&amp;IFERROR(INDEX('Challan Master'!$C$4:$C$207,MATCH($B130,'Challan Master'!$S$4:$S$207,0)),"")&amp;" | Deposit "&amp;TEXT(IFERROR(INDEX('Challan Master'!$D$4:$D$207,MATCH($B130,'Challan Master'!$S$4:$S$207,0)),""),"dd-mm-yyyy")&amp;" | Minor Head "&amp;IFERROR(INDEX('Challan Master'!$E$4:$E$207,MATCH($B130,'Challan Master'!$S$4:$S$207,0)),"")&amp;" | Tax ₹"&amp;TEXT(IFERROR(INDEX('Challan Master'!$G$4:$G$207,MATCH($B130,'Challan Master'!$S$4:$S$207,0)),""),"#,##0")&amp;" | Section "&amp;IFERROR(INDEX('Challan Master'!$F$4:$F$207,MATCH($B130,'Challan Master'!$S$4:$S$207,0)),""))</f>
      </c>
      <c r="D130" s="8"/>
      <c r="E130" s="8"/>
      <c r="F130" s="7">
        <f>IF($D130="","",IF(AND(LEN(TRIM(UPPER(E130)))=10,CODE(MID(TRIM(UPPER(E130)),1,1))&gt;=65,CODE(MID(TRIM(UPPER(E130)),1,1))&lt;=90,CODE(MID(TRIM(UPPER(E130)),2,1))&gt;=65,CODE(MID(TRIM(UPPER(E130)),2,1))&lt;=90,CODE(MID(TRIM(UPPER(E130)),3,1))&gt;=65,CODE(MID(TRIM(UPPER(E130)),3,1))&lt;=90,CODE(MID(TRIM(UPPER(E130)),4,1))&gt;=65,CODE(MID(TRIM(UPPER(E130)),4,1))&lt;=90,CODE(MID(TRIM(UPPER(E130)),5,1))&gt;=65,CODE(MID(TRIM(UPPER(E130)),5,1))&lt;=90,CODE(MID(TRIM(UPPER(E130)),10,1))&gt;=65,CODE(MID(TRIM(UPPER(E130)),10,1))&lt;=90,CODE(MID(TRIM(UPPER(E130)),6,1))&gt;=48,CODE(MID(TRIM(UPPER(E130)),6,1))&lt;=57,CODE(MID(TRIM(UPPER(E130)),7,1))&gt;=48,CODE(MID(TRIM(UPPER(E130)),7,1))&lt;=57,CODE(MID(TRIM(UPPER(E130)),8,1))&gt;=48,CODE(MID(TRIM(UPPER(E130)),8,1))&lt;=57,CODE(MID(TRIM(UPPER(E130)),9,1))&gt;=48,CODE(MID(TRIM(UPPER(E130)),9,1))&lt;=57),"N","Y"))</f>
      </c>
      <c r="G130" s="7">
        <f>IF($D130="","",IF(LEN(E130)&lt;4,"",IF(UPPER(MID(E130,4,1))="P","Individual",IF(UPPER(MID(E130,4,1))="H","HUF",IF(UPPER(MID(E130,4,1))="C","Company",IF(UPPER(MID(E130,4,1))="F","Firm",IF(UPPER(MID(E130,4,1))="L","LLP",IF(UPPER(MID(E130,4,1))="T","Trust",IF(UPPER(MID(E130,4,1))="A","AOP","")))))))))</f>
      </c>
      <c r="H130" s="8"/>
      <c r="I130" s="7">
        <f>IF($D130="","",IF(H130="","",IF(F130="Y",SUMPRODUCT(('Rate Lookup'!$A$1:$A$37=H130)*'Rate Lookup'!$D$1:$D$37),IF(OR(G130="Individual",G130="HUF"),SUMPRODUCT(('Rate Lookup'!$A$1:$A$37=H130)*'Rate Lookup'!$B$1:$B$37),SUMPRODUCT(('Rate Lookup'!$A$1:$A$37=H130)*'Rate Lookup'!$C$1:$C$37)))))</f>
      </c>
      <c r="J130" s="8"/>
      <c r="K130" s="8"/>
      <c r="L130" s="7">
        <f>IF($D130="","",ROUND(K130*I130/100,0))</f>
      </c>
      <c r="M130" s="7">
        <f>IF($D130="","",0)</f>
      </c>
      <c r="N130" s="7">
        <f>IF($D130="","",0)</f>
      </c>
      <c r="O130" s="7">
        <f>IF($D130="","",IF(OR(L130=0,J130="",IFERROR(INDEX('Challan Master'!$D$4:$D$207,MATCH($B130,'Challan Master'!$S$4:$S$207,0)),"")="",IFERROR(INDEX('Challan Master'!$D$4:$D$207,MATCH($B130,'Challan Master'!$S$4:$S$207,0)),"")&lt;=0),0,IF(IFERROR(INDEX('Challan Master'!$D$4:$D$207,MATCH($B130,'Challan Master'!$S$4:$S$207,0)),"")&lt;=DATE(YEAR(J130),MONTH(J130)+1,7),0,ROUND(L130*0.015*((YEAR(IFERROR(INDEX('Challan Master'!$D$4:$D$207,MATCH($B130,'Challan Master'!$S$4:$S$207,0)),""))-YEAR(J130))*12+(MONTH(IFERROR(INDEX('Challan Master'!$D$4:$D$207,MATCH($B130,'Challan Master'!$S$4:$S$207,0)),""))-MONTH(J130))+1),0))))</f>
      </c>
      <c r="P130" s="7">
        <f>IF($D130="","",0)</f>
      </c>
      <c r="Q130" s="8"/>
      <c r="R130" s="8"/>
      <c r="S130" s="8"/>
      <c r="T130" s="8"/>
      <c r="U130" s="8"/>
      <c r="V130" s="7">
        <f>IF($B130="","",IFERROR(INDEX('Challan Master'!$AA$4:$AA$207,MATCH($B130,'Challan Master'!$S$4:$S$207,0)),""))</f>
      </c>
    </row>
    <row r="131" spans="1:22" x14ac:dyDescent="0.25">
      <c r="A131" s="7">
        <f>IF($D131="","",COUNTIF($D$4:$D131,"&lt;&gt;"))</f>
      </c>
      <c r="B131" s="8"/>
      <c r="C131" s="7">
        <f>IF($B131="","","BSR "&amp;IFERROR(INDEX('Challan Master'!$B$4:$B$207,MATCH($B131,'Challan Master'!$S$4:$S$207,0)),"")&amp;" | Serial "&amp;IFERROR(INDEX('Challan Master'!$C$4:$C$207,MATCH($B131,'Challan Master'!$S$4:$S$207,0)),"")&amp;" | Deposit "&amp;TEXT(IFERROR(INDEX('Challan Master'!$D$4:$D$207,MATCH($B131,'Challan Master'!$S$4:$S$207,0)),""),"dd-mm-yyyy")&amp;" | Minor Head "&amp;IFERROR(INDEX('Challan Master'!$E$4:$E$207,MATCH($B131,'Challan Master'!$S$4:$S$207,0)),"")&amp;" | Tax ₹"&amp;TEXT(IFERROR(INDEX('Challan Master'!$G$4:$G$207,MATCH($B131,'Challan Master'!$S$4:$S$207,0)),""),"#,##0")&amp;" | Section "&amp;IFERROR(INDEX('Challan Master'!$F$4:$F$207,MATCH($B131,'Challan Master'!$S$4:$S$207,0)),""))</f>
      </c>
      <c r="D131" s="8"/>
      <c r="E131" s="8"/>
      <c r="F131" s="7">
        <f>IF($D131="","",IF(AND(LEN(TRIM(UPPER(E131)))=10,CODE(MID(TRIM(UPPER(E131)),1,1))&gt;=65,CODE(MID(TRIM(UPPER(E131)),1,1))&lt;=90,CODE(MID(TRIM(UPPER(E131)),2,1))&gt;=65,CODE(MID(TRIM(UPPER(E131)),2,1))&lt;=90,CODE(MID(TRIM(UPPER(E131)),3,1))&gt;=65,CODE(MID(TRIM(UPPER(E131)),3,1))&lt;=90,CODE(MID(TRIM(UPPER(E131)),4,1))&gt;=65,CODE(MID(TRIM(UPPER(E131)),4,1))&lt;=90,CODE(MID(TRIM(UPPER(E131)),5,1))&gt;=65,CODE(MID(TRIM(UPPER(E131)),5,1))&lt;=90,CODE(MID(TRIM(UPPER(E131)),10,1))&gt;=65,CODE(MID(TRIM(UPPER(E131)),10,1))&lt;=90,CODE(MID(TRIM(UPPER(E131)),6,1))&gt;=48,CODE(MID(TRIM(UPPER(E131)),6,1))&lt;=57,CODE(MID(TRIM(UPPER(E131)),7,1))&gt;=48,CODE(MID(TRIM(UPPER(E131)),7,1))&lt;=57,CODE(MID(TRIM(UPPER(E131)),8,1))&gt;=48,CODE(MID(TRIM(UPPER(E131)),8,1))&lt;=57,CODE(MID(TRIM(UPPER(E131)),9,1))&gt;=48,CODE(MID(TRIM(UPPER(E131)),9,1))&lt;=57),"N","Y"))</f>
      </c>
      <c r="G131" s="7">
        <f>IF($D131="","",IF(LEN(E131)&lt;4,"",IF(UPPER(MID(E131,4,1))="P","Individual",IF(UPPER(MID(E131,4,1))="H","HUF",IF(UPPER(MID(E131,4,1))="C","Company",IF(UPPER(MID(E131,4,1))="F","Firm",IF(UPPER(MID(E131,4,1))="L","LLP",IF(UPPER(MID(E131,4,1))="T","Trust",IF(UPPER(MID(E131,4,1))="A","AOP","")))))))))</f>
      </c>
      <c r="H131" s="8"/>
      <c r="I131" s="7">
        <f>IF($D131="","",IF(H131="","",IF(F131="Y",SUMPRODUCT(('Rate Lookup'!$A$1:$A$37=H131)*'Rate Lookup'!$D$1:$D$37),IF(OR(G131="Individual",G131="HUF"),SUMPRODUCT(('Rate Lookup'!$A$1:$A$37=H131)*'Rate Lookup'!$B$1:$B$37),SUMPRODUCT(('Rate Lookup'!$A$1:$A$37=H131)*'Rate Lookup'!$C$1:$C$37)))))</f>
      </c>
      <c r="J131" s="8"/>
      <c r="K131" s="8"/>
      <c r="L131" s="7">
        <f>IF($D131="","",ROUND(K131*I131/100,0))</f>
      </c>
      <c r="M131" s="7">
        <f>IF($D131="","",0)</f>
      </c>
      <c r="N131" s="7">
        <f>IF($D131="","",0)</f>
      </c>
      <c r="O131" s="7">
        <f>IF($D131="","",IF(OR(L131=0,J131="",IFERROR(INDEX('Challan Master'!$D$4:$D$207,MATCH($B131,'Challan Master'!$S$4:$S$207,0)),"")="",IFERROR(INDEX('Challan Master'!$D$4:$D$207,MATCH($B131,'Challan Master'!$S$4:$S$207,0)),"")&lt;=0),0,IF(IFERROR(INDEX('Challan Master'!$D$4:$D$207,MATCH($B131,'Challan Master'!$S$4:$S$207,0)),"")&lt;=DATE(YEAR(J131),MONTH(J131)+1,7),0,ROUND(L131*0.015*((YEAR(IFERROR(INDEX('Challan Master'!$D$4:$D$207,MATCH($B131,'Challan Master'!$S$4:$S$207,0)),""))-YEAR(J131))*12+(MONTH(IFERROR(INDEX('Challan Master'!$D$4:$D$207,MATCH($B131,'Challan Master'!$S$4:$S$207,0)),""))-MONTH(J131))+1),0))))</f>
      </c>
      <c r="P131" s="7">
        <f>IF($D131="","",0)</f>
      </c>
      <c r="Q131" s="8"/>
      <c r="R131" s="8"/>
      <c r="S131" s="8"/>
      <c r="T131" s="8"/>
      <c r="U131" s="8"/>
      <c r="V131" s="7">
        <f>IF($B131="","",IFERROR(INDEX('Challan Master'!$AA$4:$AA$207,MATCH($B131,'Challan Master'!$S$4:$S$207,0)),""))</f>
      </c>
    </row>
    <row r="132" spans="1:22" x14ac:dyDescent="0.25">
      <c r="A132" s="7">
        <f>IF($D132="","",COUNTIF($D$4:$D132,"&lt;&gt;"))</f>
      </c>
      <c r="B132" s="8"/>
      <c r="C132" s="7">
        <f>IF($B132="","","BSR "&amp;IFERROR(INDEX('Challan Master'!$B$4:$B$207,MATCH($B132,'Challan Master'!$S$4:$S$207,0)),"")&amp;" | Serial "&amp;IFERROR(INDEX('Challan Master'!$C$4:$C$207,MATCH($B132,'Challan Master'!$S$4:$S$207,0)),"")&amp;" | Deposit "&amp;TEXT(IFERROR(INDEX('Challan Master'!$D$4:$D$207,MATCH($B132,'Challan Master'!$S$4:$S$207,0)),""),"dd-mm-yyyy")&amp;" | Minor Head "&amp;IFERROR(INDEX('Challan Master'!$E$4:$E$207,MATCH($B132,'Challan Master'!$S$4:$S$207,0)),"")&amp;" | Tax ₹"&amp;TEXT(IFERROR(INDEX('Challan Master'!$G$4:$G$207,MATCH($B132,'Challan Master'!$S$4:$S$207,0)),""),"#,##0")&amp;" | Section "&amp;IFERROR(INDEX('Challan Master'!$F$4:$F$207,MATCH($B132,'Challan Master'!$S$4:$S$207,0)),""))</f>
      </c>
      <c r="D132" s="8"/>
      <c r="E132" s="8"/>
      <c r="F132" s="7">
        <f>IF($D132="","",IF(AND(LEN(TRIM(UPPER(E132)))=10,CODE(MID(TRIM(UPPER(E132)),1,1))&gt;=65,CODE(MID(TRIM(UPPER(E132)),1,1))&lt;=90,CODE(MID(TRIM(UPPER(E132)),2,1))&gt;=65,CODE(MID(TRIM(UPPER(E132)),2,1))&lt;=90,CODE(MID(TRIM(UPPER(E132)),3,1))&gt;=65,CODE(MID(TRIM(UPPER(E132)),3,1))&lt;=90,CODE(MID(TRIM(UPPER(E132)),4,1))&gt;=65,CODE(MID(TRIM(UPPER(E132)),4,1))&lt;=90,CODE(MID(TRIM(UPPER(E132)),5,1))&gt;=65,CODE(MID(TRIM(UPPER(E132)),5,1))&lt;=90,CODE(MID(TRIM(UPPER(E132)),10,1))&gt;=65,CODE(MID(TRIM(UPPER(E132)),10,1))&lt;=90,CODE(MID(TRIM(UPPER(E132)),6,1))&gt;=48,CODE(MID(TRIM(UPPER(E132)),6,1))&lt;=57,CODE(MID(TRIM(UPPER(E132)),7,1))&gt;=48,CODE(MID(TRIM(UPPER(E132)),7,1))&lt;=57,CODE(MID(TRIM(UPPER(E132)),8,1))&gt;=48,CODE(MID(TRIM(UPPER(E132)),8,1))&lt;=57,CODE(MID(TRIM(UPPER(E132)),9,1))&gt;=48,CODE(MID(TRIM(UPPER(E132)),9,1))&lt;=57),"N","Y"))</f>
      </c>
      <c r="G132" s="7">
        <f>IF($D132="","",IF(LEN(E132)&lt;4,"",IF(UPPER(MID(E132,4,1))="P","Individual",IF(UPPER(MID(E132,4,1))="H","HUF",IF(UPPER(MID(E132,4,1))="C","Company",IF(UPPER(MID(E132,4,1))="F","Firm",IF(UPPER(MID(E132,4,1))="L","LLP",IF(UPPER(MID(E132,4,1))="T","Trust",IF(UPPER(MID(E132,4,1))="A","AOP","")))))))))</f>
      </c>
      <c r="H132" s="8"/>
      <c r="I132" s="7">
        <f>IF($D132="","",IF(H132="","",IF(F132="Y",SUMPRODUCT(('Rate Lookup'!$A$1:$A$37=H132)*'Rate Lookup'!$D$1:$D$37),IF(OR(G132="Individual",G132="HUF"),SUMPRODUCT(('Rate Lookup'!$A$1:$A$37=H132)*'Rate Lookup'!$B$1:$B$37),SUMPRODUCT(('Rate Lookup'!$A$1:$A$37=H132)*'Rate Lookup'!$C$1:$C$37)))))</f>
      </c>
      <c r="J132" s="8"/>
      <c r="K132" s="8"/>
      <c r="L132" s="7">
        <f>IF($D132="","",ROUND(K132*I132/100,0))</f>
      </c>
      <c r="M132" s="7">
        <f>IF($D132="","",0)</f>
      </c>
      <c r="N132" s="7">
        <f>IF($D132="","",0)</f>
      </c>
      <c r="O132" s="7">
        <f>IF($D132="","",IF(OR(L132=0,J132="",IFERROR(INDEX('Challan Master'!$D$4:$D$207,MATCH($B132,'Challan Master'!$S$4:$S$207,0)),"")="",IFERROR(INDEX('Challan Master'!$D$4:$D$207,MATCH($B132,'Challan Master'!$S$4:$S$207,0)),"")&lt;=0),0,IF(IFERROR(INDEX('Challan Master'!$D$4:$D$207,MATCH($B132,'Challan Master'!$S$4:$S$207,0)),"")&lt;=DATE(YEAR(J132),MONTH(J132)+1,7),0,ROUND(L132*0.015*((YEAR(IFERROR(INDEX('Challan Master'!$D$4:$D$207,MATCH($B132,'Challan Master'!$S$4:$S$207,0)),""))-YEAR(J132))*12+(MONTH(IFERROR(INDEX('Challan Master'!$D$4:$D$207,MATCH($B132,'Challan Master'!$S$4:$S$207,0)),""))-MONTH(J132))+1),0))))</f>
      </c>
      <c r="P132" s="7">
        <f>IF($D132="","",0)</f>
      </c>
      <c r="Q132" s="8"/>
      <c r="R132" s="8"/>
      <c r="S132" s="8"/>
      <c r="T132" s="8"/>
      <c r="U132" s="8"/>
      <c r="V132" s="7">
        <f>IF($B132="","",IFERROR(INDEX('Challan Master'!$AA$4:$AA$207,MATCH($B132,'Challan Master'!$S$4:$S$207,0)),""))</f>
      </c>
    </row>
    <row r="133" spans="1:22" x14ac:dyDescent="0.25">
      <c r="A133" s="7">
        <f>IF($D133="","",COUNTIF($D$4:$D133,"&lt;&gt;"))</f>
      </c>
      <c r="B133" s="8"/>
      <c r="C133" s="7">
        <f>IF($B133="","","BSR "&amp;IFERROR(INDEX('Challan Master'!$B$4:$B$207,MATCH($B133,'Challan Master'!$S$4:$S$207,0)),"")&amp;" | Serial "&amp;IFERROR(INDEX('Challan Master'!$C$4:$C$207,MATCH($B133,'Challan Master'!$S$4:$S$207,0)),"")&amp;" | Deposit "&amp;TEXT(IFERROR(INDEX('Challan Master'!$D$4:$D$207,MATCH($B133,'Challan Master'!$S$4:$S$207,0)),""),"dd-mm-yyyy")&amp;" | Minor Head "&amp;IFERROR(INDEX('Challan Master'!$E$4:$E$207,MATCH($B133,'Challan Master'!$S$4:$S$207,0)),"")&amp;" | Tax ₹"&amp;TEXT(IFERROR(INDEX('Challan Master'!$G$4:$G$207,MATCH($B133,'Challan Master'!$S$4:$S$207,0)),""),"#,##0")&amp;" | Section "&amp;IFERROR(INDEX('Challan Master'!$F$4:$F$207,MATCH($B133,'Challan Master'!$S$4:$S$207,0)),""))</f>
      </c>
      <c r="D133" s="8"/>
      <c r="E133" s="8"/>
      <c r="F133" s="7">
        <f>IF($D133="","",IF(AND(LEN(TRIM(UPPER(E133)))=10,CODE(MID(TRIM(UPPER(E133)),1,1))&gt;=65,CODE(MID(TRIM(UPPER(E133)),1,1))&lt;=90,CODE(MID(TRIM(UPPER(E133)),2,1))&gt;=65,CODE(MID(TRIM(UPPER(E133)),2,1))&lt;=90,CODE(MID(TRIM(UPPER(E133)),3,1))&gt;=65,CODE(MID(TRIM(UPPER(E133)),3,1))&lt;=90,CODE(MID(TRIM(UPPER(E133)),4,1))&gt;=65,CODE(MID(TRIM(UPPER(E133)),4,1))&lt;=90,CODE(MID(TRIM(UPPER(E133)),5,1))&gt;=65,CODE(MID(TRIM(UPPER(E133)),5,1))&lt;=90,CODE(MID(TRIM(UPPER(E133)),10,1))&gt;=65,CODE(MID(TRIM(UPPER(E133)),10,1))&lt;=90,CODE(MID(TRIM(UPPER(E133)),6,1))&gt;=48,CODE(MID(TRIM(UPPER(E133)),6,1))&lt;=57,CODE(MID(TRIM(UPPER(E133)),7,1))&gt;=48,CODE(MID(TRIM(UPPER(E133)),7,1))&lt;=57,CODE(MID(TRIM(UPPER(E133)),8,1))&gt;=48,CODE(MID(TRIM(UPPER(E133)),8,1))&lt;=57,CODE(MID(TRIM(UPPER(E133)),9,1))&gt;=48,CODE(MID(TRIM(UPPER(E133)),9,1))&lt;=57),"N","Y"))</f>
      </c>
      <c r="G133" s="7">
        <f>IF($D133="","",IF(LEN(E133)&lt;4,"",IF(UPPER(MID(E133,4,1))="P","Individual",IF(UPPER(MID(E133,4,1))="H","HUF",IF(UPPER(MID(E133,4,1))="C","Company",IF(UPPER(MID(E133,4,1))="F","Firm",IF(UPPER(MID(E133,4,1))="L","LLP",IF(UPPER(MID(E133,4,1))="T","Trust",IF(UPPER(MID(E133,4,1))="A","AOP","")))))))))</f>
      </c>
      <c r="H133" s="8"/>
      <c r="I133" s="7">
        <f>IF($D133="","",IF(H133="","",IF(F133="Y",SUMPRODUCT(('Rate Lookup'!$A$1:$A$37=H133)*'Rate Lookup'!$D$1:$D$37),IF(OR(G133="Individual",G133="HUF"),SUMPRODUCT(('Rate Lookup'!$A$1:$A$37=H133)*'Rate Lookup'!$B$1:$B$37),SUMPRODUCT(('Rate Lookup'!$A$1:$A$37=H133)*'Rate Lookup'!$C$1:$C$37)))))</f>
      </c>
      <c r="J133" s="8"/>
      <c r="K133" s="8"/>
      <c r="L133" s="7">
        <f>IF($D133="","",ROUND(K133*I133/100,0))</f>
      </c>
      <c r="M133" s="7">
        <f>IF($D133="","",0)</f>
      </c>
      <c r="N133" s="7">
        <f>IF($D133="","",0)</f>
      </c>
      <c r="O133" s="7">
        <f>IF($D133="","",IF(OR(L133=0,J133="",IFERROR(INDEX('Challan Master'!$D$4:$D$207,MATCH($B133,'Challan Master'!$S$4:$S$207,0)),"")="",IFERROR(INDEX('Challan Master'!$D$4:$D$207,MATCH($B133,'Challan Master'!$S$4:$S$207,0)),"")&lt;=0),0,IF(IFERROR(INDEX('Challan Master'!$D$4:$D$207,MATCH($B133,'Challan Master'!$S$4:$S$207,0)),"")&lt;=DATE(YEAR(J133),MONTH(J133)+1,7),0,ROUND(L133*0.015*((YEAR(IFERROR(INDEX('Challan Master'!$D$4:$D$207,MATCH($B133,'Challan Master'!$S$4:$S$207,0)),""))-YEAR(J133))*12+(MONTH(IFERROR(INDEX('Challan Master'!$D$4:$D$207,MATCH($B133,'Challan Master'!$S$4:$S$207,0)),""))-MONTH(J133))+1),0))))</f>
      </c>
      <c r="P133" s="7">
        <f>IF($D133="","",0)</f>
      </c>
      <c r="Q133" s="8"/>
      <c r="R133" s="8"/>
      <c r="S133" s="8"/>
      <c r="T133" s="8"/>
      <c r="U133" s="8"/>
      <c r="V133" s="7">
        <f>IF($B133="","",IFERROR(INDEX('Challan Master'!$AA$4:$AA$207,MATCH($B133,'Challan Master'!$S$4:$S$207,0)),""))</f>
      </c>
    </row>
    <row r="134" spans="1:22" x14ac:dyDescent="0.25">
      <c r="A134" s="7">
        <f>IF($D134="","",COUNTIF($D$4:$D134,"&lt;&gt;"))</f>
      </c>
      <c r="B134" s="8"/>
      <c r="C134" s="7">
        <f>IF($B134="","","BSR "&amp;IFERROR(INDEX('Challan Master'!$B$4:$B$207,MATCH($B134,'Challan Master'!$S$4:$S$207,0)),"")&amp;" | Serial "&amp;IFERROR(INDEX('Challan Master'!$C$4:$C$207,MATCH($B134,'Challan Master'!$S$4:$S$207,0)),"")&amp;" | Deposit "&amp;TEXT(IFERROR(INDEX('Challan Master'!$D$4:$D$207,MATCH($B134,'Challan Master'!$S$4:$S$207,0)),""),"dd-mm-yyyy")&amp;" | Minor Head "&amp;IFERROR(INDEX('Challan Master'!$E$4:$E$207,MATCH($B134,'Challan Master'!$S$4:$S$207,0)),"")&amp;" | Tax ₹"&amp;TEXT(IFERROR(INDEX('Challan Master'!$G$4:$G$207,MATCH($B134,'Challan Master'!$S$4:$S$207,0)),""),"#,##0")&amp;" | Section "&amp;IFERROR(INDEX('Challan Master'!$F$4:$F$207,MATCH($B134,'Challan Master'!$S$4:$S$207,0)),""))</f>
      </c>
      <c r="D134" s="8"/>
      <c r="E134" s="8"/>
      <c r="F134" s="7">
        <f>IF($D134="","",IF(AND(LEN(TRIM(UPPER(E134)))=10,CODE(MID(TRIM(UPPER(E134)),1,1))&gt;=65,CODE(MID(TRIM(UPPER(E134)),1,1))&lt;=90,CODE(MID(TRIM(UPPER(E134)),2,1))&gt;=65,CODE(MID(TRIM(UPPER(E134)),2,1))&lt;=90,CODE(MID(TRIM(UPPER(E134)),3,1))&gt;=65,CODE(MID(TRIM(UPPER(E134)),3,1))&lt;=90,CODE(MID(TRIM(UPPER(E134)),4,1))&gt;=65,CODE(MID(TRIM(UPPER(E134)),4,1))&lt;=90,CODE(MID(TRIM(UPPER(E134)),5,1))&gt;=65,CODE(MID(TRIM(UPPER(E134)),5,1))&lt;=90,CODE(MID(TRIM(UPPER(E134)),10,1))&gt;=65,CODE(MID(TRIM(UPPER(E134)),10,1))&lt;=90,CODE(MID(TRIM(UPPER(E134)),6,1))&gt;=48,CODE(MID(TRIM(UPPER(E134)),6,1))&lt;=57,CODE(MID(TRIM(UPPER(E134)),7,1))&gt;=48,CODE(MID(TRIM(UPPER(E134)),7,1))&lt;=57,CODE(MID(TRIM(UPPER(E134)),8,1))&gt;=48,CODE(MID(TRIM(UPPER(E134)),8,1))&lt;=57,CODE(MID(TRIM(UPPER(E134)),9,1))&gt;=48,CODE(MID(TRIM(UPPER(E134)),9,1))&lt;=57),"N","Y"))</f>
      </c>
      <c r="G134" s="7">
        <f>IF($D134="","",IF(LEN(E134)&lt;4,"",IF(UPPER(MID(E134,4,1))="P","Individual",IF(UPPER(MID(E134,4,1))="H","HUF",IF(UPPER(MID(E134,4,1))="C","Company",IF(UPPER(MID(E134,4,1))="F","Firm",IF(UPPER(MID(E134,4,1))="L","LLP",IF(UPPER(MID(E134,4,1))="T","Trust",IF(UPPER(MID(E134,4,1))="A","AOP","")))))))))</f>
      </c>
      <c r="H134" s="8"/>
      <c r="I134" s="7">
        <f>IF($D134="","",IF(H134="","",IF(F134="Y",SUMPRODUCT(('Rate Lookup'!$A$1:$A$37=H134)*'Rate Lookup'!$D$1:$D$37),IF(OR(G134="Individual",G134="HUF"),SUMPRODUCT(('Rate Lookup'!$A$1:$A$37=H134)*'Rate Lookup'!$B$1:$B$37),SUMPRODUCT(('Rate Lookup'!$A$1:$A$37=H134)*'Rate Lookup'!$C$1:$C$37)))))</f>
      </c>
      <c r="J134" s="8"/>
      <c r="K134" s="8"/>
      <c r="L134" s="7">
        <f>IF($D134="","",ROUND(K134*I134/100,0))</f>
      </c>
      <c r="M134" s="7">
        <f>IF($D134="","",0)</f>
      </c>
      <c r="N134" s="7">
        <f>IF($D134="","",0)</f>
      </c>
      <c r="O134" s="7">
        <f>IF($D134="","",IF(OR(L134=0,J134="",IFERROR(INDEX('Challan Master'!$D$4:$D$207,MATCH($B134,'Challan Master'!$S$4:$S$207,0)),"")="",IFERROR(INDEX('Challan Master'!$D$4:$D$207,MATCH($B134,'Challan Master'!$S$4:$S$207,0)),"")&lt;=0),0,IF(IFERROR(INDEX('Challan Master'!$D$4:$D$207,MATCH($B134,'Challan Master'!$S$4:$S$207,0)),"")&lt;=DATE(YEAR(J134),MONTH(J134)+1,7),0,ROUND(L134*0.015*((YEAR(IFERROR(INDEX('Challan Master'!$D$4:$D$207,MATCH($B134,'Challan Master'!$S$4:$S$207,0)),""))-YEAR(J134))*12+(MONTH(IFERROR(INDEX('Challan Master'!$D$4:$D$207,MATCH($B134,'Challan Master'!$S$4:$S$207,0)),""))-MONTH(J134))+1),0))))</f>
      </c>
      <c r="P134" s="7">
        <f>IF($D134="","",0)</f>
      </c>
      <c r="Q134" s="8"/>
      <c r="R134" s="8"/>
      <c r="S134" s="8"/>
      <c r="T134" s="8"/>
      <c r="U134" s="8"/>
      <c r="V134" s="7">
        <f>IF($B134="","",IFERROR(INDEX('Challan Master'!$AA$4:$AA$207,MATCH($B134,'Challan Master'!$S$4:$S$207,0)),""))</f>
      </c>
    </row>
    <row r="135" spans="1:22" x14ac:dyDescent="0.25">
      <c r="A135" s="7">
        <f>IF($D135="","",COUNTIF($D$4:$D135,"&lt;&gt;"))</f>
      </c>
      <c r="B135" s="8"/>
      <c r="C135" s="7">
        <f>IF($B135="","","BSR "&amp;IFERROR(INDEX('Challan Master'!$B$4:$B$207,MATCH($B135,'Challan Master'!$S$4:$S$207,0)),"")&amp;" | Serial "&amp;IFERROR(INDEX('Challan Master'!$C$4:$C$207,MATCH($B135,'Challan Master'!$S$4:$S$207,0)),"")&amp;" | Deposit "&amp;TEXT(IFERROR(INDEX('Challan Master'!$D$4:$D$207,MATCH($B135,'Challan Master'!$S$4:$S$207,0)),""),"dd-mm-yyyy")&amp;" | Minor Head "&amp;IFERROR(INDEX('Challan Master'!$E$4:$E$207,MATCH($B135,'Challan Master'!$S$4:$S$207,0)),"")&amp;" | Tax ₹"&amp;TEXT(IFERROR(INDEX('Challan Master'!$G$4:$G$207,MATCH($B135,'Challan Master'!$S$4:$S$207,0)),""),"#,##0")&amp;" | Section "&amp;IFERROR(INDEX('Challan Master'!$F$4:$F$207,MATCH($B135,'Challan Master'!$S$4:$S$207,0)),""))</f>
      </c>
      <c r="D135" s="8"/>
      <c r="E135" s="8"/>
      <c r="F135" s="7">
        <f>IF($D135="","",IF(AND(LEN(TRIM(UPPER(E135)))=10,CODE(MID(TRIM(UPPER(E135)),1,1))&gt;=65,CODE(MID(TRIM(UPPER(E135)),1,1))&lt;=90,CODE(MID(TRIM(UPPER(E135)),2,1))&gt;=65,CODE(MID(TRIM(UPPER(E135)),2,1))&lt;=90,CODE(MID(TRIM(UPPER(E135)),3,1))&gt;=65,CODE(MID(TRIM(UPPER(E135)),3,1))&lt;=90,CODE(MID(TRIM(UPPER(E135)),4,1))&gt;=65,CODE(MID(TRIM(UPPER(E135)),4,1))&lt;=90,CODE(MID(TRIM(UPPER(E135)),5,1))&gt;=65,CODE(MID(TRIM(UPPER(E135)),5,1))&lt;=90,CODE(MID(TRIM(UPPER(E135)),10,1))&gt;=65,CODE(MID(TRIM(UPPER(E135)),10,1))&lt;=90,CODE(MID(TRIM(UPPER(E135)),6,1))&gt;=48,CODE(MID(TRIM(UPPER(E135)),6,1))&lt;=57,CODE(MID(TRIM(UPPER(E135)),7,1))&gt;=48,CODE(MID(TRIM(UPPER(E135)),7,1))&lt;=57,CODE(MID(TRIM(UPPER(E135)),8,1))&gt;=48,CODE(MID(TRIM(UPPER(E135)),8,1))&lt;=57,CODE(MID(TRIM(UPPER(E135)),9,1))&gt;=48,CODE(MID(TRIM(UPPER(E135)),9,1))&lt;=57),"N","Y"))</f>
      </c>
      <c r="G135" s="7">
        <f>IF($D135="","",IF(LEN(E135)&lt;4,"",IF(UPPER(MID(E135,4,1))="P","Individual",IF(UPPER(MID(E135,4,1))="H","HUF",IF(UPPER(MID(E135,4,1))="C","Company",IF(UPPER(MID(E135,4,1))="F","Firm",IF(UPPER(MID(E135,4,1))="L","LLP",IF(UPPER(MID(E135,4,1))="T","Trust",IF(UPPER(MID(E135,4,1))="A","AOP","")))))))))</f>
      </c>
      <c r="H135" s="8"/>
      <c r="I135" s="7">
        <f>IF($D135="","",IF(H135="","",IF(F135="Y",SUMPRODUCT(('Rate Lookup'!$A$1:$A$37=H135)*'Rate Lookup'!$D$1:$D$37),IF(OR(G135="Individual",G135="HUF"),SUMPRODUCT(('Rate Lookup'!$A$1:$A$37=H135)*'Rate Lookup'!$B$1:$B$37),SUMPRODUCT(('Rate Lookup'!$A$1:$A$37=H135)*'Rate Lookup'!$C$1:$C$37)))))</f>
      </c>
      <c r="J135" s="8"/>
      <c r="K135" s="8"/>
      <c r="L135" s="7">
        <f>IF($D135="","",ROUND(K135*I135/100,0))</f>
      </c>
      <c r="M135" s="7">
        <f>IF($D135="","",0)</f>
      </c>
      <c r="N135" s="7">
        <f>IF($D135="","",0)</f>
      </c>
      <c r="O135" s="7">
        <f>IF($D135="","",IF(OR(L135=0,J135="",IFERROR(INDEX('Challan Master'!$D$4:$D$207,MATCH($B135,'Challan Master'!$S$4:$S$207,0)),"")="",IFERROR(INDEX('Challan Master'!$D$4:$D$207,MATCH($B135,'Challan Master'!$S$4:$S$207,0)),"")&lt;=0),0,IF(IFERROR(INDEX('Challan Master'!$D$4:$D$207,MATCH($B135,'Challan Master'!$S$4:$S$207,0)),"")&lt;=DATE(YEAR(J135),MONTH(J135)+1,7),0,ROUND(L135*0.015*((YEAR(IFERROR(INDEX('Challan Master'!$D$4:$D$207,MATCH($B135,'Challan Master'!$S$4:$S$207,0)),""))-YEAR(J135))*12+(MONTH(IFERROR(INDEX('Challan Master'!$D$4:$D$207,MATCH($B135,'Challan Master'!$S$4:$S$207,0)),""))-MONTH(J135))+1),0))))</f>
      </c>
      <c r="P135" s="7">
        <f>IF($D135="","",0)</f>
      </c>
      <c r="Q135" s="8"/>
      <c r="R135" s="8"/>
      <c r="S135" s="8"/>
      <c r="T135" s="8"/>
      <c r="U135" s="8"/>
      <c r="V135" s="7">
        <f>IF($B135="","",IFERROR(INDEX('Challan Master'!$AA$4:$AA$207,MATCH($B135,'Challan Master'!$S$4:$S$207,0)),""))</f>
      </c>
    </row>
    <row r="136" spans="1:22" x14ac:dyDescent="0.25">
      <c r="A136" s="7">
        <f>IF($D136="","",COUNTIF($D$4:$D136,"&lt;&gt;"))</f>
      </c>
      <c r="B136" s="8"/>
      <c r="C136" s="7">
        <f>IF($B136="","","BSR "&amp;IFERROR(INDEX('Challan Master'!$B$4:$B$207,MATCH($B136,'Challan Master'!$S$4:$S$207,0)),"")&amp;" | Serial "&amp;IFERROR(INDEX('Challan Master'!$C$4:$C$207,MATCH($B136,'Challan Master'!$S$4:$S$207,0)),"")&amp;" | Deposit "&amp;TEXT(IFERROR(INDEX('Challan Master'!$D$4:$D$207,MATCH($B136,'Challan Master'!$S$4:$S$207,0)),""),"dd-mm-yyyy")&amp;" | Minor Head "&amp;IFERROR(INDEX('Challan Master'!$E$4:$E$207,MATCH($B136,'Challan Master'!$S$4:$S$207,0)),"")&amp;" | Tax ₹"&amp;TEXT(IFERROR(INDEX('Challan Master'!$G$4:$G$207,MATCH($B136,'Challan Master'!$S$4:$S$207,0)),""),"#,##0")&amp;" | Section "&amp;IFERROR(INDEX('Challan Master'!$F$4:$F$207,MATCH($B136,'Challan Master'!$S$4:$S$207,0)),""))</f>
      </c>
      <c r="D136" s="8"/>
      <c r="E136" s="8"/>
      <c r="F136" s="7">
        <f>IF($D136="","",IF(AND(LEN(TRIM(UPPER(E136)))=10,CODE(MID(TRIM(UPPER(E136)),1,1))&gt;=65,CODE(MID(TRIM(UPPER(E136)),1,1))&lt;=90,CODE(MID(TRIM(UPPER(E136)),2,1))&gt;=65,CODE(MID(TRIM(UPPER(E136)),2,1))&lt;=90,CODE(MID(TRIM(UPPER(E136)),3,1))&gt;=65,CODE(MID(TRIM(UPPER(E136)),3,1))&lt;=90,CODE(MID(TRIM(UPPER(E136)),4,1))&gt;=65,CODE(MID(TRIM(UPPER(E136)),4,1))&lt;=90,CODE(MID(TRIM(UPPER(E136)),5,1))&gt;=65,CODE(MID(TRIM(UPPER(E136)),5,1))&lt;=90,CODE(MID(TRIM(UPPER(E136)),10,1))&gt;=65,CODE(MID(TRIM(UPPER(E136)),10,1))&lt;=90,CODE(MID(TRIM(UPPER(E136)),6,1))&gt;=48,CODE(MID(TRIM(UPPER(E136)),6,1))&lt;=57,CODE(MID(TRIM(UPPER(E136)),7,1))&gt;=48,CODE(MID(TRIM(UPPER(E136)),7,1))&lt;=57,CODE(MID(TRIM(UPPER(E136)),8,1))&gt;=48,CODE(MID(TRIM(UPPER(E136)),8,1))&lt;=57,CODE(MID(TRIM(UPPER(E136)),9,1))&gt;=48,CODE(MID(TRIM(UPPER(E136)),9,1))&lt;=57),"N","Y"))</f>
      </c>
      <c r="G136" s="7">
        <f>IF($D136="","",IF(LEN(E136)&lt;4,"",IF(UPPER(MID(E136,4,1))="P","Individual",IF(UPPER(MID(E136,4,1))="H","HUF",IF(UPPER(MID(E136,4,1))="C","Company",IF(UPPER(MID(E136,4,1))="F","Firm",IF(UPPER(MID(E136,4,1))="L","LLP",IF(UPPER(MID(E136,4,1))="T","Trust",IF(UPPER(MID(E136,4,1))="A","AOP","")))))))))</f>
      </c>
      <c r="H136" s="8"/>
      <c r="I136" s="7">
        <f>IF($D136="","",IF(H136="","",IF(F136="Y",SUMPRODUCT(('Rate Lookup'!$A$1:$A$37=H136)*'Rate Lookup'!$D$1:$D$37),IF(OR(G136="Individual",G136="HUF"),SUMPRODUCT(('Rate Lookup'!$A$1:$A$37=H136)*'Rate Lookup'!$B$1:$B$37),SUMPRODUCT(('Rate Lookup'!$A$1:$A$37=H136)*'Rate Lookup'!$C$1:$C$37)))))</f>
      </c>
      <c r="J136" s="8"/>
      <c r="K136" s="8"/>
      <c r="L136" s="7">
        <f>IF($D136="","",ROUND(K136*I136/100,0))</f>
      </c>
      <c r="M136" s="7">
        <f>IF($D136="","",0)</f>
      </c>
      <c r="N136" s="7">
        <f>IF($D136="","",0)</f>
      </c>
      <c r="O136" s="7">
        <f>IF($D136="","",IF(OR(L136=0,J136="",IFERROR(INDEX('Challan Master'!$D$4:$D$207,MATCH($B136,'Challan Master'!$S$4:$S$207,0)),"")="",IFERROR(INDEX('Challan Master'!$D$4:$D$207,MATCH($B136,'Challan Master'!$S$4:$S$207,0)),"")&lt;=0),0,IF(IFERROR(INDEX('Challan Master'!$D$4:$D$207,MATCH($B136,'Challan Master'!$S$4:$S$207,0)),"")&lt;=DATE(YEAR(J136),MONTH(J136)+1,7),0,ROUND(L136*0.015*((YEAR(IFERROR(INDEX('Challan Master'!$D$4:$D$207,MATCH($B136,'Challan Master'!$S$4:$S$207,0)),""))-YEAR(J136))*12+(MONTH(IFERROR(INDEX('Challan Master'!$D$4:$D$207,MATCH($B136,'Challan Master'!$S$4:$S$207,0)),""))-MONTH(J136))+1),0))))</f>
      </c>
      <c r="P136" s="7">
        <f>IF($D136="","",0)</f>
      </c>
      <c r="Q136" s="8"/>
      <c r="R136" s="8"/>
      <c r="S136" s="8"/>
      <c r="T136" s="8"/>
      <c r="U136" s="8"/>
      <c r="V136" s="7">
        <f>IF($B136="","",IFERROR(INDEX('Challan Master'!$AA$4:$AA$207,MATCH($B136,'Challan Master'!$S$4:$S$207,0)),""))</f>
      </c>
    </row>
    <row r="137" spans="1:22" x14ac:dyDescent="0.25">
      <c r="A137" s="7">
        <f>IF($D137="","",COUNTIF($D$4:$D137,"&lt;&gt;"))</f>
      </c>
      <c r="B137" s="8"/>
      <c r="C137" s="7">
        <f>IF($B137="","","BSR "&amp;IFERROR(INDEX('Challan Master'!$B$4:$B$207,MATCH($B137,'Challan Master'!$S$4:$S$207,0)),"")&amp;" | Serial "&amp;IFERROR(INDEX('Challan Master'!$C$4:$C$207,MATCH($B137,'Challan Master'!$S$4:$S$207,0)),"")&amp;" | Deposit "&amp;TEXT(IFERROR(INDEX('Challan Master'!$D$4:$D$207,MATCH($B137,'Challan Master'!$S$4:$S$207,0)),""),"dd-mm-yyyy")&amp;" | Minor Head "&amp;IFERROR(INDEX('Challan Master'!$E$4:$E$207,MATCH($B137,'Challan Master'!$S$4:$S$207,0)),"")&amp;" | Tax ₹"&amp;TEXT(IFERROR(INDEX('Challan Master'!$G$4:$G$207,MATCH($B137,'Challan Master'!$S$4:$S$207,0)),""),"#,##0")&amp;" | Section "&amp;IFERROR(INDEX('Challan Master'!$F$4:$F$207,MATCH($B137,'Challan Master'!$S$4:$S$207,0)),""))</f>
      </c>
      <c r="D137" s="8"/>
      <c r="E137" s="8"/>
      <c r="F137" s="7">
        <f>IF($D137="","",IF(AND(LEN(TRIM(UPPER(E137)))=10,CODE(MID(TRIM(UPPER(E137)),1,1))&gt;=65,CODE(MID(TRIM(UPPER(E137)),1,1))&lt;=90,CODE(MID(TRIM(UPPER(E137)),2,1))&gt;=65,CODE(MID(TRIM(UPPER(E137)),2,1))&lt;=90,CODE(MID(TRIM(UPPER(E137)),3,1))&gt;=65,CODE(MID(TRIM(UPPER(E137)),3,1))&lt;=90,CODE(MID(TRIM(UPPER(E137)),4,1))&gt;=65,CODE(MID(TRIM(UPPER(E137)),4,1))&lt;=90,CODE(MID(TRIM(UPPER(E137)),5,1))&gt;=65,CODE(MID(TRIM(UPPER(E137)),5,1))&lt;=90,CODE(MID(TRIM(UPPER(E137)),10,1))&gt;=65,CODE(MID(TRIM(UPPER(E137)),10,1))&lt;=90,CODE(MID(TRIM(UPPER(E137)),6,1))&gt;=48,CODE(MID(TRIM(UPPER(E137)),6,1))&lt;=57,CODE(MID(TRIM(UPPER(E137)),7,1))&gt;=48,CODE(MID(TRIM(UPPER(E137)),7,1))&lt;=57,CODE(MID(TRIM(UPPER(E137)),8,1))&gt;=48,CODE(MID(TRIM(UPPER(E137)),8,1))&lt;=57,CODE(MID(TRIM(UPPER(E137)),9,1))&gt;=48,CODE(MID(TRIM(UPPER(E137)),9,1))&lt;=57),"N","Y"))</f>
      </c>
      <c r="G137" s="7">
        <f>IF($D137="","",IF(LEN(E137)&lt;4,"",IF(UPPER(MID(E137,4,1))="P","Individual",IF(UPPER(MID(E137,4,1))="H","HUF",IF(UPPER(MID(E137,4,1))="C","Company",IF(UPPER(MID(E137,4,1))="F","Firm",IF(UPPER(MID(E137,4,1))="L","LLP",IF(UPPER(MID(E137,4,1))="T","Trust",IF(UPPER(MID(E137,4,1))="A","AOP","")))))))))</f>
      </c>
      <c r="H137" s="8"/>
      <c r="I137" s="7">
        <f>IF($D137="","",IF(H137="","",IF(F137="Y",SUMPRODUCT(('Rate Lookup'!$A$1:$A$37=H137)*'Rate Lookup'!$D$1:$D$37),IF(OR(G137="Individual",G137="HUF"),SUMPRODUCT(('Rate Lookup'!$A$1:$A$37=H137)*'Rate Lookup'!$B$1:$B$37),SUMPRODUCT(('Rate Lookup'!$A$1:$A$37=H137)*'Rate Lookup'!$C$1:$C$37)))))</f>
      </c>
      <c r="J137" s="8"/>
      <c r="K137" s="8"/>
      <c r="L137" s="7">
        <f>IF($D137="","",ROUND(K137*I137/100,0))</f>
      </c>
      <c r="M137" s="7">
        <f>IF($D137="","",0)</f>
      </c>
      <c r="N137" s="7">
        <f>IF($D137="","",0)</f>
      </c>
      <c r="O137" s="7">
        <f>IF($D137="","",IF(OR(L137=0,J137="",IFERROR(INDEX('Challan Master'!$D$4:$D$207,MATCH($B137,'Challan Master'!$S$4:$S$207,0)),"")="",IFERROR(INDEX('Challan Master'!$D$4:$D$207,MATCH($B137,'Challan Master'!$S$4:$S$207,0)),"")&lt;=0),0,IF(IFERROR(INDEX('Challan Master'!$D$4:$D$207,MATCH($B137,'Challan Master'!$S$4:$S$207,0)),"")&lt;=DATE(YEAR(J137),MONTH(J137)+1,7),0,ROUND(L137*0.015*((YEAR(IFERROR(INDEX('Challan Master'!$D$4:$D$207,MATCH($B137,'Challan Master'!$S$4:$S$207,0)),""))-YEAR(J137))*12+(MONTH(IFERROR(INDEX('Challan Master'!$D$4:$D$207,MATCH($B137,'Challan Master'!$S$4:$S$207,0)),""))-MONTH(J137))+1),0))))</f>
      </c>
      <c r="P137" s="7">
        <f>IF($D137="","",0)</f>
      </c>
      <c r="Q137" s="8"/>
      <c r="R137" s="8"/>
      <c r="S137" s="8"/>
      <c r="T137" s="8"/>
      <c r="U137" s="8"/>
      <c r="V137" s="7">
        <f>IF($B137="","",IFERROR(INDEX('Challan Master'!$AA$4:$AA$207,MATCH($B137,'Challan Master'!$S$4:$S$207,0)),""))</f>
      </c>
    </row>
    <row r="138" spans="1:22" x14ac:dyDescent="0.25">
      <c r="A138" s="7">
        <f>IF($D138="","",COUNTIF($D$4:$D138,"&lt;&gt;"))</f>
      </c>
      <c r="B138" s="8"/>
      <c r="C138" s="7">
        <f>IF($B138="","","BSR "&amp;IFERROR(INDEX('Challan Master'!$B$4:$B$207,MATCH($B138,'Challan Master'!$S$4:$S$207,0)),"")&amp;" | Serial "&amp;IFERROR(INDEX('Challan Master'!$C$4:$C$207,MATCH($B138,'Challan Master'!$S$4:$S$207,0)),"")&amp;" | Deposit "&amp;TEXT(IFERROR(INDEX('Challan Master'!$D$4:$D$207,MATCH($B138,'Challan Master'!$S$4:$S$207,0)),""),"dd-mm-yyyy")&amp;" | Minor Head "&amp;IFERROR(INDEX('Challan Master'!$E$4:$E$207,MATCH($B138,'Challan Master'!$S$4:$S$207,0)),"")&amp;" | Tax ₹"&amp;TEXT(IFERROR(INDEX('Challan Master'!$G$4:$G$207,MATCH($B138,'Challan Master'!$S$4:$S$207,0)),""),"#,##0")&amp;" | Section "&amp;IFERROR(INDEX('Challan Master'!$F$4:$F$207,MATCH($B138,'Challan Master'!$S$4:$S$207,0)),""))</f>
      </c>
      <c r="D138" s="8"/>
      <c r="E138" s="8"/>
      <c r="F138" s="7">
        <f>IF($D138="","",IF(AND(LEN(TRIM(UPPER(E138)))=10,CODE(MID(TRIM(UPPER(E138)),1,1))&gt;=65,CODE(MID(TRIM(UPPER(E138)),1,1))&lt;=90,CODE(MID(TRIM(UPPER(E138)),2,1))&gt;=65,CODE(MID(TRIM(UPPER(E138)),2,1))&lt;=90,CODE(MID(TRIM(UPPER(E138)),3,1))&gt;=65,CODE(MID(TRIM(UPPER(E138)),3,1))&lt;=90,CODE(MID(TRIM(UPPER(E138)),4,1))&gt;=65,CODE(MID(TRIM(UPPER(E138)),4,1))&lt;=90,CODE(MID(TRIM(UPPER(E138)),5,1))&gt;=65,CODE(MID(TRIM(UPPER(E138)),5,1))&lt;=90,CODE(MID(TRIM(UPPER(E138)),10,1))&gt;=65,CODE(MID(TRIM(UPPER(E138)),10,1))&lt;=90,CODE(MID(TRIM(UPPER(E138)),6,1))&gt;=48,CODE(MID(TRIM(UPPER(E138)),6,1))&lt;=57,CODE(MID(TRIM(UPPER(E138)),7,1))&gt;=48,CODE(MID(TRIM(UPPER(E138)),7,1))&lt;=57,CODE(MID(TRIM(UPPER(E138)),8,1))&gt;=48,CODE(MID(TRIM(UPPER(E138)),8,1))&lt;=57,CODE(MID(TRIM(UPPER(E138)),9,1))&gt;=48,CODE(MID(TRIM(UPPER(E138)),9,1))&lt;=57),"N","Y"))</f>
      </c>
      <c r="G138" s="7">
        <f>IF($D138="","",IF(LEN(E138)&lt;4,"",IF(UPPER(MID(E138,4,1))="P","Individual",IF(UPPER(MID(E138,4,1))="H","HUF",IF(UPPER(MID(E138,4,1))="C","Company",IF(UPPER(MID(E138,4,1))="F","Firm",IF(UPPER(MID(E138,4,1))="L","LLP",IF(UPPER(MID(E138,4,1))="T","Trust",IF(UPPER(MID(E138,4,1))="A","AOP","")))))))))</f>
      </c>
      <c r="H138" s="8"/>
      <c r="I138" s="7">
        <f>IF($D138="","",IF(H138="","",IF(F138="Y",SUMPRODUCT(('Rate Lookup'!$A$1:$A$37=H138)*'Rate Lookup'!$D$1:$D$37),IF(OR(G138="Individual",G138="HUF"),SUMPRODUCT(('Rate Lookup'!$A$1:$A$37=H138)*'Rate Lookup'!$B$1:$B$37),SUMPRODUCT(('Rate Lookup'!$A$1:$A$37=H138)*'Rate Lookup'!$C$1:$C$37)))))</f>
      </c>
      <c r="J138" s="8"/>
      <c r="K138" s="8"/>
      <c r="L138" s="7">
        <f>IF($D138="","",ROUND(K138*I138/100,0))</f>
      </c>
      <c r="M138" s="7">
        <f>IF($D138="","",0)</f>
      </c>
      <c r="N138" s="7">
        <f>IF($D138="","",0)</f>
      </c>
      <c r="O138" s="7">
        <f>IF($D138="","",IF(OR(L138=0,J138="",IFERROR(INDEX('Challan Master'!$D$4:$D$207,MATCH($B138,'Challan Master'!$S$4:$S$207,0)),"")="",IFERROR(INDEX('Challan Master'!$D$4:$D$207,MATCH($B138,'Challan Master'!$S$4:$S$207,0)),"")&lt;=0),0,IF(IFERROR(INDEX('Challan Master'!$D$4:$D$207,MATCH($B138,'Challan Master'!$S$4:$S$207,0)),"")&lt;=DATE(YEAR(J138),MONTH(J138)+1,7),0,ROUND(L138*0.015*((YEAR(IFERROR(INDEX('Challan Master'!$D$4:$D$207,MATCH($B138,'Challan Master'!$S$4:$S$207,0)),""))-YEAR(J138))*12+(MONTH(IFERROR(INDEX('Challan Master'!$D$4:$D$207,MATCH($B138,'Challan Master'!$S$4:$S$207,0)),""))-MONTH(J138))+1),0))))</f>
      </c>
      <c r="P138" s="7">
        <f>IF($D138="","",0)</f>
      </c>
      <c r="Q138" s="8"/>
      <c r="R138" s="8"/>
      <c r="S138" s="8"/>
      <c r="T138" s="8"/>
      <c r="U138" s="8"/>
      <c r="V138" s="7">
        <f>IF($B138="","",IFERROR(INDEX('Challan Master'!$AA$4:$AA$207,MATCH($B138,'Challan Master'!$S$4:$S$207,0)),""))</f>
      </c>
    </row>
    <row r="139" spans="1:22" x14ac:dyDescent="0.25">
      <c r="A139" s="7">
        <f>IF($D139="","",COUNTIF($D$4:$D139,"&lt;&gt;"))</f>
      </c>
      <c r="B139" s="8"/>
      <c r="C139" s="7">
        <f>IF($B139="","","BSR "&amp;IFERROR(INDEX('Challan Master'!$B$4:$B$207,MATCH($B139,'Challan Master'!$S$4:$S$207,0)),"")&amp;" | Serial "&amp;IFERROR(INDEX('Challan Master'!$C$4:$C$207,MATCH($B139,'Challan Master'!$S$4:$S$207,0)),"")&amp;" | Deposit "&amp;TEXT(IFERROR(INDEX('Challan Master'!$D$4:$D$207,MATCH($B139,'Challan Master'!$S$4:$S$207,0)),""),"dd-mm-yyyy")&amp;" | Minor Head "&amp;IFERROR(INDEX('Challan Master'!$E$4:$E$207,MATCH($B139,'Challan Master'!$S$4:$S$207,0)),"")&amp;" | Tax ₹"&amp;TEXT(IFERROR(INDEX('Challan Master'!$G$4:$G$207,MATCH($B139,'Challan Master'!$S$4:$S$207,0)),""),"#,##0")&amp;" | Section "&amp;IFERROR(INDEX('Challan Master'!$F$4:$F$207,MATCH($B139,'Challan Master'!$S$4:$S$207,0)),""))</f>
      </c>
      <c r="D139" s="8"/>
      <c r="E139" s="8"/>
      <c r="F139" s="7">
        <f>IF($D139="","",IF(AND(LEN(TRIM(UPPER(E139)))=10,CODE(MID(TRIM(UPPER(E139)),1,1))&gt;=65,CODE(MID(TRIM(UPPER(E139)),1,1))&lt;=90,CODE(MID(TRIM(UPPER(E139)),2,1))&gt;=65,CODE(MID(TRIM(UPPER(E139)),2,1))&lt;=90,CODE(MID(TRIM(UPPER(E139)),3,1))&gt;=65,CODE(MID(TRIM(UPPER(E139)),3,1))&lt;=90,CODE(MID(TRIM(UPPER(E139)),4,1))&gt;=65,CODE(MID(TRIM(UPPER(E139)),4,1))&lt;=90,CODE(MID(TRIM(UPPER(E139)),5,1))&gt;=65,CODE(MID(TRIM(UPPER(E139)),5,1))&lt;=90,CODE(MID(TRIM(UPPER(E139)),10,1))&gt;=65,CODE(MID(TRIM(UPPER(E139)),10,1))&lt;=90,CODE(MID(TRIM(UPPER(E139)),6,1))&gt;=48,CODE(MID(TRIM(UPPER(E139)),6,1))&lt;=57,CODE(MID(TRIM(UPPER(E139)),7,1))&gt;=48,CODE(MID(TRIM(UPPER(E139)),7,1))&lt;=57,CODE(MID(TRIM(UPPER(E139)),8,1))&gt;=48,CODE(MID(TRIM(UPPER(E139)),8,1))&lt;=57,CODE(MID(TRIM(UPPER(E139)),9,1))&gt;=48,CODE(MID(TRIM(UPPER(E139)),9,1))&lt;=57),"N","Y"))</f>
      </c>
      <c r="G139" s="7">
        <f>IF($D139="","",IF(LEN(E139)&lt;4,"",IF(UPPER(MID(E139,4,1))="P","Individual",IF(UPPER(MID(E139,4,1))="H","HUF",IF(UPPER(MID(E139,4,1))="C","Company",IF(UPPER(MID(E139,4,1))="F","Firm",IF(UPPER(MID(E139,4,1))="L","LLP",IF(UPPER(MID(E139,4,1))="T","Trust",IF(UPPER(MID(E139,4,1))="A","AOP","")))))))))</f>
      </c>
      <c r="H139" s="8"/>
      <c r="I139" s="7">
        <f>IF($D139="","",IF(H139="","",IF(F139="Y",SUMPRODUCT(('Rate Lookup'!$A$1:$A$37=H139)*'Rate Lookup'!$D$1:$D$37),IF(OR(G139="Individual",G139="HUF"),SUMPRODUCT(('Rate Lookup'!$A$1:$A$37=H139)*'Rate Lookup'!$B$1:$B$37),SUMPRODUCT(('Rate Lookup'!$A$1:$A$37=H139)*'Rate Lookup'!$C$1:$C$37)))))</f>
      </c>
      <c r="J139" s="8"/>
      <c r="K139" s="8"/>
      <c r="L139" s="7">
        <f>IF($D139="","",ROUND(K139*I139/100,0))</f>
      </c>
      <c r="M139" s="7">
        <f>IF($D139="","",0)</f>
      </c>
      <c r="N139" s="7">
        <f>IF($D139="","",0)</f>
      </c>
      <c r="O139" s="7">
        <f>IF($D139="","",IF(OR(L139=0,J139="",IFERROR(INDEX('Challan Master'!$D$4:$D$207,MATCH($B139,'Challan Master'!$S$4:$S$207,0)),"")="",IFERROR(INDEX('Challan Master'!$D$4:$D$207,MATCH($B139,'Challan Master'!$S$4:$S$207,0)),"")&lt;=0),0,IF(IFERROR(INDEX('Challan Master'!$D$4:$D$207,MATCH($B139,'Challan Master'!$S$4:$S$207,0)),"")&lt;=DATE(YEAR(J139),MONTH(J139)+1,7),0,ROUND(L139*0.015*((YEAR(IFERROR(INDEX('Challan Master'!$D$4:$D$207,MATCH($B139,'Challan Master'!$S$4:$S$207,0)),""))-YEAR(J139))*12+(MONTH(IFERROR(INDEX('Challan Master'!$D$4:$D$207,MATCH($B139,'Challan Master'!$S$4:$S$207,0)),""))-MONTH(J139))+1),0))))</f>
      </c>
      <c r="P139" s="7">
        <f>IF($D139="","",0)</f>
      </c>
      <c r="Q139" s="8"/>
      <c r="R139" s="8"/>
      <c r="S139" s="8"/>
      <c r="T139" s="8"/>
      <c r="U139" s="8"/>
      <c r="V139" s="7">
        <f>IF($B139="","",IFERROR(INDEX('Challan Master'!$AA$4:$AA$207,MATCH($B139,'Challan Master'!$S$4:$S$207,0)),""))</f>
      </c>
    </row>
    <row r="140" spans="1:22" x14ac:dyDescent="0.25">
      <c r="A140" s="7">
        <f>IF($D140="","",COUNTIF($D$4:$D140,"&lt;&gt;"))</f>
      </c>
      <c r="B140" s="8"/>
      <c r="C140" s="7">
        <f>IF($B140="","","BSR "&amp;IFERROR(INDEX('Challan Master'!$B$4:$B$207,MATCH($B140,'Challan Master'!$S$4:$S$207,0)),"")&amp;" | Serial "&amp;IFERROR(INDEX('Challan Master'!$C$4:$C$207,MATCH($B140,'Challan Master'!$S$4:$S$207,0)),"")&amp;" | Deposit "&amp;TEXT(IFERROR(INDEX('Challan Master'!$D$4:$D$207,MATCH($B140,'Challan Master'!$S$4:$S$207,0)),""),"dd-mm-yyyy")&amp;" | Minor Head "&amp;IFERROR(INDEX('Challan Master'!$E$4:$E$207,MATCH($B140,'Challan Master'!$S$4:$S$207,0)),"")&amp;" | Tax ₹"&amp;TEXT(IFERROR(INDEX('Challan Master'!$G$4:$G$207,MATCH($B140,'Challan Master'!$S$4:$S$207,0)),""),"#,##0")&amp;" | Section "&amp;IFERROR(INDEX('Challan Master'!$F$4:$F$207,MATCH($B140,'Challan Master'!$S$4:$S$207,0)),""))</f>
      </c>
      <c r="D140" s="8"/>
      <c r="E140" s="8"/>
      <c r="F140" s="7">
        <f>IF($D140="","",IF(AND(LEN(TRIM(UPPER(E140)))=10,CODE(MID(TRIM(UPPER(E140)),1,1))&gt;=65,CODE(MID(TRIM(UPPER(E140)),1,1))&lt;=90,CODE(MID(TRIM(UPPER(E140)),2,1))&gt;=65,CODE(MID(TRIM(UPPER(E140)),2,1))&lt;=90,CODE(MID(TRIM(UPPER(E140)),3,1))&gt;=65,CODE(MID(TRIM(UPPER(E140)),3,1))&lt;=90,CODE(MID(TRIM(UPPER(E140)),4,1))&gt;=65,CODE(MID(TRIM(UPPER(E140)),4,1))&lt;=90,CODE(MID(TRIM(UPPER(E140)),5,1))&gt;=65,CODE(MID(TRIM(UPPER(E140)),5,1))&lt;=90,CODE(MID(TRIM(UPPER(E140)),10,1))&gt;=65,CODE(MID(TRIM(UPPER(E140)),10,1))&lt;=90,CODE(MID(TRIM(UPPER(E140)),6,1))&gt;=48,CODE(MID(TRIM(UPPER(E140)),6,1))&lt;=57,CODE(MID(TRIM(UPPER(E140)),7,1))&gt;=48,CODE(MID(TRIM(UPPER(E140)),7,1))&lt;=57,CODE(MID(TRIM(UPPER(E140)),8,1))&gt;=48,CODE(MID(TRIM(UPPER(E140)),8,1))&lt;=57,CODE(MID(TRIM(UPPER(E140)),9,1))&gt;=48,CODE(MID(TRIM(UPPER(E140)),9,1))&lt;=57),"N","Y"))</f>
      </c>
      <c r="G140" s="7">
        <f>IF($D140="","",IF(LEN(E140)&lt;4,"",IF(UPPER(MID(E140,4,1))="P","Individual",IF(UPPER(MID(E140,4,1))="H","HUF",IF(UPPER(MID(E140,4,1))="C","Company",IF(UPPER(MID(E140,4,1))="F","Firm",IF(UPPER(MID(E140,4,1))="L","LLP",IF(UPPER(MID(E140,4,1))="T","Trust",IF(UPPER(MID(E140,4,1))="A","AOP","")))))))))</f>
      </c>
      <c r="H140" s="8"/>
      <c r="I140" s="7">
        <f>IF($D140="","",IF(H140="","",IF(F140="Y",SUMPRODUCT(('Rate Lookup'!$A$1:$A$37=H140)*'Rate Lookup'!$D$1:$D$37),IF(OR(G140="Individual",G140="HUF"),SUMPRODUCT(('Rate Lookup'!$A$1:$A$37=H140)*'Rate Lookup'!$B$1:$B$37),SUMPRODUCT(('Rate Lookup'!$A$1:$A$37=H140)*'Rate Lookup'!$C$1:$C$37)))))</f>
      </c>
      <c r="J140" s="8"/>
      <c r="K140" s="8"/>
      <c r="L140" s="7">
        <f>IF($D140="","",ROUND(K140*I140/100,0))</f>
      </c>
      <c r="M140" s="7">
        <f>IF($D140="","",0)</f>
      </c>
      <c r="N140" s="7">
        <f>IF($D140="","",0)</f>
      </c>
      <c r="O140" s="7">
        <f>IF($D140="","",IF(OR(L140=0,J140="",IFERROR(INDEX('Challan Master'!$D$4:$D$207,MATCH($B140,'Challan Master'!$S$4:$S$207,0)),"")="",IFERROR(INDEX('Challan Master'!$D$4:$D$207,MATCH($B140,'Challan Master'!$S$4:$S$207,0)),"")&lt;=0),0,IF(IFERROR(INDEX('Challan Master'!$D$4:$D$207,MATCH($B140,'Challan Master'!$S$4:$S$207,0)),"")&lt;=DATE(YEAR(J140),MONTH(J140)+1,7),0,ROUND(L140*0.015*((YEAR(IFERROR(INDEX('Challan Master'!$D$4:$D$207,MATCH($B140,'Challan Master'!$S$4:$S$207,0)),""))-YEAR(J140))*12+(MONTH(IFERROR(INDEX('Challan Master'!$D$4:$D$207,MATCH($B140,'Challan Master'!$S$4:$S$207,0)),""))-MONTH(J140))+1),0))))</f>
      </c>
      <c r="P140" s="7">
        <f>IF($D140="","",0)</f>
      </c>
      <c r="Q140" s="8"/>
      <c r="R140" s="8"/>
      <c r="S140" s="8"/>
      <c r="T140" s="8"/>
      <c r="U140" s="8"/>
      <c r="V140" s="7">
        <f>IF($B140="","",IFERROR(INDEX('Challan Master'!$AA$4:$AA$207,MATCH($B140,'Challan Master'!$S$4:$S$207,0)),""))</f>
      </c>
    </row>
    <row r="141" spans="1:22" x14ac:dyDescent="0.25">
      <c r="A141" s="7">
        <f>IF($D141="","",COUNTIF($D$4:$D141,"&lt;&gt;"))</f>
      </c>
      <c r="B141" s="8"/>
      <c r="C141" s="7">
        <f>IF($B141="","","BSR "&amp;IFERROR(INDEX('Challan Master'!$B$4:$B$207,MATCH($B141,'Challan Master'!$S$4:$S$207,0)),"")&amp;" | Serial "&amp;IFERROR(INDEX('Challan Master'!$C$4:$C$207,MATCH($B141,'Challan Master'!$S$4:$S$207,0)),"")&amp;" | Deposit "&amp;TEXT(IFERROR(INDEX('Challan Master'!$D$4:$D$207,MATCH($B141,'Challan Master'!$S$4:$S$207,0)),""),"dd-mm-yyyy")&amp;" | Minor Head "&amp;IFERROR(INDEX('Challan Master'!$E$4:$E$207,MATCH($B141,'Challan Master'!$S$4:$S$207,0)),"")&amp;" | Tax ₹"&amp;TEXT(IFERROR(INDEX('Challan Master'!$G$4:$G$207,MATCH($B141,'Challan Master'!$S$4:$S$207,0)),""),"#,##0")&amp;" | Section "&amp;IFERROR(INDEX('Challan Master'!$F$4:$F$207,MATCH($B141,'Challan Master'!$S$4:$S$207,0)),""))</f>
      </c>
      <c r="D141" s="8"/>
      <c r="E141" s="8"/>
      <c r="F141" s="7">
        <f>IF($D141="","",IF(AND(LEN(TRIM(UPPER(E141)))=10,CODE(MID(TRIM(UPPER(E141)),1,1))&gt;=65,CODE(MID(TRIM(UPPER(E141)),1,1))&lt;=90,CODE(MID(TRIM(UPPER(E141)),2,1))&gt;=65,CODE(MID(TRIM(UPPER(E141)),2,1))&lt;=90,CODE(MID(TRIM(UPPER(E141)),3,1))&gt;=65,CODE(MID(TRIM(UPPER(E141)),3,1))&lt;=90,CODE(MID(TRIM(UPPER(E141)),4,1))&gt;=65,CODE(MID(TRIM(UPPER(E141)),4,1))&lt;=90,CODE(MID(TRIM(UPPER(E141)),5,1))&gt;=65,CODE(MID(TRIM(UPPER(E141)),5,1))&lt;=90,CODE(MID(TRIM(UPPER(E141)),10,1))&gt;=65,CODE(MID(TRIM(UPPER(E141)),10,1))&lt;=90,CODE(MID(TRIM(UPPER(E141)),6,1))&gt;=48,CODE(MID(TRIM(UPPER(E141)),6,1))&lt;=57,CODE(MID(TRIM(UPPER(E141)),7,1))&gt;=48,CODE(MID(TRIM(UPPER(E141)),7,1))&lt;=57,CODE(MID(TRIM(UPPER(E141)),8,1))&gt;=48,CODE(MID(TRIM(UPPER(E141)),8,1))&lt;=57,CODE(MID(TRIM(UPPER(E141)),9,1))&gt;=48,CODE(MID(TRIM(UPPER(E141)),9,1))&lt;=57),"N","Y"))</f>
      </c>
      <c r="G141" s="7">
        <f>IF($D141="","",IF(LEN(E141)&lt;4,"",IF(UPPER(MID(E141,4,1))="P","Individual",IF(UPPER(MID(E141,4,1))="H","HUF",IF(UPPER(MID(E141,4,1))="C","Company",IF(UPPER(MID(E141,4,1))="F","Firm",IF(UPPER(MID(E141,4,1))="L","LLP",IF(UPPER(MID(E141,4,1))="T","Trust",IF(UPPER(MID(E141,4,1))="A","AOP","")))))))))</f>
      </c>
      <c r="H141" s="8"/>
      <c r="I141" s="7">
        <f>IF($D141="","",IF(H141="","",IF(F141="Y",SUMPRODUCT(('Rate Lookup'!$A$1:$A$37=H141)*'Rate Lookup'!$D$1:$D$37),IF(OR(G141="Individual",G141="HUF"),SUMPRODUCT(('Rate Lookup'!$A$1:$A$37=H141)*'Rate Lookup'!$B$1:$B$37),SUMPRODUCT(('Rate Lookup'!$A$1:$A$37=H141)*'Rate Lookup'!$C$1:$C$37)))))</f>
      </c>
      <c r="J141" s="8"/>
      <c r="K141" s="8"/>
      <c r="L141" s="7">
        <f>IF($D141="","",ROUND(K141*I141/100,0))</f>
      </c>
      <c r="M141" s="7">
        <f>IF($D141="","",0)</f>
      </c>
      <c r="N141" s="7">
        <f>IF($D141="","",0)</f>
      </c>
      <c r="O141" s="7">
        <f>IF($D141="","",IF(OR(L141=0,J141="",IFERROR(INDEX('Challan Master'!$D$4:$D$207,MATCH($B141,'Challan Master'!$S$4:$S$207,0)),"")="",IFERROR(INDEX('Challan Master'!$D$4:$D$207,MATCH($B141,'Challan Master'!$S$4:$S$207,0)),"")&lt;=0),0,IF(IFERROR(INDEX('Challan Master'!$D$4:$D$207,MATCH($B141,'Challan Master'!$S$4:$S$207,0)),"")&lt;=DATE(YEAR(J141),MONTH(J141)+1,7),0,ROUND(L141*0.015*((YEAR(IFERROR(INDEX('Challan Master'!$D$4:$D$207,MATCH($B141,'Challan Master'!$S$4:$S$207,0)),""))-YEAR(J141))*12+(MONTH(IFERROR(INDEX('Challan Master'!$D$4:$D$207,MATCH($B141,'Challan Master'!$S$4:$S$207,0)),""))-MONTH(J141))+1),0))))</f>
      </c>
      <c r="P141" s="7">
        <f>IF($D141="","",0)</f>
      </c>
      <c r="Q141" s="8"/>
      <c r="R141" s="8"/>
      <c r="S141" s="8"/>
      <c r="T141" s="8"/>
      <c r="U141" s="8"/>
      <c r="V141" s="7">
        <f>IF($B141="","",IFERROR(INDEX('Challan Master'!$AA$4:$AA$207,MATCH($B141,'Challan Master'!$S$4:$S$207,0)),""))</f>
      </c>
    </row>
    <row r="142" spans="1:22" x14ac:dyDescent="0.25">
      <c r="A142" s="7">
        <f>IF($D142="","",COUNTIF($D$4:$D142,"&lt;&gt;"))</f>
      </c>
      <c r="B142" s="8"/>
      <c r="C142" s="7">
        <f>IF($B142="","","BSR "&amp;IFERROR(INDEX('Challan Master'!$B$4:$B$207,MATCH($B142,'Challan Master'!$S$4:$S$207,0)),"")&amp;" | Serial "&amp;IFERROR(INDEX('Challan Master'!$C$4:$C$207,MATCH($B142,'Challan Master'!$S$4:$S$207,0)),"")&amp;" | Deposit "&amp;TEXT(IFERROR(INDEX('Challan Master'!$D$4:$D$207,MATCH($B142,'Challan Master'!$S$4:$S$207,0)),""),"dd-mm-yyyy")&amp;" | Minor Head "&amp;IFERROR(INDEX('Challan Master'!$E$4:$E$207,MATCH($B142,'Challan Master'!$S$4:$S$207,0)),"")&amp;" | Tax ₹"&amp;TEXT(IFERROR(INDEX('Challan Master'!$G$4:$G$207,MATCH($B142,'Challan Master'!$S$4:$S$207,0)),""),"#,##0")&amp;" | Section "&amp;IFERROR(INDEX('Challan Master'!$F$4:$F$207,MATCH($B142,'Challan Master'!$S$4:$S$207,0)),""))</f>
      </c>
      <c r="D142" s="8"/>
      <c r="E142" s="8"/>
      <c r="F142" s="7">
        <f>IF($D142="","",IF(AND(LEN(TRIM(UPPER(E142)))=10,CODE(MID(TRIM(UPPER(E142)),1,1))&gt;=65,CODE(MID(TRIM(UPPER(E142)),1,1))&lt;=90,CODE(MID(TRIM(UPPER(E142)),2,1))&gt;=65,CODE(MID(TRIM(UPPER(E142)),2,1))&lt;=90,CODE(MID(TRIM(UPPER(E142)),3,1))&gt;=65,CODE(MID(TRIM(UPPER(E142)),3,1))&lt;=90,CODE(MID(TRIM(UPPER(E142)),4,1))&gt;=65,CODE(MID(TRIM(UPPER(E142)),4,1))&lt;=90,CODE(MID(TRIM(UPPER(E142)),5,1))&gt;=65,CODE(MID(TRIM(UPPER(E142)),5,1))&lt;=90,CODE(MID(TRIM(UPPER(E142)),10,1))&gt;=65,CODE(MID(TRIM(UPPER(E142)),10,1))&lt;=90,CODE(MID(TRIM(UPPER(E142)),6,1))&gt;=48,CODE(MID(TRIM(UPPER(E142)),6,1))&lt;=57,CODE(MID(TRIM(UPPER(E142)),7,1))&gt;=48,CODE(MID(TRIM(UPPER(E142)),7,1))&lt;=57,CODE(MID(TRIM(UPPER(E142)),8,1))&gt;=48,CODE(MID(TRIM(UPPER(E142)),8,1))&lt;=57,CODE(MID(TRIM(UPPER(E142)),9,1))&gt;=48,CODE(MID(TRIM(UPPER(E142)),9,1))&lt;=57),"N","Y"))</f>
      </c>
      <c r="G142" s="7">
        <f>IF($D142="","",IF(LEN(E142)&lt;4,"",IF(UPPER(MID(E142,4,1))="P","Individual",IF(UPPER(MID(E142,4,1))="H","HUF",IF(UPPER(MID(E142,4,1))="C","Company",IF(UPPER(MID(E142,4,1))="F","Firm",IF(UPPER(MID(E142,4,1))="L","LLP",IF(UPPER(MID(E142,4,1))="T","Trust",IF(UPPER(MID(E142,4,1))="A","AOP","")))))))))</f>
      </c>
      <c r="H142" s="8"/>
      <c r="I142" s="7">
        <f>IF($D142="","",IF(H142="","",IF(F142="Y",SUMPRODUCT(('Rate Lookup'!$A$1:$A$37=H142)*'Rate Lookup'!$D$1:$D$37),IF(OR(G142="Individual",G142="HUF"),SUMPRODUCT(('Rate Lookup'!$A$1:$A$37=H142)*'Rate Lookup'!$B$1:$B$37),SUMPRODUCT(('Rate Lookup'!$A$1:$A$37=H142)*'Rate Lookup'!$C$1:$C$37)))))</f>
      </c>
      <c r="J142" s="8"/>
      <c r="K142" s="8"/>
      <c r="L142" s="7">
        <f>IF($D142="","",ROUND(K142*I142/100,0))</f>
      </c>
      <c r="M142" s="7">
        <f>IF($D142="","",0)</f>
      </c>
      <c r="N142" s="7">
        <f>IF($D142="","",0)</f>
      </c>
      <c r="O142" s="7">
        <f>IF($D142="","",IF(OR(L142=0,J142="",IFERROR(INDEX('Challan Master'!$D$4:$D$207,MATCH($B142,'Challan Master'!$S$4:$S$207,0)),"")="",IFERROR(INDEX('Challan Master'!$D$4:$D$207,MATCH($B142,'Challan Master'!$S$4:$S$207,0)),"")&lt;=0),0,IF(IFERROR(INDEX('Challan Master'!$D$4:$D$207,MATCH($B142,'Challan Master'!$S$4:$S$207,0)),"")&lt;=DATE(YEAR(J142),MONTH(J142)+1,7),0,ROUND(L142*0.015*((YEAR(IFERROR(INDEX('Challan Master'!$D$4:$D$207,MATCH($B142,'Challan Master'!$S$4:$S$207,0)),""))-YEAR(J142))*12+(MONTH(IFERROR(INDEX('Challan Master'!$D$4:$D$207,MATCH($B142,'Challan Master'!$S$4:$S$207,0)),""))-MONTH(J142))+1),0))))</f>
      </c>
      <c r="P142" s="7">
        <f>IF($D142="","",0)</f>
      </c>
      <c r="Q142" s="8"/>
      <c r="R142" s="8"/>
      <c r="S142" s="8"/>
      <c r="T142" s="8"/>
      <c r="U142" s="8"/>
      <c r="V142" s="7">
        <f>IF($B142="","",IFERROR(INDEX('Challan Master'!$AA$4:$AA$207,MATCH($B142,'Challan Master'!$S$4:$S$207,0)),""))</f>
      </c>
    </row>
    <row r="143" spans="1:22" x14ac:dyDescent="0.25">
      <c r="A143" s="7">
        <f>IF($D143="","",COUNTIF($D$4:$D143,"&lt;&gt;"))</f>
      </c>
      <c r="B143" s="8"/>
      <c r="C143" s="7">
        <f>IF($B143="","","BSR "&amp;IFERROR(INDEX('Challan Master'!$B$4:$B$207,MATCH($B143,'Challan Master'!$S$4:$S$207,0)),"")&amp;" | Serial "&amp;IFERROR(INDEX('Challan Master'!$C$4:$C$207,MATCH($B143,'Challan Master'!$S$4:$S$207,0)),"")&amp;" | Deposit "&amp;TEXT(IFERROR(INDEX('Challan Master'!$D$4:$D$207,MATCH($B143,'Challan Master'!$S$4:$S$207,0)),""),"dd-mm-yyyy")&amp;" | Minor Head "&amp;IFERROR(INDEX('Challan Master'!$E$4:$E$207,MATCH($B143,'Challan Master'!$S$4:$S$207,0)),"")&amp;" | Tax ₹"&amp;TEXT(IFERROR(INDEX('Challan Master'!$G$4:$G$207,MATCH($B143,'Challan Master'!$S$4:$S$207,0)),""),"#,##0")&amp;" | Section "&amp;IFERROR(INDEX('Challan Master'!$F$4:$F$207,MATCH($B143,'Challan Master'!$S$4:$S$207,0)),""))</f>
      </c>
      <c r="D143" s="8"/>
      <c r="E143" s="8"/>
      <c r="F143" s="7">
        <f>IF($D143="","",IF(AND(LEN(TRIM(UPPER(E143)))=10,CODE(MID(TRIM(UPPER(E143)),1,1))&gt;=65,CODE(MID(TRIM(UPPER(E143)),1,1))&lt;=90,CODE(MID(TRIM(UPPER(E143)),2,1))&gt;=65,CODE(MID(TRIM(UPPER(E143)),2,1))&lt;=90,CODE(MID(TRIM(UPPER(E143)),3,1))&gt;=65,CODE(MID(TRIM(UPPER(E143)),3,1))&lt;=90,CODE(MID(TRIM(UPPER(E143)),4,1))&gt;=65,CODE(MID(TRIM(UPPER(E143)),4,1))&lt;=90,CODE(MID(TRIM(UPPER(E143)),5,1))&gt;=65,CODE(MID(TRIM(UPPER(E143)),5,1))&lt;=90,CODE(MID(TRIM(UPPER(E143)),10,1))&gt;=65,CODE(MID(TRIM(UPPER(E143)),10,1))&lt;=90,CODE(MID(TRIM(UPPER(E143)),6,1))&gt;=48,CODE(MID(TRIM(UPPER(E143)),6,1))&lt;=57,CODE(MID(TRIM(UPPER(E143)),7,1))&gt;=48,CODE(MID(TRIM(UPPER(E143)),7,1))&lt;=57,CODE(MID(TRIM(UPPER(E143)),8,1))&gt;=48,CODE(MID(TRIM(UPPER(E143)),8,1))&lt;=57,CODE(MID(TRIM(UPPER(E143)),9,1))&gt;=48,CODE(MID(TRIM(UPPER(E143)),9,1))&lt;=57),"N","Y"))</f>
      </c>
      <c r="G143" s="7">
        <f>IF($D143="","",IF(LEN(E143)&lt;4,"",IF(UPPER(MID(E143,4,1))="P","Individual",IF(UPPER(MID(E143,4,1))="H","HUF",IF(UPPER(MID(E143,4,1))="C","Company",IF(UPPER(MID(E143,4,1))="F","Firm",IF(UPPER(MID(E143,4,1))="L","LLP",IF(UPPER(MID(E143,4,1))="T","Trust",IF(UPPER(MID(E143,4,1))="A","AOP","")))))))))</f>
      </c>
      <c r="H143" s="8"/>
      <c r="I143" s="7">
        <f>IF($D143="","",IF(H143="","",IF(F143="Y",SUMPRODUCT(('Rate Lookup'!$A$1:$A$37=H143)*'Rate Lookup'!$D$1:$D$37),IF(OR(G143="Individual",G143="HUF"),SUMPRODUCT(('Rate Lookup'!$A$1:$A$37=H143)*'Rate Lookup'!$B$1:$B$37),SUMPRODUCT(('Rate Lookup'!$A$1:$A$37=H143)*'Rate Lookup'!$C$1:$C$37)))))</f>
      </c>
      <c r="J143" s="8"/>
      <c r="K143" s="8"/>
      <c r="L143" s="7">
        <f>IF($D143="","",ROUND(K143*I143/100,0))</f>
      </c>
      <c r="M143" s="7">
        <f>IF($D143="","",0)</f>
      </c>
      <c r="N143" s="7">
        <f>IF($D143="","",0)</f>
      </c>
      <c r="O143" s="7">
        <f>IF($D143="","",IF(OR(L143=0,J143="",IFERROR(INDEX('Challan Master'!$D$4:$D$207,MATCH($B143,'Challan Master'!$S$4:$S$207,0)),"")="",IFERROR(INDEX('Challan Master'!$D$4:$D$207,MATCH($B143,'Challan Master'!$S$4:$S$207,0)),"")&lt;=0),0,IF(IFERROR(INDEX('Challan Master'!$D$4:$D$207,MATCH($B143,'Challan Master'!$S$4:$S$207,0)),"")&lt;=DATE(YEAR(J143),MONTH(J143)+1,7),0,ROUND(L143*0.015*((YEAR(IFERROR(INDEX('Challan Master'!$D$4:$D$207,MATCH($B143,'Challan Master'!$S$4:$S$207,0)),""))-YEAR(J143))*12+(MONTH(IFERROR(INDEX('Challan Master'!$D$4:$D$207,MATCH($B143,'Challan Master'!$S$4:$S$207,0)),""))-MONTH(J143))+1),0))))</f>
      </c>
      <c r="P143" s="7">
        <f>IF($D143="","",0)</f>
      </c>
      <c r="Q143" s="8"/>
      <c r="R143" s="8"/>
      <c r="S143" s="8"/>
      <c r="T143" s="8"/>
      <c r="U143" s="8"/>
      <c r="V143" s="7">
        <f>IF($B143="","",IFERROR(INDEX('Challan Master'!$AA$4:$AA$207,MATCH($B143,'Challan Master'!$S$4:$S$207,0)),""))</f>
      </c>
    </row>
    <row r="144" spans="1:22" x14ac:dyDescent="0.25">
      <c r="A144" s="7">
        <f>IF($D144="","",COUNTIF($D$4:$D144,"&lt;&gt;"))</f>
      </c>
      <c r="B144" s="8"/>
      <c r="C144" s="7">
        <f>IF($B144="","","BSR "&amp;IFERROR(INDEX('Challan Master'!$B$4:$B$207,MATCH($B144,'Challan Master'!$S$4:$S$207,0)),"")&amp;" | Serial "&amp;IFERROR(INDEX('Challan Master'!$C$4:$C$207,MATCH($B144,'Challan Master'!$S$4:$S$207,0)),"")&amp;" | Deposit "&amp;TEXT(IFERROR(INDEX('Challan Master'!$D$4:$D$207,MATCH($B144,'Challan Master'!$S$4:$S$207,0)),""),"dd-mm-yyyy")&amp;" | Minor Head "&amp;IFERROR(INDEX('Challan Master'!$E$4:$E$207,MATCH($B144,'Challan Master'!$S$4:$S$207,0)),"")&amp;" | Tax ₹"&amp;TEXT(IFERROR(INDEX('Challan Master'!$G$4:$G$207,MATCH($B144,'Challan Master'!$S$4:$S$207,0)),""),"#,##0")&amp;" | Section "&amp;IFERROR(INDEX('Challan Master'!$F$4:$F$207,MATCH($B144,'Challan Master'!$S$4:$S$207,0)),""))</f>
      </c>
      <c r="D144" s="8"/>
      <c r="E144" s="8"/>
      <c r="F144" s="7">
        <f>IF($D144="","",IF(AND(LEN(TRIM(UPPER(E144)))=10,CODE(MID(TRIM(UPPER(E144)),1,1))&gt;=65,CODE(MID(TRIM(UPPER(E144)),1,1))&lt;=90,CODE(MID(TRIM(UPPER(E144)),2,1))&gt;=65,CODE(MID(TRIM(UPPER(E144)),2,1))&lt;=90,CODE(MID(TRIM(UPPER(E144)),3,1))&gt;=65,CODE(MID(TRIM(UPPER(E144)),3,1))&lt;=90,CODE(MID(TRIM(UPPER(E144)),4,1))&gt;=65,CODE(MID(TRIM(UPPER(E144)),4,1))&lt;=90,CODE(MID(TRIM(UPPER(E144)),5,1))&gt;=65,CODE(MID(TRIM(UPPER(E144)),5,1))&lt;=90,CODE(MID(TRIM(UPPER(E144)),10,1))&gt;=65,CODE(MID(TRIM(UPPER(E144)),10,1))&lt;=90,CODE(MID(TRIM(UPPER(E144)),6,1))&gt;=48,CODE(MID(TRIM(UPPER(E144)),6,1))&lt;=57,CODE(MID(TRIM(UPPER(E144)),7,1))&gt;=48,CODE(MID(TRIM(UPPER(E144)),7,1))&lt;=57,CODE(MID(TRIM(UPPER(E144)),8,1))&gt;=48,CODE(MID(TRIM(UPPER(E144)),8,1))&lt;=57,CODE(MID(TRIM(UPPER(E144)),9,1))&gt;=48,CODE(MID(TRIM(UPPER(E144)),9,1))&lt;=57),"N","Y"))</f>
      </c>
      <c r="G144" s="7">
        <f>IF($D144="","",IF(LEN(E144)&lt;4,"",IF(UPPER(MID(E144,4,1))="P","Individual",IF(UPPER(MID(E144,4,1))="H","HUF",IF(UPPER(MID(E144,4,1))="C","Company",IF(UPPER(MID(E144,4,1))="F","Firm",IF(UPPER(MID(E144,4,1))="L","LLP",IF(UPPER(MID(E144,4,1))="T","Trust",IF(UPPER(MID(E144,4,1))="A","AOP","")))))))))</f>
      </c>
      <c r="H144" s="8"/>
      <c r="I144" s="7">
        <f>IF($D144="","",IF(H144="","",IF(F144="Y",SUMPRODUCT(('Rate Lookup'!$A$1:$A$37=H144)*'Rate Lookup'!$D$1:$D$37),IF(OR(G144="Individual",G144="HUF"),SUMPRODUCT(('Rate Lookup'!$A$1:$A$37=H144)*'Rate Lookup'!$B$1:$B$37),SUMPRODUCT(('Rate Lookup'!$A$1:$A$37=H144)*'Rate Lookup'!$C$1:$C$37)))))</f>
      </c>
      <c r="J144" s="8"/>
      <c r="K144" s="8"/>
      <c r="L144" s="7">
        <f>IF($D144="","",ROUND(K144*I144/100,0))</f>
      </c>
      <c r="M144" s="7">
        <f>IF($D144="","",0)</f>
      </c>
      <c r="N144" s="7">
        <f>IF($D144="","",0)</f>
      </c>
      <c r="O144" s="7">
        <f>IF($D144="","",IF(OR(L144=0,J144="",IFERROR(INDEX('Challan Master'!$D$4:$D$207,MATCH($B144,'Challan Master'!$S$4:$S$207,0)),"")="",IFERROR(INDEX('Challan Master'!$D$4:$D$207,MATCH($B144,'Challan Master'!$S$4:$S$207,0)),"")&lt;=0),0,IF(IFERROR(INDEX('Challan Master'!$D$4:$D$207,MATCH($B144,'Challan Master'!$S$4:$S$207,0)),"")&lt;=DATE(YEAR(J144),MONTH(J144)+1,7),0,ROUND(L144*0.015*((YEAR(IFERROR(INDEX('Challan Master'!$D$4:$D$207,MATCH($B144,'Challan Master'!$S$4:$S$207,0)),""))-YEAR(J144))*12+(MONTH(IFERROR(INDEX('Challan Master'!$D$4:$D$207,MATCH($B144,'Challan Master'!$S$4:$S$207,0)),""))-MONTH(J144))+1),0))))</f>
      </c>
      <c r="P144" s="7">
        <f>IF($D144="","",0)</f>
      </c>
      <c r="Q144" s="8"/>
      <c r="R144" s="8"/>
      <c r="S144" s="8"/>
      <c r="T144" s="8"/>
      <c r="U144" s="8"/>
      <c r="V144" s="7">
        <f>IF($B144="","",IFERROR(INDEX('Challan Master'!$AA$4:$AA$207,MATCH($B144,'Challan Master'!$S$4:$S$207,0)),""))</f>
      </c>
    </row>
    <row r="145" spans="1:22" x14ac:dyDescent="0.25">
      <c r="A145" s="7">
        <f>IF($D145="","",COUNTIF($D$4:$D145,"&lt;&gt;"))</f>
      </c>
      <c r="B145" s="8"/>
      <c r="C145" s="7">
        <f>IF($B145="","","BSR "&amp;IFERROR(INDEX('Challan Master'!$B$4:$B$207,MATCH($B145,'Challan Master'!$S$4:$S$207,0)),"")&amp;" | Serial "&amp;IFERROR(INDEX('Challan Master'!$C$4:$C$207,MATCH($B145,'Challan Master'!$S$4:$S$207,0)),"")&amp;" | Deposit "&amp;TEXT(IFERROR(INDEX('Challan Master'!$D$4:$D$207,MATCH($B145,'Challan Master'!$S$4:$S$207,0)),""),"dd-mm-yyyy")&amp;" | Minor Head "&amp;IFERROR(INDEX('Challan Master'!$E$4:$E$207,MATCH($B145,'Challan Master'!$S$4:$S$207,0)),"")&amp;" | Tax ₹"&amp;TEXT(IFERROR(INDEX('Challan Master'!$G$4:$G$207,MATCH($B145,'Challan Master'!$S$4:$S$207,0)),""),"#,##0")&amp;" | Section "&amp;IFERROR(INDEX('Challan Master'!$F$4:$F$207,MATCH($B145,'Challan Master'!$S$4:$S$207,0)),""))</f>
      </c>
      <c r="D145" s="8"/>
      <c r="E145" s="8"/>
      <c r="F145" s="7">
        <f>IF($D145="","",IF(AND(LEN(TRIM(UPPER(E145)))=10,CODE(MID(TRIM(UPPER(E145)),1,1))&gt;=65,CODE(MID(TRIM(UPPER(E145)),1,1))&lt;=90,CODE(MID(TRIM(UPPER(E145)),2,1))&gt;=65,CODE(MID(TRIM(UPPER(E145)),2,1))&lt;=90,CODE(MID(TRIM(UPPER(E145)),3,1))&gt;=65,CODE(MID(TRIM(UPPER(E145)),3,1))&lt;=90,CODE(MID(TRIM(UPPER(E145)),4,1))&gt;=65,CODE(MID(TRIM(UPPER(E145)),4,1))&lt;=90,CODE(MID(TRIM(UPPER(E145)),5,1))&gt;=65,CODE(MID(TRIM(UPPER(E145)),5,1))&lt;=90,CODE(MID(TRIM(UPPER(E145)),10,1))&gt;=65,CODE(MID(TRIM(UPPER(E145)),10,1))&lt;=90,CODE(MID(TRIM(UPPER(E145)),6,1))&gt;=48,CODE(MID(TRIM(UPPER(E145)),6,1))&lt;=57,CODE(MID(TRIM(UPPER(E145)),7,1))&gt;=48,CODE(MID(TRIM(UPPER(E145)),7,1))&lt;=57,CODE(MID(TRIM(UPPER(E145)),8,1))&gt;=48,CODE(MID(TRIM(UPPER(E145)),8,1))&lt;=57,CODE(MID(TRIM(UPPER(E145)),9,1))&gt;=48,CODE(MID(TRIM(UPPER(E145)),9,1))&lt;=57),"N","Y"))</f>
      </c>
      <c r="G145" s="7">
        <f>IF($D145="","",IF(LEN(E145)&lt;4,"",IF(UPPER(MID(E145,4,1))="P","Individual",IF(UPPER(MID(E145,4,1))="H","HUF",IF(UPPER(MID(E145,4,1))="C","Company",IF(UPPER(MID(E145,4,1))="F","Firm",IF(UPPER(MID(E145,4,1))="L","LLP",IF(UPPER(MID(E145,4,1))="T","Trust",IF(UPPER(MID(E145,4,1))="A","AOP","")))))))))</f>
      </c>
      <c r="H145" s="8"/>
      <c r="I145" s="7">
        <f>IF($D145="","",IF(H145="","",IF(F145="Y",SUMPRODUCT(('Rate Lookup'!$A$1:$A$37=H145)*'Rate Lookup'!$D$1:$D$37),IF(OR(G145="Individual",G145="HUF"),SUMPRODUCT(('Rate Lookup'!$A$1:$A$37=H145)*'Rate Lookup'!$B$1:$B$37),SUMPRODUCT(('Rate Lookup'!$A$1:$A$37=H145)*'Rate Lookup'!$C$1:$C$37)))))</f>
      </c>
      <c r="J145" s="8"/>
      <c r="K145" s="8"/>
      <c r="L145" s="7">
        <f>IF($D145="","",ROUND(K145*I145/100,0))</f>
      </c>
      <c r="M145" s="7">
        <f>IF($D145="","",0)</f>
      </c>
      <c r="N145" s="7">
        <f>IF($D145="","",0)</f>
      </c>
      <c r="O145" s="7">
        <f>IF($D145="","",IF(OR(L145=0,J145="",IFERROR(INDEX('Challan Master'!$D$4:$D$207,MATCH($B145,'Challan Master'!$S$4:$S$207,0)),"")="",IFERROR(INDEX('Challan Master'!$D$4:$D$207,MATCH($B145,'Challan Master'!$S$4:$S$207,0)),"")&lt;=0),0,IF(IFERROR(INDEX('Challan Master'!$D$4:$D$207,MATCH($B145,'Challan Master'!$S$4:$S$207,0)),"")&lt;=DATE(YEAR(J145),MONTH(J145)+1,7),0,ROUND(L145*0.015*((YEAR(IFERROR(INDEX('Challan Master'!$D$4:$D$207,MATCH($B145,'Challan Master'!$S$4:$S$207,0)),""))-YEAR(J145))*12+(MONTH(IFERROR(INDEX('Challan Master'!$D$4:$D$207,MATCH($B145,'Challan Master'!$S$4:$S$207,0)),""))-MONTH(J145))+1),0))))</f>
      </c>
      <c r="P145" s="7">
        <f>IF($D145="","",0)</f>
      </c>
      <c r="Q145" s="8"/>
      <c r="R145" s="8"/>
      <c r="S145" s="8"/>
      <c r="T145" s="8"/>
      <c r="U145" s="8"/>
      <c r="V145" s="7">
        <f>IF($B145="","",IFERROR(INDEX('Challan Master'!$AA$4:$AA$207,MATCH($B145,'Challan Master'!$S$4:$S$207,0)),""))</f>
      </c>
    </row>
    <row r="146" spans="1:22" x14ac:dyDescent="0.25">
      <c r="A146" s="7">
        <f>IF($D146="","",COUNTIF($D$4:$D146,"&lt;&gt;"))</f>
      </c>
      <c r="B146" s="8"/>
      <c r="C146" s="7">
        <f>IF($B146="","","BSR "&amp;IFERROR(INDEX('Challan Master'!$B$4:$B$207,MATCH($B146,'Challan Master'!$S$4:$S$207,0)),"")&amp;" | Serial "&amp;IFERROR(INDEX('Challan Master'!$C$4:$C$207,MATCH($B146,'Challan Master'!$S$4:$S$207,0)),"")&amp;" | Deposit "&amp;TEXT(IFERROR(INDEX('Challan Master'!$D$4:$D$207,MATCH($B146,'Challan Master'!$S$4:$S$207,0)),""),"dd-mm-yyyy")&amp;" | Minor Head "&amp;IFERROR(INDEX('Challan Master'!$E$4:$E$207,MATCH($B146,'Challan Master'!$S$4:$S$207,0)),"")&amp;" | Tax ₹"&amp;TEXT(IFERROR(INDEX('Challan Master'!$G$4:$G$207,MATCH($B146,'Challan Master'!$S$4:$S$207,0)),""),"#,##0")&amp;" | Section "&amp;IFERROR(INDEX('Challan Master'!$F$4:$F$207,MATCH($B146,'Challan Master'!$S$4:$S$207,0)),""))</f>
      </c>
      <c r="D146" s="8"/>
      <c r="E146" s="8"/>
      <c r="F146" s="7">
        <f>IF($D146="","",IF(AND(LEN(TRIM(UPPER(E146)))=10,CODE(MID(TRIM(UPPER(E146)),1,1))&gt;=65,CODE(MID(TRIM(UPPER(E146)),1,1))&lt;=90,CODE(MID(TRIM(UPPER(E146)),2,1))&gt;=65,CODE(MID(TRIM(UPPER(E146)),2,1))&lt;=90,CODE(MID(TRIM(UPPER(E146)),3,1))&gt;=65,CODE(MID(TRIM(UPPER(E146)),3,1))&lt;=90,CODE(MID(TRIM(UPPER(E146)),4,1))&gt;=65,CODE(MID(TRIM(UPPER(E146)),4,1))&lt;=90,CODE(MID(TRIM(UPPER(E146)),5,1))&gt;=65,CODE(MID(TRIM(UPPER(E146)),5,1))&lt;=90,CODE(MID(TRIM(UPPER(E146)),10,1))&gt;=65,CODE(MID(TRIM(UPPER(E146)),10,1))&lt;=90,CODE(MID(TRIM(UPPER(E146)),6,1))&gt;=48,CODE(MID(TRIM(UPPER(E146)),6,1))&lt;=57,CODE(MID(TRIM(UPPER(E146)),7,1))&gt;=48,CODE(MID(TRIM(UPPER(E146)),7,1))&lt;=57,CODE(MID(TRIM(UPPER(E146)),8,1))&gt;=48,CODE(MID(TRIM(UPPER(E146)),8,1))&lt;=57,CODE(MID(TRIM(UPPER(E146)),9,1))&gt;=48,CODE(MID(TRIM(UPPER(E146)),9,1))&lt;=57),"N","Y"))</f>
      </c>
      <c r="G146" s="7">
        <f>IF($D146="","",IF(LEN(E146)&lt;4,"",IF(UPPER(MID(E146,4,1))="P","Individual",IF(UPPER(MID(E146,4,1))="H","HUF",IF(UPPER(MID(E146,4,1))="C","Company",IF(UPPER(MID(E146,4,1))="F","Firm",IF(UPPER(MID(E146,4,1))="L","LLP",IF(UPPER(MID(E146,4,1))="T","Trust",IF(UPPER(MID(E146,4,1))="A","AOP","")))))))))</f>
      </c>
      <c r="H146" s="8"/>
      <c r="I146" s="7">
        <f>IF($D146="","",IF(H146="","",IF(F146="Y",SUMPRODUCT(('Rate Lookup'!$A$1:$A$37=H146)*'Rate Lookup'!$D$1:$D$37),IF(OR(G146="Individual",G146="HUF"),SUMPRODUCT(('Rate Lookup'!$A$1:$A$37=H146)*'Rate Lookup'!$B$1:$B$37),SUMPRODUCT(('Rate Lookup'!$A$1:$A$37=H146)*'Rate Lookup'!$C$1:$C$37)))))</f>
      </c>
      <c r="J146" s="8"/>
      <c r="K146" s="8"/>
      <c r="L146" s="7">
        <f>IF($D146="","",ROUND(K146*I146/100,0))</f>
      </c>
      <c r="M146" s="7">
        <f>IF($D146="","",0)</f>
      </c>
      <c r="N146" s="7">
        <f>IF($D146="","",0)</f>
      </c>
      <c r="O146" s="7">
        <f>IF($D146="","",IF(OR(L146=0,J146="",IFERROR(INDEX('Challan Master'!$D$4:$D$207,MATCH($B146,'Challan Master'!$S$4:$S$207,0)),"")="",IFERROR(INDEX('Challan Master'!$D$4:$D$207,MATCH($B146,'Challan Master'!$S$4:$S$207,0)),"")&lt;=0),0,IF(IFERROR(INDEX('Challan Master'!$D$4:$D$207,MATCH($B146,'Challan Master'!$S$4:$S$207,0)),"")&lt;=DATE(YEAR(J146),MONTH(J146)+1,7),0,ROUND(L146*0.015*((YEAR(IFERROR(INDEX('Challan Master'!$D$4:$D$207,MATCH($B146,'Challan Master'!$S$4:$S$207,0)),""))-YEAR(J146))*12+(MONTH(IFERROR(INDEX('Challan Master'!$D$4:$D$207,MATCH($B146,'Challan Master'!$S$4:$S$207,0)),""))-MONTH(J146))+1),0))))</f>
      </c>
      <c r="P146" s="7">
        <f>IF($D146="","",0)</f>
      </c>
      <c r="Q146" s="8"/>
      <c r="R146" s="8"/>
      <c r="S146" s="8"/>
      <c r="T146" s="8"/>
      <c r="U146" s="8"/>
      <c r="V146" s="7">
        <f>IF($B146="","",IFERROR(INDEX('Challan Master'!$AA$4:$AA$207,MATCH($B146,'Challan Master'!$S$4:$S$207,0)),""))</f>
      </c>
    </row>
    <row r="147" spans="1:22" x14ac:dyDescent="0.25">
      <c r="A147" s="7">
        <f>IF($D147="","",COUNTIF($D$4:$D147,"&lt;&gt;"))</f>
      </c>
      <c r="B147" s="8"/>
      <c r="C147" s="7">
        <f>IF($B147="","","BSR "&amp;IFERROR(INDEX('Challan Master'!$B$4:$B$207,MATCH($B147,'Challan Master'!$S$4:$S$207,0)),"")&amp;" | Serial "&amp;IFERROR(INDEX('Challan Master'!$C$4:$C$207,MATCH($B147,'Challan Master'!$S$4:$S$207,0)),"")&amp;" | Deposit "&amp;TEXT(IFERROR(INDEX('Challan Master'!$D$4:$D$207,MATCH($B147,'Challan Master'!$S$4:$S$207,0)),""),"dd-mm-yyyy")&amp;" | Minor Head "&amp;IFERROR(INDEX('Challan Master'!$E$4:$E$207,MATCH($B147,'Challan Master'!$S$4:$S$207,0)),"")&amp;" | Tax ₹"&amp;TEXT(IFERROR(INDEX('Challan Master'!$G$4:$G$207,MATCH($B147,'Challan Master'!$S$4:$S$207,0)),""),"#,##0")&amp;" | Section "&amp;IFERROR(INDEX('Challan Master'!$F$4:$F$207,MATCH($B147,'Challan Master'!$S$4:$S$207,0)),""))</f>
      </c>
      <c r="D147" s="8"/>
      <c r="E147" s="8"/>
      <c r="F147" s="7">
        <f>IF($D147="","",IF(AND(LEN(TRIM(UPPER(E147)))=10,CODE(MID(TRIM(UPPER(E147)),1,1))&gt;=65,CODE(MID(TRIM(UPPER(E147)),1,1))&lt;=90,CODE(MID(TRIM(UPPER(E147)),2,1))&gt;=65,CODE(MID(TRIM(UPPER(E147)),2,1))&lt;=90,CODE(MID(TRIM(UPPER(E147)),3,1))&gt;=65,CODE(MID(TRIM(UPPER(E147)),3,1))&lt;=90,CODE(MID(TRIM(UPPER(E147)),4,1))&gt;=65,CODE(MID(TRIM(UPPER(E147)),4,1))&lt;=90,CODE(MID(TRIM(UPPER(E147)),5,1))&gt;=65,CODE(MID(TRIM(UPPER(E147)),5,1))&lt;=90,CODE(MID(TRIM(UPPER(E147)),10,1))&gt;=65,CODE(MID(TRIM(UPPER(E147)),10,1))&lt;=90,CODE(MID(TRIM(UPPER(E147)),6,1))&gt;=48,CODE(MID(TRIM(UPPER(E147)),6,1))&lt;=57,CODE(MID(TRIM(UPPER(E147)),7,1))&gt;=48,CODE(MID(TRIM(UPPER(E147)),7,1))&lt;=57,CODE(MID(TRIM(UPPER(E147)),8,1))&gt;=48,CODE(MID(TRIM(UPPER(E147)),8,1))&lt;=57,CODE(MID(TRIM(UPPER(E147)),9,1))&gt;=48,CODE(MID(TRIM(UPPER(E147)),9,1))&lt;=57),"N","Y"))</f>
      </c>
      <c r="G147" s="7">
        <f>IF($D147="","",IF(LEN(E147)&lt;4,"",IF(UPPER(MID(E147,4,1))="P","Individual",IF(UPPER(MID(E147,4,1))="H","HUF",IF(UPPER(MID(E147,4,1))="C","Company",IF(UPPER(MID(E147,4,1))="F","Firm",IF(UPPER(MID(E147,4,1))="L","LLP",IF(UPPER(MID(E147,4,1))="T","Trust",IF(UPPER(MID(E147,4,1))="A","AOP","")))))))))</f>
      </c>
      <c r="H147" s="8"/>
      <c r="I147" s="7">
        <f>IF($D147="","",IF(H147="","",IF(F147="Y",SUMPRODUCT(('Rate Lookup'!$A$1:$A$37=H147)*'Rate Lookup'!$D$1:$D$37),IF(OR(G147="Individual",G147="HUF"),SUMPRODUCT(('Rate Lookup'!$A$1:$A$37=H147)*'Rate Lookup'!$B$1:$B$37),SUMPRODUCT(('Rate Lookup'!$A$1:$A$37=H147)*'Rate Lookup'!$C$1:$C$37)))))</f>
      </c>
      <c r="J147" s="8"/>
      <c r="K147" s="8"/>
      <c r="L147" s="7">
        <f>IF($D147="","",ROUND(K147*I147/100,0))</f>
      </c>
      <c r="M147" s="7">
        <f>IF($D147="","",0)</f>
      </c>
      <c r="N147" s="7">
        <f>IF($D147="","",0)</f>
      </c>
      <c r="O147" s="7">
        <f>IF($D147="","",IF(OR(L147=0,J147="",IFERROR(INDEX('Challan Master'!$D$4:$D$207,MATCH($B147,'Challan Master'!$S$4:$S$207,0)),"")="",IFERROR(INDEX('Challan Master'!$D$4:$D$207,MATCH($B147,'Challan Master'!$S$4:$S$207,0)),"")&lt;=0),0,IF(IFERROR(INDEX('Challan Master'!$D$4:$D$207,MATCH($B147,'Challan Master'!$S$4:$S$207,0)),"")&lt;=DATE(YEAR(J147),MONTH(J147)+1,7),0,ROUND(L147*0.015*((YEAR(IFERROR(INDEX('Challan Master'!$D$4:$D$207,MATCH($B147,'Challan Master'!$S$4:$S$207,0)),""))-YEAR(J147))*12+(MONTH(IFERROR(INDEX('Challan Master'!$D$4:$D$207,MATCH($B147,'Challan Master'!$S$4:$S$207,0)),""))-MONTH(J147))+1),0))))</f>
      </c>
      <c r="P147" s="7">
        <f>IF($D147="","",0)</f>
      </c>
      <c r="Q147" s="8"/>
      <c r="R147" s="8"/>
      <c r="S147" s="8"/>
      <c r="T147" s="8"/>
      <c r="U147" s="8"/>
      <c r="V147" s="7">
        <f>IF($B147="","",IFERROR(INDEX('Challan Master'!$AA$4:$AA$207,MATCH($B147,'Challan Master'!$S$4:$S$207,0)),""))</f>
      </c>
    </row>
    <row r="148" spans="1:22" x14ac:dyDescent="0.25">
      <c r="A148" s="7">
        <f>IF($D148="","",COUNTIF($D$4:$D148,"&lt;&gt;"))</f>
      </c>
      <c r="B148" s="8"/>
      <c r="C148" s="7">
        <f>IF($B148="","","BSR "&amp;IFERROR(INDEX('Challan Master'!$B$4:$B$207,MATCH($B148,'Challan Master'!$S$4:$S$207,0)),"")&amp;" | Serial "&amp;IFERROR(INDEX('Challan Master'!$C$4:$C$207,MATCH($B148,'Challan Master'!$S$4:$S$207,0)),"")&amp;" | Deposit "&amp;TEXT(IFERROR(INDEX('Challan Master'!$D$4:$D$207,MATCH($B148,'Challan Master'!$S$4:$S$207,0)),""),"dd-mm-yyyy")&amp;" | Minor Head "&amp;IFERROR(INDEX('Challan Master'!$E$4:$E$207,MATCH($B148,'Challan Master'!$S$4:$S$207,0)),"")&amp;" | Tax ₹"&amp;TEXT(IFERROR(INDEX('Challan Master'!$G$4:$G$207,MATCH($B148,'Challan Master'!$S$4:$S$207,0)),""),"#,##0")&amp;" | Section "&amp;IFERROR(INDEX('Challan Master'!$F$4:$F$207,MATCH($B148,'Challan Master'!$S$4:$S$207,0)),""))</f>
      </c>
      <c r="D148" s="8"/>
      <c r="E148" s="8"/>
      <c r="F148" s="7">
        <f>IF($D148="","",IF(AND(LEN(TRIM(UPPER(E148)))=10,CODE(MID(TRIM(UPPER(E148)),1,1))&gt;=65,CODE(MID(TRIM(UPPER(E148)),1,1))&lt;=90,CODE(MID(TRIM(UPPER(E148)),2,1))&gt;=65,CODE(MID(TRIM(UPPER(E148)),2,1))&lt;=90,CODE(MID(TRIM(UPPER(E148)),3,1))&gt;=65,CODE(MID(TRIM(UPPER(E148)),3,1))&lt;=90,CODE(MID(TRIM(UPPER(E148)),4,1))&gt;=65,CODE(MID(TRIM(UPPER(E148)),4,1))&lt;=90,CODE(MID(TRIM(UPPER(E148)),5,1))&gt;=65,CODE(MID(TRIM(UPPER(E148)),5,1))&lt;=90,CODE(MID(TRIM(UPPER(E148)),10,1))&gt;=65,CODE(MID(TRIM(UPPER(E148)),10,1))&lt;=90,CODE(MID(TRIM(UPPER(E148)),6,1))&gt;=48,CODE(MID(TRIM(UPPER(E148)),6,1))&lt;=57,CODE(MID(TRIM(UPPER(E148)),7,1))&gt;=48,CODE(MID(TRIM(UPPER(E148)),7,1))&lt;=57,CODE(MID(TRIM(UPPER(E148)),8,1))&gt;=48,CODE(MID(TRIM(UPPER(E148)),8,1))&lt;=57,CODE(MID(TRIM(UPPER(E148)),9,1))&gt;=48,CODE(MID(TRIM(UPPER(E148)),9,1))&lt;=57),"N","Y"))</f>
      </c>
      <c r="G148" s="7">
        <f>IF($D148="","",IF(LEN(E148)&lt;4,"",IF(UPPER(MID(E148,4,1))="P","Individual",IF(UPPER(MID(E148,4,1))="H","HUF",IF(UPPER(MID(E148,4,1))="C","Company",IF(UPPER(MID(E148,4,1))="F","Firm",IF(UPPER(MID(E148,4,1))="L","LLP",IF(UPPER(MID(E148,4,1))="T","Trust",IF(UPPER(MID(E148,4,1))="A","AOP","")))))))))</f>
      </c>
      <c r="H148" s="8"/>
      <c r="I148" s="7">
        <f>IF($D148="","",IF(H148="","",IF(F148="Y",SUMPRODUCT(('Rate Lookup'!$A$1:$A$37=H148)*'Rate Lookup'!$D$1:$D$37),IF(OR(G148="Individual",G148="HUF"),SUMPRODUCT(('Rate Lookup'!$A$1:$A$37=H148)*'Rate Lookup'!$B$1:$B$37),SUMPRODUCT(('Rate Lookup'!$A$1:$A$37=H148)*'Rate Lookup'!$C$1:$C$37)))))</f>
      </c>
      <c r="J148" s="8"/>
      <c r="K148" s="8"/>
      <c r="L148" s="7">
        <f>IF($D148="","",ROUND(K148*I148/100,0))</f>
      </c>
      <c r="M148" s="7">
        <f>IF($D148="","",0)</f>
      </c>
      <c r="N148" s="7">
        <f>IF($D148="","",0)</f>
      </c>
      <c r="O148" s="7">
        <f>IF($D148="","",IF(OR(L148=0,J148="",IFERROR(INDEX('Challan Master'!$D$4:$D$207,MATCH($B148,'Challan Master'!$S$4:$S$207,0)),"")="",IFERROR(INDEX('Challan Master'!$D$4:$D$207,MATCH($B148,'Challan Master'!$S$4:$S$207,0)),"")&lt;=0),0,IF(IFERROR(INDEX('Challan Master'!$D$4:$D$207,MATCH($B148,'Challan Master'!$S$4:$S$207,0)),"")&lt;=DATE(YEAR(J148),MONTH(J148)+1,7),0,ROUND(L148*0.015*((YEAR(IFERROR(INDEX('Challan Master'!$D$4:$D$207,MATCH($B148,'Challan Master'!$S$4:$S$207,0)),""))-YEAR(J148))*12+(MONTH(IFERROR(INDEX('Challan Master'!$D$4:$D$207,MATCH($B148,'Challan Master'!$S$4:$S$207,0)),""))-MONTH(J148))+1),0))))</f>
      </c>
      <c r="P148" s="7">
        <f>IF($D148="","",0)</f>
      </c>
      <c r="Q148" s="8"/>
      <c r="R148" s="8"/>
      <c r="S148" s="8"/>
      <c r="T148" s="8"/>
      <c r="U148" s="8"/>
      <c r="V148" s="7">
        <f>IF($B148="","",IFERROR(INDEX('Challan Master'!$AA$4:$AA$207,MATCH($B148,'Challan Master'!$S$4:$S$207,0)),""))</f>
      </c>
    </row>
    <row r="149" spans="1:22" x14ac:dyDescent="0.25">
      <c r="A149" s="7">
        <f>IF($D149="","",COUNTIF($D$4:$D149,"&lt;&gt;"))</f>
      </c>
      <c r="B149" s="8"/>
      <c r="C149" s="7">
        <f>IF($B149="","","BSR "&amp;IFERROR(INDEX('Challan Master'!$B$4:$B$207,MATCH($B149,'Challan Master'!$S$4:$S$207,0)),"")&amp;" | Serial "&amp;IFERROR(INDEX('Challan Master'!$C$4:$C$207,MATCH($B149,'Challan Master'!$S$4:$S$207,0)),"")&amp;" | Deposit "&amp;TEXT(IFERROR(INDEX('Challan Master'!$D$4:$D$207,MATCH($B149,'Challan Master'!$S$4:$S$207,0)),""),"dd-mm-yyyy")&amp;" | Minor Head "&amp;IFERROR(INDEX('Challan Master'!$E$4:$E$207,MATCH($B149,'Challan Master'!$S$4:$S$207,0)),"")&amp;" | Tax ₹"&amp;TEXT(IFERROR(INDEX('Challan Master'!$G$4:$G$207,MATCH($B149,'Challan Master'!$S$4:$S$207,0)),""),"#,##0")&amp;" | Section "&amp;IFERROR(INDEX('Challan Master'!$F$4:$F$207,MATCH($B149,'Challan Master'!$S$4:$S$207,0)),""))</f>
      </c>
      <c r="D149" s="8"/>
      <c r="E149" s="8"/>
      <c r="F149" s="7">
        <f>IF($D149="","",IF(AND(LEN(TRIM(UPPER(E149)))=10,CODE(MID(TRIM(UPPER(E149)),1,1))&gt;=65,CODE(MID(TRIM(UPPER(E149)),1,1))&lt;=90,CODE(MID(TRIM(UPPER(E149)),2,1))&gt;=65,CODE(MID(TRIM(UPPER(E149)),2,1))&lt;=90,CODE(MID(TRIM(UPPER(E149)),3,1))&gt;=65,CODE(MID(TRIM(UPPER(E149)),3,1))&lt;=90,CODE(MID(TRIM(UPPER(E149)),4,1))&gt;=65,CODE(MID(TRIM(UPPER(E149)),4,1))&lt;=90,CODE(MID(TRIM(UPPER(E149)),5,1))&gt;=65,CODE(MID(TRIM(UPPER(E149)),5,1))&lt;=90,CODE(MID(TRIM(UPPER(E149)),10,1))&gt;=65,CODE(MID(TRIM(UPPER(E149)),10,1))&lt;=90,CODE(MID(TRIM(UPPER(E149)),6,1))&gt;=48,CODE(MID(TRIM(UPPER(E149)),6,1))&lt;=57,CODE(MID(TRIM(UPPER(E149)),7,1))&gt;=48,CODE(MID(TRIM(UPPER(E149)),7,1))&lt;=57,CODE(MID(TRIM(UPPER(E149)),8,1))&gt;=48,CODE(MID(TRIM(UPPER(E149)),8,1))&lt;=57,CODE(MID(TRIM(UPPER(E149)),9,1))&gt;=48,CODE(MID(TRIM(UPPER(E149)),9,1))&lt;=57),"N","Y"))</f>
      </c>
      <c r="G149" s="7">
        <f>IF($D149="","",IF(LEN(E149)&lt;4,"",IF(UPPER(MID(E149,4,1))="P","Individual",IF(UPPER(MID(E149,4,1))="H","HUF",IF(UPPER(MID(E149,4,1))="C","Company",IF(UPPER(MID(E149,4,1))="F","Firm",IF(UPPER(MID(E149,4,1))="L","LLP",IF(UPPER(MID(E149,4,1))="T","Trust",IF(UPPER(MID(E149,4,1))="A","AOP","")))))))))</f>
      </c>
      <c r="H149" s="8"/>
      <c r="I149" s="7">
        <f>IF($D149="","",IF(H149="","",IF(F149="Y",SUMPRODUCT(('Rate Lookup'!$A$1:$A$37=H149)*'Rate Lookup'!$D$1:$D$37),IF(OR(G149="Individual",G149="HUF"),SUMPRODUCT(('Rate Lookup'!$A$1:$A$37=H149)*'Rate Lookup'!$B$1:$B$37),SUMPRODUCT(('Rate Lookup'!$A$1:$A$37=H149)*'Rate Lookup'!$C$1:$C$37)))))</f>
      </c>
      <c r="J149" s="8"/>
      <c r="K149" s="8"/>
      <c r="L149" s="7">
        <f>IF($D149="","",ROUND(K149*I149/100,0))</f>
      </c>
      <c r="M149" s="7">
        <f>IF($D149="","",0)</f>
      </c>
      <c r="N149" s="7">
        <f>IF($D149="","",0)</f>
      </c>
      <c r="O149" s="7">
        <f>IF($D149="","",IF(OR(L149=0,J149="",IFERROR(INDEX('Challan Master'!$D$4:$D$207,MATCH($B149,'Challan Master'!$S$4:$S$207,0)),"")="",IFERROR(INDEX('Challan Master'!$D$4:$D$207,MATCH($B149,'Challan Master'!$S$4:$S$207,0)),"")&lt;=0),0,IF(IFERROR(INDEX('Challan Master'!$D$4:$D$207,MATCH($B149,'Challan Master'!$S$4:$S$207,0)),"")&lt;=DATE(YEAR(J149),MONTH(J149)+1,7),0,ROUND(L149*0.015*((YEAR(IFERROR(INDEX('Challan Master'!$D$4:$D$207,MATCH($B149,'Challan Master'!$S$4:$S$207,0)),""))-YEAR(J149))*12+(MONTH(IFERROR(INDEX('Challan Master'!$D$4:$D$207,MATCH($B149,'Challan Master'!$S$4:$S$207,0)),""))-MONTH(J149))+1),0))))</f>
      </c>
      <c r="P149" s="7">
        <f>IF($D149="","",0)</f>
      </c>
      <c r="Q149" s="8"/>
      <c r="R149" s="8"/>
      <c r="S149" s="8"/>
      <c r="T149" s="8"/>
      <c r="U149" s="8"/>
      <c r="V149" s="7">
        <f>IF($B149="","",IFERROR(INDEX('Challan Master'!$AA$4:$AA$207,MATCH($B149,'Challan Master'!$S$4:$S$207,0)),""))</f>
      </c>
    </row>
    <row r="150" spans="1:22" x14ac:dyDescent="0.25">
      <c r="A150" s="7">
        <f>IF($D150="","",COUNTIF($D$4:$D150,"&lt;&gt;"))</f>
      </c>
      <c r="B150" s="8"/>
      <c r="C150" s="7">
        <f>IF($B150="","","BSR "&amp;IFERROR(INDEX('Challan Master'!$B$4:$B$207,MATCH($B150,'Challan Master'!$S$4:$S$207,0)),"")&amp;" | Serial "&amp;IFERROR(INDEX('Challan Master'!$C$4:$C$207,MATCH($B150,'Challan Master'!$S$4:$S$207,0)),"")&amp;" | Deposit "&amp;TEXT(IFERROR(INDEX('Challan Master'!$D$4:$D$207,MATCH($B150,'Challan Master'!$S$4:$S$207,0)),""),"dd-mm-yyyy")&amp;" | Minor Head "&amp;IFERROR(INDEX('Challan Master'!$E$4:$E$207,MATCH($B150,'Challan Master'!$S$4:$S$207,0)),"")&amp;" | Tax ₹"&amp;TEXT(IFERROR(INDEX('Challan Master'!$G$4:$G$207,MATCH($B150,'Challan Master'!$S$4:$S$207,0)),""),"#,##0")&amp;" | Section "&amp;IFERROR(INDEX('Challan Master'!$F$4:$F$207,MATCH($B150,'Challan Master'!$S$4:$S$207,0)),""))</f>
      </c>
      <c r="D150" s="8"/>
      <c r="E150" s="8"/>
      <c r="F150" s="7">
        <f>IF($D150="","",IF(AND(LEN(TRIM(UPPER(E150)))=10,CODE(MID(TRIM(UPPER(E150)),1,1))&gt;=65,CODE(MID(TRIM(UPPER(E150)),1,1))&lt;=90,CODE(MID(TRIM(UPPER(E150)),2,1))&gt;=65,CODE(MID(TRIM(UPPER(E150)),2,1))&lt;=90,CODE(MID(TRIM(UPPER(E150)),3,1))&gt;=65,CODE(MID(TRIM(UPPER(E150)),3,1))&lt;=90,CODE(MID(TRIM(UPPER(E150)),4,1))&gt;=65,CODE(MID(TRIM(UPPER(E150)),4,1))&lt;=90,CODE(MID(TRIM(UPPER(E150)),5,1))&gt;=65,CODE(MID(TRIM(UPPER(E150)),5,1))&lt;=90,CODE(MID(TRIM(UPPER(E150)),10,1))&gt;=65,CODE(MID(TRIM(UPPER(E150)),10,1))&lt;=90,CODE(MID(TRIM(UPPER(E150)),6,1))&gt;=48,CODE(MID(TRIM(UPPER(E150)),6,1))&lt;=57,CODE(MID(TRIM(UPPER(E150)),7,1))&gt;=48,CODE(MID(TRIM(UPPER(E150)),7,1))&lt;=57,CODE(MID(TRIM(UPPER(E150)),8,1))&gt;=48,CODE(MID(TRIM(UPPER(E150)),8,1))&lt;=57,CODE(MID(TRIM(UPPER(E150)),9,1))&gt;=48,CODE(MID(TRIM(UPPER(E150)),9,1))&lt;=57),"N","Y"))</f>
      </c>
      <c r="G150" s="7">
        <f>IF($D150="","",IF(LEN(E150)&lt;4,"",IF(UPPER(MID(E150,4,1))="P","Individual",IF(UPPER(MID(E150,4,1))="H","HUF",IF(UPPER(MID(E150,4,1))="C","Company",IF(UPPER(MID(E150,4,1))="F","Firm",IF(UPPER(MID(E150,4,1))="L","LLP",IF(UPPER(MID(E150,4,1))="T","Trust",IF(UPPER(MID(E150,4,1))="A","AOP","")))))))))</f>
      </c>
      <c r="H150" s="8"/>
      <c r="I150" s="7">
        <f>IF($D150="","",IF(H150="","",IF(F150="Y",SUMPRODUCT(('Rate Lookup'!$A$1:$A$37=H150)*'Rate Lookup'!$D$1:$D$37),IF(OR(G150="Individual",G150="HUF"),SUMPRODUCT(('Rate Lookup'!$A$1:$A$37=H150)*'Rate Lookup'!$B$1:$B$37),SUMPRODUCT(('Rate Lookup'!$A$1:$A$37=H150)*'Rate Lookup'!$C$1:$C$37)))))</f>
      </c>
      <c r="J150" s="8"/>
      <c r="K150" s="8"/>
      <c r="L150" s="7">
        <f>IF($D150="","",ROUND(K150*I150/100,0))</f>
      </c>
      <c r="M150" s="7">
        <f>IF($D150="","",0)</f>
      </c>
      <c r="N150" s="7">
        <f>IF($D150="","",0)</f>
      </c>
      <c r="O150" s="7">
        <f>IF($D150="","",IF(OR(L150=0,J150="",IFERROR(INDEX('Challan Master'!$D$4:$D$207,MATCH($B150,'Challan Master'!$S$4:$S$207,0)),"")="",IFERROR(INDEX('Challan Master'!$D$4:$D$207,MATCH($B150,'Challan Master'!$S$4:$S$207,0)),"")&lt;=0),0,IF(IFERROR(INDEX('Challan Master'!$D$4:$D$207,MATCH($B150,'Challan Master'!$S$4:$S$207,0)),"")&lt;=DATE(YEAR(J150),MONTH(J150)+1,7),0,ROUND(L150*0.015*((YEAR(IFERROR(INDEX('Challan Master'!$D$4:$D$207,MATCH($B150,'Challan Master'!$S$4:$S$207,0)),""))-YEAR(J150))*12+(MONTH(IFERROR(INDEX('Challan Master'!$D$4:$D$207,MATCH($B150,'Challan Master'!$S$4:$S$207,0)),""))-MONTH(J150))+1),0))))</f>
      </c>
      <c r="P150" s="7">
        <f>IF($D150="","",0)</f>
      </c>
      <c r="Q150" s="8"/>
      <c r="R150" s="8"/>
      <c r="S150" s="8"/>
      <c r="T150" s="8"/>
      <c r="U150" s="8"/>
      <c r="V150" s="7">
        <f>IF($B150="","",IFERROR(INDEX('Challan Master'!$AA$4:$AA$207,MATCH($B150,'Challan Master'!$S$4:$S$207,0)),""))</f>
      </c>
    </row>
    <row r="151" spans="1:22" x14ac:dyDescent="0.25">
      <c r="A151" s="7">
        <f>IF($D151="","",COUNTIF($D$4:$D151,"&lt;&gt;"))</f>
      </c>
      <c r="B151" s="8"/>
      <c r="C151" s="7">
        <f>IF($B151="","","BSR "&amp;IFERROR(INDEX('Challan Master'!$B$4:$B$207,MATCH($B151,'Challan Master'!$S$4:$S$207,0)),"")&amp;" | Serial "&amp;IFERROR(INDEX('Challan Master'!$C$4:$C$207,MATCH($B151,'Challan Master'!$S$4:$S$207,0)),"")&amp;" | Deposit "&amp;TEXT(IFERROR(INDEX('Challan Master'!$D$4:$D$207,MATCH($B151,'Challan Master'!$S$4:$S$207,0)),""),"dd-mm-yyyy")&amp;" | Minor Head "&amp;IFERROR(INDEX('Challan Master'!$E$4:$E$207,MATCH($B151,'Challan Master'!$S$4:$S$207,0)),"")&amp;" | Tax ₹"&amp;TEXT(IFERROR(INDEX('Challan Master'!$G$4:$G$207,MATCH($B151,'Challan Master'!$S$4:$S$207,0)),""),"#,##0")&amp;" | Section "&amp;IFERROR(INDEX('Challan Master'!$F$4:$F$207,MATCH($B151,'Challan Master'!$S$4:$S$207,0)),""))</f>
      </c>
      <c r="D151" s="8"/>
      <c r="E151" s="8"/>
      <c r="F151" s="7">
        <f>IF($D151="","",IF(AND(LEN(TRIM(UPPER(E151)))=10,CODE(MID(TRIM(UPPER(E151)),1,1))&gt;=65,CODE(MID(TRIM(UPPER(E151)),1,1))&lt;=90,CODE(MID(TRIM(UPPER(E151)),2,1))&gt;=65,CODE(MID(TRIM(UPPER(E151)),2,1))&lt;=90,CODE(MID(TRIM(UPPER(E151)),3,1))&gt;=65,CODE(MID(TRIM(UPPER(E151)),3,1))&lt;=90,CODE(MID(TRIM(UPPER(E151)),4,1))&gt;=65,CODE(MID(TRIM(UPPER(E151)),4,1))&lt;=90,CODE(MID(TRIM(UPPER(E151)),5,1))&gt;=65,CODE(MID(TRIM(UPPER(E151)),5,1))&lt;=90,CODE(MID(TRIM(UPPER(E151)),10,1))&gt;=65,CODE(MID(TRIM(UPPER(E151)),10,1))&lt;=90,CODE(MID(TRIM(UPPER(E151)),6,1))&gt;=48,CODE(MID(TRIM(UPPER(E151)),6,1))&lt;=57,CODE(MID(TRIM(UPPER(E151)),7,1))&gt;=48,CODE(MID(TRIM(UPPER(E151)),7,1))&lt;=57,CODE(MID(TRIM(UPPER(E151)),8,1))&gt;=48,CODE(MID(TRIM(UPPER(E151)),8,1))&lt;=57,CODE(MID(TRIM(UPPER(E151)),9,1))&gt;=48,CODE(MID(TRIM(UPPER(E151)),9,1))&lt;=57),"N","Y"))</f>
      </c>
      <c r="G151" s="7">
        <f>IF($D151="","",IF(LEN(E151)&lt;4,"",IF(UPPER(MID(E151,4,1))="P","Individual",IF(UPPER(MID(E151,4,1))="H","HUF",IF(UPPER(MID(E151,4,1))="C","Company",IF(UPPER(MID(E151,4,1))="F","Firm",IF(UPPER(MID(E151,4,1))="L","LLP",IF(UPPER(MID(E151,4,1))="T","Trust",IF(UPPER(MID(E151,4,1))="A","AOP","")))))))))</f>
      </c>
      <c r="H151" s="8"/>
      <c r="I151" s="7">
        <f>IF($D151="","",IF(H151="","",IF(F151="Y",SUMPRODUCT(('Rate Lookup'!$A$1:$A$37=H151)*'Rate Lookup'!$D$1:$D$37),IF(OR(G151="Individual",G151="HUF"),SUMPRODUCT(('Rate Lookup'!$A$1:$A$37=H151)*'Rate Lookup'!$B$1:$B$37),SUMPRODUCT(('Rate Lookup'!$A$1:$A$37=H151)*'Rate Lookup'!$C$1:$C$37)))))</f>
      </c>
      <c r="J151" s="8"/>
      <c r="K151" s="8"/>
      <c r="L151" s="7">
        <f>IF($D151="","",ROUND(K151*I151/100,0))</f>
      </c>
      <c r="M151" s="7">
        <f>IF($D151="","",0)</f>
      </c>
      <c r="N151" s="7">
        <f>IF($D151="","",0)</f>
      </c>
      <c r="O151" s="7">
        <f>IF($D151="","",IF(OR(L151=0,J151="",IFERROR(INDEX('Challan Master'!$D$4:$D$207,MATCH($B151,'Challan Master'!$S$4:$S$207,0)),"")="",IFERROR(INDEX('Challan Master'!$D$4:$D$207,MATCH($B151,'Challan Master'!$S$4:$S$207,0)),"")&lt;=0),0,IF(IFERROR(INDEX('Challan Master'!$D$4:$D$207,MATCH($B151,'Challan Master'!$S$4:$S$207,0)),"")&lt;=DATE(YEAR(J151),MONTH(J151)+1,7),0,ROUND(L151*0.015*((YEAR(IFERROR(INDEX('Challan Master'!$D$4:$D$207,MATCH($B151,'Challan Master'!$S$4:$S$207,0)),""))-YEAR(J151))*12+(MONTH(IFERROR(INDEX('Challan Master'!$D$4:$D$207,MATCH($B151,'Challan Master'!$S$4:$S$207,0)),""))-MONTH(J151))+1),0))))</f>
      </c>
      <c r="P151" s="7">
        <f>IF($D151="","",0)</f>
      </c>
      <c r="Q151" s="8"/>
      <c r="R151" s="8"/>
      <c r="S151" s="8"/>
      <c r="T151" s="8"/>
      <c r="U151" s="8"/>
      <c r="V151" s="7">
        <f>IF($B151="","",IFERROR(INDEX('Challan Master'!$AA$4:$AA$207,MATCH($B151,'Challan Master'!$S$4:$S$207,0)),""))</f>
      </c>
    </row>
    <row r="152" spans="1:22" x14ac:dyDescent="0.25">
      <c r="A152" s="7">
        <f>IF($D152="","",COUNTIF($D$4:$D152,"&lt;&gt;"))</f>
      </c>
      <c r="B152" s="8"/>
      <c r="C152" s="7">
        <f>IF($B152="","","BSR "&amp;IFERROR(INDEX('Challan Master'!$B$4:$B$207,MATCH($B152,'Challan Master'!$S$4:$S$207,0)),"")&amp;" | Serial "&amp;IFERROR(INDEX('Challan Master'!$C$4:$C$207,MATCH($B152,'Challan Master'!$S$4:$S$207,0)),"")&amp;" | Deposit "&amp;TEXT(IFERROR(INDEX('Challan Master'!$D$4:$D$207,MATCH($B152,'Challan Master'!$S$4:$S$207,0)),""),"dd-mm-yyyy")&amp;" | Minor Head "&amp;IFERROR(INDEX('Challan Master'!$E$4:$E$207,MATCH($B152,'Challan Master'!$S$4:$S$207,0)),"")&amp;" | Tax ₹"&amp;TEXT(IFERROR(INDEX('Challan Master'!$G$4:$G$207,MATCH($B152,'Challan Master'!$S$4:$S$207,0)),""),"#,##0")&amp;" | Section "&amp;IFERROR(INDEX('Challan Master'!$F$4:$F$207,MATCH($B152,'Challan Master'!$S$4:$S$207,0)),""))</f>
      </c>
      <c r="D152" s="8"/>
      <c r="E152" s="8"/>
      <c r="F152" s="7">
        <f>IF($D152="","",IF(AND(LEN(TRIM(UPPER(E152)))=10,CODE(MID(TRIM(UPPER(E152)),1,1))&gt;=65,CODE(MID(TRIM(UPPER(E152)),1,1))&lt;=90,CODE(MID(TRIM(UPPER(E152)),2,1))&gt;=65,CODE(MID(TRIM(UPPER(E152)),2,1))&lt;=90,CODE(MID(TRIM(UPPER(E152)),3,1))&gt;=65,CODE(MID(TRIM(UPPER(E152)),3,1))&lt;=90,CODE(MID(TRIM(UPPER(E152)),4,1))&gt;=65,CODE(MID(TRIM(UPPER(E152)),4,1))&lt;=90,CODE(MID(TRIM(UPPER(E152)),5,1))&gt;=65,CODE(MID(TRIM(UPPER(E152)),5,1))&lt;=90,CODE(MID(TRIM(UPPER(E152)),10,1))&gt;=65,CODE(MID(TRIM(UPPER(E152)),10,1))&lt;=90,CODE(MID(TRIM(UPPER(E152)),6,1))&gt;=48,CODE(MID(TRIM(UPPER(E152)),6,1))&lt;=57,CODE(MID(TRIM(UPPER(E152)),7,1))&gt;=48,CODE(MID(TRIM(UPPER(E152)),7,1))&lt;=57,CODE(MID(TRIM(UPPER(E152)),8,1))&gt;=48,CODE(MID(TRIM(UPPER(E152)),8,1))&lt;=57,CODE(MID(TRIM(UPPER(E152)),9,1))&gt;=48,CODE(MID(TRIM(UPPER(E152)),9,1))&lt;=57),"N","Y"))</f>
      </c>
      <c r="G152" s="7">
        <f>IF($D152="","",IF(LEN(E152)&lt;4,"",IF(UPPER(MID(E152,4,1))="P","Individual",IF(UPPER(MID(E152,4,1))="H","HUF",IF(UPPER(MID(E152,4,1))="C","Company",IF(UPPER(MID(E152,4,1))="F","Firm",IF(UPPER(MID(E152,4,1))="L","LLP",IF(UPPER(MID(E152,4,1))="T","Trust",IF(UPPER(MID(E152,4,1))="A","AOP","")))))))))</f>
      </c>
      <c r="H152" s="8"/>
      <c r="I152" s="7">
        <f>IF($D152="","",IF(H152="","",IF(F152="Y",SUMPRODUCT(('Rate Lookup'!$A$1:$A$37=H152)*'Rate Lookup'!$D$1:$D$37),IF(OR(G152="Individual",G152="HUF"),SUMPRODUCT(('Rate Lookup'!$A$1:$A$37=H152)*'Rate Lookup'!$B$1:$B$37),SUMPRODUCT(('Rate Lookup'!$A$1:$A$37=H152)*'Rate Lookup'!$C$1:$C$37)))))</f>
      </c>
      <c r="J152" s="8"/>
      <c r="K152" s="8"/>
      <c r="L152" s="7">
        <f>IF($D152="","",ROUND(K152*I152/100,0))</f>
      </c>
      <c r="M152" s="7">
        <f>IF($D152="","",0)</f>
      </c>
      <c r="N152" s="7">
        <f>IF($D152="","",0)</f>
      </c>
      <c r="O152" s="7">
        <f>IF($D152="","",IF(OR(L152=0,J152="",IFERROR(INDEX('Challan Master'!$D$4:$D$207,MATCH($B152,'Challan Master'!$S$4:$S$207,0)),"")="",IFERROR(INDEX('Challan Master'!$D$4:$D$207,MATCH($B152,'Challan Master'!$S$4:$S$207,0)),"")&lt;=0),0,IF(IFERROR(INDEX('Challan Master'!$D$4:$D$207,MATCH($B152,'Challan Master'!$S$4:$S$207,0)),"")&lt;=DATE(YEAR(J152),MONTH(J152)+1,7),0,ROUND(L152*0.015*((YEAR(IFERROR(INDEX('Challan Master'!$D$4:$D$207,MATCH($B152,'Challan Master'!$S$4:$S$207,0)),""))-YEAR(J152))*12+(MONTH(IFERROR(INDEX('Challan Master'!$D$4:$D$207,MATCH($B152,'Challan Master'!$S$4:$S$207,0)),""))-MONTH(J152))+1),0))))</f>
      </c>
      <c r="P152" s="7">
        <f>IF($D152="","",0)</f>
      </c>
      <c r="Q152" s="8"/>
      <c r="R152" s="8"/>
      <c r="S152" s="8"/>
      <c r="T152" s="8"/>
      <c r="U152" s="8"/>
      <c r="V152" s="7">
        <f>IF($B152="","",IFERROR(INDEX('Challan Master'!$AA$4:$AA$207,MATCH($B152,'Challan Master'!$S$4:$S$207,0)),""))</f>
      </c>
    </row>
    <row r="153" spans="1:22" x14ac:dyDescent="0.25">
      <c r="A153" s="7">
        <f>IF($D153="","",COUNTIF($D$4:$D153,"&lt;&gt;"))</f>
      </c>
      <c r="B153" s="8"/>
      <c r="C153" s="7">
        <f>IF($B153="","","BSR "&amp;IFERROR(INDEX('Challan Master'!$B$4:$B$207,MATCH($B153,'Challan Master'!$S$4:$S$207,0)),"")&amp;" | Serial "&amp;IFERROR(INDEX('Challan Master'!$C$4:$C$207,MATCH($B153,'Challan Master'!$S$4:$S$207,0)),"")&amp;" | Deposit "&amp;TEXT(IFERROR(INDEX('Challan Master'!$D$4:$D$207,MATCH($B153,'Challan Master'!$S$4:$S$207,0)),""),"dd-mm-yyyy")&amp;" | Minor Head "&amp;IFERROR(INDEX('Challan Master'!$E$4:$E$207,MATCH($B153,'Challan Master'!$S$4:$S$207,0)),"")&amp;" | Tax ₹"&amp;TEXT(IFERROR(INDEX('Challan Master'!$G$4:$G$207,MATCH($B153,'Challan Master'!$S$4:$S$207,0)),""),"#,##0")&amp;" | Section "&amp;IFERROR(INDEX('Challan Master'!$F$4:$F$207,MATCH($B153,'Challan Master'!$S$4:$S$207,0)),""))</f>
      </c>
      <c r="D153" s="8"/>
      <c r="E153" s="8"/>
      <c r="F153" s="7">
        <f>IF($D153="","",IF(AND(LEN(TRIM(UPPER(E153)))=10,CODE(MID(TRIM(UPPER(E153)),1,1))&gt;=65,CODE(MID(TRIM(UPPER(E153)),1,1))&lt;=90,CODE(MID(TRIM(UPPER(E153)),2,1))&gt;=65,CODE(MID(TRIM(UPPER(E153)),2,1))&lt;=90,CODE(MID(TRIM(UPPER(E153)),3,1))&gt;=65,CODE(MID(TRIM(UPPER(E153)),3,1))&lt;=90,CODE(MID(TRIM(UPPER(E153)),4,1))&gt;=65,CODE(MID(TRIM(UPPER(E153)),4,1))&lt;=90,CODE(MID(TRIM(UPPER(E153)),5,1))&gt;=65,CODE(MID(TRIM(UPPER(E153)),5,1))&lt;=90,CODE(MID(TRIM(UPPER(E153)),10,1))&gt;=65,CODE(MID(TRIM(UPPER(E153)),10,1))&lt;=90,CODE(MID(TRIM(UPPER(E153)),6,1))&gt;=48,CODE(MID(TRIM(UPPER(E153)),6,1))&lt;=57,CODE(MID(TRIM(UPPER(E153)),7,1))&gt;=48,CODE(MID(TRIM(UPPER(E153)),7,1))&lt;=57,CODE(MID(TRIM(UPPER(E153)),8,1))&gt;=48,CODE(MID(TRIM(UPPER(E153)),8,1))&lt;=57,CODE(MID(TRIM(UPPER(E153)),9,1))&gt;=48,CODE(MID(TRIM(UPPER(E153)),9,1))&lt;=57),"N","Y"))</f>
      </c>
      <c r="G153" s="7">
        <f>IF($D153="","",IF(LEN(E153)&lt;4,"",IF(UPPER(MID(E153,4,1))="P","Individual",IF(UPPER(MID(E153,4,1))="H","HUF",IF(UPPER(MID(E153,4,1))="C","Company",IF(UPPER(MID(E153,4,1))="F","Firm",IF(UPPER(MID(E153,4,1))="L","LLP",IF(UPPER(MID(E153,4,1))="T","Trust",IF(UPPER(MID(E153,4,1))="A","AOP","")))))))))</f>
      </c>
      <c r="H153" s="8"/>
      <c r="I153" s="7">
        <f>IF($D153="","",IF(H153="","",IF(F153="Y",SUMPRODUCT(('Rate Lookup'!$A$1:$A$37=H153)*'Rate Lookup'!$D$1:$D$37),IF(OR(G153="Individual",G153="HUF"),SUMPRODUCT(('Rate Lookup'!$A$1:$A$37=H153)*'Rate Lookup'!$B$1:$B$37),SUMPRODUCT(('Rate Lookup'!$A$1:$A$37=H153)*'Rate Lookup'!$C$1:$C$37)))))</f>
      </c>
      <c r="J153" s="8"/>
      <c r="K153" s="8"/>
      <c r="L153" s="7">
        <f>IF($D153="","",ROUND(K153*I153/100,0))</f>
      </c>
      <c r="M153" s="7">
        <f>IF($D153="","",0)</f>
      </c>
      <c r="N153" s="7">
        <f>IF($D153="","",0)</f>
      </c>
      <c r="O153" s="7">
        <f>IF($D153="","",IF(OR(L153=0,J153="",IFERROR(INDEX('Challan Master'!$D$4:$D$207,MATCH($B153,'Challan Master'!$S$4:$S$207,0)),"")="",IFERROR(INDEX('Challan Master'!$D$4:$D$207,MATCH($B153,'Challan Master'!$S$4:$S$207,0)),"")&lt;=0),0,IF(IFERROR(INDEX('Challan Master'!$D$4:$D$207,MATCH($B153,'Challan Master'!$S$4:$S$207,0)),"")&lt;=DATE(YEAR(J153),MONTH(J153)+1,7),0,ROUND(L153*0.015*((YEAR(IFERROR(INDEX('Challan Master'!$D$4:$D$207,MATCH($B153,'Challan Master'!$S$4:$S$207,0)),""))-YEAR(J153))*12+(MONTH(IFERROR(INDEX('Challan Master'!$D$4:$D$207,MATCH($B153,'Challan Master'!$S$4:$S$207,0)),""))-MONTH(J153))+1),0))))</f>
      </c>
      <c r="P153" s="7">
        <f>IF($D153="","",0)</f>
      </c>
      <c r="Q153" s="8"/>
      <c r="R153" s="8"/>
      <c r="S153" s="8"/>
      <c r="T153" s="8"/>
      <c r="U153" s="8"/>
      <c r="V153" s="7">
        <f>IF($B153="","",IFERROR(INDEX('Challan Master'!$AA$4:$AA$207,MATCH($B153,'Challan Master'!$S$4:$S$207,0)),""))</f>
      </c>
    </row>
    <row r="154" spans="1:22" x14ac:dyDescent="0.25">
      <c r="A154" s="7">
        <f>IF($D154="","",COUNTIF($D$4:$D154,"&lt;&gt;"))</f>
      </c>
      <c r="B154" s="8"/>
      <c r="C154" s="7">
        <f>IF($B154="","","BSR "&amp;IFERROR(INDEX('Challan Master'!$B$4:$B$207,MATCH($B154,'Challan Master'!$S$4:$S$207,0)),"")&amp;" | Serial "&amp;IFERROR(INDEX('Challan Master'!$C$4:$C$207,MATCH($B154,'Challan Master'!$S$4:$S$207,0)),"")&amp;" | Deposit "&amp;TEXT(IFERROR(INDEX('Challan Master'!$D$4:$D$207,MATCH($B154,'Challan Master'!$S$4:$S$207,0)),""),"dd-mm-yyyy")&amp;" | Minor Head "&amp;IFERROR(INDEX('Challan Master'!$E$4:$E$207,MATCH($B154,'Challan Master'!$S$4:$S$207,0)),"")&amp;" | Tax ₹"&amp;TEXT(IFERROR(INDEX('Challan Master'!$G$4:$G$207,MATCH($B154,'Challan Master'!$S$4:$S$207,0)),""),"#,##0")&amp;" | Section "&amp;IFERROR(INDEX('Challan Master'!$F$4:$F$207,MATCH($B154,'Challan Master'!$S$4:$S$207,0)),""))</f>
      </c>
      <c r="D154" s="8"/>
      <c r="E154" s="8"/>
      <c r="F154" s="7">
        <f>IF($D154="","",IF(AND(LEN(TRIM(UPPER(E154)))=10,CODE(MID(TRIM(UPPER(E154)),1,1))&gt;=65,CODE(MID(TRIM(UPPER(E154)),1,1))&lt;=90,CODE(MID(TRIM(UPPER(E154)),2,1))&gt;=65,CODE(MID(TRIM(UPPER(E154)),2,1))&lt;=90,CODE(MID(TRIM(UPPER(E154)),3,1))&gt;=65,CODE(MID(TRIM(UPPER(E154)),3,1))&lt;=90,CODE(MID(TRIM(UPPER(E154)),4,1))&gt;=65,CODE(MID(TRIM(UPPER(E154)),4,1))&lt;=90,CODE(MID(TRIM(UPPER(E154)),5,1))&gt;=65,CODE(MID(TRIM(UPPER(E154)),5,1))&lt;=90,CODE(MID(TRIM(UPPER(E154)),10,1))&gt;=65,CODE(MID(TRIM(UPPER(E154)),10,1))&lt;=90,CODE(MID(TRIM(UPPER(E154)),6,1))&gt;=48,CODE(MID(TRIM(UPPER(E154)),6,1))&lt;=57,CODE(MID(TRIM(UPPER(E154)),7,1))&gt;=48,CODE(MID(TRIM(UPPER(E154)),7,1))&lt;=57,CODE(MID(TRIM(UPPER(E154)),8,1))&gt;=48,CODE(MID(TRIM(UPPER(E154)),8,1))&lt;=57,CODE(MID(TRIM(UPPER(E154)),9,1))&gt;=48,CODE(MID(TRIM(UPPER(E154)),9,1))&lt;=57),"N","Y"))</f>
      </c>
      <c r="G154" s="7">
        <f>IF($D154="","",IF(LEN(E154)&lt;4,"",IF(UPPER(MID(E154,4,1))="P","Individual",IF(UPPER(MID(E154,4,1))="H","HUF",IF(UPPER(MID(E154,4,1))="C","Company",IF(UPPER(MID(E154,4,1))="F","Firm",IF(UPPER(MID(E154,4,1))="L","LLP",IF(UPPER(MID(E154,4,1))="T","Trust",IF(UPPER(MID(E154,4,1))="A","AOP","")))))))))</f>
      </c>
      <c r="H154" s="8"/>
      <c r="I154" s="7">
        <f>IF($D154="","",IF(H154="","",IF(F154="Y",SUMPRODUCT(('Rate Lookup'!$A$1:$A$37=H154)*'Rate Lookup'!$D$1:$D$37),IF(OR(G154="Individual",G154="HUF"),SUMPRODUCT(('Rate Lookup'!$A$1:$A$37=H154)*'Rate Lookup'!$B$1:$B$37),SUMPRODUCT(('Rate Lookup'!$A$1:$A$37=H154)*'Rate Lookup'!$C$1:$C$37)))))</f>
      </c>
      <c r="J154" s="8"/>
      <c r="K154" s="8"/>
      <c r="L154" s="7">
        <f>IF($D154="","",ROUND(K154*I154/100,0))</f>
      </c>
      <c r="M154" s="7">
        <f>IF($D154="","",0)</f>
      </c>
      <c r="N154" s="7">
        <f>IF($D154="","",0)</f>
      </c>
      <c r="O154" s="7">
        <f>IF($D154="","",IF(OR(L154=0,J154="",IFERROR(INDEX('Challan Master'!$D$4:$D$207,MATCH($B154,'Challan Master'!$S$4:$S$207,0)),"")="",IFERROR(INDEX('Challan Master'!$D$4:$D$207,MATCH($B154,'Challan Master'!$S$4:$S$207,0)),"")&lt;=0),0,IF(IFERROR(INDEX('Challan Master'!$D$4:$D$207,MATCH($B154,'Challan Master'!$S$4:$S$207,0)),"")&lt;=DATE(YEAR(J154),MONTH(J154)+1,7),0,ROUND(L154*0.015*((YEAR(IFERROR(INDEX('Challan Master'!$D$4:$D$207,MATCH($B154,'Challan Master'!$S$4:$S$207,0)),""))-YEAR(J154))*12+(MONTH(IFERROR(INDEX('Challan Master'!$D$4:$D$207,MATCH($B154,'Challan Master'!$S$4:$S$207,0)),""))-MONTH(J154))+1),0))))</f>
      </c>
      <c r="P154" s="7">
        <f>IF($D154="","",0)</f>
      </c>
      <c r="Q154" s="8"/>
      <c r="R154" s="8"/>
      <c r="S154" s="8"/>
      <c r="T154" s="8"/>
      <c r="U154" s="8"/>
      <c r="V154" s="7">
        <f>IF($B154="","",IFERROR(INDEX('Challan Master'!$AA$4:$AA$207,MATCH($B154,'Challan Master'!$S$4:$S$207,0)),""))</f>
      </c>
    </row>
    <row r="155" spans="1:22" x14ac:dyDescent="0.25">
      <c r="A155" s="7">
        <f>IF($D155="","",COUNTIF($D$4:$D155,"&lt;&gt;"))</f>
      </c>
      <c r="B155" s="8"/>
      <c r="C155" s="7">
        <f>IF($B155="","","BSR "&amp;IFERROR(INDEX('Challan Master'!$B$4:$B$207,MATCH($B155,'Challan Master'!$S$4:$S$207,0)),"")&amp;" | Serial "&amp;IFERROR(INDEX('Challan Master'!$C$4:$C$207,MATCH($B155,'Challan Master'!$S$4:$S$207,0)),"")&amp;" | Deposit "&amp;TEXT(IFERROR(INDEX('Challan Master'!$D$4:$D$207,MATCH($B155,'Challan Master'!$S$4:$S$207,0)),""),"dd-mm-yyyy")&amp;" | Minor Head "&amp;IFERROR(INDEX('Challan Master'!$E$4:$E$207,MATCH($B155,'Challan Master'!$S$4:$S$207,0)),"")&amp;" | Tax ₹"&amp;TEXT(IFERROR(INDEX('Challan Master'!$G$4:$G$207,MATCH($B155,'Challan Master'!$S$4:$S$207,0)),""),"#,##0")&amp;" | Section "&amp;IFERROR(INDEX('Challan Master'!$F$4:$F$207,MATCH($B155,'Challan Master'!$S$4:$S$207,0)),""))</f>
      </c>
      <c r="D155" s="8"/>
      <c r="E155" s="8"/>
      <c r="F155" s="7">
        <f>IF($D155="","",IF(AND(LEN(TRIM(UPPER(E155)))=10,CODE(MID(TRIM(UPPER(E155)),1,1))&gt;=65,CODE(MID(TRIM(UPPER(E155)),1,1))&lt;=90,CODE(MID(TRIM(UPPER(E155)),2,1))&gt;=65,CODE(MID(TRIM(UPPER(E155)),2,1))&lt;=90,CODE(MID(TRIM(UPPER(E155)),3,1))&gt;=65,CODE(MID(TRIM(UPPER(E155)),3,1))&lt;=90,CODE(MID(TRIM(UPPER(E155)),4,1))&gt;=65,CODE(MID(TRIM(UPPER(E155)),4,1))&lt;=90,CODE(MID(TRIM(UPPER(E155)),5,1))&gt;=65,CODE(MID(TRIM(UPPER(E155)),5,1))&lt;=90,CODE(MID(TRIM(UPPER(E155)),10,1))&gt;=65,CODE(MID(TRIM(UPPER(E155)),10,1))&lt;=90,CODE(MID(TRIM(UPPER(E155)),6,1))&gt;=48,CODE(MID(TRIM(UPPER(E155)),6,1))&lt;=57,CODE(MID(TRIM(UPPER(E155)),7,1))&gt;=48,CODE(MID(TRIM(UPPER(E155)),7,1))&lt;=57,CODE(MID(TRIM(UPPER(E155)),8,1))&gt;=48,CODE(MID(TRIM(UPPER(E155)),8,1))&lt;=57,CODE(MID(TRIM(UPPER(E155)),9,1))&gt;=48,CODE(MID(TRIM(UPPER(E155)),9,1))&lt;=57),"N","Y"))</f>
      </c>
      <c r="G155" s="7">
        <f>IF($D155="","",IF(LEN(E155)&lt;4,"",IF(UPPER(MID(E155,4,1))="P","Individual",IF(UPPER(MID(E155,4,1))="H","HUF",IF(UPPER(MID(E155,4,1))="C","Company",IF(UPPER(MID(E155,4,1))="F","Firm",IF(UPPER(MID(E155,4,1))="L","LLP",IF(UPPER(MID(E155,4,1))="T","Trust",IF(UPPER(MID(E155,4,1))="A","AOP","")))))))))</f>
      </c>
      <c r="H155" s="8"/>
      <c r="I155" s="7">
        <f>IF($D155="","",IF(H155="","",IF(F155="Y",SUMPRODUCT(('Rate Lookup'!$A$1:$A$37=H155)*'Rate Lookup'!$D$1:$D$37),IF(OR(G155="Individual",G155="HUF"),SUMPRODUCT(('Rate Lookup'!$A$1:$A$37=H155)*'Rate Lookup'!$B$1:$B$37),SUMPRODUCT(('Rate Lookup'!$A$1:$A$37=H155)*'Rate Lookup'!$C$1:$C$37)))))</f>
      </c>
      <c r="J155" s="8"/>
      <c r="K155" s="8"/>
      <c r="L155" s="7">
        <f>IF($D155="","",ROUND(K155*I155/100,0))</f>
      </c>
      <c r="M155" s="7">
        <f>IF($D155="","",0)</f>
      </c>
      <c r="N155" s="7">
        <f>IF($D155="","",0)</f>
      </c>
      <c r="O155" s="7">
        <f>IF($D155="","",IF(OR(L155=0,J155="",IFERROR(INDEX('Challan Master'!$D$4:$D$207,MATCH($B155,'Challan Master'!$S$4:$S$207,0)),"")="",IFERROR(INDEX('Challan Master'!$D$4:$D$207,MATCH($B155,'Challan Master'!$S$4:$S$207,0)),"")&lt;=0),0,IF(IFERROR(INDEX('Challan Master'!$D$4:$D$207,MATCH($B155,'Challan Master'!$S$4:$S$207,0)),"")&lt;=DATE(YEAR(J155),MONTH(J155)+1,7),0,ROUND(L155*0.015*((YEAR(IFERROR(INDEX('Challan Master'!$D$4:$D$207,MATCH($B155,'Challan Master'!$S$4:$S$207,0)),""))-YEAR(J155))*12+(MONTH(IFERROR(INDEX('Challan Master'!$D$4:$D$207,MATCH($B155,'Challan Master'!$S$4:$S$207,0)),""))-MONTH(J155))+1),0))))</f>
      </c>
      <c r="P155" s="7">
        <f>IF($D155="","",0)</f>
      </c>
      <c r="Q155" s="8"/>
      <c r="R155" s="8"/>
      <c r="S155" s="8"/>
      <c r="T155" s="8"/>
      <c r="U155" s="8"/>
      <c r="V155" s="7">
        <f>IF($B155="","",IFERROR(INDEX('Challan Master'!$AA$4:$AA$207,MATCH($B155,'Challan Master'!$S$4:$S$207,0)),""))</f>
      </c>
    </row>
    <row r="156" spans="1:22" x14ac:dyDescent="0.25">
      <c r="A156" s="7">
        <f>IF($D156="","",COUNTIF($D$4:$D156,"&lt;&gt;"))</f>
      </c>
      <c r="B156" s="8"/>
      <c r="C156" s="7">
        <f>IF($B156="","","BSR "&amp;IFERROR(INDEX('Challan Master'!$B$4:$B$207,MATCH($B156,'Challan Master'!$S$4:$S$207,0)),"")&amp;" | Serial "&amp;IFERROR(INDEX('Challan Master'!$C$4:$C$207,MATCH($B156,'Challan Master'!$S$4:$S$207,0)),"")&amp;" | Deposit "&amp;TEXT(IFERROR(INDEX('Challan Master'!$D$4:$D$207,MATCH($B156,'Challan Master'!$S$4:$S$207,0)),""),"dd-mm-yyyy")&amp;" | Minor Head "&amp;IFERROR(INDEX('Challan Master'!$E$4:$E$207,MATCH($B156,'Challan Master'!$S$4:$S$207,0)),"")&amp;" | Tax ₹"&amp;TEXT(IFERROR(INDEX('Challan Master'!$G$4:$G$207,MATCH($B156,'Challan Master'!$S$4:$S$207,0)),""),"#,##0")&amp;" | Section "&amp;IFERROR(INDEX('Challan Master'!$F$4:$F$207,MATCH($B156,'Challan Master'!$S$4:$S$207,0)),""))</f>
      </c>
      <c r="D156" s="8"/>
      <c r="E156" s="8"/>
      <c r="F156" s="7">
        <f>IF($D156="","",IF(AND(LEN(TRIM(UPPER(E156)))=10,CODE(MID(TRIM(UPPER(E156)),1,1))&gt;=65,CODE(MID(TRIM(UPPER(E156)),1,1))&lt;=90,CODE(MID(TRIM(UPPER(E156)),2,1))&gt;=65,CODE(MID(TRIM(UPPER(E156)),2,1))&lt;=90,CODE(MID(TRIM(UPPER(E156)),3,1))&gt;=65,CODE(MID(TRIM(UPPER(E156)),3,1))&lt;=90,CODE(MID(TRIM(UPPER(E156)),4,1))&gt;=65,CODE(MID(TRIM(UPPER(E156)),4,1))&lt;=90,CODE(MID(TRIM(UPPER(E156)),5,1))&gt;=65,CODE(MID(TRIM(UPPER(E156)),5,1))&lt;=90,CODE(MID(TRIM(UPPER(E156)),10,1))&gt;=65,CODE(MID(TRIM(UPPER(E156)),10,1))&lt;=90,CODE(MID(TRIM(UPPER(E156)),6,1))&gt;=48,CODE(MID(TRIM(UPPER(E156)),6,1))&lt;=57,CODE(MID(TRIM(UPPER(E156)),7,1))&gt;=48,CODE(MID(TRIM(UPPER(E156)),7,1))&lt;=57,CODE(MID(TRIM(UPPER(E156)),8,1))&gt;=48,CODE(MID(TRIM(UPPER(E156)),8,1))&lt;=57,CODE(MID(TRIM(UPPER(E156)),9,1))&gt;=48,CODE(MID(TRIM(UPPER(E156)),9,1))&lt;=57),"N","Y"))</f>
      </c>
      <c r="G156" s="7">
        <f>IF($D156="","",IF(LEN(E156)&lt;4,"",IF(UPPER(MID(E156,4,1))="P","Individual",IF(UPPER(MID(E156,4,1))="H","HUF",IF(UPPER(MID(E156,4,1))="C","Company",IF(UPPER(MID(E156,4,1))="F","Firm",IF(UPPER(MID(E156,4,1))="L","LLP",IF(UPPER(MID(E156,4,1))="T","Trust",IF(UPPER(MID(E156,4,1))="A","AOP","")))))))))</f>
      </c>
      <c r="H156" s="8"/>
      <c r="I156" s="7">
        <f>IF($D156="","",IF(H156="","",IF(F156="Y",SUMPRODUCT(('Rate Lookup'!$A$1:$A$37=H156)*'Rate Lookup'!$D$1:$D$37),IF(OR(G156="Individual",G156="HUF"),SUMPRODUCT(('Rate Lookup'!$A$1:$A$37=H156)*'Rate Lookup'!$B$1:$B$37),SUMPRODUCT(('Rate Lookup'!$A$1:$A$37=H156)*'Rate Lookup'!$C$1:$C$37)))))</f>
      </c>
      <c r="J156" s="8"/>
      <c r="K156" s="8"/>
      <c r="L156" s="7">
        <f>IF($D156="","",ROUND(K156*I156/100,0))</f>
      </c>
      <c r="M156" s="7">
        <f>IF($D156="","",0)</f>
      </c>
      <c r="N156" s="7">
        <f>IF($D156="","",0)</f>
      </c>
      <c r="O156" s="7">
        <f>IF($D156="","",IF(OR(L156=0,J156="",IFERROR(INDEX('Challan Master'!$D$4:$D$207,MATCH($B156,'Challan Master'!$S$4:$S$207,0)),"")="",IFERROR(INDEX('Challan Master'!$D$4:$D$207,MATCH($B156,'Challan Master'!$S$4:$S$207,0)),"")&lt;=0),0,IF(IFERROR(INDEX('Challan Master'!$D$4:$D$207,MATCH($B156,'Challan Master'!$S$4:$S$207,0)),"")&lt;=DATE(YEAR(J156),MONTH(J156)+1,7),0,ROUND(L156*0.015*((YEAR(IFERROR(INDEX('Challan Master'!$D$4:$D$207,MATCH($B156,'Challan Master'!$S$4:$S$207,0)),""))-YEAR(J156))*12+(MONTH(IFERROR(INDEX('Challan Master'!$D$4:$D$207,MATCH($B156,'Challan Master'!$S$4:$S$207,0)),""))-MONTH(J156))+1),0))))</f>
      </c>
      <c r="P156" s="7">
        <f>IF($D156="","",0)</f>
      </c>
      <c r="Q156" s="8"/>
      <c r="R156" s="8"/>
      <c r="S156" s="8"/>
      <c r="T156" s="8"/>
      <c r="U156" s="8"/>
      <c r="V156" s="7">
        <f>IF($B156="","",IFERROR(INDEX('Challan Master'!$AA$4:$AA$207,MATCH($B156,'Challan Master'!$S$4:$S$207,0)),""))</f>
      </c>
    </row>
    <row r="157" spans="1:22" x14ac:dyDescent="0.25">
      <c r="A157" s="7">
        <f>IF($D157="","",COUNTIF($D$4:$D157,"&lt;&gt;"))</f>
      </c>
      <c r="B157" s="8"/>
      <c r="C157" s="7">
        <f>IF($B157="","","BSR "&amp;IFERROR(INDEX('Challan Master'!$B$4:$B$207,MATCH($B157,'Challan Master'!$S$4:$S$207,0)),"")&amp;" | Serial "&amp;IFERROR(INDEX('Challan Master'!$C$4:$C$207,MATCH($B157,'Challan Master'!$S$4:$S$207,0)),"")&amp;" | Deposit "&amp;TEXT(IFERROR(INDEX('Challan Master'!$D$4:$D$207,MATCH($B157,'Challan Master'!$S$4:$S$207,0)),""),"dd-mm-yyyy")&amp;" | Minor Head "&amp;IFERROR(INDEX('Challan Master'!$E$4:$E$207,MATCH($B157,'Challan Master'!$S$4:$S$207,0)),"")&amp;" | Tax ₹"&amp;TEXT(IFERROR(INDEX('Challan Master'!$G$4:$G$207,MATCH($B157,'Challan Master'!$S$4:$S$207,0)),""),"#,##0")&amp;" | Section "&amp;IFERROR(INDEX('Challan Master'!$F$4:$F$207,MATCH($B157,'Challan Master'!$S$4:$S$207,0)),""))</f>
      </c>
      <c r="D157" s="8"/>
      <c r="E157" s="8"/>
      <c r="F157" s="7">
        <f>IF($D157="","",IF(AND(LEN(TRIM(UPPER(E157)))=10,CODE(MID(TRIM(UPPER(E157)),1,1))&gt;=65,CODE(MID(TRIM(UPPER(E157)),1,1))&lt;=90,CODE(MID(TRIM(UPPER(E157)),2,1))&gt;=65,CODE(MID(TRIM(UPPER(E157)),2,1))&lt;=90,CODE(MID(TRIM(UPPER(E157)),3,1))&gt;=65,CODE(MID(TRIM(UPPER(E157)),3,1))&lt;=90,CODE(MID(TRIM(UPPER(E157)),4,1))&gt;=65,CODE(MID(TRIM(UPPER(E157)),4,1))&lt;=90,CODE(MID(TRIM(UPPER(E157)),5,1))&gt;=65,CODE(MID(TRIM(UPPER(E157)),5,1))&lt;=90,CODE(MID(TRIM(UPPER(E157)),10,1))&gt;=65,CODE(MID(TRIM(UPPER(E157)),10,1))&lt;=90,CODE(MID(TRIM(UPPER(E157)),6,1))&gt;=48,CODE(MID(TRIM(UPPER(E157)),6,1))&lt;=57,CODE(MID(TRIM(UPPER(E157)),7,1))&gt;=48,CODE(MID(TRIM(UPPER(E157)),7,1))&lt;=57,CODE(MID(TRIM(UPPER(E157)),8,1))&gt;=48,CODE(MID(TRIM(UPPER(E157)),8,1))&lt;=57,CODE(MID(TRIM(UPPER(E157)),9,1))&gt;=48,CODE(MID(TRIM(UPPER(E157)),9,1))&lt;=57),"N","Y"))</f>
      </c>
      <c r="G157" s="7">
        <f>IF($D157="","",IF(LEN(E157)&lt;4,"",IF(UPPER(MID(E157,4,1))="P","Individual",IF(UPPER(MID(E157,4,1))="H","HUF",IF(UPPER(MID(E157,4,1))="C","Company",IF(UPPER(MID(E157,4,1))="F","Firm",IF(UPPER(MID(E157,4,1))="L","LLP",IF(UPPER(MID(E157,4,1))="T","Trust",IF(UPPER(MID(E157,4,1))="A","AOP","")))))))))</f>
      </c>
      <c r="H157" s="8"/>
      <c r="I157" s="7">
        <f>IF($D157="","",IF(H157="","",IF(F157="Y",SUMPRODUCT(('Rate Lookup'!$A$1:$A$37=H157)*'Rate Lookup'!$D$1:$D$37),IF(OR(G157="Individual",G157="HUF"),SUMPRODUCT(('Rate Lookup'!$A$1:$A$37=H157)*'Rate Lookup'!$B$1:$B$37),SUMPRODUCT(('Rate Lookup'!$A$1:$A$37=H157)*'Rate Lookup'!$C$1:$C$37)))))</f>
      </c>
      <c r="J157" s="8"/>
      <c r="K157" s="8"/>
      <c r="L157" s="7">
        <f>IF($D157="","",ROUND(K157*I157/100,0))</f>
      </c>
      <c r="M157" s="7">
        <f>IF($D157="","",0)</f>
      </c>
      <c r="N157" s="7">
        <f>IF($D157="","",0)</f>
      </c>
      <c r="O157" s="7">
        <f>IF($D157="","",IF(OR(L157=0,J157="",IFERROR(INDEX('Challan Master'!$D$4:$D$207,MATCH($B157,'Challan Master'!$S$4:$S$207,0)),"")="",IFERROR(INDEX('Challan Master'!$D$4:$D$207,MATCH($B157,'Challan Master'!$S$4:$S$207,0)),"")&lt;=0),0,IF(IFERROR(INDEX('Challan Master'!$D$4:$D$207,MATCH($B157,'Challan Master'!$S$4:$S$207,0)),"")&lt;=DATE(YEAR(J157),MONTH(J157)+1,7),0,ROUND(L157*0.015*((YEAR(IFERROR(INDEX('Challan Master'!$D$4:$D$207,MATCH($B157,'Challan Master'!$S$4:$S$207,0)),""))-YEAR(J157))*12+(MONTH(IFERROR(INDEX('Challan Master'!$D$4:$D$207,MATCH($B157,'Challan Master'!$S$4:$S$207,0)),""))-MONTH(J157))+1),0))))</f>
      </c>
      <c r="P157" s="7">
        <f>IF($D157="","",0)</f>
      </c>
      <c r="Q157" s="8"/>
      <c r="R157" s="8"/>
      <c r="S157" s="8"/>
      <c r="T157" s="8"/>
      <c r="U157" s="8"/>
      <c r="V157" s="7">
        <f>IF($B157="","",IFERROR(INDEX('Challan Master'!$AA$4:$AA$207,MATCH($B157,'Challan Master'!$S$4:$S$207,0)),""))</f>
      </c>
    </row>
    <row r="158" spans="1:22" x14ac:dyDescent="0.25">
      <c r="A158" s="7">
        <f>IF($D158="","",COUNTIF($D$4:$D158,"&lt;&gt;"))</f>
      </c>
      <c r="B158" s="8"/>
      <c r="C158" s="7">
        <f>IF($B158="","","BSR "&amp;IFERROR(INDEX('Challan Master'!$B$4:$B$207,MATCH($B158,'Challan Master'!$S$4:$S$207,0)),"")&amp;" | Serial "&amp;IFERROR(INDEX('Challan Master'!$C$4:$C$207,MATCH($B158,'Challan Master'!$S$4:$S$207,0)),"")&amp;" | Deposit "&amp;TEXT(IFERROR(INDEX('Challan Master'!$D$4:$D$207,MATCH($B158,'Challan Master'!$S$4:$S$207,0)),""),"dd-mm-yyyy")&amp;" | Minor Head "&amp;IFERROR(INDEX('Challan Master'!$E$4:$E$207,MATCH($B158,'Challan Master'!$S$4:$S$207,0)),"")&amp;" | Tax ₹"&amp;TEXT(IFERROR(INDEX('Challan Master'!$G$4:$G$207,MATCH($B158,'Challan Master'!$S$4:$S$207,0)),""),"#,##0")&amp;" | Section "&amp;IFERROR(INDEX('Challan Master'!$F$4:$F$207,MATCH($B158,'Challan Master'!$S$4:$S$207,0)),""))</f>
      </c>
      <c r="D158" s="8"/>
      <c r="E158" s="8"/>
      <c r="F158" s="7">
        <f>IF($D158="","",IF(AND(LEN(TRIM(UPPER(E158)))=10,CODE(MID(TRIM(UPPER(E158)),1,1))&gt;=65,CODE(MID(TRIM(UPPER(E158)),1,1))&lt;=90,CODE(MID(TRIM(UPPER(E158)),2,1))&gt;=65,CODE(MID(TRIM(UPPER(E158)),2,1))&lt;=90,CODE(MID(TRIM(UPPER(E158)),3,1))&gt;=65,CODE(MID(TRIM(UPPER(E158)),3,1))&lt;=90,CODE(MID(TRIM(UPPER(E158)),4,1))&gt;=65,CODE(MID(TRIM(UPPER(E158)),4,1))&lt;=90,CODE(MID(TRIM(UPPER(E158)),5,1))&gt;=65,CODE(MID(TRIM(UPPER(E158)),5,1))&lt;=90,CODE(MID(TRIM(UPPER(E158)),10,1))&gt;=65,CODE(MID(TRIM(UPPER(E158)),10,1))&lt;=90,CODE(MID(TRIM(UPPER(E158)),6,1))&gt;=48,CODE(MID(TRIM(UPPER(E158)),6,1))&lt;=57,CODE(MID(TRIM(UPPER(E158)),7,1))&gt;=48,CODE(MID(TRIM(UPPER(E158)),7,1))&lt;=57,CODE(MID(TRIM(UPPER(E158)),8,1))&gt;=48,CODE(MID(TRIM(UPPER(E158)),8,1))&lt;=57,CODE(MID(TRIM(UPPER(E158)),9,1))&gt;=48,CODE(MID(TRIM(UPPER(E158)),9,1))&lt;=57),"N","Y"))</f>
      </c>
      <c r="G158" s="7">
        <f>IF($D158="","",IF(LEN(E158)&lt;4,"",IF(UPPER(MID(E158,4,1))="P","Individual",IF(UPPER(MID(E158,4,1))="H","HUF",IF(UPPER(MID(E158,4,1))="C","Company",IF(UPPER(MID(E158,4,1))="F","Firm",IF(UPPER(MID(E158,4,1))="L","LLP",IF(UPPER(MID(E158,4,1))="T","Trust",IF(UPPER(MID(E158,4,1))="A","AOP","")))))))))</f>
      </c>
      <c r="H158" s="8"/>
      <c r="I158" s="7">
        <f>IF($D158="","",IF(H158="","",IF(F158="Y",SUMPRODUCT(('Rate Lookup'!$A$1:$A$37=H158)*'Rate Lookup'!$D$1:$D$37),IF(OR(G158="Individual",G158="HUF"),SUMPRODUCT(('Rate Lookup'!$A$1:$A$37=H158)*'Rate Lookup'!$B$1:$B$37),SUMPRODUCT(('Rate Lookup'!$A$1:$A$37=H158)*'Rate Lookup'!$C$1:$C$37)))))</f>
      </c>
      <c r="J158" s="8"/>
      <c r="K158" s="8"/>
      <c r="L158" s="7">
        <f>IF($D158="","",ROUND(K158*I158/100,0))</f>
      </c>
      <c r="M158" s="7">
        <f>IF($D158="","",0)</f>
      </c>
      <c r="N158" s="7">
        <f>IF($D158="","",0)</f>
      </c>
      <c r="O158" s="7">
        <f>IF($D158="","",IF(OR(L158=0,J158="",IFERROR(INDEX('Challan Master'!$D$4:$D$207,MATCH($B158,'Challan Master'!$S$4:$S$207,0)),"")="",IFERROR(INDEX('Challan Master'!$D$4:$D$207,MATCH($B158,'Challan Master'!$S$4:$S$207,0)),"")&lt;=0),0,IF(IFERROR(INDEX('Challan Master'!$D$4:$D$207,MATCH($B158,'Challan Master'!$S$4:$S$207,0)),"")&lt;=DATE(YEAR(J158),MONTH(J158)+1,7),0,ROUND(L158*0.015*((YEAR(IFERROR(INDEX('Challan Master'!$D$4:$D$207,MATCH($B158,'Challan Master'!$S$4:$S$207,0)),""))-YEAR(J158))*12+(MONTH(IFERROR(INDEX('Challan Master'!$D$4:$D$207,MATCH($B158,'Challan Master'!$S$4:$S$207,0)),""))-MONTH(J158))+1),0))))</f>
      </c>
      <c r="P158" s="7">
        <f>IF($D158="","",0)</f>
      </c>
      <c r="Q158" s="8"/>
      <c r="R158" s="8"/>
      <c r="S158" s="8"/>
      <c r="T158" s="8"/>
      <c r="U158" s="8"/>
      <c r="V158" s="7">
        <f>IF($B158="","",IFERROR(INDEX('Challan Master'!$AA$4:$AA$207,MATCH($B158,'Challan Master'!$S$4:$S$207,0)),""))</f>
      </c>
    </row>
    <row r="159" spans="1:22" x14ac:dyDescent="0.25">
      <c r="A159" s="7">
        <f>IF($D159="","",COUNTIF($D$4:$D159,"&lt;&gt;"))</f>
      </c>
      <c r="B159" s="8"/>
      <c r="C159" s="7">
        <f>IF($B159="","","BSR "&amp;IFERROR(INDEX('Challan Master'!$B$4:$B$207,MATCH($B159,'Challan Master'!$S$4:$S$207,0)),"")&amp;" | Serial "&amp;IFERROR(INDEX('Challan Master'!$C$4:$C$207,MATCH($B159,'Challan Master'!$S$4:$S$207,0)),"")&amp;" | Deposit "&amp;TEXT(IFERROR(INDEX('Challan Master'!$D$4:$D$207,MATCH($B159,'Challan Master'!$S$4:$S$207,0)),""),"dd-mm-yyyy")&amp;" | Minor Head "&amp;IFERROR(INDEX('Challan Master'!$E$4:$E$207,MATCH($B159,'Challan Master'!$S$4:$S$207,0)),"")&amp;" | Tax ₹"&amp;TEXT(IFERROR(INDEX('Challan Master'!$G$4:$G$207,MATCH($B159,'Challan Master'!$S$4:$S$207,0)),""),"#,##0")&amp;" | Section "&amp;IFERROR(INDEX('Challan Master'!$F$4:$F$207,MATCH($B159,'Challan Master'!$S$4:$S$207,0)),""))</f>
      </c>
      <c r="D159" s="8"/>
      <c r="E159" s="8"/>
      <c r="F159" s="7">
        <f>IF($D159="","",IF(AND(LEN(TRIM(UPPER(E159)))=10,CODE(MID(TRIM(UPPER(E159)),1,1))&gt;=65,CODE(MID(TRIM(UPPER(E159)),1,1))&lt;=90,CODE(MID(TRIM(UPPER(E159)),2,1))&gt;=65,CODE(MID(TRIM(UPPER(E159)),2,1))&lt;=90,CODE(MID(TRIM(UPPER(E159)),3,1))&gt;=65,CODE(MID(TRIM(UPPER(E159)),3,1))&lt;=90,CODE(MID(TRIM(UPPER(E159)),4,1))&gt;=65,CODE(MID(TRIM(UPPER(E159)),4,1))&lt;=90,CODE(MID(TRIM(UPPER(E159)),5,1))&gt;=65,CODE(MID(TRIM(UPPER(E159)),5,1))&lt;=90,CODE(MID(TRIM(UPPER(E159)),10,1))&gt;=65,CODE(MID(TRIM(UPPER(E159)),10,1))&lt;=90,CODE(MID(TRIM(UPPER(E159)),6,1))&gt;=48,CODE(MID(TRIM(UPPER(E159)),6,1))&lt;=57,CODE(MID(TRIM(UPPER(E159)),7,1))&gt;=48,CODE(MID(TRIM(UPPER(E159)),7,1))&lt;=57,CODE(MID(TRIM(UPPER(E159)),8,1))&gt;=48,CODE(MID(TRIM(UPPER(E159)),8,1))&lt;=57,CODE(MID(TRIM(UPPER(E159)),9,1))&gt;=48,CODE(MID(TRIM(UPPER(E159)),9,1))&lt;=57),"N","Y"))</f>
      </c>
      <c r="G159" s="7">
        <f>IF($D159="","",IF(LEN(E159)&lt;4,"",IF(UPPER(MID(E159,4,1))="P","Individual",IF(UPPER(MID(E159,4,1))="H","HUF",IF(UPPER(MID(E159,4,1))="C","Company",IF(UPPER(MID(E159,4,1))="F","Firm",IF(UPPER(MID(E159,4,1))="L","LLP",IF(UPPER(MID(E159,4,1))="T","Trust",IF(UPPER(MID(E159,4,1))="A","AOP","")))))))))</f>
      </c>
      <c r="H159" s="8"/>
      <c r="I159" s="7">
        <f>IF($D159="","",IF(H159="","",IF(F159="Y",SUMPRODUCT(('Rate Lookup'!$A$1:$A$37=H159)*'Rate Lookup'!$D$1:$D$37),IF(OR(G159="Individual",G159="HUF"),SUMPRODUCT(('Rate Lookup'!$A$1:$A$37=H159)*'Rate Lookup'!$B$1:$B$37),SUMPRODUCT(('Rate Lookup'!$A$1:$A$37=H159)*'Rate Lookup'!$C$1:$C$37)))))</f>
      </c>
      <c r="J159" s="8"/>
      <c r="K159" s="8"/>
      <c r="L159" s="7">
        <f>IF($D159="","",ROUND(K159*I159/100,0))</f>
      </c>
      <c r="M159" s="7">
        <f>IF($D159="","",0)</f>
      </c>
      <c r="N159" s="7">
        <f>IF($D159="","",0)</f>
      </c>
      <c r="O159" s="7">
        <f>IF($D159="","",IF(OR(L159=0,J159="",IFERROR(INDEX('Challan Master'!$D$4:$D$207,MATCH($B159,'Challan Master'!$S$4:$S$207,0)),"")="",IFERROR(INDEX('Challan Master'!$D$4:$D$207,MATCH($B159,'Challan Master'!$S$4:$S$207,0)),"")&lt;=0),0,IF(IFERROR(INDEX('Challan Master'!$D$4:$D$207,MATCH($B159,'Challan Master'!$S$4:$S$207,0)),"")&lt;=DATE(YEAR(J159),MONTH(J159)+1,7),0,ROUND(L159*0.015*((YEAR(IFERROR(INDEX('Challan Master'!$D$4:$D$207,MATCH($B159,'Challan Master'!$S$4:$S$207,0)),""))-YEAR(J159))*12+(MONTH(IFERROR(INDEX('Challan Master'!$D$4:$D$207,MATCH($B159,'Challan Master'!$S$4:$S$207,0)),""))-MONTH(J159))+1),0))))</f>
      </c>
      <c r="P159" s="7">
        <f>IF($D159="","",0)</f>
      </c>
      <c r="Q159" s="8"/>
      <c r="R159" s="8"/>
      <c r="S159" s="8"/>
      <c r="T159" s="8"/>
      <c r="U159" s="8"/>
      <c r="V159" s="7">
        <f>IF($B159="","",IFERROR(INDEX('Challan Master'!$AA$4:$AA$207,MATCH($B159,'Challan Master'!$S$4:$S$207,0)),""))</f>
      </c>
    </row>
    <row r="160" spans="1:22" x14ac:dyDescent="0.25">
      <c r="A160" s="7">
        <f>IF($D160="","",COUNTIF($D$4:$D160,"&lt;&gt;"))</f>
      </c>
      <c r="B160" s="8"/>
      <c r="C160" s="7">
        <f>IF($B160="","","BSR "&amp;IFERROR(INDEX('Challan Master'!$B$4:$B$207,MATCH($B160,'Challan Master'!$S$4:$S$207,0)),"")&amp;" | Serial "&amp;IFERROR(INDEX('Challan Master'!$C$4:$C$207,MATCH($B160,'Challan Master'!$S$4:$S$207,0)),"")&amp;" | Deposit "&amp;TEXT(IFERROR(INDEX('Challan Master'!$D$4:$D$207,MATCH($B160,'Challan Master'!$S$4:$S$207,0)),""),"dd-mm-yyyy")&amp;" | Minor Head "&amp;IFERROR(INDEX('Challan Master'!$E$4:$E$207,MATCH($B160,'Challan Master'!$S$4:$S$207,0)),"")&amp;" | Tax ₹"&amp;TEXT(IFERROR(INDEX('Challan Master'!$G$4:$G$207,MATCH($B160,'Challan Master'!$S$4:$S$207,0)),""),"#,##0")&amp;" | Section "&amp;IFERROR(INDEX('Challan Master'!$F$4:$F$207,MATCH($B160,'Challan Master'!$S$4:$S$207,0)),""))</f>
      </c>
      <c r="D160" s="8"/>
      <c r="E160" s="8"/>
      <c r="F160" s="7">
        <f>IF($D160="","",IF(AND(LEN(TRIM(UPPER(E160)))=10,CODE(MID(TRIM(UPPER(E160)),1,1))&gt;=65,CODE(MID(TRIM(UPPER(E160)),1,1))&lt;=90,CODE(MID(TRIM(UPPER(E160)),2,1))&gt;=65,CODE(MID(TRIM(UPPER(E160)),2,1))&lt;=90,CODE(MID(TRIM(UPPER(E160)),3,1))&gt;=65,CODE(MID(TRIM(UPPER(E160)),3,1))&lt;=90,CODE(MID(TRIM(UPPER(E160)),4,1))&gt;=65,CODE(MID(TRIM(UPPER(E160)),4,1))&lt;=90,CODE(MID(TRIM(UPPER(E160)),5,1))&gt;=65,CODE(MID(TRIM(UPPER(E160)),5,1))&lt;=90,CODE(MID(TRIM(UPPER(E160)),10,1))&gt;=65,CODE(MID(TRIM(UPPER(E160)),10,1))&lt;=90,CODE(MID(TRIM(UPPER(E160)),6,1))&gt;=48,CODE(MID(TRIM(UPPER(E160)),6,1))&lt;=57,CODE(MID(TRIM(UPPER(E160)),7,1))&gt;=48,CODE(MID(TRIM(UPPER(E160)),7,1))&lt;=57,CODE(MID(TRIM(UPPER(E160)),8,1))&gt;=48,CODE(MID(TRIM(UPPER(E160)),8,1))&lt;=57,CODE(MID(TRIM(UPPER(E160)),9,1))&gt;=48,CODE(MID(TRIM(UPPER(E160)),9,1))&lt;=57),"N","Y"))</f>
      </c>
      <c r="G160" s="7">
        <f>IF($D160="","",IF(LEN(E160)&lt;4,"",IF(UPPER(MID(E160,4,1))="P","Individual",IF(UPPER(MID(E160,4,1))="H","HUF",IF(UPPER(MID(E160,4,1))="C","Company",IF(UPPER(MID(E160,4,1))="F","Firm",IF(UPPER(MID(E160,4,1))="L","LLP",IF(UPPER(MID(E160,4,1))="T","Trust",IF(UPPER(MID(E160,4,1))="A","AOP","")))))))))</f>
      </c>
      <c r="H160" s="8"/>
      <c r="I160" s="7">
        <f>IF($D160="","",IF(H160="","",IF(F160="Y",SUMPRODUCT(('Rate Lookup'!$A$1:$A$37=H160)*'Rate Lookup'!$D$1:$D$37),IF(OR(G160="Individual",G160="HUF"),SUMPRODUCT(('Rate Lookup'!$A$1:$A$37=H160)*'Rate Lookup'!$B$1:$B$37),SUMPRODUCT(('Rate Lookup'!$A$1:$A$37=H160)*'Rate Lookup'!$C$1:$C$37)))))</f>
      </c>
      <c r="J160" s="8"/>
      <c r="K160" s="8"/>
      <c r="L160" s="7">
        <f>IF($D160="","",ROUND(K160*I160/100,0))</f>
      </c>
      <c r="M160" s="7">
        <f>IF($D160="","",0)</f>
      </c>
      <c r="N160" s="7">
        <f>IF($D160="","",0)</f>
      </c>
      <c r="O160" s="7">
        <f>IF($D160="","",IF(OR(L160=0,J160="",IFERROR(INDEX('Challan Master'!$D$4:$D$207,MATCH($B160,'Challan Master'!$S$4:$S$207,0)),"")="",IFERROR(INDEX('Challan Master'!$D$4:$D$207,MATCH($B160,'Challan Master'!$S$4:$S$207,0)),"")&lt;=0),0,IF(IFERROR(INDEX('Challan Master'!$D$4:$D$207,MATCH($B160,'Challan Master'!$S$4:$S$207,0)),"")&lt;=DATE(YEAR(J160),MONTH(J160)+1,7),0,ROUND(L160*0.015*((YEAR(IFERROR(INDEX('Challan Master'!$D$4:$D$207,MATCH($B160,'Challan Master'!$S$4:$S$207,0)),""))-YEAR(J160))*12+(MONTH(IFERROR(INDEX('Challan Master'!$D$4:$D$207,MATCH($B160,'Challan Master'!$S$4:$S$207,0)),""))-MONTH(J160))+1),0))))</f>
      </c>
      <c r="P160" s="7">
        <f>IF($D160="","",0)</f>
      </c>
      <c r="Q160" s="8"/>
      <c r="R160" s="8"/>
      <c r="S160" s="8"/>
      <c r="T160" s="8"/>
      <c r="U160" s="8"/>
      <c r="V160" s="7">
        <f>IF($B160="","",IFERROR(INDEX('Challan Master'!$AA$4:$AA$207,MATCH($B160,'Challan Master'!$S$4:$S$207,0)),""))</f>
      </c>
    </row>
    <row r="161" spans="1:22" x14ac:dyDescent="0.25">
      <c r="A161" s="7">
        <f>IF($D161="","",COUNTIF($D$4:$D161,"&lt;&gt;"))</f>
      </c>
      <c r="B161" s="8"/>
      <c r="C161" s="7">
        <f>IF($B161="","","BSR "&amp;IFERROR(INDEX('Challan Master'!$B$4:$B$207,MATCH($B161,'Challan Master'!$S$4:$S$207,0)),"")&amp;" | Serial "&amp;IFERROR(INDEX('Challan Master'!$C$4:$C$207,MATCH($B161,'Challan Master'!$S$4:$S$207,0)),"")&amp;" | Deposit "&amp;TEXT(IFERROR(INDEX('Challan Master'!$D$4:$D$207,MATCH($B161,'Challan Master'!$S$4:$S$207,0)),""),"dd-mm-yyyy")&amp;" | Minor Head "&amp;IFERROR(INDEX('Challan Master'!$E$4:$E$207,MATCH($B161,'Challan Master'!$S$4:$S$207,0)),"")&amp;" | Tax ₹"&amp;TEXT(IFERROR(INDEX('Challan Master'!$G$4:$G$207,MATCH($B161,'Challan Master'!$S$4:$S$207,0)),""),"#,##0")&amp;" | Section "&amp;IFERROR(INDEX('Challan Master'!$F$4:$F$207,MATCH($B161,'Challan Master'!$S$4:$S$207,0)),""))</f>
      </c>
      <c r="D161" s="8"/>
      <c r="E161" s="8"/>
      <c r="F161" s="7">
        <f>IF($D161="","",IF(AND(LEN(TRIM(UPPER(E161)))=10,CODE(MID(TRIM(UPPER(E161)),1,1))&gt;=65,CODE(MID(TRIM(UPPER(E161)),1,1))&lt;=90,CODE(MID(TRIM(UPPER(E161)),2,1))&gt;=65,CODE(MID(TRIM(UPPER(E161)),2,1))&lt;=90,CODE(MID(TRIM(UPPER(E161)),3,1))&gt;=65,CODE(MID(TRIM(UPPER(E161)),3,1))&lt;=90,CODE(MID(TRIM(UPPER(E161)),4,1))&gt;=65,CODE(MID(TRIM(UPPER(E161)),4,1))&lt;=90,CODE(MID(TRIM(UPPER(E161)),5,1))&gt;=65,CODE(MID(TRIM(UPPER(E161)),5,1))&lt;=90,CODE(MID(TRIM(UPPER(E161)),10,1))&gt;=65,CODE(MID(TRIM(UPPER(E161)),10,1))&lt;=90,CODE(MID(TRIM(UPPER(E161)),6,1))&gt;=48,CODE(MID(TRIM(UPPER(E161)),6,1))&lt;=57,CODE(MID(TRIM(UPPER(E161)),7,1))&gt;=48,CODE(MID(TRIM(UPPER(E161)),7,1))&lt;=57,CODE(MID(TRIM(UPPER(E161)),8,1))&gt;=48,CODE(MID(TRIM(UPPER(E161)),8,1))&lt;=57,CODE(MID(TRIM(UPPER(E161)),9,1))&gt;=48,CODE(MID(TRIM(UPPER(E161)),9,1))&lt;=57),"N","Y"))</f>
      </c>
      <c r="G161" s="7">
        <f>IF($D161="","",IF(LEN(E161)&lt;4,"",IF(UPPER(MID(E161,4,1))="P","Individual",IF(UPPER(MID(E161,4,1))="H","HUF",IF(UPPER(MID(E161,4,1))="C","Company",IF(UPPER(MID(E161,4,1))="F","Firm",IF(UPPER(MID(E161,4,1))="L","LLP",IF(UPPER(MID(E161,4,1))="T","Trust",IF(UPPER(MID(E161,4,1))="A","AOP","")))))))))</f>
      </c>
      <c r="H161" s="8"/>
      <c r="I161" s="7">
        <f>IF($D161="","",IF(H161="","",IF(F161="Y",SUMPRODUCT(('Rate Lookup'!$A$1:$A$37=H161)*'Rate Lookup'!$D$1:$D$37),IF(OR(G161="Individual",G161="HUF"),SUMPRODUCT(('Rate Lookup'!$A$1:$A$37=H161)*'Rate Lookup'!$B$1:$B$37),SUMPRODUCT(('Rate Lookup'!$A$1:$A$37=H161)*'Rate Lookup'!$C$1:$C$37)))))</f>
      </c>
      <c r="J161" s="8"/>
      <c r="K161" s="8"/>
      <c r="L161" s="7">
        <f>IF($D161="","",ROUND(K161*I161/100,0))</f>
      </c>
      <c r="M161" s="7">
        <f>IF($D161="","",0)</f>
      </c>
      <c r="N161" s="7">
        <f>IF($D161="","",0)</f>
      </c>
      <c r="O161" s="7">
        <f>IF($D161="","",IF(OR(L161=0,J161="",IFERROR(INDEX('Challan Master'!$D$4:$D$207,MATCH($B161,'Challan Master'!$S$4:$S$207,0)),"")="",IFERROR(INDEX('Challan Master'!$D$4:$D$207,MATCH($B161,'Challan Master'!$S$4:$S$207,0)),"")&lt;=0),0,IF(IFERROR(INDEX('Challan Master'!$D$4:$D$207,MATCH($B161,'Challan Master'!$S$4:$S$207,0)),"")&lt;=DATE(YEAR(J161),MONTH(J161)+1,7),0,ROUND(L161*0.015*((YEAR(IFERROR(INDEX('Challan Master'!$D$4:$D$207,MATCH($B161,'Challan Master'!$S$4:$S$207,0)),""))-YEAR(J161))*12+(MONTH(IFERROR(INDEX('Challan Master'!$D$4:$D$207,MATCH($B161,'Challan Master'!$S$4:$S$207,0)),""))-MONTH(J161))+1),0))))</f>
      </c>
      <c r="P161" s="7">
        <f>IF($D161="","",0)</f>
      </c>
      <c r="Q161" s="8"/>
      <c r="R161" s="8"/>
      <c r="S161" s="8"/>
      <c r="T161" s="8"/>
      <c r="U161" s="8"/>
      <c r="V161" s="7">
        <f>IF($B161="","",IFERROR(INDEX('Challan Master'!$AA$4:$AA$207,MATCH($B161,'Challan Master'!$S$4:$S$207,0)),""))</f>
      </c>
    </row>
    <row r="162" spans="1:22" x14ac:dyDescent="0.25">
      <c r="A162" s="7">
        <f>IF($D162="","",COUNTIF($D$4:$D162,"&lt;&gt;"))</f>
      </c>
      <c r="B162" s="8"/>
      <c r="C162" s="7">
        <f>IF($B162="","","BSR "&amp;IFERROR(INDEX('Challan Master'!$B$4:$B$207,MATCH($B162,'Challan Master'!$S$4:$S$207,0)),"")&amp;" | Serial "&amp;IFERROR(INDEX('Challan Master'!$C$4:$C$207,MATCH($B162,'Challan Master'!$S$4:$S$207,0)),"")&amp;" | Deposit "&amp;TEXT(IFERROR(INDEX('Challan Master'!$D$4:$D$207,MATCH($B162,'Challan Master'!$S$4:$S$207,0)),""),"dd-mm-yyyy")&amp;" | Minor Head "&amp;IFERROR(INDEX('Challan Master'!$E$4:$E$207,MATCH($B162,'Challan Master'!$S$4:$S$207,0)),"")&amp;" | Tax ₹"&amp;TEXT(IFERROR(INDEX('Challan Master'!$G$4:$G$207,MATCH($B162,'Challan Master'!$S$4:$S$207,0)),""),"#,##0")&amp;" | Section "&amp;IFERROR(INDEX('Challan Master'!$F$4:$F$207,MATCH($B162,'Challan Master'!$S$4:$S$207,0)),""))</f>
      </c>
      <c r="D162" s="8"/>
      <c r="E162" s="8"/>
      <c r="F162" s="7">
        <f>IF($D162="","",IF(AND(LEN(TRIM(UPPER(E162)))=10,CODE(MID(TRIM(UPPER(E162)),1,1))&gt;=65,CODE(MID(TRIM(UPPER(E162)),1,1))&lt;=90,CODE(MID(TRIM(UPPER(E162)),2,1))&gt;=65,CODE(MID(TRIM(UPPER(E162)),2,1))&lt;=90,CODE(MID(TRIM(UPPER(E162)),3,1))&gt;=65,CODE(MID(TRIM(UPPER(E162)),3,1))&lt;=90,CODE(MID(TRIM(UPPER(E162)),4,1))&gt;=65,CODE(MID(TRIM(UPPER(E162)),4,1))&lt;=90,CODE(MID(TRIM(UPPER(E162)),5,1))&gt;=65,CODE(MID(TRIM(UPPER(E162)),5,1))&lt;=90,CODE(MID(TRIM(UPPER(E162)),10,1))&gt;=65,CODE(MID(TRIM(UPPER(E162)),10,1))&lt;=90,CODE(MID(TRIM(UPPER(E162)),6,1))&gt;=48,CODE(MID(TRIM(UPPER(E162)),6,1))&lt;=57,CODE(MID(TRIM(UPPER(E162)),7,1))&gt;=48,CODE(MID(TRIM(UPPER(E162)),7,1))&lt;=57,CODE(MID(TRIM(UPPER(E162)),8,1))&gt;=48,CODE(MID(TRIM(UPPER(E162)),8,1))&lt;=57,CODE(MID(TRIM(UPPER(E162)),9,1))&gt;=48,CODE(MID(TRIM(UPPER(E162)),9,1))&lt;=57),"N","Y"))</f>
      </c>
      <c r="G162" s="7">
        <f>IF($D162="","",IF(LEN(E162)&lt;4,"",IF(UPPER(MID(E162,4,1))="P","Individual",IF(UPPER(MID(E162,4,1))="H","HUF",IF(UPPER(MID(E162,4,1))="C","Company",IF(UPPER(MID(E162,4,1))="F","Firm",IF(UPPER(MID(E162,4,1))="L","LLP",IF(UPPER(MID(E162,4,1))="T","Trust",IF(UPPER(MID(E162,4,1))="A","AOP","")))))))))</f>
      </c>
      <c r="H162" s="8"/>
      <c r="I162" s="7">
        <f>IF($D162="","",IF(H162="","",IF(F162="Y",SUMPRODUCT(('Rate Lookup'!$A$1:$A$37=H162)*'Rate Lookup'!$D$1:$D$37),IF(OR(G162="Individual",G162="HUF"),SUMPRODUCT(('Rate Lookup'!$A$1:$A$37=H162)*'Rate Lookup'!$B$1:$B$37),SUMPRODUCT(('Rate Lookup'!$A$1:$A$37=H162)*'Rate Lookup'!$C$1:$C$37)))))</f>
      </c>
      <c r="J162" s="8"/>
      <c r="K162" s="8"/>
      <c r="L162" s="7">
        <f>IF($D162="","",ROUND(K162*I162/100,0))</f>
      </c>
      <c r="M162" s="7">
        <f>IF($D162="","",0)</f>
      </c>
      <c r="N162" s="7">
        <f>IF($D162="","",0)</f>
      </c>
      <c r="O162" s="7">
        <f>IF($D162="","",IF(OR(L162=0,J162="",IFERROR(INDEX('Challan Master'!$D$4:$D$207,MATCH($B162,'Challan Master'!$S$4:$S$207,0)),"")="",IFERROR(INDEX('Challan Master'!$D$4:$D$207,MATCH($B162,'Challan Master'!$S$4:$S$207,0)),"")&lt;=0),0,IF(IFERROR(INDEX('Challan Master'!$D$4:$D$207,MATCH($B162,'Challan Master'!$S$4:$S$207,0)),"")&lt;=DATE(YEAR(J162),MONTH(J162)+1,7),0,ROUND(L162*0.015*((YEAR(IFERROR(INDEX('Challan Master'!$D$4:$D$207,MATCH($B162,'Challan Master'!$S$4:$S$207,0)),""))-YEAR(J162))*12+(MONTH(IFERROR(INDEX('Challan Master'!$D$4:$D$207,MATCH($B162,'Challan Master'!$S$4:$S$207,0)),""))-MONTH(J162))+1),0))))</f>
      </c>
      <c r="P162" s="7">
        <f>IF($D162="","",0)</f>
      </c>
      <c r="Q162" s="8"/>
      <c r="R162" s="8"/>
      <c r="S162" s="8"/>
      <c r="T162" s="8"/>
      <c r="U162" s="8"/>
      <c r="V162" s="7">
        <f>IF($B162="","",IFERROR(INDEX('Challan Master'!$AA$4:$AA$207,MATCH($B162,'Challan Master'!$S$4:$S$207,0)),""))</f>
      </c>
    </row>
    <row r="163" spans="1:22" x14ac:dyDescent="0.25">
      <c r="A163" s="7">
        <f>IF($D163="","",COUNTIF($D$4:$D163,"&lt;&gt;"))</f>
      </c>
      <c r="B163" s="8"/>
      <c r="C163" s="7">
        <f>IF($B163="","","BSR "&amp;IFERROR(INDEX('Challan Master'!$B$4:$B$207,MATCH($B163,'Challan Master'!$S$4:$S$207,0)),"")&amp;" | Serial "&amp;IFERROR(INDEX('Challan Master'!$C$4:$C$207,MATCH($B163,'Challan Master'!$S$4:$S$207,0)),"")&amp;" | Deposit "&amp;TEXT(IFERROR(INDEX('Challan Master'!$D$4:$D$207,MATCH($B163,'Challan Master'!$S$4:$S$207,0)),""),"dd-mm-yyyy")&amp;" | Minor Head "&amp;IFERROR(INDEX('Challan Master'!$E$4:$E$207,MATCH($B163,'Challan Master'!$S$4:$S$207,0)),"")&amp;" | Tax ₹"&amp;TEXT(IFERROR(INDEX('Challan Master'!$G$4:$G$207,MATCH($B163,'Challan Master'!$S$4:$S$207,0)),""),"#,##0")&amp;" | Section "&amp;IFERROR(INDEX('Challan Master'!$F$4:$F$207,MATCH($B163,'Challan Master'!$S$4:$S$207,0)),""))</f>
      </c>
      <c r="D163" s="8"/>
      <c r="E163" s="8"/>
      <c r="F163" s="7">
        <f>IF($D163="","",IF(AND(LEN(TRIM(UPPER(E163)))=10,CODE(MID(TRIM(UPPER(E163)),1,1))&gt;=65,CODE(MID(TRIM(UPPER(E163)),1,1))&lt;=90,CODE(MID(TRIM(UPPER(E163)),2,1))&gt;=65,CODE(MID(TRIM(UPPER(E163)),2,1))&lt;=90,CODE(MID(TRIM(UPPER(E163)),3,1))&gt;=65,CODE(MID(TRIM(UPPER(E163)),3,1))&lt;=90,CODE(MID(TRIM(UPPER(E163)),4,1))&gt;=65,CODE(MID(TRIM(UPPER(E163)),4,1))&lt;=90,CODE(MID(TRIM(UPPER(E163)),5,1))&gt;=65,CODE(MID(TRIM(UPPER(E163)),5,1))&lt;=90,CODE(MID(TRIM(UPPER(E163)),10,1))&gt;=65,CODE(MID(TRIM(UPPER(E163)),10,1))&lt;=90,CODE(MID(TRIM(UPPER(E163)),6,1))&gt;=48,CODE(MID(TRIM(UPPER(E163)),6,1))&lt;=57,CODE(MID(TRIM(UPPER(E163)),7,1))&gt;=48,CODE(MID(TRIM(UPPER(E163)),7,1))&lt;=57,CODE(MID(TRIM(UPPER(E163)),8,1))&gt;=48,CODE(MID(TRIM(UPPER(E163)),8,1))&lt;=57,CODE(MID(TRIM(UPPER(E163)),9,1))&gt;=48,CODE(MID(TRIM(UPPER(E163)),9,1))&lt;=57),"N","Y"))</f>
      </c>
      <c r="G163" s="7">
        <f>IF($D163="","",IF(LEN(E163)&lt;4,"",IF(UPPER(MID(E163,4,1))="P","Individual",IF(UPPER(MID(E163,4,1))="H","HUF",IF(UPPER(MID(E163,4,1))="C","Company",IF(UPPER(MID(E163,4,1))="F","Firm",IF(UPPER(MID(E163,4,1))="L","LLP",IF(UPPER(MID(E163,4,1))="T","Trust",IF(UPPER(MID(E163,4,1))="A","AOP","")))))))))</f>
      </c>
      <c r="H163" s="8"/>
      <c r="I163" s="7">
        <f>IF($D163="","",IF(H163="","",IF(F163="Y",SUMPRODUCT(('Rate Lookup'!$A$1:$A$37=H163)*'Rate Lookup'!$D$1:$D$37),IF(OR(G163="Individual",G163="HUF"),SUMPRODUCT(('Rate Lookup'!$A$1:$A$37=H163)*'Rate Lookup'!$B$1:$B$37),SUMPRODUCT(('Rate Lookup'!$A$1:$A$37=H163)*'Rate Lookup'!$C$1:$C$37)))))</f>
      </c>
      <c r="J163" s="8"/>
      <c r="K163" s="8"/>
      <c r="L163" s="7">
        <f>IF($D163="","",ROUND(K163*I163/100,0))</f>
      </c>
      <c r="M163" s="7">
        <f>IF($D163="","",0)</f>
      </c>
      <c r="N163" s="7">
        <f>IF($D163="","",0)</f>
      </c>
      <c r="O163" s="7">
        <f>IF($D163="","",IF(OR(L163=0,J163="",IFERROR(INDEX('Challan Master'!$D$4:$D$207,MATCH($B163,'Challan Master'!$S$4:$S$207,0)),"")="",IFERROR(INDEX('Challan Master'!$D$4:$D$207,MATCH($B163,'Challan Master'!$S$4:$S$207,0)),"")&lt;=0),0,IF(IFERROR(INDEX('Challan Master'!$D$4:$D$207,MATCH($B163,'Challan Master'!$S$4:$S$207,0)),"")&lt;=DATE(YEAR(J163),MONTH(J163)+1,7),0,ROUND(L163*0.015*((YEAR(IFERROR(INDEX('Challan Master'!$D$4:$D$207,MATCH($B163,'Challan Master'!$S$4:$S$207,0)),""))-YEAR(J163))*12+(MONTH(IFERROR(INDEX('Challan Master'!$D$4:$D$207,MATCH($B163,'Challan Master'!$S$4:$S$207,0)),""))-MONTH(J163))+1),0))))</f>
      </c>
      <c r="P163" s="7">
        <f>IF($D163="","",0)</f>
      </c>
      <c r="Q163" s="8"/>
      <c r="R163" s="8"/>
      <c r="S163" s="8"/>
      <c r="T163" s="8"/>
      <c r="U163" s="8"/>
      <c r="V163" s="7">
        <f>IF($B163="","",IFERROR(INDEX('Challan Master'!$AA$4:$AA$207,MATCH($B163,'Challan Master'!$S$4:$S$207,0)),""))</f>
      </c>
    </row>
    <row r="164" spans="1:22" x14ac:dyDescent="0.25">
      <c r="A164" s="7">
        <f>IF($D164="","",COUNTIF($D$4:$D164,"&lt;&gt;"))</f>
      </c>
      <c r="B164" s="8"/>
      <c r="C164" s="7">
        <f>IF($B164="","","BSR "&amp;IFERROR(INDEX('Challan Master'!$B$4:$B$207,MATCH($B164,'Challan Master'!$S$4:$S$207,0)),"")&amp;" | Serial "&amp;IFERROR(INDEX('Challan Master'!$C$4:$C$207,MATCH($B164,'Challan Master'!$S$4:$S$207,0)),"")&amp;" | Deposit "&amp;TEXT(IFERROR(INDEX('Challan Master'!$D$4:$D$207,MATCH($B164,'Challan Master'!$S$4:$S$207,0)),""),"dd-mm-yyyy")&amp;" | Minor Head "&amp;IFERROR(INDEX('Challan Master'!$E$4:$E$207,MATCH($B164,'Challan Master'!$S$4:$S$207,0)),"")&amp;" | Tax ₹"&amp;TEXT(IFERROR(INDEX('Challan Master'!$G$4:$G$207,MATCH($B164,'Challan Master'!$S$4:$S$207,0)),""),"#,##0")&amp;" | Section "&amp;IFERROR(INDEX('Challan Master'!$F$4:$F$207,MATCH($B164,'Challan Master'!$S$4:$S$207,0)),""))</f>
      </c>
      <c r="D164" s="8"/>
      <c r="E164" s="8"/>
      <c r="F164" s="7">
        <f>IF($D164="","",IF(AND(LEN(TRIM(UPPER(E164)))=10,CODE(MID(TRIM(UPPER(E164)),1,1))&gt;=65,CODE(MID(TRIM(UPPER(E164)),1,1))&lt;=90,CODE(MID(TRIM(UPPER(E164)),2,1))&gt;=65,CODE(MID(TRIM(UPPER(E164)),2,1))&lt;=90,CODE(MID(TRIM(UPPER(E164)),3,1))&gt;=65,CODE(MID(TRIM(UPPER(E164)),3,1))&lt;=90,CODE(MID(TRIM(UPPER(E164)),4,1))&gt;=65,CODE(MID(TRIM(UPPER(E164)),4,1))&lt;=90,CODE(MID(TRIM(UPPER(E164)),5,1))&gt;=65,CODE(MID(TRIM(UPPER(E164)),5,1))&lt;=90,CODE(MID(TRIM(UPPER(E164)),10,1))&gt;=65,CODE(MID(TRIM(UPPER(E164)),10,1))&lt;=90,CODE(MID(TRIM(UPPER(E164)),6,1))&gt;=48,CODE(MID(TRIM(UPPER(E164)),6,1))&lt;=57,CODE(MID(TRIM(UPPER(E164)),7,1))&gt;=48,CODE(MID(TRIM(UPPER(E164)),7,1))&lt;=57,CODE(MID(TRIM(UPPER(E164)),8,1))&gt;=48,CODE(MID(TRIM(UPPER(E164)),8,1))&lt;=57,CODE(MID(TRIM(UPPER(E164)),9,1))&gt;=48,CODE(MID(TRIM(UPPER(E164)),9,1))&lt;=57),"N","Y"))</f>
      </c>
      <c r="G164" s="7">
        <f>IF($D164="","",IF(LEN(E164)&lt;4,"",IF(UPPER(MID(E164,4,1))="P","Individual",IF(UPPER(MID(E164,4,1))="H","HUF",IF(UPPER(MID(E164,4,1))="C","Company",IF(UPPER(MID(E164,4,1))="F","Firm",IF(UPPER(MID(E164,4,1))="L","LLP",IF(UPPER(MID(E164,4,1))="T","Trust",IF(UPPER(MID(E164,4,1))="A","AOP","")))))))))</f>
      </c>
      <c r="H164" s="8"/>
      <c r="I164" s="7">
        <f>IF($D164="","",IF(H164="","",IF(F164="Y",SUMPRODUCT(('Rate Lookup'!$A$1:$A$37=H164)*'Rate Lookup'!$D$1:$D$37),IF(OR(G164="Individual",G164="HUF"),SUMPRODUCT(('Rate Lookup'!$A$1:$A$37=H164)*'Rate Lookup'!$B$1:$B$37),SUMPRODUCT(('Rate Lookup'!$A$1:$A$37=H164)*'Rate Lookup'!$C$1:$C$37)))))</f>
      </c>
      <c r="J164" s="8"/>
      <c r="K164" s="8"/>
      <c r="L164" s="7">
        <f>IF($D164="","",ROUND(K164*I164/100,0))</f>
      </c>
      <c r="M164" s="7">
        <f>IF($D164="","",0)</f>
      </c>
      <c r="N164" s="7">
        <f>IF($D164="","",0)</f>
      </c>
      <c r="O164" s="7">
        <f>IF($D164="","",IF(OR(L164=0,J164="",IFERROR(INDEX('Challan Master'!$D$4:$D$207,MATCH($B164,'Challan Master'!$S$4:$S$207,0)),"")="",IFERROR(INDEX('Challan Master'!$D$4:$D$207,MATCH($B164,'Challan Master'!$S$4:$S$207,0)),"")&lt;=0),0,IF(IFERROR(INDEX('Challan Master'!$D$4:$D$207,MATCH($B164,'Challan Master'!$S$4:$S$207,0)),"")&lt;=DATE(YEAR(J164),MONTH(J164)+1,7),0,ROUND(L164*0.015*((YEAR(IFERROR(INDEX('Challan Master'!$D$4:$D$207,MATCH($B164,'Challan Master'!$S$4:$S$207,0)),""))-YEAR(J164))*12+(MONTH(IFERROR(INDEX('Challan Master'!$D$4:$D$207,MATCH($B164,'Challan Master'!$S$4:$S$207,0)),""))-MONTH(J164))+1),0))))</f>
      </c>
      <c r="P164" s="7">
        <f>IF($D164="","",0)</f>
      </c>
      <c r="Q164" s="8"/>
      <c r="R164" s="8"/>
      <c r="S164" s="8"/>
      <c r="T164" s="8"/>
      <c r="U164" s="8"/>
      <c r="V164" s="7">
        <f>IF($B164="","",IFERROR(INDEX('Challan Master'!$AA$4:$AA$207,MATCH($B164,'Challan Master'!$S$4:$S$207,0)),""))</f>
      </c>
    </row>
    <row r="165" spans="1:22" x14ac:dyDescent="0.25">
      <c r="A165" s="7">
        <f>IF($D165="","",COUNTIF($D$4:$D165,"&lt;&gt;"))</f>
      </c>
      <c r="B165" s="8"/>
      <c r="C165" s="7">
        <f>IF($B165="","","BSR "&amp;IFERROR(INDEX('Challan Master'!$B$4:$B$207,MATCH($B165,'Challan Master'!$S$4:$S$207,0)),"")&amp;" | Serial "&amp;IFERROR(INDEX('Challan Master'!$C$4:$C$207,MATCH($B165,'Challan Master'!$S$4:$S$207,0)),"")&amp;" | Deposit "&amp;TEXT(IFERROR(INDEX('Challan Master'!$D$4:$D$207,MATCH($B165,'Challan Master'!$S$4:$S$207,0)),""),"dd-mm-yyyy")&amp;" | Minor Head "&amp;IFERROR(INDEX('Challan Master'!$E$4:$E$207,MATCH($B165,'Challan Master'!$S$4:$S$207,0)),"")&amp;" | Tax ₹"&amp;TEXT(IFERROR(INDEX('Challan Master'!$G$4:$G$207,MATCH($B165,'Challan Master'!$S$4:$S$207,0)),""),"#,##0")&amp;" | Section "&amp;IFERROR(INDEX('Challan Master'!$F$4:$F$207,MATCH($B165,'Challan Master'!$S$4:$S$207,0)),""))</f>
      </c>
      <c r="D165" s="8"/>
      <c r="E165" s="8"/>
      <c r="F165" s="7">
        <f>IF($D165="","",IF(AND(LEN(TRIM(UPPER(E165)))=10,CODE(MID(TRIM(UPPER(E165)),1,1))&gt;=65,CODE(MID(TRIM(UPPER(E165)),1,1))&lt;=90,CODE(MID(TRIM(UPPER(E165)),2,1))&gt;=65,CODE(MID(TRIM(UPPER(E165)),2,1))&lt;=90,CODE(MID(TRIM(UPPER(E165)),3,1))&gt;=65,CODE(MID(TRIM(UPPER(E165)),3,1))&lt;=90,CODE(MID(TRIM(UPPER(E165)),4,1))&gt;=65,CODE(MID(TRIM(UPPER(E165)),4,1))&lt;=90,CODE(MID(TRIM(UPPER(E165)),5,1))&gt;=65,CODE(MID(TRIM(UPPER(E165)),5,1))&lt;=90,CODE(MID(TRIM(UPPER(E165)),10,1))&gt;=65,CODE(MID(TRIM(UPPER(E165)),10,1))&lt;=90,CODE(MID(TRIM(UPPER(E165)),6,1))&gt;=48,CODE(MID(TRIM(UPPER(E165)),6,1))&lt;=57,CODE(MID(TRIM(UPPER(E165)),7,1))&gt;=48,CODE(MID(TRIM(UPPER(E165)),7,1))&lt;=57,CODE(MID(TRIM(UPPER(E165)),8,1))&gt;=48,CODE(MID(TRIM(UPPER(E165)),8,1))&lt;=57,CODE(MID(TRIM(UPPER(E165)),9,1))&gt;=48,CODE(MID(TRIM(UPPER(E165)),9,1))&lt;=57),"N","Y"))</f>
      </c>
      <c r="G165" s="7">
        <f>IF($D165="","",IF(LEN(E165)&lt;4,"",IF(UPPER(MID(E165,4,1))="P","Individual",IF(UPPER(MID(E165,4,1))="H","HUF",IF(UPPER(MID(E165,4,1))="C","Company",IF(UPPER(MID(E165,4,1))="F","Firm",IF(UPPER(MID(E165,4,1))="L","LLP",IF(UPPER(MID(E165,4,1))="T","Trust",IF(UPPER(MID(E165,4,1))="A","AOP","")))))))))</f>
      </c>
      <c r="H165" s="8"/>
      <c r="I165" s="7">
        <f>IF($D165="","",IF(H165="","",IF(F165="Y",SUMPRODUCT(('Rate Lookup'!$A$1:$A$37=H165)*'Rate Lookup'!$D$1:$D$37),IF(OR(G165="Individual",G165="HUF"),SUMPRODUCT(('Rate Lookup'!$A$1:$A$37=H165)*'Rate Lookup'!$B$1:$B$37),SUMPRODUCT(('Rate Lookup'!$A$1:$A$37=H165)*'Rate Lookup'!$C$1:$C$37)))))</f>
      </c>
      <c r="J165" s="8"/>
      <c r="K165" s="8"/>
      <c r="L165" s="7">
        <f>IF($D165="","",ROUND(K165*I165/100,0))</f>
      </c>
      <c r="M165" s="7">
        <f>IF($D165="","",0)</f>
      </c>
      <c r="N165" s="7">
        <f>IF($D165="","",0)</f>
      </c>
      <c r="O165" s="7">
        <f>IF($D165="","",IF(OR(L165=0,J165="",IFERROR(INDEX('Challan Master'!$D$4:$D$207,MATCH($B165,'Challan Master'!$S$4:$S$207,0)),"")="",IFERROR(INDEX('Challan Master'!$D$4:$D$207,MATCH($B165,'Challan Master'!$S$4:$S$207,0)),"")&lt;=0),0,IF(IFERROR(INDEX('Challan Master'!$D$4:$D$207,MATCH($B165,'Challan Master'!$S$4:$S$207,0)),"")&lt;=DATE(YEAR(J165),MONTH(J165)+1,7),0,ROUND(L165*0.015*((YEAR(IFERROR(INDEX('Challan Master'!$D$4:$D$207,MATCH($B165,'Challan Master'!$S$4:$S$207,0)),""))-YEAR(J165))*12+(MONTH(IFERROR(INDEX('Challan Master'!$D$4:$D$207,MATCH($B165,'Challan Master'!$S$4:$S$207,0)),""))-MONTH(J165))+1),0))))</f>
      </c>
      <c r="P165" s="7">
        <f>IF($D165="","",0)</f>
      </c>
      <c r="Q165" s="8"/>
      <c r="R165" s="8"/>
      <c r="S165" s="8"/>
      <c r="T165" s="8"/>
      <c r="U165" s="8"/>
      <c r="V165" s="7">
        <f>IF($B165="","",IFERROR(INDEX('Challan Master'!$AA$4:$AA$207,MATCH($B165,'Challan Master'!$S$4:$S$207,0)),""))</f>
      </c>
    </row>
    <row r="166" spans="1:22" x14ac:dyDescent="0.25">
      <c r="A166" s="7">
        <f>IF($D166="","",COUNTIF($D$4:$D166,"&lt;&gt;"))</f>
      </c>
      <c r="B166" s="8"/>
      <c r="C166" s="7">
        <f>IF($B166="","","BSR "&amp;IFERROR(INDEX('Challan Master'!$B$4:$B$207,MATCH($B166,'Challan Master'!$S$4:$S$207,0)),"")&amp;" | Serial "&amp;IFERROR(INDEX('Challan Master'!$C$4:$C$207,MATCH($B166,'Challan Master'!$S$4:$S$207,0)),"")&amp;" | Deposit "&amp;TEXT(IFERROR(INDEX('Challan Master'!$D$4:$D$207,MATCH($B166,'Challan Master'!$S$4:$S$207,0)),""),"dd-mm-yyyy")&amp;" | Minor Head "&amp;IFERROR(INDEX('Challan Master'!$E$4:$E$207,MATCH($B166,'Challan Master'!$S$4:$S$207,0)),"")&amp;" | Tax ₹"&amp;TEXT(IFERROR(INDEX('Challan Master'!$G$4:$G$207,MATCH($B166,'Challan Master'!$S$4:$S$207,0)),""),"#,##0")&amp;" | Section "&amp;IFERROR(INDEX('Challan Master'!$F$4:$F$207,MATCH($B166,'Challan Master'!$S$4:$S$207,0)),""))</f>
      </c>
      <c r="D166" s="8"/>
      <c r="E166" s="8"/>
      <c r="F166" s="7">
        <f>IF($D166="","",IF(AND(LEN(TRIM(UPPER(E166)))=10,CODE(MID(TRIM(UPPER(E166)),1,1))&gt;=65,CODE(MID(TRIM(UPPER(E166)),1,1))&lt;=90,CODE(MID(TRIM(UPPER(E166)),2,1))&gt;=65,CODE(MID(TRIM(UPPER(E166)),2,1))&lt;=90,CODE(MID(TRIM(UPPER(E166)),3,1))&gt;=65,CODE(MID(TRIM(UPPER(E166)),3,1))&lt;=90,CODE(MID(TRIM(UPPER(E166)),4,1))&gt;=65,CODE(MID(TRIM(UPPER(E166)),4,1))&lt;=90,CODE(MID(TRIM(UPPER(E166)),5,1))&gt;=65,CODE(MID(TRIM(UPPER(E166)),5,1))&lt;=90,CODE(MID(TRIM(UPPER(E166)),10,1))&gt;=65,CODE(MID(TRIM(UPPER(E166)),10,1))&lt;=90,CODE(MID(TRIM(UPPER(E166)),6,1))&gt;=48,CODE(MID(TRIM(UPPER(E166)),6,1))&lt;=57,CODE(MID(TRIM(UPPER(E166)),7,1))&gt;=48,CODE(MID(TRIM(UPPER(E166)),7,1))&lt;=57,CODE(MID(TRIM(UPPER(E166)),8,1))&gt;=48,CODE(MID(TRIM(UPPER(E166)),8,1))&lt;=57,CODE(MID(TRIM(UPPER(E166)),9,1))&gt;=48,CODE(MID(TRIM(UPPER(E166)),9,1))&lt;=57),"N","Y"))</f>
      </c>
      <c r="G166" s="7">
        <f>IF($D166="","",IF(LEN(E166)&lt;4,"",IF(UPPER(MID(E166,4,1))="P","Individual",IF(UPPER(MID(E166,4,1))="H","HUF",IF(UPPER(MID(E166,4,1))="C","Company",IF(UPPER(MID(E166,4,1))="F","Firm",IF(UPPER(MID(E166,4,1))="L","LLP",IF(UPPER(MID(E166,4,1))="T","Trust",IF(UPPER(MID(E166,4,1))="A","AOP","")))))))))</f>
      </c>
      <c r="H166" s="8"/>
      <c r="I166" s="7">
        <f>IF($D166="","",IF(H166="","",IF(F166="Y",SUMPRODUCT(('Rate Lookup'!$A$1:$A$37=H166)*'Rate Lookup'!$D$1:$D$37),IF(OR(G166="Individual",G166="HUF"),SUMPRODUCT(('Rate Lookup'!$A$1:$A$37=H166)*'Rate Lookup'!$B$1:$B$37),SUMPRODUCT(('Rate Lookup'!$A$1:$A$37=H166)*'Rate Lookup'!$C$1:$C$37)))))</f>
      </c>
      <c r="J166" s="8"/>
      <c r="K166" s="8"/>
      <c r="L166" s="7">
        <f>IF($D166="","",ROUND(K166*I166/100,0))</f>
      </c>
      <c r="M166" s="7">
        <f>IF($D166="","",0)</f>
      </c>
      <c r="N166" s="7">
        <f>IF($D166="","",0)</f>
      </c>
      <c r="O166" s="7">
        <f>IF($D166="","",IF(OR(L166=0,J166="",IFERROR(INDEX('Challan Master'!$D$4:$D$207,MATCH($B166,'Challan Master'!$S$4:$S$207,0)),"")="",IFERROR(INDEX('Challan Master'!$D$4:$D$207,MATCH($B166,'Challan Master'!$S$4:$S$207,0)),"")&lt;=0),0,IF(IFERROR(INDEX('Challan Master'!$D$4:$D$207,MATCH($B166,'Challan Master'!$S$4:$S$207,0)),"")&lt;=DATE(YEAR(J166),MONTH(J166)+1,7),0,ROUND(L166*0.015*((YEAR(IFERROR(INDEX('Challan Master'!$D$4:$D$207,MATCH($B166,'Challan Master'!$S$4:$S$207,0)),""))-YEAR(J166))*12+(MONTH(IFERROR(INDEX('Challan Master'!$D$4:$D$207,MATCH($B166,'Challan Master'!$S$4:$S$207,0)),""))-MONTH(J166))+1),0))))</f>
      </c>
      <c r="P166" s="7">
        <f>IF($D166="","",0)</f>
      </c>
      <c r="Q166" s="8"/>
      <c r="R166" s="8"/>
      <c r="S166" s="8"/>
      <c r="T166" s="8"/>
      <c r="U166" s="8"/>
      <c r="V166" s="7">
        <f>IF($B166="","",IFERROR(INDEX('Challan Master'!$AA$4:$AA$207,MATCH($B166,'Challan Master'!$S$4:$S$207,0)),""))</f>
      </c>
    </row>
    <row r="167" spans="1:22" x14ac:dyDescent="0.25">
      <c r="A167" s="7">
        <f>IF($D167="","",COUNTIF($D$4:$D167,"&lt;&gt;"))</f>
      </c>
      <c r="B167" s="8"/>
      <c r="C167" s="7">
        <f>IF($B167="","","BSR "&amp;IFERROR(INDEX('Challan Master'!$B$4:$B$207,MATCH($B167,'Challan Master'!$S$4:$S$207,0)),"")&amp;" | Serial "&amp;IFERROR(INDEX('Challan Master'!$C$4:$C$207,MATCH($B167,'Challan Master'!$S$4:$S$207,0)),"")&amp;" | Deposit "&amp;TEXT(IFERROR(INDEX('Challan Master'!$D$4:$D$207,MATCH($B167,'Challan Master'!$S$4:$S$207,0)),""),"dd-mm-yyyy")&amp;" | Minor Head "&amp;IFERROR(INDEX('Challan Master'!$E$4:$E$207,MATCH($B167,'Challan Master'!$S$4:$S$207,0)),"")&amp;" | Tax ₹"&amp;TEXT(IFERROR(INDEX('Challan Master'!$G$4:$G$207,MATCH($B167,'Challan Master'!$S$4:$S$207,0)),""),"#,##0")&amp;" | Section "&amp;IFERROR(INDEX('Challan Master'!$F$4:$F$207,MATCH($B167,'Challan Master'!$S$4:$S$207,0)),""))</f>
      </c>
      <c r="D167" s="8"/>
      <c r="E167" s="8"/>
      <c r="F167" s="7">
        <f>IF($D167="","",IF(AND(LEN(TRIM(UPPER(E167)))=10,CODE(MID(TRIM(UPPER(E167)),1,1))&gt;=65,CODE(MID(TRIM(UPPER(E167)),1,1))&lt;=90,CODE(MID(TRIM(UPPER(E167)),2,1))&gt;=65,CODE(MID(TRIM(UPPER(E167)),2,1))&lt;=90,CODE(MID(TRIM(UPPER(E167)),3,1))&gt;=65,CODE(MID(TRIM(UPPER(E167)),3,1))&lt;=90,CODE(MID(TRIM(UPPER(E167)),4,1))&gt;=65,CODE(MID(TRIM(UPPER(E167)),4,1))&lt;=90,CODE(MID(TRIM(UPPER(E167)),5,1))&gt;=65,CODE(MID(TRIM(UPPER(E167)),5,1))&lt;=90,CODE(MID(TRIM(UPPER(E167)),10,1))&gt;=65,CODE(MID(TRIM(UPPER(E167)),10,1))&lt;=90,CODE(MID(TRIM(UPPER(E167)),6,1))&gt;=48,CODE(MID(TRIM(UPPER(E167)),6,1))&lt;=57,CODE(MID(TRIM(UPPER(E167)),7,1))&gt;=48,CODE(MID(TRIM(UPPER(E167)),7,1))&lt;=57,CODE(MID(TRIM(UPPER(E167)),8,1))&gt;=48,CODE(MID(TRIM(UPPER(E167)),8,1))&lt;=57,CODE(MID(TRIM(UPPER(E167)),9,1))&gt;=48,CODE(MID(TRIM(UPPER(E167)),9,1))&lt;=57),"N","Y"))</f>
      </c>
      <c r="G167" s="7">
        <f>IF($D167="","",IF(LEN(E167)&lt;4,"",IF(UPPER(MID(E167,4,1))="P","Individual",IF(UPPER(MID(E167,4,1))="H","HUF",IF(UPPER(MID(E167,4,1))="C","Company",IF(UPPER(MID(E167,4,1))="F","Firm",IF(UPPER(MID(E167,4,1))="L","LLP",IF(UPPER(MID(E167,4,1))="T","Trust",IF(UPPER(MID(E167,4,1))="A","AOP","")))))))))</f>
      </c>
      <c r="H167" s="8"/>
      <c r="I167" s="7">
        <f>IF($D167="","",IF(H167="","",IF(F167="Y",SUMPRODUCT(('Rate Lookup'!$A$1:$A$37=H167)*'Rate Lookup'!$D$1:$D$37),IF(OR(G167="Individual",G167="HUF"),SUMPRODUCT(('Rate Lookup'!$A$1:$A$37=H167)*'Rate Lookup'!$B$1:$B$37),SUMPRODUCT(('Rate Lookup'!$A$1:$A$37=H167)*'Rate Lookup'!$C$1:$C$37)))))</f>
      </c>
      <c r="J167" s="8"/>
      <c r="K167" s="8"/>
      <c r="L167" s="7">
        <f>IF($D167="","",ROUND(K167*I167/100,0))</f>
      </c>
      <c r="M167" s="7">
        <f>IF($D167="","",0)</f>
      </c>
      <c r="N167" s="7">
        <f>IF($D167="","",0)</f>
      </c>
      <c r="O167" s="7">
        <f>IF($D167="","",IF(OR(L167=0,J167="",IFERROR(INDEX('Challan Master'!$D$4:$D$207,MATCH($B167,'Challan Master'!$S$4:$S$207,0)),"")="",IFERROR(INDEX('Challan Master'!$D$4:$D$207,MATCH($B167,'Challan Master'!$S$4:$S$207,0)),"")&lt;=0),0,IF(IFERROR(INDEX('Challan Master'!$D$4:$D$207,MATCH($B167,'Challan Master'!$S$4:$S$207,0)),"")&lt;=DATE(YEAR(J167),MONTH(J167)+1,7),0,ROUND(L167*0.015*((YEAR(IFERROR(INDEX('Challan Master'!$D$4:$D$207,MATCH($B167,'Challan Master'!$S$4:$S$207,0)),""))-YEAR(J167))*12+(MONTH(IFERROR(INDEX('Challan Master'!$D$4:$D$207,MATCH($B167,'Challan Master'!$S$4:$S$207,0)),""))-MONTH(J167))+1),0))))</f>
      </c>
      <c r="P167" s="7">
        <f>IF($D167="","",0)</f>
      </c>
      <c r="Q167" s="8"/>
      <c r="R167" s="8"/>
      <c r="S167" s="8"/>
      <c r="T167" s="8"/>
      <c r="U167" s="8"/>
      <c r="V167" s="7">
        <f>IF($B167="","",IFERROR(INDEX('Challan Master'!$AA$4:$AA$207,MATCH($B167,'Challan Master'!$S$4:$S$207,0)),""))</f>
      </c>
    </row>
    <row r="168" spans="1:22" x14ac:dyDescent="0.25">
      <c r="A168" s="7">
        <f>IF($D168="","",COUNTIF($D$4:$D168,"&lt;&gt;"))</f>
      </c>
      <c r="B168" s="8"/>
      <c r="C168" s="7">
        <f>IF($B168="","","BSR "&amp;IFERROR(INDEX('Challan Master'!$B$4:$B$207,MATCH($B168,'Challan Master'!$S$4:$S$207,0)),"")&amp;" | Serial "&amp;IFERROR(INDEX('Challan Master'!$C$4:$C$207,MATCH($B168,'Challan Master'!$S$4:$S$207,0)),"")&amp;" | Deposit "&amp;TEXT(IFERROR(INDEX('Challan Master'!$D$4:$D$207,MATCH($B168,'Challan Master'!$S$4:$S$207,0)),""),"dd-mm-yyyy")&amp;" | Minor Head "&amp;IFERROR(INDEX('Challan Master'!$E$4:$E$207,MATCH($B168,'Challan Master'!$S$4:$S$207,0)),"")&amp;" | Tax ₹"&amp;TEXT(IFERROR(INDEX('Challan Master'!$G$4:$G$207,MATCH($B168,'Challan Master'!$S$4:$S$207,0)),""),"#,##0")&amp;" | Section "&amp;IFERROR(INDEX('Challan Master'!$F$4:$F$207,MATCH($B168,'Challan Master'!$S$4:$S$207,0)),""))</f>
      </c>
      <c r="D168" s="8"/>
      <c r="E168" s="8"/>
      <c r="F168" s="7">
        <f>IF($D168="","",IF(AND(LEN(TRIM(UPPER(E168)))=10,CODE(MID(TRIM(UPPER(E168)),1,1))&gt;=65,CODE(MID(TRIM(UPPER(E168)),1,1))&lt;=90,CODE(MID(TRIM(UPPER(E168)),2,1))&gt;=65,CODE(MID(TRIM(UPPER(E168)),2,1))&lt;=90,CODE(MID(TRIM(UPPER(E168)),3,1))&gt;=65,CODE(MID(TRIM(UPPER(E168)),3,1))&lt;=90,CODE(MID(TRIM(UPPER(E168)),4,1))&gt;=65,CODE(MID(TRIM(UPPER(E168)),4,1))&lt;=90,CODE(MID(TRIM(UPPER(E168)),5,1))&gt;=65,CODE(MID(TRIM(UPPER(E168)),5,1))&lt;=90,CODE(MID(TRIM(UPPER(E168)),10,1))&gt;=65,CODE(MID(TRIM(UPPER(E168)),10,1))&lt;=90,CODE(MID(TRIM(UPPER(E168)),6,1))&gt;=48,CODE(MID(TRIM(UPPER(E168)),6,1))&lt;=57,CODE(MID(TRIM(UPPER(E168)),7,1))&gt;=48,CODE(MID(TRIM(UPPER(E168)),7,1))&lt;=57,CODE(MID(TRIM(UPPER(E168)),8,1))&gt;=48,CODE(MID(TRIM(UPPER(E168)),8,1))&lt;=57,CODE(MID(TRIM(UPPER(E168)),9,1))&gt;=48,CODE(MID(TRIM(UPPER(E168)),9,1))&lt;=57),"N","Y"))</f>
      </c>
      <c r="G168" s="7">
        <f>IF($D168="","",IF(LEN(E168)&lt;4,"",IF(UPPER(MID(E168,4,1))="P","Individual",IF(UPPER(MID(E168,4,1))="H","HUF",IF(UPPER(MID(E168,4,1))="C","Company",IF(UPPER(MID(E168,4,1))="F","Firm",IF(UPPER(MID(E168,4,1))="L","LLP",IF(UPPER(MID(E168,4,1))="T","Trust",IF(UPPER(MID(E168,4,1))="A","AOP","")))))))))</f>
      </c>
      <c r="H168" s="8"/>
      <c r="I168" s="7">
        <f>IF($D168="","",IF(H168="","",IF(F168="Y",SUMPRODUCT(('Rate Lookup'!$A$1:$A$37=H168)*'Rate Lookup'!$D$1:$D$37),IF(OR(G168="Individual",G168="HUF"),SUMPRODUCT(('Rate Lookup'!$A$1:$A$37=H168)*'Rate Lookup'!$B$1:$B$37),SUMPRODUCT(('Rate Lookup'!$A$1:$A$37=H168)*'Rate Lookup'!$C$1:$C$37)))))</f>
      </c>
      <c r="J168" s="8"/>
      <c r="K168" s="8"/>
      <c r="L168" s="7">
        <f>IF($D168="","",ROUND(K168*I168/100,0))</f>
      </c>
      <c r="M168" s="7">
        <f>IF($D168="","",0)</f>
      </c>
      <c r="N168" s="7">
        <f>IF($D168="","",0)</f>
      </c>
      <c r="O168" s="7">
        <f>IF($D168="","",IF(OR(L168=0,J168="",IFERROR(INDEX('Challan Master'!$D$4:$D$207,MATCH($B168,'Challan Master'!$S$4:$S$207,0)),"")="",IFERROR(INDEX('Challan Master'!$D$4:$D$207,MATCH($B168,'Challan Master'!$S$4:$S$207,0)),"")&lt;=0),0,IF(IFERROR(INDEX('Challan Master'!$D$4:$D$207,MATCH($B168,'Challan Master'!$S$4:$S$207,0)),"")&lt;=DATE(YEAR(J168),MONTH(J168)+1,7),0,ROUND(L168*0.015*((YEAR(IFERROR(INDEX('Challan Master'!$D$4:$D$207,MATCH($B168,'Challan Master'!$S$4:$S$207,0)),""))-YEAR(J168))*12+(MONTH(IFERROR(INDEX('Challan Master'!$D$4:$D$207,MATCH($B168,'Challan Master'!$S$4:$S$207,0)),""))-MONTH(J168))+1),0))))</f>
      </c>
      <c r="P168" s="7">
        <f>IF($D168="","",0)</f>
      </c>
      <c r="Q168" s="8"/>
      <c r="R168" s="8"/>
      <c r="S168" s="8"/>
      <c r="T168" s="8"/>
      <c r="U168" s="8"/>
      <c r="V168" s="7">
        <f>IF($B168="","",IFERROR(INDEX('Challan Master'!$AA$4:$AA$207,MATCH($B168,'Challan Master'!$S$4:$S$207,0)),""))</f>
      </c>
    </row>
    <row r="169" spans="1:22" x14ac:dyDescent="0.25">
      <c r="A169" s="7">
        <f>IF($D169="","",COUNTIF($D$4:$D169,"&lt;&gt;"))</f>
      </c>
      <c r="B169" s="8"/>
      <c r="C169" s="7">
        <f>IF($B169="","","BSR "&amp;IFERROR(INDEX('Challan Master'!$B$4:$B$207,MATCH($B169,'Challan Master'!$S$4:$S$207,0)),"")&amp;" | Serial "&amp;IFERROR(INDEX('Challan Master'!$C$4:$C$207,MATCH($B169,'Challan Master'!$S$4:$S$207,0)),"")&amp;" | Deposit "&amp;TEXT(IFERROR(INDEX('Challan Master'!$D$4:$D$207,MATCH($B169,'Challan Master'!$S$4:$S$207,0)),""),"dd-mm-yyyy")&amp;" | Minor Head "&amp;IFERROR(INDEX('Challan Master'!$E$4:$E$207,MATCH($B169,'Challan Master'!$S$4:$S$207,0)),"")&amp;" | Tax ₹"&amp;TEXT(IFERROR(INDEX('Challan Master'!$G$4:$G$207,MATCH($B169,'Challan Master'!$S$4:$S$207,0)),""),"#,##0")&amp;" | Section "&amp;IFERROR(INDEX('Challan Master'!$F$4:$F$207,MATCH($B169,'Challan Master'!$S$4:$S$207,0)),""))</f>
      </c>
      <c r="D169" s="8"/>
      <c r="E169" s="8"/>
      <c r="F169" s="7">
        <f>IF($D169="","",IF(AND(LEN(TRIM(UPPER(E169)))=10,CODE(MID(TRIM(UPPER(E169)),1,1))&gt;=65,CODE(MID(TRIM(UPPER(E169)),1,1))&lt;=90,CODE(MID(TRIM(UPPER(E169)),2,1))&gt;=65,CODE(MID(TRIM(UPPER(E169)),2,1))&lt;=90,CODE(MID(TRIM(UPPER(E169)),3,1))&gt;=65,CODE(MID(TRIM(UPPER(E169)),3,1))&lt;=90,CODE(MID(TRIM(UPPER(E169)),4,1))&gt;=65,CODE(MID(TRIM(UPPER(E169)),4,1))&lt;=90,CODE(MID(TRIM(UPPER(E169)),5,1))&gt;=65,CODE(MID(TRIM(UPPER(E169)),5,1))&lt;=90,CODE(MID(TRIM(UPPER(E169)),10,1))&gt;=65,CODE(MID(TRIM(UPPER(E169)),10,1))&lt;=90,CODE(MID(TRIM(UPPER(E169)),6,1))&gt;=48,CODE(MID(TRIM(UPPER(E169)),6,1))&lt;=57,CODE(MID(TRIM(UPPER(E169)),7,1))&gt;=48,CODE(MID(TRIM(UPPER(E169)),7,1))&lt;=57,CODE(MID(TRIM(UPPER(E169)),8,1))&gt;=48,CODE(MID(TRIM(UPPER(E169)),8,1))&lt;=57,CODE(MID(TRIM(UPPER(E169)),9,1))&gt;=48,CODE(MID(TRIM(UPPER(E169)),9,1))&lt;=57),"N","Y"))</f>
      </c>
      <c r="G169" s="7">
        <f>IF($D169="","",IF(LEN(E169)&lt;4,"",IF(UPPER(MID(E169,4,1))="P","Individual",IF(UPPER(MID(E169,4,1))="H","HUF",IF(UPPER(MID(E169,4,1))="C","Company",IF(UPPER(MID(E169,4,1))="F","Firm",IF(UPPER(MID(E169,4,1))="L","LLP",IF(UPPER(MID(E169,4,1))="T","Trust",IF(UPPER(MID(E169,4,1))="A","AOP","")))))))))</f>
      </c>
      <c r="H169" s="8"/>
      <c r="I169" s="7">
        <f>IF($D169="","",IF(H169="","",IF(F169="Y",SUMPRODUCT(('Rate Lookup'!$A$1:$A$37=H169)*'Rate Lookup'!$D$1:$D$37),IF(OR(G169="Individual",G169="HUF"),SUMPRODUCT(('Rate Lookup'!$A$1:$A$37=H169)*'Rate Lookup'!$B$1:$B$37),SUMPRODUCT(('Rate Lookup'!$A$1:$A$37=H169)*'Rate Lookup'!$C$1:$C$37)))))</f>
      </c>
      <c r="J169" s="8"/>
      <c r="K169" s="8"/>
      <c r="L169" s="7">
        <f>IF($D169="","",ROUND(K169*I169/100,0))</f>
      </c>
      <c r="M169" s="7">
        <f>IF($D169="","",0)</f>
      </c>
      <c r="N169" s="7">
        <f>IF($D169="","",0)</f>
      </c>
      <c r="O169" s="7">
        <f>IF($D169="","",IF(OR(L169=0,J169="",IFERROR(INDEX('Challan Master'!$D$4:$D$207,MATCH($B169,'Challan Master'!$S$4:$S$207,0)),"")="",IFERROR(INDEX('Challan Master'!$D$4:$D$207,MATCH($B169,'Challan Master'!$S$4:$S$207,0)),"")&lt;=0),0,IF(IFERROR(INDEX('Challan Master'!$D$4:$D$207,MATCH($B169,'Challan Master'!$S$4:$S$207,0)),"")&lt;=DATE(YEAR(J169),MONTH(J169)+1,7),0,ROUND(L169*0.015*((YEAR(IFERROR(INDEX('Challan Master'!$D$4:$D$207,MATCH($B169,'Challan Master'!$S$4:$S$207,0)),""))-YEAR(J169))*12+(MONTH(IFERROR(INDEX('Challan Master'!$D$4:$D$207,MATCH($B169,'Challan Master'!$S$4:$S$207,0)),""))-MONTH(J169))+1),0))))</f>
      </c>
      <c r="P169" s="7">
        <f>IF($D169="","",0)</f>
      </c>
      <c r="Q169" s="8"/>
      <c r="R169" s="8"/>
      <c r="S169" s="8"/>
      <c r="T169" s="8"/>
      <c r="U169" s="8"/>
      <c r="V169" s="7">
        <f>IF($B169="","",IFERROR(INDEX('Challan Master'!$AA$4:$AA$207,MATCH($B169,'Challan Master'!$S$4:$S$207,0)),""))</f>
      </c>
    </row>
    <row r="170" spans="1:22" x14ac:dyDescent="0.25">
      <c r="A170" s="7">
        <f>IF($D170="","",COUNTIF($D$4:$D170,"&lt;&gt;"))</f>
      </c>
      <c r="B170" s="8"/>
      <c r="C170" s="7">
        <f>IF($B170="","","BSR "&amp;IFERROR(INDEX('Challan Master'!$B$4:$B$207,MATCH($B170,'Challan Master'!$S$4:$S$207,0)),"")&amp;" | Serial "&amp;IFERROR(INDEX('Challan Master'!$C$4:$C$207,MATCH($B170,'Challan Master'!$S$4:$S$207,0)),"")&amp;" | Deposit "&amp;TEXT(IFERROR(INDEX('Challan Master'!$D$4:$D$207,MATCH($B170,'Challan Master'!$S$4:$S$207,0)),""),"dd-mm-yyyy")&amp;" | Minor Head "&amp;IFERROR(INDEX('Challan Master'!$E$4:$E$207,MATCH($B170,'Challan Master'!$S$4:$S$207,0)),"")&amp;" | Tax ₹"&amp;TEXT(IFERROR(INDEX('Challan Master'!$G$4:$G$207,MATCH($B170,'Challan Master'!$S$4:$S$207,0)),""),"#,##0")&amp;" | Section "&amp;IFERROR(INDEX('Challan Master'!$F$4:$F$207,MATCH($B170,'Challan Master'!$S$4:$S$207,0)),""))</f>
      </c>
      <c r="D170" s="8"/>
      <c r="E170" s="8"/>
      <c r="F170" s="7">
        <f>IF($D170="","",IF(AND(LEN(TRIM(UPPER(E170)))=10,CODE(MID(TRIM(UPPER(E170)),1,1))&gt;=65,CODE(MID(TRIM(UPPER(E170)),1,1))&lt;=90,CODE(MID(TRIM(UPPER(E170)),2,1))&gt;=65,CODE(MID(TRIM(UPPER(E170)),2,1))&lt;=90,CODE(MID(TRIM(UPPER(E170)),3,1))&gt;=65,CODE(MID(TRIM(UPPER(E170)),3,1))&lt;=90,CODE(MID(TRIM(UPPER(E170)),4,1))&gt;=65,CODE(MID(TRIM(UPPER(E170)),4,1))&lt;=90,CODE(MID(TRIM(UPPER(E170)),5,1))&gt;=65,CODE(MID(TRIM(UPPER(E170)),5,1))&lt;=90,CODE(MID(TRIM(UPPER(E170)),10,1))&gt;=65,CODE(MID(TRIM(UPPER(E170)),10,1))&lt;=90,CODE(MID(TRIM(UPPER(E170)),6,1))&gt;=48,CODE(MID(TRIM(UPPER(E170)),6,1))&lt;=57,CODE(MID(TRIM(UPPER(E170)),7,1))&gt;=48,CODE(MID(TRIM(UPPER(E170)),7,1))&lt;=57,CODE(MID(TRIM(UPPER(E170)),8,1))&gt;=48,CODE(MID(TRIM(UPPER(E170)),8,1))&lt;=57,CODE(MID(TRIM(UPPER(E170)),9,1))&gt;=48,CODE(MID(TRIM(UPPER(E170)),9,1))&lt;=57),"N","Y"))</f>
      </c>
      <c r="G170" s="7">
        <f>IF($D170="","",IF(LEN(E170)&lt;4,"",IF(UPPER(MID(E170,4,1))="P","Individual",IF(UPPER(MID(E170,4,1))="H","HUF",IF(UPPER(MID(E170,4,1))="C","Company",IF(UPPER(MID(E170,4,1))="F","Firm",IF(UPPER(MID(E170,4,1))="L","LLP",IF(UPPER(MID(E170,4,1))="T","Trust",IF(UPPER(MID(E170,4,1))="A","AOP","")))))))))</f>
      </c>
      <c r="H170" s="8"/>
      <c r="I170" s="7">
        <f>IF($D170="","",IF(H170="","",IF(F170="Y",SUMPRODUCT(('Rate Lookup'!$A$1:$A$37=H170)*'Rate Lookup'!$D$1:$D$37),IF(OR(G170="Individual",G170="HUF"),SUMPRODUCT(('Rate Lookup'!$A$1:$A$37=H170)*'Rate Lookup'!$B$1:$B$37),SUMPRODUCT(('Rate Lookup'!$A$1:$A$37=H170)*'Rate Lookup'!$C$1:$C$37)))))</f>
      </c>
      <c r="J170" s="8"/>
      <c r="K170" s="8"/>
      <c r="L170" s="7">
        <f>IF($D170="","",ROUND(K170*I170/100,0))</f>
      </c>
      <c r="M170" s="7">
        <f>IF($D170="","",0)</f>
      </c>
      <c r="N170" s="7">
        <f>IF($D170="","",0)</f>
      </c>
      <c r="O170" s="7">
        <f>IF($D170="","",IF(OR(L170=0,J170="",IFERROR(INDEX('Challan Master'!$D$4:$D$207,MATCH($B170,'Challan Master'!$S$4:$S$207,0)),"")="",IFERROR(INDEX('Challan Master'!$D$4:$D$207,MATCH($B170,'Challan Master'!$S$4:$S$207,0)),"")&lt;=0),0,IF(IFERROR(INDEX('Challan Master'!$D$4:$D$207,MATCH($B170,'Challan Master'!$S$4:$S$207,0)),"")&lt;=DATE(YEAR(J170),MONTH(J170)+1,7),0,ROUND(L170*0.015*((YEAR(IFERROR(INDEX('Challan Master'!$D$4:$D$207,MATCH($B170,'Challan Master'!$S$4:$S$207,0)),""))-YEAR(J170))*12+(MONTH(IFERROR(INDEX('Challan Master'!$D$4:$D$207,MATCH($B170,'Challan Master'!$S$4:$S$207,0)),""))-MONTH(J170))+1),0))))</f>
      </c>
      <c r="P170" s="7">
        <f>IF($D170="","",0)</f>
      </c>
      <c r="Q170" s="8"/>
      <c r="R170" s="8"/>
      <c r="S170" s="8"/>
      <c r="T170" s="8"/>
      <c r="U170" s="8"/>
      <c r="V170" s="7">
        <f>IF($B170="","",IFERROR(INDEX('Challan Master'!$AA$4:$AA$207,MATCH($B170,'Challan Master'!$S$4:$S$207,0)),""))</f>
      </c>
    </row>
    <row r="171" spans="1:22" x14ac:dyDescent="0.25">
      <c r="A171" s="7">
        <f>IF($D171="","",COUNTIF($D$4:$D171,"&lt;&gt;"))</f>
      </c>
      <c r="B171" s="8"/>
      <c r="C171" s="7">
        <f>IF($B171="","","BSR "&amp;IFERROR(INDEX('Challan Master'!$B$4:$B$207,MATCH($B171,'Challan Master'!$S$4:$S$207,0)),"")&amp;" | Serial "&amp;IFERROR(INDEX('Challan Master'!$C$4:$C$207,MATCH($B171,'Challan Master'!$S$4:$S$207,0)),"")&amp;" | Deposit "&amp;TEXT(IFERROR(INDEX('Challan Master'!$D$4:$D$207,MATCH($B171,'Challan Master'!$S$4:$S$207,0)),""),"dd-mm-yyyy")&amp;" | Minor Head "&amp;IFERROR(INDEX('Challan Master'!$E$4:$E$207,MATCH($B171,'Challan Master'!$S$4:$S$207,0)),"")&amp;" | Tax ₹"&amp;TEXT(IFERROR(INDEX('Challan Master'!$G$4:$G$207,MATCH($B171,'Challan Master'!$S$4:$S$207,0)),""),"#,##0")&amp;" | Section "&amp;IFERROR(INDEX('Challan Master'!$F$4:$F$207,MATCH($B171,'Challan Master'!$S$4:$S$207,0)),""))</f>
      </c>
      <c r="D171" s="8"/>
      <c r="E171" s="8"/>
      <c r="F171" s="7">
        <f>IF($D171="","",IF(AND(LEN(TRIM(UPPER(E171)))=10,CODE(MID(TRIM(UPPER(E171)),1,1))&gt;=65,CODE(MID(TRIM(UPPER(E171)),1,1))&lt;=90,CODE(MID(TRIM(UPPER(E171)),2,1))&gt;=65,CODE(MID(TRIM(UPPER(E171)),2,1))&lt;=90,CODE(MID(TRIM(UPPER(E171)),3,1))&gt;=65,CODE(MID(TRIM(UPPER(E171)),3,1))&lt;=90,CODE(MID(TRIM(UPPER(E171)),4,1))&gt;=65,CODE(MID(TRIM(UPPER(E171)),4,1))&lt;=90,CODE(MID(TRIM(UPPER(E171)),5,1))&gt;=65,CODE(MID(TRIM(UPPER(E171)),5,1))&lt;=90,CODE(MID(TRIM(UPPER(E171)),10,1))&gt;=65,CODE(MID(TRIM(UPPER(E171)),10,1))&lt;=90,CODE(MID(TRIM(UPPER(E171)),6,1))&gt;=48,CODE(MID(TRIM(UPPER(E171)),6,1))&lt;=57,CODE(MID(TRIM(UPPER(E171)),7,1))&gt;=48,CODE(MID(TRIM(UPPER(E171)),7,1))&lt;=57,CODE(MID(TRIM(UPPER(E171)),8,1))&gt;=48,CODE(MID(TRIM(UPPER(E171)),8,1))&lt;=57,CODE(MID(TRIM(UPPER(E171)),9,1))&gt;=48,CODE(MID(TRIM(UPPER(E171)),9,1))&lt;=57),"N","Y"))</f>
      </c>
      <c r="G171" s="7">
        <f>IF($D171="","",IF(LEN(E171)&lt;4,"",IF(UPPER(MID(E171,4,1))="P","Individual",IF(UPPER(MID(E171,4,1))="H","HUF",IF(UPPER(MID(E171,4,1))="C","Company",IF(UPPER(MID(E171,4,1))="F","Firm",IF(UPPER(MID(E171,4,1))="L","LLP",IF(UPPER(MID(E171,4,1))="T","Trust",IF(UPPER(MID(E171,4,1))="A","AOP","")))))))))</f>
      </c>
      <c r="H171" s="8"/>
      <c r="I171" s="7">
        <f>IF($D171="","",IF(H171="","",IF(F171="Y",SUMPRODUCT(('Rate Lookup'!$A$1:$A$37=H171)*'Rate Lookup'!$D$1:$D$37),IF(OR(G171="Individual",G171="HUF"),SUMPRODUCT(('Rate Lookup'!$A$1:$A$37=H171)*'Rate Lookup'!$B$1:$B$37),SUMPRODUCT(('Rate Lookup'!$A$1:$A$37=H171)*'Rate Lookup'!$C$1:$C$37)))))</f>
      </c>
      <c r="J171" s="8"/>
      <c r="K171" s="8"/>
      <c r="L171" s="7">
        <f>IF($D171="","",ROUND(K171*I171/100,0))</f>
      </c>
      <c r="M171" s="7">
        <f>IF($D171="","",0)</f>
      </c>
      <c r="N171" s="7">
        <f>IF($D171="","",0)</f>
      </c>
      <c r="O171" s="7">
        <f>IF($D171="","",IF(OR(L171=0,J171="",IFERROR(INDEX('Challan Master'!$D$4:$D$207,MATCH($B171,'Challan Master'!$S$4:$S$207,0)),"")="",IFERROR(INDEX('Challan Master'!$D$4:$D$207,MATCH($B171,'Challan Master'!$S$4:$S$207,0)),"")&lt;=0),0,IF(IFERROR(INDEX('Challan Master'!$D$4:$D$207,MATCH($B171,'Challan Master'!$S$4:$S$207,0)),"")&lt;=DATE(YEAR(J171),MONTH(J171)+1,7),0,ROUND(L171*0.015*((YEAR(IFERROR(INDEX('Challan Master'!$D$4:$D$207,MATCH($B171,'Challan Master'!$S$4:$S$207,0)),""))-YEAR(J171))*12+(MONTH(IFERROR(INDEX('Challan Master'!$D$4:$D$207,MATCH($B171,'Challan Master'!$S$4:$S$207,0)),""))-MONTH(J171))+1),0))))</f>
      </c>
      <c r="P171" s="7">
        <f>IF($D171="","",0)</f>
      </c>
      <c r="Q171" s="8"/>
      <c r="R171" s="8"/>
      <c r="S171" s="8"/>
      <c r="T171" s="8"/>
      <c r="U171" s="8"/>
      <c r="V171" s="7">
        <f>IF($B171="","",IFERROR(INDEX('Challan Master'!$AA$4:$AA$207,MATCH($B171,'Challan Master'!$S$4:$S$207,0)),""))</f>
      </c>
    </row>
    <row r="172" spans="1:22" x14ac:dyDescent="0.25">
      <c r="A172" s="7">
        <f>IF($D172="","",COUNTIF($D$4:$D172,"&lt;&gt;"))</f>
      </c>
      <c r="B172" s="8"/>
      <c r="C172" s="7">
        <f>IF($B172="","","BSR "&amp;IFERROR(INDEX('Challan Master'!$B$4:$B$207,MATCH($B172,'Challan Master'!$S$4:$S$207,0)),"")&amp;" | Serial "&amp;IFERROR(INDEX('Challan Master'!$C$4:$C$207,MATCH($B172,'Challan Master'!$S$4:$S$207,0)),"")&amp;" | Deposit "&amp;TEXT(IFERROR(INDEX('Challan Master'!$D$4:$D$207,MATCH($B172,'Challan Master'!$S$4:$S$207,0)),""),"dd-mm-yyyy")&amp;" | Minor Head "&amp;IFERROR(INDEX('Challan Master'!$E$4:$E$207,MATCH($B172,'Challan Master'!$S$4:$S$207,0)),"")&amp;" | Tax ₹"&amp;TEXT(IFERROR(INDEX('Challan Master'!$G$4:$G$207,MATCH($B172,'Challan Master'!$S$4:$S$207,0)),""),"#,##0")&amp;" | Section "&amp;IFERROR(INDEX('Challan Master'!$F$4:$F$207,MATCH($B172,'Challan Master'!$S$4:$S$207,0)),""))</f>
      </c>
      <c r="D172" s="8"/>
      <c r="E172" s="8"/>
      <c r="F172" s="7">
        <f>IF($D172="","",IF(AND(LEN(TRIM(UPPER(E172)))=10,CODE(MID(TRIM(UPPER(E172)),1,1))&gt;=65,CODE(MID(TRIM(UPPER(E172)),1,1))&lt;=90,CODE(MID(TRIM(UPPER(E172)),2,1))&gt;=65,CODE(MID(TRIM(UPPER(E172)),2,1))&lt;=90,CODE(MID(TRIM(UPPER(E172)),3,1))&gt;=65,CODE(MID(TRIM(UPPER(E172)),3,1))&lt;=90,CODE(MID(TRIM(UPPER(E172)),4,1))&gt;=65,CODE(MID(TRIM(UPPER(E172)),4,1))&lt;=90,CODE(MID(TRIM(UPPER(E172)),5,1))&gt;=65,CODE(MID(TRIM(UPPER(E172)),5,1))&lt;=90,CODE(MID(TRIM(UPPER(E172)),10,1))&gt;=65,CODE(MID(TRIM(UPPER(E172)),10,1))&lt;=90,CODE(MID(TRIM(UPPER(E172)),6,1))&gt;=48,CODE(MID(TRIM(UPPER(E172)),6,1))&lt;=57,CODE(MID(TRIM(UPPER(E172)),7,1))&gt;=48,CODE(MID(TRIM(UPPER(E172)),7,1))&lt;=57,CODE(MID(TRIM(UPPER(E172)),8,1))&gt;=48,CODE(MID(TRIM(UPPER(E172)),8,1))&lt;=57,CODE(MID(TRIM(UPPER(E172)),9,1))&gt;=48,CODE(MID(TRIM(UPPER(E172)),9,1))&lt;=57),"N","Y"))</f>
      </c>
      <c r="G172" s="7">
        <f>IF($D172="","",IF(LEN(E172)&lt;4,"",IF(UPPER(MID(E172,4,1))="P","Individual",IF(UPPER(MID(E172,4,1))="H","HUF",IF(UPPER(MID(E172,4,1))="C","Company",IF(UPPER(MID(E172,4,1))="F","Firm",IF(UPPER(MID(E172,4,1))="L","LLP",IF(UPPER(MID(E172,4,1))="T","Trust",IF(UPPER(MID(E172,4,1))="A","AOP","")))))))))</f>
      </c>
      <c r="H172" s="8"/>
      <c r="I172" s="7">
        <f>IF($D172="","",IF(H172="","",IF(F172="Y",SUMPRODUCT(('Rate Lookup'!$A$1:$A$37=H172)*'Rate Lookup'!$D$1:$D$37),IF(OR(G172="Individual",G172="HUF"),SUMPRODUCT(('Rate Lookup'!$A$1:$A$37=H172)*'Rate Lookup'!$B$1:$B$37),SUMPRODUCT(('Rate Lookup'!$A$1:$A$37=H172)*'Rate Lookup'!$C$1:$C$37)))))</f>
      </c>
      <c r="J172" s="8"/>
      <c r="K172" s="8"/>
      <c r="L172" s="7">
        <f>IF($D172="","",ROUND(K172*I172/100,0))</f>
      </c>
      <c r="M172" s="7">
        <f>IF($D172="","",0)</f>
      </c>
      <c r="N172" s="7">
        <f>IF($D172="","",0)</f>
      </c>
      <c r="O172" s="7">
        <f>IF($D172="","",IF(OR(L172=0,J172="",IFERROR(INDEX('Challan Master'!$D$4:$D$207,MATCH($B172,'Challan Master'!$S$4:$S$207,0)),"")="",IFERROR(INDEX('Challan Master'!$D$4:$D$207,MATCH($B172,'Challan Master'!$S$4:$S$207,0)),"")&lt;=0),0,IF(IFERROR(INDEX('Challan Master'!$D$4:$D$207,MATCH($B172,'Challan Master'!$S$4:$S$207,0)),"")&lt;=DATE(YEAR(J172),MONTH(J172)+1,7),0,ROUND(L172*0.015*((YEAR(IFERROR(INDEX('Challan Master'!$D$4:$D$207,MATCH($B172,'Challan Master'!$S$4:$S$207,0)),""))-YEAR(J172))*12+(MONTH(IFERROR(INDEX('Challan Master'!$D$4:$D$207,MATCH($B172,'Challan Master'!$S$4:$S$207,0)),""))-MONTH(J172))+1),0))))</f>
      </c>
      <c r="P172" s="7">
        <f>IF($D172="","",0)</f>
      </c>
      <c r="Q172" s="8"/>
      <c r="R172" s="8"/>
      <c r="S172" s="8"/>
      <c r="T172" s="8"/>
      <c r="U172" s="8"/>
      <c r="V172" s="7">
        <f>IF($B172="","",IFERROR(INDEX('Challan Master'!$AA$4:$AA$207,MATCH($B172,'Challan Master'!$S$4:$S$207,0)),""))</f>
      </c>
    </row>
    <row r="173" spans="1:22" x14ac:dyDescent="0.25">
      <c r="A173" s="7">
        <f>IF($D173="","",COUNTIF($D$4:$D173,"&lt;&gt;"))</f>
      </c>
      <c r="B173" s="8"/>
      <c r="C173" s="7">
        <f>IF($B173="","","BSR "&amp;IFERROR(INDEX('Challan Master'!$B$4:$B$207,MATCH($B173,'Challan Master'!$S$4:$S$207,0)),"")&amp;" | Serial "&amp;IFERROR(INDEX('Challan Master'!$C$4:$C$207,MATCH($B173,'Challan Master'!$S$4:$S$207,0)),"")&amp;" | Deposit "&amp;TEXT(IFERROR(INDEX('Challan Master'!$D$4:$D$207,MATCH($B173,'Challan Master'!$S$4:$S$207,0)),""),"dd-mm-yyyy")&amp;" | Minor Head "&amp;IFERROR(INDEX('Challan Master'!$E$4:$E$207,MATCH($B173,'Challan Master'!$S$4:$S$207,0)),"")&amp;" | Tax ₹"&amp;TEXT(IFERROR(INDEX('Challan Master'!$G$4:$G$207,MATCH($B173,'Challan Master'!$S$4:$S$207,0)),""),"#,##0")&amp;" | Section "&amp;IFERROR(INDEX('Challan Master'!$F$4:$F$207,MATCH($B173,'Challan Master'!$S$4:$S$207,0)),""))</f>
      </c>
      <c r="D173" s="8"/>
      <c r="E173" s="8"/>
      <c r="F173" s="7">
        <f>IF($D173="","",IF(AND(LEN(TRIM(UPPER(E173)))=10,CODE(MID(TRIM(UPPER(E173)),1,1))&gt;=65,CODE(MID(TRIM(UPPER(E173)),1,1))&lt;=90,CODE(MID(TRIM(UPPER(E173)),2,1))&gt;=65,CODE(MID(TRIM(UPPER(E173)),2,1))&lt;=90,CODE(MID(TRIM(UPPER(E173)),3,1))&gt;=65,CODE(MID(TRIM(UPPER(E173)),3,1))&lt;=90,CODE(MID(TRIM(UPPER(E173)),4,1))&gt;=65,CODE(MID(TRIM(UPPER(E173)),4,1))&lt;=90,CODE(MID(TRIM(UPPER(E173)),5,1))&gt;=65,CODE(MID(TRIM(UPPER(E173)),5,1))&lt;=90,CODE(MID(TRIM(UPPER(E173)),10,1))&gt;=65,CODE(MID(TRIM(UPPER(E173)),10,1))&lt;=90,CODE(MID(TRIM(UPPER(E173)),6,1))&gt;=48,CODE(MID(TRIM(UPPER(E173)),6,1))&lt;=57,CODE(MID(TRIM(UPPER(E173)),7,1))&gt;=48,CODE(MID(TRIM(UPPER(E173)),7,1))&lt;=57,CODE(MID(TRIM(UPPER(E173)),8,1))&gt;=48,CODE(MID(TRIM(UPPER(E173)),8,1))&lt;=57,CODE(MID(TRIM(UPPER(E173)),9,1))&gt;=48,CODE(MID(TRIM(UPPER(E173)),9,1))&lt;=57),"N","Y"))</f>
      </c>
      <c r="G173" s="7">
        <f>IF($D173="","",IF(LEN(E173)&lt;4,"",IF(UPPER(MID(E173,4,1))="P","Individual",IF(UPPER(MID(E173,4,1))="H","HUF",IF(UPPER(MID(E173,4,1))="C","Company",IF(UPPER(MID(E173,4,1))="F","Firm",IF(UPPER(MID(E173,4,1))="L","LLP",IF(UPPER(MID(E173,4,1))="T","Trust",IF(UPPER(MID(E173,4,1))="A","AOP","")))))))))</f>
      </c>
      <c r="H173" s="8"/>
      <c r="I173" s="7">
        <f>IF($D173="","",IF(H173="","",IF(F173="Y",SUMPRODUCT(('Rate Lookup'!$A$1:$A$37=H173)*'Rate Lookup'!$D$1:$D$37),IF(OR(G173="Individual",G173="HUF"),SUMPRODUCT(('Rate Lookup'!$A$1:$A$37=H173)*'Rate Lookup'!$B$1:$B$37),SUMPRODUCT(('Rate Lookup'!$A$1:$A$37=H173)*'Rate Lookup'!$C$1:$C$37)))))</f>
      </c>
      <c r="J173" s="8"/>
      <c r="K173" s="8"/>
      <c r="L173" s="7">
        <f>IF($D173="","",ROUND(K173*I173/100,0))</f>
      </c>
      <c r="M173" s="7">
        <f>IF($D173="","",0)</f>
      </c>
      <c r="N173" s="7">
        <f>IF($D173="","",0)</f>
      </c>
      <c r="O173" s="7">
        <f>IF($D173="","",IF(OR(L173=0,J173="",IFERROR(INDEX('Challan Master'!$D$4:$D$207,MATCH($B173,'Challan Master'!$S$4:$S$207,0)),"")="",IFERROR(INDEX('Challan Master'!$D$4:$D$207,MATCH($B173,'Challan Master'!$S$4:$S$207,0)),"")&lt;=0),0,IF(IFERROR(INDEX('Challan Master'!$D$4:$D$207,MATCH($B173,'Challan Master'!$S$4:$S$207,0)),"")&lt;=DATE(YEAR(J173),MONTH(J173)+1,7),0,ROUND(L173*0.015*((YEAR(IFERROR(INDEX('Challan Master'!$D$4:$D$207,MATCH($B173,'Challan Master'!$S$4:$S$207,0)),""))-YEAR(J173))*12+(MONTH(IFERROR(INDEX('Challan Master'!$D$4:$D$207,MATCH($B173,'Challan Master'!$S$4:$S$207,0)),""))-MONTH(J173))+1),0))))</f>
      </c>
      <c r="P173" s="7">
        <f>IF($D173="","",0)</f>
      </c>
      <c r="Q173" s="8"/>
      <c r="R173" s="8"/>
      <c r="S173" s="8"/>
      <c r="T173" s="8"/>
      <c r="U173" s="8"/>
      <c r="V173" s="7">
        <f>IF($B173="","",IFERROR(INDEX('Challan Master'!$AA$4:$AA$207,MATCH($B173,'Challan Master'!$S$4:$S$207,0)),""))</f>
      </c>
    </row>
    <row r="174" spans="1:22" x14ac:dyDescent="0.25">
      <c r="A174" s="7">
        <f>IF($D174="","",COUNTIF($D$4:$D174,"&lt;&gt;"))</f>
      </c>
      <c r="B174" s="8"/>
      <c r="C174" s="7">
        <f>IF($B174="","","BSR "&amp;IFERROR(INDEX('Challan Master'!$B$4:$B$207,MATCH($B174,'Challan Master'!$S$4:$S$207,0)),"")&amp;" | Serial "&amp;IFERROR(INDEX('Challan Master'!$C$4:$C$207,MATCH($B174,'Challan Master'!$S$4:$S$207,0)),"")&amp;" | Deposit "&amp;TEXT(IFERROR(INDEX('Challan Master'!$D$4:$D$207,MATCH($B174,'Challan Master'!$S$4:$S$207,0)),""),"dd-mm-yyyy")&amp;" | Minor Head "&amp;IFERROR(INDEX('Challan Master'!$E$4:$E$207,MATCH($B174,'Challan Master'!$S$4:$S$207,0)),"")&amp;" | Tax ₹"&amp;TEXT(IFERROR(INDEX('Challan Master'!$G$4:$G$207,MATCH($B174,'Challan Master'!$S$4:$S$207,0)),""),"#,##0")&amp;" | Section "&amp;IFERROR(INDEX('Challan Master'!$F$4:$F$207,MATCH($B174,'Challan Master'!$S$4:$S$207,0)),""))</f>
      </c>
      <c r="D174" s="8"/>
      <c r="E174" s="8"/>
      <c r="F174" s="7">
        <f>IF($D174="","",IF(AND(LEN(TRIM(UPPER(E174)))=10,CODE(MID(TRIM(UPPER(E174)),1,1))&gt;=65,CODE(MID(TRIM(UPPER(E174)),1,1))&lt;=90,CODE(MID(TRIM(UPPER(E174)),2,1))&gt;=65,CODE(MID(TRIM(UPPER(E174)),2,1))&lt;=90,CODE(MID(TRIM(UPPER(E174)),3,1))&gt;=65,CODE(MID(TRIM(UPPER(E174)),3,1))&lt;=90,CODE(MID(TRIM(UPPER(E174)),4,1))&gt;=65,CODE(MID(TRIM(UPPER(E174)),4,1))&lt;=90,CODE(MID(TRIM(UPPER(E174)),5,1))&gt;=65,CODE(MID(TRIM(UPPER(E174)),5,1))&lt;=90,CODE(MID(TRIM(UPPER(E174)),10,1))&gt;=65,CODE(MID(TRIM(UPPER(E174)),10,1))&lt;=90,CODE(MID(TRIM(UPPER(E174)),6,1))&gt;=48,CODE(MID(TRIM(UPPER(E174)),6,1))&lt;=57,CODE(MID(TRIM(UPPER(E174)),7,1))&gt;=48,CODE(MID(TRIM(UPPER(E174)),7,1))&lt;=57,CODE(MID(TRIM(UPPER(E174)),8,1))&gt;=48,CODE(MID(TRIM(UPPER(E174)),8,1))&lt;=57,CODE(MID(TRIM(UPPER(E174)),9,1))&gt;=48,CODE(MID(TRIM(UPPER(E174)),9,1))&lt;=57),"N","Y"))</f>
      </c>
      <c r="G174" s="7">
        <f>IF($D174="","",IF(LEN(E174)&lt;4,"",IF(UPPER(MID(E174,4,1))="P","Individual",IF(UPPER(MID(E174,4,1))="H","HUF",IF(UPPER(MID(E174,4,1))="C","Company",IF(UPPER(MID(E174,4,1))="F","Firm",IF(UPPER(MID(E174,4,1))="L","LLP",IF(UPPER(MID(E174,4,1))="T","Trust",IF(UPPER(MID(E174,4,1))="A","AOP","")))))))))</f>
      </c>
      <c r="H174" s="8"/>
      <c r="I174" s="7">
        <f>IF($D174="","",IF(H174="","",IF(F174="Y",SUMPRODUCT(('Rate Lookup'!$A$1:$A$37=H174)*'Rate Lookup'!$D$1:$D$37),IF(OR(G174="Individual",G174="HUF"),SUMPRODUCT(('Rate Lookup'!$A$1:$A$37=H174)*'Rate Lookup'!$B$1:$B$37),SUMPRODUCT(('Rate Lookup'!$A$1:$A$37=H174)*'Rate Lookup'!$C$1:$C$37)))))</f>
      </c>
      <c r="J174" s="8"/>
      <c r="K174" s="8"/>
      <c r="L174" s="7">
        <f>IF($D174="","",ROUND(K174*I174/100,0))</f>
      </c>
      <c r="M174" s="7">
        <f>IF($D174="","",0)</f>
      </c>
      <c r="N174" s="7">
        <f>IF($D174="","",0)</f>
      </c>
      <c r="O174" s="7">
        <f>IF($D174="","",IF(OR(L174=0,J174="",IFERROR(INDEX('Challan Master'!$D$4:$D$207,MATCH($B174,'Challan Master'!$S$4:$S$207,0)),"")="",IFERROR(INDEX('Challan Master'!$D$4:$D$207,MATCH($B174,'Challan Master'!$S$4:$S$207,0)),"")&lt;=0),0,IF(IFERROR(INDEX('Challan Master'!$D$4:$D$207,MATCH($B174,'Challan Master'!$S$4:$S$207,0)),"")&lt;=DATE(YEAR(J174),MONTH(J174)+1,7),0,ROUND(L174*0.015*((YEAR(IFERROR(INDEX('Challan Master'!$D$4:$D$207,MATCH($B174,'Challan Master'!$S$4:$S$207,0)),""))-YEAR(J174))*12+(MONTH(IFERROR(INDEX('Challan Master'!$D$4:$D$207,MATCH($B174,'Challan Master'!$S$4:$S$207,0)),""))-MONTH(J174))+1),0))))</f>
      </c>
      <c r="P174" s="7">
        <f>IF($D174="","",0)</f>
      </c>
      <c r="Q174" s="8"/>
      <c r="R174" s="8"/>
      <c r="S174" s="8"/>
      <c r="T174" s="8"/>
      <c r="U174" s="8"/>
      <c r="V174" s="7">
        <f>IF($B174="","",IFERROR(INDEX('Challan Master'!$AA$4:$AA$207,MATCH($B174,'Challan Master'!$S$4:$S$207,0)),""))</f>
      </c>
    </row>
    <row r="175" spans="1:22" x14ac:dyDescent="0.25">
      <c r="A175" s="7">
        <f>IF($D175="","",COUNTIF($D$4:$D175,"&lt;&gt;"))</f>
      </c>
      <c r="B175" s="8"/>
      <c r="C175" s="7">
        <f>IF($B175="","","BSR "&amp;IFERROR(INDEX('Challan Master'!$B$4:$B$207,MATCH($B175,'Challan Master'!$S$4:$S$207,0)),"")&amp;" | Serial "&amp;IFERROR(INDEX('Challan Master'!$C$4:$C$207,MATCH($B175,'Challan Master'!$S$4:$S$207,0)),"")&amp;" | Deposit "&amp;TEXT(IFERROR(INDEX('Challan Master'!$D$4:$D$207,MATCH($B175,'Challan Master'!$S$4:$S$207,0)),""),"dd-mm-yyyy")&amp;" | Minor Head "&amp;IFERROR(INDEX('Challan Master'!$E$4:$E$207,MATCH($B175,'Challan Master'!$S$4:$S$207,0)),"")&amp;" | Tax ₹"&amp;TEXT(IFERROR(INDEX('Challan Master'!$G$4:$G$207,MATCH($B175,'Challan Master'!$S$4:$S$207,0)),""),"#,##0")&amp;" | Section "&amp;IFERROR(INDEX('Challan Master'!$F$4:$F$207,MATCH($B175,'Challan Master'!$S$4:$S$207,0)),""))</f>
      </c>
      <c r="D175" s="8"/>
      <c r="E175" s="8"/>
      <c r="F175" s="7">
        <f>IF($D175="","",IF(AND(LEN(TRIM(UPPER(E175)))=10,CODE(MID(TRIM(UPPER(E175)),1,1))&gt;=65,CODE(MID(TRIM(UPPER(E175)),1,1))&lt;=90,CODE(MID(TRIM(UPPER(E175)),2,1))&gt;=65,CODE(MID(TRIM(UPPER(E175)),2,1))&lt;=90,CODE(MID(TRIM(UPPER(E175)),3,1))&gt;=65,CODE(MID(TRIM(UPPER(E175)),3,1))&lt;=90,CODE(MID(TRIM(UPPER(E175)),4,1))&gt;=65,CODE(MID(TRIM(UPPER(E175)),4,1))&lt;=90,CODE(MID(TRIM(UPPER(E175)),5,1))&gt;=65,CODE(MID(TRIM(UPPER(E175)),5,1))&lt;=90,CODE(MID(TRIM(UPPER(E175)),10,1))&gt;=65,CODE(MID(TRIM(UPPER(E175)),10,1))&lt;=90,CODE(MID(TRIM(UPPER(E175)),6,1))&gt;=48,CODE(MID(TRIM(UPPER(E175)),6,1))&lt;=57,CODE(MID(TRIM(UPPER(E175)),7,1))&gt;=48,CODE(MID(TRIM(UPPER(E175)),7,1))&lt;=57,CODE(MID(TRIM(UPPER(E175)),8,1))&gt;=48,CODE(MID(TRIM(UPPER(E175)),8,1))&lt;=57,CODE(MID(TRIM(UPPER(E175)),9,1))&gt;=48,CODE(MID(TRIM(UPPER(E175)),9,1))&lt;=57),"N","Y"))</f>
      </c>
      <c r="G175" s="7">
        <f>IF($D175="","",IF(LEN(E175)&lt;4,"",IF(UPPER(MID(E175,4,1))="P","Individual",IF(UPPER(MID(E175,4,1))="H","HUF",IF(UPPER(MID(E175,4,1))="C","Company",IF(UPPER(MID(E175,4,1))="F","Firm",IF(UPPER(MID(E175,4,1))="L","LLP",IF(UPPER(MID(E175,4,1))="T","Trust",IF(UPPER(MID(E175,4,1))="A","AOP","")))))))))</f>
      </c>
      <c r="H175" s="8"/>
      <c r="I175" s="7">
        <f>IF($D175="","",IF(H175="","",IF(F175="Y",SUMPRODUCT(('Rate Lookup'!$A$1:$A$37=H175)*'Rate Lookup'!$D$1:$D$37),IF(OR(G175="Individual",G175="HUF"),SUMPRODUCT(('Rate Lookup'!$A$1:$A$37=H175)*'Rate Lookup'!$B$1:$B$37),SUMPRODUCT(('Rate Lookup'!$A$1:$A$37=H175)*'Rate Lookup'!$C$1:$C$37)))))</f>
      </c>
      <c r="J175" s="8"/>
      <c r="K175" s="8"/>
      <c r="L175" s="7">
        <f>IF($D175="","",ROUND(K175*I175/100,0))</f>
      </c>
      <c r="M175" s="7">
        <f>IF($D175="","",0)</f>
      </c>
      <c r="N175" s="7">
        <f>IF($D175="","",0)</f>
      </c>
      <c r="O175" s="7">
        <f>IF($D175="","",IF(OR(L175=0,J175="",IFERROR(INDEX('Challan Master'!$D$4:$D$207,MATCH($B175,'Challan Master'!$S$4:$S$207,0)),"")="",IFERROR(INDEX('Challan Master'!$D$4:$D$207,MATCH($B175,'Challan Master'!$S$4:$S$207,0)),"")&lt;=0),0,IF(IFERROR(INDEX('Challan Master'!$D$4:$D$207,MATCH($B175,'Challan Master'!$S$4:$S$207,0)),"")&lt;=DATE(YEAR(J175),MONTH(J175)+1,7),0,ROUND(L175*0.015*((YEAR(IFERROR(INDEX('Challan Master'!$D$4:$D$207,MATCH($B175,'Challan Master'!$S$4:$S$207,0)),""))-YEAR(J175))*12+(MONTH(IFERROR(INDEX('Challan Master'!$D$4:$D$207,MATCH($B175,'Challan Master'!$S$4:$S$207,0)),""))-MONTH(J175))+1),0))))</f>
      </c>
      <c r="P175" s="7">
        <f>IF($D175="","",0)</f>
      </c>
      <c r="Q175" s="8"/>
      <c r="R175" s="8"/>
      <c r="S175" s="8"/>
      <c r="T175" s="8"/>
      <c r="U175" s="8"/>
      <c r="V175" s="7">
        <f>IF($B175="","",IFERROR(INDEX('Challan Master'!$AA$4:$AA$207,MATCH($B175,'Challan Master'!$S$4:$S$207,0)),""))</f>
      </c>
    </row>
    <row r="176" spans="1:22" x14ac:dyDescent="0.25">
      <c r="A176" s="7">
        <f>IF($D176="","",COUNTIF($D$4:$D176,"&lt;&gt;"))</f>
      </c>
      <c r="B176" s="8"/>
      <c r="C176" s="7">
        <f>IF($B176="","","BSR "&amp;IFERROR(INDEX('Challan Master'!$B$4:$B$207,MATCH($B176,'Challan Master'!$S$4:$S$207,0)),"")&amp;" | Serial "&amp;IFERROR(INDEX('Challan Master'!$C$4:$C$207,MATCH($B176,'Challan Master'!$S$4:$S$207,0)),"")&amp;" | Deposit "&amp;TEXT(IFERROR(INDEX('Challan Master'!$D$4:$D$207,MATCH($B176,'Challan Master'!$S$4:$S$207,0)),""),"dd-mm-yyyy")&amp;" | Minor Head "&amp;IFERROR(INDEX('Challan Master'!$E$4:$E$207,MATCH($B176,'Challan Master'!$S$4:$S$207,0)),"")&amp;" | Tax ₹"&amp;TEXT(IFERROR(INDEX('Challan Master'!$G$4:$G$207,MATCH($B176,'Challan Master'!$S$4:$S$207,0)),""),"#,##0")&amp;" | Section "&amp;IFERROR(INDEX('Challan Master'!$F$4:$F$207,MATCH($B176,'Challan Master'!$S$4:$S$207,0)),""))</f>
      </c>
      <c r="D176" s="8"/>
      <c r="E176" s="8"/>
      <c r="F176" s="7">
        <f>IF($D176="","",IF(AND(LEN(TRIM(UPPER(E176)))=10,CODE(MID(TRIM(UPPER(E176)),1,1))&gt;=65,CODE(MID(TRIM(UPPER(E176)),1,1))&lt;=90,CODE(MID(TRIM(UPPER(E176)),2,1))&gt;=65,CODE(MID(TRIM(UPPER(E176)),2,1))&lt;=90,CODE(MID(TRIM(UPPER(E176)),3,1))&gt;=65,CODE(MID(TRIM(UPPER(E176)),3,1))&lt;=90,CODE(MID(TRIM(UPPER(E176)),4,1))&gt;=65,CODE(MID(TRIM(UPPER(E176)),4,1))&lt;=90,CODE(MID(TRIM(UPPER(E176)),5,1))&gt;=65,CODE(MID(TRIM(UPPER(E176)),5,1))&lt;=90,CODE(MID(TRIM(UPPER(E176)),10,1))&gt;=65,CODE(MID(TRIM(UPPER(E176)),10,1))&lt;=90,CODE(MID(TRIM(UPPER(E176)),6,1))&gt;=48,CODE(MID(TRIM(UPPER(E176)),6,1))&lt;=57,CODE(MID(TRIM(UPPER(E176)),7,1))&gt;=48,CODE(MID(TRIM(UPPER(E176)),7,1))&lt;=57,CODE(MID(TRIM(UPPER(E176)),8,1))&gt;=48,CODE(MID(TRIM(UPPER(E176)),8,1))&lt;=57,CODE(MID(TRIM(UPPER(E176)),9,1))&gt;=48,CODE(MID(TRIM(UPPER(E176)),9,1))&lt;=57),"N","Y"))</f>
      </c>
      <c r="G176" s="7">
        <f>IF($D176="","",IF(LEN(E176)&lt;4,"",IF(UPPER(MID(E176,4,1))="P","Individual",IF(UPPER(MID(E176,4,1))="H","HUF",IF(UPPER(MID(E176,4,1))="C","Company",IF(UPPER(MID(E176,4,1))="F","Firm",IF(UPPER(MID(E176,4,1))="L","LLP",IF(UPPER(MID(E176,4,1))="T","Trust",IF(UPPER(MID(E176,4,1))="A","AOP","")))))))))</f>
      </c>
      <c r="H176" s="8"/>
      <c r="I176" s="7">
        <f>IF($D176="","",IF(H176="","",IF(F176="Y",SUMPRODUCT(('Rate Lookup'!$A$1:$A$37=H176)*'Rate Lookup'!$D$1:$D$37),IF(OR(G176="Individual",G176="HUF"),SUMPRODUCT(('Rate Lookup'!$A$1:$A$37=H176)*'Rate Lookup'!$B$1:$B$37),SUMPRODUCT(('Rate Lookup'!$A$1:$A$37=H176)*'Rate Lookup'!$C$1:$C$37)))))</f>
      </c>
      <c r="J176" s="8"/>
      <c r="K176" s="8"/>
      <c r="L176" s="7">
        <f>IF($D176="","",ROUND(K176*I176/100,0))</f>
      </c>
      <c r="M176" s="7">
        <f>IF($D176="","",0)</f>
      </c>
      <c r="N176" s="7">
        <f>IF($D176="","",0)</f>
      </c>
      <c r="O176" s="7">
        <f>IF($D176="","",IF(OR(L176=0,J176="",IFERROR(INDEX('Challan Master'!$D$4:$D$207,MATCH($B176,'Challan Master'!$S$4:$S$207,0)),"")="",IFERROR(INDEX('Challan Master'!$D$4:$D$207,MATCH($B176,'Challan Master'!$S$4:$S$207,0)),"")&lt;=0),0,IF(IFERROR(INDEX('Challan Master'!$D$4:$D$207,MATCH($B176,'Challan Master'!$S$4:$S$207,0)),"")&lt;=DATE(YEAR(J176),MONTH(J176)+1,7),0,ROUND(L176*0.015*((YEAR(IFERROR(INDEX('Challan Master'!$D$4:$D$207,MATCH($B176,'Challan Master'!$S$4:$S$207,0)),""))-YEAR(J176))*12+(MONTH(IFERROR(INDEX('Challan Master'!$D$4:$D$207,MATCH($B176,'Challan Master'!$S$4:$S$207,0)),""))-MONTH(J176))+1),0))))</f>
      </c>
      <c r="P176" s="7">
        <f>IF($D176="","",0)</f>
      </c>
      <c r="Q176" s="8"/>
      <c r="R176" s="8"/>
      <c r="S176" s="8"/>
      <c r="T176" s="8"/>
      <c r="U176" s="8"/>
      <c r="V176" s="7">
        <f>IF($B176="","",IFERROR(INDEX('Challan Master'!$AA$4:$AA$207,MATCH($B176,'Challan Master'!$S$4:$S$207,0)),""))</f>
      </c>
    </row>
    <row r="177" spans="1:22" x14ac:dyDescent="0.25">
      <c r="A177" s="7">
        <f>IF($D177="","",COUNTIF($D$4:$D177,"&lt;&gt;"))</f>
      </c>
      <c r="B177" s="8"/>
      <c r="C177" s="7">
        <f>IF($B177="","","BSR "&amp;IFERROR(INDEX('Challan Master'!$B$4:$B$207,MATCH($B177,'Challan Master'!$S$4:$S$207,0)),"")&amp;" | Serial "&amp;IFERROR(INDEX('Challan Master'!$C$4:$C$207,MATCH($B177,'Challan Master'!$S$4:$S$207,0)),"")&amp;" | Deposit "&amp;TEXT(IFERROR(INDEX('Challan Master'!$D$4:$D$207,MATCH($B177,'Challan Master'!$S$4:$S$207,0)),""),"dd-mm-yyyy")&amp;" | Minor Head "&amp;IFERROR(INDEX('Challan Master'!$E$4:$E$207,MATCH($B177,'Challan Master'!$S$4:$S$207,0)),"")&amp;" | Tax ₹"&amp;TEXT(IFERROR(INDEX('Challan Master'!$G$4:$G$207,MATCH($B177,'Challan Master'!$S$4:$S$207,0)),""),"#,##0")&amp;" | Section "&amp;IFERROR(INDEX('Challan Master'!$F$4:$F$207,MATCH($B177,'Challan Master'!$S$4:$S$207,0)),""))</f>
      </c>
      <c r="D177" s="8"/>
      <c r="E177" s="8"/>
      <c r="F177" s="7">
        <f>IF($D177="","",IF(AND(LEN(TRIM(UPPER(E177)))=10,CODE(MID(TRIM(UPPER(E177)),1,1))&gt;=65,CODE(MID(TRIM(UPPER(E177)),1,1))&lt;=90,CODE(MID(TRIM(UPPER(E177)),2,1))&gt;=65,CODE(MID(TRIM(UPPER(E177)),2,1))&lt;=90,CODE(MID(TRIM(UPPER(E177)),3,1))&gt;=65,CODE(MID(TRIM(UPPER(E177)),3,1))&lt;=90,CODE(MID(TRIM(UPPER(E177)),4,1))&gt;=65,CODE(MID(TRIM(UPPER(E177)),4,1))&lt;=90,CODE(MID(TRIM(UPPER(E177)),5,1))&gt;=65,CODE(MID(TRIM(UPPER(E177)),5,1))&lt;=90,CODE(MID(TRIM(UPPER(E177)),10,1))&gt;=65,CODE(MID(TRIM(UPPER(E177)),10,1))&lt;=90,CODE(MID(TRIM(UPPER(E177)),6,1))&gt;=48,CODE(MID(TRIM(UPPER(E177)),6,1))&lt;=57,CODE(MID(TRIM(UPPER(E177)),7,1))&gt;=48,CODE(MID(TRIM(UPPER(E177)),7,1))&lt;=57,CODE(MID(TRIM(UPPER(E177)),8,1))&gt;=48,CODE(MID(TRIM(UPPER(E177)),8,1))&lt;=57,CODE(MID(TRIM(UPPER(E177)),9,1))&gt;=48,CODE(MID(TRIM(UPPER(E177)),9,1))&lt;=57),"N","Y"))</f>
      </c>
      <c r="G177" s="7">
        <f>IF($D177="","",IF(LEN(E177)&lt;4,"",IF(UPPER(MID(E177,4,1))="P","Individual",IF(UPPER(MID(E177,4,1))="H","HUF",IF(UPPER(MID(E177,4,1))="C","Company",IF(UPPER(MID(E177,4,1))="F","Firm",IF(UPPER(MID(E177,4,1))="L","LLP",IF(UPPER(MID(E177,4,1))="T","Trust",IF(UPPER(MID(E177,4,1))="A","AOP","")))))))))</f>
      </c>
      <c r="H177" s="8"/>
      <c r="I177" s="7">
        <f>IF($D177="","",IF(H177="","",IF(F177="Y",SUMPRODUCT(('Rate Lookup'!$A$1:$A$37=H177)*'Rate Lookup'!$D$1:$D$37),IF(OR(G177="Individual",G177="HUF"),SUMPRODUCT(('Rate Lookup'!$A$1:$A$37=H177)*'Rate Lookup'!$B$1:$B$37),SUMPRODUCT(('Rate Lookup'!$A$1:$A$37=H177)*'Rate Lookup'!$C$1:$C$37)))))</f>
      </c>
      <c r="J177" s="8"/>
      <c r="K177" s="8"/>
      <c r="L177" s="7">
        <f>IF($D177="","",ROUND(K177*I177/100,0))</f>
      </c>
      <c r="M177" s="7">
        <f>IF($D177="","",0)</f>
      </c>
      <c r="N177" s="7">
        <f>IF($D177="","",0)</f>
      </c>
      <c r="O177" s="7">
        <f>IF($D177="","",IF(OR(L177=0,J177="",IFERROR(INDEX('Challan Master'!$D$4:$D$207,MATCH($B177,'Challan Master'!$S$4:$S$207,0)),"")="",IFERROR(INDEX('Challan Master'!$D$4:$D$207,MATCH($B177,'Challan Master'!$S$4:$S$207,0)),"")&lt;=0),0,IF(IFERROR(INDEX('Challan Master'!$D$4:$D$207,MATCH($B177,'Challan Master'!$S$4:$S$207,0)),"")&lt;=DATE(YEAR(J177),MONTH(J177)+1,7),0,ROUND(L177*0.015*((YEAR(IFERROR(INDEX('Challan Master'!$D$4:$D$207,MATCH($B177,'Challan Master'!$S$4:$S$207,0)),""))-YEAR(J177))*12+(MONTH(IFERROR(INDEX('Challan Master'!$D$4:$D$207,MATCH($B177,'Challan Master'!$S$4:$S$207,0)),""))-MONTH(J177))+1),0))))</f>
      </c>
      <c r="P177" s="7">
        <f>IF($D177="","",0)</f>
      </c>
      <c r="Q177" s="8"/>
      <c r="R177" s="8"/>
      <c r="S177" s="8"/>
      <c r="T177" s="8"/>
      <c r="U177" s="8"/>
      <c r="V177" s="7">
        <f>IF($B177="","",IFERROR(INDEX('Challan Master'!$AA$4:$AA$207,MATCH($B177,'Challan Master'!$S$4:$S$207,0)),""))</f>
      </c>
    </row>
    <row r="178" spans="1:22" x14ac:dyDescent="0.25">
      <c r="A178" s="7">
        <f>IF($D178="","",COUNTIF($D$4:$D178,"&lt;&gt;"))</f>
      </c>
      <c r="B178" s="8"/>
      <c r="C178" s="7">
        <f>IF($B178="","","BSR "&amp;IFERROR(INDEX('Challan Master'!$B$4:$B$207,MATCH($B178,'Challan Master'!$S$4:$S$207,0)),"")&amp;" | Serial "&amp;IFERROR(INDEX('Challan Master'!$C$4:$C$207,MATCH($B178,'Challan Master'!$S$4:$S$207,0)),"")&amp;" | Deposit "&amp;TEXT(IFERROR(INDEX('Challan Master'!$D$4:$D$207,MATCH($B178,'Challan Master'!$S$4:$S$207,0)),""),"dd-mm-yyyy")&amp;" | Minor Head "&amp;IFERROR(INDEX('Challan Master'!$E$4:$E$207,MATCH($B178,'Challan Master'!$S$4:$S$207,0)),"")&amp;" | Tax ₹"&amp;TEXT(IFERROR(INDEX('Challan Master'!$G$4:$G$207,MATCH($B178,'Challan Master'!$S$4:$S$207,0)),""),"#,##0")&amp;" | Section "&amp;IFERROR(INDEX('Challan Master'!$F$4:$F$207,MATCH($B178,'Challan Master'!$S$4:$S$207,0)),""))</f>
      </c>
      <c r="D178" s="8"/>
      <c r="E178" s="8"/>
      <c r="F178" s="7">
        <f>IF($D178="","",IF(AND(LEN(TRIM(UPPER(E178)))=10,CODE(MID(TRIM(UPPER(E178)),1,1))&gt;=65,CODE(MID(TRIM(UPPER(E178)),1,1))&lt;=90,CODE(MID(TRIM(UPPER(E178)),2,1))&gt;=65,CODE(MID(TRIM(UPPER(E178)),2,1))&lt;=90,CODE(MID(TRIM(UPPER(E178)),3,1))&gt;=65,CODE(MID(TRIM(UPPER(E178)),3,1))&lt;=90,CODE(MID(TRIM(UPPER(E178)),4,1))&gt;=65,CODE(MID(TRIM(UPPER(E178)),4,1))&lt;=90,CODE(MID(TRIM(UPPER(E178)),5,1))&gt;=65,CODE(MID(TRIM(UPPER(E178)),5,1))&lt;=90,CODE(MID(TRIM(UPPER(E178)),10,1))&gt;=65,CODE(MID(TRIM(UPPER(E178)),10,1))&lt;=90,CODE(MID(TRIM(UPPER(E178)),6,1))&gt;=48,CODE(MID(TRIM(UPPER(E178)),6,1))&lt;=57,CODE(MID(TRIM(UPPER(E178)),7,1))&gt;=48,CODE(MID(TRIM(UPPER(E178)),7,1))&lt;=57,CODE(MID(TRIM(UPPER(E178)),8,1))&gt;=48,CODE(MID(TRIM(UPPER(E178)),8,1))&lt;=57,CODE(MID(TRIM(UPPER(E178)),9,1))&gt;=48,CODE(MID(TRIM(UPPER(E178)),9,1))&lt;=57),"N","Y"))</f>
      </c>
      <c r="G178" s="7">
        <f>IF($D178="","",IF(LEN(E178)&lt;4,"",IF(UPPER(MID(E178,4,1))="P","Individual",IF(UPPER(MID(E178,4,1))="H","HUF",IF(UPPER(MID(E178,4,1))="C","Company",IF(UPPER(MID(E178,4,1))="F","Firm",IF(UPPER(MID(E178,4,1))="L","LLP",IF(UPPER(MID(E178,4,1))="T","Trust",IF(UPPER(MID(E178,4,1))="A","AOP","")))))))))</f>
      </c>
      <c r="H178" s="8"/>
      <c r="I178" s="7">
        <f>IF($D178="","",IF(H178="","",IF(F178="Y",SUMPRODUCT(('Rate Lookup'!$A$1:$A$37=H178)*'Rate Lookup'!$D$1:$D$37),IF(OR(G178="Individual",G178="HUF"),SUMPRODUCT(('Rate Lookup'!$A$1:$A$37=H178)*'Rate Lookup'!$B$1:$B$37),SUMPRODUCT(('Rate Lookup'!$A$1:$A$37=H178)*'Rate Lookup'!$C$1:$C$37)))))</f>
      </c>
      <c r="J178" s="8"/>
      <c r="K178" s="8"/>
      <c r="L178" s="7">
        <f>IF($D178="","",ROUND(K178*I178/100,0))</f>
      </c>
      <c r="M178" s="7">
        <f>IF($D178="","",0)</f>
      </c>
      <c r="N178" s="7">
        <f>IF($D178="","",0)</f>
      </c>
      <c r="O178" s="7">
        <f>IF($D178="","",IF(OR(L178=0,J178="",IFERROR(INDEX('Challan Master'!$D$4:$D$207,MATCH($B178,'Challan Master'!$S$4:$S$207,0)),"")="",IFERROR(INDEX('Challan Master'!$D$4:$D$207,MATCH($B178,'Challan Master'!$S$4:$S$207,0)),"")&lt;=0),0,IF(IFERROR(INDEX('Challan Master'!$D$4:$D$207,MATCH($B178,'Challan Master'!$S$4:$S$207,0)),"")&lt;=DATE(YEAR(J178),MONTH(J178)+1,7),0,ROUND(L178*0.015*((YEAR(IFERROR(INDEX('Challan Master'!$D$4:$D$207,MATCH($B178,'Challan Master'!$S$4:$S$207,0)),""))-YEAR(J178))*12+(MONTH(IFERROR(INDEX('Challan Master'!$D$4:$D$207,MATCH($B178,'Challan Master'!$S$4:$S$207,0)),""))-MONTH(J178))+1),0))))</f>
      </c>
      <c r="P178" s="7">
        <f>IF($D178="","",0)</f>
      </c>
      <c r="Q178" s="8"/>
      <c r="R178" s="8"/>
      <c r="S178" s="8"/>
      <c r="T178" s="8"/>
      <c r="U178" s="8"/>
      <c r="V178" s="7">
        <f>IF($B178="","",IFERROR(INDEX('Challan Master'!$AA$4:$AA$207,MATCH($B178,'Challan Master'!$S$4:$S$207,0)),""))</f>
      </c>
    </row>
    <row r="179" spans="1:22" x14ac:dyDescent="0.25">
      <c r="A179" s="7">
        <f>IF($D179="","",COUNTIF($D$4:$D179,"&lt;&gt;"))</f>
      </c>
      <c r="B179" s="8"/>
      <c r="C179" s="7">
        <f>IF($B179="","","BSR "&amp;IFERROR(INDEX('Challan Master'!$B$4:$B$207,MATCH($B179,'Challan Master'!$S$4:$S$207,0)),"")&amp;" | Serial "&amp;IFERROR(INDEX('Challan Master'!$C$4:$C$207,MATCH($B179,'Challan Master'!$S$4:$S$207,0)),"")&amp;" | Deposit "&amp;TEXT(IFERROR(INDEX('Challan Master'!$D$4:$D$207,MATCH($B179,'Challan Master'!$S$4:$S$207,0)),""),"dd-mm-yyyy")&amp;" | Minor Head "&amp;IFERROR(INDEX('Challan Master'!$E$4:$E$207,MATCH($B179,'Challan Master'!$S$4:$S$207,0)),"")&amp;" | Tax ₹"&amp;TEXT(IFERROR(INDEX('Challan Master'!$G$4:$G$207,MATCH($B179,'Challan Master'!$S$4:$S$207,0)),""),"#,##0")&amp;" | Section "&amp;IFERROR(INDEX('Challan Master'!$F$4:$F$207,MATCH($B179,'Challan Master'!$S$4:$S$207,0)),""))</f>
      </c>
      <c r="D179" s="8"/>
      <c r="E179" s="8"/>
      <c r="F179" s="7">
        <f>IF($D179="","",IF(AND(LEN(TRIM(UPPER(E179)))=10,CODE(MID(TRIM(UPPER(E179)),1,1))&gt;=65,CODE(MID(TRIM(UPPER(E179)),1,1))&lt;=90,CODE(MID(TRIM(UPPER(E179)),2,1))&gt;=65,CODE(MID(TRIM(UPPER(E179)),2,1))&lt;=90,CODE(MID(TRIM(UPPER(E179)),3,1))&gt;=65,CODE(MID(TRIM(UPPER(E179)),3,1))&lt;=90,CODE(MID(TRIM(UPPER(E179)),4,1))&gt;=65,CODE(MID(TRIM(UPPER(E179)),4,1))&lt;=90,CODE(MID(TRIM(UPPER(E179)),5,1))&gt;=65,CODE(MID(TRIM(UPPER(E179)),5,1))&lt;=90,CODE(MID(TRIM(UPPER(E179)),10,1))&gt;=65,CODE(MID(TRIM(UPPER(E179)),10,1))&lt;=90,CODE(MID(TRIM(UPPER(E179)),6,1))&gt;=48,CODE(MID(TRIM(UPPER(E179)),6,1))&lt;=57,CODE(MID(TRIM(UPPER(E179)),7,1))&gt;=48,CODE(MID(TRIM(UPPER(E179)),7,1))&lt;=57,CODE(MID(TRIM(UPPER(E179)),8,1))&gt;=48,CODE(MID(TRIM(UPPER(E179)),8,1))&lt;=57,CODE(MID(TRIM(UPPER(E179)),9,1))&gt;=48,CODE(MID(TRIM(UPPER(E179)),9,1))&lt;=57),"N","Y"))</f>
      </c>
      <c r="G179" s="7">
        <f>IF($D179="","",IF(LEN(E179)&lt;4,"",IF(UPPER(MID(E179,4,1))="P","Individual",IF(UPPER(MID(E179,4,1))="H","HUF",IF(UPPER(MID(E179,4,1))="C","Company",IF(UPPER(MID(E179,4,1))="F","Firm",IF(UPPER(MID(E179,4,1))="L","LLP",IF(UPPER(MID(E179,4,1))="T","Trust",IF(UPPER(MID(E179,4,1))="A","AOP","")))))))))</f>
      </c>
      <c r="H179" s="8"/>
      <c r="I179" s="7">
        <f>IF($D179="","",IF(H179="","",IF(F179="Y",SUMPRODUCT(('Rate Lookup'!$A$1:$A$37=H179)*'Rate Lookup'!$D$1:$D$37),IF(OR(G179="Individual",G179="HUF"),SUMPRODUCT(('Rate Lookup'!$A$1:$A$37=H179)*'Rate Lookup'!$B$1:$B$37),SUMPRODUCT(('Rate Lookup'!$A$1:$A$37=H179)*'Rate Lookup'!$C$1:$C$37)))))</f>
      </c>
      <c r="J179" s="8"/>
      <c r="K179" s="8"/>
      <c r="L179" s="7">
        <f>IF($D179="","",ROUND(K179*I179/100,0))</f>
      </c>
      <c r="M179" s="7">
        <f>IF($D179="","",0)</f>
      </c>
      <c r="N179" s="7">
        <f>IF($D179="","",0)</f>
      </c>
      <c r="O179" s="7">
        <f>IF($D179="","",IF(OR(L179=0,J179="",IFERROR(INDEX('Challan Master'!$D$4:$D$207,MATCH($B179,'Challan Master'!$S$4:$S$207,0)),"")="",IFERROR(INDEX('Challan Master'!$D$4:$D$207,MATCH($B179,'Challan Master'!$S$4:$S$207,0)),"")&lt;=0),0,IF(IFERROR(INDEX('Challan Master'!$D$4:$D$207,MATCH($B179,'Challan Master'!$S$4:$S$207,0)),"")&lt;=DATE(YEAR(J179),MONTH(J179)+1,7),0,ROUND(L179*0.015*((YEAR(IFERROR(INDEX('Challan Master'!$D$4:$D$207,MATCH($B179,'Challan Master'!$S$4:$S$207,0)),""))-YEAR(J179))*12+(MONTH(IFERROR(INDEX('Challan Master'!$D$4:$D$207,MATCH($B179,'Challan Master'!$S$4:$S$207,0)),""))-MONTH(J179))+1),0))))</f>
      </c>
      <c r="P179" s="7">
        <f>IF($D179="","",0)</f>
      </c>
      <c r="Q179" s="8"/>
      <c r="R179" s="8"/>
      <c r="S179" s="8"/>
      <c r="T179" s="8"/>
      <c r="U179" s="8"/>
      <c r="V179" s="7">
        <f>IF($B179="","",IFERROR(INDEX('Challan Master'!$AA$4:$AA$207,MATCH($B179,'Challan Master'!$S$4:$S$207,0)),""))</f>
      </c>
    </row>
    <row r="180" spans="1:22" x14ac:dyDescent="0.25">
      <c r="A180" s="7">
        <f>IF($D180="","",COUNTIF($D$4:$D180,"&lt;&gt;"))</f>
      </c>
      <c r="B180" s="8"/>
      <c r="C180" s="7">
        <f>IF($B180="","","BSR "&amp;IFERROR(INDEX('Challan Master'!$B$4:$B$207,MATCH($B180,'Challan Master'!$S$4:$S$207,0)),"")&amp;" | Serial "&amp;IFERROR(INDEX('Challan Master'!$C$4:$C$207,MATCH($B180,'Challan Master'!$S$4:$S$207,0)),"")&amp;" | Deposit "&amp;TEXT(IFERROR(INDEX('Challan Master'!$D$4:$D$207,MATCH($B180,'Challan Master'!$S$4:$S$207,0)),""),"dd-mm-yyyy")&amp;" | Minor Head "&amp;IFERROR(INDEX('Challan Master'!$E$4:$E$207,MATCH($B180,'Challan Master'!$S$4:$S$207,0)),"")&amp;" | Tax ₹"&amp;TEXT(IFERROR(INDEX('Challan Master'!$G$4:$G$207,MATCH($B180,'Challan Master'!$S$4:$S$207,0)),""),"#,##0")&amp;" | Section "&amp;IFERROR(INDEX('Challan Master'!$F$4:$F$207,MATCH($B180,'Challan Master'!$S$4:$S$207,0)),""))</f>
      </c>
      <c r="D180" s="8"/>
      <c r="E180" s="8"/>
      <c r="F180" s="7">
        <f>IF($D180="","",IF(AND(LEN(TRIM(UPPER(E180)))=10,CODE(MID(TRIM(UPPER(E180)),1,1))&gt;=65,CODE(MID(TRIM(UPPER(E180)),1,1))&lt;=90,CODE(MID(TRIM(UPPER(E180)),2,1))&gt;=65,CODE(MID(TRIM(UPPER(E180)),2,1))&lt;=90,CODE(MID(TRIM(UPPER(E180)),3,1))&gt;=65,CODE(MID(TRIM(UPPER(E180)),3,1))&lt;=90,CODE(MID(TRIM(UPPER(E180)),4,1))&gt;=65,CODE(MID(TRIM(UPPER(E180)),4,1))&lt;=90,CODE(MID(TRIM(UPPER(E180)),5,1))&gt;=65,CODE(MID(TRIM(UPPER(E180)),5,1))&lt;=90,CODE(MID(TRIM(UPPER(E180)),10,1))&gt;=65,CODE(MID(TRIM(UPPER(E180)),10,1))&lt;=90,CODE(MID(TRIM(UPPER(E180)),6,1))&gt;=48,CODE(MID(TRIM(UPPER(E180)),6,1))&lt;=57,CODE(MID(TRIM(UPPER(E180)),7,1))&gt;=48,CODE(MID(TRIM(UPPER(E180)),7,1))&lt;=57,CODE(MID(TRIM(UPPER(E180)),8,1))&gt;=48,CODE(MID(TRIM(UPPER(E180)),8,1))&lt;=57,CODE(MID(TRIM(UPPER(E180)),9,1))&gt;=48,CODE(MID(TRIM(UPPER(E180)),9,1))&lt;=57),"N","Y"))</f>
      </c>
      <c r="G180" s="7">
        <f>IF($D180="","",IF(LEN(E180)&lt;4,"",IF(UPPER(MID(E180,4,1))="P","Individual",IF(UPPER(MID(E180,4,1))="H","HUF",IF(UPPER(MID(E180,4,1))="C","Company",IF(UPPER(MID(E180,4,1))="F","Firm",IF(UPPER(MID(E180,4,1))="L","LLP",IF(UPPER(MID(E180,4,1))="T","Trust",IF(UPPER(MID(E180,4,1))="A","AOP","")))))))))</f>
      </c>
      <c r="H180" s="8"/>
      <c r="I180" s="7">
        <f>IF($D180="","",IF(H180="","",IF(F180="Y",SUMPRODUCT(('Rate Lookup'!$A$1:$A$37=H180)*'Rate Lookup'!$D$1:$D$37),IF(OR(G180="Individual",G180="HUF"),SUMPRODUCT(('Rate Lookup'!$A$1:$A$37=H180)*'Rate Lookup'!$B$1:$B$37),SUMPRODUCT(('Rate Lookup'!$A$1:$A$37=H180)*'Rate Lookup'!$C$1:$C$37)))))</f>
      </c>
      <c r="J180" s="8"/>
      <c r="K180" s="8"/>
      <c r="L180" s="7">
        <f>IF($D180="","",ROUND(K180*I180/100,0))</f>
      </c>
      <c r="M180" s="7">
        <f>IF($D180="","",0)</f>
      </c>
      <c r="N180" s="7">
        <f>IF($D180="","",0)</f>
      </c>
      <c r="O180" s="7">
        <f>IF($D180="","",IF(OR(L180=0,J180="",IFERROR(INDEX('Challan Master'!$D$4:$D$207,MATCH($B180,'Challan Master'!$S$4:$S$207,0)),"")="",IFERROR(INDEX('Challan Master'!$D$4:$D$207,MATCH($B180,'Challan Master'!$S$4:$S$207,0)),"")&lt;=0),0,IF(IFERROR(INDEX('Challan Master'!$D$4:$D$207,MATCH($B180,'Challan Master'!$S$4:$S$207,0)),"")&lt;=DATE(YEAR(J180),MONTH(J180)+1,7),0,ROUND(L180*0.015*((YEAR(IFERROR(INDEX('Challan Master'!$D$4:$D$207,MATCH($B180,'Challan Master'!$S$4:$S$207,0)),""))-YEAR(J180))*12+(MONTH(IFERROR(INDEX('Challan Master'!$D$4:$D$207,MATCH($B180,'Challan Master'!$S$4:$S$207,0)),""))-MONTH(J180))+1),0))))</f>
      </c>
      <c r="P180" s="7">
        <f>IF($D180="","",0)</f>
      </c>
      <c r="Q180" s="8"/>
      <c r="R180" s="8"/>
      <c r="S180" s="8"/>
      <c r="T180" s="8"/>
      <c r="U180" s="8"/>
      <c r="V180" s="7">
        <f>IF($B180="","",IFERROR(INDEX('Challan Master'!$AA$4:$AA$207,MATCH($B180,'Challan Master'!$S$4:$S$207,0)),""))</f>
      </c>
    </row>
    <row r="181" spans="1:22" x14ac:dyDescent="0.25">
      <c r="A181" s="7">
        <f>IF($D181="","",COUNTIF($D$4:$D181,"&lt;&gt;"))</f>
      </c>
      <c r="B181" s="8"/>
      <c r="C181" s="7">
        <f>IF($B181="","","BSR "&amp;IFERROR(INDEX('Challan Master'!$B$4:$B$207,MATCH($B181,'Challan Master'!$S$4:$S$207,0)),"")&amp;" | Serial "&amp;IFERROR(INDEX('Challan Master'!$C$4:$C$207,MATCH($B181,'Challan Master'!$S$4:$S$207,0)),"")&amp;" | Deposit "&amp;TEXT(IFERROR(INDEX('Challan Master'!$D$4:$D$207,MATCH($B181,'Challan Master'!$S$4:$S$207,0)),""),"dd-mm-yyyy")&amp;" | Minor Head "&amp;IFERROR(INDEX('Challan Master'!$E$4:$E$207,MATCH($B181,'Challan Master'!$S$4:$S$207,0)),"")&amp;" | Tax ₹"&amp;TEXT(IFERROR(INDEX('Challan Master'!$G$4:$G$207,MATCH($B181,'Challan Master'!$S$4:$S$207,0)),""),"#,##0")&amp;" | Section "&amp;IFERROR(INDEX('Challan Master'!$F$4:$F$207,MATCH($B181,'Challan Master'!$S$4:$S$207,0)),""))</f>
      </c>
      <c r="D181" s="8"/>
      <c r="E181" s="8"/>
      <c r="F181" s="7">
        <f>IF($D181="","",IF(AND(LEN(TRIM(UPPER(E181)))=10,CODE(MID(TRIM(UPPER(E181)),1,1))&gt;=65,CODE(MID(TRIM(UPPER(E181)),1,1))&lt;=90,CODE(MID(TRIM(UPPER(E181)),2,1))&gt;=65,CODE(MID(TRIM(UPPER(E181)),2,1))&lt;=90,CODE(MID(TRIM(UPPER(E181)),3,1))&gt;=65,CODE(MID(TRIM(UPPER(E181)),3,1))&lt;=90,CODE(MID(TRIM(UPPER(E181)),4,1))&gt;=65,CODE(MID(TRIM(UPPER(E181)),4,1))&lt;=90,CODE(MID(TRIM(UPPER(E181)),5,1))&gt;=65,CODE(MID(TRIM(UPPER(E181)),5,1))&lt;=90,CODE(MID(TRIM(UPPER(E181)),10,1))&gt;=65,CODE(MID(TRIM(UPPER(E181)),10,1))&lt;=90,CODE(MID(TRIM(UPPER(E181)),6,1))&gt;=48,CODE(MID(TRIM(UPPER(E181)),6,1))&lt;=57,CODE(MID(TRIM(UPPER(E181)),7,1))&gt;=48,CODE(MID(TRIM(UPPER(E181)),7,1))&lt;=57,CODE(MID(TRIM(UPPER(E181)),8,1))&gt;=48,CODE(MID(TRIM(UPPER(E181)),8,1))&lt;=57,CODE(MID(TRIM(UPPER(E181)),9,1))&gt;=48,CODE(MID(TRIM(UPPER(E181)),9,1))&lt;=57),"N","Y"))</f>
      </c>
      <c r="G181" s="7">
        <f>IF($D181="","",IF(LEN(E181)&lt;4,"",IF(UPPER(MID(E181,4,1))="P","Individual",IF(UPPER(MID(E181,4,1))="H","HUF",IF(UPPER(MID(E181,4,1))="C","Company",IF(UPPER(MID(E181,4,1))="F","Firm",IF(UPPER(MID(E181,4,1))="L","LLP",IF(UPPER(MID(E181,4,1))="T","Trust",IF(UPPER(MID(E181,4,1))="A","AOP","")))))))))</f>
      </c>
      <c r="H181" s="8"/>
      <c r="I181" s="7">
        <f>IF($D181="","",IF(H181="","",IF(F181="Y",SUMPRODUCT(('Rate Lookup'!$A$1:$A$37=H181)*'Rate Lookup'!$D$1:$D$37),IF(OR(G181="Individual",G181="HUF"),SUMPRODUCT(('Rate Lookup'!$A$1:$A$37=H181)*'Rate Lookup'!$B$1:$B$37),SUMPRODUCT(('Rate Lookup'!$A$1:$A$37=H181)*'Rate Lookup'!$C$1:$C$37)))))</f>
      </c>
      <c r="J181" s="8"/>
      <c r="K181" s="8"/>
      <c r="L181" s="7">
        <f>IF($D181="","",ROUND(K181*I181/100,0))</f>
      </c>
      <c r="M181" s="7">
        <f>IF($D181="","",0)</f>
      </c>
      <c r="N181" s="7">
        <f>IF($D181="","",0)</f>
      </c>
      <c r="O181" s="7">
        <f>IF($D181="","",IF(OR(L181=0,J181="",IFERROR(INDEX('Challan Master'!$D$4:$D$207,MATCH($B181,'Challan Master'!$S$4:$S$207,0)),"")="",IFERROR(INDEX('Challan Master'!$D$4:$D$207,MATCH($B181,'Challan Master'!$S$4:$S$207,0)),"")&lt;=0),0,IF(IFERROR(INDEX('Challan Master'!$D$4:$D$207,MATCH($B181,'Challan Master'!$S$4:$S$207,0)),"")&lt;=DATE(YEAR(J181),MONTH(J181)+1,7),0,ROUND(L181*0.015*((YEAR(IFERROR(INDEX('Challan Master'!$D$4:$D$207,MATCH($B181,'Challan Master'!$S$4:$S$207,0)),""))-YEAR(J181))*12+(MONTH(IFERROR(INDEX('Challan Master'!$D$4:$D$207,MATCH($B181,'Challan Master'!$S$4:$S$207,0)),""))-MONTH(J181))+1),0))))</f>
      </c>
      <c r="P181" s="7">
        <f>IF($D181="","",0)</f>
      </c>
      <c r="Q181" s="8"/>
      <c r="R181" s="8"/>
      <c r="S181" s="8"/>
      <c r="T181" s="8"/>
      <c r="U181" s="8"/>
      <c r="V181" s="7">
        <f>IF($B181="","",IFERROR(INDEX('Challan Master'!$AA$4:$AA$207,MATCH($B181,'Challan Master'!$S$4:$S$207,0)),""))</f>
      </c>
    </row>
    <row r="182" spans="1:22" x14ac:dyDescent="0.25">
      <c r="A182" s="7">
        <f>IF($D182="","",COUNTIF($D$4:$D182,"&lt;&gt;"))</f>
      </c>
      <c r="B182" s="8"/>
      <c r="C182" s="7">
        <f>IF($B182="","","BSR "&amp;IFERROR(INDEX('Challan Master'!$B$4:$B$207,MATCH($B182,'Challan Master'!$S$4:$S$207,0)),"")&amp;" | Serial "&amp;IFERROR(INDEX('Challan Master'!$C$4:$C$207,MATCH($B182,'Challan Master'!$S$4:$S$207,0)),"")&amp;" | Deposit "&amp;TEXT(IFERROR(INDEX('Challan Master'!$D$4:$D$207,MATCH($B182,'Challan Master'!$S$4:$S$207,0)),""),"dd-mm-yyyy")&amp;" | Minor Head "&amp;IFERROR(INDEX('Challan Master'!$E$4:$E$207,MATCH($B182,'Challan Master'!$S$4:$S$207,0)),"")&amp;" | Tax ₹"&amp;TEXT(IFERROR(INDEX('Challan Master'!$G$4:$G$207,MATCH($B182,'Challan Master'!$S$4:$S$207,0)),""),"#,##0")&amp;" | Section "&amp;IFERROR(INDEX('Challan Master'!$F$4:$F$207,MATCH($B182,'Challan Master'!$S$4:$S$207,0)),""))</f>
      </c>
      <c r="D182" s="8"/>
      <c r="E182" s="8"/>
      <c r="F182" s="7">
        <f>IF($D182="","",IF(AND(LEN(TRIM(UPPER(E182)))=10,CODE(MID(TRIM(UPPER(E182)),1,1))&gt;=65,CODE(MID(TRIM(UPPER(E182)),1,1))&lt;=90,CODE(MID(TRIM(UPPER(E182)),2,1))&gt;=65,CODE(MID(TRIM(UPPER(E182)),2,1))&lt;=90,CODE(MID(TRIM(UPPER(E182)),3,1))&gt;=65,CODE(MID(TRIM(UPPER(E182)),3,1))&lt;=90,CODE(MID(TRIM(UPPER(E182)),4,1))&gt;=65,CODE(MID(TRIM(UPPER(E182)),4,1))&lt;=90,CODE(MID(TRIM(UPPER(E182)),5,1))&gt;=65,CODE(MID(TRIM(UPPER(E182)),5,1))&lt;=90,CODE(MID(TRIM(UPPER(E182)),10,1))&gt;=65,CODE(MID(TRIM(UPPER(E182)),10,1))&lt;=90,CODE(MID(TRIM(UPPER(E182)),6,1))&gt;=48,CODE(MID(TRIM(UPPER(E182)),6,1))&lt;=57,CODE(MID(TRIM(UPPER(E182)),7,1))&gt;=48,CODE(MID(TRIM(UPPER(E182)),7,1))&lt;=57,CODE(MID(TRIM(UPPER(E182)),8,1))&gt;=48,CODE(MID(TRIM(UPPER(E182)),8,1))&lt;=57,CODE(MID(TRIM(UPPER(E182)),9,1))&gt;=48,CODE(MID(TRIM(UPPER(E182)),9,1))&lt;=57),"N","Y"))</f>
      </c>
      <c r="G182" s="7">
        <f>IF($D182="","",IF(LEN(E182)&lt;4,"",IF(UPPER(MID(E182,4,1))="P","Individual",IF(UPPER(MID(E182,4,1))="H","HUF",IF(UPPER(MID(E182,4,1))="C","Company",IF(UPPER(MID(E182,4,1))="F","Firm",IF(UPPER(MID(E182,4,1))="L","LLP",IF(UPPER(MID(E182,4,1))="T","Trust",IF(UPPER(MID(E182,4,1))="A","AOP","")))))))))</f>
      </c>
      <c r="H182" s="8"/>
      <c r="I182" s="7">
        <f>IF($D182="","",IF(H182="","",IF(F182="Y",SUMPRODUCT(('Rate Lookup'!$A$1:$A$37=H182)*'Rate Lookup'!$D$1:$D$37),IF(OR(G182="Individual",G182="HUF"),SUMPRODUCT(('Rate Lookup'!$A$1:$A$37=H182)*'Rate Lookup'!$B$1:$B$37),SUMPRODUCT(('Rate Lookup'!$A$1:$A$37=H182)*'Rate Lookup'!$C$1:$C$37)))))</f>
      </c>
      <c r="J182" s="8"/>
      <c r="K182" s="8"/>
      <c r="L182" s="7">
        <f>IF($D182="","",ROUND(K182*I182/100,0))</f>
      </c>
      <c r="M182" s="7">
        <f>IF($D182="","",0)</f>
      </c>
      <c r="N182" s="7">
        <f>IF($D182="","",0)</f>
      </c>
      <c r="O182" s="7">
        <f>IF($D182="","",IF(OR(L182=0,J182="",IFERROR(INDEX('Challan Master'!$D$4:$D$207,MATCH($B182,'Challan Master'!$S$4:$S$207,0)),"")="",IFERROR(INDEX('Challan Master'!$D$4:$D$207,MATCH($B182,'Challan Master'!$S$4:$S$207,0)),"")&lt;=0),0,IF(IFERROR(INDEX('Challan Master'!$D$4:$D$207,MATCH($B182,'Challan Master'!$S$4:$S$207,0)),"")&lt;=DATE(YEAR(J182),MONTH(J182)+1,7),0,ROUND(L182*0.015*((YEAR(IFERROR(INDEX('Challan Master'!$D$4:$D$207,MATCH($B182,'Challan Master'!$S$4:$S$207,0)),""))-YEAR(J182))*12+(MONTH(IFERROR(INDEX('Challan Master'!$D$4:$D$207,MATCH($B182,'Challan Master'!$S$4:$S$207,0)),""))-MONTH(J182))+1),0))))</f>
      </c>
      <c r="P182" s="7">
        <f>IF($D182="","",0)</f>
      </c>
      <c r="Q182" s="8"/>
      <c r="R182" s="8"/>
      <c r="S182" s="8"/>
      <c r="T182" s="8"/>
      <c r="U182" s="8"/>
      <c r="V182" s="7">
        <f>IF($B182="","",IFERROR(INDEX('Challan Master'!$AA$4:$AA$207,MATCH($B182,'Challan Master'!$S$4:$S$207,0)),""))</f>
      </c>
    </row>
    <row r="183" spans="1:22" x14ac:dyDescent="0.25">
      <c r="A183" s="7">
        <f>IF($D183="","",COUNTIF($D$4:$D183,"&lt;&gt;"))</f>
      </c>
      <c r="B183" s="8"/>
      <c r="C183" s="7">
        <f>IF($B183="","","BSR "&amp;IFERROR(INDEX('Challan Master'!$B$4:$B$207,MATCH($B183,'Challan Master'!$S$4:$S$207,0)),"")&amp;" | Serial "&amp;IFERROR(INDEX('Challan Master'!$C$4:$C$207,MATCH($B183,'Challan Master'!$S$4:$S$207,0)),"")&amp;" | Deposit "&amp;TEXT(IFERROR(INDEX('Challan Master'!$D$4:$D$207,MATCH($B183,'Challan Master'!$S$4:$S$207,0)),""),"dd-mm-yyyy")&amp;" | Minor Head "&amp;IFERROR(INDEX('Challan Master'!$E$4:$E$207,MATCH($B183,'Challan Master'!$S$4:$S$207,0)),"")&amp;" | Tax ₹"&amp;TEXT(IFERROR(INDEX('Challan Master'!$G$4:$G$207,MATCH($B183,'Challan Master'!$S$4:$S$207,0)),""),"#,##0")&amp;" | Section "&amp;IFERROR(INDEX('Challan Master'!$F$4:$F$207,MATCH($B183,'Challan Master'!$S$4:$S$207,0)),""))</f>
      </c>
      <c r="D183" s="8"/>
      <c r="E183" s="8"/>
      <c r="F183" s="7">
        <f>IF($D183="","",IF(AND(LEN(TRIM(UPPER(E183)))=10,CODE(MID(TRIM(UPPER(E183)),1,1))&gt;=65,CODE(MID(TRIM(UPPER(E183)),1,1))&lt;=90,CODE(MID(TRIM(UPPER(E183)),2,1))&gt;=65,CODE(MID(TRIM(UPPER(E183)),2,1))&lt;=90,CODE(MID(TRIM(UPPER(E183)),3,1))&gt;=65,CODE(MID(TRIM(UPPER(E183)),3,1))&lt;=90,CODE(MID(TRIM(UPPER(E183)),4,1))&gt;=65,CODE(MID(TRIM(UPPER(E183)),4,1))&lt;=90,CODE(MID(TRIM(UPPER(E183)),5,1))&gt;=65,CODE(MID(TRIM(UPPER(E183)),5,1))&lt;=90,CODE(MID(TRIM(UPPER(E183)),10,1))&gt;=65,CODE(MID(TRIM(UPPER(E183)),10,1))&lt;=90,CODE(MID(TRIM(UPPER(E183)),6,1))&gt;=48,CODE(MID(TRIM(UPPER(E183)),6,1))&lt;=57,CODE(MID(TRIM(UPPER(E183)),7,1))&gt;=48,CODE(MID(TRIM(UPPER(E183)),7,1))&lt;=57,CODE(MID(TRIM(UPPER(E183)),8,1))&gt;=48,CODE(MID(TRIM(UPPER(E183)),8,1))&lt;=57,CODE(MID(TRIM(UPPER(E183)),9,1))&gt;=48,CODE(MID(TRIM(UPPER(E183)),9,1))&lt;=57),"N","Y"))</f>
      </c>
      <c r="G183" s="7">
        <f>IF($D183="","",IF(LEN(E183)&lt;4,"",IF(UPPER(MID(E183,4,1))="P","Individual",IF(UPPER(MID(E183,4,1))="H","HUF",IF(UPPER(MID(E183,4,1))="C","Company",IF(UPPER(MID(E183,4,1))="F","Firm",IF(UPPER(MID(E183,4,1))="L","LLP",IF(UPPER(MID(E183,4,1))="T","Trust",IF(UPPER(MID(E183,4,1))="A","AOP","")))))))))</f>
      </c>
      <c r="H183" s="8"/>
      <c r="I183" s="7">
        <f>IF($D183="","",IF(H183="","",IF(F183="Y",SUMPRODUCT(('Rate Lookup'!$A$1:$A$37=H183)*'Rate Lookup'!$D$1:$D$37),IF(OR(G183="Individual",G183="HUF"),SUMPRODUCT(('Rate Lookup'!$A$1:$A$37=H183)*'Rate Lookup'!$B$1:$B$37),SUMPRODUCT(('Rate Lookup'!$A$1:$A$37=H183)*'Rate Lookup'!$C$1:$C$37)))))</f>
      </c>
      <c r="J183" s="8"/>
      <c r="K183" s="8"/>
      <c r="L183" s="7">
        <f>IF($D183="","",ROUND(K183*I183/100,0))</f>
      </c>
      <c r="M183" s="7">
        <f>IF($D183="","",0)</f>
      </c>
      <c r="N183" s="7">
        <f>IF($D183="","",0)</f>
      </c>
      <c r="O183" s="7">
        <f>IF($D183="","",IF(OR(L183=0,J183="",IFERROR(INDEX('Challan Master'!$D$4:$D$207,MATCH($B183,'Challan Master'!$S$4:$S$207,0)),"")="",IFERROR(INDEX('Challan Master'!$D$4:$D$207,MATCH($B183,'Challan Master'!$S$4:$S$207,0)),"")&lt;=0),0,IF(IFERROR(INDEX('Challan Master'!$D$4:$D$207,MATCH($B183,'Challan Master'!$S$4:$S$207,0)),"")&lt;=DATE(YEAR(J183),MONTH(J183)+1,7),0,ROUND(L183*0.015*((YEAR(IFERROR(INDEX('Challan Master'!$D$4:$D$207,MATCH($B183,'Challan Master'!$S$4:$S$207,0)),""))-YEAR(J183))*12+(MONTH(IFERROR(INDEX('Challan Master'!$D$4:$D$207,MATCH($B183,'Challan Master'!$S$4:$S$207,0)),""))-MONTH(J183))+1),0))))</f>
      </c>
      <c r="P183" s="7">
        <f>IF($D183="","",0)</f>
      </c>
      <c r="Q183" s="8"/>
      <c r="R183" s="8"/>
      <c r="S183" s="8"/>
      <c r="T183" s="8"/>
      <c r="U183" s="8"/>
      <c r="V183" s="7">
        <f>IF($B183="","",IFERROR(INDEX('Challan Master'!$AA$4:$AA$207,MATCH($B183,'Challan Master'!$S$4:$S$207,0)),""))</f>
      </c>
    </row>
    <row r="184" spans="1:22" x14ac:dyDescent="0.25">
      <c r="A184" s="7">
        <f>IF($D184="","",COUNTIF($D$4:$D184,"&lt;&gt;"))</f>
      </c>
      <c r="B184" s="8"/>
      <c r="C184" s="7">
        <f>IF($B184="","","BSR "&amp;IFERROR(INDEX('Challan Master'!$B$4:$B$207,MATCH($B184,'Challan Master'!$S$4:$S$207,0)),"")&amp;" | Serial "&amp;IFERROR(INDEX('Challan Master'!$C$4:$C$207,MATCH($B184,'Challan Master'!$S$4:$S$207,0)),"")&amp;" | Deposit "&amp;TEXT(IFERROR(INDEX('Challan Master'!$D$4:$D$207,MATCH($B184,'Challan Master'!$S$4:$S$207,0)),""),"dd-mm-yyyy")&amp;" | Minor Head "&amp;IFERROR(INDEX('Challan Master'!$E$4:$E$207,MATCH($B184,'Challan Master'!$S$4:$S$207,0)),"")&amp;" | Tax ₹"&amp;TEXT(IFERROR(INDEX('Challan Master'!$G$4:$G$207,MATCH($B184,'Challan Master'!$S$4:$S$207,0)),""),"#,##0")&amp;" | Section "&amp;IFERROR(INDEX('Challan Master'!$F$4:$F$207,MATCH($B184,'Challan Master'!$S$4:$S$207,0)),""))</f>
      </c>
      <c r="D184" s="8"/>
      <c r="E184" s="8"/>
      <c r="F184" s="7">
        <f>IF($D184="","",IF(AND(LEN(TRIM(UPPER(E184)))=10,CODE(MID(TRIM(UPPER(E184)),1,1))&gt;=65,CODE(MID(TRIM(UPPER(E184)),1,1))&lt;=90,CODE(MID(TRIM(UPPER(E184)),2,1))&gt;=65,CODE(MID(TRIM(UPPER(E184)),2,1))&lt;=90,CODE(MID(TRIM(UPPER(E184)),3,1))&gt;=65,CODE(MID(TRIM(UPPER(E184)),3,1))&lt;=90,CODE(MID(TRIM(UPPER(E184)),4,1))&gt;=65,CODE(MID(TRIM(UPPER(E184)),4,1))&lt;=90,CODE(MID(TRIM(UPPER(E184)),5,1))&gt;=65,CODE(MID(TRIM(UPPER(E184)),5,1))&lt;=90,CODE(MID(TRIM(UPPER(E184)),10,1))&gt;=65,CODE(MID(TRIM(UPPER(E184)),10,1))&lt;=90,CODE(MID(TRIM(UPPER(E184)),6,1))&gt;=48,CODE(MID(TRIM(UPPER(E184)),6,1))&lt;=57,CODE(MID(TRIM(UPPER(E184)),7,1))&gt;=48,CODE(MID(TRIM(UPPER(E184)),7,1))&lt;=57,CODE(MID(TRIM(UPPER(E184)),8,1))&gt;=48,CODE(MID(TRIM(UPPER(E184)),8,1))&lt;=57,CODE(MID(TRIM(UPPER(E184)),9,1))&gt;=48,CODE(MID(TRIM(UPPER(E184)),9,1))&lt;=57),"N","Y"))</f>
      </c>
      <c r="G184" s="7">
        <f>IF($D184="","",IF(LEN(E184)&lt;4,"",IF(UPPER(MID(E184,4,1))="P","Individual",IF(UPPER(MID(E184,4,1))="H","HUF",IF(UPPER(MID(E184,4,1))="C","Company",IF(UPPER(MID(E184,4,1))="F","Firm",IF(UPPER(MID(E184,4,1))="L","LLP",IF(UPPER(MID(E184,4,1))="T","Trust",IF(UPPER(MID(E184,4,1))="A","AOP","")))))))))</f>
      </c>
      <c r="H184" s="8"/>
      <c r="I184" s="7">
        <f>IF($D184="","",IF(H184="","",IF(F184="Y",SUMPRODUCT(('Rate Lookup'!$A$1:$A$37=H184)*'Rate Lookup'!$D$1:$D$37),IF(OR(G184="Individual",G184="HUF"),SUMPRODUCT(('Rate Lookup'!$A$1:$A$37=H184)*'Rate Lookup'!$B$1:$B$37),SUMPRODUCT(('Rate Lookup'!$A$1:$A$37=H184)*'Rate Lookup'!$C$1:$C$37)))))</f>
      </c>
      <c r="J184" s="8"/>
      <c r="K184" s="8"/>
      <c r="L184" s="7">
        <f>IF($D184="","",ROUND(K184*I184/100,0))</f>
      </c>
      <c r="M184" s="7">
        <f>IF($D184="","",0)</f>
      </c>
      <c r="N184" s="7">
        <f>IF($D184="","",0)</f>
      </c>
      <c r="O184" s="7">
        <f>IF($D184="","",IF(OR(L184=0,J184="",IFERROR(INDEX('Challan Master'!$D$4:$D$207,MATCH($B184,'Challan Master'!$S$4:$S$207,0)),"")="",IFERROR(INDEX('Challan Master'!$D$4:$D$207,MATCH($B184,'Challan Master'!$S$4:$S$207,0)),"")&lt;=0),0,IF(IFERROR(INDEX('Challan Master'!$D$4:$D$207,MATCH($B184,'Challan Master'!$S$4:$S$207,0)),"")&lt;=DATE(YEAR(J184),MONTH(J184)+1,7),0,ROUND(L184*0.015*((YEAR(IFERROR(INDEX('Challan Master'!$D$4:$D$207,MATCH($B184,'Challan Master'!$S$4:$S$207,0)),""))-YEAR(J184))*12+(MONTH(IFERROR(INDEX('Challan Master'!$D$4:$D$207,MATCH($B184,'Challan Master'!$S$4:$S$207,0)),""))-MONTH(J184))+1),0))))</f>
      </c>
      <c r="P184" s="7">
        <f>IF($D184="","",0)</f>
      </c>
      <c r="Q184" s="8"/>
      <c r="R184" s="8"/>
      <c r="S184" s="8"/>
      <c r="T184" s="8"/>
      <c r="U184" s="8"/>
      <c r="V184" s="7">
        <f>IF($B184="","",IFERROR(INDEX('Challan Master'!$AA$4:$AA$207,MATCH($B184,'Challan Master'!$S$4:$S$207,0)),""))</f>
      </c>
    </row>
    <row r="185" spans="1:22" x14ac:dyDescent="0.25">
      <c r="A185" s="7">
        <f>IF($D185="","",COUNTIF($D$4:$D185,"&lt;&gt;"))</f>
      </c>
      <c r="B185" s="8"/>
      <c r="C185" s="7">
        <f>IF($B185="","","BSR "&amp;IFERROR(INDEX('Challan Master'!$B$4:$B$207,MATCH($B185,'Challan Master'!$S$4:$S$207,0)),"")&amp;" | Serial "&amp;IFERROR(INDEX('Challan Master'!$C$4:$C$207,MATCH($B185,'Challan Master'!$S$4:$S$207,0)),"")&amp;" | Deposit "&amp;TEXT(IFERROR(INDEX('Challan Master'!$D$4:$D$207,MATCH($B185,'Challan Master'!$S$4:$S$207,0)),""),"dd-mm-yyyy")&amp;" | Minor Head "&amp;IFERROR(INDEX('Challan Master'!$E$4:$E$207,MATCH($B185,'Challan Master'!$S$4:$S$207,0)),"")&amp;" | Tax ₹"&amp;TEXT(IFERROR(INDEX('Challan Master'!$G$4:$G$207,MATCH($B185,'Challan Master'!$S$4:$S$207,0)),""),"#,##0")&amp;" | Section "&amp;IFERROR(INDEX('Challan Master'!$F$4:$F$207,MATCH($B185,'Challan Master'!$S$4:$S$207,0)),""))</f>
      </c>
      <c r="D185" s="8"/>
      <c r="E185" s="8"/>
      <c r="F185" s="7">
        <f>IF($D185="","",IF(AND(LEN(TRIM(UPPER(E185)))=10,CODE(MID(TRIM(UPPER(E185)),1,1))&gt;=65,CODE(MID(TRIM(UPPER(E185)),1,1))&lt;=90,CODE(MID(TRIM(UPPER(E185)),2,1))&gt;=65,CODE(MID(TRIM(UPPER(E185)),2,1))&lt;=90,CODE(MID(TRIM(UPPER(E185)),3,1))&gt;=65,CODE(MID(TRIM(UPPER(E185)),3,1))&lt;=90,CODE(MID(TRIM(UPPER(E185)),4,1))&gt;=65,CODE(MID(TRIM(UPPER(E185)),4,1))&lt;=90,CODE(MID(TRIM(UPPER(E185)),5,1))&gt;=65,CODE(MID(TRIM(UPPER(E185)),5,1))&lt;=90,CODE(MID(TRIM(UPPER(E185)),10,1))&gt;=65,CODE(MID(TRIM(UPPER(E185)),10,1))&lt;=90,CODE(MID(TRIM(UPPER(E185)),6,1))&gt;=48,CODE(MID(TRIM(UPPER(E185)),6,1))&lt;=57,CODE(MID(TRIM(UPPER(E185)),7,1))&gt;=48,CODE(MID(TRIM(UPPER(E185)),7,1))&lt;=57,CODE(MID(TRIM(UPPER(E185)),8,1))&gt;=48,CODE(MID(TRIM(UPPER(E185)),8,1))&lt;=57,CODE(MID(TRIM(UPPER(E185)),9,1))&gt;=48,CODE(MID(TRIM(UPPER(E185)),9,1))&lt;=57),"N","Y"))</f>
      </c>
      <c r="G185" s="7">
        <f>IF($D185="","",IF(LEN(E185)&lt;4,"",IF(UPPER(MID(E185,4,1))="P","Individual",IF(UPPER(MID(E185,4,1))="H","HUF",IF(UPPER(MID(E185,4,1))="C","Company",IF(UPPER(MID(E185,4,1))="F","Firm",IF(UPPER(MID(E185,4,1))="L","LLP",IF(UPPER(MID(E185,4,1))="T","Trust",IF(UPPER(MID(E185,4,1))="A","AOP","")))))))))</f>
      </c>
      <c r="H185" s="8"/>
      <c r="I185" s="7">
        <f>IF($D185="","",IF(H185="","",IF(F185="Y",SUMPRODUCT(('Rate Lookup'!$A$1:$A$37=H185)*'Rate Lookup'!$D$1:$D$37),IF(OR(G185="Individual",G185="HUF"),SUMPRODUCT(('Rate Lookup'!$A$1:$A$37=H185)*'Rate Lookup'!$B$1:$B$37),SUMPRODUCT(('Rate Lookup'!$A$1:$A$37=H185)*'Rate Lookup'!$C$1:$C$37)))))</f>
      </c>
      <c r="J185" s="8"/>
      <c r="K185" s="8"/>
      <c r="L185" s="7">
        <f>IF($D185="","",ROUND(K185*I185/100,0))</f>
      </c>
      <c r="M185" s="7">
        <f>IF($D185="","",0)</f>
      </c>
      <c r="N185" s="7">
        <f>IF($D185="","",0)</f>
      </c>
      <c r="O185" s="7">
        <f>IF($D185="","",IF(OR(L185=0,J185="",IFERROR(INDEX('Challan Master'!$D$4:$D$207,MATCH($B185,'Challan Master'!$S$4:$S$207,0)),"")="",IFERROR(INDEX('Challan Master'!$D$4:$D$207,MATCH($B185,'Challan Master'!$S$4:$S$207,0)),"")&lt;=0),0,IF(IFERROR(INDEX('Challan Master'!$D$4:$D$207,MATCH($B185,'Challan Master'!$S$4:$S$207,0)),"")&lt;=DATE(YEAR(J185),MONTH(J185)+1,7),0,ROUND(L185*0.015*((YEAR(IFERROR(INDEX('Challan Master'!$D$4:$D$207,MATCH($B185,'Challan Master'!$S$4:$S$207,0)),""))-YEAR(J185))*12+(MONTH(IFERROR(INDEX('Challan Master'!$D$4:$D$207,MATCH($B185,'Challan Master'!$S$4:$S$207,0)),""))-MONTH(J185))+1),0))))</f>
      </c>
      <c r="P185" s="7">
        <f>IF($D185="","",0)</f>
      </c>
      <c r="Q185" s="8"/>
      <c r="R185" s="8"/>
      <c r="S185" s="8"/>
      <c r="T185" s="8"/>
      <c r="U185" s="8"/>
      <c r="V185" s="7">
        <f>IF($B185="","",IFERROR(INDEX('Challan Master'!$AA$4:$AA$207,MATCH($B185,'Challan Master'!$S$4:$S$207,0)),""))</f>
      </c>
    </row>
    <row r="186" spans="1:22" x14ac:dyDescent="0.25">
      <c r="A186" s="7">
        <f>IF($D186="","",COUNTIF($D$4:$D186,"&lt;&gt;"))</f>
      </c>
      <c r="B186" s="8"/>
      <c r="C186" s="7">
        <f>IF($B186="","","BSR "&amp;IFERROR(INDEX('Challan Master'!$B$4:$B$207,MATCH($B186,'Challan Master'!$S$4:$S$207,0)),"")&amp;" | Serial "&amp;IFERROR(INDEX('Challan Master'!$C$4:$C$207,MATCH($B186,'Challan Master'!$S$4:$S$207,0)),"")&amp;" | Deposit "&amp;TEXT(IFERROR(INDEX('Challan Master'!$D$4:$D$207,MATCH($B186,'Challan Master'!$S$4:$S$207,0)),""),"dd-mm-yyyy")&amp;" | Minor Head "&amp;IFERROR(INDEX('Challan Master'!$E$4:$E$207,MATCH($B186,'Challan Master'!$S$4:$S$207,0)),"")&amp;" | Tax ₹"&amp;TEXT(IFERROR(INDEX('Challan Master'!$G$4:$G$207,MATCH($B186,'Challan Master'!$S$4:$S$207,0)),""),"#,##0")&amp;" | Section "&amp;IFERROR(INDEX('Challan Master'!$F$4:$F$207,MATCH($B186,'Challan Master'!$S$4:$S$207,0)),""))</f>
      </c>
      <c r="D186" s="8"/>
      <c r="E186" s="8"/>
      <c r="F186" s="7">
        <f>IF($D186="","",IF(AND(LEN(TRIM(UPPER(E186)))=10,CODE(MID(TRIM(UPPER(E186)),1,1))&gt;=65,CODE(MID(TRIM(UPPER(E186)),1,1))&lt;=90,CODE(MID(TRIM(UPPER(E186)),2,1))&gt;=65,CODE(MID(TRIM(UPPER(E186)),2,1))&lt;=90,CODE(MID(TRIM(UPPER(E186)),3,1))&gt;=65,CODE(MID(TRIM(UPPER(E186)),3,1))&lt;=90,CODE(MID(TRIM(UPPER(E186)),4,1))&gt;=65,CODE(MID(TRIM(UPPER(E186)),4,1))&lt;=90,CODE(MID(TRIM(UPPER(E186)),5,1))&gt;=65,CODE(MID(TRIM(UPPER(E186)),5,1))&lt;=90,CODE(MID(TRIM(UPPER(E186)),10,1))&gt;=65,CODE(MID(TRIM(UPPER(E186)),10,1))&lt;=90,CODE(MID(TRIM(UPPER(E186)),6,1))&gt;=48,CODE(MID(TRIM(UPPER(E186)),6,1))&lt;=57,CODE(MID(TRIM(UPPER(E186)),7,1))&gt;=48,CODE(MID(TRIM(UPPER(E186)),7,1))&lt;=57,CODE(MID(TRIM(UPPER(E186)),8,1))&gt;=48,CODE(MID(TRIM(UPPER(E186)),8,1))&lt;=57,CODE(MID(TRIM(UPPER(E186)),9,1))&gt;=48,CODE(MID(TRIM(UPPER(E186)),9,1))&lt;=57),"N","Y"))</f>
      </c>
      <c r="G186" s="7">
        <f>IF($D186="","",IF(LEN(E186)&lt;4,"",IF(UPPER(MID(E186,4,1))="P","Individual",IF(UPPER(MID(E186,4,1))="H","HUF",IF(UPPER(MID(E186,4,1))="C","Company",IF(UPPER(MID(E186,4,1))="F","Firm",IF(UPPER(MID(E186,4,1))="L","LLP",IF(UPPER(MID(E186,4,1))="T","Trust",IF(UPPER(MID(E186,4,1))="A","AOP","")))))))))</f>
      </c>
      <c r="H186" s="8"/>
      <c r="I186" s="7">
        <f>IF($D186="","",IF(H186="","",IF(F186="Y",SUMPRODUCT(('Rate Lookup'!$A$1:$A$37=H186)*'Rate Lookup'!$D$1:$D$37),IF(OR(G186="Individual",G186="HUF"),SUMPRODUCT(('Rate Lookup'!$A$1:$A$37=H186)*'Rate Lookup'!$B$1:$B$37),SUMPRODUCT(('Rate Lookup'!$A$1:$A$37=H186)*'Rate Lookup'!$C$1:$C$37)))))</f>
      </c>
      <c r="J186" s="8"/>
      <c r="K186" s="8"/>
      <c r="L186" s="7">
        <f>IF($D186="","",ROUND(K186*I186/100,0))</f>
      </c>
      <c r="M186" s="7">
        <f>IF($D186="","",0)</f>
      </c>
      <c r="N186" s="7">
        <f>IF($D186="","",0)</f>
      </c>
      <c r="O186" s="7">
        <f>IF($D186="","",IF(OR(L186=0,J186="",IFERROR(INDEX('Challan Master'!$D$4:$D$207,MATCH($B186,'Challan Master'!$S$4:$S$207,0)),"")="",IFERROR(INDEX('Challan Master'!$D$4:$D$207,MATCH($B186,'Challan Master'!$S$4:$S$207,0)),"")&lt;=0),0,IF(IFERROR(INDEX('Challan Master'!$D$4:$D$207,MATCH($B186,'Challan Master'!$S$4:$S$207,0)),"")&lt;=DATE(YEAR(J186),MONTH(J186)+1,7),0,ROUND(L186*0.015*((YEAR(IFERROR(INDEX('Challan Master'!$D$4:$D$207,MATCH($B186,'Challan Master'!$S$4:$S$207,0)),""))-YEAR(J186))*12+(MONTH(IFERROR(INDEX('Challan Master'!$D$4:$D$207,MATCH($B186,'Challan Master'!$S$4:$S$207,0)),""))-MONTH(J186))+1),0))))</f>
      </c>
      <c r="P186" s="7">
        <f>IF($D186="","",0)</f>
      </c>
      <c r="Q186" s="8"/>
      <c r="R186" s="8"/>
      <c r="S186" s="8"/>
      <c r="T186" s="8"/>
      <c r="U186" s="8"/>
      <c r="V186" s="7">
        <f>IF($B186="","",IFERROR(INDEX('Challan Master'!$AA$4:$AA$207,MATCH($B186,'Challan Master'!$S$4:$S$207,0)),""))</f>
      </c>
    </row>
    <row r="187" spans="1:22" x14ac:dyDescent="0.25">
      <c r="A187" s="7">
        <f>IF($D187="","",COUNTIF($D$4:$D187,"&lt;&gt;"))</f>
      </c>
      <c r="B187" s="8"/>
      <c r="C187" s="7">
        <f>IF($B187="","","BSR "&amp;IFERROR(INDEX('Challan Master'!$B$4:$B$207,MATCH($B187,'Challan Master'!$S$4:$S$207,0)),"")&amp;" | Serial "&amp;IFERROR(INDEX('Challan Master'!$C$4:$C$207,MATCH($B187,'Challan Master'!$S$4:$S$207,0)),"")&amp;" | Deposit "&amp;TEXT(IFERROR(INDEX('Challan Master'!$D$4:$D$207,MATCH($B187,'Challan Master'!$S$4:$S$207,0)),""),"dd-mm-yyyy")&amp;" | Minor Head "&amp;IFERROR(INDEX('Challan Master'!$E$4:$E$207,MATCH($B187,'Challan Master'!$S$4:$S$207,0)),"")&amp;" | Tax ₹"&amp;TEXT(IFERROR(INDEX('Challan Master'!$G$4:$G$207,MATCH($B187,'Challan Master'!$S$4:$S$207,0)),""),"#,##0")&amp;" | Section "&amp;IFERROR(INDEX('Challan Master'!$F$4:$F$207,MATCH($B187,'Challan Master'!$S$4:$S$207,0)),""))</f>
      </c>
      <c r="D187" s="8"/>
      <c r="E187" s="8"/>
      <c r="F187" s="7">
        <f>IF($D187="","",IF(AND(LEN(TRIM(UPPER(E187)))=10,CODE(MID(TRIM(UPPER(E187)),1,1))&gt;=65,CODE(MID(TRIM(UPPER(E187)),1,1))&lt;=90,CODE(MID(TRIM(UPPER(E187)),2,1))&gt;=65,CODE(MID(TRIM(UPPER(E187)),2,1))&lt;=90,CODE(MID(TRIM(UPPER(E187)),3,1))&gt;=65,CODE(MID(TRIM(UPPER(E187)),3,1))&lt;=90,CODE(MID(TRIM(UPPER(E187)),4,1))&gt;=65,CODE(MID(TRIM(UPPER(E187)),4,1))&lt;=90,CODE(MID(TRIM(UPPER(E187)),5,1))&gt;=65,CODE(MID(TRIM(UPPER(E187)),5,1))&lt;=90,CODE(MID(TRIM(UPPER(E187)),10,1))&gt;=65,CODE(MID(TRIM(UPPER(E187)),10,1))&lt;=90,CODE(MID(TRIM(UPPER(E187)),6,1))&gt;=48,CODE(MID(TRIM(UPPER(E187)),6,1))&lt;=57,CODE(MID(TRIM(UPPER(E187)),7,1))&gt;=48,CODE(MID(TRIM(UPPER(E187)),7,1))&lt;=57,CODE(MID(TRIM(UPPER(E187)),8,1))&gt;=48,CODE(MID(TRIM(UPPER(E187)),8,1))&lt;=57,CODE(MID(TRIM(UPPER(E187)),9,1))&gt;=48,CODE(MID(TRIM(UPPER(E187)),9,1))&lt;=57),"N","Y"))</f>
      </c>
      <c r="G187" s="7">
        <f>IF($D187="","",IF(LEN(E187)&lt;4,"",IF(UPPER(MID(E187,4,1))="P","Individual",IF(UPPER(MID(E187,4,1))="H","HUF",IF(UPPER(MID(E187,4,1))="C","Company",IF(UPPER(MID(E187,4,1))="F","Firm",IF(UPPER(MID(E187,4,1))="L","LLP",IF(UPPER(MID(E187,4,1))="T","Trust",IF(UPPER(MID(E187,4,1))="A","AOP","")))))))))</f>
      </c>
      <c r="H187" s="8"/>
      <c r="I187" s="7">
        <f>IF($D187="","",IF(H187="","",IF(F187="Y",SUMPRODUCT(('Rate Lookup'!$A$1:$A$37=H187)*'Rate Lookup'!$D$1:$D$37),IF(OR(G187="Individual",G187="HUF"),SUMPRODUCT(('Rate Lookup'!$A$1:$A$37=H187)*'Rate Lookup'!$B$1:$B$37),SUMPRODUCT(('Rate Lookup'!$A$1:$A$37=H187)*'Rate Lookup'!$C$1:$C$37)))))</f>
      </c>
      <c r="J187" s="8"/>
      <c r="K187" s="8"/>
      <c r="L187" s="7">
        <f>IF($D187="","",ROUND(K187*I187/100,0))</f>
      </c>
      <c r="M187" s="7">
        <f>IF($D187="","",0)</f>
      </c>
      <c r="N187" s="7">
        <f>IF($D187="","",0)</f>
      </c>
      <c r="O187" s="7">
        <f>IF($D187="","",IF(OR(L187=0,J187="",IFERROR(INDEX('Challan Master'!$D$4:$D$207,MATCH($B187,'Challan Master'!$S$4:$S$207,0)),"")="",IFERROR(INDEX('Challan Master'!$D$4:$D$207,MATCH($B187,'Challan Master'!$S$4:$S$207,0)),"")&lt;=0),0,IF(IFERROR(INDEX('Challan Master'!$D$4:$D$207,MATCH($B187,'Challan Master'!$S$4:$S$207,0)),"")&lt;=DATE(YEAR(J187),MONTH(J187)+1,7),0,ROUND(L187*0.015*((YEAR(IFERROR(INDEX('Challan Master'!$D$4:$D$207,MATCH($B187,'Challan Master'!$S$4:$S$207,0)),""))-YEAR(J187))*12+(MONTH(IFERROR(INDEX('Challan Master'!$D$4:$D$207,MATCH($B187,'Challan Master'!$S$4:$S$207,0)),""))-MONTH(J187))+1),0))))</f>
      </c>
      <c r="P187" s="7">
        <f>IF($D187="","",0)</f>
      </c>
      <c r="Q187" s="8"/>
      <c r="R187" s="8"/>
      <c r="S187" s="8"/>
      <c r="T187" s="8"/>
      <c r="U187" s="8"/>
      <c r="V187" s="7">
        <f>IF($B187="","",IFERROR(INDEX('Challan Master'!$AA$4:$AA$207,MATCH($B187,'Challan Master'!$S$4:$S$207,0)),""))</f>
      </c>
    </row>
    <row r="188" spans="1:22" x14ac:dyDescent="0.25">
      <c r="A188" s="7">
        <f>IF($D188="","",COUNTIF($D$4:$D188,"&lt;&gt;"))</f>
      </c>
      <c r="B188" s="8"/>
      <c r="C188" s="7">
        <f>IF($B188="","","BSR "&amp;IFERROR(INDEX('Challan Master'!$B$4:$B$207,MATCH($B188,'Challan Master'!$S$4:$S$207,0)),"")&amp;" | Serial "&amp;IFERROR(INDEX('Challan Master'!$C$4:$C$207,MATCH($B188,'Challan Master'!$S$4:$S$207,0)),"")&amp;" | Deposit "&amp;TEXT(IFERROR(INDEX('Challan Master'!$D$4:$D$207,MATCH($B188,'Challan Master'!$S$4:$S$207,0)),""),"dd-mm-yyyy")&amp;" | Minor Head "&amp;IFERROR(INDEX('Challan Master'!$E$4:$E$207,MATCH($B188,'Challan Master'!$S$4:$S$207,0)),"")&amp;" | Tax ₹"&amp;TEXT(IFERROR(INDEX('Challan Master'!$G$4:$G$207,MATCH($B188,'Challan Master'!$S$4:$S$207,0)),""),"#,##0")&amp;" | Section "&amp;IFERROR(INDEX('Challan Master'!$F$4:$F$207,MATCH($B188,'Challan Master'!$S$4:$S$207,0)),""))</f>
      </c>
      <c r="D188" s="8"/>
      <c r="E188" s="8"/>
      <c r="F188" s="7">
        <f>IF($D188="","",IF(AND(LEN(TRIM(UPPER(E188)))=10,CODE(MID(TRIM(UPPER(E188)),1,1))&gt;=65,CODE(MID(TRIM(UPPER(E188)),1,1))&lt;=90,CODE(MID(TRIM(UPPER(E188)),2,1))&gt;=65,CODE(MID(TRIM(UPPER(E188)),2,1))&lt;=90,CODE(MID(TRIM(UPPER(E188)),3,1))&gt;=65,CODE(MID(TRIM(UPPER(E188)),3,1))&lt;=90,CODE(MID(TRIM(UPPER(E188)),4,1))&gt;=65,CODE(MID(TRIM(UPPER(E188)),4,1))&lt;=90,CODE(MID(TRIM(UPPER(E188)),5,1))&gt;=65,CODE(MID(TRIM(UPPER(E188)),5,1))&lt;=90,CODE(MID(TRIM(UPPER(E188)),10,1))&gt;=65,CODE(MID(TRIM(UPPER(E188)),10,1))&lt;=90,CODE(MID(TRIM(UPPER(E188)),6,1))&gt;=48,CODE(MID(TRIM(UPPER(E188)),6,1))&lt;=57,CODE(MID(TRIM(UPPER(E188)),7,1))&gt;=48,CODE(MID(TRIM(UPPER(E188)),7,1))&lt;=57,CODE(MID(TRIM(UPPER(E188)),8,1))&gt;=48,CODE(MID(TRIM(UPPER(E188)),8,1))&lt;=57,CODE(MID(TRIM(UPPER(E188)),9,1))&gt;=48,CODE(MID(TRIM(UPPER(E188)),9,1))&lt;=57),"N","Y"))</f>
      </c>
      <c r="G188" s="7">
        <f>IF($D188="","",IF(LEN(E188)&lt;4,"",IF(UPPER(MID(E188,4,1))="P","Individual",IF(UPPER(MID(E188,4,1))="H","HUF",IF(UPPER(MID(E188,4,1))="C","Company",IF(UPPER(MID(E188,4,1))="F","Firm",IF(UPPER(MID(E188,4,1))="L","LLP",IF(UPPER(MID(E188,4,1))="T","Trust",IF(UPPER(MID(E188,4,1))="A","AOP","")))))))))</f>
      </c>
      <c r="H188" s="8"/>
      <c r="I188" s="7">
        <f>IF($D188="","",IF(H188="","",IF(F188="Y",SUMPRODUCT(('Rate Lookup'!$A$1:$A$37=H188)*'Rate Lookup'!$D$1:$D$37),IF(OR(G188="Individual",G188="HUF"),SUMPRODUCT(('Rate Lookup'!$A$1:$A$37=H188)*'Rate Lookup'!$B$1:$B$37),SUMPRODUCT(('Rate Lookup'!$A$1:$A$37=H188)*'Rate Lookup'!$C$1:$C$37)))))</f>
      </c>
      <c r="J188" s="8"/>
      <c r="K188" s="8"/>
      <c r="L188" s="7">
        <f>IF($D188="","",ROUND(K188*I188/100,0))</f>
      </c>
      <c r="M188" s="7">
        <f>IF($D188="","",0)</f>
      </c>
      <c r="N188" s="7">
        <f>IF($D188="","",0)</f>
      </c>
      <c r="O188" s="7">
        <f>IF($D188="","",IF(OR(L188=0,J188="",IFERROR(INDEX('Challan Master'!$D$4:$D$207,MATCH($B188,'Challan Master'!$S$4:$S$207,0)),"")="",IFERROR(INDEX('Challan Master'!$D$4:$D$207,MATCH($B188,'Challan Master'!$S$4:$S$207,0)),"")&lt;=0),0,IF(IFERROR(INDEX('Challan Master'!$D$4:$D$207,MATCH($B188,'Challan Master'!$S$4:$S$207,0)),"")&lt;=DATE(YEAR(J188),MONTH(J188)+1,7),0,ROUND(L188*0.015*((YEAR(IFERROR(INDEX('Challan Master'!$D$4:$D$207,MATCH($B188,'Challan Master'!$S$4:$S$207,0)),""))-YEAR(J188))*12+(MONTH(IFERROR(INDEX('Challan Master'!$D$4:$D$207,MATCH($B188,'Challan Master'!$S$4:$S$207,0)),""))-MONTH(J188))+1),0))))</f>
      </c>
      <c r="P188" s="7">
        <f>IF($D188="","",0)</f>
      </c>
      <c r="Q188" s="8"/>
      <c r="R188" s="8"/>
      <c r="S188" s="8"/>
      <c r="T188" s="8"/>
      <c r="U188" s="8"/>
      <c r="V188" s="7">
        <f>IF($B188="","",IFERROR(INDEX('Challan Master'!$AA$4:$AA$207,MATCH($B188,'Challan Master'!$S$4:$S$207,0)),""))</f>
      </c>
    </row>
    <row r="189" spans="1:22" x14ac:dyDescent="0.25">
      <c r="A189" s="7">
        <f>IF($D189="","",COUNTIF($D$4:$D189,"&lt;&gt;"))</f>
      </c>
      <c r="B189" s="8"/>
      <c r="C189" s="7">
        <f>IF($B189="","","BSR "&amp;IFERROR(INDEX('Challan Master'!$B$4:$B$207,MATCH($B189,'Challan Master'!$S$4:$S$207,0)),"")&amp;" | Serial "&amp;IFERROR(INDEX('Challan Master'!$C$4:$C$207,MATCH($B189,'Challan Master'!$S$4:$S$207,0)),"")&amp;" | Deposit "&amp;TEXT(IFERROR(INDEX('Challan Master'!$D$4:$D$207,MATCH($B189,'Challan Master'!$S$4:$S$207,0)),""),"dd-mm-yyyy")&amp;" | Minor Head "&amp;IFERROR(INDEX('Challan Master'!$E$4:$E$207,MATCH($B189,'Challan Master'!$S$4:$S$207,0)),"")&amp;" | Tax ₹"&amp;TEXT(IFERROR(INDEX('Challan Master'!$G$4:$G$207,MATCH($B189,'Challan Master'!$S$4:$S$207,0)),""),"#,##0")&amp;" | Section "&amp;IFERROR(INDEX('Challan Master'!$F$4:$F$207,MATCH($B189,'Challan Master'!$S$4:$S$207,0)),""))</f>
      </c>
      <c r="D189" s="8"/>
      <c r="E189" s="8"/>
      <c r="F189" s="7">
        <f>IF($D189="","",IF(AND(LEN(TRIM(UPPER(E189)))=10,CODE(MID(TRIM(UPPER(E189)),1,1))&gt;=65,CODE(MID(TRIM(UPPER(E189)),1,1))&lt;=90,CODE(MID(TRIM(UPPER(E189)),2,1))&gt;=65,CODE(MID(TRIM(UPPER(E189)),2,1))&lt;=90,CODE(MID(TRIM(UPPER(E189)),3,1))&gt;=65,CODE(MID(TRIM(UPPER(E189)),3,1))&lt;=90,CODE(MID(TRIM(UPPER(E189)),4,1))&gt;=65,CODE(MID(TRIM(UPPER(E189)),4,1))&lt;=90,CODE(MID(TRIM(UPPER(E189)),5,1))&gt;=65,CODE(MID(TRIM(UPPER(E189)),5,1))&lt;=90,CODE(MID(TRIM(UPPER(E189)),10,1))&gt;=65,CODE(MID(TRIM(UPPER(E189)),10,1))&lt;=90,CODE(MID(TRIM(UPPER(E189)),6,1))&gt;=48,CODE(MID(TRIM(UPPER(E189)),6,1))&lt;=57,CODE(MID(TRIM(UPPER(E189)),7,1))&gt;=48,CODE(MID(TRIM(UPPER(E189)),7,1))&lt;=57,CODE(MID(TRIM(UPPER(E189)),8,1))&gt;=48,CODE(MID(TRIM(UPPER(E189)),8,1))&lt;=57,CODE(MID(TRIM(UPPER(E189)),9,1))&gt;=48,CODE(MID(TRIM(UPPER(E189)),9,1))&lt;=57),"N","Y"))</f>
      </c>
      <c r="G189" s="7">
        <f>IF($D189="","",IF(LEN(E189)&lt;4,"",IF(UPPER(MID(E189,4,1))="P","Individual",IF(UPPER(MID(E189,4,1))="H","HUF",IF(UPPER(MID(E189,4,1))="C","Company",IF(UPPER(MID(E189,4,1))="F","Firm",IF(UPPER(MID(E189,4,1))="L","LLP",IF(UPPER(MID(E189,4,1))="T","Trust",IF(UPPER(MID(E189,4,1))="A","AOP","")))))))))</f>
      </c>
      <c r="H189" s="8"/>
      <c r="I189" s="7">
        <f>IF($D189="","",IF(H189="","",IF(F189="Y",SUMPRODUCT(('Rate Lookup'!$A$1:$A$37=H189)*'Rate Lookup'!$D$1:$D$37),IF(OR(G189="Individual",G189="HUF"),SUMPRODUCT(('Rate Lookup'!$A$1:$A$37=H189)*'Rate Lookup'!$B$1:$B$37),SUMPRODUCT(('Rate Lookup'!$A$1:$A$37=H189)*'Rate Lookup'!$C$1:$C$37)))))</f>
      </c>
      <c r="J189" s="8"/>
      <c r="K189" s="8"/>
      <c r="L189" s="7">
        <f>IF($D189="","",ROUND(K189*I189/100,0))</f>
      </c>
      <c r="M189" s="7">
        <f>IF($D189="","",0)</f>
      </c>
      <c r="N189" s="7">
        <f>IF($D189="","",0)</f>
      </c>
      <c r="O189" s="7">
        <f>IF($D189="","",IF(OR(L189=0,J189="",IFERROR(INDEX('Challan Master'!$D$4:$D$207,MATCH($B189,'Challan Master'!$S$4:$S$207,0)),"")="",IFERROR(INDEX('Challan Master'!$D$4:$D$207,MATCH($B189,'Challan Master'!$S$4:$S$207,0)),"")&lt;=0),0,IF(IFERROR(INDEX('Challan Master'!$D$4:$D$207,MATCH($B189,'Challan Master'!$S$4:$S$207,0)),"")&lt;=DATE(YEAR(J189),MONTH(J189)+1,7),0,ROUND(L189*0.015*((YEAR(IFERROR(INDEX('Challan Master'!$D$4:$D$207,MATCH($B189,'Challan Master'!$S$4:$S$207,0)),""))-YEAR(J189))*12+(MONTH(IFERROR(INDEX('Challan Master'!$D$4:$D$207,MATCH($B189,'Challan Master'!$S$4:$S$207,0)),""))-MONTH(J189))+1),0))))</f>
      </c>
      <c r="P189" s="7">
        <f>IF($D189="","",0)</f>
      </c>
      <c r="Q189" s="8"/>
      <c r="R189" s="8"/>
      <c r="S189" s="8"/>
      <c r="T189" s="8"/>
      <c r="U189" s="8"/>
      <c r="V189" s="7">
        <f>IF($B189="","",IFERROR(INDEX('Challan Master'!$AA$4:$AA$207,MATCH($B189,'Challan Master'!$S$4:$S$207,0)),""))</f>
      </c>
    </row>
    <row r="190" spans="1:22" x14ac:dyDescent="0.25">
      <c r="A190" s="7">
        <f>IF($D190="","",COUNTIF($D$4:$D190,"&lt;&gt;"))</f>
      </c>
      <c r="B190" s="8"/>
      <c r="C190" s="7">
        <f>IF($B190="","","BSR "&amp;IFERROR(INDEX('Challan Master'!$B$4:$B$207,MATCH($B190,'Challan Master'!$S$4:$S$207,0)),"")&amp;" | Serial "&amp;IFERROR(INDEX('Challan Master'!$C$4:$C$207,MATCH($B190,'Challan Master'!$S$4:$S$207,0)),"")&amp;" | Deposit "&amp;TEXT(IFERROR(INDEX('Challan Master'!$D$4:$D$207,MATCH($B190,'Challan Master'!$S$4:$S$207,0)),""),"dd-mm-yyyy")&amp;" | Minor Head "&amp;IFERROR(INDEX('Challan Master'!$E$4:$E$207,MATCH($B190,'Challan Master'!$S$4:$S$207,0)),"")&amp;" | Tax ₹"&amp;TEXT(IFERROR(INDEX('Challan Master'!$G$4:$G$207,MATCH($B190,'Challan Master'!$S$4:$S$207,0)),""),"#,##0")&amp;" | Section "&amp;IFERROR(INDEX('Challan Master'!$F$4:$F$207,MATCH($B190,'Challan Master'!$S$4:$S$207,0)),""))</f>
      </c>
      <c r="D190" s="8"/>
      <c r="E190" s="8"/>
      <c r="F190" s="7">
        <f>IF($D190="","",IF(AND(LEN(TRIM(UPPER(E190)))=10,CODE(MID(TRIM(UPPER(E190)),1,1))&gt;=65,CODE(MID(TRIM(UPPER(E190)),1,1))&lt;=90,CODE(MID(TRIM(UPPER(E190)),2,1))&gt;=65,CODE(MID(TRIM(UPPER(E190)),2,1))&lt;=90,CODE(MID(TRIM(UPPER(E190)),3,1))&gt;=65,CODE(MID(TRIM(UPPER(E190)),3,1))&lt;=90,CODE(MID(TRIM(UPPER(E190)),4,1))&gt;=65,CODE(MID(TRIM(UPPER(E190)),4,1))&lt;=90,CODE(MID(TRIM(UPPER(E190)),5,1))&gt;=65,CODE(MID(TRIM(UPPER(E190)),5,1))&lt;=90,CODE(MID(TRIM(UPPER(E190)),10,1))&gt;=65,CODE(MID(TRIM(UPPER(E190)),10,1))&lt;=90,CODE(MID(TRIM(UPPER(E190)),6,1))&gt;=48,CODE(MID(TRIM(UPPER(E190)),6,1))&lt;=57,CODE(MID(TRIM(UPPER(E190)),7,1))&gt;=48,CODE(MID(TRIM(UPPER(E190)),7,1))&lt;=57,CODE(MID(TRIM(UPPER(E190)),8,1))&gt;=48,CODE(MID(TRIM(UPPER(E190)),8,1))&lt;=57,CODE(MID(TRIM(UPPER(E190)),9,1))&gt;=48,CODE(MID(TRIM(UPPER(E190)),9,1))&lt;=57),"N","Y"))</f>
      </c>
      <c r="G190" s="7">
        <f>IF($D190="","",IF(LEN(E190)&lt;4,"",IF(UPPER(MID(E190,4,1))="P","Individual",IF(UPPER(MID(E190,4,1))="H","HUF",IF(UPPER(MID(E190,4,1))="C","Company",IF(UPPER(MID(E190,4,1))="F","Firm",IF(UPPER(MID(E190,4,1))="L","LLP",IF(UPPER(MID(E190,4,1))="T","Trust",IF(UPPER(MID(E190,4,1))="A","AOP","")))))))))</f>
      </c>
      <c r="H190" s="8"/>
      <c r="I190" s="7">
        <f>IF($D190="","",IF(H190="","",IF(F190="Y",SUMPRODUCT(('Rate Lookup'!$A$1:$A$37=H190)*'Rate Lookup'!$D$1:$D$37),IF(OR(G190="Individual",G190="HUF"),SUMPRODUCT(('Rate Lookup'!$A$1:$A$37=H190)*'Rate Lookup'!$B$1:$B$37),SUMPRODUCT(('Rate Lookup'!$A$1:$A$37=H190)*'Rate Lookup'!$C$1:$C$37)))))</f>
      </c>
      <c r="J190" s="8"/>
      <c r="K190" s="8"/>
      <c r="L190" s="7">
        <f>IF($D190="","",ROUND(K190*I190/100,0))</f>
      </c>
      <c r="M190" s="7">
        <f>IF($D190="","",0)</f>
      </c>
      <c r="N190" s="7">
        <f>IF($D190="","",0)</f>
      </c>
      <c r="O190" s="7">
        <f>IF($D190="","",IF(OR(L190=0,J190="",IFERROR(INDEX('Challan Master'!$D$4:$D$207,MATCH($B190,'Challan Master'!$S$4:$S$207,0)),"")="",IFERROR(INDEX('Challan Master'!$D$4:$D$207,MATCH($B190,'Challan Master'!$S$4:$S$207,0)),"")&lt;=0),0,IF(IFERROR(INDEX('Challan Master'!$D$4:$D$207,MATCH($B190,'Challan Master'!$S$4:$S$207,0)),"")&lt;=DATE(YEAR(J190),MONTH(J190)+1,7),0,ROUND(L190*0.015*((YEAR(IFERROR(INDEX('Challan Master'!$D$4:$D$207,MATCH($B190,'Challan Master'!$S$4:$S$207,0)),""))-YEAR(J190))*12+(MONTH(IFERROR(INDEX('Challan Master'!$D$4:$D$207,MATCH($B190,'Challan Master'!$S$4:$S$207,0)),""))-MONTH(J190))+1),0))))</f>
      </c>
      <c r="P190" s="7">
        <f>IF($D190="","",0)</f>
      </c>
      <c r="Q190" s="8"/>
      <c r="R190" s="8"/>
      <c r="S190" s="8"/>
      <c r="T190" s="8"/>
      <c r="U190" s="8"/>
      <c r="V190" s="7">
        <f>IF($B190="","",IFERROR(INDEX('Challan Master'!$AA$4:$AA$207,MATCH($B190,'Challan Master'!$S$4:$S$207,0)),""))</f>
      </c>
    </row>
    <row r="191" spans="1:22" x14ac:dyDescent="0.25">
      <c r="A191" s="7">
        <f>IF($D191="","",COUNTIF($D$4:$D191,"&lt;&gt;"))</f>
      </c>
      <c r="B191" s="8"/>
      <c r="C191" s="7">
        <f>IF($B191="","","BSR "&amp;IFERROR(INDEX('Challan Master'!$B$4:$B$207,MATCH($B191,'Challan Master'!$S$4:$S$207,0)),"")&amp;" | Serial "&amp;IFERROR(INDEX('Challan Master'!$C$4:$C$207,MATCH($B191,'Challan Master'!$S$4:$S$207,0)),"")&amp;" | Deposit "&amp;TEXT(IFERROR(INDEX('Challan Master'!$D$4:$D$207,MATCH($B191,'Challan Master'!$S$4:$S$207,0)),""),"dd-mm-yyyy")&amp;" | Minor Head "&amp;IFERROR(INDEX('Challan Master'!$E$4:$E$207,MATCH($B191,'Challan Master'!$S$4:$S$207,0)),"")&amp;" | Tax ₹"&amp;TEXT(IFERROR(INDEX('Challan Master'!$G$4:$G$207,MATCH($B191,'Challan Master'!$S$4:$S$207,0)),""),"#,##0")&amp;" | Section "&amp;IFERROR(INDEX('Challan Master'!$F$4:$F$207,MATCH($B191,'Challan Master'!$S$4:$S$207,0)),""))</f>
      </c>
      <c r="D191" s="8"/>
      <c r="E191" s="8"/>
      <c r="F191" s="7">
        <f>IF($D191="","",IF(AND(LEN(TRIM(UPPER(E191)))=10,CODE(MID(TRIM(UPPER(E191)),1,1))&gt;=65,CODE(MID(TRIM(UPPER(E191)),1,1))&lt;=90,CODE(MID(TRIM(UPPER(E191)),2,1))&gt;=65,CODE(MID(TRIM(UPPER(E191)),2,1))&lt;=90,CODE(MID(TRIM(UPPER(E191)),3,1))&gt;=65,CODE(MID(TRIM(UPPER(E191)),3,1))&lt;=90,CODE(MID(TRIM(UPPER(E191)),4,1))&gt;=65,CODE(MID(TRIM(UPPER(E191)),4,1))&lt;=90,CODE(MID(TRIM(UPPER(E191)),5,1))&gt;=65,CODE(MID(TRIM(UPPER(E191)),5,1))&lt;=90,CODE(MID(TRIM(UPPER(E191)),10,1))&gt;=65,CODE(MID(TRIM(UPPER(E191)),10,1))&lt;=90,CODE(MID(TRIM(UPPER(E191)),6,1))&gt;=48,CODE(MID(TRIM(UPPER(E191)),6,1))&lt;=57,CODE(MID(TRIM(UPPER(E191)),7,1))&gt;=48,CODE(MID(TRIM(UPPER(E191)),7,1))&lt;=57,CODE(MID(TRIM(UPPER(E191)),8,1))&gt;=48,CODE(MID(TRIM(UPPER(E191)),8,1))&lt;=57,CODE(MID(TRIM(UPPER(E191)),9,1))&gt;=48,CODE(MID(TRIM(UPPER(E191)),9,1))&lt;=57),"N","Y"))</f>
      </c>
      <c r="G191" s="7">
        <f>IF($D191="","",IF(LEN(E191)&lt;4,"",IF(UPPER(MID(E191,4,1))="P","Individual",IF(UPPER(MID(E191,4,1))="H","HUF",IF(UPPER(MID(E191,4,1))="C","Company",IF(UPPER(MID(E191,4,1))="F","Firm",IF(UPPER(MID(E191,4,1))="L","LLP",IF(UPPER(MID(E191,4,1))="T","Trust",IF(UPPER(MID(E191,4,1))="A","AOP","")))))))))</f>
      </c>
      <c r="H191" s="8"/>
      <c r="I191" s="7">
        <f>IF($D191="","",IF(H191="","",IF(F191="Y",SUMPRODUCT(('Rate Lookup'!$A$1:$A$37=H191)*'Rate Lookup'!$D$1:$D$37),IF(OR(G191="Individual",G191="HUF"),SUMPRODUCT(('Rate Lookup'!$A$1:$A$37=H191)*'Rate Lookup'!$B$1:$B$37),SUMPRODUCT(('Rate Lookup'!$A$1:$A$37=H191)*'Rate Lookup'!$C$1:$C$37)))))</f>
      </c>
      <c r="J191" s="8"/>
      <c r="K191" s="8"/>
      <c r="L191" s="7">
        <f>IF($D191="","",ROUND(K191*I191/100,0))</f>
      </c>
      <c r="M191" s="7">
        <f>IF($D191="","",0)</f>
      </c>
      <c r="N191" s="7">
        <f>IF($D191="","",0)</f>
      </c>
      <c r="O191" s="7">
        <f>IF($D191="","",IF(OR(L191=0,J191="",IFERROR(INDEX('Challan Master'!$D$4:$D$207,MATCH($B191,'Challan Master'!$S$4:$S$207,0)),"")="",IFERROR(INDEX('Challan Master'!$D$4:$D$207,MATCH($B191,'Challan Master'!$S$4:$S$207,0)),"")&lt;=0),0,IF(IFERROR(INDEX('Challan Master'!$D$4:$D$207,MATCH($B191,'Challan Master'!$S$4:$S$207,0)),"")&lt;=DATE(YEAR(J191),MONTH(J191)+1,7),0,ROUND(L191*0.015*((YEAR(IFERROR(INDEX('Challan Master'!$D$4:$D$207,MATCH($B191,'Challan Master'!$S$4:$S$207,0)),""))-YEAR(J191))*12+(MONTH(IFERROR(INDEX('Challan Master'!$D$4:$D$207,MATCH($B191,'Challan Master'!$S$4:$S$207,0)),""))-MONTH(J191))+1),0))))</f>
      </c>
      <c r="P191" s="7">
        <f>IF($D191="","",0)</f>
      </c>
      <c r="Q191" s="8"/>
      <c r="R191" s="8"/>
      <c r="S191" s="8"/>
      <c r="T191" s="8"/>
      <c r="U191" s="8"/>
      <c r="V191" s="7">
        <f>IF($B191="","",IFERROR(INDEX('Challan Master'!$AA$4:$AA$207,MATCH($B191,'Challan Master'!$S$4:$S$207,0)),""))</f>
      </c>
    </row>
    <row r="192" spans="1:22" x14ac:dyDescent="0.25">
      <c r="A192" s="7">
        <f>IF($D192="","",COUNTIF($D$4:$D192,"&lt;&gt;"))</f>
      </c>
      <c r="B192" s="8"/>
      <c r="C192" s="7">
        <f>IF($B192="","","BSR "&amp;IFERROR(INDEX('Challan Master'!$B$4:$B$207,MATCH($B192,'Challan Master'!$S$4:$S$207,0)),"")&amp;" | Serial "&amp;IFERROR(INDEX('Challan Master'!$C$4:$C$207,MATCH($B192,'Challan Master'!$S$4:$S$207,0)),"")&amp;" | Deposit "&amp;TEXT(IFERROR(INDEX('Challan Master'!$D$4:$D$207,MATCH($B192,'Challan Master'!$S$4:$S$207,0)),""),"dd-mm-yyyy")&amp;" | Minor Head "&amp;IFERROR(INDEX('Challan Master'!$E$4:$E$207,MATCH($B192,'Challan Master'!$S$4:$S$207,0)),"")&amp;" | Tax ₹"&amp;TEXT(IFERROR(INDEX('Challan Master'!$G$4:$G$207,MATCH($B192,'Challan Master'!$S$4:$S$207,0)),""),"#,##0")&amp;" | Section "&amp;IFERROR(INDEX('Challan Master'!$F$4:$F$207,MATCH($B192,'Challan Master'!$S$4:$S$207,0)),""))</f>
      </c>
      <c r="D192" s="8"/>
      <c r="E192" s="8"/>
      <c r="F192" s="7">
        <f>IF($D192="","",IF(AND(LEN(TRIM(UPPER(E192)))=10,CODE(MID(TRIM(UPPER(E192)),1,1))&gt;=65,CODE(MID(TRIM(UPPER(E192)),1,1))&lt;=90,CODE(MID(TRIM(UPPER(E192)),2,1))&gt;=65,CODE(MID(TRIM(UPPER(E192)),2,1))&lt;=90,CODE(MID(TRIM(UPPER(E192)),3,1))&gt;=65,CODE(MID(TRIM(UPPER(E192)),3,1))&lt;=90,CODE(MID(TRIM(UPPER(E192)),4,1))&gt;=65,CODE(MID(TRIM(UPPER(E192)),4,1))&lt;=90,CODE(MID(TRIM(UPPER(E192)),5,1))&gt;=65,CODE(MID(TRIM(UPPER(E192)),5,1))&lt;=90,CODE(MID(TRIM(UPPER(E192)),10,1))&gt;=65,CODE(MID(TRIM(UPPER(E192)),10,1))&lt;=90,CODE(MID(TRIM(UPPER(E192)),6,1))&gt;=48,CODE(MID(TRIM(UPPER(E192)),6,1))&lt;=57,CODE(MID(TRIM(UPPER(E192)),7,1))&gt;=48,CODE(MID(TRIM(UPPER(E192)),7,1))&lt;=57,CODE(MID(TRIM(UPPER(E192)),8,1))&gt;=48,CODE(MID(TRIM(UPPER(E192)),8,1))&lt;=57,CODE(MID(TRIM(UPPER(E192)),9,1))&gt;=48,CODE(MID(TRIM(UPPER(E192)),9,1))&lt;=57),"N","Y"))</f>
      </c>
      <c r="G192" s="7">
        <f>IF($D192="","",IF(LEN(E192)&lt;4,"",IF(UPPER(MID(E192,4,1))="P","Individual",IF(UPPER(MID(E192,4,1))="H","HUF",IF(UPPER(MID(E192,4,1))="C","Company",IF(UPPER(MID(E192,4,1))="F","Firm",IF(UPPER(MID(E192,4,1))="L","LLP",IF(UPPER(MID(E192,4,1))="T","Trust",IF(UPPER(MID(E192,4,1))="A","AOP","")))))))))</f>
      </c>
      <c r="H192" s="8"/>
      <c r="I192" s="7">
        <f>IF($D192="","",IF(H192="","",IF(F192="Y",SUMPRODUCT(('Rate Lookup'!$A$1:$A$37=H192)*'Rate Lookup'!$D$1:$D$37),IF(OR(G192="Individual",G192="HUF"),SUMPRODUCT(('Rate Lookup'!$A$1:$A$37=H192)*'Rate Lookup'!$B$1:$B$37),SUMPRODUCT(('Rate Lookup'!$A$1:$A$37=H192)*'Rate Lookup'!$C$1:$C$37)))))</f>
      </c>
      <c r="J192" s="8"/>
      <c r="K192" s="8"/>
      <c r="L192" s="7">
        <f>IF($D192="","",ROUND(K192*I192/100,0))</f>
      </c>
      <c r="M192" s="7">
        <f>IF($D192="","",0)</f>
      </c>
      <c r="N192" s="7">
        <f>IF($D192="","",0)</f>
      </c>
      <c r="O192" s="7">
        <f>IF($D192="","",IF(OR(L192=0,J192="",IFERROR(INDEX('Challan Master'!$D$4:$D$207,MATCH($B192,'Challan Master'!$S$4:$S$207,0)),"")="",IFERROR(INDEX('Challan Master'!$D$4:$D$207,MATCH($B192,'Challan Master'!$S$4:$S$207,0)),"")&lt;=0),0,IF(IFERROR(INDEX('Challan Master'!$D$4:$D$207,MATCH($B192,'Challan Master'!$S$4:$S$207,0)),"")&lt;=DATE(YEAR(J192),MONTH(J192)+1,7),0,ROUND(L192*0.015*((YEAR(IFERROR(INDEX('Challan Master'!$D$4:$D$207,MATCH($B192,'Challan Master'!$S$4:$S$207,0)),""))-YEAR(J192))*12+(MONTH(IFERROR(INDEX('Challan Master'!$D$4:$D$207,MATCH($B192,'Challan Master'!$S$4:$S$207,0)),""))-MONTH(J192))+1),0))))</f>
      </c>
      <c r="P192" s="7">
        <f>IF($D192="","",0)</f>
      </c>
      <c r="Q192" s="8"/>
      <c r="R192" s="8"/>
      <c r="S192" s="8"/>
      <c r="T192" s="8"/>
      <c r="U192" s="8"/>
      <c r="V192" s="7">
        <f>IF($B192="","",IFERROR(INDEX('Challan Master'!$AA$4:$AA$207,MATCH($B192,'Challan Master'!$S$4:$S$207,0)),""))</f>
      </c>
    </row>
    <row r="193" spans="1:22" x14ac:dyDescent="0.25">
      <c r="A193" s="7">
        <f>IF($D193="","",COUNTIF($D$4:$D193,"&lt;&gt;"))</f>
      </c>
      <c r="B193" s="8"/>
      <c r="C193" s="7">
        <f>IF($B193="","","BSR "&amp;IFERROR(INDEX('Challan Master'!$B$4:$B$207,MATCH($B193,'Challan Master'!$S$4:$S$207,0)),"")&amp;" | Serial "&amp;IFERROR(INDEX('Challan Master'!$C$4:$C$207,MATCH($B193,'Challan Master'!$S$4:$S$207,0)),"")&amp;" | Deposit "&amp;TEXT(IFERROR(INDEX('Challan Master'!$D$4:$D$207,MATCH($B193,'Challan Master'!$S$4:$S$207,0)),""),"dd-mm-yyyy")&amp;" | Minor Head "&amp;IFERROR(INDEX('Challan Master'!$E$4:$E$207,MATCH($B193,'Challan Master'!$S$4:$S$207,0)),"")&amp;" | Tax ₹"&amp;TEXT(IFERROR(INDEX('Challan Master'!$G$4:$G$207,MATCH($B193,'Challan Master'!$S$4:$S$207,0)),""),"#,##0")&amp;" | Section "&amp;IFERROR(INDEX('Challan Master'!$F$4:$F$207,MATCH($B193,'Challan Master'!$S$4:$S$207,0)),""))</f>
      </c>
      <c r="D193" s="8"/>
      <c r="E193" s="8"/>
      <c r="F193" s="7">
        <f>IF($D193="","",IF(AND(LEN(TRIM(UPPER(E193)))=10,CODE(MID(TRIM(UPPER(E193)),1,1))&gt;=65,CODE(MID(TRIM(UPPER(E193)),1,1))&lt;=90,CODE(MID(TRIM(UPPER(E193)),2,1))&gt;=65,CODE(MID(TRIM(UPPER(E193)),2,1))&lt;=90,CODE(MID(TRIM(UPPER(E193)),3,1))&gt;=65,CODE(MID(TRIM(UPPER(E193)),3,1))&lt;=90,CODE(MID(TRIM(UPPER(E193)),4,1))&gt;=65,CODE(MID(TRIM(UPPER(E193)),4,1))&lt;=90,CODE(MID(TRIM(UPPER(E193)),5,1))&gt;=65,CODE(MID(TRIM(UPPER(E193)),5,1))&lt;=90,CODE(MID(TRIM(UPPER(E193)),10,1))&gt;=65,CODE(MID(TRIM(UPPER(E193)),10,1))&lt;=90,CODE(MID(TRIM(UPPER(E193)),6,1))&gt;=48,CODE(MID(TRIM(UPPER(E193)),6,1))&lt;=57,CODE(MID(TRIM(UPPER(E193)),7,1))&gt;=48,CODE(MID(TRIM(UPPER(E193)),7,1))&lt;=57,CODE(MID(TRIM(UPPER(E193)),8,1))&gt;=48,CODE(MID(TRIM(UPPER(E193)),8,1))&lt;=57,CODE(MID(TRIM(UPPER(E193)),9,1))&gt;=48,CODE(MID(TRIM(UPPER(E193)),9,1))&lt;=57),"N","Y"))</f>
      </c>
      <c r="G193" s="7">
        <f>IF($D193="","",IF(LEN(E193)&lt;4,"",IF(UPPER(MID(E193,4,1))="P","Individual",IF(UPPER(MID(E193,4,1))="H","HUF",IF(UPPER(MID(E193,4,1))="C","Company",IF(UPPER(MID(E193,4,1))="F","Firm",IF(UPPER(MID(E193,4,1))="L","LLP",IF(UPPER(MID(E193,4,1))="T","Trust",IF(UPPER(MID(E193,4,1))="A","AOP","")))))))))</f>
      </c>
      <c r="H193" s="8"/>
      <c r="I193" s="7">
        <f>IF($D193="","",IF(H193="","",IF(F193="Y",SUMPRODUCT(('Rate Lookup'!$A$1:$A$37=H193)*'Rate Lookup'!$D$1:$D$37),IF(OR(G193="Individual",G193="HUF"),SUMPRODUCT(('Rate Lookup'!$A$1:$A$37=H193)*'Rate Lookup'!$B$1:$B$37),SUMPRODUCT(('Rate Lookup'!$A$1:$A$37=H193)*'Rate Lookup'!$C$1:$C$37)))))</f>
      </c>
      <c r="J193" s="8"/>
      <c r="K193" s="8"/>
      <c r="L193" s="7">
        <f>IF($D193="","",ROUND(K193*I193/100,0))</f>
      </c>
      <c r="M193" s="7">
        <f>IF($D193="","",0)</f>
      </c>
      <c r="N193" s="7">
        <f>IF($D193="","",0)</f>
      </c>
      <c r="O193" s="7">
        <f>IF($D193="","",IF(OR(L193=0,J193="",IFERROR(INDEX('Challan Master'!$D$4:$D$207,MATCH($B193,'Challan Master'!$S$4:$S$207,0)),"")="",IFERROR(INDEX('Challan Master'!$D$4:$D$207,MATCH($B193,'Challan Master'!$S$4:$S$207,0)),"")&lt;=0),0,IF(IFERROR(INDEX('Challan Master'!$D$4:$D$207,MATCH($B193,'Challan Master'!$S$4:$S$207,0)),"")&lt;=DATE(YEAR(J193),MONTH(J193)+1,7),0,ROUND(L193*0.015*((YEAR(IFERROR(INDEX('Challan Master'!$D$4:$D$207,MATCH($B193,'Challan Master'!$S$4:$S$207,0)),""))-YEAR(J193))*12+(MONTH(IFERROR(INDEX('Challan Master'!$D$4:$D$207,MATCH($B193,'Challan Master'!$S$4:$S$207,0)),""))-MONTH(J193))+1),0))))</f>
      </c>
      <c r="P193" s="7">
        <f>IF($D193="","",0)</f>
      </c>
      <c r="Q193" s="8"/>
      <c r="R193" s="8"/>
      <c r="S193" s="8"/>
      <c r="T193" s="8"/>
      <c r="U193" s="8"/>
      <c r="V193" s="7">
        <f>IF($B193="","",IFERROR(INDEX('Challan Master'!$AA$4:$AA$207,MATCH($B193,'Challan Master'!$S$4:$S$207,0)),""))</f>
      </c>
    </row>
    <row r="194" spans="1:22" x14ac:dyDescent="0.25">
      <c r="A194" s="7">
        <f>IF($D194="","",COUNTIF($D$4:$D194,"&lt;&gt;"))</f>
      </c>
      <c r="B194" s="8"/>
      <c r="C194" s="7">
        <f>IF($B194="","","BSR "&amp;IFERROR(INDEX('Challan Master'!$B$4:$B$207,MATCH($B194,'Challan Master'!$S$4:$S$207,0)),"")&amp;" | Serial "&amp;IFERROR(INDEX('Challan Master'!$C$4:$C$207,MATCH($B194,'Challan Master'!$S$4:$S$207,0)),"")&amp;" | Deposit "&amp;TEXT(IFERROR(INDEX('Challan Master'!$D$4:$D$207,MATCH($B194,'Challan Master'!$S$4:$S$207,0)),""),"dd-mm-yyyy")&amp;" | Minor Head "&amp;IFERROR(INDEX('Challan Master'!$E$4:$E$207,MATCH($B194,'Challan Master'!$S$4:$S$207,0)),"")&amp;" | Tax ₹"&amp;TEXT(IFERROR(INDEX('Challan Master'!$G$4:$G$207,MATCH($B194,'Challan Master'!$S$4:$S$207,0)),""),"#,##0")&amp;" | Section "&amp;IFERROR(INDEX('Challan Master'!$F$4:$F$207,MATCH($B194,'Challan Master'!$S$4:$S$207,0)),""))</f>
      </c>
      <c r="D194" s="8"/>
      <c r="E194" s="8"/>
      <c r="F194" s="7">
        <f>IF($D194="","",IF(AND(LEN(TRIM(UPPER(E194)))=10,CODE(MID(TRIM(UPPER(E194)),1,1))&gt;=65,CODE(MID(TRIM(UPPER(E194)),1,1))&lt;=90,CODE(MID(TRIM(UPPER(E194)),2,1))&gt;=65,CODE(MID(TRIM(UPPER(E194)),2,1))&lt;=90,CODE(MID(TRIM(UPPER(E194)),3,1))&gt;=65,CODE(MID(TRIM(UPPER(E194)),3,1))&lt;=90,CODE(MID(TRIM(UPPER(E194)),4,1))&gt;=65,CODE(MID(TRIM(UPPER(E194)),4,1))&lt;=90,CODE(MID(TRIM(UPPER(E194)),5,1))&gt;=65,CODE(MID(TRIM(UPPER(E194)),5,1))&lt;=90,CODE(MID(TRIM(UPPER(E194)),10,1))&gt;=65,CODE(MID(TRIM(UPPER(E194)),10,1))&lt;=90,CODE(MID(TRIM(UPPER(E194)),6,1))&gt;=48,CODE(MID(TRIM(UPPER(E194)),6,1))&lt;=57,CODE(MID(TRIM(UPPER(E194)),7,1))&gt;=48,CODE(MID(TRIM(UPPER(E194)),7,1))&lt;=57,CODE(MID(TRIM(UPPER(E194)),8,1))&gt;=48,CODE(MID(TRIM(UPPER(E194)),8,1))&lt;=57,CODE(MID(TRIM(UPPER(E194)),9,1))&gt;=48,CODE(MID(TRIM(UPPER(E194)),9,1))&lt;=57),"N","Y"))</f>
      </c>
      <c r="G194" s="7">
        <f>IF($D194="","",IF(LEN(E194)&lt;4,"",IF(UPPER(MID(E194,4,1))="P","Individual",IF(UPPER(MID(E194,4,1))="H","HUF",IF(UPPER(MID(E194,4,1))="C","Company",IF(UPPER(MID(E194,4,1))="F","Firm",IF(UPPER(MID(E194,4,1))="L","LLP",IF(UPPER(MID(E194,4,1))="T","Trust",IF(UPPER(MID(E194,4,1))="A","AOP","")))))))))</f>
      </c>
      <c r="H194" s="8"/>
      <c r="I194" s="7">
        <f>IF($D194="","",IF(H194="","",IF(F194="Y",SUMPRODUCT(('Rate Lookup'!$A$1:$A$37=H194)*'Rate Lookup'!$D$1:$D$37),IF(OR(G194="Individual",G194="HUF"),SUMPRODUCT(('Rate Lookup'!$A$1:$A$37=H194)*'Rate Lookup'!$B$1:$B$37),SUMPRODUCT(('Rate Lookup'!$A$1:$A$37=H194)*'Rate Lookup'!$C$1:$C$37)))))</f>
      </c>
      <c r="J194" s="8"/>
      <c r="K194" s="8"/>
      <c r="L194" s="7">
        <f>IF($D194="","",ROUND(K194*I194/100,0))</f>
      </c>
      <c r="M194" s="7">
        <f>IF($D194="","",0)</f>
      </c>
      <c r="N194" s="7">
        <f>IF($D194="","",0)</f>
      </c>
      <c r="O194" s="7">
        <f>IF($D194="","",IF(OR(L194=0,J194="",IFERROR(INDEX('Challan Master'!$D$4:$D$207,MATCH($B194,'Challan Master'!$S$4:$S$207,0)),"")="",IFERROR(INDEX('Challan Master'!$D$4:$D$207,MATCH($B194,'Challan Master'!$S$4:$S$207,0)),"")&lt;=0),0,IF(IFERROR(INDEX('Challan Master'!$D$4:$D$207,MATCH($B194,'Challan Master'!$S$4:$S$207,0)),"")&lt;=DATE(YEAR(J194),MONTH(J194)+1,7),0,ROUND(L194*0.015*((YEAR(IFERROR(INDEX('Challan Master'!$D$4:$D$207,MATCH($B194,'Challan Master'!$S$4:$S$207,0)),""))-YEAR(J194))*12+(MONTH(IFERROR(INDEX('Challan Master'!$D$4:$D$207,MATCH($B194,'Challan Master'!$S$4:$S$207,0)),""))-MONTH(J194))+1),0))))</f>
      </c>
      <c r="P194" s="7">
        <f>IF($D194="","",0)</f>
      </c>
      <c r="Q194" s="8"/>
      <c r="R194" s="8"/>
      <c r="S194" s="8"/>
      <c r="T194" s="8"/>
      <c r="U194" s="8"/>
      <c r="V194" s="7">
        <f>IF($B194="","",IFERROR(INDEX('Challan Master'!$AA$4:$AA$207,MATCH($B194,'Challan Master'!$S$4:$S$207,0)),""))</f>
      </c>
    </row>
    <row r="195" spans="1:22" x14ac:dyDescent="0.25">
      <c r="A195" s="7">
        <f>IF($D195="","",COUNTIF($D$4:$D195,"&lt;&gt;"))</f>
      </c>
      <c r="B195" s="8"/>
      <c r="C195" s="7">
        <f>IF($B195="","","BSR "&amp;IFERROR(INDEX('Challan Master'!$B$4:$B$207,MATCH($B195,'Challan Master'!$S$4:$S$207,0)),"")&amp;" | Serial "&amp;IFERROR(INDEX('Challan Master'!$C$4:$C$207,MATCH($B195,'Challan Master'!$S$4:$S$207,0)),"")&amp;" | Deposit "&amp;TEXT(IFERROR(INDEX('Challan Master'!$D$4:$D$207,MATCH($B195,'Challan Master'!$S$4:$S$207,0)),""),"dd-mm-yyyy")&amp;" | Minor Head "&amp;IFERROR(INDEX('Challan Master'!$E$4:$E$207,MATCH($B195,'Challan Master'!$S$4:$S$207,0)),"")&amp;" | Tax ₹"&amp;TEXT(IFERROR(INDEX('Challan Master'!$G$4:$G$207,MATCH($B195,'Challan Master'!$S$4:$S$207,0)),""),"#,##0")&amp;" | Section "&amp;IFERROR(INDEX('Challan Master'!$F$4:$F$207,MATCH($B195,'Challan Master'!$S$4:$S$207,0)),""))</f>
      </c>
      <c r="D195" s="8"/>
      <c r="E195" s="8"/>
      <c r="F195" s="7">
        <f>IF($D195="","",IF(AND(LEN(TRIM(UPPER(E195)))=10,CODE(MID(TRIM(UPPER(E195)),1,1))&gt;=65,CODE(MID(TRIM(UPPER(E195)),1,1))&lt;=90,CODE(MID(TRIM(UPPER(E195)),2,1))&gt;=65,CODE(MID(TRIM(UPPER(E195)),2,1))&lt;=90,CODE(MID(TRIM(UPPER(E195)),3,1))&gt;=65,CODE(MID(TRIM(UPPER(E195)),3,1))&lt;=90,CODE(MID(TRIM(UPPER(E195)),4,1))&gt;=65,CODE(MID(TRIM(UPPER(E195)),4,1))&lt;=90,CODE(MID(TRIM(UPPER(E195)),5,1))&gt;=65,CODE(MID(TRIM(UPPER(E195)),5,1))&lt;=90,CODE(MID(TRIM(UPPER(E195)),10,1))&gt;=65,CODE(MID(TRIM(UPPER(E195)),10,1))&lt;=90,CODE(MID(TRIM(UPPER(E195)),6,1))&gt;=48,CODE(MID(TRIM(UPPER(E195)),6,1))&lt;=57,CODE(MID(TRIM(UPPER(E195)),7,1))&gt;=48,CODE(MID(TRIM(UPPER(E195)),7,1))&lt;=57,CODE(MID(TRIM(UPPER(E195)),8,1))&gt;=48,CODE(MID(TRIM(UPPER(E195)),8,1))&lt;=57,CODE(MID(TRIM(UPPER(E195)),9,1))&gt;=48,CODE(MID(TRIM(UPPER(E195)),9,1))&lt;=57),"N","Y"))</f>
      </c>
      <c r="G195" s="7">
        <f>IF($D195="","",IF(LEN(E195)&lt;4,"",IF(UPPER(MID(E195,4,1))="P","Individual",IF(UPPER(MID(E195,4,1))="H","HUF",IF(UPPER(MID(E195,4,1))="C","Company",IF(UPPER(MID(E195,4,1))="F","Firm",IF(UPPER(MID(E195,4,1))="L","LLP",IF(UPPER(MID(E195,4,1))="T","Trust",IF(UPPER(MID(E195,4,1))="A","AOP","")))))))))</f>
      </c>
      <c r="H195" s="8"/>
      <c r="I195" s="7">
        <f>IF($D195="","",IF(H195="","",IF(F195="Y",SUMPRODUCT(('Rate Lookup'!$A$1:$A$37=H195)*'Rate Lookup'!$D$1:$D$37),IF(OR(G195="Individual",G195="HUF"),SUMPRODUCT(('Rate Lookup'!$A$1:$A$37=H195)*'Rate Lookup'!$B$1:$B$37),SUMPRODUCT(('Rate Lookup'!$A$1:$A$37=H195)*'Rate Lookup'!$C$1:$C$37)))))</f>
      </c>
      <c r="J195" s="8"/>
      <c r="K195" s="8"/>
      <c r="L195" s="7">
        <f>IF($D195="","",ROUND(K195*I195/100,0))</f>
      </c>
      <c r="M195" s="7">
        <f>IF($D195="","",0)</f>
      </c>
      <c r="N195" s="7">
        <f>IF($D195="","",0)</f>
      </c>
      <c r="O195" s="7">
        <f>IF($D195="","",IF(OR(L195=0,J195="",IFERROR(INDEX('Challan Master'!$D$4:$D$207,MATCH($B195,'Challan Master'!$S$4:$S$207,0)),"")="",IFERROR(INDEX('Challan Master'!$D$4:$D$207,MATCH($B195,'Challan Master'!$S$4:$S$207,0)),"")&lt;=0),0,IF(IFERROR(INDEX('Challan Master'!$D$4:$D$207,MATCH($B195,'Challan Master'!$S$4:$S$207,0)),"")&lt;=DATE(YEAR(J195),MONTH(J195)+1,7),0,ROUND(L195*0.015*((YEAR(IFERROR(INDEX('Challan Master'!$D$4:$D$207,MATCH($B195,'Challan Master'!$S$4:$S$207,0)),""))-YEAR(J195))*12+(MONTH(IFERROR(INDEX('Challan Master'!$D$4:$D$207,MATCH($B195,'Challan Master'!$S$4:$S$207,0)),""))-MONTH(J195))+1),0))))</f>
      </c>
      <c r="P195" s="7">
        <f>IF($D195="","",0)</f>
      </c>
      <c r="Q195" s="8"/>
      <c r="R195" s="8"/>
      <c r="S195" s="8"/>
      <c r="T195" s="8"/>
      <c r="U195" s="8"/>
      <c r="V195" s="7">
        <f>IF($B195="","",IFERROR(INDEX('Challan Master'!$AA$4:$AA$207,MATCH($B195,'Challan Master'!$S$4:$S$207,0)),""))</f>
      </c>
    </row>
    <row r="196" spans="1:22" x14ac:dyDescent="0.25">
      <c r="A196" s="7">
        <f>IF($D196="","",COUNTIF($D$4:$D196,"&lt;&gt;"))</f>
      </c>
      <c r="B196" s="8"/>
      <c r="C196" s="7">
        <f>IF($B196="","","BSR "&amp;IFERROR(INDEX('Challan Master'!$B$4:$B$207,MATCH($B196,'Challan Master'!$S$4:$S$207,0)),"")&amp;" | Serial "&amp;IFERROR(INDEX('Challan Master'!$C$4:$C$207,MATCH($B196,'Challan Master'!$S$4:$S$207,0)),"")&amp;" | Deposit "&amp;TEXT(IFERROR(INDEX('Challan Master'!$D$4:$D$207,MATCH($B196,'Challan Master'!$S$4:$S$207,0)),""),"dd-mm-yyyy")&amp;" | Minor Head "&amp;IFERROR(INDEX('Challan Master'!$E$4:$E$207,MATCH($B196,'Challan Master'!$S$4:$S$207,0)),"")&amp;" | Tax ₹"&amp;TEXT(IFERROR(INDEX('Challan Master'!$G$4:$G$207,MATCH($B196,'Challan Master'!$S$4:$S$207,0)),""),"#,##0")&amp;" | Section "&amp;IFERROR(INDEX('Challan Master'!$F$4:$F$207,MATCH($B196,'Challan Master'!$S$4:$S$207,0)),""))</f>
      </c>
      <c r="D196" s="8"/>
      <c r="E196" s="8"/>
      <c r="F196" s="7">
        <f>IF($D196="","",IF(AND(LEN(TRIM(UPPER(E196)))=10,CODE(MID(TRIM(UPPER(E196)),1,1))&gt;=65,CODE(MID(TRIM(UPPER(E196)),1,1))&lt;=90,CODE(MID(TRIM(UPPER(E196)),2,1))&gt;=65,CODE(MID(TRIM(UPPER(E196)),2,1))&lt;=90,CODE(MID(TRIM(UPPER(E196)),3,1))&gt;=65,CODE(MID(TRIM(UPPER(E196)),3,1))&lt;=90,CODE(MID(TRIM(UPPER(E196)),4,1))&gt;=65,CODE(MID(TRIM(UPPER(E196)),4,1))&lt;=90,CODE(MID(TRIM(UPPER(E196)),5,1))&gt;=65,CODE(MID(TRIM(UPPER(E196)),5,1))&lt;=90,CODE(MID(TRIM(UPPER(E196)),10,1))&gt;=65,CODE(MID(TRIM(UPPER(E196)),10,1))&lt;=90,CODE(MID(TRIM(UPPER(E196)),6,1))&gt;=48,CODE(MID(TRIM(UPPER(E196)),6,1))&lt;=57,CODE(MID(TRIM(UPPER(E196)),7,1))&gt;=48,CODE(MID(TRIM(UPPER(E196)),7,1))&lt;=57,CODE(MID(TRIM(UPPER(E196)),8,1))&gt;=48,CODE(MID(TRIM(UPPER(E196)),8,1))&lt;=57,CODE(MID(TRIM(UPPER(E196)),9,1))&gt;=48,CODE(MID(TRIM(UPPER(E196)),9,1))&lt;=57),"N","Y"))</f>
      </c>
      <c r="G196" s="7">
        <f>IF($D196="","",IF(LEN(E196)&lt;4,"",IF(UPPER(MID(E196,4,1))="P","Individual",IF(UPPER(MID(E196,4,1))="H","HUF",IF(UPPER(MID(E196,4,1))="C","Company",IF(UPPER(MID(E196,4,1))="F","Firm",IF(UPPER(MID(E196,4,1))="L","LLP",IF(UPPER(MID(E196,4,1))="T","Trust",IF(UPPER(MID(E196,4,1))="A","AOP","")))))))))</f>
      </c>
      <c r="H196" s="8"/>
      <c r="I196" s="7">
        <f>IF($D196="","",IF(H196="","",IF(F196="Y",SUMPRODUCT(('Rate Lookup'!$A$1:$A$37=H196)*'Rate Lookup'!$D$1:$D$37),IF(OR(G196="Individual",G196="HUF"),SUMPRODUCT(('Rate Lookup'!$A$1:$A$37=H196)*'Rate Lookup'!$B$1:$B$37),SUMPRODUCT(('Rate Lookup'!$A$1:$A$37=H196)*'Rate Lookup'!$C$1:$C$37)))))</f>
      </c>
      <c r="J196" s="8"/>
      <c r="K196" s="8"/>
      <c r="L196" s="7">
        <f>IF($D196="","",ROUND(K196*I196/100,0))</f>
      </c>
      <c r="M196" s="7">
        <f>IF($D196="","",0)</f>
      </c>
      <c r="N196" s="7">
        <f>IF($D196="","",0)</f>
      </c>
      <c r="O196" s="7">
        <f>IF($D196="","",IF(OR(L196=0,J196="",IFERROR(INDEX('Challan Master'!$D$4:$D$207,MATCH($B196,'Challan Master'!$S$4:$S$207,0)),"")="",IFERROR(INDEX('Challan Master'!$D$4:$D$207,MATCH($B196,'Challan Master'!$S$4:$S$207,0)),"")&lt;=0),0,IF(IFERROR(INDEX('Challan Master'!$D$4:$D$207,MATCH($B196,'Challan Master'!$S$4:$S$207,0)),"")&lt;=DATE(YEAR(J196),MONTH(J196)+1,7),0,ROUND(L196*0.015*((YEAR(IFERROR(INDEX('Challan Master'!$D$4:$D$207,MATCH($B196,'Challan Master'!$S$4:$S$207,0)),""))-YEAR(J196))*12+(MONTH(IFERROR(INDEX('Challan Master'!$D$4:$D$207,MATCH($B196,'Challan Master'!$S$4:$S$207,0)),""))-MONTH(J196))+1),0))))</f>
      </c>
      <c r="P196" s="7">
        <f>IF($D196="","",0)</f>
      </c>
      <c r="Q196" s="8"/>
      <c r="R196" s="8"/>
      <c r="S196" s="8"/>
      <c r="T196" s="8"/>
      <c r="U196" s="8"/>
      <c r="V196" s="7">
        <f>IF($B196="","",IFERROR(INDEX('Challan Master'!$AA$4:$AA$207,MATCH($B196,'Challan Master'!$S$4:$S$207,0)),""))</f>
      </c>
    </row>
    <row r="197" spans="1:22" x14ac:dyDescent="0.25">
      <c r="A197" s="7">
        <f>IF($D197="","",COUNTIF($D$4:$D197,"&lt;&gt;"))</f>
      </c>
      <c r="B197" s="8"/>
      <c r="C197" s="7">
        <f>IF($B197="","","BSR "&amp;IFERROR(INDEX('Challan Master'!$B$4:$B$207,MATCH($B197,'Challan Master'!$S$4:$S$207,0)),"")&amp;" | Serial "&amp;IFERROR(INDEX('Challan Master'!$C$4:$C$207,MATCH($B197,'Challan Master'!$S$4:$S$207,0)),"")&amp;" | Deposit "&amp;TEXT(IFERROR(INDEX('Challan Master'!$D$4:$D$207,MATCH($B197,'Challan Master'!$S$4:$S$207,0)),""),"dd-mm-yyyy")&amp;" | Minor Head "&amp;IFERROR(INDEX('Challan Master'!$E$4:$E$207,MATCH($B197,'Challan Master'!$S$4:$S$207,0)),"")&amp;" | Tax ₹"&amp;TEXT(IFERROR(INDEX('Challan Master'!$G$4:$G$207,MATCH($B197,'Challan Master'!$S$4:$S$207,0)),""),"#,##0")&amp;" | Section "&amp;IFERROR(INDEX('Challan Master'!$F$4:$F$207,MATCH($B197,'Challan Master'!$S$4:$S$207,0)),""))</f>
      </c>
      <c r="D197" s="8"/>
      <c r="E197" s="8"/>
      <c r="F197" s="7">
        <f>IF($D197="","",IF(AND(LEN(TRIM(UPPER(E197)))=10,CODE(MID(TRIM(UPPER(E197)),1,1))&gt;=65,CODE(MID(TRIM(UPPER(E197)),1,1))&lt;=90,CODE(MID(TRIM(UPPER(E197)),2,1))&gt;=65,CODE(MID(TRIM(UPPER(E197)),2,1))&lt;=90,CODE(MID(TRIM(UPPER(E197)),3,1))&gt;=65,CODE(MID(TRIM(UPPER(E197)),3,1))&lt;=90,CODE(MID(TRIM(UPPER(E197)),4,1))&gt;=65,CODE(MID(TRIM(UPPER(E197)),4,1))&lt;=90,CODE(MID(TRIM(UPPER(E197)),5,1))&gt;=65,CODE(MID(TRIM(UPPER(E197)),5,1))&lt;=90,CODE(MID(TRIM(UPPER(E197)),10,1))&gt;=65,CODE(MID(TRIM(UPPER(E197)),10,1))&lt;=90,CODE(MID(TRIM(UPPER(E197)),6,1))&gt;=48,CODE(MID(TRIM(UPPER(E197)),6,1))&lt;=57,CODE(MID(TRIM(UPPER(E197)),7,1))&gt;=48,CODE(MID(TRIM(UPPER(E197)),7,1))&lt;=57,CODE(MID(TRIM(UPPER(E197)),8,1))&gt;=48,CODE(MID(TRIM(UPPER(E197)),8,1))&lt;=57,CODE(MID(TRIM(UPPER(E197)),9,1))&gt;=48,CODE(MID(TRIM(UPPER(E197)),9,1))&lt;=57),"N","Y"))</f>
      </c>
      <c r="G197" s="7">
        <f>IF($D197="","",IF(LEN(E197)&lt;4,"",IF(UPPER(MID(E197,4,1))="P","Individual",IF(UPPER(MID(E197,4,1))="H","HUF",IF(UPPER(MID(E197,4,1))="C","Company",IF(UPPER(MID(E197,4,1))="F","Firm",IF(UPPER(MID(E197,4,1))="L","LLP",IF(UPPER(MID(E197,4,1))="T","Trust",IF(UPPER(MID(E197,4,1))="A","AOP","")))))))))</f>
      </c>
      <c r="H197" s="8"/>
      <c r="I197" s="7">
        <f>IF($D197="","",IF(H197="","",IF(F197="Y",SUMPRODUCT(('Rate Lookup'!$A$1:$A$37=H197)*'Rate Lookup'!$D$1:$D$37),IF(OR(G197="Individual",G197="HUF"),SUMPRODUCT(('Rate Lookup'!$A$1:$A$37=H197)*'Rate Lookup'!$B$1:$B$37),SUMPRODUCT(('Rate Lookup'!$A$1:$A$37=H197)*'Rate Lookup'!$C$1:$C$37)))))</f>
      </c>
      <c r="J197" s="8"/>
      <c r="K197" s="8"/>
      <c r="L197" s="7">
        <f>IF($D197="","",ROUND(K197*I197/100,0))</f>
      </c>
      <c r="M197" s="7">
        <f>IF($D197="","",0)</f>
      </c>
      <c r="N197" s="7">
        <f>IF($D197="","",0)</f>
      </c>
      <c r="O197" s="7">
        <f>IF($D197="","",IF(OR(L197=0,J197="",IFERROR(INDEX('Challan Master'!$D$4:$D$207,MATCH($B197,'Challan Master'!$S$4:$S$207,0)),"")="",IFERROR(INDEX('Challan Master'!$D$4:$D$207,MATCH($B197,'Challan Master'!$S$4:$S$207,0)),"")&lt;=0),0,IF(IFERROR(INDEX('Challan Master'!$D$4:$D$207,MATCH($B197,'Challan Master'!$S$4:$S$207,0)),"")&lt;=DATE(YEAR(J197),MONTH(J197)+1,7),0,ROUND(L197*0.015*((YEAR(IFERROR(INDEX('Challan Master'!$D$4:$D$207,MATCH($B197,'Challan Master'!$S$4:$S$207,0)),""))-YEAR(J197))*12+(MONTH(IFERROR(INDEX('Challan Master'!$D$4:$D$207,MATCH($B197,'Challan Master'!$S$4:$S$207,0)),""))-MONTH(J197))+1),0))))</f>
      </c>
      <c r="P197" s="7">
        <f>IF($D197="","",0)</f>
      </c>
      <c r="Q197" s="8"/>
      <c r="R197" s="8"/>
      <c r="S197" s="8"/>
      <c r="T197" s="8"/>
      <c r="U197" s="8"/>
      <c r="V197" s="7">
        <f>IF($B197="","",IFERROR(INDEX('Challan Master'!$AA$4:$AA$207,MATCH($B197,'Challan Master'!$S$4:$S$207,0)),""))</f>
      </c>
    </row>
    <row r="198" spans="1:22" x14ac:dyDescent="0.25">
      <c r="A198" s="7">
        <f>IF($D198="","",COUNTIF($D$4:$D198,"&lt;&gt;"))</f>
      </c>
      <c r="B198" s="8"/>
      <c r="C198" s="7">
        <f>IF($B198="","","BSR "&amp;IFERROR(INDEX('Challan Master'!$B$4:$B$207,MATCH($B198,'Challan Master'!$S$4:$S$207,0)),"")&amp;" | Serial "&amp;IFERROR(INDEX('Challan Master'!$C$4:$C$207,MATCH($B198,'Challan Master'!$S$4:$S$207,0)),"")&amp;" | Deposit "&amp;TEXT(IFERROR(INDEX('Challan Master'!$D$4:$D$207,MATCH($B198,'Challan Master'!$S$4:$S$207,0)),""),"dd-mm-yyyy")&amp;" | Minor Head "&amp;IFERROR(INDEX('Challan Master'!$E$4:$E$207,MATCH($B198,'Challan Master'!$S$4:$S$207,0)),"")&amp;" | Tax ₹"&amp;TEXT(IFERROR(INDEX('Challan Master'!$G$4:$G$207,MATCH($B198,'Challan Master'!$S$4:$S$207,0)),""),"#,##0")&amp;" | Section "&amp;IFERROR(INDEX('Challan Master'!$F$4:$F$207,MATCH($B198,'Challan Master'!$S$4:$S$207,0)),""))</f>
      </c>
      <c r="D198" s="8"/>
      <c r="E198" s="8"/>
      <c r="F198" s="7">
        <f>IF($D198="","",IF(AND(LEN(TRIM(UPPER(E198)))=10,CODE(MID(TRIM(UPPER(E198)),1,1))&gt;=65,CODE(MID(TRIM(UPPER(E198)),1,1))&lt;=90,CODE(MID(TRIM(UPPER(E198)),2,1))&gt;=65,CODE(MID(TRIM(UPPER(E198)),2,1))&lt;=90,CODE(MID(TRIM(UPPER(E198)),3,1))&gt;=65,CODE(MID(TRIM(UPPER(E198)),3,1))&lt;=90,CODE(MID(TRIM(UPPER(E198)),4,1))&gt;=65,CODE(MID(TRIM(UPPER(E198)),4,1))&lt;=90,CODE(MID(TRIM(UPPER(E198)),5,1))&gt;=65,CODE(MID(TRIM(UPPER(E198)),5,1))&lt;=90,CODE(MID(TRIM(UPPER(E198)),10,1))&gt;=65,CODE(MID(TRIM(UPPER(E198)),10,1))&lt;=90,CODE(MID(TRIM(UPPER(E198)),6,1))&gt;=48,CODE(MID(TRIM(UPPER(E198)),6,1))&lt;=57,CODE(MID(TRIM(UPPER(E198)),7,1))&gt;=48,CODE(MID(TRIM(UPPER(E198)),7,1))&lt;=57,CODE(MID(TRIM(UPPER(E198)),8,1))&gt;=48,CODE(MID(TRIM(UPPER(E198)),8,1))&lt;=57,CODE(MID(TRIM(UPPER(E198)),9,1))&gt;=48,CODE(MID(TRIM(UPPER(E198)),9,1))&lt;=57),"N","Y"))</f>
      </c>
      <c r="G198" s="7">
        <f>IF($D198="","",IF(LEN(E198)&lt;4,"",IF(UPPER(MID(E198,4,1))="P","Individual",IF(UPPER(MID(E198,4,1))="H","HUF",IF(UPPER(MID(E198,4,1))="C","Company",IF(UPPER(MID(E198,4,1))="F","Firm",IF(UPPER(MID(E198,4,1))="L","LLP",IF(UPPER(MID(E198,4,1))="T","Trust",IF(UPPER(MID(E198,4,1))="A","AOP","")))))))))</f>
      </c>
      <c r="H198" s="8"/>
      <c r="I198" s="7">
        <f>IF($D198="","",IF(H198="","",IF(F198="Y",SUMPRODUCT(('Rate Lookup'!$A$1:$A$37=H198)*'Rate Lookup'!$D$1:$D$37),IF(OR(G198="Individual",G198="HUF"),SUMPRODUCT(('Rate Lookup'!$A$1:$A$37=H198)*'Rate Lookup'!$B$1:$B$37),SUMPRODUCT(('Rate Lookup'!$A$1:$A$37=H198)*'Rate Lookup'!$C$1:$C$37)))))</f>
      </c>
      <c r="J198" s="8"/>
      <c r="K198" s="8"/>
      <c r="L198" s="7">
        <f>IF($D198="","",ROUND(K198*I198/100,0))</f>
      </c>
      <c r="M198" s="7">
        <f>IF($D198="","",0)</f>
      </c>
      <c r="N198" s="7">
        <f>IF($D198="","",0)</f>
      </c>
      <c r="O198" s="7">
        <f>IF($D198="","",IF(OR(L198=0,J198="",IFERROR(INDEX('Challan Master'!$D$4:$D$207,MATCH($B198,'Challan Master'!$S$4:$S$207,0)),"")="",IFERROR(INDEX('Challan Master'!$D$4:$D$207,MATCH($B198,'Challan Master'!$S$4:$S$207,0)),"")&lt;=0),0,IF(IFERROR(INDEX('Challan Master'!$D$4:$D$207,MATCH($B198,'Challan Master'!$S$4:$S$207,0)),"")&lt;=DATE(YEAR(J198),MONTH(J198)+1,7),0,ROUND(L198*0.015*((YEAR(IFERROR(INDEX('Challan Master'!$D$4:$D$207,MATCH($B198,'Challan Master'!$S$4:$S$207,0)),""))-YEAR(J198))*12+(MONTH(IFERROR(INDEX('Challan Master'!$D$4:$D$207,MATCH($B198,'Challan Master'!$S$4:$S$207,0)),""))-MONTH(J198))+1),0))))</f>
      </c>
      <c r="P198" s="7">
        <f>IF($D198="","",0)</f>
      </c>
      <c r="Q198" s="8"/>
      <c r="R198" s="8"/>
      <c r="S198" s="8"/>
      <c r="T198" s="8"/>
      <c r="U198" s="8"/>
      <c r="V198" s="7">
        <f>IF($B198="","",IFERROR(INDEX('Challan Master'!$AA$4:$AA$207,MATCH($B198,'Challan Master'!$S$4:$S$207,0)),""))</f>
      </c>
    </row>
    <row r="199" spans="1:22" x14ac:dyDescent="0.25">
      <c r="A199" s="7">
        <f>IF($D199="","",COUNTIF($D$4:$D199,"&lt;&gt;"))</f>
      </c>
      <c r="B199" s="8"/>
      <c r="C199" s="7">
        <f>IF($B199="","","BSR "&amp;IFERROR(INDEX('Challan Master'!$B$4:$B$207,MATCH($B199,'Challan Master'!$S$4:$S$207,0)),"")&amp;" | Serial "&amp;IFERROR(INDEX('Challan Master'!$C$4:$C$207,MATCH($B199,'Challan Master'!$S$4:$S$207,0)),"")&amp;" | Deposit "&amp;TEXT(IFERROR(INDEX('Challan Master'!$D$4:$D$207,MATCH($B199,'Challan Master'!$S$4:$S$207,0)),""),"dd-mm-yyyy")&amp;" | Minor Head "&amp;IFERROR(INDEX('Challan Master'!$E$4:$E$207,MATCH($B199,'Challan Master'!$S$4:$S$207,0)),"")&amp;" | Tax ₹"&amp;TEXT(IFERROR(INDEX('Challan Master'!$G$4:$G$207,MATCH($B199,'Challan Master'!$S$4:$S$207,0)),""),"#,##0")&amp;" | Section "&amp;IFERROR(INDEX('Challan Master'!$F$4:$F$207,MATCH($B199,'Challan Master'!$S$4:$S$207,0)),""))</f>
      </c>
      <c r="D199" s="8"/>
      <c r="E199" s="8"/>
      <c r="F199" s="7">
        <f>IF($D199="","",IF(AND(LEN(TRIM(UPPER(E199)))=10,CODE(MID(TRIM(UPPER(E199)),1,1))&gt;=65,CODE(MID(TRIM(UPPER(E199)),1,1))&lt;=90,CODE(MID(TRIM(UPPER(E199)),2,1))&gt;=65,CODE(MID(TRIM(UPPER(E199)),2,1))&lt;=90,CODE(MID(TRIM(UPPER(E199)),3,1))&gt;=65,CODE(MID(TRIM(UPPER(E199)),3,1))&lt;=90,CODE(MID(TRIM(UPPER(E199)),4,1))&gt;=65,CODE(MID(TRIM(UPPER(E199)),4,1))&lt;=90,CODE(MID(TRIM(UPPER(E199)),5,1))&gt;=65,CODE(MID(TRIM(UPPER(E199)),5,1))&lt;=90,CODE(MID(TRIM(UPPER(E199)),10,1))&gt;=65,CODE(MID(TRIM(UPPER(E199)),10,1))&lt;=90,CODE(MID(TRIM(UPPER(E199)),6,1))&gt;=48,CODE(MID(TRIM(UPPER(E199)),6,1))&lt;=57,CODE(MID(TRIM(UPPER(E199)),7,1))&gt;=48,CODE(MID(TRIM(UPPER(E199)),7,1))&lt;=57,CODE(MID(TRIM(UPPER(E199)),8,1))&gt;=48,CODE(MID(TRIM(UPPER(E199)),8,1))&lt;=57,CODE(MID(TRIM(UPPER(E199)),9,1))&gt;=48,CODE(MID(TRIM(UPPER(E199)),9,1))&lt;=57),"N","Y"))</f>
      </c>
      <c r="G199" s="7">
        <f>IF($D199="","",IF(LEN(E199)&lt;4,"",IF(UPPER(MID(E199,4,1))="P","Individual",IF(UPPER(MID(E199,4,1))="H","HUF",IF(UPPER(MID(E199,4,1))="C","Company",IF(UPPER(MID(E199,4,1))="F","Firm",IF(UPPER(MID(E199,4,1))="L","LLP",IF(UPPER(MID(E199,4,1))="T","Trust",IF(UPPER(MID(E199,4,1))="A","AOP","")))))))))</f>
      </c>
      <c r="H199" s="8"/>
      <c r="I199" s="7">
        <f>IF($D199="","",IF(H199="","",IF(F199="Y",SUMPRODUCT(('Rate Lookup'!$A$1:$A$37=H199)*'Rate Lookup'!$D$1:$D$37),IF(OR(G199="Individual",G199="HUF"),SUMPRODUCT(('Rate Lookup'!$A$1:$A$37=H199)*'Rate Lookup'!$B$1:$B$37),SUMPRODUCT(('Rate Lookup'!$A$1:$A$37=H199)*'Rate Lookup'!$C$1:$C$37)))))</f>
      </c>
      <c r="J199" s="8"/>
      <c r="K199" s="8"/>
      <c r="L199" s="7">
        <f>IF($D199="","",ROUND(K199*I199/100,0))</f>
      </c>
      <c r="M199" s="7">
        <f>IF($D199="","",0)</f>
      </c>
      <c r="N199" s="7">
        <f>IF($D199="","",0)</f>
      </c>
      <c r="O199" s="7">
        <f>IF($D199="","",IF(OR(L199=0,J199="",IFERROR(INDEX('Challan Master'!$D$4:$D$207,MATCH($B199,'Challan Master'!$S$4:$S$207,0)),"")="",IFERROR(INDEX('Challan Master'!$D$4:$D$207,MATCH($B199,'Challan Master'!$S$4:$S$207,0)),"")&lt;=0),0,IF(IFERROR(INDEX('Challan Master'!$D$4:$D$207,MATCH($B199,'Challan Master'!$S$4:$S$207,0)),"")&lt;=DATE(YEAR(J199),MONTH(J199)+1,7),0,ROUND(L199*0.015*((YEAR(IFERROR(INDEX('Challan Master'!$D$4:$D$207,MATCH($B199,'Challan Master'!$S$4:$S$207,0)),""))-YEAR(J199))*12+(MONTH(IFERROR(INDEX('Challan Master'!$D$4:$D$207,MATCH($B199,'Challan Master'!$S$4:$S$207,0)),""))-MONTH(J199))+1),0))))</f>
      </c>
      <c r="P199" s="7">
        <f>IF($D199="","",0)</f>
      </c>
      <c r="Q199" s="8"/>
      <c r="R199" s="8"/>
      <c r="S199" s="8"/>
      <c r="T199" s="8"/>
      <c r="U199" s="8"/>
      <c r="V199" s="7">
        <f>IF($B199="","",IFERROR(INDEX('Challan Master'!$AA$4:$AA$207,MATCH($B199,'Challan Master'!$S$4:$S$207,0)),""))</f>
      </c>
    </row>
    <row r="200" spans="1:22" x14ac:dyDescent="0.25">
      <c r="A200" s="7">
        <f>IF($D200="","",COUNTIF($D$4:$D200,"&lt;&gt;"))</f>
      </c>
      <c r="B200" s="8"/>
      <c r="C200" s="7">
        <f>IF($B200="","","BSR "&amp;IFERROR(INDEX('Challan Master'!$B$4:$B$207,MATCH($B200,'Challan Master'!$S$4:$S$207,0)),"")&amp;" | Serial "&amp;IFERROR(INDEX('Challan Master'!$C$4:$C$207,MATCH($B200,'Challan Master'!$S$4:$S$207,0)),"")&amp;" | Deposit "&amp;TEXT(IFERROR(INDEX('Challan Master'!$D$4:$D$207,MATCH($B200,'Challan Master'!$S$4:$S$207,0)),""),"dd-mm-yyyy")&amp;" | Minor Head "&amp;IFERROR(INDEX('Challan Master'!$E$4:$E$207,MATCH($B200,'Challan Master'!$S$4:$S$207,0)),"")&amp;" | Tax ₹"&amp;TEXT(IFERROR(INDEX('Challan Master'!$G$4:$G$207,MATCH($B200,'Challan Master'!$S$4:$S$207,0)),""),"#,##0")&amp;" | Section "&amp;IFERROR(INDEX('Challan Master'!$F$4:$F$207,MATCH($B200,'Challan Master'!$S$4:$S$207,0)),""))</f>
      </c>
      <c r="D200" s="8"/>
      <c r="E200" s="8"/>
      <c r="F200" s="7">
        <f>IF($D200="","",IF(AND(LEN(TRIM(UPPER(E200)))=10,CODE(MID(TRIM(UPPER(E200)),1,1))&gt;=65,CODE(MID(TRIM(UPPER(E200)),1,1))&lt;=90,CODE(MID(TRIM(UPPER(E200)),2,1))&gt;=65,CODE(MID(TRIM(UPPER(E200)),2,1))&lt;=90,CODE(MID(TRIM(UPPER(E200)),3,1))&gt;=65,CODE(MID(TRIM(UPPER(E200)),3,1))&lt;=90,CODE(MID(TRIM(UPPER(E200)),4,1))&gt;=65,CODE(MID(TRIM(UPPER(E200)),4,1))&lt;=90,CODE(MID(TRIM(UPPER(E200)),5,1))&gt;=65,CODE(MID(TRIM(UPPER(E200)),5,1))&lt;=90,CODE(MID(TRIM(UPPER(E200)),10,1))&gt;=65,CODE(MID(TRIM(UPPER(E200)),10,1))&lt;=90,CODE(MID(TRIM(UPPER(E200)),6,1))&gt;=48,CODE(MID(TRIM(UPPER(E200)),6,1))&lt;=57,CODE(MID(TRIM(UPPER(E200)),7,1))&gt;=48,CODE(MID(TRIM(UPPER(E200)),7,1))&lt;=57,CODE(MID(TRIM(UPPER(E200)),8,1))&gt;=48,CODE(MID(TRIM(UPPER(E200)),8,1))&lt;=57,CODE(MID(TRIM(UPPER(E200)),9,1))&gt;=48,CODE(MID(TRIM(UPPER(E200)),9,1))&lt;=57),"N","Y"))</f>
      </c>
      <c r="G200" s="7">
        <f>IF($D200="","",IF(LEN(E200)&lt;4,"",IF(UPPER(MID(E200,4,1))="P","Individual",IF(UPPER(MID(E200,4,1))="H","HUF",IF(UPPER(MID(E200,4,1))="C","Company",IF(UPPER(MID(E200,4,1))="F","Firm",IF(UPPER(MID(E200,4,1))="L","LLP",IF(UPPER(MID(E200,4,1))="T","Trust",IF(UPPER(MID(E200,4,1))="A","AOP","")))))))))</f>
      </c>
      <c r="H200" s="8"/>
      <c r="I200" s="7">
        <f>IF($D200="","",IF(H200="","",IF(F200="Y",SUMPRODUCT(('Rate Lookup'!$A$1:$A$37=H200)*'Rate Lookup'!$D$1:$D$37),IF(OR(G200="Individual",G200="HUF"),SUMPRODUCT(('Rate Lookup'!$A$1:$A$37=H200)*'Rate Lookup'!$B$1:$B$37),SUMPRODUCT(('Rate Lookup'!$A$1:$A$37=H200)*'Rate Lookup'!$C$1:$C$37)))))</f>
      </c>
      <c r="J200" s="8"/>
      <c r="K200" s="8"/>
      <c r="L200" s="7">
        <f>IF($D200="","",ROUND(K200*I200/100,0))</f>
      </c>
      <c r="M200" s="7">
        <f>IF($D200="","",0)</f>
      </c>
      <c r="N200" s="7">
        <f>IF($D200="","",0)</f>
      </c>
      <c r="O200" s="7">
        <f>IF($D200="","",IF(OR(L200=0,J200="",IFERROR(INDEX('Challan Master'!$D$4:$D$207,MATCH($B200,'Challan Master'!$S$4:$S$207,0)),"")="",IFERROR(INDEX('Challan Master'!$D$4:$D$207,MATCH($B200,'Challan Master'!$S$4:$S$207,0)),"")&lt;=0),0,IF(IFERROR(INDEX('Challan Master'!$D$4:$D$207,MATCH($B200,'Challan Master'!$S$4:$S$207,0)),"")&lt;=DATE(YEAR(J200),MONTH(J200)+1,7),0,ROUND(L200*0.015*((YEAR(IFERROR(INDEX('Challan Master'!$D$4:$D$207,MATCH($B200,'Challan Master'!$S$4:$S$207,0)),""))-YEAR(J200))*12+(MONTH(IFERROR(INDEX('Challan Master'!$D$4:$D$207,MATCH($B200,'Challan Master'!$S$4:$S$207,0)),""))-MONTH(J200))+1),0))))</f>
      </c>
      <c r="P200" s="7">
        <f>IF($D200="","",0)</f>
      </c>
      <c r="Q200" s="8"/>
      <c r="R200" s="8"/>
      <c r="S200" s="8"/>
      <c r="T200" s="8"/>
      <c r="U200" s="8"/>
      <c r="V200" s="7">
        <f>IF($B200="","",IFERROR(INDEX('Challan Master'!$AA$4:$AA$207,MATCH($B200,'Challan Master'!$S$4:$S$207,0)),""))</f>
      </c>
    </row>
    <row r="201" spans="1:22" x14ac:dyDescent="0.25">
      <c r="A201" s="7">
        <f>IF($D201="","",COUNTIF($D$4:$D201,"&lt;&gt;"))</f>
      </c>
      <c r="B201" s="8"/>
      <c r="C201" s="7">
        <f>IF($B201="","","BSR "&amp;IFERROR(INDEX('Challan Master'!$B$4:$B$207,MATCH($B201,'Challan Master'!$S$4:$S$207,0)),"")&amp;" | Serial "&amp;IFERROR(INDEX('Challan Master'!$C$4:$C$207,MATCH($B201,'Challan Master'!$S$4:$S$207,0)),"")&amp;" | Deposit "&amp;TEXT(IFERROR(INDEX('Challan Master'!$D$4:$D$207,MATCH($B201,'Challan Master'!$S$4:$S$207,0)),""),"dd-mm-yyyy")&amp;" | Minor Head "&amp;IFERROR(INDEX('Challan Master'!$E$4:$E$207,MATCH($B201,'Challan Master'!$S$4:$S$207,0)),"")&amp;" | Tax ₹"&amp;TEXT(IFERROR(INDEX('Challan Master'!$G$4:$G$207,MATCH($B201,'Challan Master'!$S$4:$S$207,0)),""),"#,##0")&amp;" | Section "&amp;IFERROR(INDEX('Challan Master'!$F$4:$F$207,MATCH($B201,'Challan Master'!$S$4:$S$207,0)),""))</f>
      </c>
      <c r="D201" s="8"/>
      <c r="E201" s="8"/>
      <c r="F201" s="7">
        <f>IF($D201="","",IF(AND(LEN(TRIM(UPPER(E201)))=10,CODE(MID(TRIM(UPPER(E201)),1,1))&gt;=65,CODE(MID(TRIM(UPPER(E201)),1,1))&lt;=90,CODE(MID(TRIM(UPPER(E201)),2,1))&gt;=65,CODE(MID(TRIM(UPPER(E201)),2,1))&lt;=90,CODE(MID(TRIM(UPPER(E201)),3,1))&gt;=65,CODE(MID(TRIM(UPPER(E201)),3,1))&lt;=90,CODE(MID(TRIM(UPPER(E201)),4,1))&gt;=65,CODE(MID(TRIM(UPPER(E201)),4,1))&lt;=90,CODE(MID(TRIM(UPPER(E201)),5,1))&gt;=65,CODE(MID(TRIM(UPPER(E201)),5,1))&lt;=90,CODE(MID(TRIM(UPPER(E201)),10,1))&gt;=65,CODE(MID(TRIM(UPPER(E201)),10,1))&lt;=90,CODE(MID(TRIM(UPPER(E201)),6,1))&gt;=48,CODE(MID(TRIM(UPPER(E201)),6,1))&lt;=57,CODE(MID(TRIM(UPPER(E201)),7,1))&gt;=48,CODE(MID(TRIM(UPPER(E201)),7,1))&lt;=57,CODE(MID(TRIM(UPPER(E201)),8,1))&gt;=48,CODE(MID(TRIM(UPPER(E201)),8,1))&lt;=57,CODE(MID(TRIM(UPPER(E201)),9,1))&gt;=48,CODE(MID(TRIM(UPPER(E201)),9,1))&lt;=57),"N","Y"))</f>
      </c>
      <c r="G201" s="7">
        <f>IF($D201="","",IF(LEN(E201)&lt;4,"",IF(UPPER(MID(E201,4,1))="P","Individual",IF(UPPER(MID(E201,4,1))="H","HUF",IF(UPPER(MID(E201,4,1))="C","Company",IF(UPPER(MID(E201,4,1))="F","Firm",IF(UPPER(MID(E201,4,1))="L","LLP",IF(UPPER(MID(E201,4,1))="T","Trust",IF(UPPER(MID(E201,4,1))="A","AOP","")))))))))</f>
      </c>
      <c r="H201" s="8"/>
      <c r="I201" s="7">
        <f>IF($D201="","",IF(H201="","",IF(F201="Y",SUMPRODUCT(('Rate Lookup'!$A$1:$A$37=H201)*'Rate Lookup'!$D$1:$D$37),IF(OR(G201="Individual",G201="HUF"),SUMPRODUCT(('Rate Lookup'!$A$1:$A$37=H201)*'Rate Lookup'!$B$1:$B$37),SUMPRODUCT(('Rate Lookup'!$A$1:$A$37=H201)*'Rate Lookup'!$C$1:$C$37)))))</f>
      </c>
      <c r="J201" s="8"/>
      <c r="K201" s="8"/>
      <c r="L201" s="7">
        <f>IF($D201="","",ROUND(K201*I201/100,0))</f>
      </c>
      <c r="M201" s="7">
        <f>IF($D201="","",0)</f>
      </c>
      <c r="N201" s="7">
        <f>IF($D201="","",0)</f>
      </c>
      <c r="O201" s="7">
        <f>IF($D201="","",IF(OR(L201=0,J201="",IFERROR(INDEX('Challan Master'!$D$4:$D$207,MATCH($B201,'Challan Master'!$S$4:$S$207,0)),"")="",IFERROR(INDEX('Challan Master'!$D$4:$D$207,MATCH($B201,'Challan Master'!$S$4:$S$207,0)),"")&lt;=0),0,IF(IFERROR(INDEX('Challan Master'!$D$4:$D$207,MATCH($B201,'Challan Master'!$S$4:$S$207,0)),"")&lt;=DATE(YEAR(J201),MONTH(J201)+1,7),0,ROUND(L201*0.015*((YEAR(IFERROR(INDEX('Challan Master'!$D$4:$D$207,MATCH($B201,'Challan Master'!$S$4:$S$207,0)),""))-YEAR(J201))*12+(MONTH(IFERROR(INDEX('Challan Master'!$D$4:$D$207,MATCH($B201,'Challan Master'!$S$4:$S$207,0)),""))-MONTH(J201))+1),0))))</f>
      </c>
      <c r="P201" s="7">
        <f>IF($D201="","",0)</f>
      </c>
      <c r="Q201" s="8"/>
      <c r="R201" s="8"/>
      <c r="S201" s="8"/>
      <c r="T201" s="8"/>
      <c r="U201" s="8"/>
      <c r="V201" s="7">
        <f>IF($B201="","",IFERROR(INDEX('Challan Master'!$AA$4:$AA$207,MATCH($B201,'Challan Master'!$S$4:$S$207,0)),""))</f>
      </c>
    </row>
    <row r="202" spans="1:22" x14ac:dyDescent="0.25">
      <c r="A202" s="7">
        <f>IF($D202="","",COUNTIF($D$4:$D202,"&lt;&gt;"))</f>
      </c>
      <c r="B202" s="8"/>
      <c r="C202" s="7">
        <f>IF($B202="","","BSR "&amp;IFERROR(INDEX('Challan Master'!$B$4:$B$207,MATCH($B202,'Challan Master'!$S$4:$S$207,0)),"")&amp;" | Serial "&amp;IFERROR(INDEX('Challan Master'!$C$4:$C$207,MATCH($B202,'Challan Master'!$S$4:$S$207,0)),"")&amp;" | Deposit "&amp;TEXT(IFERROR(INDEX('Challan Master'!$D$4:$D$207,MATCH($B202,'Challan Master'!$S$4:$S$207,0)),""),"dd-mm-yyyy")&amp;" | Minor Head "&amp;IFERROR(INDEX('Challan Master'!$E$4:$E$207,MATCH($B202,'Challan Master'!$S$4:$S$207,0)),"")&amp;" | Tax ₹"&amp;TEXT(IFERROR(INDEX('Challan Master'!$G$4:$G$207,MATCH($B202,'Challan Master'!$S$4:$S$207,0)),""),"#,##0")&amp;" | Section "&amp;IFERROR(INDEX('Challan Master'!$F$4:$F$207,MATCH($B202,'Challan Master'!$S$4:$S$207,0)),""))</f>
      </c>
      <c r="D202" s="8"/>
      <c r="E202" s="8"/>
      <c r="F202" s="7">
        <f>IF($D202="","",IF(AND(LEN(TRIM(UPPER(E202)))=10,CODE(MID(TRIM(UPPER(E202)),1,1))&gt;=65,CODE(MID(TRIM(UPPER(E202)),1,1))&lt;=90,CODE(MID(TRIM(UPPER(E202)),2,1))&gt;=65,CODE(MID(TRIM(UPPER(E202)),2,1))&lt;=90,CODE(MID(TRIM(UPPER(E202)),3,1))&gt;=65,CODE(MID(TRIM(UPPER(E202)),3,1))&lt;=90,CODE(MID(TRIM(UPPER(E202)),4,1))&gt;=65,CODE(MID(TRIM(UPPER(E202)),4,1))&lt;=90,CODE(MID(TRIM(UPPER(E202)),5,1))&gt;=65,CODE(MID(TRIM(UPPER(E202)),5,1))&lt;=90,CODE(MID(TRIM(UPPER(E202)),10,1))&gt;=65,CODE(MID(TRIM(UPPER(E202)),10,1))&lt;=90,CODE(MID(TRIM(UPPER(E202)),6,1))&gt;=48,CODE(MID(TRIM(UPPER(E202)),6,1))&lt;=57,CODE(MID(TRIM(UPPER(E202)),7,1))&gt;=48,CODE(MID(TRIM(UPPER(E202)),7,1))&lt;=57,CODE(MID(TRIM(UPPER(E202)),8,1))&gt;=48,CODE(MID(TRIM(UPPER(E202)),8,1))&lt;=57,CODE(MID(TRIM(UPPER(E202)),9,1))&gt;=48,CODE(MID(TRIM(UPPER(E202)),9,1))&lt;=57),"N","Y"))</f>
      </c>
      <c r="G202" s="7">
        <f>IF($D202="","",IF(LEN(E202)&lt;4,"",IF(UPPER(MID(E202,4,1))="P","Individual",IF(UPPER(MID(E202,4,1))="H","HUF",IF(UPPER(MID(E202,4,1))="C","Company",IF(UPPER(MID(E202,4,1))="F","Firm",IF(UPPER(MID(E202,4,1))="L","LLP",IF(UPPER(MID(E202,4,1))="T","Trust",IF(UPPER(MID(E202,4,1))="A","AOP","")))))))))</f>
      </c>
      <c r="H202" s="8"/>
      <c r="I202" s="7">
        <f>IF($D202="","",IF(H202="","",IF(F202="Y",SUMPRODUCT(('Rate Lookup'!$A$1:$A$37=H202)*'Rate Lookup'!$D$1:$D$37),IF(OR(G202="Individual",G202="HUF"),SUMPRODUCT(('Rate Lookup'!$A$1:$A$37=H202)*'Rate Lookup'!$B$1:$B$37),SUMPRODUCT(('Rate Lookup'!$A$1:$A$37=H202)*'Rate Lookup'!$C$1:$C$37)))))</f>
      </c>
      <c r="J202" s="8"/>
      <c r="K202" s="8"/>
      <c r="L202" s="7">
        <f>IF($D202="","",ROUND(K202*I202/100,0))</f>
      </c>
      <c r="M202" s="7">
        <f>IF($D202="","",0)</f>
      </c>
      <c r="N202" s="7">
        <f>IF($D202="","",0)</f>
      </c>
      <c r="O202" s="7">
        <f>IF($D202="","",IF(OR(L202=0,J202="",IFERROR(INDEX('Challan Master'!$D$4:$D$207,MATCH($B202,'Challan Master'!$S$4:$S$207,0)),"")="",IFERROR(INDEX('Challan Master'!$D$4:$D$207,MATCH($B202,'Challan Master'!$S$4:$S$207,0)),"")&lt;=0),0,IF(IFERROR(INDEX('Challan Master'!$D$4:$D$207,MATCH($B202,'Challan Master'!$S$4:$S$207,0)),"")&lt;=DATE(YEAR(J202),MONTH(J202)+1,7),0,ROUND(L202*0.015*((YEAR(IFERROR(INDEX('Challan Master'!$D$4:$D$207,MATCH($B202,'Challan Master'!$S$4:$S$207,0)),""))-YEAR(J202))*12+(MONTH(IFERROR(INDEX('Challan Master'!$D$4:$D$207,MATCH($B202,'Challan Master'!$S$4:$S$207,0)),""))-MONTH(J202))+1),0))))</f>
      </c>
      <c r="P202" s="7">
        <f>IF($D202="","",0)</f>
      </c>
      <c r="Q202" s="8"/>
      <c r="R202" s="8"/>
      <c r="S202" s="8"/>
      <c r="T202" s="8"/>
      <c r="U202" s="8"/>
      <c r="V202" s="7">
        <f>IF($B202="","",IFERROR(INDEX('Challan Master'!$AA$4:$AA$207,MATCH($B202,'Challan Master'!$S$4:$S$207,0)),""))</f>
      </c>
    </row>
    <row r="203" spans="1:22" x14ac:dyDescent="0.25">
      <c r="A203" s="7">
        <f>IF($D203="","",COUNTIF($D$4:$D203,"&lt;&gt;"))</f>
      </c>
      <c r="B203" s="8"/>
      <c r="C203" s="7">
        <f>IF($B203="","","BSR "&amp;IFERROR(INDEX('Challan Master'!$B$4:$B$207,MATCH($B203,'Challan Master'!$S$4:$S$207,0)),"")&amp;" | Serial "&amp;IFERROR(INDEX('Challan Master'!$C$4:$C$207,MATCH($B203,'Challan Master'!$S$4:$S$207,0)),"")&amp;" | Deposit "&amp;TEXT(IFERROR(INDEX('Challan Master'!$D$4:$D$207,MATCH($B203,'Challan Master'!$S$4:$S$207,0)),""),"dd-mm-yyyy")&amp;" | Minor Head "&amp;IFERROR(INDEX('Challan Master'!$E$4:$E$207,MATCH($B203,'Challan Master'!$S$4:$S$207,0)),"")&amp;" | Tax ₹"&amp;TEXT(IFERROR(INDEX('Challan Master'!$G$4:$G$207,MATCH($B203,'Challan Master'!$S$4:$S$207,0)),""),"#,##0")&amp;" | Section "&amp;IFERROR(INDEX('Challan Master'!$F$4:$F$207,MATCH($B203,'Challan Master'!$S$4:$S$207,0)),""))</f>
      </c>
      <c r="D203" s="8"/>
      <c r="E203" s="8"/>
      <c r="F203" s="7">
        <f>IF($D203="","",IF(AND(LEN(TRIM(UPPER(E203)))=10,CODE(MID(TRIM(UPPER(E203)),1,1))&gt;=65,CODE(MID(TRIM(UPPER(E203)),1,1))&lt;=90,CODE(MID(TRIM(UPPER(E203)),2,1))&gt;=65,CODE(MID(TRIM(UPPER(E203)),2,1))&lt;=90,CODE(MID(TRIM(UPPER(E203)),3,1))&gt;=65,CODE(MID(TRIM(UPPER(E203)),3,1))&lt;=90,CODE(MID(TRIM(UPPER(E203)),4,1))&gt;=65,CODE(MID(TRIM(UPPER(E203)),4,1))&lt;=90,CODE(MID(TRIM(UPPER(E203)),5,1))&gt;=65,CODE(MID(TRIM(UPPER(E203)),5,1))&lt;=90,CODE(MID(TRIM(UPPER(E203)),10,1))&gt;=65,CODE(MID(TRIM(UPPER(E203)),10,1))&lt;=90,CODE(MID(TRIM(UPPER(E203)),6,1))&gt;=48,CODE(MID(TRIM(UPPER(E203)),6,1))&lt;=57,CODE(MID(TRIM(UPPER(E203)),7,1))&gt;=48,CODE(MID(TRIM(UPPER(E203)),7,1))&lt;=57,CODE(MID(TRIM(UPPER(E203)),8,1))&gt;=48,CODE(MID(TRIM(UPPER(E203)),8,1))&lt;=57,CODE(MID(TRIM(UPPER(E203)),9,1))&gt;=48,CODE(MID(TRIM(UPPER(E203)),9,1))&lt;=57),"N","Y"))</f>
      </c>
      <c r="G203" s="7">
        <f>IF($D203="","",IF(LEN(E203)&lt;4,"",IF(UPPER(MID(E203,4,1))="P","Individual",IF(UPPER(MID(E203,4,1))="H","HUF",IF(UPPER(MID(E203,4,1))="C","Company",IF(UPPER(MID(E203,4,1))="F","Firm",IF(UPPER(MID(E203,4,1))="L","LLP",IF(UPPER(MID(E203,4,1))="T","Trust",IF(UPPER(MID(E203,4,1))="A","AOP","")))))))))</f>
      </c>
      <c r="H203" s="8"/>
      <c r="I203" s="7">
        <f>IF($D203="","",IF(H203="","",IF(F203="Y",SUMPRODUCT(('Rate Lookup'!$A$1:$A$37=H203)*'Rate Lookup'!$D$1:$D$37),IF(OR(G203="Individual",G203="HUF"),SUMPRODUCT(('Rate Lookup'!$A$1:$A$37=H203)*'Rate Lookup'!$B$1:$B$37),SUMPRODUCT(('Rate Lookup'!$A$1:$A$37=H203)*'Rate Lookup'!$C$1:$C$37)))))</f>
      </c>
      <c r="J203" s="8"/>
      <c r="K203" s="8"/>
      <c r="L203" s="7">
        <f>IF($D203="","",ROUND(K203*I203/100,0))</f>
      </c>
      <c r="M203" s="7">
        <f>IF($D203="","",0)</f>
      </c>
      <c r="N203" s="7">
        <f>IF($D203="","",0)</f>
      </c>
      <c r="O203" s="7">
        <f>IF($D203="","",IF(OR(L203=0,J203="",IFERROR(INDEX('Challan Master'!$D$4:$D$207,MATCH($B203,'Challan Master'!$S$4:$S$207,0)),"")="",IFERROR(INDEX('Challan Master'!$D$4:$D$207,MATCH($B203,'Challan Master'!$S$4:$S$207,0)),"")&lt;=0),0,IF(IFERROR(INDEX('Challan Master'!$D$4:$D$207,MATCH($B203,'Challan Master'!$S$4:$S$207,0)),"")&lt;=DATE(YEAR(J203),MONTH(J203)+1,7),0,ROUND(L203*0.015*((YEAR(IFERROR(INDEX('Challan Master'!$D$4:$D$207,MATCH($B203,'Challan Master'!$S$4:$S$207,0)),""))-YEAR(J203))*12+(MONTH(IFERROR(INDEX('Challan Master'!$D$4:$D$207,MATCH($B203,'Challan Master'!$S$4:$S$207,0)),""))-MONTH(J203))+1),0))))</f>
      </c>
      <c r="P203" s="7">
        <f>IF($D203="","",0)</f>
      </c>
      <c r="Q203" s="8"/>
      <c r="R203" s="8"/>
      <c r="S203" s="8"/>
      <c r="T203" s="8"/>
      <c r="U203" s="8"/>
      <c r="V203" s="7">
        <f>IF($B203="","",IFERROR(INDEX('Challan Master'!$AA$4:$AA$207,MATCH($B203,'Challan Master'!$S$4:$S$207,0)),""))</f>
      </c>
    </row>
    <row r="204" spans="1:22" x14ac:dyDescent="0.25">
      <c r="A204" s="7">
        <f>IF($D204="","",COUNTIF($D$4:$D204,"&lt;&gt;"))</f>
      </c>
      <c r="B204" s="8"/>
      <c r="C204" s="7">
        <f>IF($B204="","","BSR "&amp;IFERROR(INDEX('Challan Master'!$B$4:$B$207,MATCH($B204,'Challan Master'!$S$4:$S$207,0)),"")&amp;" | Serial "&amp;IFERROR(INDEX('Challan Master'!$C$4:$C$207,MATCH($B204,'Challan Master'!$S$4:$S$207,0)),"")&amp;" | Deposit "&amp;TEXT(IFERROR(INDEX('Challan Master'!$D$4:$D$207,MATCH($B204,'Challan Master'!$S$4:$S$207,0)),""),"dd-mm-yyyy")&amp;" | Minor Head "&amp;IFERROR(INDEX('Challan Master'!$E$4:$E$207,MATCH($B204,'Challan Master'!$S$4:$S$207,0)),"")&amp;" | Tax ₹"&amp;TEXT(IFERROR(INDEX('Challan Master'!$G$4:$G$207,MATCH($B204,'Challan Master'!$S$4:$S$207,0)),""),"#,##0")&amp;" | Section "&amp;IFERROR(INDEX('Challan Master'!$F$4:$F$207,MATCH($B204,'Challan Master'!$S$4:$S$207,0)),""))</f>
      </c>
      <c r="D204" s="8"/>
      <c r="E204" s="8"/>
      <c r="F204" s="7">
        <f>IF($D204="","",IF(AND(LEN(TRIM(UPPER(E204)))=10,CODE(MID(TRIM(UPPER(E204)),1,1))&gt;=65,CODE(MID(TRIM(UPPER(E204)),1,1))&lt;=90,CODE(MID(TRIM(UPPER(E204)),2,1))&gt;=65,CODE(MID(TRIM(UPPER(E204)),2,1))&lt;=90,CODE(MID(TRIM(UPPER(E204)),3,1))&gt;=65,CODE(MID(TRIM(UPPER(E204)),3,1))&lt;=90,CODE(MID(TRIM(UPPER(E204)),4,1))&gt;=65,CODE(MID(TRIM(UPPER(E204)),4,1))&lt;=90,CODE(MID(TRIM(UPPER(E204)),5,1))&gt;=65,CODE(MID(TRIM(UPPER(E204)),5,1))&lt;=90,CODE(MID(TRIM(UPPER(E204)),10,1))&gt;=65,CODE(MID(TRIM(UPPER(E204)),10,1))&lt;=90,CODE(MID(TRIM(UPPER(E204)),6,1))&gt;=48,CODE(MID(TRIM(UPPER(E204)),6,1))&lt;=57,CODE(MID(TRIM(UPPER(E204)),7,1))&gt;=48,CODE(MID(TRIM(UPPER(E204)),7,1))&lt;=57,CODE(MID(TRIM(UPPER(E204)),8,1))&gt;=48,CODE(MID(TRIM(UPPER(E204)),8,1))&lt;=57,CODE(MID(TRIM(UPPER(E204)),9,1))&gt;=48,CODE(MID(TRIM(UPPER(E204)),9,1))&lt;=57),"N","Y"))</f>
      </c>
      <c r="G204" s="7">
        <f>IF($D204="","",IF(LEN(E204)&lt;4,"",IF(UPPER(MID(E204,4,1))="P","Individual",IF(UPPER(MID(E204,4,1))="H","HUF",IF(UPPER(MID(E204,4,1))="C","Company",IF(UPPER(MID(E204,4,1))="F","Firm",IF(UPPER(MID(E204,4,1))="L","LLP",IF(UPPER(MID(E204,4,1))="T","Trust",IF(UPPER(MID(E204,4,1))="A","AOP","")))))))))</f>
      </c>
      <c r="H204" s="8"/>
      <c r="I204" s="7">
        <f>IF($D204="","",IF(H204="","",IF(F204="Y",SUMPRODUCT(('Rate Lookup'!$A$1:$A$37=H204)*'Rate Lookup'!$D$1:$D$37),IF(OR(G204="Individual",G204="HUF"),SUMPRODUCT(('Rate Lookup'!$A$1:$A$37=H204)*'Rate Lookup'!$B$1:$B$37),SUMPRODUCT(('Rate Lookup'!$A$1:$A$37=H204)*'Rate Lookup'!$C$1:$C$37)))))</f>
      </c>
      <c r="J204" s="8"/>
      <c r="K204" s="8"/>
      <c r="L204" s="7">
        <f>IF($D204="","",ROUND(K204*I204/100,0))</f>
      </c>
      <c r="M204" s="7">
        <f>IF($D204="","",0)</f>
      </c>
      <c r="N204" s="7">
        <f>IF($D204="","",0)</f>
      </c>
      <c r="O204" s="7">
        <f>IF($D204="","",IF(OR(L204=0,J204="",IFERROR(INDEX('Challan Master'!$D$4:$D$207,MATCH($B204,'Challan Master'!$S$4:$S$207,0)),"")="",IFERROR(INDEX('Challan Master'!$D$4:$D$207,MATCH($B204,'Challan Master'!$S$4:$S$207,0)),"")&lt;=0),0,IF(IFERROR(INDEX('Challan Master'!$D$4:$D$207,MATCH($B204,'Challan Master'!$S$4:$S$207,0)),"")&lt;=DATE(YEAR(J204),MONTH(J204)+1,7),0,ROUND(L204*0.015*((YEAR(IFERROR(INDEX('Challan Master'!$D$4:$D$207,MATCH($B204,'Challan Master'!$S$4:$S$207,0)),""))-YEAR(J204))*12+(MONTH(IFERROR(INDEX('Challan Master'!$D$4:$D$207,MATCH($B204,'Challan Master'!$S$4:$S$207,0)),""))-MONTH(J204))+1),0))))</f>
      </c>
      <c r="P204" s="7">
        <f>IF($D204="","",0)</f>
      </c>
      <c r="Q204" s="8"/>
      <c r="R204" s="8"/>
      <c r="S204" s="8"/>
      <c r="T204" s="8"/>
      <c r="U204" s="8"/>
      <c r="V204" s="7">
        <f>IF($B204="","",IFERROR(INDEX('Challan Master'!$AA$4:$AA$207,MATCH($B204,'Challan Master'!$S$4:$S$207,0)),""))</f>
      </c>
    </row>
    <row r="205" spans="1:22" x14ac:dyDescent="0.25">
      <c r="A205" s="7">
        <f>IF($D205="","",COUNTIF($D$4:$D205,"&lt;&gt;"))</f>
      </c>
      <c r="B205" s="8"/>
      <c r="C205" s="7">
        <f>IF($B205="","","BSR "&amp;IFERROR(INDEX('Challan Master'!$B$4:$B$207,MATCH($B205,'Challan Master'!$S$4:$S$207,0)),"")&amp;" | Serial "&amp;IFERROR(INDEX('Challan Master'!$C$4:$C$207,MATCH($B205,'Challan Master'!$S$4:$S$207,0)),"")&amp;" | Deposit "&amp;TEXT(IFERROR(INDEX('Challan Master'!$D$4:$D$207,MATCH($B205,'Challan Master'!$S$4:$S$207,0)),""),"dd-mm-yyyy")&amp;" | Minor Head "&amp;IFERROR(INDEX('Challan Master'!$E$4:$E$207,MATCH($B205,'Challan Master'!$S$4:$S$207,0)),"")&amp;" | Tax ₹"&amp;TEXT(IFERROR(INDEX('Challan Master'!$G$4:$G$207,MATCH($B205,'Challan Master'!$S$4:$S$207,0)),""),"#,##0")&amp;" | Section "&amp;IFERROR(INDEX('Challan Master'!$F$4:$F$207,MATCH($B205,'Challan Master'!$S$4:$S$207,0)),""))</f>
      </c>
      <c r="D205" s="8"/>
      <c r="E205" s="8"/>
      <c r="F205" s="7">
        <f>IF($D205="","",IF(AND(LEN(TRIM(UPPER(E205)))=10,CODE(MID(TRIM(UPPER(E205)),1,1))&gt;=65,CODE(MID(TRIM(UPPER(E205)),1,1))&lt;=90,CODE(MID(TRIM(UPPER(E205)),2,1))&gt;=65,CODE(MID(TRIM(UPPER(E205)),2,1))&lt;=90,CODE(MID(TRIM(UPPER(E205)),3,1))&gt;=65,CODE(MID(TRIM(UPPER(E205)),3,1))&lt;=90,CODE(MID(TRIM(UPPER(E205)),4,1))&gt;=65,CODE(MID(TRIM(UPPER(E205)),4,1))&lt;=90,CODE(MID(TRIM(UPPER(E205)),5,1))&gt;=65,CODE(MID(TRIM(UPPER(E205)),5,1))&lt;=90,CODE(MID(TRIM(UPPER(E205)),10,1))&gt;=65,CODE(MID(TRIM(UPPER(E205)),10,1))&lt;=90,CODE(MID(TRIM(UPPER(E205)),6,1))&gt;=48,CODE(MID(TRIM(UPPER(E205)),6,1))&lt;=57,CODE(MID(TRIM(UPPER(E205)),7,1))&gt;=48,CODE(MID(TRIM(UPPER(E205)),7,1))&lt;=57,CODE(MID(TRIM(UPPER(E205)),8,1))&gt;=48,CODE(MID(TRIM(UPPER(E205)),8,1))&lt;=57,CODE(MID(TRIM(UPPER(E205)),9,1))&gt;=48,CODE(MID(TRIM(UPPER(E205)),9,1))&lt;=57),"N","Y"))</f>
      </c>
      <c r="G205" s="7">
        <f>IF($D205="","",IF(LEN(E205)&lt;4,"",IF(UPPER(MID(E205,4,1))="P","Individual",IF(UPPER(MID(E205,4,1))="H","HUF",IF(UPPER(MID(E205,4,1))="C","Company",IF(UPPER(MID(E205,4,1))="F","Firm",IF(UPPER(MID(E205,4,1))="L","LLP",IF(UPPER(MID(E205,4,1))="T","Trust",IF(UPPER(MID(E205,4,1))="A","AOP","")))))))))</f>
      </c>
      <c r="H205" s="8"/>
      <c r="I205" s="7">
        <f>IF($D205="","",IF(H205="","",IF(F205="Y",SUMPRODUCT(('Rate Lookup'!$A$1:$A$37=H205)*'Rate Lookup'!$D$1:$D$37),IF(OR(G205="Individual",G205="HUF"),SUMPRODUCT(('Rate Lookup'!$A$1:$A$37=H205)*'Rate Lookup'!$B$1:$B$37),SUMPRODUCT(('Rate Lookup'!$A$1:$A$37=H205)*'Rate Lookup'!$C$1:$C$37)))))</f>
      </c>
      <c r="J205" s="8"/>
      <c r="K205" s="8"/>
      <c r="L205" s="7">
        <f>IF($D205="","",ROUND(K205*I205/100,0))</f>
      </c>
      <c r="M205" s="7">
        <f>IF($D205="","",0)</f>
      </c>
      <c r="N205" s="7">
        <f>IF($D205="","",0)</f>
      </c>
      <c r="O205" s="7">
        <f>IF($D205="","",IF(OR(L205=0,J205="",IFERROR(INDEX('Challan Master'!$D$4:$D$207,MATCH($B205,'Challan Master'!$S$4:$S$207,0)),"")="",IFERROR(INDEX('Challan Master'!$D$4:$D$207,MATCH($B205,'Challan Master'!$S$4:$S$207,0)),"")&lt;=0),0,IF(IFERROR(INDEX('Challan Master'!$D$4:$D$207,MATCH($B205,'Challan Master'!$S$4:$S$207,0)),"")&lt;=DATE(YEAR(J205),MONTH(J205)+1,7),0,ROUND(L205*0.015*((YEAR(IFERROR(INDEX('Challan Master'!$D$4:$D$207,MATCH($B205,'Challan Master'!$S$4:$S$207,0)),""))-YEAR(J205))*12+(MONTH(IFERROR(INDEX('Challan Master'!$D$4:$D$207,MATCH($B205,'Challan Master'!$S$4:$S$207,0)),""))-MONTH(J205))+1),0))))</f>
      </c>
      <c r="P205" s="7">
        <f>IF($D205="","",0)</f>
      </c>
      <c r="Q205" s="8"/>
      <c r="R205" s="8"/>
      <c r="S205" s="8"/>
      <c r="T205" s="8"/>
      <c r="U205" s="8"/>
      <c r="V205" s="7">
        <f>IF($B205="","",IFERROR(INDEX('Challan Master'!$AA$4:$AA$207,MATCH($B205,'Challan Master'!$S$4:$S$207,0)),""))</f>
      </c>
    </row>
    <row r="206" spans="1:22" x14ac:dyDescent="0.25">
      <c r="A206" s="7">
        <f>IF($D206="","",COUNTIF($D$4:$D206,"&lt;&gt;"))</f>
      </c>
      <c r="B206" s="8"/>
      <c r="C206" s="7">
        <f>IF($B206="","","BSR "&amp;IFERROR(INDEX('Challan Master'!$B$4:$B$207,MATCH($B206,'Challan Master'!$S$4:$S$207,0)),"")&amp;" | Serial "&amp;IFERROR(INDEX('Challan Master'!$C$4:$C$207,MATCH($B206,'Challan Master'!$S$4:$S$207,0)),"")&amp;" | Deposit "&amp;TEXT(IFERROR(INDEX('Challan Master'!$D$4:$D$207,MATCH($B206,'Challan Master'!$S$4:$S$207,0)),""),"dd-mm-yyyy")&amp;" | Minor Head "&amp;IFERROR(INDEX('Challan Master'!$E$4:$E$207,MATCH($B206,'Challan Master'!$S$4:$S$207,0)),"")&amp;" | Tax ₹"&amp;TEXT(IFERROR(INDEX('Challan Master'!$G$4:$G$207,MATCH($B206,'Challan Master'!$S$4:$S$207,0)),""),"#,##0")&amp;" | Section "&amp;IFERROR(INDEX('Challan Master'!$F$4:$F$207,MATCH($B206,'Challan Master'!$S$4:$S$207,0)),""))</f>
      </c>
      <c r="D206" s="8"/>
      <c r="E206" s="8"/>
      <c r="F206" s="7">
        <f>IF($D206="","",IF(AND(LEN(TRIM(UPPER(E206)))=10,CODE(MID(TRIM(UPPER(E206)),1,1))&gt;=65,CODE(MID(TRIM(UPPER(E206)),1,1))&lt;=90,CODE(MID(TRIM(UPPER(E206)),2,1))&gt;=65,CODE(MID(TRIM(UPPER(E206)),2,1))&lt;=90,CODE(MID(TRIM(UPPER(E206)),3,1))&gt;=65,CODE(MID(TRIM(UPPER(E206)),3,1))&lt;=90,CODE(MID(TRIM(UPPER(E206)),4,1))&gt;=65,CODE(MID(TRIM(UPPER(E206)),4,1))&lt;=90,CODE(MID(TRIM(UPPER(E206)),5,1))&gt;=65,CODE(MID(TRIM(UPPER(E206)),5,1))&lt;=90,CODE(MID(TRIM(UPPER(E206)),10,1))&gt;=65,CODE(MID(TRIM(UPPER(E206)),10,1))&lt;=90,CODE(MID(TRIM(UPPER(E206)),6,1))&gt;=48,CODE(MID(TRIM(UPPER(E206)),6,1))&lt;=57,CODE(MID(TRIM(UPPER(E206)),7,1))&gt;=48,CODE(MID(TRIM(UPPER(E206)),7,1))&lt;=57,CODE(MID(TRIM(UPPER(E206)),8,1))&gt;=48,CODE(MID(TRIM(UPPER(E206)),8,1))&lt;=57,CODE(MID(TRIM(UPPER(E206)),9,1))&gt;=48,CODE(MID(TRIM(UPPER(E206)),9,1))&lt;=57),"N","Y"))</f>
      </c>
      <c r="G206" s="7">
        <f>IF($D206="","",IF(LEN(E206)&lt;4,"",IF(UPPER(MID(E206,4,1))="P","Individual",IF(UPPER(MID(E206,4,1))="H","HUF",IF(UPPER(MID(E206,4,1))="C","Company",IF(UPPER(MID(E206,4,1))="F","Firm",IF(UPPER(MID(E206,4,1))="L","LLP",IF(UPPER(MID(E206,4,1))="T","Trust",IF(UPPER(MID(E206,4,1))="A","AOP","")))))))))</f>
      </c>
      <c r="H206" s="8"/>
      <c r="I206" s="7">
        <f>IF($D206="","",IF(H206="","",IF(F206="Y",SUMPRODUCT(('Rate Lookup'!$A$1:$A$37=H206)*'Rate Lookup'!$D$1:$D$37),IF(OR(G206="Individual",G206="HUF"),SUMPRODUCT(('Rate Lookup'!$A$1:$A$37=H206)*'Rate Lookup'!$B$1:$B$37),SUMPRODUCT(('Rate Lookup'!$A$1:$A$37=H206)*'Rate Lookup'!$C$1:$C$37)))))</f>
      </c>
      <c r="J206" s="8"/>
      <c r="K206" s="8"/>
      <c r="L206" s="7">
        <f>IF($D206="","",ROUND(K206*I206/100,0))</f>
      </c>
      <c r="M206" s="7">
        <f>IF($D206="","",0)</f>
      </c>
      <c r="N206" s="7">
        <f>IF($D206="","",0)</f>
      </c>
      <c r="O206" s="7">
        <f>IF($D206="","",IF(OR(L206=0,J206="",IFERROR(INDEX('Challan Master'!$D$4:$D$207,MATCH($B206,'Challan Master'!$S$4:$S$207,0)),"")="",IFERROR(INDEX('Challan Master'!$D$4:$D$207,MATCH($B206,'Challan Master'!$S$4:$S$207,0)),"")&lt;=0),0,IF(IFERROR(INDEX('Challan Master'!$D$4:$D$207,MATCH($B206,'Challan Master'!$S$4:$S$207,0)),"")&lt;=DATE(YEAR(J206),MONTH(J206)+1,7),0,ROUND(L206*0.015*((YEAR(IFERROR(INDEX('Challan Master'!$D$4:$D$207,MATCH($B206,'Challan Master'!$S$4:$S$207,0)),""))-YEAR(J206))*12+(MONTH(IFERROR(INDEX('Challan Master'!$D$4:$D$207,MATCH($B206,'Challan Master'!$S$4:$S$207,0)),""))-MONTH(J206))+1),0))))</f>
      </c>
      <c r="P206" s="7">
        <f>IF($D206="","",0)</f>
      </c>
      <c r="Q206" s="8"/>
      <c r="R206" s="8"/>
      <c r="S206" s="8"/>
      <c r="T206" s="8"/>
      <c r="U206" s="8"/>
      <c r="V206" s="7">
        <f>IF($B206="","",IFERROR(INDEX('Challan Master'!$AA$4:$AA$207,MATCH($B206,'Challan Master'!$S$4:$S$207,0)),""))</f>
      </c>
    </row>
    <row r="207" spans="1:22" x14ac:dyDescent="0.25">
      <c r="A207" s="7">
        <f>IF($D207="","",COUNTIF($D$4:$D207,"&lt;&gt;"))</f>
      </c>
      <c r="B207" s="8"/>
      <c r="C207" s="7">
        <f>IF($B207="","","BSR "&amp;IFERROR(INDEX('Challan Master'!$B$4:$B$207,MATCH($B207,'Challan Master'!$S$4:$S$207,0)),"")&amp;" | Serial "&amp;IFERROR(INDEX('Challan Master'!$C$4:$C$207,MATCH($B207,'Challan Master'!$S$4:$S$207,0)),"")&amp;" | Deposit "&amp;TEXT(IFERROR(INDEX('Challan Master'!$D$4:$D$207,MATCH($B207,'Challan Master'!$S$4:$S$207,0)),""),"dd-mm-yyyy")&amp;" | Minor Head "&amp;IFERROR(INDEX('Challan Master'!$E$4:$E$207,MATCH($B207,'Challan Master'!$S$4:$S$207,0)),"")&amp;" | Tax ₹"&amp;TEXT(IFERROR(INDEX('Challan Master'!$G$4:$G$207,MATCH($B207,'Challan Master'!$S$4:$S$207,0)),""),"#,##0")&amp;" | Section "&amp;IFERROR(INDEX('Challan Master'!$F$4:$F$207,MATCH($B207,'Challan Master'!$S$4:$S$207,0)),""))</f>
      </c>
      <c r="D207" s="8"/>
      <c r="E207" s="8"/>
      <c r="F207" s="7">
        <f>IF($D207="","",IF(AND(LEN(TRIM(UPPER(E207)))=10,CODE(MID(TRIM(UPPER(E207)),1,1))&gt;=65,CODE(MID(TRIM(UPPER(E207)),1,1))&lt;=90,CODE(MID(TRIM(UPPER(E207)),2,1))&gt;=65,CODE(MID(TRIM(UPPER(E207)),2,1))&lt;=90,CODE(MID(TRIM(UPPER(E207)),3,1))&gt;=65,CODE(MID(TRIM(UPPER(E207)),3,1))&lt;=90,CODE(MID(TRIM(UPPER(E207)),4,1))&gt;=65,CODE(MID(TRIM(UPPER(E207)),4,1))&lt;=90,CODE(MID(TRIM(UPPER(E207)),5,1))&gt;=65,CODE(MID(TRIM(UPPER(E207)),5,1))&lt;=90,CODE(MID(TRIM(UPPER(E207)),10,1))&gt;=65,CODE(MID(TRIM(UPPER(E207)),10,1))&lt;=90,CODE(MID(TRIM(UPPER(E207)),6,1))&gt;=48,CODE(MID(TRIM(UPPER(E207)),6,1))&lt;=57,CODE(MID(TRIM(UPPER(E207)),7,1))&gt;=48,CODE(MID(TRIM(UPPER(E207)),7,1))&lt;=57,CODE(MID(TRIM(UPPER(E207)),8,1))&gt;=48,CODE(MID(TRIM(UPPER(E207)),8,1))&lt;=57,CODE(MID(TRIM(UPPER(E207)),9,1))&gt;=48,CODE(MID(TRIM(UPPER(E207)),9,1))&lt;=57),"N","Y"))</f>
      </c>
      <c r="G207" s="7">
        <f>IF($D207="","",IF(LEN(E207)&lt;4,"",IF(UPPER(MID(E207,4,1))="P","Individual",IF(UPPER(MID(E207,4,1))="H","HUF",IF(UPPER(MID(E207,4,1))="C","Company",IF(UPPER(MID(E207,4,1))="F","Firm",IF(UPPER(MID(E207,4,1))="L","LLP",IF(UPPER(MID(E207,4,1))="T","Trust",IF(UPPER(MID(E207,4,1))="A","AOP","")))))))))</f>
      </c>
      <c r="H207" s="8"/>
      <c r="I207" s="7">
        <f>IF($D207="","",IF(H207="","",IF(F207="Y",SUMPRODUCT(('Rate Lookup'!$A$1:$A$37=H207)*'Rate Lookup'!$D$1:$D$37),IF(OR(G207="Individual",G207="HUF"),SUMPRODUCT(('Rate Lookup'!$A$1:$A$37=H207)*'Rate Lookup'!$B$1:$B$37),SUMPRODUCT(('Rate Lookup'!$A$1:$A$37=H207)*'Rate Lookup'!$C$1:$C$37)))))</f>
      </c>
      <c r="J207" s="8"/>
      <c r="K207" s="8"/>
      <c r="L207" s="7">
        <f>IF($D207="","",ROUND(K207*I207/100,0))</f>
      </c>
      <c r="M207" s="7">
        <f>IF($D207="","",0)</f>
      </c>
      <c r="N207" s="7">
        <f>IF($D207="","",0)</f>
      </c>
      <c r="O207" s="7">
        <f>IF($D207="","",IF(OR(L207=0,J207="",IFERROR(INDEX('Challan Master'!$D$4:$D$207,MATCH($B207,'Challan Master'!$S$4:$S$207,0)),"")="",IFERROR(INDEX('Challan Master'!$D$4:$D$207,MATCH($B207,'Challan Master'!$S$4:$S$207,0)),"")&lt;=0),0,IF(IFERROR(INDEX('Challan Master'!$D$4:$D$207,MATCH($B207,'Challan Master'!$S$4:$S$207,0)),"")&lt;=DATE(YEAR(J207),MONTH(J207)+1,7),0,ROUND(L207*0.015*((YEAR(IFERROR(INDEX('Challan Master'!$D$4:$D$207,MATCH($B207,'Challan Master'!$S$4:$S$207,0)),""))-YEAR(J207))*12+(MONTH(IFERROR(INDEX('Challan Master'!$D$4:$D$207,MATCH($B207,'Challan Master'!$S$4:$S$207,0)),""))-MONTH(J207))+1),0))))</f>
      </c>
      <c r="P207" s="7">
        <f>IF($D207="","",0)</f>
      </c>
      <c r="Q207" s="8"/>
      <c r="R207" s="8"/>
      <c r="S207" s="8"/>
      <c r="T207" s="8"/>
      <c r="U207" s="8"/>
      <c r="V207" s="7">
        <f>IF($B207="","",IFERROR(INDEX('Challan Master'!$AA$4:$AA$207,MATCH($B207,'Challan Master'!$S$4:$S$207,0)),""))</f>
      </c>
    </row>
  </sheetData>
  <sheetProtection sheet="1" formatCells="0" formatColumns="0" formatRows="0"/>
  <mergeCells count="2">
    <mergeCell ref="A1:V1"/>
    <mergeCell ref="A2:V2"/>
  </mergeCells>
  <conditionalFormatting sqref="A2:V2">
    <cfRule type="expression" dxfId="23" priority="1">
      <formula>ISNUMBER(SEARCH("VALIDATION FAILED",$A2))</formula>
    </cfRule>
    <cfRule type="expression" dxfId="24" priority="2">
      <formula>ISNUMBER(SEARCH("Validation Successful",$A2))</formula>
    </cfRule>
  </conditionalFormatting>
  <conditionalFormatting sqref="B4:B207">
    <cfRule type="expression" dxfId="25" priority="1">
      <formula>AND($D4&lt;&gt;"",$B4="")</formula>
    </cfRule>
  </conditionalFormatting>
  <conditionalFormatting sqref="E4:E207">
    <cfRule type="expression" dxfId="26" priority="2">
      <formula>$F4="Y"</formula>
    </cfRule>
  </conditionalFormatting>
  <conditionalFormatting sqref="A4:V207">
    <cfRule type="expression" dxfId="27" priority="3">
      <formula>$V4="Over-applied"</formula>
    </cfRule>
  </conditionalFormatting>
  <dataValidations count="10">
    <dataValidation type="list" allowBlank="1" showErrorMessage="1" errorTitle="Invalid Challan" error="Pick a challan from the dropdown — it must already exist on the Challan Master sheet." sqref="B10:B207">
      <formula1>'Challan Master'!$S$4:$S$207</formula1>
    </dataValidation>
    <dataValidation type="list" allowBlank="1" showErrorMessage="1" errorTitle="Invalid Challan" error="Pick a challan from the dropdown — it must already exist on the Challan Master sheet." sqref="B4:B207">
      <formula1>'Challan Master'!$S$4:$S$207</formula1>
    </dataValidation>
    <dataValidation type="list" allowBlank="1" showErrorMessage="1" errorTitle="Invalid Section" error="Pick a section from the dropdown list." sqref="H10:H207">
      <formula1>'Rate Lookup'!$A$1:$A$37</formula1>
    </dataValidation>
    <dataValidation type="list" allowBlank="1" showErrorMessage="1" errorTitle="Invalid Section" error="Pick a section from the dropdown list." sqref="H4:H207">
      <formula1>'Rate Lookup'!$A$1:$A$37</formula1>
    </dataValidation>
    <dataValidation type="date" allowBlank="1" showErrorMessage="1" errorTitle="Invalid Date" error="Enter a real date (use the date picker), between 01-Apr-2020 and 31-Mar-2030." sqref="J10:J207">
      <formula1>43922</formula1>
      <formula2>47573</formula2>
    </dataValidation>
    <dataValidation type="date" allowBlank="1" showErrorMessage="1" errorTitle="Invalid Date" error="Enter a real date (use the date picker), between 01-Apr-2020 and 31-Mar-2030." sqref="J4:J207">
      <formula1>43922</formula1>
      <formula2>47573</formula2>
    </dataValidation>
    <dataValidation type="decimal" operator="greaterThanOrEqual" allowBlank="1" showErrorMessage="1" errorTitle="Invalid Amount" error="Must be a number of 0 or more." sqref="K10:K207">
      <formula1>0</formula1>
    </dataValidation>
    <dataValidation type="decimal" operator="greaterThanOrEqual" allowBlank="1" showErrorMessage="1" errorTitle="Invalid Amount" error="Must be a number of 0 or more." sqref="K4:K207">
      <formula1>0</formula1>
    </dataValidation>
    <dataValidation type="list" allowBlank="1" showErrorMessage="1" errorTitle="Invalid Reason Code" error="Pick a Reason Code from the dropdown (A/B/C/D/E/Y/Z)." sqref="Q10:Q207">
      <formula1>"A,B,C,D,E,Y,Z"</formula1>
    </dataValidation>
    <dataValidation type="list" allowBlank="1" showErrorMessage="1" errorTitle="Invalid Reason Code" error="Pick a Reason Code from the dropdown (A/B/C/D/E/Y/Z)." sqref="Q4:Q207">
      <formula1>"A,B,C,D,E,Y,Z"</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Instructions</vt:lpstr>
      <vt:lpstr>Rate Lookup</vt:lpstr>
      <vt:lpstr>Challan Master</vt:lpstr>
      <vt:lpstr>Q1 Data</vt:lpstr>
      <vt:lpstr>Q2 Data</vt:lpstr>
      <vt:lpstr>Q3 Data</vt:lpstr>
      <vt:lpstr>Q4 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2026-09-21T11:20:20Z</dcterms:created>
  <dcterms:modified xsi:type="dcterms:W3CDTF">2026-09-21T11:20:20Z</dcterms:modified>
</cp:coreProperties>
</file>