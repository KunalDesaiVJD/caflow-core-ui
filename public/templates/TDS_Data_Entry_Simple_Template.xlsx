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Rate Lookup" state="veryHidden" r:id="rId5"/>
    <sheet sheetId="3" name="Q1 Data" state="visible" r:id="rId6"/>
    <sheet sheetId="4" name="Q2 Data" state="visible" r:id="rId7"/>
    <sheet sheetId="5" name="Q3 Data" state="visible" r:id="rId8"/>
    <sheet sheetId="6" name="Q4 Data" state="visible" r:id="rId9"/>
  </sheets>
  <calcPr calcMode="auto" calcId="171027" fullCalcOnLoad="1"/>
</workbook>
</file>

<file path=xl/sharedStrings.xml><?xml version="1.0" encoding="utf-8"?>
<sst xmlns="http://schemas.openxmlformats.org/spreadsheetml/2006/main" count="324" uniqueCount="176">
  <si>
    <t>TDS Data Entry — Client Template</t>
  </si>
  <si>
    <t>Four cross-linked quarter tabs mirroring the software's own Data Entry screen as closely as a static workbook can.</t>
  </si>
  <si>
    <t>How This Template Works</t>
  </si>
  <si>
    <t>•  This workbook has SIX sheets: this Instructions sheet, and four data-entry tabs — Q1 Data, Q2 Data, Q3 Data, Q4 Data — one per quarter. All four are IDENTICAL in structure (same columns, same dropdowns, same formulas); the only difference is which quarter's challans and entries you record on each one.</t>
  </si>
  <si>
    <t>•  A challan is identified the SAME way the software identifies it — by BSR Code + Challan Serial No. There is no separate "Challan ID" to invent. Enter a challan on the tab for the QUARTER it was actually deposited, exactly once — its Serial No. must be unique across ALL FOUR tabs combined, not just within one tab.</t>
  </si>
  <si>
    <t>•  Every row on each quarter tab is tagged Challan or Entry via the Row Type dropdown. Add a Challan row with its full deposit breakdown, then add one Entry row directly below it for every deductee paid under that challan — repeating that SAME Challan Serial No. in the Entry row to link back to it.</t>
  </si>
  <si>
    <t>•  CHALLAN CARRY-FORWARD: a challan's "Applied" and "Balance" figures are NOT limited to entries on the same tab as the challan — they sum EVERY entry linked to that Challan Serial No. across ALL FOUR quarter tabs. Deposit a challan in Q1 with room to spare, then add an entry against that SAME Serial No. on the Q2 (or Q3, or Q4) tab, and Q1's own Balance updates to show the reduced remaining amount — this is exactly how the software's own live-database lookup works, reproduced here with cross-sheet formulas instead of a database query.</t>
  </si>
  <si>
    <t>•  "Applied", "Allocatable", "Balance" and "Status" (green columns, Challan rows only) update live as you add entries anywhere in the workbook. Status sits right after Challan Serial No. so you can see at a glance whether a challan is Over-applied, Fully Utilised, or still has room — and an Over-applied challan's ENTIRE row is highlighted red, not just the Status cell, on whichever tab that challan itself lives on.</t>
  </si>
  <si>
    <t>•  Row 2 on each tab is a live Validation Summary banner scoped to THAT tab's own challans — it recalculates automatically on every keystroke and shows "✅ Validation Successful" (green) when none of this tab's challans are over-applied, or "❌ VALIDATION FAILED" (red) with a count otherwise. Because Applied/Balance already account for all four tabs, a challan that only becomes over-applied once a LATER quarter's entry pushes it over correctly turns red on the tab where the CHALLAN itself was entered. A plain Excel file (no macros) can't have a clickable "Validate" button with a pop-up message — this is the equivalent that can never go stale, needs no "Enable Macros" security prompt, and works the same in Google Sheets/LibreOffice too.</t>
  </si>
  <si>
    <t>•  "Rate of TDS" (green) calculates automatically from Section + Deductee Type, and "TDS Amount"/"Interest Amount" (green) from that — TDS = Amount Paid × Rate; Interest follows Section 201(1A): 1.5% per month (or part) late, counted from the deduction month's 7th-of-next-month due date to the challan's deposit date (found via a cross-tab lookup, wherever that challan itself lives). This matches the software exactly: there, Rate of TDS is locked read-only for any section you can actually pick from the dropdown, since the dropdown itself only ever offers sections with a known rate.</t>
  </si>
  <si>
    <t>•  "Deductee Type" (green) calculates automatically from the 4th character of the PAN you enter — P=Individual, H=HUF, C=Company, F=Firm, L=LLP, T=Trust, A=AOP — exactly how the software itself detects it (there, this is never even an editable field — always a fixed label).</t>
  </si>
  <si>
    <t>•  "PAN Not Available" (green) calculates automatically too — Y whenever PAN is blank or not in valid PAN format, N otherwise. The software has no checkbox for this at all; it's entirely inferred from what you type into PAN, and this template does the same. A no-PAN row is highlighted pink (matching the software's own red-border/tooltip cue) and automatically gets the flat higher no-PAN rate under Section 206AA.</t>
  </si>
  <si>
    <t>•  "Surcharge Amount", "Education Cess Amount", and "Late Fees Amount" (per entry, green) are always 0 — the software itself has no way to enter these on a deductee through this screen either, so there's nothing to fill in.</t>
  </si>
  <si>
    <t>•  Q1's rows 4–7 (gray) are a worked example — one Challan with THREE linked entries — but they are otherwise ORDINARY rows: every dropdown, validation and formula on them works exactly like any row you fill in yourself. Delete them, overwrite them, or leave them as-is — the software recognises the example Challan Serial No. and always excludes all four rows from import either way. Q2/Q3/Q4 start with no worked example, since a second, third and fourth copy of the same demo would only add clutter.</t>
  </si>
  <si>
    <t>•  A Challan row's own "Section" (blue) is optional — it's the challan's predominant/default section, for your reference. If an Entry's Section differs from its linked Challan's Section (found across all four tabs), that Entry's Section cell is highlighted amber as a heads-up, same as the software's own mismatch note — it does not block anything.</t>
  </si>
  <si>
    <t>•  The green auto-calculated cells (Sr. No., Status, Total Challan Amount, PAN Not Available, Deductee Type, Rate of TDS, TDS Amount, Surcharge/Cess/Late Fees Amount, Interest Amount, Applied, Allocatable, Balance) are LOCKED on every tab — the sheets are protected so you can't type over them by accident, exactly like the software, where these are displayed values, never fields you type into. Every other cell stays fully editable. This is a guard rail, not a security lock: it has no password, so Review → Unprotect Sheet removes it instantly on any tab if you ever need to.</t>
  </si>
  <si>
    <t>•  Do not rename a tab away from its own "Qx Data" name (except as described below for upload), insert/delete columns, or change the header row (row 3) on any tab — the software matches columns by these exact header names.</t>
  </si>
  <si>
    <t>•  If a formula cell ever looks blank or stale while you're actively editing, press F9 (or Formulas → Calculate Now) to force a refresh — this workbook is set to calculate automatically, but some Excel installs can get stuck in Manual mode from a different file and take a moment to catch up.</t>
  </si>
  <si>
    <t>Uploading to Validate &amp; Finalise (please read)</t>
  </si>
  <si>
    <t>•  This workbook is a reference/planning document for all four quarters at once — the software's own Validate &amp; Finalise import still works ONE quarter at a time, matched by the exact tab name "TDS Data". To upload a specific quarter: make a COPY of this file (so the other three quarters' data isn't lost), rename that copy's relevant "Qx Data" tab to exactly "TDS Data", delete the other three quarter tabs from the copy, then upload that copy for that quarter's filing.</t>
  </si>
  <si>
    <t>•  This does not change or extend the software's import in any way — it consumes exactly what it always has (a single sheet literally named "TDS Data"). The four-tab structure above is purely so you can plan and track carry-forward across the whole year in one place before uploading each quarter separately.</t>
  </si>
  <si>
    <t>What This Template CANNOT Do (please read)</t>
  </si>
  <si>
    <t>•  Global Challan Number uniqueness: the software checks a new Challan Number against every challan for every client and firm, live. This workbook can only check for duplicates within its own four tabs.</t>
  </si>
  <si>
    <t>•  The 192B Salary tax calculator (24Q salary deductees) is a separate, more involved computation in the software (tax slabs, regime, rebate) and is not reproduced here — enter the Salary deductee's TDS Amount directly.</t>
  </si>
  <si>
    <t>•  "Country of Residence" and the per-entry "Remarks" field are kept here for your own records, but a direct code check of the software found neither is actually used anywhere in that screen — they're declared in its data model but never read, written, or shown. Kept in this template anyway since they're useful, low-risk fields, not because the software actively uses them.</t>
  </si>
  <si>
    <t>Section Codes — Income Tax Act 2025 (Section 393 reorganisation)</t>
  </si>
  <si>
    <t>•  From 1-Apr-2026 (FY2026-27 onward), the old 194-series section numbers are being replaced by a numeric Payment Code and a new Section 392/393/394 citation. Wherever a verified mapping exists, the Section dropdown shows: PaymentCode : [OldSection] : NewSectionCode – Description — e.g. 1023 : [194C] : 393(1) [Table: S.N. 6(i).D(a)] – Payments to contractors and sub-contractors (Individual/HUF). This matches the software's own Section dropdown exactly, and is the SAME list on all four quarter tabs.</t>
  </si>
  <si>
    <t>•  194A, 194C and 194R are split into separate lettered options (194A(a)/(b)/(c), 194C(a)/(b), 194R(a)/(b)) because the new Act's Payment Code — not just the Deductee Type — now determines which citation and rate applies. Pick the option matching the actual payee/payment type; the Rate of TDS still fills in automatically.</t>
  </si>
  <si>
    <t>•  Only the sections above have a verified Payment Code and new citation — sourced from a CBDT-derived reference table, cross-checked line by line. Every OTHER section (194B, 194BB, 194D, 194DA, 194G, 194IA, 194IB, 194IC, 194K, 194LA, 194LB, 194M, 194O, 194S, 195, 196A, 196D, 206C(1H)) still shows a plain description instead (e.g. 194IA — Immovable Property Purchase) — the SAME description text the software's own Section dropdown already shows for these — rather than a Payment Code: two independent secondary sources checked for these gave conflicting payment codes for sections this template DOES have verified data for, so an unverified numeric code is never shown, only a description that carries no compliance risk. Full Payment Codes will be added once a verified source confirms them.</t>
  </si>
  <si>
    <t>Field Guide — Challan Rows (blue columns)</t>
  </si>
  <si>
    <r>
      <rPr>
        <b/>
        <sz val="10"/>
        <rFont val="Arial"/>
      </rPr>
      <t xml:space="preserve">BSR Code*: </t>
    </r>
    <r>
      <rPr>
        <sz val="10"/>
        <rFont val="Arial"/>
      </rPr>
      <t>Exactly 7 digits, printed on the challan receipt.</t>
    </r>
  </si>
  <si>
    <r>
      <rPr>
        <b/>
        <sz val="10"/>
        <rFont val="Arial"/>
      </rPr>
      <t xml:space="preserve">Challan Serial No.*: </t>
    </r>
    <r>
      <rPr>
        <sz val="10"/>
        <rFont val="Arial"/>
      </rPr>
      <t>Exactly 5 digits, printed on the challan receipt. Together with BSR Code, this IS the challan's identity — repeat it on every linked Entry row, on ANY of the four tabs. Must be unique across all four tabs combined.</t>
    </r>
  </si>
  <si>
    <r>
      <rPr>
        <b/>
        <sz val="10"/>
        <rFont val="Arial"/>
      </rPr>
      <t xml:space="preserve">Status (auto): </t>
    </r>
    <r>
      <rPr>
        <sz val="10"/>
        <rFont val="Arial"/>
      </rPr>
      <t>Calculates automatically — Over-applied, Fully Utilised, or Unconsumed, based on Applied (all four tabs) vs Allocatable. Do not edit. An Over-applied challan's entire row is shaded red as a heads-up, on the tab where the challan itself was entered.</t>
    </r>
  </si>
  <si>
    <r>
      <rPr>
        <b/>
        <sz val="10"/>
        <rFont val="Arial"/>
      </rPr>
      <t xml:space="preserve">Date of Deposit*: </t>
    </r>
    <r>
      <rPr>
        <sz val="10"/>
        <rFont val="Arial"/>
      </rPr>
      <t>Date this challan was deposited with the bank (use the date picker).</t>
    </r>
  </si>
  <si>
    <r>
      <rPr>
        <b/>
        <sz val="10"/>
        <rFont val="Arial"/>
      </rPr>
      <t xml:space="preserve">Minor Head*: </t>
    </r>
    <r>
      <rPr>
        <sz val="10"/>
        <rFont val="Arial"/>
      </rPr>
      <t>200 = TDS Payable (regular), 400 = TDS on Regular Assessment (demand payment).</t>
    </r>
  </si>
  <si>
    <r>
      <rPr>
        <b/>
        <sz val="10"/>
        <rFont val="Arial"/>
      </rPr>
      <t xml:space="preserve">Section: </t>
    </r>
    <r>
      <rPr>
        <sz val="10"/>
        <rFont val="Arial"/>
      </rPr>
      <t>Optional — this challan's predominant/default TDS section, for your reference. If a linked Entry's own Section differs (checked across all four tabs), that Entry's Section cell is highlighted amber. See "Section Codes" above for the PaymentCode : [OldSection] : NewSectionCode format.</t>
    </r>
  </si>
  <si>
    <r>
      <rPr>
        <b/>
        <sz val="10"/>
        <rFont val="Arial"/>
      </rPr>
      <t xml:space="preserve">Tax Deposited (₹)*: </t>
    </r>
    <r>
      <rPr>
        <sz val="10"/>
        <rFont val="Arial"/>
      </rPr>
      <t>The basic TDS/TCS amount actually deposited via this challan.</t>
    </r>
  </si>
  <si>
    <r>
      <rPr>
        <b/>
        <sz val="10"/>
        <rFont val="Arial"/>
      </rPr>
      <t xml:space="preserve">Surcharge Deposited (₹): </t>
    </r>
    <r>
      <rPr>
        <sz val="10"/>
        <rFont val="Arial"/>
      </rPr>
      <t>Surcharge component of this challan's deposit, if any.</t>
    </r>
  </si>
  <si>
    <r>
      <rPr>
        <b/>
        <sz val="10"/>
        <rFont val="Arial"/>
      </rPr>
      <t xml:space="preserve">Education Cess Deposited (₹): </t>
    </r>
    <r>
      <rPr>
        <sz val="10"/>
        <rFont val="Arial"/>
      </rPr>
      <t>Cess component of this challan's deposit, if any.</t>
    </r>
  </si>
  <si>
    <r>
      <rPr>
        <b/>
        <sz val="10"/>
        <rFont val="Arial"/>
      </rPr>
      <t xml:space="preserve">Interest Deposited (₹): </t>
    </r>
    <r>
      <rPr>
        <sz val="10"/>
        <rFont val="Arial"/>
      </rPr>
      <t>Interest (201(1A)) component of this challan's deposit, if any.</t>
    </r>
  </si>
  <si>
    <r>
      <rPr>
        <b/>
        <sz val="10"/>
        <rFont val="Arial"/>
      </rPr>
      <t xml:space="preserve">Others Deposited (₹): </t>
    </r>
    <r>
      <rPr>
        <sz val="10"/>
        <rFont val="Arial"/>
      </rPr>
      <t>Any other component (e.g. penalty) of this challan's deposit.</t>
    </r>
  </si>
  <si>
    <r>
      <rPr>
        <b/>
        <sz val="10"/>
        <rFont val="Arial"/>
      </rPr>
      <t xml:space="preserve">Late Fees u/s 234E (₹): </t>
    </r>
    <r>
      <rPr>
        <sz val="10"/>
        <rFont val="Arial"/>
      </rPr>
      <t>Late-filing fee levied under Section 234E, if any — kept separate from the TDS-allocatable amount, same as the software.</t>
    </r>
  </si>
  <si>
    <r>
      <rPr>
        <b/>
        <sz val="10"/>
        <rFont val="Arial"/>
      </rPr>
      <t xml:space="preserve">Late Fees Used (₹): </t>
    </r>
    <r>
      <rPr>
        <sz val="10"/>
        <rFont val="Arial"/>
      </rPr>
      <t>How much of the 234E late fee above has been accounted for/paid. Cannot exceed Late Fees u/s 234E.</t>
    </r>
  </si>
  <si>
    <r>
      <rPr>
        <b/>
        <sz val="10"/>
        <rFont val="Arial"/>
      </rPr>
      <t xml:space="preserve">Total Challan Amount (₹): </t>
    </r>
    <r>
      <rPr>
        <sz val="10"/>
        <rFont val="Arial"/>
      </rPr>
      <t>Calculates automatically — sum of Tax + Surcharge + Cess + Interest + Others + Late Fees 234E. Do not edit.</t>
    </r>
  </si>
  <si>
    <r>
      <rPr>
        <b/>
        <sz val="10"/>
        <rFont val="Arial"/>
      </rPr>
      <t xml:space="preserve">Bank Name: </t>
    </r>
    <r>
      <rPr>
        <sz val="10"/>
        <rFont val="Arial"/>
      </rPr>
      <t>Optional — the bank where the challan was deposited.</t>
    </r>
  </si>
  <si>
    <r>
      <rPr>
        <b/>
        <sz val="10"/>
        <rFont val="Arial"/>
      </rPr>
      <t xml:space="preserve">Book Entry?: </t>
    </r>
    <r>
      <rPr>
        <sz val="10"/>
        <rFont val="Arial"/>
      </rPr>
      <t>Y if this was a government book-entry payment (no cheque/DD), N otherwise.</t>
    </r>
  </si>
  <si>
    <r>
      <rPr>
        <b/>
        <sz val="10"/>
        <rFont val="Arial"/>
      </rPr>
      <t xml:space="preserve">Transfer Voucher No.: </t>
    </r>
    <r>
      <rPr>
        <sz val="10"/>
        <rFont val="Arial"/>
      </rPr>
      <t>Only if Book Entry = Y.</t>
    </r>
  </si>
  <si>
    <r>
      <rPr>
        <b/>
        <sz val="10"/>
        <rFont val="Arial"/>
      </rPr>
      <t xml:space="preserve">Cheque/DD No.: </t>
    </r>
    <r>
      <rPr>
        <sz val="10"/>
        <rFont val="Arial"/>
      </rPr>
      <t>For your own records. A direct code check of the software found this field has no UI there at all — it exists in the data model but there's no way to view or enter it on that screen. Kept here since it's a useful, low-risk reference field.</t>
    </r>
  </si>
  <si>
    <r>
      <rPr>
        <b/>
        <sz val="10"/>
        <rFont val="Arial"/>
      </rPr>
      <t xml:space="preserve">Challan Remarks: </t>
    </r>
    <r>
      <rPr>
        <sz val="10"/>
        <rFont val="Arial"/>
      </rPr>
      <t>Optional — any note against this challan.</t>
    </r>
  </si>
  <si>
    <t>Field Guide — Entry Rows (yellow columns)</t>
  </si>
  <si>
    <r>
      <rPr>
        <b/>
        <sz val="10"/>
        <rFont val="Arial"/>
      </rPr>
      <t xml:space="preserve">Challan Serial No.*: </t>
    </r>
    <r>
      <rPr>
        <sz val="10"/>
        <rFont val="Arial"/>
      </rPr>
      <t>Must match a Challan Serial No. already entered on a Challan row — on THIS tab or any of the other three — this is how the entry links to its challan, wherever it lives.</t>
    </r>
  </si>
  <si>
    <r>
      <rPr>
        <b/>
        <sz val="10"/>
        <rFont val="Arial"/>
      </rPr>
      <t xml:space="preserve">Deductee Name*: </t>
    </r>
    <r>
      <rPr>
        <sz val="10"/>
        <rFont val="Arial"/>
      </rPr>
      <t>Full legal name of the person/entity paid.</t>
    </r>
  </si>
  <si>
    <r>
      <rPr>
        <b/>
        <sz val="10"/>
        <rFont val="Arial"/>
      </rPr>
      <t xml:space="preserve">PAN*: </t>
    </r>
    <r>
      <rPr>
        <sz val="10"/>
        <rFont val="Arial"/>
      </rPr>
      <t>10-character PAN, 5 letters + 4 digits + 1 letter (any case — auto-normalised, same as the software). Leaving it blank or entering something invalid is allowed, exactly like the software: it just sets PAN Not Available to Y automatically and applies the flat no-PAN rate.</t>
    </r>
  </si>
  <si>
    <r>
      <rPr>
        <b/>
        <sz val="10"/>
        <rFont val="Arial"/>
      </rPr>
      <t xml:space="preserve">PAN Not Available (auto): </t>
    </r>
    <r>
      <rPr>
        <sz val="10"/>
        <rFont val="Arial"/>
      </rPr>
      <t>Calculates automatically — Y whenever PAN is blank or not in valid PAN format, N otherwise. There is no checkbox for this in the software either; it's entirely inferred from the PAN you type, never a field you set yourself. Do not edit.</t>
    </r>
  </si>
  <si>
    <r>
      <rPr>
        <b/>
        <sz val="10"/>
        <rFont val="Arial"/>
      </rPr>
      <t xml:space="preserve">Deductee Type: </t>
    </r>
    <r>
      <rPr>
        <sz val="10"/>
        <rFont val="Arial"/>
      </rPr>
      <t>Calculates automatically from the PAN's 4th character (Individual/HUF/Company/Firm/LLP/Trust/AOP) — same as the software, where this is never an editable field either. Do not edit.</t>
    </r>
  </si>
  <si>
    <r>
      <rPr>
        <b/>
        <sz val="10"/>
        <rFont val="Arial"/>
      </rPr>
      <t xml:space="preserve">Section*: </t>
    </r>
    <r>
      <rPr>
        <sz val="10"/>
        <rFont val="Arial"/>
      </rPr>
      <t>Pick from the dropdown — the TDS section under which this deduction was made. Highlighted amber if it differs from this entry's linked Challan's own Section. See "Section Codes" above for the PaymentCode : [OldSection] : NewSectionCode format, and which sections have a verified new code.</t>
    </r>
  </si>
  <si>
    <r>
      <rPr>
        <b/>
        <sz val="10"/>
        <rFont val="Arial"/>
      </rPr>
      <t xml:space="preserve">Rate of TDS (%): </t>
    </r>
    <r>
      <rPr>
        <sz val="10"/>
        <rFont val="Arial"/>
      </rPr>
      <t>Calculates automatically from Section + Deductee Type (and the flat no-PAN rate if PAN Not Available = Y) — same as the software, where this field is locked read-only for any section you can pick from the dropdown. Do not edit.</t>
    </r>
  </si>
  <si>
    <r>
      <rPr>
        <b/>
        <sz val="10"/>
        <rFont val="Arial"/>
      </rPr>
      <t xml:space="preserve">Date of Payment/Credit*: </t>
    </r>
    <r>
      <rPr>
        <sz val="10"/>
        <rFont val="Arial"/>
      </rPr>
      <t>Date the deductee was paid or credited, whichever is earlier.</t>
    </r>
  </si>
  <si>
    <r>
      <rPr>
        <b/>
        <sz val="10"/>
        <rFont val="Arial"/>
      </rPr>
      <t xml:space="preserve">Amount Paid/Credited (₹)*: </t>
    </r>
    <r>
      <rPr>
        <sz val="10"/>
        <rFont val="Arial"/>
      </rPr>
      <t>Gross amount paid/credited, before TDS.</t>
    </r>
  </si>
  <si>
    <r>
      <rPr>
        <b/>
        <sz val="10"/>
        <rFont val="Arial"/>
      </rPr>
      <t xml:space="preserve">TDS Amount (₹): </t>
    </r>
    <r>
      <rPr>
        <sz val="10"/>
        <rFont val="Arial"/>
      </rPr>
      <t>Calculates automatically as ROUND(Amount Paid × Rate of TDS / 100). Do not edit.</t>
    </r>
  </si>
  <si>
    <r>
      <rPr>
        <b/>
        <sz val="10"/>
        <rFont val="Arial"/>
      </rPr>
      <t xml:space="preserve">Surcharge Amount (₹): </t>
    </r>
    <r>
      <rPr>
        <sz val="10"/>
        <rFont val="Arial"/>
      </rPr>
      <t>Always 0 — the software itself has no way to enter this on a deductee. Do not edit.</t>
    </r>
  </si>
  <si>
    <r>
      <rPr>
        <b/>
        <sz val="10"/>
        <rFont val="Arial"/>
      </rPr>
      <t xml:space="preserve">Education Cess Amount (₹): </t>
    </r>
    <r>
      <rPr>
        <sz val="10"/>
        <rFont val="Arial"/>
      </rPr>
      <t>Always 0 — same reason as Surcharge Amount. Do not edit.</t>
    </r>
  </si>
  <si>
    <r>
      <rPr>
        <b/>
        <sz val="10"/>
        <rFont val="Arial"/>
      </rPr>
      <t xml:space="preserve">Interest Amount (₹): </t>
    </r>
    <r>
      <rPr>
        <sz val="10"/>
        <rFont val="Arial"/>
      </rPr>
      <t>Calculates automatically under Section 201(1A) from TDS Amount, Date of Payment, and the linked Challan's Date of Deposit (found wherever that challan itself lives). Do not edit.</t>
    </r>
  </si>
  <si>
    <r>
      <rPr>
        <b/>
        <sz val="10"/>
        <rFont val="Arial"/>
      </rPr>
      <t xml:space="preserve">Late Fees Amount (₹): </t>
    </r>
    <r>
      <rPr>
        <sz val="10"/>
        <rFont val="Arial"/>
      </rPr>
      <t>Always 0 — same reason as Surcharge Amount. Do not edit.</t>
    </r>
  </si>
  <si>
    <r>
      <rPr>
        <b/>
        <sz val="10"/>
        <rFont val="Arial"/>
      </rPr>
      <t xml:space="preserve">Reason Code: </t>
    </r>
    <r>
      <rPr>
        <sz val="10"/>
        <rFont val="Arial"/>
      </rPr>
      <t>Pick from the dropdown (A–E, Y, Z) if applicable — e.g. Z for a higher rate under Section 206AA (no PAN).</t>
    </r>
  </si>
  <si>
    <r>
      <rPr>
        <b/>
        <sz val="10"/>
        <rFont val="Arial"/>
      </rPr>
      <t xml:space="preserve">Lower Deduction Certificate No.: </t>
    </r>
    <r>
      <rPr>
        <sz val="10"/>
        <rFont val="Arial"/>
      </rPr>
      <t>If a lower/nil deduction certificate under Section 197 applies.</t>
    </r>
  </si>
  <si>
    <r>
      <rPr>
        <b/>
        <sz val="10"/>
        <rFont val="Arial"/>
      </rPr>
      <t xml:space="preserve">Lower Deduction Rate (%): </t>
    </r>
    <r>
      <rPr>
        <sz val="10"/>
        <rFont val="Arial"/>
      </rPr>
      <t>The certificate's own rate, if applicable.</t>
    </r>
  </si>
  <si>
    <r>
      <rPr>
        <b/>
        <sz val="10"/>
        <rFont val="Arial"/>
      </rPr>
      <t xml:space="preserve">Country of Residence: </t>
    </r>
    <r>
      <rPr>
        <sz val="10"/>
        <rFont val="Arial"/>
      </rPr>
      <t>For your own records — see "What This Template CANNOT Do" above.</t>
    </r>
  </si>
  <si>
    <r>
      <rPr>
        <b/>
        <sz val="10"/>
        <rFont val="Arial"/>
      </rPr>
      <t xml:space="preserve">Remarks: </t>
    </r>
    <r>
      <rPr>
        <sz val="10"/>
        <rFont val="Arial"/>
      </rPr>
      <t>For your own records — see "What This Template CANNOT Do" above.</t>
    </r>
  </si>
  <si>
    <t>Field Guide — Auto-Tracked Columns (green, Challan rows only)</t>
  </si>
  <si>
    <r>
      <rPr>
        <b/>
        <sz val="10"/>
        <rFont val="Arial"/>
      </rPr>
      <t xml:space="preserve">Applied (₹) [all quarters]: </t>
    </r>
    <r>
      <rPr>
        <sz val="10"/>
        <rFont val="Arial"/>
      </rPr>
      <t>Sum of TDS + Interest + Surcharge across every Entry row linked to this challan, on ANY of the four quarter tabs — this is the carry-forward figure. Do not edit.</t>
    </r>
  </si>
  <si>
    <r>
      <rPr>
        <b/>
        <sz val="10"/>
        <rFont val="Arial"/>
      </rPr>
      <t xml:space="preserve">Allocatable (₹): </t>
    </r>
    <r>
      <rPr>
        <sz val="10"/>
        <rFont val="Arial"/>
      </rPr>
      <t>Total Challan Amount minus Late Fees u/s 234E — late fees are a separate govt levy, excluded from what TDS entries can consume. Do not edit.</t>
    </r>
  </si>
  <si>
    <r>
      <rPr>
        <b/>
        <sz val="10"/>
        <rFont val="Arial"/>
      </rPr>
      <t xml:space="preserve">Balance (₹) [all quarters]: </t>
    </r>
    <r>
      <rPr>
        <sz val="10"/>
        <rFont val="Arial"/>
      </rPr>
      <t>MAX(0, Allocatable − Applied) — how much of this challan is still unconsumed across the whole year. Do not edit.</t>
    </r>
  </si>
  <si>
    <t>192 — Salary</t>
  </si>
  <si>
    <t>1004 : [192A] : 393(7) – Premature withdrawal from Employees' Provident Fund</t>
  </si>
  <si>
    <t>1019 : [193] : 393(1) [Table: S.N. 5(i)] – Interest on securities</t>
  </si>
  <si>
    <t>1029 : [194] : 393(1) [Table: S.N. 7] – Dividend</t>
  </si>
  <si>
    <t>1020 : [194A] : 393(1) [Table: S.N. 5(ii).D(a)] – Interest other than securities (Senior Citizens)</t>
  </si>
  <si>
    <t>1021 : [194A] : 393(1) [Table: S.N. 5(ii).D(b)] – Interest other than securities (Other Individuals)</t>
  </si>
  <si>
    <t>1022 : [194A] : 393(1) [Table: S.N. 5(iii)] – Interest other than securities (Others)</t>
  </si>
  <si>
    <t>1058 : [194B] : 393(3) [Table: Sl. No. 1] – Winnings from lottery, crossword puzzles, card games and other games</t>
  </si>
  <si>
    <t>1062 : [194BB] : 393(3) [Table: S.No. 3] – Winnings from horse races</t>
  </si>
  <si>
    <t>1023 : [194C] : 393(1) [Table: S.N. 6(i).D(a)] – Payments to contractors and sub-contractors (Individual/HUF)</t>
  </si>
  <si>
    <t>1024 : [194C] : 393(1) [Table: S.N. 6(i).D(b)] – Payments to contractors and sub-contractors (Others)</t>
  </si>
  <si>
    <t>1005 : [194D] : 393(1) [Table: S.No. 1(i)] – Insurance commission</t>
  </si>
  <si>
    <t>1030 : [194DA] : 393(1) [Table: Sl. No. 8(i)] – Payment in respect of life insurance policy (maturity proceeds)</t>
  </si>
  <si>
    <t>1063 : [194G] : 393(3) [Table: S.No. 4] – Commission on sale of lottery tickets</t>
  </si>
  <si>
    <t>1006 : [194H] : 393(1) [Table: S.N. 1(ii)] – Commission or brokerage</t>
  </si>
  <si>
    <t>1008 : [194I(a)] : 393(1) [Table: S.N. 2(ii).D(a)] – Rent – Plant &amp; Machinery</t>
  </si>
  <si>
    <t>1009 : [194I(b)] : 393(1) [Table: S.N. 2(ii).D(b)] – Rent – Land/Building/Furniture</t>
  </si>
  <si>
    <t>194IA — Immovable Property Purchase</t>
  </si>
  <si>
    <t>194IB — Rent by Ind/HUF (&gt;50k/month)</t>
  </si>
  <si>
    <t>1011 : [194IC] : 393(1) [Table: S.N. 3(ii)] – Payment under a Joint Development Agreement (JDA)</t>
  </si>
  <si>
    <t>1027 : [194J(a)] : 393(1) [Table: S.N. 6(iii).D(b)] – Professional services / director remuneration</t>
  </si>
  <si>
    <t>1026 : [194J(b)] : 393(1) [Table: S.N. 6(iii).D(a)] – Fees for technical services</t>
  </si>
  <si>
    <t>1013 : [194K] : 393(1) [Table: Sl. No. 4(i)] – Income from units of a mutual fund</t>
  </si>
  <si>
    <t>1012 : [194LA] : 393(1) [Table: S.No. 3(iii)] – Compensation on compulsory acquisition of certain immovable property</t>
  </si>
  <si>
    <t>1044 : [194LB] : 393(2) [Table: S.No. 5] – Interest from an infrastructure debt fund</t>
  </si>
  <si>
    <t>194M — Contractor/Professional by Ind</t>
  </si>
  <si>
    <t>194O — E-Commerce</t>
  </si>
  <si>
    <t>1031 : [194Q] : 393(1) [Table: S.N. 8(ii)] – Purchase of goods (buyer TDS)</t>
  </si>
  <si>
    <t>1034 : [194R] : 393(1) [Table: S.N. 8(iv)] – Perquisite/benefit in business or profession (Cash)</t>
  </si>
  <si>
    <t>1035 : [194R] : 393(1) [Table: S.N. 8(iv) Note 6] – Perquisite/benefit in business or profession (In Kind/Mixed)</t>
  </si>
  <si>
    <t>1037 : [194S] : 393(1) [Table: Sl. No. 8(vi)] – Consideration for transfer of a virtual digital asset (crypto)</t>
  </si>
  <si>
    <t>1067 : [194T] : 393(3) [Table: S.N. 7] – Payment to partners of a firm (salary/remuneration/interest)</t>
  </si>
  <si>
    <t>1057 : [195] : 393(2) [Table: Sl. No. 17] – Payment to a non-resident (other than salary)</t>
  </si>
  <si>
    <t>1050 : [196A] : 393(2) – Income from units of a specified mutual fund/UTI paid to a non-resident</t>
  </si>
  <si>
    <t>1055 : [196D] : 393(2) [Table: Sl. No. 15] – Income of Foreign Institutional Investors from securities</t>
  </si>
  <si>
    <t>1073 : [206C(1)] : 394(1) [Table: S.N. 4] – Sale of scrap (TCS)</t>
  </si>
  <si>
    <t>206C(1H) — Sale of Goods (TCS) — NOTE: this TCS provision was abolished by the Finance Act 2025, effective 1-Apr-2025, a full year before the Section 393 reform even took effect. It no longer applies to any transaction from FY2025-26 onward.</t>
  </si>
  <si>
    <t>Q1 — each Challan row's full details, followed by its Entry rows</t>
  </si>
  <si>
    <t>Sr. No.</t>
  </si>
  <si>
    <t>Row Type*</t>
  </si>
  <si>
    <t>BSR Code*</t>
  </si>
  <si>
    <t>Challan Serial No.*</t>
  </si>
  <si>
    <t>Status</t>
  </si>
  <si>
    <t>Date of Deposit*</t>
  </si>
  <si>
    <t>Minor Head*</t>
  </si>
  <si>
    <t>Section</t>
  </si>
  <si>
    <t>Tax Deposited (₹)*</t>
  </si>
  <si>
    <t>Surcharge Deposited (₹)</t>
  </si>
  <si>
    <t>Education Cess Deposited (₹)</t>
  </si>
  <si>
    <t>Interest Deposited (₹)</t>
  </si>
  <si>
    <t>Others Deposited (₹)</t>
  </si>
  <si>
    <t>Late Fees u/s 234E (₹)</t>
  </si>
  <si>
    <t>Late Fees Used (₹)</t>
  </si>
  <si>
    <t>Total Challan Amount (₹)</t>
  </si>
  <si>
    <t>Bank Name</t>
  </si>
  <si>
    <t>Book Entry?</t>
  </si>
  <si>
    <t>Transfer Voucher No.</t>
  </si>
  <si>
    <t>Cheque/DD No.</t>
  </si>
  <si>
    <t>Challan Remarks</t>
  </si>
  <si>
    <t>Deductee Name*</t>
  </si>
  <si>
    <t>PAN*</t>
  </si>
  <si>
    <t>PAN Not Available (auto)</t>
  </si>
  <si>
    <t>Deductee Type</t>
  </si>
  <si>
    <t>Section*</t>
  </si>
  <si>
    <t>Rate of TDS (%)</t>
  </si>
  <si>
    <t>Date of Payment/Credit*</t>
  </si>
  <si>
    <t>Amount Paid/Credited (₹)*</t>
  </si>
  <si>
    <t>TDS Amount (₹)</t>
  </si>
  <si>
    <t>Surcharge Amount (₹)</t>
  </si>
  <si>
    <t>Education Cess Amount (₹)</t>
  </si>
  <si>
    <t>Interest Amount (₹)</t>
  </si>
  <si>
    <t>Late Fees Amount (₹)</t>
  </si>
  <si>
    <t>Reason Code</t>
  </si>
  <si>
    <t>Lower Deduction Certificate No.</t>
  </si>
  <si>
    <t>Lower Deduction Rate (%)</t>
  </si>
  <si>
    <t>Country of Residence</t>
  </si>
  <si>
    <t>Remarks</t>
  </si>
  <si>
    <t>Applied (₹) [all quarters]</t>
  </si>
  <si>
    <t>Allocatable (₹)</t>
  </si>
  <si>
    <t>Balance (₹) [all quarters]</t>
  </si>
  <si>
    <t>Linked Challan Deposit Date (internal)</t>
  </si>
  <si>
    <t>Section Mismatch Flag (internal)</t>
  </si>
  <si>
    <t>Challan</t>
  </si>
  <si>
    <t>0510002</t>
  </si>
  <si>
    <t>EXAMPLE-DO-NOT-IMPORT</t>
  </si>
  <si>
    <t>200</t>
  </si>
  <si>
    <t>HDFC Bank</t>
  </si>
  <si>
    <t>N</t>
  </si>
  <si>
    <t>Worked example — see Instructions</t>
  </si>
  <si>
    <t>Entry</t>
  </si>
  <si>
    <t>ADINATH PROCESSING INDUSTRIES PRIVATE LIMITED</t>
  </si>
  <si>
    <t>AACCP6899F</t>
  </si>
  <si>
    <t/>
  </si>
  <si>
    <t>A-ONE CHEM TRADE PVT. LTD.</t>
  </si>
  <si>
    <t>AAGCA2480D</t>
  </si>
  <si>
    <t>KHYATI CHEMICALS PRIVATE LIMITED</t>
  </si>
  <si>
    <t>AAACK6277E</t>
  </si>
  <si>
    <t>B</t>
  </si>
  <si>
    <t>LDC/2026/001</t>
  </si>
  <si>
    <t>NIL rate, LDC on file</t>
  </si>
  <si>
    <t>Q2 — each Challan row's full details, followed by its Entry rows</t>
  </si>
  <si>
    <t>Q3 — each Challan row's full details, followed by its Entry rows</t>
  </si>
  <si>
    <t>Q4 — each Challan row's full details, followed by its Entry rows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</si>
</sst>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mm-yyyy"/>
  </numFmts>
  <fonts count="8" x14ac:knownFonts="1">
    <font>
      <color theme="1"/>
      <family val="2"/>
      <scheme val="minor"/>
      <sz val="11"/>
      <name val="Calibri"/>
    </font>
    <font>
      <b/>
      <color rgb="FF1F3864"/>
      <sz val="16"/>
      <name val="Arial"/>
    </font>
    <font>
      <i/>
      <color rgb="FF595959"/>
      <sz val="10"/>
      <name val="Arial"/>
    </font>
    <font>
      <b/>
      <color rgb="FF1F3864"/>
      <sz val="12"/>
      <name val="Arial"/>
    </font>
    <font>
      <sz val="10"/>
      <name val="Arial"/>
    </font>
    <font>
      <b/>
      <sz val="11"/>
      <name val="Arial"/>
    </font>
    <font>
      <b/>
      <color rgb="FFFFFFFF"/>
      <sz val="10"/>
      <name val="Arial"/>
    </font>
    <font>
      <i/>
      <color rgb="FF808080"/>
      <sz val="10"/>
      <name val="Arial"/>
    </font>
  </fonts>
  <fills count="8">
    <fill>
      <patternFill patternType="none"/>
    </fill>
    <fill>
      <patternFill patternType="gray125"/>
    </fill>
    <fill>
      <patternFill patternType="solid">
        <fgColor rgb="FF1F3864"/>
      </patternFill>
    </fill>
    <fill>
      <patternFill patternType="solid">
        <fgColor rgb="FFF2F2F2"/>
      </patternFill>
    </fill>
    <fill>
      <patternFill patternType="solid">
        <fgColor rgb="FFE2EFDA"/>
      </patternFill>
    </fill>
    <fill>
      <patternFill patternType="solid">
        <fgColor rgb="FFFCE4D6"/>
      </patternFill>
    </fill>
    <fill>
      <patternFill patternType="solid">
        <fgColor rgb="FFDDEBF7"/>
      </patternFill>
    </fill>
    <fill>
      <patternFill patternType="solid">
        <fgColor rgb="FFFFF2CC"/>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5">
    <xf numFmtId="0" fontId="0" fillId="0" borderId="0" xfId="0"/>
    <xf numFmtId="0" fontId="1" fillId="0" borderId="0" xfId="0" applyFont="1"/>
    <xf numFmtId="0" fontId="2" fillId="0" borderId="0" xfId="0" applyFont="1"/>
    <xf numFmtId="0" fontId="3" fillId="0" borderId="0" xfId="0" applyFont="1"/>
    <xf numFmtId="0" fontId="4" fillId="0" borderId="0" xfId="0" applyFont="1" applyAlignment="1">
      <alignment vertical="top" wrapText="1"/>
    </xf>
    <xf numFmtId="0" fontId="0" fillId="0" borderId="0" xfId="0" applyAlignment="1">
      <alignment vertical="top" wrapText="1"/>
    </xf>
    <xf numFmtId="0" fontId="3" fillId="0" borderId="0" xfId="0" applyFont="1" applyAlignment="1">
      <alignment vertical="center"/>
    </xf>
    <xf numFmtId="0" fontId="5" fillId="0" borderId="0" xfId="0" applyFont="1" applyAlignment="1">
      <alignment vertical="center"/>
    </xf>
    <xf numFmtId="0" fontId="6" fillId="2" borderId="1" xfId="0" applyFont="1" applyFill="1" applyBorder="1" applyAlignment="1">
      <alignment horizontal="center" vertical="center" wrapText="1"/>
    </xf>
    <xf numFmtId="0" fontId="7" fillId="3" borderId="1" xfId="0" applyFont="1" applyFill="1" applyBorder="1" applyAlignment="1" applyProtection="1">
      <alignment horizontal="center" vertical="center"/>
    </xf>
    <xf numFmtId="0" fontId="7" fillId="3" borderId="1" xfId="0" applyFont="1" applyFill="1" applyBorder="1" applyAlignment="1" applyProtection="1">
      <alignment horizontal="left" vertical="center"/>
      <protection locked="0"/>
    </xf>
    <xf numFmtId="49" fontId="7" fillId="3" borderId="1" xfId="0" applyNumberFormat="1" applyFont="1" applyFill="1" applyBorder="1" applyAlignment="1" applyProtection="1">
      <alignment horizontal="left" vertical="center"/>
      <protection locked="0"/>
    </xf>
    <xf numFmtId="0" fontId="7" fillId="3" borderId="1" xfId="0" applyFont="1" applyFill="1" applyBorder="1" applyAlignment="1" applyProtection="1">
      <alignment horizontal="left" vertical="center"/>
    </xf>
    <xf numFmtId="164" fontId="7" fillId="3" borderId="1" xfId="0" applyNumberFormat="1" applyFont="1" applyFill="1" applyBorder="1" applyAlignment="1" applyProtection="1">
      <alignment horizontal="left" vertical="center"/>
      <protection locked="0"/>
    </xf>
    <xf numFmtId="3" fontId="7" fillId="3" borderId="1" xfId="0" applyNumberFormat="1" applyFont="1" applyFill="1" applyBorder="1" applyAlignment="1" applyProtection="1">
      <alignment horizontal="left" vertical="center"/>
      <protection locked="0"/>
    </xf>
    <xf numFmtId="3" fontId="7" fillId="3" borderId="1" xfId="0" applyNumberFormat="1" applyFont="1" applyFill="1" applyBorder="1" applyAlignment="1" applyProtection="1">
      <alignment horizontal="left" vertical="center"/>
    </xf>
    <xf numFmtId="2" fontId="7" fillId="3" borderId="1" xfId="0" applyNumberFormat="1" applyFont="1" applyFill="1" applyBorder="1" applyAlignment="1" applyProtection="1">
      <alignment horizontal="left" vertical="center"/>
    </xf>
    <xf numFmtId="2" fontId="7" fillId="3" borderId="1" xfId="0" applyNumberFormat="1" applyFont="1" applyFill="1" applyBorder="1" applyAlignment="1" applyProtection="1">
      <alignment horizontal="left" vertical="center"/>
      <protection locked="0"/>
    </xf>
    <xf numFmtId="164" fontId="7" fillId="3" borderId="1" xfId="0" applyNumberFormat="1" applyFont="1" applyFill="1" applyBorder="1" applyProtection="1"/>
    <xf numFmtId="0" fontId="7" fillId="3" borderId="1" xfId="0" applyFont="1" applyFill="1" applyBorder="1" applyProtection="1"/>
    <xf numFmtId="0" fontId="4" fillId="4" borderId="1" xfId="0" applyFont="1" applyFill="1" applyBorder="1" applyAlignment="1" applyProtection="1">
      <alignment horizontal="center" vertical="center"/>
    </xf>
    <xf numFmtId="0" fontId="4" fillId="5" borderId="1" xfId="0" applyFont="1" applyFill="1" applyBorder="1" applyAlignment="1" applyProtection="1">
      <alignment horizontal="left" vertical="center"/>
      <protection locked="0"/>
    </xf>
    <xf numFmtId="49" fontId="4" fillId="6" borderId="1" xfId="0" applyNumberFormat="1" applyFont="1" applyFill="1" applyBorder="1" applyAlignment="1" applyProtection="1">
      <alignment horizontal="left" vertical="center"/>
      <protection locked="0"/>
    </xf>
    <xf numFmtId="0" fontId="4" fillId="4" borderId="1" xfId="0" applyFont="1" applyFill="1" applyBorder="1" applyAlignment="1" applyProtection="1">
      <alignment horizontal="left" vertical="center"/>
    </xf>
    <xf numFmtId="164" fontId="4" fillId="6" borderId="1" xfId="0" applyNumberFormat="1" applyFont="1" applyFill="1" applyBorder="1" applyAlignment="1" applyProtection="1">
      <alignment horizontal="left" vertical="center"/>
      <protection locked="0"/>
    </xf>
    <xf numFmtId="0" fontId="4" fillId="6" borderId="1" xfId="0" applyFont="1" applyFill="1" applyBorder="1" applyAlignment="1" applyProtection="1">
      <alignment horizontal="left" vertical="center"/>
      <protection locked="0"/>
    </xf>
    <xf numFmtId="3" fontId="4" fillId="6" borderId="1" xfId="0" applyNumberFormat="1" applyFont="1" applyFill="1" applyBorder="1" applyAlignment="1" applyProtection="1">
      <alignment horizontal="left" vertical="center"/>
      <protection locked="0"/>
    </xf>
    <xf numFmtId="3" fontId="4" fillId="4" borderId="1" xfId="0" applyNumberFormat="1" applyFont="1" applyFill="1" applyBorder="1" applyAlignment="1" applyProtection="1">
      <alignment horizontal="left" vertical="center"/>
    </xf>
    <xf numFmtId="0" fontId="4" fillId="7" borderId="1" xfId="0" applyFont="1" applyFill="1" applyBorder="1" applyAlignment="1" applyProtection="1">
      <alignment horizontal="left" vertical="center"/>
      <protection locked="0"/>
    </xf>
    <xf numFmtId="2" fontId="4" fillId="4" borderId="1" xfId="0" applyNumberFormat="1" applyFont="1" applyFill="1" applyBorder="1" applyAlignment="1" applyProtection="1">
      <alignment horizontal="left" vertical="center"/>
    </xf>
    <xf numFmtId="164" fontId="4" fillId="7" borderId="1" xfId="0" applyNumberFormat="1" applyFont="1" applyFill="1" applyBorder="1" applyAlignment="1" applyProtection="1">
      <alignment horizontal="left" vertical="center"/>
      <protection locked="0"/>
    </xf>
    <xf numFmtId="3" fontId="4" fillId="7" borderId="1" xfId="0" applyNumberFormat="1" applyFont="1" applyFill="1" applyBorder="1" applyAlignment="1" applyProtection="1">
      <alignment horizontal="left" vertical="center"/>
      <protection locked="0"/>
    </xf>
    <xf numFmtId="2" fontId="4" fillId="7" borderId="1" xfId="0" applyNumberFormat="1" applyFont="1" applyFill="1" applyBorder="1" applyAlignment="1" applyProtection="1">
      <alignment horizontal="left" vertical="center"/>
      <protection locked="0"/>
    </xf>
    <xf numFmtId="164" fontId="0" fillId="0" borderId="0" xfId="0" applyNumberFormat="1" applyProtection="1"/>
    <xf numFmtId="0" fontId="0" fillId="0" borderId="0" xfId="0" applyProtection="1"/>
  </cellXfs>
  <cellStyles count="1">
    <cellStyle name="Normal" xfId="0" builtinId="0"/>
  </cellStyles>
  <dxfs count="36">
    <dxf>
      <font>
        <b/>
      </font>
      <fill>
        <patternFill patternType="solid">
          <bgColor rgb="FFEAF1FB"/>
        </patternFill>
      </fill>
    </dxf>
    <dxf>
      <font>
        <b/>
        <color rgb="FFFFFFFF"/>
      </font>
      <fill>
        <patternFill patternType="solid">
          <bgColor rgb="FFC00000"/>
        </patternFill>
      </fill>
    </dxf>
    <dxf>
      <font>
        <b/>
      </font>
      <fill>
        <patternFill patternType="solid">
          <bgColor rgb="FFC6EFCE"/>
        </patternFill>
      </fill>
    </dxf>
    <dxf>
      <fill>
        <patternFill patternType="solid">
          <bgColor rgb="FFFFEB9C"/>
        </patternFill>
      </fill>
    </dxf>
    <dxf>
      <font>
        <b/>
        <color rgb="FF9C5700"/>
      </font>
      <fill>
        <patternFill patternType="solid">
          <bgColor rgb="FFFFEB9C"/>
        </patternFill>
      </fill>
    </dxf>
    <dxf>
      <font>
        <color rgb="FF9C0006"/>
      </font>
      <fill>
        <patternFill patternType="solid">
          <bgColor rgb="FFFFC7CE"/>
        </patternFill>
      </fill>
    </dxf>
    <dxf>
      <font>
        <b/>
        <color rgb="FF9C0006"/>
      </font>
      <fill>
        <patternFill patternType="solid">
          <bgColor rgb="FFFFC7CE"/>
        </patternFill>
      </fill>
    </dxf>
    <dxf>
      <font>
        <b/>
        <color rgb="FFFFFFFF"/>
      </font>
      <fill>
        <patternFill patternType="solid">
          <bgColor rgb="FFC00000"/>
        </patternFill>
      </fill>
    </dxf>
    <dxf>
      <font>
        <b/>
      </font>
      <fill>
        <patternFill patternType="solid">
          <bgColor rgb="FFC6EFCE"/>
        </patternFill>
      </fill>
    </dxf>
    <dxf>
      <font>
        <b/>
      </font>
      <fill>
        <patternFill patternType="solid">
          <bgColor rgb="FFEAF1FB"/>
        </patternFill>
      </fill>
    </dxf>
    <dxf>
      <font>
        <b/>
        <color rgb="FFFFFFFF"/>
      </font>
      <fill>
        <patternFill patternType="solid">
          <bgColor rgb="FFC00000"/>
        </patternFill>
      </fill>
    </dxf>
    <dxf>
      <font>
        <b/>
      </font>
      <fill>
        <patternFill patternType="solid">
          <bgColor rgb="FFC6EFCE"/>
        </patternFill>
      </fill>
    </dxf>
    <dxf>
      <fill>
        <patternFill patternType="solid">
          <bgColor rgb="FFFFEB9C"/>
        </patternFill>
      </fill>
    </dxf>
    <dxf>
      <font>
        <b/>
        <color rgb="FF9C5700"/>
      </font>
      <fill>
        <patternFill patternType="solid">
          <bgColor rgb="FFFFEB9C"/>
        </patternFill>
      </fill>
    </dxf>
    <dxf>
      <font>
        <color rgb="FF9C0006"/>
      </font>
      <fill>
        <patternFill patternType="solid">
          <bgColor rgb="FFFFC7CE"/>
        </patternFill>
      </fill>
    </dxf>
    <dxf>
      <font>
        <b/>
        <color rgb="FF9C0006"/>
      </font>
      <fill>
        <patternFill patternType="solid">
          <bgColor rgb="FFFFC7CE"/>
        </patternFill>
      </fill>
    </dxf>
    <dxf>
      <font>
        <b/>
        <color rgb="FFFFFFFF"/>
      </font>
      <fill>
        <patternFill patternType="solid">
          <bgColor rgb="FFC00000"/>
        </patternFill>
      </fill>
    </dxf>
    <dxf>
      <font>
        <b/>
      </font>
      <fill>
        <patternFill patternType="solid">
          <bgColor rgb="FFC6EFCE"/>
        </patternFill>
      </fill>
    </dxf>
    <dxf>
      <font>
        <b/>
      </font>
      <fill>
        <patternFill patternType="solid">
          <bgColor rgb="FFEAF1FB"/>
        </patternFill>
      </fill>
    </dxf>
    <dxf>
      <font>
        <b/>
        <color rgb="FFFFFFFF"/>
      </font>
      <fill>
        <patternFill patternType="solid">
          <bgColor rgb="FFC00000"/>
        </patternFill>
      </fill>
    </dxf>
    <dxf>
      <font>
        <b/>
      </font>
      <fill>
        <patternFill patternType="solid">
          <bgColor rgb="FFC6EFCE"/>
        </patternFill>
      </fill>
    </dxf>
    <dxf>
      <fill>
        <patternFill patternType="solid">
          <bgColor rgb="FFFFEB9C"/>
        </patternFill>
      </fill>
    </dxf>
    <dxf>
      <font>
        <b/>
        <color rgb="FF9C5700"/>
      </font>
      <fill>
        <patternFill patternType="solid">
          <bgColor rgb="FFFFEB9C"/>
        </patternFill>
      </fill>
    </dxf>
    <dxf>
      <font>
        <color rgb="FF9C0006"/>
      </font>
      <fill>
        <patternFill patternType="solid">
          <bgColor rgb="FFFFC7CE"/>
        </patternFill>
      </fill>
    </dxf>
    <dxf>
      <font>
        <b/>
        <color rgb="FF9C0006"/>
      </font>
      <fill>
        <patternFill patternType="solid">
          <bgColor rgb="FFFFC7CE"/>
        </patternFill>
      </fill>
    </dxf>
    <dxf>
      <font>
        <b/>
        <color rgb="FFFFFFFF"/>
      </font>
      <fill>
        <patternFill patternType="solid">
          <bgColor rgb="FFC00000"/>
        </patternFill>
      </fill>
    </dxf>
    <dxf>
      <font>
        <b/>
      </font>
      <fill>
        <patternFill patternType="solid">
          <bgColor rgb="FFC6EFCE"/>
        </patternFill>
      </fill>
    </dxf>
    <dxf>
      <font>
        <b/>
      </font>
      <fill>
        <patternFill patternType="solid">
          <bgColor rgb="FFEAF1FB"/>
        </patternFill>
      </fill>
    </dxf>
    <dxf>
      <font>
        <b/>
        <color rgb="FFFFFFFF"/>
      </font>
      <fill>
        <patternFill patternType="solid">
          <bgColor rgb="FFC00000"/>
        </patternFill>
      </fill>
    </dxf>
    <dxf>
      <font>
        <b/>
      </font>
      <fill>
        <patternFill patternType="solid">
          <bgColor rgb="FFC6EFCE"/>
        </patternFill>
      </fill>
    </dxf>
    <dxf>
      <fill>
        <patternFill patternType="solid">
          <bgColor rgb="FFFFEB9C"/>
        </patternFill>
      </fill>
    </dxf>
    <dxf>
      <font>
        <b/>
        <color rgb="FF9C5700"/>
      </font>
      <fill>
        <patternFill patternType="solid">
          <bgColor rgb="FFFFEB9C"/>
        </patternFill>
      </fill>
    </dxf>
    <dxf>
      <font>
        <color rgb="FF9C0006"/>
      </font>
      <fill>
        <patternFill patternType="solid">
          <bgColor rgb="FFFFC7CE"/>
        </patternFill>
      </fill>
    </dxf>
    <dxf>
      <font>
        <b/>
        <color rgb="FF9C0006"/>
      </font>
      <fill>
        <patternFill patternType="solid">
          <bgColor rgb="FFFFC7CE"/>
        </patternFill>
      </fill>
    </dxf>
    <dxf>
      <font>
        <b/>
        <color rgb="FFFFFFFF"/>
      </font>
      <fill>
        <patternFill patternType="solid">
          <bgColor rgb="FFC00000"/>
        </patternFill>
      </fill>
    </dxf>
    <dxf>
      <font>
        <b/>
      </font>
      <fill>
        <patternFill patternType="solid">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81"/>
  <sheetViews>
    <sheetView workbookViewId="0" showGridLines="0"/>
  </sheetViews>
  <sheetFormatPr defaultRowHeight="15" outlineLevelRow="0" outlineLevelCol="0" x14ac:dyDescent="55"/>
  <cols>
    <col min="1" max="1" width="100" customWidth="1"/>
  </cols>
  <sheetData>
    <row r="1" spans="1:1" x14ac:dyDescent="0.25">
      <c r="A1" s="1" t="s">
        <v>0</v>
      </c>
    </row>
    <row r="3" spans="1:1" x14ac:dyDescent="0.25">
      <c r="A3" s="2" t="s">
        <v>1</v>
      </c>
    </row>
    <row r="5" spans="1:1" x14ac:dyDescent="0.25">
      <c r="A5" s="3" t="s">
        <v>2</v>
      </c>
    </row>
    <row r="6" ht="65" customHeight="1" spans="1:1" x14ac:dyDescent="0.25">
      <c r="A6" s="4" t="s">
        <v>3</v>
      </c>
    </row>
    <row r="7" ht="65" customHeight="1" spans="1:1" x14ac:dyDescent="0.25">
      <c r="A7" s="4" t="s">
        <v>4</v>
      </c>
    </row>
    <row r="8" ht="65" customHeight="1" spans="1:1" x14ac:dyDescent="0.25">
      <c r="A8" s="4" t="s">
        <v>5</v>
      </c>
    </row>
    <row r="9" ht="95" customHeight="1" spans="1:1" x14ac:dyDescent="0.25">
      <c r="A9" s="4" t="s">
        <v>6</v>
      </c>
    </row>
    <row r="10" ht="80" customHeight="1" spans="1:1" x14ac:dyDescent="0.25">
      <c r="A10" s="4" t="s">
        <v>7</v>
      </c>
    </row>
    <row r="11" ht="125" customHeight="1" spans="1:1" x14ac:dyDescent="0.25">
      <c r="A11" s="4" t="s">
        <v>8</v>
      </c>
    </row>
    <row r="12" ht="110" customHeight="1" spans="1:1" x14ac:dyDescent="0.25">
      <c r="A12" s="4" t="s">
        <v>9</v>
      </c>
    </row>
    <row r="13" ht="50" customHeight="1" spans="1:1" x14ac:dyDescent="0.25">
      <c r="A13" s="4" t="s">
        <v>10</v>
      </c>
    </row>
    <row r="14" ht="80" customHeight="1" spans="1:1" x14ac:dyDescent="0.25">
      <c r="A14" s="4" t="s">
        <v>11</v>
      </c>
    </row>
    <row r="15" ht="50" customHeight="1" spans="1:1" x14ac:dyDescent="0.25">
      <c r="A15" s="4" t="s">
        <v>12</v>
      </c>
    </row>
    <row r="16" ht="95" customHeight="1" spans="1:1" x14ac:dyDescent="0.25">
      <c r="A16" s="4" t="s">
        <v>13</v>
      </c>
    </row>
    <row r="17" ht="65" customHeight="1" spans="1:1" x14ac:dyDescent="0.25">
      <c r="A17" s="4" t="s">
        <v>14</v>
      </c>
    </row>
    <row r="18" ht="110" customHeight="1" spans="1:1" x14ac:dyDescent="0.25">
      <c r="A18" s="4" t="s">
        <v>15</v>
      </c>
    </row>
    <row r="19" ht="50" customHeight="1" spans="1:1" x14ac:dyDescent="0.25">
      <c r="A19" s="4" t="s">
        <v>16</v>
      </c>
    </row>
    <row r="20" ht="65" customHeight="1" spans="1:1" x14ac:dyDescent="0.25">
      <c r="A20" s="4" t="s">
        <v>17</v>
      </c>
    </row>
    <row r="22" spans="1:1" x14ac:dyDescent="0.25">
      <c r="A22" s="3" t="s">
        <v>18</v>
      </c>
    </row>
    <row r="23" ht="80" customHeight="1" spans="1:1" x14ac:dyDescent="0.25">
      <c r="A23" s="4" t="s">
        <v>19</v>
      </c>
    </row>
    <row r="24" ht="65" customHeight="1" spans="1:1" x14ac:dyDescent="0.25">
      <c r="A24" s="4" t="s">
        <v>20</v>
      </c>
    </row>
    <row r="26" spans="1:1" x14ac:dyDescent="0.25">
      <c r="A26" s="3" t="s">
        <v>21</v>
      </c>
    </row>
    <row r="27" ht="50" customHeight="1" spans="1:1" x14ac:dyDescent="0.25">
      <c r="A27" s="4" t="s">
        <v>22</v>
      </c>
    </row>
    <row r="28" ht="50" customHeight="1" spans="1:1" x14ac:dyDescent="0.25">
      <c r="A28" s="4" t="s">
        <v>23</v>
      </c>
    </row>
    <row r="29" ht="65" customHeight="1" spans="1:1" x14ac:dyDescent="0.25">
      <c r="A29" s="4" t="s">
        <v>24</v>
      </c>
    </row>
    <row r="31" spans="1:1" x14ac:dyDescent="0.25">
      <c r="A31" s="3" t="s">
        <v>25</v>
      </c>
    </row>
    <row r="32" ht="95" customHeight="1" spans="1:1" x14ac:dyDescent="0.25">
      <c r="A32" s="4" t="s">
        <v>26</v>
      </c>
    </row>
    <row r="33" ht="65" customHeight="1" spans="1:1" x14ac:dyDescent="0.25">
      <c r="A33" s="4" t="s">
        <v>27</v>
      </c>
    </row>
    <row r="34" ht="140" customHeight="1" spans="1:1" x14ac:dyDescent="0.25">
      <c r="A34" s="4" t="s">
        <v>28</v>
      </c>
    </row>
    <row r="36" spans="1:1" x14ac:dyDescent="0.25">
      <c r="A36" s="3" t="s">
        <v>29</v>
      </c>
    </row>
    <row r="37" ht="20" customHeight="1" spans="1:1" x14ac:dyDescent="0.25">
      <c r="A37" s="5" t="s">
        <v>30</v>
      </c>
    </row>
    <row r="38" ht="50" customHeight="1" spans="1:1" x14ac:dyDescent="0.25">
      <c r="A38" s="5" t="s">
        <v>31</v>
      </c>
    </row>
    <row r="39" ht="50" customHeight="1" spans="1:1" x14ac:dyDescent="0.25">
      <c r="A39" s="5" t="s">
        <v>32</v>
      </c>
    </row>
    <row r="40" ht="20" customHeight="1" spans="1:1" x14ac:dyDescent="0.25">
      <c r="A40" s="5" t="s">
        <v>33</v>
      </c>
    </row>
    <row r="41" ht="20" customHeight="1" spans="1:1" x14ac:dyDescent="0.25">
      <c r="A41" s="5" t="s">
        <v>34</v>
      </c>
    </row>
    <row r="42" ht="65" customHeight="1" spans="1:1" x14ac:dyDescent="0.25">
      <c r="A42" s="5" t="s">
        <v>35</v>
      </c>
    </row>
    <row r="43" ht="20" customHeight="1" spans="1:1" x14ac:dyDescent="0.25">
      <c r="A43" s="5" t="s">
        <v>36</v>
      </c>
    </row>
    <row r="44" ht="20" customHeight="1" spans="1:1" x14ac:dyDescent="0.25">
      <c r="A44" s="5" t="s">
        <v>37</v>
      </c>
    </row>
    <row r="45" ht="20" customHeight="1" spans="1:1" x14ac:dyDescent="0.25">
      <c r="A45" s="5" t="s">
        <v>38</v>
      </c>
    </row>
    <row r="46" ht="20" customHeight="1" spans="1:1" x14ac:dyDescent="0.25">
      <c r="A46" s="5" t="s">
        <v>39</v>
      </c>
    </row>
    <row r="47" ht="20" customHeight="1" spans="1:1" x14ac:dyDescent="0.25">
      <c r="A47" s="5" t="s">
        <v>40</v>
      </c>
    </row>
    <row r="48" ht="35" customHeight="1" spans="1:1" x14ac:dyDescent="0.25">
      <c r="A48" s="5" t="s">
        <v>41</v>
      </c>
    </row>
    <row r="49" ht="35" customHeight="1" spans="1:1" x14ac:dyDescent="0.25">
      <c r="A49" s="5" t="s">
        <v>42</v>
      </c>
    </row>
    <row r="50" ht="35" customHeight="1" spans="1:1" x14ac:dyDescent="0.25">
      <c r="A50" s="5" t="s">
        <v>43</v>
      </c>
    </row>
    <row r="51" ht="20" customHeight="1" spans="1:1" x14ac:dyDescent="0.25">
      <c r="A51" s="5" t="s">
        <v>44</v>
      </c>
    </row>
    <row r="52" ht="20" customHeight="1" spans="1:1" x14ac:dyDescent="0.25">
      <c r="A52" s="5" t="s">
        <v>45</v>
      </c>
    </row>
    <row r="53" ht="20" customHeight="1" spans="1:1" x14ac:dyDescent="0.25">
      <c r="A53" s="5" t="s">
        <v>46</v>
      </c>
    </row>
    <row r="54" ht="50" customHeight="1" spans="1:1" x14ac:dyDescent="0.25">
      <c r="A54" s="5" t="s">
        <v>47</v>
      </c>
    </row>
    <row r="55" ht="20" customHeight="1" spans="1:1" x14ac:dyDescent="0.25">
      <c r="A55" s="5" t="s">
        <v>48</v>
      </c>
    </row>
    <row r="57" spans="1:1" x14ac:dyDescent="0.25">
      <c r="A57" s="3" t="s">
        <v>49</v>
      </c>
    </row>
    <row r="58" ht="35" customHeight="1" spans="1:1" x14ac:dyDescent="0.25">
      <c r="A58" s="5" t="s">
        <v>50</v>
      </c>
    </row>
    <row r="59" ht="20" customHeight="1" spans="1:1" x14ac:dyDescent="0.25">
      <c r="A59" s="5" t="s">
        <v>51</v>
      </c>
    </row>
    <row r="60" ht="65" customHeight="1" spans="1:1" x14ac:dyDescent="0.25">
      <c r="A60" s="5" t="s">
        <v>52</v>
      </c>
    </row>
    <row r="61" ht="50" customHeight="1" spans="1:1" x14ac:dyDescent="0.25">
      <c r="A61" s="5" t="s">
        <v>53</v>
      </c>
    </row>
    <row r="62" ht="35" customHeight="1" spans="1:1" x14ac:dyDescent="0.25">
      <c r="A62" s="5" t="s">
        <v>54</v>
      </c>
    </row>
    <row r="63" ht="65" customHeight="1" spans="1:1" x14ac:dyDescent="0.25">
      <c r="A63" s="5" t="s">
        <v>55</v>
      </c>
    </row>
    <row r="64" ht="50" customHeight="1" spans="1:1" x14ac:dyDescent="0.25">
      <c r="A64" s="5" t="s">
        <v>56</v>
      </c>
    </row>
    <row r="65" ht="20" customHeight="1" spans="1:1" x14ac:dyDescent="0.25">
      <c r="A65" s="5" t="s">
        <v>57</v>
      </c>
    </row>
    <row r="66" ht="20" customHeight="1" spans="1:1" x14ac:dyDescent="0.25">
      <c r="A66" s="5" t="s">
        <v>58</v>
      </c>
    </row>
    <row r="67" ht="20" customHeight="1" spans="1:1" x14ac:dyDescent="0.25">
      <c r="A67" s="5" t="s">
        <v>59</v>
      </c>
    </row>
    <row r="68" ht="20" customHeight="1" spans="1:1" x14ac:dyDescent="0.25">
      <c r="A68" s="5" t="s">
        <v>60</v>
      </c>
    </row>
    <row r="69" ht="20" customHeight="1" spans="1:1" x14ac:dyDescent="0.25">
      <c r="A69" s="5" t="s">
        <v>61</v>
      </c>
    </row>
    <row r="70" ht="35" customHeight="1" spans="1:1" x14ac:dyDescent="0.25">
      <c r="A70" s="5" t="s">
        <v>62</v>
      </c>
    </row>
    <row r="71" ht="20" customHeight="1" spans="1:1" x14ac:dyDescent="0.25">
      <c r="A71" s="5" t="s">
        <v>63</v>
      </c>
    </row>
    <row r="72" ht="35" customHeight="1" spans="1:1" x14ac:dyDescent="0.25">
      <c r="A72" s="5" t="s">
        <v>64</v>
      </c>
    </row>
    <row r="73" ht="20" customHeight="1" spans="1:1" x14ac:dyDescent="0.25">
      <c r="A73" s="5" t="s">
        <v>65</v>
      </c>
    </row>
    <row r="74" ht="20" customHeight="1" spans="1:1" x14ac:dyDescent="0.25">
      <c r="A74" s="5" t="s">
        <v>66</v>
      </c>
    </row>
    <row r="75" ht="20" customHeight="1" spans="1:1" x14ac:dyDescent="0.25">
      <c r="A75" s="5" t="s">
        <v>67</v>
      </c>
    </row>
    <row r="76" ht="20" customHeight="1" spans="1:1" x14ac:dyDescent="0.25">
      <c r="A76" s="5" t="s">
        <v>68</v>
      </c>
    </row>
    <row r="78" spans="1:1" x14ac:dyDescent="0.25">
      <c r="A78" s="3" t="s">
        <v>69</v>
      </c>
    </row>
    <row r="79" ht="35" customHeight="1" spans="1:1" x14ac:dyDescent="0.25">
      <c r="A79" s="5" t="s">
        <v>70</v>
      </c>
    </row>
    <row r="80" ht="35" customHeight="1" spans="1:1" x14ac:dyDescent="0.25">
      <c r="A80" s="5" t="s">
        <v>71</v>
      </c>
    </row>
    <row r="81" ht="35" customHeight="1" spans="1:1" x14ac:dyDescent="0.25">
      <c r="A81" s="5" t="s">
        <v>72</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37"/>
  <sheetFormatPr defaultRowHeight="15" outlineLevelRow="0" outlineLevelCol="0" x14ac:dyDescent="55"/>
  <sheetData>
    <row r="1" spans="1:7" x14ac:dyDescent="0.25">
      <c r="A1" t="s">
        <v>73</v>
      </c>
      <c r="B1">
        <v>0</v>
      </c>
      <c r="C1">
        <v>0</v>
      </c>
      <c r="D1">
        <v>20</v>
      </c>
      <c r="F1" t="s">
        <v>73</v>
      </c>
      <c r="G1" t="s">
        <v>73</v>
      </c>
    </row>
    <row r="2" spans="1:7" x14ac:dyDescent="0.25">
      <c r="A2" t="s">
        <v>74</v>
      </c>
      <c r="B2">
        <v>10</v>
      </c>
      <c r="C2">
        <v>10</v>
      </c>
      <c r="D2">
        <v>20</v>
      </c>
      <c r="F2" t="s">
        <v>74</v>
      </c>
      <c r="G2" t="s">
        <v>74</v>
      </c>
    </row>
    <row r="3" spans="1:7" x14ac:dyDescent="0.25">
      <c r="A3" t="s">
        <v>75</v>
      </c>
      <c r="B3">
        <v>10</v>
      </c>
      <c r="C3">
        <v>10</v>
      </c>
      <c r="D3">
        <v>20</v>
      </c>
      <c r="F3" t="s">
        <v>75</v>
      </c>
      <c r="G3" t="s">
        <v>75</v>
      </c>
    </row>
    <row r="4" spans="1:7" x14ac:dyDescent="0.25">
      <c r="A4" t="s">
        <v>76</v>
      </c>
      <c r="B4">
        <v>10</v>
      </c>
      <c r="C4">
        <v>10</v>
      </c>
      <c r="D4">
        <v>20</v>
      </c>
      <c r="F4" t="s">
        <v>76</v>
      </c>
      <c r="G4" t="s">
        <v>76</v>
      </c>
    </row>
    <row r="5" spans="1:7" x14ac:dyDescent="0.25">
      <c r="A5" t="s">
        <v>77</v>
      </c>
      <c r="B5">
        <v>10</v>
      </c>
      <c r="C5">
        <v>10</v>
      </c>
      <c r="D5">
        <v>20</v>
      </c>
      <c r="F5" t="s">
        <v>77</v>
      </c>
      <c r="G5" t="s">
        <v>77</v>
      </c>
    </row>
    <row r="6" spans="1:7" x14ac:dyDescent="0.25">
      <c r="A6" t="s">
        <v>78</v>
      </c>
      <c r="B6">
        <v>10</v>
      </c>
      <c r="C6">
        <v>10</v>
      </c>
      <c r="D6">
        <v>20</v>
      </c>
      <c r="F6" t="s">
        <v>78</v>
      </c>
      <c r="G6" t="s">
        <v>78</v>
      </c>
    </row>
    <row r="7" spans="1:7" x14ac:dyDescent="0.25">
      <c r="A7" t="s">
        <v>79</v>
      </c>
      <c r="B7">
        <v>10</v>
      </c>
      <c r="C7">
        <v>10</v>
      </c>
      <c r="D7">
        <v>20</v>
      </c>
      <c r="F7" t="s">
        <v>79</v>
      </c>
      <c r="G7" t="s">
        <v>79</v>
      </c>
    </row>
    <row r="8" spans="1:7" x14ac:dyDescent="0.25">
      <c r="A8" t="s">
        <v>80</v>
      </c>
      <c r="B8">
        <v>30</v>
      </c>
      <c r="C8">
        <v>30</v>
      </c>
      <c r="D8">
        <v>30</v>
      </c>
      <c r="F8" t="s">
        <v>80</v>
      </c>
      <c r="G8" t="s">
        <v>80</v>
      </c>
    </row>
    <row r="9" spans="1:7" x14ac:dyDescent="0.25">
      <c r="A9" t="s">
        <v>81</v>
      </c>
      <c r="B9">
        <v>30</v>
      </c>
      <c r="C9">
        <v>30</v>
      </c>
      <c r="D9">
        <v>30</v>
      </c>
      <c r="F9" t="s">
        <v>81</v>
      </c>
      <c r="G9" t="s">
        <v>81</v>
      </c>
    </row>
    <row r="10" spans="1:7" x14ac:dyDescent="0.25">
      <c r="A10" t="s">
        <v>82</v>
      </c>
      <c r="B10">
        <v>1</v>
      </c>
      <c r="C10">
        <v>1</v>
      </c>
      <c r="D10">
        <v>20</v>
      </c>
      <c r="F10" t="s">
        <v>82</v>
      </c>
      <c r="G10" t="s">
        <v>83</v>
      </c>
    </row>
    <row r="11" spans="1:7" x14ac:dyDescent="0.25">
      <c r="A11" t="s">
        <v>83</v>
      </c>
      <c r="B11">
        <v>2</v>
      </c>
      <c r="C11">
        <v>2</v>
      </c>
      <c r="D11">
        <v>20</v>
      </c>
      <c r="F11" t="s">
        <v>84</v>
      </c>
      <c r="G11" t="s">
        <v>84</v>
      </c>
    </row>
    <row r="12" spans="1:7" x14ac:dyDescent="0.25">
      <c r="A12" t="s">
        <v>84</v>
      </c>
      <c r="B12">
        <v>2</v>
      </c>
      <c r="C12">
        <v>10</v>
      </c>
      <c r="D12">
        <v>20</v>
      </c>
      <c r="F12" t="s">
        <v>85</v>
      </c>
      <c r="G12" t="s">
        <v>85</v>
      </c>
    </row>
    <row r="13" spans="1:7" x14ac:dyDescent="0.25">
      <c r="A13" t="s">
        <v>85</v>
      </c>
      <c r="B13">
        <v>2</v>
      </c>
      <c r="C13">
        <v>2</v>
      </c>
      <c r="D13">
        <v>20</v>
      </c>
      <c r="F13" t="s">
        <v>86</v>
      </c>
      <c r="G13" t="s">
        <v>86</v>
      </c>
    </row>
    <row r="14" spans="1:7" x14ac:dyDescent="0.25">
      <c r="A14" t="s">
        <v>86</v>
      </c>
      <c r="B14">
        <v>2</v>
      </c>
      <c r="C14">
        <v>2</v>
      </c>
      <c r="D14">
        <v>20</v>
      </c>
      <c r="F14" t="s">
        <v>87</v>
      </c>
      <c r="G14" t="s">
        <v>87</v>
      </c>
    </row>
    <row r="15" spans="1:7" x14ac:dyDescent="0.25">
      <c r="A15" t="s">
        <v>87</v>
      </c>
      <c r="B15">
        <v>2</v>
      </c>
      <c r="C15">
        <v>2</v>
      </c>
      <c r="D15">
        <v>20</v>
      </c>
      <c r="F15" t="s">
        <v>88</v>
      </c>
      <c r="G15" t="s">
        <v>88</v>
      </c>
    </row>
    <row r="16" spans="1:7" x14ac:dyDescent="0.25">
      <c r="A16" t="s">
        <v>88</v>
      </c>
      <c r="B16">
        <v>2</v>
      </c>
      <c r="C16">
        <v>2</v>
      </c>
      <c r="D16">
        <v>20</v>
      </c>
      <c r="F16" t="s">
        <v>89</v>
      </c>
      <c r="G16" t="s">
        <v>89</v>
      </c>
    </row>
    <row r="17" spans="1:7" x14ac:dyDescent="0.25">
      <c r="A17" t="s">
        <v>89</v>
      </c>
      <c r="B17">
        <v>10</v>
      </c>
      <c r="C17">
        <v>10</v>
      </c>
      <c r="D17">
        <v>20</v>
      </c>
      <c r="F17" t="s">
        <v>90</v>
      </c>
      <c r="G17" t="s">
        <v>90</v>
      </c>
    </row>
    <row r="18" spans="1:7" x14ac:dyDescent="0.25">
      <c r="A18" t="s">
        <v>90</v>
      </c>
      <c r="B18">
        <v>1</v>
      </c>
      <c r="C18">
        <v>1</v>
      </c>
      <c r="D18">
        <v>20</v>
      </c>
      <c r="F18" t="s">
        <v>91</v>
      </c>
      <c r="G18" t="s">
        <v>91</v>
      </c>
    </row>
    <row r="19" spans="1:7" x14ac:dyDescent="0.25">
      <c r="A19" t="s">
        <v>91</v>
      </c>
      <c r="B19">
        <v>2</v>
      </c>
      <c r="C19">
        <v>0</v>
      </c>
      <c r="D19">
        <v>20</v>
      </c>
      <c r="F19" t="s">
        <v>92</v>
      </c>
      <c r="G19" t="s">
        <v>92</v>
      </c>
    </row>
    <row r="20" spans="1:7" x14ac:dyDescent="0.25">
      <c r="A20" t="s">
        <v>92</v>
      </c>
      <c r="B20">
        <v>10</v>
      </c>
      <c r="C20">
        <v>10</v>
      </c>
      <c r="D20">
        <v>20</v>
      </c>
      <c r="F20" t="s">
        <v>93</v>
      </c>
      <c r="G20" t="s">
        <v>93</v>
      </c>
    </row>
    <row r="21" spans="1:7" x14ac:dyDescent="0.25">
      <c r="A21" t="s">
        <v>93</v>
      </c>
      <c r="B21">
        <v>10</v>
      </c>
      <c r="C21">
        <v>10</v>
      </c>
      <c r="D21">
        <v>20</v>
      </c>
      <c r="F21" t="s">
        <v>94</v>
      </c>
      <c r="G21" t="s">
        <v>94</v>
      </c>
    </row>
    <row r="22" spans="1:7" x14ac:dyDescent="0.25">
      <c r="A22" t="s">
        <v>94</v>
      </c>
      <c r="B22">
        <v>2</v>
      </c>
      <c r="C22">
        <v>2</v>
      </c>
      <c r="D22">
        <v>20</v>
      </c>
      <c r="F22" t="s">
        <v>95</v>
      </c>
      <c r="G22" t="s">
        <v>95</v>
      </c>
    </row>
    <row r="23" spans="1:7" x14ac:dyDescent="0.25">
      <c r="A23" t="s">
        <v>95</v>
      </c>
      <c r="B23">
        <v>10</v>
      </c>
      <c r="C23">
        <v>10</v>
      </c>
      <c r="D23">
        <v>20</v>
      </c>
      <c r="F23" t="s">
        <v>96</v>
      </c>
      <c r="G23" t="s">
        <v>96</v>
      </c>
    </row>
    <row r="24" spans="1:7" x14ac:dyDescent="0.25">
      <c r="A24" t="s">
        <v>96</v>
      </c>
      <c r="B24">
        <v>10</v>
      </c>
      <c r="C24">
        <v>10</v>
      </c>
      <c r="D24">
        <v>20</v>
      </c>
      <c r="F24" t="s">
        <v>97</v>
      </c>
      <c r="G24" t="s">
        <v>97</v>
      </c>
    </row>
    <row r="25" spans="1:7" x14ac:dyDescent="0.25">
      <c r="A25" t="s">
        <v>97</v>
      </c>
      <c r="B25">
        <v>5</v>
      </c>
      <c r="C25">
        <v>5</v>
      </c>
      <c r="D25">
        <v>20</v>
      </c>
      <c r="F25" t="s">
        <v>98</v>
      </c>
      <c r="G25" t="s">
        <v>98</v>
      </c>
    </row>
    <row r="26" spans="1:7" x14ac:dyDescent="0.25">
      <c r="A26" t="s">
        <v>98</v>
      </c>
      <c r="B26">
        <v>2</v>
      </c>
      <c r="C26">
        <v>0</v>
      </c>
      <c r="D26">
        <v>20</v>
      </c>
      <c r="F26" t="s">
        <v>99</v>
      </c>
      <c r="G26" t="s">
        <v>99</v>
      </c>
    </row>
    <row r="27" spans="1:7" x14ac:dyDescent="0.25">
      <c r="A27" t="s">
        <v>99</v>
      </c>
      <c r="B27">
        <v>1</v>
      </c>
      <c r="C27">
        <v>1</v>
      </c>
      <c r="D27">
        <v>20</v>
      </c>
      <c r="F27" t="s">
        <v>100</v>
      </c>
      <c r="G27" t="s">
        <v>100</v>
      </c>
    </row>
    <row r="28" spans="1:7" x14ac:dyDescent="0.25">
      <c r="A28" t="s">
        <v>100</v>
      </c>
      <c r="B28">
        <v>0.1</v>
      </c>
      <c r="C28">
        <v>0.1</v>
      </c>
      <c r="D28">
        <v>5</v>
      </c>
      <c r="F28" t="s">
        <v>101</v>
      </c>
      <c r="G28" t="s">
        <v>101</v>
      </c>
    </row>
    <row r="29" spans="1:7" x14ac:dyDescent="0.25">
      <c r="A29" t="s">
        <v>101</v>
      </c>
      <c r="B29">
        <v>10</v>
      </c>
      <c r="C29">
        <v>10</v>
      </c>
      <c r="D29">
        <v>20</v>
      </c>
      <c r="F29" t="s">
        <v>102</v>
      </c>
      <c r="G29" t="s">
        <v>102</v>
      </c>
    </row>
    <row r="30" spans="1:7" x14ac:dyDescent="0.25">
      <c r="A30" t="s">
        <v>102</v>
      </c>
      <c r="B30">
        <v>10</v>
      </c>
      <c r="C30">
        <v>10</v>
      </c>
      <c r="D30">
        <v>20</v>
      </c>
      <c r="F30" t="s">
        <v>103</v>
      </c>
      <c r="G30" t="s">
        <v>103</v>
      </c>
    </row>
    <row r="31" spans="1:7" x14ac:dyDescent="0.25">
      <c r="A31" t="s">
        <v>103</v>
      </c>
      <c r="B31">
        <v>1</v>
      </c>
      <c r="C31">
        <v>1</v>
      </c>
      <c r="D31">
        <v>20</v>
      </c>
      <c r="F31" t="s">
        <v>104</v>
      </c>
      <c r="G31" t="s">
        <v>104</v>
      </c>
    </row>
    <row r="32" spans="1:7" x14ac:dyDescent="0.25">
      <c r="A32" t="s">
        <v>104</v>
      </c>
      <c r="B32">
        <v>10</v>
      </c>
      <c r="C32">
        <v>0</v>
      </c>
      <c r="D32">
        <v>20</v>
      </c>
      <c r="F32" t="s">
        <v>105</v>
      </c>
      <c r="G32" t="s">
        <v>105</v>
      </c>
    </row>
    <row r="33" spans="1:7" x14ac:dyDescent="0.25">
      <c r="A33" t="s">
        <v>105</v>
      </c>
      <c r="B33">
        <v>0</v>
      </c>
      <c r="C33">
        <v>0</v>
      </c>
      <c r="D33">
        <v>20</v>
      </c>
      <c r="F33" t="s">
        <v>106</v>
      </c>
      <c r="G33" t="s">
        <v>106</v>
      </c>
    </row>
    <row r="34" spans="1:7" x14ac:dyDescent="0.25">
      <c r="A34" t="s">
        <v>106</v>
      </c>
      <c r="B34">
        <v>10</v>
      </c>
      <c r="C34">
        <v>10</v>
      </c>
      <c r="D34">
        <v>20</v>
      </c>
      <c r="F34" t="s">
        <v>107</v>
      </c>
      <c r="G34" t="s">
        <v>107</v>
      </c>
    </row>
    <row r="35" spans="1:7" x14ac:dyDescent="0.25">
      <c r="A35" t="s">
        <v>107</v>
      </c>
      <c r="B35">
        <v>20</v>
      </c>
      <c r="C35">
        <v>20</v>
      </c>
      <c r="D35">
        <v>20</v>
      </c>
      <c r="F35" t="s">
        <v>108</v>
      </c>
      <c r="G35" t="s">
        <v>108</v>
      </c>
    </row>
    <row r="36" spans="1:7" x14ac:dyDescent="0.25">
      <c r="A36" t="s">
        <v>108</v>
      </c>
      <c r="B36">
        <v>1</v>
      </c>
      <c r="C36">
        <v>1</v>
      </c>
      <c r="D36">
        <v>5</v>
      </c>
      <c r="F36" t="s">
        <v>109</v>
      </c>
      <c r="G36" t="s">
        <v>109</v>
      </c>
    </row>
    <row r="37" spans="1:7" x14ac:dyDescent="0.25">
      <c r="A37" t="s">
        <v>109</v>
      </c>
      <c r="B37">
        <v>0.1</v>
      </c>
      <c r="C37">
        <v>0.1</v>
      </c>
      <c r="D37">
        <v>1</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R207"/>
  <sheetViews>
    <sheetView workbookViewId="0" showGridLines="0">
      <pane ySplit="3" topLeftCell="A4" activePane="bottomLeft" state="frozen"/>
      <selection pane="bottomLeft"/>
    </sheetView>
  </sheetViews>
  <sheetFormatPr defaultRowHeight="15" outlineLevelRow="0" outlineLevelCol="0" x14ac:dyDescent="55"/>
  <cols>
    <col min="1" max="1" width="7" customWidth="1"/>
    <col min="2" max="2" width="10" customWidth="1"/>
    <col min="3" max="4" width="12" customWidth="1"/>
    <col min="5" max="5" width="13" customWidth="1"/>
    <col min="6" max="7" width="12" customWidth="1"/>
    <col min="8" max="8" width="55" customWidth="1"/>
    <col min="9" max="20" width="12" customWidth="1"/>
    <col min="21" max="21" width="18" customWidth="1"/>
    <col min="22" max="22" width="26" customWidth="1"/>
    <col min="23" max="25" width="12" customWidth="1"/>
    <col min="26" max="26" width="55" customWidth="1"/>
    <col min="27" max="38" width="12" customWidth="1"/>
    <col min="39" max="39" width="18" customWidth="1"/>
    <col min="40" max="42" width="12" customWidth="1"/>
    <col min="43" max="44" width="12" hidden="1" customWidth="1"/>
  </cols>
  <sheetData>
    <row r="1" ht="22" customHeight="1" spans="1:42" x14ac:dyDescent="0.25">
      <c r="A1" s="6" t="s">
        <v>110</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row>
    <row r="2" ht="20" customHeight="1" spans="1:42" x14ac:dyDescent="0.25">
      <c r="A2" s="7">
        <f>IF(COUNTIF($E$4:$E$207,"Over-applied")=0,"✅ Validation Successful — no over-applied challans ("&amp;COUNTIF($B$4:$B$207,"Challan")&amp;" challans, "&amp;COUNTIF($B$4:$B$207,"Entry")&amp;" entries checked).","❌ VALIDATION FAILED — "&amp;COUNTIF($E$4:$E$207,"Over-applied")&amp;" challan(s) Over-applied. See the red-highlighted row(s) below — reduce entries or increase the challan deposit.")</f>
      </c>
      <c r="B2" s="7"/>
      <c r="C2" s="7"/>
      <c r="D2" s="7"/>
      <c r="E2" s="7"/>
      <c r="F2" s="7"/>
      <c r="G2" s="7"/>
      <c r="H2" s="7"/>
      <c r="I2" s="7"/>
      <c r="J2" s="7"/>
      <c r="K2" s="7"/>
      <c r="L2" s="7"/>
      <c r="M2" s="7"/>
      <c r="N2" s="7"/>
      <c r="O2" s="7"/>
      <c r="P2" s="7"/>
      <c r="Q2" s="7"/>
      <c r="R2" s="7"/>
      <c r="S2" s="7"/>
      <c r="T2" s="7"/>
      <c r="U2" s="7"/>
      <c r="V2" s="7"/>
      <c r="W2" s="7"/>
      <c r="X2" s="7"/>
      <c r="Y2" s="7"/>
      <c r="Z2" s="7"/>
      <c r="AA2" s="7"/>
      <c r="AB2" s="7"/>
      <c r="AC2" s="7"/>
      <c r="AD2" s="7"/>
      <c r="AE2" s="7"/>
      <c r="AF2" s="7"/>
      <c r="AG2" s="7"/>
      <c r="AH2" s="7"/>
      <c r="AI2" s="7"/>
      <c r="AJ2" s="7"/>
      <c r="AK2" s="7"/>
      <c r="AL2" s="7"/>
      <c r="AM2" s="7"/>
      <c r="AN2" s="7"/>
      <c r="AO2" s="7"/>
      <c r="AP2" s="7"/>
    </row>
    <row r="3" ht="40" customHeight="1" spans="1:44" x14ac:dyDescent="0.25">
      <c r="A3" s="8" t="s">
        <v>111</v>
      </c>
      <c r="B3" s="8" t="s">
        <v>112</v>
      </c>
      <c r="C3" s="8" t="s">
        <v>113</v>
      </c>
      <c r="D3" s="8" t="s">
        <v>114</v>
      </c>
      <c r="E3" s="8" t="s">
        <v>115</v>
      </c>
      <c r="F3" s="8" t="s">
        <v>116</v>
      </c>
      <c r="G3" s="8" t="s">
        <v>117</v>
      </c>
      <c r="H3" s="8" t="s">
        <v>118</v>
      </c>
      <c r="I3" s="8" t="s">
        <v>119</v>
      </c>
      <c r="J3" s="8" t="s">
        <v>120</v>
      </c>
      <c r="K3" s="8" t="s">
        <v>121</v>
      </c>
      <c r="L3" s="8" t="s">
        <v>122</v>
      </c>
      <c r="M3" s="8" t="s">
        <v>123</v>
      </c>
      <c r="N3" s="8" t="s">
        <v>124</v>
      </c>
      <c r="O3" s="8" t="s">
        <v>125</v>
      </c>
      <c r="P3" s="8" t="s">
        <v>126</v>
      </c>
      <c r="Q3" s="8" t="s">
        <v>127</v>
      </c>
      <c r="R3" s="8" t="s">
        <v>128</v>
      </c>
      <c r="S3" s="8" t="s">
        <v>129</v>
      </c>
      <c r="T3" s="8" t="s">
        <v>130</v>
      </c>
      <c r="U3" s="8" t="s">
        <v>131</v>
      </c>
      <c r="V3" s="8" t="s">
        <v>132</v>
      </c>
      <c r="W3" s="8" t="s">
        <v>133</v>
      </c>
      <c r="X3" s="8" t="s">
        <v>134</v>
      </c>
      <c r="Y3" s="8" t="s">
        <v>135</v>
      </c>
      <c r="Z3" s="8" t="s">
        <v>136</v>
      </c>
      <c r="AA3" s="8" t="s">
        <v>137</v>
      </c>
      <c r="AB3" s="8" t="s">
        <v>138</v>
      </c>
      <c r="AC3" s="8" t="s">
        <v>139</v>
      </c>
      <c r="AD3" s="8" t="s">
        <v>140</v>
      </c>
      <c r="AE3" s="8" t="s">
        <v>141</v>
      </c>
      <c r="AF3" s="8" t="s">
        <v>142</v>
      </c>
      <c r="AG3" s="8" t="s">
        <v>143</v>
      </c>
      <c r="AH3" s="8" t="s">
        <v>144</v>
      </c>
      <c r="AI3" s="8" t="s">
        <v>145</v>
      </c>
      <c r="AJ3" s="8" t="s">
        <v>146</v>
      </c>
      <c r="AK3" s="8" t="s">
        <v>147</v>
      </c>
      <c r="AL3" s="8" t="s">
        <v>148</v>
      </c>
      <c r="AM3" s="8" t="s">
        <v>149</v>
      </c>
      <c r="AN3" s="8" t="s">
        <v>150</v>
      </c>
      <c r="AO3" s="8" t="s">
        <v>151</v>
      </c>
      <c r="AP3" s="8" t="s">
        <v>152</v>
      </c>
      <c r="AQ3" s="8" t="s">
        <v>153</v>
      </c>
      <c r="AR3" s="8" t="s">
        <v>154</v>
      </c>
    </row>
    <row r="4" spans="1:44" x14ac:dyDescent="0.25">
      <c r="A4" s="9">
        <f>IF($B4="Entry",COUNTIF($B$4:$B4,"Entry"),"")</f>
      </c>
      <c r="B4" s="10" t="s">
        <v>155</v>
      </c>
      <c r="C4" s="11" t="s">
        <v>156</v>
      </c>
      <c r="D4" s="11" t="s">
        <v>157</v>
      </c>
      <c r="E4" s="12">
        <f>IF($B4&lt;&gt;"Challan","",IF(ROUND(AN4-AO4,2)&gt;0,"Over-applied",IF(ROUND(AN4-AO4,2)=0,"Fully Utilised","Unconsumed")))</f>
      </c>
      <c r="F4" s="13">
        <v>46177</v>
      </c>
      <c r="G4" s="10" t="s">
        <v>158</v>
      </c>
      <c r="H4" s="10" t="s">
        <v>83</v>
      </c>
      <c r="I4" s="14">
        <v>6558</v>
      </c>
      <c r="J4" s="14">
        <v>0</v>
      </c>
      <c r="K4" s="14">
        <v>0</v>
      </c>
      <c r="L4" s="14">
        <v>0</v>
      </c>
      <c r="M4" s="14">
        <v>0</v>
      </c>
      <c r="N4" s="14">
        <v>0</v>
      </c>
      <c r="O4" s="14">
        <v>0</v>
      </c>
      <c r="P4" s="15">
        <f>IF($B4&lt;&gt;"Challan","",I4+J4+K4+L4+M4+N4)</f>
      </c>
      <c r="Q4" s="10" t="s">
        <v>159</v>
      </c>
      <c r="R4" s="10" t="s">
        <v>160</v>
      </c>
      <c r="S4" s="10"/>
      <c r="T4" s="10"/>
      <c r="U4" s="10" t="s">
        <v>161</v>
      </c>
      <c r="V4" s="10"/>
      <c r="W4" s="10"/>
      <c r="X4" s="12">
        <f>IF($B4="Entry",IF(AND(LEN(TRIM(UPPER(W4)))=10,CODE(MID(TRIM(UPPER(W4)),1,1))&gt;=65,CODE(MID(TRIM(UPPER(W4)),1,1))&lt;=90,CODE(MID(TRIM(UPPER(W4)),2,1))&gt;=65,CODE(MID(TRIM(UPPER(W4)),2,1))&lt;=90,CODE(MID(TRIM(UPPER(W4)),3,1))&gt;=65,CODE(MID(TRIM(UPPER(W4)),3,1))&lt;=90,CODE(MID(TRIM(UPPER(W4)),4,1))&gt;=65,CODE(MID(TRIM(UPPER(W4)),4,1))&lt;=90,CODE(MID(TRIM(UPPER(W4)),5,1))&gt;=65,CODE(MID(TRIM(UPPER(W4)),5,1))&lt;=90,CODE(MID(TRIM(UPPER(W4)),10,1))&gt;=65,CODE(MID(TRIM(UPPER(W4)),10,1))&lt;=90,CODE(MID(TRIM(UPPER(W4)),6,1))&gt;=48,CODE(MID(TRIM(UPPER(W4)),6,1))&lt;=57,CODE(MID(TRIM(UPPER(W4)),7,1))&gt;=48,CODE(MID(TRIM(UPPER(W4)),7,1))&lt;=57,CODE(MID(TRIM(UPPER(W4)),8,1))&gt;=48,CODE(MID(TRIM(UPPER(W4)),8,1))&lt;=57,CODE(MID(TRIM(UPPER(W4)),9,1))&gt;=48,CODE(MID(TRIM(UPPER(W4)),9,1))&lt;=57),"N","Y"),IF($B4="Challan","",IF(W4&lt;&gt;"","◄ Set Row Type","")))</f>
      </c>
      <c r="Y4" s="12">
        <f>IF($B4="Entry",IF(LEN(W4)&lt;4,"",IF(UPPER(MID(W4,4,1))="P","Individual",IF(UPPER(MID(W4,4,1))="H","HUF",IF(UPPER(MID(W4,4,1))="C","Company",IF(UPPER(MID(W4,4,1))="F","Firm",IF(UPPER(MID(W4,4,1))="L","LLP",IF(UPPER(MID(W4,4,1))="T","Trust",IF(UPPER(MID(W4,4,1))="A","AOP","")))))))),IF($B4="Challan","",IF(W4&lt;&gt;"","◄ Set Row Type","")))</f>
      </c>
      <c r="Z4" s="10"/>
      <c r="AA4" s="16">
        <f>IF($B4&lt;&gt;"Entry","",IF(Z4="","",IF(X4="Y",SUMPRODUCT(('Rate Lookup'!$A$1:$A$37=Z4)*'Rate Lookup'!$D$1:$D$37),IF(OR(Y4="Individual",Y4="HUF"),SUMPRODUCT(('Rate Lookup'!$A$1:$A$37=Z4)*'Rate Lookup'!$B$1:$B$37),SUMPRODUCT(('Rate Lookup'!$A$1:$A$37=Z4)*'Rate Lookup'!$C$1:$C$37)))))</f>
      </c>
      <c r="AB4" s="13"/>
      <c r="AC4" s="14"/>
      <c r="AD4" s="15">
        <f>IF($B4&lt;&gt;"Entry","",ROUND(AC4*AA4/100,0))</f>
      </c>
      <c r="AE4" s="15">
        <f>IF($B4&lt;&gt;"Entry","",0)</f>
      </c>
      <c r="AF4" s="15">
        <f>IF($B4&lt;&gt;"Entry","",0)</f>
      </c>
      <c r="AG4" s="15">
        <f>IF($B4&lt;&gt;"Entry","",IF(OR(AD4=0,AB4="",AQ4="",AQ4&lt;=0),0,IF(AQ4&lt;=DATE(YEAR(AB4),MONTH(AB4)+1,7),0,ROUND(AD4*0.015*((YEAR(AQ4)-YEAR(AB4))*12+(MONTH(AQ4)-MONTH(AB4))+1),0))))</f>
      </c>
      <c r="AH4" s="15">
        <f>IF($B4&lt;&gt;"Entry","",0)</f>
      </c>
      <c r="AI4" s="10"/>
      <c r="AJ4" s="10"/>
      <c r="AK4" s="17"/>
      <c r="AL4" s="10"/>
      <c r="AM4" s="10"/>
      <c r="AN4" s="15">
        <f>IF($B4&lt;&gt;"Challan","",SUMIF('Q1 Data'!$D$4:$D$207,D4,'Q1 Data'!$AD$4:$AD$207)+SUMIF('Q1 Data'!$D$4:$D$207,D4,'Q1 Data'!$AG$4:$AG$207)+SUMIF('Q1 Data'!$D$4:$D$207,D4,'Q1 Data'!$AE$4:$AE$207)+SUMIF('Q2 Data'!$D$4:$D$207,D4,'Q2 Data'!$AD$4:$AD$207)+SUMIF('Q2 Data'!$D$4:$D$207,D4,'Q2 Data'!$AG$4:$AG$207)+SUMIF('Q2 Data'!$D$4:$D$207,D4,'Q2 Data'!$AE$4:$AE$207)+SUMIF('Q3 Data'!$D$4:$D$207,D4,'Q3 Data'!$AD$4:$AD$207)+SUMIF('Q3 Data'!$D$4:$D$207,D4,'Q3 Data'!$AG$4:$AG$207)+SUMIF('Q3 Data'!$D$4:$D$207,D4,'Q3 Data'!$AE$4:$AE$207)+SUMIF('Q4 Data'!$D$4:$D$207,D4,'Q4 Data'!$AD$4:$AD$207)+SUMIF('Q4 Data'!$D$4:$D$207,D4,'Q4 Data'!$AG$4:$AG$207)+SUMIF('Q4 Data'!$D$4:$D$207,D4,'Q4 Data'!$AE$4:$AE$207))</f>
      </c>
      <c r="AO4" s="15">
        <f>IF($B4&lt;&gt;"Challan","",P4-N4)</f>
      </c>
      <c r="AP4" s="15">
        <f>IF($B4&lt;&gt;"Challan","",MAX(0,AO4-AN4))</f>
      </c>
      <c r="AQ4" s="18">
        <f>IF($B4&lt;&gt;"Entry","",SUMPRODUCT(('Q1 Data'!$D$4:$D$207=D4)*('Q1 Data'!$B$4:$B$207="Challan")*'Q1 Data'!$F$4:$F$207)+SUMPRODUCT(('Q2 Data'!$D$4:$D$207=D4)*('Q2 Data'!$B$4:$B$207="Challan")*'Q2 Data'!$F$4:$F$207)+SUMPRODUCT(('Q3 Data'!$D$4:$D$207=D4)*('Q3 Data'!$B$4:$B$207="Challan")*'Q3 Data'!$F$4:$F$207)+SUMPRODUCT(('Q4 Data'!$D$4:$D$207=D4)*('Q4 Data'!$B$4:$B$207="Challan")*'Q4 Data'!$F$4:$F$207))</f>
      </c>
      <c r="AR4" s="19">
        <f>IF(OR($B4&lt;&gt;"Entry",Z4=""),FALSE,AND((SUMPRODUCT(('Q1 Data'!$D$4:$D$207=D4)*('Q1 Data'!$B$4:$B$207="Challan")*('Q1 Data'!$H$4:$H$207&lt;&gt;""))+SUMPRODUCT(('Q2 Data'!$D$4:$D$207=D4)*('Q2 Data'!$B$4:$B$207="Challan")*('Q2 Data'!$H$4:$H$207&lt;&gt;""))+SUMPRODUCT(('Q3 Data'!$D$4:$D$207=D4)*('Q3 Data'!$B$4:$B$207="Challan")*('Q3 Data'!$H$4:$H$207&lt;&gt;""))+SUMPRODUCT(('Q4 Data'!$D$4:$D$207=D4)*('Q4 Data'!$B$4:$B$207="Challan")*('Q4 Data'!$H$4:$H$207&lt;&gt;"")))&gt;0,(SUMPRODUCT(('Q1 Data'!$D$4:$D$207=D4)*('Q1 Data'!$B$4:$B$207="Challan")*('Q1 Data'!$H$4:$H$207=Z4))+SUMPRODUCT(('Q2 Data'!$D$4:$D$207=D4)*('Q2 Data'!$B$4:$B$207="Challan")*('Q2 Data'!$H$4:$H$207=Z4))+SUMPRODUCT(('Q3 Data'!$D$4:$D$207=D4)*('Q3 Data'!$B$4:$B$207="Challan")*('Q3 Data'!$H$4:$H$207=Z4))+SUMPRODUCT(('Q4 Data'!$D$4:$D$207=D4)*('Q4 Data'!$B$4:$B$207="Challan")*('Q4 Data'!$H$4:$H$207=Z4)))=0))</f>
      </c>
    </row>
    <row r="5" spans="1:44" x14ac:dyDescent="0.25">
      <c r="A5" s="9">
        <f>IF($B5="Entry",COUNTIF($B$4:$B5,"Entry"),"")</f>
      </c>
      <c r="B5" s="10" t="s">
        <v>162</v>
      </c>
      <c r="C5" s="11"/>
      <c r="D5" s="11" t="s">
        <v>157</v>
      </c>
      <c r="E5" s="12">
        <f>IF($B5&lt;&gt;"Challan","",IF(ROUND(AN5-AO5,2)&gt;0,"Over-applied",IF(ROUND(AN5-AO5,2)=0,"Fully Utilised","Unconsumed")))</f>
      </c>
      <c r="F5" s="13"/>
      <c r="G5" s="10"/>
      <c r="H5" s="10"/>
      <c r="I5" s="14"/>
      <c r="J5" s="14"/>
      <c r="K5" s="14"/>
      <c r="L5" s="14"/>
      <c r="M5" s="14"/>
      <c r="N5" s="14"/>
      <c r="O5" s="14"/>
      <c r="P5" s="15">
        <f>IF($B5&lt;&gt;"Challan","",I5+J5+K5+L5+M5+N5)</f>
      </c>
      <c r="Q5" s="10"/>
      <c r="R5" s="10"/>
      <c r="S5" s="10"/>
      <c r="T5" s="10"/>
      <c r="U5" s="10"/>
      <c r="V5" s="10" t="s">
        <v>163</v>
      </c>
      <c r="W5" s="10" t="s">
        <v>164</v>
      </c>
      <c r="X5" s="12">
        <f>IF($B5="Entry",IF(AND(LEN(TRIM(UPPER(W5)))=10,CODE(MID(TRIM(UPPER(W5)),1,1))&gt;=65,CODE(MID(TRIM(UPPER(W5)),1,1))&lt;=90,CODE(MID(TRIM(UPPER(W5)),2,1))&gt;=65,CODE(MID(TRIM(UPPER(W5)),2,1))&lt;=90,CODE(MID(TRIM(UPPER(W5)),3,1))&gt;=65,CODE(MID(TRIM(UPPER(W5)),3,1))&lt;=90,CODE(MID(TRIM(UPPER(W5)),4,1))&gt;=65,CODE(MID(TRIM(UPPER(W5)),4,1))&lt;=90,CODE(MID(TRIM(UPPER(W5)),5,1))&gt;=65,CODE(MID(TRIM(UPPER(W5)),5,1))&lt;=90,CODE(MID(TRIM(UPPER(W5)),10,1))&gt;=65,CODE(MID(TRIM(UPPER(W5)),10,1))&lt;=90,CODE(MID(TRIM(UPPER(W5)),6,1))&gt;=48,CODE(MID(TRIM(UPPER(W5)),6,1))&lt;=57,CODE(MID(TRIM(UPPER(W5)),7,1))&gt;=48,CODE(MID(TRIM(UPPER(W5)),7,1))&lt;=57,CODE(MID(TRIM(UPPER(W5)),8,1))&gt;=48,CODE(MID(TRIM(UPPER(W5)),8,1))&lt;=57,CODE(MID(TRIM(UPPER(W5)),9,1))&gt;=48,CODE(MID(TRIM(UPPER(W5)),9,1))&lt;=57),"N","Y"),IF($B5="Challan","",IF(W5&lt;&gt;"","◄ Set Row Type","")))</f>
      </c>
      <c r="Y5" s="12">
        <f>IF($B5="Entry",IF(LEN(W5)&lt;4,"",IF(UPPER(MID(W5,4,1))="P","Individual",IF(UPPER(MID(W5,4,1))="H","HUF",IF(UPPER(MID(W5,4,1))="C","Company",IF(UPPER(MID(W5,4,1))="F","Firm",IF(UPPER(MID(W5,4,1))="L","LLP",IF(UPPER(MID(W5,4,1))="T","Trust",IF(UPPER(MID(W5,4,1))="A","AOP","")))))))),IF($B5="Challan","",IF(W5&lt;&gt;"","◄ Set Row Type","")))</f>
      </c>
      <c r="Z5" s="10" t="s">
        <v>83</v>
      </c>
      <c r="AA5" s="16">
        <f>IF($B5&lt;&gt;"Entry","",IF(Z5="","",IF(X5="Y",SUMPRODUCT(('Rate Lookup'!$A$1:$A$37=Z5)*'Rate Lookup'!$D$1:$D$37),IF(OR(Y5="Individual",Y5="HUF"),SUMPRODUCT(('Rate Lookup'!$A$1:$A$37=Z5)*'Rate Lookup'!$B$1:$B$37),SUMPRODUCT(('Rate Lookup'!$A$1:$A$37=Z5)*'Rate Lookup'!$C$1:$C$37)))))</f>
      </c>
      <c r="AB5" s="13">
        <v>46173</v>
      </c>
      <c r="AC5" s="14">
        <v>5558172</v>
      </c>
      <c r="AD5" s="15">
        <f>IF($B5&lt;&gt;"Entry","",ROUND(AC5*AA5/100,0))</f>
      </c>
      <c r="AE5" s="15">
        <f>IF($B5&lt;&gt;"Entry","",0)</f>
      </c>
      <c r="AF5" s="15">
        <f>IF($B5&lt;&gt;"Entry","",0)</f>
      </c>
      <c r="AG5" s="15">
        <f>IF($B5&lt;&gt;"Entry","",IF(OR(AD5=0,AB5="",AQ5="",AQ5&lt;=0),0,IF(AQ5&lt;=DATE(YEAR(AB5),MONTH(AB5)+1,7),0,ROUND(AD5*0.015*((YEAR(AQ5)-YEAR(AB5))*12+(MONTH(AQ5)-MONTH(AB5))+1),0))))</f>
      </c>
      <c r="AH5" s="15">
        <f>IF($B5&lt;&gt;"Entry","",0)</f>
      </c>
      <c r="AI5" s="10" t="s">
        <v>165</v>
      </c>
      <c r="AJ5" s="10" t="s">
        <v>165</v>
      </c>
      <c r="AK5" s="17" t="s">
        <v>165</v>
      </c>
      <c r="AL5" s="10"/>
      <c r="AM5" s="10" t="s">
        <v>165</v>
      </c>
      <c r="AN5" s="15">
        <f>IF($B5&lt;&gt;"Challan","",SUMIF('Q1 Data'!$D$4:$D$207,D5,'Q1 Data'!$AD$4:$AD$207)+SUMIF('Q1 Data'!$D$4:$D$207,D5,'Q1 Data'!$AG$4:$AG$207)+SUMIF('Q1 Data'!$D$4:$D$207,D5,'Q1 Data'!$AE$4:$AE$207)+SUMIF('Q2 Data'!$D$4:$D$207,D5,'Q2 Data'!$AD$4:$AD$207)+SUMIF('Q2 Data'!$D$4:$D$207,D5,'Q2 Data'!$AG$4:$AG$207)+SUMIF('Q2 Data'!$D$4:$D$207,D5,'Q2 Data'!$AE$4:$AE$207)+SUMIF('Q3 Data'!$D$4:$D$207,D5,'Q3 Data'!$AD$4:$AD$207)+SUMIF('Q3 Data'!$D$4:$D$207,D5,'Q3 Data'!$AG$4:$AG$207)+SUMIF('Q3 Data'!$D$4:$D$207,D5,'Q3 Data'!$AE$4:$AE$207)+SUMIF('Q4 Data'!$D$4:$D$207,D5,'Q4 Data'!$AD$4:$AD$207)+SUMIF('Q4 Data'!$D$4:$D$207,D5,'Q4 Data'!$AG$4:$AG$207)+SUMIF('Q4 Data'!$D$4:$D$207,D5,'Q4 Data'!$AE$4:$AE$207))</f>
      </c>
      <c r="AO5" s="15">
        <f>IF($B5&lt;&gt;"Challan","",P5-N5)</f>
      </c>
      <c r="AP5" s="15">
        <f>IF($B5&lt;&gt;"Challan","",MAX(0,AO5-AN5))</f>
      </c>
      <c r="AQ5" s="18">
        <f>IF($B5&lt;&gt;"Entry","",SUMPRODUCT(('Q1 Data'!$D$4:$D$207=D5)*('Q1 Data'!$B$4:$B$207="Challan")*'Q1 Data'!$F$4:$F$207)+SUMPRODUCT(('Q2 Data'!$D$4:$D$207=D5)*('Q2 Data'!$B$4:$B$207="Challan")*'Q2 Data'!$F$4:$F$207)+SUMPRODUCT(('Q3 Data'!$D$4:$D$207=D5)*('Q3 Data'!$B$4:$B$207="Challan")*'Q3 Data'!$F$4:$F$207)+SUMPRODUCT(('Q4 Data'!$D$4:$D$207=D5)*('Q4 Data'!$B$4:$B$207="Challan")*'Q4 Data'!$F$4:$F$207))</f>
      </c>
      <c r="AR5" s="19">
        <f>IF(OR($B5&lt;&gt;"Entry",Z5=""),FALSE,AND((SUMPRODUCT(('Q1 Data'!$D$4:$D$207=D5)*('Q1 Data'!$B$4:$B$207="Challan")*('Q1 Data'!$H$4:$H$207&lt;&gt;""))+SUMPRODUCT(('Q2 Data'!$D$4:$D$207=D5)*('Q2 Data'!$B$4:$B$207="Challan")*('Q2 Data'!$H$4:$H$207&lt;&gt;""))+SUMPRODUCT(('Q3 Data'!$D$4:$D$207=D5)*('Q3 Data'!$B$4:$B$207="Challan")*('Q3 Data'!$H$4:$H$207&lt;&gt;""))+SUMPRODUCT(('Q4 Data'!$D$4:$D$207=D5)*('Q4 Data'!$B$4:$B$207="Challan")*('Q4 Data'!$H$4:$H$207&lt;&gt;"")))&gt;0,(SUMPRODUCT(('Q1 Data'!$D$4:$D$207=D5)*('Q1 Data'!$B$4:$B$207="Challan")*('Q1 Data'!$H$4:$H$207=Z5))+SUMPRODUCT(('Q2 Data'!$D$4:$D$207=D5)*('Q2 Data'!$B$4:$B$207="Challan")*('Q2 Data'!$H$4:$H$207=Z5))+SUMPRODUCT(('Q3 Data'!$D$4:$D$207=D5)*('Q3 Data'!$B$4:$B$207="Challan")*('Q3 Data'!$H$4:$H$207=Z5))+SUMPRODUCT(('Q4 Data'!$D$4:$D$207=D5)*('Q4 Data'!$B$4:$B$207="Challan")*('Q4 Data'!$H$4:$H$207=Z5)))=0))</f>
      </c>
    </row>
    <row r="6" spans="1:44" x14ac:dyDescent="0.25">
      <c r="A6" s="9">
        <f>IF($B6="Entry",COUNTIF($B$4:$B6,"Entry"),"")</f>
      </c>
      <c r="B6" s="10" t="s">
        <v>162</v>
      </c>
      <c r="C6" s="11"/>
      <c r="D6" s="11" t="s">
        <v>157</v>
      </c>
      <c r="E6" s="12">
        <f>IF($B6&lt;&gt;"Challan","",IF(ROUND(AN6-AO6,2)&gt;0,"Over-applied",IF(ROUND(AN6-AO6,2)=0,"Fully Utilised","Unconsumed")))</f>
      </c>
      <c r="F6" s="13"/>
      <c r="G6" s="10"/>
      <c r="H6" s="10"/>
      <c r="I6" s="14"/>
      <c r="J6" s="14"/>
      <c r="K6" s="14"/>
      <c r="L6" s="14"/>
      <c r="M6" s="14"/>
      <c r="N6" s="14"/>
      <c r="O6" s="14"/>
      <c r="P6" s="15">
        <f>IF($B6&lt;&gt;"Challan","",I6+J6+K6+L6+M6+N6)</f>
      </c>
      <c r="Q6" s="10"/>
      <c r="R6" s="10"/>
      <c r="S6" s="10"/>
      <c r="T6" s="10"/>
      <c r="U6" s="10"/>
      <c r="V6" s="10" t="s">
        <v>166</v>
      </c>
      <c r="W6" s="10" t="s">
        <v>167</v>
      </c>
      <c r="X6" s="12">
        <f>IF($B6="Entry",IF(AND(LEN(TRIM(UPPER(W6)))=10,CODE(MID(TRIM(UPPER(W6)),1,1))&gt;=65,CODE(MID(TRIM(UPPER(W6)),1,1))&lt;=90,CODE(MID(TRIM(UPPER(W6)),2,1))&gt;=65,CODE(MID(TRIM(UPPER(W6)),2,1))&lt;=90,CODE(MID(TRIM(UPPER(W6)),3,1))&gt;=65,CODE(MID(TRIM(UPPER(W6)),3,1))&lt;=90,CODE(MID(TRIM(UPPER(W6)),4,1))&gt;=65,CODE(MID(TRIM(UPPER(W6)),4,1))&lt;=90,CODE(MID(TRIM(UPPER(W6)),5,1))&gt;=65,CODE(MID(TRIM(UPPER(W6)),5,1))&lt;=90,CODE(MID(TRIM(UPPER(W6)),10,1))&gt;=65,CODE(MID(TRIM(UPPER(W6)),10,1))&lt;=90,CODE(MID(TRIM(UPPER(W6)),6,1))&gt;=48,CODE(MID(TRIM(UPPER(W6)),6,1))&lt;=57,CODE(MID(TRIM(UPPER(W6)),7,1))&gt;=48,CODE(MID(TRIM(UPPER(W6)),7,1))&lt;=57,CODE(MID(TRIM(UPPER(W6)),8,1))&gt;=48,CODE(MID(TRIM(UPPER(W6)),8,1))&lt;=57,CODE(MID(TRIM(UPPER(W6)),9,1))&gt;=48,CODE(MID(TRIM(UPPER(W6)),9,1))&lt;=57),"N","Y"),IF($B6="Challan","",IF(W6&lt;&gt;"","◄ Set Row Type","")))</f>
      </c>
      <c r="Y6" s="12">
        <f>IF($B6="Entry",IF(LEN(W6)&lt;4,"",IF(UPPER(MID(W6,4,1))="P","Individual",IF(UPPER(MID(W6,4,1))="H","HUF",IF(UPPER(MID(W6,4,1))="C","Company",IF(UPPER(MID(W6,4,1))="F","Firm",IF(UPPER(MID(W6,4,1))="L","LLP",IF(UPPER(MID(W6,4,1))="T","Trust",IF(UPPER(MID(W6,4,1))="A","AOP","")))))))),IF($B6="Challan","",IF(W6&lt;&gt;"","◄ Set Row Type","")))</f>
      </c>
      <c r="Z6" s="10" t="s">
        <v>83</v>
      </c>
      <c r="AA6" s="16">
        <f>IF($B6&lt;&gt;"Entry","",IF(Z6="","",IF(X6="Y",SUMPRODUCT(('Rate Lookup'!$A$1:$A$37=Z6)*'Rate Lookup'!$D$1:$D$37),IF(OR(Y6="Individual",Y6="HUF"),SUMPRODUCT(('Rate Lookup'!$A$1:$A$37=Z6)*'Rate Lookup'!$B$1:$B$37),SUMPRODUCT(('Rate Lookup'!$A$1:$A$37=Z6)*'Rate Lookup'!$C$1:$C$37)))))</f>
      </c>
      <c r="AB6" s="13">
        <v>46173</v>
      </c>
      <c r="AC6" s="14">
        <v>500000</v>
      </c>
      <c r="AD6" s="15">
        <f>IF($B6&lt;&gt;"Entry","",ROUND(AC6*AA6/100,0))</f>
      </c>
      <c r="AE6" s="15">
        <f>IF($B6&lt;&gt;"Entry","",0)</f>
      </c>
      <c r="AF6" s="15">
        <f>IF($B6&lt;&gt;"Entry","",0)</f>
      </c>
      <c r="AG6" s="15">
        <f>IF($B6&lt;&gt;"Entry","",IF(OR(AD6=0,AB6="",AQ6="",AQ6&lt;=0),0,IF(AQ6&lt;=DATE(YEAR(AB6),MONTH(AB6)+1,7),0,ROUND(AD6*0.015*((YEAR(AQ6)-YEAR(AB6))*12+(MONTH(AQ6)-MONTH(AB6))+1),0))))</f>
      </c>
      <c r="AH6" s="15">
        <f>IF($B6&lt;&gt;"Entry","",0)</f>
      </c>
      <c r="AI6" s="10" t="s">
        <v>165</v>
      </c>
      <c r="AJ6" s="10" t="s">
        <v>165</v>
      </c>
      <c r="AK6" s="17" t="s">
        <v>165</v>
      </c>
      <c r="AL6" s="10"/>
      <c r="AM6" s="10" t="s">
        <v>165</v>
      </c>
      <c r="AN6" s="15">
        <f>IF($B6&lt;&gt;"Challan","",SUMIF('Q1 Data'!$D$4:$D$207,D6,'Q1 Data'!$AD$4:$AD$207)+SUMIF('Q1 Data'!$D$4:$D$207,D6,'Q1 Data'!$AG$4:$AG$207)+SUMIF('Q1 Data'!$D$4:$D$207,D6,'Q1 Data'!$AE$4:$AE$207)+SUMIF('Q2 Data'!$D$4:$D$207,D6,'Q2 Data'!$AD$4:$AD$207)+SUMIF('Q2 Data'!$D$4:$D$207,D6,'Q2 Data'!$AG$4:$AG$207)+SUMIF('Q2 Data'!$D$4:$D$207,D6,'Q2 Data'!$AE$4:$AE$207)+SUMIF('Q3 Data'!$D$4:$D$207,D6,'Q3 Data'!$AD$4:$AD$207)+SUMIF('Q3 Data'!$D$4:$D$207,D6,'Q3 Data'!$AG$4:$AG$207)+SUMIF('Q3 Data'!$D$4:$D$207,D6,'Q3 Data'!$AE$4:$AE$207)+SUMIF('Q4 Data'!$D$4:$D$207,D6,'Q4 Data'!$AD$4:$AD$207)+SUMIF('Q4 Data'!$D$4:$D$207,D6,'Q4 Data'!$AG$4:$AG$207)+SUMIF('Q4 Data'!$D$4:$D$207,D6,'Q4 Data'!$AE$4:$AE$207))</f>
      </c>
      <c r="AO6" s="15">
        <f>IF($B6&lt;&gt;"Challan","",P6-N6)</f>
      </c>
      <c r="AP6" s="15">
        <f>IF($B6&lt;&gt;"Challan","",MAX(0,AO6-AN6))</f>
      </c>
      <c r="AQ6" s="18">
        <f>IF($B6&lt;&gt;"Entry","",SUMPRODUCT(('Q1 Data'!$D$4:$D$207=D6)*('Q1 Data'!$B$4:$B$207="Challan")*'Q1 Data'!$F$4:$F$207)+SUMPRODUCT(('Q2 Data'!$D$4:$D$207=D6)*('Q2 Data'!$B$4:$B$207="Challan")*'Q2 Data'!$F$4:$F$207)+SUMPRODUCT(('Q3 Data'!$D$4:$D$207=D6)*('Q3 Data'!$B$4:$B$207="Challan")*'Q3 Data'!$F$4:$F$207)+SUMPRODUCT(('Q4 Data'!$D$4:$D$207=D6)*('Q4 Data'!$B$4:$B$207="Challan")*'Q4 Data'!$F$4:$F$207))</f>
      </c>
      <c r="AR6" s="19">
        <f>IF(OR($B6&lt;&gt;"Entry",Z6=""),FALSE,AND((SUMPRODUCT(('Q1 Data'!$D$4:$D$207=D6)*('Q1 Data'!$B$4:$B$207="Challan")*('Q1 Data'!$H$4:$H$207&lt;&gt;""))+SUMPRODUCT(('Q2 Data'!$D$4:$D$207=D6)*('Q2 Data'!$B$4:$B$207="Challan")*('Q2 Data'!$H$4:$H$207&lt;&gt;""))+SUMPRODUCT(('Q3 Data'!$D$4:$D$207=D6)*('Q3 Data'!$B$4:$B$207="Challan")*('Q3 Data'!$H$4:$H$207&lt;&gt;""))+SUMPRODUCT(('Q4 Data'!$D$4:$D$207=D6)*('Q4 Data'!$B$4:$B$207="Challan")*('Q4 Data'!$H$4:$H$207&lt;&gt;"")))&gt;0,(SUMPRODUCT(('Q1 Data'!$D$4:$D$207=D6)*('Q1 Data'!$B$4:$B$207="Challan")*('Q1 Data'!$H$4:$H$207=Z6))+SUMPRODUCT(('Q2 Data'!$D$4:$D$207=D6)*('Q2 Data'!$B$4:$B$207="Challan")*('Q2 Data'!$H$4:$H$207=Z6))+SUMPRODUCT(('Q3 Data'!$D$4:$D$207=D6)*('Q3 Data'!$B$4:$B$207="Challan")*('Q3 Data'!$H$4:$H$207=Z6))+SUMPRODUCT(('Q4 Data'!$D$4:$D$207=D6)*('Q4 Data'!$B$4:$B$207="Challan")*('Q4 Data'!$H$4:$H$207=Z6)))=0))</f>
      </c>
    </row>
    <row r="7" spans="1:44" x14ac:dyDescent="0.25">
      <c r="A7" s="9">
        <f>IF($B7="Entry",COUNTIF($B$4:$B7,"Entry"),"")</f>
      </c>
      <c r="B7" s="10" t="s">
        <v>162</v>
      </c>
      <c r="C7" s="11"/>
      <c r="D7" s="11" t="s">
        <v>157</v>
      </c>
      <c r="E7" s="12">
        <f>IF($B7&lt;&gt;"Challan","",IF(ROUND(AN7-AO7,2)&gt;0,"Over-applied",IF(ROUND(AN7-AO7,2)=0,"Fully Utilised","Unconsumed")))</f>
      </c>
      <c r="F7" s="13"/>
      <c r="G7" s="10"/>
      <c r="H7" s="10"/>
      <c r="I7" s="14"/>
      <c r="J7" s="14"/>
      <c r="K7" s="14"/>
      <c r="L7" s="14"/>
      <c r="M7" s="14"/>
      <c r="N7" s="14"/>
      <c r="O7" s="14"/>
      <c r="P7" s="15">
        <f>IF($B7&lt;&gt;"Challan","",I7+J7+K7+L7+M7+N7)</f>
      </c>
      <c r="Q7" s="10"/>
      <c r="R7" s="10"/>
      <c r="S7" s="10"/>
      <c r="T7" s="10"/>
      <c r="U7" s="10"/>
      <c r="V7" s="10" t="s">
        <v>168</v>
      </c>
      <c r="W7" s="10" t="s">
        <v>169</v>
      </c>
      <c r="X7" s="12">
        <f>IF($B7="Entry",IF(AND(LEN(TRIM(UPPER(W7)))=10,CODE(MID(TRIM(UPPER(W7)),1,1))&gt;=65,CODE(MID(TRIM(UPPER(W7)),1,1))&lt;=90,CODE(MID(TRIM(UPPER(W7)),2,1))&gt;=65,CODE(MID(TRIM(UPPER(W7)),2,1))&lt;=90,CODE(MID(TRIM(UPPER(W7)),3,1))&gt;=65,CODE(MID(TRIM(UPPER(W7)),3,1))&lt;=90,CODE(MID(TRIM(UPPER(W7)),4,1))&gt;=65,CODE(MID(TRIM(UPPER(W7)),4,1))&lt;=90,CODE(MID(TRIM(UPPER(W7)),5,1))&gt;=65,CODE(MID(TRIM(UPPER(W7)),5,1))&lt;=90,CODE(MID(TRIM(UPPER(W7)),10,1))&gt;=65,CODE(MID(TRIM(UPPER(W7)),10,1))&lt;=90,CODE(MID(TRIM(UPPER(W7)),6,1))&gt;=48,CODE(MID(TRIM(UPPER(W7)),6,1))&lt;=57,CODE(MID(TRIM(UPPER(W7)),7,1))&gt;=48,CODE(MID(TRIM(UPPER(W7)),7,1))&lt;=57,CODE(MID(TRIM(UPPER(W7)),8,1))&gt;=48,CODE(MID(TRIM(UPPER(W7)),8,1))&lt;=57,CODE(MID(TRIM(UPPER(W7)),9,1))&gt;=48,CODE(MID(TRIM(UPPER(W7)),9,1))&lt;=57),"N","Y"),IF($B7="Challan","",IF(W7&lt;&gt;"","◄ Set Row Type","")))</f>
      </c>
      <c r="Y7" s="12">
        <f>IF($B7="Entry",IF(LEN(W7)&lt;4,"",IF(UPPER(MID(W7,4,1))="P","Individual",IF(UPPER(MID(W7,4,1))="H","HUF",IF(UPPER(MID(W7,4,1))="C","Company",IF(UPPER(MID(W7,4,1))="F","Firm",IF(UPPER(MID(W7,4,1))="L","LLP",IF(UPPER(MID(W7,4,1))="T","Trust",IF(UPPER(MID(W7,4,1))="A","AOP","")))))))),IF($B7="Challan","",IF(W7&lt;&gt;"","◄ Set Row Type","")))</f>
      </c>
      <c r="Z7" s="10" t="s">
        <v>93</v>
      </c>
      <c r="AA7" s="16">
        <f>IF($B7&lt;&gt;"Entry","",IF(Z7="","",IF(X7="Y",SUMPRODUCT(('Rate Lookup'!$A$1:$A$37=Z7)*'Rate Lookup'!$D$1:$D$37),IF(OR(Y7="Individual",Y7="HUF"),SUMPRODUCT(('Rate Lookup'!$A$1:$A$37=Z7)*'Rate Lookup'!$B$1:$B$37),SUMPRODUCT(('Rate Lookup'!$A$1:$A$37=Z7)*'Rate Lookup'!$C$1:$C$37)))))</f>
      </c>
      <c r="AB7" s="13">
        <v>46173</v>
      </c>
      <c r="AC7" s="14">
        <v>100000</v>
      </c>
      <c r="AD7" s="15">
        <f>IF($B7&lt;&gt;"Entry","",ROUND(AC7*AA7/100,0))</f>
      </c>
      <c r="AE7" s="15">
        <f>IF($B7&lt;&gt;"Entry","",0)</f>
      </c>
      <c r="AF7" s="15">
        <f>IF($B7&lt;&gt;"Entry","",0)</f>
      </c>
      <c r="AG7" s="15">
        <f>IF($B7&lt;&gt;"Entry","",IF(OR(AD7=0,AB7="",AQ7="",AQ7&lt;=0),0,IF(AQ7&lt;=DATE(YEAR(AB7),MONTH(AB7)+1,7),0,ROUND(AD7*0.015*((YEAR(AQ7)-YEAR(AB7))*12+(MONTH(AQ7)-MONTH(AB7))+1),0))))</f>
      </c>
      <c r="AH7" s="15">
        <f>IF($B7&lt;&gt;"Entry","",0)</f>
      </c>
      <c r="AI7" s="10" t="s">
        <v>170</v>
      </c>
      <c r="AJ7" s="10" t="s">
        <v>171</v>
      </c>
      <c r="AK7" s="17">
        <v>0</v>
      </c>
      <c r="AL7" s="10"/>
      <c r="AM7" s="10" t="s">
        <v>172</v>
      </c>
      <c r="AN7" s="15">
        <f>IF($B7&lt;&gt;"Challan","",SUMIF('Q1 Data'!$D$4:$D$207,D7,'Q1 Data'!$AD$4:$AD$207)+SUMIF('Q1 Data'!$D$4:$D$207,D7,'Q1 Data'!$AG$4:$AG$207)+SUMIF('Q1 Data'!$D$4:$D$207,D7,'Q1 Data'!$AE$4:$AE$207)+SUMIF('Q2 Data'!$D$4:$D$207,D7,'Q2 Data'!$AD$4:$AD$207)+SUMIF('Q2 Data'!$D$4:$D$207,D7,'Q2 Data'!$AG$4:$AG$207)+SUMIF('Q2 Data'!$D$4:$D$207,D7,'Q2 Data'!$AE$4:$AE$207)+SUMIF('Q3 Data'!$D$4:$D$207,D7,'Q3 Data'!$AD$4:$AD$207)+SUMIF('Q3 Data'!$D$4:$D$207,D7,'Q3 Data'!$AG$4:$AG$207)+SUMIF('Q3 Data'!$D$4:$D$207,D7,'Q3 Data'!$AE$4:$AE$207)+SUMIF('Q4 Data'!$D$4:$D$207,D7,'Q4 Data'!$AD$4:$AD$207)+SUMIF('Q4 Data'!$D$4:$D$207,D7,'Q4 Data'!$AG$4:$AG$207)+SUMIF('Q4 Data'!$D$4:$D$207,D7,'Q4 Data'!$AE$4:$AE$207))</f>
      </c>
      <c r="AO7" s="15">
        <f>IF($B7&lt;&gt;"Challan","",P7-N7)</f>
      </c>
      <c r="AP7" s="15">
        <f>IF($B7&lt;&gt;"Challan","",MAX(0,AO7-AN7))</f>
      </c>
      <c r="AQ7" s="18">
        <f>IF($B7&lt;&gt;"Entry","",SUMPRODUCT(('Q1 Data'!$D$4:$D$207=D7)*('Q1 Data'!$B$4:$B$207="Challan")*'Q1 Data'!$F$4:$F$207)+SUMPRODUCT(('Q2 Data'!$D$4:$D$207=D7)*('Q2 Data'!$B$4:$B$207="Challan")*'Q2 Data'!$F$4:$F$207)+SUMPRODUCT(('Q3 Data'!$D$4:$D$207=D7)*('Q3 Data'!$B$4:$B$207="Challan")*'Q3 Data'!$F$4:$F$207)+SUMPRODUCT(('Q4 Data'!$D$4:$D$207=D7)*('Q4 Data'!$B$4:$B$207="Challan")*'Q4 Data'!$F$4:$F$207))</f>
      </c>
      <c r="AR7" s="19">
        <f>IF(OR($B7&lt;&gt;"Entry",Z7=""),FALSE,AND((SUMPRODUCT(('Q1 Data'!$D$4:$D$207=D7)*('Q1 Data'!$B$4:$B$207="Challan")*('Q1 Data'!$H$4:$H$207&lt;&gt;""))+SUMPRODUCT(('Q2 Data'!$D$4:$D$207=D7)*('Q2 Data'!$B$4:$B$207="Challan")*('Q2 Data'!$H$4:$H$207&lt;&gt;""))+SUMPRODUCT(('Q3 Data'!$D$4:$D$207=D7)*('Q3 Data'!$B$4:$B$207="Challan")*('Q3 Data'!$H$4:$H$207&lt;&gt;""))+SUMPRODUCT(('Q4 Data'!$D$4:$D$207=D7)*('Q4 Data'!$B$4:$B$207="Challan")*('Q4 Data'!$H$4:$H$207&lt;&gt;"")))&gt;0,(SUMPRODUCT(('Q1 Data'!$D$4:$D$207=D7)*('Q1 Data'!$B$4:$B$207="Challan")*('Q1 Data'!$H$4:$H$207=Z7))+SUMPRODUCT(('Q2 Data'!$D$4:$D$207=D7)*('Q2 Data'!$B$4:$B$207="Challan")*('Q2 Data'!$H$4:$H$207=Z7))+SUMPRODUCT(('Q3 Data'!$D$4:$D$207=D7)*('Q3 Data'!$B$4:$B$207="Challan")*('Q3 Data'!$H$4:$H$207=Z7))+SUMPRODUCT(('Q4 Data'!$D$4:$D$207=D7)*('Q4 Data'!$B$4:$B$207="Challan")*('Q4 Data'!$H$4:$H$207=Z7)))=0))</f>
      </c>
    </row>
    <row r="8" spans="1:44" x14ac:dyDescent="0.25">
      <c r="A8" s="20">
        <f>IF($B8="Entry",COUNTIF($B$4:$B8,"Entry"),"")</f>
      </c>
      <c r="B8" s="21"/>
      <c r="C8" s="22"/>
      <c r="D8" s="22"/>
      <c r="E8" s="23">
        <f>IF($B8&lt;&gt;"Challan","",IF(ROUND(AN8-AO8,2)&gt;0,"Over-applied",IF(ROUND(AN8-AO8,2)=0,"Fully Utilised","Unconsumed")))</f>
      </c>
      <c r="F8" s="24"/>
      <c r="G8" s="25"/>
      <c r="H8" s="25"/>
      <c r="I8" s="26"/>
      <c r="J8" s="26"/>
      <c r="K8" s="26"/>
      <c r="L8" s="26"/>
      <c r="M8" s="26"/>
      <c r="N8" s="26"/>
      <c r="O8" s="26"/>
      <c r="P8" s="27">
        <f>IF($B8&lt;&gt;"Challan","",I8+J8+K8+L8+M8+N8)</f>
      </c>
      <c r="Q8" s="25"/>
      <c r="R8" s="25"/>
      <c r="S8" s="25"/>
      <c r="T8" s="25"/>
      <c r="U8" s="25"/>
      <c r="V8" s="28"/>
      <c r="W8" s="28"/>
      <c r="X8" s="23">
        <f>IF($B8="Entry",IF(AND(LEN(TRIM(UPPER(W8)))=10,CODE(MID(TRIM(UPPER(W8)),1,1))&gt;=65,CODE(MID(TRIM(UPPER(W8)),1,1))&lt;=90,CODE(MID(TRIM(UPPER(W8)),2,1))&gt;=65,CODE(MID(TRIM(UPPER(W8)),2,1))&lt;=90,CODE(MID(TRIM(UPPER(W8)),3,1))&gt;=65,CODE(MID(TRIM(UPPER(W8)),3,1))&lt;=90,CODE(MID(TRIM(UPPER(W8)),4,1))&gt;=65,CODE(MID(TRIM(UPPER(W8)),4,1))&lt;=90,CODE(MID(TRIM(UPPER(W8)),5,1))&gt;=65,CODE(MID(TRIM(UPPER(W8)),5,1))&lt;=90,CODE(MID(TRIM(UPPER(W8)),10,1))&gt;=65,CODE(MID(TRIM(UPPER(W8)),10,1))&lt;=90,CODE(MID(TRIM(UPPER(W8)),6,1))&gt;=48,CODE(MID(TRIM(UPPER(W8)),6,1))&lt;=57,CODE(MID(TRIM(UPPER(W8)),7,1))&gt;=48,CODE(MID(TRIM(UPPER(W8)),7,1))&lt;=57,CODE(MID(TRIM(UPPER(W8)),8,1))&gt;=48,CODE(MID(TRIM(UPPER(W8)),8,1))&lt;=57,CODE(MID(TRIM(UPPER(W8)),9,1))&gt;=48,CODE(MID(TRIM(UPPER(W8)),9,1))&lt;=57),"N","Y"),IF($B8="Challan","",IF(W8&lt;&gt;"","◄ Set Row Type","")))</f>
      </c>
      <c r="Y8" s="23">
        <f>IF($B8="Entry",IF(LEN(W8)&lt;4,"",IF(UPPER(MID(W8,4,1))="P","Individual",IF(UPPER(MID(W8,4,1))="H","HUF",IF(UPPER(MID(W8,4,1))="C","Company",IF(UPPER(MID(W8,4,1))="F","Firm",IF(UPPER(MID(W8,4,1))="L","LLP",IF(UPPER(MID(W8,4,1))="T","Trust",IF(UPPER(MID(W8,4,1))="A","AOP","")))))))),IF($B8="Challan","",IF(W8&lt;&gt;"","◄ Set Row Type","")))</f>
      </c>
      <c r="Z8" s="28"/>
      <c r="AA8" s="29">
        <f>IF($B8&lt;&gt;"Entry","",IF(Z8="","",IF(X8="Y",SUMPRODUCT(('Rate Lookup'!$A$1:$A$37=Z8)*'Rate Lookup'!$D$1:$D$37),IF(OR(Y8="Individual",Y8="HUF"),SUMPRODUCT(('Rate Lookup'!$A$1:$A$37=Z8)*'Rate Lookup'!$B$1:$B$37),SUMPRODUCT(('Rate Lookup'!$A$1:$A$37=Z8)*'Rate Lookup'!$C$1:$C$37)))))</f>
      </c>
      <c r="AB8" s="30"/>
      <c r="AC8" s="31"/>
      <c r="AD8" s="27">
        <f>IF($B8&lt;&gt;"Entry","",ROUND(AC8*AA8/100,0))</f>
      </c>
      <c r="AE8" s="27">
        <f>IF($B8&lt;&gt;"Entry","",0)</f>
      </c>
      <c r="AF8" s="27">
        <f>IF($B8&lt;&gt;"Entry","",0)</f>
      </c>
      <c r="AG8" s="27">
        <f>IF($B8&lt;&gt;"Entry","",IF(OR(AD8=0,AB8="",AQ8="",AQ8&lt;=0),0,IF(AQ8&lt;=DATE(YEAR(AB8),MONTH(AB8)+1,7),0,ROUND(AD8*0.015*((YEAR(AQ8)-YEAR(AB8))*12+(MONTH(AQ8)-MONTH(AB8))+1),0))))</f>
      </c>
      <c r="AH8" s="27">
        <f>IF($B8&lt;&gt;"Entry","",0)</f>
      </c>
      <c r="AI8" s="28"/>
      <c r="AJ8" s="28"/>
      <c r="AK8" s="32"/>
      <c r="AL8" s="28"/>
      <c r="AM8" s="28"/>
      <c r="AN8" s="27">
        <f>IF($B8&lt;&gt;"Challan","",SUMIF('Q1 Data'!$D$4:$D$207,D8,'Q1 Data'!$AD$4:$AD$207)+SUMIF('Q1 Data'!$D$4:$D$207,D8,'Q1 Data'!$AG$4:$AG$207)+SUMIF('Q1 Data'!$D$4:$D$207,D8,'Q1 Data'!$AE$4:$AE$207)+SUMIF('Q2 Data'!$D$4:$D$207,D8,'Q2 Data'!$AD$4:$AD$207)+SUMIF('Q2 Data'!$D$4:$D$207,D8,'Q2 Data'!$AG$4:$AG$207)+SUMIF('Q2 Data'!$D$4:$D$207,D8,'Q2 Data'!$AE$4:$AE$207)+SUMIF('Q3 Data'!$D$4:$D$207,D8,'Q3 Data'!$AD$4:$AD$207)+SUMIF('Q3 Data'!$D$4:$D$207,D8,'Q3 Data'!$AG$4:$AG$207)+SUMIF('Q3 Data'!$D$4:$D$207,D8,'Q3 Data'!$AE$4:$AE$207)+SUMIF('Q4 Data'!$D$4:$D$207,D8,'Q4 Data'!$AD$4:$AD$207)+SUMIF('Q4 Data'!$D$4:$D$207,D8,'Q4 Data'!$AG$4:$AG$207)+SUMIF('Q4 Data'!$D$4:$D$207,D8,'Q4 Data'!$AE$4:$AE$207))</f>
      </c>
      <c r="AO8" s="27">
        <f>IF($B8&lt;&gt;"Challan","",P8-N8)</f>
      </c>
      <c r="AP8" s="27">
        <f>IF($B8&lt;&gt;"Challan","",MAX(0,AO8-AN8))</f>
      </c>
      <c r="AQ8" s="33">
        <f>IF($B8&lt;&gt;"Entry","",SUMPRODUCT(('Q1 Data'!$D$4:$D$207=D8)*('Q1 Data'!$B$4:$B$207="Challan")*'Q1 Data'!$F$4:$F$207)+SUMPRODUCT(('Q2 Data'!$D$4:$D$207=D8)*('Q2 Data'!$B$4:$B$207="Challan")*'Q2 Data'!$F$4:$F$207)+SUMPRODUCT(('Q3 Data'!$D$4:$D$207=D8)*('Q3 Data'!$B$4:$B$207="Challan")*'Q3 Data'!$F$4:$F$207)+SUMPRODUCT(('Q4 Data'!$D$4:$D$207=D8)*('Q4 Data'!$B$4:$B$207="Challan")*'Q4 Data'!$F$4:$F$207))</f>
      </c>
      <c r="AR8" s="34">
        <f>IF(OR($B8&lt;&gt;"Entry",Z8=""),FALSE,AND((SUMPRODUCT(('Q1 Data'!$D$4:$D$207=D8)*('Q1 Data'!$B$4:$B$207="Challan")*('Q1 Data'!$H$4:$H$207&lt;&gt;""))+SUMPRODUCT(('Q2 Data'!$D$4:$D$207=D8)*('Q2 Data'!$B$4:$B$207="Challan")*('Q2 Data'!$H$4:$H$207&lt;&gt;""))+SUMPRODUCT(('Q3 Data'!$D$4:$D$207=D8)*('Q3 Data'!$B$4:$B$207="Challan")*('Q3 Data'!$H$4:$H$207&lt;&gt;""))+SUMPRODUCT(('Q4 Data'!$D$4:$D$207=D8)*('Q4 Data'!$B$4:$B$207="Challan")*('Q4 Data'!$H$4:$H$207&lt;&gt;"")))&gt;0,(SUMPRODUCT(('Q1 Data'!$D$4:$D$207=D8)*('Q1 Data'!$B$4:$B$207="Challan")*('Q1 Data'!$H$4:$H$207=Z8))+SUMPRODUCT(('Q2 Data'!$D$4:$D$207=D8)*('Q2 Data'!$B$4:$B$207="Challan")*('Q2 Data'!$H$4:$H$207=Z8))+SUMPRODUCT(('Q3 Data'!$D$4:$D$207=D8)*('Q3 Data'!$B$4:$B$207="Challan")*('Q3 Data'!$H$4:$H$207=Z8))+SUMPRODUCT(('Q4 Data'!$D$4:$D$207=D8)*('Q4 Data'!$B$4:$B$207="Challan")*('Q4 Data'!$H$4:$H$207=Z8)))=0))</f>
      </c>
    </row>
    <row r="9" spans="1:44" x14ac:dyDescent="0.25">
      <c r="A9" s="20">
        <f>IF($B9="Entry",COUNTIF($B$4:$B9,"Entry"),"")</f>
      </c>
      <c r="B9" s="21"/>
      <c r="C9" s="22"/>
      <c r="D9" s="22"/>
      <c r="E9" s="23">
        <f>IF($B9&lt;&gt;"Challan","",IF(ROUND(AN9-AO9,2)&gt;0,"Over-applied",IF(ROUND(AN9-AO9,2)=0,"Fully Utilised","Unconsumed")))</f>
      </c>
      <c r="F9" s="24"/>
      <c r="G9" s="25"/>
      <c r="H9" s="25"/>
      <c r="I9" s="26"/>
      <c r="J9" s="26"/>
      <c r="K9" s="26"/>
      <c r="L9" s="26"/>
      <c r="M9" s="26"/>
      <c r="N9" s="26"/>
      <c r="O9" s="26"/>
      <c r="P9" s="27">
        <f>IF($B9&lt;&gt;"Challan","",I9+J9+K9+L9+M9+N9)</f>
      </c>
      <c r="Q9" s="25"/>
      <c r="R9" s="25"/>
      <c r="S9" s="25"/>
      <c r="T9" s="25"/>
      <c r="U9" s="25"/>
      <c r="V9" s="28"/>
      <c r="W9" s="28"/>
      <c r="X9" s="23">
        <f>IF($B9="Entry",IF(AND(LEN(TRIM(UPPER(W9)))=10,CODE(MID(TRIM(UPPER(W9)),1,1))&gt;=65,CODE(MID(TRIM(UPPER(W9)),1,1))&lt;=90,CODE(MID(TRIM(UPPER(W9)),2,1))&gt;=65,CODE(MID(TRIM(UPPER(W9)),2,1))&lt;=90,CODE(MID(TRIM(UPPER(W9)),3,1))&gt;=65,CODE(MID(TRIM(UPPER(W9)),3,1))&lt;=90,CODE(MID(TRIM(UPPER(W9)),4,1))&gt;=65,CODE(MID(TRIM(UPPER(W9)),4,1))&lt;=90,CODE(MID(TRIM(UPPER(W9)),5,1))&gt;=65,CODE(MID(TRIM(UPPER(W9)),5,1))&lt;=90,CODE(MID(TRIM(UPPER(W9)),10,1))&gt;=65,CODE(MID(TRIM(UPPER(W9)),10,1))&lt;=90,CODE(MID(TRIM(UPPER(W9)),6,1))&gt;=48,CODE(MID(TRIM(UPPER(W9)),6,1))&lt;=57,CODE(MID(TRIM(UPPER(W9)),7,1))&gt;=48,CODE(MID(TRIM(UPPER(W9)),7,1))&lt;=57,CODE(MID(TRIM(UPPER(W9)),8,1))&gt;=48,CODE(MID(TRIM(UPPER(W9)),8,1))&lt;=57,CODE(MID(TRIM(UPPER(W9)),9,1))&gt;=48,CODE(MID(TRIM(UPPER(W9)),9,1))&lt;=57),"N","Y"),IF($B9="Challan","",IF(W9&lt;&gt;"","◄ Set Row Type","")))</f>
      </c>
      <c r="Y9" s="23">
        <f>IF($B9="Entry",IF(LEN(W9)&lt;4,"",IF(UPPER(MID(W9,4,1))="P","Individual",IF(UPPER(MID(W9,4,1))="H","HUF",IF(UPPER(MID(W9,4,1))="C","Company",IF(UPPER(MID(W9,4,1))="F","Firm",IF(UPPER(MID(W9,4,1))="L","LLP",IF(UPPER(MID(W9,4,1))="T","Trust",IF(UPPER(MID(W9,4,1))="A","AOP","")))))))),IF($B9="Challan","",IF(W9&lt;&gt;"","◄ Set Row Type","")))</f>
      </c>
      <c r="Z9" s="28"/>
      <c r="AA9" s="29">
        <f>IF($B9&lt;&gt;"Entry","",IF(Z9="","",IF(X9="Y",SUMPRODUCT(('Rate Lookup'!$A$1:$A$37=Z9)*'Rate Lookup'!$D$1:$D$37),IF(OR(Y9="Individual",Y9="HUF"),SUMPRODUCT(('Rate Lookup'!$A$1:$A$37=Z9)*'Rate Lookup'!$B$1:$B$37),SUMPRODUCT(('Rate Lookup'!$A$1:$A$37=Z9)*'Rate Lookup'!$C$1:$C$37)))))</f>
      </c>
      <c r="AB9" s="30"/>
      <c r="AC9" s="31"/>
      <c r="AD9" s="27">
        <f>IF($B9&lt;&gt;"Entry","",ROUND(AC9*AA9/100,0))</f>
      </c>
      <c r="AE9" s="27">
        <f>IF($B9&lt;&gt;"Entry","",0)</f>
      </c>
      <c r="AF9" s="27">
        <f>IF($B9&lt;&gt;"Entry","",0)</f>
      </c>
      <c r="AG9" s="27">
        <f>IF($B9&lt;&gt;"Entry","",IF(OR(AD9=0,AB9="",AQ9="",AQ9&lt;=0),0,IF(AQ9&lt;=DATE(YEAR(AB9),MONTH(AB9)+1,7),0,ROUND(AD9*0.015*((YEAR(AQ9)-YEAR(AB9))*12+(MONTH(AQ9)-MONTH(AB9))+1),0))))</f>
      </c>
      <c r="AH9" s="27">
        <f>IF($B9&lt;&gt;"Entry","",0)</f>
      </c>
      <c r="AI9" s="28"/>
      <c r="AJ9" s="28"/>
      <c r="AK9" s="32"/>
      <c r="AL9" s="28"/>
      <c r="AM9" s="28"/>
      <c r="AN9" s="27">
        <f>IF($B9&lt;&gt;"Challan","",SUMIF('Q1 Data'!$D$4:$D$207,D9,'Q1 Data'!$AD$4:$AD$207)+SUMIF('Q1 Data'!$D$4:$D$207,D9,'Q1 Data'!$AG$4:$AG$207)+SUMIF('Q1 Data'!$D$4:$D$207,D9,'Q1 Data'!$AE$4:$AE$207)+SUMIF('Q2 Data'!$D$4:$D$207,D9,'Q2 Data'!$AD$4:$AD$207)+SUMIF('Q2 Data'!$D$4:$D$207,D9,'Q2 Data'!$AG$4:$AG$207)+SUMIF('Q2 Data'!$D$4:$D$207,D9,'Q2 Data'!$AE$4:$AE$207)+SUMIF('Q3 Data'!$D$4:$D$207,D9,'Q3 Data'!$AD$4:$AD$207)+SUMIF('Q3 Data'!$D$4:$D$207,D9,'Q3 Data'!$AG$4:$AG$207)+SUMIF('Q3 Data'!$D$4:$D$207,D9,'Q3 Data'!$AE$4:$AE$207)+SUMIF('Q4 Data'!$D$4:$D$207,D9,'Q4 Data'!$AD$4:$AD$207)+SUMIF('Q4 Data'!$D$4:$D$207,D9,'Q4 Data'!$AG$4:$AG$207)+SUMIF('Q4 Data'!$D$4:$D$207,D9,'Q4 Data'!$AE$4:$AE$207))</f>
      </c>
      <c r="AO9" s="27">
        <f>IF($B9&lt;&gt;"Challan","",P9-N9)</f>
      </c>
      <c r="AP9" s="27">
        <f>IF($B9&lt;&gt;"Challan","",MAX(0,AO9-AN9))</f>
      </c>
      <c r="AQ9" s="33">
        <f>IF($B9&lt;&gt;"Entry","",SUMPRODUCT(('Q1 Data'!$D$4:$D$207=D9)*('Q1 Data'!$B$4:$B$207="Challan")*'Q1 Data'!$F$4:$F$207)+SUMPRODUCT(('Q2 Data'!$D$4:$D$207=D9)*('Q2 Data'!$B$4:$B$207="Challan")*'Q2 Data'!$F$4:$F$207)+SUMPRODUCT(('Q3 Data'!$D$4:$D$207=D9)*('Q3 Data'!$B$4:$B$207="Challan")*'Q3 Data'!$F$4:$F$207)+SUMPRODUCT(('Q4 Data'!$D$4:$D$207=D9)*('Q4 Data'!$B$4:$B$207="Challan")*'Q4 Data'!$F$4:$F$207))</f>
      </c>
      <c r="AR9" s="34">
        <f>IF(OR($B9&lt;&gt;"Entry",Z9=""),FALSE,AND((SUMPRODUCT(('Q1 Data'!$D$4:$D$207=D9)*('Q1 Data'!$B$4:$B$207="Challan")*('Q1 Data'!$H$4:$H$207&lt;&gt;""))+SUMPRODUCT(('Q2 Data'!$D$4:$D$207=D9)*('Q2 Data'!$B$4:$B$207="Challan")*('Q2 Data'!$H$4:$H$207&lt;&gt;""))+SUMPRODUCT(('Q3 Data'!$D$4:$D$207=D9)*('Q3 Data'!$B$4:$B$207="Challan")*('Q3 Data'!$H$4:$H$207&lt;&gt;""))+SUMPRODUCT(('Q4 Data'!$D$4:$D$207=D9)*('Q4 Data'!$B$4:$B$207="Challan")*('Q4 Data'!$H$4:$H$207&lt;&gt;"")))&gt;0,(SUMPRODUCT(('Q1 Data'!$D$4:$D$207=D9)*('Q1 Data'!$B$4:$B$207="Challan")*('Q1 Data'!$H$4:$H$207=Z9))+SUMPRODUCT(('Q2 Data'!$D$4:$D$207=D9)*('Q2 Data'!$B$4:$B$207="Challan")*('Q2 Data'!$H$4:$H$207=Z9))+SUMPRODUCT(('Q3 Data'!$D$4:$D$207=D9)*('Q3 Data'!$B$4:$B$207="Challan")*('Q3 Data'!$H$4:$H$207=Z9))+SUMPRODUCT(('Q4 Data'!$D$4:$D$207=D9)*('Q4 Data'!$B$4:$B$207="Challan")*('Q4 Data'!$H$4:$H$207=Z9)))=0))</f>
      </c>
    </row>
    <row r="10" spans="1:44" x14ac:dyDescent="0.25">
      <c r="A10" s="20">
        <f>IF($B10="Entry",COUNTIF($B$4:$B10,"Entry"),"")</f>
      </c>
      <c r="B10" s="21"/>
      <c r="C10" s="22"/>
      <c r="D10" s="22"/>
      <c r="E10" s="23">
        <f>IF($B10&lt;&gt;"Challan","",IF(ROUND(AN10-AO10,2)&gt;0,"Over-applied",IF(ROUND(AN10-AO10,2)=0,"Fully Utilised","Unconsumed")))</f>
      </c>
      <c r="F10" s="24"/>
      <c r="G10" s="25"/>
      <c r="H10" s="25"/>
      <c r="I10" s="26"/>
      <c r="J10" s="26"/>
      <c r="K10" s="26"/>
      <c r="L10" s="26"/>
      <c r="M10" s="26"/>
      <c r="N10" s="26"/>
      <c r="O10" s="26"/>
      <c r="P10" s="27">
        <f>IF($B10&lt;&gt;"Challan","",I10+J10+K10+L10+M10+N10)</f>
      </c>
      <c r="Q10" s="25"/>
      <c r="R10" s="25"/>
      <c r="S10" s="25"/>
      <c r="T10" s="25"/>
      <c r="U10" s="25"/>
      <c r="V10" s="28"/>
      <c r="W10" s="28"/>
      <c r="X10" s="23">
        <f>IF($B10="Entry",IF(AND(LEN(TRIM(UPPER(W10)))=10,CODE(MID(TRIM(UPPER(W10)),1,1))&gt;=65,CODE(MID(TRIM(UPPER(W10)),1,1))&lt;=90,CODE(MID(TRIM(UPPER(W10)),2,1))&gt;=65,CODE(MID(TRIM(UPPER(W10)),2,1))&lt;=90,CODE(MID(TRIM(UPPER(W10)),3,1))&gt;=65,CODE(MID(TRIM(UPPER(W10)),3,1))&lt;=90,CODE(MID(TRIM(UPPER(W10)),4,1))&gt;=65,CODE(MID(TRIM(UPPER(W10)),4,1))&lt;=90,CODE(MID(TRIM(UPPER(W10)),5,1))&gt;=65,CODE(MID(TRIM(UPPER(W10)),5,1))&lt;=90,CODE(MID(TRIM(UPPER(W10)),10,1))&gt;=65,CODE(MID(TRIM(UPPER(W10)),10,1))&lt;=90,CODE(MID(TRIM(UPPER(W10)),6,1))&gt;=48,CODE(MID(TRIM(UPPER(W10)),6,1))&lt;=57,CODE(MID(TRIM(UPPER(W10)),7,1))&gt;=48,CODE(MID(TRIM(UPPER(W10)),7,1))&lt;=57,CODE(MID(TRIM(UPPER(W10)),8,1))&gt;=48,CODE(MID(TRIM(UPPER(W10)),8,1))&lt;=57,CODE(MID(TRIM(UPPER(W10)),9,1))&gt;=48,CODE(MID(TRIM(UPPER(W10)),9,1))&lt;=57),"N","Y"),IF($B10="Challan","",IF(W10&lt;&gt;"","◄ Set Row Type","")))</f>
      </c>
      <c r="Y10" s="23">
        <f>IF($B10="Entry",IF(LEN(W10)&lt;4,"",IF(UPPER(MID(W10,4,1))="P","Individual",IF(UPPER(MID(W10,4,1))="H","HUF",IF(UPPER(MID(W10,4,1))="C","Company",IF(UPPER(MID(W10,4,1))="F","Firm",IF(UPPER(MID(W10,4,1))="L","LLP",IF(UPPER(MID(W10,4,1))="T","Trust",IF(UPPER(MID(W10,4,1))="A","AOP","")))))))),IF($B10="Challan","",IF(W10&lt;&gt;"","◄ Set Row Type","")))</f>
      </c>
      <c r="Z10" s="28"/>
      <c r="AA10" s="29">
        <f>IF($B10&lt;&gt;"Entry","",IF(Z10="","",IF(X10="Y",SUMPRODUCT(('Rate Lookup'!$A$1:$A$37=Z10)*'Rate Lookup'!$D$1:$D$37),IF(OR(Y10="Individual",Y10="HUF"),SUMPRODUCT(('Rate Lookup'!$A$1:$A$37=Z10)*'Rate Lookup'!$B$1:$B$37),SUMPRODUCT(('Rate Lookup'!$A$1:$A$37=Z10)*'Rate Lookup'!$C$1:$C$37)))))</f>
      </c>
      <c r="AB10" s="30"/>
      <c r="AC10" s="31"/>
      <c r="AD10" s="27">
        <f>IF($B10&lt;&gt;"Entry","",ROUND(AC10*AA10/100,0))</f>
      </c>
      <c r="AE10" s="27">
        <f>IF($B10&lt;&gt;"Entry","",0)</f>
      </c>
      <c r="AF10" s="27">
        <f>IF($B10&lt;&gt;"Entry","",0)</f>
      </c>
      <c r="AG10" s="27">
        <f>IF($B10&lt;&gt;"Entry","",IF(OR(AD10=0,AB10="",AQ10="",AQ10&lt;=0),0,IF(AQ10&lt;=DATE(YEAR(AB10),MONTH(AB10)+1,7),0,ROUND(AD10*0.015*((YEAR(AQ10)-YEAR(AB10))*12+(MONTH(AQ10)-MONTH(AB10))+1),0))))</f>
      </c>
      <c r="AH10" s="27">
        <f>IF($B10&lt;&gt;"Entry","",0)</f>
      </c>
      <c r="AI10" s="28"/>
      <c r="AJ10" s="28"/>
      <c r="AK10" s="32"/>
      <c r="AL10" s="28"/>
      <c r="AM10" s="28"/>
      <c r="AN10" s="27">
        <f>IF($B10&lt;&gt;"Challan","",SUMIF('Q1 Data'!$D$4:$D$207,D10,'Q1 Data'!$AD$4:$AD$207)+SUMIF('Q1 Data'!$D$4:$D$207,D10,'Q1 Data'!$AG$4:$AG$207)+SUMIF('Q1 Data'!$D$4:$D$207,D10,'Q1 Data'!$AE$4:$AE$207)+SUMIF('Q2 Data'!$D$4:$D$207,D10,'Q2 Data'!$AD$4:$AD$207)+SUMIF('Q2 Data'!$D$4:$D$207,D10,'Q2 Data'!$AG$4:$AG$207)+SUMIF('Q2 Data'!$D$4:$D$207,D10,'Q2 Data'!$AE$4:$AE$207)+SUMIF('Q3 Data'!$D$4:$D$207,D10,'Q3 Data'!$AD$4:$AD$207)+SUMIF('Q3 Data'!$D$4:$D$207,D10,'Q3 Data'!$AG$4:$AG$207)+SUMIF('Q3 Data'!$D$4:$D$207,D10,'Q3 Data'!$AE$4:$AE$207)+SUMIF('Q4 Data'!$D$4:$D$207,D10,'Q4 Data'!$AD$4:$AD$207)+SUMIF('Q4 Data'!$D$4:$D$207,D10,'Q4 Data'!$AG$4:$AG$207)+SUMIF('Q4 Data'!$D$4:$D$207,D10,'Q4 Data'!$AE$4:$AE$207))</f>
      </c>
      <c r="AO10" s="27">
        <f>IF($B10&lt;&gt;"Challan","",P10-N10)</f>
      </c>
      <c r="AP10" s="27">
        <f>IF($B10&lt;&gt;"Challan","",MAX(0,AO10-AN10))</f>
      </c>
      <c r="AQ10" s="33">
        <f>IF($B10&lt;&gt;"Entry","",SUMPRODUCT(('Q1 Data'!$D$4:$D$207=D10)*('Q1 Data'!$B$4:$B$207="Challan")*'Q1 Data'!$F$4:$F$207)+SUMPRODUCT(('Q2 Data'!$D$4:$D$207=D10)*('Q2 Data'!$B$4:$B$207="Challan")*'Q2 Data'!$F$4:$F$207)+SUMPRODUCT(('Q3 Data'!$D$4:$D$207=D10)*('Q3 Data'!$B$4:$B$207="Challan")*'Q3 Data'!$F$4:$F$207)+SUMPRODUCT(('Q4 Data'!$D$4:$D$207=D10)*('Q4 Data'!$B$4:$B$207="Challan")*'Q4 Data'!$F$4:$F$207))</f>
      </c>
      <c r="AR10" s="34">
        <f>IF(OR($B10&lt;&gt;"Entry",Z10=""),FALSE,AND((SUMPRODUCT(('Q1 Data'!$D$4:$D$207=D10)*('Q1 Data'!$B$4:$B$207="Challan")*('Q1 Data'!$H$4:$H$207&lt;&gt;""))+SUMPRODUCT(('Q2 Data'!$D$4:$D$207=D10)*('Q2 Data'!$B$4:$B$207="Challan")*('Q2 Data'!$H$4:$H$207&lt;&gt;""))+SUMPRODUCT(('Q3 Data'!$D$4:$D$207=D10)*('Q3 Data'!$B$4:$B$207="Challan")*('Q3 Data'!$H$4:$H$207&lt;&gt;""))+SUMPRODUCT(('Q4 Data'!$D$4:$D$207=D10)*('Q4 Data'!$B$4:$B$207="Challan")*('Q4 Data'!$H$4:$H$207&lt;&gt;"")))&gt;0,(SUMPRODUCT(('Q1 Data'!$D$4:$D$207=D10)*('Q1 Data'!$B$4:$B$207="Challan")*('Q1 Data'!$H$4:$H$207=Z10))+SUMPRODUCT(('Q2 Data'!$D$4:$D$207=D10)*('Q2 Data'!$B$4:$B$207="Challan")*('Q2 Data'!$H$4:$H$207=Z10))+SUMPRODUCT(('Q3 Data'!$D$4:$D$207=D10)*('Q3 Data'!$B$4:$B$207="Challan")*('Q3 Data'!$H$4:$H$207=Z10))+SUMPRODUCT(('Q4 Data'!$D$4:$D$207=D10)*('Q4 Data'!$B$4:$B$207="Challan")*('Q4 Data'!$H$4:$H$207=Z10)))=0))</f>
      </c>
    </row>
    <row r="11" spans="1:44" x14ac:dyDescent="0.25">
      <c r="A11" s="20">
        <f>IF($B11="Entry",COUNTIF($B$4:$B11,"Entry"),"")</f>
      </c>
      <c r="B11" s="21"/>
      <c r="C11" s="22"/>
      <c r="D11" s="22"/>
      <c r="E11" s="23">
        <f>IF($B11&lt;&gt;"Challan","",IF(ROUND(AN11-AO11,2)&gt;0,"Over-applied",IF(ROUND(AN11-AO11,2)=0,"Fully Utilised","Unconsumed")))</f>
      </c>
      <c r="F11" s="24"/>
      <c r="G11" s="25"/>
      <c r="H11" s="25"/>
      <c r="I11" s="26"/>
      <c r="J11" s="26"/>
      <c r="K11" s="26"/>
      <c r="L11" s="26"/>
      <c r="M11" s="26"/>
      <c r="N11" s="26"/>
      <c r="O11" s="26"/>
      <c r="P11" s="27">
        <f>IF($B11&lt;&gt;"Challan","",I11+J11+K11+L11+M11+N11)</f>
      </c>
      <c r="Q11" s="25"/>
      <c r="R11" s="25"/>
      <c r="S11" s="25"/>
      <c r="T11" s="25"/>
      <c r="U11" s="25"/>
      <c r="V11" s="28"/>
      <c r="W11" s="28"/>
      <c r="X11" s="23">
        <f>IF($B11="Entry",IF(AND(LEN(TRIM(UPPER(W11)))=10,CODE(MID(TRIM(UPPER(W11)),1,1))&gt;=65,CODE(MID(TRIM(UPPER(W11)),1,1))&lt;=90,CODE(MID(TRIM(UPPER(W11)),2,1))&gt;=65,CODE(MID(TRIM(UPPER(W11)),2,1))&lt;=90,CODE(MID(TRIM(UPPER(W11)),3,1))&gt;=65,CODE(MID(TRIM(UPPER(W11)),3,1))&lt;=90,CODE(MID(TRIM(UPPER(W11)),4,1))&gt;=65,CODE(MID(TRIM(UPPER(W11)),4,1))&lt;=90,CODE(MID(TRIM(UPPER(W11)),5,1))&gt;=65,CODE(MID(TRIM(UPPER(W11)),5,1))&lt;=90,CODE(MID(TRIM(UPPER(W11)),10,1))&gt;=65,CODE(MID(TRIM(UPPER(W11)),10,1))&lt;=90,CODE(MID(TRIM(UPPER(W11)),6,1))&gt;=48,CODE(MID(TRIM(UPPER(W11)),6,1))&lt;=57,CODE(MID(TRIM(UPPER(W11)),7,1))&gt;=48,CODE(MID(TRIM(UPPER(W11)),7,1))&lt;=57,CODE(MID(TRIM(UPPER(W11)),8,1))&gt;=48,CODE(MID(TRIM(UPPER(W11)),8,1))&lt;=57,CODE(MID(TRIM(UPPER(W11)),9,1))&gt;=48,CODE(MID(TRIM(UPPER(W11)),9,1))&lt;=57),"N","Y"),IF($B11="Challan","",IF(W11&lt;&gt;"","◄ Set Row Type","")))</f>
      </c>
      <c r="Y11" s="23">
        <f>IF($B11="Entry",IF(LEN(W11)&lt;4,"",IF(UPPER(MID(W11,4,1))="P","Individual",IF(UPPER(MID(W11,4,1))="H","HUF",IF(UPPER(MID(W11,4,1))="C","Company",IF(UPPER(MID(W11,4,1))="F","Firm",IF(UPPER(MID(W11,4,1))="L","LLP",IF(UPPER(MID(W11,4,1))="T","Trust",IF(UPPER(MID(W11,4,1))="A","AOP","")))))))),IF($B11="Challan","",IF(W11&lt;&gt;"","◄ Set Row Type","")))</f>
      </c>
      <c r="Z11" s="28"/>
      <c r="AA11" s="29">
        <f>IF($B11&lt;&gt;"Entry","",IF(Z11="","",IF(X11="Y",SUMPRODUCT(('Rate Lookup'!$A$1:$A$37=Z11)*'Rate Lookup'!$D$1:$D$37),IF(OR(Y11="Individual",Y11="HUF"),SUMPRODUCT(('Rate Lookup'!$A$1:$A$37=Z11)*'Rate Lookup'!$B$1:$B$37),SUMPRODUCT(('Rate Lookup'!$A$1:$A$37=Z11)*'Rate Lookup'!$C$1:$C$37)))))</f>
      </c>
      <c r="AB11" s="30"/>
      <c r="AC11" s="31"/>
      <c r="AD11" s="27">
        <f>IF($B11&lt;&gt;"Entry","",ROUND(AC11*AA11/100,0))</f>
      </c>
      <c r="AE11" s="27">
        <f>IF($B11&lt;&gt;"Entry","",0)</f>
      </c>
      <c r="AF11" s="27">
        <f>IF($B11&lt;&gt;"Entry","",0)</f>
      </c>
      <c r="AG11" s="27">
        <f>IF($B11&lt;&gt;"Entry","",IF(OR(AD11=0,AB11="",AQ11="",AQ11&lt;=0),0,IF(AQ11&lt;=DATE(YEAR(AB11),MONTH(AB11)+1,7),0,ROUND(AD11*0.015*((YEAR(AQ11)-YEAR(AB11))*12+(MONTH(AQ11)-MONTH(AB11))+1),0))))</f>
      </c>
      <c r="AH11" s="27">
        <f>IF($B11&lt;&gt;"Entry","",0)</f>
      </c>
      <c r="AI11" s="28"/>
      <c r="AJ11" s="28"/>
      <c r="AK11" s="32"/>
      <c r="AL11" s="28"/>
      <c r="AM11" s="28"/>
      <c r="AN11" s="27">
        <f>IF($B11&lt;&gt;"Challan","",SUMIF('Q1 Data'!$D$4:$D$207,D11,'Q1 Data'!$AD$4:$AD$207)+SUMIF('Q1 Data'!$D$4:$D$207,D11,'Q1 Data'!$AG$4:$AG$207)+SUMIF('Q1 Data'!$D$4:$D$207,D11,'Q1 Data'!$AE$4:$AE$207)+SUMIF('Q2 Data'!$D$4:$D$207,D11,'Q2 Data'!$AD$4:$AD$207)+SUMIF('Q2 Data'!$D$4:$D$207,D11,'Q2 Data'!$AG$4:$AG$207)+SUMIF('Q2 Data'!$D$4:$D$207,D11,'Q2 Data'!$AE$4:$AE$207)+SUMIF('Q3 Data'!$D$4:$D$207,D11,'Q3 Data'!$AD$4:$AD$207)+SUMIF('Q3 Data'!$D$4:$D$207,D11,'Q3 Data'!$AG$4:$AG$207)+SUMIF('Q3 Data'!$D$4:$D$207,D11,'Q3 Data'!$AE$4:$AE$207)+SUMIF('Q4 Data'!$D$4:$D$207,D11,'Q4 Data'!$AD$4:$AD$207)+SUMIF('Q4 Data'!$D$4:$D$207,D11,'Q4 Data'!$AG$4:$AG$207)+SUMIF('Q4 Data'!$D$4:$D$207,D11,'Q4 Data'!$AE$4:$AE$207))</f>
      </c>
      <c r="AO11" s="27">
        <f>IF($B11&lt;&gt;"Challan","",P11-N11)</f>
      </c>
      <c r="AP11" s="27">
        <f>IF($B11&lt;&gt;"Challan","",MAX(0,AO11-AN11))</f>
      </c>
      <c r="AQ11" s="33">
        <f>IF($B11&lt;&gt;"Entry","",SUMPRODUCT(('Q1 Data'!$D$4:$D$207=D11)*('Q1 Data'!$B$4:$B$207="Challan")*'Q1 Data'!$F$4:$F$207)+SUMPRODUCT(('Q2 Data'!$D$4:$D$207=D11)*('Q2 Data'!$B$4:$B$207="Challan")*'Q2 Data'!$F$4:$F$207)+SUMPRODUCT(('Q3 Data'!$D$4:$D$207=D11)*('Q3 Data'!$B$4:$B$207="Challan")*'Q3 Data'!$F$4:$F$207)+SUMPRODUCT(('Q4 Data'!$D$4:$D$207=D11)*('Q4 Data'!$B$4:$B$207="Challan")*'Q4 Data'!$F$4:$F$207))</f>
      </c>
      <c r="AR11" s="34">
        <f>IF(OR($B11&lt;&gt;"Entry",Z11=""),FALSE,AND((SUMPRODUCT(('Q1 Data'!$D$4:$D$207=D11)*('Q1 Data'!$B$4:$B$207="Challan")*('Q1 Data'!$H$4:$H$207&lt;&gt;""))+SUMPRODUCT(('Q2 Data'!$D$4:$D$207=D11)*('Q2 Data'!$B$4:$B$207="Challan")*('Q2 Data'!$H$4:$H$207&lt;&gt;""))+SUMPRODUCT(('Q3 Data'!$D$4:$D$207=D11)*('Q3 Data'!$B$4:$B$207="Challan")*('Q3 Data'!$H$4:$H$207&lt;&gt;""))+SUMPRODUCT(('Q4 Data'!$D$4:$D$207=D11)*('Q4 Data'!$B$4:$B$207="Challan")*('Q4 Data'!$H$4:$H$207&lt;&gt;"")))&gt;0,(SUMPRODUCT(('Q1 Data'!$D$4:$D$207=D11)*('Q1 Data'!$B$4:$B$207="Challan")*('Q1 Data'!$H$4:$H$207=Z11))+SUMPRODUCT(('Q2 Data'!$D$4:$D$207=D11)*('Q2 Data'!$B$4:$B$207="Challan")*('Q2 Data'!$H$4:$H$207=Z11))+SUMPRODUCT(('Q3 Data'!$D$4:$D$207=D11)*('Q3 Data'!$B$4:$B$207="Challan")*('Q3 Data'!$H$4:$H$207=Z11))+SUMPRODUCT(('Q4 Data'!$D$4:$D$207=D11)*('Q4 Data'!$B$4:$B$207="Challan")*('Q4 Data'!$H$4:$H$207=Z11)))=0))</f>
      </c>
    </row>
    <row r="12" spans="1:44" x14ac:dyDescent="0.25">
      <c r="A12" s="20">
        <f>IF($B12="Entry",COUNTIF($B$4:$B12,"Entry"),"")</f>
      </c>
      <c r="B12" s="21"/>
      <c r="C12" s="22"/>
      <c r="D12" s="22"/>
      <c r="E12" s="23">
        <f>IF($B12&lt;&gt;"Challan","",IF(ROUND(AN12-AO12,2)&gt;0,"Over-applied",IF(ROUND(AN12-AO12,2)=0,"Fully Utilised","Unconsumed")))</f>
      </c>
      <c r="F12" s="24"/>
      <c r="G12" s="25"/>
      <c r="H12" s="25"/>
      <c r="I12" s="26"/>
      <c r="J12" s="26"/>
      <c r="K12" s="26"/>
      <c r="L12" s="26"/>
      <c r="M12" s="26"/>
      <c r="N12" s="26"/>
      <c r="O12" s="26"/>
      <c r="P12" s="27">
        <f>IF($B12&lt;&gt;"Challan","",I12+J12+K12+L12+M12+N12)</f>
      </c>
      <c r="Q12" s="25"/>
      <c r="R12" s="25"/>
      <c r="S12" s="25"/>
      <c r="T12" s="25"/>
      <c r="U12" s="25"/>
      <c r="V12" s="28"/>
      <c r="W12" s="28"/>
      <c r="X12" s="23">
        <f>IF($B12="Entry",IF(AND(LEN(TRIM(UPPER(W12)))=10,CODE(MID(TRIM(UPPER(W12)),1,1))&gt;=65,CODE(MID(TRIM(UPPER(W12)),1,1))&lt;=90,CODE(MID(TRIM(UPPER(W12)),2,1))&gt;=65,CODE(MID(TRIM(UPPER(W12)),2,1))&lt;=90,CODE(MID(TRIM(UPPER(W12)),3,1))&gt;=65,CODE(MID(TRIM(UPPER(W12)),3,1))&lt;=90,CODE(MID(TRIM(UPPER(W12)),4,1))&gt;=65,CODE(MID(TRIM(UPPER(W12)),4,1))&lt;=90,CODE(MID(TRIM(UPPER(W12)),5,1))&gt;=65,CODE(MID(TRIM(UPPER(W12)),5,1))&lt;=90,CODE(MID(TRIM(UPPER(W12)),10,1))&gt;=65,CODE(MID(TRIM(UPPER(W12)),10,1))&lt;=90,CODE(MID(TRIM(UPPER(W12)),6,1))&gt;=48,CODE(MID(TRIM(UPPER(W12)),6,1))&lt;=57,CODE(MID(TRIM(UPPER(W12)),7,1))&gt;=48,CODE(MID(TRIM(UPPER(W12)),7,1))&lt;=57,CODE(MID(TRIM(UPPER(W12)),8,1))&gt;=48,CODE(MID(TRIM(UPPER(W12)),8,1))&lt;=57,CODE(MID(TRIM(UPPER(W12)),9,1))&gt;=48,CODE(MID(TRIM(UPPER(W12)),9,1))&lt;=57),"N","Y"),IF($B12="Challan","",IF(W12&lt;&gt;"","◄ Set Row Type","")))</f>
      </c>
      <c r="Y12" s="23">
        <f>IF($B12="Entry",IF(LEN(W12)&lt;4,"",IF(UPPER(MID(W12,4,1))="P","Individual",IF(UPPER(MID(W12,4,1))="H","HUF",IF(UPPER(MID(W12,4,1))="C","Company",IF(UPPER(MID(W12,4,1))="F","Firm",IF(UPPER(MID(W12,4,1))="L","LLP",IF(UPPER(MID(W12,4,1))="T","Trust",IF(UPPER(MID(W12,4,1))="A","AOP","")))))))),IF($B12="Challan","",IF(W12&lt;&gt;"","◄ Set Row Type","")))</f>
      </c>
      <c r="Z12" s="28"/>
      <c r="AA12" s="29">
        <f>IF($B12&lt;&gt;"Entry","",IF(Z12="","",IF(X12="Y",SUMPRODUCT(('Rate Lookup'!$A$1:$A$37=Z12)*'Rate Lookup'!$D$1:$D$37),IF(OR(Y12="Individual",Y12="HUF"),SUMPRODUCT(('Rate Lookup'!$A$1:$A$37=Z12)*'Rate Lookup'!$B$1:$B$37),SUMPRODUCT(('Rate Lookup'!$A$1:$A$37=Z12)*'Rate Lookup'!$C$1:$C$37)))))</f>
      </c>
      <c r="AB12" s="30"/>
      <c r="AC12" s="31"/>
      <c r="AD12" s="27">
        <f>IF($B12&lt;&gt;"Entry","",ROUND(AC12*AA12/100,0))</f>
      </c>
      <c r="AE12" s="27">
        <f>IF($B12&lt;&gt;"Entry","",0)</f>
      </c>
      <c r="AF12" s="27">
        <f>IF($B12&lt;&gt;"Entry","",0)</f>
      </c>
      <c r="AG12" s="27">
        <f>IF($B12&lt;&gt;"Entry","",IF(OR(AD12=0,AB12="",AQ12="",AQ12&lt;=0),0,IF(AQ12&lt;=DATE(YEAR(AB12),MONTH(AB12)+1,7),0,ROUND(AD12*0.015*((YEAR(AQ12)-YEAR(AB12))*12+(MONTH(AQ12)-MONTH(AB12))+1),0))))</f>
      </c>
      <c r="AH12" s="27">
        <f>IF($B12&lt;&gt;"Entry","",0)</f>
      </c>
      <c r="AI12" s="28"/>
      <c r="AJ12" s="28"/>
      <c r="AK12" s="32"/>
      <c r="AL12" s="28"/>
      <c r="AM12" s="28"/>
      <c r="AN12" s="27">
        <f>IF($B12&lt;&gt;"Challan","",SUMIF('Q1 Data'!$D$4:$D$207,D12,'Q1 Data'!$AD$4:$AD$207)+SUMIF('Q1 Data'!$D$4:$D$207,D12,'Q1 Data'!$AG$4:$AG$207)+SUMIF('Q1 Data'!$D$4:$D$207,D12,'Q1 Data'!$AE$4:$AE$207)+SUMIF('Q2 Data'!$D$4:$D$207,D12,'Q2 Data'!$AD$4:$AD$207)+SUMIF('Q2 Data'!$D$4:$D$207,D12,'Q2 Data'!$AG$4:$AG$207)+SUMIF('Q2 Data'!$D$4:$D$207,D12,'Q2 Data'!$AE$4:$AE$207)+SUMIF('Q3 Data'!$D$4:$D$207,D12,'Q3 Data'!$AD$4:$AD$207)+SUMIF('Q3 Data'!$D$4:$D$207,D12,'Q3 Data'!$AG$4:$AG$207)+SUMIF('Q3 Data'!$D$4:$D$207,D12,'Q3 Data'!$AE$4:$AE$207)+SUMIF('Q4 Data'!$D$4:$D$207,D12,'Q4 Data'!$AD$4:$AD$207)+SUMIF('Q4 Data'!$D$4:$D$207,D12,'Q4 Data'!$AG$4:$AG$207)+SUMIF('Q4 Data'!$D$4:$D$207,D12,'Q4 Data'!$AE$4:$AE$207))</f>
      </c>
      <c r="AO12" s="27">
        <f>IF($B12&lt;&gt;"Challan","",P12-N12)</f>
      </c>
      <c r="AP12" s="27">
        <f>IF($B12&lt;&gt;"Challan","",MAX(0,AO12-AN12))</f>
      </c>
      <c r="AQ12" s="33">
        <f>IF($B12&lt;&gt;"Entry","",SUMPRODUCT(('Q1 Data'!$D$4:$D$207=D12)*('Q1 Data'!$B$4:$B$207="Challan")*'Q1 Data'!$F$4:$F$207)+SUMPRODUCT(('Q2 Data'!$D$4:$D$207=D12)*('Q2 Data'!$B$4:$B$207="Challan")*'Q2 Data'!$F$4:$F$207)+SUMPRODUCT(('Q3 Data'!$D$4:$D$207=D12)*('Q3 Data'!$B$4:$B$207="Challan")*'Q3 Data'!$F$4:$F$207)+SUMPRODUCT(('Q4 Data'!$D$4:$D$207=D12)*('Q4 Data'!$B$4:$B$207="Challan")*'Q4 Data'!$F$4:$F$207))</f>
      </c>
      <c r="AR12" s="34">
        <f>IF(OR($B12&lt;&gt;"Entry",Z12=""),FALSE,AND((SUMPRODUCT(('Q1 Data'!$D$4:$D$207=D12)*('Q1 Data'!$B$4:$B$207="Challan")*('Q1 Data'!$H$4:$H$207&lt;&gt;""))+SUMPRODUCT(('Q2 Data'!$D$4:$D$207=D12)*('Q2 Data'!$B$4:$B$207="Challan")*('Q2 Data'!$H$4:$H$207&lt;&gt;""))+SUMPRODUCT(('Q3 Data'!$D$4:$D$207=D12)*('Q3 Data'!$B$4:$B$207="Challan")*('Q3 Data'!$H$4:$H$207&lt;&gt;""))+SUMPRODUCT(('Q4 Data'!$D$4:$D$207=D12)*('Q4 Data'!$B$4:$B$207="Challan")*('Q4 Data'!$H$4:$H$207&lt;&gt;"")))&gt;0,(SUMPRODUCT(('Q1 Data'!$D$4:$D$207=D12)*('Q1 Data'!$B$4:$B$207="Challan")*('Q1 Data'!$H$4:$H$207=Z12))+SUMPRODUCT(('Q2 Data'!$D$4:$D$207=D12)*('Q2 Data'!$B$4:$B$207="Challan")*('Q2 Data'!$H$4:$H$207=Z12))+SUMPRODUCT(('Q3 Data'!$D$4:$D$207=D12)*('Q3 Data'!$B$4:$B$207="Challan")*('Q3 Data'!$H$4:$H$207=Z12))+SUMPRODUCT(('Q4 Data'!$D$4:$D$207=D12)*('Q4 Data'!$B$4:$B$207="Challan")*('Q4 Data'!$H$4:$H$207=Z12)))=0))</f>
      </c>
    </row>
    <row r="13" spans="1:44" x14ac:dyDescent="0.25">
      <c r="A13" s="20">
        <f>IF($B13="Entry",COUNTIF($B$4:$B13,"Entry"),"")</f>
      </c>
      <c r="B13" s="21"/>
      <c r="C13" s="22"/>
      <c r="D13" s="22"/>
      <c r="E13" s="23">
        <f>IF($B13&lt;&gt;"Challan","",IF(ROUND(AN13-AO13,2)&gt;0,"Over-applied",IF(ROUND(AN13-AO13,2)=0,"Fully Utilised","Unconsumed")))</f>
      </c>
      <c r="F13" s="24"/>
      <c r="G13" s="25"/>
      <c r="H13" s="25"/>
      <c r="I13" s="26"/>
      <c r="J13" s="26"/>
      <c r="K13" s="26"/>
      <c r="L13" s="26"/>
      <c r="M13" s="26"/>
      <c r="N13" s="26"/>
      <c r="O13" s="26"/>
      <c r="P13" s="27">
        <f>IF($B13&lt;&gt;"Challan","",I13+J13+K13+L13+M13+N13)</f>
      </c>
      <c r="Q13" s="25"/>
      <c r="R13" s="25"/>
      <c r="S13" s="25"/>
      <c r="T13" s="25"/>
      <c r="U13" s="25"/>
      <c r="V13" s="28"/>
      <c r="W13" s="28"/>
      <c r="X13" s="23">
        <f>IF($B13="Entry",IF(AND(LEN(TRIM(UPPER(W13)))=10,CODE(MID(TRIM(UPPER(W13)),1,1))&gt;=65,CODE(MID(TRIM(UPPER(W13)),1,1))&lt;=90,CODE(MID(TRIM(UPPER(W13)),2,1))&gt;=65,CODE(MID(TRIM(UPPER(W13)),2,1))&lt;=90,CODE(MID(TRIM(UPPER(W13)),3,1))&gt;=65,CODE(MID(TRIM(UPPER(W13)),3,1))&lt;=90,CODE(MID(TRIM(UPPER(W13)),4,1))&gt;=65,CODE(MID(TRIM(UPPER(W13)),4,1))&lt;=90,CODE(MID(TRIM(UPPER(W13)),5,1))&gt;=65,CODE(MID(TRIM(UPPER(W13)),5,1))&lt;=90,CODE(MID(TRIM(UPPER(W13)),10,1))&gt;=65,CODE(MID(TRIM(UPPER(W13)),10,1))&lt;=90,CODE(MID(TRIM(UPPER(W13)),6,1))&gt;=48,CODE(MID(TRIM(UPPER(W13)),6,1))&lt;=57,CODE(MID(TRIM(UPPER(W13)),7,1))&gt;=48,CODE(MID(TRIM(UPPER(W13)),7,1))&lt;=57,CODE(MID(TRIM(UPPER(W13)),8,1))&gt;=48,CODE(MID(TRIM(UPPER(W13)),8,1))&lt;=57,CODE(MID(TRIM(UPPER(W13)),9,1))&gt;=48,CODE(MID(TRIM(UPPER(W13)),9,1))&lt;=57),"N","Y"),IF($B13="Challan","",IF(W13&lt;&gt;"","◄ Set Row Type","")))</f>
      </c>
      <c r="Y13" s="23">
        <f>IF($B13="Entry",IF(LEN(W13)&lt;4,"",IF(UPPER(MID(W13,4,1))="P","Individual",IF(UPPER(MID(W13,4,1))="H","HUF",IF(UPPER(MID(W13,4,1))="C","Company",IF(UPPER(MID(W13,4,1))="F","Firm",IF(UPPER(MID(W13,4,1))="L","LLP",IF(UPPER(MID(W13,4,1))="T","Trust",IF(UPPER(MID(W13,4,1))="A","AOP","")))))))),IF($B13="Challan","",IF(W13&lt;&gt;"","◄ Set Row Type","")))</f>
      </c>
      <c r="Z13" s="28"/>
      <c r="AA13" s="29">
        <f>IF($B13&lt;&gt;"Entry","",IF(Z13="","",IF(X13="Y",SUMPRODUCT(('Rate Lookup'!$A$1:$A$37=Z13)*'Rate Lookup'!$D$1:$D$37),IF(OR(Y13="Individual",Y13="HUF"),SUMPRODUCT(('Rate Lookup'!$A$1:$A$37=Z13)*'Rate Lookup'!$B$1:$B$37),SUMPRODUCT(('Rate Lookup'!$A$1:$A$37=Z13)*'Rate Lookup'!$C$1:$C$37)))))</f>
      </c>
      <c r="AB13" s="30"/>
      <c r="AC13" s="31"/>
      <c r="AD13" s="27">
        <f>IF($B13&lt;&gt;"Entry","",ROUND(AC13*AA13/100,0))</f>
      </c>
      <c r="AE13" s="27">
        <f>IF($B13&lt;&gt;"Entry","",0)</f>
      </c>
      <c r="AF13" s="27">
        <f>IF($B13&lt;&gt;"Entry","",0)</f>
      </c>
      <c r="AG13" s="27">
        <f>IF($B13&lt;&gt;"Entry","",IF(OR(AD13=0,AB13="",AQ13="",AQ13&lt;=0),0,IF(AQ13&lt;=DATE(YEAR(AB13),MONTH(AB13)+1,7),0,ROUND(AD13*0.015*((YEAR(AQ13)-YEAR(AB13))*12+(MONTH(AQ13)-MONTH(AB13))+1),0))))</f>
      </c>
      <c r="AH13" s="27">
        <f>IF($B13&lt;&gt;"Entry","",0)</f>
      </c>
      <c r="AI13" s="28"/>
      <c r="AJ13" s="28"/>
      <c r="AK13" s="32"/>
      <c r="AL13" s="28"/>
      <c r="AM13" s="28"/>
      <c r="AN13" s="27">
        <f>IF($B13&lt;&gt;"Challan","",SUMIF('Q1 Data'!$D$4:$D$207,D13,'Q1 Data'!$AD$4:$AD$207)+SUMIF('Q1 Data'!$D$4:$D$207,D13,'Q1 Data'!$AG$4:$AG$207)+SUMIF('Q1 Data'!$D$4:$D$207,D13,'Q1 Data'!$AE$4:$AE$207)+SUMIF('Q2 Data'!$D$4:$D$207,D13,'Q2 Data'!$AD$4:$AD$207)+SUMIF('Q2 Data'!$D$4:$D$207,D13,'Q2 Data'!$AG$4:$AG$207)+SUMIF('Q2 Data'!$D$4:$D$207,D13,'Q2 Data'!$AE$4:$AE$207)+SUMIF('Q3 Data'!$D$4:$D$207,D13,'Q3 Data'!$AD$4:$AD$207)+SUMIF('Q3 Data'!$D$4:$D$207,D13,'Q3 Data'!$AG$4:$AG$207)+SUMIF('Q3 Data'!$D$4:$D$207,D13,'Q3 Data'!$AE$4:$AE$207)+SUMIF('Q4 Data'!$D$4:$D$207,D13,'Q4 Data'!$AD$4:$AD$207)+SUMIF('Q4 Data'!$D$4:$D$207,D13,'Q4 Data'!$AG$4:$AG$207)+SUMIF('Q4 Data'!$D$4:$D$207,D13,'Q4 Data'!$AE$4:$AE$207))</f>
      </c>
      <c r="AO13" s="27">
        <f>IF($B13&lt;&gt;"Challan","",P13-N13)</f>
      </c>
      <c r="AP13" s="27">
        <f>IF($B13&lt;&gt;"Challan","",MAX(0,AO13-AN13))</f>
      </c>
      <c r="AQ13" s="33">
        <f>IF($B13&lt;&gt;"Entry","",SUMPRODUCT(('Q1 Data'!$D$4:$D$207=D13)*('Q1 Data'!$B$4:$B$207="Challan")*'Q1 Data'!$F$4:$F$207)+SUMPRODUCT(('Q2 Data'!$D$4:$D$207=D13)*('Q2 Data'!$B$4:$B$207="Challan")*'Q2 Data'!$F$4:$F$207)+SUMPRODUCT(('Q3 Data'!$D$4:$D$207=D13)*('Q3 Data'!$B$4:$B$207="Challan")*'Q3 Data'!$F$4:$F$207)+SUMPRODUCT(('Q4 Data'!$D$4:$D$207=D13)*('Q4 Data'!$B$4:$B$207="Challan")*'Q4 Data'!$F$4:$F$207))</f>
      </c>
      <c r="AR13" s="34">
        <f>IF(OR($B13&lt;&gt;"Entry",Z13=""),FALSE,AND((SUMPRODUCT(('Q1 Data'!$D$4:$D$207=D13)*('Q1 Data'!$B$4:$B$207="Challan")*('Q1 Data'!$H$4:$H$207&lt;&gt;""))+SUMPRODUCT(('Q2 Data'!$D$4:$D$207=D13)*('Q2 Data'!$B$4:$B$207="Challan")*('Q2 Data'!$H$4:$H$207&lt;&gt;""))+SUMPRODUCT(('Q3 Data'!$D$4:$D$207=D13)*('Q3 Data'!$B$4:$B$207="Challan")*('Q3 Data'!$H$4:$H$207&lt;&gt;""))+SUMPRODUCT(('Q4 Data'!$D$4:$D$207=D13)*('Q4 Data'!$B$4:$B$207="Challan")*('Q4 Data'!$H$4:$H$207&lt;&gt;"")))&gt;0,(SUMPRODUCT(('Q1 Data'!$D$4:$D$207=D13)*('Q1 Data'!$B$4:$B$207="Challan")*('Q1 Data'!$H$4:$H$207=Z13))+SUMPRODUCT(('Q2 Data'!$D$4:$D$207=D13)*('Q2 Data'!$B$4:$B$207="Challan")*('Q2 Data'!$H$4:$H$207=Z13))+SUMPRODUCT(('Q3 Data'!$D$4:$D$207=D13)*('Q3 Data'!$B$4:$B$207="Challan")*('Q3 Data'!$H$4:$H$207=Z13))+SUMPRODUCT(('Q4 Data'!$D$4:$D$207=D13)*('Q4 Data'!$B$4:$B$207="Challan")*('Q4 Data'!$H$4:$H$207=Z13)))=0))</f>
      </c>
    </row>
    <row r="14" spans="1:44" x14ac:dyDescent="0.25">
      <c r="A14" s="20">
        <f>IF($B14="Entry",COUNTIF($B$4:$B14,"Entry"),"")</f>
      </c>
      <c r="B14" s="21"/>
      <c r="C14" s="22"/>
      <c r="D14" s="22"/>
      <c r="E14" s="23">
        <f>IF($B14&lt;&gt;"Challan","",IF(ROUND(AN14-AO14,2)&gt;0,"Over-applied",IF(ROUND(AN14-AO14,2)=0,"Fully Utilised","Unconsumed")))</f>
      </c>
      <c r="F14" s="24"/>
      <c r="G14" s="25"/>
      <c r="H14" s="25"/>
      <c r="I14" s="26"/>
      <c r="J14" s="26"/>
      <c r="K14" s="26"/>
      <c r="L14" s="26"/>
      <c r="M14" s="26"/>
      <c r="N14" s="26"/>
      <c r="O14" s="26"/>
      <c r="P14" s="27">
        <f>IF($B14&lt;&gt;"Challan","",I14+J14+K14+L14+M14+N14)</f>
      </c>
      <c r="Q14" s="25"/>
      <c r="R14" s="25"/>
      <c r="S14" s="25"/>
      <c r="T14" s="25"/>
      <c r="U14" s="25"/>
      <c r="V14" s="28"/>
      <c r="W14" s="28"/>
      <c r="X14" s="23">
        <f>IF($B14="Entry",IF(AND(LEN(TRIM(UPPER(W14)))=10,CODE(MID(TRIM(UPPER(W14)),1,1))&gt;=65,CODE(MID(TRIM(UPPER(W14)),1,1))&lt;=90,CODE(MID(TRIM(UPPER(W14)),2,1))&gt;=65,CODE(MID(TRIM(UPPER(W14)),2,1))&lt;=90,CODE(MID(TRIM(UPPER(W14)),3,1))&gt;=65,CODE(MID(TRIM(UPPER(W14)),3,1))&lt;=90,CODE(MID(TRIM(UPPER(W14)),4,1))&gt;=65,CODE(MID(TRIM(UPPER(W14)),4,1))&lt;=90,CODE(MID(TRIM(UPPER(W14)),5,1))&gt;=65,CODE(MID(TRIM(UPPER(W14)),5,1))&lt;=90,CODE(MID(TRIM(UPPER(W14)),10,1))&gt;=65,CODE(MID(TRIM(UPPER(W14)),10,1))&lt;=90,CODE(MID(TRIM(UPPER(W14)),6,1))&gt;=48,CODE(MID(TRIM(UPPER(W14)),6,1))&lt;=57,CODE(MID(TRIM(UPPER(W14)),7,1))&gt;=48,CODE(MID(TRIM(UPPER(W14)),7,1))&lt;=57,CODE(MID(TRIM(UPPER(W14)),8,1))&gt;=48,CODE(MID(TRIM(UPPER(W14)),8,1))&lt;=57,CODE(MID(TRIM(UPPER(W14)),9,1))&gt;=48,CODE(MID(TRIM(UPPER(W14)),9,1))&lt;=57),"N","Y"),IF($B14="Challan","",IF(W14&lt;&gt;"","◄ Set Row Type","")))</f>
      </c>
      <c r="Y14" s="23">
        <f>IF($B14="Entry",IF(LEN(W14)&lt;4,"",IF(UPPER(MID(W14,4,1))="P","Individual",IF(UPPER(MID(W14,4,1))="H","HUF",IF(UPPER(MID(W14,4,1))="C","Company",IF(UPPER(MID(W14,4,1))="F","Firm",IF(UPPER(MID(W14,4,1))="L","LLP",IF(UPPER(MID(W14,4,1))="T","Trust",IF(UPPER(MID(W14,4,1))="A","AOP","")))))))),IF($B14="Challan","",IF(W14&lt;&gt;"","◄ Set Row Type","")))</f>
      </c>
      <c r="Z14" s="28"/>
      <c r="AA14" s="29">
        <f>IF($B14&lt;&gt;"Entry","",IF(Z14="","",IF(X14="Y",SUMPRODUCT(('Rate Lookup'!$A$1:$A$37=Z14)*'Rate Lookup'!$D$1:$D$37),IF(OR(Y14="Individual",Y14="HUF"),SUMPRODUCT(('Rate Lookup'!$A$1:$A$37=Z14)*'Rate Lookup'!$B$1:$B$37),SUMPRODUCT(('Rate Lookup'!$A$1:$A$37=Z14)*'Rate Lookup'!$C$1:$C$37)))))</f>
      </c>
      <c r="AB14" s="30"/>
      <c r="AC14" s="31"/>
      <c r="AD14" s="27">
        <f>IF($B14&lt;&gt;"Entry","",ROUND(AC14*AA14/100,0))</f>
      </c>
      <c r="AE14" s="27">
        <f>IF($B14&lt;&gt;"Entry","",0)</f>
      </c>
      <c r="AF14" s="27">
        <f>IF($B14&lt;&gt;"Entry","",0)</f>
      </c>
      <c r="AG14" s="27">
        <f>IF($B14&lt;&gt;"Entry","",IF(OR(AD14=0,AB14="",AQ14="",AQ14&lt;=0),0,IF(AQ14&lt;=DATE(YEAR(AB14),MONTH(AB14)+1,7),0,ROUND(AD14*0.015*((YEAR(AQ14)-YEAR(AB14))*12+(MONTH(AQ14)-MONTH(AB14))+1),0))))</f>
      </c>
      <c r="AH14" s="27">
        <f>IF($B14&lt;&gt;"Entry","",0)</f>
      </c>
      <c r="AI14" s="28"/>
      <c r="AJ14" s="28"/>
      <c r="AK14" s="32"/>
      <c r="AL14" s="28"/>
      <c r="AM14" s="28"/>
      <c r="AN14" s="27">
        <f>IF($B14&lt;&gt;"Challan","",SUMIF('Q1 Data'!$D$4:$D$207,D14,'Q1 Data'!$AD$4:$AD$207)+SUMIF('Q1 Data'!$D$4:$D$207,D14,'Q1 Data'!$AG$4:$AG$207)+SUMIF('Q1 Data'!$D$4:$D$207,D14,'Q1 Data'!$AE$4:$AE$207)+SUMIF('Q2 Data'!$D$4:$D$207,D14,'Q2 Data'!$AD$4:$AD$207)+SUMIF('Q2 Data'!$D$4:$D$207,D14,'Q2 Data'!$AG$4:$AG$207)+SUMIF('Q2 Data'!$D$4:$D$207,D14,'Q2 Data'!$AE$4:$AE$207)+SUMIF('Q3 Data'!$D$4:$D$207,D14,'Q3 Data'!$AD$4:$AD$207)+SUMIF('Q3 Data'!$D$4:$D$207,D14,'Q3 Data'!$AG$4:$AG$207)+SUMIF('Q3 Data'!$D$4:$D$207,D14,'Q3 Data'!$AE$4:$AE$207)+SUMIF('Q4 Data'!$D$4:$D$207,D14,'Q4 Data'!$AD$4:$AD$207)+SUMIF('Q4 Data'!$D$4:$D$207,D14,'Q4 Data'!$AG$4:$AG$207)+SUMIF('Q4 Data'!$D$4:$D$207,D14,'Q4 Data'!$AE$4:$AE$207))</f>
      </c>
      <c r="AO14" s="27">
        <f>IF($B14&lt;&gt;"Challan","",P14-N14)</f>
      </c>
      <c r="AP14" s="27">
        <f>IF($B14&lt;&gt;"Challan","",MAX(0,AO14-AN14))</f>
      </c>
      <c r="AQ14" s="33">
        <f>IF($B14&lt;&gt;"Entry","",SUMPRODUCT(('Q1 Data'!$D$4:$D$207=D14)*('Q1 Data'!$B$4:$B$207="Challan")*'Q1 Data'!$F$4:$F$207)+SUMPRODUCT(('Q2 Data'!$D$4:$D$207=D14)*('Q2 Data'!$B$4:$B$207="Challan")*'Q2 Data'!$F$4:$F$207)+SUMPRODUCT(('Q3 Data'!$D$4:$D$207=D14)*('Q3 Data'!$B$4:$B$207="Challan")*'Q3 Data'!$F$4:$F$207)+SUMPRODUCT(('Q4 Data'!$D$4:$D$207=D14)*('Q4 Data'!$B$4:$B$207="Challan")*'Q4 Data'!$F$4:$F$207))</f>
      </c>
      <c r="AR14" s="34">
        <f>IF(OR($B14&lt;&gt;"Entry",Z14=""),FALSE,AND((SUMPRODUCT(('Q1 Data'!$D$4:$D$207=D14)*('Q1 Data'!$B$4:$B$207="Challan")*('Q1 Data'!$H$4:$H$207&lt;&gt;""))+SUMPRODUCT(('Q2 Data'!$D$4:$D$207=D14)*('Q2 Data'!$B$4:$B$207="Challan")*('Q2 Data'!$H$4:$H$207&lt;&gt;""))+SUMPRODUCT(('Q3 Data'!$D$4:$D$207=D14)*('Q3 Data'!$B$4:$B$207="Challan")*('Q3 Data'!$H$4:$H$207&lt;&gt;""))+SUMPRODUCT(('Q4 Data'!$D$4:$D$207=D14)*('Q4 Data'!$B$4:$B$207="Challan")*('Q4 Data'!$H$4:$H$207&lt;&gt;"")))&gt;0,(SUMPRODUCT(('Q1 Data'!$D$4:$D$207=D14)*('Q1 Data'!$B$4:$B$207="Challan")*('Q1 Data'!$H$4:$H$207=Z14))+SUMPRODUCT(('Q2 Data'!$D$4:$D$207=D14)*('Q2 Data'!$B$4:$B$207="Challan")*('Q2 Data'!$H$4:$H$207=Z14))+SUMPRODUCT(('Q3 Data'!$D$4:$D$207=D14)*('Q3 Data'!$B$4:$B$207="Challan")*('Q3 Data'!$H$4:$H$207=Z14))+SUMPRODUCT(('Q4 Data'!$D$4:$D$207=D14)*('Q4 Data'!$B$4:$B$207="Challan")*('Q4 Data'!$H$4:$H$207=Z14)))=0))</f>
      </c>
    </row>
    <row r="15" spans="1:44" x14ac:dyDescent="0.25">
      <c r="A15" s="20">
        <f>IF($B15="Entry",COUNTIF($B$4:$B15,"Entry"),"")</f>
      </c>
      <c r="B15" s="21"/>
      <c r="C15" s="22"/>
      <c r="D15" s="22"/>
      <c r="E15" s="23">
        <f>IF($B15&lt;&gt;"Challan","",IF(ROUND(AN15-AO15,2)&gt;0,"Over-applied",IF(ROUND(AN15-AO15,2)=0,"Fully Utilised","Unconsumed")))</f>
      </c>
      <c r="F15" s="24"/>
      <c r="G15" s="25"/>
      <c r="H15" s="25"/>
      <c r="I15" s="26"/>
      <c r="J15" s="26"/>
      <c r="K15" s="26"/>
      <c r="L15" s="26"/>
      <c r="M15" s="26"/>
      <c r="N15" s="26"/>
      <c r="O15" s="26"/>
      <c r="P15" s="27">
        <f>IF($B15&lt;&gt;"Challan","",I15+J15+K15+L15+M15+N15)</f>
      </c>
      <c r="Q15" s="25"/>
      <c r="R15" s="25"/>
      <c r="S15" s="25"/>
      <c r="T15" s="25"/>
      <c r="U15" s="25"/>
      <c r="V15" s="28"/>
      <c r="W15" s="28"/>
      <c r="X15" s="23">
        <f>IF($B15="Entry",IF(AND(LEN(TRIM(UPPER(W15)))=10,CODE(MID(TRIM(UPPER(W15)),1,1))&gt;=65,CODE(MID(TRIM(UPPER(W15)),1,1))&lt;=90,CODE(MID(TRIM(UPPER(W15)),2,1))&gt;=65,CODE(MID(TRIM(UPPER(W15)),2,1))&lt;=90,CODE(MID(TRIM(UPPER(W15)),3,1))&gt;=65,CODE(MID(TRIM(UPPER(W15)),3,1))&lt;=90,CODE(MID(TRIM(UPPER(W15)),4,1))&gt;=65,CODE(MID(TRIM(UPPER(W15)),4,1))&lt;=90,CODE(MID(TRIM(UPPER(W15)),5,1))&gt;=65,CODE(MID(TRIM(UPPER(W15)),5,1))&lt;=90,CODE(MID(TRIM(UPPER(W15)),10,1))&gt;=65,CODE(MID(TRIM(UPPER(W15)),10,1))&lt;=90,CODE(MID(TRIM(UPPER(W15)),6,1))&gt;=48,CODE(MID(TRIM(UPPER(W15)),6,1))&lt;=57,CODE(MID(TRIM(UPPER(W15)),7,1))&gt;=48,CODE(MID(TRIM(UPPER(W15)),7,1))&lt;=57,CODE(MID(TRIM(UPPER(W15)),8,1))&gt;=48,CODE(MID(TRIM(UPPER(W15)),8,1))&lt;=57,CODE(MID(TRIM(UPPER(W15)),9,1))&gt;=48,CODE(MID(TRIM(UPPER(W15)),9,1))&lt;=57),"N","Y"),IF($B15="Challan","",IF(W15&lt;&gt;"","◄ Set Row Type","")))</f>
      </c>
      <c r="Y15" s="23">
        <f>IF($B15="Entry",IF(LEN(W15)&lt;4,"",IF(UPPER(MID(W15,4,1))="P","Individual",IF(UPPER(MID(W15,4,1))="H","HUF",IF(UPPER(MID(W15,4,1))="C","Company",IF(UPPER(MID(W15,4,1))="F","Firm",IF(UPPER(MID(W15,4,1))="L","LLP",IF(UPPER(MID(W15,4,1))="T","Trust",IF(UPPER(MID(W15,4,1))="A","AOP","")))))))),IF($B15="Challan","",IF(W15&lt;&gt;"","◄ Set Row Type","")))</f>
      </c>
      <c r="Z15" s="28"/>
      <c r="AA15" s="29">
        <f>IF($B15&lt;&gt;"Entry","",IF(Z15="","",IF(X15="Y",SUMPRODUCT(('Rate Lookup'!$A$1:$A$37=Z15)*'Rate Lookup'!$D$1:$D$37),IF(OR(Y15="Individual",Y15="HUF"),SUMPRODUCT(('Rate Lookup'!$A$1:$A$37=Z15)*'Rate Lookup'!$B$1:$B$37),SUMPRODUCT(('Rate Lookup'!$A$1:$A$37=Z15)*'Rate Lookup'!$C$1:$C$37)))))</f>
      </c>
      <c r="AB15" s="30"/>
      <c r="AC15" s="31"/>
      <c r="AD15" s="27">
        <f>IF($B15&lt;&gt;"Entry","",ROUND(AC15*AA15/100,0))</f>
      </c>
      <c r="AE15" s="27">
        <f>IF($B15&lt;&gt;"Entry","",0)</f>
      </c>
      <c r="AF15" s="27">
        <f>IF($B15&lt;&gt;"Entry","",0)</f>
      </c>
      <c r="AG15" s="27">
        <f>IF($B15&lt;&gt;"Entry","",IF(OR(AD15=0,AB15="",AQ15="",AQ15&lt;=0),0,IF(AQ15&lt;=DATE(YEAR(AB15),MONTH(AB15)+1,7),0,ROUND(AD15*0.015*((YEAR(AQ15)-YEAR(AB15))*12+(MONTH(AQ15)-MONTH(AB15))+1),0))))</f>
      </c>
      <c r="AH15" s="27">
        <f>IF($B15&lt;&gt;"Entry","",0)</f>
      </c>
      <c r="AI15" s="28"/>
      <c r="AJ15" s="28"/>
      <c r="AK15" s="32"/>
      <c r="AL15" s="28"/>
      <c r="AM15" s="28"/>
      <c r="AN15" s="27">
        <f>IF($B15&lt;&gt;"Challan","",SUMIF('Q1 Data'!$D$4:$D$207,D15,'Q1 Data'!$AD$4:$AD$207)+SUMIF('Q1 Data'!$D$4:$D$207,D15,'Q1 Data'!$AG$4:$AG$207)+SUMIF('Q1 Data'!$D$4:$D$207,D15,'Q1 Data'!$AE$4:$AE$207)+SUMIF('Q2 Data'!$D$4:$D$207,D15,'Q2 Data'!$AD$4:$AD$207)+SUMIF('Q2 Data'!$D$4:$D$207,D15,'Q2 Data'!$AG$4:$AG$207)+SUMIF('Q2 Data'!$D$4:$D$207,D15,'Q2 Data'!$AE$4:$AE$207)+SUMIF('Q3 Data'!$D$4:$D$207,D15,'Q3 Data'!$AD$4:$AD$207)+SUMIF('Q3 Data'!$D$4:$D$207,D15,'Q3 Data'!$AG$4:$AG$207)+SUMIF('Q3 Data'!$D$4:$D$207,D15,'Q3 Data'!$AE$4:$AE$207)+SUMIF('Q4 Data'!$D$4:$D$207,D15,'Q4 Data'!$AD$4:$AD$207)+SUMIF('Q4 Data'!$D$4:$D$207,D15,'Q4 Data'!$AG$4:$AG$207)+SUMIF('Q4 Data'!$D$4:$D$207,D15,'Q4 Data'!$AE$4:$AE$207))</f>
      </c>
      <c r="AO15" s="27">
        <f>IF($B15&lt;&gt;"Challan","",P15-N15)</f>
      </c>
      <c r="AP15" s="27">
        <f>IF($B15&lt;&gt;"Challan","",MAX(0,AO15-AN15))</f>
      </c>
      <c r="AQ15" s="33">
        <f>IF($B15&lt;&gt;"Entry","",SUMPRODUCT(('Q1 Data'!$D$4:$D$207=D15)*('Q1 Data'!$B$4:$B$207="Challan")*'Q1 Data'!$F$4:$F$207)+SUMPRODUCT(('Q2 Data'!$D$4:$D$207=D15)*('Q2 Data'!$B$4:$B$207="Challan")*'Q2 Data'!$F$4:$F$207)+SUMPRODUCT(('Q3 Data'!$D$4:$D$207=D15)*('Q3 Data'!$B$4:$B$207="Challan")*'Q3 Data'!$F$4:$F$207)+SUMPRODUCT(('Q4 Data'!$D$4:$D$207=D15)*('Q4 Data'!$B$4:$B$207="Challan")*'Q4 Data'!$F$4:$F$207))</f>
      </c>
      <c r="AR15" s="34">
        <f>IF(OR($B15&lt;&gt;"Entry",Z15=""),FALSE,AND((SUMPRODUCT(('Q1 Data'!$D$4:$D$207=D15)*('Q1 Data'!$B$4:$B$207="Challan")*('Q1 Data'!$H$4:$H$207&lt;&gt;""))+SUMPRODUCT(('Q2 Data'!$D$4:$D$207=D15)*('Q2 Data'!$B$4:$B$207="Challan")*('Q2 Data'!$H$4:$H$207&lt;&gt;""))+SUMPRODUCT(('Q3 Data'!$D$4:$D$207=D15)*('Q3 Data'!$B$4:$B$207="Challan")*('Q3 Data'!$H$4:$H$207&lt;&gt;""))+SUMPRODUCT(('Q4 Data'!$D$4:$D$207=D15)*('Q4 Data'!$B$4:$B$207="Challan")*('Q4 Data'!$H$4:$H$207&lt;&gt;"")))&gt;0,(SUMPRODUCT(('Q1 Data'!$D$4:$D$207=D15)*('Q1 Data'!$B$4:$B$207="Challan")*('Q1 Data'!$H$4:$H$207=Z15))+SUMPRODUCT(('Q2 Data'!$D$4:$D$207=D15)*('Q2 Data'!$B$4:$B$207="Challan")*('Q2 Data'!$H$4:$H$207=Z15))+SUMPRODUCT(('Q3 Data'!$D$4:$D$207=D15)*('Q3 Data'!$B$4:$B$207="Challan")*('Q3 Data'!$H$4:$H$207=Z15))+SUMPRODUCT(('Q4 Data'!$D$4:$D$207=D15)*('Q4 Data'!$B$4:$B$207="Challan")*('Q4 Data'!$H$4:$H$207=Z15)))=0))</f>
      </c>
    </row>
    <row r="16" spans="1:44" x14ac:dyDescent="0.25">
      <c r="A16" s="20">
        <f>IF($B16="Entry",COUNTIF($B$4:$B16,"Entry"),"")</f>
      </c>
      <c r="B16" s="21"/>
      <c r="C16" s="22"/>
      <c r="D16" s="22"/>
      <c r="E16" s="23">
        <f>IF($B16&lt;&gt;"Challan","",IF(ROUND(AN16-AO16,2)&gt;0,"Over-applied",IF(ROUND(AN16-AO16,2)=0,"Fully Utilised","Unconsumed")))</f>
      </c>
      <c r="F16" s="24"/>
      <c r="G16" s="25"/>
      <c r="H16" s="25"/>
      <c r="I16" s="26"/>
      <c r="J16" s="26"/>
      <c r="K16" s="26"/>
      <c r="L16" s="26"/>
      <c r="M16" s="26"/>
      <c r="N16" s="26"/>
      <c r="O16" s="26"/>
      <c r="P16" s="27">
        <f>IF($B16&lt;&gt;"Challan","",I16+J16+K16+L16+M16+N16)</f>
      </c>
      <c r="Q16" s="25"/>
      <c r="R16" s="25"/>
      <c r="S16" s="25"/>
      <c r="T16" s="25"/>
      <c r="U16" s="25"/>
      <c r="V16" s="28"/>
      <c r="W16" s="28"/>
      <c r="X16" s="23">
        <f>IF($B16="Entry",IF(AND(LEN(TRIM(UPPER(W16)))=10,CODE(MID(TRIM(UPPER(W16)),1,1))&gt;=65,CODE(MID(TRIM(UPPER(W16)),1,1))&lt;=90,CODE(MID(TRIM(UPPER(W16)),2,1))&gt;=65,CODE(MID(TRIM(UPPER(W16)),2,1))&lt;=90,CODE(MID(TRIM(UPPER(W16)),3,1))&gt;=65,CODE(MID(TRIM(UPPER(W16)),3,1))&lt;=90,CODE(MID(TRIM(UPPER(W16)),4,1))&gt;=65,CODE(MID(TRIM(UPPER(W16)),4,1))&lt;=90,CODE(MID(TRIM(UPPER(W16)),5,1))&gt;=65,CODE(MID(TRIM(UPPER(W16)),5,1))&lt;=90,CODE(MID(TRIM(UPPER(W16)),10,1))&gt;=65,CODE(MID(TRIM(UPPER(W16)),10,1))&lt;=90,CODE(MID(TRIM(UPPER(W16)),6,1))&gt;=48,CODE(MID(TRIM(UPPER(W16)),6,1))&lt;=57,CODE(MID(TRIM(UPPER(W16)),7,1))&gt;=48,CODE(MID(TRIM(UPPER(W16)),7,1))&lt;=57,CODE(MID(TRIM(UPPER(W16)),8,1))&gt;=48,CODE(MID(TRIM(UPPER(W16)),8,1))&lt;=57,CODE(MID(TRIM(UPPER(W16)),9,1))&gt;=48,CODE(MID(TRIM(UPPER(W16)),9,1))&lt;=57),"N","Y"),IF($B16="Challan","",IF(W16&lt;&gt;"","◄ Set Row Type","")))</f>
      </c>
      <c r="Y16" s="23">
        <f>IF($B16="Entry",IF(LEN(W16)&lt;4,"",IF(UPPER(MID(W16,4,1))="P","Individual",IF(UPPER(MID(W16,4,1))="H","HUF",IF(UPPER(MID(W16,4,1))="C","Company",IF(UPPER(MID(W16,4,1))="F","Firm",IF(UPPER(MID(W16,4,1))="L","LLP",IF(UPPER(MID(W16,4,1))="T","Trust",IF(UPPER(MID(W16,4,1))="A","AOP","")))))))),IF($B16="Challan","",IF(W16&lt;&gt;"","◄ Set Row Type","")))</f>
      </c>
      <c r="Z16" s="28"/>
      <c r="AA16" s="29">
        <f>IF($B16&lt;&gt;"Entry","",IF(Z16="","",IF(X16="Y",SUMPRODUCT(('Rate Lookup'!$A$1:$A$37=Z16)*'Rate Lookup'!$D$1:$D$37),IF(OR(Y16="Individual",Y16="HUF"),SUMPRODUCT(('Rate Lookup'!$A$1:$A$37=Z16)*'Rate Lookup'!$B$1:$B$37),SUMPRODUCT(('Rate Lookup'!$A$1:$A$37=Z16)*'Rate Lookup'!$C$1:$C$37)))))</f>
      </c>
      <c r="AB16" s="30"/>
      <c r="AC16" s="31"/>
      <c r="AD16" s="27">
        <f>IF($B16&lt;&gt;"Entry","",ROUND(AC16*AA16/100,0))</f>
      </c>
      <c r="AE16" s="27">
        <f>IF($B16&lt;&gt;"Entry","",0)</f>
      </c>
      <c r="AF16" s="27">
        <f>IF($B16&lt;&gt;"Entry","",0)</f>
      </c>
      <c r="AG16" s="27">
        <f>IF($B16&lt;&gt;"Entry","",IF(OR(AD16=0,AB16="",AQ16="",AQ16&lt;=0),0,IF(AQ16&lt;=DATE(YEAR(AB16),MONTH(AB16)+1,7),0,ROUND(AD16*0.015*((YEAR(AQ16)-YEAR(AB16))*12+(MONTH(AQ16)-MONTH(AB16))+1),0))))</f>
      </c>
      <c r="AH16" s="27">
        <f>IF($B16&lt;&gt;"Entry","",0)</f>
      </c>
      <c r="AI16" s="28"/>
      <c r="AJ16" s="28"/>
      <c r="AK16" s="32"/>
      <c r="AL16" s="28"/>
      <c r="AM16" s="28"/>
      <c r="AN16" s="27">
        <f>IF($B16&lt;&gt;"Challan","",SUMIF('Q1 Data'!$D$4:$D$207,D16,'Q1 Data'!$AD$4:$AD$207)+SUMIF('Q1 Data'!$D$4:$D$207,D16,'Q1 Data'!$AG$4:$AG$207)+SUMIF('Q1 Data'!$D$4:$D$207,D16,'Q1 Data'!$AE$4:$AE$207)+SUMIF('Q2 Data'!$D$4:$D$207,D16,'Q2 Data'!$AD$4:$AD$207)+SUMIF('Q2 Data'!$D$4:$D$207,D16,'Q2 Data'!$AG$4:$AG$207)+SUMIF('Q2 Data'!$D$4:$D$207,D16,'Q2 Data'!$AE$4:$AE$207)+SUMIF('Q3 Data'!$D$4:$D$207,D16,'Q3 Data'!$AD$4:$AD$207)+SUMIF('Q3 Data'!$D$4:$D$207,D16,'Q3 Data'!$AG$4:$AG$207)+SUMIF('Q3 Data'!$D$4:$D$207,D16,'Q3 Data'!$AE$4:$AE$207)+SUMIF('Q4 Data'!$D$4:$D$207,D16,'Q4 Data'!$AD$4:$AD$207)+SUMIF('Q4 Data'!$D$4:$D$207,D16,'Q4 Data'!$AG$4:$AG$207)+SUMIF('Q4 Data'!$D$4:$D$207,D16,'Q4 Data'!$AE$4:$AE$207))</f>
      </c>
      <c r="AO16" s="27">
        <f>IF($B16&lt;&gt;"Challan","",P16-N16)</f>
      </c>
      <c r="AP16" s="27">
        <f>IF($B16&lt;&gt;"Challan","",MAX(0,AO16-AN16))</f>
      </c>
      <c r="AQ16" s="33">
        <f>IF($B16&lt;&gt;"Entry","",SUMPRODUCT(('Q1 Data'!$D$4:$D$207=D16)*('Q1 Data'!$B$4:$B$207="Challan")*'Q1 Data'!$F$4:$F$207)+SUMPRODUCT(('Q2 Data'!$D$4:$D$207=D16)*('Q2 Data'!$B$4:$B$207="Challan")*'Q2 Data'!$F$4:$F$207)+SUMPRODUCT(('Q3 Data'!$D$4:$D$207=D16)*('Q3 Data'!$B$4:$B$207="Challan")*'Q3 Data'!$F$4:$F$207)+SUMPRODUCT(('Q4 Data'!$D$4:$D$207=D16)*('Q4 Data'!$B$4:$B$207="Challan")*'Q4 Data'!$F$4:$F$207))</f>
      </c>
      <c r="AR16" s="34">
        <f>IF(OR($B16&lt;&gt;"Entry",Z16=""),FALSE,AND((SUMPRODUCT(('Q1 Data'!$D$4:$D$207=D16)*('Q1 Data'!$B$4:$B$207="Challan")*('Q1 Data'!$H$4:$H$207&lt;&gt;""))+SUMPRODUCT(('Q2 Data'!$D$4:$D$207=D16)*('Q2 Data'!$B$4:$B$207="Challan")*('Q2 Data'!$H$4:$H$207&lt;&gt;""))+SUMPRODUCT(('Q3 Data'!$D$4:$D$207=D16)*('Q3 Data'!$B$4:$B$207="Challan")*('Q3 Data'!$H$4:$H$207&lt;&gt;""))+SUMPRODUCT(('Q4 Data'!$D$4:$D$207=D16)*('Q4 Data'!$B$4:$B$207="Challan")*('Q4 Data'!$H$4:$H$207&lt;&gt;"")))&gt;0,(SUMPRODUCT(('Q1 Data'!$D$4:$D$207=D16)*('Q1 Data'!$B$4:$B$207="Challan")*('Q1 Data'!$H$4:$H$207=Z16))+SUMPRODUCT(('Q2 Data'!$D$4:$D$207=D16)*('Q2 Data'!$B$4:$B$207="Challan")*('Q2 Data'!$H$4:$H$207=Z16))+SUMPRODUCT(('Q3 Data'!$D$4:$D$207=D16)*('Q3 Data'!$B$4:$B$207="Challan")*('Q3 Data'!$H$4:$H$207=Z16))+SUMPRODUCT(('Q4 Data'!$D$4:$D$207=D16)*('Q4 Data'!$B$4:$B$207="Challan")*('Q4 Data'!$H$4:$H$207=Z16)))=0))</f>
      </c>
    </row>
    <row r="17" spans="1:44" x14ac:dyDescent="0.25">
      <c r="A17" s="20">
        <f>IF($B17="Entry",COUNTIF($B$4:$B17,"Entry"),"")</f>
      </c>
      <c r="B17" s="21"/>
      <c r="C17" s="22"/>
      <c r="D17" s="22"/>
      <c r="E17" s="23">
        <f>IF($B17&lt;&gt;"Challan","",IF(ROUND(AN17-AO17,2)&gt;0,"Over-applied",IF(ROUND(AN17-AO17,2)=0,"Fully Utilised","Unconsumed")))</f>
      </c>
      <c r="F17" s="24"/>
      <c r="G17" s="25"/>
      <c r="H17" s="25"/>
      <c r="I17" s="26"/>
      <c r="J17" s="26"/>
      <c r="K17" s="26"/>
      <c r="L17" s="26"/>
      <c r="M17" s="26"/>
      <c r="N17" s="26"/>
      <c r="O17" s="26"/>
      <c r="P17" s="27">
        <f>IF($B17&lt;&gt;"Challan","",I17+J17+K17+L17+M17+N17)</f>
      </c>
      <c r="Q17" s="25"/>
      <c r="R17" s="25"/>
      <c r="S17" s="25"/>
      <c r="T17" s="25"/>
      <c r="U17" s="25"/>
      <c r="V17" s="28"/>
      <c r="W17" s="28"/>
      <c r="X17" s="23">
        <f>IF($B17="Entry",IF(AND(LEN(TRIM(UPPER(W17)))=10,CODE(MID(TRIM(UPPER(W17)),1,1))&gt;=65,CODE(MID(TRIM(UPPER(W17)),1,1))&lt;=90,CODE(MID(TRIM(UPPER(W17)),2,1))&gt;=65,CODE(MID(TRIM(UPPER(W17)),2,1))&lt;=90,CODE(MID(TRIM(UPPER(W17)),3,1))&gt;=65,CODE(MID(TRIM(UPPER(W17)),3,1))&lt;=90,CODE(MID(TRIM(UPPER(W17)),4,1))&gt;=65,CODE(MID(TRIM(UPPER(W17)),4,1))&lt;=90,CODE(MID(TRIM(UPPER(W17)),5,1))&gt;=65,CODE(MID(TRIM(UPPER(W17)),5,1))&lt;=90,CODE(MID(TRIM(UPPER(W17)),10,1))&gt;=65,CODE(MID(TRIM(UPPER(W17)),10,1))&lt;=90,CODE(MID(TRIM(UPPER(W17)),6,1))&gt;=48,CODE(MID(TRIM(UPPER(W17)),6,1))&lt;=57,CODE(MID(TRIM(UPPER(W17)),7,1))&gt;=48,CODE(MID(TRIM(UPPER(W17)),7,1))&lt;=57,CODE(MID(TRIM(UPPER(W17)),8,1))&gt;=48,CODE(MID(TRIM(UPPER(W17)),8,1))&lt;=57,CODE(MID(TRIM(UPPER(W17)),9,1))&gt;=48,CODE(MID(TRIM(UPPER(W17)),9,1))&lt;=57),"N","Y"),IF($B17="Challan","",IF(W17&lt;&gt;"","◄ Set Row Type","")))</f>
      </c>
      <c r="Y17" s="23">
        <f>IF($B17="Entry",IF(LEN(W17)&lt;4,"",IF(UPPER(MID(W17,4,1))="P","Individual",IF(UPPER(MID(W17,4,1))="H","HUF",IF(UPPER(MID(W17,4,1))="C","Company",IF(UPPER(MID(W17,4,1))="F","Firm",IF(UPPER(MID(W17,4,1))="L","LLP",IF(UPPER(MID(W17,4,1))="T","Trust",IF(UPPER(MID(W17,4,1))="A","AOP","")))))))),IF($B17="Challan","",IF(W17&lt;&gt;"","◄ Set Row Type","")))</f>
      </c>
      <c r="Z17" s="28"/>
      <c r="AA17" s="29">
        <f>IF($B17&lt;&gt;"Entry","",IF(Z17="","",IF(X17="Y",SUMPRODUCT(('Rate Lookup'!$A$1:$A$37=Z17)*'Rate Lookup'!$D$1:$D$37),IF(OR(Y17="Individual",Y17="HUF"),SUMPRODUCT(('Rate Lookup'!$A$1:$A$37=Z17)*'Rate Lookup'!$B$1:$B$37),SUMPRODUCT(('Rate Lookup'!$A$1:$A$37=Z17)*'Rate Lookup'!$C$1:$C$37)))))</f>
      </c>
      <c r="AB17" s="30"/>
      <c r="AC17" s="31"/>
      <c r="AD17" s="27">
        <f>IF($B17&lt;&gt;"Entry","",ROUND(AC17*AA17/100,0))</f>
      </c>
      <c r="AE17" s="27">
        <f>IF($B17&lt;&gt;"Entry","",0)</f>
      </c>
      <c r="AF17" s="27">
        <f>IF($B17&lt;&gt;"Entry","",0)</f>
      </c>
      <c r="AG17" s="27">
        <f>IF($B17&lt;&gt;"Entry","",IF(OR(AD17=0,AB17="",AQ17="",AQ17&lt;=0),0,IF(AQ17&lt;=DATE(YEAR(AB17),MONTH(AB17)+1,7),0,ROUND(AD17*0.015*((YEAR(AQ17)-YEAR(AB17))*12+(MONTH(AQ17)-MONTH(AB17))+1),0))))</f>
      </c>
      <c r="AH17" s="27">
        <f>IF($B17&lt;&gt;"Entry","",0)</f>
      </c>
      <c r="AI17" s="28"/>
      <c r="AJ17" s="28"/>
      <c r="AK17" s="32"/>
      <c r="AL17" s="28"/>
      <c r="AM17" s="28"/>
      <c r="AN17" s="27">
        <f>IF($B17&lt;&gt;"Challan","",SUMIF('Q1 Data'!$D$4:$D$207,D17,'Q1 Data'!$AD$4:$AD$207)+SUMIF('Q1 Data'!$D$4:$D$207,D17,'Q1 Data'!$AG$4:$AG$207)+SUMIF('Q1 Data'!$D$4:$D$207,D17,'Q1 Data'!$AE$4:$AE$207)+SUMIF('Q2 Data'!$D$4:$D$207,D17,'Q2 Data'!$AD$4:$AD$207)+SUMIF('Q2 Data'!$D$4:$D$207,D17,'Q2 Data'!$AG$4:$AG$207)+SUMIF('Q2 Data'!$D$4:$D$207,D17,'Q2 Data'!$AE$4:$AE$207)+SUMIF('Q3 Data'!$D$4:$D$207,D17,'Q3 Data'!$AD$4:$AD$207)+SUMIF('Q3 Data'!$D$4:$D$207,D17,'Q3 Data'!$AG$4:$AG$207)+SUMIF('Q3 Data'!$D$4:$D$207,D17,'Q3 Data'!$AE$4:$AE$207)+SUMIF('Q4 Data'!$D$4:$D$207,D17,'Q4 Data'!$AD$4:$AD$207)+SUMIF('Q4 Data'!$D$4:$D$207,D17,'Q4 Data'!$AG$4:$AG$207)+SUMIF('Q4 Data'!$D$4:$D$207,D17,'Q4 Data'!$AE$4:$AE$207))</f>
      </c>
      <c r="AO17" s="27">
        <f>IF($B17&lt;&gt;"Challan","",P17-N17)</f>
      </c>
      <c r="AP17" s="27">
        <f>IF($B17&lt;&gt;"Challan","",MAX(0,AO17-AN17))</f>
      </c>
      <c r="AQ17" s="33">
        <f>IF($B17&lt;&gt;"Entry","",SUMPRODUCT(('Q1 Data'!$D$4:$D$207=D17)*('Q1 Data'!$B$4:$B$207="Challan")*'Q1 Data'!$F$4:$F$207)+SUMPRODUCT(('Q2 Data'!$D$4:$D$207=D17)*('Q2 Data'!$B$4:$B$207="Challan")*'Q2 Data'!$F$4:$F$207)+SUMPRODUCT(('Q3 Data'!$D$4:$D$207=D17)*('Q3 Data'!$B$4:$B$207="Challan")*'Q3 Data'!$F$4:$F$207)+SUMPRODUCT(('Q4 Data'!$D$4:$D$207=D17)*('Q4 Data'!$B$4:$B$207="Challan")*'Q4 Data'!$F$4:$F$207))</f>
      </c>
      <c r="AR17" s="34">
        <f>IF(OR($B17&lt;&gt;"Entry",Z17=""),FALSE,AND((SUMPRODUCT(('Q1 Data'!$D$4:$D$207=D17)*('Q1 Data'!$B$4:$B$207="Challan")*('Q1 Data'!$H$4:$H$207&lt;&gt;""))+SUMPRODUCT(('Q2 Data'!$D$4:$D$207=D17)*('Q2 Data'!$B$4:$B$207="Challan")*('Q2 Data'!$H$4:$H$207&lt;&gt;""))+SUMPRODUCT(('Q3 Data'!$D$4:$D$207=D17)*('Q3 Data'!$B$4:$B$207="Challan")*('Q3 Data'!$H$4:$H$207&lt;&gt;""))+SUMPRODUCT(('Q4 Data'!$D$4:$D$207=D17)*('Q4 Data'!$B$4:$B$207="Challan")*('Q4 Data'!$H$4:$H$207&lt;&gt;"")))&gt;0,(SUMPRODUCT(('Q1 Data'!$D$4:$D$207=D17)*('Q1 Data'!$B$4:$B$207="Challan")*('Q1 Data'!$H$4:$H$207=Z17))+SUMPRODUCT(('Q2 Data'!$D$4:$D$207=D17)*('Q2 Data'!$B$4:$B$207="Challan")*('Q2 Data'!$H$4:$H$207=Z17))+SUMPRODUCT(('Q3 Data'!$D$4:$D$207=D17)*('Q3 Data'!$B$4:$B$207="Challan")*('Q3 Data'!$H$4:$H$207=Z17))+SUMPRODUCT(('Q4 Data'!$D$4:$D$207=D17)*('Q4 Data'!$B$4:$B$207="Challan")*('Q4 Data'!$H$4:$H$207=Z17)))=0))</f>
      </c>
    </row>
    <row r="18" spans="1:44" x14ac:dyDescent="0.25">
      <c r="A18" s="20">
        <f>IF($B18="Entry",COUNTIF($B$4:$B18,"Entry"),"")</f>
      </c>
      <c r="B18" s="21"/>
      <c r="C18" s="22"/>
      <c r="D18" s="22"/>
      <c r="E18" s="23">
        <f>IF($B18&lt;&gt;"Challan","",IF(ROUND(AN18-AO18,2)&gt;0,"Over-applied",IF(ROUND(AN18-AO18,2)=0,"Fully Utilised","Unconsumed")))</f>
      </c>
      <c r="F18" s="24"/>
      <c r="G18" s="25"/>
      <c r="H18" s="25"/>
      <c r="I18" s="26"/>
      <c r="J18" s="26"/>
      <c r="K18" s="26"/>
      <c r="L18" s="26"/>
      <c r="M18" s="26"/>
      <c r="N18" s="26"/>
      <c r="O18" s="26"/>
      <c r="P18" s="27">
        <f>IF($B18&lt;&gt;"Challan","",I18+J18+K18+L18+M18+N18)</f>
      </c>
      <c r="Q18" s="25"/>
      <c r="R18" s="25"/>
      <c r="S18" s="25"/>
      <c r="T18" s="25"/>
      <c r="U18" s="25"/>
      <c r="V18" s="28"/>
      <c r="W18" s="28"/>
      <c r="X18" s="23">
        <f>IF($B18="Entry",IF(AND(LEN(TRIM(UPPER(W18)))=10,CODE(MID(TRIM(UPPER(W18)),1,1))&gt;=65,CODE(MID(TRIM(UPPER(W18)),1,1))&lt;=90,CODE(MID(TRIM(UPPER(W18)),2,1))&gt;=65,CODE(MID(TRIM(UPPER(W18)),2,1))&lt;=90,CODE(MID(TRIM(UPPER(W18)),3,1))&gt;=65,CODE(MID(TRIM(UPPER(W18)),3,1))&lt;=90,CODE(MID(TRIM(UPPER(W18)),4,1))&gt;=65,CODE(MID(TRIM(UPPER(W18)),4,1))&lt;=90,CODE(MID(TRIM(UPPER(W18)),5,1))&gt;=65,CODE(MID(TRIM(UPPER(W18)),5,1))&lt;=90,CODE(MID(TRIM(UPPER(W18)),10,1))&gt;=65,CODE(MID(TRIM(UPPER(W18)),10,1))&lt;=90,CODE(MID(TRIM(UPPER(W18)),6,1))&gt;=48,CODE(MID(TRIM(UPPER(W18)),6,1))&lt;=57,CODE(MID(TRIM(UPPER(W18)),7,1))&gt;=48,CODE(MID(TRIM(UPPER(W18)),7,1))&lt;=57,CODE(MID(TRIM(UPPER(W18)),8,1))&gt;=48,CODE(MID(TRIM(UPPER(W18)),8,1))&lt;=57,CODE(MID(TRIM(UPPER(W18)),9,1))&gt;=48,CODE(MID(TRIM(UPPER(W18)),9,1))&lt;=57),"N","Y"),IF($B18="Challan","",IF(W18&lt;&gt;"","◄ Set Row Type","")))</f>
      </c>
      <c r="Y18" s="23">
        <f>IF($B18="Entry",IF(LEN(W18)&lt;4,"",IF(UPPER(MID(W18,4,1))="P","Individual",IF(UPPER(MID(W18,4,1))="H","HUF",IF(UPPER(MID(W18,4,1))="C","Company",IF(UPPER(MID(W18,4,1))="F","Firm",IF(UPPER(MID(W18,4,1))="L","LLP",IF(UPPER(MID(W18,4,1))="T","Trust",IF(UPPER(MID(W18,4,1))="A","AOP","")))))))),IF($B18="Challan","",IF(W18&lt;&gt;"","◄ Set Row Type","")))</f>
      </c>
      <c r="Z18" s="28"/>
      <c r="AA18" s="29">
        <f>IF($B18&lt;&gt;"Entry","",IF(Z18="","",IF(X18="Y",SUMPRODUCT(('Rate Lookup'!$A$1:$A$37=Z18)*'Rate Lookup'!$D$1:$D$37),IF(OR(Y18="Individual",Y18="HUF"),SUMPRODUCT(('Rate Lookup'!$A$1:$A$37=Z18)*'Rate Lookup'!$B$1:$B$37),SUMPRODUCT(('Rate Lookup'!$A$1:$A$37=Z18)*'Rate Lookup'!$C$1:$C$37)))))</f>
      </c>
      <c r="AB18" s="30"/>
      <c r="AC18" s="31"/>
      <c r="AD18" s="27">
        <f>IF($B18&lt;&gt;"Entry","",ROUND(AC18*AA18/100,0))</f>
      </c>
      <c r="AE18" s="27">
        <f>IF($B18&lt;&gt;"Entry","",0)</f>
      </c>
      <c r="AF18" s="27">
        <f>IF($B18&lt;&gt;"Entry","",0)</f>
      </c>
      <c r="AG18" s="27">
        <f>IF($B18&lt;&gt;"Entry","",IF(OR(AD18=0,AB18="",AQ18="",AQ18&lt;=0),0,IF(AQ18&lt;=DATE(YEAR(AB18),MONTH(AB18)+1,7),0,ROUND(AD18*0.015*((YEAR(AQ18)-YEAR(AB18))*12+(MONTH(AQ18)-MONTH(AB18))+1),0))))</f>
      </c>
      <c r="AH18" s="27">
        <f>IF($B18&lt;&gt;"Entry","",0)</f>
      </c>
      <c r="AI18" s="28"/>
      <c r="AJ18" s="28"/>
      <c r="AK18" s="32"/>
      <c r="AL18" s="28"/>
      <c r="AM18" s="28"/>
      <c r="AN18" s="27">
        <f>IF($B18&lt;&gt;"Challan","",SUMIF('Q1 Data'!$D$4:$D$207,D18,'Q1 Data'!$AD$4:$AD$207)+SUMIF('Q1 Data'!$D$4:$D$207,D18,'Q1 Data'!$AG$4:$AG$207)+SUMIF('Q1 Data'!$D$4:$D$207,D18,'Q1 Data'!$AE$4:$AE$207)+SUMIF('Q2 Data'!$D$4:$D$207,D18,'Q2 Data'!$AD$4:$AD$207)+SUMIF('Q2 Data'!$D$4:$D$207,D18,'Q2 Data'!$AG$4:$AG$207)+SUMIF('Q2 Data'!$D$4:$D$207,D18,'Q2 Data'!$AE$4:$AE$207)+SUMIF('Q3 Data'!$D$4:$D$207,D18,'Q3 Data'!$AD$4:$AD$207)+SUMIF('Q3 Data'!$D$4:$D$207,D18,'Q3 Data'!$AG$4:$AG$207)+SUMIF('Q3 Data'!$D$4:$D$207,D18,'Q3 Data'!$AE$4:$AE$207)+SUMIF('Q4 Data'!$D$4:$D$207,D18,'Q4 Data'!$AD$4:$AD$207)+SUMIF('Q4 Data'!$D$4:$D$207,D18,'Q4 Data'!$AG$4:$AG$207)+SUMIF('Q4 Data'!$D$4:$D$207,D18,'Q4 Data'!$AE$4:$AE$207))</f>
      </c>
      <c r="AO18" s="27">
        <f>IF($B18&lt;&gt;"Challan","",P18-N18)</f>
      </c>
      <c r="AP18" s="27">
        <f>IF($B18&lt;&gt;"Challan","",MAX(0,AO18-AN18))</f>
      </c>
      <c r="AQ18" s="33">
        <f>IF($B18&lt;&gt;"Entry","",SUMPRODUCT(('Q1 Data'!$D$4:$D$207=D18)*('Q1 Data'!$B$4:$B$207="Challan")*'Q1 Data'!$F$4:$F$207)+SUMPRODUCT(('Q2 Data'!$D$4:$D$207=D18)*('Q2 Data'!$B$4:$B$207="Challan")*'Q2 Data'!$F$4:$F$207)+SUMPRODUCT(('Q3 Data'!$D$4:$D$207=D18)*('Q3 Data'!$B$4:$B$207="Challan")*'Q3 Data'!$F$4:$F$207)+SUMPRODUCT(('Q4 Data'!$D$4:$D$207=D18)*('Q4 Data'!$B$4:$B$207="Challan")*'Q4 Data'!$F$4:$F$207))</f>
      </c>
      <c r="AR18" s="34">
        <f>IF(OR($B18&lt;&gt;"Entry",Z18=""),FALSE,AND((SUMPRODUCT(('Q1 Data'!$D$4:$D$207=D18)*('Q1 Data'!$B$4:$B$207="Challan")*('Q1 Data'!$H$4:$H$207&lt;&gt;""))+SUMPRODUCT(('Q2 Data'!$D$4:$D$207=D18)*('Q2 Data'!$B$4:$B$207="Challan")*('Q2 Data'!$H$4:$H$207&lt;&gt;""))+SUMPRODUCT(('Q3 Data'!$D$4:$D$207=D18)*('Q3 Data'!$B$4:$B$207="Challan")*('Q3 Data'!$H$4:$H$207&lt;&gt;""))+SUMPRODUCT(('Q4 Data'!$D$4:$D$207=D18)*('Q4 Data'!$B$4:$B$207="Challan")*('Q4 Data'!$H$4:$H$207&lt;&gt;"")))&gt;0,(SUMPRODUCT(('Q1 Data'!$D$4:$D$207=D18)*('Q1 Data'!$B$4:$B$207="Challan")*('Q1 Data'!$H$4:$H$207=Z18))+SUMPRODUCT(('Q2 Data'!$D$4:$D$207=D18)*('Q2 Data'!$B$4:$B$207="Challan")*('Q2 Data'!$H$4:$H$207=Z18))+SUMPRODUCT(('Q3 Data'!$D$4:$D$207=D18)*('Q3 Data'!$B$4:$B$207="Challan")*('Q3 Data'!$H$4:$H$207=Z18))+SUMPRODUCT(('Q4 Data'!$D$4:$D$207=D18)*('Q4 Data'!$B$4:$B$207="Challan")*('Q4 Data'!$H$4:$H$207=Z18)))=0))</f>
      </c>
    </row>
    <row r="19" spans="1:44" x14ac:dyDescent="0.25">
      <c r="A19" s="20">
        <f>IF($B19="Entry",COUNTIF($B$4:$B19,"Entry"),"")</f>
      </c>
      <c r="B19" s="21"/>
      <c r="C19" s="22"/>
      <c r="D19" s="22"/>
      <c r="E19" s="23">
        <f>IF($B19&lt;&gt;"Challan","",IF(ROUND(AN19-AO19,2)&gt;0,"Over-applied",IF(ROUND(AN19-AO19,2)=0,"Fully Utilised","Unconsumed")))</f>
      </c>
      <c r="F19" s="24"/>
      <c r="G19" s="25"/>
      <c r="H19" s="25"/>
      <c r="I19" s="26"/>
      <c r="J19" s="26"/>
      <c r="K19" s="26"/>
      <c r="L19" s="26"/>
      <c r="M19" s="26"/>
      <c r="N19" s="26"/>
      <c r="O19" s="26"/>
      <c r="P19" s="27">
        <f>IF($B19&lt;&gt;"Challan","",I19+J19+K19+L19+M19+N19)</f>
      </c>
      <c r="Q19" s="25"/>
      <c r="R19" s="25"/>
      <c r="S19" s="25"/>
      <c r="T19" s="25"/>
      <c r="U19" s="25"/>
      <c r="V19" s="28"/>
      <c r="W19" s="28"/>
      <c r="X19" s="23">
        <f>IF($B19="Entry",IF(AND(LEN(TRIM(UPPER(W19)))=10,CODE(MID(TRIM(UPPER(W19)),1,1))&gt;=65,CODE(MID(TRIM(UPPER(W19)),1,1))&lt;=90,CODE(MID(TRIM(UPPER(W19)),2,1))&gt;=65,CODE(MID(TRIM(UPPER(W19)),2,1))&lt;=90,CODE(MID(TRIM(UPPER(W19)),3,1))&gt;=65,CODE(MID(TRIM(UPPER(W19)),3,1))&lt;=90,CODE(MID(TRIM(UPPER(W19)),4,1))&gt;=65,CODE(MID(TRIM(UPPER(W19)),4,1))&lt;=90,CODE(MID(TRIM(UPPER(W19)),5,1))&gt;=65,CODE(MID(TRIM(UPPER(W19)),5,1))&lt;=90,CODE(MID(TRIM(UPPER(W19)),10,1))&gt;=65,CODE(MID(TRIM(UPPER(W19)),10,1))&lt;=90,CODE(MID(TRIM(UPPER(W19)),6,1))&gt;=48,CODE(MID(TRIM(UPPER(W19)),6,1))&lt;=57,CODE(MID(TRIM(UPPER(W19)),7,1))&gt;=48,CODE(MID(TRIM(UPPER(W19)),7,1))&lt;=57,CODE(MID(TRIM(UPPER(W19)),8,1))&gt;=48,CODE(MID(TRIM(UPPER(W19)),8,1))&lt;=57,CODE(MID(TRIM(UPPER(W19)),9,1))&gt;=48,CODE(MID(TRIM(UPPER(W19)),9,1))&lt;=57),"N","Y"),IF($B19="Challan","",IF(W19&lt;&gt;"","◄ Set Row Type","")))</f>
      </c>
      <c r="Y19" s="23">
        <f>IF($B19="Entry",IF(LEN(W19)&lt;4,"",IF(UPPER(MID(W19,4,1))="P","Individual",IF(UPPER(MID(W19,4,1))="H","HUF",IF(UPPER(MID(W19,4,1))="C","Company",IF(UPPER(MID(W19,4,1))="F","Firm",IF(UPPER(MID(W19,4,1))="L","LLP",IF(UPPER(MID(W19,4,1))="T","Trust",IF(UPPER(MID(W19,4,1))="A","AOP","")))))))),IF($B19="Challan","",IF(W19&lt;&gt;"","◄ Set Row Type","")))</f>
      </c>
      <c r="Z19" s="28"/>
      <c r="AA19" s="29">
        <f>IF($B19&lt;&gt;"Entry","",IF(Z19="","",IF(X19="Y",SUMPRODUCT(('Rate Lookup'!$A$1:$A$37=Z19)*'Rate Lookup'!$D$1:$D$37),IF(OR(Y19="Individual",Y19="HUF"),SUMPRODUCT(('Rate Lookup'!$A$1:$A$37=Z19)*'Rate Lookup'!$B$1:$B$37),SUMPRODUCT(('Rate Lookup'!$A$1:$A$37=Z19)*'Rate Lookup'!$C$1:$C$37)))))</f>
      </c>
      <c r="AB19" s="30"/>
      <c r="AC19" s="31"/>
      <c r="AD19" s="27">
        <f>IF($B19&lt;&gt;"Entry","",ROUND(AC19*AA19/100,0))</f>
      </c>
      <c r="AE19" s="27">
        <f>IF($B19&lt;&gt;"Entry","",0)</f>
      </c>
      <c r="AF19" s="27">
        <f>IF($B19&lt;&gt;"Entry","",0)</f>
      </c>
      <c r="AG19" s="27">
        <f>IF($B19&lt;&gt;"Entry","",IF(OR(AD19=0,AB19="",AQ19="",AQ19&lt;=0),0,IF(AQ19&lt;=DATE(YEAR(AB19),MONTH(AB19)+1,7),0,ROUND(AD19*0.015*((YEAR(AQ19)-YEAR(AB19))*12+(MONTH(AQ19)-MONTH(AB19))+1),0))))</f>
      </c>
      <c r="AH19" s="27">
        <f>IF($B19&lt;&gt;"Entry","",0)</f>
      </c>
      <c r="AI19" s="28"/>
      <c r="AJ19" s="28"/>
      <c r="AK19" s="32"/>
      <c r="AL19" s="28"/>
      <c r="AM19" s="28"/>
      <c r="AN19" s="27">
        <f>IF($B19&lt;&gt;"Challan","",SUMIF('Q1 Data'!$D$4:$D$207,D19,'Q1 Data'!$AD$4:$AD$207)+SUMIF('Q1 Data'!$D$4:$D$207,D19,'Q1 Data'!$AG$4:$AG$207)+SUMIF('Q1 Data'!$D$4:$D$207,D19,'Q1 Data'!$AE$4:$AE$207)+SUMIF('Q2 Data'!$D$4:$D$207,D19,'Q2 Data'!$AD$4:$AD$207)+SUMIF('Q2 Data'!$D$4:$D$207,D19,'Q2 Data'!$AG$4:$AG$207)+SUMIF('Q2 Data'!$D$4:$D$207,D19,'Q2 Data'!$AE$4:$AE$207)+SUMIF('Q3 Data'!$D$4:$D$207,D19,'Q3 Data'!$AD$4:$AD$207)+SUMIF('Q3 Data'!$D$4:$D$207,D19,'Q3 Data'!$AG$4:$AG$207)+SUMIF('Q3 Data'!$D$4:$D$207,D19,'Q3 Data'!$AE$4:$AE$207)+SUMIF('Q4 Data'!$D$4:$D$207,D19,'Q4 Data'!$AD$4:$AD$207)+SUMIF('Q4 Data'!$D$4:$D$207,D19,'Q4 Data'!$AG$4:$AG$207)+SUMIF('Q4 Data'!$D$4:$D$207,D19,'Q4 Data'!$AE$4:$AE$207))</f>
      </c>
      <c r="AO19" s="27">
        <f>IF($B19&lt;&gt;"Challan","",P19-N19)</f>
      </c>
      <c r="AP19" s="27">
        <f>IF($B19&lt;&gt;"Challan","",MAX(0,AO19-AN19))</f>
      </c>
      <c r="AQ19" s="33">
        <f>IF($B19&lt;&gt;"Entry","",SUMPRODUCT(('Q1 Data'!$D$4:$D$207=D19)*('Q1 Data'!$B$4:$B$207="Challan")*'Q1 Data'!$F$4:$F$207)+SUMPRODUCT(('Q2 Data'!$D$4:$D$207=D19)*('Q2 Data'!$B$4:$B$207="Challan")*'Q2 Data'!$F$4:$F$207)+SUMPRODUCT(('Q3 Data'!$D$4:$D$207=D19)*('Q3 Data'!$B$4:$B$207="Challan")*'Q3 Data'!$F$4:$F$207)+SUMPRODUCT(('Q4 Data'!$D$4:$D$207=D19)*('Q4 Data'!$B$4:$B$207="Challan")*'Q4 Data'!$F$4:$F$207))</f>
      </c>
      <c r="AR19" s="34">
        <f>IF(OR($B19&lt;&gt;"Entry",Z19=""),FALSE,AND((SUMPRODUCT(('Q1 Data'!$D$4:$D$207=D19)*('Q1 Data'!$B$4:$B$207="Challan")*('Q1 Data'!$H$4:$H$207&lt;&gt;""))+SUMPRODUCT(('Q2 Data'!$D$4:$D$207=D19)*('Q2 Data'!$B$4:$B$207="Challan")*('Q2 Data'!$H$4:$H$207&lt;&gt;""))+SUMPRODUCT(('Q3 Data'!$D$4:$D$207=D19)*('Q3 Data'!$B$4:$B$207="Challan")*('Q3 Data'!$H$4:$H$207&lt;&gt;""))+SUMPRODUCT(('Q4 Data'!$D$4:$D$207=D19)*('Q4 Data'!$B$4:$B$207="Challan")*('Q4 Data'!$H$4:$H$207&lt;&gt;"")))&gt;0,(SUMPRODUCT(('Q1 Data'!$D$4:$D$207=D19)*('Q1 Data'!$B$4:$B$207="Challan")*('Q1 Data'!$H$4:$H$207=Z19))+SUMPRODUCT(('Q2 Data'!$D$4:$D$207=D19)*('Q2 Data'!$B$4:$B$207="Challan")*('Q2 Data'!$H$4:$H$207=Z19))+SUMPRODUCT(('Q3 Data'!$D$4:$D$207=D19)*('Q3 Data'!$B$4:$B$207="Challan")*('Q3 Data'!$H$4:$H$207=Z19))+SUMPRODUCT(('Q4 Data'!$D$4:$D$207=D19)*('Q4 Data'!$B$4:$B$207="Challan")*('Q4 Data'!$H$4:$H$207=Z19)))=0))</f>
      </c>
    </row>
    <row r="20" spans="1:44" x14ac:dyDescent="0.25">
      <c r="A20" s="20">
        <f>IF($B20="Entry",COUNTIF($B$4:$B20,"Entry"),"")</f>
      </c>
      <c r="B20" s="21"/>
      <c r="C20" s="22"/>
      <c r="D20" s="22"/>
      <c r="E20" s="23">
        <f>IF($B20&lt;&gt;"Challan","",IF(ROUND(AN20-AO20,2)&gt;0,"Over-applied",IF(ROUND(AN20-AO20,2)=0,"Fully Utilised","Unconsumed")))</f>
      </c>
      <c r="F20" s="24"/>
      <c r="G20" s="25"/>
      <c r="H20" s="25"/>
      <c r="I20" s="26"/>
      <c r="J20" s="26"/>
      <c r="K20" s="26"/>
      <c r="L20" s="26"/>
      <c r="M20" s="26"/>
      <c r="N20" s="26"/>
      <c r="O20" s="26"/>
      <c r="P20" s="27">
        <f>IF($B20&lt;&gt;"Challan","",I20+J20+K20+L20+M20+N20)</f>
      </c>
      <c r="Q20" s="25"/>
      <c r="R20" s="25"/>
      <c r="S20" s="25"/>
      <c r="T20" s="25"/>
      <c r="U20" s="25"/>
      <c r="V20" s="28"/>
      <c r="W20" s="28"/>
      <c r="X20" s="23">
        <f>IF($B20="Entry",IF(AND(LEN(TRIM(UPPER(W20)))=10,CODE(MID(TRIM(UPPER(W20)),1,1))&gt;=65,CODE(MID(TRIM(UPPER(W20)),1,1))&lt;=90,CODE(MID(TRIM(UPPER(W20)),2,1))&gt;=65,CODE(MID(TRIM(UPPER(W20)),2,1))&lt;=90,CODE(MID(TRIM(UPPER(W20)),3,1))&gt;=65,CODE(MID(TRIM(UPPER(W20)),3,1))&lt;=90,CODE(MID(TRIM(UPPER(W20)),4,1))&gt;=65,CODE(MID(TRIM(UPPER(W20)),4,1))&lt;=90,CODE(MID(TRIM(UPPER(W20)),5,1))&gt;=65,CODE(MID(TRIM(UPPER(W20)),5,1))&lt;=90,CODE(MID(TRIM(UPPER(W20)),10,1))&gt;=65,CODE(MID(TRIM(UPPER(W20)),10,1))&lt;=90,CODE(MID(TRIM(UPPER(W20)),6,1))&gt;=48,CODE(MID(TRIM(UPPER(W20)),6,1))&lt;=57,CODE(MID(TRIM(UPPER(W20)),7,1))&gt;=48,CODE(MID(TRIM(UPPER(W20)),7,1))&lt;=57,CODE(MID(TRIM(UPPER(W20)),8,1))&gt;=48,CODE(MID(TRIM(UPPER(W20)),8,1))&lt;=57,CODE(MID(TRIM(UPPER(W20)),9,1))&gt;=48,CODE(MID(TRIM(UPPER(W20)),9,1))&lt;=57),"N","Y"),IF($B20="Challan","",IF(W20&lt;&gt;"","◄ Set Row Type","")))</f>
      </c>
      <c r="Y20" s="23">
        <f>IF($B20="Entry",IF(LEN(W20)&lt;4,"",IF(UPPER(MID(W20,4,1))="P","Individual",IF(UPPER(MID(W20,4,1))="H","HUF",IF(UPPER(MID(W20,4,1))="C","Company",IF(UPPER(MID(W20,4,1))="F","Firm",IF(UPPER(MID(W20,4,1))="L","LLP",IF(UPPER(MID(W20,4,1))="T","Trust",IF(UPPER(MID(W20,4,1))="A","AOP","")))))))),IF($B20="Challan","",IF(W20&lt;&gt;"","◄ Set Row Type","")))</f>
      </c>
      <c r="Z20" s="28"/>
      <c r="AA20" s="29">
        <f>IF($B20&lt;&gt;"Entry","",IF(Z20="","",IF(X20="Y",SUMPRODUCT(('Rate Lookup'!$A$1:$A$37=Z20)*'Rate Lookup'!$D$1:$D$37),IF(OR(Y20="Individual",Y20="HUF"),SUMPRODUCT(('Rate Lookup'!$A$1:$A$37=Z20)*'Rate Lookup'!$B$1:$B$37),SUMPRODUCT(('Rate Lookup'!$A$1:$A$37=Z20)*'Rate Lookup'!$C$1:$C$37)))))</f>
      </c>
      <c r="AB20" s="30"/>
      <c r="AC20" s="31"/>
      <c r="AD20" s="27">
        <f>IF($B20&lt;&gt;"Entry","",ROUND(AC20*AA20/100,0))</f>
      </c>
      <c r="AE20" s="27">
        <f>IF($B20&lt;&gt;"Entry","",0)</f>
      </c>
      <c r="AF20" s="27">
        <f>IF($B20&lt;&gt;"Entry","",0)</f>
      </c>
      <c r="AG20" s="27">
        <f>IF($B20&lt;&gt;"Entry","",IF(OR(AD20=0,AB20="",AQ20="",AQ20&lt;=0),0,IF(AQ20&lt;=DATE(YEAR(AB20),MONTH(AB20)+1,7),0,ROUND(AD20*0.015*((YEAR(AQ20)-YEAR(AB20))*12+(MONTH(AQ20)-MONTH(AB20))+1),0))))</f>
      </c>
      <c r="AH20" s="27">
        <f>IF($B20&lt;&gt;"Entry","",0)</f>
      </c>
      <c r="AI20" s="28"/>
      <c r="AJ20" s="28"/>
      <c r="AK20" s="32"/>
      <c r="AL20" s="28"/>
      <c r="AM20" s="28"/>
      <c r="AN20" s="27">
        <f>IF($B20&lt;&gt;"Challan","",SUMIF('Q1 Data'!$D$4:$D$207,D20,'Q1 Data'!$AD$4:$AD$207)+SUMIF('Q1 Data'!$D$4:$D$207,D20,'Q1 Data'!$AG$4:$AG$207)+SUMIF('Q1 Data'!$D$4:$D$207,D20,'Q1 Data'!$AE$4:$AE$207)+SUMIF('Q2 Data'!$D$4:$D$207,D20,'Q2 Data'!$AD$4:$AD$207)+SUMIF('Q2 Data'!$D$4:$D$207,D20,'Q2 Data'!$AG$4:$AG$207)+SUMIF('Q2 Data'!$D$4:$D$207,D20,'Q2 Data'!$AE$4:$AE$207)+SUMIF('Q3 Data'!$D$4:$D$207,D20,'Q3 Data'!$AD$4:$AD$207)+SUMIF('Q3 Data'!$D$4:$D$207,D20,'Q3 Data'!$AG$4:$AG$207)+SUMIF('Q3 Data'!$D$4:$D$207,D20,'Q3 Data'!$AE$4:$AE$207)+SUMIF('Q4 Data'!$D$4:$D$207,D20,'Q4 Data'!$AD$4:$AD$207)+SUMIF('Q4 Data'!$D$4:$D$207,D20,'Q4 Data'!$AG$4:$AG$207)+SUMIF('Q4 Data'!$D$4:$D$207,D20,'Q4 Data'!$AE$4:$AE$207))</f>
      </c>
      <c r="AO20" s="27">
        <f>IF($B20&lt;&gt;"Challan","",P20-N20)</f>
      </c>
      <c r="AP20" s="27">
        <f>IF($B20&lt;&gt;"Challan","",MAX(0,AO20-AN20))</f>
      </c>
      <c r="AQ20" s="33">
        <f>IF($B20&lt;&gt;"Entry","",SUMPRODUCT(('Q1 Data'!$D$4:$D$207=D20)*('Q1 Data'!$B$4:$B$207="Challan")*'Q1 Data'!$F$4:$F$207)+SUMPRODUCT(('Q2 Data'!$D$4:$D$207=D20)*('Q2 Data'!$B$4:$B$207="Challan")*'Q2 Data'!$F$4:$F$207)+SUMPRODUCT(('Q3 Data'!$D$4:$D$207=D20)*('Q3 Data'!$B$4:$B$207="Challan")*'Q3 Data'!$F$4:$F$207)+SUMPRODUCT(('Q4 Data'!$D$4:$D$207=D20)*('Q4 Data'!$B$4:$B$207="Challan")*'Q4 Data'!$F$4:$F$207))</f>
      </c>
      <c r="AR20" s="34">
        <f>IF(OR($B20&lt;&gt;"Entry",Z20=""),FALSE,AND((SUMPRODUCT(('Q1 Data'!$D$4:$D$207=D20)*('Q1 Data'!$B$4:$B$207="Challan")*('Q1 Data'!$H$4:$H$207&lt;&gt;""))+SUMPRODUCT(('Q2 Data'!$D$4:$D$207=D20)*('Q2 Data'!$B$4:$B$207="Challan")*('Q2 Data'!$H$4:$H$207&lt;&gt;""))+SUMPRODUCT(('Q3 Data'!$D$4:$D$207=D20)*('Q3 Data'!$B$4:$B$207="Challan")*('Q3 Data'!$H$4:$H$207&lt;&gt;""))+SUMPRODUCT(('Q4 Data'!$D$4:$D$207=D20)*('Q4 Data'!$B$4:$B$207="Challan")*('Q4 Data'!$H$4:$H$207&lt;&gt;"")))&gt;0,(SUMPRODUCT(('Q1 Data'!$D$4:$D$207=D20)*('Q1 Data'!$B$4:$B$207="Challan")*('Q1 Data'!$H$4:$H$207=Z20))+SUMPRODUCT(('Q2 Data'!$D$4:$D$207=D20)*('Q2 Data'!$B$4:$B$207="Challan")*('Q2 Data'!$H$4:$H$207=Z20))+SUMPRODUCT(('Q3 Data'!$D$4:$D$207=D20)*('Q3 Data'!$B$4:$B$207="Challan")*('Q3 Data'!$H$4:$H$207=Z20))+SUMPRODUCT(('Q4 Data'!$D$4:$D$207=D20)*('Q4 Data'!$B$4:$B$207="Challan")*('Q4 Data'!$H$4:$H$207=Z20)))=0))</f>
      </c>
    </row>
    <row r="21" spans="1:44" x14ac:dyDescent="0.25">
      <c r="A21" s="20">
        <f>IF($B21="Entry",COUNTIF($B$4:$B21,"Entry"),"")</f>
      </c>
      <c r="B21" s="21"/>
      <c r="C21" s="22"/>
      <c r="D21" s="22"/>
      <c r="E21" s="23">
        <f>IF($B21&lt;&gt;"Challan","",IF(ROUND(AN21-AO21,2)&gt;0,"Over-applied",IF(ROUND(AN21-AO21,2)=0,"Fully Utilised","Unconsumed")))</f>
      </c>
      <c r="F21" s="24"/>
      <c r="G21" s="25"/>
      <c r="H21" s="25"/>
      <c r="I21" s="26"/>
      <c r="J21" s="26"/>
      <c r="K21" s="26"/>
      <c r="L21" s="26"/>
      <c r="M21" s="26"/>
      <c r="N21" s="26"/>
      <c r="O21" s="26"/>
      <c r="P21" s="27">
        <f>IF($B21&lt;&gt;"Challan","",I21+J21+K21+L21+M21+N21)</f>
      </c>
      <c r="Q21" s="25"/>
      <c r="R21" s="25"/>
      <c r="S21" s="25"/>
      <c r="T21" s="25"/>
      <c r="U21" s="25"/>
      <c r="V21" s="28"/>
      <c r="W21" s="28"/>
      <c r="X21" s="23">
        <f>IF($B21="Entry",IF(AND(LEN(TRIM(UPPER(W21)))=10,CODE(MID(TRIM(UPPER(W21)),1,1))&gt;=65,CODE(MID(TRIM(UPPER(W21)),1,1))&lt;=90,CODE(MID(TRIM(UPPER(W21)),2,1))&gt;=65,CODE(MID(TRIM(UPPER(W21)),2,1))&lt;=90,CODE(MID(TRIM(UPPER(W21)),3,1))&gt;=65,CODE(MID(TRIM(UPPER(W21)),3,1))&lt;=90,CODE(MID(TRIM(UPPER(W21)),4,1))&gt;=65,CODE(MID(TRIM(UPPER(W21)),4,1))&lt;=90,CODE(MID(TRIM(UPPER(W21)),5,1))&gt;=65,CODE(MID(TRIM(UPPER(W21)),5,1))&lt;=90,CODE(MID(TRIM(UPPER(W21)),10,1))&gt;=65,CODE(MID(TRIM(UPPER(W21)),10,1))&lt;=90,CODE(MID(TRIM(UPPER(W21)),6,1))&gt;=48,CODE(MID(TRIM(UPPER(W21)),6,1))&lt;=57,CODE(MID(TRIM(UPPER(W21)),7,1))&gt;=48,CODE(MID(TRIM(UPPER(W21)),7,1))&lt;=57,CODE(MID(TRIM(UPPER(W21)),8,1))&gt;=48,CODE(MID(TRIM(UPPER(W21)),8,1))&lt;=57,CODE(MID(TRIM(UPPER(W21)),9,1))&gt;=48,CODE(MID(TRIM(UPPER(W21)),9,1))&lt;=57),"N","Y"),IF($B21="Challan","",IF(W21&lt;&gt;"","◄ Set Row Type","")))</f>
      </c>
      <c r="Y21" s="23">
        <f>IF($B21="Entry",IF(LEN(W21)&lt;4,"",IF(UPPER(MID(W21,4,1))="P","Individual",IF(UPPER(MID(W21,4,1))="H","HUF",IF(UPPER(MID(W21,4,1))="C","Company",IF(UPPER(MID(W21,4,1))="F","Firm",IF(UPPER(MID(W21,4,1))="L","LLP",IF(UPPER(MID(W21,4,1))="T","Trust",IF(UPPER(MID(W21,4,1))="A","AOP","")))))))),IF($B21="Challan","",IF(W21&lt;&gt;"","◄ Set Row Type","")))</f>
      </c>
      <c r="Z21" s="28"/>
      <c r="AA21" s="29">
        <f>IF($B21&lt;&gt;"Entry","",IF(Z21="","",IF(X21="Y",SUMPRODUCT(('Rate Lookup'!$A$1:$A$37=Z21)*'Rate Lookup'!$D$1:$D$37),IF(OR(Y21="Individual",Y21="HUF"),SUMPRODUCT(('Rate Lookup'!$A$1:$A$37=Z21)*'Rate Lookup'!$B$1:$B$37),SUMPRODUCT(('Rate Lookup'!$A$1:$A$37=Z21)*'Rate Lookup'!$C$1:$C$37)))))</f>
      </c>
      <c r="AB21" s="30"/>
      <c r="AC21" s="31"/>
      <c r="AD21" s="27">
        <f>IF($B21&lt;&gt;"Entry","",ROUND(AC21*AA21/100,0))</f>
      </c>
      <c r="AE21" s="27">
        <f>IF($B21&lt;&gt;"Entry","",0)</f>
      </c>
      <c r="AF21" s="27">
        <f>IF($B21&lt;&gt;"Entry","",0)</f>
      </c>
      <c r="AG21" s="27">
        <f>IF($B21&lt;&gt;"Entry","",IF(OR(AD21=0,AB21="",AQ21="",AQ21&lt;=0),0,IF(AQ21&lt;=DATE(YEAR(AB21),MONTH(AB21)+1,7),0,ROUND(AD21*0.015*((YEAR(AQ21)-YEAR(AB21))*12+(MONTH(AQ21)-MONTH(AB21))+1),0))))</f>
      </c>
      <c r="AH21" s="27">
        <f>IF($B21&lt;&gt;"Entry","",0)</f>
      </c>
      <c r="AI21" s="28"/>
      <c r="AJ21" s="28"/>
      <c r="AK21" s="32"/>
      <c r="AL21" s="28"/>
      <c r="AM21" s="28"/>
      <c r="AN21" s="27">
        <f>IF($B21&lt;&gt;"Challan","",SUMIF('Q1 Data'!$D$4:$D$207,D21,'Q1 Data'!$AD$4:$AD$207)+SUMIF('Q1 Data'!$D$4:$D$207,D21,'Q1 Data'!$AG$4:$AG$207)+SUMIF('Q1 Data'!$D$4:$D$207,D21,'Q1 Data'!$AE$4:$AE$207)+SUMIF('Q2 Data'!$D$4:$D$207,D21,'Q2 Data'!$AD$4:$AD$207)+SUMIF('Q2 Data'!$D$4:$D$207,D21,'Q2 Data'!$AG$4:$AG$207)+SUMIF('Q2 Data'!$D$4:$D$207,D21,'Q2 Data'!$AE$4:$AE$207)+SUMIF('Q3 Data'!$D$4:$D$207,D21,'Q3 Data'!$AD$4:$AD$207)+SUMIF('Q3 Data'!$D$4:$D$207,D21,'Q3 Data'!$AG$4:$AG$207)+SUMIF('Q3 Data'!$D$4:$D$207,D21,'Q3 Data'!$AE$4:$AE$207)+SUMIF('Q4 Data'!$D$4:$D$207,D21,'Q4 Data'!$AD$4:$AD$207)+SUMIF('Q4 Data'!$D$4:$D$207,D21,'Q4 Data'!$AG$4:$AG$207)+SUMIF('Q4 Data'!$D$4:$D$207,D21,'Q4 Data'!$AE$4:$AE$207))</f>
      </c>
      <c r="AO21" s="27">
        <f>IF($B21&lt;&gt;"Challan","",P21-N21)</f>
      </c>
      <c r="AP21" s="27">
        <f>IF($B21&lt;&gt;"Challan","",MAX(0,AO21-AN21))</f>
      </c>
      <c r="AQ21" s="33">
        <f>IF($B21&lt;&gt;"Entry","",SUMPRODUCT(('Q1 Data'!$D$4:$D$207=D21)*('Q1 Data'!$B$4:$B$207="Challan")*'Q1 Data'!$F$4:$F$207)+SUMPRODUCT(('Q2 Data'!$D$4:$D$207=D21)*('Q2 Data'!$B$4:$B$207="Challan")*'Q2 Data'!$F$4:$F$207)+SUMPRODUCT(('Q3 Data'!$D$4:$D$207=D21)*('Q3 Data'!$B$4:$B$207="Challan")*'Q3 Data'!$F$4:$F$207)+SUMPRODUCT(('Q4 Data'!$D$4:$D$207=D21)*('Q4 Data'!$B$4:$B$207="Challan")*'Q4 Data'!$F$4:$F$207))</f>
      </c>
      <c r="AR21" s="34">
        <f>IF(OR($B21&lt;&gt;"Entry",Z21=""),FALSE,AND((SUMPRODUCT(('Q1 Data'!$D$4:$D$207=D21)*('Q1 Data'!$B$4:$B$207="Challan")*('Q1 Data'!$H$4:$H$207&lt;&gt;""))+SUMPRODUCT(('Q2 Data'!$D$4:$D$207=D21)*('Q2 Data'!$B$4:$B$207="Challan")*('Q2 Data'!$H$4:$H$207&lt;&gt;""))+SUMPRODUCT(('Q3 Data'!$D$4:$D$207=D21)*('Q3 Data'!$B$4:$B$207="Challan")*('Q3 Data'!$H$4:$H$207&lt;&gt;""))+SUMPRODUCT(('Q4 Data'!$D$4:$D$207=D21)*('Q4 Data'!$B$4:$B$207="Challan")*('Q4 Data'!$H$4:$H$207&lt;&gt;"")))&gt;0,(SUMPRODUCT(('Q1 Data'!$D$4:$D$207=D21)*('Q1 Data'!$B$4:$B$207="Challan")*('Q1 Data'!$H$4:$H$207=Z21))+SUMPRODUCT(('Q2 Data'!$D$4:$D$207=D21)*('Q2 Data'!$B$4:$B$207="Challan")*('Q2 Data'!$H$4:$H$207=Z21))+SUMPRODUCT(('Q3 Data'!$D$4:$D$207=D21)*('Q3 Data'!$B$4:$B$207="Challan")*('Q3 Data'!$H$4:$H$207=Z21))+SUMPRODUCT(('Q4 Data'!$D$4:$D$207=D21)*('Q4 Data'!$B$4:$B$207="Challan")*('Q4 Data'!$H$4:$H$207=Z21)))=0))</f>
      </c>
    </row>
    <row r="22" spans="1:44" x14ac:dyDescent="0.25">
      <c r="A22" s="20">
        <f>IF($B22="Entry",COUNTIF($B$4:$B22,"Entry"),"")</f>
      </c>
      <c r="B22" s="21"/>
      <c r="C22" s="22"/>
      <c r="D22" s="22"/>
      <c r="E22" s="23">
        <f>IF($B22&lt;&gt;"Challan","",IF(ROUND(AN22-AO22,2)&gt;0,"Over-applied",IF(ROUND(AN22-AO22,2)=0,"Fully Utilised","Unconsumed")))</f>
      </c>
      <c r="F22" s="24"/>
      <c r="G22" s="25"/>
      <c r="H22" s="25"/>
      <c r="I22" s="26"/>
      <c r="J22" s="26"/>
      <c r="K22" s="26"/>
      <c r="L22" s="26"/>
      <c r="M22" s="26"/>
      <c r="N22" s="26"/>
      <c r="O22" s="26"/>
      <c r="P22" s="27">
        <f>IF($B22&lt;&gt;"Challan","",I22+J22+K22+L22+M22+N22)</f>
      </c>
      <c r="Q22" s="25"/>
      <c r="R22" s="25"/>
      <c r="S22" s="25"/>
      <c r="T22" s="25"/>
      <c r="U22" s="25"/>
      <c r="V22" s="28"/>
      <c r="W22" s="28"/>
      <c r="X22" s="23">
        <f>IF($B22="Entry",IF(AND(LEN(TRIM(UPPER(W22)))=10,CODE(MID(TRIM(UPPER(W22)),1,1))&gt;=65,CODE(MID(TRIM(UPPER(W22)),1,1))&lt;=90,CODE(MID(TRIM(UPPER(W22)),2,1))&gt;=65,CODE(MID(TRIM(UPPER(W22)),2,1))&lt;=90,CODE(MID(TRIM(UPPER(W22)),3,1))&gt;=65,CODE(MID(TRIM(UPPER(W22)),3,1))&lt;=90,CODE(MID(TRIM(UPPER(W22)),4,1))&gt;=65,CODE(MID(TRIM(UPPER(W22)),4,1))&lt;=90,CODE(MID(TRIM(UPPER(W22)),5,1))&gt;=65,CODE(MID(TRIM(UPPER(W22)),5,1))&lt;=90,CODE(MID(TRIM(UPPER(W22)),10,1))&gt;=65,CODE(MID(TRIM(UPPER(W22)),10,1))&lt;=90,CODE(MID(TRIM(UPPER(W22)),6,1))&gt;=48,CODE(MID(TRIM(UPPER(W22)),6,1))&lt;=57,CODE(MID(TRIM(UPPER(W22)),7,1))&gt;=48,CODE(MID(TRIM(UPPER(W22)),7,1))&lt;=57,CODE(MID(TRIM(UPPER(W22)),8,1))&gt;=48,CODE(MID(TRIM(UPPER(W22)),8,1))&lt;=57,CODE(MID(TRIM(UPPER(W22)),9,1))&gt;=48,CODE(MID(TRIM(UPPER(W22)),9,1))&lt;=57),"N","Y"),IF($B22="Challan","",IF(W22&lt;&gt;"","◄ Set Row Type","")))</f>
      </c>
      <c r="Y22" s="23">
        <f>IF($B22="Entry",IF(LEN(W22)&lt;4,"",IF(UPPER(MID(W22,4,1))="P","Individual",IF(UPPER(MID(W22,4,1))="H","HUF",IF(UPPER(MID(W22,4,1))="C","Company",IF(UPPER(MID(W22,4,1))="F","Firm",IF(UPPER(MID(W22,4,1))="L","LLP",IF(UPPER(MID(W22,4,1))="T","Trust",IF(UPPER(MID(W22,4,1))="A","AOP","")))))))),IF($B22="Challan","",IF(W22&lt;&gt;"","◄ Set Row Type","")))</f>
      </c>
      <c r="Z22" s="28"/>
      <c r="AA22" s="29">
        <f>IF($B22&lt;&gt;"Entry","",IF(Z22="","",IF(X22="Y",SUMPRODUCT(('Rate Lookup'!$A$1:$A$37=Z22)*'Rate Lookup'!$D$1:$D$37),IF(OR(Y22="Individual",Y22="HUF"),SUMPRODUCT(('Rate Lookup'!$A$1:$A$37=Z22)*'Rate Lookup'!$B$1:$B$37),SUMPRODUCT(('Rate Lookup'!$A$1:$A$37=Z22)*'Rate Lookup'!$C$1:$C$37)))))</f>
      </c>
      <c r="AB22" s="30"/>
      <c r="AC22" s="31"/>
      <c r="AD22" s="27">
        <f>IF($B22&lt;&gt;"Entry","",ROUND(AC22*AA22/100,0))</f>
      </c>
      <c r="AE22" s="27">
        <f>IF($B22&lt;&gt;"Entry","",0)</f>
      </c>
      <c r="AF22" s="27">
        <f>IF($B22&lt;&gt;"Entry","",0)</f>
      </c>
      <c r="AG22" s="27">
        <f>IF($B22&lt;&gt;"Entry","",IF(OR(AD22=0,AB22="",AQ22="",AQ22&lt;=0),0,IF(AQ22&lt;=DATE(YEAR(AB22),MONTH(AB22)+1,7),0,ROUND(AD22*0.015*((YEAR(AQ22)-YEAR(AB22))*12+(MONTH(AQ22)-MONTH(AB22))+1),0))))</f>
      </c>
      <c r="AH22" s="27">
        <f>IF($B22&lt;&gt;"Entry","",0)</f>
      </c>
      <c r="AI22" s="28"/>
      <c r="AJ22" s="28"/>
      <c r="AK22" s="32"/>
      <c r="AL22" s="28"/>
      <c r="AM22" s="28"/>
      <c r="AN22" s="27">
        <f>IF($B22&lt;&gt;"Challan","",SUMIF('Q1 Data'!$D$4:$D$207,D22,'Q1 Data'!$AD$4:$AD$207)+SUMIF('Q1 Data'!$D$4:$D$207,D22,'Q1 Data'!$AG$4:$AG$207)+SUMIF('Q1 Data'!$D$4:$D$207,D22,'Q1 Data'!$AE$4:$AE$207)+SUMIF('Q2 Data'!$D$4:$D$207,D22,'Q2 Data'!$AD$4:$AD$207)+SUMIF('Q2 Data'!$D$4:$D$207,D22,'Q2 Data'!$AG$4:$AG$207)+SUMIF('Q2 Data'!$D$4:$D$207,D22,'Q2 Data'!$AE$4:$AE$207)+SUMIF('Q3 Data'!$D$4:$D$207,D22,'Q3 Data'!$AD$4:$AD$207)+SUMIF('Q3 Data'!$D$4:$D$207,D22,'Q3 Data'!$AG$4:$AG$207)+SUMIF('Q3 Data'!$D$4:$D$207,D22,'Q3 Data'!$AE$4:$AE$207)+SUMIF('Q4 Data'!$D$4:$D$207,D22,'Q4 Data'!$AD$4:$AD$207)+SUMIF('Q4 Data'!$D$4:$D$207,D22,'Q4 Data'!$AG$4:$AG$207)+SUMIF('Q4 Data'!$D$4:$D$207,D22,'Q4 Data'!$AE$4:$AE$207))</f>
      </c>
      <c r="AO22" s="27">
        <f>IF($B22&lt;&gt;"Challan","",P22-N22)</f>
      </c>
      <c r="AP22" s="27">
        <f>IF($B22&lt;&gt;"Challan","",MAX(0,AO22-AN22))</f>
      </c>
      <c r="AQ22" s="33">
        <f>IF($B22&lt;&gt;"Entry","",SUMPRODUCT(('Q1 Data'!$D$4:$D$207=D22)*('Q1 Data'!$B$4:$B$207="Challan")*'Q1 Data'!$F$4:$F$207)+SUMPRODUCT(('Q2 Data'!$D$4:$D$207=D22)*('Q2 Data'!$B$4:$B$207="Challan")*'Q2 Data'!$F$4:$F$207)+SUMPRODUCT(('Q3 Data'!$D$4:$D$207=D22)*('Q3 Data'!$B$4:$B$207="Challan")*'Q3 Data'!$F$4:$F$207)+SUMPRODUCT(('Q4 Data'!$D$4:$D$207=D22)*('Q4 Data'!$B$4:$B$207="Challan")*'Q4 Data'!$F$4:$F$207))</f>
      </c>
      <c r="AR22" s="34">
        <f>IF(OR($B22&lt;&gt;"Entry",Z22=""),FALSE,AND((SUMPRODUCT(('Q1 Data'!$D$4:$D$207=D22)*('Q1 Data'!$B$4:$B$207="Challan")*('Q1 Data'!$H$4:$H$207&lt;&gt;""))+SUMPRODUCT(('Q2 Data'!$D$4:$D$207=D22)*('Q2 Data'!$B$4:$B$207="Challan")*('Q2 Data'!$H$4:$H$207&lt;&gt;""))+SUMPRODUCT(('Q3 Data'!$D$4:$D$207=D22)*('Q3 Data'!$B$4:$B$207="Challan")*('Q3 Data'!$H$4:$H$207&lt;&gt;""))+SUMPRODUCT(('Q4 Data'!$D$4:$D$207=D22)*('Q4 Data'!$B$4:$B$207="Challan")*('Q4 Data'!$H$4:$H$207&lt;&gt;"")))&gt;0,(SUMPRODUCT(('Q1 Data'!$D$4:$D$207=D22)*('Q1 Data'!$B$4:$B$207="Challan")*('Q1 Data'!$H$4:$H$207=Z22))+SUMPRODUCT(('Q2 Data'!$D$4:$D$207=D22)*('Q2 Data'!$B$4:$B$207="Challan")*('Q2 Data'!$H$4:$H$207=Z22))+SUMPRODUCT(('Q3 Data'!$D$4:$D$207=D22)*('Q3 Data'!$B$4:$B$207="Challan")*('Q3 Data'!$H$4:$H$207=Z22))+SUMPRODUCT(('Q4 Data'!$D$4:$D$207=D22)*('Q4 Data'!$B$4:$B$207="Challan")*('Q4 Data'!$H$4:$H$207=Z22)))=0))</f>
      </c>
    </row>
    <row r="23" spans="1:44" x14ac:dyDescent="0.25">
      <c r="A23" s="20">
        <f>IF($B23="Entry",COUNTIF($B$4:$B23,"Entry"),"")</f>
      </c>
      <c r="B23" s="21"/>
      <c r="C23" s="22"/>
      <c r="D23" s="22"/>
      <c r="E23" s="23">
        <f>IF($B23&lt;&gt;"Challan","",IF(ROUND(AN23-AO23,2)&gt;0,"Over-applied",IF(ROUND(AN23-AO23,2)=0,"Fully Utilised","Unconsumed")))</f>
      </c>
      <c r="F23" s="24"/>
      <c r="G23" s="25"/>
      <c r="H23" s="25"/>
      <c r="I23" s="26"/>
      <c r="J23" s="26"/>
      <c r="K23" s="26"/>
      <c r="L23" s="26"/>
      <c r="M23" s="26"/>
      <c r="N23" s="26"/>
      <c r="O23" s="26"/>
      <c r="P23" s="27">
        <f>IF($B23&lt;&gt;"Challan","",I23+J23+K23+L23+M23+N23)</f>
      </c>
      <c r="Q23" s="25"/>
      <c r="R23" s="25"/>
      <c r="S23" s="25"/>
      <c r="T23" s="25"/>
      <c r="U23" s="25"/>
      <c r="V23" s="28"/>
      <c r="W23" s="28"/>
      <c r="X23" s="23">
        <f>IF($B23="Entry",IF(AND(LEN(TRIM(UPPER(W23)))=10,CODE(MID(TRIM(UPPER(W23)),1,1))&gt;=65,CODE(MID(TRIM(UPPER(W23)),1,1))&lt;=90,CODE(MID(TRIM(UPPER(W23)),2,1))&gt;=65,CODE(MID(TRIM(UPPER(W23)),2,1))&lt;=90,CODE(MID(TRIM(UPPER(W23)),3,1))&gt;=65,CODE(MID(TRIM(UPPER(W23)),3,1))&lt;=90,CODE(MID(TRIM(UPPER(W23)),4,1))&gt;=65,CODE(MID(TRIM(UPPER(W23)),4,1))&lt;=90,CODE(MID(TRIM(UPPER(W23)),5,1))&gt;=65,CODE(MID(TRIM(UPPER(W23)),5,1))&lt;=90,CODE(MID(TRIM(UPPER(W23)),10,1))&gt;=65,CODE(MID(TRIM(UPPER(W23)),10,1))&lt;=90,CODE(MID(TRIM(UPPER(W23)),6,1))&gt;=48,CODE(MID(TRIM(UPPER(W23)),6,1))&lt;=57,CODE(MID(TRIM(UPPER(W23)),7,1))&gt;=48,CODE(MID(TRIM(UPPER(W23)),7,1))&lt;=57,CODE(MID(TRIM(UPPER(W23)),8,1))&gt;=48,CODE(MID(TRIM(UPPER(W23)),8,1))&lt;=57,CODE(MID(TRIM(UPPER(W23)),9,1))&gt;=48,CODE(MID(TRIM(UPPER(W23)),9,1))&lt;=57),"N","Y"),IF($B23="Challan","",IF(W23&lt;&gt;"","◄ Set Row Type","")))</f>
      </c>
      <c r="Y23" s="23">
        <f>IF($B23="Entry",IF(LEN(W23)&lt;4,"",IF(UPPER(MID(W23,4,1))="P","Individual",IF(UPPER(MID(W23,4,1))="H","HUF",IF(UPPER(MID(W23,4,1))="C","Company",IF(UPPER(MID(W23,4,1))="F","Firm",IF(UPPER(MID(W23,4,1))="L","LLP",IF(UPPER(MID(W23,4,1))="T","Trust",IF(UPPER(MID(W23,4,1))="A","AOP","")))))))),IF($B23="Challan","",IF(W23&lt;&gt;"","◄ Set Row Type","")))</f>
      </c>
      <c r="Z23" s="28"/>
      <c r="AA23" s="29">
        <f>IF($B23&lt;&gt;"Entry","",IF(Z23="","",IF(X23="Y",SUMPRODUCT(('Rate Lookup'!$A$1:$A$37=Z23)*'Rate Lookup'!$D$1:$D$37),IF(OR(Y23="Individual",Y23="HUF"),SUMPRODUCT(('Rate Lookup'!$A$1:$A$37=Z23)*'Rate Lookup'!$B$1:$B$37),SUMPRODUCT(('Rate Lookup'!$A$1:$A$37=Z23)*'Rate Lookup'!$C$1:$C$37)))))</f>
      </c>
      <c r="AB23" s="30"/>
      <c r="AC23" s="31"/>
      <c r="AD23" s="27">
        <f>IF($B23&lt;&gt;"Entry","",ROUND(AC23*AA23/100,0))</f>
      </c>
      <c r="AE23" s="27">
        <f>IF($B23&lt;&gt;"Entry","",0)</f>
      </c>
      <c r="AF23" s="27">
        <f>IF($B23&lt;&gt;"Entry","",0)</f>
      </c>
      <c r="AG23" s="27">
        <f>IF($B23&lt;&gt;"Entry","",IF(OR(AD23=0,AB23="",AQ23="",AQ23&lt;=0),0,IF(AQ23&lt;=DATE(YEAR(AB23),MONTH(AB23)+1,7),0,ROUND(AD23*0.015*((YEAR(AQ23)-YEAR(AB23))*12+(MONTH(AQ23)-MONTH(AB23))+1),0))))</f>
      </c>
      <c r="AH23" s="27">
        <f>IF($B23&lt;&gt;"Entry","",0)</f>
      </c>
      <c r="AI23" s="28"/>
      <c r="AJ23" s="28"/>
      <c r="AK23" s="32"/>
      <c r="AL23" s="28"/>
      <c r="AM23" s="28"/>
      <c r="AN23" s="27">
        <f>IF($B23&lt;&gt;"Challan","",SUMIF('Q1 Data'!$D$4:$D$207,D23,'Q1 Data'!$AD$4:$AD$207)+SUMIF('Q1 Data'!$D$4:$D$207,D23,'Q1 Data'!$AG$4:$AG$207)+SUMIF('Q1 Data'!$D$4:$D$207,D23,'Q1 Data'!$AE$4:$AE$207)+SUMIF('Q2 Data'!$D$4:$D$207,D23,'Q2 Data'!$AD$4:$AD$207)+SUMIF('Q2 Data'!$D$4:$D$207,D23,'Q2 Data'!$AG$4:$AG$207)+SUMIF('Q2 Data'!$D$4:$D$207,D23,'Q2 Data'!$AE$4:$AE$207)+SUMIF('Q3 Data'!$D$4:$D$207,D23,'Q3 Data'!$AD$4:$AD$207)+SUMIF('Q3 Data'!$D$4:$D$207,D23,'Q3 Data'!$AG$4:$AG$207)+SUMIF('Q3 Data'!$D$4:$D$207,D23,'Q3 Data'!$AE$4:$AE$207)+SUMIF('Q4 Data'!$D$4:$D$207,D23,'Q4 Data'!$AD$4:$AD$207)+SUMIF('Q4 Data'!$D$4:$D$207,D23,'Q4 Data'!$AG$4:$AG$207)+SUMIF('Q4 Data'!$D$4:$D$207,D23,'Q4 Data'!$AE$4:$AE$207))</f>
      </c>
      <c r="AO23" s="27">
        <f>IF($B23&lt;&gt;"Challan","",P23-N23)</f>
      </c>
      <c r="AP23" s="27">
        <f>IF($B23&lt;&gt;"Challan","",MAX(0,AO23-AN23))</f>
      </c>
      <c r="AQ23" s="33">
        <f>IF($B23&lt;&gt;"Entry","",SUMPRODUCT(('Q1 Data'!$D$4:$D$207=D23)*('Q1 Data'!$B$4:$B$207="Challan")*'Q1 Data'!$F$4:$F$207)+SUMPRODUCT(('Q2 Data'!$D$4:$D$207=D23)*('Q2 Data'!$B$4:$B$207="Challan")*'Q2 Data'!$F$4:$F$207)+SUMPRODUCT(('Q3 Data'!$D$4:$D$207=D23)*('Q3 Data'!$B$4:$B$207="Challan")*'Q3 Data'!$F$4:$F$207)+SUMPRODUCT(('Q4 Data'!$D$4:$D$207=D23)*('Q4 Data'!$B$4:$B$207="Challan")*'Q4 Data'!$F$4:$F$207))</f>
      </c>
      <c r="AR23" s="34">
        <f>IF(OR($B23&lt;&gt;"Entry",Z23=""),FALSE,AND((SUMPRODUCT(('Q1 Data'!$D$4:$D$207=D23)*('Q1 Data'!$B$4:$B$207="Challan")*('Q1 Data'!$H$4:$H$207&lt;&gt;""))+SUMPRODUCT(('Q2 Data'!$D$4:$D$207=D23)*('Q2 Data'!$B$4:$B$207="Challan")*('Q2 Data'!$H$4:$H$207&lt;&gt;""))+SUMPRODUCT(('Q3 Data'!$D$4:$D$207=D23)*('Q3 Data'!$B$4:$B$207="Challan")*('Q3 Data'!$H$4:$H$207&lt;&gt;""))+SUMPRODUCT(('Q4 Data'!$D$4:$D$207=D23)*('Q4 Data'!$B$4:$B$207="Challan")*('Q4 Data'!$H$4:$H$207&lt;&gt;"")))&gt;0,(SUMPRODUCT(('Q1 Data'!$D$4:$D$207=D23)*('Q1 Data'!$B$4:$B$207="Challan")*('Q1 Data'!$H$4:$H$207=Z23))+SUMPRODUCT(('Q2 Data'!$D$4:$D$207=D23)*('Q2 Data'!$B$4:$B$207="Challan")*('Q2 Data'!$H$4:$H$207=Z23))+SUMPRODUCT(('Q3 Data'!$D$4:$D$207=D23)*('Q3 Data'!$B$4:$B$207="Challan")*('Q3 Data'!$H$4:$H$207=Z23))+SUMPRODUCT(('Q4 Data'!$D$4:$D$207=D23)*('Q4 Data'!$B$4:$B$207="Challan")*('Q4 Data'!$H$4:$H$207=Z23)))=0))</f>
      </c>
    </row>
    <row r="24" spans="1:44" x14ac:dyDescent="0.25">
      <c r="A24" s="20">
        <f>IF($B24="Entry",COUNTIF($B$4:$B24,"Entry"),"")</f>
      </c>
      <c r="B24" s="21"/>
      <c r="C24" s="22"/>
      <c r="D24" s="22"/>
      <c r="E24" s="23">
        <f>IF($B24&lt;&gt;"Challan","",IF(ROUND(AN24-AO24,2)&gt;0,"Over-applied",IF(ROUND(AN24-AO24,2)=0,"Fully Utilised","Unconsumed")))</f>
      </c>
      <c r="F24" s="24"/>
      <c r="G24" s="25"/>
      <c r="H24" s="25"/>
      <c r="I24" s="26"/>
      <c r="J24" s="26"/>
      <c r="K24" s="26"/>
      <c r="L24" s="26"/>
      <c r="M24" s="26"/>
      <c r="N24" s="26"/>
      <c r="O24" s="26"/>
      <c r="P24" s="27">
        <f>IF($B24&lt;&gt;"Challan","",I24+J24+K24+L24+M24+N24)</f>
      </c>
      <c r="Q24" s="25"/>
      <c r="R24" s="25"/>
      <c r="S24" s="25"/>
      <c r="T24" s="25"/>
      <c r="U24" s="25"/>
      <c r="V24" s="28"/>
      <c r="W24" s="28"/>
      <c r="X24" s="23">
        <f>IF($B24="Entry",IF(AND(LEN(TRIM(UPPER(W24)))=10,CODE(MID(TRIM(UPPER(W24)),1,1))&gt;=65,CODE(MID(TRIM(UPPER(W24)),1,1))&lt;=90,CODE(MID(TRIM(UPPER(W24)),2,1))&gt;=65,CODE(MID(TRIM(UPPER(W24)),2,1))&lt;=90,CODE(MID(TRIM(UPPER(W24)),3,1))&gt;=65,CODE(MID(TRIM(UPPER(W24)),3,1))&lt;=90,CODE(MID(TRIM(UPPER(W24)),4,1))&gt;=65,CODE(MID(TRIM(UPPER(W24)),4,1))&lt;=90,CODE(MID(TRIM(UPPER(W24)),5,1))&gt;=65,CODE(MID(TRIM(UPPER(W24)),5,1))&lt;=90,CODE(MID(TRIM(UPPER(W24)),10,1))&gt;=65,CODE(MID(TRIM(UPPER(W24)),10,1))&lt;=90,CODE(MID(TRIM(UPPER(W24)),6,1))&gt;=48,CODE(MID(TRIM(UPPER(W24)),6,1))&lt;=57,CODE(MID(TRIM(UPPER(W24)),7,1))&gt;=48,CODE(MID(TRIM(UPPER(W24)),7,1))&lt;=57,CODE(MID(TRIM(UPPER(W24)),8,1))&gt;=48,CODE(MID(TRIM(UPPER(W24)),8,1))&lt;=57,CODE(MID(TRIM(UPPER(W24)),9,1))&gt;=48,CODE(MID(TRIM(UPPER(W24)),9,1))&lt;=57),"N","Y"),IF($B24="Challan","",IF(W24&lt;&gt;"","◄ Set Row Type","")))</f>
      </c>
      <c r="Y24" s="23">
        <f>IF($B24="Entry",IF(LEN(W24)&lt;4,"",IF(UPPER(MID(W24,4,1))="P","Individual",IF(UPPER(MID(W24,4,1))="H","HUF",IF(UPPER(MID(W24,4,1))="C","Company",IF(UPPER(MID(W24,4,1))="F","Firm",IF(UPPER(MID(W24,4,1))="L","LLP",IF(UPPER(MID(W24,4,1))="T","Trust",IF(UPPER(MID(W24,4,1))="A","AOP","")))))))),IF($B24="Challan","",IF(W24&lt;&gt;"","◄ Set Row Type","")))</f>
      </c>
      <c r="Z24" s="28"/>
      <c r="AA24" s="29">
        <f>IF($B24&lt;&gt;"Entry","",IF(Z24="","",IF(X24="Y",SUMPRODUCT(('Rate Lookup'!$A$1:$A$37=Z24)*'Rate Lookup'!$D$1:$D$37),IF(OR(Y24="Individual",Y24="HUF"),SUMPRODUCT(('Rate Lookup'!$A$1:$A$37=Z24)*'Rate Lookup'!$B$1:$B$37),SUMPRODUCT(('Rate Lookup'!$A$1:$A$37=Z24)*'Rate Lookup'!$C$1:$C$37)))))</f>
      </c>
      <c r="AB24" s="30"/>
      <c r="AC24" s="31"/>
      <c r="AD24" s="27">
        <f>IF($B24&lt;&gt;"Entry","",ROUND(AC24*AA24/100,0))</f>
      </c>
      <c r="AE24" s="27">
        <f>IF($B24&lt;&gt;"Entry","",0)</f>
      </c>
      <c r="AF24" s="27">
        <f>IF($B24&lt;&gt;"Entry","",0)</f>
      </c>
      <c r="AG24" s="27">
        <f>IF($B24&lt;&gt;"Entry","",IF(OR(AD24=0,AB24="",AQ24="",AQ24&lt;=0),0,IF(AQ24&lt;=DATE(YEAR(AB24),MONTH(AB24)+1,7),0,ROUND(AD24*0.015*((YEAR(AQ24)-YEAR(AB24))*12+(MONTH(AQ24)-MONTH(AB24))+1),0))))</f>
      </c>
      <c r="AH24" s="27">
        <f>IF($B24&lt;&gt;"Entry","",0)</f>
      </c>
      <c r="AI24" s="28"/>
      <c r="AJ24" s="28"/>
      <c r="AK24" s="32"/>
      <c r="AL24" s="28"/>
      <c r="AM24" s="28"/>
      <c r="AN24" s="27">
        <f>IF($B24&lt;&gt;"Challan","",SUMIF('Q1 Data'!$D$4:$D$207,D24,'Q1 Data'!$AD$4:$AD$207)+SUMIF('Q1 Data'!$D$4:$D$207,D24,'Q1 Data'!$AG$4:$AG$207)+SUMIF('Q1 Data'!$D$4:$D$207,D24,'Q1 Data'!$AE$4:$AE$207)+SUMIF('Q2 Data'!$D$4:$D$207,D24,'Q2 Data'!$AD$4:$AD$207)+SUMIF('Q2 Data'!$D$4:$D$207,D24,'Q2 Data'!$AG$4:$AG$207)+SUMIF('Q2 Data'!$D$4:$D$207,D24,'Q2 Data'!$AE$4:$AE$207)+SUMIF('Q3 Data'!$D$4:$D$207,D24,'Q3 Data'!$AD$4:$AD$207)+SUMIF('Q3 Data'!$D$4:$D$207,D24,'Q3 Data'!$AG$4:$AG$207)+SUMIF('Q3 Data'!$D$4:$D$207,D24,'Q3 Data'!$AE$4:$AE$207)+SUMIF('Q4 Data'!$D$4:$D$207,D24,'Q4 Data'!$AD$4:$AD$207)+SUMIF('Q4 Data'!$D$4:$D$207,D24,'Q4 Data'!$AG$4:$AG$207)+SUMIF('Q4 Data'!$D$4:$D$207,D24,'Q4 Data'!$AE$4:$AE$207))</f>
      </c>
      <c r="AO24" s="27">
        <f>IF($B24&lt;&gt;"Challan","",P24-N24)</f>
      </c>
      <c r="AP24" s="27">
        <f>IF($B24&lt;&gt;"Challan","",MAX(0,AO24-AN24))</f>
      </c>
      <c r="AQ24" s="33">
        <f>IF($B24&lt;&gt;"Entry","",SUMPRODUCT(('Q1 Data'!$D$4:$D$207=D24)*('Q1 Data'!$B$4:$B$207="Challan")*'Q1 Data'!$F$4:$F$207)+SUMPRODUCT(('Q2 Data'!$D$4:$D$207=D24)*('Q2 Data'!$B$4:$B$207="Challan")*'Q2 Data'!$F$4:$F$207)+SUMPRODUCT(('Q3 Data'!$D$4:$D$207=D24)*('Q3 Data'!$B$4:$B$207="Challan")*'Q3 Data'!$F$4:$F$207)+SUMPRODUCT(('Q4 Data'!$D$4:$D$207=D24)*('Q4 Data'!$B$4:$B$207="Challan")*'Q4 Data'!$F$4:$F$207))</f>
      </c>
      <c r="AR24" s="34">
        <f>IF(OR($B24&lt;&gt;"Entry",Z24=""),FALSE,AND((SUMPRODUCT(('Q1 Data'!$D$4:$D$207=D24)*('Q1 Data'!$B$4:$B$207="Challan")*('Q1 Data'!$H$4:$H$207&lt;&gt;""))+SUMPRODUCT(('Q2 Data'!$D$4:$D$207=D24)*('Q2 Data'!$B$4:$B$207="Challan")*('Q2 Data'!$H$4:$H$207&lt;&gt;""))+SUMPRODUCT(('Q3 Data'!$D$4:$D$207=D24)*('Q3 Data'!$B$4:$B$207="Challan")*('Q3 Data'!$H$4:$H$207&lt;&gt;""))+SUMPRODUCT(('Q4 Data'!$D$4:$D$207=D24)*('Q4 Data'!$B$4:$B$207="Challan")*('Q4 Data'!$H$4:$H$207&lt;&gt;"")))&gt;0,(SUMPRODUCT(('Q1 Data'!$D$4:$D$207=D24)*('Q1 Data'!$B$4:$B$207="Challan")*('Q1 Data'!$H$4:$H$207=Z24))+SUMPRODUCT(('Q2 Data'!$D$4:$D$207=D24)*('Q2 Data'!$B$4:$B$207="Challan")*('Q2 Data'!$H$4:$H$207=Z24))+SUMPRODUCT(('Q3 Data'!$D$4:$D$207=D24)*('Q3 Data'!$B$4:$B$207="Challan")*('Q3 Data'!$H$4:$H$207=Z24))+SUMPRODUCT(('Q4 Data'!$D$4:$D$207=D24)*('Q4 Data'!$B$4:$B$207="Challan")*('Q4 Data'!$H$4:$H$207=Z24)))=0))</f>
      </c>
    </row>
    <row r="25" spans="1:44" x14ac:dyDescent="0.25">
      <c r="A25" s="20">
        <f>IF($B25="Entry",COUNTIF($B$4:$B25,"Entry"),"")</f>
      </c>
      <c r="B25" s="21"/>
      <c r="C25" s="22"/>
      <c r="D25" s="22"/>
      <c r="E25" s="23">
        <f>IF($B25&lt;&gt;"Challan","",IF(ROUND(AN25-AO25,2)&gt;0,"Over-applied",IF(ROUND(AN25-AO25,2)=0,"Fully Utilised","Unconsumed")))</f>
      </c>
      <c r="F25" s="24"/>
      <c r="G25" s="25"/>
      <c r="H25" s="25"/>
      <c r="I25" s="26"/>
      <c r="J25" s="26"/>
      <c r="K25" s="26"/>
      <c r="L25" s="26"/>
      <c r="M25" s="26"/>
      <c r="N25" s="26"/>
      <c r="O25" s="26"/>
      <c r="P25" s="27">
        <f>IF($B25&lt;&gt;"Challan","",I25+J25+K25+L25+M25+N25)</f>
      </c>
      <c r="Q25" s="25"/>
      <c r="R25" s="25"/>
      <c r="S25" s="25"/>
      <c r="T25" s="25"/>
      <c r="U25" s="25"/>
      <c r="V25" s="28"/>
      <c r="W25" s="28"/>
      <c r="X25" s="23">
        <f>IF($B25="Entry",IF(AND(LEN(TRIM(UPPER(W25)))=10,CODE(MID(TRIM(UPPER(W25)),1,1))&gt;=65,CODE(MID(TRIM(UPPER(W25)),1,1))&lt;=90,CODE(MID(TRIM(UPPER(W25)),2,1))&gt;=65,CODE(MID(TRIM(UPPER(W25)),2,1))&lt;=90,CODE(MID(TRIM(UPPER(W25)),3,1))&gt;=65,CODE(MID(TRIM(UPPER(W25)),3,1))&lt;=90,CODE(MID(TRIM(UPPER(W25)),4,1))&gt;=65,CODE(MID(TRIM(UPPER(W25)),4,1))&lt;=90,CODE(MID(TRIM(UPPER(W25)),5,1))&gt;=65,CODE(MID(TRIM(UPPER(W25)),5,1))&lt;=90,CODE(MID(TRIM(UPPER(W25)),10,1))&gt;=65,CODE(MID(TRIM(UPPER(W25)),10,1))&lt;=90,CODE(MID(TRIM(UPPER(W25)),6,1))&gt;=48,CODE(MID(TRIM(UPPER(W25)),6,1))&lt;=57,CODE(MID(TRIM(UPPER(W25)),7,1))&gt;=48,CODE(MID(TRIM(UPPER(W25)),7,1))&lt;=57,CODE(MID(TRIM(UPPER(W25)),8,1))&gt;=48,CODE(MID(TRIM(UPPER(W25)),8,1))&lt;=57,CODE(MID(TRIM(UPPER(W25)),9,1))&gt;=48,CODE(MID(TRIM(UPPER(W25)),9,1))&lt;=57),"N","Y"),IF($B25="Challan","",IF(W25&lt;&gt;"","◄ Set Row Type","")))</f>
      </c>
      <c r="Y25" s="23">
        <f>IF($B25="Entry",IF(LEN(W25)&lt;4,"",IF(UPPER(MID(W25,4,1))="P","Individual",IF(UPPER(MID(W25,4,1))="H","HUF",IF(UPPER(MID(W25,4,1))="C","Company",IF(UPPER(MID(W25,4,1))="F","Firm",IF(UPPER(MID(W25,4,1))="L","LLP",IF(UPPER(MID(W25,4,1))="T","Trust",IF(UPPER(MID(W25,4,1))="A","AOP","")))))))),IF($B25="Challan","",IF(W25&lt;&gt;"","◄ Set Row Type","")))</f>
      </c>
      <c r="Z25" s="28"/>
      <c r="AA25" s="29">
        <f>IF($B25&lt;&gt;"Entry","",IF(Z25="","",IF(X25="Y",SUMPRODUCT(('Rate Lookup'!$A$1:$A$37=Z25)*'Rate Lookup'!$D$1:$D$37),IF(OR(Y25="Individual",Y25="HUF"),SUMPRODUCT(('Rate Lookup'!$A$1:$A$37=Z25)*'Rate Lookup'!$B$1:$B$37),SUMPRODUCT(('Rate Lookup'!$A$1:$A$37=Z25)*'Rate Lookup'!$C$1:$C$37)))))</f>
      </c>
      <c r="AB25" s="30"/>
      <c r="AC25" s="31"/>
      <c r="AD25" s="27">
        <f>IF($B25&lt;&gt;"Entry","",ROUND(AC25*AA25/100,0))</f>
      </c>
      <c r="AE25" s="27">
        <f>IF($B25&lt;&gt;"Entry","",0)</f>
      </c>
      <c r="AF25" s="27">
        <f>IF($B25&lt;&gt;"Entry","",0)</f>
      </c>
      <c r="AG25" s="27">
        <f>IF($B25&lt;&gt;"Entry","",IF(OR(AD25=0,AB25="",AQ25="",AQ25&lt;=0),0,IF(AQ25&lt;=DATE(YEAR(AB25),MONTH(AB25)+1,7),0,ROUND(AD25*0.015*((YEAR(AQ25)-YEAR(AB25))*12+(MONTH(AQ25)-MONTH(AB25))+1),0))))</f>
      </c>
      <c r="AH25" s="27">
        <f>IF($B25&lt;&gt;"Entry","",0)</f>
      </c>
      <c r="AI25" s="28"/>
      <c r="AJ25" s="28"/>
      <c r="AK25" s="32"/>
      <c r="AL25" s="28"/>
      <c r="AM25" s="28"/>
      <c r="AN25" s="27">
        <f>IF($B25&lt;&gt;"Challan","",SUMIF('Q1 Data'!$D$4:$D$207,D25,'Q1 Data'!$AD$4:$AD$207)+SUMIF('Q1 Data'!$D$4:$D$207,D25,'Q1 Data'!$AG$4:$AG$207)+SUMIF('Q1 Data'!$D$4:$D$207,D25,'Q1 Data'!$AE$4:$AE$207)+SUMIF('Q2 Data'!$D$4:$D$207,D25,'Q2 Data'!$AD$4:$AD$207)+SUMIF('Q2 Data'!$D$4:$D$207,D25,'Q2 Data'!$AG$4:$AG$207)+SUMIF('Q2 Data'!$D$4:$D$207,D25,'Q2 Data'!$AE$4:$AE$207)+SUMIF('Q3 Data'!$D$4:$D$207,D25,'Q3 Data'!$AD$4:$AD$207)+SUMIF('Q3 Data'!$D$4:$D$207,D25,'Q3 Data'!$AG$4:$AG$207)+SUMIF('Q3 Data'!$D$4:$D$207,D25,'Q3 Data'!$AE$4:$AE$207)+SUMIF('Q4 Data'!$D$4:$D$207,D25,'Q4 Data'!$AD$4:$AD$207)+SUMIF('Q4 Data'!$D$4:$D$207,D25,'Q4 Data'!$AG$4:$AG$207)+SUMIF('Q4 Data'!$D$4:$D$207,D25,'Q4 Data'!$AE$4:$AE$207))</f>
      </c>
      <c r="AO25" s="27">
        <f>IF($B25&lt;&gt;"Challan","",P25-N25)</f>
      </c>
      <c r="AP25" s="27">
        <f>IF($B25&lt;&gt;"Challan","",MAX(0,AO25-AN25))</f>
      </c>
      <c r="AQ25" s="33">
        <f>IF($B25&lt;&gt;"Entry","",SUMPRODUCT(('Q1 Data'!$D$4:$D$207=D25)*('Q1 Data'!$B$4:$B$207="Challan")*'Q1 Data'!$F$4:$F$207)+SUMPRODUCT(('Q2 Data'!$D$4:$D$207=D25)*('Q2 Data'!$B$4:$B$207="Challan")*'Q2 Data'!$F$4:$F$207)+SUMPRODUCT(('Q3 Data'!$D$4:$D$207=D25)*('Q3 Data'!$B$4:$B$207="Challan")*'Q3 Data'!$F$4:$F$207)+SUMPRODUCT(('Q4 Data'!$D$4:$D$207=D25)*('Q4 Data'!$B$4:$B$207="Challan")*'Q4 Data'!$F$4:$F$207))</f>
      </c>
      <c r="AR25" s="34">
        <f>IF(OR($B25&lt;&gt;"Entry",Z25=""),FALSE,AND((SUMPRODUCT(('Q1 Data'!$D$4:$D$207=D25)*('Q1 Data'!$B$4:$B$207="Challan")*('Q1 Data'!$H$4:$H$207&lt;&gt;""))+SUMPRODUCT(('Q2 Data'!$D$4:$D$207=D25)*('Q2 Data'!$B$4:$B$207="Challan")*('Q2 Data'!$H$4:$H$207&lt;&gt;""))+SUMPRODUCT(('Q3 Data'!$D$4:$D$207=D25)*('Q3 Data'!$B$4:$B$207="Challan")*('Q3 Data'!$H$4:$H$207&lt;&gt;""))+SUMPRODUCT(('Q4 Data'!$D$4:$D$207=D25)*('Q4 Data'!$B$4:$B$207="Challan")*('Q4 Data'!$H$4:$H$207&lt;&gt;"")))&gt;0,(SUMPRODUCT(('Q1 Data'!$D$4:$D$207=D25)*('Q1 Data'!$B$4:$B$207="Challan")*('Q1 Data'!$H$4:$H$207=Z25))+SUMPRODUCT(('Q2 Data'!$D$4:$D$207=D25)*('Q2 Data'!$B$4:$B$207="Challan")*('Q2 Data'!$H$4:$H$207=Z25))+SUMPRODUCT(('Q3 Data'!$D$4:$D$207=D25)*('Q3 Data'!$B$4:$B$207="Challan")*('Q3 Data'!$H$4:$H$207=Z25))+SUMPRODUCT(('Q4 Data'!$D$4:$D$207=D25)*('Q4 Data'!$B$4:$B$207="Challan")*('Q4 Data'!$H$4:$H$207=Z25)))=0))</f>
      </c>
    </row>
    <row r="26" spans="1:44" x14ac:dyDescent="0.25">
      <c r="A26" s="20">
        <f>IF($B26="Entry",COUNTIF($B$4:$B26,"Entry"),"")</f>
      </c>
      <c r="B26" s="21"/>
      <c r="C26" s="22"/>
      <c r="D26" s="22"/>
      <c r="E26" s="23">
        <f>IF($B26&lt;&gt;"Challan","",IF(ROUND(AN26-AO26,2)&gt;0,"Over-applied",IF(ROUND(AN26-AO26,2)=0,"Fully Utilised","Unconsumed")))</f>
      </c>
      <c r="F26" s="24"/>
      <c r="G26" s="25"/>
      <c r="H26" s="25"/>
      <c r="I26" s="26"/>
      <c r="J26" s="26"/>
      <c r="K26" s="26"/>
      <c r="L26" s="26"/>
      <c r="M26" s="26"/>
      <c r="N26" s="26"/>
      <c r="O26" s="26"/>
      <c r="P26" s="27">
        <f>IF($B26&lt;&gt;"Challan","",I26+J26+K26+L26+M26+N26)</f>
      </c>
      <c r="Q26" s="25"/>
      <c r="R26" s="25"/>
      <c r="S26" s="25"/>
      <c r="T26" s="25"/>
      <c r="U26" s="25"/>
      <c r="V26" s="28"/>
      <c r="W26" s="28"/>
      <c r="X26" s="23">
        <f>IF($B26="Entry",IF(AND(LEN(TRIM(UPPER(W26)))=10,CODE(MID(TRIM(UPPER(W26)),1,1))&gt;=65,CODE(MID(TRIM(UPPER(W26)),1,1))&lt;=90,CODE(MID(TRIM(UPPER(W26)),2,1))&gt;=65,CODE(MID(TRIM(UPPER(W26)),2,1))&lt;=90,CODE(MID(TRIM(UPPER(W26)),3,1))&gt;=65,CODE(MID(TRIM(UPPER(W26)),3,1))&lt;=90,CODE(MID(TRIM(UPPER(W26)),4,1))&gt;=65,CODE(MID(TRIM(UPPER(W26)),4,1))&lt;=90,CODE(MID(TRIM(UPPER(W26)),5,1))&gt;=65,CODE(MID(TRIM(UPPER(W26)),5,1))&lt;=90,CODE(MID(TRIM(UPPER(W26)),10,1))&gt;=65,CODE(MID(TRIM(UPPER(W26)),10,1))&lt;=90,CODE(MID(TRIM(UPPER(W26)),6,1))&gt;=48,CODE(MID(TRIM(UPPER(W26)),6,1))&lt;=57,CODE(MID(TRIM(UPPER(W26)),7,1))&gt;=48,CODE(MID(TRIM(UPPER(W26)),7,1))&lt;=57,CODE(MID(TRIM(UPPER(W26)),8,1))&gt;=48,CODE(MID(TRIM(UPPER(W26)),8,1))&lt;=57,CODE(MID(TRIM(UPPER(W26)),9,1))&gt;=48,CODE(MID(TRIM(UPPER(W26)),9,1))&lt;=57),"N","Y"),IF($B26="Challan","",IF(W26&lt;&gt;"","◄ Set Row Type","")))</f>
      </c>
      <c r="Y26" s="23">
        <f>IF($B26="Entry",IF(LEN(W26)&lt;4,"",IF(UPPER(MID(W26,4,1))="P","Individual",IF(UPPER(MID(W26,4,1))="H","HUF",IF(UPPER(MID(W26,4,1))="C","Company",IF(UPPER(MID(W26,4,1))="F","Firm",IF(UPPER(MID(W26,4,1))="L","LLP",IF(UPPER(MID(W26,4,1))="T","Trust",IF(UPPER(MID(W26,4,1))="A","AOP","")))))))),IF($B26="Challan","",IF(W26&lt;&gt;"","◄ Set Row Type","")))</f>
      </c>
      <c r="Z26" s="28"/>
      <c r="AA26" s="29">
        <f>IF($B26&lt;&gt;"Entry","",IF(Z26="","",IF(X26="Y",SUMPRODUCT(('Rate Lookup'!$A$1:$A$37=Z26)*'Rate Lookup'!$D$1:$D$37),IF(OR(Y26="Individual",Y26="HUF"),SUMPRODUCT(('Rate Lookup'!$A$1:$A$37=Z26)*'Rate Lookup'!$B$1:$B$37),SUMPRODUCT(('Rate Lookup'!$A$1:$A$37=Z26)*'Rate Lookup'!$C$1:$C$37)))))</f>
      </c>
      <c r="AB26" s="30"/>
      <c r="AC26" s="31"/>
      <c r="AD26" s="27">
        <f>IF($B26&lt;&gt;"Entry","",ROUND(AC26*AA26/100,0))</f>
      </c>
      <c r="AE26" s="27">
        <f>IF($B26&lt;&gt;"Entry","",0)</f>
      </c>
      <c r="AF26" s="27">
        <f>IF($B26&lt;&gt;"Entry","",0)</f>
      </c>
      <c r="AG26" s="27">
        <f>IF($B26&lt;&gt;"Entry","",IF(OR(AD26=0,AB26="",AQ26="",AQ26&lt;=0),0,IF(AQ26&lt;=DATE(YEAR(AB26),MONTH(AB26)+1,7),0,ROUND(AD26*0.015*((YEAR(AQ26)-YEAR(AB26))*12+(MONTH(AQ26)-MONTH(AB26))+1),0))))</f>
      </c>
      <c r="AH26" s="27">
        <f>IF($B26&lt;&gt;"Entry","",0)</f>
      </c>
      <c r="AI26" s="28"/>
      <c r="AJ26" s="28"/>
      <c r="AK26" s="32"/>
      <c r="AL26" s="28"/>
      <c r="AM26" s="28"/>
      <c r="AN26" s="27">
        <f>IF($B26&lt;&gt;"Challan","",SUMIF('Q1 Data'!$D$4:$D$207,D26,'Q1 Data'!$AD$4:$AD$207)+SUMIF('Q1 Data'!$D$4:$D$207,D26,'Q1 Data'!$AG$4:$AG$207)+SUMIF('Q1 Data'!$D$4:$D$207,D26,'Q1 Data'!$AE$4:$AE$207)+SUMIF('Q2 Data'!$D$4:$D$207,D26,'Q2 Data'!$AD$4:$AD$207)+SUMIF('Q2 Data'!$D$4:$D$207,D26,'Q2 Data'!$AG$4:$AG$207)+SUMIF('Q2 Data'!$D$4:$D$207,D26,'Q2 Data'!$AE$4:$AE$207)+SUMIF('Q3 Data'!$D$4:$D$207,D26,'Q3 Data'!$AD$4:$AD$207)+SUMIF('Q3 Data'!$D$4:$D$207,D26,'Q3 Data'!$AG$4:$AG$207)+SUMIF('Q3 Data'!$D$4:$D$207,D26,'Q3 Data'!$AE$4:$AE$207)+SUMIF('Q4 Data'!$D$4:$D$207,D26,'Q4 Data'!$AD$4:$AD$207)+SUMIF('Q4 Data'!$D$4:$D$207,D26,'Q4 Data'!$AG$4:$AG$207)+SUMIF('Q4 Data'!$D$4:$D$207,D26,'Q4 Data'!$AE$4:$AE$207))</f>
      </c>
      <c r="AO26" s="27">
        <f>IF($B26&lt;&gt;"Challan","",P26-N26)</f>
      </c>
      <c r="AP26" s="27">
        <f>IF($B26&lt;&gt;"Challan","",MAX(0,AO26-AN26))</f>
      </c>
      <c r="AQ26" s="33">
        <f>IF($B26&lt;&gt;"Entry","",SUMPRODUCT(('Q1 Data'!$D$4:$D$207=D26)*('Q1 Data'!$B$4:$B$207="Challan")*'Q1 Data'!$F$4:$F$207)+SUMPRODUCT(('Q2 Data'!$D$4:$D$207=D26)*('Q2 Data'!$B$4:$B$207="Challan")*'Q2 Data'!$F$4:$F$207)+SUMPRODUCT(('Q3 Data'!$D$4:$D$207=D26)*('Q3 Data'!$B$4:$B$207="Challan")*'Q3 Data'!$F$4:$F$207)+SUMPRODUCT(('Q4 Data'!$D$4:$D$207=D26)*('Q4 Data'!$B$4:$B$207="Challan")*'Q4 Data'!$F$4:$F$207))</f>
      </c>
      <c r="AR26" s="34">
        <f>IF(OR($B26&lt;&gt;"Entry",Z26=""),FALSE,AND((SUMPRODUCT(('Q1 Data'!$D$4:$D$207=D26)*('Q1 Data'!$B$4:$B$207="Challan")*('Q1 Data'!$H$4:$H$207&lt;&gt;""))+SUMPRODUCT(('Q2 Data'!$D$4:$D$207=D26)*('Q2 Data'!$B$4:$B$207="Challan")*('Q2 Data'!$H$4:$H$207&lt;&gt;""))+SUMPRODUCT(('Q3 Data'!$D$4:$D$207=D26)*('Q3 Data'!$B$4:$B$207="Challan")*('Q3 Data'!$H$4:$H$207&lt;&gt;""))+SUMPRODUCT(('Q4 Data'!$D$4:$D$207=D26)*('Q4 Data'!$B$4:$B$207="Challan")*('Q4 Data'!$H$4:$H$207&lt;&gt;"")))&gt;0,(SUMPRODUCT(('Q1 Data'!$D$4:$D$207=D26)*('Q1 Data'!$B$4:$B$207="Challan")*('Q1 Data'!$H$4:$H$207=Z26))+SUMPRODUCT(('Q2 Data'!$D$4:$D$207=D26)*('Q2 Data'!$B$4:$B$207="Challan")*('Q2 Data'!$H$4:$H$207=Z26))+SUMPRODUCT(('Q3 Data'!$D$4:$D$207=D26)*('Q3 Data'!$B$4:$B$207="Challan")*('Q3 Data'!$H$4:$H$207=Z26))+SUMPRODUCT(('Q4 Data'!$D$4:$D$207=D26)*('Q4 Data'!$B$4:$B$207="Challan")*('Q4 Data'!$H$4:$H$207=Z26)))=0))</f>
      </c>
    </row>
    <row r="27" spans="1:44" x14ac:dyDescent="0.25">
      <c r="A27" s="20">
        <f>IF($B27="Entry",COUNTIF($B$4:$B27,"Entry"),"")</f>
      </c>
      <c r="B27" s="21"/>
      <c r="C27" s="22"/>
      <c r="D27" s="22"/>
      <c r="E27" s="23">
        <f>IF($B27&lt;&gt;"Challan","",IF(ROUND(AN27-AO27,2)&gt;0,"Over-applied",IF(ROUND(AN27-AO27,2)=0,"Fully Utilised","Unconsumed")))</f>
      </c>
      <c r="F27" s="24"/>
      <c r="G27" s="25"/>
      <c r="H27" s="25"/>
      <c r="I27" s="26"/>
      <c r="J27" s="26"/>
      <c r="K27" s="26"/>
      <c r="L27" s="26"/>
      <c r="M27" s="26"/>
      <c r="N27" s="26"/>
      <c r="O27" s="26"/>
      <c r="P27" s="27">
        <f>IF($B27&lt;&gt;"Challan","",I27+J27+K27+L27+M27+N27)</f>
      </c>
      <c r="Q27" s="25"/>
      <c r="R27" s="25"/>
      <c r="S27" s="25"/>
      <c r="T27" s="25"/>
      <c r="U27" s="25"/>
      <c r="V27" s="28"/>
      <c r="W27" s="28"/>
      <c r="X27" s="23">
        <f>IF($B27="Entry",IF(AND(LEN(TRIM(UPPER(W27)))=10,CODE(MID(TRIM(UPPER(W27)),1,1))&gt;=65,CODE(MID(TRIM(UPPER(W27)),1,1))&lt;=90,CODE(MID(TRIM(UPPER(W27)),2,1))&gt;=65,CODE(MID(TRIM(UPPER(W27)),2,1))&lt;=90,CODE(MID(TRIM(UPPER(W27)),3,1))&gt;=65,CODE(MID(TRIM(UPPER(W27)),3,1))&lt;=90,CODE(MID(TRIM(UPPER(W27)),4,1))&gt;=65,CODE(MID(TRIM(UPPER(W27)),4,1))&lt;=90,CODE(MID(TRIM(UPPER(W27)),5,1))&gt;=65,CODE(MID(TRIM(UPPER(W27)),5,1))&lt;=90,CODE(MID(TRIM(UPPER(W27)),10,1))&gt;=65,CODE(MID(TRIM(UPPER(W27)),10,1))&lt;=90,CODE(MID(TRIM(UPPER(W27)),6,1))&gt;=48,CODE(MID(TRIM(UPPER(W27)),6,1))&lt;=57,CODE(MID(TRIM(UPPER(W27)),7,1))&gt;=48,CODE(MID(TRIM(UPPER(W27)),7,1))&lt;=57,CODE(MID(TRIM(UPPER(W27)),8,1))&gt;=48,CODE(MID(TRIM(UPPER(W27)),8,1))&lt;=57,CODE(MID(TRIM(UPPER(W27)),9,1))&gt;=48,CODE(MID(TRIM(UPPER(W27)),9,1))&lt;=57),"N","Y"),IF($B27="Challan","",IF(W27&lt;&gt;"","◄ Set Row Type","")))</f>
      </c>
      <c r="Y27" s="23">
        <f>IF($B27="Entry",IF(LEN(W27)&lt;4,"",IF(UPPER(MID(W27,4,1))="P","Individual",IF(UPPER(MID(W27,4,1))="H","HUF",IF(UPPER(MID(W27,4,1))="C","Company",IF(UPPER(MID(W27,4,1))="F","Firm",IF(UPPER(MID(W27,4,1))="L","LLP",IF(UPPER(MID(W27,4,1))="T","Trust",IF(UPPER(MID(W27,4,1))="A","AOP","")))))))),IF($B27="Challan","",IF(W27&lt;&gt;"","◄ Set Row Type","")))</f>
      </c>
      <c r="Z27" s="28"/>
      <c r="AA27" s="29">
        <f>IF($B27&lt;&gt;"Entry","",IF(Z27="","",IF(X27="Y",SUMPRODUCT(('Rate Lookup'!$A$1:$A$37=Z27)*'Rate Lookup'!$D$1:$D$37),IF(OR(Y27="Individual",Y27="HUF"),SUMPRODUCT(('Rate Lookup'!$A$1:$A$37=Z27)*'Rate Lookup'!$B$1:$B$37),SUMPRODUCT(('Rate Lookup'!$A$1:$A$37=Z27)*'Rate Lookup'!$C$1:$C$37)))))</f>
      </c>
      <c r="AB27" s="30"/>
      <c r="AC27" s="31"/>
      <c r="AD27" s="27">
        <f>IF($B27&lt;&gt;"Entry","",ROUND(AC27*AA27/100,0))</f>
      </c>
      <c r="AE27" s="27">
        <f>IF($B27&lt;&gt;"Entry","",0)</f>
      </c>
      <c r="AF27" s="27">
        <f>IF($B27&lt;&gt;"Entry","",0)</f>
      </c>
      <c r="AG27" s="27">
        <f>IF($B27&lt;&gt;"Entry","",IF(OR(AD27=0,AB27="",AQ27="",AQ27&lt;=0),0,IF(AQ27&lt;=DATE(YEAR(AB27),MONTH(AB27)+1,7),0,ROUND(AD27*0.015*((YEAR(AQ27)-YEAR(AB27))*12+(MONTH(AQ27)-MONTH(AB27))+1),0))))</f>
      </c>
      <c r="AH27" s="27">
        <f>IF($B27&lt;&gt;"Entry","",0)</f>
      </c>
      <c r="AI27" s="28"/>
      <c r="AJ27" s="28"/>
      <c r="AK27" s="32"/>
      <c r="AL27" s="28"/>
      <c r="AM27" s="28"/>
      <c r="AN27" s="27">
        <f>IF($B27&lt;&gt;"Challan","",SUMIF('Q1 Data'!$D$4:$D$207,D27,'Q1 Data'!$AD$4:$AD$207)+SUMIF('Q1 Data'!$D$4:$D$207,D27,'Q1 Data'!$AG$4:$AG$207)+SUMIF('Q1 Data'!$D$4:$D$207,D27,'Q1 Data'!$AE$4:$AE$207)+SUMIF('Q2 Data'!$D$4:$D$207,D27,'Q2 Data'!$AD$4:$AD$207)+SUMIF('Q2 Data'!$D$4:$D$207,D27,'Q2 Data'!$AG$4:$AG$207)+SUMIF('Q2 Data'!$D$4:$D$207,D27,'Q2 Data'!$AE$4:$AE$207)+SUMIF('Q3 Data'!$D$4:$D$207,D27,'Q3 Data'!$AD$4:$AD$207)+SUMIF('Q3 Data'!$D$4:$D$207,D27,'Q3 Data'!$AG$4:$AG$207)+SUMIF('Q3 Data'!$D$4:$D$207,D27,'Q3 Data'!$AE$4:$AE$207)+SUMIF('Q4 Data'!$D$4:$D$207,D27,'Q4 Data'!$AD$4:$AD$207)+SUMIF('Q4 Data'!$D$4:$D$207,D27,'Q4 Data'!$AG$4:$AG$207)+SUMIF('Q4 Data'!$D$4:$D$207,D27,'Q4 Data'!$AE$4:$AE$207))</f>
      </c>
      <c r="AO27" s="27">
        <f>IF($B27&lt;&gt;"Challan","",P27-N27)</f>
      </c>
      <c r="AP27" s="27">
        <f>IF($B27&lt;&gt;"Challan","",MAX(0,AO27-AN27))</f>
      </c>
      <c r="AQ27" s="33">
        <f>IF($B27&lt;&gt;"Entry","",SUMPRODUCT(('Q1 Data'!$D$4:$D$207=D27)*('Q1 Data'!$B$4:$B$207="Challan")*'Q1 Data'!$F$4:$F$207)+SUMPRODUCT(('Q2 Data'!$D$4:$D$207=D27)*('Q2 Data'!$B$4:$B$207="Challan")*'Q2 Data'!$F$4:$F$207)+SUMPRODUCT(('Q3 Data'!$D$4:$D$207=D27)*('Q3 Data'!$B$4:$B$207="Challan")*'Q3 Data'!$F$4:$F$207)+SUMPRODUCT(('Q4 Data'!$D$4:$D$207=D27)*('Q4 Data'!$B$4:$B$207="Challan")*'Q4 Data'!$F$4:$F$207))</f>
      </c>
      <c r="AR27" s="34">
        <f>IF(OR($B27&lt;&gt;"Entry",Z27=""),FALSE,AND((SUMPRODUCT(('Q1 Data'!$D$4:$D$207=D27)*('Q1 Data'!$B$4:$B$207="Challan")*('Q1 Data'!$H$4:$H$207&lt;&gt;""))+SUMPRODUCT(('Q2 Data'!$D$4:$D$207=D27)*('Q2 Data'!$B$4:$B$207="Challan")*('Q2 Data'!$H$4:$H$207&lt;&gt;""))+SUMPRODUCT(('Q3 Data'!$D$4:$D$207=D27)*('Q3 Data'!$B$4:$B$207="Challan")*('Q3 Data'!$H$4:$H$207&lt;&gt;""))+SUMPRODUCT(('Q4 Data'!$D$4:$D$207=D27)*('Q4 Data'!$B$4:$B$207="Challan")*('Q4 Data'!$H$4:$H$207&lt;&gt;"")))&gt;0,(SUMPRODUCT(('Q1 Data'!$D$4:$D$207=D27)*('Q1 Data'!$B$4:$B$207="Challan")*('Q1 Data'!$H$4:$H$207=Z27))+SUMPRODUCT(('Q2 Data'!$D$4:$D$207=D27)*('Q2 Data'!$B$4:$B$207="Challan")*('Q2 Data'!$H$4:$H$207=Z27))+SUMPRODUCT(('Q3 Data'!$D$4:$D$207=D27)*('Q3 Data'!$B$4:$B$207="Challan")*('Q3 Data'!$H$4:$H$207=Z27))+SUMPRODUCT(('Q4 Data'!$D$4:$D$207=D27)*('Q4 Data'!$B$4:$B$207="Challan")*('Q4 Data'!$H$4:$H$207=Z27)))=0))</f>
      </c>
    </row>
    <row r="28" spans="1:44" x14ac:dyDescent="0.25">
      <c r="A28" s="20">
        <f>IF($B28="Entry",COUNTIF($B$4:$B28,"Entry"),"")</f>
      </c>
      <c r="B28" s="21"/>
      <c r="C28" s="22"/>
      <c r="D28" s="22"/>
      <c r="E28" s="23">
        <f>IF($B28&lt;&gt;"Challan","",IF(ROUND(AN28-AO28,2)&gt;0,"Over-applied",IF(ROUND(AN28-AO28,2)=0,"Fully Utilised","Unconsumed")))</f>
      </c>
      <c r="F28" s="24"/>
      <c r="G28" s="25"/>
      <c r="H28" s="25"/>
      <c r="I28" s="26"/>
      <c r="J28" s="26"/>
      <c r="K28" s="26"/>
      <c r="L28" s="26"/>
      <c r="M28" s="26"/>
      <c r="N28" s="26"/>
      <c r="O28" s="26"/>
      <c r="P28" s="27">
        <f>IF($B28&lt;&gt;"Challan","",I28+J28+K28+L28+M28+N28)</f>
      </c>
      <c r="Q28" s="25"/>
      <c r="R28" s="25"/>
      <c r="S28" s="25"/>
      <c r="T28" s="25"/>
      <c r="U28" s="25"/>
      <c r="V28" s="28"/>
      <c r="W28" s="28"/>
      <c r="X28" s="23">
        <f>IF($B28="Entry",IF(AND(LEN(TRIM(UPPER(W28)))=10,CODE(MID(TRIM(UPPER(W28)),1,1))&gt;=65,CODE(MID(TRIM(UPPER(W28)),1,1))&lt;=90,CODE(MID(TRIM(UPPER(W28)),2,1))&gt;=65,CODE(MID(TRIM(UPPER(W28)),2,1))&lt;=90,CODE(MID(TRIM(UPPER(W28)),3,1))&gt;=65,CODE(MID(TRIM(UPPER(W28)),3,1))&lt;=90,CODE(MID(TRIM(UPPER(W28)),4,1))&gt;=65,CODE(MID(TRIM(UPPER(W28)),4,1))&lt;=90,CODE(MID(TRIM(UPPER(W28)),5,1))&gt;=65,CODE(MID(TRIM(UPPER(W28)),5,1))&lt;=90,CODE(MID(TRIM(UPPER(W28)),10,1))&gt;=65,CODE(MID(TRIM(UPPER(W28)),10,1))&lt;=90,CODE(MID(TRIM(UPPER(W28)),6,1))&gt;=48,CODE(MID(TRIM(UPPER(W28)),6,1))&lt;=57,CODE(MID(TRIM(UPPER(W28)),7,1))&gt;=48,CODE(MID(TRIM(UPPER(W28)),7,1))&lt;=57,CODE(MID(TRIM(UPPER(W28)),8,1))&gt;=48,CODE(MID(TRIM(UPPER(W28)),8,1))&lt;=57,CODE(MID(TRIM(UPPER(W28)),9,1))&gt;=48,CODE(MID(TRIM(UPPER(W28)),9,1))&lt;=57),"N","Y"),IF($B28="Challan","",IF(W28&lt;&gt;"","◄ Set Row Type","")))</f>
      </c>
      <c r="Y28" s="23">
        <f>IF($B28="Entry",IF(LEN(W28)&lt;4,"",IF(UPPER(MID(W28,4,1))="P","Individual",IF(UPPER(MID(W28,4,1))="H","HUF",IF(UPPER(MID(W28,4,1))="C","Company",IF(UPPER(MID(W28,4,1))="F","Firm",IF(UPPER(MID(W28,4,1))="L","LLP",IF(UPPER(MID(W28,4,1))="T","Trust",IF(UPPER(MID(W28,4,1))="A","AOP","")))))))),IF($B28="Challan","",IF(W28&lt;&gt;"","◄ Set Row Type","")))</f>
      </c>
      <c r="Z28" s="28"/>
      <c r="AA28" s="29">
        <f>IF($B28&lt;&gt;"Entry","",IF(Z28="","",IF(X28="Y",SUMPRODUCT(('Rate Lookup'!$A$1:$A$37=Z28)*'Rate Lookup'!$D$1:$D$37),IF(OR(Y28="Individual",Y28="HUF"),SUMPRODUCT(('Rate Lookup'!$A$1:$A$37=Z28)*'Rate Lookup'!$B$1:$B$37),SUMPRODUCT(('Rate Lookup'!$A$1:$A$37=Z28)*'Rate Lookup'!$C$1:$C$37)))))</f>
      </c>
      <c r="AB28" s="30"/>
      <c r="AC28" s="31"/>
      <c r="AD28" s="27">
        <f>IF($B28&lt;&gt;"Entry","",ROUND(AC28*AA28/100,0))</f>
      </c>
      <c r="AE28" s="27">
        <f>IF($B28&lt;&gt;"Entry","",0)</f>
      </c>
      <c r="AF28" s="27">
        <f>IF($B28&lt;&gt;"Entry","",0)</f>
      </c>
      <c r="AG28" s="27">
        <f>IF($B28&lt;&gt;"Entry","",IF(OR(AD28=0,AB28="",AQ28="",AQ28&lt;=0),0,IF(AQ28&lt;=DATE(YEAR(AB28),MONTH(AB28)+1,7),0,ROUND(AD28*0.015*((YEAR(AQ28)-YEAR(AB28))*12+(MONTH(AQ28)-MONTH(AB28))+1),0))))</f>
      </c>
      <c r="AH28" s="27">
        <f>IF($B28&lt;&gt;"Entry","",0)</f>
      </c>
      <c r="AI28" s="28"/>
      <c r="AJ28" s="28"/>
      <c r="AK28" s="32"/>
      <c r="AL28" s="28"/>
      <c r="AM28" s="28"/>
      <c r="AN28" s="27">
        <f>IF($B28&lt;&gt;"Challan","",SUMIF('Q1 Data'!$D$4:$D$207,D28,'Q1 Data'!$AD$4:$AD$207)+SUMIF('Q1 Data'!$D$4:$D$207,D28,'Q1 Data'!$AG$4:$AG$207)+SUMIF('Q1 Data'!$D$4:$D$207,D28,'Q1 Data'!$AE$4:$AE$207)+SUMIF('Q2 Data'!$D$4:$D$207,D28,'Q2 Data'!$AD$4:$AD$207)+SUMIF('Q2 Data'!$D$4:$D$207,D28,'Q2 Data'!$AG$4:$AG$207)+SUMIF('Q2 Data'!$D$4:$D$207,D28,'Q2 Data'!$AE$4:$AE$207)+SUMIF('Q3 Data'!$D$4:$D$207,D28,'Q3 Data'!$AD$4:$AD$207)+SUMIF('Q3 Data'!$D$4:$D$207,D28,'Q3 Data'!$AG$4:$AG$207)+SUMIF('Q3 Data'!$D$4:$D$207,D28,'Q3 Data'!$AE$4:$AE$207)+SUMIF('Q4 Data'!$D$4:$D$207,D28,'Q4 Data'!$AD$4:$AD$207)+SUMIF('Q4 Data'!$D$4:$D$207,D28,'Q4 Data'!$AG$4:$AG$207)+SUMIF('Q4 Data'!$D$4:$D$207,D28,'Q4 Data'!$AE$4:$AE$207))</f>
      </c>
      <c r="AO28" s="27">
        <f>IF($B28&lt;&gt;"Challan","",P28-N28)</f>
      </c>
      <c r="AP28" s="27">
        <f>IF($B28&lt;&gt;"Challan","",MAX(0,AO28-AN28))</f>
      </c>
      <c r="AQ28" s="33">
        <f>IF($B28&lt;&gt;"Entry","",SUMPRODUCT(('Q1 Data'!$D$4:$D$207=D28)*('Q1 Data'!$B$4:$B$207="Challan")*'Q1 Data'!$F$4:$F$207)+SUMPRODUCT(('Q2 Data'!$D$4:$D$207=D28)*('Q2 Data'!$B$4:$B$207="Challan")*'Q2 Data'!$F$4:$F$207)+SUMPRODUCT(('Q3 Data'!$D$4:$D$207=D28)*('Q3 Data'!$B$4:$B$207="Challan")*'Q3 Data'!$F$4:$F$207)+SUMPRODUCT(('Q4 Data'!$D$4:$D$207=D28)*('Q4 Data'!$B$4:$B$207="Challan")*'Q4 Data'!$F$4:$F$207))</f>
      </c>
      <c r="AR28" s="34">
        <f>IF(OR($B28&lt;&gt;"Entry",Z28=""),FALSE,AND((SUMPRODUCT(('Q1 Data'!$D$4:$D$207=D28)*('Q1 Data'!$B$4:$B$207="Challan")*('Q1 Data'!$H$4:$H$207&lt;&gt;""))+SUMPRODUCT(('Q2 Data'!$D$4:$D$207=D28)*('Q2 Data'!$B$4:$B$207="Challan")*('Q2 Data'!$H$4:$H$207&lt;&gt;""))+SUMPRODUCT(('Q3 Data'!$D$4:$D$207=D28)*('Q3 Data'!$B$4:$B$207="Challan")*('Q3 Data'!$H$4:$H$207&lt;&gt;""))+SUMPRODUCT(('Q4 Data'!$D$4:$D$207=D28)*('Q4 Data'!$B$4:$B$207="Challan")*('Q4 Data'!$H$4:$H$207&lt;&gt;"")))&gt;0,(SUMPRODUCT(('Q1 Data'!$D$4:$D$207=D28)*('Q1 Data'!$B$4:$B$207="Challan")*('Q1 Data'!$H$4:$H$207=Z28))+SUMPRODUCT(('Q2 Data'!$D$4:$D$207=D28)*('Q2 Data'!$B$4:$B$207="Challan")*('Q2 Data'!$H$4:$H$207=Z28))+SUMPRODUCT(('Q3 Data'!$D$4:$D$207=D28)*('Q3 Data'!$B$4:$B$207="Challan")*('Q3 Data'!$H$4:$H$207=Z28))+SUMPRODUCT(('Q4 Data'!$D$4:$D$207=D28)*('Q4 Data'!$B$4:$B$207="Challan")*('Q4 Data'!$H$4:$H$207=Z28)))=0))</f>
      </c>
    </row>
    <row r="29" spans="1:44" x14ac:dyDescent="0.25">
      <c r="A29" s="20">
        <f>IF($B29="Entry",COUNTIF($B$4:$B29,"Entry"),"")</f>
      </c>
      <c r="B29" s="21"/>
      <c r="C29" s="22"/>
      <c r="D29" s="22"/>
      <c r="E29" s="23">
        <f>IF($B29&lt;&gt;"Challan","",IF(ROUND(AN29-AO29,2)&gt;0,"Over-applied",IF(ROUND(AN29-AO29,2)=0,"Fully Utilised","Unconsumed")))</f>
      </c>
      <c r="F29" s="24"/>
      <c r="G29" s="25"/>
      <c r="H29" s="25"/>
      <c r="I29" s="26"/>
      <c r="J29" s="26"/>
      <c r="K29" s="26"/>
      <c r="L29" s="26"/>
      <c r="M29" s="26"/>
      <c r="N29" s="26"/>
      <c r="O29" s="26"/>
      <c r="P29" s="27">
        <f>IF($B29&lt;&gt;"Challan","",I29+J29+K29+L29+M29+N29)</f>
      </c>
      <c r="Q29" s="25"/>
      <c r="R29" s="25"/>
      <c r="S29" s="25"/>
      <c r="T29" s="25"/>
      <c r="U29" s="25"/>
      <c r="V29" s="28"/>
      <c r="W29" s="28"/>
      <c r="X29" s="23">
        <f>IF($B29="Entry",IF(AND(LEN(TRIM(UPPER(W29)))=10,CODE(MID(TRIM(UPPER(W29)),1,1))&gt;=65,CODE(MID(TRIM(UPPER(W29)),1,1))&lt;=90,CODE(MID(TRIM(UPPER(W29)),2,1))&gt;=65,CODE(MID(TRIM(UPPER(W29)),2,1))&lt;=90,CODE(MID(TRIM(UPPER(W29)),3,1))&gt;=65,CODE(MID(TRIM(UPPER(W29)),3,1))&lt;=90,CODE(MID(TRIM(UPPER(W29)),4,1))&gt;=65,CODE(MID(TRIM(UPPER(W29)),4,1))&lt;=90,CODE(MID(TRIM(UPPER(W29)),5,1))&gt;=65,CODE(MID(TRIM(UPPER(W29)),5,1))&lt;=90,CODE(MID(TRIM(UPPER(W29)),10,1))&gt;=65,CODE(MID(TRIM(UPPER(W29)),10,1))&lt;=90,CODE(MID(TRIM(UPPER(W29)),6,1))&gt;=48,CODE(MID(TRIM(UPPER(W29)),6,1))&lt;=57,CODE(MID(TRIM(UPPER(W29)),7,1))&gt;=48,CODE(MID(TRIM(UPPER(W29)),7,1))&lt;=57,CODE(MID(TRIM(UPPER(W29)),8,1))&gt;=48,CODE(MID(TRIM(UPPER(W29)),8,1))&lt;=57,CODE(MID(TRIM(UPPER(W29)),9,1))&gt;=48,CODE(MID(TRIM(UPPER(W29)),9,1))&lt;=57),"N","Y"),IF($B29="Challan","",IF(W29&lt;&gt;"","◄ Set Row Type","")))</f>
      </c>
      <c r="Y29" s="23">
        <f>IF($B29="Entry",IF(LEN(W29)&lt;4,"",IF(UPPER(MID(W29,4,1))="P","Individual",IF(UPPER(MID(W29,4,1))="H","HUF",IF(UPPER(MID(W29,4,1))="C","Company",IF(UPPER(MID(W29,4,1))="F","Firm",IF(UPPER(MID(W29,4,1))="L","LLP",IF(UPPER(MID(W29,4,1))="T","Trust",IF(UPPER(MID(W29,4,1))="A","AOP","")))))))),IF($B29="Challan","",IF(W29&lt;&gt;"","◄ Set Row Type","")))</f>
      </c>
      <c r="Z29" s="28"/>
      <c r="AA29" s="29">
        <f>IF($B29&lt;&gt;"Entry","",IF(Z29="","",IF(X29="Y",SUMPRODUCT(('Rate Lookup'!$A$1:$A$37=Z29)*'Rate Lookup'!$D$1:$D$37),IF(OR(Y29="Individual",Y29="HUF"),SUMPRODUCT(('Rate Lookup'!$A$1:$A$37=Z29)*'Rate Lookup'!$B$1:$B$37),SUMPRODUCT(('Rate Lookup'!$A$1:$A$37=Z29)*'Rate Lookup'!$C$1:$C$37)))))</f>
      </c>
      <c r="AB29" s="30"/>
      <c r="AC29" s="31"/>
      <c r="AD29" s="27">
        <f>IF($B29&lt;&gt;"Entry","",ROUND(AC29*AA29/100,0))</f>
      </c>
      <c r="AE29" s="27">
        <f>IF($B29&lt;&gt;"Entry","",0)</f>
      </c>
      <c r="AF29" s="27">
        <f>IF($B29&lt;&gt;"Entry","",0)</f>
      </c>
      <c r="AG29" s="27">
        <f>IF($B29&lt;&gt;"Entry","",IF(OR(AD29=0,AB29="",AQ29="",AQ29&lt;=0),0,IF(AQ29&lt;=DATE(YEAR(AB29),MONTH(AB29)+1,7),0,ROUND(AD29*0.015*((YEAR(AQ29)-YEAR(AB29))*12+(MONTH(AQ29)-MONTH(AB29))+1),0))))</f>
      </c>
      <c r="AH29" s="27">
        <f>IF($B29&lt;&gt;"Entry","",0)</f>
      </c>
      <c r="AI29" s="28"/>
      <c r="AJ29" s="28"/>
      <c r="AK29" s="32"/>
      <c r="AL29" s="28"/>
      <c r="AM29" s="28"/>
      <c r="AN29" s="27">
        <f>IF($B29&lt;&gt;"Challan","",SUMIF('Q1 Data'!$D$4:$D$207,D29,'Q1 Data'!$AD$4:$AD$207)+SUMIF('Q1 Data'!$D$4:$D$207,D29,'Q1 Data'!$AG$4:$AG$207)+SUMIF('Q1 Data'!$D$4:$D$207,D29,'Q1 Data'!$AE$4:$AE$207)+SUMIF('Q2 Data'!$D$4:$D$207,D29,'Q2 Data'!$AD$4:$AD$207)+SUMIF('Q2 Data'!$D$4:$D$207,D29,'Q2 Data'!$AG$4:$AG$207)+SUMIF('Q2 Data'!$D$4:$D$207,D29,'Q2 Data'!$AE$4:$AE$207)+SUMIF('Q3 Data'!$D$4:$D$207,D29,'Q3 Data'!$AD$4:$AD$207)+SUMIF('Q3 Data'!$D$4:$D$207,D29,'Q3 Data'!$AG$4:$AG$207)+SUMIF('Q3 Data'!$D$4:$D$207,D29,'Q3 Data'!$AE$4:$AE$207)+SUMIF('Q4 Data'!$D$4:$D$207,D29,'Q4 Data'!$AD$4:$AD$207)+SUMIF('Q4 Data'!$D$4:$D$207,D29,'Q4 Data'!$AG$4:$AG$207)+SUMIF('Q4 Data'!$D$4:$D$207,D29,'Q4 Data'!$AE$4:$AE$207))</f>
      </c>
      <c r="AO29" s="27">
        <f>IF($B29&lt;&gt;"Challan","",P29-N29)</f>
      </c>
      <c r="AP29" s="27">
        <f>IF($B29&lt;&gt;"Challan","",MAX(0,AO29-AN29))</f>
      </c>
      <c r="AQ29" s="33">
        <f>IF($B29&lt;&gt;"Entry","",SUMPRODUCT(('Q1 Data'!$D$4:$D$207=D29)*('Q1 Data'!$B$4:$B$207="Challan")*'Q1 Data'!$F$4:$F$207)+SUMPRODUCT(('Q2 Data'!$D$4:$D$207=D29)*('Q2 Data'!$B$4:$B$207="Challan")*'Q2 Data'!$F$4:$F$207)+SUMPRODUCT(('Q3 Data'!$D$4:$D$207=D29)*('Q3 Data'!$B$4:$B$207="Challan")*'Q3 Data'!$F$4:$F$207)+SUMPRODUCT(('Q4 Data'!$D$4:$D$207=D29)*('Q4 Data'!$B$4:$B$207="Challan")*'Q4 Data'!$F$4:$F$207))</f>
      </c>
      <c r="AR29" s="34">
        <f>IF(OR($B29&lt;&gt;"Entry",Z29=""),FALSE,AND((SUMPRODUCT(('Q1 Data'!$D$4:$D$207=D29)*('Q1 Data'!$B$4:$B$207="Challan")*('Q1 Data'!$H$4:$H$207&lt;&gt;""))+SUMPRODUCT(('Q2 Data'!$D$4:$D$207=D29)*('Q2 Data'!$B$4:$B$207="Challan")*('Q2 Data'!$H$4:$H$207&lt;&gt;""))+SUMPRODUCT(('Q3 Data'!$D$4:$D$207=D29)*('Q3 Data'!$B$4:$B$207="Challan")*('Q3 Data'!$H$4:$H$207&lt;&gt;""))+SUMPRODUCT(('Q4 Data'!$D$4:$D$207=D29)*('Q4 Data'!$B$4:$B$207="Challan")*('Q4 Data'!$H$4:$H$207&lt;&gt;"")))&gt;0,(SUMPRODUCT(('Q1 Data'!$D$4:$D$207=D29)*('Q1 Data'!$B$4:$B$207="Challan")*('Q1 Data'!$H$4:$H$207=Z29))+SUMPRODUCT(('Q2 Data'!$D$4:$D$207=D29)*('Q2 Data'!$B$4:$B$207="Challan")*('Q2 Data'!$H$4:$H$207=Z29))+SUMPRODUCT(('Q3 Data'!$D$4:$D$207=D29)*('Q3 Data'!$B$4:$B$207="Challan")*('Q3 Data'!$H$4:$H$207=Z29))+SUMPRODUCT(('Q4 Data'!$D$4:$D$207=D29)*('Q4 Data'!$B$4:$B$207="Challan")*('Q4 Data'!$H$4:$H$207=Z29)))=0))</f>
      </c>
    </row>
    <row r="30" spans="1:44" x14ac:dyDescent="0.25">
      <c r="A30" s="20">
        <f>IF($B30="Entry",COUNTIF($B$4:$B30,"Entry"),"")</f>
      </c>
      <c r="B30" s="21"/>
      <c r="C30" s="22"/>
      <c r="D30" s="22"/>
      <c r="E30" s="23">
        <f>IF($B30&lt;&gt;"Challan","",IF(ROUND(AN30-AO30,2)&gt;0,"Over-applied",IF(ROUND(AN30-AO30,2)=0,"Fully Utilised","Unconsumed")))</f>
      </c>
      <c r="F30" s="24"/>
      <c r="G30" s="25"/>
      <c r="H30" s="25"/>
      <c r="I30" s="26"/>
      <c r="J30" s="26"/>
      <c r="K30" s="26"/>
      <c r="L30" s="26"/>
      <c r="M30" s="26"/>
      <c r="N30" s="26"/>
      <c r="O30" s="26"/>
      <c r="P30" s="27">
        <f>IF($B30&lt;&gt;"Challan","",I30+J30+K30+L30+M30+N30)</f>
      </c>
      <c r="Q30" s="25"/>
      <c r="R30" s="25"/>
      <c r="S30" s="25"/>
      <c r="T30" s="25"/>
      <c r="U30" s="25"/>
      <c r="V30" s="28"/>
      <c r="W30" s="28"/>
      <c r="X30" s="23">
        <f>IF($B30="Entry",IF(AND(LEN(TRIM(UPPER(W30)))=10,CODE(MID(TRIM(UPPER(W30)),1,1))&gt;=65,CODE(MID(TRIM(UPPER(W30)),1,1))&lt;=90,CODE(MID(TRIM(UPPER(W30)),2,1))&gt;=65,CODE(MID(TRIM(UPPER(W30)),2,1))&lt;=90,CODE(MID(TRIM(UPPER(W30)),3,1))&gt;=65,CODE(MID(TRIM(UPPER(W30)),3,1))&lt;=90,CODE(MID(TRIM(UPPER(W30)),4,1))&gt;=65,CODE(MID(TRIM(UPPER(W30)),4,1))&lt;=90,CODE(MID(TRIM(UPPER(W30)),5,1))&gt;=65,CODE(MID(TRIM(UPPER(W30)),5,1))&lt;=90,CODE(MID(TRIM(UPPER(W30)),10,1))&gt;=65,CODE(MID(TRIM(UPPER(W30)),10,1))&lt;=90,CODE(MID(TRIM(UPPER(W30)),6,1))&gt;=48,CODE(MID(TRIM(UPPER(W30)),6,1))&lt;=57,CODE(MID(TRIM(UPPER(W30)),7,1))&gt;=48,CODE(MID(TRIM(UPPER(W30)),7,1))&lt;=57,CODE(MID(TRIM(UPPER(W30)),8,1))&gt;=48,CODE(MID(TRIM(UPPER(W30)),8,1))&lt;=57,CODE(MID(TRIM(UPPER(W30)),9,1))&gt;=48,CODE(MID(TRIM(UPPER(W30)),9,1))&lt;=57),"N","Y"),IF($B30="Challan","",IF(W30&lt;&gt;"","◄ Set Row Type","")))</f>
      </c>
      <c r="Y30" s="23">
        <f>IF($B30="Entry",IF(LEN(W30)&lt;4,"",IF(UPPER(MID(W30,4,1))="P","Individual",IF(UPPER(MID(W30,4,1))="H","HUF",IF(UPPER(MID(W30,4,1))="C","Company",IF(UPPER(MID(W30,4,1))="F","Firm",IF(UPPER(MID(W30,4,1))="L","LLP",IF(UPPER(MID(W30,4,1))="T","Trust",IF(UPPER(MID(W30,4,1))="A","AOP","")))))))),IF($B30="Challan","",IF(W30&lt;&gt;"","◄ Set Row Type","")))</f>
      </c>
      <c r="Z30" s="28"/>
      <c r="AA30" s="29">
        <f>IF($B30&lt;&gt;"Entry","",IF(Z30="","",IF(X30="Y",SUMPRODUCT(('Rate Lookup'!$A$1:$A$37=Z30)*'Rate Lookup'!$D$1:$D$37),IF(OR(Y30="Individual",Y30="HUF"),SUMPRODUCT(('Rate Lookup'!$A$1:$A$37=Z30)*'Rate Lookup'!$B$1:$B$37),SUMPRODUCT(('Rate Lookup'!$A$1:$A$37=Z30)*'Rate Lookup'!$C$1:$C$37)))))</f>
      </c>
      <c r="AB30" s="30"/>
      <c r="AC30" s="31"/>
      <c r="AD30" s="27">
        <f>IF($B30&lt;&gt;"Entry","",ROUND(AC30*AA30/100,0))</f>
      </c>
      <c r="AE30" s="27">
        <f>IF($B30&lt;&gt;"Entry","",0)</f>
      </c>
      <c r="AF30" s="27">
        <f>IF($B30&lt;&gt;"Entry","",0)</f>
      </c>
      <c r="AG30" s="27">
        <f>IF($B30&lt;&gt;"Entry","",IF(OR(AD30=0,AB30="",AQ30="",AQ30&lt;=0),0,IF(AQ30&lt;=DATE(YEAR(AB30),MONTH(AB30)+1,7),0,ROUND(AD30*0.015*((YEAR(AQ30)-YEAR(AB30))*12+(MONTH(AQ30)-MONTH(AB30))+1),0))))</f>
      </c>
      <c r="AH30" s="27">
        <f>IF($B30&lt;&gt;"Entry","",0)</f>
      </c>
      <c r="AI30" s="28"/>
      <c r="AJ30" s="28"/>
      <c r="AK30" s="32"/>
      <c r="AL30" s="28"/>
      <c r="AM30" s="28"/>
      <c r="AN30" s="27">
        <f>IF($B30&lt;&gt;"Challan","",SUMIF('Q1 Data'!$D$4:$D$207,D30,'Q1 Data'!$AD$4:$AD$207)+SUMIF('Q1 Data'!$D$4:$D$207,D30,'Q1 Data'!$AG$4:$AG$207)+SUMIF('Q1 Data'!$D$4:$D$207,D30,'Q1 Data'!$AE$4:$AE$207)+SUMIF('Q2 Data'!$D$4:$D$207,D30,'Q2 Data'!$AD$4:$AD$207)+SUMIF('Q2 Data'!$D$4:$D$207,D30,'Q2 Data'!$AG$4:$AG$207)+SUMIF('Q2 Data'!$D$4:$D$207,D30,'Q2 Data'!$AE$4:$AE$207)+SUMIF('Q3 Data'!$D$4:$D$207,D30,'Q3 Data'!$AD$4:$AD$207)+SUMIF('Q3 Data'!$D$4:$D$207,D30,'Q3 Data'!$AG$4:$AG$207)+SUMIF('Q3 Data'!$D$4:$D$207,D30,'Q3 Data'!$AE$4:$AE$207)+SUMIF('Q4 Data'!$D$4:$D$207,D30,'Q4 Data'!$AD$4:$AD$207)+SUMIF('Q4 Data'!$D$4:$D$207,D30,'Q4 Data'!$AG$4:$AG$207)+SUMIF('Q4 Data'!$D$4:$D$207,D30,'Q4 Data'!$AE$4:$AE$207))</f>
      </c>
      <c r="AO30" s="27">
        <f>IF($B30&lt;&gt;"Challan","",P30-N30)</f>
      </c>
      <c r="AP30" s="27">
        <f>IF($B30&lt;&gt;"Challan","",MAX(0,AO30-AN30))</f>
      </c>
      <c r="AQ30" s="33">
        <f>IF($B30&lt;&gt;"Entry","",SUMPRODUCT(('Q1 Data'!$D$4:$D$207=D30)*('Q1 Data'!$B$4:$B$207="Challan")*'Q1 Data'!$F$4:$F$207)+SUMPRODUCT(('Q2 Data'!$D$4:$D$207=D30)*('Q2 Data'!$B$4:$B$207="Challan")*'Q2 Data'!$F$4:$F$207)+SUMPRODUCT(('Q3 Data'!$D$4:$D$207=D30)*('Q3 Data'!$B$4:$B$207="Challan")*'Q3 Data'!$F$4:$F$207)+SUMPRODUCT(('Q4 Data'!$D$4:$D$207=D30)*('Q4 Data'!$B$4:$B$207="Challan")*'Q4 Data'!$F$4:$F$207))</f>
      </c>
      <c r="AR30" s="34">
        <f>IF(OR($B30&lt;&gt;"Entry",Z30=""),FALSE,AND((SUMPRODUCT(('Q1 Data'!$D$4:$D$207=D30)*('Q1 Data'!$B$4:$B$207="Challan")*('Q1 Data'!$H$4:$H$207&lt;&gt;""))+SUMPRODUCT(('Q2 Data'!$D$4:$D$207=D30)*('Q2 Data'!$B$4:$B$207="Challan")*('Q2 Data'!$H$4:$H$207&lt;&gt;""))+SUMPRODUCT(('Q3 Data'!$D$4:$D$207=D30)*('Q3 Data'!$B$4:$B$207="Challan")*('Q3 Data'!$H$4:$H$207&lt;&gt;""))+SUMPRODUCT(('Q4 Data'!$D$4:$D$207=D30)*('Q4 Data'!$B$4:$B$207="Challan")*('Q4 Data'!$H$4:$H$207&lt;&gt;"")))&gt;0,(SUMPRODUCT(('Q1 Data'!$D$4:$D$207=D30)*('Q1 Data'!$B$4:$B$207="Challan")*('Q1 Data'!$H$4:$H$207=Z30))+SUMPRODUCT(('Q2 Data'!$D$4:$D$207=D30)*('Q2 Data'!$B$4:$B$207="Challan")*('Q2 Data'!$H$4:$H$207=Z30))+SUMPRODUCT(('Q3 Data'!$D$4:$D$207=D30)*('Q3 Data'!$B$4:$B$207="Challan")*('Q3 Data'!$H$4:$H$207=Z30))+SUMPRODUCT(('Q4 Data'!$D$4:$D$207=D30)*('Q4 Data'!$B$4:$B$207="Challan")*('Q4 Data'!$H$4:$H$207=Z30)))=0))</f>
      </c>
    </row>
    <row r="31" spans="1:44" x14ac:dyDescent="0.25">
      <c r="A31" s="20">
        <f>IF($B31="Entry",COUNTIF($B$4:$B31,"Entry"),"")</f>
      </c>
      <c r="B31" s="21"/>
      <c r="C31" s="22"/>
      <c r="D31" s="22"/>
      <c r="E31" s="23">
        <f>IF($B31&lt;&gt;"Challan","",IF(ROUND(AN31-AO31,2)&gt;0,"Over-applied",IF(ROUND(AN31-AO31,2)=0,"Fully Utilised","Unconsumed")))</f>
      </c>
      <c r="F31" s="24"/>
      <c r="G31" s="25"/>
      <c r="H31" s="25"/>
      <c r="I31" s="26"/>
      <c r="J31" s="26"/>
      <c r="K31" s="26"/>
      <c r="L31" s="26"/>
      <c r="M31" s="26"/>
      <c r="N31" s="26"/>
      <c r="O31" s="26"/>
      <c r="P31" s="27">
        <f>IF($B31&lt;&gt;"Challan","",I31+J31+K31+L31+M31+N31)</f>
      </c>
      <c r="Q31" s="25"/>
      <c r="R31" s="25"/>
      <c r="S31" s="25"/>
      <c r="T31" s="25"/>
      <c r="U31" s="25"/>
      <c r="V31" s="28"/>
      <c r="W31" s="28"/>
      <c r="X31" s="23">
        <f>IF($B31="Entry",IF(AND(LEN(TRIM(UPPER(W31)))=10,CODE(MID(TRIM(UPPER(W31)),1,1))&gt;=65,CODE(MID(TRIM(UPPER(W31)),1,1))&lt;=90,CODE(MID(TRIM(UPPER(W31)),2,1))&gt;=65,CODE(MID(TRIM(UPPER(W31)),2,1))&lt;=90,CODE(MID(TRIM(UPPER(W31)),3,1))&gt;=65,CODE(MID(TRIM(UPPER(W31)),3,1))&lt;=90,CODE(MID(TRIM(UPPER(W31)),4,1))&gt;=65,CODE(MID(TRIM(UPPER(W31)),4,1))&lt;=90,CODE(MID(TRIM(UPPER(W31)),5,1))&gt;=65,CODE(MID(TRIM(UPPER(W31)),5,1))&lt;=90,CODE(MID(TRIM(UPPER(W31)),10,1))&gt;=65,CODE(MID(TRIM(UPPER(W31)),10,1))&lt;=90,CODE(MID(TRIM(UPPER(W31)),6,1))&gt;=48,CODE(MID(TRIM(UPPER(W31)),6,1))&lt;=57,CODE(MID(TRIM(UPPER(W31)),7,1))&gt;=48,CODE(MID(TRIM(UPPER(W31)),7,1))&lt;=57,CODE(MID(TRIM(UPPER(W31)),8,1))&gt;=48,CODE(MID(TRIM(UPPER(W31)),8,1))&lt;=57,CODE(MID(TRIM(UPPER(W31)),9,1))&gt;=48,CODE(MID(TRIM(UPPER(W31)),9,1))&lt;=57),"N","Y"),IF($B31="Challan","",IF(W31&lt;&gt;"","◄ Set Row Type","")))</f>
      </c>
      <c r="Y31" s="23">
        <f>IF($B31="Entry",IF(LEN(W31)&lt;4,"",IF(UPPER(MID(W31,4,1))="P","Individual",IF(UPPER(MID(W31,4,1))="H","HUF",IF(UPPER(MID(W31,4,1))="C","Company",IF(UPPER(MID(W31,4,1))="F","Firm",IF(UPPER(MID(W31,4,1))="L","LLP",IF(UPPER(MID(W31,4,1))="T","Trust",IF(UPPER(MID(W31,4,1))="A","AOP","")))))))),IF($B31="Challan","",IF(W31&lt;&gt;"","◄ Set Row Type","")))</f>
      </c>
      <c r="Z31" s="28"/>
      <c r="AA31" s="29">
        <f>IF($B31&lt;&gt;"Entry","",IF(Z31="","",IF(X31="Y",SUMPRODUCT(('Rate Lookup'!$A$1:$A$37=Z31)*'Rate Lookup'!$D$1:$D$37),IF(OR(Y31="Individual",Y31="HUF"),SUMPRODUCT(('Rate Lookup'!$A$1:$A$37=Z31)*'Rate Lookup'!$B$1:$B$37),SUMPRODUCT(('Rate Lookup'!$A$1:$A$37=Z31)*'Rate Lookup'!$C$1:$C$37)))))</f>
      </c>
      <c r="AB31" s="30"/>
      <c r="AC31" s="31"/>
      <c r="AD31" s="27">
        <f>IF($B31&lt;&gt;"Entry","",ROUND(AC31*AA31/100,0))</f>
      </c>
      <c r="AE31" s="27">
        <f>IF($B31&lt;&gt;"Entry","",0)</f>
      </c>
      <c r="AF31" s="27">
        <f>IF($B31&lt;&gt;"Entry","",0)</f>
      </c>
      <c r="AG31" s="27">
        <f>IF($B31&lt;&gt;"Entry","",IF(OR(AD31=0,AB31="",AQ31="",AQ31&lt;=0),0,IF(AQ31&lt;=DATE(YEAR(AB31),MONTH(AB31)+1,7),0,ROUND(AD31*0.015*((YEAR(AQ31)-YEAR(AB31))*12+(MONTH(AQ31)-MONTH(AB31))+1),0))))</f>
      </c>
      <c r="AH31" s="27">
        <f>IF($B31&lt;&gt;"Entry","",0)</f>
      </c>
      <c r="AI31" s="28"/>
      <c r="AJ31" s="28"/>
      <c r="AK31" s="32"/>
      <c r="AL31" s="28"/>
      <c r="AM31" s="28"/>
      <c r="AN31" s="27">
        <f>IF($B31&lt;&gt;"Challan","",SUMIF('Q1 Data'!$D$4:$D$207,D31,'Q1 Data'!$AD$4:$AD$207)+SUMIF('Q1 Data'!$D$4:$D$207,D31,'Q1 Data'!$AG$4:$AG$207)+SUMIF('Q1 Data'!$D$4:$D$207,D31,'Q1 Data'!$AE$4:$AE$207)+SUMIF('Q2 Data'!$D$4:$D$207,D31,'Q2 Data'!$AD$4:$AD$207)+SUMIF('Q2 Data'!$D$4:$D$207,D31,'Q2 Data'!$AG$4:$AG$207)+SUMIF('Q2 Data'!$D$4:$D$207,D31,'Q2 Data'!$AE$4:$AE$207)+SUMIF('Q3 Data'!$D$4:$D$207,D31,'Q3 Data'!$AD$4:$AD$207)+SUMIF('Q3 Data'!$D$4:$D$207,D31,'Q3 Data'!$AG$4:$AG$207)+SUMIF('Q3 Data'!$D$4:$D$207,D31,'Q3 Data'!$AE$4:$AE$207)+SUMIF('Q4 Data'!$D$4:$D$207,D31,'Q4 Data'!$AD$4:$AD$207)+SUMIF('Q4 Data'!$D$4:$D$207,D31,'Q4 Data'!$AG$4:$AG$207)+SUMIF('Q4 Data'!$D$4:$D$207,D31,'Q4 Data'!$AE$4:$AE$207))</f>
      </c>
      <c r="AO31" s="27">
        <f>IF($B31&lt;&gt;"Challan","",P31-N31)</f>
      </c>
      <c r="AP31" s="27">
        <f>IF($B31&lt;&gt;"Challan","",MAX(0,AO31-AN31))</f>
      </c>
      <c r="AQ31" s="33">
        <f>IF($B31&lt;&gt;"Entry","",SUMPRODUCT(('Q1 Data'!$D$4:$D$207=D31)*('Q1 Data'!$B$4:$B$207="Challan")*'Q1 Data'!$F$4:$F$207)+SUMPRODUCT(('Q2 Data'!$D$4:$D$207=D31)*('Q2 Data'!$B$4:$B$207="Challan")*'Q2 Data'!$F$4:$F$207)+SUMPRODUCT(('Q3 Data'!$D$4:$D$207=D31)*('Q3 Data'!$B$4:$B$207="Challan")*'Q3 Data'!$F$4:$F$207)+SUMPRODUCT(('Q4 Data'!$D$4:$D$207=D31)*('Q4 Data'!$B$4:$B$207="Challan")*'Q4 Data'!$F$4:$F$207))</f>
      </c>
      <c r="AR31" s="34">
        <f>IF(OR($B31&lt;&gt;"Entry",Z31=""),FALSE,AND((SUMPRODUCT(('Q1 Data'!$D$4:$D$207=D31)*('Q1 Data'!$B$4:$B$207="Challan")*('Q1 Data'!$H$4:$H$207&lt;&gt;""))+SUMPRODUCT(('Q2 Data'!$D$4:$D$207=D31)*('Q2 Data'!$B$4:$B$207="Challan")*('Q2 Data'!$H$4:$H$207&lt;&gt;""))+SUMPRODUCT(('Q3 Data'!$D$4:$D$207=D31)*('Q3 Data'!$B$4:$B$207="Challan")*('Q3 Data'!$H$4:$H$207&lt;&gt;""))+SUMPRODUCT(('Q4 Data'!$D$4:$D$207=D31)*('Q4 Data'!$B$4:$B$207="Challan")*('Q4 Data'!$H$4:$H$207&lt;&gt;"")))&gt;0,(SUMPRODUCT(('Q1 Data'!$D$4:$D$207=D31)*('Q1 Data'!$B$4:$B$207="Challan")*('Q1 Data'!$H$4:$H$207=Z31))+SUMPRODUCT(('Q2 Data'!$D$4:$D$207=D31)*('Q2 Data'!$B$4:$B$207="Challan")*('Q2 Data'!$H$4:$H$207=Z31))+SUMPRODUCT(('Q3 Data'!$D$4:$D$207=D31)*('Q3 Data'!$B$4:$B$207="Challan")*('Q3 Data'!$H$4:$H$207=Z31))+SUMPRODUCT(('Q4 Data'!$D$4:$D$207=D31)*('Q4 Data'!$B$4:$B$207="Challan")*('Q4 Data'!$H$4:$H$207=Z31)))=0))</f>
      </c>
    </row>
    <row r="32" spans="1:44" x14ac:dyDescent="0.25">
      <c r="A32" s="20">
        <f>IF($B32="Entry",COUNTIF($B$4:$B32,"Entry"),"")</f>
      </c>
      <c r="B32" s="21"/>
      <c r="C32" s="22"/>
      <c r="D32" s="22"/>
      <c r="E32" s="23">
        <f>IF($B32&lt;&gt;"Challan","",IF(ROUND(AN32-AO32,2)&gt;0,"Over-applied",IF(ROUND(AN32-AO32,2)=0,"Fully Utilised","Unconsumed")))</f>
      </c>
      <c r="F32" s="24"/>
      <c r="G32" s="25"/>
      <c r="H32" s="25"/>
      <c r="I32" s="26"/>
      <c r="J32" s="26"/>
      <c r="K32" s="26"/>
      <c r="L32" s="26"/>
      <c r="M32" s="26"/>
      <c r="N32" s="26"/>
      <c r="O32" s="26"/>
      <c r="P32" s="27">
        <f>IF($B32&lt;&gt;"Challan","",I32+J32+K32+L32+M32+N32)</f>
      </c>
      <c r="Q32" s="25"/>
      <c r="R32" s="25"/>
      <c r="S32" s="25"/>
      <c r="T32" s="25"/>
      <c r="U32" s="25"/>
      <c r="V32" s="28"/>
      <c r="W32" s="28"/>
      <c r="X32" s="23">
        <f>IF($B32="Entry",IF(AND(LEN(TRIM(UPPER(W32)))=10,CODE(MID(TRIM(UPPER(W32)),1,1))&gt;=65,CODE(MID(TRIM(UPPER(W32)),1,1))&lt;=90,CODE(MID(TRIM(UPPER(W32)),2,1))&gt;=65,CODE(MID(TRIM(UPPER(W32)),2,1))&lt;=90,CODE(MID(TRIM(UPPER(W32)),3,1))&gt;=65,CODE(MID(TRIM(UPPER(W32)),3,1))&lt;=90,CODE(MID(TRIM(UPPER(W32)),4,1))&gt;=65,CODE(MID(TRIM(UPPER(W32)),4,1))&lt;=90,CODE(MID(TRIM(UPPER(W32)),5,1))&gt;=65,CODE(MID(TRIM(UPPER(W32)),5,1))&lt;=90,CODE(MID(TRIM(UPPER(W32)),10,1))&gt;=65,CODE(MID(TRIM(UPPER(W32)),10,1))&lt;=90,CODE(MID(TRIM(UPPER(W32)),6,1))&gt;=48,CODE(MID(TRIM(UPPER(W32)),6,1))&lt;=57,CODE(MID(TRIM(UPPER(W32)),7,1))&gt;=48,CODE(MID(TRIM(UPPER(W32)),7,1))&lt;=57,CODE(MID(TRIM(UPPER(W32)),8,1))&gt;=48,CODE(MID(TRIM(UPPER(W32)),8,1))&lt;=57,CODE(MID(TRIM(UPPER(W32)),9,1))&gt;=48,CODE(MID(TRIM(UPPER(W32)),9,1))&lt;=57),"N","Y"),IF($B32="Challan","",IF(W32&lt;&gt;"","◄ Set Row Type","")))</f>
      </c>
      <c r="Y32" s="23">
        <f>IF($B32="Entry",IF(LEN(W32)&lt;4,"",IF(UPPER(MID(W32,4,1))="P","Individual",IF(UPPER(MID(W32,4,1))="H","HUF",IF(UPPER(MID(W32,4,1))="C","Company",IF(UPPER(MID(W32,4,1))="F","Firm",IF(UPPER(MID(W32,4,1))="L","LLP",IF(UPPER(MID(W32,4,1))="T","Trust",IF(UPPER(MID(W32,4,1))="A","AOP","")))))))),IF($B32="Challan","",IF(W32&lt;&gt;"","◄ Set Row Type","")))</f>
      </c>
      <c r="Z32" s="28"/>
      <c r="AA32" s="29">
        <f>IF($B32&lt;&gt;"Entry","",IF(Z32="","",IF(X32="Y",SUMPRODUCT(('Rate Lookup'!$A$1:$A$37=Z32)*'Rate Lookup'!$D$1:$D$37),IF(OR(Y32="Individual",Y32="HUF"),SUMPRODUCT(('Rate Lookup'!$A$1:$A$37=Z32)*'Rate Lookup'!$B$1:$B$37),SUMPRODUCT(('Rate Lookup'!$A$1:$A$37=Z32)*'Rate Lookup'!$C$1:$C$37)))))</f>
      </c>
      <c r="AB32" s="30"/>
      <c r="AC32" s="31"/>
      <c r="AD32" s="27">
        <f>IF($B32&lt;&gt;"Entry","",ROUND(AC32*AA32/100,0))</f>
      </c>
      <c r="AE32" s="27">
        <f>IF($B32&lt;&gt;"Entry","",0)</f>
      </c>
      <c r="AF32" s="27">
        <f>IF($B32&lt;&gt;"Entry","",0)</f>
      </c>
      <c r="AG32" s="27">
        <f>IF($B32&lt;&gt;"Entry","",IF(OR(AD32=0,AB32="",AQ32="",AQ32&lt;=0),0,IF(AQ32&lt;=DATE(YEAR(AB32),MONTH(AB32)+1,7),0,ROUND(AD32*0.015*((YEAR(AQ32)-YEAR(AB32))*12+(MONTH(AQ32)-MONTH(AB32))+1),0))))</f>
      </c>
      <c r="AH32" s="27">
        <f>IF($B32&lt;&gt;"Entry","",0)</f>
      </c>
      <c r="AI32" s="28"/>
      <c r="AJ32" s="28"/>
      <c r="AK32" s="32"/>
      <c r="AL32" s="28"/>
      <c r="AM32" s="28"/>
      <c r="AN32" s="27">
        <f>IF($B32&lt;&gt;"Challan","",SUMIF('Q1 Data'!$D$4:$D$207,D32,'Q1 Data'!$AD$4:$AD$207)+SUMIF('Q1 Data'!$D$4:$D$207,D32,'Q1 Data'!$AG$4:$AG$207)+SUMIF('Q1 Data'!$D$4:$D$207,D32,'Q1 Data'!$AE$4:$AE$207)+SUMIF('Q2 Data'!$D$4:$D$207,D32,'Q2 Data'!$AD$4:$AD$207)+SUMIF('Q2 Data'!$D$4:$D$207,D32,'Q2 Data'!$AG$4:$AG$207)+SUMIF('Q2 Data'!$D$4:$D$207,D32,'Q2 Data'!$AE$4:$AE$207)+SUMIF('Q3 Data'!$D$4:$D$207,D32,'Q3 Data'!$AD$4:$AD$207)+SUMIF('Q3 Data'!$D$4:$D$207,D32,'Q3 Data'!$AG$4:$AG$207)+SUMIF('Q3 Data'!$D$4:$D$207,D32,'Q3 Data'!$AE$4:$AE$207)+SUMIF('Q4 Data'!$D$4:$D$207,D32,'Q4 Data'!$AD$4:$AD$207)+SUMIF('Q4 Data'!$D$4:$D$207,D32,'Q4 Data'!$AG$4:$AG$207)+SUMIF('Q4 Data'!$D$4:$D$207,D32,'Q4 Data'!$AE$4:$AE$207))</f>
      </c>
      <c r="AO32" s="27">
        <f>IF($B32&lt;&gt;"Challan","",P32-N32)</f>
      </c>
      <c r="AP32" s="27">
        <f>IF($B32&lt;&gt;"Challan","",MAX(0,AO32-AN32))</f>
      </c>
      <c r="AQ32" s="33">
        <f>IF($B32&lt;&gt;"Entry","",SUMPRODUCT(('Q1 Data'!$D$4:$D$207=D32)*('Q1 Data'!$B$4:$B$207="Challan")*'Q1 Data'!$F$4:$F$207)+SUMPRODUCT(('Q2 Data'!$D$4:$D$207=D32)*('Q2 Data'!$B$4:$B$207="Challan")*'Q2 Data'!$F$4:$F$207)+SUMPRODUCT(('Q3 Data'!$D$4:$D$207=D32)*('Q3 Data'!$B$4:$B$207="Challan")*'Q3 Data'!$F$4:$F$207)+SUMPRODUCT(('Q4 Data'!$D$4:$D$207=D32)*('Q4 Data'!$B$4:$B$207="Challan")*'Q4 Data'!$F$4:$F$207))</f>
      </c>
      <c r="AR32" s="34">
        <f>IF(OR($B32&lt;&gt;"Entry",Z32=""),FALSE,AND((SUMPRODUCT(('Q1 Data'!$D$4:$D$207=D32)*('Q1 Data'!$B$4:$B$207="Challan")*('Q1 Data'!$H$4:$H$207&lt;&gt;""))+SUMPRODUCT(('Q2 Data'!$D$4:$D$207=D32)*('Q2 Data'!$B$4:$B$207="Challan")*('Q2 Data'!$H$4:$H$207&lt;&gt;""))+SUMPRODUCT(('Q3 Data'!$D$4:$D$207=D32)*('Q3 Data'!$B$4:$B$207="Challan")*('Q3 Data'!$H$4:$H$207&lt;&gt;""))+SUMPRODUCT(('Q4 Data'!$D$4:$D$207=D32)*('Q4 Data'!$B$4:$B$207="Challan")*('Q4 Data'!$H$4:$H$207&lt;&gt;"")))&gt;0,(SUMPRODUCT(('Q1 Data'!$D$4:$D$207=D32)*('Q1 Data'!$B$4:$B$207="Challan")*('Q1 Data'!$H$4:$H$207=Z32))+SUMPRODUCT(('Q2 Data'!$D$4:$D$207=D32)*('Q2 Data'!$B$4:$B$207="Challan")*('Q2 Data'!$H$4:$H$207=Z32))+SUMPRODUCT(('Q3 Data'!$D$4:$D$207=D32)*('Q3 Data'!$B$4:$B$207="Challan")*('Q3 Data'!$H$4:$H$207=Z32))+SUMPRODUCT(('Q4 Data'!$D$4:$D$207=D32)*('Q4 Data'!$B$4:$B$207="Challan")*('Q4 Data'!$H$4:$H$207=Z32)))=0))</f>
      </c>
    </row>
    <row r="33" spans="1:44" x14ac:dyDescent="0.25">
      <c r="A33" s="20">
        <f>IF($B33="Entry",COUNTIF($B$4:$B33,"Entry"),"")</f>
      </c>
      <c r="B33" s="21"/>
      <c r="C33" s="22"/>
      <c r="D33" s="22"/>
      <c r="E33" s="23">
        <f>IF($B33&lt;&gt;"Challan","",IF(ROUND(AN33-AO33,2)&gt;0,"Over-applied",IF(ROUND(AN33-AO33,2)=0,"Fully Utilised","Unconsumed")))</f>
      </c>
      <c r="F33" s="24"/>
      <c r="G33" s="25"/>
      <c r="H33" s="25"/>
      <c r="I33" s="26"/>
      <c r="J33" s="26"/>
      <c r="K33" s="26"/>
      <c r="L33" s="26"/>
      <c r="M33" s="26"/>
      <c r="N33" s="26"/>
      <c r="O33" s="26"/>
      <c r="P33" s="27">
        <f>IF($B33&lt;&gt;"Challan","",I33+J33+K33+L33+M33+N33)</f>
      </c>
      <c r="Q33" s="25"/>
      <c r="R33" s="25"/>
      <c r="S33" s="25"/>
      <c r="T33" s="25"/>
      <c r="U33" s="25"/>
      <c r="V33" s="28"/>
      <c r="W33" s="28"/>
      <c r="X33" s="23">
        <f>IF($B33="Entry",IF(AND(LEN(TRIM(UPPER(W33)))=10,CODE(MID(TRIM(UPPER(W33)),1,1))&gt;=65,CODE(MID(TRIM(UPPER(W33)),1,1))&lt;=90,CODE(MID(TRIM(UPPER(W33)),2,1))&gt;=65,CODE(MID(TRIM(UPPER(W33)),2,1))&lt;=90,CODE(MID(TRIM(UPPER(W33)),3,1))&gt;=65,CODE(MID(TRIM(UPPER(W33)),3,1))&lt;=90,CODE(MID(TRIM(UPPER(W33)),4,1))&gt;=65,CODE(MID(TRIM(UPPER(W33)),4,1))&lt;=90,CODE(MID(TRIM(UPPER(W33)),5,1))&gt;=65,CODE(MID(TRIM(UPPER(W33)),5,1))&lt;=90,CODE(MID(TRIM(UPPER(W33)),10,1))&gt;=65,CODE(MID(TRIM(UPPER(W33)),10,1))&lt;=90,CODE(MID(TRIM(UPPER(W33)),6,1))&gt;=48,CODE(MID(TRIM(UPPER(W33)),6,1))&lt;=57,CODE(MID(TRIM(UPPER(W33)),7,1))&gt;=48,CODE(MID(TRIM(UPPER(W33)),7,1))&lt;=57,CODE(MID(TRIM(UPPER(W33)),8,1))&gt;=48,CODE(MID(TRIM(UPPER(W33)),8,1))&lt;=57,CODE(MID(TRIM(UPPER(W33)),9,1))&gt;=48,CODE(MID(TRIM(UPPER(W33)),9,1))&lt;=57),"N","Y"),IF($B33="Challan","",IF(W33&lt;&gt;"","◄ Set Row Type","")))</f>
      </c>
      <c r="Y33" s="23">
        <f>IF($B33="Entry",IF(LEN(W33)&lt;4,"",IF(UPPER(MID(W33,4,1))="P","Individual",IF(UPPER(MID(W33,4,1))="H","HUF",IF(UPPER(MID(W33,4,1))="C","Company",IF(UPPER(MID(W33,4,1))="F","Firm",IF(UPPER(MID(W33,4,1))="L","LLP",IF(UPPER(MID(W33,4,1))="T","Trust",IF(UPPER(MID(W33,4,1))="A","AOP","")))))))),IF($B33="Challan","",IF(W33&lt;&gt;"","◄ Set Row Type","")))</f>
      </c>
      <c r="Z33" s="28"/>
      <c r="AA33" s="29">
        <f>IF($B33&lt;&gt;"Entry","",IF(Z33="","",IF(X33="Y",SUMPRODUCT(('Rate Lookup'!$A$1:$A$37=Z33)*'Rate Lookup'!$D$1:$D$37),IF(OR(Y33="Individual",Y33="HUF"),SUMPRODUCT(('Rate Lookup'!$A$1:$A$37=Z33)*'Rate Lookup'!$B$1:$B$37),SUMPRODUCT(('Rate Lookup'!$A$1:$A$37=Z33)*'Rate Lookup'!$C$1:$C$37)))))</f>
      </c>
      <c r="AB33" s="30"/>
      <c r="AC33" s="31"/>
      <c r="AD33" s="27">
        <f>IF($B33&lt;&gt;"Entry","",ROUND(AC33*AA33/100,0))</f>
      </c>
      <c r="AE33" s="27">
        <f>IF($B33&lt;&gt;"Entry","",0)</f>
      </c>
      <c r="AF33" s="27">
        <f>IF($B33&lt;&gt;"Entry","",0)</f>
      </c>
      <c r="AG33" s="27">
        <f>IF($B33&lt;&gt;"Entry","",IF(OR(AD33=0,AB33="",AQ33="",AQ33&lt;=0),0,IF(AQ33&lt;=DATE(YEAR(AB33),MONTH(AB33)+1,7),0,ROUND(AD33*0.015*((YEAR(AQ33)-YEAR(AB33))*12+(MONTH(AQ33)-MONTH(AB33))+1),0))))</f>
      </c>
      <c r="AH33" s="27">
        <f>IF($B33&lt;&gt;"Entry","",0)</f>
      </c>
      <c r="AI33" s="28"/>
      <c r="AJ33" s="28"/>
      <c r="AK33" s="32"/>
      <c r="AL33" s="28"/>
      <c r="AM33" s="28"/>
      <c r="AN33" s="27">
        <f>IF($B33&lt;&gt;"Challan","",SUMIF('Q1 Data'!$D$4:$D$207,D33,'Q1 Data'!$AD$4:$AD$207)+SUMIF('Q1 Data'!$D$4:$D$207,D33,'Q1 Data'!$AG$4:$AG$207)+SUMIF('Q1 Data'!$D$4:$D$207,D33,'Q1 Data'!$AE$4:$AE$207)+SUMIF('Q2 Data'!$D$4:$D$207,D33,'Q2 Data'!$AD$4:$AD$207)+SUMIF('Q2 Data'!$D$4:$D$207,D33,'Q2 Data'!$AG$4:$AG$207)+SUMIF('Q2 Data'!$D$4:$D$207,D33,'Q2 Data'!$AE$4:$AE$207)+SUMIF('Q3 Data'!$D$4:$D$207,D33,'Q3 Data'!$AD$4:$AD$207)+SUMIF('Q3 Data'!$D$4:$D$207,D33,'Q3 Data'!$AG$4:$AG$207)+SUMIF('Q3 Data'!$D$4:$D$207,D33,'Q3 Data'!$AE$4:$AE$207)+SUMIF('Q4 Data'!$D$4:$D$207,D33,'Q4 Data'!$AD$4:$AD$207)+SUMIF('Q4 Data'!$D$4:$D$207,D33,'Q4 Data'!$AG$4:$AG$207)+SUMIF('Q4 Data'!$D$4:$D$207,D33,'Q4 Data'!$AE$4:$AE$207))</f>
      </c>
      <c r="AO33" s="27">
        <f>IF($B33&lt;&gt;"Challan","",P33-N33)</f>
      </c>
      <c r="AP33" s="27">
        <f>IF($B33&lt;&gt;"Challan","",MAX(0,AO33-AN33))</f>
      </c>
      <c r="AQ33" s="33">
        <f>IF($B33&lt;&gt;"Entry","",SUMPRODUCT(('Q1 Data'!$D$4:$D$207=D33)*('Q1 Data'!$B$4:$B$207="Challan")*'Q1 Data'!$F$4:$F$207)+SUMPRODUCT(('Q2 Data'!$D$4:$D$207=D33)*('Q2 Data'!$B$4:$B$207="Challan")*'Q2 Data'!$F$4:$F$207)+SUMPRODUCT(('Q3 Data'!$D$4:$D$207=D33)*('Q3 Data'!$B$4:$B$207="Challan")*'Q3 Data'!$F$4:$F$207)+SUMPRODUCT(('Q4 Data'!$D$4:$D$207=D33)*('Q4 Data'!$B$4:$B$207="Challan")*'Q4 Data'!$F$4:$F$207))</f>
      </c>
      <c r="AR33" s="34">
        <f>IF(OR($B33&lt;&gt;"Entry",Z33=""),FALSE,AND((SUMPRODUCT(('Q1 Data'!$D$4:$D$207=D33)*('Q1 Data'!$B$4:$B$207="Challan")*('Q1 Data'!$H$4:$H$207&lt;&gt;""))+SUMPRODUCT(('Q2 Data'!$D$4:$D$207=D33)*('Q2 Data'!$B$4:$B$207="Challan")*('Q2 Data'!$H$4:$H$207&lt;&gt;""))+SUMPRODUCT(('Q3 Data'!$D$4:$D$207=D33)*('Q3 Data'!$B$4:$B$207="Challan")*('Q3 Data'!$H$4:$H$207&lt;&gt;""))+SUMPRODUCT(('Q4 Data'!$D$4:$D$207=D33)*('Q4 Data'!$B$4:$B$207="Challan")*('Q4 Data'!$H$4:$H$207&lt;&gt;"")))&gt;0,(SUMPRODUCT(('Q1 Data'!$D$4:$D$207=D33)*('Q1 Data'!$B$4:$B$207="Challan")*('Q1 Data'!$H$4:$H$207=Z33))+SUMPRODUCT(('Q2 Data'!$D$4:$D$207=D33)*('Q2 Data'!$B$4:$B$207="Challan")*('Q2 Data'!$H$4:$H$207=Z33))+SUMPRODUCT(('Q3 Data'!$D$4:$D$207=D33)*('Q3 Data'!$B$4:$B$207="Challan")*('Q3 Data'!$H$4:$H$207=Z33))+SUMPRODUCT(('Q4 Data'!$D$4:$D$207=D33)*('Q4 Data'!$B$4:$B$207="Challan")*('Q4 Data'!$H$4:$H$207=Z33)))=0))</f>
      </c>
    </row>
    <row r="34" spans="1:44" x14ac:dyDescent="0.25">
      <c r="A34" s="20">
        <f>IF($B34="Entry",COUNTIF($B$4:$B34,"Entry"),"")</f>
      </c>
      <c r="B34" s="21"/>
      <c r="C34" s="22"/>
      <c r="D34" s="22"/>
      <c r="E34" s="23">
        <f>IF($B34&lt;&gt;"Challan","",IF(ROUND(AN34-AO34,2)&gt;0,"Over-applied",IF(ROUND(AN34-AO34,2)=0,"Fully Utilised","Unconsumed")))</f>
      </c>
      <c r="F34" s="24"/>
      <c r="G34" s="25"/>
      <c r="H34" s="25"/>
      <c r="I34" s="26"/>
      <c r="J34" s="26"/>
      <c r="K34" s="26"/>
      <c r="L34" s="26"/>
      <c r="M34" s="26"/>
      <c r="N34" s="26"/>
      <c r="O34" s="26"/>
      <c r="P34" s="27">
        <f>IF($B34&lt;&gt;"Challan","",I34+J34+K34+L34+M34+N34)</f>
      </c>
      <c r="Q34" s="25"/>
      <c r="R34" s="25"/>
      <c r="S34" s="25"/>
      <c r="T34" s="25"/>
      <c r="U34" s="25"/>
      <c r="V34" s="28"/>
      <c r="W34" s="28"/>
      <c r="X34" s="23">
        <f>IF($B34="Entry",IF(AND(LEN(TRIM(UPPER(W34)))=10,CODE(MID(TRIM(UPPER(W34)),1,1))&gt;=65,CODE(MID(TRIM(UPPER(W34)),1,1))&lt;=90,CODE(MID(TRIM(UPPER(W34)),2,1))&gt;=65,CODE(MID(TRIM(UPPER(W34)),2,1))&lt;=90,CODE(MID(TRIM(UPPER(W34)),3,1))&gt;=65,CODE(MID(TRIM(UPPER(W34)),3,1))&lt;=90,CODE(MID(TRIM(UPPER(W34)),4,1))&gt;=65,CODE(MID(TRIM(UPPER(W34)),4,1))&lt;=90,CODE(MID(TRIM(UPPER(W34)),5,1))&gt;=65,CODE(MID(TRIM(UPPER(W34)),5,1))&lt;=90,CODE(MID(TRIM(UPPER(W34)),10,1))&gt;=65,CODE(MID(TRIM(UPPER(W34)),10,1))&lt;=90,CODE(MID(TRIM(UPPER(W34)),6,1))&gt;=48,CODE(MID(TRIM(UPPER(W34)),6,1))&lt;=57,CODE(MID(TRIM(UPPER(W34)),7,1))&gt;=48,CODE(MID(TRIM(UPPER(W34)),7,1))&lt;=57,CODE(MID(TRIM(UPPER(W34)),8,1))&gt;=48,CODE(MID(TRIM(UPPER(W34)),8,1))&lt;=57,CODE(MID(TRIM(UPPER(W34)),9,1))&gt;=48,CODE(MID(TRIM(UPPER(W34)),9,1))&lt;=57),"N","Y"),IF($B34="Challan","",IF(W34&lt;&gt;"","◄ Set Row Type","")))</f>
      </c>
      <c r="Y34" s="23">
        <f>IF($B34="Entry",IF(LEN(W34)&lt;4,"",IF(UPPER(MID(W34,4,1))="P","Individual",IF(UPPER(MID(W34,4,1))="H","HUF",IF(UPPER(MID(W34,4,1))="C","Company",IF(UPPER(MID(W34,4,1))="F","Firm",IF(UPPER(MID(W34,4,1))="L","LLP",IF(UPPER(MID(W34,4,1))="T","Trust",IF(UPPER(MID(W34,4,1))="A","AOP","")))))))),IF($B34="Challan","",IF(W34&lt;&gt;"","◄ Set Row Type","")))</f>
      </c>
      <c r="Z34" s="28"/>
      <c r="AA34" s="29">
        <f>IF($B34&lt;&gt;"Entry","",IF(Z34="","",IF(X34="Y",SUMPRODUCT(('Rate Lookup'!$A$1:$A$37=Z34)*'Rate Lookup'!$D$1:$D$37),IF(OR(Y34="Individual",Y34="HUF"),SUMPRODUCT(('Rate Lookup'!$A$1:$A$37=Z34)*'Rate Lookup'!$B$1:$B$37),SUMPRODUCT(('Rate Lookup'!$A$1:$A$37=Z34)*'Rate Lookup'!$C$1:$C$37)))))</f>
      </c>
      <c r="AB34" s="30"/>
      <c r="AC34" s="31"/>
      <c r="AD34" s="27">
        <f>IF($B34&lt;&gt;"Entry","",ROUND(AC34*AA34/100,0))</f>
      </c>
      <c r="AE34" s="27">
        <f>IF($B34&lt;&gt;"Entry","",0)</f>
      </c>
      <c r="AF34" s="27">
        <f>IF($B34&lt;&gt;"Entry","",0)</f>
      </c>
      <c r="AG34" s="27">
        <f>IF($B34&lt;&gt;"Entry","",IF(OR(AD34=0,AB34="",AQ34="",AQ34&lt;=0),0,IF(AQ34&lt;=DATE(YEAR(AB34),MONTH(AB34)+1,7),0,ROUND(AD34*0.015*((YEAR(AQ34)-YEAR(AB34))*12+(MONTH(AQ34)-MONTH(AB34))+1),0))))</f>
      </c>
      <c r="AH34" s="27">
        <f>IF($B34&lt;&gt;"Entry","",0)</f>
      </c>
      <c r="AI34" s="28"/>
      <c r="AJ34" s="28"/>
      <c r="AK34" s="32"/>
      <c r="AL34" s="28"/>
      <c r="AM34" s="28"/>
      <c r="AN34" s="27">
        <f>IF($B34&lt;&gt;"Challan","",SUMIF('Q1 Data'!$D$4:$D$207,D34,'Q1 Data'!$AD$4:$AD$207)+SUMIF('Q1 Data'!$D$4:$D$207,D34,'Q1 Data'!$AG$4:$AG$207)+SUMIF('Q1 Data'!$D$4:$D$207,D34,'Q1 Data'!$AE$4:$AE$207)+SUMIF('Q2 Data'!$D$4:$D$207,D34,'Q2 Data'!$AD$4:$AD$207)+SUMIF('Q2 Data'!$D$4:$D$207,D34,'Q2 Data'!$AG$4:$AG$207)+SUMIF('Q2 Data'!$D$4:$D$207,D34,'Q2 Data'!$AE$4:$AE$207)+SUMIF('Q3 Data'!$D$4:$D$207,D34,'Q3 Data'!$AD$4:$AD$207)+SUMIF('Q3 Data'!$D$4:$D$207,D34,'Q3 Data'!$AG$4:$AG$207)+SUMIF('Q3 Data'!$D$4:$D$207,D34,'Q3 Data'!$AE$4:$AE$207)+SUMIF('Q4 Data'!$D$4:$D$207,D34,'Q4 Data'!$AD$4:$AD$207)+SUMIF('Q4 Data'!$D$4:$D$207,D34,'Q4 Data'!$AG$4:$AG$207)+SUMIF('Q4 Data'!$D$4:$D$207,D34,'Q4 Data'!$AE$4:$AE$207))</f>
      </c>
      <c r="AO34" s="27">
        <f>IF($B34&lt;&gt;"Challan","",P34-N34)</f>
      </c>
      <c r="AP34" s="27">
        <f>IF($B34&lt;&gt;"Challan","",MAX(0,AO34-AN34))</f>
      </c>
      <c r="AQ34" s="33">
        <f>IF($B34&lt;&gt;"Entry","",SUMPRODUCT(('Q1 Data'!$D$4:$D$207=D34)*('Q1 Data'!$B$4:$B$207="Challan")*'Q1 Data'!$F$4:$F$207)+SUMPRODUCT(('Q2 Data'!$D$4:$D$207=D34)*('Q2 Data'!$B$4:$B$207="Challan")*'Q2 Data'!$F$4:$F$207)+SUMPRODUCT(('Q3 Data'!$D$4:$D$207=D34)*('Q3 Data'!$B$4:$B$207="Challan")*'Q3 Data'!$F$4:$F$207)+SUMPRODUCT(('Q4 Data'!$D$4:$D$207=D34)*('Q4 Data'!$B$4:$B$207="Challan")*'Q4 Data'!$F$4:$F$207))</f>
      </c>
      <c r="AR34" s="34">
        <f>IF(OR($B34&lt;&gt;"Entry",Z34=""),FALSE,AND((SUMPRODUCT(('Q1 Data'!$D$4:$D$207=D34)*('Q1 Data'!$B$4:$B$207="Challan")*('Q1 Data'!$H$4:$H$207&lt;&gt;""))+SUMPRODUCT(('Q2 Data'!$D$4:$D$207=D34)*('Q2 Data'!$B$4:$B$207="Challan")*('Q2 Data'!$H$4:$H$207&lt;&gt;""))+SUMPRODUCT(('Q3 Data'!$D$4:$D$207=D34)*('Q3 Data'!$B$4:$B$207="Challan")*('Q3 Data'!$H$4:$H$207&lt;&gt;""))+SUMPRODUCT(('Q4 Data'!$D$4:$D$207=D34)*('Q4 Data'!$B$4:$B$207="Challan")*('Q4 Data'!$H$4:$H$207&lt;&gt;"")))&gt;0,(SUMPRODUCT(('Q1 Data'!$D$4:$D$207=D34)*('Q1 Data'!$B$4:$B$207="Challan")*('Q1 Data'!$H$4:$H$207=Z34))+SUMPRODUCT(('Q2 Data'!$D$4:$D$207=D34)*('Q2 Data'!$B$4:$B$207="Challan")*('Q2 Data'!$H$4:$H$207=Z34))+SUMPRODUCT(('Q3 Data'!$D$4:$D$207=D34)*('Q3 Data'!$B$4:$B$207="Challan")*('Q3 Data'!$H$4:$H$207=Z34))+SUMPRODUCT(('Q4 Data'!$D$4:$D$207=D34)*('Q4 Data'!$B$4:$B$207="Challan")*('Q4 Data'!$H$4:$H$207=Z34)))=0))</f>
      </c>
    </row>
    <row r="35" spans="1:44" x14ac:dyDescent="0.25">
      <c r="A35" s="20">
        <f>IF($B35="Entry",COUNTIF($B$4:$B35,"Entry"),"")</f>
      </c>
      <c r="B35" s="21"/>
      <c r="C35" s="22"/>
      <c r="D35" s="22"/>
      <c r="E35" s="23">
        <f>IF($B35&lt;&gt;"Challan","",IF(ROUND(AN35-AO35,2)&gt;0,"Over-applied",IF(ROUND(AN35-AO35,2)=0,"Fully Utilised","Unconsumed")))</f>
      </c>
      <c r="F35" s="24"/>
      <c r="G35" s="25"/>
      <c r="H35" s="25"/>
      <c r="I35" s="26"/>
      <c r="J35" s="26"/>
      <c r="K35" s="26"/>
      <c r="L35" s="26"/>
      <c r="M35" s="26"/>
      <c r="N35" s="26"/>
      <c r="O35" s="26"/>
      <c r="P35" s="27">
        <f>IF($B35&lt;&gt;"Challan","",I35+J35+K35+L35+M35+N35)</f>
      </c>
      <c r="Q35" s="25"/>
      <c r="R35" s="25"/>
      <c r="S35" s="25"/>
      <c r="T35" s="25"/>
      <c r="U35" s="25"/>
      <c r="V35" s="28"/>
      <c r="W35" s="28"/>
      <c r="X35" s="23">
        <f>IF($B35="Entry",IF(AND(LEN(TRIM(UPPER(W35)))=10,CODE(MID(TRIM(UPPER(W35)),1,1))&gt;=65,CODE(MID(TRIM(UPPER(W35)),1,1))&lt;=90,CODE(MID(TRIM(UPPER(W35)),2,1))&gt;=65,CODE(MID(TRIM(UPPER(W35)),2,1))&lt;=90,CODE(MID(TRIM(UPPER(W35)),3,1))&gt;=65,CODE(MID(TRIM(UPPER(W35)),3,1))&lt;=90,CODE(MID(TRIM(UPPER(W35)),4,1))&gt;=65,CODE(MID(TRIM(UPPER(W35)),4,1))&lt;=90,CODE(MID(TRIM(UPPER(W35)),5,1))&gt;=65,CODE(MID(TRIM(UPPER(W35)),5,1))&lt;=90,CODE(MID(TRIM(UPPER(W35)),10,1))&gt;=65,CODE(MID(TRIM(UPPER(W35)),10,1))&lt;=90,CODE(MID(TRIM(UPPER(W35)),6,1))&gt;=48,CODE(MID(TRIM(UPPER(W35)),6,1))&lt;=57,CODE(MID(TRIM(UPPER(W35)),7,1))&gt;=48,CODE(MID(TRIM(UPPER(W35)),7,1))&lt;=57,CODE(MID(TRIM(UPPER(W35)),8,1))&gt;=48,CODE(MID(TRIM(UPPER(W35)),8,1))&lt;=57,CODE(MID(TRIM(UPPER(W35)),9,1))&gt;=48,CODE(MID(TRIM(UPPER(W35)),9,1))&lt;=57),"N","Y"),IF($B35="Challan","",IF(W35&lt;&gt;"","◄ Set Row Type","")))</f>
      </c>
      <c r="Y35" s="23">
        <f>IF($B35="Entry",IF(LEN(W35)&lt;4,"",IF(UPPER(MID(W35,4,1))="P","Individual",IF(UPPER(MID(W35,4,1))="H","HUF",IF(UPPER(MID(W35,4,1))="C","Company",IF(UPPER(MID(W35,4,1))="F","Firm",IF(UPPER(MID(W35,4,1))="L","LLP",IF(UPPER(MID(W35,4,1))="T","Trust",IF(UPPER(MID(W35,4,1))="A","AOP","")))))))),IF($B35="Challan","",IF(W35&lt;&gt;"","◄ Set Row Type","")))</f>
      </c>
      <c r="Z35" s="28"/>
      <c r="AA35" s="29">
        <f>IF($B35&lt;&gt;"Entry","",IF(Z35="","",IF(X35="Y",SUMPRODUCT(('Rate Lookup'!$A$1:$A$37=Z35)*'Rate Lookup'!$D$1:$D$37),IF(OR(Y35="Individual",Y35="HUF"),SUMPRODUCT(('Rate Lookup'!$A$1:$A$37=Z35)*'Rate Lookup'!$B$1:$B$37),SUMPRODUCT(('Rate Lookup'!$A$1:$A$37=Z35)*'Rate Lookup'!$C$1:$C$37)))))</f>
      </c>
      <c r="AB35" s="30"/>
      <c r="AC35" s="31"/>
      <c r="AD35" s="27">
        <f>IF($B35&lt;&gt;"Entry","",ROUND(AC35*AA35/100,0))</f>
      </c>
      <c r="AE35" s="27">
        <f>IF($B35&lt;&gt;"Entry","",0)</f>
      </c>
      <c r="AF35" s="27">
        <f>IF($B35&lt;&gt;"Entry","",0)</f>
      </c>
      <c r="AG35" s="27">
        <f>IF($B35&lt;&gt;"Entry","",IF(OR(AD35=0,AB35="",AQ35="",AQ35&lt;=0),0,IF(AQ35&lt;=DATE(YEAR(AB35),MONTH(AB35)+1,7),0,ROUND(AD35*0.015*((YEAR(AQ35)-YEAR(AB35))*12+(MONTH(AQ35)-MONTH(AB35))+1),0))))</f>
      </c>
      <c r="AH35" s="27">
        <f>IF($B35&lt;&gt;"Entry","",0)</f>
      </c>
      <c r="AI35" s="28"/>
      <c r="AJ35" s="28"/>
      <c r="AK35" s="32"/>
      <c r="AL35" s="28"/>
      <c r="AM35" s="28"/>
      <c r="AN35" s="27">
        <f>IF($B35&lt;&gt;"Challan","",SUMIF('Q1 Data'!$D$4:$D$207,D35,'Q1 Data'!$AD$4:$AD$207)+SUMIF('Q1 Data'!$D$4:$D$207,D35,'Q1 Data'!$AG$4:$AG$207)+SUMIF('Q1 Data'!$D$4:$D$207,D35,'Q1 Data'!$AE$4:$AE$207)+SUMIF('Q2 Data'!$D$4:$D$207,D35,'Q2 Data'!$AD$4:$AD$207)+SUMIF('Q2 Data'!$D$4:$D$207,D35,'Q2 Data'!$AG$4:$AG$207)+SUMIF('Q2 Data'!$D$4:$D$207,D35,'Q2 Data'!$AE$4:$AE$207)+SUMIF('Q3 Data'!$D$4:$D$207,D35,'Q3 Data'!$AD$4:$AD$207)+SUMIF('Q3 Data'!$D$4:$D$207,D35,'Q3 Data'!$AG$4:$AG$207)+SUMIF('Q3 Data'!$D$4:$D$207,D35,'Q3 Data'!$AE$4:$AE$207)+SUMIF('Q4 Data'!$D$4:$D$207,D35,'Q4 Data'!$AD$4:$AD$207)+SUMIF('Q4 Data'!$D$4:$D$207,D35,'Q4 Data'!$AG$4:$AG$207)+SUMIF('Q4 Data'!$D$4:$D$207,D35,'Q4 Data'!$AE$4:$AE$207))</f>
      </c>
      <c r="AO35" s="27">
        <f>IF($B35&lt;&gt;"Challan","",P35-N35)</f>
      </c>
      <c r="AP35" s="27">
        <f>IF($B35&lt;&gt;"Challan","",MAX(0,AO35-AN35))</f>
      </c>
      <c r="AQ35" s="33">
        <f>IF($B35&lt;&gt;"Entry","",SUMPRODUCT(('Q1 Data'!$D$4:$D$207=D35)*('Q1 Data'!$B$4:$B$207="Challan")*'Q1 Data'!$F$4:$F$207)+SUMPRODUCT(('Q2 Data'!$D$4:$D$207=D35)*('Q2 Data'!$B$4:$B$207="Challan")*'Q2 Data'!$F$4:$F$207)+SUMPRODUCT(('Q3 Data'!$D$4:$D$207=D35)*('Q3 Data'!$B$4:$B$207="Challan")*'Q3 Data'!$F$4:$F$207)+SUMPRODUCT(('Q4 Data'!$D$4:$D$207=D35)*('Q4 Data'!$B$4:$B$207="Challan")*'Q4 Data'!$F$4:$F$207))</f>
      </c>
      <c r="AR35" s="34">
        <f>IF(OR($B35&lt;&gt;"Entry",Z35=""),FALSE,AND((SUMPRODUCT(('Q1 Data'!$D$4:$D$207=D35)*('Q1 Data'!$B$4:$B$207="Challan")*('Q1 Data'!$H$4:$H$207&lt;&gt;""))+SUMPRODUCT(('Q2 Data'!$D$4:$D$207=D35)*('Q2 Data'!$B$4:$B$207="Challan")*('Q2 Data'!$H$4:$H$207&lt;&gt;""))+SUMPRODUCT(('Q3 Data'!$D$4:$D$207=D35)*('Q3 Data'!$B$4:$B$207="Challan")*('Q3 Data'!$H$4:$H$207&lt;&gt;""))+SUMPRODUCT(('Q4 Data'!$D$4:$D$207=D35)*('Q4 Data'!$B$4:$B$207="Challan")*('Q4 Data'!$H$4:$H$207&lt;&gt;"")))&gt;0,(SUMPRODUCT(('Q1 Data'!$D$4:$D$207=D35)*('Q1 Data'!$B$4:$B$207="Challan")*('Q1 Data'!$H$4:$H$207=Z35))+SUMPRODUCT(('Q2 Data'!$D$4:$D$207=D35)*('Q2 Data'!$B$4:$B$207="Challan")*('Q2 Data'!$H$4:$H$207=Z35))+SUMPRODUCT(('Q3 Data'!$D$4:$D$207=D35)*('Q3 Data'!$B$4:$B$207="Challan")*('Q3 Data'!$H$4:$H$207=Z35))+SUMPRODUCT(('Q4 Data'!$D$4:$D$207=D35)*('Q4 Data'!$B$4:$B$207="Challan")*('Q4 Data'!$H$4:$H$207=Z35)))=0))</f>
      </c>
    </row>
    <row r="36" spans="1:44" x14ac:dyDescent="0.25">
      <c r="A36" s="20">
        <f>IF($B36="Entry",COUNTIF($B$4:$B36,"Entry"),"")</f>
      </c>
      <c r="B36" s="21"/>
      <c r="C36" s="22"/>
      <c r="D36" s="22"/>
      <c r="E36" s="23">
        <f>IF($B36&lt;&gt;"Challan","",IF(ROUND(AN36-AO36,2)&gt;0,"Over-applied",IF(ROUND(AN36-AO36,2)=0,"Fully Utilised","Unconsumed")))</f>
      </c>
      <c r="F36" s="24"/>
      <c r="G36" s="25"/>
      <c r="H36" s="25"/>
      <c r="I36" s="26"/>
      <c r="J36" s="26"/>
      <c r="K36" s="26"/>
      <c r="L36" s="26"/>
      <c r="M36" s="26"/>
      <c r="N36" s="26"/>
      <c r="O36" s="26"/>
      <c r="P36" s="27">
        <f>IF($B36&lt;&gt;"Challan","",I36+J36+K36+L36+M36+N36)</f>
      </c>
      <c r="Q36" s="25"/>
      <c r="R36" s="25"/>
      <c r="S36" s="25"/>
      <c r="T36" s="25"/>
      <c r="U36" s="25"/>
      <c r="V36" s="28"/>
      <c r="W36" s="28"/>
      <c r="X36" s="23">
        <f>IF($B36="Entry",IF(AND(LEN(TRIM(UPPER(W36)))=10,CODE(MID(TRIM(UPPER(W36)),1,1))&gt;=65,CODE(MID(TRIM(UPPER(W36)),1,1))&lt;=90,CODE(MID(TRIM(UPPER(W36)),2,1))&gt;=65,CODE(MID(TRIM(UPPER(W36)),2,1))&lt;=90,CODE(MID(TRIM(UPPER(W36)),3,1))&gt;=65,CODE(MID(TRIM(UPPER(W36)),3,1))&lt;=90,CODE(MID(TRIM(UPPER(W36)),4,1))&gt;=65,CODE(MID(TRIM(UPPER(W36)),4,1))&lt;=90,CODE(MID(TRIM(UPPER(W36)),5,1))&gt;=65,CODE(MID(TRIM(UPPER(W36)),5,1))&lt;=90,CODE(MID(TRIM(UPPER(W36)),10,1))&gt;=65,CODE(MID(TRIM(UPPER(W36)),10,1))&lt;=90,CODE(MID(TRIM(UPPER(W36)),6,1))&gt;=48,CODE(MID(TRIM(UPPER(W36)),6,1))&lt;=57,CODE(MID(TRIM(UPPER(W36)),7,1))&gt;=48,CODE(MID(TRIM(UPPER(W36)),7,1))&lt;=57,CODE(MID(TRIM(UPPER(W36)),8,1))&gt;=48,CODE(MID(TRIM(UPPER(W36)),8,1))&lt;=57,CODE(MID(TRIM(UPPER(W36)),9,1))&gt;=48,CODE(MID(TRIM(UPPER(W36)),9,1))&lt;=57),"N","Y"),IF($B36="Challan","",IF(W36&lt;&gt;"","◄ Set Row Type","")))</f>
      </c>
      <c r="Y36" s="23">
        <f>IF($B36="Entry",IF(LEN(W36)&lt;4,"",IF(UPPER(MID(W36,4,1))="P","Individual",IF(UPPER(MID(W36,4,1))="H","HUF",IF(UPPER(MID(W36,4,1))="C","Company",IF(UPPER(MID(W36,4,1))="F","Firm",IF(UPPER(MID(W36,4,1))="L","LLP",IF(UPPER(MID(W36,4,1))="T","Trust",IF(UPPER(MID(W36,4,1))="A","AOP","")))))))),IF($B36="Challan","",IF(W36&lt;&gt;"","◄ Set Row Type","")))</f>
      </c>
      <c r="Z36" s="28"/>
      <c r="AA36" s="29">
        <f>IF($B36&lt;&gt;"Entry","",IF(Z36="","",IF(X36="Y",SUMPRODUCT(('Rate Lookup'!$A$1:$A$37=Z36)*'Rate Lookup'!$D$1:$D$37),IF(OR(Y36="Individual",Y36="HUF"),SUMPRODUCT(('Rate Lookup'!$A$1:$A$37=Z36)*'Rate Lookup'!$B$1:$B$37),SUMPRODUCT(('Rate Lookup'!$A$1:$A$37=Z36)*'Rate Lookup'!$C$1:$C$37)))))</f>
      </c>
      <c r="AB36" s="30"/>
      <c r="AC36" s="31"/>
      <c r="AD36" s="27">
        <f>IF($B36&lt;&gt;"Entry","",ROUND(AC36*AA36/100,0))</f>
      </c>
      <c r="AE36" s="27">
        <f>IF($B36&lt;&gt;"Entry","",0)</f>
      </c>
      <c r="AF36" s="27">
        <f>IF($B36&lt;&gt;"Entry","",0)</f>
      </c>
      <c r="AG36" s="27">
        <f>IF($B36&lt;&gt;"Entry","",IF(OR(AD36=0,AB36="",AQ36="",AQ36&lt;=0),0,IF(AQ36&lt;=DATE(YEAR(AB36),MONTH(AB36)+1,7),0,ROUND(AD36*0.015*((YEAR(AQ36)-YEAR(AB36))*12+(MONTH(AQ36)-MONTH(AB36))+1),0))))</f>
      </c>
      <c r="AH36" s="27">
        <f>IF($B36&lt;&gt;"Entry","",0)</f>
      </c>
      <c r="AI36" s="28"/>
      <c r="AJ36" s="28"/>
      <c r="AK36" s="32"/>
      <c r="AL36" s="28"/>
      <c r="AM36" s="28"/>
      <c r="AN36" s="27">
        <f>IF($B36&lt;&gt;"Challan","",SUMIF('Q1 Data'!$D$4:$D$207,D36,'Q1 Data'!$AD$4:$AD$207)+SUMIF('Q1 Data'!$D$4:$D$207,D36,'Q1 Data'!$AG$4:$AG$207)+SUMIF('Q1 Data'!$D$4:$D$207,D36,'Q1 Data'!$AE$4:$AE$207)+SUMIF('Q2 Data'!$D$4:$D$207,D36,'Q2 Data'!$AD$4:$AD$207)+SUMIF('Q2 Data'!$D$4:$D$207,D36,'Q2 Data'!$AG$4:$AG$207)+SUMIF('Q2 Data'!$D$4:$D$207,D36,'Q2 Data'!$AE$4:$AE$207)+SUMIF('Q3 Data'!$D$4:$D$207,D36,'Q3 Data'!$AD$4:$AD$207)+SUMIF('Q3 Data'!$D$4:$D$207,D36,'Q3 Data'!$AG$4:$AG$207)+SUMIF('Q3 Data'!$D$4:$D$207,D36,'Q3 Data'!$AE$4:$AE$207)+SUMIF('Q4 Data'!$D$4:$D$207,D36,'Q4 Data'!$AD$4:$AD$207)+SUMIF('Q4 Data'!$D$4:$D$207,D36,'Q4 Data'!$AG$4:$AG$207)+SUMIF('Q4 Data'!$D$4:$D$207,D36,'Q4 Data'!$AE$4:$AE$207))</f>
      </c>
      <c r="AO36" s="27">
        <f>IF($B36&lt;&gt;"Challan","",P36-N36)</f>
      </c>
      <c r="AP36" s="27">
        <f>IF($B36&lt;&gt;"Challan","",MAX(0,AO36-AN36))</f>
      </c>
      <c r="AQ36" s="33">
        <f>IF($B36&lt;&gt;"Entry","",SUMPRODUCT(('Q1 Data'!$D$4:$D$207=D36)*('Q1 Data'!$B$4:$B$207="Challan")*'Q1 Data'!$F$4:$F$207)+SUMPRODUCT(('Q2 Data'!$D$4:$D$207=D36)*('Q2 Data'!$B$4:$B$207="Challan")*'Q2 Data'!$F$4:$F$207)+SUMPRODUCT(('Q3 Data'!$D$4:$D$207=D36)*('Q3 Data'!$B$4:$B$207="Challan")*'Q3 Data'!$F$4:$F$207)+SUMPRODUCT(('Q4 Data'!$D$4:$D$207=D36)*('Q4 Data'!$B$4:$B$207="Challan")*'Q4 Data'!$F$4:$F$207))</f>
      </c>
      <c r="AR36" s="34">
        <f>IF(OR($B36&lt;&gt;"Entry",Z36=""),FALSE,AND((SUMPRODUCT(('Q1 Data'!$D$4:$D$207=D36)*('Q1 Data'!$B$4:$B$207="Challan")*('Q1 Data'!$H$4:$H$207&lt;&gt;""))+SUMPRODUCT(('Q2 Data'!$D$4:$D$207=D36)*('Q2 Data'!$B$4:$B$207="Challan")*('Q2 Data'!$H$4:$H$207&lt;&gt;""))+SUMPRODUCT(('Q3 Data'!$D$4:$D$207=D36)*('Q3 Data'!$B$4:$B$207="Challan")*('Q3 Data'!$H$4:$H$207&lt;&gt;""))+SUMPRODUCT(('Q4 Data'!$D$4:$D$207=D36)*('Q4 Data'!$B$4:$B$207="Challan")*('Q4 Data'!$H$4:$H$207&lt;&gt;"")))&gt;0,(SUMPRODUCT(('Q1 Data'!$D$4:$D$207=D36)*('Q1 Data'!$B$4:$B$207="Challan")*('Q1 Data'!$H$4:$H$207=Z36))+SUMPRODUCT(('Q2 Data'!$D$4:$D$207=D36)*('Q2 Data'!$B$4:$B$207="Challan")*('Q2 Data'!$H$4:$H$207=Z36))+SUMPRODUCT(('Q3 Data'!$D$4:$D$207=D36)*('Q3 Data'!$B$4:$B$207="Challan")*('Q3 Data'!$H$4:$H$207=Z36))+SUMPRODUCT(('Q4 Data'!$D$4:$D$207=D36)*('Q4 Data'!$B$4:$B$207="Challan")*('Q4 Data'!$H$4:$H$207=Z36)))=0))</f>
      </c>
    </row>
    <row r="37" spans="1:44" x14ac:dyDescent="0.25">
      <c r="A37" s="20">
        <f>IF($B37="Entry",COUNTIF($B$4:$B37,"Entry"),"")</f>
      </c>
      <c r="B37" s="21"/>
      <c r="C37" s="22"/>
      <c r="D37" s="22"/>
      <c r="E37" s="23">
        <f>IF($B37&lt;&gt;"Challan","",IF(ROUND(AN37-AO37,2)&gt;0,"Over-applied",IF(ROUND(AN37-AO37,2)=0,"Fully Utilised","Unconsumed")))</f>
      </c>
      <c r="F37" s="24"/>
      <c r="G37" s="25"/>
      <c r="H37" s="25"/>
      <c r="I37" s="26"/>
      <c r="J37" s="26"/>
      <c r="K37" s="26"/>
      <c r="L37" s="26"/>
      <c r="M37" s="26"/>
      <c r="N37" s="26"/>
      <c r="O37" s="26"/>
      <c r="P37" s="27">
        <f>IF($B37&lt;&gt;"Challan","",I37+J37+K37+L37+M37+N37)</f>
      </c>
      <c r="Q37" s="25"/>
      <c r="R37" s="25"/>
      <c r="S37" s="25"/>
      <c r="T37" s="25"/>
      <c r="U37" s="25"/>
      <c r="V37" s="28"/>
      <c r="W37" s="28"/>
      <c r="X37" s="23">
        <f>IF($B37="Entry",IF(AND(LEN(TRIM(UPPER(W37)))=10,CODE(MID(TRIM(UPPER(W37)),1,1))&gt;=65,CODE(MID(TRIM(UPPER(W37)),1,1))&lt;=90,CODE(MID(TRIM(UPPER(W37)),2,1))&gt;=65,CODE(MID(TRIM(UPPER(W37)),2,1))&lt;=90,CODE(MID(TRIM(UPPER(W37)),3,1))&gt;=65,CODE(MID(TRIM(UPPER(W37)),3,1))&lt;=90,CODE(MID(TRIM(UPPER(W37)),4,1))&gt;=65,CODE(MID(TRIM(UPPER(W37)),4,1))&lt;=90,CODE(MID(TRIM(UPPER(W37)),5,1))&gt;=65,CODE(MID(TRIM(UPPER(W37)),5,1))&lt;=90,CODE(MID(TRIM(UPPER(W37)),10,1))&gt;=65,CODE(MID(TRIM(UPPER(W37)),10,1))&lt;=90,CODE(MID(TRIM(UPPER(W37)),6,1))&gt;=48,CODE(MID(TRIM(UPPER(W37)),6,1))&lt;=57,CODE(MID(TRIM(UPPER(W37)),7,1))&gt;=48,CODE(MID(TRIM(UPPER(W37)),7,1))&lt;=57,CODE(MID(TRIM(UPPER(W37)),8,1))&gt;=48,CODE(MID(TRIM(UPPER(W37)),8,1))&lt;=57,CODE(MID(TRIM(UPPER(W37)),9,1))&gt;=48,CODE(MID(TRIM(UPPER(W37)),9,1))&lt;=57),"N","Y"),IF($B37="Challan","",IF(W37&lt;&gt;"","◄ Set Row Type","")))</f>
      </c>
      <c r="Y37" s="23">
        <f>IF($B37="Entry",IF(LEN(W37)&lt;4,"",IF(UPPER(MID(W37,4,1))="P","Individual",IF(UPPER(MID(W37,4,1))="H","HUF",IF(UPPER(MID(W37,4,1))="C","Company",IF(UPPER(MID(W37,4,1))="F","Firm",IF(UPPER(MID(W37,4,1))="L","LLP",IF(UPPER(MID(W37,4,1))="T","Trust",IF(UPPER(MID(W37,4,1))="A","AOP","")))))))),IF($B37="Challan","",IF(W37&lt;&gt;"","◄ Set Row Type","")))</f>
      </c>
      <c r="Z37" s="28"/>
      <c r="AA37" s="29">
        <f>IF($B37&lt;&gt;"Entry","",IF(Z37="","",IF(X37="Y",SUMPRODUCT(('Rate Lookup'!$A$1:$A$37=Z37)*'Rate Lookup'!$D$1:$D$37),IF(OR(Y37="Individual",Y37="HUF"),SUMPRODUCT(('Rate Lookup'!$A$1:$A$37=Z37)*'Rate Lookup'!$B$1:$B$37),SUMPRODUCT(('Rate Lookup'!$A$1:$A$37=Z37)*'Rate Lookup'!$C$1:$C$37)))))</f>
      </c>
      <c r="AB37" s="30"/>
      <c r="AC37" s="31"/>
      <c r="AD37" s="27">
        <f>IF($B37&lt;&gt;"Entry","",ROUND(AC37*AA37/100,0))</f>
      </c>
      <c r="AE37" s="27">
        <f>IF($B37&lt;&gt;"Entry","",0)</f>
      </c>
      <c r="AF37" s="27">
        <f>IF($B37&lt;&gt;"Entry","",0)</f>
      </c>
      <c r="AG37" s="27">
        <f>IF($B37&lt;&gt;"Entry","",IF(OR(AD37=0,AB37="",AQ37="",AQ37&lt;=0),0,IF(AQ37&lt;=DATE(YEAR(AB37),MONTH(AB37)+1,7),0,ROUND(AD37*0.015*((YEAR(AQ37)-YEAR(AB37))*12+(MONTH(AQ37)-MONTH(AB37))+1),0))))</f>
      </c>
      <c r="AH37" s="27">
        <f>IF($B37&lt;&gt;"Entry","",0)</f>
      </c>
      <c r="AI37" s="28"/>
      <c r="AJ37" s="28"/>
      <c r="AK37" s="32"/>
      <c r="AL37" s="28"/>
      <c r="AM37" s="28"/>
      <c r="AN37" s="27">
        <f>IF($B37&lt;&gt;"Challan","",SUMIF('Q1 Data'!$D$4:$D$207,D37,'Q1 Data'!$AD$4:$AD$207)+SUMIF('Q1 Data'!$D$4:$D$207,D37,'Q1 Data'!$AG$4:$AG$207)+SUMIF('Q1 Data'!$D$4:$D$207,D37,'Q1 Data'!$AE$4:$AE$207)+SUMIF('Q2 Data'!$D$4:$D$207,D37,'Q2 Data'!$AD$4:$AD$207)+SUMIF('Q2 Data'!$D$4:$D$207,D37,'Q2 Data'!$AG$4:$AG$207)+SUMIF('Q2 Data'!$D$4:$D$207,D37,'Q2 Data'!$AE$4:$AE$207)+SUMIF('Q3 Data'!$D$4:$D$207,D37,'Q3 Data'!$AD$4:$AD$207)+SUMIF('Q3 Data'!$D$4:$D$207,D37,'Q3 Data'!$AG$4:$AG$207)+SUMIF('Q3 Data'!$D$4:$D$207,D37,'Q3 Data'!$AE$4:$AE$207)+SUMIF('Q4 Data'!$D$4:$D$207,D37,'Q4 Data'!$AD$4:$AD$207)+SUMIF('Q4 Data'!$D$4:$D$207,D37,'Q4 Data'!$AG$4:$AG$207)+SUMIF('Q4 Data'!$D$4:$D$207,D37,'Q4 Data'!$AE$4:$AE$207))</f>
      </c>
      <c r="AO37" s="27">
        <f>IF($B37&lt;&gt;"Challan","",P37-N37)</f>
      </c>
      <c r="AP37" s="27">
        <f>IF($B37&lt;&gt;"Challan","",MAX(0,AO37-AN37))</f>
      </c>
      <c r="AQ37" s="33">
        <f>IF($B37&lt;&gt;"Entry","",SUMPRODUCT(('Q1 Data'!$D$4:$D$207=D37)*('Q1 Data'!$B$4:$B$207="Challan")*'Q1 Data'!$F$4:$F$207)+SUMPRODUCT(('Q2 Data'!$D$4:$D$207=D37)*('Q2 Data'!$B$4:$B$207="Challan")*'Q2 Data'!$F$4:$F$207)+SUMPRODUCT(('Q3 Data'!$D$4:$D$207=D37)*('Q3 Data'!$B$4:$B$207="Challan")*'Q3 Data'!$F$4:$F$207)+SUMPRODUCT(('Q4 Data'!$D$4:$D$207=D37)*('Q4 Data'!$B$4:$B$207="Challan")*'Q4 Data'!$F$4:$F$207))</f>
      </c>
      <c r="AR37" s="34">
        <f>IF(OR($B37&lt;&gt;"Entry",Z37=""),FALSE,AND((SUMPRODUCT(('Q1 Data'!$D$4:$D$207=D37)*('Q1 Data'!$B$4:$B$207="Challan")*('Q1 Data'!$H$4:$H$207&lt;&gt;""))+SUMPRODUCT(('Q2 Data'!$D$4:$D$207=D37)*('Q2 Data'!$B$4:$B$207="Challan")*('Q2 Data'!$H$4:$H$207&lt;&gt;""))+SUMPRODUCT(('Q3 Data'!$D$4:$D$207=D37)*('Q3 Data'!$B$4:$B$207="Challan")*('Q3 Data'!$H$4:$H$207&lt;&gt;""))+SUMPRODUCT(('Q4 Data'!$D$4:$D$207=D37)*('Q4 Data'!$B$4:$B$207="Challan")*('Q4 Data'!$H$4:$H$207&lt;&gt;"")))&gt;0,(SUMPRODUCT(('Q1 Data'!$D$4:$D$207=D37)*('Q1 Data'!$B$4:$B$207="Challan")*('Q1 Data'!$H$4:$H$207=Z37))+SUMPRODUCT(('Q2 Data'!$D$4:$D$207=D37)*('Q2 Data'!$B$4:$B$207="Challan")*('Q2 Data'!$H$4:$H$207=Z37))+SUMPRODUCT(('Q3 Data'!$D$4:$D$207=D37)*('Q3 Data'!$B$4:$B$207="Challan")*('Q3 Data'!$H$4:$H$207=Z37))+SUMPRODUCT(('Q4 Data'!$D$4:$D$207=D37)*('Q4 Data'!$B$4:$B$207="Challan")*('Q4 Data'!$H$4:$H$207=Z37)))=0))</f>
      </c>
    </row>
    <row r="38" spans="1:44" x14ac:dyDescent="0.25">
      <c r="A38" s="20">
        <f>IF($B38="Entry",COUNTIF($B$4:$B38,"Entry"),"")</f>
      </c>
      <c r="B38" s="21"/>
      <c r="C38" s="22"/>
      <c r="D38" s="22"/>
      <c r="E38" s="23">
        <f>IF($B38&lt;&gt;"Challan","",IF(ROUND(AN38-AO38,2)&gt;0,"Over-applied",IF(ROUND(AN38-AO38,2)=0,"Fully Utilised","Unconsumed")))</f>
      </c>
      <c r="F38" s="24"/>
      <c r="G38" s="25"/>
      <c r="H38" s="25"/>
      <c r="I38" s="26"/>
      <c r="J38" s="26"/>
      <c r="K38" s="26"/>
      <c r="L38" s="26"/>
      <c r="M38" s="26"/>
      <c r="N38" s="26"/>
      <c r="O38" s="26"/>
      <c r="P38" s="27">
        <f>IF($B38&lt;&gt;"Challan","",I38+J38+K38+L38+M38+N38)</f>
      </c>
      <c r="Q38" s="25"/>
      <c r="R38" s="25"/>
      <c r="S38" s="25"/>
      <c r="T38" s="25"/>
      <c r="U38" s="25"/>
      <c r="V38" s="28"/>
      <c r="W38" s="28"/>
      <c r="X38" s="23">
        <f>IF($B38="Entry",IF(AND(LEN(TRIM(UPPER(W38)))=10,CODE(MID(TRIM(UPPER(W38)),1,1))&gt;=65,CODE(MID(TRIM(UPPER(W38)),1,1))&lt;=90,CODE(MID(TRIM(UPPER(W38)),2,1))&gt;=65,CODE(MID(TRIM(UPPER(W38)),2,1))&lt;=90,CODE(MID(TRIM(UPPER(W38)),3,1))&gt;=65,CODE(MID(TRIM(UPPER(W38)),3,1))&lt;=90,CODE(MID(TRIM(UPPER(W38)),4,1))&gt;=65,CODE(MID(TRIM(UPPER(W38)),4,1))&lt;=90,CODE(MID(TRIM(UPPER(W38)),5,1))&gt;=65,CODE(MID(TRIM(UPPER(W38)),5,1))&lt;=90,CODE(MID(TRIM(UPPER(W38)),10,1))&gt;=65,CODE(MID(TRIM(UPPER(W38)),10,1))&lt;=90,CODE(MID(TRIM(UPPER(W38)),6,1))&gt;=48,CODE(MID(TRIM(UPPER(W38)),6,1))&lt;=57,CODE(MID(TRIM(UPPER(W38)),7,1))&gt;=48,CODE(MID(TRIM(UPPER(W38)),7,1))&lt;=57,CODE(MID(TRIM(UPPER(W38)),8,1))&gt;=48,CODE(MID(TRIM(UPPER(W38)),8,1))&lt;=57,CODE(MID(TRIM(UPPER(W38)),9,1))&gt;=48,CODE(MID(TRIM(UPPER(W38)),9,1))&lt;=57),"N","Y"),IF($B38="Challan","",IF(W38&lt;&gt;"","◄ Set Row Type","")))</f>
      </c>
      <c r="Y38" s="23">
        <f>IF($B38="Entry",IF(LEN(W38)&lt;4,"",IF(UPPER(MID(W38,4,1))="P","Individual",IF(UPPER(MID(W38,4,1))="H","HUF",IF(UPPER(MID(W38,4,1))="C","Company",IF(UPPER(MID(W38,4,1))="F","Firm",IF(UPPER(MID(W38,4,1))="L","LLP",IF(UPPER(MID(W38,4,1))="T","Trust",IF(UPPER(MID(W38,4,1))="A","AOP","")))))))),IF($B38="Challan","",IF(W38&lt;&gt;"","◄ Set Row Type","")))</f>
      </c>
      <c r="Z38" s="28"/>
      <c r="AA38" s="29">
        <f>IF($B38&lt;&gt;"Entry","",IF(Z38="","",IF(X38="Y",SUMPRODUCT(('Rate Lookup'!$A$1:$A$37=Z38)*'Rate Lookup'!$D$1:$D$37),IF(OR(Y38="Individual",Y38="HUF"),SUMPRODUCT(('Rate Lookup'!$A$1:$A$37=Z38)*'Rate Lookup'!$B$1:$B$37),SUMPRODUCT(('Rate Lookup'!$A$1:$A$37=Z38)*'Rate Lookup'!$C$1:$C$37)))))</f>
      </c>
      <c r="AB38" s="30"/>
      <c r="AC38" s="31"/>
      <c r="AD38" s="27">
        <f>IF($B38&lt;&gt;"Entry","",ROUND(AC38*AA38/100,0))</f>
      </c>
      <c r="AE38" s="27">
        <f>IF($B38&lt;&gt;"Entry","",0)</f>
      </c>
      <c r="AF38" s="27">
        <f>IF($B38&lt;&gt;"Entry","",0)</f>
      </c>
      <c r="AG38" s="27">
        <f>IF($B38&lt;&gt;"Entry","",IF(OR(AD38=0,AB38="",AQ38="",AQ38&lt;=0),0,IF(AQ38&lt;=DATE(YEAR(AB38),MONTH(AB38)+1,7),0,ROUND(AD38*0.015*((YEAR(AQ38)-YEAR(AB38))*12+(MONTH(AQ38)-MONTH(AB38))+1),0))))</f>
      </c>
      <c r="AH38" s="27">
        <f>IF($B38&lt;&gt;"Entry","",0)</f>
      </c>
      <c r="AI38" s="28"/>
      <c r="AJ38" s="28"/>
      <c r="AK38" s="32"/>
      <c r="AL38" s="28"/>
      <c r="AM38" s="28"/>
      <c r="AN38" s="27">
        <f>IF($B38&lt;&gt;"Challan","",SUMIF('Q1 Data'!$D$4:$D$207,D38,'Q1 Data'!$AD$4:$AD$207)+SUMIF('Q1 Data'!$D$4:$D$207,D38,'Q1 Data'!$AG$4:$AG$207)+SUMIF('Q1 Data'!$D$4:$D$207,D38,'Q1 Data'!$AE$4:$AE$207)+SUMIF('Q2 Data'!$D$4:$D$207,D38,'Q2 Data'!$AD$4:$AD$207)+SUMIF('Q2 Data'!$D$4:$D$207,D38,'Q2 Data'!$AG$4:$AG$207)+SUMIF('Q2 Data'!$D$4:$D$207,D38,'Q2 Data'!$AE$4:$AE$207)+SUMIF('Q3 Data'!$D$4:$D$207,D38,'Q3 Data'!$AD$4:$AD$207)+SUMIF('Q3 Data'!$D$4:$D$207,D38,'Q3 Data'!$AG$4:$AG$207)+SUMIF('Q3 Data'!$D$4:$D$207,D38,'Q3 Data'!$AE$4:$AE$207)+SUMIF('Q4 Data'!$D$4:$D$207,D38,'Q4 Data'!$AD$4:$AD$207)+SUMIF('Q4 Data'!$D$4:$D$207,D38,'Q4 Data'!$AG$4:$AG$207)+SUMIF('Q4 Data'!$D$4:$D$207,D38,'Q4 Data'!$AE$4:$AE$207))</f>
      </c>
      <c r="AO38" s="27">
        <f>IF($B38&lt;&gt;"Challan","",P38-N38)</f>
      </c>
      <c r="AP38" s="27">
        <f>IF($B38&lt;&gt;"Challan","",MAX(0,AO38-AN38))</f>
      </c>
      <c r="AQ38" s="33">
        <f>IF($B38&lt;&gt;"Entry","",SUMPRODUCT(('Q1 Data'!$D$4:$D$207=D38)*('Q1 Data'!$B$4:$B$207="Challan")*'Q1 Data'!$F$4:$F$207)+SUMPRODUCT(('Q2 Data'!$D$4:$D$207=D38)*('Q2 Data'!$B$4:$B$207="Challan")*'Q2 Data'!$F$4:$F$207)+SUMPRODUCT(('Q3 Data'!$D$4:$D$207=D38)*('Q3 Data'!$B$4:$B$207="Challan")*'Q3 Data'!$F$4:$F$207)+SUMPRODUCT(('Q4 Data'!$D$4:$D$207=D38)*('Q4 Data'!$B$4:$B$207="Challan")*'Q4 Data'!$F$4:$F$207))</f>
      </c>
      <c r="AR38" s="34">
        <f>IF(OR($B38&lt;&gt;"Entry",Z38=""),FALSE,AND((SUMPRODUCT(('Q1 Data'!$D$4:$D$207=D38)*('Q1 Data'!$B$4:$B$207="Challan")*('Q1 Data'!$H$4:$H$207&lt;&gt;""))+SUMPRODUCT(('Q2 Data'!$D$4:$D$207=D38)*('Q2 Data'!$B$4:$B$207="Challan")*('Q2 Data'!$H$4:$H$207&lt;&gt;""))+SUMPRODUCT(('Q3 Data'!$D$4:$D$207=D38)*('Q3 Data'!$B$4:$B$207="Challan")*('Q3 Data'!$H$4:$H$207&lt;&gt;""))+SUMPRODUCT(('Q4 Data'!$D$4:$D$207=D38)*('Q4 Data'!$B$4:$B$207="Challan")*('Q4 Data'!$H$4:$H$207&lt;&gt;"")))&gt;0,(SUMPRODUCT(('Q1 Data'!$D$4:$D$207=D38)*('Q1 Data'!$B$4:$B$207="Challan")*('Q1 Data'!$H$4:$H$207=Z38))+SUMPRODUCT(('Q2 Data'!$D$4:$D$207=D38)*('Q2 Data'!$B$4:$B$207="Challan")*('Q2 Data'!$H$4:$H$207=Z38))+SUMPRODUCT(('Q3 Data'!$D$4:$D$207=D38)*('Q3 Data'!$B$4:$B$207="Challan")*('Q3 Data'!$H$4:$H$207=Z38))+SUMPRODUCT(('Q4 Data'!$D$4:$D$207=D38)*('Q4 Data'!$B$4:$B$207="Challan")*('Q4 Data'!$H$4:$H$207=Z38)))=0))</f>
      </c>
    </row>
    <row r="39" spans="1:44" x14ac:dyDescent="0.25">
      <c r="A39" s="20">
        <f>IF($B39="Entry",COUNTIF($B$4:$B39,"Entry"),"")</f>
      </c>
      <c r="B39" s="21"/>
      <c r="C39" s="22"/>
      <c r="D39" s="22"/>
      <c r="E39" s="23">
        <f>IF($B39&lt;&gt;"Challan","",IF(ROUND(AN39-AO39,2)&gt;0,"Over-applied",IF(ROUND(AN39-AO39,2)=0,"Fully Utilised","Unconsumed")))</f>
      </c>
      <c r="F39" s="24"/>
      <c r="G39" s="25"/>
      <c r="H39" s="25"/>
      <c r="I39" s="26"/>
      <c r="J39" s="26"/>
      <c r="K39" s="26"/>
      <c r="L39" s="26"/>
      <c r="M39" s="26"/>
      <c r="N39" s="26"/>
      <c r="O39" s="26"/>
      <c r="P39" s="27">
        <f>IF($B39&lt;&gt;"Challan","",I39+J39+K39+L39+M39+N39)</f>
      </c>
      <c r="Q39" s="25"/>
      <c r="R39" s="25"/>
      <c r="S39" s="25"/>
      <c r="T39" s="25"/>
      <c r="U39" s="25"/>
      <c r="V39" s="28"/>
      <c r="W39" s="28"/>
      <c r="X39" s="23">
        <f>IF($B39="Entry",IF(AND(LEN(TRIM(UPPER(W39)))=10,CODE(MID(TRIM(UPPER(W39)),1,1))&gt;=65,CODE(MID(TRIM(UPPER(W39)),1,1))&lt;=90,CODE(MID(TRIM(UPPER(W39)),2,1))&gt;=65,CODE(MID(TRIM(UPPER(W39)),2,1))&lt;=90,CODE(MID(TRIM(UPPER(W39)),3,1))&gt;=65,CODE(MID(TRIM(UPPER(W39)),3,1))&lt;=90,CODE(MID(TRIM(UPPER(W39)),4,1))&gt;=65,CODE(MID(TRIM(UPPER(W39)),4,1))&lt;=90,CODE(MID(TRIM(UPPER(W39)),5,1))&gt;=65,CODE(MID(TRIM(UPPER(W39)),5,1))&lt;=90,CODE(MID(TRIM(UPPER(W39)),10,1))&gt;=65,CODE(MID(TRIM(UPPER(W39)),10,1))&lt;=90,CODE(MID(TRIM(UPPER(W39)),6,1))&gt;=48,CODE(MID(TRIM(UPPER(W39)),6,1))&lt;=57,CODE(MID(TRIM(UPPER(W39)),7,1))&gt;=48,CODE(MID(TRIM(UPPER(W39)),7,1))&lt;=57,CODE(MID(TRIM(UPPER(W39)),8,1))&gt;=48,CODE(MID(TRIM(UPPER(W39)),8,1))&lt;=57,CODE(MID(TRIM(UPPER(W39)),9,1))&gt;=48,CODE(MID(TRIM(UPPER(W39)),9,1))&lt;=57),"N","Y"),IF($B39="Challan","",IF(W39&lt;&gt;"","◄ Set Row Type","")))</f>
      </c>
      <c r="Y39" s="23">
        <f>IF($B39="Entry",IF(LEN(W39)&lt;4,"",IF(UPPER(MID(W39,4,1))="P","Individual",IF(UPPER(MID(W39,4,1))="H","HUF",IF(UPPER(MID(W39,4,1))="C","Company",IF(UPPER(MID(W39,4,1))="F","Firm",IF(UPPER(MID(W39,4,1))="L","LLP",IF(UPPER(MID(W39,4,1))="T","Trust",IF(UPPER(MID(W39,4,1))="A","AOP","")))))))),IF($B39="Challan","",IF(W39&lt;&gt;"","◄ Set Row Type","")))</f>
      </c>
      <c r="Z39" s="28"/>
      <c r="AA39" s="29">
        <f>IF($B39&lt;&gt;"Entry","",IF(Z39="","",IF(X39="Y",SUMPRODUCT(('Rate Lookup'!$A$1:$A$37=Z39)*'Rate Lookup'!$D$1:$D$37),IF(OR(Y39="Individual",Y39="HUF"),SUMPRODUCT(('Rate Lookup'!$A$1:$A$37=Z39)*'Rate Lookup'!$B$1:$B$37),SUMPRODUCT(('Rate Lookup'!$A$1:$A$37=Z39)*'Rate Lookup'!$C$1:$C$37)))))</f>
      </c>
      <c r="AB39" s="30"/>
      <c r="AC39" s="31"/>
      <c r="AD39" s="27">
        <f>IF($B39&lt;&gt;"Entry","",ROUND(AC39*AA39/100,0))</f>
      </c>
      <c r="AE39" s="27">
        <f>IF($B39&lt;&gt;"Entry","",0)</f>
      </c>
      <c r="AF39" s="27">
        <f>IF($B39&lt;&gt;"Entry","",0)</f>
      </c>
      <c r="AG39" s="27">
        <f>IF($B39&lt;&gt;"Entry","",IF(OR(AD39=0,AB39="",AQ39="",AQ39&lt;=0),0,IF(AQ39&lt;=DATE(YEAR(AB39),MONTH(AB39)+1,7),0,ROUND(AD39*0.015*((YEAR(AQ39)-YEAR(AB39))*12+(MONTH(AQ39)-MONTH(AB39))+1),0))))</f>
      </c>
      <c r="AH39" s="27">
        <f>IF($B39&lt;&gt;"Entry","",0)</f>
      </c>
      <c r="AI39" s="28"/>
      <c r="AJ39" s="28"/>
      <c r="AK39" s="32"/>
      <c r="AL39" s="28"/>
      <c r="AM39" s="28"/>
      <c r="AN39" s="27">
        <f>IF($B39&lt;&gt;"Challan","",SUMIF('Q1 Data'!$D$4:$D$207,D39,'Q1 Data'!$AD$4:$AD$207)+SUMIF('Q1 Data'!$D$4:$D$207,D39,'Q1 Data'!$AG$4:$AG$207)+SUMIF('Q1 Data'!$D$4:$D$207,D39,'Q1 Data'!$AE$4:$AE$207)+SUMIF('Q2 Data'!$D$4:$D$207,D39,'Q2 Data'!$AD$4:$AD$207)+SUMIF('Q2 Data'!$D$4:$D$207,D39,'Q2 Data'!$AG$4:$AG$207)+SUMIF('Q2 Data'!$D$4:$D$207,D39,'Q2 Data'!$AE$4:$AE$207)+SUMIF('Q3 Data'!$D$4:$D$207,D39,'Q3 Data'!$AD$4:$AD$207)+SUMIF('Q3 Data'!$D$4:$D$207,D39,'Q3 Data'!$AG$4:$AG$207)+SUMIF('Q3 Data'!$D$4:$D$207,D39,'Q3 Data'!$AE$4:$AE$207)+SUMIF('Q4 Data'!$D$4:$D$207,D39,'Q4 Data'!$AD$4:$AD$207)+SUMIF('Q4 Data'!$D$4:$D$207,D39,'Q4 Data'!$AG$4:$AG$207)+SUMIF('Q4 Data'!$D$4:$D$207,D39,'Q4 Data'!$AE$4:$AE$207))</f>
      </c>
      <c r="AO39" s="27">
        <f>IF($B39&lt;&gt;"Challan","",P39-N39)</f>
      </c>
      <c r="AP39" s="27">
        <f>IF($B39&lt;&gt;"Challan","",MAX(0,AO39-AN39))</f>
      </c>
      <c r="AQ39" s="33">
        <f>IF($B39&lt;&gt;"Entry","",SUMPRODUCT(('Q1 Data'!$D$4:$D$207=D39)*('Q1 Data'!$B$4:$B$207="Challan")*'Q1 Data'!$F$4:$F$207)+SUMPRODUCT(('Q2 Data'!$D$4:$D$207=D39)*('Q2 Data'!$B$4:$B$207="Challan")*'Q2 Data'!$F$4:$F$207)+SUMPRODUCT(('Q3 Data'!$D$4:$D$207=D39)*('Q3 Data'!$B$4:$B$207="Challan")*'Q3 Data'!$F$4:$F$207)+SUMPRODUCT(('Q4 Data'!$D$4:$D$207=D39)*('Q4 Data'!$B$4:$B$207="Challan")*'Q4 Data'!$F$4:$F$207))</f>
      </c>
      <c r="AR39" s="34">
        <f>IF(OR($B39&lt;&gt;"Entry",Z39=""),FALSE,AND((SUMPRODUCT(('Q1 Data'!$D$4:$D$207=D39)*('Q1 Data'!$B$4:$B$207="Challan")*('Q1 Data'!$H$4:$H$207&lt;&gt;""))+SUMPRODUCT(('Q2 Data'!$D$4:$D$207=D39)*('Q2 Data'!$B$4:$B$207="Challan")*('Q2 Data'!$H$4:$H$207&lt;&gt;""))+SUMPRODUCT(('Q3 Data'!$D$4:$D$207=D39)*('Q3 Data'!$B$4:$B$207="Challan")*('Q3 Data'!$H$4:$H$207&lt;&gt;""))+SUMPRODUCT(('Q4 Data'!$D$4:$D$207=D39)*('Q4 Data'!$B$4:$B$207="Challan")*('Q4 Data'!$H$4:$H$207&lt;&gt;"")))&gt;0,(SUMPRODUCT(('Q1 Data'!$D$4:$D$207=D39)*('Q1 Data'!$B$4:$B$207="Challan")*('Q1 Data'!$H$4:$H$207=Z39))+SUMPRODUCT(('Q2 Data'!$D$4:$D$207=D39)*('Q2 Data'!$B$4:$B$207="Challan")*('Q2 Data'!$H$4:$H$207=Z39))+SUMPRODUCT(('Q3 Data'!$D$4:$D$207=D39)*('Q3 Data'!$B$4:$B$207="Challan")*('Q3 Data'!$H$4:$H$207=Z39))+SUMPRODUCT(('Q4 Data'!$D$4:$D$207=D39)*('Q4 Data'!$B$4:$B$207="Challan")*('Q4 Data'!$H$4:$H$207=Z39)))=0))</f>
      </c>
    </row>
    <row r="40" spans="1:44" x14ac:dyDescent="0.25">
      <c r="A40" s="20">
        <f>IF($B40="Entry",COUNTIF($B$4:$B40,"Entry"),"")</f>
      </c>
      <c r="B40" s="21"/>
      <c r="C40" s="22"/>
      <c r="D40" s="22"/>
      <c r="E40" s="23">
        <f>IF($B40&lt;&gt;"Challan","",IF(ROUND(AN40-AO40,2)&gt;0,"Over-applied",IF(ROUND(AN40-AO40,2)=0,"Fully Utilised","Unconsumed")))</f>
      </c>
      <c r="F40" s="24"/>
      <c r="G40" s="25"/>
      <c r="H40" s="25"/>
      <c r="I40" s="26"/>
      <c r="J40" s="26"/>
      <c r="K40" s="26"/>
      <c r="L40" s="26"/>
      <c r="M40" s="26"/>
      <c r="N40" s="26"/>
      <c r="O40" s="26"/>
      <c r="P40" s="27">
        <f>IF($B40&lt;&gt;"Challan","",I40+J40+K40+L40+M40+N40)</f>
      </c>
      <c r="Q40" s="25"/>
      <c r="R40" s="25"/>
      <c r="S40" s="25"/>
      <c r="T40" s="25"/>
      <c r="U40" s="25"/>
      <c r="V40" s="28"/>
      <c r="W40" s="28"/>
      <c r="X40" s="23">
        <f>IF($B40="Entry",IF(AND(LEN(TRIM(UPPER(W40)))=10,CODE(MID(TRIM(UPPER(W40)),1,1))&gt;=65,CODE(MID(TRIM(UPPER(W40)),1,1))&lt;=90,CODE(MID(TRIM(UPPER(W40)),2,1))&gt;=65,CODE(MID(TRIM(UPPER(W40)),2,1))&lt;=90,CODE(MID(TRIM(UPPER(W40)),3,1))&gt;=65,CODE(MID(TRIM(UPPER(W40)),3,1))&lt;=90,CODE(MID(TRIM(UPPER(W40)),4,1))&gt;=65,CODE(MID(TRIM(UPPER(W40)),4,1))&lt;=90,CODE(MID(TRIM(UPPER(W40)),5,1))&gt;=65,CODE(MID(TRIM(UPPER(W40)),5,1))&lt;=90,CODE(MID(TRIM(UPPER(W40)),10,1))&gt;=65,CODE(MID(TRIM(UPPER(W40)),10,1))&lt;=90,CODE(MID(TRIM(UPPER(W40)),6,1))&gt;=48,CODE(MID(TRIM(UPPER(W40)),6,1))&lt;=57,CODE(MID(TRIM(UPPER(W40)),7,1))&gt;=48,CODE(MID(TRIM(UPPER(W40)),7,1))&lt;=57,CODE(MID(TRIM(UPPER(W40)),8,1))&gt;=48,CODE(MID(TRIM(UPPER(W40)),8,1))&lt;=57,CODE(MID(TRIM(UPPER(W40)),9,1))&gt;=48,CODE(MID(TRIM(UPPER(W40)),9,1))&lt;=57),"N","Y"),IF($B40="Challan","",IF(W40&lt;&gt;"","◄ Set Row Type","")))</f>
      </c>
      <c r="Y40" s="23">
        <f>IF($B40="Entry",IF(LEN(W40)&lt;4,"",IF(UPPER(MID(W40,4,1))="P","Individual",IF(UPPER(MID(W40,4,1))="H","HUF",IF(UPPER(MID(W40,4,1))="C","Company",IF(UPPER(MID(W40,4,1))="F","Firm",IF(UPPER(MID(W40,4,1))="L","LLP",IF(UPPER(MID(W40,4,1))="T","Trust",IF(UPPER(MID(W40,4,1))="A","AOP","")))))))),IF($B40="Challan","",IF(W40&lt;&gt;"","◄ Set Row Type","")))</f>
      </c>
      <c r="Z40" s="28"/>
      <c r="AA40" s="29">
        <f>IF($B40&lt;&gt;"Entry","",IF(Z40="","",IF(X40="Y",SUMPRODUCT(('Rate Lookup'!$A$1:$A$37=Z40)*'Rate Lookup'!$D$1:$D$37),IF(OR(Y40="Individual",Y40="HUF"),SUMPRODUCT(('Rate Lookup'!$A$1:$A$37=Z40)*'Rate Lookup'!$B$1:$B$37),SUMPRODUCT(('Rate Lookup'!$A$1:$A$37=Z40)*'Rate Lookup'!$C$1:$C$37)))))</f>
      </c>
      <c r="AB40" s="30"/>
      <c r="AC40" s="31"/>
      <c r="AD40" s="27">
        <f>IF($B40&lt;&gt;"Entry","",ROUND(AC40*AA40/100,0))</f>
      </c>
      <c r="AE40" s="27">
        <f>IF($B40&lt;&gt;"Entry","",0)</f>
      </c>
      <c r="AF40" s="27">
        <f>IF($B40&lt;&gt;"Entry","",0)</f>
      </c>
      <c r="AG40" s="27">
        <f>IF($B40&lt;&gt;"Entry","",IF(OR(AD40=0,AB40="",AQ40="",AQ40&lt;=0),0,IF(AQ40&lt;=DATE(YEAR(AB40),MONTH(AB40)+1,7),0,ROUND(AD40*0.015*((YEAR(AQ40)-YEAR(AB40))*12+(MONTH(AQ40)-MONTH(AB40))+1),0))))</f>
      </c>
      <c r="AH40" s="27">
        <f>IF($B40&lt;&gt;"Entry","",0)</f>
      </c>
      <c r="AI40" s="28"/>
      <c r="AJ40" s="28"/>
      <c r="AK40" s="32"/>
      <c r="AL40" s="28"/>
      <c r="AM40" s="28"/>
      <c r="AN40" s="27">
        <f>IF($B40&lt;&gt;"Challan","",SUMIF('Q1 Data'!$D$4:$D$207,D40,'Q1 Data'!$AD$4:$AD$207)+SUMIF('Q1 Data'!$D$4:$D$207,D40,'Q1 Data'!$AG$4:$AG$207)+SUMIF('Q1 Data'!$D$4:$D$207,D40,'Q1 Data'!$AE$4:$AE$207)+SUMIF('Q2 Data'!$D$4:$D$207,D40,'Q2 Data'!$AD$4:$AD$207)+SUMIF('Q2 Data'!$D$4:$D$207,D40,'Q2 Data'!$AG$4:$AG$207)+SUMIF('Q2 Data'!$D$4:$D$207,D40,'Q2 Data'!$AE$4:$AE$207)+SUMIF('Q3 Data'!$D$4:$D$207,D40,'Q3 Data'!$AD$4:$AD$207)+SUMIF('Q3 Data'!$D$4:$D$207,D40,'Q3 Data'!$AG$4:$AG$207)+SUMIF('Q3 Data'!$D$4:$D$207,D40,'Q3 Data'!$AE$4:$AE$207)+SUMIF('Q4 Data'!$D$4:$D$207,D40,'Q4 Data'!$AD$4:$AD$207)+SUMIF('Q4 Data'!$D$4:$D$207,D40,'Q4 Data'!$AG$4:$AG$207)+SUMIF('Q4 Data'!$D$4:$D$207,D40,'Q4 Data'!$AE$4:$AE$207))</f>
      </c>
      <c r="AO40" s="27">
        <f>IF($B40&lt;&gt;"Challan","",P40-N40)</f>
      </c>
      <c r="AP40" s="27">
        <f>IF($B40&lt;&gt;"Challan","",MAX(0,AO40-AN40))</f>
      </c>
      <c r="AQ40" s="33">
        <f>IF($B40&lt;&gt;"Entry","",SUMPRODUCT(('Q1 Data'!$D$4:$D$207=D40)*('Q1 Data'!$B$4:$B$207="Challan")*'Q1 Data'!$F$4:$F$207)+SUMPRODUCT(('Q2 Data'!$D$4:$D$207=D40)*('Q2 Data'!$B$4:$B$207="Challan")*'Q2 Data'!$F$4:$F$207)+SUMPRODUCT(('Q3 Data'!$D$4:$D$207=D40)*('Q3 Data'!$B$4:$B$207="Challan")*'Q3 Data'!$F$4:$F$207)+SUMPRODUCT(('Q4 Data'!$D$4:$D$207=D40)*('Q4 Data'!$B$4:$B$207="Challan")*'Q4 Data'!$F$4:$F$207))</f>
      </c>
      <c r="AR40" s="34">
        <f>IF(OR($B40&lt;&gt;"Entry",Z40=""),FALSE,AND((SUMPRODUCT(('Q1 Data'!$D$4:$D$207=D40)*('Q1 Data'!$B$4:$B$207="Challan")*('Q1 Data'!$H$4:$H$207&lt;&gt;""))+SUMPRODUCT(('Q2 Data'!$D$4:$D$207=D40)*('Q2 Data'!$B$4:$B$207="Challan")*('Q2 Data'!$H$4:$H$207&lt;&gt;""))+SUMPRODUCT(('Q3 Data'!$D$4:$D$207=D40)*('Q3 Data'!$B$4:$B$207="Challan")*('Q3 Data'!$H$4:$H$207&lt;&gt;""))+SUMPRODUCT(('Q4 Data'!$D$4:$D$207=D40)*('Q4 Data'!$B$4:$B$207="Challan")*('Q4 Data'!$H$4:$H$207&lt;&gt;"")))&gt;0,(SUMPRODUCT(('Q1 Data'!$D$4:$D$207=D40)*('Q1 Data'!$B$4:$B$207="Challan")*('Q1 Data'!$H$4:$H$207=Z40))+SUMPRODUCT(('Q2 Data'!$D$4:$D$207=D40)*('Q2 Data'!$B$4:$B$207="Challan")*('Q2 Data'!$H$4:$H$207=Z40))+SUMPRODUCT(('Q3 Data'!$D$4:$D$207=D40)*('Q3 Data'!$B$4:$B$207="Challan")*('Q3 Data'!$H$4:$H$207=Z40))+SUMPRODUCT(('Q4 Data'!$D$4:$D$207=D40)*('Q4 Data'!$B$4:$B$207="Challan")*('Q4 Data'!$H$4:$H$207=Z40)))=0))</f>
      </c>
    </row>
    <row r="41" spans="1:44" x14ac:dyDescent="0.25">
      <c r="A41" s="20">
        <f>IF($B41="Entry",COUNTIF($B$4:$B41,"Entry"),"")</f>
      </c>
      <c r="B41" s="21"/>
      <c r="C41" s="22"/>
      <c r="D41" s="22"/>
      <c r="E41" s="23">
        <f>IF($B41&lt;&gt;"Challan","",IF(ROUND(AN41-AO41,2)&gt;0,"Over-applied",IF(ROUND(AN41-AO41,2)=0,"Fully Utilised","Unconsumed")))</f>
      </c>
      <c r="F41" s="24"/>
      <c r="G41" s="25"/>
      <c r="H41" s="25"/>
      <c r="I41" s="26"/>
      <c r="J41" s="26"/>
      <c r="K41" s="26"/>
      <c r="L41" s="26"/>
      <c r="M41" s="26"/>
      <c r="N41" s="26"/>
      <c r="O41" s="26"/>
      <c r="P41" s="27">
        <f>IF($B41&lt;&gt;"Challan","",I41+J41+K41+L41+M41+N41)</f>
      </c>
      <c r="Q41" s="25"/>
      <c r="R41" s="25"/>
      <c r="S41" s="25"/>
      <c r="T41" s="25"/>
      <c r="U41" s="25"/>
      <c r="V41" s="28"/>
      <c r="W41" s="28"/>
      <c r="X41" s="23">
        <f>IF($B41="Entry",IF(AND(LEN(TRIM(UPPER(W41)))=10,CODE(MID(TRIM(UPPER(W41)),1,1))&gt;=65,CODE(MID(TRIM(UPPER(W41)),1,1))&lt;=90,CODE(MID(TRIM(UPPER(W41)),2,1))&gt;=65,CODE(MID(TRIM(UPPER(W41)),2,1))&lt;=90,CODE(MID(TRIM(UPPER(W41)),3,1))&gt;=65,CODE(MID(TRIM(UPPER(W41)),3,1))&lt;=90,CODE(MID(TRIM(UPPER(W41)),4,1))&gt;=65,CODE(MID(TRIM(UPPER(W41)),4,1))&lt;=90,CODE(MID(TRIM(UPPER(W41)),5,1))&gt;=65,CODE(MID(TRIM(UPPER(W41)),5,1))&lt;=90,CODE(MID(TRIM(UPPER(W41)),10,1))&gt;=65,CODE(MID(TRIM(UPPER(W41)),10,1))&lt;=90,CODE(MID(TRIM(UPPER(W41)),6,1))&gt;=48,CODE(MID(TRIM(UPPER(W41)),6,1))&lt;=57,CODE(MID(TRIM(UPPER(W41)),7,1))&gt;=48,CODE(MID(TRIM(UPPER(W41)),7,1))&lt;=57,CODE(MID(TRIM(UPPER(W41)),8,1))&gt;=48,CODE(MID(TRIM(UPPER(W41)),8,1))&lt;=57,CODE(MID(TRIM(UPPER(W41)),9,1))&gt;=48,CODE(MID(TRIM(UPPER(W41)),9,1))&lt;=57),"N","Y"),IF($B41="Challan","",IF(W41&lt;&gt;"","◄ Set Row Type","")))</f>
      </c>
      <c r="Y41" s="23">
        <f>IF($B41="Entry",IF(LEN(W41)&lt;4,"",IF(UPPER(MID(W41,4,1))="P","Individual",IF(UPPER(MID(W41,4,1))="H","HUF",IF(UPPER(MID(W41,4,1))="C","Company",IF(UPPER(MID(W41,4,1))="F","Firm",IF(UPPER(MID(W41,4,1))="L","LLP",IF(UPPER(MID(W41,4,1))="T","Trust",IF(UPPER(MID(W41,4,1))="A","AOP","")))))))),IF($B41="Challan","",IF(W41&lt;&gt;"","◄ Set Row Type","")))</f>
      </c>
      <c r="Z41" s="28"/>
      <c r="AA41" s="29">
        <f>IF($B41&lt;&gt;"Entry","",IF(Z41="","",IF(X41="Y",SUMPRODUCT(('Rate Lookup'!$A$1:$A$37=Z41)*'Rate Lookup'!$D$1:$D$37),IF(OR(Y41="Individual",Y41="HUF"),SUMPRODUCT(('Rate Lookup'!$A$1:$A$37=Z41)*'Rate Lookup'!$B$1:$B$37),SUMPRODUCT(('Rate Lookup'!$A$1:$A$37=Z41)*'Rate Lookup'!$C$1:$C$37)))))</f>
      </c>
      <c r="AB41" s="30"/>
      <c r="AC41" s="31"/>
      <c r="AD41" s="27">
        <f>IF($B41&lt;&gt;"Entry","",ROUND(AC41*AA41/100,0))</f>
      </c>
      <c r="AE41" s="27">
        <f>IF($B41&lt;&gt;"Entry","",0)</f>
      </c>
      <c r="AF41" s="27">
        <f>IF($B41&lt;&gt;"Entry","",0)</f>
      </c>
      <c r="AG41" s="27">
        <f>IF($B41&lt;&gt;"Entry","",IF(OR(AD41=0,AB41="",AQ41="",AQ41&lt;=0),0,IF(AQ41&lt;=DATE(YEAR(AB41),MONTH(AB41)+1,7),0,ROUND(AD41*0.015*((YEAR(AQ41)-YEAR(AB41))*12+(MONTH(AQ41)-MONTH(AB41))+1),0))))</f>
      </c>
      <c r="AH41" s="27">
        <f>IF($B41&lt;&gt;"Entry","",0)</f>
      </c>
      <c r="AI41" s="28"/>
      <c r="AJ41" s="28"/>
      <c r="AK41" s="32"/>
      <c r="AL41" s="28"/>
      <c r="AM41" s="28"/>
      <c r="AN41" s="27">
        <f>IF($B41&lt;&gt;"Challan","",SUMIF('Q1 Data'!$D$4:$D$207,D41,'Q1 Data'!$AD$4:$AD$207)+SUMIF('Q1 Data'!$D$4:$D$207,D41,'Q1 Data'!$AG$4:$AG$207)+SUMIF('Q1 Data'!$D$4:$D$207,D41,'Q1 Data'!$AE$4:$AE$207)+SUMIF('Q2 Data'!$D$4:$D$207,D41,'Q2 Data'!$AD$4:$AD$207)+SUMIF('Q2 Data'!$D$4:$D$207,D41,'Q2 Data'!$AG$4:$AG$207)+SUMIF('Q2 Data'!$D$4:$D$207,D41,'Q2 Data'!$AE$4:$AE$207)+SUMIF('Q3 Data'!$D$4:$D$207,D41,'Q3 Data'!$AD$4:$AD$207)+SUMIF('Q3 Data'!$D$4:$D$207,D41,'Q3 Data'!$AG$4:$AG$207)+SUMIF('Q3 Data'!$D$4:$D$207,D41,'Q3 Data'!$AE$4:$AE$207)+SUMIF('Q4 Data'!$D$4:$D$207,D41,'Q4 Data'!$AD$4:$AD$207)+SUMIF('Q4 Data'!$D$4:$D$207,D41,'Q4 Data'!$AG$4:$AG$207)+SUMIF('Q4 Data'!$D$4:$D$207,D41,'Q4 Data'!$AE$4:$AE$207))</f>
      </c>
      <c r="AO41" s="27">
        <f>IF($B41&lt;&gt;"Challan","",P41-N41)</f>
      </c>
      <c r="AP41" s="27">
        <f>IF($B41&lt;&gt;"Challan","",MAX(0,AO41-AN41))</f>
      </c>
      <c r="AQ41" s="33">
        <f>IF($B41&lt;&gt;"Entry","",SUMPRODUCT(('Q1 Data'!$D$4:$D$207=D41)*('Q1 Data'!$B$4:$B$207="Challan")*'Q1 Data'!$F$4:$F$207)+SUMPRODUCT(('Q2 Data'!$D$4:$D$207=D41)*('Q2 Data'!$B$4:$B$207="Challan")*'Q2 Data'!$F$4:$F$207)+SUMPRODUCT(('Q3 Data'!$D$4:$D$207=D41)*('Q3 Data'!$B$4:$B$207="Challan")*'Q3 Data'!$F$4:$F$207)+SUMPRODUCT(('Q4 Data'!$D$4:$D$207=D41)*('Q4 Data'!$B$4:$B$207="Challan")*'Q4 Data'!$F$4:$F$207))</f>
      </c>
      <c r="AR41" s="34">
        <f>IF(OR($B41&lt;&gt;"Entry",Z41=""),FALSE,AND((SUMPRODUCT(('Q1 Data'!$D$4:$D$207=D41)*('Q1 Data'!$B$4:$B$207="Challan")*('Q1 Data'!$H$4:$H$207&lt;&gt;""))+SUMPRODUCT(('Q2 Data'!$D$4:$D$207=D41)*('Q2 Data'!$B$4:$B$207="Challan")*('Q2 Data'!$H$4:$H$207&lt;&gt;""))+SUMPRODUCT(('Q3 Data'!$D$4:$D$207=D41)*('Q3 Data'!$B$4:$B$207="Challan")*('Q3 Data'!$H$4:$H$207&lt;&gt;""))+SUMPRODUCT(('Q4 Data'!$D$4:$D$207=D41)*('Q4 Data'!$B$4:$B$207="Challan")*('Q4 Data'!$H$4:$H$207&lt;&gt;"")))&gt;0,(SUMPRODUCT(('Q1 Data'!$D$4:$D$207=D41)*('Q1 Data'!$B$4:$B$207="Challan")*('Q1 Data'!$H$4:$H$207=Z41))+SUMPRODUCT(('Q2 Data'!$D$4:$D$207=D41)*('Q2 Data'!$B$4:$B$207="Challan")*('Q2 Data'!$H$4:$H$207=Z41))+SUMPRODUCT(('Q3 Data'!$D$4:$D$207=D41)*('Q3 Data'!$B$4:$B$207="Challan")*('Q3 Data'!$H$4:$H$207=Z41))+SUMPRODUCT(('Q4 Data'!$D$4:$D$207=D41)*('Q4 Data'!$B$4:$B$207="Challan")*('Q4 Data'!$H$4:$H$207=Z41)))=0))</f>
      </c>
    </row>
    <row r="42" spans="1:44" x14ac:dyDescent="0.25">
      <c r="A42" s="20">
        <f>IF($B42="Entry",COUNTIF($B$4:$B42,"Entry"),"")</f>
      </c>
      <c r="B42" s="21"/>
      <c r="C42" s="22"/>
      <c r="D42" s="22"/>
      <c r="E42" s="23">
        <f>IF($B42&lt;&gt;"Challan","",IF(ROUND(AN42-AO42,2)&gt;0,"Over-applied",IF(ROUND(AN42-AO42,2)=0,"Fully Utilised","Unconsumed")))</f>
      </c>
      <c r="F42" s="24"/>
      <c r="G42" s="25"/>
      <c r="H42" s="25"/>
      <c r="I42" s="26"/>
      <c r="J42" s="26"/>
      <c r="K42" s="26"/>
      <c r="L42" s="26"/>
      <c r="M42" s="26"/>
      <c r="N42" s="26"/>
      <c r="O42" s="26"/>
      <c r="P42" s="27">
        <f>IF($B42&lt;&gt;"Challan","",I42+J42+K42+L42+M42+N42)</f>
      </c>
      <c r="Q42" s="25"/>
      <c r="R42" s="25"/>
      <c r="S42" s="25"/>
      <c r="T42" s="25"/>
      <c r="U42" s="25"/>
      <c r="V42" s="28"/>
      <c r="W42" s="28"/>
      <c r="X42" s="23">
        <f>IF($B42="Entry",IF(AND(LEN(TRIM(UPPER(W42)))=10,CODE(MID(TRIM(UPPER(W42)),1,1))&gt;=65,CODE(MID(TRIM(UPPER(W42)),1,1))&lt;=90,CODE(MID(TRIM(UPPER(W42)),2,1))&gt;=65,CODE(MID(TRIM(UPPER(W42)),2,1))&lt;=90,CODE(MID(TRIM(UPPER(W42)),3,1))&gt;=65,CODE(MID(TRIM(UPPER(W42)),3,1))&lt;=90,CODE(MID(TRIM(UPPER(W42)),4,1))&gt;=65,CODE(MID(TRIM(UPPER(W42)),4,1))&lt;=90,CODE(MID(TRIM(UPPER(W42)),5,1))&gt;=65,CODE(MID(TRIM(UPPER(W42)),5,1))&lt;=90,CODE(MID(TRIM(UPPER(W42)),10,1))&gt;=65,CODE(MID(TRIM(UPPER(W42)),10,1))&lt;=90,CODE(MID(TRIM(UPPER(W42)),6,1))&gt;=48,CODE(MID(TRIM(UPPER(W42)),6,1))&lt;=57,CODE(MID(TRIM(UPPER(W42)),7,1))&gt;=48,CODE(MID(TRIM(UPPER(W42)),7,1))&lt;=57,CODE(MID(TRIM(UPPER(W42)),8,1))&gt;=48,CODE(MID(TRIM(UPPER(W42)),8,1))&lt;=57,CODE(MID(TRIM(UPPER(W42)),9,1))&gt;=48,CODE(MID(TRIM(UPPER(W42)),9,1))&lt;=57),"N","Y"),IF($B42="Challan","",IF(W42&lt;&gt;"","◄ Set Row Type","")))</f>
      </c>
      <c r="Y42" s="23">
        <f>IF($B42="Entry",IF(LEN(W42)&lt;4,"",IF(UPPER(MID(W42,4,1))="P","Individual",IF(UPPER(MID(W42,4,1))="H","HUF",IF(UPPER(MID(W42,4,1))="C","Company",IF(UPPER(MID(W42,4,1))="F","Firm",IF(UPPER(MID(W42,4,1))="L","LLP",IF(UPPER(MID(W42,4,1))="T","Trust",IF(UPPER(MID(W42,4,1))="A","AOP","")))))))),IF($B42="Challan","",IF(W42&lt;&gt;"","◄ Set Row Type","")))</f>
      </c>
      <c r="Z42" s="28"/>
      <c r="AA42" s="29">
        <f>IF($B42&lt;&gt;"Entry","",IF(Z42="","",IF(X42="Y",SUMPRODUCT(('Rate Lookup'!$A$1:$A$37=Z42)*'Rate Lookup'!$D$1:$D$37),IF(OR(Y42="Individual",Y42="HUF"),SUMPRODUCT(('Rate Lookup'!$A$1:$A$37=Z42)*'Rate Lookup'!$B$1:$B$37),SUMPRODUCT(('Rate Lookup'!$A$1:$A$37=Z42)*'Rate Lookup'!$C$1:$C$37)))))</f>
      </c>
      <c r="AB42" s="30"/>
      <c r="AC42" s="31"/>
      <c r="AD42" s="27">
        <f>IF($B42&lt;&gt;"Entry","",ROUND(AC42*AA42/100,0))</f>
      </c>
      <c r="AE42" s="27">
        <f>IF($B42&lt;&gt;"Entry","",0)</f>
      </c>
      <c r="AF42" s="27">
        <f>IF($B42&lt;&gt;"Entry","",0)</f>
      </c>
      <c r="AG42" s="27">
        <f>IF($B42&lt;&gt;"Entry","",IF(OR(AD42=0,AB42="",AQ42="",AQ42&lt;=0),0,IF(AQ42&lt;=DATE(YEAR(AB42),MONTH(AB42)+1,7),0,ROUND(AD42*0.015*((YEAR(AQ42)-YEAR(AB42))*12+(MONTH(AQ42)-MONTH(AB42))+1),0))))</f>
      </c>
      <c r="AH42" s="27">
        <f>IF($B42&lt;&gt;"Entry","",0)</f>
      </c>
      <c r="AI42" s="28"/>
      <c r="AJ42" s="28"/>
      <c r="AK42" s="32"/>
      <c r="AL42" s="28"/>
      <c r="AM42" s="28"/>
      <c r="AN42" s="27">
        <f>IF($B42&lt;&gt;"Challan","",SUMIF('Q1 Data'!$D$4:$D$207,D42,'Q1 Data'!$AD$4:$AD$207)+SUMIF('Q1 Data'!$D$4:$D$207,D42,'Q1 Data'!$AG$4:$AG$207)+SUMIF('Q1 Data'!$D$4:$D$207,D42,'Q1 Data'!$AE$4:$AE$207)+SUMIF('Q2 Data'!$D$4:$D$207,D42,'Q2 Data'!$AD$4:$AD$207)+SUMIF('Q2 Data'!$D$4:$D$207,D42,'Q2 Data'!$AG$4:$AG$207)+SUMIF('Q2 Data'!$D$4:$D$207,D42,'Q2 Data'!$AE$4:$AE$207)+SUMIF('Q3 Data'!$D$4:$D$207,D42,'Q3 Data'!$AD$4:$AD$207)+SUMIF('Q3 Data'!$D$4:$D$207,D42,'Q3 Data'!$AG$4:$AG$207)+SUMIF('Q3 Data'!$D$4:$D$207,D42,'Q3 Data'!$AE$4:$AE$207)+SUMIF('Q4 Data'!$D$4:$D$207,D42,'Q4 Data'!$AD$4:$AD$207)+SUMIF('Q4 Data'!$D$4:$D$207,D42,'Q4 Data'!$AG$4:$AG$207)+SUMIF('Q4 Data'!$D$4:$D$207,D42,'Q4 Data'!$AE$4:$AE$207))</f>
      </c>
      <c r="AO42" s="27">
        <f>IF($B42&lt;&gt;"Challan","",P42-N42)</f>
      </c>
      <c r="AP42" s="27">
        <f>IF($B42&lt;&gt;"Challan","",MAX(0,AO42-AN42))</f>
      </c>
      <c r="AQ42" s="33">
        <f>IF($B42&lt;&gt;"Entry","",SUMPRODUCT(('Q1 Data'!$D$4:$D$207=D42)*('Q1 Data'!$B$4:$B$207="Challan")*'Q1 Data'!$F$4:$F$207)+SUMPRODUCT(('Q2 Data'!$D$4:$D$207=D42)*('Q2 Data'!$B$4:$B$207="Challan")*'Q2 Data'!$F$4:$F$207)+SUMPRODUCT(('Q3 Data'!$D$4:$D$207=D42)*('Q3 Data'!$B$4:$B$207="Challan")*'Q3 Data'!$F$4:$F$207)+SUMPRODUCT(('Q4 Data'!$D$4:$D$207=D42)*('Q4 Data'!$B$4:$B$207="Challan")*'Q4 Data'!$F$4:$F$207))</f>
      </c>
      <c r="AR42" s="34">
        <f>IF(OR($B42&lt;&gt;"Entry",Z42=""),FALSE,AND((SUMPRODUCT(('Q1 Data'!$D$4:$D$207=D42)*('Q1 Data'!$B$4:$B$207="Challan")*('Q1 Data'!$H$4:$H$207&lt;&gt;""))+SUMPRODUCT(('Q2 Data'!$D$4:$D$207=D42)*('Q2 Data'!$B$4:$B$207="Challan")*('Q2 Data'!$H$4:$H$207&lt;&gt;""))+SUMPRODUCT(('Q3 Data'!$D$4:$D$207=D42)*('Q3 Data'!$B$4:$B$207="Challan")*('Q3 Data'!$H$4:$H$207&lt;&gt;""))+SUMPRODUCT(('Q4 Data'!$D$4:$D$207=D42)*('Q4 Data'!$B$4:$B$207="Challan")*('Q4 Data'!$H$4:$H$207&lt;&gt;"")))&gt;0,(SUMPRODUCT(('Q1 Data'!$D$4:$D$207=D42)*('Q1 Data'!$B$4:$B$207="Challan")*('Q1 Data'!$H$4:$H$207=Z42))+SUMPRODUCT(('Q2 Data'!$D$4:$D$207=D42)*('Q2 Data'!$B$4:$B$207="Challan")*('Q2 Data'!$H$4:$H$207=Z42))+SUMPRODUCT(('Q3 Data'!$D$4:$D$207=D42)*('Q3 Data'!$B$4:$B$207="Challan")*('Q3 Data'!$H$4:$H$207=Z42))+SUMPRODUCT(('Q4 Data'!$D$4:$D$207=D42)*('Q4 Data'!$B$4:$B$207="Challan")*('Q4 Data'!$H$4:$H$207=Z42)))=0))</f>
      </c>
    </row>
    <row r="43" spans="1:44" x14ac:dyDescent="0.25">
      <c r="A43" s="20">
        <f>IF($B43="Entry",COUNTIF($B$4:$B43,"Entry"),"")</f>
      </c>
      <c r="B43" s="21"/>
      <c r="C43" s="22"/>
      <c r="D43" s="22"/>
      <c r="E43" s="23">
        <f>IF($B43&lt;&gt;"Challan","",IF(ROUND(AN43-AO43,2)&gt;0,"Over-applied",IF(ROUND(AN43-AO43,2)=0,"Fully Utilised","Unconsumed")))</f>
      </c>
      <c r="F43" s="24"/>
      <c r="G43" s="25"/>
      <c r="H43" s="25"/>
      <c r="I43" s="26"/>
      <c r="J43" s="26"/>
      <c r="K43" s="26"/>
      <c r="L43" s="26"/>
      <c r="M43" s="26"/>
      <c r="N43" s="26"/>
      <c r="O43" s="26"/>
      <c r="P43" s="27">
        <f>IF($B43&lt;&gt;"Challan","",I43+J43+K43+L43+M43+N43)</f>
      </c>
      <c r="Q43" s="25"/>
      <c r="R43" s="25"/>
      <c r="S43" s="25"/>
      <c r="T43" s="25"/>
      <c r="U43" s="25"/>
      <c r="V43" s="28"/>
      <c r="W43" s="28"/>
      <c r="X43" s="23">
        <f>IF($B43="Entry",IF(AND(LEN(TRIM(UPPER(W43)))=10,CODE(MID(TRIM(UPPER(W43)),1,1))&gt;=65,CODE(MID(TRIM(UPPER(W43)),1,1))&lt;=90,CODE(MID(TRIM(UPPER(W43)),2,1))&gt;=65,CODE(MID(TRIM(UPPER(W43)),2,1))&lt;=90,CODE(MID(TRIM(UPPER(W43)),3,1))&gt;=65,CODE(MID(TRIM(UPPER(W43)),3,1))&lt;=90,CODE(MID(TRIM(UPPER(W43)),4,1))&gt;=65,CODE(MID(TRIM(UPPER(W43)),4,1))&lt;=90,CODE(MID(TRIM(UPPER(W43)),5,1))&gt;=65,CODE(MID(TRIM(UPPER(W43)),5,1))&lt;=90,CODE(MID(TRIM(UPPER(W43)),10,1))&gt;=65,CODE(MID(TRIM(UPPER(W43)),10,1))&lt;=90,CODE(MID(TRIM(UPPER(W43)),6,1))&gt;=48,CODE(MID(TRIM(UPPER(W43)),6,1))&lt;=57,CODE(MID(TRIM(UPPER(W43)),7,1))&gt;=48,CODE(MID(TRIM(UPPER(W43)),7,1))&lt;=57,CODE(MID(TRIM(UPPER(W43)),8,1))&gt;=48,CODE(MID(TRIM(UPPER(W43)),8,1))&lt;=57,CODE(MID(TRIM(UPPER(W43)),9,1))&gt;=48,CODE(MID(TRIM(UPPER(W43)),9,1))&lt;=57),"N","Y"),IF($B43="Challan","",IF(W43&lt;&gt;"","◄ Set Row Type","")))</f>
      </c>
      <c r="Y43" s="23">
        <f>IF($B43="Entry",IF(LEN(W43)&lt;4,"",IF(UPPER(MID(W43,4,1))="P","Individual",IF(UPPER(MID(W43,4,1))="H","HUF",IF(UPPER(MID(W43,4,1))="C","Company",IF(UPPER(MID(W43,4,1))="F","Firm",IF(UPPER(MID(W43,4,1))="L","LLP",IF(UPPER(MID(W43,4,1))="T","Trust",IF(UPPER(MID(W43,4,1))="A","AOP","")))))))),IF($B43="Challan","",IF(W43&lt;&gt;"","◄ Set Row Type","")))</f>
      </c>
      <c r="Z43" s="28"/>
      <c r="AA43" s="29">
        <f>IF($B43&lt;&gt;"Entry","",IF(Z43="","",IF(X43="Y",SUMPRODUCT(('Rate Lookup'!$A$1:$A$37=Z43)*'Rate Lookup'!$D$1:$D$37),IF(OR(Y43="Individual",Y43="HUF"),SUMPRODUCT(('Rate Lookup'!$A$1:$A$37=Z43)*'Rate Lookup'!$B$1:$B$37),SUMPRODUCT(('Rate Lookup'!$A$1:$A$37=Z43)*'Rate Lookup'!$C$1:$C$37)))))</f>
      </c>
      <c r="AB43" s="30"/>
      <c r="AC43" s="31"/>
      <c r="AD43" s="27">
        <f>IF($B43&lt;&gt;"Entry","",ROUND(AC43*AA43/100,0))</f>
      </c>
      <c r="AE43" s="27">
        <f>IF($B43&lt;&gt;"Entry","",0)</f>
      </c>
      <c r="AF43" s="27">
        <f>IF($B43&lt;&gt;"Entry","",0)</f>
      </c>
      <c r="AG43" s="27">
        <f>IF($B43&lt;&gt;"Entry","",IF(OR(AD43=0,AB43="",AQ43="",AQ43&lt;=0),0,IF(AQ43&lt;=DATE(YEAR(AB43),MONTH(AB43)+1,7),0,ROUND(AD43*0.015*((YEAR(AQ43)-YEAR(AB43))*12+(MONTH(AQ43)-MONTH(AB43))+1),0))))</f>
      </c>
      <c r="AH43" s="27">
        <f>IF($B43&lt;&gt;"Entry","",0)</f>
      </c>
      <c r="AI43" s="28"/>
      <c r="AJ43" s="28"/>
      <c r="AK43" s="32"/>
      <c r="AL43" s="28"/>
      <c r="AM43" s="28"/>
      <c r="AN43" s="27">
        <f>IF($B43&lt;&gt;"Challan","",SUMIF('Q1 Data'!$D$4:$D$207,D43,'Q1 Data'!$AD$4:$AD$207)+SUMIF('Q1 Data'!$D$4:$D$207,D43,'Q1 Data'!$AG$4:$AG$207)+SUMIF('Q1 Data'!$D$4:$D$207,D43,'Q1 Data'!$AE$4:$AE$207)+SUMIF('Q2 Data'!$D$4:$D$207,D43,'Q2 Data'!$AD$4:$AD$207)+SUMIF('Q2 Data'!$D$4:$D$207,D43,'Q2 Data'!$AG$4:$AG$207)+SUMIF('Q2 Data'!$D$4:$D$207,D43,'Q2 Data'!$AE$4:$AE$207)+SUMIF('Q3 Data'!$D$4:$D$207,D43,'Q3 Data'!$AD$4:$AD$207)+SUMIF('Q3 Data'!$D$4:$D$207,D43,'Q3 Data'!$AG$4:$AG$207)+SUMIF('Q3 Data'!$D$4:$D$207,D43,'Q3 Data'!$AE$4:$AE$207)+SUMIF('Q4 Data'!$D$4:$D$207,D43,'Q4 Data'!$AD$4:$AD$207)+SUMIF('Q4 Data'!$D$4:$D$207,D43,'Q4 Data'!$AG$4:$AG$207)+SUMIF('Q4 Data'!$D$4:$D$207,D43,'Q4 Data'!$AE$4:$AE$207))</f>
      </c>
      <c r="AO43" s="27">
        <f>IF($B43&lt;&gt;"Challan","",P43-N43)</f>
      </c>
      <c r="AP43" s="27">
        <f>IF($B43&lt;&gt;"Challan","",MAX(0,AO43-AN43))</f>
      </c>
      <c r="AQ43" s="33">
        <f>IF($B43&lt;&gt;"Entry","",SUMPRODUCT(('Q1 Data'!$D$4:$D$207=D43)*('Q1 Data'!$B$4:$B$207="Challan")*'Q1 Data'!$F$4:$F$207)+SUMPRODUCT(('Q2 Data'!$D$4:$D$207=D43)*('Q2 Data'!$B$4:$B$207="Challan")*'Q2 Data'!$F$4:$F$207)+SUMPRODUCT(('Q3 Data'!$D$4:$D$207=D43)*('Q3 Data'!$B$4:$B$207="Challan")*'Q3 Data'!$F$4:$F$207)+SUMPRODUCT(('Q4 Data'!$D$4:$D$207=D43)*('Q4 Data'!$B$4:$B$207="Challan")*'Q4 Data'!$F$4:$F$207))</f>
      </c>
      <c r="AR43" s="34">
        <f>IF(OR($B43&lt;&gt;"Entry",Z43=""),FALSE,AND((SUMPRODUCT(('Q1 Data'!$D$4:$D$207=D43)*('Q1 Data'!$B$4:$B$207="Challan")*('Q1 Data'!$H$4:$H$207&lt;&gt;""))+SUMPRODUCT(('Q2 Data'!$D$4:$D$207=D43)*('Q2 Data'!$B$4:$B$207="Challan")*('Q2 Data'!$H$4:$H$207&lt;&gt;""))+SUMPRODUCT(('Q3 Data'!$D$4:$D$207=D43)*('Q3 Data'!$B$4:$B$207="Challan")*('Q3 Data'!$H$4:$H$207&lt;&gt;""))+SUMPRODUCT(('Q4 Data'!$D$4:$D$207=D43)*('Q4 Data'!$B$4:$B$207="Challan")*('Q4 Data'!$H$4:$H$207&lt;&gt;"")))&gt;0,(SUMPRODUCT(('Q1 Data'!$D$4:$D$207=D43)*('Q1 Data'!$B$4:$B$207="Challan")*('Q1 Data'!$H$4:$H$207=Z43))+SUMPRODUCT(('Q2 Data'!$D$4:$D$207=D43)*('Q2 Data'!$B$4:$B$207="Challan")*('Q2 Data'!$H$4:$H$207=Z43))+SUMPRODUCT(('Q3 Data'!$D$4:$D$207=D43)*('Q3 Data'!$B$4:$B$207="Challan")*('Q3 Data'!$H$4:$H$207=Z43))+SUMPRODUCT(('Q4 Data'!$D$4:$D$207=D43)*('Q4 Data'!$B$4:$B$207="Challan")*('Q4 Data'!$H$4:$H$207=Z43)))=0))</f>
      </c>
    </row>
    <row r="44" spans="1:44" x14ac:dyDescent="0.25">
      <c r="A44" s="20">
        <f>IF($B44="Entry",COUNTIF($B$4:$B44,"Entry"),"")</f>
      </c>
      <c r="B44" s="21"/>
      <c r="C44" s="22"/>
      <c r="D44" s="22"/>
      <c r="E44" s="23">
        <f>IF($B44&lt;&gt;"Challan","",IF(ROUND(AN44-AO44,2)&gt;0,"Over-applied",IF(ROUND(AN44-AO44,2)=0,"Fully Utilised","Unconsumed")))</f>
      </c>
      <c r="F44" s="24"/>
      <c r="G44" s="25"/>
      <c r="H44" s="25"/>
      <c r="I44" s="26"/>
      <c r="J44" s="26"/>
      <c r="K44" s="26"/>
      <c r="L44" s="26"/>
      <c r="M44" s="26"/>
      <c r="N44" s="26"/>
      <c r="O44" s="26"/>
      <c r="P44" s="27">
        <f>IF($B44&lt;&gt;"Challan","",I44+J44+K44+L44+M44+N44)</f>
      </c>
      <c r="Q44" s="25"/>
      <c r="R44" s="25"/>
      <c r="S44" s="25"/>
      <c r="T44" s="25"/>
      <c r="U44" s="25"/>
      <c r="V44" s="28"/>
      <c r="W44" s="28"/>
      <c r="X44" s="23">
        <f>IF($B44="Entry",IF(AND(LEN(TRIM(UPPER(W44)))=10,CODE(MID(TRIM(UPPER(W44)),1,1))&gt;=65,CODE(MID(TRIM(UPPER(W44)),1,1))&lt;=90,CODE(MID(TRIM(UPPER(W44)),2,1))&gt;=65,CODE(MID(TRIM(UPPER(W44)),2,1))&lt;=90,CODE(MID(TRIM(UPPER(W44)),3,1))&gt;=65,CODE(MID(TRIM(UPPER(W44)),3,1))&lt;=90,CODE(MID(TRIM(UPPER(W44)),4,1))&gt;=65,CODE(MID(TRIM(UPPER(W44)),4,1))&lt;=90,CODE(MID(TRIM(UPPER(W44)),5,1))&gt;=65,CODE(MID(TRIM(UPPER(W44)),5,1))&lt;=90,CODE(MID(TRIM(UPPER(W44)),10,1))&gt;=65,CODE(MID(TRIM(UPPER(W44)),10,1))&lt;=90,CODE(MID(TRIM(UPPER(W44)),6,1))&gt;=48,CODE(MID(TRIM(UPPER(W44)),6,1))&lt;=57,CODE(MID(TRIM(UPPER(W44)),7,1))&gt;=48,CODE(MID(TRIM(UPPER(W44)),7,1))&lt;=57,CODE(MID(TRIM(UPPER(W44)),8,1))&gt;=48,CODE(MID(TRIM(UPPER(W44)),8,1))&lt;=57,CODE(MID(TRIM(UPPER(W44)),9,1))&gt;=48,CODE(MID(TRIM(UPPER(W44)),9,1))&lt;=57),"N","Y"),IF($B44="Challan","",IF(W44&lt;&gt;"","◄ Set Row Type","")))</f>
      </c>
      <c r="Y44" s="23">
        <f>IF($B44="Entry",IF(LEN(W44)&lt;4,"",IF(UPPER(MID(W44,4,1))="P","Individual",IF(UPPER(MID(W44,4,1))="H","HUF",IF(UPPER(MID(W44,4,1))="C","Company",IF(UPPER(MID(W44,4,1))="F","Firm",IF(UPPER(MID(W44,4,1))="L","LLP",IF(UPPER(MID(W44,4,1))="T","Trust",IF(UPPER(MID(W44,4,1))="A","AOP","")))))))),IF($B44="Challan","",IF(W44&lt;&gt;"","◄ Set Row Type","")))</f>
      </c>
      <c r="Z44" s="28"/>
      <c r="AA44" s="29">
        <f>IF($B44&lt;&gt;"Entry","",IF(Z44="","",IF(X44="Y",SUMPRODUCT(('Rate Lookup'!$A$1:$A$37=Z44)*'Rate Lookup'!$D$1:$D$37),IF(OR(Y44="Individual",Y44="HUF"),SUMPRODUCT(('Rate Lookup'!$A$1:$A$37=Z44)*'Rate Lookup'!$B$1:$B$37),SUMPRODUCT(('Rate Lookup'!$A$1:$A$37=Z44)*'Rate Lookup'!$C$1:$C$37)))))</f>
      </c>
      <c r="AB44" s="30"/>
      <c r="AC44" s="31"/>
      <c r="AD44" s="27">
        <f>IF($B44&lt;&gt;"Entry","",ROUND(AC44*AA44/100,0))</f>
      </c>
      <c r="AE44" s="27">
        <f>IF($B44&lt;&gt;"Entry","",0)</f>
      </c>
      <c r="AF44" s="27">
        <f>IF($B44&lt;&gt;"Entry","",0)</f>
      </c>
      <c r="AG44" s="27">
        <f>IF($B44&lt;&gt;"Entry","",IF(OR(AD44=0,AB44="",AQ44="",AQ44&lt;=0),0,IF(AQ44&lt;=DATE(YEAR(AB44),MONTH(AB44)+1,7),0,ROUND(AD44*0.015*((YEAR(AQ44)-YEAR(AB44))*12+(MONTH(AQ44)-MONTH(AB44))+1),0))))</f>
      </c>
      <c r="AH44" s="27">
        <f>IF($B44&lt;&gt;"Entry","",0)</f>
      </c>
      <c r="AI44" s="28"/>
      <c r="AJ44" s="28"/>
      <c r="AK44" s="32"/>
      <c r="AL44" s="28"/>
      <c r="AM44" s="28"/>
      <c r="AN44" s="27">
        <f>IF($B44&lt;&gt;"Challan","",SUMIF('Q1 Data'!$D$4:$D$207,D44,'Q1 Data'!$AD$4:$AD$207)+SUMIF('Q1 Data'!$D$4:$D$207,D44,'Q1 Data'!$AG$4:$AG$207)+SUMIF('Q1 Data'!$D$4:$D$207,D44,'Q1 Data'!$AE$4:$AE$207)+SUMIF('Q2 Data'!$D$4:$D$207,D44,'Q2 Data'!$AD$4:$AD$207)+SUMIF('Q2 Data'!$D$4:$D$207,D44,'Q2 Data'!$AG$4:$AG$207)+SUMIF('Q2 Data'!$D$4:$D$207,D44,'Q2 Data'!$AE$4:$AE$207)+SUMIF('Q3 Data'!$D$4:$D$207,D44,'Q3 Data'!$AD$4:$AD$207)+SUMIF('Q3 Data'!$D$4:$D$207,D44,'Q3 Data'!$AG$4:$AG$207)+SUMIF('Q3 Data'!$D$4:$D$207,D44,'Q3 Data'!$AE$4:$AE$207)+SUMIF('Q4 Data'!$D$4:$D$207,D44,'Q4 Data'!$AD$4:$AD$207)+SUMIF('Q4 Data'!$D$4:$D$207,D44,'Q4 Data'!$AG$4:$AG$207)+SUMIF('Q4 Data'!$D$4:$D$207,D44,'Q4 Data'!$AE$4:$AE$207))</f>
      </c>
      <c r="AO44" s="27">
        <f>IF($B44&lt;&gt;"Challan","",P44-N44)</f>
      </c>
      <c r="AP44" s="27">
        <f>IF($B44&lt;&gt;"Challan","",MAX(0,AO44-AN44))</f>
      </c>
      <c r="AQ44" s="33">
        <f>IF($B44&lt;&gt;"Entry","",SUMPRODUCT(('Q1 Data'!$D$4:$D$207=D44)*('Q1 Data'!$B$4:$B$207="Challan")*'Q1 Data'!$F$4:$F$207)+SUMPRODUCT(('Q2 Data'!$D$4:$D$207=D44)*('Q2 Data'!$B$4:$B$207="Challan")*'Q2 Data'!$F$4:$F$207)+SUMPRODUCT(('Q3 Data'!$D$4:$D$207=D44)*('Q3 Data'!$B$4:$B$207="Challan")*'Q3 Data'!$F$4:$F$207)+SUMPRODUCT(('Q4 Data'!$D$4:$D$207=D44)*('Q4 Data'!$B$4:$B$207="Challan")*'Q4 Data'!$F$4:$F$207))</f>
      </c>
      <c r="AR44" s="34">
        <f>IF(OR($B44&lt;&gt;"Entry",Z44=""),FALSE,AND((SUMPRODUCT(('Q1 Data'!$D$4:$D$207=D44)*('Q1 Data'!$B$4:$B$207="Challan")*('Q1 Data'!$H$4:$H$207&lt;&gt;""))+SUMPRODUCT(('Q2 Data'!$D$4:$D$207=D44)*('Q2 Data'!$B$4:$B$207="Challan")*('Q2 Data'!$H$4:$H$207&lt;&gt;""))+SUMPRODUCT(('Q3 Data'!$D$4:$D$207=D44)*('Q3 Data'!$B$4:$B$207="Challan")*('Q3 Data'!$H$4:$H$207&lt;&gt;""))+SUMPRODUCT(('Q4 Data'!$D$4:$D$207=D44)*('Q4 Data'!$B$4:$B$207="Challan")*('Q4 Data'!$H$4:$H$207&lt;&gt;"")))&gt;0,(SUMPRODUCT(('Q1 Data'!$D$4:$D$207=D44)*('Q1 Data'!$B$4:$B$207="Challan")*('Q1 Data'!$H$4:$H$207=Z44))+SUMPRODUCT(('Q2 Data'!$D$4:$D$207=D44)*('Q2 Data'!$B$4:$B$207="Challan")*('Q2 Data'!$H$4:$H$207=Z44))+SUMPRODUCT(('Q3 Data'!$D$4:$D$207=D44)*('Q3 Data'!$B$4:$B$207="Challan")*('Q3 Data'!$H$4:$H$207=Z44))+SUMPRODUCT(('Q4 Data'!$D$4:$D$207=D44)*('Q4 Data'!$B$4:$B$207="Challan")*('Q4 Data'!$H$4:$H$207=Z44)))=0))</f>
      </c>
    </row>
    <row r="45" spans="1:44" x14ac:dyDescent="0.25">
      <c r="A45" s="20">
        <f>IF($B45="Entry",COUNTIF($B$4:$B45,"Entry"),"")</f>
      </c>
      <c r="B45" s="21"/>
      <c r="C45" s="22"/>
      <c r="D45" s="22"/>
      <c r="E45" s="23">
        <f>IF($B45&lt;&gt;"Challan","",IF(ROUND(AN45-AO45,2)&gt;0,"Over-applied",IF(ROUND(AN45-AO45,2)=0,"Fully Utilised","Unconsumed")))</f>
      </c>
      <c r="F45" s="24"/>
      <c r="G45" s="25"/>
      <c r="H45" s="25"/>
      <c r="I45" s="26"/>
      <c r="J45" s="26"/>
      <c r="K45" s="26"/>
      <c r="L45" s="26"/>
      <c r="M45" s="26"/>
      <c r="N45" s="26"/>
      <c r="O45" s="26"/>
      <c r="P45" s="27">
        <f>IF($B45&lt;&gt;"Challan","",I45+J45+K45+L45+M45+N45)</f>
      </c>
      <c r="Q45" s="25"/>
      <c r="R45" s="25"/>
      <c r="S45" s="25"/>
      <c r="T45" s="25"/>
      <c r="U45" s="25"/>
      <c r="V45" s="28"/>
      <c r="W45" s="28"/>
      <c r="X45" s="23">
        <f>IF($B45="Entry",IF(AND(LEN(TRIM(UPPER(W45)))=10,CODE(MID(TRIM(UPPER(W45)),1,1))&gt;=65,CODE(MID(TRIM(UPPER(W45)),1,1))&lt;=90,CODE(MID(TRIM(UPPER(W45)),2,1))&gt;=65,CODE(MID(TRIM(UPPER(W45)),2,1))&lt;=90,CODE(MID(TRIM(UPPER(W45)),3,1))&gt;=65,CODE(MID(TRIM(UPPER(W45)),3,1))&lt;=90,CODE(MID(TRIM(UPPER(W45)),4,1))&gt;=65,CODE(MID(TRIM(UPPER(W45)),4,1))&lt;=90,CODE(MID(TRIM(UPPER(W45)),5,1))&gt;=65,CODE(MID(TRIM(UPPER(W45)),5,1))&lt;=90,CODE(MID(TRIM(UPPER(W45)),10,1))&gt;=65,CODE(MID(TRIM(UPPER(W45)),10,1))&lt;=90,CODE(MID(TRIM(UPPER(W45)),6,1))&gt;=48,CODE(MID(TRIM(UPPER(W45)),6,1))&lt;=57,CODE(MID(TRIM(UPPER(W45)),7,1))&gt;=48,CODE(MID(TRIM(UPPER(W45)),7,1))&lt;=57,CODE(MID(TRIM(UPPER(W45)),8,1))&gt;=48,CODE(MID(TRIM(UPPER(W45)),8,1))&lt;=57,CODE(MID(TRIM(UPPER(W45)),9,1))&gt;=48,CODE(MID(TRIM(UPPER(W45)),9,1))&lt;=57),"N","Y"),IF($B45="Challan","",IF(W45&lt;&gt;"","◄ Set Row Type","")))</f>
      </c>
      <c r="Y45" s="23">
        <f>IF($B45="Entry",IF(LEN(W45)&lt;4,"",IF(UPPER(MID(W45,4,1))="P","Individual",IF(UPPER(MID(W45,4,1))="H","HUF",IF(UPPER(MID(W45,4,1))="C","Company",IF(UPPER(MID(W45,4,1))="F","Firm",IF(UPPER(MID(W45,4,1))="L","LLP",IF(UPPER(MID(W45,4,1))="T","Trust",IF(UPPER(MID(W45,4,1))="A","AOP","")))))))),IF($B45="Challan","",IF(W45&lt;&gt;"","◄ Set Row Type","")))</f>
      </c>
      <c r="Z45" s="28"/>
      <c r="AA45" s="29">
        <f>IF($B45&lt;&gt;"Entry","",IF(Z45="","",IF(X45="Y",SUMPRODUCT(('Rate Lookup'!$A$1:$A$37=Z45)*'Rate Lookup'!$D$1:$D$37),IF(OR(Y45="Individual",Y45="HUF"),SUMPRODUCT(('Rate Lookup'!$A$1:$A$37=Z45)*'Rate Lookup'!$B$1:$B$37),SUMPRODUCT(('Rate Lookup'!$A$1:$A$37=Z45)*'Rate Lookup'!$C$1:$C$37)))))</f>
      </c>
      <c r="AB45" s="30"/>
      <c r="AC45" s="31"/>
      <c r="AD45" s="27">
        <f>IF($B45&lt;&gt;"Entry","",ROUND(AC45*AA45/100,0))</f>
      </c>
      <c r="AE45" s="27">
        <f>IF($B45&lt;&gt;"Entry","",0)</f>
      </c>
      <c r="AF45" s="27">
        <f>IF($B45&lt;&gt;"Entry","",0)</f>
      </c>
      <c r="AG45" s="27">
        <f>IF($B45&lt;&gt;"Entry","",IF(OR(AD45=0,AB45="",AQ45="",AQ45&lt;=0),0,IF(AQ45&lt;=DATE(YEAR(AB45),MONTH(AB45)+1,7),0,ROUND(AD45*0.015*((YEAR(AQ45)-YEAR(AB45))*12+(MONTH(AQ45)-MONTH(AB45))+1),0))))</f>
      </c>
      <c r="AH45" s="27">
        <f>IF($B45&lt;&gt;"Entry","",0)</f>
      </c>
      <c r="AI45" s="28"/>
      <c r="AJ45" s="28"/>
      <c r="AK45" s="32"/>
      <c r="AL45" s="28"/>
      <c r="AM45" s="28"/>
      <c r="AN45" s="27">
        <f>IF($B45&lt;&gt;"Challan","",SUMIF('Q1 Data'!$D$4:$D$207,D45,'Q1 Data'!$AD$4:$AD$207)+SUMIF('Q1 Data'!$D$4:$D$207,D45,'Q1 Data'!$AG$4:$AG$207)+SUMIF('Q1 Data'!$D$4:$D$207,D45,'Q1 Data'!$AE$4:$AE$207)+SUMIF('Q2 Data'!$D$4:$D$207,D45,'Q2 Data'!$AD$4:$AD$207)+SUMIF('Q2 Data'!$D$4:$D$207,D45,'Q2 Data'!$AG$4:$AG$207)+SUMIF('Q2 Data'!$D$4:$D$207,D45,'Q2 Data'!$AE$4:$AE$207)+SUMIF('Q3 Data'!$D$4:$D$207,D45,'Q3 Data'!$AD$4:$AD$207)+SUMIF('Q3 Data'!$D$4:$D$207,D45,'Q3 Data'!$AG$4:$AG$207)+SUMIF('Q3 Data'!$D$4:$D$207,D45,'Q3 Data'!$AE$4:$AE$207)+SUMIF('Q4 Data'!$D$4:$D$207,D45,'Q4 Data'!$AD$4:$AD$207)+SUMIF('Q4 Data'!$D$4:$D$207,D45,'Q4 Data'!$AG$4:$AG$207)+SUMIF('Q4 Data'!$D$4:$D$207,D45,'Q4 Data'!$AE$4:$AE$207))</f>
      </c>
      <c r="AO45" s="27">
        <f>IF($B45&lt;&gt;"Challan","",P45-N45)</f>
      </c>
      <c r="AP45" s="27">
        <f>IF($B45&lt;&gt;"Challan","",MAX(0,AO45-AN45))</f>
      </c>
      <c r="AQ45" s="33">
        <f>IF($B45&lt;&gt;"Entry","",SUMPRODUCT(('Q1 Data'!$D$4:$D$207=D45)*('Q1 Data'!$B$4:$B$207="Challan")*'Q1 Data'!$F$4:$F$207)+SUMPRODUCT(('Q2 Data'!$D$4:$D$207=D45)*('Q2 Data'!$B$4:$B$207="Challan")*'Q2 Data'!$F$4:$F$207)+SUMPRODUCT(('Q3 Data'!$D$4:$D$207=D45)*('Q3 Data'!$B$4:$B$207="Challan")*'Q3 Data'!$F$4:$F$207)+SUMPRODUCT(('Q4 Data'!$D$4:$D$207=D45)*('Q4 Data'!$B$4:$B$207="Challan")*'Q4 Data'!$F$4:$F$207))</f>
      </c>
      <c r="AR45" s="34">
        <f>IF(OR($B45&lt;&gt;"Entry",Z45=""),FALSE,AND((SUMPRODUCT(('Q1 Data'!$D$4:$D$207=D45)*('Q1 Data'!$B$4:$B$207="Challan")*('Q1 Data'!$H$4:$H$207&lt;&gt;""))+SUMPRODUCT(('Q2 Data'!$D$4:$D$207=D45)*('Q2 Data'!$B$4:$B$207="Challan")*('Q2 Data'!$H$4:$H$207&lt;&gt;""))+SUMPRODUCT(('Q3 Data'!$D$4:$D$207=D45)*('Q3 Data'!$B$4:$B$207="Challan")*('Q3 Data'!$H$4:$H$207&lt;&gt;""))+SUMPRODUCT(('Q4 Data'!$D$4:$D$207=D45)*('Q4 Data'!$B$4:$B$207="Challan")*('Q4 Data'!$H$4:$H$207&lt;&gt;"")))&gt;0,(SUMPRODUCT(('Q1 Data'!$D$4:$D$207=D45)*('Q1 Data'!$B$4:$B$207="Challan")*('Q1 Data'!$H$4:$H$207=Z45))+SUMPRODUCT(('Q2 Data'!$D$4:$D$207=D45)*('Q2 Data'!$B$4:$B$207="Challan")*('Q2 Data'!$H$4:$H$207=Z45))+SUMPRODUCT(('Q3 Data'!$D$4:$D$207=D45)*('Q3 Data'!$B$4:$B$207="Challan")*('Q3 Data'!$H$4:$H$207=Z45))+SUMPRODUCT(('Q4 Data'!$D$4:$D$207=D45)*('Q4 Data'!$B$4:$B$207="Challan")*('Q4 Data'!$H$4:$H$207=Z45)))=0))</f>
      </c>
    </row>
    <row r="46" spans="1:44" x14ac:dyDescent="0.25">
      <c r="A46" s="20">
        <f>IF($B46="Entry",COUNTIF($B$4:$B46,"Entry"),"")</f>
      </c>
      <c r="B46" s="21"/>
      <c r="C46" s="22"/>
      <c r="D46" s="22"/>
      <c r="E46" s="23">
        <f>IF($B46&lt;&gt;"Challan","",IF(ROUND(AN46-AO46,2)&gt;0,"Over-applied",IF(ROUND(AN46-AO46,2)=0,"Fully Utilised","Unconsumed")))</f>
      </c>
      <c r="F46" s="24"/>
      <c r="G46" s="25"/>
      <c r="H46" s="25"/>
      <c r="I46" s="26"/>
      <c r="J46" s="26"/>
      <c r="K46" s="26"/>
      <c r="L46" s="26"/>
      <c r="M46" s="26"/>
      <c r="N46" s="26"/>
      <c r="O46" s="26"/>
      <c r="P46" s="27">
        <f>IF($B46&lt;&gt;"Challan","",I46+J46+K46+L46+M46+N46)</f>
      </c>
      <c r="Q46" s="25"/>
      <c r="R46" s="25"/>
      <c r="S46" s="25"/>
      <c r="T46" s="25"/>
      <c r="U46" s="25"/>
      <c r="V46" s="28"/>
      <c r="W46" s="28"/>
      <c r="X46" s="23">
        <f>IF($B46="Entry",IF(AND(LEN(TRIM(UPPER(W46)))=10,CODE(MID(TRIM(UPPER(W46)),1,1))&gt;=65,CODE(MID(TRIM(UPPER(W46)),1,1))&lt;=90,CODE(MID(TRIM(UPPER(W46)),2,1))&gt;=65,CODE(MID(TRIM(UPPER(W46)),2,1))&lt;=90,CODE(MID(TRIM(UPPER(W46)),3,1))&gt;=65,CODE(MID(TRIM(UPPER(W46)),3,1))&lt;=90,CODE(MID(TRIM(UPPER(W46)),4,1))&gt;=65,CODE(MID(TRIM(UPPER(W46)),4,1))&lt;=90,CODE(MID(TRIM(UPPER(W46)),5,1))&gt;=65,CODE(MID(TRIM(UPPER(W46)),5,1))&lt;=90,CODE(MID(TRIM(UPPER(W46)),10,1))&gt;=65,CODE(MID(TRIM(UPPER(W46)),10,1))&lt;=90,CODE(MID(TRIM(UPPER(W46)),6,1))&gt;=48,CODE(MID(TRIM(UPPER(W46)),6,1))&lt;=57,CODE(MID(TRIM(UPPER(W46)),7,1))&gt;=48,CODE(MID(TRIM(UPPER(W46)),7,1))&lt;=57,CODE(MID(TRIM(UPPER(W46)),8,1))&gt;=48,CODE(MID(TRIM(UPPER(W46)),8,1))&lt;=57,CODE(MID(TRIM(UPPER(W46)),9,1))&gt;=48,CODE(MID(TRIM(UPPER(W46)),9,1))&lt;=57),"N","Y"),IF($B46="Challan","",IF(W46&lt;&gt;"","◄ Set Row Type","")))</f>
      </c>
      <c r="Y46" s="23">
        <f>IF($B46="Entry",IF(LEN(W46)&lt;4,"",IF(UPPER(MID(W46,4,1))="P","Individual",IF(UPPER(MID(W46,4,1))="H","HUF",IF(UPPER(MID(W46,4,1))="C","Company",IF(UPPER(MID(W46,4,1))="F","Firm",IF(UPPER(MID(W46,4,1))="L","LLP",IF(UPPER(MID(W46,4,1))="T","Trust",IF(UPPER(MID(W46,4,1))="A","AOP","")))))))),IF($B46="Challan","",IF(W46&lt;&gt;"","◄ Set Row Type","")))</f>
      </c>
      <c r="Z46" s="28"/>
      <c r="AA46" s="29">
        <f>IF($B46&lt;&gt;"Entry","",IF(Z46="","",IF(X46="Y",SUMPRODUCT(('Rate Lookup'!$A$1:$A$37=Z46)*'Rate Lookup'!$D$1:$D$37),IF(OR(Y46="Individual",Y46="HUF"),SUMPRODUCT(('Rate Lookup'!$A$1:$A$37=Z46)*'Rate Lookup'!$B$1:$B$37),SUMPRODUCT(('Rate Lookup'!$A$1:$A$37=Z46)*'Rate Lookup'!$C$1:$C$37)))))</f>
      </c>
      <c r="AB46" s="30"/>
      <c r="AC46" s="31"/>
      <c r="AD46" s="27">
        <f>IF($B46&lt;&gt;"Entry","",ROUND(AC46*AA46/100,0))</f>
      </c>
      <c r="AE46" s="27">
        <f>IF($B46&lt;&gt;"Entry","",0)</f>
      </c>
      <c r="AF46" s="27">
        <f>IF($B46&lt;&gt;"Entry","",0)</f>
      </c>
      <c r="AG46" s="27">
        <f>IF($B46&lt;&gt;"Entry","",IF(OR(AD46=0,AB46="",AQ46="",AQ46&lt;=0),0,IF(AQ46&lt;=DATE(YEAR(AB46),MONTH(AB46)+1,7),0,ROUND(AD46*0.015*((YEAR(AQ46)-YEAR(AB46))*12+(MONTH(AQ46)-MONTH(AB46))+1),0))))</f>
      </c>
      <c r="AH46" s="27">
        <f>IF($B46&lt;&gt;"Entry","",0)</f>
      </c>
      <c r="AI46" s="28"/>
      <c r="AJ46" s="28"/>
      <c r="AK46" s="32"/>
      <c r="AL46" s="28"/>
      <c r="AM46" s="28"/>
      <c r="AN46" s="27">
        <f>IF($B46&lt;&gt;"Challan","",SUMIF('Q1 Data'!$D$4:$D$207,D46,'Q1 Data'!$AD$4:$AD$207)+SUMIF('Q1 Data'!$D$4:$D$207,D46,'Q1 Data'!$AG$4:$AG$207)+SUMIF('Q1 Data'!$D$4:$D$207,D46,'Q1 Data'!$AE$4:$AE$207)+SUMIF('Q2 Data'!$D$4:$D$207,D46,'Q2 Data'!$AD$4:$AD$207)+SUMIF('Q2 Data'!$D$4:$D$207,D46,'Q2 Data'!$AG$4:$AG$207)+SUMIF('Q2 Data'!$D$4:$D$207,D46,'Q2 Data'!$AE$4:$AE$207)+SUMIF('Q3 Data'!$D$4:$D$207,D46,'Q3 Data'!$AD$4:$AD$207)+SUMIF('Q3 Data'!$D$4:$D$207,D46,'Q3 Data'!$AG$4:$AG$207)+SUMIF('Q3 Data'!$D$4:$D$207,D46,'Q3 Data'!$AE$4:$AE$207)+SUMIF('Q4 Data'!$D$4:$D$207,D46,'Q4 Data'!$AD$4:$AD$207)+SUMIF('Q4 Data'!$D$4:$D$207,D46,'Q4 Data'!$AG$4:$AG$207)+SUMIF('Q4 Data'!$D$4:$D$207,D46,'Q4 Data'!$AE$4:$AE$207))</f>
      </c>
      <c r="AO46" s="27">
        <f>IF($B46&lt;&gt;"Challan","",P46-N46)</f>
      </c>
      <c r="AP46" s="27">
        <f>IF($B46&lt;&gt;"Challan","",MAX(0,AO46-AN46))</f>
      </c>
      <c r="AQ46" s="33">
        <f>IF($B46&lt;&gt;"Entry","",SUMPRODUCT(('Q1 Data'!$D$4:$D$207=D46)*('Q1 Data'!$B$4:$B$207="Challan")*'Q1 Data'!$F$4:$F$207)+SUMPRODUCT(('Q2 Data'!$D$4:$D$207=D46)*('Q2 Data'!$B$4:$B$207="Challan")*'Q2 Data'!$F$4:$F$207)+SUMPRODUCT(('Q3 Data'!$D$4:$D$207=D46)*('Q3 Data'!$B$4:$B$207="Challan")*'Q3 Data'!$F$4:$F$207)+SUMPRODUCT(('Q4 Data'!$D$4:$D$207=D46)*('Q4 Data'!$B$4:$B$207="Challan")*'Q4 Data'!$F$4:$F$207))</f>
      </c>
      <c r="AR46" s="34">
        <f>IF(OR($B46&lt;&gt;"Entry",Z46=""),FALSE,AND((SUMPRODUCT(('Q1 Data'!$D$4:$D$207=D46)*('Q1 Data'!$B$4:$B$207="Challan")*('Q1 Data'!$H$4:$H$207&lt;&gt;""))+SUMPRODUCT(('Q2 Data'!$D$4:$D$207=D46)*('Q2 Data'!$B$4:$B$207="Challan")*('Q2 Data'!$H$4:$H$207&lt;&gt;""))+SUMPRODUCT(('Q3 Data'!$D$4:$D$207=D46)*('Q3 Data'!$B$4:$B$207="Challan")*('Q3 Data'!$H$4:$H$207&lt;&gt;""))+SUMPRODUCT(('Q4 Data'!$D$4:$D$207=D46)*('Q4 Data'!$B$4:$B$207="Challan")*('Q4 Data'!$H$4:$H$207&lt;&gt;"")))&gt;0,(SUMPRODUCT(('Q1 Data'!$D$4:$D$207=D46)*('Q1 Data'!$B$4:$B$207="Challan")*('Q1 Data'!$H$4:$H$207=Z46))+SUMPRODUCT(('Q2 Data'!$D$4:$D$207=D46)*('Q2 Data'!$B$4:$B$207="Challan")*('Q2 Data'!$H$4:$H$207=Z46))+SUMPRODUCT(('Q3 Data'!$D$4:$D$207=D46)*('Q3 Data'!$B$4:$B$207="Challan")*('Q3 Data'!$H$4:$H$207=Z46))+SUMPRODUCT(('Q4 Data'!$D$4:$D$207=D46)*('Q4 Data'!$B$4:$B$207="Challan")*('Q4 Data'!$H$4:$H$207=Z46)))=0))</f>
      </c>
    </row>
    <row r="47" spans="1:44" x14ac:dyDescent="0.25">
      <c r="A47" s="20">
        <f>IF($B47="Entry",COUNTIF($B$4:$B47,"Entry"),"")</f>
      </c>
      <c r="B47" s="21"/>
      <c r="C47" s="22"/>
      <c r="D47" s="22"/>
      <c r="E47" s="23">
        <f>IF($B47&lt;&gt;"Challan","",IF(ROUND(AN47-AO47,2)&gt;0,"Over-applied",IF(ROUND(AN47-AO47,2)=0,"Fully Utilised","Unconsumed")))</f>
      </c>
      <c r="F47" s="24"/>
      <c r="G47" s="25"/>
      <c r="H47" s="25"/>
      <c r="I47" s="26"/>
      <c r="J47" s="26"/>
      <c r="K47" s="26"/>
      <c r="L47" s="26"/>
      <c r="M47" s="26"/>
      <c r="N47" s="26"/>
      <c r="O47" s="26"/>
      <c r="P47" s="27">
        <f>IF($B47&lt;&gt;"Challan","",I47+J47+K47+L47+M47+N47)</f>
      </c>
      <c r="Q47" s="25"/>
      <c r="R47" s="25"/>
      <c r="S47" s="25"/>
      <c r="T47" s="25"/>
      <c r="U47" s="25"/>
      <c r="V47" s="28"/>
      <c r="W47" s="28"/>
      <c r="X47" s="23">
        <f>IF($B47="Entry",IF(AND(LEN(TRIM(UPPER(W47)))=10,CODE(MID(TRIM(UPPER(W47)),1,1))&gt;=65,CODE(MID(TRIM(UPPER(W47)),1,1))&lt;=90,CODE(MID(TRIM(UPPER(W47)),2,1))&gt;=65,CODE(MID(TRIM(UPPER(W47)),2,1))&lt;=90,CODE(MID(TRIM(UPPER(W47)),3,1))&gt;=65,CODE(MID(TRIM(UPPER(W47)),3,1))&lt;=90,CODE(MID(TRIM(UPPER(W47)),4,1))&gt;=65,CODE(MID(TRIM(UPPER(W47)),4,1))&lt;=90,CODE(MID(TRIM(UPPER(W47)),5,1))&gt;=65,CODE(MID(TRIM(UPPER(W47)),5,1))&lt;=90,CODE(MID(TRIM(UPPER(W47)),10,1))&gt;=65,CODE(MID(TRIM(UPPER(W47)),10,1))&lt;=90,CODE(MID(TRIM(UPPER(W47)),6,1))&gt;=48,CODE(MID(TRIM(UPPER(W47)),6,1))&lt;=57,CODE(MID(TRIM(UPPER(W47)),7,1))&gt;=48,CODE(MID(TRIM(UPPER(W47)),7,1))&lt;=57,CODE(MID(TRIM(UPPER(W47)),8,1))&gt;=48,CODE(MID(TRIM(UPPER(W47)),8,1))&lt;=57,CODE(MID(TRIM(UPPER(W47)),9,1))&gt;=48,CODE(MID(TRIM(UPPER(W47)),9,1))&lt;=57),"N","Y"),IF($B47="Challan","",IF(W47&lt;&gt;"","◄ Set Row Type","")))</f>
      </c>
      <c r="Y47" s="23">
        <f>IF($B47="Entry",IF(LEN(W47)&lt;4,"",IF(UPPER(MID(W47,4,1))="P","Individual",IF(UPPER(MID(W47,4,1))="H","HUF",IF(UPPER(MID(W47,4,1))="C","Company",IF(UPPER(MID(W47,4,1))="F","Firm",IF(UPPER(MID(W47,4,1))="L","LLP",IF(UPPER(MID(W47,4,1))="T","Trust",IF(UPPER(MID(W47,4,1))="A","AOP","")))))))),IF($B47="Challan","",IF(W47&lt;&gt;"","◄ Set Row Type","")))</f>
      </c>
      <c r="Z47" s="28"/>
      <c r="AA47" s="29">
        <f>IF($B47&lt;&gt;"Entry","",IF(Z47="","",IF(X47="Y",SUMPRODUCT(('Rate Lookup'!$A$1:$A$37=Z47)*'Rate Lookup'!$D$1:$D$37),IF(OR(Y47="Individual",Y47="HUF"),SUMPRODUCT(('Rate Lookup'!$A$1:$A$37=Z47)*'Rate Lookup'!$B$1:$B$37),SUMPRODUCT(('Rate Lookup'!$A$1:$A$37=Z47)*'Rate Lookup'!$C$1:$C$37)))))</f>
      </c>
      <c r="AB47" s="30"/>
      <c r="AC47" s="31"/>
      <c r="AD47" s="27">
        <f>IF($B47&lt;&gt;"Entry","",ROUND(AC47*AA47/100,0))</f>
      </c>
      <c r="AE47" s="27">
        <f>IF($B47&lt;&gt;"Entry","",0)</f>
      </c>
      <c r="AF47" s="27">
        <f>IF($B47&lt;&gt;"Entry","",0)</f>
      </c>
      <c r="AG47" s="27">
        <f>IF($B47&lt;&gt;"Entry","",IF(OR(AD47=0,AB47="",AQ47="",AQ47&lt;=0),0,IF(AQ47&lt;=DATE(YEAR(AB47),MONTH(AB47)+1,7),0,ROUND(AD47*0.015*((YEAR(AQ47)-YEAR(AB47))*12+(MONTH(AQ47)-MONTH(AB47))+1),0))))</f>
      </c>
      <c r="AH47" s="27">
        <f>IF($B47&lt;&gt;"Entry","",0)</f>
      </c>
      <c r="AI47" s="28"/>
      <c r="AJ47" s="28"/>
      <c r="AK47" s="32"/>
      <c r="AL47" s="28"/>
      <c r="AM47" s="28"/>
      <c r="AN47" s="27">
        <f>IF($B47&lt;&gt;"Challan","",SUMIF('Q1 Data'!$D$4:$D$207,D47,'Q1 Data'!$AD$4:$AD$207)+SUMIF('Q1 Data'!$D$4:$D$207,D47,'Q1 Data'!$AG$4:$AG$207)+SUMIF('Q1 Data'!$D$4:$D$207,D47,'Q1 Data'!$AE$4:$AE$207)+SUMIF('Q2 Data'!$D$4:$D$207,D47,'Q2 Data'!$AD$4:$AD$207)+SUMIF('Q2 Data'!$D$4:$D$207,D47,'Q2 Data'!$AG$4:$AG$207)+SUMIF('Q2 Data'!$D$4:$D$207,D47,'Q2 Data'!$AE$4:$AE$207)+SUMIF('Q3 Data'!$D$4:$D$207,D47,'Q3 Data'!$AD$4:$AD$207)+SUMIF('Q3 Data'!$D$4:$D$207,D47,'Q3 Data'!$AG$4:$AG$207)+SUMIF('Q3 Data'!$D$4:$D$207,D47,'Q3 Data'!$AE$4:$AE$207)+SUMIF('Q4 Data'!$D$4:$D$207,D47,'Q4 Data'!$AD$4:$AD$207)+SUMIF('Q4 Data'!$D$4:$D$207,D47,'Q4 Data'!$AG$4:$AG$207)+SUMIF('Q4 Data'!$D$4:$D$207,D47,'Q4 Data'!$AE$4:$AE$207))</f>
      </c>
      <c r="AO47" s="27">
        <f>IF($B47&lt;&gt;"Challan","",P47-N47)</f>
      </c>
      <c r="AP47" s="27">
        <f>IF($B47&lt;&gt;"Challan","",MAX(0,AO47-AN47))</f>
      </c>
      <c r="AQ47" s="33">
        <f>IF($B47&lt;&gt;"Entry","",SUMPRODUCT(('Q1 Data'!$D$4:$D$207=D47)*('Q1 Data'!$B$4:$B$207="Challan")*'Q1 Data'!$F$4:$F$207)+SUMPRODUCT(('Q2 Data'!$D$4:$D$207=D47)*('Q2 Data'!$B$4:$B$207="Challan")*'Q2 Data'!$F$4:$F$207)+SUMPRODUCT(('Q3 Data'!$D$4:$D$207=D47)*('Q3 Data'!$B$4:$B$207="Challan")*'Q3 Data'!$F$4:$F$207)+SUMPRODUCT(('Q4 Data'!$D$4:$D$207=D47)*('Q4 Data'!$B$4:$B$207="Challan")*'Q4 Data'!$F$4:$F$207))</f>
      </c>
      <c r="AR47" s="34">
        <f>IF(OR($B47&lt;&gt;"Entry",Z47=""),FALSE,AND((SUMPRODUCT(('Q1 Data'!$D$4:$D$207=D47)*('Q1 Data'!$B$4:$B$207="Challan")*('Q1 Data'!$H$4:$H$207&lt;&gt;""))+SUMPRODUCT(('Q2 Data'!$D$4:$D$207=D47)*('Q2 Data'!$B$4:$B$207="Challan")*('Q2 Data'!$H$4:$H$207&lt;&gt;""))+SUMPRODUCT(('Q3 Data'!$D$4:$D$207=D47)*('Q3 Data'!$B$4:$B$207="Challan")*('Q3 Data'!$H$4:$H$207&lt;&gt;""))+SUMPRODUCT(('Q4 Data'!$D$4:$D$207=D47)*('Q4 Data'!$B$4:$B$207="Challan")*('Q4 Data'!$H$4:$H$207&lt;&gt;"")))&gt;0,(SUMPRODUCT(('Q1 Data'!$D$4:$D$207=D47)*('Q1 Data'!$B$4:$B$207="Challan")*('Q1 Data'!$H$4:$H$207=Z47))+SUMPRODUCT(('Q2 Data'!$D$4:$D$207=D47)*('Q2 Data'!$B$4:$B$207="Challan")*('Q2 Data'!$H$4:$H$207=Z47))+SUMPRODUCT(('Q3 Data'!$D$4:$D$207=D47)*('Q3 Data'!$B$4:$B$207="Challan")*('Q3 Data'!$H$4:$H$207=Z47))+SUMPRODUCT(('Q4 Data'!$D$4:$D$207=D47)*('Q4 Data'!$B$4:$B$207="Challan")*('Q4 Data'!$H$4:$H$207=Z47)))=0))</f>
      </c>
    </row>
    <row r="48" spans="1:44" x14ac:dyDescent="0.25">
      <c r="A48" s="20">
        <f>IF($B48="Entry",COUNTIF($B$4:$B48,"Entry"),"")</f>
      </c>
      <c r="B48" s="21"/>
      <c r="C48" s="22"/>
      <c r="D48" s="22"/>
      <c r="E48" s="23">
        <f>IF($B48&lt;&gt;"Challan","",IF(ROUND(AN48-AO48,2)&gt;0,"Over-applied",IF(ROUND(AN48-AO48,2)=0,"Fully Utilised","Unconsumed")))</f>
      </c>
      <c r="F48" s="24"/>
      <c r="G48" s="25"/>
      <c r="H48" s="25"/>
      <c r="I48" s="26"/>
      <c r="J48" s="26"/>
      <c r="K48" s="26"/>
      <c r="L48" s="26"/>
      <c r="M48" s="26"/>
      <c r="N48" s="26"/>
      <c r="O48" s="26"/>
      <c r="P48" s="27">
        <f>IF($B48&lt;&gt;"Challan","",I48+J48+K48+L48+M48+N48)</f>
      </c>
      <c r="Q48" s="25"/>
      <c r="R48" s="25"/>
      <c r="S48" s="25"/>
      <c r="T48" s="25"/>
      <c r="U48" s="25"/>
      <c r="V48" s="28"/>
      <c r="W48" s="28"/>
      <c r="X48" s="23">
        <f>IF($B48="Entry",IF(AND(LEN(TRIM(UPPER(W48)))=10,CODE(MID(TRIM(UPPER(W48)),1,1))&gt;=65,CODE(MID(TRIM(UPPER(W48)),1,1))&lt;=90,CODE(MID(TRIM(UPPER(W48)),2,1))&gt;=65,CODE(MID(TRIM(UPPER(W48)),2,1))&lt;=90,CODE(MID(TRIM(UPPER(W48)),3,1))&gt;=65,CODE(MID(TRIM(UPPER(W48)),3,1))&lt;=90,CODE(MID(TRIM(UPPER(W48)),4,1))&gt;=65,CODE(MID(TRIM(UPPER(W48)),4,1))&lt;=90,CODE(MID(TRIM(UPPER(W48)),5,1))&gt;=65,CODE(MID(TRIM(UPPER(W48)),5,1))&lt;=90,CODE(MID(TRIM(UPPER(W48)),10,1))&gt;=65,CODE(MID(TRIM(UPPER(W48)),10,1))&lt;=90,CODE(MID(TRIM(UPPER(W48)),6,1))&gt;=48,CODE(MID(TRIM(UPPER(W48)),6,1))&lt;=57,CODE(MID(TRIM(UPPER(W48)),7,1))&gt;=48,CODE(MID(TRIM(UPPER(W48)),7,1))&lt;=57,CODE(MID(TRIM(UPPER(W48)),8,1))&gt;=48,CODE(MID(TRIM(UPPER(W48)),8,1))&lt;=57,CODE(MID(TRIM(UPPER(W48)),9,1))&gt;=48,CODE(MID(TRIM(UPPER(W48)),9,1))&lt;=57),"N","Y"),IF($B48="Challan","",IF(W48&lt;&gt;"","◄ Set Row Type","")))</f>
      </c>
      <c r="Y48" s="23">
        <f>IF($B48="Entry",IF(LEN(W48)&lt;4,"",IF(UPPER(MID(W48,4,1))="P","Individual",IF(UPPER(MID(W48,4,1))="H","HUF",IF(UPPER(MID(W48,4,1))="C","Company",IF(UPPER(MID(W48,4,1))="F","Firm",IF(UPPER(MID(W48,4,1))="L","LLP",IF(UPPER(MID(W48,4,1))="T","Trust",IF(UPPER(MID(W48,4,1))="A","AOP","")))))))),IF($B48="Challan","",IF(W48&lt;&gt;"","◄ Set Row Type","")))</f>
      </c>
      <c r="Z48" s="28"/>
      <c r="AA48" s="29">
        <f>IF($B48&lt;&gt;"Entry","",IF(Z48="","",IF(X48="Y",SUMPRODUCT(('Rate Lookup'!$A$1:$A$37=Z48)*'Rate Lookup'!$D$1:$D$37),IF(OR(Y48="Individual",Y48="HUF"),SUMPRODUCT(('Rate Lookup'!$A$1:$A$37=Z48)*'Rate Lookup'!$B$1:$B$37),SUMPRODUCT(('Rate Lookup'!$A$1:$A$37=Z48)*'Rate Lookup'!$C$1:$C$37)))))</f>
      </c>
      <c r="AB48" s="30"/>
      <c r="AC48" s="31"/>
      <c r="AD48" s="27">
        <f>IF($B48&lt;&gt;"Entry","",ROUND(AC48*AA48/100,0))</f>
      </c>
      <c r="AE48" s="27">
        <f>IF($B48&lt;&gt;"Entry","",0)</f>
      </c>
      <c r="AF48" s="27">
        <f>IF($B48&lt;&gt;"Entry","",0)</f>
      </c>
      <c r="AG48" s="27">
        <f>IF($B48&lt;&gt;"Entry","",IF(OR(AD48=0,AB48="",AQ48="",AQ48&lt;=0),0,IF(AQ48&lt;=DATE(YEAR(AB48),MONTH(AB48)+1,7),0,ROUND(AD48*0.015*((YEAR(AQ48)-YEAR(AB48))*12+(MONTH(AQ48)-MONTH(AB48))+1),0))))</f>
      </c>
      <c r="AH48" s="27">
        <f>IF($B48&lt;&gt;"Entry","",0)</f>
      </c>
      <c r="AI48" s="28"/>
      <c r="AJ48" s="28"/>
      <c r="AK48" s="32"/>
      <c r="AL48" s="28"/>
      <c r="AM48" s="28"/>
      <c r="AN48" s="27">
        <f>IF($B48&lt;&gt;"Challan","",SUMIF('Q1 Data'!$D$4:$D$207,D48,'Q1 Data'!$AD$4:$AD$207)+SUMIF('Q1 Data'!$D$4:$D$207,D48,'Q1 Data'!$AG$4:$AG$207)+SUMIF('Q1 Data'!$D$4:$D$207,D48,'Q1 Data'!$AE$4:$AE$207)+SUMIF('Q2 Data'!$D$4:$D$207,D48,'Q2 Data'!$AD$4:$AD$207)+SUMIF('Q2 Data'!$D$4:$D$207,D48,'Q2 Data'!$AG$4:$AG$207)+SUMIF('Q2 Data'!$D$4:$D$207,D48,'Q2 Data'!$AE$4:$AE$207)+SUMIF('Q3 Data'!$D$4:$D$207,D48,'Q3 Data'!$AD$4:$AD$207)+SUMIF('Q3 Data'!$D$4:$D$207,D48,'Q3 Data'!$AG$4:$AG$207)+SUMIF('Q3 Data'!$D$4:$D$207,D48,'Q3 Data'!$AE$4:$AE$207)+SUMIF('Q4 Data'!$D$4:$D$207,D48,'Q4 Data'!$AD$4:$AD$207)+SUMIF('Q4 Data'!$D$4:$D$207,D48,'Q4 Data'!$AG$4:$AG$207)+SUMIF('Q4 Data'!$D$4:$D$207,D48,'Q4 Data'!$AE$4:$AE$207))</f>
      </c>
      <c r="AO48" s="27">
        <f>IF($B48&lt;&gt;"Challan","",P48-N48)</f>
      </c>
      <c r="AP48" s="27">
        <f>IF($B48&lt;&gt;"Challan","",MAX(0,AO48-AN48))</f>
      </c>
      <c r="AQ48" s="33">
        <f>IF($B48&lt;&gt;"Entry","",SUMPRODUCT(('Q1 Data'!$D$4:$D$207=D48)*('Q1 Data'!$B$4:$B$207="Challan")*'Q1 Data'!$F$4:$F$207)+SUMPRODUCT(('Q2 Data'!$D$4:$D$207=D48)*('Q2 Data'!$B$4:$B$207="Challan")*'Q2 Data'!$F$4:$F$207)+SUMPRODUCT(('Q3 Data'!$D$4:$D$207=D48)*('Q3 Data'!$B$4:$B$207="Challan")*'Q3 Data'!$F$4:$F$207)+SUMPRODUCT(('Q4 Data'!$D$4:$D$207=D48)*('Q4 Data'!$B$4:$B$207="Challan")*'Q4 Data'!$F$4:$F$207))</f>
      </c>
      <c r="AR48" s="34">
        <f>IF(OR($B48&lt;&gt;"Entry",Z48=""),FALSE,AND((SUMPRODUCT(('Q1 Data'!$D$4:$D$207=D48)*('Q1 Data'!$B$4:$B$207="Challan")*('Q1 Data'!$H$4:$H$207&lt;&gt;""))+SUMPRODUCT(('Q2 Data'!$D$4:$D$207=D48)*('Q2 Data'!$B$4:$B$207="Challan")*('Q2 Data'!$H$4:$H$207&lt;&gt;""))+SUMPRODUCT(('Q3 Data'!$D$4:$D$207=D48)*('Q3 Data'!$B$4:$B$207="Challan")*('Q3 Data'!$H$4:$H$207&lt;&gt;""))+SUMPRODUCT(('Q4 Data'!$D$4:$D$207=D48)*('Q4 Data'!$B$4:$B$207="Challan")*('Q4 Data'!$H$4:$H$207&lt;&gt;"")))&gt;0,(SUMPRODUCT(('Q1 Data'!$D$4:$D$207=D48)*('Q1 Data'!$B$4:$B$207="Challan")*('Q1 Data'!$H$4:$H$207=Z48))+SUMPRODUCT(('Q2 Data'!$D$4:$D$207=D48)*('Q2 Data'!$B$4:$B$207="Challan")*('Q2 Data'!$H$4:$H$207=Z48))+SUMPRODUCT(('Q3 Data'!$D$4:$D$207=D48)*('Q3 Data'!$B$4:$B$207="Challan")*('Q3 Data'!$H$4:$H$207=Z48))+SUMPRODUCT(('Q4 Data'!$D$4:$D$207=D48)*('Q4 Data'!$B$4:$B$207="Challan")*('Q4 Data'!$H$4:$H$207=Z48)))=0))</f>
      </c>
    </row>
    <row r="49" spans="1:44" x14ac:dyDescent="0.25">
      <c r="A49" s="20">
        <f>IF($B49="Entry",COUNTIF($B$4:$B49,"Entry"),"")</f>
      </c>
      <c r="B49" s="21"/>
      <c r="C49" s="22"/>
      <c r="D49" s="22"/>
      <c r="E49" s="23">
        <f>IF($B49&lt;&gt;"Challan","",IF(ROUND(AN49-AO49,2)&gt;0,"Over-applied",IF(ROUND(AN49-AO49,2)=0,"Fully Utilised","Unconsumed")))</f>
      </c>
      <c r="F49" s="24"/>
      <c r="G49" s="25"/>
      <c r="H49" s="25"/>
      <c r="I49" s="26"/>
      <c r="J49" s="26"/>
      <c r="K49" s="26"/>
      <c r="L49" s="26"/>
      <c r="M49" s="26"/>
      <c r="N49" s="26"/>
      <c r="O49" s="26"/>
      <c r="P49" s="27">
        <f>IF($B49&lt;&gt;"Challan","",I49+J49+K49+L49+M49+N49)</f>
      </c>
      <c r="Q49" s="25"/>
      <c r="R49" s="25"/>
      <c r="S49" s="25"/>
      <c r="T49" s="25"/>
      <c r="U49" s="25"/>
      <c r="V49" s="28"/>
      <c r="W49" s="28"/>
      <c r="X49" s="23">
        <f>IF($B49="Entry",IF(AND(LEN(TRIM(UPPER(W49)))=10,CODE(MID(TRIM(UPPER(W49)),1,1))&gt;=65,CODE(MID(TRIM(UPPER(W49)),1,1))&lt;=90,CODE(MID(TRIM(UPPER(W49)),2,1))&gt;=65,CODE(MID(TRIM(UPPER(W49)),2,1))&lt;=90,CODE(MID(TRIM(UPPER(W49)),3,1))&gt;=65,CODE(MID(TRIM(UPPER(W49)),3,1))&lt;=90,CODE(MID(TRIM(UPPER(W49)),4,1))&gt;=65,CODE(MID(TRIM(UPPER(W49)),4,1))&lt;=90,CODE(MID(TRIM(UPPER(W49)),5,1))&gt;=65,CODE(MID(TRIM(UPPER(W49)),5,1))&lt;=90,CODE(MID(TRIM(UPPER(W49)),10,1))&gt;=65,CODE(MID(TRIM(UPPER(W49)),10,1))&lt;=90,CODE(MID(TRIM(UPPER(W49)),6,1))&gt;=48,CODE(MID(TRIM(UPPER(W49)),6,1))&lt;=57,CODE(MID(TRIM(UPPER(W49)),7,1))&gt;=48,CODE(MID(TRIM(UPPER(W49)),7,1))&lt;=57,CODE(MID(TRIM(UPPER(W49)),8,1))&gt;=48,CODE(MID(TRIM(UPPER(W49)),8,1))&lt;=57,CODE(MID(TRIM(UPPER(W49)),9,1))&gt;=48,CODE(MID(TRIM(UPPER(W49)),9,1))&lt;=57),"N","Y"),IF($B49="Challan","",IF(W49&lt;&gt;"","◄ Set Row Type","")))</f>
      </c>
      <c r="Y49" s="23">
        <f>IF($B49="Entry",IF(LEN(W49)&lt;4,"",IF(UPPER(MID(W49,4,1))="P","Individual",IF(UPPER(MID(W49,4,1))="H","HUF",IF(UPPER(MID(W49,4,1))="C","Company",IF(UPPER(MID(W49,4,1))="F","Firm",IF(UPPER(MID(W49,4,1))="L","LLP",IF(UPPER(MID(W49,4,1))="T","Trust",IF(UPPER(MID(W49,4,1))="A","AOP","")))))))),IF($B49="Challan","",IF(W49&lt;&gt;"","◄ Set Row Type","")))</f>
      </c>
      <c r="Z49" s="28"/>
      <c r="AA49" s="29">
        <f>IF($B49&lt;&gt;"Entry","",IF(Z49="","",IF(X49="Y",SUMPRODUCT(('Rate Lookup'!$A$1:$A$37=Z49)*'Rate Lookup'!$D$1:$D$37),IF(OR(Y49="Individual",Y49="HUF"),SUMPRODUCT(('Rate Lookup'!$A$1:$A$37=Z49)*'Rate Lookup'!$B$1:$B$37),SUMPRODUCT(('Rate Lookup'!$A$1:$A$37=Z49)*'Rate Lookup'!$C$1:$C$37)))))</f>
      </c>
      <c r="AB49" s="30"/>
      <c r="AC49" s="31"/>
      <c r="AD49" s="27">
        <f>IF($B49&lt;&gt;"Entry","",ROUND(AC49*AA49/100,0))</f>
      </c>
      <c r="AE49" s="27">
        <f>IF($B49&lt;&gt;"Entry","",0)</f>
      </c>
      <c r="AF49" s="27">
        <f>IF($B49&lt;&gt;"Entry","",0)</f>
      </c>
      <c r="AG49" s="27">
        <f>IF($B49&lt;&gt;"Entry","",IF(OR(AD49=0,AB49="",AQ49="",AQ49&lt;=0),0,IF(AQ49&lt;=DATE(YEAR(AB49),MONTH(AB49)+1,7),0,ROUND(AD49*0.015*((YEAR(AQ49)-YEAR(AB49))*12+(MONTH(AQ49)-MONTH(AB49))+1),0))))</f>
      </c>
      <c r="AH49" s="27">
        <f>IF($B49&lt;&gt;"Entry","",0)</f>
      </c>
      <c r="AI49" s="28"/>
      <c r="AJ49" s="28"/>
      <c r="AK49" s="32"/>
      <c r="AL49" s="28"/>
      <c r="AM49" s="28"/>
      <c r="AN49" s="27">
        <f>IF($B49&lt;&gt;"Challan","",SUMIF('Q1 Data'!$D$4:$D$207,D49,'Q1 Data'!$AD$4:$AD$207)+SUMIF('Q1 Data'!$D$4:$D$207,D49,'Q1 Data'!$AG$4:$AG$207)+SUMIF('Q1 Data'!$D$4:$D$207,D49,'Q1 Data'!$AE$4:$AE$207)+SUMIF('Q2 Data'!$D$4:$D$207,D49,'Q2 Data'!$AD$4:$AD$207)+SUMIF('Q2 Data'!$D$4:$D$207,D49,'Q2 Data'!$AG$4:$AG$207)+SUMIF('Q2 Data'!$D$4:$D$207,D49,'Q2 Data'!$AE$4:$AE$207)+SUMIF('Q3 Data'!$D$4:$D$207,D49,'Q3 Data'!$AD$4:$AD$207)+SUMIF('Q3 Data'!$D$4:$D$207,D49,'Q3 Data'!$AG$4:$AG$207)+SUMIF('Q3 Data'!$D$4:$D$207,D49,'Q3 Data'!$AE$4:$AE$207)+SUMIF('Q4 Data'!$D$4:$D$207,D49,'Q4 Data'!$AD$4:$AD$207)+SUMIF('Q4 Data'!$D$4:$D$207,D49,'Q4 Data'!$AG$4:$AG$207)+SUMIF('Q4 Data'!$D$4:$D$207,D49,'Q4 Data'!$AE$4:$AE$207))</f>
      </c>
      <c r="AO49" s="27">
        <f>IF($B49&lt;&gt;"Challan","",P49-N49)</f>
      </c>
      <c r="AP49" s="27">
        <f>IF($B49&lt;&gt;"Challan","",MAX(0,AO49-AN49))</f>
      </c>
      <c r="AQ49" s="33">
        <f>IF($B49&lt;&gt;"Entry","",SUMPRODUCT(('Q1 Data'!$D$4:$D$207=D49)*('Q1 Data'!$B$4:$B$207="Challan")*'Q1 Data'!$F$4:$F$207)+SUMPRODUCT(('Q2 Data'!$D$4:$D$207=D49)*('Q2 Data'!$B$4:$B$207="Challan")*'Q2 Data'!$F$4:$F$207)+SUMPRODUCT(('Q3 Data'!$D$4:$D$207=D49)*('Q3 Data'!$B$4:$B$207="Challan")*'Q3 Data'!$F$4:$F$207)+SUMPRODUCT(('Q4 Data'!$D$4:$D$207=D49)*('Q4 Data'!$B$4:$B$207="Challan")*'Q4 Data'!$F$4:$F$207))</f>
      </c>
      <c r="AR49" s="34">
        <f>IF(OR($B49&lt;&gt;"Entry",Z49=""),FALSE,AND((SUMPRODUCT(('Q1 Data'!$D$4:$D$207=D49)*('Q1 Data'!$B$4:$B$207="Challan")*('Q1 Data'!$H$4:$H$207&lt;&gt;""))+SUMPRODUCT(('Q2 Data'!$D$4:$D$207=D49)*('Q2 Data'!$B$4:$B$207="Challan")*('Q2 Data'!$H$4:$H$207&lt;&gt;""))+SUMPRODUCT(('Q3 Data'!$D$4:$D$207=D49)*('Q3 Data'!$B$4:$B$207="Challan")*('Q3 Data'!$H$4:$H$207&lt;&gt;""))+SUMPRODUCT(('Q4 Data'!$D$4:$D$207=D49)*('Q4 Data'!$B$4:$B$207="Challan")*('Q4 Data'!$H$4:$H$207&lt;&gt;"")))&gt;0,(SUMPRODUCT(('Q1 Data'!$D$4:$D$207=D49)*('Q1 Data'!$B$4:$B$207="Challan")*('Q1 Data'!$H$4:$H$207=Z49))+SUMPRODUCT(('Q2 Data'!$D$4:$D$207=D49)*('Q2 Data'!$B$4:$B$207="Challan")*('Q2 Data'!$H$4:$H$207=Z49))+SUMPRODUCT(('Q3 Data'!$D$4:$D$207=D49)*('Q3 Data'!$B$4:$B$207="Challan")*('Q3 Data'!$H$4:$H$207=Z49))+SUMPRODUCT(('Q4 Data'!$D$4:$D$207=D49)*('Q4 Data'!$B$4:$B$207="Challan")*('Q4 Data'!$H$4:$H$207=Z49)))=0))</f>
      </c>
    </row>
    <row r="50" spans="1:44" x14ac:dyDescent="0.25">
      <c r="A50" s="20">
        <f>IF($B50="Entry",COUNTIF($B$4:$B50,"Entry"),"")</f>
      </c>
      <c r="B50" s="21"/>
      <c r="C50" s="22"/>
      <c r="D50" s="22"/>
      <c r="E50" s="23">
        <f>IF($B50&lt;&gt;"Challan","",IF(ROUND(AN50-AO50,2)&gt;0,"Over-applied",IF(ROUND(AN50-AO50,2)=0,"Fully Utilised","Unconsumed")))</f>
      </c>
      <c r="F50" s="24"/>
      <c r="G50" s="25"/>
      <c r="H50" s="25"/>
      <c r="I50" s="26"/>
      <c r="J50" s="26"/>
      <c r="K50" s="26"/>
      <c r="L50" s="26"/>
      <c r="M50" s="26"/>
      <c r="N50" s="26"/>
      <c r="O50" s="26"/>
      <c r="P50" s="27">
        <f>IF($B50&lt;&gt;"Challan","",I50+J50+K50+L50+M50+N50)</f>
      </c>
      <c r="Q50" s="25"/>
      <c r="R50" s="25"/>
      <c r="S50" s="25"/>
      <c r="T50" s="25"/>
      <c r="U50" s="25"/>
      <c r="V50" s="28"/>
      <c r="W50" s="28"/>
      <c r="X50" s="23">
        <f>IF($B50="Entry",IF(AND(LEN(TRIM(UPPER(W50)))=10,CODE(MID(TRIM(UPPER(W50)),1,1))&gt;=65,CODE(MID(TRIM(UPPER(W50)),1,1))&lt;=90,CODE(MID(TRIM(UPPER(W50)),2,1))&gt;=65,CODE(MID(TRIM(UPPER(W50)),2,1))&lt;=90,CODE(MID(TRIM(UPPER(W50)),3,1))&gt;=65,CODE(MID(TRIM(UPPER(W50)),3,1))&lt;=90,CODE(MID(TRIM(UPPER(W50)),4,1))&gt;=65,CODE(MID(TRIM(UPPER(W50)),4,1))&lt;=90,CODE(MID(TRIM(UPPER(W50)),5,1))&gt;=65,CODE(MID(TRIM(UPPER(W50)),5,1))&lt;=90,CODE(MID(TRIM(UPPER(W50)),10,1))&gt;=65,CODE(MID(TRIM(UPPER(W50)),10,1))&lt;=90,CODE(MID(TRIM(UPPER(W50)),6,1))&gt;=48,CODE(MID(TRIM(UPPER(W50)),6,1))&lt;=57,CODE(MID(TRIM(UPPER(W50)),7,1))&gt;=48,CODE(MID(TRIM(UPPER(W50)),7,1))&lt;=57,CODE(MID(TRIM(UPPER(W50)),8,1))&gt;=48,CODE(MID(TRIM(UPPER(W50)),8,1))&lt;=57,CODE(MID(TRIM(UPPER(W50)),9,1))&gt;=48,CODE(MID(TRIM(UPPER(W50)),9,1))&lt;=57),"N","Y"),IF($B50="Challan","",IF(W50&lt;&gt;"","◄ Set Row Type","")))</f>
      </c>
      <c r="Y50" s="23">
        <f>IF($B50="Entry",IF(LEN(W50)&lt;4,"",IF(UPPER(MID(W50,4,1))="P","Individual",IF(UPPER(MID(W50,4,1))="H","HUF",IF(UPPER(MID(W50,4,1))="C","Company",IF(UPPER(MID(W50,4,1))="F","Firm",IF(UPPER(MID(W50,4,1))="L","LLP",IF(UPPER(MID(W50,4,1))="T","Trust",IF(UPPER(MID(W50,4,1))="A","AOP","")))))))),IF($B50="Challan","",IF(W50&lt;&gt;"","◄ Set Row Type","")))</f>
      </c>
      <c r="Z50" s="28"/>
      <c r="AA50" s="29">
        <f>IF($B50&lt;&gt;"Entry","",IF(Z50="","",IF(X50="Y",SUMPRODUCT(('Rate Lookup'!$A$1:$A$37=Z50)*'Rate Lookup'!$D$1:$D$37),IF(OR(Y50="Individual",Y50="HUF"),SUMPRODUCT(('Rate Lookup'!$A$1:$A$37=Z50)*'Rate Lookup'!$B$1:$B$37),SUMPRODUCT(('Rate Lookup'!$A$1:$A$37=Z50)*'Rate Lookup'!$C$1:$C$37)))))</f>
      </c>
      <c r="AB50" s="30"/>
      <c r="AC50" s="31"/>
      <c r="AD50" s="27">
        <f>IF($B50&lt;&gt;"Entry","",ROUND(AC50*AA50/100,0))</f>
      </c>
      <c r="AE50" s="27">
        <f>IF($B50&lt;&gt;"Entry","",0)</f>
      </c>
      <c r="AF50" s="27">
        <f>IF($B50&lt;&gt;"Entry","",0)</f>
      </c>
      <c r="AG50" s="27">
        <f>IF($B50&lt;&gt;"Entry","",IF(OR(AD50=0,AB50="",AQ50="",AQ50&lt;=0),0,IF(AQ50&lt;=DATE(YEAR(AB50),MONTH(AB50)+1,7),0,ROUND(AD50*0.015*((YEAR(AQ50)-YEAR(AB50))*12+(MONTH(AQ50)-MONTH(AB50))+1),0))))</f>
      </c>
      <c r="AH50" s="27">
        <f>IF($B50&lt;&gt;"Entry","",0)</f>
      </c>
      <c r="AI50" s="28"/>
      <c r="AJ50" s="28"/>
      <c r="AK50" s="32"/>
      <c r="AL50" s="28"/>
      <c r="AM50" s="28"/>
      <c r="AN50" s="27">
        <f>IF($B50&lt;&gt;"Challan","",SUMIF('Q1 Data'!$D$4:$D$207,D50,'Q1 Data'!$AD$4:$AD$207)+SUMIF('Q1 Data'!$D$4:$D$207,D50,'Q1 Data'!$AG$4:$AG$207)+SUMIF('Q1 Data'!$D$4:$D$207,D50,'Q1 Data'!$AE$4:$AE$207)+SUMIF('Q2 Data'!$D$4:$D$207,D50,'Q2 Data'!$AD$4:$AD$207)+SUMIF('Q2 Data'!$D$4:$D$207,D50,'Q2 Data'!$AG$4:$AG$207)+SUMIF('Q2 Data'!$D$4:$D$207,D50,'Q2 Data'!$AE$4:$AE$207)+SUMIF('Q3 Data'!$D$4:$D$207,D50,'Q3 Data'!$AD$4:$AD$207)+SUMIF('Q3 Data'!$D$4:$D$207,D50,'Q3 Data'!$AG$4:$AG$207)+SUMIF('Q3 Data'!$D$4:$D$207,D50,'Q3 Data'!$AE$4:$AE$207)+SUMIF('Q4 Data'!$D$4:$D$207,D50,'Q4 Data'!$AD$4:$AD$207)+SUMIF('Q4 Data'!$D$4:$D$207,D50,'Q4 Data'!$AG$4:$AG$207)+SUMIF('Q4 Data'!$D$4:$D$207,D50,'Q4 Data'!$AE$4:$AE$207))</f>
      </c>
      <c r="AO50" s="27">
        <f>IF($B50&lt;&gt;"Challan","",P50-N50)</f>
      </c>
      <c r="AP50" s="27">
        <f>IF($B50&lt;&gt;"Challan","",MAX(0,AO50-AN50))</f>
      </c>
      <c r="AQ50" s="33">
        <f>IF($B50&lt;&gt;"Entry","",SUMPRODUCT(('Q1 Data'!$D$4:$D$207=D50)*('Q1 Data'!$B$4:$B$207="Challan")*'Q1 Data'!$F$4:$F$207)+SUMPRODUCT(('Q2 Data'!$D$4:$D$207=D50)*('Q2 Data'!$B$4:$B$207="Challan")*'Q2 Data'!$F$4:$F$207)+SUMPRODUCT(('Q3 Data'!$D$4:$D$207=D50)*('Q3 Data'!$B$4:$B$207="Challan")*'Q3 Data'!$F$4:$F$207)+SUMPRODUCT(('Q4 Data'!$D$4:$D$207=D50)*('Q4 Data'!$B$4:$B$207="Challan")*'Q4 Data'!$F$4:$F$207))</f>
      </c>
      <c r="AR50" s="34">
        <f>IF(OR($B50&lt;&gt;"Entry",Z50=""),FALSE,AND((SUMPRODUCT(('Q1 Data'!$D$4:$D$207=D50)*('Q1 Data'!$B$4:$B$207="Challan")*('Q1 Data'!$H$4:$H$207&lt;&gt;""))+SUMPRODUCT(('Q2 Data'!$D$4:$D$207=D50)*('Q2 Data'!$B$4:$B$207="Challan")*('Q2 Data'!$H$4:$H$207&lt;&gt;""))+SUMPRODUCT(('Q3 Data'!$D$4:$D$207=D50)*('Q3 Data'!$B$4:$B$207="Challan")*('Q3 Data'!$H$4:$H$207&lt;&gt;""))+SUMPRODUCT(('Q4 Data'!$D$4:$D$207=D50)*('Q4 Data'!$B$4:$B$207="Challan")*('Q4 Data'!$H$4:$H$207&lt;&gt;"")))&gt;0,(SUMPRODUCT(('Q1 Data'!$D$4:$D$207=D50)*('Q1 Data'!$B$4:$B$207="Challan")*('Q1 Data'!$H$4:$H$207=Z50))+SUMPRODUCT(('Q2 Data'!$D$4:$D$207=D50)*('Q2 Data'!$B$4:$B$207="Challan")*('Q2 Data'!$H$4:$H$207=Z50))+SUMPRODUCT(('Q3 Data'!$D$4:$D$207=D50)*('Q3 Data'!$B$4:$B$207="Challan")*('Q3 Data'!$H$4:$H$207=Z50))+SUMPRODUCT(('Q4 Data'!$D$4:$D$207=D50)*('Q4 Data'!$B$4:$B$207="Challan")*('Q4 Data'!$H$4:$H$207=Z50)))=0))</f>
      </c>
    </row>
    <row r="51" spans="1:44" x14ac:dyDescent="0.25">
      <c r="A51" s="20">
        <f>IF($B51="Entry",COUNTIF($B$4:$B51,"Entry"),"")</f>
      </c>
      <c r="B51" s="21"/>
      <c r="C51" s="22"/>
      <c r="D51" s="22"/>
      <c r="E51" s="23">
        <f>IF($B51&lt;&gt;"Challan","",IF(ROUND(AN51-AO51,2)&gt;0,"Over-applied",IF(ROUND(AN51-AO51,2)=0,"Fully Utilised","Unconsumed")))</f>
      </c>
      <c r="F51" s="24"/>
      <c r="G51" s="25"/>
      <c r="H51" s="25"/>
      <c r="I51" s="26"/>
      <c r="J51" s="26"/>
      <c r="K51" s="26"/>
      <c r="L51" s="26"/>
      <c r="M51" s="26"/>
      <c r="N51" s="26"/>
      <c r="O51" s="26"/>
      <c r="P51" s="27">
        <f>IF($B51&lt;&gt;"Challan","",I51+J51+K51+L51+M51+N51)</f>
      </c>
      <c r="Q51" s="25"/>
      <c r="R51" s="25"/>
      <c r="S51" s="25"/>
      <c r="T51" s="25"/>
      <c r="U51" s="25"/>
      <c r="V51" s="28"/>
      <c r="W51" s="28"/>
      <c r="X51" s="23">
        <f>IF($B51="Entry",IF(AND(LEN(TRIM(UPPER(W51)))=10,CODE(MID(TRIM(UPPER(W51)),1,1))&gt;=65,CODE(MID(TRIM(UPPER(W51)),1,1))&lt;=90,CODE(MID(TRIM(UPPER(W51)),2,1))&gt;=65,CODE(MID(TRIM(UPPER(W51)),2,1))&lt;=90,CODE(MID(TRIM(UPPER(W51)),3,1))&gt;=65,CODE(MID(TRIM(UPPER(W51)),3,1))&lt;=90,CODE(MID(TRIM(UPPER(W51)),4,1))&gt;=65,CODE(MID(TRIM(UPPER(W51)),4,1))&lt;=90,CODE(MID(TRIM(UPPER(W51)),5,1))&gt;=65,CODE(MID(TRIM(UPPER(W51)),5,1))&lt;=90,CODE(MID(TRIM(UPPER(W51)),10,1))&gt;=65,CODE(MID(TRIM(UPPER(W51)),10,1))&lt;=90,CODE(MID(TRIM(UPPER(W51)),6,1))&gt;=48,CODE(MID(TRIM(UPPER(W51)),6,1))&lt;=57,CODE(MID(TRIM(UPPER(W51)),7,1))&gt;=48,CODE(MID(TRIM(UPPER(W51)),7,1))&lt;=57,CODE(MID(TRIM(UPPER(W51)),8,1))&gt;=48,CODE(MID(TRIM(UPPER(W51)),8,1))&lt;=57,CODE(MID(TRIM(UPPER(W51)),9,1))&gt;=48,CODE(MID(TRIM(UPPER(W51)),9,1))&lt;=57),"N","Y"),IF($B51="Challan","",IF(W51&lt;&gt;"","◄ Set Row Type","")))</f>
      </c>
      <c r="Y51" s="23">
        <f>IF($B51="Entry",IF(LEN(W51)&lt;4,"",IF(UPPER(MID(W51,4,1))="P","Individual",IF(UPPER(MID(W51,4,1))="H","HUF",IF(UPPER(MID(W51,4,1))="C","Company",IF(UPPER(MID(W51,4,1))="F","Firm",IF(UPPER(MID(W51,4,1))="L","LLP",IF(UPPER(MID(W51,4,1))="T","Trust",IF(UPPER(MID(W51,4,1))="A","AOP","")))))))),IF($B51="Challan","",IF(W51&lt;&gt;"","◄ Set Row Type","")))</f>
      </c>
      <c r="Z51" s="28"/>
      <c r="AA51" s="29">
        <f>IF($B51&lt;&gt;"Entry","",IF(Z51="","",IF(X51="Y",SUMPRODUCT(('Rate Lookup'!$A$1:$A$37=Z51)*'Rate Lookup'!$D$1:$D$37),IF(OR(Y51="Individual",Y51="HUF"),SUMPRODUCT(('Rate Lookup'!$A$1:$A$37=Z51)*'Rate Lookup'!$B$1:$B$37),SUMPRODUCT(('Rate Lookup'!$A$1:$A$37=Z51)*'Rate Lookup'!$C$1:$C$37)))))</f>
      </c>
      <c r="AB51" s="30"/>
      <c r="AC51" s="31"/>
      <c r="AD51" s="27">
        <f>IF($B51&lt;&gt;"Entry","",ROUND(AC51*AA51/100,0))</f>
      </c>
      <c r="AE51" s="27">
        <f>IF($B51&lt;&gt;"Entry","",0)</f>
      </c>
      <c r="AF51" s="27">
        <f>IF($B51&lt;&gt;"Entry","",0)</f>
      </c>
      <c r="AG51" s="27">
        <f>IF($B51&lt;&gt;"Entry","",IF(OR(AD51=0,AB51="",AQ51="",AQ51&lt;=0),0,IF(AQ51&lt;=DATE(YEAR(AB51),MONTH(AB51)+1,7),0,ROUND(AD51*0.015*((YEAR(AQ51)-YEAR(AB51))*12+(MONTH(AQ51)-MONTH(AB51))+1),0))))</f>
      </c>
      <c r="AH51" s="27">
        <f>IF($B51&lt;&gt;"Entry","",0)</f>
      </c>
      <c r="AI51" s="28"/>
      <c r="AJ51" s="28"/>
      <c r="AK51" s="32"/>
      <c r="AL51" s="28"/>
      <c r="AM51" s="28"/>
      <c r="AN51" s="27">
        <f>IF($B51&lt;&gt;"Challan","",SUMIF('Q1 Data'!$D$4:$D$207,D51,'Q1 Data'!$AD$4:$AD$207)+SUMIF('Q1 Data'!$D$4:$D$207,D51,'Q1 Data'!$AG$4:$AG$207)+SUMIF('Q1 Data'!$D$4:$D$207,D51,'Q1 Data'!$AE$4:$AE$207)+SUMIF('Q2 Data'!$D$4:$D$207,D51,'Q2 Data'!$AD$4:$AD$207)+SUMIF('Q2 Data'!$D$4:$D$207,D51,'Q2 Data'!$AG$4:$AG$207)+SUMIF('Q2 Data'!$D$4:$D$207,D51,'Q2 Data'!$AE$4:$AE$207)+SUMIF('Q3 Data'!$D$4:$D$207,D51,'Q3 Data'!$AD$4:$AD$207)+SUMIF('Q3 Data'!$D$4:$D$207,D51,'Q3 Data'!$AG$4:$AG$207)+SUMIF('Q3 Data'!$D$4:$D$207,D51,'Q3 Data'!$AE$4:$AE$207)+SUMIF('Q4 Data'!$D$4:$D$207,D51,'Q4 Data'!$AD$4:$AD$207)+SUMIF('Q4 Data'!$D$4:$D$207,D51,'Q4 Data'!$AG$4:$AG$207)+SUMIF('Q4 Data'!$D$4:$D$207,D51,'Q4 Data'!$AE$4:$AE$207))</f>
      </c>
      <c r="AO51" s="27">
        <f>IF($B51&lt;&gt;"Challan","",P51-N51)</f>
      </c>
      <c r="AP51" s="27">
        <f>IF($B51&lt;&gt;"Challan","",MAX(0,AO51-AN51))</f>
      </c>
      <c r="AQ51" s="33">
        <f>IF($B51&lt;&gt;"Entry","",SUMPRODUCT(('Q1 Data'!$D$4:$D$207=D51)*('Q1 Data'!$B$4:$B$207="Challan")*'Q1 Data'!$F$4:$F$207)+SUMPRODUCT(('Q2 Data'!$D$4:$D$207=D51)*('Q2 Data'!$B$4:$B$207="Challan")*'Q2 Data'!$F$4:$F$207)+SUMPRODUCT(('Q3 Data'!$D$4:$D$207=D51)*('Q3 Data'!$B$4:$B$207="Challan")*'Q3 Data'!$F$4:$F$207)+SUMPRODUCT(('Q4 Data'!$D$4:$D$207=D51)*('Q4 Data'!$B$4:$B$207="Challan")*'Q4 Data'!$F$4:$F$207))</f>
      </c>
      <c r="AR51" s="34">
        <f>IF(OR($B51&lt;&gt;"Entry",Z51=""),FALSE,AND((SUMPRODUCT(('Q1 Data'!$D$4:$D$207=D51)*('Q1 Data'!$B$4:$B$207="Challan")*('Q1 Data'!$H$4:$H$207&lt;&gt;""))+SUMPRODUCT(('Q2 Data'!$D$4:$D$207=D51)*('Q2 Data'!$B$4:$B$207="Challan")*('Q2 Data'!$H$4:$H$207&lt;&gt;""))+SUMPRODUCT(('Q3 Data'!$D$4:$D$207=D51)*('Q3 Data'!$B$4:$B$207="Challan")*('Q3 Data'!$H$4:$H$207&lt;&gt;""))+SUMPRODUCT(('Q4 Data'!$D$4:$D$207=D51)*('Q4 Data'!$B$4:$B$207="Challan")*('Q4 Data'!$H$4:$H$207&lt;&gt;"")))&gt;0,(SUMPRODUCT(('Q1 Data'!$D$4:$D$207=D51)*('Q1 Data'!$B$4:$B$207="Challan")*('Q1 Data'!$H$4:$H$207=Z51))+SUMPRODUCT(('Q2 Data'!$D$4:$D$207=D51)*('Q2 Data'!$B$4:$B$207="Challan")*('Q2 Data'!$H$4:$H$207=Z51))+SUMPRODUCT(('Q3 Data'!$D$4:$D$207=D51)*('Q3 Data'!$B$4:$B$207="Challan")*('Q3 Data'!$H$4:$H$207=Z51))+SUMPRODUCT(('Q4 Data'!$D$4:$D$207=D51)*('Q4 Data'!$B$4:$B$207="Challan")*('Q4 Data'!$H$4:$H$207=Z51)))=0))</f>
      </c>
    </row>
    <row r="52" spans="1:44" x14ac:dyDescent="0.25">
      <c r="A52" s="20">
        <f>IF($B52="Entry",COUNTIF($B$4:$B52,"Entry"),"")</f>
      </c>
      <c r="B52" s="21"/>
      <c r="C52" s="22"/>
      <c r="D52" s="22"/>
      <c r="E52" s="23">
        <f>IF($B52&lt;&gt;"Challan","",IF(ROUND(AN52-AO52,2)&gt;0,"Over-applied",IF(ROUND(AN52-AO52,2)=0,"Fully Utilised","Unconsumed")))</f>
      </c>
      <c r="F52" s="24"/>
      <c r="G52" s="25"/>
      <c r="H52" s="25"/>
      <c r="I52" s="26"/>
      <c r="J52" s="26"/>
      <c r="K52" s="26"/>
      <c r="L52" s="26"/>
      <c r="M52" s="26"/>
      <c r="N52" s="26"/>
      <c r="O52" s="26"/>
      <c r="P52" s="27">
        <f>IF($B52&lt;&gt;"Challan","",I52+J52+K52+L52+M52+N52)</f>
      </c>
      <c r="Q52" s="25"/>
      <c r="R52" s="25"/>
      <c r="S52" s="25"/>
      <c r="T52" s="25"/>
      <c r="U52" s="25"/>
      <c r="V52" s="28"/>
      <c r="W52" s="28"/>
      <c r="X52" s="23">
        <f>IF($B52="Entry",IF(AND(LEN(TRIM(UPPER(W52)))=10,CODE(MID(TRIM(UPPER(W52)),1,1))&gt;=65,CODE(MID(TRIM(UPPER(W52)),1,1))&lt;=90,CODE(MID(TRIM(UPPER(W52)),2,1))&gt;=65,CODE(MID(TRIM(UPPER(W52)),2,1))&lt;=90,CODE(MID(TRIM(UPPER(W52)),3,1))&gt;=65,CODE(MID(TRIM(UPPER(W52)),3,1))&lt;=90,CODE(MID(TRIM(UPPER(W52)),4,1))&gt;=65,CODE(MID(TRIM(UPPER(W52)),4,1))&lt;=90,CODE(MID(TRIM(UPPER(W52)),5,1))&gt;=65,CODE(MID(TRIM(UPPER(W52)),5,1))&lt;=90,CODE(MID(TRIM(UPPER(W52)),10,1))&gt;=65,CODE(MID(TRIM(UPPER(W52)),10,1))&lt;=90,CODE(MID(TRIM(UPPER(W52)),6,1))&gt;=48,CODE(MID(TRIM(UPPER(W52)),6,1))&lt;=57,CODE(MID(TRIM(UPPER(W52)),7,1))&gt;=48,CODE(MID(TRIM(UPPER(W52)),7,1))&lt;=57,CODE(MID(TRIM(UPPER(W52)),8,1))&gt;=48,CODE(MID(TRIM(UPPER(W52)),8,1))&lt;=57,CODE(MID(TRIM(UPPER(W52)),9,1))&gt;=48,CODE(MID(TRIM(UPPER(W52)),9,1))&lt;=57),"N","Y"),IF($B52="Challan","",IF(W52&lt;&gt;"","◄ Set Row Type","")))</f>
      </c>
      <c r="Y52" s="23">
        <f>IF($B52="Entry",IF(LEN(W52)&lt;4,"",IF(UPPER(MID(W52,4,1))="P","Individual",IF(UPPER(MID(W52,4,1))="H","HUF",IF(UPPER(MID(W52,4,1))="C","Company",IF(UPPER(MID(W52,4,1))="F","Firm",IF(UPPER(MID(W52,4,1))="L","LLP",IF(UPPER(MID(W52,4,1))="T","Trust",IF(UPPER(MID(W52,4,1))="A","AOP","")))))))),IF($B52="Challan","",IF(W52&lt;&gt;"","◄ Set Row Type","")))</f>
      </c>
      <c r="Z52" s="28"/>
      <c r="AA52" s="29">
        <f>IF($B52&lt;&gt;"Entry","",IF(Z52="","",IF(X52="Y",SUMPRODUCT(('Rate Lookup'!$A$1:$A$37=Z52)*'Rate Lookup'!$D$1:$D$37),IF(OR(Y52="Individual",Y52="HUF"),SUMPRODUCT(('Rate Lookup'!$A$1:$A$37=Z52)*'Rate Lookup'!$B$1:$B$37),SUMPRODUCT(('Rate Lookup'!$A$1:$A$37=Z52)*'Rate Lookup'!$C$1:$C$37)))))</f>
      </c>
      <c r="AB52" s="30"/>
      <c r="AC52" s="31"/>
      <c r="AD52" s="27">
        <f>IF($B52&lt;&gt;"Entry","",ROUND(AC52*AA52/100,0))</f>
      </c>
      <c r="AE52" s="27">
        <f>IF($B52&lt;&gt;"Entry","",0)</f>
      </c>
      <c r="AF52" s="27">
        <f>IF($B52&lt;&gt;"Entry","",0)</f>
      </c>
      <c r="AG52" s="27">
        <f>IF($B52&lt;&gt;"Entry","",IF(OR(AD52=0,AB52="",AQ52="",AQ52&lt;=0),0,IF(AQ52&lt;=DATE(YEAR(AB52),MONTH(AB52)+1,7),0,ROUND(AD52*0.015*((YEAR(AQ52)-YEAR(AB52))*12+(MONTH(AQ52)-MONTH(AB52))+1),0))))</f>
      </c>
      <c r="AH52" s="27">
        <f>IF($B52&lt;&gt;"Entry","",0)</f>
      </c>
      <c r="AI52" s="28"/>
      <c r="AJ52" s="28"/>
      <c r="AK52" s="32"/>
      <c r="AL52" s="28"/>
      <c r="AM52" s="28"/>
      <c r="AN52" s="27">
        <f>IF($B52&lt;&gt;"Challan","",SUMIF('Q1 Data'!$D$4:$D$207,D52,'Q1 Data'!$AD$4:$AD$207)+SUMIF('Q1 Data'!$D$4:$D$207,D52,'Q1 Data'!$AG$4:$AG$207)+SUMIF('Q1 Data'!$D$4:$D$207,D52,'Q1 Data'!$AE$4:$AE$207)+SUMIF('Q2 Data'!$D$4:$D$207,D52,'Q2 Data'!$AD$4:$AD$207)+SUMIF('Q2 Data'!$D$4:$D$207,D52,'Q2 Data'!$AG$4:$AG$207)+SUMIF('Q2 Data'!$D$4:$D$207,D52,'Q2 Data'!$AE$4:$AE$207)+SUMIF('Q3 Data'!$D$4:$D$207,D52,'Q3 Data'!$AD$4:$AD$207)+SUMIF('Q3 Data'!$D$4:$D$207,D52,'Q3 Data'!$AG$4:$AG$207)+SUMIF('Q3 Data'!$D$4:$D$207,D52,'Q3 Data'!$AE$4:$AE$207)+SUMIF('Q4 Data'!$D$4:$D$207,D52,'Q4 Data'!$AD$4:$AD$207)+SUMIF('Q4 Data'!$D$4:$D$207,D52,'Q4 Data'!$AG$4:$AG$207)+SUMIF('Q4 Data'!$D$4:$D$207,D52,'Q4 Data'!$AE$4:$AE$207))</f>
      </c>
      <c r="AO52" s="27">
        <f>IF($B52&lt;&gt;"Challan","",P52-N52)</f>
      </c>
      <c r="AP52" s="27">
        <f>IF($B52&lt;&gt;"Challan","",MAX(0,AO52-AN52))</f>
      </c>
      <c r="AQ52" s="33">
        <f>IF($B52&lt;&gt;"Entry","",SUMPRODUCT(('Q1 Data'!$D$4:$D$207=D52)*('Q1 Data'!$B$4:$B$207="Challan")*'Q1 Data'!$F$4:$F$207)+SUMPRODUCT(('Q2 Data'!$D$4:$D$207=D52)*('Q2 Data'!$B$4:$B$207="Challan")*'Q2 Data'!$F$4:$F$207)+SUMPRODUCT(('Q3 Data'!$D$4:$D$207=D52)*('Q3 Data'!$B$4:$B$207="Challan")*'Q3 Data'!$F$4:$F$207)+SUMPRODUCT(('Q4 Data'!$D$4:$D$207=D52)*('Q4 Data'!$B$4:$B$207="Challan")*'Q4 Data'!$F$4:$F$207))</f>
      </c>
      <c r="AR52" s="34">
        <f>IF(OR($B52&lt;&gt;"Entry",Z52=""),FALSE,AND((SUMPRODUCT(('Q1 Data'!$D$4:$D$207=D52)*('Q1 Data'!$B$4:$B$207="Challan")*('Q1 Data'!$H$4:$H$207&lt;&gt;""))+SUMPRODUCT(('Q2 Data'!$D$4:$D$207=D52)*('Q2 Data'!$B$4:$B$207="Challan")*('Q2 Data'!$H$4:$H$207&lt;&gt;""))+SUMPRODUCT(('Q3 Data'!$D$4:$D$207=D52)*('Q3 Data'!$B$4:$B$207="Challan")*('Q3 Data'!$H$4:$H$207&lt;&gt;""))+SUMPRODUCT(('Q4 Data'!$D$4:$D$207=D52)*('Q4 Data'!$B$4:$B$207="Challan")*('Q4 Data'!$H$4:$H$207&lt;&gt;"")))&gt;0,(SUMPRODUCT(('Q1 Data'!$D$4:$D$207=D52)*('Q1 Data'!$B$4:$B$207="Challan")*('Q1 Data'!$H$4:$H$207=Z52))+SUMPRODUCT(('Q2 Data'!$D$4:$D$207=D52)*('Q2 Data'!$B$4:$B$207="Challan")*('Q2 Data'!$H$4:$H$207=Z52))+SUMPRODUCT(('Q3 Data'!$D$4:$D$207=D52)*('Q3 Data'!$B$4:$B$207="Challan")*('Q3 Data'!$H$4:$H$207=Z52))+SUMPRODUCT(('Q4 Data'!$D$4:$D$207=D52)*('Q4 Data'!$B$4:$B$207="Challan")*('Q4 Data'!$H$4:$H$207=Z52)))=0))</f>
      </c>
    </row>
    <row r="53" spans="1:44" x14ac:dyDescent="0.25">
      <c r="A53" s="20">
        <f>IF($B53="Entry",COUNTIF($B$4:$B53,"Entry"),"")</f>
      </c>
      <c r="B53" s="21"/>
      <c r="C53" s="22"/>
      <c r="D53" s="22"/>
      <c r="E53" s="23">
        <f>IF($B53&lt;&gt;"Challan","",IF(ROUND(AN53-AO53,2)&gt;0,"Over-applied",IF(ROUND(AN53-AO53,2)=0,"Fully Utilised","Unconsumed")))</f>
      </c>
      <c r="F53" s="24"/>
      <c r="G53" s="25"/>
      <c r="H53" s="25"/>
      <c r="I53" s="26"/>
      <c r="J53" s="26"/>
      <c r="K53" s="26"/>
      <c r="L53" s="26"/>
      <c r="M53" s="26"/>
      <c r="N53" s="26"/>
      <c r="O53" s="26"/>
      <c r="P53" s="27">
        <f>IF($B53&lt;&gt;"Challan","",I53+J53+K53+L53+M53+N53)</f>
      </c>
      <c r="Q53" s="25"/>
      <c r="R53" s="25"/>
      <c r="S53" s="25"/>
      <c r="T53" s="25"/>
      <c r="U53" s="25"/>
      <c r="V53" s="28"/>
      <c r="W53" s="28"/>
      <c r="X53" s="23">
        <f>IF($B53="Entry",IF(AND(LEN(TRIM(UPPER(W53)))=10,CODE(MID(TRIM(UPPER(W53)),1,1))&gt;=65,CODE(MID(TRIM(UPPER(W53)),1,1))&lt;=90,CODE(MID(TRIM(UPPER(W53)),2,1))&gt;=65,CODE(MID(TRIM(UPPER(W53)),2,1))&lt;=90,CODE(MID(TRIM(UPPER(W53)),3,1))&gt;=65,CODE(MID(TRIM(UPPER(W53)),3,1))&lt;=90,CODE(MID(TRIM(UPPER(W53)),4,1))&gt;=65,CODE(MID(TRIM(UPPER(W53)),4,1))&lt;=90,CODE(MID(TRIM(UPPER(W53)),5,1))&gt;=65,CODE(MID(TRIM(UPPER(W53)),5,1))&lt;=90,CODE(MID(TRIM(UPPER(W53)),10,1))&gt;=65,CODE(MID(TRIM(UPPER(W53)),10,1))&lt;=90,CODE(MID(TRIM(UPPER(W53)),6,1))&gt;=48,CODE(MID(TRIM(UPPER(W53)),6,1))&lt;=57,CODE(MID(TRIM(UPPER(W53)),7,1))&gt;=48,CODE(MID(TRIM(UPPER(W53)),7,1))&lt;=57,CODE(MID(TRIM(UPPER(W53)),8,1))&gt;=48,CODE(MID(TRIM(UPPER(W53)),8,1))&lt;=57,CODE(MID(TRIM(UPPER(W53)),9,1))&gt;=48,CODE(MID(TRIM(UPPER(W53)),9,1))&lt;=57),"N","Y"),IF($B53="Challan","",IF(W53&lt;&gt;"","◄ Set Row Type","")))</f>
      </c>
      <c r="Y53" s="23">
        <f>IF($B53="Entry",IF(LEN(W53)&lt;4,"",IF(UPPER(MID(W53,4,1))="P","Individual",IF(UPPER(MID(W53,4,1))="H","HUF",IF(UPPER(MID(W53,4,1))="C","Company",IF(UPPER(MID(W53,4,1))="F","Firm",IF(UPPER(MID(W53,4,1))="L","LLP",IF(UPPER(MID(W53,4,1))="T","Trust",IF(UPPER(MID(W53,4,1))="A","AOP","")))))))),IF($B53="Challan","",IF(W53&lt;&gt;"","◄ Set Row Type","")))</f>
      </c>
      <c r="Z53" s="28"/>
      <c r="AA53" s="29">
        <f>IF($B53&lt;&gt;"Entry","",IF(Z53="","",IF(X53="Y",SUMPRODUCT(('Rate Lookup'!$A$1:$A$37=Z53)*'Rate Lookup'!$D$1:$D$37),IF(OR(Y53="Individual",Y53="HUF"),SUMPRODUCT(('Rate Lookup'!$A$1:$A$37=Z53)*'Rate Lookup'!$B$1:$B$37),SUMPRODUCT(('Rate Lookup'!$A$1:$A$37=Z53)*'Rate Lookup'!$C$1:$C$37)))))</f>
      </c>
      <c r="AB53" s="30"/>
      <c r="AC53" s="31"/>
      <c r="AD53" s="27">
        <f>IF($B53&lt;&gt;"Entry","",ROUND(AC53*AA53/100,0))</f>
      </c>
      <c r="AE53" s="27">
        <f>IF($B53&lt;&gt;"Entry","",0)</f>
      </c>
      <c r="AF53" s="27">
        <f>IF($B53&lt;&gt;"Entry","",0)</f>
      </c>
      <c r="AG53" s="27">
        <f>IF($B53&lt;&gt;"Entry","",IF(OR(AD53=0,AB53="",AQ53="",AQ53&lt;=0),0,IF(AQ53&lt;=DATE(YEAR(AB53),MONTH(AB53)+1,7),0,ROUND(AD53*0.015*((YEAR(AQ53)-YEAR(AB53))*12+(MONTH(AQ53)-MONTH(AB53))+1),0))))</f>
      </c>
      <c r="AH53" s="27">
        <f>IF($B53&lt;&gt;"Entry","",0)</f>
      </c>
      <c r="AI53" s="28"/>
      <c r="AJ53" s="28"/>
      <c r="AK53" s="32"/>
      <c r="AL53" s="28"/>
      <c r="AM53" s="28"/>
      <c r="AN53" s="27">
        <f>IF($B53&lt;&gt;"Challan","",SUMIF('Q1 Data'!$D$4:$D$207,D53,'Q1 Data'!$AD$4:$AD$207)+SUMIF('Q1 Data'!$D$4:$D$207,D53,'Q1 Data'!$AG$4:$AG$207)+SUMIF('Q1 Data'!$D$4:$D$207,D53,'Q1 Data'!$AE$4:$AE$207)+SUMIF('Q2 Data'!$D$4:$D$207,D53,'Q2 Data'!$AD$4:$AD$207)+SUMIF('Q2 Data'!$D$4:$D$207,D53,'Q2 Data'!$AG$4:$AG$207)+SUMIF('Q2 Data'!$D$4:$D$207,D53,'Q2 Data'!$AE$4:$AE$207)+SUMIF('Q3 Data'!$D$4:$D$207,D53,'Q3 Data'!$AD$4:$AD$207)+SUMIF('Q3 Data'!$D$4:$D$207,D53,'Q3 Data'!$AG$4:$AG$207)+SUMIF('Q3 Data'!$D$4:$D$207,D53,'Q3 Data'!$AE$4:$AE$207)+SUMIF('Q4 Data'!$D$4:$D$207,D53,'Q4 Data'!$AD$4:$AD$207)+SUMIF('Q4 Data'!$D$4:$D$207,D53,'Q4 Data'!$AG$4:$AG$207)+SUMIF('Q4 Data'!$D$4:$D$207,D53,'Q4 Data'!$AE$4:$AE$207))</f>
      </c>
      <c r="AO53" s="27">
        <f>IF($B53&lt;&gt;"Challan","",P53-N53)</f>
      </c>
      <c r="AP53" s="27">
        <f>IF($B53&lt;&gt;"Challan","",MAX(0,AO53-AN53))</f>
      </c>
      <c r="AQ53" s="33">
        <f>IF($B53&lt;&gt;"Entry","",SUMPRODUCT(('Q1 Data'!$D$4:$D$207=D53)*('Q1 Data'!$B$4:$B$207="Challan")*'Q1 Data'!$F$4:$F$207)+SUMPRODUCT(('Q2 Data'!$D$4:$D$207=D53)*('Q2 Data'!$B$4:$B$207="Challan")*'Q2 Data'!$F$4:$F$207)+SUMPRODUCT(('Q3 Data'!$D$4:$D$207=D53)*('Q3 Data'!$B$4:$B$207="Challan")*'Q3 Data'!$F$4:$F$207)+SUMPRODUCT(('Q4 Data'!$D$4:$D$207=D53)*('Q4 Data'!$B$4:$B$207="Challan")*'Q4 Data'!$F$4:$F$207))</f>
      </c>
      <c r="AR53" s="34">
        <f>IF(OR($B53&lt;&gt;"Entry",Z53=""),FALSE,AND((SUMPRODUCT(('Q1 Data'!$D$4:$D$207=D53)*('Q1 Data'!$B$4:$B$207="Challan")*('Q1 Data'!$H$4:$H$207&lt;&gt;""))+SUMPRODUCT(('Q2 Data'!$D$4:$D$207=D53)*('Q2 Data'!$B$4:$B$207="Challan")*('Q2 Data'!$H$4:$H$207&lt;&gt;""))+SUMPRODUCT(('Q3 Data'!$D$4:$D$207=D53)*('Q3 Data'!$B$4:$B$207="Challan")*('Q3 Data'!$H$4:$H$207&lt;&gt;""))+SUMPRODUCT(('Q4 Data'!$D$4:$D$207=D53)*('Q4 Data'!$B$4:$B$207="Challan")*('Q4 Data'!$H$4:$H$207&lt;&gt;"")))&gt;0,(SUMPRODUCT(('Q1 Data'!$D$4:$D$207=D53)*('Q1 Data'!$B$4:$B$207="Challan")*('Q1 Data'!$H$4:$H$207=Z53))+SUMPRODUCT(('Q2 Data'!$D$4:$D$207=D53)*('Q2 Data'!$B$4:$B$207="Challan")*('Q2 Data'!$H$4:$H$207=Z53))+SUMPRODUCT(('Q3 Data'!$D$4:$D$207=D53)*('Q3 Data'!$B$4:$B$207="Challan")*('Q3 Data'!$H$4:$H$207=Z53))+SUMPRODUCT(('Q4 Data'!$D$4:$D$207=D53)*('Q4 Data'!$B$4:$B$207="Challan")*('Q4 Data'!$H$4:$H$207=Z53)))=0))</f>
      </c>
    </row>
    <row r="54" spans="1:44" x14ac:dyDescent="0.25">
      <c r="A54" s="20">
        <f>IF($B54="Entry",COUNTIF($B$4:$B54,"Entry"),"")</f>
      </c>
      <c r="B54" s="21"/>
      <c r="C54" s="22"/>
      <c r="D54" s="22"/>
      <c r="E54" s="23">
        <f>IF($B54&lt;&gt;"Challan","",IF(ROUND(AN54-AO54,2)&gt;0,"Over-applied",IF(ROUND(AN54-AO54,2)=0,"Fully Utilised","Unconsumed")))</f>
      </c>
      <c r="F54" s="24"/>
      <c r="G54" s="25"/>
      <c r="H54" s="25"/>
      <c r="I54" s="26"/>
      <c r="J54" s="26"/>
      <c r="K54" s="26"/>
      <c r="L54" s="26"/>
      <c r="M54" s="26"/>
      <c r="N54" s="26"/>
      <c r="O54" s="26"/>
      <c r="P54" s="27">
        <f>IF($B54&lt;&gt;"Challan","",I54+J54+K54+L54+M54+N54)</f>
      </c>
      <c r="Q54" s="25"/>
      <c r="R54" s="25"/>
      <c r="S54" s="25"/>
      <c r="T54" s="25"/>
      <c r="U54" s="25"/>
      <c r="V54" s="28"/>
      <c r="W54" s="28"/>
      <c r="X54" s="23">
        <f>IF($B54="Entry",IF(AND(LEN(TRIM(UPPER(W54)))=10,CODE(MID(TRIM(UPPER(W54)),1,1))&gt;=65,CODE(MID(TRIM(UPPER(W54)),1,1))&lt;=90,CODE(MID(TRIM(UPPER(W54)),2,1))&gt;=65,CODE(MID(TRIM(UPPER(W54)),2,1))&lt;=90,CODE(MID(TRIM(UPPER(W54)),3,1))&gt;=65,CODE(MID(TRIM(UPPER(W54)),3,1))&lt;=90,CODE(MID(TRIM(UPPER(W54)),4,1))&gt;=65,CODE(MID(TRIM(UPPER(W54)),4,1))&lt;=90,CODE(MID(TRIM(UPPER(W54)),5,1))&gt;=65,CODE(MID(TRIM(UPPER(W54)),5,1))&lt;=90,CODE(MID(TRIM(UPPER(W54)),10,1))&gt;=65,CODE(MID(TRIM(UPPER(W54)),10,1))&lt;=90,CODE(MID(TRIM(UPPER(W54)),6,1))&gt;=48,CODE(MID(TRIM(UPPER(W54)),6,1))&lt;=57,CODE(MID(TRIM(UPPER(W54)),7,1))&gt;=48,CODE(MID(TRIM(UPPER(W54)),7,1))&lt;=57,CODE(MID(TRIM(UPPER(W54)),8,1))&gt;=48,CODE(MID(TRIM(UPPER(W54)),8,1))&lt;=57,CODE(MID(TRIM(UPPER(W54)),9,1))&gt;=48,CODE(MID(TRIM(UPPER(W54)),9,1))&lt;=57),"N","Y"),IF($B54="Challan","",IF(W54&lt;&gt;"","◄ Set Row Type","")))</f>
      </c>
      <c r="Y54" s="23">
        <f>IF($B54="Entry",IF(LEN(W54)&lt;4,"",IF(UPPER(MID(W54,4,1))="P","Individual",IF(UPPER(MID(W54,4,1))="H","HUF",IF(UPPER(MID(W54,4,1))="C","Company",IF(UPPER(MID(W54,4,1))="F","Firm",IF(UPPER(MID(W54,4,1))="L","LLP",IF(UPPER(MID(W54,4,1))="T","Trust",IF(UPPER(MID(W54,4,1))="A","AOP","")))))))),IF($B54="Challan","",IF(W54&lt;&gt;"","◄ Set Row Type","")))</f>
      </c>
      <c r="Z54" s="28"/>
      <c r="AA54" s="29">
        <f>IF($B54&lt;&gt;"Entry","",IF(Z54="","",IF(X54="Y",SUMPRODUCT(('Rate Lookup'!$A$1:$A$37=Z54)*'Rate Lookup'!$D$1:$D$37),IF(OR(Y54="Individual",Y54="HUF"),SUMPRODUCT(('Rate Lookup'!$A$1:$A$37=Z54)*'Rate Lookup'!$B$1:$B$37),SUMPRODUCT(('Rate Lookup'!$A$1:$A$37=Z54)*'Rate Lookup'!$C$1:$C$37)))))</f>
      </c>
      <c r="AB54" s="30"/>
      <c r="AC54" s="31"/>
      <c r="AD54" s="27">
        <f>IF($B54&lt;&gt;"Entry","",ROUND(AC54*AA54/100,0))</f>
      </c>
      <c r="AE54" s="27">
        <f>IF($B54&lt;&gt;"Entry","",0)</f>
      </c>
      <c r="AF54" s="27">
        <f>IF($B54&lt;&gt;"Entry","",0)</f>
      </c>
      <c r="AG54" s="27">
        <f>IF($B54&lt;&gt;"Entry","",IF(OR(AD54=0,AB54="",AQ54="",AQ54&lt;=0),0,IF(AQ54&lt;=DATE(YEAR(AB54),MONTH(AB54)+1,7),0,ROUND(AD54*0.015*((YEAR(AQ54)-YEAR(AB54))*12+(MONTH(AQ54)-MONTH(AB54))+1),0))))</f>
      </c>
      <c r="AH54" s="27">
        <f>IF($B54&lt;&gt;"Entry","",0)</f>
      </c>
      <c r="AI54" s="28"/>
      <c r="AJ54" s="28"/>
      <c r="AK54" s="32"/>
      <c r="AL54" s="28"/>
      <c r="AM54" s="28"/>
      <c r="AN54" s="27">
        <f>IF($B54&lt;&gt;"Challan","",SUMIF('Q1 Data'!$D$4:$D$207,D54,'Q1 Data'!$AD$4:$AD$207)+SUMIF('Q1 Data'!$D$4:$D$207,D54,'Q1 Data'!$AG$4:$AG$207)+SUMIF('Q1 Data'!$D$4:$D$207,D54,'Q1 Data'!$AE$4:$AE$207)+SUMIF('Q2 Data'!$D$4:$D$207,D54,'Q2 Data'!$AD$4:$AD$207)+SUMIF('Q2 Data'!$D$4:$D$207,D54,'Q2 Data'!$AG$4:$AG$207)+SUMIF('Q2 Data'!$D$4:$D$207,D54,'Q2 Data'!$AE$4:$AE$207)+SUMIF('Q3 Data'!$D$4:$D$207,D54,'Q3 Data'!$AD$4:$AD$207)+SUMIF('Q3 Data'!$D$4:$D$207,D54,'Q3 Data'!$AG$4:$AG$207)+SUMIF('Q3 Data'!$D$4:$D$207,D54,'Q3 Data'!$AE$4:$AE$207)+SUMIF('Q4 Data'!$D$4:$D$207,D54,'Q4 Data'!$AD$4:$AD$207)+SUMIF('Q4 Data'!$D$4:$D$207,D54,'Q4 Data'!$AG$4:$AG$207)+SUMIF('Q4 Data'!$D$4:$D$207,D54,'Q4 Data'!$AE$4:$AE$207))</f>
      </c>
      <c r="AO54" s="27">
        <f>IF($B54&lt;&gt;"Challan","",P54-N54)</f>
      </c>
      <c r="AP54" s="27">
        <f>IF($B54&lt;&gt;"Challan","",MAX(0,AO54-AN54))</f>
      </c>
      <c r="AQ54" s="33">
        <f>IF($B54&lt;&gt;"Entry","",SUMPRODUCT(('Q1 Data'!$D$4:$D$207=D54)*('Q1 Data'!$B$4:$B$207="Challan")*'Q1 Data'!$F$4:$F$207)+SUMPRODUCT(('Q2 Data'!$D$4:$D$207=D54)*('Q2 Data'!$B$4:$B$207="Challan")*'Q2 Data'!$F$4:$F$207)+SUMPRODUCT(('Q3 Data'!$D$4:$D$207=D54)*('Q3 Data'!$B$4:$B$207="Challan")*'Q3 Data'!$F$4:$F$207)+SUMPRODUCT(('Q4 Data'!$D$4:$D$207=D54)*('Q4 Data'!$B$4:$B$207="Challan")*'Q4 Data'!$F$4:$F$207))</f>
      </c>
      <c r="AR54" s="34">
        <f>IF(OR($B54&lt;&gt;"Entry",Z54=""),FALSE,AND((SUMPRODUCT(('Q1 Data'!$D$4:$D$207=D54)*('Q1 Data'!$B$4:$B$207="Challan")*('Q1 Data'!$H$4:$H$207&lt;&gt;""))+SUMPRODUCT(('Q2 Data'!$D$4:$D$207=D54)*('Q2 Data'!$B$4:$B$207="Challan")*('Q2 Data'!$H$4:$H$207&lt;&gt;""))+SUMPRODUCT(('Q3 Data'!$D$4:$D$207=D54)*('Q3 Data'!$B$4:$B$207="Challan")*('Q3 Data'!$H$4:$H$207&lt;&gt;""))+SUMPRODUCT(('Q4 Data'!$D$4:$D$207=D54)*('Q4 Data'!$B$4:$B$207="Challan")*('Q4 Data'!$H$4:$H$207&lt;&gt;"")))&gt;0,(SUMPRODUCT(('Q1 Data'!$D$4:$D$207=D54)*('Q1 Data'!$B$4:$B$207="Challan")*('Q1 Data'!$H$4:$H$207=Z54))+SUMPRODUCT(('Q2 Data'!$D$4:$D$207=D54)*('Q2 Data'!$B$4:$B$207="Challan")*('Q2 Data'!$H$4:$H$207=Z54))+SUMPRODUCT(('Q3 Data'!$D$4:$D$207=D54)*('Q3 Data'!$B$4:$B$207="Challan")*('Q3 Data'!$H$4:$H$207=Z54))+SUMPRODUCT(('Q4 Data'!$D$4:$D$207=D54)*('Q4 Data'!$B$4:$B$207="Challan")*('Q4 Data'!$H$4:$H$207=Z54)))=0))</f>
      </c>
    </row>
    <row r="55" spans="1:44" x14ac:dyDescent="0.25">
      <c r="A55" s="20">
        <f>IF($B55="Entry",COUNTIF($B$4:$B55,"Entry"),"")</f>
      </c>
      <c r="B55" s="21"/>
      <c r="C55" s="22"/>
      <c r="D55" s="22"/>
      <c r="E55" s="23">
        <f>IF($B55&lt;&gt;"Challan","",IF(ROUND(AN55-AO55,2)&gt;0,"Over-applied",IF(ROUND(AN55-AO55,2)=0,"Fully Utilised","Unconsumed")))</f>
      </c>
      <c r="F55" s="24"/>
      <c r="G55" s="25"/>
      <c r="H55" s="25"/>
      <c r="I55" s="26"/>
      <c r="J55" s="26"/>
      <c r="K55" s="26"/>
      <c r="L55" s="26"/>
      <c r="M55" s="26"/>
      <c r="N55" s="26"/>
      <c r="O55" s="26"/>
      <c r="P55" s="27">
        <f>IF($B55&lt;&gt;"Challan","",I55+J55+K55+L55+M55+N55)</f>
      </c>
      <c r="Q55" s="25"/>
      <c r="R55" s="25"/>
      <c r="S55" s="25"/>
      <c r="T55" s="25"/>
      <c r="U55" s="25"/>
      <c r="V55" s="28"/>
      <c r="W55" s="28"/>
      <c r="X55" s="23">
        <f>IF($B55="Entry",IF(AND(LEN(TRIM(UPPER(W55)))=10,CODE(MID(TRIM(UPPER(W55)),1,1))&gt;=65,CODE(MID(TRIM(UPPER(W55)),1,1))&lt;=90,CODE(MID(TRIM(UPPER(W55)),2,1))&gt;=65,CODE(MID(TRIM(UPPER(W55)),2,1))&lt;=90,CODE(MID(TRIM(UPPER(W55)),3,1))&gt;=65,CODE(MID(TRIM(UPPER(W55)),3,1))&lt;=90,CODE(MID(TRIM(UPPER(W55)),4,1))&gt;=65,CODE(MID(TRIM(UPPER(W55)),4,1))&lt;=90,CODE(MID(TRIM(UPPER(W55)),5,1))&gt;=65,CODE(MID(TRIM(UPPER(W55)),5,1))&lt;=90,CODE(MID(TRIM(UPPER(W55)),10,1))&gt;=65,CODE(MID(TRIM(UPPER(W55)),10,1))&lt;=90,CODE(MID(TRIM(UPPER(W55)),6,1))&gt;=48,CODE(MID(TRIM(UPPER(W55)),6,1))&lt;=57,CODE(MID(TRIM(UPPER(W55)),7,1))&gt;=48,CODE(MID(TRIM(UPPER(W55)),7,1))&lt;=57,CODE(MID(TRIM(UPPER(W55)),8,1))&gt;=48,CODE(MID(TRIM(UPPER(W55)),8,1))&lt;=57,CODE(MID(TRIM(UPPER(W55)),9,1))&gt;=48,CODE(MID(TRIM(UPPER(W55)),9,1))&lt;=57),"N","Y"),IF($B55="Challan","",IF(W55&lt;&gt;"","◄ Set Row Type","")))</f>
      </c>
      <c r="Y55" s="23">
        <f>IF($B55="Entry",IF(LEN(W55)&lt;4,"",IF(UPPER(MID(W55,4,1))="P","Individual",IF(UPPER(MID(W55,4,1))="H","HUF",IF(UPPER(MID(W55,4,1))="C","Company",IF(UPPER(MID(W55,4,1))="F","Firm",IF(UPPER(MID(W55,4,1))="L","LLP",IF(UPPER(MID(W55,4,1))="T","Trust",IF(UPPER(MID(W55,4,1))="A","AOP","")))))))),IF($B55="Challan","",IF(W55&lt;&gt;"","◄ Set Row Type","")))</f>
      </c>
      <c r="Z55" s="28"/>
      <c r="AA55" s="29">
        <f>IF($B55&lt;&gt;"Entry","",IF(Z55="","",IF(X55="Y",SUMPRODUCT(('Rate Lookup'!$A$1:$A$37=Z55)*'Rate Lookup'!$D$1:$D$37),IF(OR(Y55="Individual",Y55="HUF"),SUMPRODUCT(('Rate Lookup'!$A$1:$A$37=Z55)*'Rate Lookup'!$B$1:$B$37),SUMPRODUCT(('Rate Lookup'!$A$1:$A$37=Z55)*'Rate Lookup'!$C$1:$C$37)))))</f>
      </c>
      <c r="AB55" s="30"/>
      <c r="AC55" s="31"/>
      <c r="AD55" s="27">
        <f>IF($B55&lt;&gt;"Entry","",ROUND(AC55*AA55/100,0))</f>
      </c>
      <c r="AE55" s="27">
        <f>IF($B55&lt;&gt;"Entry","",0)</f>
      </c>
      <c r="AF55" s="27">
        <f>IF($B55&lt;&gt;"Entry","",0)</f>
      </c>
      <c r="AG55" s="27">
        <f>IF($B55&lt;&gt;"Entry","",IF(OR(AD55=0,AB55="",AQ55="",AQ55&lt;=0),0,IF(AQ55&lt;=DATE(YEAR(AB55),MONTH(AB55)+1,7),0,ROUND(AD55*0.015*((YEAR(AQ55)-YEAR(AB55))*12+(MONTH(AQ55)-MONTH(AB55))+1),0))))</f>
      </c>
      <c r="AH55" s="27">
        <f>IF($B55&lt;&gt;"Entry","",0)</f>
      </c>
      <c r="AI55" s="28"/>
      <c r="AJ55" s="28"/>
      <c r="AK55" s="32"/>
      <c r="AL55" s="28"/>
      <c r="AM55" s="28"/>
      <c r="AN55" s="27">
        <f>IF($B55&lt;&gt;"Challan","",SUMIF('Q1 Data'!$D$4:$D$207,D55,'Q1 Data'!$AD$4:$AD$207)+SUMIF('Q1 Data'!$D$4:$D$207,D55,'Q1 Data'!$AG$4:$AG$207)+SUMIF('Q1 Data'!$D$4:$D$207,D55,'Q1 Data'!$AE$4:$AE$207)+SUMIF('Q2 Data'!$D$4:$D$207,D55,'Q2 Data'!$AD$4:$AD$207)+SUMIF('Q2 Data'!$D$4:$D$207,D55,'Q2 Data'!$AG$4:$AG$207)+SUMIF('Q2 Data'!$D$4:$D$207,D55,'Q2 Data'!$AE$4:$AE$207)+SUMIF('Q3 Data'!$D$4:$D$207,D55,'Q3 Data'!$AD$4:$AD$207)+SUMIF('Q3 Data'!$D$4:$D$207,D55,'Q3 Data'!$AG$4:$AG$207)+SUMIF('Q3 Data'!$D$4:$D$207,D55,'Q3 Data'!$AE$4:$AE$207)+SUMIF('Q4 Data'!$D$4:$D$207,D55,'Q4 Data'!$AD$4:$AD$207)+SUMIF('Q4 Data'!$D$4:$D$207,D55,'Q4 Data'!$AG$4:$AG$207)+SUMIF('Q4 Data'!$D$4:$D$207,D55,'Q4 Data'!$AE$4:$AE$207))</f>
      </c>
      <c r="AO55" s="27">
        <f>IF($B55&lt;&gt;"Challan","",P55-N55)</f>
      </c>
      <c r="AP55" s="27">
        <f>IF($B55&lt;&gt;"Challan","",MAX(0,AO55-AN55))</f>
      </c>
      <c r="AQ55" s="33">
        <f>IF($B55&lt;&gt;"Entry","",SUMPRODUCT(('Q1 Data'!$D$4:$D$207=D55)*('Q1 Data'!$B$4:$B$207="Challan")*'Q1 Data'!$F$4:$F$207)+SUMPRODUCT(('Q2 Data'!$D$4:$D$207=D55)*('Q2 Data'!$B$4:$B$207="Challan")*'Q2 Data'!$F$4:$F$207)+SUMPRODUCT(('Q3 Data'!$D$4:$D$207=D55)*('Q3 Data'!$B$4:$B$207="Challan")*'Q3 Data'!$F$4:$F$207)+SUMPRODUCT(('Q4 Data'!$D$4:$D$207=D55)*('Q4 Data'!$B$4:$B$207="Challan")*'Q4 Data'!$F$4:$F$207))</f>
      </c>
      <c r="AR55" s="34">
        <f>IF(OR($B55&lt;&gt;"Entry",Z55=""),FALSE,AND((SUMPRODUCT(('Q1 Data'!$D$4:$D$207=D55)*('Q1 Data'!$B$4:$B$207="Challan")*('Q1 Data'!$H$4:$H$207&lt;&gt;""))+SUMPRODUCT(('Q2 Data'!$D$4:$D$207=D55)*('Q2 Data'!$B$4:$B$207="Challan")*('Q2 Data'!$H$4:$H$207&lt;&gt;""))+SUMPRODUCT(('Q3 Data'!$D$4:$D$207=D55)*('Q3 Data'!$B$4:$B$207="Challan")*('Q3 Data'!$H$4:$H$207&lt;&gt;""))+SUMPRODUCT(('Q4 Data'!$D$4:$D$207=D55)*('Q4 Data'!$B$4:$B$207="Challan")*('Q4 Data'!$H$4:$H$207&lt;&gt;"")))&gt;0,(SUMPRODUCT(('Q1 Data'!$D$4:$D$207=D55)*('Q1 Data'!$B$4:$B$207="Challan")*('Q1 Data'!$H$4:$H$207=Z55))+SUMPRODUCT(('Q2 Data'!$D$4:$D$207=D55)*('Q2 Data'!$B$4:$B$207="Challan")*('Q2 Data'!$H$4:$H$207=Z55))+SUMPRODUCT(('Q3 Data'!$D$4:$D$207=D55)*('Q3 Data'!$B$4:$B$207="Challan")*('Q3 Data'!$H$4:$H$207=Z55))+SUMPRODUCT(('Q4 Data'!$D$4:$D$207=D55)*('Q4 Data'!$B$4:$B$207="Challan")*('Q4 Data'!$H$4:$H$207=Z55)))=0))</f>
      </c>
    </row>
    <row r="56" spans="1:44" x14ac:dyDescent="0.25">
      <c r="A56" s="20">
        <f>IF($B56="Entry",COUNTIF($B$4:$B56,"Entry"),"")</f>
      </c>
      <c r="B56" s="21"/>
      <c r="C56" s="22"/>
      <c r="D56" s="22"/>
      <c r="E56" s="23">
        <f>IF($B56&lt;&gt;"Challan","",IF(ROUND(AN56-AO56,2)&gt;0,"Over-applied",IF(ROUND(AN56-AO56,2)=0,"Fully Utilised","Unconsumed")))</f>
      </c>
      <c r="F56" s="24"/>
      <c r="G56" s="25"/>
      <c r="H56" s="25"/>
      <c r="I56" s="26"/>
      <c r="J56" s="26"/>
      <c r="K56" s="26"/>
      <c r="L56" s="26"/>
      <c r="M56" s="26"/>
      <c r="N56" s="26"/>
      <c r="O56" s="26"/>
      <c r="P56" s="27">
        <f>IF($B56&lt;&gt;"Challan","",I56+J56+K56+L56+M56+N56)</f>
      </c>
      <c r="Q56" s="25"/>
      <c r="R56" s="25"/>
      <c r="S56" s="25"/>
      <c r="T56" s="25"/>
      <c r="U56" s="25"/>
      <c r="V56" s="28"/>
      <c r="W56" s="28"/>
      <c r="X56" s="23">
        <f>IF($B56="Entry",IF(AND(LEN(TRIM(UPPER(W56)))=10,CODE(MID(TRIM(UPPER(W56)),1,1))&gt;=65,CODE(MID(TRIM(UPPER(W56)),1,1))&lt;=90,CODE(MID(TRIM(UPPER(W56)),2,1))&gt;=65,CODE(MID(TRIM(UPPER(W56)),2,1))&lt;=90,CODE(MID(TRIM(UPPER(W56)),3,1))&gt;=65,CODE(MID(TRIM(UPPER(W56)),3,1))&lt;=90,CODE(MID(TRIM(UPPER(W56)),4,1))&gt;=65,CODE(MID(TRIM(UPPER(W56)),4,1))&lt;=90,CODE(MID(TRIM(UPPER(W56)),5,1))&gt;=65,CODE(MID(TRIM(UPPER(W56)),5,1))&lt;=90,CODE(MID(TRIM(UPPER(W56)),10,1))&gt;=65,CODE(MID(TRIM(UPPER(W56)),10,1))&lt;=90,CODE(MID(TRIM(UPPER(W56)),6,1))&gt;=48,CODE(MID(TRIM(UPPER(W56)),6,1))&lt;=57,CODE(MID(TRIM(UPPER(W56)),7,1))&gt;=48,CODE(MID(TRIM(UPPER(W56)),7,1))&lt;=57,CODE(MID(TRIM(UPPER(W56)),8,1))&gt;=48,CODE(MID(TRIM(UPPER(W56)),8,1))&lt;=57,CODE(MID(TRIM(UPPER(W56)),9,1))&gt;=48,CODE(MID(TRIM(UPPER(W56)),9,1))&lt;=57),"N","Y"),IF($B56="Challan","",IF(W56&lt;&gt;"","◄ Set Row Type","")))</f>
      </c>
      <c r="Y56" s="23">
        <f>IF($B56="Entry",IF(LEN(W56)&lt;4,"",IF(UPPER(MID(W56,4,1))="P","Individual",IF(UPPER(MID(W56,4,1))="H","HUF",IF(UPPER(MID(W56,4,1))="C","Company",IF(UPPER(MID(W56,4,1))="F","Firm",IF(UPPER(MID(W56,4,1))="L","LLP",IF(UPPER(MID(W56,4,1))="T","Trust",IF(UPPER(MID(W56,4,1))="A","AOP","")))))))),IF($B56="Challan","",IF(W56&lt;&gt;"","◄ Set Row Type","")))</f>
      </c>
      <c r="Z56" s="28"/>
      <c r="AA56" s="29">
        <f>IF($B56&lt;&gt;"Entry","",IF(Z56="","",IF(X56="Y",SUMPRODUCT(('Rate Lookup'!$A$1:$A$37=Z56)*'Rate Lookup'!$D$1:$D$37),IF(OR(Y56="Individual",Y56="HUF"),SUMPRODUCT(('Rate Lookup'!$A$1:$A$37=Z56)*'Rate Lookup'!$B$1:$B$37),SUMPRODUCT(('Rate Lookup'!$A$1:$A$37=Z56)*'Rate Lookup'!$C$1:$C$37)))))</f>
      </c>
      <c r="AB56" s="30"/>
      <c r="AC56" s="31"/>
      <c r="AD56" s="27">
        <f>IF($B56&lt;&gt;"Entry","",ROUND(AC56*AA56/100,0))</f>
      </c>
      <c r="AE56" s="27">
        <f>IF($B56&lt;&gt;"Entry","",0)</f>
      </c>
      <c r="AF56" s="27">
        <f>IF($B56&lt;&gt;"Entry","",0)</f>
      </c>
      <c r="AG56" s="27">
        <f>IF($B56&lt;&gt;"Entry","",IF(OR(AD56=0,AB56="",AQ56="",AQ56&lt;=0),0,IF(AQ56&lt;=DATE(YEAR(AB56),MONTH(AB56)+1,7),0,ROUND(AD56*0.015*((YEAR(AQ56)-YEAR(AB56))*12+(MONTH(AQ56)-MONTH(AB56))+1),0))))</f>
      </c>
      <c r="AH56" s="27">
        <f>IF($B56&lt;&gt;"Entry","",0)</f>
      </c>
      <c r="AI56" s="28"/>
      <c r="AJ56" s="28"/>
      <c r="AK56" s="32"/>
      <c r="AL56" s="28"/>
      <c r="AM56" s="28"/>
      <c r="AN56" s="27">
        <f>IF($B56&lt;&gt;"Challan","",SUMIF('Q1 Data'!$D$4:$D$207,D56,'Q1 Data'!$AD$4:$AD$207)+SUMIF('Q1 Data'!$D$4:$D$207,D56,'Q1 Data'!$AG$4:$AG$207)+SUMIF('Q1 Data'!$D$4:$D$207,D56,'Q1 Data'!$AE$4:$AE$207)+SUMIF('Q2 Data'!$D$4:$D$207,D56,'Q2 Data'!$AD$4:$AD$207)+SUMIF('Q2 Data'!$D$4:$D$207,D56,'Q2 Data'!$AG$4:$AG$207)+SUMIF('Q2 Data'!$D$4:$D$207,D56,'Q2 Data'!$AE$4:$AE$207)+SUMIF('Q3 Data'!$D$4:$D$207,D56,'Q3 Data'!$AD$4:$AD$207)+SUMIF('Q3 Data'!$D$4:$D$207,D56,'Q3 Data'!$AG$4:$AG$207)+SUMIF('Q3 Data'!$D$4:$D$207,D56,'Q3 Data'!$AE$4:$AE$207)+SUMIF('Q4 Data'!$D$4:$D$207,D56,'Q4 Data'!$AD$4:$AD$207)+SUMIF('Q4 Data'!$D$4:$D$207,D56,'Q4 Data'!$AG$4:$AG$207)+SUMIF('Q4 Data'!$D$4:$D$207,D56,'Q4 Data'!$AE$4:$AE$207))</f>
      </c>
      <c r="AO56" s="27">
        <f>IF($B56&lt;&gt;"Challan","",P56-N56)</f>
      </c>
      <c r="AP56" s="27">
        <f>IF($B56&lt;&gt;"Challan","",MAX(0,AO56-AN56))</f>
      </c>
      <c r="AQ56" s="33">
        <f>IF($B56&lt;&gt;"Entry","",SUMPRODUCT(('Q1 Data'!$D$4:$D$207=D56)*('Q1 Data'!$B$4:$B$207="Challan")*'Q1 Data'!$F$4:$F$207)+SUMPRODUCT(('Q2 Data'!$D$4:$D$207=D56)*('Q2 Data'!$B$4:$B$207="Challan")*'Q2 Data'!$F$4:$F$207)+SUMPRODUCT(('Q3 Data'!$D$4:$D$207=D56)*('Q3 Data'!$B$4:$B$207="Challan")*'Q3 Data'!$F$4:$F$207)+SUMPRODUCT(('Q4 Data'!$D$4:$D$207=D56)*('Q4 Data'!$B$4:$B$207="Challan")*'Q4 Data'!$F$4:$F$207))</f>
      </c>
      <c r="AR56" s="34">
        <f>IF(OR($B56&lt;&gt;"Entry",Z56=""),FALSE,AND((SUMPRODUCT(('Q1 Data'!$D$4:$D$207=D56)*('Q1 Data'!$B$4:$B$207="Challan")*('Q1 Data'!$H$4:$H$207&lt;&gt;""))+SUMPRODUCT(('Q2 Data'!$D$4:$D$207=D56)*('Q2 Data'!$B$4:$B$207="Challan")*('Q2 Data'!$H$4:$H$207&lt;&gt;""))+SUMPRODUCT(('Q3 Data'!$D$4:$D$207=D56)*('Q3 Data'!$B$4:$B$207="Challan")*('Q3 Data'!$H$4:$H$207&lt;&gt;""))+SUMPRODUCT(('Q4 Data'!$D$4:$D$207=D56)*('Q4 Data'!$B$4:$B$207="Challan")*('Q4 Data'!$H$4:$H$207&lt;&gt;"")))&gt;0,(SUMPRODUCT(('Q1 Data'!$D$4:$D$207=D56)*('Q1 Data'!$B$4:$B$207="Challan")*('Q1 Data'!$H$4:$H$207=Z56))+SUMPRODUCT(('Q2 Data'!$D$4:$D$207=D56)*('Q2 Data'!$B$4:$B$207="Challan")*('Q2 Data'!$H$4:$H$207=Z56))+SUMPRODUCT(('Q3 Data'!$D$4:$D$207=D56)*('Q3 Data'!$B$4:$B$207="Challan")*('Q3 Data'!$H$4:$H$207=Z56))+SUMPRODUCT(('Q4 Data'!$D$4:$D$207=D56)*('Q4 Data'!$B$4:$B$207="Challan")*('Q4 Data'!$H$4:$H$207=Z56)))=0))</f>
      </c>
    </row>
    <row r="57" spans="1:44" x14ac:dyDescent="0.25">
      <c r="A57" s="20">
        <f>IF($B57="Entry",COUNTIF($B$4:$B57,"Entry"),"")</f>
      </c>
      <c r="B57" s="21"/>
      <c r="C57" s="22"/>
      <c r="D57" s="22"/>
      <c r="E57" s="23">
        <f>IF($B57&lt;&gt;"Challan","",IF(ROUND(AN57-AO57,2)&gt;0,"Over-applied",IF(ROUND(AN57-AO57,2)=0,"Fully Utilised","Unconsumed")))</f>
      </c>
      <c r="F57" s="24"/>
      <c r="G57" s="25"/>
      <c r="H57" s="25"/>
      <c r="I57" s="26"/>
      <c r="J57" s="26"/>
      <c r="K57" s="26"/>
      <c r="L57" s="26"/>
      <c r="M57" s="26"/>
      <c r="N57" s="26"/>
      <c r="O57" s="26"/>
      <c r="P57" s="27">
        <f>IF($B57&lt;&gt;"Challan","",I57+J57+K57+L57+M57+N57)</f>
      </c>
      <c r="Q57" s="25"/>
      <c r="R57" s="25"/>
      <c r="S57" s="25"/>
      <c r="T57" s="25"/>
      <c r="U57" s="25"/>
      <c r="V57" s="28"/>
      <c r="W57" s="28"/>
      <c r="X57" s="23">
        <f>IF($B57="Entry",IF(AND(LEN(TRIM(UPPER(W57)))=10,CODE(MID(TRIM(UPPER(W57)),1,1))&gt;=65,CODE(MID(TRIM(UPPER(W57)),1,1))&lt;=90,CODE(MID(TRIM(UPPER(W57)),2,1))&gt;=65,CODE(MID(TRIM(UPPER(W57)),2,1))&lt;=90,CODE(MID(TRIM(UPPER(W57)),3,1))&gt;=65,CODE(MID(TRIM(UPPER(W57)),3,1))&lt;=90,CODE(MID(TRIM(UPPER(W57)),4,1))&gt;=65,CODE(MID(TRIM(UPPER(W57)),4,1))&lt;=90,CODE(MID(TRIM(UPPER(W57)),5,1))&gt;=65,CODE(MID(TRIM(UPPER(W57)),5,1))&lt;=90,CODE(MID(TRIM(UPPER(W57)),10,1))&gt;=65,CODE(MID(TRIM(UPPER(W57)),10,1))&lt;=90,CODE(MID(TRIM(UPPER(W57)),6,1))&gt;=48,CODE(MID(TRIM(UPPER(W57)),6,1))&lt;=57,CODE(MID(TRIM(UPPER(W57)),7,1))&gt;=48,CODE(MID(TRIM(UPPER(W57)),7,1))&lt;=57,CODE(MID(TRIM(UPPER(W57)),8,1))&gt;=48,CODE(MID(TRIM(UPPER(W57)),8,1))&lt;=57,CODE(MID(TRIM(UPPER(W57)),9,1))&gt;=48,CODE(MID(TRIM(UPPER(W57)),9,1))&lt;=57),"N","Y"),IF($B57="Challan","",IF(W57&lt;&gt;"","◄ Set Row Type","")))</f>
      </c>
      <c r="Y57" s="23">
        <f>IF($B57="Entry",IF(LEN(W57)&lt;4,"",IF(UPPER(MID(W57,4,1))="P","Individual",IF(UPPER(MID(W57,4,1))="H","HUF",IF(UPPER(MID(W57,4,1))="C","Company",IF(UPPER(MID(W57,4,1))="F","Firm",IF(UPPER(MID(W57,4,1))="L","LLP",IF(UPPER(MID(W57,4,1))="T","Trust",IF(UPPER(MID(W57,4,1))="A","AOP","")))))))),IF($B57="Challan","",IF(W57&lt;&gt;"","◄ Set Row Type","")))</f>
      </c>
      <c r="Z57" s="28"/>
      <c r="AA57" s="29">
        <f>IF($B57&lt;&gt;"Entry","",IF(Z57="","",IF(X57="Y",SUMPRODUCT(('Rate Lookup'!$A$1:$A$37=Z57)*'Rate Lookup'!$D$1:$D$37),IF(OR(Y57="Individual",Y57="HUF"),SUMPRODUCT(('Rate Lookup'!$A$1:$A$37=Z57)*'Rate Lookup'!$B$1:$B$37),SUMPRODUCT(('Rate Lookup'!$A$1:$A$37=Z57)*'Rate Lookup'!$C$1:$C$37)))))</f>
      </c>
      <c r="AB57" s="30"/>
      <c r="AC57" s="31"/>
      <c r="AD57" s="27">
        <f>IF($B57&lt;&gt;"Entry","",ROUND(AC57*AA57/100,0))</f>
      </c>
      <c r="AE57" s="27">
        <f>IF($B57&lt;&gt;"Entry","",0)</f>
      </c>
      <c r="AF57" s="27">
        <f>IF($B57&lt;&gt;"Entry","",0)</f>
      </c>
      <c r="AG57" s="27">
        <f>IF($B57&lt;&gt;"Entry","",IF(OR(AD57=0,AB57="",AQ57="",AQ57&lt;=0),0,IF(AQ57&lt;=DATE(YEAR(AB57),MONTH(AB57)+1,7),0,ROUND(AD57*0.015*((YEAR(AQ57)-YEAR(AB57))*12+(MONTH(AQ57)-MONTH(AB57))+1),0))))</f>
      </c>
      <c r="AH57" s="27">
        <f>IF($B57&lt;&gt;"Entry","",0)</f>
      </c>
      <c r="AI57" s="28"/>
      <c r="AJ57" s="28"/>
      <c r="AK57" s="32"/>
      <c r="AL57" s="28"/>
      <c r="AM57" s="28"/>
      <c r="AN57" s="27">
        <f>IF($B57&lt;&gt;"Challan","",SUMIF('Q1 Data'!$D$4:$D$207,D57,'Q1 Data'!$AD$4:$AD$207)+SUMIF('Q1 Data'!$D$4:$D$207,D57,'Q1 Data'!$AG$4:$AG$207)+SUMIF('Q1 Data'!$D$4:$D$207,D57,'Q1 Data'!$AE$4:$AE$207)+SUMIF('Q2 Data'!$D$4:$D$207,D57,'Q2 Data'!$AD$4:$AD$207)+SUMIF('Q2 Data'!$D$4:$D$207,D57,'Q2 Data'!$AG$4:$AG$207)+SUMIF('Q2 Data'!$D$4:$D$207,D57,'Q2 Data'!$AE$4:$AE$207)+SUMIF('Q3 Data'!$D$4:$D$207,D57,'Q3 Data'!$AD$4:$AD$207)+SUMIF('Q3 Data'!$D$4:$D$207,D57,'Q3 Data'!$AG$4:$AG$207)+SUMIF('Q3 Data'!$D$4:$D$207,D57,'Q3 Data'!$AE$4:$AE$207)+SUMIF('Q4 Data'!$D$4:$D$207,D57,'Q4 Data'!$AD$4:$AD$207)+SUMIF('Q4 Data'!$D$4:$D$207,D57,'Q4 Data'!$AG$4:$AG$207)+SUMIF('Q4 Data'!$D$4:$D$207,D57,'Q4 Data'!$AE$4:$AE$207))</f>
      </c>
      <c r="AO57" s="27">
        <f>IF($B57&lt;&gt;"Challan","",P57-N57)</f>
      </c>
      <c r="AP57" s="27">
        <f>IF($B57&lt;&gt;"Challan","",MAX(0,AO57-AN57))</f>
      </c>
      <c r="AQ57" s="33">
        <f>IF($B57&lt;&gt;"Entry","",SUMPRODUCT(('Q1 Data'!$D$4:$D$207=D57)*('Q1 Data'!$B$4:$B$207="Challan")*'Q1 Data'!$F$4:$F$207)+SUMPRODUCT(('Q2 Data'!$D$4:$D$207=D57)*('Q2 Data'!$B$4:$B$207="Challan")*'Q2 Data'!$F$4:$F$207)+SUMPRODUCT(('Q3 Data'!$D$4:$D$207=D57)*('Q3 Data'!$B$4:$B$207="Challan")*'Q3 Data'!$F$4:$F$207)+SUMPRODUCT(('Q4 Data'!$D$4:$D$207=D57)*('Q4 Data'!$B$4:$B$207="Challan")*'Q4 Data'!$F$4:$F$207))</f>
      </c>
      <c r="AR57" s="34">
        <f>IF(OR($B57&lt;&gt;"Entry",Z57=""),FALSE,AND((SUMPRODUCT(('Q1 Data'!$D$4:$D$207=D57)*('Q1 Data'!$B$4:$B$207="Challan")*('Q1 Data'!$H$4:$H$207&lt;&gt;""))+SUMPRODUCT(('Q2 Data'!$D$4:$D$207=D57)*('Q2 Data'!$B$4:$B$207="Challan")*('Q2 Data'!$H$4:$H$207&lt;&gt;""))+SUMPRODUCT(('Q3 Data'!$D$4:$D$207=D57)*('Q3 Data'!$B$4:$B$207="Challan")*('Q3 Data'!$H$4:$H$207&lt;&gt;""))+SUMPRODUCT(('Q4 Data'!$D$4:$D$207=D57)*('Q4 Data'!$B$4:$B$207="Challan")*('Q4 Data'!$H$4:$H$207&lt;&gt;"")))&gt;0,(SUMPRODUCT(('Q1 Data'!$D$4:$D$207=D57)*('Q1 Data'!$B$4:$B$207="Challan")*('Q1 Data'!$H$4:$H$207=Z57))+SUMPRODUCT(('Q2 Data'!$D$4:$D$207=D57)*('Q2 Data'!$B$4:$B$207="Challan")*('Q2 Data'!$H$4:$H$207=Z57))+SUMPRODUCT(('Q3 Data'!$D$4:$D$207=D57)*('Q3 Data'!$B$4:$B$207="Challan")*('Q3 Data'!$H$4:$H$207=Z57))+SUMPRODUCT(('Q4 Data'!$D$4:$D$207=D57)*('Q4 Data'!$B$4:$B$207="Challan")*('Q4 Data'!$H$4:$H$207=Z57)))=0))</f>
      </c>
    </row>
    <row r="58" spans="1:44" x14ac:dyDescent="0.25">
      <c r="A58" s="20">
        <f>IF($B58="Entry",COUNTIF($B$4:$B58,"Entry"),"")</f>
      </c>
      <c r="B58" s="21"/>
      <c r="C58" s="22"/>
      <c r="D58" s="22"/>
      <c r="E58" s="23">
        <f>IF($B58&lt;&gt;"Challan","",IF(ROUND(AN58-AO58,2)&gt;0,"Over-applied",IF(ROUND(AN58-AO58,2)=0,"Fully Utilised","Unconsumed")))</f>
      </c>
      <c r="F58" s="24"/>
      <c r="G58" s="25"/>
      <c r="H58" s="25"/>
      <c r="I58" s="26"/>
      <c r="J58" s="26"/>
      <c r="K58" s="26"/>
      <c r="L58" s="26"/>
      <c r="M58" s="26"/>
      <c r="N58" s="26"/>
      <c r="O58" s="26"/>
      <c r="P58" s="27">
        <f>IF($B58&lt;&gt;"Challan","",I58+J58+K58+L58+M58+N58)</f>
      </c>
      <c r="Q58" s="25"/>
      <c r="R58" s="25"/>
      <c r="S58" s="25"/>
      <c r="T58" s="25"/>
      <c r="U58" s="25"/>
      <c r="V58" s="28"/>
      <c r="W58" s="28"/>
      <c r="X58" s="23">
        <f>IF($B58="Entry",IF(AND(LEN(TRIM(UPPER(W58)))=10,CODE(MID(TRIM(UPPER(W58)),1,1))&gt;=65,CODE(MID(TRIM(UPPER(W58)),1,1))&lt;=90,CODE(MID(TRIM(UPPER(W58)),2,1))&gt;=65,CODE(MID(TRIM(UPPER(W58)),2,1))&lt;=90,CODE(MID(TRIM(UPPER(W58)),3,1))&gt;=65,CODE(MID(TRIM(UPPER(W58)),3,1))&lt;=90,CODE(MID(TRIM(UPPER(W58)),4,1))&gt;=65,CODE(MID(TRIM(UPPER(W58)),4,1))&lt;=90,CODE(MID(TRIM(UPPER(W58)),5,1))&gt;=65,CODE(MID(TRIM(UPPER(W58)),5,1))&lt;=90,CODE(MID(TRIM(UPPER(W58)),10,1))&gt;=65,CODE(MID(TRIM(UPPER(W58)),10,1))&lt;=90,CODE(MID(TRIM(UPPER(W58)),6,1))&gt;=48,CODE(MID(TRIM(UPPER(W58)),6,1))&lt;=57,CODE(MID(TRIM(UPPER(W58)),7,1))&gt;=48,CODE(MID(TRIM(UPPER(W58)),7,1))&lt;=57,CODE(MID(TRIM(UPPER(W58)),8,1))&gt;=48,CODE(MID(TRIM(UPPER(W58)),8,1))&lt;=57,CODE(MID(TRIM(UPPER(W58)),9,1))&gt;=48,CODE(MID(TRIM(UPPER(W58)),9,1))&lt;=57),"N","Y"),IF($B58="Challan","",IF(W58&lt;&gt;"","◄ Set Row Type","")))</f>
      </c>
      <c r="Y58" s="23">
        <f>IF($B58="Entry",IF(LEN(W58)&lt;4,"",IF(UPPER(MID(W58,4,1))="P","Individual",IF(UPPER(MID(W58,4,1))="H","HUF",IF(UPPER(MID(W58,4,1))="C","Company",IF(UPPER(MID(W58,4,1))="F","Firm",IF(UPPER(MID(W58,4,1))="L","LLP",IF(UPPER(MID(W58,4,1))="T","Trust",IF(UPPER(MID(W58,4,1))="A","AOP","")))))))),IF($B58="Challan","",IF(W58&lt;&gt;"","◄ Set Row Type","")))</f>
      </c>
      <c r="Z58" s="28"/>
      <c r="AA58" s="29">
        <f>IF($B58&lt;&gt;"Entry","",IF(Z58="","",IF(X58="Y",SUMPRODUCT(('Rate Lookup'!$A$1:$A$37=Z58)*'Rate Lookup'!$D$1:$D$37),IF(OR(Y58="Individual",Y58="HUF"),SUMPRODUCT(('Rate Lookup'!$A$1:$A$37=Z58)*'Rate Lookup'!$B$1:$B$37),SUMPRODUCT(('Rate Lookup'!$A$1:$A$37=Z58)*'Rate Lookup'!$C$1:$C$37)))))</f>
      </c>
      <c r="AB58" s="30"/>
      <c r="AC58" s="31"/>
      <c r="AD58" s="27">
        <f>IF($B58&lt;&gt;"Entry","",ROUND(AC58*AA58/100,0))</f>
      </c>
      <c r="AE58" s="27">
        <f>IF($B58&lt;&gt;"Entry","",0)</f>
      </c>
      <c r="AF58" s="27">
        <f>IF($B58&lt;&gt;"Entry","",0)</f>
      </c>
      <c r="AG58" s="27">
        <f>IF($B58&lt;&gt;"Entry","",IF(OR(AD58=0,AB58="",AQ58="",AQ58&lt;=0),0,IF(AQ58&lt;=DATE(YEAR(AB58),MONTH(AB58)+1,7),0,ROUND(AD58*0.015*((YEAR(AQ58)-YEAR(AB58))*12+(MONTH(AQ58)-MONTH(AB58))+1),0))))</f>
      </c>
      <c r="AH58" s="27">
        <f>IF($B58&lt;&gt;"Entry","",0)</f>
      </c>
      <c r="AI58" s="28"/>
      <c r="AJ58" s="28"/>
      <c r="AK58" s="32"/>
      <c r="AL58" s="28"/>
      <c r="AM58" s="28"/>
      <c r="AN58" s="27">
        <f>IF($B58&lt;&gt;"Challan","",SUMIF('Q1 Data'!$D$4:$D$207,D58,'Q1 Data'!$AD$4:$AD$207)+SUMIF('Q1 Data'!$D$4:$D$207,D58,'Q1 Data'!$AG$4:$AG$207)+SUMIF('Q1 Data'!$D$4:$D$207,D58,'Q1 Data'!$AE$4:$AE$207)+SUMIF('Q2 Data'!$D$4:$D$207,D58,'Q2 Data'!$AD$4:$AD$207)+SUMIF('Q2 Data'!$D$4:$D$207,D58,'Q2 Data'!$AG$4:$AG$207)+SUMIF('Q2 Data'!$D$4:$D$207,D58,'Q2 Data'!$AE$4:$AE$207)+SUMIF('Q3 Data'!$D$4:$D$207,D58,'Q3 Data'!$AD$4:$AD$207)+SUMIF('Q3 Data'!$D$4:$D$207,D58,'Q3 Data'!$AG$4:$AG$207)+SUMIF('Q3 Data'!$D$4:$D$207,D58,'Q3 Data'!$AE$4:$AE$207)+SUMIF('Q4 Data'!$D$4:$D$207,D58,'Q4 Data'!$AD$4:$AD$207)+SUMIF('Q4 Data'!$D$4:$D$207,D58,'Q4 Data'!$AG$4:$AG$207)+SUMIF('Q4 Data'!$D$4:$D$207,D58,'Q4 Data'!$AE$4:$AE$207))</f>
      </c>
      <c r="AO58" s="27">
        <f>IF($B58&lt;&gt;"Challan","",P58-N58)</f>
      </c>
      <c r="AP58" s="27">
        <f>IF($B58&lt;&gt;"Challan","",MAX(0,AO58-AN58))</f>
      </c>
      <c r="AQ58" s="33">
        <f>IF($B58&lt;&gt;"Entry","",SUMPRODUCT(('Q1 Data'!$D$4:$D$207=D58)*('Q1 Data'!$B$4:$B$207="Challan")*'Q1 Data'!$F$4:$F$207)+SUMPRODUCT(('Q2 Data'!$D$4:$D$207=D58)*('Q2 Data'!$B$4:$B$207="Challan")*'Q2 Data'!$F$4:$F$207)+SUMPRODUCT(('Q3 Data'!$D$4:$D$207=D58)*('Q3 Data'!$B$4:$B$207="Challan")*'Q3 Data'!$F$4:$F$207)+SUMPRODUCT(('Q4 Data'!$D$4:$D$207=D58)*('Q4 Data'!$B$4:$B$207="Challan")*'Q4 Data'!$F$4:$F$207))</f>
      </c>
      <c r="AR58" s="34">
        <f>IF(OR($B58&lt;&gt;"Entry",Z58=""),FALSE,AND((SUMPRODUCT(('Q1 Data'!$D$4:$D$207=D58)*('Q1 Data'!$B$4:$B$207="Challan")*('Q1 Data'!$H$4:$H$207&lt;&gt;""))+SUMPRODUCT(('Q2 Data'!$D$4:$D$207=D58)*('Q2 Data'!$B$4:$B$207="Challan")*('Q2 Data'!$H$4:$H$207&lt;&gt;""))+SUMPRODUCT(('Q3 Data'!$D$4:$D$207=D58)*('Q3 Data'!$B$4:$B$207="Challan")*('Q3 Data'!$H$4:$H$207&lt;&gt;""))+SUMPRODUCT(('Q4 Data'!$D$4:$D$207=D58)*('Q4 Data'!$B$4:$B$207="Challan")*('Q4 Data'!$H$4:$H$207&lt;&gt;"")))&gt;0,(SUMPRODUCT(('Q1 Data'!$D$4:$D$207=D58)*('Q1 Data'!$B$4:$B$207="Challan")*('Q1 Data'!$H$4:$H$207=Z58))+SUMPRODUCT(('Q2 Data'!$D$4:$D$207=D58)*('Q2 Data'!$B$4:$B$207="Challan")*('Q2 Data'!$H$4:$H$207=Z58))+SUMPRODUCT(('Q3 Data'!$D$4:$D$207=D58)*('Q3 Data'!$B$4:$B$207="Challan")*('Q3 Data'!$H$4:$H$207=Z58))+SUMPRODUCT(('Q4 Data'!$D$4:$D$207=D58)*('Q4 Data'!$B$4:$B$207="Challan")*('Q4 Data'!$H$4:$H$207=Z58)))=0))</f>
      </c>
    </row>
    <row r="59" spans="1:44" x14ac:dyDescent="0.25">
      <c r="A59" s="20">
        <f>IF($B59="Entry",COUNTIF($B$4:$B59,"Entry"),"")</f>
      </c>
      <c r="B59" s="21"/>
      <c r="C59" s="22"/>
      <c r="D59" s="22"/>
      <c r="E59" s="23">
        <f>IF($B59&lt;&gt;"Challan","",IF(ROUND(AN59-AO59,2)&gt;0,"Over-applied",IF(ROUND(AN59-AO59,2)=0,"Fully Utilised","Unconsumed")))</f>
      </c>
      <c r="F59" s="24"/>
      <c r="G59" s="25"/>
      <c r="H59" s="25"/>
      <c r="I59" s="26"/>
      <c r="J59" s="26"/>
      <c r="K59" s="26"/>
      <c r="L59" s="26"/>
      <c r="M59" s="26"/>
      <c r="N59" s="26"/>
      <c r="O59" s="26"/>
      <c r="P59" s="27">
        <f>IF($B59&lt;&gt;"Challan","",I59+J59+K59+L59+M59+N59)</f>
      </c>
      <c r="Q59" s="25"/>
      <c r="R59" s="25"/>
      <c r="S59" s="25"/>
      <c r="T59" s="25"/>
      <c r="U59" s="25"/>
      <c r="V59" s="28"/>
      <c r="W59" s="28"/>
      <c r="X59" s="23">
        <f>IF($B59="Entry",IF(AND(LEN(TRIM(UPPER(W59)))=10,CODE(MID(TRIM(UPPER(W59)),1,1))&gt;=65,CODE(MID(TRIM(UPPER(W59)),1,1))&lt;=90,CODE(MID(TRIM(UPPER(W59)),2,1))&gt;=65,CODE(MID(TRIM(UPPER(W59)),2,1))&lt;=90,CODE(MID(TRIM(UPPER(W59)),3,1))&gt;=65,CODE(MID(TRIM(UPPER(W59)),3,1))&lt;=90,CODE(MID(TRIM(UPPER(W59)),4,1))&gt;=65,CODE(MID(TRIM(UPPER(W59)),4,1))&lt;=90,CODE(MID(TRIM(UPPER(W59)),5,1))&gt;=65,CODE(MID(TRIM(UPPER(W59)),5,1))&lt;=90,CODE(MID(TRIM(UPPER(W59)),10,1))&gt;=65,CODE(MID(TRIM(UPPER(W59)),10,1))&lt;=90,CODE(MID(TRIM(UPPER(W59)),6,1))&gt;=48,CODE(MID(TRIM(UPPER(W59)),6,1))&lt;=57,CODE(MID(TRIM(UPPER(W59)),7,1))&gt;=48,CODE(MID(TRIM(UPPER(W59)),7,1))&lt;=57,CODE(MID(TRIM(UPPER(W59)),8,1))&gt;=48,CODE(MID(TRIM(UPPER(W59)),8,1))&lt;=57,CODE(MID(TRIM(UPPER(W59)),9,1))&gt;=48,CODE(MID(TRIM(UPPER(W59)),9,1))&lt;=57),"N","Y"),IF($B59="Challan","",IF(W59&lt;&gt;"","◄ Set Row Type","")))</f>
      </c>
      <c r="Y59" s="23">
        <f>IF($B59="Entry",IF(LEN(W59)&lt;4,"",IF(UPPER(MID(W59,4,1))="P","Individual",IF(UPPER(MID(W59,4,1))="H","HUF",IF(UPPER(MID(W59,4,1))="C","Company",IF(UPPER(MID(W59,4,1))="F","Firm",IF(UPPER(MID(W59,4,1))="L","LLP",IF(UPPER(MID(W59,4,1))="T","Trust",IF(UPPER(MID(W59,4,1))="A","AOP","")))))))),IF($B59="Challan","",IF(W59&lt;&gt;"","◄ Set Row Type","")))</f>
      </c>
      <c r="Z59" s="28"/>
      <c r="AA59" s="29">
        <f>IF($B59&lt;&gt;"Entry","",IF(Z59="","",IF(X59="Y",SUMPRODUCT(('Rate Lookup'!$A$1:$A$37=Z59)*'Rate Lookup'!$D$1:$D$37),IF(OR(Y59="Individual",Y59="HUF"),SUMPRODUCT(('Rate Lookup'!$A$1:$A$37=Z59)*'Rate Lookup'!$B$1:$B$37),SUMPRODUCT(('Rate Lookup'!$A$1:$A$37=Z59)*'Rate Lookup'!$C$1:$C$37)))))</f>
      </c>
      <c r="AB59" s="30"/>
      <c r="AC59" s="31"/>
      <c r="AD59" s="27">
        <f>IF($B59&lt;&gt;"Entry","",ROUND(AC59*AA59/100,0))</f>
      </c>
      <c r="AE59" s="27">
        <f>IF($B59&lt;&gt;"Entry","",0)</f>
      </c>
      <c r="AF59" s="27">
        <f>IF($B59&lt;&gt;"Entry","",0)</f>
      </c>
      <c r="AG59" s="27">
        <f>IF($B59&lt;&gt;"Entry","",IF(OR(AD59=0,AB59="",AQ59="",AQ59&lt;=0),0,IF(AQ59&lt;=DATE(YEAR(AB59),MONTH(AB59)+1,7),0,ROUND(AD59*0.015*((YEAR(AQ59)-YEAR(AB59))*12+(MONTH(AQ59)-MONTH(AB59))+1),0))))</f>
      </c>
      <c r="AH59" s="27">
        <f>IF($B59&lt;&gt;"Entry","",0)</f>
      </c>
      <c r="AI59" s="28"/>
      <c r="AJ59" s="28"/>
      <c r="AK59" s="32"/>
      <c r="AL59" s="28"/>
      <c r="AM59" s="28"/>
      <c r="AN59" s="27">
        <f>IF($B59&lt;&gt;"Challan","",SUMIF('Q1 Data'!$D$4:$D$207,D59,'Q1 Data'!$AD$4:$AD$207)+SUMIF('Q1 Data'!$D$4:$D$207,D59,'Q1 Data'!$AG$4:$AG$207)+SUMIF('Q1 Data'!$D$4:$D$207,D59,'Q1 Data'!$AE$4:$AE$207)+SUMIF('Q2 Data'!$D$4:$D$207,D59,'Q2 Data'!$AD$4:$AD$207)+SUMIF('Q2 Data'!$D$4:$D$207,D59,'Q2 Data'!$AG$4:$AG$207)+SUMIF('Q2 Data'!$D$4:$D$207,D59,'Q2 Data'!$AE$4:$AE$207)+SUMIF('Q3 Data'!$D$4:$D$207,D59,'Q3 Data'!$AD$4:$AD$207)+SUMIF('Q3 Data'!$D$4:$D$207,D59,'Q3 Data'!$AG$4:$AG$207)+SUMIF('Q3 Data'!$D$4:$D$207,D59,'Q3 Data'!$AE$4:$AE$207)+SUMIF('Q4 Data'!$D$4:$D$207,D59,'Q4 Data'!$AD$4:$AD$207)+SUMIF('Q4 Data'!$D$4:$D$207,D59,'Q4 Data'!$AG$4:$AG$207)+SUMIF('Q4 Data'!$D$4:$D$207,D59,'Q4 Data'!$AE$4:$AE$207))</f>
      </c>
      <c r="AO59" s="27">
        <f>IF($B59&lt;&gt;"Challan","",P59-N59)</f>
      </c>
      <c r="AP59" s="27">
        <f>IF($B59&lt;&gt;"Challan","",MAX(0,AO59-AN59))</f>
      </c>
      <c r="AQ59" s="33">
        <f>IF($B59&lt;&gt;"Entry","",SUMPRODUCT(('Q1 Data'!$D$4:$D$207=D59)*('Q1 Data'!$B$4:$B$207="Challan")*'Q1 Data'!$F$4:$F$207)+SUMPRODUCT(('Q2 Data'!$D$4:$D$207=D59)*('Q2 Data'!$B$4:$B$207="Challan")*'Q2 Data'!$F$4:$F$207)+SUMPRODUCT(('Q3 Data'!$D$4:$D$207=D59)*('Q3 Data'!$B$4:$B$207="Challan")*'Q3 Data'!$F$4:$F$207)+SUMPRODUCT(('Q4 Data'!$D$4:$D$207=D59)*('Q4 Data'!$B$4:$B$207="Challan")*'Q4 Data'!$F$4:$F$207))</f>
      </c>
      <c r="AR59" s="34">
        <f>IF(OR($B59&lt;&gt;"Entry",Z59=""),FALSE,AND((SUMPRODUCT(('Q1 Data'!$D$4:$D$207=D59)*('Q1 Data'!$B$4:$B$207="Challan")*('Q1 Data'!$H$4:$H$207&lt;&gt;""))+SUMPRODUCT(('Q2 Data'!$D$4:$D$207=D59)*('Q2 Data'!$B$4:$B$207="Challan")*('Q2 Data'!$H$4:$H$207&lt;&gt;""))+SUMPRODUCT(('Q3 Data'!$D$4:$D$207=D59)*('Q3 Data'!$B$4:$B$207="Challan")*('Q3 Data'!$H$4:$H$207&lt;&gt;""))+SUMPRODUCT(('Q4 Data'!$D$4:$D$207=D59)*('Q4 Data'!$B$4:$B$207="Challan")*('Q4 Data'!$H$4:$H$207&lt;&gt;"")))&gt;0,(SUMPRODUCT(('Q1 Data'!$D$4:$D$207=D59)*('Q1 Data'!$B$4:$B$207="Challan")*('Q1 Data'!$H$4:$H$207=Z59))+SUMPRODUCT(('Q2 Data'!$D$4:$D$207=D59)*('Q2 Data'!$B$4:$B$207="Challan")*('Q2 Data'!$H$4:$H$207=Z59))+SUMPRODUCT(('Q3 Data'!$D$4:$D$207=D59)*('Q3 Data'!$B$4:$B$207="Challan")*('Q3 Data'!$H$4:$H$207=Z59))+SUMPRODUCT(('Q4 Data'!$D$4:$D$207=D59)*('Q4 Data'!$B$4:$B$207="Challan")*('Q4 Data'!$H$4:$H$207=Z59)))=0))</f>
      </c>
    </row>
    <row r="60" spans="1:44" x14ac:dyDescent="0.25">
      <c r="A60" s="20">
        <f>IF($B60="Entry",COUNTIF($B$4:$B60,"Entry"),"")</f>
      </c>
      <c r="B60" s="21"/>
      <c r="C60" s="22"/>
      <c r="D60" s="22"/>
      <c r="E60" s="23">
        <f>IF($B60&lt;&gt;"Challan","",IF(ROUND(AN60-AO60,2)&gt;0,"Over-applied",IF(ROUND(AN60-AO60,2)=0,"Fully Utilised","Unconsumed")))</f>
      </c>
      <c r="F60" s="24"/>
      <c r="G60" s="25"/>
      <c r="H60" s="25"/>
      <c r="I60" s="26"/>
      <c r="J60" s="26"/>
      <c r="K60" s="26"/>
      <c r="L60" s="26"/>
      <c r="M60" s="26"/>
      <c r="N60" s="26"/>
      <c r="O60" s="26"/>
      <c r="P60" s="27">
        <f>IF($B60&lt;&gt;"Challan","",I60+J60+K60+L60+M60+N60)</f>
      </c>
      <c r="Q60" s="25"/>
      <c r="R60" s="25"/>
      <c r="S60" s="25"/>
      <c r="T60" s="25"/>
      <c r="U60" s="25"/>
      <c r="V60" s="28"/>
      <c r="W60" s="28"/>
      <c r="X60" s="23">
        <f>IF($B60="Entry",IF(AND(LEN(TRIM(UPPER(W60)))=10,CODE(MID(TRIM(UPPER(W60)),1,1))&gt;=65,CODE(MID(TRIM(UPPER(W60)),1,1))&lt;=90,CODE(MID(TRIM(UPPER(W60)),2,1))&gt;=65,CODE(MID(TRIM(UPPER(W60)),2,1))&lt;=90,CODE(MID(TRIM(UPPER(W60)),3,1))&gt;=65,CODE(MID(TRIM(UPPER(W60)),3,1))&lt;=90,CODE(MID(TRIM(UPPER(W60)),4,1))&gt;=65,CODE(MID(TRIM(UPPER(W60)),4,1))&lt;=90,CODE(MID(TRIM(UPPER(W60)),5,1))&gt;=65,CODE(MID(TRIM(UPPER(W60)),5,1))&lt;=90,CODE(MID(TRIM(UPPER(W60)),10,1))&gt;=65,CODE(MID(TRIM(UPPER(W60)),10,1))&lt;=90,CODE(MID(TRIM(UPPER(W60)),6,1))&gt;=48,CODE(MID(TRIM(UPPER(W60)),6,1))&lt;=57,CODE(MID(TRIM(UPPER(W60)),7,1))&gt;=48,CODE(MID(TRIM(UPPER(W60)),7,1))&lt;=57,CODE(MID(TRIM(UPPER(W60)),8,1))&gt;=48,CODE(MID(TRIM(UPPER(W60)),8,1))&lt;=57,CODE(MID(TRIM(UPPER(W60)),9,1))&gt;=48,CODE(MID(TRIM(UPPER(W60)),9,1))&lt;=57),"N","Y"),IF($B60="Challan","",IF(W60&lt;&gt;"","◄ Set Row Type","")))</f>
      </c>
      <c r="Y60" s="23">
        <f>IF($B60="Entry",IF(LEN(W60)&lt;4,"",IF(UPPER(MID(W60,4,1))="P","Individual",IF(UPPER(MID(W60,4,1))="H","HUF",IF(UPPER(MID(W60,4,1))="C","Company",IF(UPPER(MID(W60,4,1))="F","Firm",IF(UPPER(MID(W60,4,1))="L","LLP",IF(UPPER(MID(W60,4,1))="T","Trust",IF(UPPER(MID(W60,4,1))="A","AOP","")))))))),IF($B60="Challan","",IF(W60&lt;&gt;"","◄ Set Row Type","")))</f>
      </c>
      <c r="Z60" s="28"/>
      <c r="AA60" s="29">
        <f>IF($B60&lt;&gt;"Entry","",IF(Z60="","",IF(X60="Y",SUMPRODUCT(('Rate Lookup'!$A$1:$A$37=Z60)*'Rate Lookup'!$D$1:$D$37),IF(OR(Y60="Individual",Y60="HUF"),SUMPRODUCT(('Rate Lookup'!$A$1:$A$37=Z60)*'Rate Lookup'!$B$1:$B$37),SUMPRODUCT(('Rate Lookup'!$A$1:$A$37=Z60)*'Rate Lookup'!$C$1:$C$37)))))</f>
      </c>
      <c r="AB60" s="30"/>
      <c r="AC60" s="31"/>
      <c r="AD60" s="27">
        <f>IF($B60&lt;&gt;"Entry","",ROUND(AC60*AA60/100,0))</f>
      </c>
      <c r="AE60" s="27">
        <f>IF($B60&lt;&gt;"Entry","",0)</f>
      </c>
      <c r="AF60" s="27">
        <f>IF($B60&lt;&gt;"Entry","",0)</f>
      </c>
      <c r="AG60" s="27">
        <f>IF($B60&lt;&gt;"Entry","",IF(OR(AD60=0,AB60="",AQ60="",AQ60&lt;=0),0,IF(AQ60&lt;=DATE(YEAR(AB60),MONTH(AB60)+1,7),0,ROUND(AD60*0.015*((YEAR(AQ60)-YEAR(AB60))*12+(MONTH(AQ60)-MONTH(AB60))+1),0))))</f>
      </c>
      <c r="AH60" s="27">
        <f>IF($B60&lt;&gt;"Entry","",0)</f>
      </c>
      <c r="AI60" s="28"/>
      <c r="AJ60" s="28"/>
      <c r="AK60" s="32"/>
      <c r="AL60" s="28"/>
      <c r="AM60" s="28"/>
      <c r="AN60" s="27">
        <f>IF($B60&lt;&gt;"Challan","",SUMIF('Q1 Data'!$D$4:$D$207,D60,'Q1 Data'!$AD$4:$AD$207)+SUMIF('Q1 Data'!$D$4:$D$207,D60,'Q1 Data'!$AG$4:$AG$207)+SUMIF('Q1 Data'!$D$4:$D$207,D60,'Q1 Data'!$AE$4:$AE$207)+SUMIF('Q2 Data'!$D$4:$D$207,D60,'Q2 Data'!$AD$4:$AD$207)+SUMIF('Q2 Data'!$D$4:$D$207,D60,'Q2 Data'!$AG$4:$AG$207)+SUMIF('Q2 Data'!$D$4:$D$207,D60,'Q2 Data'!$AE$4:$AE$207)+SUMIF('Q3 Data'!$D$4:$D$207,D60,'Q3 Data'!$AD$4:$AD$207)+SUMIF('Q3 Data'!$D$4:$D$207,D60,'Q3 Data'!$AG$4:$AG$207)+SUMIF('Q3 Data'!$D$4:$D$207,D60,'Q3 Data'!$AE$4:$AE$207)+SUMIF('Q4 Data'!$D$4:$D$207,D60,'Q4 Data'!$AD$4:$AD$207)+SUMIF('Q4 Data'!$D$4:$D$207,D60,'Q4 Data'!$AG$4:$AG$207)+SUMIF('Q4 Data'!$D$4:$D$207,D60,'Q4 Data'!$AE$4:$AE$207))</f>
      </c>
      <c r="AO60" s="27">
        <f>IF($B60&lt;&gt;"Challan","",P60-N60)</f>
      </c>
      <c r="AP60" s="27">
        <f>IF($B60&lt;&gt;"Challan","",MAX(0,AO60-AN60))</f>
      </c>
      <c r="AQ60" s="33">
        <f>IF($B60&lt;&gt;"Entry","",SUMPRODUCT(('Q1 Data'!$D$4:$D$207=D60)*('Q1 Data'!$B$4:$B$207="Challan")*'Q1 Data'!$F$4:$F$207)+SUMPRODUCT(('Q2 Data'!$D$4:$D$207=D60)*('Q2 Data'!$B$4:$B$207="Challan")*'Q2 Data'!$F$4:$F$207)+SUMPRODUCT(('Q3 Data'!$D$4:$D$207=D60)*('Q3 Data'!$B$4:$B$207="Challan")*'Q3 Data'!$F$4:$F$207)+SUMPRODUCT(('Q4 Data'!$D$4:$D$207=D60)*('Q4 Data'!$B$4:$B$207="Challan")*'Q4 Data'!$F$4:$F$207))</f>
      </c>
      <c r="AR60" s="34">
        <f>IF(OR($B60&lt;&gt;"Entry",Z60=""),FALSE,AND((SUMPRODUCT(('Q1 Data'!$D$4:$D$207=D60)*('Q1 Data'!$B$4:$B$207="Challan")*('Q1 Data'!$H$4:$H$207&lt;&gt;""))+SUMPRODUCT(('Q2 Data'!$D$4:$D$207=D60)*('Q2 Data'!$B$4:$B$207="Challan")*('Q2 Data'!$H$4:$H$207&lt;&gt;""))+SUMPRODUCT(('Q3 Data'!$D$4:$D$207=D60)*('Q3 Data'!$B$4:$B$207="Challan")*('Q3 Data'!$H$4:$H$207&lt;&gt;""))+SUMPRODUCT(('Q4 Data'!$D$4:$D$207=D60)*('Q4 Data'!$B$4:$B$207="Challan")*('Q4 Data'!$H$4:$H$207&lt;&gt;"")))&gt;0,(SUMPRODUCT(('Q1 Data'!$D$4:$D$207=D60)*('Q1 Data'!$B$4:$B$207="Challan")*('Q1 Data'!$H$4:$H$207=Z60))+SUMPRODUCT(('Q2 Data'!$D$4:$D$207=D60)*('Q2 Data'!$B$4:$B$207="Challan")*('Q2 Data'!$H$4:$H$207=Z60))+SUMPRODUCT(('Q3 Data'!$D$4:$D$207=D60)*('Q3 Data'!$B$4:$B$207="Challan")*('Q3 Data'!$H$4:$H$207=Z60))+SUMPRODUCT(('Q4 Data'!$D$4:$D$207=D60)*('Q4 Data'!$B$4:$B$207="Challan")*('Q4 Data'!$H$4:$H$207=Z60)))=0))</f>
      </c>
    </row>
    <row r="61" spans="1:44" x14ac:dyDescent="0.25">
      <c r="A61" s="20">
        <f>IF($B61="Entry",COUNTIF($B$4:$B61,"Entry"),"")</f>
      </c>
      <c r="B61" s="21"/>
      <c r="C61" s="22"/>
      <c r="D61" s="22"/>
      <c r="E61" s="23">
        <f>IF($B61&lt;&gt;"Challan","",IF(ROUND(AN61-AO61,2)&gt;0,"Over-applied",IF(ROUND(AN61-AO61,2)=0,"Fully Utilised","Unconsumed")))</f>
      </c>
      <c r="F61" s="24"/>
      <c r="G61" s="25"/>
      <c r="H61" s="25"/>
      <c r="I61" s="26"/>
      <c r="J61" s="26"/>
      <c r="K61" s="26"/>
      <c r="L61" s="26"/>
      <c r="M61" s="26"/>
      <c r="N61" s="26"/>
      <c r="O61" s="26"/>
      <c r="P61" s="27">
        <f>IF($B61&lt;&gt;"Challan","",I61+J61+K61+L61+M61+N61)</f>
      </c>
      <c r="Q61" s="25"/>
      <c r="R61" s="25"/>
      <c r="S61" s="25"/>
      <c r="T61" s="25"/>
      <c r="U61" s="25"/>
      <c r="V61" s="28"/>
      <c r="W61" s="28"/>
      <c r="X61" s="23">
        <f>IF($B61="Entry",IF(AND(LEN(TRIM(UPPER(W61)))=10,CODE(MID(TRIM(UPPER(W61)),1,1))&gt;=65,CODE(MID(TRIM(UPPER(W61)),1,1))&lt;=90,CODE(MID(TRIM(UPPER(W61)),2,1))&gt;=65,CODE(MID(TRIM(UPPER(W61)),2,1))&lt;=90,CODE(MID(TRIM(UPPER(W61)),3,1))&gt;=65,CODE(MID(TRIM(UPPER(W61)),3,1))&lt;=90,CODE(MID(TRIM(UPPER(W61)),4,1))&gt;=65,CODE(MID(TRIM(UPPER(W61)),4,1))&lt;=90,CODE(MID(TRIM(UPPER(W61)),5,1))&gt;=65,CODE(MID(TRIM(UPPER(W61)),5,1))&lt;=90,CODE(MID(TRIM(UPPER(W61)),10,1))&gt;=65,CODE(MID(TRIM(UPPER(W61)),10,1))&lt;=90,CODE(MID(TRIM(UPPER(W61)),6,1))&gt;=48,CODE(MID(TRIM(UPPER(W61)),6,1))&lt;=57,CODE(MID(TRIM(UPPER(W61)),7,1))&gt;=48,CODE(MID(TRIM(UPPER(W61)),7,1))&lt;=57,CODE(MID(TRIM(UPPER(W61)),8,1))&gt;=48,CODE(MID(TRIM(UPPER(W61)),8,1))&lt;=57,CODE(MID(TRIM(UPPER(W61)),9,1))&gt;=48,CODE(MID(TRIM(UPPER(W61)),9,1))&lt;=57),"N","Y"),IF($B61="Challan","",IF(W61&lt;&gt;"","◄ Set Row Type","")))</f>
      </c>
      <c r="Y61" s="23">
        <f>IF($B61="Entry",IF(LEN(W61)&lt;4,"",IF(UPPER(MID(W61,4,1))="P","Individual",IF(UPPER(MID(W61,4,1))="H","HUF",IF(UPPER(MID(W61,4,1))="C","Company",IF(UPPER(MID(W61,4,1))="F","Firm",IF(UPPER(MID(W61,4,1))="L","LLP",IF(UPPER(MID(W61,4,1))="T","Trust",IF(UPPER(MID(W61,4,1))="A","AOP","")))))))),IF($B61="Challan","",IF(W61&lt;&gt;"","◄ Set Row Type","")))</f>
      </c>
      <c r="Z61" s="28"/>
      <c r="AA61" s="29">
        <f>IF($B61&lt;&gt;"Entry","",IF(Z61="","",IF(X61="Y",SUMPRODUCT(('Rate Lookup'!$A$1:$A$37=Z61)*'Rate Lookup'!$D$1:$D$37),IF(OR(Y61="Individual",Y61="HUF"),SUMPRODUCT(('Rate Lookup'!$A$1:$A$37=Z61)*'Rate Lookup'!$B$1:$B$37),SUMPRODUCT(('Rate Lookup'!$A$1:$A$37=Z61)*'Rate Lookup'!$C$1:$C$37)))))</f>
      </c>
      <c r="AB61" s="30"/>
      <c r="AC61" s="31"/>
      <c r="AD61" s="27">
        <f>IF($B61&lt;&gt;"Entry","",ROUND(AC61*AA61/100,0))</f>
      </c>
      <c r="AE61" s="27">
        <f>IF($B61&lt;&gt;"Entry","",0)</f>
      </c>
      <c r="AF61" s="27">
        <f>IF($B61&lt;&gt;"Entry","",0)</f>
      </c>
      <c r="AG61" s="27">
        <f>IF($B61&lt;&gt;"Entry","",IF(OR(AD61=0,AB61="",AQ61="",AQ61&lt;=0),0,IF(AQ61&lt;=DATE(YEAR(AB61),MONTH(AB61)+1,7),0,ROUND(AD61*0.015*((YEAR(AQ61)-YEAR(AB61))*12+(MONTH(AQ61)-MONTH(AB61))+1),0))))</f>
      </c>
      <c r="AH61" s="27">
        <f>IF($B61&lt;&gt;"Entry","",0)</f>
      </c>
      <c r="AI61" s="28"/>
      <c r="AJ61" s="28"/>
      <c r="AK61" s="32"/>
      <c r="AL61" s="28"/>
      <c r="AM61" s="28"/>
      <c r="AN61" s="27">
        <f>IF($B61&lt;&gt;"Challan","",SUMIF('Q1 Data'!$D$4:$D$207,D61,'Q1 Data'!$AD$4:$AD$207)+SUMIF('Q1 Data'!$D$4:$D$207,D61,'Q1 Data'!$AG$4:$AG$207)+SUMIF('Q1 Data'!$D$4:$D$207,D61,'Q1 Data'!$AE$4:$AE$207)+SUMIF('Q2 Data'!$D$4:$D$207,D61,'Q2 Data'!$AD$4:$AD$207)+SUMIF('Q2 Data'!$D$4:$D$207,D61,'Q2 Data'!$AG$4:$AG$207)+SUMIF('Q2 Data'!$D$4:$D$207,D61,'Q2 Data'!$AE$4:$AE$207)+SUMIF('Q3 Data'!$D$4:$D$207,D61,'Q3 Data'!$AD$4:$AD$207)+SUMIF('Q3 Data'!$D$4:$D$207,D61,'Q3 Data'!$AG$4:$AG$207)+SUMIF('Q3 Data'!$D$4:$D$207,D61,'Q3 Data'!$AE$4:$AE$207)+SUMIF('Q4 Data'!$D$4:$D$207,D61,'Q4 Data'!$AD$4:$AD$207)+SUMIF('Q4 Data'!$D$4:$D$207,D61,'Q4 Data'!$AG$4:$AG$207)+SUMIF('Q4 Data'!$D$4:$D$207,D61,'Q4 Data'!$AE$4:$AE$207))</f>
      </c>
      <c r="AO61" s="27">
        <f>IF($B61&lt;&gt;"Challan","",P61-N61)</f>
      </c>
      <c r="AP61" s="27">
        <f>IF($B61&lt;&gt;"Challan","",MAX(0,AO61-AN61))</f>
      </c>
      <c r="AQ61" s="33">
        <f>IF($B61&lt;&gt;"Entry","",SUMPRODUCT(('Q1 Data'!$D$4:$D$207=D61)*('Q1 Data'!$B$4:$B$207="Challan")*'Q1 Data'!$F$4:$F$207)+SUMPRODUCT(('Q2 Data'!$D$4:$D$207=D61)*('Q2 Data'!$B$4:$B$207="Challan")*'Q2 Data'!$F$4:$F$207)+SUMPRODUCT(('Q3 Data'!$D$4:$D$207=D61)*('Q3 Data'!$B$4:$B$207="Challan")*'Q3 Data'!$F$4:$F$207)+SUMPRODUCT(('Q4 Data'!$D$4:$D$207=D61)*('Q4 Data'!$B$4:$B$207="Challan")*'Q4 Data'!$F$4:$F$207))</f>
      </c>
      <c r="AR61" s="34">
        <f>IF(OR($B61&lt;&gt;"Entry",Z61=""),FALSE,AND((SUMPRODUCT(('Q1 Data'!$D$4:$D$207=D61)*('Q1 Data'!$B$4:$B$207="Challan")*('Q1 Data'!$H$4:$H$207&lt;&gt;""))+SUMPRODUCT(('Q2 Data'!$D$4:$D$207=D61)*('Q2 Data'!$B$4:$B$207="Challan")*('Q2 Data'!$H$4:$H$207&lt;&gt;""))+SUMPRODUCT(('Q3 Data'!$D$4:$D$207=D61)*('Q3 Data'!$B$4:$B$207="Challan")*('Q3 Data'!$H$4:$H$207&lt;&gt;""))+SUMPRODUCT(('Q4 Data'!$D$4:$D$207=D61)*('Q4 Data'!$B$4:$B$207="Challan")*('Q4 Data'!$H$4:$H$207&lt;&gt;"")))&gt;0,(SUMPRODUCT(('Q1 Data'!$D$4:$D$207=D61)*('Q1 Data'!$B$4:$B$207="Challan")*('Q1 Data'!$H$4:$H$207=Z61))+SUMPRODUCT(('Q2 Data'!$D$4:$D$207=D61)*('Q2 Data'!$B$4:$B$207="Challan")*('Q2 Data'!$H$4:$H$207=Z61))+SUMPRODUCT(('Q3 Data'!$D$4:$D$207=D61)*('Q3 Data'!$B$4:$B$207="Challan")*('Q3 Data'!$H$4:$H$207=Z61))+SUMPRODUCT(('Q4 Data'!$D$4:$D$207=D61)*('Q4 Data'!$B$4:$B$207="Challan")*('Q4 Data'!$H$4:$H$207=Z61)))=0))</f>
      </c>
    </row>
    <row r="62" spans="1:44" x14ac:dyDescent="0.25">
      <c r="A62" s="20">
        <f>IF($B62="Entry",COUNTIF($B$4:$B62,"Entry"),"")</f>
      </c>
      <c r="B62" s="21"/>
      <c r="C62" s="22"/>
      <c r="D62" s="22"/>
      <c r="E62" s="23">
        <f>IF($B62&lt;&gt;"Challan","",IF(ROUND(AN62-AO62,2)&gt;0,"Over-applied",IF(ROUND(AN62-AO62,2)=0,"Fully Utilised","Unconsumed")))</f>
      </c>
      <c r="F62" s="24"/>
      <c r="G62" s="25"/>
      <c r="H62" s="25"/>
      <c r="I62" s="26"/>
      <c r="J62" s="26"/>
      <c r="K62" s="26"/>
      <c r="L62" s="26"/>
      <c r="M62" s="26"/>
      <c r="N62" s="26"/>
      <c r="O62" s="26"/>
      <c r="P62" s="27">
        <f>IF($B62&lt;&gt;"Challan","",I62+J62+K62+L62+M62+N62)</f>
      </c>
      <c r="Q62" s="25"/>
      <c r="R62" s="25"/>
      <c r="S62" s="25"/>
      <c r="T62" s="25"/>
      <c r="U62" s="25"/>
      <c r="V62" s="28"/>
      <c r="W62" s="28"/>
      <c r="X62" s="23">
        <f>IF($B62="Entry",IF(AND(LEN(TRIM(UPPER(W62)))=10,CODE(MID(TRIM(UPPER(W62)),1,1))&gt;=65,CODE(MID(TRIM(UPPER(W62)),1,1))&lt;=90,CODE(MID(TRIM(UPPER(W62)),2,1))&gt;=65,CODE(MID(TRIM(UPPER(W62)),2,1))&lt;=90,CODE(MID(TRIM(UPPER(W62)),3,1))&gt;=65,CODE(MID(TRIM(UPPER(W62)),3,1))&lt;=90,CODE(MID(TRIM(UPPER(W62)),4,1))&gt;=65,CODE(MID(TRIM(UPPER(W62)),4,1))&lt;=90,CODE(MID(TRIM(UPPER(W62)),5,1))&gt;=65,CODE(MID(TRIM(UPPER(W62)),5,1))&lt;=90,CODE(MID(TRIM(UPPER(W62)),10,1))&gt;=65,CODE(MID(TRIM(UPPER(W62)),10,1))&lt;=90,CODE(MID(TRIM(UPPER(W62)),6,1))&gt;=48,CODE(MID(TRIM(UPPER(W62)),6,1))&lt;=57,CODE(MID(TRIM(UPPER(W62)),7,1))&gt;=48,CODE(MID(TRIM(UPPER(W62)),7,1))&lt;=57,CODE(MID(TRIM(UPPER(W62)),8,1))&gt;=48,CODE(MID(TRIM(UPPER(W62)),8,1))&lt;=57,CODE(MID(TRIM(UPPER(W62)),9,1))&gt;=48,CODE(MID(TRIM(UPPER(W62)),9,1))&lt;=57),"N","Y"),IF($B62="Challan","",IF(W62&lt;&gt;"","◄ Set Row Type","")))</f>
      </c>
      <c r="Y62" s="23">
        <f>IF($B62="Entry",IF(LEN(W62)&lt;4,"",IF(UPPER(MID(W62,4,1))="P","Individual",IF(UPPER(MID(W62,4,1))="H","HUF",IF(UPPER(MID(W62,4,1))="C","Company",IF(UPPER(MID(W62,4,1))="F","Firm",IF(UPPER(MID(W62,4,1))="L","LLP",IF(UPPER(MID(W62,4,1))="T","Trust",IF(UPPER(MID(W62,4,1))="A","AOP","")))))))),IF($B62="Challan","",IF(W62&lt;&gt;"","◄ Set Row Type","")))</f>
      </c>
      <c r="Z62" s="28"/>
      <c r="AA62" s="29">
        <f>IF($B62&lt;&gt;"Entry","",IF(Z62="","",IF(X62="Y",SUMPRODUCT(('Rate Lookup'!$A$1:$A$37=Z62)*'Rate Lookup'!$D$1:$D$37),IF(OR(Y62="Individual",Y62="HUF"),SUMPRODUCT(('Rate Lookup'!$A$1:$A$37=Z62)*'Rate Lookup'!$B$1:$B$37),SUMPRODUCT(('Rate Lookup'!$A$1:$A$37=Z62)*'Rate Lookup'!$C$1:$C$37)))))</f>
      </c>
      <c r="AB62" s="30"/>
      <c r="AC62" s="31"/>
      <c r="AD62" s="27">
        <f>IF($B62&lt;&gt;"Entry","",ROUND(AC62*AA62/100,0))</f>
      </c>
      <c r="AE62" s="27">
        <f>IF($B62&lt;&gt;"Entry","",0)</f>
      </c>
      <c r="AF62" s="27">
        <f>IF($B62&lt;&gt;"Entry","",0)</f>
      </c>
      <c r="AG62" s="27">
        <f>IF($B62&lt;&gt;"Entry","",IF(OR(AD62=0,AB62="",AQ62="",AQ62&lt;=0),0,IF(AQ62&lt;=DATE(YEAR(AB62),MONTH(AB62)+1,7),0,ROUND(AD62*0.015*((YEAR(AQ62)-YEAR(AB62))*12+(MONTH(AQ62)-MONTH(AB62))+1),0))))</f>
      </c>
      <c r="AH62" s="27">
        <f>IF($B62&lt;&gt;"Entry","",0)</f>
      </c>
      <c r="AI62" s="28"/>
      <c r="AJ62" s="28"/>
      <c r="AK62" s="32"/>
      <c r="AL62" s="28"/>
      <c r="AM62" s="28"/>
      <c r="AN62" s="27">
        <f>IF($B62&lt;&gt;"Challan","",SUMIF('Q1 Data'!$D$4:$D$207,D62,'Q1 Data'!$AD$4:$AD$207)+SUMIF('Q1 Data'!$D$4:$D$207,D62,'Q1 Data'!$AG$4:$AG$207)+SUMIF('Q1 Data'!$D$4:$D$207,D62,'Q1 Data'!$AE$4:$AE$207)+SUMIF('Q2 Data'!$D$4:$D$207,D62,'Q2 Data'!$AD$4:$AD$207)+SUMIF('Q2 Data'!$D$4:$D$207,D62,'Q2 Data'!$AG$4:$AG$207)+SUMIF('Q2 Data'!$D$4:$D$207,D62,'Q2 Data'!$AE$4:$AE$207)+SUMIF('Q3 Data'!$D$4:$D$207,D62,'Q3 Data'!$AD$4:$AD$207)+SUMIF('Q3 Data'!$D$4:$D$207,D62,'Q3 Data'!$AG$4:$AG$207)+SUMIF('Q3 Data'!$D$4:$D$207,D62,'Q3 Data'!$AE$4:$AE$207)+SUMIF('Q4 Data'!$D$4:$D$207,D62,'Q4 Data'!$AD$4:$AD$207)+SUMIF('Q4 Data'!$D$4:$D$207,D62,'Q4 Data'!$AG$4:$AG$207)+SUMIF('Q4 Data'!$D$4:$D$207,D62,'Q4 Data'!$AE$4:$AE$207))</f>
      </c>
      <c r="AO62" s="27">
        <f>IF($B62&lt;&gt;"Challan","",P62-N62)</f>
      </c>
      <c r="AP62" s="27">
        <f>IF($B62&lt;&gt;"Challan","",MAX(0,AO62-AN62))</f>
      </c>
      <c r="AQ62" s="33">
        <f>IF($B62&lt;&gt;"Entry","",SUMPRODUCT(('Q1 Data'!$D$4:$D$207=D62)*('Q1 Data'!$B$4:$B$207="Challan")*'Q1 Data'!$F$4:$F$207)+SUMPRODUCT(('Q2 Data'!$D$4:$D$207=D62)*('Q2 Data'!$B$4:$B$207="Challan")*'Q2 Data'!$F$4:$F$207)+SUMPRODUCT(('Q3 Data'!$D$4:$D$207=D62)*('Q3 Data'!$B$4:$B$207="Challan")*'Q3 Data'!$F$4:$F$207)+SUMPRODUCT(('Q4 Data'!$D$4:$D$207=D62)*('Q4 Data'!$B$4:$B$207="Challan")*'Q4 Data'!$F$4:$F$207))</f>
      </c>
      <c r="AR62" s="34">
        <f>IF(OR($B62&lt;&gt;"Entry",Z62=""),FALSE,AND((SUMPRODUCT(('Q1 Data'!$D$4:$D$207=D62)*('Q1 Data'!$B$4:$B$207="Challan")*('Q1 Data'!$H$4:$H$207&lt;&gt;""))+SUMPRODUCT(('Q2 Data'!$D$4:$D$207=D62)*('Q2 Data'!$B$4:$B$207="Challan")*('Q2 Data'!$H$4:$H$207&lt;&gt;""))+SUMPRODUCT(('Q3 Data'!$D$4:$D$207=D62)*('Q3 Data'!$B$4:$B$207="Challan")*('Q3 Data'!$H$4:$H$207&lt;&gt;""))+SUMPRODUCT(('Q4 Data'!$D$4:$D$207=D62)*('Q4 Data'!$B$4:$B$207="Challan")*('Q4 Data'!$H$4:$H$207&lt;&gt;"")))&gt;0,(SUMPRODUCT(('Q1 Data'!$D$4:$D$207=D62)*('Q1 Data'!$B$4:$B$207="Challan")*('Q1 Data'!$H$4:$H$207=Z62))+SUMPRODUCT(('Q2 Data'!$D$4:$D$207=D62)*('Q2 Data'!$B$4:$B$207="Challan")*('Q2 Data'!$H$4:$H$207=Z62))+SUMPRODUCT(('Q3 Data'!$D$4:$D$207=D62)*('Q3 Data'!$B$4:$B$207="Challan")*('Q3 Data'!$H$4:$H$207=Z62))+SUMPRODUCT(('Q4 Data'!$D$4:$D$207=D62)*('Q4 Data'!$B$4:$B$207="Challan")*('Q4 Data'!$H$4:$H$207=Z62)))=0))</f>
      </c>
    </row>
    <row r="63" spans="1:44" x14ac:dyDescent="0.25">
      <c r="A63" s="20">
        <f>IF($B63="Entry",COUNTIF($B$4:$B63,"Entry"),"")</f>
      </c>
      <c r="B63" s="21"/>
      <c r="C63" s="22"/>
      <c r="D63" s="22"/>
      <c r="E63" s="23">
        <f>IF($B63&lt;&gt;"Challan","",IF(ROUND(AN63-AO63,2)&gt;0,"Over-applied",IF(ROUND(AN63-AO63,2)=0,"Fully Utilised","Unconsumed")))</f>
      </c>
      <c r="F63" s="24"/>
      <c r="G63" s="25"/>
      <c r="H63" s="25"/>
      <c r="I63" s="26"/>
      <c r="J63" s="26"/>
      <c r="K63" s="26"/>
      <c r="L63" s="26"/>
      <c r="M63" s="26"/>
      <c r="N63" s="26"/>
      <c r="O63" s="26"/>
      <c r="P63" s="27">
        <f>IF($B63&lt;&gt;"Challan","",I63+J63+K63+L63+M63+N63)</f>
      </c>
      <c r="Q63" s="25"/>
      <c r="R63" s="25"/>
      <c r="S63" s="25"/>
      <c r="T63" s="25"/>
      <c r="U63" s="25"/>
      <c r="V63" s="28"/>
      <c r="W63" s="28"/>
      <c r="X63" s="23">
        <f>IF($B63="Entry",IF(AND(LEN(TRIM(UPPER(W63)))=10,CODE(MID(TRIM(UPPER(W63)),1,1))&gt;=65,CODE(MID(TRIM(UPPER(W63)),1,1))&lt;=90,CODE(MID(TRIM(UPPER(W63)),2,1))&gt;=65,CODE(MID(TRIM(UPPER(W63)),2,1))&lt;=90,CODE(MID(TRIM(UPPER(W63)),3,1))&gt;=65,CODE(MID(TRIM(UPPER(W63)),3,1))&lt;=90,CODE(MID(TRIM(UPPER(W63)),4,1))&gt;=65,CODE(MID(TRIM(UPPER(W63)),4,1))&lt;=90,CODE(MID(TRIM(UPPER(W63)),5,1))&gt;=65,CODE(MID(TRIM(UPPER(W63)),5,1))&lt;=90,CODE(MID(TRIM(UPPER(W63)),10,1))&gt;=65,CODE(MID(TRIM(UPPER(W63)),10,1))&lt;=90,CODE(MID(TRIM(UPPER(W63)),6,1))&gt;=48,CODE(MID(TRIM(UPPER(W63)),6,1))&lt;=57,CODE(MID(TRIM(UPPER(W63)),7,1))&gt;=48,CODE(MID(TRIM(UPPER(W63)),7,1))&lt;=57,CODE(MID(TRIM(UPPER(W63)),8,1))&gt;=48,CODE(MID(TRIM(UPPER(W63)),8,1))&lt;=57,CODE(MID(TRIM(UPPER(W63)),9,1))&gt;=48,CODE(MID(TRIM(UPPER(W63)),9,1))&lt;=57),"N","Y"),IF($B63="Challan","",IF(W63&lt;&gt;"","◄ Set Row Type","")))</f>
      </c>
      <c r="Y63" s="23">
        <f>IF($B63="Entry",IF(LEN(W63)&lt;4,"",IF(UPPER(MID(W63,4,1))="P","Individual",IF(UPPER(MID(W63,4,1))="H","HUF",IF(UPPER(MID(W63,4,1))="C","Company",IF(UPPER(MID(W63,4,1))="F","Firm",IF(UPPER(MID(W63,4,1))="L","LLP",IF(UPPER(MID(W63,4,1))="T","Trust",IF(UPPER(MID(W63,4,1))="A","AOP","")))))))),IF($B63="Challan","",IF(W63&lt;&gt;"","◄ Set Row Type","")))</f>
      </c>
      <c r="Z63" s="28"/>
      <c r="AA63" s="29">
        <f>IF($B63&lt;&gt;"Entry","",IF(Z63="","",IF(X63="Y",SUMPRODUCT(('Rate Lookup'!$A$1:$A$37=Z63)*'Rate Lookup'!$D$1:$D$37),IF(OR(Y63="Individual",Y63="HUF"),SUMPRODUCT(('Rate Lookup'!$A$1:$A$37=Z63)*'Rate Lookup'!$B$1:$B$37),SUMPRODUCT(('Rate Lookup'!$A$1:$A$37=Z63)*'Rate Lookup'!$C$1:$C$37)))))</f>
      </c>
      <c r="AB63" s="30"/>
      <c r="AC63" s="31"/>
      <c r="AD63" s="27">
        <f>IF($B63&lt;&gt;"Entry","",ROUND(AC63*AA63/100,0))</f>
      </c>
      <c r="AE63" s="27">
        <f>IF($B63&lt;&gt;"Entry","",0)</f>
      </c>
      <c r="AF63" s="27">
        <f>IF($B63&lt;&gt;"Entry","",0)</f>
      </c>
      <c r="AG63" s="27">
        <f>IF($B63&lt;&gt;"Entry","",IF(OR(AD63=0,AB63="",AQ63="",AQ63&lt;=0),0,IF(AQ63&lt;=DATE(YEAR(AB63),MONTH(AB63)+1,7),0,ROUND(AD63*0.015*((YEAR(AQ63)-YEAR(AB63))*12+(MONTH(AQ63)-MONTH(AB63))+1),0))))</f>
      </c>
      <c r="AH63" s="27">
        <f>IF($B63&lt;&gt;"Entry","",0)</f>
      </c>
      <c r="AI63" s="28"/>
      <c r="AJ63" s="28"/>
      <c r="AK63" s="32"/>
      <c r="AL63" s="28"/>
      <c r="AM63" s="28"/>
      <c r="AN63" s="27">
        <f>IF($B63&lt;&gt;"Challan","",SUMIF('Q1 Data'!$D$4:$D$207,D63,'Q1 Data'!$AD$4:$AD$207)+SUMIF('Q1 Data'!$D$4:$D$207,D63,'Q1 Data'!$AG$4:$AG$207)+SUMIF('Q1 Data'!$D$4:$D$207,D63,'Q1 Data'!$AE$4:$AE$207)+SUMIF('Q2 Data'!$D$4:$D$207,D63,'Q2 Data'!$AD$4:$AD$207)+SUMIF('Q2 Data'!$D$4:$D$207,D63,'Q2 Data'!$AG$4:$AG$207)+SUMIF('Q2 Data'!$D$4:$D$207,D63,'Q2 Data'!$AE$4:$AE$207)+SUMIF('Q3 Data'!$D$4:$D$207,D63,'Q3 Data'!$AD$4:$AD$207)+SUMIF('Q3 Data'!$D$4:$D$207,D63,'Q3 Data'!$AG$4:$AG$207)+SUMIF('Q3 Data'!$D$4:$D$207,D63,'Q3 Data'!$AE$4:$AE$207)+SUMIF('Q4 Data'!$D$4:$D$207,D63,'Q4 Data'!$AD$4:$AD$207)+SUMIF('Q4 Data'!$D$4:$D$207,D63,'Q4 Data'!$AG$4:$AG$207)+SUMIF('Q4 Data'!$D$4:$D$207,D63,'Q4 Data'!$AE$4:$AE$207))</f>
      </c>
      <c r="AO63" s="27">
        <f>IF($B63&lt;&gt;"Challan","",P63-N63)</f>
      </c>
      <c r="AP63" s="27">
        <f>IF($B63&lt;&gt;"Challan","",MAX(0,AO63-AN63))</f>
      </c>
      <c r="AQ63" s="33">
        <f>IF($B63&lt;&gt;"Entry","",SUMPRODUCT(('Q1 Data'!$D$4:$D$207=D63)*('Q1 Data'!$B$4:$B$207="Challan")*'Q1 Data'!$F$4:$F$207)+SUMPRODUCT(('Q2 Data'!$D$4:$D$207=D63)*('Q2 Data'!$B$4:$B$207="Challan")*'Q2 Data'!$F$4:$F$207)+SUMPRODUCT(('Q3 Data'!$D$4:$D$207=D63)*('Q3 Data'!$B$4:$B$207="Challan")*'Q3 Data'!$F$4:$F$207)+SUMPRODUCT(('Q4 Data'!$D$4:$D$207=D63)*('Q4 Data'!$B$4:$B$207="Challan")*'Q4 Data'!$F$4:$F$207))</f>
      </c>
      <c r="AR63" s="34">
        <f>IF(OR($B63&lt;&gt;"Entry",Z63=""),FALSE,AND((SUMPRODUCT(('Q1 Data'!$D$4:$D$207=D63)*('Q1 Data'!$B$4:$B$207="Challan")*('Q1 Data'!$H$4:$H$207&lt;&gt;""))+SUMPRODUCT(('Q2 Data'!$D$4:$D$207=D63)*('Q2 Data'!$B$4:$B$207="Challan")*('Q2 Data'!$H$4:$H$207&lt;&gt;""))+SUMPRODUCT(('Q3 Data'!$D$4:$D$207=D63)*('Q3 Data'!$B$4:$B$207="Challan")*('Q3 Data'!$H$4:$H$207&lt;&gt;""))+SUMPRODUCT(('Q4 Data'!$D$4:$D$207=D63)*('Q4 Data'!$B$4:$B$207="Challan")*('Q4 Data'!$H$4:$H$207&lt;&gt;"")))&gt;0,(SUMPRODUCT(('Q1 Data'!$D$4:$D$207=D63)*('Q1 Data'!$B$4:$B$207="Challan")*('Q1 Data'!$H$4:$H$207=Z63))+SUMPRODUCT(('Q2 Data'!$D$4:$D$207=D63)*('Q2 Data'!$B$4:$B$207="Challan")*('Q2 Data'!$H$4:$H$207=Z63))+SUMPRODUCT(('Q3 Data'!$D$4:$D$207=D63)*('Q3 Data'!$B$4:$B$207="Challan")*('Q3 Data'!$H$4:$H$207=Z63))+SUMPRODUCT(('Q4 Data'!$D$4:$D$207=D63)*('Q4 Data'!$B$4:$B$207="Challan")*('Q4 Data'!$H$4:$H$207=Z63)))=0))</f>
      </c>
    </row>
    <row r="64" spans="1:44" x14ac:dyDescent="0.25">
      <c r="A64" s="20">
        <f>IF($B64="Entry",COUNTIF($B$4:$B64,"Entry"),"")</f>
      </c>
      <c r="B64" s="21"/>
      <c r="C64" s="22"/>
      <c r="D64" s="22"/>
      <c r="E64" s="23">
        <f>IF($B64&lt;&gt;"Challan","",IF(ROUND(AN64-AO64,2)&gt;0,"Over-applied",IF(ROUND(AN64-AO64,2)=0,"Fully Utilised","Unconsumed")))</f>
      </c>
      <c r="F64" s="24"/>
      <c r="G64" s="25"/>
      <c r="H64" s="25"/>
      <c r="I64" s="26"/>
      <c r="J64" s="26"/>
      <c r="K64" s="26"/>
      <c r="L64" s="26"/>
      <c r="M64" s="26"/>
      <c r="N64" s="26"/>
      <c r="O64" s="26"/>
      <c r="P64" s="27">
        <f>IF($B64&lt;&gt;"Challan","",I64+J64+K64+L64+M64+N64)</f>
      </c>
      <c r="Q64" s="25"/>
      <c r="R64" s="25"/>
      <c r="S64" s="25"/>
      <c r="T64" s="25"/>
      <c r="U64" s="25"/>
      <c r="V64" s="28"/>
      <c r="W64" s="28"/>
      <c r="X64" s="23">
        <f>IF($B64="Entry",IF(AND(LEN(TRIM(UPPER(W64)))=10,CODE(MID(TRIM(UPPER(W64)),1,1))&gt;=65,CODE(MID(TRIM(UPPER(W64)),1,1))&lt;=90,CODE(MID(TRIM(UPPER(W64)),2,1))&gt;=65,CODE(MID(TRIM(UPPER(W64)),2,1))&lt;=90,CODE(MID(TRIM(UPPER(W64)),3,1))&gt;=65,CODE(MID(TRIM(UPPER(W64)),3,1))&lt;=90,CODE(MID(TRIM(UPPER(W64)),4,1))&gt;=65,CODE(MID(TRIM(UPPER(W64)),4,1))&lt;=90,CODE(MID(TRIM(UPPER(W64)),5,1))&gt;=65,CODE(MID(TRIM(UPPER(W64)),5,1))&lt;=90,CODE(MID(TRIM(UPPER(W64)),10,1))&gt;=65,CODE(MID(TRIM(UPPER(W64)),10,1))&lt;=90,CODE(MID(TRIM(UPPER(W64)),6,1))&gt;=48,CODE(MID(TRIM(UPPER(W64)),6,1))&lt;=57,CODE(MID(TRIM(UPPER(W64)),7,1))&gt;=48,CODE(MID(TRIM(UPPER(W64)),7,1))&lt;=57,CODE(MID(TRIM(UPPER(W64)),8,1))&gt;=48,CODE(MID(TRIM(UPPER(W64)),8,1))&lt;=57,CODE(MID(TRIM(UPPER(W64)),9,1))&gt;=48,CODE(MID(TRIM(UPPER(W64)),9,1))&lt;=57),"N","Y"),IF($B64="Challan","",IF(W64&lt;&gt;"","◄ Set Row Type","")))</f>
      </c>
      <c r="Y64" s="23">
        <f>IF($B64="Entry",IF(LEN(W64)&lt;4,"",IF(UPPER(MID(W64,4,1))="P","Individual",IF(UPPER(MID(W64,4,1))="H","HUF",IF(UPPER(MID(W64,4,1))="C","Company",IF(UPPER(MID(W64,4,1))="F","Firm",IF(UPPER(MID(W64,4,1))="L","LLP",IF(UPPER(MID(W64,4,1))="T","Trust",IF(UPPER(MID(W64,4,1))="A","AOP","")))))))),IF($B64="Challan","",IF(W64&lt;&gt;"","◄ Set Row Type","")))</f>
      </c>
      <c r="Z64" s="28"/>
      <c r="AA64" s="29">
        <f>IF($B64&lt;&gt;"Entry","",IF(Z64="","",IF(X64="Y",SUMPRODUCT(('Rate Lookup'!$A$1:$A$37=Z64)*'Rate Lookup'!$D$1:$D$37),IF(OR(Y64="Individual",Y64="HUF"),SUMPRODUCT(('Rate Lookup'!$A$1:$A$37=Z64)*'Rate Lookup'!$B$1:$B$37),SUMPRODUCT(('Rate Lookup'!$A$1:$A$37=Z64)*'Rate Lookup'!$C$1:$C$37)))))</f>
      </c>
      <c r="AB64" s="30"/>
      <c r="AC64" s="31"/>
      <c r="AD64" s="27">
        <f>IF($B64&lt;&gt;"Entry","",ROUND(AC64*AA64/100,0))</f>
      </c>
      <c r="AE64" s="27">
        <f>IF($B64&lt;&gt;"Entry","",0)</f>
      </c>
      <c r="AF64" s="27">
        <f>IF($B64&lt;&gt;"Entry","",0)</f>
      </c>
      <c r="AG64" s="27">
        <f>IF($B64&lt;&gt;"Entry","",IF(OR(AD64=0,AB64="",AQ64="",AQ64&lt;=0),0,IF(AQ64&lt;=DATE(YEAR(AB64),MONTH(AB64)+1,7),0,ROUND(AD64*0.015*((YEAR(AQ64)-YEAR(AB64))*12+(MONTH(AQ64)-MONTH(AB64))+1),0))))</f>
      </c>
      <c r="AH64" s="27">
        <f>IF($B64&lt;&gt;"Entry","",0)</f>
      </c>
      <c r="AI64" s="28"/>
      <c r="AJ64" s="28"/>
      <c r="AK64" s="32"/>
      <c r="AL64" s="28"/>
      <c r="AM64" s="28"/>
      <c r="AN64" s="27">
        <f>IF($B64&lt;&gt;"Challan","",SUMIF('Q1 Data'!$D$4:$D$207,D64,'Q1 Data'!$AD$4:$AD$207)+SUMIF('Q1 Data'!$D$4:$D$207,D64,'Q1 Data'!$AG$4:$AG$207)+SUMIF('Q1 Data'!$D$4:$D$207,D64,'Q1 Data'!$AE$4:$AE$207)+SUMIF('Q2 Data'!$D$4:$D$207,D64,'Q2 Data'!$AD$4:$AD$207)+SUMIF('Q2 Data'!$D$4:$D$207,D64,'Q2 Data'!$AG$4:$AG$207)+SUMIF('Q2 Data'!$D$4:$D$207,D64,'Q2 Data'!$AE$4:$AE$207)+SUMIF('Q3 Data'!$D$4:$D$207,D64,'Q3 Data'!$AD$4:$AD$207)+SUMIF('Q3 Data'!$D$4:$D$207,D64,'Q3 Data'!$AG$4:$AG$207)+SUMIF('Q3 Data'!$D$4:$D$207,D64,'Q3 Data'!$AE$4:$AE$207)+SUMIF('Q4 Data'!$D$4:$D$207,D64,'Q4 Data'!$AD$4:$AD$207)+SUMIF('Q4 Data'!$D$4:$D$207,D64,'Q4 Data'!$AG$4:$AG$207)+SUMIF('Q4 Data'!$D$4:$D$207,D64,'Q4 Data'!$AE$4:$AE$207))</f>
      </c>
      <c r="AO64" s="27">
        <f>IF($B64&lt;&gt;"Challan","",P64-N64)</f>
      </c>
      <c r="AP64" s="27">
        <f>IF($B64&lt;&gt;"Challan","",MAX(0,AO64-AN64))</f>
      </c>
      <c r="AQ64" s="33">
        <f>IF($B64&lt;&gt;"Entry","",SUMPRODUCT(('Q1 Data'!$D$4:$D$207=D64)*('Q1 Data'!$B$4:$B$207="Challan")*'Q1 Data'!$F$4:$F$207)+SUMPRODUCT(('Q2 Data'!$D$4:$D$207=D64)*('Q2 Data'!$B$4:$B$207="Challan")*'Q2 Data'!$F$4:$F$207)+SUMPRODUCT(('Q3 Data'!$D$4:$D$207=D64)*('Q3 Data'!$B$4:$B$207="Challan")*'Q3 Data'!$F$4:$F$207)+SUMPRODUCT(('Q4 Data'!$D$4:$D$207=D64)*('Q4 Data'!$B$4:$B$207="Challan")*'Q4 Data'!$F$4:$F$207))</f>
      </c>
      <c r="AR64" s="34">
        <f>IF(OR($B64&lt;&gt;"Entry",Z64=""),FALSE,AND((SUMPRODUCT(('Q1 Data'!$D$4:$D$207=D64)*('Q1 Data'!$B$4:$B$207="Challan")*('Q1 Data'!$H$4:$H$207&lt;&gt;""))+SUMPRODUCT(('Q2 Data'!$D$4:$D$207=D64)*('Q2 Data'!$B$4:$B$207="Challan")*('Q2 Data'!$H$4:$H$207&lt;&gt;""))+SUMPRODUCT(('Q3 Data'!$D$4:$D$207=D64)*('Q3 Data'!$B$4:$B$207="Challan")*('Q3 Data'!$H$4:$H$207&lt;&gt;""))+SUMPRODUCT(('Q4 Data'!$D$4:$D$207=D64)*('Q4 Data'!$B$4:$B$207="Challan")*('Q4 Data'!$H$4:$H$207&lt;&gt;"")))&gt;0,(SUMPRODUCT(('Q1 Data'!$D$4:$D$207=D64)*('Q1 Data'!$B$4:$B$207="Challan")*('Q1 Data'!$H$4:$H$207=Z64))+SUMPRODUCT(('Q2 Data'!$D$4:$D$207=D64)*('Q2 Data'!$B$4:$B$207="Challan")*('Q2 Data'!$H$4:$H$207=Z64))+SUMPRODUCT(('Q3 Data'!$D$4:$D$207=D64)*('Q3 Data'!$B$4:$B$207="Challan")*('Q3 Data'!$H$4:$H$207=Z64))+SUMPRODUCT(('Q4 Data'!$D$4:$D$207=D64)*('Q4 Data'!$B$4:$B$207="Challan")*('Q4 Data'!$H$4:$H$207=Z64)))=0))</f>
      </c>
    </row>
    <row r="65" spans="1:44" x14ac:dyDescent="0.25">
      <c r="A65" s="20">
        <f>IF($B65="Entry",COUNTIF($B$4:$B65,"Entry"),"")</f>
      </c>
      <c r="B65" s="21"/>
      <c r="C65" s="22"/>
      <c r="D65" s="22"/>
      <c r="E65" s="23">
        <f>IF($B65&lt;&gt;"Challan","",IF(ROUND(AN65-AO65,2)&gt;0,"Over-applied",IF(ROUND(AN65-AO65,2)=0,"Fully Utilised","Unconsumed")))</f>
      </c>
      <c r="F65" s="24"/>
      <c r="G65" s="25"/>
      <c r="H65" s="25"/>
      <c r="I65" s="26"/>
      <c r="J65" s="26"/>
      <c r="K65" s="26"/>
      <c r="L65" s="26"/>
      <c r="M65" s="26"/>
      <c r="N65" s="26"/>
      <c r="O65" s="26"/>
      <c r="P65" s="27">
        <f>IF($B65&lt;&gt;"Challan","",I65+J65+K65+L65+M65+N65)</f>
      </c>
      <c r="Q65" s="25"/>
      <c r="R65" s="25"/>
      <c r="S65" s="25"/>
      <c r="T65" s="25"/>
      <c r="U65" s="25"/>
      <c r="V65" s="28"/>
      <c r="W65" s="28"/>
      <c r="X65" s="23">
        <f>IF($B65="Entry",IF(AND(LEN(TRIM(UPPER(W65)))=10,CODE(MID(TRIM(UPPER(W65)),1,1))&gt;=65,CODE(MID(TRIM(UPPER(W65)),1,1))&lt;=90,CODE(MID(TRIM(UPPER(W65)),2,1))&gt;=65,CODE(MID(TRIM(UPPER(W65)),2,1))&lt;=90,CODE(MID(TRIM(UPPER(W65)),3,1))&gt;=65,CODE(MID(TRIM(UPPER(W65)),3,1))&lt;=90,CODE(MID(TRIM(UPPER(W65)),4,1))&gt;=65,CODE(MID(TRIM(UPPER(W65)),4,1))&lt;=90,CODE(MID(TRIM(UPPER(W65)),5,1))&gt;=65,CODE(MID(TRIM(UPPER(W65)),5,1))&lt;=90,CODE(MID(TRIM(UPPER(W65)),10,1))&gt;=65,CODE(MID(TRIM(UPPER(W65)),10,1))&lt;=90,CODE(MID(TRIM(UPPER(W65)),6,1))&gt;=48,CODE(MID(TRIM(UPPER(W65)),6,1))&lt;=57,CODE(MID(TRIM(UPPER(W65)),7,1))&gt;=48,CODE(MID(TRIM(UPPER(W65)),7,1))&lt;=57,CODE(MID(TRIM(UPPER(W65)),8,1))&gt;=48,CODE(MID(TRIM(UPPER(W65)),8,1))&lt;=57,CODE(MID(TRIM(UPPER(W65)),9,1))&gt;=48,CODE(MID(TRIM(UPPER(W65)),9,1))&lt;=57),"N","Y"),IF($B65="Challan","",IF(W65&lt;&gt;"","◄ Set Row Type","")))</f>
      </c>
      <c r="Y65" s="23">
        <f>IF($B65="Entry",IF(LEN(W65)&lt;4,"",IF(UPPER(MID(W65,4,1))="P","Individual",IF(UPPER(MID(W65,4,1))="H","HUF",IF(UPPER(MID(W65,4,1))="C","Company",IF(UPPER(MID(W65,4,1))="F","Firm",IF(UPPER(MID(W65,4,1))="L","LLP",IF(UPPER(MID(W65,4,1))="T","Trust",IF(UPPER(MID(W65,4,1))="A","AOP","")))))))),IF($B65="Challan","",IF(W65&lt;&gt;"","◄ Set Row Type","")))</f>
      </c>
      <c r="Z65" s="28"/>
      <c r="AA65" s="29">
        <f>IF($B65&lt;&gt;"Entry","",IF(Z65="","",IF(X65="Y",SUMPRODUCT(('Rate Lookup'!$A$1:$A$37=Z65)*'Rate Lookup'!$D$1:$D$37),IF(OR(Y65="Individual",Y65="HUF"),SUMPRODUCT(('Rate Lookup'!$A$1:$A$37=Z65)*'Rate Lookup'!$B$1:$B$37),SUMPRODUCT(('Rate Lookup'!$A$1:$A$37=Z65)*'Rate Lookup'!$C$1:$C$37)))))</f>
      </c>
      <c r="AB65" s="30"/>
      <c r="AC65" s="31"/>
      <c r="AD65" s="27">
        <f>IF($B65&lt;&gt;"Entry","",ROUND(AC65*AA65/100,0))</f>
      </c>
      <c r="AE65" s="27">
        <f>IF($B65&lt;&gt;"Entry","",0)</f>
      </c>
      <c r="AF65" s="27">
        <f>IF($B65&lt;&gt;"Entry","",0)</f>
      </c>
      <c r="AG65" s="27">
        <f>IF($B65&lt;&gt;"Entry","",IF(OR(AD65=0,AB65="",AQ65="",AQ65&lt;=0),0,IF(AQ65&lt;=DATE(YEAR(AB65),MONTH(AB65)+1,7),0,ROUND(AD65*0.015*((YEAR(AQ65)-YEAR(AB65))*12+(MONTH(AQ65)-MONTH(AB65))+1),0))))</f>
      </c>
      <c r="AH65" s="27">
        <f>IF($B65&lt;&gt;"Entry","",0)</f>
      </c>
      <c r="AI65" s="28"/>
      <c r="AJ65" s="28"/>
      <c r="AK65" s="32"/>
      <c r="AL65" s="28"/>
      <c r="AM65" s="28"/>
      <c r="AN65" s="27">
        <f>IF($B65&lt;&gt;"Challan","",SUMIF('Q1 Data'!$D$4:$D$207,D65,'Q1 Data'!$AD$4:$AD$207)+SUMIF('Q1 Data'!$D$4:$D$207,D65,'Q1 Data'!$AG$4:$AG$207)+SUMIF('Q1 Data'!$D$4:$D$207,D65,'Q1 Data'!$AE$4:$AE$207)+SUMIF('Q2 Data'!$D$4:$D$207,D65,'Q2 Data'!$AD$4:$AD$207)+SUMIF('Q2 Data'!$D$4:$D$207,D65,'Q2 Data'!$AG$4:$AG$207)+SUMIF('Q2 Data'!$D$4:$D$207,D65,'Q2 Data'!$AE$4:$AE$207)+SUMIF('Q3 Data'!$D$4:$D$207,D65,'Q3 Data'!$AD$4:$AD$207)+SUMIF('Q3 Data'!$D$4:$D$207,D65,'Q3 Data'!$AG$4:$AG$207)+SUMIF('Q3 Data'!$D$4:$D$207,D65,'Q3 Data'!$AE$4:$AE$207)+SUMIF('Q4 Data'!$D$4:$D$207,D65,'Q4 Data'!$AD$4:$AD$207)+SUMIF('Q4 Data'!$D$4:$D$207,D65,'Q4 Data'!$AG$4:$AG$207)+SUMIF('Q4 Data'!$D$4:$D$207,D65,'Q4 Data'!$AE$4:$AE$207))</f>
      </c>
      <c r="AO65" s="27">
        <f>IF($B65&lt;&gt;"Challan","",P65-N65)</f>
      </c>
      <c r="AP65" s="27">
        <f>IF($B65&lt;&gt;"Challan","",MAX(0,AO65-AN65))</f>
      </c>
      <c r="AQ65" s="33">
        <f>IF($B65&lt;&gt;"Entry","",SUMPRODUCT(('Q1 Data'!$D$4:$D$207=D65)*('Q1 Data'!$B$4:$B$207="Challan")*'Q1 Data'!$F$4:$F$207)+SUMPRODUCT(('Q2 Data'!$D$4:$D$207=D65)*('Q2 Data'!$B$4:$B$207="Challan")*'Q2 Data'!$F$4:$F$207)+SUMPRODUCT(('Q3 Data'!$D$4:$D$207=D65)*('Q3 Data'!$B$4:$B$207="Challan")*'Q3 Data'!$F$4:$F$207)+SUMPRODUCT(('Q4 Data'!$D$4:$D$207=D65)*('Q4 Data'!$B$4:$B$207="Challan")*'Q4 Data'!$F$4:$F$207))</f>
      </c>
      <c r="AR65" s="34">
        <f>IF(OR($B65&lt;&gt;"Entry",Z65=""),FALSE,AND((SUMPRODUCT(('Q1 Data'!$D$4:$D$207=D65)*('Q1 Data'!$B$4:$B$207="Challan")*('Q1 Data'!$H$4:$H$207&lt;&gt;""))+SUMPRODUCT(('Q2 Data'!$D$4:$D$207=D65)*('Q2 Data'!$B$4:$B$207="Challan")*('Q2 Data'!$H$4:$H$207&lt;&gt;""))+SUMPRODUCT(('Q3 Data'!$D$4:$D$207=D65)*('Q3 Data'!$B$4:$B$207="Challan")*('Q3 Data'!$H$4:$H$207&lt;&gt;""))+SUMPRODUCT(('Q4 Data'!$D$4:$D$207=D65)*('Q4 Data'!$B$4:$B$207="Challan")*('Q4 Data'!$H$4:$H$207&lt;&gt;"")))&gt;0,(SUMPRODUCT(('Q1 Data'!$D$4:$D$207=D65)*('Q1 Data'!$B$4:$B$207="Challan")*('Q1 Data'!$H$4:$H$207=Z65))+SUMPRODUCT(('Q2 Data'!$D$4:$D$207=D65)*('Q2 Data'!$B$4:$B$207="Challan")*('Q2 Data'!$H$4:$H$207=Z65))+SUMPRODUCT(('Q3 Data'!$D$4:$D$207=D65)*('Q3 Data'!$B$4:$B$207="Challan")*('Q3 Data'!$H$4:$H$207=Z65))+SUMPRODUCT(('Q4 Data'!$D$4:$D$207=D65)*('Q4 Data'!$B$4:$B$207="Challan")*('Q4 Data'!$H$4:$H$207=Z65)))=0))</f>
      </c>
    </row>
    <row r="66" spans="1:44" x14ac:dyDescent="0.25">
      <c r="A66" s="20">
        <f>IF($B66="Entry",COUNTIF($B$4:$B66,"Entry"),"")</f>
      </c>
      <c r="B66" s="21"/>
      <c r="C66" s="22"/>
      <c r="D66" s="22"/>
      <c r="E66" s="23">
        <f>IF($B66&lt;&gt;"Challan","",IF(ROUND(AN66-AO66,2)&gt;0,"Over-applied",IF(ROUND(AN66-AO66,2)=0,"Fully Utilised","Unconsumed")))</f>
      </c>
      <c r="F66" s="24"/>
      <c r="G66" s="25"/>
      <c r="H66" s="25"/>
      <c r="I66" s="26"/>
      <c r="J66" s="26"/>
      <c r="K66" s="26"/>
      <c r="L66" s="26"/>
      <c r="M66" s="26"/>
      <c r="N66" s="26"/>
      <c r="O66" s="26"/>
      <c r="P66" s="27">
        <f>IF($B66&lt;&gt;"Challan","",I66+J66+K66+L66+M66+N66)</f>
      </c>
      <c r="Q66" s="25"/>
      <c r="R66" s="25"/>
      <c r="S66" s="25"/>
      <c r="T66" s="25"/>
      <c r="U66" s="25"/>
      <c r="V66" s="28"/>
      <c r="W66" s="28"/>
      <c r="X66" s="23">
        <f>IF($B66="Entry",IF(AND(LEN(TRIM(UPPER(W66)))=10,CODE(MID(TRIM(UPPER(W66)),1,1))&gt;=65,CODE(MID(TRIM(UPPER(W66)),1,1))&lt;=90,CODE(MID(TRIM(UPPER(W66)),2,1))&gt;=65,CODE(MID(TRIM(UPPER(W66)),2,1))&lt;=90,CODE(MID(TRIM(UPPER(W66)),3,1))&gt;=65,CODE(MID(TRIM(UPPER(W66)),3,1))&lt;=90,CODE(MID(TRIM(UPPER(W66)),4,1))&gt;=65,CODE(MID(TRIM(UPPER(W66)),4,1))&lt;=90,CODE(MID(TRIM(UPPER(W66)),5,1))&gt;=65,CODE(MID(TRIM(UPPER(W66)),5,1))&lt;=90,CODE(MID(TRIM(UPPER(W66)),10,1))&gt;=65,CODE(MID(TRIM(UPPER(W66)),10,1))&lt;=90,CODE(MID(TRIM(UPPER(W66)),6,1))&gt;=48,CODE(MID(TRIM(UPPER(W66)),6,1))&lt;=57,CODE(MID(TRIM(UPPER(W66)),7,1))&gt;=48,CODE(MID(TRIM(UPPER(W66)),7,1))&lt;=57,CODE(MID(TRIM(UPPER(W66)),8,1))&gt;=48,CODE(MID(TRIM(UPPER(W66)),8,1))&lt;=57,CODE(MID(TRIM(UPPER(W66)),9,1))&gt;=48,CODE(MID(TRIM(UPPER(W66)),9,1))&lt;=57),"N","Y"),IF($B66="Challan","",IF(W66&lt;&gt;"","◄ Set Row Type","")))</f>
      </c>
      <c r="Y66" s="23">
        <f>IF($B66="Entry",IF(LEN(W66)&lt;4,"",IF(UPPER(MID(W66,4,1))="P","Individual",IF(UPPER(MID(W66,4,1))="H","HUF",IF(UPPER(MID(W66,4,1))="C","Company",IF(UPPER(MID(W66,4,1))="F","Firm",IF(UPPER(MID(W66,4,1))="L","LLP",IF(UPPER(MID(W66,4,1))="T","Trust",IF(UPPER(MID(W66,4,1))="A","AOP","")))))))),IF($B66="Challan","",IF(W66&lt;&gt;"","◄ Set Row Type","")))</f>
      </c>
      <c r="Z66" s="28"/>
      <c r="AA66" s="29">
        <f>IF($B66&lt;&gt;"Entry","",IF(Z66="","",IF(X66="Y",SUMPRODUCT(('Rate Lookup'!$A$1:$A$37=Z66)*'Rate Lookup'!$D$1:$D$37),IF(OR(Y66="Individual",Y66="HUF"),SUMPRODUCT(('Rate Lookup'!$A$1:$A$37=Z66)*'Rate Lookup'!$B$1:$B$37),SUMPRODUCT(('Rate Lookup'!$A$1:$A$37=Z66)*'Rate Lookup'!$C$1:$C$37)))))</f>
      </c>
      <c r="AB66" s="30"/>
      <c r="AC66" s="31"/>
      <c r="AD66" s="27">
        <f>IF($B66&lt;&gt;"Entry","",ROUND(AC66*AA66/100,0))</f>
      </c>
      <c r="AE66" s="27">
        <f>IF($B66&lt;&gt;"Entry","",0)</f>
      </c>
      <c r="AF66" s="27">
        <f>IF($B66&lt;&gt;"Entry","",0)</f>
      </c>
      <c r="AG66" s="27">
        <f>IF($B66&lt;&gt;"Entry","",IF(OR(AD66=0,AB66="",AQ66="",AQ66&lt;=0),0,IF(AQ66&lt;=DATE(YEAR(AB66),MONTH(AB66)+1,7),0,ROUND(AD66*0.015*((YEAR(AQ66)-YEAR(AB66))*12+(MONTH(AQ66)-MONTH(AB66))+1),0))))</f>
      </c>
      <c r="AH66" s="27">
        <f>IF($B66&lt;&gt;"Entry","",0)</f>
      </c>
      <c r="AI66" s="28"/>
      <c r="AJ66" s="28"/>
      <c r="AK66" s="32"/>
      <c r="AL66" s="28"/>
      <c r="AM66" s="28"/>
      <c r="AN66" s="27">
        <f>IF($B66&lt;&gt;"Challan","",SUMIF('Q1 Data'!$D$4:$D$207,D66,'Q1 Data'!$AD$4:$AD$207)+SUMIF('Q1 Data'!$D$4:$D$207,D66,'Q1 Data'!$AG$4:$AG$207)+SUMIF('Q1 Data'!$D$4:$D$207,D66,'Q1 Data'!$AE$4:$AE$207)+SUMIF('Q2 Data'!$D$4:$D$207,D66,'Q2 Data'!$AD$4:$AD$207)+SUMIF('Q2 Data'!$D$4:$D$207,D66,'Q2 Data'!$AG$4:$AG$207)+SUMIF('Q2 Data'!$D$4:$D$207,D66,'Q2 Data'!$AE$4:$AE$207)+SUMIF('Q3 Data'!$D$4:$D$207,D66,'Q3 Data'!$AD$4:$AD$207)+SUMIF('Q3 Data'!$D$4:$D$207,D66,'Q3 Data'!$AG$4:$AG$207)+SUMIF('Q3 Data'!$D$4:$D$207,D66,'Q3 Data'!$AE$4:$AE$207)+SUMIF('Q4 Data'!$D$4:$D$207,D66,'Q4 Data'!$AD$4:$AD$207)+SUMIF('Q4 Data'!$D$4:$D$207,D66,'Q4 Data'!$AG$4:$AG$207)+SUMIF('Q4 Data'!$D$4:$D$207,D66,'Q4 Data'!$AE$4:$AE$207))</f>
      </c>
      <c r="AO66" s="27">
        <f>IF($B66&lt;&gt;"Challan","",P66-N66)</f>
      </c>
      <c r="AP66" s="27">
        <f>IF($B66&lt;&gt;"Challan","",MAX(0,AO66-AN66))</f>
      </c>
      <c r="AQ66" s="33">
        <f>IF($B66&lt;&gt;"Entry","",SUMPRODUCT(('Q1 Data'!$D$4:$D$207=D66)*('Q1 Data'!$B$4:$B$207="Challan")*'Q1 Data'!$F$4:$F$207)+SUMPRODUCT(('Q2 Data'!$D$4:$D$207=D66)*('Q2 Data'!$B$4:$B$207="Challan")*'Q2 Data'!$F$4:$F$207)+SUMPRODUCT(('Q3 Data'!$D$4:$D$207=D66)*('Q3 Data'!$B$4:$B$207="Challan")*'Q3 Data'!$F$4:$F$207)+SUMPRODUCT(('Q4 Data'!$D$4:$D$207=D66)*('Q4 Data'!$B$4:$B$207="Challan")*'Q4 Data'!$F$4:$F$207))</f>
      </c>
      <c r="AR66" s="34">
        <f>IF(OR($B66&lt;&gt;"Entry",Z66=""),FALSE,AND((SUMPRODUCT(('Q1 Data'!$D$4:$D$207=D66)*('Q1 Data'!$B$4:$B$207="Challan")*('Q1 Data'!$H$4:$H$207&lt;&gt;""))+SUMPRODUCT(('Q2 Data'!$D$4:$D$207=D66)*('Q2 Data'!$B$4:$B$207="Challan")*('Q2 Data'!$H$4:$H$207&lt;&gt;""))+SUMPRODUCT(('Q3 Data'!$D$4:$D$207=D66)*('Q3 Data'!$B$4:$B$207="Challan")*('Q3 Data'!$H$4:$H$207&lt;&gt;""))+SUMPRODUCT(('Q4 Data'!$D$4:$D$207=D66)*('Q4 Data'!$B$4:$B$207="Challan")*('Q4 Data'!$H$4:$H$207&lt;&gt;"")))&gt;0,(SUMPRODUCT(('Q1 Data'!$D$4:$D$207=D66)*('Q1 Data'!$B$4:$B$207="Challan")*('Q1 Data'!$H$4:$H$207=Z66))+SUMPRODUCT(('Q2 Data'!$D$4:$D$207=D66)*('Q2 Data'!$B$4:$B$207="Challan")*('Q2 Data'!$H$4:$H$207=Z66))+SUMPRODUCT(('Q3 Data'!$D$4:$D$207=D66)*('Q3 Data'!$B$4:$B$207="Challan")*('Q3 Data'!$H$4:$H$207=Z66))+SUMPRODUCT(('Q4 Data'!$D$4:$D$207=D66)*('Q4 Data'!$B$4:$B$207="Challan")*('Q4 Data'!$H$4:$H$207=Z66)))=0))</f>
      </c>
    </row>
    <row r="67" spans="1:44" x14ac:dyDescent="0.25">
      <c r="A67" s="20">
        <f>IF($B67="Entry",COUNTIF($B$4:$B67,"Entry"),"")</f>
      </c>
      <c r="B67" s="21"/>
      <c r="C67" s="22"/>
      <c r="D67" s="22"/>
      <c r="E67" s="23">
        <f>IF($B67&lt;&gt;"Challan","",IF(ROUND(AN67-AO67,2)&gt;0,"Over-applied",IF(ROUND(AN67-AO67,2)=0,"Fully Utilised","Unconsumed")))</f>
      </c>
      <c r="F67" s="24"/>
      <c r="G67" s="25"/>
      <c r="H67" s="25"/>
      <c r="I67" s="26"/>
      <c r="J67" s="26"/>
      <c r="K67" s="26"/>
      <c r="L67" s="26"/>
      <c r="M67" s="26"/>
      <c r="N67" s="26"/>
      <c r="O67" s="26"/>
      <c r="P67" s="27">
        <f>IF($B67&lt;&gt;"Challan","",I67+J67+K67+L67+M67+N67)</f>
      </c>
      <c r="Q67" s="25"/>
      <c r="R67" s="25"/>
      <c r="S67" s="25"/>
      <c r="T67" s="25"/>
      <c r="U67" s="25"/>
      <c r="V67" s="28"/>
      <c r="W67" s="28"/>
      <c r="X67" s="23">
        <f>IF($B67="Entry",IF(AND(LEN(TRIM(UPPER(W67)))=10,CODE(MID(TRIM(UPPER(W67)),1,1))&gt;=65,CODE(MID(TRIM(UPPER(W67)),1,1))&lt;=90,CODE(MID(TRIM(UPPER(W67)),2,1))&gt;=65,CODE(MID(TRIM(UPPER(W67)),2,1))&lt;=90,CODE(MID(TRIM(UPPER(W67)),3,1))&gt;=65,CODE(MID(TRIM(UPPER(W67)),3,1))&lt;=90,CODE(MID(TRIM(UPPER(W67)),4,1))&gt;=65,CODE(MID(TRIM(UPPER(W67)),4,1))&lt;=90,CODE(MID(TRIM(UPPER(W67)),5,1))&gt;=65,CODE(MID(TRIM(UPPER(W67)),5,1))&lt;=90,CODE(MID(TRIM(UPPER(W67)),10,1))&gt;=65,CODE(MID(TRIM(UPPER(W67)),10,1))&lt;=90,CODE(MID(TRIM(UPPER(W67)),6,1))&gt;=48,CODE(MID(TRIM(UPPER(W67)),6,1))&lt;=57,CODE(MID(TRIM(UPPER(W67)),7,1))&gt;=48,CODE(MID(TRIM(UPPER(W67)),7,1))&lt;=57,CODE(MID(TRIM(UPPER(W67)),8,1))&gt;=48,CODE(MID(TRIM(UPPER(W67)),8,1))&lt;=57,CODE(MID(TRIM(UPPER(W67)),9,1))&gt;=48,CODE(MID(TRIM(UPPER(W67)),9,1))&lt;=57),"N","Y"),IF($B67="Challan","",IF(W67&lt;&gt;"","◄ Set Row Type","")))</f>
      </c>
      <c r="Y67" s="23">
        <f>IF($B67="Entry",IF(LEN(W67)&lt;4,"",IF(UPPER(MID(W67,4,1))="P","Individual",IF(UPPER(MID(W67,4,1))="H","HUF",IF(UPPER(MID(W67,4,1))="C","Company",IF(UPPER(MID(W67,4,1))="F","Firm",IF(UPPER(MID(W67,4,1))="L","LLP",IF(UPPER(MID(W67,4,1))="T","Trust",IF(UPPER(MID(W67,4,1))="A","AOP","")))))))),IF($B67="Challan","",IF(W67&lt;&gt;"","◄ Set Row Type","")))</f>
      </c>
      <c r="Z67" s="28"/>
      <c r="AA67" s="29">
        <f>IF($B67&lt;&gt;"Entry","",IF(Z67="","",IF(X67="Y",SUMPRODUCT(('Rate Lookup'!$A$1:$A$37=Z67)*'Rate Lookup'!$D$1:$D$37),IF(OR(Y67="Individual",Y67="HUF"),SUMPRODUCT(('Rate Lookup'!$A$1:$A$37=Z67)*'Rate Lookup'!$B$1:$B$37),SUMPRODUCT(('Rate Lookup'!$A$1:$A$37=Z67)*'Rate Lookup'!$C$1:$C$37)))))</f>
      </c>
      <c r="AB67" s="30"/>
      <c r="AC67" s="31"/>
      <c r="AD67" s="27">
        <f>IF($B67&lt;&gt;"Entry","",ROUND(AC67*AA67/100,0))</f>
      </c>
      <c r="AE67" s="27">
        <f>IF($B67&lt;&gt;"Entry","",0)</f>
      </c>
      <c r="AF67" s="27">
        <f>IF($B67&lt;&gt;"Entry","",0)</f>
      </c>
      <c r="AG67" s="27">
        <f>IF($B67&lt;&gt;"Entry","",IF(OR(AD67=0,AB67="",AQ67="",AQ67&lt;=0),0,IF(AQ67&lt;=DATE(YEAR(AB67),MONTH(AB67)+1,7),0,ROUND(AD67*0.015*((YEAR(AQ67)-YEAR(AB67))*12+(MONTH(AQ67)-MONTH(AB67))+1),0))))</f>
      </c>
      <c r="AH67" s="27">
        <f>IF($B67&lt;&gt;"Entry","",0)</f>
      </c>
      <c r="AI67" s="28"/>
      <c r="AJ67" s="28"/>
      <c r="AK67" s="32"/>
      <c r="AL67" s="28"/>
      <c r="AM67" s="28"/>
      <c r="AN67" s="27">
        <f>IF($B67&lt;&gt;"Challan","",SUMIF('Q1 Data'!$D$4:$D$207,D67,'Q1 Data'!$AD$4:$AD$207)+SUMIF('Q1 Data'!$D$4:$D$207,D67,'Q1 Data'!$AG$4:$AG$207)+SUMIF('Q1 Data'!$D$4:$D$207,D67,'Q1 Data'!$AE$4:$AE$207)+SUMIF('Q2 Data'!$D$4:$D$207,D67,'Q2 Data'!$AD$4:$AD$207)+SUMIF('Q2 Data'!$D$4:$D$207,D67,'Q2 Data'!$AG$4:$AG$207)+SUMIF('Q2 Data'!$D$4:$D$207,D67,'Q2 Data'!$AE$4:$AE$207)+SUMIF('Q3 Data'!$D$4:$D$207,D67,'Q3 Data'!$AD$4:$AD$207)+SUMIF('Q3 Data'!$D$4:$D$207,D67,'Q3 Data'!$AG$4:$AG$207)+SUMIF('Q3 Data'!$D$4:$D$207,D67,'Q3 Data'!$AE$4:$AE$207)+SUMIF('Q4 Data'!$D$4:$D$207,D67,'Q4 Data'!$AD$4:$AD$207)+SUMIF('Q4 Data'!$D$4:$D$207,D67,'Q4 Data'!$AG$4:$AG$207)+SUMIF('Q4 Data'!$D$4:$D$207,D67,'Q4 Data'!$AE$4:$AE$207))</f>
      </c>
      <c r="AO67" s="27">
        <f>IF($B67&lt;&gt;"Challan","",P67-N67)</f>
      </c>
      <c r="AP67" s="27">
        <f>IF($B67&lt;&gt;"Challan","",MAX(0,AO67-AN67))</f>
      </c>
      <c r="AQ67" s="33">
        <f>IF($B67&lt;&gt;"Entry","",SUMPRODUCT(('Q1 Data'!$D$4:$D$207=D67)*('Q1 Data'!$B$4:$B$207="Challan")*'Q1 Data'!$F$4:$F$207)+SUMPRODUCT(('Q2 Data'!$D$4:$D$207=D67)*('Q2 Data'!$B$4:$B$207="Challan")*'Q2 Data'!$F$4:$F$207)+SUMPRODUCT(('Q3 Data'!$D$4:$D$207=D67)*('Q3 Data'!$B$4:$B$207="Challan")*'Q3 Data'!$F$4:$F$207)+SUMPRODUCT(('Q4 Data'!$D$4:$D$207=D67)*('Q4 Data'!$B$4:$B$207="Challan")*'Q4 Data'!$F$4:$F$207))</f>
      </c>
      <c r="AR67" s="34">
        <f>IF(OR($B67&lt;&gt;"Entry",Z67=""),FALSE,AND((SUMPRODUCT(('Q1 Data'!$D$4:$D$207=D67)*('Q1 Data'!$B$4:$B$207="Challan")*('Q1 Data'!$H$4:$H$207&lt;&gt;""))+SUMPRODUCT(('Q2 Data'!$D$4:$D$207=D67)*('Q2 Data'!$B$4:$B$207="Challan")*('Q2 Data'!$H$4:$H$207&lt;&gt;""))+SUMPRODUCT(('Q3 Data'!$D$4:$D$207=D67)*('Q3 Data'!$B$4:$B$207="Challan")*('Q3 Data'!$H$4:$H$207&lt;&gt;""))+SUMPRODUCT(('Q4 Data'!$D$4:$D$207=D67)*('Q4 Data'!$B$4:$B$207="Challan")*('Q4 Data'!$H$4:$H$207&lt;&gt;"")))&gt;0,(SUMPRODUCT(('Q1 Data'!$D$4:$D$207=D67)*('Q1 Data'!$B$4:$B$207="Challan")*('Q1 Data'!$H$4:$H$207=Z67))+SUMPRODUCT(('Q2 Data'!$D$4:$D$207=D67)*('Q2 Data'!$B$4:$B$207="Challan")*('Q2 Data'!$H$4:$H$207=Z67))+SUMPRODUCT(('Q3 Data'!$D$4:$D$207=D67)*('Q3 Data'!$B$4:$B$207="Challan")*('Q3 Data'!$H$4:$H$207=Z67))+SUMPRODUCT(('Q4 Data'!$D$4:$D$207=D67)*('Q4 Data'!$B$4:$B$207="Challan")*('Q4 Data'!$H$4:$H$207=Z67)))=0))</f>
      </c>
    </row>
    <row r="68" spans="1:44" x14ac:dyDescent="0.25">
      <c r="A68" s="20">
        <f>IF($B68="Entry",COUNTIF($B$4:$B68,"Entry"),"")</f>
      </c>
      <c r="B68" s="21"/>
      <c r="C68" s="22"/>
      <c r="D68" s="22"/>
      <c r="E68" s="23">
        <f>IF($B68&lt;&gt;"Challan","",IF(ROUND(AN68-AO68,2)&gt;0,"Over-applied",IF(ROUND(AN68-AO68,2)=0,"Fully Utilised","Unconsumed")))</f>
      </c>
      <c r="F68" s="24"/>
      <c r="G68" s="25"/>
      <c r="H68" s="25"/>
      <c r="I68" s="26"/>
      <c r="J68" s="26"/>
      <c r="K68" s="26"/>
      <c r="L68" s="26"/>
      <c r="M68" s="26"/>
      <c r="N68" s="26"/>
      <c r="O68" s="26"/>
      <c r="P68" s="27">
        <f>IF($B68&lt;&gt;"Challan","",I68+J68+K68+L68+M68+N68)</f>
      </c>
      <c r="Q68" s="25"/>
      <c r="R68" s="25"/>
      <c r="S68" s="25"/>
      <c r="T68" s="25"/>
      <c r="U68" s="25"/>
      <c r="V68" s="28"/>
      <c r="W68" s="28"/>
      <c r="X68" s="23">
        <f>IF($B68="Entry",IF(AND(LEN(TRIM(UPPER(W68)))=10,CODE(MID(TRIM(UPPER(W68)),1,1))&gt;=65,CODE(MID(TRIM(UPPER(W68)),1,1))&lt;=90,CODE(MID(TRIM(UPPER(W68)),2,1))&gt;=65,CODE(MID(TRIM(UPPER(W68)),2,1))&lt;=90,CODE(MID(TRIM(UPPER(W68)),3,1))&gt;=65,CODE(MID(TRIM(UPPER(W68)),3,1))&lt;=90,CODE(MID(TRIM(UPPER(W68)),4,1))&gt;=65,CODE(MID(TRIM(UPPER(W68)),4,1))&lt;=90,CODE(MID(TRIM(UPPER(W68)),5,1))&gt;=65,CODE(MID(TRIM(UPPER(W68)),5,1))&lt;=90,CODE(MID(TRIM(UPPER(W68)),10,1))&gt;=65,CODE(MID(TRIM(UPPER(W68)),10,1))&lt;=90,CODE(MID(TRIM(UPPER(W68)),6,1))&gt;=48,CODE(MID(TRIM(UPPER(W68)),6,1))&lt;=57,CODE(MID(TRIM(UPPER(W68)),7,1))&gt;=48,CODE(MID(TRIM(UPPER(W68)),7,1))&lt;=57,CODE(MID(TRIM(UPPER(W68)),8,1))&gt;=48,CODE(MID(TRIM(UPPER(W68)),8,1))&lt;=57,CODE(MID(TRIM(UPPER(W68)),9,1))&gt;=48,CODE(MID(TRIM(UPPER(W68)),9,1))&lt;=57),"N","Y"),IF($B68="Challan","",IF(W68&lt;&gt;"","◄ Set Row Type","")))</f>
      </c>
      <c r="Y68" s="23">
        <f>IF($B68="Entry",IF(LEN(W68)&lt;4,"",IF(UPPER(MID(W68,4,1))="P","Individual",IF(UPPER(MID(W68,4,1))="H","HUF",IF(UPPER(MID(W68,4,1))="C","Company",IF(UPPER(MID(W68,4,1))="F","Firm",IF(UPPER(MID(W68,4,1))="L","LLP",IF(UPPER(MID(W68,4,1))="T","Trust",IF(UPPER(MID(W68,4,1))="A","AOP","")))))))),IF($B68="Challan","",IF(W68&lt;&gt;"","◄ Set Row Type","")))</f>
      </c>
      <c r="Z68" s="28"/>
      <c r="AA68" s="29">
        <f>IF($B68&lt;&gt;"Entry","",IF(Z68="","",IF(X68="Y",SUMPRODUCT(('Rate Lookup'!$A$1:$A$37=Z68)*'Rate Lookup'!$D$1:$D$37),IF(OR(Y68="Individual",Y68="HUF"),SUMPRODUCT(('Rate Lookup'!$A$1:$A$37=Z68)*'Rate Lookup'!$B$1:$B$37),SUMPRODUCT(('Rate Lookup'!$A$1:$A$37=Z68)*'Rate Lookup'!$C$1:$C$37)))))</f>
      </c>
      <c r="AB68" s="30"/>
      <c r="AC68" s="31"/>
      <c r="AD68" s="27">
        <f>IF($B68&lt;&gt;"Entry","",ROUND(AC68*AA68/100,0))</f>
      </c>
      <c r="AE68" s="27">
        <f>IF($B68&lt;&gt;"Entry","",0)</f>
      </c>
      <c r="AF68" s="27">
        <f>IF($B68&lt;&gt;"Entry","",0)</f>
      </c>
      <c r="AG68" s="27">
        <f>IF($B68&lt;&gt;"Entry","",IF(OR(AD68=0,AB68="",AQ68="",AQ68&lt;=0),0,IF(AQ68&lt;=DATE(YEAR(AB68),MONTH(AB68)+1,7),0,ROUND(AD68*0.015*((YEAR(AQ68)-YEAR(AB68))*12+(MONTH(AQ68)-MONTH(AB68))+1),0))))</f>
      </c>
      <c r="AH68" s="27">
        <f>IF($B68&lt;&gt;"Entry","",0)</f>
      </c>
      <c r="AI68" s="28"/>
      <c r="AJ68" s="28"/>
      <c r="AK68" s="32"/>
      <c r="AL68" s="28"/>
      <c r="AM68" s="28"/>
      <c r="AN68" s="27">
        <f>IF($B68&lt;&gt;"Challan","",SUMIF('Q1 Data'!$D$4:$D$207,D68,'Q1 Data'!$AD$4:$AD$207)+SUMIF('Q1 Data'!$D$4:$D$207,D68,'Q1 Data'!$AG$4:$AG$207)+SUMIF('Q1 Data'!$D$4:$D$207,D68,'Q1 Data'!$AE$4:$AE$207)+SUMIF('Q2 Data'!$D$4:$D$207,D68,'Q2 Data'!$AD$4:$AD$207)+SUMIF('Q2 Data'!$D$4:$D$207,D68,'Q2 Data'!$AG$4:$AG$207)+SUMIF('Q2 Data'!$D$4:$D$207,D68,'Q2 Data'!$AE$4:$AE$207)+SUMIF('Q3 Data'!$D$4:$D$207,D68,'Q3 Data'!$AD$4:$AD$207)+SUMIF('Q3 Data'!$D$4:$D$207,D68,'Q3 Data'!$AG$4:$AG$207)+SUMIF('Q3 Data'!$D$4:$D$207,D68,'Q3 Data'!$AE$4:$AE$207)+SUMIF('Q4 Data'!$D$4:$D$207,D68,'Q4 Data'!$AD$4:$AD$207)+SUMIF('Q4 Data'!$D$4:$D$207,D68,'Q4 Data'!$AG$4:$AG$207)+SUMIF('Q4 Data'!$D$4:$D$207,D68,'Q4 Data'!$AE$4:$AE$207))</f>
      </c>
      <c r="AO68" s="27">
        <f>IF($B68&lt;&gt;"Challan","",P68-N68)</f>
      </c>
      <c r="AP68" s="27">
        <f>IF($B68&lt;&gt;"Challan","",MAX(0,AO68-AN68))</f>
      </c>
      <c r="AQ68" s="33">
        <f>IF($B68&lt;&gt;"Entry","",SUMPRODUCT(('Q1 Data'!$D$4:$D$207=D68)*('Q1 Data'!$B$4:$B$207="Challan")*'Q1 Data'!$F$4:$F$207)+SUMPRODUCT(('Q2 Data'!$D$4:$D$207=D68)*('Q2 Data'!$B$4:$B$207="Challan")*'Q2 Data'!$F$4:$F$207)+SUMPRODUCT(('Q3 Data'!$D$4:$D$207=D68)*('Q3 Data'!$B$4:$B$207="Challan")*'Q3 Data'!$F$4:$F$207)+SUMPRODUCT(('Q4 Data'!$D$4:$D$207=D68)*('Q4 Data'!$B$4:$B$207="Challan")*'Q4 Data'!$F$4:$F$207))</f>
      </c>
      <c r="AR68" s="34">
        <f>IF(OR($B68&lt;&gt;"Entry",Z68=""),FALSE,AND((SUMPRODUCT(('Q1 Data'!$D$4:$D$207=D68)*('Q1 Data'!$B$4:$B$207="Challan")*('Q1 Data'!$H$4:$H$207&lt;&gt;""))+SUMPRODUCT(('Q2 Data'!$D$4:$D$207=D68)*('Q2 Data'!$B$4:$B$207="Challan")*('Q2 Data'!$H$4:$H$207&lt;&gt;""))+SUMPRODUCT(('Q3 Data'!$D$4:$D$207=D68)*('Q3 Data'!$B$4:$B$207="Challan")*('Q3 Data'!$H$4:$H$207&lt;&gt;""))+SUMPRODUCT(('Q4 Data'!$D$4:$D$207=D68)*('Q4 Data'!$B$4:$B$207="Challan")*('Q4 Data'!$H$4:$H$207&lt;&gt;"")))&gt;0,(SUMPRODUCT(('Q1 Data'!$D$4:$D$207=D68)*('Q1 Data'!$B$4:$B$207="Challan")*('Q1 Data'!$H$4:$H$207=Z68))+SUMPRODUCT(('Q2 Data'!$D$4:$D$207=D68)*('Q2 Data'!$B$4:$B$207="Challan")*('Q2 Data'!$H$4:$H$207=Z68))+SUMPRODUCT(('Q3 Data'!$D$4:$D$207=D68)*('Q3 Data'!$B$4:$B$207="Challan")*('Q3 Data'!$H$4:$H$207=Z68))+SUMPRODUCT(('Q4 Data'!$D$4:$D$207=D68)*('Q4 Data'!$B$4:$B$207="Challan")*('Q4 Data'!$H$4:$H$207=Z68)))=0))</f>
      </c>
    </row>
    <row r="69" spans="1:44" x14ac:dyDescent="0.25">
      <c r="A69" s="20">
        <f>IF($B69="Entry",COUNTIF($B$4:$B69,"Entry"),"")</f>
      </c>
      <c r="B69" s="21"/>
      <c r="C69" s="22"/>
      <c r="D69" s="22"/>
      <c r="E69" s="23">
        <f>IF($B69&lt;&gt;"Challan","",IF(ROUND(AN69-AO69,2)&gt;0,"Over-applied",IF(ROUND(AN69-AO69,2)=0,"Fully Utilised","Unconsumed")))</f>
      </c>
      <c r="F69" s="24"/>
      <c r="G69" s="25"/>
      <c r="H69" s="25"/>
      <c r="I69" s="26"/>
      <c r="J69" s="26"/>
      <c r="K69" s="26"/>
      <c r="L69" s="26"/>
      <c r="M69" s="26"/>
      <c r="N69" s="26"/>
      <c r="O69" s="26"/>
      <c r="P69" s="27">
        <f>IF($B69&lt;&gt;"Challan","",I69+J69+K69+L69+M69+N69)</f>
      </c>
      <c r="Q69" s="25"/>
      <c r="R69" s="25"/>
      <c r="S69" s="25"/>
      <c r="T69" s="25"/>
      <c r="U69" s="25"/>
      <c r="V69" s="28"/>
      <c r="W69" s="28"/>
      <c r="X69" s="23">
        <f>IF($B69="Entry",IF(AND(LEN(TRIM(UPPER(W69)))=10,CODE(MID(TRIM(UPPER(W69)),1,1))&gt;=65,CODE(MID(TRIM(UPPER(W69)),1,1))&lt;=90,CODE(MID(TRIM(UPPER(W69)),2,1))&gt;=65,CODE(MID(TRIM(UPPER(W69)),2,1))&lt;=90,CODE(MID(TRIM(UPPER(W69)),3,1))&gt;=65,CODE(MID(TRIM(UPPER(W69)),3,1))&lt;=90,CODE(MID(TRIM(UPPER(W69)),4,1))&gt;=65,CODE(MID(TRIM(UPPER(W69)),4,1))&lt;=90,CODE(MID(TRIM(UPPER(W69)),5,1))&gt;=65,CODE(MID(TRIM(UPPER(W69)),5,1))&lt;=90,CODE(MID(TRIM(UPPER(W69)),10,1))&gt;=65,CODE(MID(TRIM(UPPER(W69)),10,1))&lt;=90,CODE(MID(TRIM(UPPER(W69)),6,1))&gt;=48,CODE(MID(TRIM(UPPER(W69)),6,1))&lt;=57,CODE(MID(TRIM(UPPER(W69)),7,1))&gt;=48,CODE(MID(TRIM(UPPER(W69)),7,1))&lt;=57,CODE(MID(TRIM(UPPER(W69)),8,1))&gt;=48,CODE(MID(TRIM(UPPER(W69)),8,1))&lt;=57,CODE(MID(TRIM(UPPER(W69)),9,1))&gt;=48,CODE(MID(TRIM(UPPER(W69)),9,1))&lt;=57),"N","Y"),IF($B69="Challan","",IF(W69&lt;&gt;"","◄ Set Row Type","")))</f>
      </c>
      <c r="Y69" s="23">
        <f>IF($B69="Entry",IF(LEN(W69)&lt;4,"",IF(UPPER(MID(W69,4,1))="P","Individual",IF(UPPER(MID(W69,4,1))="H","HUF",IF(UPPER(MID(W69,4,1))="C","Company",IF(UPPER(MID(W69,4,1))="F","Firm",IF(UPPER(MID(W69,4,1))="L","LLP",IF(UPPER(MID(W69,4,1))="T","Trust",IF(UPPER(MID(W69,4,1))="A","AOP","")))))))),IF($B69="Challan","",IF(W69&lt;&gt;"","◄ Set Row Type","")))</f>
      </c>
      <c r="Z69" s="28"/>
      <c r="AA69" s="29">
        <f>IF($B69&lt;&gt;"Entry","",IF(Z69="","",IF(X69="Y",SUMPRODUCT(('Rate Lookup'!$A$1:$A$37=Z69)*'Rate Lookup'!$D$1:$D$37),IF(OR(Y69="Individual",Y69="HUF"),SUMPRODUCT(('Rate Lookup'!$A$1:$A$37=Z69)*'Rate Lookup'!$B$1:$B$37),SUMPRODUCT(('Rate Lookup'!$A$1:$A$37=Z69)*'Rate Lookup'!$C$1:$C$37)))))</f>
      </c>
      <c r="AB69" s="30"/>
      <c r="AC69" s="31"/>
      <c r="AD69" s="27">
        <f>IF($B69&lt;&gt;"Entry","",ROUND(AC69*AA69/100,0))</f>
      </c>
      <c r="AE69" s="27">
        <f>IF($B69&lt;&gt;"Entry","",0)</f>
      </c>
      <c r="AF69" s="27">
        <f>IF($B69&lt;&gt;"Entry","",0)</f>
      </c>
      <c r="AG69" s="27">
        <f>IF($B69&lt;&gt;"Entry","",IF(OR(AD69=0,AB69="",AQ69="",AQ69&lt;=0),0,IF(AQ69&lt;=DATE(YEAR(AB69),MONTH(AB69)+1,7),0,ROUND(AD69*0.015*((YEAR(AQ69)-YEAR(AB69))*12+(MONTH(AQ69)-MONTH(AB69))+1),0))))</f>
      </c>
      <c r="AH69" s="27">
        <f>IF($B69&lt;&gt;"Entry","",0)</f>
      </c>
      <c r="AI69" s="28"/>
      <c r="AJ69" s="28"/>
      <c r="AK69" s="32"/>
      <c r="AL69" s="28"/>
      <c r="AM69" s="28"/>
      <c r="AN69" s="27">
        <f>IF($B69&lt;&gt;"Challan","",SUMIF('Q1 Data'!$D$4:$D$207,D69,'Q1 Data'!$AD$4:$AD$207)+SUMIF('Q1 Data'!$D$4:$D$207,D69,'Q1 Data'!$AG$4:$AG$207)+SUMIF('Q1 Data'!$D$4:$D$207,D69,'Q1 Data'!$AE$4:$AE$207)+SUMIF('Q2 Data'!$D$4:$D$207,D69,'Q2 Data'!$AD$4:$AD$207)+SUMIF('Q2 Data'!$D$4:$D$207,D69,'Q2 Data'!$AG$4:$AG$207)+SUMIF('Q2 Data'!$D$4:$D$207,D69,'Q2 Data'!$AE$4:$AE$207)+SUMIF('Q3 Data'!$D$4:$D$207,D69,'Q3 Data'!$AD$4:$AD$207)+SUMIF('Q3 Data'!$D$4:$D$207,D69,'Q3 Data'!$AG$4:$AG$207)+SUMIF('Q3 Data'!$D$4:$D$207,D69,'Q3 Data'!$AE$4:$AE$207)+SUMIF('Q4 Data'!$D$4:$D$207,D69,'Q4 Data'!$AD$4:$AD$207)+SUMIF('Q4 Data'!$D$4:$D$207,D69,'Q4 Data'!$AG$4:$AG$207)+SUMIF('Q4 Data'!$D$4:$D$207,D69,'Q4 Data'!$AE$4:$AE$207))</f>
      </c>
      <c r="AO69" s="27">
        <f>IF($B69&lt;&gt;"Challan","",P69-N69)</f>
      </c>
      <c r="AP69" s="27">
        <f>IF($B69&lt;&gt;"Challan","",MAX(0,AO69-AN69))</f>
      </c>
      <c r="AQ69" s="33">
        <f>IF($B69&lt;&gt;"Entry","",SUMPRODUCT(('Q1 Data'!$D$4:$D$207=D69)*('Q1 Data'!$B$4:$B$207="Challan")*'Q1 Data'!$F$4:$F$207)+SUMPRODUCT(('Q2 Data'!$D$4:$D$207=D69)*('Q2 Data'!$B$4:$B$207="Challan")*'Q2 Data'!$F$4:$F$207)+SUMPRODUCT(('Q3 Data'!$D$4:$D$207=D69)*('Q3 Data'!$B$4:$B$207="Challan")*'Q3 Data'!$F$4:$F$207)+SUMPRODUCT(('Q4 Data'!$D$4:$D$207=D69)*('Q4 Data'!$B$4:$B$207="Challan")*'Q4 Data'!$F$4:$F$207))</f>
      </c>
      <c r="AR69" s="34">
        <f>IF(OR($B69&lt;&gt;"Entry",Z69=""),FALSE,AND((SUMPRODUCT(('Q1 Data'!$D$4:$D$207=D69)*('Q1 Data'!$B$4:$B$207="Challan")*('Q1 Data'!$H$4:$H$207&lt;&gt;""))+SUMPRODUCT(('Q2 Data'!$D$4:$D$207=D69)*('Q2 Data'!$B$4:$B$207="Challan")*('Q2 Data'!$H$4:$H$207&lt;&gt;""))+SUMPRODUCT(('Q3 Data'!$D$4:$D$207=D69)*('Q3 Data'!$B$4:$B$207="Challan")*('Q3 Data'!$H$4:$H$207&lt;&gt;""))+SUMPRODUCT(('Q4 Data'!$D$4:$D$207=D69)*('Q4 Data'!$B$4:$B$207="Challan")*('Q4 Data'!$H$4:$H$207&lt;&gt;"")))&gt;0,(SUMPRODUCT(('Q1 Data'!$D$4:$D$207=D69)*('Q1 Data'!$B$4:$B$207="Challan")*('Q1 Data'!$H$4:$H$207=Z69))+SUMPRODUCT(('Q2 Data'!$D$4:$D$207=D69)*('Q2 Data'!$B$4:$B$207="Challan")*('Q2 Data'!$H$4:$H$207=Z69))+SUMPRODUCT(('Q3 Data'!$D$4:$D$207=D69)*('Q3 Data'!$B$4:$B$207="Challan")*('Q3 Data'!$H$4:$H$207=Z69))+SUMPRODUCT(('Q4 Data'!$D$4:$D$207=D69)*('Q4 Data'!$B$4:$B$207="Challan")*('Q4 Data'!$H$4:$H$207=Z69)))=0))</f>
      </c>
    </row>
    <row r="70" spans="1:44" x14ac:dyDescent="0.25">
      <c r="A70" s="20">
        <f>IF($B70="Entry",COUNTIF($B$4:$B70,"Entry"),"")</f>
      </c>
      <c r="B70" s="21"/>
      <c r="C70" s="22"/>
      <c r="D70" s="22"/>
      <c r="E70" s="23">
        <f>IF($B70&lt;&gt;"Challan","",IF(ROUND(AN70-AO70,2)&gt;0,"Over-applied",IF(ROUND(AN70-AO70,2)=0,"Fully Utilised","Unconsumed")))</f>
      </c>
      <c r="F70" s="24"/>
      <c r="G70" s="25"/>
      <c r="H70" s="25"/>
      <c r="I70" s="26"/>
      <c r="J70" s="26"/>
      <c r="K70" s="26"/>
      <c r="L70" s="26"/>
      <c r="M70" s="26"/>
      <c r="N70" s="26"/>
      <c r="O70" s="26"/>
      <c r="P70" s="27">
        <f>IF($B70&lt;&gt;"Challan","",I70+J70+K70+L70+M70+N70)</f>
      </c>
      <c r="Q70" s="25"/>
      <c r="R70" s="25"/>
      <c r="S70" s="25"/>
      <c r="T70" s="25"/>
      <c r="U70" s="25"/>
      <c r="V70" s="28"/>
      <c r="W70" s="28"/>
      <c r="X70" s="23">
        <f>IF($B70="Entry",IF(AND(LEN(TRIM(UPPER(W70)))=10,CODE(MID(TRIM(UPPER(W70)),1,1))&gt;=65,CODE(MID(TRIM(UPPER(W70)),1,1))&lt;=90,CODE(MID(TRIM(UPPER(W70)),2,1))&gt;=65,CODE(MID(TRIM(UPPER(W70)),2,1))&lt;=90,CODE(MID(TRIM(UPPER(W70)),3,1))&gt;=65,CODE(MID(TRIM(UPPER(W70)),3,1))&lt;=90,CODE(MID(TRIM(UPPER(W70)),4,1))&gt;=65,CODE(MID(TRIM(UPPER(W70)),4,1))&lt;=90,CODE(MID(TRIM(UPPER(W70)),5,1))&gt;=65,CODE(MID(TRIM(UPPER(W70)),5,1))&lt;=90,CODE(MID(TRIM(UPPER(W70)),10,1))&gt;=65,CODE(MID(TRIM(UPPER(W70)),10,1))&lt;=90,CODE(MID(TRIM(UPPER(W70)),6,1))&gt;=48,CODE(MID(TRIM(UPPER(W70)),6,1))&lt;=57,CODE(MID(TRIM(UPPER(W70)),7,1))&gt;=48,CODE(MID(TRIM(UPPER(W70)),7,1))&lt;=57,CODE(MID(TRIM(UPPER(W70)),8,1))&gt;=48,CODE(MID(TRIM(UPPER(W70)),8,1))&lt;=57,CODE(MID(TRIM(UPPER(W70)),9,1))&gt;=48,CODE(MID(TRIM(UPPER(W70)),9,1))&lt;=57),"N","Y"),IF($B70="Challan","",IF(W70&lt;&gt;"","◄ Set Row Type","")))</f>
      </c>
      <c r="Y70" s="23">
        <f>IF($B70="Entry",IF(LEN(W70)&lt;4,"",IF(UPPER(MID(W70,4,1))="P","Individual",IF(UPPER(MID(W70,4,1))="H","HUF",IF(UPPER(MID(W70,4,1))="C","Company",IF(UPPER(MID(W70,4,1))="F","Firm",IF(UPPER(MID(W70,4,1))="L","LLP",IF(UPPER(MID(W70,4,1))="T","Trust",IF(UPPER(MID(W70,4,1))="A","AOP","")))))))),IF($B70="Challan","",IF(W70&lt;&gt;"","◄ Set Row Type","")))</f>
      </c>
      <c r="Z70" s="28"/>
      <c r="AA70" s="29">
        <f>IF($B70&lt;&gt;"Entry","",IF(Z70="","",IF(X70="Y",SUMPRODUCT(('Rate Lookup'!$A$1:$A$37=Z70)*'Rate Lookup'!$D$1:$D$37),IF(OR(Y70="Individual",Y70="HUF"),SUMPRODUCT(('Rate Lookup'!$A$1:$A$37=Z70)*'Rate Lookup'!$B$1:$B$37),SUMPRODUCT(('Rate Lookup'!$A$1:$A$37=Z70)*'Rate Lookup'!$C$1:$C$37)))))</f>
      </c>
      <c r="AB70" s="30"/>
      <c r="AC70" s="31"/>
      <c r="AD70" s="27">
        <f>IF($B70&lt;&gt;"Entry","",ROUND(AC70*AA70/100,0))</f>
      </c>
      <c r="AE70" s="27">
        <f>IF($B70&lt;&gt;"Entry","",0)</f>
      </c>
      <c r="AF70" s="27">
        <f>IF($B70&lt;&gt;"Entry","",0)</f>
      </c>
      <c r="AG70" s="27">
        <f>IF($B70&lt;&gt;"Entry","",IF(OR(AD70=0,AB70="",AQ70="",AQ70&lt;=0),0,IF(AQ70&lt;=DATE(YEAR(AB70),MONTH(AB70)+1,7),0,ROUND(AD70*0.015*((YEAR(AQ70)-YEAR(AB70))*12+(MONTH(AQ70)-MONTH(AB70))+1),0))))</f>
      </c>
      <c r="AH70" s="27">
        <f>IF($B70&lt;&gt;"Entry","",0)</f>
      </c>
      <c r="AI70" s="28"/>
      <c r="AJ70" s="28"/>
      <c r="AK70" s="32"/>
      <c r="AL70" s="28"/>
      <c r="AM70" s="28"/>
      <c r="AN70" s="27">
        <f>IF($B70&lt;&gt;"Challan","",SUMIF('Q1 Data'!$D$4:$D$207,D70,'Q1 Data'!$AD$4:$AD$207)+SUMIF('Q1 Data'!$D$4:$D$207,D70,'Q1 Data'!$AG$4:$AG$207)+SUMIF('Q1 Data'!$D$4:$D$207,D70,'Q1 Data'!$AE$4:$AE$207)+SUMIF('Q2 Data'!$D$4:$D$207,D70,'Q2 Data'!$AD$4:$AD$207)+SUMIF('Q2 Data'!$D$4:$D$207,D70,'Q2 Data'!$AG$4:$AG$207)+SUMIF('Q2 Data'!$D$4:$D$207,D70,'Q2 Data'!$AE$4:$AE$207)+SUMIF('Q3 Data'!$D$4:$D$207,D70,'Q3 Data'!$AD$4:$AD$207)+SUMIF('Q3 Data'!$D$4:$D$207,D70,'Q3 Data'!$AG$4:$AG$207)+SUMIF('Q3 Data'!$D$4:$D$207,D70,'Q3 Data'!$AE$4:$AE$207)+SUMIF('Q4 Data'!$D$4:$D$207,D70,'Q4 Data'!$AD$4:$AD$207)+SUMIF('Q4 Data'!$D$4:$D$207,D70,'Q4 Data'!$AG$4:$AG$207)+SUMIF('Q4 Data'!$D$4:$D$207,D70,'Q4 Data'!$AE$4:$AE$207))</f>
      </c>
      <c r="AO70" s="27">
        <f>IF($B70&lt;&gt;"Challan","",P70-N70)</f>
      </c>
      <c r="AP70" s="27">
        <f>IF($B70&lt;&gt;"Challan","",MAX(0,AO70-AN70))</f>
      </c>
      <c r="AQ70" s="33">
        <f>IF($B70&lt;&gt;"Entry","",SUMPRODUCT(('Q1 Data'!$D$4:$D$207=D70)*('Q1 Data'!$B$4:$B$207="Challan")*'Q1 Data'!$F$4:$F$207)+SUMPRODUCT(('Q2 Data'!$D$4:$D$207=D70)*('Q2 Data'!$B$4:$B$207="Challan")*'Q2 Data'!$F$4:$F$207)+SUMPRODUCT(('Q3 Data'!$D$4:$D$207=D70)*('Q3 Data'!$B$4:$B$207="Challan")*'Q3 Data'!$F$4:$F$207)+SUMPRODUCT(('Q4 Data'!$D$4:$D$207=D70)*('Q4 Data'!$B$4:$B$207="Challan")*'Q4 Data'!$F$4:$F$207))</f>
      </c>
      <c r="AR70" s="34">
        <f>IF(OR($B70&lt;&gt;"Entry",Z70=""),FALSE,AND((SUMPRODUCT(('Q1 Data'!$D$4:$D$207=D70)*('Q1 Data'!$B$4:$B$207="Challan")*('Q1 Data'!$H$4:$H$207&lt;&gt;""))+SUMPRODUCT(('Q2 Data'!$D$4:$D$207=D70)*('Q2 Data'!$B$4:$B$207="Challan")*('Q2 Data'!$H$4:$H$207&lt;&gt;""))+SUMPRODUCT(('Q3 Data'!$D$4:$D$207=D70)*('Q3 Data'!$B$4:$B$207="Challan")*('Q3 Data'!$H$4:$H$207&lt;&gt;""))+SUMPRODUCT(('Q4 Data'!$D$4:$D$207=D70)*('Q4 Data'!$B$4:$B$207="Challan")*('Q4 Data'!$H$4:$H$207&lt;&gt;"")))&gt;0,(SUMPRODUCT(('Q1 Data'!$D$4:$D$207=D70)*('Q1 Data'!$B$4:$B$207="Challan")*('Q1 Data'!$H$4:$H$207=Z70))+SUMPRODUCT(('Q2 Data'!$D$4:$D$207=D70)*('Q2 Data'!$B$4:$B$207="Challan")*('Q2 Data'!$H$4:$H$207=Z70))+SUMPRODUCT(('Q3 Data'!$D$4:$D$207=D70)*('Q3 Data'!$B$4:$B$207="Challan")*('Q3 Data'!$H$4:$H$207=Z70))+SUMPRODUCT(('Q4 Data'!$D$4:$D$207=D70)*('Q4 Data'!$B$4:$B$207="Challan")*('Q4 Data'!$H$4:$H$207=Z70)))=0))</f>
      </c>
    </row>
    <row r="71" spans="1:44" x14ac:dyDescent="0.25">
      <c r="A71" s="20">
        <f>IF($B71="Entry",COUNTIF($B$4:$B71,"Entry"),"")</f>
      </c>
      <c r="B71" s="21"/>
      <c r="C71" s="22"/>
      <c r="D71" s="22"/>
      <c r="E71" s="23">
        <f>IF($B71&lt;&gt;"Challan","",IF(ROUND(AN71-AO71,2)&gt;0,"Over-applied",IF(ROUND(AN71-AO71,2)=0,"Fully Utilised","Unconsumed")))</f>
      </c>
      <c r="F71" s="24"/>
      <c r="G71" s="25"/>
      <c r="H71" s="25"/>
      <c r="I71" s="26"/>
      <c r="J71" s="26"/>
      <c r="K71" s="26"/>
      <c r="L71" s="26"/>
      <c r="M71" s="26"/>
      <c r="N71" s="26"/>
      <c r="O71" s="26"/>
      <c r="P71" s="27">
        <f>IF($B71&lt;&gt;"Challan","",I71+J71+K71+L71+M71+N71)</f>
      </c>
      <c r="Q71" s="25"/>
      <c r="R71" s="25"/>
      <c r="S71" s="25"/>
      <c r="T71" s="25"/>
      <c r="U71" s="25"/>
      <c r="V71" s="28"/>
      <c r="W71" s="28"/>
      <c r="X71" s="23">
        <f>IF($B71="Entry",IF(AND(LEN(TRIM(UPPER(W71)))=10,CODE(MID(TRIM(UPPER(W71)),1,1))&gt;=65,CODE(MID(TRIM(UPPER(W71)),1,1))&lt;=90,CODE(MID(TRIM(UPPER(W71)),2,1))&gt;=65,CODE(MID(TRIM(UPPER(W71)),2,1))&lt;=90,CODE(MID(TRIM(UPPER(W71)),3,1))&gt;=65,CODE(MID(TRIM(UPPER(W71)),3,1))&lt;=90,CODE(MID(TRIM(UPPER(W71)),4,1))&gt;=65,CODE(MID(TRIM(UPPER(W71)),4,1))&lt;=90,CODE(MID(TRIM(UPPER(W71)),5,1))&gt;=65,CODE(MID(TRIM(UPPER(W71)),5,1))&lt;=90,CODE(MID(TRIM(UPPER(W71)),10,1))&gt;=65,CODE(MID(TRIM(UPPER(W71)),10,1))&lt;=90,CODE(MID(TRIM(UPPER(W71)),6,1))&gt;=48,CODE(MID(TRIM(UPPER(W71)),6,1))&lt;=57,CODE(MID(TRIM(UPPER(W71)),7,1))&gt;=48,CODE(MID(TRIM(UPPER(W71)),7,1))&lt;=57,CODE(MID(TRIM(UPPER(W71)),8,1))&gt;=48,CODE(MID(TRIM(UPPER(W71)),8,1))&lt;=57,CODE(MID(TRIM(UPPER(W71)),9,1))&gt;=48,CODE(MID(TRIM(UPPER(W71)),9,1))&lt;=57),"N","Y"),IF($B71="Challan","",IF(W71&lt;&gt;"","◄ Set Row Type","")))</f>
      </c>
      <c r="Y71" s="23">
        <f>IF($B71="Entry",IF(LEN(W71)&lt;4,"",IF(UPPER(MID(W71,4,1))="P","Individual",IF(UPPER(MID(W71,4,1))="H","HUF",IF(UPPER(MID(W71,4,1))="C","Company",IF(UPPER(MID(W71,4,1))="F","Firm",IF(UPPER(MID(W71,4,1))="L","LLP",IF(UPPER(MID(W71,4,1))="T","Trust",IF(UPPER(MID(W71,4,1))="A","AOP","")))))))),IF($B71="Challan","",IF(W71&lt;&gt;"","◄ Set Row Type","")))</f>
      </c>
      <c r="Z71" s="28"/>
      <c r="AA71" s="29">
        <f>IF($B71&lt;&gt;"Entry","",IF(Z71="","",IF(X71="Y",SUMPRODUCT(('Rate Lookup'!$A$1:$A$37=Z71)*'Rate Lookup'!$D$1:$D$37),IF(OR(Y71="Individual",Y71="HUF"),SUMPRODUCT(('Rate Lookup'!$A$1:$A$37=Z71)*'Rate Lookup'!$B$1:$B$37),SUMPRODUCT(('Rate Lookup'!$A$1:$A$37=Z71)*'Rate Lookup'!$C$1:$C$37)))))</f>
      </c>
      <c r="AB71" s="30"/>
      <c r="AC71" s="31"/>
      <c r="AD71" s="27">
        <f>IF($B71&lt;&gt;"Entry","",ROUND(AC71*AA71/100,0))</f>
      </c>
      <c r="AE71" s="27">
        <f>IF($B71&lt;&gt;"Entry","",0)</f>
      </c>
      <c r="AF71" s="27">
        <f>IF($B71&lt;&gt;"Entry","",0)</f>
      </c>
      <c r="AG71" s="27">
        <f>IF($B71&lt;&gt;"Entry","",IF(OR(AD71=0,AB71="",AQ71="",AQ71&lt;=0),0,IF(AQ71&lt;=DATE(YEAR(AB71),MONTH(AB71)+1,7),0,ROUND(AD71*0.015*((YEAR(AQ71)-YEAR(AB71))*12+(MONTH(AQ71)-MONTH(AB71))+1),0))))</f>
      </c>
      <c r="AH71" s="27">
        <f>IF($B71&lt;&gt;"Entry","",0)</f>
      </c>
      <c r="AI71" s="28"/>
      <c r="AJ71" s="28"/>
      <c r="AK71" s="32"/>
      <c r="AL71" s="28"/>
      <c r="AM71" s="28"/>
      <c r="AN71" s="27">
        <f>IF($B71&lt;&gt;"Challan","",SUMIF('Q1 Data'!$D$4:$D$207,D71,'Q1 Data'!$AD$4:$AD$207)+SUMIF('Q1 Data'!$D$4:$D$207,D71,'Q1 Data'!$AG$4:$AG$207)+SUMIF('Q1 Data'!$D$4:$D$207,D71,'Q1 Data'!$AE$4:$AE$207)+SUMIF('Q2 Data'!$D$4:$D$207,D71,'Q2 Data'!$AD$4:$AD$207)+SUMIF('Q2 Data'!$D$4:$D$207,D71,'Q2 Data'!$AG$4:$AG$207)+SUMIF('Q2 Data'!$D$4:$D$207,D71,'Q2 Data'!$AE$4:$AE$207)+SUMIF('Q3 Data'!$D$4:$D$207,D71,'Q3 Data'!$AD$4:$AD$207)+SUMIF('Q3 Data'!$D$4:$D$207,D71,'Q3 Data'!$AG$4:$AG$207)+SUMIF('Q3 Data'!$D$4:$D$207,D71,'Q3 Data'!$AE$4:$AE$207)+SUMIF('Q4 Data'!$D$4:$D$207,D71,'Q4 Data'!$AD$4:$AD$207)+SUMIF('Q4 Data'!$D$4:$D$207,D71,'Q4 Data'!$AG$4:$AG$207)+SUMIF('Q4 Data'!$D$4:$D$207,D71,'Q4 Data'!$AE$4:$AE$207))</f>
      </c>
      <c r="AO71" s="27">
        <f>IF($B71&lt;&gt;"Challan","",P71-N71)</f>
      </c>
      <c r="AP71" s="27">
        <f>IF($B71&lt;&gt;"Challan","",MAX(0,AO71-AN71))</f>
      </c>
      <c r="AQ71" s="33">
        <f>IF($B71&lt;&gt;"Entry","",SUMPRODUCT(('Q1 Data'!$D$4:$D$207=D71)*('Q1 Data'!$B$4:$B$207="Challan")*'Q1 Data'!$F$4:$F$207)+SUMPRODUCT(('Q2 Data'!$D$4:$D$207=D71)*('Q2 Data'!$B$4:$B$207="Challan")*'Q2 Data'!$F$4:$F$207)+SUMPRODUCT(('Q3 Data'!$D$4:$D$207=D71)*('Q3 Data'!$B$4:$B$207="Challan")*'Q3 Data'!$F$4:$F$207)+SUMPRODUCT(('Q4 Data'!$D$4:$D$207=D71)*('Q4 Data'!$B$4:$B$207="Challan")*'Q4 Data'!$F$4:$F$207))</f>
      </c>
      <c r="AR71" s="34">
        <f>IF(OR($B71&lt;&gt;"Entry",Z71=""),FALSE,AND((SUMPRODUCT(('Q1 Data'!$D$4:$D$207=D71)*('Q1 Data'!$B$4:$B$207="Challan")*('Q1 Data'!$H$4:$H$207&lt;&gt;""))+SUMPRODUCT(('Q2 Data'!$D$4:$D$207=D71)*('Q2 Data'!$B$4:$B$207="Challan")*('Q2 Data'!$H$4:$H$207&lt;&gt;""))+SUMPRODUCT(('Q3 Data'!$D$4:$D$207=D71)*('Q3 Data'!$B$4:$B$207="Challan")*('Q3 Data'!$H$4:$H$207&lt;&gt;""))+SUMPRODUCT(('Q4 Data'!$D$4:$D$207=D71)*('Q4 Data'!$B$4:$B$207="Challan")*('Q4 Data'!$H$4:$H$207&lt;&gt;"")))&gt;0,(SUMPRODUCT(('Q1 Data'!$D$4:$D$207=D71)*('Q1 Data'!$B$4:$B$207="Challan")*('Q1 Data'!$H$4:$H$207=Z71))+SUMPRODUCT(('Q2 Data'!$D$4:$D$207=D71)*('Q2 Data'!$B$4:$B$207="Challan")*('Q2 Data'!$H$4:$H$207=Z71))+SUMPRODUCT(('Q3 Data'!$D$4:$D$207=D71)*('Q3 Data'!$B$4:$B$207="Challan")*('Q3 Data'!$H$4:$H$207=Z71))+SUMPRODUCT(('Q4 Data'!$D$4:$D$207=D71)*('Q4 Data'!$B$4:$B$207="Challan")*('Q4 Data'!$H$4:$H$207=Z71)))=0))</f>
      </c>
    </row>
    <row r="72" spans="1:44" x14ac:dyDescent="0.25">
      <c r="A72" s="20">
        <f>IF($B72="Entry",COUNTIF($B$4:$B72,"Entry"),"")</f>
      </c>
      <c r="B72" s="21"/>
      <c r="C72" s="22"/>
      <c r="D72" s="22"/>
      <c r="E72" s="23">
        <f>IF($B72&lt;&gt;"Challan","",IF(ROUND(AN72-AO72,2)&gt;0,"Over-applied",IF(ROUND(AN72-AO72,2)=0,"Fully Utilised","Unconsumed")))</f>
      </c>
      <c r="F72" s="24"/>
      <c r="G72" s="25"/>
      <c r="H72" s="25"/>
      <c r="I72" s="26"/>
      <c r="J72" s="26"/>
      <c r="K72" s="26"/>
      <c r="L72" s="26"/>
      <c r="M72" s="26"/>
      <c r="N72" s="26"/>
      <c r="O72" s="26"/>
      <c r="P72" s="27">
        <f>IF($B72&lt;&gt;"Challan","",I72+J72+K72+L72+M72+N72)</f>
      </c>
      <c r="Q72" s="25"/>
      <c r="R72" s="25"/>
      <c r="S72" s="25"/>
      <c r="T72" s="25"/>
      <c r="U72" s="25"/>
      <c r="V72" s="28"/>
      <c r="W72" s="28"/>
      <c r="X72" s="23">
        <f>IF($B72="Entry",IF(AND(LEN(TRIM(UPPER(W72)))=10,CODE(MID(TRIM(UPPER(W72)),1,1))&gt;=65,CODE(MID(TRIM(UPPER(W72)),1,1))&lt;=90,CODE(MID(TRIM(UPPER(W72)),2,1))&gt;=65,CODE(MID(TRIM(UPPER(W72)),2,1))&lt;=90,CODE(MID(TRIM(UPPER(W72)),3,1))&gt;=65,CODE(MID(TRIM(UPPER(W72)),3,1))&lt;=90,CODE(MID(TRIM(UPPER(W72)),4,1))&gt;=65,CODE(MID(TRIM(UPPER(W72)),4,1))&lt;=90,CODE(MID(TRIM(UPPER(W72)),5,1))&gt;=65,CODE(MID(TRIM(UPPER(W72)),5,1))&lt;=90,CODE(MID(TRIM(UPPER(W72)),10,1))&gt;=65,CODE(MID(TRIM(UPPER(W72)),10,1))&lt;=90,CODE(MID(TRIM(UPPER(W72)),6,1))&gt;=48,CODE(MID(TRIM(UPPER(W72)),6,1))&lt;=57,CODE(MID(TRIM(UPPER(W72)),7,1))&gt;=48,CODE(MID(TRIM(UPPER(W72)),7,1))&lt;=57,CODE(MID(TRIM(UPPER(W72)),8,1))&gt;=48,CODE(MID(TRIM(UPPER(W72)),8,1))&lt;=57,CODE(MID(TRIM(UPPER(W72)),9,1))&gt;=48,CODE(MID(TRIM(UPPER(W72)),9,1))&lt;=57),"N","Y"),IF($B72="Challan","",IF(W72&lt;&gt;"","◄ Set Row Type","")))</f>
      </c>
      <c r="Y72" s="23">
        <f>IF($B72="Entry",IF(LEN(W72)&lt;4,"",IF(UPPER(MID(W72,4,1))="P","Individual",IF(UPPER(MID(W72,4,1))="H","HUF",IF(UPPER(MID(W72,4,1))="C","Company",IF(UPPER(MID(W72,4,1))="F","Firm",IF(UPPER(MID(W72,4,1))="L","LLP",IF(UPPER(MID(W72,4,1))="T","Trust",IF(UPPER(MID(W72,4,1))="A","AOP","")))))))),IF($B72="Challan","",IF(W72&lt;&gt;"","◄ Set Row Type","")))</f>
      </c>
      <c r="Z72" s="28"/>
      <c r="AA72" s="29">
        <f>IF($B72&lt;&gt;"Entry","",IF(Z72="","",IF(X72="Y",SUMPRODUCT(('Rate Lookup'!$A$1:$A$37=Z72)*'Rate Lookup'!$D$1:$D$37),IF(OR(Y72="Individual",Y72="HUF"),SUMPRODUCT(('Rate Lookup'!$A$1:$A$37=Z72)*'Rate Lookup'!$B$1:$B$37),SUMPRODUCT(('Rate Lookup'!$A$1:$A$37=Z72)*'Rate Lookup'!$C$1:$C$37)))))</f>
      </c>
      <c r="AB72" s="30"/>
      <c r="AC72" s="31"/>
      <c r="AD72" s="27">
        <f>IF($B72&lt;&gt;"Entry","",ROUND(AC72*AA72/100,0))</f>
      </c>
      <c r="AE72" s="27">
        <f>IF($B72&lt;&gt;"Entry","",0)</f>
      </c>
      <c r="AF72" s="27">
        <f>IF($B72&lt;&gt;"Entry","",0)</f>
      </c>
      <c r="AG72" s="27">
        <f>IF($B72&lt;&gt;"Entry","",IF(OR(AD72=0,AB72="",AQ72="",AQ72&lt;=0),0,IF(AQ72&lt;=DATE(YEAR(AB72),MONTH(AB72)+1,7),0,ROUND(AD72*0.015*((YEAR(AQ72)-YEAR(AB72))*12+(MONTH(AQ72)-MONTH(AB72))+1),0))))</f>
      </c>
      <c r="AH72" s="27">
        <f>IF($B72&lt;&gt;"Entry","",0)</f>
      </c>
      <c r="AI72" s="28"/>
      <c r="AJ72" s="28"/>
      <c r="AK72" s="32"/>
      <c r="AL72" s="28"/>
      <c r="AM72" s="28"/>
      <c r="AN72" s="27">
        <f>IF($B72&lt;&gt;"Challan","",SUMIF('Q1 Data'!$D$4:$D$207,D72,'Q1 Data'!$AD$4:$AD$207)+SUMIF('Q1 Data'!$D$4:$D$207,D72,'Q1 Data'!$AG$4:$AG$207)+SUMIF('Q1 Data'!$D$4:$D$207,D72,'Q1 Data'!$AE$4:$AE$207)+SUMIF('Q2 Data'!$D$4:$D$207,D72,'Q2 Data'!$AD$4:$AD$207)+SUMIF('Q2 Data'!$D$4:$D$207,D72,'Q2 Data'!$AG$4:$AG$207)+SUMIF('Q2 Data'!$D$4:$D$207,D72,'Q2 Data'!$AE$4:$AE$207)+SUMIF('Q3 Data'!$D$4:$D$207,D72,'Q3 Data'!$AD$4:$AD$207)+SUMIF('Q3 Data'!$D$4:$D$207,D72,'Q3 Data'!$AG$4:$AG$207)+SUMIF('Q3 Data'!$D$4:$D$207,D72,'Q3 Data'!$AE$4:$AE$207)+SUMIF('Q4 Data'!$D$4:$D$207,D72,'Q4 Data'!$AD$4:$AD$207)+SUMIF('Q4 Data'!$D$4:$D$207,D72,'Q4 Data'!$AG$4:$AG$207)+SUMIF('Q4 Data'!$D$4:$D$207,D72,'Q4 Data'!$AE$4:$AE$207))</f>
      </c>
      <c r="AO72" s="27">
        <f>IF($B72&lt;&gt;"Challan","",P72-N72)</f>
      </c>
      <c r="AP72" s="27">
        <f>IF($B72&lt;&gt;"Challan","",MAX(0,AO72-AN72))</f>
      </c>
      <c r="AQ72" s="33">
        <f>IF($B72&lt;&gt;"Entry","",SUMPRODUCT(('Q1 Data'!$D$4:$D$207=D72)*('Q1 Data'!$B$4:$B$207="Challan")*'Q1 Data'!$F$4:$F$207)+SUMPRODUCT(('Q2 Data'!$D$4:$D$207=D72)*('Q2 Data'!$B$4:$B$207="Challan")*'Q2 Data'!$F$4:$F$207)+SUMPRODUCT(('Q3 Data'!$D$4:$D$207=D72)*('Q3 Data'!$B$4:$B$207="Challan")*'Q3 Data'!$F$4:$F$207)+SUMPRODUCT(('Q4 Data'!$D$4:$D$207=D72)*('Q4 Data'!$B$4:$B$207="Challan")*'Q4 Data'!$F$4:$F$207))</f>
      </c>
      <c r="AR72" s="34">
        <f>IF(OR($B72&lt;&gt;"Entry",Z72=""),FALSE,AND((SUMPRODUCT(('Q1 Data'!$D$4:$D$207=D72)*('Q1 Data'!$B$4:$B$207="Challan")*('Q1 Data'!$H$4:$H$207&lt;&gt;""))+SUMPRODUCT(('Q2 Data'!$D$4:$D$207=D72)*('Q2 Data'!$B$4:$B$207="Challan")*('Q2 Data'!$H$4:$H$207&lt;&gt;""))+SUMPRODUCT(('Q3 Data'!$D$4:$D$207=D72)*('Q3 Data'!$B$4:$B$207="Challan")*('Q3 Data'!$H$4:$H$207&lt;&gt;""))+SUMPRODUCT(('Q4 Data'!$D$4:$D$207=D72)*('Q4 Data'!$B$4:$B$207="Challan")*('Q4 Data'!$H$4:$H$207&lt;&gt;"")))&gt;0,(SUMPRODUCT(('Q1 Data'!$D$4:$D$207=D72)*('Q1 Data'!$B$4:$B$207="Challan")*('Q1 Data'!$H$4:$H$207=Z72))+SUMPRODUCT(('Q2 Data'!$D$4:$D$207=D72)*('Q2 Data'!$B$4:$B$207="Challan")*('Q2 Data'!$H$4:$H$207=Z72))+SUMPRODUCT(('Q3 Data'!$D$4:$D$207=D72)*('Q3 Data'!$B$4:$B$207="Challan")*('Q3 Data'!$H$4:$H$207=Z72))+SUMPRODUCT(('Q4 Data'!$D$4:$D$207=D72)*('Q4 Data'!$B$4:$B$207="Challan")*('Q4 Data'!$H$4:$H$207=Z72)))=0))</f>
      </c>
    </row>
    <row r="73" spans="1:44" x14ac:dyDescent="0.25">
      <c r="A73" s="20">
        <f>IF($B73="Entry",COUNTIF($B$4:$B73,"Entry"),"")</f>
      </c>
      <c r="B73" s="21"/>
      <c r="C73" s="22"/>
      <c r="D73" s="22"/>
      <c r="E73" s="23">
        <f>IF($B73&lt;&gt;"Challan","",IF(ROUND(AN73-AO73,2)&gt;0,"Over-applied",IF(ROUND(AN73-AO73,2)=0,"Fully Utilised","Unconsumed")))</f>
      </c>
      <c r="F73" s="24"/>
      <c r="G73" s="25"/>
      <c r="H73" s="25"/>
      <c r="I73" s="26"/>
      <c r="J73" s="26"/>
      <c r="K73" s="26"/>
      <c r="L73" s="26"/>
      <c r="M73" s="26"/>
      <c r="N73" s="26"/>
      <c r="O73" s="26"/>
      <c r="P73" s="27">
        <f>IF($B73&lt;&gt;"Challan","",I73+J73+K73+L73+M73+N73)</f>
      </c>
      <c r="Q73" s="25"/>
      <c r="R73" s="25"/>
      <c r="S73" s="25"/>
      <c r="T73" s="25"/>
      <c r="U73" s="25"/>
      <c r="V73" s="28"/>
      <c r="W73" s="28"/>
      <c r="X73" s="23">
        <f>IF($B73="Entry",IF(AND(LEN(TRIM(UPPER(W73)))=10,CODE(MID(TRIM(UPPER(W73)),1,1))&gt;=65,CODE(MID(TRIM(UPPER(W73)),1,1))&lt;=90,CODE(MID(TRIM(UPPER(W73)),2,1))&gt;=65,CODE(MID(TRIM(UPPER(W73)),2,1))&lt;=90,CODE(MID(TRIM(UPPER(W73)),3,1))&gt;=65,CODE(MID(TRIM(UPPER(W73)),3,1))&lt;=90,CODE(MID(TRIM(UPPER(W73)),4,1))&gt;=65,CODE(MID(TRIM(UPPER(W73)),4,1))&lt;=90,CODE(MID(TRIM(UPPER(W73)),5,1))&gt;=65,CODE(MID(TRIM(UPPER(W73)),5,1))&lt;=90,CODE(MID(TRIM(UPPER(W73)),10,1))&gt;=65,CODE(MID(TRIM(UPPER(W73)),10,1))&lt;=90,CODE(MID(TRIM(UPPER(W73)),6,1))&gt;=48,CODE(MID(TRIM(UPPER(W73)),6,1))&lt;=57,CODE(MID(TRIM(UPPER(W73)),7,1))&gt;=48,CODE(MID(TRIM(UPPER(W73)),7,1))&lt;=57,CODE(MID(TRIM(UPPER(W73)),8,1))&gt;=48,CODE(MID(TRIM(UPPER(W73)),8,1))&lt;=57,CODE(MID(TRIM(UPPER(W73)),9,1))&gt;=48,CODE(MID(TRIM(UPPER(W73)),9,1))&lt;=57),"N","Y"),IF($B73="Challan","",IF(W73&lt;&gt;"","◄ Set Row Type","")))</f>
      </c>
      <c r="Y73" s="23">
        <f>IF($B73="Entry",IF(LEN(W73)&lt;4,"",IF(UPPER(MID(W73,4,1))="P","Individual",IF(UPPER(MID(W73,4,1))="H","HUF",IF(UPPER(MID(W73,4,1))="C","Company",IF(UPPER(MID(W73,4,1))="F","Firm",IF(UPPER(MID(W73,4,1))="L","LLP",IF(UPPER(MID(W73,4,1))="T","Trust",IF(UPPER(MID(W73,4,1))="A","AOP","")))))))),IF($B73="Challan","",IF(W73&lt;&gt;"","◄ Set Row Type","")))</f>
      </c>
      <c r="Z73" s="28"/>
      <c r="AA73" s="29">
        <f>IF($B73&lt;&gt;"Entry","",IF(Z73="","",IF(X73="Y",SUMPRODUCT(('Rate Lookup'!$A$1:$A$37=Z73)*'Rate Lookup'!$D$1:$D$37),IF(OR(Y73="Individual",Y73="HUF"),SUMPRODUCT(('Rate Lookup'!$A$1:$A$37=Z73)*'Rate Lookup'!$B$1:$B$37),SUMPRODUCT(('Rate Lookup'!$A$1:$A$37=Z73)*'Rate Lookup'!$C$1:$C$37)))))</f>
      </c>
      <c r="AB73" s="30"/>
      <c r="AC73" s="31"/>
      <c r="AD73" s="27">
        <f>IF($B73&lt;&gt;"Entry","",ROUND(AC73*AA73/100,0))</f>
      </c>
      <c r="AE73" s="27">
        <f>IF($B73&lt;&gt;"Entry","",0)</f>
      </c>
      <c r="AF73" s="27">
        <f>IF($B73&lt;&gt;"Entry","",0)</f>
      </c>
      <c r="AG73" s="27">
        <f>IF($B73&lt;&gt;"Entry","",IF(OR(AD73=0,AB73="",AQ73="",AQ73&lt;=0),0,IF(AQ73&lt;=DATE(YEAR(AB73),MONTH(AB73)+1,7),0,ROUND(AD73*0.015*((YEAR(AQ73)-YEAR(AB73))*12+(MONTH(AQ73)-MONTH(AB73))+1),0))))</f>
      </c>
      <c r="AH73" s="27">
        <f>IF($B73&lt;&gt;"Entry","",0)</f>
      </c>
      <c r="AI73" s="28"/>
      <c r="AJ73" s="28"/>
      <c r="AK73" s="32"/>
      <c r="AL73" s="28"/>
      <c r="AM73" s="28"/>
      <c r="AN73" s="27">
        <f>IF($B73&lt;&gt;"Challan","",SUMIF('Q1 Data'!$D$4:$D$207,D73,'Q1 Data'!$AD$4:$AD$207)+SUMIF('Q1 Data'!$D$4:$D$207,D73,'Q1 Data'!$AG$4:$AG$207)+SUMIF('Q1 Data'!$D$4:$D$207,D73,'Q1 Data'!$AE$4:$AE$207)+SUMIF('Q2 Data'!$D$4:$D$207,D73,'Q2 Data'!$AD$4:$AD$207)+SUMIF('Q2 Data'!$D$4:$D$207,D73,'Q2 Data'!$AG$4:$AG$207)+SUMIF('Q2 Data'!$D$4:$D$207,D73,'Q2 Data'!$AE$4:$AE$207)+SUMIF('Q3 Data'!$D$4:$D$207,D73,'Q3 Data'!$AD$4:$AD$207)+SUMIF('Q3 Data'!$D$4:$D$207,D73,'Q3 Data'!$AG$4:$AG$207)+SUMIF('Q3 Data'!$D$4:$D$207,D73,'Q3 Data'!$AE$4:$AE$207)+SUMIF('Q4 Data'!$D$4:$D$207,D73,'Q4 Data'!$AD$4:$AD$207)+SUMIF('Q4 Data'!$D$4:$D$207,D73,'Q4 Data'!$AG$4:$AG$207)+SUMIF('Q4 Data'!$D$4:$D$207,D73,'Q4 Data'!$AE$4:$AE$207))</f>
      </c>
      <c r="AO73" s="27">
        <f>IF($B73&lt;&gt;"Challan","",P73-N73)</f>
      </c>
      <c r="AP73" s="27">
        <f>IF($B73&lt;&gt;"Challan","",MAX(0,AO73-AN73))</f>
      </c>
      <c r="AQ73" s="33">
        <f>IF($B73&lt;&gt;"Entry","",SUMPRODUCT(('Q1 Data'!$D$4:$D$207=D73)*('Q1 Data'!$B$4:$B$207="Challan")*'Q1 Data'!$F$4:$F$207)+SUMPRODUCT(('Q2 Data'!$D$4:$D$207=D73)*('Q2 Data'!$B$4:$B$207="Challan")*'Q2 Data'!$F$4:$F$207)+SUMPRODUCT(('Q3 Data'!$D$4:$D$207=D73)*('Q3 Data'!$B$4:$B$207="Challan")*'Q3 Data'!$F$4:$F$207)+SUMPRODUCT(('Q4 Data'!$D$4:$D$207=D73)*('Q4 Data'!$B$4:$B$207="Challan")*'Q4 Data'!$F$4:$F$207))</f>
      </c>
      <c r="AR73" s="34">
        <f>IF(OR($B73&lt;&gt;"Entry",Z73=""),FALSE,AND((SUMPRODUCT(('Q1 Data'!$D$4:$D$207=D73)*('Q1 Data'!$B$4:$B$207="Challan")*('Q1 Data'!$H$4:$H$207&lt;&gt;""))+SUMPRODUCT(('Q2 Data'!$D$4:$D$207=D73)*('Q2 Data'!$B$4:$B$207="Challan")*('Q2 Data'!$H$4:$H$207&lt;&gt;""))+SUMPRODUCT(('Q3 Data'!$D$4:$D$207=D73)*('Q3 Data'!$B$4:$B$207="Challan")*('Q3 Data'!$H$4:$H$207&lt;&gt;""))+SUMPRODUCT(('Q4 Data'!$D$4:$D$207=D73)*('Q4 Data'!$B$4:$B$207="Challan")*('Q4 Data'!$H$4:$H$207&lt;&gt;"")))&gt;0,(SUMPRODUCT(('Q1 Data'!$D$4:$D$207=D73)*('Q1 Data'!$B$4:$B$207="Challan")*('Q1 Data'!$H$4:$H$207=Z73))+SUMPRODUCT(('Q2 Data'!$D$4:$D$207=D73)*('Q2 Data'!$B$4:$B$207="Challan")*('Q2 Data'!$H$4:$H$207=Z73))+SUMPRODUCT(('Q3 Data'!$D$4:$D$207=D73)*('Q3 Data'!$B$4:$B$207="Challan")*('Q3 Data'!$H$4:$H$207=Z73))+SUMPRODUCT(('Q4 Data'!$D$4:$D$207=D73)*('Q4 Data'!$B$4:$B$207="Challan")*('Q4 Data'!$H$4:$H$207=Z73)))=0))</f>
      </c>
    </row>
    <row r="74" spans="1:44" x14ac:dyDescent="0.25">
      <c r="A74" s="20">
        <f>IF($B74="Entry",COUNTIF($B$4:$B74,"Entry"),"")</f>
      </c>
      <c r="B74" s="21"/>
      <c r="C74" s="22"/>
      <c r="D74" s="22"/>
      <c r="E74" s="23">
        <f>IF($B74&lt;&gt;"Challan","",IF(ROUND(AN74-AO74,2)&gt;0,"Over-applied",IF(ROUND(AN74-AO74,2)=0,"Fully Utilised","Unconsumed")))</f>
      </c>
      <c r="F74" s="24"/>
      <c r="G74" s="25"/>
      <c r="H74" s="25"/>
      <c r="I74" s="26"/>
      <c r="J74" s="26"/>
      <c r="K74" s="26"/>
      <c r="L74" s="26"/>
      <c r="M74" s="26"/>
      <c r="N74" s="26"/>
      <c r="O74" s="26"/>
      <c r="P74" s="27">
        <f>IF($B74&lt;&gt;"Challan","",I74+J74+K74+L74+M74+N74)</f>
      </c>
      <c r="Q74" s="25"/>
      <c r="R74" s="25"/>
      <c r="S74" s="25"/>
      <c r="T74" s="25"/>
      <c r="U74" s="25"/>
      <c r="V74" s="28"/>
      <c r="W74" s="28"/>
      <c r="X74" s="23">
        <f>IF($B74="Entry",IF(AND(LEN(TRIM(UPPER(W74)))=10,CODE(MID(TRIM(UPPER(W74)),1,1))&gt;=65,CODE(MID(TRIM(UPPER(W74)),1,1))&lt;=90,CODE(MID(TRIM(UPPER(W74)),2,1))&gt;=65,CODE(MID(TRIM(UPPER(W74)),2,1))&lt;=90,CODE(MID(TRIM(UPPER(W74)),3,1))&gt;=65,CODE(MID(TRIM(UPPER(W74)),3,1))&lt;=90,CODE(MID(TRIM(UPPER(W74)),4,1))&gt;=65,CODE(MID(TRIM(UPPER(W74)),4,1))&lt;=90,CODE(MID(TRIM(UPPER(W74)),5,1))&gt;=65,CODE(MID(TRIM(UPPER(W74)),5,1))&lt;=90,CODE(MID(TRIM(UPPER(W74)),10,1))&gt;=65,CODE(MID(TRIM(UPPER(W74)),10,1))&lt;=90,CODE(MID(TRIM(UPPER(W74)),6,1))&gt;=48,CODE(MID(TRIM(UPPER(W74)),6,1))&lt;=57,CODE(MID(TRIM(UPPER(W74)),7,1))&gt;=48,CODE(MID(TRIM(UPPER(W74)),7,1))&lt;=57,CODE(MID(TRIM(UPPER(W74)),8,1))&gt;=48,CODE(MID(TRIM(UPPER(W74)),8,1))&lt;=57,CODE(MID(TRIM(UPPER(W74)),9,1))&gt;=48,CODE(MID(TRIM(UPPER(W74)),9,1))&lt;=57),"N","Y"),IF($B74="Challan","",IF(W74&lt;&gt;"","◄ Set Row Type","")))</f>
      </c>
      <c r="Y74" s="23">
        <f>IF($B74="Entry",IF(LEN(W74)&lt;4,"",IF(UPPER(MID(W74,4,1))="P","Individual",IF(UPPER(MID(W74,4,1))="H","HUF",IF(UPPER(MID(W74,4,1))="C","Company",IF(UPPER(MID(W74,4,1))="F","Firm",IF(UPPER(MID(W74,4,1))="L","LLP",IF(UPPER(MID(W74,4,1))="T","Trust",IF(UPPER(MID(W74,4,1))="A","AOP","")))))))),IF($B74="Challan","",IF(W74&lt;&gt;"","◄ Set Row Type","")))</f>
      </c>
      <c r="Z74" s="28"/>
      <c r="AA74" s="29">
        <f>IF($B74&lt;&gt;"Entry","",IF(Z74="","",IF(X74="Y",SUMPRODUCT(('Rate Lookup'!$A$1:$A$37=Z74)*'Rate Lookup'!$D$1:$D$37),IF(OR(Y74="Individual",Y74="HUF"),SUMPRODUCT(('Rate Lookup'!$A$1:$A$37=Z74)*'Rate Lookup'!$B$1:$B$37),SUMPRODUCT(('Rate Lookup'!$A$1:$A$37=Z74)*'Rate Lookup'!$C$1:$C$37)))))</f>
      </c>
      <c r="AB74" s="30"/>
      <c r="AC74" s="31"/>
      <c r="AD74" s="27">
        <f>IF($B74&lt;&gt;"Entry","",ROUND(AC74*AA74/100,0))</f>
      </c>
      <c r="AE74" s="27">
        <f>IF($B74&lt;&gt;"Entry","",0)</f>
      </c>
      <c r="AF74" s="27">
        <f>IF($B74&lt;&gt;"Entry","",0)</f>
      </c>
      <c r="AG74" s="27">
        <f>IF($B74&lt;&gt;"Entry","",IF(OR(AD74=0,AB74="",AQ74="",AQ74&lt;=0),0,IF(AQ74&lt;=DATE(YEAR(AB74),MONTH(AB74)+1,7),0,ROUND(AD74*0.015*((YEAR(AQ74)-YEAR(AB74))*12+(MONTH(AQ74)-MONTH(AB74))+1),0))))</f>
      </c>
      <c r="AH74" s="27">
        <f>IF($B74&lt;&gt;"Entry","",0)</f>
      </c>
      <c r="AI74" s="28"/>
      <c r="AJ74" s="28"/>
      <c r="AK74" s="32"/>
      <c r="AL74" s="28"/>
      <c r="AM74" s="28"/>
      <c r="AN74" s="27">
        <f>IF($B74&lt;&gt;"Challan","",SUMIF('Q1 Data'!$D$4:$D$207,D74,'Q1 Data'!$AD$4:$AD$207)+SUMIF('Q1 Data'!$D$4:$D$207,D74,'Q1 Data'!$AG$4:$AG$207)+SUMIF('Q1 Data'!$D$4:$D$207,D74,'Q1 Data'!$AE$4:$AE$207)+SUMIF('Q2 Data'!$D$4:$D$207,D74,'Q2 Data'!$AD$4:$AD$207)+SUMIF('Q2 Data'!$D$4:$D$207,D74,'Q2 Data'!$AG$4:$AG$207)+SUMIF('Q2 Data'!$D$4:$D$207,D74,'Q2 Data'!$AE$4:$AE$207)+SUMIF('Q3 Data'!$D$4:$D$207,D74,'Q3 Data'!$AD$4:$AD$207)+SUMIF('Q3 Data'!$D$4:$D$207,D74,'Q3 Data'!$AG$4:$AG$207)+SUMIF('Q3 Data'!$D$4:$D$207,D74,'Q3 Data'!$AE$4:$AE$207)+SUMIF('Q4 Data'!$D$4:$D$207,D74,'Q4 Data'!$AD$4:$AD$207)+SUMIF('Q4 Data'!$D$4:$D$207,D74,'Q4 Data'!$AG$4:$AG$207)+SUMIF('Q4 Data'!$D$4:$D$207,D74,'Q4 Data'!$AE$4:$AE$207))</f>
      </c>
      <c r="AO74" s="27">
        <f>IF($B74&lt;&gt;"Challan","",P74-N74)</f>
      </c>
      <c r="AP74" s="27">
        <f>IF($B74&lt;&gt;"Challan","",MAX(0,AO74-AN74))</f>
      </c>
      <c r="AQ74" s="33">
        <f>IF($B74&lt;&gt;"Entry","",SUMPRODUCT(('Q1 Data'!$D$4:$D$207=D74)*('Q1 Data'!$B$4:$B$207="Challan")*'Q1 Data'!$F$4:$F$207)+SUMPRODUCT(('Q2 Data'!$D$4:$D$207=D74)*('Q2 Data'!$B$4:$B$207="Challan")*'Q2 Data'!$F$4:$F$207)+SUMPRODUCT(('Q3 Data'!$D$4:$D$207=D74)*('Q3 Data'!$B$4:$B$207="Challan")*'Q3 Data'!$F$4:$F$207)+SUMPRODUCT(('Q4 Data'!$D$4:$D$207=D74)*('Q4 Data'!$B$4:$B$207="Challan")*'Q4 Data'!$F$4:$F$207))</f>
      </c>
      <c r="AR74" s="34">
        <f>IF(OR($B74&lt;&gt;"Entry",Z74=""),FALSE,AND((SUMPRODUCT(('Q1 Data'!$D$4:$D$207=D74)*('Q1 Data'!$B$4:$B$207="Challan")*('Q1 Data'!$H$4:$H$207&lt;&gt;""))+SUMPRODUCT(('Q2 Data'!$D$4:$D$207=D74)*('Q2 Data'!$B$4:$B$207="Challan")*('Q2 Data'!$H$4:$H$207&lt;&gt;""))+SUMPRODUCT(('Q3 Data'!$D$4:$D$207=D74)*('Q3 Data'!$B$4:$B$207="Challan")*('Q3 Data'!$H$4:$H$207&lt;&gt;""))+SUMPRODUCT(('Q4 Data'!$D$4:$D$207=D74)*('Q4 Data'!$B$4:$B$207="Challan")*('Q4 Data'!$H$4:$H$207&lt;&gt;"")))&gt;0,(SUMPRODUCT(('Q1 Data'!$D$4:$D$207=D74)*('Q1 Data'!$B$4:$B$207="Challan")*('Q1 Data'!$H$4:$H$207=Z74))+SUMPRODUCT(('Q2 Data'!$D$4:$D$207=D74)*('Q2 Data'!$B$4:$B$207="Challan")*('Q2 Data'!$H$4:$H$207=Z74))+SUMPRODUCT(('Q3 Data'!$D$4:$D$207=D74)*('Q3 Data'!$B$4:$B$207="Challan")*('Q3 Data'!$H$4:$H$207=Z74))+SUMPRODUCT(('Q4 Data'!$D$4:$D$207=D74)*('Q4 Data'!$B$4:$B$207="Challan")*('Q4 Data'!$H$4:$H$207=Z74)))=0))</f>
      </c>
    </row>
    <row r="75" spans="1:44" x14ac:dyDescent="0.25">
      <c r="A75" s="20">
        <f>IF($B75="Entry",COUNTIF($B$4:$B75,"Entry"),"")</f>
      </c>
      <c r="B75" s="21"/>
      <c r="C75" s="22"/>
      <c r="D75" s="22"/>
      <c r="E75" s="23">
        <f>IF($B75&lt;&gt;"Challan","",IF(ROUND(AN75-AO75,2)&gt;0,"Over-applied",IF(ROUND(AN75-AO75,2)=0,"Fully Utilised","Unconsumed")))</f>
      </c>
      <c r="F75" s="24"/>
      <c r="G75" s="25"/>
      <c r="H75" s="25"/>
      <c r="I75" s="26"/>
      <c r="J75" s="26"/>
      <c r="K75" s="26"/>
      <c r="L75" s="26"/>
      <c r="M75" s="26"/>
      <c r="N75" s="26"/>
      <c r="O75" s="26"/>
      <c r="P75" s="27">
        <f>IF($B75&lt;&gt;"Challan","",I75+J75+K75+L75+M75+N75)</f>
      </c>
      <c r="Q75" s="25"/>
      <c r="R75" s="25"/>
      <c r="S75" s="25"/>
      <c r="T75" s="25"/>
      <c r="U75" s="25"/>
      <c r="V75" s="28"/>
      <c r="W75" s="28"/>
      <c r="X75" s="23">
        <f>IF($B75="Entry",IF(AND(LEN(TRIM(UPPER(W75)))=10,CODE(MID(TRIM(UPPER(W75)),1,1))&gt;=65,CODE(MID(TRIM(UPPER(W75)),1,1))&lt;=90,CODE(MID(TRIM(UPPER(W75)),2,1))&gt;=65,CODE(MID(TRIM(UPPER(W75)),2,1))&lt;=90,CODE(MID(TRIM(UPPER(W75)),3,1))&gt;=65,CODE(MID(TRIM(UPPER(W75)),3,1))&lt;=90,CODE(MID(TRIM(UPPER(W75)),4,1))&gt;=65,CODE(MID(TRIM(UPPER(W75)),4,1))&lt;=90,CODE(MID(TRIM(UPPER(W75)),5,1))&gt;=65,CODE(MID(TRIM(UPPER(W75)),5,1))&lt;=90,CODE(MID(TRIM(UPPER(W75)),10,1))&gt;=65,CODE(MID(TRIM(UPPER(W75)),10,1))&lt;=90,CODE(MID(TRIM(UPPER(W75)),6,1))&gt;=48,CODE(MID(TRIM(UPPER(W75)),6,1))&lt;=57,CODE(MID(TRIM(UPPER(W75)),7,1))&gt;=48,CODE(MID(TRIM(UPPER(W75)),7,1))&lt;=57,CODE(MID(TRIM(UPPER(W75)),8,1))&gt;=48,CODE(MID(TRIM(UPPER(W75)),8,1))&lt;=57,CODE(MID(TRIM(UPPER(W75)),9,1))&gt;=48,CODE(MID(TRIM(UPPER(W75)),9,1))&lt;=57),"N","Y"),IF($B75="Challan","",IF(W75&lt;&gt;"","◄ Set Row Type","")))</f>
      </c>
      <c r="Y75" s="23">
        <f>IF($B75="Entry",IF(LEN(W75)&lt;4,"",IF(UPPER(MID(W75,4,1))="P","Individual",IF(UPPER(MID(W75,4,1))="H","HUF",IF(UPPER(MID(W75,4,1))="C","Company",IF(UPPER(MID(W75,4,1))="F","Firm",IF(UPPER(MID(W75,4,1))="L","LLP",IF(UPPER(MID(W75,4,1))="T","Trust",IF(UPPER(MID(W75,4,1))="A","AOP","")))))))),IF($B75="Challan","",IF(W75&lt;&gt;"","◄ Set Row Type","")))</f>
      </c>
      <c r="Z75" s="28"/>
      <c r="AA75" s="29">
        <f>IF($B75&lt;&gt;"Entry","",IF(Z75="","",IF(X75="Y",SUMPRODUCT(('Rate Lookup'!$A$1:$A$37=Z75)*'Rate Lookup'!$D$1:$D$37),IF(OR(Y75="Individual",Y75="HUF"),SUMPRODUCT(('Rate Lookup'!$A$1:$A$37=Z75)*'Rate Lookup'!$B$1:$B$37),SUMPRODUCT(('Rate Lookup'!$A$1:$A$37=Z75)*'Rate Lookup'!$C$1:$C$37)))))</f>
      </c>
      <c r="AB75" s="30"/>
      <c r="AC75" s="31"/>
      <c r="AD75" s="27">
        <f>IF($B75&lt;&gt;"Entry","",ROUND(AC75*AA75/100,0))</f>
      </c>
      <c r="AE75" s="27">
        <f>IF($B75&lt;&gt;"Entry","",0)</f>
      </c>
      <c r="AF75" s="27">
        <f>IF($B75&lt;&gt;"Entry","",0)</f>
      </c>
      <c r="AG75" s="27">
        <f>IF($B75&lt;&gt;"Entry","",IF(OR(AD75=0,AB75="",AQ75="",AQ75&lt;=0),0,IF(AQ75&lt;=DATE(YEAR(AB75),MONTH(AB75)+1,7),0,ROUND(AD75*0.015*((YEAR(AQ75)-YEAR(AB75))*12+(MONTH(AQ75)-MONTH(AB75))+1),0))))</f>
      </c>
      <c r="AH75" s="27">
        <f>IF($B75&lt;&gt;"Entry","",0)</f>
      </c>
      <c r="AI75" s="28"/>
      <c r="AJ75" s="28"/>
      <c r="AK75" s="32"/>
      <c r="AL75" s="28"/>
      <c r="AM75" s="28"/>
      <c r="AN75" s="27">
        <f>IF($B75&lt;&gt;"Challan","",SUMIF('Q1 Data'!$D$4:$D$207,D75,'Q1 Data'!$AD$4:$AD$207)+SUMIF('Q1 Data'!$D$4:$D$207,D75,'Q1 Data'!$AG$4:$AG$207)+SUMIF('Q1 Data'!$D$4:$D$207,D75,'Q1 Data'!$AE$4:$AE$207)+SUMIF('Q2 Data'!$D$4:$D$207,D75,'Q2 Data'!$AD$4:$AD$207)+SUMIF('Q2 Data'!$D$4:$D$207,D75,'Q2 Data'!$AG$4:$AG$207)+SUMIF('Q2 Data'!$D$4:$D$207,D75,'Q2 Data'!$AE$4:$AE$207)+SUMIF('Q3 Data'!$D$4:$D$207,D75,'Q3 Data'!$AD$4:$AD$207)+SUMIF('Q3 Data'!$D$4:$D$207,D75,'Q3 Data'!$AG$4:$AG$207)+SUMIF('Q3 Data'!$D$4:$D$207,D75,'Q3 Data'!$AE$4:$AE$207)+SUMIF('Q4 Data'!$D$4:$D$207,D75,'Q4 Data'!$AD$4:$AD$207)+SUMIF('Q4 Data'!$D$4:$D$207,D75,'Q4 Data'!$AG$4:$AG$207)+SUMIF('Q4 Data'!$D$4:$D$207,D75,'Q4 Data'!$AE$4:$AE$207))</f>
      </c>
      <c r="AO75" s="27">
        <f>IF($B75&lt;&gt;"Challan","",P75-N75)</f>
      </c>
      <c r="AP75" s="27">
        <f>IF($B75&lt;&gt;"Challan","",MAX(0,AO75-AN75))</f>
      </c>
      <c r="AQ75" s="33">
        <f>IF($B75&lt;&gt;"Entry","",SUMPRODUCT(('Q1 Data'!$D$4:$D$207=D75)*('Q1 Data'!$B$4:$B$207="Challan")*'Q1 Data'!$F$4:$F$207)+SUMPRODUCT(('Q2 Data'!$D$4:$D$207=D75)*('Q2 Data'!$B$4:$B$207="Challan")*'Q2 Data'!$F$4:$F$207)+SUMPRODUCT(('Q3 Data'!$D$4:$D$207=D75)*('Q3 Data'!$B$4:$B$207="Challan")*'Q3 Data'!$F$4:$F$207)+SUMPRODUCT(('Q4 Data'!$D$4:$D$207=D75)*('Q4 Data'!$B$4:$B$207="Challan")*'Q4 Data'!$F$4:$F$207))</f>
      </c>
      <c r="AR75" s="34">
        <f>IF(OR($B75&lt;&gt;"Entry",Z75=""),FALSE,AND((SUMPRODUCT(('Q1 Data'!$D$4:$D$207=D75)*('Q1 Data'!$B$4:$B$207="Challan")*('Q1 Data'!$H$4:$H$207&lt;&gt;""))+SUMPRODUCT(('Q2 Data'!$D$4:$D$207=D75)*('Q2 Data'!$B$4:$B$207="Challan")*('Q2 Data'!$H$4:$H$207&lt;&gt;""))+SUMPRODUCT(('Q3 Data'!$D$4:$D$207=D75)*('Q3 Data'!$B$4:$B$207="Challan")*('Q3 Data'!$H$4:$H$207&lt;&gt;""))+SUMPRODUCT(('Q4 Data'!$D$4:$D$207=D75)*('Q4 Data'!$B$4:$B$207="Challan")*('Q4 Data'!$H$4:$H$207&lt;&gt;"")))&gt;0,(SUMPRODUCT(('Q1 Data'!$D$4:$D$207=D75)*('Q1 Data'!$B$4:$B$207="Challan")*('Q1 Data'!$H$4:$H$207=Z75))+SUMPRODUCT(('Q2 Data'!$D$4:$D$207=D75)*('Q2 Data'!$B$4:$B$207="Challan")*('Q2 Data'!$H$4:$H$207=Z75))+SUMPRODUCT(('Q3 Data'!$D$4:$D$207=D75)*('Q3 Data'!$B$4:$B$207="Challan")*('Q3 Data'!$H$4:$H$207=Z75))+SUMPRODUCT(('Q4 Data'!$D$4:$D$207=D75)*('Q4 Data'!$B$4:$B$207="Challan")*('Q4 Data'!$H$4:$H$207=Z75)))=0))</f>
      </c>
    </row>
    <row r="76" spans="1:44" x14ac:dyDescent="0.25">
      <c r="A76" s="20">
        <f>IF($B76="Entry",COUNTIF($B$4:$B76,"Entry"),"")</f>
      </c>
      <c r="B76" s="21"/>
      <c r="C76" s="22"/>
      <c r="D76" s="22"/>
      <c r="E76" s="23">
        <f>IF($B76&lt;&gt;"Challan","",IF(ROUND(AN76-AO76,2)&gt;0,"Over-applied",IF(ROUND(AN76-AO76,2)=0,"Fully Utilised","Unconsumed")))</f>
      </c>
      <c r="F76" s="24"/>
      <c r="G76" s="25"/>
      <c r="H76" s="25"/>
      <c r="I76" s="26"/>
      <c r="J76" s="26"/>
      <c r="K76" s="26"/>
      <c r="L76" s="26"/>
      <c r="M76" s="26"/>
      <c r="N76" s="26"/>
      <c r="O76" s="26"/>
      <c r="P76" s="27">
        <f>IF($B76&lt;&gt;"Challan","",I76+J76+K76+L76+M76+N76)</f>
      </c>
      <c r="Q76" s="25"/>
      <c r="R76" s="25"/>
      <c r="S76" s="25"/>
      <c r="T76" s="25"/>
      <c r="U76" s="25"/>
      <c r="V76" s="28"/>
      <c r="W76" s="28"/>
      <c r="X76" s="23">
        <f>IF($B76="Entry",IF(AND(LEN(TRIM(UPPER(W76)))=10,CODE(MID(TRIM(UPPER(W76)),1,1))&gt;=65,CODE(MID(TRIM(UPPER(W76)),1,1))&lt;=90,CODE(MID(TRIM(UPPER(W76)),2,1))&gt;=65,CODE(MID(TRIM(UPPER(W76)),2,1))&lt;=90,CODE(MID(TRIM(UPPER(W76)),3,1))&gt;=65,CODE(MID(TRIM(UPPER(W76)),3,1))&lt;=90,CODE(MID(TRIM(UPPER(W76)),4,1))&gt;=65,CODE(MID(TRIM(UPPER(W76)),4,1))&lt;=90,CODE(MID(TRIM(UPPER(W76)),5,1))&gt;=65,CODE(MID(TRIM(UPPER(W76)),5,1))&lt;=90,CODE(MID(TRIM(UPPER(W76)),10,1))&gt;=65,CODE(MID(TRIM(UPPER(W76)),10,1))&lt;=90,CODE(MID(TRIM(UPPER(W76)),6,1))&gt;=48,CODE(MID(TRIM(UPPER(W76)),6,1))&lt;=57,CODE(MID(TRIM(UPPER(W76)),7,1))&gt;=48,CODE(MID(TRIM(UPPER(W76)),7,1))&lt;=57,CODE(MID(TRIM(UPPER(W76)),8,1))&gt;=48,CODE(MID(TRIM(UPPER(W76)),8,1))&lt;=57,CODE(MID(TRIM(UPPER(W76)),9,1))&gt;=48,CODE(MID(TRIM(UPPER(W76)),9,1))&lt;=57),"N","Y"),IF($B76="Challan","",IF(W76&lt;&gt;"","◄ Set Row Type","")))</f>
      </c>
      <c r="Y76" s="23">
        <f>IF($B76="Entry",IF(LEN(W76)&lt;4,"",IF(UPPER(MID(W76,4,1))="P","Individual",IF(UPPER(MID(W76,4,1))="H","HUF",IF(UPPER(MID(W76,4,1))="C","Company",IF(UPPER(MID(W76,4,1))="F","Firm",IF(UPPER(MID(W76,4,1))="L","LLP",IF(UPPER(MID(W76,4,1))="T","Trust",IF(UPPER(MID(W76,4,1))="A","AOP","")))))))),IF($B76="Challan","",IF(W76&lt;&gt;"","◄ Set Row Type","")))</f>
      </c>
      <c r="Z76" s="28"/>
      <c r="AA76" s="29">
        <f>IF($B76&lt;&gt;"Entry","",IF(Z76="","",IF(X76="Y",SUMPRODUCT(('Rate Lookup'!$A$1:$A$37=Z76)*'Rate Lookup'!$D$1:$D$37),IF(OR(Y76="Individual",Y76="HUF"),SUMPRODUCT(('Rate Lookup'!$A$1:$A$37=Z76)*'Rate Lookup'!$B$1:$B$37),SUMPRODUCT(('Rate Lookup'!$A$1:$A$37=Z76)*'Rate Lookup'!$C$1:$C$37)))))</f>
      </c>
      <c r="AB76" s="30"/>
      <c r="AC76" s="31"/>
      <c r="AD76" s="27">
        <f>IF($B76&lt;&gt;"Entry","",ROUND(AC76*AA76/100,0))</f>
      </c>
      <c r="AE76" s="27">
        <f>IF($B76&lt;&gt;"Entry","",0)</f>
      </c>
      <c r="AF76" s="27">
        <f>IF($B76&lt;&gt;"Entry","",0)</f>
      </c>
      <c r="AG76" s="27">
        <f>IF($B76&lt;&gt;"Entry","",IF(OR(AD76=0,AB76="",AQ76="",AQ76&lt;=0),0,IF(AQ76&lt;=DATE(YEAR(AB76),MONTH(AB76)+1,7),0,ROUND(AD76*0.015*((YEAR(AQ76)-YEAR(AB76))*12+(MONTH(AQ76)-MONTH(AB76))+1),0))))</f>
      </c>
      <c r="AH76" s="27">
        <f>IF($B76&lt;&gt;"Entry","",0)</f>
      </c>
      <c r="AI76" s="28"/>
      <c r="AJ76" s="28"/>
      <c r="AK76" s="32"/>
      <c r="AL76" s="28"/>
      <c r="AM76" s="28"/>
      <c r="AN76" s="27">
        <f>IF($B76&lt;&gt;"Challan","",SUMIF('Q1 Data'!$D$4:$D$207,D76,'Q1 Data'!$AD$4:$AD$207)+SUMIF('Q1 Data'!$D$4:$D$207,D76,'Q1 Data'!$AG$4:$AG$207)+SUMIF('Q1 Data'!$D$4:$D$207,D76,'Q1 Data'!$AE$4:$AE$207)+SUMIF('Q2 Data'!$D$4:$D$207,D76,'Q2 Data'!$AD$4:$AD$207)+SUMIF('Q2 Data'!$D$4:$D$207,D76,'Q2 Data'!$AG$4:$AG$207)+SUMIF('Q2 Data'!$D$4:$D$207,D76,'Q2 Data'!$AE$4:$AE$207)+SUMIF('Q3 Data'!$D$4:$D$207,D76,'Q3 Data'!$AD$4:$AD$207)+SUMIF('Q3 Data'!$D$4:$D$207,D76,'Q3 Data'!$AG$4:$AG$207)+SUMIF('Q3 Data'!$D$4:$D$207,D76,'Q3 Data'!$AE$4:$AE$207)+SUMIF('Q4 Data'!$D$4:$D$207,D76,'Q4 Data'!$AD$4:$AD$207)+SUMIF('Q4 Data'!$D$4:$D$207,D76,'Q4 Data'!$AG$4:$AG$207)+SUMIF('Q4 Data'!$D$4:$D$207,D76,'Q4 Data'!$AE$4:$AE$207))</f>
      </c>
      <c r="AO76" s="27">
        <f>IF($B76&lt;&gt;"Challan","",P76-N76)</f>
      </c>
      <c r="AP76" s="27">
        <f>IF($B76&lt;&gt;"Challan","",MAX(0,AO76-AN76))</f>
      </c>
      <c r="AQ76" s="33">
        <f>IF($B76&lt;&gt;"Entry","",SUMPRODUCT(('Q1 Data'!$D$4:$D$207=D76)*('Q1 Data'!$B$4:$B$207="Challan")*'Q1 Data'!$F$4:$F$207)+SUMPRODUCT(('Q2 Data'!$D$4:$D$207=D76)*('Q2 Data'!$B$4:$B$207="Challan")*'Q2 Data'!$F$4:$F$207)+SUMPRODUCT(('Q3 Data'!$D$4:$D$207=D76)*('Q3 Data'!$B$4:$B$207="Challan")*'Q3 Data'!$F$4:$F$207)+SUMPRODUCT(('Q4 Data'!$D$4:$D$207=D76)*('Q4 Data'!$B$4:$B$207="Challan")*'Q4 Data'!$F$4:$F$207))</f>
      </c>
      <c r="AR76" s="34">
        <f>IF(OR($B76&lt;&gt;"Entry",Z76=""),FALSE,AND((SUMPRODUCT(('Q1 Data'!$D$4:$D$207=D76)*('Q1 Data'!$B$4:$B$207="Challan")*('Q1 Data'!$H$4:$H$207&lt;&gt;""))+SUMPRODUCT(('Q2 Data'!$D$4:$D$207=D76)*('Q2 Data'!$B$4:$B$207="Challan")*('Q2 Data'!$H$4:$H$207&lt;&gt;""))+SUMPRODUCT(('Q3 Data'!$D$4:$D$207=D76)*('Q3 Data'!$B$4:$B$207="Challan")*('Q3 Data'!$H$4:$H$207&lt;&gt;""))+SUMPRODUCT(('Q4 Data'!$D$4:$D$207=D76)*('Q4 Data'!$B$4:$B$207="Challan")*('Q4 Data'!$H$4:$H$207&lt;&gt;"")))&gt;0,(SUMPRODUCT(('Q1 Data'!$D$4:$D$207=D76)*('Q1 Data'!$B$4:$B$207="Challan")*('Q1 Data'!$H$4:$H$207=Z76))+SUMPRODUCT(('Q2 Data'!$D$4:$D$207=D76)*('Q2 Data'!$B$4:$B$207="Challan")*('Q2 Data'!$H$4:$H$207=Z76))+SUMPRODUCT(('Q3 Data'!$D$4:$D$207=D76)*('Q3 Data'!$B$4:$B$207="Challan")*('Q3 Data'!$H$4:$H$207=Z76))+SUMPRODUCT(('Q4 Data'!$D$4:$D$207=D76)*('Q4 Data'!$B$4:$B$207="Challan")*('Q4 Data'!$H$4:$H$207=Z76)))=0))</f>
      </c>
    </row>
    <row r="77" spans="1:44" x14ac:dyDescent="0.25">
      <c r="A77" s="20">
        <f>IF($B77="Entry",COUNTIF($B$4:$B77,"Entry"),"")</f>
      </c>
      <c r="B77" s="21"/>
      <c r="C77" s="22"/>
      <c r="D77" s="22"/>
      <c r="E77" s="23">
        <f>IF($B77&lt;&gt;"Challan","",IF(ROUND(AN77-AO77,2)&gt;0,"Over-applied",IF(ROUND(AN77-AO77,2)=0,"Fully Utilised","Unconsumed")))</f>
      </c>
      <c r="F77" s="24"/>
      <c r="G77" s="25"/>
      <c r="H77" s="25"/>
      <c r="I77" s="26"/>
      <c r="J77" s="26"/>
      <c r="K77" s="26"/>
      <c r="L77" s="26"/>
      <c r="M77" s="26"/>
      <c r="N77" s="26"/>
      <c r="O77" s="26"/>
      <c r="P77" s="27">
        <f>IF($B77&lt;&gt;"Challan","",I77+J77+K77+L77+M77+N77)</f>
      </c>
      <c r="Q77" s="25"/>
      <c r="R77" s="25"/>
      <c r="S77" s="25"/>
      <c r="T77" s="25"/>
      <c r="U77" s="25"/>
      <c r="V77" s="28"/>
      <c r="W77" s="28"/>
      <c r="X77" s="23">
        <f>IF($B77="Entry",IF(AND(LEN(TRIM(UPPER(W77)))=10,CODE(MID(TRIM(UPPER(W77)),1,1))&gt;=65,CODE(MID(TRIM(UPPER(W77)),1,1))&lt;=90,CODE(MID(TRIM(UPPER(W77)),2,1))&gt;=65,CODE(MID(TRIM(UPPER(W77)),2,1))&lt;=90,CODE(MID(TRIM(UPPER(W77)),3,1))&gt;=65,CODE(MID(TRIM(UPPER(W77)),3,1))&lt;=90,CODE(MID(TRIM(UPPER(W77)),4,1))&gt;=65,CODE(MID(TRIM(UPPER(W77)),4,1))&lt;=90,CODE(MID(TRIM(UPPER(W77)),5,1))&gt;=65,CODE(MID(TRIM(UPPER(W77)),5,1))&lt;=90,CODE(MID(TRIM(UPPER(W77)),10,1))&gt;=65,CODE(MID(TRIM(UPPER(W77)),10,1))&lt;=90,CODE(MID(TRIM(UPPER(W77)),6,1))&gt;=48,CODE(MID(TRIM(UPPER(W77)),6,1))&lt;=57,CODE(MID(TRIM(UPPER(W77)),7,1))&gt;=48,CODE(MID(TRIM(UPPER(W77)),7,1))&lt;=57,CODE(MID(TRIM(UPPER(W77)),8,1))&gt;=48,CODE(MID(TRIM(UPPER(W77)),8,1))&lt;=57,CODE(MID(TRIM(UPPER(W77)),9,1))&gt;=48,CODE(MID(TRIM(UPPER(W77)),9,1))&lt;=57),"N","Y"),IF($B77="Challan","",IF(W77&lt;&gt;"","◄ Set Row Type","")))</f>
      </c>
      <c r="Y77" s="23">
        <f>IF($B77="Entry",IF(LEN(W77)&lt;4,"",IF(UPPER(MID(W77,4,1))="P","Individual",IF(UPPER(MID(W77,4,1))="H","HUF",IF(UPPER(MID(W77,4,1))="C","Company",IF(UPPER(MID(W77,4,1))="F","Firm",IF(UPPER(MID(W77,4,1))="L","LLP",IF(UPPER(MID(W77,4,1))="T","Trust",IF(UPPER(MID(W77,4,1))="A","AOP","")))))))),IF($B77="Challan","",IF(W77&lt;&gt;"","◄ Set Row Type","")))</f>
      </c>
      <c r="Z77" s="28"/>
      <c r="AA77" s="29">
        <f>IF($B77&lt;&gt;"Entry","",IF(Z77="","",IF(X77="Y",SUMPRODUCT(('Rate Lookup'!$A$1:$A$37=Z77)*'Rate Lookup'!$D$1:$D$37),IF(OR(Y77="Individual",Y77="HUF"),SUMPRODUCT(('Rate Lookup'!$A$1:$A$37=Z77)*'Rate Lookup'!$B$1:$B$37),SUMPRODUCT(('Rate Lookup'!$A$1:$A$37=Z77)*'Rate Lookup'!$C$1:$C$37)))))</f>
      </c>
      <c r="AB77" s="30"/>
      <c r="AC77" s="31"/>
      <c r="AD77" s="27">
        <f>IF($B77&lt;&gt;"Entry","",ROUND(AC77*AA77/100,0))</f>
      </c>
      <c r="AE77" s="27">
        <f>IF($B77&lt;&gt;"Entry","",0)</f>
      </c>
      <c r="AF77" s="27">
        <f>IF($B77&lt;&gt;"Entry","",0)</f>
      </c>
      <c r="AG77" s="27">
        <f>IF($B77&lt;&gt;"Entry","",IF(OR(AD77=0,AB77="",AQ77="",AQ77&lt;=0),0,IF(AQ77&lt;=DATE(YEAR(AB77),MONTH(AB77)+1,7),0,ROUND(AD77*0.015*((YEAR(AQ77)-YEAR(AB77))*12+(MONTH(AQ77)-MONTH(AB77))+1),0))))</f>
      </c>
      <c r="AH77" s="27">
        <f>IF($B77&lt;&gt;"Entry","",0)</f>
      </c>
      <c r="AI77" s="28"/>
      <c r="AJ77" s="28"/>
      <c r="AK77" s="32"/>
      <c r="AL77" s="28"/>
      <c r="AM77" s="28"/>
      <c r="AN77" s="27">
        <f>IF($B77&lt;&gt;"Challan","",SUMIF('Q1 Data'!$D$4:$D$207,D77,'Q1 Data'!$AD$4:$AD$207)+SUMIF('Q1 Data'!$D$4:$D$207,D77,'Q1 Data'!$AG$4:$AG$207)+SUMIF('Q1 Data'!$D$4:$D$207,D77,'Q1 Data'!$AE$4:$AE$207)+SUMIF('Q2 Data'!$D$4:$D$207,D77,'Q2 Data'!$AD$4:$AD$207)+SUMIF('Q2 Data'!$D$4:$D$207,D77,'Q2 Data'!$AG$4:$AG$207)+SUMIF('Q2 Data'!$D$4:$D$207,D77,'Q2 Data'!$AE$4:$AE$207)+SUMIF('Q3 Data'!$D$4:$D$207,D77,'Q3 Data'!$AD$4:$AD$207)+SUMIF('Q3 Data'!$D$4:$D$207,D77,'Q3 Data'!$AG$4:$AG$207)+SUMIF('Q3 Data'!$D$4:$D$207,D77,'Q3 Data'!$AE$4:$AE$207)+SUMIF('Q4 Data'!$D$4:$D$207,D77,'Q4 Data'!$AD$4:$AD$207)+SUMIF('Q4 Data'!$D$4:$D$207,D77,'Q4 Data'!$AG$4:$AG$207)+SUMIF('Q4 Data'!$D$4:$D$207,D77,'Q4 Data'!$AE$4:$AE$207))</f>
      </c>
      <c r="AO77" s="27">
        <f>IF($B77&lt;&gt;"Challan","",P77-N77)</f>
      </c>
      <c r="AP77" s="27">
        <f>IF($B77&lt;&gt;"Challan","",MAX(0,AO77-AN77))</f>
      </c>
      <c r="AQ77" s="33">
        <f>IF($B77&lt;&gt;"Entry","",SUMPRODUCT(('Q1 Data'!$D$4:$D$207=D77)*('Q1 Data'!$B$4:$B$207="Challan")*'Q1 Data'!$F$4:$F$207)+SUMPRODUCT(('Q2 Data'!$D$4:$D$207=D77)*('Q2 Data'!$B$4:$B$207="Challan")*'Q2 Data'!$F$4:$F$207)+SUMPRODUCT(('Q3 Data'!$D$4:$D$207=D77)*('Q3 Data'!$B$4:$B$207="Challan")*'Q3 Data'!$F$4:$F$207)+SUMPRODUCT(('Q4 Data'!$D$4:$D$207=D77)*('Q4 Data'!$B$4:$B$207="Challan")*'Q4 Data'!$F$4:$F$207))</f>
      </c>
      <c r="AR77" s="34">
        <f>IF(OR($B77&lt;&gt;"Entry",Z77=""),FALSE,AND((SUMPRODUCT(('Q1 Data'!$D$4:$D$207=D77)*('Q1 Data'!$B$4:$B$207="Challan")*('Q1 Data'!$H$4:$H$207&lt;&gt;""))+SUMPRODUCT(('Q2 Data'!$D$4:$D$207=D77)*('Q2 Data'!$B$4:$B$207="Challan")*('Q2 Data'!$H$4:$H$207&lt;&gt;""))+SUMPRODUCT(('Q3 Data'!$D$4:$D$207=D77)*('Q3 Data'!$B$4:$B$207="Challan")*('Q3 Data'!$H$4:$H$207&lt;&gt;""))+SUMPRODUCT(('Q4 Data'!$D$4:$D$207=D77)*('Q4 Data'!$B$4:$B$207="Challan")*('Q4 Data'!$H$4:$H$207&lt;&gt;"")))&gt;0,(SUMPRODUCT(('Q1 Data'!$D$4:$D$207=D77)*('Q1 Data'!$B$4:$B$207="Challan")*('Q1 Data'!$H$4:$H$207=Z77))+SUMPRODUCT(('Q2 Data'!$D$4:$D$207=D77)*('Q2 Data'!$B$4:$B$207="Challan")*('Q2 Data'!$H$4:$H$207=Z77))+SUMPRODUCT(('Q3 Data'!$D$4:$D$207=D77)*('Q3 Data'!$B$4:$B$207="Challan")*('Q3 Data'!$H$4:$H$207=Z77))+SUMPRODUCT(('Q4 Data'!$D$4:$D$207=D77)*('Q4 Data'!$B$4:$B$207="Challan")*('Q4 Data'!$H$4:$H$207=Z77)))=0))</f>
      </c>
    </row>
    <row r="78" spans="1:44" x14ac:dyDescent="0.25">
      <c r="A78" s="20">
        <f>IF($B78="Entry",COUNTIF($B$4:$B78,"Entry"),"")</f>
      </c>
      <c r="B78" s="21"/>
      <c r="C78" s="22"/>
      <c r="D78" s="22"/>
      <c r="E78" s="23">
        <f>IF($B78&lt;&gt;"Challan","",IF(ROUND(AN78-AO78,2)&gt;0,"Over-applied",IF(ROUND(AN78-AO78,2)=0,"Fully Utilised","Unconsumed")))</f>
      </c>
      <c r="F78" s="24"/>
      <c r="G78" s="25"/>
      <c r="H78" s="25"/>
      <c r="I78" s="26"/>
      <c r="J78" s="26"/>
      <c r="K78" s="26"/>
      <c r="L78" s="26"/>
      <c r="M78" s="26"/>
      <c r="N78" s="26"/>
      <c r="O78" s="26"/>
      <c r="P78" s="27">
        <f>IF($B78&lt;&gt;"Challan","",I78+J78+K78+L78+M78+N78)</f>
      </c>
      <c r="Q78" s="25"/>
      <c r="R78" s="25"/>
      <c r="S78" s="25"/>
      <c r="T78" s="25"/>
      <c r="U78" s="25"/>
      <c r="V78" s="28"/>
      <c r="W78" s="28"/>
      <c r="X78" s="23">
        <f>IF($B78="Entry",IF(AND(LEN(TRIM(UPPER(W78)))=10,CODE(MID(TRIM(UPPER(W78)),1,1))&gt;=65,CODE(MID(TRIM(UPPER(W78)),1,1))&lt;=90,CODE(MID(TRIM(UPPER(W78)),2,1))&gt;=65,CODE(MID(TRIM(UPPER(W78)),2,1))&lt;=90,CODE(MID(TRIM(UPPER(W78)),3,1))&gt;=65,CODE(MID(TRIM(UPPER(W78)),3,1))&lt;=90,CODE(MID(TRIM(UPPER(W78)),4,1))&gt;=65,CODE(MID(TRIM(UPPER(W78)),4,1))&lt;=90,CODE(MID(TRIM(UPPER(W78)),5,1))&gt;=65,CODE(MID(TRIM(UPPER(W78)),5,1))&lt;=90,CODE(MID(TRIM(UPPER(W78)),10,1))&gt;=65,CODE(MID(TRIM(UPPER(W78)),10,1))&lt;=90,CODE(MID(TRIM(UPPER(W78)),6,1))&gt;=48,CODE(MID(TRIM(UPPER(W78)),6,1))&lt;=57,CODE(MID(TRIM(UPPER(W78)),7,1))&gt;=48,CODE(MID(TRIM(UPPER(W78)),7,1))&lt;=57,CODE(MID(TRIM(UPPER(W78)),8,1))&gt;=48,CODE(MID(TRIM(UPPER(W78)),8,1))&lt;=57,CODE(MID(TRIM(UPPER(W78)),9,1))&gt;=48,CODE(MID(TRIM(UPPER(W78)),9,1))&lt;=57),"N","Y"),IF($B78="Challan","",IF(W78&lt;&gt;"","◄ Set Row Type","")))</f>
      </c>
      <c r="Y78" s="23">
        <f>IF($B78="Entry",IF(LEN(W78)&lt;4,"",IF(UPPER(MID(W78,4,1))="P","Individual",IF(UPPER(MID(W78,4,1))="H","HUF",IF(UPPER(MID(W78,4,1))="C","Company",IF(UPPER(MID(W78,4,1))="F","Firm",IF(UPPER(MID(W78,4,1))="L","LLP",IF(UPPER(MID(W78,4,1))="T","Trust",IF(UPPER(MID(W78,4,1))="A","AOP","")))))))),IF($B78="Challan","",IF(W78&lt;&gt;"","◄ Set Row Type","")))</f>
      </c>
      <c r="Z78" s="28"/>
      <c r="AA78" s="29">
        <f>IF($B78&lt;&gt;"Entry","",IF(Z78="","",IF(X78="Y",SUMPRODUCT(('Rate Lookup'!$A$1:$A$37=Z78)*'Rate Lookup'!$D$1:$D$37),IF(OR(Y78="Individual",Y78="HUF"),SUMPRODUCT(('Rate Lookup'!$A$1:$A$37=Z78)*'Rate Lookup'!$B$1:$B$37),SUMPRODUCT(('Rate Lookup'!$A$1:$A$37=Z78)*'Rate Lookup'!$C$1:$C$37)))))</f>
      </c>
      <c r="AB78" s="30"/>
      <c r="AC78" s="31"/>
      <c r="AD78" s="27">
        <f>IF($B78&lt;&gt;"Entry","",ROUND(AC78*AA78/100,0))</f>
      </c>
      <c r="AE78" s="27">
        <f>IF($B78&lt;&gt;"Entry","",0)</f>
      </c>
      <c r="AF78" s="27">
        <f>IF($B78&lt;&gt;"Entry","",0)</f>
      </c>
      <c r="AG78" s="27">
        <f>IF($B78&lt;&gt;"Entry","",IF(OR(AD78=0,AB78="",AQ78="",AQ78&lt;=0),0,IF(AQ78&lt;=DATE(YEAR(AB78),MONTH(AB78)+1,7),0,ROUND(AD78*0.015*((YEAR(AQ78)-YEAR(AB78))*12+(MONTH(AQ78)-MONTH(AB78))+1),0))))</f>
      </c>
      <c r="AH78" s="27">
        <f>IF($B78&lt;&gt;"Entry","",0)</f>
      </c>
      <c r="AI78" s="28"/>
      <c r="AJ78" s="28"/>
      <c r="AK78" s="32"/>
      <c r="AL78" s="28"/>
      <c r="AM78" s="28"/>
      <c r="AN78" s="27">
        <f>IF($B78&lt;&gt;"Challan","",SUMIF('Q1 Data'!$D$4:$D$207,D78,'Q1 Data'!$AD$4:$AD$207)+SUMIF('Q1 Data'!$D$4:$D$207,D78,'Q1 Data'!$AG$4:$AG$207)+SUMIF('Q1 Data'!$D$4:$D$207,D78,'Q1 Data'!$AE$4:$AE$207)+SUMIF('Q2 Data'!$D$4:$D$207,D78,'Q2 Data'!$AD$4:$AD$207)+SUMIF('Q2 Data'!$D$4:$D$207,D78,'Q2 Data'!$AG$4:$AG$207)+SUMIF('Q2 Data'!$D$4:$D$207,D78,'Q2 Data'!$AE$4:$AE$207)+SUMIF('Q3 Data'!$D$4:$D$207,D78,'Q3 Data'!$AD$4:$AD$207)+SUMIF('Q3 Data'!$D$4:$D$207,D78,'Q3 Data'!$AG$4:$AG$207)+SUMIF('Q3 Data'!$D$4:$D$207,D78,'Q3 Data'!$AE$4:$AE$207)+SUMIF('Q4 Data'!$D$4:$D$207,D78,'Q4 Data'!$AD$4:$AD$207)+SUMIF('Q4 Data'!$D$4:$D$207,D78,'Q4 Data'!$AG$4:$AG$207)+SUMIF('Q4 Data'!$D$4:$D$207,D78,'Q4 Data'!$AE$4:$AE$207))</f>
      </c>
      <c r="AO78" s="27">
        <f>IF($B78&lt;&gt;"Challan","",P78-N78)</f>
      </c>
      <c r="AP78" s="27">
        <f>IF($B78&lt;&gt;"Challan","",MAX(0,AO78-AN78))</f>
      </c>
      <c r="AQ78" s="33">
        <f>IF($B78&lt;&gt;"Entry","",SUMPRODUCT(('Q1 Data'!$D$4:$D$207=D78)*('Q1 Data'!$B$4:$B$207="Challan")*'Q1 Data'!$F$4:$F$207)+SUMPRODUCT(('Q2 Data'!$D$4:$D$207=D78)*('Q2 Data'!$B$4:$B$207="Challan")*'Q2 Data'!$F$4:$F$207)+SUMPRODUCT(('Q3 Data'!$D$4:$D$207=D78)*('Q3 Data'!$B$4:$B$207="Challan")*'Q3 Data'!$F$4:$F$207)+SUMPRODUCT(('Q4 Data'!$D$4:$D$207=D78)*('Q4 Data'!$B$4:$B$207="Challan")*'Q4 Data'!$F$4:$F$207))</f>
      </c>
      <c r="AR78" s="34">
        <f>IF(OR($B78&lt;&gt;"Entry",Z78=""),FALSE,AND((SUMPRODUCT(('Q1 Data'!$D$4:$D$207=D78)*('Q1 Data'!$B$4:$B$207="Challan")*('Q1 Data'!$H$4:$H$207&lt;&gt;""))+SUMPRODUCT(('Q2 Data'!$D$4:$D$207=D78)*('Q2 Data'!$B$4:$B$207="Challan")*('Q2 Data'!$H$4:$H$207&lt;&gt;""))+SUMPRODUCT(('Q3 Data'!$D$4:$D$207=D78)*('Q3 Data'!$B$4:$B$207="Challan")*('Q3 Data'!$H$4:$H$207&lt;&gt;""))+SUMPRODUCT(('Q4 Data'!$D$4:$D$207=D78)*('Q4 Data'!$B$4:$B$207="Challan")*('Q4 Data'!$H$4:$H$207&lt;&gt;"")))&gt;0,(SUMPRODUCT(('Q1 Data'!$D$4:$D$207=D78)*('Q1 Data'!$B$4:$B$207="Challan")*('Q1 Data'!$H$4:$H$207=Z78))+SUMPRODUCT(('Q2 Data'!$D$4:$D$207=D78)*('Q2 Data'!$B$4:$B$207="Challan")*('Q2 Data'!$H$4:$H$207=Z78))+SUMPRODUCT(('Q3 Data'!$D$4:$D$207=D78)*('Q3 Data'!$B$4:$B$207="Challan")*('Q3 Data'!$H$4:$H$207=Z78))+SUMPRODUCT(('Q4 Data'!$D$4:$D$207=D78)*('Q4 Data'!$B$4:$B$207="Challan")*('Q4 Data'!$H$4:$H$207=Z78)))=0))</f>
      </c>
    </row>
    <row r="79" spans="1:44" x14ac:dyDescent="0.25">
      <c r="A79" s="20">
        <f>IF($B79="Entry",COUNTIF($B$4:$B79,"Entry"),"")</f>
      </c>
      <c r="B79" s="21"/>
      <c r="C79" s="22"/>
      <c r="D79" s="22"/>
      <c r="E79" s="23">
        <f>IF($B79&lt;&gt;"Challan","",IF(ROUND(AN79-AO79,2)&gt;0,"Over-applied",IF(ROUND(AN79-AO79,2)=0,"Fully Utilised","Unconsumed")))</f>
      </c>
      <c r="F79" s="24"/>
      <c r="G79" s="25"/>
      <c r="H79" s="25"/>
      <c r="I79" s="26"/>
      <c r="J79" s="26"/>
      <c r="K79" s="26"/>
      <c r="L79" s="26"/>
      <c r="M79" s="26"/>
      <c r="N79" s="26"/>
      <c r="O79" s="26"/>
      <c r="P79" s="27">
        <f>IF($B79&lt;&gt;"Challan","",I79+J79+K79+L79+M79+N79)</f>
      </c>
      <c r="Q79" s="25"/>
      <c r="R79" s="25"/>
      <c r="S79" s="25"/>
      <c r="T79" s="25"/>
      <c r="U79" s="25"/>
      <c r="V79" s="28"/>
      <c r="W79" s="28"/>
      <c r="X79" s="23">
        <f>IF($B79="Entry",IF(AND(LEN(TRIM(UPPER(W79)))=10,CODE(MID(TRIM(UPPER(W79)),1,1))&gt;=65,CODE(MID(TRIM(UPPER(W79)),1,1))&lt;=90,CODE(MID(TRIM(UPPER(W79)),2,1))&gt;=65,CODE(MID(TRIM(UPPER(W79)),2,1))&lt;=90,CODE(MID(TRIM(UPPER(W79)),3,1))&gt;=65,CODE(MID(TRIM(UPPER(W79)),3,1))&lt;=90,CODE(MID(TRIM(UPPER(W79)),4,1))&gt;=65,CODE(MID(TRIM(UPPER(W79)),4,1))&lt;=90,CODE(MID(TRIM(UPPER(W79)),5,1))&gt;=65,CODE(MID(TRIM(UPPER(W79)),5,1))&lt;=90,CODE(MID(TRIM(UPPER(W79)),10,1))&gt;=65,CODE(MID(TRIM(UPPER(W79)),10,1))&lt;=90,CODE(MID(TRIM(UPPER(W79)),6,1))&gt;=48,CODE(MID(TRIM(UPPER(W79)),6,1))&lt;=57,CODE(MID(TRIM(UPPER(W79)),7,1))&gt;=48,CODE(MID(TRIM(UPPER(W79)),7,1))&lt;=57,CODE(MID(TRIM(UPPER(W79)),8,1))&gt;=48,CODE(MID(TRIM(UPPER(W79)),8,1))&lt;=57,CODE(MID(TRIM(UPPER(W79)),9,1))&gt;=48,CODE(MID(TRIM(UPPER(W79)),9,1))&lt;=57),"N","Y"),IF($B79="Challan","",IF(W79&lt;&gt;"","◄ Set Row Type","")))</f>
      </c>
      <c r="Y79" s="23">
        <f>IF($B79="Entry",IF(LEN(W79)&lt;4,"",IF(UPPER(MID(W79,4,1))="P","Individual",IF(UPPER(MID(W79,4,1))="H","HUF",IF(UPPER(MID(W79,4,1))="C","Company",IF(UPPER(MID(W79,4,1))="F","Firm",IF(UPPER(MID(W79,4,1))="L","LLP",IF(UPPER(MID(W79,4,1))="T","Trust",IF(UPPER(MID(W79,4,1))="A","AOP","")))))))),IF($B79="Challan","",IF(W79&lt;&gt;"","◄ Set Row Type","")))</f>
      </c>
      <c r="Z79" s="28"/>
      <c r="AA79" s="29">
        <f>IF($B79&lt;&gt;"Entry","",IF(Z79="","",IF(X79="Y",SUMPRODUCT(('Rate Lookup'!$A$1:$A$37=Z79)*'Rate Lookup'!$D$1:$D$37),IF(OR(Y79="Individual",Y79="HUF"),SUMPRODUCT(('Rate Lookup'!$A$1:$A$37=Z79)*'Rate Lookup'!$B$1:$B$37),SUMPRODUCT(('Rate Lookup'!$A$1:$A$37=Z79)*'Rate Lookup'!$C$1:$C$37)))))</f>
      </c>
      <c r="AB79" s="30"/>
      <c r="AC79" s="31"/>
      <c r="AD79" s="27">
        <f>IF($B79&lt;&gt;"Entry","",ROUND(AC79*AA79/100,0))</f>
      </c>
      <c r="AE79" s="27">
        <f>IF($B79&lt;&gt;"Entry","",0)</f>
      </c>
      <c r="AF79" s="27">
        <f>IF($B79&lt;&gt;"Entry","",0)</f>
      </c>
      <c r="AG79" s="27">
        <f>IF($B79&lt;&gt;"Entry","",IF(OR(AD79=0,AB79="",AQ79="",AQ79&lt;=0),0,IF(AQ79&lt;=DATE(YEAR(AB79),MONTH(AB79)+1,7),0,ROUND(AD79*0.015*((YEAR(AQ79)-YEAR(AB79))*12+(MONTH(AQ79)-MONTH(AB79))+1),0))))</f>
      </c>
      <c r="AH79" s="27">
        <f>IF($B79&lt;&gt;"Entry","",0)</f>
      </c>
      <c r="AI79" s="28"/>
      <c r="AJ79" s="28"/>
      <c r="AK79" s="32"/>
      <c r="AL79" s="28"/>
      <c r="AM79" s="28"/>
      <c r="AN79" s="27">
        <f>IF($B79&lt;&gt;"Challan","",SUMIF('Q1 Data'!$D$4:$D$207,D79,'Q1 Data'!$AD$4:$AD$207)+SUMIF('Q1 Data'!$D$4:$D$207,D79,'Q1 Data'!$AG$4:$AG$207)+SUMIF('Q1 Data'!$D$4:$D$207,D79,'Q1 Data'!$AE$4:$AE$207)+SUMIF('Q2 Data'!$D$4:$D$207,D79,'Q2 Data'!$AD$4:$AD$207)+SUMIF('Q2 Data'!$D$4:$D$207,D79,'Q2 Data'!$AG$4:$AG$207)+SUMIF('Q2 Data'!$D$4:$D$207,D79,'Q2 Data'!$AE$4:$AE$207)+SUMIF('Q3 Data'!$D$4:$D$207,D79,'Q3 Data'!$AD$4:$AD$207)+SUMIF('Q3 Data'!$D$4:$D$207,D79,'Q3 Data'!$AG$4:$AG$207)+SUMIF('Q3 Data'!$D$4:$D$207,D79,'Q3 Data'!$AE$4:$AE$207)+SUMIF('Q4 Data'!$D$4:$D$207,D79,'Q4 Data'!$AD$4:$AD$207)+SUMIF('Q4 Data'!$D$4:$D$207,D79,'Q4 Data'!$AG$4:$AG$207)+SUMIF('Q4 Data'!$D$4:$D$207,D79,'Q4 Data'!$AE$4:$AE$207))</f>
      </c>
      <c r="AO79" s="27">
        <f>IF($B79&lt;&gt;"Challan","",P79-N79)</f>
      </c>
      <c r="AP79" s="27">
        <f>IF($B79&lt;&gt;"Challan","",MAX(0,AO79-AN79))</f>
      </c>
      <c r="AQ79" s="33">
        <f>IF($B79&lt;&gt;"Entry","",SUMPRODUCT(('Q1 Data'!$D$4:$D$207=D79)*('Q1 Data'!$B$4:$B$207="Challan")*'Q1 Data'!$F$4:$F$207)+SUMPRODUCT(('Q2 Data'!$D$4:$D$207=D79)*('Q2 Data'!$B$4:$B$207="Challan")*'Q2 Data'!$F$4:$F$207)+SUMPRODUCT(('Q3 Data'!$D$4:$D$207=D79)*('Q3 Data'!$B$4:$B$207="Challan")*'Q3 Data'!$F$4:$F$207)+SUMPRODUCT(('Q4 Data'!$D$4:$D$207=D79)*('Q4 Data'!$B$4:$B$207="Challan")*'Q4 Data'!$F$4:$F$207))</f>
      </c>
      <c r="AR79" s="34">
        <f>IF(OR($B79&lt;&gt;"Entry",Z79=""),FALSE,AND((SUMPRODUCT(('Q1 Data'!$D$4:$D$207=D79)*('Q1 Data'!$B$4:$B$207="Challan")*('Q1 Data'!$H$4:$H$207&lt;&gt;""))+SUMPRODUCT(('Q2 Data'!$D$4:$D$207=D79)*('Q2 Data'!$B$4:$B$207="Challan")*('Q2 Data'!$H$4:$H$207&lt;&gt;""))+SUMPRODUCT(('Q3 Data'!$D$4:$D$207=D79)*('Q3 Data'!$B$4:$B$207="Challan")*('Q3 Data'!$H$4:$H$207&lt;&gt;""))+SUMPRODUCT(('Q4 Data'!$D$4:$D$207=D79)*('Q4 Data'!$B$4:$B$207="Challan")*('Q4 Data'!$H$4:$H$207&lt;&gt;"")))&gt;0,(SUMPRODUCT(('Q1 Data'!$D$4:$D$207=D79)*('Q1 Data'!$B$4:$B$207="Challan")*('Q1 Data'!$H$4:$H$207=Z79))+SUMPRODUCT(('Q2 Data'!$D$4:$D$207=D79)*('Q2 Data'!$B$4:$B$207="Challan")*('Q2 Data'!$H$4:$H$207=Z79))+SUMPRODUCT(('Q3 Data'!$D$4:$D$207=D79)*('Q3 Data'!$B$4:$B$207="Challan")*('Q3 Data'!$H$4:$H$207=Z79))+SUMPRODUCT(('Q4 Data'!$D$4:$D$207=D79)*('Q4 Data'!$B$4:$B$207="Challan")*('Q4 Data'!$H$4:$H$207=Z79)))=0))</f>
      </c>
    </row>
    <row r="80" spans="1:44" x14ac:dyDescent="0.25">
      <c r="A80" s="20">
        <f>IF($B80="Entry",COUNTIF($B$4:$B80,"Entry"),"")</f>
      </c>
      <c r="B80" s="21"/>
      <c r="C80" s="22"/>
      <c r="D80" s="22"/>
      <c r="E80" s="23">
        <f>IF($B80&lt;&gt;"Challan","",IF(ROUND(AN80-AO80,2)&gt;0,"Over-applied",IF(ROUND(AN80-AO80,2)=0,"Fully Utilised","Unconsumed")))</f>
      </c>
      <c r="F80" s="24"/>
      <c r="G80" s="25"/>
      <c r="H80" s="25"/>
      <c r="I80" s="26"/>
      <c r="J80" s="26"/>
      <c r="K80" s="26"/>
      <c r="L80" s="26"/>
      <c r="M80" s="26"/>
      <c r="N80" s="26"/>
      <c r="O80" s="26"/>
      <c r="P80" s="27">
        <f>IF($B80&lt;&gt;"Challan","",I80+J80+K80+L80+M80+N80)</f>
      </c>
      <c r="Q80" s="25"/>
      <c r="R80" s="25"/>
      <c r="S80" s="25"/>
      <c r="T80" s="25"/>
      <c r="U80" s="25"/>
      <c r="V80" s="28"/>
      <c r="W80" s="28"/>
      <c r="X80" s="23">
        <f>IF($B80="Entry",IF(AND(LEN(TRIM(UPPER(W80)))=10,CODE(MID(TRIM(UPPER(W80)),1,1))&gt;=65,CODE(MID(TRIM(UPPER(W80)),1,1))&lt;=90,CODE(MID(TRIM(UPPER(W80)),2,1))&gt;=65,CODE(MID(TRIM(UPPER(W80)),2,1))&lt;=90,CODE(MID(TRIM(UPPER(W80)),3,1))&gt;=65,CODE(MID(TRIM(UPPER(W80)),3,1))&lt;=90,CODE(MID(TRIM(UPPER(W80)),4,1))&gt;=65,CODE(MID(TRIM(UPPER(W80)),4,1))&lt;=90,CODE(MID(TRIM(UPPER(W80)),5,1))&gt;=65,CODE(MID(TRIM(UPPER(W80)),5,1))&lt;=90,CODE(MID(TRIM(UPPER(W80)),10,1))&gt;=65,CODE(MID(TRIM(UPPER(W80)),10,1))&lt;=90,CODE(MID(TRIM(UPPER(W80)),6,1))&gt;=48,CODE(MID(TRIM(UPPER(W80)),6,1))&lt;=57,CODE(MID(TRIM(UPPER(W80)),7,1))&gt;=48,CODE(MID(TRIM(UPPER(W80)),7,1))&lt;=57,CODE(MID(TRIM(UPPER(W80)),8,1))&gt;=48,CODE(MID(TRIM(UPPER(W80)),8,1))&lt;=57,CODE(MID(TRIM(UPPER(W80)),9,1))&gt;=48,CODE(MID(TRIM(UPPER(W80)),9,1))&lt;=57),"N","Y"),IF($B80="Challan","",IF(W80&lt;&gt;"","◄ Set Row Type","")))</f>
      </c>
      <c r="Y80" s="23">
        <f>IF($B80="Entry",IF(LEN(W80)&lt;4,"",IF(UPPER(MID(W80,4,1))="P","Individual",IF(UPPER(MID(W80,4,1))="H","HUF",IF(UPPER(MID(W80,4,1))="C","Company",IF(UPPER(MID(W80,4,1))="F","Firm",IF(UPPER(MID(W80,4,1))="L","LLP",IF(UPPER(MID(W80,4,1))="T","Trust",IF(UPPER(MID(W80,4,1))="A","AOP","")))))))),IF($B80="Challan","",IF(W80&lt;&gt;"","◄ Set Row Type","")))</f>
      </c>
      <c r="Z80" s="28"/>
      <c r="AA80" s="29">
        <f>IF($B80&lt;&gt;"Entry","",IF(Z80="","",IF(X80="Y",SUMPRODUCT(('Rate Lookup'!$A$1:$A$37=Z80)*'Rate Lookup'!$D$1:$D$37),IF(OR(Y80="Individual",Y80="HUF"),SUMPRODUCT(('Rate Lookup'!$A$1:$A$37=Z80)*'Rate Lookup'!$B$1:$B$37),SUMPRODUCT(('Rate Lookup'!$A$1:$A$37=Z80)*'Rate Lookup'!$C$1:$C$37)))))</f>
      </c>
      <c r="AB80" s="30"/>
      <c r="AC80" s="31"/>
      <c r="AD80" s="27">
        <f>IF($B80&lt;&gt;"Entry","",ROUND(AC80*AA80/100,0))</f>
      </c>
      <c r="AE80" s="27">
        <f>IF($B80&lt;&gt;"Entry","",0)</f>
      </c>
      <c r="AF80" s="27">
        <f>IF($B80&lt;&gt;"Entry","",0)</f>
      </c>
      <c r="AG80" s="27">
        <f>IF($B80&lt;&gt;"Entry","",IF(OR(AD80=0,AB80="",AQ80="",AQ80&lt;=0),0,IF(AQ80&lt;=DATE(YEAR(AB80),MONTH(AB80)+1,7),0,ROUND(AD80*0.015*((YEAR(AQ80)-YEAR(AB80))*12+(MONTH(AQ80)-MONTH(AB80))+1),0))))</f>
      </c>
      <c r="AH80" s="27">
        <f>IF($B80&lt;&gt;"Entry","",0)</f>
      </c>
      <c r="AI80" s="28"/>
      <c r="AJ80" s="28"/>
      <c r="AK80" s="32"/>
      <c r="AL80" s="28"/>
      <c r="AM80" s="28"/>
      <c r="AN80" s="27">
        <f>IF($B80&lt;&gt;"Challan","",SUMIF('Q1 Data'!$D$4:$D$207,D80,'Q1 Data'!$AD$4:$AD$207)+SUMIF('Q1 Data'!$D$4:$D$207,D80,'Q1 Data'!$AG$4:$AG$207)+SUMIF('Q1 Data'!$D$4:$D$207,D80,'Q1 Data'!$AE$4:$AE$207)+SUMIF('Q2 Data'!$D$4:$D$207,D80,'Q2 Data'!$AD$4:$AD$207)+SUMIF('Q2 Data'!$D$4:$D$207,D80,'Q2 Data'!$AG$4:$AG$207)+SUMIF('Q2 Data'!$D$4:$D$207,D80,'Q2 Data'!$AE$4:$AE$207)+SUMIF('Q3 Data'!$D$4:$D$207,D80,'Q3 Data'!$AD$4:$AD$207)+SUMIF('Q3 Data'!$D$4:$D$207,D80,'Q3 Data'!$AG$4:$AG$207)+SUMIF('Q3 Data'!$D$4:$D$207,D80,'Q3 Data'!$AE$4:$AE$207)+SUMIF('Q4 Data'!$D$4:$D$207,D80,'Q4 Data'!$AD$4:$AD$207)+SUMIF('Q4 Data'!$D$4:$D$207,D80,'Q4 Data'!$AG$4:$AG$207)+SUMIF('Q4 Data'!$D$4:$D$207,D80,'Q4 Data'!$AE$4:$AE$207))</f>
      </c>
      <c r="AO80" s="27">
        <f>IF($B80&lt;&gt;"Challan","",P80-N80)</f>
      </c>
      <c r="AP80" s="27">
        <f>IF($B80&lt;&gt;"Challan","",MAX(0,AO80-AN80))</f>
      </c>
      <c r="AQ80" s="33">
        <f>IF($B80&lt;&gt;"Entry","",SUMPRODUCT(('Q1 Data'!$D$4:$D$207=D80)*('Q1 Data'!$B$4:$B$207="Challan")*'Q1 Data'!$F$4:$F$207)+SUMPRODUCT(('Q2 Data'!$D$4:$D$207=D80)*('Q2 Data'!$B$4:$B$207="Challan")*'Q2 Data'!$F$4:$F$207)+SUMPRODUCT(('Q3 Data'!$D$4:$D$207=D80)*('Q3 Data'!$B$4:$B$207="Challan")*'Q3 Data'!$F$4:$F$207)+SUMPRODUCT(('Q4 Data'!$D$4:$D$207=D80)*('Q4 Data'!$B$4:$B$207="Challan")*'Q4 Data'!$F$4:$F$207))</f>
      </c>
      <c r="AR80" s="34">
        <f>IF(OR($B80&lt;&gt;"Entry",Z80=""),FALSE,AND((SUMPRODUCT(('Q1 Data'!$D$4:$D$207=D80)*('Q1 Data'!$B$4:$B$207="Challan")*('Q1 Data'!$H$4:$H$207&lt;&gt;""))+SUMPRODUCT(('Q2 Data'!$D$4:$D$207=D80)*('Q2 Data'!$B$4:$B$207="Challan")*('Q2 Data'!$H$4:$H$207&lt;&gt;""))+SUMPRODUCT(('Q3 Data'!$D$4:$D$207=D80)*('Q3 Data'!$B$4:$B$207="Challan")*('Q3 Data'!$H$4:$H$207&lt;&gt;""))+SUMPRODUCT(('Q4 Data'!$D$4:$D$207=D80)*('Q4 Data'!$B$4:$B$207="Challan")*('Q4 Data'!$H$4:$H$207&lt;&gt;"")))&gt;0,(SUMPRODUCT(('Q1 Data'!$D$4:$D$207=D80)*('Q1 Data'!$B$4:$B$207="Challan")*('Q1 Data'!$H$4:$H$207=Z80))+SUMPRODUCT(('Q2 Data'!$D$4:$D$207=D80)*('Q2 Data'!$B$4:$B$207="Challan")*('Q2 Data'!$H$4:$H$207=Z80))+SUMPRODUCT(('Q3 Data'!$D$4:$D$207=D80)*('Q3 Data'!$B$4:$B$207="Challan")*('Q3 Data'!$H$4:$H$207=Z80))+SUMPRODUCT(('Q4 Data'!$D$4:$D$207=D80)*('Q4 Data'!$B$4:$B$207="Challan")*('Q4 Data'!$H$4:$H$207=Z80)))=0))</f>
      </c>
    </row>
    <row r="81" spans="1:44" x14ac:dyDescent="0.25">
      <c r="A81" s="20">
        <f>IF($B81="Entry",COUNTIF($B$4:$B81,"Entry"),"")</f>
      </c>
      <c r="B81" s="21"/>
      <c r="C81" s="22"/>
      <c r="D81" s="22"/>
      <c r="E81" s="23">
        <f>IF($B81&lt;&gt;"Challan","",IF(ROUND(AN81-AO81,2)&gt;0,"Over-applied",IF(ROUND(AN81-AO81,2)=0,"Fully Utilised","Unconsumed")))</f>
      </c>
      <c r="F81" s="24"/>
      <c r="G81" s="25"/>
      <c r="H81" s="25"/>
      <c r="I81" s="26"/>
      <c r="J81" s="26"/>
      <c r="K81" s="26"/>
      <c r="L81" s="26"/>
      <c r="M81" s="26"/>
      <c r="N81" s="26"/>
      <c r="O81" s="26"/>
      <c r="P81" s="27">
        <f>IF($B81&lt;&gt;"Challan","",I81+J81+K81+L81+M81+N81)</f>
      </c>
      <c r="Q81" s="25"/>
      <c r="R81" s="25"/>
      <c r="S81" s="25"/>
      <c r="T81" s="25"/>
      <c r="U81" s="25"/>
      <c r="V81" s="28"/>
      <c r="W81" s="28"/>
      <c r="X81" s="23">
        <f>IF($B81="Entry",IF(AND(LEN(TRIM(UPPER(W81)))=10,CODE(MID(TRIM(UPPER(W81)),1,1))&gt;=65,CODE(MID(TRIM(UPPER(W81)),1,1))&lt;=90,CODE(MID(TRIM(UPPER(W81)),2,1))&gt;=65,CODE(MID(TRIM(UPPER(W81)),2,1))&lt;=90,CODE(MID(TRIM(UPPER(W81)),3,1))&gt;=65,CODE(MID(TRIM(UPPER(W81)),3,1))&lt;=90,CODE(MID(TRIM(UPPER(W81)),4,1))&gt;=65,CODE(MID(TRIM(UPPER(W81)),4,1))&lt;=90,CODE(MID(TRIM(UPPER(W81)),5,1))&gt;=65,CODE(MID(TRIM(UPPER(W81)),5,1))&lt;=90,CODE(MID(TRIM(UPPER(W81)),10,1))&gt;=65,CODE(MID(TRIM(UPPER(W81)),10,1))&lt;=90,CODE(MID(TRIM(UPPER(W81)),6,1))&gt;=48,CODE(MID(TRIM(UPPER(W81)),6,1))&lt;=57,CODE(MID(TRIM(UPPER(W81)),7,1))&gt;=48,CODE(MID(TRIM(UPPER(W81)),7,1))&lt;=57,CODE(MID(TRIM(UPPER(W81)),8,1))&gt;=48,CODE(MID(TRIM(UPPER(W81)),8,1))&lt;=57,CODE(MID(TRIM(UPPER(W81)),9,1))&gt;=48,CODE(MID(TRIM(UPPER(W81)),9,1))&lt;=57),"N","Y"),IF($B81="Challan","",IF(W81&lt;&gt;"","◄ Set Row Type","")))</f>
      </c>
      <c r="Y81" s="23">
        <f>IF($B81="Entry",IF(LEN(W81)&lt;4,"",IF(UPPER(MID(W81,4,1))="P","Individual",IF(UPPER(MID(W81,4,1))="H","HUF",IF(UPPER(MID(W81,4,1))="C","Company",IF(UPPER(MID(W81,4,1))="F","Firm",IF(UPPER(MID(W81,4,1))="L","LLP",IF(UPPER(MID(W81,4,1))="T","Trust",IF(UPPER(MID(W81,4,1))="A","AOP","")))))))),IF($B81="Challan","",IF(W81&lt;&gt;"","◄ Set Row Type","")))</f>
      </c>
      <c r="Z81" s="28"/>
      <c r="AA81" s="29">
        <f>IF($B81&lt;&gt;"Entry","",IF(Z81="","",IF(X81="Y",SUMPRODUCT(('Rate Lookup'!$A$1:$A$37=Z81)*'Rate Lookup'!$D$1:$D$37),IF(OR(Y81="Individual",Y81="HUF"),SUMPRODUCT(('Rate Lookup'!$A$1:$A$37=Z81)*'Rate Lookup'!$B$1:$B$37),SUMPRODUCT(('Rate Lookup'!$A$1:$A$37=Z81)*'Rate Lookup'!$C$1:$C$37)))))</f>
      </c>
      <c r="AB81" s="30"/>
      <c r="AC81" s="31"/>
      <c r="AD81" s="27">
        <f>IF($B81&lt;&gt;"Entry","",ROUND(AC81*AA81/100,0))</f>
      </c>
      <c r="AE81" s="27">
        <f>IF($B81&lt;&gt;"Entry","",0)</f>
      </c>
      <c r="AF81" s="27">
        <f>IF($B81&lt;&gt;"Entry","",0)</f>
      </c>
      <c r="AG81" s="27">
        <f>IF($B81&lt;&gt;"Entry","",IF(OR(AD81=0,AB81="",AQ81="",AQ81&lt;=0),0,IF(AQ81&lt;=DATE(YEAR(AB81),MONTH(AB81)+1,7),0,ROUND(AD81*0.015*((YEAR(AQ81)-YEAR(AB81))*12+(MONTH(AQ81)-MONTH(AB81))+1),0))))</f>
      </c>
      <c r="AH81" s="27">
        <f>IF($B81&lt;&gt;"Entry","",0)</f>
      </c>
      <c r="AI81" s="28"/>
      <c r="AJ81" s="28"/>
      <c r="AK81" s="32"/>
      <c r="AL81" s="28"/>
      <c r="AM81" s="28"/>
      <c r="AN81" s="27">
        <f>IF($B81&lt;&gt;"Challan","",SUMIF('Q1 Data'!$D$4:$D$207,D81,'Q1 Data'!$AD$4:$AD$207)+SUMIF('Q1 Data'!$D$4:$D$207,D81,'Q1 Data'!$AG$4:$AG$207)+SUMIF('Q1 Data'!$D$4:$D$207,D81,'Q1 Data'!$AE$4:$AE$207)+SUMIF('Q2 Data'!$D$4:$D$207,D81,'Q2 Data'!$AD$4:$AD$207)+SUMIF('Q2 Data'!$D$4:$D$207,D81,'Q2 Data'!$AG$4:$AG$207)+SUMIF('Q2 Data'!$D$4:$D$207,D81,'Q2 Data'!$AE$4:$AE$207)+SUMIF('Q3 Data'!$D$4:$D$207,D81,'Q3 Data'!$AD$4:$AD$207)+SUMIF('Q3 Data'!$D$4:$D$207,D81,'Q3 Data'!$AG$4:$AG$207)+SUMIF('Q3 Data'!$D$4:$D$207,D81,'Q3 Data'!$AE$4:$AE$207)+SUMIF('Q4 Data'!$D$4:$D$207,D81,'Q4 Data'!$AD$4:$AD$207)+SUMIF('Q4 Data'!$D$4:$D$207,D81,'Q4 Data'!$AG$4:$AG$207)+SUMIF('Q4 Data'!$D$4:$D$207,D81,'Q4 Data'!$AE$4:$AE$207))</f>
      </c>
      <c r="AO81" s="27">
        <f>IF($B81&lt;&gt;"Challan","",P81-N81)</f>
      </c>
      <c r="AP81" s="27">
        <f>IF($B81&lt;&gt;"Challan","",MAX(0,AO81-AN81))</f>
      </c>
      <c r="AQ81" s="33">
        <f>IF($B81&lt;&gt;"Entry","",SUMPRODUCT(('Q1 Data'!$D$4:$D$207=D81)*('Q1 Data'!$B$4:$B$207="Challan")*'Q1 Data'!$F$4:$F$207)+SUMPRODUCT(('Q2 Data'!$D$4:$D$207=D81)*('Q2 Data'!$B$4:$B$207="Challan")*'Q2 Data'!$F$4:$F$207)+SUMPRODUCT(('Q3 Data'!$D$4:$D$207=D81)*('Q3 Data'!$B$4:$B$207="Challan")*'Q3 Data'!$F$4:$F$207)+SUMPRODUCT(('Q4 Data'!$D$4:$D$207=D81)*('Q4 Data'!$B$4:$B$207="Challan")*'Q4 Data'!$F$4:$F$207))</f>
      </c>
      <c r="AR81" s="34">
        <f>IF(OR($B81&lt;&gt;"Entry",Z81=""),FALSE,AND((SUMPRODUCT(('Q1 Data'!$D$4:$D$207=D81)*('Q1 Data'!$B$4:$B$207="Challan")*('Q1 Data'!$H$4:$H$207&lt;&gt;""))+SUMPRODUCT(('Q2 Data'!$D$4:$D$207=D81)*('Q2 Data'!$B$4:$B$207="Challan")*('Q2 Data'!$H$4:$H$207&lt;&gt;""))+SUMPRODUCT(('Q3 Data'!$D$4:$D$207=D81)*('Q3 Data'!$B$4:$B$207="Challan")*('Q3 Data'!$H$4:$H$207&lt;&gt;""))+SUMPRODUCT(('Q4 Data'!$D$4:$D$207=D81)*('Q4 Data'!$B$4:$B$207="Challan")*('Q4 Data'!$H$4:$H$207&lt;&gt;"")))&gt;0,(SUMPRODUCT(('Q1 Data'!$D$4:$D$207=D81)*('Q1 Data'!$B$4:$B$207="Challan")*('Q1 Data'!$H$4:$H$207=Z81))+SUMPRODUCT(('Q2 Data'!$D$4:$D$207=D81)*('Q2 Data'!$B$4:$B$207="Challan")*('Q2 Data'!$H$4:$H$207=Z81))+SUMPRODUCT(('Q3 Data'!$D$4:$D$207=D81)*('Q3 Data'!$B$4:$B$207="Challan")*('Q3 Data'!$H$4:$H$207=Z81))+SUMPRODUCT(('Q4 Data'!$D$4:$D$207=D81)*('Q4 Data'!$B$4:$B$207="Challan")*('Q4 Data'!$H$4:$H$207=Z81)))=0))</f>
      </c>
    </row>
    <row r="82" spans="1:44" x14ac:dyDescent="0.25">
      <c r="A82" s="20">
        <f>IF($B82="Entry",COUNTIF($B$4:$B82,"Entry"),"")</f>
      </c>
      <c r="B82" s="21"/>
      <c r="C82" s="22"/>
      <c r="D82" s="22"/>
      <c r="E82" s="23">
        <f>IF($B82&lt;&gt;"Challan","",IF(ROUND(AN82-AO82,2)&gt;0,"Over-applied",IF(ROUND(AN82-AO82,2)=0,"Fully Utilised","Unconsumed")))</f>
      </c>
      <c r="F82" s="24"/>
      <c r="G82" s="25"/>
      <c r="H82" s="25"/>
      <c r="I82" s="26"/>
      <c r="J82" s="26"/>
      <c r="K82" s="26"/>
      <c r="L82" s="26"/>
      <c r="M82" s="26"/>
      <c r="N82" s="26"/>
      <c r="O82" s="26"/>
      <c r="P82" s="27">
        <f>IF($B82&lt;&gt;"Challan","",I82+J82+K82+L82+M82+N82)</f>
      </c>
      <c r="Q82" s="25"/>
      <c r="R82" s="25"/>
      <c r="S82" s="25"/>
      <c r="T82" s="25"/>
      <c r="U82" s="25"/>
      <c r="V82" s="28"/>
      <c r="W82" s="28"/>
      <c r="X82" s="23">
        <f>IF($B82="Entry",IF(AND(LEN(TRIM(UPPER(W82)))=10,CODE(MID(TRIM(UPPER(W82)),1,1))&gt;=65,CODE(MID(TRIM(UPPER(W82)),1,1))&lt;=90,CODE(MID(TRIM(UPPER(W82)),2,1))&gt;=65,CODE(MID(TRIM(UPPER(W82)),2,1))&lt;=90,CODE(MID(TRIM(UPPER(W82)),3,1))&gt;=65,CODE(MID(TRIM(UPPER(W82)),3,1))&lt;=90,CODE(MID(TRIM(UPPER(W82)),4,1))&gt;=65,CODE(MID(TRIM(UPPER(W82)),4,1))&lt;=90,CODE(MID(TRIM(UPPER(W82)),5,1))&gt;=65,CODE(MID(TRIM(UPPER(W82)),5,1))&lt;=90,CODE(MID(TRIM(UPPER(W82)),10,1))&gt;=65,CODE(MID(TRIM(UPPER(W82)),10,1))&lt;=90,CODE(MID(TRIM(UPPER(W82)),6,1))&gt;=48,CODE(MID(TRIM(UPPER(W82)),6,1))&lt;=57,CODE(MID(TRIM(UPPER(W82)),7,1))&gt;=48,CODE(MID(TRIM(UPPER(W82)),7,1))&lt;=57,CODE(MID(TRIM(UPPER(W82)),8,1))&gt;=48,CODE(MID(TRIM(UPPER(W82)),8,1))&lt;=57,CODE(MID(TRIM(UPPER(W82)),9,1))&gt;=48,CODE(MID(TRIM(UPPER(W82)),9,1))&lt;=57),"N","Y"),IF($B82="Challan","",IF(W82&lt;&gt;"","◄ Set Row Type","")))</f>
      </c>
      <c r="Y82" s="23">
        <f>IF($B82="Entry",IF(LEN(W82)&lt;4,"",IF(UPPER(MID(W82,4,1))="P","Individual",IF(UPPER(MID(W82,4,1))="H","HUF",IF(UPPER(MID(W82,4,1))="C","Company",IF(UPPER(MID(W82,4,1))="F","Firm",IF(UPPER(MID(W82,4,1))="L","LLP",IF(UPPER(MID(W82,4,1))="T","Trust",IF(UPPER(MID(W82,4,1))="A","AOP","")))))))),IF($B82="Challan","",IF(W82&lt;&gt;"","◄ Set Row Type","")))</f>
      </c>
      <c r="Z82" s="28"/>
      <c r="AA82" s="29">
        <f>IF($B82&lt;&gt;"Entry","",IF(Z82="","",IF(X82="Y",SUMPRODUCT(('Rate Lookup'!$A$1:$A$37=Z82)*'Rate Lookup'!$D$1:$D$37),IF(OR(Y82="Individual",Y82="HUF"),SUMPRODUCT(('Rate Lookup'!$A$1:$A$37=Z82)*'Rate Lookup'!$B$1:$B$37),SUMPRODUCT(('Rate Lookup'!$A$1:$A$37=Z82)*'Rate Lookup'!$C$1:$C$37)))))</f>
      </c>
      <c r="AB82" s="30"/>
      <c r="AC82" s="31"/>
      <c r="AD82" s="27">
        <f>IF($B82&lt;&gt;"Entry","",ROUND(AC82*AA82/100,0))</f>
      </c>
      <c r="AE82" s="27">
        <f>IF($B82&lt;&gt;"Entry","",0)</f>
      </c>
      <c r="AF82" s="27">
        <f>IF($B82&lt;&gt;"Entry","",0)</f>
      </c>
      <c r="AG82" s="27">
        <f>IF($B82&lt;&gt;"Entry","",IF(OR(AD82=0,AB82="",AQ82="",AQ82&lt;=0),0,IF(AQ82&lt;=DATE(YEAR(AB82),MONTH(AB82)+1,7),0,ROUND(AD82*0.015*((YEAR(AQ82)-YEAR(AB82))*12+(MONTH(AQ82)-MONTH(AB82))+1),0))))</f>
      </c>
      <c r="AH82" s="27">
        <f>IF($B82&lt;&gt;"Entry","",0)</f>
      </c>
      <c r="AI82" s="28"/>
      <c r="AJ82" s="28"/>
      <c r="AK82" s="32"/>
      <c r="AL82" s="28"/>
      <c r="AM82" s="28"/>
      <c r="AN82" s="27">
        <f>IF($B82&lt;&gt;"Challan","",SUMIF('Q1 Data'!$D$4:$D$207,D82,'Q1 Data'!$AD$4:$AD$207)+SUMIF('Q1 Data'!$D$4:$D$207,D82,'Q1 Data'!$AG$4:$AG$207)+SUMIF('Q1 Data'!$D$4:$D$207,D82,'Q1 Data'!$AE$4:$AE$207)+SUMIF('Q2 Data'!$D$4:$D$207,D82,'Q2 Data'!$AD$4:$AD$207)+SUMIF('Q2 Data'!$D$4:$D$207,D82,'Q2 Data'!$AG$4:$AG$207)+SUMIF('Q2 Data'!$D$4:$D$207,D82,'Q2 Data'!$AE$4:$AE$207)+SUMIF('Q3 Data'!$D$4:$D$207,D82,'Q3 Data'!$AD$4:$AD$207)+SUMIF('Q3 Data'!$D$4:$D$207,D82,'Q3 Data'!$AG$4:$AG$207)+SUMIF('Q3 Data'!$D$4:$D$207,D82,'Q3 Data'!$AE$4:$AE$207)+SUMIF('Q4 Data'!$D$4:$D$207,D82,'Q4 Data'!$AD$4:$AD$207)+SUMIF('Q4 Data'!$D$4:$D$207,D82,'Q4 Data'!$AG$4:$AG$207)+SUMIF('Q4 Data'!$D$4:$D$207,D82,'Q4 Data'!$AE$4:$AE$207))</f>
      </c>
      <c r="AO82" s="27">
        <f>IF($B82&lt;&gt;"Challan","",P82-N82)</f>
      </c>
      <c r="AP82" s="27">
        <f>IF($B82&lt;&gt;"Challan","",MAX(0,AO82-AN82))</f>
      </c>
      <c r="AQ82" s="33">
        <f>IF($B82&lt;&gt;"Entry","",SUMPRODUCT(('Q1 Data'!$D$4:$D$207=D82)*('Q1 Data'!$B$4:$B$207="Challan")*'Q1 Data'!$F$4:$F$207)+SUMPRODUCT(('Q2 Data'!$D$4:$D$207=D82)*('Q2 Data'!$B$4:$B$207="Challan")*'Q2 Data'!$F$4:$F$207)+SUMPRODUCT(('Q3 Data'!$D$4:$D$207=D82)*('Q3 Data'!$B$4:$B$207="Challan")*'Q3 Data'!$F$4:$F$207)+SUMPRODUCT(('Q4 Data'!$D$4:$D$207=D82)*('Q4 Data'!$B$4:$B$207="Challan")*'Q4 Data'!$F$4:$F$207))</f>
      </c>
      <c r="AR82" s="34">
        <f>IF(OR($B82&lt;&gt;"Entry",Z82=""),FALSE,AND((SUMPRODUCT(('Q1 Data'!$D$4:$D$207=D82)*('Q1 Data'!$B$4:$B$207="Challan")*('Q1 Data'!$H$4:$H$207&lt;&gt;""))+SUMPRODUCT(('Q2 Data'!$D$4:$D$207=D82)*('Q2 Data'!$B$4:$B$207="Challan")*('Q2 Data'!$H$4:$H$207&lt;&gt;""))+SUMPRODUCT(('Q3 Data'!$D$4:$D$207=D82)*('Q3 Data'!$B$4:$B$207="Challan")*('Q3 Data'!$H$4:$H$207&lt;&gt;""))+SUMPRODUCT(('Q4 Data'!$D$4:$D$207=D82)*('Q4 Data'!$B$4:$B$207="Challan")*('Q4 Data'!$H$4:$H$207&lt;&gt;"")))&gt;0,(SUMPRODUCT(('Q1 Data'!$D$4:$D$207=D82)*('Q1 Data'!$B$4:$B$207="Challan")*('Q1 Data'!$H$4:$H$207=Z82))+SUMPRODUCT(('Q2 Data'!$D$4:$D$207=D82)*('Q2 Data'!$B$4:$B$207="Challan")*('Q2 Data'!$H$4:$H$207=Z82))+SUMPRODUCT(('Q3 Data'!$D$4:$D$207=D82)*('Q3 Data'!$B$4:$B$207="Challan")*('Q3 Data'!$H$4:$H$207=Z82))+SUMPRODUCT(('Q4 Data'!$D$4:$D$207=D82)*('Q4 Data'!$B$4:$B$207="Challan")*('Q4 Data'!$H$4:$H$207=Z82)))=0))</f>
      </c>
    </row>
    <row r="83" spans="1:44" x14ac:dyDescent="0.25">
      <c r="A83" s="20">
        <f>IF($B83="Entry",COUNTIF($B$4:$B83,"Entry"),"")</f>
      </c>
      <c r="B83" s="21"/>
      <c r="C83" s="22"/>
      <c r="D83" s="22"/>
      <c r="E83" s="23">
        <f>IF($B83&lt;&gt;"Challan","",IF(ROUND(AN83-AO83,2)&gt;0,"Over-applied",IF(ROUND(AN83-AO83,2)=0,"Fully Utilised","Unconsumed")))</f>
      </c>
      <c r="F83" s="24"/>
      <c r="G83" s="25"/>
      <c r="H83" s="25"/>
      <c r="I83" s="26"/>
      <c r="J83" s="26"/>
      <c r="K83" s="26"/>
      <c r="L83" s="26"/>
      <c r="M83" s="26"/>
      <c r="N83" s="26"/>
      <c r="O83" s="26"/>
      <c r="P83" s="27">
        <f>IF($B83&lt;&gt;"Challan","",I83+J83+K83+L83+M83+N83)</f>
      </c>
      <c r="Q83" s="25"/>
      <c r="R83" s="25"/>
      <c r="S83" s="25"/>
      <c r="T83" s="25"/>
      <c r="U83" s="25"/>
      <c r="V83" s="28"/>
      <c r="W83" s="28"/>
      <c r="X83" s="23">
        <f>IF($B83="Entry",IF(AND(LEN(TRIM(UPPER(W83)))=10,CODE(MID(TRIM(UPPER(W83)),1,1))&gt;=65,CODE(MID(TRIM(UPPER(W83)),1,1))&lt;=90,CODE(MID(TRIM(UPPER(W83)),2,1))&gt;=65,CODE(MID(TRIM(UPPER(W83)),2,1))&lt;=90,CODE(MID(TRIM(UPPER(W83)),3,1))&gt;=65,CODE(MID(TRIM(UPPER(W83)),3,1))&lt;=90,CODE(MID(TRIM(UPPER(W83)),4,1))&gt;=65,CODE(MID(TRIM(UPPER(W83)),4,1))&lt;=90,CODE(MID(TRIM(UPPER(W83)),5,1))&gt;=65,CODE(MID(TRIM(UPPER(W83)),5,1))&lt;=90,CODE(MID(TRIM(UPPER(W83)),10,1))&gt;=65,CODE(MID(TRIM(UPPER(W83)),10,1))&lt;=90,CODE(MID(TRIM(UPPER(W83)),6,1))&gt;=48,CODE(MID(TRIM(UPPER(W83)),6,1))&lt;=57,CODE(MID(TRIM(UPPER(W83)),7,1))&gt;=48,CODE(MID(TRIM(UPPER(W83)),7,1))&lt;=57,CODE(MID(TRIM(UPPER(W83)),8,1))&gt;=48,CODE(MID(TRIM(UPPER(W83)),8,1))&lt;=57,CODE(MID(TRIM(UPPER(W83)),9,1))&gt;=48,CODE(MID(TRIM(UPPER(W83)),9,1))&lt;=57),"N","Y"),IF($B83="Challan","",IF(W83&lt;&gt;"","◄ Set Row Type","")))</f>
      </c>
      <c r="Y83" s="23">
        <f>IF($B83="Entry",IF(LEN(W83)&lt;4,"",IF(UPPER(MID(W83,4,1))="P","Individual",IF(UPPER(MID(W83,4,1))="H","HUF",IF(UPPER(MID(W83,4,1))="C","Company",IF(UPPER(MID(W83,4,1))="F","Firm",IF(UPPER(MID(W83,4,1))="L","LLP",IF(UPPER(MID(W83,4,1))="T","Trust",IF(UPPER(MID(W83,4,1))="A","AOP","")))))))),IF($B83="Challan","",IF(W83&lt;&gt;"","◄ Set Row Type","")))</f>
      </c>
      <c r="Z83" s="28"/>
      <c r="AA83" s="29">
        <f>IF($B83&lt;&gt;"Entry","",IF(Z83="","",IF(X83="Y",SUMPRODUCT(('Rate Lookup'!$A$1:$A$37=Z83)*'Rate Lookup'!$D$1:$D$37),IF(OR(Y83="Individual",Y83="HUF"),SUMPRODUCT(('Rate Lookup'!$A$1:$A$37=Z83)*'Rate Lookup'!$B$1:$B$37),SUMPRODUCT(('Rate Lookup'!$A$1:$A$37=Z83)*'Rate Lookup'!$C$1:$C$37)))))</f>
      </c>
      <c r="AB83" s="30"/>
      <c r="AC83" s="31"/>
      <c r="AD83" s="27">
        <f>IF($B83&lt;&gt;"Entry","",ROUND(AC83*AA83/100,0))</f>
      </c>
      <c r="AE83" s="27">
        <f>IF($B83&lt;&gt;"Entry","",0)</f>
      </c>
      <c r="AF83" s="27">
        <f>IF($B83&lt;&gt;"Entry","",0)</f>
      </c>
      <c r="AG83" s="27">
        <f>IF($B83&lt;&gt;"Entry","",IF(OR(AD83=0,AB83="",AQ83="",AQ83&lt;=0),0,IF(AQ83&lt;=DATE(YEAR(AB83),MONTH(AB83)+1,7),0,ROUND(AD83*0.015*((YEAR(AQ83)-YEAR(AB83))*12+(MONTH(AQ83)-MONTH(AB83))+1),0))))</f>
      </c>
      <c r="AH83" s="27">
        <f>IF($B83&lt;&gt;"Entry","",0)</f>
      </c>
      <c r="AI83" s="28"/>
      <c r="AJ83" s="28"/>
      <c r="AK83" s="32"/>
      <c r="AL83" s="28"/>
      <c r="AM83" s="28"/>
      <c r="AN83" s="27">
        <f>IF($B83&lt;&gt;"Challan","",SUMIF('Q1 Data'!$D$4:$D$207,D83,'Q1 Data'!$AD$4:$AD$207)+SUMIF('Q1 Data'!$D$4:$D$207,D83,'Q1 Data'!$AG$4:$AG$207)+SUMIF('Q1 Data'!$D$4:$D$207,D83,'Q1 Data'!$AE$4:$AE$207)+SUMIF('Q2 Data'!$D$4:$D$207,D83,'Q2 Data'!$AD$4:$AD$207)+SUMIF('Q2 Data'!$D$4:$D$207,D83,'Q2 Data'!$AG$4:$AG$207)+SUMIF('Q2 Data'!$D$4:$D$207,D83,'Q2 Data'!$AE$4:$AE$207)+SUMIF('Q3 Data'!$D$4:$D$207,D83,'Q3 Data'!$AD$4:$AD$207)+SUMIF('Q3 Data'!$D$4:$D$207,D83,'Q3 Data'!$AG$4:$AG$207)+SUMIF('Q3 Data'!$D$4:$D$207,D83,'Q3 Data'!$AE$4:$AE$207)+SUMIF('Q4 Data'!$D$4:$D$207,D83,'Q4 Data'!$AD$4:$AD$207)+SUMIF('Q4 Data'!$D$4:$D$207,D83,'Q4 Data'!$AG$4:$AG$207)+SUMIF('Q4 Data'!$D$4:$D$207,D83,'Q4 Data'!$AE$4:$AE$207))</f>
      </c>
      <c r="AO83" s="27">
        <f>IF($B83&lt;&gt;"Challan","",P83-N83)</f>
      </c>
      <c r="AP83" s="27">
        <f>IF($B83&lt;&gt;"Challan","",MAX(0,AO83-AN83))</f>
      </c>
      <c r="AQ83" s="33">
        <f>IF($B83&lt;&gt;"Entry","",SUMPRODUCT(('Q1 Data'!$D$4:$D$207=D83)*('Q1 Data'!$B$4:$B$207="Challan")*'Q1 Data'!$F$4:$F$207)+SUMPRODUCT(('Q2 Data'!$D$4:$D$207=D83)*('Q2 Data'!$B$4:$B$207="Challan")*'Q2 Data'!$F$4:$F$207)+SUMPRODUCT(('Q3 Data'!$D$4:$D$207=D83)*('Q3 Data'!$B$4:$B$207="Challan")*'Q3 Data'!$F$4:$F$207)+SUMPRODUCT(('Q4 Data'!$D$4:$D$207=D83)*('Q4 Data'!$B$4:$B$207="Challan")*'Q4 Data'!$F$4:$F$207))</f>
      </c>
      <c r="AR83" s="34">
        <f>IF(OR($B83&lt;&gt;"Entry",Z83=""),FALSE,AND((SUMPRODUCT(('Q1 Data'!$D$4:$D$207=D83)*('Q1 Data'!$B$4:$B$207="Challan")*('Q1 Data'!$H$4:$H$207&lt;&gt;""))+SUMPRODUCT(('Q2 Data'!$D$4:$D$207=D83)*('Q2 Data'!$B$4:$B$207="Challan")*('Q2 Data'!$H$4:$H$207&lt;&gt;""))+SUMPRODUCT(('Q3 Data'!$D$4:$D$207=D83)*('Q3 Data'!$B$4:$B$207="Challan")*('Q3 Data'!$H$4:$H$207&lt;&gt;""))+SUMPRODUCT(('Q4 Data'!$D$4:$D$207=D83)*('Q4 Data'!$B$4:$B$207="Challan")*('Q4 Data'!$H$4:$H$207&lt;&gt;"")))&gt;0,(SUMPRODUCT(('Q1 Data'!$D$4:$D$207=D83)*('Q1 Data'!$B$4:$B$207="Challan")*('Q1 Data'!$H$4:$H$207=Z83))+SUMPRODUCT(('Q2 Data'!$D$4:$D$207=D83)*('Q2 Data'!$B$4:$B$207="Challan")*('Q2 Data'!$H$4:$H$207=Z83))+SUMPRODUCT(('Q3 Data'!$D$4:$D$207=D83)*('Q3 Data'!$B$4:$B$207="Challan")*('Q3 Data'!$H$4:$H$207=Z83))+SUMPRODUCT(('Q4 Data'!$D$4:$D$207=D83)*('Q4 Data'!$B$4:$B$207="Challan")*('Q4 Data'!$H$4:$H$207=Z83)))=0))</f>
      </c>
    </row>
    <row r="84" spans="1:44" x14ac:dyDescent="0.25">
      <c r="A84" s="20">
        <f>IF($B84="Entry",COUNTIF($B$4:$B84,"Entry"),"")</f>
      </c>
      <c r="B84" s="21"/>
      <c r="C84" s="22"/>
      <c r="D84" s="22"/>
      <c r="E84" s="23">
        <f>IF($B84&lt;&gt;"Challan","",IF(ROUND(AN84-AO84,2)&gt;0,"Over-applied",IF(ROUND(AN84-AO84,2)=0,"Fully Utilised","Unconsumed")))</f>
      </c>
      <c r="F84" s="24"/>
      <c r="G84" s="25"/>
      <c r="H84" s="25"/>
      <c r="I84" s="26"/>
      <c r="J84" s="26"/>
      <c r="K84" s="26"/>
      <c r="L84" s="26"/>
      <c r="M84" s="26"/>
      <c r="N84" s="26"/>
      <c r="O84" s="26"/>
      <c r="P84" s="27">
        <f>IF($B84&lt;&gt;"Challan","",I84+J84+K84+L84+M84+N84)</f>
      </c>
      <c r="Q84" s="25"/>
      <c r="R84" s="25"/>
      <c r="S84" s="25"/>
      <c r="T84" s="25"/>
      <c r="U84" s="25"/>
      <c r="V84" s="28"/>
      <c r="W84" s="28"/>
      <c r="X84" s="23">
        <f>IF($B84="Entry",IF(AND(LEN(TRIM(UPPER(W84)))=10,CODE(MID(TRIM(UPPER(W84)),1,1))&gt;=65,CODE(MID(TRIM(UPPER(W84)),1,1))&lt;=90,CODE(MID(TRIM(UPPER(W84)),2,1))&gt;=65,CODE(MID(TRIM(UPPER(W84)),2,1))&lt;=90,CODE(MID(TRIM(UPPER(W84)),3,1))&gt;=65,CODE(MID(TRIM(UPPER(W84)),3,1))&lt;=90,CODE(MID(TRIM(UPPER(W84)),4,1))&gt;=65,CODE(MID(TRIM(UPPER(W84)),4,1))&lt;=90,CODE(MID(TRIM(UPPER(W84)),5,1))&gt;=65,CODE(MID(TRIM(UPPER(W84)),5,1))&lt;=90,CODE(MID(TRIM(UPPER(W84)),10,1))&gt;=65,CODE(MID(TRIM(UPPER(W84)),10,1))&lt;=90,CODE(MID(TRIM(UPPER(W84)),6,1))&gt;=48,CODE(MID(TRIM(UPPER(W84)),6,1))&lt;=57,CODE(MID(TRIM(UPPER(W84)),7,1))&gt;=48,CODE(MID(TRIM(UPPER(W84)),7,1))&lt;=57,CODE(MID(TRIM(UPPER(W84)),8,1))&gt;=48,CODE(MID(TRIM(UPPER(W84)),8,1))&lt;=57,CODE(MID(TRIM(UPPER(W84)),9,1))&gt;=48,CODE(MID(TRIM(UPPER(W84)),9,1))&lt;=57),"N","Y"),IF($B84="Challan","",IF(W84&lt;&gt;"","◄ Set Row Type","")))</f>
      </c>
      <c r="Y84" s="23">
        <f>IF($B84="Entry",IF(LEN(W84)&lt;4,"",IF(UPPER(MID(W84,4,1))="P","Individual",IF(UPPER(MID(W84,4,1))="H","HUF",IF(UPPER(MID(W84,4,1))="C","Company",IF(UPPER(MID(W84,4,1))="F","Firm",IF(UPPER(MID(W84,4,1))="L","LLP",IF(UPPER(MID(W84,4,1))="T","Trust",IF(UPPER(MID(W84,4,1))="A","AOP","")))))))),IF($B84="Challan","",IF(W84&lt;&gt;"","◄ Set Row Type","")))</f>
      </c>
      <c r="Z84" s="28"/>
      <c r="AA84" s="29">
        <f>IF($B84&lt;&gt;"Entry","",IF(Z84="","",IF(X84="Y",SUMPRODUCT(('Rate Lookup'!$A$1:$A$37=Z84)*'Rate Lookup'!$D$1:$D$37),IF(OR(Y84="Individual",Y84="HUF"),SUMPRODUCT(('Rate Lookup'!$A$1:$A$37=Z84)*'Rate Lookup'!$B$1:$B$37),SUMPRODUCT(('Rate Lookup'!$A$1:$A$37=Z84)*'Rate Lookup'!$C$1:$C$37)))))</f>
      </c>
      <c r="AB84" s="30"/>
      <c r="AC84" s="31"/>
      <c r="AD84" s="27">
        <f>IF($B84&lt;&gt;"Entry","",ROUND(AC84*AA84/100,0))</f>
      </c>
      <c r="AE84" s="27">
        <f>IF($B84&lt;&gt;"Entry","",0)</f>
      </c>
      <c r="AF84" s="27">
        <f>IF($B84&lt;&gt;"Entry","",0)</f>
      </c>
      <c r="AG84" s="27">
        <f>IF($B84&lt;&gt;"Entry","",IF(OR(AD84=0,AB84="",AQ84="",AQ84&lt;=0),0,IF(AQ84&lt;=DATE(YEAR(AB84),MONTH(AB84)+1,7),0,ROUND(AD84*0.015*((YEAR(AQ84)-YEAR(AB84))*12+(MONTH(AQ84)-MONTH(AB84))+1),0))))</f>
      </c>
      <c r="AH84" s="27">
        <f>IF($B84&lt;&gt;"Entry","",0)</f>
      </c>
      <c r="AI84" s="28"/>
      <c r="AJ84" s="28"/>
      <c r="AK84" s="32"/>
      <c r="AL84" s="28"/>
      <c r="AM84" s="28"/>
      <c r="AN84" s="27">
        <f>IF($B84&lt;&gt;"Challan","",SUMIF('Q1 Data'!$D$4:$D$207,D84,'Q1 Data'!$AD$4:$AD$207)+SUMIF('Q1 Data'!$D$4:$D$207,D84,'Q1 Data'!$AG$4:$AG$207)+SUMIF('Q1 Data'!$D$4:$D$207,D84,'Q1 Data'!$AE$4:$AE$207)+SUMIF('Q2 Data'!$D$4:$D$207,D84,'Q2 Data'!$AD$4:$AD$207)+SUMIF('Q2 Data'!$D$4:$D$207,D84,'Q2 Data'!$AG$4:$AG$207)+SUMIF('Q2 Data'!$D$4:$D$207,D84,'Q2 Data'!$AE$4:$AE$207)+SUMIF('Q3 Data'!$D$4:$D$207,D84,'Q3 Data'!$AD$4:$AD$207)+SUMIF('Q3 Data'!$D$4:$D$207,D84,'Q3 Data'!$AG$4:$AG$207)+SUMIF('Q3 Data'!$D$4:$D$207,D84,'Q3 Data'!$AE$4:$AE$207)+SUMIF('Q4 Data'!$D$4:$D$207,D84,'Q4 Data'!$AD$4:$AD$207)+SUMIF('Q4 Data'!$D$4:$D$207,D84,'Q4 Data'!$AG$4:$AG$207)+SUMIF('Q4 Data'!$D$4:$D$207,D84,'Q4 Data'!$AE$4:$AE$207))</f>
      </c>
      <c r="AO84" s="27">
        <f>IF($B84&lt;&gt;"Challan","",P84-N84)</f>
      </c>
      <c r="AP84" s="27">
        <f>IF($B84&lt;&gt;"Challan","",MAX(0,AO84-AN84))</f>
      </c>
      <c r="AQ84" s="33">
        <f>IF($B84&lt;&gt;"Entry","",SUMPRODUCT(('Q1 Data'!$D$4:$D$207=D84)*('Q1 Data'!$B$4:$B$207="Challan")*'Q1 Data'!$F$4:$F$207)+SUMPRODUCT(('Q2 Data'!$D$4:$D$207=D84)*('Q2 Data'!$B$4:$B$207="Challan")*'Q2 Data'!$F$4:$F$207)+SUMPRODUCT(('Q3 Data'!$D$4:$D$207=D84)*('Q3 Data'!$B$4:$B$207="Challan")*'Q3 Data'!$F$4:$F$207)+SUMPRODUCT(('Q4 Data'!$D$4:$D$207=D84)*('Q4 Data'!$B$4:$B$207="Challan")*'Q4 Data'!$F$4:$F$207))</f>
      </c>
      <c r="AR84" s="34">
        <f>IF(OR($B84&lt;&gt;"Entry",Z84=""),FALSE,AND((SUMPRODUCT(('Q1 Data'!$D$4:$D$207=D84)*('Q1 Data'!$B$4:$B$207="Challan")*('Q1 Data'!$H$4:$H$207&lt;&gt;""))+SUMPRODUCT(('Q2 Data'!$D$4:$D$207=D84)*('Q2 Data'!$B$4:$B$207="Challan")*('Q2 Data'!$H$4:$H$207&lt;&gt;""))+SUMPRODUCT(('Q3 Data'!$D$4:$D$207=D84)*('Q3 Data'!$B$4:$B$207="Challan")*('Q3 Data'!$H$4:$H$207&lt;&gt;""))+SUMPRODUCT(('Q4 Data'!$D$4:$D$207=D84)*('Q4 Data'!$B$4:$B$207="Challan")*('Q4 Data'!$H$4:$H$207&lt;&gt;"")))&gt;0,(SUMPRODUCT(('Q1 Data'!$D$4:$D$207=D84)*('Q1 Data'!$B$4:$B$207="Challan")*('Q1 Data'!$H$4:$H$207=Z84))+SUMPRODUCT(('Q2 Data'!$D$4:$D$207=D84)*('Q2 Data'!$B$4:$B$207="Challan")*('Q2 Data'!$H$4:$H$207=Z84))+SUMPRODUCT(('Q3 Data'!$D$4:$D$207=D84)*('Q3 Data'!$B$4:$B$207="Challan")*('Q3 Data'!$H$4:$H$207=Z84))+SUMPRODUCT(('Q4 Data'!$D$4:$D$207=D84)*('Q4 Data'!$B$4:$B$207="Challan")*('Q4 Data'!$H$4:$H$207=Z84)))=0))</f>
      </c>
    </row>
    <row r="85" spans="1:44" x14ac:dyDescent="0.25">
      <c r="A85" s="20">
        <f>IF($B85="Entry",COUNTIF($B$4:$B85,"Entry"),"")</f>
      </c>
      <c r="B85" s="21"/>
      <c r="C85" s="22"/>
      <c r="D85" s="22"/>
      <c r="E85" s="23">
        <f>IF($B85&lt;&gt;"Challan","",IF(ROUND(AN85-AO85,2)&gt;0,"Over-applied",IF(ROUND(AN85-AO85,2)=0,"Fully Utilised","Unconsumed")))</f>
      </c>
      <c r="F85" s="24"/>
      <c r="G85" s="25"/>
      <c r="H85" s="25"/>
      <c r="I85" s="26"/>
      <c r="J85" s="26"/>
      <c r="K85" s="26"/>
      <c r="L85" s="26"/>
      <c r="M85" s="26"/>
      <c r="N85" s="26"/>
      <c r="O85" s="26"/>
      <c r="P85" s="27">
        <f>IF($B85&lt;&gt;"Challan","",I85+J85+K85+L85+M85+N85)</f>
      </c>
      <c r="Q85" s="25"/>
      <c r="R85" s="25"/>
      <c r="S85" s="25"/>
      <c r="T85" s="25"/>
      <c r="U85" s="25"/>
      <c r="V85" s="28"/>
      <c r="W85" s="28"/>
      <c r="X85" s="23">
        <f>IF($B85="Entry",IF(AND(LEN(TRIM(UPPER(W85)))=10,CODE(MID(TRIM(UPPER(W85)),1,1))&gt;=65,CODE(MID(TRIM(UPPER(W85)),1,1))&lt;=90,CODE(MID(TRIM(UPPER(W85)),2,1))&gt;=65,CODE(MID(TRIM(UPPER(W85)),2,1))&lt;=90,CODE(MID(TRIM(UPPER(W85)),3,1))&gt;=65,CODE(MID(TRIM(UPPER(W85)),3,1))&lt;=90,CODE(MID(TRIM(UPPER(W85)),4,1))&gt;=65,CODE(MID(TRIM(UPPER(W85)),4,1))&lt;=90,CODE(MID(TRIM(UPPER(W85)),5,1))&gt;=65,CODE(MID(TRIM(UPPER(W85)),5,1))&lt;=90,CODE(MID(TRIM(UPPER(W85)),10,1))&gt;=65,CODE(MID(TRIM(UPPER(W85)),10,1))&lt;=90,CODE(MID(TRIM(UPPER(W85)),6,1))&gt;=48,CODE(MID(TRIM(UPPER(W85)),6,1))&lt;=57,CODE(MID(TRIM(UPPER(W85)),7,1))&gt;=48,CODE(MID(TRIM(UPPER(W85)),7,1))&lt;=57,CODE(MID(TRIM(UPPER(W85)),8,1))&gt;=48,CODE(MID(TRIM(UPPER(W85)),8,1))&lt;=57,CODE(MID(TRIM(UPPER(W85)),9,1))&gt;=48,CODE(MID(TRIM(UPPER(W85)),9,1))&lt;=57),"N","Y"),IF($B85="Challan","",IF(W85&lt;&gt;"","◄ Set Row Type","")))</f>
      </c>
      <c r="Y85" s="23">
        <f>IF($B85="Entry",IF(LEN(W85)&lt;4,"",IF(UPPER(MID(W85,4,1))="P","Individual",IF(UPPER(MID(W85,4,1))="H","HUF",IF(UPPER(MID(W85,4,1))="C","Company",IF(UPPER(MID(W85,4,1))="F","Firm",IF(UPPER(MID(W85,4,1))="L","LLP",IF(UPPER(MID(W85,4,1))="T","Trust",IF(UPPER(MID(W85,4,1))="A","AOP","")))))))),IF($B85="Challan","",IF(W85&lt;&gt;"","◄ Set Row Type","")))</f>
      </c>
      <c r="Z85" s="28"/>
      <c r="AA85" s="29">
        <f>IF($B85&lt;&gt;"Entry","",IF(Z85="","",IF(X85="Y",SUMPRODUCT(('Rate Lookup'!$A$1:$A$37=Z85)*'Rate Lookup'!$D$1:$D$37),IF(OR(Y85="Individual",Y85="HUF"),SUMPRODUCT(('Rate Lookup'!$A$1:$A$37=Z85)*'Rate Lookup'!$B$1:$B$37),SUMPRODUCT(('Rate Lookup'!$A$1:$A$37=Z85)*'Rate Lookup'!$C$1:$C$37)))))</f>
      </c>
      <c r="AB85" s="30"/>
      <c r="AC85" s="31"/>
      <c r="AD85" s="27">
        <f>IF($B85&lt;&gt;"Entry","",ROUND(AC85*AA85/100,0))</f>
      </c>
      <c r="AE85" s="27">
        <f>IF($B85&lt;&gt;"Entry","",0)</f>
      </c>
      <c r="AF85" s="27">
        <f>IF($B85&lt;&gt;"Entry","",0)</f>
      </c>
      <c r="AG85" s="27">
        <f>IF($B85&lt;&gt;"Entry","",IF(OR(AD85=0,AB85="",AQ85="",AQ85&lt;=0),0,IF(AQ85&lt;=DATE(YEAR(AB85),MONTH(AB85)+1,7),0,ROUND(AD85*0.015*((YEAR(AQ85)-YEAR(AB85))*12+(MONTH(AQ85)-MONTH(AB85))+1),0))))</f>
      </c>
      <c r="AH85" s="27">
        <f>IF($B85&lt;&gt;"Entry","",0)</f>
      </c>
      <c r="AI85" s="28"/>
      <c r="AJ85" s="28"/>
      <c r="AK85" s="32"/>
      <c r="AL85" s="28"/>
      <c r="AM85" s="28"/>
      <c r="AN85" s="27">
        <f>IF($B85&lt;&gt;"Challan","",SUMIF('Q1 Data'!$D$4:$D$207,D85,'Q1 Data'!$AD$4:$AD$207)+SUMIF('Q1 Data'!$D$4:$D$207,D85,'Q1 Data'!$AG$4:$AG$207)+SUMIF('Q1 Data'!$D$4:$D$207,D85,'Q1 Data'!$AE$4:$AE$207)+SUMIF('Q2 Data'!$D$4:$D$207,D85,'Q2 Data'!$AD$4:$AD$207)+SUMIF('Q2 Data'!$D$4:$D$207,D85,'Q2 Data'!$AG$4:$AG$207)+SUMIF('Q2 Data'!$D$4:$D$207,D85,'Q2 Data'!$AE$4:$AE$207)+SUMIF('Q3 Data'!$D$4:$D$207,D85,'Q3 Data'!$AD$4:$AD$207)+SUMIF('Q3 Data'!$D$4:$D$207,D85,'Q3 Data'!$AG$4:$AG$207)+SUMIF('Q3 Data'!$D$4:$D$207,D85,'Q3 Data'!$AE$4:$AE$207)+SUMIF('Q4 Data'!$D$4:$D$207,D85,'Q4 Data'!$AD$4:$AD$207)+SUMIF('Q4 Data'!$D$4:$D$207,D85,'Q4 Data'!$AG$4:$AG$207)+SUMIF('Q4 Data'!$D$4:$D$207,D85,'Q4 Data'!$AE$4:$AE$207))</f>
      </c>
      <c r="AO85" s="27">
        <f>IF($B85&lt;&gt;"Challan","",P85-N85)</f>
      </c>
      <c r="AP85" s="27">
        <f>IF($B85&lt;&gt;"Challan","",MAX(0,AO85-AN85))</f>
      </c>
      <c r="AQ85" s="33">
        <f>IF($B85&lt;&gt;"Entry","",SUMPRODUCT(('Q1 Data'!$D$4:$D$207=D85)*('Q1 Data'!$B$4:$B$207="Challan")*'Q1 Data'!$F$4:$F$207)+SUMPRODUCT(('Q2 Data'!$D$4:$D$207=D85)*('Q2 Data'!$B$4:$B$207="Challan")*'Q2 Data'!$F$4:$F$207)+SUMPRODUCT(('Q3 Data'!$D$4:$D$207=D85)*('Q3 Data'!$B$4:$B$207="Challan")*'Q3 Data'!$F$4:$F$207)+SUMPRODUCT(('Q4 Data'!$D$4:$D$207=D85)*('Q4 Data'!$B$4:$B$207="Challan")*'Q4 Data'!$F$4:$F$207))</f>
      </c>
      <c r="AR85" s="34">
        <f>IF(OR($B85&lt;&gt;"Entry",Z85=""),FALSE,AND((SUMPRODUCT(('Q1 Data'!$D$4:$D$207=D85)*('Q1 Data'!$B$4:$B$207="Challan")*('Q1 Data'!$H$4:$H$207&lt;&gt;""))+SUMPRODUCT(('Q2 Data'!$D$4:$D$207=D85)*('Q2 Data'!$B$4:$B$207="Challan")*('Q2 Data'!$H$4:$H$207&lt;&gt;""))+SUMPRODUCT(('Q3 Data'!$D$4:$D$207=D85)*('Q3 Data'!$B$4:$B$207="Challan")*('Q3 Data'!$H$4:$H$207&lt;&gt;""))+SUMPRODUCT(('Q4 Data'!$D$4:$D$207=D85)*('Q4 Data'!$B$4:$B$207="Challan")*('Q4 Data'!$H$4:$H$207&lt;&gt;"")))&gt;0,(SUMPRODUCT(('Q1 Data'!$D$4:$D$207=D85)*('Q1 Data'!$B$4:$B$207="Challan")*('Q1 Data'!$H$4:$H$207=Z85))+SUMPRODUCT(('Q2 Data'!$D$4:$D$207=D85)*('Q2 Data'!$B$4:$B$207="Challan")*('Q2 Data'!$H$4:$H$207=Z85))+SUMPRODUCT(('Q3 Data'!$D$4:$D$207=D85)*('Q3 Data'!$B$4:$B$207="Challan")*('Q3 Data'!$H$4:$H$207=Z85))+SUMPRODUCT(('Q4 Data'!$D$4:$D$207=D85)*('Q4 Data'!$B$4:$B$207="Challan")*('Q4 Data'!$H$4:$H$207=Z85)))=0))</f>
      </c>
    </row>
    <row r="86" spans="1:44" x14ac:dyDescent="0.25">
      <c r="A86" s="20">
        <f>IF($B86="Entry",COUNTIF($B$4:$B86,"Entry"),"")</f>
      </c>
      <c r="B86" s="21"/>
      <c r="C86" s="22"/>
      <c r="D86" s="22"/>
      <c r="E86" s="23">
        <f>IF($B86&lt;&gt;"Challan","",IF(ROUND(AN86-AO86,2)&gt;0,"Over-applied",IF(ROUND(AN86-AO86,2)=0,"Fully Utilised","Unconsumed")))</f>
      </c>
      <c r="F86" s="24"/>
      <c r="G86" s="25"/>
      <c r="H86" s="25"/>
      <c r="I86" s="26"/>
      <c r="J86" s="26"/>
      <c r="K86" s="26"/>
      <c r="L86" s="26"/>
      <c r="M86" s="26"/>
      <c r="N86" s="26"/>
      <c r="O86" s="26"/>
      <c r="P86" s="27">
        <f>IF($B86&lt;&gt;"Challan","",I86+J86+K86+L86+M86+N86)</f>
      </c>
      <c r="Q86" s="25"/>
      <c r="R86" s="25"/>
      <c r="S86" s="25"/>
      <c r="T86" s="25"/>
      <c r="U86" s="25"/>
      <c r="V86" s="28"/>
      <c r="W86" s="28"/>
      <c r="X86" s="23">
        <f>IF($B86="Entry",IF(AND(LEN(TRIM(UPPER(W86)))=10,CODE(MID(TRIM(UPPER(W86)),1,1))&gt;=65,CODE(MID(TRIM(UPPER(W86)),1,1))&lt;=90,CODE(MID(TRIM(UPPER(W86)),2,1))&gt;=65,CODE(MID(TRIM(UPPER(W86)),2,1))&lt;=90,CODE(MID(TRIM(UPPER(W86)),3,1))&gt;=65,CODE(MID(TRIM(UPPER(W86)),3,1))&lt;=90,CODE(MID(TRIM(UPPER(W86)),4,1))&gt;=65,CODE(MID(TRIM(UPPER(W86)),4,1))&lt;=90,CODE(MID(TRIM(UPPER(W86)),5,1))&gt;=65,CODE(MID(TRIM(UPPER(W86)),5,1))&lt;=90,CODE(MID(TRIM(UPPER(W86)),10,1))&gt;=65,CODE(MID(TRIM(UPPER(W86)),10,1))&lt;=90,CODE(MID(TRIM(UPPER(W86)),6,1))&gt;=48,CODE(MID(TRIM(UPPER(W86)),6,1))&lt;=57,CODE(MID(TRIM(UPPER(W86)),7,1))&gt;=48,CODE(MID(TRIM(UPPER(W86)),7,1))&lt;=57,CODE(MID(TRIM(UPPER(W86)),8,1))&gt;=48,CODE(MID(TRIM(UPPER(W86)),8,1))&lt;=57,CODE(MID(TRIM(UPPER(W86)),9,1))&gt;=48,CODE(MID(TRIM(UPPER(W86)),9,1))&lt;=57),"N","Y"),IF($B86="Challan","",IF(W86&lt;&gt;"","◄ Set Row Type","")))</f>
      </c>
      <c r="Y86" s="23">
        <f>IF($B86="Entry",IF(LEN(W86)&lt;4,"",IF(UPPER(MID(W86,4,1))="P","Individual",IF(UPPER(MID(W86,4,1))="H","HUF",IF(UPPER(MID(W86,4,1))="C","Company",IF(UPPER(MID(W86,4,1))="F","Firm",IF(UPPER(MID(W86,4,1))="L","LLP",IF(UPPER(MID(W86,4,1))="T","Trust",IF(UPPER(MID(W86,4,1))="A","AOP","")))))))),IF($B86="Challan","",IF(W86&lt;&gt;"","◄ Set Row Type","")))</f>
      </c>
      <c r="Z86" s="28"/>
      <c r="AA86" s="29">
        <f>IF($B86&lt;&gt;"Entry","",IF(Z86="","",IF(X86="Y",SUMPRODUCT(('Rate Lookup'!$A$1:$A$37=Z86)*'Rate Lookup'!$D$1:$D$37),IF(OR(Y86="Individual",Y86="HUF"),SUMPRODUCT(('Rate Lookup'!$A$1:$A$37=Z86)*'Rate Lookup'!$B$1:$B$37),SUMPRODUCT(('Rate Lookup'!$A$1:$A$37=Z86)*'Rate Lookup'!$C$1:$C$37)))))</f>
      </c>
      <c r="AB86" s="30"/>
      <c r="AC86" s="31"/>
      <c r="AD86" s="27">
        <f>IF($B86&lt;&gt;"Entry","",ROUND(AC86*AA86/100,0))</f>
      </c>
      <c r="AE86" s="27">
        <f>IF($B86&lt;&gt;"Entry","",0)</f>
      </c>
      <c r="AF86" s="27">
        <f>IF($B86&lt;&gt;"Entry","",0)</f>
      </c>
      <c r="AG86" s="27">
        <f>IF($B86&lt;&gt;"Entry","",IF(OR(AD86=0,AB86="",AQ86="",AQ86&lt;=0),0,IF(AQ86&lt;=DATE(YEAR(AB86),MONTH(AB86)+1,7),0,ROUND(AD86*0.015*((YEAR(AQ86)-YEAR(AB86))*12+(MONTH(AQ86)-MONTH(AB86))+1),0))))</f>
      </c>
      <c r="AH86" s="27">
        <f>IF($B86&lt;&gt;"Entry","",0)</f>
      </c>
      <c r="AI86" s="28"/>
      <c r="AJ86" s="28"/>
      <c r="AK86" s="32"/>
      <c r="AL86" s="28"/>
      <c r="AM86" s="28"/>
      <c r="AN86" s="27">
        <f>IF($B86&lt;&gt;"Challan","",SUMIF('Q1 Data'!$D$4:$D$207,D86,'Q1 Data'!$AD$4:$AD$207)+SUMIF('Q1 Data'!$D$4:$D$207,D86,'Q1 Data'!$AG$4:$AG$207)+SUMIF('Q1 Data'!$D$4:$D$207,D86,'Q1 Data'!$AE$4:$AE$207)+SUMIF('Q2 Data'!$D$4:$D$207,D86,'Q2 Data'!$AD$4:$AD$207)+SUMIF('Q2 Data'!$D$4:$D$207,D86,'Q2 Data'!$AG$4:$AG$207)+SUMIF('Q2 Data'!$D$4:$D$207,D86,'Q2 Data'!$AE$4:$AE$207)+SUMIF('Q3 Data'!$D$4:$D$207,D86,'Q3 Data'!$AD$4:$AD$207)+SUMIF('Q3 Data'!$D$4:$D$207,D86,'Q3 Data'!$AG$4:$AG$207)+SUMIF('Q3 Data'!$D$4:$D$207,D86,'Q3 Data'!$AE$4:$AE$207)+SUMIF('Q4 Data'!$D$4:$D$207,D86,'Q4 Data'!$AD$4:$AD$207)+SUMIF('Q4 Data'!$D$4:$D$207,D86,'Q4 Data'!$AG$4:$AG$207)+SUMIF('Q4 Data'!$D$4:$D$207,D86,'Q4 Data'!$AE$4:$AE$207))</f>
      </c>
      <c r="AO86" s="27">
        <f>IF($B86&lt;&gt;"Challan","",P86-N86)</f>
      </c>
      <c r="AP86" s="27">
        <f>IF($B86&lt;&gt;"Challan","",MAX(0,AO86-AN86))</f>
      </c>
      <c r="AQ86" s="33">
        <f>IF($B86&lt;&gt;"Entry","",SUMPRODUCT(('Q1 Data'!$D$4:$D$207=D86)*('Q1 Data'!$B$4:$B$207="Challan")*'Q1 Data'!$F$4:$F$207)+SUMPRODUCT(('Q2 Data'!$D$4:$D$207=D86)*('Q2 Data'!$B$4:$B$207="Challan")*'Q2 Data'!$F$4:$F$207)+SUMPRODUCT(('Q3 Data'!$D$4:$D$207=D86)*('Q3 Data'!$B$4:$B$207="Challan")*'Q3 Data'!$F$4:$F$207)+SUMPRODUCT(('Q4 Data'!$D$4:$D$207=D86)*('Q4 Data'!$B$4:$B$207="Challan")*'Q4 Data'!$F$4:$F$207))</f>
      </c>
      <c r="AR86" s="34">
        <f>IF(OR($B86&lt;&gt;"Entry",Z86=""),FALSE,AND((SUMPRODUCT(('Q1 Data'!$D$4:$D$207=D86)*('Q1 Data'!$B$4:$B$207="Challan")*('Q1 Data'!$H$4:$H$207&lt;&gt;""))+SUMPRODUCT(('Q2 Data'!$D$4:$D$207=D86)*('Q2 Data'!$B$4:$B$207="Challan")*('Q2 Data'!$H$4:$H$207&lt;&gt;""))+SUMPRODUCT(('Q3 Data'!$D$4:$D$207=D86)*('Q3 Data'!$B$4:$B$207="Challan")*('Q3 Data'!$H$4:$H$207&lt;&gt;""))+SUMPRODUCT(('Q4 Data'!$D$4:$D$207=D86)*('Q4 Data'!$B$4:$B$207="Challan")*('Q4 Data'!$H$4:$H$207&lt;&gt;"")))&gt;0,(SUMPRODUCT(('Q1 Data'!$D$4:$D$207=D86)*('Q1 Data'!$B$4:$B$207="Challan")*('Q1 Data'!$H$4:$H$207=Z86))+SUMPRODUCT(('Q2 Data'!$D$4:$D$207=D86)*('Q2 Data'!$B$4:$B$207="Challan")*('Q2 Data'!$H$4:$H$207=Z86))+SUMPRODUCT(('Q3 Data'!$D$4:$D$207=D86)*('Q3 Data'!$B$4:$B$207="Challan")*('Q3 Data'!$H$4:$H$207=Z86))+SUMPRODUCT(('Q4 Data'!$D$4:$D$207=D86)*('Q4 Data'!$B$4:$B$207="Challan")*('Q4 Data'!$H$4:$H$207=Z86)))=0))</f>
      </c>
    </row>
    <row r="87" spans="1:44" x14ac:dyDescent="0.25">
      <c r="A87" s="20">
        <f>IF($B87="Entry",COUNTIF($B$4:$B87,"Entry"),"")</f>
      </c>
      <c r="B87" s="21"/>
      <c r="C87" s="22"/>
      <c r="D87" s="22"/>
      <c r="E87" s="23">
        <f>IF($B87&lt;&gt;"Challan","",IF(ROUND(AN87-AO87,2)&gt;0,"Over-applied",IF(ROUND(AN87-AO87,2)=0,"Fully Utilised","Unconsumed")))</f>
      </c>
      <c r="F87" s="24"/>
      <c r="G87" s="25"/>
      <c r="H87" s="25"/>
      <c r="I87" s="26"/>
      <c r="J87" s="26"/>
      <c r="K87" s="26"/>
      <c r="L87" s="26"/>
      <c r="M87" s="26"/>
      <c r="N87" s="26"/>
      <c r="O87" s="26"/>
      <c r="P87" s="27">
        <f>IF($B87&lt;&gt;"Challan","",I87+J87+K87+L87+M87+N87)</f>
      </c>
      <c r="Q87" s="25"/>
      <c r="R87" s="25"/>
      <c r="S87" s="25"/>
      <c r="T87" s="25"/>
      <c r="U87" s="25"/>
      <c r="V87" s="28"/>
      <c r="W87" s="28"/>
      <c r="X87" s="23">
        <f>IF($B87="Entry",IF(AND(LEN(TRIM(UPPER(W87)))=10,CODE(MID(TRIM(UPPER(W87)),1,1))&gt;=65,CODE(MID(TRIM(UPPER(W87)),1,1))&lt;=90,CODE(MID(TRIM(UPPER(W87)),2,1))&gt;=65,CODE(MID(TRIM(UPPER(W87)),2,1))&lt;=90,CODE(MID(TRIM(UPPER(W87)),3,1))&gt;=65,CODE(MID(TRIM(UPPER(W87)),3,1))&lt;=90,CODE(MID(TRIM(UPPER(W87)),4,1))&gt;=65,CODE(MID(TRIM(UPPER(W87)),4,1))&lt;=90,CODE(MID(TRIM(UPPER(W87)),5,1))&gt;=65,CODE(MID(TRIM(UPPER(W87)),5,1))&lt;=90,CODE(MID(TRIM(UPPER(W87)),10,1))&gt;=65,CODE(MID(TRIM(UPPER(W87)),10,1))&lt;=90,CODE(MID(TRIM(UPPER(W87)),6,1))&gt;=48,CODE(MID(TRIM(UPPER(W87)),6,1))&lt;=57,CODE(MID(TRIM(UPPER(W87)),7,1))&gt;=48,CODE(MID(TRIM(UPPER(W87)),7,1))&lt;=57,CODE(MID(TRIM(UPPER(W87)),8,1))&gt;=48,CODE(MID(TRIM(UPPER(W87)),8,1))&lt;=57,CODE(MID(TRIM(UPPER(W87)),9,1))&gt;=48,CODE(MID(TRIM(UPPER(W87)),9,1))&lt;=57),"N","Y"),IF($B87="Challan","",IF(W87&lt;&gt;"","◄ Set Row Type","")))</f>
      </c>
      <c r="Y87" s="23">
        <f>IF($B87="Entry",IF(LEN(W87)&lt;4,"",IF(UPPER(MID(W87,4,1))="P","Individual",IF(UPPER(MID(W87,4,1))="H","HUF",IF(UPPER(MID(W87,4,1))="C","Company",IF(UPPER(MID(W87,4,1))="F","Firm",IF(UPPER(MID(W87,4,1))="L","LLP",IF(UPPER(MID(W87,4,1))="T","Trust",IF(UPPER(MID(W87,4,1))="A","AOP","")))))))),IF($B87="Challan","",IF(W87&lt;&gt;"","◄ Set Row Type","")))</f>
      </c>
      <c r="Z87" s="28"/>
      <c r="AA87" s="29">
        <f>IF($B87&lt;&gt;"Entry","",IF(Z87="","",IF(X87="Y",SUMPRODUCT(('Rate Lookup'!$A$1:$A$37=Z87)*'Rate Lookup'!$D$1:$D$37),IF(OR(Y87="Individual",Y87="HUF"),SUMPRODUCT(('Rate Lookup'!$A$1:$A$37=Z87)*'Rate Lookup'!$B$1:$B$37),SUMPRODUCT(('Rate Lookup'!$A$1:$A$37=Z87)*'Rate Lookup'!$C$1:$C$37)))))</f>
      </c>
      <c r="AB87" s="30"/>
      <c r="AC87" s="31"/>
      <c r="AD87" s="27">
        <f>IF($B87&lt;&gt;"Entry","",ROUND(AC87*AA87/100,0))</f>
      </c>
      <c r="AE87" s="27">
        <f>IF($B87&lt;&gt;"Entry","",0)</f>
      </c>
      <c r="AF87" s="27">
        <f>IF($B87&lt;&gt;"Entry","",0)</f>
      </c>
      <c r="AG87" s="27">
        <f>IF($B87&lt;&gt;"Entry","",IF(OR(AD87=0,AB87="",AQ87="",AQ87&lt;=0),0,IF(AQ87&lt;=DATE(YEAR(AB87),MONTH(AB87)+1,7),0,ROUND(AD87*0.015*((YEAR(AQ87)-YEAR(AB87))*12+(MONTH(AQ87)-MONTH(AB87))+1),0))))</f>
      </c>
      <c r="AH87" s="27">
        <f>IF($B87&lt;&gt;"Entry","",0)</f>
      </c>
      <c r="AI87" s="28"/>
      <c r="AJ87" s="28"/>
      <c r="AK87" s="32"/>
      <c r="AL87" s="28"/>
      <c r="AM87" s="28"/>
      <c r="AN87" s="27">
        <f>IF($B87&lt;&gt;"Challan","",SUMIF('Q1 Data'!$D$4:$D$207,D87,'Q1 Data'!$AD$4:$AD$207)+SUMIF('Q1 Data'!$D$4:$D$207,D87,'Q1 Data'!$AG$4:$AG$207)+SUMIF('Q1 Data'!$D$4:$D$207,D87,'Q1 Data'!$AE$4:$AE$207)+SUMIF('Q2 Data'!$D$4:$D$207,D87,'Q2 Data'!$AD$4:$AD$207)+SUMIF('Q2 Data'!$D$4:$D$207,D87,'Q2 Data'!$AG$4:$AG$207)+SUMIF('Q2 Data'!$D$4:$D$207,D87,'Q2 Data'!$AE$4:$AE$207)+SUMIF('Q3 Data'!$D$4:$D$207,D87,'Q3 Data'!$AD$4:$AD$207)+SUMIF('Q3 Data'!$D$4:$D$207,D87,'Q3 Data'!$AG$4:$AG$207)+SUMIF('Q3 Data'!$D$4:$D$207,D87,'Q3 Data'!$AE$4:$AE$207)+SUMIF('Q4 Data'!$D$4:$D$207,D87,'Q4 Data'!$AD$4:$AD$207)+SUMIF('Q4 Data'!$D$4:$D$207,D87,'Q4 Data'!$AG$4:$AG$207)+SUMIF('Q4 Data'!$D$4:$D$207,D87,'Q4 Data'!$AE$4:$AE$207))</f>
      </c>
      <c r="AO87" s="27">
        <f>IF($B87&lt;&gt;"Challan","",P87-N87)</f>
      </c>
      <c r="AP87" s="27">
        <f>IF($B87&lt;&gt;"Challan","",MAX(0,AO87-AN87))</f>
      </c>
      <c r="AQ87" s="33">
        <f>IF($B87&lt;&gt;"Entry","",SUMPRODUCT(('Q1 Data'!$D$4:$D$207=D87)*('Q1 Data'!$B$4:$B$207="Challan")*'Q1 Data'!$F$4:$F$207)+SUMPRODUCT(('Q2 Data'!$D$4:$D$207=D87)*('Q2 Data'!$B$4:$B$207="Challan")*'Q2 Data'!$F$4:$F$207)+SUMPRODUCT(('Q3 Data'!$D$4:$D$207=D87)*('Q3 Data'!$B$4:$B$207="Challan")*'Q3 Data'!$F$4:$F$207)+SUMPRODUCT(('Q4 Data'!$D$4:$D$207=D87)*('Q4 Data'!$B$4:$B$207="Challan")*'Q4 Data'!$F$4:$F$207))</f>
      </c>
      <c r="AR87" s="34">
        <f>IF(OR($B87&lt;&gt;"Entry",Z87=""),FALSE,AND((SUMPRODUCT(('Q1 Data'!$D$4:$D$207=D87)*('Q1 Data'!$B$4:$B$207="Challan")*('Q1 Data'!$H$4:$H$207&lt;&gt;""))+SUMPRODUCT(('Q2 Data'!$D$4:$D$207=D87)*('Q2 Data'!$B$4:$B$207="Challan")*('Q2 Data'!$H$4:$H$207&lt;&gt;""))+SUMPRODUCT(('Q3 Data'!$D$4:$D$207=D87)*('Q3 Data'!$B$4:$B$207="Challan")*('Q3 Data'!$H$4:$H$207&lt;&gt;""))+SUMPRODUCT(('Q4 Data'!$D$4:$D$207=D87)*('Q4 Data'!$B$4:$B$207="Challan")*('Q4 Data'!$H$4:$H$207&lt;&gt;"")))&gt;0,(SUMPRODUCT(('Q1 Data'!$D$4:$D$207=D87)*('Q1 Data'!$B$4:$B$207="Challan")*('Q1 Data'!$H$4:$H$207=Z87))+SUMPRODUCT(('Q2 Data'!$D$4:$D$207=D87)*('Q2 Data'!$B$4:$B$207="Challan")*('Q2 Data'!$H$4:$H$207=Z87))+SUMPRODUCT(('Q3 Data'!$D$4:$D$207=D87)*('Q3 Data'!$B$4:$B$207="Challan")*('Q3 Data'!$H$4:$H$207=Z87))+SUMPRODUCT(('Q4 Data'!$D$4:$D$207=D87)*('Q4 Data'!$B$4:$B$207="Challan")*('Q4 Data'!$H$4:$H$207=Z87)))=0))</f>
      </c>
    </row>
    <row r="88" spans="1:44" x14ac:dyDescent="0.25">
      <c r="A88" s="20">
        <f>IF($B88="Entry",COUNTIF($B$4:$B88,"Entry"),"")</f>
      </c>
      <c r="B88" s="21"/>
      <c r="C88" s="22"/>
      <c r="D88" s="22"/>
      <c r="E88" s="23">
        <f>IF($B88&lt;&gt;"Challan","",IF(ROUND(AN88-AO88,2)&gt;0,"Over-applied",IF(ROUND(AN88-AO88,2)=0,"Fully Utilised","Unconsumed")))</f>
      </c>
      <c r="F88" s="24"/>
      <c r="G88" s="25"/>
      <c r="H88" s="25"/>
      <c r="I88" s="26"/>
      <c r="J88" s="26"/>
      <c r="K88" s="26"/>
      <c r="L88" s="26"/>
      <c r="M88" s="26"/>
      <c r="N88" s="26"/>
      <c r="O88" s="26"/>
      <c r="P88" s="27">
        <f>IF($B88&lt;&gt;"Challan","",I88+J88+K88+L88+M88+N88)</f>
      </c>
      <c r="Q88" s="25"/>
      <c r="R88" s="25"/>
      <c r="S88" s="25"/>
      <c r="T88" s="25"/>
      <c r="U88" s="25"/>
      <c r="V88" s="28"/>
      <c r="W88" s="28"/>
      <c r="X88" s="23">
        <f>IF($B88="Entry",IF(AND(LEN(TRIM(UPPER(W88)))=10,CODE(MID(TRIM(UPPER(W88)),1,1))&gt;=65,CODE(MID(TRIM(UPPER(W88)),1,1))&lt;=90,CODE(MID(TRIM(UPPER(W88)),2,1))&gt;=65,CODE(MID(TRIM(UPPER(W88)),2,1))&lt;=90,CODE(MID(TRIM(UPPER(W88)),3,1))&gt;=65,CODE(MID(TRIM(UPPER(W88)),3,1))&lt;=90,CODE(MID(TRIM(UPPER(W88)),4,1))&gt;=65,CODE(MID(TRIM(UPPER(W88)),4,1))&lt;=90,CODE(MID(TRIM(UPPER(W88)),5,1))&gt;=65,CODE(MID(TRIM(UPPER(W88)),5,1))&lt;=90,CODE(MID(TRIM(UPPER(W88)),10,1))&gt;=65,CODE(MID(TRIM(UPPER(W88)),10,1))&lt;=90,CODE(MID(TRIM(UPPER(W88)),6,1))&gt;=48,CODE(MID(TRIM(UPPER(W88)),6,1))&lt;=57,CODE(MID(TRIM(UPPER(W88)),7,1))&gt;=48,CODE(MID(TRIM(UPPER(W88)),7,1))&lt;=57,CODE(MID(TRIM(UPPER(W88)),8,1))&gt;=48,CODE(MID(TRIM(UPPER(W88)),8,1))&lt;=57,CODE(MID(TRIM(UPPER(W88)),9,1))&gt;=48,CODE(MID(TRIM(UPPER(W88)),9,1))&lt;=57),"N","Y"),IF($B88="Challan","",IF(W88&lt;&gt;"","◄ Set Row Type","")))</f>
      </c>
      <c r="Y88" s="23">
        <f>IF($B88="Entry",IF(LEN(W88)&lt;4,"",IF(UPPER(MID(W88,4,1))="P","Individual",IF(UPPER(MID(W88,4,1))="H","HUF",IF(UPPER(MID(W88,4,1))="C","Company",IF(UPPER(MID(W88,4,1))="F","Firm",IF(UPPER(MID(W88,4,1))="L","LLP",IF(UPPER(MID(W88,4,1))="T","Trust",IF(UPPER(MID(W88,4,1))="A","AOP","")))))))),IF($B88="Challan","",IF(W88&lt;&gt;"","◄ Set Row Type","")))</f>
      </c>
      <c r="Z88" s="28"/>
      <c r="AA88" s="29">
        <f>IF($B88&lt;&gt;"Entry","",IF(Z88="","",IF(X88="Y",SUMPRODUCT(('Rate Lookup'!$A$1:$A$37=Z88)*'Rate Lookup'!$D$1:$D$37),IF(OR(Y88="Individual",Y88="HUF"),SUMPRODUCT(('Rate Lookup'!$A$1:$A$37=Z88)*'Rate Lookup'!$B$1:$B$37),SUMPRODUCT(('Rate Lookup'!$A$1:$A$37=Z88)*'Rate Lookup'!$C$1:$C$37)))))</f>
      </c>
      <c r="AB88" s="30"/>
      <c r="AC88" s="31"/>
      <c r="AD88" s="27">
        <f>IF($B88&lt;&gt;"Entry","",ROUND(AC88*AA88/100,0))</f>
      </c>
      <c r="AE88" s="27">
        <f>IF($B88&lt;&gt;"Entry","",0)</f>
      </c>
      <c r="AF88" s="27">
        <f>IF($B88&lt;&gt;"Entry","",0)</f>
      </c>
      <c r="AG88" s="27">
        <f>IF($B88&lt;&gt;"Entry","",IF(OR(AD88=0,AB88="",AQ88="",AQ88&lt;=0),0,IF(AQ88&lt;=DATE(YEAR(AB88),MONTH(AB88)+1,7),0,ROUND(AD88*0.015*((YEAR(AQ88)-YEAR(AB88))*12+(MONTH(AQ88)-MONTH(AB88))+1),0))))</f>
      </c>
      <c r="AH88" s="27">
        <f>IF($B88&lt;&gt;"Entry","",0)</f>
      </c>
      <c r="AI88" s="28"/>
      <c r="AJ88" s="28"/>
      <c r="AK88" s="32"/>
      <c r="AL88" s="28"/>
      <c r="AM88" s="28"/>
      <c r="AN88" s="27">
        <f>IF($B88&lt;&gt;"Challan","",SUMIF('Q1 Data'!$D$4:$D$207,D88,'Q1 Data'!$AD$4:$AD$207)+SUMIF('Q1 Data'!$D$4:$D$207,D88,'Q1 Data'!$AG$4:$AG$207)+SUMIF('Q1 Data'!$D$4:$D$207,D88,'Q1 Data'!$AE$4:$AE$207)+SUMIF('Q2 Data'!$D$4:$D$207,D88,'Q2 Data'!$AD$4:$AD$207)+SUMIF('Q2 Data'!$D$4:$D$207,D88,'Q2 Data'!$AG$4:$AG$207)+SUMIF('Q2 Data'!$D$4:$D$207,D88,'Q2 Data'!$AE$4:$AE$207)+SUMIF('Q3 Data'!$D$4:$D$207,D88,'Q3 Data'!$AD$4:$AD$207)+SUMIF('Q3 Data'!$D$4:$D$207,D88,'Q3 Data'!$AG$4:$AG$207)+SUMIF('Q3 Data'!$D$4:$D$207,D88,'Q3 Data'!$AE$4:$AE$207)+SUMIF('Q4 Data'!$D$4:$D$207,D88,'Q4 Data'!$AD$4:$AD$207)+SUMIF('Q4 Data'!$D$4:$D$207,D88,'Q4 Data'!$AG$4:$AG$207)+SUMIF('Q4 Data'!$D$4:$D$207,D88,'Q4 Data'!$AE$4:$AE$207))</f>
      </c>
      <c r="AO88" s="27">
        <f>IF($B88&lt;&gt;"Challan","",P88-N88)</f>
      </c>
      <c r="AP88" s="27">
        <f>IF($B88&lt;&gt;"Challan","",MAX(0,AO88-AN88))</f>
      </c>
      <c r="AQ88" s="33">
        <f>IF($B88&lt;&gt;"Entry","",SUMPRODUCT(('Q1 Data'!$D$4:$D$207=D88)*('Q1 Data'!$B$4:$B$207="Challan")*'Q1 Data'!$F$4:$F$207)+SUMPRODUCT(('Q2 Data'!$D$4:$D$207=D88)*('Q2 Data'!$B$4:$B$207="Challan")*'Q2 Data'!$F$4:$F$207)+SUMPRODUCT(('Q3 Data'!$D$4:$D$207=D88)*('Q3 Data'!$B$4:$B$207="Challan")*'Q3 Data'!$F$4:$F$207)+SUMPRODUCT(('Q4 Data'!$D$4:$D$207=D88)*('Q4 Data'!$B$4:$B$207="Challan")*'Q4 Data'!$F$4:$F$207))</f>
      </c>
      <c r="AR88" s="34">
        <f>IF(OR($B88&lt;&gt;"Entry",Z88=""),FALSE,AND((SUMPRODUCT(('Q1 Data'!$D$4:$D$207=D88)*('Q1 Data'!$B$4:$B$207="Challan")*('Q1 Data'!$H$4:$H$207&lt;&gt;""))+SUMPRODUCT(('Q2 Data'!$D$4:$D$207=D88)*('Q2 Data'!$B$4:$B$207="Challan")*('Q2 Data'!$H$4:$H$207&lt;&gt;""))+SUMPRODUCT(('Q3 Data'!$D$4:$D$207=D88)*('Q3 Data'!$B$4:$B$207="Challan")*('Q3 Data'!$H$4:$H$207&lt;&gt;""))+SUMPRODUCT(('Q4 Data'!$D$4:$D$207=D88)*('Q4 Data'!$B$4:$B$207="Challan")*('Q4 Data'!$H$4:$H$207&lt;&gt;"")))&gt;0,(SUMPRODUCT(('Q1 Data'!$D$4:$D$207=D88)*('Q1 Data'!$B$4:$B$207="Challan")*('Q1 Data'!$H$4:$H$207=Z88))+SUMPRODUCT(('Q2 Data'!$D$4:$D$207=D88)*('Q2 Data'!$B$4:$B$207="Challan")*('Q2 Data'!$H$4:$H$207=Z88))+SUMPRODUCT(('Q3 Data'!$D$4:$D$207=D88)*('Q3 Data'!$B$4:$B$207="Challan")*('Q3 Data'!$H$4:$H$207=Z88))+SUMPRODUCT(('Q4 Data'!$D$4:$D$207=D88)*('Q4 Data'!$B$4:$B$207="Challan")*('Q4 Data'!$H$4:$H$207=Z88)))=0))</f>
      </c>
    </row>
    <row r="89" spans="1:44" x14ac:dyDescent="0.25">
      <c r="A89" s="20">
        <f>IF($B89="Entry",COUNTIF($B$4:$B89,"Entry"),"")</f>
      </c>
      <c r="B89" s="21"/>
      <c r="C89" s="22"/>
      <c r="D89" s="22"/>
      <c r="E89" s="23">
        <f>IF($B89&lt;&gt;"Challan","",IF(ROUND(AN89-AO89,2)&gt;0,"Over-applied",IF(ROUND(AN89-AO89,2)=0,"Fully Utilised","Unconsumed")))</f>
      </c>
      <c r="F89" s="24"/>
      <c r="G89" s="25"/>
      <c r="H89" s="25"/>
      <c r="I89" s="26"/>
      <c r="J89" s="26"/>
      <c r="K89" s="26"/>
      <c r="L89" s="26"/>
      <c r="M89" s="26"/>
      <c r="N89" s="26"/>
      <c r="O89" s="26"/>
      <c r="P89" s="27">
        <f>IF($B89&lt;&gt;"Challan","",I89+J89+K89+L89+M89+N89)</f>
      </c>
      <c r="Q89" s="25"/>
      <c r="R89" s="25"/>
      <c r="S89" s="25"/>
      <c r="T89" s="25"/>
      <c r="U89" s="25"/>
      <c r="V89" s="28"/>
      <c r="W89" s="28"/>
      <c r="X89" s="23">
        <f>IF($B89="Entry",IF(AND(LEN(TRIM(UPPER(W89)))=10,CODE(MID(TRIM(UPPER(W89)),1,1))&gt;=65,CODE(MID(TRIM(UPPER(W89)),1,1))&lt;=90,CODE(MID(TRIM(UPPER(W89)),2,1))&gt;=65,CODE(MID(TRIM(UPPER(W89)),2,1))&lt;=90,CODE(MID(TRIM(UPPER(W89)),3,1))&gt;=65,CODE(MID(TRIM(UPPER(W89)),3,1))&lt;=90,CODE(MID(TRIM(UPPER(W89)),4,1))&gt;=65,CODE(MID(TRIM(UPPER(W89)),4,1))&lt;=90,CODE(MID(TRIM(UPPER(W89)),5,1))&gt;=65,CODE(MID(TRIM(UPPER(W89)),5,1))&lt;=90,CODE(MID(TRIM(UPPER(W89)),10,1))&gt;=65,CODE(MID(TRIM(UPPER(W89)),10,1))&lt;=90,CODE(MID(TRIM(UPPER(W89)),6,1))&gt;=48,CODE(MID(TRIM(UPPER(W89)),6,1))&lt;=57,CODE(MID(TRIM(UPPER(W89)),7,1))&gt;=48,CODE(MID(TRIM(UPPER(W89)),7,1))&lt;=57,CODE(MID(TRIM(UPPER(W89)),8,1))&gt;=48,CODE(MID(TRIM(UPPER(W89)),8,1))&lt;=57,CODE(MID(TRIM(UPPER(W89)),9,1))&gt;=48,CODE(MID(TRIM(UPPER(W89)),9,1))&lt;=57),"N","Y"),IF($B89="Challan","",IF(W89&lt;&gt;"","◄ Set Row Type","")))</f>
      </c>
      <c r="Y89" s="23">
        <f>IF($B89="Entry",IF(LEN(W89)&lt;4,"",IF(UPPER(MID(W89,4,1))="P","Individual",IF(UPPER(MID(W89,4,1))="H","HUF",IF(UPPER(MID(W89,4,1))="C","Company",IF(UPPER(MID(W89,4,1))="F","Firm",IF(UPPER(MID(W89,4,1))="L","LLP",IF(UPPER(MID(W89,4,1))="T","Trust",IF(UPPER(MID(W89,4,1))="A","AOP","")))))))),IF($B89="Challan","",IF(W89&lt;&gt;"","◄ Set Row Type","")))</f>
      </c>
      <c r="Z89" s="28"/>
      <c r="AA89" s="29">
        <f>IF($B89&lt;&gt;"Entry","",IF(Z89="","",IF(X89="Y",SUMPRODUCT(('Rate Lookup'!$A$1:$A$37=Z89)*'Rate Lookup'!$D$1:$D$37),IF(OR(Y89="Individual",Y89="HUF"),SUMPRODUCT(('Rate Lookup'!$A$1:$A$37=Z89)*'Rate Lookup'!$B$1:$B$37),SUMPRODUCT(('Rate Lookup'!$A$1:$A$37=Z89)*'Rate Lookup'!$C$1:$C$37)))))</f>
      </c>
      <c r="AB89" s="30"/>
      <c r="AC89" s="31"/>
      <c r="AD89" s="27">
        <f>IF($B89&lt;&gt;"Entry","",ROUND(AC89*AA89/100,0))</f>
      </c>
      <c r="AE89" s="27">
        <f>IF($B89&lt;&gt;"Entry","",0)</f>
      </c>
      <c r="AF89" s="27">
        <f>IF($B89&lt;&gt;"Entry","",0)</f>
      </c>
      <c r="AG89" s="27">
        <f>IF($B89&lt;&gt;"Entry","",IF(OR(AD89=0,AB89="",AQ89="",AQ89&lt;=0),0,IF(AQ89&lt;=DATE(YEAR(AB89),MONTH(AB89)+1,7),0,ROUND(AD89*0.015*((YEAR(AQ89)-YEAR(AB89))*12+(MONTH(AQ89)-MONTH(AB89))+1),0))))</f>
      </c>
      <c r="AH89" s="27">
        <f>IF($B89&lt;&gt;"Entry","",0)</f>
      </c>
      <c r="AI89" s="28"/>
      <c r="AJ89" s="28"/>
      <c r="AK89" s="32"/>
      <c r="AL89" s="28"/>
      <c r="AM89" s="28"/>
      <c r="AN89" s="27">
        <f>IF($B89&lt;&gt;"Challan","",SUMIF('Q1 Data'!$D$4:$D$207,D89,'Q1 Data'!$AD$4:$AD$207)+SUMIF('Q1 Data'!$D$4:$D$207,D89,'Q1 Data'!$AG$4:$AG$207)+SUMIF('Q1 Data'!$D$4:$D$207,D89,'Q1 Data'!$AE$4:$AE$207)+SUMIF('Q2 Data'!$D$4:$D$207,D89,'Q2 Data'!$AD$4:$AD$207)+SUMIF('Q2 Data'!$D$4:$D$207,D89,'Q2 Data'!$AG$4:$AG$207)+SUMIF('Q2 Data'!$D$4:$D$207,D89,'Q2 Data'!$AE$4:$AE$207)+SUMIF('Q3 Data'!$D$4:$D$207,D89,'Q3 Data'!$AD$4:$AD$207)+SUMIF('Q3 Data'!$D$4:$D$207,D89,'Q3 Data'!$AG$4:$AG$207)+SUMIF('Q3 Data'!$D$4:$D$207,D89,'Q3 Data'!$AE$4:$AE$207)+SUMIF('Q4 Data'!$D$4:$D$207,D89,'Q4 Data'!$AD$4:$AD$207)+SUMIF('Q4 Data'!$D$4:$D$207,D89,'Q4 Data'!$AG$4:$AG$207)+SUMIF('Q4 Data'!$D$4:$D$207,D89,'Q4 Data'!$AE$4:$AE$207))</f>
      </c>
      <c r="AO89" s="27">
        <f>IF($B89&lt;&gt;"Challan","",P89-N89)</f>
      </c>
      <c r="AP89" s="27">
        <f>IF($B89&lt;&gt;"Challan","",MAX(0,AO89-AN89))</f>
      </c>
      <c r="AQ89" s="33">
        <f>IF($B89&lt;&gt;"Entry","",SUMPRODUCT(('Q1 Data'!$D$4:$D$207=D89)*('Q1 Data'!$B$4:$B$207="Challan")*'Q1 Data'!$F$4:$F$207)+SUMPRODUCT(('Q2 Data'!$D$4:$D$207=D89)*('Q2 Data'!$B$4:$B$207="Challan")*'Q2 Data'!$F$4:$F$207)+SUMPRODUCT(('Q3 Data'!$D$4:$D$207=D89)*('Q3 Data'!$B$4:$B$207="Challan")*'Q3 Data'!$F$4:$F$207)+SUMPRODUCT(('Q4 Data'!$D$4:$D$207=D89)*('Q4 Data'!$B$4:$B$207="Challan")*'Q4 Data'!$F$4:$F$207))</f>
      </c>
      <c r="AR89" s="34">
        <f>IF(OR($B89&lt;&gt;"Entry",Z89=""),FALSE,AND((SUMPRODUCT(('Q1 Data'!$D$4:$D$207=D89)*('Q1 Data'!$B$4:$B$207="Challan")*('Q1 Data'!$H$4:$H$207&lt;&gt;""))+SUMPRODUCT(('Q2 Data'!$D$4:$D$207=D89)*('Q2 Data'!$B$4:$B$207="Challan")*('Q2 Data'!$H$4:$H$207&lt;&gt;""))+SUMPRODUCT(('Q3 Data'!$D$4:$D$207=D89)*('Q3 Data'!$B$4:$B$207="Challan")*('Q3 Data'!$H$4:$H$207&lt;&gt;""))+SUMPRODUCT(('Q4 Data'!$D$4:$D$207=D89)*('Q4 Data'!$B$4:$B$207="Challan")*('Q4 Data'!$H$4:$H$207&lt;&gt;"")))&gt;0,(SUMPRODUCT(('Q1 Data'!$D$4:$D$207=D89)*('Q1 Data'!$B$4:$B$207="Challan")*('Q1 Data'!$H$4:$H$207=Z89))+SUMPRODUCT(('Q2 Data'!$D$4:$D$207=D89)*('Q2 Data'!$B$4:$B$207="Challan")*('Q2 Data'!$H$4:$H$207=Z89))+SUMPRODUCT(('Q3 Data'!$D$4:$D$207=D89)*('Q3 Data'!$B$4:$B$207="Challan")*('Q3 Data'!$H$4:$H$207=Z89))+SUMPRODUCT(('Q4 Data'!$D$4:$D$207=D89)*('Q4 Data'!$B$4:$B$207="Challan")*('Q4 Data'!$H$4:$H$207=Z89)))=0))</f>
      </c>
    </row>
    <row r="90" spans="1:44" x14ac:dyDescent="0.25">
      <c r="A90" s="20">
        <f>IF($B90="Entry",COUNTIF($B$4:$B90,"Entry"),"")</f>
      </c>
      <c r="B90" s="21"/>
      <c r="C90" s="22"/>
      <c r="D90" s="22"/>
      <c r="E90" s="23">
        <f>IF($B90&lt;&gt;"Challan","",IF(ROUND(AN90-AO90,2)&gt;0,"Over-applied",IF(ROUND(AN90-AO90,2)=0,"Fully Utilised","Unconsumed")))</f>
      </c>
      <c r="F90" s="24"/>
      <c r="G90" s="25"/>
      <c r="H90" s="25"/>
      <c r="I90" s="26"/>
      <c r="J90" s="26"/>
      <c r="K90" s="26"/>
      <c r="L90" s="26"/>
      <c r="M90" s="26"/>
      <c r="N90" s="26"/>
      <c r="O90" s="26"/>
      <c r="P90" s="27">
        <f>IF($B90&lt;&gt;"Challan","",I90+J90+K90+L90+M90+N90)</f>
      </c>
      <c r="Q90" s="25"/>
      <c r="R90" s="25"/>
      <c r="S90" s="25"/>
      <c r="T90" s="25"/>
      <c r="U90" s="25"/>
      <c r="V90" s="28"/>
      <c r="W90" s="28"/>
      <c r="X90" s="23">
        <f>IF($B90="Entry",IF(AND(LEN(TRIM(UPPER(W90)))=10,CODE(MID(TRIM(UPPER(W90)),1,1))&gt;=65,CODE(MID(TRIM(UPPER(W90)),1,1))&lt;=90,CODE(MID(TRIM(UPPER(W90)),2,1))&gt;=65,CODE(MID(TRIM(UPPER(W90)),2,1))&lt;=90,CODE(MID(TRIM(UPPER(W90)),3,1))&gt;=65,CODE(MID(TRIM(UPPER(W90)),3,1))&lt;=90,CODE(MID(TRIM(UPPER(W90)),4,1))&gt;=65,CODE(MID(TRIM(UPPER(W90)),4,1))&lt;=90,CODE(MID(TRIM(UPPER(W90)),5,1))&gt;=65,CODE(MID(TRIM(UPPER(W90)),5,1))&lt;=90,CODE(MID(TRIM(UPPER(W90)),10,1))&gt;=65,CODE(MID(TRIM(UPPER(W90)),10,1))&lt;=90,CODE(MID(TRIM(UPPER(W90)),6,1))&gt;=48,CODE(MID(TRIM(UPPER(W90)),6,1))&lt;=57,CODE(MID(TRIM(UPPER(W90)),7,1))&gt;=48,CODE(MID(TRIM(UPPER(W90)),7,1))&lt;=57,CODE(MID(TRIM(UPPER(W90)),8,1))&gt;=48,CODE(MID(TRIM(UPPER(W90)),8,1))&lt;=57,CODE(MID(TRIM(UPPER(W90)),9,1))&gt;=48,CODE(MID(TRIM(UPPER(W90)),9,1))&lt;=57),"N","Y"),IF($B90="Challan","",IF(W90&lt;&gt;"","◄ Set Row Type","")))</f>
      </c>
      <c r="Y90" s="23">
        <f>IF($B90="Entry",IF(LEN(W90)&lt;4,"",IF(UPPER(MID(W90,4,1))="P","Individual",IF(UPPER(MID(W90,4,1))="H","HUF",IF(UPPER(MID(W90,4,1))="C","Company",IF(UPPER(MID(W90,4,1))="F","Firm",IF(UPPER(MID(W90,4,1))="L","LLP",IF(UPPER(MID(W90,4,1))="T","Trust",IF(UPPER(MID(W90,4,1))="A","AOP","")))))))),IF($B90="Challan","",IF(W90&lt;&gt;"","◄ Set Row Type","")))</f>
      </c>
      <c r="Z90" s="28"/>
      <c r="AA90" s="29">
        <f>IF($B90&lt;&gt;"Entry","",IF(Z90="","",IF(X90="Y",SUMPRODUCT(('Rate Lookup'!$A$1:$A$37=Z90)*'Rate Lookup'!$D$1:$D$37),IF(OR(Y90="Individual",Y90="HUF"),SUMPRODUCT(('Rate Lookup'!$A$1:$A$37=Z90)*'Rate Lookup'!$B$1:$B$37),SUMPRODUCT(('Rate Lookup'!$A$1:$A$37=Z90)*'Rate Lookup'!$C$1:$C$37)))))</f>
      </c>
      <c r="AB90" s="30"/>
      <c r="AC90" s="31"/>
      <c r="AD90" s="27">
        <f>IF($B90&lt;&gt;"Entry","",ROUND(AC90*AA90/100,0))</f>
      </c>
      <c r="AE90" s="27">
        <f>IF($B90&lt;&gt;"Entry","",0)</f>
      </c>
      <c r="AF90" s="27">
        <f>IF($B90&lt;&gt;"Entry","",0)</f>
      </c>
      <c r="AG90" s="27">
        <f>IF($B90&lt;&gt;"Entry","",IF(OR(AD90=0,AB90="",AQ90="",AQ90&lt;=0),0,IF(AQ90&lt;=DATE(YEAR(AB90),MONTH(AB90)+1,7),0,ROUND(AD90*0.015*((YEAR(AQ90)-YEAR(AB90))*12+(MONTH(AQ90)-MONTH(AB90))+1),0))))</f>
      </c>
      <c r="AH90" s="27">
        <f>IF($B90&lt;&gt;"Entry","",0)</f>
      </c>
      <c r="AI90" s="28"/>
      <c r="AJ90" s="28"/>
      <c r="AK90" s="32"/>
      <c r="AL90" s="28"/>
      <c r="AM90" s="28"/>
      <c r="AN90" s="27">
        <f>IF($B90&lt;&gt;"Challan","",SUMIF('Q1 Data'!$D$4:$D$207,D90,'Q1 Data'!$AD$4:$AD$207)+SUMIF('Q1 Data'!$D$4:$D$207,D90,'Q1 Data'!$AG$4:$AG$207)+SUMIF('Q1 Data'!$D$4:$D$207,D90,'Q1 Data'!$AE$4:$AE$207)+SUMIF('Q2 Data'!$D$4:$D$207,D90,'Q2 Data'!$AD$4:$AD$207)+SUMIF('Q2 Data'!$D$4:$D$207,D90,'Q2 Data'!$AG$4:$AG$207)+SUMIF('Q2 Data'!$D$4:$D$207,D90,'Q2 Data'!$AE$4:$AE$207)+SUMIF('Q3 Data'!$D$4:$D$207,D90,'Q3 Data'!$AD$4:$AD$207)+SUMIF('Q3 Data'!$D$4:$D$207,D90,'Q3 Data'!$AG$4:$AG$207)+SUMIF('Q3 Data'!$D$4:$D$207,D90,'Q3 Data'!$AE$4:$AE$207)+SUMIF('Q4 Data'!$D$4:$D$207,D90,'Q4 Data'!$AD$4:$AD$207)+SUMIF('Q4 Data'!$D$4:$D$207,D90,'Q4 Data'!$AG$4:$AG$207)+SUMIF('Q4 Data'!$D$4:$D$207,D90,'Q4 Data'!$AE$4:$AE$207))</f>
      </c>
      <c r="AO90" s="27">
        <f>IF($B90&lt;&gt;"Challan","",P90-N90)</f>
      </c>
      <c r="AP90" s="27">
        <f>IF($B90&lt;&gt;"Challan","",MAX(0,AO90-AN90))</f>
      </c>
      <c r="AQ90" s="33">
        <f>IF($B90&lt;&gt;"Entry","",SUMPRODUCT(('Q1 Data'!$D$4:$D$207=D90)*('Q1 Data'!$B$4:$B$207="Challan")*'Q1 Data'!$F$4:$F$207)+SUMPRODUCT(('Q2 Data'!$D$4:$D$207=D90)*('Q2 Data'!$B$4:$B$207="Challan")*'Q2 Data'!$F$4:$F$207)+SUMPRODUCT(('Q3 Data'!$D$4:$D$207=D90)*('Q3 Data'!$B$4:$B$207="Challan")*'Q3 Data'!$F$4:$F$207)+SUMPRODUCT(('Q4 Data'!$D$4:$D$207=D90)*('Q4 Data'!$B$4:$B$207="Challan")*'Q4 Data'!$F$4:$F$207))</f>
      </c>
      <c r="AR90" s="34">
        <f>IF(OR($B90&lt;&gt;"Entry",Z90=""),FALSE,AND((SUMPRODUCT(('Q1 Data'!$D$4:$D$207=D90)*('Q1 Data'!$B$4:$B$207="Challan")*('Q1 Data'!$H$4:$H$207&lt;&gt;""))+SUMPRODUCT(('Q2 Data'!$D$4:$D$207=D90)*('Q2 Data'!$B$4:$B$207="Challan")*('Q2 Data'!$H$4:$H$207&lt;&gt;""))+SUMPRODUCT(('Q3 Data'!$D$4:$D$207=D90)*('Q3 Data'!$B$4:$B$207="Challan")*('Q3 Data'!$H$4:$H$207&lt;&gt;""))+SUMPRODUCT(('Q4 Data'!$D$4:$D$207=D90)*('Q4 Data'!$B$4:$B$207="Challan")*('Q4 Data'!$H$4:$H$207&lt;&gt;"")))&gt;0,(SUMPRODUCT(('Q1 Data'!$D$4:$D$207=D90)*('Q1 Data'!$B$4:$B$207="Challan")*('Q1 Data'!$H$4:$H$207=Z90))+SUMPRODUCT(('Q2 Data'!$D$4:$D$207=D90)*('Q2 Data'!$B$4:$B$207="Challan")*('Q2 Data'!$H$4:$H$207=Z90))+SUMPRODUCT(('Q3 Data'!$D$4:$D$207=D90)*('Q3 Data'!$B$4:$B$207="Challan")*('Q3 Data'!$H$4:$H$207=Z90))+SUMPRODUCT(('Q4 Data'!$D$4:$D$207=D90)*('Q4 Data'!$B$4:$B$207="Challan")*('Q4 Data'!$H$4:$H$207=Z90)))=0))</f>
      </c>
    </row>
    <row r="91" spans="1:44" x14ac:dyDescent="0.25">
      <c r="A91" s="20">
        <f>IF($B91="Entry",COUNTIF($B$4:$B91,"Entry"),"")</f>
      </c>
      <c r="B91" s="21"/>
      <c r="C91" s="22"/>
      <c r="D91" s="22"/>
      <c r="E91" s="23">
        <f>IF($B91&lt;&gt;"Challan","",IF(ROUND(AN91-AO91,2)&gt;0,"Over-applied",IF(ROUND(AN91-AO91,2)=0,"Fully Utilised","Unconsumed")))</f>
      </c>
      <c r="F91" s="24"/>
      <c r="G91" s="25"/>
      <c r="H91" s="25"/>
      <c r="I91" s="26"/>
      <c r="J91" s="26"/>
      <c r="K91" s="26"/>
      <c r="L91" s="26"/>
      <c r="M91" s="26"/>
      <c r="N91" s="26"/>
      <c r="O91" s="26"/>
      <c r="P91" s="27">
        <f>IF($B91&lt;&gt;"Challan","",I91+J91+K91+L91+M91+N91)</f>
      </c>
      <c r="Q91" s="25"/>
      <c r="R91" s="25"/>
      <c r="S91" s="25"/>
      <c r="T91" s="25"/>
      <c r="U91" s="25"/>
      <c r="V91" s="28"/>
      <c r="W91" s="28"/>
      <c r="X91" s="23">
        <f>IF($B91="Entry",IF(AND(LEN(TRIM(UPPER(W91)))=10,CODE(MID(TRIM(UPPER(W91)),1,1))&gt;=65,CODE(MID(TRIM(UPPER(W91)),1,1))&lt;=90,CODE(MID(TRIM(UPPER(W91)),2,1))&gt;=65,CODE(MID(TRIM(UPPER(W91)),2,1))&lt;=90,CODE(MID(TRIM(UPPER(W91)),3,1))&gt;=65,CODE(MID(TRIM(UPPER(W91)),3,1))&lt;=90,CODE(MID(TRIM(UPPER(W91)),4,1))&gt;=65,CODE(MID(TRIM(UPPER(W91)),4,1))&lt;=90,CODE(MID(TRIM(UPPER(W91)),5,1))&gt;=65,CODE(MID(TRIM(UPPER(W91)),5,1))&lt;=90,CODE(MID(TRIM(UPPER(W91)),10,1))&gt;=65,CODE(MID(TRIM(UPPER(W91)),10,1))&lt;=90,CODE(MID(TRIM(UPPER(W91)),6,1))&gt;=48,CODE(MID(TRIM(UPPER(W91)),6,1))&lt;=57,CODE(MID(TRIM(UPPER(W91)),7,1))&gt;=48,CODE(MID(TRIM(UPPER(W91)),7,1))&lt;=57,CODE(MID(TRIM(UPPER(W91)),8,1))&gt;=48,CODE(MID(TRIM(UPPER(W91)),8,1))&lt;=57,CODE(MID(TRIM(UPPER(W91)),9,1))&gt;=48,CODE(MID(TRIM(UPPER(W91)),9,1))&lt;=57),"N","Y"),IF($B91="Challan","",IF(W91&lt;&gt;"","◄ Set Row Type","")))</f>
      </c>
      <c r="Y91" s="23">
        <f>IF($B91="Entry",IF(LEN(W91)&lt;4,"",IF(UPPER(MID(W91,4,1))="P","Individual",IF(UPPER(MID(W91,4,1))="H","HUF",IF(UPPER(MID(W91,4,1))="C","Company",IF(UPPER(MID(W91,4,1))="F","Firm",IF(UPPER(MID(W91,4,1))="L","LLP",IF(UPPER(MID(W91,4,1))="T","Trust",IF(UPPER(MID(W91,4,1))="A","AOP","")))))))),IF($B91="Challan","",IF(W91&lt;&gt;"","◄ Set Row Type","")))</f>
      </c>
      <c r="Z91" s="28"/>
      <c r="AA91" s="29">
        <f>IF($B91&lt;&gt;"Entry","",IF(Z91="","",IF(X91="Y",SUMPRODUCT(('Rate Lookup'!$A$1:$A$37=Z91)*'Rate Lookup'!$D$1:$D$37),IF(OR(Y91="Individual",Y91="HUF"),SUMPRODUCT(('Rate Lookup'!$A$1:$A$37=Z91)*'Rate Lookup'!$B$1:$B$37),SUMPRODUCT(('Rate Lookup'!$A$1:$A$37=Z91)*'Rate Lookup'!$C$1:$C$37)))))</f>
      </c>
      <c r="AB91" s="30"/>
      <c r="AC91" s="31"/>
      <c r="AD91" s="27">
        <f>IF($B91&lt;&gt;"Entry","",ROUND(AC91*AA91/100,0))</f>
      </c>
      <c r="AE91" s="27">
        <f>IF($B91&lt;&gt;"Entry","",0)</f>
      </c>
      <c r="AF91" s="27">
        <f>IF($B91&lt;&gt;"Entry","",0)</f>
      </c>
      <c r="AG91" s="27">
        <f>IF($B91&lt;&gt;"Entry","",IF(OR(AD91=0,AB91="",AQ91="",AQ91&lt;=0),0,IF(AQ91&lt;=DATE(YEAR(AB91),MONTH(AB91)+1,7),0,ROUND(AD91*0.015*((YEAR(AQ91)-YEAR(AB91))*12+(MONTH(AQ91)-MONTH(AB91))+1),0))))</f>
      </c>
      <c r="AH91" s="27">
        <f>IF($B91&lt;&gt;"Entry","",0)</f>
      </c>
      <c r="AI91" s="28"/>
      <c r="AJ91" s="28"/>
      <c r="AK91" s="32"/>
      <c r="AL91" s="28"/>
      <c r="AM91" s="28"/>
      <c r="AN91" s="27">
        <f>IF($B91&lt;&gt;"Challan","",SUMIF('Q1 Data'!$D$4:$D$207,D91,'Q1 Data'!$AD$4:$AD$207)+SUMIF('Q1 Data'!$D$4:$D$207,D91,'Q1 Data'!$AG$4:$AG$207)+SUMIF('Q1 Data'!$D$4:$D$207,D91,'Q1 Data'!$AE$4:$AE$207)+SUMIF('Q2 Data'!$D$4:$D$207,D91,'Q2 Data'!$AD$4:$AD$207)+SUMIF('Q2 Data'!$D$4:$D$207,D91,'Q2 Data'!$AG$4:$AG$207)+SUMIF('Q2 Data'!$D$4:$D$207,D91,'Q2 Data'!$AE$4:$AE$207)+SUMIF('Q3 Data'!$D$4:$D$207,D91,'Q3 Data'!$AD$4:$AD$207)+SUMIF('Q3 Data'!$D$4:$D$207,D91,'Q3 Data'!$AG$4:$AG$207)+SUMIF('Q3 Data'!$D$4:$D$207,D91,'Q3 Data'!$AE$4:$AE$207)+SUMIF('Q4 Data'!$D$4:$D$207,D91,'Q4 Data'!$AD$4:$AD$207)+SUMIF('Q4 Data'!$D$4:$D$207,D91,'Q4 Data'!$AG$4:$AG$207)+SUMIF('Q4 Data'!$D$4:$D$207,D91,'Q4 Data'!$AE$4:$AE$207))</f>
      </c>
      <c r="AO91" s="27">
        <f>IF($B91&lt;&gt;"Challan","",P91-N91)</f>
      </c>
      <c r="AP91" s="27">
        <f>IF($B91&lt;&gt;"Challan","",MAX(0,AO91-AN91))</f>
      </c>
      <c r="AQ91" s="33">
        <f>IF($B91&lt;&gt;"Entry","",SUMPRODUCT(('Q1 Data'!$D$4:$D$207=D91)*('Q1 Data'!$B$4:$B$207="Challan")*'Q1 Data'!$F$4:$F$207)+SUMPRODUCT(('Q2 Data'!$D$4:$D$207=D91)*('Q2 Data'!$B$4:$B$207="Challan")*'Q2 Data'!$F$4:$F$207)+SUMPRODUCT(('Q3 Data'!$D$4:$D$207=D91)*('Q3 Data'!$B$4:$B$207="Challan")*'Q3 Data'!$F$4:$F$207)+SUMPRODUCT(('Q4 Data'!$D$4:$D$207=D91)*('Q4 Data'!$B$4:$B$207="Challan")*'Q4 Data'!$F$4:$F$207))</f>
      </c>
      <c r="AR91" s="34">
        <f>IF(OR($B91&lt;&gt;"Entry",Z91=""),FALSE,AND((SUMPRODUCT(('Q1 Data'!$D$4:$D$207=D91)*('Q1 Data'!$B$4:$B$207="Challan")*('Q1 Data'!$H$4:$H$207&lt;&gt;""))+SUMPRODUCT(('Q2 Data'!$D$4:$D$207=D91)*('Q2 Data'!$B$4:$B$207="Challan")*('Q2 Data'!$H$4:$H$207&lt;&gt;""))+SUMPRODUCT(('Q3 Data'!$D$4:$D$207=D91)*('Q3 Data'!$B$4:$B$207="Challan")*('Q3 Data'!$H$4:$H$207&lt;&gt;""))+SUMPRODUCT(('Q4 Data'!$D$4:$D$207=D91)*('Q4 Data'!$B$4:$B$207="Challan")*('Q4 Data'!$H$4:$H$207&lt;&gt;"")))&gt;0,(SUMPRODUCT(('Q1 Data'!$D$4:$D$207=D91)*('Q1 Data'!$B$4:$B$207="Challan")*('Q1 Data'!$H$4:$H$207=Z91))+SUMPRODUCT(('Q2 Data'!$D$4:$D$207=D91)*('Q2 Data'!$B$4:$B$207="Challan")*('Q2 Data'!$H$4:$H$207=Z91))+SUMPRODUCT(('Q3 Data'!$D$4:$D$207=D91)*('Q3 Data'!$B$4:$B$207="Challan")*('Q3 Data'!$H$4:$H$207=Z91))+SUMPRODUCT(('Q4 Data'!$D$4:$D$207=D91)*('Q4 Data'!$B$4:$B$207="Challan")*('Q4 Data'!$H$4:$H$207=Z91)))=0))</f>
      </c>
    </row>
    <row r="92" spans="1:44" x14ac:dyDescent="0.25">
      <c r="A92" s="20">
        <f>IF($B92="Entry",COUNTIF($B$4:$B92,"Entry"),"")</f>
      </c>
      <c r="B92" s="21"/>
      <c r="C92" s="22"/>
      <c r="D92" s="22"/>
      <c r="E92" s="23">
        <f>IF($B92&lt;&gt;"Challan","",IF(ROUND(AN92-AO92,2)&gt;0,"Over-applied",IF(ROUND(AN92-AO92,2)=0,"Fully Utilised","Unconsumed")))</f>
      </c>
      <c r="F92" s="24"/>
      <c r="G92" s="25"/>
      <c r="H92" s="25"/>
      <c r="I92" s="26"/>
      <c r="J92" s="26"/>
      <c r="K92" s="26"/>
      <c r="L92" s="26"/>
      <c r="M92" s="26"/>
      <c r="N92" s="26"/>
      <c r="O92" s="26"/>
      <c r="P92" s="27">
        <f>IF($B92&lt;&gt;"Challan","",I92+J92+K92+L92+M92+N92)</f>
      </c>
      <c r="Q92" s="25"/>
      <c r="R92" s="25"/>
      <c r="S92" s="25"/>
      <c r="T92" s="25"/>
      <c r="U92" s="25"/>
      <c r="V92" s="28"/>
      <c r="W92" s="28"/>
      <c r="X92" s="23">
        <f>IF($B92="Entry",IF(AND(LEN(TRIM(UPPER(W92)))=10,CODE(MID(TRIM(UPPER(W92)),1,1))&gt;=65,CODE(MID(TRIM(UPPER(W92)),1,1))&lt;=90,CODE(MID(TRIM(UPPER(W92)),2,1))&gt;=65,CODE(MID(TRIM(UPPER(W92)),2,1))&lt;=90,CODE(MID(TRIM(UPPER(W92)),3,1))&gt;=65,CODE(MID(TRIM(UPPER(W92)),3,1))&lt;=90,CODE(MID(TRIM(UPPER(W92)),4,1))&gt;=65,CODE(MID(TRIM(UPPER(W92)),4,1))&lt;=90,CODE(MID(TRIM(UPPER(W92)),5,1))&gt;=65,CODE(MID(TRIM(UPPER(W92)),5,1))&lt;=90,CODE(MID(TRIM(UPPER(W92)),10,1))&gt;=65,CODE(MID(TRIM(UPPER(W92)),10,1))&lt;=90,CODE(MID(TRIM(UPPER(W92)),6,1))&gt;=48,CODE(MID(TRIM(UPPER(W92)),6,1))&lt;=57,CODE(MID(TRIM(UPPER(W92)),7,1))&gt;=48,CODE(MID(TRIM(UPPER(W92)),7,1))&lt;=57,CODE(MID(TRIM(UPPER(W92)),8,1))&gt;=48,CODE(MID(TRIM(UPPER(W92)),8,1))&lt;=57,CODE(MID(TRIM(UPPER(W92)),9,1))&gt;=48,CODE(MID(TRIM(UPPER(W92)),9,1))&lt;=57),"N","Y"),IF($B92="Challan","",IF(W92&lt;&gt;"","◄ Set Row Type","")))</f>
      </c>
      <c r="Y92" s="23">
        <f>IF($B92="Entry",IF(LEN(W92)&lt;4,"",IF(UPPER(MID(W92,4,1))="P","Individual",IF(UPPER(MID(W92,4,1))="H","HUF",IF(UPPER(MID(W92,4,1))="C","Company",IF(UPPER(MID(W92,4,1))="F","Firm",IF(UPPER(MID(W92,4,1))="L","LLP",IF(UPPER(MID(W92,4,1))="T","Trust",IF(UPPER(MID(W92,4,1))="A","AOP","")))))))),IF($B92="Challan","",IF(W92&lt;&gt;"","◄ Set Row Type","")))</f>
      </c>
      <c r="Z92" s="28"/>
      <c r="AA92" s="29">
        <f>IF($B92&lt;&gt;"Entry","",IF(Z92="","",IF(X92="Y",SUMPRODUCT(('Rate Lookup'!$A$1:$A$37=Z92)*'Rate Lookup'!$D$1:$D$37),IF(OR(Y92="Individual",Y92="HUF"),SUMPRODUCT(('Rate Lookup'!$A$1:$A$37=Z92)*'Rate Lookup'!$B$1:$B$37),SUMPRODUCT(('Rate Lookup'!$A$1:$A$37=Z92)*'Rate Lookup'!$C$1:$C$37)))))</f>
      </c>
      <c r="AB92" s="30"/>
      <c r="AC92" s="31"/>
      <c r="AD92" s="27">
        <f>IF($B92&lt;&gt;"Entry","",ROUND(AC92*AA92/100,0))</f>
      </c>
      <c r="AE92" s="27">
        <f>IF($B92&lt;&gt;"Entry","",0)</f>
      </c>
      <c r="AF92" s="27">
        <f>IF($B92&lt;&gt;"Entry","",0)</f>
      </c>
      <c r="AG92" s="27">
        <f>IF($B92&lt;&gt;"Entry","",IF(OR(AD92=0,AB92="",AQ92="",AQ92&lt;=0),0,IF(AQ92&lt;=DATE(YEAR(AB92),MONTH(AB92)+1,7),0,ROUND(AD92*0.015*((YEAR(AQ92)-YEAR(AB92))*12+(MONTH(AQ92)-MONTH(AB92))+1),0))))</f>
      </c>
      <c r="AH92" s="27">
        <f>IF($B92&lt;&gt;"Entry","",0)</f>
      </c>
      <c r="AI92" s="28"/>
      <c r="AJ92" s="28"/>
      <c r="AK92" s="32"/>
      <c r="AL92" s="28"/>
      <c r="AM92" s="28"/>
      <c r="AN92" s="27">
        <f>IF($B92&lt;&gt;"Challan","",SUMIF('Q1 Data'!$D$4:$D$207,D92,'Q1 Data'!$AD$4:$AD$207)+SUMIF('Q1 Data'!$D$4:$D$207,D92,'Q1 Data'!$AG$4:$AG$207)+SUMIF('Q1 Data'!$D$4:$D$207,D92,'Q1 Data'!$AE$4:$AE$207)+SUMIF('Q2 Data'!$D$4:$D$207,D92,'Q2 Data'!$AD$4:$AD$207)+SUMIF('Q2 Data'!$D$4:$D$207,D92,'Q2 Data'!$AG$4:$AG$207)+SUMIF('Q2 Data'!$D$4:$D$207,D92,'Q2 Data'!$AE$4:$AE$207)+SUMIF('Q3 Data'!$D$4:$D$207,D92,'Q3 Data'!$AD$4:$AD$207)+SUMIF('Q3 Data'!$D$4:$D$207,D92,'Q3 Data'!$AG$4:$AG$207)+SUMIF('Q3 Data'!$D$4:$D$207,D92,'Q3 Data'!$AE$4:$AE$207)+SUMIF('Q4 Data'!$D$4:$D$207,D92,'Q4 Data'!$AD$4:$AD$207)+SUMIF('Q4 Data'!$D$4:$D$207,D92,'Q4 Data'!$AG$4:$AG$207)+SUMIF('Q4 Data'!$D$4:$D$207,D92,'Q4 Data'!$AE$4:$AE$207))</f>
      </c>
      <c r="AO92" s="27">
        <f>IF($B92&lt;&gt;"Challan","",P92-N92)</f>
      </c>
      <c r="AP92" s="27">
        <f>IF($B92&lt;&gt;"Challan","",MAX(0,AO92-AN92))</f>
      </c>
      <c r="AQ92" s="33">
        <f>IF($B92&lt;&gt;"Entry","",SUMPRODUCT(('Q1 Data'!$D$4:$D$207=D92)*('Q1 Data'!$B$4:$B$207="Challan")*'Q1 Data'!$F$4:$F$207)+SUMPRODUCT(('Q2 Data'!$D$4:$D$207=D92)*('Q2 Data'!$B$4:$B$207="Challan")*'Q2 Data'!$F$4:$F$207)+SUMPRODUCT(('Q3 Data'!$D$4:$D$207=D92)*('Q3 Data'!$B$4:$B$207="Challan")*'Q3 Data'!$F$4:$F$207)+SUMPRODUCT(('Q4 Data'!$D$4:$D$207=D92)*('Q4 Data'!$B$4:$B$207="Challan")*'Q4 Data'!$F$4:$F$207))</f>
      </c>
      <c r="AR92" s="34">
        <f>IF(OR($B92&lt;&gt;"Entry",Z92=""),FALSE,AND((SUMPRODUCT(('Q1 Data'!$D$4:$D$207=D92)*('Q1 Data'!$B$4:$B$207="Challan")*('Q1 Data'!$H$4:$H$207&lt;&gt;""))+SUMPRODUCT(('Q2 Data'!$D$4:$D$207=D92)*('Q2 Data'!$B$4:$B$207="Challan")*('Q2 Data'!$H$4:$H$207&lt;&gt;""))+SUMPRODUCT(('Q3 Data'!$D$4:$D$207=D92)*('Q3 Data'!$B$4:$B$207="Challan")*('Q3 Data'!$H$4:$H$207&lt;&gt;""))+SUMPRODUCT(('Q4 Data'!$D$4:$D$207=D92)*('Q4 Data'!$B$4:$B$207="Challan")*('Q4 Data'!$H$4:$H$207&lt;&gt;"")))&gt;0,(SUMPRODUCT(('Q1 Data'!$D$4:$D$207=D92)*('Q1 Data'!$B$4:$B$207="Challan")*('Q1 Data'!$H$4:$H$207=Z92))+SUMPRODUCT(('Q2 Data'!$D$4:$D$207=D92)*('Q2 Data'!$B$4:$B$207="Challan")*('Q2 Data'!$H$4:$H$207=Z92))+SUMPRODUCT(('Q3 Data'!$D$4:$D$207=D92)*('Q3 Data'!$B$4:$B$207="Challan")*('Q3 Data'!$H$4:$H$207=Z92))+SUMPRODUCT(('Q4 Data'!$D$4:$D$207=D92)*('Q4 Data'!$B$4:$B$207="Challan")*('Q4 Data'!$H$4:$H$207=Z92)))=0))</f>
      </c>
    </row>
    <row r="93" spans="1:44" x14ac:dyDescent="0.25">
      <c r="A93" s="20">
        <f>IF($B93="Entry",COUNTIF($B$4:$B93,"Entry"),"")</f>
      </c>
      <c r="B93" s="21"/>
      <c r="C93" s="22"/>
      <c r="D93" s="22"/>
      <c r="E93" s="23">
        <f>IF($B93&lt;&gt;"Challan","",IF(ROUND(AN93-AO93,2)&gt;0,"Over-applied",IF(ROUND(AN93-AO93,2)=0,"Fully Utilised","Unconsumed")))</f>
      </c>
      <c r="F93" s="24"/>
      <c r="G93" s="25"/>
      <c r="H93" s="25"/>
      <c r="I93" s="26"/>
      <c r="J93" s="26"/>
      <c r="K93" s="26"/>
      <c r="L93" s="26"/>
      <c r="M93" s="26"/>
      <c r="N93" s="26"/>
      <c r="O93" s="26"/>
      <c r="P93" s="27">
        <f>IF($B93&lt;&gt;"Challan","",I93+J93+K93+L93+M93+N93)</f>
      </c>
      <c r="Q93" s="25"/>
      <c r="R93" s="25"/>
      <c r="S93" s="25"/>
      <c r="T93" s="25"/>
      <c r="U93" s="25"/>
      <c r="V93" s="28"/>
      <c r="W93" s="28"/>
      <c r="X93" s="23">
        <f>IF($B93="Entry",IF(AND(LEN(TRIM(UPPER(W93)))=10,CODE(MID(TRIM(UPPER(W93)),1,1))&gt;=65,CODE(MID(TRIM(UPPER(W93)),1,1))&lt;=90,CODE(MID(TRIM(UPPER(W93)),2,1))&gt;=65,CODE(MID(TRIM(UPPER(W93)),2,1))&lt;=90,CODE(MID(TRIM(UPPER(W93)),3,1))&gt;=65,CODE(MID(TRIM(UPPER(W93)),3,1))&lt;=90,CODE(MID(TRIM(UPPER(W93)),4,1))&gt;=65,CODE(MID(TRIM(UPPER(W93)),4,1))&lt;=90,CODE(MID(TRIM(UPPER(W93)),5,1))&gt;=65,CODE(MID(TRIM(UPPER(W93)),5,1))&lt;=90,CODE(MID(TRIM(UPPER(W93)),10,1))&gt;=65,CODE(MID(TRIM(UPPER(W93)),10,1))&lt;=90,CODE(MID(TRIM(UPPER(W93)),6,1))&gt;=48,CODE(MID(TRIM(UPPER(W93)),6,1))&lt;=57,CODE(MID(TRIM(UPPER(W93)),7,1))&gt;=48,CODE(MID(TRIM(UPPER(W93)),7,1))&lt;=57,CODE(MID(TRIM(UPPER(W93)),8,1))&gt;=48,CODE(MID(TRIM(UPPER(W93)),8,1))&lt;=57,CODE(MID(TRIM(UPPER(W93)),9,1))&gt;=48,CODE(MID(TRIM(UPPER(W93)),9,1))&lt;=57),"N","Y"),IF($B93="Challan","",IF(W93&lt;&gt;"","◄ Set Row Type","")))</f>
      </c>
      <c r="Y93" s="23">
        <f>IF($B93="Entry",IF(LEN(W93)&lt;4,"",IF(UPPER(MID(W93,4,1))="P","Individual",IF(UPPER(MID(W93,4,1))="H","HUF",IF(UPPER(MID(W93,4,1))="C","Company",IF(UPPER(MID(W93,4,1))="F","Firm",IF(UPPER(MID(W93,4,1))="L","LLP",IF(UPPER(MID(W93,4,1))="T","Trust",IF(UPPER(MID(W93,4,1))="A","AOP","")))))))),IF($B93="Challan","",IF(W93&lt;&gt;"","◄ Set Row Type","")))</f>
      </c>
      <c r="Z93" s="28"/>
      <c r="AA93" s="29">
        <f>IF($B93&lt;&gt;"Entry","",IF(Z93="","",IF(X93="Y",SUMPRODUCT(('Rate Lookup'!$A$1:$A$37=Z93)*'Rate Lookup'!$D$1:$D$37),IF(OR(Y93="Individual",Y93="HUF"),SUMPRODUCT(('Rate Lookup'!$A$1:$A$37=Z93)*'Rate Lookup'!$B$1:$B$37),SUMPRODUCT(('Rate Lookup'!$A$1:$A$37=Z93)*'Rate Lookup'!$C$1:$C$37)))))</f>
      </c>
      <c r="AB93" s="30"/>
      <c r="AC93" s="31"/>
      <c r="AD93" s="27">
        <f>IF($B93&lt;&gt;"Entry","",ROUND(AC93*AA93/100,0))</f>
      </c>
      <c r="AE93" s="27">
        <f>IF($B93&lt;&gt;"Entry","",0)</f>
      </c>
      <c r="AF93" s="27">
        <f>IF($B93&lt;&gt;"Entry","",0)</f>
      </c>
      <c r="AG93" s="27">
        <f>IF($B93&lt;&gt;"Entry","",IF(OR(AD93=0,AB93="",AQ93="",AQ93&lt;=0),0,IF(AQ93&lt;=DATE(YEAR(AB93),MONTH(AB93)+1,7),0,ROUND(AD93*0.015*((YEAR(AQ93)-YEAR(AB93))*12+(MONTH(AQ93)-MONTH(AB93))+1),0))))</f>
      </c>
      <c r="AH93" s="27">
        <f>IF($B93&lt;&gt;"Entry","",0)</f>
      </c>
      <c r="AI93" s="28"/>
      <c r="AJ93" s="28"/>
      <c r="AK93" s="32"/>
      <c r="AL93" s="28"/>
      <c r="AM93" s="28"/>
      <c r="AN93" s="27">
        <f>IF($B93&lt;&gt;"Challan","",SUMIF('Q1 Data'!$D$4:$D$207,D93,'Q1 Data'!$AD$4:$AD$207)+SUMIF('Q1 Data'!$D$4:$D$207,D93,'Q1 Data'!$AG$4:$AG$207)+SUMIF('Q1 Data'!$D$4:$D$207,D93,'Q1 Data'!$AE$4:$AE$207)+SUMIF('Q2 Data'!$D$4:$D$207,D93,'Q2 Data'!$AD$4:$AD$207)+SUMIF('Q2 Data'!$D$4:$D$207,D93,'Q2 Data'!$AG$4:$AG$207)+SUMIF('Q2 Data'!$D$4:$D$207,D93,'Q2 Data'!$AE$4:$AE$207)+SUMIF('Q3 Data'!$D$4:$D$207,D93,'Q3 Data'!$AD$4:$AD$207)+SUMIF('Q3 Data'!$D$4:$D$207,D93,'Q3 Data'!$AG$4:$AG$207)+SUMIF('Q3 Data'!$D$4:$D$207,D93,'Q3 Data'!$AE$4:$AE$207)+SUMIF('Q4 Data'!$D$4:$D$207,D93,'Q4 Data'!$AD$4:$AD$207)+SUMIF('Q4 Data'!$D$4:$D$207,D93,'Q4 Data'!$AG$4:$AG$207)+SUMIF('Q4 Data'!$D$4:$D$207,D93,'Q4 Data'!$AE$4:$AE$207))</f>
      </c>
      <c r="AO93" s="27">
        <f>IF($B93&lt;&gt;"Challan","",P93-N93)</f>
      </c>
      <c r="AP93" s="27">
        <f>IF($B93&lt;&gt;"Challan","",MAX(0,AO93-AN93))</f>
      </c>
      <c r="AQ93" s="33">
        <f>IF($B93&lt;&gt;"Entry","",SUMPRODUCT(('Q1 Data'!$D$4:$D$207=D93)*('Q1 Data'!$B$4:$B$207="Challan")*'Q1 Data'!$F$4:$F$207)+SUMPRODUCT(('Q2 Data'!$D$4:$D$207=D93)*('Q2 Data'!$B$4:$B$207="Challan")*'Q2 Data'!$F$4:$F$207)+SUMPRODUCT(('Q3 Data'!$D$4:$D$207=D93)*('Q3 Data'!$B$4:$B$207="Challan")*'Q3 Data'!$F$4:$F$207)+SUMPRODUCT(('Q4 Data'!$D$4:$D$207=D93)*('Q4 Data'!$B$4:$B$207="Challan")*'Q4 Data'!$F$4:$F$207))</f>
      </c>
      <c r="AR93" s="34">
        <f>IF(OR($B93&lt;&gt;"Entry",Z93=""),FALSE,AND((SUMPRODUCT(('Q1 Data'!$D$4:$D$207=D93)*('Q1 Data'!$B$4:$B$207="Challan")*('Q1 Data'!$H$4:$H$207&lt;&gt;""))+SUMPRODUCT(('Q2 Data'!$D$4:$D$207=D93)*('Q2 Data'!$B$4:$B$207="Challan")*('Q2 Data'!$H$4:$H$207&lt;&gt;""))+SUMPRODUCT(('Q3 Data'!$D$4:$D$207=D93)*('Q3 Data'!$B$4:$B$207="Challan")*('Q3 Data'!$H$4:$H$207&lt;&gt;""))+SUMPRODUCT(('Q4 Data'!$D$4:$D$207=D93)*('Q4 Data'!$B$4:$B$207="Challan")*('Q4 Data'!$H$4:$H$207&lt;&gt;"")))&gt;0,(SUMPRODUCT(('Q1 Data'!$D$4:$D$207=D93)*('Q1 Data'!$B$4:$B$207="Challan")*('Q1 Data'!$H$4:$H$207=Z93))+SUMPRODUCT(('Q2 Data'!$D$4:$D$207=D93)*('Q2 Data'!$B$4:$B$207="Challan")*('Q2 Data'!$H$4:$H$207=Z93))+SUMPRODUCT(('Q3 Data'!$D$4:$D$207=D93)*('Q3 Data'!$B$4:$B$207="Challan")*('Q3 Data'!$H$4:$H$207=Z93))+SUMPRODUCT(('Q4 Data'!$D$4:$D$207=D93)*('Q4 Data'!$B$4:$B$207="Challan")*('Q4 Data'!$H$4:$H$207=Z93)))=0))</f>
      </c>
    </row>
    <row r="94" spans="1:44" x14ac:dyDescent="0.25">
      <c r="A94" s="20">
        <f>IF($B94="Entry",COUNTIF($B$4:$B94,"Entry"),"")</f>
      </c>
      <c r="B94" s="21"/>
      <c r="C94" s="22"/>
      <c r="D94" s="22"/>
      <c r="E94" s="23">
        <f>IF($B94&lt;&gt;"Challan","",IF(ROUND(AN94-AO94,2)&gt;0,"Over-applied",IF(ROUND(AN94-AO94,2)=0,"Fully Utilised","Unconsumed")))</f>
      </c>
      <c r="F94" s="24"/>
      <c r="G94" s="25"/>
      <c r="H94" s="25"/>
      <c r="I94" s="26"/>
      <c r="J94" s="26"/>
      <c r="K94" s="26"/>
      <c r="L94" s="26"/>
      <c r="M94" s="26"/>
      <c r="N94" s="26"/>
      <c r="O94" s="26"/>
      <c r="P94" s="27">
        <f>IF($B94&lt;&gt;"Challan","",I94+J94+K94+L94+M94+N94)</f>
      </c>
      <c r="Q94" s="25"/>
      <c r="R94" s="25"/>
      <c r="S94" s="25"/>
      <c r="T94" s="25"/>
      <c r="U94" s="25"/>
      <c r="V94" s="28"/>
      <c r="W94" s="28"/>
      <c r="X94" s="23">
        <f>IF($B94="Entry",IF(AND(LEN(TRIM(UPPER(W94)))=10,CODE(MID(TRIM(UPPER(W94)),1,1))&gt;=65,CODE(MID(TRIM(UPPER(W94)),1,1))&lt;=90,CODE(MID(TRIM(UPPER(W94)),2,1))&gt;=65,CODE(MID(TRIM(UPPER(W94)),2,1))&lt;=90,CODE(MID(TRIM(UPPER(W94)),3,1))&gt;=65,CODE(MID(TRIM(UPPER(W94)),3,1))&lt;=90,CODE(MID(TRIM(UPPER(W94)),4,1))&gt;=65,CODE(MID(TRIM(UPPER(W94)),4,1))&lt;=90,CODE(MID(TRIM(UPPER(W94)),5,1))&gt;=65,CODE(MID(TRIM(UPPER(W94)),5,1))&lt;=90,CODE(MID(TRIM(UPPER(W94)),10,1))&gt;=65,CODE(MID(TRIM(UPPER(W94)),10,1))&lt;=90,CODE(MID(TRIM(UPPER(W94)),6,1))&gt;=48,CODE(MID(TRIM(UPPER(W94)),6,1))&lt;=57,CODE(MID(TRIM(UPPER(W94)),7,1))&gt;=48,CODE(MID(TRIM(UPPER(W94)),7,1))&lt;=57,CODE(MID(TRIM(UPPER(W94)),8,1))&gt;=48,CODE(MID(TRIM(UPPER(W94)),8,1))&lt;=57,CODE(MID(TRIM(UPPER(W94)),9,1))&gt;=48,CODE(MID(TRIM(UPPER(W94)),9,1))&lt;=57),"N","Y"),IF($B94="Challan","",IF(W94&lt;&gt;"","◄ Set Row Type","")))</f>
      </c>
      <c r="Y94" s="23">
        <f>IF($B94="Entry",IF(LEN(W94)&lt;4,"",IF(UPPER(MID(W94,4,1))="P","Individual",IF(UPPER(MID(W94,4,1))="H","HUF",IF(UPPER(MID(W94,4,1))="C","Company",IF(UPPER(MID(W94,4,1))="F","Firm",IF(UPPER(MID(W94,4,1))="L","LLP",IF(UPPER(MID(W94,4,1))="T","Trust",IF(UPPER(MID(W94,4,1))="A","AOP","")))))))),IF($B94="Challan","",IF(W94&lt;&gt;"","◄ Set Row Type","")))</f>
      </c>
      <c r="Z94" s="28"/>
      <c r="AA94" s="29">
        <f>IF($B94&lt;&gt;"Entry","",IF(Z94="","",IF(X94="Y",SUMPRODUCT(('Rate Lookup'!$A$1:$A$37=Z94)*'Rate Lookup'!$D$1:$D$37),IF(OR(Y94="Individual",Y94="HUF"),SUMPRODUCT(('Rate Lookup'!$A$1:$A$37=Z94)*'Rate Lookup'!$B$1:$B$37),SUMPRODUCT(('Rate Lookup'!$A$1:$A$37=Z94)*'Rate Lookup'!$C$1:$C$37)))))</f>
      </c>
      <c r="AB94" s="30"/>
      <c r="AC94" s="31"/>
      <c r="AD94" s="27">
        <f>IF($B94&lt;&gt;"Entry","",ROUND(AC94*AA94/100,0))</f>
      </c>
      <c r="AE94" s="27">
        <f>IF($B94&lt;&gt;"Entry","",0)</f>
      </c>
      <c r="AF94" s="27">
        <f>IF($B94&lt;&gt;"Entry","",0)</f>
      </c>
      <c r="AG94" s="27">
        <f>IF($B94&lt;&gt;"Entry","",IF(OR(AD94=0,AB94="",AQ94="",AQ94&lt;=0),0,IF(AQ94&lt;=DATE(YEAR(AB94),MONTH(AB94)+1,7),0,ROUND(AD94*0.015*((YEAR(AQ94)-YEAR(AB94))*12+(MONTH(AQ94)-MONTH(AB94))+1),0))))</f>
      </c>
      <c r="AH94" s="27">
        <f>IF($B94&lt;&gt;"Entry","",0)</f>
      </c>
      <c r="AI94" s="28"/>
      <c r="AJ94" s="28"/>
      <c r="AK94" s="32"/>
      <c r="AL94" s="28"/>
      <c r="AM94" s="28"/>
      <c r="AN94" s="27">
        <f>IF($B94&lt;&gt;"Challan","",SUMIF('Q1 Data'!$D$4:$D$207,D94,'Q1 Data'!$AD$4:$AD$207)+SUMIF('Q1 Data'!$D$4:$D$207,D94,'Q1 Data'!$AG$4:$AG$207)+SUMIF('Q1 Data'!$D$4:$D$207,D94,'Q1 Data'!$AE$4:$AE$207)+SUMIF('Q2 Data'!$D$4:$D$207,D94,'Q2 Data'!$AD$4:$AD$207)+SUMIF('Q2 Data'!$D$4:$D$207,D94,'Q2 Data'!$AG$4:$AG$207)+SUMIF('Q2 Data'!$D$4:$D$207,D94,'Q2 Data'!$AE$4:$AE$207)+SUMIF('Q3 Data'!$D$4:$D$207,D94,'Q3 Data'!$AD$4:$AD$207)+SUMIF('Q3 Data'!$D$4:$D$207,D94,'Q3 Data'!$AG$4:$AG$207)+SUMIF('Q3 Data'!$D$4:$D$207,D94,'Q3 Data'!$AE$4:$AE$207)+SUMIF('Q4 Data'!$D$4:$D$207,D94,'Q4 Data'!$AD$4:$AD$207)+SUMIF('Q4 Data'!$D$4:$D$207,D94,'Q4 Data'!$AG$4:$AG$207)+SUMIF('Q4 Data'!$D$4:$D$207,D94,'Q4 Data'!$AE$4:$AE$207))</f>
      </c>
      <c r="AO94" s="27">
        <f>IF($B94&lt;&gt;"Challan","",P94-N94)</f>
      </c>
      <c r="AP94" s="27">
        <f>IF($B94&lt;&gt;"Challan","",MAX(0,AO94-AN94))</f>
      </c>
      <c r="AQ94" s="33">
        <f>IF($B94&lt;&gt;"Entry","",SUMPRODUCT(('Q1 Data'!$D$4:$D$207=D94)*('Q1 Data'!$B$4:$B$207="Challan")*'Q1 Data'!$F$4:$F$207)+SUMPRODUCT(('Q2 Data'!$D$4:$D$207=D94)*('Q2 Data'!$B$4:$B$207="Challan")*'Q2 Data'!$F$4:$F$207)+SUMPRODUCT(('Q3 Data'!$D$4:$D$207=D94)*('Q3 Data'!$B$4:$B$207="Challan")*'Q3 Data'!$F$4:$F$207)+SUMPRODUCT(('Q4 Data'!$D$4:$D$207=D94)*('Q4 Data'!$B$4:$B$207="Challan")*'Q4 Data'!$F$4:$F$207))</f>
      </c>
      <c r="AR94" s="34">
        <f>IF(OR($B94&lt;&gt;"Entry",Z94=""),FALSE,AND((SUMPRODUCT(('Q1 Data'!$D$4:$D$207=D94)*('Q1 Data'!$B$4:$B$207="Challan")*('Q1 Data'!$H$4:$H$207&lt;&gt;""))+SUMPRODUCT(('Q2 Data'!$D$4:$D$207=D94)*('Q2 Data'!$B$4:$B$207="Challan")*('Q2 Data'!$H$4:$H$207&lt;&gt;""))+SUMPRODUCT(('Q3 Data'!$D$4:$D$207=D94)*('Q3 Data'!$B$4:$B$207="Challan")*('Q3 Data'!$H$4:$H$207&lt;&gt;""))+SUMPRODUCT(('Q4 Data'!$D$4:$D$207=D94)*('Q4 Data'!$B$4:$B$207="Challan")*('Q4 Data'!$H$4:$H$207&lt;&gt;"")))&gt;0,(SUMPRODUCT(('Q1 Data'!$D$4:$D$207=D94)*('Q1 Data'!$B$4:$B$207="Challan")*('Q1 Data'!$H$4:$H$207=Z94))+SUMPRODUCT(('Q2 Data'!$D$4:$D$207=D94)*('Q2 Data'!$B$4:$B$207="Challan")*('Q2 Data'!$H$4:$H$207=Z94))+SUMPRODUCT(('Q3 Data'!$D$4:$D$207=D94)*('Q3 Data'!$B$4:$B$207="Challan")*('Q3 Data'!$H$4:$H$207=Z94))+SUMPRODUCT(('Q4 Data'!$D$4:$D$207=D94)*('Q4 Data'!$B$4:$B$207="Challan")*('Q4 Data'!$H$4:$H$207=Z94)))=0))</f>
      </c>
    </row>
    <row r="95" spans="1:44" x14ac:dyDescent="0.25">
      <c r="A95" s="20">
        <f>IF($B95="Entry",COUNTIF($B$4:$B95,"Entry"),"")</f>
      </c>
      <c r="B95" s="21"/>
      <c r="C95" s="22"/>
      <c r="D95" s="22"/>
      <c r="E95" s="23">
        <f>IF($B95&lt;&gt;"Challan","",IF(ROUND(AN95-AO95,2)&gt;0,"Over-applied",IF(ROUND(AN95-AO95,2)=0,"Fully Utilised","Unconsumed")))</f>
      </c>
      <c r="F95" s="24"/>
      <c r="G95" s="25"/>
      <c r="H95" s="25"/>
      <c r="I95" s="26"/>
      <c r="J95" s="26"/>
      <c r="K95" s="26"/>
      <c r="L95" s="26"/>
      <c r="M95" s="26"/>
      <c r="N95" s="26"/>
      <c r="O95" s="26"/>
      <c r="P95" s="27">
        <f>IF($B95&lt;&gt;"Challan","",I95+J95+K95+L95+M95+N95)</f>
      </c>
      <c r="Q95" s="25"/>
      <c r="R95" s="25"/>
      <c r="S95" s="25"/>
      <c r="T95" s="25"/>
      <c r="U95" s="25"/>
      <c r="V95" s="28"/>
      <c r="W95" s="28"/>
      <c r="X95" s="23">
        <f>IF($B95="Entry",IF(AND(LEN(TRIM(UPPER(W95)))=10,CODE(MID(TRIM(UPPER(W95)),1,1))&gt;=65,CODE(MID(TRIM(UPPER(W95)),1,1))&lt;=90,CODE(MID(TRIM(UPPER(W95)),2,1))&gt;=65,CODE(MID(TRIM(UPPER(W95)),2,1))&lt;=90,CODE(MID(TRIM(UPPER(W95)),3,1))&gt;=65,CODE(MID(TRIM(UPPER(W95)),3,1))&lt;=90,CODE(MID(TRIM(UPPER(W95)),4,1))&gt;=65,CODE(MID(TRIM(UPPER(W95)),4,1))&lt;=90,CODE(MID(TRIM(UPPER(W95)),5,1))&gt;=65,CODE(MID(TRIM(UPPER(W95)),5,1))&lt;=90,CODE(MID(TRIM(UPPER(W95)),10,1))&gt;=65,CODE(MID(TRIM(UPPER(W95)),10,1))&lt;=90,CODE(MID(TRIM(UPPER(W95)),6,1))&gt;=48,CODE(MID(TRIM(UPPER(W95)),6,1))&lt;=57,CODE(MID(TRIM(UPPER(W95)),7,1))&gt;=48,CODE(MID(TRIM(UPPER(W95)),7,1))&lt;=57,CODE(MID(TRIM(UPPER(W95)),8,1))&gt;=48,CODE(MID(TRIM(UPPER(W95)),8,1))&lt;=57,CODE(MID(TRIM(UPPER(W95)),9,1))&gt;=48,CODE(MID(TRIM(UPPER(W95)),9,1))&lt;=57),"N","Y"),IF($B95="Challan","",IF(W95&lt;&gt;"","◄ Set Row Type","")))</f>
      </c>
      <c r="Y95" s="23">
        <f>IF($B95="Entry",IF(LEN(W95)&lt;4,"",IF(UPPER(MID(W95,4,1))="P","Individual",IF(UPPER(MID(W95,4,1))="H","HUF",IF(UPPER(MID(W95,4,1))="C","Company",IF(UPPER(MID(W95,4,1))="F","Firm",IF(UPPER(MID(W95,4,1))="L","LLP",IF(UPPER(MID(W95,4,1))="T","Trust",IF(UPPER(MID(W95,4,1))="A","AOP","")))))))),IF($B95="Challan","",IF(W95&lt;&gt;"","◄ Set Row Type","")))</f>
      </c>
      <c r="Z95" s="28"/>
      <c r="AA95" s="29">
        <f>IF($B95&lt;&gt;"Entry","",IF(Z95="","",IF(X95="Y",SUMPRODUCT(('Rate Lookup'!$A$1:$A$37=Z95)*'Rate Lookup'!$D$1:$D$37),IF(OR(Y95="Individual",Y95="HUF"),SUMPRODUCT(('Rate Lookup'!$A$1:$A$37=Z95)*'Rate Lookup'!$B$1:$B$37),SUMPRODUCT(('Rate Lookup'!$A$1:$A$37=Z95)*'Rate Lookup'!$C$1:$C$37)))))</f>
      </c>
      <c r="AB95" s="30"/>
      <c r="AC95" s="31"/>
      <c r="AD95" s="27">
        <f>IF($B95&lt;&gt;"Entry","",ROUND(AC95*AA95/100,0))</f>
      </c>
      <c r="AE95" s="27">
        <f>IF($B95&lt;&gt;"Entry","",0)</f>
      </c>
      <c r="AF95" s="27">
        <f>IF($B95&lt;&gt;"Entry","",0)</f>
      </c>
      <c r="AG95" s="27">
        <f>IF($B95&lt;&gt;"Entry","",IF(OR(AD95=0,AB95="",AQ95="",AQ95&lt;=0),0,IF(AQ95&lt;=DATE(YEAR(AB95),MONTH(AB95)+1,7),0,ROUND(AD95*0.015*((YEAR(AQ95)-YEAR(AB95))*12+(MONTH(AQ95)-MONTH(AB95))+1),0))))</f>
      </c>
      <c r="AH95" s="27">
        <f>IF($B95&lt;&gt;"Entry","",0)</f>
      </c>
      <c r="AI95" s="28"/>
      <c r="AJ95" s="28"/>
      <c r="AK95" s="32"/>
      <c r="AL95" s="28"/>
      <c r="AM95" s="28"/>
      <c r="AN95" s="27">
        <f>IF($B95&lt;&gt;"Challan","",SUMIF('Q1 Data'!$D$4:$D$207,D95,'Q1 Data'!$AD$4:$AD$207)+SUMIF('Q1 Data'!$D$4:$D$207,D95,'Q1 Data'!$AG$4:$AG$207)+SUMIF('Q1 Data'!$D$4:$D$207,D95,'Q1 Data'!$AE$4:$AE$207)+SUMIF('Q2 Data'!$D$4:$D$207,D95,'Q2 Data'!$AD$4:$AD$207)+SUMIF('Q2 Data'!$D$4:$D$207,D95,'Q2 Data'!$AG$4:$AG$207)+SUMIF('Q2 Data'!$D$4:$D$207,D95,'Q2 Data'!$AE$4:$AE$207)+SUMIF('Q3 Data'!$D$4:$D$207,D95,'Q3 Data'!$AD$4:$AD$207)+SUMIF('Q3 Data'!$D$4:$D$207,D95,'Q3 Data'!$AG$4:$AG$207)+SUMIF('Q3 Data'!$D$4:$D$207,D95,'Q3 Data'!$AE$4:$AE$207)+SUMIF('Q4 Data'!$D$4:$D$207,D95,'Q4 Data'!$AD$4:$AD$207)+SUMIF('Q4 Data'!$D$4:$D$207,D95,'Q4 Data'!$AG$4:$AG$207)+SUMIF('Q4 Data'!$D$4:$D$207,D95,'Q4 Data'!$AE$4:$AE$207))</f>
      </c>
      <c r="AO95" s="27">
        <f>IF($B95&lt;&gt;"Challan","",P95-N95)</f>
      </c>
      <c r="AP95" s="27">
        <f>IF($B95&lt;&gt;"Challan","",MAX(0,AO95-AN95))</f>
      </c>
      <c r="AQ95" s="33">
        <f>IF($B95&lt;&gt;"Entry","",SUMPRODUCT(('Q1 Data'!$D$4:$D$207=D95)*('Q1 Data'!$B$4:$B$207="Challan")*'Q1 Data'!$F$4:$F$207)+SUMPRODUCT(('Q2 Data'!$D$4:$D$207=D95)*('Q2 Data'!$B$4:$B$207="Challan")*'Q2 Data'!$F$4:$F$207)+SUMPRODUCT(('Q3 Data'!$D$4:$D$207=D95)*('Q3 Data'!$B$4:$B$207="Challan")*'Q3 Data'!$F$4:$F$207)+SUMPRODUCT(('Q4 Data'!$D$4:$D$207=D95)*('Q4 Data'!$B$4:$B$207="Challan")*'Q4 Data'!$F$4:$F$207))</f>
      </c>
      <c r="AR95" s="34">
        <f>IF(OR($B95&lt;&gt;"Entry",Z95=""),FALSE,AND((SUMPRODUCT(('Q1 Data'!$D$4:$D$207=D95)*('Q1 Data'!$B$4:$B$207="Challan")*('Q1 Data'!$H$4:$H$207&lt;&gt;""))+SUMPRODUCT(('Q2 Data'!$D$4:$D$207=D95)*('Q2 Data'!$B$4:$B$207="Challan")*('Q2 Data'!$H$4:$H$207&lt;&gt;""))+SUMPRODUCT(('Q3 Data'!$D$4:$D$207=D95)*('Q3 Data'!$B$4:$B$207="Challan")*('Q3 Data'!$H$4:$H$207&lt;&gt;""))+SUMPRODUCT(('Q4 Data'!$D$4:$D$207=D95)*('Q4 Data'!$B$4:$B$207="Challan")*('Q4 Data'!$H$4:$H$207&lt;&gt;"")))&gt;0,(SUMPRODUCT(('Q1 Data'!$D$4:$D$207=D95)*('Q1 Data'!$B$4:$B$207="Challan")*('Q1 Data'!$H$4:$H$207=Z95))+SUMPRODUCT(('Q2 Data'!$D$4:$D$207=D95)*('Q2 Data'!$B$4:$B$207="Challan")*('Q2 Data'!$H$4:$H$207=Z95))+SUMPRODUCT(('Q3 Data'!$D$4:$D$207=D95)*('Q3 Data'!$B$4:$B$207="Challan")*('Q3 Data'!$H$4:$H$207=Z95))+SUMPRODUCT(('Q4 Data'!$D$4:$D$207=D95)*('Q4 Data'!$B$4:$B$207="Challan")*('Q4 Data'!$H$4:$H$207=Z95)))=0))</f>
      </c>
    </row>
    <row r="96" spans="1:44" x14ac:dyDescent="0.25">
      <c r="A96" s="20">
        <f>IF($B96="Entry",COUNTIF($B$4:$B96,"Entry"),"")</f>
      </c>
      <c r="B96" s="21"/>
      <c r="C96" s="22"/>
      <c r="D96" s="22"/>
      <c r="E96" s="23">
        <f>IF($B96&lt;&gt;"Challan","",IF(ROUND(AN96-AO96,2)&gt;0,"Over-applied",IF(ROUND(AN96-AO96,2)=0,"Fully Utilised","Unconsumed")))</f>
      </c>
      <c r="F96" s="24"/>
      <c r="G96" s="25"/>
      <c r="H96" s="25"/>
      <c r="I96" s="26"/>
      <c r="J96" s="26"/>
      <c r="K96" s="26"/>
      <c r="L96" s="26"/>
      <c r="M96" s="26"/>
      <c r="N96" s="26"/>
      <c r="O96" s="26"/>
      <c r="P96" s="27">
        <f>IF($B96&lt;&gt;"Challan","",I96+J96+K96+L96+M96+N96)</f>
      </c>
      <c r="Q96" s="25"/>
      <c r="R96" s="25"/>
      <c r="S96" s="25"/>
      <c r="T96" s="25"/>
      <c r="U96" s="25"/>
      <c r="V96" s="28"/>
      <c r="W96" s="28"/>
      <c r="X96" s="23">
        <f>IF($B96="Entry",IF(AND(LEN(TRIM(UPPER(W96)))=10,CODE(MID(TRIM(UPPER(W96)),1,1))&gt;=65,CODE(MID(TRIM(UPPER(W96)),1,1))&lt;=90,CODE(MID(TRIM(UPPER(W96)),2,1))&gt;=65,CODE(MID(TRIM(UPPER(W96)),2,1))&lt;=90,CODE(MID(TRIM(UPPER(W96)),3,1))&gt;=65,CODE(MID(TRIM(UPPER(W96)),3,1))&lt;=90,CODE(MID(TRIM(UPPER(W96)),4,1))&gt;=65,CODE(MID(TRIM(UPPER(W96)),4,1))&lt;=90,CODE(MID(TRIM(UPPER(W96)),5,1))&gt;=65,CODE(MID(TRIM(UPPER(W96)),5,1))&lt;=90,CODE(MID(TRIM(UPPER(W96)),10,1))&gt;=65,CODE(MID(TRIM(UPPER(W96)),10,1))&lt;=90,CODE(MID(TRIM(UPPER(W96)),6,1))&gt;=48,CODE(MID(TRIM(UPPER(W96)),6,1))&lt;=57,CODE(MID(TRIM(UPPER(W96)),7,1))&gt;=48,CODE(MID(TRIM(UPPER(W96)),7,1))&lt;=57,CODE(MID(TRIM(UPPER(W96)),8,1))&gt;=48,CODE(MID(TRIM(UPPER(W96)),8,1))&lt;=57,CODE(MID(TRIM(UPPER(W96)),9,1))&gt;=48,CODE(MID(TRIM(UPPER(W96)),9,1))&lt;=57),"N","Y"),IF($B96="Challan","",IF(W96&lt;&gt;"","◄ Set Row Type","")))</f>
      </c>
      <c r="Y96" s="23">
        <f>IF($B96="Entry",IF(LEN(W96)&lt;4,"",IF(UPPER(MID(W96,4,1))="P","Individual",IF(UPPER(MID(W96,4,1))="H","HUF",IF(UPPER(MID(W96,4,1))="C","Company",IF(UPPER(MID(W96,4,1))="F","Firm",IF(UPPER(MID(W96,4,1))="L","LLP",IF(UPPER(MID(W96,4,1))="T","Trust",IF(UPPER(MID(W96,4,1))="A","AOP","")))))))),IF($B96="Challan","",IF(W96&lt;&gt;"","◄ Set Row Type","")))</f>
      </c>
      <c r="Z96" s="28"/>
      <c r="AA96" s="29">
        <f>IF($B96&lt;&gt;"Entry","",IF(Z96="","",IF(X96="Y",SUMPRODUCT(('Rate Lookup'!$A$1:$A$37=Z96)*'Rate Lookup'!$D$1:$D$37),IF(OR(Y96="Individual",Y96="HUF"),SUMPRODUCT(('Rate Lookup'!$A$1:$A$37=Z96)*'Rate Lookup'!$B$1:$B$37),SUMPRODUCT(('Rate Lookup'!$A$1:$A$37=Z96)*'Rate Lookup'!$C$1:$C$37)))))</f>
      </c>
      <c r="AB96" s="30"/>
      <c r="AC96" s="31"/>
      <c r="AD96" s="27">
        <f>IF($B96&lt;&gt;"Entry","",ROUND(AC96*AA96/100,0))</f>
      </c>
      <c r="AE96" s="27">
        <f>IF($B96&lt;&gt;"Entry","",0)</f>
      </c>
      <c r="AF96" s="27">
        <f>IF($B96&lt;&gt;"Entry","",0)</f>
      </c>
      <c r="AG96" s="27">
        <f>IF($B96&lt;&gt;"Entry","",IF(OR(AD96=0,AB96="",AQ96="",AQ96&lt;=0),0,IF(AQ96&lt;=DATE(YEAR(AB96),MONTH(AB96)+1,7),0,ROUND(AD96*0.015*((YEAR(AQ96)-YEAR(AB96))*12+(MONTH(AQ96)-MONTH(AB96))+1),0))))</f>
      </c>
      <c r="AH96" s="27">
        <f>IF($B96&lt;&gt;"Entry","",0)</f>
      </c>
      <c r="AI96" s="28"/>
      <c r="AJ96" s="28"/>
      <c r="AK96" s="32"/>
      <c r="AL96" s="28"/>
      <c r="AM96" s="28"/>
      <c r="AN96" s="27">
        <f>IF($B96&lt;&gt;"Challan","",SUMIF('Q1 Data'!$D$4:$D$207,D96,'Q1 Data'!$AD$4:$AD$207)+SUMIF('Q1 Data'!$D$4:$D$207,D96,'Q1 Data'!$AG$4:$AG$207)+SUMIF('Q1 Data'!$D$4:$D$207,D96,'Q1 Data'!$AE$4:$AE$207)+SUMIF('Q2 Data'!$D$4:$D$207,D96,'Q2 Data'!$AD$4:$AD$207)+SUMIF('Q2 Data'!$D$4:$D$207,D96,'Q2 Data'!$AG$4:$AG$207)+SUMIF('Q2 Data'!$D$4:$D$207,D96,'Q2 Data'!$AE$4:$AE$207)+SUMIF('Q3 Data'!$D$4:$D$207,D96,'Q3 Data'!$AD$4:$AD$207)+SUMIF('Q3 Data'!$D$4:$D$207,D96,'Q3 Data'!$AG$4:$AG$207)+SUMIF('Q3 Data'!$D$4:$D$207,D96,'Q3 Data'!$AE$4:$AE$207)+SUMIF('Q4 Data'!$D$4:$D$207,D96,'Q4 Data'!$AD$4:$AD$207)+SUMIF('Q4 Data'!$D$4:$D$207,D96,'Q4 Data'!$AG$4:$AG$207)+SUMIF('Q4 Data'!$D$4:$D$207,D96,'Q4 Data'!$AE$4:$AE$207))</f>
      </c>
      <c r="AO96" s="27">
        <f>IF($B96&lt;&gt;"Challan","",P96-N96)</f>
      </c>
      <c r="AP96" s="27">
        <f>IF($B96&lt;&gt;"Challan","",MAX(0,AO96-AN96))</f>
      </c>
      <c r="AQ96" s="33">
        <f>IF($B96&lt;&gt;"Entry","",SUMPRODUCT(('Q1 Data'!$D$4:$D$207=D96)*('Q1 Data'!$B$4:$B$207="Challan")*'Q1 Data'!$F$4:$F$207)+SUMPRODUCT(('Q2 Data'!$D$4:$D$207=D96)*('Q2 Data'!$B$4:$B$207="Challan")*'Q2 Data'!$F$4:$F$207)+SUMPRODUCT(('Q3 Data'!$D$4:$D$207=D96)*('Q3 Data'!$B$4:$B$207="Challan")*'Q3 Data'!$F$4:$F$207)+SUMPRODUCT(('Q4 Data'!$D$4:$D$207=D96)*('Q4 Data'!$B$4:$B$207="Challan")*'Q4 Data'!$F$4:$F$207))</f>
      </c>
      <c r="AR96" s="34">
        <f>IF(OR($B96&lt;&gt;"Entry",Z96=""),FALSE,AND((SUMPRODUCT(('Q1 Data'!$D$4:$D$207=D96)*('Q1 Data'!$B$4:$B$207="Challan")*('Q1 Data'!$H$4:$H$207&lt;&gt;""))+SUMPRODUCT(('Q2 Data'!$D$4:$D$207=D96)*('Q2 Data'!$B$4:$B$207="Challan")*('Q2 Data'!$H$4:$H$207&lt;&gt;""))+SUMPRODUCT(('Q3 Data'!$D$4:$D$207=D96)*('Q3 Data'!$B$4:$B$207="Challan")*('Q3 Data'!$H$4:$H$207&lt;&gt;""))+SUMPRODUCT(('Q4 Data'!$D$4:$D$207=D96)*('Q4 Data'!$B$4:$B$207="Challan")*('Q4 Data'!$H$4:$H$207&lt;&gt;"")))&gt;0,(SUMPRODUCT(('Q1 Data'!$D$4:$D$207=D96)*('Q1 Data'!$B$4:$B$207="Challan")*('Q1 Data'!$H$4:$H$207=Z96))+SUMPRODUCT(('Q2 Data'!$D$4:$D$207=D96)*('Q2 Data'!$B$4:$B$207="Challan")*('Q2 Data'!$H$4:$H$207=Z96))+SUMPRODUCT(('Q3 Data'!$D$4:$D$207=D96)*('Q3 Data'!$B$4:$B$207="Challan")*('Q3 Data'!$H$4:$H$207=Z96))+SUMPRODUCT(('Q4 Data'!$D$4:$D$207=D96)*('Q4 Data'!$B$4:$B$207="Challan")*('Q4 Data'!$H$4:$H$207=Z96)))=0))</f>
      </c>
    </row>
    <row r="97" spans="1:44" x14ac:dyDescent="0.25">
      <c r="A97" s="20">
        <f>IF($B97="Entry",COUNTIF($B$4:$B97,"Entry"),"")</f>
      </c>
      <c r="B97" s="21"/>
      <c r="C97" s="22"/>
      <c r="D97" s="22"/>
      <c r="E97" s="23">
        <f>IF($B97&lt;&gt;"Challan","",IF(ROUND(AN97-AO97,2)&gt;0,"Over-applied",IF(ROUND(AN97-AO97,2)=0,"Fully Utilised","Unconsumed")))</f>
      </c>
      <c r="F97" s="24"/>
      <c r="G97" s="25"/>
      <c r="H97" s="25"/>
      <c r="I97" s="26"/>
      <c r="J97" s="26"/>
      <c r="K97" s="26"/>
      <c r="L97" s="26"/>
      <c r="M97" s="26"/>
      <c r="N97" s="26"/>
      <c r="O97" s="26"/>
      <c r="P97" s="27">
        <f>IF($B97&lt;&gt;"Challan","",I97+J97+K97+L97+M97+N97)</f>
      </c>
      <c r="Q97" s="25"/>
      <c r="R97" s="25"/>
      <c r="S97" s="25"/>
      <c r="T97" s="25"/>
      <c r="U97" s="25"/>
      <c r="V97" s="28"/>
      <c r="W97" s="28"/>
      <c r="X97" s="23">
        <f>IF($B97="Entry",IF(AND(LEN(TRIM(UPPER(W97)))=10,CODE(MID(TRIM(UPPER(W97)),1,1))&gt;=65,CODE(MID(TRIM(UPPER(W97)),1,1))&lt;=90,CODE(MID(TRIM(UPPER(W97)),2,1))&gt;=65,CODE(MID(TRIM(UPPER(W97)),2,1))&lt;=90,CODE(MID(TRIM(UPPER(W97)),3,1))&gt;=65,CODE(MID(TRIM(UPPER(W97)),3,1))&lt;=90,CODE(MID(TRIM(UPPER(W97)),4,1))&gt;=65,CODE(MID(TRIM(UPPER(W97)),4,1))&lt;=90,CODE(MID(TRIM(UPPER(W97)),5,1))&gt;=65,CODE(MID(TRIM(UPPER(W97)),5,1))&lt;=90,CODE(MID(TRIM(UPPER(W97)),10,1))&gt;=65,CODE(MID(TRIM(UPPER(W97)),10,1))&lt;=90,CODE(MID(TRIM(UPPER(W97)),6,1))&gt;=48,CODE(MID(TRIM(UPPER(W97)),6,1))&lt;=57,CODE(MID(TRIM(UPPER(W97)),7,1))&gt;=48,CODE(MID(TRIM(UPPER(W97)),7,1))&lt;=57,CODE(MID(TRIM(UPPER(W97)),8,1))&gt;=48,CODE(MID(TRIM(UPPER(W97)),8,1))&lt;=57,CODE(MID(TRIM(UPPER(W97)),9,1))&gt;=48,CODE(MID(TRIM(UPPER(W97)),9,1))&lt;=57),"N","Y"),IF($B97="Challan","",IF(W97&lt;&gt;"","◄ Set Row Type","")))</f>
      </c>
      <c r="Y97" s="23">
        <f>IF($B97="Entry",IF(LEN(W97)&lt;4,"",IF(UPPER(MID(W97,4,1))="P","Individual",IF(UPPER(MID(W97,4,1))="H","HUF",IF(UPPER(MID(W97,4,1))="C","Company",IF(UPPER(MID(W97,4,1))="F","Firm",IF(UPPER(MID(W97,4,1))="L","LLP",IF(UPPER(MID(W97,4,1))="T","Trust",IF(UPPER(MID(W97,4,1))="A","AOP","")))))))),IF($B97="Challan","",IF(W97&lt;&gt;"","◄ Set Row Type","")))</f>
      </c>
      <c r="Z97" s="28"/>
      <c r="AA97" s="29">
        <f>IF($B97&lt;&gt;"Entry","",IF(Z97="","",IF(X97="Y",SUMPRODUCT(('Rate Lookup'!$A$1:$A$37=Z97)*'Rate Lookup'!$D$1:$D$37),IF(OR(Y97="Individual",Y97="HUF"),SUMPRODUCT(('Rate Lookup'!$A$1:$A$37=Z97)*'Rate Lookup'!$B$1:$B$37),SUMPRODUCT(('Rate Lookup'!$A$1:$A$37=Z97)*'Rate Lookup'!$C$1:$C$37)))))</f>
      </c>
      <c r="AB97" s="30"/>
      <c r="AC97" s="31"/>
      <c r="AD97" s="27">
        <f>IF($B97&lt;&gt;"Entry","",ROUND(AC97*AA97/100,0))</f>
      </c>
      <c r="AE97" s="27">
        <f>IF($B97&lt;&gt;"Entry","",0)</f>
      </c>
      <c r="AF97" s="27">
        <f>IF($B97&lt;&gt;"Entry","",0)</f>
      </c>
      <c r="AG97" s="27">
        <f>IF($B97&lt;&gt;"Entry","",IF(OR(AD97=0,AB97="",AQ97="",AQ97&lt;=0),0,IF(AQ97&lt;=DATE(YEAR(AB97),MONTH(AB97)+1,7),0,ROUND(AD97*0.015*((YEAR(AQ97)-YEAR(AB97))*12+(MONTH(AQ97)-MONTH(AB97))+1),0))))</f>
      </c>
      <c r="AH97" s="27">
        <f>IF($B97&lt;&gt;"Entry","",0)</f>
      </c>
      <c r="AI97" s="28"/>
      <c r="AJ97" s="28"/>
      <c r="AK97" s="32"/>
      <c r="AL97" s="28"/>
      <c r="AM97" s="28"/>
      <c r="AN97" s="27">
        <f>IF($B97&lt;&gt;"Challan","",SUMIF('Q1 Data'!$D$4:$D$207,D97,'Q1 Data'!$AD$4:$AD$207)+SUMIF('Q1 Data'!$D$4:$D$207,D97,'Q1 Data'!$AG$4:$AG$207)+SUMIF('Q1 Data'!$D$4:$D$207,D97,'Q1 Data'!$AE$4:$AE$207)+SUMIF('Q2 Data'!$D$4:$D$207,D97,'Q2 Data'!$AD$4:$AD$207)+SUMIF('Q2 Data'!$D$4:$D$207,D97,'Q2 Data'!$AG$4:$AG$207)+SUMIF('Q2 Data'!$D$4:$D$207,D97,'Q2 Data'!$AE$4:$AE$207)+SUMIF('Q3 Data'!$D$4:$D$207,D97,'Q3 Data'!$AD$4:$AD$207)+SUMIF('Q3 Data'!$D$4:$D$207,D97,'Q3 Data'!$AG$4:$AG$207)+SUMIF('Q3 Data'!$D$4:$D$207,D97,'Q3 Data'!$AE$4:$AE$207)+SUMIF('Q4 Data'!$D$4:$D$207,D97,'Q4 Data'!$AD$4:$AD$207)+SUMIF('Q4 Data'!$D$4:$D$207,D97,'Q4 Data'!$AG$4:$AG$207)+SUMIF('Q4 Data'!$D$4:$D$207,D97,'Q4 Data'!$AE$4:$AE$207))</f>
      </c>
      <c r="AO97" s="27">
        <f>IF($B97&lt;&gt;"Challan","",P97-N97)</f>
      </c>
      <c r="AP97" s="27">
        <f>IF($B97&lt;&gt;"Challan","",MAX(0,AO97-AN97))</f>
      </c>
      <c r="AQ97" s="33">
        <f>IF($B97&lt;&gt;"Entry","",SUMPRODUCT(('Q1 Data'!$D$4:$D$207=D97)*('Q1 Data'!$B$4:$B$207="Challan")*'Q1 Data'!$F$4:$F$207)+SUMPRODUCT(('Q2 Data'!$D$4:$D$207=D97)*('Q2 Data'!$B$4:$B$207="Challan")*'Q2 Data'!$F$4:$F$207)+SUMPRODUCT(('Q3 Data'!$D$4:$D$207=D97)*('Q3 Data'!$B$4:$B$207="Challan")*'Q3 Data'!$F$4:$F$207)+SUMPRODUCT(('Q4 Data'!$D$4:$D$207=D97)*('Q4 Data'!$B$4:$B$207="Challan")*'Q4 Data'!$F$4:$F$207))</f>
      </c>
      <c r="AR97" s="34">
        <f>IF(OR($B97&lt;&gt;"Entry",Z97=""),FALSE,AND((SUMPRODUCT(('Q1 Data'!$D$4:$D$207=D97)*('Q1 Data'!$B$4:$B$207="Challan")*('Q1 Data'!$H$4:$H$207&lt;&gt;""))+SUMPRODUCT(('Q2 Data'!$D$4:$D$207=D97)*('Q2 Data'!$B$4:$B$207="Challan")*('Q2 Data'!$H$4:$H$207&lt;&gt;""))+SUMPRODUCT(('Q3 Data'!$D$4:$D$207=D97)*('Q3 Data'!$B$4:$B$207="Challan")*('Q3 Data'!$H$4:$H$207&lt;&gt;""))+SUMPRODUCT(('Q4 Data'!$D$4:$D$207=D97)*('Q4 Data'!$B$4:$B$207="Challan")*('Q4 Data'!$H$4:$H$207&lt;&gt;"")))&gt;0,(SUMPRODUCT(('Q1 Data'!$D$4:$D$207=D97)*('Q1 Data'!$B$4:$B$207="Challan")*('Q1 Data'!$H$4:$H$207=Z97))+SUMPRODUCT(('Q2 Data'!$D$4:$D$207=D97)*('Q2 Data'!$B$4:$B$207="Challan")*('Q2 Data'!$H$4:$H$207=Z97))+SUMPRODUCT(('Q3 Data'!$D$4:$D$207=D97)*('Q3 Data'!$B$4:$B$207="Challan")*('Q3 Data'!$H$4:$H$207=Z97))+SUMPRODUCT(('Q4 Data'!$D$4:$D$207=D97)*('Q4 Data'!$B$4:$B$207="Challan")*('Q4 Data'!$H$4:$H$207=Z97)))=0))</f>
      </c>
    </row>
    <row r="98" spans="1:44" x14ac:dyDescent="0.25">
      <c r="A98" s="20">
        <f>IF($B98="Entry",COUNTIF($B$4:$B98,"Entry"),"")</f>
      </c>
      <c r="B98" s="21"/>
      <c r="C98" s="22"/>
      <c r="D98" s="22"/>
      <c r="E98" s="23">
        <f>IF($B98&lt;&gt;"Challan","",IF(ROUND(AN98-AO98,2)&gt;0,"Over-applied",IF(ROUND(AN98-AO98,2)=0,"Fully Utilised","Unconsumed")))</f>
      </c>
      <c r="F98" s="24"/>
      <c r="G98" s="25"/>
      <c r="H98" s="25"/>
      <c r="I98" s="26"/>
      <c r="J98" s="26"/>
      <c r="K98" s="26"/>
      <c r="L98" s="26"/>
      <c r="M98" s="26"/>
      <c r="N98" s="26"/>
      <c r="O98" s="26"/>
      <c r="P98" s="27">
        <f>IF($B98&lt;&gt;"Challan","",I98+J98+K98+L98+M98+N98)</f>
      </c>
      <c r="Q98" s="25"/>
      <c r="R98" s="25"/>
      <c r="S98" s="25"/>
      <c r="T98" s="25"/>
      <c r="U98" s="25"/>
      <c r="V98" s="28"/>
      <c r="W98" s="28"/>
      <c r="X98" s="23">
        <f>IF($B98="Entry",IF(AND(LEN(TRIM(UPPER(W98)))=10,CODE(MID(TRIM(UPPER(W98)),1,1))&gt;=65,CODE(MID(TRIM(UPPER(W98)),1,1))&lt;=90,CODE(MID(TRIM(UPPER(W98)),2,1))&gt;=65,CODE(MID(TRIM(UPPER(W98)),2,1))&lt;=90,CODE(MID(TRIM(UPPER(W98)),3,1))&gt;=65,CODE(MID(TRIM(UPPER(W98)),3,1))&lt;=90,CODE(MID(TRIM(UPPER(W98)),4,1))&gt;=65,CODE(MID(TRIM(UPPER(W98)),4,1))&lt;=90,CODE(MID(TRIM(UPPER(W98)),5,1))&gt;=65,CODE(MID(TRIM(UPPER(W98)),5,1))&lt;=90,CODE(MID(TRIM(UPPER(W98)),10,1))&gt;=65,CODE(MID(TRIM(UPPER(W98)),10,1))&lt;=90,CODE(MID(TRIM(UPPER(W98)),6,1))&gt;=48,CODE(MID(TRIM(UPPER(W98)),6,1))&lt;=57,CODE(MID(TRIM(UPPER(W98)),7,1))&gt;=48,CODE(MID(TRIM(UPPER(W98)),7,1))&lt;=57,CODE(MID(TRIM(UPPER(W98)),8,1))&gt;=48,CODE(MID(TRIM(UPPER(W98)),8,1))&lt;=57,CODE(MID(TRIM(UPPER(W98)),9,1))&gt;=48,CODE(MID(TRIM(UPPER(W98)),9,1))&lt;=57),"N","Y"),IF($B98="Challan","",IF(W98&lt;&gt;"","◄ Set Row Type","")))</f>
      </c>
      <c r="Y98" s="23">
        <f>IF($B98="Entry",IF(LEN(W98)&lt;4,"",IF(UPPER(MID(W98,4,1))="P","Individual",IF(UPPER(MID(W98,4,1))="H","HUF",IF(UPPER(MID(W98,4,1))="C","Company",IF(UPPER(MID(W98,4,1))="F","Firm",IF(UPPER(MID(W98,4,1))="L","LLP",IF(UPPER(MID(W98,4,1))="T","Trust",IF(UPPER(MID(W98,4,1))="A","AOP","")))))))),IF($B98="Challan","",IF(W98&lt;&gt;"","◄ Set Row Type","")))</f>
      </c>
      <c r="Z98" s="28"/>
      <c r="AA98" s="29">
        <f>IF($B98&lt;&gt;"Entry","",IF(Z98="","",IF(X98="Y",SUMPRODUCT(('Rate Lookup'!$A$1:$A$37=Z98)*'Rate Lookup'!$D$1:$D$37),IF(OR(Y98="Individual",Y98="HUF"),SUMPRODUCT(('Rate Lookup'!$A$1:$A$37=Z98)*'Rate Lookup'!$B$1:$B$37),SUMPRODUCT(('Rate Lookup'!$A$1:$A$37=Z98)*'Rate Lookup'!$C$1:$C$37)))))</f>
      </c>
      <c r="AB98" s="30"/>
      <c r="AC98" s="31"/>
      <c r="AD98" s="27">
        <f>IF($B98&lt;&gt;"Entry","",ROUND(AC98*AA98/100,0))</f>
      </c>
      <c r="AE98" s="27">
        <f>IF($B98&lt;&gt;"Entry","",0)</f>
      </c>
      <c r="AF98" s="27">
        <f>IF($B98&lt;&gt;"Entry","",0)</f>
      </c>
      <c r="AG98" s="27">
        <f>IF($B98&lt;&gt;"Entry","",IF(OR(AD98=0,AB98="",AQ98="",AQ98&lt;=0),0,IF(AQ98&lt;=DATE(YEAR(AB98),MONTH(AB98)+1,7),0,ROUND(AD98*0.015*((YEAR(AQ98)-YEAR(AB98))*12+(MONTH(AQ98)-MONTH(AB98))+1),0))))</f>
      </c>
      <c r="AH98" s="27">
        <f>IF($B98&lt;&gt;"Entry","",0)</f>
      </c>
      <c r="AI98" s="28"/>
      <c r="AJ98" s="28"/>
      <c r="AK98" s="32"/>
      <c r="AL98" s="28"/>
      <c r="AM98" s="28"/>
      <c r="AN98" s="27">
        <f>IF($B98&lt;&gt;"Challan","",SUMIF('Q1 Data'!$D$4:$D$207,D98,'Q1 Data'!$AD$4:$AD$207)+SUMIF('Q1 Data'!$D$4:$D$207,D98,'Q1 Data'!$AG$4:$AG$207)+SUMIF('Q1 Data'!$D$4:$D$207,D98,'Q1 Data'!$AE$4:$AE$207)+SUMIF('Q2 Data'!$D$4:$D$207,D98,'Q2 Data'!$AD$4:$AD$207)+SUMIF('Q2 Data'!$D$4:$D$207,D98,'Q2 Data'!$AG$4:$AG$207)+SUMIF('Q2 Data'!$D$4:$D$207,D98,'Q2 Data'!$AE$4:$AE$207)+SUMIF('Q3 Data'!$D$4:$D$207,D98,'Q3 Data'!$AD$4:$AD$207)+SUMIF('Q3 Data'!$D$4:$D$207,D98,'Q3 Data'!$AG$4:$AG$207)+SUMIF('Q3 Data'!$D$4:$D$207,D98,'Q3 Data'!$AE$4:$AE$207)+SUMIF('Q4 Data'!$D$4:$D$207,D98,'Q4 Data'!$AD$4:$AD$207)+SUMIF('Q4 Data'!$D$4:$D$207,D98,'Q4 Data'!$AG$4:$AG$207)+SUMIF('Q4 Data'!$D$4:$D$207,D98,'Q4 Data'!$AE$4:$AE$207))</f>
      </c>
      <c r="AO98" s="27">
        <f>IF($B98&lt;&gt;"Challan","",P98-N98)</f>
      </c>
      <c r="AP98" s="27">
        <f>IF($B98&lt;&gt;"Challan","",MAX(0,AO98-AN98))</f>
      </c>
      <c r="AQ98" s="33">
        <f>IF($B98&lt;&gt;"Entry","",SUMPRODUCT(('Q1 Data'!$D$4:$D$207=D98)*('Q1 Data'!$B$4:$B$207="Challan")*'Q1 Data'!$F$4:$F$207)+SUMPRODUCT(('Q2 Data'!$D$4:$D$207=D98)*('Q2 Data'!$B$4:$B$207="Challan")*'Q2 Data'!$F$4:$F$207)+SUMPRODUCT(('Q3 Data'!$D$4:$D$207=D98)*('Q3 Data'!$B$4:$B$207="Challan")*'Q3 Data'!$F$4:$F$207)+SUMPRODUCT(('Q4 Data'!$D$4:$D$207=D98)*('Q4 Data'!$B$4:$B$207="Challan")*'Q4 Data'!$F$4:$F$207))</f>
      </c>
      <c r="AR98" s="34">
        <f>IF(OR($B98&lt;&gt;"Entry",Z98=""),FALSE,AND((SUMPRODUCT(('Q1 Data'!$D$4:$D$207=D98)*('Q1 Data'!$B$4:$B$207="Challan")*('Q1 Data'!$H$4:$H$207&lt;&gt;""))+SUMPRODUCT(('Q2 Data'!$D$4:$D$207=D98)*('Q2 Data'!$B$4:$B$207="Challan")*('Q2 Data'!$H$4:$H$207&lt;&gt;""))+SUMPRODUCT(('Q3 Data'!$D$4:$D$207=D98)*('Q3 Data'!$B$4:$B$207="Challan")*('Q3 Data'!$H$4:$H$207&lt;&gt;""))+SUMPRODUCT(('Q4 Data'!$D$4:$D$207=D98)*('Q4 Data'!$B$4:$B$207="Challan")*('Q4 Data'!$H$4:$H$207&lt;&gt;"")))&gt;0,(SUMPRODUCT(('Q1 Data'!$D$4:$D$207=D98)*('Q1 Data'!$B$4:$B$207="Challan")*('Q1 Data'!$H$4:$H$207=Z98))+SUMPRODUCT(('Q2 Data'!$D$4:$D$207=D98)*('Q2 Data'!$B$4:$B$207="Challan")*('Q2 Data'!$H$4:$H$207=Z98))+SUMPRODUCT(('Q3 Data'!$D$4:$D$207=D98)*('Q3 Data'!$B$4:$B$207="Challan")*('Q3 Data'!$H$4:$H$207=Z98))+SUMPRODUCT(('Q4 Data'!$D$4:$D$207=D98)*('Q4 Data'!$B$4:$B$207="Challan")*('Q4 Data'!$H$4:$H$207=Z98)))=0))</f>
      </c>
    </row>
    <row r="99" spans="1:44" x14ac:dyDescent="0.25">
      <c r="A99" s="20">
        <f>IF($B99="Entry",COUNTIF($B$4:$B99,"Entry"),"")</f>
      </c>
      <c r="B99" s="21"/>
      <c r="C99" s="22"/>
      <c r="D99" s="22"/>
      <c r="E99" s="23">
        <f>IF($B99&lt;&gt;"Challan","",IF(ROUND(AN99-AO99,2)&gt;0,"Over-applied",IF(ROUND(AN99-AO99,2)=0,"Fully Utilised","Unconsumed")))</f>
      </c>
      <c r="F99" s="24"/>
      <c r="G99" s="25"/>
      <c r="H99" s="25"/>
      <c r="I99" s="26"/>
      <c r="J99" s="26"/>
      <c r="K99" s="26"/>
      <c r="L99" s="26"/>
      <c r="M99" s="26"/>
      <c r="N99" s="26"/>
      <c r="O99" s="26"/>
      <c r="P99" s="27">
        <f>IF($B99&lt;&gt;"Challan","",I99+J99+K99+L99+M99+N99)</f>
      </c>
      <c r="Q99" s="25"/>
      <c r="R99" s="25"/>
      <c r="S99" s="25"/>
      <c r="T99" s="25"/>
      <c r="U99" s="25"/>
      <c r="V99" s="28"/>
      <c r="W99" s="28"/>
      <c r="X99" s="23">
        <f>IF($B99="Entry",IF(AND(LEN(TRIM(UPPER(W99)))=10,CODE(MID(TRIM(UPPER(W99)),1,1))&gt;=65,CODE(MID(TRIM(UPPER(W99)),1,1))&lt;=90,CODE(MID(TRIM(UPPER(W99)),2,1))&gt;=65,CODE(MID(TRIM(UPPER(W99)),2,1))&lt;=90,CODE(MID(TRIM(UPPER(W99)),3,1))&gt;=65,CODE(MID(TRIM(UPPER(W99)),3,1))&lt;=90,CODE(MID(TRIM(UPPER(W99)),4,1))&gt;=65,CODE(MID(TRIM(UPPER(W99)),4,1))&lt;=90,CODE(MID(TRIM(UPPER(W99)),5,1))&gt;=65,CODE(MID(TRIM(UPPER(W99)),5,1))&lt;=90,CODE(MID(TRIM(UPPER(W99)),10,1))&gt;=65,CODE(MID(TRIM(UPPER(W99)),10,1))&lt;=90,CODE(MID(TRIM(UPPER(W99)),6,1))&gt;=48,CODE(MID(TRIM(UPPER(W99)),6,1))&lt;=57,CODE(MID(TRIM(UPPER(W99)),7,1))&gt;=48,CODE(MID(TRIM(UPPER(W99)),7,1))&lt;=57,CODE(MID(TRIM(UPPER(W99)),8,1))&gt;=48,CODE(MID(TRIM(UPPER(W99)),8,1))&lt;=57,CODE(MID(TRIM(UPPER(W99)),9,1))&gt;=48,CODE(MID(TRIM(UPPER(W99)),9,1))&lt;=57),"N","Y"),IF($B99="Challan","",IF(W99&lt;&gt;"","◄ Set Row Type","")))</f>
      </c>
      <c r="Y99" s="23">
        <f>IF($B99="Entry",IF(LEN(W99)&lt;4,"",IF(UPPER(MID(W99,4,1))="P","Individual",IF(UPPER(MID(W99,4,1))="H","HUF",IF(UPPER(MID(W99,4,1))="C","Company",IF(UPPER(MID(W99,4,1))="F","Firm",IF(UPPER(MID(W99,4,1))="L","LLP",IF(UPPER(MID(W99,4,1))="T","Trust",IF(UPPER(MID(W99,4,1))="A","AOP","")))))))),IF($B99="Challan","",IF(W99&lt;&gt;"","◄ Set Row Type","")))</f>
      </c>
      <c r="Z99" s="28"/>
      <c r="AA99" s="29">
        <f>IF($B99&lt;&gt;"Entry","",IF(Z99="","",IF(X99="Y",SUMPRODUCT(('Rate Lookup'!$A$1:$A$37=Z99)*'Rate Lookup'!$D$1:$D$37),IF(OR(Y99="Individual",Y99="HUF"),SUMPRODUCT(('Rate Lookup'!$A$1:$A$37=Z99)*'Rate Lookup'!$B$1:$B$37),SUMPRODUCT(('Rate Lookup'!$A$1:$A$37=Z99)*'Rate Lookup'!$C$1:$C$37)))))</f>
      </c>
      <c r="AB99" s="30"/>
      <c r="AC99" s="31"/>
      <c r="AD99" s="27">
        <f>IF($B99&lt;&gt;"Entry","",ROUND(AC99*AA99/100,0))</f>
      </c>
      <c r="AE99" s="27">
        <f>IF($B99&lt;&gt;"Entry","",0)</f>
      </c>
      <c r="AF99" s="27">
        <f>IF($B99&lt;&gt;"Entry","",0)</f>
      </c>
      <c r="AG99" s="27">
        <f>IF($B99&lt;&gt;"Entry","",IF(OR(AD99=0,AB99="",AQ99="",AQ99&lt;=0),0,IF(AQ99&lt;=DATE(YEAR(AB99),MONTH(AB99)+1,7),0,ROUND(AD99*0.015*((YEAR(AQ99)-YEAR(AB99))*12+(MONTH(AQ99)-MONTH(AB99))+1),0))))</f>
      </c>
      <c r="AH99" s="27">
        <f>IF($B99&lt;&gt;"Entry","",0)</f>
      </c>
      <c r="AI99" s="28"/>
      <c r="AJ99" s="28"/>
      <c r="AK99" s="32"/>
      <c r="AL99" s="28"/>
      <c r="AM99" s="28"/>
      <c r="AN99" s="27">
        <f>IF($B99&lt;&gt;"Challan","",SUMIF('Q1 Data'!$D$4:$D$207,D99,'Q1 Data'!$AD$4:$AD$207)+SUMIF('Q1 Data'!$D$4:$D$207,D99,'Q1 Data'!$AG$4:$AG$207)+SUMIF('Q1 Data'!$D$4:$D$207,D99,'Q1 Data'!$AE$4:$AE$207)+SUMIF('Q2 Data'!$D$4:$D$207,D99,'Q2 Data'!$AD$4:$AD$207)+SUMIF('Q2 Data'!$D$4:$D$207,D99,'Q2 Data'!$AG$4:$AG$207)+SUMIF('Q2 Data'!$D$4:$D$207,D99,'Q2 Data'!$AE$4:$AE$207)+SUMIF('Q3 Data'!$D$4:$D$207,D99,'Q3 Data'!$AD$4:$AD$207)+SUMIF('Q3 Data'!$D$4:$D$207,D99,'Q3 Data'!$AG$4:$AG$207)+SUMIF('Q3 Data'!$D$4:$D$207,D99,'Q3 Data'!$AE$4:$AE$207)+SUMIF('Q4 Data'!$D$4:$D$207,D99,'Q4 Data'!$AD$4:$AD$207)+SUMIF('Q4 Data'!$D$4:$D$207,D99,'Q4 Data'!$AG$4:$AG$207)+SUMIF('Q4 Data'!$D$4:$D$207,D99,'Q4 Data'!$AE$4:$AE$207))</f>
      </c>
      <c r="AO99" s="27">
        <f>IF($B99&lt;&gt;"Challan","",P99-N99)</f>
      </c>
      <c r="AP99" s="27">
        <f>IF($B99&lt;&gt;"Challan","",MAX(0,AO99-AN99))</f>
      </c>
      <c r="AQ99" s="33">
        <f>IF($B99&lt;&gt;"Entry","",SUMPRODUCT(('Q1 Data'!$D$4:$D$207=D99)*('Q1 Data'!$B$4:$B$207="Challan")*'Q1 Data'!$F$4:$F$207)+SUMPRODUCT(('Q2 Data'!$D$4:$D$207=D99)*('Q2 Data'!$B$4:$B$207="Challan")*'Q2 Data'!$F$4:$F$207)+SUMPRODUCT(('Q3 Data'!$D$4:$D$207=D99)*('Q3 Data'!$B$4:$B$207="Challan")*'Q3 Data'!$F$4:$F$207)+SUMPRODUCT(('Q4 Data'!$D$4:$D$207=D99)*('Q4 Data'!$B$4:$B$207="Challan")*'Q4 Data'!$F$4:$F$207))</f>
      </c>
      <c r="AR99" s="34">
        <f>IF(OR($B99&lt;&gt;"Entry",Z99=""),FALSE,AND((SUMPRODUCT(('Q1 Data'!$D$4:$D$207=D99)*('Q1 Data'!$B$4:$B$207="Challan")*('Q1 Data'!$H$4:$H$207&lt;&gt;""))+SUMPRODUCT(('Q2 Data'!$D$4:$D$207=D99)*('Q2 Data'!$B$4:$B$207="Challan")*('Q2 Data'!$H$4:$H$207&lt;&gt;""))+SUMPRODUCT(('Q3 Data'!$D$4:$D$207=D99)*('Q3 Data'!$B$4:$B$207="Challan")*('Q3 Data'!$H$4:$H$207&lt;&gt;""))+SUMPRODUCT(('Q4 Data'!$D$4:$D$207=D99)*('Q4 Data'!$B$4:$B$207="Challan")*('Q4 Data'!$H$4:$H$207&lt;&gt;"")))&gt;0,(SUMPRODUCT(('Q1 Data'!$D$4:$D$207=D99)*('Q1 Data'!$B$4:$B$207="Challan")*('Q1 Data'!$H$4:$H$207=Z99))+SUMPRODUCT(('Q2 Data'!$D$4:$D$207=D99)*('Q2 Data'!$B$4:$B$207="Challan")*('Q2 Data'!$H$4:$H$207=Z99))+SUMPRODUCT(('Q3 Data'!$D$4:$D$207=D99)*('Q3 Data'!$B$4:$B$207="Challan")*('Q3 Data'!$H$4:$H$207=Z99))+SUMPRODUCT(('Q4 Data'!$D$4:$D$207=D99)*('Q4 Data'!$B$4:$B$207="Challan")*('Q4 Data'!$H$4:$H$207=Z99)))=0))</f>
      </c>
    </row>
    <row r="100" spans="1:44" x14ac:dyDescent="0.25">
      <c r="A100" s="20">
        <f>IF($B100="Entry",COUNTIF($B$4:$B100,"Entry"),"")</f>
      </c>
      <c r="B100" s="21"/>
      <c r="C100" s="22"/>
      <c r="D100" s="22"/>
      <c r="E100" s="23">
        <f>IF($B100&lt;&gt;"Challan","",IF(ROUND(AN100-AO100,2)&gt;0,"Over-applied",IF(ROUND(AN100-AO100,2)=0,"Fully Utilised","Unconsumed")))</f>
      </c>
      <c r="F100" s="24"/>
      <c r="G100" s="25"/>
      <c r="H100" s="25"/>
      <c r="I100" s="26"/>
      <c r="J100" s="26"/>
      <c r="K100" s="26"/>
      <c r="L100" s="26"/>
      <c r="M100" s="26"/>
      <c r="N100" s="26"/>
      <c r="O100" s="26"/>
      <c r="P100" s="27">
        <f>IF($B100&lt;&gt;"Challan","",I100+J100+K100+L100+M100+N100)</f>
      </c>
      <c r="Q100" s="25"/>
      <c r="R100" s="25"/>
      <c r="S100" s="25"/>
      <c r="T100" s="25"/>
      <c r="U100" s="25"/>
      <c r="V100" s="28"/>
      <c r="W100" s="28"/>
      <c r="X100" s="23">
        <f>IF($B100="Entry",IF(AND(LEN(TRIM(UPPER(W100)))=10,CODE(MID(TRIM(UPPER(W100)),1,1))&gt;=65,CODE(MID(TRIM(UPPER(W100)),1,1))&lt;=90,CODE(MID(TRIM(UPPER(W100)),2,1))&gt;=65,CODE(MID(TRIM(UPPER(W100)),2,1))&lt;=90,CODE(MID(TRIM(UPPER(W100)),3,1))&gt;=65,CODE(MID(TRIM(UPPER(W100)),3,1))&lt;=90,CODE(MID(TRIM(UPPER(W100)),4,1))&gt;=65,CODE(MID(TRIM(UPPER(W100)),4,1))&lt;=90,CODE(MID(TRIM(UPPER(W100)),5,1))&gt;=65,CODE(MID(TRIM(UPPER(W100)),5,1))&lt;=90,CODE(MID(TRIM(UPPER(W100)),10,1))&gt;=65,CODE(MID(TRIM(UPPER(W100)),10,1))&lt;=90,CODE(MID(TRIM(UPPER(W100)),6,1))&gt;=48,CODE(MID(TRIM(UPPER(W100)),6,1))&lt;=57,CODE(MID(TRIM(UPPER(W100)),7,1))&gt;=48,CODE(MID(TRIM(UPPER(W100)),7,1))&lt;=57,CODE(MID(TRIM(UPPER(W100)),8,1))&gt;=48,CODE(MID(TRIM(UPPER(W100)),8,1))&lt;=57,CODE(MID(TRIM(UPPER(W100)),9,1))&gt;=48,CODE(MID(TRIM(UPPER(W100)),9,1))&lt;=57),"N","Y"),IF($B100="Challan","",IF(W100&lt;&gt;"","◄ Set Row Type","")))</f>
      </c>
      <c r="Y100" s="23">
        <f>IF($B100="Entry",IF(LEN(W100)&lt;4,"",IF(UPPER(MID(W100,4,1))="P","Individual",IF(UPPER(MID(W100,4,1))="H","HUF",IF(UPPER(MID(W100,4,1))="C","Company",IF(UPPER(MID(W100,4,1))="F","Firm",IF(UPPER(MID(W100,4,1))="L","LLP",IF(UPPER(MID(W100,4,1))="T","Trust",IF(UPPER(MID(W100,4,1))="A","AOP","")))))))),IF($B100="Challan","",IF(W100&lt;&gt;"","◄ Set Row Type","")))</f>
      </c>
      <c r="Z100" s="28"/>
      <c r="AA100" s="29">
        <f>IF($B100&lt;&gt;"Entry","",IF(Z100="","",IF(X100="Y",SUMPRODUCT(('Rate Lookup'!$A$1:$A$37=Z100)*'Rate Lookup'!$D$1:$D$37),IF(OR(Y100="Individual",Y100="HUF"),SUMPRODUCT(('Rate Lookup'!$A$1:$A$37=Z100)*'Rate Lookup'!$B$1:$B$37),SUMPRODUCT(('Rate Lookup'!$A$1:$A$37=Z100)*'Rate Lookup'!$C$1:$C$37)))))</f>
      </c>
      <c r="AB100" s="30"/>
      <c r="AC100" s="31"/>
      <c r="AD100" s="27">
        <f>IF($B100&lt;&gt;"Entry","",ROUND(AC100*AA100/100,0))</f>
      </c>
      <c r="AE100" s="27">
        <f>IF($B100&lt;&gt;"Entry","",0)</f>
      </c>
      <c r="AF100" s="27">
        <f>IF($B100&lt;&gt;"Entry","",0)</f>
      </c>
      <c r="AG100" s="27">
        <f>IF($B100&lt;&gt;"Entry","",IF(OR(AD100=0,AB100="",AQ100="",AQ100&lt;=0),0,IF(AQ100&lt;=DATE(YEAR(AB100),MONTH(AB100)+1,7),0,ROUND(AD100*0.015*((YEAR(AQ100)-YEAR(AB100))*12+(MONTH(AQ100)-MONTH(AB100))+1),0))))</f>
      </c>
      <c r="AH100" s="27">
        <f>IF($B100&lt;&gt;"Entry","",0)</f>
      </c>
      <c r="AI100" s="28"/>
      <c r="AJ100" s="28"/>
      <c r="AK100" s="32"/>
      <c r="AL100" s="28"/>
      <c r="AM100" s="28"/>
      <c r="AN100" s="27">
        <f>IF($B100&lt;&gt;"Challan","",SUMIF('Q1 Data'!$D$4:$D$207,D100,'Q1 Data'!$AD$4:$AD$207)+SUMIF('Q1 Data'!$D$4:$D$207,D100,'Q1 Data'!$AG$4:$AG$207)+SUMIF('Q1 Data'!$D$4:$D$207,D100,'Q1 Data'!$AE$4:$AE$207)+SUMIF('Q2 Data'!$D$4:$D$207,D100,'Q2 Data'!$AD$4:$AD$207)+SUMIF('Q2 Data'!$D$4:$D$207,D100,'Q2 Data'!$AG$4:$AG$207)+SUMIF('Q2 Data'!$D$4:$D$207,D100,'Q2 Data'!$AE$4:$AE$207)+SUMIF('Q3 Data'!$D$4:$D$207,D100,'Q3 Data'!$AD$4:$AD$207)+SUMIF('Q3 Data'!$D$4:$D$207,D100,'Q3 Data'!$AG$4:$AG$207)+SUMIF('Q3 Data'!$D$4:$D$207,D100,'Q3 Data'!$AE$4:$AE$207)+SUMIF('Q4 Data'!$D$4:$D$207,D100,'Q4 Data'!$AD$4:$AD$207)+SUMIF('Q4 Data'!$D$4:$D$207,D100,'Q4 Data'!$AG$4:$AG$207)+SUMIF('Q4 Data'!$D$4:$D$207,D100,'Q4 Data'!$AE$4:$AE$207))</f>
      </c>
      <c r="AO100" s="27">
        <f>IF($B100&lt;&gt;"Challan","",P100-N100)</f>
      </c>
      <c r="AP100" s="27">
        <f>IF($B100&lt;&gt;"Challan","",MAX(0,AO100-AN100))</f>
      </c>
      <c r="AQ100" s="33">
        <f>IF($B100&lt;&gt;"Entry","",SUMPRODUCT(('Q1 Data'!$D$4:$D$207=D100)*('Q1 Data'!$B$4:$B$207="Challan")*'Q1 Data'!$F$4:$F$207)+SUMPRODUCT(('Q2 Data'!$D$4:$D$207=D100)*('Q2 Data'!$B$4:$B$207="Challan")*'Q2 Data'!$F$4:$F$207)+SUMPRODUCT(('Q3 Data'!$D$4:$D$207=D100)*('Q3 Data'!$B$4:$B$207="Challan")*'Q3 Data'!$F$4:$F$207)+SUMPRODUCT(('Q4 Data'!$D$4:$D$207=D100)*('Q4 Data'!$B$4:$B$207="Challan")*'Q4 Data'!$F$4:$F$207))</f>
      </c>
      <c r="AR100" s="34">
        <f>IF(OR($B100&lt;&gt;"Entry",Z100=""),FALSE,AND((SUMPRODUCT(('Q1 Data'!$D$4:$D$207=D100)*('Q1 Data'!$B$4:$B$207="Challan")*('Q1 Data'!$H$4:$H$207&lt;&gt;""))+SUMPRODUCT(('Q2 Data'!$D$4:$D$207=D100)*('Q2 Data'!$B$4:$B$207="Challan")*('Q2 Data'!$H$4:$H$207&lt;&gt;""))+SUMPRODUCT(('Q3 Data'!$D$4:$D$207=D100)*('Q3 Data'!$B$4:$B$207="Challan")*('Q3 Data'!$H$4:$H$207&lt;&gt;""))+SUMPRODUCT(('Q4 Data'!$D$4:$D$207=D100)*('Q4 Data'!$B$4:$B$207="Challan")*('Q4 Data'!$H$4:$H$207&lt;&gt;"")))&gt;0,(SUMPRODUCT(('Q1 Data'!$D$4:$D$207=D100)*('Q1 Data'!$B$4:$B$207="Challan")*('Q1 Data'!$H$4:$H$207=Z100))+SUMPRODUCT(('Q2 Data'!$D$4:$D$207=D100)*('Q2 Data'!$B$4:$B$207="Challan")*('Q2 Data'!$H$4:$H$207=Z100))+SUMPRODUCT(('Q3 Data'!$D$4:$D$207=D100)*('Q3 Data'!$B$4:$B$207="Challan")*('Q3 Data'!$H$4:$H$207=Z100))+SUMPRODUCT(('Q4 Data'!$D$4:$D$207=D100)*('Q4 Data'!$B$4:$B$207="Challan")*('Q4 Data'!$H$4:$H$207=Z100)))=0))</f>
      </c>
    </row>
    <row r="101" spans="1:44" x14ac:dyDescent="0.25">
      <c r="A101" s="20">
        <f>IF($B101="Entry",COUNTIF($B$4:$B101,"Entry"),"")</f>
      </c>
      <c r="B101" s="21"/>
      <c r="C101" s="22"/>
      <c r="D101" s="22"/>
      <c r="E101" s="23">
        <f>IF($B101&lt;&gt;"Challan","",IF(ROUND(AN101-AO101,2)&gt;0,"Over-applied",IF(ROUND(AN101-AO101,2)=0,"Fully Utilised","Unconsumed")))</f>
      </c>
      <c r="F101" s="24"/>
      <c r="G101" s="25"/>
      <c r="H101" s="25"/>
      <c r="I101" s="26"/>
      <c r="J101" s="26"/>
      <c r="K101" s="26"/>
      <c r="L101" s="26"/>
      <c r="M101" s="26"/>
      <c r="N101" s="26"/>
      <c r="O101" s="26"/>
      <c r="P101" s="27">
        <f>IF($B101&lt;&gt;"Challan","",I101+J101+K101+L101+M101+N101)</f>
      </c>
      <c r="Q101" s="25"/>
      <c r="R101" s="25"/>
      <c r="S101" s="25"/>
      <c r="T101" s="25"/>
      <c r="U101" s="25"/>
      <c r="V101" s="28"/>
      <c r="W101" s="28"/>
      <c r="X101" s="23">
        <f>IF($B101="Entry",IF(AND(LEN(TRIM(UPPER(W101)))=10,CODE(MID(TRIM(UPPER(W101)),1,1))&gt;=65,CODE(MID(TRIM(UPPER(W101)),1,1))&lt;=90,CODE(MID(TRIM(UPPER(W101)),2,1))&gt;=65,CODE(MID(TRIM(UPPER(W101)),2,1))&lt;=90,CODE(MID(TRIM(UPPER(W101)),3,1))&gt;=65,CODE(MID(TRIM(UPPER(W101)),3,1))&lt;=90,CODE(MID(TRIM(UPPER(W101)),4,1))&gt;=65,CODE(MID(TRIM(UPPER(W101)),4,1))&lt;=90,CODE(MID(TRIM(UPPER(W101)),5,1))&gt;=65,CODE(MID(TRIM(UPPER(W101)),5,1))&lt;=90,CODE(MID(TRIM(UPPER(W101)),10,1))&gt;=65,CODE(MID(TRIM(UPPER(W101)),10,1))&lt;=90,CODE(MID(TRIM(UPPER(W101)),6,1))&gt;=48,CODE(MID(TRIM(UPPER(W101)),6,1))&lt;=57,CODE(MID(TRIM(UPPER(W101)),7,1))&gt;=48,CODE(MID(TRIM(UPPER(W101)),7,1))&lt;=57,CODE(MID(TRIM(UPPER(W101)),8,1))&gt;=48,CODE(MID(TRIM(UPPER(W101)),8,1))&lt;=57,CODE(MID(TRIM(UPPER(W101)),9,1))&gt;=48,CODE(MID(TRIM(UPPER(W101)),9,1))&lt;=57),"N","Y"),IF($B101="Challan","",IF(W101&lt;&gt;"","◄ Set Row Type","")))</f>
      </c>
      <c r="Y101" s="23">
        <f>IF($B101="Entry",IF(LEN(W101)&lt;4,"",IF(UPPER(MID(W101,4,1))="P","Individual",IF(UPPER(MID(W101,4,1))="H","HUF",IF(UPPER(MID(W101,4,1))="C","Company",IF(UPPER(MID(W101,4,1))="F","Firm",IF(UPPER(MID(W101,4,1))="L","LLP",IF(UPPER(MID(W101,4,1))="T","Trust",IF(UPPER(MID(W101,4,1))="A","AOP","")))))))),IF($B101="Challan","",IF(W101&lt;&gt;"","◄ Set Row Type","")))</f>
      </c>
      <c r="Z101" s="28"/>
      <c r="AA101" s="29">
        <f>IF($B101&lt;&gt;"Entry","",IF(Z101="","",IF(X101="Y",SUMPRODUCT(('Rate Lookup'!$A$1:$A$37=Z101)*'Rate Lookup'!$D$1:$D$37),IF(OR(Y101="Individual",Y101="HUF"),SUMPRODUCT(('Rate Lookup'!$A$1:$A$37=Z101)*'Rate Lookup'!$B$1:$B$37),SUMPRODUCT(('Rate Lookup'!$A$1:$A$37=Z101)*'Rate Lookup'!$C$1:$C$37)))))</f>
      </c>
      <c r="AB101" s="30"/>
      <c r="AC101" s="31"/>
      <c r="AD101" s="27">
        <f>IF($B101&lt;&gt;"Entry","",ROUND(AC101*AA101/100,0))</f>
      </c>
      <c r="AE101" s="27">
        <f>IF($B101&lt;&gt;"Entry","",0)</f>
      </c>
      <c r="AF101" s="27">
        <f>IF($B101&lt;&gt;"Entry","",0)</f>
      </c>
      <c r="AG101" s="27">
        <f>IF($B101&lt;&gt;"Entry","",IF(OR(AD101=0,AB101="",AQ101="",AQ101&lt;=0),0,IF(AQ101&lt;=DATE(YEAR(AB101),MONTH(AB101)+1,7),0,ROUND(AD101*0.015*((YEAR(AQ101)-YEAR(AB101))*12+(MONTH(AQ101)-MONTH(AB101))+1),0))))</f>
      </c>
      <c r="AH101" s="27">
        <f>IF($B101&lt;&gt;"Entry","",0)</f>
      </c>
      <c r="AI101" s="28"/>
      <c r="AJ101" s="28"/>
      <c r="AK101" s="32"/>
      <c r="AL101" s="28"/>
      <c r="AM101" s="28"/>
      <c r="AN101" s="27">
        <f>IF($B101&lt;&gt;"Challan","",SUMIF('Q1 Data'!$D$4:$D$207,D101,'Q1 Data'!$AD$4:$AD$207)+SUMIF('Q1 Data'!$D$4:$D$207,D101,'Q1 Data'!$AG$4:$AG$207)+SUMIF('Q1 Data'!$D$4:$D$207,D101,'Q1 Data'!$AE$4:$AE$207)+SUMIF('Q2 Data'!$D$4:$D$207,D101,'Q2 Data'!$AD$4:$AD$207)+SUMIF('Q2 Data'!$D$4:$D$207,D101,'Q2 Data'!$AG$4:$AG$207)+SUMIF('Q2 Data'!$D$4:$D$207,D101,'Q2 Data'!$AE$4:$AE$207)+SUMIF('Q3 Data'!$D$4:$D$207,D101,'Q3 Data'!$AD$4:$AD$207)+SUMIF('Q3 Data'!$D$4:$D$207,D101,'Q3 Data'!$AG$4:$AG$207)+SUMIF('Q3 Data'!$D$4:$D$207,D101,'Q3 Data'!$AE$4:$AE$207)+SUMIF('Q4 Data'!$D$4:$D$207,D101,'Q4 Data'!$AD$4:$AD$207)+SUMIF('Q4 Data'!$D$4:$D$207,D101,'Q4 Data'!$AG$4:$AG$207)+SUMIF('Q4 Data'!$D$4:$D$207,D101,'Q4 Data'!$AE$4:$AE$207))</f>
      </c>
      <c r="AO101" s="27">
        <f>IF($B101&lt;&gt;"Challan","",P101-N101)</f>
      </c>
      <c r="AP101" s="27">
        <f>IF($B101&lt;&gt;"Challan","",MAX(0,AO101-AN101))</f>
      </c>
      <c r="AQ101" s="33">
        <f>IF($B101&lt;&gt;"Entry","",SUMPRODUCT(('Q1 Data'!$D$4:$D$207=D101)*('Q1 Data'!$B$4:$B$207="Challan")*'Q1 Data'!$F$4:$F$207)+SUMPRODUCT(('Q2 Data'!$D$4:$D$207=D101)*('Q2 Data'!$B$4:$B$207="Challan")*'Q2 Data'!$F$4:$F$207)+SUMPRODUCT(('Q3 Data'!$D$4:$D$207=D101)*('Q3 Data'!$B$4:$B$207="Challan")*'Q3 Data'!$F$4:$F$207)+SUMPRODUCT(('Q4 Data'!$D$4:$D$207=D101)*('Q4 Data'!$B$4:$B$207="Challan")*'Q4 Data'!$F$4:$F$207))</f>
      </c>
      <c r="AR101" s="34">
        <f>IF(OR($B101&lt;&gt;"Entry",Z101=""),FALSE,AND((SUMPRODUCT(('Q1 Data'!$D$4:$D$207=D101)*('Q1 Data'!$B$4:$B$207="Challan")*('Q1 Data'!$H$4:$H$207&lt;&gt;""))+SUMPRODUCT(('Q2 Data'!$D$4:$D$207=D101)*('Q2 Data'!$B$4:$B$207="Challan")*('Q2 Data'!$H$4:$H$207&lt;&gt;""))+SUMPRODUCT(('Q3 Data'!$D$4:$D$207=D101)*('Q3 Data'!$B$4:$B$207="Challan")*('Q3 Data'!$H$4:$H$207&lt;&gt;""))+SUMPRODUCT(('Q4 Data'!$D$4:$D$207=D101)*('Q4 Data'!$B$4:$B$207="Challan")*('Q4 Data'!$H$4:$H$207&lt;&gt;"")))&gt;0,(SUMPRODUCT(('Q1 Data'!$D$4:$D$207=D101)*('Q1 Data'!$B$4:$B$207="Challan")*('Q1 Data'!$H$4:$H$207=Z101))+SUMPRODUCT(('Q2 Data'!$D$4:$D$207=D101)*('Q2 Data'!$B$4:$B$207="Challan")*('Q2 Data'!$H$4:$H$207=Z101))+SUMPRODUCT(('Q3 Data'!$D$4:$D$207=D101)*('Q3 Data'!$B$4:$B$207="Challan")*('Q3 Data'!$H$4:$H$207=Z101))+SUMPRODUCT(('Q4 Data'!$D$4:$D$207=D101)*('Q4 Data'!$B$4:$B$207="Challan")*('Q4 Data'!$H$4:$H$207=Z101)))=0))</f>
      </c>
    </row>
    <row r="102" spans="1:44" x14ac:dyDescent="0.25">
      <c r="A102" s="20">
        <f>IF($B102="Entry",COUNTIF($B$4:$B102,"Entry"),"")</f>
      </c>
      <c r="B102" s="21"/>
      <c r="C102" s="22"/>
      <c r="D102" s="22"/>
      <c r="E102" s="23">
        <f>IF($B102&lt;&gt;"Challan","",IF(ROUND(AN102-AO102,2)&gt;0,"Over-applied",IF(ROUND(AN102-AO102,2)=0,"Fully Utilised","Unconsumed")))</f>
      </c>
      <c r="F102" s="24"/>
      <c r="G102" s="25"/>
      <c r="H102" s="25"/>
      <c r="I102" s="26"/>
      <c r="J102" s="26"/>
      <c r="K102" s="26"/>
      <c r="L102" s="26"/>
      <c r="M102" s="26"/>
      <c r="N102" s="26"/>
      <c r="O102" s="26"/>
      <c r="P102" s="27">
        <f>IF($B102&lt;&gt;"Challan","",I102+J102+K102+L102+M102+N102)</f>
      </c>
      <c r="Q102" s="25"/>
      <c r="R102" s="25"/>
      <c r="S102" s="25"/>
      <c r="T102" s="25"/>
      <c r="U102" s="25"/>
      <c r="V102" s="28"/>
      <c r="W102" s="28"/>
      <c r="X102" s="23">
        <f>IF($B102="Entry",IF(AND(LEN(TRIM(UPPER(W102)))=10,CODE(MID(TRIM(UPPER(W102)),1,1))&gt;=65,CODE(MID(TRIM(UPPER(W102)),1,1))&lt;=90,CODE(MID(TRIM(UPPER(W102)),2,1))&gt;=65,CODE(MID(TRIM(UPPER(W102)),2,1))&lt;=90,CODE(MID(TRIM(UPPER(W102)),3,1))&gt;=65,CODE(MID(TRIM(UPPER(W102)),3,1))&lt;=90,CODE(MID(TRIM(UPPER(W102)),4,1))&gt;=65,CODE(MID(TRIM(UPPER(W102)),4,1))&lt;=90,CODE(MID(TRIM(UPPER(W102)),5,1))&gt;=65,CODE(MID(TRIM(UPPER(W102)),5,1))&lt;=90,CODE(MID(TRIM(UPPER(W102)),10,1))&gt;=65,CODE(MID(TRIM(UPPER(W102)),10,1))&lt;=90,CODE(MID(TRIM(UPPER(W102)),6,1))&gt;=48,CODE(MID(TRIM(UPPER(W102)),6,1))&lt;=57,CODE(MID(TRIM(UPPER(W102)),7,1))&gt;=48,CODE(MID(TRIM(UPPER(W102)),7,1))&lt;=57,CODE(MID(TRIM(UPPER(W102)),8,1))&gt;=48,CODE(MID(TRIM(UPPER(W102)),8,1))&lt;=57,CODE(MID(TRIM(UPPER(W102)),9,1))&gt;=48,CODE(MID(TRIM(UPPER(W102)),9,1))&lt;=57),"N","Y"),IF($B102="Challan","",IF(W102&lt;&gt;"","◄ Set Row Type","")))</f>
      </c>
      <c r="Y102" s="23">
        <f>IF($B102="Entry",IF(LEN(W102)&lt;4,"",IF(UPPER(MID(W102,4,1))="P","Individual",IF(UPPER(MID(W102,4,1))="H","HUF",IF(UPPER(MID(W102,4,1))="C","Company",IF(UPPER(MID(W102,4,1))="F","Firm",IF(UPPER(MID(W102,4,1))="L","LLP",IF(UPPER(MID(W102,4,1))="T","Trust",IF(UPPER(MID(W102,4,1))="A","AOP","")))))))),IF($B102="Challan","",IF(W102&lt;&gt;"","◄ Set Row Type","")))</f>
      </c>
      <c r="Z102" s="28"/>
      <c r="AA102" s="29">
        <f>IF($B102&lt;&gt;"Entry","",IF(Z102="","",IF(X102="Y",SUMPRODUCT(('Rate Lookup'!$A$1:$A$37=Z102)*'Rate Lookup'!$D$1:$D$37),IF(OR(Y102="Individual",Y102="HUF"),SUMPRODUCT(('Rate Lookup'!$A$1:$A$37=Z102)*'Rate Lookup'!$B$1:$B$37),SUMPRODUCT(('Rate Lookup'!$A$1:$A$37=Z102)*'Rate Lookup'!$C$1:$C$37)))))</f>
      </c>
      <c r="AB102" s="30"/>
      <c r="AC102" s="31"/>
      <c r="AD102" s="27">
        <f>IF($B102&lt;&gt;"Entry","",ROUND(AC102*AA102/100,0))</f>
      </c>
      <c r="AE102" s="27">
        <f>IF($B102&lt;&gt;"Entry","",0)</f>
      </c>
      <c r="AF102" s="27">
        <f>IF($B102&lt;&gt;"Entry","",0)</f>
      </c>
      <c r="AG102" s="27">
        <f>IF($B102&lt;&gt;"Entry","",IF(OR(AD102=0,AB102="",AQ102="",AQ102&lt;=0),0,IF(AQ102&lt;=DATE(YEAR(AB102),MONTH(AB102)+1,7),0,ROUND(AD102*0.015*((YEAR(AQ102)-YEAR(AB102))*12+(MONTH(AQ102)-MONTH(AB102))+1),0))))</f>
      </c>
      <c r="AH102" s="27">
        <f>IF($B102&lt;&gt;"Entry","",0)</f>
      </c>
      <c r="AI102" s="28"/>
      <c r="AJ102" s="28"/>
      <c r="AK102" s="32"/>
      <c r="AL102" s="28"/>
      <c r="AM102" s="28"/>
      <c r="AN102" s="27">
        <f>IF($B102&lt;&gt;"Challan","",SUMIF('Q1 Data'!$D$4:$D$207,D102,'Q1 Data'!$AD$4:$AD$207)+SUMIF('Q1 Data'!$D$4:$D$207,D102,'Q1 Data'!$AG$4:$AG$207)+SUMIF('Q1 Data'!$D$4:$D$207,D102,'Q1 Data'!$AE$4:$AE$207)+SUMIF('Q2 Data'!$D$4:$D$207,D102,'Q2 Data'!$AD$4:$AD$207)+SUMIF('Q2 Data'!$D$4:$D$207,D102,'Q2 Data'!$AG$4:$AG$207)+SUMIF('Q2 Data'!$D$4:$D$207,D102,'Q2 Data'!$AE$4:$AE$207)+SUMIF('Q3 Data'!$D$4:$D$207,D102,'Q3 Data'!$AD$4:$AD$207)+SUMIF('Q3 Data'!$D$4:$D$207,D102,'Q3 Data'!$AG$4:$AG$207)+SUMIF('Q3 Data'!$D$4:$D$207,D102,'Q3 Data'!$AE$4:$AE$207)+SUMIF('Q4 Data'!$D$4:$D$207,D102,'Q4 Data'!$AD$4:$AD$207)+SUMIF('Q4 Data'!$D$4:$D$207,D102,'Q4 Data'!$AG$4:$AG$207)+SUMIF('Q4 Data'!$D$4:$D$207,D102,'Q4 Data'!$AE$4:$AE$207))</f>
      </c>
      <c r="AO102" s="27">
        <f>IF($B102&lt;&gt;"Challan","",P102-N102)</f>
      </c>
      <c r="AP102" s="27">
        <f>IF($B102&lt;&gt;"Challan","",MAX(0,AO102-AN102))</f>
      </c>
      <c r="AQ102" s="33">
        <f>IF($B102&lt;&gt;"Entry","",SUMPRODUCT(('Q1 Data'!$D$4:$D$207=D102)*('Q1 Data'!$B$4:$B$207="Challan")*'Q1 Data'!$F$4:$F$207)+SUMPRODUCT(('Q2 Data'!$D$4:$D$207=D102)*('Q2 Data'!$B$4:$B$207="Challan")*'Q2 Data'!$F$4:$F$207)+SUMPRODUCT(('Q3 Data'!$D$4:$D$207=D102)*('Q3 Data'!$B$4:$B$207="Challan")*'Q3 Data'!$F$4:$F$207)+SUMPRODUCT(('Q4 Data'!$D$4:$D$207=D102)*('Q4 Data'!$B$4:$B$207="Challan")*'Q4 Data'!$F$4:$F$207))</f>
      </c>
      <c r="AR102" s="34">
        <f>IF(OR($B102&lt;&gt;"Entry",Z102=""),FALSE,AND((SUMPRODUCT(('Q1 Data'!$D$4:$D$207=D102)*('Q1 Data'!$B$4:$B$207="Challan")*('Q1 Data'!$H$4:$H$207&lt;&gt;""))+SUMPRODUCT(('Q2 Data'!$D$4:$D$207=D102)*('Q2 Data'!$B$4:$B$207="Challan")*('Q2 Data'!$H$4:$H$207&lt;&gt;""))+SUMPRODUCT(('Q3 Data'!$D$4:$D$207=D102)*('Q3 Data'!$B$4:$B$207="Challan")*('Q3 Data'!$H$4:$H$207&lt;&gt;""))+SUMPRODUCT(('Q4 Data'!$D$4:$D$207=D102)*('Q4 Data'!$B$4:$B$207="Challan")*('Q4 Data'!$H$4:$H$207&lt;&gt;"")))&gt;0,(SUMPRODUCT(('Q1 Data'!$D$4:$D$207=D102)*('Q1 Data'!$B$4:$B$207="Challan")*('Q1 Data'!$H$4:$H$207=Z102))+SUMPRODUCT(('Q2 Data'!$D$4:$D$207=D102)*('Q2 Data'!$B$4:$B$207="Challan")*('Q2 Data'!$H$4:$H$207=Z102))+SUMPRODUCT(('Q3 Data'!$D$4:$D$207=D102)*('Q3 Data'!$B$4:$B$207="Challan")*('Q3 Data'!$H$4:$H$207=Z102))+SUMPRODUCT(('Q4 Data'!$D$4:$D$207=D102)*('Q4 Data'!$B$4:$B$207="Challan")*('Q4 Data'!$H$4:$H$207=Z102)))=0))</f>
      </c>
    </row>
    <row r="103" spans="1:44" x14ac:dyDescent="0.25">
      <c r="A103" s="20">
        <f>IF($B103="Entry",COUNTIF($B$4:$B103,"Entry"),"")</f>
      </c>
      <c r="B103" s="21"/>
      <c r="C103" s="22"/>
      <c r="D103" s="22"/>
      <c r="E103" s="23">
        <f>IF($B103&lt;&gt;"Challan","",IF(ROUND(AN103-AO103,2)&gt;0,"Over-applied",IF(ROUND(AN103-AO103,2)=0,"Fully Utilised","Unconsumed")))</f>
      </c>
      <c r="F103" s="24"/>
      <c r="G103" s="25"/>
      <c r="H103" s="25"/>
      <c r="I103" s="26"/>
      <c r="J103" s="26"/>
      <c r="K103" s="26"/>
      <c r="L103" s="26"/>
      <c r="M103" s="26"/>
      <c r="N103" s="26"/>
      <c r="O103" s="26"/>
      <c r="P103" s="27">
        <f>IF($B103&lt;&gt;"Challan","",I103+J103+K103+L103+M103+N103)</f>
      </c>
      <c r="Q103" s="25"/>
      <c r="R103" s="25"/>
      <c r="S103" s="25"/>
      <c r="T103" s="25"/>
      <c r="U103" s="25"/>
      <c r="V103" s="28"/>
      <c r="W103" s="28"/>
      <c r="X103" s="23">
        <f>IF($B103="Entry",IF(AND(LEN(TRIM(UPPER(W103)))=10,CODE(MID(TRIM(UPPER(W103)),1,1))&gt;=65,CODE(MID(TRIM(UPPER(W103)),1,1))&lt;=90,CODE(MID(TRIM(UPPER(W103)),2,1))&gt;=65,CODE(MID(TRIM(UPPER(W103)),2,1))&lt;=90,CODE(MID(TRIM(UPPER(W103)),3,1))&gt;=65,CODE(MID(TRIM(UPPER(W103)),3,1))&lt;=90,CODE(MID(TRIM(UPPER(W103)),4,1))&gt;=65,CODE(MID(TRIM(UPPER(W103)),4,1))&lt;=90,CODE(MID(TRIM(UPPER(W103)),5,1))&gt;=65,CODE(MID(TRIM(UPPER(W103)),5,1))&lt;=90,CODE(MID(TRIM(UPPER(W103)),10,1))&gt;=65,CODE(MID(TRIM(UPPER(W103)),10,1))&lt;=90,CODE(MID(TRIM(UPPER(W103)),6,1))&gt;=48,CODE(MID(TRIM(UPPER(W103)),6,1))&lt;=57,CODE(MID(TRIM(UPPER(W103)),7,1))&gt;=48,CODE(MID(TRIM(UPPER(W103)),7,1))&lt;=57,CODE(MID(TRIM(UPPER(W103)),8,1))&gt;=48,CODE(MID(TRIM(UPPER(W103)),8,1))&lt;=57,CODE(MID(TRIM(UPPER(W103)),9,1))&gt;=48,CODE(MID(TRIM(UPPER(W103)),9,1))&lt;=57),"N","Y"),IF($B103="Challan","",IF(W103&lt;&gt;"","◄ Set Row Type","")))</f>
      </c>
      <c r="Y103" s="23">
        <f>IF($B103="Entry",IF(LEN(W103)&lt;4,"",IF(UPPER(MID(W103,4,1))="P","Individual",IF(UPPER(MID(W103,4,1))="H","HUF",IF(UPPER(MID(W103,4,1))="C","Company",IF(UPPER(MID(W103,4,1))="F","Firm",IF(UPPER(MID(W103,4,1))="L","LLP",IF(UPPER(MID(W103,4,1))="T","Trust",IF(UPPER(MID(W103,4,1))="A","AOP","")))))))),IF($B103="Challan","",IF(W103&lt;&gt;"","◄ Set Row Type","")))</f>
      </c>
      <c r="Z103" s="28"/>
      <c r="AA103" s="29">
        <f>IF($B103&lt;&gt;"Entry","",IF(Z103="","",IF(X103="Y",SUMPRODUCT(('Rate Lookup'!$A$1:$A$37=Z103)*'Rate Lookup'!$D$1:$D$37),IF(OR(Y103="Individual",Y103="HUF"),SUMPRODUCT(('Rate Lookup'!$A$1:$A$37=Z103)*'Rate Lookup'!$B$1:$B$37),SUMPRODUCT(('Rate Lookup'!$A$1:$A$37=Z103)*'Rate Lookup'!$C$1:$C$37)))))</f>
      </c>
      <c r="AB103" s="30"/>
      <c r="AC103" s="31"/>
      <c r="AD103" s="27">
        <f>IF($B103&lt;&gt;"Entry","",ROUND(AC103*AA103/100,0))</f>
      </c>
      <c r="AE103" s="27">
        <f>IF($B103&lt;&gt;"Entry","",0)</f>
      </c>
      <c r="AF103" s="27">
        <f>IF($B103&lt;&gt;"Entry","",0)</f>
      </c>
      <c r="AG103" s="27">
        <f>IF($B103&lt;&gt;"Entry","",IF(OR(AD103=0,AB103="",AQ103="",AQ103&lt;=0),0,IF(AQ103&lt;=DATE(YEAR(AB103),MONTH(AB103)+1,7),0,ROUND(AD103*0.015*((YEAR(AQ103)-YEAR(AB103))*12+(MONTH(AQ103)-MONTH(AB103))+1),0))))</f>
      </c>
      <c r="AH103" s="27">
        <f>IF($B103&lt;&gt;"Entry","",0)</f>
      </c>
      <c r="AI103" s="28"/>
      <c r="AJ103" s="28"/>
      <c r="AK103" s="32"/>
      <c r="AL103" s="28"/>
      <c r="AM103" s="28"/>
      <c r="AN103" s="27">
        <f>IF($B103&lt;&gt;"Challan","",SUMIF('Q1 Data'!$D$4:$D$207,D103,'Q1 Data'!$AD$4:$AD$207)+SUMIF('Q1 Data'!$D$4:$D$207,D103,'Q1 Data'!$AG$4:$AG$207)+SUMIF('Q1 Data'!$D$4:$D$207,D103,'Q1 Data'!$AE$4:$AE$207)+SUMIF('Q2 Data'!$D$4:$D$207,D103,'Q2 Data'!$AD$4:$AD$207)+SUMIF('Q2 Data'!$D$4:$D$207,D103,'Q2 Data'!$AG$4:$AG$207)+SUMIF('Q2 Data'!$D$4:$D$207,D103,'Q2 Data'!$AE$4:$AE$207)+SUMIF('Q3 Data'!$D$4:$D$207,D103,'Q3 Data'!$AD$4:$AD$207)+SUMIF('Q3 Data'!$D$4:$D$207,D103,'Q3 Data'!$AG$4:$AG$207)+SUMIF('Q3 Data'!$D$4:$D$207,D103,'Q3 Data'!$AE$4:$AE$207)+SUMIF('Q4 Data'!$D$4:$D$207,D103,'Q4 Data'!$AD$4:$AD$207)+SUMIF('Q4 Data'!$D$4:$D$207,D103,'Q4 Data'!$AG$4:$AG$207)+SUMIF('Q4 Data'!$D$4:$D$207,D103,'Q4 Data'!$AE$4:$AE$207))</f>
      </c>
      <c r="AO103" s="27">
        <f>IF($B103&lt;&gt;"Challan","",P103-N103)</f>
      </c>
      <c r="AP103" s="27">
        <f>IF($B103&lt;&gt;"Challan","",MAX(0,AO103-AN103))</f>
      </c>
      <c r="AQ103" s="33">
        <f>IF($B103&lt;&gt;"Entry","",SUMPRODUCT(('Q1 Data'!$D$4:$D$207=D103)*('Q1 Data'!$B$4:$B$207="Challan")*'Q1 Data'!$F$4:$F$207)+SUMPRODUCT(('Q2 Data'!$D$4:$D$207=D103)*('Q2 Data'!$B$4:$B$207="Challan")*'Q2 Data'!$F$4:$F$207)+SUMPRODUCT(('Q3 Data'!$D$4:$D$207=D103)*('Q3 Data'!$B$4:$B$207="Challan")*'Q3 Data'!$F$4:$F$207)+SUMPRODUCT(('Q4 Data'!$D$4:$D$207=D103)*('Q4 Data'!$B$4:$B$207="Challan")*'Q4 Data'!$F$4:$F$207))</f>
      </c>
      <c r="AR103" s="34">
        <f>IF(OR($B103&lt;&gt;"Entry",Z103=""),FALSE,AND((SUMPRODUCT(('Q1 Data'!$D$4:$D$207=D103)*('Q1 Data'!$B$4:$B$207="Challan")*('Q1 Data'!$H$4:$H$207&lt;&gt;""))+SUMPRODUCT(('Q2 Data'!$D$4:$D$207=D103)*('Q2 Data'!$B$4:$B$207="Challan")*('Q2 Data'!$H$4:$H$207&lt;&gt;""))+SUMPRODUCT(('Q3 Data'!$D$4:$D$207=D103)*('Q3 Data'!$B$4:$B$207="Challan")*('Q3 Data'!$H$4:$H$207&lt;&gt;""))+SUMPRODUCT(('Q4 Data'!$D$4:$D$207=D103)*('Q4 Data'!$B$4:$B$207="Challan")*('Q4 Data'!$H$4:$H$207&lt;&gt;"")))&gt;0,(SUMPRODUCT(('Q1 Data'!$D$4:$D$207=D103)*('Q1 Data'!$B$4:$B$207="Challan")*('Q1 Data'!$H$4:$H$207=Z103))+SUMPRODUCT(('Q2 Data'!$D$4:$D$207=D103)*('Q2 Data'!$B$4:$B$207="Challan")*('Q2 Data'!$H$4:$H$207=Z103))+SUMPRODUCT(('Q3 Data'!$D$4:$D$207=D103)*('Q3 Data'!$B$4:$B$207="Challan")*('Q3 Data'!$H$4:$H$207=Z103))+SUMPRODUCT(('Q4 Data'!$D$4:$D$207=D103)*('Q4 Data'!$B$4:$B$207="Challan")*('Q4 Data'!$H$4:$H$207=Z103)))=0))</f>
      </c>
    </row>
    <row r="104" spans="1:44" x14ac:dyDescent="0.25">
      <c r="A104" s="20">
        <f>IF($B104="Entry",COUNTIF($B$4:$B104,"Entry"),"")</f>
      </c>
      <c r="B104" s="21"/>
      <c r="C104" s="22"/>
      <c r="D104" s="22"/>
      <c r="E104" s="23">
        <f>IF($B104&lt;&gt;"Challan","",IF(ROUND(AN104-AO104,2)&gt;0,"Over-applied",IF(ROUND(AN104-AO104,2)=0,"Fully Utilised","Unconsumed")))</f>
      </c>
      <c r="F104" s="24"/>
      <c r="G104" s="25"/>
      <c r="H104" s="25"/>
      <c r="I104" s="26"/>
      <c r="J104" s="26"/>
      <c r="K104" s="26"/>
      <c r="L104" s="26"/>
      <c r="M104" s="26"/>
      <c r="N104" s="26"/>
      <c r="O104" s="26"/>
      <c r="P104" s="27">
        <f>IF($B104&lt;&gt;"Challan","",I104+J104+K104+L104+M104+N104)</f>
      </c>
      <c r="Q104" s="25"/>
      <c r="R104" s="25"/>
      <c r="S104" s="25"/>
      <c r="T104" s="25"/>
      <c r="U104" s="25"/>
      <c r="V104" s="28"/>
      <c r="W104" s="28"/>
      <c r="X104" s="23">
        <f>IF($B104="Entry",IF(AND(LEN(TRIM(UPPER(W104)))=10,CODE(MID(TRIM(UPPER(W104)),1,1))&gt;=65,CODE(MID(TRIM(UPPER(W104)),1,1))&lt;=90,CODE(MID(TRIM(UPPER(W104)),2,1))&gt;=65,CODE(MID(TRIM(UPPER(W104)),2,1))&lt;=90,CODE(MID(TRIM(UPPER(W104)),3,1))&gt;=65,CODE(MID(TRIM(UPPER(W104)),3,1))&lt;=90,CODE(MID(TRIM(UPPER(W104)),4,1))&gt;=65,CODE(MID(TRIM(UPPER(W104)),4,1))&lt;=90,CODE(MID(TRIM(UPPER(W104)),5,1))&gt;=65,CODE(MID(TRIM(UPPER(W104)),5,1))&lt;=90,CODE(MID(TRIM(UPPER(W104)),10,1))&gt;=65,CODE(MID(TRIM(UPPER(W104)),10,1))&lt;=90,CODE(MID(TRIM(UPPER(W104)),6,1))&gt;=48,CODE(MID(TRIM(UPPER(W104)),6,1))&lt;=57,CODE(MID(TRIM(UPPER(W104)),7,1))&gt;=48,CODE(MID(TRIM(UPPER(W104)),7,1))&lt;=57,CODE(MID(TRIM(UPPER(W104)),8,1))&gt;=48,CODE(MID(TRIM(UPPER(W104)),8,1))&lt;=57,CODE(MID(TRIM(UPPER(W104)),9,1))&gt;=48,CODE(MID(TRIM(UPPER(W104)),9,1))&lt;=57),"N","Y"),IF($B104="Challan","",IF(W104&lt;&gt;"","◄ Set Row Type","")))</f>
      </c>
      <c r="Y104" s="23">
        <f>IF($B104="Entry",IF(LEN(W104)&lt;4,"",IF(UPPER(MID(W104,4,1))="P","Individual",IF(UPPER(MID(W104,4,1))="H","HUF",IF(UPPER(MID(W104,4,1))="C","Company",IF(UPPER(MID(W104,4,1))="F","Firm",IF(UPPER(MID(W104,4,1))="L","LLP",IF(UPPER(MID(W104,4,1))="T","Trust",IF(UPPER(MID(W104,4,1))="A","AOP","")))))))),IF($B104="Challan","",IF(W104&lt;&gt;"","◄ Set Row Type","")))</f>
      </c>
      <c r="Z104" s="28"/>
      <c r="AA104" s="29">
        <f>IF($B104&lt;&gt;"Entry","",IF(Z104="","",IF(X104="Y",SUMPRODUCT(('Rate Lookup'!$A$1:$A$37=Z104)*'Rate Lookup'!$D$1:$D$37),IF(OR(Y104="Individual",Y104="HUF"),SUMPRODUCT(('Rate Lookup'!$A$1:$A$37=Z104)*'Rate Lookup'!$B$1:$B$37),SUMPRODUCT(('Rate Lookup'!$A$1:$A$37=Z104)*'Rate Lookup'!$C$1:$C$37)))))</f>
      </c>
      <c r="AB104" s="30"/>
      <c r="AC104" s="31"/>
      <c r="AD104" s="27">
        <f>IF($B104&lt;&gt;"Entry","",ROUND(AC104*AA104/100,0))</f>
      </c>
      <c r="AE104" s="27">
        <f>IF($B104&lt;&gt;"Entry","",0)</f>
      </c>
      <c r="AF104" s="27">
        <f>IF($B104&lt;&gt;"Entry","",0)</f>
      </c>
      <c r="AG104" s="27">
        <f>IF($B104&lt;&gt;"Entry","",IF(OR(AD104=0,AB104="",AQ104="",AQ104&lt;=0),0,IF(AQ104&lt;=DATE(YEAR(AB104),MONTH(AB104)+1,7),0,ROUND(AD104*0.015*((YEAR(AQ104)-YEAR(AB104))*12+(MONTH(AQ104)-MONTH(AB104))+1),0))))</f>
      </c>
      <c r="AH104" s="27">
        <f>IF($B104&lt;&gt;"Entry","",0)</f>
      </c>
      <c r="AI104" s="28"/>
      <c r="AJ104" s="28"/>
      <c r="AK104" s="32"/>
      <c r="AL104" s="28"/>
      <c r="AM104" s="28"/>
      <c r="AN104" s="27">
        <f>IF($B104&lt;&gt;"Challan","",SUMIF('Q1 Data'!$D$4:$D$207,D104,'Q1 Data'!$AD$4:$AD$207)+SUMIF('Q1 Data'!$D$4:$D$207,D104,'Q1 Data'!$AG$4:$AG$207)+SUMIF('Q1 Data'!$D$4:$D$207,D104,'Q1 Data'!$AE$4:$AE$207)+SUMIF('Q2 Data'!$D$4:$D$207,D104,'Q2 Data'!$AD$4:$AD$207)+SUMIF('Q2 Data'!$D$4:$D$207,D104,'Q2 Data'!$AG$4:$AG$207)+SUMIF('Q2 Data'!$D$4:$D$207,D104,'Q2 Data'!$AE$4:$AE$207)+SUMIF('Q3 Data'!$D$4:$D$207,D104,'Q3 Data'!$AD$4:$AD$207)+SUMIF('Q3 Data'!$D$4:$D$207,D104,'Q3 Data'!$AG$4:$AG$207)+SUMIF('Q3 Data'!$D$4:$D$207,D104,'Q3 Data'!$AE$4:$AE$207)+SUMIF('Q4 Data'!$D$4:$D$207,D104,'Q4 Data'!$AD$4:$AD$207)+SUMIF('Q4 Data'!$D$4:$D$207,D104,'Q4 Data'!$AG$4:$AG$207)+SUMIF('Q4 Data'!$D$4:$D$207,D104,'Q4 Data'!$AE$4:$AE$207))</f>
      </c>
      <c r="AO104" s="27">
        <f>IF($B104&lt;&gt;"Challan","",P104-N104)</f>
      </c>
      <c r="AP104" s="27">
        <f>IF($B104&lt;&gt;"Challan","",MAX(0,AO104-AN104))</f>
      </c>
      <c r="AQ104" s="33">
        <f>IF($B104&lt;&gt;"Entry","",SUMPRODUCT(('Q1 Data'!$D$4:$D$207=D104)*('Q1 Data'!$B$4:$B$207="Challan")*'Q1 Data'!$F$4:$F$207)+SUMPRODUCT(('Q2 Data'!$D$4:$D$207=D104)*('Q2 Data'!$B$4:$B$207="Challan")*'Q2 Data'!$F$4:$F$207)+SUMPRODUCT(('Q3 Data'!$D$4:$D$207=D104)*('Q3 Data'!$B$4:$B$207="Challan")*'Q3 Data'!$F$4:$F$207)+SUMPRODUCT(('Q4 Data'!$D$4:$D$207=D104)*('Q4 Data'!$B$4:$B$207="Challan")*'Q4 Data'!$F$4:$F$207))</f>
      </c>
      <c r="AR104" s="34">
        <f>IF(OR($B104&lt;&gt;"Entry",Z104=""),FALSE,AND((SUMPRODUCT(('Q1 Data'!$D$4:$D$207=D104)*('Q1 Data'!$B$4:$B$207="Challan")*('Q1 Data'!$H$4:$H$207&lt;&gt;""))+SUMPRODUCT(('Q2 Data'!$D$4:$D$207=D104)*('Q2 Data'!$B$4:$B$207="Challan")*('Q2 Data'!$H$4:$H$207&lt;&gt;""))+SUMPRODUCT(('Q3 Data'!$D$4:$D$207=D104)*('Q3 Data'!$B$4:$B$207="Challan")*('Q3 Data'!$H$4:$H$207&lt;&gt;""))+SUMPRODUCT(('Q4 Data'!$D$4:$D$207=D104)*('Q4 Data'!$B$4:$B$207="Challan")*('Q4 Data'!$H$4:$H$207&lt;&gt;"")))&gt;0,(SUMPRODUCT(('Q1 Data'!$D$4:$D$207=D104)*('Q1 Data'!$B$4:$B$207="Challan")*('Q1 Data'!$H$4:$H$207=Z104))+SUMPRODUCT(('Q2 Data'!$D$4:$D$207=D104)*('Q2 Data'!$B$4:$B$207="Challan")*('Q2 Data'!$H$4:$H$207=Z104))+SUMPRODUCT(('Q3 Data'!$D$4:$D$207=D104)*('Q3 Data'!$B$4:$B$207="Challan")*('Q3 Data'!$H$4:$H$207=Z104))+SUMPRODUCT(('Q4 Data'!$D$4:$D$207=D104)*('Q4 Data'!$B$4:$B$207="Challan")*('Q4 Data'!$H$4:$H$207=Z104)))=0))</f>
      </c>
    </row>
    <row r="105" spans="1:44" x14ac:dyDescent="0.25">
      <c r="A105" s="20">
        <f>IF($B105="Entry",COUNTIF($B$4:$B105,"Entry"),"")</f>
      </c>
      <c r="B105" s="21"/>
      <c r="C105" s="22"/>
      <c r="D105" s="22"/>
      <c r="E105" s="23">
        <f>IF($B105&lt;&gt;"Challan","",IF(ROUND(AN105-AO105,2)&gt;0,"Over-applied",IF(ROUND(AN105-AO105,2)=0,"Fully Utilised","Unconsumed")))</f>
      </c>
      <c r="F105" s="24"/>
      <c r="G105" s="25"/>
      <c r="H105" s="25"/>
      <c r="I105" s="26"/>
      <c r="J105" s="26"/>
      <c r="K105" s="26"/>
      <c r="L105" s="26"/>
      <c r="M105" s="26"/>
      <c r="N105" s="26"/>
      <c r="O105" s="26"/>
      <c r="P105" s="27">
        <f>IF($B105&lt;&gt;"Challan","",I105+J105+K105+L105+M105+N105)</f>
      </c>
      <c r="Q105" s="25"/>
      <c r="R105" s="25"/>
      <c r="S105" s="25"/>
      <c r="T105" s="25"/>
      <c r="U105" s="25"/>
      <c r="V105" s="28"/>
      <c r="W105" s="28"/>
      <c r="X105" s="23">
        <f>IF($B105="Entry",IF(AND(LEN(TRIM(UPPER(W105)))=10,CODE(MID(TRIM(UPPER(W105)),1,1))&gt;=65,CODE(MID(TRIM(UPPER(W105)),1,1))&lt;=90,CODE(MID(TRIM(UPPER(W105)),2,1))&gt;=65,CODE(MID(TRIM(UPPER(W105)),2,1))&lt;=90,CODE(MID(TRIM(UPPER(W105)),3,1))&gt;=65,CODE(MID(TRIM(UPPER(W105)),3,1))&lt;=90,CODE(MID(TRIM(UPPER(W105)),4,1))&gt;=65,CODE(MID(TRIM(UPPER(W105)),4,1))&lt;=90,CODE(MID(TRIM(UPPER(W105)),5,1))&gt;=65,CODE(MID(TRIM(UPPER(W105)),5,1))&lt;=90,CODE(MID(TRIM(UPPER(W105)),10,1))&gt;=65,CODE(MID(TRIM(UPPER(W105)),10,1))&lt;=90,CODE(MID(TRIM(UPPER(W105)),6,1))&gt;=48,CODE(MID(TRIM(UPPER(W105)),6,1))&lt;=57,CODE(MID(TRIM(UPPER(W105)),7,1))&gt;=48,CODE(MID(TRIM(UPPER(W105)),7,1))&lt;=57,CODE(MID(TRIM(UPPER(W105)),8,1))&gt;=48,CODE(MID(TRIM(UPPER(W105)),8,1))&lt;=57,CODE(MID(TRIM(UPPER(W105)),9,1))&gt;=48,CODE(MID(TRIM(UPPER(W105)),9,1))&lt;=57),"N","Y"),IF($B105="Challan","",IF(W105&lt;&gt;"","◄ Set Row Type","")))</f>
      </c>
      <c r="Y105" s="23">
        <f>IF($B105="Entry",IF(LEN(W105)&lt;4,"",IF(UPPER(MID(W105,4,1))="P","Individual",IF(UPPER(MID(W105,4,1))="H","HUF",IF(UPPER(MID(W105,4,1))="C","Company",IF(UPPER(MID(W105,4,1))="F","Firm",IF(UPPER(MID(W105,4,1))="L","LLP",IF(UPPER(MID(W105,4,1))="T","Trust",IF(UPPER(MID(W105,4,1))="A","AOP","")))))))),IF($B105="Challan","",IF(W105&lt;&gt;"","◄ Set Row Type","")))</f>
      </c>
      <c r="Z105" s="28"/>
      <c r="AA105" s="29">
        <f>IF($B105&lt;&gt;"Entry","",IF(Z105="","",IF(X105="Y",SUMPRODUCT(('Rate Lookup'!$A$1:$A$37=Z105)*'Rate Lookup'!$D$1:$D$37),IF(OR(Y105="Individual",Y105="HUF"),SUMPRODUCT(('Rate Lookup'!$A$1:$A$37=Z105)*'Rate Lookup'!$B$1:$B$37),SUMPRODUCT(('Rate Lookup'!$A$1:$A$37=Z105)*'Rate Lookup'!$C$1:$C$37)))))</f>
      </c>
      <c r="AB105" s="30"/>
      <c r="AC105" s="31"/>
      <c r="AD105" s="27">
        <f>IF($B105&lt;&gt;"Entry","",ROUND(AC105*AA105/100,0))</f>
      </c>
      <c r="AE105" s="27">
        <f>IF($B105&lt;&gt;"Entry","",0)</f>
      </c>
      <c r="AF105" s="27">
        <f>IF($B105&lt;&gt;"Entry","",0)</f>
      </c>
      <c r="AG105" s="27">
        <f>IF($B105&lt;&gt;"Entry","",IF(OR(AD105=0,AB105="",AQ105="",AQ105&lt;=0),0,IF(AQ105&lt;=DATE(YEAR(AB105),MONTH(AB105)+1,7),0,ROUND(AD105*0.015*((YEAR(AQ105)-YEAR(AB105))*12+(MONTH(AQ105)-MONTH(AB105))+1),0))))</f>
      </c>
      <c r="AH105" s="27">
        <f>IF($B105&lt;&gt;"Entry","",0)</f>
      </c>
      <c r="AI105" s="28"/>
      <c r="AJ105" s="28"/>
      <c r="AK105" s="32"/>
      <c r="AL105" s="28"/>
      <c r="AM105" s="28"/>
      <c r="AN105" s="27">
        <f>IF($B105&lt;&gt;"Challan","",SUMIF('Q1 Data'!$D$4:$D$207,D105,'Q1 Data'!$AD$4:$AD$207)+SUMIF('Q1 Data'!$D$4:$D$207,D105,'Q1 Data'!$AG$4:$AG$207)+SUMIF('Q1 Data'!$D$4:$D$207,D105,'Q1 Data'!$AE$4:$AE$207)+SUMIF('Q2 Data'!$D$4:$D$207,D105,'Q2 Data'!$AD$4:$AD$207)+SUMIF('Q2 Data'!$D$4:$D$207,D105,'Q2 Data'!$AG$4:$AG$207)+SUMIF('Q2 Data'!$D$4:$D$207,D105,'Q2 Data'!$AE$4:$AE$207)+SUMIF('Q3 Data'!$D$4:$D$207,D105,'Q3 Data'!$AD$4:$AD$207)+SUMIF('Q3 Data'!$D$4:$D$207,D105,'Q3 Data'!$AG$4:$AG$207)+SUMIF('Q3 Data'!$D$4:$D$207,D105,'Q3 Data'!$AE$4:$AE$207)+SUMIF('Q4 Data'!$D$4:$D$207,D105,'Q4 Data'!$AD$4:$AD$207)+SUMIF('Q4 Data'!$D$4:$D$207,D105,'Q4 Data'!$AG$4:$AG$207)+SUMIF('Q4 Data'!$D$4:$D$207,D105,'Q4 Data'!$AE$4:$AE$207))</f>
      </c>
      <c r="AO105" s="27">
        <f>IF($B105&lt;&gt;"Challan","",P105-N105)</f>
      </c>
      <c r="AP105" s="27">
        <f>IF($B105&lt;&gt;"Challan","",MAX(0,AO105-AN105))</f>
      </c>
      <c r="AQ105" s="33">
        <f>IF($B105&lt;&gt;"Entry","",SUMPRODUCT(('Q1 Data'!$D$4:$D$207=D105)*('Q1 Data'!$B$4:$B$207="Challan")*'Q1 Data'!$F$4:$F$207)+SUMPRODUCT(('Q2 Data'!$D$4:$D$207=D105)*('Q2 Data'!$B$4:$B$207="Challan")*'Q2 Data'!$F$4:$F$207)+SUMPRODUCT(('Q3 Data'!$D$4:$D$207=D105)*('Q3 Data'!$B$4:$B$207="Challan")*'Q3 Data'!$F$4:$F$207)+SUMPRODUCT(('Q4 Data'!$D$4:$D$207=D105)*('Q4 Data'!$B$4:$B$207="Challan")*'Q4 Data'!$F$4:$F$207))</f>
      </c>
      <c r="AR105" s="34">
        <f>IF(OR($B105&lt;&gt;"Entry",Z105=""),FALSE,AND((SUMPRODUCT(('Q1 Data'!$D$4:$D$207=D105)*('Q1 Data'!$B$4:$B$207="Challan")*('Q1 Data'!$H$4:$H$207&lt;&gt;""))+SUMPRODUCT(('Q2 Data'!$D$4:$D$207=D105)*('Q2 Data'!$B$4:$B$207="Challan")*('Q2 Data'!$H$4:$H$207&lt;&gt;""))+SUMPRODUCT(('Q3 Data'!$D$4:$D$207=D105)*('Q3 Data'!$B$4:$B$207="Challan")*('Q3 Data'!$H$4:$H$207&lt;&gt;""))+SUMPRODUCT(('Q4 Data'!$D$4:$D$207=D105)*('Q4 Data'!$B$4:$B$207="Challan")*('Q4 Data'!$H$4:$H$207&lt;&gt;"")))&gt;0,(SUMPRODUCT(('Q1 Data'!$D$4:$D$207=D105)*('Q1 Data'!$B$4:$B$207="Challan")*('Q1 Data'!$H$4:$H$207=Z105))+SUMPRODUCT(('Q2 Data'!$D$4:$D$207=D105)*('Q2 Data'!$B$4:$B$207="Challan")*('Q2 Data'!$H$4:$H$207=Z105))+SUMPRODUCT(('Q3 Data'!$D$4:$D$207=D105)*('Q3 Data'!$B$4:$B$207="Challan")*('Q3 Data'!$H$4:$H$207=Z105))+SUMPRODUCT(('Q4 Data'!$D$4:$D$207=D105)*('Q4 Data'!$B$4:$B$207="Challan")*('Q4 Data'!$H$4:$H$207=Z105)))=0))</f>
      </c>
    </row>
    <row r="106" spans="1:44" x14ac:dyDescent="0.25">
      <c r="A106" s="20">
        <f>IF($B106="Entry",COUNTIF($B$4:$B106,"Entry"),"")</f>
      </c>
      <c r="B106" s="21"/>
      <c r="C106" s="22"/>
      <c r="D106" s="22"/>
      <c r="E106" s="23">
        <f>IF($B106&lt;&gt;"Challan","",IF(ROUND(AN106-AO106,2)&gt;0,"Over-applied",IF(ROUND(AN106-AO106,2)=0,"Fully Utilised","Unconsumed")))</f>
      </c>
      <c r="F106" s="24"/>
      <c r="G106" s="25"/>
      <c r="H106" s="25"/>
      <c r="I106" s="26"/>
      <c r="J106" s="26"/>
      <c r="K106" s="26"/>
      <c r="L106" s="26"/>
      <c r="M106" s="26"/>
      <c r="N106" s="26"/>
      <c r="O106" s="26"/>
      <c r="P106" s="27">
        <f>IF($B106&lt;&gt;"Challan","",I106+J106+K106+L106+M106+N106)</f>
      </c>
      <c r="Q106" s="25"/>
      <c r="R106" s="25"/>
      <c r="S106" s="25"/>
      <c r="T106" s="25"/>
      <c r="U106" s="25"/>
      <c r="V106" s="28"/>
      <c r="W106" s="28"/>
      <c r="X106" s="23">
        <f>IF($B106="Entry",IF(AND(LEN(TRIM(UPPER(W106)))=10,CODE(MID(TRIM(UPPER(W106)),1,1))&gt;=65,CODE(MID(TRIM(UPPER(W106)),1,1))&lt;=90,CODE(MID(TRIM(UPPER(W106)),2,1))&gt;=65,CODE(MID(TRIM(UPPER(W106)),2,1))&lt;=90,CODE(MID(TRIM(UPPER(W106)),3,1))&gt;=65,CODE(MID(TRIM(UPPER(W106)),3,1))&lt;=90,CODE(MID(TRIM(UPPER(W106)),4,1))&gt;=65,CODE(MID(TRIM(UPPER(W106)),4,1))&lt;=90,CODE(MID(TRIM(UPPER(W106)),5,1))&gt;=65,CODE(MID(TRIM(UPPER(W106)),5,1))&lt;=90,CODE(MID(TRIM(UPPER(W106)),10,1))&gt;=65,CODE(MID(TRIM(UPPER(W106)),10,1))&lt;=90,CODE(MID(TRIM(UPPER(W106)),6,1))&gt;=48,CODE(MID(TRIM(UPPER(W106)),6,1))&lt;=57,CODE(MID(TRIM(UPPER(W106)),7,1))&gt;=48,CODE(MID(TRIM(UPPER(W106)),7,1))&lt;=57,CODE(MID(TRIM(UPPER(W106)),8,1))&gt;=48,CODE(MID(TRIM(UPPER(W106)),8,1))&lt;=57,CODE(MID(TRIM(UPPER(W106)),9,1))&gt;=48,CODE(MID(TRIM(UPPER(W106)),9,1))&lt;=57),"N","Y"),IF($B106="Challan","",IF(W106&lt;&gt;"","◄ Set Row Type","")))</f>
      </c>
      <c r="Y106" s="23">
        <f>IF($B106="Entry",IF(LEN(W106)&lt;4,"",IF(UPPER(MID(W106,4,1))="P","Individual",IF(UPPER(MID(W106,4,1))="H","HUF",IF(UPPER(MID(W106,4,1))="C","Company",IF(UPPER(MID(W106,4,1))="F","Firm",IF(UPPER(MID(W106,4,1))="L","LLP",IF(UPPER(MID(W106,4,1))="T","Trust",IF(UPPER(MID(W106,4,1))="A","AOP","")))))))),IF($B106="Challan","",IF(W106&lt;&gt;"","◄ Set Row Type","")))</f>
      </c>
      <c r="Z106" s="28"/>
      <c r="AA106" s="29">
        <f>IF($B106&lt;&gt;"Entry","",IF(Z106="","",IF(X106="Y",SUMPRODUCT(('Rate Lookup'!$A$1:$A$37=Z106)*'Rate Lookup'!$D$1:$D$37),IF(OR(Y106="Individual",Y106="HUF"),SUMPRODUCT(('Rate Lookup'!$A$1:$A$37=Z106)*'Rate Lookup'!$B$1:$B$37),SUMPRODUCT(('Rate Lookup'!$A$1:$A$37=Z106)*'Rate Lookup'!$C$1:$C$37)))))</f>
      </c>
      <c r="AB106" s="30"/>
      <c r="AC106" s="31"/>
      <c r="AD106" s="27">
        <f>IF($B106&lt;&gt;"Entry","",ROUND(AC106*AA106/100,0))</f>
      </c>
      <c r="AE106" s="27">
        <f>IF($B106&lt;&gt;"Entry","",0)</f>
      </c>
      <c r="AF106" s="27">
        <f>IF($B106&lt;&gt;"Entry","",0)</f>
      </c>
      <c r="AG106" s="27">
        <f>IF($B106&lt;&gt;"Entry","",IF(OR(AD106=0,AB106="",AQ106="",AQ106&lt;=0),0,IF(AQ106&lt;=DATE(YEAR(AB106),MONTH(AB106)+1,7),0,ROUND(AD106*0.015*((YEAR(AQ106)-YEAR(AB106))*12+(MONTH(AQ106)-MONTH(AB106))+1),0))))</f>
      </c>
      <c r="AH106" s="27">
        <f>IF($B106&lt;&gt;"Entry","",0)</f>
      </c>
      <c r="AI106" s="28"/>
      <c r="AJ106" s="28"/>
      <c r="AK106" s="32"/>
      <c r="AL106" s="28"/>
      <c r="AM106" s="28"/>
      <c r="AN106" s="27">
        <f>IF($B106&lt;&gt;"Challan","",SUMIF('Q1 Data'!$D$4:$D$207,D106,'Q1 Data'!$AD$4:$AD$207)+SUMIF('Q1 Data'!$D$4:$D$207,D106,'Q1 Data'!$AG$4:$AG$207)+SUMIF('Q1 Data'!$D$4:$D$207,D106,'Q1 Data'!$AE$4:$AE$207)+SUMIF('Q2 Data'!$D$4:$D$207,D106,'Q2 Data'!$AD$4:$AD$207)+SUMIF('Q2 Data'!$D$4:$D$207,D106,'Q2 Data'!$AG$4:$AG$207)+SUMIF('Q2 Data'!$D$4:$D$207,D106,'Q2 Data'!$AE$4:$AE$207)+SUMIF('Q3 Data'!$D$4:$D$207,D106,'Q3 Data'!$AD$4:$AD$207)+SUMIF('Q3 Data'!$D$4:$D$207,D106,'Q3 Data'!$AG$4:$AG$207)+SUMIF('Q3 Data'!$D$4:$D$207,D106,'Q3 Data'!$AE$4:$AE$207)+SUMIF('Q4 Data'!$D$4:$D$207,D106,'Q4 Data'!$AD$4:$AD$207)+SUMIF('Q4 Data'!$D$4:$D$207,D106,'Q4 Data'!$AG$4:$AG$207)+SUMIF('Q4 Data'!$D$4:$D$207,D106,'Q4 Data'!$AE$4:$AE$207))</f>
      </c>
      <c r="AO106" s="27">
        <f>IF($B106&lt;&gt;"Challan","",P106-N106)</f>
      </c>
      <c r="AP106" s="27">
        <f>IF($B106&lt;&gt;"Challan","",MAX(0,AO106-AN106))</f>
      </c>
      <c r="AQ106" s="33">
        <f>IF($B106&lt;&gt;"Entry","",SUMPRODUCT(('Q1 Data'!$D$4:$D$207=D106)*('Q1 Data'!$B$4:$B$207="Challan")*'Q1 Data'!$F$4:$F$207)+SUMPRODUCT(('Q2 Data'!$D$4:$D$207=D106)*('Q2 Data'!$B$4:$B$207="Challan")*'Q2 Data'!$F$4:$F$207)+SUMPRODUCT(('Q3 Data'!$D$4:$D$207=D106)*('Q3 Data'!$B$4:$B$207="Challan")*'Q3 Data'!$F$4:$F$207)+SUMPRODUCT(('Q4 Data'!$D$4:$D$207=D106)*('Q4 Data'!$B$4:$B$207="Challan")*'Q4 Data'!$F$4:$F$207))</f>
      </c>
      <c r="AR106" s="34">
        <f>IF(OR($B106&lt;&gt;"Entry",Z106=""),FALSE,AND((SUMPRODUCT(('Q1 Data'!$D$4:$D$207=D106)*('Q1 Data'!$B$4:$B$207="Challan")*('Q1 Data'!$H$4:$H$207&lt;&gt;""))+SUMPRODUCT(('Q2 Data'!$D$4:$D$207=D106)*('Q2 Data'!$B$4:$B$207="Challan")*('Q2 Data'!$H$4:$H$207&lt;&gt;""))+SUMPRODUCT(('Q3 Data'!$D$4:$D$207=D106)*('Q3 Data'!$B$4:$B$207="Challan")*('Q3 Data'!$H$4:$H$207&lt;&gt;""))+SUMPRODUCT(('Q4 Data'!$D$4:$D$207=D106)*('Q4 Data'!$B$4:$B$207="Challan")*('Q4 Data'!$H$4:$H$207&lt;&gt;"")))&gt;0,(SUMPRODUCT(('Q1 Data'!$D$4:$D$207=D106)*('Q1 Data'!$B$4:$B$207="Challan")*('Q1 Data'!$H$4:$H$207=Z106))+SUMPRODUCT(('Q2 Data'!$D$4:$D$207=D106)*('Q2 Data'!$B$4:$B$207="Challan")*('Q2 Data'!$H$4:$H$207=Z106))+SUMPRODUCT(('Q3 Data'!$D$4:$D$207=D106)*('Q3 Data'!$B$4:$B$207="Challan")*('Q3 Data'!$H$4:$H$207=Z106))+SUMPRODUCT(('Q4 Data'!$D$4:$D$207=D106)*('Q4 Data'!$B$4:$B$207="Challan")*('Q4 Data'!$H$4:$H$207=Z106)))=0))</f>
      </c>
    </row>
    <row r="107" spans="1:44" x14ac:dyDescent="0.25">
      <c r="A107" s="20">
        <f>IF($B107="Entry",COUNTIF($B$4:$B107,"Entry"),"")</f>
      </c>
      <c r="B107" s="21"/>
      <c r="C107" s="22"/>
      <c r="D107" s="22"/>
      <c r="E107" s="23">
        <f>IF($B107&lt;&gt;"Challan","",IF(ROUND(AN107-AO107,2)&gt;0,"Over-applied",IF(ROUND(AN107-AO107,2)=0,"Fully Utilised","Unconsumed")))</f>
      </c>
      <c r="F107" s="24"/>
      <c r="G107" s="25"/>
      <c r="H107" s="25"/>
      <c r="I107" s="26"/>
      <c r="J107" s="26"/>
      <c r="K107" s="26"/>
      <c r="L107" s="26"/>
      <c r="M107" s="26"/>
      <c r="N107" s="26"/>
      <c r="O107" s="26"/>
      <c r="P107" s="27">
        <f>IF($B107&lt;&gt;"Challan","",I107+J107+K107+L107+M107+N107)</f>
      </c>
      <c r="Q107" s="25"/>
      <c r="R107" s="25"/>
      <c r="S107" s="25"/>
      <c r="T107" s="25"/>
      <c r="U107" s="25"/>
      <c r="V107" s="28"/>
      <c r="W107" s="28"/>
      <c r="X107" s="23">
        <f>IF($B107="Entry",IF(AND(LEN(TRIM(UPPER(W107)))=10,CODE(MID(TRIM(UPPER(W107)),1,1))&gt;=65,CODE(MID(TRIM(UPPER(W107)),1,1))&lt;=90,CODE(MID(TRIM(UPPER(W107)),2,1))&gt;=65,CODE(MID(TRIM(UPPER(W107)),2,1))&lt;=90,CODE(MID(TRIM(UPPER(W107)),3,1))&gt;=65,CODE(MID(TRIM(UPPER(W107)),3,1))&lt;=90,CODE(MID(TRIM(UPPER(W107)),4,1))&gt;=65,CODE(MID(TRIM(UPPER(W107)),4,1))&lt;=90,CODE(MID(TRIM(UPPER(W107)),5,1))&gt;=65,CODE(MID(TRIM(UPPER(W107)),5,1))&lt;=90,CODE(MID(TRIM(UPPER(W107)),10,1))&gt;=65,CODE(MID(TRIM(UPPER(W107)),10,1))&lt;=90,CODE(MID(TRIM(UPPER(W107)),6,1))&gt;=48,CODE(MID(TRIM(UPPER(W107)),6,1))&lt;=57,CODE(MID(TRIM(UPPER(W107)),7,1))&gt;=48,CODE(MID(TRIM(UPPER(W107)),7,1))&lt;=57,CODE(MID(TRIM(UPPER(W107)),8,1))&gt;=48,CODE(MID(TRIM(UPPER(W107)),8,1))&lt;=57,CODE(MID(TRIM(UPPER(W107)),9,1))&gt;=48,CODE(MID(TRIM(UPPER(W107)),9,1))&lt;=57),"N","Y"),IF($B107="Challan","",IF(W107&lt;&gt;"","◄ Set Row Type","")))</f>
      </c>
      <c r="Y107" s="23">
        <f>IF($B107="Entry",IF(LEN(W107)&lt;4,"",IF(UPPER(MID(W107,4,1))="P","Individual",IF(UPPER(MID(W107,4,1))="H","HUF",IF(UPPER(MID(W107,4,1))="C","Company",IF(UPPER(MID(W107,4,1))="F","Firm",IF(UPPER(MID(W107,4,1))="L","LLP",IF(UPPER(MID(W107,4,1))="T","Trust",IF(UPPER(MID(W107,4,1))="A","AOP","")))))))),IF($B107="Challan","",IF(W107&lt;&gt;"","◄ Set Row Type","")))</f>
      </c>
      <c r="Z107" s="28"/>
      <c r="AA107" s="29">
        <f>IF($B107&lt;&gt;"Entry","",IF(Z107="","",IF(X107="Y",SUMPRODUCT(('Rate Lookup'!$A$1:$A$37=Z107)*'Rate Lookup'!$D$1:$D$37),IF(OR(Y107="Individual",Y107="HUF"),SUMPRODUCT(('Rate Lookup'!$A$1:$A$37=Z107)*'Rate Lookup'!$B$1:$B$37),SUMPRODUCT(('Rate Lookup'!$A$1:$A$37=Z107)*'Rate Lookup'!$C$1:$C$37)))))</f>
      </c>
      <c r="AB107" s="30"/>
      <c r="AC107" s="31"/>
      <c r="AD107" s="27">
        <f>IF($B107&lt;&gt;"Entry","",ROUND(AC107*AA107/100,0))</f>
      </c>
      <c r="AE107" s="27">
        <f>IF($B107&lt;&gt;"Entry","",0)</f>
      </c>
      <c r="AF107" s="27">
        <f>IF($B107&lt;&gt;"Entry","",0)</f>
      </c>
      <c r="AG107" s="27">
        <f>IF($B107&lt;&gt;"Entry","",IF(OR(AD107=0,AB107="",AQ107="",AQ107&lt;=0),0,IF(AQ107&lt;=DATE(YEAR(AB107),MONTH(AB107)+1,7),0,ROUND(AD107*0.015*((YEAR(AQ107)-YEAR(AB107))*12+(MONTH(AQ107)-MONTH(AB107))+1),0))))</f>
      </c>
      <c r="AH107" s="27">
        <f>IF($B107&lt;&gt;"Entry","",0)</f>
      </c>
      <c r="AI107" s="28"/>
      <c r="AJ107" s="28"/>
      <c r="AK107" s="32"/>
      <c r="AL107" s="28"/>
      <c r="AM107" s="28"/>
      <c r="AN107" s="27">
        <f>IF($B107&lt;&gt;"Challan","",SUMIF('Q1 Data'!$D$4:$D$207,D107,'Q1 Data'!$AD$4:$AD$207)+SUMIF('Q1 Data'!$D$4:$D$207,D107,'Q1 Data'!$AG$4:$AG$207)+SUMIF('Q1 Data'!$D$4:$D$207,D107,'Q1 Data'!$AE$4:$AE$207)+SUMIF('Q2 Data'!$D$4:$D$207,D107,'Q2 Data'!$AD$4:$AD$207)+SUMIF('Q2 Data'!$D$4:$D$207,D107,'Q2 Data'!$AG$4:$AG$207)+SUMIF('Q2 Data'!$D$4:$D$207,D107,'Q2 Data'!$AE$4:$AE$207)+SUMIF('Q3 Data'!$D$4:$D$207,D107,'Q3 Data'!$AD$4:$AD$207)+SUMIF('Q3 Data'!$D$4:$D$207,D107,'Q3 Data'!$AG$4:$AG$207)+SUMIF('Q3 Data'!$D$4:$D$207,D107,'Q3 Data'!$AE$4:$AE$207)+SUMIF('Q4 Data'!$D$4:$D$207,D107,'Q4 Data'!$AD$4:$AD$207)+SUMIF('Q4 Data'!$D$4:$D$207,D107,'Q4 Data'!$AG$4:$AG$207)+SUMIF('Q4 Data'!$D$4:$D$207,D107,'Q4 Data'!$AE$4:$AE$207))</f>
      </c>
      <c r="AO107" s="27">
        <f>IF($B107&lt;&gt;"Challan","",P107-N107)</f>
      </c>
      <c r="AP107" s="27">
        <f>IF($B107&lt;&gt;"Challan","",MAX(0,AO107-AN107))</f>
      </c>
      <c r="AQ107" s="33">
        <f>IF($B107&lt;&gt;"Entry","",SUMPRODUCT(('Q1 Data'!$D$4:$D$207=D107)*('Q1 Data'!$B$4:$B$207="Challan")*'Q1 Data'!$F$4:$F$207)+SUMPRODUCT(('Q2 Data'!$D$4:$D$207=D107)*('Q2 Data'!$B$4:$B$207="Challan")*'Q2 Data'!$F$4:$F$207)+SUMPRODUCT(('Q3 Data'!$D$4:$D$207=D107)*('Q3 Data'!$B$4:$B$207="Challan")*'Q3 Data'!$F$4:$F$207)+SUMPRODUCT(('Q4 Data'!$D$4:$D$207=D107)*('Q4 Data'!$B$4:$B$207="Challan")*'Q4 Data'!$F$4:$F$207))</f>
      </c>
      <c r="AR107" s="34">
        <f>IF(OR($B107&lt;&gt;"Entry",Z107=""),FALSE,AND((SUMPRODUCT(('Q1 Data'!$D$4:$D$207=D107)*('Q1 Data'!$B$4:$B$207="Challan")*('Q1 Data'!$H$4:$H$207&lt;&gt;""))+SUMPRODUCT(('Q2 Data'!$D$4:$D$207=D107)*('Q2 Data'!$B$4:$B$207="Challan")*('Q2 Data'!$H$4:$H$207&lt;&gt;""))+SUMPRODUCT(('Q3 Data'!$D$4:$D$207=D107)*('Q3 Data'!$B$4:$B$207="Challan")*('Q3 Data'!$H$4:$H$207&lt;&gt;""))+SUMPRODUCT(('Q4 Data'!$D$4:$D$207=D107)*('Q4 Data'!$B$4:$B$207="Challan")*('Q4 Data'!$H$4:$H$207&lt;&gt;"")))&gt;0,(SUMPRODUCT(('Q1 Data'!$D$4:$D$207=D107)*('Q1 Data'!$B$4:$B$207="Challan")*('Q1 Data'!$H$4:$H$207=Z107))+SUMPRODUCT(('Q2 Data'!$D$4:$D$207=D107)*('Q2 Data'!$B$4:$B$207="Challan")*('Q2 Data'!$H$4:$H$207=Z107))+SUMPRODUCT(('Q3 Data'!$D$4:$D$207=D107)*('Q3 Data'!$B$4:$B$207="Challan")*('Q3 Data'!$H$4:$H$207=Z107))+SUMPRODUCT(('Q4 Data'!$D$4:$D$207=D107)*('Q4 Data'!$B$4:$B$207="Challan")*('Q4 Data'!$H$4:$H$207=Z107)))=0))</f>
      </c>
    </row>
    <row r="108" spans="1:44" x14ac:dyDescent="0.25">
      <c r="A108" s="20">
        <f>IF($B108="Entry",COUNTIF($B$4:$B108,"Entry"),"")</f>
      </c>
      <c r="B108" s="21"/>
      <c r="C108" s="22"/>
      <c r="D108" s="22"/>
      <c r="E108" s="23">
        <f>IF($B108&lt;&gt;"Challan","",IF(ROUND(AN108-AO108,2)&gt;0,"Over-applied",IF(ROUND(AN108-AO108,2)=0,"Fully Utilised","Unconsumed")))</f>
      </c>
      <c r="F108" s="24"/>
      <c r="G108" s="25"/>
      <c r="H108" s="25"/>
      <c r="I108" s="26"/>
      <c r="J108" s="26"/>
      <c r="K108" s="26"/>
      <c r="L108" s="26"/>
      <c r="M108" s="26"/>
      <c r="N108" s="26"/>
      <c r="O108" s="26"/>
      <c r="P108" s="27">
        <f>IF($B108&lt;&gt;"Challan","",I108+J108+K108+L108+M108+N108)</f>
      </c>
      <c r="Q108" s="25"/>
      <c r="R108" s="25"/>
      <c r="S108" s="25"/>
      <c r="T108" s="25"/>
      <c r="U108" s="25"/>
      <c r="V108" s="28"/>
      <c r="W108" s="28"/>
      <c r="X108" s="23">
        <f>IF($B108="Entry",IF(AND(LEN(TRIM(UPPER(W108)))=10,CODE(MID(TRIM(UPPER(W108)),1,1))&gt;=65,CODE(MID(TRIM(UPPER(W108)),1,1))&lt;=90,CODE(MID(TRIM(UPPER(W108)),2,1))&gt;=65,CODE(MID(TRIM(UPPER(W108)),2,1))&lt;=90,CODE(MID(TRIM(UPPER(W108)),3,1))&gt;=65,CODE(MID(TRIM(UPPER(W108)),3,1))&lt;=90,CODE(MID(TRIM(UPPER(W108)),4,1))&gt;=65,CODE(MID(TRIM(UPPER(W108)),4,1))&lt;=90,CODE(MID(TRIM(UPPER(W108)),5,1))&gt;=65,CODE(MID(TRIM(UPPER(W108)),5,1))&lt;=90,CODE(MID(TRIM(UPPER(W108)),10,1))&gt;=65,CODE(MID(TRIM(UPPER(W108)),10,1))&lt;=90,CODE(MID(TRIM(UPPER(W108)),6,1))&gt;=48,CODE(MID(TRIM(UPPER(W108)),6,1))&lt;=57,CODE(MID(TRIM(UPPER(W108)),7,1))&gt;=48,CODE(MID(TRIM(UPPER(W108)),7,1))&lt;=57,CODE(MID(TRIM(UPPER(W108)),8,1))&gt;=48,CODE(MID(TRIM(UPPER(W108)),8,1))&lt;=57,CODE(MID(TRIM(UPPER(W108)),9,1))&gt;=48,CODE(MID(TRIM(UPPER(W108)),9,1))&lt;=57),"N","Y"),IF($B108="Challan","",IF(W108&lt;&gt;"","◄ Set Row Type","")))</f>
      </c>
      <c r="Y108" s="23">
        <f>IF($B108="Entry",IF(LEN(W108)&lt;4,"",IF(UPPER(MID(W108,4,1))="P","Individual",IF(UPPER(MID(W108,4,1))="H","HUF",IF(UPPER(MID(W108,4,1))="C","Company",IF(UPPER(MID(W108,4,1))="F","Firm",IF(UPPER(MID(W108,4,1))="L","LLP",IF(UPPER(MID(W108,4,1))="T","Trust",IF(UPPER(MID(W108,4,1))="A","AOP","")))))))),IF($B108="Challan","",IF(W108&lt;&gt;"","◄ Set Row Type","")))</f>
      </c>
      <c r="Z108" s="28"/>
      <c r="AA108" s="29">
        <f>IF($B108&lt;&gt;"Entry","",IF(Z108="","",IF(X108="Y",SUMPRODUCT(('Rate Lookup'!$A$1:$A$37=Z108)*'Rate Lookup'!$D$1:$D$37),IF(OR(Y108="Individual",Y108="HUF"),SUMPRODUCT(('Rate Lookup'!$A$1:$A$37=Z108)*'Rate Lookup'!$B$1:$B$37),SUMPRODUCT(('Rate Lookup'!$A$1:$A$37=Z108)*'Rate Lookup'!$C$1:$C$37)))))</f>
      </c>
      <c r="AB108" s="30"/>
      <c r="AC108" s="31"/>
      <c r="AD108" s="27">
        <f>IF($B108&lt;&gt;"Entry","",ROUND(AC108*AA108/100,0))</f>
      </c>
      <c r="AE108" s="27">
        <f>IF($B108&lt;&gt;"Entry","",0)</f>
      </c>
      <c r="AF108" s="27">
        <f>IF($B108&lt;&gt;"Entry","",0)</f>
      </c>
      <c r="AG108" s="27">
        <f>IF($B108&lt;&gt;"Entry","",IF(OR(AD108=0,AB108="",AQ108="",AQ108&lt;=0),0,IF(AQ108&lt;=DATE(YEAR(AB108),MONTH(AB108)+1,7),0,ROUND(AD108*0.015*((YEAR(AQ108)-YEAR(AB108))*12+(MONTH(AQ108)-MONTH(AB108))+1),0))))</f>
      </c>
      <c r="AH108" s="27">
        <f>IF($B108&lt;&gt;"Entry","",0)</f>
      </c>
      <c r="AI108" s="28"/>
      <c r="AJ108" s="28"/>
      <c r="AK108" s="32"/>
      <c r="AL108" s="28"/>
      <c r="AM108" s="28"/>
      <c r="AN108" s="27">
        <f>IF($B108&lt;&gt;"Challan","",SUMIF('Q1 Data'!$D$4:$D$207,D108,'Q1 Data'!$AD$4:$AD$207)+SUMIF('Q1 Data'!$D$4:$D$207,D108,'Q1 Data'!$AG$4:$AG$207)+SUMIF('Q1 Data'!$D$4:$D$207,D108,'Q1 Data'!$AE$4:$AE$207)+SUMIF('Q2 Data'!$D$4:$D$207,D108,'Q2 Data'!$AD$4:$AD$207)+SUMIF('Q2 Data'!$D$4:$D$207,D108,'Q2 Data'!$AG$4:$AG$207)+SUMIF('Q2 Data'!$D$4:$D$207,D108,'Q2 Data'!$AE$4:$AE$207)+SUMIF('Q3 Data'!$D$4:$D$207,D108,'Q3 Data'!$AD$4:$AD$207)+SUMIF('Q3 Data'!$D$4:$D$207,D108,'Q3 Data'!$AG$4:$AG$207)+SUMIF('Q3 Data'!$D$4:$D$207,D108,'Q3 Data'!$AE$4:$AE$207)+SUMIF('Q4 Data'!$D$4:$D$207,D108,'Q4 Data'!$AD$4:$AD$207)+SUMIF('Q4 Data'!$D$4:$D$207,D108,'Q4 Data'!$AG$4:$AG$207)+SUMIF('Q4 Data'!$D$4:$D$207,D108,'Q4 Data'!$AE$4:$AE$207))</f>
      </c>
      <c r="AO108" s="27">
        <f>IF($B108&lt;&gt;"Challan","",P108-N108)</f>
      </c>
      <c r="AP108" s="27">
        <f>IF($B108&lt;&gt;"Challan","",MAX(0,AO108-AN108))</f>
      </c>
      <c r="AQ108" s="33">
        <f>IF($B108&lt;&gt;"Entry","",SUMPRODUCT(('Q1 Data'!$D$4:$D$207=D108)*('Q1 Data'!$B$4:$B$207="Challan")*'Q1 Data'!$F$4:$F$207)+SUMPRODUCT(('Q2 Data'!$D$4:$D$207=D108)*('Q2 Data'!$B$4:$B$207="Challan")*'Q2 Data'!$F$4:$F$207)+SUMPRODUCT(('Q3 Data'!$D$4:$D$207=D108)*('Q3 Data'!$B$4:$B$207="Challan")*'Q3 Data'!$F$4:$F$207)+SUMPRODUCT(('Q4 Data'!$D$4:$D$207=D108)*('Q4 Data'!$B$4:$B$207="Challan")*'Q4 Data'!$F$4:$F$207))</f>
      </c>
      <c r="AR108" s="34">
        <f>IF(OR($B108&lt;&gt;"Entry",Z108=""),FALSE,AND((SUMPRODUCT(('Q1 Data'!$D$4:$D$207=D108)*('Q1 Data'!$B$4:$B$207="Challan")*('Q1 Data'!$H$4:$H$207&lt;&gt;""))+SUMPRODUCT(('Q2 Data'!$D$4:$D$207=D108)*('Q2 Data'!$B$4:$B$207="Challan")*('Q2 Data'!$H$4:$H$207&lt;&gt;""))+SUMPRODUCT(('Q3 Data'!$D$4:$D$207=D108)*('Q3 Data'!$B$4:$B$207="Challan")*('Q3 Data'!$H$4:$H$207&lt;&gt;""))+SUMPRODUCT(('Q4 Data'!$D$4:$D$207=D108)*('Q4 Data'!$B$4:$B$207="Challan")*('Q4 Data'!$H$4:$H$207&lt;&gt;"")))&gt;0,(SUMPRODUCT(('Q1 Data'!$D$4:$D$207=D108)*('Q1 Data'!$B$4:$B$207="Challan")*('Q1 Data'!$H$4:$H$207=Z108))+SUMPRODUCT(('Q2 Data'!$D$4:$D$207=D108)*('Q2 Data'!$B$4:$B$207="Challan")*('Q2 Data'!$H$4:$H$207=Z108))+SUMPRODUCT(('Q3 Data'!$D$4:$D$207=D108)*('Q3 Data'!$B$4:$B$207="Challan")*('Q3 Data'!$H$4:$H$207=Z108))+SUMPRODUCT(('Q4 Data'!$D$4:$D$207=D108)*('Q4 Data'!$B$4:$B$207="Challan")*('Q4 Data'!$H$4:$H$207=Z108)))=0))</f>
      </c>
    </row>
    <row r="109" spans="1:44" x14ac:dyDescent="0.25">
      <c r="A109" s="20">
        <f>IF($B109="Entry",COUNTIF($B$4:$B109,"Entry"),"")</f>
      </c>
      <c r="B109" s="21"/>
      <c r="C109" s="22"/>
      <c r="D109" s="22"/>
      <c r="E109" s="23">
        <f>IF($B109&lt;&gt;"Challan","",IF(ROUND(AN109-AO109,2)&gt;0,"Over-applied",IF(ROUND(AN109-AO109,2)=0,"Fully Utilised","Unconsumed")))</f>
      </c>
      <c r="F109" s="24"/>
      <c r="G109" s="25"/>
      <c r="H109" s="25"/>
      <c r="I109" s="26"/>
      <c r="J109" s="26"/>
      <c r="K109" s="26"/>
      <c r="L109" s="26"/>
      <c r="M109" s="26"/>
      <c r="N109" s="26"/>
      <c r="O109" s="26"/>
      <c r="P109" s="27">
        <f>IF($B109&lt;&gt;"Challan","",I109+J109+K109+L109+M109+N109)</f>
      </c>
      <c r="Q109" s="25"/>
      <c r="R109" s="25"/>
      <c r="S109" s="25"/>
      <c r="T109" s="25"/>
      <c r="U109" s="25"/>
      <c r="V109" s="28"/>
      <c r="W109" s="28"/>
      <c r="X109" s="23">
        <f>IF($B109="Entry",IF(AND(LEN(TRIM(UPPER(W109)))=10,CODE(MID(TRIM(UPPER(W109)),1,1))&gt;=65,CODE(MID(TRIM(UPPER(W109)),1,1))&lt;=90,CODE(MID(TRIM(UPPER(W109)),2,1))&gt;=65,CODE(MID(TRIM(UPPER(W109)),2,1))&lt;=90,CODE(MID(TRIM(UPPER(W109)),3,1))&gt;=65,CODE(MID(TRIM(UPPER(W109)),3,1))&lt;=90,CODE(MID(TRIM(UPPER(W109)),4,1))&gt;=65,CODE(MID(TRIM(UPPER(W109)),4,1))&lt;=90,CODE(MID(TRIM(UPPER(W109)),5,1))&gt;=65,CODE(MID(TRIM(UPPER(W109)),5,1))&lt;=90,CODE(MID(TRIM(UPPER(W109)),10,1))&gt;=65,CODE(MID(TRIM(UPPER(W109)),10,1))&lt;=90,CODE(MID(TRIM(UPPER(W109)),6,1))&gt;=48,CODE(MID(TRIM(UPPER(W109)),6,1))&lt;=57,CODE(MID(TRIM(UPPER(W109)),7,1))&gt;=48,CODE(MID(TRIM(UPPER(W109)),7,1))&lt;=57,CODE(MID(TRIM(UPPER(W109)),8,1))&gt;=48,CODE(MID(TRIM(UPPER(W109)),8,1))&lt;=57,CODE(MID(TRIM(UPPER(W109)),9,1))&gt;=48,CODE(MID(TRIM(UPPER(W109)),9,1))&lt;=57),"N","Y"),IF($B109="Challan","",IF(W109&lt;&gt;"","◄ Set Row Type","")))</f>
      </c>
      <c r="Y109" s="23">
        <f>IF($B109="Entry",IF(LEN(W109)&lt;4,"",IF(UPPER(MID(W109,4,1))="P","Individual",IF(UPPER(MID(W109,4,1))="H","HUF",IF(UPPER(MID(W109,4,1))="C","Company",IF(UPPER(MID(W109,4,1))="F","Firm",IF(UPPER(MID(W109,4,1))="L","LLP",IF(UPPER(MID(W109,4,1))="T","Trust",IF(UPPER(MID(W109,4,1))="A","AOP","")))))))),IF($B109="Challan","",IF(W109&lt;&gt;"","◄ Set Row Type","")))</f>
      </c>
      <c r="Z109" s="28"/>
      <c r="AA109" s="29">
        <f>IF($B109&lt;&gt;"Entry","",IF(Z109="","",IF(X109="Y",SUMPRODUCT(('Rate Lookup'!$A$1:$A$37=Z109)*'Rate Lookup'!$D$1:$D$37),IF(OR(Y109="Individual",Y109="HUF"),SUMPRODUCT(('Rate Lookup'!$A$1:$A$37=Z109)*'Rate Lookup'!$B$1:$B$37),SUMPRODUCT(('Rate Lookup'!$A$1:$A$37=Z109)*'Rate Lookup'!$C$1:$C$37)))))</f>
      </c>
      <c r="AB109" s="30"/>
      <c r="AC109" s="31"/>
      <c r="AD109" s="27">
        <f>IF($B109&lt;&gt;"Entry","",ROUND(AC109*AA109/100,0))</f>
      </c>
      <c r="AE109" s="27">
        <f>IF($B109&lt;&gt;"Entry","",0)</f>
      </c>
      <c r="AF109" s="27">
        <f>IF($B109&lt;&gt;"Entry","",0)</f>
      </c>
      <c r="AG109" s="27">
        <f>IF($B109&lt;&gt;"Entry","",IF(OR(AD109=0,AB109="",AQ109="",AQ109&lt;=0),0,IF(AQ109&lt;=DATE(YEAR(AB109),MONTH(AB109)+1,7),0,ROUND(AD109*0.015*((YEAR(AQ109)-YEAR(AB109))*12+(MONTH(AQ109)-MONTH(AB109))+1),0))))</f>
      </c>
      <c r="AH109" s="27">
        <f>IF($B109&lt;&gt;"Entry","",0)</f>
      </c>
      <c r="AI109" s="28"/>
      <c r="AJ109" s="28"/>
      <c r="AK109" s="32"/>
      <c r="AL109" s="28"/>
      <c r="AM109" s="28"/>
      <c r="AN109" s="27">
        <f>IF($B109&lt;&gt;"Challan","",SUMIF('Q1 Data'!$D$4:$D$207,D109,'Q1 Data'!$AD$4:$AD$207)+SUMIF('Q1 Data'!$D$4:$D$207,D109,'Q1 Data'!$AG$4:$AG$207)+SUMIF('Q1 Data'!$D$4:$D$207,D109,'Q1 Data'!$AE$4:$AE$207)+SUMIF('Q2 Data'!$D$4:$D$207,D109,'Q2 Data'!$AD$4:$AD$207)+SUMIF('Q2 Data'!$D$4:$D$207,D109,'Q2 Data'!$AG$4:$AG$207)+SUMIF('Q2 Data'!$D$4:$D$207,D109,'Q2 Data'!$AE$4:$AE$207)+SUMIF('Q3 Data'!$D$4:$D$207,D109,'Q3 Data'!$AD$4:$AD$207)+SUMIF('Q3 Data'!$D$4:$D$207,D109,'Q3 Data'!$AG$4:$AG$207)+SUMIF('Q3 Data'!$D$4:$D$207,D109,'Q3 Data'!$AE$4:$AE$207)+SUMIF('Q4 Data'!$D$4:$D$207,D109,'Q4 Data'!$AD$4:$AD$207)+SUMIF('Q4 Data'!$D$4:$D$207,D109,'Q4 Data'!$AG$4:$AG$207)+SUMIF('Q4 Data'!$D$4:$D$207,D109,'Q4 Data'!$AE$4:$AE$207))</f>
      </c>
      <c r="AO109" s="27">
        <f>IF($B109&lt;&gt;"Challan","",P109-N109)</f>
      </c>
      <c r="AP109" s="27">
        <f>IF($B109&lt;&gt;"Challan","",MAX(0,AO109-AN109))</f>
      </c>
      <c r="AQ109" s="33">
        <f>IF($B109&lt;&gt;"Entry","",SUMPRODUCT(('Q1 Data'!$D$4:$D$207=D109)*('Q1 Data'!$B$4:$B$207="Challan")*'Q1 Data'!$F$4:$F$207)+SUMPRODUCT(('Q2 Data'!$D$4:$D$207=D109)*('Q2 Data'!$B$4:$B$207="Challan")*'Q2 Data'!$F$4:$F$207)+SUMPRODUCT(('Q3 Data'!$D$4:$D$207=D109)*('Q3 Data'!$B$4:$B$207="Challan")*'Q3 Data'!$F$4:$F$207)+SUMPRODUCT(('Q4 Data'!$D$4:$D$207=D109)*('Q4 Data'!$B$4:$B$207="Challan")*'Q4 Data'!$F$4:$F$207))</f>
      </c>
      <c r="AR109" s="34">
        <f>IF(OR($B109&lt;&gt;"Entry",Z109=""),FALSE,AND((SUMPRODUCT(('Q1 Data'!$D$4:$D$207=D109)*('Q1 Data'!$B$4:$B$207="Challan")*('Q1 Data'!$H$4:$H$207&lt;&gt;""))+SUMPRODUCT(('Q2 Data'!$D$4:$D$207=D109)*('Q2 Data'!$B$4:$B$207="Challan")*('Q2 Data'!$H$4:$H$207&lt;&gt;""))+SUMPRODUCT(('Q3 Data'!$D$4:$D$207=D109)*('Q3 Data'!$B$4:$B$207="Challan")*('Q3 Data'!$H$4:$H$207&lt;&gt;""))+SUMPRODUCT(('Q4 Data'!$D$4:$D$207=D109)*('Q4 Data'!$B$4:$B$207="Challan")*('Q4 Data'!$H$4:$H$207&lt;&gt;"")))&gt;0,(SUMPRODUCT(('Q1 Data'!$D$4:$D$207=D109)*('Q1 Data'!$B$4:$B$207="Challan")*('Q1 Data'!$H$4:$H$207=Z109))+SUMPRODUCT(('Q2 Data'!$D$4:$D$207=D109)*('Q2 Data'!$B$4:$B$207="Challan")*('Q2 Data'!$H$4:$H$207=Z109))+SUMPRODUCT(('Q3 Data'!$D$4:$D$207=D109)*('Q3 Data'!$B$4:$B$207="Challan")*('Q3 Data'!$H$4:$H$207=Z109))+SUMPRODUCT(('Q4 Data'!$D$4:$D$207=D109)*('Q4 Data'!$B$4:$B$207="Challan")*('Q4 Data'!$H$4:$H$207=Z109)))=0))</f>
      </c>
    </row>
    <row r="110" spans="1:44" x14ac:dyDescent="0.25">
      <c r="A110" s="20">
        <f>IF($B110="Entry",COUNTIF($B$4:$B110,"Entry"),"")</f>
      </c>
      <c r="B110" s="21"/>
      <c r="C110" s="22"/>
      <c r="D110" s="22"/>
      <c r="E110" s="23">
        <f>IF($B110&lt;&gt;"Challan","",IF(ROUND(AN110-AO110,2)&gt;0,"Over-applied",IF(ROUND(AN110-AO110,2)=0,"Fully Utilised","Unconsumed")))</f>
      </c>
      <c r="F110" s="24"/>
      <c r="G110" s="25"/>
      <c r="H110" s="25"/>
      <c r="I110" s="26"/>
      <c r="J110" s="26"/>
      <c r="K110" s="26"/>
      <c r="L110" s="26"/>
      <c r="M110" s="26"/>
      <c r="N110" s="26"/>
      <c r="O110" s="26"/>
      <c r="P110" s="27">
        <f>IF($B110&lt;&gt;"Challan","",I110+J110+K110+L110+M110+N110)</f>
      </c>
      <c r="Q110" s="25"/>
      <c r="R110" s="25"/>
      <c r="S110" s="25"/>
      <c r="T110" s="25"/>
      <c r="U110" s="25"/>
      <c r="V110" s="28"/>
      <c r="W110" s="28"/>
      <c r="X110" s="23">
        <f>IF($B110="Entry",IF(AND(LEN(TRIM(UPPER(W110)))=10,CODE(MID(TRIM(UPPER(W110)),1,1))&gt;=65,CODE(MID(TRIM(UPPER(W110)),1,1))&lt;=90,CODE(MID(TRIM(UPPER(W110)),2,1))&gt;=65,CODE(MID(TRIM(UPPER(W110)),2,1))&lt;=90,CODE(MID(TRIM(UPPER(W110)),3,1))&gt;=65,CODE(MID(TRIM(UPPER(W110)),3,1))&lt;=90,CODE(MID(TRIM(UPPER(W110)),4,1))&gt;=65,CODE(MID(TRIM(UPPER(W110)),4,1))&lt;=90,CODE(MID(TRIM(UPPER(W110)),5,1))&gt;=65,CODE(MID(TRIM(UPPER(W110)),5,1))&lt;=90,CODE(MID(TRIM(UPPER(W110)),10,1))&gt;=65,CODE(MID(TRIM(UPPER(W110)),10,1))&lt;=90,CODE(MID(TRIM(UPPER(W110)),6,1))&gt;=48,CODE(MID(TRIM(UPPER(W110)),6,1))&lt;=57,CODE(MID(TRIM(UPPER(W110)),7,1))&gt;=48,CODE(MID(TRIM(UPPER(W110)),7,1))&lt;=57,CODE(MID(TRIM(UPPER(W110)),8,1))&gt;=48,CODE(MID(TRIM(UPPER(W110)),8,1))&lt;=57,CODE(MID(TRIM(UPPER(W110)),9,1))&gt;=48,CODE(MID(TRIM(UPPER(W110)),9,1))&lt;=57),"N","Y"),IF($B110="Challan","",IF(W110&lt;&gt;"","◄ Set Row Type","")))</f>
      </c>
      <c r="Y110" s="23">
        <f>IF($B110="Entry",IF(LEN(W110)&lt;4,"",IF(UPPER(MID(W110,4,1))="P","Individual",IF(UPPER(MID(W110,4,1))="H","HUF",IF(UPPER(MID(W110,4,1))="C","Company",IF(UPPER(MID(W110,4,1))="F","Firm",IF(UPPER(MID(W110,4,1))="L","LLP",IF(UPPER(MID(W110,4,1))="T","Trust",IF(UPPER(MID(W110,4,1))="A","AOP","")))))))),IF($B110="Challan","",IF(W110&lt;&gt;"","◄ Set Row Type","")))</f>
      </c>
      <c r="Z110" s="28"/>
      <c r="AA110" s="29">
        <f>IF($B110&lt;&gt;"Entry","",IF(Z110="","",IF(X110="Y",SUMPRODUCT(('Rate Lookup'!$A$1:$A$37=Z110)*'Rate Lookup'!$D$1:$D$37),IF(OR(Y110="Individual",Y110="HUF"),SUMPRODUCT(('Rate Lookup'!$A$1:$A$37=Z110)*'Rate Lookup'!$B$1:$B$37),SUMPRODUCT(('Rate Lookup'!$A$1:$A$37=Z110)*'Rate Lookup'!$C$1:$C$37)))))</f>
      </c>
      <c r="AB110" s="30"/>
      <c r="AC110" s="31"/>
      <c r="AD110" s="27">
        <f>IF($B110&lt;&gt;"Entry","",ROUND(AC110*AA110/100,0))</f>
      </c>
      <c r="AE110" s="27">
        <f>IF($B110&lt;&gt;"Entry","",0)</f>
      </c>
      <c r="AF110" s="27">
        <f>IF($B110&lt;&gt;"Entry","",0)</f>
      </c>
      <c r="AG110" s="27">
        <f>IF($B110&lt;&gt;"Entry","",IF(OR(AD110=0,AB110="",AQ110="",AQ110&lt;=0),0,IF(AQ110&lt;=DATE(YEAR(AB110),MONTH(AB110)+1,7),0,ROUND(AD110*0.015*((YEAR(AQ110)-YEAR(AB110))*12+(MONTH(AQ110)-MONTH(AB110))+1),0))))</f>
      </c>
      <c r="AH110" s="27">
        <f>IF($B110&lt;&gt;"Entry","",0)</f>
      </c>
      <c r="AI110" s="28"/>
      <c r="AJ110" s="28"/>
      <c r="AK110" s="32"/>
      <c r="AL110" s="28"/>
      <c r="AM110" s="28"/>
      <c r="AN110" s="27">
        <f>IF($B110&lt;&gt;"Challan","",SUMIF('Q1 Data'!$D$4:$D$207,D110,'Q1 Data'!$AD$4:$AD$207)+SUMIF('Q1 Data'!$D$4:$D$207,D110,'Q1 Data'!$AG$4:$AG$207)+SUMIF('Q1 Data'!$D$4:$D$207,D110,'Q1 Data'!$AE$4:$AE$207)+SUMIF('Q2 Data'!$D$4:$D$207,D110,'Q2 Data'!$AD$4:$AD$207)+SUMIF('Q2 Data'!$D$4:$D$207,D110,'Q2 Data'!$AG$4:$AG$207)+SUMIF('Q2 Data'!$D$4:$D$207,D110,'Q2 Data'!$AE$4:$AE$207)+SUMIF('Q3 Data'!$D$4:$D$207,D110,'Q3 Data'!$AD$4:$AD$207)+SUMIF('Q3 Data'!$D$4:$D$207,D110,'Q3 Data'!$AG$4:$AG$207)+SUMIF('Q3 Data'!$D$4:$D$207,D110,'Q3 Data'!$AE$4:$AE$207)+SUMIF('Q4 Data'!$D$4:$D$207,D110,'Q4 Data'!$AD$4:$AD$207)+SUMIF('Q4 Data'!$D$4:$D$207,D110,'Q4 Data'!$AG$4:$AG$207)+SUMIF('Q4 Data'!$D$4:$D$207,D110,'Q4 Data'!$AE$4:$AE$207))</f>
      </c>
      <c r="AO110" s="27">
        <f>IF($B110&lt;&gt;"Challan","",P110-N110)</f>
      </c>
      <c r="AP110" s="27">
        <f>IF($B110&lt;&gt;"Challan","",MAX(0,AO110-AN110))</f>
      </c>
      <c r="AQ110" s="33">
        <f>IF($B110&lt;&gt;"Entry","",SUMPRODUCT(('Q1 Data'!$D$4:$D$207=D110)*('Q1 Data'!$B$4:$B$207="Challan")*'Q1 Data'!$F$4:$F$207)+SUMPRODUCT(('Q2 Data'!$D$4:$D$207=D110)*('Q2 Data'!$B$4:$B$207="Challan")*'Q2 Data'!$F$4:$F$207)+SUMPRODUCT(('Q3 Data'!$D$4:$D$207=D110)*('Q3 Data'!$B$4:$B$207="Challan")*'Q3 Data'!$F$4:$F$207)+SUMPRODUCT(('Q4 Data'!$D$4:$D$207=D110)*('Q4 Data'!$B$4:$B$207="Challan")*'Q4 Data'!$F$4:$F$207))</f>
      </c>
      <c r="AR110" s="34">
        <f>IF(OR($B110&lt;&gt;"Entry",Z110=""),FALSE,AND((SUMPRODUCT(('Q1 Data'!$D$4:$D$207=D110)*('Q1 Data'!$B$4:$B$207="Challan")*('Q1 Data'!$H$4:$H$207&lt;&gt;""))+SUMPRODUCT(('Q2 Data'!$D$4:$D$207=D110)*('Q2 Data'!$B$4:$B$207="Challan")*('Q2 Data'!$H$4:$H$207&lt;&gt;""))+SUMPRODUCT(('Q3 Data'!$D$4:$D$207=D110)*('Q3 Data'!$B$4:$B$207="Challan")*('Q3 Data'!$H$4:$H$207&lt;&gt;""))+SUMPRODUCT(('Q4 Data'!$D$4:$D$207=D110)*('Q4 Data'!$B$4:$B$207="Challan")*('Q4 Data'!$H$4:$H$207&lt;&gt;"")))&gt;0,(SUMPRODUCT(('Q1 Data'!$D$4:$D$207=D110)*('Q1 Data'!$B$4:$B$207="Challan")*('Q1 Data'!$H$4:$H$207=Z110))+SUMPRODUCT(('Q2 Data'!$D$4:$D$207=D110)*('Q2 Data'!$B$4:$B$207="Challan")*('Q2 Data'!$H$4:$H$207=Z110))+SUMPRODUCT(('Q3 Data'!$D$4:$D$207=D110)*('Q3 Data'!$B$4:$B$207="Challan")*('Q3 Data'!$H$4:$H$207=Z110))+SUMPRODUCT(('Q4 Data'!$D$4:$D$207=D110)*('Q4 Data'!$B$4:$B$207="Challan")*('Q4 Data'!$H$4:$H$207=Z110)))=0))</f>
      </c>
    </row>
    <row r="111" spans="1:44" x14ac:dyDescent="0.25">
      <c r="A111" s="20">
        <f>IF($B111="Entry",COUNTIF($B$4:$B111,"Entry"),"")</f>
      </c>
      <c r="B111" s="21"/>
      <c r="C111" s="22"/>
      <c r="D111" s="22"/>
      <c r="E111" s="23">
        <f>IF($B111&lt;&gt;"Challan","",IF(ROUND(AN111-AO111,2)&gt;0,"Over-applied",IF(ROUND(AN111-AO111,2)=0,"Fully Utilised","Unconsumed")))</f>
      </c>
      <c r="F111" s="24"/>
      <c r="G111" s="25"/>
      <c r="H111" s="25"/>
      <c r="I111" s="26"/>
      <c r="J111" s="26"/>
      <c r="K111" s="26"/>
      <c r="L111" s="26"/>
      <c r="M111" s="26"/>
      <c r="N111" s="26"/>
      <c r="O111" s="26"/>
      <c r="P111" s="27">
        <f>IF($B111&lt;&gt;"Challan","",I111+J111+K111+L111+M111+N111)</f>
      </c>
      <c r="Q111" s="25"/>
      <c r="R111" s="25"/>
      <c r="S111" s="25"/>
      <c r="T111" s="25"/>
      <c r="U111" s="25"/>
      <c r="V111" s="28"/>
      <c r="W111" s="28"/>
      <c r="X111" s="23">
        <f>IF($B111="Entry",IF(AND(LEN(TRIM(UPPER(W111)))=10,CODE(MID(TRIM(UPPER(W111)),1,1))&gt;=65,CODE(MID(TRIM(UPPER(W111)),1,1))&lt;=90,CODE(MID(TRIM(UPPER(W111)),2,1))&gt;=65,CODE(MID(TRIM(UPPER(W111)),2,1))&lt;=90,CODE(MID(TRIM(UPPER(W111)),3,1))&gt;=65,CODE(MID(TRIM(UPPER(W111)),3,1))&lt;=90,CODE(MID(TRIM(UPPER(W111)),4,1))&gt;=65,CODE(MID(TRIM(UPPER(W111)),4,1))&lt;=90,CODE(MID(TRIM(UPPER(W111)),5,1))&gt;=65,CODE(MID(TRIM(UPPER(W111)),5,1))&lt;=90,CODE(MID(TRIM(UPPER(W111)),10,1))&gt;=65,CODE(MID(TRIM(UPPER(W111)),10,1))&lt;=90,CODE(MID(TRIM(UPPER(W111)),6,1))&gt;=48,CODE(MID(TRIM(UPPER(W111)),6,1))&lt;=57,CODE(MID(TRIM(UPPER(W111)),7,1))&gt;=48,CODE(MID(TRIM(UPPER(W111)),7,1))&lt;=57,CODE(MID(TRIM(UPPER(W111)),8,1))&gt;=48,CODE(MID(TRIM(UPPER(W111)),8,1))&lt;=57,CODE(MID(TRIM(UPPER(W111)),9,1))&gt;=48,CODE(MID(TRIM(UPPER(W111)),9,1))&lt;=57),"N","Y"),IF($B111="Challan","",IF(W111&lt;&gt;"","◄ Set Row Type","")))</f>
      </c>
      <c r="Y111" s="23">
        <f>IF($B111="Entry",IF(LEN(W111)&lt;4,"",IF(UPPER(MID(W111,4,1))="P","Individual",IF(UPPER(MID(W111,4,1))="H","HUF",IF(UPPER(MID(W111,4,1))="C","Company",IF(UPPER(MID(W111,4,1))="F","Firm",IF(UPPER(MID(W111,4,1))="L","LLP",IF(UPPER(MID(W111,4,1))="T","Trust",IF(UPPER(MID(W111,4,1))="A","AOP","")))))))),IF($B111="Challan","",IF(W111&lt;&gt;"","◄ Set Row Type","")))</f>
      </c>
      <c r="Z111" s="28"/>
      <c r="AA111" s="29">
        <f>IF($B111&lt;&gt;"Entry","",IF(Z111="","",IF(X111="Y",SUMPRODUCT(('Rate Lookup'!$A$1:$A$37=Z111)*'Rate Lookup'!$D$1:$D$37),IF(OR(Y111="Individual",Y111="HUF"),SUMPRODUCT(('Rate Lookup'!$A$1:$A$37=Z111)*'Rate Lookup'!$B$1:$B$37),SUMPRODUCT(('Rate Lookup'!$A$1:$A$37=Z111)*'Rate Lookup'!$C$1:$C$37)))))</f>
      </c>
      <c r="AB111" s="30"/>
      <c r="AC111" s="31"/>
      <c r="AD111" s="27">
        <f>IF($B111&lt;&gt;"Entry","",ROUND(AC111*AA111/100,0))</f>
      </c>
      <c r="AE111" s="27">
        <f>IF($B111&lt;&gt;"Entry","",0)</f>
      </c>
      <c r="AF111" s="27">
        <f>IF($B111&lt;&gt;"Entry","",0)</f>
      </c>
      <c r="AG111" s="27">
        <f>IF($B111&lt;&gt;"Entry","",IF(OR(AD111=0,AB111="",AQ111="",AQ111&lt;=0),0,IF(AQ111&lt;=DATE(YEAR(AB111),MONTH(AB111)+1,7),0,ROUND(AD111*0.015*((YEAR(AQ111)-YEAR(AB111))*12+(MONTH(AQ111)-MONTH(AB111))+1),0))))</f>
      </c>
      <c r="AH111" s="27">
        <f>IF($B111&lt;&gt;"Entry","",0)</f>
      </c>
      <c r="AI111" s="28"/>
      <c r="AJ111" s="28"/>
      <c r="AK111" s="32"/>
      <c r="AL111" s="28"/>
      <c r="AM111" s="28"/>
      <c r="AN111" s="27">
        <f>IF($B111&lt;&gt;"Challan","",SUMIF('Q1 Data'!$D$4:$D$207,D111,'Q1 Data'!$AD$4:$AD$207)+SUMIF('Q1 Data'!$D$4:$D$207,D111,'Q1 Data'!$AG$4:$AG$207)+SUMIF('Q1 Data'!$D$4:$D$207,D111,'Q1 Data'!$AE$4:$AE$207)+SUMIF('Q2 Data'!$D$4:$D$207,D111,'Q2 Data'!$AD$4:$AD$207)+SUMIF('Q2 Data'!$D$4:$D$207,D111,'Q2 Data'!$AG$4:$AG$207)+SUMIF('Q2 Data'!$D$4:$D$207,D111,'Q2 Data'!$AE$4:$AE$207)+SUMIF('Q3 Data'!$D$4:$D$207,D111,'Q3 Data'!$AD$4:$AD$207)+SUMIF('Q3 Data'!$D$4:$D$207,D111,'Q3 Data'!$AG$4:$AG$207)+SUMIF('Q3 Data'!$D$4:$D$207,D111,'Q3 Data'!$AE$4:$AE$207)+SUMIF('Q4 Data'!$D$4:$D$207,D111,'Q4 Data'!$AD$4:$AD$207)+SUMIF('Q4 Data'!$D$4:$D$207,D111,'Q4 Data'!$AG$4:$AG$207)+SUMIF('Q4 Data'!$D$4:$D$207,D111,'Q4 Data'!$AE$4:$AE$207))</f>
      </c>
      <c r="AO111" s="27">
        <f>IF($B111&lt;&gt;"Challan","",P111-N111)</f>
      </c>
      <c r="AP111" s="27">
        <f>IF($B111&lt;&gt;"Challan","",MAX(0,AO111-AN111))</f>
      </c>
      <c r="AQ111" s="33">
        <f>IF($B111&lt;&gt;"Entry","",SUMPRODUCT(('Q1 Data'!$D$4:$D$207=D111)*('Q1 Data'!$B$4:$B$207="Challan")*'Q1 Data'!$F$4:$F$207)+SUMPRODUCT(('Q2 Data'!$D$4:$D$207=D111)*('Q2 Data'!$B$4:$B$207="Challan")*'Q2 Data'!$F$4:$F$207)+SUMPRODUCT(('Q3 Data'!$D$4:$D$207=D111)*('Q3 Data'!$B$4:$B$207="Challan")*'Q3 Data'!$F$4:$F$207)+SUMPRODUCT(('Q4 Data'!$D$4:$D$207=D111)*('Q4 Data'!$B$4:$B$207="Challan")*'Q4 Data'!$F$4:$F$207))</f>
      </c>
      <c r="AR111" s="34">
        <f>IF(OR($B111&lt;&gt;"Entry",Z111=""),FALSE,AND((SUMPRODUCT(('Q1 Data'!$D$4:$D$207=D111)*('Q1 Data'!$B$4:$B$207="Challan")*('Q1 Data'!$H$4:$H$207&lt;&gt;""))+SUMPRODUCT(('Q2 Data'!$D$4:$D$207=D111)*('Q2 Data'!$B$4:$B$207="Challan")*('Q2 Data'!$H$4:$H$207&lt;&gt;""))+SUMPRODUCT(('Q3 Data'!$D$4:$D$207=D111)*('Q3 Data'!$B$4:$B$207="Challan")*('Q3 Data'!$H$4:$H$207&lt;&gt;""))+SUMPRODUCT(('Q4 Data'!$D$4:$D$207=D111)*('Q4 Data'!$B$4:$B$207="Challan")*('Q4 Data'!$H$4:$H$207&lt;&gt;"")))&gt;0,(SUMPRODUCT(('Q1 Data'!$D$4:$D$207=D111)*('Q1 Data'!$B$4:$B$207="Challan")*('Q1 Data'!$H$4:$H$207=Z111))+SUMPRODUCT(('Q2 Data'!$D$4:$D$207=D111)*('Q2 Data'!$B$4:$B$207="Challan")*('Q2 Data'!$H$4:$H$207=Z111))+SUMPRODUCT(('Q3 Data'!$D$4:$D$207=D111)*('Q3 Data'!$B$4:$B$207="Challan")*('Q3 Data'!$H$4:$H$207=Z111))+SUMPRODUCT(('Q4 Data'!$D$4:$D$207=D111)*('Q4 Data'!$B$4:$B$207="Challan")*('Q4 Data'!$H$4:$H$207=Z111)))=0))</f>
      </c>
    </row>
    <row r="112" spans="1:44" x14ac:dyDescent="0.25">
      <c r="A112" s="20">
        <f>IF($B112="Entry",COUNTIF($B$4:$B112,"Entry"),"")</f>
      </c>
      <c r="B112" s="21"/>
      <c r="C112" s="22"/>
      <c r="D112" s="22"/>
      <c r="E112" s="23">
        <f>IF($B112&lt;&gt;"Challan","",IF(ROUND(AN112-AO112,2)&gt;0,"Over-applied",IF(ROUND(AN112-AO112,2)=0,"Fully Utilised","Unconsumed")))</f>
      </c>
      <c r="F112" s="24"/>
      <c r="G112" s="25"/>
      <c r="H112" s="25"/>
      <c r="I112" s="26"/>
      <c r="J112" s="26"/>
      <c r="K112" s="26"/>
      <c r="L112" s="26"/>
      <c r="M112" s="26"/>
      <c r="N112" s="26"/>
      <c r="O112" s="26"/>
      <c r="P112" s="27">
        <f>IF($B112&lt;&gt;"Challan","",I112+J112+K112+L112+M112+N112)</f>
      </c>
      <c r="Q112" s="25"/>
      <c r="R112" s="25"/>
      <c r="S112" s="25"/>
      <c r="T112" s="25"/>
      <c r="U112" s="25"/>
      <c r="V112" s="28"/>
      <c r="W112" s="28"/>
      <c r="X112" s="23">
        <f>IF($B112="Entry",IF(AND(LEN(TRIM(UPPER(W112)))=10,CODE(MID(TRIM(UPPER(W112)),1,1))&gt;=65,CODE(MID(TRIM(UPPER(W112)),1,1))&lt;=90,CODE(MID(TRIM(UPPER(W112)),2,1))&gt;=65,CODE(MID(TRIM(UPPER(W112)),2,1))&lt;=90,CODE(MID(TRIM(UPPER(W112)),3,1))&gt;=65,CODE(MID(TRIM(UPPER(W112)),3,1))&lt;=90,CODE(MID(TRIM(UPPER(W112)),4,1))&gt;=65,CODE(MID(TRIM(UPPER(W112)),4,1))&lt;=90,CODE(MID(TRIM(UPPER(W112)),5,1))&gt;=65,CODE(MID(TRIM(UPPER(W112)),5,1))&lt;=90,CODE(MID(TRIM(UPPER(W112)),10,1))&gt;=65,CODE(MID(TRIM(UPPER(W112)),10,1))&lt;=90,CODE(MID(TRIM(UPPER(W112)),6,1))&gt;=48,CODE(MID(TRIM(UPPER(W112)),6,1))&lt;=57,CODE(MID(TRIM(UPPER(W112)),7,1))&gt;=48,CODE(MID(TRIM(UPPER(W112)),7,1))&lt;=57,CODE(MID(TRIM(UPPER(W112)),8,1))&gt;=48,CODE(MID(TRIM(UPPER(W112)),8,1))&lt;=57,CODE(MID(TRIM(UPPER(W112)),9,1))&gt;=48,CODE(MID(TRIM(UPPER(W112)),9,1))&lt;=57),"N","Y"),IF($B112="Challan","",IF(W112&lt;&gt;"","◄ Set Row Type","")))</f>
      </c>
      <c r="Y112" s="23">
        <f>IF($B112="Entry",IF(LEN(W112)&lt;4,"",IF(UPPER(MID(W112,4,1))="P","Individual",IF(UPPER(MID(W112,4,1))="H","HUF",IF(UPPER(MID(W112,4,1))="C","Company",IF(UPPER(MID(W112,4,1))="F","Firm",IF(UPPER(MID(W112,4,1))="L","LLP",IF(UPPER(MID(W112,4,1))="T","Trust",IF(UPPER(MID(W112,4,1))="A","AOP","")))))))),IF($B112="Challan","",IF(W112&lt;&gt;"","◄ Set Row Type","")))</f>
      </c>
      <c r="Z112" s="28"/>
      <c r="AA112" s="29">
        <f>IF($B112&lt;&gt;"Entry","",IF(Z112="","",IF(X112="Y",SUMPRODUCT(('Rate Lookup'!$A$1:$A$37=Z112)*'Rate Lookup'!$D$1:$D$37),IF(OR(Y112="Individual",Y112="HUF"),SUMPRODUCT(('Rate Lookup'!$A$1:$A$37=Z112)*'Rate Lookup'!$B$1:$B$37),SUMPRODUCT(('Rate Lookup'!$A$1:$A$37=Z112)*'Rate Lookup'!$C$1:$C$37)))))</f>
      </c>
      <c r="AB112" s="30"/>
      <c r="AC112" s="31"/>
      <c r="AD112" s="27">
        <f>IF($B112&lt;&gt;"Entry","",ROUND(AC112*AA112/100,0))</f>
      </c>
      <c r="AE112" s="27">
        <f>IF($B112&lt;&gt;"Entry","",0)</f>
      </c>
      <c r="AF112" s="27">
        <f>IF($B112&lt;&gt;"Entry","",0)</f>
      </c>
      <c r="AG112" s="27">
        <f>IF($B112&lt;&gt;"Entry","",IF(OR(AD112=0,AB112="",AQ112="",AQ112&lt;=0),0,IF(AQ112&lt;=DATE(YEAR(AB112),MONTH(AB112)+1,7),0,ROUND(AD112*0.015*((YEAR(AQ112)-YEAR(AB112))*12+(MONTH(AQ112)-MONTH(AB112))+1),0))))</f>
      </c>
      <c r="AH112" s="27">
        <f>IF($B112&lt;&gt;"Entry","",0)</f>
      </c>
      <c r="AI112" s="28"/>
      <c r="AJ112" s="28"/>
      <c r="AK112" s="32"/>
      <c r="AL112" s="28"/>
      <c r="AM112" s="28"/>
      <c r="AN112" s="27">
        <f>IF($B112&lt;&gt;"Challan","",SUMIF('Q1 Data'!$D$4:$D$207,D112,'Q1 Data'!$AD$4:$AD$207)+SUMIF('Q1 Data'!$D$4:$D$207,D112,'Q1 Data'!$AG$4:$AG$207)+SUMIF('Q1 Data'!$D$4:$D$207,D112,'Q1 Data'!$AE$4:$AE$207)+SUMIF('Q2 Data'!$D$4:$D$207,D112,'Q2 Data'!$AD$4:$AD$207)+SUMIF('Q2 Data'!$D$4:$D$207,D112,'Q2 Data'!$AG$4:$AG$207)+SUMIF('Q2 Data'!$D$4:$D$207,D112,'Q2 Data'!$AE$4:$AE$207)+SUMIF('Q3 Data'!$D$4:$D$207,D112,'Q3 Data'!$AD$4:$AD$207)+SUMIF('Q3 Data'!$D$4:$D$207,D112,'Q3 Data'!$AG$4:$AG$207)+SUMIF('Q3 Data'!$D$4:$D$207,D112,'Q3 Data'!$AE$4:$AE$207)+SUMIF('Q4 Data'!$D$4:$D$207,D112,'Q4 Data'!$AD$4:$AD$207)+SUMIF('Q4 Data'!$D$4:$D$207,D112,'Q4 Data'!$AG$4:$AG$207)+SUMIF('Q4 Data'!$D$4:$D$207,D112,'Q4 Data'!$AE$4:$AE$207))</f>
      </c>
      <c r="AO112" s="27">
        <f>IF($B112&lt;&gt;"Challan","",P112-N112)</f>
      </c>
      <c r="AP112" s="27">
        <f>IF($B112&lt;&gt;"Challan","",MAX(0,AO112-AN112))</f>
      </c>
      <c r="AQ112" s="33">
        <f>IF($B112&lt;&gt;"Entry","",SUMPRODUCT(('Q1 Data'!$D$4:$D$207=D112)*('Q1 Data'!$B$4:$B$207="Challan")*'Q1 Data'!$F$4:$F$207)+SUMPRODUCT(('Q2 Data'!$D$4:$D$207=D112)*('Q2 Data'!$B$4:$B$207="Challan")*'Q2 Data'!$F$4:$F$207)+SUMPRODUCT(('Q3 Data'!$D$4:$D$207=D112)*('Q3 Data'!$B$4:$B$207="Challan")*'Q3 Data'!$F$4:$F$207)+SUMPRODUCT(('Q4 Data'!$D$4:$D$207=D112)*('Q4 Data'!$B$4:$B$207="Challan")*'Q4 Data'!$F$4:$F$207))</f>
      </c>
      <c r="AR112" s="34">
        <f>IF(OR($B112&lt;&gt;"Entry",Z112=""),FALSE,AND((SUMPRODUCT(('Q1 Data'!$D$4:$D$207=D112)*('Q1 Data'!$B$4:$B$207="Challan")*('Q1 Data'!$H$4:$H$207&lt;&gt;""))+SUMPRODUCT(('Q2 Data'!$D$4:$D$207=D112)*('Q2 Data'!$B$4:$B$207="Challan")*('Q2 Data'!$H$4:$H$207&lt;&gt;""))+SUMPRODUCT(('Q3 Data'!$D$4:$D$207=D112)*('Q3 Data'!$B$4:$B$207="Challan")*('Q3 Data'!$H$4:$H$207&lt;&gt;""))+SUMPRODUCT(('Q4 Data'!$D$4:$D$207=D112)*('Q4 Data'!$B$4:$B$207="Challan")*('Q4 Data'!$H$4:$H$207&lt;&gt;"")))&gt;0,(SUMPRODUCT(('Q1 Data'!$D$4:$D$207=D112)*('Q1 Data'!$B$4:$B$207="Challan")*('Q1 Data'!$H$4:$H$207=Z112))+SUMPRODUCT(('Q2 Data'!$D$4:$D$207=D112)*('Q2 Data'!$B$4:$B$207="Challan")*('Q2 Data'!$H$4:$H$207=Z112))+SUMPRODUCT(('Q3 Data'!$D$4:$D$207=D112)*('Q3 Data'!$B$4:$B$207="Challan")*('Q3 Data'!$H$4:$H$207=Z112))+SUMPRODUCT(('Q4 Data'!$D$4:$D$207=D112)*('Q4 Data'!$B$4:$B$207="Challan")*('Q4 Data'!$H$4:$H$207=Z112)))=0))</f>
      </c>
    </row>
    <row r="113" spans="1:44" x14ac:dyDescent="0.25">
      <c r="A113" s="20">
        <f>IF($B113="Entry",COUNTIF($B$4:$B113,"Entry"),"")</f>
      </c>
      <c r="B113" s="21"/>
      <c r="C113" s="22"/>
      <c r="D113" s="22"/>
      <c r="E113" s="23">
        <f>IF($B113&lt;&gt;"Challan","",IF(ROUND(AN113-AO113,2)&gt;0,"Over-applied",IF(ROUND(AN113-AO113,2)=0,"Fully Utilised","Unconsumed")))</f>
      </c>
      <c r="F113" s="24"/>
      <c r="G113" s="25"/>
      <c r="H113" s="25"/>
      <c r="I113" s="26"/>
      <c r="J113" s="26"/>
      <c r="K113" s="26"/>
      <c r="L113" s="26"/>
      <c r="M113" s="26"/>
      <c r="N113" s="26"/>
      <c r="O113" s="26"/>
      <c r="P113" s="27">
        <f>IF($B113&lt;&gt;"Challan","",I113+J113+K113+L113+M113+N113)</f>
      </c>
      <c r="Q113" s="25"/>
      <c r="R113" s="25"/>
      <c r="S113" s="25"/>
      <c r="T113" s="25"/>
      <c r="U113" s="25"/>
      <c r="V113" s="28"/>
      <c r="W113" s="28"/>
      <c r="X113" s="23">
        <f>IF($B113="Entry",IF(AND(LEN(TRIM(UPPER(W113)))=10,CODE(MID(TRIM(UPPER(W113)),1,1))&gt;=65,CODE(MID(TRIM(UPPER(W113)),1,1))&lt;=90,CODE(MID(TRIM(UPPER(W113)),2,1))&gt;=65,CODE(MID(TRIM(UPPER(W113)),2,1))&lt;=90,CODE(MID(TRIM(UPPER(W113)),3,1))&gt;=65,CODE(MID(TRIM(UPPER(W113)),3,1))&lt;=90,CODE(MID(TRIM(UPPER(W113)),4,1))&gt;=65,CODE(MID(TRIM(UPPER(W113)),4,1))&lt;=90,CODE(MID(TRIM(UPPER(W113)),5,1))&gt;=65,CODE(MID(TRIM(UPPER(W113)),5,1))&lt;=90,CODE(MID(TRIM(UPPER(W113)),10,1))&gt;=65,CODE(MID(TRIM(UPPER(W113)),10,1))&lt;=90,CODE(MID(TRIM(UPPER(W113)),6,1))&gt;=48,CODE(MID(TRIM(UPPER(W113)),6,1))&lt;=57,CODE(MID(TRIM(UPPER(W113)),7,1))&gt;=48,CODE(MID(TRIM(UPPER(W113)),7,1))&lt;=57,CODE(MID(TRIM(UPPER(W113)),8,1))&gt;=48,CODE(MID(TRIM(UPPER(W113)),8,1))&lt;=57,CODE(MID(TRIM(UPPER(W113)),9,1))&gt;=48,CODE(MID(TRIM(UPPER(W113)),9,1))&lt;=57),"N","Y"),IF($B113="Challan","",IF(W113&lt;&gt;"","◄ Set Row Type","")))</f>
      </c>
      <c r="Y113" s="23">
        <f>IF($B113="Entry",IF(LEN(W113)&lt;4,"",IF(UPPER(MID(W113,4,1))="P","Individual",IF(UPPER(MID(W113,4,1))="H","HUF",IF(UPPER(MID(W113,4,1))="C","Company",IF(UPPER(MID(W113,4,1))="F","Firm",IF(UPPER(MID(W113,4,1))="L","LLP",IF(UPPER(MID(W113,4,1))="T","Trust",IF(UPPER(MID(W113,4,1))="A","AOP","")))))))),IF($B113="Challan","",IF(W113&lt;&gt;"","◄ Set Row Type","")))</f>
      </c>
      <c r="Z113" s="28"/>
      <c r="AA113" s="29">
        <f>IF($B113&lt;&gt;"Entry","",IF(Z113="","",IF(X113="Y",SUMPRODUCT(('Rate Lookup'!$A$1:$A$37=Z113)*'Rate Lookup'!$D$1:$D$37),IF(OR(Y113="Individual",Y113="HUF"),SUMPRODUCT(('Rate Lookup'!$A$1:$A$37=Z113)*'Rate Lookup'!$B$1:$B$37),SUMPRODUCT(('Rate Lookup'!$A$1:$A$37=Z113)*'Rate Lookup'!$C$1:$C$37)))))</f>
      </c>
      <c r="AB113" s="30"/>
      <c r="AC113" s="31"/>
      <c r="AD113" s="27">
        <f>IF($B113&lt;&gt;"Entry","",ROUND(AC113*AA113/100,0))</f>
      </c>
      <c r="AE113" s="27">
        <f>IF($B113&lt;&gt;"Entry","",0)</f>
      </c>
      <c r="AF113" s="27">
        <f>IF($B113&lt;&gt;"Entry","",0)</f>
      </c>
      <c r="AG113" s="27">
        <f>IF($B113&lt;&gt;"Entry","",IF(OR(AD113=0,AB113="",AQ113="",AQ113&lt;=0),0,IF(AQ113&lt;=DATE(YEAR(AB113),MONTH(AB113)+1,7),0,ROUND(AD113*0.015*((YEAR(AQ113)-YEAR(AB113))*12+(MONTH(AQ113)-MONTH(AB113))+1),0))))</f>
      </c>
      <c r="AH113" s="27">
        <f>IF($B113&lt;&gt;"Entry","",0)</f>
      </c>
      <c r="AI113" s="28"/>
      <c r="AJ113" s="28"/>
      <c r="AK113" s="32"/>
      <c r="AL113" s="28"/>
      <c r="AM113" s="28"/>
      <c r="AN113" s="27">
        <f>IF($B113&lt;&gt;"Challan","",SUMIF('Q1 Data'!$D$4:$D$207,D113,'Q1 Data'!$AD$4:$AD$207)+SUMIF('Q1 Data'!$D$4:$D$207,D113,'Q1 Data'!$AG$4:$AG$207)+SUMIF('Q1 Data'!$D$4:$D$207,D113,'Q1 Data'!$AE$4:$AE$207)+SUMIF('Q2 Data'!$D$4:$D$207,D113,'Q2 Data'!$AD$4:$AD$207)+SUMIF('Q2 Data'!$D$4:$D$207,D113,'Q2 Data'!$AG$4:$AG$207)+SUMIF('Q2 Data'!$D$4:$D$207,D113,'Q2 Data'!$AE$4:$AE$207)+SUMIF('Q3 Data'!$D$4:$D$207,D113,'Q3 Data'!$AD$4:$AD$207)+SUMIF('Q3 Data'!$D$4:$D$207,D113,'Q3 Data'!$AG$4:$AG$207)+SUMIF('Q3 Data'!$D$4:$D$207,D113,'Q3 Data'!$AE$4:$AE$207)+SUMIF('Q4 Data'!$D$4:$D$207,D113,'Q4 Data'!$AD$4:$AD$207)+SUMIF('Q4 Data'!$D$4:$D$207,D113,'Q4 Data'!$AG$4:$AG$207)+SUMIF('Q4 Data'!$D$4:$D$207,D113,'Q4 Data'!$AE$4:$AE$207))</f>
      </c>
      <c r="AO113" s="27">
        <f>IF($B113&lt;&gt;"Challan","",P113-N113)</f>
      </c>
      <c r="AP113" s="27">
        <f>IF($B113&lt;&gt;"Challan","",MAX(0,AO113-AN113))</f>
      </c>
      <c r="AQ113" s="33">
        <f>IF($B113&lt;&gt;"Entry","",SUMPRODUCT(('Q1 Data'!$D$4:$D$207=D113)*('Q1 Data'!$B$4:$B$207="Challan")*'Q1 Data'!$F$4:$F$207)+SUMPRODUCT(('Q2 Data'!$D$4:$D$207=D113)*('Q2 Data'!$B$4:$B$207="Challan")*'Q2 Data'!$F$4:$F$207)+SUMPRODUCT(('Q3 Data'!$D$4:$D$207=D113)*('Q3 Data'!$B$4:$B$207="Challan")*'Q3 Data'!$F$4:$F$207)+SUMPRODUCT(('Q4 Data'!$D$4:$D$207=D113)*('Q4 Data'!$B$4:$B$207="Challan")*'Q4 Data'!$F$4:$F$207))</f>
      </c>
      <c r="AR113" s="34">
        <f>IF(OR($B113&lt;&gt;"Entry",Z113=""),FALSE,AND((SUMPRODUCT(('Q1 Data'!$D$4:$D$207=D113)*('Q1 Data'!$B$4:$B$207="Challan")*('Q1 Data'!$H$4:$H$207&lt;&gt;""))+SUMPRODUCT(('Q2 Data'!$D$4:$D$207=D113)*('Q2 Data'!$B$4:$B$207="Challan")*('Q2 Data'!$H$4:$H$207&lt;&gt;""))+SUMPRODUCT(('Q3 Data'!$D$4:$D$207=D113)*('Q3 Data'!$B$4:$B$207="Challan")*('Q3 Data'!$H$4:$H$207&lt;&gt;""))+SUMPRODUCT(('Q4 Data'!$D$4:$D$207=D113)*('Q4 Data'!$B$4:$B$207="Challan")*('Q4 Data'!$H$4:$H$207&lt;&gt;"")))&gt;0,(SUMPRODUCT(('Q1 Data'!$D$4:$D$207=D113)*('Q1 Data'!$B$4:$B$207="Challan")*('Q1 Data'!$H$4:$H$207=Z113))+SUMPRODUCT(('Q2 Data'!$D$4:$D$207=D113)*('Q2 Data'!$B$4:$B$207="Challan")*('Q2 Data'!$H$4:$H$207=Z113))+SUMPRODUCT(('Q3 Data'!$D$4:$D$207=D113)*('Q3 Data'!$B$4:$B$207="Challan")*('Q3 Data'!$H$4:$H$207=Z113))+SUMPRODUCT(('Q4 Data'!$D$4:$D$207=D113)*('Q4 Data'!$B$4:$B$207="Challan")*('Q4 Data'!$H$4:$H$207=Z113)))=0))</f>
      </c>
    </row>
    <row r="114" spans="1:44" x14ac:dyDescent="0.25">
      <c r="A114" s="20">
        <f>IF($B114="Entry",COUNTIF($B$4:$B114,"Entry"),"")</f>
      </c>
      <c r="B114" s="21"/>
      <c r="C114" s="22"/>
      <c r="D114" s="22"/>
      <c r="E114" s="23">
        <f>IF($B114&lt;&gt;"Challan","",IF(ROUND(AN114-AO114,2)&gt;0,"Over-applied",IF(ROUND(AN114-AO114,2)=0,"Fully Utilised","Unconsumed")))</f>
      </c>
      <c r="F114" s="24"/>
      <c r="G114" s="25"/>
      <c r="H114" s="25"/>
      <c r="I114" s="26"/>
      <c r="J114" s="26"/>
      <c r="K114" s="26"/>
      <c r="L114" s="26"/>
      <c r="M114" s="26"/>
      <c r="N114" s="26"/>
      <c r="O114" s="26"/>
      <c r="P114" s="27">
        <f>IF($B114&lt;&gt;"Challan","",I114+J114+K114+L114+M114+N114)</f>
      </c>
      <c r="Q114" s="25"/>
      <c r="R114" s="25"/>
      <c r="S114" s="25"/>
      <c r="T114" s="25"/>
      <c r="U114" s="25"/>
      <c r="V114" s="28"/>
      <c r="W114" s="28"/>
      <c r="X114" s="23">
        <f>IF($B114="Entry",IF(AND(LEN(TRIM(UPPER(W114)))=10,CODE(MID(TRIM(UPPER(W114)),1,1))&gt;=65,CODE(MID(TRIM(UPPER(W114)),1,1))&lt;=90,CODE(MID(TRIM(UPPER(W114)),2,1))&gt;=65,CODE(MID(TRIM(UPPER(W114)),2,1))&lt;=90,CODE(MID(TRIM(UPPER(W114)),3,1))&gt;=65,CODE(MID(TRIM(UPPER(W114)),3,1))&lt;=90,CODE(MID(TRIM(UPPER(W114)),4,1))&gt;=65,CODE(MID(TRIM(UPPER(W114)),4,1))&lt;=90,CODE(MID(TRIM(UPPER(W114)),5,1))&gt;=65,CODE(MID(TRIM(UPPER(W114)),5,1))&lt;=90,CODE(MID(TRIM(UPPER(W114)),10,1))&gt;=65,CODE(MID(TRIM(UPPER(W114)),10,1))&lt;=90,CODE(MID(TRIM(UPPER(W114)),6,1))&gt;=48,CODE(MID(TRIM(UPPER(W114)),6,1))&lt;=57,CODE(MID(TRIM(UPPER(W114)),7,1))&gt;=48,CODE(MID(TRIM(UPPER(W114)),7,1))&lt;=57,CODE(MID(TRIM(UPPER(W114)),8,1))&gt;=48,CODE(MID(TRIM(UPPER(W114)),8,1))&lt;=57,CODE(MID(TRIM(UPPER(W114)),9,1))&gt;=48,CODE(MID(TRIM(UPPER(W114)),9,1))&lt;=57),"N","Y"),IF($B114="Challan","",IF(W114&lt;&gt;"","◄ Set Row Type","")))</f>
      </c>
      <c r="Y114" s="23">
        <f>IF($B114="Entry",IF(LEN(W114)&lt;4,"",IF(UPPER(MID(W114,4,1))="P","Individual",IF(UPPER(MID(W114,4,1))="H","HUF",IF(UPPER(MID(W114,4,1))="C","Company",IF(UPPER(MID(W114,4,1))="F","Firm",IF(UPPER(MID(W114,4,1))="L","LLP",IF(UPPER(MID(W114,4,1))="T","Trust",IF(UPPER(MID(W114,4,1))="A","AOP","")))))))),IF($B114="Challan","",IF(W114&lt;&gt;"","◄ Set Row Type","")))</f>
      </c>
      <c r="Z114" s="28"/>
      <c r="AA114" s="29">
        <f>IF($B114&lt;&gt;"Entry","",IF(Z114="","",IF(X114="Y",SUMPRODUCT(('Rate Lookup'!$A$1:$A$37=Z114)*'Rate Lookup'!$D$1:$D$37),IF(OR(Y114="Individual",Y114="HUF"),SUMPRODUCT(('Rate Lookup'!$A$1:$A$37=Z114)*'Rate Lookup'!$B$1:$B$37),SUMPRODUCT(('Rate Lookup'!$A$1:$A$37=Z114)*'Rate Lookup'!$C$1:$C$37)))))</f>
      </c>
      <c r="AB114" s="30"/>
      <c r="AC114" s="31"/>
      <c r="AD114" s="27">
        <f>IF($B114&lt;&gt;"Entry","",ROUND(AC114*AA114/100,0))</f>
      </c>
      <c r="AE114" s="27">
        <f>IF($B114&lt;&gt;"Entry","",0)</f>
      </c>
      <c r="AF114" s="27">
        <f>IF($B114&lt;&gt;"Entry","",0)</f>
      </c>
      <c r="AG114" s="27">
        <f>IF($B114&lt;&gt;"Entry","",IF(OR(AD114=0,AB114="",AQ114="",AQ114&lt;=0),0,IF(AQ114&lt;=DATE(YEAR(AB114),MONTH(AB114)+1,7),0,ROUND(AD114*0.015*((YEAR(AQ114)-YEAR(AB114))*12+(MONTH(AQ114)-MONTH(AB114))+1),0))))</f>
      </c>
      <c r="AH114" s="27">
        <f>IF($B114&lt;&gt;"Entry","",0)</f>
      </c>
      <c r="AI114" s="28"/>
      <c r="AJ114" s="28"/>
      <c r="AK114" s="32"/>
      <c r="AL114" s="28"/>
      <c r="AM114" s="28"/>
      <c r="AN114" s="27">
        <f>IF($B114&lt;&gt;"Challan","",SUMIF('Q1 Data'!$D$4:$D$207,D114,'Q1 Data'!$AD$4:$AD$207)+SUMIF('Q1 Data'!$D$4:$D$207,D114,'Q1 Data'!$AG$4:$AG$207)+SUMIF('Q1 Data'!$D$4:$D$207,D114,'Q1 Data'!$AE$4:$AE$207)+SUMIF('Q2 Data'!$D$4:$D$207,D114,'Q2 Data'!$AD$4:$AD$207)+SUMIF('Q2 Data'!$D$4:$D$207,D114,'Q2 Data'!$AG$4:$AG$207)+SUMIF('Q2 Data'!$D$4:$D$207,D114,'Q2 Data'!$AE$4:$AE$207)+SUMIF('Q3 Data'!$D$4:$D$207,D114,'Q3 Data'!$AD$4:$AD$207)+SUMIF('Q3 Data'!$D$4:$D$207,D114,'Q3 Data'!$AG$4:$AG$207)+SUMIF('Q3 Data'!$D$4:$D$207,D114,'Q3 Data'!$AE$4:$AE$207)+SUMIF('Q4 Data'!$D$4:$D$207,D114,'Q4 Data'!$AD$4:$AD$207)+SUMIF('Q4 Data'!$D$4:$D$207,D114,'Q4 Data'!$AG$4:$AG$207)+SUMIF('Q4 Data'!$D$4:$D$207,D114,'Q4 Data'!$AE$4:$AE$207))</f>
      </c>
      <c r="AO114" s="27">
        <f>IF($B114&lt;&gt;"Challan","",P114-N114)</f>
      </c>
      <c r="AP114" s="27">
        <f>IF($B114&lt;&gt;"Challan","",MAX(0,AO114-AN114))</f>
      </c>
      <c r="AQ114" s="33">
        <f>IF($B114&lt;&gt;"Entry","",SUMPRODUCT(('Q1 Data'!$D$4:$D$207=D114)*('Q1 Data'!$B$4:$B$207="Challan")*'Q1 Data'!$F$4:$F$207)+SUMPRODUCT(('Q2 Data'!$D$4:$D$207=D114)*('Q2 Data'!$B$4:$B$207="Challan")*'Q2 Data'!$F$4:$F$207)+SUMPRODUCT(('Q3 Data'!$D$4:$D$207=D114)*('Q3 Data'!$B$4:$B$207="Challan")*'Q3 Data'!$F$4:$F$207)+SUMPRODUCT(('Q4 Data'!$D$4:$D$207=D114)*('Q4 Data'!$B$4:$B$207="Challan")*'Q4 Data'!$F$4:$F$207))</f>
      </c>
      <c r="AR114" s="34">
        <f>IF(OR($B114&lt;&gt;"Entry",Z114=""),FALSE,AND((SUMPRODUCT(('Q1 Data'!$D$4:$D$207=D114)*('Q1 Data'!$B$4:$B$207="Challan")*('Q1 Data'!$H$4:$H$207&lt;&gt;""))+SUMPRODUCT(('Q2 Data'!$D$4:$D$207=D114)*('Q2 Data'!$B$4:$B$207="Challan")*('Q2 Data'!$H$4:$H$207&lt;&gt;""))+SUMPRODUCT(('Q3 Data'!$D$4:$D$207=D114)*('Q3 Data'!$B$4:$B$207="Challan")*('Q3 Data'!$H$4:$H$207&lt;&gt;""))+SUMPRODUCT(('Q4 Data'!$D$4:$D$207=D114)*('Q4 Data'!$B$4:$B$207="Challan")*('Q4 Data'!$H$4:$H$207&lt;&gt;"")))&gt;0,(SUMPRODUCT(('Q1 Data'!$D$4:$D$207=D114)*('Q1 Data'!$B$4:$B$207="Challan")*('Q1 Data'!$H$4:$H$207=Z114))+SUMPRODUCT(('Q2 Data'!$D$4:$D$207=D114)*('Q2 Data'!$B$4:$B$207="Challan")*('Q2 Data'!$H$4:$H$207=Z114))+SUMPRODUCT(('Q3 Data'!$D$4:$D$207=D114)*('Q3 Data'!$B$4:$B$207="Challan")*('Q3 Data'!$H$4:$H$207=Z114))+SUMPRODUCT(('Q4 Data'!$D$4:$D$207=D114)*('Q4 Data'!$B$4:$B$207="Challan")*('Q4 Data'!$H$4:$H$207=Z114)))=0))</f>
      </c>
    </row>
    <row r="115" spans="1:44" x14ac:dyDescent="0.25">
      <c r="A115" s="20">
        <f>IF($B115="Entry",COUNTIF($B$4:$B115,"Entry"),"")</f>
      </c>
      <c r="B115" s="21"/>
      <c r="C115" s="22"/>
      <c r="D115" s="22"/>
      <c r="E115" s="23">
        <f>IF($B115&lt;&gt;"Challan","",IF(ROUND(AN115-AO115,2)&gt;0,"Over-applied",IF(ROUND(AN115-AO115,2)=0,"Fully Utilised","Unconsumed")))</f>
      </c>
      <c r="F115" s="24"/>
      <c r="G115" s="25"/>
      <c r="H115" s="25"/>
      <c r="I115" s="26"/>
      <c r="J115" s="26"/>
      <c r="K115" s="26"/>
      <c r="L115" s="26"/>
      <c r="M115" s="26"/>
      <c r="N115" s="26"/>
      <c r="O115" s="26"/>
      <c r="P115" s="27">
        <f>IF($B115&lt;&gt;"Challan","",I115+J115+K115+L115+M115+N115)</f>
      </c>
      <c r="Q115" s="25"/>
      <c r="R115" s="25"/>
      <c r="S115" s="25"/>
      <c r="T115" s="25"/>
      <c r="U115" s="25"/>
      <c r="V115" s="28"/>
      <c r="W115" s="28"/>
      <c r="X115" s="23">
        <f>IF($B115="Entry",IF(AND(LEN(TRIM(UPPER(W115)))=10,CODE(MID(TRIM(UPPER(W115)),1,1))&gt;=65,CODE(MID(TRIM(UPPER(W115)),1,1))&lt;=90,CODE(MID(TRIM(UPPER(W115)),2,1))&gt;=65,CODE(MID(TRIM(UPPER(W115)),2,1))&lt;=90,CODE(MID(TRIM(UPPER(W115)),3,1))&gt;=65,CODE(MID(TRIM(UPPER(W115)),3,1))&lt;=90,CODE(MID(TRIM(UPPER(W115)),4,1))&gt;=65,CODE(MID(TRIM(UPPER(W115)),4,1))&lt;=90,CODE(MID(TRIM(UPPER(W115)),5,1))&gt;=65,CODE(MID(TRIM(UPPER(W115)),5,1))&lt;=90,CODE(MID(TRIM(UPPER(W115)),10,1))&gt;=65,CODE(MID(TRIM(UPPER(W115)),10,1))&lt;=90,CODE(MID(TRIM(UPPER(W115)),6,1))&gt;=48,CODE(MID(TRIM(UPPER(W115)),6,1))&lt;=57,CODE(MID(TRIM(UPPER(W115)),7,1))&gt;=48,CODE(MID(TRIM(UPPER(W115)),7,1))&lt;=57,CODE(MID(TRIM(UPPER(W115)),8,1))&gt;=48,CODE(MID(TRIM(UPPER(W115)),8,1))&lt;=57,CODE(MID(TRIM(UPPER(W115)),9,1))&gt;=48,CODE(MID(TRIM(UPPER(W115)),9,1))&lt;=57),"N","Y"),IF($B115="Challan","",IF(W115&lt;&gt;"","◄ Set Row Type","")))</f>
      </c>
      <c r="Y115" s="23">
        <f>IF($B115="Entry",IF(LEN(W115)&lt;4,"",IF(UPPER(MID(W115,4,1))="P","Individual",IF(UPPER(MID(W115,4,1))="H","HUF",IF(UPPER(MID(W115,4,1))="C","Company",IF(UPPER(MID(W115,4,1))="F","Firm",IF(UPPER(MID(W115,4,1))="L","LLP",IF(UPPER(MID(W115,4,1))="T","Trust",IF(UPPER(MID(W115,4,1))="A","AOP","")))))))),IF($B115="Challan","",IF(W115&lt;&gt;"","◄ Set Row Type","")))</f>
      </c>
      <c r="Z115" s="28"/>
      <c r="AA115" s="29">
        <f>IF($B115&lt;&gt;"Entry","",IF(Z115="","",IF(X115="Y",SUMPRODUCT(('Rate Lookup'!$A$1:$A$37=Z115)*'Rate Lookup'!$D$1:$D$37),IF(OR(Y115="Individual",Y115="HUF"),SUMPRODUCT(('Rate Lookup'!$A$1:$A$37=Z115)*'Rate Lookup'!$B$1:$B$37),SUMPRODUCT(('Rate Lookup'!$A$1:$A$37=Z115)*'Rate Lookup'!$C$1:$C$37)))))</f>
      </c>
      <c r="AB115" s="30"/>
      <c r="AC115" s="31"/>
      <c r="AD115" s="27">
        <f>IF($B115&lt;&gt;"Entry","",ROUND(AC115*AA115/100,0))</f>
      </c>
      <c r="AE115" s="27">
        <f>IF($B115&lt;&gt;"Entry","",0)</f>
      </c>
      <c r="AF115" s="27">
        <f>IF($B115&lt;&gt;"Entry","",0)</f>
      </c>
      <c r="AG115" s="27">
        <f>IF($B115&lt;&gt;"Entry","",IF(OR(AD115=0,AB115="",AQ115="",AQ115&lt;=0),0,IF(AQ115&lt;=DATE(YEAR(AB115),MONTH(AB115)+1,7),0,ROUND(AD115*0.015*((YEAR(AQ115)-YEAR(AB115))*12+(MONTH(AQ115)-MONTH(AB115))+1),0))))</f>
      </c>
      <c r="AH115" s="27">
        <f>IF($B115&lt;&gt;"Entry","",0)</f>
      </c>
      <c r="AI115" s="28"/>
      <c r="AJ115" s="28"/>
      <c r="AK115" s="32"/>
      <c r="AL115" s="28"/>
      <c r="AM115" s="28"/>
      <c r="AN115" s="27">
        <f>IF($B115&lt;&gt;"Challan","",SUMIF('Q1 Data'!$D$4:$D$207,D115,'Q1 Data'!$AD$4:$AD$207)+SUMIF('Q1 Data'!$D$4:$D$207,D115,'Q1 Data'!$AG$4:$AG$207)+SUMIF('Q1 Data'!$D$4:$D$207,D115,'Q1 Data'!$AE$4:$AE$207)+SUMIF('Q2 Data'!$D$4:$D$207,D115,'Q2 Data'!$AD$4:$AD$207)+SUMIF('Q2 Data'!$D$4:$D$207,D115,'Q2 Data'!$AG$4:$AG$207)+SUMIF('Q2 Data'!$D$4:$D$207,D115,'Q2 Data'!$AE$4:$AE$207)+SUMIF('Q3 Data'!$D$4:$D$207,D115,'Q3 Data'!$AD$4:$AD$207)+SUMIF('Q3 Data'!$D$4:$D$207,D115,'Q3 Data'!$AG$4:$AG$207)+SUMIF('Q3 Data'!$D$4:$D$207,D115,'Q3 Data'!$AE$4:$AE$207)+SUMIF('Q4 Data'!$D$4:$D$207,D115,'Q4 Data'!$AD$4:$AD$207)+SUMIF('Q4 Data'!$D$4:$D$207,D115,'Q4 Data'!$AG$4:$AG$207)+SUMIF('Q4 Data'!$D$4:$D$207,D115,'Q4 Data'!$AE$4:$AE$207))</f>
      </c>
      <c r="AO115" s="27">
        <f>IF($B115&lt;&gt;"Challan","",P115-N115)</f>
      </c>
      <c r="AP115" s="27">
        <f>IF($B115&lt;&gt;"Challan","",MAX(0,AO115-AN115))</f>
      </c>
      <c r="AQ115" s="33">
        <f>IF($B115&lt;&gt;"Entry","",SUMPRODUCT(('Q1 Data'!$D$4:$D$207=D115)*('Q1 Data'!$B$4:$B$207="Challan")*'Q1 Data'!$F$4:$F$207)+SUMPRODUCT(('Q2 Data'!$D$4:$D$207=D115)*('Q2 Data'!$B$4:$B$207="Challan")*'Q2 Data'!$F$4:$F$207)+SUMPRODUCT(('Q3 Data'!$D$4:$D$207=D115)*('Q3 Data'!$B$4:$B$207="Challan")*'Q3 Data'!$F$4:$F$207)+SUMPRODUCT(('Q4 Data'!$D$4:$D$207=D115)*('Q4 Data'!$B$4:$B$207="Challan")*'Q4 Data'!$F$4:$F$207))</f>
      </c>
      <c r="AR115" s="34">
        <f>IF(OR($B115&lt;&gt;"Entry",Z115=""),FALSE,AND((SUMPRODUCT(('Q1 Data'!$D$4:$D$207=D115)*('Q1 Data'!$B$4:$B$207="Challan")*('Q1 Data'!$H$4:$H$207&lt;&gt;""))+SUMPRODUCT(('Q2 Data'!$D$4:$D$207=D115)*('Q2 Data'!$B$4:$B$207="Challan")*('Q2 Data'!$H$4:$H$207&lt;&gt;""))+SUMPRODUCT(('Q3 Data'!$D$4:$D$207=D115)*('Q3 Data'!$B$4:$B$207="Challan")*('Q3 Data'!$H$4:$H$207&lt;&gt;""))+SUMPRODUCT(('Q4 Data'!$D$4:$D$207=D115)*('Q4 Data'!$B$4:$B$207="Challan")*('Q4 Data'!$H$4:$H$207&lt;&gt;"")))&gt;0,(SUMPRODUCT(('Q1 Data'!$D$4:$D$207=D115)*('Q1 Data'!$B$4:$B$207="Challan")*('Q1 Data'!$H$4:$H$207=Z115))+SUMPRODUCT(('Q2 Data'!$D$4:$D$207=D115)*('Q2 Data'!$B$4:$B$207="Challan")*('Q2 Data'!$H$4:$H$207=Z115))+SUMPRODUCT(('Q3 Data'!$D$4:$D$207=D115)*('Q3 Data'!$B$4:$B$207="Challan")*('Q3 Data'!$H$4:$H$207=Z115))+SUMPRODUCT(('Q4 Data'!$D$4:$D$207=D115)*('Q4 Data'!$B$4:$B$207="Challan")*('Q4 Data'!$H$4:$H$207=Z115)))=0))</f>
      </c>
    </row>
    <row r="116" spans="1:44" x14ac:dyDescent="0.25">
      <c r="A116" s="20">
        <f>IF($B116="Entry",COUNTIF($B$4:$B116,"Entry"),"")</f>
      </c>
      <c r="B116" s="21"/>
      <c r="C116" s="22"/>
      <c r="D116" s="22"/>
      <c r="E116" s="23">
        <f>IF($B116&lt;&gt;"Challan","",IF(ROUND(AN116-AO116,2)&gt;0,"Over-applied",IF(ROUND(AN116-AO116,2)=0,"Fully Utilised","Unconsumed")))</f>
      </c>
      <c r="F116" s="24"/>
      <c r="G116" s="25"/>
      <c r="H116" s="25"/>
      <c r="I116" s="26"/>
      <c r="J116" s="26"/>
      <c r="K116" s="26"/>
      <c r="L116" s="26"/>
      <c r="M116" s="26"/>
      <c r="N116" s="26"/>
      <c r="O116" s="26"/>
      <c r="P116" s="27">
        <f>IF($B116&lt;&gt;"Challan","",I116+J116+K116+L116+M116+N116)</f>
      </c>
      <c r="Q116" s="25"/>
      <c r="R116" s="25"/>
      <c r="S116" s="25"/>
      <c r="T116" s="25"/>
      <c r="U116" s="25"/>
      <c r="V116" s="28"/>
      <c r="W116" s="28"/>
      <c r="X116" s="23">
        <f>IF($B116="Entry",IF(AND(LEN(TRIM(UPPER(W116)))=10,CODE(MID(TRIM(UPPER(W116)),1,1))&gt;=65,CODE(MID(TRIM(UPPER(W116)),1,1))&lt;=90,CODE(MID(TRIM(UPPER(W116)),2,1))&gt;=65,CODE(MID(TRIM(UPPER(W116)),2,1))&lt;=90,CODE(MID(TRIM(UPPER(W116)),3,1))&gt;=65,CODE(MID(TRIM(UPPER(W116)),3,1))&lt;=90,CODE(MID(TRIM(UPPER(W116)),4,1))&gt;=65,CODE(MID(TRIM(UPPER(W116)),4,1))&lt;=90,CODE(MID(TRIM(UPPER(W116)),5,1))&gt;=65,CODE(MID(TRIM(UPPER(W116)),5,1))&lt;=90,CODE(MID(TRIM(UPPER(W116)),10,1))&gt;=65,CODE(MID(TRIM(UPPER(W116)),10,1))&lt;=90,CODE(MID(TRIM(UPPER(W116)),6,1))&gt;=48,CODE(MID(TRIM(UPPER(W116)),6,1))&lt;=57,CODE(MID(TRIM(UPPER(W116)),7,1))&gt;=48,CODE(MID(TRIM(UPPER(W116)),7,1))&lt;=57,CODE(MID(TRIM(UPPER(W116)),8,1))&gt;=48,CODE(MID(TRIM(UPPER(W116)),8,1))&lt;=57,CODE(MID(TRIM(UPPER(W116)),9,1))&gt;=48,CODE(MID(TRIM(UPPER(W116)),9,1))&lt;=57),"N","Y"),IF($B116="Challan","",IF(W116&lt;&gt;"","◄ Set Row Type","")))</f>
      </c>
      <c r="Y116" s="23">
        <f>IF($B116="Entry",IF(LEN(W116)&lt;4,"",IF(UPPER(MID(W116,4,1))="P","Individual",IF(UPPER(MID(W116,4,1))="H","HUF",IF(UPPER(MID(W116,4,1))="C","Company",IF(UPPER(MID(W116,4,1))="F","Firm",IF(UPPER(MID(W116,4,1))="L","LLP",IF(UPPER(MID(W116,4,1))="T","Trust",IF(UPPER(MID(W116,4,1))="A","AOP","")))))))),IF($B116="Challan","",IF(W116&lt;&gt;"","◄ Set Row Type","")))</f>
      </c>
      <c r="Z116" s="28"/>
      <c r="AA116" s="29">
        <f>IF($B116&lt;&gt;"Entry","",IF(Z116="","",IF(X116="Y",SUMPRODUCT(('Rate Lookup'!$A$1:$A$37=Z116)*'Rate Lookup'!$D$1:$D$37),IF(OR(Y116="Individual",Y116="HUF"),SUMPRODUCT(('Rate Lookup'!$A$1:$A$37=Z116)*'Rate Lookup'!$B$1:$B$37),SUMPRODUCT(('Rate Lookup'!$A$1:$A$37=Z116)*'Rate Lookup'!$C$1:$C$37)))))</f>
      </c>
      <c r="AB116" s="30"/>
      <c r="AC116" s="31"/>
      <c r="AD116" s="27">
        <f>IF($B116&lt;&gt;"Entry","",ROUND(AC116*AA116/100,0))</f>
      </c>
      <c r="AE116" s="27">
        <f>IF($B116&lt;&gt;"Entry","",0)</f>
      </c>
      <c r="AF116" s="27">
        <f>IF($B116&lt;&gt;"Entry","",0)</f>
      </c>
      <c r="AG116" s="27">
        <f>IF($B116&lt;&gt;"Entry","",IF(OR(AD116=0,AB116="",AQ116="",AQ116&lt;=0),0,IF(AQ116&lt;=DATE(YEAR(AB116),MONTH(AB116)+1,7),0,ROUND(AD116*0.015*((YEAR(AQ116)-YEAR(AB116))*12+(MONTH(AQ116)-MONTH(AB116))+1),0))))</f>
      </c>
      <c r="AH116" s="27">
        <f>IF($B116&lt;&gt;"Entry","",0)</f>
      </c>
      <c r="AI116" s="28"/>
      <c r="AJ116" s="28"/>
      <c r="AK116" s="32"/>
      <c r="AL116" s="28"/>
      <c r="AM116" s="28"/>
      <c r="AN116" s="27">
        <f>IF($B116&lt;&gt;"Challan","",SUMIF('Q1 Data'!$D$4:$D$207,D116,'Q1 Data'!$AD$4:$AD$207)+SUMIF('Q1 Data'!$D$4:$D$207,D116,'Q1 Data'!$AG$4:$AG$207)+SUMIF('Q1 Data'!$D$4:$D$207,D116,'Q1 Data'!$AE$4:$AE$207)+SUMIF('Q2 Data'!$D$4:$D$207,D116,'Q2 Data'!$AD$4:$AD$207)+SUMIF('Q2 Data'!$D$4:$D$207,D116,'Q2 Data'!$AG$4:$AG$207)+SUMIF('Q2 Data'!$D$4:$D$207,D116,'Q2 Data'!$AE$4:$AE$207)+SUMIF('Q3 Data'!$D$4:$D$207,D116,'Q3 Data'!$AD$4:$AD$207)+SUMIF('Q3 Data'!$D$4:$D$207,D116,'Q3 Data'!$AG$4:$AG$207)+SUMIF('Q3 Data'!$D$4:$D$207,D116,'Q3 Data'!$AE$4:$AE$207)+SUMIF('Q4 Data'!$D$4:$D$207,D116,'Q4 Data'!$AD$4:$AD$207)+SUMIF('Q4 Data'!$D$4:$D$207,D116,'Q4 Data'!$AG$4:$AG$207)+SUMIF('Q4 Data'!$D$4:$D$207,D116,'Q4 Data'!$AE$4:$AE$207))</f>
      </c>
      <c r="AO116" s="27">
        <f>IF($B116&lt;&gt;"Challan","",P116-N116)</f>
      </c>
      <c r="AP116" s="27">
        <f>IF($B116&lt;&gt;"Challan","",MAX(0,AO116-AN116))</f>
      </c>
      <c r="AQ116" s="33">
        <f>IF($B116&lt;&gt;"Entry","",SUMPRODUCT(('Q1 Data'!$D$4:$D$207=D116)*('Q1 Data'!$B$4:$B$207="Challan")*'Q1 Data'!$F$4:$F$207)+SUMPRODUCT(('Q2 Data'!$D$4:$D$207=D116)*('Q2 Data'!$B$4:$B$207="Challan")*'Q2 Data'!$F$4:$F$207)+SUMPRODUCT(('Q3 Data'!$D$4:$D$207=D116)*('Q3 Data'!$B$4:$B$207="Challan")*'Q3 Data'!$F$4:$F$207)+SUMPRODUCT(('Q4 Data'!$D$4:$D$207=D116)*('Q4 Data'!$B$4:$B$207="Challan")*'Q4 Data'!$F$4:$F$207))</f>
      </c>
      <c r="AR116" s="34">
        <f>IF(OR($B116&lt;&gt;"Entry",Z116=""),FALSE,AND((SUMPRODUCT(('Q1 Data'!$D$4:$D$207=D116)*('Q1 Data'!$B$4:$B$207="Challan")*('Q1 Data'!$H$4:$H$207&lt;&gt;""))+SUMPRODUCT(('Q2 Data'!$D$4:$D$207=D116)*('Q2 Data'!$B$4:$B$207="Challan")*('Q2 Data'!$H$4:$H$207&lt;&gt;""))+SUMPRODUCT(('Q3 Data'!$D$4:$D$207=D116)*('Q3 Data'!$B$4:$B$207="Challan")*('Q3 Data'!$H$4:$H$207&lt;&gt;""))+SUMPRODUCT(('Q4 Data'!$D$4:$D$207=D116)*('Q4 Data'!$B$4:$B$207="Challan")*('Q4 Data'!$H$4:$H$207&lt;&gt;"")))&gt;0,(SUMPRODUCT(('Q1 Data'!$D$4:$D$207=D116)*('Q1 Data'!$B$4:$B$207="Challan")*('Q1 Data'!$H$4:$H$207=Z116))+SUMPRODUCT(('Q2 Data'!$D$4:$D$207=D116)*('Q2 Data'!$B$4:$B$207="Challan")*('Q2 Data'!$H$4:$H$207=Z116))+SUMPRODUCT(('Q3 Data'!$D$4:$D$207=D116)*('Q3 Data'!$B$4:$B$207="Challan")*('Q3 Data'!$H$4:$H$207=Z116))+SUMPRODUCT(('Q4 Data'!$D$4:$D$207=D116)*('Q4 Data'!$B$4:$B$207="Challan")*('Q4 Data'!$H$4:$H$207=Z116)))=0))</f>
      </c>
    </row>
    <row r="117" spans="1:44" x14ac:dyDescent="0.25">
      <c r="A117" s="20">
        <f>IF($B117="Entry",COUNTIF($B$4:$B117,"Entry"),"")</f>
      </c>
      <c r="B117" s="21"/>
      <c r="C117" s="22"/>
      <c r="D117" s="22"/>
      <c r="E117" s="23">
        <f>IF($B117&lt;&gt;"Challan","",IF(ROUND(AN117-AO117,2)&gt;0,"Over-applied",IF(ROUND(AN117-AO117,2)=0,"Fully Utilised","Unconsumed")))</f>
      </c>
      <c r="F117" s="24"/>
      <c r="G117" s="25"/>
      <c r="H117" s="25"/>
      <c r="I117" s="26"/>
      <c r="J117" s="26"/>
      <c r="K117" s="26"/>
      <c r="L117" s="26"/>
      <c r="M117" s="26"/>
      <c r="N117" s="26"/>
      <c r="O117" s="26"/>
      <c r="P117" s="27">
        <f>IF($B117&lt;&gt;"Challan","",I117+J117+K117+L117+M117+N117)</f>
      </c>
      <c r="Q117" s="25"/>
      <c r="R117" s="25"/>
      <c r="S117" s="25"/>
      <c r="T117" s="25"/>
      <c r="U117" s="25"/>
      <c r="V117" s="28"/>
      <c r="W117" s="28"/>
      <c r="X117" s="23">
        <f>IF($B117="Entry",IF(AND(LEN(TRIM(UPPER(W117)))=10,CODE(MID(TRIM(UPPER(W117)),1,1))&gt;=65,CODE(MID(TRIM(UPPER(W117)),1,1))&lt;=90,CODE(MID(TRIM(UPPER(W117)),2,1))&gt;=65,CODE(MID(TRIM(UPPER(W117)),2,1))&lt;=90,CODE(MID(TRIM(UPPER(W117)),3,1))&gt;=65,CODE(MID(TRIM(UPPER(W117)),3,1))&lt;=90,CODE(MID(TRIM(UPPER(W117)),4,1))&gt;=65,CODE(MID(TRIM(UPPER(W117)),4,1))&lt;=90,CODE(MID(TRIM(UPPER(W117)),5,1))&gt;=65,CODE(MID(TRIM(UPPER(W117)),5,1))&lt;=90,CODE(MID(TRIM(UPPER(W117)),10,1))&gt;=65,CODE(MID(TRIM(UPPER(W117)),10,1))&lt;=90,CODE(MID(TRIM(UPPER(W117)),6,1))&gt;=48,CODE(MID(TRIM(UPPER(W117)),6,1))&lt;=57,CODE(MID(TRIM(UPPER(W117)),7,1))&gt;=48,CODE(MID(TRIM(UPPER(W117)),7,1))&lt;=57,CODE(MID(TRIM(UPPER(W117)),8,1))&gt;=48,CODE(MID(TRIM(UPPER(W117)),8,1))&lt;=57,CODE(MID(TRIM(UPPER(W117)),9,1))&gt;=48,CODE(MID(TRIM(UPPER(W117)),9,1))&lt;=57),"N","Y"),IF($B117="Challan","",IF(W117&lt;&gt;"","◄ Set Row Type","")))</f>
      </c>
      <c r="Y117" s="23">
        <f>IF($B117="Entry",IF(LEN(W117)&lt;4,"",IF(UPPER(MID(W117,4,1))="P","Individual",IF(UPPER(MID(W117,4,1))="H","HUF",IF(UPPER(MID(W117,4,1))="C","Company",IF(UPPER(MID(W117,4,1))="F","Firm",IF(UPPER(MID(W117,4,1))="L","LLP",IF(UPPER(MID(W117,4,1))="T","Trust",IF(UPPER(MID(W117,4,1))="A","AOP","")))))))),IF($B117="Challan","",IF(W117&lt;&gt;"","◄ Set Row Type","")))</f>
      </c>
      <c r="Z117" s="28"/>
      <c r="AA117" s="29">
        <f>IF($B117&lt;&gt;"Entry","",IF(Z117="","",IF(X117="Y",SUMPRODUCT(('Rate Lookup'!$A$1:$A$37=Z117)*'Rate Lookup'!$D$1:$D$37),IF(OR(Y117="Individual",Y117="HUF"),SUMPRODUCT(('Rate Lookup'!$A$1:$A$37=Z117)*'Rate Lookup'!$B$1:$B$37),SUMPRODUCT(('Rate Lookup'!$A$1:$A$37=Z117)*'Rate Lookup'!$C$1:$C$37)))))</f>
      </c>
      <c r="AB117" s="30"/>
      <c r="AC117" s="31"/>
      <c r="AD117" s="27">
        <f>IF($B117&lt;&gt;"Entry","",ROUND(AC117*AA117/100,0))</f>
      </c>
      <c r="AE117" s="27">
        <f>IF($B117&lt;&gt;"Entry","",0)</f>
      </c>
      <c r="AF117" s="27">
        <f>IF($B117&lt;&gt;"Entry","",0)</f>
      </c>
      <c r="AG117" s="27">
        <f>IF($B117&lt;&gt;"Entry","",IF(OR(AD117=0,AB117="",AQ117="",AQ117&lt;=0),0,IF(AQ117&lt;=DATE(YEAR(AB117),MONTH(AB117)+1,7),0,ROUND(AD117*0.015*((YEAR(AQ117)-YEAR(AB117))*12+(MONTH(AQ117)-MONTH(AB117))+1),0))))</f>
      </c>
      <c r="AH117" s="27">
        <f>IF($B117&lt;&gt;"Entry","",0)</f>
      </c>
      <c r="AI117" s="28"/>
      <c r="AJ117" s="28"/>
      <c r="AK117" s="32"/>
      <c r="AL117" s="28"/>
      <c r="AM117" s="28"/>
      <c r="AN117" s="27">
        <f>IF($B117&lt;&gt;"Challan","",SUMIF('Q1 Data'!$D$4:$D$207,D117,'Q1 Data'!$AD$4:$AD$207)+SUMIF('Q1 Data'!$D$4:$D$207,D117,'Q1 Data'!$AG$4:$AG$207)+SUMIF('Q1 Data'!$D$4:$D$207,D117,'Q1 Data'!$AE$4:$AE$207)+SUMIF('Q2 Data'!$D$4:$D$207,D117,'Q2 Data'!$AD$4:$AD$207)+SUMIF('Q2 Data'!$D$4:$D$207,D117,'Q2 Data'!$AG$4:$AG$207)+SUMIF('Q2 Data'!$D$4:$D$207,D117,'Q2 Data'!$AE$4:$AE$207)+SUMIF('Q3 Data'!$D$4:$D$207,D117,'Q3 Data'!$AD$4:$AD$207)+SUMIF('Q3 Data'!$D$4:$D$207,D117,'Q3 Data'!$AG$4:$AG$207)+SUMIF('Q3 Data'!$D$4:$D$207,D117,'Q3 Data'!$AE$4:$AE$207)+SUMIF('Q4 Data'!$D$4:$D$207,D117,'Q4 Data'!$AD$4:$AD$207)+SUMIF('Q4 Data'!$D$4:$D$207,D117,'Q4 Data'!$AG$4:$AG$207)+SUMIF('Q4 Data'!$D$4:$D$207,D117,'Q4 Data'!$AE$4:$AE$207))</f>
      </c>
      <c r="AO117" s="27">
        <f>IF($B117&lt;&gt;"Challan","",P117-N117)</f>
      </c>
      <c r="AP117" s="27">
        <f>IF($B117&lt;&gt;"Challan","",MAX(0,AO117-AN117))</f>
      </c>
      <c r="AQ117" s="33">
        <f>IF($B117&lt;&gt;"Entry","",SUMPRODUCT(('Q1 Data'!$D$4:$D$207=D117)*('Q1 Data'!$B$4:$B$207="Challan")*'Q1 Data'!$F$4:$F$207)+SUMPRODUCT(('Q2 Data'!$D$4:$D$207=D117)*('Q2 Data'!$B$4:$B$207="Challan")*'Q2 Data'!$F$4:$F$207)+SUMPRODUCT(('Q3 Data'!$D$4:$D$207=D117)*('Q3 Data'!$B$4:$B$207="Challan")*'Q3 Data'!$F$4:$F$207)+SUMPRODUCT(('Q4 Data'!$D$4:$D$207=D117)*('Q4 Data'!$B$4:$B$207="Challan")*'Q4 Data'!$F$4:$F$207))</f>
      </c>
      <c r="AR117" s="34">
        <f>IF(OR($B117&lt;&gt;"Entry",Z117=""),FALSE,AND((SUMPRODUCT(('Q1 Data'!$D$4:$D$207=D117)*('Q1 Data'!$B$4:$B$207="Challan")*('Q1 Data'!$H$4:$H$207&lt;&gt;""))+SUMPRODUCT(('Q2 Data'!$D$4:$D$207=D117)*('Q2 Data'!$B$4:$B$207="Challan")*('Q2 Data'!$H$4:$H$207&lt;&gt;""))+SUMPRODUCT(('Q3 Data'!$D$4:$D$207=D117)*('Q3 Data'!$B$4:$B$207="Challan")*('Q3 Data'!$H$4:$H$207&lt;&gt;""))+SUMPRODUCT(('Q4 Data'!$D$4:$D$207=D117)*('Q4 Data'!$B$4:$B$207="Challan")*('Q4 Data'!$H$4:$H$207&lt;&gt;"")))&gt;0,(SUMPRODUCT(('Q1 Data'!$D$4:$D$207=D117)*('Q1 Data'!$B$4:$B$207="Challan")*('Q1 Data'!$H$4:$H$207=Z117))+SUMPRODUCT(('Q2 Data'!$D$4:$D$207=D117)*('Q2 Data'!$B$4:$B$207="Challan")*('Q2 Data'!$H$4:$H$207=Z117))+SUMPRODUCT(('Q3 Data'!$D$4:$D$207=D117)*('Q3 Data'!$B$4:$B$207="Challan")*('Q3 Data'!$H$4:$H$207=Z117))+SUMPRODUCT(('Q4 Data'!$D$4:$D$207=D117)*('Q4 Data'!$B$4:$B$207="Challan")*('Q4 Data'!$H$4:$H$207=Z117)))=0))</f>
      </c>
    </row>
    <row r="118" spans="1:44" x14ac:dyDescent="0.25">
      <c r="A118" s="20">
        <f>IF($B118="Entry",COUNTIF($B$4:$B118,"Entry"),"")</f>
      </c>
      <c r="B118" s="21"/>
      <c r="C118" s="22"/>
      <c r="D118" s="22"/>
      <c r="E118" s="23">
        <f>IF($B118&lt;&gt;"Challan","",IF(ROUND(AN118-AO118,2)&gt;0,"Over-applied",IF(ROUND(AN118-AO118,2)=0,"Fully Utilised","Unconsumed")))</f>
      </c>
      <c r="F118" s="24"/>
      <c r="G118" s="25"/>
      <c r="H118" s="25"/>
      <c r="I118" s="26"/>
      <c r="J118" s="26"/>
      <c r="K118" s="26"/>
      <c r="L118" s="26"/>
      <c r="M118" s="26"/>
      <c r="N118" s="26"/>
      <c r="O118" s="26"/>
      <c r="P118" s="27">
        <f>IF($B118&lt;&gt;"Challan","",I118+J118+K118+L118+M118+N118)</f>
      </c>
      <c r="Q118" s="25"/>
      <c r="R118" s="25"/>
      <c r="S118" s="25"/>
      <c r="T118" s="25"/>
      <c r="U118" s="25"/>
      <c r="V118" s="28"/>
      <c r="W118" s="28"/>
      <c r="X118" s="23">
        <f>IF($B118="Entry",IF(AND(LEN(TRIM(UPPER(W118)))=10,CODE(MID(TRIM(UPPER(W118)),1,1))&gt;=65,CODE(MID(TRIM(UPPER(W118)),1,1))&lt;=90,CODE(MID(TRIM(UPPER(W118)),2,1))&gt;=65,CODE(MID(TRIM(UPPER(W118)),2,1))&lt;=90,CODE(MID(TRIM(UPPER(W118)),3,1))&gt;=65,CODE(MID(TRIM(UPPER(W118)),3,1))&lt;=90,CODE(MID(TRIM(UPPER(W118)),4,1))&gt;=65,CODE(MID(TRIM(UPPER(W118)),4,1))&lt;=90,CODE(MID(TRIM(UPPER(W118)),5,1))&gt;=65,CODE(MID(TRIM(UPPER(W118)),5,1))&lt;=90,CODE(MID(TRIM(UPPER(W118)),10,1))&gt;=65,CODE(MID(TRIM(UPPER(W118)),10,1))&lt;=90,CODE(MID(TRIM(UPPER(W118)),6,1))&gt;=48,CODE(MID(TRIM(UPPER(W118)),6,1))&lt;=57,CODE(MID(TRIM(UPPER(W118)),7,1))&gt;=48,CODE(MID(TRIM(UPPER(W118)),7,1))&lt;=57,CODE(MID(TRIM(UPPER(W118)),8,1))&gt;=48,CODE(MID(TRIM(UPPER(W118)),8,1))&lt;=57,CODE(MID(TRIM(UPPER(W118)),9,1))&gt;=48,CODE(MID(TRIM(UPPER(W118)),9,1))&lt;=57),"N","Y"),IF($B118="Challan","",IF(W118&lt;&gt;"","◄ Set Row Type","")))</f>
      </c>
      <c r="Y118" s="23">
        <f>IF($B118="Entry",IF(LEN(W118)&lt;4,"",IF(UPPER(MID(W118,4,1))="P","Individual",IF(UPPER(MID(W118,4,1))="H","HUF",IF(UPPER(MID(W118,4,1))="C","Company",IF(UPPER(MID(W118,4,1))="F","Firm",IF(UPPER(MID(W118,4,1))="L","LLP",IF(UPPER(MID(W118,4,1))="T","Trust",IF(UPPER(MID(W118,4,1))="A","AOP","")))))))),IF($B118="Challan","",IF(W118&lt;&gt;"","◄ Set Row Type","")))</f>
      </c>
      <c r="Z118" s="28"/>
      <c r="AA118" s="29">
        <f>IF($B118&lt;&gt;"Entry","",IF(Z118="","",IF(X118="Y",SUMPRODUCT(('Rate Lookup'!$A$1:$A$37=Z118)*'Rate Lookup'!$D$1:$D$37),IF(OR(Y118="Individual",Y118="HUF"),SUMPRODUCT(('Rate Lookup'!$A$1:$A$37=Z118)*'Rate Lookup'!$B$1:$B$37),SUMPRODUCT(('Rate Lookup'!$A$1:$A$37=Z118)*'Rate Lookup'!$C$1:$C$37)))))</f>
      </c>
      <c r="AB118" s="30"/>
      <c r="AC118" s="31"/>
      <c r="AD118" s="27">
        <f>IF($B118&lt;&gt;"Entry","",ROUND(AC118*AA118/100,0))</f>
      </c>
      <c r="AE118" s="27">
        <f>IF($B118&lt;&gt;"Entry","",0)</f>
      </c>
      <c r="AF118" s="27">
        <f>IF($B118&lt;&gt;"Entry","",0)</f>
      </c>
      <c r="AG118" s="27">
        <f>IF($B118&lt;&gt;"Entry","",IF(OR(AD118=0,AB118="",AQ118="",AQ118&lt;=0),0,IF(AQ118&lt;=DATE(YEAR(AB118),MONTH(AB118)+1,7),0,ROUND(AD118*0.015*((YEAR(AQ118)-YEAR(AB118))*12+(MONTH(AQ118)-MONTH(AB118))+1),0))))</f>
      </c>
      <c r="AH118" s="27">
        <f>IF($B118&lt;&gt;"Entry","",0)</f>
      </c>
      <c r="AI118" s="28"/>
      <c r="AJ118" s="28"/>
      <c r="AK118" s="32"/>
      <c r="AL118" s="28"/>
      <c r="AM118" s="28"/>
      <c r="AN118" s="27">
        <f>IF($B118&lt;&gt;"Challan","",SUMIF('Q1 Data'!$D$4:$D$207,D118,'Q1 Data'!$AD$4:$AD$207)+SUMIF('Q1 Data'!$D$4:$D$207,D118,'Q1 Data'!$AG$4:$AG$207)+SUMIF('Q1 Data'!$D$4:$D$207,D118,'Q1 Data'!$AE$4:$AE$207)+SUMIF('Q2 Data'!$D$4:$D$207,D118,'Q2 Data'!$AD$4:$AD$207)+SUMIF('Q2 Data'!$D$4:$D$207,D118,'Q2 Data'!$AG$4:$AG$207)+SUMIF('Q2 Data'!$D$4:$D$207,D118,'Q2 Data'!$AE$4:$AE$207)+SUMIF('Q3 Data'!$D$4:$D$207,D118,'Q3 Data'!$AD$4:$AD$207)+SUMIF('Q3 Data'!$D$4:$D$207,D118,'Q3 Data'!$AG$4:$AG$207)+SUMIF('Q3 Data'!$D$4:$D$207,D118,'Q3 Data'!$AE$4:$AE$207)+SUMIF('Q4 Data'!$D$4:$D$207,D118,'Q4 Data'!$AD$4:$AD$207)+SUMIF('Q4 Data'!$D$4:$D$207,D118,'Q4 Data'!$AG$4:$AG$207)+SUMIF('Q4 Data'!$D$4:$D$207,D118,'Q4 Data'!$AE$4:$AE$207))</f>
      </c>
      <c r="AO118" s="27">
        <f>IF($B118&lt;&gt;"Challan","",P118-N118)</f>
      </c>
      <c r="AP118" s="27">
        <f>IF($B118&lt;&gt;"Challan","",MAX(0,AO118-AN118))</f>
      </c>
      <c r="AQ118" s="33">
        <f>IF($B118&lt;&gt;"Entry","",SUMPRODUCT(('Q1 Data'!$D$4:$D$207=D118)*('Q1 Data'!$B$4:$B$207="Challan")*'Q1 Data'!$F$4:$F$207)+SUMPRODUCT(('Q2 Data'!$D$4:$D$207=D118)*('Q2 Data'!$B$4:$B$207="Challan")*'Q2 Data'!$F$4:$F$207)+SUMPRODUCT(('Q3 Data'!$D$4:$D$207=D118)*('Q3 Data'!$B$4:$B$207="Challan")*'Q3 Data'!$F$4:$F$207)+SUMPRODUCT(('Q4 Data'!$D$4:$D$207=D118)*('Q4 Data'!$B$4:$B$207="Challan")*'Q4 Data'!$F$4:$F$207))</f>
      </c>
      <c r="AR118" s="34">
        <f>IF(OR($B118&lt;&gt;"Entry",Z118=""),FALSE,AND((SUMPRODUCT(('Q1 Data'!$D$4:$D$207=D118)*('Q1 Data'!$B$4:$B$207="Challan")*('Q1 Data'!$H$4:$H$207&lt;&gt;""))+SUMPRODUCT(('Q2 Data'!$D$4:$D$207=D118)*('Q2 Data'!$B$4:$B$207="Challan")*('Q2 Data'!$H$4:$H$207&lt;&gt;""))+SUMPRODUCT(('Q3 Data'!$D$4:$D$207=D118)*('Q3 Data'!$B$4:$B$207="Challan")*('Q3 Data'!$H$4:$H$207&lt;&gt;""))+SUMPRODUCT(('Q4 Data'!$D$4:$D$207=D118)*('Q4 Data'!$B$4:$B$207="Challan")*('Q4 Data'!$H$4:$H$207&lt;&gt;"")))&gt;0,(SUMPRODUCT(('Q1 Data'!$D$4:$D$207=D118)*('Q1 Data'!$B$4:$B$207="Challan")*('Q1 Data'!$H$4:$H$207=Z118))+SUMPRODUCT(('Q2 Data'!$D$4:$D$207=D118)*('Q2 Data'!$B$4:$B$207="Challan")*('Q2 Data'!$H$4:$H$207=Z118))+SUMPRODUCT(('Q3 Data'!$D$4:$D$207=D118)*('Q3 Data'!$B$4:$B$207="Challan")*('Q3 Data'!$H$4:$H$207=Z118))+SUMPRODUCT(('Q4 Data'!$D$4:$D$207=D118)*('Q4 Data'!$B$4:$B$207="Challan")*('Q4 Data'!$H$4:$H$207=Z118)))=0))</f>
      </c>
    </row>
    <row r="119" spans="1:44" x14ac:dyDescent="0.25">
      <c r="A119" s="20">
        <f>IF($B119="Entry",COUNTIF($B$4:$B119,"Entry"),"")</f>
      </c>
      <c r="B119" s="21"/>
      <c r="C119" s="22"/>
      <c r="D119" s="22"/>
      <c r="E119" s="23">
        <f>IF($B119&lt;&gt;"Challan","",IF(ROUND(AN119-AO119,2)&gt;0,"Over-applied",IF(ROUND(AN119-AO119,2)=0,"Fully Utilised","Unconsumed")))</f>
      </c>
      <c r="F119" s="24"/>
      <c r="G119" s="25"/>
      <c r="H119" s="25"/>
      <c r="I119" s="26"/>
      <c r="J119" s="26"/>
      <c r="K119" s="26"/>
      <c r="L119" s="26"/>
      <c r="M119" s="26"/>
      <c r="N119" s="26"/>
      <c r="O119" s="26"/>
      <c r="P119" s="27">
        <f>IF($B119&lt;&gt;"Challan","",I119+J119+K119+L119+M119+N119)</f>
      </c>
      <c r="Q119" s="25"/>
      <c r="R119" s="25"/>
      <c r="S119" s="25"/>
      <c r="T119" s="25"/>
      <c r="U119" s="25"/>
      <c r="V119" s="28"/>
      <c r="W119" s="28"/>
      <c r="X119" s="23">
        <f>IF($B119="Entry",IF(AND(LEN(TRIM(UPPER(W119)))=10,CODE(MID(TRIM(UPPER(W119)),1,1))&gt;=65,CODE(MID(TRIM(UPPER(W119)),1,1))&lt;=90,CODE(MID(TRIM(UPPER(W119)),2,1))&gt;=65,CODE(MID(TRIM(UPPER(W119)),2,1))&lt;=90,CODE(MID(TRIM(UPPER(W119)),3,1))&gt;=65,CODE(MID(TRIM(UPPER(W119)),3,1))&lt;=90,CODE(MID(TRIM(UPPER(W119)),4,1))&gt;=65,CODE(MID(TRIM(UPPER(W119)),4,1))&lt;=90,CODE(MID(TRIM(UPPER(W119)),5,1))&gt;=65,CODE(MID(TRIM(UPPER(W119)),5,1))&lt;=90,CODE(MID(TRIM(UPPER(W119)),10,1))&gt;=65,CODE(MID(TRIM(UPPER(W119)),10,1))&lt;=90,CODE(MID(TRIM(UPPER(W119)),6,1))&gt;=48,CODE(MID(TRIM(UPPER(W119)),6,1))&lt;=57,CODE(MID(TRIM(UPPER(W119)),7,1))&gt;=48,CODE(MID(TRIM(UPPER(W119)),7,1))&lt;=57,CODE(MID(TRIM(UPPER(W119)),8,1))&gt;=48,CODE(MID(TRIM(UPPER(W119)),8,1))&lt;=57,CODE(MID(TRIM(UPPER(W119)),9,1))&gt;=48,CODE(MID(TRIM(UPPER(W119)),9,1))&lt;=57),"N","Y"),IF($B119="Challan","",IF(W119&lt;&gt;"","◄ Set Row Type","")))</f>
      </c>
      <c r="Y119" s="23">
        <f>IF($B119="Entry",IF(LEN(W119)&lt;4,"",IF(UPPER(MID(W119,4,1))="P","Individual",IF(UPPER(MID(W119,4,1))="H","HUF",IF(UPPER(MID(W119,4,1))="C","Company",IF(UPPER(MID(W119,4,1))="F","Firm",IF(UPPER(MID(W119,4,1))="L","LLP",IF(UPPER(MID(W119,4,1))="T","Trust",IF(UPPER(MID(W119,4,1))="A","AOP","")))))))),IF($B119="Challan","",IF(W119&lt;&gt;"","◄ Set Row Type","")))</f>
      </c>
      <c r="Z119" s="28"/>
      <c r="AA119" s="29">
        <f>IF($B119&lt;&gt;"Entry","",IF(Z119="","",IF(X119="Y",SUMPRODUCT(('Rate Lookup'!$A$1:$A$37=Z119)*'Rate Lookup'!$D$1:$D$37),IF(OR(Y119="Individual",Y119="HUF"),SUMPRODUCT(('Rate Lookup'!$A$1:$A$37=Z119)*'Rate Lookup'!$B$1:$B$37),SUMPRODUCT(('Rate Lookup'!$A$1:$A$37=Z119)*'Rate Lookup'!$C$1:$C$37)))))</f>
      </c>
      <c r="AB119" s="30"/>
      <c r="AC119" s="31"/>
      <c r="AD119" s="27">
        <f>IF($B119&lt;&gt;"Entry","",ROUND(AC119*AA119/100,0))</f>
      </c>
      <c r="AE119" s="27">
        <f>IF($B119&lt;&gt;"Entry","",0)</f>
      </c>
      <c r="AF119" s="27">
        <f>IF($B119&lt;&gt;"Entry","",0)</f>
      </c>
      <c r="AG119" s="27">
        <f>IF($B119&lt;&gt;"Entry","",IF(OR(AD119=0,AB119="",AQ119="",AQ119&lt;=0),0,IF(AQ119&lt;=DATE(YEAR(AB119),MONTH(AB119)+1,7),0,ROUND(AD119*0.015*((YEAR(AQ119)-YEAR(AB119))*12+(MONTH(AQ119)-MONTH(AB119))+1),0))))</f>
      </c>
      <c r="AH119" s="27">
        <f>IF($B119&lt;&gt;"Entry","",0)</f>
      </c>
      <c r="AI119" s="28"/>
      <c r="AJ119" s="28"/>
      <c r="AK119" s="32"/>
      <c r="AL119" s="28"/>
      <c r="AM119" s="28"/>
      <c r="AN119" s="27">
        <f>IF($B119&lt;&gt;"Challan","",SUMIF('Q1 Data'!$D$4:$D$207,D119,'Q1 Data'!$AD$4:$AD$207)+SUMIF('Q1 Data'!$D$4:$D$207,D119,'Q1 Data'!$AG$4:$AG$207)+SUMIF('Q1 Data'!$D$4:$D$207,D119,'Q1 Data'!$AE$4:$AE$207)+SUMIF('Q2 Data'!$D$4:$D$207,D119,'Q2 Data'!$AD$4:$AD$207)+SUMIF('Q2 Data'!$D$4:$D$207,D119,'Q2 Data'!$AG$4:$AG$207)+SUMIF('Q2 Data'!$D$4:$D$207,D119,'Q2 Data'!$AE$4:$AE$207)+SUMIF('Q3 Data'!$D$4:$D$207,D119,'Q3 Data'!$AD$4:$AD$207)+SUMIF('Q3 Data'!$D$4:$D$207,D119,'Q3 Data'!$AG$4:$AG$207)+SUMIF('Q3 Data'!$D$4:$D$207,D119,'Q3 Data'!$AE$4:$AE$207)+SUMIF('Q4 Data'!$D$4:$D$207,D119,'Q4 Data'!$AD$4:$AD$207)+SUMIF('Q4 Data'!$D$4:$D$207,D119,'Q4 Data'!$AG$4:$AG$207)+SUMIF('Q4 Data'!$D$4:$D$207,D119,'Q4 Data'!$AE$4:$AE$207))</f>
      </c>
      <c r="AO119" s="27">
        <f>IF($B119&lt;&gt;"Challan","",P119-N119)</f>
      </c>
      <c r="AP119" s="27">
        <f>IF($B119&lt;&gt;"Challan","",MAX(0,AO119-AN119))</f>
      </c>
      <c r="AQ119" s="33">
        <f>IF($B119&lt;&gt;"Entry","",SUMPRODUCT(('Q1 Data'!$D$4:$D$207=D119)*('Q1 Data'!$B$4:$B$207="Challan")*'Q1 Data'!$F$4:$F$207)+SUMPRODUCT(('Q2 Data'!$D$4:$D$207=D119)*('Q2 Data'!$B$4:$B$207="Challan")*'Q2 Data'!$F$4:$F$207)+SUMPRODUCT(('Q3 Data'!$D$4:$D$207=D119)*('Q3 Data'!$B$4:$B$207="Challan")*'Q3 Data'!$F$4:$F$207)+SUMPRODUCT(('Q4 Data'!$D$4:$D$207=D119)*('Q4 Data'!$B$4:$B$207="Challan")*'Q4 Data'!$F$4:$F$207))</f>
      </c>
      <c r="AR119" s="34">
        <f>IF(OR($B119&lt;&gt;"Entry",Z119=""),FALSE,AND((SUMPRODUCT(('Q1 Data'!$D$4:$D$207=D119)*('Q1 Data'!$B$4:$B$207="Challan")*('Q1 Data'!$H$4:$H$207&lt;&gt;""))+SUMPRODUCT(('Q2 Data'!$D$4:$D$207=D119)*('Q2 Data'!$B$4:$B$207="Challan")*('Q2 Data'!$H$4:$H$207&lt;&gt;""))+SUMPRODUCT(('Q3 Data'!$D$4:$D$207=D119)*('Q3 Data'!$B$4:$B$207="Challan")*('Q3 Data'!$H$4:$H$207&lt;&gt;""))+SUMPRODUCT(('Q4 Data'!$D$4:$D$207=D119)*('Q4 Data'!$B$4:$B$207="Challan")*('Q4 Data'!$H$4:$H$207&lt;&gt;"")))&gt;0,(SUMPRODUCT(('Q1 Data'!$D$4:$D$207=D119)*('Q1 Data'!$B$4:$B$207="Challan")*('Q1 Data'!$H$4:$H$207=Z119))+SUMPRODUCT(('Q2 Data'!$D$4:$D$207=D119)*('Q2 Data'!$B$4:$B$207="Challan")*('Q2 Data'!$H$4:$H$207=Z119))+SUMPRODUCT(('Q3 Data'!$D$4:$D$207=D119)*('Q3 Data'!$B$4:$B$207="Challan")*('Q3 Data'!$H$4:$H$207=Z119))+SUMPRODUCT(('Q4 Data'!$D$4:$D$207=D119)*('Q4 Data'!$B$4:$B$207="Challan")*('Q4 Data'!$H$4:$H$207=Z119)))=0))</f>
      </c>
    </row>
    <row r="120" spans="1:44" x14ac:dyDescent="0.25">
      <c r="A120" s="20">
        <f>IF($B120="Entry",COUNTIF($B$4:$B120,"Entry"),"")</f>
      </c>
      <c r="B120" s="21"/>
      <c r="C120" s="22"/>
      <c r="D120" s="22"/>
      <c r="E120" s="23">
        <f>IF($B120&lt;&gt;"Challan","",IF(ROUND(AN120-AO120,2)&gt;0,"Over-applied",IF(ROUND(AN120-AO120,2)=0,"Fully Utilised","Unconsumed")))</f>
      </c>
      <c r="F120" s="24"/>
      <c r="G120" s="25"/>
      <c r="H120" s="25"/>
      <c r="I120" s="26"/>
      <c r="J120" s="26"/>
      <c r="K120" s="26"/>
      <c r="L120" s="26"/>
      <c r="M120" s="26"/>
      <c r="N120" s="26"/>
      <c r="O120" s="26"/>
      <c r="P120" s="27">
        <f>IF($B120&lt;&gt;"Challan","",I120+J120+K120+L120+M120+N120)</f>
      </c>
      <c r="Q120" s="25"/>
      <c r="R120" s="25"/>
      <c r="S120" s="25"/>
      <c r="T120" s="25"/>
      <c r="U120" s="25"/>
      <c r="V120" s="28"/>
      <c r="W120" s="28"/>
      <c r="X120" s="23">
        <f>IF($B120="Entry",IF(AND(LEN(TRIM(UPPER(W120)))=10,CODE(MID(TRIM(UPPER(W120)),1,1))&gt;=65,CODE(MID(TRIM(UPPER(W120)),1,1))&lt;=90,CODE(MID(TRIM(UPPER(W120)),2,1))&gt;=65,CODE(MID(TRIM(UPPER(W120)),2,1))&lt;=90,CODE(MID(TRIM(UPPER(W120)),3,1))&gt;=65,CODE(MID(TRIM(UPPER(W120)),3,1))&lt;=90,CODE(MID(TRIM(UPPER(W120)),4,1))&gt;=65,CODE(MID(TRIM(UPPER(W120)),4,1))&lt;=90,CODE(MID(TRIM(UPPER(W120)),5,1))&gt;=65,CODE(MID(TRIM(UPPER(W120)),5,1))&lt;=90,CODE(MID(TRIM(UPPER(W120)),10,1))&gt;=65,CODE(MID(TRIM(UPPER(W120)),10,1))&lt;=90,CODE(MID(TRIM(UPPER(W120)),6,1))&gt;=48,CODE(MID(TRIM(UPPER(W120)),6,1))&lt;=57,CODE(MID(TRIM(UPPER(W120)),7,1))&gt;=48,CODE(MID(TRIM(UPPER(W120)),7,1))&lt;=57,CODE(MID(TRIM(UPPER(W120)),8,1))&gt;=48,CODE(MID(TRIM(UPPER(W120)),8,1))&lt;=57,CODE(MID(TRIM(UPPER(W120)),9,1))&gt;=48,CODE(MID(TRIM(UPPER(W120)),9,1))&lt;=57),"N","Y"),IF($B120="Challan","",IF(W120&lt;&gt;"","◄ Set Row Type","")))</f>
      </c>
      <c r="Y120" s="23">
        <f>IF($B120="Entry",IF(LEN(W120)&lt;4,"",IF(UPPER(MID(W120,4,1))="P","Individual",IF(UPPER(MID(W120,4,1))="H","HUF",IF(UPPER(MID(W120,4,1))="C","Company",IF(UPPER(MID(W120,4,1))="F","Firm",IF(UPPER(MID(W120,4,1))="L","LLP",IF(UPPER(MID(W120,4,1))="T","Trust",IF(UPPER(MID(W120,4,1))="A","AOP","")))))))),IF($B120="Challan","",IF(W120&lt;&gt;"","◄ Set Row Type","")))</f>
      </c>
      <c r="Z120" s="28"/>
      <c r="AA120" s="29">
        <f>IF($B120&lt;&gt;"Entry","",IF(Z120="","",IF(X120="Y",SUMPRODUCT(('Rate Lookup'!$A$1:$A$37=Z120)*'Rate Lookup'!$D$1:$D$37),IF(OR(Y120="Individual",Y120="HUF"),SUMPRODUCT(('Rate Lookup'!$A$1:$A$37=Z120)*'Rate Lookup'!$B$1:$B$37),SUMPRODUCT(('Rate Lookup'!$A$1:$A$37=Z120)*'Rate Lookup'!$C$1:$C$37)))))</f>
      </c>
      <c r="AB120" s="30"/>
      <c r="AC120" s="31"/>
      <c r="AD120" s="27">
        <f>IF($B120&lt;&gt;"Entry","",ROUND(AC120*AA120/100,0))</f>
      </c>
      <c r="AE120" s="27">
        <f>IF($B120&lt;&gt;"Entry","",0)</f>
      </c>
      <c r="AF120" s="27">
        <f>IF($B120&lt;&gt;"Entry","",0)</f>
      </c>
      <c r="AG120" s="27">
        <f>IF($B120&lt;&gt;"Entry","",IF(OR(AD120=0,AB120="",AQ120="",AQ120&lt;=0),0,IF(AQ120&lt;=DATE(YEAR(AB120),MONTH(AB120)+1,7),0,ROUND(AD120*0.015*((YEAR(AQ120)-YEAR(AB120))*12+(MONTH(AQ120)-MONTH(AB120))+1),0))))</f>
      </c>
      <c r="AH120" s="27">
        <f>IF($B120&lt;&gt;"Entry","",0)</f>
      </c>
      <c r="AI120" s="28"/>
      <c r="AJ120" s="28"/>
      <c r="AK120" s="32"/>
      <c r="AL120" s="28"/>
      <c r="AM120" s="28"/>
      <c r="AN120" s="27">
        <f>IF($B120&lt;&gt;"Challan","",SUMIF('Q1 Data'!$D$4:$D$207,D120,'Q1 Data'!$AD$4:$AD$207)+SUMIF('Q1 Data'!$D$4:$D$207,D120,'Q1 Data'!$AG$4:$AG$207)+SUMIF('Q1 Data'!$D$4:$D$207,D120,'Q1 Data'!$AE$4:$AE$207)+SUMIF('Q2 Data'!$D$4:$D$207,D120,'Q2 Data'!$AD$4:$AD$207)+SUMIF('Q2 Data'!$D$4:$D$207,D120,'Q2 Data'!$AG$4:$AG$207)+SUMIF('Q2 Data'!$D$4:$D$207,D120,'Q2 Data'!$AE$4:$AE$207)+SUMIF('Q3 Data'!$D$4:$D$207,D120,'Q3 Data'!$AD$4:$AD$207)+SUMIF('Q3 Data'!$D$4:$D$207,D120,'Q3 Data'!$AG$4:$AG$207)+SUMIF('Q3 Data'!$D$4:$D$207,D120,'Q3 Data'!$AE$4:$AE$207)+SUMIF('Q4 Data'!$D$4:$D$207,D120,'Q4 Data'!$AD$4:$AD$207)+SUMIF('Q4 Data'!$D$4:$D$207,D120,'Q4 Data'!$AG$4:$AG$207)+SUMIF('Q4 Data'!$D$4:$D$207,D120,'Q4 Data'!$AE$4:$AE$207))</f>
      </c>
      <c r="AO120" s="27">
        <f>IF($B120&lt;&gt;"Challan","",P120-N120)</f>
      </c>
      <c r="AP120" s="27">
        <f>IF($B120&lt;&gt;"Challan","",MAX(0,AO120-AN120))</f>
      </c>
      <c r="AQ120" s="33">
        <f>IF($B120&lt;&gt;"Entry","",SUMPRODUCT(('Q1 Data'!$D$4:$D$207=D120)*('Q1 Data'!$B$4:$B$207="Challan")*'Q1 Data'!$F$4:$F$207)+SUMPRODUCT(('Q2 Data'!$D$4:$D$207=D120)*('Q2 Data'!$B$4:$B$207="Challan")*'Q2 Data'!$F$4:$F$207)+SUMPRODUCT(('Q3 Data'!$D$4:$D$207=D120)*('Q3 Data'!$B$4:$B$207="Challan")*'Q3 Data'!$F$4:$F$207)+SUMPRODUCT(('Q4 Data'!$D$4:$D$207=D120)*('Q4 Data'!$B$4:$B$207="Challan")*'Q4 Data'!$F$4:$F$207))</f>
      </c>
      <c r="AR120" s="34">
        <f>IF(OR($B120&lt;&gt;"Entry",Z120=""),FALSE,AND((SUMPRODUCT(('Q1 Data'!$D$4:$D$207=D120)*('Q1 Data'!$B$4:$B$207="Challan")*('Q1 Data'!$H$4:$H$207&lt;&gt;""))+SUMPRODUCT(('Q2 Data'!$D$4:$D$207=D120)*('Q2 Data'!$B$4:$B$207="Challan")*('Q2 Data'!$H$4:$H$207&lt;&gt;""))+SUMPRODUCT(('Q3 Data'!$D$4:$D$207=D120)*('Q3 Data'!$B$4:$B$207="Challan")*('Q3 Data'!$H$4:$H$207&lt;&gt;""))+SUMPRODUCT(('Q4 Data'!$D$4:$D$207=D120)*('Q4 Data'!$B$4:$B$207="Challan")*('Q4 Data'!$H$4:$H$207&lt;&gt;"")))&gt;0,(SUMPRODUCT(('Q1 Data'!$D$4:$D$207=D120)*('Q1 Data'!$B$4:$B$207="Challan")*('Q1 Data'!$H$4:$H$207=Z120))+SUMPRODUCT(('Q2 Data'!$D$4:$D$207=D120)*('Q2 Data'!$B$4:$B$207="Challan")*('Q2 Data'!$H$4:$H$207=Z120))+SUMPRODUCT(('Q3 Data'!$D$4:$D$207=D120)*('Q3 Data'!$B$4:$B$207="Challan")*('Q3 Data'!$H$4:$H$207=Z120))+SUMPRODUCT(('Q4 Data'!$D$4:$D$207=D120)*('Q4 Data'!$B$4:$B$207="Challan")*('Q4 Data'!$H$4:$H$207=Z120)))=0))</f>
      </c>
    </row>
    <row r="121" spans="1:44" x14ac:dyDescent="0.25">
      <c r="A121" s="20">
        <f>IF($B121="Entry",COUNTIF($B$4:$B121,"Entry"),"")</f>
      </c>
      <c r="B121" s="21"/>
      <c r="C121" s="22"/>
      <c r="D121" s="22"/>
      <c r="E121" s="23">
        <f>IF($B121&lt;&gt;"Challan","",IF(ROUND(AN121-AO121,2)&gt;0,"Over-applied",IF(ROUND(AN121-AO121,2)=0,"Fully Utilised","Unconsumed")))</f>
      </c>
      <c r="F121" s="24"/>
      <c r="G121" s="25"/>
      <c r="H121" s="25"/>
      <c r="I121" s="26"/>
      <c r="J121" s="26"/>
      <c r="K121" s="26"/>
      <c r="L121" s="26"/>
      <c r="M121" s="26"/>
      <c r="N121" s="26"/>
      <c r="O121" s="26"/>
      <c r="P121" s="27">
        <f>IF($B121&lt;&gt;"Challan","",I121+J121+K121+L121+M121+N121)</f>
      </c>
      <c r="Q121" s="25"/>
      <c r="R121" s="25"/>
      <c r="S121" s="25"/>
      <c r="T121" s="25"/>
      <c r="U121" s="25"/>
      <c r="V121" s="28"/>
      <c r="W121" s="28"/>
      <c r="X121" s="23">
        <f>IF($B121="Entry",IF(AND(LEN(TRIM(UPPER(W121)))=10,CODE(MID(TRIM(UPPER(W121)),1,1))&gt;=65,CODE(MID(TRIM(UPPER(W121)),1,1))&lt;=90,CODE(MID(TRIM(UPPER(W121)),2,1))&gt;=65,CODE(MID(TRIM(UPPER(W121)),2,1))&lt;=90,CODE(MID(TRIM(UPPER(W121)),3,1))&gt;=65,CODE(MID(TRIM(UPPER(W121)),3,1))&lt;=90,CODE(MID(TRIM(UPPER(W121)),4,1))&gt;=65,CODE(MID(TRIM(UPPER(W121)),4,1))&lt;=90,CODE(MID(TRIM(UPPER(W121)),5,1))&gt;=65,CODE(MID(TRIM(UPPER(W121)),5,1))&lt;=90,CODE(MID(TRIM(UPPER(W121)),10,1))&gt;=65,CODE(MID(TRIM(UPPER(W121)),10,1))&lt;=90,CODE(MID(TRIM(UPPER(W121)),6,1))&gt;=48,CODE(MID(TRIM(UPPER(W121)),6,1))&lt;=57,CODE(MID(TRIM(UPPER(W121)),7,1))&gt;=48,CODE(MID(TRIM(UPPER(W121)),7,1))&lt;=57,CODE(MID(TRIM(UPPER(W121)),8,1))&gt;=48,CODE(MID(TRIM(UPPER(W121)),8,1))&lt;=57,CODE(MID(TRIM(UPPER(W121)),9,1))&gt;=48,CODE(MID(TRIM(UPPER(W121)),9,1))&lt;=57),"N","Y"),IF($B121="Challan","",IF(W121&lt;&gt;"","◄ Set Row Type","")))</f>
      </c>
      <c r="Y121" s="23">
        <f>IF($B121="Entry",IF(LEN(W121)&lt;4,"",IF(UPPER(MID(W121,4,1))="P","Individual",IF(UPPER(MID(W121,4,1))="H","HUF",IF(UPPER(MID(W121,4,1))="C","Company",IF(UPPER(MID(W121,4,1))="F","Firm",IF(UPPER(MID(W121,4,1))="L","LLP",IF(UPPER(MID(W121,4,1))="T","Trust",IF(UPPER(MID(W121,4,1))="A","AOP","")))))))),IF($B121="Challan","",IF(W121&lt;&gt;"","◄ Set Row Type","")))</f>
      </c>
      <c r="Z121" s="28"/>
      <c r="AA121" s="29">
        <f>IF($B121&lt;&gt;"Entry","",IF(Z121="","",IF(X121="Y",SUMPRODUCT(('Rate Lookup'!$A$1:$A$37=Z121)*'Rate Lookup'!$D$1:$D$37),IF(OR(Y121="Individual",Y121="HUF"),SUMPRODUCT(('Rate Lookup'!$A$1:$A$37=Z121)*'Rate Lookup'!$B$1:$B$37),SUMPRODUCT(('Rate Lookup'!$A$1:$A$37=Z121)*'Rate Lookup'!$C$1:$C$37)))))</f>
      </c>
      <c r="AB121" s="30"/>
      <c r="AC121" s="31"/>
      <c r="AD121" s="27">
        <f>IF($B121&lt;&gt;"Entry","",ROUND(AC121*AA121/100,0))</f>
      </c>
      <c r="AE121" s="27">
        <f>IF($B121&lt;&gt;"Entry","",0)</f>
      </c>
      <c r="AF121" s="27">
        <f>IF($B121&lt;&gt;"Entry","",0)</f>
      </c>
      <c r="AG121" s="27">
        <f>IF($B121&lt;&gt;"Entry","",IF(OR(AD121=0,AB121="",AQ121="",AQ121&lt;=0),0,IF(AQ121&lt;=DATE(YEAR(AB121),MONTH(AB121)+1,7),0,ROUND(AD121*0.015*((YEAR(AQ121)-YEAR(AB121))*12+(MONTH(AQ121)-MONTH(AB121))+1),0))))</f>
      </c>
      <c r="AH121" s="27">
        <f>IF($B121&lt;&gt;"Entry","",0)</f>
      </c>
      <c r="AI121" s="28"/>
      <c r="AJ121" s="28"/>
      <c r="AK121" s="32"/>
      <c r="AL121" s="28"/>
      <c r="AM121" s="28"/>
      <c r="AN121" s="27">
        <f>IF($B121&lt;&gt;"Challan","",SUMIF('Q1 Data'!$D$4:$D$207,D121,'Q1 Data'!$AD$4:$AD$207)+SUMIF('Q1 Data'!$D$4:$D$207,D121,'Q1 Data'!$AG$4:$AG$207)+SUMIF('Q1 Data'!$D$4:$D$207,D121,'Q1 Data'!$AE$4:$AE$207)+SUMIF('Q2 Data'!$D$4:$D$207,D121,'Q2 Data'!$AD$4:$AD$207)+SUMIF('Q2 Data'!$D$4:$D$207,D121,'Q2 Data'!$AG$4:$AG$207)+SUMIF('Q2 Data'!$D$4:$D$207,D121,'Q2 Data'!$AE$4:$AE$207)+SUMIF('Q3 Data'!$D$4:$D$207,D121,'Q3 Data'!$AD$4:$AD$207)+SUMIF('Q3 Data'!$D$4:$D$207,D121,'Q3 Data'!$AG$4:$AG$207)+SUMIF('Q3 Data'!$D$4:$D$207,D121,'Q3 Data'!$AE$4:$AE$207)+SUMIF('Q4 Data'!$D$4:$D$207,D121,'Q4 Data'!$AD$4:$AD$207)+SUMIF('Q4 Data'!$D$4:$D$207,D121,'Q4 Data'!$AG$4:$AG$207)+SUMIF('Q4 Data'!$D$4:$D$207,D121,'Q4 Data'!$AE$4:$AE$207))</f>
      </c>
      <c r="AO121" s="27">
        <f>IF($B121&lt;&gt;"Challan","",P121-N121)</f>
      </c>
      <c r="AP121" s="27">
        <f>IF($B121&lt;&gt;"Challan","",MAX(0,AO121-AN121))</f>
      </c>
      <c r="AQ121" s="33">
        <f>IF($B121&lt;&gt;"Entry","",SUMPRODUCT(('Q1 Data'!$D$4:$D$207=D121)*('Q1 Data'!$B$4:$B$207="Challan")*'Q1 Data'!$F$4:$F$207)+SUMPRODUCT(('Q2 Data'!$D$4:$D$207=D121)*('Q2 Data'!$B$4:$B$207="Challan")*'Q2 Data'!$F$4:$F$207)+SUMPRODUCT(('Q3 Data'!$D$4:$D$207=D121)*('Q3 Data'!$B$4:$B$207="Challan")*'Q3 Data'!$F$4:$F$207)+SUMPRODUCT(('Q4 Data'!$D$4:$D$207=D121)*('Q4 Data'!$B$4:$B$207="Challan")*'Q4 Data'!$F$4:$F$207))</f>
      </c>
      <c r="AR121" s="34">
        <f>IF(OR($B121&lt;&gt;"Entry",Z121=""),FALSE,AND((SUMPRODUCT(('Q1 Data'!$D$4:$D$207=D121)*('Q1 Data'!$B$4:$B$207="Challan")*('Q1 Data'!$H$4:$H$207&lt;&gt;""))+SUMPRODUCT(('Q2 Data'!$D$4:$D$207=D121)*('Q2 Data'!$B$4:$B$207="Challan")*('Q2 Data'!$H$4:$H$207&lt;&gt;""))+SUMPRODUCT(('Q3 Data'!$D$4:$D$207=D121)*('Q3 Data'!$B$4:$B$207="Challan")*('Q3 Data'!$H$4:$H$207&lt;&gt;""))+SUMPRODUCT(('Q4 Data'!$D$4:$D$207=D121)*('Q4 Data'!$B$4:$B$207="Challan")*('Q4 Data'!$H$4:$H$207&lt;&gt;"")))&gt;0,(SUMPRODUCT(('Q1 Data'!$D$4:$D$207=D121)*('Q1 Data'!$B$4:$B$207="Challan")*('Q1 Data'!$H$4:$H$207=Z121))+SUMPRODUCT(('Q2 Data'!$D$4:$D$207=D121)*('Q2 Data'!$B$4:$B$207="Challan")*('Q2 Data'!$H$4:$H$207=Z121))+SUMPRODUCT(('Q3 Data'!$D$4:$D$207=D121)*('Q3 Data'!$B$4:$B$207="Challan")*('Q3 Data'!$H$4:$H$207=Z121))+SUMPRODUCT(('Q4 Data'!$D$4:$D$207=D121)*('Q4 Data'!$B$4:$B$207="Challan")*('Q4 Data'!$H$4:$H$207=Z121)))=0))</f>
      </c>
    </row>
    <row r="122" spans="1:44" x14ac:dyDescent="0.25">
      <c r="A122" s="20">
        <f>IF($B122="Entry",COUNTIF($B$4:$B122,"Entry"),"")</f>
      </c>
      <c r="B122" s="21"/>
      <c r="C122" s="22"/>
      <c r="D122" s="22"/>
      <c r="E122" s="23">
        <f>IF($B122&lt;&gt;"Challan","",IF(ROUND(AN122-AO122,2)&gt;0,"Over-applied",IF(ROUND(AN122-AO122,2)=0,"Fully Utilised","Unconsumed")))</f>
      </c>
      <c r="F122" s="24"/>
      <c r="G122" s="25"/>
      <c r="H122" s="25"/>
      <c r="I122" s="26"/>
      <c r="J122" s="26"/>
      <c r="K122" s="26"/>
      <c r="L122" s="26"/>
      <c r="M122" s="26"/>
      <c r="N122" s="26"/>
      <c r="O122" s="26"/>
      <c r="P122" s="27">
        <f>IF($B122&lt;&gt;"Challan","",I122+J122+K122+L122+M122+N122)</f>
      </c>
      <c r="Q122" s="25"/>
      <c r="R122" s="25"/>
      <c r="S122" s="25"/>
      <c r="T122" s="25"/>
      <c r="U122" s="25"/>
      <c r="V122" s="28"/>
      <c r="W122" s="28"/>
      <c r="X122" s="23">
        <f>IF($B122="Entry",IF(AND(LEN(TRIM(UPPER(W122)))=10,CODE(MID(TRIM(UPPER(W122)),1,1))&gt;=65,CODE(MID(TRIM(UPPER(W122)),1,1))&lt;=90,CODE(MID(TRIM(UPPER(W122)),2,1))&gt;=65,CODE(MID(TRIM(UPPER(W122)),2,1))&lt;=90,CODE(MID(TRIM(UPPER(W122)),3,1))&gt;=65,CODE(MID(TRIM(UPPER(W122)),3,1))&lt;=90,CODE(MID(TRIM(UPPER(W122)),4,1))&gt;=65,CODE(MID(TRIM(UPPER(W122)),4,1))&lt;=90,CODE(MID(TRIM(UPPER(W122)),5,1))&gt;=65,CODE(MID(TRIM(UPPER(W122)),5,1))&lt;=90,CODE(MID(TRIM(UPPER(W122)),10,1))&gt;=65,CODE(MID(TRIM(UPPER(W122)),10,1))&lt;=90,CODE(MID(TRIM(UPPER(W122)),6,1))&gt;=48,CODE(MID(TRIM(UPPER(W122)),6,1))&lt;=57,CODE(MID(TRIM(UPPER(W122)),7,1))&gt;=48,CODE(MID(TRIM(UPPER(W122)),7,1))&lt;=57,CODE(MID(TRIM(UPPER(W122)),8,1))&gt;=48,CODE(MID(TRIM(UPPER(W122)),8,1))&lt;=57,CODE(MID(TRIM(UPPER(W122)),9,1))&gt;=48,CODE(MID(TRIM(UPPER(W122)),9,1))&lt;=57),"N","Y"),IF($B122="Challan","",IF(W122&lt;&gt;"","◄ Set Row Type","")))</f>
      </c>
      <c r="Y122" s="23">
        <f>IF($B122="Entry",IF(LEN(W122)&lt;4,"",IF(UPPER(MID(W122,4,1))="P","Individual",IF(UPPER(MID(W122,4,1))="H","HUF",IF(UPPER(MID(W122,4,1))="C","Company",IF(UPPER(MID(W122,4,1))="F","Firm",IF(UPPER(MID(W122,4,1))="L","LLP",IF(UPPER(MID(W122,4,1))="T","Trust",IF(UPPER(MID(W122,4,1))="A","AOP","")))))))),IF($B122="Challan","",IF(W122&lt;&gt;"","◄ Set Row Type","")))</f>
      </c>
      <c r="Z122" s="28"/>
      <c r="AA122" s="29">
        <f>IF($B122&lt;&gt;"Entry","",IF(Z122="","",IF(X122="Y",SUMPRODUCT(('Rate Lookup'!$A$1:$A$37=Z122)*'Rate Lookup'!$D$1:$D$37),IF(OR(Y122="Individual",Y122="HUF"),SUMPRODUCT(('Rate Lookup'!$A$1:$A$37=Z122)*'Rate Lookup'!$B$1:$B$37),SUMPRODUCT(('Rate Lookup'!$A$1:$A$37=Z122)*'Rate Lookup'!$C$1:$C$37)))))</f>
      </c>
      <c r="AB122" s="30"/>
      <c r="AC122" s="31"/>
      <c r="AD122" s="27">
        <f>IF($B122&lt;&gt;"Entry","",ROUND(AC122*AA122/100,0))</f>
      </c>
      <c r="AE122" s="27">
        <f>IF($B122&lt;&gt;"Entry","",0)</f>
      </c>
      <c r="AF122" s="27">
        <f>IF($B122&lt;&gt;"Entry","",0)</f>
      </c>
      <c r="AG122" s="27">
        <f>IF($B122&lt;&gt;"Entry","",IF(OR(AD122=0,AB122="",AQ122="",AQ122&lt;=0),0,IF(AQ122&lt;=DATE(YEAR(AB122),MONTH(AB122)+1,7),0,ROUND(AD122*0.015*((YEAR(AQ122)-YEAR(AB122))*12+(MONTH(AQ122)-MONTH(AB122))+1),0))))</f>
      </c>
      <c r="AH122" s="27">
        <f>IF($B122&lt;&gt;"Entry","",0)</f>
      </c>
      <c r="AI122" s="28"/>
      <c r="AJ122" s="28"/>
      <c r="AK122" s="32"/>
      <c r="AL122" s="28"/>
      <c r="AM122" s="28"/>
      <c r="AN122" s="27">
        <f>IF($B122&lt;&gt;"Challan","",SUMIF('Q1 Data'!$D$4:$D$207,D122,'Q1 Data'!$AD$4:$AD$207)+SUMIF('Q1 Data'!$D$4:$D$207,D122,'Q1 Data'!$AG$4:$AG$207)+SUMIF('Q1 Data'!$D$4:$D$207,D122,'Q1 Data'!$AE$4:$AE$207)+SUMIF('Q2 Data'!$D$4:$D$207,D122,'Q2 Data'!$AD$4:$AD$207)+SUMIF('Q2 Data'!$D$4:$D$207,D122,'Q2 Data'!$AG$4:$AG$207)+SUMIF('Q2 Data'!$D$4:$D$207,D122,'Q2 Data'!$AE$4:$AE$207)+SUMIF('Q3 Data'!$D$4:$D$207,D122,'Q3 Data'!$AD$4:$AD$207)+SUMIF('Q3 Data'!$D$4:$D$207,D122,'Q3 Data'!$AG$4:$AG$207)+SUMIF('Q3 Data'!$D$4:$D$207,D122,'Q3 Data'!$AE$4:$AE$207)+SUMIF('Q4 Data'!$D$4:$D$207,D122,'Q4 Data'!$AD$4:$AD$207)+SUMIF('Q4 Data'!$D$4:$D$207,D122,'Q4 Data'!$AG$4:$AG$207)+SUMIF('Q4 Data'!$D$4:$D$207,D122,'Q4 Data'!$AE$4:$AE$207))</f>
      </c>
      <c r="AO122" s="27">
        <f>IF($B122&lt;&gt;"Challan","",P122-N122)</f>
      </c>
      <c r="AP122" s="27">
        <f>IF($B122&lt;&gt;"Challan","",MAX(0,AO122-AN122))</f>
      </c>
      <c r="AQ122" s="33">
        <f>IF($B122&lt;&gt;"Entry","",SUMPRODUCT(('Q1 Data'!$D$4:$D$207=D122)*('Q1 Data'!$B$4:$B$207="Challan")*'Q1 Data'!$F$4:$F$207)+SUMPRODUCT(('Q2 Data'!$D$4:$D$207=D122)*('Q2 Data'!$B$4:$B$207="Challan")*'Q2 Data'!$F$4:$F$207)+SUMPRODUCT(('Q3 Data'!$D$4:$D$207=D122)*('Q3 Data'!$B$4:$B$207="Challan")*'Q3 Data'!$F$4:$F$207)+SUMPRODUCT(('Q4 Data'!$D$4:$D$207=D122)*('Q4 Data'!$B$4:$B$207="Challan")*'Q4 Data'!$F$4:$F$207))</f>
      </c>
      <c r="AR122" s="34">
        <f>IF(OR($B122&lt;&gt;"Entry",Z122=""),FALSE,AND((SUMPRODUCT(('Q1 Data'!$D$4:$D$207=D122)*('Q1 Data'!$B$4:$B$207="Challan")*('Q1 Data'!$H$4:$H$207&lt;&gt;""))+SUMPRODUCT(('Q2 Data'!$D$4:$D$207=D122)*('Q2 Data'!$B$4:$B$207="Challan")*('Q2 Data'!$H$4:$H$207&lt;&gt;""))+SUMPRODUCT(('Q3 Data'!$D$4:$D$207=D122)*('Q3 Data'!$B$4:$B$207="Challan")*('Q3 Data'!$H$4:$H$207&lt;&gt;""))+SUMPRODUCT(('Q4 Data'!$D$4:$D$207=D122)*('Q4 Data'!$B$4:$B$207="Challan")*('Q4 Data'!$H$4:$H$207&lt;&gt;"")))&gt;0,(SUMPRODUCT(('Q1 Data'!$D$4:$D$207=D122)*('Q1 Data'!$B$4:$B$207="Challan")*('Q1 Data'!$H$4:$H$207=Z122))+SUMPRODUCT(('Q2 Data'!$D$4:$D$207=D122)*('Q2 Data'!$B$4:$B$207="Challan")*('Q2 Data'!$H$4:$H$207=Z122))+SUMPRODUCT(('Q3 Data'!$D$4:$D$207=D122)*('Q3 Data'!$B$4:$B$207="Challan")*('Q3 Data'!$H$4:$H$207=Z122))+SUMPRODUCT(('Q4 Data'!$D$4:$D$207=D122)*('Q4 Data'!$B$4:$B$207="Challan")*('Q4 Data'!$H$4:$H$207=Z122)))=0))</f>
      </c>
    </row>
    <row r="123" spans="1:44" x14ac:dyDescent="0.25">
      <c r="A123" s="20">
        <f>IF($B123="Entry",COUNTIF($B$4:$B123,"Entry"),"")</f>
      </c>
      <c r="B123" s="21"/>
      <c r="C123" s="22"/>
      <c r="D123" s="22"/>
      <c r="E123" s="23">
        <f>IF($B123&lt;&gt;"Challan","",IF(ROUND(AN123-AO123,2)&gt;0,"Over-applied",IF(ROUND(AN123-AO123,2)=0,"Fully Utilised","Unconsumed")))</f>
      </c>
      <c r="F123" s="24"/>
      <c r="G123" s="25"/>
      <c r="H123" s="25"/>
      <c r="I123" s="26"/>
      <c r="J123" s="26"/>
      <c r="K123" s="26"/>
      <c r="L123" s="26"/>
      <c r="M123" s="26"/>
      <c r="N123" s="26"/>
      <c r="O123" s="26"/>
      <c r="P123" s="27">
        <f>IF($B123&lt;&gt;"Challan","",I123+J123+K123+L123+M123+N123)</f>
      </c>
      <c r="Q123" s="25"/>
      <c r="R123" s="25"/>
      <c r="S123" s="25"/>
      <c r="T123" s="25"/>
      <c r="U123" s="25"/>
      <c r="V123" s="28"/>
      <c r="W123" s="28"/>
      <c r="X123" s="23">
        <f>IF($B123="Entry",IF(AND(LEN(TRIM(UPPER(W123)))=10,CODE(MID(TRIM(UPPER(W123)),1,1))&gt;=65,CODE(MID(TRIM(UPPER(W123)),1,1))&lt;=90,CODE(MID(TRIM(UPPER(W123)),2,1))&gt;=65,CODE(MID(TRIM(UPPER(W123)),2,1))&lt;=90,CODE(MID(TRIM(UPPER(W123)),3,1))&gt;=65,CODE(MID(TRIM(UPPER(W123)),3,1))&lt;=90,CODE(MID(TRIM(UPPER(W123)),4,1))&gt;=65,CODE(MID(TRIM(UPPER(W123)),4,1))&lt;=90,CODE(MID(TRIM(UPPER(W123)),5,1))&gt;=65,CODE(MID(TRIM(UPPER(W123)),5,1))&lt;=90,CODE(MID(TRIM(UPPER(W123)),10,1))&gt;=65,CODE(MID(TRIM(UPPER(W123)),10,1))&lt;=90,CODE(MID(TRIM(UPPER(W123)),6,1))&gt;=48,CODE(MID(TRIM(UPPER(W123)),6,1))&lt;=57,CODE(MID(TRIM(UPPER(W123)),7,1))&gt;=48,CODE(MID(TRIM(UPPER(W123)),7,1))&lt;=57,CODE(MID(TRIM(UPPER(W123)),8,1))&gt;=48,CODE(MID(TRIM(UPPER(W123)),8,1))&lt;=57,CODE(MID(TRIM(UPPER(W123)),9,1))&gt;=48,CODE(MID(TRIM(UPPER(W123)),9,1))&lt;=57),"N","Y"),IF($B123="Challan","",IF(W123&lt;&gt;"","◄ Set Row Type","")))</f>
      </c>
      <c r="Y123" s="23">
        <f>IF($B123="Entry",IF(LEN(W123)&lt;4,"",IF(UPPER(MID(W123,4,1))="P","Individual",IF(UPPER(MID(W123,4,1))="H","HUF",IF(UPPER(MID(W123,4,1))="C","Company",IF(UPPER(MID(W123,4,1))="F","Firm",IF(UPPER(MID(W123,4,1))="L","LLP",IF(UPPER(MID(W123,4,1))="T","Trust",IF(UPPER(MID(W123,4,1))="A","AOP","")))))))),IF($B123="Challan","",IF(W123&lt;&gt;"","◄ Set Row Type","")))</f>
      </c>
      <c r="Z123" s="28"/>
      <c r="AA123" s="29">
        <f>IF($B123&lt;&gt;"Entry","",IF(Z123="","",IF(X123="Y",SUMPRODUCT(('Rate Lookup'!$A$1:$A$37=Z123)*'Rate Lookup'!$D$1:$D$37),IF(OR(Y123="Individual",Y123="HUF"),SUMPRODUCT(('Rate Lookup'!$A$1:$A$37=Z123)*'Rate Lookup'!$B$1:$B$37),SUMPRODUCT(('Rate Lookup'!$A$1:$A$37=Z123)*'Rate Lookup'!$C$1:$C$37)))))</f>
      </c>
      <c r="AB123" s="30"/>
      <c r="AC123" s="31"/>
      <c r="AD123" s="27">
        <f>IF($B123&lt;&gt;"Entry","",ROUND(AC123*AA123/100,0))</f>
      </c>
      <c r="AE123" s="27">
        <f>IF($B123&lt;&gt;"Entry","",0)</f>
      </c>
      <c r="AF123" s="27">
        <f>IF($B123&lt;&gt;"Entry","",0)</f>
      </c>
      <c r="AG123" s="27">
        <f>IF($B123&lt;&gt;"Entry","",IF(OR(AD123=0,AB123="",AQ123="",AQ123&lt;=0),0,IF(AQ123&lt;=DATE(YEAR(AB123),MONTH(AB123)+1,7),0,ROUND(AD123*0.015*((YEAR(AQ123)-YEAR(AB123))*12+(MONTH(AQ123)-MONTH(AB123))+1),0))))</f>
      </c>
      <c r="AH123" s="27">
        <f>IF($B123&lt;&gt;"Entry","",0)</f>
      </c>
      <c r="AI123" s="28"/>
      <c r="AJ123" s="28"/>
      <c r="AK123" s="32"/>
      <c r="AL123" s="28"/>
      <c r="AM123" s="28"/>
      <c r="AN123" s="27">
        <f>IF($B123&lt;&gt;"Challan","",SUMIF('Q1 Data'!$D$4:$D$207,D123,'Q1 Data'!$AD$4:$AD$207)+SUMIF('Q1 Data'!$D$4:$D$207,D123,'Q1 Data'!$AG$4:$AG$207)+SUMIF('Q1 Data'!$D$4:$D$207,D123,'Q1 Data'!$AE$4:$AE$207)+SUMIF('Q2 Data'!$D$4:$D$207,D123,'Q2 Data'!$AD$4:$AD$207)+SUMIF('Q2 Data'!$D$4:$D$207,D123,'Q2 Data'!$AG$4:$AG$207)+SUMIF('Q2 Data'!$D$4:$D$207,D123,'Q2 Data'!$AE$4:$AE$207)+SUMIF('Q3 Data'!$D$4:$D$207,D123,'Q3 Data'!$AD$4:$AD$207)+SUMIF('Q3 Data'!$D$4:$D$207,D123,'Q3 Data'!$AG$4:$AG$207)+SUMIF('Q3 Data'!$D$4:$D$207,D123,'Q3 Data'!$AE$4:$AE$207)+SUMIF('Q4 Data'!$D$4:$D$207,D123,'Q4 Data'!$AD$4:$AD$207)+SUMIF('Q4 Data'!$D$4:$D$207,D123,'Q4 Data'!$AG$4:$AG$207)+SUMIF('Q4 Data'!$D$4:$D$207,D123,'Q4 Data'!$AE$4:$AE$207))</f>
      </c>
      <c r="AO123" s="27">
        <f>IF($B123&lt;&gt;"Challan","",P123-N123)</f>
      </c>
      <c r="AP123" s="27">
        <f>IF($B123&lt;&gt;"Challan","",MAX(0,AO123-AN123))</f>
      </c>
      <c r="AQ123" s="33">
        <f>IF($B123&lt;&gt;"Entry","",SUMPRODUCT(('Q1 Data'!$D$4:$D$207=D123)*('Q1 Data'!$B$4:$B$207="Challan")*'Q1 Data'!$F$4:$F$207)+SUMPRODUCT(('Q2 Data'!$D$4:$D$207=D123)*('Q2 Data'!$B$4:$B$207="Challan")*'Q2 Data'!$F$4:$F$207)+SUMPRODUCT(('Q3 Data'!$D$4:$D$207=D123)*('Q3 Data'!$B$4:$B$207="Challan")*'Q3 Data'!$F$4:$F$207)+SUMPRODUCT(('Q4 Data'!$D$4:$D$207=D123)*('Q4 Data'!$B$4:$B$207="Challan")*'Q4 Data'!$F$4:$F$207))</f>
      </c>
      <c r="AR123" s="34">
        <f>IF(OR($B123&lt;&gt;"Entry",Z123=""),FALSE,AND((SUMPRODUCT(('Q1 Data'!$D$4:$D$207=D123)*('Q1 Data'!$B$4:$B$207="Challan")*('Q1 Data'!$H$4:$H$207&lt;&gt;""))+SUMPRODUCT(('Q2 Data'!$D$4:$D$207=D123)*('Q2 Data'!$B$4:$B$207="Challan")*('Q2 Data'!$H$4:$H$207&lt;&gt;""))+SUMPRODUCT(('Q3 Data'!$D$4:$D$207=D123)*('Q3 Data'!$B$4:$B$207="Challan")*('Q3 Data'!$H$4:$H$207&lt;&gt;""))+SUMPRODUCT(('Q4 Data'!$D$4:$D$207=D123)*('Q4 Data'!$B$4:$B$207="Challan")*('Q4 Data'!$H$4:$H$207&lt;&gt;"")))&gt;0,(SUMPRODUCT(('Q1 Data'!$D$4:$D$207=D123)*('Q1 Data'!$B$4:$B$207="Challan")*('Q1 Data'!$H$4:$H$207=Z123))+SUMPRODUCT(('Q2 Data'!$D$4:$D$207=D123)*('Q2 Data'!$B$4:$B$207="Challan")*('Q2 Data'!$H$4:$H$207=Z123))+SUMPRODUCT(('Q3 Data'!$D$4:$D$207=D123)*('Q3 Data'!$B$4:$B$207="Challan")*('Q3 Data'!$H$4:$H$207=Z123))+SUMPRODUCT(('Q4 Data'!$D$4:$D$207=D123)*('Q4 Data'!$B$4:$B$207="Challan")*('Q4 Data'!$H$4:$H$207=Z123)))=0))</f>
      </c>
    </row>
    <row r="124" spans="1:44" x14ac:dyDescent="0.25">
      <c r="A124" s="20">
        <f>IF($B124="Entry",COUNTIF($B$4:$B124,"Entry"),"")</f>
      </c>
      <c r="B124" s="21"/>
      <c r="C124" s="22"/>
      <c r="D124" s="22"/>
      <c r="E124" s="23">
        <f>IF($B124&lt;&gt;"Challan","",IF(ROUND(AN124-AO124,2)&gt;0,"Over-applied",IF(ROUND(AN124-AO124,2)=0,"Fully Utilised","Unconsumed")))</f>
      </c>
      <c r="F124" s="24"/>
      <c r="G124" s="25"/>
      <c r="H124" s="25"/>
      <c r="I124" s="26"/>
      <c r="J124" s="26"/>
      <c r="K124" s="26"/>
      <c r="L124" s="26"/>
      <c r="M124" s="26"/>
      <c r="N124" s="26"/>
      <c r="O124" s="26"/>
      <c r="P124" s="27">
        <f>IF($B124&lt;&gt;"Challan","",I124+J124+K124+L124+M124+N124)</f>
      </c>
      <c r="Q124" s="25"/>
      <c r="R124" s="25"/>
      <c r="S124" s="25"/>
      <c r="T124" s="25"/>
      <c r="U124" s="25"/>
      <c r="V124" s="28"/>
      <c r="W124" s="28"/>
      <c r="X124" s="23">
        <f>IF($B124="Entry",IF(AND(LEN(TRIM(UPPER(W124)))=10,CODE(MID(TRIM(UPPER(W124)),1,1))&gt;=65,CODE(MID(TRIM(UPPER(W124)),1,1))&lt;=90,CODE(MID(TRIM(UPPER(W124)),2,1))&gt;=65,CODE(MID(TRIM(UPPER(W124)),2,1))&lt;=90,CODE(MID(TRIM(UPPER(W124)),3,1))&gt;=65,CODE(MID(TRIM(UPPER(W124)),3,1))&lt;=90,CODE(MID(TRIM(UPPER(W124)),4,1))&gt;=65,CODE(MID(TRIM(UPPER(W124)),4,1))&lt;=90,CODE(MID(TRIM(UPPER(W124)),5,1))&gt;=65,CODE(MID(TRIM(UPPER(W124)),5,1))&lt;=90,CODE(MID(TRIM(UPPER(W124)),10,1))&gt;=65,CODE(MID(TRIM(UPPER(W124)),10,1))&lt;=90,CODE(MID(TRIM(UPPER(W124)),6,1))&gt;=48,CODE(MID(TRIM(UPPER(W124)),6,1))&lt;=57,CODE(MID(TRIM(UPPER(W124)),7,1))&gt;=48,CODE(MID(TRIM(UPPER(W124)),7,1))&lt;=57,CODE(MID(TRIM(UPPER(W124)),8,1))&gt;=48,CODE(MID(TRIM(UPPER(W124)),8,1))&lt;=57,CODE(MID(TRIM(UPPER(W124)),9,1))&gt;=48,CODE(MID(TRIM(UPPER(W124)),9,1))&lt;=57),"N","Y"),IF($B124="Challan","",IF(W124&lt;&gt;"","◄ Set Row Type","")))</f>
      </c>
      <c r="Y124" s="23">
        <f>IF($B124="Entry",IF(LEN(W124)&lt;4,"",IF(UPPER(MID(W124,4,1))="P","Individual",IF(UPPER(MID(W124,4,1))="H","HUF",IF(UPPER(MID(W124,4,1))="C","Company",IF(UPPER(MID(W124,4,1))="F","Firm",IF(UPPER(MID(W124,4,1))="L","LLP",IF(UPPER(MID(W124,4,1))="T","Trust",IF(UPPER(MID(W124,4,1))="A","AOP","")))))))),IF($B124="Challan","",IF(W124&lt;&gt;"","◄ Set Row Type","")))</f>
      </c>
      <c r="Z124" s="28"/>
      <c r="AA124" s="29">
        <f>IF($B124&lt;&gt;"Entry","",IF(Z124="","",IF(X124="Y",SUMPRODUCT(('Rate Lookup'!$A$1:$A$37=Z124)*'Rate Lookup'!$D$1:$D$37),IF(OR(Y124="Individual",Y124="HUF"),SUMPRODUCT(('Rate Lookup'!$A$1:$A$37=Z124)*'Rate Lookup'!$B$1:$B$37),SUMPRODUCT(('Rate Lookup'!$A$1:$A$37=Z124)*'Rate Lookup'!$C$1:$C$37)))))</f>
      </c>
      <c r="AB124" s="30"/>
      <c r="AC124" s="31"/>
      <c r="AD124" s="27">
        <f>IF($B124&lt;&gt;"Entry","",ROUND(AC124*AA124/100,0))</f>
      </c>
      <c r="AE124" s="27">
        <f>IF($B124&lt;&gt;"Entry","",0)</f>
      </c>
      <c r="AF124" s="27">
        <f>IF($B124&lt;&gt;"Entry","",0)</f>
      </c>
      <c r="AG124" s="27">
        <f>IF($B124&lt;&gt;"Entry","",IF(OR(AD124=0,AB124="",AQ124="",AQ124&lt;=0),0,IF(AQ124&lt;=DATE(YEAR(AB124),MONTH(AB124)+1,7),0,ROUND(AD124*0.015*((YEAR(AQ124)-YEAR(AB124))*12+(MONTH(AQ124)-MONTH(AB124))+1),0))))</f>
      </c>
      <c r="AH124" s="27">
        <f>IF($B124&lt;&gt;"Entry","",0)</f>
      </c>
      <c r="AI124" s="28"/>
      <c r="AJ124" s="28"/>
      <c r="AK124" s="32"/>
      <c r="AL124" s="28"/>
      <c r="AM124" s="28"/>
      <c r="AN124" s="27">
        <f>IF($B124&lt;&gt;"Challan","",SUMIF('Q1 Data'!$D$4:$D$207,D124,'Q1 Data'!$AD$4:$AD$207)+SUMIF('Q1 Data'!$D$4:$D$207,D124,'Q1 Data'!$AG$4:$AG$207)+SUMIF('Q1 Data'!$D$4:$D$207,D124,'Q1 Data'!$AE$4:$AE$207)+SUMIF('Q2 Data'!$D$4:$D$207,D124,'Q2 Data'!$AD$4:$AD$207)+SUMIF('Q2 Data'!$D$4:$D$207,D124,'Q2 Data'!$AG$4:$AG$207)+SUMIF('Q2 Data'!$D$4:$D$207,D124,'Q2 Data'!$AE$4:$AE$207)+SUMIF('Q3 Data'!$D$4:$D$207,D124,'Q3 Data'!$AD$4:$AD$207)+SUMIF('Q3 Data'!$D$4:$D$207,D124,'Q3 Data'!$AG$4:$AG$207)+SUMIF('Q3 Data'!$D$4:$D$207,D124,'Q3 Data'!$AE$4:$AE$207)+SUMIF('Q4 Data'!$D$4:$D$207,D124,'Q4 Data'!$AD$4:$AD$207)+SUMIF('Q4 Data'!$D$4:$D$207,D124,'Q4 Data'!$AG$4:$AG$207)+SUMIF('Q4 Data'!$D$4:$D$207,D124,'Q4 Data'!$AE$4:$AE$207))</f>
      </c>
      <c r="AO124" s="27">
        <f>IF($B124&lt;&gt;"Challan","",P124-N124)</f>
      </c>
      <c r="AP124" s="27">
        <f>IF($B124&lt;&gt;"Challan","",MAX(0,AO124-AN124))</f>
      </c>
      <c r="AQ124" s="33">
        <f>IF($B124&lt;&gt;"Entry","",SUMPRODUCT(('Q1 Data'!$D$4:$D$207=D124)*('Q1 Data'!$B$4:$B$207="Challan")*'Q1 Data'!$F$4:$F$207)+SUMPRODUCT(('Q2 Data'!$D$4:$D$207=D124)*('Q2 Data'!$B$4:$B$207="Challan")*'Q2 Data'!$F$4:$F$207)+SUMPRODUCT(('Q3 Data'!$D$4:$D$207=D124)*('Q3 Data'!$B$4:$B$207="Challan")*'Q3 Data'!$F$4:$F$207)+SUMPRODUCT(('Q4 Data'!$D$4:$D$207=D124)*('Q4 Data'!$B$4:$B$207="Challan")*'Q4 Data'!$F$4:$F$207))</f>
      </c>
      <c r="AR124" s="34">
        <f>IF(OR($B124&lt;&gt;"Entry",Z124=""),FALSE,AND((SUMPRODUCT(('Q1 Data'!$D$4:$D$207=D124)*('Q1 Data'!$B$4:$B$207="Challan")*('Q1 Data'!$H$4:$H$207&lt;&gt;""))+SUMPRODUCT(('Q2 Data'!$D$4:$D$207=D124)*('Q2 Data'!$B$4:$B$207="Challan")*('Q2 Data'!$H$4:$H$207&lt;&gt;""))+SUMPRODUCT(('Q3 Data'!$D$4:$D$207=D124)*('Q3 Data'!$B$4:$B$207="Challan")*('Q3 Data'!$H$4:$H$207&lt;&gt;""))+SUMPRODUCT(('Q4 Data'!$D$4:$D$207=D124)*('Q4 Data'!$B$4:$B$207="Challan")*('Q4 Data'!$H$4:$H$207&lt;&gt;"")))&gt;0,(SUMPRODUCT(('Q1 Data'!$D$4:$D$207=D124)*('Q1 Data'!$B$4:$B$207="Challan")*('Q1 Data'!$H$4:$H$207=Z124))+SUMPRODUCT(('Q2 Data'!$D$4:$D$207=D124)*('Q2 Data'!$B$4:$B$207="Challan")*('Q2 Data'!$H$4:$H$207=Z124))+SUMPRODUCT(('Q3 Data'!$D$4:$D$207=D124)*('Q3 Data'!$B$4:$B$207="Challan")*('Q3 Data'!$H$4:$H$207=Z124))+SUMPRODUCT(('Q4 Data'!$D$4:$D$207=D124)*('Q4 Data'!$B$4:$B$207="Challan")*('Q4 Data'!$H$4:$H$207=Z124)))=0))</f>
      </c>
    </row>
    <row r="125" spans="1:44" x14ac:dyDescent="0.25">
      <c r="A125" s="20">
        <f>IF($B125="Entry",COUNTIF($B$4:$B125,"Entry"),"")</f>
      </c>
      <c r="B125" s="21"/>
      <c r="C125" s="22"/>
      <c r="D125" s="22"/>
      <c r="E125" s="23">
        <f>IF($B125&lt;&gt;"Challan","",IF(ROUND(AN125-AO125,2)&gt;0,"Over-applied",IF(ROUND(AN125-AO125,2)=0,"Fully Utilised","Unconsumed")))</f>
      </c>
      <c r="F125" s="24"/>
      <c r="G125" s="25"/>
      <c r="H125" s="25"/>
      <c r="I125" s="26"/>
      <c r="J125" s="26"/>
      <c r="K125" s="26"/>
      <c r="L125" s="26"/>
      <c r="M125" s="26"/>
      <c r="N125" s="26"/>
      <c r="O125" s="26"/>
      <c r="P125" s="27">
        <f>IF($B125&lt;&gt;"Challan","",I125+J125+K125+L125+M125+N125)</f>
      </c>
      <c r="Q125" s="25"/>
      <c r="R125" s="25"/>
      <c r="S125" s="25"/>
      <c r="T125" s="25"/>
      <c r="U125" s="25"/>
      <c r="V125" s="28"/>
      <c r="W125" s="28"/>
      <c r="X125" s="23">
        <f>IF($B125="Entry",IF(AND(LEN(TRIM(UPPER(W125)))=10,CODE(MID(TRIM(UPPER(W125)),1,1))&gt;=65,CODE(MID(TRIM(UPPER(W125)),1,1))&lt;=90,CODE(MID(TRIM(UPPER(W125)),2,1))&gt;=65,CODE(MID(TRIM(UPPER(W125)),2,1))&lt;=90,CODE(MID(TRIM(UPPER(W125)),3,1))&gt;=65,CODE(MID(TRIM(UPPER(W125)),3,1))&lt;=90,CODE(MID(TRIM(UPPER(W125)),4,1))&gt;=65,CODE(MID(TRIM(UPPER(W125)),4,1))&lt;=90,CODE(MID(TRIM(UPPER(W125)),5,1))&gt;=65,CODE(MID(TRIM(UPPER(W125)),5,1))&lt;=90,CODE(MID(TRIM(UPPER(W125)),10,1))&gt;=65,CODE(MID(TRIM(UPPER(W125)),10,1))&lt;=90,CODE(MID(TRIM(UPPER(W125)),6,1))&gt;=48,CODE(MID(TRIM(UPPER(W125)),6,1))&lt;=57,CODE(MID(TRIM(UPPER(W125)),7,1))&gt;=48,CODE(MID(TRIM(UPPER(W125)),7,1))&lt;=57,CODE(MID(TRIM(UPPER(W125)),8,1))&gt;=48,CODE(MID(TRIM(UPPER(W125)),8,1))&lt;=57,CODE(MID(TRIM(UPPER(W125)),9,1))&gt;=48,CODE(MID(TRIM(UPPER(W125)),9,1))&lt;=57),"N","Y"),IF($B125="Challan","",IF(W125&lt;&gt;"","◄ Set Row Type","")))</f>
      </c>
      <c r="Y125" s="23">
        <f>IF($B125="Entry",IF(LEN(W125)&lt;4,"",IF(UPPER(MID(W125,4,1))="P","Individual",IF(UPPER(MID(W125,4,1))="H","HUF",IF(UPPER(MID(W125,4,1))="C","Company",IF(UPPER(MID(W125,4,1))="F","Firm",IF(UPPER(MID(W125,4,1))="L","LLP",IF(UPPER(MID(W125,4,1))="T","Trust",IF(UPPER(MID(W125,4,1))="A","AOP","")))))))),IF($B125="Challan","",IF(W125&lt;&gt;"","◄ Set Row Type","")))</f>
      </c>
      <c r="Z125" s="28"/>
      <c r="AA125" s="29">
        <f>IF($B125&lt;&gt;"Entry","",IF(Z125="","",IF(X125="Y",SUMPRODUCT(('Rate Lookup'!$A$1:$A$37=Z125)*'Rate Lookup'!$D$1:$D$37),IF(OR(Y125="Individual",Y125="HUF"),SUMPRODUCT(('Rate Lookup'!$A$1:$A$37=Z125)*'Rate Lookup'!$B$1:$B$37),SUMPRODUCT(('Rate Lookup'!$A$1:$A$37=Z125)*'Rate Lookup'!$C$1:$C$37)))))</f>
      </c>
      <c r="AB125" s="30"/>
      <c r="AC125" s="31"/>
      <c r="AD125" s="27">
        <f>IF($B125&lt;&gt;"Entry","",ROUND(AC125*AA125/100,0))</f>
      </c>
      <c r="AE125" s="27">
        <f>IF($B125&lt;&gt;"Entry","",0)</f>
      </c>
      <c r="AF125" s="27">
        <f>IF($B125&lt;&gt;"Entry","",0)</f>
      </c>
      <c r="AG125" s="27">
        <f>IF($B125&lt;&gt;"Entry","",IF(OR(AD125=0,AB125="",AQ125="",AQ125&lt;=0),0,IF(AQ125&lt;=DATE(YEAR(AB125),MONTH(AB125)+1,7),0,ROUND(AD125*0.015*((YEAR(AQ125)-YEAR(AB125))*12+(MONTH(AQ125)-MONTH(AB125))+1),0))))</f>
      </c>
      <c r="AH125" s="27">
        <f>IF($B125&lt;&gt;"Entry","",0)</f>
      </c>
      <c r="AI125" s="28"/>
      <c r="AJ125" s="28"/>
      <c r="AK125" s="32"/>
      <c r="AL125" s="28"/>
      <c r="AM125" s="28"/>
      <c r="AN125" s="27">
        <f>IF($B125&lt;&gt;"Challan","",SUMIF('Q1 Data'!$D$4:$D$207,D125,'Q1 Data'!$AD$4:$AD$207)+SUMIF('Q1 Data'!$D$4:$D$207,D125,'Q1 Data'!$AG$4:$AG$207)+SUMIF('Q1 Data'!$D$4:$D$207,D125,'Q1 Data'!$AE$4:$AE$207)+SUMIF('Q2 Data'!$D$4:$D$207,D125,'Q2 Data'!$AD$4:$AD$207)+SUMIF('Q2 Data'!$D$4:$D$207,D125,'Q2 Data'!$AG$4:$AG$207)+SUMIF('Q2 Data'!$D$4:$D$207,D125,'Q2 Data'!$AE$4:$AE$207)+SUMIF('Q3 Data'!$D$4:$D$207,D125,'Q3 Data'!$AD$4:$AD$207)+SUMIF('Q3 Data'!$D$4:$D$207,D125,'Q3 Data'!$AG$4:$AG$207)+SUMIF('Q3 Data'!$D$4:$D$207,D125,'Q3 Data'!$AE$4:$AE$207)+SUMIF('Q4 Data'!$D$4:$D$207,D125,'Q4 Data'!$AD$4:$AD$207)+SUMIF('Q4 Data'!$D$4:$D$207,D125,'Q4 Data'!$AG$4:$AG$207)+SUMIF('Q4 Data'!$D$4:$D$207,D125,'Q4 Data'!$AE$4:$AE$207))</f>
      </c>
      <c r="AO125" s="27">
        <f>IF($B125&lt;&gt;"Challan","",P125-N125)</f>
      </c>
      <c r="AP125" s="27">
        <f>IF($B125&lt;&gt;"Challan","",MAX(0,AO125-AN125))</f>
      </c>
      <c r="AQ125" s="33">
        <f>IF($B125&lt;&gt;"Entry","",SUMPRODUCT(('Q1 Data'!$D$4:$D$207=D125)*('Q1 Data'!$B$4:$B$207="Challan")*'Q1 Data'!$F$4:$F$207)+SUMPRODUCT(('Q2 Data'!$D$4:$D$207=D125)*('Q2 Data'!$B$4:$B$207="Challan")*'Q2 Data'!$F$4:$F$207)+SUMPRODUCT(('Q3 Data'!$D$4:$D$207=D125)*('Q3 Data'!$B$4:$B$207="Challan")*'Q3 Data'!$F$4:$F$207)+SUMPRODUCT(('Q4 Data'!$D$4:$D$207=D125)*('Q4 Data'!$B$4:$B$207="Challan")*'Q4 Data'!$F$4:$F$207))</f>
      </c>
      <c r="AR125" s="34">
        <f>IF(OR($B125&lt;&gt;"Entry",Z125=""),FALSE,AND((SUMPRODUCT(('Q1 Data'!$D$4:$D$207=D125)*('Q1 Data'!$B$4:$B$207="Challan")*('Q1 Data'!$H$4:$H$207&lt;&gt;""))+SUMPRODUCT(('Q2 Data'!$D$4:$D$207=D125)*('Q2 Data'!$B$4:$B$207="Challan")*('Q2 Data'!$H$4:$H$207&lt;&gt;""))+SUMPRODUCT(('Q3 Data'!$D$4:$D$207=D125)*('Q3 Data'!$B$4:$B$207="Challan")*('Q3 Data'!$H$4:$H$207&lt;&gt;""))+SUMPRODUCT(('Q4 Data'!$D$4:$D$207=D125)*('Q4 Data'!$B$4:$B$207="Challan")*('Q4 Data'!$H$4:$H$207&lt;&gt;"")))&gt;0,(SUMPRODUCT(('Q1 Data'!$D$4:$D$207=D125)*('Q1 Data'!$B$4:$B$207="Challan")*('Q1 Data'!$H$4:$H$207=Z125))+SUMPRODUCT(('Q2 Data'!$D$4:$D$207=D125)*('Q2 Data'!$B$4:$B$207="Challan")*('Q2 Data'!$H$4:$H$207=Z125))+SUMPRODUCT(('Q3 Data'!$D$4:$D$207=D125)*('Q3 Data'!$B$4:$B$207="Challan")*('Q3 Data'!$H$4:$H$207=Z125))+SUMPRODUCT(('Q4 Data'!$D$4:$D$207=D125)*('Q4 Data'!$B$4:$B$207="Challan")*('Q4 Data'!$H$4:$H$207=Z125)))=0))</f>
      </c>
    </row>
    <row r="126" spans="1:44" x14ac:dyDescent="0.25">
      <c r="A126" s="20">
        <f>IF($B126="Entry",COUNTIF($B$4:$B126,"Entry"),"")</f>
      </c>
      <c r="B126" s="21"/>
      <c r="C126" s="22"/>
      <c r="D126" s="22"/>
      <c r="E126" s="23">
        <f>IF($B126&lt;&gt;"Challan","",IF(ROUND(AN126-AO126,2)&gt;0,"Over-applied",IF(ROUND(AN126-AO126,2)=0,"Fully Utilised","Unconsumed")))</f>
      </c>
      <c r="F126" s="24"/>
      <c r="G126" s="25"/>
      <c r="H126" s="25"/>
      <c r="I126" s="26"/>
      <c r="J126" s="26"/>
      <c r="K126" s="26"/>
      <c r="L126" s="26"/>
      <c r="M126" s="26"/>
      <c r="N126" s="26"/>
      <c r="O126" s="26"/>
      <c r="P126" s="27">
        <f>IF($B126&lt;&gt;"Challan","",I126+J126+K126+L126+M126+N126)</f>
      </c>
      <c r="Q126" s="25"/>
      <c r="R126" s="25"/>
      <c r="S126" s="25"/>
      <c r="T126" s="25"/>
      <c r="U126" s="25"/>
      <c r="V126" s="28"/>
      <c r="W126" s="28"/>
      <c r="X126" s="23">
        <f>IF($B126="Entry",IF(AND(LEN(TRIM(UPPER(W126)))=10,CODE(MID(TRIM(UPPER(W126)),1,1))&gt;=65,CODE(MID(TRIM(UPPER(W126)),1,1))&lt;=90,CODE(MID(TRIM(UPPER(W126)),2,1))&gt;=65,CODE(MID(TRIM(UPPER(W126)),2,1))&lt;=90,CODE(MID(TRIM(UPPER(W126)),3,1))&gt;=65,CODE(MID(TRIM(UPPER(W126)),3,1))&lt;=90,CODE(MID(TRIM(UPPER(W126)),4,1))&gt;=65,CODE(MID(TRIM(UPPER(W126)),4,1))&lt;=90,CODE(MID(TRIM(UPPER(W126)),5,1))&gt;=65,CODE(MID(TRIM(UPPER(W126)),5,1))&lt;=90,CODE(MID(TRIM(UPPER(W126)),10,1))&gt;=65,CODE(MID(TRIM(UPPER(W126)),10,1))&lt;=90,CODE(MID(TRIM(UPPER(W126)),6,1))&gt;=48,CODE(MID(TRIM(UPPER(W126)),6,1))&lt;=57,CODE(MID(TRIM(UPPER(W126)),7,1))&gt;=48,CODE(MID(TRIM(UPPER(W126)),7,1))&lt;=57,CODE(MID(TRIM(UPPER(W126)),8,1))&gt;=48,CODE(MID(TRIM(UPPER(W126)),8,1))&lt;=57,CODE(MID(TRIM(UPPER(W126)),9,1))&gt;=48,CODE(MID(TRIM(UPPER(W126)),9,1))&lt;=57),"N","Y"),IF($B126="Challan","",IF(W126&lt;&gt;"","◄ Set Row Type","")))</f>
      </c>
      <c r="Y126" s="23">
        <f>IF($B126="Entry",IF(LEN(W126)&lt;4,"",IF(UPPER(MID(W126,4,1))="P","Individual",IF(UPPER(MID(W126,4,1))="H","HUF",IF(UPPER(MID(W126,4,1))="C","Company",IF(UPPER(MID(W126,4,1))="F","Firm",IF(UPPER(MID(W126,4,1))="L","LLP",IF(UPPER(MID(W126,4,1))="T","Trust",IF(UPPER(MID(W126,4,1))="A","AOP","")))))))),IF($B126="Challan","",IF(W126&lt;&gt;"","◄ Set Row Type","")))</f>
      </c>
      <c r="Z126" s="28"/>
      <c r="AA126" s="29">
        <f>IF($B126&lt;&gt;"Entry","",IF(Z126="","",IF(X126="Y",SUMPRODUCT(('Rate Lookup'!$A$1:$A$37=Z126)*'Rate Lookup'!$D$1:$D$37),IF(OR(Y126="Individual",Y126="HUF"),SUMPRODUCT(('Rate Lookup'!$A$1:$A$37=Z126)*'Rate Lookup'!$B$1:$B$37),SUMPRODUCT(('Rate Lookup'!$A$1:$A$37=Z126)*'Rate Lookup'!$C$1:$C$37)))))</f>
      </c>
      <c r="AB126" s="30"/>
      <c r="AC126" s="31"/>
      <c r="AD126" s="27">
        <f>IF($B126&lt;&gt;"Entry","",ROUND(AC126*AA126/100,0))</f>
      </c>
      <c r="AE126" s="27">
        <f>IF($B126&lt;&gt;"Entry","",0)</f>
      </c>
      <c r="AF126" s="27">
        <f>IF($B126&lt;&gt;"Entry","",0)</f>
      </c>
      <c r="AG126" s="27">
        <f>IF($B126&lt;&gt;"Entry","",IF(OR(AD126=0,AB126="",AQ126="",AQ126&lt;=0),0,IF(AQ126&lt;=DATE(YEAR(AB126),MONTH(AB126)+1,7),0,ROUND(AD126*0.015*((YEAR(AQ126)-YEAR(AB126))*12+(MONTH(AQ126)-MONTH(AB126))+1),0))))</f>
      </c>
      <c r="AH126" s="27">
        <f>IF($B126&lt;&gt;"Entry","",0)</f>
      </c>
      <c r="AI126" s="28"/>
      <c r="AJ126" s="28"/>
      <c r="AK126" s="32"/>
      <c r="AL126" s="28"/>
      <c r="AM126" s="28"/>
      <c r="AN126" s="27">
        <f>IF($B126&lt;&gt;"Challan","",SUMIF('Q1 Data'!$D$4:$D$207,D126,'Q1 Data'!$AD$4:$AD$207)+SUMIF('Q1 Data'!$D$4:$D$207,D126,'Q1 Data'!$AG$4:$AG$207)+SUMIF('Q1 Data'!$D$4:$D$207,D126,'Q1 Data'!$AE$4:$AE$207)+SUMIF('Q2 Data'!$D$4:$D$207,D126,'Q2 Data'!$AD$4:$AD$207)+SUMIF('Q2 Data'!$D$4:$D$207,D126,'Q2 Data'!$AG$4:$AG$207)+SUMIF('Q2 Data'!$D$4:$D$207,D126,'Q2 Data'!$AE$4:$AE$207)+SUMIF('Q3 Data'!$D$4:$D$207,D126,'Q3 Data'!$AD$4:$AD$207)+SUMIF('Q3 Data'!$D$4:$D$207,D126,'Q3 Data'!$AG$4:$AG$207)+SUMIF('Q3 Data'!$D$4:$D$207,D126,'Q3 Data'!$AE$4:$AE$207)+SUMIF('Q4 Data'!$D$4:$D$207,D126,'Q4 Data'!$AD$4:$AD$207)+SUMIF('Q4 Data'!$D$4:$D$207,D126,'Q4 Data'!$AG$4:$AG$207)+SUMIF('Q4 Data'!$D$4:$D$207,D126,'Q4 Data'!$AE$4:$AE$207))</f>
      </c>
      <c r="AO126" s="27">
        <f>IF($B126&lt;&gt;"Challan","",P126-N126)</f>
      </c>
      <c r="AP126" s="27">
        <f>IF($B126&lt;&gt;"Challan","",MAX(0,AO126-AN126))</f>
      </c>
      <c r="AQ126" s="33">
        <f>IF($B126&lt;&gt;"Entry","",SUMPRODUCT(('Q1 Data'!$D$4:$D$207=D126)*('Q1 Data'!$B$4:$B$207="Challan")*'Q1 Data'!$F$4:$F$207)+SUMPRODUCT(('Q2 Data'!$D$4:$D$207=D126)*('Q2 Data'!$B$4:$B$207="Challan")*'Q2 Data'!$F$4:$F$207)+SUMPRODUCT(('Q3 Data'!$D$4:$D$207=D126)*('Q3 Data'!$B$4:$B$207="Challan")*'Q3 Data'!$F$4:$F$207)+SUMPRODUCT(('Q4 Data'!$D$4:$D$207=D126)*('Q4 Data'!$B$4:$B$207="Challan")*'Q4 Data'!$F$4:$F$207))</f>
      </c>
      <c r="AR126" s="34">
        <f>IF(OR($B126&lt;&gt;"Entry",Z126=""),FALSE,AND((SUMPRODUCT(('Q1 Data'!$D$4:$D$207=D126)*('Q1 Data'!$B$4:$B$207="Challan")*('Q1 Data'!$H$4:$H$207&lt;&gt;""))+SUMPRODUCT(('Q2 Data'!$D$4:$D$207=D126)*('Q2 Data'!$B$4:$B$207="Challan")*('Q2 Data'!$H$4:$H$207&lt;&gt;""))+SUMPRODUCT(('Q3 Data'!$D$4:$D$207=D126)*('Q3 Data'!$B$4:$B$207="Challan")*('Q3 Data'!$H$4:$H$207&lt;&gt;""))+SUMPRODUCT(('Q4 Data'!$D$4:$D$207=D126)*('Q4 Data'!$B$4:$B$207="Challan")*('Q4 Data'!$H$4:$H$207&lt;&gt;"")))&gt;0,(SUMPRODUCT(('Q1 Data'!$D$4:$D$207=D126)*('Q1 Data'!$B$4:$B$207="Challan")*('Q1 Data'!$H$4:$H$207=Z126))+SUMPRODUCT(('Q2 Data'!$D$4:$D$207=D126)*('Q2 Data'!$B$4:$B$207="Challan")*('Q2 Data'!$H$4:$H$207=Z126))+SUMPRODUCT(('Q3 Data'!$D$4:$D$207=D126)*('Q3 Data'!$B$4:$B$207="Challan")*('Q3 Data'!$H$4:$H$207=Z126))+SUMPRODUCT(('Q4 Data'!$D$4:$D$207=D126)*('Q4 Data'!$B$4:$B$207="Challan")*('Q4 Data'!$H$4:$H$207=Z126)))=0))</f>
      </c>
    </row>
    <row r="127" spans="1:44" x14ac:dyDescent="0.25">
      <c r="A127" s="20">
        <f>IF($B127="Entry",COUNTIF($B$4:$B127,"Entry"),"")</f>
      </c>
      <c r="B127" s="21"/>
      <c r="C127" s="22"/>
      <c r="D127" s="22"/>
      <c r="E127" s="23">
        <f>IF($B127&lt;&gt;"Challan","",IF(ROUND(AN127-AO127,2)&gt;0,"Over-applied",IF(ROUND(AN127-AO127,2)=0,"Fully Utilised","Unconsumed")))</f>
      </c>
      <c r="F127" s="24"/>
      <c r="G127" s="25"/>
      <c r="H127" s="25"/>
      <c r="I127" s="26"/>
      <c r="J127" s="26"/>
      <c r="K127" s="26"/>
      <c r="L127" s="26"/>
      <c r="M127" s="26"/>
      <c r="N127" s="26"/>
      <c r="O127" s="26"/>
      <c r="P127" s="27">
        <f>IF($B127&lt;&gt;"Challan","",I127+J127+K127+L127+M127+N127)</f>
      </c>
      <c r="Q127" s="25"/>
      <c r="R127" s="25"/>
      <c r="S127" s="25"/>
      <c r="T127" s="25"/>
      <c r="U127" s="25"/>
      <c r="V127" s="28"/>
      <c r="W127" s="28"/>
      <c r="X127" s="23">
        <f>IF($B127="Entry",IF(AND(LEN(TRIM(UPPER(W127)))=10,CODE(MID(TRIM(UPPER(W127)),1,1))&gt;=65,CODE(MID(TRIM(UPPER(W127)),1,1))&lt;=90,CODE(MID(TRIM(UPPER(W127)),2,1))&gt;=65,CODE(MID(TRIM(UPPER(W127)),2,1))&lt;=90,CODE(MID(TRIM(UPPER(W127)),3,1))&gt;=65,CODE(MID(TRIM(UPPER(W127)),3,1))&lt;=90,CODE(MID(TRIM(UPPER(W127)),4,1))&gt;=65,CODE(MID(TRIM(UPPER(W127)),4,1))&lt;=90,CODE(MID(TRIM(UPPER(W127)),5,1))&gt;=65,CODE(MID(TRIM(UPPER(W127)),5,1))&lt;=90,CODE(MID(TRIM(UPPER(W127)),10,1))&gt;=65,CODE(MID(TRIM(UPPER(W127)),10,1))&lt;=90,CODE(MID(TRIM(UPPER(W127)),6,1))&gt;=48,CODE(MID(TRIM(UPPER(W127)),6,1))&lt;=57,CODE(MID(TRIM(UPPER(W127)),7,1))&gt;=48,CODE(MID(TRIM(UPPER(W127)),7,1))&lt;=57,CODE(MID(TRIM(UPPER(W127)),8,1))&gt;=48,CODE(MID(TRIM(UPPER(W127)),8,1))&lt;=57,CODE(MID(TRIM(UPPER(W127)),9,1))&gt;=48,CODE(MID(TRIM(UPPER(W127)),9,1))&lt;=57),"N","Y"),IF($B127="Challan","",IF(W127&lt;&gt;"","◄ Set Row Type","")))</f>
      </c>
      <c r="Y127" s="23">
        <f>IF($B127="Entry",IF(LEN(W127)&lt;4,"",IF(UPPER(MID(W127,4,1))="P","Individual",IF(UPPER(MID(W127,4,1))="H","HUF",IF(UPPER(MID(W127,4,1))="C","Company",IF(UPPER(MID(W127,4,1))="F","Firm",IF(UPPER(MID(W127,4,1))="L","LLP",IF(UPPER(MID(W127,4,1))="T","Trust",IF(UPPER(MID(W127,4,1))="A","AOP","")))))))),IF($B127="Challan","",IF(W127&lt;&gt;"","◄ Set Row Type","")))</f>
      </c>
      <c r="Z127" s="28"/>
      <c r="AA127" s="29">
        <f>IF($B127&lt;&gt;"Entry","",IF(Z127="","",IF(X127="Y",SUMPRODUCT(('Rate Lookup'!$A$1:$A$37=Z127)*'Rate Lookup'!$D$1:$D$37),IF(OR(Y127="Individual",Y127="HUF"),SUMPRODUCT(('Rate Lookup'!$A$1:$A$37=Z127)*'Rate Lookup'!$B$1:$B$37),SUMPRODUCT(('Rate Lookup'!$A$1:$A$37=Z127)*'Rate Lookup'!$C$1:$C$37)))))</f>
      </c>
      <c r="AB127" s="30"/>
      <c r="AC127" s="31"/>
      <c r="AD127" s="27">
        <f>IF($B127&lt;&gt;"Entry","",ROUND(AC127*AA127/100,0))</f>
      </c>
      <c r="AE127" s="27">
        <f>IF($B127&lt;&gt;"Entry","",0)</f>
      </c>
      <c r="AF127" s="27">
        <f>IF($B127&lt;&gt;"Entry","",0)</f>
      </c>
      <c r="AG127" s="27">
        <f>IF($B127&lt;&gt;"Entry","",IF(OR(AD127=0,AB127="",AQ127="",AQ127&lt;=0),0,IF(AQ127&lt;=DATE(YEAR(AB127),MONTH(AB127)+1,7),0,ROUND(AD127*0.015*((YEAR(AQ127)-YEAR(AB127))*12+(MONTH(AQ127)-MONTH(AB127))+1),0))))</f>
      </c>
      <c r="AH127" s="27">
        <f>IF($B127&lt;&gt;"Entry","",0)</f>
      </c>
      <c r="AI127" s="28"/>
      <c r="AJ127" s="28"/>
      <c r="AK127" s="32"/>
      <c r="AL127" s="28"/>
      <c r="AM127" s="28"/>
      <c r="AN127" s="27">
        <f>IF($B127&lt;&gt;"Challan","",SUMIF('Q1 Data'!$D$4:$D$207,D127,'Q1 Data'!$AD$4:$AD$207)+SUMIF('Q1 Data'!$D$4:$D$207,D127,'Q1 Data'!$AG$4:$AG$207)+SUMIF('Q1 Data'!$D$4:$D$207,D127,'Q1 Data'!$AE$4:$AE$207)+SUMIF('Q2 Data'!$D$4:$D$207,D127,'Q2 Data'!$AD$4:$AD$207)+SUMIF('Q2 Data'!$D$4:$D$207,D127,'Q2 Data'!$AG$4:$AG$207)+SUMIF('Q2 Data'!$D$4:$D$207,D127,'Q2 Data'!$AE$4:$AE$207)+SUMIF('Q3 Data'!$D$4:$D$207,D127,'Q3 Data'!$AD$4:$AD$207)+SUMIF('Q3 Data'!$D$4:$D$207,D127,'Q3 Data'!$AG$4:$AG$207)+SUMIF('Q3 Data'!$D$4:$D$207,D127,'Q3 Data'!$AE$4:$AE$207)+SUMIF('Q4 Data'!$D$4:$D$207,D127,'Q4 Data'!$AD$4:$AD$207)+SUMIF('Q4 Data'!$D$4:$D$207,D127,'Q4 Data'!$AG$4:$AG$207)+SUMIF('Q4 Data'!$D$4:$D$207,D127,'Q4 Data'!$AE$4:$AE$207))</f>
      </c>
      <c r="AO127" s="27">
        <f>IF($B127&lt;&gt;"Challan","",P127-N127)</f>
      </c>
      <c r="AP127" s="27">
        <f>IF($B127&lt;&gt;"Challan","",MAX(0,AO127-AN127))</f>
      </c>
      <c r="AQ127" s="33">
        <f>IF($B127&lt;&gt;"Entry","",SUMPRODUCT(('Q1 Data'!$D$4:$D$207=D127)*('Q1 Data'!$B$4:$B$207="Challan")*'Q1 Data'!$F$4:$F$207)+SUMPRODUCT(('Q2 Data'!$D$4:$D$207=D127)*('Q2 Data'!$B$4:$B$207="Challan")*'Q2 Data'!$F$4:$F$207)+SUMPRODUCT(('Q3 Data'!$D$4:$D$207=D127)*('Q3 Data'!$B$4:$B$207="Challan")*'Q3 Data'!$F$4:$F$207)+SUMPRODUCT(('Q4 Data'!$D$4:$D$207=D127)*('Q4 Data'!$B$4:$B$207="Challan")*'Q4 Data'!$F$4:$F$207))</f>
      </c>
      <c r="AR127" s="34">
        <f>IF(OR($B127&lt;&gt;"Entry",Z127=""),FALSE,AND((SUMPRODUCT(('Q1 Data'!$D$4:$D$207=D127)*('Q1 Data'!$B$4:$B$207="Challan")*('Q1 Data'!$H$4:$H$207&lt;&gt;""))+SUMPRODUCT(('Q2 Data'!$D$4:$D$207=D127)*('Q2 Data'!$B$4:$B$207="Challan")*('Q2 Data'!$H$4:$H$207&lt;&gt;""))+SUMPRODUCT(('Q3 Data'!$D$4:$D$207=D127)*('Q3 Data'!$B$4:$B$207="Challan")*('Q3 Data'!$H$4:$H$207&lt;&gt;""))+SUMPRODUCT(('Q4 Data'!$D$4:$D$207=D127)*('Q4 Data'!$B$4:$B$207="Challan")*('Q4 Data'!$H$4:$H$207&lt;&gt;"")))&gt;0,(SUMPRODUCT(('Q1 Data'!$D$4:$D$207=D127)*('Q1 Data'!$B$4:$B$207="Challan")*('Q1 Data'!$H$4:$H$207=Z127))+SUMPRODUCT(('Q2 Data'!$D$4:$D$207=D127)*('Q2 Data'!$B$4:$B$207="Challan")*('Q2 Data'!$H$4:$H$207=Z127))+SUMPRODUCT(('Q3 Data'!$D$4:$D$207=D127)*('Q3 Data'!$B$4:$B$207="Challan")*('Q3 Data'!$H$4:$H$207=Z127))+SUMPRODUCT(('Q4 Data'!$D$4:$D$207=D127)*('Q4 Data'!$B$4:$B$207="Challan")*('Q4 Data'!$H$4:$H$207=Z127)))=0))</f>
      </c>
    </row>
    <row r="128" spans="1:44" x14ac:dyDescent="0.25">
      <c r="A128" s="20">
        <f>IF($B128="Entry",COUNTIF($B$4:$B128,"Entry"),"")</f>
      </c>
      <c r="B128" s="21"/>
      <c r="C128" s="22"/>
      <c r="D128" s="22"/>
      <c r="E128" s="23">
        <f>IF($B128&lt;&gt;"Challan","",IF(ROUND(AN128-AO128,2)&gt;0,"Over-applied",IF(ROUND(AN128-AO128,2)=0,"Fully Utilised","Unconsumed")))</f>
      </c>
      <c r="F128" s="24"/>
      <c r="G128" s="25"/>
      <c r="H128" s="25"/>
      <c r="I128" s="26"/>
      <c r="J128" s="26"/>
      <c r="K128" s="26"/>
      <c r="L128" s="26"/>
      <c r="M128" s="26"/>
      <c r="N128" s="26"/>
      <c r="O128" s="26"/>
      <c r="P128" s="27">
        <f>IF($B128&lt;&gt;"Challan","",I128+J128+K128+L128+M128+N128)</f>
      </c>
      <c r="Q128" s="25"/>
      <c r="R128" s="25"/>
      <c r="S128" s="25"/>
      <c r="T128" s="25"/>
      <c r="U128" s="25"/>
      <c r="V128" s="28"/>
      <c r="W128" s="28"/>
      <c r="X128" s="23">
        <f>IF($B128="Entry",IF(AND(LEN(TRIM(UPPER(W128)))=10,CODE(MID(TRIM(UPPER(W128)),1,1))&gt;=65,CODE(MID(TRIM(UPPER(W128)),1,1))&lt;=90,CODE(MID(TRIM(UPPER(W128)),2,1))&gt;=65,CODE(MID(TRIM(UPPER(W128)),2,1))&lt;=90,CODE(MID(TRIM(UPPER(W128)),3,1))&gt;=65,CODE(MID(TRIM(UPPER(W128)),3,1))&lt;=90,CODE(MID(TRIM(UPPER(W128)),4,1))&gt;=65,CODE(MID(TRIM(UPPER(W128)),4,1))&lt;=90,CODE(MID(TRIM(UPPER(W128)),5,1))&gt;=65,CODE(MID(TRIM(UPPER(W128)),5,1))&lt;=90,CODE(MID(TRIM(UPPER(W128)),10,1))&gt;=65,CODE(MID(TRIM(UPPER(W128)),10,1))&lt;=90,CODE(MID(TRIM(UPPER(W128)),6,1))&gt;=48,CODE(MID(TRIM(UPPER(W128)),6,1))&lt;=57,CODE(MID(TRIM(UPPER(W128)),7,1))&gt;=48,CODE(MID(TRIM(UPPER(W128)),7,1))&lt;=57,CODE(MID(TRIM(UPPER(W128)),8,1))&gt;=48,CODE(MID(TRIM(UPPER(W128)),8,1))&lt;=57,CODE(MID(TRIM(UPPER(W128)),9,1))&gt;=48,CODE(MID(TRIM(UPPER(W128)),9,1))&lt;=57),"N","Y"),IF($B128="Challan","",IF(W128&lt;&gt;"","◄ Set Row Type","")))</f>
      </c>
      <c r="Y128" s="23">
        <f>IF($B128="Entry",IF(LEN(W128)&lt;4,"",IF(UPPER(MID(W128,4,1))="P","Individual",IF(UPPER(MID(W128,4,1))="H","HUF",IF(UPPER(MID(W128,4,1))="C","Company",IF(UPPER(MID(W128,4,1))="F","Firm",IF(UPPER(MID(W128,4,1))="L","LLP",IF(UPPER(MID(W128,4,1))="T","Trust",IF(UPPER(MID(W128,4,1))="A","AOP","")))))))),IF($B128="Challan","",IF(W128&lt;&gt;"","◄ Set Row Type","")))</f>
      </c>
      <c r="Z128" s="28"/>
      <c r="AA128" s="29">
        <f>IF($B128&lt;&gt;"Entry","",IF(Z128="","",IF(X128="Y",SUMPRODUCT(('Rate Lookup'!$A$1:$A$37=Z128)*'Rate Lookup'!$D$1:$D$37),IF(OR(Y128="Individual",Y128="HUF"),SUMPRODUCT(('Rate Lookup'!$A$1:$A$37=Z128)*'Rate Lookup'!$B$1:$B$37),SUMPRODUCT(('Rate Lookup'!$A$1:$A$37=Z128)*'Rate Lookup'!$C$1:$C$37)))))</f>
      </c>
      <c r="AB128" s="30"/>
      <c r="AC128" s="31"/>
      <c r="AD128" s="27">
        <f>IF($B128&lt;&gt;"Entry","",ROUND(AC128*AA128/100,0))</f>
      </c>
      <c r="AE128" s="27">
        <f>IF($B128&lt;&gt;"Entry","",0)</f>
      </c>
      <c r="AF128" s="27">
        <f>IF($B128&lt;&gt;"Entry","",0)</f>
      </c>
      <c r="AG128" s="27">
        <f>IF($B128&lt;&gt;"Entry","",IF(OR(AD128=0,AB128="",AQ128="",AQ128&lt;=0),0,IF(AQ128&lt;=DATE(YEAR(AB128),MONTH(AB128)+1,7),0,ROUND(AD128*0.015*((YEAR(AQ128)-YEAR(AB128))*12+(MONTH(AQ128)-MONTH(AB128))+1),0))))</f>
      </c>
      <c r="AH128" s="27">
        <f>IF($B128&lt;&gt;"Entry","",0)</f>
      </c>
      <c r="AI128" s="28"/>
      <c r="AJ128" s="28"/>
      <c r="AK128" s="32"/>
      <c r="AL128" s="28"/>
      <c r="AM128" s="28"/>
      <c r="AN128" s="27">
        <f>IF($B128&lt;&gt;"Challan","",SUMIF('Q1 Data'!$D$4:$D$207,D128,'Q1 Data'!$AD$4:$AD$207)+SUMIF('Q1 Data'!$D$4:$D$207,D128,'Q1 Data'!$AG$4:$AG$207)+SUMIF('Q1 Data'!$D$4:$D$207,D128,'Q1 Data'!$AE$4:$AE$207)+SUMIF('Q2 Data'!$D$4:$D$207,D128,'Q2 Data'!$AD$4:$AD$207)+SUMIF('Q2 Data'!$D$4:$D$207,D128,'Q2 Data'!$AG$4:$AG$207)+SUMIF('Q2 Data'!$D$4:$D$207,D128,'Q2 Data'!$AE$4:$AE$207)+SUMIF('Q3 Data'!$D$4:$D$207,D128,'Q3 Data'!$AD$4:$AD$207)+SUMIF('Q3 Data'!$D$4:$D$207,D128,'Q3 Data'!$AG$4:$AG$207)+SUMIF('Q3 Data'!$D$4:$D$207,D128,'Q3 Data'!$AE$4:$AE$207)+SUMIF('Q4 Data'!$D$4:$D$207,D128,'Q4 Data'!$AD$4:$AD$207)+SUMIF('Q4 Data'!$D$4:$D$207,D128,'Q4 Data'!$AG$4:$AG$207)+SUMIF('Q4 Data'!$D$4:$D$207,D128,'Q4 Data'!$AE$4:$AE$207))</f>
      </c>
      <c r="AO128" s="27">
        <f>IF($B128&lt;&gt;"Challan","",P128-N128)</f>
      </c>
      <c r="AP128" s="27">
        <f>IF($B128&lt;&gt;"Challan","",MAX(0,AO128-AN128))</f>
      </c>
      <c r="AQ128" s="33">
        <f>IF($B128&lt;&gt;"Entry","",SUMPRODUCT(('Q1 Data'!$D$4:$D$207=D128)*('Q1 Data'!$B$4:$B$207="Challan")*'Q1 Data'!$F$4:$F$207)+SUMPRODUCT(('Q2 Data'!$D$4:$D$207=D128)*('Q2 Data'!$B$4:$B$207="Challan")*'Q2 Data'!$F$4:$F$207)+SUMPRODUCT(('Q3 Data'!$D$4:$D$207=D128)*('Q3 Data'!$B$4:$B$207="Challan")*'Q3 Data'!$F$4:$F$207)+SUMPRODUCT(('Q4 Data'!$D$4:$D$207=D128)*('Q4 Data'!$B$4:$B$207="Challan")*'Q4 Data'!$F$4:$F$207))</f>
      </c>
      <c r="AR128" s="34">
        <f>IF(OR($B128&lt;&gt;"Entry",Z128=""),FALSE,AND((SUMPRODUCT(('Q1 Data'!$D$4:$D$207=D128)*('Q1 Data'!$B$4:$B$207="Challan")*('Q1 Data'!$H$4:$H$207&lt;&gt;""))+SUMPRODUCT(('Q2 Data'!$D$4:$D$207=D128)*('Q2 Data'!$B$4:$B$207="Challan")*('Q2 Data'!$H$4:$H$207&lt;&gt;""))+SUMPRODUCT(('Q3 Data'!$D$4:$D$207=D128)*('Q3 Data'!$B$4:$B$207="Challan")*('Q3 Data'!$H$4:$H$207&lt;&gt;""))+SUMPRODUCT(('Q4 Data'!$D$4:$D$207=D128)*('Q4 Data'!$B$4:$B$207="Challan")*('Q4 Data'!$H$4:$H$207&lt;&gt;"")))&gt;0,(SUMPRODUCT(('Q1 Data'!$D$4:$D$207=D128)*('Q1 Data'!$B$4:$B$207="Challan")*('Q1 Data'!$H$4:$H$207=Z128))+SUMPRODUCT(('Q2 Data'!$D$4:$D$207=D128)*('Q2 Data'!$B$4:$B$207="Challan")*('Q2 Data'!$H$4:$H$207=Z128))+SUMPRODUCT(('Q3 Data'!$D$4:$D$207=D128)*('Q3 Data'!$B$4:$B$207="Challan")*('Q3 Data'!$H$4:$H$207=Z128))+SUMPRODUCT(('Q4 Data'!$D$4:$D$207=D128)*('Q4 Data'!$B$4:$B$207="Challan")*('Q4 Data'!$H$4:$H$207=Z128)))=0))</f>
      </c>
    </row>
    <row r="129" spans="1:44" x14ac:dyDescent="0.25">
      <c r="A129" s="20">
        <f>IF($B129="Entry",COUNTIF($B$4:$B129,"Entry"),"")</f>
      </c>
      <c r="B129" s="21"/>
      <c r="C129" s="22"/>
      <c r="D129" s="22"/>
      <c r="E129" s="23">
        <f>IF($B129&lt;&gt;"Challan","",IF(ROUND(AN129-AO129,2)&gt;0,"Over-applied",IF(ROUND(AN129-AO129,2)=0,"Fully Utilised","Unconsumed")))</f>
      </c>
      <c r="F129" s="24"/>
      <c r="G129" s="25"/>
      <c r="H129" s="25"/>
      <c r="I129" s="26"/>
      <c r="J129" s="26"/>
      <c r="K129" s="26"/>
      <c r="L129" s="26"/>
      <c r="M129" s="26"/>
      <c r="N129" s="26"/>
      <c r="O129" s="26"/>
      <c r="P129" s="27">
        <f>IF($B129&lt;&gt;"Challan","",I129+J129+K129+L129+M129+N129)</f>
      </c>
      <c r="Q129" s="25"/>
      <c r="R129" s="25"/>
      <c r="S129" s="25"/>
      <c r="T129" s="25"/>
      <c r="U129" s="25"/>
      <c r="V129" s="28"/>
      <c r="W129" s="28"/>
      <c r="X129" s="23">
        <f>IF($B129="Entry",IF(AND(LEN(TRIM(UPPER(W129)))=10,CODE(MID(TRIM(UPPER(W129)),1,1))&gt;=65,CODE(MID(TRIM(UPPER(W129)),1,1))&lt;=90,CODE(MID(TRIM(UPPER(W129)),2,1))&gt;=65,CODE(MID(TRIM(UPPER(W129)),2,1))&lt;=90,CODE(MID(TRIM(UPPER(W129)),3,1))&gt;=65,CODE(MID(TRIM(UPPER(W129)),3,1))&lt;=90,CODE(MID(TRIM(UPPER(W129)),4,1))&gt;=65,CODE(MID(TRIM(UPPER(W129)),4,1))&lt;=90,CODE(MID(TRIM(UPPER(W129)),5,1))&gt;=65,CODE(MID(TRIM(UPPER(W129)),5,1))&lt;=90,CODE(MID(TRIM(UPPER(W129)),10,1))&gt;=65,CODE(MID(TRIM(UPPER(W129)),10,1))&lt;=90,CODE(MID(TRIM(UPPER(W129)),6,1))&gt;=48,CODE(MID(TRIM(UPPER(W129)),6,1))&lt;=57,CODE(MID(TRIM(UPPER(W129)),7,1))&gt;=48,CODE(MID(TRIM(UPPER(W129)),7,1))&lt;=57,CODE(MID(TRIM(UPPER(W129)),8,1))&gt;=48,CODE(MID(TRIM(UPPER(W129)),8,1))&lt;=57,CODE(MID(TRIM(UPPER(W129)),9,1))&gt;=48,CODE(MID(TRIM(UPPER(W129)),9,1))&lt;=57),"N","Y"),IF($B129="Challan","",IF(W129&lt;&gt;"","◄ Set Row Type","")))</f>
      </c>
      <c r="Y129" s="23">
        <f>IF($B129="Entry",IF(LEN(W129)&lt;4,"",IF(UPPER(MID(W129,4,1))="P","Individual",IF(UPPER(MID(W129,4,1))="H","HUF",IF(UPPER(MID(W129,4,1))="C","Company",IF(UPPER(MID(W129,4,1))="F","Firm",IF(UPPER(MID(W129,4,1))="L","LLP",IF(UPPER(MID(W129,4,1))="T","Trust",IF(UPPER(MID(W129,4,1))="A","AOP","")))))))),IF($B129="Challan","",IF(W129&lt;&gt;"","◄ Set Row Type","")))</f>
      </c>
      <c r="Z129" s="28"/>
      <c r="AA129" s="29">
        <f>IF($B129&lt;&gt;"Entry","",IF(Z129="","",IF(X129="Y",SUMPRODUCT(('Rate Lookup'!$A$1:$A$37=Z129)*'Rate Lookup'!$D$1:$D$37),IF(OR(Y129="Individual",Y129="HUF"),SUMPRODUCT(('Rate Lookup'!$A$1:$A$37=Z129)*'Rate Lookup'!$B$1:$B$37),SUMPRODUCT(('Rate Lookup'!$A$1:$A$37=Z129)*'Rate Lookup'!$C$1:$C$37)))))</f>
      </c>
      <c r="AB129" s="30"/>
      <c r="AC129" s="31"/>
      <c r="AD129" s="27">
        <f>IF($B129&lt;&gt;"Entry","",ROUND(AC129*AA129/100,0))</f>
      </c>
      <c r="AE129" s="27">
        <f>IF($B129&lt;&gt;"Entry","",0)</f>
      </c>
      <c r="AF129" s="27">
        <f>IF($B129&lt;&gt;"Entry","",0)</f>
      </c>
      <c r="AG129" s="27">
        <f>IF($B129&lt;&gt;"Entry","",IF(OR(AD129=0,AB129="",AQ129="",AQ129&lt;=0),0,IF(AQ129&lt;=DATE(YEAR(AB129),MONTH(AB129)+1,7),0,ROUND(AD129*0.015*((YEAR(AQ129)-YEAR(AB129))*12+(MONTH(AQ129)-MONTH(AB129))+1),0))))</f>
      </c>
      <c r="AH129" s="27">
        <f>IF($B129&lt;&gt;"Entry","",0)</f>
      </c>
      <c r="AI129" s="28"/>
      <c r="AJ129" s="28"/>
      <c r="AK129" s="32"/>
      <c r="AL129" s="28"/>
      <c r="AM129" s="28"/>
      <c r="AN129" s="27">
        <f>IF($B129&lt;&gt;"Challan","",SUMIF('Q1 Data'!$D$4:$D$207,D129,'Q1 Data'!$AD$4:$AD$207)+SUMIF('Q1 Data'!$D$4:$D$207,D129,'Q1 Data'!$AG$4:$AG$207)+SUMIF('Q1 Data'!$D$4:$D$207,D129,'Q1 Data'!$AE$4:$AE$207)+SUMIF('Q2 Data'!$D$4:$D$207,D129,'Q2 Data'!$AD$4:$AD$207)+SUMIF('Q2 Data'!$D$4:$D$207,D129,'Q2 Data'!$AG$4:$AG$207)+SUMIF('Q2 Data'!$D$4:$D$207,D129,'Q2 Data'!$AE$4:$AE$207)+SUMIF('Q3 Data'!$D$4:$D$207,D129,'Q3 Data'!$AD$4:$AD$207)+SUMIF('Q3 Data'!$D$4:$D$207,D129,'Q3 Data'!$AG$4:$AG$207)+SUMIF('Q3 Data'!$D$4:$D$207,D129,'Q3 Data'!$AE$4:$AE$207)+SUMIF('Q4 Data'!$D$4:$D$207,D129,'Q4 Data'!$AD$4:$AD$207)+SUMIF('Q4 Data'!$D$4:$D$207,D129,'Q4 Data'!$AG$4:$AG$207)+SUMIF('Q4 Data'!$D$4:$D$207,D129,'Q4 Data'!$AE$4:$AE$207))</f>
      </c>
      <c r="AO129" s="27">
        <f>IF($B129&lt;&gt;"Challan","",P129-N129)</f>
      </c>
      <c r="AP129" s="27">
        <f>IF($B129&lt;&gt;"Challan","",MAX(0,AO129-AN129))</f>
      </c>
      <c r="AQ129" s="33">
        <f>IF($B129&lt;&gt;"Entry","",SUMPRODUCT(('Q1 Data'!$D$4:$D$207=D129)*('Q1 Data'!$B$4:$B$207="Challan")*'Q1 Data'!$F$4:$F$207)+SUMPRODUCT(('Q2 Data'!$D$4:$D$207=D129)*('Q2 Data'!$B$4:$B$207="Challan")*'Q2 Data'!$F$4:$F$207)+SUMPRODUCT(('Q3 Data'!$D$4:$D$207=D129)*('Q3 Data'!$B$4:$B$207="Challan")*'Q3 Data'!$F$4:$F$207)+SUMPRODUCT(('Q4 Data'!$D$4:$D$207=D129)*('Q4 Data'!$B$4:$B$207="Challan")*'Q4 Data'!$F$4:$F$207))</f>
      </c>
      <c r="AR129" s="34">
        <f>IF(OR($B129&lt;&gt;"Entry",Z129=""),FALSE,AND((SUMPRODUCT(('Q1 Data'!$D$4:$D$207=D129)*('Q1 Data'!$B$4:$B$207="Challan")*('Q1 Data'!$H$4:$H$207&lt;&gt;""))+SUMPRODUCT(('Q2 Data'!$D$4:$D$207=D129)*('Q2 Data'!$B$4:$B$207="Challan")*('Q2 Data'!$H$4:$H$207&lt;&gt;""))+SUMPRODUCT(('Q3 Data'!$D$4:$D$207=D129)*('Q3 Data'!$B$4:$B$207="Challan")*('Q3 Data'!$H$4:$H$207&lt;&gt;""))+SUMPRODUCT(('Q4 Data'!$D$4:$D$207=D129)*('Q4 Data'!$B$4:$B$207="Challan")*('Q4 Data'!$H$4:$H$207&lt;&gt;"")))&gt;0,(SUMPRODUCT(('Q1 Data'!$D$4:$D$207=D129)*('Q1 Data'!$B$4:$B$207="Challan")*('Q1 Data'!$H$4:$H$207=Z129))+SUMPRODUCT(('Q2 Data'!$D$4:$D$207=D129)*('Q2 Data'!$B$4:$B$207="Challan")*('Q2 Data'!$H$4:$H$207=Z129))+SUMPRODUCT(('Q3 Data'!$D$4:$D$207=D129)*('Q3 Data'!$B$4:$B$207="Challan")*('Q3 Data'!$H$4:$H$207=Z129))+SUMPRODUCT(('Q4 Data'!$D$4:$D$207=D129)*('Q4 Data'!$B$4:$B$207="Challan")*('Q4 Data'!$H$4:$H$207=Z129)))=0))</f>
      </c>
    </row>
    <row r="130" spans="1:44" x14ac:dyDescent="0.25">
      <c r="A130" s="20">
        <f>IF($B130="Entry",COUNTIF($B$4:$B130,"Entry"),"")</f>
      </c>
      <c r="B130" s="21"/>
      <c r="C130" s="22"/>
      <c r="D130" s="22"/>
      <c r="E130" s="23">
        <f>IF($B130&lt;&gt;"Challan","",IF(ROUND(AN130-AO130,2)&gt;0,"Over-applied",IF(ROUND(AN130-AO130,2)=0,"Fully Utilised","Unconsumed")))</f>
      </c>
      <c r="F130" s="24"/>
      <c r="G130" s="25"/>
      <c r="H130" s="25"/>
      <c r="I130" s="26"/>
      <c r="J130" s="26"/>
      <c r="K130" s="26"/>
      <c r="L130" s="26"/>
      <c r="M130" s="26"/>
      <c r="N130" s="26"/>
      <c r="O130" s="26"/>
      <c r="P130" s="27">
        <f>IF($B130&lt;&gt;"Challan","",I130+J130+K130+L130+M130+N130)</f>
      </c>
      <c r="Q130" s="25"/>
      <c r="R130" s="25"/>
      <c r="S130" s="25"/>
      <c r="T130" s="25"/>
      <c r="U130" s="25"/>
      <c r="V130" s="28"/>
      <c r="W130" s="28"/>
      <c r="X130" s="23">
        <f>IF($B130="Entry",IF(AND(LEN(TRIM(UPPER(W130)))=10,CODE(MID(TRIM(UPPER(W130)),1,1))&gt;=65,CODE(MID(TRIM(UPPER(W130)),1,1))&lt;=90,CODE(MID(TRIM(UPPER(W130)),2,1))&gt;=65,CODE(MID(TRIM(UPPER(W130)),2,1))&lt;=90,CODE(MID(TRIM(UPPER(W130)),3,1))&gt;=65,CODE(MID(TRIM(UPPER(W130)),3,1))&lt;=90,CODE(MID(TRIM(UPPER(W130)),4,1))&gt;=65,CODE(MID(TRIM(UPPER(W130)),4,1))&lt;=90,CODE(MID(TRIM(UPPER(W130)),5,1))&gt;=65,CODE(MID(TRIM(UPPER(W130)),5,1))&lt;=90,CODE(MID(TRIM(UPPER(W130)),10,1))&gt;=65,CODE(MID(TRIM(UPPER(W130)),10,1))&lt;=90,CODE(MID(TRIM(UPPER(W130)),6,1))&gt;=48,CODE(MID(TRIM(UPPER(W130)),6,1))&lt;=57,CODE(MID(TRIM(UPPER(W130)),7,1))&gt;=48,CODE(MID(TRIM(UPPER(W130)),7,1))&lt;=57,CODE(MID(TRIM(UPPER(W130)),8,1))&gt;=48,CODE(MID(TRIM(UPPER(W130)),8,1))&lt;=57,CODE(MID(TRIM(UPPER(W130)),9,1))&gt;=48,CODE(MID(TRIM(UPPER(W130)),9,1))&lt;=57),"N","Y"),IF($B130="Challan","",IF(W130&lt;&gt;"","◄ Set Row Type","")))</f>
      </c>
      <c r="Y130" s="23">
        <f>IF($B130="Entry",IF(LEN(W130)&lt;4,"",IF(UPPER(MID(W130,4,1))="P","Individual",IF(UPPER(MID(W130,4,1))="H","HUF",IF(UPPER(MID(W130,4,1))="C","Company",IF(UPPER(MID(W130,4,1))="F","Firm",IF(UPPER(MID(W130,4,1))="L","LLP",IF(UPPER(MID(W130,4,1))="T","Trust",IF(UPPER(MID(W130,4,1))="A","AOP","")))))))),IF($B130="Challan","",IF(W130&lt;&gt;"","◄ Set Row Type","")))</f>
      </c>
      <c r="Z130" s="28"/>
      <c r="AA130" s="29">
        <f>IF($B130&lt;&gt;"Entry","",IF(Z130="","",IF(X130="Y",SUMPRODUCT(('Rate Lookup'!$A$1:$A$37=Z130)*'Rate Lookup'!$D$1:$D$37),IF(OR(Y130="Individual",Y130="HUF"),SUMPRODUCT(('Rate Lookup'!$A$1:$A$37=Z130)*'Rate Lookup'!$B$1:$B$37),SUMPRODUCT(('Rate Lookup'!$A$1:$A$37=Z130)*'Rate Lookup'!$C$1:$C$37)))))</f>
      </c>
      <c r="AB130" s="30"/>
      <c r="AC130" s="31"/>
      <c r="AD130" s="27">
        <f>IF($B130&lt;&gt;"Entry","",ROUND(AC130*AA130/100,0))</f>
      </c>
      <c r="AE130" s="27">
        <f>IF($B130&lt;&gt;"Entry","",0)</f>
      </c>
      <c r="AF130" s="27">
        <f>IF($B130&lt;&gt;"Entry","",0)</f>
      </c>
      <c r="AG130" s="27">
        <f>IF($B130&lt;&gt;"Entry","",IF(OR(AD130=0,AB130="",AQ130="",AQ130&lt;=0),0,IF(AQ130&lt;=DATE(YEAR(AB130),MONTH(AB130)+1,7),0,ROUND(AD130*0.015*((YEAR(AQ130)-YEAR(AB130))*12+(MONTH(AQ130)-MONTH(AB130))+1),0))))</f>
      </c>
      <c r="AH130" s="27">
        <f>IF($B130&lt;&gt;"Entry","",0)</f>
      </c>
      <c r="AI130" s="28"/>
      <c r="AJ130" s="28"/>
      <c r="AK130" s="32"/>
      <c r="AL130" s="28"/>
      <c r="AM130" s="28"/>
      <c r="AN130" s="27">
        <f>IF($B130&lt;&gt;"Challan","",SUMIF('Q1 Data'!$D$4:$D$207,D130,'Q1 Data'!$AD$4:$AD$207)+SUMIF('Q1 Data'!$D$4:$D$207,D130,'Q1 Data'!$AG$4:$AG$207)+SUMIF('Q1 Data'!$D$4:$D$207,D130,'Q1 Data'!$AE$4:$AE$207)+SUMIF('Q2 Data'!$D$4:$D$207,D130,'Q2 Data'!$AD$4:$AD$207)+SUMIF('Q2 Data'!$D$4:$D$207,D130,'Q2 Data'!$AG$4:$AG$207)+SUMIF('Q2 Data'!$D$4:$D$207,D130,'Q2 Data'!$AE$4:$AE$207)+SUMIF('Q3 Data'!$D$4:$D$207,D130,'Q3 Data'!$AD$4:$AD$207)+SUMIF('Q3 Data'!$D$4:$D$207,D130,'Q3 Data'!$AG$4:$AG$207)+SUMIF('Q3 Data'!$D$4:$D$207,D130,'Q3 Data'!$AE$4:$AE$207)+SUMIF('Q4 Data'!$D$4:$D$207,D130,'Q4 Data'!$AD$4:$AD$207)+SUMIF('Q4 Data'!$D$4:$D$207,D130,'Q4 Data'!$AG$4:$AG$207)+SUMIF('Q4 Data'!$D$4:$D$207,D130,'Q4 Data'!$AE$4:$AE$207))</f>
      </c>
      <c r="AO130" s="27">
        <f>IF($B130&lt;&gt;"Challan","",P130-N130)</f>
      </c>
      <c r="AP130" s="27">
        <f>IF($B130&lt;&gt;"Challan","",MAX(0,AO130-AN130))</f>
      </c>
      <c r="AQ130" s="33">
        <f>IF($B130&lt;&gt;"Entry","",SUMPRODUCT(('Q1 Data'!$D$4:$D$207=D130)*('Q1 Data'!$B$4:$B$207="Challan")*'Q1 Data'!$F$4:$F$207)+SUMPRODUCT(('Q2 Data'!$D$4:$D$207=D130)*('Q2 Data'!$B$4:$B$207="Challan")*'Q2 Data'!$F$4:$F$207)+SUMPRODUCT(('Q3 Data'!$D$4:$D$207=D130)*('Q3 Data'!$B$4:$B$207="Challan")*'Q3 Data'!$F$4:$F$207)+SUMPRODUCT(('Q4 Data'!$D$4:$D$207=D130)*('Q4 Data'!$B$4:$B$207="Challan")*'Q4 Data'!$F$4:$F$207))</f>
      </c>
      <c r="AR130" s="34">
        <f>IF(OR($B130&lt;&gt;"Entry",Z130=""),FALSE,AND((SUMPRODUCT(('Q1 Data'!$D$4:$D$207=D130)*('Q1 Data'!$B$4:$B$207="Challan")*('Q1 Data'!$H$4:$H$207&lt;&gt;""))+SUMPRODUCT(('Q2 Data'!$D$4:$D$207=D130)*('Q2 Data'!$B$4:$B$207="Challan")*('Q2 Data'!$H$4:$H$207&lt;&gt;""))+SUMPRODUCT(('Q3 Data'!$D$4:$D$207=D130)*('Q3 Data'!$B$4:$B$207="Challan")*('Q3 Data'!$H$4:$H$207&lt;&gt;""))+SUMPRODUCT(('Q4 Data'!$D$4:$D$207=D130)*('Q4 Data'!$B$4:$B$207="Challan")*('Q4 Data'!$H$4:$H$207&lt;&gt;"")))&gt;0,(SUMPRODUCT(('Q1 Data'!$D$4:$D$207=D130)*('Q1 Data'!$B$4:$B$207="Challan")*('Q1 Data'!$H$4:$H$207=Z130))+SUMPRODUCT(('Q2 Data'!$D$4:$D$207=D130)*('Q2 Data'!$B$4:$B$207="Challan")*('Q2 Data'!$H$4:$H$207=Z130))+SUMPRODUCT(('Q3 Data'!$D$4:$D$207=D130)*('Q3 Data'!$B$4:$B$207="Challan")*('Q3 Data'!$H$4:$H$207=Z130))+SUMPRODUCT(('Q4 Data'!$D$4:$D$207=D130)*('Q4 Data'!$B$4:$B$207="Challan")*('Q4 Data'!$H$4:$H$207=Z130)))=0))</f>
      </c>
    </row>
    <row r="131" spans="1:44" x14ac:dyDescent="0.25">
      <c r="A131" s="20">
        <f>IF($B131="Entry",COUNTIF($B$4:$B131,"Entry"),"")</f>
      </c>
      <c r="B131" s="21"/>
      <c r="C131" s="22"/>
      <c r="D131" s="22"/>
      <c r="E131" s="23">
        <f>IF($B131&lt;&gt;"Challan","",IF(ROUND(AN131-AO131,2)&gt;0,"Over-applied",IF(ROUND(AN131-AO131,2)=0,"Fully Utilised","Unconsumed")))</f>
      </c>
      <c r="F131" s="24"/>
      <c r="G131" s="25"/>
      <c r="H131" s="25"/>
      <c r="I131" s="26"/>
      <c r="J131" s="26"/>
      <c r="K131" s="26"/>
      <c r="L131" s="26"/>
      <c r="M131" s="26"/>
      <c r="N131" s="26"/>
      <c r="O131" s="26"/>
      <c r="P131" s="27">
        <f>IF($B131&lt;&gt;"Challan","",I131+J131+K131+L131+M131+N131)</f>
      </c>
      <c r="Q131" s="25"/>
      <c r="R131" s="25"/>
      <c r="S131" s="25"/>
      <c r="T131" s="25"/>
      <c r="U131" s="25"/>
      <c r="V131" s="28"/>
      <c r="W131" s="28"/>
      <c r="X131" s="23">
        <f>IF($B131="Entry",IF(AND(LEN(TRIM(UPPER(W131)))=10,CODE(MID(TRIM(UPPER(W131)),1,1))&gt;=65,CODE(MID(TRIM(UPPER(W131)),1,1))&lt;=90,CODE(MID(TRIM(UPPER(W131)),2,1))&gt;=65,CODE(MID(TRIM(UPPER(W131)),2,1))&lt;=90,CODE(MID(TRIM(UPPER(W131)),3,1))&gt;=65,CODE(MID(TRIM(UPPER(W131)),3,1))&lt;=90,CODE(MID(TRIM(UPPER(W131)),4,1))&gt;=65,CODE(MID(TRIM(UPPER(W131)),4,1))&lt;=90,CODE(MID(TRIM(UPPER(W131)),5,1))&gt;=65,CODE(MID(TRIM(UPPER(W131)),5,1))&lt;=90,CODE(MID(TRIM(UPPER(W131)),10,1))&gt;=65,CODE(MID(TRIM(UPPER(W131)),10,1))&lt;=90,CODE(MID(TRIM(UPPER(W131)),6,1))&gt;=48,CODE(MID(TRIM(UPPER(W131)),6,1))&lt;=57,CODE(MID(TRIM(UPPER(W131)),7,1))&gt;=48,CODE(MID(TRIM(UPPER(W131)),7,1))&lt;=57,CODE(MID(TRIM(UPPER(W131)),8,1))&gt;=48,CODE(MID(TRIM(UPPER(W131)),8,1))&lt;=57,CODE(MID(TRIM(UPPER(W131)),9,1))&gt;=48,CODE(MID(TRIM(UPPER(W131)),9,1))&lt;=57),"N","Y"),IF($B131="Challan","",IF(W131&lt;&gt;"","◄ Set Row Type","")))</f>
      </c>
      <c r="Y131" s="23">
        <f>IF($B131="Entry",IF(LEN(W131)&lt;4,"",IF(UPPER(MID(W131,4,1))="P","Individual",IF(UPPER(MID(W131,4,1))="H","HUF",IF(UPPER(MID(W131,4,1))="C","Company",IF(UPPER(MID(W131,4,1))="F","Firm",IF(UPPER(MID(W131,4,1))="L","LLP",IF(UPPER(MID(W131,4,1))="T","Trust",IF(UPPER(MID(W131,4,1))="A","AOP","")))))))),IF($B131="Challan","",IF(W131&lt;&gt;"","◄ Set Row Type","")))</f>
      </c>
      <c r="Z131" s="28"/>
      <c r="AA131" s="29">
        <f>IF($B131&lt;&gt;"Entry","",IF(Z131="","",IF(X131="Y",SUMPRODUCT(('Rate Lookup'!$A$1:$A$37=Z131)*'Rate Lookup'!$D$1:$D$37),IF(OR(Y131="Individual",Y131="HUF"),SUMPRODUCT(('Rate Lookup'!$A$1:$A$37=Z131)*'Rate Lookup'!$B$1:$B$37),SUMPRODUCT(('Rate Lookup'!$A$1:$A$37=Z131)*'Rate Lookup'!$C$1:$C$37)))))</f>
      </c>
      <c r="AB131" s="30"/>
      <c r="AC131" s="31"/>
      <c r="AD131" s="27">
        <f>IF($B131&lt;&gt;"Entry","",ROUND(AC131*AA131/100,0))</f>
      </c>
      <c r="AE131" s="27">
        <f>IF($B131&lt;&gt;"Entry","",0)</f>
      </c>
      <c r="AF131" s="27">
        <f>IF($B131&lt;&gt;"Entry","",0)</f>
      </c>
      <c r="AG131" s="27">
        <f>IF($B131&lt;&gt;"Entry","",IF(OR(AD131=0,AB131="",AQ131="",AQ131&lt;=0),0,IF(AQ131&lt;=DATE(YEAR(AB131),MONTH(AB131)+1,7),0,ROUND(AD131*0.015*((YEAR(AQ131)-YEAR(AB131))*12+(MONTH(AQ131)-MONTH(AB131))+1),0))))</f>
      </c>
      <c r="AH131" s="27">
        <f>IF($B131&lt;&gt;"Entry","",0)</f>
      </c>
      <c r="AI131" s="28"/>
      <c r="AJ131" s="28"/>
      <c r="AK131" s="32"/>
      <c r="AL131" s="28"/>
      <c r="AM131" s="28"/>
      <c r="AN131" s="27">
        <f>IF($B131&lt;&gt;"Challan","",SUMIF('Q1 Data'!$D$4:$D$207,D131,'Q1 Data'!$AD$4:$AD$207)+SUMIF('Q1 Data'!$D$4:$D$207,D131,'Q1 Data'!$AG$4:$AG$207)+SUMIF('Q1 Data'!$D$4:$D$207,D131,'Q1 Data'!$AE$4:$AE$207)+SUMIF('Q2 Data'!$D$4:$D$207,D131,'Q2 Data'!$AD$4:$AD$207)+SUMIF('Q2 Data'!$D$4:$D$207,D131,'Q2 Data'!$AG$4:$AG$207)+SUMIF('Q2 Data'!$D$4:$D$207,D131,'Q2 Data'!$AE$4:$AE$207)+SUMIF('Q3 Data'!$D$4:$D$207,D131,'Q3 Data'!$AD$4:$AD$207)+SUMIF('Q3 Data'!$D$4:$D$207,D131,'Q3 Data'!$AG$4:$AG$207)+SUMIF('Q3 Data'!$D$4:$D$207,D131,'Q3 Data'!$AE$4:$AE$207)+SUMIF('Q4 Data'!$D$4:$D$207,D131,'Q4 Data'!$AD$4:$AD$207)+SUMIF('Q4 Data'!$D$4:$D$207,D131,'Q4 Data'!$AG$4:$AG$207)+SUMIF('Q4 Data'!$D$4:$D$207,D131,'Q4 Data'!$AE$4:$AE$207))</f>
      </c>
      <c r="AO131" s="27">
        <f>IF($B131&lt;&gt;"Challan","",P131-N131)</f>
      </c>
      <c r="AP131" s="27">
        <f>IF($B131&lt;&gt;"Challan","",MAX(0,AO131-AN131))</f>
      </c>
      <c r="AQ131" s="33">
        <f>IF($B131&lt;&gt;"Entry","",SUMPRODUCT(('Q1 Data'!$D$4:$D$207=D131)*('Q1 Data'!$B$4:$B$207="Challan")*'Q1 Data'!$F$4:$F$207)+SUMPRODUCT(('Q2 Data'!$D$4:$D$207=D131)*('Q2 Data'!$B$4:$B$207="Challan")*'Q2 Data'!$F$4:$F$207)+SUMPRODUCT(('Q3 Data'!$D$4:$D$207=D131)*('Q3 Data'!$B$4:$B$207="Challan")*'Q3 Data'!$F$4:$F$207)+SUMPRODUCT(('Q4 Data'!$D$4:$D$207=D131)*('Q4 Data'!$B$4:$B$207="Challan")*'Q4 Data'!$F$4:$F$207))</f>
      </c>
      <c r="AR131" s="34">
        <f>IF(OR($B131&lt;&gt;"Entry",Z131=""),FALSE,AND((SUMPRODUCT(('Q1 Data'!$D$4:$D$207=D131)*('Q1 Data'!$B$4:$B$207="Challan")*('Q1 Data'!$H$4:$H$207&lt;&gt;""))+SUMPRODUCT(('Q2 Data'!$D$4:$D$207=D131)*('Q2 Data'!$B$4:$B$207="Challan")*('Q2 Data'!$H$4:$H$207&lt;&gt;""))+SUMPRODUCT(('Q3 Data'!$D$4:$D$207=D131)*('Q3 Data'!$B$4:$B$207="Challan")*('Q3 Data'!$H$4:$H$207&lt;&gt;""))+SUMPRODUCT(('Q4 Data'!$D$4:$D$207=D131)*('Q4 Data'!$B$4:$B$207="Challan")*('Q4 Data'!$H$4:$H$207&lt;&gt;"")))&gt;0,(SUMPRODUCT(('Q1 Data'!$D$4:$D$207=D131)*('Q1 Data'!$B$4:$B$207="Challan")*('Q1 Data'!$H$4:$H$207=Z131))+SUMPRODUCT(('Q2 Data'!$D$4:$D$207=D131)*('Q2 Data'!$B$4:$B$207="Challan")*('Q2 Data'!$H$4:$H$207=Z131))+SUMPRODUCT(('Q3 Data'!$D$4:$D$207=D131)*('Q3 Data'!$B$4:$B$207="Challan")*('Q3 Data'!$H$4:$H$207=Z131))+SUMPRODUCT(('Q4 Data'!$D$4:$D$207=D131)*('Q4 Data'!$B$4:$B$207="Challan")*('Q4 Data'!$H$4:$H$207=Z131)))=0))</f>
      </c>
    </row>
    <row r="132" spans="1:44" x14ac:dyDescent="0.25">
      <c r="A132" s="20">
        <f>IF($B132="Entry",COUNTIF($B$4:$B132,"Entry"),"")</f>
      </c>
      <c r="B132" s="21"/>
      <c r="C132" s="22"/>
      <c r="D132" s="22"/>
      <c r="E132" s="23">
        <f>IF($B132&lt;&gt;"Challan","",IF(ROUND(AN132-AO132,2)&gt;0,"Over-applied",IF(ROUND(AN132-AO132,2)=0,"Fully Utilised","Unconsumed")))</f>
      </c>
      <c r="F132" s="24"/>
      <c r="G132" s="25"/>
      <c r="H132" s="25"/>
      <c r="I132" s="26"/>
      <c r="J132" s="26"/>
      <c r="K132" s="26"/>
      <c r="L132" s="26"/>
      <c r="M132" s="26"/>
      <c r="N132" s="26"/>
      <c r="O132" s="26"/>
      <c r="P132" s="27">
        <f>IF($B132&lt;&gt;"Challan","",I132+J132+K132+L132+M132+N132)</f>
      </c>
      <c r="Q132" s="25"/>
      <c r="R132" s="25"/>
      <c r="S132" s="25"/>
      <c r="T132" s="25"/>
      <c r="U132" s="25"/>
      <c r="V132" s="28"/>
      <c r="W132" s="28"/>
      <c r="X132" s="23">
        <f>IF($B132="Entry",IF(AND(LEN(TRIM(UPPER(W132)))=10,CODE(MID(TRIM(UPPER(W132)),1,1))&gt;=65,CODE(MID(TRIM(UPPER(W132)),1,1))&lt;=90,CODE(MID(TRIM(UPPER(W132)),2,1))&gt;=65,CODE(MID(TRIM(UPPER(W132)),2,1))&lt;=90,CODE(MID(TRIM(UPPER(W132)),3,1))&gt;=65,CODE(MID(TRIM(UPPER(W132)),3,1))&lt;=90,CODE(MID(TRIM(UPPER(W132)),4,1))&gt;=65,CODE(MID(TRIM(UPPER(W132)),4,1))&lt;=90,CODE(MID(TRIM(UPPER(W132)),5,1))&gt;=65,CODE(MID(TRIM(UPPER(W132)),5,1))&lt;=90,CODE(MID(TRIM(UPPER(W132)),10,1))&gt;=65,CODE(MID(TRIM(UPPER(W132)),10,1))&lt;=90,CODE(MID(TRIM(UPPER(W132)),6,1))&gt;=48,CODE(MID(TRIM(UPPER(W132)),6,1))&lt;=57,CODE(MID(TRIM(UPPER(W132)),7,1))&gt;=48,CODE(MID(TRIM(UPPER(W132)),7,1))&lt;=57,CODE(MID(TRIM(UPPER(W132)),8,1))&gt;=48,CODE(MID(TRIM(UPPER(W132)),8,1))&lt;=57,CODE(MID(TRIM(UPPER(W132)),9,1))&gt;=48,CODE(MID(TRIM(UPPER(W132)),9,1))&lt;=57),"N","Y"),IF($B132="Challan","",IF(W132&lt;&gt;"","◄ Set Row Type","")))</f>
      </c>
      <c r="Y132" s="23">
        <f>IF($B132="Entry",IF(LEN(W132)&lt;4,"",IF(UPPER(MID(W132,4,1))="P","Individual",IF(UPPER(MID(W132,4,1))="H","HUF",IF(UPPER(MID(W132,4,1))="C","Company",IF(UPPER(MID(W132,4,1))="F","Firm",IF(UPPER(MID(W132,4,1))="L","LLP",IF(UPPER(MID(W132,4,1))="T","Trust",IF(UPPER(MID(W132,4,1))="A","AOP","")))))))),IF($B132="Challan","",IF(W132&lt;&gt;"","◄ Set Row Type","")))</f>
      </c>
      <c r="Z132" s="28"/>
      <c r="AA132" s="29">
        <f>IF($B132&lt;&gt;"Entry","",IF(Z132="","",IF(X132="Y",SUMPRODUCT(('Rate Lookup'!$A$1:$A$37=Z132)*'Rate Lookup'!$D$1:$D$37),IF(OR(Y132="Individual",Y132="HUF"),SUMPRODUCT(('Rate Lookup'!$A$1:$A$37=Z132)*'Rate Lookup'!$B$1:$B$37),SUMPRODUCT(('Rate Lookup'!$A$1:$A$37=Z132)*'Rate Lookup'!$C$1:$C$37)))))</f>
      </c>
      <c r="AB132" s="30"/>
      <c r="AC132" s="31"/>
      <c r="AD132" s="27">
        <f>IF($B132&lt;&gt;"Entry","",ROUND(AC132*AA132/100,0))</f>
      </c>
      <c r="AE132" s="27">
        <f>IF($B132&lt;&gt;"Entry","",0)</f>
      </c>
      <c r="AF132" s="27">
        <f>IF($B132&lt;&gt;"Entry","",0)</f>
      </c>
      <c r="AG132" s="27">
        <f>IF($B132&lt;&gt;"Entry","",IF(OR(AD132=0,AB132="",AQ132="",AQ132&lt;=0),0,IF(AQ132&lt;=DATE(YEAR(AB132),MONTH(AB132)+1,7),0,ROUND(AD132*0.015*((YEAR(AQ132)-YEAR(AB132))*12+(MONTH(AQ132)-MONTH(AB132))+1),0))))</f>
      </c>
      <c r="AH132" s="27">
        <f>IF($B132&lt;&gt;"Entry","",0)</f>
      </c>
      <c r="AI132" s="28"/>
      <c r="AJ132" s="28"/>
      <c r="AK132" s="32"/>
      <c r="AL132" s="28"/>
      <c r="AM132" s="28"/>
      <c r="AN132" s="27">
        <f>IF($B132&lt;&gt;"Challan","",SUMIF('Q1 Data'!$D$4:$D$207,D132,'Q1 Data'!$AD$4:$AD$207)+SUMIF('Q1 Data'!$D$4:$D$207,D132,'Q1 Data'!$AG$4:$AG$207)+SUMIF('Q1 Data'!$D$4:$D$207,D132,'Q1 Data'!$AE$4:$AE$207)+SUMIF('Q2 Data'!$D$4:$D$207,D132,'Q2 Data'!$AD$4:$AD$207)+SUMIF('Q2 Data'!$D$4:$D$207,D132,'Q2 Data'!$AG$4:$AG$207)+SUMIF('Q2 Data'!$D$4:$D$207,D132,'Q2 Data'!$AE$4:$AE$207)+SUMIF('Q3 Data'!$D$4:$D$207,D132,'Q3 Data'!$AD$4:$AD$207)+SUMIF('Q3 Data'!$D$4:$D$207,D132,'Q3 Data'!$AG$4:$AG$207)+SUMIF('Q3 Data'!$D$4:$D$207,D132,'Q3 Data'!$AE$4:$AE$207)+SUMIF('Q4 Data'!$D$4:$D$207,D132,'Q4 Data'!$AD$4:$AD$207)+SUMIF('Q4 Data'!$D$4:$D$207,D132,'Q4 Data'!$AG$4:$AG$207)+SUMIF('Q4 Data'!$D$4:$D$207,D132,'Q4 Data'!$AE$4:$AE$207))</f>
      </c>
      <c r="AO132" s="27">
        <f>IF($B132&lt;&gt;"Challan","",P132-N132)</f>
      </c>
      <c r="AP132" s="27">
        <f>IF($B132&lt;&gt;"Challan","",MAX(0,AO132-AN132))</f>
      </c>
      <c r="AQ132" s="33">
        <f>IF($B132&lt;&gt;"Entry","",SUMPRODUCT(('Q1 Data'!$D$4:$D$207=D132)*('Q1 Data'!$B$4:$B$207="Challan")*'Q1 Data'!$F$4:$F$207)+SUMPRODUCT(('Q2 Data'!$D$4:$D$207=D132)*('Q2 Data'!$B$4:$B$207="Challan")*'Q2 Data'!$F$4:$F$207)+SUMPRODUCT(('Q3 Data'!$D$4:$D$207=D132)*('Q3 Data'!$B$4:$B$207="Challan")*'Q3 Data'!$F$4:$F$207)+SUMPRODUCT(('Q4 Data'!$D$4:$D$207=D132)*('Q4 Data'!$B$4:$B$207="Challan")*'Q4 Data'!$F$4:$F$207))</f>
      </c>
      <c r="AR132" s="34">
        <f>IF(OR($B132&lt;&gt;"Entry",Z132=""),FALSE,AND((SUMPRODUCT(('Q1 Data'!$D$4:$D$207=D132)*('Q1 Data'!$B$4:$B$207="Challan")*('Q1 Data'!$H$4:$H$207&lt;&gt;""))+SUMPRODUCT(('Q2 Data'!$D$4:$D$207=D132)*('Q2 Data'!$B$4:$B$207="Challan")*('Q2 Data'!$H$4:$H$207&lt;&gt;""))+SUMPRODUCT(('Q3 Data'!$D$4:$D$207=D132)*('Q3 Data'!$B$4:$B$207="Challan")*('Q3 Data'!$H$4:$H$207&lt;&gt;""))+SUMPRODUCT(('Q4 Data'!$D$4:$D$207=D132)*('Q4 Data'!$B$4:$B$207="Challan")*('Q4 Data'!$H$4:$H$207&lt;&gt;"")))&gt;0,(SUMPRODUCT(('Q1 Data'!$D$4:$D$207=D132)*('Q1 Data'!$B$4:$B$207="Challan")*('Q1 Data'!$H$4:$H$207=Z132))+SUMPRODUCT(('Q2 Data'!$D$4:$D$207=D132)*('Q2 Data'!$B$4:$B$207="Challan")*('Q2 Data'!$H$4:$H$207=Z132))+SUMPRODUCT(('Q3 Data'!$D$4:$D$207=D132)*('Q3 Data'!$B$4:$B$207="Challan")*('Q3 Data'!$H$4:$H$207=Z132))+SUMPRODUCT(('Q4 Data'!$D$4:$D$207=D132)*('Q4 Data'!$B$4:$B$207="Challan")*('Q4 Data'!$H$4:$H$207=Z132)))=0))</f>
      </c>
    </row>
    <row r="133" spans="1:44" x14ac:dyDescent="0.25">
      <c r="A133" s="20">
        <f>IF($B133="Entry",COUNTIF($B$4:$B133,"Entry"),"")</f>
      </c>
      <c r="B133" s="21"/>
      <c r="C133" s="22"/>
      <c r="D133" s="22"/>
      <c r="E133" s="23">
        <f>IF($B133&lt;&gt;"Challan","",IF(ROUND(AN133-AO133,2)&gt;0,"Over-applied",IF(ROUND(AN133-AO133,2)=0,"Fully Utilised","Unconsumed")))</f>
      </c>
      <c r="F133" s="24"/>
      <c r="G133" s="25"/>
      <c r="H133" s="25"/>
      <c r="I133" s="26"/>
      <c r="J133" s="26"/>
      <c r="K133" s="26"/>
      <c r="L133" s="26"/>
      <c r="M133" s="26"/>
      <c r="N133" s="26"/>
      <c r="O133" s="26"/>
      <c r="P133" s="27">
        <f>IF($B133&lt;&gt;"Challan","",I133+J133+K133+L133+M133+N133)</f>
      </c>
      <c r="Q133" s="25"/>
      <c r="R133" s="25"/>
      <c r="S133" s="25"/>
      <c r="T133" s="25"/>
      <c r="U133" s="25"/>
      <c r="V133" s="28"/>
      <c r="W133" s="28"/>
      <c r="X133" s="23">
        <f>IF($B133="Entry",IF(AND(LEN(TRIM(UPPER(W133)))=10,CODE(MID(TRIM(UPPER(W133)),1,1))&gt;=65,CODE(MID(TRIM(UPPER(W133)),1,1))&lt;=90,CODE(MID(TRIM(UPPER(W133)),2,1))&gt;=65,CODE(MID(TRIM(UPPER(W133)),2,1))&lt;=90,CODE(MID(TRIM(UPPER(W133)),3,1))&gt;=65,CODE(MID(TRIM(UPPER(W133)),3,1))&lt;=90,CODE(MID(TRIM(UPPER(W133)),4,1))&gt;=65,CODE(MID(TRIM(UPPER(W133)),4,1))&lt;=90,CODE(MID(TRIM(UPPER(W133)),5,1))&gt;=65,CODE(MID(TRIM(UPPER(W133)),5,1))&lt;=90,CODE(MID(TRIM(UPPER(W133)),10,1))&gt;=65,CODE(MID(TRIM(UPPER(W133)),10,1))&lt;=90,CODE(MID(TRIM(UPPER(W133)),6,1))&gt;=48,CODE(MID(TRIM(UPPER(W133)),6,1))&lt;=57,CODE(MID(TRIM(UPPER(W133)),7,1))&gt;=48,CODE(MID(TRIM(UPPER(W133)),7,1))&lt;=57,CODE(MID(TRIM(UPPER(W133)),8,1))&gt;=48,CODE(MID(TRIM(UPPER(W133)),8,1))&lt;=57,CODE(MID(TRIM(UPPER(W133)),9,1))&gt;=48,CODE(MID(TRIM(UPPER(W133)),9,1))&lt;=57),"N","Y"),IF($B133="Challan","",IF(W133&lt;&gt;"","◄ Set Row Type","")))</f>
      </c>
      <c r="Y133" s="23">
        <f>IF($B133="Entry",IF(LEN(W133)&lt;4,"",IF(UPPER(MID(W133,4,1))="P","Individual",IF(UPPER(MID(W133,4,1))="H","HUF",IF(UPPER(MID(W133,4,1))="C","Company",IF(UPPER(MID(W133,4,1))="F","Firm",IF(UPPER(MID(W133,4,1))="L","LLP",IF(UPPER(MID(W133,4,1))="T","Trust",IF(UPPER(MID(W133,4,1))="A","AOP","")))))))),IF($B133="Challan","",IF(W133&lt;&gt;"","◄ Set Row Type","")))</f>
      </c>
      <c r="Z133" s="28"/>
      <c r="AA133" s="29">
        <f>IF($B133&lt;&gt;"Entry","",IF(Z133="","",IF(X133="Y",SUMPRODUCT(('Rate Lookup'!$A$1:$A$37=Z133)*'Rate Lookup'!$D$1:$D$37),IF(OR(Y133="Individual",Y133="HUF"),SUMPRODUCT(('Rate Lookup'!$A$1:$A$37=Z133)*'Rate Lookup'!$B$1:$B$37),SUMPRODUCT(('Rate Lookup'!$A$1:$A$37=Z133)*'Rate Lookup'!$C$1:$C$37)))))</f>
      </c>
      <c r="AB133" s="30"/>
      <c r="AC133" s="31"/>
      <c r="AD133" s="27">
        <f>IF($B133&lt;&gt;"Entry","",ROUND(AC133*AA133/100,0))</f>
      </c>
      <c r="AE133" s="27">
        <f>IF($B133&lt;&gt;"Entry","",0)</f>
      </c>
      <c r="AF133" s="27">
        <f>IF($B133&lt;&gt;"Entry","",0)</f>
      </c>
      <c r="AG133" s="27">
        <f>IF($B133&lt;&gt;"Entry","",IF(OR(AD133=0,AB133="",AQ133="",AQ133&lt;=0),0,IF(AQ133&lt;=DATE(YEAR(AB133),MONTH(AB133)+1,7),0,ROUND(AD133*0.015*((YEAR(AQ133)-YEAR(AB133))*12+(MONTH(AQ133)-MONTH(AB133))+1),0))))</f>
      </c>
      <c r="AH133" s="27">
        <f>IF($B133&lt;&gt;"Entry","",0)</f>
      </c>
      <c r="AI133" s="28"/>
      <c r="AJ133" s="28"/>
      <c r="AK133" s="32"/>
      <c r="AL133" s="28"/>
      <c r="AM133" s="28"/>
      <c r="AN133" s="27">
        <f>IF($B133&lt;&gt;"Challan","",SUMIF('Q1 Data'!$D$4:$D$207,D133,'Q1 Data'!$AD$4:$AD$207)+SUMIF('Q1 Data'!$D$4:$D$207,D133,'Q1 Data'!$AG$4:$AG$207)+SUMIF('Q1 Data'!$D$4:$D$207,D133,'Q1 Data'!$AE$4:$AE$207)+SUMIF('Q2 Data'!$D$4:$D$207,D133,'Q2 Data'!$AD$4:$AD$207)+SUMIF('Q2 Data'!$D$4:$D$207,D133,'Q2 Data'!$AG$4:$AG$207)+SUMIF('Q2 Data'!$D$4:$D$207,D133,'Q2 Data'!$AE$4:$AE$207)+SUMIF('Q3 Data'!$D$4:$D$207,D133,'Q3 Data'!$AD$4:$AD$207)+SUMIF('Q3 Data'!$D$4:$D$207,D133,'Q3 Data'!$AG$4:$AG$207)+SUMIF('Q3 Data'!$D$4:$D$207,D133,'Q3 Data'!$AE$4:$AE$207)+SUMIF('Q4 Data'!$D$4:$D$207,D133,'Q4 Data'!$AD$4:$AD$207)+SUMIF('Q4 Data'!$D$4:$D$207,D133,'Q4 Data'!$AG$4:$AG$207)+SUMIF('Q4 Data'!$D$4:$D$207,D133,'Q4 Data'!$AE$4:$AE$207))</f>
      </c>
      <c r="AO133" s="27">
        <f>IF($B133&lt;&gt;"Challan","",P133-N133)</f>
      </c>
      <c r="AP133" s="27">
        <f>IF($B133&lt;&gt;"Challan","",MAX(0,AO133-AN133))</f>
      </c>
      <c r="AQ133" s="33">
        <f>IF($B133&lt;&gt;"Entry","",SUMPRODUCT(('Q1 Data'!$D$4:$D$207=D133)*('Q1 Data'!$B$4:$B$207="Challan")*'Q1 Data'!$F$4:$F$207)+SUMPRODUCT(('Q2 Data'!$D$4:$D$207=D133)*('Q2 Data'!$B$4:$B$207="Challan")*'Q2 Data'!$F$4:$F$207)+SUMPRODUCT(('Q3 Data'!$D$4:$D$207=D133)*('Q3 Data'!$B$4:$B$207="Challan")*'Q3 Data'!$F$4:$F$207)+SUMPRODUCT(('Q4 Data'!$D$4:$D$207=D133)*('Q4 Data'!$B$4:$B$207="Challan")*'Q4 Data'!$F$4:$F$207))</f>
      </c>
      <c r="AR133" s="34">
        <f>IF(OR($B133&lt;&gt;"Entry",Z133=""),FALSE,AND((SUMPRODUCT(('Q1 Data'!$D$4:$D$207=D133)*('Q1 Data'!$B$4:$B$207="Challan")*('Q1 Data'!$H$4:$H$207&lt;&gt;""))+SUMPRODUCT(('Q2 Data'!$D$4:$D$207=D133)*('Q2 Data'!$B$4:$B$207="Challan")*('Q2 Data'!$H$4:$H$207&lt;&gt;""))+SUMPRODUCT(('Q3 Data'!$D$4:$D$207=D133)*('Q3 Data'!$B$4:$B$207="Challan")*('Q3 Data'!$H$4:$H$207&lt;&gt;""))+SUMPRODUCT(('Q4 Data'!$D$4:$D$207=D133)*('Q4 Data'!$B$4:$B$207="Challan")*('Q4 Data'!$H$4:$H$207&lt;&gt;"")))&gt;0,(SUMPRODUCT(('Q1 Data'!$D$4:$D$207=D133)*('Q1 Data'!$B$4:$B$207="Challan")*('Q1 Data'!$H$4:$H$207=Z133))+SUMPRODUCT(('Q2 Data'!$D$4:$D$207=D133)*('Q2 Data'!$B$4:$B$207="Challan")*('Q2 Data'!$H$4:$H$207=Z133))+SUMPRODUCT(('Q3 Data'!$D$4:$D$207=D133)*('Q3 Data'!$B$4:$B$207="Challan")*('Q3 Data'!$H$4:$H$207=Z133))+SUMPRODUCT(('Q4 Data'!$D$4:$D$207=D133)*('Q4 Data'!$B$4:$B$207="Challan")*('Q4 Data'!$H$4:$H$207=Z133)))=0))</f>
      </c>
    </row>
    <row r="134" spans="1:44" x14ac:dyDescent="0.25">
      <c r="A134" s="20">
        <f>IF($B134="Entry",COUNTIF($B$4:$B134,"Entry"),"")</f>
      </c>
      <c r="B134" s="21"/>
      <c r="C134" s="22"/>
      <c r="D134" s="22"/>
      <c r="E134" s="23">
        <f>IF($B134&lt;&gt;"Challan","",IF(ROUND(AN134-AO134,2)&gt;0,"Over-applied",IF(ROUND(AN134-AO134,2)=0,"Fully Utilised","Unconsumed")))</f>
      </c>
      <c r="F134" s="24"/>
      <c r="G134" s="25"/>
      <c r="H134" s="25"/>
      <c r="I134" s="26"/>
      <c r="J134" s="26"/>
      <c r="K134" s="26"/>
      <c r="L134" s="26"/>
      <c r="M134" s="26"/>
      <c r="N134" s="26"/>
      <c r="O134" s="26"/>
      <c r="P134" s="27">
        <f>IF($B134&lt;&gt;"Challan","",I134+J134+K134+L134+M134+N134)</f>
      </c>
      <c r="Q134" s="25"/>
      <c r="R134" s="25"/>
      <c r="S134" s="25"/>
      <c r="T134" s="25"/>
      <c r="U134" s="25"/>
      <c r="V134" s="28"/>
      <c r="W134" s="28"/>
      <c r="X134" s="23">
        <f>IF($B134="Entry",IF(AND(LEN(TRIM(UPPER(W134)))=10,CODE(MID(TRIM(UPPER(W134)),1,1))&gt;=65,CODE(MID(TRIM(UPPER(W134)),1,1))&lt;=90,CODE(MID(TRIM(UPPER(W134)),2,1))&gt;=65,CODE(MID(TRIM(UPPER(W134)),2,1))&lt;=90,CODE(MID(TRIM(UPPER(W134)),3,1))&gt;=65,CODE(MID(TRIM(UPPER(W134)),3,1))&lt;=90,CODE(MID(TRIM(UPPER(W134)),4,1))&gt;=65,CODE(MID(TRIM(UPPER(W134)),4,1))&lt;=90,CODE(MID(TRIM(UPPER(W134)),5,1))&gt;=65,CODE(MID(TRIM(UPPER(W134)),5,1))&lt;=90,CODE(MID(TRIM(UPPER(W134)),10,1))&gt;=65,CODE(MID(TRIM(UPPER(W134)),10,1))&lt;=90,CODE(MID(TRIM(UPPER(W134)),6,1))&gt;=48,CODE(MID(TRIM(UPPER(W134)),6,1))&lt;=57,CODE(MID(TRIM(UPPER(W134)),7,1))&gt;=48,CODE(MID(TRIM(UPPER(W134)),7,1))&lt;=57,CODE(MID(TRIM(UPPER(W134)),8,1))&gt;=48,CODE(MID(TRIM(UPPER(W134)),8,1))&lt;=57,CODE(MID(TRIM(UPPER(W134)),9,1))&gt;=48,CODE(MID(TRIM(UPPER(W134)),9,1))&lt;=57),"N","Y"),IF($B134="Challan","",IF(W134&lt;&gt;"","◄ Set Row Type","")))</f>
      </c>
      <c r="Y134" s="23">
        <f>IF($B134="Entry",IF(LEN(W134)&lt;4,"",IF(UPPER(MID(W134,4,1))="P","Individual",IF(UPPER(MID(W134,4,1))="H","HUF",IF(UPPER(MID(W134,4,1))="C","Company",IF(UPPER(MID(W134,4,1))="F","Firm",IF(UPPER(MID(W134,4,1))="L","LLP",IF(UPPER(MID(W134,4,1))="T","Trust",IF(UPPER(MID(W134,4,1))="A","AOP","")))))))),IF($B134="Challan","",IF(W134&lt;&gt;"","◄ Set Row Type","")))</f>
      </c>
      <c r="Z134" s="28"/>
      <c r="AA134" s="29">
        <f>IF($B134&lt;&gt;"Entry","",IF(Z134="","",IF(X134="Y",SUMPRODUCT(('Rate Lookup'!$A$1:$A$37=Z134)*'Rate Lookup'!$D$1:$D$37),IF(OR(Y134="Individual",Y134="HUF"),SUMPRODUCT(('Rate Lookup'!$A$1:$A$37=Z134)*'Rate Lookup'!$B$1:$B$37),SUMPRODUCT(('Rate Lookup'!$A$1:$A$37=Z134)*'Rate Lookup'!$C$1:$C$37)))))</f>
      </c>
      <c r="AB134" s="30"/>
      <c r="AC134" s="31"/>
      <c r="AD134" s="27">
        <f>IF($B134&lt;&gt;"Entry","",ROUND(AC134*AA134/100,0))</f>
      </c>
      <c r="AE134" s="27">
        <f>IF($B134&lt;&gt;"Entry","",0)</f>
      </c>
      <c r="AF134" s="27">
        <f>IF($B134&lt;&gt;"Entry","",0)</f>
      </c>
      <c r="AG134" s="27">
        <f>IF($B134&lt;&gt;"Entry","",IF(OR(AD134=0,AB134="",AQ134="",AQ134&lt;=0),0,IF(AQ134&lt;=DATE(YEAR(AB134),MONTH(AB134)+1,7),0,ROUND(AD134*0.015*((YEAR(AQ134)-YEAR(AB134))*12+(MONTH(AQ134)-MONTH(AB134))+1),0))))</f>
      </c>
      <c r="AH134" s="27">
        <f>IF($B134&lt;&gt;"Entry","",0)</f>
      </c>
      <c r="AI134" s="28"/>
      <c r="AJ134" s="28"/>
      <c r="AK134" s="32"/>
      <c r="AL134" s="28"/>
      <c r="AM134" s="28"/>
      <c r="AN134" s="27">
        <f>IF($B134&lt;&gt;"Challan","",SUMIF('Q1 Data'!$D$4:$D$207,D134,'Q1 Data'!$AD$4:$AD$207)+SUMIF('Q1 Data'!$D$4:$D$207,D134,'Q1 Data'!$AG$4:$AG$207)+SUMIF('Q1 Data'!$D$4:$D$207,D134,'Q1 Data'!$AE$4:$AE$207)+SUMIF('Q2 Data'!$D$4:$D$207,D134,'Q2 Data'!$AD$4:$AD$207)+SUMIF('Q2 Data'!$D$4:$D$207,D134,'Q2 Data'!$AG$4:$AG$207)+SUMIF('Q2 Data'!$D$4:$D$207,D134,'Q2 Data'!$AE$4:$AE$207)+SUMIF('Q3 Data'!$D$4:$D$207,D134,'Q3 Data'!$AD$4:$AD$207)+SUMIF('Q3 Data'!$D$4:$D$207,D134,'Q3 Data'!$AG$4:$AG$207)+SUMIF('Q3 Data'!$D$4:$D$207,D134,'Q3 Data'!$AE$4:$AE$207)+SUMIF('Q4 Data'!$D$4:$D$207,D134,'Q4 Data'!$AD$4:$AD$207)+SUMIF('Q4 Data'!$D$4:$D$207,D134,'Q4 Data'!$AG$4:$AG$207)+SUMIF('Q4 Data'!$D$4:$D$207,D134,'Q4 Data'!$AE$4:$AE$207))</f>
      </c>
      <c r="AO134" s="27">
        <f>IF($B134&lt;&gt;"Challan","",P134-N134)</f>
      </c>
      <c r="AP134" s="27">
        <f>IF($B134&lt;&gt;"Challan","",MAX(0,AO134-AN134))</f>
      </c>
      <c r="AQ134" s="33">
        <f>IF($B134&lt;&gt;"Entry","",SUMPRODUCT(('Q1 Data'!$D$4:$D$207=D134)*('Q1 Data'!$B$4:$B$207="Challan")*'Q1 Data'!$F$4:$F$207)+SUMPRODUCT(('Q2 Data'!$D$4:$D$207=D134)*('Q2 Data'!$B$4:$B$207="Challan")*'Q2 Data'!$F$4:$F$207)+SUMPRODUCT(('Q3 Data'!$D$4:$D$207=D134)*('Q3 Data'!$B$4:$B$207="Challan")*'Q3 Data'!$F$4:$F$207)+SUMPRODUCT(('Q4 Data'!$D$4:$D$207=D134)*('Q4 Data'!$B$4:$B$207="Challan")*'Q4 Data'!$F$4:$F$207))</f>
      </c>
      <c r="AR134" s="34">
        <f>IF(OR($B134&lt;&gt;"Entry",Z134=""),FALSE,AND((SUMPRODUCT(('Q1 Data'!$D$4:$D$207=D134)*('Q1 Data'!$B$4:$B$207="Challan")*('Q1 Data'!$H$4:$H$207&lt;&gt;""))+SUMPRODUCT(('Q2 Data'!$D$4:$D$207=D134)*('Q2 Data'!$B$4:$B$207="Challan")*('Q2 Data'!$H$4:$H$207&lt;&gt;""))+SUMPRODUCT(('Q3 Data'!$D$4:$D$207=D134)*('Q3 Data'!$B$4:$B$207="Challan")*('Q3 Data'!$H$4:$H$207&lt;&gt;""))+SUMPRODUCT(('Q4 Data'!$D$4:$D$207=D134)*('Q4 Data'!$B$4:$B$207="Challan")*('Q4 Data'!$H$4:$H$207&lt;&gt;"")))&gt;0,(SUMPRODUCT(('Q1 Data'!$D$4:$D$207=D134)*('Q1 Data'!$B$4:$B$207="Challan")*('Q1 Data'!$H$4:$H$207=Z134))+SUMPRODUCT(('Q2 Data'!$D$4:$D$207=D134)*('Q2 Data'!$B$4:$B$207="Challan")*('Q2 Data'!$H$4:$H$207=Z134))+SUMPRODUCT(('Q3 Data'!$D$4:$D$207=D134)*('Q3 Data'!$B$4:$B$207="Challan")*('Q3 Data'!$H$4:$H$207=Z134))+SUMPRODUCT(('Q4 Data'!$D$4:$D$207=D134)*('Q4 Data'!$B$4:$B$207="Challan")*('Q4 Data'!$H$4:$H$207=Z134)))=0))</f>
      </c>
    </row>
    <row r="135" spans="1:44" x14ac:dyDescent="0.25">
      <c r="A135" s="20">
        <f>IF($B135="Entry",COUNTIF($B$4:$B135,"Entry"),"")</f>
      </c>
      <c r="B135" s="21"/>
      <c r="C135" s="22"/>
      <c r="D135" s="22"/>
      <c r="E135" s="23">
        <f>IF($B135&lt;&gt;"Challan","",IF(ROUND(AN135-AO135,2)&gt;0,"Over-applied",IF(ROUND(AN135-AO135,2)=0,"Fully Utilised","Unconsumed")))</f>
      </c>
      <c r="F135" s="24"/>
      <c r="G135" s="25"/>
      <c r="H135" s="25"/>
      <c r="I135" s="26"/>
      <c r="J135" s="26"/>
      <c r="K135" s="26"/>
      <c r="L135" s="26"/>
      <c r="M135" s="26"/>
      <c r="N135" s="26"/>
      <c r="O135" s="26"/>
      <c r="P135" s="27">
        <f>IF($B135&lt;&gt;"Challan","",I135+J135+K135+L135+M135+N135)</f>
      </c>
      <c r="Q135" s="25"/>
      <c r="R135" s="25"/>
      <c r="S135" s="25"/>
      <c r="T135" s="25"/>
      <c r="U135" s="25"/>
      <c r="V135" s="28"/>
      <c r="W135" s="28"/>
      <c r="X135" s="23">
        <f>IF($B135="Entry",IF(AND(LEN(TRIM(UPPER(W135)))=10,CODE(MID(TRIM(UPPER(W135)),1,1))&gt;=65,CODE(MID(TRIM(UPPER(W135)),1,1))&lt;=90,CODE(MID(TRIM(UPPER(W135)),2,1))&gt;=65,CODE(MID(TRIM(UPPER(W135)),2,1))&lt;=90,CODE(MID(TRIM(UPPER(W135)),3,1))&gt;=65,CODE(MID(TRIM(UPPER(W135)),3,1))&lt;=90,CODE(MID(TRIM(UPPER(W135)),4,1))&gt;=65,CODE(MID(TRIM(UPPER(W135)),4,1))&lt;=90,CODE(MID(TRIM(UPPER(W135)),5,1))&gt;=65,CODE(MID(TRIM(UPPER(W135)),5,1))&lt;=90,CODE(MID(TRIM(UPPER(W135)),10,1))&gt;=65,CODE(MID(TRIM(UPPER(W135)),10,1))&lt;=90,CODE(MID(TRIM(UPPER(W135)),6,1))&gt;=48,CODE(MID(TRIM(UPPER(W135)),6,1))&lt;=57,CODE(MID(TRIM(UPPER(W135)),7,1))&gt;=48,CODE(MID(TRIM(UPPER(W135)),7,1))&lt;=57,CODE(MID(TRIM(UPPER(W135)),8,1))&gt;=48,CODE(MID(TRIM(UPPER(W135)),8,1))&lt;=57,CODE(MID(TRIM(UPPER(W135)),9,1))&gt;=48,CODE(MID(TRIM(UPPER(W135)),9,1))&lt;=57),"N","Y"),IF($B135="Challan","",IF(W135&lt;&gt;"","◄ Set Row Type","")))</f>
      </c>
      <c r="Y135" s="23">
        <f>IF($B135="Entry",IF(LEN(W135)&lt;4,"",IF(UPPER(MID(W135,4,1))="P","Individual",IF(UPPER(MID(W135,4,1))="H","HUF",IF(UPPER(MID(W135,4,1))="C","Company",IF(UPPER(MID(W135,4,1))="F","Firm",IF(UPPER(MID(W135,4,1))="L","LLP",IF(UPPER(MID(W135,4,1))="T","Trust",IF(UPPER(MID(W135,4,1))="A","AOP","")))))))),IF($B135="Challan","",IF(W135&lt;&gt;"","◄ Set Row Type","")))</f>
      </c>
      <c r="Z135" s="28"/>
      <c r="AA135" s="29">
        <f>IF($B135&lt;&gt;"Entry","",IF(Z135="","",IF(X135="Y",SUMPRODUCT(('Rate Lookup'!$A$1:$A$37=Z135)*'Rate Lookup'!$D$1:$D$37),IF(OR(Y135="Individual",Y135="HUF"),SUMPRODUCT(('Rate Lookup'!$A$1:$A$37=Z135)*'Rate Lookup'!$B$1:$B$37),SUMPRODUCT(('Rate Lookup'!$A$1:$A$37=Z135)*'Rate Lookup'!$C$1:$C$37)))))</f>
      </c>
      <c r="AB135" s="30"/>
      <c r="AC135" s="31"/>
      <c r="AD135" s="27">
        <f>IF($B135&lt;&gt;"Entry","",ROUND(AC135*AA135/100,0))</f>
      </c>
      <c r="AE135" s="27">
        <f>IF($B135&lt;&gt;"Entry","",0)</f>
      </c>
      <c r="AF135" s="27">
        <f>IF($B135&lt;&gt;"Entry","",0)</f>
      </c>
      <c r="AG135" s="27">
        <f>IF($B135&lt;&gt;"Entry","",IF(OR(AD135=0,AB135="",AQ135="",AQ135&lt;=0),0,IF(AQ135&lt;=DATE(YEAR(AB135),MONTH(AB135)+1,7),0,ROUND(AD135*0.015*((YEAR(AQ135)-YEAR(AB135))*12+(MONTH(AQ135)-MONTH(AB135))+1),0))))</f>
      </c>
      <c r="AH135" s="27">
        <f>IF($B135&lt;&gt;"Entry","",0)</f>
      </c>
      <c r="AI135" s="28"/>
      <c r="AJ135" s="28"/>
      <c r="AK135" s="32"/>
      <c r="AL135" s="28"/>
      <c r="AM135" s="28"/>
      <c r="AN135" s="27">
        <f>IF($B135&lt;&gt;"Challan","",SUMIF('Q1 Data'!$D$4:$D$207,D135,'Q1 Data'!$AD$4:$AD$207)+SUMIF('Q1 Data'!$D$4:$D$207,D135,'Q1 Data'!$AG$4:$AG$207)+SUMIF('Q1 Data'!$D$4:$D$207,D135,'Q1 Data'!$AE$4:$AE$207)+SUMIF('Q2 Data'!$D$4:$D$207,D135,'Q2 Data'!$AD$4:$AD$207)+SUMIF('Q2 Data'!$D$4:$D$207,D135,'Q2 Data'!$AG$4:$AG$207)+SUMIF('Q2 Data'!$D$4:$D$207,D135,'Q2 Data'!$AE$4:$AE$207)+SUMIF('Q3 Data'!$D$4:$D$207,D135,'Q3 Data'!$AD$4:$AD$207)+SUMIF('Q3 Data'!$D$4:$D$207,D135,'Q3 Data'!$AG$4:$AG$207)+SUMIF('Q3 Data'!$D$4:$D$207,D135,'Q3 Data'!$AE$4:$AE$207)+SUMIF('Q4 Data'!$D$4:$D$207,D135,'Q4 Data'!$AD$4:$AD$207)+SUMIF('Q4 Data'!$D$4:$D$207,D135,'Q4 Data'!$AG$4:$AG$207)+SUMIF('Q4 Data'!$D$4:$D$207,D135,'Q4 Data'!$AE$4:$AE$207))</f>
      </c>
      <c r="AO135" s="27">
        <f>IF($B135&lt;&gt;"Challan","",P135-N135)</f>
      </c>
      <c r="AP135" s="27">
        <f>IF($B135&lt;&gt;"Challan","",MAX(0,AO135-AN135))</f>
      </c>
      <c r="AQ135" s="33">
        <f>IF($B135&lt;&gt;"Entry","",SUMPRODUCT(('Q1 Data'!$D$4:$D$207=D135)*('Q1 Data'!$B$4:$B$207="Challan")*'Q1 Data'!$F$4:$F$207)+SUMPRODUCT(('Q2 Data'!$D$4:$D$207=D135)*('Q2 Data'!$B$4:$B$207="Challan")*'Q2 Data'!$F$4:$F$207)+SUMPRODUCT(('Q3 Data'!$D$4:$D$207=D135)*('Q3 Data'!$B$4:$B$207="Challan")*'Q3 Data'!$F$4:$F$207)+SUMPRODUCT(('Q4 Data'!$D$4:$D$207=D135)*('Q4 Data'!$B$4:$B$207="Challan")*'Q4 Data'!$F$4:$F$207))</f>
      </c>
      <c r="AR135" s="34">
        <f>IF(OR($B135&lt;&gt;"Entry",Z135=""),FALSE,AND((SUMPRODUCT(('Q1 Data'!$D$4:$D$207=D135)*('Q1 Data'!$B$4:$B$207="Challan")*('Q1 Data'!$H$4:$H$207&lt;&gt;""))+SUMPRODUCT(('Q2 Data'!$D$4:$D$207=D135)*('Q2 Data'!$B$4:$B$207="Challan")*('Q2 Data'!$H$4:$H$207&lt;&gt;""))+SUMPRODUCT(('Q3 Data'!$D$4:$D$207=D135)*('Q3 Data'!$B$4:$B$207="Challan")*('Q3 Data'!$H$4:$H$207&lt;&gt;""))+SUMPRODUCT(('Q4 Data'!$D$4:$D$207=D135)*('Q4 Data'!$B$4:$B$207="Challan")*('Q4 Data'!$H$4:$H$207&lt;&gt;"")))&gt;0,(SUMPRODUCT(('Q1 Data'!$D$4:$D$207=D135)*('Q1 Data'!$B$4:$B$207="Challan")*('Q1 Data'!$H$4:$H$207=Z135))+SUMPRODUCT(('Q2 Data'!$D$4:$D$207=D135)*('Q2 Data'!$B$4:$B$207="Challan")*('Q2 Data'!$H$4:$H$207=Z135))+SUMPRODUCT(('Q3 Data'!$D$4:$D$207=D135)*('Q3 Data'!$B$4:$B$207="Challan")*('Q3 Data'!$H$4:$H$207=Z135))+SUMPRODUCT(('Q4 Data'!$D$4:$D$207=D135)*('Q4 Data'!$B$4:$B$207="Challan")*('Q4 Data'!$H$4:$H$207=Z135)))=0))</f>
      </c>
    </row>
    <row r="136" spans="1:44" x14ac:dyDescent="0.25">
      <c r="A136" s="20">
        <f>IF($B136="Entry",COUNTIF($B$4:$B136,"Entry"),"")</f>
      </c>
      <c r="B136" s="21"/>
      <c r="C136" s="22"/>
      <c r="D136" s="22"/>
      <c r="E136" s="23">
        <f>IF($B136&lt;&gt;"Challan","",IF(ROUND(AN136-AO136,2)&gt;0,"Over-applied",IF(ROUND(AN136-AO136,2)=0,"Fully Utilised","Unconsumed")))</f>
      </c>
      <c r="F136" s="24"/>
      <c r="G136" s="25"/>
      <c r="H136" s="25"/>
      <c r="I136" s="26"/>
      <c r="J136" s="26"/>
      <c r="K136" s="26"/>
      <c r="L136" s="26"/>
      <c r="M136" s="26"/>
      <c r="N136" s="26"/>
      <c r="O136" s="26"/>
      <c r="P136" s="27">
        <f>IF($B136&lt;&gt;"Challan","",I136+J136+K136+L136+M136+N136)</f>
      </c>
      <c r="Q136" s="25"/>
      <c r="R136" s="25"/>
      <c r="S136" s="25"/>
      <c r="T136" s="25"/>
      <c r="U136" s="25"/>
      <c r="V136" s="28"/>
      <c r="W136" s="28"/>
      <c r="X136" s="23">
        <f>IF($B136="Entry",IF(AND(LEN(TRIM(UPPER(W136)))=10,CODE(MID(TRIM(UPPER(W136)),1,1))&gt;=65,CODE(MID(TRIM(UPPER(W136)),1,1))&lt;=90,CODE(MID(TRIM(UPPER(W136)),2,1))&gt;=65,CODE(MID(TRIM(UPPER(W136)),2,1))&lt;=90,CODE(MID(TRIM(UPPER(W136)),3,1))&gt;=65,CODE(MID(TRIM(UPPER(W136)),3,1))&lt;=90,CODE(MID(TRIM(UPPER(W136)),4,1))&gt;=65,CODE(MID(TRIM(UPPER(W136)),4,1))&lt;=90,CODE(MID(TRIM(UPPER(W136)),5,1))&gt;=65,CODE(MID(TRIM(UPPER(W136)),5,1))&lt;=90,CODE(MID(TRIM(UPPER(W136)),10,1))&gt;=65,CODE(MID(TRIM(UPPER(W136)),10,1))&lt;=90,CODE(MID(TRIM(UPPER(W136)),6,1))&gt;=48,CODE(MID(TRIM(UPPER(W136)),6,1))&lt;=57,CODE(MID(TRIM(UPPER(W136)),7,1))&gt;=48,CODE(MID(TRIM(UPPER(W136)),7,1))&lt;=57,CODE(MID(TRIM(UPPER(W136)),8,1))&gt;=48,CODE(MID(TRIM(UPPER(W136)),8,1))&lt;=57,CODE(MID(TRIM(UPPER(W136)),9,1))&gt;=48,CODE(MID(TRIM(UPPER(W136)),9,1))&lt;=57),"N","Y"),IF($B136="Challan","",IF(W136&lt;&gt;"","◄ Set Row Type","")))</f>
      </c>
      <c r="Y136" s="23">
        <f>IF($B136="Entry",IF(LEN(W136)&lt;4,"",IF(UPPER(MID(W136,4,1))="P","Individual",IF(UPPER(MID(W136,4,1))="H","HUF",IF(UPPER(MID(W136,4,1))="C","Company",IF(UPPER(MID(W136,4,1))="F","Firm",IF(UPPER(MID(W136,4,1))="L","LLP",IF(UPPER(MID(W136,4,1))="T","Trust",IF(UPPER(MID(W136,4,1))="A","AOP","")))))))),IF($B136="Challan","",IF(W136&lt;&gt;"","◄ Set Row Type","")))</f>
      </c>
      <c r="Z136" s="28"/>
      <c r="AA136" s="29">
        <f>IF($B136&lt;&gt;"Entry","",IF(Z136="","",IF(X136="Y",SUMPRODUCT(('Rate Lookup'!$A$1:$A$37=Z136)*'Rate Lookup'!$D$1:$D$37),IF(OR(Y136="Individual",Y136="HUF"),SUMPRODUCT(('Rate Lookup'!$A$1:$A$37=Z136)*'Rate Lookup'!$B$1:$B$37),SUMPRODUCT(('Rate Lookup'!$A$1:$A$37=Z136)*'Rate Lookup'!$C$1:$C$37)))))</f>
      </c>
      <c r="AB136" s="30"/>
      <c r="AC136" s="31"/>
      <c r="AD136" s="27">
        <f>IF($B136&lt;&gt;"Entry","",ROUND(AC136*AA136/100,0))</f>
      </c>
      <c r="AE136" s="27">
        <f>IF($B136&lt;&gt;"Entry","",0)</f>
      </c>
      <c r="AF136" s="27">
        <f>IF($B136&lt;&gt;"Entry","",0)</f>
      </c>
      <c r="AG136" s="27">
        <f>IF($B136&lt;&gt;"Entry","",IF(OR(AD136=0,AB136="",AQ136="",AQ136&lt;=0),0,IF(AQ136&lt;=DATE(YEAR(AB136),MONTH(AB136)+1,7),0,ROUND(AD136*0.015*((YEAR(AQ136)-YEAR(AB136))*12+(MONTH(AQ136)-MONTH(AB136))+1),0))))</f>
      </c>
      <c r="AH136" s="27">
        <f>IF($B136&lt;&gt;"Entry","",0)</f>
      </c>
      <c r="AI136" s="28"/>
      <c r="AJ136" s="28"/>
      <c r="AK136" s="32"/>
      <c r="AL136" s="28"/>
      <c r="AM136" s="28"/>
      <c r="AN136" s="27">
        <f>IF($B136&lt;&gt;"Challan","",SUMIF('Q1 Data'!$D$4:$D$207,D136,'Q1 Data'!$AD$4:$AD$207)+SUMIF('Q1 Data'!$D$4:$D$207,D136,'Q1 Data'!$AG$4:$AG$207)+SUMIF('Q1 Data'!$D$4:$D$207,D136,'Q1 Data'!$AE$4:$AE$207)+SUMIF('Q2 Data'!$D$4:$D$207,D136,'Q2 Data'!$AD$4:$AD$207)+SUMIF('Q2 Data'!$D$4:$D$207,D136,'Q2 Data'!$AG$4:$AG$207)+SUMIF('Q2 Data'!$D$4:$D$207,D136,'Q2 Data'!$AE$4:$AE$207)+SUMIF('Q3 Data'!$D$4:$D$207,D136,'Q3 Data'!$AD$4:$AD$207)+SUMIF('Q3 Data'!$D$4:$D$207,D136,'Q3 Data'!$AG$4:$AG$207)+SUMIF('Q3 Data'!$D$4:$D$207,D136,'Q3 Data'!$AE$4:$AE$207)+SUMIF('Q4 Data'!$D$4:$D$207,D136,'Q4 Data'!$AD$4:$AD$207)+SUMIF('Q4 Data'!$D$4:$D$207,D136,'Q4 Data'!$AG$4:$AG$207)+SUMIF('Q4 Data'!$D$4:$D$207,D136,'Q4 Data'!$AE$4:$AE$207))</f>
      </c>
      <c r="AO136" s="27">
        <f>IF($B136&lt;&gt;"Challan","",P136-N136)</f>
      </c>
      <c r="AP136" s="27">
        <f>IF($B136&lt;&gt;"Challan","",MAX(0,AO136-AN136))</f>
      </c>
      <c r="AQ136" s="33">
        <f>IF($B136&lt;&gt;"Entry","",SUMPRODUCT(('Q1 Data'!$D$4:$D$207=D136)*('Q1 Data'!$B$4:$B$207="Challan")*'Q1 Data'!$F$4:$F$207)+SUMPRODUCT(('Q2 Data'!$D$4:$D$207=D136)*('Q2 Data'!$B$4:$B$207="Challan")*'Q2 Data'!$F$4:$F$207)+SUMPRODUCT(('Q3 Data'!$D$4:$D$207=D136)*('Q3 Data'!$B$4:$B$207="Challan")*'Q3 Data'!$F$4:$F$207)+SUMPRODUCT(('Q4 Data'!$D$4:$D$207=D136)*('Q4 Data'!$B$4:$B$207="Challan")*'Q4 Data'!$F$4:$F$207))</f>
      </c>
      <c r="AR136" s="34">
        <f>IF(OR($B136&lt;&gt;"Entry",Z136=""),FALSE,AND((SUMPRODUCT(('Q1 Data'!$D$4:$D$207=D136)*('Q1 Data'!$B$4:$B$207="Challan")*('Q1 Data'!$H$4:$H$207&lt;&gt;""))+SUMPRODUCT(('Q2 Data'!$D$4:$D$207=D136)*('Q2 Data'!$B$4:$B$207="Challan")*('Q2 Data'!$H$4:$H$207&lt;&gt;""))+SUMPRODUCT(('Q3 Data'!$D$4:$D$207=D136)*('Q3 Data'!$B$4:$B$207="Challan")*('Q3 Data'!$H$4:$H$207&lt;&gt;""))+SUMPRODUCT(('Q4 Data'!$D$4:$D$207=D136)*('Q4 Data'!$B$4:$B$207="Challan")*('Q4 Data'!$H$4:$H$207&lt;&gt;"")))&gt;0,(SUMPRODUCT(('Q1 Data'!$D$4:$D$207=D136)*('Q1 Data'!$B$4:$B$207="Challan")*('Q1 Data'!$H$4:$H$207=Z136))+SUMPRODUCT(('Q2 Data'!$D$4:$D$207=D136)*('Q2 Data'!$B$4:$B$207="Challan")*('Q2 Data'!$H$4:$H$207=Z136))+SUMPRODUCT(('Q3 Data'!$D$4:$D$207=D136)*('Q3 Data'!$B$4:$B$207="Challan")*('Q3 Data'!$H$4:$H$207=Z136))+SUMPRODUCT(('Q4 Data'!$D$4:$D$207=D136)*('Q4 Data'!$B$4:$B$207="Challan")*('Q4 Data'!$H$4:$H$207=Z136)))=0))</f>
      </c>
    </row>
    <row r="137" spans="1:44" x14ac:dyDescent="0.25">
      <c r="A137" s="20">
        <f>IF($B137="Entry",COUNTIF($B$4:$B137,"Entry"),"")</f>
      </c>
      <c r="B137" s="21"/>
      <c r="C137" s="22"/>
      <c r="D137" s="22"/>
      <c r="E137" s="23">
        <f>IF($B137&lt;&gt;"Challan","",IF(ROUND(AN137-AO137,2)&gt;0,"Over-applied",IF(ROUND(AN137-AO137,2)=0,"Fully Utilised","Unconsumed")))</f>
      </c>
      <c r="F137" s="24"/>
      <c r="G137" s="25"/>
      <c r="H137" s="25"/>
      <c r="I137" s="26"/>
      <c r="J137" s="26"/>
      <c r="K137" s="26"/>
      <c r="L137" s="26"/>
      <c r="M137" s="26"/>
      <c r="N137" s="26"/>
      <c r="O137" s="26"/>
      <c r="P137" s="27">
        <f>IF($B137&lt;&gt;"Challan","",I137+J137+K137+L137+M137+N137)</f>
      </c>
      <c r="Q137" s="25"/>
      <c r="R137" s="25"/>
      <c r="S137" s="25"/>
      <c r="T137" s="25"/>
      <c r="U137" s="25"/>
      <c r="V137" s="28"/>
      <c r="W137" s="28"/>
      <c r="X137" s="23">
        <f>IF($B137="Entry",IF(AND(LEN(TRIM(UPPER(W137)))=10,CODE(MID(TRIM(UPPER(W137)),1,1))&gt;=65,CODE(MID(TRIM(UPPER(W137)),1,1))&lt;=90,CODE(MID(TRIM(UPPER(W137)),2,1))&gt;=65,CODE(MID(TRIM(UPPER(W137)),2,1))&lt;=90,CODE(MID(TRIM(UPPER(W137)),3,1))&gt;=65,CODE(MID(TRIM(UPPER(W137)),3,1))&lt;=90,CODE(MID(TRIM(UPPER(W137)),4,1))&gt;=65,CODE(MID(TRIM(UPPER(W137)),4,1))&lt;=90,CODE(MID(TRIM(UPPER(W137)),5,1))&gt;=65,CODE(MID(TRIM(UPPER(W137)),5,1))&lt;=90,CODE(MID(TRIM(UPPER(W137)),10,1))&gt;=65,CODE(MID(TRIM(UPPER(W137)),10,1))&lt;=90,CODE(MID(TRIM(UPPER(W137)),6,1))&gt;=48,CODE(MID(TRIM(UPPER(W137)),6,1))&lt;=57,CODE(MID(TRIM(UPPER(W137)),7,1))&gt;=48,CODE(MID(TRIM(UPPER(W137)),7,1))&lt;=57,CODE(MID(TRIM(UPPER(W137)),8,1))&gt;=48,CODE(MID(TRIM(UPPER(W137)),8,1))&lt;=57,CODE(MID(TRIM(UPPER(W137)),9,1))&gt;=48,CODE(MID(TRIM(UPPER(W137)),9,1))&lt;=57),"N","Y"),IF($B137="Challan","",IF(W137&lt;&gt;"","◄ Set Row Type","")))</f>
      </c>
      <c r="Y137" s="23">
        <f>IF($B137="Entry",IF(LEN(W137)&lt;4,"",IF(UPPER(MID(W137,4,1))="P","Individual",IF(UPPER(MID(W137,4,1))="H","HUF",IF(UPPER(MID(W137,4,1))="C","Company",IF(UPPER(MID(W137,4,1))="F","Firm",IF(UPPER(MID(W137,4,1))="L","LLP",IF(UPPER(MID(W137,4,1))="T","Trust",IF(UPPER(MID(W137,4,1))="A","AOP","")))))))),IF($B137="Challan","",IF(W137&lt;&gt;"","◄ Set Row Type","")))</f>
      </c>
      <c r="Z137" s="28"/>
      <c r="AA137" s="29">
        <f>IF($B137&lt;&gt;"Entry","",IF(Z137="","",IF(X137="Y",SUMPRODUCT(('Rate Lookup'!$A$1:$A$37=Z137)*'Rate Lookup'!$D$1:$D$37),IF(OR(Y137="Individual",Y137="HUF"),SUMPRODUCT(('Rate Lookup'!$A$1:$A$37=Z137)*'Rate Lookup'!$B$1:$B$37),SUMPRODUCT(('Rate Lookup'!$A$1:$A$37=Z137)*'Rate Lookup'!$C$1:$C$37)))))</f>
      </c>
      <c r="AB137" s="30"/>
      <c r="AC137" s="31"/>
      <c r="AD137" s="27">
        <f>IF($B137&lt;&gt;"Entry","",ROUND(AC137*AA137/100,0))</f>
      </c>
      <c r="AE137" s="27">
        <f>IF($B137&lt;&gt;"Entry","",0)</f>
      </c>
      <c r="AF137" s="27">
        <f>IF($B137&lt;&gt;"Entry","",0)</f>
      </c>
      <c r="AG137" s="27">
        <f>IF($B137&lt;&gt;"Entry","",IF(OR(AD137=0,AB137="",AQ137="",AQ137&lt;=0),0,IF(AQ137&lt;=DATE(YEAR(AB137),MONTH(AB137)+1,7),0,ROUND(AD137*0.015*((YEAR(AQ137)-YEAR(AB137))*12+(MONTH(AQ137)-MONTH(AB137))+1),0))))</f>
      </c>
      <c r="AH137" s="27">
        <f>IF($B137&lt;&gt;"Entry","",0)</f>
      </c>
      <c r="AI137" s="28"/>
      <c r="AJ137" s="28"/>
      <c r="AK137" s="32"/>
      <c r="AL137" s="28"/>
      <c r="AM137" s="28"/>
      <c r="AN137" s="27">
        <f>IF($B137&lt;&gt;"Challan","",SUMIF('Q1 Data'!$D$4:$D$207,D137,'Q1 Data'!$AD$4:$AD$207)+SUMIF('Q1 Data'!$D$4:$D$207,D137,'Q1 Data'!$AG$4:$AG$207)+SUMIF('Q1 Data'!$D$4:$D$207,D137,'Q1 Data'!$AE$4:$AE$207)+SUMIF('Q2 Data'!$D$4:$D$207,D137,'Q2 Data'!$AD$4:$AD$207)+SUMIF('Q2 Data'!$D$4:$D$207,D137,'Q2 Data'!$AG$4:$AG$207)+SUMIF('Q2 Data'!$D$4:$D$207,D137,'Q2 Data'!$AE$4:$AE$207)+SUMIF('Q3 Data'!$D$4:$D$207,D137,'Q3 Data'!$AD$4:$AD$207)+SUMIF('Q3 Data'!$D$4:$D$207,D137,'Q3 Data'!$AG$4:$AG$207)+SUMIF('Q3 Data'!$D$4:$D$207,D137,'Q3 Data'!$AE$4:$AE$207)+SUMIF('Q4 Data'!$D$4:$D$207,D137,'Q4 Data'!$AD$4:$AD$207)+SUMIF('Q4 Data'!$D$4:$D$207,D137,'Q4 Data'!$AG$4:$AG$207)+SUMIF('Q4 Data'!$D$4:$D$207,D137,'Q4 Data'!$AE$4:$AE$207))</f>
      </c>
      <c r="AO137" s="27">
        <f>IF($B137&lt;&gt;"Challan","",P137-N137)</f>
      </c>
      <c r="AP137" s="27">
        <f>IF($B137&lt;&gt;"Challan","",MAX(0,AO137-AN137))</f>
      </c>
      <c r="AQ137" s="33">
        <f>IF($B137&lt;&gt;"Entry","",SUMPRODUCT(('Q1 Data'!$D$4:$D$207=D137)*('Q1 Data'!$B$4:$B$207="Challan")*'Q1 Data'!$F$4:$F$207)+SUMPRODUCT(('Q2 Data'!$D$4:$D$207=D137)*('Q2 Data'!$B$4:$B$207="Challan")*'Q2 Data'!$F$4:$F$207)+SUMPRODUCT(('Q3 Data'!$D$4:$D$207=D137)*('Q3 Data'!$B$4:$B$207="Challan")*'Q3 Data'!$F$4:$F$207)+SUMPRODUCT(('Q4 Data'!$D$4:$D$207=D137)*('Q4 Data'!$B$4:$B$207="Challan")*'Q4 Data'!$F$4:$F$207))</f>
      </c>
      <c r="AR137" s="34">
        <f>IF(OR($B137&lt;&gt;"Entry",Z137=""),FALSE,AND((SUMPRODUCT(('Q1 Data'!$D$4:$D$207=D137)*('Q1 Data'!$B$4:$B$207="Challan")*('Q1 Data'!$H$4:$H$207&lt;&gt;""))+SUMPRODUCT(('Q2 Data'!$D$4:$D$207=D137)*('Q2 Data'!$B$4:$B$207="Challan")*('Q2 Data'!$H$4:$H$207&lt;&gt;""))+SUMPRODUCT(('Q3 Data'!$D$4:$D$207=D137)*('Q3 Data'!$B$4:$B$207="Challan")*('Q3 Data'!$H$4:$H$207&lt;&gt;""))+SUMPRODUCT(('Q4 Data'!$D$4:$D$207=D137)*('Q4 Data'!$B$4:$B$207="Challan")*('Q4 Data'!$H$4:$H$207&lt;&gt;"")))&gt;0,(SUMPRODUCT(('Q1 Data'!$D$4:$D$207=D137)*('Q1 Data'!$B$4:$B$207="Challan")*('Q1 Data'!$H$4:$H$207=Z137))+SUMPRODUCT(('Q2 Data'!$D$4:$D$207=D137)*('Q2 Data'!$B$4:$B$207="Challan")*('Q2 Data'!$H$4:$H$207=Z137))+SUMPRODUCT(('Q3 Data'!$D$4:$D$207=D137)*('Q3 Data'!$B$4:$B$207="Challan")*('Q3 Data'!$H$4:$H$207=Z137))+SUMPRODUCT(('Q4 Data'!$D$4:$D$207=D137)*('Q4 Data'!$B$4:$B$207="Challan")*('Q4 Data'!$H$4:$H$207=Z137)))=0))</f>
      </c>
    </row>
    <row r="138" spans="1:44" x14ac:dyDescent="0.25">
      <c r="A138" s="20">
        <f>IF($B138="Entry",COUNTIF($B$4:$B138,"Entry"),"")</f>
      </c>
      <c r="B138" s="21"/>
      <c r="C138" s="22"/>
      <c r="D138" s="22"/>
      <c r="E138" s="23">
        <f>IF($B138&lt;&gt;"Challan","",IF(ROUND(AN138-AO138,2)&gt;0,"Over-applied",IF(ROUND(AN138-AO138,2)=0,"Fully Utilised","Unconsumed")))</f>
      </c>
      <c r="F138" s="24"/>
      <c r="G138" s="25"/>
      <c r="H138" s="25"/>
      <c r="I138" s="26"/>
      <c r="J138" s="26"/>
      <c r="K138" s="26"/>
      <c r="L138" s="26"/>
      <c r="M138" s="26"/>
      <c r="N138" s="26"/>
      <c r="O138" s="26"/>
      <c r="P138" s="27">
        <f>IF($B138&lt;&gt;"Challan","",I138+J138+K138+L138+M138+N138)</f>
      </c>
      <c r="Q138" s="25"/>
      <c r="R138" s="25"/>
      <c r="S138" s="25"/>
      <c r="T138" s="25"/>
      <c r="U138" s="25"/>
      <c r="V138" s="28"/>
      <c r="W138" s="28"/>
      <c r="X138" s="23">
        <f>IF($B138="Entry",IF(AND(LEN(TRIM(UPPER(W138)))=10,CODE(MID(TRIM(UPPER(W138)),1,1))&gt;=65,CODE(MID(TRIM(UPPER(W138)),1,1))&lt;=90,CODE(MID(TRIM(UPPER(W138)),2,1))&gt;=65,CODE(MID(TRIM(UPPER(W138)),2,1))&lt;=90,CODE(MID(TRIM(UPPER(W138)),3,1))&gt;=65,CODE(MID(TRIM(UPPER(W138)),3,1))&lt;=90,CODE(MID(TRIM(UPPER(W138)),4,1))&gt;=65,CODE(MID(TRIM(UPPER(W138)),4,1))&lt;=90,CODE(MID(TRIM(UPPER(W138)),5,1))&gt;=65,CODE(MID(TRIM(UPPER(W138)),5,1))&lt;=90,CODE(MID(TRIM(UPPER(W138)),10,1))&gt;=65,CODE(MID(TRIM(UPPER(W138)),10,1))&lt;=90,CODE(MID(TRIM(UPPER(W138)),6,1))&gt;=48,CODE(MID(TRIM(UPPER(W138)),6,1))&lt;=57,CODE(MID(TRIM(UPPER(W138)),7,1))&gt;=48,CODE(MID(TRIM(UPPER(W138)),7,1))&lt;=57,CODE(MID(TRIM(UPPER(W138)),8,1))&gt;=48,CODE(MID(TRIM(UPPER(W138)),8,1))&lt;=57,CODE(MID(TRIM(UPPER(W138)),9,1))&gt;=48,CODE(MID(TRIM(UPPER(W138)),9,1))&lt;=57),"N","Y"),IF($B138="Challan","",IF(W138&lt;&gt;"","◄ Set Row Type","")))</f>
      </c>
      <c r="Y138" s="23">
        <f>IF($B138="Entry",IF(LEN(W138)&lt;4,"",IF(UPPER(MID(W138,4,1))="P","Individual",IF(UPPER(MID(W138,4,1))="H","HUF",IF(UPPER(MID(W138,4,1))="C","Company",IF(UPPER(MID(W138,4,1))="F","Firm",IF(UPPER(MID(W138,4,1))="L","LLP",IF(UPPER(MID(W138,4,1))="T","Trust",IF(UPPER(MID(W138,4,1))="A","AOP","")))))))),IF($B138="Challan","",IF(W138&lt;&gt;"","◄ Set Row Type","")))</f>
      </c>
      <c r="Z138" s="28"/>
      <c r="AA138" s="29">
        <f>IF($B138&lt;&gt;"Entry","",IF(Z138="","",IF(X138="Y",SUMPRODUCT(('Rate Lookup'!$A$1:$A$37=Z138)*'Rate Lookup'!$D$1:$D$37),IF(OR(Y138="Individual",Y138="HUF"),SUMPRODUCT(('Rate Lookup'!$A$1:$A$37=Z138)*'Rate Lookup'!$B$1:$B$37),SUMPRODUCT(('Rate Lookup'!$A$1:$A$37=Z138)*'Rate Lookup'!$C$1:$C$37)))))</f>
      </c>
      <c r="AB138" s="30"/>
      <c r="AC138" s="31"/>
      <c r="AD138" s="27">
        <f>IF($B138&lt;&gt;"Entry","",ROUND(AC138*AA138/100,0))</f>
      </c>
      <c r="AE138" s="27">
        <f>IF($B138&lt;&gt;"Entry","",0)</f>
      </c>
      <c r="AF138" s="27">
        <f>IF($B138&lt;&gt;"Entry","",0)</f>
      </c>
      <c r="AG138" s="27">
        <f>IF($B138&lt;&gt;"Entry","",IF(OR(AD138=0,AB138="",AQ138="",AQ138&lt;=0),0,IF(AQ138&lt;=DATE(YEAR(AB138),MONTH(AB138)+1,7),0,ROUND(AD138*0.015*((YEAR(AQ138)-YEAR(AB138))*12+(MONTH(AQ138)-MONTH(AB138))+1),0))))</f>
      </c>
      <c r="AH138" s="27">
        <f>IF($B138&lt;&gt;"Entry","",0)</f>
      </c>
      <c r="AI138" s="28"/>
      <c r="AJ138" s="28"/>
      <c r="AK138" s="32"/>
      <c r="AL138" s="28"/>
      <c r="AM138" s="28"/>
      <c r="AN138" s="27">
        <f>IF($B138&lt;&gt;"Challan","",SUMIF('Q1 Data'!$D$4:$D$207,D138,'Q1 Data'!$AD$4:$AD$207)+SUMIF('Q1 Data'!$D$4:$D$207,D138,'Q1 Data'!$AG$4:$AG$207)+SUMIF('Q1 Data'!$D$4:$D$207,D138,'Q1 Data'!$AE$4:$AE$207)+SUMIF('Q2 Data'!$D$4:$D$207,D138,'Q2 Data'!$AD$4:$AD$207)+SUMIF('Q2 Data'!$D$4:$D$207,D138,'Q2 Data'!$AG$4:$AG$207)+SUMIF('Q2 Data'!$D$4:$D$207,D138,'Q2 Data'!$AE$4:$AE$207)+SUMIF('Q3 Data'!$D$4:$D$207,D138,'Q3 Data'!$AD$4:$AD$207)+SUMIF('Q3 Data'!$D$4:$D$207,D138,'Q3 Data'!$AG$4:$AG$207)+SUMIF('Q3 Data'!$D$4:$D$207,D138,'Q3 Data'!$AE$4:$AE$207)+SUMIF('Q4 Data'!$D$4:$D$207,D138,'Q4 Data'!$AD$4:$AD$207)+SUMIF('Q4 Data'!$D$4:$D$207,D138,'Q4 Data'!$AG$4:$AG$207)+SUMIF('Q4 Data'!$D$4:$D$207,D138,'Q4 Data'!$AE$4:$AE$207))</f>
      </c>
      <c r="AO138" s="27">
        <f>IF($B138&lt;&gt;"Challan","",P138-N138)</f>
      </c>
      <c r="AP138" s="27">
        <f>IF($B138&lt;&gt;"Challan","",MAX(0,AO138-AN138))</f>
      </c>
      <c r="AQ138" s="33">
        <f>IF($B138&lt;&gt;"Entry","",SUMPRODUCT(('Q1 Data'!$D$4:$D$207=D138)*('Q1 Data'!$B$4:$B$207="Challan")*'Q1 Data'!$F$4:$F$207)+SUMPRODUCT(('Q2 Data'!$D$4:$D$207=D138)*('Q2 Data'!$B$4:$B$207="Challan")*'Q2 Data'!$F$4:$F$207)+SUMPRODUCT(('Q3 Data'!$D$4:$D$207=D138)*('Q3 Data'!$B$4:$B$207="Challan")*'Q3 Data'!$F$4:$F$207)+SUMPRODUCT(('Q4 Data'!$D$4:$D$207=D138)*('Q4 Data'!$B$4:$B$207="Challan")*'Q4 Data'!$F$4:$F$207))</f>
      </c>
      <c r="AR138" s="34">
        <f>IF(OR($B138&lt;&gt;"Entry",Z138=""),FALSE,AND((SUMPRODUCT(('Q1 Data'!$D$4:$D$207=D138)*('Q1 Data'!$B$4:$B$207="Challan")*('Q1 Data'!$H$4:$H$207&lt;&gt;""))+SUMPRODUCT(('Q2 Data'!$D$4:$D$207=D138)*('Q2 Data'!$B$4:$B$207="Challan")*('Q2 Data'!$H$4:$H$207&lt;&gt;""))+SUMPRODUCT(('Q3 Data'!$D$4:$D$207=D138)*('Q3 Data'!$B$4:$B$207="Challan")*('Q3 Data'!$H$4:$H$207&lt;&gt;""))+SUMPRODUCT(('Q4 Data'!$D$4:$D$207=D138)*('Q4 Data'!$B$4:$B$207="Challan")*('Q4 Data'!$H$4:$H$207&lt;&gt;"")))&gt;0,(SUMPRODUCT(('Q1 Data'!$D$4:$D$207=D138)*('Q1 Data'!$B$4:$B$207="Challan")*('Q1 Data'!$H$4:$H$207=Z138))+SUMPRODUCT(('Q2 Data'!$D$4:$D$207=D138)*('Q2 Data'!$B$4:$B$207="Challan")*('Q2 Data'!$H$4:$H$207=Z138))+SUMPRODUCT(('Q3 Data'!$D$4:$D$207=D138)*('Q3 Data'!$B$4:$B$207="Challan")*('Q3 Data'!$H$4:$H$207=Z138))+SUMPRODUCT(('Q4 Data'!$D$4:$D$207=D138)*('Q4 Data'!$B$4:$B$207="Challan")*('Q4 Data'!$H$4:$H$207=Z138)))=0))</f>
      </c>
    </row>
    <row r="139" spans="1:44" x14ac:dyDescent="0.25">
      <c r="A139" s="20">
        <f>IF($B139="Entry",COUNTIF($B$4:$B139,"Entry"),"")</f>
      </c>
      <c r="B139" s="21"/>
      <c r="C139" s="22"/>
      <c r="D139" s="22"/>
      <c r="E139" s="23">
        <f>IF($B139&lt;&gt;"Challan","",IF(ROUND(AN139-AO139,2)&gt;0,"Over-applied",IF(ROUND(AN139-AO139,2)=0,"Fully Utilised","Unconsumed")))</f>
      </c>
      <c r="F139" s="24"/>
      <c r="G139" s="25"/>
      <c r="H139" s="25"/>
      <c r="I139" s="26"/>
      <c r="J139" s="26"/>
      <c r="K139" s="26"/>
      <c r="L139" s="26"/>
      <c r="M139" s="26"/>
      <c r="N139" s="26"/>
      <c r="O139" s="26"/>
      <c r="P139" s="27">
        <f>IF($B139&lt;&gt;"Challan","",I139+J139+K139+L139+M139+N139)</f>
      </c>
      <c r="Q139" s="25"/>
      <c r="R139" s="25"/>
      <c r="S139" s="25"/>
      <c r="T139" s="25"/>
      <c r="U139" s="25"/>
      <c r="V139" s="28"/>
      <c r="W139" s="28"/>
      <c r="X139" s="23">
        <f>IF($B139="Entry",IF(AND(LEN(TRIM(UPPER(W139)))=10,CODE(MID(TRIM(UPPER(W139)),1,1))&gt;=65,CODE(MID(TRIM(UPPER(W139)),1,1))&lt;=90,CODE(MID(TRIM(UPPER(W139)),2,1))&gt;=65,CODE(MID(TRIM(UPPER(W139)),2,1))&lt;=90,CODE(MID(TRIM(UPPER(W139)),3,1))&gt;=65,CODE(MID(TRIM(UPPER(W139)),3,1))&lt;=90,CODE(MID(TRIM(UPPER(W139)),4,1))&gt;=65,CODE(MID(TRIM(UPPER(W139)),4,1))&lt;=90,CODE(MID(TRIM(UPPER(W139)),5,1))&gt;=65,CODE(MID(TRIM(UPPER(W139)),5,1))&lt;=90,CODE(MID(TRIM(UPPER(W139)),10,1))&gt;=65,CODE(MID(TRIM(UPPER(W139)),10,1))&lt;=90,CODE(MID(TRIM(UPPER(W139)),6,1))&gt;=48,CODE(MID(TRIM(UPPER(W139)),6,1))&lt;=57,CODE(MID(TRIM(UPPER(W139)),7,1))&gt;=48,CODE(MID(TRIM(UPPER(W139)),7,1))&lt;=57,CODE(MID(TRIM(UPPER(W139)),8,1))&gt;=48,CODE(MID(TRIM(UPPER(W139)),8,1))&lt;=57,CODE(MID(TRIM(UPPER(W139)),9,1))&gt;=48,CODE(MID(TRIM(UPPER(W139)),9,1))&lt;=57),"N","Y"),IF($B139="Challan","",IF(W139&lt;&gt;"","◄ Set Row Type","")))</f>
      </c>
      <c r="Y139" s="23">
        <f>IF($B139="Entry",IF(LEN(W139)&lt;4,"",IF(UPPER(MID(W139,4,1))="P","Individual",IF(UPPER(MID(W139,4,1))="H","HUF",IF(UPPER(MID(W139,4,1))="C","Company",IF(UPPER(MID(W139,4,1))="F","Firm",IF(UPPER(MID(W139,4,1))="L","LLP",IF(UPPER(MID(W139,4,1))="T","Trust",IF(UPPER(MID(W139,4,1))="A","AOP","")))))))),IF($B139="Challan","",IF(W139&lt;&gt;"","◄ Set Row Type","")))</f>
      </c>
      <c r="Z139" s="28"/>
      <c r="AA139" s="29">
        <f>IF($B139&lt;&gt;"Entry","",IF(Z139="","",IF(X139="Y",SUMPRODUCT(('Rate Lookup'!$A$1:$A$37=Z139)*'Rate Lookup'!$D$1:$D$37),IF(OR(Y139="Individual",Y139="HUF"),SUMPRODUCT(('Rate Lookup'!$A$1:$A$37=Z139)*'Rate Lookup'!$B$1:$B$37),SUMPRODUCT(('Rate Lookup'!$A$1:$A$37=Z139)*'Rate Lookup'!$C$1:$C$37)))))</f>
      </c>
      <c r="AB139" s="30"/>
      <c r="AC139" s="31"/>
      <c r="AD139" s="27">
        <f>IF($B139&lt;&gt;"Entry","",ROUND(AC139*AA139/100,0))</f>
      </c>
      <c r="AE139" s="27">
        <f>IF($B139&lt;&gt;"Entry","",0)</f>
      </c>
      <c r="AF139" s="27">
        <f>IF($B139&lt;&gt;"Entry","",0)</f>
      </c>
      <c r="AG139" s="27">
        <f>IF($B139&lt;&gt;"Entry","",IF(OR(AD139=0,AB139="",AQ139="",AQ139&lt;=0),0,IF(AQ139&lt;=DATE(YEAR(AB139),MONTH(AB139)+1,7),0,ROUND(AD139*0.015*((YEAR(AQ139)-YEAR(AB139))*12+(MONTH(AQ139)-MONTH(AB139))+1),0))))</f>
      </c>
      <c r="AH139" s="27">
        <f>IF($B139&lt;&gt;"Entry","",0)</f>
      </c>
      <c r="AI139" s="28"/>
      <c r="AJ139" s="28"/>
      <c r="AK139" s="32"/>
      <c r="AL139" s="28"/>
      <c r="AM139" s="28"/>
      <c r="AN139" s="27">
        <f>IF($B139&lt;&gt;"Challan","",SUMIF('Q1 Data'!$D$4:$D$207,D139,'Q1 Data'!$AD$4:$AD$207)+SUMIF('Q1 Data'!$D$4:$D$207,D139,'Q1 Data'!$AG$4:$AG$207)+SUMIF('Q1 Data'!$D$4:$D$207,D139,'Q1 Data'!$AE$4:$AE$207)+SUMIF('Q2 Data'!$D$4:$D$207,D139,'Q2 Data'!$AD$4:$AD$207)+SUMIF('Q2 Data'!$D$4:$D$207,D139,'Q2 Data'!$AG$4:$AG$207)+SUMIF('Q2 Data'!$D$4:$D$207,D139,'Q2 Data'!$AE$4:$AE$207)+SUMIF('Q3 Data'!$D$4:$D$207,D139,'Q3 Data'!$AD$4:$AD$207)+SUMIF('Q3 Data'!$D$4:$D$207,D139,'Q3 Data'!$AG$4:$AG$207)+SUMIF('Q3 Data'!$D$4:$D$207,D139,'Q3 Data'!$AE$4:$AE$207)+SUMIF('Q4 Data'!$D$4:$D$207,D139,'Q4 Data'!$AD$4:$AD$207)+SUMIF('Q4 Data'!$D$4:$D$207,D139,'Q4 Data'!$AG$4:$AG$207)+SUMIF('Q4 Data'!$D$4:$D$207,D139,'Q4 Data'!$AE$4:$AE$207))</f>
      </c>
      <c r="AO139" s="27">
        <f>IF($B139&lt;&gt;"Challan","",P139-N139)</f>
      </c>
      <c r="AP139" s="27">
        <f>IF($B139&lt;&gt;"Challan","",MAX(0,AO139-AN139))</f>
      </c>
      <c r="AQ139" s="33">
        <f>IF($B139&lt;&gt;"Entry","",SUMPRODUCT(('Q1 Data'!$D$4:$D$207=D139)*('Q1 Data'!$B$4:$B$207="Challan")*'Q1 Data'!$F$4:$F$207)+SUMPRODUCT(('Q2 Data'!$D$4:$D$207=D139)*('Q2 Data'!$B$4:$B$207="Challan")*'Q2 Data'!$F$4:$F$207)+SUMPRODUCT(('Q3 Data'!$D$4:$D$207=D139)*('Q3 Data'!$B$4:$B$207="Challan")*'Q3 Data'!$F$4:$F$207)+SUMPRODUCT(('Q4 Data'!$D$4:$D$207=D139)*('Q4 Data'!$B$4:$B$207="Challan")*'Q4 Data'!$F$4:$F$207))</f>
      </c>
      <c r="AR139" s="34">
        <f>IF(OR($B139&lt;&gt;"Entry",Z139=""),FALSE,AND((SUMPRODUCT(('Q1 Data'!$D$4:$D$207=D139)*('Q1 Data'!$B$4:$B$207="Challan")*('Q1 Data'!$H$4:$H$207&lt;&gt;""))+SUMPRODUCT(('Q2 Data'!$D$4:$D$207=D139)*('Q2 Data'!$B$4:$B$207="Challan")*('Q2 Data'!$H$4:$H$207&lt;&gt;""))+SUMPRODUCT(('Q3 Data'!$D$4:$D$207=D139)*('Q3 Data'!$B$4:$B$207="Challan")*('Q3 Data'!$H$4:$H$207&lt;&gt;""))+SUMPRODUCT(('Q4 Data'!$D$4:$D$207=D139)*('Q4 Data'!$B$4:$B$207="Challan")*('Q4 Data'!$H$4:$H$207&lt;&gt;"")))&gt;0,(SUMPRODUCT(('Q1 Data'!$D$4:$D$207=D139)*('Q1 Data'!$B$4:$B$207="Challan")*('Q1 Data'!$H$4:$H$207=Z139))+SUMPRODUCT(('Q2 Data'!$D$4:$D$207=D139)*('Q2 Data'!$B$4:$B$207="Challan")*('Q2 Data'!$H$4:$H$207=Z139))+SUMPRODUCT(('Q3 Data'!$D$4:$D$207=D139)*('Q3 Data'!$B$4:$B$207="Challan")*('Q3 Data'!$H$4:$H$207=Z139))+SUMPRODUCT(('Q4 Data'!$D$4:$D$207=D139)*('Q4 Data'!$B$4:$B$207="Challan")*('Q4 Data'!$H$4:$H$207=Z139)))=0))</f>
      </c>
    </row>
    <row r="140" spans="1:44" x14ac:dyDescent="0.25">
      <c r="A140" s="20">
        <f>IF($B140="Entry",COUNTIF($B$4:$B140,"Entry"),"")</f>
      </c>
      <c r="B140" s="21"/>
      <c r="C140" s="22"/>
      <c r="D140" s="22"/>
      <c r="E140" s="23">
        <f>IF($B140&lt;&gt;"Challan","",IF(ROUND(AN140-AO140,2)&gt;0,"Over-applied",IF(ROUND(AN140-AO140,2)=0,"Fully Utilised","Unconsumed")))</f>
      </c>
      <c r="F140" s="24"/>
      <c r="G140" s="25"/>
      <c r="H140" s="25"/>
      <c r="I140" s="26"/>
      <c r="J140" s="26"/>
      <c r="K140" s="26"/>
      <c r="L140" s="26"/>
      <c r="M140" s="26"/>
      <c r="N140" s="26"/>
      <c r="O140" s="26"/>
      <c r="P140" s="27">
        <f>IF($B140&lt;&gt;"Challan","",I140+J140+K140+L140+M140+N140)</f>
      </c>
      <c r="Q140" s="25"/>
      <c r="R140" s="25"/>
      <c r="S140" s="25"/>
      <c r="T140" s="25"/>
      <c r="U140" s="25"/>
      <c r="V140" s="28"/>
      <c r="W140" s="28"/>
      <c r="X140" s="23">
        <f>IF($B140="Entry",IF(AND(LEN(TRIM(UPPER(W140)))=10,CODE(MID(TRIM(UPPER(W140)),1,1))&gt;=65,CODE(MID(TRIM(UPPER(W140)),1,1))&lt;=90,CODE(MID(TRIM(UPPER(W140)),2,1))&gt;=65,CODE(MID(TRIM(UPPER(W140)),2,1))&lt;=90,CODE(MID(TRIM(UPPER(W140)),3,1))&gt;=65,CODE(MID(TRIM(UPPER(W140)),3,1))&lt;=90,CODE(MID(TRIM(UPPER(W140)),4,1))&gt;=65,CODE(MID(TRIM(UPPER(W140)),4,1))&lt;=90,CODE(MID(TRIM(UPPER(W140)),5,1))&gt;=65,CODE(MID(TRIM(UPPER(W140)),5,1))&lt;=90,CODE(MID(TRIM(UPPER(W140)),10,1))&gt;=65,CODE(MID(TRIM(UPPER(W140)),10,1))&lt;=90,CODE(MID(TRIM(UPPER(W140)),6,1))&gt;=48,CODE(MID(TRIM(UPPER(W140)),6,1))&lt;=57,CODE(MID(TRIM(UPPER(W140)),7,1))&gt;=48,CODE(MID(TRIM(UPPER(W140)),7,1))&lt;=57,CODE(MID(TRIM(UPPER(W140)),8,1))&gt;=48,CODE(MID(TRIM(UPPER(W140)),8,1))&lt;=57,CODE(MID(TRIM(UPPER(W140)),9,1))&gt;=48,CODE(MID(TRIM(UPPER(W140)),9,1))&lt;=57),"N","Y"),IF($B140="Challan","",IF(W140&lt;&gt;"","◄ Set Row Type","")))</f>
      </c>
      <c r="Y140" s="23">
        <f>IF($B140="Entry",IF(LEN(W140)&lt;4,"",IF(UPPER(MID(W140,4,1))="P","Individual",IF(UPPER(MID(W140,4,1))="H","HUF",IF(UPPER(MID(W140,4,1))="C","Company",IF(UPPER(MID(W140,4,1))="F","Firm",IF(UPPER(MID(W140,4,1))="L","LLP",IF(UPPER(MID(W140,4,1))="T","Trust",IF(UPPER(MID(W140,4,1))="A","AOP","")))))))),IF($B140="Challan","",IF(W140&lt;&gt;"","◄ Set Row Type","")))</f>
      </c>
      <c r="Z140" s="28"/>
      <c r="AA140" s="29">
        <f>IF($B140&lt;&gt;"Entry","",IF(Z140="","",IF(X140="Y",SUMPRODUCT(('Rate Lookup'!$A$1:$A$37=Z140)*'Rate Lookup'!$D$1:$D$37),IF(OR(Y140="Individual",Y140="HUF"),SUMPRODUCT(('Rate Lookup'!$A$1:$A$37=Z140)*'Rate Lookup'!$B$1:$B$37),SUMPRODUCT(('Rate Lookup'!$A$1:$A$37=Z140)*'Rate Lookup'!$C$1:$C$37)))))</f>
      </c>
      <c r="AB140" s="30"/>
      <c r="AC140" s="31"/>
      <c r="AD140" s="27">
        <f>IF($B140&lt;&gt;"Entry","",ROUND(AC140*AA140/100,0))</f>
      </c>
      <c r="AE140" s="27">
        <f>IF($B140&lt;&gt;"Entry","",0)</f>
      </c>
      <c r="AF140" s="27">
        <f>IF($B140&lt;&gt;"Entry","",0)</f>
      </c>
      <c r="AG140" s="27">
        <f>IF($B140&lt;&gt;"Entry","",IF(OR(AD140=0,AB140="",AQ140="",AQ140&lt;=0),0,IF(AQ140&lt;=DATE(YEAR(AB140),MONTH(AB140)+1,7),0,ROUND(AD140*0.015*((YEAR(AQ140)-YEAR(AB140))*12+(MONTH(AQ140)-MONTH(AB140))+1),0))))</f>
      </c>
      <c r="AH140" s="27">
        <f>IF($B140&lt;&gt;"Entry","",0)</f>
      </c>
      <c r="AI140" s="28"/>
      <c r="AJ140" s="28"/>
      <c r="AK140" s="32"/>
      <c r="AL140" s="28"/>
      <c r="AM140" s="28"/>
      <c r="AN140" s="27">
        <f>IF($B140&lt;&gt;"Challan","",SUMIF('Q1 Data'!$D$4:$D$207,D140,'Q1 Data'!$AD$4:$AD$207)+SUMIF('Q1 Data'!$D$4:$D$207,D140,'Q1 Data'!$AG$4:$AG$207)+SUMIF('Q1 Data'!$D$4:$D$207,D140,'Q1 Data'!$AE$4:$AE$207)+SUMIF('Q2 Data'!$D$4:$D$207,D140,'Q2 Data'!$AD$4:$AD$207)+SUMIF('Q2 Data'!$D$4:$D$207,D140,'Q2 Data'!$AG$4:$AG$207)+SUMIF('Q2 Data'!$D$4:$D$207,D140,'Q2 Data'!$AE$4:$AE$207)+SUMIF('Q3 Data'!$D$4:$D$207,D140,'Q3 Data'!$AD$4:$AD$207)+SUMIF('Q3 Data'!$D$4:$D$207,D140,'Q3 Data'!$AG$4:$AG$207)+SUMIF('Q3 Data'!$D$4:$D$207,D140,'Q3 Data'!$AE$4:$AE$207)+SUMIF('Q4 Data'!$D$4:$D$207,D140,'Q4 Data'!$AD$4:$AD$207)+SUMIF('Q4 Data'!$D$4:$D$207,D140,'Q4 Data'!$AG$4:$AG$207)+SUMIF('Q4 Data'!$D$4:$D$207,D140,'Q4 Data'!$AE$4:$AE$207))</f>
      </c>
      <c r="AO140" s="27">
        <f>IF($B140&lt;&gt;"Challan","",P140-N140)</f>
      </c>
      <c r="AP140" s="27">
        <f>IF($B140&lt;&gt;"Challan","",MAX(0,AO140-AN140))</f>
      </c>
      <c r="AQ140" s="33">
        <f>IF($B140&lt;&gt;"Entry","",SUMPRODUCT(('Q1 Data'!$D$4:$D$207=D140)*('Q1 Data'!$B$4:$B$207="Challan")*'Q1 Data'!$F$4:$F$207)+SUMPRODUCT(('Q2 Data'!$D$4:$D$207=D140)*('Q2 Data'!$B$4:$B$207="Challan")*'Q2 Data'!$F$4:$F$207)+SUMPRODUCT(('Q3 Data'!$D$4:$D$207=D140)*('Q3 Data'!$B$4:$B$207="Challan")*'Q3 Data'!$F$4:$F$207)+SUMPRODUCT(('Q4 Data'!$D$4:$D$207=D140)*('Q4 Data'!$B$4:$B$207="Challan")*'Q4 Data'!$F$4:$F$207))</f>
      </c>
      <c r="AR140" s="34">
        <f>IF(OR($B140&lt;&gt;"Entry",Z140=""),FALSE,AND((SUMPRODUCT(('Q1 Data'!$D$4:$D$207=D140)*('Q1 Data'!$B$4:$B$207="Challan")*('Q1 Data'!$H$4:$H$207&lt;&gt;""))+SUMPRODUCT(('Q2 Data'!$D$4:$D$207=D140)*('Q2 Data'!$B$4:$B$207="Challan")*('Q2 Data'!$H$4:$H$207&lt;&gt;""))+SUMPRODUCT(('Q3 Data'!$D$4:$D$207=D140)*('Q3 Data'!$B$4:$B$207="Challan")*('Q3 Data'!$H$4:$H$207&lt;&gt;""))+SUMPRODUCT(('Q4 Data'!$D$4:$D$207=D140)*('Q4 Data'!$B$4:$B$207="Challan")*('Q4 Data'!$H$4:$H$207&lt;&gt;"")))&gt;0,(SUMPRODUCT(('Q1 Data'!$D$4:$D$207=D140)*('Q1 Data'!$B$4:$B$207="Challan")*('Q1 Data'!$H$4:$H$207=Z140))+SUMPRODUCT(('Q2 Data'!$D$4:$D$207=D140)*('Q2 Data'!$B$4:$B$207="Challan")*('Q2 Data'!$H$4:$H$207=Z140))+SUMPRODUCT(('Q3 Data'!$D$4:$D$207=D140)*('Q3 Data'!$B$4:$B$207="Challan")*('Q3 Data'!$H$4:$H$207=Z140))+SUMPRODUCT(('Q4 Data'!$D$4:$D$207=D140)*('Q4 Data'!$B$4:$B$207="Challan")*('Q4 Data'!$H$4:$H$207=Z140)))=0))</f>
      </c>
    </row>
    <row r="141" spans="1:44" x14ac:dyDescent="0.25">
      <c r="A141" s="20">
        <f>IF($B141="Entry",COUNTIF($B$4:$B141,"Entry"),"")</f>
      </c>
      <c r="B141" s="21"/>
      <c r="C141" s="22"/>
      <c r="D141" s="22"/>
      <c r="E141" s="23">
        <f>IF($B141&lt;&gt;"Challan","",IF(ROUND(AN141-AO141,2)&gt;0,"Over-applied",IF(ROUND(AN141-AO141,2)=0,"Fully Utilised","Unconsumed")))</f>
      </c>
      <c r="F141" s="24"/>
      <c r="G141" s="25"/>
      <c r="H141" s="25"/>
      <c r="I141" s="26"/>
      <c r="J141" s="26"/>
      <c r="K141" s="26"/>
      <c r="L141" s="26"/>
      <c r="M141" s="26"/>
      <c r="N141" s="26"/>
      <c r="O141" s="26"/>
      <c r="P141" s="27">
        <f>IF($B141&lt;&gt;"Challan","",I141+J141+K141+L141+M141+N141)</f>
      </c>
      <c r="Q141" s="25"/>
      <c r="R141" s="25"/>
      <c r="S141" s="25"/>
      <c r="T141" s="25"/>
      <c r="U141" s="25"/>
      <c r="V141" s="28"/>
      <c r="W141" s="28"/>
      <c r="X141" s="23">
        <f>IF($B141="Entry",IF(AND(LEN(TRIM(UPPER(W141)))=10,CODE(MID(TRIM(UPPER(W141)),1,1))&gt;=65,CODE(MID(TRIM(UPPER(W141)),1,1))&lt;=90,CODE(MID(TRIM(UPPER(W141)),2,1))&gt;=65,CODE(MID(TRIM(UPPER(W141)),2,1))&lt;=90,CODE(MID(TRIM(UPPER(W141)),3,1))&gt;=65,CODE(MID(TRIM(UPPER(W141)),3,1))&lt;=90,CODE(MID(TRIM(UPPER(W141)),4,1))&gt;=65,CODE(MID(TRIM(UPPER(W141)),4,1))&lt;=90,CODE(MID(TRIM(UPPER(W141)),5,1))&gt;=65,CODE(MID(TRIM(UPPER(W141)),5,1))&lt;=90,CODE(MID(TRIM(UPPER(W141)),10,1))&gt;=65,CODE(MID(TRIM(UPPER(W141)),10,1))&lt;=90,CODE(MID(TRIM(UPPER(W141)),6,1))&gt;=48,CODE(MID(TRIM(UPPER(W141)),6,1))&lt;=57,CODE(MID(TRIM(UPPER(W141)),7,1))&gt;=48,CODE(MID(TRIM(UPPER(W141)),7,1))&lt;=57,CODE(MID(TRIM(UPPER(W141)),8,1))&gt;=48,CODE(MID(TRIM(UPPER(W141)),8,1))&lt;=57,CODE(MID(TRIM(UPPER(W141)),9,1))&gt;=48,CODE(MID(TRIM(UPPER(W141)),9,1))&lt;=57),"N","Y"),IF($B141="Challan","",IF(W141&lt;&gt;"","◄ Set Row Type","")))</f>
      </c>
      <c r="Y141" s="23">
        <f>IF($B141="Entry",IF(LEN(W141)&lt;4,"",IF(UPPER(MID(W141,4,1))="P","Individual",IF(UPPER(MID(W141,4,1))="H","HUF",IF(UPPER(MID(W141,4,1))="C","Company",IF(UPPER(MID(W141,4,1))="F","Firm",IF(UPPER(MID(W141,4,1))="L","LLP",IF(UPPER(MID(W141,4,1))="T","Trust",IF(UPPER(MID(W141,4,1))="A","AOP","")))))))),IF($B141="Challan","",IF(W141&lt;&gt;"","◄ Set Row Type","")))</f>
      </c>
      <c r="Z141" s="28"/>
      <c r="AA141" s="29">
        <f>IF($B141&lt;&gt;"Entry","",IF(Z141="","",IF(X141="Y",SUMPRODUCT(('Rate Lookup'!$A$1:$A$37=Z141)*'Rate Lookup'!$D$1:$D$37),IF(OR(Y141="Individual",Y141="HUF"),SUMPRODUCT(('Rate Lookup'!$A$1:$A$37=Z141)*'Rate Lookup'!$B$1:$B$37),SUMPRODUCT(('Rate Lookup'!$A$1:$A$37=Z141)*'Rate Lookup'!$C$1:$C$37)))))</f>
      </c>
      <c r="AB141" s="30"/>
      <c r="AC141" s="31"/>
      <c r="AD141" s="27">
        <f>IF($B141&lt;&gt;"Entry","",ROUND(AC141*AA141/100,0))</f>
      </c>
      <c r="AE141" s="27">
        <f>IF($B141&lt;&gt;"Entry","",0)</f>
      </c>
      <c r="AF141" s="27">
        <f>IF($B141&lt;&gt;"Entry","",0)</f>
      </c>
      <c r="AG141" s="27">
        <f>IF($B141&lt;&gt;"Entry","",IF(OR(AD141=0,AB141="",AQ141="",AQ141&lt;=0),0,IF(AQ141&lt;=DATE(YEAR(AB141),MONTH(AB141)+1,7),0,ROUND(AD141*0.015*((YEAR(AQ141)-YEAR(AB141))*12+(MONTH(AQ141)-MONTH(AB141))+1),0))))</f>
      </c>
      <c r="AH141" s="27">
        <f>IF($B141&lt;&gt;"Entry","",0)</f>
      </c>
      <c r="AI141" s="28"/>
      <c r="AJ141" s="28"/>
      <c r="AK141" s="32"/>
      <c r="AL141" s="28"/>
      <c r="AM141" s="28"/>
      <c r="AN141" s="27">
        <f>IF($B141&lt;&gt;"Challan","",SUMIF('Q1 Data'!$D$4:$D$207,D141,'Q1 Data'!$AD$4:$AD$207)+SUMIF('Q1 Data'!$D$4:$D$207,D141,'Q1 Data'!$AG$4:$AG$207)+SUMIF('Q1 Data'!$D$4:$D$207,D141,'Q1 Data'!$AE$4:$AE$207)+SUMIF('Q2 Data'!$D$4:$D$207,D141,'Q2 Data'!$AD$4:$AD$207)+SUMIF('Q2 Data'!$D$4:$D$207,D141,'Q2 Data'!$AG$4:$AG$207)+SUMIF('Q2 Data'!$D$4:$D$207,D141,'Q2 Data'!$AE$4:$AE$207)+SUMIF('Q3 Data'!$D$4:$D$207,D141,'Q3 Data'!$AD$4:$AD$207)+SUMIF('Q3 Data'!$D$4:$D$207,D141,'Q3 Data'!$AG$4:$AG$207)+SUMIF('Q3 Data'!$D$4:$D$207,D141,'Q3 Data'!$AE$4:$AE$207)+SUMIF('Q4 Data'!$D$4:$D$207,D141,'Q4 Data'!$AD$4:$AD$207)+SUMIF('Q4 Data'!$D$4:$D$207,D141,'Q4 Data'!$AG$4:$AG$207)+SUMIF('Q4 Data'!$D$4:$D$207,D141,'Q4 Data'!$AE$4:$AE$207))</f>
      </c>
      <c r="AO141" s="27">
        <f>IF($B141&lt;&gt;"Challan","",P141-N141)</f>
      </c>
      <c r="AP141" s="27">
        <f>IF($B141&lt;&gt;"Challan","",MAX(0,AO141-AN141))</f>
      </c>
      <c r="AQ141" s="33">
        <f>IF($B141&lt;&gt;"Entry","",SUMPRODUCT(('Q1 Data'!$D$4:$D$207=D141)*('Q1 Data'!$B$4:$B$207="Challan")*'Q1 Data'!$F$4:$F$207)+SUMPRODUCT(('Q2 Data'!$D$4:$D$207=D141)*('Q2 Data'!$B$4:$B$207="Challan")*'Q2 Data'!$F$4:$F$207)+SUMPRODUCT(('Q3 Data'!$D$4:$D$207=D141)*('Q3 Data'!$B$4:$B$207="Challan")*'Q3 Data'!$F$4:$F$207)+SUMPRODUCT(('Q4 Data'!$D$4:$D$207=D141)*('Q4 Data'!$B$4:$B$207="Challan")*'Q4 Data'!$F$4:$F$207))</f>
      </c>
      <c r="AR141" s="34">
        <f>IF(OR($B141&lt;&gt;"Entry",Z141=""),FALSE,AND((SUMPRODUCT(('Q1 Data'!$D$4:$D$207=D141)*('Q1 Data'!$B$4:$B$207="Challan")*('Q1 Data'!$H$4:$H$207&lt;&gt;""))+SUMPRODUCT(('Q2 Data'!$D$4:$D$207=D141)*('Q2 Data'!$B$4:$B$207="Challan")*('Q2 Data'!$H$4:$H$207&lt;&gt;""))+SUMPRODUCT(('Q3 Data'!$D$4:$D$207=D141)*('Q3 Data'!$B$4:$B$207="Challan")*('Q3 Data'!$H$4:$H$207&lt;&gt;""))+SUMPRODUCT(('Q4 Data'!$D$4:$D$207=D141)*('Q4 Data'!$B$4:$B$207="Challan")*('Q4 Data'!$H$4:$H$207&lt;&gt;"")))&gt;0,(SUMPRODUCT(('Q1 Data'!$D$4:$D$207=D141)*('Q1 Data'!$B$4:$B$207="Challan")*('Q1 Data'!$H$4:$H$207=Z141))+SUMPRODUCT(('Q2 Data'!$D$4:$D$207=D141)*('Q2 Data'!$B$4:$B$207="Challan")*('Q2 Data'!$H$4:$H$207=Z141))+SUMPRODUCT(('Q3 Data'!$D$4:$D$207=D141)*('Q3 Data'!$B$4:$B$207="Challan")*('Q3 Data'!$H$4:$H$207=Z141))+SUMPRODUCT(('Q4 Data'!$D$4:$D$207=D141)*('Q4 Data'!$B$4:$B$207="Challan")*('Q4 Data'!$H$4:$H$207=Z141)))=0))</f>
      </c>
    </row>
    <row r="142" spans="1:44" x14ac:dyDescent="0.25">
      <c r="A142" s="20">
        <f>IF($B142="Entry",COUNTIF($B$4:$B142,"Entry"),"")</f>
      </c>
      <c r="B142" s="21"/>
      <c r="C142" s="22"/>
      <c r="D142" s="22"/>
      <c r="E142" s="23">
        <f>IF($B142&lt;&gt;"Challan","",IF(ROUND(AN142-AO142,2)&gt;0,"Over-applied",IF(ROUND(AN142-AO142,2)=0,"Fully Utilised","Unconsumed")))</f>
      </c>
      <c r="F142" s="24"/>
      <c r="G142" s="25"/>
      <c r="H142" s="25"/>
      <c r="I142" s="26"/>
      <c r="J142" s="26"/>
      <c r="K142" s="26"/>
      <c r="L142" s="26"/>
      <c r="M142" s="26"/>
      <c r="N142" s="26"/>
      <c r="O142" s="26"/>
      <c r="P142" s="27">
        <f>IF($B142&lt;&gt;"Challan","",I142+J142+K142+L142+M142+N142)</f>
      </c>
      <c r="Q142" s="25"/>
      <c r="R142" s="25"/>
      <c r="S142" s="25"/>
      <c r="T142" s="25"/>
      <c r="U142" s="25"/>
      <c r="V142" s="28"/>
      <c r="W142" s="28"/>
      <c r="X142" s="23">
        <f>IF($B142="Entry",IF(AND(LEN(TRIM(UPPER(W142)))=10,CODE(MID(TRIM(UPPER(W142)),1,1))&gt;=65,CODE(MID(TRIM(UPPER(W142)),1,1))&lt;=90,CODE(MID(TRIM(UPPER(W142)),2,1))&gt;=65,CODE(MID(TRIM(UPPER(W142)),2,1))&lt;=90,CODE(MID(TRIM(UPPER(W142)),3,1))&gt;=65,CODE(MID(TRIM(UPPER(W142)),3,1))&lt;=90,CODE(MID(TRIM(UPPER(W142)),4,1))&gt;=65,CODE(MID(TRIM(UPPER(W142)),4,1))&lt;=90,CODE(MID(TRIM(UPPER(W142)),5,1))&gt;=65,CODE(MID(TRIM(UPPER(W142)),5,1))&lt;=90,CODE(MID(TRIM(UPPER(W142)),10,1))&gt;=65,CODE(MID(TRIM(UPPER(W142)),10,1))&lt;=90,CODE(MID(TRIM(UPPER(W142)),6,1))&gt;=48,CODE(MID(TRIM(UPPER(W142)),6,1))&lt;=57,CODE(MID(TRIM(UPPER(W142)),7,1))&gt;=48,CODE(MID(TRIM(UPPER(W142)),7,1))&lt;=57,CODE(MID(TRIM(UPPER(W142)),8,1))&gt;=48,CODE(MID(TRIM(UPPER(W142)),8,1))&lt;=57,CODE(MID(TRIM(UPPER(W142)),9,1))&gt;=48,CODE(MID(TRIM(UPPER(W142)),9,1))&lt;=57),"N","Y"),IF($B142="Challan","",IF(W142&lt;&gt;"","◄ Set Row Type","")))</f>
      </c>
      <c r="Y142" s="23">
        <f>IF($B142="Entry",IF(LEN(W142)&lt;4,"",IF(UPPER(MID(W142,4,1))="P","Individual",IF(UPPER(MID(W142,4,1))="H","HUF",IF(UPPER(MID(W142,4,1))="C","Company",IF(UPPER(MID(W142,4,1))="F","Firm",IF(UPPER(MID(W142,4,1))="L","LLP",IF(UPPER(MID(W142,4,1))="T","Trust",IF(UPPER(MID(W142,4,1))="A","AOP","")))))))),IF($B142="Challan","",IF(W142&lt;&gt;"","◄ Set Row Type","")))</f>
      </c>
      <c r="Z142" s="28"/>
      <c r="AA142" s="29">
        <f>IF($B142&lt;&gt;"Entry","",IF(Z142="","",IF(X142="Y",SUMPRODUCT(('Rate Lookup'!$A$1:$A$37=Z142)*'Rate Lookup'!$D$1:$D$37),IF(OR(Y142="Individual",Y142="HUF"),SUMPRODUCT(('Rate Lookup'!$A$1:$A$37=Z142)*'Rate Lookup'!$B$1:$B$37),SUMPRODUCT(('Rate Lookup'!$A$1:$A$37=Z142)*'Rate Lookup'!$C$1:$C$37)))))</f>
      </c>
      <c r="AB142" s="30"/>
      <c r="AC142" s="31"/>
      <c r="AD142" s="27">
        <f>IF($B142&lt;&gt;"Entry","",ROUND(AC142*AA142/100,0))</f>
      </c>
      <c r="AE142" s="27">
        <f>IF($B142&lt;&gt;"Entry","",0)</f>
      </c>
      <c r="AF142" s="27">
        <f>IF($B142&lt;&gt;"Entry","",0)</f>
      </c>
      <c r="AG142" s="27">
        <f>IF($B142&lt;&gt;"Entry","",IF(OR(AD142=0,AB142="",AQ142="",AQ142&lt;=0),0,IF(AQ142&lt;=DATE(YEAR(AB142),MONTH(AB142)+1,7),0,ROUND(AD142*0.015*((YEAR(AQ142)-YEAR(AB142))*12+(MONTH(AQ142)-MONTH(AB142))+1),0))))</f>
      </c>
      <c r="AH142" s="27">
        <f>IF($B142&lt;&gt;"Entry","",0)</f>
      </c>
      <c r="AI142" s="28"/>
      <c r="AJ142" s="28"/>
      <c r="AK142" s="32"/>
      <c r="AL142" s="28"/>
      <c r="AM142" s="28"/>
      <c r="AN142" s="27">
        <f>IF($B142&lt;&gt;"Challan","",SUMIF('Q1 Data'!$D$4:$D$207,D142,'Q1 Data'!$AD$4:$AD$207)+SUMIF('Q1 Data'!$D$4:$D$207,D142,'Q1 Data'!$AG$4:$AG$207)+SUMIF('Q1 Data'!$D$4:$D$207,D142,'Q1 Data'!$AE$4:$AE$207)+SUMIF('Q2 Data'!$D$4:$D$207,D142,'Q2 Data'!$AD$4:$AD$207)+SUMIF('Q2 Data'!$D$4:$D$207,D142,'Q2 Data'!$AG$4:$AG$207)+SUMIF('Q2 Data'!$D$4:$D$207,D142,'Q2 Data'!$AE$4:$AE$207)+SUMIF('Q3 Data'!$D$4:$D$207,D142,'Q3 Data'!$AD$4:$AD$207)+SUMIF('Q3 Data'!$D$4:$D$207,D142,'Q3 Data'!$AG$4:$AG$207)+SUMIF('Q3 Data'!$D$4:$D$207,D142,'Q3 Data'!$AE$4:$AE$207)+SUMIF('Q4 Data'!$D$4:$D$207,D142,'Q4 Data'!$AD$4:$AD$207)+SUMIF('Q4 Data'!$D$4:$D$207,D142,'Q4 Data'!$AG$4:$AG$207)+SUMIF('Q4 Data'!$D$4:$D$207,D142,'Q4 Data'!$AE$4:$AE$207))</f>
      </c>
      <c r="AO142" s="27">
        <f>IF($B142&lt;&gt;"Challan","",P142-N142)</f>
      </c>
      <c r="AP142" s="27">
        <f>IF($B142&lt;&gt;"Challan","",MAX(0,AO142-AN142))</f>
      </c>
      <c r="AQ142" s="33">
        <f>IF($B142&lt;&gt;"Entry","",SUMPRODUCT(('Q1 Data'!$D$4:$D$207=D142)*('Q1 Data'!$B$4:$B$207="Challan")*'Q1 Data'!$F$4:$F$207)+SUMPRODUCT(('Q2 Data'!$D$4:$D$207=D142)*('Q2 Data'!$B$4:$B$207="Challan")*'Q2 Data'!$F$4:$F$207)+SUMPRODUCT(('Q3 Data'!$D$4:$D$207=D142)*('Q3 Data'!$B$4:$B$207="Challan")*'Q3 Data'!$F$4:$F$207)+SUMPRODUCT(('Q4 Data'!$D$4:$D$207=D142)*('Q4 Data'!$B$4:$B$207="Challan")*'Q4 Data'!$F$4:$F$207))</f>
      </c>
      <c r="AR142" s="34">
        <f>IF(OR($B142&lt;&gt;"Entry",Z142=""),FALSE,AND((SUMPRODUCT(('Q1 Data'!$D$4:$D$207=D142)*('Q1 Data'!$B$4:$B$207="Challan")*('Q1 Data'!$H$4:$H$207&lt;&gt;""))+SUMPRODUCT(('Q2 Data'!$D$4:$D$207=D142)*('Q2 Data'!$B$4:$B$207="Challan")*('Q2 Data'!$H$4:$H$207&lt;&gt;""))+SUMPRODUCT(('Q3 Data'!$D$4:$D$207=D142)*('Q3 Data'!$B$4:$B$207="Challan")*('Q3 Data'!$H$4:$H$207&lt;&gt;""))+SUMPRODUCT(('Q4 Data'!$D$4:$D$207=D142)*('Q4 Data'!$B$4:$B$207="Challan")*('Q4 Data'!$H$4:$H$207&lt;&gt;"")))&gt;0,(SUMPRODUCT(('Q1 Data'!$D$4:$D$207=D142)*('Q1 Data'!$B$4:$B$207="Challan")*('Q1 Data'!$H$4:$H$207=Z142))+SUMPRODUCT(('Q2 Data'!$D$4:$D$207=D142)*('Q2 Data'!$B$4:$B$207="Challan")*('Q2 Data'!$H$4:$H$207=Z142))+SUMPRODUCT(('Q3 Data'!$D$4:$D$207=D142)*('Q3 Data'!$B$4:$B$207="Challan")*('Q3 Data'!$H$4:$H$207=Z142))+SUMPRODUCT(('Q4 Data'!$D$4:$D$207=D142)*('Q4 Data'!$B$4:$B$207="Challan")*('Q4 Data'!$H$4:$H$207=Z142)))=0))</f>
      </c>
    </row>
    <row r="143" spans="1:44" x14ac:dyDescent="0.25">
      <c r="A143" s="20">
        <f>IF($B143="Entry",COUNTIF($B$4:$B143,"Entry"),"")</f>
      </c>
      <c r="B143" s="21"/>
      <c r="C143" s="22"/>
      <c r="D143" s="22"/>
      <c r="E143" s="23">
        <f>IF($B143&lt;&gt;"Challan","",IF(ROUND(AN143-AO143,2)&gt;0,"Over-applied",IF(ROUND(AN143-AO143,2)=0,"Fully Utilised","Unconsumed")))</f>
      </c>
      <c r="F143" s="24"/>
      <c r="G143" s="25"/>
      <c r="H143" s="25"/>
      <c r="I143" s="26"/>
      <c r="J143" s="26"/>
      <c r="K143" s="26"/>
      <c r="L143" s="26"/>
      <c r="M143" s="26"/>
      <c r="N143" s="26"/>
      <c r="O143" s="26"/>
      <c r="P143" s="27">
        <f>IF($B143&lt;&gt;"Challan","",I143+J143+K143+L143+M143+N143)</f>
      </c>
      <c r="Q143" s="25"/>
      <c r="R143" s="25"/>
      <c r="S143" s="25"/>
      <c r="T143" s="25"/>
      <c r="U143" s="25"/>
      <c r="V143" s="28"/>
      <c r="W143" s="28"/>
      <c r="X143" s="23">
        <f>IF($B143="Entry",IF(AND(LEN(TRIM(UPPER(W143)))=10,CODE(MID(TRIM(UPPER(W143)),1,1))&gt;=65,CODE(MID(TRIM(UPPER(W143)),1,1))&lt;=90,CODE(MID(TRIM(UPPER(W143)),2,1))&gt;=65,CODE(MID(TRIM(UPPER(W143)),2,1))&lt;=90,CODE(MID(TRIM(UPPER(W143)),3,1))&gt;=65,CODE(MID(TRIM(UPPER(W143)),3,1))&lt;=90,CODE(MID(TRIM(UPPER(W143)),4,1))&gt;=65,CODE(MID(TRIM(UPPER(W143)),4,1))&lt;=90,CODE(MID(TRIM(UPPER(W143)),5,1))&gt;=65,CODE(MID(TRIM(UPPER(W143)),5,1))&lt;=90,CODE(MID(TRIM(UPPER(W143)),10,1))&gt;=65,CODE(MID(TRIM(UPPER(W143)),10,1))&lt;=90,CODE(MID(TRIM(UPPER(W143)),6,1))&gt;=48,CODE(MID(TRIM(UPPER(W143)),6,1))&lt;=57,CODE(MID(TRIM(UPPER(W143)),7,1))&gt;=48,CODE(MID(TRIM(UPPER(W143)),7,1))&lt;=57,CODE(MID(TRIM(UPPER(W143)),8,1))&gt;=48,CODE(MID(TRIM(UPPER(W143)),8,1))&lt;=57,CODE(MID(TRIM(UPPER(W143)),9,1))&gt;=48,CODE(MID(TRIM(UPPER(W143)),9,1))&lt;=57),"N","Y"),IF($B143="Challan","",IF(W143&lt;&gt;"","◄ Set Row Type","")))</f>
      </c>
      <c r="Y143" s="23">
        <f>IF($B143="Entry",IF(LEN(W143)&lt;4,"",IF(UPPER(MID(W143,4,1))="P","Individual",IF(UPPER(MID(W143,4,1))="H","HUF",IF(UPPER(MID(W143,4,1))="C","Company",IF(UPPER(MID(W143,4,1))="F","Firm",IF(UPPER(MID(W143,4,1))="L","LLP",IF(UPPER(MID(W143,4,1))="T","Trust",IF(UPPER(MID(W143,4,1))="A","AOP","")))))))),IF($B143="Challan","",IF(W143&lt;&gt;"","◄ Set Row Type","")))</f>
      </c>
      <c r="Z143" s="28"/>
      <c r="AA143" s="29">
        <f>IF($B143&lt;&gt;"Entry","",IF(Z143="","",IF(X143="Y",SUMPRODUCT(('Rate Lookup'!$A$1:$A$37=Z143)*'Rate Lookup'!$D$1:$D$37),IF(OR(Y143="Individual",Y143="HUF"),SUMPRODUCT(('Rate Lookup'!$A$1:$A$37=Z143)*'Rate Lookup'!$B$1:$B$37),SUMPRODUCT(('Rate Lookup'!$A$1:$A$37=Z143)*'Rate Lookup'!$C$1:$C$37)))))</f>
      </c>
      <c r="AB143" s="30"/>
      <c r="AC143" s="31"/>
      <c r="AD143" s="27">
        <f>IF($B143&lt;&gt;"Entry","",ROUND(AC143*AA143/100,0))</f>
      </c>
      <c r="AE143" s="27">
        <f>IF($B143&lt;&gt;"Entry","",0)</f>
      </c>
      <c r="AF143" s="27">
        <f>IF($B143&lt;&gt;"Entry","",0)</f>
      </c>
      <c r="AG143" s="27">
        <f>IF($B143&lt;&gt;"Entry","",IF(OR(AD143=0,AB143="",AQ143="",AQ143&lt;=0),0,IF(AQ143&lt;=DATE(YEAR(AB143),MONTH(AB143)+1,7),0,ROUND(AD143*0.015*((YEAR(AQ143)-YEAR(AB143))*12+(MONTH(AQ143)-MONTH(AB143))+1),0))))</f>
      </c>
      <c r="AH143" s="27">
        <f>IF($B143&lt;&gt;"Entry","",0)</f>
      </c>
      <c r="AI143" s="28"/>
      <c r="AJ143" s="28"/>
      <c r="AK143" s="32"/>
      <c r="AL143" s="28"/>
      <c r="AM143" s="28"/>
      <c r="AN143" s="27">
        <f>IF($B143&lt;&gt;"Challan","",SUMIF('Q1 Data'!$D$4:$D$207,D143,'Q1 Data'!$AD$4:$AD$207)+SUMIF('Q1 Data'!$D$4:$D$207,D143,'Q1 Data'!$AG$4:$AG$207)+SUMIF('Q1 Data'!$D$4:$D$207,D143,'Q1 Data'!$AE$4:$AE$207)+SUMIF('Q2 Data'!$D$4:$D$207,D143,'Q2 Data'!$AD$4:$AD$207)+SUMIF('Q2 Data'!$D$4:$D$207,D143,'Q2 Data'!$AG$4:$AG$207)+SUMIF('Q2 Data'!$D$4:$D$207,D143,'Q2 Data'!$AE$4:$AE$207)+SUMIF('Q3 Data'!$D$4:$D$207,D143,'Q3 Data'!$AD$4:$AD$207)+SUMIF('Q3 Data'!$D$4:$D$207,D143,'Q3 Data'!$AG$4:$AG$207)+SUMIF('Q3 Data'!$D$4:$D$207,D143,'Q3 Data'!$AE$4:$AE$207)+SUMIF('Q4 Data'!$D$4:$D$207,D143,'Q4 Data'!$AD$4:$AD$207)+SUMIF('Q4 Data'!$D$4:$D$207,D143,'Q4 Data'!$AG$4:$AG$207)+SUMIF('Q4 Data'!$D$4:$D$207,D143,'Q4 Data'!$AE$4:$AE$207))</f>
      </c>
      <c r="AO143" s="27">
        <f>IF($B143&lt;&gt;"Challan","",P143-N143)</f>
      </c>
      <c r="AP143" s="27">
        <f>IF($B143&lt;&gt;"Challan","",MAX(0,AO143-AN143))</f>
      </c>
      <c r="AQ143" s="33">
        <f>IF($B143&lt;&gt;"Entry","",SUMPRODUCT(('Q1 Data'!$D$4:$D$207=D143)*('Q1 Data'!$B$4:$B$207="Challan")*'Q1 Data'!$F$4:$F$207)+SUMPRODUCT(('Q2 Data'!$D$4:$D$207=D143)*('Q2 Data'!$B$4:$B$207="Challan")*'Q2 Data'!$F$4:$F$207)+SUMPRODUCT(('Q3 Data'!$D$4:$D$207=D143)*('Q3 Data'!$B$4:$B$207="Challan")*'Q3 Data'!$F$4:$F$207)+SUMPRODUCT(('Q4 Data'!$D$4:$D$207=D143)*('Q4 Data'!$B$4:$B$207="Challan")*'Q4 Data'!$F$4:$F$207))</f>
      </c>
      <c r="AR143" s="34">
        <f>IF(OR($B143&lt;&gt;"Entry",Z143=""),FALSE,AND((SUMPRODUCT(('Q1 Data'!$D$4:$D$207=D143)*('Q1 Data'!$B$4:$B$207="Challan")*('Q1 Data'!$H$4:$H$207&lt;&gt;""))+SUMPRODUCT(('Q2 Data'!$D$4:$D$207=D143)*('Q2 Data'!$B$4:$B$207="Challan")*('Q2 Data'!$H$4:$H$207&lt;&gt;""))+SUMPRODUCT(('Q3 Data'!$D$4:$D$207=D143)*('Q3 Data'!$B$4:$B$207="Challan")*('Q3 Data'!$H$4:$H$207&lt;&gt;""))+SUMPRODUCT(('Q4 Data'!$D$4:$D$207=D143)*('Q4 Data'!$B$4:$B$207="Challan")*('Q4 Data'!$H$4:$H$207&lt;&gt;"")))&gt;0,(SUMPRODUCT(('Q1 Data'!$D$4:$D$207=D143)*('Q1 Data'!$B$4:$B$207="Challan")*('Q1 Data'!$H$4:$H$207=Z143))+SUMPRODUCT(('Q2 Data'!$D$4:$D$207=D143)*('Q2 Data'!$B$4:$B$207="Challan")*('Q2 Data'!$H$4:$H$207=Z143))+SUMPRODUCT(('Q3 Data'!$D$4:$D$207=D143)*('Q3 Data'!$B$4:$B$207="Challan")*('Q3 Data'!$H$4:$H$207=Z143))+SUMPRODUCT(('Q4 Data'!$D$4:$D$207=D143)*('Q4 Data'!$B$4:$B$207="Challan")*('Q4 Data'!$H$4:$H$207=Z143)))=0))</f>
      </c>
    </row>
    <row r="144" spans="1:44" x14ac:dyDescent="0.25">
      <c r="A144" s="20">
        <f>IF($B144="Entry",COUNTIF($B$4:$B144,"Entry"),"")</f>
      </c>
      <c r="B144" s="21"/>
      <c r="C144" s="22"/>
      <c r="D144" s="22"/>
      <c r="E144" s="23">
        <f>IF($B144&lt;&gt;"Challan","",IF(ROUND(AN144-AO144,2)&gt;0,"Over-applied",IF(ROUND(AN144-AO144,2)=0,"Fully Utilised","Unconsumed")))</f>
      </c>
      <c r="F144" s="24"/>
      <c r="G144" s="25"/>
      <c r="H144" s="25"/>
      <c r="I144" s="26"/>
      <c r="J144" s="26"/>
      <c r="K144" s="26"/>
      <c r="L144" s="26"/>
      <c r="M144" s="26"/>
      <c r="N144" s="26"/>
      <c r="O144" s="26"/>
      <c r="P144" s="27">
        <f>IF($B144&lt;&gt;"Challan","",I144+J144+K144+L144+M144+N144)</f>
      </c>
      <c r="Q144" s="25"/>
      <c r="R144" s="25"/>
      <c r="S144" s="25"/>
      <c r="T144" s="25"/>
      <c r="U144" s="25"/>
      <c r="V144" s="28"/>
      <c r="W144" s="28"/>
      <c r="X144" s="23">
        <f>IF($B144="Entry",IF(AND(LEN(TRIM(UPPER(W144)))=10,CODE(MID(TRIM(UPPER(W144)),1,1))&gt;=65,CODE(MID(TRIM(UPPER(W144)),1,1))&lt;=90,CODE(MID(TRIM(UPPER(W144)),2,1))&gt;=65,CODE(MID(TRIM(UPPER(W144)),2,1))&lt;=90,CODE(MID(TRIM(UPPER(W144)),3,1))&gt;=65,CODE(MID(TRIM(UPPER(W144)),3,1))&lt;=90,CODE(MID(TRIM(UPPER(W144)),4,1))&gt;=65,CODE(MID(TRIM(UPPER(W144)),4,1))&lt;=90,CODE(MID(TRIM(UPPER(W144)),5,1))&gt;=65,CODE(MID(TRIM(UPPER(W144)),5,1))&lt;=90,CODE(MID(TRIM(UPPER(W144)),10,1))&gt;=65,CODE(MID(TRIM(UPPER(W144)),10,1))&lt;=90,CODE(MID(TRIM(UPPER(W144)),6,1))&gt;=48,CODE(MID(TRIM(UPPER(W144)),6,1))&lt;=57,CODE(MID(TRIM(UPPER(W144)),7,1))&gt;=48,CODE(MID(TRIM(UPPER(W144)),7,1))&lt;=57,CODE(MID(TRIM(UPPER(W144)),8,1))&gt;=48,CODE(MID(TRIM(UPPER(W144)),8,1))&lt;=57,CODE(MID(TRIM(UPPER(W144)),9,1))&gt;=48,CODE(MID(TRIM(UPPER(W144)),9,1))&lt;=57),"N","Y"),IF($B144="Challan","",IF(W144&lt;&gt;"","◄ Set Row Type","")))</f>
      </c>
      <c r="Y144" s="23">
        <f>IF($B144="Entry",IF(LEN(W144)&lt;4,"",IF(UPPER(MID(W144,4,1))="P","Individual",IF(UPPER(MID(W144,4,1))="H","HUF",IF(UPPER(MID(W144,4,1))="C","Company",IF(UPPER(MID(W144,4,1))="F","Firm",IF(UPPER(MID(W144,4,1))="L","LLP",IF(UPPER(MID(W144,4,1))="T","Trust",IF(UPPER(MID(W144,4,1))="A","AOP","")))))))),IF($B144="Challan","",IF(W144&lt;&gt;"","◄ Set Row Type","")))</f>
      </c>
      <c r="Z144" s="28"/>
      <c r="AA144" s="29">
        <f>IF($B144&lt;&gt;"Entry","",IF(Z144="","",IF(X144="Y",SUMPRODUCT(('Rate Lookup'!$A$1:$A$37=Z144)*'Rate Lookup'!$D$1:$D$37),IF(OR(Y144="Individual",Y144="HUF"),SUMPRODUCT(('Rate Lookup'!$A$1:$A$37=Z144)*'Rate Lookup'!$B$1:$B$37),SUMPRODUCT(('Rate Lookup'!$A$1:$A$37=Z144)*'Rate Lookup'!$C$1:$C$37)))))</f>
      </c>
      <c r="AB144" s="30"/>
      <c r="AC144" s="31"/>
      <c r="AD144" s="27">
        <f>IF($B144&lt;&gt;"Entry","",ROUND(AC144*AA144/100,0))</f>
      </c>
      <c r="AE144" s="27">
        <f>IF($B144&lt;&gt;"Entry","",0)</f>
      </c>
      <c r="AF144" s="27">
        <f>IF($B144&lt;&gt;"Entry","",0)</f>
      </c>
      <c r="AG144" s="27">
        <f>IF($B144&lt;&gt;"Entry","",IF(OR(AD144=0,AB144="",AQ144="",AQ144&lt;=0),0,IF(AQ144&lt;=DATE(YEAR(AB144),MONTH(AB144)+1,7),0,ROUND(AD144*0.015*((YEAR(AQ144)-YEAR(AB144))*12+(MONTH(AQ144)-MONTH(AB144))+1),0))))</f>
      </c>
      <c r="AH144" s="27">
        <f>IF($B144&lt;&gt;"Entry","",0)</f>
      </c>
      <c r="AI144" s="28"/>
      <c r="AJ144" s="28"/>
      <c r="AK144" s="32"/>
      <c r="AL144" s="28"/>
      <c r="AM144" s="28"/>
      <c r="AN144" s="27">
        <f>IF($B144&lt;&gt;"Challan","",SUMIF('Q1 Data'!$D$4:$D$207,D144,'Q1 Data'!$AD$4:$AD$207)+SUMIF('Q1 Data'!$D$4:$D$207,D144,'Q1 Data'!$AG$4:$AG$207)+SUMIF('Q1 Data'!$D$4:$D$207,D144,'Q1 Data'!$AE$4:$AE$207)+SUMIF('Q2 Data'!$D$4:$D$207,D144,'Q2 Data'!$AD$4:$AD$207)+SUMIF('Q2 Data'!$D$4:$D$207,D144,'Q2 Data'!$AG$4:$AG$207)+SUMIF('Q2 Data'!$D$4:$D$207,D144,'Q2 Data'!$AE$4:$AE$207)+SUMIF('Q3 Data'!$D$4:$D$207,D144,'Q3 Data'!$AD$4:$AD$207)+SUMIF('Q3 Data'!$D$4:$D$207,D144,'Q3 Data'!$AG$4:$AG$207)+SUMIF('Q3 Data'!$D$4:$D$207,D144,'Q3 Data'!$AE$4:$AE$207)+SUMIF('Q4 Data'!$D$4:$D$207,D144,'Q4 Data'!$AD$4:$AD$207)+SUMIF('Q4 Data'!$D$4:$D$207,D144,'Q4 Data'!$AG$4:$AG$207)+SUMIF('Q4 Data'!$D$4:$D$207,D144,'Q4 Data'!$AE$4:$AE$207))</f>
      </c>
      <c r="AO144" s="27">
        <f>IF($B144&lt;&gt;"Challan","",P144-N144)</f>
      </c>
      <c r="AP144" s="27">
        <f>IF($B144&lt;&gt;"Challan","",MAX(0,AO144-AN144))</f>
      </c>
      <c r="AQ144" s="33">
        <f>IF($B144&lt;&gt;"Entry","",SUMPRODUCT(('Q1 Data'!$D$4:$D$207=D144)*('Q1 Data'!$B$4:$B$207="Challan")*'Q1 Data'!$F$4:$F$207)+SUMPRODUCT(('Q2 Data'!$D$4:$D$207=D144)*('Q2 Data'!$B$4:$B$207="Challan")*'Q2 Data'!$F$4:$F$207)+SUMPRODUCT(('Q3 Data'!$D$4:$D$207=D144)*('Q3 Data'!$B$4:$B$207="Challan")*'Q3 Data'!$F$4:$F$207)+SUMPRODUCT(('Q4 Data'!$D$4:$D$207=D144)*('Q4 Data'!$B$4:$B$207="Challan")*'Q4 Data'!$F$4:$F$207))</f>
      </c>
      <c r="AR144" s="34">
        <f>IF(OR($B144&lt;&gt;"Entry",Z144=""),FALSE,AND((SUMPRODUCT(('Q1 Data'!$D$4:$D$207=D144)*('Q1 Data'!$B$4:$B$207="Challan")*('Q1 Data'!$H$4:$H$207&lt;&gt;""))+SUMPRODUCT(('Q2 Data'!$D$4:$D$207=D144)*('Q2 Data'!$B$4:$B$207="Challan")*('Q2 Data'!$H$4:$H$207&lt;&gt;""))+SUMPRODUCT(('Q3 Data'!$D$4:$D$207=D144)*('Q3 Data'!$B$4:$B$207="Challan")*('Q3 Data'!$H$4:$H$207&lt;&gt;""))+SUMPRODUCT(('Q4 Data'!$D$4:$D$207=D144)*('Q4 Data'!$B$4:$B$207="Challan")*('Q4 Data'!$H$4:$H$207&lt;&gt;"")))&gt;0,(SUMPRODUCT(('Q1 Data'!$D$4:$D$207=D144)*('Q1 Data'!$B$4:$B$207="Challan")*('Q1 Data'!$H$4:$H$207=Z144))+SUMPRODUCT(('Q2 Data'!$D$4:$D$207=D144)*('Q2 Data'!$B$4:$B$207="Challan")*('Q2 Data'!$H$4:$H$207=Z144))+SUMPRODUCT(('Q3 Data'!$D$4:$D$207=D144)*('Q3 Data'!$B$4:$B$207="Challan")*('Q3 Data'!$H$4:$H$207=Z144))+SUMPRODUCT(('Q4 Data'!$D$4:$D$207=D144)*('Q4 Data'!$B$4:$B$207="Challan")*('Q4 Data'!$H$4:$H$207=Z144)))=0))</f>
      </c>
    </row>
    <row r="145" spans="1:44" x14ac:dyDescent="0.25">
      <c r="A145" s="20">
        <f>IF($B145="Entry",COUNTIF($B$4:$B145,"Entry"),"")</f>
      </c>
      <c r="B145" s="21"/>
      <c r="C145" s="22"/>
      <c r="D145" s="22"/>
      <c r="E145" s="23">
        <f>IF($B145&lt;&gt;"Challan","",IF(ROUND(AN145-AO145,2)&gt;0,"Over-applied",IF(ROUND(AN145-AO145,2)=0,"Fully Utilised","Unconsumed")))</f>
      </c>
      <c r="F145" s="24"/>
      <c r="G145" s="25"/>
      <c r="H145" s="25"/>
      <c r="I145" s="26"/>
      <c r="J145" s="26"/>
      <c r="K145" s="26"/>
      <c r="L145" s="26"/>
      <c r="M145" s="26"/>
      <c r="N145" s="26"/>
      <c r="O145" s="26"/>
      <c r="P145" s="27">
        <f>IF($B145&lt;&gt;"Challan","",I145+J145+K145+L145+M145+N145)</f>
      </c>
      <c r="Q145" s="25"/>
      <c r="R145" s="25"/>
      <c r="S145" s="25"/>
      <c r="T145" s="25"/>
      <c r="U145" s="25"/>
      <c r="V145" s="28"/>
      <c r="W145" s="28"/>
      <c r="X145" s="23">
        <f>IF($B145="Entry",IF(AND(LEN(TRIM(UPPER(W145)))=10,CODE(MID(TRIM(UPPER(W145)),1,1))&gt;=65,CODE(MID(TRIM(UPPER(W145)),1,1))&lt;=90,CODE(MID(TRIM(UPPER(W145)),2,1))&gt;=65,CODE(MID(TRIM(UPPER(W145)),2,1))&lt;=90,CODE(MID(TRIM(UPPER(W145)),3,1))&gt;=65,CODE(MID(TRIM(UPPER(W145)),3,1))&lt;=90,CODE(MID(TRIM(UPPER(W145)),4,1))&gt;=65,CODE(MID(TRIM(UPPER(W145)),4,1))&lt;=90,CODE(MID(TRIM(UPPER(W145)),5,1))&gt;=65,CODE(MID(TRIM(UPPER(W145)),5,1))&lt;=90,CODE(MID(TRIM(UPPER(W145)),10,1))&gt;=65,CODE(MID(TRIM(UPPER(W145)),10,1))&lt;=90,CODE(MID(TRIM(UPPER(W145)),6,1))&gt;=48,CODE(MID(TRIM(UPPER(W145)),6,1))&lt;=57,CODE(MID(TRIM(UPPER(W145)),7,1))&gt;=48,CODE(MID(TRIM(UPPER(W145)),7,1))&lt;=57,CODE(MID(TRIM(UPPER(W145)),8,1))&gt;=48,CODE(MID(TRIM(UPPER(W145)),8,1))&lt;=57,CODE(MID(TRIM(UPPER(W145)),9,1))&gt;=48,CODE(MID(TRIM(UPPER(W145)),9,1))&lt;=57),"N","Y"),IF($B145="Challan","",IF(W145&lt;&gt;"","◄ Set Row Type","")))</f>
      </c>
      <c r="Y145" s="23">
        <f>IF($B145="Entry",IF(LEN(W145)&lt;4,"",IF(UPPER(MID(W145,4,1))="P","Individual",IF(UPPER(MID(W145,4,1))="H","HUF",IF(UPPER(MID(W145,4,1))="C","Company",IF(UPPER(MID(W145,4,1))="F","Firm",IF(UPPER(MID(W145,4,1))="L","LLP",IF(UPPER(MID(W145,4,1))="T","Trust",IF(UPPER(MID(W145,4,1))="A","AOP","")))))))),IF($B145="Challan","",IF(W145&lt;&gt;"","◄ Set Row Type","")))</f>
      </c>
      <c r="Z145" s="28"/>
      <c r="AA145" s="29">
        <f>IF($B145&lt;&gt;"Entry","",IF(Z145="","",IF(X145="Y",SUMPRODUCT(('Rate Lookup'!$A$1:$A$37=Z145)*'Rate Lookup'!$D$1:$D$37),IF(OR(Y145="Individual",Y145="HUF"),SUMPRODUCT(('Rate Lookup'!$A$1:$A$37=Z145)*'Rate Lookup'!$B$1:$B$37),SUMPRODUCT(('Rate Lookup'!$A$1:$A$37=Z145)*'Rate Lookup'!$C$1:$C$37)))))</f>
      </c>
      <c r="AB145" s="30"/>
      <c r="AC145" s="31"/>
      <c r="AD145" s="27">
        <f>IF($B145&lt;&gt;"Entry","",ROUND(AC145*AA145/100,0))</f>
      </c>
      <c r="AE145" s="27">
        <f>IF($B145&lt;&gt;"Entry","",0)</f>
      </c>
      <c r="AF145" s="27">
        <f>IF($B145&lt;&gt;"Entry","",0)</f>
      </c>
      <c r="AG145" s="27">
        <f>IF($B145&lt;&gt;"Entry","",IF(OR(AD145=0,AB145="",AQ145="",AQ145&lt;=0),0,IF(AQ145&lt;=DATE(YEAR(AB145),MONTH(AB145)+1,7),0,ROUND(AD145*0.015*((YEAR(AQ145)-YEAR(AB145))*12+(MONTH(AQ145)-MONTH(AB145))+1),0))))</f>
      </c>
      <c r="AH145" s="27">
        <f>IF($B145&lt;&gt;"Entry","",0)</f>
      </c>
      <c r="AI145" s="28"/>
      <c r="AJ145" s="28"/>
      <c r="AK145" s="32"/>
      <c r="AL145" s="28"/>
      <c r="AM145" s="28"/>
      <c r="AN145" s="27">
        <f>IF($B145&lt;&gt;"Challan","",SUMIF('Q1 Data'!$D$4:$D$207,D145,'Q1 Data'!$AD$4:$AD$207)+SUMIF('Q1 Data'!$D$4:$D$207,D145,'Q1 Data'!$AG$4:$AG$207)+SUMIF('Q1 Data'!$D$4:$D$207,D145,'Q1 Data'!$AE$4:$AE$207)+SUMIF('Q2 Data'!$D$4:$D$207,D145,'Q2 Data'!$AD$4:$AD$207)+SUMIF('Q2 Data'!$D$4:$D$207,D145,'Q2 Data'!$AG$4:$AG$207)+SUMIF('Q2 Data'!$D$4:$D$207,D145,'Q2 Data'!$AE$4:$AE$207)+SUMIF('Q3 Data'!$D$4:$D$207,D145,'Q3 Data'!$AD$4:$AD$207)+SUMIF('Q3 Data'!$D$4:$D$207,D145,'Q3 Data'!$AG$4:$AG$207)+SUMIF('Q3 Data'!$D$4:$D$207,D145,'Q3 Data'!$AE$4:$AE$207)+SUMIF('Q4 Data'!$D$4:$D$207,D145,'Q4 Data'!$AD$4:$AD$207)+SUMIF('Q4 Data'!$D$4:$D$207,D145,'Q4 Data'!$AG$4:$AG$207)+SUMIF('Q4 Data'!$D$4:$D$207,D145,'Q4 Data'!$AE$4:$AE$207))</f>
      </c>
      <c r="AO145" s="27">
        <f>IF($B145&lt;&gt;"Challan","",P145-N145)</f>
      </c>
      <c r="AP145" s="27">
        <f>IF($B145&lt;&gt;"Challan","",MAX(0,AO145-AN145))</f>
      </c>
      <c r="AQ145" s="33">
        <f>IF($B145&lt;&gt;"Entry","",SUMPRODUCT(('Q1 Data'!$D$4:$D$207=D145)*('Q1 Data'!$B$4:$B$207="Challan")*'Q1 Data'!$F$4:$F$207)+SUMPRODUCT(('Q2 Data'!$D$4:$D$207=D145)*('Q2 Data'!$B$4:$B$207="Challan")*'Q2 Data'!$F$4:$F$207)+SUMPRODUCT(('Q3 Data'!$D$4:$D$207=D145)*('Q3 Data'!$B$4:$B$207="Challan")*'Q3 Data'!$F$4:$F$207)+SUMPRODUCT(('Q4 Data'!$D$4:$D$207=D145)*('Q4 Data'!$B$4:$B$207="Challan")*'Q4 Data'!$F$4:$F$207))</f>
      </c>
      <c r="AR145" s="34">
        <f>IF(OR($B145&lt;&gt;"Entry",Z145=""),FALSE,AND((SUMPRODUCT(('Q1 Data'!$D$4:$D$207=D145)*('Q1 Data'!$B$4:$B$207="Challan")*('Q1 Data'!$H$4:$H$207&lt;&gt;""))+SUMPRODUCT(('Q2 Data'!$D$4:$D$207=D145)*('Q2 Data'!$B$4:$B$207="Challan")*('Q2 Data'!$H$4:$H$207&lt;&gt;""))+SUMPRODUCT(('Q3 Data'!$D$4:$D$207=D145)*('Q3 Data'!$B$4:$B$207="Challan")*('Q3 Data'!$H$4:$H$207&lt;&gt;""))+SUMPRODUCT(('Q4 Data'!$D$4:$D$207=D145)*('Q4 Data'!$B$4:$B$207="Challan")*('Q4 Data'!$H$4:$H$207&lt;&gt;"")))&gt;0,(SUMPRODUCT(('Q1 Data'!$D$4:$D$207=D145)*('Q1 Data'!$B$4:$B$207="Challan")*('Q1 Data'!$H$4:$H$207=Z145))+SUMPRODUCT(('Q2 Data'!$D$4:$D$207=D145)*('Q2 Data'!$B$4:$B$207="Challan")*('Q2 Data'!$H$4:$H$207=Z145))+SUMPRODUCT(('Q3 Data'!$D$4:$D$207=D145)*('Q3 Data'!$B$4:$B$207="Challan")*('Q3 Data'!$H$4:$H$207=Z145))+SUMPRODUCT(('Q4 Data'!$D$4:$D$207=D145)*('Q4 Data'!$B$4:$B$207="Challan")*('Q4 Data'!$H$4:$H$207=Z145)))=0))</f>
      </c>
    </row>
    <row r="146" spans="1:44" x14ac:dyDescent="0.25">
      <c r="A146" s="20">
        <f>IF($B146="Entry",COUNTIF($B$4:$B146,"Entry"),"")</f>
      </c>
      <c r="B146" s="21"/>
      <c r="C146" s="22"/>
      <c r="D146" s="22"/>
      <c r="E146" s="23">
        <f>IF($B146&lt;&gt;"Challan","",IF(ROUND(AN146-AO146,2)&gt;0,"Over-applied",IF(ROUND(AN146-AO146,2)=0,"Fully Utilised","Unconsumed")))</f>
      </c>
      <c r="F146" s="24"/>
      <c r="G146" s="25"/>
      <c r="H146" s="25"/>
      <c r="I146" s="26"/>
      <c r="J146" s="26"/>
      <c r="K146" s="26"/>
      <c r="L146" s="26"/>
      <c r="M146" s="26"/>
      <c r="N146" s="26"/>
      <c r="O146" s="26"/>
      <c r="P146" s="27">
        <f>IF($B146&lt;&gt;"Challan","",I146+J146+K146+L146+M146+N146)</f>
      </c>
      <c r="Q146" s="25"/>
      <c r="R146" s="25"/>
      <c r="S146" s="25"/>
      <c r="T146" s="25"/>
      <c r="U146" s="25"/>
      <c r="V146" s="28"/>
      <c r="W146" s="28"/>
      <c r="X146" s="23">
        <f>IF($B146="Entry",IF(AND(LEN(TRIM(UPPER(W146)))=10,CODE(MID(TRIM(UPPER(W146)),1,1))&gt;=65,CODE(MID(TRIM(UPPER(W146)),1,1))&lt;=90,CODE(MID(TRIM(UPPER(W146)),2,1))&gt;=65,CODE(MID(TRIM(UPPER(W146)),2,1))&lt;=90,CODE(MID(TRIM(UPPER(W146)),3,1))&gt;=65,CODE(MID(TRIM(UPPER(W146)),3,1))&lt;=90,CODE(MID(TRIM(UPPER(W146)),4,1))&gt;=65,CODE(MID(TRIM(UPPER(W146)),4,1))&lt;=90,CODE(MID(TRIM(UPPER(W146)),5,1))&gt;=65,CODE(MID(TRIM(UPPER(W146)),5,1))&lt;=90,CODE(MID(TRIM(UPPER(W146)),10,1))&gt;=65,CODE(MID(TRIM(UPPER(W146)),10,1))&lt;=90,CODE(MID(TRIM(UPPER(W146)),6,1))&gt;=48,CODE(MID(TRIM(UPPER(W146)),6,1))&lt;=57,CODE(MID(TRIM(UPPER(W146)),7,1))&gt;=48,CODE(MID(TRIM(UPPER(W146)),7,1))&lt;=57,CODE(MID(TRIM(UPPER(W146)),8,1))&gt;=48,CODE(MID(TRIM(UPPER(W146)),8,1))&lt;=57,CODE(MID(TRIM(UPPER(W146)),9,1))&gt;=48,CODE(MID(TRIM(UPPER(W146)),9,1))&lt;=57),"N","Y"),IF($B146="Challan","",IF(W146&lt;&gt;"","◄ Set Row Type","")))</f>
      </c>
      <c r="Y146" s="23">
        <f>IF($B146="Entry",IF(LEN(W146)&lt;4,"",IF(UPPER(MID(W146,4,1))="P","Individual",IF(UPPER(MID(W146,4,1))="H","HUF",IF(UPPER(MID(W146,4,1))="C","Company",IF(UPPER(MID(W146,4,1))="F","Firm",IF(UPPER(MID(W146,4,1))="L","LLP",IF(UPPER(MID(W146,4,1))="T","Trust",IF(UPPER(MID(W146,4,1))="A","AOP","")))))))),IF($B146="Challan","",IF(W146&lt;&gt;"","◄ Set Row Type","")))</f>
      </c>
      <c r="Z146" s="28"/>
      <c r="AA146" s="29">
        <f>IF($B146&lt;&gt;"Entry","",IF(Z146="","",IF(X146="Y",SUMPRODUCT(('Rate Lookup'!$A$1:$A$37=Z146)*'Rate Lookup'!$D$1:$D$37),IF(OR(Y146="Individual",Y146="HUF"),SUMPRODUCT(('Rate Lookup'!$A$1:$A$37=Z146)*'Rate Lookup'!$B$1:$B$37),SUMPRODUCT(('Rate Lookup'!$A$1:$A$37=Z146)*'Rate Lookup'!$C$1:$C$37)))))</f>
      </c>
      <c r="AB146" s="30"/>
      <c r="AC146" s="31"/>
      <c r="AD146" s="27">
        <f>IF($B146&lt;&gt;"Entry","",ROUND(AC146*AA146/100,0))</f>
      </c>
      <c r="AE146" s="27">
        <f>IF($B146&lt;&gt;"Entry","",0)</f>
      </c>
      <c r="AF146" s="27">
        <f>IF($B146&lt;&gt;"Entry","",0)</f>
      </c>
      <c r="AG146" s="27">
        <f>IF($B146&lt;&gt;"Entry","",IF(OR(AD146=0,AB146="",AQ146="",AQ146&lt;=0),0,IF(AQ146&lt;=DATE(YEAR(AB146),MONTH(AB146)+1,7),0,ROUND(AD146*0.015*((YEAR(AQ146)-YEAR(AB146))*12+(MONTH(AQ146)-MONTH(AB146))+1),0))))</f>
      </c>
      <c r="AH146" s="27">
        <f>IF($B146&lt;&gt;"Entry","",0)</f>
      </c>
      <c r="AI146" s="28"/>
      <c r="AJ146" s="28"/>
      <c r="AK146" s="32"/>
      <c r="AL146" s="28"/>
      <c r="AM146" s="28"/>
      <c r="AN146" s="27">
        <f>IF($B146&lt;&gt;"Challan","",SUMIF('Q1 Data'!$D$4:$D$207,D146,'Q1 Data'!$AD$4:$AD$207)+SUMIF('Q1 Data'!$D$4:$D$207,D146,'Q1 Data'!$AG$4:$AG$207)+SUMIF('Q1 Data'!$D$4:$D$207,D146,'Q1 Data'!$AE$4:$AE$207)+SUMIF('Q2 Data'!$D$4:$D$207,D146,'Q2 Data'!$AD$4:$AD$207)+SUMIF('Q2 Data'!$D$4:$D$207,D146,'Q2 Data'!$AG$4:$AG$207)+SUMIF('Q2 Data'!$D$4:$D$207,D146,'Q2 Data'!$AE$4:$AE$207)+SUMIF('Q3 Data'!$D$4:$D$207,D146,'Q3 Data'!$AD$4:$AD$207)+SUMIF('Q3 Data'!$D$4:$D$207,D146,'Q3 Data'!$AG$4:$AG$207)+SUMIF('Q3 Data'!$D$4:$D$207,D146,'Q3 Data'!$AE$4:$AE$207)+SUMIF('Q4 Data'!$D$4:$D$207,D146,'Q4 Data'!$AD$4:$AD$207)+SUMIF('Q4 Data'!$D$4:$D$207,D146,'Q4 Data'!$AG$4:$AG$207)+SUMIF('Q4 Data'!$D$4:$D$207,D146,'Q4 Data'!$AE$4:$AE$207))</f>
      </c>
      <c r="AO146" s="27">
        <f>IF($B146&lt;&gt;"Challan","",P146-N146)</f>
      </c>
      <c r="AP146" s="27">
        <f>IF($B146&lt;&gt;"Challan","",MAX(0,AO146-AN146))</f>
      </c>
      <c r="AQ146" s="33">
        <f>IF($B146&lt;&gt;"Entry","",SUMPRODUCT(('Q1 Data'!$D$4:$D$207=D146)*('Q1 Data'!$B$4:$B$207="Challan")*'Q1 Data'!$F$4:$F$207)+SUMPRODUCT(('Q2 Data'!$D$4:$D$207=D146)*('Q2 Data'!$B$4:$B$207="Challan")*'Q2 Data'!$F$4:$F$207)+SUMPRODUCT(('Q3 Data'!$D$4:$D$207=D146)*('Q3 Data'!$B$4:$B$207="Challan")*'Q3 Data'!$F$4:$F$207)+SUMPRODUCT(('Q4 Data'!$D$4:$D$207=D146)*('Q4 Data'!$B$4:$B$207="Challan")*'Q4 Data'!$F$4:$F$207))</f>
      </c>
      <c r="AR146" s="34">
        <f>IF(OR($B146&lt;&gt;"Entry",Z146=""),FALSE,AND((SUMPRODUCT(('Q1 Data'!$D$4:$D$207=D146)*('Q1 Data'!$B$4:$B$207="Challan")*('Q1 Data'!$H$4:$H$207&lt;&gt;""))+SUMPRODUCT(('Q2 Data'!$D$4:$D$207=D146)*('Q2 Data'!$B$4:$B$207="Challan")*('Q2 Data'!$H$4:$H$207&lt;&gt;""))+SUMPRODUCT(('Q3 Data'!$D$4:$D$207=D146)*('Q3 Data'!$B$4:$B$207="Challan")*('Q3 Data'!$H$4:$H$207&lt;&gt;""))+SUMPRODUCT(('Q4 Data'!$D$4:$D$207=D146)*('Q4 Data'!$B$4:$B$207="Challan")*('Q4 Data'!$H$4:$H$207&lt;&gt;"")))&gt;0,(SUMPRODUCT(('Q1 Data'!$D$4:$D$207=D146)*('Q1 Data'!$B$4:$B$207="Challan")*('Q1 Data'!$H$4:$H$207=Z146))+SUMPRODUCT(('Q2 Data'!$D$4:$D$207=D146)*('Q2 Data'!$B$4:$B$207="Challan")*('Q2 Data'!$H$4:$H$207=Z146))+SUMPRODUCT(('Q3 Data'!$D$4:$D$207=D146)*('Q3 Data'!$B$4:$B$207="Challan")*('Q3 Data'!$H$4:$H$207=Z146))+SUMPRODUCT(('Q4 Data'!$D$4:$D$207=D146)*('Q4 Data'!$B$4:$B$207="Challan")*('Q4 Data'!$H$4:$H$207=Z146)))=0))</f>
      </c>
    </row>
    <row r="147" spans="1:44" x14ac:dyDescent="0.25">
      <c r="A147" s="20">
        <f>IF($B147="Entry",COUNTIF($B$4:$B147,"Entry"),"")</f>
      </c>
      <c r="B147" s="21"/>
      <c r="C147" s="22"/>
      <c r="D147" s="22"/>
      <c r="E147" s="23">
        <f>IF($B147&lt;&gt;"Challan","",IF(ROUND(AN147-AO147,2)&gt;0,"Over-applied",IF(ROUND(AN147-AO147,2)=0,"Fully Utilised","Unconsumed")))</f>
      </c>
      <c r="F147" s="24"/>
      <c r="G147" s="25"/>
      <c r="H147" s="25"/>
      <c r="I147" s="26"/>
      <c r="J147" s="26"/>
      <c r="K147" s="26"/>
      <c r="L147" s="26"/>
      <c r="M147" s="26"/>
      <c r="N147" s="26"/>
      <c r="O147" s="26"/>
      <c r="P147" s="27">
        <f>IF($B147&lt;&gt;"Challan","",I147+J147+K147+L147+M147+N147)</f>
      </c>
      <c r="Q147" s="25"/>
      <c r="R147" s="25"/>
      <c r="S147" s="25"/>
      <c r="T147" s="25"/>
      <c r="U147" s="25"/>
      <c r="V147" s="28"/>
      <c r="W147" s="28"/>
      <c r="X147" s="23">
        <f>IF($B147="Entry",IF(AND(LEN(TRIM(UPPER(W147)))=10,CODE(MID(TRIM(UPPER(W147)),1,1))&gt;=65,CODE(MID(TRIM(UPPER(W147)),1,1))&lt;=90,CODE(MID(TRIM(UPPER(W147)),2,1))&gt;=65,CODE(MID(TRIM(UPPER(W147)),2,1))&lt;=90,CODE(MID(TRIM(UPPER(W147)),3,1))&gt;=65,CODE(MID(TRIM(UPPER(W147)),3,1))&lt;=90,CODE(MID(TRIM(UPPER(W147)),4,1))&gt;=65,CODE(MID(TRIM(UPPER(W147)),4,1))&lt;=90,CODE(MID(TRIM(UPPER(W147)),5,1))&gt;=65,CODE(MID(TRIM(UPPER(W147)),5,1))&lt;=90,CODE(MID(TRIM(UPPER(W147)),10,1))&gt;=65,CODE(MID(TRIM(UPPER(W147)),10,1))&lt;=90,CODE(MID(TRIM(UPPER(W147)),6,1))&gt;=48,CODE(MID(TRIM(UPPER(W147)),6,1))&lt;=57,CODE(MID(TRIM(UPPER(W147)),7,1))&gt;=48,CODE(MID(TRIM(UPPER(W147)),7,1))&lt;=57,CODE(MID(TRIM(UPPER(W147)),8,1))&gt;=48,CODE(MID(TRIM(UPPER(W147)),8,1))&lt;=57,CODE(MID(TRIM(UPPER(W147)),9,1))&gt;=48,CODE(MID(TRIM(UPPER(W147)),9,1))&lt;=57),"N","Y"),IF($B147="Challan","",IF(W147&lt;&gt;"","◄ Set Row Type","")))</f>
      </c>
      <c r="Y147" s="23">
        <f>IF($B147="Entry",IF(LEN(W147)&lt;4,"",IF(UPPER(MID(W147,4,1))="P","Individual",IF(UPPER(MID(W147,4,1))="H","HUF",IF(UPPER(MID(W147,4,1))="C","Company",IF(UPPER(MID(W147,4,1))="F","Firm",IF(UPPER(MID(W147,4,1))="L","LLP",IF(UPPER(MID(W147,4,1))="T","Trust",IF(UPPER(MID(W147,4,1))="A","AOP","")))))))),IF($B147="Challan","",IF(W147&lt;&gt;"","◄ Set Row Type","")))</f>
      </c>
      <c r="Z147" s="28"/>
      <c r="AA147" s="29">
        <f>IF($B147&lt;&gt;"Entry","",IF(Z147="","",IF(X147="Y",SUMPRODUCT(('Rate Lookup'!$A$1:$A$37=Z147)*'Rate Lookup'!$D$1:$D$37),IF(OR(Y147="Individual",Y147="HUF"),SUMPRODUCT(('Rate Lookup'!$A$1:$A$37=Z147)*'Rate Lookup'!$B$1:$B$37),SUMPRODUCT(('Rate Lookup'!$A$1:$A$37=Z147)*'Rate Lookup'!$C$1:$C$37)))))</f>
      </c>
      <c r="AB147" s="30"/>
      <c r="AC147" s="31"/>
      <c r="AD147" s="27">
        <f>IF($B147&lt;&gt;"Entry","",ROUND(AC147*AA147/100,0))</f>
      </c>
      <c r="AE147" s="27">
        <f>IF($B147&lt;&gt;"Entry","",0)</f>
      </c>
      <c r="AF147" s="27">
        <f>IF($B147&lt;&gt;"Entry","",0)</f>
      </c>
      <c r="AG147" s="27">
        <f>IF($B147&lt;&gt;"Entry","",IF(OR(AD147=0,AB147="",AQ147="",AQ147&lt;=0),0,IF(AQ147&lt;=DATE(YEAR(AB147),MONTH(AB147)+1,7),0,ROUND(AD147*0.015*((YEAR(AQ147)-YEAR(AB147))*12+(MONTH(AQ147)-MONTH(AB147))+1),0))))</f>
      </c>
      <c r="AH147" s="27">
        <f>IF($B147&lt;&gt;"Entry","",0)</f>
      </c>
      <c r="AI147" s="28"/>
      <c r="AJ147" s="28"/>
      <c r="AK147" s="32"/>
      <c r="AL147" s="28"/>
      <c r="AM147" s="28"/>
      <c r="AN147" s="27">
        <f>IF($B147&lt;&gt;"Challan","",SUMIF('Q1 Data'!$D$4:$D$207,D147,'Q1 Data'!$AD$4:$AD$207)+SUMIF('Q1 Data'!$D$4:$D$207,D147,'Q1 Data'!$AG$4:$AG$207)+SUMIF('Q1 Data'!$D$4:$D$207,D147,'Q1 Data'!$AE$4:$AE$207)+SUMIF('Q2 Data'!$D$4:$D$207,D147,'Q2 Data'!$AD$4:$AD$207)+SUMIF('Q2 Data'!$D$4:$D$207,D147,'Q2 Data'!$AG$4:$AG$207)+SUMIF('Q2 Data'!$D$4:$D$207,D147,'Q2 Data'!$AE$4:$AE$207)+SUMIF('Q3 Data'!$D$4:$D$207,D147,'Q3 Data'!$AD$4:$AD$207)+SUMIF('Q3 Data'!$D$4:$D$207,D147,'Q3 Data'!$AG$4:$AG$207)+SUMIF('Q3 Data'!$D$4:$D$207,D147,'Q3 Data'!$AE$4:$AE$207)+SUMIF('Q4 Data'!$D$4:$D$207,D147,'Q4 Data'!$AD$4:$AD$207)+SUMIF('Q4 Data'!$D$4:$D$207,D147,'Q4 Data'!$AG$4:$AG$207)+SUMIF('Q4 Data'!$D$4:$D$207,D147,'Q4 Data'!$AE$4:$AE$207))</f>
      </c>
      <c r="AO147" s="27">
        <f>IF($B147&lt;&gt;"Challan","",P147-N147)</f>
      </c>
      <c r="AP147" s="27">
        <f>IF($B147&lt;&gt;"Challan","",MAX(0,AO147-AN147))</f>
      </c>
      <c r="AQ147" s="33">
        <f>IF($B147&lt;&gt;"Entry","",SUMPRODUCT(('Q1 Data'!$D$4:$D$207=D147)*('Q1 Data'!$B$4:$B$207="Challan")*'Q1 Data'!$F$4:$F$207)+SUMPRODUCT(('Q2 Data'!$D$4:$D$207=D147)*('Q2 Data'!$B$4:$B$207="Challan")*'Q2 Data'!$F$4:$F$207)+SUMPRODUCT(('Q3 Data'!$D$4:$D$207=D147)*('Q3 Data'!$B$4:$B$207="Challan")*'Q3 Data'!$F$4:$F$207)+SUMPRODUCT(('Q4 Data'!$D$4:$D$207=D147)*('Q4 Data'!$B$4:$B$207="Challan")*'Q4 Data'!$F$4:$F$207))</f>
      </c>
      <c r="AR147" s="34">
        <f>IF(OR($B147&lt;&gt;"Entry",Z147=""),FALSE,AND((SUMPRODUCT(('Q1 Data'!$D$4:$D$207=D147)*('Q1 Data'!$B$4:$B$207="Challan")*('Q1 Data'!$H$4:$H$207&lt;&gt;""))+SUMPRODUCT(('Q2 Data'!$D$4:$D$207=D147)*('Q2 Data'!$B$4:$B$207="Challan")*('Q2 Data'!$H$4:$H$207&lt;&gt;""))+SUMPRODUCT(('Q3 Data'!$D$4:$D$207=D147)*('Q3 Data'!$B$4:$B$207="Challan")*('Q3 Data'!$H$4:$H$207&lt;&gt;""))+SUMPRODUCT(('Q4 Data'!$D$4:$D$207=D147)*('Q4 Data'!$B$4:$B$207="Challan")*('Q4 Data'!$H$4:$H$207&lt;&gt;"")))&gt;0,(SUMPRODUCT(('Q1 Data'!$D$4:$D$207=D147)*('Q1 Data'!$B$4:$B$207="Challan")*('Q1 Data'!$H$4:$H$207=Z147))+SUMPRODUCT(('Q2 Data'!$D$4:$D$207=D147)*('Q2 Data'!$B$4:$B$207="Challan")*('Q2 Data'!$H$4:$H$207=Z147))+SUMPRODUCT(('Q3 Data'!$D$4:$D$207=D147)*('Q3 Data'!$B$4:$B$207="Challan")*('Q3 Data'!$H$4:$H$207=Z147))+SUMPRODUCT(('Q4 Data'!$D$4:$D$207=D147)*('Q4 Data'!$B$4:$B$207="Challan")*('Q4 Data'!$H$4:$H$207=Z147)))=0))</f>
      </c>
    </row>
    <row r="148" spans="1:44" x14ac:dyDescent="0.25">
      <c r="A148" s="20">
        <f>IF($B148="Entry",COUNTIF($B$4:$B148,"Entry"),"")</f>
      </c>
      <c r="B148" s="21"/>
      <c r="C148" s="22"/>
      <c r="D148" s="22"/>
      <c r="E148" s="23">
        <f>IF($B148&lt;&gt;"Challan","",IF(ROUND(AN148-AO148,2)&gt;0,"Over-applied",IF(ROUND(AN148-AO148,2)=0,"Fully Utilised","Unconsumed")))</f>
      </c>
      <c r="F148" s="24"/>
      <c r="G148" s="25"/>
      <c r="H148" s="25"/>
      <c r="I148" s="26"/>
      <c r="J148" s="26"/>
      <c r="K148" s="26"/>
      <c r="L148" s="26"/>
      <c r="M148" s="26"/>
      <c r="N148" s="26"/>
      <c r="O148" s="26"/>
      <c r="P148" s="27">
        <f>IF($B148&lt;&gt;"Challan","",I148+J148+K148+L148+M148+N148)</f>
      </c>
      <c r="Q148" s="25"/>
      <c r="R148" s="25"/>
      <c r="S148" s="25"/>
      <c r="T148" s="25"/>
      <c r="U148" s="25"/>
      <c r="V148" s="28"/>
      <c r="W148" s="28"/>
      <c r="X148" s="23">
        <f>IF($B148="Entry",IF(AND(LEN(TRIM(UPPER(W148)))=10,CODE(MID(TRIM(UPPER(W148)),1,1))&gt;=65,CODE(MID(TRIM(UPPER(W148)),1,1))&lt;=90,CODE(MID(TRIM(UPPER(W148)),2,1))&gt;=65,CODE(MID(TRIM(UPPER(W148)),2,1))&lt;=90,CODE(MID(TRIM(UPPER(W148)),3,1))&gt;=65,CODE(MID(TRIM(UPPER(W148)),3,1))&lt;=90,CODE(MID(TRIM(UPPER(W148)),4,1))&gt;=65,CODE(MID(TRIM(UPPER(W148)),4,1))&lt;=90,CODE(MID(TRIM(UPPER(W148)),5,1))&gt;=65,CODE(MID(TRIM(UPPER(W148)),5,1))&lt;=90,CODE(MID(TRIM(UPPER(W148)),10,1))&gt;=65,CODE(MID(TRIM(UPPER(W148)),10,1))&lt;=90,CODE(MID(TRIM(UPPER(W148)),6,1))&gt;=48,CODE(MID(TRIM(UPPER(W148)),6,1))&lt;=57,CODE(MID(TRIM(UPPER(W148)),7,1))&gt;=48,CODE(MID(TRIM(UPPER(W148)),7,1))&lt;=57,CODE(MID(TRIM(UPPER(W148)),8,1))&gt;=48,CODE(MID(TRIM(UPPER(W148)),8,1))&lt;=57,CODE(MID(TRIM(UPPER(W148)),9,1))&gt;=48,CODE(MID(TRIM(UPPER(W148)),9,1))&lt;=57),"N","Y"),IF($B148="Challan","",IF(W148&lt;&gt;"","◄ Set Row Type","")))</f>
      </c>
      <c r="Y148" s="23">
        <f>IF($B148="Entry",IF(LEN(W148)&lt;4,"",IF(UPPER(MID(W148,4,1))="P","Individual",IF(UPPER(MID(W148,4,1))="H","HUF",IF(UPPER(MID(W148,4,1))="C","Company",IF(UPPER(MID(W148,4,1))="F","Firm",IF(UPPER(MID(W148,4,1))="L","LLP",IF(UPPER(MID(W148,4,1))="T","Trust",IF(UPPER(MID(W148,4,1))="A","AOP","")))))))),IF($B148="Challan","",IF(W148&lt;&gt;"","◄ Set Row Type","")))</f>
      </c>
      <c r="Z148" s="28"/>
      <c r="AA148" s="29">
        <f>IF($B148&lt;&gt;"Entry","",IF(Z148="","",IF(X148="Y",SUMPRODUCT(('Rate Lookup'!$A$1:$A$37=Z148)*'Rate Lookup'!$D$1:$D$37),IF(OR(Y148="Individual",Y148="HUF"),SUMPRODUCT(('Rate Lookup'!$A$1:$A$37=Z148)*'Rate Lookup'!$B$1:$B$37),SUMPRODUCT(('Rate Lookup'!$A$1:$A$37=Z148)*'Rate Lookup'!$C$1:$C$37)))))</f>
      </c>
      <c r="AB148" s="30"/>
      <c r="AC148" s="31"/>
      <c r="AD148" s="27">
        <f>IF($B148&lt;&gt;"Entry","",ROUND(AC148*AA148/100,0))</f>
      </c>
      <c r="AE148" s="27">
        <f>IF($B148&lt;&gt;"Entry","",0)</f>
      </c>
      <c r="AF148" s="27">
        <f>IF($B148&lt;&gt;"Entry","",0)</f>
      </c>
      <c r="AG148" s="27">
        <f>IF($B148&lt;&gt;"Entry","",IF(OR(AD148=0,AB148="",AQ148="",AQ148&lt;=0),0,IF(AQ148&lt;=DATE(YEAR(AB148),MONTH(AB148)+1,7),0,ROUND(AD148*0.015*((YEAR(AQ148)-YEAR(AB148))*12+(MONTH(AQ148)-MONTH(AB148))+1),0))))</f>
      </c>
      <c r="AH148" s="27">
        <f>IF($B148&lt;&gt;"Entry","",0)</f>
      </c>
      <c r="AI148" s="28"/>
      <c r="AJ148" s="28"/>
      <c r="AK148" s="32"/>
      <c r="AL148" s="28"/>
      <c r="AM148" s="28"/>
      <c r="AN148" s="27">
        <f>IF($B148&lt;&gt;"Challan","",SUMIF('Q1 Data'!$D$4:$D$207,D148,'Q1 Data'!$AD$4:$AD$207)+SUMIF('Q1 Data'!$D$4:$D$207,D148,'Q1 Data'!$AG$4:$AG$207)+SUMIF('Q1 Data'!$D$4:$D$207,D148,'Q1 Data'!$AE$4:$AE$207)+SUMIF('Q2 Data'!$D$4:$D$207,D148,'Q2 Data'!$AD$4:$AD$207)+SUMIF('Q2 Data'!$D$4:$D$207,D148,'Q2 Data'!$AG$4:$AG$207)+SUMIF('Q2 Data'!$D$4:$D$207,D148,'Q2 Data'!$AE$4:$AE$207)+SUMIF('Q3 Data'!$D$4:$D$207,D148,'Q3 Data'!$AD$4:$AD$207)+SUMIF('Q3 Data'!$D$4:$D$207,D148,'Q3 Data'!$AG$4:$AG$207)+SUMIF('Q3 Data'!$D$4:$D$207,D148,'Q3 Data'!$AE$4:$AE$207)+SUMIF('Q4 Data'!$D$4:$D$207,D148,'Q4 Data'!$AD$4:$AD$207)+SUMIF('Q4 Data'!$D$4:$D$207,D148,'Q4 Data'!$AG$4:$AG$207)+SUMIF('Q4 Data'!$D$4:$D$207,D148,'Q4 Data'!$AE$4:$AE$207))</f>
      </c>
      <c r="AO148" s="27">
        <f>IF($B148&lt;&gt;"Challan","",P148-N148)</f>
      </c>
      <c r="AP148" s="27">
        <f>IF($B148&lt;&gt;"Challan","",MAX(0,AO148-AN148))</f>
      </c>
      <c r="AQ148" s="33">
        <f>IF($B148&lt;&gt;"Entry","",SUMPRODUCT(('Q1 Data'!$D$4:$D$207=D148)*('Q1 Data'!$B$4:$B$207="Challan")*'Q1 Data'!$F$4:$F$207)+SUMPRODUCT(('Q2 Data'!$D$4:$D$207=D148)*('Q2 Data'!$B$4:$B$207="Challan")*'Q2 Data'!$F$4:$F$207)+SUMPRODUCT(('Q3 Data'!$D$4:$D$207=D148)*('Q3 Data'!$B$4:$B$207="Challan")*'Q3 Data'!$F$4:$F$207)+SUMPRODUCT(('Q4 Data'!$D$4:$D$207=D148)*('Q4 Data'!$B$4:$B$207="Challan")*'Q4 Data'!$F$4:$F$207))</f>
      </c>
      <c r="AR148" s="34">
        <f>IF(OR($B148&lt;&gt;"Entry",Z148=""),FALSE,AND((SUMPRODUCT(('Q1 Data'!$D$4:$D$207=D148)*('Q1 Data'!$B$4:$B$207="Challan")*('Q1 Data'!$H$4:$H$207&lt;&gt;""))+SUMPRODUCT(('Q2 Data'!$D$4:$D$207=D148)*('Q2 Data'!$B$4:$B$207="Challan")*('Q2 Data'!$H$4:$H$207&lt;&gt;""))+SUMPRODUCT(('Q3 Data'!$D$4:$D$207=D148)*('Q3 Data'!$B$4:$B$207="Challan")*('Q3 Data'!$H$4:$H$207&lt;&gt;""))+SUMPRODUCT(('Q4 Data'!$D$4:$D$207=D148)*('Q4 Data'!$B$4:$B$207="Challan")*('Q4 Data'!$H$4:$H$207&lt;&gt;"")))&gt;0,(SUMPRODUCT(('Q1 Data'!$D$4:$D$207=D148)*('Q1 Data'!$B$4:$B$207="Challan")*('Q1 Data'!$H$4:$H$207=Z148))+SUMPRODUCT(('Q2 Data'!$D$4:$D$207=D148)*('Q2 Data'!$B$4:$B$207="Challan")*('Q2 Data'!$H$4:$H$207=Z148))+SUMPRODUCT(('Q3 Data'!$D$4:$D$207=D148)*('Q3 Data'!$B$4:$B$207="Challan")*('Q3 Data'!$H$4:$H$207=Z148))+SUMPRODUCT(('Q4 Data'!$D$4:$D$207=D148)*('Q4 Data'!$B$4:$B$207="Challan")*('Q4 Data'!$H$4:$H$207=Z148)))=0))</f>
      </c>
    </row>
    <row r="149" spans="1:44" x14ac:dyDescent="0.25">
      <c r="A149" s="20">
        <f>IF($B149="Entry",COUNTIF($B$4:$B149,"Entry"),"")</f>
      </c>
      <c r="B149" s="21"/>
      <c r="C149" s="22"/>
      <c r="D149" s="22"/>
      <c r="E149" s="23">
        <f>IF($B149&lt;&gt;"Challan","",IF(ROUND(AN149-AO149,2)&gt;0,"Over-applied",IF(ROUND(AN149-AO149,2)=0,"Fully Utilised","Unconsumed")))</f>
      </c>
      <c r="F149" s="24"/>
      <c r="G149" s="25"/>
      <c r="H149" s="25"/>
      <c r="I149" s="26"/>
      <c r="J149" s="26"/>
      <c r="K149" s="26"/>
      <c r="L149" s="26"/>
      <c r="M149" s="26"/>
      <c r="N149" s="26"/>
      <c r="O149" s="26"/>
      <c r="P149" s="27">
        <f>IF($B149&lt;&gt;"Challan","",I149+J149+K149+L149+M149+N149)</f>
      </c>
      <c r="Q149" s="25"/>
      <c r="R149" s="25"/>
      <c r="S149" s="25"/>
      <c r="T149" s="25"/>
      <c r="U149" s="25"/>
      <c r="V149" s="28"/>
      <c r="W149" s="28"/>
      <c r="X149" s="23">
        <f>IF($B149="Entry",IF(AND(LEN(TRIM(UPPER(W149)))=10,CODE(MID(TRIM(UPPER(W149)),1,1))&gt;=65,CODE(MID(TRIM(UPPER(W149)),1,1))&lt;=90,CODE(MID(TRIM(UPPER(W149)),2,1))&gt;=65,CODE(MID(TRIM(UPPER(W149)),2,1))&lt;=90,CODE(MID(TRIM(UPPER(W149)),3,1))&gt;=65,CODE(MID(TRIM(UPPER(W149)),3,1))&lt;=90,CODE(MID(TRIM(UPPER(W149)),4,1))&gt;=65,CODE(MID(TRIM(UPPER(W149)),4,1))&lt;=90,CODE(MID(TRIM(UPPER(W149)),5,1))&gt;=65,CODE(MID(TRIM(UPPER(W149)),5,1))&lt;=90,CODE(MID(TRIM(UPPER(W149)),10,1))&gt;=65,CODE(MID(TRIM(UPPER(W149)),10,1))&lt;=90,CODE(MID(TRIM(UPPER(W149)),6,1))&gt;=48,CODE(MID(TRIM(UPPER(W149)),6,1))&lt;=57,CODE(MID(TRIM(UPPER(W149)),7,1))&gt;=48,CODE(MID(TRIM(UPPER(W149)),7,1))&lt;=57,CODE(MID(TRIM(UPPER(W149)),8,1))&gt;=48,CODE(MID(TRIM(UPPER(W149)),8,1))&lt;=57,CODE(MID(TRIM(UPPER(W149)),9,1))&gt;=48,CODE(MID(TRIM(UPPER(W149)),9,1))&lt;=57),"N","Y"),IF($B149="Challan","",IF(W149&lt;&gt;"","◄ Set Row Type","")))</f>
      </c>
      <c r="Y149" s="23">
        <f>IF($B149="Entry",IF(LEN(W149)&lt;4,"",IF(UPPER(MID(W149,4,1))="P","Individual",IF(UPPER(MID(W149,4,1))="H","HUF",IF(UPPER(MID(W149,4,1))="C","Company",IF(UPPER(MID(W149,4,1))="F","Firm",IF(UPPER(MID(W149,4,1))="L","LLP",IF(UPPER(MID(W149,4,1))="T","Trust",IF(UPPER(MID(W149,4,1))="A","AOP","")))))))),IF($B149="Challan","",IF(W149&lt;&gt;"","◄ Set Row Type","")))</f>
      </c>
      <c r="Z149" s="28"/>
      <c r="AA149" s="29">
        <f>IF($B149&lt;&gt;"Entry","",IF(Z149="","",IF(X149="Y",SUMPRODUCT(('Rate Lookup'!$A$1:$A$37=Z149)*'Rate Lookup'!$D$1:$D$37),IF(OR(Y149="Individual",Y149="HUF"),SUMPRODUCT(('Rate Lookup'!$A$1:$A$37=Z149)*'Rate Lookup'!$B$1:$B$37),SUMPRODUCT(('Rate Lookup'!$A$1:$A$37=Z149)*'Rate Lookup'!$C$1:$C$37)))))</f>
      </c>
      <c r="AB149" s="30"/>
      <c r="AC149" s="31"/>
      <c r="AD149" s="27">
        <f>IF($B149&lt;&gt;"Entry","",ROUND(AC149*AA149/100,0))</f>
      </c>
      <c r="AE149" s="27">
        <f>IF($B149&lt;&gt;"Entry","",0)</f>
      </c>
      <c r="AF149" s="27">
        <f>IF($B149&lt;&gt;"Entry","",0)</f>
      </c>
      <c r="AG149" s="27">
        <f>IF($B149&lt;&gt;"Entry","",IF(OR(AD149=0,AB149="",AQ149="",AQ149&lt;=0),0,IF(AQ149&lt;=DATE(YEAR(AB149),MONTH(AB149)+1,7),0,ROUND(AD149*0.015*((YEAR(AQ149)-YEAR(AB149))*12+(MONTH(AQ149)-MONTH(AB149))+1),0))))</f>
      </c>
      <c r="AH149" s="27">
        <f>IF($B149&lt;&gt;"Entry","",0)</f>
      </c>
      <c r="AI149" s="28"/>
      <c r="AJ149" s="28"/>
      <c r="AK149" s="32"/>
      <c r="AL149" s="28"/>
      <c r="AM149" s="28"/>
      <c r="AN149" s="27">
        <f>IF($B149&lt;&gt;"Challan","",SUMIF('Q1 Data'!$D$4:$D$207,D149,'Q1 Data'!$AD$4:$AD$207)+SUMIF('Q1 Data'!$D$4:$D$207,D149,'Q1 Data'!$AG$4:$AG$207)+SUMIF('Q1 Data'!$D$4:$D$207,D149,'Q1 Data'!$AE$4:$AE$207)+SUMIF('Q2 Data'!$D$4:$D$207,D149,'Q2 Data'!$AD$4:$AD$207)+SUMIF('Q2 Data'!$D$4:$D$207,D149,'Q2 Data'!$AG$4:$AG$207)+SUMIF('Q2 Data'!$D$4:$D$207,D149,'Q2 Data'!$AE$4:$AE$207)+SUMIF('Q3 Data'!$D$4:$D$207,D149,'Q3 Data'!$AD$4:$AD$207)+SUMIF('Q3 Data'!$D$4:$D$207,D149,'Q3 Data'!$AG$4:$AG$207)+SUMIF('Q3 Data'!$D$4:$D$207,D149,'Q3 Data'!$AE$4:$AE$207)+SUMIF('Q4 Data'!$D$4:$D$207,D149,'Q4 Data'!$AD$4:$AD$207)+SUMIF('Q4 Data'!$D$4:$D$207,D149,'Q4 Data'!$AG$4:$AG$207)+SUMIF('Q4 Data'!$D$4:$D$207,D149,'Q4 Data'!$AE$4:$AE$207))</f>
      </c>
      <c r="AO149" s="27">
        <f>IF($B149&lt;&gt;"Challan","",P149-N149)</f>
      </c>
      <c r="AP149" s="27">
        <f>IF($B149&lt;&gt;"Challan","",MAX(0,AO149-AN149))</f>
      </c>
      <c r="AQ149" s="33">
        <f>IF($B149&lt;&gt;"Entry","",SUMPRODUCT(('Q1 Data'!$D$4:$D$207=D149)*('Q1 Data'!$B$4:$B$207="Challan")*'Q1 Data'!$F$4:$F$207)+SUMPRODUCT(('Q2 Data'!$D$4:$D$207=D149)*('Q2 Data'!$B$4:$B$207="Challan")*'Q2 Data'!$F$4:$F$207)+SUMPRODUCT(('Q3 Data'!$D$4:$D$207=D149)*('Q3 Data'!$B$4:$B$207="Challan")*'Q3 Data'!$F$4:$F$207)+SUMPRODUCT(('Q4 Data'!$D$4:$D$207=D149)*('Q4 Data'!$B$4:$B$207="Challan")*'Q4 Data'!$F$4:$F$207))</f>
      </c>
      <c r="AR149" s="34">
        <f>IF(OR($B149&lt;&gt;"Entry",Z149=""),FALSE,AND((SUMPRODUCT(('Q1 Data'!$D$4:$D$207=D149)*('Q1 Data'!$B$4:$B$207="Challan")*('Q1 Data'!$H$4:$H$207&lt;&gt;""))+SUMPRODUCT(('Q2 Data'!$D$4:$D$207=D149)*('Q2 Data'!$B$4:$B$207="Challan")*('Q2 Data'!$H$4:$H$207&lt;&gt;""))+SUMPRODUCT(('Q3 Data'!$D$4:$D$207=D149)*('Q3 Data'!$B$4:$B$207="Challan")*('Q3 Data'!$H$4:$H$207&lt;&gt;""))+SUMPRODUCT(('Q4 Data'!$D$4:$D$207=D149)*('Q4 Data'!$B$4:$B$207="Challan")*('Q4 Data'!$H$4:$H$207&lt;&gt;"")))&gt;0,(SUMPRODUCT(('Q1 Data'!$D$4:$D$207=D149)*('Q1 Data'!$B$4:$B$207="Challan")*('Q1 Data'!$H$4:$H$207=Z149))+SUMPRODUCT(('Q2 Data'!$D$4:$D$207=D149)*('Q2 Data'!$B$4:$B$207="Challan")*('Q2 Data'!$H$4:$H$207=Z149))+SUMPRODUCT(('Q3 Data'!$D$4:$D$207=D149)*('Q3 Data'!$B$4:$B$207="Challan")*('Q3 Data'!$H$4:$H$207=Z149))+SUMPRODUCT(('Q4 Data'!$D$4:$D$207=D149)*('Q4 Data'!$B$4:$B$207="Challan")*('Q4 Data'!$H$4:$H$207=Z149)))=0))</f>
      </c>
    </row>
    <row r="150" spans="1:44" x14ac:dyDescent="0.25">
      <c r="A150" s="20">
        <f>IF($B150="Entry",COUNTIF($B$4:$B150,"Entry"),"")</f>
      </c>
      <c r="B150" s="21"/>
      <c r="C150" s="22"/>
      <c r="D150" s="22"/>
      <c r="E150" s="23">
        <f>IF($B150&lt;&gt;"Challan","",IF(ROUND(AN150-AO150,2)&gt;0,"Over-applied",IF(ROUND(AN150-AO150,2)=0,"Fully Utilised","Unconsumed")))</f>
      </c>
      <c r="F150" s="24"/>
      <c r="G150" s="25"/>
      <c r="H150" s="25"/>
      <c r="I150" s="26"/>
      <c r="J150" s="26"/>
      <c r="K150" s="26"/>
      <c r="L150" s="26"/>
      <c r="M150" s="26"/>
      <c r="N150" s="26"/>
      <c r="O150" s="26"/>
      <c r="P150" s="27">
        <f>IF($B150&lt;&gt;"Challan","",I150+J150+K150+L150+M150+N150)</f>
      </c>
      <c r="Q150" s="25"/>
      <c r="R150" s="25"/>
      <c r="S150" s="25"/>
      <c r="T150" s="25"/>
      <c r="U150" s="25"/>
      <c r="V150" s="28"/>
      <c r="W150" s="28"/>
      <c r="X150" s="23">
        <f>IF($B150="Entry",IF(AND(LEN(TRIM(UPPER(W150)))=10,CODE(MID(TRIM(UPPER(W150)),1,1))&gt;=65,CODE(MID(TRIM(UPPER(W150)),1,1))&lt;=90,CODE(MID(TRIM(UPPER(W150)),2,1))&gt;=65,CODE(MID(TRIM(UPPER(W150)),2,1))&lt;=90,CODE(MID(TRIM(UPPER(W150)),3,1))&gt;=65,CODE(MID(TRIM(UPPER(W150)),3,1))&lt;=90,CODE(MID(TRIM(UPPER(W150)),4,1))&gt;=65,CODE(MID(TRIM(UPPER(W150)),4,1))&lt;=90,CODE(MID(TRIM(UPPER(W150)),5,1))&gt;=65,CODE(MID(TRIM(UPPER(W150)),5,1))&lt;=90,CODE(MID(TRIM(UPPER(W150)),10,1))&gt;=65,CODE(MID(TRIM(UPPER(W150)),10,1))&lt;=90,CODE(MID(TRIM(UPPER(W150)),6,1))&gt;=48,CODE(MID(TRIM(UPPER(W150)),6,1))&lt;=57,CODE(MID(TRIM(UPPER(W150)),7,1))&gt;=48,CODE(MID(TRIM(UPPER(W150)),7,1))&lt;=57,CODE(MID(TRIM(UPPER(W150)),8,1))&gt;=48,CODE(MID(TRIM(UPPER(W150)),8,1))&lt;=57,CODE(MID(TRIM(UPPER(W150)),9,1))&gt;=48,CODE(MID(TRIM(UPPER(W150)),9,1))&lt;=57),"N","Y"),IF($B150="Challan","",IF(W150&lt;&gt;"","◄ Set Row Type","")))</f>
      </c>
      <c r="Y150" s="23">
        <f>IF($B150="Entry",IF(LEN(W150)&lt;4,"",IF(UPPER(MID(W150,4,1))="P","Individual",IF(UPPER(MID(W150,4,1))="H","HUF",IF(UPPER(MID(W150,4,1))="C","Company",IF(UPPER(MID(W150,4,1))="F","Firm",IF(UPPER(MID(W150,4,1))="L","LLP",IF(UPPER(MID(W150,4,1))="T","Trust",IF(UPPER(MID(W150,4,1))="A","AOP","")))))))),IF($B150="Challan","",IF(W150&lt;&gt;"","◄ Set Row Type","")))</f>
      </c>
      <c r="Z150" s="28"/>
      <c r="AA150" s="29">
        <f>IF($B150&lt;&gt;"Entry","",IF(Z150="","",IF(X150="Y",SUMPRODUCT(('Rate Lookup'!$A$1:$A$37=Z150)*'Rate Lookup'!$D$1:$D$37),IF(OR(Y150="Individual",Y150="HUF"),SUMPRODUCT(('Rate Lookup'!$A$1:$A$37=Z150)*'Rate Lookup'!$B$1:$B$37),SUMPRODUCT(('Rate Lookup'!$A$1:$A$37=Z150)*'Rate Lookup'!$C$1:$C$37)))))</f>
      </c>
      <c r="AB150" s="30"/>
      <c r="AC150" s="31"/>
      <c r="AD150" s="27">
        <f>IF($B150&lt;&gt;"Entry","",ROUND(AC150*AA150/100,0))</f>
      </c>
      <c r="AE150" s="27">
        <f>IF($B150&lt;&gt;"Entry","",0)</f>
      </c>
      <c r="AF150" s="27">
        <f>IF($B150&lt;&gt;"Entry","",0)</f>
      </c>
      <c r="AG150" s="27">
        <f>IF($B150&lt;&gt;"Entry","",IF(OR(AD150=0,AB150="",AQ150="",AQ150&lt;=0),0,IF(AQ150&lt;=DATE(YEAR(AB150),MONTH(AB150)+1,7),0,ROUND(AD150*0.015*((YEAR(AQ150)-YEAR(AB150))*12+(MONTH(AQ150)-MONTH(AB150))+1),0))))</f>
      </c>
      <c r="AH150" s="27">
        <f>IF($B150&lt;&gt;"Entry","",0)</f>
      </c>
      <c r="AI150" s="28"/>
      <c r="AJ150" s="28"/>
      <c r="AK150" s="32"/>
      <c r="AL150" s="28"/>
      <c r="AM150" s="28"/>
      <c r="AN150" s="27">
        <f>IF($B150&lt;&gt;"Challan","",SUMIF('Q1 Data'!$D$4:$D$207,D150,'Q1 Data'!$AD$4:$AD$207)+SUMIF('Q1 Data'!$D$4:$D$207,D150,'Q1 Data'!$AG$4:$AG$207)+SUMIF('Q1 Data'!$D$4:$D$207,D150,'Q1 Data'!$AE$4:$AE$207)+SUMIF('Q2 Data'!$D$4:$D$207,D150,'Q2 Data'!$AD$4:$AD$207)+SUMIF('Q2 Data'!$D$4:$D$207,D150,'Q2 Data'!$AG$4:$AG$207)+SUMIF('Q2 Data'!$D$4:$D$207,D150,'Q2 Data'!$AE$4:$AE$207)+SUMIF('Q3 Data'!$D$4:$D$207,D150,'Q3 Data'!$AD$4:$AD$207)+SUMIF('Q3 Data'!$D$4:$D$207,D150,'Q3 Data'!$AG$4:$AG$207)+SUMIF('Q3 Data'!$D$4:$D$207,D150,'Q3 Data'!$AE$4:$AE$207)+SUMIF('Q4 Data'!$D$4:$D$207,D150,'Q4 Data'!$AD$4:$AD$207)+SUMIF('Q4 Data'!$D$4:$D$207,D150,'Q4 Data'!$AG$4:$AG$207)+SUMIF('Q4 Data'!$D$4:$D$207,D150,'Q4 Data'!$AE$4:$AE$207))</f>
      </c>
      <c r="AO150" s="27">
        <f>IF($B150&lt;&gt;"Challan","",P150-N150)</f>
      </c>
      <c r="AP150" s="27">
        <f>IF($B150&lt;&gt;"Challan","",MAX(0,AO150-AN150))</f>
      </c>
      <c r="AQ150" s="33">
        <f>IF($B150&lt;&gt;"Entry","",SUMPRODUCT(('Q1 Data'!$D$4:$D$207=D150)*('Q1 Data'!$B$4:$B$207="Challan")*'Q1 Data'!$F$4:$F$207)+SUMPRODUCT(('Q2 Data'!$D$4:$D$207=D150)*('Q2 Data'!$B$4:$B$207="Challan")*'Q2 Data'!$F$4:$F$207)+SUMPRODUCT(('Q3 Data'!$D$4:$D$207=D150)*('Q3 Data'!$B$4:$B$207="Challan")*'Q3 Data'!$F$4:$F$207)+SUMPRODUCT(('Q4 Data'!$D$4:$D$207=D150)*('Q4 Data'!$B$4:$B$207="Challan")*'Q4 Data'!$F$4:$F$207))</f>
      </c>
      <c r="AR150" s="34">
        <f>IF(OR($B150&lt;&gt;"Entry",Z150=""),FALSE,AND((SUMPRODUCT(('Q1 Data'!$D$4:$D$207=D150)*('Q1 Data'!$B$4:$B$207="Challan")*('Q1 Data'!$H$4:$H$207&lt;&gt;""))+SUMPRODUCT(('Q2 Data'!$D$4:$D$207=D150)*('Q2 Data'!$B$4:$B$207="Challan")*('Q2 Data'!$H$4:$H$207&lt;&gt;""))+SUMPRODUCT(('Q3 Data'!$D$4:$D$207=D150)*('Q3 Data'!$B$4:$B$207="Challan")*('Q3 Data'!$H$4:$H$207&lt;&gt;""))+SUMPRODUCT(('Q4 Data'!$D$4:$D$207=D150)*('Q4 Data'!$B$4:$B$207="Challan")*('Q4 Data'!$H$4:$H$207&lt;&gt;"")))&gt;0,(SUMPRODUCT(('Q1 Data'!$D$4:$D$207=D150)*('Q1 Data'!$B$4:$B$207="Challan")*('Q1 Data'!$H$4:$H$207=Z150))+SUMPRODUCT(('Q2 Data'!$D$4:$D$207=D150)*('Q2 Data'!$B$4:$B$207="Challan")*('Q2 Data'!$H$4:$H$207=Z150))+SUMPRODUCT(('Q3 Data'!$D$4:$D$207=D150)*('Q3 Data'!$B$4:$B$207="Challan")*('Q3 Data'!$H$4:$H$207=Z150))+SUMPRODUCT(('Q4 Data'!$D$4:$D$207=D150)*('Q4 Data'!$B$4:$B$207="Challan")*('Q4 Data'!$H$4:$H$207=Z150)))=0))</f>
      </c>
    </row>
    <row r="151" spans="1:44" x14ac:dyDescent="0.25">
      <c r="A151" s="20">
        <f>IF($B151="Entry",COUNTIF($B$4:$B151,"Entry"),"")</f>
      </c>
      <c r="B151" s="21"/>
      <c r="C151" s="22"/>
      <c r="D151" s="22"/>
      <c r="E151" s="23">
        <f>IF($B151&lt;&gt;"Challan","",IF(ROUND(AN151-AO151,2)&gt;0,"Over-applied",IF(ROUND(AN151-AO151,2)=0,"Fully Utilised","Unconsumed")))</f>
      </c>
      <c r="F151" s="24"/>
      <c r="G151" s="25"/>
      <c r="H151" s="25"/>
      <c r="I151" s="26"/>
      <c r="J151" s="26"/>
      <c r="K151" s="26"/>
      <c r="L151" s="26"/>
      <c r="M151" s="26"/>
      <c r="N151" s="26"/>
      <c r="O151" s="26"/>
      <c r="P151" s="27">
        <f>IF($B151&lt;&gt;"Challan","",I151+J151+K151+L151+M151+N151)</f>
      </c>
      <c r="Q151" s="25"/>
      <c r="R151" s="25"/>
      <c r="S151" s="25"/>
      <c r="T151" s="25"/>
      <c r="U151" s="25"/>
      <c r="V151" s="28"/>
      <c r="W151" s="28"/>
      <c r="X151" s="23">
        <f>IF($B151="Entry",IF(AND(LEN(TRIM(UPPER(W151)))=10,CODE(MID(TRIM(UPPER(W151)),1,1))&gt;=65,CODE(MID(TRIM(UPPER(W151)),1,1))&lt;=90,CODE(MID(TRIM(UPPER(W151)),2,1))&gt;=65,CODE(MID(TRIM(UPPER(W151)),2,1))&lt;=90,CODE(MID(TRIM(UPPER(W151)),3,1))&gt;=65,CODE(MID(TRIM(UPPER(W151)),3,1))&lt;=90,CODE(MID(TRIM(UPPER(W151)),4,1))&gt;=65,CODE(MID(TRIM(UPPER(W151)),4,1))&lt;=90,CODE(MID(TRIM(UPPER(W151)),5,1))&gt;=65,CODE(MID(TRIM(UPPER(W151)),5,1))&lt;=90,CODE(MID(TRIM(UPPER(W151)),10,1))&gt;=65,CODE(MID(TRIM(UPPER(W151)),10,1))&lt;=90,CODE(MID(TRIM(UPPER(W151)),6,1))&gt;=48,CODE(MID(TRIM(UPPER(W151)),6,1))&lt;=57,CODE(MID(TRIM(UPPER(W151)),7,1))&gt;=48,CODE(MID(TRIM(UPPER(W151)),7,1))&lt;=57,CODE(MID(TRIM(UPPER(W151)),8,1))&gt;=48,CODE(MID(TRIM(UPPER(W151)),8,1))&lt;=57,CODE(MID(TRIM(UPPER(W151)),9,1))&gt;=48,CODE(MID(TRIM(UPPER(W151)),9,1))&lt;=57),"N","Y"),IF($B151="Challan","",IF(W151&lt;&gt;"","◄ Set Row Type","")))</f>
      </c>
      <c r="Y151" s="23">
        <f>IF($B151="Entry",IF(LEN(W151)&lt;4,"",IF(UPPER(MID(W151,4,1))="P","Individual",IF(UPPER(MID(W151,4,1))="H","HUF",IF(UPPER(MID(W151,4,1))="C","Company",IF(UPPER(MID(W151,4,1))="F","Firm",IF(UPPER(MID(W151,4,1))="L","LLP",IF(UPPER(MID(W151,4,1))="T","Trust",IF(UPPER(MID(W151,4,1))="A","AOP","")))))))),IF($B151="Challan","",IF(W151&lt;&gt;"","◄ Set Row Type","")))</f>
      </c>
      <c r="Z151" s="28"/>
      <c r="AA151" s="29">
        <f>IF($B151&lt;&gt;"Entry","",IF(Z151="","",IF(X151="Y",SUMPRODUCT(('Rate Lookup'!$A$1:$A$37=Z151)*'Rate Lookup'!$D$1:$D$37),IF(OR(Y151="Individual",Y151="HUF"),SUMPRODUCT(('Rate Lookup'!$A$1:$A$37=Z151)*'Rate Lookup'!$B$1:$B$37),SUMPRODUCT(('Rate Lookup'!$A$1:$A$37=Z151)*'Rate Lookup'!$C$1:$C$37)))))</f>
      </c>
      <c r="AB151" s="30"/>
      <c r="AC151" s="31"/>
      <c r="AD151" s="27">
        <f>IF($B151&lt;&gt;"Entry","",ROUND(AC151*AA151/100,0))</f>
      </c>
      <c r="AE151" s="27">
        <f>IF($B151&lt;&gt;"Entry","",0)</f>
      </c>
      <c r="AF151" s="27">
        <f>IF($B151&lt;&gt;"Entry","",0)</f>
      </c>
      <c r="AG151" s="27">
        <f>IF($B151&lt;&gt;"Entry","",IF(OR(AD151=0,AB151="",AQ151="",AQ151&lt;=0),0,IF(AQ151&lt;=DATE(YEAR(AB151),MONTH(AB151)+1,7),0,ROUND(AD151*0.015*((YEAR(AQ151)-YEAR(AB151))*12+(MONTH(AQ151)-MONTH(AB151))+1),0))))</f>
      </c>
      <c r="AH151" s="27">
        <f>IF($B151&lt;&gt;"Entry","",0)</f>
      </c>
      <c r="AI151" s="28"/>
      <c r="AJ151" s="28"/>
      <c r="AK151" s="32"/>
      <c r="AL151" s="28"/>
      <c r="AM151" s="28"/>
      <c r="AN151" s="27">
        <f>IF($B151&lt;&gt;"Challan","",SUMIF('Q1 Data'!$D$4:$D$207,D151,'Q1 Data'!$AD$4:$AD$207)+SUMIF('Q1 Data'!$D$4:$D$207,D151,'Q1 Data'!$AG$4:$AG$207)+SUMIF('Q1 Data'!$D$4:$D$207,D151,'Q1 Data'!$AE$4:$AE$207)+SUMIF('Q2 Data'!$D$4:$D$207,D151,'Q2 Data'!$AD$4:$AD$207)+SUMIF('Q2 Data'!$D$4:$D$207,D151,'Q2 Data'!$AG$4:$AG$207)+SUMIF('Q2 Data'!$D$4:$D$207,D151,'Q2 Data'!$AE$4:$AE$207)+SUMIF('Q3 Data'!$D$4:$D$207,D151,'Q3 Data'!$AD$4:$AD$207)+SUMIF('Q3 Data'!$D$4:$D$207,D151,'Q3 Data'!$AG$4:$AG$207)+SUMIF('Q3 Data'!$D$4:$D$207,D151,'Q3 Data'!$AE$4:$AE$207)+SUMIF('Q4 Data'!$D$4:$D$207,D151,'Q4 Data'!$AD$4:$AD$207)+SUMIF('Q4 Data'!$D$4:$D$207,D151,'Q4 Data'!$AG$4:$AG$207)+SUMIF('Q4 Data'!$D$4:$D$207,D151,'Q4 Data'!$AE$4:$AE$207))</f>
      </c>
      <c r="AO151" s="27">
        <f>IF($B151&lt;&gt;"Challan","",P151-N151)</f>
      </c>
      <c r="AP151" s="27">
        <f>IF($B151&lt;&gt;"Challan","",MAX(0,AO151-AN151))</f>
      </c>
      <c r="AQ151" s="33">
        <f>IF($B151&lt;&gt;"Entry","",SUMPRODUCT(('Q1 Data'!$D$4:$D$207=D151)*('Q1 Data'!$B$4:$B$207="Challan")*'Q1 Data'!$F$4:$F$207)+SUMPRODUCT(('Q2 Data'!$D$4:$D$207=D151)*('Q2 Data'!$B$4:$B$207="Challan")*'Q2 Data'!$F$4:$F$207)+SUMPRODUCT(('Q3 Data'!$D$4:$D$207=D151)*('Q3 Data'!$B$4:$B$207="Challan")*'Q3 Data'!$F$4:$F$207)+SUMPRODUCT(('Q4 Data'!$D$4:$D$207=D151)*('Q4 Data'!$B$4:$B$207="Challan")*'Q4 Data'!$F$4:$F$207))</f>
      </c>
      <c r="AR151" s="34">
        <f>IF(OR($B151&lt;&gt;"Entry",Z151=""),FALSE,AND((SUMPRODUCT(('Q1 Data'!$D$4:$D$207=D151)*('Q1 Data'!$B$4:$B$207="Challan")*('Q1 Data'!$H$4:$H$207&lt;&gt;""))+SUMPRODUCT(('Q2 Data'!$D$4:$D$207=D151)*('Q2 Data'!$B$4:$B$207="Challan")*('Q2 Data'!$H$4:$H$207&lt;&gt;""))+SUMPRODUCT(('Q3 Data'!$D$4:$D$207=D151)*('Q3 Data'!$B$4:$B$207="Challan")*('Q3 Data'!$H$4:$H$207&lt;&gt;""))+SUMPRODUCT(('Q4 Data'!$D$4:$D$207=D151)*('Q4 Data'!$B$4:$B$207="Challan")*('Q4 Data'!$H$4:$H$207&lt;&gt;"")))&gt;0,(SUMPRODUCT(('Q1 Data'!$D$4:$D$207=D151)*('Q1 Data'!$B$4:$B$207="Challan")*('Q1 Data'!$H$4:$H$207=Z151))+SUMPRODUCT(('Q2 Data'!$D$4:$D$207=D151)*('Q2 Data'!$B$4:$B$207="Challan")*('Q2 Data'!$H$4:$H$207=Z151))+SUMPRODUCT(('Q3 Data'!$D$4:$D$207=D151)*('Q3 Data'!$B$4:$B$207="Challan")*('Q3 Data'!$H$4:$H$207=Z151))+SUMPRODUCT(('Q4 Data'!$D$4:$D$207=D151)*('Q4 Data'!$B$4:$B$207="Challan")*('Q4 Data'!$H$4:$H$207=Z151)))=0))</f>
      </c>
    </row>
    <row r="152" spans="1:44" x14ac:dyDescent="0.25">
      <c r="A152" s="20">
        <f>IF($B152="Entry",COUNTIF($B$4:$B152,"Entry"),"")</f>
      </c>
      <c r="B152" s="21"/>
      <c r="C152" s="22"/>
      <c r="D152" s="22"/>
      <c r="E152" s="23">
        <f>IF($B152&lt;&gt;"Challan","",IF(ROUND(AN152-AO152,2)&gt;0,"Over-applied",IF(ROUND(AN152-AO152,2)=0,"Fully Utilised","Unconsumed")))</f>
      </c>
      <c r="F152" s="24"/>
      <c r="G152" s="25"/>
      <c r="H152" s="25"/>
      <c r="I152" s="26"/>
      <c r="J152" s="26"/>
      <c r="K152" s="26"/>
      <c r="L152" s="26"/>
      <c r="M152" s="26"/>
      <c r="N152" s="26"/>
      <c r="O152" s="26"/>
      <c r="P152" s="27">
        <f>IF($B152&lt;&gt;"Challan","",I152+J152+K152+L152+M152+N152)</f>
      </c>
      <c r="Q152" s="25"/>
      <c r="R152" s="25"/>
      <c r="S152" s="25"/>
      <c r="T152" s="25"/>
      <c r="U152" s="25"/>
      <c r="V152" s="28"/>
      <c r="W152" s="28"/>
      <c r="X152" s="23">
        <f>IF($B152="Entry",IF(AND(LEN(TRIM(UPPER(W152)))=10,CODE(MID(TRIM(UPPER(W152)),1,1))&gt;=65,CODE(MID(TRIM(UPPER(W152)),1,1))&lt;=90,CODE(MID(TRIM(UPPER(W152)),2,1))&gt;=65,CODE(MID(TRIM(UPPER(W152)),2,1))&lt;=90,CODE(MID(TRIM(UPPER(W152)),3,1))&gt;=65,CODE(MID(TRIM(UPPER(W152)),3,1))&lt;=90,CODE(MID(TRIM(UPPER(W152)),4,1))&gt;=65,CODE(MID(TRIM(UPPER(W152)),4,1))&lt;=90,CODE(MID(TRIM(UPPER(W152)),5,1))&gt;=65,CODE(MID(TRIM(UPPER(W152)),5,1))&lt;=90,CODE(MID(TRIM(UPPER(W152)),10,1))&gt;=65,CODE(MID(TRIM(UPPER(W152)),10,1))&lt;=90,CODE(MID(TRIM(UPPER(W152)),6,1))&gt;=48,CODE(MID(TRIM(UPPER(W152)),6,1))&lt;=57,CODE(MID(TRIM(UPPER(W152)),7,1))&gt;=48,CODE(MID(TRIM(UPPER(W152)),7,1))&lt;=57,CODE(MID(TRIM(UPPER(W152)),8,1))&gt;=48,CODE(MID(TRIM(UPPER(W152)),8,1))&lt;=57,CODE(MID(TRIM(UPPER(W152)),9,1))&gt;=48,CODE(MID(TRIM(UPPER(W152)),9,1))&lt;=57),"N","Y"),IF($B152="Challan","",IF(W152&lt;&gt;"","◄ Set Row Type","")))</f>
      </c>
      <c r="Y152" s="23">
        <f>IF($B152="Entry",IF(LEN(W152)&lt;4,"",IF(UPPER(MID(W152,4,1))="P","Individual",IF(UPPER(MID(W152,4,1))="H","HUF",IF(UPPER(MID(W152,4,1))="C","Company",IF(UPPER(MID(W152,4,1))="F","Firm",IF(UPPER(MID(W152,4,1))="L","LLP",IF(UPPER(MID(W152,4,1))="T","Trust",IF(UPPER(MID(W152,4,1))="A","AOP","")))))))),IF($B152="Challan","",IF(W152&lt;&gt;"","◄ Set Row Type","")))</f>
      </c>
      <c r="Z152" s="28"/>
      <c r="AA152" s="29">
        <f>IF($B152&lt;&gt;"Entry","",IF(Z152="","",IF(X152="Y",SUMPRODUCT(('Rate Lookup'!$A$1:$A$37=Z152)*'Rate Lookup'!$D$1:$D$37),IF(OR(Y152="Individual",Y152="HUF"),SUMPRODUCT(('Rate Lookup'!$A$1:$A$37=Z152)*'Rate Lookup'!$B$1:$B$37),SUMPRODUCT(('Rate Lookup'!$A$1:$A$37=Z152)*'Rate Lookup'!$C$1:$C$37)))))</f>
      </c>
      <c r="AB152" s="30"/>
      <c r="AC152" s="31"/>
      <c r="AD152" s="27">
        <f>IF($B152&lt;&gt;"Entry","",ROUND(AC152*AA152/100,0))</f>
      </c>
      <c r="AE152" s="27">
        <f>IF($B152&lt;&gt;"Entry","",0)</f>
      </c>
      <c r="AF152" s="27">
        <f>IF($B152&lt;&gt;"Entry","",0)</f>
      </c>
      <c r="AG152" s="27">
        <f>IF($B152&lt;&gt;"Entry","",IF(OR(AD152=0,AB152="",AQ152="",AQ152&lt;=0),0,IF(AQ152&lt;=DATE(YEAR(AB152),MONTH(AB152)+1,7),0,ROUND(AD152*0.015*((YEAR(AQ152)-YEAR(AB152))*12+(MONTH(AQ152)-MONTH(AB152))+1),0))))</f>
      </c>
      <c r="AH152" s="27">
        <f>IF($B152&lt;&gt;"Entry","",0)</f>
      </c>
      <c r="AI152" s="28"/>
      <c r="AJ152" s="28"/>
      <c r="AK152" s="32"/>
      <c r="AL152" s="28"/>
      <c r="AM152" s="28"/>
      <c r="AN152" s="27">
        <f>IF($B152&lt;&gt;"Challan","",SUMIF('Q1 Data'!$D$4:$D$207,D152,'Q1 Data'!$AD$4:$AD$207)+SUMIF('Q1 Data'!$D$4:$D$207,D152,'Q1 Data'!$AG$4:$AG$207)+SUMIF('Q1 Data'!$D$4:$D$207,D152,'Q1 Data'!$AE$4:$AE$207)+SUMIF('Q2 Data'!$D$4:$D$207,D152,'Q2 Data'!$AD$4:$AD$207)+SUMIF('Q2 Data'!$D$4:$D$207,D152,'Q2 Data'!$AG$4:$AG$207)+SUMIF('Q2 Data'!$D$4:$D$207,D152,'Q2 Data'!$AE$4:$AE$207)+SUMIF('Q3 Data'!$D$4:$D$207,D152,'Q3 Data'!$AD$4:$AD$207)+SUMIF('Q3 Data'!$D$4:$D$207,D152,'Q3 Data'!$AG$4:$AG$207)+SUMIF('Q3 Data'!$D$4:$D$207,D152,'Q3 Data'!$AE$4:$AE$207)+SUMIF('Q4 Data'!$D$4:$D$207,D152,'Q4 Data'!$AD$4:$AD$207)+SUMIF('Q4 Data'!$D$4:$D$207,D152,'Q4 Data'!$AG$4:$AG$207)+SUMIF('Q4 Data'!$D$4:$D$207,D152,'Q4 Data'!$AE$4:$AE$207))</f>
      </c>
      <c r="AO152" s="27">
        <f>IF($B152&lt;&gt;"Challan","",P152-N152)</f>
      </c>
      <c r="AP152" s="27">
        <f>IF($B152&lt;&gt;"Challan","",MAX(0,AO152-AN152))</f>
      </c>
      <c r="AQ152" s="33">
        <f>IF($B152&lt;&gt;"Entry","",SUMPRODUCT(('Q1 Data'!$D$4:$D$207=D152)*('Q1 Data'!$B$4:$B$207="Challan")*'Q1 Data'!$F$4:$F$207)+SUMPRODUCT(('Q2 Data'!$D$4:$D$207=D152)*('Q2 Data'!$B$4:$B$207="Challan")*'Q2 Data'!$F$4:$F$207)+SUMPRODUCT(('Q3 Data'!$D$4:$D$207=D152)*('Q3 Data'!$B$4:$B$207="Challan")*'Q3 Data'!$F$4:$F$207)+SUMPRODUCT(('Q4 Data'!$D$4:$D$207=D152)*('Q4 Data'!$B$4:$B$207="Challan")*'Q4 Data'!$F$4:$F$207))</f>
      </c>
      <c r="AR152" s="34">
        <f>IF(OR($B152&lt;&gt;"Entry",Z152=""),FALSE,AND((SUMPRODUCT(('Q1 Data'!$D$4:$D$207=D152)*('Q1 Data'!$B$4:$B$207="Challan")*('Q1 Data'!$H$4:$H$207&lt;&gt;""))+SUMPRODUCT(('Q2 Data'!$D$4:$D$207=D152)*('Q2 Data'!$B$4:$B$207="Challan")*('Q2 Data'!$H$4:$H$207&lt;&gt;""))+SUMPRODUCT(('Q3 Data'!$D$4:$D$207=D152)*('Q3 Data'!$B$4:$B$207="Challan")*('Q3 Data'!$H$4:$H$207&lt;&gt;""))+SUMPRODUCT(('Q4 Data'!$D$4:$D$207=D152)*('Q4 Data'!$B$4:$B$207="Challan")*('Q4 Data'!$H$4:$H$207&lt;&gt;"")))&gt;0,(SUMPRODUCT(('Q1 Data'!$D$4:$D$207=D152)*('Q1 Data'!$B$4:$B$207="Challan")*('Q1 Data'!$H$4:$H$207=Z152))+SUMPRODUCT(('Q2 Data'!$D$4:$D$207=D152)*('Q2 Data'!$B$4:$B$207="Challan")*('Q2 Data'!$H$4:$H$207=Z152))+SUMPRODUCT(('Q3 Data'!$D$4:$D$207=D152)*('Q3 Data'!$B$4:$B$207="Challan")*('Q3 Data'!$H$4:$H$207=Z152))+SUMPRODUCT(('Q4 Data'!$D$4:$D$207=D152)*('Q4 Data'!$B$4:$B$207="Challan")*('Q4 Data'!$H$4:$H$207=Z152)))=0))</f>
      </c>
    </row>
    <row r="153" spans="1:44" x14ac:dyDescent="0.25">
      <c r="A153" s="20">
        <f>IF($B153="Entry",COUNTIF($B$4:$B153,"Entry"),"")</f>
      </c>
      <c r="B153" s="21"/>
      <c r="C153" s="22"/>
      <c r="D153" s="22"/>
      <c r="E153" s="23">
        <f>IF($B153&lt;&gt;"Challan","",IF(ROUND(AN153-AO153,2)&gt;0,"Over-applied",IF(ROUND(AN153-AO153,2)=0,"Fully Utilised","Unconsumed")))</f>
      </c>
      <c r="F153" s="24"/>
      <c r="G153" s="25"/>
      <c r="H153" s="25"/>
      <c r="I153" s="26"/>
      <c r="J153" s="26"/>
      <c r="K153" s="26"/>
      <c r="L153" s="26"/>
      <c r="M153" s="26"/>
      <c r="N153" s="26"/>
      <c r="O153" s="26"/>
      <c r="P153" s="27">
        <f>IF($B153&lt;&gt;"Challan","",I153+J153+K153+L153+M153+N153)</f>
      </c>
      <c r="Q153" s="25"/>
      <c r="R153" s="25"/>
      <c r="S153" s="25"/>
      <c r="T153" s="25"/>
      <c r="U153" s="25"/>
      <c r="V153" s="28"/>
      <c r="W153" s="28"/>
      <c r="X153" s="23">
        <f>IF($B153="Entry",IF(AND(LEN(TRIM(UPPER(W153)))=10,CODE(MID(TRIM(UPPER(W153)),1,1))&gt;=65,CODE(MID(TRIM(UPPER(W153)),1,1))&lt;=90,CODE(MID(TRIM(UPPER(W153)),2,1))&gt;=65,CODE(MID(TRIM(UPPER(W153)),2,1))&lt;=90,CODE(MID(TRIM(UPPER(W153)),3,1))&gt;=65,CODE(MID(TRIM(UPPER(W153)),3,1))&lt;=90,CODE(MID(TRIM(UPPER(W153)),4,1))&gt;=65,CODE(MID(TRIM(UPPER(W153)),4,1))&lt;=90,CODE(MID(TRIM(UPPER(W153)),5,1))&gt;=65,CODE(MID(TRIM(UPPER(W153)),5,1))&lt;=90,CODE(MID(TRIM(UPPER(W153)),10,1))&gt;=65,CODE(MID(TRIM(UPPER(W153)),10,1))&lt;=90,CODE(MID(TRIM(UPPER(W153)),6,1))&gt;=48,CODE(MID(TRIM(UPPER(W153)),6,1))&lt;=57,CODE(MID(TRIM(UPPER(W153)),7,1))&gt;=48,CODE(MID(TRIM(UPPER(W153)),7,1))&lt;=57,CODE(MID(TRIM(UPPER(W153)),8,1))&gt;=48,CODE(MID(TRIM(UPPER(W153)),8,1))&lt;=57,CODE(MID(TRIM(UPPER(W153)),9,1))&gt;=48,CODE(MID(TRIM(UPPER(W153)),9,1))&lt;=57),"N","Y"),IF($B153="Challan","",IF(W153&lt;&gt;"","◄ Set Row Type","")))</f>
      </c>
      <c r="Y153" s="23">
        <f>IF($B153="Entry",IF(LEN(W153)&lt;4,"",IF(UPPER(MID(W153,4,1))="P","Individual",IF(UPPER(MID(W153,4,1))="H","HUF",IF(UPPER(MID(W153,4,1))="C","Company",IF(UPPER(MID(W153,4,1))="F","Firm",IF(UPPER(MID(W153,4,1))="L","LLP",IF(UPPER(MID(W153,4,1))="T","Trust",IF(UPPER(MID(W153,4,1))="A","AOP","")))))))),IF($B153="Challan","",IF(W153&lt;&gt;"","◄ Set Row Type","")))</f>
      </c>
      <c r="Z153" s="28"/>
      <c r="AA153" s="29">
        <f>IF($B153&lt;&gt;"Entry","",IF(Z153="","",IF(X153="Y",SUMPRODUCT(('Rate Lookup'!$A$1:$A$37=Z153)*'Rate Lookup'!$D$1:$D$37),IF(OR(Y153="Individual",Y153="HUF"),SUMPRODUCT(('Rate Lookup'!$A$1:$A$37=Z153)*'Rate Lookup'!$B$1:$B$37),SUMPRODUCT(('Rate Lookup'!$A$1:$A$37=Z153)*'Rate Lookup'!$C$1:$C$37)))))</f>
      </c>
      <c r="AB153" s="30"/>
      <c r="AC153" s="31"/>
      <c r="AD153" s="27">
        <f>IF($B153&lt;&gt;"Entry","",ROUND(AC153*AA153/100,0))</f>
      </c>
      <c r="AE153" s="27">
        <f>IF($B153&lt;&gt;"Entry","",0)</f>
      </c>
      <c r="AF153" s="27">
        <f>IF($B153&lt;&gt;"Entry","",0)</f>
      </c>
      <c r="AG153" s="27">
        <f>IF($B153&lt;&gt;"Entry","",IF(OR(AD153=0,AB153="",AQ153="",AQ153&lt;=0),0,IF(AQ153&lt;=DATE(YEAR(AB153),MONTH(AB153)+1,7),0,ROUND(AD153*0.015*((YEAR(AQ153)-YEAR(AB153))*12+(MONTH(AQ153)-MONTH(AB153))+1),0))))</f>
      </c>
      <c r="AH153" s="27">
        <f>IF($B153&lt;&gt;"Entry","",0)</f>
      </c>
      <c r="AI153" s="28"/>
      <c r="AJ153" s="28"/>
      <c r="AK153" s="32"/>
      <c r="AL153" s="28"/>
      <c r="AM153" s="28"/>
      <c r="AN153" s="27">
        <f>IF($B153&lt;&gt;"Challan","",SUMIF('Q1 Data'!$D$4:$D$207,D153,'Q1 Data'!$AD$4:$AD$207)+SUMIF('Q1 Data'!$D$4:$D$207,D153,'Q1 Data'!$AG$4:$AG$207)+SUMIF('Q1 Data'!$D$4:$D$207,D153,'Q1 Data'!$AE$4:$AE$207)+SUMIF('Q2 Data'!$D$4:$D$207,D153,'Q2 Data'!$AD$4:$AD$207)+SUMIF('Q2 Data'!$D$4:$D$207,D153,'Q2 Data'!$AG$4:$AG$207)+SUMIF('Q2 Data'!$D$4:$D$207,D153,'Q2 Data'!$AE$4:$AE$207)+SUMIF('Q3 Data'!$D$4:$D$207,D153,'Q3 Data'!$AD$4:$AD$207)+SUMIF('Q3 Data'!$D$4:$D$207,D153,'Q3 Data'!$AG$4:$AG$207)+SUMIF('Q3 Data'!$D$4:$D$207,D153,'Q3 Data'!$AE$4:$AE$207)+SUMIF('Q4 Data'!$D$4:$D$207,D153,'Q4 Data'!$AD$4:$AD$207)+SUMIF('Q4 Data'!$D$4:$D$207,D153,'Q4 Data'!$AG$4:$AG$207)+SUMIF('Q4 Data'!$D$4:$D$207,D153,'Q4 Data'!$AE$4:$AE$207))</f>
      </c>
      <c r="AO153" s="27">
        <f>IF($B153&lt;&gt;"Challan","",P153-N153)</f>
      </c>
      <c r="AP153" s="27">
        <f>IF($B153&lt;&gt;"Challan","",MAX(0,AO153-AN153))</f>
      </c>
      <c r="AQ153" s="33">
        <f>IF($B153&lt;&gt;"Entry","",SUMPRODUCT(('Q1 Data'!$D$4:$D$207=D153)*('Q1 Data'!$B$4:$B$207="Challan")*'Q1 Data'!$F$4:$F$207)+SUMPRODUCT(('Q2 Data'!$D$4:$D$207=D153)*('Q2 Data'!$B$4:$B$207="Challan")*'Q2 Data'!$F$4:$F$207)+SUMPRODUCT(('Q3 Data'!$D$4:$D$207=D153)*('Q3 Data'!$B$4:$B$207="Challan")*'Q3 Data'!$F$4:$F$207)+SUMPRODUCT(('Q4 Data'!$D$4:$D$207=D153)*('Q4 Data'!$B$4:$B$207="Challan")*'Q4 Data'!$F$4:$F$207))</f>
      </c>
      <c r="AR153" s="34">
        <f>IF(OR($B153&lt;&gt;"Entry",Z153=""),FALSE,AND((SUMPRODUCT(('Q1 Data'!$D$4:$D$207=D153)*('Q1 Data'!$B$4:$B$207="Challan")*('Q1 Data'!$H$4:$H$207&lt;&gt;""))+SUMPRODUCT(('Q2 Data'!$D$4:$D$207=D153)*('Q2 Data'!$B$4:$B$207="Challan")*('Q2 Data'!$H$4:$H$207&lt;&gt;""))+SUMPRODUCT(('Q3 Data'!$D$4:$D$207=D153)*('Q3 Data'!$B$4:$B$207="Challan")*('Q3 Data'!$H$4:$H$207&lt;&gt;""))+SUMPRODUCT(('Q4 Data'!$D$4:$D$207=D153)*('Q4 Data'!$B$4:$B$207="Challan")*('Q4 Data'!$H$4:$H$207&lt;&gt;"")))&gt;0,(SUMPRODUCT(('Q1 Data'!$D$4:$D$207=D153)*('Q1 Data'!$B$4:$B$207="Challan")*('Q1 Data'!$H$4:$H$207=Z153))+SUMPRODUCT(('Q2 Data'!$D$4:$D$207=D153)*('Q2 Data'!$B$4:$B$207="Challan")*('Q2 Data'!$H$4:$H$207=Z153))+SUMPRODUCT(('Q3 Data'!$D$4:$D$207=D153)*('Q3 Data'!$B$4:$B$207="Challan")*('Q3 Data'!$H$4:$H$207=Z153))+SUMPRODUCT(('Q4 Data'!$D$4:$D$207=D153)*('Q4 Data'!$B$4:$B$207="Challan")*('Q4 Data'!$H$4:$H$207=Z153)))=0))</f>
      </c>
    </row>
    <row r="154" spans="1:44" x14ac:dyDescent="0.25">
      <c r="A154" s="20">
        <f>IF($B154="Entry",COUNTIF($B$4:$B154,"Entry"),"")</f>
      </c>
      <c r="B154" s="21"/>
      <c r="C154" s="22"/>
      <c r="D154" s="22"/>
      <c r="E154" s="23">
        <f>IF($B154&lt;&gt;"Challan","",IF(ROUND(AN154-AO154,2)&gt;0,"Over-applied",IF(ROUND(AN154-AO154,2)=0,"Fully Utilised","Unconsumed")))</f>
      </c>
      <c r="F154" s="24"/>
      <c r="G154" s="25"/>
      <c r="H154" s="25"/>
      <c r="I154" s="26"/>
      <c r="J154" s="26"/>
      <c r="K154" s="26"/>
      <c r="L154" s="26"/>
      <c r="M154" s="26"/>
      <c r="N154" s="26"/>
      <c r="O154" s="26"/>
      <c r="P154" s="27">
        <f>IF($B154&lt;&gt;"Challan","",I154+J154+K154+L154+M154+N154)</f>
      </c>
      <c r="Q154" s="25"/>
      <c r="R154" s="25"/>
      <c r="S154" s="25"/>
      <c r="T154" s="25"/>
      <c r="U154" s="25"/>
      <c r="V154" s="28"/>
      <c r="W154" s="28"/>
      <c r="X154" s="23">
        <f>IF($B154="Entry",IF(AND(LEN(TRIM(UPPER(W154)))=10,CODE(MID(TRIM(UPPER(W154)),1,1))&gt;=65,CODE(MID(TRIM(UPPER(W154)),1,1))&lt;=90,CODE(MID(TRIM(UPPER(W154)),2,1))&gt;=65,CODE(MID(TRIM(UPPER(W154)),2,1))&lt;=90,CODE(MID(TRIM(UPPER(W154)),3,1))&gt;=65,CODE(MID(TRIM(UPPER(W154)),3,1))&lt;=90,CODE(MID(TRIM(UPPER(W154)),4,1))&gt;=65,CODE(MID(TRIM(UPPER(W154)),4,1))&lt;=90,CODE(MID(TRIM(UPPER(W154)),5,1))&gt;=65,CODE(MID(TRIM(UPPER(W154)),5,1))&lt;=90,CODE(MID(TRIM(UPPER(W154)),10,1))&gt;=65,CODE(MID(TRIM(UPPER(W154)),10,1))&lt;=90,CODE(MID(TRIM(UPPER(W154)),6,1))&gt;=48,CODE(MID(TRIM(UPPER(W154)),6,1))&lt;=57,CODE(MID(TRIM(UPPER(W154)),7,1))&gt;=48,CODE(MID(TRIM(UPPER(W154)),7,1))&lt;=57,CODE(MID(TRIM(UPPER(W154)),8,1))&gt;=48,CODE(MID(TRIM(UPPER(W154)),8,1))&lt;=57,CODE(MID(TRIM(UPPER(W154)),9,1))&gt;=48,CODE(MID(TRIM(UPPER(W154)),9,1))&lt;=57),"N","Y"),IF($B154="Challan","",IF(W154&lt;&gt;"","◄ Set Row Type","")))</f>
      </c>
      <c r="Y154" s="23">
        <f>IF($B154="Entry",IF(LEN(W154)&lt;4,"",IF(UPPER(MID(W154,4,1))="P","Individual",IF(UPPER(MID(W154,4,1))="H","HUF",IF(UPPER(MID(W154,4,1))="C","Company",IF(UPPER(MID(W154,4,1))="F","Firm",IF(UPPER(MID(W154,4,1))="L","LLP",IF(UPPER(MID(W154,4,1))="T","Trust",IF(UPPER(MID(W154,4,1))="A","AOP","")))))))),IF($B154="Challan","",IF(W154&lt;&gt;"","◄ Set Row Type","")))</f>
      </c>
      <c r="Z154" s="28"/>
      <c r="AA154" s="29">
        <f>IF($B154&lt;&gt;"Entry","",IF(Z154="","",IF(X154="Y",SUMPRODUCT(('Rate Lookup'!$A$1:$A$37=Z154)*'Rate Lookup'!$D$1:$D$37),IF(OR(Y154="Individual",Y154="HUF"),SUMPRODUCT(('Rate Lookup'!$A$1:$A$37=Z154)*'Rate Lookup'!$B$1:$B$37),SUMPRODUCT(('Rate Lookup'!$A$1:$A$37=Z154)*'Rate Lookup'!$C$1:$C$37)))))</f>
      </c>
      <c r="AB154" s="30"/>
      <c r="AC154" s="31"/>
      <c r="AD154" s="27">
        <f>IF($B154&lt;&gt;"Entry","",ROUND(AC154*AA154/100,0))</f>
      </c>
      <c r="AE154" s="27">
        <f>IF($B154&lt;&gt;"Entry","",0)</f>
      </c>
      <c r="AF154" s="27">
        <f>IF($B154&lt;&gt;"Entry","",0)</f>
      </c>
      <c r="AG154" s="27">
        <f>IF($B154&lt;&gt;"Entry","",IF(OR(AD154=0,AB154="",AQ154="",AQ154&lt;=0),0,IF(AQ154&lt;=DATE(YEAR(AB154),MONTH(AB154)+1,7),0,ROUND(AD154*0.015*((YEAR(AQ154)-YEAR(AB154))*12+(MONTH(AQ154)-MONTH(AB154))+1),0))))</f>
      </c>
      <c r="AH154" s="27">
        <f>IF($B154&lt;&gt;"Entry","",0)</f>
      </c>
      <c r="AI154" s="28"/>
      <c r="AJ154" s="28"/>
      <c r="AK154" s="32"/>
      <c r="AL154" s="28"/>
      <c r="AM154" s="28"/>
      <c r="AN154" s="27">
        <f>IF($B154&lt;&gt;"Challan","",SUMIF('Q1 Data'!$D$4:$D$207,D154,'Q1 Data'!$AD$4:$AD$207)+SUMIF('Q1 Data'!$D$4:$D$207,D154,'Q1 Data'!$AG$4:$AG$207)+SUMIF('Q1 Data'!$D$4:$D$207,D154,'Q1 Data'!$AE$4:$AE$207)+SUMIF('Q2 Data'!$D$4:$D$207,D154,'Q2 Data'!$AD$4:$AD$207)+SUMIF('Q2 Data'!$D$4:$D$207,D154,'Q2 Data'!$AG$4:$AG$207)+SUMIF('Q2 Data'!$D$4:$D$207,D154,'Q2 Data'!$AE$4:$AE$207)+SUMIF('Q3 Data'!$D$4:$D$207,D154,'Q3 Data'!$AD$4:$AD$207)+SUMIF('Q3 Data'!$D$4:$D$207,D154,'Q3 Data'!$AG$4:$AG$207)+SUMIF('Q3 Data'!$D$4:$D$207,D154,'Q3 Data'!$AE$4:$AE$207)+SUMIF('Q4 Data'!$D$4:$D$207,D154,'Q4 Data'!$AD$4:$AD$207)+SUMIF('Q4 Data'!$D$4:$D$207,D154,'Q4 Data'!$AG$4:$AG$207)+SUMIF('Q4 Data'!$D$4:$D$207,D154,'Q4 Data'!$AE$4:$AE$207))</f>
      </c>
      <c r="AO154" s="27">
        <f>IF($B154&lt;&gt;"Challan","",P154-N154)</f>
      </c>
      <c r="AP154" s="27">
        <f>IF($B154&lt;&gt;"Challan","",MAX(0,AO154-AN154))</f>
      </c>
      <c r="AQ154" s="33">
        <f>IF($B154&lt;&gt;"Entry","",SUMPRODUCT(('Q1 Data'!$D$4:$D$207=D154)*('Q1 Data'!$B$4:$B$207="Challan")*'Q1 Data'!$F$4:$F$207)+SUMPRODUCT(('Q2 Data'!$D$4:$D$207=D154)*('Q2 Data'!$B$4:$B$207="Challan")*'Q2 Data'!$F$4:$F$207)+SUMPRODUCT(('Q3 Data'!$D$4:$D$207=D154)*('Q3 Data'!$B$4:$B$207="Challan")*'Q3 Data'!$F$4:$F$207)+SUMPRODUCT(('Q4 Data'!$D$4:$D$207=D154)*('Q4 Data'!$B$4:$B$207="Challan")*'Q4 Data'!$F$4:$F$207))</f>
      </c>
      <c r="AR154" s="34">
        <f>IF(OR($B154&lt;&gt;"Entry",Z154=""),FALSE,AND((SUMPRODUCT(('Q1 Data'!$D$4:$D$207=D154)*('Q1 Data'!$B$4:$B$207="Challan")*('Q1 Data'!$H$4:$H$207&lt;&gt;""))+SUMPRODUCT(('Q2 Data'!$D$4:$D$207=D154)*('Q2 Data'!$B$4:$B$207="Challan")*('Q2 Data'!$H$4:$H$207&lt;&gt;""))+SUMPRODUCT(('Q3 Data'!$D$4:$D$207=D154)*('Q3 Data'!$B$4:$B$207="Challan")*('Q3 Data'!$H$4:$H$207&lt;&gt;""))+SUMPRODUCT(('Q4 Data'!$D$4:$D$207=D154)*('Q4 Data'!$B$4:$B$207="Challan")*('Q4 Data'!$H$4:$H$207&lt;&gt;"")))&gt;0,(SUMPRODUCT(('Q1 Data'!$D$4:$D$207=D154)*('Q1 Data'!$B$4:$B$207="Challan")*('Q1 Data'!$H$4:$H$207=Z154))+SUMPRODUCT(('Q2 Data'!$D$4:$D$207=D154)*('Q2 Data'!$B$4:$B$207="Challan")*('Q2 Data'!$H$4:$H$207=Z154))+SUMPRODUCT(('Q3 Data'!$D$4:$D$207=D154)*('Q3 Data'!$B$4:$B$207="Challan")*('Q3 Data'!$H$4:$H$207=Z154))+SUMPRODUCT(('Q4 Data'!$D$4:$D$207=D154)*('Q4 Data'!$B$4:$B$207="Challan")*('Q4 Data'!$H$4:$H$207=Z154)))=0))</f>
      </c>
    </row>
    <row r="155" spans="1:44" x14ac:dyDescent="0.25">
      <c r="A155" s="20">
        <f>IF($B155="Entry",COUNTIF($B$4:$B155,"Entry"),"")</f>
      </c>
      <c r="B155" s="21"/>
      <c r="C155" s="22"/>
      <c r="D155" s="22"/>
      <c r="E155" s="23">
        <f>IF($B155&lt;&gt;"Challan","",IF(ROUND(AN155-AO155,2)&gt;0,"Over-applied",IF(ROUND(AN155-AO155,2)=0,"Fully Utilised","Unconsumed")))</f>
      </c>
      <c r="F155" s="24"/>
      <c r="G155" s="25"/>
      <c r="H155" s="25"/>
      <c r="I155" s="26"/>
      <c r="J155" s="26"/>
      <c r="K155" s="26"/>
      <c r="L155" s="26"/>
      <c r="M155" s="26"/>
      <c r="N155" s="26"/>
      <c r="O155" s="26"/>
      <c r="P155" s="27">
        <f>IF($B155&lt;&gt;"Challan","",I155+J155+K155+L155+M155+N155)</f>
      </c>
      <c r="Q155" s="25"/>
      <c r="R155" s="25"/>
      <c r="S155" s="25"/>
      <c r="T155" s="25"/>
      <c r="U155" s="25"/>
      <c r="V155" s="28"/>
      <c r="W155" s="28"/>
      <c r="X155" s="23">
        <f>IF($B155="Entry",IF(AND(LEN(TRIM(UPPER(W155)))=10,CODE(MID(TRIM(UPPER(W155)),1,1))&gt;=65,CODE(MID(TRIM(UPPER(W155)),1,1))&lt;=90,CODE(MID(TRIM(UPPER(W155)),2,1))&gt;=65,CODE(MID(TRIM(UPPER(W155)),2,1))&lt;=90,CODE(MID(TRIM(UPPER(W155)),3,1))&gt;=65,CODE(MID(TRIM(UPPER(W155)),3,1))&lt;=90,CODE(MID(TRIM(UPPER(W155)),4,1))&gt;=65,CODE(MID(TRIM(UPPER(W155)),4,1))&lt;=90,CODE(MID(TRIM(UPPER(W155)),5,1))&gt;=65,CODE(MID(TRIM(UPPER(W155)),5,1))&lt;=90,CODE(MID(TRIM(UPPER(W155)),10,1))&gt;=65,CODE(MID(TRIM(UPPER(W155)),10,1))&lt;=90,CODE(MID(TRIM(UPPER(W155)),6,1))&gt;=48,CODE(MID(TRIM(UPPER(W155)),6,1))&lt;=57,CODE(MID(TRIM(UPPER(W155)),7,1))&gt;=48,CODE(MID(TRIM(UPPER(W155)),7,1))&lt;=57,CODE(MID(TRIM(UPPER(W155)),8,1))&gt;=48,CODE(MID(TRIM(UPPER(W155)),8,1))&lt;=57,CODE(MID(TRIM(UPPER(W155)),9,1))&gt;=48,CODE(MID(TRIM(UPPER(W155)),9,1))&lt;=57),"N","Y"),IF($B155="Challan","",IF(W155&lt;&gt;"","◄ Set Row Type","")))</f>
      </c>
      <c r="Y155" s="23">
        <f>IF($B155="Entry",IF(LEN(W155)&lt;4,"",IF(UPPER(MID(W155,4,1))="P","Individual",IF(UPPER(MID(W155,4,1))="H","HUF",IF(UPPER(MID(W155,4,1))="C","Company",IF(UPPER(MID(W155,4,1))="F","Firm",IF(UPPER(MID(W155,4,1))="L","LLP",IF(UPPER(MID(W155,4,1))="T","Trust",IF(UPPER(MID(W155,4,1))="A","AOP","")))))))),IF($B155="Challan","",IF(W155&lt;&gt;"","◄ Set Row Type","")))</f>
      </c>
      <c r="Z155" s="28"/>
      <c r="AA155" s="29">
        <f>IF($B155&lt;&gt;"Entry","",IF(Z155="","",IF(X155="Y",SUMPRODUCT(('Rate Lookup'!$A$1:$A$37=Z155)*'Rate Lookup'!$D$1:$D$37),IF(OR(Y155="Individual",Y155="HUF"),SUMPRODUCT(('Rate Lookup'!$A$1:$A$37=Z155)*'Rate Lookup'!$B$1:$B$37),SUMPRODUCT(('Rate Lookup'!$A$1:$A$37=Z155)*'Rate Lookup'!$C$1:$C$37)))))</f>
      </c>
      <c r="AB155" s="30"/>
      <c r="AC155" s="31"/>
      <c r="AD155" s="27">
        <f>IF($B155&lt;&gt;"Entry","",ROUND(AC155*AA155/100,0))</f>
      </c>
      <c r="AE155" s="27">
        <f>IF($B155&lt;&gt;"Entry","",0)</f>
      </c>
      <c r="AF155" s="27">
        <f>IF($B155&lt;&gt;"Entry","",0)</f>
      </c>
      <c r="AG155" s="27">
        <f>IF($B155&lt;&gt;"Entry","",IF(OR(AD155=0,AB155="",AQ155="",AQ155&lt;=0),0,IF(AQ155&lt;=DATE(YEAR(AB155),MONTH(AB155)+1,7),0,ROUND(AD155*0.015*((YEAR(AQ155)-YEAR(AB155))*12+(MONTH(AQ155)-MONTH(AB155))+1),0))))</f>
      </c>
      <c r="AH155" s="27">
        <f>IF($B155&lt;&gt;"Entry","",0)</f>
      </c>
      <c r="AI155" s="28"/>
      <c r="AJ155" s="28"/>
      <c r="AK155" s="32"/>
      <c r="AL155" s="28"/>
      <c r="AM155" s="28"/>
      <c r="AN155" s="27">
        <f>IF($B155&lt;&gt;"Challan","",SUMIF('Q1 Data'!$D$4:$D$207,D155,'Q1 Data'!$AD$4:$AD$207)+SUMIF('Q1 Data'!$D$4:$D$207,D155,'Q1 Data'!$AG$4:$AG$207)+SUMIF('Q1 Data'!$D$4:$D$207,D155,'Q1 Data'!$AE$4:$AE$207)+SUMIF('Q2 Data'!$D$4:$D$207,D155,'Q2 Data'!$AD$4:$AD$207)+SUMIF('Q2 Data'!$D$4:$D$207,D155,'Q2 Data'!$AG$4:$AG$207)+SUMIF('Q2 Data'!$D$4:$D$207,D155,'Q2 Data'!$AE$4:$AE$207)+SUMIF('Q3 Data'!$D$4:$D$207,D155,'Q3 Data'!$AD$4:$AD$207)+SUMIF('Q3 Data'!$D$4:$D$207,D155,'Q3 Data'!$AG$4:$AG$207)+SUMIF('Q3 Data'!$D$4:$D$207,D155,'Q3 Data'!$AE$4:$AE$207)+SUMIF('Q4 Data'!$D$4:$D$207,D155,'Q4 Data'!$AD$4:$AD$207)+SUMIF('Q4 Data'!$D$4:$D$207,D155,'Q4 Data'!$AG$4:$AG$207)+SUMIF('Q4 Data'!$D$4:$D$207,D155,'Q4 Data'!$AE$4:$AE$207))</f>
      </c>
      <c r="AO155" s="27">
        <f>IF($B155&lt;&gt;"Challan","",P155-N155)</f>
      </c>
      <c r="AP155" s="27">
        <f>IF($B155&lt;&gt;"Challan","",MAX(0,AO155-AN155))</f>
      </c>
      <c r="AQ155" s="33">
        <f>IF($B155&lt;&gt;"Entry","",SUMPRODUCT(('Q1 Data'!$D$4:$D$207=D155)*('Q1 Data'!$B$4:$B$207="Challan")*'Q1 Data'!$F$4:$F$207)+SUMPRODUCT(('Q2 Data'!$D$4:$D$207=D155)*('Q2 Data'!$B$4:$B$207="Challan")*'Q2 Data'!$F$4:$F$207)+SUMPRODUCT(('Q3 Data'!$D$4:$D$207=D155)*('Q3 Data'!$B$4:$B$207="Challan")*'Q3 Data'!$F$4:$F$207)+SUMPRODUCT(('Q4 Data'!$D$4:$D$207=D155)*('Q4 Data'!$B$4:$B$207="Challan")*'Q4 Data'!$F$4:$F$207))</f>
      </c>
      <c r="AR155" s="34">
        <f>IF(OR($B155&lt;&gt;"Entry",Z155=""),FALSE,AND((SUMPRODUCT(('Q1 Data'!$D$4:$D$207=D155)*('Q1 Data'!$B$4:$B$207="Challan")*('Q1 Data'!$H$4:$H$207&lt;&gt;""))+SUMPRODUCT(('Q2 Data'!$D$4:$D$207=D155)*('Q2 Data'!$B$4:$B$207="Challan")*('Q2 Data'!$H$4:$H$207&lt;&gt;""))+SUMPRODUCT(('Q3 Data'!$D$4:$D$207=D155)*('Q3 Data'!$B$4:$B$207="Challan")*('Q3 Data'!$H$4:$H$207&lt;&gt;""))+SUMPRODUCT(('Q4 Data'!$D$4:$D$207=D155)*('Q4 Data'!$B$4:$B$207="Challan")*('Q4 Data'!$H$4:$H$207&lt;&gt;"")))&gt;0,(SUMPRODUCT(('Q1 Data'!$D$4:$D$207=D155)*('Q1 Data'!$B$4:$B$207="Challan")*('Q1 Data'!$H$4:$H$207=Z155))+SUMPRODUCT(('Q2 Data'!$D$4:$D$207=D155)*('Q2 Data'!$B$4:$B$207="Challan")*('Q2 Data'!$H$4:$H$207=Z155))+SUMPRODUCT(('Q3 Data'!$D$4:$D$207=D155)*('Q3 Data'!$B$4:$B$207="Challan")*('Q3 Data'!$H$4:$H$207=Z155))+SUMPRODUCT(('Q4 Data'!$D$4:$D$207=D155)*('Q4 Data'!$B$4:$B$207="Challan")*('Q4 Data'!$H$4:$H$207=Z155)))=0))</f>
      </c>
    </row>
    <row r="156" spans="1:44" x14ac:dyDescent="0.25">
      <c r="A156" s="20">
        <f>IF($B156="Entry",COUNTIF($B$4:$B156,"Entry"),"")</f>
      </c>
      <c r="B156" s="21"/>
      <c r="C156" s="22"/>
      <c r="D156" s="22"/>
      <c r="E156" s="23">
        <f>IF($B156&lt;&gt;"Challan","",IF(ROUND(AN156-AO156,2)&gt;0,"Over-applied",IF(ROUND(AN156-AO156,2)=0,"Fully Utilised","Unconsumed")))</f>
      </c>
      <c r="F156" s="24"/>
      <c r="G156" s="25"/>
      <c r="H156" s="25"/>
      <c r="I156" s="26"/>
      <c r="J156" s="26"/>
      <c r="K156" s="26"/>
      <c r="L156" s="26"/>
      <c r="M156" s="26"/>
      <c r="N156" s="26"/>
      <c r="O156" s="26"/>
      <c r="P156" s="27">
        <f>IF($B156&lt;&gt;"Challan","",I156+J156+K156+L156+M156+N156)</f>
      </c>
      <c r="Q156" s="25"/>
      <c r="R156" s="25"/>
      <c r="S156" s="25"/>
      <c r="T156" s="25"/>
      <c r="U156" s="25"/>
      <c r="V156" s="28"/>
      <c r="W156" s="28"/>
      <c r="X156" s="23">
        <f>IF($B156="Entry",IF(AND(LEN(TRIM(UPPER(W156)))=10,CODE(MID(TRIM(UPPER(W156)),1,1))&gt;=65,CODE(MID(TRIM(UPPER(W156)),1,1))&lt;=90,CODE(MID(TRIM(UPPER(W156)),2,1))&gt;=65,CODE(MID(TRIM(UPPER(W156)),2,1))&lt;=90,CODE(MID(TRIM(UPPER(W156)),3,1))&gt;=65,CODE(MID(TRIM(UPPER(W156)),3,1))&lt;=90,CODE(MID(TRIM(UPPER(W156)),4,1))&gt;=65,CODE(MID(TRIM(UPPER(W156)),4,1))&lt;=90,CODE(MID(TRIM(UPPER(W156)),5,1))&gt;=65,CODE(MID(TRIM(UPPER(W156)),5,1))&lt;=90,CODE(MID(TRIM(UPPER(W156)),10,1))&gt;=65,CODE(MID(TRIM(UPPER(W156)),10,1))&lt;=90,CODE(MID(TRIM(UPPER(W156)),6,1))&gt;=48,CODE(MID(TRIM(UPPER(W156)),6,1))&lt;=57,CODE(MID(TRIM(UPPER(W156)),7,1))&gt;=48,CODE(MID(TRIM(UPPER(W156)),7,1))&lt;=57,CODE(MID(TRIM(UPPER(W156)),8,1))&gt;=48,CODE(MID(TRIM(UPPER(W156)),8,1))&lt;=57,CODE(MID(TRIM(UPPER(W156)),9,1))&gt;=48,CODE(MID(TRIM(UPPER(W156)),9,1))&lt;=57),"N","Y"),IF($B156="Challan","",IF(W156&lt;&gt;"","◄ Set Row Type","")))</f>
      </c>
      <c r="Y156" s="23">
        <f>IF($B156="Entry",IF(LEN(W156)&lt;4,"",IF(UPPER(MID(W156,4,1))="P","Individual",IF(UPPER(MID(W156,4,1))="H","HUF",IF(UPPER(MID(W156,4,1))="C","Company",IF(UPPER(MID(W156,4,1))="F","Firm",IF(UPPER(MID(W156,4,1))="L","LLP",IF(UPPER(MID(W156,4,1))="T","Trust",IF(UPPER(MID(W156,4,1))="A","AOP","")))))))),IF($B156="Challan","",IF(W156&lt;&gt;"","◄ Set Row Type","")))</f>
      </c>
      <c r="Z156" s="28"/>
      <c r="AA156" s="29">
        <f>IF($B156&lt;&gt;"Entry","",IF(Z156="","",IF(X156="Y",SUMPRODUCT(('Rate Lookup'!$A$1:$A$37=Z156)*'Rate Lookup'!$D$1:$D$37),IF(OR(Y156="Individual",Y156="HUF"),SUMPRODUCT(('Rate Lookup'!$A$1:$A$37=Z156)*'Rate Lookup'!$B$1:$B$37),SUMPRODUCT(('Rate Lookup'!$A$1:$A$37=Z156)*'Rate Lookup'!$C$1:$C$37)))))</f>
      </c>
      <c r="AB156" s="30"/>
      <c r="AC156" s="31"/>
      <c r="AD156" s="27">
        <f>IF($B156&lt;&gt;"Entry","",ROUND(AC156*AA156/100,0))</f>
      </c>
      <c r="AE156" s="27">
        <f>IF($B156&lt;&gt;"Entry","",0)</f>
      </c>
      <c r="AF156" s="27">
        <f>IF($B156&lt;&gt;"Entry","",0)</f>
      </c>
      <c r="AG156" s="27">
        <f>IF($B156&lt;&gt;"Entry","",IF(OR(AD156=0,AB156="",AQ156="",AQ156&lt;=0),0,IF(AQ156&lt;=DATE(YEAR(AB156),MONTH(AB156)+1,7),0,ROUND(AD156*0.015*((YEAR(AQ156)-YEAR(AB156))*12+(MONTH(AQ156)-MONTH(AB156))+1),0))))</f>
      </c>
      <c r="AH156" s="27">
        <f>IF($B156&lt;&gt;"Entry","",0)</f>
      </c>
      <c r="AI156" s="28"/>
      <c r="AJ156" s="28"/>
      <c r="AK156" s="32"/>
      <c r="AL156" s="28"/>
      <c r="AM156" s="28"/>
      <c r="AN156" s="27">
        <f>IF($B156&lt;&gt;"Challan","",SUMIF('Q1 Data'!$D$4:$D$207,D156,'Q1 Data'!$AD$4:$AD$207)+SUMIF('Q1 Data'!$D$4:$D$207,D156,'Q1 Data'!$AG$4:$AG$207)+SUMIF('Q1 Data'!$D$4:$D$207,D156,'Q1 Data'!$AE$4:$AE$207)+SUMIF('Q2 Data'!$D$4:$D$207,D156,'Q2 Data'!$AD$4:$AD$207)+SUMIF('Q2 Data'!$D$4:$D$207,D156,'Q2 Data'!$AG$4:$AG$207)+SUMIF('Q2 Data'!$D$4:$D$207,D156,'Q2 Data'!$AE$4:$AE$207)+SUMIF('Q3 Data'!$D$4:$D$207,D156,'Q3 Data'!$AD$4:$AD$207)+SUMIF('Q3 Data'!$D$4:$D$207,D156,'Q3 Data'!$AG$4:$AG$207)+SUMIF('Q3 Data'!$D$4:$D$207,D156,'Q3 Data'!$AE$4:$AE$207)+SUMIF('Q4 Data'!$D$4:$D$207,D156,'Q4 Data'!$AD$4:$AD$207)+SUMIF('Q4 Data'!$D$4:$D$207,D156,'Q4 Data'!$AG$4:$AG$207)+SUMIF('Q4 Data'!$D$4:$D$207,D156,'Q4 Data'!$AE$4:$AE$207))</f>
      </c>
      <c r="AO156" s="27">
        <f>IF($B156&lt;&gt;"Challan","",P156-N156)</f>
      </c>
      <c r="AP156" s="27">
        <f>IF($B156&lt;&gt;"Challan","",MAX(0,AO156-AN156))</f>
      </c>
      <c r="AQ156" s="33">
        <f>IF($B156&lt;&gt;"Entry","",SUMPRODUCT(('Q1 Data'!$D$4:$D$207=D156)*('Q1 Data'!$B$4:$B$207="Challan")*'Q1 Data'!$F$4:$F$207)+SUMPRODUCT(('Q2 Data'!$D$4:$D$207=D156)*('Q2 Data'!$B$4:$B$207="Challan")*'Q2 Data'!$F$4:$F$207)+SUMPRODUCT(('Q3 Data'!$D$4:$D$207=D156)*('Q3 Data'!$B$4:$B$207="Challan")*'Q3 Data'!$F$4:$F$207)+SUMPRODUCT(('Q4 Data'!$D$4:$D$207=D156)*('Q4 Data'!$B$4:$B$207="Challan")*'Q4 Data'!$F$4:$F$207))</f>
      </c>
      <c r="AR156" s="34">
        <f>IF(OR($B156&lt;&gt;"Entry",Z156=""),FALSE,AND((SUMPRODUCT(('Q1 Data'!$D$4:$D$207=D156)*('Q1 Data'!$B$4:$B$207="Challan")*('Q1 Data'!$H$4:$H$207&lt;&gt;""))+SUMPRODUCT(('Q2 Data'!$D$4:$D$207=D156)*('Q2 Data'!$B$4:$B$207="Challan")*('Q2 Data'!$H$4:$H$207&lt;&gt;""))+SUMPRODUCT(('Q3 Data'!$D$4:$D$207=D156)*('Q3 Data'!$B$4:$B$207="Challan")*('Q3 Data'!$H$4:$H$207&lt;&gt;""))+SUMPRODUCT(('Q4 Data'!$D$4:$D$207=D156)*('Q4 Data'!$B$4:$B$207="Challan")*('Q4 Data'!$H$4:$H$207&lt;&gt;"")))&gt;0,(SUMPRODUCT(('Q1 Data'!$D$4:$D$207=D156)*('Q1 Data'!$B$4:$B$207="Challan")*('Q1 Data'!$H$4:$H$207=Z156))+SUMPRODUCT(('Q2 Data'!$D$4:$D$207=D156)*('Q2 Data'!$B$4:$B$207="Challan")*('Q2 Data'!$H$4:$H$207=Z156))+SUMPRODUCT(('Q3 Data'!$D$4:$D$207=D156)*('Q3 Data'!$B$4:$B$207="Challan")*('Q3 Data'!$H$4:$H$207=Z156))+SUMPRODUCT(('Q4 Data'!$D$4:$D$207=D156)*('Q4 Data'!$B$4:$B$207="Challan")*('Q4 Data'!$H$4:$H$207=Z156)))=0))</f>
      </c>
    </row>
    <row r="157" spans="1:44" x14ac:dyDescent="0.25">
      <c r="A157" s="20">
        <f>IF($B157="Entry",COUNTIF($B$4:$B157,"Entry"),"")</f>
      </c>
      <c r="B157" s="21"/>
      <c r="C157" s="22"/>
      <c r="D157" s="22"/>
      <c r="E157" s="23">
        <f>IF($B157&lt;&gt;"Challan","",IF(ROUND(AN157-AO157,2)&gt;0,"Over-applied",IF(ROUND(AN157-AO157,2)=0,"Fully Utilised","Unconsumed")))</f>
      </c>
      <c r="F157" s="24"/>
      <c r="G157" s="25"/>
      <c r="H157" s="25"/>
      <c r="I157" s="26"/>
      <c r="J157" s="26"/>
      <c r="K157" s="26"/>
      <c r="L157" s="26"/>
      <c r="M157" s="26"/>
      <c r="N157" s="26"/>
      <c r="O157" s="26"/>
      <c r="P157" s="27">
        <f>IF($B157&lt;&gt;"Challan","",I157+J157+K157+L157+M157+N157)</f>
      </c>
      <c r="Q157" s="25"/>
      <c r="R157" s="25"/>
      <c r="S157" s="25"/>
      <c r="T157" s="25"/>
      <c r="U157" s="25"/>
      <c r="V157" s="28"/>
      <c r="W157" s="28"/>
      <c r="X157" s="23">
        <f>IF($B157="Entry",IF(AND(LEN(TRIM(UPPER(W157)))=10,CODE(MID(TRIM(UPPER(W157)),1,1))&gt;=65,CODE(MID(TRIM(UPPER(W157)),1,1))&lt;=90,CODE(MID(TRIM(UPPER(W157)),2,1))&gt;=65,CODE(MID(TRIM(UPPER(W157)),2,1))&lt;=90,CODE(MID(TRIM(UPPER(W157)),3,1))&gt;=65,CODE(MID(TRIM(UPPER(W157)),3,1))&lt;=90,CODE(MID(TRIM(UPPER(W157)),4,1))&gt;=65,CODE(MID(TRIM(UPPER(W157)),4,1))&lt;=90,CODE(MID(TRIM(UPPER(W157)),5,1))&gt;=65,CODE(MID(TRIM(UPPER(W157)),5,1))&lt;=90,CODE(MID(TRIM(UPPER(W157)),10,1))&gt;=65,CODE(MID(TRIM(UPPER(W157)),10,1))&lt;=90,CODE(MID(TRIM(UPPER(W157)),6,1))&gt;=48,CODE(MID(TRIM(UPPER(W157)),6,1))&lt;=57,CODE(MID(TRIM(UPPER(W157)),7,1))&gt;=48,CODE(MID(TRIM(UPPER(W157)),7,1))&lt;=57,CODE(MID(TRIM(UPPER(W157)),8,1))&gt;=48,CODE(MID(TRIM(UPPER(W157)),8,1))&lt;=57,CODE(MID(TRIM(UPPER(W157)),9,1))&gt;=48,CODE(MID(TRIM(UPPER(W157)),9,1))&lt;=57),"N","Y"),IF($B157="Challan","",IF(W157&lt;&gt;"","◄ Set Row Type","")))</f>
      </c>
      <c r="Y157" s="23">
        <f>IF($B157="Entry",IF(LEN(W157)&lt;4,"",IF(UPPER(MID(W157,4,1))="P","Individual",IF(UPPER(MID(W157,4,1))="H","HUF",IF(UPPER(MID(W157,4,1))="C","Company",IF(UPPER(MID(W157,4,1))="F","Firm",IF(UPPER(MID(W157,4,1))="L","LLP",IF(UPPER(MID(W157,4,1))="T","Trust",IF(UPPER(MID(W157,4,1))="A","AOP","")))))))),IF($B157="Challan","",IF(W157&lt;&gt;"","◄ Set Row Type","")))</f>
      </c>
      <c r="Z157" s="28"/>
      <c r="AA157" s="29">
        <f>IF($B157&lt;&gt;"Entry","",IF(Z157="","",IF(X157="Y",SUMPRODUCT(('Rate Lookup'!$A$1:$A$37=Z157)*'Rate Lookup'!$D$1:$D$37),IF(OR(Y157="Individual",Y157="HUF"),SUMPRODUCT(('Rate Lookup'!$A$1:$A$37=Z157)*'Rate Lookup'!$B$1:$B$37),SUMPRODUCT(('Rate Lookup'!$A$1:$A$37=Z157)*'Rate Lookup'!$C$1:$C$37)))))</f>
      </c>
      <c r="AB157" s="30"/>
      <c r="AC157" s="31"/>
      <c r="AD157" s="27">
        <f>IF($B157&lt;&gt;"Entry","",ROUND(AC157*AA157/100,0))</f>
      </c>
      <c r="AE157" s="27">
        <f>IF($B157&lt;&gt;"Entry","",0)</f>
      </c>
      <c r="AF157" s="27">
        <f>IF($B157&lt;&gt;"Entry","",0)</f>
      </c>
      <c r="AG157" s="27">
        <f>IF($B157&lt;&gt;"Entry","",IF(OR(AD157=0,AB157="",AQ157="",AQ157&lt;=0),0,IF(AQ157&lt;=DATE(YEAR(AB157),MONTH(AB157)+1,7),0,ROUND(AD157*0.015*((YEAR(AQ157)-YEAR(AB157))*12+(MONTH(AQ157)-MONTH(AB157))+1),0))))</f>
      </c>
      <c r="AH157" s="27">
        <f>IF($B157&lt;&gt;"Entry","",0)</f>
      </c>
      <c r="AI157" s="28"/>
      <c r="AJ157" s="28"/>
      <c r="AK157" s="32"/>
      <c r="AL157" s="28"/>
      <c r="AM157" s="28"/>
      <c r="AN157" s="27">
        <f>IF($B157&lt;&gt;"Challan","",SUMIF('Q1 Data'!$D$4:$D$207,D157,'Q1 Data'!$AD$4:$AD$207)+SUMIF('Q1 Data'!$D$4:$D$207,D157,'Q1 Data'!$AG$4:$AG$207)+SUMIF('Q1 Data'!$D$4:$D$207,D157,'Q1 Data'!$AE$4:$AE$207)+SUMIF('Q2 Data'!$D$4:$D$207,D157,'Q2 Data'!$AD$4:$AD$207)+SUMIF('Q2 Data'!$D$4:$D$207,D157,'Q2 Data'!$AG$4:$AG$207)+SUMIF('Q2 Data'!$D$4:$D$207,D157,'Q2 Data'!$AE$4:$AE$207)+SUMIF('Q3 Data'!$D$4:$D$207,D157,'Q3 Data'!$AD$4:$AD$207)+SUMIF('Q3 Data'!$D$4:$D$207,D157,'Q3 Data'!$AG$4:$AG$207)+SUMIF('Q3 Data'!$D$4:$D$207,D157,'Q3 Data'!$AE$4:$AE$207)+SUMIF('Q4 Data'!$D$4:$D$207,D157,'Q4 Data'!$AD$4:$AD$207)+SUMIF('Q4 Data'!$D$4:$D$207,D157,'Q4 Data'!$AG$4:$AG$207)+SUMIF('Q4 Data'!$D$4:$D$207,D157,'Q4 Data'!$AE$4:$AE$207))</f>
      </c>
      <c r="AO157" s="27">
        <f>IF($B157&lt;&gt;"Challan","",P157-N157)</f>
      </c>
      <c r="AP157" s="27">
        <f>IF($B157&lt;&gt;"Challan","",MAX(0,AO157-AN157))</f>
      </c>
      <c r="AQ157" s="33">
        <f>IF($B157&lt;&gt;"Entry","",SUMPRODUCT(('Q1 Data'!$D$4:$D$207=D157)*('Q1 Data'!$B$4:$B$207="Challan")*'Q1 Data'!$F$4:$F$207)+SUMPRODUCT(('Q2 Data'!$D$4:$D$207=D157)*('Q2 Data'!$B$4:$B$207="Challan")*'Q2 Data'!$F$4:$F$207)+SUMPRODUCT(('Q3 Data'!$D$4:$D$207=D157)*('Q3 Data'!$B$4:$B$207="Challan")*'Q3 Data'!$F$4:$F$207)+SUMPRODUCT(('Q4 Data'!$D$4:$D$207=D157)*('Q4 Data'!$B$4:$B$207="Challan")*'Q4 Data'!$F$4:$F$207))</f>
      </c>
      <c r="AR157" s="34">
        <f>IF(OR($B157&lt;&gt;"Entry",Z157=""),FALSE,AND((SUMPRODUCT(('Q1 Data'!$D$4:$D$207=D157)*('Q1 Data'!$B$4:$B$207="Challan")*('Q1 Data'!$H$4:$H$207&lt;&gt;""))+SUMPRODUCT(('Q2 Data'!$D$4:$D$207=D157)*('Q2 Data'!$B$4:$B$207="Challan")*('Q2 Data'!$H$4:$H$207&lt;&gt;""))+SUMPRODUCT(('Q3 Data'!$D$4:$D$207=D157)*('Q3 Data'!$B$4:$B$207="Challan")*('Q3 Data'!$H$4:$H$207&lt;&gt;""))+SUMPRODUCT(('Q4 Data'!$D$4:$D$207=D157)*('Q4 Data'!$B$4:$B$207="Challan")*('Q4 Data'!$H$4:$H$207&lt;&gt;"")))&gt;0,(SUMPRODUCT(('Q1 Data'!$D$4:$D$207=D157)*('Q1 Data'!$B$4:$B$207="Challan")*('Q1 Data'!$H$4:$H$207=Z157))+SUMPRODUCT(('Q2 Data'!$D$4:$D$207=D157)*('Q2 Data'!$B$4:$B$207="Challan")*('Q2 Data'!$H$4:$H$207=Z157))+SUMPRODUCT(('Q3 Data'!$D$4:$D$207=D157)*('Q3 Data'!$B$4:$B$207="Challan")*('Q3 Data'!$H$4:$H$207=Z157))+SUMPRODUCT(('Q4 Data'!$D$4:$D$207=D157)*('Q4 Data'!$B$4:$B$207="Challan")*('Q4 Data'!$H$4:$H$207=Z157)))=0))</f>
      </c>
    </row>
    <row r="158" spans="1:44" x14ac:dyDescent="0.25">
      <c r="A158" s="20">
        <f>IF($B158="Entry",COUNTIF($B$4:$B158,"Entry"),"")</f>
      </c>
      <c r="B158" s="21"/>
      <c r="C158" s="22"/>
      <c r="D158" s="22"/>
      <c r="E158" s="23">
        <f>IF($B158&lt;&gt;"Challan","",IF(ROUND(AN158-AO158,2)&gt;0,"Over-applied",IF(ROUND(AN158-AO158,2)=0,"Fully Utilised","Unconsumed")))</f>
      </c>
      <c r="F158" s="24"/>
      <c r="G158" s="25"/>
      <c r="H158" s="25"/>
      <c r="I158" s="26"/>
      <c r="J158" s="26"/>
      <c r="K158" s="26"/>
      <c r="L158" s="26"/>
      <c r="M158" s="26"/>
      <c r="N158" s="26"/>
      <c r="O158" s="26"/>
      <c r="P158" s="27">
        <f>IF($B158&lt;&gt;"Challan","",I158+J158+K158+L158+M158+N158)</f>
      </c>
      <c r="Q158" s="25"/>
      <c r="R158" s="25"/>
      <c r="S158" s="25"/>
      <c r="T158" s="25"/>
      <c r="U158" s="25"/>
      <c r="V158" s="28"/>
      <c r="W158" s="28"/>
      <c r="X158" s="23">
        <f>IF($B158="Entry",IF(AND(LEN(TRIM(UPPER(W158)))=10,CODE(MID(TRIM(UPPER(W158)),1,1))&gt;=65,CODE(MID(TRIM(UPPER(W158)),1,1))&lt;=90,CODE(MID(TRIM(UPPER(W158)),2,1))&gt;=65,CODE(MID(TRIM(UPPER(W158)),2,1))&lt;=90,CODE(MID(TRIM(UPPER(W158)),3,1))&gt;=65,CODE(MID(TRIM(UPPER(W158)),3,1))&lt;=90,CODE(MID(TRIM(UPPER(W158)),4,1))&gt;=65,CODE(MID(TRIM(UPPER(W158)),4,1))&lt;=90,CODE(MID(TRIM(UPPER(W158)),5,1))&gt;=65,CODE(MID(TRIM(UPPER(W158)),5,1))&lt;=90,CODE(MID(TRIM(UPPER(W158)),10,1))&gt;=65,CODE(MID(TRIM(UPPER(W158)),10,1))&lt;=90,CODE(MID(TRIM(UPPER(W158)),6,1))&gt;=48,CODE(MID(TRIM(UPPER(W158)),6,1))&lt;=57,CODE(MID(TRIM(UPPER(W158)),7,1))&gt;=48,CODE(MID(TRIM(UPPER(W158)),7,1))&lt;=57,CODE(MID(TRIM(UPPER(W158)),8,1))&gt;=48,CODE(MID(TRIM(UPPER(W158)),8,1))&lt;=57,CODE(MID(TRIM(UPPER(W158)),9,1))&gt;=48,CODE(MID(TRIM(UPPER(W158)),9,1))&lt;=57),"N","Y"),IF($B158="Challan","",IF(W158&lt;&gt;"","◄ Set Row Type","")))</f>
      </c>
      <c r="Y158" s="23">
        <f>IF($B158="Entry",IF(LEN(W158)&lt;4,"",IF(UPPER(MID(W158,4,1))="P","Individual",IF(UPPER(MID(W158,4,1))="H","HUF",IF(UPPER(MID(W158,4,1))="C","Company",IF(UPPER(MID(W158,4,1))="F","Firm",IF(UPPER(MID(W158,4,1))="L","LLP",IF(UPPER(MID(W158,4,1))="T","Trust",IF(UPPER(MID(W158,4,1))="A","AOP","")))))))),IF($B158="Challan","",IF(W158&lt;&gt;"","◄ Set Row Type","")))</f>
      </c>
      <c r="Z158" s="28"/>
      <c r="AA158" s="29">
        <f>IF($B158&lt;&gt;"Entry","",IF(Z158="","",IF(X158="Y",SUMPRODUCT(('Rate Lookup'!$A$1:$A$37=Z158)*'Rate Lookup'!$D$1:$D$37),IF(OR(Y158="Individual",Y158="HUF"),SUMPRODUCT(('Rate Lookup'!$A$1:$A$37=Z158)*'Rate Lookup'!$B$1:$B$37),SUMPRODUCT(('Rate Lookup'!$A$1:$A$37=Z158)*'Rate Lookup'!$C$1:$C$37)))))</f>
      </c>
      <c r="AB158" s="30"/>
      <c r="AC158" s="31"/>
      <c r="AD158" s="27">
        <f>IF($B158&lt;&gt;"Entry","",ROUND(AC158*AA158/100,0))</f>
      </c>
      <c r="AE158" s="27">
        <f>IF($B158&lt;&gt;"Entry","",0)</f>
      </c>
      <c r="AF158" s="27">
        <f>IF($B158&lt;&gt;"Entry","",0)</f>
      </c>
      <c r="AG158" s="27">
        <f>IF($B158&lt;&gt;"Entry","",IF(OR(AD158=0,AB158="",AQ158="",AQ158&lt;=0),0,IF(AQ158&lt;=DATE(YEAR(AB158),MONTH(AB158)+1,7),0,ROUND(AD158*0.015*((YEAR(AQ158)-YEAR(AB158))*12+(MONTH(AQ158)-MONTH(AB158))+1),0))))</f>
      </c>
      <c r="AH158" s="27">
        <f>IF($B158&lt;&gt;"Entry","",0)</f>
      </c>
      <c r="AI158" s="28"/>
      <c r="AJ158" s="28"/>
      <c r="AK158" s="32"/>
      <c r="AL158" s="28"/>
      <c r="AM158" s="28"/>
      <c r="AN158" s="27">
        <f>IF($B158&lt;&gt;"Challan","",SUMIF('Q1 Data'!$D$4:$D$207,D158,'Q1 Data'!$AD$4:$AD$207)+SUMIF('Q1 Data'!$D$4:$D$207,D158,'Q1 Data'!$AG$4:$AG$207)+SUMIF('Q1 Data'!$D$4:$D$207,D158,'Q1 Data'!$AE$4:$AE$207)+SUMIF('Q2 Data'!$D$4:$D$207,D158,'Q2 Data'!$AD$4:$AD$207)+SUMIF('Q2 Data'!$D$4:$D$207,D158,'Q2 Data'!$AG$4:$AG$207)+SUMIF('Q2 Data'!$D$4:$D$207,D158,'Q2 Data'!$AE$4:$AE$207)+SUMIF('Q3 Data'!$D$4:$D$207,D158,'Q3 Data'!$AD$4:$AD$207)+SUMIF('Q3 Data'!$D$4:$D$207,D158,'Q3 Data'!$AG$4:$AG$207)+SUMIF('Q3 Data'!$D$4:$D$207,D158,'Q3 Data'!$AE$4:$AE$207)+SUMIF('Q4 Data'!$D$4:$D$207,D158,'Q4 Data'!$AD$4:$AD$207)+SUMIF('Q4 Data'!$D$4:$D$207,D158,'Q4 Data'!$AG$4:$AG$207)+SUMIF('Q4 Data'!$D$4:$D$207,D158,'Q4 Data'!$AE$4:$AE$207))</f>
      </c>
      <c r="AO158" s="27">
        <f>IF($B158&lt;&gt;"Challan","",P158-N158)</f>
      </c>
      <c r="AP158" s="27">
        <f>IF($B158&lt;&gt;"Challan","",MAX(0,AO158-AN158))</f>
      </c>
      <c r="AQ158" s="33">
        <f>IF($B158&lt;&gt;"Entry","",SUMPRODUCT(('Q1 Data'!$D$4:$D$207=D158)*('Q1 Data'!$B$4:$B$207="Challan")*'Q1 Data'!$F$4:$F$207)+SUMPRODUCT(('Q2 Data'!$D$4:$D$207=D158)*('Q2 Data'!$B$4:$B$207="Challan")*'Q2 Data'!$F$4:$F$207)+SUMPRODUCT(('Q3 Data'!$D$4:$D$207=D158)*('Q3 Data'!$B$4:$B$207="Challan")*'Q3 Data'!$F$4:$F$207)+SUMPRODUCT(('Q4 Data'!$D$4:$D$207=D158)*('Q4 Data'!$B$4:$B$207="Challan")*'Q4 Data'!$F$4:$F$207))</f>
      </c>
      <c r="AR158" s="34">
        <f>IF(OR($B158&lt;&gt;"Entry",Z158=""),FALSE,AND((SUMPRODUCT(('Q1 Data'!$D$4:$D$207=D158)*('Q1 Data'!$B$4:$B$207="Challan")*('Q1 Data'!$H$4:$H$207&lt;&gt;""))+SUMPRODUCT(('Q2 Data'!$D$4:$D$207=D158)*('Q2 Data'!$B$4:$B$207="Challan")*('Q2 Data'!$H$4:$H$207&lt;&gt;""))+SUMPRODUCT(('Q3 Data'!$D$4:$D$207=D158)*('Q3 Data'!$B$4:$B$207="Challan")*('Q3 Data'!$H$4:$H$207&lt;&gt;""))+SUMPRODUCT(('Q4 Data'!$D$4:$D$207=D158)*('Q4 Data'!$B$4:$B$207="Challan")*('Q4 Data'!$H$4:$H$207&lt;&gt;"")))&gt;0,(SUMPRODUCT(('Q1 Data'!$D$4:$D$207=D158)*('Q1 Data'!$B$4:$B$207="Challan")*('Q1 Data'!$H$4:$H$207=Z158))+SUMPRODUCT(('Q2 Data'!$D$4:$D$207=D158)*('Q2 Data'!$B$4:$B$207="Challan")*('Q2 Data'!$H$4:$H$207=Z158))+SUMPRODUCT(('Q3 Data'!$D$4:$D$207=D158)*('Q3 Data'!$B$4:$B$207="Challan")*('Q3 Data'!$H$4:$H$207=Z158))+SUMPRODUCT(('Q4 Data'!$D$4:$D$207=D158)*('Q4 Data'!$B$4:$B$207="Challan")*('Q4 Data'!$H$4:$H$207=Z158)))=0))</f>
      </c>
    </row>
    <row r="159" spans="1:44" x14ac:dyDescent="0.25">
      <c r="A159" s="20">
        <f>IF($B159="Entry",COUNTIF($B$4:$B159,"Entry"),"")</f>
      </c>
      <c r="B159" s="21"/>
      <c r="C159" s="22"/>
      <c r="D159" s="22"/>
      <c r="E159" s="23">
        <f>IF($B159&lt;&gt;"Challan","",IF(ROUND(AN159-AO159,2)&gt;0,"Over-applied",IF(ROUND(AN159-AO159,2)=0,"Fully Utilised","Unconsumed")))</f>
      </c>
      <c r="F159" s="24"/>
      <c r="G159" s="25"/>
      <c r="H159" s="25"/>
      <c r="I159" s="26"/>
      <c r="J159" s="26"/>
      <c r="K159" s="26"/>
      <c r="L159" s="26"/>
      <c r="M159" s="26"/>
      <c r="N159" s="26"/>
      <c r="O159" s="26"/>
      <c r="P159" s="27">
        <f>IF($B159&lt;&gt;"Challan","",I159+J159+K159+L159+M159+N159)</f>
      </c>
      <c r="Q159" s="25"/>
      <c r="R159" s="25"/>
      <c r="S159" s="25"/>
      <c r="T159" s="25"/>
      <c r="U159" s="25"/>
      <c r="V159" s="28"/>
      <c r="W159" s="28"/>
      <c r="X159" s="23">
        <f>IF($B159="Entry",IF(AND(LEN(TRIM(UPPER(W159)))=10,CODE(MID(TRIM(UPPER(W159)),1,1))&gt;=65,CODE(MID(TRIM(UPPER(W159)),1,1))&lt;=90,CODE(MID(TRIM(UPPER(W159)),2,1))&gt;=65,CODE(MID(TRIM(UPPER(W159)),2,1))&lt;=90,CODE(MID(TRIM(UPPER(W159)),3,1))&gt;=65,CODE(MID(TRIM(UPPER(W159)),3,1))&lt;=90,CODE(MID(TRIM(UPPER(W159)),4,1))&gt;=65,CODE(MID(TRIM(UPPER(W159)),4,1))&lt;=90,CODE(MID(TRIM(UPPER(W159)),5,1))&gt;=65,CODE(MID(TRIM(UPPER(W159)),5,1))&lt;=90,CODE(MID(TRIM(UPPER(W159)),10,1))&gt;=65,CODE(MID(TRIM(UPPER(W159)),10,1))&lt;=90,CODE(MID(TRIM(UPPER(W159)),6,1))&gt;=48,CODE(MID(TRIM(UPPER(W159)),6,1))&lt;=57,CODE(MID(TRIM(UPPER(W159)),7,1))&gt;=48,CODE(MID(TRIM(UPPER(W159)),7,1))&lt;=57,CODE(MID(TRIM(UPPER(W159)),8,1))&gt;=48,CODE(MID(TRIM(UPPER(W159)),8,1))&lt;=57,CODE(MID(TRIM(UPPER(W159)),9,1))&gt;=48,CODE(MID(TRIM(UPPER(W159)),9,1))&lt;=57),"N","Y"),IF($B159="Challan","",IF(W159&lt;&gt;"","◄ Set Row Type","")))</f>
      </c>
      <c r="Y159" s="23">
        <f>IF($B159="Entry",IF(LEN(W159)&lt;4,"",IF(UPPER(MID(W159,4,1))="P","Individual",IF(UPPER(MID(W159,4,1))="H","HUF",IF(UPPER(MID(W159,4,1))="C","Company",IF(UPPER(MID(W159,4,1))="F","Firm",IF(UPPER(MID(W159,4,1))="L","LLP",IF(UPPER(MID(W159,4,1))="T","Trust",IF(UPPER(MID(W159,4,1))="A","AOP","")))))))),IF($B159="Challan","",IF(W159&lt;&gt;"","◄ Set Row Type","")))</f>
      </c>
      <c r="Z159" s="28"/>
      <c r="AA159" s="29">
        <f>IF($B159&lt;&gt;"Entry","",IF(Z159="","",IF(X159="Y",SUMPRODUCT(('Rate Lookup'!$A$1:$A$37=Z159)*'Rate Lookup'!$D$1:$D$37),IF(OR(Y159="Individual",Y159="HUF"),SUMPRODUCT(('Rate Lookup'!$A$1:$A$37=Z159)*'Rate Lookup'!$B$1:$B$37),SUMPRODUCT(('Rate Lookup'!$A$1:$A$37=Z159)*'Rate Lookup'!$C$1:$C$37)))))</f>
      </c>
      <c r="AB159" s="30"/>
      <c r="AC159" s="31"/>
      <c r="AD159" s="27">
        <f>IF($B159&lt;&gt;"Entry","",ROUND(AC159*AA159/100,0))</f>
      </c>
      <c r="AE159" s="27">
        <f>IF($B159&lt;&gt;"Entry","",0)</f>
      </c>
      <c r="AF159" s="27">
        <f>IF($B159&lt;&gt;"Entry","",0)</f>
      </c>
      <c r="AG159" s="27">
        <f>IF($B159&lt;&gt;"Entry","",IF(OR(AD159=0,AB159="",AQ159="",AQ159&lt;=0),0,IF(AQ159&lt;=DATE(YEAR(AB159),MONTH(AB159)+1,7),0,ROUND(AD159*0.015*((YEAR(AQ159)-YEAR(AB159))*12+(MONTH(AQ159)-MONTH(AB159))+1),0))))</f>
      </c>
      <c r="AH159" s="27">
        <f>IF($B159&lt;&gt;"Entry","",0)</f>
      </c>
      <c r="AI159" s="28"/>
      <c r="AJ159" s="28"/>
      <c r="AK159" s="32"/>
      <c r="AL159" s="28"/>
      <c r="AM159" s="28"/>
      <c r="AN159" s="27">
        <f>IF($B159&lt;&gt;"Challan","",SUMIF('Q1 Data'!$D$4:$D$207,D159,'Q1 Data'!$AD$4:$AD$207)+SUMIF('Q1 Data'!$D$4:$D$207,D159,'Q1 Data'!$AG$4:$AG$207)+SUMIF('Q1 Data'!$D$4:$D$207,D159,'Q1 Data'!$AE$4:$AE$207)+SUMIF('Q2 Data'!$D$4:$D$207,D159,'Q2 Data'!$AD$4:$AD$207)+SUMIF('Q2 Data'!$D$4:$D$207,D159,'Q2 Data'!$AG$4:$AG$207)+SUMIF('Q2 Data'!$D$4:$D$207,D159,'Q2 Data'!$AE$4:$AE$207)+SUMIF('Q3 Data'!$D$4:$D$207,D159,'Q3 Data'!$AD$4:$AD$207)+SUMIF('Q3 Data'!$D$4:$D$207,D159,'Q3 Data'!$AG$4:$AG$207)+SUMIF('Q3 Data'!$D$4:$D$207,D159,'Q3 Data'!$AE$4:$AE$207)+SUMIF('Q4 Data'!$D$4:$D$207,D159,'Q4 Data'!$AD$4:$AD$207)+SUMIF('Q4 Data'!$D$4:$D$207,D159,'Q4 Data'!$AG$4:$AG$207)+SUMIF('Q4 Data'!$D$4:$D$207,D159,'Q4 Data'!$AE$4:$AE$207))</f>
      </c>
      <c r="AO159" s="27">
        <f>IF($B159&lt;&gt;"Challan","",P159-N159)</f>
      </c>
      <c r="AP159" s="27">
        <f>IF($B159&lt;&gt;"Challan","",MAX(0,AO159-AN159))</f>
      </c>
      <c r="AQ159" s="33">
        <f>IF($B159&lt;&gt;"Entry","",SUMPRODUCT(('Q1 Data'!$D$4:$D$207=D159)*('Q1 Data'!$B$4:$B$207="Challan")*'Q1 Data'!$F$4:$F$207)+SUMPRODUCT(('Q2 Data'!$D$4:$D$207=D159)*('Q2 Data'!$B$4:$B$207="Challan")*'Q2 Data'!$F$4:$F$207)+SUMPRODUCT(('Q3 Data'!$D$4:$D$207=D159)*('Q3 Data'!$B$4:$B$207="Challan")*'Q3 Data'!$F$4:$F$207)+SUMPRODUCT(('Q4 Data'!$D$4:$D$207=D159)*('Q4 Data'!$B$4:$B$207="Challan")*'Q4 Data'!$F$4:$F$207))</f>
      </c>
      <c r="AR159" s="34">
        <f>IF(OR($B159&lt;&gt;"Entry",Z159=""),FALSE,AND((SUMPRODUCT(('Q1 Data'!$D$4:$D$207=D159)*('Q1 Data'!$B$4:$B$207="Challan")*('Q1 Data'!$H$4:$H$207&lt;&gt;""))+SUMPRODUCT(('Q2 Data'!$D$4:$D$207=D159)*('Q2 Data'!$B$4:$B$207="Challan")*('Q2 Data'!$H$4:$H$207&lt;&gt;""))+SUMPRODUCT(('Q3 Data'!$D$4:$D$207=D159)*('Q3 Data'!$B$4:$B$207="Challan")*('Q3 Data'!$H$4:$H$207&lt;&gt;""))+SUMPRODUCT(('Q4 Data'!$D$4:$D$207=D159)*('Q4 Data'!$B$4:$B$207="Challan")*('Q4 Data'!$H$4:$H$207&lt;&gt;"")))&gt;0,(SUMPRODUCT(('Q1 Data'!$D$4:$D$207=D159)*('Q1 Data'!$B$4:$B$207="Challan")*('Q1 Data'!$H$4:$H$207=Z159))+SUMPRODUCT(('Q2 Data'!$D$4:$D$207=D159)*('Q2 Data'!$B$4:$B$207="Challan")*('Q2 Data'!$H$4:$H$207=Z159))+SUMPRODUCT(('Q3 Data'!$D$4:$D$207=D159)*('Q3 Data'!$B$4:$B$207="Challan")*('Q3 Data'!$H$4:$H$207=Z159))+SUMPRODUCT(('Q4 Data'!$D$4:$D$207=D159)*('Q4 Data'!$B$4:$B$207="Challan")*('Q4 Data'!$H$4:$H$207=Z159)))=0))</f>
      </c>
    </row>
    <row r="160" spans="1:44" x14ac:dyDescent="0.25">
      <c r="A160" s="20">
        <f>IF($B160="Entry",COUNTIF($B$4:$B160,"Entry"),"")</f>
      </c>
      <c r="B160" s="21"/>
      <c r="C160" s="22"/>
      <c r="D160" s="22"/>
      <c r="E160" s="23">
        <f>IF($B160&lt;&gt;"Challan","",IF(ROUND(AN160-AO160,2)&gt;0,"Over-applied",IF(ROUND(AN160-AO160,2)=0,"Fully Utilised","Unconsumed")))</f>
      </c>
      <c r="F160" s="24"/>
      <c r="G160" s="25"/>
      <c r="H160" s="25"/>
      <c r="I160" s="26"/>
      <c r="J160" s="26"/>
      <c r="K160" s="26"/>
      <c r="L160" s="26"/>
      <c r="M160" s="26"/>
      <c r="N160" s="26"/>
      <c r="O160" s="26"/>
      <c r="P160" s="27">
        <f>IF($B160&lt;&gt;"Challan","",I160+J160+K160+L160+M160+N160)</f>
      </c>
      <c r="Q160" s="25"/>
      <c r="R160" s="25"/>
      <c r="S160" s="25"/>
      <c r="T160" s="25"/>
      <c r="U160" s="25"/>
      <c r="V160" s="28"/>
      <c r="W160" s="28"/>
      <c r="X160" s="23">
        <f>IF($B160="Entry",IF(AND(LEN(TRIM(UPPER(W160)))=10,CODE(MID(TRIM(UPPER(W160)),1,1))&gt;=65,CODE(MID(TRIM(UPPER(W160)),1,1))&lt;=90,CODE(MID(TRIM(UPPER(W160)),2,1))&gt;=65,CODE(MID(TRIM(UPPER(W160)),2,1))&lt;=90,CODE(MID(TRIM(UPPER(W160)),3,1))&gt;=65,CODE(MID(TRIM(UPPER(W160)),3,1))&lt;=90,CODE(MID(TRIM(UPPER(W160)),4,1))&gt;=65,CODE(MID(TRIM(UPPER(W160)),4,1))&lt;=90,CODE(MID(TRIM(UPPER(W160)),5,1))&gt;=65,CODE(MID(TRIM(UPPER(W160)),5,1))&lt;=90,CODE(MID(TRIM(UPPER(W160)),10,1))&gt;=65,CODE(MID(TRIM(UPPER(W160)),10,1))&lt;=90,CODE(MID(TRIM(UPPER(W160)),6,1))&gt;=48,CODE(MID(TRIM(UPPER(W160)),6,1))&lt;=57,CODE(MID(TRIM(UPPER(W160)),7,1))&gt;=48,CODE(MID(TRIM(UPPER(W160)),7,1))&lt;=57,CODE(MID(TRIM(UPPER(W160)),8,1))&gt;=48,CODE(MID(TRIM(UPPER(W160)),8,1))&lt;=57,CODE(MID(TRIM(UPPER(W160)),9,1))&gt;=48,CODE(MID(TRIM(UPPER(W160)),9,1))&lt;=57),"N","Y"),IF($B160="Challan","",IF(W160&lt;&gt;"","◄ Set Row Type","")))</f>
      </c>
      <c r="Y160" s="23">
        <f>IF($B160="Entry",IF(LEN(W160)&lt;4,"",IF(UPPER(MID(W160,4,1))="P","Individual",IF(UPPER(MID(W160,4,1))="H","HUF",IF(UPPER(MID(W160,4,1))="C","Company",IF(UPPER(MID(W160,4,1))="F","Firm",IF(UPPER(MID(W160,4,1))="L","LLP",IF(UPPER(MID(W160,4,1))="T","Trust",IF(UPPER(MID(W160,4,1))="A","AOP","")))))))),IF($B160="Challan","",IF(W160&lt;&gt;"","◄ Set Row Type","")))</f>
      </c>
      <c r="Z160" s="28"/>
      <c r="AA160" s="29">
        <f>IF($B160&lt;&gt;"Entry","",IF(Z160="","",IF(X160="Y",SUMPRODUCT(('Rate Lookup'!$A$1:$A$37=Z160)*'Rate Lookup'!$D$1:$D$37),IF(OR(Y160="Individual",Y160="HUF"),SUMPRODUCT(('Rate Lookup'!$A$1:$A$37=Z160)*'Rate Lookup'!$B$1:$B$37),SUMPRODUCT(('Rate Lookup'!$A$1:$A$37=Z160)*'Rate Lookup'!$C$1:$C$37)))))</f>
      </c>
      <c r="AB160" s="30"/>
      <c r="AC160" s="31"/>
      <c r="AD160" s="27">
        <f>IF($B160&lt;&gt;"Entry","",ROUND(AC160*AA160/100,0))</f>
      </c>
      <c r="AE160" s="27">
        <f>IF($B160&lt;&gt;"Entry","",0)</f>
      </c>
      <c r="AF160" s="27">
        <f>IF($B160&lt;&gt;"Entry","",0)</f>
      </c>
      <c r="AG160" s="27">
        <f>IF($B160&lt;&gt;"Entry","",IF(OR(AD160=0,AB160="",AQ160="",AQ160&lt;=0),0,IF(AQ160&lt;=DATE(YEAR(AB160),MONTH(AB160)+1,7),0,ROUND(AD160*0.015*((YEAR(AQ160)-YEAR(AB160))*12+(MONTH(AQ160)-MONTH(AB160))+1),0))))</f>
      </c>
      <c r="AH160" s="27">
        <f>IF($B160&lt;&gt;"Entry","",0)</f>
      </c>
      <c r="AI160" s="28"/>
      <c r="AJ160" s="28"/>
      <c r="AK160" s="32"/>
      <c r="AL160" s="28"/>
      <c r="AM160" s="28"/>
      <c r="AN160" s="27">
        <f>IF($B160&lt;&gt;"Challan","",SUMIF('Q1 Data'!$D$4:$D$207,D160,'Q1 Data'!$AD$4:$AD$207)+SUMIF('Q1 Data'!$D$4:$D$207,D160,'Q1 Data'!$AG$4:$AG$207)+SUMIF('Q1 Data'!$D$4:$D$207,D160,'Q1 Data'!$AE$4:$AE$207)+SUMIF('Q2 Data'!$D$4:$D$207,D160,'Q2 Data'!$AD$4:$AD$207)+SUMIF('Q2 Data'!$D$4:$D$207,D160,'Q2 Data'!$AG$4:$AG$207)+SUMIF('Q2 Data'!$D$4:$D$207,D160,'Q2 Data'!$AE$4:$AE$207)+SUMIF('Q3 Data'!$D$4:$D$207,D160,'Q3 Data'!$AD$4:$AD$207)+SUMIF('Q3 Data'!$D$4:$D$207,D160,'Q3 Data'!$AG$4:$AG$207)+SUMIF('Q3 Data'!$D$4:$D$207,D160,'Q3 Data'!$AE$4:$AE$207)+SUMIF('Q4 Data'!$D$4:$D$207,D160,'Q4 Data'!$AD$4:$AD$207)+SUMIF('Q4 Data'!$D$4:$D$207,D160,'Q4 Data'!$AG$4:$AG$207)+SUMIF('Q4 Data'!$D$4:$D$207,D160,'Q4 Data'!$AE$4:$AE$207))</f>
      </c>
      <c r="AO160" s="27">
        <f>IF($B160&lt;&gt;"Challan","",P160-N160)</f>
      </c>
      <c r="AP160" s="27">
        <f>IF($B160&lt;&gt;"Challan","",MAX(0,AO160-AN160))</f>
      </c>
      <c r="AQ160" s="33">
        <f>IF($B160&lt;&gt;"Entry","",SUMPRODUCT(('Q1 Data'!$D$4:$D$207=D160)*('Q1 Data'!$B$4:$B$207="Challan")*'Q1 Data'!$F$4:$F$207)+SUMPRODUCT(('Q2 Data'!$D$4:$D$207=D160)*('Q2 Data'!$B$4:$B$207="Challan")*'Q2 Data'!$F$4:$F$207)+SUMPRODUCT(('Q3 Data'!$D$4:$D$207=D160)*('Q3 Data'!$B$4:$B$207="Challan")*'Q3 Data'!$F$4:$F$207)+SUMPRODUCT(('Q4 Data'!$D$4:$D$207=D160)*('Q4 Data'!$B$4:$B$207="Challan")*'Q4 Data'!$F$4:$F$207))</f>
      </c>
      <c r="AR160" s="34">
        <f>IF(OR($B160&lt;&gt;"Entry",Z160=""),FALSE,AND((SUMPRODUCT(('Q1 Data'!$D$4:$D$207=D160)*('Q1 Data'!$B$4:$B$207="Challan")*('Q1 Data'!$H$4:$H$207&lt;&gt;""))+SUMPRODUCT(('Q2 Data'!$D$4:$D$207=D160)*('Q2 Data'!$B$4:$B$207="Challan")*('Q2 Data'!$H$4:$H$207&lt;&gt;""))+SUMPRODUCT(('Q3 Data'!$D$4:$D$207=D160)*('Q3 Data'!$B$4:$B$207="Challan")*('Q3 Data'!$H$4:$H$207&lt;&gt;""))+SUMPRODUCT(('Q4 Data'!$D$4:$D$207=D160)*('Q4 Data'!$B$4:$B$207="Challan")*('Q4 Data'!$H$4:$H$207&lt;&gt;"")))&gt;0,(SUMPRODUCT(('Q1 Data'!$D$4:$D$207=D160)*('Q1 Data'!$B$4:$B$207="Challan")*('Q1 Data'!$H$4:$H$207=Z160))+SUMPRODUCT(('Q2 Data'!$D$4:$D$207=D160)*('Q2 Data'!$B$4:$B$207="Challan")*('Q2 Data'!$H$4:$H$207=Z160))+SUMPRODUCT(('Q3 Data'!$D$4:$D$207=D160)*('Q3 Data'!$B$4:$B$207="Challan")*('Q3 Data'!$H$4:$H$207=Z160))+SUMPRODUCT(('Q4 Data'!$D$4:$D$207=D160)*('Q4 Data'!$B$4:$B$207="Challan")*('Q4 Data'!$H$4:$H$207=Z160)))=0))</f>
      </c>
    </row>
    <row r="161" spans="1:44" x14ac:dyDescent="0.25">
      <c r="A161" s="20">
        <f>IF($B161="Entry",COUNTIF($B$4:$B161,"Entry"),"")</f>
      </c>
      <c r="B161" s="21"/>
      <c r="C161" s="22"/>
      <c r="D161" s="22"/>
      <c r="E161" s="23">
        <f>IF($B161&lt;&gt;"Challan","",IF(ROUND(AN161-AO161,2)&gt;0,"Over-applied",IF(ROUND(AN161-AO161,2)=0,"Fully Utilised","Unconsumed")))</f>
      </c>
      <c r="F161" s="24"/>
      <c r="G161" s="25"/>
      <c r="H161" s="25"/>
      <c r="I161" s="26"/>
      <c r="J161" s="26"/>
      <c r="K161" s="26"/>
      <c r="L161" s="26"/>
      <c r="M161" s="26"/>
      <c r="N161" s="26"/>
      <c r="O161" s="26"/>
      <c r="P161" s="27">
        <f>IF($B161&lt;&gt;"Challan","",I161+J161+K161+L161+M161+N161)</f>
      </c>
      <c r="Q161" s="25"/>
      <c r="R161" s="25"/>
      <c r="S161" s="25"/>
      <c r="T161" s="25"/>
      <c r="U161" s="25"/>
      <c r="V161" s="28"/>
      <c r="W161" s="28"/>
      <c r="X161" s="23">
        <f>IF($B161="Entry",IF(AND(LEN(TRIM(UPPER(W161)))=10,CODE(MID(TRIM(UPPER(W161)),1,1))&gt;=65,CODE(MID(TRIM(UPPER(W161)),1,1))&lt;=90,CODE(MID(TRIM(UPPER(W161)),2,1))&gt;=65,CODE(MID(TRIM(UPPER(W161)),2,1))&lt;=90,CODE(MID(TRIM(UPPER(W161)),3,1))&gt;=65,CODE(MID(TRIM(UPPER(W161)),3,1))&lt;=90,CODE(MID(TRIM(UPPER(W161)),4,1))&gt;=65,CODE(MID(TRIM(UPPER(W161)),4,1))&lt;=90,CODE(MID(TRIM(UPPER(W161)),5,1))&gt;=65,CODE(MID(TRIM(UPPER(W161)),5,1))&lt;=90,CODE(MID(TRIM(UPPER(W161)),10,1))&gt;=65,CODE(MID(TRIM(UPPER(W161)),10,1))&lt;=90,CODE(MID(TRIM(UPPER(W161)),6,1))&gt;=48,CODE(MID(TRIM(UPPER(W161)),6,1))&lt;=57,CODE(MID(TRIM(UPPER(W161)),7,1))&gt;=48,CODE(MID(TRIM(UPPER(W161)),7,1))&lt;=57,CODE(MID(TRIM(UPPER(W161)),8,1))&gt;=48,CODE(MID(TRIM(UPPER(W161)),8,1))&lt;=57,CODE(MID(TRIM(UPPER(W161)),9,1))&gt;=48,CODE(MID(TRIM(UPPER(W161)),9,1))&lt;=57),"N","Y"),IF($B161="Challan","",IF(W161&lt;&gt;"","◄ Set Row Type","")))</f>
      </c>
      <c r="Y161" s="23">
        <f>IF($B161="Entry",IF(LEN(W161)&lt;4,"",IF(UPPER(MID(W161,4,1))="P","Individual",IF(UPPER(MID(W161,4,1))="H","HUF",IF(UPPER(MID(W161,4,1))="C","Company",IF(UPPER(MID(W161,4,1))="F","Firm",IF(UPPER(MID(W161,4,1))="L","LLP",IF(UPPER(MID(W161,4,1))="T","Trust",IF(UPPER(MID(W161,4,1))="A","AOP","")))))))),IF($B161="Challan","",IF(W161&lt;&gt;"","◄ Set Row Type","")))</f>
      </c>
      <c r="Z161" s="28"/>
      <c r="AA161" s="29">
        <f>IF($B161&lt;&gt;"Entry","",IF(Z161="","",IF(X161="Y",SUMPRODUCT(('Rate Lookup'!$A$1:$A$37=Z161)*'Rate Lookup'!$D$1:$D$37),IF(OR(Y161="Individual",Y161="HUF"),SUMPRODUCT(('Rate Lookup'!$A$1:$A$37=Z161)*'Rate Lookup'!$B$1:$B$37),SUMPRODUCT(('Rate Lookup'!$A$1:$A$37=Z161)*'Rate Lookup'!$C$1:$C$37)))))</f>
      </c>
      <c r="AB161" s="30"/>
      <c r="AC161" s="31"/>
      <c r="AD161" s="27">
        <f>IF($B161&lt;&gt;"Entry","",ROUND(AC161*AA161/100,0))</f>
      </c>
      <c r="AE161" s="27">
        <f>IF($B161&lt;&gt;"Entry","",0)</f>
      </c>
      <c r="AF161" s="27">
        <f>IF($B161&lt;&gt;"Entry","",0)</f>
      </c>
      <c r="AG161" s="27">
        <f>IF($B161&lt;&gt;"Entry","",IF(OR(AD161=0,AB161="",AQ161="",AQ161&lt;=0),0,IF(AQ161&lt;=DATE(YEAR(AB161),MONTH(AB161)+1,7),0,ROUND(AD161*0.015*((YEAR(AQ161)-YEAR(AB161))*12+(MONTH(AQ161)-MONTH(AB161))+1),0))))</f>
      </c>
      <c r="AH161" s="27">
        <f>IF($B161&lt;&gt;"Entry","",0)</f>
      </c>
      <c r="AI161" s="28"/>
      <c r="AJ161" s="28"/>
      <c r="AK161" s="32"/>
      <c r="AL161" s="28"/>
      <c r="AM161" s="28"/>
      <c r="AN161" s="27">
        <f>IF($B161&lt;&gt;"Challan","",SUMIF('Q1 Data'!$D$4:$D$207,D161,'Q1 Data'!$AD$4:$AD$207)+SUMIF('Q1 Data'!$D$4:$D$207,D161,'Q1 Data'!$AG$4:$AG$207)+SUMIF('Q1 Data'!$D$4:$D$207,D161,'Q1 Data'!$AE$4:$AE$207)+SUMIF('Q2 Data'!$D$4:$D$207,D161,'Q2 Data'!$AD$4:$AD$207)+SUMIF('Q2 Data'!$D$4:$D$207,D161,'Q2 Data'!$AG$4:$AG$207)+SUMIF('Q2 Data'!$D$4:$D$207,D161,'Q2 Data'!$AE$4:$AE$207)+SUMIF('Q3 Data'!$D$4:$D$207,D161,'Q3 Data'!$AD$4:$AD$207)+SUMIF('Q3 Data'!$D$4:$D$207,D161,'Q3 Data'!$AG$4:$AG$207)+SUMIF('Q3 Data'!$D$4:$D$207,D161,'Q3 Data'!$AE$4:$AE$207)+SUMIF('Q4 Data'!$D$4:$D$207,D161,'Q4 Data'!$AD$4:$AD$207)+SUMIF('Q4 Data'!$D$4:$D$207,D161,'Q4 Data'!$AG$4:$AG$207)+SUMIF('Q4 Data'!$D$4:$D$207,D161,'Q4 Data'!$AE$4:$AE$207))</f>
      </c>
      <c r="AO161" s="27">
        <f>IF($B161&lt;&gt;"Challan","",P161-N161)</f>
      </c>
      <c r="AP161" s="27">
        <f>IF($B161&lt;&gt;"Challan","",MAX(0,AO161-AN161))</f>
      </c>
      <c r="AQ161" s="33">
        <f>IF($B161&lt;&gt;"Entry","",SUMPRODUCT(('Q1 Data'!$D$4:$D$207=D161)*('Q1 Data'!$B$4:$B$207="Challan")*'Q1 Data'!$F$4:$F$207)+SUMPRODUCT(('Q2 Data'!$D$4:$D$207=D161)*('Q2 Data'!$B$4:$B$207="Challan")*'Q2 Data'!$F$4:$F$207)+SUMPRODUCT(('Q3 Data'!$D$4:$D$207=D161)*('Q3 Data'!$B$4:$B$207="Challan")*'Q3 Data'!$F$4:$F$207)+SUMPRODUCT(('Q4 Data'!$D$4:$D$207=D161)*('Q4 Data'!$B$4:$B$207="Challan")*'Q4 Data'!$F$4:$F$207))</f>
      </c>
      <c r="AR161" s="34">
        <f>IF(OR($B161&lt;&gt;"Entry",Z161=""),FALSE,AND((SUMPRODUCT(('Q1 Data'!$D$4:$D$207=D161)*('Q1 Data'!$B$4:$B$207="Challan")*('Q1 Data'!$H$4:$H$207&lt;&gt;""))+SUMPRODUCT(('Q2 Data'!$D$4:$D$207=D161)*('Q2 Data'!$B$4:$B$207="Challan")*('Q2 Data'!$H$4:$H$207&lt;&gt;""))+SUMPRODUCT(('Q3 Data'!$D$4:$D$207=D161)*('Q3 Data'!$B$4:$B$207="Challan")*('Q3 Data'!$H$4:$H$207&lt;&gt;""))+SUMPRODUCT(('Q4 Data'!$D$4:$D$207=D161)*('Q4 Data'!$B$4:$B$207="Challan")*('Q4 Data'!$H$4:$H$207&lt;&gt;"")))&gt;0,(SUMPRODUCT(('Q1 Data'!$D$4:$D$207=D161)*('Q1 Data'!$B$4:$B$207="Challan")*('Q1 Data'!$H$4:$H$207=Z161))+SUMPRODUCT(('Q2 Data'!$D$4:$D$207=D161)*('Q2 Data'!$B$4:$B$207="Challan")*('Q2 Data'!$H$4:$H$207=Z161))+SUMPRODUCT(('Q3 Data'!$D$4:$D$207=D161)*('Q3 Data'!$B$4:$B$207="Challan")*('Q3 Data'!$H$4:$H$207=Z161))+SUMPRODUCT(('Q4 Data'!$D$4:$D$207=D161)*('Q4 Data'!$B$4:$B$207="Challan")*('Q4 Data'!$H$4:$H$207=Z161)))=0))</f>
      </c>
    </row>
    <row r="162" spans="1:44" x14ac:dyDescent="0.25">
      <c r="A162" s="20">
        <f>IF($B162="Entry",COUNTIF($B$4:$B162,"Entry"),"")</f>
      </c>
      <c r="B162" s="21"/>
      <c r="C162" s="22"/>
      <c r="D162" s="22"/>
      <c r="E162" s="23">
        <f>IF($B162&lt;&gt;"Challan","",IF(ROUND(AN162-AO162,2)&gt;0,"Over-applied",IF(ROUND(AN162-AO162,2)=0,"Fully Utilised","Unconsumed")))</f>
      </c>
      <c r="F162" s="24"/>
      <c r="G162" s="25"/>
      <c r="H162" s="25"/>
      <c r="I162" s="26"/>
      <c r="J162" s="26"/>
      <c r="K162" s="26"/>
      <c r="L162" s="26"/>
      <c r="M162" s="26"/>
      <c r="N162" s="26"/>
      <c r="O162" s="26"/>
      <c r="P162" s="27">
        <f>IF($B162&lt;&gt;"Challan","",I162+J162+K162+L162+M162+N162)</f>
      </c>
      <c r="Q162" s="25"/>
      <c r="R162" s="25"/>
      <c r="S162" s="25"/>
      <c r="T162" s="25"/>
      <c r="U162" s="25"/>
      <c r="V162" s="28"/>
      <c r="W162" s="28"/>
      <c r="X162" s="23">
        <f>IF($B162="Entry",IF(AND(LEN(TRIM(UPPER(W162)))=10,CODE(MID(TRIM(UPPER(W162)),1,1))&gt;=65,CODE(MID(TRIM(UPPER(W162)),1,1))&lt;=90,CODE(MID(TRIM(UPPER(W162)),2,1))&gt;=65,CODE(MID(TRIM(UPPER(W162)),2,1))&lt;=90,CODE(MID(TRIM(UPPER(W162)),3,1))&gt;=65,CODE(MID(TRIM(UPPER(W162)),3,1))&lt;=90,CODE(MID(TRIM(UPPER(W162)),4,1))&gt;=65,CODE(MID(TRIM(UPPER(W162)),4,1))&lt;=90,CODE(MID(TRIM(UPPER(W162)),5,1))&gt;=65,CODE(MID(TRIM(UPPER(W162)),5,1))&lt;=90,CODE(MID(TRIM(UPPER(W162)),10,1))&gt;=65,CODE(MID(TRIM(UPPER(W162)),10,1))&lt;=90,CODE(MID(TRIM(UPPER(W162)),6,1))&gt;=48,CODE(MID(TRIM(UPPER(W162)),6,1))&lt;=57,CODE(MID(TRIM(UPPER(W162)),7,1))&gt;=48,CODE(MID(TRIM(UPPER(W162)),7,1))&lt;=57,CODE(MID(TRIM(UPPER(W162)),8,1))&gt;=48,CODE(MID(TRIM(UPPER(W162)),8,1))&lt;=57,CODE(MID(TRIM(UPPER(W162)),9,1))&gt;=48,CODE(MID(TRIM(UPPER(W162)),9,1))&lt;=57),"N","Y"),IF($B162="Challan","",IF(W162&lt;&gt;"","◄ Set Row Type","")))</f>
      </c>
      <c r="Y162" s="23">
        <f>IF($B162="Entry",IF(LEN(W162)&lt;4,"",IF(UPPER(MID(W162,4,1))="P","Individual",IF(UPPER(MID(W162,4,1))="H","HUF",IF(UPPER(MID(W162,4,1))="C","Company",IF(UPPER(MID(W162,4,1))="F","Firm",IF(UPPER(MID(W162,4,1))="L","LLP",IF(UPPER(MID(W162,4,1))="T","Trust",IF(UPPER(MID(W162,4,1))="A","AOP","")))))))),IF($B162="Challan","",IF(W162&lt;&gt;"","◄ Set Row Type","")))</f>
      </c>
      <c r="Z162" s="28"/>
      <c r="AA162" s="29">
        <f>IF($B162&lt;&gt;"Entry","",IF(Z162="","",IF(X162="Y",SUMPRODUCT(('Rate Lookup'!$A$1:$A$37=Z162)*'Rate Lookup'!$D$1:$D$37),IF(OR(Y162="Individual",Y162="HUF"),SUMPRODUCT(('Rate Lookup'!$A$1:$A$37=Z162)*'Rate Lookup'!$B$1:$B$37),SUMPRODUCT(('Rate Lookup'!$A$1:$A$37=Z162)*'Rate Lookup'!$C$1:$C$37)))))</f>
      </c>
      <c r="AB162" s="30"/>
      <c r="AC162" s="31"/>
      <c r="AD162" s="27">
        <f>IF($B162&lt;&gt;"Entry","",ROUND(AC162*AA162/100,0))</f>
      </c>
      <c r="AE162" s="27">
        <f>IF($B162&lt;&gt;"Entry","",0)</f>
      </c>
      <c r="AF162" s="27">
        <f>IF($B162&lt;&gt;"Entry","",0)</f>
      </c>
      <c r="AG162" s="27">
        <f>IF($B162&lt;&gt;"Entry","",IF(OR(AD162=0,AB162="",AQ162="",AQ162&lt;=0),0,IF(AQ162&lt;=DATE(YEAR(AB162),MONTH(AB162)+1,7),0,ROUND(AD162*0.015*((YEAR(AQ162)-YEAR(AB162))*12+(MONTH(AQ162)-MONTH(AB162))+1),0))))</f>
      </c>
      <c r="AH162" s="27">
        <f>IF($B162&lt;&gt;"Entry","",0)</f>
      </c>
      <c r="AI162" s="28"/>
      <c r="AJ162" s="28"/>
      <c r="AK162" s="32"/>
      <c r="AL162" s="28"/>
      <c r="AM162" s="28"/>
      <c r="AN162" s="27">
        <f>IF($B162&lt;&gt;"Challan","",SUMIF('Q1 Data'!$D$4:$D$207,D162,'Q1 Data'!$AD$4:$AD$207)+SUMIF('Q1 Data'!$D$4:$D$207,D162,'Q1 Data'!$AG$4:$AG$207)+SUMIF('Q1 Data'!$D$4:$D$207,D162,'Q1 Data'!$AE$4:$AE$207)+SUMIF('Q2 Data'!$D$4:$D$207,D162,'Q2 Data'!$AD$4:$AD$207)+SUMIF('Q2 Data'!$D$4:$D$207,D162,'Q2 Data'!$AG$4:$AG$207)+SUMIF('Q2 Data'!$D$4:$D$207,D162,'Q2 Data'!$AE$4:$AE$207)+SUMIF('Q3 Data'!$D$4:$D$207,D162,'Q3 Data'!$AD$4:$AD$207)+SUMIF('Q3 Data'!$D$4:$D$207,D162,'Q3 Data'!$AG$4:$AG$207)+SUMIF('Q3 Data'!$D$4:$D$207,D162,'Q3 Data'!$AE$4:$AE$207)+SUMIF('Q4 Data'!$D$4:$D$207,D162,'Q4 Data'!$AD$4:$AD$207)+SUMIF('Q4 Data'!$D$4:$D$207,D162,'Q4 Data'!$AG$4:$AG$207)+SUMIF('Q4 Data'!$D$4:$D$207,D162,'Q4 Data'!$AE$4:$AE$207))</f>
      </c>
      <c r="AO162" s="27">
        <f>IF($B162&lt;&gt;"Challan","",P162-N162)</f>
      </c>
      <c r="AP162" s="27">
        <f>IF($B162&lt;&gt;"Challan","",MAX(0,AO162-AN162))</f>
      </c>
      <c r="AQ162" s="33">
        <f>IF($B162&lt;&gt;"Entry","",SUMPRODUCT(('Q1 Data'!$D$4:$D$207=D162)*('Q1 Data'!$B$4:$B$207="Challan")*'Q1 Data'!$F$4:$F$207)+SUMPRODUCT(('Q2 Data'!$D$4:$D$207=D162)*('Q2 Data'!$B$4:$B$207="Challan")*'Q2 Data'!$F$4:$F$207)+SUMPRODUCT(('Q3 Data'!$D$4:$D$207=D162)*('Q3 Data'!$B$4:$B$207="Challan")*'Q3 Data'!$F$4:$F$207)+SUMPRODUCT(('Q4 Data'!$D$4:$D$207=D162)*('Q4 Data'!$B$4:$B$207="Challan")*'Q4 Data'!$F$4:$F$207))</f>
      </c>
      <c r="AR162" s="34">
        <f>IF(OR($B162&lt;&gt;"Entry",Z162=""),FALSE,AND((SUMPRODUCT(('Q1 Data'!$D$4:$D$207=D162)*('Q1 Data'!$B$4:$B$207="Challan")*('Q1 Data'!$H$4:$H$207&lt;&gt;""))+SUMPRODUCT(('Q2 Data'!$D$4:$D$207=D162)*('Q2 Data'!$B$4:$B$207="Challan")*('Q2 Data'!$H$4:$H$207&lt;&gt;""))+SUMPRODUCT(('Q3 Data'!$D$4:$D$207=D162)*('Q3 Data'!$B$4:$B$207="Challan")*('Q3 Data'!$H$4:$H$207&lt;&gt;""))+SUMPRODUCT(('Q4 Data'!$D$4:$D$207=D162)*('Q4 Data'!$B$4:$B$207="Challan")*('Q4 Data'!$H$4:$H$207&lt;&gt;"")))&gt;0,(SUMPRODUCT(('Q1 Data'!$D$4:$D$207=D162)*('Q1 Data'!$B$4:$B$207="Challan")*('Q1 Data'!$H$4:$H$207=Z162))+SUMPRODUCT(('Q2 Data'!$D$4:$D$207=D162)*('Q2 Data'!$B$4:$B$207="Challan")*('Q2 Data'!$H$4:$H$207=Z162))+SUMPRODUCT(('Q3 Data'!$D$4:$D$207=D162)*('Q3 Data'!$B$4:$B$207="Challan")*('Q3 Data'!$H$4:$H$207=Z162))+SUMPRODUCT(('Q4 Data'!$D$4:$D$207=D162)*('Q4 Data'!$B$4:$B$207="Challan")*('Q4 Data'!$H$4:$H$207=Z162)))=0))</f>
      </c>
    </row>
    <row r="163" spans="1:44" x14ac:dyDescent="0.25">
      <c r="A163" s="20">
        <f>IF($B163="Entry",COUNTIF($B$4:$B163,"Entry"),"")</f>
      </c>
      <c r="B163" s="21"/>
      <c r="C163" s="22"/>
      <c r="D163" s="22"/>
      <c r="E163" s="23">
        <f>IF($B163&lt;&gt;"Challan","",IF(ROUND(AN163-AO163,2)&gt;0,"Over-applied",IF(ROUND(AN163-AO163,2)=0,"Fully Utilised","Unconsumed")))</f>
      </c>
      <c r="F163" s="24"/>
      <c r="G163" s="25"/>
      <c r="H163" s="25"/>
      <c r="I163" s="26"/>
      <c r="J163" s="26"/>
      <c r="K163" s="26"/>
      <c r="L163" s="26"/>
      <c r="M163" s="26"/>
      <c r="N163" s="26"/>
      <c r="O163" s="26"/>
      <c r="P163" s="27">
        <f>IF($B163&lt;&gt;"Challan","",I163+J163+K163+L163+M163+N163)</f>
      </c>
      <c r="Q163" s="25"/>
      <c r="R163" s="25"/>
      <c r="S163" s="25"/>
      <c r="T163" s="25"/>
      <c r="U163" s="25"/>
      <c r="V163" s="28"/>
      <c r="W163" s="28"/>
      <c r="X163" s="23">
        <f>IF($B163="Entry",IF(AND(LEN(TRIM(UPPER(W163)))=10,CODE(MID(TRIM(UPPER(W163)),1,1))&gt;=65,CODE(MID(TRIM(UPPER(W163)),1,1))&lt;=90,CODE(MID(TRIM(UPPER(W163)),2,1))&gt;=65,CODE(MID(TRIM(UPPER(W163)),2,1))&lt;=90,CODE(MID(TRIM(UPPER(W163)),3,1))&gt;=65,CODE(MID(TRIM(UPPER(W163)),3,1))&lt;=90,CODE(MID(TRIM(UPPER(W163)),4,1))&gt;=65,CODE(MID(TRIM(UPPER(W163)),4,1))&lt;=90,CODE(MID(TRIM(UPPER(W163)),5,1))&gt;=65,CODE(MID(TRIM(UPPER(W163)),5,1))&lt;=90,CODE(MID(TRIM(UPPER(W163)),10,1))&gt;=65,CODE(MID(TRIM(UPPER(W163)),10,1))&lt;=90,CODE(MID(TRIM(UPPER(W163)),6,1))&gt;=48,CODE(MID(TRIM(UPPER(W163)),6,1))&lt;=57,CODE(MID(TRIM(UPPER(W163)),7,1))&gt;=48,CODE(MID(TRIM(UPPER(W163)),7,1))&lt;=57,CODE(MID(TRIM(UPPER(W163)),8,1))&gt;=48,CODE(MID(TRIM(UPPER(W163)),8,1))&lt;=57,CODE(MID(TRIM(UPPER(W163)),9,1))&gt;=48,CODE(MID(TRIM(UPPER(W163)),9,1))&lt;=57),"N","Y"),IF($B163="Challan","",IF(W163&lt;&gt;"","◄ Set Row Type","")))</f>
      </c>
      <c r="Y163" s="23">
        <f>IF($B163="Entry",IF(LEN(W163)&lt;4,"",IF(UPPER(MID(W163,4,1))="P","Individual",IF(UPPER(MID(W163,4,1))="H","HUF",IF(UPPER(MID(W163,4,1))="C","Company",IF(UPPER(MID(W163,4,1))="F","Firm",IF(UPPER(MID(W163,4,1))="L","LLP",IF(UPPER(MID(W163,4,1))="T","Trust",IF(UPPER(MID(W163,4,1))="A","AOP","")))))))),IF($B163="Challan","",IF(W163&lt;&gt;"","◄ Set Row Type","")))</f>
      </c>
      <c r="Z163" s="28"/>
      <c r="AA163" s="29">
        <f>IF($B163&lt;&gt;"Entry","",IF(Z163="","",IF(X163="Y",SUMPRODUCT(('Rate Lookup'!$A$1:$A$37=Z163)*'Rate Lookup'!$D$1:$D$37),IF(OR(Y163="Individual",Y163="HUF"),SUMPRODUCT(('Rate Lookup'!$A$1:$A$37=Z163)*'Rate Lookup'!$B$1:$B$37),SUMPRODUCT(('Rate Lookup'!$A$1:$A$37=Z163)*'Rate Lookup'!$C$1:$C$37)))))</f>
      </c>
      <c r="AB163" s="30"/>
      <c r="AC163" s="31"/>
      <c r="AD163" s="27">
        <f>IF($B163&lt;&gt;"Entry","",ROUND(AC163*AA163/100,0))</f>
      </c>
      <c r="AE163" s="27">
        <f>IF($B163&lt;&gt;"Entry","",0)</f>
      </c>
      <c r="AF163" s="27">
        <f>IF($B163&lt;&gt;"Entry","",0)</f>
      </c>
      <c r="AG163" s="27">
        <f>IF($B163&lt;&gt;"Entry","",IF(OR(AD163=0,AB163="",AQ163="",AQ163&lt;=0),0,IF(AQ163&lt;=DATE(YEAR(AB163),MONTH(AB163)+1,7),0,ROUND(AD163*0.015*((YEAR(AQ163)-YEAR(AB163))*12+(MONTH(AQ163)-MONTH(AB163))+1),0))))</f>
      </c>
      <c r="AH163" s="27">
        <f>IF($B163&lt;&gt;"Entry","",0)</f>
      </c>
      <c r="AI163" s="28"/>
      <c r="AJ163" s="28"/>
      <c r="AK163" s="32"/>
      <c r="AL163" s="28"/>
      <c r="AM163" s="28"/>
      <c r="AN163" s="27">
        <f>IF($B163&lt;&gt;"Challan","",SUMIF('Q1 Data'!$D$4:$D$207,D163,'Q1 Data'!$AD$4:$AD$207)+SUMIF('Q1 Data'!$D$4:$D$207,D163,'Q1 Data'!$AG$4:$AG$207)+SUMIF('Q1 Data'!$D$4:$D$207,D163,'Q1 Data'!$AE$4:$AE$207)+SUMIF('Q2 Data'!$D$4:$D$207,D163,'Q2 Data'!$AD$4:$AD$207)+SUMIF('Q2 Data'!$D$4:$D$207,D163,'Q2 Data'!$AG$4:$AG$207)+SUMIF('Q2 Data'!$D$4:$D$207,D163,'Q2 Data'!$AE$4:$AE$207)+SUMIF('Q3 Data'!$D$4:$D$207,D163,'Q3 Data'!$AD$4:$AD$207)+SUMIF('Q3 Data'!$D$4:$D$207,D163,'Q3 Data'!$AG$4:$AG$207)+SUMIF('Q3 Data'!$D$4:$D$207,D163,'Q3 Data'!$AE$4:$AE$207)+SUMIF('Q4 Data'!$D$4:$D$207,D163,'Q4 Data'!$AD$4:$AD$207)+SUMIF('Q4 Data'!$D$4:$D$207,D163,'Q4 Data'!$AG$4:$AG$207)+SUMIF('Q4 Data'!$D$4:$D$207,D163,'Q4 Data'!$AE$4:$AE$207))</f>
      </c>
      <c r="AO163" s="27">
        <f>IF($B163&lt;&gt;"Challan","",P163-N163)</f>
      </c>
      <c r="AP163" s="27">
        <f>IF($B163&lt;&gt;"Challan","",MAX(0,AO163-AN163))</f>
      </c>
      <c r="AQ163" s="33">
        <f>IF($B163&lt;&gt;"Entry","",SUMPRODUCT(('Q1 Data'!$D$4:$D$207=D163)*('Q1 Data'!$B$4:$B$207="Challan")*'Q1 Data'!$F$4:$F$207)+SUMPRODUCT(('Q2 Data'!$D$4:$D$207=D163)*('Q2 Data'!$B$4:$B$207="Challan")*'Q2 Data'!$F$4:$F$207)+SUMPRODUCT(('Q3 Data'!$D$4:$D$207=D163)*('Q3 Data'!$B$4:$B$207="Challan")*'Q3 Data'!$F$4:$F$207)+SUMPRODUCT(('Q4 Data'!$D$4:$D$207=D163)*('Q4 Data'!$B$4:$B$207="Challan")*'Q4 Data'!$F$4:$F$207))</f>
      </c>
      <c r="AR163" s="34">
        <f>IF(OR($B163&lt;&gt;"Entry",Z163=""),FALSE,AND((SUMPRODUCT(('Q1 Data'!$D$4:$D$207=D163)*('Q1 Data'!$B$4:$B$207="Challan")*('Q1 Data'!$H$4:$H$207&lt;&gt;""))+SUMPRODUCT(('Q2 Data'!$D$4:$D$207=D163)*('Q2 Data'!$B$4:$B$207="Challan")*('Q2 Data'!$H$4:$H$207&lt;&gt;""))+SUMPRODUCT(('Q3 Data'!$D$4:$D$207=D163)*('Q3 Data'!$B$4:$B$207="Challan")*('Q3 Data'!$H$4:$H$207&lt;&gt;""))+SUMPRODUCT(('Q4 Data'!$D$4:$D$207=D163)*('Q4 Data'!$B$4:$B$207="Challan")*('Q4 Data'!$H$4:$H$207&lt;&gt;"")))&gt;0,(SUMPRODUCT(('Q1 Data'!$D$4:$D$207=D163)*('Q1 Data'!$B$4:$B$207="Challan")*('Q1 Data'!$H$4:$H$207=Z163))+SUMPRODUCT(('Q2 Data'!$D$4:$D$207=D163)*('Q2 Data'!$B$4:$B$207="Challan")*('Q2 Data'!$H$4:$H$207=Z163))+SUMPRODUCT(('Q3 Data'!$D$4:$D$207=D163)*('Q3 Data'!$B$4:$B$207="Challan")*('Q3 Data'!$H$4:$H$207=Z163))+SUMPRODUCT(('Q4 Data'!$D$4:$D$207=D163)*('Q4 Data'!$B$4:$B$207="Challan")*('Q4 Data'!$H$4:$H$207=Z163)))=0))</f>
      </c>
    </row>
    <row r="164" spans="1:44" x14ac:dyDescent="0.25">
      <c r="A164" s="20">
        <f>IF($B164="Entry",COUNTIF($B$4:$B164,"Entry"),"")</f>
      </c>
      <c r="B164" s="21"/>
      <c r="C164" s="22"/>
      <c r="D164" s="22"/>
      <c r="E164" s="23">
        <f>IF($B164&lt;&gt;"Challan","",IF(ROUND(AN164-AO164,2)&gt;0,"Over-applied",IF(ROUND(AN164-AO164,2)=0,"Fully Utilised","Unconsumed")))</f>
      </c>
      <c r="F164" s="24"/>
      <c r="G164" s="25"/>
      <c r="H164" s="25"/>
      <c r="I164" s="26"/>
      <c r="J164" s="26"/>
      <c r="K164" s="26"/>
      <c r="L164" s="26"/>
      <c r="M164" s="26"/>
      <c r="N164" s="26"/>
      <c r="O164" s="26"/>
      <c r="P164" s="27">
        <f>IF($B164&lt;&gt;"Challan","",I164+J164+K164+L164+M164+N164)</f>
      </c>
      <c r="Q164" s="25"/>
      <c r="R164" s="25"/>
      <c r="S164" s="25"/>
      <c r="T164" s="25"/>
      <c r="U164" s="25"/>
      <c r="V164" s="28"/>
      <c r="W164" s="28"/>
      <c r="X164" s="23">
        <f>IF($B164="Entry",IF(AND(LEN(TRIM(UPPER(W164)))=10,CODE(MID(TRIM(UPPER(W164)),1,1))&gt;=65,CODE(MID(TRIM(UPPER(W164)),1,1))&lt;=90,CODE(MID(TRIM(UPPER(W164)),2,1))&gt;=65,CODE(MID(TRIM(UPPER(W164)),2,1))&lt;=90,CODE(MID(TRIM(UPPER(W164)),3,1))&gt;=65,CODE(MID(TRIM(UPPER(W164)),3,1))&lt;=90,CODE(MID(TRIM(UPPER(W164)),4,1))&gt;=65,CODE(MID(TRIM(UPPER(W164)),4,1))&lt;=90,CODE(MID(TRIM(UPPER(W164)),5,1))&gt;=65,CODE(MID(TRIM(UPPER(W164)),5,1))&lt;=90,CODE(MID(TRIM(UPPER(W164)),10,1))&gt;=65,CODE(MID(TRIM(UPPER(W164)),10,1))&lt;=90,CODE(MID(TRIM(UPPER(W164)),6,1))&gt;=48,CODE(MID(TRIM(UPPER(W164)),6,1))&lt;=57,CODE(MID(TRIM(UPPER(W164)),7,1))&gt;=48,CODE(MID(TRIM(UPPER(W164)),7,1))&lt;=57,CODE(MID(TRIM(UPPER(W164)),8,1))&gt;=48,CODE(MID(TRIM(UPPER(W164)),8,1))&lt;=57,CODE(MID(TRIM(UPPER(W164)),9,1))&gt;=48,CODE(MID(TRIM(UPPER(W164)),9,1))&lt;=57),"N","Y"),IF($B164="Challan","",IF(W164&lt;&gt;"","◄ Set Row Type","")))</f>
      </c>
      <c r="Y164" s="23">
        <f>IF($B164="Entry",IF(LEN(W164)&lt;4,"",IF(UPPER(MID(W164,4,1))="P","Individual",IF(UPPER(MID(W164,4,1))="H","HUF",IF(UPPER(MID(W164,4,1))="C","Company",IF(UPPER(MID(W164,4,1))="F","Firm",IF(UPPER(MID(W164,4,1))="L","LLP",IF(UPPER(MID(W164,4,1))="T","Trust",IF(UPPER(MID(W164,4,1))="A","AOP","")))))))),IF($B164="Challan","",IF(W164&lt;&gt;"","◄ Set Row Type","")))</f>
      </c>
      <c r="Z164" s="28"/>
      <c r="AA164" s="29">
        <f>IF($B164&lt;&gt;"Entry","",IF(Z164="","",IF(X164="Y",SUMPRODUCT(('Rate Lookup'!$A$1:$A$37=Z164)*'Rate Lookup'!$D$1:$D$37),IF(OR(Y164="Individual",Y164="HUF"),SUMPRODUCT(('Rate Lookup'!$A$1:$A$37=Z164)*'Rate Lookup'!$B$1:$B$37),SUMPRODUCT(('Rate Lookup'!$A$1:$A$37=Z164)*'Rate Lookup'!$C$1:$C$37)))))</f>
      </c>
      <c r="AB164" s="30"/>
      <c r="AC164" s="31"/>
      <c r="AD164" s="27">
        <f>IF($B164&lt;&gt;"Entry","",ROUND(AC164*AA164/100,0))</f>
      </c>
      <c r="AE164" s="27">
        <f>IF($B164&lt;&gt;"Entry","",0)</f>
      </c>
      <c r="AF164" s="27">
        <f>IF($B164&lt;&gt;"Entry","",0)</f>
      </c>
      <c r="AG164" s="27">
        <f>IF($B164&lt;&gt;"Entry","",IF(OR(AD164=0,AB164="",AQ164="",AQ164&lt;=0),0,IF(AQ164&lt;=DATE(YEAR(AB164),MONTH(AB164)+1,7),0,ROUND(AD164*0.015*((YEAR(AQ164)-YEAR(AB164))*12+(MONTH(AQ164)-MONTH(AB164))+1),0))))</f>
      </c>
      <c r="AH164" s="27">
        <f>IF($B164&lt;&gt;"Entry","",0)</f>
      </c>
      <c r="AI164" s="28"/>
      <c r="AJ164" s="28"/>
      <c r="AK164" s="32"/>
      <c r="AL164" s="28"/>
      <c r="AM164" s="28"/>
      <c r="AN164" s="27">
        <f>IF($B164&lt;&gt;"Challan","",SUMIF('Q1 Data'!$D$4:$D$207,D164,'Q1 Data'!$AD$4:$AD$207)+SUMIF('Q1 Data'!$D$4:$D$207,D164,'Q1 Data'!$AG$4:$AG$207)+SUMIF('Q1 Data'!$D$4:$D$207,D164,'Q1 Data'!$AE$4:$AE$207)+SUMIF('Q2 Data'!$D$4:$D$207,D164,'Q2 Data'!$AD$4:$AD$207)+SUMIF('Q2 Data'!$D$4:$D$207,D164,'Q2 Data'!$AG$4:$AG$207)+SUMIF('Q2 Data'!$D$4:$D$207,D164,'Q2 Data'!$AE$4:$AE$207)+SUMIF('Q3 Data'!$D$4:$D$207,D164,'Q3 Data'!$AD$4:$AD$207)+SUMIF('Q3 Data'!$D$4:$D$207,D164,'Q3 Data'!$AG$4:$AG$207)+SUMIF('Q3 Data'!$D$4:$D$207,D164,'Q3 Data'!$AE$4:$AE$207)+SUMIF('Q4 Data'!$D$4:$D$207,D164,'Q4 Data'!$AD$4:$AD$207)+SUMIF('Q4 Data'!$D$4:$D$207,D164,'Q4 Data'!$AG$4:$AG$207)+SUMIF('Q4 Data'!$D$4:$D$207,D164,'Q4 Data'!$AE$4:$AE$207))</f>
      </c>
      <c r="AO164" s="27">
        <f>IF($B164&lt;&gt;"Challan","",P164-N164)</f>
      </c>
      <c r="AP164" s="27">
        <f>IF($B164&lt;&gt;"Challan","",MAX(0,AO164-AN164))</f>
      </c>
      <c r="AQ164" s="33">
        <f>IF($B164&lt;&gt;"Entry","",SUMPRODUCT(('Q1 Data'!$D$4:$D$207=D164)*('Q1 Data'!$B$4:$B$207="Challan")*'Q1 Data'!$F$4:$F$207)+SUMPRODUCT(('Q2 Data'!$D$4:$D$207=D164)*('Q2 Data'!$B$4:$B$207="Challan")*'Q2 Data'!$F$4:$F$207)+SUMPRODUCT(('Q3 Data'!$D$4:$D$207=D164)*('Q3 Data'!$B$4:$B$207="Challan")*'Q3 Data'!$F$4:$F$207)+SUMPRODUCT(('Q4 Data'!$D$4:$D$207=D164)*('Q4 Data'!$B$4:$B$207="Challan")*'Q4 Data'!$F$4:$F$207))</f>
      </c>
      <c r="AR164" s="34">
        <f>IF(OR($B164&lt;&gt;"Entry",Z164=""),FALSE,AND((SUMPRODUCT(('Q1 Data'!$D$4:$D$207=D164)*('Q1 Data'!$B$4:$B$207="Challan")*('Q1 Data'!$H$4:$H$207&lt;&gt;""))+SUMPRODUCT(('Q2 Data'!$D$4:$D$207=D164)*('Q2 Data'!$B$4:$B$207="Challan")*('Q2 Data'!$H$4:$H$207&lt;&gt;""))+SUMPRODUCT(('Q3 Data'!$D$4:$D$207=D164)*('Q3 Data'!$B$4:$B$207="Challan")*('Q3 Data'!$H$4:$H$207&lt;&gt;""))+SUMPRODUCT(('Q4 Data'!$D$4:$D$207=D164)*('Q4 Data'!$B$4:$B$207="Challan")*('Q4 Data'!$H$4:$H$207&lt;&gt;"")))&gt;0,(SUMPRODUCT(('Q1 Data'!$D$4:$D$207=D164)*('Q1 Data'!$B$4:$B$207="Challan")*('Q1 Data'!$H$4:$H$207=Z164))+SUMPRODUCT(('Q2 Data'!$D$4:$D$207=D164)*('Q2 Data'!$B$4:$B$207="Challan")*('Q2 Data'!$H$4:$H$207=Z164))+SUMPRODUCT(('Q3 Data'!$D$4:$D$207=D164)*('Q3 Data'!$B$4:$B$207="Challan")*('Q3 Data'!$H$4:$H$207=Z164))+SUMPRODUCT(('Q4 Data'!$D$4:$D$207=D164)*('Q4 Data'!$B$4:$B$207="Challan")*('Q4 Data'!$H$4:$H$207=Z164)))=0))</f>
      </c>
    </row>
    <row r="165" spans="1:44" x14ac:dyDescent="0.25">
      <c r="A165" s="20">
        <f>IF($B165="Entry",COUNTIF($B$4:$B165,"Entry"),"")</f>
      </c>
      <c r="B165" s="21"/>
      <c r="C165" s="22"/>
      <c r="D165" s="22"/>
      <c r="E165" s="23">
        <f>IF($B165&lt;&gt;"Challan","",IF(ROUND(AN165-AO165,2)&gt;0,"Over-applied",IF(ROUND(AN165-AO165,2)=0,"Fully Utilised","Unconsumed")))</f>
      </c>
      <c r="F165" s="24"/>
      <c r="G165" s="25"/>
      <c r="H165" s="25"/>
      <c r="I165" s="26"/>
      <c r="J165" s="26"/>
      <c r="K165" s="26"/>
      <c r="L165" s="26"/>
      <c r="M165" s="26"/>
      <c r="N165" s="26"/>
      <c r="O165" s="26"/>
      <c r="P165" s="27">
        <f>IF($B165&lt;&gt;"Challan","",I165+J165+K165+L165+M165+N165)</f>
      </c>
      <c r="Q165" s="25"/>
      <c r="R165" s="25"/>
      <c r="S165" s="25"/>
      <c r="T165" s="25"/>
      <c r="U165" s="25"/>
      <c r="V165" s="28"/>
      <c r="W165" s="28"/>
      <c r="X165" s="23">
        <f>IF($B165="Entry",IF(AND(LEN(TRIM(UPPER(W165)))=10,CODE(MID(TRIM(UPPER(W165)),1,1))&gt;=65,CODE(MID(TRIM(UPPER(W165)),1,1))&lt;=90,CODE(MID(TRIM(UPPER(W165)),2,1))&gt;=65,CODE(MID(TRIM(UPPER(W165)),2,1))&lt;=90,CODE(MID(TRIM(UPPER(W165)),3,1))&gt;=65,CODE(MID(TRIM(UPPER(W165)),3,1))&lt;=90,CODE(MID(TRIM(UPPER(W165)),4,1))&gt;=65,CODE(MID(TRIM(UPPER(W165)),4,1))&lt;=90,CODE(MID(TRIM(UPPER(W165)),5,1))&gt;=65,CODE(MID(TRIM(UPPER(W165)),5,1))&lt;=90,CODE(MID(TRIM(UPPER(W165)),10,1))&gt;=65,CODE(MID(TRIM(UPPER(W165)),10,1))&lt;=90,CODE(MID(TRIM(UPPER(W165)),6,1))&gt;=48,CODE(MID(TRIM(UPPER(W165)),6,1))&lt;=57,CODE(MID(TRIM(UPPER(W165)),7,1))&gt;=48,CODE(MID(TRIM(UPPER(W165)),7,1))&lt;=57,CODE(MID(TRIM(UPPER(W165)),8,1))&gt;=48,CODE(MID(TRIM(UPPER(W165)),8,1))&lt;=57,CODE(MID(TRIM(UPPER(W165)),9,1))&gt;=48,CODE(MID(TRIM(UPPER(W165)),9,1))&lt;=57),"N","Y"),IF($B165="Challan","",IF(W165&lt;&gt;"","◄ Set Row Type","")))</f>
      </c>
      <c r="Y165" s="23">
        <f>IF($B165="Entry",IF(LEN(W165)&lt;4,"",IF(UPPER(MID(W165,4,1))="P","Individual",IF(UPPER(MID(W165,4,1))="H","HUF",IF(UPPER(MID(W165,4,1))="C","Company",IF(UPPER(MID(W165,4,1))="F","Firm",IF(UPPER(MID(W165,4,1))="L","LLP",IF(UPPER(MID(W165,4,1))="T","Trust",IF(UPPER(MID(W165,4,1))="A","AOP","")))))))),IF($B165="Challan","",IF(W165&lt;&gt;"","◄ Set Row Type","")))</f>
      </c>
      <c r="Z165" s="28"/>
      <c r="AA165" s="29">
        <f>IF($B165&lt;&gt;"Entry","",IF(Z165="","",IF(X165="Y",SUMPRODUCT(('Rate Lookup'!$A$1:$A$37=Z165)*'Rate Lookup'!$D$1:$D$37),IF(OR(Y165="Individual",Y165="HUF"),SUMPRODUCT(('Rate Lookup'!$A$1:$A$37=Z165)*'Rate Lookup'!$B$1:$B$37),SUMPRODUCT(('Rate Lookup'!$A$1:$A$37=Z165)*'Rate Lookup'!$C$1:$C$37)))))</f>
      </c>
      <c r="AB165" s="30"/>
      <c r="AC165" s="31"/>
      <c r="AD165" s="27">
        <f>IF($B165&lt;&gt;"Entry","",ROUND(AC165*AA165/100,0))</f>
      </c>
      <c r="AE165" s="27">
        <f>IF($B165&lt;&gt;"Entry","",0)</f>
      </c>
      <c r="AF165" s="27">
        <f>IF($B165&lt;&gt;"Entry","",0)</f>
      </c>
      <c r="AG165" s="27">
        <f>IF($B165&lt;&gt;"Entry","",IF(OR(AD165=0,AB165="",AQ165="",AQ165&lt;=0),0,IF(AQ165&lt;=DATE(YEAR(AB165),MONTH(AB165)+1,7),0,ROUND(AD165*0.015*((YEAR(AQ165)-YEAR(AB165))*12+(MONTH(AQ165)-MONTH(AB165))+1),0))))</f>
      </c>
      <c r="AH165" s="27">
        <f>IF($B165&lt;&gt;"Entry","",0)</f>
      </c>
      <c r="AI165" s="28"/>
      <c r="AJ165" s="28"/>
      <c r="AK165" s="32"/>
      <c r="AL165" s="28"/>
      <c r="AM165" s="28"/>
      <c r="AN165" s="27">
        <f>IF($B165&lt;&gt;"Challan","",SUMIF('Q1 Data'!$D$4:$D$207,D165,'Q1 Data'!$AD$4:$AD$207)+SUMIF('Q1 Data'!$D$4:$D$207,D165,'Q1 Data'!$AG$4:$AG$207)+SUMIF('Q1 Data'!$D$4:$D$207,D165,'Q1 Data'!$AE$4:$AE$207)+SUMIF('Q2 Data'!$D$4:$D$207,D165,'Q2 Data'!$AD$4:$AD$207)+SUMIF('Q2 Data'!$D$4:$D$207,D165,'Q2 Data'!$AG$4:$AG$207)+SUMIF('Q2 Data'!$D$4:$D$207,D165,'Q2 Data'!$AE$4:$AE$207)+SUMIF('Q3 Data'!$D$4:$D$207,D165,'Q3 Data'!$AD$4:$AD$207)+SUMIF('Q3 Data'!$D$4:$D$207,D165,'Q3 Data'!$AG$4:$AG$207)+SUMIF('Q3 Data'!$D$4:$D$207,D165,'Q3 Data'!$AE$4:$AE$207)+SUMIF('Q4 Data'!$D$4:$D$207,D165,'Q4 Data'!$AD$4:$AD$207)+SUMIF('Q4 Data'!$D$4:$D$207,D165,'Q4 Data'!$AG$4:$AG$207)+SUMIF('Q4 Data'!$D$4:$D$207,D165,'Q4 Data'!$AE$4:$AE$207))</f>
      </c>
      <c r="AO165" s="27">
        <f>IF($B165&lt;&gt;"Challan","",P165-N165)</f>
      </c>
      <c r="AP165" s="27">
        <f>IF($B165&lt;&gt;"Challan","",MAX(0,AO165-AN165))</f>
      </c>
      <c r="AQ165" s="33">
        <f>IF($B165&lt;&gt;"Entry","",SUMPRODUCT(('Q1 Data'!$D$4:$D$207=D165)*('Q1 Data'!$B$4:$B$207="Challan")*'Q1 Data'!$F$4:$F$207)+SUMPRODUCT(('Q2 Data'!$D$4:$D$207=D165)*('Q2 Data'!$B$4:$B$207="Challan")*'Q2 Data'!$F$4:$F$207)+SUMPRODUCT(('Q3 Data'!$D$4:$D$207=D165)*('Q3 Data'!$B$4:$B$207="Challan")*'Q3 Data'!$F$4:$F$207)+SUMPRODUCT(('Q4 Data'!$D$4:$D$207=D165)*('Q4 Data'!$B$4:$B$207="Challan")*'Q4 Data'!$F$4:$F$207))</f>
      </c>
      <c r="AR165" s="34">
        <f>IF(OR($B165&lt;&gt;"Entry",Z165=""),FALSE,AND((SUMPRODUCT(('Q1 Data'!$D$4:$D$207=D165)*('Q1 Data'!$B$4:$B$207="Challan")*('Q1 Data'!$H$4:$H$207&lt;&gt;""))+SUMPRODUCT(('Q2 Data'!$D$4:$D$207=D165)*('Q2 Data'!$B$4:$B$207="Challan")*('Q2 Data'!$H$4:$H$207&lt;&gt;""))+SUMPRODUCT(('Q3 Data'!$D$4:$D$207=D165)*('Q3 Data'!$B$4:$B$207="Challan")*('Q3 Data'!$H$4:$H$207&lt;&gt;""))+SUMPRODUCT(('Q4 Data'!$D$4:$D$207=D165)*('Q4 Data'!$B$4:$B$207="Challan")*('Q4 Data'!$H$4:$H$207&lt;&gt;"")))&gt;0,(SUMPRODUCT(('Q1 Data'!$D$4:$D$207=D165)*('Q1 Data'!$B$4:$B$207="Challan")*('Q1 Data'!$H$4:$H$207=Z165))+SUMPRODUCT(('Q2 Data'!$D$4:$D$207=D165)*('Q2 Data'!$B$4:$B$207="Challan")*('Q2 Data'!$H$4:$H$207=Z165))+SUMPRODUCT(('Q3 Data'!$D$4:$D$207=D165)*('Q3 Data'!$B$4:$B$207="Challan")*('Q3 Data'!$H$4:$H$207=Z165))+SUMPRODUCT(('Q4 Data'!$D$4:$D$207=D165)*('Q4 Data'!$B$4:$B$207="Challan")*('Q4 Data'!$H$4:$H$207=Z165)))=0))</f>
      </c>
    </row>
    <row r="166" spans="1:44" x14ac:dyDescent="0.25">
      <c r="A166" s="20">
        <f>IF($B166="Entry",COUNTIF($B$4:$B166,"Entry"),"")</f>
      </c>
      <c r="B166" s="21"/>
      <c r="C166" s="22"/>
      <c r="D166" s="22"/>
      <c r="E166" s="23">
        <f>IF($B166&lt;&gt;"Challan","",IF(ROUND(AN166-AO166,2)&gt;0,"Over-applied",IF(ROUND(AN166-AO166,2)=0,"Fully Utilised","Unconsumed")))</f>
      </c>
      <c r="F166" s="24"/>
      <c r="G166" s="25"/>
      <c r="H166" s="25"/>
      <c r="I166" s="26"/>
      <c r="J166" s="26"/>
      <c r="K166" s="26"/>
      <c r="L166" s="26"/>
      <c r="M166" s="26"/>
      <c r="N166" s="26"/>
      <c r="O166" s="26"/>
      <c r="P166" s="27">
        <f>IF($B166&lt;&gt;"Challan","",I166+J166+K166+L166+M166+N166)</f>
      </c>
      <c r="Q166" s="25"/>
      <c r="R166" s="25"/>
      <c r="S166" s="25"/>
      <c r="T166" s="25"/>
      <c r="U166" s="25"/>
      <c r="V166" s="28"/>
      <c r="W166" s="28"/>
      <c r="X166" s="23">
        <f>IF($B166="Entry",IF(AND(LEN(TRIM(UPPER(W166)))=10,CODE(MID(TRIM(UPPER(W166)),1,1))&gt;=65,CODE(MID(TRIM(UPPER(W166)),1,1))&lt;=90,CODE(MID(TRIM(UPPER(W166)),2,1))&gt;=65,CODE(MID(TRIM(UPPER(W166)),2,1))&lt;=90,CODE(MID(TRIM(UPPER(W166)),3,1))&gt;=65,CODE(MID(TRIM(UPPER(W166)),3,1))&lt;=90,CODE(MID(TRIM(UPPER(W166)),4,1))&gt;=65,CODE(MID(TRIM(UPPER(W166)),4,1))&lt;=90,CODE(MID(TRIM(UPPER(W166)),5,1))&gt;=65,CODE(MID(TRIM(UPPER(W166)),5,1))&lt;=90,CODE(MID(TRIM(UPPER(W166)),10,1))&gt;=65,CODE(MID(TRIM(UPPER(W166)),10,1))&lt;=90,CODE(MID(TRIM(UPPER(W166)),6,1))&gt;=48,CODE(MID(TRIM(UPPER(W166)),6,1))&lt;=57,CODE(MID(TRIM(UPPER(W166)),7,1))&gt;=48,CODE(MID(TRIM(UPPER(W166)),7,1))&lt;=57,CODE(MID(TRIM(UPPER(W166)),8,1))&gt;=48,CODE(MID(TRIM(UPPER(W166)),8,1))&lt;=57,CODE(MID(TRIM(UPPER(W166)),9,1))&gt;=48,CODE(MID(TRIM(UPPER(W166)),9,1))&lt;=57),"N","Y"),IF($B166="Challan","",IF(W166&lt;&gt;"","◄ Set Row Type","")))</f>
      </c>
      <c r="Y166" s="23">
        <f>IF($B166="Entry",IF(LEN(W166)&lt;4,"",IF(UPPER(MID(W166,4,1))="P","Individual",IF(UPPER(MID(W166,4,1))="H","HUF",IF(UPPER(MID(W166,4,1))="C","Company",IF(UPPER(MID(W166,4,1))="F","Firm",IF(UPPER(MID(W166,4,1))="L","LLP",IF(UPPER(MID(W166,4,1))="T","Trust",IF(UPPER(MID(W166,4,1))="A","AOP","")))))))),IF($B166="Challan","",IF(W166&lt;&gt;"","◄ Set Row Type","")))</f>
      </c>
      <c r="Z166" s="28"/>
      <c r="AA166" s="29">
        <f>IF($B166&lt;&gt;"Entry","",IF(Z166="","",IF(X166="Y",SUMPRODUCT(('Rate Lookup'!$A$1:$A$37=Z166)*'Rate Lookup'!$D$1:$D$37),IF(OR(Y166="Individual",Y166="HUF"),SUMPRODUCT(('Rate Lookup'!$A$1:$A$37=Z166)*'Rate Lookup'!$B$1:$B$37),SUMPRODUCT(('Rate Lookup'!$A$1:$A$37=Z166)*'Rate Lookup'!$C$1:$C$37)))))</f>
      </c>
      <c r="AB166" s="30"/>
      <c r="AC166" s="31"/>
      <c r="AD166" s="27">
        <f>IF($B166&lt;&gt;"Entry","",ROUND(AC166*AA166/100,0))</f>
      </c>
      <c r="AE166" s="27">
        <f>IF($B166&lt;&gt;"Entry","",0)</f>
      </c>
      <c r="AF166" s="27">
        <f>IF($B166&lt;&gt;"Entry","",0)</f>
      </c>
      <c r="AG166" s="27">
        <f>IF($B166&lt;&gt;"Entry","",IF(OR(AD166=0,AB166="",AQ166="",AQ166&lt;=0),0,IF(AQ166&lt;=DATE(YEAR(AB166),MONTH(AB166)+1,7),0,ROUND(AD166*0.015*((YEAR(AQ166)-YEAR(AB166))*12+(MONTH(AQ166)-MONTH(AB166))+1),0))))</f>
      </c>
      <c r="AH166" s="27">
        <f>IF($B166&lt;&gt;"Entry","",0)</f>
      </c>
      <c r="AI166" s="28"/>
      <c r="AJ166" s="28"/>
      <c r="AK166" s="32"/>
      <c r="AL166" s="28"/>
      <c r="AM166" s="28"/>
      <c r="AN166" s="27">
        <f>IF($B166&lt;&gt;"Challan","",SUMIF('Q1 Data'!$D$4:$D$207,D166,'Q1 Data'!$AD$4:$AD$207)+SUMIF('Q1 Data'!$D$4:$D$207,D166,'Q1 Data'!$AG$4:$AG$207)+SUMIF('Q1 Data'!$D$4:$D$207,D166,'Q1 Data'!$AE$4:$AE$207)+SUMIF('Q2 Data'!$D$4:$D$207,D166,'Q2 Data'!$AD$4:$AD$207)+SUMIF('Q2 Data'!$D$4:$D$207,D166,'Q2 Data'!$AG$4:$AG$207)+SUMIF('Q2 Data'!$D$4:$D$207,D166,'Q2 Data'!$AE$4:$AE$207)+SUMIF('Q3 Data'!$D$4:$D$207,D166,'Q3 Data'!$AD$4:$AD$207)+SUMIF('Q3 Data'!$D$4:$D$207,D166,'Q3 Data'!$AG$4:$AG$207)+SUMIF('Q3 Data'!$D$4:$D$207,D166,'Q3 Data'!$AE$4:$AE$207)+SUMIF('Q4 Data'!$D$4:$D$207,D166,'Q4 Data'!$AD$4:$AD$207)+SUMIF('Q4 Data'!$D$4:$D$207,D166,'Q4 Data'!$AG$4:$AG$207)+SUMIF('Q4 Data'!$D$4:$D$207,D166,'Q4 Data'!$AE$4:$AE$207))</f>
      </c>
      <c r="AO166" s="27">
        <f>IF($B166&lt;&gt;"Challan","",P166-N166)</f>
      </c>
      <c r="AP166" s="27">
        <f>IF($B166&lt;&gt;"Challan","",MAX(0,AO166-AN166))</f>
      </c>
      <c r="AQ166" s="33">
        <f>IF($B166&lt;&gt;"Entry","",SUMPRODUCT(('Q1 Data'!$D$4:$D$207=D166)*('Q1 Data'!$B$4:$B$207="Challan")*'Q1 Data'!$F$4:$F$207)+SUMPRODUCT(('Q2 Data'!$D$4:$D$207=D166)*('Q2 Data'!$B$4:$B$207="Challan")*'Q2 Data'!$F$4:$F$207)+SUMPRODUCT(('Q3 Data'!$D$4:$D$207=D166)*('Q3 Data'!$B$4:$B$207="Challan")*'Q3 Data'!$F$4:$F$207)+SUMPRODUCT(('Q4 Data'!$D$4:$D$207=D166)*('Q4 Data'!$B$4:$B$207="Challan")*'Q4 Data'!$F$4:$F$207))</f>
      </c>
      <c r="AR166" s="34">
        <f>IF(OR($B166&lt;&gt;"Entry",Z166=""),FALSE,AND((SUMPRODUCT(('Q1 Data'!$D$4:$D$207=D166)*('Q1 Data'!$B$4:$B$207="Challan")*('Q1 Data'!$H$4:$H$207&lt;&gt;""))+SUMPRODUCT(('Q2 Data'!$D$4:$D$207=D166)*('Q2 Data'!$B$4:$B$207="Challan")*('Q2 Data'!$H$4:$H$207&lt;&gt;""))+SUMPRODUCT(('Q3 Data'!$D$4:$D$207=D166)*('Q3 Data'!$B$4:$B$207="Challan")*('Q3 Data'!$H$4:$H$207&lt;&gt;""))+SUMPRODUCT(('Q4 Data'!$D$4:$D$207=D166)*('Q4 Data'!$B$4:$B$207="Challan")*('Q4 Data'!$H$4:$H$207&lt;&gt;"")))&gt;0,(SUMPRODUCT(('Q1 Data'!$D$4:$D$207=D166)*('Q1 Data'!$B$4:$B$207="Challan")*('Q1 Data'!$H$4:$H$207=Z166))+SUMPRODUCT(('Q2 Data'!$D$4:$D$207=D166)*('Q2 Data'!$B$4:$B$207="Challan")*('Q2 Data'!$H$4:$H$207=Z166))+SUMPRODUCT(('Q3 Data'!$D$4:$D$207=D166)*('Q3 Data'!$B$4:$B$207="Challan")*('Q3 Data'!$H$4:$H$207=Z166))+SUMPRODUCT(('Q4 Data'!$D$4:$D$207=D166)*('Q4 Data'!$B$4:$B$207="Challan")*('Q4 Data'!$H$4:$H$207=Z166)))=0))</f>
      </c>
    </row>
    <row r="167" spans="1:44" x14ac:dyDescent="0.25">
      <c r="A167" s="20">
        <f>IF($B167="Entry",COUNTIF($B$4:$B167,"Entry"),"")</f>
      </c>
      <c r="B167" s="21"/>
      <c r="C167" s="22"/>
      <c r="D167" s="22"/>
      <c r="E167" s="23">
        <f>IF($B167&lt;&gt;"Challan","",IF(ROUND(AN167-AO167,2)&gt;0,"Over-applied",IF(ROUND(AN167-AO167,2)=0,"Fully Utilised","Unconsumed")))</f>
      </c>
      <c r="F167" s="24"/>
      <c r="G167" s="25"/>
      <c r="H167" s="25"/>
      <c r="I167" s="26"/>
      <c r="J167" s="26"/>
      <c r="K167" s="26"/>
      <c r="L167" s="26"/>
      <c r="M167" s="26"/>
      <c r="N167" s="26"/>
      <c r="O167" s="26"/>
      <c r="P167" s="27">
        <f>IF($B167&lt;&gt;"Challan","",I167+J167+K167+L167+M167+N167)</f>
      </c>
      <c r="Q167" s="25"/>
      <c r="R167" s="25"/>
      <c r="S167" s="25"/>
      <c r="T167" s="25"/>
      <c r="U167" s="25"/>
      <c r="V167" s="28"/>
      <c r="W167" s="28"/>
      <c r="X167" s="23">
        <f>IF($B167="Entry",IF(AND(LEN(TRIM(UPPER(W167)))=10,CODE(MID(TRIM(UPPER(W167)),1,1))&gt;=65,CODE(MID(TRIM(UPPER(W167)),1,1))&lt;=90,CODE(MID(TRIM(UPPER(W167)),2,1))&gt;=65,CODE(MID(TRIM(UPPER(W167)),2,1))&lt;=90,CODE(MID(TRIM(UPPER(W167)),3,1))&gt;=65,CODE(MID(TRIM(UPPER(W167)),3,1))&lt;=90,CODE(MID(TRIM(UPPER(W167)),4,1))&gt;=65,CODE(MID(TRIM(UPPER(W167)),4,1))&lt;=90,CODE(MID(TRIM(UPPER(W167)),5,1))&gt;=65,CODE(MID(TRIM(UPPER(W167)),5,1))&lt;=90,CODE(MID(TRIM(UPPER(W167)),10,1))&gt;=65,CODE(MID(TRIM(UPPER(W167)),10,1))&lt;=90,CODE(MID(TRIM(UPPER(W167)),6,1))&gt;=48,CODE(MID(TRIM(UPPER(W167)),6,1))&lt;=57,CODE(MID(TRIM(UPPER(W167)),7,1))&gt;=48,CODE(MID(TRIM(UPPER(W167)),7,1))&lt;=57,CODE(MID(TRIM(UPPER(W167)),8,1))&gt;=48,CODE(MID(TRIM(UPPER(W167)),8,1))&lt;=57,CODE(MID(TRIM(UPPER(W167)),9,1))&gt;=48,CODE(MID(TRIM(UPPER(W167)),9,1))&lt;=57),"N","Y"),IF($B167="Challan","",IF(W167&lt;&gt;"","◄ Set Row Type","")))</f>
      </c>
      <c r="Y167" s="23">
        <f>IF($B167="Entry",IF(LEN(W167)&lt;4,"",IF(UPPER(MID(W167,4,1))="P","Individual",IF(UPPER(MID(W167,4,1))="H","HUF",IF(UPPER(MID(W167,4,1))="C","Company",IF(UPPER(MID(W167,4,1))="F","Firm",IF(UPPER(MID(W167,4,1))="L","LLP",IF(UPPER(MID(W167,4,1))="T","Trust",IF(UPPER(MID(W167,4,1))="A","AOP","")))))))),IF($B167="Challan","",IF(W167&lt;&gt;"","◄ Set Row Type","")))</f>
      </c>
      <c r="Z167" s="28"/>
      <c r="AA167" s="29">
        <f>IF($B167&lt;&gt;"Entry","",IF(Z167="","",IF(X167="Y",SUMPRODUCT(('Rate Lookup'!$A$1:$A$37=Z167)*'Rate Lookup'!$D$1:$D$37),IF(OR(Y167="Individual",Y167="HUF"),SUMPRODUCT(('Rate Lookup'!$A$1:$A$37=Z167)*'Rate Lookup'!$B$1:$B$37),SUMPRODUCT(('Rate Lookup'!$A$1:$A$37=Z167)*'Rate Lookup'!$C$1:$C$37)))))</f>
      </c>
      <c r="AB167" s="30"/>
      <c r="AC167" s="31"/>
      <c r="AD167" s="27">
        <f>IF($B167&lt;&gt;"Entry","",ROUND(AC167*AA167/100,0))</f>
      </c>
      <c r="AE167" s="27">
        <f>IF($B167&lt;&gt;"Entry","",0)</f>
      </c>
      <c r="AF167" s="27">
        <f>IF($B167&lt;&gt;"Entry","",0)</f>
      </c>
      <c r="AG167" s="27">
        <f>IF($B167&lt;&gt;"Entry","",IF(OR(AD167=0,AB167="",AQ167="",AQ167&lt;=0),0,IF(AQ167&lt;=DATE(YEAR(AB167),MONTH(AB167)+1,7),0,ROUND(AD167*0.015*((YEAR(AQ167)-YEAR(AB167))*12+(MONTH(AQ167)-MONTH(AB167))+1),0))))</f>
      </c>
      <c r="AH167" s="27">
        <f>IF($B167&lt;&gt;"Entry","",0)</f>
      </c>
      <c r="AI167" s="28"/>
      <c r="AJ167" s="28"/>
      <c r="AK167" s="32"/>
      <c r="AL167" s="28"/>
      <c r="AM167" s="28"/>
      <c r="AN167" s="27">
        <f>IF($B167&lt;&gt;"Challan","",SUMIF('Q1 Data'!$D$4:$D$207,D167,'Q1 Data'!$AD$4:$AD$207)+SUMIF('Q1 Data'!$D$4:$D$207,D167,'Q1 Data'!$AG$4:$AG$207)+SUMIF('Q1 Data'!$D$4:$D$207,D167,'Q1 Data'!$AE$4:$AE$207)+SUMIF('Q2 Data'!$D$4:$D$207,D167,'Q2 Data'!$AD$4:$AD$207)+SUMIF('Q2 Data'!$D$4:$D$207,D167,'Q2 Data'!$AG$4:$AG$207)+SUMIF('Q2 Data'!$D$4:$D$207,D167,'Q2 Data'!$AE$4:$AE$207)+SUMIF('Q3 Data'!$D$4:$D$207,D167,'Q3 Data'!$AD$4:$AD$207)+SUMIF('Q3 Data'!$D$4:$D$207,D167,'Q3 Data'!$AG$4:$AG$207)+SUMIF('Q3 Data'!$D$4:$D$207,D167,'Q3 Data'!$AE$4:$AE$207)+SUMIF('Q4 Data'!$D$4:$D$207,D167,'Q4 Data'!$AD$4:$AD$207)+SUMIF('Q4 Data'!$D$4:$D$207,D167,'Q4 Data'!$AG$4:$AG$207)+SUMIF('Q4 Data'!$D$4:$D$207,D167,'Q4 Data'!$AE$4:$AE$207))</f>
      </c>
      <c r="AO167" s="27">
        <f>IF($B167&lt;&gt;"Challan","",P167-N167)</f>
      </c>
      <c r="AP167" s="27">
        <f>IF($B167&lt;&gt;"Challan","",MAX(0,AO167-AN167))</f>
      </c>
      <c r="AQ167" s="33">
        <f>IF($B167&lt;&gt;"Entry","",SUMPRODUCT(('Q1 Data'!$D$4:$D$207=D167)*('Q1 Data'!$B$4:$B$207="Challan")*'Q1 Data'!$F$4:$F$207)+SUMPRODUCT(('Q2 Data'!$D$4:$D$207=D167)*('Q2 Data'!$B$4:$B$207="Challan")*'Q2 Data'!$F$4:$F$207)+SUMPRODUCT(('Q3 Data'!$D$4:$D$207=D167)*('Q3 Data'!$B$4:$B$207="Challan")*'Q3 Data'!$F$4:$F$207)+SUMPRODUCT(('Q4 Data'!$D$4:$D$207=D167)*('Q4 Data'!$B$4:$B$207="Challan")*'Q4 Data'!$F$4:$F$207))</f>
      </c>
      <c r="AR167" s="34">
        <f>IF(OR($B167&lt;&gt;"Entry",Z167=""),FALSE,AND((SUMPRODUCT(('Q1 Data'!$D$4:$D$207=D167)*('Q1 Data'!$B$4:$B$207="Challan")*('Q1 Data'!$H$4:$H$207&lt;&gt;""))+SUMPRODUCT(('Q2 Data'!$D$4:$D$207=D167)*('Q2 Data'!$B$4:$B$207="Challan")*('Q2 Data'!$H$4:$H$207&lt;&gt;""))+SUMPRODUCT(('Q3 Data'!$D$4:$D$207=D167)*('Q3 Data'!$B$4:$B$207="Challan")*('Q3 Data'!$H$4:$H$207&lt;&gt;""))+SUMPRODUCT(('Q4 Data'!$D$4:$D$207=D167)*('Q4 Data'!$B$4:$B$207="Challan")*('Q4 Data'!$H$4:$H$207&lt;&gt;"")))&gt;0,(SUMPRODUCT(('Q1 Data'!$D$4:$D$207=D167)*('Q1 Data'!$B$4:$B$207="Challan")*('Q1 Data'!$H$4:$H$207=Z167))+SUMPRODUCT(('Q2 Data'!$D$4:$D$207=D167)*('Q2 Data'!$B$4:$B$207="Challan")*('Q2 Data'!$H$4:$H$207=Z167))+SUMPRODUCT(('Q3 Data'!$D$4:$D$207=D167)*('Q3 Data'!$B$4:$B$207="Challan")*('Q3 Data'!$H$4:$H$207=Z167))+SUMPRODUCT(('Q4 Data'!$D$4:$D$207=D167)*('Q4 Data'!$B$4:$B$207="Challan")*('Q4 Data'!$H$4:$H$207=Z167)))=0))</f>
      </c>
    </row>
    <row r="168" spans="1:44" x14ac:dyDescent="0.25">
      <c r="A168" s="20">
        <f>IF($B168="Entry",COUNTIF($B$4:$B168,"Entry"),"")</f>
      </c>
      <c r="B168" s="21"/>
      <c r="C168" s="22"/>
      <c r="D168" s="22"/>
      <c r="E168" s="23">
        <f>IF($B168&lt;&gt;"Challan","",IF(ROUND(AN168-AO168,2)&gt;0,"Over-applied",IF(ROUND(AN168-AO168,2)=0,"Fully Utilised","Unconsumed")))</f>
      </c>
      <c r="F168" s="24"/>
      <c r="G168" s="25"/>
      <c r="H168" s="25"/>
      <c r="I168" s="26"/>
      <c r="J168" s="26"/>
      <c r="K168" s="26"/>
      <c r="L168" s="26"/>
      <c r="M168" s="26"/>
      <c r="N168" s="26"/>
      <c r="O168" s="26"/>
      <c r="P168" s="27">
        <f>IF($B168&lt;&gt;"Challan","",I168+J168+K168+L168+M168+N168)</f>
      </c>
      <c r="Q168" s="25"/>
      <c r="R168" s="25"/>
      <c r="S168" s="25"/>
      <c r="T168" s="25"/>
      <c r="U168" s="25"/>
      <c r="V168" s="28"/>
      <c r="W168" s="28"/>
      <c r="X168" s="23">
        <f>IF($B168="Entry",IF(AND(LEN(TRIM(UPPER(W168)))=10,CODE(MID(TRIM(UPPER(W168)),1,1))&gt;=65,CODE(MID(TRIM(UPPER(W168)),1,1))&lt;=90,CODE(MID(TRIM(UPPER(W168)),2,1))&gt;=65,CODE(MID(TRIM(UPPER(W168)),2,1))&lt;=90,CODE(MID(TRIM(UPPER(W168)),3,1))&gt;=65,CODE(MID(TRIM(UPPER(W168)),3,1))&lt;=90,CODE(MID(TRIM(UPPER(W168)),4,1))&gt;=65,CODE(MID(TRIM(UPPER(W168)),4,1))&lt;=90,CODE(MID(TRIM(UPPER(W168)),5,1))&gt;=65,CODE(MID(TRIM(UPPER(W168)),5,1))&lt;=90,CODE(MID(TRIM(UPPER(W168)),10,1))&gt;=65,CODE(MID(TRIM(UPPER(W168)),10,1))&lt;=90,CODE(MID(TRIM(UPPER(W168)),6,1))&gt;=48,CODE(MID(TRIM(UPPER(W168)),6,1))&lt;=57,CODE(MID(TRIM(UPPER(W168)),7,1))&gt;=48,CODE(MID(TRIM(UPPER(W168)),7,1))&lt;=57,CODE(MID(TRIM(UPPER(W168)),8,1))&gt;=48,CODE(MID(TRIM(UPPER(W168)),8,1))&lt;=57,CODE(MID(TRIM(UPPER(W168)),9,1))&gt;=48,CODE(MID(TRIM(UPPER(W168)),9,1))&lt;=57),"N","Y"),IF($B168="Challan","",IF(W168&lt;&gt;"","◄ Set Row Type","")))</f>
      </c>
      <c r="Y168" s="23">
        <f>IF($B168="Entry",IF(LEN(W168)&lt;4,"",IF(UPPER(MID(W168,4,1))="P","Individual",IF(UPPER(MID(W168,4,1))="H","HUF",IF(UPPER(MID(W168,4,1))="C","Company",IF(UPPER(MID(W168,4,1))="F","Firm",IF(UPPER(MID(W168,4,1))="L","LLP",IF(UPPER(MID(W168,4,1))="T","Trust",IF(UPPER(MID(W168,4,1))="A","AOP","")))))))),IF($B168="Challan","",IF(W168&lt;&gt;"","◄ Set Row Type","")))</f>
      </c>
      <c r="Z168" s="28"/>
      <c r="AA168" s="29">
        <f>IF($B168&lt;&gt;"Entry","",IF(Z168="","",IF(X168="Y",SUMPRODUCT(('Rate Lookup'!$A$1:$A$37=Z168)*'Rate Lookup'!$D$1:$D$37),IF(OR(Y168="Individual",Y168="HUF"),SUMPRODUCT(('Rate Lookup'!$A$1:$A$37=Z168)*'Rate Lookup'!$B$1:$B$37),SUMPRODUCT(('Rate Lookup'!$A$1:$A$37=Z168)*'Rate Lookup'!$C$1:$C$37)))))</f>
      </c>
      <c r="AB168" s="30"/>
      <c r="AC168" s="31"/>
      <c r="AD168" s="27">
        <f>IF($B168&lt;&gt;"Entry","",ROUND(AC168*AA168/100,0))</f>
      </c>
      <c r="AE168" s="27">
        <f>IF($B168&lt;&gt;"Entry","",0)</f>
      </c>
      <c r="AF168" s="27">
        <f>IF($B168&lt;&gt;"Entry","",0)</f>
      </c>
      <c r="AG168" s="27">
        <f>IF($B168&lt;&gt;"Entry","",IF(OR(AD168=0,AB168="",AQ168="",AQ168&lt;=0),0,IF(AQ168&lt;=DATE(YEAR(AB168),MONTH(AB168)+1,7),0,ROUND(AD168*0.015*((YEAR(AQ168)-YEAR(AB168))*12+(MONTH(AQ168)-MONTH(AB168))+1),0))))</f>
      </c>
      <c r="AH168" s="27">
        <f>IF($B168&lt;&gt;"Entry","",0)</f>
      </c>
      <c r="AI168" s="28"/>
      <c r="AJ168" s="28"/>
      <c r="AK168" s="32"/>
      <c r="AL168" s="28"/>
      <c r="AM168" s="28"/>
      <c r="AN168" s="27">
        <f>IF($B168&lt;&gt;"Challan","",SUMIF('Q1 Data'!$D$4:$D$207,D168,'Q1 Data'!$AD$4:$AD$207)+SUMIF('Q1 Data'!$D$4:$D$207,D168,'Q1 Data'!$AG$4:$AG$207)+SUMIF('Q1 Data'!$D$4:$D$207,D168,'Q1 Data'!$AE$4:$AE$207)+SUMIF('Q2 Data'!$D$4:$D$207,D168,'Q2 Data'!$AD$4:$AD$207)+SUMIF('Q2 Data'!$D$4:$D$207,D168,'Q2 Data'!$AG$4:$AG$207)+SUMIF('Q2 Data'!$D$4:$D$207,D168,'Q2 Data'!$AE$4:$AE$207)+SUMIF('Q3 Data'!$D$4:$D$207,D168,'Q3 Data'!$AD$4:$AD$207)+SUMIF('Q3 Data'!$D$4:$D$207,D168,'Q3 Data'!$AG$4:$AG$207)+SUMIF('Q3 Data'!$D$4:$D$207,D168,'Q3 Data'!$AE$4:$AE$207)+SUMIF('Q4 Data'!$D$4:$D$207,D168,'Q4 Data'!$AD$4:$AD$207)+SUMIF('Q4 Data'!$D$4:$D$207,D168,'Q4 Data'!$AG$4:$AG$207)+SUMIF('Q4 Data'!$D$4:$D$207,D168,'Q4 Data'!$AE$4:$AE$207))</f>
      </c>
      <c r="AO168" s="27">
        <f>IF($B168&lt;&gt;"Challan","",P168-N168)</f>
      </c>
      <c r="AP168" s="27">
        <f>IF($B168&lt;&gt;"Challan","",MAX(0,AO168-AN168))</f>
      </c>
      <c r="AQ168" s="33">
        <f>IF($B168&lt;&gt;"Entry","",SUMPRODUCT(('Q1 Data'!$D$4:$D$207=D168)*('Q1 Data'!$B$4:$B$207="Challan")*'Q1 Data'!$F$4:$F$207)+SUMPRODUCT(('Q2 Data'!$D$4:$D$207=D168)*('Q2 Data'!$B$4:$B$207="Challan")*'Q2 Data'!$F$4:$F$207)+SUMPRODUCT(('Q3 Data'!$D$4:$D$207=D168)*('Q3 Data'!$B$4:$B$207="Challan")*'Q3 Data'!$F$4:$F$207)+SUMPRODUCT(('Q4 Data'!$D$4:$D$207=D168)*('Q4 Data'!$B$4:$B$207="Challan")*'Q4 Data'!$F$4:$F$207))</f>
      </c>
      <c r="AR168" s="34">
        <f>IF(OR($B168&lt;&gt;"Entry",Z168=""),FALSE,AND((SUMPRODUCT(('Q1 Data'!$D$4:$D$207=D168)*('Q1 Data'!$B$4:$B$207="Challan")*('Q1 Data'!$H$4:$H$207&lt;&gt;""))+SUMPRODUCT(('Q2 Data'!$D$4:$D$207=D168)*('Q2 Data'!$B$4:$B$207="Challan")*('Q2 Data'!$H$4:$H$207&lt;&gt;""))+SUMPRODUCT(('Q3 Data'!$D$4:$D$207=D168)*('Q3 Data'!$B$4:$B$207="Challan")*('Q3 Data'!$H$4:$H$207&lt;&gt;""))+SUMPRODUCT(('Q4 Data'!$D$4:$D$207=D168)*('Q4 Data'!$B$4:$B$207="Challan")*('Q4 Data'!$H$4:$H$207&lt;&gt;"")))&gt;0,(SUMPRODUCT(('Q1 Data'!$D$4:$D$207=D168)*('Q1 Data'!$B$4:$B$207="Challan")*('Q1 Data'!$H$4:$H$207=Z168))+SUMPRODUCT(('Q2 Data'!$D$4:$D$207=D168)*('Q2 Data'!$B$4:$B$207="Challan")*('Q2 Data'!$H$4:$H$207=Z168))+SUMPRODUCT(('Q3 Data'!$D$4:$D$207=D168)*('Q3 Data'!$B$4:$B$207="Challan")*('Q3 Data'!$H$4:$H$207=Z168))+SUMPRODUCT(('Q4 Data'!$D$4:$D$207=D168)*('Q4 Data'!$B$4:$B$207="Challan")*('Q4 Data'!$H$4:$H$207=Z168)))=0))</f>
      </c>
    </row>
    <row r="169" spans="1:44" x14ac:dyDescent="0.25">
      <c r="A169" s="20">
        <f>IF($B169="Entry",COUNTIF($B$4:$B169,"Entry"),"")</f>
      </c>
      <c r="B169" s="21"/>
      <c r="C169" s="22"/>
      <c r="D169" s="22"/>
      <c r="E169" s="23">
        <f>IF($B169&lt;&gt;"Challan","",IF(ROUND(AN169-AO169,2)&gt;0,"Over-applied",IF(ROUND(AN169-AO169,2)=0,"Fully Utilised","Unconsumed")))</f>
      </c>
      <c r="F169" s="24"/>
      <c r="G169" s="25"/>
      <c r="H169" s="25"/>
      <c r="I169" s="26"/>
      <c r="J169" s="26"/>
      <c r="K169" s="26"/>
      <c r="L169" s="26"/>
      <c r="M169" s="26"/>
      <c r="N169" s="26"/>
      <c r="O169" s="26"/>
      <c r="P169" s="27">
        <f>IF($B169&lt;&gt;"Challan","",I169+J169+K169+L169+M169+N169)</f>
      </c>
      <c r="Q169" s="25"/>
      <c r="R169" s="25"/>
      <c r="S169" s="25"/>
      <c r="T169" s="25"/>
      <c r="U169" s="25"/>
      <c r="V169" s="28"/>
      <c r="W169" s="28"/>
      <c r="X169" s="23">
        <f>IF($B169="Entry",IF(AND(LEN(TRIM(UPPER(W169)))=10,CODE(MID(TRIM(UPPER(W169)),1,1))&gt;=65,CODE(MID(TRIM(UPPER(W169)),1,1))&lt;=90,CODE(MID(TRIM(UPPER(W169)),2,1))&gt;=65,CODE(MID(TRIM(UPPER(W169)),2,1))&lt;=90,CODE(MID(TRIM(UPPER(W169)),3,1))&gt;=65,CODE(MID(TRIM(UPPER(W169)),3,1))&lt;=90,CODE(MID(TRIM(UPPER(W169)),4,1))&gt;=65,CODE(MID(TRIM(UPPER(W169)),4,1))&lt;=90,CODE(MID(TRIM(UPPER(W169)),5,1))&gt;=65,CODE(MID(TRIM(UPPER(W169)),5,1))&lt;=90,CODE(MID(TRIM(UPPER(W169)),10,1))&gt;=65,CODE(MID(TRIM(UPPER(W169)),10,1))&lt;=90,CODE(MID(TRIM(UPPER(W169)),6,1))&gt;=48,CODE(MID(TRIM(UPPER(W169)),6,1))&lt;=57,CODE(MID(TRIM(UPPER(W169)),7,1))&gt;=48,CODE(MID(TRIM(UPPER(W169)),7,1))&lt;=57,CODE(MID(TRIM(UPPER(W169)),8,1))&gt;=48,CODE(MID(TRIM(UPPER(W169)),8,1))&lt;=57,CODE(MID(TRIM(UPPER(W169)),9,1))&gt;=48,CODE(MID(TRIM(UPPER(W169)),9,1))&lt;=57),"N","Y"),IF($B169="Challan","",IF(W169&lt;&gt;"","◄ Set Row Type","")))</f>
      </c>
      <c r="Y169" s="23">
        <f>IF($B169="Entry",IF(LEN(W169)&lt;4,"",IF(UPPER(MID(W169,4,1))="P","Individual",IF(UPPER(MID(W169,4,1))="H","HUF",IF(UPPER(MID(W169,4,1))="C","Company",IF(UPPER(MID(W169,4,1))="F","Firm",IF(UPPER(MID(W169,4,1))="L","LLP",IF(UPPER(MID(W169,4,1))="T","Trust",IF(UPPER(MID(W169,4,1))="A","AOP","")))))))),IF($B169="Challan","",IF(W169&lt;&gt;"","◄ Set Row Type","")))</f>
      </c>
      <c r="Z169" s="28"/>
      <c r="AA169" s="29">
        <f>IF($B169&lt;&gt;"Entry","",IF(Z169="","",IF(X169="Y",SUMPRODUCT(('Rate Lookup'!$A$1:$A$37=Z169)*'Rate Lookup'!$D$1:$D$37),IF(OR(Y169="Individual",Y169="HUF"),SUMPRODUCT(('Rate Lookup'!$A$1:$A$37=Z169)*'Rate Lookup'!$B$1:$B$37),SUMPRODUCT(('Rate Lookup'!$A$1:$A$37=Z169)*'Rate Lookup'!$C$1:$C$37)))))</f>
      </c>
      <c r="AB169" s="30"/>
      <c r="AC169" s="31"/>
      <c r="AD169" s="27">
        <f>IF($B169&lt;&gt;"Entry","",ROUND(AC169*AA169/100,0))</f>
      </c>
      <c r="AE169" s="27">
        <f>IF($B169&lt;&gt;"Entry","",0)</f>
      </c>
      <c r="AF169" s="27">
        <f>IF($B169&lt;&gt;"Entry","",0)</f>
      </c>
      <c r="AG169" s="27">
        <f>IF($B169&lt;&gt;"Entry","",IF(OR(AD169=0,AB169="",AQ169="",AQ169&lt;=0),0,IF(AQ169&lt;=DATE(YEAR(AB169),MONTH(AB169)+1,7),0,ROUND(AD169*0.015*((YEAR(AQ169)-YEAR(AB169))*12+(MONTH(AQ169)-MONTH(AB169))+1),0))))</f>
      </c>
      <c r="AH169" s="27">
        <f>IF($B169&lt;&gt;"Entry","",0)</f>
      </c>
      <c r="AI169" s="28"/>
      <c r="AJ169" s="28"/>
      <c r="AK169" s="32"/>
      <c r="AL169" s="28"/>
      <c r="AM169" s="28"/>
      <c r="AN169" s="27">
        <f>IF($B169&lt;&gt;"Challan","",SUMIF('Q1 Data'!$D$4:$D$207,D169,'Q1 Data'!$AD$4:$AD$207)+SUMIF('Q1 Data'!$D$4:$D$207,D169,'Q1 Data'!$AG$4:$AG$207)+SUMIF('Q1 Data'!$D$4:$D$207,D169,'Q1 Data'!$AE$4:$AE$207)+SUMIF('Q2 Data'!$D$4:$D$207,D169,'Q2 Data'!$AD$4:$AD$207)+SUMIF('Q2 Data'!$D$4:$D$207,D169,'Q2 Data'!$AG$4:$AG$207)+SUMIF('Q2 Data'!$D$4:$D$207,D169,'Q2 Data'!$AE$4:$AE$207)+SUMIF('Q3 Data'!$D$4:$D$207,D169,'Q3 Data'!$AD$4:$AD$207)+SUMIF('Q3 Data'!$D$4:$D$207,D169,'Q3 Data'!$AG$4:$AG$207)+SUMIF('Q3 Data'!$D$4:$D$207,D169,'Q3 Data'!$AE$4:$AE$207)+SUMIF('Q4 Data'!$D$4:$D$207,D169,'Q4 Data'!$AD$4:$AD$207)+SUMIF('Q4 Data'!$D$4:$D$207,D169,'Q4 Data'!$AG$4:$AG$207)+SUMIF('Q4 Data'!$D$4:$D$207,D169,'Q4 Data'!$AE$4:$AE$207))</f>
      </c>
      <c r="AO169" s="27">
        <f>IF($B169&lt;&gt;"Challan","",P169-N169)</f>
      </c>
      <c r="AP169" s="27">
        <f>IF($B169&lt;&gt;"Challan","",MAX(0,AO169-AN169))</f>
      </c>
      <c r="AQ169" s="33">
        <f>IF($B169&lt;&gt;"Entry","",SUMPRODUCT(('Q1 Data'!$D$4:$D$207=D169)*('Q1 Data'!$B$4:$B$207="Challan")*'Q1 Data'!$F$4:$F$207)+SUMPRODUCT(('Q2 Data'!$D$4:$D$207=D169)*('Q2 Data'!$B$4:$B$207="Challan")*'Q2 Data'!$F$4:$F$207)+SUMPRODUCT(('Q3 Data'!$D$4:$D$207=D169)*('Q3 Data'!$B$4:$B$207="Challan")*'Q3 Data'!$F$4:$F$207)+SUMPRODUCT(('Q4 Data'!$D$4:$D$207=D169)*('Q4 Data'!$B$4:$B$207="Challan")*'Q4 Data'!$F$4:$F$207))</f>
      </c>
      <c r="AR169" s="34">
        <f>IF(OR($B169&lt;&gt;"Entry",Z169=""),FALSE,AND((SUMPRODUCT(('Q1 Data'!$D$4:$D$207=D169)*('Q1 Data'!$B$4:$B$207="Challan")*('Q1 Data'!$H$4:$H$207&lt;&gt;""))+SUMPRODUCT(('Q2 Data'!$D$4:$D$207=D169)*('Q2 Data'!$B$4:$B$207="Challan")*('Q2 Data'!$H$4:$H$207&lt;&gt;""))+SUMPRODUCT(('Q3 Data'!$D$4:$D$207=D169)*('Q3 Data'!$B$4:$B$207="Challan")*('Q3 Data'!$H$4:$H$207&lt;&gt;""))+SUMPRODUCT(('Q4 Data'!$D$4:$D$207=D169)*('Q4 Data'!$B$4:$B$207="Challan")*('Q4 Data'!$H$4:$H$207&lt;&gt;"")))&gt;0,(SUMPRODUCT(('Q1 Data'!$D$4:$D$207=D169)*('Q1 Data'!$B$4:$B$207="Challan")*('Q1 Data'!$H$4:$H$207=Z169))+SUMPRODUCT(('Q2 Data'!$D$4:$D$207=D169)*('Q2 Data'!$B$4:$B$207="Challan")*('Q2 Data'!$H$4:$H$207=Z169))+SUMPRODUCT(('Q3 Data'!$D$4:$D$207=D169)*('Q3 Data'!$B$4:$B$207="Challan")*('Q3 Data'!$H$4:$H$207=Z169))+SUMPRODUCT(('Q4 Data'!$D$4:$D$207=D169)*('Q4 Data'!$B$4:$B$207="Challan")*('Q4 Data'!$H$4:$H$207=Z169)))=0))</f>
      </c>
    </row>
    <row r="170" spans="1:44" x14ac:dyDescent="0.25">
      <c r="A170" s="20">
        <f>IF($B170="Entry",COUNTIF($B$4:$B170,"Entry"),"")</f>
      </c>
      <c r="B170" s="21"/>
      <c r="C170" s="22"/>
      <c r="D170" s="22"/>
      <c r="E170" s="23">
        <f>IF($B170&lt;&gt;"Challan","",IF(ROUND(AN170-AO170,2)&gt;0,"Over-applied",IF(ROUND(AN170-AO170,2)=0,"Fully Utilised","Unconsumed")))</f>
      </c>
      <c r="F170" s="24"/>
      <c r="G170" s="25"/>
      <c r="H170" s="25"/>
      <c r="I170" s="26"/>
      <c r="J170" s="26"/>
      <c r="K170" s="26"/>
      <c r="L170" s="26"/>
      <c r="M170" s="26"/>
      <c r="N170" s="26"/>
      <c r="O170" s="26"/>
      <c r="P170" s="27">
        <f>IF($B170&lt;&gt;"Challan","",I170+J170+K170+L170+M170+N170)</f>
      </c>
      <c r="Q170" s="25"/>
      <c r="R170" s="25"/>
      <c r="S170" s="25"/>
      <c r="T170" s="25"/>
      <c r="U170" s="25"/>
      <c r="V170" s="28"/>
      <c r="W170" s="28"/>
      <c r="X170" s="23">
        <f>IF($B170="Entry",IF(AND(LEN(TRIM(UPPER(W170)))=10,CODE(MID(TRIM(UPPER(W170)),1,1))&gt;=65,CODE(MID(TRIM(UPPER(W170)),1,1))&lt;=90,CODE(MID(TRIM(UPPER(W170)),2,1))&gt;=65,CODE(MID(TRIM(UPPER(W170)),2,1))&lt;=90,CODE(MID(TRIM(UPPER(W170)),3,1))&gt;=65,CODE(MID(TRIM(UPPER(W170)),3,1))&lt;=90,CODE(MID(TRIM(UPPER(W170)),4,1))&gt;=65,CODE(MID(TRIM(UPPER(W170)),4,1))&lt;=90,CODE(MID(TRIM(UPPER(W170)),5,1))&gt;=65,CODE(MID(TRIM(UPPER(W170)),5,1))&lt;=90,CODE(MID(TRIM(UPPER(W170)),10,1))&gt;=65,CODE(MID(TRIM(UPPER(W170)),10,1))&lt;=90,CODE(MID(TRIM(UPPER(W170)),6,1))&gt;=48,CODE(MID(TRIM(UPPER(W170)),6,1))&lt;=57,CODE(MID(TRIM(UPPER(W170)),7,1))&gt;=48,CODE(MID(TRIM(UPPER(W170)),7,1))&lt;=57,CODE(MID(TRIM(UPPER(W170)),8,1))&gt;=48,CODE(MID(TRIM(UPPER(W170)),8,1))&lt;=57,CODE(MID(TRIM(UPPER(W170)),9,1))&gt;=48,CODE(MID(TRIM(UPPER(W170)),9,1))&lt;=57),"N","Y"),IF($B170="Challan","",IF(W170&lt;&gt;"","◄ Set Row Type","")))</f>
      </c>
      <c r="Y170" s="23">
        <f>IF($B170="Entry",IF(LEN(W170)&lt;4,"",IF(UPPER(MID(W170,4,1))="P","Individual",IF(UPPER(MID(W170,4,1))="H","HUF",IF(UPPER(MID(W170,4,1))="C","Company",IF(UPPER(MID(W170,4,1))="F","Firm",IF(UPPER(MID(W170,4,1))="L","LLP",IF(UPPER(MID(W170,4,1))="T","Trust",IF(UPPER(MID(W170,4,1))="A","AOP","")))))))),IF($B170="Challan","",IF(W170&lt;&gt;"","◄ Set Row Type","")))</f>
      </c>
      <c r="Z170" s="28"/>
      <c r="AA170" s="29">
        <f>IF($B170&lt;&gt;"Entry","",IF(Z170="","",IF(X170="Y",SUMPRODUCT(('Rate Lookup'!$A$1:$A$37=Z170)*'Rate Lookup'!$D$1:$D$37),IF(OR(Y170="Individual",Y170="HUF"),SUMPRODUCT(('Rate Lookup'!$A$1:$A$37=Z170)*'Rate Lookup'!$B$1:$B$37),SUMPRODUCT(('Rate Lookup'!$A$1:$A$37=Z170)*'Rate Lookup'!$C$1:$C$37)))))</f>
      </c>
      <c r="AB170" s="30"/>
      <c r="AC170" s="31"/>
      <c r="AD170" s="27">
        <f>IF($B170&lt;&gt;"Entry","",ROUND(AC170*AA170/100,0))</f>
      </c>
      <c r="AE170" s="27">
        <f>IF($B170&lt;&gt;"Entry","",0)</f>
      </c>
      <c r="AF170" s="27">
        <f>IF($B170&lt;&gt;"Entry","",0)</f>
      </c>
      <c r="AG170" s="27">
        <f>IF($B170&lt;&gt;"Entry","",IF(OR(AD170=0,AB170="",AQ170="",AQ170&lt;=0),0,IF(AQ170&lt;=DATE(YEAR(AB170),MONTH(AB170)+1,7),0,ROUND(AD170*0.015*((YEAR(AQ170)-YEAR(AB170))*12+(MONTH(AQ170)-MONTH(AB170))+1),0))))</f>
      </c>
      <c r="AH170" s="27">
        <f>IF($B170&lt;&gt;"Entry","",0)</f>
      </c>
      <c r="AI170" s="28"/>
      <c r="AJ170" s="28"/>
      <c r="AK170" s="32"/>
      <c r="AL170" s="28"/>
      <c r="AM170" s="28"/>
      <c r="AN170" s="27">
        <f>IF($B170&lt;&gt;"Challan","",SUMIF('Q1 Data'!$D$4:$D$207,D170,'Q1 Data'!$AD$4:$AD$207)+SUMIF('Q1 Data'!$D$4:$D$207,D170,'Q1 Data'!$AG$4:$AG$207)+SUMIF('Q1 Data'!$D$4:$D$207,D170,'Q1 Data'!$AE$4:$AE$207)+SUMIF('Q2 Data'!$D$4:$D$207,D170,'Q2 Data'!$AD$4:$AD$207)+SUMIF('Q2 Data'!$D$4:$D$207,D170,'Q2 Data'!$AG$4:$AG$207)+SUMIF('Q2 Data'!$D$4:$D$207,D170,'Q2 Data'!$AE$4:$AE$207)+SUMIF('Q3 Data'!$D$4:$D$207,D170,'Q3 Data'!$AD$4:$AD$207)+SUMIF('Q3 Data'!$D$4:$D$207,D170,'Q3 Data'!$AG$4:$AG$207)+SUMIF('Q3 Data'!$D$4:$D$207,D170,'Q3 Data'!$AE$4:$AE$207)+SUMIF('Q4 Data'!$D$4:$D$207,D170,'Q4 Data'!$AD$4:$AD$207)+SUMIF('Q4 Data'!$D$4:$D$207,D170,'Q4 Data'!$AG$4:$AG$207)+SUMIF('Q4 Data'!$D$4:$D$207,D170,'Q4 Data'!$AE$4:$AE$207))</f>
      </c>
      <c r="AO170" s="27">
        <f>IF($B170&lt;&gt;"Challan","",P170-N170)</f>
      </c>
      <c r="AP170" s="27">
        <f>IF($B170&lt;&gt;"Challan","",MAX(0,AO170-AN170))</f>
      </c>
      <c r="AQ170" s="33">
        <f>IF($B170&lt;&gt;"Entry","",SUMPRODUCT(('Q1 Data'!$D$4:$D$207=D170)*('Q1 Data'!$B$4:$B$207="Challan")*'Q1 Data'!$F$4:$F$207)+SUMPRODUCT(('Q2 Data'!$D$4:$D$207=D170)*('Q2 Data'!$B$4:$B$207="Challan")*'Q2 Data'!$F$4:$F$207)+SUMPRODUCT(('Q3 Data'!$D$4:$D$207=D170)*('Q3 Data'!$B$4:$B$207="Challan")*'Q3 Data'!$F$4:$F$207)+SUMPRODUCT(('Q4 Data'!$D$4:$D$207=D170)*('Q4 Data'!$B$4:$B$207="Challan")*'Q4 Data'!$F$4:$F$207))</f>
      </c>
      <c r="AR170" s="34">
        <f>IF(OR($B170&lt;&gt;"Entry",Z170=""),FALSE,AND((SUMPRODUCT(('Q1 Data'!$D$4:$D$207=D170)*('Q1 Data'!$B$4:$B$207="Challan")*('Q1 Data'!$H$4:$H$207&lt;&gt;""))+SUMPRODUCT(('Q2 Data'!$D$4:$D$207=D170)*('Q2 Data'!$B$4:$B$207="Challan")*('Q2 Data'!$H$4:$H$207&lt;&gt;""))+SUMPRODUCT(('Q3 Data'!$D$4:$D$207=D170)*('Q3 Data'!$B$4:$B$207="Challan")*('Q3 Data'!$H$4:$H$207&lt;&gt;""))+SUMPRODUCT(('Q4 Data'!$D$4:$D$207=D170)*('Q4 Data'!$B$4:$B$207="Challan")*('Q4 Data'!$H$4:$H$207&lt;&gt;"")))&gt;0,(SUMPRODUCT(('Q1 Data'!$D$4:$D$207=D170)*('Q1 Data'!$B$4:$B$207="Challan")*('Q1 Data'!$H$4:$H$207=Z170))+SUMPRODUCT(('Q2 Data'!$D$4:$D$207=D170)*('Q2 Data'!$B$4:$B$207="Challan")*('Q2 Data'!$H$4:$H$207=Z170))+SUMPRODUCT(('Q3 Data'!$D$4:$D$207=D170)*('Q3 Data'!$B$4:$B$207="Challan")*('Q3 Data'!$H$4:$H$207=Z170))+SUMPRODUCT(('Q4 Data'!$D$4:$D$207=D170)*('Q4 Data'!$B$4:$B$207="Challan")*('Q4 Data'!$H$4:$H$207=Z170)))=0))</f>
      </c>
    </row>
    <row r="171" spans="1:44" x14ac:dyDescent="0.25">
      <c r="A171" s="20">
        <f>IF($B171="Entry",COUNTIF($B$4:$B171,"Entry"),"")</f>
      </c>
      <c r="B171" s="21"/>
      <c r="C171" s="22"/>
      <c r="D171" s="22"/>
      <c r="E171" s="23">
        <f>IF($B171&lt;&gt;"Challan","",IF(ROUND(AN171-AO171,2)&gt;0,"Over-applied",IF(ROUND(AN171-AO171,2)=0,"Fully Utilised","Unconsumed")))</f>
      </c>
      <c r="F171" s="24"/>
      <c r="G171" s="25"/>
      <c r="H171" s="25"/>
      <c r="I171" s="26"/>
      <c r="J171" s="26"/>
      <c r="K171" s="26"/>
      <c r="L171" s="26"/>
      <c r="M171" s="26"/>
      <c r="N171" s="26"/>
      <c r="O171" s="26"/>
      <c r="P171" s="27">
        <f>IF($B171&lt;&gt;"Challan","",I171+J171+K171+L171+M171+N171)</f>
      </c>
      <c r="Q171" s="25"/>
      <c r="R171" s="25"/>
      <c r="S171" s="25"/>
      <c r="T171" s="25"/>
      <c r="U171" s="25"/>
      <c r="V171" s="28"/>
      <c r="W171" s="28"/>
      <c r="X171" s="23">
        <f>IF($B171="Entry",IF(AND(LEN(TRIM(UPPER(W171)))=10,CODE(MID(TRIM(UPPER(W171)),1,1))&gt;=65,CODE(MID(TRIM(UPPER(W171)),1,1))&lt;=90,CODE(MID(TRIM(UPPER(W171)),2,1))&gt;=65,CODE(MID(TRIM(UPPER(W171)),2,1))&lt;=90,CODE(MID(TRIM(UPPER(W171)),3,1))&gt;=65,CODE(MID(TRIM(UPPER(W171)),3,1))&lt;=90,CODE(MID(TRIM(UPPER(W171)),4,1))&gt;=65,CODE(MID(TRIM(UPPER(W171)),4,1))&lt;=90,CODE(MID(TRIM(UPPER(W171)),5,1))&gt;=65,CODE(MID(TRIM(UPPER(W171)),5,1))&lt;=90,CODE(MID(TRIM(UPPER(W171)),10,1))&gt;=65,CODE(MID(TRIM(UPPER(W171)),10,1))&lt;=90,CODE(MID(TRIM(UPPER(W171)),6,1))&gt;=48,CODE(MID(TRIM(UPPER(W171)),6,1))&lt;=57,CODE(MID(TRIM(UPPER(W171)),7,1))&gt;=48,CODE(MID(TRIM(UPPER(W171)),7,1))&lt;=57,CODE(MID(TRIM(UPPER(W171)),8,1))&gt;=48,CODE(MID(TRIM(UPPER(W171)),8,1))&lt;=57,CODE(MID(TRIM(UPPER(W171)),9,1))&gt;=48,CODE(MID(TRIM(UPPER(W171)),9,1))&lt;=57),"N","Y"),IF($B171="Challan","",IF(W171&lt;&gt;"","◄ Set Row Type","")))</f>
      </c>
      <c r="Y171" s="23">
        <f>IF($B171="Entry",IF(LEN(W171)&lt;4,"",IF(UPPER(MID(W171,4,1))="P","Individual",IF(UPPER(MID(W171,4,1))="H","HUF",IF(UPPER(MID(W171,4,1))="C","Company",IF(UPPER(MID(W171,4,1))="F","Firm",IF(UPPER(MID(W171,4,1))="L","LLP",IF(UPPER(MID(W171,4,1))="T","Trust",IF(UPPER(MID(W171,4,1))="A","AOP","")))))))),IF($B171="Challan","",IF(W171&lt;&gt;"","◄ Set Row Type","")))</f>
      </c>
      <c r="Z171" s="28"/>
      <c r="AA171" s="29">
        <f>IF($B171&lt;&gt;"Entry","",IF(Z171="","",IF(X171="Y",SUMPRODUCT(('Rate Lookup'!$A$1:$A$37=Z171)*'Rate Lookup'!$D$1:$D$37),IF(OR(Y171="Individual",Y171="HUF"),SUMPRODUCT(('Rate Lookup'!$A$1:$A$37=Z171)*'Rate Lookup'!$B$1:$B$37),SUMPRODUCT(('Rate Lookup'!$A$1:$A$37=Z171)*'Rate Lookup'!$C$1:$C$37)))))</f>
      </c>
      <c r="AB171" s="30"/>
      <c r="AC171" s="31"/>
      <c r="AD171" s="27">
        <f>IF($B171&lt;&gt;"Entry","",ROUND(AC171*AA171/100,0))</f>
      </c>
      <c r="AE171" s="27">
        <f>IF($B171&lt;&gt;"Entry","",0)</f>
      </c>
      <c r="AF171" s="27">
        <f>IF($B171&lt;&gt;"Entry","",0)</f>
      </c>
      <c r="AG171" s="27">
        <f>IF($B171&lt;&gt;"Entry","",IF(OR(AD171=0,AB171="",AQ171="",AQ171&lt;=0),0,IF(AQ171&lt;=DATE(YEAR(AB171),MONTH(AB171)+1,7),0,ROUND(AD171*0.015*((YEAR(AQ171)-YEAR(AB171))*12+(MONTH(AQ171)-MONTH(AB171))+1),0))))</f>
      </c>
      <c r="AH171" s="27">
        <f>IF($B171&lt;&gt;"Entry","",0)</f>
      </c>
      <c r="AI171" s="28"/>
      <c r="AJ171" s="28"/>
      <c r="AK171" s="32"/>
      <c r="AL171" s="28"/>
      <c r="AM171" s="28"/>
      <c r="AN171" s="27">
        <f>IF($B171&lt;&gt;"Challan","",SUMIF('Q1 Data'!$D$4:$D$207,D171,'Q1 Data'!$AD$4:$AD$207)+SUMIF('Q1 Data'!$D$4:$D$207,D171,'Q1 Data'!$AG$4:$AG$207)+SUMIF('Q1 Data'!$D$4:$D$207,D171,'Q1 Data'!$AE$4:$AE$207)+SUMIF('Q2 Data'!$D$4:$D$207,D171,'Q2 Data'!$AD$4:$AD$207)+SUMIF('Q2 Data'!$D$4:$D$207,D171,'Q2 Data'!$AG$4:$AG$207)+SUMIF('Q2 Data'!$D$4:$D$207,D171,'Q2 Data'!$AE$4:$AE$207)+SUMIF('Q3 Data'!$D$4:$D$207,D171,'Q3 Data'!$AD$4:$AD$207)+SUMIF('Q3 Data'!$D$4:$D$207,D171,'Q3 Data'!$AG$4:$AG$207)+SUMIF('Q3 Data'!$D$4:$D$207,D171,'Q3 Data'!$AE$4:$AE$207)+SUMIF('Q4 Data'!$D$4:$D$207,D171,'Q4 Data'!$AD$4:$AD$207)+SUMIF('Q4 Data'!$D$4:$D$207,D171,'Q4 Data'!$AG$4:$AG$207)+SUMIF('Q4 Data'!$D$4:$D$207,D171,'Q4 Data'!$AE$4:$AE$207))</f>
      </c>
      <c r="AO171" s="27">
        <f>IF($B171&lt;&gt;"Challan","",P171-N171)</f>
      </c>
      <c r="AP171" s="27">
        <f>IF($B171&lt;&gt;"Challan","",MAX(0,AO171-AN171))</f>
      </c>
      <c r="AQ171" s="33">
        <f>IF($B171&lt;&gt;"Entry","",SUMPRODUCT(('Q1 Data'!$D$4:$D$207=D171)*('Q1 Data'!$B$4:$B$207="Challan")*'Q1 Data'!$F$4:$F$207)+SUMPRODUCT(('Q2 Data'!$D$4:$D$207=D171)*('Q2 Data'!$B$4:$B$207="Challan")*'Q2 Data'!$F$4:$F$207)+SUMPRODUCT(('Q3 Data'!$D$4:$D$207=D171)*('Q3 Data'!$B$4:$B$207="Challan")*'Q3 Data'!$F$4:$F$207)+SUMPRODUCT(('Q4 Data'!$D$4:$D$207=D171)*('Q4 Data'!$B$4:$B$207="Challan")*'Q4 Data'!$F$4:$F$207))</f>
      </c>
      <c r="AR171" s="34">
        <f>IF(OR($B171&lt;&gt;"Entry",Z171=""),FALSE,AND((SUMPRODUCT(('Q1 Data'!$D$4:$D$207=D171)*('Q1 Data'!$B$4:$B$207="Challan")*('Q1 Data'!$H$4:$H$207&lt;&gt;""))+SUMPRODUCT(('Q2 Data'!$D$4:$D$207=D171)*('Q2 Data'!$B$4:$B$207="Challan")*('Q2 Data'!$H$4:$H$207&lt;&gt;""))+SUMPRODUCT(('Q3 Data'!$D$4:$D$207=D171)*('Q3 Data'!$B$4:$B$207="Challan")*('Q3 Data'!$H$4:$H$207&lt;&gt;""))+SUMPRODUCT(('Q4 Data'!$D$4:$D$207=D171)*('Q4 Data'!$B$4:$B$207="Challan")*('Q4 Data'!$H$4:$H$207&lt;&gt;"")))&gt;0,(SUMPRODUCT(('Q1 Data'!$D$4:$D$207=D171)*('Q1 Data'!$B$4:$B$207="Challan")*('Q1 Data'!$H$4:$H$207=Z171))+SUMPRODUCT(('Q2 Data'!$D$4:$D$207=D171)*('Q2 Data'!$B$4:$B$207="Challan")*('Q2 Data'!$H$4:$H$207=Z171))+SUMPRODUCT(('Q3 Data'!$D$4:$D$207=D171)*('Q3 Data'!$B$4:$B$207="Challan")*('Q3 Data'!$H$4:$H$207=Z171))+SUMPRODUCT(('Q4 Data'!$D$4:$D$207=D171)*('Q4 Data'!$B$4:$B$207="Challan")*('Q4 Data'!$H$4:$H$207=Z171)))=0))</f>
      </c>
    </row>
    <row r="172" spans="1:44" x14ac:dyDescent="0.25">
      <c r="A172" s="20">
        <f>IF($B172="Entry",COUNTIF($B$4:$B172,"Entry"),"")</f>
      </c>
      <c r="B172" s="21"/>
      <c r="C172" s="22"/>
      <c r="D172" s="22"/>
      <c r="E172" s="23">
        <f>IF($B172&lt;&gt;"Challan","",IF(ROUND(AN172-AO172,2)&gt;0,"Over-applied",IF(ROUND(AN172-AO172,2)=0,"Fully Utilised","Unconsumed")))</f>
      </c>
      <c r="F172" s="24"/>
      <c r="G172" s="25"/>
      <c r="H172" s="25"/>
      <c r="I172" s="26"/>
      <c r="J172" s="26"/>
      <c r="K172" s="26"/>
      <c r="L172" s="26"/>
      <c r="M172" s="26"/>
      <c r="N172" s="26"/>
      <c r="O172" s="26"/>
      <c r="P172" s="27">
        <f>IF($B172&lt;&gt;"Challan","",I172+J172+K172+L172+M172+N172)</f>
      </c>
      <c r="Q172" s="25"/>
      <c r="R172" s="25"/>
      <c r="S172" s="25"/>
      <c r="T172" s="25"/>
      <c r="U172" s="25"/>
      <c r="V172" s="28"/>
      <c r="W172" s="28"/>
      <c r="X172" s="23">
        <f>IF($B172="Entry",IF(AND(LEN(TRIM(UPPER(W172)))=10,CODE(MID(TRIM(UPPER(W172)),1,1))&gt;=65,CODE(MID(TRIM(UPPER(W172)),1,1))&lt;=90,CODE(MID(TRIM(UPPER(W172)),2,1))&gt;=65,CODE(MID(TRIM(UPPER(W172)),2,1))&lt;=90,CODE(MID(TRIM(UPPER(W172)),3,1))&gt;=65,CODE(MID(TRIM(UPPER(W172)),3,1))&lt;=90,CODE(MID(TRIM(UPPER(W172)),4,1))&gt;=65,CODE(MID(TRIM(UPPER(W172)),4,1))&lt;=90,CODE(MID(TRIM(UPPER(W172)),5,1))&gt;=65,CODE(MID(TRIM(UPPER(W172)),5,1))&lt;=90,CODE(MID(TRIM(UPPER(W172)),10,1))&gt;=65,CODE(MID(TRIM(UPPER(W172)),10,1))&lt;=90,CODE(MID(TRIM(UPPER(W172)),6,1))&gt;=48,CODE(MID(TRIM(UPPER(W172)),6,1))&lt;=57,CODE(MID(TRIM(UPPER(W172)),7,1))&gt;=48,CODE(MID(TRIM(UPPER(W172)),7,1))&lt;=57,CODE(MID(TRIM(UPPER(W172)),8,1))&gt;=48,CODE(MID(TRIM(UPPER(W172)),8,1))&lt;=57,CODE(MID(TRIM(UPPER(W172)),9,1))&gt;=48,CODE(MID(TRIM(UPPER(W172)),9,1))&lt;=57),"N","Y"),IF($B172="Challan","",IF(W172&lt;&gt;"","◄ Set Row Type","")))</f>
      </c>
      <c r="Y172" s="23">
        <f>IF($B172="Entry",IF(LEN(W172)&lt;4,"",IF(UPPER(MID(W172,4,1))="P","Individual",IF(UPPER(MID(W172,4,1))="H","HUF",IF(UPPER(MID(W172,4,1))="C","Company",IF(UPPER(MID(W172,4,1))="F","Firm",IF(UPPER(MID(W172,4,1))="L","LLP",IF(UPPER(MID(W172,4,1))="T","Trust",IF(UPPER(MID(W172,4,1))="A","AOP","")))))))),IF($B172="Challan","",IF(W172&lt;&gt;"","◄ Set Row Type","")))</f>
      </c>
      <c r="Z172" s="28"/>
      <c r="AA172" s="29">
        <f>IF($B172&lt;&gt;"Entry","",IF(Z172="","",IF(X172="Y",SUMPRODUCT(('Rate Lookup'!$A$1:$A$37=Z172)*'Rate Lookup'!$D$1:$D$37),IF(OR(Y172="Individual",Y172="HUF"),SUMPRODUCT(('Rate Lookup'!$A$1:$A$37=Z172)*'Rate Lookup'!$B$1:$B$37),SUMPRODUCT(('Rate Lookup'!$A$1:$A$37=Z172)*'Rate Lookup'!$C$1:$C$37)))))</f>
      </c>
      <c r="AB172" s="30"/>
      <c r="AC172" s="31"/>
      <c r="AD172" s="27">
        <f>IF($B172&lt;&gt;"Entry","",ROUND(AC172*AA172/100,0))</f>
      </c>
      <c r="AE172" s="27">
        <f>IF($B172&lt;&gt;"Entry","",0)</f>
      </c>
      <c r="AF172" s="27">
        <f>IF($B172&lt;&gt;"Entry","",0)</f>
      </c>
      <c r="AG172" s="27">
        <f>IF($B172&lt;&gt;"Entry","",IF(OR(AD172=0,AB172="",AQ172="",AQ172&lt;=0),0,IF(AQ172&lt;=DATE(YEAR(AB172),MONTH(AB172)+1,7),0,ROUND(AD172*0.015*((YEAR(AQ172)-YEAR(AB172))*12+(MONTH(AQ172)-MONTH(AB172))+1),0))))</f>
      </c>
      <c r="AH172" s="27">
        <f>IF($B172&lt;&gt;"Entry","",0)</f>
      </c>
      <c r="AI172" s="28"/>
      <c r="AJ172" s="28"/>
      <c r="AK172" s="32"/>
      <c r="AL172" s="28"/>
      <c r="AM172" s="28"/>
      <c r="AN172" s="27">
        <f>IF($B172&lt;&gt;"Challan","",SUMIF('Q1 Data'!$D$4:$D$207,D172,'Q1 Data'!$AD$4:$AD$207)+SUMIF('Q1 Data'!$D$4:$D$207,D172,'Q1 Data'!$AG$4:$AG$207)+SUMIF('Q1 Data'!$D$4:$D$207,D172,'Q1 Data'!$AE$4:$AE$207)+SUMIF('Q2 Data'!$D$4:$D$207,D172,'Q2 Data'!$AD$4:$AD$207)+SUMIF('Q2 Data'!$D$4:$D$207,D172,'Q2 Data'!$AG$4:$AG$207)+SUMIF('Q2 Data'!$D$4:$D$207,D172,'Q2 Data'!$AE$4:$AE$207)+SUMIF('Q3 Data'!$D$4:$D$207,D172,'Q3 Data'!$AD$4:$AD$207)+SUMIF('Q3 Data'!$D$4:$D$207,D172,'Q3 Data'!$AG$4:$AG$207)+SUMIF('Q3 Data'!$D$4:$D$207,D172,'Q3 Data'!$AE$4:$AE$207)+SUMIF('Q4 Data'!$D$4:$D$207,D172,'Q4 Data'!$AD$4:$AD$207)+SUMIF('Q4 Data'!$D$4:$D$207,D172,'Q4 Data'!$AG$4:$AG$207)+SUMIF('Q4 Data'!$D$4:$D$207,D172,'Q4 Data'!$AE$4:$AE$207))</f>
      </c>
      <c r="AO172" s="27">
        <f>IF($B172&lt;&gt;"Challan","",P172-N172)</f>
      </c>
      <c r="AP172" s="27">
        <f>IF($B172&lt;&gt;"Challan","",MAX(0,AO172-AN172))</f>
      </c>
      <c r="AQ172" s="33">
        <f>IF($B172&lt;&gt;"Entry","",SUMPRODUCT(('Q1 Data'!$D$4:$D$207=D172)*('Q1 Data'!$B$4:$B$207="Challan")*'Q1 Data'!$F$4:$F$207)+SUMPRODUCT(('Q2 Data'!$D$4:$D$207=D172)*('Q2 Data'!$B$4:$B$207="Challan")*'Q2 Data'!$F$4:$F$207)+SUMPRODUCT(('Q3 Data'!$D$4:$D$207=D172)*('Q3 Data'!$B$4:$B$207="Challan")*'Q3 Data'!$F$4:$F$207)+SUMPRODUCT(('Q4 Data'!$D$4:$D$207=D172)*('Q4 Data'!$B$4:$B$207="Challan")*'Q4 Data'!$F$4:$F$207))</f>
      </c>
      <c r="AR172" s="34">
        <f>IF(OR($B172&lt;&gt;"Entry",Z172=""),FALSE,AND((SUMPRODUCT(('Q1 Data'!$D$4:$D$207=D172)*('Q1 Data'!$B$4:$B$207="Challan")*('Q1 Data'!$H$4:$H$207&lt;&gt;""))+SUMPRODUCT(('Q2 Data'!$D$4:$D$207=D172)*('Q2 Data'!$B$4:$B$207="Challan")*('Q2 Data'!$H$4:$H$207&lt;&gt;""))+SUMPRODUCT(('Q3 Data'!$D$4:$D$207=D172)*('Q3 Data'!$B$4:$B$207="Challan")*('Q3 Data'!$H$4:$H$207&lt;&gt;""))+SUMPRODUCT(('Q4 Data'!$D$4:$D$207=D172)*('Q4 Data'!$B$4:$B$207="Challan")*('Q4 Data'!$H$4:$H$207&lt;&gt;"")))&gt;0,(SUMPRODUCT(('Q1 Data'!$D$4:$D$207=D172)*('Q1 Data'!$B$4:$B$207="Challan")*('Q1 Data'!$H$4:$H$207=Z172))+SUMPRODUCT(('Q2 Data'!$D$4:$D$207=D172)*('Q2 Data'!$B$4:$B$207="Challan")*('Q2 Data'!$H$4:$H$207=Z172))+SUMPRODUCT(('Q3 Data'!$D$4:$D$207=D172)*('Q3 Data'!$B$4:$B$207="Challan")*('Q3 Data'!$H$4:$H$207=Z172))+SUMPRODUCT(('Q4 Data'!$D$4:$D$207=D172)*('Q4 Data'!$B$4:$B$207="Challan")*('Q4 Data'!$H$4:$H$207=Z172)))=0))</f>
      </c>
    </row>
    <row r="173" spans="1:44" x14ac:dyDescent="0.25">
      <c r="A173" s="20">
        <f>IF($B173="Entry",COUNTIF($B$4:$B173,"Entry"),"")</f>
      </c>
      <c r="B173" s="21"/>
      <c r="C173" s="22"/>
      <c r="D173" s="22"/>
      <c r="E173" s="23">
        <f>IF($B173&lt;&gt;"Challan","",IF(ROUND(AN173-AO173,2)&gt;0,"Over-applied",IF(ROUND(AN173-AO173,2)=0,"Fully Utilised","Unconsumed")))</f>
      </c>
      <c r="F173" s="24"/>
      <c r="G173" s="25"/>
      <c r="H173" s="25"/>
      <c r="I173" s="26"/>
      <c r="J173" s="26"/>
      <c r="K173" s="26"/>
      <c r="L173" s="26"/>
      <c r="M173" s="26"/>
      <c r="N173" s="26"/>
      <c r="O173" s="26"/>
      <c r="P173" s="27">
        <f>IF($B173&lt;&gt;"Challan","",I173+J173+K173+L173+M173+N173)</f>
      </c>
      <c r="Q173" s="25"/>
      <c r="R173" s="25"/>
      <c r="S173" s="25"/>
      <c r="T173" s="25"/>
      <c r="U173" s="25"/>
      <c r="V173" s="28"/>
      <c r="W173" s="28"/>
      <c r="X173" s="23">
        <f>IF($B173="Entry",IF(AND(LEN(TRIM(UPPER(W173)))=10,CODE(MID(TRIM(UPPER(W173)),1,1))&gt;=65,CODE(MID(TRIM(UPPER(W173)),1,1))&lt;=90,CODE(MID(TRIM(UPPER(W173)),2,1))&gt;=65,CODE(MID(TRIM(UPPER(W173)),2,1))&lt;=90,CODE(MID(TRIM(UPPER(W173)),3,1))&gt;=65,CODE(MID(TRIM(UPPER(W173)),3,1))&lt;=90,CODE(MID(TRIM(UPPER(W173)),4,1))&gt;=65,CODE(MID(TRIM(UPPER(W173)),4,1))&lt;=90,CODE(MID(TRIM(UPPER(W173)),5,1))&gt;=65,CODE(MID(TRIM(UPPER(W173)),5,1))&lt;=90,CODE(MID(TRIM(UPPER(W173)),10,1))&gt;=65,CODE(MID(TRIM(UPPER(W173)),10,1))&lt;=90,CODE(MID(TRIM(UPPER(W173)),6,1))&gt;=48,CODE(MID(TRIM(UPPER(W173)),6,1))&lt;=57,CODE(MID(TRIM(UPPER(W173)),7,1))&gt;=48,CODE(MID(TRIM(UPPER(W173)),7,1))&lt;=57,CODE(MID(TRIM(UPPER(W173)),8,1))&gt;=48,CODE(MID(TRIM(UPPER(W173)),8,1))&lt;=57,CODE(MID(TRIM(UPPER(W173)),9,1))&gt;=48,CODE(MID(TRIM(UPPER(W173)),9,1))&lt;=57),"N","Y"),IF($B173="Challan","",IF(W173&lt;&gt;"","◄ Set Row Type","")))</f>
      </c>
      <c r="Y173" s="23">
        <f>IF($B173="Entry",IF(LEN(W173)&lt;4,"",IF(UPPER(MID(W173,4,1))="P","Individual",IF(UPPER(MID(W173,4,1))="H","HUF",IF(UPPER(MID(W173,4,1))="C","Company",IF(UPPER(MID(W173,4,1))="F","Firm",IF(UPPER(MID(W173,4,1))="L","LLP",IF(UPPER(MID(W173,4,1))="T","Trust",IF(UPPER(MID(W173,4,1))="A","AOP","")))))))),IF($B173="Challan","",IF(W173&lt;&gt;"","◄ Set Row Type","")))</f>
      </c>
      <c r="Z173" s="28"/>
      <c r="AA173" s="29">
        <f>IF($B173&lt;&gt;"Entry","",IF(Z173="","",IF(X173="Y",SUMPRODUCT(('Rate Lookup'!$A$1:$A$37=Z173)*'Rate Lookup'!$D$1:$D$37),IF(OR(Y173="Individual",Y173="HUF"),SUMPRODUCT(('Rate Lookup'!$A$1:$A$37=Z173)*'Rate Lookup'!$B$1:$B$37),SUMPRODUCT(('Rate Lookup'!$A$1:$A$37=Z173)*'Rate Lookup'!$C$1:$C$37)))))</f>
      </c>
      <c r="AB173" s="30"/>
      <c r="AC173" s="31"/>
      <c r="AD173" s="27">
        <f>IF($B173&lt;&gt;"Entry","",ROUND(AC173*AA173/100,0))</f>
      </c>
      <c r="AE173" s="27">
        <f>IF($B173&lt;&gt;"Entry","",0)</f>
      </c>
      <c r="AF173" s="27">
        <f>IF($B173&lt;&gt;"Entry","",0)</f>
      </c>
      <c r="AG173" s="27">
        <f>IF($B173&lt;&gt;"Entry","",IF(OR(AD173=0,AB173="",AQ173="",AQ173&lt;=0),0,IF(AQ173&lt;=DATE(YEAR(AB173),MONTH(AB173)+1,7),0,ROUND(AD173*0.015*((YEAR(AQ173)-YEAR(AB173))*12+(MONTH(AQ173)-MONTH(AB173))+1),0))))</f>
      </c>
      <c r="AH173" s="27">
        <f>IF($B173&lt;&gt;"Entry","",0)</f>
      </c>
      <c r="AI173" s="28"/>
      <c r="AJ173" s="28"/>
      <c r="AK173" s="32"/>
      <c r="AL173" s="28"/>
      <c r="AM173" s="28"/>
      <c r="AN173" s="27">
        <f>IF($B173&lt;&gt;"Challan","",SUMIF('Q1 Data'!$D$4:$D$207,D173,'Q1 Data'!$AD$4:$AD$207)+SUMIF('Q1 Data'!$D$4:$D$207,D173,'Q1 Data'!$AG$4:$AG$207)+SUMIF('Q1 Data'!$D$4:$D$207,D173,'Q1 Data'!$AE$4:$AE$207)+SUMIF('Q2 Data'!$D$4:$D$207,D173,'Q2 Data'!$AD$4:$AD$207)+SUMIF('Q2 Data'!$D$4:$D$207,D173,'Q2 Data'!$AG$4:$AG$207)+SUMIF('Q2 Data'!$D$4:$D$207,D173,'Q2 Data'!$AE$4:$AE$207)+SUMIF('Q3 Data'!$D$4:$D$207,D173,'Q3 Data'!$AD$4:$AD$207)+SUMIF('Q3 Data'!$D$4:$D$207,D173,'Q3 Data'!$AG$4:$AG$207)+SUMIF('Q3 Data'!$D$4:$D$207,D173,'Q3 Data'!$AE$4:$AE$207)+SUMIF('Q4 Data'!$D$4:$D$207,D173,'Q4 Data'!$AD$4:$AD$207)+SUMIF('Q4 Data'!$D$4:$D$207,D173,'Q4 Data'!$AG$4:$AG$207)+SUMIF('Q4 Data'!$D$4:$D$207,D173,'Q4 Data'!$AE$4:$AE$207))</f>
      </c>
      <c r="AO173" s="27">
        <f>IF($B173&lt;&gt;"Challan","",P173-N173)</f>
      </c>
      <c r="AP173" s="27">
        <f>IF($B173&lt;&gt;"Challan","",MAX(0,AO173-AN173))</f>
      </c>
      <c r="AQ173" s="33">
        <f>IF($B173&lt;&gt;"Entry","",SUMPRODUCT(('Q1 Data'!$D$4:$D$207=D173)*('Q1 Data'!$B$4:$B$207="Challan")*'Q1 Data'!$F$4:$F$207)+SUMPRODUCT(('Q2 Data'!$D$4:$D$207=D173)*('Q2 Data'!$B$4:$B$207="Challan")*'Q2 Data'!$F$4:$F$207)+SUMPRODUCT(('Q3 Data'!$D$4:$D$207=D173)*('Q3 Data'!$B$4:$B$207="Challan")*'Q3 Data'!$F$4:$F$207)+SUMPRODUCT(('Q4 Data'!$D$4:$D$207=D173)*('Q4 Data'!$B$4:$B$207="Challan")*'Q4 Data'!$F$4:$F$207))</f>
      </c>
      <c r="AR173" s="34">
        <f>IF(OR($B173&lt;&gt;"Entry",Z173=""),FALSE,AND((SUMPRODUCT(('Q1 Data'!$D$4:$D$207=D173)*('Q1 Data'!$B$4:$B$207="Challan")*('Q1 Data'!$H$4:$H$207&lt;&gt;""))+SUMPRODUCT(('Q2 Data'!$D$4:$D$207=D173)*('Q2 Data'!$B$4:$B$207="Challan")*('Q2 Data'!$H$4:$H$207&lt;&gt;""))+SUMPRODUCT(('Q3 Data'!$D$4:$D$207=D173)*('Q3 Data'!$B$4:$B$207="Challan")*('Q3 Data'!$H$4:$H$207&lt;&gt;""))+SUMPRODUCT(('Q4 Data'!$D$4:$D$207=D173)*('Q4 Data'!$B$4:$B$207="Challan")*('Q4 Data'!$H$4:$H$207&lt;&gt;"")))&gt;0,(SUMPRODUCT(('Q1 Data'!$D$4:$D$207=D173)*('Q1 Data'!$B$4:$B$207="Challan")*('Q1 Data'!$H$4:$H$207=Z173))+SUMPRODUCT(('Q2 Data'!$D$4:$D$207=D173)*('Q2 Data'!$B$4:$B$207="Challan")*('Q2 Data'!$H$4:$H$207=Z173))+SUMPRODUCT(('Q3 Data'!$D$4:$D$207=D173)*('Q3 Data'!$B$4:$B$207="Challan")*('Q3 Data'!$H$4:$H$207=Z173))+SUMPRODUCT(('Q4 Data'!$D$4:$D$207=D173)*('Q4 Data'!$B$4:$B$207="Challan")*('Q4 Data'!$H$4:$H$207=Z173)))=0))</f>
      </c>
    </row>
    <row r="174" spans="1:44" x14ac:dyDescent="0.25">
      <c r="A174" s="20">
        <f>IF($B174="Entry",COUNTIF($B$4:$B174,"Entry"),"")</f>
      </c>
      <c r="B174" s="21"/>
      <c r="C174" s="22"/>
      <c r="D174" s="22"/>
      <c r="E174" s="23">
        <f>IF($B174&lt;&gt;"Challan","",IF(ROUND(AN174-AO174,2)&gt;0,"Over-applied",IF(ROUND(AN174-AO174,2)=0,"Fully Utilised","Unconsumed")))</f>
      </c>
      <c r="F174" s="24"/>
      <c r="G174" s="25"/>
      <c r="H174" s="25"/>
      <c r="I174" s="26"/>
      <c r="J174" s="26"/>
      <c r="K174" s="26"/>
      <c r="L174" s="26"/>
      <c r="M174" s="26"/>
      <c r="N174" s="26"/>
      <c r="O174" s="26"/>
      <c r="P174" s="27">
        <f>IF($B174&lt;&gt;"Challan","",I174+J174+K174+L174+M174+N174)</f>
      </c>
      <c r="Q174" s="25"/>
      <c r="R174" s="25"/>
      <c r="S174" s="25"/>
      <c r="T174" s="25"/>
      <c r="U174" s="25"/>
      <c r="V174" s="28"/>
      <c r="W174" s="28"/>
      <c r="X174" s="23">
        <f>IF($B174="Entry",IF(AND(LEN(TRIM(UPPER(W174)))=10,CODE(MID(TRIM(UPPER(W174)),1,1))&gt;=65,CODE(MID(TRIM(UPPER(W174)),1,1))&lt;=90,CODE(MID(TRIM(UPPER(W174)),2,1))&gt;=65,CODE(MID(TRIM(UPPER(W174)),2,1))&lt;=90,CODE(MID(TRIM(UPPER(W174)),3,1))&gt;=65,CODE(MID(TRIM(UPPER(W174)),3,1))&lt;=90,CODE(MID(TRIM(UPPER(W174)),4,1))&gt;=65,CODE(MID(TRIM(UPPER(W174)),4,1))&lt;=90,CODE(MID(TRIM(UPPER(W174)),5,1))&gt;=65,CODE(MID(TRIM(UPPER(W174)),5,1))&lt;=90,CODE(MID(TRIM(UPPER(W174)),10,1))&gt;=65,CODE(MID(TRIM(UPPER(W174)),10,1))&lt;=90,CODE(MID(TRIM(UPPER(W174)),6,1))&gt;=48,CODE(MID(TRIM(UPPER(W174)),6,1))&lt;=57,CODE(MID(TRIM(UPPER(W174)),7,1))&gt;=48,CODE(MID(TRIM(UPPER(W174)),7,1))&lt;=57,CODE(MID(TRIM(UPPER(W174)),8,1))&gt;=48,CODE(MID(TRIM(UPPER(W174)),8,1))&lt;=57,CODE(MID(TRIM(UPPER(W174)),9,1))&gt;=48,CODE(MID(TRIM(UPPER(W174)),9,1))&lt;=57),"N","Y"),IF($B174="Challan","",IF(W174&lt;&gt;"","◄ Set Row Type","")))</f>
      </c>
      <c r="Y174" s="23">
        <f>IF($B174="Entry",IF(LEN(W174)&lt;4,"",IF(UPPER(MID(W174,4,1))="P","Individual",IF(UPPER(MID(W174,4,1))="H","HUF",IF(UPPER(MID(W174,4,1))="C","Company",IF(UPPER(MID(W174,4,1))="F","Firm",IF(UPPER(MID(W174,4,1))="L","LLP",IF(UPPER(MID(W174,4,1))="T","Trust",IF(UPPER(MID(W174,4,1))="A","AOP","")))))))),IF($B174="Challan","",IF(W174&lt;&gt;"","◄ Set Row Type","")))</f>
      </c>
      <c r="Z174" s="28"/>
      <c r="AA174" s="29">
        <f>IF($B174&lt;&gt;"Entry","",IF(Z174="","",IF(X174="Y",SUMPRODUCT(('Rate Lookup'!$A$1:$A$37=Z174)*'Rate Lookup'!$D$1:$D$37),IF(OR(Y174="Individual",Y174="HUF"),SUMPRODUCT(('Rate Lookup'!$A$1:$A$37=Z174)*'Rate Lookup'!$B$1:$B$37),SUMPRODUCT(('Rate Lookup'!$A$1:$A$37=Z174)*'Rate Lookup'!$C$1:$C$37)))))</f>
      </c>
      <c r="AB174" s="30"/>
      <c r="AC174" s="31"/>
      <c r="AD174" s="27">
        <f>IF($B174&lt;&gt;"Entry","",ROUND(AC174*AA174/100,0))</f>
      </c>
      <c r="AE174" s="27">
        <f>IF($B174&lt;&gt;"Entry","",0)</f>
      </c>
      <c r="AF174" s="27">
        <f>IF($B174&lt;&gt;"Entry","",0)</f>
      </c>
      <c r="AG174" s="27">
        <f>IF($B174&lt;&gt;"Entry","",IF(OR(AD174=0,AB174="",AQ174="",AQ174&lt;=0),0,IF(AQ174&lt;=DATE(YEAR(AB174),MONTH(AB174)+1,7),0,ROUND(AD174*0.015*((YEAR(AQ174)-YEAR(AB174))*12+(MONTH(AQ174)-MONTH(AB174))+1),0))))</f>
      </c>
      <c r="AH174" s="27">
        <f>IF($B174&lt;&gt;"Entry","",0)</f>
      </c>
      <c r="AI174" s="28"/>
      <c r="AJ174" s="28"/>
      <c r="AK174" s="32"/>
      <c r="AL174" s="28"/>
      <c r="AM174" s="28"/>
      <c r="AN174" s="27">
        <f>IF($B174&lt;&gt;"Challan","",SUMIF('Q1 Data'!$D$4:$D$207,D174,'Q1 Data'!$AD$4:$AD$207)+SUMIF('Q1 Data'!$D$4:$D$207,D174,'Q1 Data'!$AG$4:$AG$207)+SUMIF('Q1 Data'!$D$4:$D$207,D174,'Q1 Data'!$AE$4:$AE$207)+SUMIF('Q2 Data'!$D$4:$D$207,D174,'Q2 Data'!$AD$4:$AD$207)+SUMIF('Q2 Data'!$D$4:$D$207,D174,'Q2 Data'!$AG$4:$AG$207)+SUMIF('Q2 Data'!$D$4:$D$207,D174,'Q2 Data'!$AE$4:$AE$207)+SUMIF('Q3 Data'!$D$4:$D$207,D174,'Q3 Data'!$AD$4:$AD$207)+SUMIF('Q3 Data'!$D$4:$D$207,D174,'Q3 Data'!$AG$4:$AG$207)+SUMIF('Q3 Data'!$D$4:$D$207,D174,'Q3 Data'!$AE$4:$AE$207)+SUMIF('Q4 Data'!$D$4:$D$207,D174,'Q4 Data'!$AD$4:$AD$207)+SUMIF('Q4 Data'!$D$4:$D$207,D174,'Q4 Data'!$AG$4:$AG$207)+SUMIF('Q4 Data'!$D$4:$D$207,D174,'Q4 Data'!$AE$4:$AE$207))</f>
      </c>
      <c r="AO174" s="27">
        <f>IF($B174&lt;&gt;"Challan","",P174-N174)</f>
      </c>
      <c r="AP174" s="27">
        <f>IF($B174&lt;&gt;"Challan","",MAX(0,AO174-AN174))</f>
      </c>
      <c r="AQ174" s="33">
        <f>IF($B174&lt;&gt;"Entry","",SUMPRODUCT(('Q1 Data'!$D$4:$D$207=D174)*('Q1 Data'!$B$4:$B$207="Challan")*'Q1 Data'!$F$4:$F$207)+SUMPRODUCT(('Q2 Data'!$D$4:$D$207=D174)*('Q2 Data'!$B$4:$B$207="Challan")*'Q2 Data'!$F$4:$F$207)+SUMPRODUCT(('Q3 Data'!$D$4:$D$207=D174)*('Q3 Data'!$B$4:$B$207="Challan")*'Q3 Data'!$F$4:$F$207)+SUMPRODUCT(('Q4 Data'!$D$4:$D$207=D174)*('Q4 Data'!$B$4:$B$207="Challan")*'Q4 Data'!$F$4:$F$207))</f>
      </c>
      <c r="AR174" s="34">
        <f>IF(OR($B174&lt;&gt;"Entry",Z174=""),FALSE,AND((SUMPRODUCT(('Q1 Data'!$D$4:$D$207=D174)*('Q1 Data'!$B$4:$B$207="Challan")*('Q1 Data'!$H$4:$H$207&lt;&gt;""))+SUMPRODUCT(('Q2 Data'!$D$4:$D$207=D174)*('Q2 Data'!$B$4:$B$207="Challan")*('Q2 Data'!$H$4:$H$207&lt;&gt;""))+SUMPRODUCT(('Q3 Data'!$D$4:$D$207=D174)*('Q3 Data'!$B$4:$B$207="Challan")*('Q3 Data'!$H$4:$H$207&lt;&gt;""))+SUMPRODUCT(('Q4 Data'!$D$4:$D$207=D174)*('Q4 Data'!$B$4:$B$207="Challan")*('Q4 Data'!$H$4:$H$207&lt;&gt;"")))&gt;0,(SUMPRODUCT(('Q1 Data'!$D$4:$D$207=D174)*('Q1 Data'!$B$4:$B$207="Challan")*('Q1 Data'!$H$4:$H$207=Z174))+SUMPRODUCT(('Q2 Data'!$D$4:$D$207=D174)*('Q2 Data'!$B$4:$B$207="Challan")*('Q2 Data'!$H$4:$H$207=Z174))+SUMPRODUCT(('Q3 Data'!$D$4:$D$207=D174)*('Q3 Data'!$B$4:$B$207="Challan")*('Q3 Data'!$H$4:$H$207=Z174))+SUMPRODUCT(('Q4 Data'!$D$4:$D$207=D174)*('Q4 Data'!$B$4:$B$207="Challan")*('Q4 Data'!$H$4:$H$207=Z174)))=0))</f>
      </c>
    </row>
    <row r="175" spans="1:44" x14ac:dyDescent="0.25">
      <c r="A175" s="20">
        <f>IF($B175="Entry",COUNTIF($B$4:$B175,"Entry"),"")</f>
      </c>
      <c r="B175" s="21"/>
      <c r="C175" s="22"/>
      <c r="D175" s="22"/>
      <c r="E175" s="23">
        <f>IF($B175&lt;&gt;"Challan","",IF(ROUND(AN175-AO175,2)&gt;0,"Over-applied",IF(ROUND(AN175-AO175,2)=0,"Fully Utilised","Unconsumed")))</f>
      </c>
      <c r="F175" s="24"/>
      <c r="G175" s="25"/>
      <c r="H175" s="25"/>
      <c r="I175" s="26"/>
      <c r="J175" s="26"/>
      <c r="K175" s="26"/>
      <c r="L175" s="26"/>
      <c r="M175" s="26"/>
      <c r="N175" s="26"/>
      <c r="O175" s="26"/>
      <c r="P175" s="27">
        <f>IF($B175&lt;&gt;"Challan","",I175+J175+K175+L175+M175+N175)</f>
      </c>
      <c r="Q175" s="25"/>
      <c r="R175" s="25"/>
      <c r="S175" s="25"/>
      <c r="T175" s="25"/>
      <c r="U175" s="25"/>
      <c r="V175" s="28"/>
      <c r="W175" s="28"/>
      <c r="X175" s="23">
        <f>IF($B175="Entry",IF(AND(LEN(TRIM(UPPER(W175)))=10,CODE(MID(TRIM(UPPER(W175)),1,1))&gt;=65,CODE(MID(TRIM(UPPER(W175)),1,1))&lt;=90,CODE(MID(TRIM(UPPER(W175)),2,1))&gt;=65,CODE(MID(TRIM(UPPER(W175)),2,1))&lt;=90,CODE(MID(TRIM(UPPER(W175)),3,1))&gt;=65,CODE(MID(TRIM(UPPER(W175)),3,1))&lt;=90,CODE(MID(TRIM(UPPER(W175)),4,1))&gt;=65,CODE(MID(TRIM(UPPER(W175)),4,1))&lt;=90,CODE(MID(TRIM(UPPER(W175)),5,1))&gt;=65,CODE(MID(TRIM(UPPER(W175)),5,1))&lt;=90,CODE(MID(TRIM(UPPER(W175)),10,1))&gt;=65,CODE(MID(TRIM(UPPER(W175)),10,1))&lt;=90,CODE(MID(TRIM(UPPER(W175)),6,1))&gt;=48,CODE(MID(TRIM(UPPER(W175)),6,1))&lt;=57,CODE(MID(TRIM(UPPER(W175)),7,1))&gt;=48,CODE(MID(TRIM(UPPER(W175)),7,1))&lt;=57,CODE(MID(TRIM(UPPER(W175)),8,1))&gt;=48,CODE(MID(TRIM(UPPER(W175)),8,1))&lt;=57,CODE(MID(TRIM(UPPER(W175)),9,1))&gt;=48,CODE(MID(TRIM(UPPER(W175)),9,1))&lt;=57),"N","Y"),IF($B175="Challan","",IF(W175&lt;&gt;"","◄ Set Row Type","")))</f>
      </c>
      <c r="Y175" s="23">
        <f>IF($B175="Entry",IF(LEN(W175)&lt;4,"",IF(UPPER(MID(W175,4,1))="P","Individual",IF(UPPER(MID(W175,4,1))="H","HUF",IF(UPPER(MID(W175,4,1))="C","Company",IF(UPPER(MID(W175,4,1))="F","Firm",IF(UPPER(MID(W175,4,1))="L","LLP",IF(UPPER(MID(W175,4,1))="T","Trust",IF(UPPER(MID(W175,4,1))="A","AOP","")))))))),IF($B175="Challan","",IF(W175&lt;&gt;"","◄ Set Row Type","")))</f>
      </c>
      <c r="Z175" s="28"/>
      <c r="AA175" s="29">
        <f>IF($B175&lt;&gt;"Entry","",IF(Z175="","",IF(X175="Y",SUMPRODUCT(('Rate Lookup'!$A$1:$A$37=Z175)*'Rate Lookup'!$D$1:$D$37),IF(OR(Y175="Individual",Y175="HUF"),SUMPRODUCT(('Rate Lookup'!$A$1:$A$37=Z175)*'Rate Lookup'!$B$1:$B$37),SUMPRODUCT(('Rate Lookup'!$A$1:$A$37=Z175)*'Rate Lookup'!$C$1:$C$37)))))</f>
      </c>
      <c r="AB175" s="30"/>
      <c r="AC175" s="31"/>
      <c r="AD175" s="27">
        <f>IF($B175&lt;&gt;"Entry","",ROUND(AC175*AA175/100,0))</f>
      </c>
      <c r="AE175" s="27">
        <f>IF($B175&lt;&gt;"Entry","",0)</f>
      </c>
      <c r="AF175" s="27">
        <f>IF($B175&lt;&gt;"Entry","",0)</f>
      </c>
      <c r="AG175" s="27">
        <f>IF($B175&lt;&gt;"Entry","",IF(OR(AD175=0,AB175="",AQ175="",AQ175&lt;=0),0,IF(AQ175&lt;=DATE(YEAR(AB175),MONTH(AB175)+1,7),0,ROUND(AD175*0.015*((YEAR(AQ175)-YEAR(AB175))*12+(MONTH(AQ175)-MONTH(AB175))+1),0))))</f>
      </c>
      <c r="AH175" s="27">
        <f>IF($B175&lt;&gt;"Entry","",0)</f>
      </c>
      <c r="AI175" s="28"/>
      <c r="AJ175" s="28"/>
      <c r="AK175" s="32"/>
      <c r="AL175" s="28"/>
      <c r="AM175" s="28"/>
      <c r="AN175" s="27">
        <f>IF($B175&lt;&gt;"Challan","",SUMIF('Q1 Data'!$D$4:$D$207,D175,'Q1 Data'!$AD$4:$AD$207)+SUMIF('Q1 Data'!$D$4:$D$207,D175,'Q1 Data'!$AG$4:$AG$207)+SUMIF('Q1 Data'!$D$4:$D$207,D175,'Q1 Data'!$AE$4:$AE$207)+SUMIF('Q2 Data'!$D$4:$D$207,D175,'Q2 Data'!$AD$4:$AD$207)+SUMIF('Q2 Data'!$D$4:$D$207,D175,'Q2 Data'!$AG$4:$AG$207)+SUMIF('Q2 Data'!$D$4:$D$207,D175,'Q2 Data'!$AE$4:$AE$207)+SUMIF('Q3 Data'!$D$4:$D$207,D175,'Q3 Data'!$AD$4:$AD$207)+SUMIF('Q3 Data'!$D$4:$D$207,D175,'Q3 Data'!$AG$4:$AG$207)+SUMIF('Q3 Data'!$D$4:$D$207,D175,'Q3 Data'!$AE$4:$AE$207)+SUMIF('Q4 Data'!$D$4:$D$207,D175,'Q4 Data'!$AD$4:$AD$207)+SUMIF('Q4 Data'!$D$4:$D$207,D175,'Q4 Data'!$AG$4:$AG$207)+SUMIF('Q4 Data'!$D$4:$D$207,D175,'Q4 Data'!$AE$4:$AE$207))</f>
      </c>
      <c r="AO175" s="27">
        <f>IF($B175&lt;&gt;"Challan","",P175-N175)</f>
      </c>
      <c r="AP175" s="27">
        <f>IF($B175&lt;&gt;"Challan","",MAX(0,AO175-AN175))</f>
      </c>
      <c r="AQ175" s="33">
        <f>IF($B175&lt;&gt;"Entry","",SUMPRODUCT(('Q1 Data'!$D$4:$D$207=D175)*('Q1 Data'!$B$4:$B$207="Challan")*'Q1 Data'!$F$4:$F$207)+SUMPRODUCT(('Q2 Data'!$D$4:$D$207=D175)*('Q2 Data'!$B$4:$B$207="Challan")*'Q2 Data'!$F$4:$F$207)+SUMPRODUCT(('Q3 Data'!$D$4:$D$207=D175)*('Q3 Data'!$B$4:$B$207="Challan")*'Q3 Data'!$F$4:$F$207)+SUMPRODUCT(('Q4 Data'!$D$4:$D$207=D175)*('Q4 Data'!$B$4:$B$207="Challan")*'Q4 Data'!$F$4:$F$207))</f>
      </c>
      <c r="AR175" s="34">
        <f>IF(OR($B175&lt;&gt;"Entry",Z175=""),FALSE,AND((SUMPRODUCT(('Q1 Data'!$D$4:$D$207=D175)*('Q1 Data'!$B$4:$B$207="Challan")*('Q1 Data'!$H$4:$H$207&lt;&gt;""))+SUMPRODUCT(('Q2 Data'!$D$4:$D$207=D175)*('Q2 Data'!$B$4:$B$207="Challan")*('Q2 Data'!$H$4:$H$207&lt;&gt;""))+SUMPRODUCT(('Q3 Data'!$D$4:$D$207=D175)*('Q3 Data'!$B$4:$B$207="Challan")*('Q3 Data'!$H$4:$H$207&lt;&gt;""))+SUMPRODUCT(('Q4 Data'!$D$4:$D$207=D175)*('Q4 Data'!$B$4:$B$207="Challan")*('Q4 Data'!$H$4:$H$207&lt;&gt;"")))&gt;0,(SUMPRODUCT(('Q1 Data'!$D$4:$D$207=D175)*('Q1 Data'!$B$4:$B$207="Challan")*('Q1 Data'!$H$4:$H$207=Z175))+SUMPRODUCT(('Q2 Data'!$D$4:$D$207=D175)*('Q2 Data'!$B$4:$B$207="Challan")*('Q2 Data'!$H$4:$H$207=Z175))+SUMPRODUCT(('Q3 Data'!$D$4:$D$207=D175)*('Q3 Data'!$B$4:$B$207="Challan")*('Q3 Data'!$H$4:$H$207=Z175))+SUMPRODUCT(('Q4 Data'!$D$4:$D$207=D175)*('Q4 Data'!$B$4:$B$207="Challan")*('Q4 Data'!$H$4:$H$207=Z175)))=0))</f>
      </c>
    </row>
    <row r="176" spans="1:44" x14ac:dyDescent="0.25">
      <c r="A176" s="20">
        <f>IF($B176="Entry",COUNTIF($B$4:$B176,"Entry"),"")</f>
      </c>
      <c r="B176" s="21"/>
      <c r="C176" s="22"/>
      <c r="D176" s="22"/>
      <c r="E176" s="23">
        <f>IF($B176&lt;&gt;"Challan","",IF(ROUND(AN176-AO176,2)&gt;0,"Over-applied",IF(ROUND(AN176-AO176,2)=0,"Fully Utilised","Unconsumed")))</f>
      </c>
      <c r="F176" s="24"/>
      <c r="G176" s="25"/>
      <c r="H176" s="25"/>
      <c r="I176" s="26"/>
      <c r="J176" s="26"/>
      <c r="K176" s="26"/>
      <c r="L176" s="26"/>
      <c r="M176" s="26"/>
      <c r="N176" s="26"/>
      <c r="O176" s="26"/>
      <c r="P176" s="27">
        <f>IF($B176&lt;&gt;"Challan","",I176+J176+K176+L176+M176+N176)</f>
      </c>
      <c r="Q176" s="25"/>
      <c r="R176" s="25"/>
      <c r="S176" s="25"/>
      <c r="T176" s="25"/>
      <c r="U176" s="25"/>
      <c r="V176" s="28"/>
      <c r="W176" s="28"/>
      <c r="X176" s="23">
        <f>IF($B176="Entry",IF(AND(LEN(TRIM(UPPER(W176)))=10,CODE(MID(TRIM(UPPER(W176)),1,1))&gt;=65,CODE(MID(TRIM(UPPER(W176)),1,1))&lt;=90,CODE(MID(TRIM(UPPER(W176)),2,1))&gt;=65,CODE(MID(TRIM(UPPER(W176)),2,1))&lt;=90,CODE(MID(TRIM(UPPER(W176)),3,1))&gt;=65,CODE(MID(TRIM(UPPER(W176)),3,1))&lt;=90,CODE(MID(TRIM(UPPER(W176)),4,1))&gt;=65,CODE(MID(TRIM(UPPER(W176)),4,1))&lt;=90,CODE(MID(TRIM(UPPER(W176)),5,1))&gt;=65,CODE(MID(TRIM(UPPER(W176)),5,1))&lt;=90,CODE(MID(TRIM(UPPER(W176)),10,1))&gt;=65,CODE(MID(TRIM(UPPER(W176)),10,1))&lt;=90,CODE(MID(TRIM(UPPER(W176)),6,1))&gt;=48,CODE(MID(TRIM(UPPER(W176)),6,1))&lt;=57,CODE(MID(TRIM(UPPER(W176)),7,1))&gt;=48,CODE(MID(TRIM(UPPER(W176)),7,1))&lt;=57,CODE(MID(TRIM(UPPER(W176)),8,1))&gt;=48,CODE(MID(TRIM(UPPER(W176)),8,1))&lt;=57,CODE(MID(TRIM(UPPER(W176)),9,1))&gt;=48,CODE(MID(TRIM(UPPER(W176)),9,1))&lt;=57),"N","Y"),IF($B176="Challan","",IF(W176&lt;&gt;"","◄ Set Row Type","")))</f>
      </c>
      <c r="Y176" s="23">
        <f>IF($B176="Entry",IF(LEN(W176)&lt;4,"",IF(UPPER(MID(W176,4,1))="P","Individual",IF(UPPER(MID(W176,4,1))="H","HUF",IF(UPPER(MID(W176,4,1))="C","Company",IF(UPPER(MID(W176,4,1))="F","Firm",IF(UPPER(MID(W176,4,1))="L","LLP",IF(UPPER(MID(W176,4,1))="T","Trust",IF(UPPER(MID(W176,4,1))="A","AOP","")))))))),IF($B176="Challan","",IF(W176&lt;&gt;"","◄ Set Row Type","")))</f>
      </c>
      <c r="Z176" s="28"/>
      <c r="AA176" s="29">
        <f>IF($B176&lt;&gt;"Entry","",IF(Z176="","",IF(X176="Y",SUMPRODUCT(('Rate Lookup'!$A$1:$A$37=Z176)*'Rate Lookup'!$D$1:$D$37),IF(OR(Y176="Individual",Y176="HUF"),SUMPRODUCT(('Rate Lookup'!$A$1:$A$37=Z176)*'Rate Lookup'!$B$1:$B$37),SUMPRODUCT(('Rate Lookup'!$A$1:$A$37=Z176)*'Rate Lookup'!$C$1:$C$37)))))</f>
      </c>
      <c r="AB176" s="30"/>
      <c r="AC176" s="31"/>
      <c r="AD176" s="27">
        <f>IF($B176&lt;&gt;"Entry","",ROUND(AC176*AA176/100,0))</f>
      </c>
      <c r="AE176" s="27">
        <f>IF($B176&lt;&gt;"Entry","",0)</f>
      </c>
      <c r="AF176" s="27">
        <f>IF($B176&lt;&gt;"Entry","",0)</f>
      </c>
      <c r="AG176" s="27">
        <f>IF($B176&lt;&gt;"Entry","",IF(OR(AD176=0,AB176="",AQ176="",AQ176&lt;=0),0,IF(AQ176&lt;=DATE(YEAR(AB176),MONTH(AB176)+1,7),0,ROUND(AD176*0.015*((YEAR(AQ176)-YEAR(AB176))*12+(MONTH(AQ176)-MONTH(AB176))+1),0))))</f>
      </c>
      <c r="AH176" s="27">
        <f>IF($B176&lt;&gt;"Entry","",0)</f>
      </c>
      <c r="AI176" s="28"/>
      <c r="AJ176" s="28"/>
      <c r="AK176" s="32"/>
      <c r="AL176" s="28"/>
      <c r="AM176" s="28"/>
      <c r="AN176" s="27">
        <f>IF($B176&lt;&gt;"Challan","",SUMIF('Q1 Data'!$D$4:$D$207,D176,'Q1 Data'!$AD$4:$AD$207)+SUMIF('Q1 Data'!$D$4:$D$207,D176,'Q1 Data'!$AG$4:$AG$207)+SUMIF('Q1 Data'!$D$4:$D$207,D176,'Q1 Data'!$AE$4:$AE$207)+SUMIF('Q2 Data'!$D$4:$D$207,D176,'Q2 Data'!$AD$4:$AD$207)+SUMIF('Q2 Data'!$D$4:$D$207,D176,'Q2 Data'!$AG$4:$AG$207)+SUMIF('Q2 Data'!$D$4:$D$207,D176,'Q2 Data'!$AE$4:$AE$207)+SUMIF('Q3 Data'!$D$4:$D$207,D176,'Q3 Data'!$AD$4:$AD$207)+SUMIF('Q3 Data'!$D$4:$D$207,D176,'Q3 Data'!$AG$4:$AG$207)+SUMIF('Q3 Data'!$D$4:$D$207,D176,'Q3 Data'!$AE$4:$AE$207)+SUMIF('Q4 Data'!$D$4:$D$207,D176,'Q4 Data'!$AD$4:$AD$207)+SUMIF('Q4 Data'!$D$4:$D$207,D176,'Q4 Data'!$AG$4:$AG$207)+SUMIF('Q4 Data'!$D$4:$D$207,D176,'Q4 Data'!$AE$4:$AE$207))</f>
      </c>
      <c r="AO176" s="27">
        <f>IF($B176&lt;&gt;"Challan","",P176-N176)</f>
      </c>
      <c r="AP176" s="27">
        <f>IF($B176&lt;&gt;"Challan","",MAX(0,AO176-AN176))</f>
      </c>
      <c r="AQ176" s="33">
        <f>IF($B176&lt;&gt;"Entry","",SUMPRODUCT(('Q1 Data'!$D$4:$D$207=D176)*('Q1 Data'!$B$4:$B$207="Challan")*'Q1 Data'!$F$4:$F$207)+SUMPRODUCT(('Q2 Data'!$D$4:$D$207=D176)*('Q2 Data'!$B$4:$B$207="Challan")*'Q2 Data'!$F$4:$F$207)+SUMPRODUCT(('Q3 Data'!$D$4:$D$207=D176)*('Q3 Data'!$B$4:$B$207="Challan")*'Q3 Data'!$F$4:$F$207)+SUMPRODUCT(('Q4 Data'!$D$4:$D$207=D176)*('Q4 Data'!$B$4:$B$207="Challan")*'Q4 Data'!$F$4:$F$207))</f>
      </c>
      <c r="AR176" s="34">
        <f>IF(OR($B176&lt;&gt;"Entry",Z176=""),FALSE,AND((SUMPRODUCT(('Q1 Data'!$D$4:$D$207=D176)*('Q1 Data'!$B$4:$B$207="Challan")*('Q1 Data'!$H$4:$H$207&lt;&gt;""))+SUMPRODUCT(('Q2 Data'!$D$4:$D$207=D176)*('Q2 Data'!$B$4:$B$207="Challan")*('Q2 Data'!$H$4:$H$207&lt;&gt;""))+SUMPRODUCT(('Q3 Data'!$D$4:$D$207=D176)*('Q3 Data'!$B$4:$B$207="Challan")*('Q3 Data'!$H$4:$H$207&lt;&gt;""))+SUMPRODUCT(('Q4 Data'!$D$4:$D$207=D176)*('Q4 Data'!$B$4:$B$207="Challan")*('Q4 Data'!$H$4:$H$207&lt;&gt;"")))&gt;0,(SUMPRODUCT(('Q1 Data'!$D$4:$D$207=D176)*('Q1 Data'!$B$4:$B$207="Challan")*('Q1 Data'!$H$4:$H$207=Z176))+SUMPRODUCT(('Q2 Data'!$D$4:$D$207=D176)*('Q2 Data'!$B$4:$B$207="Challan")*('Q2 Data'!$H$4:$H$207=Z176))+SUMPRODUCT(('Q3 Data'!$D$4:$D$207=D176)*('Q3 Data'!$B$4:$B$207="Challan")*('Q3 Data'!$H$4:$H$207=Z176))+SUMPRODUCT(('Q4 Data'!$D$4:$D$207=D176)*('Q4 Data'!$B$4:$B$207="Challan")*('Q4 Data'!$H$4:$H$207=Z176)))=0))</f>
      </c>
    </row>
    <row r="177" spans="1:44" x14ac:dyDescent="0.25">
      <c r="A177" s="20">
        <f>IF($B177="Entry",COUNTIF($B$4:$B177,"Entry"),"")</f>
      </c>
      <c r="B177" s="21"/>
      <c r="C177" s="22"/>
      <c r="D177" s="22"/>
      <c r="E177" s="23">
        <f>IF($B177&lt;&gt;"Challan","",IF(ROUND(AN177-AO177,2)&gt;0,"Over-applied",IF(ROUND(AN177-AO177,2)=0,"Fully Utilised","Unconsumed")))</f>
      </c>
      <c r="F177" s="24"/>
      <c r="G177" s="25"/>
      <c r="H177" s="25"/>
      <c r="I177" s="26"/>
      <c r="J177" s="26"/>
      <c r="K177" s="26"/>
      <c r="L177" s="26"/>
      <c r="M177" s="26"/>
      <c r="N177" s="26"/>
      <c r="O177" s="26"/>
      <c r="P177" s="27">
        <f>IF($B177&lt;&gt;"Challan","",I177+J177+K177+L177+M177+N177)</f>
      </c>
      <c r="Q177" s="25"/>
      <c r="R177" s="25"/>
      <c r="S177" s="25"/>
      <c r="T177" s="25"/>
      <c r="U177" s="25"/>
      <c r="V177" s="28"/>
      <c r="W177" s="28"/>
      <c r="X177" s="23">
        <f>IF($B177="Entry",IF(AND(LEN(TRIM(UPPER(W177)))=10,CODE(MID(TRIM(UPPER(W177)),1,1))&gt;=65,CODE(MID(TRIM(UPPER(W177)),1,1))&lt;=90,CODE(MID(TRIM(UPPER(W177)),2,1))&gt;=65,CODE(MID(TRIM(UPPER(W177)),2,1))&lt;=90,CODE(MID(TRIM(UPPER(W177)),3,1))&gt;=65,CODE(MID(TRIM(UPPER(W177)),3,1))&lt;=90,CODE(MID(TRIM(UPPER(W177)),4,1))&gt;=65,CODE(MID(TRIM(UPPER(W177)),4,1))&lt;=90,CODE(MID(TRIM(UPPER(W177)),5,1))&gt;=65,CODE(MID(TRIM(UPPER(W177)),5,1))&lt;=90,CODE(MID(TRIM(UPPER(W177)),10,1))&gt;=65,CODE(MID(TRIM(UPPER(W177)),10,1))&lt;=90,CODE(MID(TRIM(UPPER(W177)),6,1))&gt;=48,CODE(MID(TRIM(UPPER(W177)),6,1))&lt;=57,CODE(MID(TRIM(UPPER(W177)),7,1))&gt;=48,CODE(MID(TRIM(UPPER(W177)),7,1))&lt;=57,CODE(MID(TRIM(UPPER(W177)),8,1))&gt;=48,CODE(MID(TRIM(UPPER(W177)),8,1))&lt;=57,CODE(MID(TRIM(UPPER(W177)),9,1))&gt;=48,CODE(MID(TRIM(UPPER(W177)),9,1))&lt;=57),"N","Y"),IF($B177="Challan","",IF(W177&lt;&gt;"","◄ Set Row Type","")))</f>
      </c>
      <c r="Y177" s="23">
        <f>IF($B177="Entry",IF(LEN(W177)&lt;4,"",IF(UPPER(MID(W177,4,1))="P","Individual",IF(UPPER(MID(W177,4,1))="H","HUF",IF(UPPER(MID(W177,4,1))="C","Company",IF(UPPER(MID(W177,4,1))="F","Firm",IF(UPPER(MID(W177,4,1))="L","LLP",IF(UPPER(MID(W177,4,1))="T","Trust",IF(UPPER(MID(W177,4,1))="A","AOP","")))))))),IF($B177="Challan","",IF(W177&lt;&gt;"","◄ Set Row Type","")))</f>
      </c>
      <c r="Z177" s="28"/>
      <c r="AA177" s="29">
        <f>IF($B177&lt;&gt;"Entry","",IF(Z177="","",IF(X177="Y",SUMPRODUCT(('Rate Lookup'!$A$1:$A$37=Z177)*'Rate Lookup'!$D$1:$D$37),IF(OR(Y177="Individual",Y177="HUF"),SUMPRODUCT(('Rate Lookup'!$A$1:$A$37=Z177)*'Rate Lookup'!$B$1:$B$37),SUMPRODUCT(('Rate Lookup'!$A$1:$A$37=Z177)*'Rate Lookup'!$C$1:$C$37)))))</f>
      </c>
      <c r="AB177" s="30"/>
      <c r="AC177" s="31"/>
      <c r="AD177" s="27">
        <f>IF($B177&lt;&gt;"Entry","",ROUND(AC177*AA177/100,0))</f>
      </c>
      <c r="AE177" s="27">
        <f>IF($B177&lt;&gt;"Entry","",0)</f>
      </c>
      <c r="AF177" s="27">
        <f>IF($B177&lt;&gt;"Entry","",0)</f>
      </c>
      <c r="AG177" s="27">
        <f>IF($B177&lt;&gt;"Entry","",IF(OR(AD177=0,AB177="",AQ177="",AQ177&lt;=0),0,IF(AQ177&lt;=DATE(YEAR(AB177),MONTH(AB177)+1,7),0,ROUND(AD177*0.015*((YEAR(AQ177)-YEAR(AB177))*12+(MONTH(AQ177)-MONTH(AB177))+1),0))))</f>
      </c>
      <c r="AH177" s="27">
        <f>IF($B177&lt;&gt;"Entry","",0)</f>
      </c>
      <c r="AI177" s="28"/>
      <c r="AJ177" s="28"/>
      <c r="AK177" s="32"/>
      <c r="AL177" s="28"/>
      <c r="AM177" s="28"/>
      <c r="AN177" s="27">
        <f>IF($B177&lt;&gt;"Challan","",SUMIF('Q1 Data'!$D$4:$D$207,D177,'Q1 Data'!$AD$4:$AD$207)+SUMIF('Q1 Data'!$D$4:$D$207,D177,'Q1 Data'!$AG$4:$AG$207)+SUMIF('Q1 Data'!$D$4:$D$207,D177,'Q1 Data'!$AE$4:$AE$207)+SUMIF('Q2 Data'!$D$4:$D$207,D177,'Q2 Data'!$AD$4:$AD$207)+SUMIF('Q2 Data'!$D$4:$D$207,D177,'Q2 Data'!$AG$4:$AG$207)+SUMIF('Q2 Data'!$D$4:$D$207,D177,'Q2 Data'!$AE$4:$AE$207)+SUMIF('Q3 Data'!$D$4:$D$207,D177,'Q3 Data'!$AD$4:$AD$207)+SUMIF('Q3 Data'!$D$4:$D$207,D177,'Q3 Data'!$AG$4:$AG$207)+SUMIF('Q3 Data'!$D$4:$D$207,D177,'Q3 Data'!$AE$4:$AE$207)+SUMIF('Q4 Data'!$D$4:$D$207,D177,'Q4 Data'!$AD$4:$AD$207)+SUMIF('Q4 Data'!$D$4:$D$207,D177,'Q4 Data'!$AG$4:$AG$207)+SUMIF('Q4 Data'!$D$4:$D$207,D177,'Q4 Data'!$AE$4:$AE$207))</f>
      </c>
      <c r="AO177" s="27">
        <f>IF($B177&lt;&gt;"Challan","",P177-N177)</f>
      </c>
      <c r="AP177" s="27">
        <f>IF($B177&lt;&gt;"Challan","",MAX(0,AO177-AN177))</f>
      </c>
      <c r="AQ177" s="33">
        <f>IF($B177&lt;&gt;"Entry","",SUMPRODUCT(('Q1 Data'!$D$4:$D$207=D177)*('Q1 Data'!$B$4:$B$207="Challan")*'Q1 Data'!$F$4:$F$207)+SUMPRODUCT(('Q2 Data'!$D$4:$D$207=D177)*('Q2 Data'!$B$4:$B$207="Challan")*'Q2 Data'!$F$4:$F$207)+SUMPRODUCT(('Q3 Data'!$D$4:$D$207=D177)*('Q3 Data'!$B$4:$B$207="Challan")*'Q3 Data'!$F$4:$F$207)+SUMPRODUCT(('Q4 Data'!$D$4:$D$207=D177)*('Q4 Data'!$B$4:$B$207="Challan")*'Q4 Data'!$F$4:$F$207))</f>
      </c>
      <c r="AR177" s="34">
        <f>IF(OR($B177&lt;&gt;"Entry",Z177=""),FALSE,AND((SUMPRODUCT(('Q1 Data'!$D$4:$D$207=D177)*('Q1 Data'!$B$4:$B$207="Challan")*('Q1 Data'!$H$4:$H$207&lt;&gt;""))+SUMPRODUCT(('Q2 Data'!$D$4:$D$207=D177)*('Q2 Data'!$B$4:$B$207="Challan")*('Q2 Data'!$H$4:$H$207&lt;&gt;""))+SUMPRODUCT(('Q3 Data'!$D$4:$D$207=D177)*('Q3 Data'!$B$4:$B$207="Challan")*('Q3 Data'!$H$4:$H$207&lt;&gt;""))+SUMPRODUCT(('Q4 Data'!$D$4:$D$207=D177)*('Q4 Data'!$B$4:$B$207="Challan")*('Q4 Data'!$H$4:$H$207&lt;&gt;"")))&gt;0,(SUMPRODUCT(('Q1 Data'!$D$4:$D$207=D177)*('Q1 Data'!$B$4:$B$207="Challan")*('Q1 Data'!$H$4:$H$207=Z177))+SUMPRODUCT(('Q2 Data'!$D$4:$D$207=D177)*('Q2 Data'!$B$4:$B$207="Challan")*('Q2 Data'!$H$4:$H$207=Z177))+SUMPRODUCT(('Q3 Data'!$D$4:$D$207=D177)*('Q3 Data'!$B$4:$B$207="Challan")*('Q3 Data'!$H$4:$H$207=Z177))+SUMPRODUCT(('Q4 Data'!$D$4:$D$207=D177)*('Q4 Data'!$B$4:$B$207="Challan")*('Q4 Data'!$H$4:$H$207=Z177)))=0))</f>
      </c>
    </row>
    <row r="178" spans="1:44" x14ac:dyDescent="0.25">
      <c r="A178" s="20">
        <f>IF($B178="Entry",COUNTIF($B$4:$B178,"Entry"),"")</f>
      </c>
      <c r="B178" s="21"/>
      <c r="C178" s="22"/>
      <c r="D178" s="22"/>
      <c r="E178" s="23">
        <f>IF($B178&lt;&gt;"Challan","",IF(ROUND(AN178-AO178,2)&gt;0,"Over-applied",IF(ROUND(AN178-AO178,2)=0,"Fully Utilised","Unconsumed")))</f>
      </c>
      <c r="F178" s="24"/>
      <c r="G178" s="25"/>
      <c r="H178" s="25"/>
      <c r="I178" s="26"/>
      <c r="J178" s="26"/>
      <c r="K178" s="26"/>
      <c r="L178" s="26"/>
      <c r="M178" s="26"/>
      <c r="N178" s="26"/>
      <c r="O178" s="26"/>
      <c r="P178" s="27">
        <f>IF($B178&lt;&gt;"Challan","",I178+J178+K178+L178+M178+N178)</f>
      </c>
      <c r="Q178" s="25"/>
      <c r="R178" s="25"/>
      <c r="S178" s="25"/>
      <c r="T178" s="25"/>
      <c r="U178" s="25"/>
      <c r="V178" s="28"/>
      <c r="W178" s="28"/>
      <c r="X178" s="23">
        <f>IF($B178="Entry",IF(AND(LEN(TRIM(UPPER(W178)))=10,CODE(MID(TRIM(UPPER(W178)),1,1))&gt;=65,CODE(MID(TRIM(UPPER(W178)),1,1))&lt;=90,CODE(MID(TRIM(UPPER(W178)),2,1))&gt;=65,CODE(MID(TRIM(UPPER(W178)),2,1))&lt;=90,CODE(MID(TRIM(UPPER(W178)),3,1))&gt;=65,CODE(MID(TRIM(UPPER(W178)),3,1))&lt;=90,CODE(MID(TRIM(UPPER(W178)),4,1))&gt;=65,CODE(MID(TRIM(UPPER(W178)),4,1))&lt;=90,CODE(MID(TRIM(UPPER(W178)),5,1))&gt;=65,CODE(MID(TRIM(UPPER(W178)),5,1))&lt;=90,CODE(MID(TRIM(UPPER(W178)),10,1))&gt;=65,CODE(MID(TRIM(UPPER(W178)),10,1))&lt;=90,CODE(MID(TRIM(UPPER(W178)),6,1))&gt;=48,CODE(MID(TRIM(UPPER(W178)),6,1))&lt;=57,CODE(MID(TRIM(UPPER(W178)),7,1))&gt;=48,CODE(MID(TRIM(UPPER(W178)),7,1))&lt;=57,CODE(MID(TRIM(UPPER(W178)),8,1))&gt;=48,CODE(MID(TRIM(UPPER(W178)),8,1))&lt;=57,CODE(MID(TRIM(UPPER(W178)),9,1))&gt;=48,CODE(MID(TRIM(UPPER(W178)),9,1))&lt;=57),"N","Y"),IF($B178="Challan","",IF(W178&lt;&gt;"","◄ Set Row Type","")))</f>
      </c>
      <c r="Y178" s="23">
        <f>IF($B178="Entry",IF(LEN(W178)&lt;4,"",IF(UPPER(MID(W178,4,1))="P","Individual",IF(UPPER(MID(W178,4,1))="H","HUF",IF(UPPER(MID(W178,4,1))="C","Company",IF(UPPER(MID(W178,4,1))="F","Firm",IF(UPPER(MID(W178,4,1))="L","LLP",IF(UPPER(MID(W178,4,1))="T","Trust",IF(UPPER(MID(W178,4,1))="A","AOP","")))))))),IF($B178="Challan","",IF(W178&lt;&gt;"","◄ Set Row Type","")))</f>
      </c>
      <c r="Z178" s="28"/>
      <c r="AA178" s="29">
        <f>IF($B178&lt;&gt;"Entry","",IF(Z178="","",IF(X178="Y",SUMPRODUCT(('Rate Lookup'!$A$1:$A$37=Z178)*'Rate Lookup'!$D$1:$D$37),IF(OR(Y178="Individual",Y178="HUF"),SUMPRODUCT(('Rate Lookup'!$A$1:$A$37=Z178)*'Rate Lookup'!$B$1:$B$37),SUMPRODUCT(('Rate Lookup'!$A$1:$A$37=Z178)*'Rate Lookup'!$C$1:$C$37)))))</f>
      </c>
      <c r="AB178" s="30"/>
      <c r="AC178" s="31"/>
      <c r="AD178" s="27">
        <f>IF($B178&lt;&gt;"Entry","",ROUND(AC178*AA178/100,0))</f>
      </c>
      <c r="AE178" s="27">
        <f>IF($B178&lt;&gt;"Entry","",0)</f>
      </c>
      <c r="AF178" s="27">
        <f>IF($B178&lt;&gt;"Entry","",0)</f>
      </c>
      <c r="AG178" s="27">
        <f>IF($B178&lt;&gt;"Entry","",IF(OR(AD178=0,AB178="",AQ178="",AQ178&lt;=0),0,IF(AQ178&lt;=DATE(YEAR(AB178),MONTH(AB178)+1,7),0,ROUND(AD178*0.015*((YEAR(AQ178)-YEAR(AB178))*12+(MONTH(AQ178)-MONTH(AB178))+1),0))))</f>
      </c>
      <c r="AH178" s="27">
        <f>IF($B178&lt;&gt;"Entry","",0)</f>
      </c>
      <c r="AI178" s="28"/>
      <c r="AJ178" s="28"/>
      <c r="AK178" s="32"/>
      <c r="AL178" s="28"/>
      <c r="AM178" s="28"/>
      <c r="AN178" s="27">
        <f>IF($B178&lt;&gt;"Challan","",SUMIF('Q1 Data'!$D$4:$D$207,D178,'Q1 Data'!$AD$4:$AD$207)+SUMIF('Q1 Data'!$D$4:$D$207,D178,'Q1 Data'!$AG$4:$AG$207)+SUMIF('Q1 Data'!$D$4:$D$207,D178,'Q1 Data'!$AE$4:$AE$207)+SUMIF('Q2 Data'!$D$4:$D$207,D178,'Q2 Data'!$AD$4:$AD$207)+SUMIF('Q2 Data'!$D$4:$D$207,D178,'Q2 Data'!$AG$4:$AG$207)+SUMIF('Q2 Data'!$D$4:$D$207,D178,'Q2 Data'!$AE$4:$AE$207)+SUMIF('Q3 Data'!$D$4:$D$207,D178,'Q3 Data'!$AD$4:$AD$207)+SUMIF('Q3 Data'!$D$4:$D$207,D178,'Q3 Data'!$AG$4:$AG$207)+SUMIF('Q3 Data'!$D$4:$D$207,D178,'Q3 Data'!$AE$4:$AE$207)+SUMIF('Q4 Data'!$D$4:$D$207,D178,'Q4 Data'!$AD$4:$AD$207)+SUMIF('Q4 Data'!$D$4:$D$207,D178,'Q4 Data'!$AG$4:$AG$207)+SUMIF('Q4 Data'!$D$4:$D$207,D178,'Q4 Data'!$AE$4:$AE$207))</f>
      </c>
      <c r="AO178" s="27">
        <f>IF($B178&lt;&gt;"Challan","",P178-N178)</f>
      </c>
      <c r="AP178" s="27">
        <f>IF($B178&lt;&gt;"Challan","",MAX(0,AO178-AN178))</f>
      </c>
      <c r="AQ178" s="33">
        <f>IF($B178&lt;&gt;"Entry","",SUMPRODUCT(('Q1 Data'!$D$4:$D$207=D178)*('Q1 Data'!$B$4:$B$207="Challan")*'Q1 Data'!$F$4:$F$207)+SUMPRODUCT(('Q2 Data'!$D$4:$D$207=D178)*('Q2 Data'!$B$4:$B$207="Challan")*'Q2 Data'!$F$4:$F$207)+SUMPRODUCT(('Q3 Data'!$D$4:$D$207=D178)*('Q3 Data'!$B$4:$B$207="Challan")*'Q3 Data'!$F$4:$F$207)+SUMPRODUCT(('Q4 Data'!$D$4:$D$207=D178)*('Q4 Data'!$B$4:$B$207="Challan")*'Q4 Data'!$F$4:$F$207))</f>
      </c>
      <c r="AR178" s="34">
        <f>IF(OR($B178&lt;&gt;"Entry",Z178=""),FALSE,AND((SUMPRODUCT(('Q1 Data'!$D$4:$D$207=D178)*('Q1 Data'!$B$4:$B$207="Challan")*('Q1 Data'!$H$4:$H$207&lt;&gt;""))+SUMPRODUCT(('Q2 Data'!$D$4:$D$207=D178)*('Q2 Data'!$B$4:$B$207="Challan")*('Q2 Data'!$H$4:$H$207&lt;&gt;""))+SUMPRODUCT(('Q3 Data'!$D$4:$D$207=D178)*('Q3 Data'!$B$4:$B$207="Challan")*('Q3 Data'!$H$4:$H$207&lt;&gt;""))+SUMPRODUCT(('Q4 Data'!$D$4:$D$207=D178)*('Q4 Data'!$B$4:$B$207="Challan")*('Q4 Data'!$H$4:$H$207&lt;&gt;"")))&gt;0,(SUMPRODUCT(('Q1 Data'!$D$4:$D$207=D178)*('Q1 Data'!$B$4:$B$207="Challan")*('Q1 Data'!$H$4:$H$207=Z178))+SUMPRODUCT(('Q2 Data'!$D$4:$D$207=D178)*('Q2 Data'!$B$4:$B$207="Challan")*('Q2 Data'!$H$4:$H$207=Z178))+SUMPRODUCT(('Q3 Data'!$D$4:$D$207=D178)*('Q3 Data'!$B$4:$B$207="Challan")*('Q3 Data'!$H$4:$H$207=Z178))+SUMPRODUCT(('Q4 Data'!$D$4:$D$207=D178)*('Q4 Data'!$B$4:$B$207="Challan")*('Q4 Data'!$H$4:$H$207=Z178)))=0))</f>
      </c>
    </row>
    <row r="179" spans="1:44" x14ac:dyDescent="0.25">
      <c r="A179" s="20">
        <f>IF($B179="Entry",COUNTIF($B$4:$B179,"Entry"),"")</f>
      </c>
      <c r="B179" s="21"/>
      <c r="C179" s="22"/>
      <c r="D179" s="22"/>
      <c r="E179" s="23">
        <f>IF($B179&lt;&gt;"Challan","",IF(ROUND(AN179-AO179,2)&gt;0,"Over-applied",IF(ROUND(AN179-AO179,2)=0,"Fully Utilised","Unconsumed")))</f>
      </c>
      <c r="F179" s="24"/>
      <c r="G179" s="25"/>
      <c r="H179" s="25"/>
      <c r="I179" s="26"/>
      <c r="J179" s="26"/>
      <c r="K179" s="26"/>
      <c r="L179" s="26"/>
      <c r="M179" s="26"/>
      <c r="N179" s="26"/>
      <c r="O179" s="26"/>
      <c r="P179" s="27">
        <f>IF($B179&lt;&gt;"Challan","",I179+J179+K179+L179+M179+N179)</f>
      </c>
      <c r="Q179" s="25"/>
      <c r="R179" s="25"/>
      <c r="S179" s="25"/>
      <c r="T179" s="25"/>
      <c r="U179" s="25"/>
      <c r="V179" s="28"/>
      <c r="W179" s="28"/>
      <c r="X179" s="23">
        <f>IF($B179="Entry",IF(AND(LEN(TRIM(UPPER(W179)))=10,CODE(MID(TRIM(UPPER(W179)),1,1))&gt;=65,CODE(MID(TRIM(UPPER(W179)),1,1))&lt;=90,CODE(MID(TRIM(UPPER(W179)),2,1))&gt;=65,CODE(MID(TRIM(UPPER(W179)),2,1))&lt;=90,CODE(MID(TRIM(UPPER(W179)),3,1))&gt;=65,CODE(MID(TRIM(UPPER(W179)),3,1))&lt;=90,CODE(MID(TRIM(UPPER(W179)),4,1))&gt;=65,CODE(MID(TRIM(UPPER(W179)),4,1))&lt;=90,CODE(MID(TRIM(UPPER(W179)),5,1))&gt;=65,CODE(MID(TRIM(UPPER(W179)),5,1))&lt;=90,CODE(MID(TRIM(UPPER(W179)),10,1))&gt;=65,CODE(MID(TRIM(UPPER(W179)),10,1))&lt;=90,CODE(MID(TRIM(UPPER(W179)),6,1))&gt;=48,CODE(MID(TRIM(UPPER(W179)),6,1))&lt;=57,CODE(MID(TRIM(UPPER(W179)),7,1))&gt;=48,CODE(MID(TRIM(UPPER(W179)),7,1))&lt;=57,CODE(MID(TRIM(UPPER(W179)),8,1))&gt;=48,CODE(MID(TRIM(UPPER(W179)),8,1))&lt;=57,CODE(MID(TRIM(UPPER(W179)),9,1))&gt;=48,CODE(MID(TRIM(UPPER(W179)),9,1))&lt;=57),"N","Y"),IF($B179="Challan","",IF(W179&lt;&gt;"","◄ Set Row Type","")))</f>
      </c>
      <c r="Y179" s="23">
        <f>IF($B179="Entry",IF(LEN(W179)&lt;4,"",IF(UPPER(MID(W179,4,1))="P","Individual",IF(UPPER(MID(W179,4,1))="H","HUF",IF(UPPER(MID(W179,4,1))="C","Company",IF(UPPER(MID(W179,4,1))="F","Firm",IF(UPPER(MID(W179,4,1))="L","LLP",IF(UPPER(MID(W179,4,1))="T","Trust",IF(UPPER(MID(W179,4,1))="A","AOP","")))))))),IF($B179="Challan","",IF(W179&lt;&gt;"","◄ Set Row Type","")))</f>
      </c>
      <c r="Z179" s="28"/>
      <c r="AA179" s="29">
        <f>IF($B179&lt;&gt;"Entry","",IF(Z179="","",IF(X179="Y",SUMPRODUCT(('Rate Lookup'!$A$1:$A$37=Z179)*'Rate Lookup'!$D$1:$D$37),IF(OR(Y179="Individual",Y179="HUF"),SUMPRODUCT(('Rate Lookup'!$A$1:$A$37=Z179)*'Rate Lookup'!$B$1:$B$37),SUMPRODUCT(('Rate Lookup'!$A$1:$A$37=Z179)*'Rate Lookup'!$C$1:$C$37)))))</f>
      </c>
      <c r="AB179" s="30"/>
      <c r="AC179" s="31"/>
      <c r="AD179" s="27">
        <f>IF($B179&lt;&gt;"Entry","",ROUND(AC179*AA179/100,0))</f>
      </c>
      <c r="AE179" s="27">
        <f>IF($B179&lt;&gt;"Entry","",0)</f>
      </c>
      <c r="AF179" s="27">
        <f>IF($B179&lt;&gt;"Entry","",0)</f>
      </c>
      <c r="AG179" s="27">
        <f>IF($B179&lt;&gt;"Entry","",IF(OR(AD179=0,AB179="",AQ179="",AQ179&lt;=0),0,IF(AQ179&lt;=DATE(YEAR(AB179),MONTH(AB179)+1,7),0,ROUND(AD179*0.015*((YEAR(AQ179)-YEAR(AB179))*12+(MONTH(AQ179)-MONTH(AB179))+1),0))))</f>
      </c>
      <c r="AH179" s="27">
        <f>IF($B179&lt;&gt;"Entry","",0)</f>
      </c>
      <c r="AI179" s="28"/>
      <c r="AJ179" s="28"/>
      <c r="AK179" s="32"/>
      <c r="AL179" s="28"/>
      <c r="AM179" s="28"/>
      <c r="AN179" s="27">
        <f>IF($B179&lt;&gt;"Challan","",SUMIF('Q1 Data'!$D$4:$D$207,D179,'Q1 Data'!$AD$4:$AD$207)+SUMIF('Q1 Data'!$D$4:$D$207,D179,'Q1 Data'!$AG$4:$AG$207)+SUMIF('Q1 Data'!$D$4:$D$207,D179,'Q1 Data'!$AE$4:$AE$207)+SUMIF('Q2 Data'!$D$4:$D$207,D179,'Q2 Data'!$AD$4:$AD$207)+SUMIF('Q2 Data'!$D$4:$D$207,D179,'Q2 Data'!$AG$4:$AG$207)+SUMIF('Q2 Data'!$D$4:$D$207,D179,'Q2 Data'!$AE$4:$AE$207)+SUMIF('Q3 Data'!$D$4:$D$207,D179,'Q3 Data'!$AD$4:$AD$207)+SUMIF('Q3 Data'!$D$4:$D$207,D179,'Q3 Data'!$AG$4:$AG$207)+SUMIF('Q3 Data'!$D$4:$D$207,D179,'Q3 Data'!$AE$4:$AE$207)+SUMIF('Q4 Data'!$D$4:$D$207,D179,'Q4 Data'!$AD$4:$AD$207)+SUMIF('Q4 Data'!$D$4:$D$207,D179,'Q4 Data'!$AG$4:$AG$207)+SUMIF('Q4 Data'!$D$4:$D$207,D179,'Q4 Data'!$AE$4:$AE$207))</f>
      </c>
      <c r="AO179" s="27">
        <f>IF($B179&lt;&gt;"Challan","",P179-N179)</f>
      </c>
      <c r="AP179" s="27">
        <f>IF($B179&lt;&gt;"Challan","",MAX(0,AO179-AN179))</f>
      </c>
      <c r="AQ179" s="33">
        <f>IF($B179&lt;&gt;"Entry","",SUMPRODUCT(('Q1 Data'!$D$4:$D$207=D179)*('Q1 Data'!$B$4:$B$207="Challan")*'Q1 Data'!$F$4:$F$207)+SUMPRODUCT(('Q2 Data'!$D$4:$D$207=D179)*('Q2 Data'!$B$4:$B$207="Challan")*'Q2 Data'!$F$4:$F$207)+SUMPRODUCT(('Q3 Data'!$D$4:$D$207=D179)*('Q3 Data'!$B$4:$B$207="Challan")*'Q3 Data'!$F$4:$F$207)+SUMPRODUCT(('Q4 Data'!$D$4:$D$207=D179)*('Q4 Data'!$B$4:$B$207="Challan")*'Q4 Data'!$F$4:$F$207))</f>
      </c>
      <c r="AR179" s="34">
        <f>IF(OR($B179&lt;&gt;"Entry",Z179=""),FALSE,AND((SUMPRODUCT(('Q1 Data'!$D$4:$D$207=D179)*('Q1 Data'!$B$4:$B$207="Challan")*('Q1 Data'!$H$4:$H$207&lt;&gt;""))+SUMPRODUCT(('Q2 Data'!$D$4:$D$207=D179)*('Q2 Data'!$B$4:$B$207="Challan")*('Q2 Data'!$H$4:$H$207&lt;&gt;""))+SUMPRODUCT(('Q3 Data'!$D$4:$D$207=D179)*('Q3 Data'!$B$4:$B$207="Challan")*('Q3 Data'!$H$4:$H$207&lt;&gt;""))+SUMPRODUCT(('Q4 Data'!$D$4:$D$207=D179)*('Q4 Data'!$B$4:$B$207="Challan")*('Q4 Data'!$H$4:$H$207&lt;&gt;"")))&gt;0,(SUMPRODUCT(('Q1 Data'!$D$4:$D$207=D179)*('Q1 Data'!$B$4:$B$207="Challan")*('Q1 Data'!$H$4:$H$207=Z179))+SUMPRODUCT(('Q2 Data'!$D$4:$D$207=D179)*('Q2 Data'!$B$4:$B$207="Challan")*('Q2 Data'!$H$4:$H$207=Z179))+SUMPRODUCT(('Q3 Data'!$D$4:$D$207=D179)*('Q3 Data'!$B$4:$B$207="Challan")*('Q3 Data'!$H$4:$H$207=Z179))+SUMPRODUCT(('Q4 Data'!$D$4:$D$207=D179)*('Q4 Data'!$B$4:$B$207="Challan")*('Q4 Data'!$H$4:$H$207=Z179)))=0))</f>
      </c>
    </row>
    <row r="180" spans="1:44" x14ac:dyDescent="0.25">
      <c r="A180" s="20">
        <f>IF($B180="Entry",COUNTIF($B$4:$B180,"Entry"),"")</f>
      </c>
      <c r="B180" s="21"/>
      <c r="C180" s="22"/>
      <c r="D180" s="22"/>
      <c r="E180" s="23">
        <f>IF($B180&lt;&gt;"Challan","",IF(ROUND(AN180-AO180,2)&gt;0,"Over-applied",IF(ROUND(AN180-AO180,2)=0,"Fully Utilised","Unconsumed")))</f>
      </c>
      <c r="F180" s="24"/>
      <c r="G180" s="25"/>
      <c r="H180" s="25"/>
      <c r="I180" s="26"/>
      <c r="J180" s="26"/>
      <c r="K180" s="26"/>
      <c r="L180" s="26"/>
      <c r="M180" s="26"/>
      <c r="N180" s="26"/>
      <c r="O180" s="26"/>
      <c r="P180" s="27">
        <f>IF($B180&lt;&gt;"Challan","",I180+J180+K180+L180+M180+N180)</f>
      </c>
      <c r="Q180" s="25"/>
      <c r="R180" s="25"/>
      <c r="S180" s="25"/>
      <c r="T180" s="25"/>
      <c r="U180" s="25"/>
      <c r="V180" s="28"/>
      <c r="W180" s="28"/>
      <c r="X180" s="23">
        <f>IF($B180="Entry",IF(AND(LEN(TRIM(UPPER(W180)))=10,CODE(MID(TRIM(UPPER(W180)),1,1))&gt;=65,CODE(MID(TRIM(UPPER(W180)),1,1))&lt;=90,CODE(MID(TRIM(UPPER(W180)),2,1))&gt;=65,CODE(MID(TRIM(UPPER(W180)),2,1))&lt;=90,CODE(MID(TRIM(UPPER(W180)),3,1))&gt;=65,CODE(MID(TRIM(UPPER(W180)),3,1))&lt;=90,CODE(MID(TRIM(UPPER(W180)),4,1))&gt;=65,CODE(MID(TRIM(UPPER(W180)),4,1))&lt;=90,CODE(MID(TRIM(UPPER(W180)),5,1))&gt;=65,CODE(MID(TRIM(UPPER(W180)),5,1))&lt;=90,CODE(MID(TRIM(UPPER(W180)),10,1))&gt;=65,CODE(MID(TRIM(UPPER(W180)),10,1))&lt;=90,CODE(MID(TRIM(UPPER(W180)),6,1))&gt;=48,CODE(MID(TRIM(UPPER(W180)),6,1))&lt;=57,CODE(MID(TRIM(UPPER(W180)),7,1))&gt;=48,CODE(MID(TRIM(UPPER(W180)),7,1))&lt;=57,CODE(MID(TRIM(UPPER(W180)),8,1))&gt;=48,CODE(MID(TRIM(UPPER(W180)),8,1))&lt;=57,CODE(MID(TRIM(UPPER(W180)),9,1))&gt;=48,CODE(MID(TRIM(UPPER(W180)),9,1))&lt;=57),"N","Y"),IF($B180="Challan","",IF(W180&lt;&gt;"","◄ Set Row Type","")))</f>
      </c>
      <c r="Y180" s="23">
        <f>IF($B180="Entry",IF(LEN(W180)&lt;4,"",IF(UPPER(MID(W180,4,1))="P","Individual",IF(UPPER(MID(W180,4,1))="H","HUF",IF(UPPER(MID(W180,4,1))="C","Company",IF(UPPER(MID(W180,4,1))="F","Firm",IF(UPPER(MID(W180,4,1))="L","LLP",IF(UPPER(MID(W180,4,1))="T","Trust",IF(UPPER(MID(W180,4,1))="A","AOP","")))))))),IF($B180="Challan","",IF(W180&lt;&gt;"","◄ Set Row Type","")))</f>
      </c>
      <c r="Z180" s="28"/>
      <c r="AA180" s="29">
        <f>IF($B180&lt;&gt;"Entry","",IF(Z180="","",IF(X180="Y",SUMPRODUCT(('Rate Lookup'!$A$1:$A$37=Z180)*'Rate Lookup'!$D$1:$D$37),IF(OR(Y180="Individual",Y180="HUF"),SUMPRODUCT(('Rate Lookup'!$A$1:$A$37=Z180)*'Rate Lookup'!$B$1:$B$37),SUMPRODUCT(('Rate Lookup'!$A$1:$A$37=Z180)*'Rate Lookup'!$C$1:$C$37)))))</f>
      </c>
      <c r="AB180" s="30"/>
      <c r="AC180" s="31"/>
      <c r="AD180" s="27">
        <f>IF($B180&lt;&gt;"Entry","",ROUND(AC180*AA180/100,0))</f>
      </c>
      <c r="AE180" s="27">
        <f>IF($B180&lt;&gt;"Entry","",0)</f>
      </c>
      <c r="AF180" s="27">
        <f>IF($B180&lt;&gt;"Entry","",0)</f>
      </c>
      <c r="AG180" s="27">
        <f>IF($B180&lt;&gt;"Entry","",IF(OR(AD180=0,AB180="",AQ180="",AQ180&lt;=0),0,IF(AQ180&lt;=DATE(YEAR(AB180),MONTH(AB180)+1,7),0,ROUND(AD180*0.015*((YEAR(AQ180)-YEAR(AB180))*12+(MONTH(AQ180)-MONTH(AB180))+1),0))))</f>
      </c>
      <c r="AH180" s="27">
        <f>IF($B180&lt;&gt;"Entry","",0)</f>
      </c>
      <c r="AI180" s="28"/>
      <c r="AJ180" s="28"/>
      <c r="AK180" s="32"/>
      <c r="AL180" s="28"/>
      <c r="AM180" s="28"/>
      <c r="AN180" s="27">
        <f>IF($B180&lt;&gt;"Challan","",SUMIF('Q1 Data'!$D$4:$D$207,D180,'Q1 Data'!$AD$4:$AD$207)+SUMIF('Q1 Data'!$D$4:$D$207,D180,'Q1 Data'!$AG$4:$AG$207)+SUMIF('Q1 Data'!$D$4:$D$207,D180,'Q1 Data'!$AE$4:$AE$207)+SUMIF('Q2 Data'!$D$4:$D$207,D180,'Q2 Data'!$AD$4:$AD$207)+SUMIF('Q2 Data'!$D$4:$D$207,D180,'Q2 Data'!$AG$4:$AG$207)+SUMIF('Q2 Data'!$D$4:$D$207,D180,'Q2 Data'!$AE$4:$AE$207)+SUMIF('Q3 Data'!$D$4:$D$207,D180,'Q3 Data'!$AD$4:$AD$207)+SUMIF('Q3 Data'!$D$4:$D$207,D180,'Q3 Data'!$AG$4:$AG$207)+SUMIF('Q3 Data'!$D$4:$D$207,D180,'Q3 Data'!$AE$4:$AE$207)+SUMIF('Q4 Data'!$D$4:$D$207,D180,'Q4 Data'!$AD$4:$AD$207)+SUMIF('Q4 Data'!$D$4:$D$207,D180,'Q4 Data'!$AG$4:$AG$207)+SUMIF('Q4 Data'!$D$4:$D$207,D180,'Q4 Data'!$AE$4:$AE$207))</f>
      </c>
      <c r="AO180" s="27">
        <f>IF($B180&lt;&gt;"Challan","",P180-N180)</f>
      </c>
      <c r="AP180" s="27">
        <f>IF($B180&lt;&gt;"Challan","",MAX(0,AO180-AN180))</f>
      </c>
      <c r="AQ180" s="33">
        <f>IF($B180&lt;&gt;"Entry","",SUMPRODUCT(('Q1 Data'!$D$4:$D$207=D180)*('Q1 Data'!$B$4:$B$207="Challan")*'Q1 Data'!$F$4:$F$207)+SUMPRODUCT(('Q2 Data'!$D$4:$D$207=D180)*('Q2 Data'!$B$4:$B$207="Challan")*'Q2 Data'!$F$4:$F$207)+SUMPRODUCT(('Q3 Data'!$D$4:$D$207=D180)*('Q3 Data'!$B$4:$B$207="Challan")*'Q3 Data'!$F$4:$F$207)+SUMPRODUCT(('Q4 Data'!$D$4:$D$207=D180)*('Q4 Data'!$B$4:$B$207="Challan")*'Q4 Data'!$F$4:$F$207))</f>
      </c>
      <c r="AR180" s="34">
        <f>IF(OR($B180&lt;&gt;"Entry",Z180=""),FALSE,AND((SUMPRODUCT(('Q1 Data'!$D$4:$D$207=D180)*('Q1 Data'!$B$4:$B$207="Challan")*('Q1 Data'!$H$4:$H$207&lt;&gt;""))+SUMPRODUCT(('Q2 Data'!$D$4:$D$207=D180)*('Q2 Data'!$B$4:$B$207="Challan")*('Q2 Data'!$H$4:$H$207&lt;&gt;""))+SUMPRODUCT(('Q3 Data'!$D$4:$D$207=D180)*('Q3 Data'!$B$4:$B$207="Challan")*('Q3 Data'!$H$4:$H$207&lt;&gt;""))+SUMPRODUCT(('Q4 Data'!$D$4:$D$207=D180)*('Q4 Data'!$B$4:$B$207="Challan")*('Q4 Data'!$H$4:$H$207&lt;&gt;"")))&gt;0,(SUMPRODUCT(('Q1 Data'!$D$4:$D$207=D180)*('Q1 Data'!$B$4:$B$207="Challan")*('Q1 Data'!$H$4:$H$207=Z180))+SUMPRODUCT(('Q2 Data'!$D$4:$D$207=D180)*('Q2 Data'!$B$4:$B$207="Challan")*('Q2 Data'!$H$4:$H$207=Z180))+SUMPRODUCT(('Q3 Data'!$D$4:$D$207=D180)*('Q3 Data'!$B$4:$B$207="Challan")*('Q3 Data'!$H$4:$H$207=Z180))+SUMPRODUCT(('Q4 Data'!$D$4:$D$207=D180)*('Q4 Data'!$B$4:$B$207="Challan")*('Q4 Data'!$H$4:$H$207=Z180)))=0))</f>
      </c>
    </row>
    <row r="181" spans="1:44" x14ac:dyDescent="0.25">
      <c r="A181" s="20">
        <f>IF($B181="Entry",COUNTIF($B$4:$B181,"Entry"),"")</f>
      </c>
      <c r="B181" s="21"/>
      <c r="C181" s="22"/>
      <c r="D181" s="22"/>
      <c r="E181" s="23">
        <f>IF($B181&lt;&gt;"Challan","",IF(ROUND(AN181-AO181,2)&gt;0,"Over-applied",IF(ROUND(AN181-AO181,2)=0,"Fully Utilised","Unconsumed")))</f>
      </c>
      <c r="F181" s="24"/>
      <c r="G181" s="25"/>
      <c r="H181" s="25"/>
      <c r="I181" s="26"/>
      <c r="J181" s="26"/>
      <c r="K181" s="26"/>
      <c r="L181" s="26"/>
      <c r="M181" s="26"/>
      <c r="N181" s="26"/>
      <c r="O181" s="26"/>
      <c r="P181" s="27">
        <f>IF($B181&lt;&gt;"Challan","",I181+J181+K181+L181+M181+N181)</f>
      </c>
      <c r="Q181" s="25"/>
      <c r="R181" s="25"/>
      <c r="S181" s="25"/>
      <c r="T181" s="25"/>
      <c r="U181" s="25"/>
      <c r="V181" s="28"/>
      <c r="W181" s="28"/>
      <c r="X181" s="23">
        <f>IF($B181="Entry",IF(AND(LEN(TRIM(UPPER(W181)))=10,CODE(MID(TRIM(UPPER(W181)),1,1))&gt;=65,CODE(MID(TRIM(UPPER(W181)),1,1))&lt;=90,CODE(MID(TRIM(UPPER(W181)),2,1))&gt;=65,CODE(MID(TRIM(UPPER(W181)),2,1))&lt;=90,CODE(MID(TRIM(UPPER(W181)),3,1))&gt;=65,CODE(MID(TRIM(UPPER(W181)),3,1))&lt;=90,CODE(MID(TRIM(UPPER(W181)),4,1))&gt;=65,CODE(MID(TRIM(UPPER(W181)),4,1))&lt;=90,CODE(MID(TRIM(UPPER(W181)),5,1))&gt;=65,CODE(MID(TRIM(UPPER(W181)),5,1))&lt;=90,CODE(MID(TRIM(UPPER(W181)),10,1))&gt;=65,CODE(MID(TRIM(UPPER(W181)),10,1))&lt;=90,CODE(MID(TRIM(UPPER(W181)),6,1))&gt;=48,CODE(MID(TRIM(UPPER(W181)),6,1))&lt;=57,CODE(MID(TRIM(UPPER(W181)),7,1))&gt;=48,CODE(MID(TRIM(UPPER(W181)),7,1))&lt;=57,CODE(MID(TRIM(UPPER(W181)),8,1))&gt;=48,CODE(MID(TRIM(UPPER(W181)),8,1))&lt;=57,CODE(MID(TRIM(UPPER(W181)),9,1))&gt;=48,CODE(MID(TRIM(UPPER(W181)),9,1))&lt;=57),"N","Y"),IF($B181="Challan","",IF(W181&lt;&gt;"","◄ Set Row Type","")))</f>
      </c>
      <c r="Y181" s="23">
        <f>IF($B181="Entry",IF(LEN(W181)&lt;4,"",IF(UPPER(MID(W181,4,1))="P","Individual",IF(UPPER(MID(W181,4,1))="H","HUF",IF(UPPER(MID(W181,4,1))="C","Company",IF(UPPER(MID(W181,4,1))="F","Firm",IF(UPPER(MID(W181,4,1))="L","LLP",IF(UPPER(MID(W181,4,1))="T","Trust",IF(UPPER(MID(W181,4,1))="A","AOP","")))))))),IF($B181="Challan","",IF(W181&lt;&gt;"","◄ Set Row Type","")))</f>
      </c>
      <c r="Z181" s="28"/>
      <c r="AA181" s="29">
        <f>IF($B181&lt;&gt;"Entry","",IF(Z181="","",IF(X181="Y",SUMPRODUCT(('Rate Lookup'!$A$1:$A$37=Z181)*'Rate Lookup'!$D$1:$D$37),IF(OR(Y181="Individual",Y181="HUF"),SUMPRODUCT(('Rate Lookup'!$A$1:$A$37=Z181)*'Rate Lookup'!$B$1:$B$37),SUMPRODUCT(('Rate Lookup'!$A$1:$A$37=Z181)*'Rate Lookup'!$C$1:$C$37)))))</f>
      </c>
      <c r="AB181" s="30"/>
      <c r="AC181" s="31"/>
      <c r="AD181" s="27">
        <f>IF($B181&lt;&gt;"Entry","",ROUND(AC181*AA181/100,0))</f>
      </c>
      <c r="AE181" s="27">
        <f>IF($B181&lt;&gt;"Entry","",0)</f>
      </c>
      <c r="AF181" s="27">
        <f>IF($B181&lt;&gt;"Entry","",0)</f>
      </c>
      <c r="AG181" s="27">
        <f>IF($B181&lt;&gt;"Entry","",IF(OR(AD181=0,AB181="",AQ181="",AQ181&lt;=0),0,IF(AQ181&lt;=DATE(YEAR(AB181),MONTH(AB181)+1,7),0,ROUND(AD181*0.015*((YEAR(AQ181)-YEAR(AB181))*12+(MONTH(AQ181)-MONTH(AB181))+1),0))))</f>
      </c>
      <c r="AH181" s="27">
        <f>IF($B181&lt;&gt;"Entry","",0)</f>
      </c>
      <c r="AI181" s="28"/>
      <c r="AJ181" s="28"/>
      <c r="AK181" s="32"/>
      <c r="AL181" s="28"/>
      <c r="AM181" s="28"/>
      <c r="AN181" s="27">
        <f>IF($B181&lt;&gt;"Challan","",SUMIF('Q1 Data'!$D$4:$D$207,D181,'Q1 Data'!$AD$4:$AD$207)+SUMIF('Q1 Data'!$D$4:$D$207,D181,'Q1 Data'!$AG$4:$AG$207)+SUMIF('Q1 Data'!$D$4:$D$207,D181,'Q1 Data'!$AE$4:$AE$207)+SUMIF('Q2 Data'!$D$4:$D$207,D181,'Q2 Data'!$AD$4:$AD$207)+SUMIF('Q2 Data'!$D$4:$D$207,D181,'Q2 Data'!$AG$4:$AG$207)+SUMIF('Q2 Data'!$D$4:$D$207,D181,'Q2 Data'!$AE$4:$AE$207)+SUMIF('Q3 Data'!$D$4:$D$207,D181,'Q3 Data'!$AD$4:$AD$207)+SUMIF('Q3 Data'!$D$4:$D$207,D181,'Q3 Data'!$AG$4:$AG$207)+SUMIF('Q3 Data'!$D$4:$D$207,D181,'Q3 Data'!$AE$4:$AE$207)+SUMIF('Q4 Data'!$D$4:$D$207,D181,'Q4 Data'!$AD$4:$AD$207)+SUMIF('Q4 Data'!$D$4:$D$207,D181,'Q4 Data'!$AG$4:$AG$207)+SUMIF('Q4 Data'!$D$4:$D$207,D181,'Q4 Data'!$AE$4:$AE$207))</f>
      </c>
      <c r="AO181" s="27">
        <f>IF($B181&lt;&gt;"Challan","",P181-N181)</f>
      </c>
      <c r="AP181" s="27">
        <f>IF($B181&lt;&gt;"Challan","",MAX(0,AO181-AN181))</f>
      </c>
      <c r="AQ181" s="33">
        <f>IF($B181&lt;&gt;"Entry","",SUMPRODUCT(('Q1 Data'!$D$4:$D$207=D181)*('Q1 Data'!$B$4:$B$207="Challan")*'Q1 Data'!$F$4:$F$207)+SUMPRODUCT(('Q2 Data'!$D$4:$D$207=D181)*('Q2 Data'!$B$4:$B$207="Challan")*'Q2 Data'!$F$4:$F$207)+SUMPRODUCT(('Q3 Data'!$D$4:$D$207=D181)*('Q3 Data'!$B$4:$B$207="Challan")*'Q3 Data'!$F$4:$F$207)+SUMPRODUCT(('Q4 Data'!$D$4:$D$207=D181)*('Q4 Data'!$B$4:$B$207="Challan")*'Q4 Data'!$F$4:$F$207))</f>
      </c>
      <c r="AR181" s="34">
        <f>IF(OR($B181&lt;&gt;"Entry",Z181=""),FALSE,AND((SUMPRODUCT(('Q1 Data'!$D$4:$D$207=D181)*('Q1 Data'!$B$4:$B$207="Challan")*('Q1 Data'!$H$4:$H$207&lt;&gt;""))+SUMPRODUCT(('Q2 Data'!$D$4:$D$207=D181)*('Q2 Data'!$B$4:$B$207="Challan")*('Q2 Data'!$H$4:$H$207&lt;&gt;""))+SUMPRODUCT(('Q3 Data'!$D$4:$D$207=D181)*('Q3 Data'!$B$4:$B$207="Challan")*('Q3 Data'!$H$4:$H$207&lt;&gt;""))+SUMPRODUCT(('Q4 Data'!$D$4:$D$207=D181)*('Q4 Data'!$B$4:$B$207="Challan")*('Q4 Data'!$H$4:$H$207&lt;&gt;"")))&gt;0,(SUMPRODUCT(('Q1 Data'!$D$4:$D$207=D181)*('Q1 Data'!$B$4:$B$207="Challan")*('Q1 Data'!$H$4:$H$207=Z181))+SUMPRODUCT(('Q2 Data'!$D$4:$D$207=D181)*('Q2 Data'!$B$4:$B$207="Challan")*('Q2 Data'!$H$4:$H$207=Z181))+SUMPRODUCT(('Q3 Data'!$D$4:$D$207=D181)*('Q3 Data'!$B$4:$B$207="Challan")*('Q3 Data'!$H$4:$H$207=Z181))+SUMPRODUCT(('Q4 Data'!$D$4:$D$207=D181)*('Q4 Data'!$B$4:$B$207="Challan")*('Q4 Data'!$H$4:$H$207=Z181)))=0))</f>
      </c>
    </row>
    <row r="182" spans="1:44" x14ac:dyDescent="0.25">
      <c r="A182" s="20">
        <f>IF($B182="Entry",COUNTIF($B$4:$B182,"Entry"),"")</f>
      </c>
      <c r="B182" s="21"/>
      <c r="C182" s="22"/>
      <c r="D182" s="22"/>
      <c r="E182" s="23">
        <f>IF($B182&lt;&gt;"Challan","",IF(ROUND(AN182-AO182,2)&gt;0,"Over-applied",IF(ROUND(AN182-AO182,2)=0,"Fully Utilised","Unconsumed")))</f>
      </c>
      <c r="F182" s="24"/>
      <c r="G182" s="25"/>
      <c r="H182" s="25"/>
      <c r="I182" s="26"/>
      <c r="J182" s="26"/>
      <c r="K182" s="26"/>
      <c r="L182" s="26"/>
      <c r="M182" s="26"/>
      <c r="N182" s="26"/>
      <c r="O182" s="26"/>
      <c r="P182" s="27">
        <f>IF($B182&lt;&gt;"Challan","",I182+J182+K182+L182+M182+N182)</f>
      </c>
      <c r="Q182" s="25"/>
      <c r="R182" s="25"/>
      <c r="S182" s="25"/>
      <c r="T182" s="25"/>
      <c r="U182" s="25"/>
      <c r="V182" s="28"/>
      <c r="W182" s="28"/>
      <c r="X182" s="23">
        <f>IF($B182="Entry",IF(AND(LEN(TRIM(UPPER(W182)))=10,CODE(MID(TRIM(UPPER(W182)),1,1))&gt;=65,CODE(MID(TRIM(UPPER(W182)),1,1))&lt;=90,CODE(MID(TRIM(UPPER(W182)),2,1))&gt;=65,CODE(MID(TRIM(UPPER(W182)),2,1))&lt;=90,CODE(MID(TRIM(UPPER(W182)),3,1))&gt;=65,CODE(MID(TRIM(UPPER(W182)),3,1))&lt;=90,CODE(MID(TRIM(UPPER(W182)),4,1))&gt;=65,CODE(MID(TRIM(UPPER(W182)),4,1))&lt;=90,CODE(MID(TRIM(UPPER(W182)),5,1))&gt;=65,CODE(MID(TRIM(UPPER(W182)),5,1))&lt;=90,CODE(MID(TRIM(UPPER(W182)),10,1))&gt;=65,CODE(MID(TRIM(UPPER(W182)),10,1))&lt;=90,CODE(MID(TRIM(UPPER(W182)),6,1))&gt;=48,CODE(MID(TRIM(UPPER(W182)),6,1))&lt;=57,CODE(MID(TRIM(UPPER(W182)),7,1))&gt;=48,CODE(MID(TRIM(UPPER(W182)),7,1))&lt;=57,CODE(MID(TRIM(UPPER(W182)),8,1))&gt;=48,CODE(MID(TRIM(UPPER(W182)),8,1))&lt;=57,CODE(MID(TRIM(UPPER(W182)),9,1))&gt;=48,CODE(MID(TRIM(UPPER(W182)),9,1))&lt;=57),"N","Y"),IF($B182="Challan","",IF(W182&lt;&gt;"","◄ Set Row Type","")))</f>
      </c>
      <c r="Y182" s="23">
        <f>IF($B182="Entry",IF(LEN(W182)&lt;4,"",IF(UPPER(MID(W182,4,1))="P","Individual",IF(UPPER(MID(W182,4,1))="H","HUF",IF(UPPER(MID(W182,4,1))="C","Company",IF(UPPER(MID(W182,4,1))="F","Firm",IF(UPPER(MID(W182,4,1))="L","LLP",IF(UPPER(MID(W182,4,1))="T","Trust",IF(UPPER(MID(W182,4,1))="A","AOP","")))))))),IF($B182="Challan","",IF(W182&lt;&gt;"","◄ Set Row Type","")))</f>
      </c>
      <c r="Z182" s="28"/>
      <c r="AA182" s="29">
        <f>IF($B182&lt;&gt;"Entry","",IF(Z182="","",IF(X182="Y",SUMPRODUCT(('Rate Lookup'!$A$1:$A$37=Z182)*'Rate Lookup'!$D$1:$D$37),IF(OR(Y182="Individual",Y182="HUF"),SUMPRODUCT(('Rate Lookup'!$A$1:$A$37=Z182)*'Rate Lookup'!$B$1:$B$37),SUMPRODUCT(('Rate Lookup'!$A$1:$A$37=Z182)*'Rate Lookup'!$C$1:$C$37)))))</f>
      </c>
      <c r="AB182" s="30"/>
      <c r="AC182" s="31"/>
      <c r="AD182" s="27">
        <f>IF($B182&lt;&gt;"Entry","",ROUND(AC182*AA182/100,0))</f>
      </c>
      <c r="AE182" s="27">
        <f>IF($B182&lt;&gt;"Entry","",0)</f>
      </c>
      <c r="AF182" s="27">
        <f>IF($B182&lt;&gt;"Entry","",0)</f>
      </c>
      <c r="AG182" s="27">
        <f>IF($B182&lt;&gt;"Entry","",IF(OR(AD182=0,AB182="",AQ182="",AQ182&lt;=0),0,IF(AQ182&lt;=DATE(YEAR(AB182),MONTH(AB182)+1,7),0,ROUND(AD182*0.015*((YEAR(AQ182)-YEAR(AB182))*12+(MONTH(AQ182)-MONTH(AB182))+1),0))))</f>
      </c>
      <c r="AH182" s="27">
        <f>IF($B182&lt;&gt;"Entry","",0)</f>
      </c>
      <c r="AI182" s="28"/>
      <c r="AJ182" s="28"/>
      <c r="AK182" s="32"/>
      <c r="AL182" s="28"/>
      <c r="AM182" s="28"/>
      <c r="AN182" s="27">
        <f>IF($B182&lt;&gt;"Challan","",SUMIF('Q1 Data'!$D$4:$D$207,D182,'Q1 Data'!$AD$4:$AD$207)+SUMIF('Q1 Data'!$D$4:$D$207,D182,'Q1 Data'!$AG$4:$AG$207)+SUMIF('Q1 Data'!$D$4:$D$207,D182,'Q1 Data'!$AE$4:$AE$207)+SUMIF('Q2 Data'!$D$4:$D$207,D182,'Q2 Data'!$AD$4:$AD$207)+SUMIF('Q2 Data'!$D$4:$D$207,D182,'Q2 Data'!$AG$4:$AG$207)+SUMIF('Q2 Data'!$D$4:$D$207,D182,'Q2 Data'!$AE$4:$AE$207)+SUMIF('Q3 Data'!$D$4:$D$207,D182,'Q3 Data'!$AD$4:$AD$207)+SUMIF('Q3 Data'!$D$4:$D$207,D182,'Q3 Data'!$AG$4:$AG$207)+SUMIF('Q3 Data'!$D$4:$D$207,D182,'Q3 Data'!$AE$4:$AE$207)+SUMIF('Q4 Data'!$D$4:$D$207,D182,'Q4 Data'!$AD$4:$AD$207)+SUMIF('Q4 Data'!$D$4:$D$207,D182,'Q4 Data'!$AG$4:$AG$207)+SUMIF('Q4 Data'!$D$4:$D$207,D182,'Q4 Data'!$AE$4:$AE$207))</f>
      </c>
      <c r="AO182" s="27">
        <f>IF($B182&lt;&gt;"Challan","",P182-N182)</f>
      </c>
      <c r="AP182" s="27">
        <f>IF($B182&lt;&gt;"Challan","",MAX(0,AO182-AN182))</f>
      </c>
      <c r="AQ182" s="33">
        <f>IF($B182&lt;&gt;"Entry","",SUMPRODUCT(('Q1 Data'!$D$4:$D$207=D182)*('Q1 Data'!$B$4:$B$207="Challan")*'Q1 Data'!$F$4:$F$207)+SUMPRODUCT(('Q2 Data'!$D$4:$D$207=D182)*('Q2 Data'!$B$4:$B$207="Challan")*'Q2 Data'!$F$4:$F$207)+SUMPRODUCT(('Q3 Data'!$D$4:$D$207=D182)*('Q3 Data'!$B$4:$B$207="Challan")*'Q3 Data'!$F$4:$F$207)+SUMPRODUCT(('Q4 Data'!$D$4:$D$207=D182)*('Q4 Data'!$B$4:$B$207="Challan")*'Q4 Data'!$F$4:$F$207))</f>
      </c>
      <c r="AR182" s="34">
        <f>IF(OR($B182&lt;&gt;"Entry",Z182=""),FALSE,AND((SUMPRODUCT(('Q1 Data'!$D$4:$D$207=D182)*('Q1 Data'!$B$4:$B$207="Challan")*('Q1 Data'!$H$4:$H$207&lt;&gt;""))+SUMPRODUCT(('Q2 Data'!$D$4:$D$207=D182)*('Q2 Data'!$B$4:$B$207="Challan")*('Q2 Data'!$H$4:$H$207&lt;&gt;""))+SUMPRODUCT(('Q3 Data'!$D$4:$D$207=D182)*('Q3 Data'!$B$4:$B$207="Challan")*('Q3 Data'!$H$4:$H$207&lt;&gt;""))+SUMPRODUCT(('Q4 Data'!$D$4:$D$207=D182)*('Q4 Data'!$B$4:$B$207="Challan")*('Q4 Data'!$H$4:$H$207&lt;&gt;"")))&gt;0,(SUMPRODUCT(('Q1 Data'!$D$4:$D$207=D182)*('Q1 Data'!$B$4:$B$207="Challan")*('Q1 Data'!$H$4:$H$207=Z182))+SUMPRODUCT(('Q2 Data'!$D$4:$D$207=D182)*('Q2 Data'!$B$4:$B$207="Challan")*('Q2 Data'!$H$4:$H$207=Z182))+SUMPRODUCT(('Q3 Data'!$D$4:$D$207=D182)*('Q3 Data'!$B$4:$B$207="Challan")*('Q3 Data'!$H$4:$H$207=Z182))+SUMPRODUCT(('Q4 Data'!$D$4:$D$207=D182)*('Q4 Data'!$B$4:$B$207="Challan")*('Q4 Data'!$H$4:$H$207=Z182)))=0))</f>
      </c>
    </row>
    <row r="183" spans="1:44" x14ac:dyDescent="0.25">
      <c r="A183" s="20">
        <f>IF($B183="Entry",COUNTIF($B$4:$B183,"Entry"),"")</f>
      </c>
      <c r="B183" s="21"/>
      <c r="C183" s="22"/>
      <c r="D183" s="22"/>
      <c r="E183" s="23">
        <f>IF($B183&lt;&gt;"Challan","",IF(ROUND(AN183-AO183,2)&gt;0,"Over-applied",IF(ROUND(AN183-AO183,2)=0,"Fully Utilised","Unconsumed")))</f>
      </c>
      <c r="F183" s="24"/>
      <c r="G183" s="25"/>
      <c r="H183" s="25"/>
      <c r="I183" s="26"/>
      <c r="J183" s="26"/>
      <c r="K183" s="26"/>
      <c r="L183" s="26"/>
      <c r="M183" s="26"/>
      <c r="N183" s="26"/>
      <c r="O183" s="26"/>
      <c r="P183" s="27">
        <f>IF($B183&lt;&gt;"Challan","",I183+J183+K183+L183+M183+N183)</f>
      </c>
      <c r="Q183" s="25"/>
      <c r="R183" s="25"/>
      <c r="S183" s="25"/>
      <c r="T183" s="25"/>
      <c r="U183" s="25"/>
      <c r="V183" s="28"/>
      <c r="W183" s="28"/>
      <c r="X183" s="23">
        <f>IF($B183="Entry",IF(AND(LEN(TRIM(UPPER(W183)))=10,CODE(MID(TRIM(UPPER(W183)),1,1))&gt;=65,CODE(MID(TRIM(UPPER(W183)),1,1))&lt;=90,CODE(MID(TRIM(UPPER(W183)),2,1))&gt;=65,CODE(MID(TRIM(UPPER(W183)),2,1))&lt;=90,CODE(MID(TRIM(UPPER(W183)),3,1))&gt;=65,CODE(MID(TRIM(UPPER(W183)),3,1))&lt;=90,CODE(MID(TRIM(UPPER(W183)),4,1))&gt;=65,CODE(MID(TRIM(UPPER(W183)),4,1))&lt;=90,CODE(MID(TRIM(UPPER(W183)),5,1))&gt;=65,CODE(MID(TRIM(UPPER(W183)),5,1))&lt;=90,CODE(MID(TRIM(UPPER(W183)),10,1))&gt;=65,CODE(MID(TRIM(UPPER(W183)),10,1))&lt;=90,CODE(MID(TRIM(UPPER(W183)),6,1))&gt;=48,CODE(MID(TRIM(UPPER(W183)),6,1))&lt;=57,CODE(MID(TRIM(UPPER(W183)),7,1))&gt;=48,CODE(MID(TRIM(UPPER(W183)),7,1))&lt;=57,CODE(MID(TRIM(UPPER(W183)),8,1))&gt;=48,CODE(MID(TRIM(UPPER(W183)),8,1))&lt;=57,CODE(MID(TRIM(UPPER(W183)),9,1))&gt;=48,CODE(MID(TRIM(UPPER(W183)),9,1))&lt;=57),"N","Y"),IF($B183="Challan","",IF(W183&lt;&gt;"","◄ Set Row Type","")))</f>
      </c>
      <c r="Y183" s="23">
        <f>IF($B183="Entry",IF(LEN(W183)&lt;4,"",IF(UPPER(MID(W183,4,1))="P","Individual",IF(UPPER(MID(W183,4,1))="H","HUF",IF(UPPER(MID(W183,4,1))="C","Company",IF(UPPER(MID(W183,4,1))="F","Firm",IF(UPPER(MID(W183,4,1))="L","LLP",IF(UPPER(MID(W183,4,1))="T","Trust",IF(UPPER(MID(W183,4,1))="A","AOP","")))))))),IF($B183="Challan","",IF(W183&lt;&gt;"","◄ Set Row Type","")))</f>
      </c>
      <c r="Z183" s="28"/>
      <c r="AA183" s="29">
        <f>IF($B183&lt;&gt;"Entry","",IF(Z183="","",IF(X183="Y",SUMPRODUCT(('Rate Lookup'!$A$1:$A$37=Z183)*'Rate Lookup'!$D$1:$D$37),IF(OR(Y183="Individual",Y183="HUF"),SUMPRODUCT(('Rate Lookup'!$A$1:$A$37=Z183)*'Rate Lookup'!$B$1:$B$37),SUMPRODUCT(('Rate Lookup'!$A$1:$A$37=Z183)*'Rate Lookup'!$C$1:$C$37)))))</f>
      </c>
      <c r="AB183" s="30"/>
      <c r="AC183" s="31"/>
      <c r="AD183" s="27">
        <f>IF($B183&lt;&gt;"Entry","",ROUND(AC183*AA183/100,0))</f>
      </c>
      <c r="AE183" s="27">
        <f>IF($B183&lt;&gt;"Entry","",0)</f>
      </c>
      <c r="AF183" s="27">
        <f>IF($B183&lt;&gt;"Entry","",0)</f>
      </c>
      <c r="AG183" s="27">
        <f>IF($B183&lt;&gt;"Entry","",IF(OR(AD183=0,AB183="",AQ183="",AQ183&lt;=0),0,IF(AQ183&lt;=DATE(YEAR(AB183),MONTH(AB183)+1,7),0,ROUND(AD183*0.015*((YEAR(AQ183)-YEAR(AB183))*12+(MONTH(AQ183)-MONTH(AB183))+1),0))))</f>
      </c>
      <c r="AH183" s="27">
        <f>IF($B183&lt;&gt;"Entry","",0)</f>
      </c>
      <c r="AI183" s="28"/>
      <c r="AJ183" s="28"/>
      <c r="AK183" s="32"/>
      <c r="AL183" s="28"/>
      <c r="AM183" s="28"/>
      <c r="AN183" s="27">
        <f>IF($B183&lt;&gt;"Challan","",SUMIF('Q1 Data'!$D$4:$D$207,D183,'Q1 Data'!$AD$4:$AD$207)+SUMIF('Q1 Data'!$D$4:$D$207,D183,'Q1 Data'!$AG$4:$AG$207)+SUMIF('Q1 Data'!$D$4:$D$207,D183,'Q1 Data'!$AE$4:$AE$207)+SUMIF('Q2 Data'!$D$4:$D$207,D183,'Q2 Data'!$AD$4:$AD$207)+SUMIF('Q2 Data'!$D$4:$D$207,D183,'Q2 Data'!$AG$4:$AG$207)+SUMIF('Q2 Data'!$D$4:$D$207,D183,'Q2 Data'!$AE$4:$AE$207)+SUMIF('Q3 Data'!$D$4:$D$207,D183,'Q3 Data'!$AD$4:$AD$207)+SUMIF('Q3 Data'!$D$4:$D$207,D183,'Q3 Data'!$AG$4:$AG$207)+SUMIF('Q3 Data'!$D$4:$D$207,D183,'Q3 Data'!$AE$4:$AE$207)+SUMIF('Q4 Data'!$D$4:$D$207,D183,'Q4 Data'!$AD$4:$AD$207)+SUMIF('Q4 Data'!$D$4:$D$207,D183,'Q4 Data'!$AG$4:$AG$207)+SUMIF('Q4 Data'!$D$4:$D$207,D183,'Q4 Data'!$AE$4:$AE$207))</f>
      </c>
      <c r="AO183" s="27">
        <f>IF($B183&lt;&gt;"Challan","",P183-N183)</f>
      </c>
      <c r="AP183" s="27">
        <f>IF($B183&lt;&gt;"Challan","",MAX(0,AO183-AN183))</f>
      </c>
      <c r="AQ183" s="33">
        <f>IF($B183&lt;&gt;"Entry","",SUMPRODUCT(('Q1 Data'!$D$4:$D$207=D183)*('Q1 Data'!$B$4:$B$207="Challan")*'Q1 Data'!$F$4:$F$207)+SUMPRODUCT(('Q2 Data'!$D$4:$D$207=D183)*('Q2 Data'!$B$4:$B$207="Challan")*'Q2 Data'!$F$4:$F$207)+SUMPRODUCT(('Q3 Data'!$D$4:$D$207=D183)*('Q3 Data'!$B$4:$B$207="Challan")*'Q3 Data'!$F$4:$F$207)+SUMPRODUCT(('Q4 Data'!$D$4:$D$207=D183)*('Q4 Data'!$B$4:$B$207="Challan")*'Q4 Data'!$F$4:$F$207))</f>
      </c>
      <c r="AR183" s="34">
        <f>IF(OR($B183&lt;&gt;"Entry",Z183=""),FALSE,AND((SUMPRODUCT(('Q1 Data'!$D$4:$D$207=D183)*('Q1 Data'!$B$4:$B$207="Challan")*('Q1 Data'!$H$4:$H$207&lt;&gt;""))+SUMPRODUCT(('Q2 Data'!$D$4:$D$207=D183)*('Q2 Data'!$B$4:$B$207="Challan")*('Q2 Data'!$H$4:$H$207&lt;&gt;""))+SUMPRODUCT(('Q3 Data'!$D$4:$D$207=D183)*('Q3 Data'!$B$4:$B$207="Challan")*('Q3 Data'!$H$4:$H$207&lt;&gt;""))+SUMPRODUCT(('Q4 Data'!$D$4:$D$207=D183)*('Q4 Data'!$B$4:$B$207="Challan")*('Q4 Data'!$H$4:$H$207&lt;&gt;"")))&gt;0,(SUMPRODUCT(('Q1 Data'!$D$4:$D$207=D183)*('Q1 Data'!$B$4:$B$207="Challan")*('Q1 Data'!$H$4:$H$207=Z183))+SUMPRODUCT(('Q2 Data'!$D$4:$D$207=D183)*('Q2 Data'!$B$4:$B$207="Challan")*('Q2 Data'!$H$4:$H$207=Z183))+SUMPRODUCT(('Q3 Data'!$D$4:$D$207=D183)*('Q3 Data'!$B$4:$B$207="Challan")*('Q3 Data'!$H$4:$H$207=Z183))+SUMPRODUCT(('Q4 Data'!$D$4:$D$207=D183)*('Q4 Data'!$B$4:$B$207="Challan")*('Q4 Data'!$H$4:$H$207=Z183)))=0))</f>
      </c>
    </row>
    <row r="184" spans="1:44" x14ac:dyDescent="0.25">
      <c r="A184" s="20">
        <f>IF($B184="Entry",COUNTIF($B$4:$B184,"Entry"),"")</f>
      </c>
      <c r="B184" s="21"/>
      <c r="C184" s="22"/>
      <c r="D184" s="22"/>
      <c r="E184" s="23">
        <f>IF($B184&lt;&gt;"Challan","",IF(ROUND(AN184-AO184,2)&gt;0,"Over-applied",IF(ROUND(AN184-AO184,2)=0,"Fully Utilised","Unconsumed")))</f>
      </c>
      <c r="F184" s="24"/>
      <c r="G184" s="25"/>
      <c r="H184" s="25"/>
      <c r="I184" s="26"/>
      <c r="J184" s="26"/>
      <c r="K184" s="26"/>
      <c r="L184" s="26"/>
      <c r="M184" s="26"/>
      <c r="N184" s="26"/>
      <c r="O184" s="26"/>
      <c r="P184" s="27">
        <f>IF($B184&lt;&gt;"Challan","",I184+J184+K184+L184+M184+N184)</f>
      </c>
      <c r="Q184" s="25"/>
      <c r="R184" s="25"/>
      <c r="S184" s="25"/>
      <c r="T184" s="25"/>
      <c r="U184" s="25"/>
      <c r="V184" s="28"/>
      <c r="W184" s="28"/>
      <c r="X184" s="23">
        <f>IF($B184="Entry",IF(AND(LEN(TRIM(UPPER(W184)))=10,CODE(MID(TRIM(UPPER(W184)),1,1))&gt;=65,CODE(MID(TRIM(UPPER(W184)),1,1))&lt;=90,CODE(MID(TRIM(UPPER(W184)),2,1))&gt;=65,CODE(MID(TRIM(UPPER(W184)),2,1))&lt;=90,CODE(MID(TRIM(UPPER(W184)),3,1))&gt;=65,CODE(MID(TRIM(UPPER(W184)),3,1))&lt;=90,CODE(MID(TRIM(UPPER(W184)),4,1))&gt;=65,CODE(MID(TRIM(UPPER(W184)),4,1))&lt;=90,CODE(MID(TRIM(UPPER(W184)),5,1))&gt;=65,CODE(MID(TRIM(UPPER(W184)),5,1))&lt;=90,CODE(MID(TRIM(UPPER(W184)),10,1))&gt;=65,CODE(MID(TRIM(UPPER(W184)),10,1))&lt;=90,CODE(MID(TRIM(UPPER(W184)),6,1))&gt;=48,CODE(MID(TRIM(UPPER(W184)),6,1))&lt;=57,CODE(MID(TRIM(UPPER(W184)),7,1))&gt;=48,CODE(MID(TRIM(UPPER(W184)),7,1))&lt;=57,CODE(MID(TRIM(UPPER(W184)),8,1))&gt;=48,CODE(MID(TRIM(UPPER(W184)),8,1))&lt;=57,CODE(MID(TRIM(UPPER(W184)),9,1))&gt;=48,CODE(MID(TRIM(UPPER(W184)),9,1))&lt;=57),"N","Y"),IF($B184="Challan","",IF(W184&lt;&gt;"","◄ Set Row Type","")))</f>
      </c>
      <c r="Y184" s="23">
        <f>IF($B184="Entry",IF(LEN(W184)&lt;4,"",IF(UPPER(MID(W184,4,1))="P","Individual",IF(UPPER(MID(W184,4,1))="H","HUF",IF(UPPER(MID(W184,4,1))="C","Company",IF(UPPER(MID(W184,4,1))="F","Firm",IF(UPPER(MID(W184,4,1))="L","LLP",IF(UPPER(MID(W184,4,1))="T","Trust",IF(UPPER(MID(W184,4,1))="A","AOP","")))))))),IF($B184="Challan","",IF(W184&lt;&gt;"","◄ Set Row Type","")))</f>
      </c>
      <c r="Z184" s="28"/>
      <c r="AA184" s="29">
        <f>IF($B184&lt;&gt;"Entry","",IF(Z184="","",IF(X184="Y",SUMPRODUCT(('Rate Lookup'!$A$1:$A$37=Z184)*'Rate Lookup'!$D$1:$D$37),IF(OR(Y184="Individual",Y184="HUF"),SUMPRODUCT(('Rate Lookup'!$A$1:$A$37=Z184)*'Rate Lookup'!$B$1:$B$37),SUMPRODUCT(('Rate Lookup'!$A$1:$A$37=Z184)*'Rate Lookup'!$C$1:$C$37)))))</f>
      </c>
      <c r="AB184" s="30"/>
      <c r="AC184" s="31"/>
      <c r="AD184" s="27">
        <f>IF($B184&lt;&gt;"Entry","",ROUND(AC184*AA184/100,0))</f>
      </c>
      <c r="AE184" s="27">
        <f>IF($B184&lt;&gt;"Entry","",0)</f>
      </c>
      <c r="AF184" s="27">
        <f>IF($B184&lt;&gt;"Entry","",0)</f>
      </c>
      <c r="AG184" s="27">
        <f>IF($B184&lt;&gt;"Entry","",IF(OR(AD184=0,AB184="",AQ184="",AQ184&lt;=0),0,IF(AQ184&lt;=DATE(YEAR(AB184),MONTH(AB184)+1,7),0,ROUND(AD184*0.015*((YEAR(AQ184)-YEAR(AB184))*12+(MONTH(AQ184)-MONTH(AB184))+1),0))))</f>
      </c>
      <c r="AH184" s="27">
        <f>IF($B184&lt;&gt;"Entry","",0)</f>
      </c>
      <c r="AI184" s="28"/>
      <c r="AJ184" s="28"/>
      <c r="AK184" s="32"/>
      <c r="AL184" s="28"/>
      <c r="AM184" s="28"/>
      <c r="AN184" s="27">
        <f>IF($B184&lt;&gt;"Challan","",SUMIF('Q1 Data'!$D$4:$D$207,D184,'Q1 Data'!$AD$4:$AD$207)+SUMIF('Q1 Data'!$D$4:$D$207,D184,'Q1 Data'!$AG$4:$AG$207)+SUMIF('Q1 Data'!$D$4:$D$207,D184,'Q1 Data'!$AE$4:$AE$207)+SUMIF('Q2 Data'!$D$4:$D$207,D184,'Q2 Data'!$AD$4:$AD$207)+SUMIF('Q2 Data'!$D$4:$D$207,D184,'Q2 Data'!$AG$4:$AG$207)+SUMIF('Q2 Data'!$D$4:$D$207,D184,'Q2 Data'!$AE$4:$AE$207)+SUMIF('Q3 Data'!$D$4:$D$207,D184,'Q3 Data'!$AD$4:$AD$207)+SUMIF('Q3 Data'!$D$4:$D$207,D184,'Q3 Data'!$AG$4:$AG$207)+SUMIF('Q3 Data'!$D$4:$D$207,D184,'Q3 Data'!$AE$4:$AE$207)+SUMIF('Q4 Data'!$D$4:$D$207,D184,'Q4 Data'!$AD$4:$AD$207)+SUMIF('Q4 Data'!$D$4:$D$207,D184,'Q4 Data'!$AG$4:$AG$207)+SUMIF('Q4 Data'!$D$4:$D$207,D184,'Q4 Data'!$AE$4:$AE$207))</f>
      </c>
      <c r="AO184" s="27">
        <f>IF($B184&lt;&gt;"Challan","",P184-N184)</f>
      </c>
      <c r="AP184" s="27">
        <f>IF($B184&lt;&gt;"Challan","",MAX(0,AO184-AN184))</f>
      </c>
      <c r="AQ184" s="33">
        <f>IF($B184&lt;&gt;"Entry","",SUMPRODUCT(('Q1 Data'!$D$4:$D$207=D184)*('Q1 Data'!$B$4:$B$207="Challan")*'Q1 Data'!$F$4:$F$207)+SUMPRODUCT(('Q2 Data'!$D$4:$D$207=D184)*('Q2 Data'!$B$4:$B$207="Challan")*'Q2 Data'!$F$4:$F$207)+SUMPRODUCT(('Q3 Data'!$D$4:$D$207=D184)*('Q3 Data'!$B$4:$B$207="Challan")*'Q3 Data'!$F$4:$F$207)+SUMPRODUCT(('Q4 Data'!$D$4:$D$207=D184)*('Q4 Data'!$B$4:$B$207="Challan")*'Q4 Data'!$F$4:$F$207))</f>
      </c>
      <c r="AR184" s="34">
        <f>IF(OR($B184&lt;&gt;"Entry",Z184=""),FALSE,AND((SUMPRODUCT(('Q1 Data'!$D$4:$D$207=D184)*('Q1 Data'!$B$4:$B$207="Challan")*('Q1 Data'!$H$4:$H$207&lt;&gt;""))+SUMPRODUCT(('Q2 Data'!$D$4:$D$207=D184)*('Q2 Data'!$B$4:$B$207="Challan")*('Q2 Data'!$H$4:$H$207&lt;&gt;""))+SUMPRODUCT(('Q3 Data'!$D$4:$D$207=D184)*('Q3 Data'!$B$4:$B$207="Challan")*('Q3 Data'!$H$4:$H$207&lt;&gt;""))+SUMPRODUCT(('Q4 Data'!$D$4:$D$207=D184)*('Q4 Data'!$B$4:$B$207="Challan")*('Q4 Data'!$H$4:$H$207&lt;&gt;"")))&gt;0,(SUMPRODUCT(('Q1 Data'!$D$4:$D$207=D184)*('Q1 Data'!$B$4:$B$207="Challan")*('Q1 Data'!$H$4:$H$207=Z184))+SUMPRODUCT(('Q2 Data'!$D$4:$D$207=D184)*('Q2 Data'!$B$4:$B$207="Challan")*('Q2 Data'!$H$4:$H$207=Z184))+SUMPRODUCT(('Q3 Data'!$D$4:$D$207=D184)*('Q3 Data'!$B$4:$B$207="Challan")*('Q3 Data'!$H$4:$H$207=Z184))+SUMPRODUCT(('Q4 Data'!$D$4:$D$207=D184)*('Q4 Data'!$B$4:$B$207="Challan")*('Q4 Data'!$H$4:$H$207=Z184)))=0))</f>
      </c>
    </row>
    <row r="185" spans="1:44" x14ac:dyDescent="0.25">
      <c r="A185" s="20">
        <f>IF($B185="Entry",COUNTIF($B$4:$B185,"Entry"),"")</f>
      </c>
      <c r="B185" s="21"/>
      <c r="C185" s="22"/>
      <c r="D185" s="22"/>
      <c r="E185" s="23">
        <f>IF($B185&lt;&gt;"Challan","",IF(ROUND(AN185-AO185,2)&gt;0,"Over-applied",IF(ROUND(AN185-AO185,2)=0,"Fully Utilised","Unconsumed")))</f>
      </c>
      <c r="F185" s="24"/>
      <c r="G185" s="25"/>
      <c r="H185" s="25"/>
      <c r="I185" s="26"/>
      <c r="J185" s="26"/>
      <c r="K185" s="26"/>
      <c r="L185" s="26"/>
      <c r="M185" s="26"/>
      <c r="N185" s="26"/>
      <c r="O185" s="26"/>
      <c r="P185" s="27">
        <f>IF($B185&lt;&gt;"Challan","",I185+J185+K185+L185+M185+N185)</f>
      </c>
      <c r="Q185" s="25"/>
      <c r="R185" s="25"/>
      <c r="S185" s="25"/>
      <c r="T185" s="25"/>
      <c r="U185" s="25"/>
      <c r="V185" s="28"/>
      <c r="W185" s="28"/>
      <c r="X185" s="23">
        <f>IF($B185="Entry",IF(AND(LEN(TRIM(UPPER(W185)))=10,CODE(MID(TRIM(UPPER(W185)),1,1))&gt;=65,CODE(MID(TRIM(UPPER(W185)),1,1))&lt;=90,CODE(MID(TRIM(UPPER(W185)),2,1))&gt;=65,CODE(MID(TRIM(UPPER(W185)),2,1))&lt;=90,CODE(MID(TRIM(UPPER(W185)),3,1))&gt;=65,CODE(MID(TRIM(UPPER(W185)),3,1))&lt;=90,CODE(MID(TRIM(UPPER(W185)),4,1))&gt;=65,CODE(MID(TRIM(UPPER(W185)),4,1))&lt;=90,CODE(MID(TRIM(UPPER(W185)),5,1))&gt;=65,CODE(MID(TRIM(UPPER(W185)),5,1))&lt;=90,CODE(MID(TRIM(UPPER(W185)),10,1))&gt;=65,CODE(MID(TRIM(UPPER(W185)),10,1))&lt;=90,CODE(MID(TRIM(UPPER(W185)),6,1))&gt;=48,CODE(MID(TRIM(UPPER(W185)),6,1))&lt;=57,CODE(MID(TRIM(UPPER(W185)),7,1))&gt;=48,CODE(MID(TRIM(UPPER(W185)),7,1))&lt;=57,CODE(MID(TRIM(UPPER(W185)),8,1))&gt;=48,CODE(MID(TRIM(UPPER(W185)),8,1))&lt;=57,CODE(MID(TRIM(UPPER(W185)),9,1))&gt;=48,CODE(MID(TRIM(UPPER(W185)),9,1))&lt;=57),"N","Y"),IF($B185="Challan","",IF(W185&lt;&gt;"","◄ Set Row Type","")))</f>
      </c>
      <c r="Y185" s="23">
        <f>IF($B185="Entry",IF(LEN(W185)&lt;4,"",IF(UPPER(MID(W185,4,1))="P","Individual",IF(UPPER(MID(W185,4,1))="H","HUF",IF(UPPER(MID(W185,4,1))="C","Company",IF(UPPER(MID(W185,4,1))="F","Firm",IF(UPPER(MID(W185,4,1))="L","LLP",IF(UPPER(MID(W185,4,1))="T","Trust",IF(UPPER(MID(W185,4,1))="A","AOP","")))))))),IF($B185="Challan","",IF(W185&lt;&gt;"","◄ Set Row Type","")))</f>
      </c>
      <c r="Z185" s="28"/>
      <c r="AA185" s="29">
        <f>IF($B185&lt;&gt;"Entry","",IF(Z185="","",IF(X185="Y",SUMPRODUCT(('Rate Lookup'!$A$1:$A$37=Z185)*'Rate Lookup'!$D$1:$D$37),IF(OR(Y185="Individual",Y185="HUF"),SUMPRODUCT(('Rate Lookup'!$A$1:$A$37=Z185)*'Rate Lookup'!$B$1:$B$37),SUMPRODUCT(('Rate Lookup'!$A$1:$A$37=Z185)*'Rate Lookup'!$C$1:$C$37)))))</f>
      </c>
      <c r="AB185" s="30"/>
      <c r="AC185" s="31"/>
      <c r="AD185" s="27">
        <f>IF($B185&lt;&gt;"Entry","",ROUND(AC185*AA185/100,0))</f>
      </c>
      <c r="AE185" s="27">
        <f>IF($B185&lt;&gt;"Entry","",0)</f>
      </c>
      <c r="AF185" s="27">
        <f>IF($B185&lt;&gt;"Entry","",0)</f>
      </c>
      <c r="AG185" s="27">
        <f>IF($B185&lt;&gt;"Entry","",IF(OR(AD185=0,AB185="",AQ185="",AQ185&lt;=0),0,IF(AQ185&lt;=DATE(YEAR(AB185),MONTH(AB185)+1,7),0,ROUND(AD185*0.015*((YEAR(AQ185)-YEAR(AB185))*12+(MONTH(AQ185)-MONTH(AB185))+1),0))))</f>
      </c>
      <c r="AH185" s="27">
        <f>IF($B185&lt;&gt;"Entry","",0)</f>
      </c>
      <c r="AI185" s="28"/>
      <c r="AJ185" s="28"/>
      <c r="AK185" s="32"/>
      <c r="AL185" s="28"/>
      <c r="AM185" s="28"/>
      <c r="AN185" s="27">
        <f>IF($B185&lt;&gt;"Challan","",SUMIF('Q1 Data'!$D$4:$D$207,D185,'Q1 Data'!$AD$4:$AD$207)+SUMIF('Q1 Data'!$D$4:$D$207,D185,'Q1 Data'!$AG$4:$AG$207)+SUMIF('Q1 Data'!$D$4:$D$207,D185,'Q1 Data'!$AE$4:$AE$207)+SUMIF('Q2 Data'!$D$4:$D$207,D185,'Q2 Data'!$AD$4:$AD$207)+SUMIF('Q2 Data'!$D$4:$D$207,D185,'Q2 Data'!$AG$4:$AG$207)+SUMIF('Q2 Data'!$D$4:$D$207,D185,'Q2 Data'!$AE$4:$AE$207)+SUMIF('Q3 Data'!$D$4:$D$207,D185,'Q3 Data'!$AD$4:$AD$207)+SUMIF('Q3 Data'!$D$4:$D$207,D185,'Q3 Data'!$AG$4:$AG$207)+SUMIF('Q3 Data'!$D$4:$D$207,D185,'Q3 Data'!$AE$4:$AE$207)+SUMIF('Q4 Data'!$D$4:$D$207,D185,'Q4 Data'!$AD$4:$AD$207)+SUMIF('Q4 Data'!$D$4:$D$207,D185,'Q4 Data'!$AG$4:$AG$207)+SUMIF('Q4 Data'!$D$4:$D$207,D185,'Q4 Data'!$AE$4:$AE$207))</f>
      </c>
      <c r="AO185" s="27">
        <f>IF($B185&lt;&gt;"Challan","",P185-N185)</f>
      </c>
      <c r="AP185" s="27">
        <f>IF($B185&lt;&gt;"Challan","",MAX(0,AO185-AN185))</f>
      </c>
      <c r="AQ185" s="33">
        <f>IF($B185&lt;&gt;"Entry","",SUMPRODUCT(('Q1 Data'!$D$4:$D$207=D185)*('Q1 Data'!$B$4:$B$207="Challan")*'Q1 Data'!$F$4:$F$207)+SUMPRODUCT(('Q2 Data'!$D$4:$D$207=D185)*('Q2 Data'!$B$4:$B$207="Challan")*'Q2 Data'!$F$4:$F$207)+SUMPRODUCT(('Q3 Data'!$D$4:$D$207=D185)*('Q3 Data'!$B$4:$B$207="Challan")*'Q3 Data'!$F$4:$F$207)+SUMPRODUCT(('Q4 Data'!$D$4:$D$207=D185)*('Q4 Data'!$B$4:$B$207="Challan")*'Q4 Data'!$F$4:$F$207))</f>
      </c>
      <c r="AR185" s="34">
        <f>IF(OR($B185&lt;&gt;"Entry",Z185=""),FALSE,AND((SUMPRODUCT(('Q1 Data'!$D$4:$D$207=D185)*('Q1 Data'!$B$4:$B$207="Challan")*('Q1 Data'!$H$4:$H$207&lt;&gt;""))+SUMPRODUCT(('Q2 Data'!$D$4:$D$207=D185)*('Q2 Data'!$B$4:$B$207="Challan")*('Q2 Data'!$H$4:$H$207&lt;&gt;""))+SUMPRODUCT(('Q3 Data'!$D$4:$D$207=D185)*('Q3 Data'!$B$4:$B$207="Challan")*('Q3 Data'!$H$4:$H$207&lt;&gt;""))+SUMPRODUCT(('Q4 Data'!$D$4:$D$207=D185)*('Q4 Data'!$B$4:$B$207="Challan")*('Q4 Data'!$H$4:$H$207&lt;&gt;"")))&gt;0,(SUMPRODUCT(('Q1 Data'!$D$4:$D$207=D185)*('Q1 Data'!$B$4:$B$207="Challan")*('Q1 Data'!$H$4:$H$207=Z185))+SUMPRODUCT(('Q2 Data'!$D$4:$D$207=D185)*('Q2 Data'!$B$4:$B$207="Challan")*('Q2 Data'!$H$4:$H$207=Z185))+SUMPRODUCT(('Q3 Data'!$D$4:$D$207=D185)*('Q3 Data'!$B$4:$B$207="Challan")*('Q3 Data'!$H$4:$H$207=Z185))+SUMPRODUCT(('Q4 Data'!$D$4:$D$207=D185)*('Q4 Data'!$B$4:$B$207="Challan")*('Q4 Data'!$H$4:$H$207=Z185)))=0))</f>
      </c>
    </row>
    <row r="186" spans="1:44" x14ac:dyDescent="0.25">
      <c r="A186" s="20">
        <f>IF($B186="Entry",COUNTIF($B$4:$B186,"Entry"),"")</f>
      </c>
      <c r="B186" s="21"/>
      <c r="C186" s="22"/>
      <c r="D186" s="22"/>
      <c r="E186" s="23">
        <f>IF($B186&lt;&gt;"Challan","",IF(ROUND(AN186-AO186,2)&gt;0,"Over-applied",IF(ROUND(AN186-AO186,2)=0,"Fully Utilised","Unconsumed")))</f>
      </c>
      <c r="F186" s="24"/>
      <c r="G186" s="25"/>
      <c r="H186" s="25"/>
      <c r="I186" s="26"/>
      <c r="J186" s="26"/>
      <c r="K186" s="26"/>
      <c r="L186" s="26"/>
      <c r="M186" s="26"/>
      <c r="N186" s="26"/>
      <c r="O186" s="26"/>
      <c r="P186" s="27">
        <f>IF($B186&lt;&gt;"Challan","",I186+J186+K186+L186+M186+N186)</f>
      </c>
      <c r="Q186" s="25"/>
      <c r="R186" s="25"/>
      <c r="S186" s="25"/>
      <c r="T186" s="25"/>
      <c r="U186" s="25"/>
      <c r="V186" s="28"/>
      <c r="W186" s="28"/>
      <c r="X186" s="23">
        <f>IF($B186="Entry",IF(AND(LEN(TRIM(UPPER(W186)))=10,CODE(MID(TRIM(UPPER(W186)),1,1))&gt;=65,CODE(MID(TRIM(UPPER(W186)),1,1))&lt;=90,CODE(MID(TRIM(UPPER(W186)),2,1))&gt;=65,CODE(MID(TRIM(UPPER(W186)),2,1))&lt;=90,CODE(MID(TRIM(UPPER(W186)),3,1))&gt;=65,CODE(MID(TRIM(UPPER(W186)),3,1))&lt;=90,CODE(MID(TRIM(UPPER(W186)),4,1))&gt;=65,CODE(MID(TRIM(UPPER(W186)),4,1))&lt;=90,CODE(MID(TRIM(UPPER(W186)),5,1))&gt;=65,CODE(MID(TRIM(UPPER(W186)),5,1))&lt;=90,CODE(MID(TRIM(UPPER(W186)),10,1))&gt;=65,CODE(MID(TRIM(UPPER(W186)),10,1))&lt;=90,CODE(MID(TRIM(UPPER(W186)),6,1))&gt;=48,CODE(MID(TRIM(UPPER(W186)),6,1))&lt;=57,CODE(MID(TRIM(UPPER(W186)),7,1))&gt;=48,CODE(MID(TRIM(UPPER(W186)),7,1))&lt;=57,CODE(MID(TRIM(UPPER(W186)),8,1))&gt;=48,CODE(MID(TRIM(UPPER(W186)),8,1))&lt;=57,CODE(MID(TRIM(UPPER(W186)),9,1))&gt;=48,CODE(MID(TRIM(UPPER(W186)),9,1))&lt;=57),"N","Y"),IF($B186="Challan","",IF(W186&lt;&gt;"","◄ Set Row Type","")))</f>
      </c>
      <c r="Y186" s="23">
        <f>IF($B186="Entry",IF(LEN(W186)&lt;4,"",IF(UPPER(MID(W186,4,1))="P","Individual",IF(UPPER(MID(W186,4,1))="H","HUF",IF(UPPER(MID(W186,4,1))="C","Company",IF(UPPER(MID(W186,4,1))="F","Firm",IF(UPPER(MID(W186,4,1))="L","LLP",IF(UPPER(MID(W186,4,1))="T","Trust",IF(UPPER(MID(W186,4,1))="A","AOP","")))))))),IF($B186="Challan","",IF(W186&lt;&gt;"","◄ Set Row Type","")))</f>
      </c>
      <c r="Z186" s="28"/>
      <c r="AA186" s="29">
        <f>IF($B186&lt;&gt;"Entry","",IF(Z186="","",IF(X186="Y",SUMPRODUCT(('Rate Lookup'!$A$1:$A$37=Z186)*'Rate Lookup'!$D$1:$D$37),IF(OR(Y186="Individual",Y186="HUF"),SUMPRODUCT(('Rate Lookup'!$A$1:$A$37=Z186)*'Rate Lookup'!$B$1:$B$37),SUMPRODUCT(('Rate Lookup'!$A$1:$A$37=Z186)*'Rate Lookup'!$C$1:$C$37)))))</f>
      </c>
      <c r="AB186" s="30"/>
      <c r="AC186" s="31"/>
      <c r="AD186" s="27">
        <f>IF($B186&lt;&gt;"Entry","",ROUND(AC186*AA186/100,0))</f>
      </c>
      <c r="AE186" s="27">
        <f>IF($B186&lt;&gt;"Entry","",0)</f>
      </c>
      <c r="AF186" s="27">
        <f>IF($B186&lt;&gt;"Entry","",0)</f>
      </c>
      <c r="AG186" s="27">
        <f>IF($B186&lt;&gt;"Entry","",IF(OR(AD186=0,AB186="",AQ186="",AQ186&lt;=0),0,IF(AQ186&lt;=DATE(YEAR(AB186),MONTH(AB186)+1,7),0,ROUND(AD186*0.015*((YEAR(AQ186)-YEAR(AB186))*12+(MONTH(AQ186)-MONTH(AB186))+1),0))))</f>
      </c>
      <c r="AH186" s="27">
        <f>IF($B186&lt;&gt;"Entry","",0)</f>
      </c>
      <c r="AI186" s="28"/>
      <c r="AJ186" s="28"/>
      <c r="AK186" s="32"/>
      <c r="AL186" s="28"/>
      <c r="AM186" s="28"/>
      <c r="AN186" s="27">
        <f>IF($B186&lt;&gt;"Challan","",SUMIF('Q1 Data'!$D$4:$D$207,D186,'Q1 Data'!$AD$4:$AD$207)+SUMIF('Q1 Data'!$D$4:$D$207,D186,'Q1 Data'!$AG$4:$AG$207)+SUMIF('Q1 Data'!$D$4:$D$207,D186,'Q1 Data'!$AE$4:$AE$207)+SUMIF('Q2 Data'!$D$4:$D$207,D186,'Q2 Data'!$AD$4:$AD$207)+SUMIF('Q2 Data'!$D$4:$D$207,D186,'Q2 Data'!$AG$4:$AG$207)+SUMIF('Q2 Data'!$D$4:$D$207,D186,'Q2 Data'!$AE$4:$AE$207)+SUMIF('Q3 Data'!$D$4:$D$207,D186,'Q3 Data'!$AD$4:$AD$207)+SUMIF('Q3 Data'!$D$4:$D$207,D186,'Q3 Data'!$AG$4:$AG$207)+SUMIF('Q3 Data'!$D$4:$D$207,D186,'Q3 Data'!$AE$4:$AE$207)+SUMIF('Q4 Data'!$D$4:$D$207,D186,'Q4 Data'!$AD$4:$AD$207)+SUMIF('Q4 Data'!$D$4:$D$207,D186,'Q4 Data'!$AG$4:$AG$207)+SUMIF('Q4 Data'!$D$4:$D$207,D186,'Q4 Data'!$AE$4:$AE$207))</f>
      </c>
      <c r="AO186" s="27">
        <f>IF($B186&lt;&gt;"Challan","",P186-N186)</f>
      </c>
      <c r="AP186" s="27">
        <f>IF($B186&lt;&gt;"Challan","",MAX(0,AO186-AN186))</f>
      </c>
      <c r="AQ186" s="33">
        <f>IF($B186&lt;&gt;"Entry","",SUMPRODUCT(('Q1 Data'!$D$4:$D$207=D186)*('Q1 Data'!$B$4:$B$207="Challan")*'Q1 Data'!$F$4:$F$207)+SUMPRODUCT(('Q2 Data'!$D$4:$D$207=D186)*('Q2 Data'!$B$4:$B$207="Challan")*'Q2 Data'!$F$4:$F$207)+SUMPRODUCT(('Q3 Data'!$D$4:$D$207=D186)*('Q3 Data'!$B$4:$B$207="Challan")*'Q3 Data'!$F$4:$F$207)+SUMPRODUCT(('Q4 Data'!$D$4:$D$207=D186)*('Q4 Data'!$B$4:$B$207="Challan")*'Q4 Data'!$F$4:$F$207))</f>
      </c>
      <c r="AR186" s="34">
        <f>IF(OR($B186&lt;&gt;"Entry",Z186=""),FALSE,AND((SUMPRODUCT(('Q1 Data'!$D$4:$D$207=D186)*('Q1 Data'!$B$4:$B$207="Challan")*('Q1 Data'!$H$4:$H$207&lt;&gt;""))+SUMPRODUCT(('Q2 Data'!$D$4:$D$207=D186)*('Q2 Data'!$B$4:$B$207="Challan")*('Q2 Data'!$H$4:$H$207&lt;&gt;""))+SUMPRODUCT(('Q3 Data'!$D$4:$D$207=D186)*('Q3 Data'!$B$4:$B$207="Challan")*('Q3 Data'!$H$4:$H$207&lt;&gt;""))+SUMPRODUCT(('Q4 Data'!$D$4:$D$207=D186)*('Q4 Data'!$B$4:$B$207="Challan")*('Q4 Data'!$H$4:$H$207&lt;&gt;"")))&gt;0,(SUMPRODUCT(('Q1 Data'!$D$4:$D$207=D186)*('Q1 Data'!$B$4:$B$207="Challan")*('Q1 Data'!$H$4:$H$207=Z186))+SUMPRODUCT(('Q2 Data'!$D$4:$D$207=D186)*('Q2 Data'!$B$4:$B$207="Challan")*('Q2 Data'!$H$4:$H$207=Z186))+SUMPRODUCT(('Q3 Data'!$D$4:$D$207=D186)*('Q3 Data'!$B$4:$B$207="Challan")*('Q3 Data'!$H$4:$H$207=Z186))+SUMPRODUCT(('Q4 Data'!$D$4:$D$207=D186)*('Q4 Data'!$B$4:$B$207="Challan")*('Q4 Data'!$H$4:$H$207=Z186)))=0))</f>
      </c>
    </row>
    <row r="187" spans="1:44" x14ac:dyDescent="0.25">
      <c r="A187" s="20">
        <f>IF($B187="Entry",COUNTIF($B$4:$B187,"Entry"),"")</f>
      </c>
      <c r="B187" s="21"/>
      <c r="C187" s="22"/>
      <c r="D187" s="22"/>
      <c r="E187" s="23">
        <f>IF($B187&lt;&gt;"Challan","",IF(ROUND(AN187-AO187,2)&gt;0,"Over-applied",IF(ROUND(AN187-AO187,2)=0,"Fully Utilised","Unconsumed")))</f>
      </c>
      <c r="F187" s="24"/>
      <c r="G187" s="25"/>
      <c r="H187" s="25"/>
      <c r="I187" s="26"/>
      <c r="J187" s="26"/>
      <c r="K187" s="26"/>
      <c r="L187" s="26"/>
      <c r="M187" s="26"/>
      <c r="N187" s="26"/>
      <c r="O187" s="26"/>
      <c r="P187" s="27">
        <f>IF($B187&lt;&gt;"Challan","",I187+J187+K187+L187+M187+N187)</f>
      </c>
      <c r="Q187" s="25"/>
      <c r="R187" s="25"/>
      <c r="S187" s="25"/>
      <c r="T187" s="25"/>
      <c r="U187" s="25"/>
      <c r="V187" s="28"/>
      <c r="W187" s="28"/>
      <c r="X187" s="23">
        <f>IF($B187="Entry",IF(AND(LEN(TRIM(UPPER(W187)))=10,CODE(MID(TRIM(UPPER(W187)),1,1))&gt;=65,CODE(MID(TRIM(UPPER(W187)),1,1))&lt;=90,CODE(MID(TRIM(UPPER(W187)),2,1))&gt;=65,CODE(MID(TRIM(UPPER(W187)),2,1))&lt;=90,CODE(MID(TRIM(UPPER(W187)),3,1))&gt;=65,CODE(MID(TRIM(UPPER(W187)),3,1))&lt;=90,CODE(MID(TRIM(UPPER(W187)),4,1))&gt;=65,CODE(MID(TRIM(UPPER(W187)),4,1))&lt;=90,CODE(MID(TRIM(UPPER(W187)),5,1))&gt;=65,CODE(MID(TRIM(UPPER(W187)),5,1))&lt;=90,CODE(MID(TRIM(UPPER(W187)),10,1))&gt;=65,CODE(MID(TRIM(UPPER(W187)),10,1))&lt;=90,CODE(MID(TRIM(UPPER(W187)),6,1))&gt;=48,CODE(MID(TRIM(UPPER(W187)),6,1))&lt;=57,CODE(MID(TRIM(UPPER(W187)),7,1))&gt;=48,CODE(MID(TRIM(UPPER(W187)),7,1))&lt;=57,CODE(MID(TRIM(UPPER(W187)),8,1))&gt;=48,CODE(MID(TRIM(UPPER(W187)),8,1))&lt;=57,CODE(MID(TRIM(UPPER(W187)),9,1))&gt;=48,CODE(MID(TRIM(UPPER(W187)),9,1))&lt;=57),"N","Y"),IF($B187="Challan","",IF(W187&lt;&gt;"","◄ Set Row Type","")))</f>
      </c>
      <c r="Y187" s="23">
        <f>IF($B187="Entry",IF(LEN(W187)&lt;4,"",IF(UPPER(MID(W187,4,1))="P","Individual",IF(UPPER(MID(W187,4,1))="H","HUF",IF(UPPER(MID(W187,4,1))="C","Company",IF(UPPER(MID(W187,4,1))="F","Firm",IF(UPPER(MID(W187,4,1))="L","LLP",IF(UPPER(MID(W187,4,1))="T","Trust",IF(UPPER(MID(W187,4,1))="A","AOP","")))))))),IF($B187="Challan","",IF(W187&lt;&gt;"","◄ Set Row Type","")))</f>
      </c>
      <c r="Z187" s="28"/>
      <c r="AA187" s="29">
        <f>IF($B187&lt;&gt;"Entry","",IF(Z187="","",IF(X187="Y",SUMPRODUCT(('Rate Lookup'!$A$1:$A$37=Z187)*'Rate Lookup'!$D$1:$D$37),IF(OR(Y187="Individual",Y187="HUF"),SUMPRODUCT(('Rate Lookup'!$A$1:$A$37=Z187)*'Rate Lookup'!$B$1:$B$37),SUMPRODUCT(('Rate Lookup'!$A$1:$A$37=Z187)*'Rate Lookup'!$C$1:$C$37)))))</f>
      </c>
      <c r="AB187" s="30"/>
      <c r="AC187" s="31"/>
      <c r="AD187" s="27">
        <f>IF($B187&lt;&gt;"Entry","",ROUND(AC187*AA187/100,0))</f>
      </c>
      <c r="AE187" s="27">
        <f>IF($B187&lt;&gt;"Entry","",0)</f>
      </c>
      <c r="AF187" s="27">
        <f>IF($B187&lt;&gt;"Entry","",0)</f>
      </c>
      <c r="AG187" s="27">
        <f>IF($B187&lt;&gt;"Entry","",IF(OR(AD187=0,AB187="",AQ187="",AQ187&lt;=0),0,IF(AQ187&lt;=DATE(YEAR(AB187),MONTH(AB187)+1,7),0,ROUND(AD187*0.015*((YEAR(AQ187)-YEAR(AB187))*12+(MONTH(AQ187)-MONTH(AB187))+1),0))))</f>
      </c>
      <c r="AH187" s="27">
        <f>IF($B187&lt;&gt;"Entry","",0)</f>
      </c>
      <c r="AI187" s="28"/>
      <c r="AJ187" s="28"/>
      <c r="AK187" s="32"/>
      <c r="AL187" s="28"/>
      <c r="AM187" s="28"/>
      <c r="AN187" s="27">
        <f>IF($B187&lt;&gt;"Challan","",SUMIF('Q1 Data'!$D$4:$D$207,D187,'Q1 Data'!$AD$4:$AD$207)+SUMIF('Q1 Data'!$D$4:$D$207,D187,'Q1 Data'!$AG$4:$AG$207)+SUMIF('Q1 Data'!$D$4:$D$207,D187,'Q1 Data'!$AE$4:$AE$207)+SUMIF('Q2 Data'!$D$4:$D$207,D187,'Q2 Data'!$AD$4:$AD$207)+SUMIF('Q2 Data'!$D$4:$D$207,D187,'Q2 Data'!$AG$4:$AG$207)+SUMIF('Q2 Data'!$D$4:$D$207,D187,'Q2 Data'!$AE$4:$AE$207)+SUMIF('Q3 Data'!$D$4:$D$207,D187,'Q3 Data'!$AD$4:$AD$207)+SUMIF('Q3 Data'!$D$4:$D$207,D187,'Q3 Data'!$AG$4:$AG$207)+SUMIF('Q3 Data'!$D$4:$D$207,D187,'Q3 Data'!$AE$4:$AE$207)+SUMIF('Q4 Data'!$D$4:$D$207,D187,'Q4 Data'!$AD$4:$AD$207)+SUMIF('Q4 Data'!$D$4:$D$207,D187,'Q4 Data'!$AG$4:$AG$207)+SUMIF('Q4 Data'!$D$4:$D$207,D187,'Q4 Data'!$AE$4:$AE$207))</f>
      </c>
      <c r="AO187" s="27">
        <f>IF($B187&lt;&gt;"Challan","",P187-N187)</f>
      </c>
      <c r="AP187" s="27">
        <f>IF($B187&lt;&gt;"Challan","",MAX(0,AO187-AN187))</f>
      </c>
      <c r="AQ187" s="33">
        <f>IF($B187&lt;&gt;"Entry","",SUMPRODUCT(('Q1 Data'!$D$4:$D$207=D187)*('Q1 Data'!$B$4:$B$207="Challan")*'Q1 Data'!$F$4:$F$207)+SUMPRODUCT(('Q2 Data'!$D$4:$D$207=D187)*('Q2 Data'!$B$4:$B$207="Challan")*'Q2 Data'!$F$4:$F$207)+SUMPRODUCT(('Q3 Data'!$D$4:$D$207=D187)*('Q3 Data'!$B$4:$B$207="Challan")*'Q3 Data'!$F$4:$F$207)+SUMPRODUCT(('Q4 Data'!$D$4:$D$207=D187)*('Q4 Data'!$B$4:$B$207="Challan")*'Q4 Data'!$F$4:$F$207))</f>
      </c>
      <c r="AR187" s="34">
        <f>IF(OR($B187&lt;&gt;"Entry",Z187=""),FALSE,AND((SUMPRODUCT(('Q1 Data'!$D$4:$D$207=D187)*('Q1 Data'!$B$4:$B$207="Challan")*('Q1 Data'!$H$4:$H$207&lt;&gt;""))+SUMPRODUCT(('Q2 Data'!$D$4:$D$207=D187)*('Q2 Data'!$B$4:$B$207="Challan")*('Q2 Data'!$H$4:$H$207&lt;&gt;""))+SUMPRODUCT(('Q3 Data'!$D$4:$D$207=D187)*('Q3 Data'!$B$4:$B$207="Challan")*('Q3 Data'!$H$4:$H$207&lt;&gt;""))+SUMPRODUCT(('Q4 Data'!$D$4:$D$207=D187)*('Q4 Data'!$B$4:$B$207="Challan")*('Q4 Data'!$H$4:$H$207&lt;&gt;"")))&gt;0,(SUMPRODUCT(('Q1 Data'!$D$4:$D$207=D187)*('Q1 Data'!$B$4:$B$207="Challan")*('Q1 Data'!$H$4:$H$207=Z187))+SUMPRODUCT(('Q2 Data'!$D$4:$D$207=D187)*('Q2 Data'!$B$4:$B$207="Challan")*('Q2 Data'!$H$4:$H$207=Z187))+SUMPRODUCT(('Q3 Data'!$D$4:$D$207=D187)*('Q3 Data'!$B$4:$B$207="Challan")*('Q3 Data'!$H$4:$H$207=Z187))+SUMPRODUCT(('Q4 Data'!$D$4:$D$207=D187)*('Q4 Data'!$B$4:$B$207="Challan")*('Q4 Data'!$H$4:$H$207=Z187)))=0))</f>
      </c>
    </row>
    <row r="188" spans="1:44" x14ac:dyDescent="0.25">
      <c r="A188" s="20">
        <f>IF($B188="Entry",COUNTIF($B$4:$B188,"Entry"),"")</f>
      </c>
      <c r="B188" s="21"/>
      <c r="C188" s="22"/>
      <c r="D188" s="22"/>
      <c r="E188" s="23">
        <f>IF($B188&lt;&gt;"Challan","",IF(ROUND(AN188-AO188,2)&gt;0,"Over-applied",IF(ROUND(AN188-AO188,2)=0,"Fully Utilised","Unconsumed")))</f>
      </c>
      <c r="F188" s="24"/>
      <c r="G188" s="25"/>
      <c r="H188" s="25"/>
      <c r="I188" s="26"/>
      <c r="J188" s="26"/>
      <c r="K188" s="26"/>
      <c r="L188" s="26"/>
      <c r="M188" s="26"/>
      <c r="N188" s="26"/>
      <c r="O188" s="26"/>
      <c r="P188" s="27">
        <f>IF($B188&lt;&gt;"Challan","",I188+J188+K188+L188+M188+N188)</f>
      </c>
      <c r="Q188" s="25"/>
      <c r="R188" s="25"/>
      <c r="S188" s="25"/>
      <c r="T188" s="25"/>
      <c r="U188" s="25"/>
      <c r="V188" s="28"/>
      <c r="W188" s="28"/>
      <c r="X188" s="23">
        <f>IF($B188="Entry",IF(AND(LEN(TRIM(UPPER(W188)))=10,CODE(MID(TRIM(UPPER(W188)),1,1))&gt;=65,CODE(MID(TRIM(UPPER(W188)),1,1))&lt;=90,CODE(MID(TRIM(UPPER(W188)),2,1))&gt;=65,CODE(MID(TRIM(UPPER(W188)),2,1))&lt;=90,CODE(MID(TRIM(UPPER(W188)),3,1))&gt;=65,CODE(MID(TRIM(UPPER(W188)),3,1))&lt;=90,CODE(MID(TRIM(UPPER(W188)),4,1))&gt;=65,CODE(MID(TRIM(UPPER(W188)),4,1))&lt;=90,CODE(MID(TRIM(UPPER(W188)),5,1))&gt;=65,CODE(MID(TRIM(UPPER(W188)),5,1))&lt;=90,CODE(MID(TRIM(UPPER(W188)),10,1))&gt;=65,CODE(MID(TRIM(UPPER(W188)),10,1))&lt;=90,CODE(MID(TRIM(UPPER(W188)),6,1))&gt;=48,CODE(MID(TRIM(UPPER(W188)),6,1))&lt;=57,CODE(MID(TRIM(UPPER(W188)),7,1))&gt;=48,CODE(MID(TRIM(UPPER(W188)),7,1))&lt;=57,CODE(MID(TRIM(UPPER(W188)),8,1))&gt;=48,CODE(MID(TRIM(UPPER(W188)),8,1))&lt;=57,CODE(MID(TRIM(UPPER(W188)),9,1))&gt;=48,CODE(MID(TRIM(UPPER(W188)),9,1))&lt;=57),"N","Y"),IF($B188="Challan","",IF(W188&lt;&gt;"","◄ Set Row Type","")))</f>
      </c>
      <c r="Y188" s="23">
        <f>IF($B188="Entry",IF(LEN(W188)&lt;4,"",IF(UPPER(MID(W188,4,1))="P","Individual",IF(UPPER(MID(W188,4,1))="H","HUF",IF(UPPER(MID(W188,4,1))="C","Company",IF(UPPER(MID(W188,4,1))="F","Firm",IF(UPPER(MID(W188,4,1))="L","LLP",IF(UPPER(MID(W188,4,1))="T","Trust",IF(UPPER(MID(W188,4,1))="A","AOP","")))))))),IF($B188="Challan","",IF(W188&lt;&gt;"","◄ Set Row Type","")))</f>
      </c>
      <c r="Z188" s="28"/>
      <c r="AA188" s="29">
        <f>IF($B188&lt;&gt;"Entry","",IF(Z188="","",IF(X188="Y",SUMPRODUCT(('Rate Lookup'!$A$1:$A$37=Z188)*'Rate Lookup'!$D$1:$D$37),IF(OR(Y188="Individual",Y188="HUF"),SUMPRODUCT(('Rate Lookup'!$A$1:$A$37=Z188)*'Rate Lookup'!$B$1:$B$37),SUMPRODUCT(('Rate Lookup'!$A$1:$A$37=Z188)*'Rate Lookup'!$C$1:$C$37)))))</f>
      </c>
      <c r="AB188" s="30"/>
      <c r="AC188" s="31"/>
      <c r="AD188" s="27">
        <f>IF($B188&lt;&gt;"Entry","",ROUND(AC188*AA188/100,0))</f>
      </c>
      <c r="AE188" s="27">
        <f>IF($B188&lt;&gt;"Entry","",0)</f>
      </c>
      <c r="AF188" s="27">
        <f>IF($B188&lt;&gt;"Entry","",0)</f>
      </c>
      <c r="AG188" s="27">
        <f>IF($B188&lt;&gt;"Entry","",IF(OR(AD188=0,AB188="",AQ188="",AQ188&lt;=0),0,IF(AQ188&lt;=DATE(YEAR(AB188),MONTH(AB188)+1,7),0,ROUND(AD188*0.015*((YEAR(AQ188)-YEAR(AB188))*12+(MONTH(AQ188)-MONTH(AB188))+1),0))))</f>
      </c>
      <c r="AH188" s="27">
        <f>IF($B188&lt;&gt;"Entry","",0)</f>
      </c>
      <c r="AI188" s="28"/>
      <c r="AJ188" s="28"/>
      <c r="AK188" s="32"/>
      <c r="AL188" s="28"/>
      <c r="AM188" s="28"/>
      <c r="AN188" s="27">
        <f>IF($B188&lt;&gt;"Challan","",SUMIF('Q1 Data'!$D$4:$D$207,D188,'Q1 Data'!$AD$4:$AD$207)+SUMIF('Q1 Data'!$D$4:$D$207,D188,'Q1 Data'!$AG$4:$AG$207)+SUMIF('Q1 Data'!$D$4:$D$207,D188,'Q1 Data'!$AE$4:$AE$207)+SUMIF('Q2 Data'!$D$4:$D$207,D188,'Q2 Data'!$AD$4:$AD$207)+SUMIF('Q2 Data'!$D$4:$D$207,D188,'Q2 Data'!$AG$4:$AG$207)+SUMIF('Q2 Data'!$D$4:$D$207,D188,'Q2 Data'!$AE$4:$AE$207)+SUMIF('Q3 Data'!$D$4:$D$207,D188,'Q3 Data'!$AD$4:$AD$207)+SUMIF('Q3 Data'!$D$4:$D$207,D188,'Q3 Data'!$AG$4:$AG$207)+SUMIF('Q3 Data'!$D$4:$D$207,D188,'Q3 Data'!$AE$4:$AE$207)+SUMIF('Q4 Data'!$D$4:$D$207,D188,'Q4 Data'!$AD$4:$AD$207)+SUMIF('Q4 Data'!$D$4:$D$207,D188,'Q4 Data'!$AG$4:$AG$207)+SUMIF('Q4 Data'!$D$4:$D$207,D188,'Q4 Data'!$AE$4:$AE$207))</f>
      </c>
      <c r="AO188" s="27">
        <f>IF($B188&lt;&gt;"Challan","",P188-N188)</f>
      </c>
      <c r="AP188" s="27">
        <f>IF($B188&lt;&gt;"Challan","",MAX(0,AO188-AN188))</f>
      </c>
      <c r="AQ188" s="33">
        <f>IF($B188&lt;&gt;"Entry","",SUMPRODUCT(('Q1 Data'!$D$4:$D$207=D188)*('Q1 Data'!$B$4:$B$207="Challan")*'Q1 Data'!$F$4:$F$207)+SUMPRODUCT(('Q2 Data'!$D$4:$D$207=D188)*('Q2 Data'!$B$4:$B$207="Challan")*'Q2 Data'!$F$4:$F$207)+SUMPRODUCT(('Q3 Data'!$D$4:$D$207=D188)*('Q3 Data'!$B$4:$B$207="Challan")*'Q3 Data'!$F$4:$F$207)+SUMPRODUCT(('Q4 Data'!$D$4:$D$207=D188)*('Q4 Data'!$B$4:$B$207="Challan")*'Q4 Data'!$F$4:$F$207))</f>
      </c>
      <c r="AR188" s="34">
        <f>IF(OR($B188&lt;&gt;"Entry",Z188=""),FALSE,AND((SUMPRODUCT(('Q1 Data'!$D$4:$D$207=D188)*('Q1 Data'!$B$4:$B$207="Challan")*('Q1 Data'!$H$4:$H$207&lt;&gt;""))+SUMPRODUCT(('Q2 Data'!$D$4:$D$207=D188)*('Q2 Data'!$B$4:$B$207="Challan")*('Q2 Data'!$H$4:$H$207&lt;&gt;""))+SUMPRODUCT(('Q3 Data'!$D$4:$D$207=D188)*('Q3 Data'!$B$4:$B$207="Challan")*('Q3 Data'!$H$4:$H$207&lt;&gt;""))+SUMPRODUCT(('Q4 Data'!$D$4:$D$207=D188)*('Q4 Data'!$B$4:$B$207="Challan")*('Q4 Data'!$H$4:$H$207&lt;&gt;"")))&gt;0,(SUMPRODUCT(('Q1 Data'!$D$4:$D$207=D188)*('Q1 Data'!$B$4:$B$207="Challan")*('Q1 Data'!$H$4:$H$207=Z188))+SUMPRODUCT(('Q2 Data'!$D$4:$D$207=D188)*('Q2 Data'!$B$4:$B$207="Challan")*('Q2 Data'!$H$4:$H$207=Z188))+SUMPRODUCT(('Q3 Data'!$D$4:$D$207=D188)*('Q3 Data'!$B$4:$B$207="Challan")*('Q3 Data'!$H$4:$H$207=Z188))+SUMPRODUCT(('Q4 Data'!$D$4:$D$207=D188)*('Q4 Data'!$B$4:$B$207="Challan")*('Q4 Data'!$H$4:$H$207=Z188)))=0))</f>
      </c>
    </row>
    <row r="189" spans="1:44" x14ac:dyDescent="0.25">
      <c r="A189" s="20">
        <f>IF($B189="Entry",COUNTIF($B$4:$B189,"Entry"),"")</f>
      </c>
      <c r="B189" s="21"/>
      <c r="C189" s="22"/>
      <c r="D189" s="22"/>
      <c r="E189" s="23">
        <f>IF($B189&lt;&gt;"Challan","",IF(ROUND(AN189-AO189,2)&gt;0,"Over-applied",IF(ROUND(AN189-AO189,2)=0,"Fully Utilised","Unconsumed")))</f>
      </c>
      <c r="F189" s="24"/>
      <c r="G189" s="25"/>
      <c r="H189" s="25"/>
      <c r="I189" s="26"/>
      <c r="J189" s="26"/>
      <c r="K189" s="26"/>
      <c r="L189" s="26"/>
      <c r="M189" s="26"/>
      <c r="N189" s="26"/>
      <c r="O189" s="26"/>
      <c r="P189" s="27">
        <f>IF($B189&lt;&gt;"Challan","",I189+J189+K189+L189+M189+N189)</f>
      </c>
      <c r="Q189" s="25"/>
      <c r="R189" s="25"/>
      <c r="S189" s="25"/>
      <c r="T189" s="25"/>
      <c r="U189" s="25"/>
      <c r="V189" s="28"/>
      <c r="W189" s="28"/>
      <c r="X189" s="23">
        <f>IF($B189="Entry",IF(AND(LEN(TRIM(UPPER(W189)))=10,CODE(MID(TRIM(UPPER(W189)),1,1))&gt;=65,CODE(MID(TRIM(UPPER(W189)),1,1))&lt;=90,CODE(MID(TRIM(UPPER(W189)),2,1))&gt;=65,CODE(MID(TRIM(UPPER(W189)),2,1))&lt;=90,CODE(MID(TRIM(UPPER(W189)),3,1))&gt;=65,CODE(MID(TRIM(UPPER(W189)),3,1))&lt;=90,CODE(MID(TRIM(UPPER(W189)),4,1))&gt;=65,CODE(MID(TRIM(UPPER(W189)),4,1))&lt;=90,CODE(MID(TRIM(UPPER(W189)),5,1))&gt;=65,CODE(MID(TRIM(UPPER(W189)),5,1))&lt;=90,CODE(MID(TRIM(UPPER(W189)),10,1))&gt;=65,CODE(MID(TRIM(UPPER(W189)),10,1))&lt;=90,CODE(MID(TRIM(UPPER(W189)),6,1))&gt;=48,CODE(MID(TRIM(UPPER(W189)),6,1))&lt;=57,CODE(MID(TRIM(UPPER(W189)),7,1))&gt;=48,CODE(MID(TRIM(UPPER(W189)),7,1))&lt;=57,CODE(MID(TRIM(UPPER(W189)),8,1))&gt;=48,CODE(MID(TRIM(UPPER(W189)),8,1))&lt;=57,CODE(MID(TRIM(UPPER(W189)),9,1))&gt;=48,CODE(MID(TRIM(UPPER(W189)),9,1))&lt;=57),"N","Y"),IF($B189="Challan","",IF(W189&lt;&gt;"","◄ Set Row Type","")))</f>
      </c>
      <c r="Y189" s="23">
        <f>IF($B189="Entry",IF(LEN(W189)&lt;4,"",IF(UPPER(MID(W189,4,1))="P","Individual",IF(UPPER(MID(W189,4,1))="H","HUF",IF(UPPER(MID(W189,4,1))="C","Company",IF(UPPER(MID(W189,4,1))="F","Firm",IF(UPPER(MID(W189,4,1))="L","LLP",IF(UPPER(MID(W189,4,1))="T","Trust",IF(UPPER(MID(W189,4,1))="A","AOP","")))))))),IF($B189="Challan","",IF(W189&lt;&gt;"","◄ Set Row Type","")))</f>
      </c>
      <c r="Z189" s="28"/>
      <c r="AA189" s="29">
        <f>IF($B189&lt;&gt;"Entry","",IF(Z189="","",IF(X189="Y",SUMPRODUCT(('Rate Lookup'!$A$1:$A$37=Z189)*'Rate Lookup'!$D$1:$D$37),IF(OR(Y189="Individual",Y189="HUF"),SUMPRODUCT(('Rate Lookup'!$A$1:$A$37=Z189)*'Rate Lookup'!$B$1:$B$37),SUMPRODUCT(('Rate Lookup'!$A$1:$A$37=Z189)*'Rate Lookup'!$C$1:$C$37)))))</f>
      </c>
      <c r="AB189" s="30"/>
      <c r="AC189" s="31"/>
      <c r="AD189" s="27">
        <f>IF($B189&lt;&gt;"Entry","",ROUND(AC189*AA189/100,0))</f>
      </c>
      <c r="AE189" s="27">
        <f>IF($B189&lt;&gt;"Entry","",0)</f>
      </c>
      <c r="AF189" s="27">
        <f>IF($B189&lt;&gt;"Entry","",0)</f>
      </c>
      <c r="AG189" s="27">
        <f>IF($B189&lt;&gt;"Entry","",IF(OR(AD189=0,AB189="",AQ189="",AQ189&lt;=0),0,IF(AQ189&lt;=DATE(YEAR(AB189),MONTH(AB189)+1,7),0,ROUND(AD189*0.015*((YEAR(AQ189)-YEAR(AB189))*12+(MONTH(AQ189)-MONTH(AB189))+1),0))))</f>
      </c>
      <c r="AH189" s="27">
        <f>IF($B189&lt;&gt;"Entry","",0)</f>
      </c>
      <c r="AI189" s="28"/>
      <c r="AJ189" s="28"/>
      <c r="AK189" s="32"/>
      <c r="AL189" s="28"/>
      <c r="AM189" s="28"/>
      <c r="AN189" s="27">
        <f>IF($B189&lt;&gt;"Challan","",SUMIF('Q1 Data'!$D$4:$D$207,D189,'Q1 Data'!$AD$4:$AD$207)+SUMIF('Q1 Data'!$D$4:$D$207,D189,'Q1 Data'!$AG$4:$AG$207)+SUMIF('Q1 Data'!$D$4:$D$207,D189,'Q1 Data'!$AE$4:$AE$207)+SUMIF('Q2 Data'!$D$4:$D$207,D189,'Q2 Data'!$AD$4:$AD$207)+SUMIF('Q2 Data'!$D$4:$D$207,D189,'Q2 Data'!$AG$4:$AG$207)+SUMIF('Q2 Data'!$D$4:$D$207,D189,'Q2 Data'!$AE$4:$AE$207)+SUMIF('Q3 Data'!$D$4:$D$207,D189,'Q3 Data'!$AD$4:$AD$207)+SUMIF('Q3 Data'!$D$4:$D$207,D189,'Q3 Data'!$AG$4:$AG$207)+SUMIF('Q3 Data'!$D$4:$D$207,D189,'Q3 Data'!$AE$4:$AE$207)+SUMIF('Q4 Data'!$D$4:$D$207,D189,'Q4 Data'!$AD$4:$AD$207)+SUMIF('Q4 Data'!$D$4:$D$207,D189,'Q4 Data'!$AG$4:$AG$207)+SUMIF('Q4 Data'!$D$4:$D$207,D189,'Q4 Data'!$AE$4:$AE$207))</f>
      </c>
      <c r="AO189" s="27">
        <f>IF($B189&lt;&gt;"Challan","",P189-N189)</f>
      </c>
      <c r="AP189" s="27">
        <f>IF($B189&lt;&gt;"Challan","",MAX(0,AO189-AN189))</f>
      </c>
      <c r="AQ189" s="33">
        <f>IF($B189&lt;&gt;"Entry","",SUMPRODUCT(('Q1 Data'!$D$4:$D$207=D189)*('Q1 Data'!$B$4:$B$207="Challan")*'Q1 Data'!$F$4:$F$207)+SUMPRODUCT(('Q2 Data'!$D$4:$D$207=D189)*('Q2 Data'!$B$4:$B$207="Challan")*'Q2 Data'!$F$4:$F$207)+SUMPRODUCT(('Q3 Data'!$D$4:$D$207=D189)*('Q3 Data'!$B$4:$B$207="Challan")*'Q3 Data'!$F$4:$F$207)+SUMPRODUCT(('Q4 Data'!$D$4:$D$207=D189)*('Q4 Data'!$B$4:$B$207="Challan")*'Q4 Data'!$F$4:$F$207))</f>
      </c>
      <c r="AR189" s="34">
        <f>IF(OR($B189&lt;&gt;"Entry",Z189=""),FALSE,AND((SUMPRODUCT(('Q1 Data'!$D$4:$D$207=D189)*('Q1 Data'!$B$4:$B$207="Challan")*('Q1 Data'!$H$4:$H$207&lt;&gt;""))+SUMPRODUCT(('Q2 Data'!$D$4:$D$207=D189)*('Q2 Data'!$B$4:$B$207="Challan")*('Q2 Data'!$H$4:$H$207&lt;&gt;""))+SUMPRODUCT(('Q3 Data'!$D$4:$D$207=D189)*('Q3 Data'!$B$4:$B$207="Challan")*('Q3 Data'!$H$4:$H$207&lt;&gt;""))+SUMPRODUCT(('Q4 Data'!$D$4:$D$207=D189)*('Q4 Data'!$B$4:$B$207="Challan")*('Q4 Data'!$H$4:$H$207&lt;&gt;"")))&gt;0,(SUMPRODUCT(('Q1 Data'!$D$4:$D$207=D189)*('Q1 Data'!$B$4:$B$207="Challan")*('Q1 Data'!$H$4:$H$207=Z189))+SUMPRODUCT(('Q2 Data'!$D$4:$D$207=D189)*('Q2 Data'!$B$4:$B$207="Challan")*('Q2 Data'!$H$4:$H$207=Z189))+SUMPRODUCT(('Q3 Data'!$D$4:$D$207=D189)*('Q3 Data'!$B$4:$B$207="Challan")*('Q3 Data'!$H$4:$H$207=Z189))+SUMPRODUCT(('Q4 Data'!$D$4:$D$207=D189)*('Q4 Data'!$B$4:$B$207="Challan")*('Q4 Data'!$H$4:$H$207=Z189)))=0))</f>
      </c>
    </row>
    <row r="190" spans="1:44" x14ac:dyDescent="0.25">
      <c r="A190" s="20">
        <f>IF($B190="Entry",COUNTIF($B$4:$B190,"Entry"),"")</f>
      </c>
      <c r="B190" s="21"/>
      <c r="C190" s="22"/>
      <c r="D190" s="22"/>
      <c r="E190" s="23">
        <f>IF($B190&lt;&gt;"Challan","",IF(ROUND(AN190-AO190,2)&gt;0,"Over-applied",IF(ROUND(AN190-AO190,2)=0,"Fully Utilised","Unconsumed")))</f>
      </c>
      <c r="F190" s="24"/>
      <c r="G190" s="25"/>
      <c r="H190" s="25"/>
      <c r="I190" s="26"/>
      <c r="J190" s="26"/>
      <c r="K190" s="26"/>
      <c r="L190" s="26"/>
      <c r="M190" s="26"/>
      <c r="N190" s="26"/>
      <c r="O190" s="26"/>
      <c r="P190" s="27">
        <f>IF($B190&lt;&gt;"Challan","",I190+J190+K190+L190+M190+N190)</f>
      </c>
      <c r="Q190" s="25"/>
      <c r="R190" s="25"/>
      <c r="S190" s="25"/>
      <c r="T190" s="25"/>
      <c r="U190" s="25"/>
      <c r="V190" s="28"/>
      <c r="W190" s="28"/>
      <c r="X190" s="23">
        <f>IF($B190="Entry",IF(AND(LEN(TRIM(UPPER(W190)))=10,CODE(MID(TRIM(UPPER(W190)),1,1))&gt;=65,CODE(MID(TRIM(UPPER(W190)),1,1))&lt;=90,CODE(MID(TRIM(UPPER(W190)),2,1))&gt;=65,CODE(MID(TRIM(UPPER(W190)),2,1))&lt;=90,CODE(MID(TRIM(UPPER(W190)),3,1))&gt;=65,CODE(MID(TRIM(UPPER(W190)),3,1))&lt;=90,CODE(MID(TRIM(UPPER(W190)),4,1))&gt;=65,CODE(MID(TRIM(UPPER(W190)),4,1))&lt;=90,CODE(MID(TRIM(UPPER(W190)),5,1))&gt;=65,CODE(MID(TRIM(UPPER(W190)),5,1))&lt;=90,CODE(MID(TRIM(UPPER(W190)),10,1))&gt;=65,CODE(MID(TRIM(UPPER(W190)),10,1))&lt;=90,CODE(MID(TRIM(UPPER(W190)),6,1))&gt;=48,CODE(MID(TRIM(UPPER(W190)),6,1))&lt;=57,CODE(MID(TRIM(UPPER(W190)),7,1))&gt;=48,CODE(MID(TRIM(UPPER(W190)),7,1))&lt;=57,CODE(MID(TRIM(UPPER(W190)),8,1))&gt;=48,CODE(MID(TRIM(UPPER(W190)),8,1))&lt;=57,CODE(MID(TRIM(UPPER(W190)),9,1))&gt;=48,CODE(MID(TRIM(UPPER(W190)),9,1))&lt;=57),"N","Y"),IF($B190="Challan","",IF(W190&lt;&gt;"","◄ Set Row Type","")))</f>
      </c>
      <c r="Y190" s="23">
        <f>IF($B190="Entry",IF(LEN(W190)&lt;4,"",IF(UPPER(MID(W190,4,1))="P","Individual",IF(UPPER(MID(W190,4,1))="H","HUF",IF(UPPER(MID(W190,4,1))="C","Company",IF(UPPER(MID(W190,4,1))="F","Firm",IF(UPPER(MID(W190,4,1))="L","LLP",IF(UPPER(MID(W190,4,1))="T","Trust",IF(UPPER(MID(W190,4,1))="A","AOP","")))))))),IF($B190="Challan","",IF(W190&lt;&gt;"","◄ Set Row Type","")))</f>
      </c>
      <c r="Z190" s="28"/>
      <c r="AA190" s="29">
        <f>IF($B190&lt;&gt;"Entry","",IF(Z190="","",IF(X190="Y",SUMPRODUCT(('Rate Lookup'!$A$1:$A$37=Z190)*'Rate Lookup'!$D$1:$D$37),IF(OR(Y190="Individual",Y190="HUF"),SUMPRODUCT(('Rate Lookup'!$A$1:$A$37=Z190)*'Rate Lookup'!$B$1:$B$37),SUMPRODUCT(('Rate Lookup'!$A$1:$A$37=Z190)*'Rate Lookup'!$C$1:$C$37)))))</f>
      </c>
      <c r="AB190" s="30"/>
      <c r="AC190" s="31"/>
      <c r="AD190" s="27">
        <f>IF($B190&lt;&gt;"Entry","",ROUND(AC190*AA190/100,0))</f>
      </c>
      <c r="AE190" s="27">
        <f>IF($B190&lt;&gt;"Entry","",0)</f>
      </c>
      <c r="AF190" s="27">
        <f>IF($B190&lt;&gt;"Entry","",0)</f>
      </c>
      <c r="AG190" s="27">
        <f>IF($B190&lt;&gt;"Entry","",IF(OR(AD190=0,AB190="",AQ190="",AQ190&lt;=0),0,IF(AQ190&lt;=DATE(YEAR(AB190),MONTH(AB190)+1,7),0,ROUND(AD190*0.015*((YEAR(AQ190)-YEAR(AB190))*12+(MONTH(AQ190)-MONTH(AB190))+1),0))))</f>
      </c>
      <c r="AH190" s="27">
        <f>IF($B190&lt;&gt;"Entry","",0)</f>
      </c>
      <c r="AI190" s="28"/>
      <c r="AJ190" s="28"/>
      <c r="AK190" s="32"/>
      <c r="AL190" s="28"/>
      <c r="AM190" s="28"/>
      <c r="AN190" s="27">
        <f>IF($B190&lt;&gt;"Challan","",SUMIF('Q1 Data'!$D$4:$D$207,D190,'Q1 Data'!$AD$4:$AD$207)+SUMIF('Q1 Data'!$D$4:$D$207,D190,'Q1 Data'!$AG$4:$AG$207)+SUMIF('Q1 Data'!$D$4:$D$207,D190,'Q1 Data'!$AE$4:$AE$207)+SUMIF('Q2 Data'!$D$4:$D$207,D190,'Q2 Data'!$AD$4:$AD$207)+SUMIF('Q2 Data'!$D$4:$D$207,D190,'Q2 Data'!$AG$4:$AG$207)+SUMIF('Q2 Data'!$D$4:$D$207,D190,'Q2 Data'!$AE$4:$AE$207)+SUMIF('Q3 Data'!$D$4:$D$207,D190,'Q3 Data'!$AD$4:$AD$207)+SUMIF('Q3 Data'!$D$4:$D$207,D190,'Q3 Data'!$AG$4:$AG$207)+SUMIF('Q3 Data'!$D$4:$D$207,D190,'Q3 Data'!$AE$4:$AE$207)+SUMIF('Q4 Data'!$D$4:$D$207,D190,'Q4 Data'!$AD$4:$AD$207)+SUMIF('Q4 Data'!$D$4:$D$207,D190,'Q4 Data'!$AG$4:$AG$207)+SUMIF('Q4 Data'!$D$4:$D$207,D190,'Q4 Data'!$AE$4:$AE$207))</f>
      </c>
      <c r="AO190" s="27">
        <f>IF($B190&lt;&gt;"Challan","",P190-N190)</f>
      </c>
      <c r="AP190" s="27">
        <f>IF($B190&lt;&gt;"Challan","",MAX(0,AO190-AN190))</f>
      </c>
      <c r="AQ190" s="33">
        <f>IF($B190&lt;&gt;"Entry","",SUMPRODUCT(('Q1 Data'!$D$4:$D$207=D190)*('Q1 Data'!$B$4:$B$207="Challan")*'Q1 Data'!$F$4:$F$207)+SUMPRODUCT(('Q2 Data'!$D$4:$D$207=D190)*('Q2 Data'!$B$4:$B$207="Challan")*'Q2 Data'!$F$4:$F$207)+SUMPRODUCT(('Q3 Data'!$D$4:$D$207=D190)*('Q3 Data'!$B$4:$B$207="Challan")*'Q3 Data'!$F$4:$F$207)+SUMPRODUCT(('Q4 Data'!$D$4:$D$207=D190)*('Q4 Data'!$B$4:$B$207="Challan")*'Q4 Data'!$F$4:$F$207))</f>
      </c>
      <c r="AR190" s="34">
        <f>IF(OR($B190&lt;&gt;"Entry",Z190=""),FALSE,AND((SUMPRODUCT(('Q1 Data'!$D$4:$D$207=D190)*('Q1 Data'!$B$4:$B$207="Challan")*('Q1 Data'!$H$4:$H$207&lt;&gt;""))+SUMPRODUCT(('Q2 Data'!$D$4:$D$207=D190)*('Q2 Data'!$B$4:$B$207="Challan")*('Q2 Data'!$H$4:$H$207&lt;&gt;""))+SUMPRODUCT(('Q3 Data'!$D$4:$D$207=D190)*('Q3 Data'!$B$4:$B$207="Challan")*('Q3 Data'!$H$4:$H$207&lt;&gt;""))+SUMPRODUCT(('Q4 Data'!$D$4:$D$207=D190)*('Q4 Data'!$B$4:$B$207="Challan")*('Q4 Data'!$H$4:$H$207&lt;&gt;"")))&gt;0,(SUMPRODUCT(('Q1 Data'!$D$4:$D$207=D190)*('Q1 Data'!$B$4:$B$207="Challan")*('Q1 Data'!$H$4:$H$207=Z190))+SUMPRODUCT(('Q2 Data'!$D$4:$D$207=D190)*('Q2 Data'!$B$4:$B$207="Challan")*('Q2 Data'!$H$4:$H$207=Z190))+SUMPRODUCT(('Q3 Data'!$D$4:$D$207=D190)*('Q3 Data'!$B$4:$B$207="Challan")*('Q3 Data'!$H$4:$H$207=Z190))+SUMPRODUCT(('Q4 Data'!$D$4:$D$207=D190)*('Q4 Data'!$B$4:$B$207="Challan")*('Q4 Data'!$H$4:$H$207=Z190)))=0))</f>
      </c>
    </row>
    <row r="191" spans="1:44" x14ac:dyDescent="0.25">
      <c r="A191" s="20">
        <f>IF($B191="Entry",COUNTIF($B$4:$B191,"Entry"),"")</f>
      </c>
      <c r="B191" s="21"/>
      <c r="C191" s="22"/>
      <c r="D191" s="22"/>
      <c r="E191" s="23">
        <f>IF($B191&lt;&gt;"Challan","",IF(ROUND(AN191-AO191,2)&gt;0,"Over-applied",IF(ROUND(AN191-AO191,2)=0,"Fully Utilised","Unconsumed")))</f>
      </c>
      <c r="F191" s="24"/>
      <c r="G191" s="25"/>
      <c r="H191" s="25"/>
      <c r="I191" s="26"/>
      <c r="J191" s="26"/>
      <c r="K191" s="26"/>
      <c r="L191" s="26"/>
      <c r="M191" s="26"/>
      <c r="N191" s="26"/>
      <c r="O191" s="26"/>
      <c r="P191" s="27">
        <f>IF($B191&lt;&gt;"Challan","",I191+J191+K191+L191+M191+N191)</f>
      </c>
      <c r="Q191" s="25"/>
      <c r="R191" s="25"/>
      <c r="S191" s="25"/>
      <c r="T191" s="25"/>
      <c r="U191" s="25"/>
      <c r="V191" s="28"/>
      <c r="W191" s="28"/>
      <c r="X191" s="23">
        <f>IF($B191="Entry",IF(AND(LEN(TRIM(UPPER(W191)))=10,CODE(MID(TRIM(UPPER(W191)),1,1))&gt;=65,CODE(MID(TRIM(UPPER(W191)),1,1))&lt;=90,CODE(MID(TRIM(UPPER(W191)),2,1))&gt;=65,CODE(MID(TRIM(UPPER(W191)),2,1))&lt;=90,CODE(MID(TRIM(UPPER(W191)),3,1))&gt;=65,CODE(MID(TRIM(UPPER(W191)),3,1))&lt;=90,CODE(MID(TRIM(UPPER(W191)),4,1))&gt;=65,CODE(MID(TRIM(UPPER(W191)),4,1))&lt;=90,CODE(MID(TRIM(UPPER(W191)),5,1))&gt;=65,CODE(MID(TRIM(UPPER(W191)),5,1))&lt;=90,CODE(MID(TRIM(UPPER(W191)),10,1))&gt;=65,CODE(MID(TRIM(UPPER(W191)),10,1))&lt;=90,CODE(MID(TRIM(UPPER(W191)),6,1))&gt;=48,CODE(MID(TRIM(UPPER(W191)),6,1))&lt;=57,CODE(MID(TRIM(UPPER(W191)),7,1))&gt;=48,CODE(MID(TRIM(UPPER(W191)),7,1))&lt;=57,CODE(MID(TRIM(UPPER(W191)),8,1))&gt;=48,CODE(MID(TRIM(UPPER(W191)),8,1))&lt;=57,CODE(MID(TRIM(UPPER(W191)),9,1))&gt;=48,CODE(MID(TRIM(UPPER(W191)),9,1))&lt;=57),"N","Y"),IF($B191="Challan","",IF(W191&lt;&gt;"","◄ Set Row Type","")))</f>
      </c>
      <c r="Y191" s="23">
        <f>IF($B191="Entry",IF(LEN(W191)&lt;4,"",IF(UPPER(MID(W191,4,1))="P","Individual",IF(UPPER(MID(W191,4,1))="H","HUF",IF(UPPER(MID(W191,4,1))="C","Company",IF(UPPER(MID(W191,4,1))="F","Firm",IF(UPPER(MID(W191,4,1))="L","LLP",IF(UPPER(MID(W191,4,1))="T","Trust",IF(UPPER(MID(W191,4,1))="A","AOP","")))))))),IF($B191="Challan","",IF(W191&lt;&gt;"","◄ Set Row Type","")))</f>
      </c>
      <c r="Z191" s="28"/>
      <c r="AA191" s="29">
        <f>IF($B191&lt;&gt;"Entry","",IF(Z191="","",IF(X191="Y",SUMPRODUCT(('Rate Lookup'!$A$1:$A$37=Z191)*'Rate Lookup'!$D$1:$D$37),IF(OR(Y191="Individual",Y191="HUF"),SUMPRODUCT(('Rate Lookup'!$A$1:$A$37=Z191)*'Rate Lookup'!$B$1:$B$37),SUMPRODUCT(('Rate Lookup'!$A$1:$A$37=Z191)*'Rate Lookup'!$C$1:$C$37)))))</f>
      </c>
      <c r="AB191" s="30"/>
      <c r="AC191" s="31"/>
      <c r="AD191" s="27">
        <f>IF($B191&lt;&gt;"Entry","",ROUND(AC191*AA191/100,0))</f>
      </c>
      <c r="AE191" s="27">
        <f>IF($B191&lt;&gt;"Entry","",0)</f>
      </c>
      <c r="AF191" s="27">
        <f>IF($B191&lt;&gt;"Entry","",0)</f>
      </c>
      <c r="AG191" s="27">
        <f>IF($B191&lt;&gt;"Entry","",IF(OR(AD191=0,AB191="",AQ191="",AQ191&lt;=0),0,IF(AQ191&lt;=DATE(YEAR(AB191),MONTH(AB191)+1,7),0,ROUND(AD191*0.015*((YEAR(AQ191)-YEAR(AB191))*12+(MONTH(AQ191)-MONTH(AB191))+1),0))))</f>
      </c>
      <c r="AH191" s="27">
        <f>IF($B191&lt;&gt;"Entry","",0)</f>
      </c>
      <c r="AI191" s="28"/>
      <c r="AJ191" s="28"/>
      <c r="AK191" s="32"/>
      <c r="AL191" s="28"/>
      <c r="AM191" s="28"/>
      <c r="AN191" s="27">
        <f>IF($B191&lt;&gt;"Challan","",SUMIF('Q1 Data'!$D$4:$D$207,D191,'Q1 Data'!$AD$4:$AD$207)+SUMIF('Q1 Data'!$D$4:$D$207,D191,'Q1 Data'!$AG$4:$AG$207)+SUMIF('Q1 Data'!$D$4:$D$207,D191,'Q1 Data'!$AE$4:$AE$207)+SUMIF('Q2 Data'!$D$4:$D$207,D191,'Q2 Data'!$AD$4:$AD$207)+SUMIF('Q2 Data'!$D$4:$D$207,D191,'Q2 Data'!$AG$4:$AG$207)+SUMIF('Q2 Data'!$D$4:$D$207,D191,'Q2 Data'!$AE$4:$AE$207)+SUMIF('Q3 Data'!$D$4:$D$207,D191,'Q3 Data'!$AD$4:$AD$207)+SUMIF('Q3 Data'!$D$4:$D$207,D191,'Q3 Data'!$AG$4:$AG$207)+SUMIF('Q3 Data'!$D$4:$D$207,D191,'Q3 Data'!$AE$4:$AE$207)+SUMIF('Q4 Data'!$D$4:$D$207,D191,'Q4 Data'!$AD$4:$AD$207)+SUMIF('Q4 Data'!$D$4:$D$207,D191,'Q4 Data'!$AG$4:$AG$207)+SUMIF('Q4 Data'!$D$4:$D$207,D191,'Q4 Data'!$AE$4:$AE$207))</f>
      </c>
      <c r="AO191" s="27">
        <f>IF($B191&lt;&gt;"Challan","",P191-N191)</f>
      </c>
      <c r="AP191" s="27">
        <f>IF($B191&lt;&gt;"Challan","",MAX(0,AO191-AN191))</f>
      </c>
      <c r="AQ191" s="33">
        <f>IF($B191&lt;&gt;"Entry","",SUMPRODUCT(('Q1 Data'!$D$4:$D$207=D191)*('Q1 Data'!$B$4:$B$207="Challan")*'Q1 Data'!$F$4:$F$207)+SUMPRODUCT(('Q2 Data'!$D$4:$D$207=D191)*('Q2 Data'!$B$4:$B$207="Challan")*'Q2 Data'!$F$4:$F$207)+SUMPRODUCT(('Q3 Data'!$D$4:$D$207=D191)*('Q3 Data'!$B$4:$B$207="Challan")*'Q3 Data'!$F$4:$F$207)+SUMPRODUCT(('Q4 Data'!$D$4:$D$207=D191)*('Q4 Data'!$B$4:$B$207="Challan")*'Q4 Data'!$F$4:$F$207))</f>
      </c>
      <c r="AR191" s="34">
        <f>IF(OR($B191&lt;&gt;"Entry",Z191=""),FALSE,AND((SUMPRODUCT(('Q1 Data'!$D$4:$D$207=D191)*('Q1 Data'!$B$4:$B$207="Challan")*('Q1 Data'!$H$4:$H$207&lt;&gt;""))+SUMPRODUCT(('Q2 Data'!$D$4:$D$207=D191)*('Q2 Data'!$B$4:$B$207="Challan")*('Q2 Data'!$H$4:$H$207&lt;&gt;""))+SUMPRODUCT(('Q3 Data'!$D$4:$D$207=D191)*('Q3 Data'!$B$4:$B$207="Challan")*('Q3 Data'!$H$4:$H$207&lt;&gt;""))+SUMPRODUCT(('Q4 Data'!$D$4:$D$207=D191)*('Q4 Data'!$B$4:$B$207="Challan")*('Q4 Data'!$H$4:$H$207&lt;&gt;"")))&gt;0,(SUMPRODUCT(('Q1 Data'!$D$4:$D$207=D191)*('Q1 Data'!$B$4:$B$207="Challan")*('Q1 Data'!$H$4:$H$207=Z191))+SUMPRODUCT(('Q2 Data'!$D$4:$D$207=D191)*('Q2 Data'!$B$4:$B$207="Challan")*('Q2 Data'!$H$4:$H$207=Z191))+SUMPRODUCT(('Q3 Data'!$D$4:$D$207=D191)*('Q3 Data'!$B$4:$B$207="Challan")*('Q3 Data'!$H$4:$H$207=Z191))+SUMPRODUCT(('Q4 Data'!$D$4:$D$207=D191)*('Q4 Data'!$B$4:$B$207="Challan")*('Q4 Data'!$H$4:$H$207=Z191)))=0))</f>
      </c>
    </row>
    <row r="192" spans="1:44" x14ac:dyDescent="0.25">
      <c r="A192" s="20">
        <f>IF($B192="Entry",COUNTIF($B$4:$B192,"Entry"),"")</f>
      </c>
      <c r="B192" s="21"/>
      <c r="C192" s="22"/>
      <c r="D192" s="22"/>
      <c r="E192" s="23">
        <f>IF($B192&lt;&gt;"Challan","",IF(ROUND(AN192-AO192,2)&gt;0,"Over-applied",IF(ROUND(AN192-AO192,2)=0,"Fully Utilised","Unconsumed")))</f>
      </c>
      <c r="F192" s="24"/>
      <c r="G192" s="25"/>
      <c r="H192" s="25"/>
      <c r="I192" s="26"/>
      <c r="J192" s="26"/>
      <c r="K192" s="26"/>
      <c r="L192" s="26"/>
      <c r="M192" s="26"/>
      <c r="N192" s="26"/>
      <c r="O192" s="26"/>
      <c r="P192" s="27">
        <f>IF($B192&lt;&gt;"Challan","",I192+J192+K192+L192+M192+N192)</f>
      </c>
      <c r="Q192" s="25"/>
      <c r="R192" s="25"/>
      <c r="S192" s="25"/>
      <c r="T192" s="25"/>
      <c r="U192" s="25"/>
      <c r="V192" s="28"/>
      <c r="W192" s="28"/>
      <c r="X192" s="23">
        <f>IF($B192="Entry",IF(AND(LEN(TRIM(UPPER(W192)))=10,CODE(MID(TRIM(UPPER(W192)),1,1))&gt;=65,CODE(MID(TRIM(UPPER(W192)),1,1))&lt;=90,CODE(MID(TRIM(UPPER(W192)),2,1))&gt;=65,CODE(MID(TRIM(UPPER(W192)),2,1))&lt;=90,CODE(MID(TRIM(UPPER(W192)),3,1))&gt;=65,CODE(MID(TRIM(UPPER(W192)),3,1))&lt;=90,CODE(MID(TRIM(UPPER(W192)),4,1))&gt;=65,CODE(MID(TRIM(UPPER(W192)),4,1))&lt;=90,CODE(MID(TRIM(UPPER(W192)),5,1))&gt;=65,CODE(MID(TRIM(UPPER(W192)),5,1))&lt;=90,CODE(MID(TRIM(UPPER(W192)),10,1))&gt;=65,CODE(MID(TRIM(UPPER(W192)),10,1))&lt;=90,CODE(MID(TRIM(UPPER(W192)),6,1))&gt;=48,CODE(MID(TRIM(UPPER(W192)),6,1))&lt;=57,CODE(MID(TRIM(UPPER(W192)),7,1))&gt;=48,CODE(MID(TRIM(UPPER(W192)),7,1))&lt;=57,CODE(MID(TRIM(UPPER(W192)),8,1))&gt;=48,CODE(MID(TRIM(UPPER(W192)),8,1))&lt;=57,CODE(MID(TRIM(UPPER(W192)),9,1))&gt;=48,CODE(MID(TRIM(UPPER(W192)),9,1))&lt;=57),"N","Y"),IF($B192="Challan","",IF(W192&lt;&gt;"","◄ Set Row Type","")))</f>
      </c>
      <c r="Y192" s="23">
        <f>IF($B192="Entry",IF(LEN(W192)&lt;4,"",IF(UPPER(MID(W192,4,1))="P","Individual",IF(UPPER(MID(W192,4,1))="H","HUF",IF(UPPER(MID(W192,4,1))="C","Company",IF(UPPER(MID(W192,4,1))="F","Firm",IF(UPPER(MID(W192,4,1))="L","LLP",IF(UPPER(MID(W192,4,1))="T","Trust",IF(UPPER(MID(W192,4,1))="A","AOP","")))))))),IF($B192="Challan","",IF(W192&lt;&gt;"","◄ Set Row Type","")))</f>
      </c>
      <c r="Z192" s="28"/>
      <c r="AA192" s="29">
        <f>IF($B192&lt;&gt;"Entry","",IF(Z192="","",IF(X192="Y",SUMPRODUCT(('Rate Lookup'!$A$1:$A$37=Z192)*'Rate Lookup'!$D$1:$D$37),IF(OR(Y192="Individual",Y192="HUF"),SUMPRODUCT(('Rate Lookup'!$A$1:$A$37=Z192)*'Rate Lookup'!$B$1:$B$37),SUMPRODUCT(('Rate Lookup'!$A$1:$A$37=Z192)*'Rate Lookup'!$C$1:$C$37)))))</f>
      </c>
      <c r="AB192" s="30"/>
      <c r="AC192" s="31"/>
      <c r="AD192" s="27">
        <f>IF($B192&lt;&gt;"Entry","",ROUND(AC192*AA192/100,0))</f>
      </c>
      <c r="AE192" s="27">
        <f>IF($B192&lt;&gt;"Entry","",0)</f>
      </c>
      <c r="AF192" s="27">
        <f>IF($B192&lt;&gt;"Entry","",0)</f>
      </c>
      <c r="AG192" s="27">
        <f>IF($B192&lt;&gt;"Entry","",IF(OR(AD192=0,AB192="",AQ192="",AQ192&lt;=0),0,IF(AQ192&lt;=DATE(YEAR(AB192),MONTH(AB192)+1,7),0,ROUND(AD192*0.015*((YEAR(AQ192)-YEAR(AB192))*12+(MONTH(AQ192)-MONTH(AB192))+1),0))))</f>
      </c>
      <c r="AH192" s="27">
        <f>IF($B192&lt;&gt;"Entry","",0)</f>
      </c>
      <c r="AI192" s="28"/>
      <c r="AJ192" s="28"/>
      <c r="AK192" s="32"/>
      <c r="AL192" s="28"/>
      <c r="AM192" s="28"/>
      <c r="AN192" s="27">
        <f>IF($B192&lt;&gt;"Challan","",SUMIF('Q1 Data'!$D$4:$D$207,D192,'Q1 Data'!$AD$4:$AD$207)+SUMIF('Q1 Data'!$D$4:$D$207,D192,'Q1 Data'!$AG$4:$AG$207)+SUMIF('Q1 Data'!$D$4:$D$207,D192,'Q1 Data'!$AE$4:$AE$207)+SUMIF('Q2 Data'!$D$4:$D$207,D192,'Q2 Data'!$AD$4:$AD$207)+SUMIF('Q2 Data'!$D$4:$D$207,D192,'Q2 Data'!$AG$4:$AG$207)+SUMIF('Q2 Data'!$D$4:$D$207,D192,'Q2 Data'!$AE$4:$AE$207)+SUMIF('Q3 Data'!$D$4:$D$207,D192,'Q3 Data'!$AD$4:$AD$207)+SUMIF('Q3 Data'!$D$4:$D$207,D192,'Q3 Data'!$AG$4:$AG$207)+SUMIF('Q3 Data'!$D$4:$D$207,D192,'Q3 Data'!$AE$4:$AE$207)+SUMIF('Q4 Data'!$D$4:$D$207,D192,'Q4 Data'!$AD$4:$AD$207)+SUMIF('Q4 Data'!$D$4:$D$207,D192,'Q4 Data'!$AG$4:$AG$207)+SUMIF('Q4 Data'!$D$4:$D$207,D192,'Q4 Data'!$AE$4:$AE$207))</f>
      </c>
      <c r="AO192" s="27">
        <f>IF($B192&lt;&gt;"Challan","",P192-N192)</f>
      </c>
      <c r="AP192" s="27">
        <f>IF($B192&lt;&gt;"Challan","",MAX(0,AO192-AN192))</f>
      </c>
      <c r="AQ192" s="33">
        <f>IF($B192&lt;&gt;"Entry","",SUMPRODUCT(('Q1 Data'!$D$4:$D$207=D192)*('Q1 Data'!$B$4:$B$207="Challan")*'Q1 Data'!$F$4:$F$207)+SUMPRODUCT(('Q2 Data'!$D$4:$D$207=D192)*('Q2 Data'!$B$4:$B$207="Challan")*'Q2 Data'!$F$4:$F$207)+SUMPRODUCT(('Q3 Data'!$D$4:$D$207=D192)*('Q3 Data'!$B$4:$B$207="Challan")*'Q3 Data'!$F$4:$F$207)+SUMPRODUCT(('Q4 Data'!$D$4:$D$207=D192)*('Q4 Data'!$B$4:$B$207="Challan")*'Q4 Data'!$F$4:$F$207))</f>
      </c>
      <c r="AR192" s="34">
        <f>IF(OR($B192&lt;&gt;"Entry",Z192=""),FALSE,AND((SUMPRODUCT(('Q1 Data'!$D$4:$D$207=D192)*('Q1 Data'!$B$4:$B$207="Challan")*('Q1 Data'!$H$4:$H$207&lt;&gt;""))+SUMPRODUCT(('Q2 Data'!$D$4:$D$207=D192)*('Q2 Data'!$B$4:$B$207="Challan")*('Q2 Data'!$H$4:$H$207&lt;&gt;""))+SUMPRODUCT(('Q3 Data'!$D$4:$D$207=D192)*('Q3 Data'!$B$4:$B$207="Challan")*('Q3 Data'!$H$4:$H$207&lt;&gt;""))+SUMPRODUCT(('Q4 Data'!$D$4:$D$207=D192)*('Q4 Data'!$B$4:$B$207="Challan")*('Q4 Data'!$H$4:$H$207&lt;&gt;"")))&gt;0,(SUMPRODUCT(('Q1 Data'!$D$4:$D$207=D192)*('Q1 Data'!$B$4:$B$207="Challan")*('Q1 Data'!$H$4:$H$207=Z192))+SUMPRODUCT(('Q2 Data'!$D$4:$D$207=D192)*('Q2 Data'!$B$4:$B$207="Challan")*('Q2 Data'!$H$4:$H$207=Z192))+SUMPRODUCT(('Q3 Data'!$D$4:$D$207=D192)*('Q3 Data'!$B$4:$B$207="Challan")*('Q3 Data'!$H$4:$H$207=Z192))+SUMPRODUCT(('Q4 Data'!$D$4:$D$207=D192)*('Q4 Data'!$B$4:$B$207="Challan")*('Q4 Data'!$H$4:$H$207=Z192)))=0))</f>
      </c>
    </row>
    <row r="193" spans="1:44" x14ac:dyDescent="0.25">
      <c r="A193" s="20">
        <f>IF($B193="Entry",COUNTIF($B$4:$B193,"Entry"),"")</f>
      </c>
      <c r="B193" s="21"/>
      <c r="C193" s="22"/>
      <c r="D193" s="22"/>
      <c r="E193" s="23">
        <f>IF($B193&lt;&gt;"Challan","",IF(ROUND(AN193-AO193,2)&gt;0,"Over-applied",IF(ROUND(AN193-AO193,2)=0,"Fully Utilised","Unconsumed")))</f>
      </c>
      <c r="F193" s="24"/>
      <c r="G193" s="25"/>
      <c r="H193" s="25"/>
      <c r="I193" s="26"/>
      <c r="J193" s="26"/>
      <c r="K193" s="26"/>
      <c r="L193" s="26"/>
      <c r="M193" s="26"/>
      <c r="N193" s="26"/>
      <c r="O193" s="26"/>
      <c r="P193" s="27">
        <f>IF($B193&lt;&gt;"Challan","",I193+J193+K193+L193+M193+N193)</f>
      </c>
      <c r="Q193" s="25"/>
      <c r="R193" s="25"/>
      <c r="S193" s="25"/>
      <c r="T193" s="25"/>
      <c r="U193" s="25"/>
      <c r="V193" s="28"/>
      <c r="W193" s="28"/>
      <c r="X193" s="23">
        <f>IF($B193="Entry",IF(AND(LEN(TRIM(UPPER(W193)))=10,CODE(MID(TRIM(UPPER(W193)),1,1))&gt;=65,CODE(MID(TRIM(UPPER(W193)),1,1))&lt;=90,CODE(MID(TRIM(UPPER(W193)),2,1))&gt;=65,CODE(MID(TRIM(UPPER(W193)),2,1))&lt;=90,CODE(MID(TRIM(UPPER(W193)),3,1))&gt;=65,CODE(MID(TRIM(UPPER(W193)),3,1))&lt;=90,CODE(MID(TRIM(UPPER(W193)),4,1))&gt;=65,CODE(MID(TRIM(UPPER(W193)),4,1))&lt;=90,CODE(MID(TRIM(UPPER(W193)),5,1))&gt;=65,CODE(MID(TRIM(UPPER(W193)),5,1))&lt;=90,CODE(MID(TRIM(UPPER(W193)),10,1))&gt;=65,CODE(MID(TRIM(UPPER(W193)),10,1))&lt;=90,CODE(MID(TRIM(UPPER(W193)),6,1))&gt;=48,CODE(MID(TRIM(UPPER(W193)),6,1))&lt;=57,CODE(MID(TRIM(UPPER(W193)),7,1))&gt;=48,CODE(MID(TRIM(UPPER(W193)),7,1))&lt;=57,CODE(MID(TRIM(UPPER(W193)),8,1))&gt;=48,CODE(MID(TRIM(UPPER(W193)),8,1))&lt;=57,CODE(MID(TRIM(UPPER(W193)),9,1))&gt;=48,CODE(MID(TRIM(UPPER(W193)),9,1))&lt;=57),"N","Y"),IF($B193="Challan","",IF(W193&lt;&gt;"","◄ Set Row Type","")))</f>
      </c>
      <c r="Y193" s="23">
        <f>IF($B193="Entry",IF(LEN(W193)&lt;4,"",IF(UPPER(MID(W193,4,1))="P","Individual",IF(UPPER(MID(W193,4,1))="H","HUF",IF(UPPER(MID(W193,4,1))="C","Company",IF(UPPER(MID(W193,4,1))="F","Firm",IF(UPPER(MID(W193,4,1))="L","LLP",IF(UPPER(MID(W193,4,1))="T","Trust",IF(UPPER(MID(W193,4,1))="A","AOP","")))))))),IF($B193="Challan","",IF(W193&lt;&gt;"","◄ Set Row Type","")))</f>
      </c>
      <c r="Z193" s="28"/>
      <c r="AA193" s="29">
        <f>IF($B193&lt;&gt;"Entry","",IF(Z193="","",IF(X193="Y",SUMPRODUCT(('Rate Lookup'!$A$1:$A$37=Z193)*'Rate Lookup'!$D$1:$D$37),IF(OR(Y193="Individual",Y193="HUF"),SUMPRODUCT(('Rate Lookup'!$A$1:$A$37=Z193)*'Rate Lookup'!$B$1:$B$37),SUMPRODUCT(('Rate Lookup'!$A$1:$A$37=Z193)*'Rate Lookup'!$C$1:$C$37)))))</f>
      </c>
      <c r="AB193" s="30"/>
      <c r="AC193" s="31"/>
      <c r="AD193" s="27">
        <f>IF($B193&lt;&gt;"Entry","",ROUND(AC193*AA193/100,0))</f>
      </c>
      <c r="AE193" s="27">
        <f>IF($B193&lt;&gt;"Entry","",0)</f>
      </c>
      <c r="AF193" s="27">
        <f>IF($B193&lt;&gt;"Entry","",0)</f>
      </c>
      <c r="AG193" s="27">
        <f>IF($B193&lt;&gt;"Entry","",IF(OR(AD193=0,AB193="",AQ193="",AQ193&lt;=0),0,IF(AQ193&lt;=DATE(YEAR(AB193),MONTH(AB193)+1,7),0,ROUND(AD193*0.015*((YEAR(AQ193)-YEAR(AB193))*12+(MONTH(AQ193)-MONTH(AB193))+1),0))))</f>
      </c>
      <c r="AH193" s="27">
        <f>IF($B193&lt;&gt;"Entry","",0)</f>
      </c>
      <c r="AI193" s="28"/>
      <c r="AJ193" s="28"/>
      <c r="AK193" s="32"/>
      <c r="AL193" s="28"/>
      <c r="AM193" s="28"/>
      <c r="AN193" s="27">
        <f>IF($B193&lt;&gt;"Challan","",SUMIF('Q1 Data'!$D$4:$D$207,D193,'Q1 Data'!$AD$4:$AD$207)+SUMIF('Q1 Data'!$D$4:$D$207,D193,'Q1 Data'!$AG$4:$AG$207)+SUMIF('Q1 Data'!$D$4:$D$207,D193,'Q1 Data'!$AE$4:$AE$207)+SUMIF('Q2 Data'!$D$4:$D$207,D193,'Q2 Data'!$AD$4:$AD$207)+SUMIF('Q2 Data'!$D$4:$D$207,D193,'Q2 Data'!$AG$4:$AG$207)+SUMIF('Q2 Data'!$D$4:$D$207,D193,'Q2 Data'!$AE$4:$AE$207)+SUMIF('Q3 Data'!$D$4:$D$207,D193,'Q3 Data'!$AD$4:$AD$207)+SUMIF('Q3 Data'!$D$4:$D$207,D193,'Q3 Data'!$AG$4:$AG$207)+SUMIF('Q3 Data'!$D$4:$D$207,D193,'Q3 Data'!$AE$4:$AE$207)+SUMIF('Q4 Data'!$D$4:$D$207,D193,'Q4 Data'!$AD$4:$AD$207)+SUMIF('Q4 Data'!$D$4:$D$207,D193,'Q4 Data'!$AG$4:$AG$207)+SUMIF('Q4 Data'!$D$4:$D$207,D193,'Q4 Data'!$AE$4:$AE$207))</f>
      </c>
      <c r="AO193" s="27">
        <f>IF($B193&lt;&gt;"Challan","",P193-N193)</f>
      </c>
      <c r="AP193" s="27">
        <f>IF($B193&lt;&gt;"Challan","",MAX(0,AO193-AN193))</f>
      </c>
      <c r="AQ193" s="33">
        <f>IF($B193&lt;&gt;"Entry","",SUMPRODUCT(('Q1 Data'!$D$4:$D$207=D193)*('Q1 Data'!$B$4:$B$207="Challan")*'Q1 Data'!$F$4:$F$207)+SUMPRODUCT(('Q2 Data'!$D$4:$D$207=D193)*('Q2 Data'!$B$4:$B$207="Challan")*'Q2 Data'!$F$4:$F$207)+SUMPRODUCT(('Q3 Data'!$D$4:$D$207=D193)*('Q3 Data'!$B$4:$B$207="Challan")*'Q3 Data'!$F$4:$F$207)+SUMPRODUCT(('Q4 Data'!$D$4:$D$207=D193)*('Q4 Data'!$B$4:$B$207="Challan")*'Q4 Data'!$F$4:$F$207))</f>
      </c>
      <c r="AR193" s="34">
        <f>IF(OR($B193&lt;&gt;"Entry",Z193=""),FALSE,AND((SUMPRODUCT(('Q1 Data'!$D$4:$D$207=D193)*('Q1 Data'!$B$4:$B$207="Challan")*('Q1 Data'!$H$4:$H$207&lt;&gt;""))+SUMPRODUCT(('Q2 Data'!$D$4:$D$207=D193)*('Q2 Data'!$B$4:$B$207="Challan")*('Q2 Data'!$H$4:$H$207&lt;&gt;""))+SUMPRODUCT(('Q3 Data'!$D$4:$D$207=D193)*('Q3 Data'!$B$4:$B$207="Challan")*('Q3 Data'!$H$4:$H$207&lt;&gt;""))+SUMPRODUCT(('Q4 Data'!$D$4:$D$207=D193)*('Q4 Data'!$B$4:$B$207="Challan")*('Q4 Data'!$H$4:$H$207&lt;&gt;"")))&gt;0,(SUMPRODUCT(('Q1 Data'!$D$4:$D$207=D193)*('Q1 Data'!$B$4:$B$207="Challan")*('Q1 Data'!$H$4:$H$207=Z193))+SUMPRODUCT(('Q2 Data'!$D$4:$D$207=D193)*('Q2 Data'!$B$4:$B$207="Challan")*('Q2 Data'!$H$4:$H$207=Z193))+SUMPRODUCT(('Q3 Data'!$D$4:$D$207=D193)*('Q3 Data'!$B$4:$B$207="Challan")*('Q3 Data'!$H$4:$H$207=Z193))+SUMPRODUCT(('Q4 Data'!$D$4:$D$207=D193)*('Q4 Data'!$B$4:$B$207="Challan")*('Q4 Data'!$H$4:$H$207=Z193)))=0))</f>
      </c>
    </row>
    <row r="194" spans="1:44" x14ac:dyDescent="0.25">
      <c r="A194" s="20">
        <f>IF($B194="Entry",COUNTIF($B$4:$B194,"Entry"),"")</f>
      </c>
      <c r="B194" s="21"/>
      <c r="C194" s="22"/>
      <c r="D194" s="22"/>
      <c r="E194" s="23">
        <f>IF($B194&lt;&gt;"Challan","",IF(ROUND(AN194-AO194,2)&gt;0,"Over-applied",IF(ROUND(AN194-AO194,2)=0,"Fully Utilised","Unconsumed")))</f>
      </c>
      <c r="F194" s="24"/>
      <c r="G194" s="25"/>
      <c r="H194" s="25"/>
      <c r="I194" s="26"/>
      <c r="J194" s="26"/>
      <c r="K194" s="26"/>
      <c r="L194" s="26"/>
      <c r="M194" s="26"/>
      <c r="N194" s="26"/>
      <c r="O194" s="26"/>
      <c r="P194" s="27">
        <f>IF($B194&lt;&gt;"Challan","",I194+J194+K194+L194+M194+N194)</f>
      </c>
      <c r="Q194" s="25"/>
      <c r="R194" s="25"/>
      <c r="S194" s="25"/>
      <c r="T194" s="25"/>
      <c r="U194" s="25"/>
      <c r="V194" s="28"/>
      <c r="W194" s="28"/>
      <c r="X194" s="23">
        <f>IF($B194="Entry",IF(AND(LEN(TRIM(UPPER(W194)))=10,CODE(MID(TRIM(UPPER(W194)),1,1))&gt;=65,CODE(MID(TRIM(UPPER(W194)),1,1))&lt;=90,CODE(MID(TRIM(UPPER(W194)),2,1))&gt;=65,CODE(MID(TRIM(UPPER(W194)),2,1))&lt;=90,CODE(MID(TRIM(UPPER(W194)),3,1))&gt;=65,CODE(MID(TRIM(UPPER(W194)),3,1))&lt;=90,CODE(MID(TRIM(UPPER(W194)),4,1))&gt;=65,CODE(MID(TRIM(UPPER(W194)),4,1))&lt;=90,CODE(MID(TRIM(UPPER(W194)),5,1))&gt;=65,CODE(MID(TRIM(UPPER(W194)),5,1))&lt;=90,CODE(MID(TRIM(UPPER(W194)),10,1))&gt;=65,CODE(MID(TRIM(UPPER(W194)),10,1))&lt;=90,CODE(MID(TRIM(UPPER(W194)),6,1))&gt;=48,CODE(MID(TRIM(UPPER(W194)),6,1))&lt;=57,CODE(MID(TRIM(UPPER(W194)),7,1))&gt;=48,CODE(MID(TRIM(UPPER(W194)),7,1))&lt;=57,CODE(MID(TRIM(UPPER(W194)),8,1))&gt;=48,CODE(MID(TRIM(UPPER(W194)),8,1))&lt;=57,CODE(MID(TRIM(UPPER(W194)),9,1))&gt;=48,CODE(MID(TRIM(UPPER(W194)),9,1))&lt;=57),"N","Y"),IF($B194="Challan","",IF(W194&lt;&gt;"","◄ Set Row Type","")))</f>
      </c>
      <c r="Y194" s="23">
        <f>IF($B194="Entry",IF(LEN(W194)&lt;4,"",IF(UPPER(MID(W194,4,1))="P","Individual",IF(UPPER(MID(W194,4,1))="H","HUF",IF(UPPER(MID(W194,4,1))="C","Company",IF(UPPER(MID(W194,4,1))="F","Firm",IF(UPPER(MID(W194,4,1))="L","LLP",IF(UPPER(MID(W194,4,1))="T","Trust",IF(UPPER(MID(W194,4,1))="A","AOP","")))))))),IF($B194="Challan","",IF(W194&lt;&gt;"","◄ Set Row Type","")))</f>
      </c>
      <c r="Z194" s="28"/>
      <c r="AA194" s="29">
        <f>IF($B194&lt;&gt;"Entry","",IF(Z194="","",IF(X194="Y",SUMPRODUCT(('Rate Lookup'!$A$1:$A$37=Z194)*'Rate Lookup'!$D$1:$D$37),IF(OR(Y194="Individual",Y194="HUF"),SUMPRODUCT(('Rate Lookup'!$A$1:$A$37=Z194)*'Rate Lookup'!$B$1:$B$37),SUMPRODUCT(('Rate Lookup'!$A$1:$A$37=Z194)*'Rate Lookup'!$C$1:$C$37)))))</f>
      </c>
      <c r="AB194" s="30"/>
      <c r="AC194" s="31"/>
      <c r="AD194" s="27">
        <f>IF($B194&lt;&gt;"Entry","",ROUND(AC194*AA194/100,0))</f>
      </c>
      <c r="AE194" s="27">
        <f>IF($B194&lt;&gt;"Entry","",0)</f>
      </c>
      <c r="AF194" s="27">
        <f>IF($B194&lt;&gt;"Entry","",0)</f>
      </c>
      <c r="AG194" s="27">
        <f>IF($B194&lt;&gt;"Entry","",IF(OR(AD194=0,AB194="",AQ194="",AQ194&lt;=0),0,IF(AQ194&lt;=DATE(YEAR(AB194),MONTH(AB194)+1,7),0,ROUND(AD194*0.015*((YEAR(AQ194)-YEAR(AB194))*12+(MONTH(AQ194)-MONTH(AB194))+1),0))))</f>
      </c>
      <c r="AH194" s="27">
        <f>IF($B194&lt;&gt;"Entry","",0)</f>
      </c>
      <c r="AI194" s="28"/>
      <c r="AJ194" s="28"/>
      <c r="AK194" s="32"/>
      <c r="AL194" s="28"/>
      <c r="AM194" s="28"/>
      <c r="AN194" s="27">
        <f>IF($B194&lt;&gt;"Challan","",SUMIF('Q1 Data'!$D$4:$D$207,D194,'Q1 Data'!$AD$4:$AD$207)+SUMIF('Q1 Data'!$D$4:$D$207,D194,'Q1 Data'!$AG$4:$AG$207)+SUMIF('Q1 Data'!$D$4:$D$207,D194,'Q1 Data'!$AE$4:$AE$207)+SUMIF('Q2 Data'!$D$4:$D$207,D194,'Q2 Data'!$AD$4:$AD$207)+SUMIF('Q2 Data'!$D$4:$D$207,D194,'Q2 Data'!$AG$4:$AG$207)+SUMIF('Q2 Data'!$D$4:$D$207,D194,'Q2 Data'!$AE$4:$AE$207)+SUMIF('Q3 Data'!$D$4:$D$207,D194,'Q3 Data'!$AD$4:$AD$207)+SUMIF('Q3 Data'!$D$4:$D$207,D194,'Q3 Data'!$AG$4:$AG$207)+SUMIF('Q3 Data'!$D$4:$D$207,D194,'Q3 Data'!$AE$4:$AE$207)+SUMIF('Q4 Data'!$D$4:$D$207,D194,'Q4 Data'!$AD$4:$AD$207)+SUMIF('Q4 Data'!$D$4:$D$207,D194,'Q4 Data'!$AG$4:$AG$207)+SUMIF('Q4 Data'!$D$4:$D$207,D194,'Q4 Data'!$AE$4:$AE$207))</f>
      </c>
      <c r="AO194" s="27">
        <f>IF($B194&lt;&gt;"Challan","",P194-N194)</f>
      </c>
      <c r="AP194" s="27">
        <f>IF($B194&lt;&gt;"Challan","",MAX(0,AO194-AN194))</f>
      </c>
      <c r="AQ194" s="33">
        <f>IF($B194&lt;&gt;"Entry","",SUMPRODUCT(('Q1 Data'!$D$4:$D$207=D194)*('Q1 Data'!$B$4:$B$207="Challan")*'Q1 Data'!$F$4:$F$207)+SUMPRODUCT(('Q2 Data'!$D$4:$D$207=D194)*('Q2 Data'!$B$4:$B$207="Challan")*'Q2 Data'!$F$4:$F$207)+SUMPRODUCT(('Q3 Data'!$D$4:$D$207=D194)*('Q3 Data'!$B$4:$B$207="Challan")*'Q3 Data'!$F$4:$F$207)+SUMPRODUCT(('Q4 Data'!$D$4:$D$207=D194)*('Q4 Data'!$B$4:$B$207="Challan")*'Q4 Data'!$F$4:$F$207))</f>
      </c>
      <c r="AR194" s="34">
        <f>IF(OR($B194&lt;&gt;"Entry",Z194=""),FALSE,AND((SUMPRODUCT(('Q1 Data'!$D$4:$D$207=D194)*('Q1 Data'!$B$4:$B$207="Challan")*('Q1 Data'!$H$4:$H$207&lt;&gt;""))+SUMPRODUCT(('Q2 Data'!$D$4:$D$207=D194)*('Q2 Data'!$B$4:$B$207="Challan")*('Q2 Data'!$H$4:$H$207&lt;&gt;""))+SUMPRODUCT(('Q3 Data'!$D$4:$D$207=D194)*('Q3 Data'!$B$4:$B$207="Challan")*('Q3 Data'!$H$4:$H$207&lt;&gt;""))+SUMPRODUCT(('Q4 Data'!$D$4:$D$207=D194)*('Q4 Data'!$B$4:$B$207="Challan")*('Q4 Data'!$H$4:$H$207&lt;&gt;"")))&gt;0,(SUMPRODUCT(('Q1 Data'!$D$4:$D$207=D194)*('Q1 Data'!$B$4:$B$207="Challan")*('Q1 Data'!$H$4:$H$207=Z194))+SUMPRODUCT(('Q2 Data'!$D$4:$D$207=D194)*('Q2 Data'!$B$4:$B$207="Challan")*('Q2 Data'!$H$4:$H$207=Z194))+SUMPRODUCT(('Q3 Data'!$D$4:$D$207=D194)*('Q3 Data'!$B$4:$B$207="Challan")*('Q3 Data'!$H$4:$H$207=Z194))+SUMPRODUCT(('Q4 Data'!$D$4:$D$207=D194)*('Q4 Data'!$B$4:$B$207="Challan")*('Q4 Data'!$H$4:$H$207=Z194)))=0))</f>
      </c>
    </row>
    <row r="195" spans="1:44" x14ac:dyDescent="0.25">
      <c r="A195" s="20">
        <f>IF($B195="Entry",COUNTIF($B$4:$B195,"Entry"),"")</f>
      </c>
      <c r="B195" s="21"/>
      <c r="C195" s="22"/>
      <c r="D195" s="22"/>
      <c r="E195" s="23">
        <f>IF($B195&lt;&gt;"Challan","",IF(ROUND(AN195-AO195,2)&gt;0,"Over-applied",IF(ROUND(AN195-AO195,2)=0,"Fully Utilised","Unconsumed")))</f>
      </c>
      <c r="F195" s="24"/>
      <c r="G195" s="25"/>
      <c r="H195" s="25"/>
      <c r="I195" s="26"/>
      <c r="J195" s="26"/>
      <c r="K195" s="26"/>
      <c r="L195" s="26"/>
      <c r="M195" s="26"/>
      <c r="N195" s="26"/>
      <c r="O195" s="26"/>
      <c r="P195" s="27">
        <f>IF($B195&lt;&gt;"Challan","",I195+J195+K195+L195+M195+N195)</f>
      </c>
      <c r="Q195" s="25"/>
      <c r="R195" s="25"/>
      <c r="S195" s="25"/>
      <c r="T195" s="25"/>
      <c r="U195" s="25"/>
      <c r="V195" s="28"/>
      <c r="W195" s="28"/>
      <c r="X195" s="23">
        <f>IF($B195="Entry",IF(AND(LEN(TRIM(UPPER(W195)))=10,CODE(MID(TRIM(UPPER(W195)),1,1))&gt;=65,CODE(MID(TRIM(UPPER(W195)),1,1))&lt;=90,CODE(MID(TRIM(UPPER(W195)),2,1))&gt;=65,CODE(MID(TRIM(UPPER(W195)),2,1))&lt;=90,CODE(MID(TRIM(UPPER(W195)),3,1))&gt;=65,CODE(MID(TRIM(UPPER(W195)),3,1))&lt;=90,CODE(MID(TRIM(UPPER(W195)),4,1))&gt;=65,CODE(MID(TRIM(UPPER(W195)),4,1))&lt;=90,CODE(MID(TRIM(UPPER(W195)),5,1))&gt;=65,CODE(MID(TRIM(UPPER(W195)),5,1))&lt;=90,CODE(MID(TRIM(UPPER(W195)),10,1))&gt;=65,CODE(MID(TRIM(UPPER(W195)),10,1))&lt;=90,CODE(MID(TRIM(UPPER(W195)),6,1))&gt;=48,CODE(MID(TRIM(UPPER(W195)),6,1))&lt;=57,CODE(MID(TRIM(UPPER(W195)),7,1))&gt;=48,CODE(MID(TRIM(UPPER(W195)),7,1))&lt;=57,CODE(MID(TRIM(UPPER(W195)),8,1))&gt;=48,CODE(MID(TRIM(UPPER(W195)),8,1))&lt;=57,CODE(MID(TRIM(UPPER(W195)),9,1))&gt;=48,CODE(MID(TRIM(UPPER(W195)),9,1))&lt;=57),"N","Y"),IF($B195="Challan","",IF(W195&lt;&gt;"","◄ Set Row Type","")))</f>
      </c>
      <c r="Y195" s="23">
        <f>IF($B195="Entry",IF(LEN(W195)&lt;4,"",IF(UPPER(MID(W195,4,1))="P","Individual",IF(UPPER(MID(W195,4,1))="H","HUF",IF(UPPER(MID(W195,4,1))="C","Company",IF(UPPER(MID(W195,4,1))="F","Firm",IF(UPPER(MID(W195,4,1))="L","LLP",IF(UPPER(MID(W195,4,1))="T","Trust",IF(UPPER(MID(W195,4,1))="A","AOP","")))))))),IF($B195="Challan","",IF(W195&lt;&gt;"","◄ Set Row Type","")))</f>
      </c>
      <c r="Z195" s="28"/>
      <c r="AA195" s="29">
        <f>IF($B195&lt;&gt;"Entry","",IF(Z195="","",IF(X195="Y",SUMPRODUCT(('Rate Lookup'!$A$1:$A$37=Z195)*'Rate Lookup'!$D$1:$D$37),IF(OR(Y195="Individual",Y195="HUF"),SUMPRODUCT(('Rate Lookup'!$A$1:$A$37=Z195)*'Rate Lookup'!$B$1:$B$37),SUMPRODUCT(('Rate Lookup'!$A$1:$A$37=Z195)*'Rate Lookup'!$C$1:$C$37)))))</f>
      </c>
      <c r="AB195" s="30"/>
      <c r="AC195" s="31"/>
      <c r="AD195" s="27">
        <f>IF($B195&lt;&gt;"Entry","",ROUND(AC195*AA195/100,0))</f>
      </c>
      <c r="AE195" s="27">
        <f>IF($B195&lt;&gt;"Entry","",0)</f>
      </c>
      <c r="AF195" s="27">
        <f>IF($B195&lt;&gt;"Entry","",0)</f>
      </c>
      <c r="AG195" s="27">
        <f>IF($B195&lt;&gt;"Entry","",IF(OR(AD195=0,AB195="",AQ195="",AQ195&lt;=0),0,IF(AQ195&lt;=DATE(YEAR(AB195),MONTH(AB195)+1,7),0,ROUND(AD195*0.015*((YEAR(AQ195)-YEAR(AB195))*12+(MONTH(AQ195)-MONTH(AB195))+1),0))))</f>
      </c>
      <c r="AH195" s="27">
        <f>IF($B195&lt;&gt;"Entry","",0)</f>
      </c>
      <c r="AI195" s="28"/>
      <c r="AJ195" s="28"/>
      <c r="AK195" s="32"/>
      <c r="AL195" s="28"/>
      <c r="AM195" s="28"/>
      <c r="AN195" s="27">
        <f>IF($B195&lt;&gt;"Challan","",SUMIF('Q1 Data'!$D$4:$D$207,D195,'Q1 Data'!$AD$4:$AD$207)+SUMIF('Q1 Data'!$D$4:$D$207,D195,'Q1 Data'!$AG$4:$AG$207)+SUMIF('Q1 Data'!$D$4:$D$207,D195,'Q1 Data'!$AE$4:$AE$207)+SUMIF('Q2 Data'!$D$4:$D$207,D195,'Q2 Data'!$AD$4:$AD$207)+SUMIF('Q2 Data'!$D$4:$D$207,D195,'Q2 Data'!$AG$4:$AG$207)+SUMIF('Q2 Data'!$D$4:$D$207,D195,'Q2 Data'!$AE$4:$AE$207)+SUMIF('Q3 Data'!$D$4:$D$207,D195,'Q3 Data'!$AD$4:$AD$207)+SUMIF('Q3 Data'!$D$4:$D$207,D195,'Q3 Data'!$AG$4:$AG$207)+SUMIF('Q3 Data'!$D$4:$D$207,D195,'Q3 Data'!$AE$4:$AE$207)+SUMIF('Q4 Data'!$D$4:$D$207,D195,'Q4 Data'!$AD$4:$AD$207)+SUMIF('Q4 Data'!$D$4:$D$207,D195,'Q4 Data'!$AG$4:$AG$207)+SUMIF('Q4 Data'!$D$4:$D$207,D195,'Q4 Data'!$AE$4:$AE$207))</f>
      </c>
      <c r="AO195" s="27">
        <f>IF($B195&lt;&gt;"Challan","",P195-N195)</f>
      </c>
      <c r="AP195" s="27">
        <f>IF($B195&lt;&gt;"Challan","",MAX(0,AO195-AN195))</f>
      </c>
      <c r="AQ195" s="33">
        <f>IF($B195&lt;&gt;"Entry","",SUMPRODUCT(('Q1 Data'!$D$4:$D$207=D195)*('Q1 Data'!$B$4:$B$207="Challan")*'Q1 Data'!$F$4:$F$207)+SUMPRODUCT(('Q2 Data'!$D$4:$D$207=D195)*('Q2 Data'!$B$4:$B$207="Challan")*'Q2 Data'!$F$4:$F$207)+SUMPRODUCT(('Q3 Data'!$D$4:$D$207=D195)*('Q3 Data'!$B$4:$B$207="Challan")*'Q3 Data'!$F$4:$F$207)+SUMPRODUCT(('Q4 Data'!$D$4:$D$207=D195)*('Q4 Data'!$B$4:$B$207="Challan")*'Q4 Data'!$F$4:$F$207))</f>
      </c>
      <c r="AR195" s="34">
        <f>IF(OR($B195&lt;&gt;"Entry",Z195=""),FALSE,AND((SUMPRODUCT(('Q1 Data'!$D$4:$D$207=D195)*('Q1 Data'!$B$4:$B$207="Challan")*('Q1 Data'!$H$4:$H$207&lt;&gt;""))+SUMPRODUCT(('Q2 Data'!$D$4:$D$207=D195)*('Q2 Data'!$B$4:$B$207="Challan")*('Q2 Data'!$H$4:$H$207&lt;&gt;""))+SUMPRODUCT(('Q3 Data'!$D$4:$D$207=D195)*('Q3 Data'!$B$4:$B$207="Challan")*('Q3 Data'!$H$4:$H$207&lt;&gt;""))+SUMPRODUCT(('Q4 Data'!$D$4:$D$207=D195)*('Q4 Data'!$B$4:$B$207="Challan")*('Q4 Data'!$H$4:$H$207&lt;&gt;"")))&gt;0,(SUMPRODUCT(('Q1 Data'!$D$4:$D$207=D195)*('Q1 Data'!$B$4:$B$207="Challan")*('Q1 Data'!$H$4:$H$207=Z195))+SUMPRODUCT(('Q2 Data'!$D$4:$D$207=D195)*('Q2 Data'!$B$4:$B$207="Challan")*('Q2 Data'!$H$4:$H$207=Z195))+SUMPRODUCT(('Q3 Data'!$D$4:$D$207=D195)*('Q3 Data'!$B$4:$B$207="Challan")*('Q3 Data'!$H$4:$H$207=Z195))+SUMPRODUCT(('Q4 Data'!$D$4:$D$207=D195)*('Q4 Data'!$B$4:$B$207="Challan")*('Q4 Data'!$H$4:$H$207=Z195)))=0))</f>
      </c>
    </row>
    <row r="196" spans="1:44" x14ac:dyDescent="0.25">
      <c r="A196" s="20">
        <f>IF($B196="Entry",COUNTIF($B$4:$B196,"Entry"),"")</f>
      </c>
      <c r="B196" s="21"/>
      <c r="C196" s="22"/>
      <c r="D196" s="22"/>
      <c r="E196" s="23">
        <f>IF($B196&lt;&gt;"Challan","",IF(ROUND(AN196-AO196,2)&gt;0,"Over-applied",IF(ROUND(AN196-AO196,2)=0,"Fully Utilised","Unconsumed")))</f>
      </c>
      <c r="F196" s="24"/>
      <c r="G196" s="25"/>
      <c r="H196" s="25"/>
      <c r="I196" s="26"/>
      <c r="J196" s="26"/>
      <c r="K196" s="26"/>
      <c r="L196" s="26"/>
      <c r="M196" s="26"/>
      <c r="N196" s="26"/>
      <c r="O196" s="26"/>
      <c r="P196" s="27">
        <f>IF($B196&lt;&gt;"Challan","",I196+J196+K196+L196+M196+N196)</f>
      </c>
      <c r="Q196" s="25"/>
      <c r="R196" s="25"/>
      <c r="S196" s="25"/>
      <c r="T196" s="25"/>
      <c r="U196" s="25"/>
      <c r="V196" s="28"/>
      <c r="W196" s="28"/>
      <c r="X196" s="23">
        <f>IF($B196="Entry",IF(AND(LEN(TRIM(UPPER(W196)))=10,CODE(MID(TRIM(UPPER(W196)),1,1))&gt;=65,CODE(MID(TRIM(UPPER(W196)),1,1))&lt;=90,CODE(MID(TRIM(UPPER(W196)),2,1))&gt;=65,CODE(MID(TRIM(UPPER(W196)),2,1))&lt;=90,CODE(MID(TRIM(UPPER(W196)),3,1))&gt;=65,CODE(MID(TRIM(UPPER(W196)),3,1))&lt;=90,CODE(MID(TRIM(UPPER(W196)),4,1))&gt;=65,CODE(MID(TRIM(UPPER(W196)),4,1))&lt;=90,CODE(MID(TRIM(UPPER(W196)),5,1))&gt;=65,CODE(MID(TRIM(UPPER(W196)),5,1))&lt;=90,CODE(MID(TRIM(UPPER(W196)),10,1))&gt;=65,CODE(MID(TRIM(UPPER(W196)),10,1))&lt;=90,CODE(MID(TRIM(UPPER(W196)),6,1))&gt;=48,CODE(MID(TRIM(UPPER(W196)),6,1))&lt;=57,CODE(MID(TRIM(UPPER(W196)),7,1))&gt;=48,CODE(MID(TRIM(UPPER(W196)),7,1))&lt;=57,CODE(MID(TRIM(UPPER(W196)),8,1))&gt;=48,CODE(MID(TRIM(UPPER(W196)),8,1))&lt;=57,CODE(MID(TRIM(UPPER(W196)),9,1))&gt;=48,CODE(MID(TRIM(UPPER(W196)),9,1))&lt;=57),"N","Y"),IF($B196="Challan","",IF(W196&lt;&gt;"","◄ Set Row Type","")))</f>
      </c>
      <c r="Y196" s="23">
        <f>IF($B196="Entry",IF(LEN(W196)&lt;4,"",IF(UPPER(MID(W196,4,1))="P","Individual",IF(UPPER(MID(W196,4,1))="H","HUF",IF(UPPER(MID(W196,4,1))="C","Company",IF(UPPER(MID(W196,4,1))="F","Firm",IF(UPPER(MID(W196,4,1))="L","LLP",IF(UPPER(MID(W196,4,1))="T","Trust",IF(UPPER(MID(W196,4,1))="A","AOP","")))))))),IF($B196="Challan","",IF(W196&lt;&gt;"","◄ Set Row Type","")))</f>
      </c>
      <c r="Z196" s="28"/>
      <c r="AA196" s="29">
        <f>IF($B196&lt;&gt;"Entry","",IF(Z196="","",IF(X196="Y",SUMPRODUCT(('Rate Lookup'!$A$1:$A$37=Z196)*'Rate Lookup'!$D$1:$D$37),IF(OR(Y196="Individual",Y196="HUF"),SUMPRODUCT(('Rate Lookup'!$A$1:$A$37=Z196)*'Rate Lookup'!$B$1:$B$37),SUMPRODUCT(('Rate Lookup'!$A$1:$A$37=Z196)*'Rate Lookup'!$C$1:$C$37)))))</f>
      </c>
      <c r="AB196" s="30"/>
      <c r="AC196" s="31"/>
      <c r="AD196" s="27">
        <f>IF($B196&lt;&gt;"Entry","",ROUND(AC196*AA196/100,0))</f>
      </c>
      <c r="AE196" s="27">
        <f>IF($B196&lt;&gt;"Entry","",0)</f>
      </c>
      <c r="AF196" s="27">
        <f>IF($B196&lt;&gt;"Entry","",0)</f>
      </c>
      <c r="AG196" s="27">
        <f>IF($B196&lt;&gt;"Entry","",IF(OR(AD196=0,AB196="",AQ196="",AQ196&lt;=0),0,IF(AQ196&lt;=DATE(YEAR(AB196),MONTH(AB196)+1,7),0,ROUND(AD196*0.015*((YEAR(AQ196)-YEAR(AB196))*12+(MONTH(AQ196)-MONTH(AB196))+1),0))))</f>
      </c>
      <c r="AH196" s="27">
        <f>IF($B196&lt;&gt;"Entry","",0)</f>
      </c>
      <c r="AI196" s="28"/>
      <c r="AJ196" s="28"/>
      <c r="AK196" s="32"/>
      <c r="AL196" s="28"/>
      <c r="AM196" s="28"/>
      <c r="AN196" s="27">
        <f>IF($B196&lt;&gt;"Challan","",SUMIF('Q1 Data'!$D$4:$D$207,D196,'Q1 Data'!$AD$4:$AD$207)+SUMIF('Q1 Data'!$D$4:$D$207,D196,'Q1 Data'!$AG$4:$AG$207)+SUMIF('Q1 Data'!$D$4:$D$207,D196,'Q1 Data'!$AE$4:$AE$207)+SUMIF('Q2 Data'!$D$4:$D$207,D196,'Q2 Data'!$AD$4:$AD$207)+SUMIF('Q2 Data'!$D$4:$D$207,D196,'Q2 Data'!$AG$4:$AG$207)+SUMIF('Q2 Data'!$D$4:$D$207,D196,'Q2 Data'!$AE$4:$AE$207)+SUMIF('Q3 Data'!$D$4:$D$207,D196,'Q3 Data'!$AD$4:$AD$207)+SUMIF('Q3 Data'!$D$4:$D$207,D196,'Q3 Data'!$AG$4:$AG$207)+SUMIF('Q3 Data'!$D$4:$D$207,D196,'Q3 Data'!$AE$4:$AE$207)+SUMIF('Q4 Data'!$D$4:$D$207,D196,'Q4 Data'!$AD$4:$AD$207)+SUMIF('Q4 Data'!$D$4:$D$207,D196,'Q4 Data'!$AG$4:$AG$207)+SUMIF('Q4 Data'!$D$4:$D$207,D196,'Q4 Data'!$AE$4:$AE$207))</f>
      </c>
      <c r="AO196" s="27">
        <f>IF($B196&lt;&gt;"Challan","",P196-N196)</f>
      </c>
      <c r="AP196" s="27">
        <f>IF($B196&lt;&gt;"Challan","",MAX(0,AO196-AN196))</f>
      </c>
      <c r="AQ196" s="33">
        <f>IF($B196&lt;&gt;"Entry","",SUMPRODUCT(('Q1 Data'!$D$4:$D$207=D196)*('Q1 Data'!$B$4:$B$207="Challan")*'Q1 Data'!$F$4:$F$207)+SUMPRODUCT(('Q2 Data'!$D$4:$D$207=D196)*('Q2 Data'!$B$4:$B$207="Challan")*'Q2 Data'!$F$4:$F$207)+SUMPRODUCT(('Q3 Data'!$D$4:$D$207=D196)*('Q3 Data'!$B$4:$B$207="Challan")*'Q3 Data'!$F$4:$F$207)+SUMPRODUCT(('Q4 Data'!$D$4:$D$207=D196)*('Q4 Data'!$B$4:$B$207="Challan")*'Q4 Data'!$F$4:$F$207))</f>
      </c>
      <c r="AR196" s="34">
        <f>IF(OR($B196&lt;&gt;"Entry",Z196=""),FALSE,AND((SUMPRODUCT(('Q1 Data'!$D$4:$D$207=D196)*('Q1 Data'!$B$4:$B$207="Challan")*('Q1 Data'!$H$4:$H$207&lt;&gt;""))+SUMPRODUCT(('Q2 Data'!$D$4:$D$207=D196)*('Q2 Data'!$B$4:$B$207="Challan")*('Q2 Data'!$H$4:$H$207&lt;&gt;""))+SUMPRODUCT(('Q3 Data'!$D$4:$D$207=D196)*('Q3 Data'!$B$4:$B$207="Challan")*('Q3 Data'!$H$4:$H$207&lt;&gt;""))+SUMPRODUCT(('Q4 Data'!$D$4:$D$207=D196)*('Q4 Data'!$B$4:$B$207="Challan")*('Q4 Data'!$H$4:$H$207&lt;&gt;"")))&gt;0,(SUMPRODUCT(('Q1 Data'!$D$4:$D$207=D196)*('Q1 Data'!$B$4:$B$207="Challan")*('Q1 Data'!$H$4:$H$207=Z196))+SUMPRODUCT(('Q2 Data'!$D$4:$D$207=D196)*('Q2 Data'!$B$4:$B$207="Challan")*('Q2 Data'!$H$4:$H$207=Z196))+SUMPRODUCT(('Q3 Data'!$D$4:$D$207=D196)*('Q3 Data'!$B$4:$B$207="Challan")*('Q3 Data'!$H$4:$H$207=Z196))+SUMPRODUCT(('Q4 Data'!$D$4:$D$207=D196)*('Q4 Data'!$B$4:$B$207="Challan")*('Q4 Data'!$H$4:$H$207=Z196)))=0))</f>
      </c>
    </row>
    <row r="197" spans="1:44" x14ac:dyDescent="0.25">
      <c r="A197" s="20">
        <f>IF($B197="Entry",COUNTIF($B$4:$B197,"Entry"),"")</f>
      </c>
      <c r="B197" s="21"/>
      <c r="C197" s="22"/>
      <c r="D197" s="22"/>
      <c r="E197" s="23">
        <f>IF($B197&lt;&gt;"Challan","",IF(ROUND(AN197-AO197,2)&gt;0,"Over-applied",IF(ROUND(AN197-AO197,2)=0,"Fully Utilised","Unconsumed")))</f>
      </c>
      <c r="F197" s="24"/>
      <c r="G197" s="25"/>
      <c r="H197" s="25"/>
      <c r="I197" s="26"/>
      <c r="J197" s="26"/>
      <c r="K197" s="26"/>
      <c r="L197" s="26"/>
      <c r="M197" s="26"/>
      <c r="N197" s="26"/>
      <c r="O197" s="26"/>
      <c r="P197" s="27">
        <f>IF($B197&lt;&gt;"Challan","",I197+J197+K197+L197+M197+N197)</f>
      </c>
      <c r="Q197" s="25"/>
      <c r="R197" s="25"/>
      <c r="S197" s="25"/>
      <c r="T197" s="25"/>
      <c r="U197" s="25"/>
      <c r="V197" s="28"/>
      <c r="W197" s="28"/>
      <c r="X197" s="23">
        <f>IF($B197="Entry",IF(AND(LEN(TRIM(UPPER(W197)))=10,CODE(MID(TRIM(UPPER(W197)),1,1))&gt;=65,CODE(MID(TRIM(UPPER(W197)),1,1))&lt;=90,CODE(MID(TRIM(UPPER(W197)),2,1))&gt;=65,CODE(MID(TRIM(UPPER(W197)),2,1))&lt;=90,CODE(MID(TRIM(UPPER(W197)),3,1))&gt;=65,CODE(MID(TRIM(UPPER(W197)),3,1))&lt;=90,CODE(MID(TRIM(UPPER(W197)),4,1))&gt;=65,CODE(MID(TRIM(UPPER(W197)),4,1))&lt;=90,CODE(MID(TRIM(UPPER(W197)),5,1))&gt;=65,CODE(MID(TRIM(UPPER(W197)),5,1))&lt;=90,CODE(MID(TRIM(UPPER(W197)),10,1))&gt;=65,CODE(MID(TRIM(UPPER(W197)),10,1))&lt;=90,CODE(MID(TRIM(UPPER(W197)),6,1))&gt;=48,CODE(MID(TRIM(UPPER(W197)),6,1))&lt;=57,CODE(MID(TRIM(UPPER(W197)),7,1))&gt;=48,CODE(MID(TRIM(UPPER(W197)),7,1))&lt;=57,CODE(MID(TRIM(UPPER(W197)),8,1))&gt;=48,CODE(MID(TRIM(UPPER(W197)),8,1))&lt;=57,CODE(MID(TRIM(UPPER(W197)),9,1))&gt;=48,CODE(MID(TRIM(UPPER(W197)),9,1))&lt;=57),"N","Y"),IF($B197="Challan","",IF(W197&lt;&gt;"","◄ Set Row Type","")))</f>
      </c>
      <c r="Y197" s="23">
        <f>IF($B197="Entry",IF(LEN(W197)&lt;4,"",IF(UPPER(MID(W197,4,1))="P","Individual",IF(UPPER(MID(W197,4,1))="H","HUF",IF(UPPER(MID(W197,4,1))="C","Company",IF(UPPER(MID(W197,4,1))="F","Firm",IF(UPPER(MID(W197,4,1))="L","LLP",IF(UPPER(MID(W197,4,1))="T","Trust",IF(UPPER(MID(W197,4,1))="A","AOP","")))))))),IF($B197="Challan","",IF(W197&lt;&gt;"","◄ Set Row Type","")))</f>
      </c>
      <c r="Z197" s="28"/>
      <c r="AA197" s="29">
        <f>IF($B197&lt;&gt;"Entry","",IF(Z197="","",IF(X197="Y",SUMPRODUCT(('Rate Lookup'!$A$1:$A$37=Z197)*'Rate Lookup'!$D$1:$D$37),IF(OR(Y197="Individual",Y197="HUF"),SUMPRODUCT(('Rate Lookup'!$A$1:$A$37=Z197)*'Rate Lookup'!$B$1:$B$37),SUMPRODUCT(('Rate Lookup'!$A$1:$A$37=Z197)*'Rate Lookup'!$C$1:$C$37)))))</f>
      </c>
      <c r="AB197" s="30"/>
      <c r="AC197" s="31"/>
      <c r="AD197" s="27">
        <f>IF($B197&lt;&gt;"Entry","",ROUND(AC197*AA197/100,0))</f>
      </c>
      <c r="AE197" s="27">
        <f>IF($B197&lt;&gt;"Entry","",0)</f>
      </c>
      <c r="AF197" s="27">
        <f>IF($B197&lt;&gt;"Entry","",0)</f>
      </c>
      <c r="AG197" s="27">
        <f>IF($B197&lt;&gt;"Entry","",IF(OR(AD197=0,AB197="",AQ197="",AQ197&lt;=0),0,IF(AQ197&lt;=DATE(YEAR(AB197),MONTH(AB197)+1,7),0,ROUND(AD197*0.015*((YEAR(AQ197)-YEAR(AB197))*12+(MONTH(AQ197)-MONTH(AB197))+1),0))))</f>
      </c>
      <c r="AH197" s="27">
        <f>IF($B197&lt;&gt;"Entry","",0)</f>
      </c>
      <c r="AI197" s="28"/>
      <c r="AJ197" s="28"/>
      <c r="AK197" s="32"/>
      <c r="AL197" s="28"/>
      <c r="AM197" s="28"/>
      <c r="AN197" s="27">
        <f>IF($B197&lt;&gt;"Challan","",SUMIF('Q1 Data'!$D$4:$D$207,D197,'Q1 Data'!$AD$4:$AD$207)+SUMIF('Q1 Data'!$D$4:$D$207,D197,'Q1 Data'!$AG$4:$AG$207)+SUMIF('Q1 Data'!$D$4:$D$207,D197,'Q1 Data'!$AE$4:$AE$207)+SUMIF('Q2 Data'!$D$4:$D$207,D197,'Q2 Data'!$AD$4:$AD$207)+SUMIF('Q2 Data'!$D$4:$D$207,D197,'Q2 Data'!$AG$4:$AG$207)+SUMIF('Q2 Data'!$D$4:$D$207,D197,'Q2 Data'!$AE$4:$AE$207)+SUMIF('Q3 Data'!$D$4:$D$207,D197,'Q3 Data'!$AD$4:$AD$207)+SUMIF('Q3 Data'!$D$4:$D$207,D197,'Q3 Data'!$AG$4:$AG$207)+SUMIF('Q3 Data'!$D$4:$D$207,D197,'Q3 Data'!$AE$4:$AE$207)+SUMIF('Q4 Data'!$D$4:$D$207,D197,'Q4 Data'!$AD$4:$AD$207)+SUMIF('Q4 Data'!$D$4:$D$207,D197,'Q4 Data'!$AG$4:$AG$207)+SUMIF('Q4 Data'!$D$4:$D$207,D197,'Q4 Data'!$AE$4:$AE$207))</f>
      </c>
      <c r="AO197" s="27">
        <f>IF($B197&lt;&gt;"Challan","",P197-N197)</f>
      </c>
      <c r="AP197" s="27">
        <f>IF($B197&lt;&gt;"Challan","",MAX(0,AO197-AN197))</f>
      </c>
      <c r="AQ197" s="33">
        <f>IF($B197&lt;&gt;"Entry","",SUMPRODUCT(('Q1 Data'!$D$4:$D$207=D197)*('Q1 Data'!$B$4:$B$207="Challan")*'Q1 Data'!$F$4:$F$207)+SUMPRODUCT(('Q2 Data'!$D$4:$D$207=D197)*('Q2 Data'!$B$4:$B$207="Challan")*'Q2 Data'!$F$4:$F$207)+SUMPRODUCT(('Q3 Data'!$D$4:$D$207=D197)*('Q3 Data'!$B$4:$B$207="Challan")*'Q3 Data'!$F$4:$F$207)+SUMPRODUCT(('Q4 Data'!$D$4:$D$207=D197)*('Q4 Data'!$B$4:$B$207="Challan")*'Q4 Data'!$F$4:$F$207))</f>
      </c>
      <c r="AR197" s="34">
        <f>IF(OR($B197&lt;&gt;"Entry",Z197=""),FALSE,AND((SUMPRODUCT(('Q1 Data'!$D$4:$D$207=D197)*('Q1 Data'!$B$4:$B$207="Challan")*('Q1 Data'!$H$4:$H$207&lt;&gt;""))+SUMPRODUCT(('Q2 Data'!$D$4:$D$207=D197)*('Q2 Data'!$B$4:$B$207="Challan")*('Q2 Data'!$H$4:$H$207&lt;&gt;""))+SUMPRODUCT(('Q3 Data'!$D$4:$D$207=D197)*('Q3 Data'!$B$4:$B$207="Challan")*('Q3 Data'!$H$4:$H$207&lt;&gt;""))+SUMPRODUCT(('Q4 Data'!$D$4:$D$207=D197)*('Q4 Data'!$B$4:$B$207="Challan")*('Q4 Data'!$H$4:$H$207&lt;&gt;"")))&gt;0,(SUMPRODUCT(('Q1 Data'!$D$4:$D$207=D197)*('Q1 Data'!$B$4:$B$207="Challan")*('Q1 Data'!$H$4:$H$207=Z197))+SUMPRODUCT(('Q2 Data'!$D$4:$D$207=D197)*('Q2 Data'!$B$4:$B$207="Challan")*('Q2 Data'!$H$4:$H$207=Z197))+SUMPRODUCT(('Q3 Data'!$D$4:$D$207=D197)*('Q3 Data'!$B$4:$B$207="Challan")*('Q3 Data'!$H$4:$H$207=Z197))+SUMPRODUCT(('Q4 Data'!$D$4:$D$207=D197)*('Q4 Data'!$B$4:$B$207="Challan")*('Q4 Data'!$H$4:$H$207=Z197)))=0))</f>
      </c>
    </row>
    <row r="198" spans="1:44" x14ac:dyDescent="0.25">
      <c r="A198" s="20">
        <f>IF($B198="Entry",COUNTIF($B$4:$B198,"Entry"),"")</f>
      </c>
      <c r="B198" s="21"/>
      <c r="C198" s="22"/>
      <c r="D198" s="22"/>
      <c r="E198" s="23">
        <f>IF($B198&lt;&gt;"Challan","",IF(ROUND(AN198-AO198,2)&gt;0,"Over-applied",IF(ROUND(AN198-AO198,2)=0,"Fully Utilised","Unconsumed")))</f>
      </c>
      <c r="F198" s="24"/>
      <c r="G198" s="25"/>
      <c r="H198" s="25"/>
      <c r="I198" s="26"/>
      <c r="J198" s="26"/>
      <c r="K198" s="26"/>
      <c r="L198" s="26"/>
      <c r="M198" s="26"/>
      <c r="N198" s="26"/>
      <c r="O198" s="26"/>
      <c r="P198" s="27">
        <f>IF($B198&lt;&gt;"Challan","",I198+J198+K198+L198+M198+N198)</f>
      </c>
      <c r="Q198" s="25"/>
      <c r="R198" s="25"/>
      <c r="S198" s="25"/>
      <c r="T198" s="25"/>
      <c r="U198" s="25"/>
      <c r="V198" s="28"/>
      <c r="W198" s="28"/>
      <c r="X198" s="23">
        <f>IF($B198="Entry",IF(AND(LEN(TRIM(UPPER(W198)))=10,CODE(MID(TRIM(UPPER(W198)),1,1))&gt;=65,CODE(MID(TRIM(UPPER(W198)),1,1))&lt;=90,CODE(MID(TRIM(UPPER(W198)),2,1))&gt;=65,CODE(MID(TRIM(UPPER(W198)),2,1))&lt;=90,CODE(MID(TRIM(UPPER(W198)),3,1))&gt;=65,CODE(MID(TRIM(UPPER(W198)),3,1))&lt;=90,CODE(MID(TRIM(UPPER(W198)),4,1))&gt;=65,CODE(MID(TRIM(UPPER(W198)),4,1))&lt;=90,CODE(MID(TRIM(UPPER(W198)),5,1))&gt;=65,CODE(MID(TRIM(UPPER(W198)),5,1))&lt;=90,CODE(MID(TRIM(UPPER(W198)),10,1))&gt;=65,CODE(MID(TRIM(UPPER(W198)),10,1))&lt;=90,CODE(MID(TRIM(UPPER(W198)),6,1))&gt;=48,CODE(MID(TRIM(UPPER(W198)),6,1))&lt;=57,CODE(MID(TRIM(UPPER(W198)),7,1))&gt;=48,CODE(MID(TRIM(UPPER(W198)),7,1))&lt;=57,CODE(MID(TRIM(UPPER(W198)),8,1))&gt;=48,CODE(MID(TRIM(UPPER(W198)),8,1))&lt;=57,CODE(MID(TRIM(UPPER(W198)),9,1))&gt;=48,CODE(MID(TRIM(UPPER(W198)),9,1))&lt;=57),"N","Y"),IF($B198="Challan","",IF(W198&lt;&gt;"","◄ Set Row Type","")))</f>
      </c>
      <c r="Y198" s="23">
        <f>IF($B198="Entry",IF(LEN(W198)&lt;4,"",IF(UPPER(MID(W198,4,1))="P","Individual",IF(UPPER(MID(W198,4,1))="H","HUF",IF(UPPER(MID(W198,4,1))="C","Company",IF(UPPER(MID(W198,4,1))="F","Firm",IF(UPPER(MID(W198,4,1))="L","LLP",IF(UPPER(MID(W198,4,1))="T","Trust",IF(UPPER(MID(W198,4,1))="A","AOP","")))))))),IF($B198="Challan","",IF(W198&lt;&gt;"","◄ Set Row Type","")))</f>
      </c>
      <c r="Z198" s="28"/>
      <c r="AA198" s="29">
        <f>IF($B198&lt;&gt;"Entry","",IF(Z198="","",IF(X198="Y",SUMPRODUCT(('Rate Lookup'!$A$1:$A$37=Z198)*'Rate Lookup'!$D$1:$D$37),IF(OR(Y198="Individual",Y198="HUF"),SUMPRODUCT(('Rate Lookup'!$A$1:$A$37=Z198)*'Rate Lookup'!$B$1:$B$37),SUMPRODUCT(('Rate Lookup'!$A$1:$A$37=Z198)*'Rate Lookup'!$C$1:$C$37)))))</f>
      </c>
      <c r="AB198" s="30"/>
      <c r="AC198" s="31"/>
      <c r="AD198" s="27">
        <f>IF($B198&lt;&gt;"Entry","",ROUND(AC198*AA198/100,0))</f>
      </c>
      <c r="AE198" s="27">
        <f>IF($B198&lt;&gt;"Entry","",0)</f>
      </c>
      <c r="AF198" s="27">
        <f>IF($B198&lt;&gt;"Entry","",0)</f>
      </c>
      <c r="AG198" s="27">
        <f>IF($B198&lt;&gt;"Entry","",IF(OR(AD198=0,AB198="",AQ198="",AQ198&lt;=0),0,IF(AQ198&lt;=DATE(YEAR(AB198),MONTH(AB198)+1,7),0,ROUND(AD198*0.015*((YEAR(AQ198)-YEAR(AB198))*12+(MONTH(AQ198)-MONTH(AB198))+1),0))))</f>
      </c>
      <c r="AH198" s="27">
        <f>IF($B198&lt;&gt;"Entry","",0)</f>
      </c>
      <c r="AI198" s="28"/>
      <c r="AJ198" s="28"/>
      <c r="AK198" s="32"/>
      <c r="AL198" s="28"/>
      <c r="AM198" s="28"/>
      <c r="AN198" s="27">
        <f>IF($B198&lt;&gt;"Challan","",SUMIF('Q1 Data'!$D$4:$D$207,D198,'Q1 Data'!$AD$4:$AD$207)+SUMIF('Q1 Data'!$D$4:$D$207,D198,'Q1 Data'!$AG$4:$AG$207)+SUMIF('Q1 Data'!$D$4:$D$207,D198,'Q1 Data'!$AE$4:$AE$207)+SUMIF('Q2 Data'!$D$4:$D$207,D198,'Q2 Data'!$AD$4:$AD$207)+SUMIF('Q2 Data'!$D$4:$D$207,D198,'Q2 Data'!$AG$4:$AG$207)+SUMIF('Q2 Data'!$D$4:$D$207,D198,'Q2 Data'!$AE$4:$AE$207)+SUMIF('Q3 Data'!$D$4:$D$207,D198,'Q3 Data'!$AD$4:$AD$207)+SUMIF('Q3 Data'!$D$4:$D$207,D198,'Q3 Data'!$AG$4:$AG$207)+SUMIF('Q3 Data'!$D$4:$D$207,D198,'Q3 Data'!$AE$4:$AE$207)+SUMIF('Q4 Data'!$D$4:$D$207,D198,'Q4 Data'!$AD$4:$AD$207)+SUMIF('Q4 Data'!$D$4:$D$207,D198,'Q4 Data'!$AG$4:$AG$207)+SUMIF('Q4 Data'!$D$4:$D$207,D198,'Q4 Data'!$AE$4:$AE$207))</f>
      </c>
      <c r="AO198" s="27">
        <f>IF($B198&lt;&gt;"Challan","",P198-N198)</f>
      </c>
      <c r="AP198" s="27">
        <f>IF($B198&lt;&gt;"Challan","",MAX(0,AO198-AN198))</f>
      </c>
      <c r="AQ198" s="33">
        <f>IF($B198&lt;&gt;"Entry","",SUMPRODUCT(('Q1 Data'!$D$4:$D$207=D198)*('Q1 Data'!$B$4:$B$207="Challan")*'Q1 Data'!$F$4:$F$207)+SUMPRODUCT(('Q2 Data'!$D$4:$D$207=D198)*('Q2 Data'!$B$4:$B$207="Challan")*'Q2 Data'!$F$4:$F$207)+SUMPRODUCT(('Q3 Data'!$D$4:$D$207=D198)*('Q3 Data'!$B$4:$B$207="Challan")*'Q3 Data'!$F$4:$F$207)+SUMPRODUCT(('Q4 Data'!$D$4:$D$207=D198)*('Q4 Data'!$B$4:$B$207="Challan")*'Q4 Data'!$F$4:$F$207))</f>
      </c>
      <c r="AR198" s="34">
        <f>IF(OR($B198&lt;&gt;"Entry",Z198=""),FALSE,AND((SUMPRODUCT(('Q1 Data'!$D$4:$D$207=D198)*('Q1 Data'!$B$4:$B$207="Challan")*('Q1 Data'!$H$4:$H$207&lt;&gt;""))+SUMPRODUCT(('Q2 Data'!$D$4:$D$207=D198)*('Q2 Data'!$B$4:$B$207="Challan")*('Q2 Data'!$H$4:$H$207&lt;&gt;""))+SUMPRODUCT(('Q3 Data'!$D$4:$D$207=D198)*('Q3 Data'!$B$4:$B$207="Challan")*('Q3 Data'!$H$4:$H$207&lt;&gt;""))+SUMPRODUCT(('Q4 Data'!$D$4:$D$207=D198)*('Q4 Data'!$B$4:$B$207="Challan")*('Q4 Data'!$H$4:$H$207&lt;&gt;"")))&gt;0,(SUMPRODUCT(('Q1 Data'!$D$4:$D$207=D198)*('Q1 Data'!$B$4:$B$207="Challan")*('Q1 Data'!$H$4:$H$207=Z198))+SUMPRODUCT(('Q2 Data'!$D$4:$D$207=D198)*('Q2 Data'!$B$4:$B$207="Challan")*('Q2 Data'!$H$4:$H$207=Z198))+SUMPRODUCT(('Q3 Data'!$D$4:$D$207=D198)*('Q3 Data'!$B$4:$B$207="Challan")*('Q3 Data'!$H$4:$H$207=Z198))+SUMPRODUCT(('Q4 Data'!$D$4:$D$207=D198)*('Q4 Data'!$B$4:$B$207="Challan")*('Q4 Data'!$H$4:$H$207=Z198)))=0))</f>
      </c>
    </row>
    <row r="199" spans="1:44" x14ac:dyDescent="0.25">
      <c r="A199" s="20">
        <f>IF($B199="Entry",COUNTIF($B$4:$B199,"Entry"),"")</f>
      </c>
      <c r="B199" s="21"/>
      <c r="C199" s="22"/>
      <c r="D199" s="22"/>
      <c r="E199" s="23">
        <f>IF($B199&lt;&gt;"Challan","",IF(ROUND(AN199-AO199,2)&gt;0,"Over-applied",IF(ROUND(AN199-AO199,2)=0,"Fully Utilised","Unconsumed")))</f>
      </c>
      <c r="F199" s="24"/>
      <c r="G199" s="25"/>
      <c r="H199" s="25"/>
      <c r="I199" s="26"/>
      <c r="J199" s="26"/>
      <c r="K199" s="26"/>
      <c r="L199" s="26"/>
      <c r="M199" s="26"/>
      <c r="N199" s="26"/>
      <c r="O199" s="26"/>
      <c r="P199" s="27">
        <f>IF($B199&lt;&gt;"Challan","",I199+J199+K199+L199+M199+N199)</f>
      </c>
      <c r="Q199" s="25"/>
      <c r="R199" s="25"/>
      <c r="S199" s="25"/>
      <c r="T199" s="25"/>
      <c r="U199" s="25"/>
      <c r="V199" s="28"/>
      <c r="W199" s="28"/>
      <c r="X199" s="23">
        <f>IF($B199="Entry",IF(AND(LEN(TRIM(UPPER(W199)))=10,CODE(MID(TRIM(UPPER(W199)),1,1))&gt;=65,CODE(MID(TRIM(UPPER(W199)),1,1))&lt;=90,CODE(MID(TRIM(UPPER(W199)),2,1))&gt;=65,CODE(MID(TRIM(UPPER(W199)),2,1))&lt;=90,CODE(MID(TRIM(UPPER(W199)),3,1))&gt;=65,CODE(MID(TRIM(UPPER(W199)),3,1))&lt;=90,CODE(MID(TRIM(UPPER(W199)),4,1))&gt;=65,CODE(MID(TRIM(UPPER(W199)),4,1))&lt;=90,CODE(MID(TRIM(UPPER(W199)),5,1))&gt;=65,CODE(MID(TRIM(UPPER(W199)),5,1))&lt;=90,CODE(MID(TRIM(UPPER(W199)),10,1))&gt;=65,CODE(MID(TRIM(UPPER(W199)),10,1))&lt;=90,CODE(MID(TRIM(UPPER(W199)),6,1))&gt;=48,CODE(MID(TRIM(UPPER(W199)),6,1))&lt;=57,CODE(MID(TRIM(UPPER(W199)),7,1))&gt;=48,CODE(MID(TRIM(UPPER(W199)),7,1))&lt;=57,CODE(MID(TRIM(UPPER(W199)),8,1))&gt;=48,CODE(MID(TRIM(UPPER(W199)),8,1))&lt;=57,CODE(MID(TRIM(UPPER(W199)),9,1))&gt;=48,CODE(MID(TRIM(UPPER(W199)),9,1))&lt;=57),"N","Y"),IF($B199="Challan","",IF(W199&lt;&gt;"","◄ Set Row Type","")))</f>
      </c>
      <c r="Y199" s="23">
        <f>IF($B199="Entry",IF(LEN(W199)&lt;4,"",IF(UPPER(MID(W199,4,1))="P","Individual",IF(UPPER(MID(W199,4,1))="H","HUF",IF(UPPER(MID(W199,4,1))="C","Company",IF(UPPER(MID(W199,4,1))="F","Firm",IF(UPPER(MID(W199,4,1))="L","LLP",IF(UPPER(MID(W199,4,1))="T","Trust",IF(UPPER(MID(W199,4,1))="A","AOP","")))))))),IF($B199="Challan","",IF(W199&lt;&gt;"","◄ Set Row Type","")))</f>
      </c>
      <c r="Z199" s="28"/>
      <c r="AA199" s="29">
        <f>IF($B199&lt;&gt;"Entry","",IF(Z199="","",IF(X199="Y",SUMPRODUCT(('Rate Lookup'!$A$1:$A$37=Z199)*'Rate Lookup'!$D$1:$D$37),IF(OR(Y199="Individual",Y199="HUF"),SUMPRODUCT(('Rate Lookup'!$A$1:$A$37=Z199)*'Rate Lookup'!$B$1:$B$37),SUMPRODUCT(('Rate Lookup'!$A$1:$A$37=Z199)*'Rate Lookup'!$C$1:$C$37)))))</f>
      </c>
      <c r="AB199" s="30"/>
      <c r="AC199" s="31"/>
      <c r="AD199" s="27">
        <f>IF($B199&lt;&gt;"Entry","",ROUND(AC199*AA199/100,0))</f>
      </c>
      <c r="AE199" s="27">
        <f>IF($B199&lt;&gt;"Entry","",0)</f>
      </c>
      <c r="AF199" s="27">
        <f>IF($B199&lt;&gt;"Entry","",0)</f>
      </c>
      <c r="AG199" s="27">
        <f>IF($B199&lt;&gt;"Entry","",IF(OR(AD199=0,AB199="",AQ199="",AQ199&lt;=0),0,IF(AQ199&lt;=DATE(YEAR(AB199),MONTH(AB199)+1,7),0,ROUND(AD199*0.015*((YEAR(AQ199)-YEAR(AB199))*12+(MONTH(AQ199)-MONTH(AB199))+1),0))))</f>
      </c>
      <c r="AH199" s="27">
        <f>IF($B199&lt;&gt;"Entry","",0)</f>
      </c>
      <c r="AI199" s="28"/>
      <c r="AJ199" s="28"/>
      <c r="AK199" s="32"/>
      <c r="AL199" s="28"/>
      <c r="AM199" s="28"/>
      <c r="AN199" s="27">
        <f>IF($B199&lt;&gt;"Challan","",SUMIF('Q1 Data'!$D$4:$D$207,D199,'Q1 Data'!$AD$4:$AD$207)+SUMIF('Q1 Data'!$D$4:$D$207,D199,'Q1 Data'!$AG$4:$AG$207)+SUMIF('Q1 Data'!$D$4:$D$207,D199,'Q1 Data'!$AE$4:$AE$207)+SUMIF('Q2 Data'!$D$4:$D$207,D199,'Q2 Data'!$AD$4:$AD$207)+SUMIF('Q2 Data'!$D$4:$D$207,D199,'Q2 Data'!$AG$4:$AG$207)+SUMIF('Q2 Data'!$D$4:$D$207,D199,'Q2 Data'!$AE$4:$AE$207)+SUMIF('Q3 Data'!$D$4:$D$207,D199,'Q3 Data'!$AD$4:$AD$207)+SUMIF('Q3 Data'!$D$4:$D$207,D199,'Q3 Data'!$AG$4:$AG$207)+SUMIF('Q3 Data'!$D$4:$D$207,D199,'Q3 Data'!$AE$4:$AE$207)+SUMIF('Q4 Data'!$D$4:$D$207,D199,'Q4 Data'!$AD$4:$AD$207)+SUMIF('Q4 Data'!$D$4:$D$207,D199,'Q4 Data'!$AG$4:$AG$207)+SUMIF('Q4 Data'!$D$4:$D$207,D199,'Q4 Data'!$AE$4:$AE$207))</f>
      </c>
      <c r="AO199" s="27">
        <f>IF($B199&lt;&gt;"Challan","",P199-N199)</f>
      </c>
      <c r="AP199" s="27">
        <f>IF($B199&lt;&gt;"Challan","",MAX(0,AO199-AN199))</f>
      </c>
      <c r="AQ199" s="33">
        <f>IF($B199&lt;&gt;"Entry","",SUMPRODUCT(('Q1 Data'!$D$4:$D$207=D199)*('Q1 Data'!$B$4:$B$207="Challan")*'Q1 Data'!$F$4:$F$207)+SUMPRODUCT(('Q2 Data'!$D$4:$D$207=D199)*('Q2 Data'!$B$4:$B$207="Challan")*'Q2 Data'!$F$4:$F$207)+SUMPRODUCT(('Q3 Data'!$D$4:$D$207=D199)*('Q3 Data'!$B$4:$B$207="Challan")*'Q3 Data'!$F$4:$F$207)+SUMPRODUCT(('Q4 Data'!$D$4:$D$207=D199)*('Q4 Data'!$B$4:$B$207="Challan")*'Q4 Data'!$F$4:$F$207))</f>
      </c>
      <c r="AR199" s="34">
        <f>IF(OR($B199&lt;&gt;"Entry",Z199=""),FALSE,AND((SUMPRODUCT(('Q1 Data'!$D$4:$D$207=D199)*('Q1 Data'!$B$4:$B$207="Challan")*('Q1 Data'!$H$4:$H$207&lt;&gt;""))+SUMPRODUCT(('Q2 Data'!$D$4:$D$207=D199)*('Q2 Data'!$B$4:$B$207="Challan")*('Q2 Data'!$H$4:$H$207&lt;&gt;""))+SUMPRODUCT(('Q3 Data'!$D$4:$D$207=D199)*('Q3 Data'!$B$4:$B$207="Challan")*('Q3 Data'!$H$4:$H$207&lt;&gt;""))+SUMPRODUCT(('Q4 Data'!$D$4:$D$207=D199)*('Q4 Data'!$B$4:$B$207="Challan")*('Q4 Data'!$H$4:$H$207&lt;&gt;"")))&gt;0,(SUMPRODUCT(('Q1 Data'!$D$4:$D$207=D199)*('Q1 Data'!$B$4:$B$207="Challan")*('Q1 Data'!$H$4:$H$207=Z199))+SUMPRODUCT(('Q2 Data'!$D$4:$D$207=D199)*('Q2 Data'!$B$4:$B$207="Challan")*('Q2 Data'!$H$4:$H$207=Z199))+SUMPRODUCT(('Q3 Data'!$D$4:$D$207=D199)*('Q3 Data'!$B$4:$B$207="Challan")*('Q3 Data'!$H$4:$H$207=Z199))+SUMPRODUCT(('Q4 Data'!$D$4:$D$207=D199)*('Q4 Data'!$B$4:$B$207="Challan")*('Q4 Data'!$H$4:$H$207=Z199)))=0))</f>
      </c>
    </row>
    <row r="200" spans="1:44" x14ac:dyDescent="0.25">
      <c r="A200" s="20">
        <f>IF($B200="Entry",COUNTIF($B$4:$B200,"Entry"),"")</f>
      </c>
      <c r="B200" s="21"/>
      <c r="C200" s="22"/>
      <c r="D200" s="22"/>
      <c r="E200" s="23">
        <f>IF($B200&lt;&gt;"Challan","",IF(ROUND(AN200-AO200,2)&gt;0,"Over-applied",IF(ROUND(AN200-AO200,2)=0,"Fully Utilised","Unconsumed")))</f>
      </c>
      <c r="F200" s="24"/>
      <c r="G200" s="25"/>
      <c r="H200" s="25"/>
      <c r="I200" s="26"/>
      <c r="J200" s="26"/>
      <c r="K200" s="26"/>
      <c r="L200" s="26"/>
      <c r="M200" s="26"/>
      <c r="N200" s="26"/>
      <c r="O200" s="26"/>
      <c r="P200" s="27">
        <f>IF($B200&lt;&gt;"Challan","",I200+J200+K200+L200+M200+N200)</f>
      </c>
      <c r="Q200" s="25"/>
      <c r="R200" s="25"/>
      <c r="S200" s="25"/>
      <c r="T200" s="25"/>
      <c r="U200" s="25"/>
      <c r="V200" s="28"/>
      <c r="W200" s="28"/>
      <c r="X200" s="23">
        <f>IF($B200="Entry",IF(AND(LEN(TRIM(UPPER(W200)))=10,CODE(MID(TRIM(UPPER(W200)),1,1))&gt;=65,CODE(MID(TRIM(UPPER(W200)),1,1))&lt;=90,CODE(MID(TRIM(UPPER(W200)),2,1))&gt;=65,CODE(MID(TRIM(UPPER(W200)),2,1))&lt;=90,CODE(MID(TRIM(UPPER(W200)),3,1))&gt;=65,CODE(MID(TRIM(UPPER(W200)),3,1))&lt;=90,CODE(MID(TRIM(UPPER(W200)),4,1))&gt;=65,CODE(MID(TRIM(UPPER(W200)),4,1))&lt;=90,CODE(MID(TRIM(UPPER(W200)),5,1))&gt;=65,CODE(MID(TRIM(UPPER(W200)),5,1))&lt;=90,CODE(MID(TRIM(UPPER(W200)),10,1))&gt;=65,CODE(MID(TRIM(UPPER(W200)),10,1))&lt;=90,CODE(MID(TRIM(UPPER(W200)),6,1))&gt;=48,CODE(MID(TRIM(UPPER(W200)),6,1))&lt;=57,CODE(MID(TRIM(UPPER(W200)),7,1))&gt;=48,CODE(MID(TRIM(UPPER(W200)),7,1))&lt;=57,CODE(MID(TRIM(UPPER(W200)),8,1))&gt;=48,CODE(MID(TRIM(UPPER(W200)),8,1))&lt;=57,CODE(MID(TRIM(UPPER(W200)),9,1))&gt;=48,CODE(MID(TRIM(UPPER(W200)),9,1))&lt;=57),"N","Y"),IF($B200="Challan","",IF(W200&lt;&gt;"","◄ Set Row Type","")))</f>
      </c>
      <c r="Y200" s="23">
        <f>IF($B200="Entry",IF(LEN(W200)&lt;4,"",IF(UPPER(MID(W200,4,1))="P","Individual",IF(UPPER(MID(W200,4,1))="H","HUF",IF(UPPER(MID(W200,4,1))="C","Company",IF(UPPER(MID(W200,4,1))="F","Firm",IF(UPPER(MID(W200,4,1))="L","LLP",IF(UPPER(MID(W200,4,1))="T","Trust",IF(UPPER(MID(W200,4,1))="A","AOP","")))))))),IF($B200="Challan","",IF(W200&lt;&gt;"","◄ Set Row Type","")))</f>
      </c>
      <c r="Z200" s="28"/>
      <c r="AA200" s="29">
        <f>IF($B200&lt;&gt;"Entry","",IF(Z200="","",IF(X200="Y",SUMPRODUCT(('Rate Lookup'!$A$1:$A$37=Z200)*'Rate Lookup'!$D$1:$D$37),IF(OR(Y200="Individual",Y200="HUF"),SUMPRODUCT(('Rate Lookup'!$A$1:$A$37=Z200)*'Rate Lookup'!$B$1:$B$37),SUMPRODUCT(('Rate Lookup'!$A$1:$A$37=Z200)*'Rate Lookup'!$C$1:$C$37)))))</f>
      </c>
      <c r="AB200" s="30"/>
      <c r="AC200" s="31"/>
      <c r="AD200" s="27">
        <f>IF($B200&lt;&gt;"Entry","",ROUND(AC200*AA200/100,0))</f>
      </c>
      <c r="AE200" s="27">
        <f>IF($B200&lt;&gt;"Entry","",0)</f>
      </c>
      <c r="AF200" s="27">
        <f>IF($B200&lt;&gt;"Entry","",0)</f>
      </c>
      <c r="AG200" s="27">
        <f>IF($B200&lt;&gt;"Entry","",IF(OR(AD200=0,AB200="",AQ200="",AQ200&lt;=0),0,IF(AQ200&lt;=DATE(YEAR(AB200),MONTH(AB200)+1,7),0,ROUND(AD200*0.015*((YEAR(AQ200)-YEAR(AB200))*12+(MONTH(AQ200)-MONTH(AB200))+1),0))))</f>
      </c>
      <c r="AH200" s="27">
        <f>IF($B200&lt;&gt;"Entry","",0)</f>
      </c>
      <c r="AI200" s="28"/>
      <c r="AJ200" s="28"/>
      <c r="AK200" s="32"/>
      <c r="AL200" s="28"/>
      <c r="AM200" s="28"/>
      <c r="AN200" s="27">
        <f>IF($B200&lt;&gt;"Challan","",SUMIF('Q1 Data'!$D$4:$D$207,D200,'Q1 Data'!$AD$4:$AD$207)+SUMIF('Q1 Data'!$D$4:$D$207,D200,'Q1 Data'!$AG$4:$AG$207)+SUMIF('Q1 Data'!$D$4:$D$207,D200,'Q1 Data'!$AE$4:$AE$207)+SUMIF('Q2 Data'!$D$4:$D$207,D200,'Q2 Data'!$AD$4:$AD$207)+SUMIF('Q2 Data'!$D$4:$D$207,D200,'Q2 Data'!$AG$4:$AG$207)+SUMIF('Q2 Data'!$D$4:$D$207,D200,'Q2 Data'!$AE$4:$AE$207)+SUMIF('Q3 Data'!$D$4:$D$207,D200,'Q3 Data'!$AD$4:$AD$207)+SUMIF('Q3 Data'!$D$4:$D$207,D200,'Q3 Data'!$AG$4:$AG$207)+SUMIF('Q3 Data'!$D$4:$D$207,D200,'Q3 Data'!$AE$4:$AE$207)+SUMIF('Q4 Data'!$D$4:$D$207,D200,'Q4 Data'!$AD$4:$AD$207)+SUMIF('Q4 Data'!$D$4:$D$207,D200,'Q4 Data'!$AG$4:$AG$207)+SUMIF('Q4 Data'!$D$4:$D$207,D200,'Q4 Data'!$AE$4:$AE$207))</f>
      </c>
      <c r="AO200" s="27">
        <f>IF($B200&lt;&gt;"Challan","",P200-N200)</f>
      </c>
      <c r="AP200" s="27">
        <f>IF($B200&lt;&gt;"Challan","",MAX(0,AO200-AN200))</f>
      </c>
      <c r="AQ200" s="33">
        <f>IF($B200&lt;&gt;"Entry","",SUMPRODUCT(('Q1 Data'!$D$4:$D$207=D200)*('Q1 Data'!$B$4:$B$207="Challan")*'Q1 Data'!$F$4:$F$207)+SUMPRODUCT(('Q2 Data'!$D$4:$D$207=D200)*('Q2 Data'!$B$4:$B$207="Challan")*'Q2 Data'!$F$4:$F$207)+SUMPRODUCT(('Q3 Data'!$D$4:$D$207=D200)*('Q3 Data'!$B$4:$B$207="Challan")*'Q3 Data'!$F$4:$F$207)+SUMPRODUCT(('Q4 Data'!$D$4:$D$207=D200)*('Q4 Data'!$B$4:$B$207="Challan")*'Q4 Data'!$F$4:$F$207))</f>
      </c>
      <c r="AR200" s="34">
        <f>IF(OR($B200&lt;&gt;"Entry",Z200=""),FALSE,AND((SUMPRODUCT(('Q1 Data'!$D$4:$D$207=D200)*('Q1 Data'!$B$4:$B$207="Challan")*('Q1 Data'!$H$4:$H$207&lt;&gt;""))+SUMPRODUCT(('Q2 Data'!$D$4:$D$207=D200)*('Q2 Data'!$B$4:$B$207="Challan")*('Q2 Data'!$H$4:$H$207&lt;&gt;""))+SUMPRODUCT(('Q3 Data'!$D$4:$D$207=D200)*('Q3 Data'!$B$4:$B$207="Challan")*('Q3 Data'!$H$4:$H$207&lt;&gt;""))+SUMPRODUCT(('Q4 Data'!$D$4:$D$207=D200)*('Q4 Data'!$B$4:$B$207="Challan")*('Q4 Data'!$H$4:$H$207&lt;&gt;"")))&gt;0,(SUMPRODUCT(('Q1 Data'!$D$4:$D$207=D200)*('Q1 Data'!$B$4:$B$207="Challan")*('Q1 Data'!$H$4:$H$207=Z200))+SUMPRODUCT(('Q2 Data'!$D$4:$D$207=D200)*('Q2 Data'!$B$4:$B$207="Challan")*('Q2 Data'!$H$4:$H$207=Z200))+SUMPRODUCT(('Q3 Data'!$D$4:$D$207=D200)*('Q3 Data'!$B$4:$B$207="Challan")*('Q3 Data'!$H$4:$H$207=Z200))+SUMPRODUCT(('Q4 Data'!$D$4:$D$207=D200)*('Q4 Data'!$B$4:$B$207="Challan")*('Q4 Data'!$H$4:$H$207=Z200)))=0))</f>
      </c>
    </row>
    <row r="201" spans="1:44" x14ac:dyDescent="0.25">
      <c r="A201" s="20">
        <f>IF($B201="Entry",COUNTIF($B$4:$B201,"Entry"),"")</f>
      </c>
      <c r="B201" s="21"/>
      <c r="C201" s="22"/>
      <c r="D201" s="22"/>
      <c r="E201" s="23">
        <f>IF($B201&lt;&gt;"Challan","",IF(ROUND(AN201-AO201,2)&gt;0,"Over-applied",IF(ROUND(AN201-AO201,2)=0,"Fully Utilised","Unconsumed")))</f>
      </c>
      <c r="F201" s="24"/>
      <c r="G201" s="25"/>
      <c r="H201" s="25"/>
      <c r="I201" s="26"/>
      <c r="J201" s="26"/>
      <c r="K201" s="26"/>
      <c r="L201" s="26"/>
      <c r="M201" s="26"/>
      <c r="N201" s="26"/>
      <c r="O201" s="26"/>
      <c r="P201" s="27">
        <f>IF($B201&lt;&gt;"Challan","",I201+J201+K201+L201+M201+N201)</f>
      </c>
      <c r="Q201" s="25"/>
      <c r="R201" s="25"/>
      <c r="S201" s="25"/>
      <c r="T201" s="25"/>
      <c r="U201" s="25"/>
      <c r="V201" s="28"/>
      <c r="W201" s="28"/>
      <c r="X201" s="23">
        <f>IF($B201="Entry",IF(AND(LEN(TRIM(UPPER(W201)))=10,CODE(MID(TRIM(UPPER(W201)),1,1))&gt;=65,CODE(MID(TRIM(UPPER(W201)),1,1))&lt;=90,CODE(MID(TRIM(UPPER(W201)),2,1))&gt;=65,CODE(MID(TRIM(UPPER(W201)),2,1))&lt;=90,CODE(MID(TRIM(UPPER(W201)),3,1))&gt;=65,CODE(MID(TRIM(UPPER(W201)),3,1))&lt;=90,CODE(MID(TRIM(UPPER(W201)),4,1))&gt;=65,CODE(MID(TRIM(UPPER(W201)),4,1))&lt;=90,CODE(MID(TRIM(UPPER(W201)),5,1))&gt;=65,CODE(MID(TRIM(UPPER(W201)),5,1))&lt;=90,CODE(MID(TRIM(UPPER(W201)),10,1))&gt;=65,CODE(MID(TRIM(UPPER(W201)),10,1))&lt;=90,CODE(MID(TRIM(UPPER(W201)),6,1))&gt;=48,CODE(MID(TRIM(UPPER(W201)),6,1))&lt;=57,CODE(MID(TRIM(UPPER(W201)),7,1))&gt;=48,CODE(MID(TRIM(UPPER(W201)),7,1))&lt;=57,CODE(MID(TRIM(UPPER(W201)),8,1))&gt;=48,CODE(MID(TRIM(UPPER(W201)),8,1))&lt;=57,CODE(MID(TRIM(UPPER(W201)),9,1))&gt;=48,CODE(MID(TRIM(UPPER(W201)),9,1))&lt;=57),"N","Y"),IF($B201="Challan","",IF(W201&lt;&gt;"","◄ Set Row Type","")))</f>
      </c>
      <c r="Y201" s="23">
        <f>IF($B201="Entry",IF(LEN(W201)&lt;4,"",IF(UPPER(MID(W201,4,1))="P","Individual",IF(UPPER(MID(W201,4,1))="H","HUF",IF(UPPER(MID(W201,4,1))="C","Company",IF(UPPER(MID(W201,4,1))="F","Firm",IF(UPPER(MID(W201,4,1))="L","LLP",IF(UPPER(MID(W201,4,1))="T","Trust",IF(UPPER(MID(W201,4,1))="A","AOP","")))))))),IF($B201="Challan","",IF(W201&lt;&gt;"","◄ Set Row Type","")))</f>
      </c>
      <c r="Z201" s="28"/>
      <c r="AA201" s="29">
        <f>IF($B201&lt;&gt;"Entry","",IF(Z201="","",IF(X201="Y",SUMPRODUCT(('Rate Lookup'!$A$1:$A$37=Z201)*'Rate Lookup'!$D$1:$D$37),IF(OR(Y201="Individual",Y201="HUF"),SUMPRODUCT(('Rate Lookup'!$A$1:$A$37=Z201)*'Rate Lookup'!$B$1:$B$37),SUMPRODUCT(('Rate Lookup'!$A$1:$A$37=Z201)*'Rate Lookup'!$C$1:$C$37)))))</f>
      </c>
      <c r="AB201" s="30"/>
      <c r="AC201" s="31"/>
      <c r="AD201" s="27">
        <f>IF($B201&lt;&gt;"Entry","",ROUND(AC201*AA201/100,0))</f>
      </c>
      <c r="AE201" s="27">
        <f>IF($B201&lt;&gt;"Entry","",0)</f>
      </c>
      <c r="AF201" s="27">
        <f>IF($B201&lt;&gt;"Entry","",0)</f>
      </c>
      <c r="AG201" s="27">
        <f>IF($B201&lt;&gt;"Entry","",IF(OR(AD201=0,AB201="",AQ201="",AQ201&lt;=0),0,IF(AQ201&lt;=DATE(YEAR(AB201),MONTH(AB201)+1,7),0,ROUND(AD201*0.015*((YEAR(AQ201)-YEAR(AB201))*12+(MONTH(AQ201)-MONTH(AB201))+1),0))))</f>
      </c>
      <c r="AH201" s="27">
        <f>IF($B201&lt;&gt;"Entry","",0)</f>
      </c>
      <c r="AI201" s="28"/>
      <c r="AJ201" s="28"/>
      <c r="AK201" s="32"/>
      <c r="AL201" s="28"/>
      <c r="AM201" s="28"/>
      <c r="AN201" s="27">
        <f>IF($B201&lt;&gt;"Challan","",SUMIF('Q1 Data'!$D$4:$D$207,D201,'Q1 Data'!$AD$4:$AD$207)+SUMIF('Q1 Data'!$D$4:$D$207,D201,'Q1 Data'!$AG$4:$AG$207)+SUMIF('Q1 Data'!$D$4:$D$207,D201,'Q1 Data'!$AE$4:$AE$207)+SUMIF('Q2 Data'!$D$4:$D$207,D201,'Q2 Data'!$AD$4:$AD$207)+SUMIF('Q2 Data'!$D$4:$D$207,D201,'Q2 Data'!$AG$4:$AG$207)+SUMIF('Q2 Data'!$D$4:$D$207,D201,'Q2 Data'!$AE$4:$AE$207)+SUMIF('Q3 Data'!$D$4:$D$207,D201,'Q3 Data'!$AD$4:$AD$207)+SUMIF('Q3 Data'!$D$4:$D$207,D201,'Q3 Data'!$AG$4:$AG$207)+SUMIF('Q3 Data'!$D$4:$D$207,D201,'Q3 Data'!$AE$4:$AE$207)+SUMIF('Q4 Data'!$D$4:$D$207,D201,'Q4 Data'!$AD$4:$AD$207)+SUMIF('Q4 Data'!$D$4:$D$207,D201,'Q4 Data'!$AG$4:$AG$207)+SUMIF('Q4 Data'!$D$4:$D$207,D201,'Q4 Data'!$AE$4:$AE$207))</f>
      </c>
      <c r="AO201" s="27">
        <f>IF($B201&lt;&gt;"Challan","",P201-N201)</f>
      </c>
      <c r="AP201" s="27">
        <f>IF($B201&lt;&gt;"Challan","",MAX(0,AO201-AN201))</f>
      </c>
      <c r="AQ201" s="33">
        <f>IF($B201&lt;&gt;"Entry","",SUMPRODUCT(('Q1 Data'!$D$4:$D$207=D201)*('Q1 Data'!$B$4:$B$207="Challan")*'Q1 Data'!$F$4:$F$207)+SUMPRODUCT(('Q2 Data'!$D$4:$D$207=D201)*('Q2 Data'!$B$4:$B$207="Challan")*'Q2 Data'!$F$4:$F$207)+SUMPRODUCT(('Q3 Data'!$D$4:$D$207=D201)*('Q3 Data'!$B$4:$B$207="Challan")*'Q3 Data'!$F$4:$F$207)+SUMPRODUCT(('Q4 Data'!$D$4:$D$207=D201)*('Q4 Data'!$B$4:$B$207="Challan")*'Q4 Data'!$F$4:$F$207))</f>
      </c>
      <c r="AR201" s="34">
        <f>IF(OR($B201&lt;&gt;"Entry",Z201=""),FALSE,AND((SUMPRODUCT(('Q1 Data'!$D$4:$D$207=D201)*('Q1 Data'!$B$4:$B$207="Challan")*('Q1 Data'!$H$4:$H$207&lt;&gt;""))+SUMPRODUCT(('Q2 Data'!$D$4:$D$207=D201)*('Q2 Data'!$B$4:$B$207="Challan")*('Q2 Data'!$H$4:$H$207&lt;&gt;""))+SUMPRODUCT(('Q3 Data'!$D$4:$D$207=D201)*('Q3 Data'!$B$4:$B$207="Challan")*('Q3 Data'!$H$4:$H$207&lt;&gt;""))+SUMPRODUCT(('Q4 Data'!$D$4:$D$207=D201)*('Q4 Data'!$B$4:$B$207="Challan")*('Q4 Data'!$H$4:$H$207&lt;&gt;"")))&gt;0,(SUMPRODUCT(('Q1 Data'!$D$4:$D$207=D201)*('Q1 Data'!$B$4:$B$207="Challan")*('Q1 Data'!$H$4:$H$207=Z201))+SUMPRODUCT(('Q2 Data'!$D$4:$D$207=D201)*('Q2 Data'!$B$4:$B$207="Challan")*('Q2 Data'!$H$4:$H$207=Z201))+SUMPRODUCT(('Q3 Data'!$D$4:$D$207=D201)*('Q3 Data'!$B$4:$B$207="Challan")*('Q3 Data'!$H$4:$H$207=Z201))+SUMPRODUCT(('Q4 Data'!$D$4:$D$207=D201)*('Q4 Data'!$B$4:$B$207="Challan")*('Q4 Data'!$H$4:$H$207=Z201)))=0))</f>
      </c>
    </row>
    <row r="202" spans="1:44" x14ac:dyDescent="0.25">
      <c r="A202" s="20">
        <f>IF($B202="Entry",COUNTIF($B$4:$B202,"Entry"),"")</f>
      </c>
      <c r="B202" s="21"/>
      <c r="C202" s="22"/>
      <c r="D202" s="22"/>
      <c r="E202" s="23">
        <f>IF($B202&lt;&gt;"Challan","",IF(ROUND(AN202-AO202,2)&gt;0,"Over-applied",IF(ROUND(AN202-AO202,2)=0,"Fully Utilised","Unconsumed")))</f>
      </c>
      <c r="F202" s="24"/>
      <c r="G202" s="25"/>
      <c r="H202" s="25"/>
      <c r="I202" s="26"/>
      <c r="J202" s="26"/>
      <c r="K202" s="26"/>
      <c r="L202" s="26"/>
      <c r="M202" s="26"/>
      <c r="N202" s="26"/>
      <c r="O202" s="26"/>
      <c r="P202" s="27">
        <f>IF($B202&lt;&gt;"Challan","",I202+J202+K202+L202+M202+N202)</f>
      </c>
      <c r="Q202" s="25"/>
      <c r="R202" s="25"/>
      <c r="S202" s="25"/>
      <c r="T202" s="25"/>
      <c r="U202" s="25"/>
      <c r="V202" s="28"/>
      <c r="W202" s="28"/>
      <c r="X202" s="23">
        <f>IF($B202="Entry",IF(AND(LEN(TRIM(UPPER(W202)))=10,CODE(MID(TRIM(UPPER(W202)),1,1))&gt;=65,CODE(MID(TRIM(UPPER(W202)),1,1))&lt;=90,CODE(MID(TRIM(UPPER(W202)),2,1))&gt;=65,CODE(MID(TRIM(UPPER(W202)),2,1))&lt;=90,CODE(MID(TRIM(UPPER(W202)),3,1))&gt;=65,CODE(MID(TRIM(UPPER(W202)),3,1))&lt;=90,CODE(MID(TRIM(UPPER(W202)),4,1))&gt;=65,CODE(MID(TRIM(UPPER(W202)),4,1))&lt;=90,CODE(MID(TRIM(UPPER(W202)),5,1))&gt;=65,CODE(MID(TRIM(UPPER(W202)),5,1))&lt;=90,CODE(MID(TRIM(UPPER(W202)),10,1))&gt;=65,CODE(MID(TRIM(UPPER(W202)),10,1))&lt;=90,CODE(MID(TRIM(UPPER(W202)),6,1))&gt;=48,CODE(MID(TRIM(UPPER(W202)),6,1))&lt;=57,CODE(MID(TRIM(UPPER(W202)),7,1))&gt;=48,CODE(MID(TRIM(UPPER(W202)),7,1))&lt;=57,CODE(MID(TRIM(UPPER(W202)),8,1))&gt;=48,CODE(MID(TRIM(UPPER(W202)),8,1))&lt;=57,CODE(MID(TRIM(UPPER(W202)),9,1))&gt;=48,CODE(MID(TRIM(UPPER(W202)),9,1))&lt;=57),"N","Y"),IF($B202="Challan","",IF(W202&lt;&gt;"","◄ Set Row Type","")))</f>
      </c>
      <c r="Y202" s="23">
        <f>IF($B202="Entry",IF(LEN(W202)&lt;4,"",IF(UPPER(MID(W202,4,1))="P","Individual",IF(UPPER(MID(W202,4,1))="H","HUF",IF(UPPER(MID(W202,4,1))="C","Company",IF(UPPER(MID(W202,4,1))="F","Firm",IF(UPPER(MID(W202,4,1))="L","LLP",IF(UPPER(MID(W202,4,1))="T","Trust",IF(UPPER(MID(W202,4,1))="A","AOP","")))))))),IF($B202="Challan","",IF(W202&lt;&gt;"","◄ Set Row Type","")))</f>
      </c>
      <c r="Z202" s="28"/>
      <c r="AA202" s="29">
        <f>IF($B202&lt;&gt;"Entry","",IF(Z202="","",IF(X202="Y",SUMPRODUCT(('Rate Lookup'!$A$1:$A$37=Z202)*'Rate Lookup'!$D$1:$D$37),IF(OR(Y202="Individual",Y202="HUF"),SUMPRODUCT(('Rate Lookup'!$A$1:$A$37=Z202)*'Rate Lookup'!$B$1:$B$37),SUMPRODUCT(('Rate Lookup'!$A$1:$A$37=Z202)*'Rate Lookup'!$C$1:$C$37)))))</f>
      </c>
      <c r="AB202" s="30"/>
      <c r="AC202" s="31"/>
      <c r="AD202" s="27">
        <f>IF($B202&lt;&gt;"Entry","",ROUND(AC202*AA202/100,0))</f>
      </c>
      <c r="AE202" s="27">
        <f>IF($B202&lt;&gt;"Entry","",0)</f>
      </c>
      <c r="AF202" s="27">
        <f>IF($B202&lt;&gt;"Entry","",0)</f>
      </c>
      <c r="AG202" s="27">
        <f>IF($B202&lt;&gt;"Entry","",IF(OR(AD202=0,AB202="",AQ202="",AQ202&lt;=0),0,IF(AQ202&lt;=DATE(YEAR(AB202),MONTH(AB202)+1,7),0,ROUND(AD202*0.015*((YEAR(AQ202)-YEAR(AB202))*12+(MONTH(AQ202)-MONTH(AB202))+1),0))))</f>
      </c>
      <c r="AH202" s="27">
        <f>IF($B202&lt;&gt;"Entry","",0)</f>
      </c>
      <c r="AI202" s="28"/>
      <c r="AJ202" s="28"/>
      <c r="AK202" s="32"/>
      <c r="AL202" s="28"/>
      <c r="AM202" s="28"/>
      <c r="AN202" s="27">
        <f>IF($B202&lt;&gt;"Challan","",SUMIF('Q1 Data'!$D$4:$D$207,D202,'Q1 Data'!$AD$4:$AD$207)+SUMIF('Q1 Data'!$D$4:$D$207,D202,'Q1 Data'!$AG$4:$AG$207)+SUMIF('Q1 Data'!$D$4:$D$207,D202,'Q1 Data'!$AE$4:$AE$207)+SUMIF('Q2 Data'!$D$4:$D$207,D202,'Q2 Data'!$AD$4:$AD$207)+SUMIF('Q2 Data'!$D$4:$D$207,D202,'Q2 Data'!$AG$4:$AG$207)+SUMIF('Q2 Data'!$D$4:$D$207,D202,'Q2 Data'!$AE$4:$AE$207)+SUMIF('Q3 Data'!$D$4:$D$207,D202,'Q3 Data'!$AD$4:$AD$207)+SUMIF('Q3 Data'!$D$4:$D$207,D202,'Q3 Data'!$AG$4:$AG$207)+SUMIF('Q3 Data'!$D$4:$D$207,D202,'Q3 Data'!$AE$4:$AE$207)+SUMIF('Q4 Data'!$D$4:$D$207,D202,'Q4 Data'!$AD$4:$AD$207)+SUMIF('Q4 Data'!$D$4:$D$207,D202,'Q4 Data'!$AG$4:$AG$207)+SUMIF('Q4 Data'!$D$4:$D$207,D202,'Q4 Data'!$AE$4:$AE$207))</f>
      </c>
      <c r="AO202" s="27">
        <f>IF($B202&lt;&gt;"Challan","",P202-N202)</f>
      </c>
      <c r="AP202" s="27">
        <f>IF($B202&lt;&gt;"Challan","",MAX(0,AO202-AN202))</f>
      </c>
      <c r="AQ202" s="33">
        <f>IF($B202&lt;&gt;"Entry","",SUMPRODUCT(('Q1 Data'!$D$4:$D$207=D202)*('Q1 Data'!$B$4:$B$207="Challan")*'Q1 Data'!$F$4:$F$207)+SUMPRODUCT(('Q2 Data'!$D$4:$D$207=D202)*('Q2 Data'!$B$4:$B$207="Challan")*'Q2 Data'!$F$4:$F$207)+SUMPRODUCT(('Q3 Data'!$D$4:$D$207=D202)*('Q3 Data'!$B$4:$B$207="Challan")*'Q3 Data'!$F$4:$F$207)+SUMPRODUCT(('Q4 Data'!$D$4:$D$207=D202)*('Q4 Data'!$B$4:$B$207="Challan")*'Q4 Data'!$F$4:$F$207))</f>
      </c>
      <c r="AR202" s="34">
        <f>IF(OR($B202&lt;&gt;"Entry",Z202=""),FALSE,AND((SUMPRODUCT(('Q1 Data'!$D$4:$D$207=D202)*('Q1 Data'!$B$4:$B$207="Challan")*('Q1 Data'!$H$4:$H$207&lt;&gt;""))+SUMPRODUCT(('Q2 Data'!$D$4:$D$207=D202)*('Q2 Data'!$B$4:$B$207="Challan")*('Q2 Data'!$H$4:$H$207&lt;&gt;""))+SUMPRODUCT(('Q3 Data'!$D$4:$D$207=D202)*('Q3 Data'!$B$4:$B$207="Challan")*('Q3 Data'!$H$4:$H$207&lt;&gt;""))+SUMPRODUCT(('Q4 Data'!$D$4:$D$207=D202)*('Q4 Data'!$B$4:$B$207="Challan")*('Q4 Data'!$H$4:$H$207&lt;&gt;"")))&gt;0,(SUMPRODUCT(('Q1 Data'!$D$4:$D$207=D202)*('Q1 Data'!$B$4:$B$207="Challan")*('Q1 Data'!$H$4:$H$207=Z202))+SUMPRODUCT(('Q2 Data'!$D$4:$D$207=D202)*('Q2 Data'!$B$4:$B$207="Challan")*('Q2 Data'!$H$4:$H$207=Z202))+SUMPRODUCT(('Q3 Data'!$D$4:$D$207=D202)*('Q3 Data'!$B$4:$B$207="Challan")*('Q3 Data'!$H$4:$H$207=Z202))+SUMPRODUCT(('Q4 Data'!$D$4:$D$207=D202)*('Q4 Data'!$B$4:$B$207="Challan")*('Q4 Data'!$H$4:$H$207=Z202)))=0))</f>
      </c>
    </row>
    <row r="203" spans="1:44" x14ac:dyDescent="0.25">
      <c r="A203" s="20">
        <f>IF($B203="Entry",COUNTIF($B$4:$B203,"Entry"),"")</f>
      </c>
      <c r="B203" s="21"/>
      <c r="C203" s="22"/>
      <c r="D203" s="22"/>
      <c r="E203" s="23">
        <f>IF($B203&lt;&gt;"Challan","",IF(ROUND(AN203-AO203,2)&gt;0,"Over-applied",IF(ROUND(AN203-AO203,2)=0,"Fully Utilised","Unconsumed")))</f>
      </c>
      <c r="F203" s="24"/>
      <c r="G203" s="25"/>
      <c r="H203" s="25"/>
      <c r="I203" s="26"/>
      <c r="J203" s="26"/>
      <c r="K203" s="26"/>
      <c r="L203" s="26"/>
      <c r="M203" s="26"/>
      <c r="N203" s="26"/>
      <c r="O203" s="26"/>
      <c r="P203" s="27">
        <f>IF($B203&lt;&gt;"Challan","",I203+J203+K203+L203+M203+N203)</f>
      </c>
      <c r="Q203" s="25"/>
      <c r="R203" s="25"/>
      <c r="S203" s="25"/>
      <c r="T203" s="25"/>
      <c r="U203" s="25"/>
      <c r="V203" s="28"/>
      <c r="W203" s="28"/>
      <c r="X203" s="23">
        <f>IF($B203="Entry",IF(AND(LEN(TRIM(UPPER(W203)))=10,CODE(MID(TRIM(UPPER(W203)),1,1))&gt;=65,CODE(MID(TRIM(UPPER(W203)),1,1))&lt;=90,CODE(MID(TRIM(UPPER(W203)),2,1))&gt;=65,CODE(MID(TRIM(UPPER(W203)),2,1))&lt;=90,CODE(MID(TRIM(UPPER(W203)),3,1))&gt;=65,CODE(MID(TRIM(UPPER(W203)),3,1))&lt;=90,CODE(MID(TRIM(UPPER(W203)),4,1))&gt;=65,CODE(MID(TRIM(UPPER(W203)),4,1))&lt;=90,CODE(MID(TRIM(UPPER(W203)),5,1))&gt;=65,CODE(MID(TRIM(UPPER(W203)),5,1))&lt;=90,CODE(MID(TRIM(UPPER(W203)),10,1))&gt;=65,CODE(MID(TRIM(UPPER(W203)),10,1))&lt;=90,CODE(MID(TRIM(UPPER(W203)),6,1))&gt;=48,CODE(MID(TRIM(UPPER(W203)),6,1))&lt;=57,CODE(MID(TRIM(UPPER(W203)),7,1))&gt;=48,CODE(MID(TRIM(UPPER(W203)),7,1))&lt;=57,CODE(MID(TRIM(UPPER(W203)),8,1))&gt;=48,CODE(MID(TRIM(UPPER(W203)),8,1))&lt;=57,CODE(MID(TRIM(UPPER(W203)),9,1))&gt;=48,CODE(MID(TRIM(UPPER(W203)),9,1))&lt;=57),"N","Y"),IF($B203="Challan","",IF(W203&lt;&gt;"","◄ Set Row Type","")))</f>
      </c>
      <c r="Y203" s="23">
        <f>IF($B203="Entry",IF(LEN(W203)&lt;4,"",IF(UPPER(MID(W203,4,1))="P","Individual",IF(UPPER(MID(W203,4,1))="H","HUF",IF(UPPER(MID(W203,4,1))="C","Company",IF(UPPER(MID(W203,4,1))="F","Firm",IF(UPPER(MID(W203,4,1))="L","LLP",IF(UPPER(MID(W203,4,1))="T","Trust",IF(UPPER(MID(W203,4,1))="A","AOP","")))))))),IF($B203="Challan","",IF(W203&lt;&gt;"","◄ Set Row Type","")))</f>
      </c>
      <c r="Z203" s="28"/>
      <c r="AA203" s="29">
        <f>IF($B203&lt;&gt;"Entry","",IF(Z203="","",IF(X203="Y",SUMPRODUCT(('Rate Lookup'!$A$1:$A$37=Z203)*'Rate Lookup'!$D$1:$D$37),IF(OR(Y203="Individual",Y203="HUF"),SUMPRODUCT(('Rate Lookup'!$A$1:$A$37=Z203)*'Rate Lookup'!$B$1:$B$37),SUMPRODUCT(('Rate Lookup'!$A$1:$A$37=Z203)*'Rate Lookup'!$C$1:$C$37)))))</f>
      </c>
      <c r="AB203" s="30"/>
      <c r="AC203" s="31"/>
      <c r="AD203" s="27">
        <f>IF($B203&lt;&gt;"Entry","",ROUND(AC203*AA203/100,0))</f>
      </c>
      <c r="AE203" s="27">
        <f>IF($B203&lt;&gt;"Entry","",0)</f>
      </c>
      <c r="AF203" s="27">
        <f>IF($B203&lt;&gt;"Entry","",0)</f>
      </c>
      <c r="AG203" s="27">
        <f>IF($B203&lt;&gt;"Entry","",IF(OR(AD203=0,AB203="",AQ203="",AQ203&lt;=0),0,IF(AQ203&lt;=DATE(YEAR(AB203),MONTH(AB203)+1,7),0,ROUND(AD203*0.015*((YEAR(AQ203)-YEAR(AB203))*12+(MONTH(AQ203)-MONTH(AB203))+1),0))))</f>
      </c>
      <c r="AH203" s="27">
        <f>IF($B203&lt;&gt;"Entry","",0)</f>
      </c>
      <c r="AI203" s="28"/>
      <c r="AJ203" s="28"/>
      <c r="AK203" s="32"/>
      <c r="AL203" s="28"/>
      <c r="AM203" s="28"/>
      <c r="AN203" s="27">
        <f>IF($B203&lt;&gt;"Challan","",SUMIF('Q1 Data'!$D$4:$D$207,D203,'Q1 Data'!$AD$4:$AD$207)+SUMIF('Q1 Data'!$D$4:$D$207,D203,'Q1 Data'!$AG$4:$AG$207)+SUMIF('Q1 Data'!$D$4:$D$207,D203,'Q1 Data'!$AE$4:$AE$207)+SUMIF('Q2 Data'!$D$4:$D$207,D203,'Q2 Data'!$AD$4:$AD$207)+SUMIF('Q2 Data'!$D$4:$D$207,D203,'Q2 Data'!$AG$4:$AG$207)+SUMIF('Q2 Data'!$D$4:$D$207,D203,'Q2 Data'!$AE$4:$AE$207)+SUMIF('Q3 Data'!$D$4:$D$207,D203,'Q3 Data'!$AD$4:$AD$207)+SUMIF('Q3 Data'!$D$4:$D$207,D203,'Q3 Data'!$AG$4:$AG$207)+SUMIF('Q3 Data'!$D$4:$D$207,D203,'Q3 Data'!$AE$4:$AE$207)+SUMIF('Q4 Data'!$D$4:$D$207,D203,'Q4 Data'!$AD$4:$AD$207)+SUMIF('Q4 Data'!$D$4:$D$207,D203,'Q4 Data'!$AG$4:$AG$207)+SUMIF('Q4 Data'!$D$4:$D$207,D203,'Q4 Data'!$AE$4:$AE$207))</f>
      </c>
      <c r="AO203" s="27">
        <f>IF($B203&lt;&gt;"Challan","",P203-N203)</f>
      </c>
      <c r="AP203" s="27">
        <f>IF($B203&lt;&gt;"Challan","",MAX(0,AO203-AN203))</f>
      </c>
      <c r="AQ203" s="33">
        <f>IF($B203&lt;&gt;"Entry","",SUMPRODUCT(('Q1 Data'!$D$4:$D$207=D203)*('Q1 Data'!$B$4:$B$207="Challan")*'Q1 Data'!$F$4:$F$207)+SUMPRODUCT(('Q2 Data'!$D$4:$D$207=D203)*('Q2 Data'!$B$4:$B$207="Challan")*'Q2 Data'!$F$4:$F$207)+SUMPRODUCT(('Q3 Data'!$D$4:$D$207=D203)*('Q3 Data'!$B$4:$B$207="Challan")*'Q3 Data'!$F$4:$F$207)+SUMPRODUCT(('Q4 Data'!$D$4:$D$207=D203)*('Q4 Data'!$B$4:$B$207="Challan")*'Q4 Data'!$F$4:$F$207))</f>
      </c>
      <c r="AR203" s="34">
        <f>IF(OR($B203&lt;&gt;"Entry",Z203=""),FALSE,AND((SUMPRODUCT(('Q1 Data'!$D$4:$D$207=D203)*('Q1 Data'!$B$4:$B$207="Challan")*('Q1 Data'!$H$4:$H$207&lt;&gt;""))+SUMPRODUCT(('Q2 Data'!$D$4:$D$207=D203)*('Q2 Data'!$B$4:$B$207="Challan")*('Q2 Data'!$H$4:$H$207&lt;&gt;""))+SUMPRODUCT(('Q3 Data'!$D$4:$D$207=D203)*('Q3 Data'!$B$4:$B$207="Challan")*('Q3 Data'!$H$4:$H$207&lt;&gt;""))+SUMPRODUCT(('Q4 Data'!$D$4:$D$207=D203)*('Q4 Data'!$B$4:$B$207="Challan")*('Q4 Data'!$H$4:$H$207&lt;&gt;"")))&gt;0,(SUMPRODUCT(('Q1 Data'!$D$4:$D$207=D203)*('Q1 Data'!$B$4:$B$207="Challan")*('Q1 Data'!$H$4:$H$207=Z203))+SUMPRODUCT(('Q2 Data'!$D$4:$D$207=D203)*('Q2 Data'!$B$4:$B$207="Challan")*('Q2 Data'!$H$4:$H$207=Z203))+SUMPRODUCT(('Q3 Data'!$D$4:$D$207=D203)*('Q3 Data'!$B$4:$B$207="Challan")*('Q3 Data'!$H$4:$H$207=Z203))+SUMPRODUCT(('Q4 Data'!$D$4:$D$207=D203)*('Q4 Data'!$B$4:$B$207="Challan")*('Q4 Data'!$H$4:$H$207=Z203)))=0))</f>
      </c>
    </row>
    <row r="204" spans="1:44" x14ac:dyDescent="0.25">
      <c r="A204" s="20">
        <f>IF($B204="Entry",COUNTIF($B$4:$B204,"Entry"),"")</f>
      </c>
      <c r="B204" s="21"/>
      <c r="C204" s="22"/>
      <c r="D204" s="22"/>
      <c r="E204" s="23">
        <f>IF($B204&lt;&gt;"Challan","",IF(ROUND(AN204-AO204,2)&gt;0,"Over-applied",IF(ROUND(AN204-AO204,2)=0,"Fully Utilised","Unconsumed")))</f>
      </c>
      <c r="F204" s="24"/>
      <c r="G204" s="25"/>
      <c r="H204" s="25"/>
      <c r="I204" s="26"/>
      <c r="J204" s="26"/>
      <c r="K204" s="26"/>
      <c r="L204" s="26"/>
      <c r="M204" s="26"/>
      <c r="N204" s="26"/>
      <c r="O204" s="26"/>
      <c r="P204" s="27">
        <f>IF($B204&lt;&gt;"Challan","",I204+J204+K204+L204+M204+N204)</f>
      </c>
      <c r="Q204" s="25"/>
      <c r="R204" s="25"/>
      <c r="S204" s="25"/>
      <c r="T204" s="25"/>
      <c r="U204" s="25"/>
      <c r="V204" s="28"/>
      <c r="W204" s="28"/>
      <c r="X204" s="23">
        <f>IF($B204="Entry",IF(AND(LEN(TRIM(UPPER(W204)))=10,CODE(MID(TRIM(UPPER(W204)),1,1))&gt;=65,CODE(MID(TRIM(UPPER(W204)),1,1))&lt;=90,CODE(MID(TRIM(UPPER(W204)),2,1))&gt;=65,CODE(MID(TRIM(UPPER(W204)),2,1))&lt;=90,CODE(MID(TRIM(UPPER(W204)),3,1))&gt;=65,CODE(MID(TRIM(UPPER(W204)),3,1))&lt;=90,CODE(MID(TRIM(UPPER(W204)),4,1))&gt;=65,CODE(MID(TRIM(UPPER(W204)),4,1))&lt;=90,CODE(MID(TRIM(UPPER(W204)),5,1))&gt;=65,CODE(MID(TRIM(UPPER(W204)),5,1))&lt;=90,CODE(MID(TRIM(UPPER(W204)),10,1))&gt;=65,CODE(MID(TRIM(UPPER(W204)),10,1))&lt;=90,CODE(MID(TRIM(UPPER(W204)),6,1))&gt;=48,CODE(MID(TRIM(UPPER(W204)),6,1))&lt;=57,CODE(MID(TRIM(UPPER(W204)),7,1))&gt;=48,CODE(MID(TRIM(UPPER(W204)),7,1))&lt;=57,CODE(MID(TRIM(UPPER(W204)),8,1))&gt;=48,CODE(MID(TRIM(UPPER(W204)),8,1))&lt;=57,CODE(MID(TRIM(UPPER(W204)),9,1))&gt;=48,CODE(MID(TRIM(UPPER(W204)),9,1))&lt;=57),"N","Y"),IF($B204="Challan","",IF(W204&lt;&gt;"","◄ Set Row Type","")))</f>
      </c>
      <c r="Y204" s="23">
        <f>IF($B204="Entry",IF(LEN(W204)&lt;4,"",IF(UPPER(MID(W204,4,1))="P","Individual",IF(UPPER(MID(W204,4,1))="H","HUF",IF(UPPER(MID(W204,4,1))="C","Company",IF(UPPER(MID(W204,4,1))="F","Firm",IF(UPPER(MID(W204,4,1))="L","LLP",IF(UPPER(MID(W204,4,1))="T","Trust",IF(UPPER(MID(W204,4,1))="A","AOP","")))))))),IF($B204="Challan","",IF(W204&lt;&gt;"","◄ Set Row Type","")))</f>
      </c>
      <c r="Z204" s="28"/>
      <c r="AA204" s="29">
        <f>IF($B204&lt;&gt;"Entry","",IF(Z204="","",IF(X204="Y",SUMPRODUCT(('Rate Lookup'!$A$1:$A$37=Z204)*'Rate Lookup'!$D$1:$D$37),IF(OR(Y204="Individual",Y204="HUF"),SUMPRODUCT(('Rate Lookup'!$A$1:$A$37=Z204)*'Rate Lookup'!$B$1:$B$37),SUMPRODUCT(('Rate Lookup'!$A$1:$A$37=Z204)*'Rate Lookup'!$C$1:$C$37)))))</f>
      </c>
      <c r="AB204" s="30"/>
      <c r="AC204" s="31"/>
      <c r="AD204" s="27">
        <f>IF($B204&lt;&gt;"Entry","",ROUND(AC204*AA204/100,0))</f>
      </c>
      <c r="AE204" s="27">
        <f>IF($B204&lt;&gt;"Entry","",0)</f>
      </c>
      <c r="AF204" s="27">
        <f>IF($B204&lt;&gt;"Entry","",0)</f>
      </c>
      <c r="AG204" s="27">
        <f>IF($B204&lt;&gt;"Entry","",IF(OR(AD204=0,AB204="",AQ204="",AQ204&lt;=0),0,IF(AQ204&lt;=DATE(YEAR(AB204),MONTH(AB204)+1,7),0,ROUND(AD204*0.015*((YEAR(AQ204)-YEAR(AB204))*12+(MONTH(AQ204)-MONTH(AB204))+1),0))))</f>
      </c>
      <c r="AH204" s="27">
        <f>IF($B204&lt;&gt;"Entry","",0)</f>
      </c>
      <c r="AI204" s="28"/>
      <c r="AJ204" s="28"/>
      <c r="AK204" s="32"/>
      <c r="AL204" s="28"/>
      <c r="AM204" s="28"/>
      <c r="AN204" s="27">
        <f>IF($B204&lt;&gt;"Challan","",SUMIF('Q1 Data'!$D$4:$D$207,D204,'Q1 Data'!$AD$4:$AD$207)+SUMIF('Q1 Data'!$D$4:$D$207,D204,'Q1 Data'!$AG$4:$AG$207)+SUMIF('Q1 Data'!$D$4:$D$207,D204,'Q1 Data'!$AE$4:$AE$207)+SUMIF('Q2 Data'!$D$4:$D$207,D204,'Q2 Data'!$AD$4:$AD$207)+SUMIF('Q2 Data'!$D$4:$D$207,D204,'Q2 Data'!$AG$4:$AG$207)+SUMIF('Q2 Data'!$D$4:$D$207,D204,'Q2 Data'!$AE$4:$AE$207)+SUMIF('Q3 Data'!$D$4:$D$207,D204,'Q3 Data'!$AD$4:$AD$207)+SUMIF('Q3 Data'!$D$4:$D$207,D204,'Q3 Data'!$AG$4:$AG$207)+SUMIF('Q3 Data'!$D$4:$D$207,D204,'Q3 Data'!$AE$4:$AE$207)+SUMIF('Q4 Data'!$D$4:$D$207,D204,'Q4 Data'!$AD$4:$AD$207)+SUMIF('Q4 Data'!$D$4:$D$207,D204,'Q4 Data'!$AG$4:$AG$207)+SUMIF('Q4 Data'!$D$4:$D$207,D204,'Q4 Data'!$AE$4:$AE$207))</f>
      </c>
      <c r="AO204" s="27">
        <f>IF($B204&lt;&gt;"Challan","",P204-N204)</f>
      </c>
      <c r="AP204" s="27">
        <f>IF($B204&lt;&gt;"Challan","",MAX(0,AO204-AN204))</f>
      </c>
      <c r="AQ204" s="33">
        <f>IF($B204&lt;&gt;"Entry","",SUMPRODUCT(('Q1 Data'!$D$4:$D$207=D204)*('Q1 Data'!$B$4:$B$207="Challan")*'Q1 Data'!$F$4:$F$207)+SUMPRODUCT(('Q2 Data'!$D$4:$D$207=D204)*('Q2 Data'!$B$4:$B$207="Challan")*'Q2 Data'!$F$4:$F$207)+SUMPRODUCT(('Q3 Data'!$D$4:$D$207=D204)*('Q3 Data'!$B$4:$B$207="Challan")*'Q3 Data'!$F$4:$F$207)+SUMPRODUCT(('Q4 Data'!$D$4:$D$207=D204)*('Q4 Data'!$B$4:$B$207="Challan")*'Q4 Data'!$F$4:$F$207))</f>
      </c>
      <c r="AR204" s="34">
        <f>IF(OR($B204&lt;&gt;"Entry",Z204=""),FALSE,AND((SUMPRODUCT(('Q1 Data'!$D$4:$D$207=D204)*('Q1 Data'!$B$4:$B$207="Challan")*('Q1 Data'!$H$4:$H$207&lt;&gt;""))+SUMPRODUCT(('Q2 Data'!$D$4:$D$207=D204)*('Q2 Data'!$B$4:$B$207="Challan")*('Q2 Data'!$H$4:$H$207&lt;&gt;""))+SUMPRODUCT(('Q3 Data'!$D$4:$D$207=D204)*('Q3 Data'!$B$4:$B$207="Challan")*('Q3 Data'!$H$4:$H$207&lt;&gt;""))+SUMPRODUCT(('Q4 Data'!$D$4:$D$207=D204)*('Q4 Data'!$B$4:$B$207="Challan")*('Q4 Data'!$H$4:$H$207&lt;&gt;"")))&gt;0,(SUMPRODUCT(('Q1 Data'!$D$4:$D$207=D204)*('Q1 Data'!$B$4:$B$207="Challan")*('Q1 Data'!$H$4:$H$207=Z204))+SUMPRODUCT(('Q2 Data'!$D$4:$D$207=D204)*('Q2 Data'!$B$4:$B$207="Challan")*('Q2 Data'!$H$4:$H$207=Z204))+SUMPRODUCT(('Q3 Data'!$D$4:$D$207=D204)*('Q3 Data'!$B$4:$B$207="Challan")*('Q3 Data'!$H$4:$H$207=Z204))+SUMPRODUCT(('Q4 Data'!$D$4:$D$207=D204)*('Q4 Data'!$B$4:$B$207="Challan")*('Q4 Data'!$H$4:$H$207=Z204)))=0))</f>
      </c>
    </row>
    <row r="205" spans="1:44" x14ac:dyDescent="0.25">
      <c r="A205" s="20">
        <f>IF($B205="Entry",COUNTIF($B$4:$B205,"Entry"),"")</f>
      </c>
      <c r="B205" s="21"/>
      <c r="C205" s="22"/>
      <c r="D205" s="22"/>
      <c r="E205" s="23">
        <f>IF($B205&lt;&gt;"Challan","",IF(ROUND(AN205-AO205,2)&gt;0,"Over-applied",IF(ROUND(AN205-AO205,2)=0,"Fully Utilised","Unconsumed")))</f>
      </c>
      <c r="F205" s="24"/>
      <c r="G205" s="25"/>
      <c r="H205" s="25"/>
      <c r="I205" s="26"/>
      <c r="J205" s="26"/>
      <c r="K205" s="26"/>
      <c r="L205" s="26"/>
      <c r="M205" s="26"/>
      <c r="N205" s="26"/>
      <c r="O205" s="26"/>
      <c r="P205" s="27">
        <f>IF($B205&lt;&gt;"Challan","",I205+J205+K205+L205+M205+N205)</f>
      </c>
      <c r="Q205" s="25"/>
      <c r="R205" s="25"/>
      <c r="S205" s="25"/>
      <c r="T205" s="25"/>
      <c r="U205" s="25"/>
      <c r="V205" s="28"/>
      <c r="W205" s="28"/>
      <c r="X205" s="23">
        <f>IF($B205="Entry",IF(AND(LEN(TRIM(UPPER(W205)))=10,CODE(MID(TRIM(UPPER(W205)),1,1))&gt;=65,CODE(MID(TRIM(UPPER(W205)),1,1))&lt;=90,CODE(MID(TRIM(UPPER(W205)),2,1))&gt;=65,CODE(MID(TRIM(UPPER(W205)),2,1))&lt;=90,CODE(MID(TRIM(UPPER(W205)),3,1))&gt;=65,CODE(MID(TRIM(UPPER(W205)),3,1))&lt;=90,CODE(MID(TRIM(UPPER(W205)),4,1))&gt;=65,CODE(MID(TRIM(UPPER(W205)),4,1))&lt;=90,CODE(MID(TRIM(UPPER(W205)),5,1))&gt;=65,CODE(MID(TRIM(UPPER(W205)),5,1))&lt;=90,CODE(MID(TRIM(UPPER(W205)),10,1))&gt;=65,CODE(MID(TRIM(UPPER(W205)),10,1))&lt;=90,CODE(MID(TRIM(UPPER(W205)),6,1))&gt;=48,CODE(MID(TRIM(UPPER(W205)),6,1))&lt;=57,CODE(MID(TRIM(UPPER(W205)),7,1))&gt;=48,CODE(MID(TRIM(UPPER(W205)),7,1))&lt;=57,CODE(MID(TRIM(UPPER(W205)),8,1))&gt;=48,CODE(MID(TRIM(UPPER(W205)),8,1))&lt;=57,CODE(MID(TRIM(UPPER(W205)),9,1))&gt;=48,CODE(MID(TRIM(UPPER(W205)),9,1))&lt;=57),"N","Y"),IF($B205="Challan","",IF(W205&lt;&gt;"","◄ Set Row Type","")))</f>
      </c>
      <c r="Y205" s="23">
        <f>IF($B205="Entry",IF(LEN(W205)&lt;4,"",IF(UPPER(MID(W205,4,1))="P","Individual",IF(UPPER(MID(W205,4,1))="H","HUF",IF(UPPER(MID(W205,4,1))="C","Company",IF(UPPER(MID(W205,4,1))="F","Firm",IF(UPPER(MID(W205,4,1))="L","LLP",IF(UPPER(MID(W205,4,1))="T","Trust",IF(UPPER(MID(W205,4,1))="A","AOP","")))))))),IF($B205="Challan","",IF(W205&lt;&gt;"","◄ Set Row Type","")))</f>
      </c>
      <c r="Z205" s="28"/>
      <c r="AA205" s="29">
        <f>IF($B205&lt;&gt;"Entry","",IF(Z205="","",IF(X205="Y",SUMPRODUCT(('Rate Lookup'!$A$1:$A$37=Z205)*'Rate Lookup'!$D$1:$D$37),IF(OR(Y205="Individual",Y205="HUF"),SUMPRODUCT(('Rate Lookup'!$A$1:$A$37=Z205)*'Rate Lookup'!$B$1:$B$37),SUMPRODUCT(('Rate Lookup'!$A$1:$A$37=Z205)*'Rate Lookup'!$C$1:$C$37)))))</f>
      </c>
      <c r="AB205" s="30"/>
      <c r="AC205" s="31"/>
      <c r="AD205" s="27">
        <f>IF($B205&lt;&gt;"Entry","",ROUND(AC205*AA205/100,0))</f>
      </c>
      <c r="AE205" s="27">
        <f>IF($B205&lt;&gt;"Entry","",0)</f>
      </c>
      <c r="AF205" s="27">
        <f>IF($B205&lt;&gt;"Entry","",0)</f>
      </c>
      <c r="AG205" s="27">
        <f>IF($B205&lt;&gt;"Entry","",IF(OR(AD205=0,AB205="",AQ205="",AQ205&lt;=0),0,IF(AQ205&lt;=DATE(YEAR(AB205),MONTH(AB205)+1,7),0,ROUND(AD205*0.015*((YEAR(AQ205)-YEAR(AB205))*12+(MONTH(AQ205)-MONTH(AB205))+1),0))))</f>
      </c>
      <c r="AH205" s="27">
        <f>IF($B205&lt;&gt;"Entry","",0)</f>
      </c>
      <c r="AI205" s="28"/>
      <c r="AJ205" s="28"/>
      <c r="AK205" s="32"/>
      <c r="AL205" s="28"/>
      <c r="AM205" s="28"/>
      <c r="AN205" s="27">
        <f>IF($B205&lt;&gt;"Challan","",SUMIF('Q1 Data'!$D$4:$D$207,D205,'Q1 Data'!$AD$4:$AD$207)+SUMIF('Q1 Data'!$D$4:$D$207,D205,'Q1 Data'!$AG$4:$AG$207)+SUMIF('Q1 Data'!$D$4:$D$207,D205,'Q1 Data'!$AE$4:$AE$207)+SUMIF('Q2 Data'!$D$4:$D$207,D205,'Q2 Data'!$AD$4:$AD$207)+SUMIF('Q2 Data'!$D$4:$D$207,D205,'Q2 Data'!$AG$4:$AG$207)+SUMIF('Q2 Data'!$D$4:$D$207,D205,'Q2 Data'!$AE$4:$AE$207)+SUMIF('Q3 Data'!$D$4:$D$207,D205,'Q3 Data'!$AD$4:$AD$207)+SUMIF('Q3 Data'!$D$4:$D$207,D205,'Q3 Data'!$AG$4:$AG$207)+SUMIF('Q3 Data'!$D$4:$D$207,D205,'Q3 Data'!$AE$4:$AE$207)+SUMIF('Q4 Data'!$D$4:$D$207,D205,'Q4 Data'!$AD$4:$AD$207)+SUMIF('Q4 Data'!$D$4:$D$207,D205,'Q4 Data'!$AG$4:$AG$207)+SUMIF('Q4 Data'!$D$4:$D$207,D205,'Q4 Data'!$AE$4:$AE$207))</f>
      </c>
      <c r="AO205" s="27">
        <f>IF($B205&lt;&gt;"Challan","",P205-N205)</f>
      </c>
      <c r="AP205" s="27">
        <f>IF($B205&lt;&gt;"Challan","",MAX(0,AO205-AN205))</f>
      </c>
      <c r="AQ205" s="33">
        <f>IF($B205&lt;&gt;"Entry","",SUMPRODUCT(('Q1 Data'!$D$4:$D$207=D205)*('Q1 Data'!$B$4:$B$207="Challan")*'Q1 Data'!$F$4:$F$207)+SUMPRODUCT(('Q2 Data'!$D$4:$D$207=D205)*('Q2 Data'!$B$4:$B$207="Challan")*'Q2 Data'!$F$4:$F$207)+SUMPRODUCT(('Q3 Data'!$D$4:$D$207=D205)*('Q3 Data'!$B$4:$B$207="Challan")*'Q3 Data'!$F$4:$F$207)+SUMPRODUCT(('Q4 Data'!$D$4:$D$207=D205)*('Q4 Data'!$B$4:$B$207="Challan")*'Q4 Data'!$F$4:$F$207))</f>
      </c>
      <c r="AR205" s="34">
        <f>IF(OR($B205&lt;&gt;"Entry",Z205=""),FALSE,AND((SUMPRODUCT(('Q1 Data'!$D$4:$D$207=D205)*('Q1 Data'!$B$4:$B$207="Challan")*('Q1 Data'!$H$4:$H$207&lt;&gt;""))+SUMPRODUCT(('Q2 Data'!$D$4:$D$207=D205)*('Q2 Data'!$B$4:$B$207="Challan")*('Q2 Data'!$H$4:$H$207&lt;&gt;""))+SUMPRODUCT(('Q3 Data'!$D$4:$D$207=D205)*('Q3 Data'!$B$4:$B$207="Challan")*('Q3 Data'!$H$4:$H$207&lt;&gt;""))+SUMPRODUCT(('Q4 Data'!$D$4:$D$207=D205)*('Q4 Data'!$B$4:$B$207="Challan")*('Q4 Data'!$H$4:$H$207&lt;&gt;"")))&gt;0,(SUMPRODUCT(('Q1 Data'!$D$4:$D$207=D205)*('Q1 Data'!$B$4:$B$207="Challan")*('Q1 Data'!$H$4:$H$207=Z205))+SUMPRODUCT(('Q2 Data'!$D$4:$D$207=D205)*('Q2 Data'!$B$4:$B$207="Challan")*('Q2 Data'!$H$4:$H$207=Z205))+SUMPRODUCT(('Q3 Data'!$D$4:$D$207=D205)*('Q3 Data'!$B$4:$B$207="Challan")*('Q3 Data'!$H$4:$H$207=Z205))+SUMPRODUCT(('Q4 Data'!$D$4:$D$207=D205)*('Q4 Data'!$B$4:$B$207="Challan")*('Q4 Data'!$H$4:$H$207=Z205)))=0))</f>
      </c>
    </row>
    <row r="206" spans="1:44" x14ac:dyDescent="0.25">
      <c r="A206" s="20">
        <f>IF($B206="Entry",COUNTIF($B$4:$B206,"Entry"),"")</f>
      </c>
      <c r="B206" s="21"/>
      <c r="C206" s="22"/>
      <c r="D206" s="22"/>
      <c r="E206" s="23">
        <f>IF($B206&lt;&gt;"Challan","",IF(ROUND(AN206-AO206,2)&gt;0,"Over-applied",IF(ROUND(AN206-AO206,2)=0,"Fully Utilised","Unconsumed")))</f>
      </c>
      <c r="F206" s="24"/>
      <c r="G206" s="25"/>
      <c r="H206" s="25"/>
      <c r="I206" s="26"/>
      <c r="J206" s="26"/>
      <c r="K206" s="26"/>
      <c r="L206" s="26"/>
      <c r="M206" s="26"/>
      <c r="N206" s="26"/>
      <c r="O206" s="26"/>
      <c r="P206" s="27">
        <f>IF($B206&lt;&gt;"Challan","",I206+J206+K206+L206+M206+N206)</f>
      </c>
      <c r="Q206" s="25"/>
      <c r="R206" s="25"/>
      <c r="S206" s="25"/>
      <c r="T206" s="25"/>
      <c r="U206" s="25"/>
      <c r="V206" s="28"/>
      <c r="W206" s="28"/>
      <c r="X206" s="23">
        <f>IF($B206="Entry",IF(AND(LEN(TRIM(UPPER(W206)))=10,CODE(MID(TRIM(UPPER(W206)),1,1))&gt;=65,CODE(MID(TRIM(UPPER(W206)),1,1))&lt;=90,CODE(MID(TRIM(UPPER(W206)),2,1))&gt;=65,CODE(MID(TRIM(UPPER(W206)),2,1))&lt;=90,CODE(MID(TRIM(UPPER(W206)),3,1))&gt;=65,CODE(MID(TRIM(UPPER(W206)),3,1))&lt;=90,CODE(MID(TRIM(UPPER(W206)),4,1))&gt;=65,CODE(MID(TRIM(UPPER(W206)),4,1))&lt;=90,CODE(MID(TRIM(UPPER(W206)),5,1))&gt;=65,CODE(MID(TRIM(UPPER(W206)),5,1))&lt;=90,CODE(MID(TRIM(UPPER(W206)),10,1))&gt;=65,CODE(MID(TRIM(UPPER(W206)),10,1))&lt;=90,CODE(MID(TRIM(UPPER(W206)),6,1))&gt;=48,CODE(MID(TRIM(UPPER(W206)),6,1))&lt;=57,CODE(MID(TRIM(UPPER(W206)),7,1))&gt;=48,CODE(MID(TRIM(UPPER(W206)),7,1))&lt;=57,CODE(MID(TRIM(UPPER(W206)),8,1))&gt;=48,CODE(MID(TRIM(UPPER(W206)),8,1))&lt;=57,CODE(MID(TRIM(UPPER(W206)),9,1))&gt;=48,CODE(MID(TRIM(UPPER(W206)),9,1))&lt;=57),"N","Y"),IF($B206="Challan","",IF(W206&lt;&gt;"","◄ Set Row Type","")))</f>
      </c>
      <c r="Y206" s="23">
        <f>IF($B206="Entry",IF(LEN(W206)&lt;4,"",IF(UPPER(MID(W206,4,1))="P","Individual",IF(UPPER(MID(W206,4,1))="H","HUF",IF(UPPER(MID(W206,4,1))="C","Company",IF(UPPER(MID(W206,4,1))="F","Firm",IF(UPPER(MID(W206,4,1))="L","LLP",IF(UPPER(MID(W206,4,1))="T","Trust",IF(UPPER(MID(W206,4,1))="A","AOP","")))))))),IF($B206="Challan","",IF(W206&lt;&gt;"","◄ Set Row Type","")))</f>
      </c>
      <c r="Z206" s="28"/>
      <c r="AA206" s="29">
        <f>IF($B206&lt;&gt;"Entry","",IF(Z206="","",IF(X206="Y",SUMPRODUCT(('Rate Lookup'!$A$1:$A$37=Z206)*'Rate Lookup'!$D$1:$D$37),IF(OR(Y206="Individual",Y206="HUF"),SUMPRODUCT(('Rate Lookup'!$A$1:$A$37=Z206)*'Rate Lookup'!$B$1:$B$37),SUMPRODUCT(('Rate Lookup'!$A$1:$A$37=Z206)*'Rate Lookup'!$C$1:$C$37)))))</f>
      </c>
      <c r="AB206" s="30"/>
      <c r="AC206" s="31"/>
      <c r="AD206" s="27">
        <f>IF($B206&lt;&gt;"Entry","",ROUND(AC206*AA206/100,0))</f>
      </c>
      <c r="AE206" s="27">
        <f>IF($B206&lt;&gt;"Entry","",0)</f>
      </c>
      <c r="AF206" s="27">
        <f>IF($B206&lt;&gt;"Entry","",0)</f>
      </c>
      <c r="AG206" s="27">
        <f>IF($B206&lt;&gt;"Entry","",IF(OR(AD206=0,AB206="",AQ206="",AQ206&lt;=0),0,IF(AQ206&lt;=DATE(YEAR(AB206),MONTH(AB206)+1,7),0,ROUND(AD206*0.015*((YEAR(AQ206)-YEAR(AB206))*12+(MONTH(AQ206)-MONTH(AB206))+1),0))))</f>
      </c>
      <c r="AH206" s="27">
        <f>IF($B206&lt;&gt;"Entry","",0)</f>
      </c>
      <c r="AI206" s="28"/>
      <c r="AJ206" s="28"/>
      <c r="AK206" s="32"/>
      <c r="AL206" s="28"/>
      <c r="AM206" s="28"/>
      <c r="AN206" s="27">
        <f>IF($B206&lt;&gt;"Challan","",SUMIF('Q1 Data'!$D$4:$D$207,D206,'Q1 Data'!$AD$4:$AD$207)+SUMIF('Q1 Data'!$D$4:$D$207,D206,'Q1 Data'!$AG$4:$AG$207)+SUMIF('Q1 Data'!$D$4:$D$207,D206,'Q1 Data'!$AE$4:$AE$207)+SUMIF('Q2 Data'!$D$4:$D$207,D206,'Q2 Data'!$AD$4:$AD$207)+SUMIF('Q2 Data'!$D$4:$D$207,D206,'Q2 Data'!$AG$4:$AG$207)+SUMIF('Q2 Data'!$D$4:$D$207,D206,'Q2 Data'!$AE$4:$AE$207)+SUMIF('Q3 Data'!$D$4:$D$207,D206,'Q3 Data'!$AD$4:$AD$207)+SUMIF('Q3 Data'!$D$4:$D$207,D206,'Q3 Data'!$AG$4:$AG$207)+SUMIF('Q3 Data'!$D$4:$D$207,D206,'Q3 Data'!$AE$4:$AE$207)+SUMIF('Q4 Data'!$D$4:$D$207,D206,'Q4 Data'!$AD$4:$AD$207)+SUMIF('Q4 Data'!$D$4:$D$207,D206,'Q4 Data'!$AG$4:$AG$207)+SUMIF('Q4 Data'!$D$4:$D$207,D206,'Q4 Data'!$AE$4:$AE$207))</f>
      </c>
      <c r="AO206" s="27">
        <f>IF($B206&lt;&gt;"Challan","",P206-N206)</f>
      </c>
      <c r="AP206" s="27">
        <f>IF($B206&lt;&gt;"Challan","",MAX(0,AO206-AN206))</f>
      </c>
      <c r="AQ206" s="33">
        <f>IF($B206&lt;&gt;"Entry","",SUMPRODUCT(('Q1 Data'!$D$4:$D$207=D206)*('Q1 Data'!$B$4:$B$207="Challan")*'Q1 Data'!$F$4:$F$207)+SUMPRODUCT(('Q2 Data'!$D$4:$D$207=D206)*('Q2 Data'!$B$4:$B$207="Challan")*'Q2 Data'!$F$4:$F$207)+SUMPRODUCT(('Q3 Data'!$D$4:$D$207=D206)*('Q3 Data'!$B$4:$B$207="Challan")*'Q3 Data'!$F$4:$F$207)+SUMPRODUCT(('Q4 Data'!$D$4:$D$207=D206)*('Q4 Data'!$B$4:$B$207="Challan")*'Q4 Data'!$F$4:$F$207))</f>
      </c>
      <c r="AR206" s="34">
        <f>IF(OR($B206&lt;&gt;"Entry",Z206=""),FALSE,AND((SUMPRODUCT(('Q1 Data'!$D$4:$D$207=D206)*('Q1 Data'!$B$4:$B$207="Challan")*('Q1 Data'!$H$4:$H$207&lt;&gt;""))+SUMPRODUCT(('Q2 Data'!$D$4:$D$207=D206)*('Q2 Data'!$B$4:$B$207="Challan")*('Q2 Data'!$H$4:$H$207&lt;&gt;""))+SUMPRODUCT(('Q3 Data'!$D$4:$D$207=D206)*('Q3 Data'!$B$4:$B$207="Challan")*('Q3 Data'!$H$4:$H$207&lt;&gt;""))+SUMPRODUCT(('Q4 Data'!$D$4:$D$207=D206)*('Q4 Data'!$B$4:$B$207="Challan")*('Q4 Data'!$H$4:$H$207&lt;&gt;"")))&gt;0,(SUMPRODUCT(('Q1 Data'!$D$4:$D$207=D206)*('Q1 Data'!$B$4:$B$207="Challan")*('Q1 Data'!$H$4:$H$207=Z206))+SUMPRODUCT(('Q2 Data'!$D$4:$D$207=D206)*('Q2 Data'!$B$4:$B$207="Challan")*('Q2 Data'!$H$4:$H$207=Z206))+SUMPRODUCT(('Q3 Data'!$D$4:$D$207=D206)*('Q3 Data'!$B$4:$B$207="Challan")*('Q3 Data'!$H$4:$H$207=Z206))+SUMPRODUCT(('Q4 Data'!$D$4:$D$207=D206)*('Q4 Data'!$B$4:$B$207="Challan")*('Q4 Data'!$H$4:$H$207=Z206)))=0))</f>
      </c>
    </row>
    <row r="207" spans="1:44" x14ac:dyDescent="0.25">
      <c r="A207" s="20">
        <f>IF($B207="Entry",COUNTIF($B$4:$B207,"Entry"),"")</f>
      </c>
      <c r="B207" s="21"/>
      <c r="C207" s="22"/>
      <c r="D207" s="22"/>
      <c r="E207" s="23">
        <f>IF($B207&lt;&gt;"Challan","",IF(ROUND(AN207-AO207,2)&gt;0,"Over-applied",IF(ROUND(AN207-AO207,2)=0,"Fully Utilised","Unconsumed")))</f>
      </c>
      <c r="F207" s="24"/>
      <c r="G207" s="25"/>
      <c r="H207" s="25"/>
      <c r="I207" s="26"/>
      <c r="J207" s="26"/>
      <c r="K207" s="26"/>
      <c r="L207" s="26"/>
      <c r="M207" s="26"/>
      <c r="N207" s="26"/>
      <c r="O207" s="26"/>
      <c r="P207" s="27">
        <f>IF($B207&lt;&gt;"Challan","",I207+J207+K207+L207+M207+N207)</f>
      </c>
      <c r="Q207" s="25"/>
      <c r="R207" s="25"/>
      <c r="S207" s="25"/>
      <c r="T207" s="25"/>
      <c r="U207" s="25"/>
      <c r="V207" s="28"/>
      <c r="W207" s="28"/>
      <c r="X207" s="23">
        <f>IF($B207="Entry",IF(AND(LEN(TRIM(UPPER(W207)))=10,CODE(MID(TRIM(UPPER(W207)),1,1))&gt;=65,CODE(MID(TRIM(UPPER(W207)),1,1))&lt;=90,CODE(MID(TRIM(UPPER(W207)),2,1))&gt;=65,CODE(MID(TRIM(UPPER(W207)),2,1))&lt;=90,CODE(MID(TRIM(UPPER(W207)),3,1))&gt;=65,CODE(MID(TRIM(UPPER(W207)),3,1))&lt;=90,CODE(MID(TRIM(UPPER(W207)),4,1))&gt;=65,CODE(MID(TRIM(UPPER(W207)),4,1))&lt;=90,CODE(MID(TRIM(UPPER(W207)),5,1))&gt;=65,CODE(MID(TRIM(UPPER(W207)),5,1))&lt;=90,CODE(MID(TRIM(UPPER(W207)),10,1))&gt;=65,CODE(MID(TRIM(UPPER(W207)),10,1))&lt;=90,CODE(MID(TRIM(UPPER(W207)),6,1))&gt;=48,CODE(MID(TRIM(UPPER(W207)),6,1))&lt;=57,CODE(MID(TRIM(UPPER(W207)),7,1))&gt;=48,CODE(MID(TRIM(UPPER(W207)),7,1))&lt;=57,CODE(MID(TRIM(UPPER(W207)),8,1))&gt;=48,CODE(MID(TRIM(UPPER(W207)),8,1))&lt;=57,CODE(MID(TRIM(UPPER(W207)),9,1))&gt;=48,CODE(MID(TRIM(UPPER(W207)),9,1))&lt;=57),"N","Y"),IF($B207="Challan","",IF(W207&lt;&gt;"","◄ Set Row Type","")))</f>
      </c>
      <c r="Y207" s="23">
        <f>IF($B207="Entry",IF(LEN(W207)&lt;4,"",IF(UPPER(MID(W207,4,1))="P","Individual",IF(UPPER(MID(W207,4,1))="H","HUF",IF(UPPER(MID(W207,4,1))="C","Company",IF(UPPER(MID(W207,4,1))="F","Firm",IF(UPPER(MID(W207,4,1))="L","LLP",IF(UPPER(MID(W207,4,1))="T","Trust",IF(UPPER(MID(W207,4,1))="A","AOP","")))))))),IF($B207="Challan","",IF(W207&lt;&gt;"","◄ Set Row Type","")))</f>
      </c>
      <c r="Z207" s="28"/>
      <c r="AA207" s="29">
        <f>IF($B207&lt;&gt;"Entry","",IF(Z207="","",IF(X207="Y",SUMPRODUCT(('Rate Lookup'!$A$1:$A$37=Z207)*'Rate Lookup'!$D$1:$D$37),IF(OR(Y207="Individual",Y207="HUF"),SUMPRODUCT(('Rate Lookup'!$A$1:$A$37=Z207)*'Rate Lookup'!$B$1:$B$37),SUMPRODUCT(('Rate Lookup'!$A$1:$A$37=Z207)*'Rate Lookup'!$C$1:$C$37)))))</f>
      </c>
      <c r="AB207" s="30"/>
      <c r="AC207" s="31"/>
      <c r="AD207" s="27">
        <f>IF($B207&lt;&gt;"Entry","",ROUND(AC207*AA207/100,0))</f>
      </c>
      <c r="AE207" s="27">
        <f>IF($B207&lt;&gt;"Entry","",0)</f>
      </c>
      <c r="AF207" s="27">
        <f>IF($B207&lt;&gt;"Entry","",0)</f>
      </c>
      <c r="AG207" s="27">
        <f>IF($B207&lt;&gt;"Entry","",IF(OR(AD207=0,AB207="",AQ207="",AQ207&lt;=0),0,IF(AQ207&lt;=DATE(YEAR(AB207),MONTH(AB207)+1,7),0,ROUND(AD207*0.015*((YEAR(AQ207)-YEAR(AB207))*12+(MONTH(AQ207)-MONTH(AB207))+1),0))))</f>
      </c>
      <c r="AH207" s="27">
        <f>IF($B207&lt;&gt;"Entry","",0)</f>
      </c>
      <c r="AI207" s="28"/>
      <c r="AJ207" s="28"/>
      <c r="AK207" s="32"/>
      <c r="AL207" s="28"/>
      <c r="AM207" s="28"/>
      <c r="AN207" s="27">
        <f>IF($B207&lt;&gt;"Challan","",SUMIF('Q1 Data'!$D$4:$D$207,D207,'Q1 Data'!$AD$4:$AD$207)+SUMIF('Q1 Data'!$D$4:$D$207,D207,'Q1 Data'!$AG$4:$AG$207)+SUMIF('Q1 Data'!$D$4:$D$207,D207,'Q1 Data'!$AE$4:$AE$207)+SUMIF('Q2 Data'!$D$4:$D$207,D207,'Q2 Data'!$AD$4:$AD$207)+SUMIF('Q2 Data'!$D$4:$D$207,D207,'Q2 Data'!$AG$4:$AG$207)+SUMIF('Q2 Data'!$D$4:$D$207,D207,'Q2 Data'!$AE$4:$AE$207)+SUMIF('Q3 Data'!$D$4:$D$207,D207,'Q3 Data'!$AD$4:$AD$207)+SUMIF('Q3 Data'!$D$4:$D$207,D207,'Q3 Data'!$AG$4:$AG$207)+SUMIF('Q3 Data'!$D$4:$D$207,D207,'Q3 Data'!$AE$4:$AE$207)+SUMIF('Q4 Data'!$D$4:$D$207,D207,'Q4 Data'!$AD$4:$AD$207)+SUMIF('Q4 Data'!$D$4:$D$207,D207,'Q4 Data'!$AG$4:$AG$207)+SUMIF('Q4 Data'!$D$4:$D$207,D207,'Q4 Data'!$AE$4:$AE$207))</f>
      </c>
      <c r="AO207" s="27">
        <f>IF($B207&lt;&gt;"Challan","",P207-N207)</f>
      </c>
      <c r="AP207" s="27">
        <f>IF($B207&lt;&gt;"Challan","",MAX(0,AO207-AN207))</f>
      </c>
      <c r="AQ207" s="33">
        <f>IF($B207&lt;&gt;"Entry","",SUMPRODUCT(('Q1 Data'!$D$4:$D$207=D207)*('Q1 Data'!$B$4:$B$207="Challan")*'Q1 Data'!$F$4:$F$207)+SUMPRODUCT(('Q2 Data'!$D$4:$D$207=D207)*('Q2 Data'!$B$4:$B$207="Challan")*'Q2 Data'!$F$4:$F$207)+SUMPRODUCT(('Q3 Data'!$D$4:$D$207=D207)*('Q3 Data'!$B$4:$B$207="Challan")*'Q3 Data'!$F$4:$F$207)+SUMPRODUCT(('Q4 Data'!$D$4:$D$207=D207)*('Q4 Data'!$B$4:$B$207="Challan")*'Q4 Data'!$F$4:$F$207))</f>
      </c>
      <c r="AR207" s="34">
        <f>IF(OR($B207&lt;&gt;"Entry",Z207=""),FALSE,AND((SUMPRODUCT(('Q1 Data'!$D$4:$D$207=D207)*('Q1 Data'!$B$4:$B$207="Challan")*('Q1 Data'!$H$4:$H$207&lt;&gt;""))+SUMPRODUCT(('Q2 Data'!$D$4:$D$207=D207)*('Q2 Data'!$B$4:$B$207="Challan")*('Q2 Data'!$H$4:$H$207&lt;&gt;""))+SUMPRODUCT(('Q3 Data'!$D$4:$D$207=D207)*('Q3 Data'!$B$4:$B$207="Challan")*('Q3 Data'!$H$4:$H$207&lt;&gt;""))+SUMPRODUCT(('Q4 Data'!$D$4:$D$207=D207)*('Q4 Data'!$B$4:$B$207="Challan")*('Q4 Data'!$H$4:$H$207&lt;&gt;"")))&gt;0,(SUMPRODUCT(('Q1 Data'!$D$4:$D$207=D207)*('Q1 Data'!$B$4:$B$207="Challan")*('Q1 Data'!$H$4:$H$207=Z207))+SUMPRODUCT(('Q2 Data'!$D$4:$D$207=D207)*('Q2 Data'!$B$4:$B$207="Challan")*('Q2 Data'!$H$4:$H$207=Z207))+SUMPRODUCT(('Q3 Data'!$D$4:$D$207=D207)*('Q3 Data'!$B$4:$B$207="Challan")*('Q3 Data'!$H$4:$H$207=Z207))+SUMPRODUCT(('Q4 Data'!$D$4:$D$207=D207)*('Q4 Data'!$B$4:$B$207="Challan")*('Q4 Data'!$H$4:$H$207=Z207)))=0))</f>
      </c>
    </row>
  </sheetData>
  <sheetProtection sheet="1" formatCells="0" formatColumns="0" formatRows="0"/>
  <mergeCells count="2">
    <mergeCell ref="A1:AP1"/>
    <mergeCell ref="A2:AP2"/>
  </mergeCells>
  <conditionalFormatting sqref="A4:AP207">
    <cfRule type="expression" dxfId="0" priority="4">
      <formula>$B4="Challan"</formula>
    </cfRule>
  </conditionalFormatting>
  <conditionalFormatting sqref="A4:AP207">
    <cfRule type="expression" dxfId="1" priority="1">
      <formula>E4="Over-applied"</formula>
    </cfRule>
    <cfRule type="expression" dxfId="2" priority="2">
      <formula>E4="Fully Utilised"</formula>
    </cfRule>
    <cfRule type="expression" dxfId="3" priority="3">
      <formula>E4="Unconsumed"</formula>
    </cfRule>
  </conditionalFormatting>
  <conditionalFormatting sqref="Z4:Z207">
    <cfRule type="expression" dxfId="4" priority="5">
      <formula>AR4=TRUE</formula>
    </cfRule>
  </conditionalFormatting>
  <conditionalFormatting sqref="W4:W207">
    <cfRule type="expression" dxfId="5" priority="6">
      <formula>X4="Y"</formula>
    </cfRule>
  </conditionalFormatting>
  <conditionalFormatting sqref="X4:X207">
    <cfRule type="expression" dxfId="6" priority="7">
      <formula>X4="Y"</formula>
    </cfRule>
  </conditionalFormatting>
  <conditionalFormatting sqref="A2:AP2">
    <cfRule type="expression" dxfId="7" priority="8">
      <formula>ISNUMBER(SEARCH("VALIDATION FAILED",A2))</formula>
    </cfRule>
    <cfRule type="expression" dxfId="8" priority="9">
      <formula>ISNUMBER(SEARCH("Validation Successful",A2))</formula>
    </cfRule>
  </conditionalFormatting>
  <dataValidations count="20">
    <dataValidation type="date" allowBlank="1" showErrorMessage="1" errorTitle="Invalid Date" error="Enter a real date (use the date picker), between 01-Apr-2020 and 31-Mar-2030." sqref="AB4:AB207">
      <formula1>43922</formula1>
      <formula2>47573</formula2>
    </dataValidation>
    <dataValidation type="decimal" operator="greaterThanOrEqual" allowBlank="1" showErrorMessage="1" errorTitle="Invalid Amount" error="Must be a number of 0 or more." sqref="AC4:AC207">
      <formula1>0</formula1>
    </dataValidation>
    <dataValidation type="list" allowBlank="1" showErrorMessage="1" errorTitle="Invalid Reason Code" error="Pick a Reason Code from the dropdown (A/B/C/D/E/Y/Z)." sqref="AI4:AI207">
      <formula1>"A,B,C,D,E,Y,Z"</formula1>
    </dataValidation>
    <dataValidation type="decimal" allowBlank="1" showErrorMessage="1" errorTitle="Invalid Rate" error="Rate must be a number between 0 and 100." sqref="AK4:AK207">
      <formula1>0</formula1>
      <formula2>100</formula2>
    </dataValidation>
    <dataValidation type="list" showErrorMessage="1" errorTitle="Invalid Row Type" error="Pick either Challan or Entry from the dropdown." sqref="B4:B207">
      <formula1>"Challan,Entry"</formula1>
    </dataValidation>
    <dataValidation type="textLength" operator="equal" allowBlank="1" showErrorMessage="1" errorTitle="Invalid BSR Code" error="BSR Code must be exactly 7 characters." sqref="C4:C207">
      <formula1>7</formula1>
    </dataValidation>
    <dataValidation type="custom" allowBlank="1" showErrorMessage="1" errorTitle="Invalid Challan Serial No." error="On a Challan row, Challan Serial No. must be exactly 5 digits and unique across ALL FOUR quarter tabs — the same challan can only be entered once, in the quarter it was actually deposited." sqref="D4:D207">
      <formula1>OR($B4&lt;&gt;"Challan",AND(LEN(D4)=5,(COUNTIFS('Q1 Data'!$B$4:$B$207,"Challan",'Q1 Data'!$D$4:$D$207,D4)+COUNTIFS('Q2 Data'!$B$4:$B$207,"Challan",'Q2 Data'!$D$4:$D$207,D4)+COUNTIFS('Q3 Data'!$B$4:$B$207,"Challan",'Q3 Data'!$D$4:$D$207,D4)+COUNTIFS('Q4 Data'!$B$4:$B$207,"Challan",'Q4 Data'!$D$4:$D$207,D4))=1))</formula1>
    </dataValidation>
    <dataValidation type="date" allowBlank="1" showErrorMessage="1" errorTitle="Invalid Date" error="Enter a real date (use the date picker), between 01-Apr-2020 and 31-Mar-2030." sqref="F4:F207">
      <formula1>43922</formula1>
      <formula2>47573</formula2>
    </dataValidation>
    <dataValidation type="list" allowBlank="1" showErrorMessage="1" errorTitle="Invalid Minor Head" error="Pick 200 (TDS Payable) or 400 (Demand) from the dropdown." sqref="G4:G207">
      <formula1>"200,400"</formula1>
    </dataValidation>
    <dataValidation type="list" allowBlank="1" showErrorMessage="1" errorTitle="Invalid Section" error="Pick a section from the dropdown list." sqref="H4:H207">
      <formula1>'Rate Lookup'!$A$1:$A$37</formula1>
    </dataValidation>
    <dataValidation type="decimal" operator="greaterThanOrEqual" allowBlank="1" showErrorMessage="1" errorTitle="Invalid Amount" error="Must be a number of 0 or more." sqref="I4:I207">
      <formula1>0</formula1>
    </dataValidation>
    <dataValidation type="decimal" operator="greaterThanOrEqual" allowBlank="1" showErrorMessage="1" errorTitle="Invalid Amount" error="Must be a number of 0 or more." sqref="J4:J207">
      <formula1>0</formula1>
    </dataValidation>
    <dataValidation type="decimal" operator="greaterThanOrEqual" allowBlank="1" showErrorMessage="1" errorTitle="Invalid Amount" error="Must be a number of 0 or more." sqref="K4:K207">
      <formula1>0</formula1>
    </dataValidation>
    <dataValidation type="decimal" operator="greaterThanOrEqual" allowBlank="1" showErrorMessage="1" errorTitle="Invalid Amount" error="Must be a number of 0 or more." sqref="L4:L207">
      <formula1>0</formula1>
    </dataValidation>
    <dataValidation type="decimal" operator="greaterThanOrEqual" allowBlank="1" showErrorMessage="1" errorTitle="Invalid Amount" error="Must be a number of 0 or more." sqref="M4:M207">
      <formula1>0</formula1>
    </dataValidation>
    <dataValidation type="decimal" operator="greaterThanOrEqual" allowBlank="1" showErrorMessage="1" errorTitle="Invalid Amount" error="Must be a number of 0 or more." sqref="N4:N207">
      <formula1>0</formula1>
    </dataValidation>
    <dataValidation type="custom" allowBlank="1" showErrorMessage="1" errorTitle="Invalid Late Fees Used" error="Late Fees Used cannot be negative or exceed Late Fees u/s 234E." sqref="O4:O207">
      <formula1>AND(O4&gt;=0,O4&lt;=N4)</formula1>
    </dataValidation>
    <dataValidation type="custom" allowBlank="1" showErrorMessage="1" errorTitle="Invalid Bank Name" error="Bank Name must be a name, not a number." sqref="Q4:Q207">
      <formula1>LEN(SUBSTITUTE(SUBSTITUTE(SUBSTITUTE(SUBSTITUTE(SUBSTITUTE(SUBSTITUTE(SUBSTITUTE(SUBSTITUTE(SUBSTITUTE(SUBSTITUTE(SUBSTITUTE(SUBSTITUTE(SUBSTITUTE(Q4,"0",""),"1",""),"2",""),"3",""),"4",""),"5",""),"6",""),"7",""),"8",""),"9",""),",",""),".","")," ",""))&gt;0</formula1>
    </dataValidation>
    <dataValidation type="list" allowBlank="1" showErrorMessage="1" errorTitle="Invalid value" error="Pick Y or N from the dropdown." sqref="R4:R207">
      <formula1>"Y,N"</formula1>
    </dataValidation>
    <dataValidation type="list" allowBlank="1" showErrorMessage="1" errorTitle="Invalid Section for this Deductee Type" error="194C(a) is Individual/HUF only; 194C(b) is for every other deductee type. Pick the option matching this row's own Deductee Type (column Y)." sqref="Z4:Z207">
      <formula1>IF(OR($Y4="Individual",$Y4="HUF"),'Rate Lookup'!$F$1:$F$36,'Rate Lookup'!$G$1:$G$36)</formula1>
    </dataValidation>
  </dataValidations>
  <pageMargins left="0.7" right="0.7" top="0.75" bottom="0.75" header="0.3" footer="0.3"/>
  <pageSetup orientation="portrait" horizontalDpi="4294967295" verticalDpi="4294967295" scale="100" fitToWidth="1" fitToHeight="1"/>
  <ignoredErrors>
    <ignoredError sqref="C4:D207 F4:F207"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R207"/>
  <sheetViews>
    <sheetView workbookViewId="0" showGridLines="0">
      <pane ySplit="3" topLeftCell="A4" activePane="bottomLeft" state="frozen"/>
      <selection pane="bottomLeft"/>
    </sheetView>
  </sheetViews>
  <sheetFormatPr defaultRowHeight="15" outlineLevelRow="0" outlineLevelCol="0" x14ac:dyDescent="55"/>
  <cols>
    <col min="1" max="1" width="7" customWidth="1"/>
    <col min="2" max="2" width="10" customWidth="1"/>
    <col min="3" max="4" width="12" customWidth="1"/>
    <col min="5" max="5" width="13" customWidth="1"/>
    <col min="6" max="7" width="12" customWidth="1"/>
    <col min="8" max="8" width="55" customWidth="1"/>
    <col min="9" max="20" width="12" customWidth="1"/>
    <col min="21" max="21" width="18" customWidth="1"/>
    <col min="22" max="22" width="26" customWidth="1"/>
    <col min="23" max="25" width="12" customWidth="1"/>
    <col min="26" max="26" width="55" customWidth="1"/>
    <col min="27" max="38" width="12" customWidth="1"/>
    <col min="39" max="39" width="18" customWidth="1"/>
    <col min="40" max="42" width="12" customWidth="1"/>
    <col min="43" max="44" width="12" hidden="1" customWidth="1"/>
  </cols>
  <sheetData>
    <row r="1" ht="22" customHeight="1" spans="1:42" x14ac:dyDescent="0.25">
      <c r="A1" s="6" t="s">
        <v>173</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row>
    <row r="2" ht="20" customHeight="1" spans="1:42" x14ac:dyDescent="0.25">
      <c r="A2" s="7">
        <f>IF(COUNTIF($E$4:$E$207,"Over-applied")=0,"✅ Validation Successful — no over-applied challans ("&amp;COUNTIF($B$4:$B$207,"Challan")&amp;" challans, "&amp;COUNTIF($B$4:$B$207,"Entry")&amp;" entries checked).","❌ VALIDATION FAILED — "&amp;COUNTIF($E$4:$E$207,"Over-applied")&amp;" challan(s) Over-applied. See the red-highlighted row(s) below — reduce entries or increase the challan deposit.")</f>
      </c>
      <c r="B2" s="7"/>
      <c r="C2" s="7"/>
      <c r="D2" s="7"/>
      <c r="E2" s="7"/>
      <c r="F2" s="7"/>
      <c r="G2" s="7"/>
      <c r="H2" s="7"/>
      <c r="I2" s="7"/>
      <c r="J2" s="7"/>
      <c r="K2" s="7"/>
      <c r="L2" s="7"/>
      <c r="M2" s="7"/>
      <c r="N2" s="7"/>
      <c r="O2" s="7"/>
      <c r="P2" s="7"/>
      <c r="Q2" s="7"/>
      <c r="R2" s="7"/>
      <c r="S2" s="7"/>
      <c r="T2" s="7"/>
      <c r="U2" s="7"/>
      <c r="V2" s="7"/>
      <c r="W2" s="7"/>
      <c r="X2" s="7"/>
      <c r="Y2" s="7"/>
      <c r="Z2" s="7"/>
      <c r="AA2" s="7"/>
      <c r="AB2" s="7"/>
      <c r="AC2" s="7"/>
      <c r="AD2" s="7"/>
      <c r="AE2" s="7"/>
      <c r="AF2" s="7"/>
      <c r="AG2" s="7"/>
      <c r="AH2" s="7"/>
      <c r="AI2" s="7"/>
      <c r="AJ2" s="7"/>
      <c r="AK2" s="7"/>
      <c r="AL2" s="7"/>
      <c r="AM2" s="7"/>
      <c r="AN2" s="7"/>
      <c r="AO2" s="7"/>
      <c r="AP2" s="7"/>
    </row>
    <row r="3" ht="40" customHeight="1" spans="1:44" x14ac:dyDescent="0.25">
      <c r="A3" s="8" t="s">
        <v>111</v>
      </c>
      <c r="B3" s="8" t="s">
        <v>112</v>
      </c>
      <c r="C3" s="8" t="s">
        <v>113</v>
      </c>
      <c r="D3" s="8" t="s">
        <v>114</v>
      </c>
      <c r="E3" s="8" t="s">
        <v>115</v>
      </c>
      <c r="F3" s="8" t="s">
        <v>116</v>
      </c>
      <c r="G3" s="8" t="s">
        <v>117</v>
      </c>
      <c r="H3" s="8" t="s">
        <v>118</v>
      </c>
      <c r="I3" s="8" t="s">
        <v>119</v>
      </c>
      <c r="J3" s="8" t="s">
        <v>120</v>
      </c>
      <c r="K3" s="8" t="s">
        <v>121</v>
      </c>
      <c r="L3" s="8" t="s">
        <v>122</v>
      </c>
      <c r="M3" s="8" t="s">
        <v>123</v>
      </c>
      <c r="N3" s="8" t="s">
        <v>124</v>
      </c>
      <c r="O3" s="8" t="s">
        <v>125</v>
      </c>
      <c r="P3" s="8" t="s">
        <v>126</v>
      </c>
      <c r="Q3" s="8" t="s">
        <v>127</v>
      </c>
      <c r="R3" s="8" t="s">
        <v>128</v>
      </c>
      <c r="S3" s="8" t="s">
        <v>129</v>
      </c>
      <c r="T3" s="8" t="s">
        <v>130</v>
      </c>
      <c r="U3" s="8" t="s">
        <v>131</v>
      </c>
      <c r="V3" s="8" t="s">
        <v>132</v>
      </c>
      <c r="W3" s="8" t="s">
        <v>133</v>
      </c>
      <c r="X3" s="8" t="s">
        <v>134</v>
      </c>
      <c r="Y3" s="8" t="s">
        <v>135</v>
      </c>
      <c r="Z3" s="8" t="s">
        <v>136</v>
      </c>
      <c r="AA3" s="8" t="s">
        <v>137</v>
      </c>
      <c r="AB3" s="8" t="s">
        <v>138</v>
      </c>
      <c r="AC3" s="8" t="s">
        <v>139</v>
      </c>
      <c r="AD3" s="8" t="s">
        <v>140</v>
      </c>
      <c r="AE3" s="8" t="s">
        <v>141</v>
      </c>
      <c r="AF3" s="8" t="s">
        <v>142</v>
      </c>
      <c r="AG3" s="8" t="s">
        <v>143</v>
      </c>
      <c r="AH3" s="8" t="s">
        <v>144</v>
      </c>
      <c r="AI3" s="8" t="s">
        <v>145</v>
      </c>
      <c r="AJ3" s="8" t="s">
        <v>146</v>
      </c>
      <c r="AK3" s="8" t="s">
        <v>147</v>
      </c>
      <c r="AL3" s="8" t="s">
        <v>148</v>
      </c>
      <c r="AM3" s="8" t="s">
        <v>149</v>
      </c>
      <c r="AN3" s="8" t="s">
        <v>150</v>
      </c>
      <c r="AO3" s="8" t="s">
        <v>151</v>
      </c>
      <c r="AP3" s="8" t="s">
        <v>152</v>
      </c>
      <c r="AQ3" s="8" t="s">
        <v>153</v>
      </c>
      <c r="AR3" s="8" t="s">
        <v>154</v>
      </c>
    </row>
    <row r="4" spans="1:44" x14ac:dyDescent="0.25">
      <c r="A4" s="20">
        <f>IF($B4="Entry",COUNTIF($B$4:$B4,"Entry"),"")</f>
      </c>
      <c r="B4" s="21"/>
      <c r="C4" s="22"/>
      <c r="D4" s="22"/>
      <c r="E4" s="23">
        <f>IF($B4&lt;&gt;"Challan","",IF(ROUND(AN4-AO4,2)&gt;0,"Over-applied",IF(ROUND(AN4-AO4,2)=0,"Fully Utilised","Unconsumed")))</f>
      </c>
      <c r="F4" s="24"/>
      <c r="G4" s="25"/>
      <c r="H4" s="25"/>
      <c r="I4" s="26"/>
      <c r="J4" s="26"/>
      <c r="K4" s="26"/>
      <c r="L4" s="26"/>
      <c r="M4" s="26"/>
      <c r="N4" s="26"/>
      <c r="O4" s="26"/>
      <c r="P4" s="27">
        <f>IF($B4&lt;&gt;"Challan","",I4+J4+K4+L4+M4+N4)</f>
      </c>
      <c r="Q4" s="25"/>
      <c r="R4" s="25"/>
      <c r="S4" s="25"/>
      <c r="T4" s="25"/>
      <c r="U4" s="25"/>
      <c r="V4" s="28"/>
      <c r="W4" s="28"/>
      <c r="X4" s="23">
        <f>IF($B4="Entry",IF(AND(LEN(TRIM(UPPER(W4)))=10,CODE(MID(TRIM(UPPER(W4)),1,1))&gt;=65,CODE(MID(TRIM(UPPER(W4)),1,1))&lt;=90,CODE(MID(TRIM(UPPER(W4)),2,1))&gt;=65,CODE(MID(TRIM(UPPER(W4)),2,1))&lt;=90,CODE(MID(TRIM(UPPER(W4)),3,1))&gt;=65,CODE(MID(TRIM(UPPER(W4)),3,1))&lt;=90,CODE(MID(TRIM(UPPER(W4)),4,1))&gt;=65,CODE(MID(TRIM(UPPER(W4)),4,1))&lt;=90,CODE(MID(TRIM(UPPER(W4)),5,1))&gt;=65,CODE(MID(TRIM(UPPER(W4)),5,1))&lt;=90,CODE(MID(TRIM(UPPER(W4)),10,1))&gt;=65,CODE(MID(TRIM(UPPER(W4)),10,1))&lt;=90,CODE(MID(TRIM(UPPER(W4)),6,1))&gt;=48,CODE(MID(TRIM(UPPER(W4)),6,1))&lt;=57,CODE(MID(TRIM(UPPER(W4)),7,1))&gt;=48,CODE(MID(TRIM(UPPER(W4)),7,1))&lt;=57,CODE(MID(TRIM(UPPER(W4)),8,1))&gt;=48,CODE(MID(TRIM(UPPER(W4)),8,1))&lt;=57,CODE(MID(TRIM(UPPER(W4)),9,1))&gt;=48,CODE(MID(TRIM(UPPER(W4)),9,1))&lt;=57),"N","Y"),IF($B4="Challan","",IF(W4&lt;&gt;"","◄ Set Row Type","")))</f>
      </c>
      <c r="Y4" s="23">
        <f>IF($B4="Entry",IF(LEN(W4)&lt;4,"",IF(UPPER(MID(W4,4,1))="P","Individual",IF(UPPER(MID(W4,4,1))="H","HUF",IF(UPPER(MID(W4,4,1))="C","Company",IF(UPPER(MID(W4,4,1))="F","Firm",IF(UPPER(MID(W4,4,1))="L","LLP",IF(UPPER(MID(W4,4,1))="T","Trust",IF(UPPER(MID(W4,4,1))="A","AOP","")))))))),IF($B4="Challan","",IF(W4&lt;&gt;"","◄ Set Row Type","")))</f>
      </c>
      <c r="Z4" s="28"/>
      <c r="AA4" s="29">
        <f>IF($B4&lt;&gt;"Entry","",IF(Z4="","",IF(X4="Y",SUMPRODUCT(('Rate Lookup'!$A$1:$A$37=Z4)*'Rate Lookup'!$D$1:$D$37),IF(OR(Y4="Individual",Y4="HUF"),SUMPRODUCT(('Rate Lookup'!$A$1:$A$37=Z4)*'Rate Lookup'!$B$1:$B$37),SUMPRODUCT(('Rate Lookup'!$A$1:$A$37=Z4)*'Rate Lookup'!$C$1:$C$37)))))</f>
      </c>
      <c r="AB4" s="30"/>
      <c r="AC4" s="31"/>
      <c r="AD4" s="27">
        <f>IF($B4&lt;&gt;"Entry","",ROUND(AC4*AA4/100,0))</f>
      </c>
      <c r="AE4" s="27">
        <f>IF($B4&lt;&gt;"Entry","",0)</f>
      </c>
      <c r="AF4" s="27">
        <f>IF($B4&lt;&gt;"Entry","",0)</f>
      </c>
      <c r="AG4" s="27">
        <f>IF($B4&lt;&gt;"Entry","",IF(OR(AD4=0,AB4="",AQ4="",AQ4&lt;=0),0,IF(AQ4&lt;=DATE(YEAR(AB4),MONTH(AB4)+1,7),0,ROUND(AD4*0.015*((YEAR(AQ4)-YEAR(AB4))*12+(MONTH(AQ4)-MONTH(AB4))+1),0))))</f>
      </c>
      <c r="AH4" s="27">
        <f>IF($B4&lt;&gt;"Entry","",0)</f>
      </c>
      <c r="AI4" s="28"/>
      <c r="AJ4" s="28"/>
      <c r="AK4" s="32"/>
      <c r="AL4" s="28"/>
      <c r="AM4" s="28"/>
      <c r="AN4" s="27">
        <f>IF($B4&lt;&gt;"Challan","",SUMIF('Q1 Data'!$D$4:$D$207,D4,'Q1 Data'!$AD$4:$AD$207)+SUMIF('Q1 Data'!$D$4:$D$207,D4,'Q1 Data'!$AG$4:$AG$207)+SUMIF('Q1 Data'!$D$4:$D$207,D4,'Q1 Data'!$AE$4:$AE$207)+SUMIF('Q2 Data'!$D$4:$D$207,D4,'Q2 Data'!$AD$4:$AD$207)+SUMIF('Q2 Data'!$D$4:$D$207,D4,'Q2 Data'!$AG$4:$AG$207)+SUMIF('Q2 Data'!$D$4:$D$207,D4,'Q2 Data'!$AE$4:$AE$207)+SUMIF('Q3 Data'!$D$4:$D$207,D4,'Q3 Data'!$AD$4:$AD$207)+SUMIF('Q3 Data'!$D$4:$D$207,D4,'Q3 Data'!$AG$4:$AG$207)+SUMIF('Q3 Data'!$D$4:$D$207,D4,'Q3 Data'!$AE$4:$AE$207)+SUMIF('Q4 Data'!$D$4:$D$207,D4,'Q4 Data'!$AD$4:$AD$207)+SUMIF('Q4 Data'!$D$4:$D$207,D4,'Q4 Data'!$AG$4:$AG$207)+SUMIF('Q4 Data'!$D$4:$D$207,D4,'Q4 Data'!$AE$4:$AE$207))</f>
      </c>
      <c r="AO4" s="27">
        <f>IF($B4&lt;&gt;"Challan","",P4-N4)</f>
      </c>
      <c r="AP4" s="27">
        <f>IF($B4&lt;&gt;"Challan","",MAX(0,AO4-AN4))</f>
      </c>
      <c r="AQ4" s="33">
        <f>IF($B4&lt;&gt;"Entry","",SUMPRODUCT(('Q1 Data'!$D$4:$D$207=D4)*('Q1 Data'!$B$4:$B$207="Challan")*'Q1 Data'!$F$4:$F$207)+SUMPRODUCT(('Q2 Data'!$D$4:$D$207=D4)*('Q2 Data'!$B$4:$B$207="Challan")*'Q2 Data'!$F$4:$F$207)+SUMPRODUCT(('Q3 Data'!$D$4:$D$207=D4)*('Q3 Data'!$B$4:$B$207="Challan")*'Q3 Data'!$F$4:$F$207)+SUMPRODUCT(('Q4 Data'!$D$4:$D$207=D4)*('Q4 Data'!$B$4:$B$207="Challan")*'Q4 Data'!$F$4:$F$207))</f>
      </c>
      <c r="AR4" s="34">
        <f>IF(OR($B4&lt;&gt;"Entry",Z4=""),FALSE,AND((SUMPRODUCT(('Q1 Data'!$D$4:$D$207=D4)*('Q1 Data'!$B$4:$B$207="Challan")*('Q1 Data'!$H$4:$H$207&lt;&gt;""))+SUMPRODUCT(('Q2 Data'!$D$4:$D$207=D4)*('Q2 Data'!$B$4:$B$207="Challan")*('Q2 Data'!$H$4:$H$207&lt;&gt;""))+SUMPRODUCT(('Q3 Data'!$D$4:$D$207=D4)*('Q3 Data'!$B$4:$B$207="Challan")*('Q3 Data'!$H$4:$H$207&lt;&gt;""))+SUMPRODUCT(('Q4 Data'!$D$4:$D$207=D4)*('Q4 Data'!$B$4:$B$207="Challan")*('Q4 Data'!$H$4:$H$207&lt;&gt;"")))&gt;0,(SUMPRODUCT(('Q1 Data'!$D$4:$D$207=D4)*('Q1 Data'!$B$4:$B$207="Challan")*('Q1 Data'!$H$4:$H$207=Z4))+SUMPRODUCT(('Q2 Data'!$D$4:$D$207=D4)*('Q2 Data'!$B$4:$B$207="Challan")*('Q2 Data'!$H$4:$H$207=Z4))+SUMPRODUCT(('Q3 Data'!$D$4:$D$207=D4)*('Q3 Data'!$B$4:$B$207="Challan")*('Q3 Data'!$H$4:$H$207=Z4))+SUMPRODUCT(('Q4 Data'!$D$4:$D$207=D4)*('Q4 Data'!$B$4:$B$207="Challan")*('Q4 Data'!$H$4:$H$207=Z4)))=0))</f>
      </c>
    </row>
    <row r="5" spans="1:44" x14ac:dyDescent="0.25">
      <c r="A5" s="20">
        <f>IF($B5="Entry",COUNTIF($B$4:$B5,"Entry"),"")</f>
      </c>
      <c r="B5" s="21"/>
      <c r="C5" s="22"/>
      <c r="D5" s="22"/>
      <c r="E5" s="23">
        <f>IF($B5&lt;&gt;"Challan","",IF(ROUND(AN5-AO5,2)&gt;0,"Over-applied",IF(ROUND(AN5-AO5,2)=0,"Fully Utilised","Unconsumed")))</f>
      </c>
      <c r="F5" s="24"/>
      <c r="G5" s="25"/>
      <c r="H5" s="25"/>
      <c r="I5" s="26"/>
      <c r="J5" s="26"/>
      <c r="K5" s="26"/>
      <c r="L5" s="26"/>
      <c r="M5" s="26"/>
      <c r="N5" s="26"/>
      <c r="O5" s="26"/>
      <c r="P5" s="27">
        <f>IF($B5&lt;&gt;"Challan","",I5+J5+K5+L5+M5+N5)</f>
      </c>
      <c r="Q5" s="25"/>
      <c r="R5" s="25"/>
      <c r="S5" s="25"/>
      <c r="T5" s="25"/>
      <c r="U5" s="25"/>
      <c r="V5" s="28"/>
      <c r="W5" s="28"/>
      <c r="X5" s="23">
        <f>IF($B5="Entry",IF(AND(LEN(TRIM(UPPER(W5)))=10,CODE(MID(TRIM(UPPER(W5)),1,1))&gt;=65,CODE(MID(TRIM(UPPER(W5)),1,1))&lt;=90,CODE(MID(TRIM(UPPER(W5)),2,1))&gt;=65,CODE(MID(TRIM(UPPER(W5)),2,1))&lt;=90,CODE(MID(TRIM(UPPER(W5)),3,1))&gt;=65,CODE(MID(TRIM(UPPER(W5)),3,1))&lt;=90,CODE(MID(TRIM(UPPER(W5)),4,1))&gt;=65,CODE(MID(TRIM(UPPER(W5)),4,1))&lt;=90,CODE(MID(TRIM(UPPER(W5)),5,1))&gt;=65,CODE(MID(TRIM(UPPER(W5)),5,1))&lt;=90,CODE(MID(TRIM(UPPER(W5)),10,1))&gt;=65,CODE(MID(TRIM(UPPER(W5)),10,1))&lt;=90,CODE(MID(TRIM(UPPER(W5)),6,1))&gt;=48,CODE(MID(TRIM(UPPER(W5)),6,1))&lt;=57,CODE(MID(TRIM(UPPER(W5)),7,1))&gt;=48,CODE(MID(TRIM(UPPER(W5)),7,1))&lt;=57,CODE(MID(TRIM(UPPER(W5)),8,1))&gt;=48,CODE(MID(TRIM(UPPER(W5)),8,1))&lt;=57,CODE(MID(TRIM(UPPER(W5)),9,1))&gt;=48,CODE(MID(TRIM(UPPER(W5)),9,1))&lt;=57),"N","Y"),IF($B5="Challan","",IF(W5&lt;&gt;"","◄ Set Row Type","")))</f>
      </c>
      <c r="Y5" s="23">
        <f>IF($B5="Entry",IF(LEN(W5)&lt;4,"",IF(UPPER(MID(W5,4,1))="P","Individual",IF(UPPER(MID(W5,4,1))="H","HUF",IF(UPPER(MID(W5,4,1))="C","Company",IF(UPPER(MID(W5,4,1))="F","Firm",IF(UPPER(MID(W5,4,1))="L","LLP",IF(UPPER(MID(W5,4,1))="T","Trust",IF(UPPER(MID(W5,4,1))="A","AOP","")))))))),IF($B5="Challan","",IF(W5&lt;&gt;"","◄ Set Row Type","")))</f>
      </c>
      <c r="Z5" s="28"/>
      <c r="AA5" s="29">
        <f>IF($B5&lt;&gt;"Entry","",IF(Z5="","",IF(X5="Y",SUMPRODUCT(('Rate Lookup'!$A$1:$A$37=Z5)*'Rate Lookup'!$D$1:$D$37),IF(OR(Y5="Individual",Y5="HUF"),SUMPRODUCT(('Rate Lookup'!$A$1:$A$37=Z5)*'Rate Lookup'!$B$1:$B$37),SUMPRODUCT(('Rate Lookup'!$A$1:$A$37=Z5)*'Rate Lookup'!$C$1:$C$37)))))</f>
      </c>
      <c r="AB5" s="30"/>
      <c r="AC5" s="31"/>
      <c r="AD5" s="27">
        <f>IF($B5&lt;&gt;"Entry","",ROUND(AC5*AA5/100,0))</f>
      </c>
      <c r="AE5" s="27">
        <f>IF($B5&lt;&gt;"Entry","",0)</f>
      </c>
      <c r="AF5" s="27">
        <f>IF($B5&lt;&gt;"Entry","",0)</f>
      </c>
      <c r="AG5" s="27">
        <f>IF($B5&lt;&gt;"Entry","",IF(OR(AD5=0,AB5="",AQ5="",AQ5&lt;=0),0,IF(AQ5&lt;=DATE(YEAR(AB5),MONTH(AB5)+1,7),0,ROUND(AD5*0.015*((YEAR(AQ5)-YEAR(AB5))*12+(MONTH(AQ5)-MONTH(AB5))+1),0))))</f>
      </c>
      <c r="AH5" s="27">
        <f>IF($B5&lt;&gt;"Entry","",0)</f>
      </c>
      <c r="AI5" s="28"/>
      <c r="AJ5" s="28"/>
      <c r="AK5" s="32"/>
      <c r="AL5" s="28"/>
      <c r="AM5" s="28"/>
      <c r="AN5" s="27">
        <f>IF($B5&lt;&gt;"Challan","",SUMIF('Q1 Data'!$D$4:$D$207,D5,'Q1 Data'!$AD$4:$AD$207)+SUMIF('Q1 Data'!$D$4:$D$207,D5,'Q1 Data'!$AG$4:$AG$207)+SUMIF('Q1 Data'!$D$4:$D$207,D5,'Q1 Data'!$AE$4:$AE$207)+SUMIF('Q2 Data'!$D$4:$D$207,D5,'Q2 Data'!$AD$4:$AD$207)+SUMIF('Q2 Data'!$D$4:$D$207,D5,'Q2 Data'!$AG$4:$AG$207)+SUMIF('Q2 Data'!$D$4:$D$207,D5,'Q2 Data'!$AE$4:$AE$207)+SUMIF('Q3 Data'!$D$4:$D$207,D5,'Q3 Data'!$AD$4:$AD$207)+SUMIF('Q3 Data'!$D$4:$D$207,D5,'Q3 Data'!$AG$4:$AG$207)+SUMIF('Q3 Data'!$D$4:$D$207,D5,'Q3 Data'!$AE$4:$AE$207)+SUMIF('Q4 Data'!$D$4:$D$207,D5,'Q4 Data'!$AD$4:$AD$207)+SUMIF('Q4 Data'!$D$4:$D$207,D5,'Q4 Data'!$AG$4:$AG$207)+SUMIF('Q4 Data'!$D$4:$D$207,D5,'Q4 Data'!$AE$4:$AE$207))</f>
      </c>
      <c r="AO5" s="27">
        <f>IF($B5&lt;&gt;"Challan","",P5-N5)</f>
      </c>
      <c r="AP5" s="27">
        <f>IF($B5&lt;&gt;"Challan","",MAX(0,AO5-AN5))</f>
      </c>
      <c r="AQ5" s="33">
        <f>IF($B5&lt;&gt;"Entry","",SUMPRODUCT(('Q1 Data'!$D$4:$D$207=D5)*('Q1 Data'!$B$4:$B$207="Challan")*'Q1 Data'!$F$4:$F$207)+SUMPRODUCT(('Q2 Data'!$D$4:$D$207=D5)*('Q2 Data'!$B$4:$B$207="Challan")*'Q2 Data'!$F$4:$F$207)+SUMPRODUCT(('Q3 Data'!$D$4:$D$207=D5)*('Q3 Data'!$B$4:$B$207="Challan")*'Q3 Data'!$F$4:$F$207)+SUMPRODUCT(('Q4 Data'!$D$4:$D$207=D5)*('Q4 Data'!$B$4:$B$207="Challan")*'Q4 Data'!$F$4:$F$207))</f>
      </c>
      <c r="AR5" s="34">
        <f>IF(OR($B5&lt;&gt;"Entry",Z5=""),FALSE,AND((SUMPRODUCT(('Q1 Data'!$D$4:$D$207=D5)*('Q1 Data'!$B$4:$B$207="Challan")*('Q1 Data'!$H$4:$H$207&lt;&gt;""))+SUMPRODUCT(('Q2 Data'!$D$4:$D$207=D5)*('Q2 Data'!$B$4:$B$207="Challan")*('Q2 Data'!$H$4:$H$207&lt;&gt;""))+SUMPRODUCT(('Q3 Data'!$D$4:$D$207=D5)*('Q3 Data'!$B$4:$B$207="Challan")*('Q3 Data'!$H$4:$H$207&lt;&gt;""))+SUMPRODUCT(('Q4 Data'!$D$4:$D$207=D5)*('Q4 Data'!$B$4:$B$207="Challan")*('Q4 Data'!$H$4:$H$207&lt;&gt;"")))&gt;0,(SUMPRODUCT(('Q1 Data'!$D$4:$D$207=D5)*('Q1 Data'!$B$4:$B$207="Challan")*('Q1 Data'!$H$4:$H$207=Z5))+SUMPRODUCT(('Q2 Data'!$D$4:$D$207=D5)*('Q2 Data'!$B$4:$B$207="Challan")*('Q2 Data'!$H$4:$H$207=Z5))+SUMPRODUCT(('Q3 Data'!$D$4:$D$207=D5)*('Q3 Data'!$B$4:$B$207="Challan")*('Q3 Data'!$H$4:$H$207=Z5))+SUMPRODUCT(('Q4 Data'!$D$4:$D$207=D5)*('Q4 Data'!$B$4:$B$207="Challan")*('Q4 Data'!$H$4:$H$207=Z5)))=0))</f>
      </c>
    </row>
    <row r="6" spans="1:44" x14ac:dyDescent="0.25">
      <c r="A6" s="20">
        <f>IF($B6="Entry",COUNTIF($B$4:$B6,"Entry"),"")</f>
      </c>
      <c r="B6" s="21"/>
      <c r="C6" s="22"/>
      <c r="D6" s="22"/>
      <c r="E6" s="23">
        <f>IF($B6&lt;&gt;"Challan","",IF(ROUND(AN6-AO6,2)&gt;0,"Over-applied",IF(ROUND(AN6-AO6,2)=0,"Fully Utilised","Unconsumed")))</f>
      </c>
      <c r="F6" s="24"/>
      <c r="G6" s="25"/>
      <c r="H6" s="25"/>
      <c r="I6" s="26"/>
      <c r="J6" s="26"/>
      <c r="K6" s="26"/>
      <c r="L6" s="26"/>
      <c r="M6" s="26"/>
      <c r="N6" s="26"/>
      <c r="O6" s="26"/>
      <c r="P6" s="27">
        <f>IF($B6&lt;&gt;"Challan","",I6+J6+K6+L6+M6+N6)</f>
      </c>
      <c r="Q6" s="25"/>
      <c r="R6" s="25"/>
      <c r="S6" s="25"/>
      <c r="T6" s="25"/>
      <c r="U6" s="25"/>
      <c r="V6" s="28"/>
      <c r="W6" s="28"/>
      <c r="X6" s="23">
        <f>IF($B6="Entry",IF(AND(LEN(TRIM(UPPER(W6)))=10,CODE(MID(TRIM(UPPER(W6)),1,1))&gt;=65,CODE(MID(TRIM(UPPER(W6)),1,1))&lt;=90,CODE(MID(TRIM(UPPER(W6)),2,1))&gt;=65,CODE(MID(TRIM(UPPER(W6)),2,1))&lt;=90,CODE(MID(TRIM(UPPER(W6)),3,1))&gt;=65,CODE(MID(TRIM(UPPER(W6)),3,1))&lt;=90,CODE(MID(TRIM(UPPER(W6)),4,1))&gt;=65,CODE(MID(TRIM(UPPER(W6)),4,1))&lt;=90,CODE(MID(TRIM(UPPER(W6)),5,1))&gt;=65,CODE(MID(TRIM(UPPER(W6)),5,1))&lt;=90,CODE(MID(TRIM(UPPER(W6)),10,1))&gt;=65,CODE(MID(TRIM(UPPER(W6)),10,1))&lt;=90,CODE(MID(TRIM(UPPER(W6)),6,1))&gt;=48,CODE(MID(TRIM(UPPER(W6)),6,1))&lt;=57,CODE(MID(TRIM(UPPER(W6)),7,1))&gt;=48,CODE(MID(TRIM(UPPER(W6)),7,1))&lt;=57,CODE(MID(TRIM(UPPER(W6)),8,1))&gt;=48,CODE(MID(TRIM(UPPER(W6)),8,1))&lt;=57,CODE(MID(TRIM(UPPER(W6)),9,1))&gt;=48,CODE(MID(TRIM(UPPER(W6)),9,1))&lt;=57),"N","Y"),IF($B6="Challan","",IF(W6&lt;&gt;"","◄ Set Row Type","")))</f>
      </c>
      <c r="Y6" s="23">
        <f>IF($B6="Entry",IF(LEN(W6)&lt;4,"",IF(UPPER(MID(W6,4,1))="P","Individual",IF(UPPER(MID(W6,4,1))="H","HUF",IF(UPPER(MID(W6,4,1))="C","Company",IF(UPPER(MID(W6,4,1))="F","Firm",IF(UPPER(MID(W6,4,1))="L","LLP",IF(UPPER(MID(W6,4,1))="T","Trust",IF(UPPER(MID(W6,4,1))="A","AOP","")))))))),IF($B6="Challan","",IF(W6&lt;&gt;"","◄ Set Row Type","")))</f>
      </c>
      <c r="Z6" s="28"/>
      <c r="AA6" s="29">
        <f>IF($B6&lt;&gt;"Entry","",IF(Z6="","",IF(X6="Y",SUMPRODUCT(('Rate Lookup'!$A$1:$A$37=Z6)*'Rate Lookup'!$D$1:$D$37),IF(OR(Y6="Individual",Y6="HUF"),SUMPRODUCT(('Rate Lookup'!$A$1:$A$37=Z6)*'Rate Lookup'!$B$1:$B$37),SUMPRODUCT(('Rate Lookup'!$A$1:$A$37=Z6)*'Rate Lookup'!$C$1:$C$37)))))</f>
      </c>
      <c r="AB6" s="30"/>
      <c r="AC6" s="31"/>
      <c r="AD6" s="27">
        <f>IF($B6&lt;&gt;"Entry","",ROUND(AC6*AA6/100,0))</f>
      </c>
      <c r="AE6" s="27">
        <f>IF($B6&lt;&gt;"Entry","",0)</f>
      </c>
      <c r="AF6" s="27">
        <f>IF($B6&lt;&gt;"Entry","",0)</f>
      </c>
      <c r="AG6" s="27">
        <f>IF($B6&lt;&gt;"Entry","",IF(OR(AD6=0,AB6="",AQ6="",AQ6&lt;=0),0,IF(AQ6&lt;=DATE(YEAR(AB6),MONTH(AB6)+1,7),0,ROUND(AD6*0.015*((YEAR(AQ6)-YEAR(AB6))*12+(MONTH(AQ6)-MONTH(AB6))+1),0))))</f>
      </c>
      <c r="AH6" s="27">
        <f>IF($B6&lt;&gt;"Entry","",0)</f>
      </c>
      <c r="AI6" s="28"/>
      <c r="AJ6" s="28"/>
      <c r="AK6" s="32"/>
      <c r="AL6" s="28"/>
      <c r="AM6" s="28"/>
      <c r="AN6" s="27">
        <f>IF($B6&lt;&gt;"Challan","",SUMIF('Q1 Data'!$D$4:$D$207,D6,'Q1 Data'!$AD$4:$AD$207)+SUMIF('Q1 Data'!$D$4:$D$207,D6,'Q1 Data'!$AG$4:$AG$207)+SUMIF('Q1 Data'!$D$4:$D$207,D6,'Q1 Data'!$AE$4:$AE$207)+SUMIF('Q2 Data'!$D$4:$D$207,D6,'Q2 Data'!$AD$4:$AD$207)+SUMIF('Q2 Data'!$D$4:$D$207,D6,'Q2 Data'!$AG$4:$AG$207)+SUMIF('Q2 Data'!$D$4:$D$207,D6,'Q2 Data'!$AE$4:$AE$207)+SUMIF('Q3 Data'!$D$4:$D$207,D6,'Q3 Data'!$AD$4:$AD$207)+SUMIF('Q3 Data'!$D$4:$D$207,D6,'Q3 Data'!$AG$4:$AG$207)+SUMIF('Q3 Data'!$D$4:$D$207,D6,'Q3 Data'!$AE$4:$AE$207)+SUMIF('Q4 Data'!$D$4:$D$207,D6,'Q4 Data'!$AD$4:$AD$207)+SUMIF('Q4 Data'!$D$4:$D$207,D6,'Q4 Data'!$AG$4:$AG$207)+SUMIF('Q4 Data'!$D$4:$D$207,D6,'Q4 Data'!$AE$4:$AE$207))</f>
      </c>
      <c r="AO6" s="27">
        <f>IF($B6&lt;&gt;"Challan","",P6-N6)</f>
      </c>
      <c r="AP6" s="27">
        <f>IF($B6&lt;&gt;"Challan","",MAX(0,AO6-AN6))</f>
      </c>
      <c r="AQ6" s="33">
        <f>IF($B6&lt;&gt;"Entry","",SUMPRODUCT(('Q1 Data'!$D$4:$D$207=D6)*('Q1 Data'!$B$4:$B$207="Challan")*'Q1 Data'!$F$4:$F$207)+SUMPRODUCT(('Q2 Data'!$D$4:$D$207=D6)*('Q2 Data'!$B$4:$B$207="Challan")*'Q2 Data'!$F$4:$F$207)+SUMPRODUCT(('Q3 Data'!$D$4:$D$207=D6)*('Q3 Data'!$B$4:$B$207="Challan")*'Q3 Data'!$F$4:$F$207)+SUMPRODUCT(('Q4 Data'!$D$4:$D$207=D6)*('Q4 Data'!$B$4:$B$207="Challan")*'Q4 Data'!$F$4:$F$207))</f>
      </c>
      <c r="AR6" s="34">
        <f>IF(OR($B6&lt;&gt;"Entry",Z6=""),FALSE,AND((SUMPRODUCT(('Q1 Data'!$D$4:$D$207=D6)*('Q1 Data'!$B$4:$B$207="Challan")*('Q1 Data'!$H$4:$H$207&lt;&gt;""))+SUMPRODUCT(('Q2 Data'!$D$4:$D$207=D6)*('Q2 Data'!$B$4:$B$207="Challan")*('Q2 Data'!$H$4:$H$207&lt;&gt;""))+SUMPRODUCT(('Q3 Data'!$D$4:$D$207=D6)*('Q3 Data'!$B$4:$B$207="Challan")*('Q3 Data'!$H$4:$H$207&lt;&gt;""))+SUMPRODUCT(('Q4 Data'!$D$4:$D$207=D6)*('Q4 Data'!$B$4:$B$207="Challan")*('Q4 Data'!$H$4:$H$207&lt;&gt;"")))&gt;0,(SUMPRODUCT(('Q1 Data'!$D$4:$D$207=D6)*('Q1 Data'!$B$4:$B$207="Challan")*('Q1 Data'!$H$4:$H$207=Z6))+SUMPRODUCT(('Q2 Data'!$D$4:$D$207=D6)*('Q2 Data'!$B$4:$B$207="Challan")*('Q2 Data'!$H$4:$H$207=Z6))+SUMPRODUCT(('Q3 Data'!$D$4:$D$207=D6)*('Q3 Data'!$B$4:$B$207="Challan")*('Q3 Data'!$H$4:$H$207=Z6))+SUMPRODUCT(('Q4 Data'!$D$4:$D$207=D6)*('Q4 Data'!$B$4:$B$207="Challan")*('Q4 Data'!$H$4:$H$207=Z6)))=0))</f>
      </c>
    </row>
    <row r="7" spans="1:44" x14ac:dyDescent="0.25">
      <c r="A7" s="20">
        <f>IF($B7="Entry",COUNTIF($B$4:$B7,"Entry"),"")</f>
      </c>
      <c r="B7" s="21"/>
      <c r="C7" s="22"/>
      <c r="D7" s="22"/>
      <c r="E7" s="23">
        <f>IF($B7&lt;&gt;"Challan","",IF(ROUND(AN7-AO7,2)&gt;0,"Over-applied",IF(ROUND(AN7-AO7,2)=0,"Fully Utilised","Unconsumed")))</f>
      </c>
      <c r="F7" s="24"/>
      <c r="G7" s="25"/>
      <c r="H7" s="25"/>
      <c r="I7" s="26"/>
      <c r="J7" s="26"/>
      <c r="K7" s="26"/>
      <c r="L7" s="26"/>
      <c r="M7" s="26"/>
      <c r="N7" s="26"/>
      <c r="O7" s="26"/>
      <c r="P7" s="27">
        <f>IF($B7&lt;&gt;"Challan","",I7+J7+K7+L7+M7+N7)</f>
      </c>
      <c r="Q7" s="25"/>
      <c r="R7" s="25"/>
      <c r="S7" s="25"/>
      <c r="T7" s="25"/>
      <c r="U7" s="25"/>
      <c r="V7" s="28"/>
      <c r="W7" s="28"/>
      <c r="X7" s="23">
        <f>IF($B7="Entry",IF(AND(LEN(TRIM(UPPER(W7)))=10,CODE(MID(TRIM(UPPER(W7)),1,1))&gt;=65,CODE(MID(TRIM(UPPER(W7)),1,1))&lt;=90,CODE(MID(TRIM(UPPER(W7)),2,1))&gt;=65,CODE(MID(TRIM(UPPER(W7)),2,1))&lt;=90,CODE(MID(TRIM(UPPER(W7)),3,1))&gt;=65,CODE(MID(TRIM(UPPER(W7)),3,1))&lt;=90,CODE(MID(TRIM(UPPER(W7)),4,1))&gt;=65,CODE(MID(TRIM(UPPER(W7)),4,1))&lt;=90,CODE(MID(TRIM(UPPER(W7)),5,1))&gt;=65,CODE(MID(TRIM(UPPER(W7)),5,1))&lt;=90,CODE(MID(TRIM(UPPER(W7)),10,1))&gt;=65,CODE(MID(TRIM(UPPER(W7)),10,1))&lt;=90,CODE(MID(TRIM(UPPER(W7)),6,1))&gt;=48,CODE(MID(TRIM(UPPER(W7)),6,1))&lt;=57,CODE(MID(TRIM(UPPER(W7)),7,1))&gt;=48,CODE(MID(TRIM(UPPER(W7)),7,1))&lt;=57,CODE(MID(TRIM(UPPER(W7)),8,1))&gt;=48,CODE(MID(TRIM(UPPER(W7)),8,1))&lt;=57,CODE(MID(TRIM(UPPER(W7)),9,1))&gt;=48,CODE(MID(TRIM(UPPER(W7)),9,1))&lt;=57),"N","Y"),IF($B7="Challan","",IF(W7&lt;&gt;"","◄ Set Row Type","")))</f>
      </c>
      <c r="Y7" s="23">
        <f>IF($B7="Entry",IF(LEN(W7)&lt;4,"",IF(UPPER(MID(W7,4,1))="P","Individual",IF(UPPER(MID(W7,4,1))="H","HUF",IF(UPPER(MID(W7,4,1))="C","Company",IF(UPPER(MID(W7,4,1))="F","Firm",IF(UPPER(MID(W7,4,1))="L","LLP",IF(UPPER(MID(W7,4,1))="T","Trust",IF(UPPER(MID(W7,4,1))="A","AOP","")))))))),IF($B7="Challan","",IF(W7&lt;&gt;"","◄ Set Row Type","")))</f>
      </c>
      <c r="Z7" s="28"/>
      <c r="AA7" s="29">
        <f>IF($B7&lt;&gt;"Entry","",IF(Z7="","",IF(X7="Y",SUMPRODUCT(('Rate Lookup'!$A$1:$A$37=Z7)*'Rate Lookup'!$D$1:$D$37),IF(OR(Y7="Individual",Y7="HUF"),SUMPRODUCT(('Rate Lookup'!$A$1:$A$37=Z7)*'Rate Lookup'!$B$1:$B$37),SUMPRODUCT(('Rate Lookup'!$A$1:$A$37=Z7)*'Rate Lookup'!$C$1:$C$37)))))</f>
      </c>
      <c r="AB7" s="30"/>
      <c r="AC7" s="31"/>
      <c r="AD7" s="27">
        <f>IF($B7&lt;&gt;"Entry","",ROUND(AC7*AA7/100,0))</f>
      </c>
      <c r="AE7" s="27">
        <f>IF($B7&lt;&gt;"Entry","",0)</f>
      </c>
      <c r="AF7" s="27">
        <f>IF($B7&lt;&gt;"Entry","",0)</f>
      </c>
      <c r="AG7" s="27">
        <f>IF($B7&lt;&gt;"Entry","",IF(OR(AD7=0,AB7="",AQ7="",AQ7&lt;=0),0,IF(AQ7&lt;=DATE(YEAR(AB7),MONTH(AB7)+1,7),0,ROUND(AD7*0.015*((YEAR(AQ7)-YEAR(AB7))*12+(MONTH(AQ7)-MONTH(AB7))+1),0))))</f>
      </c>
      <c r="AH7" s="27">
        <f>IF($B7&lt;&gt;"Entry","",0)</f>
      </c>
      <c r="AI7" s="28"/>
      <c r="AJ7" s="28"/>
      <c r="AK7" s="32"/>
      <c r="AL7" s="28"/>
      <c r="AM7" s="28"/>
      <c r="AN7" s="27">
        <f>IF($B7&lt;&gt;"Challan","",SUMIF('Q1 Data'!$D$4:$D$207,D7,'Q1 Data'!$AD$4:$AD$207)+SUMIF('Q1 Data'!$D$4:$D$207,D7,'Q1 Data'!$AG$4:$AG$207)+SUMIF('Q1 Data'!$D$4:$D$207,D7,'Q1 Data'!$AE$4:$AE$207)+SUMIF('Q2 Data'!$D$4:$D$207,D7,'Q2 Data'!$AD$4:$AD$207)+SUMIF('Q2 Data'!$D$4:$D$207,D7,'Q2 Data'!$AG$4:$AG$207)+SUMIF('Q2 Data'!$D$4:$D$207,D7,'Q2 Data'!$AE$4:$AE$207)+SUMIF('Q3 Data'!$D$4:$D$207,D7,'Q3 Data'!$AD$4:$AD$207)+SUMIF('Q3 Data'!$D$4:$D$207,D7,'Q3 Data'!$AG$4:$AG$207)+SUMIF('Q3 Data'!$D$4:$D$207,D7,'Q3 Data'!$AE$4:$AE$207)+SUMIF('Q4 Data'!$D$4:$D$207,D7,'Q4 Data'!$AD$4:$AD$207)+SUMIF('Q4 Data'!$D$4:$D$207,D7,'Q4 Data'!$AG$4:$AG$207)+SUMIF('Q4 Data'!$D$4:$D$207,D7,'Q4 Data'!$AE$4:$AE$207))</f>
      </c>
      <c r="AO7" s="27">
        <f>IF($B7&lt;&gt;"Challan","",P7-N7)</f>
      </c>
      <c r="AP7" s="27">
        <f>IF($B7&lt;&gt;"Challan","",MAX(0,AO7-AN7))</f>
      </c>
      <c r="AQ7" s="33">
        <f>IF($B7&lt;&gt;"Entry","",SUMPRODUCT(('Q1 Data'!$D$4:$D$207=D7)*('Q1 Data'!$B$4:$B$207="Challan")*'Q1 Data'!$F$4:$F$207)+SUMPRODUCT(('Q2 Data'!$D$4:$D$207=D7)*('Q2 Data'!$B$4:$B$207="Challan")*'Q2 Data'!$F$4:$F$207)+SUMPRODUCT(('Q3 Data'!$D$4:$D$207=D7)*('Q3 Data'!$B$4:$B$207="Challan")*'Q3 Data'!$F$4:$F$207)+SUMPRODUCT(('Q4 Data'!$D$4:$D$207=D7)*('Q4 Data'!$B$4:$B$207="Challan")*'Q4 Data'!$F$4:$F$207))</f>
      </c>
      <c r="AR7" s="34">
        <f>IF(OR($B7&lt;&gt;"Entry",Z7=""),FALSE,AND((SUMPRODUCT(('Q1 Data'!$D$4:$D$207=D7)*('Q1 Data'!$B$4:$B$207="Challan")*('Q1 Data'!$H$4:$H$207&lt;&gt;""))+SUMPRODUCT(('Q2 Data'!$D$4:$D$207=D7)*('Q2 Data'!$B$4:$B$207="Challan")*('Q2 Data'!$H$4:$H$207&lt;&gt;""))+SUMPRODUCT(('Q3 Data'!$D$4:$D$207=D7)*('Q3 Data'!$B$4:$B$207="Challan")*('Q3 Data'!$H$4:$H$207&lt;&gt;""))+SUMPRODUCT(('Q4 Data'!$D$4:$D$207=D7)*('Q4 Data'!$B$4:$B$207="Challan")*('Q4 Data'!$H$4:$H$207&lt;&gt;"")))&gt;0,(SUMPRODUCT(('Q1 Data'!$D$4:$D$207=D7)*('Q1 Data'!$B$4:$B$207="Challan")*('Q1 Data'!$H$4:$H$207=Z7))+SUMPRODUCT(('Q2 Data'!$D$4:$D$207=D7)*('Q2 Data'!$B$4:$B$207="Challan")*('Q2 Data'!$H$4:$H$207=Z7))+SUMPRODUCT(('Q3 Data'!$D$4:$D$207=D7)*('Q3 Data'!$B$4:$B$207="Challan")*('Q3 Data'!$H$4:$H$207=Z7))+SUMPRODUCT(('Q4 Data'!$D$4:$D$207=D7)*('Q4 Data'!$B$4:$B$207="Challan")*('Q4 Data'!$H$4:$H$207=Z7)))=0))</f>
      </c>
    </row>
    <row r="8" spans="1:44" x14ac:dyDescent="0.25">
      <c r="A8" s="20">
        <f>IF($B8="Entry",COUNTIF($B$4:$B8,"Entry"),"")</f>
      </c>
      <c r="B8" s="21"/>
      <c r="C8" s="22"/>
      <c r="D8" s="22"/>
      <c r="E8" s="23">
        <f>IF($B8&lt;&gt;"Challan","",IF(ROUND(AN8-AO8,2)&gt;0,"Over-applied",IF(ROUND(AN8-AO8,2)=0,"Fully Utilised","Unconsumed")))</f>
      </c>
      <c r="F8" s="24"/>
      <c r="G8" s="25"/>
      <c r="H8" s="25"/>
      <c r="I8" s="26"/>
      <c r="J8" s="26"/>
      <c r="K8" s="26"/>
      <c r="L8" s="26"/>
      <c r="M8" s="26"/>
      <c r="N8" s="26"/>
      <c r="O8" s="26"/>
      <c r="P8" s="27">
        <f>IF($B8&lt;&gt;"Challan","",I8+J8+K8+L8+M8+N8)</f>
      </c>
      <c r="Q8" s="25"/>
      <c r="R8" s="25"/>
      <c r="S8" s="25"/>
      <c r="T8" s="25"/>
      <c r="U8" s="25"/>
      <c r="V8" s="28"/>
      <c r="W8" s="28"/>
      <c r="X8" s="23">
        <f>IF($B8="Entry",IF(AND(LEN(TRIM(UPPER(W8)))=10,CODE(MID(TRIM(UPPER(W8)),1,1))&gt;=65,CODE(MID(TRIM(UPPER(W8)),1,1))&lt;=90,CODE(MID(TRIM(UPPER(W8)),2,1))&gt;=65,CODE(MID(TRIM(UPPER(W8)),2,1))&lt;=90,CODE(MID(TRIM(UPPER(W8)),3,1))&gt;=65,CODE(MID(TRIM(UPPER(W8)),3,1))&lt;=90,CODE(MID(TRIM(UPPER(W8)),4,1))&gt;=65,CODE(MID(TRIM(UPPER(W8)),4,1))&lt;=90,CODE(MID(TRIM(UPPER(W8)),5,1))&gt;=65,CODE(MID(TRIM(UPPER(W8)),5,1))&lt;=90,CODE(MID(TRIM(UPPER(W8)),10,1))&gt;=65,CODE(MID(TRIM(UPPER(W8)),10,1))&lt;=90,CODE(MID(TRIM(UPPER(W8)),6,1))&gt;=48,CODE(MID(TRIM(UPPER(W8)),6,1))&lt;=57,CODE(MID(TRIM(UPPER(W8)),7,1))&gt;=48,CODE(MID(TRIM(UPPER(W8)),7,1))&lt;=57,CODE(MID(TRIM(UPPER(W8)),8,1))&gt;=48,CODE(MID(TRIM(UPPER(W8)),8,1))&lt;=57,CODE(MID(TRIM(UPPER(W8)),9,1))&gt;=48,CODE(MID(TRIM(UPPER(W8)),9,1))&lt;=57),"N","Y"),IF($B8="Challan","",IF(W8&lt;&gt;"","◄ Set Row Type","")))</f>
      </c>
      <c r="Y8" s="23">
        <f>IF($B8="Entry",IF(LEN(W8)&lt;4,"",IF(UPPER(MID(W8,4,1))="P","Individual",IF(UPPER(MID(W8,4,1))="H","HUF",IF(UPPER(MID(W8,4,1))="C","Company",IF(UPPER(MID(W8,4,1))="F","Firm",IF(UPPER(MID(W8,4,1))="L","LLP",IF(UPPER(MID(W8,4,1))="T","Trust",IF(UPPER(MID(W8,4,1))="A","AOP","")))))))),IF($B8="Challan","",IF(W8&lt;&gt;"","◄ Set Row Type","")))</f>
      </c>
      <c r="Z8" s="28"/>
      <c r="AA8" s="29">
        <f>IF($B8&lt;&gt;"Entry","",IF(Z8="","",IF(X8="Y",SUMPRODUCT(('Rate Lookup'!$A$1:$A$37=Z8)*'Rate Lookup'!$D$1:$D$37),IF(OR(Y8="Individual",Y8="HUF"),SUMPRODUCT(('Rate Lookup'!$A$1:$A$37=Z8)*'Rate Lookup'!$B$1:$B$37),SUMPRODUCT(('Rate Lookup'!$A$1:$A$37=Z8)*'Rate Lookup'!$C$1:$C$37)))))</f>
      </c>
      <c r="AB8" s="30"/>
      <c r="AC8" s="31"/>
      <c r="AD8" s="27">
        <f>IF($B8&lt;&gt;"Entry","",ROUND(AC8*AA8/100,0))</f>
      </c>
      <c r="AE8" s="27">
        <f>IF($B8&lt;&gt;"Entry","",0)</f>
      </c>
      <c r="AF8" s="27">
        <f>IF($B8&lt;&gt;"Entry","",0)</f>
      </c>
      <c r="AG8" s="27">
        <f>IF($B8&lt;&gt;"Entry","",IF(OR(AD8=0,AB8="",AQ8="",AQ8&lt;=0),0,IF(AQ8&lt;=DATE(YEAR(AB8),MONTH(AB8)+1,7),0,ROUND(AD8*0.015*((YEAR(AQ8)-YEAR(AB8))*12+(MONTH(AQ8)-MONTH(AB8))+1),0))))</f>
      </c>
      <c r="AH8" s="27">
        <f>IF($B8&lt;&gt;"Entry","",0)</f>
      </c>
      <c r="AI8" s="28"/>
      <c r="AJ8" s="28"/>
      <c r="AK8" s="32"/>
      <c r="AL8" s="28"/>
      <c r="AM8" s="28"/>
      <c r="AN8" s="27">
        <f>IF($B8&lt;&gt;"Challan","",SUMIF('Q1 Data'!$D$4:$D$207,D8,'Q1 Data'!$AD$4:$AD$207)+SUMIF('Q1 Data'!$D$4:$D$207,D8,'Q1 Data'!$AG$4:$AG$207)+SUMIF('Q1 Data'!$D$4:$D$207,D8,'Q1 Data'!$AE$4:$AE$207)+SUMIF('Q2 Data'!$D$4:$D$207,D8,'Q2 Data'!$AD$4:$AD$207)+SUMIF('Q2 Data'!$D$4:$D$207,D8,'Q2 Data'!$AG$4:$AG$207)+SUMIF('Q2 Data'!$D$4:$D$207,D8,'Q2 Data'!$AE$4:$AE$207)+SUMIF('Q3 Data'!$D$4:$D$207,D8,'Q3 Data'!$AD$4:$AD$207)+SUMIF('Q3 Data'!$D$4:$D$207,D8,'Q3 Data'!$AG$4:$AG$207)+SUMIF('Q3 Data'!$D$4:$D$207,D8,'Q3 Data'!$AE$4:$AE$207)+SUMIF('Q4 Data'!$D$4:$D$207,D8,'Q4 Data'!$AD$4:$AD$207)+SUMIF('Q4 Data'!$D$4:$D$207,D8,'Q4 Data'!$AG$4:$AG$207)+SUMIF('Q4 Data'!$D$4:$D$207,D8,'Q4 Data'!$AE$4:$AE$207))</f>
      </c>
      <c r="AO8" s="27">
        <f>IF($B8&lt;&gt;"Challan","",P8-N8)</f>
      </c>
      <c r="AP8" s="27">
        <f>IF($B8&lt;&gt;"Challan","",MAX(0,AO8-AN8))</f>
      </c>
      <c r="AQ8" s="33">
        <f>IF($B8&lt;&gt;"Entry","",SUMPRODUCT(('Q1 Data'!$D$4:$D$207=D8)*('Q1 Data'!$B$4:$B$207="Challan")*'Q1 Data'!$F$4:$F$207)+SUMPRODUCT(('Q2 Data'!$D$4:$D$207=D8)*('Q2 Data'!$B$4:$B$207="Challan")*'Q2 Data'!$F$4:$F$207)+SUMPRODUCT(('Q3 Data'!$D$4:$D$207=D8)*('Q3 Data'!$B$4:$B$207="Challan")*'Q3 Data'!$F$4:$F$207)+SUMPRODUCT(('Q4 Data'!$D$4:$D$207=D8)*('Q4 Data'!$B$4:$B$207="Challan")*'Q4 Data'!$F$4:$F$207))</f>
      </c>
      <c r="AR8" s="34">
        <f>IF(OR($B8&lt;&gt;"Entry",Z8=""),FALSE,AND((SUMPRODUCT(('Q1 Data'!$D$4:$D$207=D8)*('Q1 Data'!$B$4:$B$207="Challan")*('Q1 Data'!$H$4:$H$207&lt;&gt;""))+SUMPRODUCT(('Q2 Data'!$D$4:$D$207=D8)*('Q2 Data'!$B$4:$B$207="Challan")*('Q2 Data'!$H$4:$H$207&lt;&gt;""))+SUMPRODUCT(('Q3 Data'!$D$4:$D$207=D8)*('Q3 Data'!$B$4:$B$207="Challan")*('Q3 Data'!$H$4:$H$207&lt;&gt;""))+SUMPRODUCT(('Q4 Data'!$D$4:$D$207=D8)*('Q4 Data'!$B$4:$B$207="Challan")*('Q4 Data'!$H$4:$H$207&lt;&gt;"")))&gt;0,(SUMPRODUCT(('Q1 Data'!$D$4:$D$207=D8)*('Q1 Data'!$B$4:$B$207="Challan")*('Q1 Data'!$H$4:$H$207=Z8))+SUMPRODUCT(('Q2 Data'!$D$4:$D$207=D8)*('Q2 Data'!$B$4:$B$207="Challan")*('Q2 Data'!$H$4:$H$207=Z8))+SUMPRODUCT(('Q3 Data'!$D$4:$D$207=D8)*('Q3 Data'!$B$4:$B$207="Challan")*('Q3 Data'!$H$4:$H$207=Z8))+SUMPRODUCT(('Q4 Data'!$D$4:$D$207=D8)*('Q4 Data'!$B$4:$B$207="Challan")*('Q4 Data'!$H$4:$H$207=Z8)))=0))</f>
      </c>
    </row>
    <row r="9" spans="1:44" x14ac:dyDescent="0.25">
      <c r="A9" s="20">
        <f>IF($B9="Entry",COUNTIF($B$4:$B9,"Entry"),"")</f>
      </c>
      <c r="B9" s="21"/>
      <c r="C9" s="22"/>
      <c r="D9" s="22"/>
      <c r="E9" s="23">
        <f>IF($B9&lt;&gt;"Challan","",IF(ROUND(AN9-AO9,2)&gt;0,"Over-applied",IF(ROUND(AN9-AO9,2)=0,"Fully Utilised","Unconsumed")))</f>
      </c>
      <c r="F9" s="24"/>
      <c r="G9" s="25"/>
      <c r="H9" s="25"/>
      <c r="I9" s="26"/>
      <c r="J9" s="26"/>
      <c r="K9" s="26"/>
      <c r="L9" s="26"/>
      <c r="M9" s="26"/>
      <c r="N9" s="26"/>
      <c r="O9" s="26"/>
      <c r="P9" s="27">
        <f>IF($B9&lt;&gt;"Challan","",I9+J9+K9+L9+M9+N9)</f>
      </c>
      <c r="Q9" s="25"/>
      <c r="R9" s="25"/>
      <c r="S9" s="25"/>
      <c r="T9" s="25"/>
      <c r="U9" s="25"/>
      <c r="V9" s="28"/>
      <c r="W9" s="28"/>
      <c r="X9" s="23">
        <f>IF($B9="Entry",IF(AND(LEN(TRIM(UPPER(W9)))=10,CODE(MID(TRIM(UPPER(W9)),1,1))&gt;=65,CODE(MID(TRIM(UPPER(W9)),1,1))&lt;=90,CODE(MID(TRIM(UPPER(W9)),2,1))&gt;=65,CODE(MID(TRIM(UPPER(W9)),2,1))&lt;=90,CODE(MID(TRIM(UPPER(W9)),3,1))&gt;=65,CODE(MID(TRIM(UPPER(W9)),3,1))&lt;=90,CODE(MID(TRIM(UPPER(W9)),4,1))&gt;=65,CODE(MID(TRIM(UPPER(W9)),4,1))&lt;=90,CODE(MID(TRIM(UPPER(W9)),5,1))&gt;=65,CODE(MID(TRIM(UPPER(W9)),5,1))&lt;=90,CODE(MID(TRIM(UPPER(W9)),10,1))&gt;=65,CODE(MID(TRIM(UPPER(W9)),10,1))&lt;=90,CODE(MID(TRIM(UPPER(W9)),6,1))&gt;=48,CODE(MID(TRIM(UPPER(W9)),6,1))&lt;=57,CODE(MID(TRIM(UPPER(W9)),7,1))&gt;=48,CODE(MID(TRIM(UPPER(W9)),7,1))&lt;=57,CODE(MID(TRIM(UPPER(W9)),8,1))&gt;=48,CODE(MID(TRIM(UPPER(W9)),8,1))&lt;=57,CODE(MID(TRIM(UPPER(W9)),9,1))&gt;=48,CODE(MID(TRIM(UPPER(W9)),9,1))&lt;=57),"N","Y"),IF($B9="Challan","",IF(W9&lt;&gt;"","◄ Set Row Type","")))</f>
      </c>
      <c r="Y9" s="23">
        <f>IF($B9="Entry",IF(LEN(W9)&lt;4,"",IF(UPPER(MID(W9,4,1))="P","Individual",IF(UPPER(MID(W9,4,1))="H","HUF",IF(UPPER(MID(W9,4,1))="C","Company",IF(UPPER(MID(W9,4,1))="F","Firm",IF(UPPER(MID(W9,4,1))="L","LLP",IF(UPPER(MID(W9,4,1))="T","Trust",IF(UPPER(MID(W9,4,1))="A","AOP","")))))))),IF($B9="Challan","",IF(W9&lt;&gt;"","◄ Set Row Type","")))</f>
      </c>
      <c r="Z9" s="28"/>
      <c r="AA9" s="29">
        <f>IF($B9&lt;&gt;"Entry","",IF(Z9="","",IF(X9="Y",SUMPRODUCT(('Rate Lookup'!$A$1:$A$37=Z9)*'Rate Lookup'!$D$1:$D$37),IF(OR(Y9="Individual",Y9="HUF"),SUMPRODUCT(('Rate Lookup'!$A$1:$A$37=Z9)*'Rate Lookup'!$B$1:$B$37),SUMPRODUCT(('Rate Lookup'!$A$1:$A$37=Z9)*'Rate Lookup'!$C$1:$C$37)))))</f>
      </c>
      <c r="AB9" s="30"/>
      <c r="AC9" s="31"/>
      <c r="AD9" s="27">
        <f>IF($B9&lt;&gt;"Entry","",ROUND(AC9*AA9/100,0))</f>
      </c>
      <c r="AE9" s="27">
        <f>IF($B9&lt;&gt;"Entry","",0)</f>
      </c>
      <c r="AF9" s="27">
        <f>IF($B9&lt;&gt;"Entry","",0)</f>
      </c>
      <c r="AG9" s="27">
        <f>IF($B9&lt;&gt;"Entry","",IF(OR(AD9=0,AB9="",AQ9="",AQ9&lt;=0),0,IF(AQ9&lt;=DATE(YEAR(AB9),MONTH(AB9)+1,7),0,ROUND(AD9*0.015*((YEAR(AQ9)-YEAR(AB9))*12+(MONTH(AQ9)-MONTH(AB9))+1),0))))</f>
      </c>
      <c r="AH9" s="27">
        <f>IF($B9&lt;&gt;"Entry","",0)</f>
      </c>
      <c r="AI9" s="28"/>
      <c r="AJ9" s="28"/>
      <c r="AK9" s="32"/>
      <c r="AL9" s="28"/>
      <c r="AM9" s="28"/>
      <c r="AN9" s="27">
        <f>IF($B9&lt;&gt;"Challan","",SUMIF('Q1 Data'!$D$4:$D$207,D9,'Q1 Data'!$AD$4:$AD$207)+SUMIF('Q1 Data'!$D$4:$D$207,D9,'Q1 Data'!$AG$4:$AG$207)+SUMIF('Q1 Data'!$D$4:$D$207,D9,'Q1 Data'!$AE$4:$AE$207)+SUMIF('Q2 Data'!$D$4:$D$207,D9,'Q2 Data'!$AD$4:$AD$207)+SUMIF('Q2 Data'!$D$4:$D$207,D9,'Q2 Data'!$AG$4:$AG$207)+SUMIF('Q2 Data'!$D$4:$D$207,D9,'Q2 Data'!$AE$4:$AE$207)+SUMIF('Q3 Data'!$D$4:$D$207,D9,'Q3 Data'!$AD$4:$AD$207)+SUMIF('Q3 Data'!$D$4:$D$207,D9,'Q3 Data'!$AG$4:$AG$207)+SUMIF('Q3 Data'!$D$4:$D$207,D9,'Q3 Data'!$AE$4:$AE$207)+SUMIF('Q4 Data'!$D$4:$D$207,D9,'Q4 Data'!$AD$4:$AD$207)+SUMIF('Q4 Data'!$D$4:$D$207,D9,'Q4 Data'!$AG$4:$AG$207)+SUMIF('Q4 Data'!$D$4:$D$207,D9,'Q4 Data'!$AE$4:$AE$207))</f>
      </c>
      <c r="AO9" s="27">
        <f>IF($B9&lt;&gt;"Challan","",P9-N9)</f>
      </c>
      <c r="AP9" s="27">
        <f>IF($B9&lt;&gt;"Challan","",MAX(0,AO9-AN9))</f>
      </c>
      <c r="AQ9" s="33">
        <f>IF($B9&lt;&gt;"Entry","",SUMPRODUCT(('Q1 Data'!$D$4:$D$207=D9)*('Q1 Data'!$B$4:$B$207="Challan")*'Q1 Data'!$F$4:$F$207)+SUMPRODUCT(('Q2 Data'!$D$4:$D$207=D9)*('Q2 Data'!$B$4:$B$207="Challan")*'Q2 Data'!$F$4:$F$207)+SUMPRODUCT(('Q3 Data'!$D$4:$D$207=D9)*('Q3 Data'!$B$4:$B$207="Challan")*'Q3 Data'!$F$4:$F$207)+SUMPRODUCT(('Q4 Data'!$D$4:$D$207=D9)*('Q4 Data'!$B$4:$B$207="Challan")*'Q4 Data'!$F$4:$F$207))</f>
      </c>
      <c r="AR9" s="34">
        <f>IF(OR($B9&lt;&gt;"Entry",Z9=""),FALSE,AND((SUMPRODUCT(('Q1 Data'!$D$4:$D$207=D9)*('Q1 Data'!$B$4:$B$207="Challan")*('Q1 Data'!$H$4:$H$207&lt;&gt;""))+SUMPRODUCT(('Q2 Data'!$D$4:$D$207=D9)*('Q2 Data'!$B$4:$B$207="Challan")*('Q2 Data'!$H$4:$H$207&lt;&gt;""))+SUMPRODUCT(('Q3 Data'!$D$4:$D$207=D9)*('Q3 Data'!$B$4:$B$207="Challan")*('Q3 Data'!$H$4:$H$207&lt;&gt;""))+SUMPRODUCT(('Q4 Data'!$D$4:$D$207=D9)*('Q4 Data'!$B$4:$B$207="Challan")*('Q4 Data'!$H$4:$H$207&lt;&gt;"")))&gt;0,(SUMPRODUCT(('Q1 Data'!$D$4:$D$207=D9)*('Q1 Data'!$B$4:$B$207="Challan")*('Q1 Data'!$H$4:$H$207=Z9))+SUMPRODUCT(('Q2 Data'!$D$4:$D$207=D9)*('Q2 Data'!$B$4:$B$207="Challan")*('Q2 Data'!$H$4:$H$207=Z9))+SUMPRODUCT(('Q3 Data'!$D$4:$D$207=D9)*('Q3 Data'!$B$4:$B$207="Challan")*('Q3 Data'!$H$4:$H$207=Z9))+SUMPRODUCT(('Q4 Data'!$D$4:$D$207=D9)*('Q4 Data'!$B$4:$B$207="Challan")*('Q4 Data'!$H$4:$H$207=Z9)))=0))</f>
      </c>
    </row>
    <row r="10" spans="1:44" x14ac:dyDescent="0.25">
      <c r="A10" s="20">
        <f>IF($B10="Entry",COUNTIF($B$4:$B10,"Entry"),"")</f>
      </c>
      <c r="B10" s="21"/>
      <c r="C10" s="22"/>
      <c r="D10" s="22"/>
      <c r="E10" s="23">
        <f>IF($B10&lt;&gt;"Challan","",IF(ROUND(AN10-AO10,2)&gt;0,"Over-applied",IF(ROUND(AN10-AO10,2)=0,"Fully Utilised","Unconsumed")))</f>
      </c>
      <c r="F10" s="24"/>
      <c r="G10" s="25"/>
      <c r="H10" s="25"/>
      <c r="I10" s="26"/>
      <c r="J10" s="26"/>
      <c r="K10" s="26"/>
      <c r="L10" s="26"/>
      <c r="M10" s="26"/>
      <c r="N10" s="26"/>
      <c r="O10" s="26"/>
      <c r="P10" s="27">
        <f>IF($B10&lt;&gt;"Challan","",I10+J10+K10+L10+M10+N10)</f>
      </c>
      <c r="Q10" s="25"/>
      <c r="R10" s="25"/>
      <c r="S10" s="25"/>
      <c r="T10" s="25"/>
      <c r="U10" s="25"/>
      <c r="V10" s="28"/>
      <c r="W10" s="28"/>
      <c r="X10" s="23">
        <f>IF($B10="Entry",IF(AND(LEN(TRIM(UPPER(W10)))=10,CODE(MID(TRIM(UPPER(W10)),1,1))&gt;=65,CODE(MID(TRIM(UPPER(W10)),1,1))&lt;=90,CODE(MID(TRIM(UPPER(W10)),2,1))&gt;=65,CODE(MID(TRIM(UPPER(W10)),2,1))&lt;=90,CODE(MID(TRIM(UPPER(W10)),3,1))&gt;=65,CODE(MID(TRIM(UPPER(W10)),3,1))&lt;=90,CODE(MID(TRIM(UPPER(W10)),4,1))&gt;=65,CODE(MID(TRIM(UPPER(W10)),4,1))&lt;=90,CODE(MID(TRIM(UPPER(W10)),5,1))&gt;=65,CODE(MID(TRIM(UPPER(W10)),5,1))&lt;=90,CODE(MID(TRIM(UPPER(W10)),10,1))&gt;=65,CODE(MID(TRIM(UPPER(W10)),10,1))&lt;=90,CODE(MID(TRIM(UPPER(W10)),6,1))&gt;=48,CODE(MID(TRIM(UPPER(W10)),6,1))&lt;=57,CODE(MID(TRIM(UPPER(W10)),7,1))&gt;=48,CODE(MID(TRIM(UPPER(W10)),7,1))&lt;=57,CODE(MID(TRIM(UPPER(W10)),8,1))&gt;=48,CODE(MID(TRIM(UPPER(W10)),8,1))&lt;=57,CODE(MID(TRIM(UPPER(W10)),9,1))&gt;=48,CODE(MID(TRIM(UPPER(W10)),9,1))&lt;=57),"N","Y"),IF($B10="Challan","",IF(W10&lt;&gt;"","◄ Set Row Type","")))</f>
      </c>
      <c r="Y10" s="23">
        <f>IF($B10="Entry",IF(LEN(W10)&lt;4,"",IF(UPPER(MID(W10,4,1))="P","Individual",IF(UPPER(MID(W10,4,1))="H","HUF",IF(UPPER(MID(W10,4,1))="C","Company",IF(UPPER(MID(W10,4,1))="F","Firm",IF(UPPER(MID(W10,4,1))="L","LLP",IF(UPPER(MID(W10,4,1))="T","Trust",IF(UPPER(MID(W10,4,1))="A","AOP","")))))))),IF($B10="Challan","",IF(W10&lt;&gt;"","◄ Set Row Type","")))</f>
      </c>
      <c r="Z10" s="28"/>
      <c r="AA10" s="29">
        <f>IF($B10&lt;&gt;"Entry","",IF(Z10="","",IF(X10="Y",SUMPRODUCT(('Rate Lookup'!$A$1:$A$37=Z10)*'Rate Lookup'!$D$1:$D$37),IF(OR(Y10="Individual",Y10="HUF"),SUMPRODUCT(('Rate Lookup'!$A$1:$A$37=Z10)*'Rate Lookup'!$B$1:$B$37),SUMPRODUCT(('Rate Lookup'!$A$1:$A$37=Z10)*'Rate Lookup'!$C$1:$C$37)))))</f>
      </c>
      <c r="AB10" s="30"/>
      <c r="AC10" s="31"/>
      <c r="AD10" s="27">
        <f>IF($B10&lt;&gt;"Entry","",ROUND(AC10*AA10/100,0))</f>
      </c>
      <c r="AE10" s="27">
        <f>IF($B10&lt;&gt;"Entry","",0)</f>
      </c>
      <c r="AF10" s="27">
        <f>IF($B10&lt;&gt;"Entry","",0)</f>
      </c>
      <c r="AG10" s="27">
        <f>IF($B10&lt;&gt;"Entry","",IF(OR(AD10=0,AB10="",AQ10="",AQ10&lt;=0),0,IF(AQ10&lt;=DATE(YEAR(AB10),MONTH(AB10)+1,7),0,ROUND(AD10*0.015*((YEAR(AQ10)-YEAR(AB10))*12+(MONTH(AQ10)-MONTH(AB10))+1),0))))</f>
      </c>
      <c r="AH10" s="27">
        <f>IF($B10&lt;&gt;"Entry","",0)</f>
      </c>
      <c r="AI10" s="28"/>
      <c r="AJ10" s="28"/>
      <c r="AK10" s="32"/>
      <c r="AL10" s="28"/>
      <c r="AM10" s="28"/>
      <c r="AN10" s="27">
        <f>IF($B10&lt;&gt;"Challan","",SUMIF('Q1 Data'!$D$4:$D$207,D10,'Q1 Data'!$AD$4:$AD$207)+SUMIF('Q1 Data'!$D$4:$D$207,D10,'Q1 Data'!$AG$4:$AG$207)+SUMIF('Q1 Data'!$D$4:$D$207,D10,'Q1 Data'!$AE$4:$AE$207)+SUMIF('Q2 Data'!$D$4:$D$207,D10,'Q2 Data'!$AD$4:$AD$207)+SUMIF('Q2 Data'!$D$4:$D$207,D10,'Q2 Data'!$AG$4:$AG$207)+SUMIF('Q2 Data'!$D$4:$D$207,D10,'Q2 Data'!$AE$4:$AE$207)+SUMIF('Q3 Data'!$D$4:$D$207,D10,'Q3 Data'!$AD$4:$AD$207)+SUMIF('Q3 Data'!$D$4:$D$207,D10,'Q3 Data'!$AG$4:$AG$207)+SUMIF('Q3 Data'!$D$4:$D$207,D10,'Q3 Data'!$AE$4:$AE$207)+SUMIF('Q4 Data'!$D$4:$D$207,D10,'Q4 Data'!$AD$4:$AD$207)+SUMIF('Q4 Data'!$D$4:$D$207,D10,'Q4 Data'!$AG$4:$AG$207)+SUMIF('Q4 Data'!$D$4:$D$207,D10,'Q4 Data'!$AE$4:$AE$207))</f>
      </c>
      <c r="AO10" s="27">
        <f>IF($B10&lt;&gt;"Challan","",P10-N10)</f>
      </c>
      <c r="AP10" s="27">
        <f>IF($B10&lt;&gt;"Challan","",MAX(0,AO10-AN10))</f>
      </c>
      <c r="AQ10" s="33">
        <f>IF($B10&lt;&gt;"Entry","",SUMPRODUCT(('Q1 Data'!$D$4:$D$207=D10)*('Q1 Data'!$B$4:$B$207="Challan")*'Q1 Data'!$F$4:$F$207)+SUMPRODUCT(('Q2 Data'!$D$4:$D$207=D10)*('Q2 Data'!$B$4:$B$207="Challan")*'Q2 Data'!$F$4:$F$207)+SUMPRODUCT(('Q3 Data'!$D$4:$D$207=D10)*('Q3 Data'!$B$4:$B$207="Challan")*'Q3 Data'!$F$4:$F$207)+SUMPRODUCT(('Q4 Data'!$D$4:$D$207=D10)*('Q4 Data'!$B$4:$B$207="Challan")*'Q4 Data'!$F$4:$F$207))</f>
      </c>
      <c r="AR10" s="34">
        <f>IF(OR($B10&lt;&gt;"Entry",Z10=""),FALSE,AND((SUMPRODUCT(('Q1 Data'!$D$4:$D$207=D10)*('Q1 Data'!$B$4:$B$207="Challan")*('Q1 Data'!$H$4:$H$207&lt;&gt;""))+SUMPRODUCT(('Q2 Data'!$D$4:$D$207=D10)*('Q2 Data'!$B$4:$B$207="Challan")*('Q2 Data'!$H$4:$H$207&lt;&gt;""))+SUMPRODUCT(('Q3 Data'!$D$4:$D$207=D10)*('Q3 Data'!$B$4:$B$207="Challan")*('Q3 Data'!$H$4:$H$207&lt;&gt;""))+SUMPRODUCT(('Q4 Data'!$D$4:$D$207=D10)*('Q4 Data'!$B$4:$B$207="Challan")*('Q4 Data'!$H$4:$H$207&lt;&gt;"")))&gt;0,(SUMPRODUCT(('Q1 Data'!$D$4:$D$207=D10)*('Q1 Data'!$B$4:$B$207="Challan")*('Q1 Data'!$H$4:$H$207=Z10))+SUMPRODUCT(('Q2 Data'!$D$4:$D$207=D10)*('Q2 Data'!$B$4:$B$207="Challan")*('Q2 Data'!$H$4:$H$207=Z10))+SUMPRODUCT(('Q3 Data'!$D$4:$D$207=D10)*('Q3 Data'!$B$4:$B$207="Challan")*('Q3 Data'!$H$4:$H$207=Z10))+SUMPRODUCT(('Q4 Data'!$D$4:$D$207=D10)*('Q4 Data'!$B$4:$B$207="Challan")*('Q4 Data'!$H$4:$H$207=Z10)))=0))</f>
      </c>
    </row>
    <row r="11" spans="1:44" x14ac:dyDescent="0.25">
      <c r="A11" s="20">
        <f>IF($B11="Entry",COUNTIF($B$4:$B11,"Entry"),"")</f>
      </c>
      <c r="B11" s="21"/>
      <c r="C11" s="22"/>
      <c r="D11" s="22"/>
      <c r="E11" s="23">
        <f>IF($B11&lt;&gt;"Challan","",IF(ROUND(AN11-AO11,2)&gt;0,"Over-applied",IF(ROUND(AN11-AO11,2)=0,"Fully Utilised","Unconsumed")))</f>
      </c>
      <c r="F11" s="24"/>
      <c r="G11" s="25"/>
      <c r="H11" s="25"/>
      <c r="I11" s="26"/>
      <c r="J11" s="26"/>
      <c r="K11" s="26"/>
      <c r="L11" s="26"/>
      <c r="M11" s="26"/>
      <c r="N11" s="26"/>
      <c r="O11" s="26"/>
      <c r="P11" s="27">
        <f>IF($B11&lt;&gt;"Challan","",I11+J11+K11+L11+M11+N11)</f>
      </c>
      <c r="Q11" s="25"/>
      <c r="R11" s="25"/>
      <c r="S11" s="25"/>
      <c r="T11" s="25"/>
      <c r="U11" s="25"/>
      <c r="V11" s="28"/>
      <c r="W11" s="28"/>
      <c r="X11" s="23">
        <f>IF($B11="Entry",IF(AND(LEN(TRIM(UPPER(W11)))=10,CODE(MID(TRIM(UPPER(W11)),1,1))&gt;=65,CODE(MID(TRIM(UPPER(W11)),1,1))&lt;=90,CODE(MID(TRIM(UPPER(W11)),2,1))&gt;=65,CODE(MID(TRIM(UPPER(W11)),2,1))&lt;=90,CODE(MID(TRIM(UPPER(W11)),3,1))&gt;=65,CODE(MID(TRIM(UPPER(W11)),3,1))&lt;=90,CODE(MID(TRIM(UPPER(W11)),4,1))&gt;=65,CODE(MID(TRIM(UPPER(W11)),4,1))&lt;=90,CODE(MID(TRIM(UPPER(W11)),5,1))&gt;=65,CODE(MID(TRIM(UPPER(W11)),5,1))&lt;=90,CODE(MID(TRIM(UPPER(W11)),10,1))&gt;=65,CODE(MID(TRIM(UPPER(W11)),10,1))&lt;=90,CODE(MID(TRIM(UPPER(W11)),6,1))&gt;=48,CODE(MID(TRIM(UPPER(W11)),6,1))&lt;=57,CODE(MID(TRIM(UPPER(W11)),7,1))&gt;=48,CODE(MID(TRIM(UPPER(W11)),7,1))&lt;=57,CODE(MID(TRIM(UPPER(W11)),8,1))&gt;=48,CODE(MID(TRIM(UPPER(W11)),8,1))&lt;=57,CODE(MID(TRIM(UPPER(W11)),9,1))&gt;=48,CODE(MID(TRIM(UPPER(W11)),9,1))&lt;=57),"N","Y"),IF($B11="Challan","",IF(W11&lt;&gt;"","◄ Set Row Type","")))</f>
      </c>
      <c r="Y11" s="23">
        <f>IF($B11="Entry",IF(LEN(W11)&lt;4,"",IF(UPPER(MID(W11,4,1))="P","Individual",IF(UPPER(MID(W11,4,1))="H","HUF",IF(UPPER(MID(W11,4,1))="C","Company",IF(UPPER(MID(W11,4,1))="F","Firm",IF(UPPER(MID(W11,4,1))="L","LLP",IF(UPPER(MID(W11,4,1))="T","Trust",IF(UPPER(MID(W11,4,1))="A","AOP","")))))))),IF($B11="Challan","",IF(W11&lt;&gt;"","◄ Set Row Type","")))</f>
      </c>
      <c r="Z11" s="28"/>
      <c r="AA11" s="29">
        <f>IF($B11&lt;&gt;"Entry","",IF(Z11="","",IF(X11="Y",SUMPRODUCT(('Rate Lookup'!$A$1:$A$37=Z11)*'Rate Lookup'!$D$1:$D$37),IF(OR(Y11="Individual",Y11="HUF"),SUMPRODUCT(('Rate Lookup'!$A$1:$A$37=Z11)*'Rate Lookup'!$B$1:$B$37),SUMPRODUCT(('Rate Lookup'!$A$1:$A$37=Z11)*'Rate Lookup'!$C$1:$C$37)))))</f>
      </c>
      <c r="AB11" s="30"/>
      <c r="AC11" s="31"/>
      <c r="AD11" s="27">
        <f>IF($B11&lt;&gt;"Entry","",ROUND(AC11*AA11/100,0))</f>
      </c>
      <c r="AE11" s="27">
        <f>IF($B11&lt;&gt;"Entry","",0)</f>
      </c>
      <c r="AF11" s="27">
        <f>IF($B11&lt;&gt;"Entry","",0)</f>
      </c>
      <c r="AG11" s="27">
        <f>IF($B11&lt;&gt;"Entry","",IF(OR(AD11=0,AB11="",AQ11="",AQ11&lt;=0),0,IF(AQ11&lt;=DATE(YEAR(AB11),MONTH(AB11)+1,7),0,ROUND(AD11*0.015*((YEAR(AQ11)-YEAR(AB11))*12+(MONTH(AQ11)-MONTH(AB11))+1),0))))</f>
      </c>
      <c r="AH11" s="27">
        <f>IF($B11&lt;&gt;"Entry","",0)</f>
      </c>
      <c r="AI11" s="28"/>
      <c r="AJ11" s="28"/>
      <c r="AK11" s="32"/>
      <c r="AL11" s="28"/>
      <c r="AM11" s="28"/>
      <c r="AN11" s="27">
        <f>IF($B11&lt;&gt;"Challan","",SUMIF('Q1 Data'!$D$4:$D$207,D11,'Q1 Data'!$AD$4:$AD$207)+SUMIF('Q1 Data'!$D$4:$D$207,D11,'Q1 Data'!$AG$4:$AG$207)+SUMIF('Q1 Data'!$D$4:$D$207,D11,'Q1 Data'!$AE$4:$AE$207)+SUMIF('Q2 Data'!$D$4:$D$207,D11,'Q2 Data'!$AD$4:$AD$207)+SUMIF('Q2 Data'!$D$4:$D$207,D11,'Q2 Data'!$AG$4:$AG$207)+SUMIF('Q2 Data'!$D$4:$D$207,D11,'Q2 Data'!$AE$4:$AE$207)+SUMIF('Q3 Data'!$D$4:$D$207,D11,'Q3 Data'!$AD$4:$AD$207)+SUMIF('Q3 Data'!$D$4:$D$207,D11,'Q3 Data'!$AG$4:$AG$207)+SUMIF('Q3 Data'!$D$4:$D$207,D11,'Q3 Data'!$AE$4:$AE$207)+SUMIF('Q4 Data'!$D$4:$D$207,D11,'Q4 Data'!$AD$4:$AD$207)+SUMIF('Q4 Data'!$D$4:$D$207,D11,'Q4 Data'!$AG$4:$AG$207)+SUMIF('Q4 Data'!$D$4:$D$207,D11,'Q4 Data'!$AE$4:$AE$207))</f>
      </c>
      <c r="AO11" s="27">
        <f>IF($B11&lt;&gt;"Challan","",P11-N11)</f>
      </c>
      <c r="AP11" s="27">
        <f>IF($B11&lt;&gt;"Challan","",MAX(0,AO11-AN11))</f>
      </c>
      <c r="AQ11" s="33">
        <f>IF($B11&lt;&gt;"Entry","",SUMPRODUCT(('Q1 Data'!$D$4:$D$207=D11)*('Q1 Data'!$B$4:$B$207="Challan")*'Q1 Data'!$F$4:$F$207)+SUMPRODUCT(('Q2 Data'!$D$4:$D$207=D11)*('Q2 Data'!$B$4:$B$207="Challan")*'Q2 Data'!$F$4:$F$207)+SUMPRODUCT(('Q3 Data'!$D$4:$D$207=D11)*('Q3 Data'!$B$4:$B$207="Challan")*'Q3 Data'!$F$4:$F$207)+SUMPRODUCT(('Q4 Data'!$D$4:$D$207=D11)*('Q4 Data'!$B$4:$B$207="Challan")*'Q4 Data'!$F$4:$F$207))</f>
      </c>
      <c r="AR11" s="34">
        <f>IF(OR($B11&lt;&gt;"Entry",Z11=""),FALSE,AND((SUMPRODUCT(('Q1 Data'!$D$4:$D$207=D11)*('Q1 Data'!$B$4:$B$207="Challan")*('Q1 Data'!$H$4:$H$207&lt;&gt;""))+SUMPRODUCT(('Q2 Data'!$D$4:$D$207=D11)*('Q2 Data'!$B$4:$B$207="Challan")*('Q2 Data'!$H$4:$H$207&lt;&gt;""))+SUMPRODUCT(('Q3 Data'!$D$4:$D$207=D11)*('Q3 Data'!$B$4:$B$207="Challan")*('Q3 Data'!$H$4:$H$207&lt;&gt;""))+SUMPRODUCT(('Q4 Data'!$D$4:$D$207=D11)*('Q4 Data'!$B$4:$B$207="Challan")*('Q4 Data'!$H$4:$H$207&lt;&gt;"")))&gt;0,(SUMPRODUCT(('Q1 Data'!$D$4:$D$207=D11)*('Q1 Data'!$B$4:$B$207="Challan")*('Q1 Data'!$H$4:$H$207=Z11))+SUMPRODUCT(('Q2 Data'!$D$4:$D$207=D11)*('Q2 Data'!$B$4:$B$207="Challan")*('Q2 Data'!$H$4:$H$207=Z11))+SUMPRODUCT(('Q3 Data'!$D$4:$D$207=D11)*('Q3 Data'!$B$4:$B$207="Challan")*('Q3 Data'!$H$4:$H$207=Z11))+SUMPRODUCT(('Q4 Data'!$D$4:$D$207=D11)*('Q4 Data'!$B$4:$B$207="Challan")*('Q4 Data'!$H$4:$H$207=Z11)))=0))</f>
      </c>
    </row>
    <row r="12" spans="1:44" x14ac:dyDescent="0.25">
      <c r="A12" s="20">
        <f>IF($B12="Entry",COUNTIF($B$4:$B12,"Entry"),"")</f>
      </c>
      <c r="B12" s="21"/>
      <c r="C12" s="22"/>
      <c r="D12" s="22"/>
      <c r="E12" s="23">
        <f>IF($B12&lt;&gt;"Challan","",IF(ROUND(AN12-AO12,2)&gt;0,"Over-applied",IF(ROUND(AN12-AO12,2)=0,"Fully Utilised","Unconsumed")))</f>
      </c>
      <c r="F12" s="24"/>
      <c r="G12" s="25"/>
      <c r="H12" s="25"/>
      <c r="I12" s="26"/>
      <c r="J12" s="26"/>
      <c r="K12" s="26"/>
      <c r="L12" s="26"/>
      <c r="M12" s="26"/>
      <c r="N12" s="26"/>
      <c r="O12" s="26"/>
      <c r="P12" s="27">
        <f>IF($B12&lt;&gt;"Challan","",I12+J12+K12+L12+M12+N12)</f>
      </c>
      <c r="Q12" s="25"/>
      <c r="R12" s="25"/>
      <c r="S12" s="25"/>
      <c r="T12" s="25"/>
      <c r="U12" s="25"/>
      <c r="V12" s="28"/>
      <c r="W12" s="28"/>
      <c r="X12" s="23">
        <f>IF($B12="Entry",IF(AND(LEN(TRIM(UPPER(W12)))=10,CODE(MID(TRIM(UPPER(W12)),1,1))&gt;=65,CODE(MID(TRIM(UPPER(W12)),1,1))&lt;=90,CODE(MID(TRIM(UPPER(W12)),2,1))&gt;=65,CODE(MID(TRIM(UPPER(W12)),2,1))&lt;=90,CODE(MID(TRIM(UPPER(W12)),3,1))&gt;=65,CODE(MID(TRIM(UPPER(W12)),3,1))&lt;=90,CODE(MID(TRIM(UPPER(W12)),4,1))&gt;=65,CODE(MID(TRIM(UPPER(W12)),4,1))&lt;=90,CODE(MID(TRIM(UPPER(W12)),5,1))&gt;=65,CODE(MID(TRIM(UPPER(W12)),5,1))&lt;=90,CODE(MID(TRIM(UPPER(W12)),10,1))&gt;=65,CODE(MID(TRIM(UPPER(W12)),10,1))&lt;=90,CODE(MID(TRIM(UPPER(W12)),6,1))&gt;=48,CODE(MID(TRIM(UPPER(W12)),6,1))&lt;=57,CODE(MID(TRIM(UPPER(W12)),7,1))&gt;=48,CODE(MID(TRIM(UPPER(W12)),7,1))&lt;=57,CODE(MID(TRIM(UPPER(W12)),8,1))&gt;=48,CODE(MID(TRIM(UPPER(W12)),8,1))&lt;=57,CODE(MID(TRIM(UPPER(W12)),9,1))&gt;=48,CODE(MID(TRIM(UPPER(W12)),9,1))&lt;=57),"N","Y"),IF($B12="Challan","",IF(W12&lt;&gt;"","◄ Set Row Type","")))</f>
      </c>
      <c r="Y12" s="23">
        <f>IF($B12="Entry",IF(LEN(W12)&lt;4,"",IF(UPPER(MID(W12,4,1))="P","Individual",IF(UPPER(MID(W12,4,1))="H","HUF",IF(UPPER(MID(W12,4,1))="C","Company",IF(UPPER(MID(W12,4,1))="F","Firm",IF(UPPER(MID(W12,4,1))="L","LLP",IF(UPPER(MID(W12,4,1))="T","Trust",IF(UPPER(MID(W12,4,1))="A","AOP","")))))))),IF($B12="Challan","",IF(W12&lt;&gt;"","◄ Set Row Type","")))</f>
      </c>
      <c r="Z12" s="28"/>
      <c r="AA12" s="29">
        <f>IF($B12&lt;&gt;"Entry","",IF(Z12="","",IF(X12="Y",SUMPRODUCT(('Rate Lookup'!$A$1:$A$37=Z12)*'Rate Lookup'!$D$1:$D$37),IF(OR(Y12="Individual",Y12="HUF"),SUMPRODUCT(('Rate Lookup'!$A$1:$A$37=Z12)*'Rate Lookup'!$B$1:$B$37),SUMPRODUCT(('Rate Lookup'!$A$1:$A$37=Z12)*'Rate Lookup'!$C$1:$C$37)))))</f>
      </c>
      <c r="AB12" s="30"/>
      <c r="AC12" s="31"/>
      <c r="AD12" s="27">
        <f>IF($B12&lt;&gt;"Entry","",ROUND(AC12*AA12/100,0))</f>
      </c>
      <c r="AE12" s="27">
        <f>IF($B12&lt;&gt;"Entry","",0)</f>
      </c>
      <c r="AF12" s="27">
        <f>IF($B12&lt;&gt;"Entry","",0)</f>
      </c>
      <c r="AG12" s="27">
        <f>IF($B12&lt;&gt;"Entry","",IF(OR(AD12=0,AB12="",AQ12="",AQ12&lt;=0),0,IF(AQ12&lt;=DATE(YEAR(AB12),MONTH(AB12)+1,7),0,ROUND(AD12*0.015*((YEAR(AQ12)-YEAR(AB12))*12+(MONTH(AQ12)-MONTH(AB12))+1),0))))</f>
      </c>
      <c r="AH12" s="27">
        <f>IF($B12&lt;&gt;"Entry","",0)</f>
      </c>
      <c r="AI12" s="28"/>
      <c r="AJ12" s="28"/>
      <c r="AK12" s="32"/>
      <c r="AL12" s="28"/>
      <c r="AM12" s="28"/>
      <c r="AN12" s="27">
        <f>IF($B12&lt;&gt;"Challan","",SUMIF('Q1 Data'!$D$4:$D$207,D12,'Q1 Data'!$AD$4:$AD$207)+SUMIF('Q1 Data'!$D$4:$D$207,D12,'Q1 Data'!$AG$4:$AG$207)+SUMIF('Q1 Data'!$D$4:$D$207,D12,'Q1 Data'!$AE$4:$AE$207)+SUMIF('Q2 Data'!$D$4:$D$207,D12,'Q2 Data'!$AD$4:$AD$207)+SUMIF('Q2 Data'!$D$4:$D$207,D12,'Q2 Data'!$AG$4:$AG$207)+SUMIF('Q2 Data'!$D$4:$D$207,D12,'Q2 Data'!$AE$4:$AE$207)+SUMIF('Q3 Data'!$D$4:$D$207,D12,'Q3 Data'!$AD$4:$AD$207)+SUMIF('Q3 Data'!$D$4:$D$207,D12,'Q3 Data'!$AG$4:$AG$207)+SUMIF('Q3 Data'!$D$4:$D$207,D12,'Q3 Data'!$AE$4:$AE$207)+SUMIF('Q4 Data'!$D$4:$D$207,D12,'Q4 Data'!$AD$4:$AD$207)+SUMIF('Q4 Data'!$D$4:$D$207,D12,'Q4 Data'!$AG$4:$AG$207)+SUMIF('Q4 Data'!$D$4:$D$207,D12,'Q4 Data'!$AE$4:$AE$207))</f>
      </c>
      <c r="AO12" s="27">
        <f>IF($B12&lt;&gt;"Challan","",P12-N12)</f>
      </c>
      <c r="AP12" s="27">
        <f>IF($B12&lt;&gt;"Challan","",MAX(0,AO12-AN12))</f>
      </c>
      <c r="AQ12" s="33">
        <f>IF($B12&lt;&gt;"Entry","",SUMPRODUCT(('Q1 Data'!$D$4:$D$207=D12)*('Q1 Data'!$B$4:$B$207="Challan")*'Q1 Data'!$F$4:$F$207)+SUMPRODUCT(('Q2 Data'!$D$4:$D$207=D12)*('Q2 Data'!$B$4:$B$207="Challan")*'Q2 Data'!$F$4:$F$207)+SUMPRODUCT(('Q3 Data'!$D$4:$D$207=D12)*('Q3 Data'!$B$4:$B$207="Challan")*'Q3 Data'!$F$4:$F$207)+SUMPRODUCT(('Q4 Data'!$D$4:$D$207=D12)*('Q4 Data'!$B$4:$B$207="Challan")*'Q4 Data'!$F$4:$F$207))</f>
      </c>
      <c r="AR12" s="34">
        <f>IF(OR($B12&lt;&gt;"Entry",Z12=""),FALSE,AND((SUMPRODUCT(('Q1 Data'!$D$4:$D$207=D12)*('Q1 Data'!$B$4:$B$207="Challan")*('Q1 Data'!$H$4:$H$207&lt;&gt;""))+SUMPRODUCT(('Q2 Data'!$D$4:$D$207=D12)*('Q2 Data'!$B$4:$B$207="Challan")*('Q2 Data'!$H$4:$H$207&lt;&gt;""))+SUMPRODUCT(('Q3 Data'!$D$4:$D$207=D12)*('Q3 Data'!$B$4:$B$207="Challan")*('Q3 Data'!$H$4:$H$207&lt;&gt;""))+SUMPRODUCT(('Q4 Data'!$D$4:$D$207=D12)*('Q4 Data'!$B$4:$B$207="Challan")*('Q4 Data'!$H$4:$H$207&lt;&gt;"")))&gt;0,(SUMPRODUCT(('Q1 Data'!$D$4:$D$207=D12)*('Q1 Data'!$B$4:$B$207="Challan")*('Q1 Data'!$H$4:$H$207=Z12))+SUMPRODUCT(('Q2 Data'!$D$4:$D$207=D12)*('Q2 Data'!$B$4:$B$207="Challan")*('Q2 Data'!$H$4:$H$207=Z12))+SUMPRODUCT(('Q3 Data'!$D$4:$D$207=D12)*('Q3 Data'!$B$4:$B$207="Challan")*('Q3 Data'!$H$4:$H$207=Z12))+SUMPRODUCT(('Q4 Data'!$D$4:$D$207=D12)*('Q4 Data'!$B$4:$B$207="Challan")*('Q4 Data'!$H$4:$H$207=Z12)))=0))</f>
      </c>
    </row>
    <row r="13" spans="1:44" x14ac:dyDescent="0.25">
      <c r="A13" s="20">
        <f>IF($B13="Entry",COUNTIF($B$4:$B13,"Entry"),"")</f>
      </c>
      <c r="B13" s="21"/>
      <c r="C13" s="22"/>
      <c r="D13" s="22"/>
      <c r="E13" s="23">
        <f>IF($B13&lt;&gt;"Challan","",IF(ROUND(AN13-AO13,2)&gt;0,"Over-applied",IF(ROUND(AN13-AO13,2)=0,"Fully Utilised","Unconsumed")))</f>
      </c>
      <c r="F13" s="24"/>
      <c r="G13" s="25"/>
      <c r="H13" s="25"/>
      <c r="I13" s="26"/>
      <c r="J13" s="26"/>
      <c r="K13" s="26"/>
      <c r="L13" s="26"/>
      <c r="M13" s="26"/>
      <c r="N13" s="26"/>
      <c r="O13" s="26"/>
      <c r="P13" s="27">
        <f>IF($B13&lt;&gt;"Challan","",I13+J13+K13+L13+M13+N13)</f>
      </c>
      <c r="Q13" s="25"/>
      <c r="R13" s="25"/>
      <c r="S13" s="25"/>
      <c r="T13" s="25"/>
      <c r="U13" s="25"/>
      <c r="V13" s="28"/>
      <c r="W13" s="28"/>
      <c r="X13" s="23">
        <f>IF($B13="Entry",IF(AND(LEN(TRIM(UPPER(W13)))=10,CODE(MID(TRIM(UPPER(W13)),1,1))&gt;=65,CODE(MID(TRIM(UPPER(W13)),1,1))&lt;=90,CODE(MID(TRIM(UPPER(W13)),2,1))&gt;=65,CODE(MID(TRIM(UPPER(W13)),2,1))&lt;=90,CODE(MID(TRIM(UPPER(W13)),3,1))&gt;=65,CODE(MID(TRIM(UPPER(W13)),3,1))&lt;=90,CODE(MID(TRIM(UPPER(W13)),4,1))&gt;=65,CODE(MID(TRIM(UPPER(W13)),4,1))&lt;=90,CODE(MID(TRIM(UPPER(W13)),5,1))&gt;=65,CODE(MID(TRIM(UPPER(W13)),5,1))&lt;=90,CODE(MID(TRIM(UPPER(W13)),10,1))&gt;=65,CODE(MID(TRIM(UPPER(W13)),10,1))&lt;=90,CODE(MID(TRIM(UPPER(W13)),6,1))&gt;=48,CODE(MID(TRIM(UPPER(W13)),6,1))&lt;=57,CODE(MID(TRIM(UPPER(W13)),7,1))&gt;=48,CODE(MID(TRIM(UPPER(W13)),7,1))&lt;=57,CODE(MID(TRIM(UPPER(W13)),8,1))&gt;=48,CODE(MID(TRIM(UPPER(W13)),8,1))&lt;=57,CODE(MID(TRIM(UPPER(W13)),9,1))&gt;=48,CODE(MID(TRIM(UPPER(W13)),9,1))&lt;=57),"N","Y"),IF($B13="Challan","",IF(W13&lt;&gt;"","◄ Set Row Type","")))</f>
      </c>
      <c r="Y13" s="23">
        <f>IF($B13="Entry",IF(LEN(W13)&lt;4,"",IF(UPPER(MID(W13,4,1))="P","Individual",IF(UPPER(MID(W13,4,1))="H","HUF",IF(UPPER(MID(W13,4,1))="C","Company",IF(UPPER(MID(W13,4,1))="F","Firm",IF(UPPER(MID(W13,4,1))="L","LLP",IF(UPPER(MID(W13,4,1))="T","Trust",IF(UPPER(MID(W13,4,1))="A","AOP","")))))))),IF($B13="Challan","",IF(W13&lt;&gt;"","◄ Set Row Type","")))</f>
      </c>
      <c r="Z13" s="28"/>
      <c r="AA13" s="29">
        <f>IF($B13&lt;&gt;"Entry","",IF(Z13="","",IF(X13="Y",SUMPRODUCT(('Rate Lookup'!$A$1:$A$37=Z13)*'Rate Lookup'!$D$1:$D$37),IF(OR(Y13="Individual",Y13="HUF"),SUMPRODUCT(('Rate Lookup'!$A$1:$A$37=Z13)*'Rate Lookup'!$B$1:$B$37),SUMPRODUCT(('Rate Lookup'!$A$1:$A$37=Z13)*'Rate Lookup'!$C$1:$C$37)))))</f>
      </c>
      <c r="AB13" s="30"/>
      <c r="AC13" s="31"/>
      <c r="AD13" s="27">
        <f>IF($B13&lt;&gt;"Entry","",ROUND(AC13*AA13/100,0))</f>
      </c>
      <c r="AE13" s="27">
        <f>IF($B13&lt;&gt;"Entry","",0)</f>
      </c>
      <c r="AF13" s="27">
        <f>IF($B13&lt;&gt;"Entry","",0)</f>
      </c>
      <c r="AG13" s="27">
        <f>IF($B13&lt;&gt;"Entry","",IF(OR(AD13=0,AB13="",AQ13="",AQ13&lt;=0),0,IF(AQ13&lt;=DATE(YEAR(AB13),MONTH(AB13)+1,7),0,ROUND(AD13*0.015*((YEAR(AQ13)-YEAR(AB13))*12+(MONTH(AQ13)-MONTH(AB13))+1),0))))</f>
      </c>
      <c r="AH13" s="27">
        <f>IF($B13&lt;&gt;"Entry","",0)</f>
      </c>
      <c r="AI13" s="28"/>
      <c r="AJ13" s="28"/>
      <c r="AK13" s="32"/>
      <c r="AL13" s="28"/>
      <c r="AM13" s="28"/>
      <c r="AN13" s="27">
        <f>IF($B13&lt;&gt;"Challan","",SUMIF('Q1 Data'!$D$4:$D$207,D13,'Q1 Data'!$AD$4:$AD$207)+SUMIF('Q1 Data'!$D$4:$D$207,D13,'Q1 Data'!$AG$4:$AG$207)+SUMIF('Q1 Data'!$D$4:$D$207,D13,'Q1 Data'!$AE$4:$AE$207)+SUMIF('Q2 Data'!$D$4:$D$207,D13,'Q2 Data'!$AD$4:$AD$207)+SUMIF('Q2 Data'!$D$4:$D$207,D13,'Q2 Data'!$AG$4:$AG$207)+SUMIF('Q2 Data'!$D$4:$D$207,D13,'Q2 Data'!$AE$4:$AE$207)+SUMIF('Q3 Data'!$D$4:$D$207,D13,'Q3 Data'!$AD$4:$AD$207)+SUMIF('Q3 Data'!$D$4:$D$207,D13,'Q3 Data'!$AG$4:$AG$207)+SUMIF('Q3 Data'!$D$4:$D$207,D13,'Q3 Data'!$AE$4:$AE$207)+SUMIF('Q4 Data'!$D$4:$D$207,D13,'Q4 Data'!$AD$4:$AD$207)+SUMIF('Q4 Data'!$D$4:$D$207,D13,'Q4 Data'!$AG$4:$AG$207)+SUMIF('Q4 Data'!$D$4:$D$207,D13,'Q4 Data'!$AE$4:$AE$207))</f>
      </c>
      <c r="AO13" s="27">
        <f>IF($B13&lt;&gt;"Challan","",P13-N13)</f>
      </c>
      <c r="AP13" s="27">
        <f>IF($B13&lt;&gt;"Challan","",MAX(0,AO13-AN13))</f>
      </c>
      <c r="AQ13" s="33">
        <f>IF($B13&lt;&gt;"Entry","",SUMPRODUCT(('Q1 Data'!$D$4:$D$207=D13)*('Q1 Data'!$B$4:$B$207="Challan")*'Q1 Data'!$F$4:$F$207)+SUMPRODUCT(('Q2 Data'!$D$4:$D$207=D13)*('Q2 Data'!$B$4:$B$207="Challan")*'Q2 Data'!$F$4:$F$207)+SUMPRODUCT(('Q3 Data'!$D$4:$D$207=D13)*('Q3 Data'!$B$4:$B$207="Challan")*'Q3 Data'!$F$4:$F$207)+SUMPRODUCT(('Q4 Data'!$D$4:$D$207=D13)*('Q4 Data'!$B$4:$B$207="Challan")*'Q4 Data'!$F$4:$F$207))</f>
      </c>
      <c r="AR13" s="34">
        <f>IF(OR($B13&lt;&gt;"Entry",Z13=""),FALSE,AND((SUMPRODUCT(('Q1 Data'!$D$4:$D$207=D13)*('Q1 Data'!$B$4:$B$207="Challan")*('Q1 Data'!$H$4:$H$207&lt;&gt;""))+SUMPRODUCT(('Q2 Data'!$D$4:$D$207=D13)*('Q2 Data'!$B$4:$B$207="Challan")*('Q2 Data'!$H$4:$H$207&lt;&gt;""))+SUMPRODUCT(('Q3 Data'!$D$4:$D$207=D13)*('Q3 Data'!$B$4:$B$207="Challan")*('Q3 Data'!$H$4:$H$207&lt;&gt;""))+SUMPRODUCT(('Q4 Data'!$D$4:$D$207=D13)*('Q4 Data'!$B$4:$B$207="Challan")*('Q4 Data'!$H$4:$H$207&lt;&gt;"")))&gt;0,(SUMPRODUCT(('Q1 Data'!$D$4:$D$207=D13)*('Q1 Data'!$B$4:$B$207="Challan")*('Q1 Data'!$H$4:$H$207=Z13))+SUMPRODUCT(('Q2 Data'!$D$4:$D$207=D13)*('Q2 Data'!$B$4:$B$207="Challan")*('Q2 Data'!$H$4:$H$207=Z13))+SUMPRODUCT(('Q3 Data'!$D$4:$D$207=D13)*('Q3 Data'!$B$4:$B$207="Challan")*('Q3 Data'!$H$4:$H$207=Z13))+SUMPRODUCT(('Q4 Data'!$D$4:$D$207=D13)*('Q4 Data'!$B$4:$B$207="Challan")*('Q4 Data'!$H$4:$H$207=Z13)))=0))</f>
      </c>
    </row>
    <row r="14" spans="1:44" x14ac:dyDescent="0.25">
      <c r="A14" s="20">
        <f>IF($B14="Entry",COUNTIF($B$4:$B14,"Entry"),"")</f>
      </c>
      <c r="B14" s="21"/>
      <c r="C14" s="22"/>
      <c r="D14" s="22"/>
      <c r="E14" s="23">
        <f>IF($B14&lt;&gt;"Challan","",IF(ROUND(AN14-AO14,2)&gt;0,"Over-applied",IF(ROUND(AN14-AO14,2)=0,"Fully Utilised","Unconsumed")))</f>
      </c>
      <c r="F14" s="24"/>
      <c r="G14" s="25"/>
      <c r="H14" s="25"/>
      <c r="I14" s="26"/>
      <c r="J14" s="26"/>
      <c r="K14" s="26"/>
      <c r="L14" s="26"/>
      <c r="M14" s="26"/>
      <c r="N14" s="26"/>
      <c r="O14" s="26"/>
      <c r="P14" s="27">
        <f>IF($B14&lt;&gt;"Challan","",I14+J14+K14+L14+M14+N14)</f>
      </c>
      <c r="Q14" s="25"/>
      <c r="R14" s="25"/>
      <c r="S14" s="25"/>
      <c r="T14" s="25"/>
      <c r="U14" s="25"/>
      <c r="V14" s="28"/>
      <c r="W14" s="28"/>
      <c r="X14" s="23">
        <f>IF($B14="Entry",IF(AND(LEN(TRIM(UPPER(W14)))=10,CODE(MID(TRIM(UPPER(W14)),1,1))&gt;=65,CODE(MID(TRIM(UPPER(W14)),1,1))&lt;=90,CODE(MID(TRIM(UPPER(W14)),2,1))&gt;=65,CODE(MID(TRIM(UPPER(W14)),2,1))&lt;=90,CODE(MID(TRIM(UPPER(W14)),3,1))&gt;=65,CODE(MID(TRIM(UPPER(W14)),3,1))&lt;=90,CODE(MID(TRIM(UPPER(W14)),4,1))&gt;=65,CODE(MID(TRIM(UPPER(W14)),4,1))&lt;=90,CODE(MID(TRIM(UPPER(W14)),5,1))&gt;=65,CODE(MID(TRIM(UPPER(W14)),5,1))&lt;=90,CODE(MID(TRIM(UPPER(W14)),10,1))&gt;=65,CODE(MID(TRIM(UPPER(W14)),10,1))&lt;=90,CODE(MID(TRIM(UPPER(W14)),6,1))&gt;=48,CODE(MID(TRIM(UPPER(W14)),6,1))&lt;=57,CODE(MID(TRIM(UPPER(W14)),7,1))&gt;=48,CODE(MID(TRIM(UPPER(W14)),7,1))&lt;=57,CODE(MID(TRIM(UPPER(W14)),8,1))&gt;=48,CODE(MID(TRIM(UPPER(W14)),8,1))&lt;=57,CODE(MID(TRIM(UPPER(W14)),9,1))&gt;=48,CODE(MID(TRIM(UPPER(W14)),9,1))&lt;=57),"N","Y"),IF($B14="Challan","",IF(W14&lt;&gt;"","◄ Set Row Type","")))</f>
      </c>
      <c r="Y14" s="23">
        <f>IF($B14="Entry",IF(LEN(W14)&lt;4,"",IF(UPPER(MID(W14,4,1))="P","Individual",IF(UPPER(MID(W14,4,1))="H","HUF",IF(UPPER(MID(W14,4,1))="C","Company",IF(UPPER(MID(W14,4,1))="F","Firm",IF(UPPER(MID(W14,4,1))="L","LLP",IF(UPPER(MID(W14,4,1))="T","Trust",IF(UPPER(MID(W14,4,1))="A","AOP","")))))))),IF($B14="Challan","",IF(W14&lt;&gt;"","◄ Set Row Type","")))</f>
      </c>
      <c r="Z14" s="28"/>
      <c r="AA14" s="29">
        <f>IF($B14&lt;&gt;"Entry","",IF(Z14="","",IF(X14="Y",SUMPRODUCT(('Rate Lookup'!$A$1:$A$37=Z14)*'Rate Lookup'!$D$1:$D$37),IF(OR(Y14="Individual",Y14="HUF"),SUMPRODUCT(('Rate Lookup'!$A$1:$A$37=Z14)*'Rate Lookup'!$B$1:$B$37),SUMPRODUCT(('Rate Lookup'!$A$1:$A$37=Z14)*'Rate Lookup'!$C$1:$C$37)))))</f>
      </c>
      <c r="AB14" s="30"/>
      <c r="AC14" s="31"/>
      <c r="AD14" s="27">
        <f>IF($B14&lt;&gt;"Entry","",ROUND(AC14*AA14/100,0))</f>
      </c>
      <c r="AE14" s="27">
        <f>IF($B14&lt;&gt;"Entry","",0)</f>
      </c>
      <c r="AF14" s="27">
        <f>IF($B14&lt;&gt;"Entry","",0)</f>
      </c>
      <c r="AG14" s="27">
        <f>IF($B14&lt;&gt;"Entry","",IF(OR(AD14=0,AB14="",AQ14="",AQ14&lt;=0),0,IF(AQ14&lt;=DATE(YEAR(AB14),MONTH(AB14)+1,7),0,ROUND(AD14*0.015*((YEAR(AQ14)-YEAR(AB14))*12+(MONTH(AQ14)-MONTH(AB14))+1),0))))</f>
      </c>
      <c r="AH14" s="27">
        <f>IF($B14&lt;&gt;"Entry","",0)</f>
      </c>
      <c r="AI14" s="28"/>
      <c r="AJ14" s="28"/>
      <c r="AK14" s="32"/>
      <c r="AL14" s="28"/>
      <c r="AM14" s="28"/>
      <c r="AN14" s="27">
        <f>IF($B14&lt;&gt;"Challan","",SUMIF('Q1 Data'!$D$4:$D$207,D14,'Q1 Data'!$AD$4:$AD$207)+SUMIF('Q1 Data'!$D$4:$D$207,D14,'Q1 Data'!$AG$4:$AG$207)+SUMIF('Q1 Data'!$D$4:$D$207,D14,'Q1 Data'!$AE$4:$AE$207)+SUMIF('Q2 Data'!$D$4:$D$207,D14,'Q2 Data'!$AD$4:$AD$207)+SUMIF('Q2 Data'!$D$4:$D$207,D14,'Q2 Data'!$AG$4:$AG$207)+SUMIF('Q2 Data'!$D$4:$D$207,D14,'Q2 Data'!$AE$4:$AE$207)+SUMIF('Q3 Data'!$D$4:$D$207,D14,'Q3 Data'!$AD$4:$AD$207)+SUMIF('Q3 Data'!$D$4:$D$207,D14,'Q3 Data'!$AG$4:$AG$207)+SUMIF('Q3 Data'!$D$4:$D$207,D14,'Q3 Data'!$AE$4:$AE$207)+SUMIF('Q4 Data'!$D$4:$D$207,D14,'Q4 Data'!$AD$4:$AD$207)+SUMIF('Q4 Data'!$D$4:$D$207,D14,'Q4 Data'!$AG$4:$AG$207)+SUMIF('Q4 Data'!$D$4:$D$207,D14,'Q4 Data'!$AE$4:$AE$207))</f>
      </c>
      <c r="AO14" s="27">
        <f>IF($B14&lt;&gt;"Challan","",P14-N14)</f>
      </c>
      <c r="AP14" s="27">
        <f>IF($B14&lt;&gt;"Challan","",MAX(0,AO14-AN14))</f>
      </c>
      <c r="AQ14" s="33">
        <f>IF($B14&lt;&gt;"Entry","",SUMPRODUCT(('Q1 Data'!$D$4:$D$207=D14)*('Q1 Data'!$B$4:$B$207="Challan")*'Q1 Data'!$F$4:$F$207)+SUMPRODUCT(('Q2 Data'!$D$4:$D$207=D14)*('Q2 Data'!$B$4:$B$207="Challan")*'Q2 Data'!$F$4:$F$207)+SUMPRODUCT(('Q3 Data'!$D$4:$D$207=D14)*('Q3 Data'!$B$4:$B$207="Challan")*'Q3 Data'!$F$4:$F$207)+SUMPRODUCT(('Q4 Data'!$D$4:$D$207=D14)*('Q4 Data'!$B$4:$B$207="Challan")*'Q4 Data'!$F$4:$F$207))</f>
      </c>
      <c r="AR14" s="34">
        <f>IF(OR($B14&lt;&gt;"Entry",Z14=""),FALSE,AND((SUMPRODUCT(('Q1 Data'!$D$4:$D$207=D14)*('Q1 Data'!$B$4:$B$207="Challan")*('Q1 Data'!$H$4:$H$207&lt;&gt;""))+SUMPRODUCT(('Q2 Data'!$D$4:$D$207=D14)*('Q2 Data'!$B$4:$B$207="Challan")*('Q2 Data'!$H$4:$H$207&lt;&gt;""))+SUMPRODUCT(('Q3 Data'!$D$4:$D$207=D14)*('Q3 Data'!$B$4:$B$207="Challan")*('Q3 Data'!$H$4:$H$207&lt;&gt;""))+SUMPRODUCT(('Q4 Data'!$D$4:$D$207=D14)*('Q4 Data'!$B$4:$B$207="Challan")*('Q4 Data'!$H$4:$H$207&lt;&gt;"")))&gt;0,(SUMPRODUCT(('Q1 Data'!$D$4:$D$207=D14)*('Q1 Data'!$B$4:$B$207="Challan")*('Q1 Data'!$H$4:$H$207=Z14))+SUMPRODUCT(('Q2 Data'!$D$4:$D$207=D14)*('Q2 Data'!$B$4:$B$207="Challan")*('Q2 Data'!$H$4:$H$207=Z14))+SUMPRODUCT(('Q3 Data'!$D$4:$D$207=D14)*('Q3 Data'!$B$4:$B$207="Challan")*('Q3 Data'!$H$4:$H$207=Z14))+SUMPRODUCT(('Q4 Data'!$D$4:$D$207=D14)*('Q4 Data'!$B$4:$B$207="Challan")*('Q4 Data'!$H$4:$H$207=Z14)))=0))</f>
      </c>
    </row>
    <row r="15" spans="1:44" x14ac:dyDescent="0.25">
      <c r="A15" s="20">
        <f>IF($B15="Entry",COUNTIF($B$4:$B15,"Entry"),"")</f>
      </c>
      <c r="B15" s="21"/>
      <c r="C15" s="22"/>
      <c r="D15" s="22"/>
      <c r="E15" s="23">
        <f>IF($B15&lt;&gt;"Challan","",IF(ROUND(AN15-AO15,2)&gt;0,"Over-applied",IF(ROUND(AN15-AO15,2)=0,"Fully Utilised","Unconsumed")))</f>
      </c>
      <c r="F15" s="24"/>
      <c r="G15" s="25"/>
      <c r="H15" s="25"/>
      <c r="I15" s="26"/>
      <c r="J15" s="26"/>
      <c r="K15" s="26"/>
      <c r="L15" s="26"/>
      <c r="M15" s="26"/>
      <c r="N15" s="26"/>
      <c r="O15" s="26"/>
      <c r="P15" s="27">
        <f>IF($B15&lt;&gt;"Challan","",I15+J15+K15+L15+M15+N15)</f>
      </c>
      <c r="Q15" s="25"/>
      <c r="R15" s="25"/>
      <c r="S15" s="25"/>
      <c r="T15" s="25"/>
      <c r="U15" s="25"/>
      <c r="V15" s="28"/>
      <c r="W15" s="28"/>
      <c r="X15" s="23">
        <f>IF($B15="Entry",IF(AND(LEN(TRIM(UPPER(W15)))=10,CODE(MID(TRIM(UPPER(W15)),1,1))&gt;=65,CODE(MID(TRIM(UPPER(W15)),1,1))&lt;=90,CODE(MID(TRIM(UPPER(W15)),2,1))&gt;=65,CODE(MID(TRIM(UPPER(W15)),2,1))&lt;=90,CODE(MID(TRIM(UPPER(W15)),3,1))&gt;=65,CODE(MID(TRIM(UPPER(W15)),3,1))&lt;=90,CODE(MID(TRIM(UPPER(W15)),4,1))&gt;=65,CODE(MID(TRIM(UPPER(W15)),4,1))&lt;=90,CODE(MID(TRIM(UPPER(W15)),5,1))&gt;=65,CODE(MID(TRIM(UPPER(W15)),5,1))&lt;=90,CODE(MID(TRIM(UPPER(W15)),10,1))&gt;=65,CODE(MID(TRIM(UPPER(W15)),10,1))&lt;=90,CODE(MID(TRIM(UPPER(W15)),6,1))&gt;=48,CODE(MID(TRIM(UPPER(W15)),6,1))&lt;=57,CODE(MID(TRIM(UPPER(W15)),7,1))&gt;=48,CODE(MID(TRIM(UPPER(W15)),7,1))&lt;=57,CODE(MID(TRIM(UPPER(W15)),8,1))&gt;=48,CODE(MID(TRIM(UPPER(W15)),8,1))&lt;=57,CODE(MID(TRIM(UPPER(W15)),9,1))&gt;=48,CODE(MID(TRIM(UPPER(W15)),9,1))&lt;=57),"N","Y"),IF($B15="Challan","",IF(W15&lt;&gt;"","◄ Set Row Type","")))</f>
      </c>
      <c r="Y15" s="23">
        <f>IF($B15="Entry",IF(LEN(W15)&lt;4,"",IF(UPPER(MID(W15,4,1))="P","Individual",IF(UPPER(MID(W15,4,1))="H","HUF",IF(UPPER(MID(W15,4,1))="C","Company",IF(UPPER(MID(W15,4,1))="F","Firm",IF(UPPER(MID(W15,4,1))="L","LLP",IF(UPPER(MID(W15,4,1))="T","Trust",IF(UPPER(MID(W15,4,1))="A","AOP","")))))))),IF($B15="Challan","",IF(W15&lt;&gt;"","◄ Set Row Type","")))</f>
      </c>
      <c r="Z15" s="28"/>
      <c r="AA15" s="29">
        <f>IF($B15&lt;&gt;"Entry","",IF(Z15="","",IF(X15="Y",SUMPRODUCT(('Rate Lookup'!$A$1:$A$37=Z15)*'Rate Lookup'!$D$1:$D$37),IF(OR(Y15="Individual",Y15="HUF"),SUMPRODUCT(('Rate Lookup'!$A$1:$A$37=Z15)*'Rate Lookup'!$B$1:$B$37),SUMPRODUCT(('Rate Lookup'!$A$1:$A$37=Z15)*'Rate Lookup'!$C$1:$C$37)))))</f>
      </c>
      <c r="AB15" s="30"/>
      <c r="AC15" s="31"/>
      <c r="AD15" s="27">
        <f>IF($B15&lt;&gt;"Entry","",ROUND(AC15*AA15/100,0))</f>
      </c>
      <c r="AE15" s="27">
        <f>IF($B15&lt;&gt;"Entry","",0)</f>
      </c>
      <c r="AF15" s="27">
        <f>IF($B15&lt;&gt;"Entry","",0)</f>
      </c>
      <c r="AG15" s="27">
        <f>IF($B15&lt;&gt;"Entry","",IF(OR(AD15=0,AB15="",AQ15="",AQ15&lt;=0),0,IF(AQ15&lt;=DATE(YEAR(AB15),MONTH(AB15)+1,7),0,ROUND(AD15*0.015*((YEAR(AQ15)-YEAR(AB15))*12+(MONTH(AQ15)-MONTH(AB15))+1),0))))</f>
      </c>
      <c r="AH15" s="27">
        <f>IF($B15&lt;&gt;"Entry","",0)</f>
      </c>
      <c r="AI15" s="28"/>
      <c r="AJ15" s="28"/>
      <c r="AK15" s="32"/>
      <c r="AL15" s="28"/>
      <c r="AM15" s="28"/>
      <c r="AN15" s="27">
        <f>IF($B15&lt;&gt;"Challan","",SUMIF('Q1 Data'!$D$4:$D$207,D15,'Q1 Data'!$AD$4:$AD$207)+SUMIF('Q1 Data'!$D$4:$D$207,D15,'Q1 Data'!$AG$4:$AG$207)+SUMIF('Q1 Data'!$D$4:$D$207,D15,'Q1 Data'!$AE$4:$AE$207)+SUMIF('Q2 Data'!$D$4:$D$207,D15,'Q2 Data'!$AD$4:$AD$207)+SUMIF('Q2 Data'!$D$4:$D$207,D15,'Q2 Data'!$AG$4:$AG$207)+SUMIF('Q2 Data'!$D$4:$D$207,D15,'Q2 Data'!$AE$4:$AE$207)+SUMIF('Q3 Data'!$D$4:$D$207,D15,'Q3 Data'!$AD$4:$AD$207)+SUMIF('Q3 Data'!$D$4:$D$207,D15,'Q3 Data'!$AG$4:$AG$207)+SUMIF('Q3 Data'!$D$4:$D$207,D15,'Q3 Data'!$AE$4:$AE$207)+SUMIF('Q4 Data'!$D$4:$D$207,D15,'Q4 Data'!$AD$4:$AD$207)+SUMIF('Q4 Data'!$D$4:$D$207,D15,'Q4 Data'!$AG$4:$AG$207)+SUMIF('Q4 Data'!$D$4:$D$207,D15,'Q4 Data'!$AE$4:$AE$207))</f>
      </c>
      <c r="AO15" s="27">
        <f>IF($B15&lt;&gt;"Challan","",P15-N15)</f>
      </c>
      <c r="AP15" s="27">
        <f>IF($B15&lt;&gt;"Challan","",MAX(0,AO15-AN15))</f>
      </c>
      <c r="AQ15" s="33">
        <f>IF($B15&lt;&gt;"Entry","",SUMPRODUCT(('Q1 Data'!$D$4:$D$207=D15)*('Q1 Data'!$B$4:$B$207="Challan")*'Q1 Data'!$F$4:$F$207)+SUMPRODUCT(('Q2 Data'!$D$4:$D$207=D15)*('Q2 Data'!$B$4:$B$207="Challan")*'Q2 Data'!$F$4:$F$207)+SUMPRODUCT(('Q3 Data'!$D$4:$D$207=D15)*('Q3 Data'!$B$4:$B$207="Challan")*'Q3 Data'!$F$4:$F$207)+SUMPRODUCT(('Q4 Data'!$D$4:$D$207=D15)*('Q4 Data'!$B$4:$B$207="Challan")*'Q4 Data'!$F$4:$F$207))</f>
      </c>
      <c r="AR15" s="34">
        <f>IF(OR($B15&lt;&gt;"Entry",Z15=""),FALSE,AND((SUMPRODUCT(('Q1 Data'!$D$4:$D$207=D15)*('Q1 Data'!$B$4:$B$207="Challan")*('Q1 Data'!$H$4:$H$207&lt;&gt;""))+SUMPRODUCT(('Q2 Data'!$D$4:$D$207=D15)*('Q2 Data'!$B$4:$B$207="Challan")*('Q2 Data'!$H$4:$H$207&lt;&gt;""))+SUMPRODUCT(('Q3 Data'!$D$4:$D$207=D15)*('Q3 Data'!$B$4:$B$207="Challan")*('Q3 Data'!$H$4:$H$207&lt;&gt;""))+SUMPRODUCT(('Q4 Data'!$D$4:$D$207=D15)*('Q4 Data'!$B$4:$B$207="Challan")*('Q4 Data'!$H$4:$H$207&lt;&gt;"")))&gt;0,(SUMPRODUCT(('Q1 Data'!$D$4:$D$207=D15)*('Q1 Data'!$B$4:$B$207="Challan")*('Q1 Data'!$H$4:$H$207=Z15))+SUMPRODUCT(('Q2 Data'!$D$4:$D$207=D15)*('Q2 Data'!$B$4:$B$207="Challan")*('Q2 Data'!$H$4:$H$207=Z15))+SUMPRODUCT(('Q3 Data'!$D$4:$D$207=D15)*('Q3 Data'!$B$4:$B$207="Challan")*('Q3 Data'!$H$4:$H$207=Z15))+SUMPRODUCT(('Q4 Data'!$D$4:$D$207=D15)*('Q4 Data'!$B$4:$B$207="Challan")*('Q4 Data'!$H$4:$H$207=Z15)))=0))</f>
      </c>
    </row>
    <row r="16" spans="1:44" x14ac:dyDescent="0.25">
      <c r="A16" s="20">
        <f>IF($B16="Entry",COUNTIF($B$4:$B16,"Entry"),"")</f>
      </c>
      <c r="B16" s="21"/>
      <c r="C16" s="22"/>
      <c r="D16" s="22"/>
      <c r="E16" s="23">
        <f>IF($B16&lt;&gt;"Challan","",IF(ROUND(AN16-AO16,2)&gt;0,"Over-applied",IF(ROUND(AN16-AO16,2)=0,"Fully Utilised","Unconsumed")))</f>
      </c>
      <c r="F16" s="24"/>
      <c r="G16" s="25"/>
      <c r="H16" s="25"/>
      <c r="I16" s="26"/>
      <c r="J16" s="26"/>
      <c r="K16" s="26"/>
      <c r="L16" s="26"/>
      <c r="M16" s="26"/>
      <c r="N16" s="26"/>
      <c r="O16" s="26"/>
      <c r="P16" s="27">
        <f>IF($B16&lt;&gt;"Challan","",I16+J16+K16+L16+M16+N16)</f>
      </c>
      <c r="Q16" s="25"/>
      <c r="R16" s="25"/>
      <c r="S16" s="25"/>
      <c r="T16" s="25"/>
      <c r="U16" s="25"/>
      <c r="V16" s="28"/>
      <c r="W16" s="28"/>
      <c r="X16" s="23">
        <f>IF($B16="Entry",IF(AND(LEN(TRIM(UPPER(W16)))=10,CODE(MID(TRIM(UPPER(W16)),1,1))&gt;=65,CODE(MID(TRIM(UPPER(W16)),1,1))&lt;=90,CODE(MID(TRIM(UPPER(W16)),2,1))&gt;=65,CODE(MID(TRIM(UPPER(W16)),2,1))&lt;=90,CODE(MID(TRIM(UPPER(W16)),3,1))&gt;=65,CODE(MID(TRIM(UPPER(W16)),3,1))&lt;=90,CODE(MID(TRIM(UPPER(W16)),4,1))&gt;=65,CODE(MID(TRIM(UPPER(W16)),4,1))&lt;=90,CODE(MID(TRIM(UPPER(W16)),5,1))&gt;=65,CODE(MID(TRIM(UPPER(W16)),5,1))&lt;=90,CODE(MID(TRIM(UPPER(W16)),10,1))&gt;=65,CODE(MID(TRIM(UPPER(W16)),10,1))&lt;=90,CODE(MID(TRIM(UPPER(W16)),6,1))&gt;=48,CODE(MID(TRIM(UPPER(W16)),6,1))&lt;=57,CODE(MID(TRIM(UPPER(W16)),7,1))&gt;=48,CODE(MID(TRIM(UPPER(W16)),7,1))&lt;=57,CODE(MID(TRIM(UPPER(W16)),8,1))&gt;=48,CODE(MID(TRIM(UPPER(W16)),8,1))&lt;=57,CODE(MID(TRIM(UPPER(W16)),9,1))&gt;=48,CODE(MID(TRIM(UPPER(W16)),9,1))&lt;=57),"N","Y"),IF($B16="Challan","",IF(W16&lt;&gt;"","◄ Set Row Type","")))</f>
      </c>
      <c r="Y16" s="23">
        <f>IF($B16="Entry",IF(LEN(W16)&lt;4,"",IF(UPPER(MID(W16,4,1))="P","Individual",IF(UPPER(MID(W16,4,1))="H","HUF",IF(UPPER(MID(W16,4,1))="C","Company",IF(UPPER(MID(W16,4,1))="F","Firm",IF(UPPER(MID(W16,4,1))="L","LLP",IF(UPPER(MID(W16,4,1))="T","Trust",IF(UPPER(MID(W16,4,1))="A","AOP","")))))))),IF($B16="Challan","",IF(W16&lt;&gt;"","◄ Set Row Type","")))</f>
      </c>
      <c r="Z16" s="28"/>
      <c r="AA16" s="29">
        <f>IF($B16&lt;&gt;"Entry","",IF(Z16="","",IF(X16="Y",SUMPRODUCT(('Rate Lookup'!$A$1:$A$37=Z16)*'Rate Lookup'!$D$1:$D$37),IF(OR(Y16="Individual",Y16="HUF"),SUMPRODUCT(('Rate Lookup'!$A$1:$A$37=Z16)*'Rate Lookup'!$B$1:$B$37),SUMPRODUCT(('Rate Lookup'!$A$1:$A$37=Z16)*'Rate Lookup'!$C$1:$C$37)))))</f>
      </c>
      <c r="AB16" s="30"/>
      <c r="AC16" s="31"/>
      <c r="AD16" s="27">
        <f>IF($B16&lt;&gt;"Entry","",ROUND(AC16*AA16/100,0))</f>
      </c>
      <c r="AE16" s="27">
        <f>IF($B16&lt;&gt;"Entry","",0)</f>
      </c>
      <c r="AF16" s="27">
        <f>IF($B16&lt;&gt;"Entry","",0)</f>
      </c>
      <c r="AG16" s="27">
        <f>IF($B16&lt;&gt;"Entry","",IF(OR(AD16=0,AB16="",AQ16="",AQ16&lt;=0),0,IF(AQ16&lt;=DATE(YEAR(AB16),MONTH(AB16)+1,7),0,ROUND(AD16*0.015*((YEAR(AQ16)-YEAR(AB16))*12+(MONTH(AQ16)-MONTH(AB16))+1),0))))</f>
      </c>
      <c r="AH16" s="27">
        <f>IF($B16&lt;&gt;"Entry","",0)</f>
      </c>
      <c r="AI16" s="28"/>
      <c r="AJ16" s="28"/>
      <c r="AK16" s="32"/>
      <c r="AL16" s="28"/>
      <c r="AM16" s="28"/>
      <c r="AN16" s="27">
        <f>IF($B16&lt;&gt;"Challan","",SUMIF('Q1 Data'!$D$4:$D$207,D16,'Q1 Data'!$AD$4:$AD$207)+SUMIF('Q1 Data'!$D$4:$D$207,D16,'Q1 Data'!$AG$4:$AG$207)+SUMIF('Q1 Data'!$D$4:$D$207,D16,'Q1 Data'!$AE$4:$AE$207)+SUMIF('Q2 Data'!$D$4:$D$207,D16,'Q2 Data'!$AD$4:$AD$207)+SUMIF('Q2 Data'!$D$4:$D$207,D16,'Q2 Data'!$AG$4:$AG$207)+SUMIF('Q2 Data'!$D$4:$D$207,D16,'Q2 Data'!$AE$4:$AE$207)+SUMIF('Q3 Data'!$D$4:$D$207,D16,'Q3 Data'!$AD$4:$AD$207)+SUMIF('Q3 Data'!$D$4:$D$207,D16,'Q3 Data'!$AG$4:$AG$207)+SUMIF('Q3 Data'!$D$4:$D$207,D16,'Q3 Data'!$AE$4:$AE$207)+SUMIF('Q4 Data'!$D$4:$D$207,D16,'Q4 Data'!$AD$4:$AD$207)+SUMIF('Q4 Data'!$D$4:$D$207,D16,'Q4 Data'!$AG$4:$AG$207)+SUMIF('Q4 Data'!$D$4:$D$207,D16,'Q4 Data'!$AE$4:$AE$207))</f>
      </c>
      <c r="AO16" s="27">
        <f>IF($B16&lt;&gt;"Challan","",P16-N16)</f>
      </c>
      <c r="AP16" s="27">
        <f>IF($B16&lt;&gt;"Challan","",MAX(0,AO16-AN16))</f>
      </c>
      <c r="AQ16" s="33">
        <f>IF($B16&lt;&gt;"Entry","",SUMPRODUCT(('Q1 Data'!$D$4:$D$207=D16)*('Q1 Data'!$B$4:$B$207="Challan")*'Q1 Data'!$F$4:$F$207)+SUMPRODUCT(('Q2 Data'!$D$4:$D$207=D16)*('Q2 Data'!$B$4:$B$207="Challan")*'Q2 Data'!$F$4:$F$207)+SUMPRODUCT(('Q3 Data'!$D$4:$D$207=D16)*('Q3 Data'!$B$4:$B$207="Challan")*'Q3 Data'!$F$4:$F$207)+SUMPRODUCT(('Q4 Data'!$D$4:$D$207=D16)*('Q4 Data'!$B$4:$B$207="Challan")*'Q4 Data'!$F$4:$F$207))</f>
      </c>
      <c r="AR16" s="34">
        <f>IF(OR($B16&lt;&gt;"Entry",Z16=""),FALSE,AND((SUMPRODUCT(('Q1 Data'!$D$4:$D$207=D16)*('Q1 Data'!$B$4:$B$207="Challan")*('Q1 Data'!$H$4:$H$207&lt;&gt;""))+SUMPRODUCT(('Q2 Data'!$D$4:$D$207=D16)*('Q2 Data'!$B$4:$B$207="Challan")*('Q2 Data'!$H$4:$H$207&lt;&gt;""))+SUMPRODUCT(('Q3 Data'!$D$4:$D$207=D16)*('Q3 Data'!$B$4:$B$207="Challan")*('Q3 Data'!$H$4:$H$207&lt;&gt;""))+SUMPRODUCT(('Q4 Data'!$D$4:$D$207=D16)*('Q4 Data'!$B$4:$B$207="Challan")*('Q4 Data'!$H$4:$H$207&lt;&gt;"")))&gt;0,(SUMPRODUCT(('Q1 Data'!$D$4:$D$207=D16)*('Q1 Data'!$B$4:$B$207="Challan")*('Q1 Data'!$H$4:$H$207=Z16))+SUMPRODUCT(('Q2 Data'!$D$4:$D$207=D16)*('Q2 Data'!$B$4:$B$207="Challan")*('Q2 Data'!$H$4:$H$207=Z16))+SUMPRODUCT(('Q3 Data'!$D$4:$D$207=D16)*('Q3 Data'!$B$4:$B$207="Challan")*('Q3 Data'!$H$4:$H$207=Z16))+SUMPRODUCT(('Q4 Data'!$D$4:$D$207=D16)*('Q4 Data'!$B$4:$B$207="Challan")*('Q4 Data'!$H$4:$H$207=Z16)))=0))</f>
      </c>
    </row>
    <row r="17" spans="1:44" x14ac:dyDescent="0.25">
      <c r="A17" s="20">
        <f>IF($B17="Entry",COUNTIF($B$4:$B17,"Entry"),"")</f>
      </c>
      <c r="B17" s="21"/>
      <c r="C17" s="22"/>
      <c r="D17" s="22"/>
      <c r="E17" s="23">
        <f>IF($B17&lt;&gt;"Challan","",IF(ROUND(AN17-AO17,2)&gt;0,"Over-applied",IF(ROUND(AN17-AO17,2)=0,"Fully Utilised","Unconsumed")))</f>
      </c>
      <c r="F17" s="24"/>
      <c r="G17" s="25"/>
      <c r="H17" s="25"/>
      <c r="I17" s="26"/>
      <c r="J17" s="26"/>
      <c r="K17" s="26"/>
      <c r="L17" s="26"/>
      <c r="M17" s="26"/>
      <c r="N17" s="26"/>
      <c r="O17" s="26"/>
      <c r="P17" s="27">
        <f>IF($B17&lt;&gt;"Challan","",I17+J17+K17+L17+M17+N17)</f>
      </c>
      <c r="Q17" s="25"/>
      <c r="R17" s="25"/>
      <c r="S17" s="25"/>
      <c r="T17" s="25"/>
      <c r="U17" s="25"/>
      <c r="V17" s="28"/>
      <c r="W17" s="28"/>
      <c r="X17" s="23">
        <f>IF($B17="Entry",IF(AND(LEN(TRIM(UPPER(W17)))=10,CODE(MID(TRIM(UPPER(W17)),1,1))&gt;=65,CODE(MID(TRIM(UPPER(W17)),1,1))&lt;=90,CODE(MID(TRIM(UPPER(W17)),2,1))&gt;=65,CODE(MID(TRIM(UPPER(W17)),2,1))&lt;=90,CODE(MID(TRIM(UPPER(W17)),3,1))&gt;=65,CODE(MID(TRIM(UPPER(W17)),3,1))&lt;=90,CODE(MID(TRIM(UPPER(W17)),4,1))&gt;=65,CODE(MID(TRIM(UPPER(W17)),4,1))&lt;=90,CODE(MID(TRIM(UPPER(W17)),5,1))&gt;=65,CODE(MID(TRIM(UPPER(W17)),5,1))&lt;=90,CODE(MID(TRIM(UPPER(W17)),10,1))&gt;=65,CODE(MID(TRIM(UPPER(W17)),10,1))&lt;=90,CODE(MID(TRIM(UPPER(W17)),6,1))&gt;=48,CODE(MID(TRIM(UPPER(W17)),6,1))&lt;=57,CODE(MID(TRIM(UPPER(W17)),7,1))&gt;=48,CODE(MID(TRIM(UPPER(W17)),7,1))&lt;=57,CODE(MID(TRIM(UPPER(W17)),8,1))&gt;=48,CODE(MID(TRIM(UPPER(W17)),8,1))&lt;=57,CODE(MID(TRIM(UPPER(W17)),9,1))&gt;=48,CODE(MID(TRIM(UPPER(W17)),9,1))&lt;=57),"N","Y"),IF($B17="Challan","",IF(W17&lt;&gt;"","◄ Set Row Type","")))</f>
      </c>
      <c r="Y17" s="23">
        <f>IF($B17="Entry",IF(LEN(W17)&lt;4,"",IF(UPPER(MID(W17,4,1))="P","Individual",IF(UPPER(MID(W17,4,1))="H","HUF",IF(UPPER(MID(W17,4,1))="C","Company",IF(UPPER(MID(W17,4,1))="F","Firm",IF(UPPER(MID(W17,4,1))="L","LLP",IF(UPPER(MID(W17,4,1))="T","Trust",IF(UPPER(MID(W17,4,1))="A","AOP","")))))))),IF($B17="Challan","",IF(W17&lt;&gt;"","◄ Set Row Type","")))</f>
      </c>
      <c r="Z17" s="28"/>
      <c r="AA17" s="29">
        <f>IF($B17&lt;&gt;"Entry","",IF(Z17="","",IF(X17="Y",SUMPRODUCT(('Rate Lookup'!$A$1:$A$37=Z17)*'Rate Lookup'!$D$1:$D$37),IF(OR(Y17="Individual",Y17="HUF"),SUMPRODUCT(('Rate Lookup'!$A$1:$A$37=Z17)*'Rate Lookup'!$B$1:$B$37),SUMPRODUCT(('Rate Lookup'!$A$1:$A$37=Z17)*'Rate Lookup'!$C$1:$C$37)))))</f>
      </c>
      <c r="AB17" s="30"/>
      <c r="AC17" s="31"/>
      <c r="AD17" s="27">
        <f>IF($B17&lt;&gt;"Entry","",ROUND(AC17*AA17/100,0))</f>
      </c>
      <c r="AE17" s="27">
        <f>IF($B17&lt;&gt;"Entry","",0)</f>
      </c>
      <c r="AF17" s="27">
        <f>IF($B17&lt;&gt;"Entry","",0)</f>
      </c>
      <c r="AG17" s="27">
        <f>IF($B17&lt;&gt;"Entry","",IF(OR(AD17=0,AB17="",AQ17="",AQ17&lt;=0),0,IF(AQ17&lt;=DATE(YEAR(AB17),MONTH(AB17)+1,7),0,ROUND(AD17*0.015*((YEAR(AQ17)-YEAR(AB17))*12+(MONTH(AQ17)-MONTH(AB17))+1),0))))</f>
      </c>
      <c r="AH17" s="27">
        <f>IF($B17&lt;&gt;"Entry","",0)</f>
      </c>
      <c r="AI17" s="28"/>
      <c r="AJ17" s="28"/>
      <c r="AK17" s="32"/>
      <c r="AL17" s="28"/>
      <c r="AM17" s="28"/>
      <c r="AN17" s="27">
        <f>IF($B17&lt;&gt;"Challan","",SUMIF('Q1 Data'!$D$4:$D$207,D17,'Q1 Data'!$AD$4:$AD$207)+SUMIF('Q1 Data'!$D$4:$D$207,D17,'Q1 Data'!$AG$4:$AG$207)+SUMIF('Q1 Data'!$D$4:$D$207,D17,'Q1 Data'!$AE$4:$AE$207)+SUMIF('Q2 Data'!$D$4:$D$207,D17,'Q2 Data'!$AD$4:$AD$207)+SUMIF('Q2 Data'!$D$4:$D$207,D17,'Q2 Data'!$AG$4:$AG$207)+SUMIF('Q2 Data'!$D$4:$D$207,D17,'Q2 Data'!$AE$4:$AE$207)+SUMIF('Q3 Data'!$D$4:$D$207,D17,'Q3 Data'!$AD$4:$AD$207)+SUMIF('Q3 Data'!$D$4:$D$207,D17,'Q3 Data'!$AG$4:$AG$207)+SUMIF('Q3 Data'!$D$4:$D$207,D17,'Q3 Data'!$AE$4:$AE$207)+SUMIF('Q4 Data'!$D$4:$D$207,D17,'Q4 Data'!$AD$4:$AD$207)+SUMIF('Q4 Data'!$D$4:$D$207,D17,'Q4 Data'!$AG$4:$AG$207)+SUMIF('Q4 Data'!$D$4:$D$207,D17,'Q4 Data'!$AE$4:$AE$207))</f>
      </c>
      <c r="AO17" s="27">
        <f>IF($B17&lt;&gt;"Challan","",P17-N17)</f>
      </c>
      <c r="AP17" s="27">
        <f>IF($B17&lt;&gt;"Challan","",MAX(0,AO17-AN17))</f>
      </c>
      <c r="AQ17" s="33">
        <f>IF($B17&lt;&gt;"Entry","",SUMPRODUCT(('Q1 Data'!$D$4:$D$207=D17)*('Q1 Data'!$B$4:$B$207="Challan")*'Q1 Data'!$F$4:$F$207)+SUMPRODUCT(('Q2 Data'!$D$4:$D$207=D17)*('Q2 Data'!$B$4:$B$207="Challan")*'Q2 Data'!$F$4:$F$207)+SUMPRODUCT(('Q3 Data'!$D$4:$D$207=D17)*('Q3 Data'!$B$4:$B$207="Challan")*'Q3 Data'!$F$4:$F$207)+SUMPRODUCT(('Q4 Data'!$D$4:$D$207=D17)*('Q4 Data'!$B$4:$B$207="Challan")*'Q4 Data'!$F$4:$F$207))</f>
      </c>
      <c r="AR17" s="34">
        <f>IF(OR($B17&lt;&gt;"Entry",Z17=""),FALSE,AND((SUMPRODUCT(('Q1 Data'!$D$4:$D$207=D17)*('Q1 Data'!$B$4:$B$207="Challan")*('Q1 Data'!$H$4:$H$207&lt;&gt;""))+SUMPRODUCT(('Q2 Data'!$D$4:$D$207=D17)*('Q2 Data'!$B$4:$B$207="Challan")*('Q2 Data'!$H$4:$H$207&lt;&gt;""))+SUMPRODUCT(('Q3 Data'!$D$4:$D$207=D17)*('Q3 Data'!$B$4:$B$207="Challan")*('Q3 Data'!$H$4:$H$207&lt;&gt;""))+SUMPRODUCT(('Q4 Data'!$D$4:$D$207=D17)*('Q4 Data'!$B$4:$B$207="Challan")*('Q4 Data'!$H$4:$H$207&lt;&gt;"")))&gt;0,(SUMPRODUCT(('Q1 Data'!$D$4:$D$207=D17)*('Q1 Data'!$B$4:$B$207="Challan")*('Q1 Data'!$H$4:$H$207=Z17))+SUMPRODUCT(('Q2 Data'!$D$4:$D$207=D17)*('Q2 Data'!$B$4:$B$207="Challan")*('Q2 Data'!$H$4:$H$207=Z17))+SUMPRODUCT(('Q3 Data'!$D$4:$D$207=D17)*('Q3 Data'!$B$4:$B$207="Challan")*('Q3 Data'!$H$4:$H$207=Z17))+SUMPRODUCT(('Q4 Data'!$D$4:$D$207=D17)*('Q4 Data'!$B$4:$B$207="Challan")*('Q4 Data'!$H$4:$H$207=Z17)))=0))</f>
      </c>
    </row>
    <row r="18" spans="1:44" x14ac:dyDescent="0.25">
      <c r="A18" s="20">
        <f>IF($B18="Entry",COUNTIF($B$4:$B18,"Entry"),"")</f>
      </c>
      <c r="B18" s="21"/>
      <c r="C18" s="22"/>
      <c r="D18" s="22"/>
      <c r="E18" s="23">
        <f>IF($B18&lt;&gt;"Challan","",IF(ROUND(AN18-AO18,2)&gt;0,"Over-applied",IF(ROUND(AN18-AO18,2)=0,"Fully Utilised","Unconsumed")))</f>
      </c>
      <c r="F18" s="24"/>
      <c r="G18" s="25"/>
      <c r="H18" s="25"/>
      <c r="I18" s="26"/>
      <c r="J18" s="26"/>
      <c r="K18" s="26"/>
      <c r="L18" s="26"/>
      <c r="M18" s="26"/>
      <c r="N18" s="26"/>
      <c r="O18" s="26"/>
      <c r="P18" s="27">
        <f>IF($B18&lt;&gt;"Challan","",I18+J18+K18+L18+M18+N18)</f>
      </c>
      <c r="Q18" s="25"/>
      <c r="R18" s="25"/>
      <c r="S18" s="25"/>
      <c r="T18" s="25"/>
      <c r="U18" s="25"/>
      <c r="V18" s="28"/>
      <c r="W18" s="28"/>
      <c r="X18" s="23">
        <f>IF($B18="Entry",IF(AND(LEN(TRIM(UPPER(W18)))=10,CODE(MID(TRIM(UPPER(W18)),1,1))&gt;=65,CODE(MID(TRIM(UPPER(W18)),1,1))&lt;=90,CODE(MID(TRIM(UPPER(W18)),2,1))&gt;=65,CODE(MID(TRIM(UPPER(W18)),2,1))&lt;=90,CODE(MID(TRIM(UPPER(W18)),3,1))&gt;=65,CODE(MID(TRIM(UPPER(W18)),3,1))&lt;=90,CODE(MID(TRIM(UPPER(W18)),4,1))&gt;=65,CODE(MID(TRIM(UPPER(W18)),4,1))&lt;=90,CODE(MID(TRIM(UPPER(W18)),5,1))&gt;=65,CODE(MID(TRIM(UPPER(W18)),5,1))&lt;=90,CODE(MID(TRIM(UPPER(W18)),10,1))&gt;=65,CODE(MID(TRIM(UPPER(W18)),10,1))&lt;=90,CODE(MID(TRIM(UPPER(W18)),6,1))&gt;=48,CODE(MID(TRIM(UPPER(W18)),6,1))&lt;=57,CODE(MID(TRIM(UPPER(W18)),7,1))&gt;=48,CODE(MID(TRIM(UPPER(W18)),7,1))&lt;=57,CODE(MID(TRIM(UPPER(W18)),8,1))&gt;=48,CODE(MID(TRIM(UPPER(W18)),8,1))&lt;=57,CODE(MID(TRIM(UPPER(W18)),9,1))&gt;=48,CODE(MID(TRIM(UPPER(W18)),9,1))&lt;=57),"N","Y"),IF($B18="Challan","",IF(W18&lt;&gt;"","◄ Set Row Type","")))</f>
      </c>
      <c r="Y18" s="23">
        <f>IF($B18="Entry",IF(LEN(W18)&lt;4,"",IF(UPPER(MID(W18,4,1))="P","Individual",IF(UPPER(MID(W18,4,1))="H","HUF",IF(UPPER(MID(W18,4,1))="C","Company",IF(UPPER(MID(W18,4,1))="F","Firm",IF(UPPER(MID(W18,4,1))="L","LLP",IF(UPPER(MID(W18,4,1))="T","Trust",IF(UPPER(MID(W18,4,1))="A","AOP","")))))))),IF($B18="Challan","",IF(W18&lt;&gt;"","◄ Set Row Type","")))</f>
      </c>
      <c r="Z18" s="28"/>
      <c r="AA18" s="29">
        <f>IF($B18&lt;&gt;"Entry","",IF(Z18="","",IF(X18="Y",SUMPRODUCT(('Rate Lookup'!$A$1:$A$37=Z18)*'Rate Lookup'!$D$1:$D$37),IF(OR(Y18="Individual",Y18="HUF"),SUMPRODUCT(('Rate Lookup'!$A$1:$A$37=Z18)*'Rate Lookup'!$B$1:$B$37),SUMPRODUCT(('Rate Lookup'!$A$1:$A$37=Z18)*'Rate Lookup'!$C$1:$C$37)))))</f>
      </c>
      <c r="AB18" s="30"/>
      <c r="AC18" s="31"/>
      <c r="AD18" s="27">
        <f>IF($B18&lt;&gt;"Entry","",ROUND(AC18*AA18/100,0))</f>
      </c>
      <c r="AE18" s="27">
        <f>IF($B18&lt;&gt;"Entry","",0)</f>
      </c>
      <c r="AF18" s="27">
        <f>IF($B18&lt;&gt;"Entry","",0)</f>
      </c>
      <c r="AG18" s="27">
        <f>IF($B18&lt;&gt;"Entry","",IF(OR(AD18=0,AB18="",AQ18="",AQ18&lt;=0),0,IF(AQ18&lt;=DATE(YEAR(AB18),MONTH(AB18)+1,7),0,ROUND(AD18*0.015*((YEAR(AQ18)-YEAR(AB18))*12+(MONTH(AQ18)-MONTH(AB18))+1),0))))</f>
      </c>
      <c r="AH18" s="27">
        <f>IF($B18&lt;&gt;"Entry","",0)</f>
      </c>
      <c r="AI18" s="28"/>
      <c r="AJ18" s="28"/>
      <c r="AK18" s="32"/>
      <c r="AL18" s="28"/>
      <c r="AM18" s="28"/>
      <c r="AN18" s="27">
        <f>IF($B18&lt;&gt;"Challan","",SUMIF('Q1 Data'!$D$4:$D$207,D18,'Q1 Data'!$AD$4:$AD$207)+SUMIF('Q1 Data'!$D$4:$D$207,D18,'Q1 Data'!$AG$4:$AG$207)+SUMIF('Q1 Data'!$D$4:$D$207,D18,'Q1 Data'!$AE$4:$AE$207)+SUMIF('Q2 Data'!$D$4:$D$207,D18,'Q2 Data'!$AD$4:$AD$207)+SUMIF('Q2 Data'!$D$4:$D$207,D18,'Q2 Data'!$AG$4:$AG$207)+SUMIF('Q2 Data'!$D$4:$D$207,D18,'Q2 Data'!$AE$4:$AE$207)+SUMIF('Q3 Data'!$D$4:$D$207,D18,'Q3 Data'!$AD$4:$AD$207)+SUMIF('Q3 Data'!$D$4:$D$207,D18,'Q3 Data'!$AG$4:$AG$207)+SUMIF('Q3 Data'!$D$4:$D$207,D18,'Q3 Data'!$AE$4:$AE$207)+SUMIF('Q4 Data'!$D$4:$D$207,D18,'Q4 Data'!$AD$4:$AD$207)+SUMIF('Q4 Data'!$D$4:$D$207,D18,'Q4 Data'!$AG$4:$AG$207)+SUMIF('Q4 Data'!$D$4:$D$207,D18,'Q4 Data'!$AE$4:$AE$207))</f>
      </c>
      <c r="AO18" s="27">
        <f>IF($B18&lt;&gt;"Challan","",P18-N18)</f>
      </c>
      <c r="AP18" s="27">
        <f>IF($B18&lt;&gt;"Challan","",MAX(0,AO18-AN18))</f>
      </c>
      <c r="AQ18" s="33">
        <f>IF($B18&lt;&gt;"Entry","",SUMPRODUCT(('Q1 Data'!$D$4:$D$207=D18)*('Q1 Data'!$B$4:$B$207="Challan")*'Q1 Data'!$F$4:$F$207)+SUMPRODUCT(('Q2 Data'!$D$4:$D$207=D18)*('Q2 Data'!$B$4:$B$207="Challan")*'Q2 Data'!$F$4:$F$207)+SUMPRODUCT(('Q3 Data'!$D$4:$D$207=D18)*('Q3 Data'!$B$4:$B$207="Challan")*'Q3 Data'!$F$4:$F$207)+SUMPRODUCT(('Q4 Data'!$D$4:$D$207=D18)*('Q4 Data'!$B$4:$B$207="Challan")*'Q4 Data'!$F$4:$F$207))</f>
      </c>
      <c r="AR18" s="34">
        <f>IF(OR($B18&lt;&gt;"Entry",Z18=""),FALSE,AND((SUMPRODUCT(('Q1 Data'!$D$4:$D$207=D18)*('Q1 Data'!$B$4:$B$207="Challan")*('Q1 Data'!$H$4:$H$207&lt;&gt;""))+SUMPRODUCT(('Q2 Data'!$D$4:$D$207=D18)*('Q2 Data'!$B$4:$B$207="Challan")*('Q2 Data'!$H$4:$H$207&lt;&gt;""))+SUMPRODUCT(('Q3 Data'!$D$4:$D$207=D18)*('Q3 Data'!$B$4:$B$207="Challan")*('Q3 Data'!$H$4:$H$207&lt;&gt;""))+SUMPRODUCT(('Q4 Data'!$D$4:$D$207=D18)*('Q4 Data'!$B$4:$B$207="Challan")*('Q4 Data'!$H$4:$H$207&lt;&gt;"")))&gt;0,(SUMPRODUCT(('Q1 Data'!$D$4:$D$207=D18)*('Q1 Data'!$B$4:$B$207="Challan")*('Q1 Data'!$H$4:$H$207=Z18))+SUMPRODUCT(('Q2 Data'!$D$4:$D$207=D18)*('Q2 Data'!$B$4:$B$207="Challan")*('Q2 Data'!$H$4:$H$207=Z18))+SUMPRODUCT(('Q3 Data'!$D$4:$D$207=D18)*('Q3 Data'!$B$4:$B$207="Challan")*('Q3 Data'!$H$4:$H$207=Z18))+SUMPRODUCT(('Q4 Data'!$D$4:$D$207=D18)*('Q4 Data'!$B$4:$B$207="Challan")*('Q4 Data'!$H$4:$H$207=Z18)))=0))</f>
      </c>
    </row>
    <row r="19" spans="1:44" x14ac:dyDescent="0.25">
      <c r="A19" s="20">
        <f>IF($B19="Entry",COUNTIF($B$4:$B19,"Entry"),"")</f>
      </c>
      <c r="B19" s="21"/>
      <c r="C19" s="22"/>
      <c r="D19" s="22"/>
      <c r="E19" s="23">
        <f>IF($B19&lt;&gt;"Challan","",IF(ROUND(AN19-AO19,2)&gt;0,"Over-applied",IF(ROUND(AN19-AO19,2)=0,"Fully Utilised","Unconsumed")))</f>
      </c>
      <c r="F19" s="24"/>
      <c r="G19" s="25"/>
      <c r="H19" s="25"/>
      <c r="I19" s="26"/>
      <c r="J19" s="26"/>
      <c r="K19" s="26"/>
      <c r="L19" s="26"/>
      <c r="M19" s="26"/>
      <c r="N19" s="26"/>
      <c r="O19" s="26"/>
      <c r="P19" s="27">
        <f>IF($B19&lt;&gt;"Challan","",I19+J19+K19+L19+M19+N19)</f>
      </c>
      <c r="Q19" s="25"/>
      <c r="R19" s="25"/>
      <c r="S19" s="25"/>
      <c r="T19" s="25"/>
      <c r="U19" s="25"/>
      <c r="V19" s="28"/>
      <c r="W19" s="28"/>
      <c r="X19" s="23">
        <f>IF($B19="Entry",IF(AND(LEN(TRIM(UPPER(W19)))=10,CODE(MID(TRIM(UPPER(W19)),1,1))&gt;=65,CODE(MID(TRIM(UPPER(W19)),1,1))&lt;=90,CODE(MID(TRIM(UPPER(W19)),2,1))&gt;=65,CODE(MID(TRIM(UPPER(W19)),2,1))&lt;=90,CODE(MID(TRIM(UPPER(W19)),3,1))&gt;=65,CODE(MID(TRIM(UPPER(W19)),3,1))&lt;=90,CODE(MID(TRIM(UPPER(W19)),4,1))&gt;=65,CODE(MID(TRIM(UPPER(W19)),4,1))&lt;=90,CODE(MID(TRIM(UPPER(W19)),5,1))&gt;=65,CODE(MID(TRIM(UPPER(W19)),5,1))&lt;=90,CODE(MID(TRIM(UPPER(W19)),10,1))&gt;=65,CODE(MID(TRIM(UPPER(W19)),10,1))&lt;=90,CODE(MID(TRIM(UPPER(W19)),6,1))&gt;=48,CODE(MID(TRIM(UPPER(W19)),6,1))&lt;=57,CODE(MID(TRIM(UPPER(W19)),7,1))&gt;=48,CODE(MID(TRIM(UPPER(W19)),7,1))&lt;=57,CODE(MID(TRIM(UPPER(W19)),8,1))&gt;=48,CODE(MID(TRIM(UPPER(W19)),8,1))&lt;=57,CODE(MID(TRIM(UPPER(W19)),9,1))&gt;=48,CODE(MID(TRIM(UPPER(W19)),9,1))&lt;=57),"N","Y"),IF($B19="Challan","",IF(W19&lt;&gt;"","◄ Set Row Type","")))</f>
      </c>
      <c r="Y19" s="23">
        <f>IF($B19="Entry",IF(LEN(W19)&lt;4,"",IF(UPPER(MID(W19,4,1))="P","Individual",IF(UPPER(MID(W19,4,1))="H","HUF",IF(UPPER(MID(W19,4,1))="C","Company",IF(UPPER(MID(W19,4,1))="F","Firm",IF(UPPER(MID(W19,4,1))="L","LLP",IF(UPPER(MID(W19,4,1))="T","Trust",IF(UPPER(MID(W19,4,1))="A","AOP","")))))))),IF($B19="Challan","",IF(W19&lt;&gt;"","◄ Set Row Type","")))</f>
      </c>
      <c r="Z19" s="28"/>
      <c r="AA19" s="29">
        <f>IF($B19&lt;&gt;"Entry","",IF(Z19="","",IF(X19="Y",SUMPRODUCT(('Rate Lookup'!$A$1:$A$37=Z19)*'Rate Lookup'!$D$1:$D$37),IF(OR(Y19="Individual",Y19="HUF"),SUMPRODUCT(('Rate Lookup'!$A$1:$A$37=Z19)*'Rate Lookup'!$B$1:$B$37),SUMPRODUCT(('Rate Lookup'!$A$1:$A$37=Z19)*'Rate Lookup'!$C$1:$C$37)))))</f>
      </c>
      <c r="AB19" s="30"/>
      <c r="AC19" s="31"/>
      <c r="AD19" s="27">
        <f>IF($B19&lt;&gt;"Entry","",ROUND(AC19*AA19/100,0))</f>
      </c>
      <c r="AE19" s="27">
        <f>IF($B19&lt;&gt;"Entry","",0)</f>
      </c>
      <c r="AF19" s="27">
        <f>IF($B19&lt;&gt;"Entry","",0)</f>
      </c>
      <c r="AG19" s="27">
        <f>IF($B19&lt;&gt;"Entry","",IF(OR(AD19=0,AB19="",AQ19="",AQ19&lt;=0),0,IF(AQ19&lt;=DATE(YEAR(AB19),MONTH(AB19)+1,7),0,ROUND(AD19*0.015*((YEAR(AQ19)-YEAR(AB19))*12+(MONTH(AQ19)-MONTH(AB19))+1),0))))</f>
      </c>
      <c r="AH19" s="27">
        <f>IF($B19&lt;&gt;"Entry","",0)</f>
      </c>
      <c r="AI19" s="28"/>
      <c r="AJ19" s="28"/>
      <c r="AK19" s="32"/>
      <c r="AL19" s="28"/>
      <c r="AM19" s="28"/>
      <c r="AN19" s="27">
        <f>IF($B19&lt;&gt;"Challan","",SUMIF('Q1 Data'!$D$4:$D$207,D19,'Q1 Data'!$AD$4:$AD$207)+SUMIF('Q1 Data'!$D$4:$D$207,D19,'Q1 Data'!$AG$4:$AG$207)+SUMIF('Q1 Data'!$D$4:$D$207,D19,'Q1 Data'!$AE$4:$AE$207)+SUMIF('Q2 Data'!$D$4:$D$207,D19,'Q2 Data'!$AD$4:$AD$207)+SUMIF('Q2 Data'!$D$4:$D$207,D19,'Q2 Data'!$AG$4:$AG$207)+SUMIF('Q2 Data'!$D$4:$D$207,D19,'Q2 Data'!$AE$4:$AE$207)+SUMIF('Q3 Data'!$D$4:$D$207,D19,'Q3 Data'!$AD$4:$AD$207)+SUMIF('Q3 Data'!$D$4:$D$207,D19,'Q3 Data'!$AG$4:$AG$207)+SUMIF('Q3 Data'!$D$4:$D$207,D19,'Q3 Data'!$AE$4:$AE$207)+SUMIF('Q4 Data'!$D$4:$D$207,D19,'Q4 Data'!$AD$4:$AD$207)+SUMIF('Q4 Data'!$D$4:$D$207,D19,'Q4 Data'!$AG$4:$AG$207)+SUMIF('Q4 Data'!$D$4:$D$207,D19,'Q4 Data'!$AE$4:$AE$207))</f>
      </c>
      <c r="AO19" s="27">
        <f>IF($B19&lt;&gt;"Challan","",P19-N19)</f>
      </c>
      <c r="AP19" s="27">
        <f>IF($B19&lt;&gt;"Challan","",MAX(0,AO19-AN19))</f>
      </c>
      <c r="AQ19" s="33">
        <f>IF($B19&lt;&gt;"Entry","",SUMPRODUCT(('Q1 Data'!$D$4:$D$207=D19)*('Q1 Data'!$B$4:$B$207="Challan")*'Q1 Data'!$F$4:$F$207)+SUMPRODUCT(('Q2 Data'!$D$4:$D$207=D19)*('Q2 Data'!$B$4:$B$207="Challan")*'Q2 Data'!$F$4:$F$207)+SUMPRODUCT(('Q3 Data'!$D$4:$D$207=D19)*('Q3 Data'!$B$4:$B$207="Challan")*'Q3 Data'!$F$4:$F$207)+SUMPRODUCT(('Q4 Data'!$D$4:$D$207=D19)*('Q4 Data'!$B$4:$B$207="Challan")*'Q4 Data'!$F$4:$F$207))</f>
      </c>
      <c r="AR19" s="34">
        <f>IF(OR($B19&lt;&gt;"Entry",Z19=""),FALSE,AND((SUMPRODUCT(('Q1 Data'!$D$4:$D$207=D19)*('Q1 Data'!$B$4:$B$207="Challan")*('Q1 Data'!$H$4:$H$207&lt;&gt;""))+SUMPRODUCT(('Q2 Data'!$D$4:$D$207=D19)*('Q2 Data'!$B$4:$B$207="Challan")*('Q2 Data'!$H$4:$H$207&lt;&gt;""))+SUMPRODUCT(('Q3 Data'!$D$4:$D$207=D19)*('Q3 Data'!$B$4:$B$207="Challan")*('Q3 Data'!$H$4:$H$207&lt;&gt;""))+SUMPRODUCT(('Q4 Data'!$D$4:$D$207=D19)*('Q4 Data'!$B$4:$B$207="Challan")*('Q4 Data'!$H$4:$H$207&lt;&gt;"")))&gt;0,(SUMPRODUCT(('Q1 Data'!$D$4:$D$207=D19)*('Q1 Data'!$B$4:$B$207="Challan")*('Q1 Data'!$H$4:$H$207=Z19))+SUMPRODUCT(('Q2 Data'!$D$4:$D$207=D19)*('Q2 Data'!$B$4:$B$207="Challan")*('Q2 Data'!$H$4:$H$207=Z19))+SUMPRODUCT(('Q3 Data'!$D$4:$D$207=D19)*('Q3 Data'!$B$4:$B$207="Challan")*('Q3 Data'!$H$4:$H$207=Z19))+SUMPRODUCT(('Q4 Data'!$D$4:$D$207=D19)*('Q4 Data'!$B$4:$B$207="Challan")*('Q4 Data'!$H$4:$H$207=Z19)))=0))</f>
      </c>
    </row>
    <row r="20" spans="1:44" x14ac:dyDescent="0.25">
      <c r="A20" s="20">
        <f>IF($B20="Entry",COUNTIF($B$4:$B20,"Entry"),"")</f>
      </c>
      <c r="B20" s="21"/>
      <c r="C20" s="22"/>
      <c r="D20" s="22"/>
      <c r="E20" s="23">
        <f>IF($B20&lt;&gt;"Challan","",IF(ROUND(AN20-AO20,2)&gt;0,"Over-applied",IF(ROUND(AN20-AO20,2)=0,"Fully Utilised","Unconsumed")))</f>
      </c>
      <c r="F20" s="24"/>
      <c r="G20" s="25"/>
      <c r="H20" s="25"/>
      <c r="I20" s="26"/>
      <c r="J20" s="26"/>
      <c r="K20" s="26"/>
      <c r="L20" s="26"/>
      <c r="M20" s="26"/>
      <c r="N20" s="26"/>
      <c r="O20" s="26"/>
      <c r="P20" s="27">
        <f>IF($B20&lt;&gt;"Challan","",I20+J20+K20+L20+M20+N20)</f>
      </c>
      <c r="Q20" s="25"/>
      <c r="R20" s="25"/>
      <c r="S20" s="25"/>
      <c r="T20" s="25"/>
      <c r="U20" s="25"/>
      <c r="V20" s="28"/>
      <c r="W20" s="28"/>
      <c r="X20" s="23">
        <f>IF($B20="Entry",IF(AND(LEN(TRIM(UPPER(W20)))=10,CODE(MID(TRIM(UPPER(W20)),1,1))&gt;=65,CODE(MID(TRIM(UPPER(W20)),1,1))&lt;=90,CODE(MID(TRIM(UPPER(W20)),2,1))&gt;=65,CODE(MID(TRIM(UPPER(W20)),2,1))&lt;=90,CODE(MID(TRIM(UPPER(W20)),3,1))&gt;=65,CODE(MID(TRIM(UPPER(W20)),3,1))&lt;=90,CODE(MID(TRIM(UPPER(W20)),4,1))&gt;=65,CODE(MID(TRIM(UPPER(W20)),4,1))&lt;=90,CODE(MID(TRIM(UPPER(W20)),5,1))&gt;=65,CODE(MID(TRIM(UPPER(W20)),5,1))&lt;=90,CODE(MID(TRIM(UPPER(W20)),10,1))&gt;=65,CODE(MID(TRIM(UPPER(W20)),10,1))&lt;=90,CODE(MID(TRIM(UPPER(W20)),6,1))&gt;=48,CODE(MID(TRIM(UPPER(W20)),6,1))&lt;=57,CODE(MID(TRIM(UPPER(W20)),7,1))&gt;=48,CODE(MID(TRIM(UPPER(W20)),7,1))&lt;=57,CODE(MID(TRIM(UPPER(W20)),8,1))&gt;=48,CODE(MID(TRIM(UPPER(W20)),8,1))&lt;=57,CODE(MID(TRIM(UPPER(W20)),9,1))&gt;=48,CODE(MID(TRIM(UPPER(W20)),9,1))&lt;=57),"N","Y"),IF($B20="Challan","",IF(W20&lt;&gt;"","◄ Set Row Type","")))</f>
      </c>
      <c r="Y20" s="23">
        <f>IF($B20="Entry",IF(LEN(W20)&lt;4,"",IF(UPPER(MID(W20,4,1))="P","Individual",IF(UPPER(MID(W20,4,1))="H","HUF",IF(UPPER(MID(W20,4,1))="C","Company",IF(UPPER(MID(W20,4,1))="F","Firm",IF(UPPER(MID(W20,4,1))="L","LLP",IF(UPPER(MID(W20,4,1))="T","Trust",IF(UPPER(MID(W20,4,1))="A","AOP","")))))))),IF($B20="Challan","",IF(W20&lt;&gt;"","◄ Set Row Type","")))</f>
      </c>
      <c r="Z20" s="28"/>
      <c r="AA20" s="29">
        <f>IF($B20&lt;&gt;"Entry","",IF(Z20="","",IF(X20="Y",SUMPRODUCT(('Rate Lookup'!$A$1:$A$37=Z20)*'Rate Lookup'!$D$1:$D$37),IF(OR(Y20="Individual",Y20="HUF"),SUMPRODUCT(('Rate Lookup'!$A$1:$A$37=Z20)*'Rate Lookup'!$B$1:$B$37),SUMPRODUCT(('Rate Lookup'!$A$1:$A$37=Z20)*'Rate Lookup'!$C$1:$C$37)))))</f>
      </c>
      <c r="AB20" s="30"/>
      <c r="AC20" s="31"/>
      <c r="AD20" s="27">
        <f>IF($B20&lt;&gt;"Entry","",ROUND(AC20*AA20/100,0))</f>
      </c>
      <c r="AE20" s="27">
        <f>IF($B20&lt;&gt;"Entry","",0)</f>
      </c>
      <c r="AF20" s="27">
        <f>IF($B20&lt;&gt;"Entry","",0)</f>
      </c>
      <c r="AG20" s="27">
        <f>IF($B20&lt;&gt;"Entry","",IF(OR(AD20=0,AB20="",AQ20="",AQ20&lt;=0),0,IF(AQ20&lt;=DATE(YEAR(AB20),MONTH(AB20)+1,7),0,ROUND(AD20*0.015*((YEAR(AQ20)-YEAR(AB20))*12+(MONTH(AQ20)-MONTH(AB20))+1),0))))</f>
      </c>
      <c r="AH20" s="27">
        <f>IF($B20&lt;&gt;"Entry","",0)</f>
      </c>
      <c r="AI20" s="28"/>
      <c r="AJ20" s="28"/>
      <c r="AK20" s="32"/>
      <c r="AL20" s="28"/>
      <c r="AM20" s="28"/>
      <c r="AN20" s="27">
        <f>IF($B20&lt;&gt;"Challan","",SUMIF('Q1 Data'!$D$4:$D$207,D20,'Q1 Data'!$AD$4:$AD$207)+SUMIF('Q1 Data'!$D$4:$D$207,D20,'Q1 Data'!$AG$4:$AG$207)+SUMIF('Q1 Data'!$D$4:$D$207,D20,'Q1 Data'!$AE$4:$AE$207)+SUMIF('Q2 Data'!$D$4:$D$207,D20,'Q2 Data'!$AD$4:$AD$207)+SUMIF('Q2 Data'!$D$4:$D$207,D20,'Q2 Data'!$AG$4:$AG$207)+SUMIF('Q2 Data'!$D$4:$D$207,D20,'Q2 Data'!$AE$4:$AE$207)+SUMIF('Q3 Data'!$D$4:$D$207,D20,'Q3 Data'!$AD$4:$AD$207)+SUMIF('Q3 Data'!$D$4:$D$207,D20,'Q3 Data'!$AG$4:$AG$207)+SUMIF('Q3 Data'!$D$4:$D$207,D20,'Q3 Data'!$AE$4:$AE$207)+SUMIF('Q4 Data'!$D$4:$D$207,D20,'Q4 Data'!$AD$4:$AD$207)+SUMIF('Q4 Data'!$D$4:$D$207,D20,'Q4 Data'!$AG$4:$AG$207)+SUMIF('Q4 Data'!$D$4:$D$207,D20,'Q4 Data'!$AE$4:$AE$207))</f>
      </c>
      <c r="AO20" s="27">
        <f>IF($B20&lt;&gt;"Challan","",P20-N20)</f>
      </c>
      <c r="AP20" s="27">
        <f>IF($B20&lt;&gt;"Challan","",MAX(0,AO20-AN20))</f>
      </c>
      <c r="AQ20" s="33">
        <f>IF($B20&lt;&gt;"Entry","",SUMPRODUCT(('Q1 Data'!$D$4:$D$207=D20)*('Q1 Data'!$B$4:$B$207="Challan")*'Q1 Data'!$F$4:$F$207)+SUMPRODUCT(('Q2 Data'!$D$4:$D$207=D20)*('Q2 Data'!$B$4:$B$207="Challan")*'Q2 Data'!$F$4:$F$207)+SUMPRODUCT(('Q3 Data'!$D$4:$D$207=D20)*('Q3 Data'!$B$4:$B$207="Challan")*'Q3 Data'!$F$4:$F$207)+SUMPRODUCT(('Q4 Data'!$D$4:$D$207=D20)*('Q4 Data'!$B$4:$B$207="Challan")*'Q4 Data'!$F$4:$F$207))</f>
      </c>
      <c r="AR20" s="34">
        <f>IF(OR($B20&lt;&gt;"Entry",Z20=""),FALSE,AND((SUMPRODUCT(('Q1 Data'!$D$4:$D$207=D20)*('Q1 Data'!$B$4:$B$207="Challan")*('Q1 Data'!$H$4:$H$207&lt;&gt;""))+SUMPRODUCT(('Q2 Data'!$D$4:$D$207=D20)*('Q2 Data'!$B$4:$B$207="Challan")*('Q2 Data'!$H$4:$H$207&lt;&gt;""))+SUMPRODUCT(('Q3 Data'!$D$4:$D$207=D20)*('Q3 Data'!$B$4:$B$207="Challan")*('Q3 Data'!$H$4:$H$207&lt;&gt;""))+SUMPRODUCT(('Q4 Data'!$D$4:$D$207=D20)*('Q4 Data'!$B$4:$B$207="Challan")*('Q4 Data'!$H$4:$H$207&lt;&gt;"")))&gt;0,(SUMPRODUCT(('Q1 Data'!$D$4:$D$207=D20)*('Q1 Data'!$B$4:$B$207="Challan")*('Q1 Data'!$H$4:$H$207=Z20))+SUMPRODUCT(('Q2 Data'!$D$4:$D$207=D20)*('Q2 Data'!$B$4:$B$207="Challan")*('Q2 Data'!$H$4:$H$207=Z20))+SUMPRODUCT(('Q3 Data'!$D$4:$D$207=D20)*('Q3 Data'!$B$4:$B$207="Challan")*('Q3 Data'!$H$4:$H$207=Z20))+SUMPRODUCT(('Q4 Data'!$D$4:$D$207=D20)*('Q4 Data'!$B$4:$B$207="Challan")*('Q4 Data'!$H$4:$H$207=Z20)))=0))</f>
      </c>
    </row>
    <row r="21" spans="1:44" x14ac:dyDescent="0.25">
      <c r="A21" s="20">
        <f>IF($B21="Entry",COUNTIF($B$4:$B21,"Entry"),"")</f>
      </c>
      <c r="B21" s="21"/>
      <c r="C21" s="22"/>
      <c r="D21" s="22"/>
      <c r="E21" s="23">
        <f>IF($B21&lt;&gt;"Challan","",IF(ROUND(AN21-AO21,2)&gt;0,"Over-applied",IF(ROUND(AN21-AO21,2)=0,"Fully Utilised","Unconsumed")))</f>
      </c>
      <c r="F21" s="24"/>
      <c r="G21" s="25"/>
      <c r="H21" s="25"/>
      <c r="I21" s="26"/>
      <c r="J21" s="26"/>
      <c r="K21" s="26"/>
      <c r="L21" s="26"/>
      <c r="M21" s="26"/>
      <c r="N21" s="26"/>
      <c r="O21" s="26"/>
      <c r="P21" s="27">
        <f>IF($B21&lt;&gt;"Challan","",I21+J21+K21+L21+M21+N21)</f>
      </c>
      <c r="Q21" s="25"/>
      <c r="R21" s="25"/>
      <c r="S21" s="25"/>
      <c r="T21" s="25"/>
      <c r="U21" s="25"/>
      <c r="V21" s="28"/>
      <c r="W21" s="28"/>
      <c r="X21" s="23">
        <f>IF($B21="Entry",IF(AND(LEN(TRIM(UPPER(W21)))=10,CODE(MID(TRIM(UPPER(W21)),1,1))&gt;=65,CODE(MID(TRIM(UPPER(W21)),1,1))&lt;=90,CODE(MID(TRIM(UPPER(W21)),2,1))&gt;=65,CODE(MID(TRIM(UPPER(W21)),2,1))&lt;=90,CODE(MID(TRIM(UPPER(W21)),3,1))&gt;=65,CODE(MID(TRIM(UPPER(W21)),3,1))&lt;=90,CODE(MID(TRIM(UPPER(W21)),4,1))&gt;=65,CODE(MID(TRIM(UPPER(W21)),4,1))&lt;=90,CODE(MID(TRIM(UPPER(W21)),5,1))&gt;=65,CODE(MID(TRIM(UPPER(W21)),5,1))&lt;=90,CODE(MID(TRIM(UPPER(W21)),10,1))&gt;=65,CODE(MID(TRIM(UPPER(W21)),10,1))&lt;=90,CODE(MID(TRIM(UPPER(W21)),6,1))&gt;=48,CODE(MID(TRIM(UPPER(W21)),6,1))&lt;=57,CODE(MID(TRIM(UPPER(W21)),7,1))&gt;=48,CODE(MID(TRIM(UPPER(W21)),7,1))&lt;=57,CODE(MID(TRIM(UPPER(W21)),8,1))&gt;=48,CODE(MID(TRIM(UPPER(W21)),8,1))&lt;=57,CODE(MID(TRIM(UPPER(W21)),9,1))&gt;=48,CODE(MID(TRIM(UPPER(W21)),9,1))&lt;=57),"N","Y"),IF($B21="Challan","",IF(W21&lt;&gt;"","◄ Set Row Type","")))</f>
      </c>
      <c r="Y21" s="23">
        <f>IF($B21="Entry",IF(LEN(W21)&lt;4,"",IF(UPPER(MID(W21,4,1))="P","Individual",IF(UPPER(MID(W21,4,1))="H","HUF",IF(UPPER(MID(W21,4,1))="C","Company",IF(UPPER(MID(W21,4,1))="F","Firm",IF(UPPER(MID(W21,4,1))="L","LLP",IF(UPPER(MID(W21,4,1))="T","Trust",IF(UPPER(MID(W21,4,1))="A","AOP","")))))))),IF($B21="Challan","",IF(W21&lt;&gt;"","◄ Set Row Type","")))</f>
      </c>
      <c r="Z21" s="28"/>
      <c r="AA21" s="29">
        <f>IF($B21&lt;&gt;"Entry","",IF(Z21="","",IF(X21="Y",SUMPRODUCT(('Rate Lookup'!$A$1:$A$37=Z21)*'Rate Lookup'!$D$1:$D$37),IF(OR(Y21="Individual",Y21="HUF"),SUMPRODUCT(('Rate Lookup'!$A$1:$A$37=Z21)*'Rate Lookup'!$B$1:$B$37),SUMPRODUCT(('Rate Lookup'!$A$1:$A$37=Z21)*'Rate Lookup'!$C$1:$C$37)))))</f>
      </c>
      <c r="AB21" s="30"/>
      <c r="AC21" s="31"/>
      <c r="AD21" s="27">
        <f>IF($B21&lt;&gt;"Entry","",ROUND(AC21*AA21/100,0))</f>
      </c>
      <c r="AE21" s="27">
        <f>IF($B21&lt;&gt;"Entry","",0)</f>
      </c>
      <c r="AF21" s="27">
        <f>IF($B21&lt;&gt;"Entry","",0)</f>
      </c>
      <c r="AG21" s="27">
        <f>IF($B21&lt;&gt;"Entry","",IF(OR(AD21=0,AB21="",AQ21="",AQ21&lt;=0),0,IF(AQ21&lt;=DATE(YEAR(AB21),MONTH(AB21)+1,7),0,ROUND(AD21*0.015*((YEAR(AQ21)-YEAR(AB21))*12+(MONTH(AQ21)-MONTH(AB21))+1),0))))</f>
      </c>
      <c r="AH21" s="27">
        <f>IF($B21&lt;&gt;"Entry","",0)</f>
      </c>
      <c r="AI21" s="28"/>
      <c r="AJ21" s="28"/>
      <c r="AK21" s="32"/>
      <c r="AL21" s="28"/>
      <c r="AM21" s="28"/>
      <c r="AN21" s="27">
        <f>IF($B21&lt;&gt;"Challan","",SUMIF('Q1 Data'!$D$4:$D$207,D21,'Q1 Data'!$AD$4:$AD$207)+SUMIF('Q1 Data'!$D$4:$D$207,D21,'Q1 Data'!$AG$4:$AG$207)+SUMIF('Q1 Data'!$D$4:$D$207,D21,'Q1 Data'!$AE$4:$AE$207)+SUMIF('Q2 Data'!$D$4:$D$207,D21,'Q2 Data'!$AD$4:$AD$207)+SUMIF('Q2 Data'!$D$4:$D$207,D21,'Q2 Data'!$AG$4:$AG$207)+SUMIF('Q2 Data'!$D$4:$D$207,D21,'Q2 Data'!$AE$4:$AE$207)+SUMIF('Q3 Data'!$D$4:$D$207,D21,'Q3 Data'!$AD$4:$AD$207)+SUMIF('Q3 Data'!$D$4:$D$207,D21,'Q3 Data'!$AG$4:$AG$207)+SUMIF('Q3 Data'!$D$4:$D$207,D21,'Q3 Data'!$AE$4:$AE$207)+SUMIF('Q4 Data'!$D$4:$D$207,D21,'Q4 Data'!$AD$4:$AD$207)+SUMIF('Q4 Data'!$D$4:$D$207,D21,'Q4 Data'!$AG$4:$AG$207)+SUMIF('Q4 Data'!$D$4:$D$207,D21,'Q4 Data'!$AE$4:$AE$207))</f>
      </c>
      <c r="AO21" s="27">
        <f>IF($B21&lt;&gt;"Challan","",P21-N21)</f>
      </c>
      <c r="AP21" s="27">
        <f>IF($B21&lt;&gt;"Challan","",MAX(0,AO21-AN21))</f>
      </c>
      <c r="AQ21" s="33">
        <f>IF($B21&lt;&gt;"Entry","",SUMPRODUCT(('Q1 Data'!$D$4:$D$207=D21)*('Q1 Data'!$B$4:$B$207="Challan")*'Q1 Data'!$F$4:$F$207)+SUMPRODUCT(('Q2 Data'!$D$4:$D$207=D21)*('Q2 Data'!$B$4:$B$207="Challan")*'Q2 Data'!$F$4:$F$207)+SUMPRODUCT(('Q3 Data'!$D$4:$D$207=D21)*('Q3 Data'!$B$4:$B$207="Challan")*'Q3 Data'!$F$4:$F$207)+SUMPRODUCT(('Q4 Data'!$D$4:$D$207=D21)*('Q4 Data'!$B$4:$B$207="Challan")*'Q4 Data'!$F$4:$F$207))</f>
      </c>
      <c r="AR21" s="34">
        <f>IF(OR($B21&lt;&gt;"Entry",Z21=""),FALSE,AND((SUMPRODUCT(('Q1 Data'!$D$4:$D$207=D21)*('Q1 Data'!$B$4:$B$207="Challan")*('Q1 Data'!$H$4:$H$207&lt;&gt;""))+SUMPRODUCT(('Q2 Data'!$D$4:$D$207=D21)*('Q2 Data'!$B$4:$B$207="Challan")*('Q2 Data'!$H$4:$H$207&lt;&gt;""))+SUMPRODUCT(('Q3 Data'!$D$4:$D$207=D21)*('Q3 Data'!$B$4:$B$207="Challan")*('Q3 Data'!$H$4:$H$207&lt;&gt;""))+SUMPRODUCT(('Q4 Data'!$D$4:$D$207=D21)*('Q4 Data'!$B$4:$B$207="Challan")*('Q4 Data'!$H$4:$H$207&lt;&gt;"")))&gt;0,(SUMPRODUCT(('Q1 Data'!$D$4:$D$207=D21)*('Q1 Data'!$B$4:$B$207="Challan")*('Q1 Data'!$H$4:$H$207=Z21))+SUMPRODUCT(('Q2 Data'!$D$4:$D$207=D21)*('Q2 Data'!$B$4:$B$207="Challan")*('Q2 Data'!$H$4:$H$207=Z21))+SUMPRODUCT(('Q3 Data'!$D$4:$D$207=D21)*('Q3 Data'!$B$4:$B$207="Challan")*('Q3 Data'!$H$4:$H$207=Z21))+SUMPRODUCT(('Q4 Data'!$D$4:$D$207=D21)*('Q4 Data'!$B$4:$B$207="Challan")*('Q4 Data'!$H$4:$H$207=Z21)))=0))</f>
      </c>
    </row>
    <row r="22" spans="1:44" x14ac:dyDescent="0.25">
      <c r="A22" s="20">
        <f>IF($B22="Entry",COUNTIF($B$4:$B22,"Entry"),"")</f>
      </c>
      <c r="B22" s="21"/>
      <c r="C22" s="22"/>
      <c r="D22" s="22"/>
      <c r="E22" s="23">
        <f>IF($B22&lt;&gt;"Challan","",IF(ROUND(AN22-AO22,2)&gt;0,"Over-applied",IF(ROUND(AN22-AO22,2)=0,"Fully Utilised","Unconsumed")))</f>
      </c>
      <c r="F22" s="24"/>
      <c r="G22" s="25"/>
      <c r="H22" s="25"/>
      <c r="I22" s="26"/>
      <c r="J22" s="26"/>
      <c r="K22" s="26"/>
      <c r="L22" s="26"/>
      <c r="M22" s="26"/>
      <c r="N22" s="26"/>
      <c r="O22" s="26"/>
      <c r="P22" s="27">
        <f>IF($B22&lt;&gt;"Challan","",I22+J22+K22+L22+M22+N22)</f>
      </c>
      <c r="Q22" s="25"/>
      <c r="R22" s="25"/>
      <c r="S22" s="25"/>
      <c r="T22" s="25"/>
      <c r="U22" s="25"/>
      <c r="V22" s="28"/>
      <c r="W22" s="28"/>
      <c r="X22" s="23">
        <f>IF($B22="Entry",IF(AND(LEN(TRIM(UPPER(W22)))=10,CODE(MID(TRIM(UPPER(W22)),1,1))&gt;=65,CODE(MID(TRIM(UPPER(W22)),1,1))&lt;=90,CODE(MID(TRIM(UPPER(W22)),2,1))&gt;=65,CODE(MID(TRIM(UPPER(W22)),2,1))&lt;=90,CODE(MID(TRIM(UPPER(W22)),3,1))&gt;=65,CODE(MID(TRIM(UPPER(W22)),3,1))&lt;=90,CODE(MID(TRIM(UPPER(W22)),4,1))&gt;=65,CODE(MID(TRIM(UPPER(W22)),4,1))&lt;=90,CODE(MID(TRIM(UPPER(W22)),5,1))&gt;=65,CODE(MID(TRIM(UPPER(W22)),5,1))&lt;=90,CODE(MID(TRIM(UPPER(W22)),10,1))&gt;=65,CODE(MID(TRIM(UPPER(W22)),10,1))&lt;=90,CODE(MID(TRIM(UPPER(W22)),6,1))&gt;=48,CODE(MID(TRIM(UPPER(W22)),6,1))&lt;=57,CODE(MID(TRIM(UPPER(W22)),7,1))&gt;=48,CODE(MID(TRIM(UPPER(W22)),7,1))&lt;=57,CODE(MID(TRIM(UPPER(W22)),8,1))&gt;=48,CODE(MID(TRIM(UPPER(W22)),8,1))&lt;=57,CODE(MID(TRIM(UPPER(W22)),9,1))&gt;=48,CODE(MID(TRIM(UPPER(W22)),9,1))&lt;=57),"N","Y"),IF($B22="Challan","",IF(W22&lt;&gt;"","◄ Set Row Type","")))</f>
      </c>
      <c r="Y22" s="23">
        <f>IF($B22="Entry",IF(LEN(W22)&lt;4,"",IF(UPPER(MID(W22,4,1))="P","Individual",IF(UPPER(MID(W22,4,1))="H","HUF",IF(UPPER(MID(W22,4,1))="C","Company",IF(UPPER(MID(W22,4,1))="F","Firm",IF(UPPER(MID(W22,4,1))="L","LLP",IF(UPPER(MID(W22,4,1))="T","Trust",IF(UPPER(MID(W22,4,1))="A","AOP","")))))))),IF($B22="Challan","",IF(W22&lt;&gt;"","◄ Set Row Type","")))</f>
      </c>
      <c r="Z22" s="28"/>
      <c r="AA22" s="29">
        <f>IF($B22&lt;&gt;"Entry","",IF(Z22="","",IF(X22="Y",SUMPRODUCT(('Rate Lookup'!$A$1:$A$37=Z22)*'Rate Lookup'!$D$1:$D$37),IF(OR(Y22="Individual",Y22="HUF"),SUMPRODUCT(('Rate Lookup'!$A$1:$A$37=Z22)*'Rate Lookup'!$B$1:$B$37),SUMPRODUCT(('Rate Lookup'!$A$1:$A$37=Z22)*'Rate Lookup'!$C$1:$C$37)))))</f>
      </c>
      <c r="AB22" s="30"/>
      <c r="AC22" s="31"/>
      <c r="AD22" s="27">
        <f>IF($B22&lt;&gt;"Entry","",ROUND(AC22*AA22/100,0))</f>
      </c>
      <c r="AE22" s="27">
        <f>IF($B22&lt;&gt;"Entry","",0)</f>
      </c>
      <c r="AF22" s="27">
        <f>IF($B22&lt;&gt;"Entry","",0)</f>
      </c>
      <c r="AG22" s="27">
        <f>IF($B22&lt;&gt;"Entry","",IF(OR(AD22=0,AB22="",AQ22="",AQ22&lt;=0),0,IF(AQ22&lt;=DATE(YEAR(AB22),MONTH(AB22)+1,7),0,ROUND(AD22*0.015*((YEAR(AQ22)-YEAR(AB22))*12+(MONTH(AQ22)-MONTH(AB22))+1),0))))</f>
      </c>
      <c r="AH22" s="27">
        <f>IF($B22&lt;&gt;"Entry","",0)</f>
      </c>
      <c r="AI22" s="28"/>
      <c r="AJ22" s="28"/>
      <c r="AK22" s="32"/>
      <c r="AL22" s="28"/>
      <c r="AM22" s="28"/>
      <c r="AN22" s="27">
        <f>IF($B22&lt;&gt;"Challan","",SUMIF('Q1 Data'!$D$4:$D$207,D22,'Q1 Data'!$AD$4:$AD$207)+SUMIF('Q1 Data'!$D$4:$D$207,D22,'Q1 Data'!$AG$4:$AG$207)+SUMIF('Q1 Data'!$D$4:$D$207,D22,'Q1 Data'!$AE$4:$AE$207)+SUMIF('Q2 Data'!$D$4:$D$207,D22,'Q2 Data'!$AD$4:$AD$207)+SUMIF('Q2 Data'!$D$4:$D$207,D22,'Q2 Data'!$AG$4:$AG$207)+SUMIF('Q2 Data'!$D$4:$D$207,D22,'Q2 Data'!$AE$4:$AE$207)+SUMIF('Q3 Data'!$D$4:$D$207,D22,'Q3 Data'!$AD$4:$AD$207)+SUMIF('Q3 Data'!$D$4:$D$207,D22,'Q3 Data'!$AG$4:$AG$207)+SUMIF('Q3 Data'!$D$4:$D$207,D22,'Q3 Data'!$AE$4:$AE$207)+SUMIF('Q4 Data'!$D$4:$D$207,D22,'Q4 Data'!$AD$4:$AD$207)+SUMIF('Q4 Data'!$D$4:$D$207,D22,'Q4 Data'!$AG$4:$AG$207)+SUMIF('Q4 Data'!$D$4:$D$207,D22,'Q4 Data'!$AE$4:$AE$207))</f>
      </c>
      <c r="AO22" s="27">
        <f>IF($B22&lt;&gt;"Challan","",P22-N22)</f>
      </c>
      <c r="AP22" s="27">
        <f>IF($B22&lt;&gt;"Challan","",MAX(0,AO22-AN22))</f>
      </c>
      <c r="AQ22" s="33">
        <f>IF($B22&lt;&gt;"Entry","",SUMPRODUCT(('Q1 Data'!$D$4:$D$207=D22)*('Q1 Data'!$B$4:$B$207="Challan")*'Q1 Data'!$F$4:$F$207)+SUMPRODUCT(('Q2 Data'!$D$4:$D$207=D22)*('Q2 Data'!$B$4:$B$207="Challan")*'Q2 Data'!$F$4:$F$207)+SUMPRODUCT(('Q3 Data'!$D$4:$D$207=D22)*('Q3 Data'!$B$4:$B$207="Challan")*'Q3 Data'!$F$4:$F$207)+SUMPRODUCT(('Q4 Data'!$D$4:$D$207=D22)*('Q4 Data'!$B$4:$B$207="Challan")*'Q4 Data'!$F$4:$F$207))</f>
      </c>
      <c r="AR22" s="34">
        <f>IF(OR($B22&lt;&gt;"Entry",Z22=""),FALSE,AND((SUMPRODUCT(('Q1 Data'!$D$4:$D$207=D22)*('Q1 Data'!$B$4:$B$207="Challan")*('Q1 Data'!$H$4:$H$207&lt;&gt;""))+SUMPRODUCT(('Q2 Data'!$D$4:$D$207=D22)*('Q2 Data'!$B$4:$B$207="Challan")*('Q2 Data'!$H$4:$H$207&lt;&gt;""))+SUMPRODUCT(('Q3 Data'!$D$4:$D$207=D22)*('Q3 Data'!$B$4:$B$207="Challan")*('Q3 Data'!$H$4:$H$207&lt;&gt;""))+SUMPRODUCT(('Q4 Data'!$D$4:$D$207=D22)*('Q4 Data'!$B$4:$B$207="Challan")*('Q4 Data'!$H$4:$H$207&lt;&gt;"")))&gt;0,(SUMPRODUCT(('Q1 Data'!$D$4:$D$207=D22)*('Q1 Data'!$B$4:$B$207="Challan")*('Q1 Data'!$H$4:$H$207=Z22))+SUMPRODUCT(('Q2 Data'!$D$4:$D$207=D22)*('Q2 Data'!$B$4:$B$207="Challan")*('Q2 Data'!$H$4:$H$207=Z22))+SUMPRODUCT(('Q3 Data'!$D$4:$D$207=D22)*('Q3 Data'!$B$4:$B$207="Challan")*('Q3 Data'!$H$4:$H$207=Z22))+SUMPRODUCT(('Q4 Data'!$D$4:$D$207=D22)*('Q4 Data'!$B$4:$B$207="Challan")*('Q4 Data'!$H$4:$H$207=Z22)))=0))</f>
      </c>
    </row>
    <row r="23" spans="1:44" x14ac:dyDescent="0.25">
      <c r="A23" s="20">
        <f>IF($B23="Entry",COUNTIF($B$4:$B23,"Entry"),"")</f>
      </c>
      <c r="B23" s="21"/>
      <c r="C23" s="22"/>
      <c r="D23" s="22"/>
      <c r="E23" s="23">
        <f>IF($B23&lt;&gt;"Challan","",IF(ROUND(AN23-AO23,2)&gt;0,"Over-applied",IF(ROUND(AN23-AO23,2)=0,"Fully Utilised","Unconsumed")))</f>
      </c>
      <c r="F23" s="24"/>
      <c r="G23" s="25"/>
      <c r="H23" s="25"/>
      <c r="I23" s="26"/>
      <c r="J23" s="26"/>
      <c r="K23" s="26"/>
      <c r="L23" s="26"/>
      <c r="M23" s="26"/>
      <c r="N23" s="26"/>
      <c r="O23" s="26"/>
      <c r="P23" s="27">
        <f>IF($B23&lt;&gt;"Challan","",I23+J23+K23+L23+M23+N23)</f>
      </c>
      <c r="Q23" s="25"/>
      <c r="R23" s="25"/>
      <c r="S23" s="25"/>
      <c r="T23" s="25"/>
      <c r="U23" s="25"/>
      <c r="V23" s="28"/>
      <c r="W23" s="28"/>
      <c r="X23" s="23">
        <f>IF($B23="Entry",IF(AND(LEN(TRIM(UPPER(W23)))=10,CODE(MID(TRIM(UPPER(W23)),1,1))&gt;=65,CODE(MID(TRIM(UPPER(W23)),1,1))&lt;=90,CODE(MID(TRIM(UPPER(W23)),2,1))&gt;=65,CODE(MID(TRIM(UPPER(W23)),2,1))&lt;=90,CODE(MID(TRIM(UPPER(W23)),3,1))&gt;=65,CODE(MID(TRIM(UPPER(W23)),3,1))&lt;=90,CODE(MID(TRIM(UPPER(W23)),4,1))&gt;=65,CODE(MID(TRIM(UPPER(W23)),4,1))&lt;=90,CODE(MID(TRIM(UPPER(W23)),5,1))&gt;=65,CODE(MID(TRIM(UPPER(W23)),5,1))&lt;=90,CODE(MID(TRIM(UPPER(W23)),10,1))&gt;=65,CODE(MID(TRIM(UPPER(W23)),10,1))&lt;=90,CODE(MID(TRIM(UPPER(W23)),6,1))&gt;=48,CODE(MID(TRIM(UPPER(W23)),6,1))&lt;=57,CODE(MID(TRIM(UPPER(W23)),7,1))&gt;=48,CODE(MID(TRIM(UPPER(W23)),7,1))&lt;=57,CODE(MID(TRIM(UPPER(W23)),8,1))&gt;=48,CODE(MID(TRIM(UPPER(W23)),8,1))&lt;=57,CODE(MID(TRIM(UPPER(W23)),9,1))&gt;=48,CODE(MID(TRIM(UPPER(W23)),9,1))&lt;=57),"N","Y"),IF($B23="Challan","",IF(W23&lt;&gt;"","◄ Set Row Type","")))</f>
      </c>
      <c r="Y23" s="23">
        <f>IF($B23="Entry",IF(LEN(W23)&lt;4,"",IF(UPPER(MID(W23,4,1))="P","Individual",IF(UPPER(MID(W23,4,1))="H","HUF",IF(UPPER(MID(W23,4,1))="C","Company",IF(UPPER(MID(W23,4,1))="F","Firm",IF(UPPER(MID(W23,4,1))="L","LLP",IF(UPPER(MID(W23,4,1))="T","Trust",IF(UPPER(MID(W23,4,1))="A","AOP","")))))))),IF($B23="Challan","",IF(W23&lt;&gt;"","◄ Set Row Type","")))</f>
      </c>
      <c r="Z23" s="28"/>
      <c r="AA23" s="29">
        <f>IF($B23&lt;&gt;"Entry","",IF(Z23="","",IF(X23="Y",SUMPRODUCT(('Rate Lookup'!$A$1:$A$37=Z23)*'Rate Lookup'!$D$1:$D$37),IF(OR(Y23="Individual",Y23="HUF"),SUMPRODUCT(('Rate Lookup'!$A$1:$A$37=Z23)*'Rate Lookup'!$B$1:$B$37),SUMPRODUCT(('Rate Lookup'!$A$1:$A$37=Z23)*'Rate Lookup'!$C$1:$C$37)))))</f>
      </c>
      <c r="AB23" s="30"/>
      <c r="AC23" s="31"/>
      <c r="AD23" s="27">
        <f>IF($B23&lt;&gt;"Entry","",ROUND(AC23*AA23/100,0))</f>
      </c>
      <c r="AE23" s="27">
        <f>IF($B23&lt;&gt;"Entry","",0)</f>
      </c>
      <c r="AF23" s="27">
        <f>IF($B23&lt;&gt;"Entry","",0)</f>
      </c>
      <c r="AG23" s="27">
        <f>IF($B23&lt;&gt;"Entry","",IF(OR(AD23=0,AB23="",AQ23="",AQ23&lt;=0),0,IF(AQ23&lt;=DATE(YEAR(AB23),MONTH(AB23)+1,7),0,ROUND(AD23*0.015*((YEAR(AQ23)-YEAR(AB23))*12+(MONTH(AQ23)-MONTH(AB23))+1),0))))</f>
      </c>
      <c r="AH23" s="27">
        <f>IF($B23&lt;&gt;"Entry","",0)</f>
      </c>
      <c r="AI23" s="28"/>
      <c r="AJ23" s="28"/>
      <c r="AK23" s="32"/>
      <c r="AL23" s="28"/>
      <c r="AM23" s="28"/>
      <c r="AN23" s="27">
        <f>IF($B23&lt;&gt;"Challan","",SUMIF('Q1 Data'!$D$4:$D$207,D23,'Q1 Data'!$AD$4:$AD$207)+SUMIF('Q1 Data'!$D$4:$D$207,D23,'Q1 Data'!$AG$4:$AG$207)+SUMIF('Q1 Data'!$D$4:$D$207,D23,'Q1 Data'!$AE$4:$AE$207)+SUMIF('Q2 Data'!$D$4:$D$207,D23,'Q2 Data'!$AD$4:$AD$207)+SUMIF('Q2 Data'!$D$4:$D$207,D23,'Q2 Data'!$AG$4:$AG$207)+SUMIF('Q2 Data'!$D$4:$D$207,D23,'Q2 Data'!$AE$4:$AE$207)+SUMIF('Q3 Data'!$D$4:$D$207,D23,'Q3 Data'!$AD$4:$AD$207)+SUMIF('Q3 Data'!$D$4:$D$207,D23,'Q3 Data'!$AG$4:$AG$207)+SUMIF('Q3 Data'!$D$4:$D$207,D23,'Q3 Data'!$AE$4:$AE$207)+SUMIF('Q4 Data'!$D$4:$D$207,D23,'Q4 Data'!$AD$4:$AD$207)+SUMIF('Q4 Data'!$D$4:$D$207,D23,'Q4 Data'!$AG$4:$AG$207)+SUMIF('Q4 Data'!$D$4:$D$207,D23,'Q4 Data'!$AE$4:$AE$207))</f>
      </c>
      <c r="AO23" s="27">
        <f>IF($B23&lt;&gt;"Challan","",P23-N23)</f>
      </c>
      <c r="AP23" s="27">
        <f>IF($B23&lt;&gt;"Challan","",MAX(0,AO23-AN23))</f>
      </c>
      <c r="AQ23" s="33">
        <f>IF($B23&lt;&gt;"Entry","",SUMPRODUCT(('Q1 Data'!$D$4:$D$207=D23)*('Q1 Data'!$B$4:$B$207="Challan")*'Q1 Data'!$F$4:$F$207)+SUMPRODUCT(('Q2 Data'!$D$4:$D$207=D23)*('Q2 Data'!$B$4:$B$207="Challan")*'Q2 Data'!$F$4:$F$207)+SUMPRODUCT(('Q3 Data'!$D$4:$D$207=D23)*('Q3 Data'!$B$4:$B$207="Challan")*'Q3 Data'!$F$4:$F$207)+SUMPRODUCT(('Q4 Data'!$D$4:$D$207=D23)*('Q4 Data'!$B$4:$B$207="Challan")*'Q4 Data'!$F$4:$F$207))</f>
      </c>
      <c r="AR23" s="34">
        <f>IF(OR($B23&lt;&gt;"Entry",Z23=""),FALSE,AND((SUMPRODUCT(('Q1 Data'!$D$4:$D$207=D23)*('Q1 Data'!$B$4:$B$207="Challan")*('Q1 Data'!$H$4:$H$207&lt;&gt;""))+SUMPRODUCT(('Q2 Data'!$D$4:$D$207=D23)*('Q2 Data'!$B$4:$B$207="Challan")*('Q2 Data'!$H$4:$H$207&lt;&gt;""))+SUMPRODUCT(('Q3 Data'!$D$4:$D$207=D23)*('Q3 Data'!$B$4:$B$207="Challan")*('Q3 Data'!$H$4:$H$207&lt;&gt;""))+SUMPRODUCT(('Q4 Data'!$D$4:$D$207=D23)*('Q4 Data'!$B$4:$B$207="Challan")*('Q4 Data'!$H$4:$H$207&lt;&gt;"")))&gt;0,(SUMPRODUCT(('Q1 Data'!$D$4:$D$207=D23)*('Q1 Data'!$B$4:$B$207="Challan")*('Q1 Data'!$H$4:$H$207=Z23))+SUMPRODUCT(('Q2 Data'!$D$4:$D$207=D23)*('Q2 Data'!$B$4:$B$207="Challan")*('Q2 Data'!$H$4:$H$207=Z23))+SUMPRODUCT(('Q3 Data'!$D$4:$D$207=D23)*('Q3 Data'!$B$4:$B$207="Challan")*('Q3 Data'!$H$4:$H$207=Z23))+SUMPRODUCT(('Q4 Data'!$D$4:$D$207=D23)*('Q4 Data'!$B$4:$B$207="Challan")*('Q4 Data'!$H$4:$H$207=Z23)))=0))</f>
      </c>
    </row>
    <row r="24" spans="1:44" x14ac:dyDescent="0.25">
      <c r="A24" s="20">
        <f>IF($B24="Entry",COUNTIF($B$4:$B24,"Entry"),"")</f>
      </c>
      <c r="B24" s="21"/>
      <c r="C24" s="22"/>
      <c r="D24" s="22"/>
      <c r="E24" s="23">
        <f>IF($B24&lt;&gt;"Challan","",IF(ROUND(AN24-AO24,2)&gt;0,"Over-applied",IF(ROUND(AN24-AO24,2)=0,"Fully Utilised","Unconsumed")))</f>
      </c>
      <c r="F24" s="24"/>
      <c r="G24" s="25"/>
      <c r="H24" s="25"/>
      <c r="I24" s="26"/>
      <c r="J24" s="26"/>
      <c r="K24" s="26"/>
      <c r="L24" s="26"/>
      <c r="M24" s="26"/>
      <c r="N24" s="26"/>
      <c r="O24" s="26"/>
      <c r="P24" s="27">
        <f>IF($B24&lt;&gt;"Challan","",I24+J24+K24+L24+M24+N24)</f>
      </c>
      <c r="Q24" s="25"/>
      <c r="R24" s="25"/>
      <c r="S24" s="25"/>
      <c r="T24" s="25"/>
      <c r="U24" s="25"/>
      <c r="V24" s="28"/>
      <c r="W24" s="28"/>
      <c r="X24" s="23">
        <f>IF($B24="Entry",IF(AND(LEN(TRIM(UPPER(W24)))=10,CODE(MID(TRIM(UPPER(W24)),1,1))&gt;=65,CODE(MID(TRIM(UPPER(W24)),1,1))&lt;=90,CODE(MID(TRIM(UPPER(W24)),2,1))&gt;=65,CODE(MID(TRIM(UPPER(W24)),2,1))&lt;=90,CODE(MID(TRIM(UPPER(W24)),3,1))&gt;=65,CODE(MID(TRIM(UPPER(W24)),3,1))&lt;=90,CODE(MID(TRIM(UPPER(W24)),4,1))&gt;=65,CODE(MID(TRIM(UPPER(W24)),4,1))&lt;=90,CODE(MID(TRIM(UPPER(W24)),5,1))&gt;=65,CODE(MID(TRIM(UPPER(W24)),5,1))&lt;=90,CODE(MID(TRIM(UPPER(W24)),10,1))&gt;=65,CODE(MID(TRIM(UPPER(W24)),10,1))&lt;=90,CODE(MID(TRIM(UPPER(W24)),6,1))&gt;=48,CODE(MID(TRIM(UPPER(W24)),6,1))&lt;=57,CODE(MID(TRIM(UPPER(W24)),7,1))&gt;=48,CODE(MID(TRIM(UPPER(W24)),7,1))&lt;=57,CODE(MID(TRIM(UPPER(W24)),8,1))&gt;=48,CODE(MID(TRIM(UPPER(W24)),8,1))&lt;=57,CODE(MID(TRIM(UPPER(W24)),9,1))&gt;=48,CODE(MID(TRIM(UPPER(W24)),9,1))&lt;=57),"N","Y"),IF($B24="Challan","",IF(W24&lt;&gt;"","◄ Set Row Type","")))</f>
      </c>
      <c r="Y24" s="23">
        <f>IF($B24="Entry",IF(LEN(W24)&lt;4,"",IF(UPPER(MID(W24,4,1))="P","Individual",IF(UPPER(MID(W24,4,1))="H","HUF",IF(UPPER(MID(W24,4,1))="C","Company",IF(UPPER(MID(W24,4,1))="F","Firm",IF(UPPER(MID(W24,4,1))="L","LLP",IF(UPPER(MID(W24,4,1))="T","Trust",IF(UPPER(MID(W24,4,1))="A","AOP","")))))))),IF($B24="Challan","",IF(W24&lt;&gt;"","◄ Set Row Type","")))</f>
      </c>
      <c r="Z24" s="28"/>
      <c r="AA24" s="29">
        <f>IF($B24&lt;&gt;"Entry","",IF(Z24="","",IF(X24="Y",SUMPRODUCT(('Rate Lookup'!$A$1:$A$37=Z24)*'Rate Lookup'!$D$1:$D$37),IF(OR(Y24="Individual",Y24="HUF"),SUMPRODUCT(('Rate Lookup'!$A$1:$A$37=Z24)*'Rate Lookup'!$B$1:$B$37),SUMPRODUCT(('Rate Lookup'!$A$1:$A$37=Z24)*'Rate Lookup'!$C$1:$C$37)))))</f>
      </c>
      <c r="AB24" s="30"/>
      <c r="AC24" s="31"/>
      <c r="AD24" s="27">
        <f>IF($B24&lt;&gt;"Entry","",ROUND(AC24*AA24/100,0))</f>
      </c>
      <c r="AE24" s="27">
        <f>IF($B24&lt;&gt;"Entry","",0)</f>
      </c>
      <c r="AF24" s="27">
        <f>IF($B24&lt;&gt;"Entry","",0)</f>
      </c>
      <c r="AG24" s="27">
        <f>IF($B24&lt;&gt;"Entry","",IF(OR(AD24=0,AB24="",AQ24="",AQ24&lt;=0),0,IF(AQ24&lt;=DATE(YEAR(AB24),MONTH(AB24)+1,7),0,ROUND(AD24*0.015*((YEAR(AQ24)-YEAR(AB24))*12+(MONTH(AQ24)-MONTH(AB24))+1),0))))</f>
      </c>
      <c r="AH24" s="27">
        <f>IF($B24&lt;&gt;"Entry","",0)</f>
      </c>
      <c r="AI24" s="28"/>
      <c r="AJ24" s="28"/>
      <c r="AK24" s="32"/>
      <c r="AL24" s="28"/>
      <c r="AM24" s="28"/>
      <c r="AN24" s="27">
        <f>IF($B24&lt;&gt;"Challan","",SUMIF('Q1 Data'!$D$4:$D$207,D24,'Q1 Data'!$AD$4:$AD$207)+SUMIF('Q1 Data'!$D$4:$D$207,D24,'Q1 Data'!$AG$4:$AG$207)+SUMIF('Q1 Data'!$D$4:$D$207,D24,'Q1 Data'!$AE$4:$AE$207)+SUMIF('Q2 Data'!$D$4:$D$207,D24,'Q2 Data'!$AD$4:$AD$207)+SUMIF('Q2 Data'!$D$4:$D$207,D24,'Q2 Data'!$AG$4:$AG$207)+SUMIF('Q2 Data'!$D$4:$D$207,D24,'Q2 Data'!$AE$4:$AE$207)+SUMIF('Q3 Data'!$D$4:$D$207,D24,'Q3 Data'!$AD$4:$AD$207)+SUMIF('Q3 Data'!$D$4:$D$207,D24,'Q3 Data'!$AG$4:$AG$207)+SUMIF('Q3 Data'!$D$4:$D$207,D24,'Q3 Data'!$AE$4:$AE$207)+SUMIF('Q4 Data'!$D$4:$D$207,D24,'Q4 Data'!$AD$4:$AD$207)+SUMIF('Q4 Data'!$D$4:$D$207,D24,'Q4 Data'!$AG$4:$AG$207)+SUMIF('Q4 Data'!$D$4:$D$207,D24,'Q4 Data'!$AE$4:$AE$207))</f>
      </c>
      <c r="AO24" s="27">
        <f>IF($B24&lt;&gt;"Challan","",P24-N24)</f>
      </c>
      <c r="AP24" s="27">
        <f>IF($B24&lt;&gt;"Challan","",MAX(0,AO24-AN24))</f>
      </c>
      <c r="AQ24" s="33">
        <f>IF($B24&lt;&gt;"Entry","",SUMPRODUCT(('Q1 Data'!$D$4:$D$207=D24)*('Q1 Data'!$B$4:$B$207="Challan")*'Q1 Data'!$F$4:$F$207)+SUMPRODUCT(('Q2 Data'!$D$4:$D$207=D24)*('Q2 Data'!$B$4:$B$207="Challan")*'Q2 Data'!$F$4:$F$207)+SUMPRODUCT(('Q3 Data'!$D$4:$D$207=D24)*('Q3 Data'!$B$4:$B$207="Challan")*'Q3 Data'!$F$4:$F$207)+SUMPRODUCT(('Q4 Data'!$D$4:$D$207=D24)*('Q4 Data'!$B$4:$B$207="Challan")*'Q4 Data'!$F$4:$F$207))</f>
      </c>
      <c r="AR24" s="34">
        <f>IF(OR($B24&lt;&gt;"Entry",Z24=""),FALSE,AND((SUMPRODUCT(('Q1 Data'!$D$4:$D$207=D24)*('Q1 Data'!$B$4:$B$207="Challan")*('Q1 Data'!$H$4:$H$207&lt;&gt;""))+SUMPRODUCT(('Q2 Data'!$D$4:$D$207=D24)*('Q2 Data'!$B$4:$B$207="Challan")*('Q2 Data'!$H$4:$H$207&lt;&gt;""))+SUMPRODUCT(('Q3 Data'!$D$4:$D$207=D24)*('Q3 Data'!$B$4:$B$207="Challan")*('Q3 Data'!$H$4:$H$207&lt;&gt;""))+SUMPRODUCT(('Q4 Data'!$D$4:$D$207=D24)*('Q4 Data'!$B$4:$B$207="Challan")*('Q4 Data'!$H$4:$H$207&lt;&gt;"")))&gt;0,(SUMPRODUCT(('Q1 Data'!$D$4:$D$207=D24)*('Q1 Data'!$B$4:$B$207="Challan")*('Q1 Data'!$H$4:$H$207=Z24))+SUMPRODUCT(('Q2 Data'!$D$4:$D$207=D24)*('Q2 Data'!$B$4:$B$207="Challan")*('Q2 Data'!$H$4:$H$207=Z24))+SUMPRODUCT(('Q3 Data'!$D$4:$D$207=D24)*('Q3 Data'!$B$4:$B$207="Challan")*('Q3 Data'!$H$4:$H$207=Z24))+SUMPRODUCT(('Q4 Data'!$D$4:$D$207=D24)*('Q4 Data'!$B$4:$B$207="Challan")*('Q4 Data'!$H$4:$H$207=Z24)))=0))</f>
      </c>
    </row>
    <row r="25" spans="1:44" x14ac:dyDescent="0.25">
      <c r="A25" s="20">
        <f>IF($B25="Entry",COUNTIF($B$4:$B25,"Entry"),"")</f>
      </c>
      <c r="B25" s="21"/>
      <c r="C25" s="22"/>
      <c r="D25" s="22"/>
      <c r="E25" s="23">
        <f>IF($B25&lt;&gt;"Challan","",IF(ROUND(AN25-AO25,2)&gt;0,"Over-applied",IF(ROUND(AN25-AO25,2)=0,"Fully Utilised","Unconsumed")))</f>
      </c>
      <c r="F25" s="24"/>
      <c r="G25" s="25"/>
      <c r="H25" s="25"/>
      <c r="I25" s="26"/>
      <c r="J25" s="26"/>
      <c r="K25" s="26"/>
      <c r="L25" s="26"/>
      <c r="M25" s="26"/>
      <c r="N25" s="26"/>
      <c r="O25" s="26"/>
      <c r="P25" s="27">
        <f>IF($B25&lt;&gt;"Challan","",I25+J25+K25+L25+M25+N25)</f>
      </c>
      <c r="Q25" s="25"/>
      <c r="R25" s="25"/>
      <c r="S25" s="25"/>
      <c r="T25" s="25"/>
      <c r="U25" s="25"/>
      <c r="V25" s="28"/>
      <c r="W25" s="28"/>
      <c r="X25" s="23">
        <f>IF($B25="Entry",IF(AND(LEN(TRIM(UPPER(W25)))=10,CODE(MID(TRIM(UPPER(W25)),1,1))&gt;=65,CODE(MID(TRIM(UPPER(W25)),1,1))&lt;=90,CODE(MID(TRIM(UPPER(W25)),2,1))&gt;=65,CODE(MID(TRIM(UPPER(W25)),2,1))&lt;=90,CODE(MID(TRIM(UPPER(W25)),3,1))&gt;=65,CODE(MID(TRIM(UPPER(W25)),3,1))&lt;=90,CODE(MID(TRIM(UPPER(W25)),4,1))&gt;=65,CODE(MID(TRIM(UPPER(W25)),4,1))&lt;=90,CODE(MID(TRIM(UPPER(W25)),5,1))&gt;=65,CODE(MID(TRIM(UPPER(W25)),5,1))&lt;=90,CODE(MID(TRIM(UPPER(W25)),10,1))&gt;=65,CODE(MID(TRIM(UPPER(W25)),10,1))&lt;=90,CODE(MID(TRIM(UPPER(W25)),6,1))&gt;=48,CODE(MID(TRIM(UPPER(W25)),6,1))&lt;=57,CODE(MID(TRIM(UPPER(W25)),7,1))&gt;=48,CODE(MID(TRIM(UPPER(W25)),7,1))&lt;=57,CODE(MID(TRIM(UPPER(W25)),8,1))&gt;=48,CODE(MID(TRIM(UPPER(W25)),8,1))&lt;=57,CODE(MID(TRIM(UPPER(W25)),9,1))&gt;=48,CODE(MID(TRIM(UPPER(W25)),9,1))&lt;=57),"N","Y"),IF($B25="Challan","",IF(W25&lt;&gt;"","◄ Set Row Type","")))</f>
      </c>
      <c r="Y25" s="23">
        <f>IF($B25="Entry",IF(LEN(W25)&lt;4,"",IF(UPPER(MID(W25,4,1))="P","Individual",IF(UPPER(MID(W25,4,1))="H","HUF",IF(UPPER(MID(W25,4,1))="C","Company",IF(UPPER(MID(W25,4,1))="F","Firm",IF(UPPER(MID(W25,4,1))="L","LLP",IF(UPPER(MID(W25,4,1))="T","Trust",IF(UPPER(MID(W25,4,1))="A","AOP","")))))))),IF($B25="Challan","",IF(W25&lt;&gt;"","◄ Set Row Type","")))</f>
      </c>
      <c r="Z25" s="28"/>
      <c r="AA25" s="29">
        <f>IF($B25&lt;&gt;"Entry","",IF(Z25="","",IF(X25="Y",SUMPRODUCT(('Rate Lookup'!$A$1:$A$37=Z25)*'Rate Lookup'!$D$1:$D$37),IF(OR(Y25="Individual",Y25="HUF"),SUMPRODUCT(('Rate Lookup'!$A$1:$A$37=Z25)*'Rate Lookup'!$B$1:$B$37),SUMPRODUCT(('Rate Lookup'!$A$1:$A$37=Z25)*'Rate Lookup'!$C$1:$C$37)))))</f>
      </c>
      <c r="AB25" s="30"/>
      <c r="AC25" s="31"/>
      <c r="AD25" s="27">
        <f>IF($B25&lt;&gt;"Entry","",ROUND(AC25*AA25/100,0))</f>
      </c>
      <c r="AE25" s="27">
        <f>IF($B25&lt;&gt;"Entry","",0)</f>
      </c>
      <c r="AF25" s="27">
        <f>IF($B25&lt;&gt;"Entry","",0)</f>
      </c>
      <c r="AG25" s="27">
        <f>IF($B25&lt;&gt;"Entry","",IF(OR(AD25=0,AB25="",AQ25="",AQ25&lt;=0),0,IF(AQ25&lt;=DATE(YEAR(AB25),MONTH(AB25)+1,7),0,ROUND(AD25*0.015*((YEAR(AQ25)-YEAR(AB25))*12+(MONTH(AQ25)-MONTH(AB25))+1),0))))</f>
      </c>
      <c r="AH25" s="27">
        <f>IF($B25&lt;&gt;"Entry","",0)</f>
      </c>
      <c r="AI25" s="28"/>
      <c r="AJ25" s="28"/>
      <c r="AK25" s="32"/>
      <c r="AL25" s="28"/>
      <c r="AM25" s="28"/>
      <c r="AN25" s="27">
        <f>IF($B25&lt;&gt;"Challan","",SUMIF('Q1 Data'!$D$4:$D$207,D25,'Q1 Data'!$AD$4:$AD$207)+SUMIF('Q1 Data'!$D$4:$D$207,D25,'Q1 Data'!$AG$4:$AG$207)+SUMIF('Q1 Data'!$D$4:$D$207,D25,'Q1 Data'!$AE$4:$AE$207)+SUMIF('Q2 Data'!$D$4:$D$207,D25,'Q2 Data'!$AD$4:$AD$207)+SUMIF('Q2 Data'!$D$4:$D$207,D25,'Q2 Data'!$AG$4:$AG$207)+SUMIF('Q2 Data'!$D$4:$D$207,D25,'Q2 Data'!$AE$4:$AE$207)+SUMIF('Q3 Data'!$D$4:$D$207,D25,'Q3 Data'!$AD$4:$AD$207)+SUMIF('Q3 Data'!$D$4:$D$207,D25,'Q3 Data'!$AG$4:$AG$207)+SUMIF('Q3 Data'!$D$4:$D$207,D25,'Q3 Data'!$AE$4:$AE$207)+SUMIF('Q4 Data'!$D$4:$D$207,D25,'Q4 Data'!$AD$4:$AD$207)+SUMIF('Q4 Data'!$D$4:$D$207,D25,'Q4 Data'!$AG$4:$AG$207)+SUMIF('Q4 Data'!$D$4:$D$207,D25,'Q4 Data'!$AE$4:$AE$207))</f>
      </c>
      <c r="AO25" s="27">
        <f>IF($B25&lt;&gt;"Challan","",P25-N25)</f>
      </c>
      <c r="AP25" s="27">
        <f>IF($B25&lt;&gt;"Challan","",MAX(0,AO25-AN25))</f>
      </c>
      <c r="AQ25" s="33">
        <f>IF($B25&lt;&gt;"Entry","",SUMPRODUCT(('Q1 Data'!$D$4:$D$207=D25)*('Q1 Data'!$B$4:$B$207="Challan")*'Q1 Data'!$F$4:$F$207)+SUMPRODUCT(('Q2 Data'!$D$4:$D$207=D25)*('Q2 Data'!$B$4:$B$207="Challan")*'Q2 Data'!$F$4:$F$207)+SUMPRODUCT(('Q3 Data'!$D$4:$D$207=D25)*('Q3 Data'!$B$4:$B$207="Challan")*'Q3 Data'!$F$4:$F$207)+SUMPRODUCT(('Q4 Data'!$D$4:$D$207=D25)*('Q4 Data'!$B$4:$B$207="Challan")*'Q4 Data'!$F$4:$F$207))</f>
      </c>
      <c r="AR25" s="34">
        <f>IF(OR($B25&lt;&gt;"Entry",Z25=""),FALSE,AND((SUMPRODUCT(('Q1 Data'!$D$4:$D$207=D25)*('Q1 Data'!$B$4:$B$207="Challan")*('Q1 Data'!$H$4:$H$207&lt;&gt;""))+SUMPRODUCT(('Q2 Data'!$D$4:$D$207=D25)*('Q2 Data'!$B$4:$B$207="Challan")*('Q2 Data'!$H$4:$H$207&lt;&gt;""))+SUMPRODUCT(('Q3 Data'!$D$4:$D$207=D25)*('Q3 Data'!$B$4:$B$207="Challan")*('Q3 Data'!$H$4:$H$207&lt;&gt;""))+SUMPRODUCT(('Q4 Data'!$D$4:$D$207=D25)*('Q4 Data'!$B$4:$B$207="Challan")*('Q4 Data'!$H$4:$H$207&lt;&gt;"")))&gt;0,(SUMPRODUCT(('Q1 Data'!$D$4:$D$207=D25)*('Q1 Data'!$B$4:$B$207="Challan")*('Q1 Data'!$H$4:$H$207=Z25))+SUMPRODUCT(('Q2 Data'!$D$4:$D$207=D25)*('Q2 Data'!$B$4:$B$207="Challan")*('Q2 Data'!$H$4:$H$207=Z25))+SUMPRODUCT(('Q3 Data'!$D$4:$D$207=D25)*('Q3 Data'!$B$4:$B$207="Challan")*('Q3 Data'!$H$4:$H$207=Z25))+SUMPRODUCT(('Q4 Data'!$D$4:$D$207=D25)*('Q4 Data'!$B$4:$B$207="Challan")*('Q4 Data'!$H$4:$H$207=Z25)))=0))</f>
      </c>
    </row>
    <row r="26" spans="1:44" x14ac:dyDescent="0.25">
      <c r="A26" s="20">
        <f>IF($B26="Entry",COUNTIF($B$4:$B26,"Entry"),"")</f>
      </c>
      <c r="B26" s="21"/>
      <c r="C26" s="22"/>
      <c r="D26" s="22"/>
      <c r="E26" s="23">
        <f>IF($B26&lt;&gt;"Challan","",IF(ROUND(AN26-AO26,2)&gt;0,"Over-applied",IF(ROUND(AN26-AO26,2)=0,"Fully Utilised","Unconsumed")))</f>
      </c>
      <c r="F26" s="24"/>
      <c r="G26" s="25"/>
      <c r="H26" s="25"/>
      <c r="I26" s="26"/>
      <c r="J26" s="26"/>
      <c r="K26" s="26"/>
      <c r="L26" s="26"/>
      <c r="M26" s="26"/>
      <c r="N26" s="26"/>
      <c r="O26" s="26"/>
      <c r="P26" s="27">
        <f>IF($B26&lt;&gt;"Challan","",I26+J26+K26+L26+M26+N26)</f>
      </c>
      <c r="Q26" s="25"/>
      <c r="R26" s="25"/>
      <c r="S26" s="25"/>
      <c r="T26" s="25"/>
      <c r="U26" s="25"/>
      <c r="V26" s="28"/>
      <c r="W26" s="28"/>
      <c r="X26" s="23">
        <f>IF($B26="Entry",IF(AND(LEN(TRIM(UPPER(W26)))=10,CODE(MID(TRIM(UPPER(W26)),1,1))&gt;=65,CODE(MID(TRIM(UPPER(W26)),1,1))&lt;=90,CODE(MID(TRIM(UPPER(W26)),2,1))&gt;=65,CODE(MID(TRIM(UPPER(W26)),2,1))&lt;=90,CODE(MID(TRIM(UPPER(W26)),3,1))&gt;=65,CODE(MID(TRIM(UPPER(W26)),3,1))&lt;=90,CODE(MID(TRIM(UPPER(W26)),4,1))&gt;=65,CODE(MID(TRIM(UPPER(W26)),4,1))&lt;=90,CODE(MID(TRIM(UPPER(W26)),5,1))&gt;=65,CODE(MID(TRIM(UPPER(W26)),5,1))&lt;=90,CODE(MID(TRIM(UPPER(W26)),10,1))&gt;=65,CODE(MID(TRIM(UPPER(W26)),10,1))&lt;=90,CODE(MID(TRIM(UPPER(W26)),6,1))&gt;=48,CODE(MID(TRIM(UPPER(W26)),6,1))&lt;=57,CODE(MID(TRIM(UPPER(W26)),7,1))&gt;=48,CODE(MID(TRIM(UPPER(W26)),7,1))&lt;=57,CODE(MID(TRIM(UPPER(W26)),8,1))&gt;=48,CODE(MID(TRIM(UPPER(W26)),8,1))&lt;=57,CODE(MID(TRIM(UPPER(W26)),9,1))&gt;=48,CODE(MID(TRIM(UPPER(W26)),9,1))&lt;=57),"N","Y"),IF($B26="Challan","",IF(W26&lt;&gt;"","◄ Set Row Type","")))</f>
      </c>
      <c r="Y26" s="23">
        <f>IF($B26="Entry",IF(LEN(W26)&lt;4,"",IF(UPPER(MID(W26,4,1))="P","Individual",IF(UPPER(MID(W26,4,1))="H","HUF",IF(UPPER(MID(W26,4,1))="C","Company",IF(UPPER(MID(W26,4,1))="F","Firm",IF(UPPER(MID(W26,4,1))="L","LLP",IF(UPPER(MID(W26,4,1))="T","Trust",IF(UPPER(MID(W26,4,1))="A","AOP","")))))))),IF($B26="Challan","",IF(W26&lt;&gt;"","◄ Set Row Type","")))</f>
      </c>
      <c r="Z26" s="28"/>
      <c r="AA26" s="29">
        <f>IF($B26&lt;&gt;"Entry","",IF(Z26="","",IF(X26="Y",SUMPRODUCT(('Rate Lookup'!$A$1:$A$37=Z26)*'Rate Lookup'!$D$1:$D$37),IF(OR(Y26="Individual",Y26="HUF"),SUMPRODUCT(('Rate Lookup'!$A$1:$A$37=Z26)*'Rate Lookup'!$B$1:$B$37),SUMPRODUCT(('Rate Lookup'!$A$1:$A$37=Z26)*'Rate Lookup'!$C$1:$C$37)))))</f>
      </c>
      <c r="AB26" s="30"/>
      <c r="AC26" s="31"/>
      <c r="AD26" s="27">
        <f>IF($B26&lt;&gt;"Entry","",ROUND(AC26*AA26/100,0))</f>
      </c>
      <c r="AE26" s="27">
        <f>IF($B26&lt;&gt;"Entry","",0)</f>
      </c>
      <c r="AF26" s="27">
        <f>IF($B26&lt;&gt;"Entry","",0)</f>
      </c>
      <c r="AG26" s="27">
        <f>IF($B26&lt;&gt;"Entry","",IF(OR(AD26=0,AB26="",AQ26="",AQ26&lt;=0),0,IF(AQ26&lt;=DATE(YEAR(AB26),MONTH(AB26)+1,7),0,ROUND(AD26*0.015*((YEAR(AQ26)-YEAR(AB26))*12+(MONTH(AQ26)-MONTH(AB26))+1),0))))</f>
      </c>
      <c r="AH26" s="27">
        <f>IF($B26&lt;&gt;"Entry","",0)</f>
      </c>
      <c r="AI26" s="28"/>
      <c r="AJ26" s="28"/>
      <c r="AK26" s="32"/>
      <c r="AL26" s="28"/>
      <c r="AM26" s="28"/>
      <c r="AN26" s="27">
        <f>IF($B26&lt;&gt;"Challan","",SUMIF('Q1 Data'!$D$4:$D$207,D26,'Q1 Data'!$AD$4:$AD$207)+SUMIF('Q1 Data'!$D$4:$D$207,D26,'Q1 Data'!$AG$4:$AG$207)+SUMIF('Q1 Data'!$D$4:$D$207,D26,'Q1 Data'!$AE$4:$AE$207)+SUMIF('Q2 Data'!$D$4:$D$207,D26,'Q2 Data'!$AD$4:$AD$207)+SUMIF('Q2 Data'!$D$4:$D$207,D26,'Q2 Data'!$AG$4:$AG$207)+SUMIF('Q2 Data'!$D$4:$D$207,D26,'Q2 Data'!$AE$4:$AE$207)+SUMIF('Q3 Data'!$D$4:$D$207,D26,'Q3 Data'!$AD$4:$AD$207)+SUMIF('Q3 Data'!$D$4:$D$207,D26,'Q3 Data'!$AG$4:$AG$207)+SUMIF('Q3 Data'!$D$4:$D$207,D26,'Q3 Data'!$AE$4:$AE$207)+SUMIF('Q4 Data'!$D$4:$D$207,D26,'Q4 Data'!$AD$4:$AD$207)+SUMIF('Q4 Data'!$D$4:$D$207,D26,'Q4 Data'!$AG$4:$AG$207)+SUMIF('Q4 Data'!$D$4:$D$207,D26,'Q4 Data'!$AE$4:$AE$207))</f>
      </c>
      <c r="AO26" s="27">
        <f>IF($B26&lt;&gt;"Challan","",P26-N26)</f>
      </c>
      <c r="AP26" s="27">
        <f>IF($B26&lt;&gt;"Challan","",MAX(0,AO26-AN26))</f>
      </c>
      <c r="AQ26" s="33">
        <f>IF($B26&lt;&gt;"Entry","",SUMPRODUCT(('Q1 Data'!$D$4:$D$207=D26)*('Q1 Data'!$B$4:$B$207="Challan")*'Q1 Data'!$F$4:$F$207)+SUMPRODUCT(('Q2 Data'!$D$4:$D$207=D26)*('Q2 Data'!$B$4:$B$207="Challan")*'Q2 Data'!$F$4:$F$207)+SUMPRODUCT(('Q3 Data'!$D$4:$D$207=D26)*('Q3 Data'!$B$4:$B$207="Challan")*'Q3 Data'!$F$4:$F$207)+SUMPRODUCT(('Q4 Data'!$D$4:$D$207=D26)*('Q4 Data'!$B$4:$B$207="Challan")*'Q4 Data'!$F$4:$F$207))</f>
      </c>
      <c r="AR26" s="34">
        <f>IF(OR($B26&lt;&gt;"Entry",Z26=""),FALSE,AND((SUMPRODUCT(('Q1 Data'!$D$4:$D$207=D26)*('Q1 Data'!$B$4:$B$207="Challan")*('Q1 Data'!$H$4:$H$207&lt;&gt;""))+SUMPRODUCT(('Q2 Data'!$D$4:$D$207=D26)*('Q2 Data'!$B$4:$B$207="Challan")*('Q2 Data'!$H$4:$H$207&lt;&gt;""))+SUMPRODUCT(('Q3 Data'!$D$4:$D$207=D26)*('Q3 Data'!$B$4:$B$207="Challan")*('Q3 Data'!$H$4:$H$207&lt;&gt;""))+SUMPRODUCT(('Q4 Data'!$D$4:$D$207=D26)*('Q4 Data'!$B$4:$B$207="Challan")*('Q4 Data'!$H$4:$H$207&lt;&gt;"")))&gt;0,(SUMPRODUCT(('Q1 Data'!$D$4:$D$207=D26)*('Q1 Data'!$B$4:$B$207="Challan")*('Q1 Data'!$H$4:$H$207=Z26))+SUMPRODUCT(('Q2 Data'!$D$4:$D$207=D26)*('Q2 Data'!$B$4:$B$207="Challan")*('Q2 Data'!$H$4:$H$207=Z26))+SUMPRODUCT(('Q3 Data'!$D$4:$D$207=D26)*('Q3 Data'!$B$4:$B$207="Challan")*('Q3 Data'!$H$4:$H$207=Z26))+SUMPRODUCT(('Q4 Data'!$D$4:$D$207=D26)*('Q4 Data'!$B$4:$B$207="Challan")*('Q4 Data'!$H$4:$H$207=Z26)))=0))</f>
      </c>
    </row>
    <row r="27" spans="1:44" x14ac:dyDescent="0.25">
      <c r="A27" s="20">
        <f>IF($B27="Entry",COUNTIF($B$4:$B27,"Entry"),"")</f>
      </c>
      <c r="B27" s="21"/>
      <c r="C27" s="22"/>
      <c r="D27" s="22"/>
      <c r="E27" s="23">
        <f>IF($B27&lt;&gt;"Challan","",IF(ROUND(AN27-AO27,2)&gt;0,"Over-applied",IF(ROUND(AN27-AO27,2)=0,"Fully Utilised","Unconsumed")))</f>
      </c>
      <c r="F27" s="24"/>
      <c r="G27" s="25"/>
      <c r="H27" s="25"/>
      <c r="I27" s="26"/>
      <c r="J27" s="26"/>
      <c r="K27" s="26"/>
      <c r="L27" s="26"/>
      <c r="M27" s="26"/>
      <c r="N27" s="26"/>
      <c r="O27" s="26"/>
      <c r="P27" s="27">
        <f>IF($B27&lt;&gt;"Challan","",I27+J27+K27+L27+M27+N27)</f>
      </c>
      <c r="Q27" s="25"/>
      <c r="R27" s="25"/>
      <c r="S27" s="25"/>
      <c r="T27" s="25"/>
      <c r="U27" s="25"/>
      <c r="V27" s="28"/>
      <c r="W27" s="28"/>
      <c r="X27" s="23">
        <f>IF($B27="Entry",IF(AND(LEN(TRIM(UPPER(W27)))=10,CODE(MID(TRIM(UPPER(W27)),1,1))&gt;=65,CODE(MID(TRIM(UPPER(W27)),1,1))&lt;=90,CODE(MID(TRIM(UPPER(W27)),2,1))&gt;=65,CODE(MID(TRIM(UPPER(W27)),2,1))&lt;=90,CODE(MID(TRIM(UPPER(W27)),3,1))&gt;=65,CODE(MID(TRIM(UPPER(W27)),3,1))&lt;=90,CODE(MID(TRIM(UPPER(W27)),4,1))&gt;=65,CODE(MID(TRIM(UPPER(W27)),4,1))&lt;=90,CODE(MID(TRIM(UPPER(W27)),5,1))&gt;=65,CODE(MID(TRIM(UPPER(W27)),5,1))&lt;=90,CODE(MID(TRIM(UPPER(W27)),10,1))&gt;=65,CODE(MID(TRIM(UPPER(W27)),10,1))&lt;=90,CODE(MID(TRIM(UPPER(W27)),6,1))&gt;=48,CODE(MID(TRIM(UPPER(W27)),6,1))&lt;=57,CODE(MID(TRIM(UPPER(W27)),7,1))&gt;=48,CODE(MID(TRIM(UPPER(W27)),7,1))&lt;=57,CODE(MID(TRIM(UPPER(W27)),8,1))&gt;=48,CODE(MID(TRIM(UPPER(W27)),8,1))&lt;=57,CODE(MID(TRIM(UPPER(W27)),9,1))&gt;=48,CODE(MID(TRIM(UPPER(W27)),9,1))&lt;=57),"N","Y"),IF($B27="Challan","",IF(W27&lt;&gt;"","◄ Set Row Type","")))</f>
      </c>
      <c r="Y27" s="23">
        <f>IF($B27="Entry",IF(LEN(W27)&lt;4,"",IF(UPPER(MID(W27,4,1))="P","Individual",IF(UPPER(MID(W27,4,1))="H","HUF",IF(UPPER(MID(W27,4,1))="C","Company",IF(UPPER(MID(W27,4,1))="F","Firm",IF(UPPER(MID(W27,4,1))="L","LLP",IF(UPPER(MID(W27,4,1))="T","Trust",IF(UPPER(MID(W27,4,1))="A","AOP","")))))))),IF($B27="Challan","",IF(W27&lt;&gt;"","◄ Set Row Type","")))</f>
      </c>
      <c r="Z27" s="28"/>
      <c r="AA27" s="29">
        <f>IF($B27&lt;&gt;"Entry","",IF(Z27="","",IF(X27="Y",SUMPRODUCT(('Rate Lookup'!$A$1:$A$37=Z27)*'Rate Lookup'!$D$1:$D$37),IF(OR(Y27="Individual",Y27="HUF"),SUMPRODUCT(('Rate Lookup'!$A$1:$A$37=Z27)*'Rate Lookup'!$B$1:$B$37),SUMPRODUCT(('Rate Lookup'!$A$1:$A$37=Z27)*'Rate Lookup'!$C$1:$C$37)))))</f>
      </c>
      <c r="AB27" s="30"/>
      <c r="AC27" s="31"/>
      <c r="AD27" s="27">
        <f>IF($B27&lt;&gt;"Entry","",ROUND(AC27*AA27/100,0))</f>
      </c>
      <c r="AE27" s="27">
        <f>IF($B27&lt;&gt;"Entry","",0)</f>
      </c>
      <c r="AF27" s="27">
        <f>IF($B27&lt;&gt;"Entry","",0)</f>
      </c>
      <c r="AG27" s="27">
        <f>IF($B27&lt;&gt;"Entry","",IF(OR(AD27=0,AB27="",AQ27="",AQ27&lt;=0),0,IF(AQ27&lt;=DATE(YEAR(AB27),MONTH(AB27)+1,7),0,ROUND(AD27*0.015*((YEAR(AQ27)-YEAR(AB27))*12+(MONTH(AQ27)-MONTH(AB27))+1),0))))</f>
      </c>
      <c r="AH27" s="27">
        <f>IF($B27&lt;&gt;"Entry","",0)</f>
      </c>
      <c r="AI27" s="28"/>
      <c r="AJ27" s="28"/>
      <c r="AK27" s="32"/>
      <c r="AL27" s="28"/>
      <c r="AM27" s="28"/>
      <c r="AN27" s="27">
        <f>IF($B27&lt;&gt;"Challan","",SUMIF('Q1 Data'!$D$4:$D$207,D27,'Q1 Data'!$AD$4:$AD$207)+SUMIF('Q1 Data'!$D$4:$D$207,D27,'Q1 Data'!$AG$4:$AG$207)+SUMIF('Q1 Data'!$D$4:$D$207,D27,'Q1 Data'!$AE$4:$AE$207)+SUMIF('Q2 Data'!$D$4:$D$207,D27,'Q2 Data'!$AD$4:$AD$207)+SUMIF('Q2 Data'!$D$4:$D$207,D27,'Q2 Data'!$AG$4:$AG$207)+SUMIF('Q2 Data'!$D$4:$D$207,D27,'Q2 Data'!$AE$4:$AE$207)+SUMIF('Q3 Data'!$D$4:$D$207,D27,'Q3 Data'!$AD$4:$AD$207)+SUMIF('Q3 Data'!$D$4:$D$207,D27,'Q3 Data'!$AG$4:$AG$207)+SUMIF('Q3 Data'!$D$4:$D$207,D27,'Q3 Data'!$AE$4:$AE$207)+SUMIF('Q4 Data'!$D$4:$D$207,D27,'Q4 Data'!$AD$4:$AD$207)+SUMIF('Q4 Data'!$D$4:$D$207,D27,'Q4 Data'!$AG$4:$AG$207)+SUMIF('Q4 Data'!$D$4:$D$207,D27,'Q4 Data'!$AE$4:$AE$207))</f>
      </c>
      <c r="AO27" s="27">
        <f>IF($B27&lt;&gt;"Challan","",P27-N27)</f>
      </c>
      <c r="AP27" s="27">
        <f>IF($B27&lt;&gt;"Challan","",MAX(0,AO27-AN27))</f>
      </c>
      <c r="AQ27" s="33">
        <f>IF($B27&lt;&gt;"Entry","",SUMPRODUCT(('Q1 Data'!$D$4:$D$207=D27)*('Q1 Data'!$B$4:$B$207="Challan")*'Q1 Data'!$F$4:$F$207)+SUMPRODUCT(('Q2 Data'!$D$4:$D$207=D27)*('Q2 Data'!$B$4:$B$207="Challan")*'Q2 Data'!$F$4:$F$207)+SUMPRODUCT(('Q3 Data'!$D$4:$D$207=D27)*('Q3 Data'!$B$4:$B$207="Challan")*'Q3 Data'!$F$4:$F$207)+SUMPRODUCT(('Q4 Data'!$D$4:$D$207=D27)*('Q4 Data'!$B$4:$B$207="Challan")*'Q4 Data'!$F$4:$F$207))</f>
      </c>
      <c r="AR27" s="34">
        <f>IF(OR($B27&lt;&gt;"Entry",Z27=""),FALSE,AND((SUMPRODUCT(('Q1 Data'!$D$4:$D$207=D27)*('Q1 Data'!$B$4:$B$207="Challan")*('Q1 Data'!$H$4:$H$207&lt;&gt;""))+SUMPRODUCT(('Q2 Data'!$D$4:$D$207=D27)*('Q2 Data'!$B$4:$B$207="Challan")*('Q2 Data'!$H$4:$H$207&lt;&gt;""))+SUMPRODUCT(('Q3 Data'!$D$4:$D$207=D27)*('Q3 Data'!$B$4:$B$207="Challan")*('Q3 Data'!$H$4:$H$207&lt;&gt;""))+SUMPRODUCT(('Q4 Data'!$D$4:$D$207=D27)*('Q4 Data'!$B$4:$B$207="Challan")*('Q4 Data'!$H$4:$H$207&lt;&gt;"")))&gt;0,(SUMPRODUCT(('Q1 Data'!$D$4:$D$207=D27)*('Q1 Data'!$B$4:$B$207="Challan")*('Q1 Data'!$H$4:$H$207=Z27))+SUMPRODUCT(('Q2 Data'!$D$4:$D$207=D27)*('Q2 Data'!$B$4:$B$207="Challan")*('Q2 Data'!$H$4:$H$207=Z27))+SUMPRODUCT(('Q3 Data'!$D$4:$D$207=D27)*('Q3 Data'!$B$4:$B$207="Challan")*('Q3 Data'!$H$4:$H$207=Z27))+SUMPRODUCT(('Q4 Data'!$D$4:$D$207=D27)*('Q4 Data'!$B$4:$B$207="Challan")*('Q4 Data'!$H$4:$H$207=Z27)))=0))</f>
      </c>
    </row>
    <row r="28" spans="1:44" x14ac:dyDescent="0.25">
      <c r="A28" s="20">
        <f>IF($B28="Entry",COUNTIF($B$4:$B28,"Entry"),"")</f>
      </c>
      <c r="B28" s="21"/>
      <c r="C28" s="22"/>
      <c r="D28" s="22"/>
      <c r="E28" s="23">
        <f>IF($B28&lt;&gt;"Challan","",IF(ROUND(AN28-AO28,2)&gt;0,"Over-applied",IF(ROUND(AN28-AO28,2)=0,"Fully Utilised","Unconsumed")))</f>
      </c>
      <c r="F28" s="24"/>
      <c r="G28" s="25"/>
      <c r="H28" s="25"/>
      <c r="I28" s="26"/>
      <c r="J28" s="26"/>
      <c r="K28" s="26"/>
      <c r="L28" s="26"/>
      <c r="M28" s="26"/>
      <c r="N28" s="26"/>
      <c r="O28" s="26"/>
      <c r="P28" s="27">
        <f>IF($B28&lt;&gt;"Challan","",I28+J28+K28+L28+M28+N28)</f>
      </c>
      <c r="Q28" s="25"/>
      <c r="R28" s="25"/>
      <c r="S28" s="25"/>
      <c r="T28" s="25"/>
      <c r="U28" s="25"/>
      <c r="V28" s="28"/>
      <c r="W28" s="28"/>
      <c r="X28" s="23">
        <f>IF($B28="Entry",IF(AND(LEN(TRIM(UPPER(W28)))=10,CODE(MID(TRIM(UPPER(W28)),1,1))&gt;=65,CODE(MID(TRIM(UPPER(W28)),1,1))&lt;=90,CODE(MID(TRIM(UPPER(W28)),2,1))&gt;=65,CODE(MID(TRIM(UPPER(W28)),2,1))&lt;=90,CODE(MID(TRIM(UPPER(W28)),3,1))&gt;=65,CODE(MID(TRIM(UPPER(W28)),3,1))&lt;=90,CODE(MID(TRIM(UPPER(W28)),4,1))&gt;=65,CODE(MID(TRIM(UPPER(W28)),4,1))&lt;=90,CODE(MID(TRIM(UPPER(W28)),5,1))&gt;=65,CODE(MID(TRIM(UPPER(W28)),5,1))&lt;=90,CODE(MID(TRIM(UPPER(W28)),10,1))&gt;=65,CODE(MID(TRIM(UPPER(W28)),10,1))&lt;=90,CODE(MID(TRIM(UPPER(W28)),6,1))&gt;=48,CODE(MID(TRIM(UPPER(W28)),6,1))&lt;=57,CODE(MID(TRIM(UPPER(W28)),7,1))&gt;=48,CODE(MID(TRIM(UPPER(W28)),7,1))&lt;=57,CODE(MID(TRIM(UPPER(W28)),8,1))&gt;=48,CODE(MID(TRIM(UPPER(W28)),8,1))&lt;=57,CODE(MID(TRIM(UPPER(W28)),9,1))&gt;=48,CODE(MID(TRIM(UPPER(W28)),9,1))&lt;=57),"N","Y"),IF($B28="Challan","",IF(W28&lt;&gt;"","◄ Set Row Type","")))</f>
      </c>
      <c r="Y28" s="23">
        <f>IF($B28="Entry",IF(LEN(W28)&lt;4,"",IF(UPPER(MID(W28,4,1))="P","Individual",IF(UPPER(MID(W28,4,1))="H","HUF",IF(UPPER(MID(W28,4,1))="C","Company",IF(UPPER(MID(W28,4,1))="F","Firm",IF(UPPER(MID(W28,4,1))="L","LLP",IF(UPPER(MID(W28,4,1))="T","Trust",IF(UPPER(MID(W28,4,1))="A","AOP","")))))))),IF($B28="Challan","",IF(W28&lt;&gt;"","◄ Set Row Type","")))</f>
      </c>
      <c r="Z28" s="28"/>
      <c r="AA28" s="29">
        <f>IF($B28&lt;&gt;"Entry","",IF(Z28="","",IF(X28="Y",SUMPRODUCT(('Rate Lookup'!$A$1:$A$37=Z28)*'Rate Lookup'!$D$1:$D$37),IF(OR(Y28="Individual",Y28="HUF"),SUMPRODUCT(('Rate Lookup'!$A$1:$A$37=Z28)*'Rate Lookup'!$B$1:$B$37),SUMPRODUCT(('Rate Lookup'!$A$1:$A$37=Z28)*'Rate Lookup'!$C$1:$C$37)))))</f>
      </c>
      <c r="AB28" s="30"/>
      <c r="AC28" s="31"/>
      <c r="AD28" s="27">
        <f>IF($B28&lt;&gt;"Entry","",ROUND(AC28*AA28/100,0))</f>
      </c>
      <c r="AE28" s="27">
        <f>IF($B28&lt;&gt;"Entry","",0)</f>
      </c>
      <c r="AF28" s="27">
        <f>IF($B28&lt;&gt;"Entry","",0)</f>
      </c>
      <c r="AG28" s="27">
        <f>IF($B28&lt;&gt;"Entry","",IF(OR(AD28=0,AB28="",AQ28="",AQ28&lt;=0),0,IF(AQ28&lt;=DATE(YEAR(AB28),MONTH(AB28)+1,7),0,ROUND(AD28*0.015*((YEAR(AQ28)-YEAR(AB28))*12+(MONTH(AQ28)-MONTH(AB28))+1),0))))</f>
      </c>
      <c r="AH28" s="27">
        <f>IF($B28&lt;&gt;"Entry","",0)</f>
      </c>
      <c r="AI28" s="28"/>
      <c r="AJ28" s="28"/>
      <c r="AK28" s="32"/>
      <c r="AL28" s="28"/>
      <c r="AM28" s="28"/>
      <c r="AN28" s="27">
        <f>IF($B28&lt;&gt;"Challan","",SUMIF('Q1 Data'!$D$4:$D$207,D28,'Q1 Data'!$AD$4:$AD$207)+SUMIF('Q1 Data'!$D$4:$D$207,D28,'Q1 Data'!$AG$4:$AG$207)+SUMIF('Q1 Data'!$D$4:$D$207,D28,'Q1 Data'!$AE$4:$AE$207)+SUMIF('Q2 Data'!$D$4:$D$207,D28,'Q2 Data'!$AD$4:$AD$207)+SUMIF('Q2 Data'!$D$4:$D$207,D28,'Q2 Data'!$AG$4:$AG$207)+SUMIF('Q2 Data'!$D$4:$D$207,D28,'Q2 Data'!$AE$4:$AE$207)+SUMIF('Q3 Data'!$D$4:$D$207,D28,'Q3 Data'!$AD$4:$AD$207)+SUMIF('Q3 Data'!$D$4:$D$207,D28,'Q3 Data'!$AG$4:$AG$207)+SUMIF('Q3 Data'!$D$4:$D$207,D28,'Q3 Data'!$AE$4:$AE$207)+SUMIF('Q4 Data'!$D$4:$D$207,D28,'Q4 Data'!$AD$4:$AD$207)+SUMIF('Q4 Data'!$D$4:$D$207,D28,'Q4 Data'!$AG$4:$AG$207)+SUMIF('Q4 Data'!$D$4:$D$207,D28,'Q4 Data'!$AE$4:$AE$207))</f>
      </c>
      <c r="AO28" s="27">
        <f>IF($B28&lt;&gt;"Challan","",P28-N28)</f>
      </c>
      <c r="AP28" s="27">
        <f>IF($B28&lt;&gt;"Challan","",MAX(0,AO28-AN28))</f>
      </c>
      <c r="AQ28" s="33">
        <f>IF($B28&lt;&gt;"Entry","",SUMPRODUCT(('Q1 Data'!$D$4:$D$207=D28)*('Q1 Data'!$B$4:$B$207="Challan")*'Q1 Data'!$F$4:$F$207)+SUMPRODUCT(('Q2 Data'!$D$4:$D$207=D28)*('Q2 Data'!$B$4:$B$207="Challan")*'Q2 Data'!$F$4:$F$207)+SUMPRODUCT(('Q3 Data'!$D$4:$D$207=D28)*('Q3 Data'!$B$4:$B$207="Challan")*'Q3 Data'!$F$4:$F$207)+SUMPRODUCT(('Q4 Data'!$D$4:$D$207=D28)*('Q4 Data'!$B$4:$B$207="Challan")*'Q4 Data'!$F$4:$F$207))</f>
      </c>
      <c r="AR28" s="34">
        <f>IF(OR($B28&lt;&gt;"Entry",Z28=""),FALSE,AND((SUMPRODUCT(('Q1 Data'!$D$4:$D$207=D28)*('Q1 Data'!$B$4:$B$207="Challan")*('Q1 Data'!$H$4:$H$207&lt;&gt;""))+SUMPRODUCT(('Q2 Data'!$D$4:$D$207=D28)*('Q2 Data'!$B$4:$B$207="Challan")*('Q2 Data'!$H$4:$H$207&lt;&gt;""))+SUMPRODUCT(('Q3 Data'!$D$4:$D$207=D28)*('Q3 Data'!$B$4:$B$207="Challan")*('Q3 Data'!$H$4:$H$207&lt;&gt;""))+SUMPRODUCT(('Q4 Data'!$D$4:$D$207=D28)*('Q4 Data'!$B$4:$B$207="Challan")*('Q4 Data'!$H$4:$H$207&lt;&gt;"")))&gt;0,(SUMPRODUCT(('Q1 Data'!$D$4:$D$207=D28)*('Q1 Data'!$B$4:$B$207="Challan")*('Q1 Data'!$H$4:$H$207=Z28))+SUMPRODUCT(('Q2 Data'!$D$4:$D$207=D28)*('Q2 Data'!$B$4:$B$207="Challan")*('Q2 Data'!$H$4:$H$207=Z28))+SUMPRODUCT(('Q3 Data'!$D$4:$D$207=D28)*('Q3 Data'!$B$4:$B$207="Challan")*('Q3 Data'!$H$4:$H$207=Z28))+SUMPRODUCT(('Q4 Data'!$D$4:$D$207=D28)*('Q4 Data'!$B$4:$B$207="Challan")*('Q4 Data'!$H$4:$H$207=Z28)))=0))</f>
      </c>
    </row>
    <row r="29" spans="1:44" x14ac:dyDescent="0.25">
      <c r="A29" s="20">
        <f>IF($B29="Entry",COUNTIF($B$4:$B29,"Entry"),"")</f>
      </c>
      <c r="B29" s="21"/>
      <c r="C29" s="22"/>
      <c r="D29" s="22"/>
      <c r="E29" s="23">
        <f>IF($B29&lt;&gt;"Challan","",IF(ROUND(AN29-AO29,2)&gt;0,"Over-applied",IF(ROUND(AN29-AO29,2)=0,"Fully Utilised","Unconsumed")))</f>
      </c>
      <c r="F29" s="24"/>
      <c r="G29" s="25"/>
      <c r="H29" s="25"/>
      <c r="I29" s="26"/>
      <c r="J29" s="26"/>
      <c r="K29" s="26"/>
      <c r="L29" s="26"/>
      <c r="M29" s="26"/>
      <c r="N29" s="26"/>
      <c r="O29" s="26"/>
      <c r="P29" s="27">
        <f>IF($B29&lt;&gt;"Challan","",I29+J29+K29+L29+M29+N29)</f>
      </c>
      <c r="Q29" s="25"/>
      <c r="R29" s="25"/>
      <c r="S29" s="25"/>
      <c r="T29" s="25"/>
      <c r="U29" s="25"/>
      <c r="V29" s="28"/>
      <c r="W29" s="28"/>
      <c r="X29" s="23">
        <f>IF($B29="Entry",IF(AND(LEN(TRIM(UPPER(W29)))=10,CODE(MID(TRIM(UPPER(W29)),1,1))&gt;=65,CODE(MID(TRIM(UPPER(W29)),1,1))&lt;=90,CODE(MID(TRIM(UPPER(W29)),2,1))&gt;=65,CODE(MID(TRIM(UPPER(W29)),2,1))&lt;=90,CODE(MID(TRIM(UPPER(W29)),3,1))&gt;=65,CODE(MID(TRIM(UPPER(W29)),3,1))&lt;=90,CODE(MID(TRIM(UPPER(W29)),4,1))&gt;=65,CODE(MID(TRIM(UPPER(W29)),4,1))&lt;=90,CODE(MID(TRIM(UPPER(W29)),5,1))&gt;=65,CODE(MID(TRIM(UPPER(W29)),5,1))&lt;=90,CODE(MID(TRIM(UPPER(W29)),10,1))&gt;=65,CODE(MID(TRIM(UPPER(W29)),10,1))&lt;=90,CODE(MID(TRIM(UPPER(W29)),6,1))&gt;=48,CODE(MID(TRIM(UPPER(W29)),6,1))&lt;=57,CODE(MID(TRIM(UPPER(W29)),7,1))&gt;=48,CODE(MID(TRIM(UPPER(W29)),7,1))&lt;=57,CODE(MID(TRIM(UPPER(W29)),8,1))&gt;=48,CODE(MID(TRIM(UPPER(W29)),8,1))&lt;=57,CODE(MID(TRIM(UPPER(W29)),9,1))&gt;=48,CODE(MID(TRIM(UPPER(W29)),9,1))&lt;=57),"N","Y"),IF($B29="Challan","",IF(W29&lt;&gt;"","◄ Set Row Type","")))</f>
      </c>
      <c r="Y29" s="23">
        <f>IF($B29="Entry",IF(LEN(W29)&lt;4,"",IF(UPPER(MID(W29,4,1))="P","Individual",IF(UPPER(MID(W29,4,1))="H","HUF",IF(UPPER(MID(W29,4,1))="C","Company",IF(UPPER(MID(W29,4,1))="F","Firm",IF(UPPER(MID(W29,4,1))="L","LLP",IF(UPPER(MID(W29,4,1))="T","Trust",IF(UPPER(MID(W29,4,1))="A","AOP","")))))))),IF($B29="Challan","",IF(W29&lt;&gt;"","◄ Set Row Type","")))</f>
      </c>
      <c r="Z29" s="28"/>
      <c r="AA29" s="29">
        <f>IF($B29&lt;&gt;"Entry","",IF(Z29="","",IF(X29="Y",SUMPRODUCT(('Rate Lookup'!$A$1:$A$37=Z29)*'Rate Lookup'!$D$1:$D$37),IF(OR(Y29="Individual",Y29="HUF"),SUMPRODUCT(('Rate Lookup'!$A$1:$A$37=Z29)*'Rate Lookup'!$B$1:$B$37),SUMPRODUCT(('Rate Lookup'!$A$1:$A$37=Z29)*'Rate Lookup'!$C$1:$C$37)))))</f>
      </c>
      <c r="AB29" s="30"/>
      <c r="AC29" s="31"/>
      <c r="AD29" s="27">
        <f>IF($B29&lt;&gt;"Entry","",ROUND(AC29*AA29/100,0))</f>
      </c>
      <c r="AE29" s="27">
        <f>IF($B29&lt;&gt;"Entry","",0)</f>
      </c>
      <c r="AF29" s="27">
        <f>IF($B29&lt;&gt;"Entry","",0)</f>
      </c>
      <c r="AG29" s="27">
        <f>IF($B29&lt;&gt;"Entry","",IF(OR(AD29=0,AB29="",AQ29="",AQ29&lt;=0),0,IF(AQ29&lt;=DATE(YEAR(AB29),MONTH(AB29)+1,7),0,ROUND(AD29*0.015*((YEAR(AQ29)-YEAR(AB29))*12+(MONTH(AQ29)-MONTH(AB29))+1),0))))</f>
      </c>
      <c r="AH29" s="27">
        <f>IF($B29&lt;&gt;"Entry","",0)</f>
      </c>
      <c r="AI29" s="28"/>
      <c r="AJ29" s="28"/>
      <c r="AK29" s="32"/>
      <c r="AL29" s="28"/>
      <c r="AM29" s="28"/>
      <c r="AN29" s="27">
        <f>IF($B29&lt;&gt;"Challan","",SUMIF('Q1 Data'!$D$4:$D$207,D29,'Q1 Data'!$AD$4:$AD$207)+SUMIF('Q1 Data'!$D$4:$D$207,D29,'Q1 Data'!$AG$4:$AG$207)+SUMIF('Q1 Data'!$D$4:$D$207,D29,'Q1 Data'!$AE$4:$AE$207)+SUMIF('Q2 Data'!$D$4:$D$207,D29,'Q2 Data'!$AD$4:$AD$207)+SUMIF('Q2 Data'!$D$4:$D$207,D29,'Q2 Data'!$AG$4:$AG$207)+SUMIF('Q2 Data'!$D$4:$D$207,D29,'Q2 Data'!$AE$4:$AE$207)+SUMIF('Q3 Data'!$D$4:$D$207,D29,'Q3 Data'!$AD$4:$AD$207)+SUMIF('Q3 Data'!$D$4:$D$207,D29,'Q3 Data'!$AG$4:$AG$207)+SUMIF('Q3 Data'!$D$4:$D$207,D29,'Q3 Data'!$AE$4:$AE$207)+SUMIF('Q4 Data'!$D$4:$D$207,D29,'Q4 Data'!$AD$4:$AD$207)+SUMIF('Q4 Data'!$D$4:$D$207,D29,'Q4 Data'!$AG$4:$AG$207)+SUMIF('Q4 Data'!$D$4:$D$207,D29,'Q4 Data'!$AE$4:$AE$207))</f>
      </c>
      <c r="AO29" s="27">
        <f>IF($B29&lt;&gt;"Challan","",P29-N29)</f>
      </c>
      <c r="AP29" s="27">
        <f>IF($B29&lt;&gt;"Challan","",MAX(0,AO29-AN29))</f>
      </c>
      <c r="AQ29" s="33">
        <f>IF($B29&lt;&gt;"Entry","",SUMPRODUCT(('Q1 Data'!$D$4:$D$207=D29)*('Q1 Data'!$B$4:$B$207="Challan")*'Q1 Data'!$F$4:$F$207)+SUMPRODUCT(('Q2 Data'!$D$4:$D$207=D29)*('Q2 Data'!$B$4:$B$207="Challan")*'Q2 Data'!$F$4:$F$207)+SUMPRODUCT(('Q3 Data'!$D$4:$D$207=D29)*('Q3 Data'!$B$4:$B$207="Challan")*'Q3 Data'!$F$4:$F$207)+SUMPRODUCT(('Q4 Data'!$D$4:$D$207=D29)*('Q4 Data'!$B$4:$B$207="Challan")*'Q4 Data'!$F$4:$F$207))</f>
      </c>
      <c r="AR29" s="34">
        <f>IF(OR($B29&lt;&gt;"Entry",Z29=""),FALSE,AND((SUMPRODUCT(('Q1 Data'!$D$4:$D$207=D29)*('Q1 Data'!$B$4:$B$207="Challan")*('Q1 Data'!$H$4:$H$207&lt;&gt;""))+SUMPRODUCT(('Q2 Data'!$D$4:$D$207=D29)*('Q2 Data'!$B$4:$B$207="Challan")*('Q2 Data'!$H$4:$H$207&lt;&gt;""))+SUMPRODUCT(('Q3 Data'!$D$4:$D$207=D29)*('Q3 Data'!$B$4:$B$207="Challan")*('Q3 Data'!$H$4:$H$207&lt;&gt;""))+SUMPRODUCT(('Q4 Data'!$D$4:$D$207=D29)*('Q4 Data'!$B$4:$B$207="Challan")*('Q4 Data'!$H$4:$H$207&lt;&gt;"")))&gt;0,(SUMPRODUCT(('Q1 Data'!$D$4:$D$207=D29)*('Q1 Data'!$B$4:$B$207="Challan")*('Q1 Data'!$H$4:$H$207=Z29))+SUMPRODUCT(('Q2 Data'!$D$4:$D$207=D29)*('Q2 Data'!$B$4:$B$207="Challan")*('Q2 Data'!$H$4:$H$207=Z29))+SUMPRODUCT(('Q3 Data'!$D$4:$D$207=D29)*('Q3 Data'!$B$4:$B$207="Challan")*('Q3 Data'!$H$4:$H$207=Z29))+SUMPRODUCT(('Q4 Data'!$D$4:$D$207=D29)*('Q4 Data'!$B$4:$B$207="Challan")*('Q4 Data'!$H$4:$H$207=Z29)))=0))</f>
      </c>
    </row>
    <row r="30" spans="1:44" x14ac:dyDescent="0.25">
      <c r="A30" s="20">
        <f>IF($B30="Entry",COUNTIF($B$4:$B30,"Entry"),"")</f>
      </c>
      <c r="B30" s="21"/>
      <c r="C30" s="22"/>
      <c r="D30" s="22"/>
      <c r="E30" s="23">
        <f>IF($B30&lt;&gt;"Challan","",IF(ROUND(AN30-AO30,2)&gt;0,"Over-applied",IF(ROUND(AN30-AO30,2)=0,"Fully Utilised","Unconsumed")))</f>
      </c>
      <c r="F30" s="24"/>
      <c r="G30" s="25"/>
      <c r="H30" s="25"/>
      <c r="I30" s="26"/>
      <c r="J30" s="26"/>
      <c r="K30" s="26"/>
      <c r="L30" s="26"/>
      <c r="M30" s="26"/>
      <c r="N30" s="26"/>
      <c r="O30" s="26"/>
      <c r="P30" s="27">
        <f>IF($B30&lt;&gt;"Challan","",I30+J30+K30+L30+M30+N30)</f>
      </c>
      <c r="Q30" s="25"/>
      <c r="R30" s="25"/>
      <c r="S30" s="25"/>
      <c r="T30" s="25"/>
      <c r="U30" s="25"/>
      <c r="V30" s="28"/>
      <c r="W30" s="28"/>
      <c r="X30" s="23">
        <f>IF($B30="Entry",IF(AND(LEN(TRIM(UPPER(W30)))=10,CODE(MID(TRIM(UPPER(W30)),1,1))&gt;=65,CODE(MID(TRIM(UPPER(W30)),1,1))&lt;=90,CODE(MID(TRIM(UPPER(W30)),2,1))&gt;=65,CODE(MID(TRIM(UPPER(W30)),2,1))&lt;=90,CODE(MID(TRIM(UPPER(W30)),3,1))&gt;=65,CODE(MID(TRIM(UPPER(W30)),3,1))&lt;=90,CODE(MID(TRIM(UPPER(W30)),4,1))&gt;=65,CODE(MID(TRIM(UPPER(W30)),4,1))&lt;=90,CODE(MID(TRIM(UPPER(W30)),5,1))&gt;=65,CODE(MID(TRIM(UPPER(W30)),5,1))&lt;=90,CODE(MID(TRIM(UPPER(W30)),10,1))&gt;=65,CODE(MID(TRIM(UPPER(W30)),10,1))&lt;=90,CODE(MID(TRIM(UPPER(W30)),6,1))&gt;=48,CODE(MID(TRIM(UPPER(W30)),6,1))&lt;=57,CODE(MID(TRIM(UPPER(W30)),7,1))&gt;=48,CODE(MID(TRIM(UPPER(W30)),7,1))&lt;=57,CODE(MID(TRIM(UPPER(W30)),8,1))&gt;=48,CODE(MID(TRIM(UPPER(W30)),8,1))&lt;=57,CODE(MID(TRIM(UPPER(W30)),9,1))&gt;=48,CODE(MID(TRIM(UPPER(W30)),9,1))&lt;=57),"N","Y"),IF($B30="Challan","",IF(W30&lt;&gt;"","◄ Set Row Type","")))</f>
      </c>
      <c r="Y30" s="23">
        <f>IF($B30="Entry",IF(LEN(W30)&lt;4,"",IF(UPPER(MID(W30,4,1))="P","Individual",IF(UPPER(MID(W30,4,1))="H","HUF",IF(UPPER(MID(W30,4,1))="C","Company",IF(UPPER(MID(W30,4,1))="F","Firm",IF(UPPER(MID(W30,4,1))="L","LLP",IF(UPPER(MID(W30,4,1))="T","Trust",IF(UPPER(MID(W30,4,1))="A","AOP","")))))))),IF($B30="Challan","",IF(W30&lt;&gt;"","◄ Set Row Type","")))</f>
      </c>
      <c r="Z30" s="28"/>
      <c r="AA30" s="29">
        <f>IF($B30&lt;&gt;"Entry","",IF(Z30="","",IF(X30="Y",SUMPRODUCT(('Rate Lookup'!$A$1:$A$37=Z30)*'Rate Lookup'!$D$1:$D$37),IF(OR(Y30="Individual",Y30="HUF"),SUMPRODUCT(('Rate Lookup'!$A$1:$A$37=Z30)*'Rate Lookup'!$B$1:$B$37),SUMPRODUCT(('Rate Lookup'!$A$1:$A$37=Z30)*'Rate Lookup'!$C$1:$C$37)))))</f>
      </c>
      <c r="AB30" s="30"/>
      <c r="AC30" s="31"/>
      <c r="AD30" s="27">
        <f>IF($B30&lt;&gt;"Entry","",ROUND(AC30*AA30/100,0))</f>
      </c>
      <c r="AE30" s="27">
        <f>IF($B30&lt;&gt;"Entry","",0)</f>
      </c>
      <c r="AF30" s="27">
        <f>IF($B30&lt;&gt;"Entry","",0)</f>
      </c>
      <c r="AG30" s="27">
        <f>IF($B30&lt;&gt;"Entry","",IF(OR(AD30=0,AB30="",AQ30="",AQ30&lt;=0),0,IF(AQ30&lt;=DATE(YEAR(AB30),MONTH(AB30)+1,7),0,ROUND(AD30*0.015*((YEAR(AQ30)-YEAR(AB30))*12+(MONTH(AQ30)-MONTH(AB30))+1),0))))</f>
      </c>
      <c r="AH30" s="27">
        <f>IF($B30&lt;&gt;"Entry","",0)</f>
      </c>
      <c r="AI30" s="28"/>
      <c r="AJ30" s="28"/>
      <c r="AK30" s="32"/>
      <c r="AL30" s="28"/>
      <c r="AM30" s="28"/>
      <c r="AN30" s="27">
        <f>IF($B30&lt;&gt;"Challan","",SUMIF('Q1 Data'!$D$4:$D$207,D30,'Q1 Data'!$AD$4:$AD$207)+SUMIF('Q1 Data'!$D$4:$D$207,D30,'Q1 Data'!$AG$4:$AG$207)+SUMIF('Q1 Data'!$D$4:$D$207,D30,'Q1 Data'!$AE$4:$AE$207)+SUMIF('Q2 Data'!$D$4:$D$207,D30,'Q2 Data'!$AD$4:$AD$207)+SUMIF('Q2 Data'!$D$4:$D$207,D30,'Q2 Data'!$AG$4:$AG$207)+SUMIF('Q2 Data'!$D$4:$D$207,D30,'Q2 Data'!$AE$4:$AE$207)+SUMIF('Q3 Data'!$D$4:$D$207,D30,'Q3 Data'!$AD$4:$AD$207)+SUMIF('Q3 Data'!$D$4:$D$207,D30,'Q3 Data'!$AG$4:$AG$207)+SUMIF('Q3 Data'!$D$4:$D$207,D30,'Q3 Data'!$AE$4:$AE$207)+SUMIF('Q4 Data'!$D$4:$D$207,D30,'Q4 Data'!$AD$4:$AD$207)+SUMIF('Q4 Data'!$D$4:$D$207,D30,'Q4 Data'!$AG$4:$AG$207)+SUMIF('Q4 Data'!$D$4:$D$207,D30,'Q4 Data'!$AE$4:$AE$207))</f>
      </c>
      <c r="AO30" s="27">
        <f>IF($B30&lt;&gt;"Challan","",P30-N30)</f>
      </c>
      <c r="AP30" s="27">
        <f>IF($B30&lt;&gt;"Challan","",MAX(0,AO30-AN30))</f>
      </c>
      <c r="AQ30" s="33">
        <f>IF($B30&lt;&gt;"Entry","",SUMPRODUCT(('Q1 Data'!$D$4:$D$207=D30)*('Q1 Data'!$B$4:$B$207="Challan")*'Q1 Data'!$F$4:$F$207)+SUMPRODUCT(('Q2 Data'!$D$4:$D$207=D30)*('Q2 Data'!$B$4:$B$207="Challan")*'Q2 Data'!$F$4:$F$207)+SUMPRODUCT(('Q3 Data'!$D$4:$D$207=D30)*('Q3 Data'!$B$4:$B$207="Challan")*'Q3 Data'!$F$4:$F$207)+SUMPRODUCT(('Q4 Data'!$D$4:$D$207=D30)*('Q4 Data'!$B$4:$B$207="Challan")*'Q4 Data'!$F$4:$F$207))</f>
      </c>
      <c r="AR30" s="34">
        <f>IF(OR($B30&lt;&gt;"Entry",Z30=""),FALSE,AND((SUMPRODUCT(('Q1 Data'!$D$4:$D$207=D30)*('Q1 Data'!$B$4:$B$207="Challan")*('Q1 Data'!$H$4:$H$207&lt;&gt;""))+SUMPRODUCT(('Q2 Data'!$D$4:$D$207=D30)*('Q2 Data'!$B$4:$B$207="Challan")*('Q2 Data'!$H$4:$H$207&lt;&gt;""))+SUMPRODUCT(('Q3 Data'!$D$4:$D$207=D30)*('Q3 Data'!$B$4:$B$207="Challan")*('Q3 Data'!$H$4:$H$207&lt;&gt;""))+SUMPRODUCT(('Q4 Data'!$D$4:$D$207=D30)*('Q4 Data'!$B$4:$B$207="Challan")*('Q4 Data'!$H$4:$H$207&lt;&gt;"")))&gt;0,(SUMPRODUCT(('Q1 Data'!$D$4:$D$207=D30)*('Q1 Data'!$B$4:$B$207="Challan")*('Q1 Data'!$H$4:$H$207=Z30))+SUMPRODUCT(('Q2 Data'!$D$4:$D$207=D30)*('Q2 Data'!$B$4:$B$207="Challan")*('Q2 Data'!$H$4:$H$207=Z30))+SUMPRODUCT(('Q3 Data'!$D$4:$D$207=D30)*('Q3 Data'!$B$4:$B$207="Challan")*('Q3 Data'!$H$4:$H$207=Z30))+SUMPRODUCT(('Q4 Data'!$D$4:$D$207=D30)*('Q4 Data'!$B$4:$B$207="Challan")*('Q4 Data'!$H$4:$H$207=Z30)))=0))</f>
      </c>
    </row>
    <row r="31" spans="1:44" x14ac:dyDescent="0.25">
      <c r="A31" s="20">
        <f>IF($B31="Entry",COUNTIF($B$4:$B31,"Entry"),"")</f>
      </c>
      <c r="B31" s="21"/>
      <c r="C31" s="22"/>
      <c r="D31" s="22"/>
      <c r="E31" s="23">
        <f>IF($B31&lt;&gt;"Challan","",IF(ROUND(AN31-AO31,2)&gt;0,"Over-applied",IF(ROUND(AN31-AO31,2)=0,"Fully Utilised","Unconsumed")))</f>
      </c>
      <c r="F31" s="24"/>
      <c r="G31" s="25"/>
      <c r="H31" s="25"/>
      <c r="I31" s="26"/>
      <c r="J31" s="26"/>
      <c r="K31" s="26"/>
      <c r="L31" s="26"/>
      <c r="M31" s="26"/>
      <c r="N31" s="26"/>
      <c r="O31" s="26"/>
      <c r="P31" s="27">
        <f>IF($B31&lt;&gt;"Challan","",I31+J31+K31+L31+M31+N31)</f>
      </c>
      <c r="Q31" s="25"/>
      <c r="R31" s="25"/>
      <c r="S31" s="25"/>
      <c r="T31" s="25"/>
      <c r="U31" s="25"/>
      <c r="V31" s="28"/>
      <c r="W31" s="28"/>
      <c r="X31" s="23">
        <f>IF($B31="Entry",IF(AND(LEN(TRIM(UPPER(W31)))=10,CODE(MID(TRIM(UPPER(W31)),1,1))&gt;=65,CODE(MID(TRIM(UPPER(W31)),1,1))&lt;=90,CODE(MID(TRIM(UPPER(W31)),2,1))&gt;=65,CODE(MID(TRIM(UPPER(W31)),2,1))&lt;=90,CODE(MID(TRIM(UPPER(W31)),3,1))&gt;=65,CODE(MID(TRIM(UPPER(W31)),3,1))&lt;=90,CODE(MID(TRIM(UPPER(W31)),4,1))&gt;=65,CODE(MID(TRIM(UPPER(W31)),4,1))&lt;=90,CODE(MID(TRIM(UPPER(W31)),5,1))&gt;=65,CODE(MID(TRIM(UPPER(W31)),5,1))&lt;=90,CODE(MID(TRIM(UPPER(W31)),10,1))&gt;=65,CODE(MID(TRIM(UPPER(W31)),10,1))&lt;=90,CODE(MID(TRIM(UPPER(W31)),6,1))&gt;=48,CODE(MID(TRIM(UPPER(W31)),6,1))&lt;=57,CODE(MID(TRIM(UPPER(W31)),7,1))&gt;=48,CODE(MID(TRIM(UPPER(W31)),7,1))&lt;=57,CODE(MID(TRIM(UPPER(W31)),8,1))&gt;=48,CODE(MID(TRIM(UPPER(W31)),8,1))&lt;=57,CODE(MID(TRIM(UPPER(W31)),9,1))&gt;=48,CODE(MID(TRIM(UPPER(W31)),9,1))&lt;=57),"N","Y"),IF($B31="Challan","",IF(W31&lt;&gt;"","◄ Set Row Type","")))</f>
      </c>
      <c r="Y31" s="23">
        <f>IF($B31="Entry",IF(LEN(W31)&lt;4,"",IF(UPPER(MID(W31,4,1))="P","Individual",IF(UPPER(MID(W31,4,1))="H","HUF",IF(UPPER(MID(W31,4,1))="C","Company",IF(UPPER(MID(W31,4,1))="F","Firm",IF(UPPER(MID(W31,4,1))="L","LLP",IF(UPPER(MID(W31,4,1))="T","Trust",IF(UPPER(MID(W31,4,1))="A","AOP","")))))))),IF($B31="Challan","",IF(W31&lt;&gt;"","◄ Set Row Type","")))</f>
      </c>
      <c r="Z31" s="28"/>
      <c r="AA31" s="29">
        <f>IF($B31&lt;&gt;"Entry","",IF(Z31="","",IF(X31="Y",SUMPRODUCT(('Rate Lookup'!$A$1:$A$37=Z31)*'Rate Lookup'!$D$1:$D$37),IF(OR(Y31="Individual",Y31="HUF"),SUMPRODUCT(('Rate Lookup'!$A$1:$A$37=Z31)*'Rate Lookup'!$B$1:$B$37),SUMPRODUCT(('Rate Lookup'!$A$1:$A$37=Z31)*'Rate Lookup'!$C$1:$C$37)))))</f>
      </c>
      <c r="AB31" s="30"/>
      <c r="AC31" s="31"/>
      <c r="AD31" s="27">
        <f>IF($B31&lt;&gt;"Entry","",ROUND(AC31*AA31/100,0))</f>
      </c>
      <c r="AE31" s="27">
        <f>IF($B31&lt;&gt;"Entry","",0)</f>
      </c>
      <c r="AF31" s="27">
        <f>IF($B31&lt;&gt;"Entry","",0)</f>
      </c>
      <c r="AG31" s="27">
        <f>IF($B31&lt;&gt;"Entry","",IF(OR(AD31=0,AB31="",AQ31="",AQ31&lt;=0),0,IF(AQ31&lt;=DATE(YEAR(AB31),MONTH(AB31)+1,7),0,ROUND(AD31*0.015*((YEAR(AQ31)-YEAR(AB31))*12+(MONTH(AQ31)-MONTH(AB31))+1),0))))</f>
      </c>
      <c r="AH31" s="27">
        <f>IF($B31&lt;&gt;"Entry","",0)</f>
      </c>
      <c r="AI31" s="28"/>
      <c r="AJ31" s="28"/>
      <c r="AK31" s="32"/>
      <c r="AL31" s="28"/>
      <c r="AM31" s="28"/>
      <c r="AN31" s="27">
        <f>IF($B31&lt;&gt;"Challan","",SUMIF('Q1 Data'!$D$4:$D$207,D31,'Q1 Data'!$AD$4:$AD$207)+SUMIF('Q1 Data'!$D$4:$D$207,D31,'Q1 Data'!$AG$4:$AG$207)+SUMIF('Q1 Data'!$D$4:$D$207,D31,'Q1 Data'!$AE$4:$AE$207)+SUMIF('Q2 Data'!$D$4:$D$207,D31,'Q2 Data'!$AD$4:$AD$207)+SUMIF('Q2 Data'!$D$4:$D$207,D31,'Q2 Data'!$AG$4:$AG$207)+SUMIF('Q2 Data'!$D$4:$D$207,D31,'Q2 Data'!$AE$4:$AE$207)+SUMIF('Q3 Data'!$D$4:$D$207,D31,'Q3 Data'!$AD$4:$AD$207)+SUMIF('Q3 Data'!$D$4:$D$207,D31,'Q3 Data'!$AG$4:$AG$207)+SUMIF('Q3 Data'!$D$4:$D$207,D31,'Q3 Data'!$AE$4:$AE$207)+SUMIF('Q4 Data'!$D$4:$D$207,D31,'Q4 Data'!$AD$4:$AD$207)+SUMIF('Q4 Data'!$D$4:$D$207,D31,'Q4 Data'!$AG$4:$AG$207)+SUMIF('Q4 Data'!$D$4:$D$207,D31,'Q4 Data'!$AE$4:$AE$207))</f>
      </c>
      <c r="AO31" s="27">
        <f>IF($B31&lt;&gt;"Challan","",P31-N31)</f>
      </c>
      <c r="AP31" s="27">
        <f>IF($B31&lt;&gt;"Challan","",MAX(0,AO31-AN31))</f>
      </c>
      <c r="AQ31" s="33">
        <f>IF($B31&lt;&gt;"Entry","",SUMPRODUCT(('Q1 Data'!$D$4:$D$207=D31)*('Q1 Data'!$B$4:$B$207="Challan")*'Q1 Data'!$F$4:$F$207)+SUMPRODUCT(('Q2 Data'!$D$4:$D$207=D31)*('Q2 Data'!$B$4:$B$207="Challan")*'Q2 Data'!$F$4:$F$207)+SUMPRODUCT(('Q3 Data'!$D$4:$D$207=D31)*('Q3 Data'!$B$4:$B$207="Challan")*'Q3 Data'!$F$4:$F$207)+SUMPRODUCT(('Q4 Data'!$D$4:$D$207=D31)*('Q4 Data'!$B$4:$B$207="Challan")*'Q4 Data'!$F$4:$F$207))</f>
      </c>
      <c r="AR31" s="34">
        <f>IF(OR($B31&lt;&gt;"Entry",Z31=""),FALSE,AND((SUMPRODUCT(('Q1 Data'!$D$4:$D$207=D31)*('Q1 Data'!$B$4:$B$207="Challan")*('Q1 Data'!$H$4:$H$207&lt;&gt;""))+SUMPRODUCT(('Q2 Data'!$D$4:$D$207=D31)*('Q2 Data'!$B$4:$B$207="Challan")*('Q2 Data'!$H$4:$H$207&lt;&gt;""))+SUMPRODUCT(('Q3 Data'!$D$4:$D$207=D31)*('Q3 Data'!$B$4:$B$207="Challan")*('Q3 Data'!$H$4:$H$207&lt;&gt;""))+SUMPRODUCT(('Q4 Data'!$D$4:$D$207=D31)*('Q4 Data'!$B$4:$B$207="Challan")*('Q4 Data'!$H$4:$H$207&lt;&gt;"")))&gt;0,(SUMPRODUCT(('Q1 Data'!$D$4:$D$207=D31)*('Q1 Data'!$B$4:$B$207="Challan")*('Q1 Data'!$H$4:$H$207=Z31))+SUMPRODUCT(('Q2 Data'!$D$4:$D$207=D31)*('Q2 Data'!$B$4:$B$207="Challan")*('Q2 Data'!$H$4:$H$207=Z31))+SUMPRODUCT(('Q3 Data'!$D$4:$D$207=D31)*('Q3 Data'!$B$4:$B$207="Challan")*('Q3 Data'!$H$4:$H$207=Z31))+SUMPRODUCT(('Q4 Data'!$D$4:$D$207=D31)*('Q4 Data'!$B$4:$B$207="Challan")*('Q4 Data'!$H$4:$H$207=Z31)))=0))</f>
      </c>
    </row>
    <row r="32" spans="1:44" x14ac:dyDescent="0.25">
      <c r="A32" s="20">
        <f>IF($B32="Entry",COUNTIF($B$4:$B32,"Entry"),"")</f>
      </c>
      <c r="B32" s="21"/>
      <c r="C32" s="22"/>
      <c r="D32" s="22"/>
      <c r="E32" s="23">
        <f>IF($B32&lt;&gt;"Challan","",IF(ROUND(AN32-AO32,2)&gt;0,"Over-applied",IF(ROUND(AN32-AO32,2)=0,"Fully Utilised","Unconsumed")))</f>
      </c>
      <c r="F32" s="24"/>
      <c r="G32" s="25"/>
      <c r="H32" s="25"/>
      <c r="I32" s="26"/>
      <c r="J32" s="26"/>
      <c r="K32" s="26"/>
      <c r="L32" s="26"/>
      <c r="M32" s="26"/>
      <c r="N32" s="26"/>
      <c r="O32" s="26"/>
      <c r="P32" s="27">
        <f>IF($B32&lt;&gt;"Challan","",I32+J32+K32+L32+M32+N32)</f>
      </c>
      <c r="Q32" s="25"/>
      <c r="R32" s="25"/>
      <c r="S32" s="25"/>
      <c r="T32" s="25"/>
      <c r="U32" s="25"/>
      <c r="V32" s="28"/>
      <c r="W32" s="28"/>
      <c r="X32" s="23">
        <f>IF($B32="Entry",IF(AND(LEN(TRIM(UPPER(W32)))=10,CODE(MID(TRIM(UPPER(W32)),1,1))&gt;=65,CODE(MID(TRIM(UPPER(W32)),1,1))&lt;=90,CODE(MID(TRIM(UPPER(W32)),2,1))&gt;=65,CODE(MID(TRIM(UPPER(W32)),2,1))&lt;=90,CODE(MID(TRIM(UPPER(W32)),3,1))&gt;=65,CODE(MID(TRIM(UPPER(W32)),3,1))&lt;=90,CODE(MID(TRIM(UPPER(W32)),4,1))&gt;=65,CODE(MID(TRIM(UPPER(W32)),4,1))&lt;=90,CODE(MID(TRIM(UPPER(W32)),5,1))&gt;=65,CODE(MID(TRIM(UPPER(W32)),5,1))&lt;=90,CODE(MID(TRIM(UPPER(W32)),10,1))&gt;=65,CODE(MID(TRIM(UPPER(W32)),10,1))&lt;=90,CODE(MID(TRIM(UPPER(W32)),6,1))&gt;=48,CODE(MID(TRIM(UPPER(W32)),6,1))&lt;=57,CODE(MID(TRIM(UPPER(W32)),7,1))&gt;=48,CODE(MID(TRIM(UPPER(W32)),7,1))&lt;=57,CODE(MID(TRIM(UPPER(W32)),8,1))&gt;=48,CODE(MID(TRIM(UPPER(W32)),8,1))&lt;=57,CODE(MID(TRIM(UPPER(W32)),9,1))&gt;=48,CODE(MID(TRIM(UPPER(W32)),9,1))&lt;=57),"N","Y"),IF($B32="Challan","",IF(W32&lt;&gt;"","◄ Set Row Type","")))</f>
      </c>
      <c r="Y32" s="23">
        <f>IF($B32="Entry",IF(LEN(W32)&lt;4,"",IF(UPPER(MID(W32,4,1))="P","Individual",IF(UPPER(MID(W32,4,1))="H","HUF",IF(UPPER(MID(W32,4,1))="C","Company",IF(UPPER(MID(W32,4,1))="F","Firm",IF(UPPER(MID(W32,4,1))="L","LLP",IF(UPPER(MID(W32,4,1))="T","Trust",IF(UPPER(MID(W32,4,1))="A","AOP","")))))))),IF($B32="Challan","",IF(W32&lt;&gt;"","◄ Set Row Type","")))</f>
      </c>
      <c r="Z32" s="28"/>
      <c r="AA32" s="29">
        <f>IF($B32&lt;&gt;"Entry","",IF(Z32="","",IF(X32="Y",SUMPRODUCT(('Rate Lookup'!$A$1:$A$37=Z32)*'Rate Lookup'!$D$1:$D$37),IF(OR(Y32="Individual",Y32="HUF"),SUMPRODUCT(('Rate Lookup'!$A$1:$A$37=Z32)*'Rate Lookup'!$B$1:$B$37),SUMPRODUCT(('Rate Lookup'!$A$1:$A$37=Z32)*'Rate Lookup'!$C$1:$C$37)))))</f>
      </c>
      <c r="AB32" s="30"/>
      <c r="AC32" s="31"/>
      <c r="AD32" s="27">
        <f>IF($B32&lt;&gt;"Entry","",ROUND(AC32*AA32/100,0))</f>
      </c>
      <c r="AE32" s="27">
        <f>IF($B32&lt;&gt;"Entry","",0)</f>
      </c>
      <c r="AF32" s="27">
        <f>IF($B32&lt;&gt;"Entry","",0)</f>
      </c>
      <c r="AG32" s="27">
        <f>IF($B32&lt;&gt;"Entry","",IF(OR(AD32=0,AB32="",AQ32="",AQ32&lt;=0),0,IF(AQ32&lt;=DATE(YEAR(AB32),MONTH(AB32)+1,7),0,ROUND(AD32*0.015*((YEAR(AQ32)-YEAR(AB32))*12+(MONTH(AQ32)-MONTH(AB32))+1),0))))</f>
      </c>
      <c r="AH32" s="27">
        <f>IF($B32&lt;&gt;"Entry","",0)</f>
      </c>
      <c r="AI32" s="28"/>
      <c r="AJ32" s="28"/>
      <c r="AK32" s="32"/>
      <c r="AL32" s="28"/>
      <c r="AM32" s="28"/>
      <c r="AN32" s="27">
        <f>IF($B32&lt;&gt;"Challan","",SUMIF('Q1 Data'!$D$4:$D$207,D32,'Q1 Data'!$AD$4:$AD$207)+SUMIF('Q1 Data'!$D$4:$D$207,D32,'Q1 Data'!$AG$4:$AG$207)+SUMIF('Q1 Data'!$D$4:$D$207,D32,'Q1 Data'!$AE$4:$AE$207)+SUMIF('Q2 Data'!$D$4:$D$207,D32,'Q2 Data'!$AD$4:$AD$207)+SUMIF('Q2 Data'!$D$4:$D$207,D32,'Q2 Data'!$AG$4:$AG$207)+SUMIF('Q2 Data'!$D$4:$D$207,D32,'Q2 Data'!$AE$4:$AE$207)+SUMIF('Q3 Data'!$D$4:$D$207,D32,'Q3 Data'!$AD$4:$AD$207)+SUMIF('Q3 Data'!$D$4:$D$207,D32,'Q3 Data'!$AG$4:$AG$207)+SUMIF('Q3 Data'!$D$4:$D$207,D32,'Q3 Data'!$AE$4:$AE$207)+SUMIF('Q4 Data'!$D$4:$D$207,D32,'Q4 Data'!$AD$4:$AD$207)+SUMIF('Q4 Data'!$D$4:$D$207,D32,'Q4 Data'!$AG$4:$AG$207)+SUMIF('Q4 Data'!$D$4:$D$207,D32,'Q4 Data'!$AE$4:$AE$207))</f>
      </c>
      <c r="AO32" s="27">
        <f>IF($B32&lt;&gt;"Challan","",P32-N32)</f>
      </c>
      <c r="AP32" s="27">
        <f>IF($B32&lt;&gt;"Challan","",MAX(0,AO32-AN32))</f>
      </c>
      <c r="AQ32" s="33">
        <f>IF($B32&lt;&gt;"Entry","",SUMPRODUCT(('Q1 Data'!$D$4:$D$207=D32)*('Q1 Data'!$B$4:$B$207="Challan")*'Q1 Data'!$F$4:$F$207)+SUMPRODUCT(('Q2 Data'!$D$4:$D$207=D32)*('Q2 Data'!$B$4:$B$207="Challan")*'Q2 Data'!$F$4:$F$207)+SUMPRODUCT(('Q3 Data'!$D$4:$D$207=D32)*('Q3 Data'!$B$4:$B$207="Challan")*'Q3 Data'!$F$4:$F$207)+SUMPRODUCT(('Q4 Data'!$D$4:$D$207=D32)*('Q4 Data'!$B$4:$B$207="Challan")*'Q4 Data'!$F$4:$F$207))</f>
      </c>
      <c r="AR32" s="34">
        <f>IF(OR($B32&lt;&gt;"Entry",Z32=""),FALSE,AND((SUMPRODUCT(('Q1 Data'!$D$4:$D$207=D32)*('Q1 Data'!$B$4:$B$207="Challan")*('Q1 Data'!$H$4:$H$207&lt;&gt;""))+SUMPRODUCT(('Q2 Data'!$D$4:$D$207=D32)*('Q2 Data'!$B$4:$B$207="Challan")*('Q2 Data'!$H$4:$H$207&lt;&gt;""))+SUMPRODUCT(('Q3 Data'!$D$4:$D$207=D32)*('Q3 Data'!$B$4:$B$207="Challan")*('Q3 Data'!$H$4:$H$207&lt;&gt;""))+SUMPRODUCT(('Q4 Data'!$D$4:$D$207=D32)*('Q4 Data'!$B$4:$B$207="Challan")*('Q4 Data'!$H$4:$H$207&lt;&gt;"")))&gt;0,(SUMPRODUCT(('Q1 Data'!$D$4:$D$207=D32)*('Q1 Data'!$B$4:$B$207="Challan")*('Q1 Data'!$H$4:$H$207=Z32))+SUMPRODUCT(('Q2 Data'!$D$4:$D$207=D32)*('Q2 Data'!$B$4:$B$207="Challan")*('Q2 Data'!$H$4:$H$207=Z32))+SUMPRODUCT(('Q3 Data'!$D$4:$D$207=D32)*('Q3 Data'!$B$4:$B$207="Challan")*('Q3 Data'!$H$4:$H$207=Z32))+SUMPRODUCT(('Q4 Data'!$D$4:$D$207=D32)*('Q4 Data'!$B$4:$B$207="Challan")*('Q4 Data'!$H$4:$H$207=Z32)))=0))</f>
      </c>
    </row>
    <row r="33" spans="1:44" x14ac:dyDescent="0.25">
      <c r="A33" s="20">
        <f>IF($B33="Entry",COUNTIF($B$4:$B33,"Entry"),"")</f>
      </c>
      <c r="B33" s="21"/>
      <c r="C33" s="22"/>
      <c r="D33" s="22"/>
      <c r="E33" s="23">
        <f>IF($B33&lt;&gt;"Challan","",IF(ROUND(AN33-AO33,2)&gt;0,"Over-applied",IF(ROUND(AN33-AO33,2)=0,"Fully Utilised","Unconsumed")))</f>
      </c>
      <c r="F33" s="24"/>
      <c r="G33" s="25"/>
      <c r="H33" s="25"/>
      <c r="I33" s="26"/>
      <c r="J33" s="26"/>
      <c r="K33" s="26"/>
      <c r="L33" s="26"/>
      <c r="M33" s="26"/>
      <c r="N33" s="26"/>
      <c r="O33" s="26"/>
      <c r="P33" s="27">
        <f>IF($B33&lt;&gt;"Challan","",I33+J33+K33+L33+M33+N33)</f>
      </c>
      <c r="Q33" s="25"/>
      <c r="R33" s="25"/>
      <c r="S33" s="25"/>
      <c r="T33" s="25"/>
      <c r="U33" s="25"/>
      <c r="V33" s="28"/>
      <c r="W33" s="28"/>
      <c r="X33" s="23">
        <f>IF($B33="Entry",IF(AND(LEN(TRIM(UPPER(W33)))=10,CODE(MID(TRIM(UPPER(W33)),1,1))&gt;=65,CODE(MID(TRIM(UPPER(W33)),1,1))&lt;=90,CODE(MID(TRIM(UPPER(W33)),2,1))&gt;=65,CODE(MID(TRIM(UPPER(W33)),2,1))&lt;=90,CODE(MID(TRIM(UPPER(W33)),3,1))&gt;=65,CODE(MID(TRIM(UPPER(W33)),3,1))&lt;=90,CODE(MID(TRIM(UPPER(W33)),4,1))&gt;=65,CODE(MID(TRIM(UPPER(W33)),4,1))&lt;=90,CODE(MID(TRIM(UPPER(W33)),5,1))&gt;=65,CODE(MID(TRIM(UPPER(W33)),5,1))&lt;=90,CODE(MID(TRIM(UPPER(W33)),10,1))&gt;=65,CODE(MID(TRIM(UPPER(W33)),10,1))&lt;=90,CODE(MID(TRIM(UPPER(W33)),6,1))&gt;=48,CODE(MID(TRIM(UPPER(W33)),6,1))&lt;=57,CODE(MID(TRIM(UPPER(W33)),7,1))&gt;=48,CODE(MID(TRIM(UPPER(W33)),7,1))&lt;=57,CODE(MID(TRIM(UPPER(W33)),8,1))&gt;=48,CODE(MID(TRIM(UPPER(W33)),8,1))&lt;=57,CODE(MID(TRIM(UPPER(W33)),9,1))&gt;=48,CODE(MID(TRIM(UPPER(W33)),9,1))&lt;=57),"N","Y"),IF($B33="Challan","",IF(W33&lt;&gt;"","◄ Set Row Type","")))</f>
      </c>
      <c r="Y33" s="23">
        <f>IF($B33="Entry",IF(LEN(W33)&lt;4,"",IF(UPPER(MID(W33,4,1))="P","Individual",IF(UPPER(MID(W33,4,1))="H","HUF",IF(UPPER(MID(W33,4,1))="C","Company",IF(UPPER(MID(W33,4,1))="F","Firm",IF(UPPER(MID(W33,4,1))="L","LLP",IF(UPPER(MID(W33,4,1))="T","Trust",IF(UPPER(MID(W33,4,1))="A","AOP","")))))))),IF($B33="Challan","",IF(W33&lt;&gt;"","◄ Set Row Type","")))</f>
      </c>
      <c r="Z33" s="28"/>
      <c r="AA33" s="29">
        <f>IF($B33&lt;&gt;"Entry","",IF(Z33="","",IF(X33="Y",SUMPRODUCT(('Rate Lookup'!$A$1:$A$37=Z33)*'Rate Lookup'!$D$1:$D$37),IF(OR(Y33="Individual",Y33="HUF"),SUMPRODUCT(('Rate Lookup'!$A$1:$A$37=Z33)*'Rate Lookup'!$B$1:$B$37),SUMPRODUCT(('Rate Lookup'!$A$1:$A$37=Z33)*'Rate Lookup'!$C$1:$C$37)))))</f>
      </c>
      <c r="AB33" s="30"/>
      <c r="AC33" s="31"/>
      <c r="AD33" s="27">
        <f>IF($B33&lt;&gt;"Entry","",ROUND(AC33*AA33/100,0))</f>
      </c>
      <c r="AE33" s="27">
        <f>IF($B33&lt;&gt;"Entry","",0)</f>
      </c>
      <c r="AF33" s="27">
        <f>IF($B33&lt;&gt;"Entry","",0)</f>
      </c>
      <c r="AG33" s="27">
        <f>IF($B33&lt;&gt;"Entry","",IF(OR(AD33=0,AB33="",AQ33="",AQ33&lt;=0),0,IF(AQ33&lt;=DATE(YEAR(AB33),MONTH(AB33)+1,7),0,ROUND(AD33*0.015*((YEAR(AQ33)-YEAR(AB33))*12+(MONTH(AQ33)-MONTH(AB33))+1),0))))</f>
      </c>
      <c r="AH33" s="27">
        <f>IF($B33&lt;&gt;"Entry","",0)</f>
      </c>
      <c r="AI33" s="28"/>
      <c r="AJ33" s="28"/>
      <c r="AK33" s="32"/>
      <c r="AL33" s="28"/>
      <c r="AM33" s="28"/>
      <c r="AN33" s="27">
        <f>IF($B33&lt;&gt;"Challan","",SUMIF('Q1 Data'!$D$4:$D$207,D33,'Q1 Data'!$AD$4:$AD$207)+SUMIF('Q1 Data'!$D$4:$D$207,D33,'Q1 Data'!$AG$4:$AG$207)+SUMIF('Q1 Data'!$D$4:$D$207,D33,'Q1 Data'!$AE$4:$AE$207)+SUMIF('Q2 Data'!$D$4:$D$207,D33,'Q2 Data'!$AD$4:$AD$207)+SUMIF('Q2 Data'!$D$4:$D$207,D33,'Q2 Data'!$AG$4:$AG$207)+SUMIF('Q2 Data'!$D$4:$D$207,D33,'Q2 Data'!$AE$4:$AE$207)+SUMIF('Q3 Data'!$D$4:$D$207,D33,'Q3 Data'!$AD$4:$AD$207)+SUMIF('Q3 Data'!$D$4:$D$207,D33,'Q3 Data'!$AG$4:$AG$207)+SUMIF('Q3 Data'!$D$4:$D$207,D33,'Q3 Data'!$AE$4:$AE$207)+SUMIF('Q4 Data'!$D$4:$D$207,D33,'Q4 Data'!$AD$4:$AD$207)+SUMIF('Q4 Data'!$D$4:$D$207,D33,'Q4 Data'!$AG$4:$AG$207)+SUMIF('Q4 Data'!$D$4:$D$207,D33,'Q4 Data'!$AE$4:$AE$207))</f>
      </c>
      <c r="AO33" s="27">
        <f>IF($B33&lt;&gt;"Challan","",P33-N33)</f>
      </c>
      <c r="AP33" s="27">
        <f>IF($B33&lt;&gt;"Challan","",MAX(0,AO33-AN33))</f>
      </c>
      <c r="AQ33" s="33">
        <f>IF($B33&lt;&gt;"Entry","",SUMPRODUCT(('Q1 Data'!$D$4:$D$207=D33)*('Q1 Data'!$B$4:$B$207="Challan")*'Q1 Data'!$F$4:$F$207)+SUMPRODUCT(('Q2 Data'!$D$4:$D$207=D33)*('Q2 Data'!$B$4:$B$207="Challan")*'Q2 Data'!$F$4:$F$207)+SUMPRODUCT(('Q3 Data'!$D$4:$D$207=D33)*('Q3 Data'!$B$4:$B$207="Challan")*'Q3 Data'!$F$4:$F$207)+SUMPRODUCT(('Q4 Data'!$D$4:$D$207=D33)*('Q4 Data'!$B$4:$B$207="Challan")*'Q4 Data'!$F$4:$F$207))</f>
      </c>
      <c r="AR33" s="34">
        <f>IF(OR($B33&lt;&gt;"Entry",Z33=""),FALSE,AND((SUMPRODUCT(('Q1 Data'!$D$4:$D$207=D33)*('Q1 Data'!$B$4:$B$207="Challan")*('Q1 Data'!$H$4:$H$207&lt;&gt;""))+SUMPRODUCT(('Q2 Data'!$D$4:$D$207=D33)*('Q2 Data'!$B$4:$B$207="Challan")*('Q2 Data'!$H$4:$H$207&lt;&gt;""))+SUMPRODUCT(('Q3 Data'!$D$4:$D$207=D33)*('Q3 Data'!$B$4:$B$207="Challan")*('Q3 Data'!$H$4:$H$207&lt;&gt;""))+SUMPRODUCT(('Q4 Data'!$D$4:$D$207=D33)*('Q4 Data'!$B$4:$B$207="Challan")*('Q4 Data'!$H$4:$H$207&lt;&gt;"")))&gt;0,(SUMPRODUCT(('Q1 Data'!$D$4:$D$207=D33)*('Q1 Data'!$B$4:$B$207="Challan")*('Q1 Data'!$H$4:$H$207=Z33))+SUMPRODUCT(('Q2 Data'!$D$4:$D$207=D33)*('Q2 Data'!$B$4:$B$207="Challan")*('Q2 Data'!$H$4:$H$207=Z33))+SUMPRODUCT(('Q3 Data'!$D$4:$D$207=D33)*('Q3 Data'!$B$4:$B$207="Challan")*('Q3 Data'!$H$4:$H$207=Z33))+SUMPRODUCT(('Q4 Data'!$D$4:$D$207=D33)*('Q4 Data'!$B$4:$B$207="Challan")*('Q4 Data'!$H$4:$H$207=Z33)))=0))</f>
      </c>
    </row>
    <row r="34" spans="1:44" x14ac:dyDescent="0.25">
      <c r="A34" s="20">
        <f>IF($B34="Entry",COUNTIF($B$4:$B34,"Entry"),"")</f>
      </c>
      <c r="B34" s="21"/>
      <c r="C34" s="22"/>
      <c r="D34" s="22"/>
      <c r="E34" s="23">
        <f>IF($B34&lt;&gt;"Challan","",IF(ROUND(AN34-AO34,2)&gt;0,"Over-applied",IF(ROUND(AN34-AO34,2)=0,"Fully Utilised","Unconsumed")))</f>
      </c>
      <c r="F34" s="24"/>
      <c r="G34" s="25"/>
      <c r="H34" s="25"/>
      <c r="I34" s="26"/>
      <c r="J34" s="26"/>
      <c r="K34" s="26"/>
      <c r="L34" s="26"/>
      <c r="M34" s="26"/>
      <c r="N34" s="26"/>
      <c r="O34" s="26"/>
      <c r="P34" s="27">
        <f>IF($B34&lt;&gt;"Challan","",I34+J34+K34+L34+M34+N34)</f>
      </c>
      <c r="Q34" s="25"/>
      <c r="R34" s="25"/>
      <c r="S34" s="25"/>
      <c r="T34" s="25"/>
      <c r="U34" s="25"/>
      <c r="V34" s="28"/>
      <c r="W34" s="28"/>
      <c r="X34" s="23">
        <f>IF($B34="Entry",IF(AND(LEN(TRIM(UPPER(W34)))=10,CODE(MID(TRIM(UPPER(W34)),1,1))&gt;=65,CODE(MID(TRIM(UPPER(W34)),1,1))&lt;=90,CODE(MID(TRIM(UPPER(W34)),2,1))&gt;=65,CODE(MID(TRIM(UPPER(W34)),2,1))&lt;=90,CODE(MID(TRIM(UPPER(W34)),3,1))&gt;=65,CODE(MID(TRIM(UPPER(W34)),3,1))&lt;=90,CODE(MID(TRIM(UPPER(W34)),4,1))&gt;=65,CODE(MID(TRIM(UPPER(W34)),4,1))&lt;=90,CODE(MID(TRIM(UPPER(W34)),5,1))&gt;=65,CODE(MID(TRIM(UPPER(W34)),5,1))&lt;=90,CODE(MID(TRIM(UPPER(W34)),10,1))&gt;=65,CODE(MID(TRIM(UPPER(W34)),10,1))&lt;=90,CODE(MID(TRIM(UPPER(W34)),6,1))&gt;=48,CODE(MID(TRIM(UPPER(W34)),6,1))&lt;=57,CODE(MID(TRIM(UPPER(W34)),7,1))&gt;=48,CODE(MID(TRIM(UPPER(W34)),7,1))&lt;=57,CODE(MID(TRIM(UPPER(W34)),8,1))&gt;=48,CODE(MID(TRIM(UPPER(W34)),8,1))&lt;=57,CODE(MID(TRIM(UPPER(W34)),9,1))&gt;=48,CODE(MID(TRIM(UPPER(W34)),9,1))&lt;=57),"N","Y"),IF($B34="Challan","",IF(W34&lt;&gt;"","◄ Set Row Type","")))</f>
      </c>
      <c r="Y34" s="23">
        <f>IF($B34="Entry",IF(LEN(W34)&lt;4,"",IF(UPPER(MID(W34,4,1))="P","Individual",IF(UPPER(MID(W34,4,1))="H","HUF",IF(UPPER(MID(W34,4,1))="C","Company",IF(UPPER(MID(W34,4,1))="F","Firm",IF(UPPER(MID(W34,4,1))="L","LLP",IF(UPPER(MID(W34,4,1))="T","Trust",IF(UPPER(MID(W34,4,1))="A","AOP","")))))))),IF($B34="Challan","",IF(W34&lt;&gt;"","◄ Set Row Type","")))</f>
      </c>
      <c r="Z34" s="28"/>
      <c r="AA34" s="29">
        <f>IF($B34&lt;&gt;"Entry","",IF(Z34="","",IF(X34="Y",SUMPRODUCT(('Rate Lookup'!$A$1:$A$37=Z34)*'Rate Lookup'!$D$1:$D$37),IF(OR(Y34="Individual",Y34="HUF"),SUMPRODUCT(('Rate Lookup'!$A$1:$A$37=Z34)*'Rate Lookup'!$B$1:$B$37),SUMPRODUCT(('Rate Lookup'!$A$1:$A$37=Z34)*'Rate Lookup'!$C$1:$C$37)))))</f>
      </c>
      <c r="AB34" s="30"/>
      <c r="AC34" s="31"/>
      <c r="AD34" s="27">
        <f>IF($B34&lt;&gt;"Entry","",ROUND(AC34*AA34/100,0))</f>
      </c>
      <c r="AE34" s="27">
        <f>IF($B34&lt;&gt;"Entry","",0)</f>
      </c>
      <c r="AF34" s="27">
        <f>IF($B34&lt;&gt;"Entry","",0)</f>
      </c>
      <c r="AG34" s="27">
        <f>IF($B34&lt;&gt;"Entry","",IF(OR(AD34=0,AB34="",AQ34="",AQ34&lt;=0),0,IF(AQ34&lt;=DATE(YEAR(AB34),MONTH(AB34)+1,7),0,ROUND(AD34*0.015*((YEAR(AQ34)-YEAR(AB34))*12+(MONTH(AQ34)-MONTH(AB34))+1),0))))</f>
      </c>
      <c r="AH34" s="27">
        <f>IF($B34&lt;&gt;"Entry","",0)</f>
      </c>
      <c r="AI34" s="28"/>
      <c r="AJ34" s="28"/>
      <c r="AK34" s="32"/>
      <c r="AL34" s="28"/>
      <c r="AM34" s="28"/>
      <c r="AN34" s="27">
        <f>IF($B34&lt;&gt;"Challan","",SUMIF('Q1 Data'!$D$4:$D$207,D34,'Q1 Data'!$AD$4:$AD$207)+SUMIF('Q1 Data'!$D$4:$D$207,D34,'Q1 Data'!$AG$4:$AG$207)+SUMIF('Q1 Data'!$D$4:$D$207,D34,'Q1 Data'!$AE$4:$AE$207)+SUMIF('Q2 Data'!$D$4:$D$207,D34,'Q2 Data'!$AD$4:$AD$207)+SUMIF('Q2 Data'!$D$4:$D$207,D34,'Q2 Data'!$AG$4:$AG$207)+SUMIF('Q2 Data'!$D$4:$D$207,D34,'Q2 Data'!$AE$4:$AE$207)+SUMIF('Q3 Data'!$D$4:$D$207,D34,'Q3 Data'!$AD$4:$AD$207)+SUMIF('Q3 Data'!$D$4:$D$207,D34,'Q3 Data'!$AG$4:$AG$207)+SUMIF('Q3 Data'!$D$4:$D$207,D34,'Q3 Data'!$AE$4:$AE$207)+SUMIF('Q4 Data'!$D$4:$D$207,D34,'Q4 Data'!$AD$4:$AD$207)+SUMIF('Q4 Data'!$D$4:$D$207,D34,'Q4 Data'!$AG$4:$AG$207)+SUMIF('Q4 Data'!$D$4:$D$207,D34,'Q4 Data'!$AE$4:$AE$207))</f>
      </c>
      <c r="AO34" s="27">
        <f>IF($B34&lt;&gt;"Challan","",P34-N34)</f>
      </c>
      <c r="AP34" s="27">
        <f>IF($B34&lt;&gt;"Challan","",MAX(0,AO34-AN34))</f>
      </c>
      <c r="AQ34" s="33">
        <f>IF($B34&lt;&gt;"Entry","",SUMPRODUCT(('Q1 Data'!$D$4:$D$207=D34)*('Q1 Data'!$B$4:$B$207="Challan")*'Q1 Data'!$F$4:$F$207)+SUMPRODUCT(('Q2 Data'!$D$4:$D$207=D34)*('Q2 Data'!$B$4:$B$207="Challan")*'Q2 Data'!$F$4:$F$207)+SUMPRODUCT(('Q3 Data'!$D$4:$D$207=D34)*('Q3 Data'!$B$4:$B$207="Challan")*'Q3 Data'!$F$4:$F$207)+SUMPRODUCT(('Q4 Data'!$D$4:$D$207=D34)*('Q4 Data'!$B$4:$B$207="Challan")*'Q4 Data'!$F$4:$F$207))</f>
      </c>
      <c r="AR34" s="34">
        <f>IF(OR($B34&lt;&gt;"Entry",Z34=""),FALSE,AND((SUMPRODUCT(('Q1 Data'!$D$4:$D$207=D34)*('Q1 Data'!$B$4:$B$207="Challan")*('Q1 Data'!$H$4:$H$207&lt;&gt;""))+SUMPRODUCT(('Q2 Data'!$D$4:$D$207=D34)*('Q2 Data'!$B$4:$B$207="Challan")*('Q2 Data'!$H$4:$H$207&lt;&gt;""))+SUMPRODUCT(('Q3 Data'!$D$4:$D$207=D34)*('Q3 Data'!$B$4:$B$207="Challan")*('Q3 Data'!$H$4:$H$207&lt;&gt;""))+SUMPRODUCT(('Q4 Data'!$D$4:$D$207=D34)*('Q4 Data'!$B$4:$B$207="Challan")*('Q4 Data'!$H$4:$H$207&lt;&gt;"")))&gt;0,(SUMPRODUCT(('Q1 Data'!$D$4:$D$207=D34)*('Q1 Data'!$B$4:$B$207="Challan")*('Q1 Data'!$H$4:$H$207=Z34))+SUMPRODUCT(('Q2 Data'!$D$4:$D$207=D34)*('Q2 Data'!$B$4:$B$207="Challan")*('Q2 Data'!$H$4:$H$207=Z34))+SUMPRODUCT(('Q3 Data'!$D$4:$D$207=D34)*('Q3 Data'!$B$4:$B$207="Challan")*('Q3 Data'!$H$4:$H$207=Z34))+SUMPRODUCT(('Q4 Data'!$D$4:$D$207=D34)*('Q4 Data'!$B$4:$B$207="Challan")*('Q4 Data'!$H$4:$H$207=Z34)))=0))</f>
      </c>
    </row>
    <row r="35" spans="1:44" x14ac:dyDescent="0.25">
      <c r="A35" s="20">
        <f>IF($B35="Entry",COUNTIF($B$4:$B35,"Entry"),"")</f>
      </c>
      <c r="B35" s="21"/>
      <c r="C35" s="22"/>
      <c r="D35" s="22"/>
      <c r="E35" s="23">
        <f>IF($B35&lt;&gt;"Challan","",IF(ROUND(AN35-AO35,2)&gt;0,"Over-applied",IF(ROUND(AN35-AO35,2)=0,"Fully Utilised","Unconsumed")))</f>
      </c>
      <c r="F35" s="24"/>
      <c r="G35" s="25"/>
      <c r="H35" s="25"/>
      <c r="I35" s="26"/>
      <c r="J35" s="26"/>
      <c r="K35" s="26"/>
      <c r="L35" s="26"/>
      <c r="M35" s="26"/>
      <c r="N35" s="26"/>
      <c r="O35" s="26"/>
      <c r="P35" s="27">
        <f>IF($B35&lt;&gt;"Challan","",I35+J35+K35+L35+M35+N35)</f>
      </c>
      <c r="Q35" s="25"/>
      <c r="R35" s="25"/>
      <c r="S35" s="25"/>
      <c r="T35" s="25"/>
      <c r="U35" s="25"/>
      <c r="V35" s="28"/>
      <c r="W35" s="28"/>
      <c r="X35" s="23">
        <f>IF($B35="Entry",IF(AND(LEN(TRIM(UPPER(W35)))=10,CODE(MID(TRIM(UPPER(W35)),1,1))&gt;=65,CODE(MID(TRIM(UPPER(W35)),1,1))&lt;=90,CODE(MID(TRIM(UPPER(W35)),2,1))&gt;=65,CODE(MID(TRIM(UPPER(W35)),2,1))&lt;=90,CODE(MID(TRIM(UPPER(W35)),3,1))&gt;=65,CODE(MID(TRIM(UPPER(W35)),3,1))&lt;=90,CODE(MID(TRIM(UPPER(W35)),4,1))&gt;=65,CODE(MID(TRIM(UPPER(W35)),4,1))&lt;=90,CODE(MID(TRIM(UPPER(W35)),5,1))&gt;=65,CODE(MID(TRIM(UPPER(W35)),5,1))&lt;=90,CODE(MID(TRIM(UPPER(W35)),10,1))&gt;=65,CODE(MID(TRIM(UPPER(W35)),10,1))&lt;=90,CODE(MID(TRIM(UPPER(W35)),6,1))&gt;=48,CODE(MID(TRIM(UPPER(W35)),6,1))&lt;=57,CODE(MID(TRIM(UPPER(W35)),7,1))&gt;=48,CODE(MID(TRIM(UPPER(W35)),7,1))&lt;=57,CODE(MID(TRIM(UPPER(W35)),8,1))&gt;=48,CODE(MID(TRIM(UPPER(W35)),8,1))&lt;=57,CODE(MID(TRIM(UPPER(W35)),9,1))&gt;=48,CODE(MID(TRIM(UPPER(W35)),9,1))&lt;=57),"N","Y"),IF($B35="Challan","",IF(W35&lt;&gt;"","◄ Set Row Type","")))</f>
      </c>
      <c r="Y35" s="23">
        <f>IF($B35="Entry",IF(LEN(W35)&lt;4,"",IF(UPPER(MID(W35,4,1))="P","Individual",IF(UPPER(MID(W35,4,1))="H","HUF",IF(UPPER(MID(W35,4,1))="C","Company",IF(UPPER(MID(W35,4,1))="F","Firm",IF(UPPER(MID(W35,4,1))="L","LLP",IF(UPPER(MID(W35,4,1))="T","Trust",IF(UPPER(MID(W35,4,1))="A","AOP","")))))))),IF($B35="Challan","",IF(W35&lt;&gt;"","◄ Set Row Type","")))</f>
      </c>
      <c r="Z35" s="28"/>
      <c r="AA35" s="29">
        <f>IF($B35&lt;&gt;"Entry","",IF(Z35="","",IF(X35="Y",SUMPRODUCT(('Rate Lookup'!$A$1:$A$37=Z35)*'Rate Lookup'!$D$1:$D$37),IF(OR(Y35="Individual",Y35="HUF"),SUMPRODUCT(('Rate Lookup'!$A$1:$A$37=Z35)*'Rate Lookup'!$B$1:$B$37),SUMPRODUCT(('Rate Lookup'!$A$1:$A$37=Z35)*'Rate Lookup'!$C$1:$C$37)))))</f>
      </c>
      <c r="AB35" s="30"/>
      <c r="AC35" s="31"/>
      <c r="AD35" s="27">
        <f>IF($B35&lt;&gt;"Entry","",ROUND(AC35*AA35/100,0))</f>
      </c>
      <c r="AE35" s="27">
        <f>IF($B35&lt;&gt;"Entry","",0)</f>
      </c>
      <c r="AF35" s="27">
        <f>IF($B35&lt;&gt;"Entry","",0)</f>
      </c>
      <c r="AG35" s="27">
        <f>IF($B35&lt;&gt;"Entry","",IF(OR(AD35=0,AB35="",AQ35="",AQ35&lt;=0),0,IF(AQ35&lt;=DATE(YEAR(AB35),MONTH(AB35)+1,7),0,ROUND(AD35*0.015*((YEAR(AQ35)-YEAR(AB35))*12+(MONTH(AQ35)-MONTH(AB35))+1),0))))</f>
      </c>
      <c r="AH35" s="27">
        <f>IF($B35&lt;&gt;"Entry","",0)</f>
      </c>
      <c r="AI35" s="28"/>
      <c r="AJ35" s="28"/>
      <c r="AK35" s="32"/>
      <c r="AL35" s="28"/>
      <c r="AM35" s="28"/>
      <c r="AN35" s="27">
        <f>IF($B35&lt;&gt;"Challan","",SUMIF('Q1 Data'!$D$4:$D$207,D35,'Q1 Data'!$AD$4:$AD$207)+SUMIF('Q1 Data'!$D$4:$D$207,D35,'Q1 Data'!$AG$4:$AG$207)+SUMIF('Q1 Data'!$D$4:$D$207,D35,'Q1 Data'!$AE$4:$AE$207)+SUMIF('Q2 Data'!$D$4:$D$207,D35,'Q2 Data'!$AD$4:$AD$207)+SUMIF('Q2 Data'!$D$4:$D$207,D35,'Q2 Data'!$AG$4:$AG$207)+SUMIF('Q2 Data'!$D$4:$D$207,D35,'Q2 Data'!$AE$4:$AE$207)+SUMIF('Q3 Data'!$D$4:$D$207,D35,'Q3 Data'!$AD$4:$AD$207)+SUMIF('Q3 Data'!$D$4:$D$207,D35,'Q3 Data'!$AG$4:$AG$207)+SUMIF('Q3 Data'!$D$4:$D$207,D35,'Q3 Data'!$AE$4:$AE$207)+SUMIF('Q4 Data'!$D$4:$D$207,D35,'Q4 Data'!$AD$4:$AD$207)+SUMIF('Q4 Data'!$D$4:$D$207,D35,'Q4 Data'!$AG$4:$AG$207)+SUMIF('Q4 Data'!$D$4:$D$207,D35,'Q4 Data'!$AE$4:$AE$207))</f>
      </c>
      <c r="AO35" s="27">
        <f>IF($B35&lt;&gt;"Challan","",P35-N35)</f>
      </c>
      <c r="AP35" s="27">
        <f>IF($B35&lt;&gt;"Challan","",MAX(0,AO35-AN35))</f>
      </c>
      <c r="AQ35" s="33">
        <f>IF($B35&lt;&gt;"Entry","",SUMPRODUCT(('Q1 Data'!$D$4:$D$207=D35)*('Q1 Data'!$B$4:$B$207="Challan")*'Q1 Data'!$F$4:$F$207)+SUMPRODUCT(('Q2 Data'!$D$4:$D$207=D35)*('Q2 Data'!$B$4:$B$207="Challan")*'Q2 Data'!$F$4:$F$207)+SUMPRODUCT(('Q3 Data'!$D$4:$D$207=D35)*('Q3 Data'!$B$4:$B$207="Challan")*'Q3 Data'!$F$4:$F$207)+SUMPRODUCT(('Q4 Data'!$D$4:$D$207=D35)*('Q4 Data'!$B$4:$B$207="Challan")*'Q4 Data'!$F$4:$F$207))</f>
      </c>
      <c r="AR35" s="34">
        <f>IF(OR($B35&lt;&gt;"Entry",Z35=""),FALSE,AND((SUMPRODUCT(('Q1 Data'!$D$4:$D$207=D35)*('Q1 Data'!$B$4:$B$207="Challan")*('Q1 Data'!$H$4:$H$207&lt;&gt;""))+SUMPRODUCT(('Q2 Data'!$D$4:$D$207=D35)*('Q2 Data'!$B$4:$B$207="Challan")*('Q2 Data'!$H$4:$H$207&lt;&gt;""))+SUMPRODUCT(('Q3 Data'!$D$4:$D$207=D35)*('Q3 Data'!$B$4:$B$207="Challan")*('Q3 Data'!$H$4:$H$207&lt;&gt;""))+SUMPRODUCT(('Q4 Data'!$D$4:$D$207=D35)*('Q4 Data'!$B$4:$B$207="Challan")*('Q4 Data'!$H$4:$H$207&lt;&gt;"")))&gt;0,(SUMPRODUCT(('Q1 Data'!$D$4:$D$207=D35)*('Q1 Data'!$B$4:$B$207="Challan")*('Q1 Data'!$H$4:$H$207=Z35))+SUMPRODUCT(('Q2 Data'!$D$4:$D$207=D35)*('Q2 Data'!$B$4:$B$207="Challan")*('Q2 Data'!$H$4:$H$207=Z35))+SUMPRODUCT(('Q3 Data'!$D$4:$D$207=D35)*('Q3 Data'!$B$4:$B$207="Challan")*('Q3 Data'!$H$4:$H$207=Z35))+SUMPRODUCT(('Q4 Data'!$D$4:$D$207=D35)*('Q4 Data'!$B$4:$B$207="Challan")*('Q4 Data'!$H$4:$H$207=Z35)))=0))</f>
      </c>
    </row>
    <row r="36" spans="1:44" x14ac:dyDescent="0.25">
      <c r="A36" s="20">
        <f>IF($B36="Entry",COUNTIF($B$4:$B36,"Entry"),"")</f>
      </c>
      <c r="B36" s="21"/>
      <c r="C36" s="22"/>
      <c r="D36" s="22"/>
      <c r="E36" s="23">
        <f>IF($B36&lt;&gt;"Challan","",IF(ROUND(AN36-AO36,2)&gt;0,"Over-applied",IF(ROUND(AN36-AO36,2)=0,"Fully Utilised","Unconsumed")))</f>
      </c>
      <c r="F36" s="24"/>
      <c r="G36" s="25"/>
      <c r="H36" s="25"/>
      <c r="I36" s="26"/>
      <c r="J36" s="26"/>
      <c r="K36" s="26"/>
      <c r="L36" s="26"/>
      <c r="M36" s="26"/>
      <c r="N36" s="26"/>
      <c r="O36" s="26"/>
      <c r="P36" s="27">
        <f>IF($B36&lt;&gt;"Challan","",I36+J36+K36+L36+M36+N36)</f>
      </c>
      <c r="Q36" s="25"/>
      <c r="R36" s="25"/>
      <c r="S36" s="25"/>
      <c r="T36" s="25"/>
      <c r="U36" s="25"/>
      <c r="V36" s="28"/>
      <c r="W36" s="28"/>
      <c r="X36" s="23">
        <f>IF($B36="Entry",IF(AND(LEN(TRIM(UPPER(W36)))=10,CODE(MID(TRIM(UPPER(W36)),1,1))&gt;=65,CODE(MID(TRIM(UPPER(W36)),1,1))&lt;=90,CODE(MID(TRIM(UPPER(W36)),2,1))&gt;=65,CODE(MID(TRIM(UPPER(W36)),2,1))&lt;=90,CODE(MID(TRIM(UPPER(W36)),3,1))&gt;=65,CODE(MID(TRIM(UPPER(W36)),3,1))&lt;=90,CODE(MID(TRIM(UPPER(W36)),4,1))&gt;=65,CODE(MID(TRIM(UPPER(W36)),4,1))&lt;=90,CODE(MID(TRIM(UPPER(W36)),5,1))&gt;=65,CODE(MID(TRIM(UPPER(W36)),5,1))&lt;=90,CODE(MID(TRIM(UPPER(W36)),10,1))&gt;=65,CODE(MID(TRIM(UPPER(W36)),10,1))&lt;=90,CODE(MID(TRIM(UPPER(W36)),6,1))&gt;=48,CODE(MID(TRIM(UPPER(W36)),6,1))&lt;=57,CODE(MID(TRIM(UPPER(W36)),7,1))&gt;=48,CODE(MID(TRIM(UPPER(W36)),7,1))&lt;=57,CODE(MID(TRIM(UPPER(W36)),8,1))&gt;=48,CODE(MID(TRIM(UPPER(W36)),8,1))&lt;=57,CODE(MID(TRIM(UPPER(W36)),9,1))&gt;=48,CODE(MID(TRIM(UPPER(W36)),9,1))&lt;=57),"N","Y"),IF($B36="Challan","",IF(W36&lt;&gt;"","◄ Set Row Type","")))</f>
      </c>
      <c r="Y36" s="23">
        <f>IF($B36="Entry",IF(LEN(W36)&lt;4,"",IF(UPPER(MID(W36,4,1))="P","Individual",IF(UPPER(MID(W36,4,1))="H","HUF",IF(UPPER(MID(W36,4,1))="C","Company",IF(UPPER(MID(W36,4,1))="F","Firm",IF(UPPER(MID(W36,4,1))="L","LLP",IF(UPPER(MID(W36,4,1))="T","Trust",IF(UPPER(MID(W36,4,1))="A","AOP","")))))))),IF($B36="Challan","",IF(W36&lt;&gt;"","◄ Set Row Type","")))</f>
      </c>
      <c r="Z36" s="28"/>
      <c r="AA36" s="29">
        <f>IF($B36&lt;&gt;"Entry","",IF(Z36="","",IF(X36="Y",SUMPRODUCT(('Rate Lookup'!$A$1:$A$37=Z36)*'Rate Lookup'!$D$1:$D$37),IF(OR(Y36="Individual",Y36="HUF"),SUMPRODUCT(('Rate Lookup'!$A$1:$A$37=Z36)*'Rate Lookup'!$B$1:$B$37),SUMPRODUCT(('Rate Lookup'!$A$1:$A$37=Z36)*'Rate Lookup'!$C$1:$C$37)))))</f>
      </c>
      <c r="AB36" s="30"/>
      <c r="AC36" s="31"/>
      <c r="AD36" s="27">
        <f>IF($B36&lt;&gt;"Entry","",ROUND(AC36*AA36/100,0))</f>
      </c>
      <c r="AE36" s="27">
        <f>IF($B36&lt;&gt;"Entry","",0)</f>
      </c>
      <c r="AF36" s="27">
        <f>IF($B36&lt;&gt;"Entry","",0)</f>
      </c>
      <c r="AG36" s="27">
        <f>IF($B36&lt;&gt;"Entry","",IF(OR(AD36=0,AB36="",AQ36="",AQ36&lt;=0),0,IF(AQ36&lt;=DATE(YEAR(AB36),MONTH(AB36)+1,7),0,ROUND(AD36*0.015*((YEAR(AQ36)-YEAR(AB36))*12+(MONTH(AQ36)-MONTH(AB36))+1),0))))</f>
      </c>
      <c r="AH36" s="27">
        <f>IF($B36&lt;&gt;"Entry","",0)</f>
      </c>
      <c r="AI36" s="28"/>
      <c r="AJ36" s="28"/>
      <c r="AK36" s="32"/>
      <c r="AL36" s="28"/>
      <c r="AM36" s="28"/>
      <c r="AN36" s="27">
        <f>IF($B36&lt;&gt;"Challan","",SUMIF('Q1 Data'!$D$4:$D$207,D36,'Q1 Data'!$AD$4:$AD$207)+SUMIF('Q1 Data'!$D$4:$D$207,D36,'Q1 Data'!$AG$4:$AG$207)+SUMIF('Q1 Data'!$D$4:$D$207,D36,'Q1 Data'!$AE$4:$AE$207)+SUMIF('Q2 Data'!$D$4:$D$207,D36,'Q2 Data'!$AD$4:$AD$207)+SUMIF('Q2 Data'!$D$4:$D$207,D36,'Q2 Data'!$AG$4:$AG$207)+SUMIF('Q2 Data'!$D$4:$D$207,D36,'Q2 Data'!$AE$4:$AE$207)+SUMIF('Q3 Data'!$D$4:$D$207,D36,'Q3 Data'!$AD$4:$AD$207)+SUMIF('Q3 Data'!$D$4:$D$207,D36,'Q3 Data'!$AG$4:$AG$207)+SUMIF('Q3 Data'!$D$4:$D$207,D36,'Q3 Data'!$AE$4:$AE$207)+SUMIF('Q4 Data'!$D$4:$D$207,D36,'Q4 Data'!$AD$4:$AD$207)+SUMIF('Q4 Data'!$D$4:$D$207,D36,'Q4 Data'!$AG$4:$AG$207)+SUMIF('Q4 Data'!$D$4:$D$207,D36,'Q4 Data'!$AE$4:$AE$207))</f>
      </c>
      <c r="AO36" s="27">
        <f>IF($B36&lt;&gt;"Challan","",P36-N36)</f>
      </c>
      <c r="AP36" s="27">
        <f>IF($B36&lt;&gt;"Challan","",MAX(0,AO36-AN36))</f>
      </c>
      <c r="AQ36" s="33">
        <f>IF($B36&lt;&gt;"Entry","",SUMPRODUCT(('Q1 Data'!$D$4:$D$207=D36)*('Q1 Data'!$B$4:$B$207="Challan")*'Q1 Data'!$F$4:$F$207)+SUMPRODUCT(('Q2 Data'!$D$4:$D$207=D36)*('Q2 Data'!$B$4:$B$207="Challan")*'Q2 Data'!$F$4:$F$207)+SUMPRODUCT(('Q3 Data'!$D$4:$D$207=D36)*('Q3 Data'!$B$4:$B$207="Challan")*'Q3 Data'!$F$4:$F$207)+SUMPRODUCT(('Q4 Data'!$D$4:$D$207=D36)*('Q4 Data'!$B$4:$B$207="Challan")*'Q4 Data'!$F$4:$F$207))</f>
      </c>
      <c r="AR36" s="34">
        <f>IF(OR($B36&lt;&gt;"Entry",Z36=""),FALSE,AND((SUMPRODUCT(('Q1 Data'!$D$4:$D$207=D36)*('Q1 Data'!$B$4:$B$207="Challan")*('Q1 Data'!$H$4:$H$207&lt;&gt;""))+SUMPRODUCT(('Q2 Data'!$D$4:$D$207=D36)*('Q2 Data'!$B$4:$B$207="Challan")*('Q2 Data'!$H$4:$H$207&lt;&gt;""))+SUMPRODUCT(('Q3 Data'!$D$4:$D$207=D36)*('Q3 Data'!$B$4:$B$207="Challan")*('Q3 Data'!$H$4:$H$207&lt;&gt;""))+SUMPRODUCT(('Q4 Data'!$D$4:$D$207=D36)*('Q4 Data'!$B$4:$B$207="Challan")*('Q4 Data'!$H$4:$H$207&lt;&gt;"")))&gt;0,(SUMPRODUCT(('Q1 Data'!$D$4:$D$207=D36)*('Q1 Data'!$B$4:$B$207="Challan")*('Q1 Data'!$H$4:$H$207=Z36))+SUMPRODUCT(('Q2 Data'!$D$4:$D$207=D36)*('Q2 Data'!$B$4:$B$207="Challan")*('Q2 Data'!$H$4:$H$207=Z36))+SUMPRODUCT(('Q3 Data'!$D$4:$D$207=D36)*('Q3 Data'!$B$4:$B$207="Challan")*('Q3 Data'!$H$4:$H$207=Z36))+SUMPRODUCT(('Q4 Data'!$D$4:$D$207=D36)*('Q4 Data'!$B$4:$B$207="Challan")*('Q4 Data'!$H$4:$H$207=Z36)))=0))</f>
      </c>
    </row>
    <row r="37" spans="1:44" x14ac:dyDescent="0.25">
      <c r="A37" s="20">
        <f>IF($B37="Entry",COUNTIF($B$4:$B37,"Entry"),"")</f>
      </c>
      <c r="B37" s="21"/>
      <c r="C37" s="22"/>
      <c r="D37" s="22"/>
      <c r="E37" s="23">
        <f>IF($B37&lt;&gt;"Challan","",IF(ROUND(AN37-AO37,2)&gt;0,"Over-applied",IF(ROUND(AN37-AO37,2)=0,"Fully Utilised","Unconsumed")))</f>
      </c>
      <c r="F37" s="24"/>
      <c r="G37" s="25"/>
      <c r="H37" s="25"/>
      <c r="I37" s="26"/>
      <c r="J37" s="26"/>
      <c r="K37" s="26"/>
      <c r="L37" s="26"/>
      <c r="M37" s="26"/>
      <c r="N37" s="26"/>
      <c r="O37" s="26"/>
      <c r="P37" s="27">
        <f>IF($B37&lt;&gt;"Challan","",I37+J37+K37+L37+M37+N37)</f>
      </c>
      <c r="Q37" s="25"/>
      <c r="R37" s="25"/>
      <c r="S37" s="25"/>
      <c r="T37" s="25"/>
      <c r="U37" s="25"/>
      <c r="V37" s="28"/>
      <c r="W37" s="28"/>
      <c r="X37" s="23">
        <f>IF($B37="Entry",IF(AND(LEN(TRIM(UPPER(W37)))=10,CODE(MID(TRIM(UPPER(W37)),1,1))&gt;=65,CODE(MID(TRIM(UPPER(W37)),1,1))&lt;=90,CODE(MID(TRIM(UPPER(W37)),2,1))&gt;=65,CODE(MID(TRIM(UPPER(W37)),2,1))&lt;=90,CODE(MID(TRIM(UPPER(W37)),3,1))&gt;=65,CODE(MID(TRIM(UPPER(W37)),3,1))&lt;=90,CODE(MID(TRIM(UPPER(W37)),4,1))&gt;=65,CODE(MID(TRIM(UPPER(W37)),4,1))&lt;=90,CODE(MID(TRIM(UPPER(W37)),5,1))&gt;=65,CODE(MID(TRIM(UPPER(W37)),5,1))&lt;=90,CODE(MID(TRIM(UPPER(W37)),10,1))&gt;=65,CODE(MID(TRIM(UPPER(W37)),10,1))&lt;=90,CODE(MID(TRIM(UPPER(W37)),6,1))&gt;=48,CODE(MID(TRIM(UPPER(W37)),6,1))&lt;=57,CODE(MID(TRIM(UPPER(W37)),7,1))&gt;=48,CODE(MID(TRIM(UPPER(W37)),7,1))&lt;=57,CODE(MID(TRIM(UPPER(W37)),8,1))&gt;=48,CODE(MID(TRIM(UPPER(W37)),8,1))&lt;=57,CODE(MID(TRIM(UPPER(W37)),9,1))&gt;=48,CODE(MID(TRIM(UPPER(W37)),9,1))&lt;=57),"N","Y"),IF($B37="Challan","",IF(W37&lt;&gt;"","◄ Set Row Type","")))</f>
      </c>
      <c r="Y37" s="23">
        <f>IF($B37="Entry",IF(LEN(W37)&lt;4,"",IF(UPPER(MID(W37,4,1))="P","Individual",IF(UPPER(MID(W37,4,1))="H","HUF",IF(UPPER(MID(W37,4,1))="C","Company",IF(UPPER(MID(W37,4,1))="F","Firm",IF(UPPER(MID(W37,4,1))="L","LLP",IF(UPPER(MID(W37,4,1))="T","Trust",IF(UPPER(MID(W37,4,1))="A","AOP","")))))))),IF($B37="Challan","",IF(W37&lt;&gt;"","◄ Set Row Type","")))</f>
      </c>
      <c r="Z37" s="28"/>
      <c r="AA37" s="29">
        <f>IF($B37&lt;&gt;"Entry","",IF(Z37="","",IF(X37="Y",SUMPRODUCT(('Rate Lookup'!$A$1:$A$37=Z37)*'Rate Lookup'!$D$1:$D$37),IF(OR(Y37="Individual",Y37="HUF"),SUMPRODUCT(('Rate Lookup'!$A$1:$A$37=Z37)*'Rate Lookup'!$B$1:$B$37),SUMPRODUCT(('Rate Lookup'!$A$1:$A$37=Z37)*'Rate Lookup'!$C$1:$C$37)))))</f>
      </c>
      <c r="AB37" s="30"/>
      <c r="AC37" s="31"/>
      <c r="AD37" s="27">
        <f>IF($B37&lt;&gt;"Entry","",ROUND(AC37*AA37/100,0))</f>
      </c>
      <c r="AE37" s="27">
        <f>IF($B37&lt;&gt;"Entry","",0)</f>
      </c>
      <c r="AF37" s="27">
        <f>IF($B37&lt;&gt;"Entry","",0)</f>
      </c>
      <c r="AG37" s="27">
        <f>IF($B37&lt;&gt;"Entry","",IF(OR(AD37=0,AB37="",AQ37="",AQ37&lt;=0),0,IF(AQ37&lt;=DATE(YEAR(AB37),MONTH(AB37)+1,7),0,ROUND(AD37*0.015*((YEAR(AQ37)-YEAR(AB37))*12+(MONTH(AQ37)-MONTH(AB37))+1),0))))</f>
      </c>
      <c r="AH37" s="27">
        <f>IF($B37&lt;&gt;"Entry","",0)</f>
      </c>
      <c r="AI37" s="28"/>
      <c r="AJ37" s="28"/>
      <c r="AK37" s="32"/>
      <c r="AL37" s="28"/>
      <c r="AM37" s="28"/>
      <c r="AN37" s="27">
        <f>IF($B37&lt;&gt;"Challan","",SUMIF('Q1 Data'!$D$4:$D$207,D37,'Q1 Data'!$AD$4:$AD$207)+SUMIF('Q1 Data'!$D$4:$D$207,D37,'Q1 Data'!$AG$4:$AG$207)+SUMIF('Q1 Data'!$D$4:$D$207,D37,'Q1 Data'!$AE$4:$AE$207)+SUMIF('Q2 Data'!$D$4:$D$207,D37,'Q2 Data'!$AD$4:$AD$207)+SUMIF('Q2 Data'!$D$4:$D$207,D37,'Q2 Data'!$AG$4:$AG$207)+SUMIF('Q2 Data'!$D$4:$D$207,D37,'Q2 Data'!$AE$4:$AE$207)+SUMIF('Q3 Data'!$D$4:$D$207,D37,'Q3 Data'!$AD$4:$AD$207)+SUMIF('Q3 Data'!$D$4:$D$207,D37,'Q3 Data'!$AG$4:$AG$207)+SUMIF('Q3 Data'!$D$4:$D$207,D37,'Q3 Data'!$AE$4:$AE$207)+SUMIF('Q4 Data'!$D$4:$D$207,D37,'Q4 Data'!$AD$4:$AD$207)+SUMIF('Q4 Data'!$D$4:$D$207,D37,'Q4 Data'!$AG$4:$AG$207)+SUMIF('Q4 Data'!$D$4:$D$207,D37,'Q4 Data'!$AE$4:$AE$207))</f>
      </c>
      <c r="AO37" s="27">
        <f>IF($B37&lt;&gt;"Challan","",P37-N37)</f>
      </c>
      <c r="AP37" s="27">
        <f>IF($B37&lt;&gt;"Challan","",MAX(0,AO37-AN37))</f>
      </c>
      <c r="AQ37" s="33">
        <f>IF($B37&lt;&gt;"Entry","",SUMPRODUCT(('Q1 Data'!$D$4:$D$207=D37)*('Q1 Data'!$B$4:$B$207="Challan")*'Q1 Data'!$F$4:$F$207)+SUMPRODUCT(('Q2 Data'!$D$4:$D$207=D37)*('Q2 Data'!$B$4:$B$207="Challan")*'Q2 Data'!$F$4:$F$207)+SUMPRODUCT(('Q3 Data'!$D$4:$D$207=D37)*('Q3 Data'!$B$4:$B$207="Challan")*'Q3 Data'!$F$4:$F$207)+SUMPRODUCT(('Q4 Data'!$D$4:$D$207=D37)*('Q4 Data'!$B$4:$B$207="Challan")*'Q4 Data'!$F$4:$F$207))</f>
      </c>
      <c r="AR37" s="34">
        <f>IF(OR($B37&lt;&gt;"Entry",Z37=""),FALSE,AND((SUMPRODUCT(('Q1 Data'!$D$4:$D$207=D37)*('Q1 Data'!$B$4:$B$207="Challan")*('Q1 Data'!$H$4:$H$207&lt;&gt;""))+SUMPRODUCT(('Q2 Data'!$D$4:$D$207=D37)*('Q2 Data'!$B$4:$B$207="Challan")*('Q2 Data'!$H$4:$H$207&lt;&gt;""))+SUMPRODUCT(('Q3 Data'!$D$4:$D$207=D37)*('Q3 Data'!$B$4:$B$207="Challan")*('Q3 Data'!$H$4:$H$207&lt;&gt;""))+SUMPRODUCT(('Q4 Data'!$D$4:$D$207=D37)*('Q4 Data'!$B$4:$B$207="Challan")*('Q4 Data'!$H$4:$H$207&lt;&gt;"")))&gt;0,(SUMPRODUCT(('Q1 Data'!$D$4:$D$207=D37)*('Q1 Data'!$B$4:$B$207="Challan")*('Q1 Data'!$H$4:$H$207=Z37))+SUMPRODUCT(('Q2 Data'!$D$4:$D$207=D37)*('Q2 Data'!$B$4:$B$207="Challan")*('Q2 Data'!$H$4:$H$207=Z37))+SUMPRODUCT(('Q3 Data'!$D$4:$D$207=D37)*('Q3 Data'!$B$4:$B$207="Challan")*('Q3 Data'!$H$4:$H$207=Z37))+SUMPRODUCT(('Q4 Data'!$D$4:$D$207=D37)*('Q4 Data'!$B$4:$B$207="Challan")*('Q4 Data'!$H$4:$H$207=Z37)))=0))</f>
      </c>
    </row>
    <row r="38" spans="1:44" x14ac:dyDescent="0.25">
      <c r="A38" s="20">
        <f>IF($B38="Entry",COUNTIF($B$4:$B38,"Entry"),"")</f>
      </c>
      <c r="B38" s="21"/>
      <c r="C38" s="22"/>
      <c r="D38" s="22"/>
      <c r="E38" s="23">
        <f>IF($B38&lt;&gt;"Challan","",IF(ROUND(AN38-AO38,2)&gt;0,"Over-applied",IF(ROUND(AN38-AO38,2)=0,"Fully Utilised","Unconsumed")))</f>
      </c>
      <c r="F38" s="24"/>
      <c r="G38" s="25"/>
      <c r="H38" s="25"/>
      <c r="I38" s="26"/>
      <c r="J38" s="26"/>
      <c r="K38" s="26"/>
      <c r="L38" s="26"/>
      <c r="M38" s="26"/>
      <c r="N38" s="26"/>
      <c r="O38" s="26"/>
      <c r="P38" s="27">
        <f>IF($B38&lt;&gt;"Challan","",I38+J38+K38+L38+M38+N38)</f>
      </c>
      <c r="Q38" s="25"/>
      <c r="R38" s="25"/>
      <c r="S38" s="25"/>
      <c r="T38" s="25"/>
      <c r="U38" s="25"/>
      <c r="V38" s="28"/>
      <c r="W38" s="28"/>
      <c r="X38" s="23">
        <f>IF($B38="Entry",IF(AND(LEN(TRIM(UPPER(W38)))=10,CODE(MID(TRIM(UPPER(W38)),1,1))&gt;=65,CODE(MID(TRIM(UPPER(W38)),1,1))&lt;=90,CODE(MID(TRIM(UPPER(W38)),2,1))&gt;=65,CODE(MID(TRIM(UPPER(W38)),2,1))&lt;=90,CODE(MID(TRIM(UPPER(W38)),3,1))&gt;=65,CODE(MID(TRIM(UPPER(W38)),3,1))&lt;=90,CODE(MID(TRIM(UPPER(W38)),4,1))&gt;=65,CODE(MID(TRIM(UPPER(W38)),4,1))&lt;=90,CODE(MID(TRIM(UPPER(W38)),5,1))&gt;=65,CODE(MID(TRIM(UPPER(W38)),5,1))&lt;=90,CODE(MID(TRIM(UPPER(W38)),10,1))&gt;=65,CODE(MID(TRIM(UPPER(W38)),10,1))&lt;=90,CODE(MID(TRIM(UPPER(W38)),6,1))&gt;=48,CODE(MID(TRIM(UPPER(W38)),6,1))&lt;=57,CODE(MID(TRIM(UPPER(W38)),7,1))&gt;=48,CODE(MID(TRIM(UPPER(W38)),7,1))&lt;=57,CODE(MID(TRIM(UPPER(W38)),8,1))&gt;=48,CODE(MID(TRIM(UPPER(W38)),8,1))&lt;=57,CODE(MID(TRIM(UPPER(W38)),9,1))&gt;=48,CODE(MID(TRIM(UPPER(W38)),9,1))&lt;=57),"N","Y"),IF($B38="Challan","",IF(W38&lt;&gt;"","◄ Set Row Type","")))</f>
      </c>
      <c r="Y38" s="23">
        <f>IF($B38="Entry",IF(LEN(W38)&lt;4,"",IF(UPPER(MID(W38,4,1))="P","Individual",IF(UPPER(MID(W38,4,1))="H","HUF",IF(UPPER(MID(W38,4,1))="C","Company",IF(UPPER(MID(W38,4,1))="F","Firm",IF(UPPER(MID(W38,4,1))="L","LLP",IF(UPPER(MID(W38,4,1))="T","Trust",IF(UPPER(MID(W38,4,1))="A","AOP","")))))))),IF($B38="Challan","",IF(W38&lt;&gt;"","◄ Set Row Type","")))</f>
      </c>
      <c r="Z38" s="28"/>
      <c r="AA38" s="29">
        <f>IF($B38&lt;&gt;"Entry","",IF(Z38="","",IF(X38="Y",SUMPRODUCT(('Rate Lookup'!$A$1:$A$37=Z38)*'Rate Lookup'!$D$1:$D$37),IF(OR(Y38="Individual",Y38="HUF"),SUMPRODUCT(('Rate Lookup'!$A$1:$A$37=Z38)*'Rate Lookup'!$B$1:$B$37),SUMPRODUCT(('Rate Lookup'!$A$1:$A$37=Z38)*'Rate Lookup'!$C$1:$C$37)))))</f>
      </c>
      <c r="AB38" s="30"/>
      <c r="AC38" s="31"/>
      <c r="AD38" s="27">
        <f>IF($B38&lt;&gt;"Entry","",ROUND(AC38*AA38/100,0))</f>
      </c>
      <c r="AE38" s="27">
        <f>IF($B38&lt;&gt;"Entry","",0)</f>
      </c>
      <c r="AF38" s="27">
        <f>IF($B38&lt;&gt;"Entry","",0)</f>
      </c>
      <c r="AG38" s="27">
        <f>IF($B38&lt;&gt;"Entry","",IF(OR(AD38=0,AB38="",AQ38="",AQ38&lt;=0),0,IF(AQ38&lt;=DATE(YEAR(AB38),MONTH(AB38)+1,7),0,ROUND(AD38*0.015*((YEAR(AQ38)-YEAR(AB38))*12+(MONTH(AQ38)-MONTH(AB38))+1),0))))</f>
      </c>
      <c r="AH38" s="27">
        <f>IF($B38&lt;&gt;"Entry","",0)</f>
      </c>
      <c r="AI38" s="28"/>
      <c r="AJ38" s="28"/>
      <c r="AK38" s="32"/>
      <c r="AL38" s="28"/>
      <c r="AM38" s="28"/>
      <c r="AN38" s="27">
        <f>IF($B38&lt;&gt;"Challan","",SUMIF('Q1 Data'!$D$4:$D$207,D38,'Q1 Data'!$AD$4:$AD$207)+SUMIF('Q1 Data'!$D$4:$D$207,D38,'Q1 Data'!$AG$4:$AG$207)+SUMIF('Q1 Data'!$D$4:$D$207,D38,'Q1 Data'!$AE$4:$AE$207)+SUMIF('Q2 Data'!$D$4:$D$207,D38,'Q2 Data'!$AD$4:$AD$207)+SUMIF('Q2 Data'!$D$4:$D$207,D38,'Q2 Data'!$AG$4:$AG$207)+SUMIF('Q2 Data'!$D$4:$D$207,D38,'Q2 Data'!$AE$4:$AE$207)+SUMIF('Q3 Data'!$D$4:$D$207,D38,'Q3 Data'!$AD$4:$AD$207)+SUMIF('Q3 Data'!$D$4:$D$207,D38,'Q3 Data'!$AG$4:$AG$207)+SUMIF('Q3 Data'!$D$4:$D$207,D38,'Q3 Data'!$AE$4:$AE$207)+SUMIF('Q4 Data'!$D$4:$D$207,D38,'Q4 Data'!$AD$4:$AD$207)+SUMIF('Q4 Data'!$D$4:$D$207,D38,'Q4 Data'!$AG$4:$AG$207)+SUMIF('Q4 Data'!$D$4:$D$207,D38,'Q4 Data'!$AE$4:$AE$207))</f>
      </c>
      <c r="AO38" s="27">
        <f>IF($B38&lt;&gt;"Challan","",P38-N38)</f>
      </c>
      <c r="AP38" s="27">
        <f>IF($B38&lt;&gt;"Challan","",MAX(0,AO38-AN38))</f>
      </c>
      <c r="AQ38" s="33">
        <f>IF($B38&lt;&gt;"Entry","",SUMPRODUCT(('Q1 Data'!$D$4:$D$207=D38)*('Q1 Data'!$B$4:$B$207="Challan")*'Q1 Data'!$F$4:$F$207)+SUMPRODUCT(('Q2 Data'!$D$4:$D$207=D38)*('Q2 Data'!$B$4:$B$207="Challan")*'Q2 Data'!$F$4:$F$207)+SUMPRODUCT(('Q3 Data'!$D$4:$D$207=D38)*('Q3 Data'!$B$4:$B$207="Challan")*'Q3 Data'!$F$4:$F$207)+SUMPRODUCT(('Q4 Data'!$D$4:$D$207=D38)*('Q4 Data'!$B$4:$B$207="Challan")*'Q4 Data'!$F$4:$F$207))</f>
      </c>
      <c r="AR38" s="34">
        <f>IF(OR($B38&lt;&gt;"Entry",Z38=""),FALSE,AND((SUMPRODUCT(('Q1 Data'!$D$4:$D$207=D38)*('Q1 Data'!$B$4:$B$207="Challan")*('Q1 Data'!$H$4:$H$207&lt;&gt;""))+SUMPRODUCT(('Q2 Data'!$D$4:$D$207=D38)*('Q2 Data'!$B$4:$B$207="Challan")*('Q2 Data'!$H$4:$H$207&lt;&gt;""))+SUMPRODUCT(('Q3 Data'!$D$4:$D$207=D38)*('Q3 Data'!$B$4:$B$207="Challan")*('Q3 Data'!$H$4:$H$207&lt;&gt;""))+SUMPRODUCT(('Q4 Data'!$D$4:$D$207=D38)*('Q4 Data'!$B$4:$B$207="Challan")*('Q4 Data'!$H$4:$H$207&lt;&gt;"")))&gt;0,(SUMPRODUCT(('Q1 Data'!$D$4:$D$207=D38)*('Q1 Data'!$B$4:$B$207="Challan")*('Q1 Data'!$H$4:$H$207=Z38))+SUMPRODUCT(('Q2 Data'!$D$4:$D$207=D38)*('Q2 Data'!$B$4:$B$207="Challan")*('Q2 Data'!$H$4:$H$207=Z38))+SUMPRODUCT(('Q3 Data'!$D$4:$D$207=D38)*('Q3 Data'!$B$4:$B$207="Challan")*('Q3 Data'!$H$4:$H$207=Z38))+SUMPRODUCT(('Q4 Data'!$D$4:$D$207=D38)*('Q4 Data'!$B$4:$B$207="Challan")*('Q4 Data'!$H$4:$H$207=Z38)))=0))</f>
      </c>
    </row>
    <row r="39" spans="1:44" x14ac:dyDescent="0.25">
      <c r="A39" s="20">
        <f>IF($B39="Entry",COUNTIF($B$4:$B39,"Entry"),"")</f>
      </c>
      <c r="B39" s="21"/>
      <c r="C39" s="22"/>
      <c r="D39" s="22"/>
      <c r="E39" s="23">
        <f>IF($B39&lt;&gt;"Challan","",IF(ROUND(AN39-AO39,2)&gt;0,"Over-applied",IF(ROUND(AN39-AO39,2)=0,"Fully Utilised","Unconsumed")))</f>
      </c>
      <c r="F39" s="24"/>
      <c r="G39" s="25"/>
      <c r="H39" s="25"/>
      <c r="I39" s="26"/>
      <c r="J39" s="26"/>
      <c r="K39" s="26"/>
      <c r="L39" s="26"/>
      <c r="M39" s="26"/>
      <c r="N39" s="26"/>
      <c r="O39" s="26"/>
      <c r="P39" s="27">
        <f>IF($B39&lt;&gt;"Challan","",I39+J39+K39+L39+M39+N39)</f>
      </c>
      <c r="Q39" s="25"/>
      <c r="R39" s="25"/>
      <c r="S39" s="25"/>
      <c r="T39" s="25"/>
      <c r="U39" s="25"/>
      <c r="V39" s="28"/>
      <c r="W39" s="28"/>
      <c r="X39" s="23">
        <f>IF($B39="Entry",IF(AND(LEN(TRIM(UPPER(W39)))=10,CODE(MID(TRIM(UPPER(W39)),1,1))&gt;=65,CODE(MID(TRIM(UPPER(W39)),1,1))&lt;=90,CODE(MID(TRIM(UPPER(W39)),2,1))&gt;=65,CODE(MID(TRIM(UPPER(W39)),2,1))&lt;=90,CODE(MID(TRIM(UPPER(W39)),3,1))&gt;=65,CODE(MID(TRIM(UPPER(W39)),3,1))&lt;=90,CODE(MID(TRIM(UPPER(W39)),4,1))&gt;=65,CODE(MID(TRIM(UPPER(W39)),4,1))&lt;=90,CODE(MID(TRIM(UPPER(W39)),5,1))&gt;=65,CODE(MID(TRIM(UPPER(W39)),5,1))&lt;=90,CODE(MID(TRIM(UPPER(W39)),10,1))&gt;=65,CODE(MID(TRIM(UPPER(W39)),10,1))&lt;=90,CODE(MID(TRIM(UPPER(W39)),6,1))&gt;=48,CODE(MID(TRIM(UPPER(W39)),6,1))&lt;=57,CODE(MID(TRIM(UPPER(W39)),7,1))&gt;=48,CODE(MID(TRIM(UPPER(W39)),7,1))&lt;=57,CODE(MID(TRIM(UPPER(W39)),8,1))&gt;=48,CODE(MID(TRIM(UPPER(W39)),8,1))&lt;=57,CODE(MID(TRIM(UPPER(W39)),9,1))&gt;=48,CODE(MID(TRIM(UPPER(W39)),9,1))&lt;=57),"N","Y"),IF($B39="Challan","",IF(W39&lt;&gt;"","◄ Set Row Type","")))</f>
      </c>
      <c r="Y39" s="23">
        <f>IF($B39="Entry",IF(LEN(W39)&lt;4,"",IF(UPPER(MID(W39,4,1))="P","Individual",IF(UPPER(MID(W39,4,1))="H","HUF",IF(UPPER(MID(W39,4,1))="C","Company",IF(UPPER(MID(W39,4,1))="F","Firm",IF(UPPER(MID(W39,4,1))="L","LLP",IF(UPPER(MID(W39,4,1))="T","Trust",IF(UPPER(MID(W39,4,1))="A","AOP","")))))))),IF($B39="Challan","",IF(W39&lt;&gt;"","◄ Set Row Type","")))</f>
      </c>
      <c r="Z39" s="28"/>
      <c r="AA39" s="29">
        <f>IF($B39&lt;&gt;"Entry","",IF(Z39="","",IF(X39="Y",SUMPRODUCT(('Rate Lookup'!$A$1:$A$37=Z39)*'Rate Lookup'!$D$1:$D$37),IF(OR(Y39="Individual",Y39="HUF"),SUMPRODUCT(('Rate Lookup'!$A$1:$A$37=Z39)*'Rate Lookup'!$B$1:$B$37),SUMPRODUCT(('Rate Lookup'!$A$1:$A$37=Z39)*'Rate Lookup'!$C$1:$C$37)))))</f>
      </c>
      <c r="AB39" s="30"/>
      <c r="AC39" s="31"/>
      <c r="AD39" s="27">
        <f>IF($B39&lt;&gt;"Entry","",ROUND(AC39*AA39/100,0))</f>
      </c>
      <c r="AE39" s="27">
        <f>IF($B39&lt;&gt;"Entry","",0)</f>
      </c>
      <c r="AF39" s="27">
        <f>IF($B39&lt;&gt;"Entry","",0)</f>
      </c>
      <c r="AG39" s="27">
        <f>IF($B39&lt;&gt;"Entry","",IF(OR(AD39=0,AB39="",AQ39="",AQ39&lt;=0),0,IF(AQ39&lt;=DATE(YEAR(AB39),MONTH(AB39)+1,7),0,ROUND(AD39*0.015*((YEAR(AQ39)-YEAR(AB39))*12+(MONTH(AQ39)-MONTH(AB39))+1),0))))</f>
      </c>
      <c r="AH39" s="27">
        <f>IF($B39&lt;&gt;"Entry","",0)</f>
      </c>
      <c r="AI39" s="28"/>
      <c r="AJ39" s="28"/>
      <c r="AK39" s="32"/>
      <c r="AL39" s="28"/>
      <c r="AM39" s="28"/>
      <c r="AN39" s="27">
        <f>IF($B39&lt;&gt;"Challan","",SUMIF('Q1 Data'!$D$4:$D$207,D39,'Q1 Data'!$AD$4:$AD$207)+SUMIF('Q1 Data'!$D$4:$D$207,D39,'Q1 Data'!$AG$4:$AG$207)+SUMIF('Q1 Data'!$D$4:$D$207,D39,'Q1 Data'!$AE$4:$AE$207)+SUMIF('Q2 Data'!$D$4:$D$207,D39,'Q2 Data'!$AD$4:$AD$207)+SUMIF('Q2 Data'!$D$4:$D$207,D39,'Q2 Data'!$AG$4:$AG$207)+SUMIF('Q2 Data'!$D$4:$D$207,D39,'Q2 Data'!$AE$4:$AE$207)+SUMIF('Q3 Data'!$D$4:$D$207,D39,'Q3 Data'!$AD$4:$AD$207)+SUMIF('Q3 Data'!$D$4:$D$207,D39,'Q3 Data'!$AG$4:$AG$207)+SUMIF('Q3 Data'!$D$4:$D$207,D39,'Q3 Data'!$AE$4:$AE$207)+SUMIF('Q4 Data'!$D$4:$D$207,D39,'Q4 Data'!$AD$4:$AD$207)+SUMIF('Q4 Data'!$D$4:$D$207,D39,'Q4 Data'!$AG$4:$AG$207)+SUMIF('Q4 Data'!$D$4:$D$207,D39,'Q4 Data'!$AE$4:$AE$207))</f>
      </c>
      <c r="AO39" s="27">
        <f>IF($B39&lt;&gt;"Challan","",P39-N39)</f>
      </c>
      <c r="AP39" s="27">
        <f>IF($B39&lt;&gt;"Challan","",MAX(0,AO39-AN39))</f>
      </c>
      <c r="AQ39" s="33">
        <f>IF($B39&lt;&gt;"Entry","",SUMPRODUCT(('Q1 Data'!$D$4:$D$207=D39)*('Q1 Data'!$B$4:$B$207="Challan")*'Q1 Data'!$F$4:$F$207)+SUMPRODUCT(('Q2 Data'!$D$4:$D$207=D39)*('Q2 Data'!$B$4:$B$207="Challan")*'Q2 Data'!$F$4:$F$207)+SUMPRODUCT(('Q3 Data'!$D$4:$D$207=D39)*('Q3 Data'!$B$4:$B$207="Challan")*'Q3 Data'!$F$4:$F$207)+SUMPRODUCT(('Q4 Data'!$D$4:$D$207=D39)*('Q4 Data'!$B$4:$B$207="Challan")*'Q4 Data'!$F$4:$F$207))</f>
      </c>
      <c r="AR39" s="34">
        <f>IF(OR($B39&lt;&gt;"Entry",Z39=""),FALSE,AND((SUMPRODUCT(('Q1 Data'!$D$4:$D$207=D39)*('Q1 Data'!$B$4:$B$207="Challan")*('Q1 Data'!$H$4:$H$207&lt;&gt;""))+SUMPRODUCT(('Q2 Data'!$D$4:$D$207=D39)*('Q2 Data'!$B$4:$B$207="Challan")*('Q2 Data'!$H$4:$H$207&lt;&gt;""))+SUMPRODUCT(('Q3 Data'!$D$4:$D$207=D39)*('Q3 Data'!$B$4:$B$207="Challan")*('Q3 Data'!$H$4:$H$207&lt;&gt;""))+SUMPRODUCT(('Q4 Data'!$D$4:$D$207=D39)*('Q4 Data'!$B$4:$B$207="Challan")*('Q4 Data'!$H$4:$H$207&lt;&gt;"")))&gt;0,(SUMPRODUCT(('Q1 Data'!$D$4:$D$207=D39)*('Q1 Data'!$B$4:$B$207="Challan")*('Q1 Data'!$H$4:$H$207=Z39))+SUMPRODUCT(('Q2 Data'!$D$4:$D$207=D39)*('Q2 Data'!$B$4:$B$207="Challan")*('Q2 Data'!$H$4:$H$207=Z39))+SUMPRODUCT(('Q3 Data'!$D$4:$D$207=D39)*('Q3 Data'!$B$4:$B$207="Challan")*('Q3 Data'!$H$4:$H$207=Z39))+SUMPRODUCT(('Q4 Data'!$D$4:$D$207=D39)*('Q4 Data'!$B$4:$B$207="Challan")*('Q4 Data'!$H$4:$H$207=Z39)))=0))</f>
      </c>
    </row>
    <row r="40" spans="1:44" x14ac:dyDescent="0.25">
      <c r="A40" s="20">
        <f>IF($B40="Entry",COUNTIF($B$4:$B40,"Entry"),"")</f>
      </c>
      <c r="B40" s="21"/>
      <c r="C40" s="22"/>
      <c r="D40" s="22"/>
      <c r="E40" s="23">
        <f>IF($B40&lt;&gt;"Challan","",IF(ROUND(AN40-AO40,2)&gt;0,"Over-applied",IF(ROUND(AN40-AO40,2)=0,"Fully Utilised","Unconsumed")))</f>
      </c>
      <c r="F40" s="24"/>
      <c r="G40" s="25"/>
      <c r="H40" s="25"/>
      <c r="I40" s="26"/>
      <c r="J40" s="26"/>
      <c r="K40" s="26"/>
      <c r="L40" s="26"/>
      <c r="M40" s="26"/>
      <c r="N40" s="26"/>
      <c r="O40" s="26"/>
      <c r="P40" s="27">
        <f>IF($B40&lt;&gt;"Challan","",I40+J40+K40+L40+M40+N40)</f>
      </c>
      <c r="Q40" s="25"/>
      <c r="R40" s="25"/>
      <c r="S40" s="25"/>
      <c r="T40" s="25"/>
      <c r="U40" s="25"/>
      <c r="V40" s="28"/>
      <c r="W40" s="28"/>
      <c r="X40" s="23">
        <f>IF($B40="Entry",IF(AND(LEN(TRIM(UPPER(W40)))=10,CODE(MID(TRIM(UPPER(W40)),1,1))&gt;=65,CODE(MID(TRIM(UPPER(W40)),1,1))&lt;=90,CODE(MID(TRIM(UPPER(W40)),2,1))&gt;=65,CODE(MID(TRIM(UPPER(W40)),2,1))&lt;=90,CODE(MID(TRIM(UPPER(W40)),3,1))&gt;=65,CODE(MID(TRIM(UPPER(W40)),3,1))&lt;=90,CODE(MID(TRIM(UPPER(W40)),4,1))&gt;=65,CODE(MID(TRIM(UPPER(W40)),4,1))&lt;=90,CODE(MID(TRIM(UPPER(W40)),5,1))&gt;=65,CODE(MID(TRIM(UPPER(W40)),5,1))&lt;=90,CODE(MID(TRIM(UPPER(W40)),10,1))&gt;=65,CODE(MID(TRIM(UPPER(W40)),10,1))&lt;=90,CODE(MID(TRIM(UPPER(W40)),6,1))&gt;=48,CODE(MID(TRIM(UPPER(W40)),6,1))&lt;=57,CODE(MID(TRIM(UPPER(W40)),7,1))&gt;=48,CODE(MID(TRIM(UPPER(W40)),7,1))&lt;=57,CODE(MID(TRIM(UPPER(W40)),8,1))&gt;=48,CODE(MID(TRIM(UPPER(W40)),8,1))&lt;=57,CODE(MID(TRIM(UPPER(W40)),9,1))&gt;=48,CODE(MID(TRIM(UPPER(W40)),9,1))&lt;=57),"N","Y"),IF($B40="Challan","",IF(W40&lt;&gt;"","◄ Set Row Type","")))</f>
      </c>
      <c r="Y40" s="23">
        <f>IF($B40="Entry",IF(LEN(W40)&lt;4,"",IF(UPPER(MID(W40,4,1))="P","Individual",IF(UPPER(MID(W40,4,1))="H","HUF",IF(UPPER(MID(W40,4,1))="C","Company",IF(UPPER(MID(W40,4,1))="F","Firm",IF(UPPER(MID(W40,4,1))="L","LLP",IF(UPPER(MID(W40,4,1))="T","Trust",IF(UPPER(MID(W40,4,1))="A","AOP","")))))))),IF($B40="Challan","",IF(W40&lt;&gt;"","◄ Set Row Type","")))</f>
      </c>
      <c r="Z40" s="28"/>
      <c r="AA40" s="29">
        <f>IF($B40&lt;&gt;"Entry","",IF(Z40="","",IF(X40="Y",SUMPRODUCT(('Rate Lookup'!$A$1:$A$37=Z40)*'Rate Lookup'!$D$1:$D$37),IF(OR(Y40="Individual",Y40="HUF"),SUMPRODUCT(('Rate Lookup'!$A$1:$A$37=Z40)*'Rate Lookup'!$B$1:$B$37),SUMPRODUCT(('Rate Lookup'!$A$1:$A$37=Z40)*'Rate Lookup'!$C$1:$C$37)))))</f>
      </c>
      <c r="AB40" s="30"/>
      <c r="AC40" s="31"/>
      <c r="AD40" s="27">
        <f>IF($B40&lt;&gt;"Entry","",ROUND(AC40*AA40/100,0))</f>
      </c>
      <c r="AE40" s="27">
        <f>IF($B40&lt;&gt;"Entry","",0)</f>
      </c>
      <c r="AF40" s="27">
        <f>IF($B40&lt;&gt;"Entry","",0)</f>
      </c>
      <c r="AG40" s="27">
        <f>IF($B40&lt;&gt;"Entry","",IF(OR(AD40=0,AB40="",AQ40="",AQ40&lt;=0),0,IF(AQ40&lt;=DATE(YEAR(AB40),MONTH(AB40)+1,7),0,ROUND(AD40*0.015*((YEAR(AQ40)-YEAR(AB40))*12+(MONTH(AQ40)-MONTH(AB40))+1),0))))</f>
      </c>
      <c r="AH40" s="27">
        <f>IF($B40&lt;&gt;"Entry","",0)</f>
      </c>
      <c r="AI40" s="28"/>
      <c r="AJ40" s="28"/>
      <c r="AK40" s="32"/>
      <c r="AL40" s="28"/>
      <c r="AM40" s="28"/>
      <c r="AN40" s="27">
        <f>IF($B40&lt;&gt;"Challan","",SUMIF('Q1 Data'!$D$4:$D$207,D40,'Q1 Data'!$AD$4:$AD$207)+SUMIF('Q1 Data'!$D$4:$D$207,D40,'Q1 Data'!$AG$4:$AG$207)+SUMIF('Q1 Data'!$D$4:$D$207,D40,'Q1 Data'!$AE$4:$AE$207)+SUMIF('Q2 Data'!$D$4:$D$207,D40,'Q2 Data'!$AD$4:$AD$207)+SUMIF('Q2 Data'!$D$4:$D$207,D40,'Q2 Data'!$AG$4:$AG$207)+SUMIF('Q2 Data'!$D$4:$D$207,D40,'Q2 Data'!$AE$4:$AE$207)+SUMIF('Q3 Data'!$D$4:$D$207,D40,'Q3 Data'!$AD$4:$AD$207)+SUMIF('Q3 Data'!$D$4:$D$207,D40,'Q3 Data'!$AG$4:$AG$207)+SUMIF('Q3 Data'!$D$4:$D$207,D40,'Q3 Data'!$AE$4:$AE$207)+SUMIF('Q4 Data'!$D$4:$D$207,D40,'Q4 Data'!$AD$4:$AD$207)+SUMIF('Q4 Data'!$D$4:$D$207,D40,'Q4 Data'!$AG$4:$AG$207)+SUMIF('Q4 Data'!$D$4:$D$207,D40,'Q4 Data'!$AE$4:$AE$207))</f>
      </c>
      <c r="AO40" s="27">
        <f>IF($B40&lt;&gt;"Challan","",P40-N40)</f>
      </c>
      <c r="AP40" s="27">
        <f>IF($B40&lt;&gt;"Challan","",MAX(0,AO40-AN40))</f>
      </c>
      <c r="AQ40" s="33">
        <f>IF($B40&lt;&gt;"Entry","",SUMPRODUCT(('Q1 Data'!$D$4:$D$207=D40)*('Q1 Data'!$B$4:$B$207="Challan")*'Q1 Data'!$F$4:$F$207)+SUMPRODUCT(('Q2 Data'!$D$4:$D$207=D40)*('Q2 Data'!$B$4:$B$207="Challan")*'Q2 Data'!$F$4:$F$207)+SUMPRODUCT(('Q3 Data'!$D$4:$D$207=D40)*('Q3 Data'!$B$4:$B$207="Challan")*'Q3 Data'!$F$4:$F$207)+SUMPRODUCT(('Q4 Data'!$D$4:$D$207=D40)*('Q4 Data'!$B$4:$B$207="Challan")*'Q4 Data'!$F$4:$F$207))</f>
      </c>
      <c r="AR40" s="34">
        <f>IF(OR($B40&lt;&gt;"Entry",Z40=""),FALSE,AND((SUMPRODUCT(('Q1 Data'!$D$4:$D$207=D40)*('Q1 Data'!$B$4:$B$207="Challan")*('Q1 Data'!$H$4:$H$207&lt;&gt;""))+SUMPRODUCT(('Q2 Data'!$D$4:$D$207=D40)*('Q2 Data'!$B$4:$B$207="Challan")*('Q2 Data'!$H$4:$H$207&lt;&gt;""))+SUMPRODUCT(('Q3 Data'!$D$4:$D$207=D40)*('Q3 Data'!$B$4:$B$207="Challan")*('Q3 Data'!$H$4:$H$207&lt;&gt;""))+SUMPRODUCT(('Q4 Data'!$D$4:$D$207=D40)*('Q4 Data'!$B$4:$B$207="Challan")*('Q4 Data'!$H$4:$H$207&lt;&gt;"")))&gt;0,(SUMPRODUCT(('Q1 Data'!$D$4:$D$207=D40)*('Q1 Data'!$B$4:$B$207="Challan")*('Q1 Data'!$H$4:$H$207=Z40))+SUMPRODUCT(('Q2 Data'!$D$4:$D$207=D40)*('Q2 Data'!$B$4:$B$207="Challan")*('Q2 Data'!$H$4:$H$207=Z40))+SUMPRODUCT(('Q3 Data'!$D$4:$D$207=D40)*('Q3 Data'!$B$4:$B$207="Challan")*('Q3 Data'!$H$4:$H$207=Z40))+SUMPRODUCT(('Q4 Data'!$D$4:$D$207=D40)*('Q4 Data'!$B$4:$B$207="Challan")*('Q4 Data'!$H$4:$H$207=Z40)))=0))</f>
      </c>
    </row>
    <row r="41" spans="1:44" x14ac:dyDescent="0.25">
      <c r="A41" s="20">
        <f>IF($B41="Entry",COUNTIF($B$4:$B41,"Entry"),"")</f>
      </c>
      <c r="B41" s="21"/>
      <c r="C41" s="22"/>
      <c r="D41" s="22"/>
      <c r="E41" s="23">
        <f>IF($B41&lt;&gt;"Challan","",IF(ROUND(AN41-AO41,2)&gt;0,"Over-applied",IF(ROUND(AN41-AO41,2)=0,"Fully Utilised","Unconsumed")))</f>
      </c>
      <c r="F41" s="24"/>
      <c r="G41" s="25"/>
      <c r="H41" s="25"/>
      <c r="I41" s="26"/>
      <c r="J41" s="26"/>
      <c r="K41" s="26"/>
      <c r="L41" s="26"/>
      <c r="M41" s="26"/>
      <c r="N41" s="26"/>
      <c r="O41" s="26"/>
      <c r="P41" s="27">
        <f>IF($B41&lt;&gt;"Challan","",I41+J41+K41+L41+M41+N41)</f>
      </c>
      <c r="Q41" s="25"/>
      <c r="R41" s="25"/>
      <c r="S41" s="25"/>
      <c r="T41" s="25"/>
      <c r="U41" s="25"/>
      <c r="V41" s="28"/>
      <c r="W41" s="28"/>
      <c r="X41" s="23">
        <f>IF($B41="Entry",IF(AND(LEN(TRIM(UPPER(W41)))=10,CODE(MID(TRIM(UPPER(W41)),1,1))&gt;=65,CODE(MID(TRIM(UPPER(W41)),1,1))&lt;=90,CODE(MID(TRIM(UPPER(W41)),2,1))&gt;=65,CODE(MID(TRIM(UPPER(W41)),2,1))&lt;=90,CODE(MID(TRIM(UPPER(W41)),3,1))&gt;=65,CODE(MID(TRIM(UPPER(W41)),3,1))&lt;=90,CODE(MID(TRIM(UPPER(W41)),4,1))&gt;=65,CODE(MID(TRIM(UPPER(W41)),4,1))&lt;=90,CODE(MID(TRIM(UPPER(W41)),5,1))&gt;=65,CODE(MID(TRIM(UPPER(W41)),5,1))&lt;=90,CODE(MID(TRIM(UPPER(W41)),10,1))&gt;=65,CODE(MID(TRIM(UPPER(W41)),10,1))&lt;=90,CODE(MID(TRIM(UPPER(W41)),6,1))&gt;=48,CODE(MID(TRIM(UPPER(W41)),6,1))&lt;=57,CODE(MID(TRIM(UPPER(W41)),7,1))&gt;=48,CODE(MID(TRIM(UPPER(W41)),7,1))&lt;=57,CODE(MID(TRIM(UPPER(W41)),8,1))&gt;=48,CODE(MID(TRIM(UPPER(W41)),8,1))&lt;=57,CODE(MID(TRIM(UPPER(W41)),9,1))&gt;=48,CODE(MID(TRIM(UPPER(W41)),9,1))&lt;=57),"N","Y"),IF($B41="Challan","",IF(W41&lt;&gt;"","◄ Set Row Type","")))</f>
      </c>
      <c r="Y41" s="23">
        <f>IF($B41="Entry",IF(LEN(W41)&lt;4,"",IF(UPPER(MID(W41,4,1))="P","Individual",IF(UPPER(MID(W41,4,1))="H","HUF",IF(UPPER(MID(W41,4,1))="C","Company",IF(UPPER(MID(W41,4,1))="F","Firm",IF(UPPER(MID(W41,4,1))="L","LLP",IF(UPPER(MID(W41,4,1))="T","Trust",IF(UPPER(MID(W41,4,1))="A","AOP","")))))))),IF($B41="Challan","",IF(W41&lt;&gt;"","◄ Set Row Type","")))</f>
      </c>
      <c r="Z41" s="28"/>
      <c r="AA41" s="29">
        <f>IF($B41&lt;&gt;"Entry","",IF(Z41="","",IF(X41="Y",SUMPRODUCT(('Rate Lookup'!$A$1:$A$37=Z41)*'Rate Lookup'!$D$1:$D$37),IF(OR(Y41="Individual",Y41="HUF"),SUMPRODUCT(('Rate Lookup'!$A$1:$A$37=Z41)*'Rate Lookup'!$B$1:$B$37),SUMPRODUCT(('Rate Lookup'!$A$1:$A$37=Z41)*'Rate Lookup'!$C$1:$C$37)))))</f>
      </c>
      <c r="AB41" s="30"/>
      <c r="AC41" s="31"/>
      <c r="AD41" s="27">
        <f>IF($B41&lt;&gt;"Entry","",ROUND(AC41*AA41/100,0))</f>
      </c>
      <c r="AE41" s="27">
        <f>IF($B41&lt;&gt;"Entry","",0)</f>
      </c>
      <c r="AF41" s="27">
        <f>IF($B41&lt;&gt;"Entry","",0)</f>
      </c>
      <c r="AG41" s="27">
        <f>IF($B41&lt;&gt;"Entry","",IF(OR(AD41=0,AB41="",AQ41="",AQ41&lt;=0),0,IF(AQ41&lt;=DATE(YEAR(AB41),MONTH(AB41)+1,7),0,ROUND(AD41*0.015*((YEAR(AQ41)-YEAR(AB41))*12+(MONTH(AQ41)-MONTH(AB41))+1),0))))</f>
      </c>
      <c r="AH41" s="27">
        <f>IF($B41&lt;&gt;"Entry","",0)</f>
      </c>
      <c r="AI41" s="28"/>
      <c r="AJ41" s="28"/>
      <c r="AK41" s="32"/>
      <c r="AL41" s="28"/>
      <c r="AM41" s="28"/>
      <c r="AN41" s="27">
        <f>IF($B41&lt;&gt;"Challan","",SUMIF('Q1 Data'!$D$4:$D$207,D41,'Q1 Data'!$AD$4:$AD$207)+SUMIF('Q1 Data'!$D$4:$D$207,D41,'Q1 Data'!$AG$4:$AG$207)+SUMIF('Q1 Data'!$D$4:$D$207,D41,'Q1 Data'!$AE$4:$AE$207)+SUMIF('Q2 Data'!$D$4:$D$207,D41,'Q2 Data'!$AD$4:$AD$207)+SUMIF('Q2 Data'!$D$4:$D$207,D41,'Q2 Data'!$AG$4:$AG$207)+SUMIF('Q2 Data'!$D$4:$D$207,D41,'Q2 Data'!$AE$4:$AE$207)+SUMIF('Q3 Data'!$D$4:$D$207,D41,'Q3 Data'!$AD$4:$AD$207)+SUMIF('Q3 Data'!$D$4:$D$207,D41,'Q3 Data'!$AG$4:$AG$207)+SUMIF('Q3 Data'!$D$4:$D$207,D41,'Q3 Data'!$AE$4:$AE$207)+SUMIF('Q4 Data'!$D$4:$D$207,D41,'Q4 Data'!$AD$4:$AD$207)+SUMIF('Q4 Data'!$D$4:$D$207,D41,'Q4 Data'!$AG$4:$AG$207)+SUMIF('Q4 Data'!$D$4:$D$207,D41,'Q4 Data'!$AE$4:$AE$207))</f>
      </c>
      <c r="AO41" s="27">
        <f>IF($B41&lt;&gt;"Challan","",P41-N41)</f>
      </c>
      <c r="AP41" s="27">
        <f>IF($B41&lt;&gt;"Challan","",MAX(0,AO41-AN41))</f>
      </c>
      <c r="AQ41" s="33">
        <f>IF($B41&lt;&gt;"Entry","",SUMPRODUCT(('Q1 Data'!$D$4:$D$207=D41)*('Q1 Data'!$B$4:$B$207="Challan")*'Q1 Data'!$F$4:$F$207)+SUMPRODUCT(('Q2 Data'!$D$4:$D$207=D41)*('Q2 Data'!$B$4:$B$207="Challan")*'Q2 Data'!$F$4:$F$207)+SUMPRODUCT(('Q3 Data'!$D$4:$D$207=D41)*('Q3 Data'!$B$4:$B$207="Challan")*'Q3 Data'!$F$4:$F$207)+SUMPRODUCT(('Q4 Data'!$D$4:$D$207=D41)*('Q4 Data'!$B$4:$B$207="Challan")*'Q4 Data'!$F$4:$F$207))</f>
      </c>
      <c r="AR41" s="34">
        <f>IF(OR($B41&lt;&gt;"Entry",Z41=""),FALSE,AND((SUMPRODUCT(('Q1 Data'!$D$4:$D$207=D41)*('Q1 Data'!$B$4:$B$207="Challan")*('Q1 Data'!$H$4:$H$207&lt;&gt;""))+SUMPRODUCT(('Q2 Data'!$D$4:$D$207=D41)*('Q2 Data'!$B$4:$B$207="Challan")*('Q2 Data'!$H$4:$H$207&lt;&gt;""))+SUMPRODUCT(('Q3 Data'!$D$4:$D$207=D41)*('Q3 Data'!$B$4:$B$207="Challan")*('Q3 Data'!$H$4:$H$207&lt;&gt;""))+SUMPRODUCT(('Q4 Data'!$D$4:$D$207=D41)*('Q4 Data'!$B$4:$B$207="Challan")*('Q4 Data'!$H$4:$H$207&lt;&gt;"")))&gt;0,(SUMPRODUCT(('Q1 Data'!$D$4:$D$207=D41)*('Q1 Data'!$B$4:$B$207="Challan")*('Q1 Data'!$H$4:$H$207=Z41))+SUMPRODUCT(('Q2 Data'!$D$4:$D$207=D41)*('Q2 Data'!$B$4:$B$207="Challan")*('Q2 Data'!$H$4:$H$207=Z41))+SUMPRODUCT(('Q3 Data'!$D$4:$D$207=D41)*('Q3 Data'!$B$4:$B$207="Challan")*('Q3 Data'!$H$4:$H$207=Z41))+SUMPRODUCT(('Q4 Data'!$D$4:$D$207=D41)*('Q4 Data'!$B$4:$B$207="Challan")*('Q4 Data'!$H$4:$H$207=Z41)))=0))</f>
      </c>
    </row>
    <row r="42" spans="1:44" x14ac:dyDescent="0.25">
      <c r="A42" s="20">
        <f>IF($B42="Entry",COUNTIF($B$4:$B42,"Entry"),"")</f>
      </c>
      <c r="B42" s="21"/>
      <c r="C42" s="22"/>
      <c r="D42" s="22"/>
      <c r="E42" s="23">
        <f>IF($B42&lt;&gt;"Challan","",IF(ROUND(AN42-AO42,2)&gt;0,"Over-applied",IF(ROUND(AN42-AO42,2)=0,"Fully Utilised","Unconsumed")))</f>
      </c>
      <c r="F42" s="24"/>
      <c r="G42" s="25"/>
      <c r="H42" s="25"/>
      <c r="I42" s="26"/>
      <c r="J42" s="26"/>
      <c r="K42" s="26"/>
      <c r="L42" s="26"/>
      <c r="M42" s="26"/>
      <c r="N42" s="26"/>
      <c r="O42" s="26"/>
      <c r="P42" s="27">
        <f>IF($B42&lt;&gt;"Challan","",I42+J42+K42+L42+M42+N42)</f>
      </c>
      <c r="Q42" s="25"/>
      <c r="R42" s="25"/>
      <c r="S42" s="25"/>
      <c r="T42" s="25"/>
      <c r="U42" s="25"/>
      <c r="V42" s="28"/>
      <c r="W42" s="28"/>
      <c r="X42" s="23">
        <f>IF($B42="Entry",IF(AND(LEN(TRIM(UPPER(W42)))=10,CODE(MID(TRIM(UPPER(W42)),1,1))&gt;=65,CODE(MID(TRIM(UPPER(W42)),1,1))&lt;=90,CODE(MID(TRIM(UPPER(W42)),2,1))&gt;=65,CODE(MID(TRIM(UPPER(W42)),2,1))&lt;=90,CODE(MID(TRIM(UPPER(W42)),3,1))&gt;=65,CODE(MID(TRIM(UPPER(W42)),3,1))&lt;=90,CODE(MID(TRIM(UPPER(W42)),4,1))&gt;=65,CODE(MID(TRIM(UPPER(W42)),4,1))&lt;=90,CODE(MID(TRIM(UPPER(W42)),5,1))&gt;=65,CODE(MID(TRIM(UPPER(W42)),5,1))&lt;=90,CODE(MID(TRIM(UPPER(W42)),10,1))&gt;=65,CODE(MID(TRIM(UPPER(W42)),10,1))&lt;=90,CODE(MID(TRIM(UPPER(W42)),6,1))&gt;=48,CODE(MID(TRIM(UPPER(W42)),6,1))&lt;=57,CODE(MID(TRIM(UPPER(W42)),7,1))&gt;=48,CODE(MID(TRIM(UPPER(W42)),7,1))&lt;=57,CODE(MID(TRIM(UPPER(W42)),8,1))&gt;=48,CODE(MID(TRIM(UPPER(W42)),8,1))&lt;=57,CODE(MID(TRIM(UPPER(W42)),9,1))&gt;=48,CODE(MID(TRIM(UPPER(W42)),9,1))&lt;=57),"N","Y"),IF($B42="Challan","",IF(W42&lt;&gt;"","◄ Set Row Type","")))</f>
      </c>
      <c r="Y42" s="23">
        <f>IF($B42="Entry",IF(LEN(W42)&lt;4,"",IF(UPPER(MID(W42,4,1))="P","Individual",IF(UPPER(MID(W42,4,1))="H","HUF",IF(UPPER(MID(W42,4,1))="C","Company",IF(UPPER(MID(W42,4,1))="F","Firm",IF(UPPER(MID(W42,4,1))="L","LLP",IF(UPPER(MID(W42,4,1))="T","Trust",IF(UPPER(MID(W42,4,1))="A","AOP","")))))))),IF($B42="Challan","",IF(W42&lt;&gt;"","◄ Set Row Type","")))</f>
      </c>
      <c r="Z42" s="28"/>
      <c r="AA42" s="29">
        <f>IF($B42&lt;&gt;"Entry","",IF(Z42="","",IF(X42="Y",SUMPRODUCT(('Rate Lookup'!$A$1:$A$37=Z42)*'Rate Lookup'!$D$1:$D$37),IF(OR(Y42="Individual",Y42="HUF"),SUMPRODUCT(('Rate Lookup'!$A$1:$A$37=Z42)*'Rate Lookup'!$B$1:$B$37),SUMPRODUCT(('Rate Lookup'!$A$1:$A$37=Z42)*'Rate Lookup'!$C$1:$C$37)))))</f>
      </c>
      <c r="AB42" s="30"/>
      <c r="AC42" s="31"/>
      <c r="AD42" s="27">
        <f>IF($B42&lt;&gt;"Entry","",ROUND(AC42*AA42/100,0))</f>
      </c>
      <c r="AE42" s="27">
        <f>IF($B42&lt;&gt;"Entry","",0)</f>
      </c>
      <c r="AF42" s="27">
        <f>IF($B42&lt;&gt;"Entry","",0)</f>
      </c>
      <c r="AG42" s="27">
        <f>IF($B42&lt;&gt;"Entry","",IF(OR(AD42=0,AB42="",AQ42="",AQ42&lt;=0),0,IF(AQ42&lt;=DATE(YEAR(AB42),MONTH(AB42)+1,7),0,ROUND(AD42*0.015*((YEAR(AQ42)-YEAR(AB42))*12+(MONTH(AQ42)-MONTH(AB42))+1),0))))</f>
      </c>
      <c r="AH42" s="27">
        <f>IF($B42&lt;&gt;"Entry","",0)</f>
      </c>
      <c r="AI42" s="28"/>
      <c r="AJ42" s="28"/>
      <c r="AK42" s="32"/>
      <c r="AL42" s="28"/>
      <c r="AM42" s="28"/>
      <c r="AN42" s="27">
        <f>IF($B42&lt;&gt;"Challan","",SUMIF('Q1 Data'!$D$4:$D$207,D42,'Q1 Data'!$AD$4:$AD$207)+SUMIF('Q1 Data'!$D$4:$D$207,D42,'Q1 Data'!$AG$4:$AG$207)+SUMIF('Q1 Data'!$D$4:$D$207,D42,'Q1 Data'!$AE$4:$AE$207)+SUMIF('Q2 Data'!$D$4:$D$207,D42,'Q2 Data'!$AD$4:$AD$207)+SUMIF('Q2 Data'!$D$4:$D$207,D42,'Q2 Data'!$AG$4:$AG$207)+SUMIF('Q2 Data'!$D$4:$D$207,D42,'Q2 Data'!$AE$4:$AE$207)+SUMIF('Q3 Data'!$D$4:$D$207,D42,'Q3 Data'!$AD$4:$AD$207)+SUMIF('Q3 Data'!$D$4:$D$207,D42,'Q3 Data'!$AG$4:$AG$207)+SUMIF('Q3 Data'!$D$4:$D$207,D42,'Q3 Data'!$AE$4:$AE$207)+SUMIF('Q4 Data'!$D$4:$D$207,D42,'Q4 Data'!$AD$4:$AD$207)+SUMIF('Q4 Data'!$D$4:$D$207,D42,'Q4 Data'!$AG$4:$AG$207)+SUMIF('Q4 Data'!$D$4:$D$207,D42,'Q4 Data'!$AE$4:$AE$207))</f>
      </c>
      <c r="AO42" s="27">
        <f>IF($B42&lt;&gt;"Challan","",P42-N42)</f>
      </c>
      <c r="AP42" s="27">
        <f>IF($B42&lt;&gt;"Challan","",MAX(0,AO42-AN42))</f>
      </c>
      <c r="AQ42" s="33">
        <f>IF($B42&lt;&gt;"Entry","",SUMPRODUCT(('Q1 Data'!$D$4:$D$207=D42)*('Q1 Data'!$B$4:$B$207="Challan")*'Q1 Data'!$F$4:$F$207)+SUMPRODUCT(('Q2 Data'!$D$4:$D$207=D42)*('Q2 Data'!$B$4:$B$207="Challan")*'Q2 Data'!$F$4:$F$207)+SUMPRODUCT(('Q3 Data'!$D$4:$D$207=D42)*('Q3 Data'!$B$4:$B$207="Challan")*'Q3 Data'!$F$4:$F$207)+SUMPRODUCT(('Q4 Data'!$D$4:$D$207=D42)*('Q4 Data'!$B$4:$B$207="Challan")*'Q4 Data'!$F$4:$F$207))</f>
      </c>
      <c r="AR42" s="34">
        <f>IF(OR($B42&lt;&gt;"Entry",Z42=""),FALSE,AND((SUMPRODUCT(('Q1 Data'!$D$4:$D$207=D42)*('Q1 Data'!$B$4:$B$207="Challan")*('Q1 Data'!$H$4:$H$207&lt;&gt;""))+SUMPRODUCT(('Q2 Data'!$D$4:$D$207=D42)*('Q2 Data'!$B$4:$B$207="Challan")*('Q2 Data'!$H$4:$H$207&lt;&gt;""))+SUMPRODUCT(('Q3 Data'!$D$4:$D$207=D42)*('Q3 Data'!$B$4:$B$207="Challan")*('Q3 Data'!$H$4:$H$207&lt;&gt;""))+SUMPRODUCT(('Q4 Data'!$D$4:$D$207=D42)*('Q4 Data'!$B$4:$B$207="Challan")*('Q4 Data'!$H$4:$H$207&lt;&gt;"")))&gt;0,(SUMPRODUCT(('Q1 Data'!$D$4:$D$207=D42)*('Q1 Data'!$B$4:$B$207="Challan")*('Q1 Data'!$H$4:$H$207=Z42))+SUMPRODUCT(('Q2 Data'!$D$4:$D$207=D42)*('Q2 Data'!$B$4:$B$207="Challan")*('Q2 Data'!$H$4:$H$207=Z42))+SUMPRODUCT(('Q3 Data'!$D$4:$D$207=D42)*('Q3 Data'!$B$4:$B$207="Challan")*('Q3 Data'!$H$4:$H$207=Z42))+SUMPRODUCT(('Q4 Data'!$D$4:$D$207=D42)*('Q4 Data'!$B$4:$B$207="Challan")*('Q4 Data'!$H$4:$H$207=Z42)))=0))</f>
      </c>
    </row>
    <row r="43" spans="1:44" x14ac:dyDescent="0.25">
      <c r="A43" s="20">
        <f>IF($B43="Entry",COUNTIF($B$4:$B43,"Entry"),"")</f>
      </c>
      <c r="B43" s="21"/>
      <c r="C43" s="22"/>
      <c r="D43" s="22"/>
      <c r="E43" s="23">
        <f>IF($B43&lt;&gt;"Challan","",IF(ROUND(AN43-AO43,2)&gt;0,"Over-applied",IF(ROUND(AN43-AO43,2)=0,"Fully Utilised","Unconsumed")))</f>
      </c>
      <c r="F43" s="24"/>
      <c r="G43" s="25"/>
      <c r="H43" s="25"/>
      <c r="I43" s="26"/>
      <c r="J43" s="26"/>
      <c r="K43" s="26"/>
      <c r="L43" s="26"/>
      <c r="M43" s="26"/>
      <c r="N43" s="26"/>
      <c r="O43" s="26"/>
      <c r="P43" s="27">
        <f>IF($B43&lt;&gt;"Challan","",I43+J43+K43+L43+M43+N43)</f>
      </c>
      <c r="Q43" s="25"/>
      <c r="R43" s="25"/>
      <c r="S43" s="25"/>
      <c r="T43" s="25"/>
      <c r="U43" s="25"/>
      <c r="V43" s="28"/>
      <c r="W43" s="28"/>
      <c r="X43" s="23">
        <f>IF($B43="Entry",IF(AND(LEN(TRIM(UPPER(W43)))=10,CODE(MID(TRIM(UPPER(W43)),1,1))&gt;=65,CODE(MID(TRIM(UPPER(W43)),1,1))&lt;=90,CODE(MID(TRIM(UPPER(W43)),2,1))&gt;=65,CODE(MID(TRIM(UPPER(W43)),2,1))&lt;=90,CODE(MID(TRIM(UPPER(W43)),3,1))&gt;=65,CODE(MID(TRIM(UPPER(W43)),3,1))&lt;=90,CODE(MID(TRIM(UPPER(W43)),4,1))&gt;=65,CODE(MID(TRIM(UPPER(W43)),4,1))&lt;=90,CODE(MID(TRIM(UPPER(W43)),5,1))&gt;=65,CODE(MID(TRIM(UPPER(W43)),5,1))&lt;=90,CODE(MID(TRIM(UPPER(W43)),10,1))&gt;=65,CODE(MID(TRIM(UPPER(W43)),10,1))&lt;=90,CODE(MID(TRIM(UPPER(W43)),6,1))&gt;=48,CODE(MID(TRIM(UPPER(W43)),6,1))&lt;=57,CODE(MID(TRIM(UPPER(W43)),7,1))&gt;=48,CODE(MID(TRIM(UPPER(W43)),7,1))&lt;=57,CODE(MID(TRIM(UPPER(W43)),8,1))&gt;=48,CODE(MID(TRIM(UPPER(W43)),8,1))&lt;=57,CODE(MID(TRIM(UPPER(W43)),9,1))&gt;=48,CODE(MID(TRIM(UPPER(W43)),9,1))&lt;=57),"N","Y"),IF($B43="Challan","",IF(W43&lt;&gt;"","◄ Set Row Type","")))</f>
      </c>
      <c r="Y43" s="23">
        <f>IF($B43="Entry",IF(LEN(W43)&lt;4,"",IF(UPPER(MID(W43,4,1))="P","Individual",IF(UPPER(MID(W43,4,1))="H","HUF",IF(UPPER(MID(W43,4,1))="C","Company",IF(UPPER(MID(W43,4,1))="F","Firm",IF(UPPER(MID(W43,4,1))="L","LLP",IF(UPPER(MID(W43,4,1))="T","Trust",IF(UPPER(MID(W43,4,1))="A","AOP","")))))))),IF($B43="Challan","",IF(W43&lt;&gt;"","◄ Set Row Type","")))</f>
      </c>
      <c r="Z43" s="28"/>
      <c r="AA43" s="29">
        <f>IF($B43&lt;&gt;"Entry","",IF(Z43="","",IF(X43="Y",SUMPRODUCT(('Rate Lookup'!$A$1:$A$37=Z43)*'Rate Lookup'!$D$1:$D$37),IF(OR(Y43="Individual",Y43="HUF"),SUMPRODUCT(('Rate Lookup'!$A$1:$A$37=Z43)*'Rate Lookup'!$B$1:$B$37),SUMPRODUCT(('Rate Lookup'!$A$1:$A$37=Z43)*'Rate Lookup'!$C$1:$C$37)))))</f>
      </c>
      <c r="AB43" s="30"/>
      <c r="AC43" s="31"/>
      <c r="AD43" s="27">
        <f>IF($B43&lt;&gt;"Entry","",ROUND(AC43*AA43/100,0))</f>
      </c>
      <c r="AE43" s="27">
        <f>IF($B43&lt;&gt;"Entry","",0)</f>
      </c>
      <c r="AF43" s="27">
        <f>IF($B43&lt;&gt;"Entry","",0)</f>
      </c>
      <c r="AG43" s="27">
        <f>IF($B43&lt;&gt;"Entry","",IF(OR(AD43=0,AB43="",AQ43="",AQ43&lt;=0),0,IF(AQ43&lt;=DATE(YEAR(AB43),MONTH(AB43)+1,7),0,ROUND(AD43*0.015*((YEAR(AQ43)-YEAR(AB43))*12+(MONTH(AQ43)-MONTH(AB43))+1),0))))</f>
      </c>
      <c r="AH43" s="27">
        <f>IF($B43&lt;&gt;"Entry","",0)</f>
      </c>
      <c r="AI43" s="28"/>
      <c r="AJ43" s="28"/>
      <c r="AK43" s="32"/>
      <c r="AL43" s="28"/>
      <c r="AM43" s="28"/>
      <c r="AN43" s="27">
        <f>IF($B43&lt;&gt;"Challan","",SUMIF('Q1 Data'!$D$4:$D$207,D43,'Q1 Data'!$AD$4:$AD$207)+SUMIF('Q1 Data'!$D$4:$D$207,D43,'Q1 Data'!$AG$4:$AG$207)+SUMIF('Q1 Data'!$D$4:$D$207,D43,'Q1 Data'!$AE$4:$AE$207)+SUMIF('Q2 Data'!$D$4:$D$207,D43,'Q2 Data'!$AD$4:$AD$207)+SUMIF('Q2 Data'!$D$4:$D$207,D43,'Q2 Data'!$AG$4:$AG$207)+SUMIF('Q2 Data'!$D$4:$D$207,D43,'Q2 Data'!$AE$4:$AE$207)+SUMIF('Q3 Data'!$D$4:$D$207,D43,'Q3 Data'!$AD$4:$AD$207)+SUMIF('Q3 Data'!$D$4:$D$207,D43,'Q3 Data'!$AG$4:$AG$207)+SUMIF('Q3 Data'!$D$4:$D$207,D43,'Q3 Data'!$AE$4:$AE$207)+SUMIF('Q4 Data'!$D$4:$D$207,D43,'Q4 Data'!$AD$4:$AD$207)+SUMIF('Q4 Data'!$D$4:$D$207,D43,'Q4 Data'!$AG$4:$AG$207)+SUMIF('Q4 Data'!$D$4:$D$207,D43,'Q4 Data'!$AE$4:$AE$207))</f>
      </c>
      <c r="AO43" s="27">
        <f>IF($B43&lt;&gt;"Challan","",P43-N43)</f>
      </c>
      <c r="AP43" s="27">
        <f>IF($B43&lt;&gt;"Challan","",MAX(0,AO43-AN43))</f>
      </c>
      <c r="AQ43" s="33">
        <f>IF($B43&lt;&gt;"Entry","",SUMPRODUCT(('Q1 Data'!$D$4:$D$207=D43)*('Q1 Data'!$B$4:$B$207="Challan")*'Q1 Data'!$F$4:$F$207)+SUMPRODUCT(('Q2 Data'!$D$4:$D$207=D43)*('Q2 Data'!$B$4:$B$207="Challan")*'Q2 Data'!$F$4:$F$207)+SUMPRODUCT(('Q3 Data'!$D$4:$D$207=D43)*('Q3 Data'!$B$4:$B$207="Challan")*'Q3 Data'!$F$4:$F$207)+SUMPRODUCT(('Q4 Data'!$D$4:$D$207=D43)*('Q4 Data'!$B$4:$B$207="Challan")*'Q4 Data'!$F$4:$F$207))</f>
      </c>
      <c r="AR43" s="34">
        <f>IF(OR($B43&lt;&gt;"Entry",Z43=""),FALSE,AND((SUMPRODUCT(('Q1 Data'!$D$4:$D$207=D43)*('Q1 Data'!$B$4:$B$207="Challan")*('Q1 Data'!$H$4:$H$207&lt;&gt;""))+SUMPRODUCT(('Q2 Data'!$D$4:$D$207=D43)*('Q2 Data'!$B$4:$B$207="Challan")*('Q2 Data'!$H$4:$H$207&lt;&gt;""))+SUMPRODUCT(('Q3 Data'!$D$4:$D$207=D43)*('Q3 Data'!$B$4:$B$207="Challan")*('Q3 Data'!$H$4:$H$207&lt;&gt;""))+SUMPRODUCT(('Q4 Data'!$D$4:$D$207=D43)*('Q4 Data'!$B$4:$B$207="Challan")*('Q4 Data'!$H$4:$H$207&lt;&gt;"")))&gt;0,(SUMPRODUCT(('Q1 Data'!$D$4:$D$207=D43)*('Q1 Data'!$B$4:$B$207="Challan")*('Q1 Data'!$H$4:$H$207=Z43))+SUMPRODUCT(('Q2 Data'!$D$4:$D$207=D43)*('Q2 Data'!$B$4:$B$207="Challan")*('Q2 Data'!$H$4:$H$207=Z43))+SUMPRODUCT(('Q3 Data'!$D$4:$D$207=D43)*('Q3 Data'!$B$4:$B$207="Challan")*('Q3 Data'!$H$4:$H$207=Z43))+SUMPRODUCT(('Q4 Data'!$D$4:$D$207=D43)*('Q4 Data'!$B$4:$B$207="Challan")*('Q4 Data'!$H$4:$H$207=Z43)))=0))</f>
      </c>
    </row>
    <row r="44" spans="1:44" x14ac:dyDescent="0.25">
      <c r="A44" s="20">
        <f>IF($B44="Entry",COUNTIF($B$4:$B44,"Entry"),"")</f>
      </c>
      <c r="B44" s="21"/>
      <c r="C44" s="22"/>
      <c r="D44" s="22"/>
      <c r="E44" s="23">
        <f>IF($B44&lt;&gt;"Challan","",IF(ROUND(AN44-AO44,2)&gt;0,"Over-applied",IF(ROUND(AN44-AO44,2)=0,"Fully Utilised","Unconsumed")))</f>
      </c>
      <c r="F44" s="24"/>
      <c r="G44" s="25"/>
      <c r="H44" s="25"/>
      <c r="I44" s="26"/>
      <c r="J44" s="26"/>
      <c r="K44" s="26"/>
      <c r="L44" s="26"/>
      <c r="M44" s="26"/>
      <c r="N44" s="26"/>
      <c r="O44" s="26"/>
      <c r="P44" s="27">
        <f>IF($B44&lt;&gt;"Challan","",I44+J44+K44+L44+M44+N44)</f>
      </c>
      <c r="Q44" s="25"/>
      <c r="R44" s="25"/>
      <c r="S44" s="25"/>
      <c r="T44" s="25"/>
      <c r="U44" s="25"/>
      <c r="V44" s="28"/>
      <c r="W44" s="28"/>
      <c r="X44" s="23">
        <f>IF($B44="Entry",IF(AND(LEN(TRIM(UPPER(W44)))=10,CODE(MID(TRIM(UPPER(W44)),1,1))&gt;=65,CODE(MID(TRIM(UPPER(W44)),1,1))&lt;=90,CODE(MID(TRIM(UPPER(W44)),2,1))&gt;=65,CODE(MID(TRIM(UPPER(W44)),2,1))&lt;=90,CODE(MID(TRIM(UPPER(W44)),3,1))&gt;=65,CODE(MID(TRIM(UPPER(W44)),3,1))&lt;=90,CODE(MID(TRIM(UPPER(W44)),4,1))&gt;=65,CODE(MID(TRIM(UPPER(W44)),4,1))&lt;=90,CODE(MID(TRIM(UPPER(W44)),5,1))&gt;=65,CODE(MID(TRIM(UPPER(W44)),5,1))&lt;=90,CODE(MID(TRIM(UPPER(W44)),10,1))&gt;=65,CODE(MID(TRIM(UPPER(W44)),10,1))&lt;=90,CODE(MID(TRIM(UPPER(W44)),6,1))&gt;=48,CODE(MID(TRIM(UPPER(W44)),6,1))&lt;=57,CODE(MID(TRIM(UPPER(W44)),7,1))&gt;=48,CODE(MID(TRIM(UPPER(W44)),7,1))&lt;=57,CODE(MID(TRIM(UPPER(W44)),8,1))&gt;=48,CODE(MID(TRIM(UPPER(W44)),8,1))&lt;=57,CODE(MID(TRIM(UPPER(W44)),9,1))&gt;=48,CODE(MID(TRIM(UPPER(W44)),9,1))&lt;=57),"N","Y"),IF($B44="Challan","",IF(W44&lt;&gt;"","◄ Set Row Type","")))</f>
      </c>
      <c r="Y44" s="23">
        <f>IF($B44="Entry",IF(LEN(W44)&lt;4,"",IF(UPPER(MID(W44,4,1))="P","Individual",IF(UPPER(MID(W44,4,1))="H","HUF",IF(UPPER(MID(W44,4,1))="C","Company",IF(UPPER(MID(W44,4,1))="F","Firm",IF(UPPER(MID(W44,4,1))="L","LLP",IF(UPPER(MID(W44,4,1))="T","Trust",IF(UPPER(MID(W44,4,1))="A","AOP","")))))))),IF($B44="Challan","",IF(W44&lt;&gt;"","◄ Set Row Type","")))</f>
      </c>
      <c r="Z44" s="28"/>
      <c r="AA44" s="29">
        <f>IF($B44&lt;&gt;"Entry","",IF(Z44="","",IF(X44="Y",SUMPRODUCT(('Rate Lookup'!$A$1:$A$37=Z44)*'Rate Lookup'!$D$1:$D$37),IF(OR(Y44="Individual",Y44="HUF"),SUMPRODUCT(('Rate Lookup'!$A$1:$A$37=Z44)*'Rate Lookup'!$B$1:$B$37),SUMPRODUCT(('Rate Lookup'!$A$1:$A$37=Z44)*'Rate Lookup'!$C$1:$C$37)))))</f>
      </c>
      <c r="AB44" s="30"/>
      <c r="AC44" s="31"/>
      <c r="AD44" s="27">
        <f>IF($B44&lt;&gt;"Entry","",ROUND(AC44*AA44/100,0))</f>
      </c>
      <c r="AE44" s="27">
        <f>IF($B44&lt;&gt;"Entry","",0)</f>
      </c>
      <c r="AF44" s="27">
        <f>IF($B44&lt;&gt;"Entry","",0)</f>
      </c>
      <c r="AG44" s="27">
        <f>IF($B44&lt;&gt;"Entry","",IF(OR(AD44=0,AB44="",AQ44="",AQ44&lt;=0),0,IF(AQ44&lt;=DATE(YEAR(AB44),MONTH(AB44)+1,7),0,ROUND(AD44*0.015*((YEAR(AQ44)-YEAR(AB44))*12+(MONTH(AQ44)-MONTH(AB44))+1),0))))</f>
      </c>
      <c r="AH44" s="27">
        <f>IF($B44&lt;&gt;"Entry","",0)</f>
      </c>
      <c r="AI44" s="28"/>
      <c r="AJ44" s="28"/>
      <c r="AK44" s="32"/>
      <c r="AL44" s="28"/>
      <c r="AM44" s="28"/>
      <c r="AN44" s="27">
        <f>IF($B44&lt;&gt;"Challan","",SUMIF('Q1 Data'!$D$4:$D$207,D44,'Q1 Data'!$AD$4:$AD$207)+SUMIF('Q1 Data'!$D$4:$D$207,D44,'Q1 Data'!$AG$4:$AG$207)+SUMIF('Q1 Data'!$D$4:$D$207,D44,'Q1 Data'!$AE$4:$AE$207)+SUMIF('Q2 Data'!$D$4:$D$207,D44,'Q2 Data'!$AD$4:$AD$207)+SUMIF('Q2 Data'!$D$4:$D$207,D44,'Q2 Data'!$AG$4:$AG$207)+SUMIF('Q2 Data'!$D$4:$D$207,D44,'Q2 Data'!$AE$4:$AE$207)+SUMIF('Q3 Data'!$D$4:$D$207,D44,'Q3 Data'!$AD$4:$AD$207)+SUMIF('Q3 Data'!$D$4:$D$207,D44,'Q3 Data'!$AG$4:$AG$207)+SUMIF('Q3 Data'!$D$4:$D$207,D44,'Q3 Data'!$AE$4:$AE$207)+SUMIF('Q4 Data'!$D$4:$D$207,D44,'Q4 Data'!$AD$4:$AD$207)+SUMIF('Q4 Data'!$D$4:$D$207,D44,'Q4 Data'!$AG$4:$AG$207)+SUMIF('Q4 Data'!$D$4:$D$207,D44,'Q4 Data'!$AE$4:$AE$207))</f>
      </c>
      <c r="AO44" s="27">
        <f>IF($B44&lt;&gt;"Challan","",P44-N44)</f>
      </c>
      <c r="AP44" s="27">
        <f>IF($B44&lt;&gt;"Challan","",MAX(0,AO44-AN44))</f>
      </c>
      <c r="AQ44" s="33">
        <f>IF($B44&lt;&gt;"Entry","",SUMPRODUCT(('Q1 Data'!$D$4:$D$207=D44)*('Q1 Data'!$B$4:$B$207="Challan")*'Q1 Data'!$F$4:$F$207)+SUMPRODUCT(('Q2 Data'!$D$4:$D$207=D44)*('Q2 Data'!$B$4:$B$207="Challan")*'Q2 Data'!$F$4:$F$207)+SUMPRODUCT(('Q3 Data'!$D$4:$D$207=D44)*('Q3 Data'!$B$4:$B$207="Challan")*'Q3 Data'!$F$4:$F$207)+SUMPRODUCT(('Q4 Data'!$D$4:$D$207=D44)*('Q4 Data'!$B$4:$B$207="Challan")*'Q4 Data'!$F$4:$F$207))</f>
      </c>
      <c r="AR44" s="34">
        <f>IF(OR($B44&lt;&gt;"Entry",Z44=""),FALSE,AND((SUMPRODUCT(('Q1 Data'!$D$4:$D$207=D44)*('Q1 Data'!$B$4:$B$207="Challan")*('Q1 Data'!$H$4:$H$207&lt;&gt;""))+SUMPRODUCT(('Q2 Data'!$D$4:$D$207=D44)*('Q2 Data'!$B$4:$B$207="Challan")*('Q2 Data'!$H$4:$H$207&lt;&gt;""))+SUMPRODUCT(('Q3 Data'!$D$4:$D$207=D44)*('Q3 Data'!$B$4:$B$207="Challan")*('Q3 Data'!$H$4:$H$207&lt;&gt;""))+SUMPRODUCT(('Q4 Data'!$D$4:$D$207=D44)*('Q4 Data'!$B$4:$B$207="Challan")*('Q4 Data'!$H$4:$H$207&lt;&gt;"")))&gt;0,(SUMPRODUCT(('Q1 Data'!$D$4:$D$207=D44)*('Q1 Data'!$B$4:$B$207="Challan")*('Q1 Data'!$H$4:$H$207=Z44))+SUMPRODUCT(('Q2 Data'!$D$4:$D$207=D44)*('Q2 Data'!$B$4:$B$207="Challan")*('Q2 Data'!$H$4:$H$207=Z44))+SUMPRODUCT(('Q3 Data'!$D$4:$D$207=D44)*('Q3 Data'!$B$4:$B$207="Challan")*('Q3 Data'!$H$4:$H$207=Z44))+SUMPRODUCT(('Q4 Data'!$D$4:$D$207=D44)*('Q4 Data'!$B$4:$B$207="Challan")*('Q4 Data'!$H$4:$H$207=Z44)))=0))</f>
      </c>
    </row>
    <row r="45" spans="1:44" x14ac:dyDescent="0.25">
      <c r="A45" s="20">
        <f>IF($B45="Entry",COUNTIF($B$4:$B45,"Entry"),"")</f>
      </c>
      <c r="B45" s="21"/>
      <c r="C45" s="22"/>
      <c r="D45" s="22"/>
      <c r="E45" s="23">
        <f>IF($B45&lt;&gt;"Challan","",IF(ROUND(AN45-AO45,2)&gt;0,"Over-applied",IF(ROUND(AN45-AO45,2)=0,"Fully Utilised","Unconsumed")))</f>
      </c>
      <c r="F45" s="24"/>
      <c r="G45" s="25"/>
      <c r="H45" s="25"/>
      <c r="I45" s="26"/>
      <c r="J45" s="26"/>
      <c r="K45" s="26"/>
      <c r="L45" s="26"/>
      <c r="M45" s="26"/>
      <c r="N45" s="26"/>
      <c r="O45" s="26"/>
      <c r="P45" s="27">
        <f>IF($B45&lt;&gt;"Challan","",I45+J45+K45+L45+M45+N45)</f>
      </c>
      <c r="Q45" s="25"/>
      <c r="R45" s="25"/>
      <c r="S45" s="25"/>
      <c r="T45" s="25"/>
      <c r="U45" s="25"/>
      <c r="V45" s="28"/>
      <c r="W45" s="28"/>
      <c r="X45" s="23">
        <f>IF($B45="Entry",IF(AND(LEN(TRIM(UPPER(W45)))=10,CODE(MID(TRIM(UPPER(W45)),1,1))&gt;=65,CODE(MID(TRIM(UPPER(W45)),1,1))&lt;=90,CODE(MID(TRIM(UPPER(W45)),2,1))&gt;=65,CODE(MID(TRIM(UPPER(W45)),2,1))&lt;=90,CODE(MID(TRIM(UPPER(W45)),3,1))&gt;=65,CODE(MID(TRIM(UPPER(W45)),3,1))&lt;=90,CODE(MID(TRIM(UPPER(W45)),4,1))&gt;=65,CODE(MID(TRIM(UPPER(W45)),4,1))&lt;=90,CODE(MID(TRIM(UPPER(W45)),5,1))&gt;=65,CODE(MID(TRIM(UPPER(W45)),5,1))&lt;=90,CODE(MID(TRIM(UPPER(W45)),10,1))&gt;=65,CODE(MID(TRIM(UPPER(W45)),10,1))&lt;=90,CODE(MID(TRIM(UPPER(W45)),6,1))&gt;=48,CODE(MID(TRIM(UPPER(W45)),6,1))&lt;=57,CODE(MID(TRIM(UPPER(W45)),7,1))&gt;=48,CODE(MID(TRIM(UPPER(W45)),7,1))&lt;=57,CODE(MID(TRIM(UPPER(W45)),8,1))&gt;=48,CODE(MID(TRIM(UPPER(W45)),8,1))&lt;=57,CODE(MID(TRIM(UPPER(W45)),9,1))&gt;=48,CODE(MID(TRIM(UPPER(W45)),9,1))&lt;=57),"N","Y"),IF($B45="Challan","",IF(W45&lt;&gt;"","◄ Set Row Type","")))</f>
      </c>
      <c r="Y45" s="23">
        <f>IF($B45="Entry",IF(LEN(W45)&lt;4,"",IF(UPPER(MID(W45,4,1))="P","Individual",IF(UPPER(MID(W45,4,1))="H","HUF",IF(UPPER(MID(W45,4,1))="C","Company",IF(UPPER(MID(W45,4,1))="F","Firm",IF(UPPER(MID(W45,4,1))="L","LLP",IF(UPPER(MID(W45,4,1))="T","Trust",IF(UPPER(MID(W45,4,1))="A","AOP","")))))))),IF($B45="Challan","",IF(W45&lt;&gt;"","◄ Set Row Type","")))</f>
      </c>
      <c r="Z45" s="28"/>
      <c r="AA45" s="29">
        <f>IF($B45&lt;&gt;"Entry","",IF(Z45="","",IF(X45="Y",SUMPRODUCT(('Rate Lookup'!$A$1:$A$37=Z45)*'Rate Lookup'!$D$1:$D$37),IF(OR(Y45="Individual",Y45="HUF"),SUMPRODUCT(('Rate Lookup'!$A$1:$A$37=Z45)*'Rate Lookup'!$B$1:$B$37),SUMPRODUCT(('Rate Lookup'!$A$1:$A$37=Z45)*'Rate Lookup'!$C$1:$C$37)))))</f>
      </c>
      <c r="AB45" s="30"/>
      <c r="AC45" s="31"/>
      <c r="AD45" s="27">
        <f>IF($B45&lt;&gt;"Entry","",ROUND(AC45*AA45/100,0))</f>
      </c>
      <c r="AE45" s="27">
        <f>IF($B45&lt;&gt;"Entry","",0)</f>
      </c>
      <c r="AF45" s="27">
        <f>IF($B45&lt;&gt;"Entry","",0)</f>
      </c>
      <c r="AG45" s="27">
        <f>IF($B45&lt;&gt;"Entry","",IF(OR(AD45=0,AB45="",AQ45="",AQ45&lt;=0),0,IF(AQ45&lt;=DATE(YEAR(AB45),MONTH(AB45)+1,7),0,ROUND(AD45*0.015*((YEAR(AQ45)-YEAR(AB45))*12+(MONTH(AQ45)-MONTH(AB45))+1),0))))</f>
      </c>
      <c r="AH45" s="27">
        <f>IF($B45&lt;&gt;"Entry","",0)</f>
      </c>
      <c r="AI45" s="28"/>
      <c r="AJ45" s="28"/>
      <c r="AK45" s="32"/>
      <c r="AL45" s="28"/>
      <c r="AM45" s="28"/>
      <c r="AN45" s="27">
        <f>IF($B45&lt;&gt;"Challan","",SUMIF('Q1 Data'!$D$4:$D$207,D45,'Q1 Data'!$AD$4:$AD$207)+SUMIF('Q1 Data'!$D$4:$D$207,D45,'Q1 Data'!$AG$4:$AG$207)+SUMIF('Q1 Data'!$D$4:$D$207,D45,'Q1 Data'!$AE$4:$AE$207)+SUMIF('Q2 Data'!$D$4:$D$207,D45,'Q2 Data'!$AD$4:$AD$207)+SUMIF('Q2 Data'!$D$4:$D$207,D45,'Q2 Data'!$AG$4:$AG$207)+SUMIF('Q2 Data'!$D$4:$D$207,D45,'Q2 Data'!$AE$4:$AE$207)+SUMIF('Q3 Data'!$D$4:$D$207,D45,'Q3 Data'!$AD$4:$AD$207)+SUMIF('Q3 Data'!$D$4:$D$207,D45,'Q3 Data'!$AG$4:$AG$207)+SUMIF('Q3 Data'!$D$4:$D$207,D45,'Q3 Data'!$AE$4:$AE$207)+SUMIF('Q4 Data'!$D$4:$D$207,D45,'Q4 Data'!$AD$4:$AD$207)+SUMIF('Q4 Data'!$D$4:$D$207,D45,'Q4 Data'!$AG$4:$AG$207)+SUMIF('Q4 Data'!$D$4:$D$207,D45,'Q4 Data'!$AE$4:$AE$207))</f>
      </c>
      <c r="AO45" s="27">
        <f>IF($B45&lt;&gt;"Challan","",P45-N45)</f>
      </c>
      <c r="AP45" s="27">
        <f>IF($B45&lt;&gt;"Challan","",MAX(0,AO45-AN45))</f>
      </c>
      <c r="AQ45" s="33">
        <f>IF($B45&lt;&gt;"Entry","",SUMPRODUCT(('Q1 Data'!$D$4:$D$207=D45)*('Q1 Data'!$B$4:$B$207="Challan")*'Q1 Data'!$F$4:$F$207)+SUMPRODUCT(('Q2 Data'!$D$4:$D$207=D45)*('Q2 Data'!$B$4:$B$207="Challan")*'Q2 Data'!$F$4:$F$207)+SUMPRODUCT(('Q3 Data'!$D$4:$D$207=D45)*('Q3 Data'!$B$4:$B$207="Challan")*'Q3 Data'!$F$4:$F$207)+SUMPRODUCT(('Q4 Data'!$D$4:$D$207=D45)*('Q4 Data'!$B$4:$B$207="Challan")*'Q4 Data'!$F$4:$F$207))</f>
      </c>
      <c r="AR45" s="34">
        <f>IF(OR($B45&lt;&gt;"Entry",Z45=""),FALSE,AND((SUMPRODUCT(('Q1 Data'!$D$4:$D$207=D45)*('Q1 Data'!$B$4:$B$207="Challan")*('Q1 Data'!$H$4:$H$207&lt;&gt;""))+SUMPRODUCT(('Q2 Data'!$D$4:$D$207=D45)*('Q2 Data'!$B$4:$B$207="Challan")*('Q2 Data'!$H$4:$H$207&lt;&gt;""))+SUMPRODUCT(('Q3 Data'!$D$4:$D$207=D45)*('Q3 Data'!$B$4:$B$207="Challan")*('Q3 Data'!$H$4:$H$207&lt;&gt;""))+SUMPRODUCT(('Q4 Data'!$D$4:$D$207=D45)*('Q4 Data'!$B$4:$B$207="Challan")*('Q4 Data'!$H$4:$H$207&lt;&gt;"")))&gt;0,(SUMPRODUCT(('Q1 Data'!$D$4:$D$207=D45)*('Q1 Data'!$B$4:$B$207="Challan")*('Q1 Data'!$H$4:$H$207=Z45))+SUMPRODUCT(('Q2 Data'!$D$4:$D$207=D45)*('Q2 Data'!$B$4:$B$207="Challan")*('Q2 Data'!$H$4:$H$207=Z45))+SUMPRODUCT(('Q3 Data'!$D$4:$D$207=D45)*('Q3 Data'!$B$4:$B$207="Challan")*('Q3 Data'!$H$4:$H$207=Z45))+SUMPRODUCT(('Q4 Data'!$D$4:$D$207=D45)*('Q4 Data'!$B$4:$B$207="Challan")*('Q4 Data'!$H$4:$H$207=Z45)))=0))</f>
      </c>
    </row>
    <row r="46" spans="1:44" x14ac:dyDescent="0.25">
      <c r="A46" s="20">
        <f>IF($B46="Entry",COUNTIF($B$4:$B46,"Entry"),"")</f>
      </c>
      <c r="B46" s="21"/>
      <c r="C46" s="22"/>
      <c r="D46" s="22"/>
      <c r="E46" s="23">
        <f>IF($B46&lt;&gt;"Challan","",IF(ROUND(AN46-AO46,2)&gt;0,"Over-applied",IF(ROUND(AN46-AO46,2)=0,"Fully Utilised","Unconsumed")))</f>
      </c>
      <c r="F46" s="24"/>
      <c r="G46" s="25"/>
      <c r="H46" s="25"/>
      <c r="I46" s="26"/>
      <c r="J46" s="26"/>
      <c r="K46" s="26"/>
      <c r="L46" s="26"/>
      <c r="M46" s="26"/>
      <c r="N46" s="26"/>
      <c r="O46" s="26"/>
      <c r="P46" s="27">
        <f>IF($B46&lt;&gt;"Challan","",I46+J46+K46+L46+M46+N46)</f>
      </c>
      <c r="Q46" s="25"/>
      <c r="R46" s="25"/>
      <c r="S46" s="25"/>
      <c r="T46" s="25"/>
      <c r="U46" s="25"/>
      <c r="V46" s="28"/>
      <c r="W46" s="28"/>
      <c r="X46" s="23">
        <f>IF($B46="Entry",IF(AND(LEN(TRIM(UPPER(W46)))=10,CODE(MID(TRIM(UPPER(W46)),1,1))&gt;=65,CODE(MID(TRIM(UPPER(W46)),1,1))&lt;=90,CODE(MID(TRIM(UPPER(W46)),2,1))&gt;=65,CODE(MID(TRIM(UPPER(W46)),2,1))&lt;=90,CODE(MID(TRIM(UPPER(W46)),3,1))&gt;=65,CODE(MID(TRIM(UPPER(W46)),3,1))&lt;=90,CODE(MID(TRIM(UPPER(W46)),4,1))&gt;=65,CODE(MID(TRIM(UPPER(W46)),4,1))&lt;=90,CODE(MID(TRIM(UPPER(W46)),5,1))&gt;=65,CODE(MID(TRIM(UPPER(W46)),5,1))&lt;=90,CODE(MID(TRIM(UPPER(W46)),10,1))&gt;=65,CODE(MID(TRIM(UPPER(W46)),10,1))&lt;=90,CODE(MID(TRIM(UPPER(W46)),6,1))&gt;=48,CODE(MID(TRIM(UPPER(W46)),6,1))&lt;=57,CODE(MID(TRIM(UPPER(W46)),7,1))&gt;=48,CODE(MID(TRIM(UPPER(W46)),7,1))&lt;=57,CODE(MID(TRIM(UPPER(W46)),8,1))&gt;=48,CODE(MID(TRIM(UPPER(W46)),8,1))&lt;=57,CODE(MID(TRIM(UPPER(W46)),9,1))&gt;=48,CODE(MID(TRIM(UPPER(W46)),9,1))&lt;=57),"N","Y"),IF($B46="Challan","",IF(W46&lt;&gt;"","◄ Set Row Type","")))</f>
      </c>
      <c r="Y46" s="23">
        <f>IF($B46="Entry",IF(LEN(W46)&lt;4,"",IF(UPPER(MID(W46,4,1))="P","Individual",IF(UPPER(MID(W46,4,1))="H","HUF",IF(UPPER(MID(W46,4,1))="C","Company",IF(UPPER(MID(W46,4,1))="F","Firm",IF(UPPER(MID(W46,4,1))="L","LLP",IF(UPPER(MID(W46,4,1))="T","Trust",IF(UPPER(MID(W46,4,1))="A","AOP","")))))))),IF($B46="Challan","",IF(W46&lt;&gt;"","◄ Set Row Type","")))</f>
      </c>
      <c r="Z46" s="28"/>
      <c r="AA46" s="29">
        <f>IF($B46&lt;&gt;"Entry","",IF(Z46="","",IF(X46="Y",SUMPRODUCT(('Rate Lookup'!$A$1:$A$37=Z46)*'Rate Lookup'!$D$1:$D$37),IF(OR(Y46="Individual",Y46="HUF"),SUMPRODUCT(('Rate Lookup'!$A$1:$A$37=Z46)*'Rate Lookup'!$B$1:$B$37),SUMPRODUCT(('Rate Lookup'!$A$1:$A$37=Z46)*'Rate Lookup'!$C$1:$C$37)))))</f>
      </c>
      <c r="AB46" s="30"/>
      <c r="AC46" s="31"/>
      <c r="AD46" s="27">
        <f>IF($B46&lt;&gt;"Entry","",ROUND(AC46*AA46/100,0))</f>
      </c>
      <c r="AE46" s="27">
        <f>IF($B46&lt;&gt;"Entry","",0)</f>
      </c>
      <c r="AF46" s="27">
        <f>IF($B46&lt;&gt;"Entry","",0)</f>
      </c>
      <c r="AG46" s="27">
        <f>IF($B46&lt;&gt;"Entry","",IF(OR(AD46=0,AB46="",AQ46="",AQ46&lt;=0),0,IF(AQ46&lt;=DATE(YEAR(AB46),MONTH(AB46)+1,7),0,ROUND(AD46*0.015*((YEAR(AQ46)-YEAR(AB46))*12+(MONTH(AQ46)-MONTH(AB46))+1),0))))</f>
      </c>
      <c r="AH46" s="27">
        <f>IF($B46&lt;&gt;"Entry","",0)</f>
      </c>
      <c r="AI46" s="28"/>
      <c r="AJ46" s="28"/>
      <c r="AK46" s="32"/>
      <c r="AL46" s="28"/>
      <c r="AM46" s="28"/>
      <c r="AN46" s="27">
        <f>IF($B46&lt;&gt;"Challan","",SUMIF('Q1 Data'!$D$4:$D$207,D46,'Q1 Data'!$AD$4:$AD$207)+SUMIF('Q1 Data'!$D$4:$D$207,D46,'Q1 Data'!$AG$4:$AG$207)+SUMIF('Q1 Data'!$D$4:$D$207,D46,'Q1 Data'!$AE$4:$AE$207)+SUMIF('Q2 Data'!$D$4:$D$207,D46,'Q2 Data'!$AD$4:$AD$207)+SUMIF('Q2 Data'!$D$4:$D$207,D46,'Q2 Data'!$AG$4:$AG$207)+SUMIF('Q2 Data'!$D$4:$D$207,D46,'Q2 Data'!$AE$4:$AE$207)+SUMIF('Q3 Data'!$D$4:$D$207,D46,'Q3 Data'!$AD$4:$AD$207)+SUMIF('Q3 Data'!$D$4:$D$207,D46,'Q3 Data'!$AG$4:$AG$207)+SUMIF('Q3 Data'!$D$4:$D$207,D46,'Q3 Data'!$AE$4:$AE$207)+SUMIF('Q4 Data'!$D$4:$D$207,D46,'Q4 Data'!$AD$4:$AD$207)+SUMIF('Q4 Data'!$D$4:$D$207,D46,'Q4 Data'!$AG$4:$AG$207)+SUMIF('Q4 Data'!$D$4:$D$207,D46,'Q4 Data'!$AE$4:$AE$207))</f>
      </c>
      <c r="AO46" s="27">
        <f>IF($B46&lt;&gt;"Challan","",P46-N46)</f>
      </c>
      <c r="AP46" s="27">
        <f>IF($B46&lt;&gt;"Challan","",MAX(0,AO46-AN46))</f>
      </c>
      <c r="AQ46" s="33">
        <f>IF($B46&lt;&gt;"Entry","",SUMPRODUCT(('Q1 Data'!$D$4:$D$207=D46)*('Q1 Data'!$B$4:$B$207="Challan")*'Q1 Data'!$F$4:$F$207)+SUMPRODUCT(('Q2 Data'!$D$4:$D$207=D46)*('Q2 Data'!$B$4:$B$207="Challan")*'Q2 Data'!$F$4:$F$207)+SUMPRODUCT(('Q3 Data'!$D$4:$D$207=D46)*('Q3 Data'!$B$4:$B$207="Challan")*'Q3 Data'!$F$4:$F$207)+SUMPRODUCT(('Q4 Data'!$D$4:$D$207=D46)*('Q4 Data'!$B$4:$B$207="Challan")*'Q4 Data'!$F$4:$F$207))</f>
      </c>
      <c r="AR46" s="34">
        <f>IF(OR($B46&lt;&gt;"Entry",Z46=""),FALSE,AND((SUMPRODUCT(('Q1 Data'!$D$4:$D$207=D46)*('Q1 Data'!$B$4:$B$207="Challan")*('Q1 Data'!$H$4:$H$207&lt;&gt;""))+SUMPRODUCT(('Q2 Data'!$D$4:$D$207=D46)*('Q2 Data'!$B$4:$B$207="Challan")*('Q2 Data'!$H$4:$H$207&lt;&gt;""))+SUMPRODUCT(('Q3 Data'!$D$4:$D$207=D46)*('Q3 Data'!$B$4:$B$207="Challan")*('Q3 Data'!$H$4:$H$207&lt;&gt;""))+SUMPRODUCT(('Q4 Data'!$D$4:$D$207=D46)*('Q4 Data'!$B$4:$B$207="Challan")*('Q4 Data'!$H$4:$H$207&lt;&gt;"")))&gt;0,(SUMPRODUCT(('Q1 Data'!$D$4:$D$207=D46)*('Q1 Data'!$B$4:$B$207="Challan")*('Q1 Data'!$H$4:$H$207=Z46))+SUMPRODUCT(('Q2 Data'!$D$4:$D$207=D46)*('Q2 Data'!$B$4:$B$207="Challan")*('Q2 Data'!$H$4:$H$207=Z46))+SUMPRODUCT(('Q3 Data'!$D$4:$D$207=D46)*('Q3 Data'!$B$4:$B$207="Challan")*('Q3 Data'!$H$4:$H$207=Z46))+SUMPRODUCT(('Q4 Data'!$D$4:$D$207=D46)*('Q4 Data'!$B$4:$B$207="Challan")*('Q4 Data'!$H$4:$H$207=Z46)))=0))</f>
      </c>
    </row>
    <row r="47" spans="1:44" x14ac:dyDescent="0.25">
      <c r="A47" s="20">
        <f>IF($B47="Entry",COUNTIF($B$4:$B47,"Entry"),"")</f>
      </c>
      <c r="B47" s="21"/>
      <c r="C47" s="22"/>
      <c r="D47" s="22"/>
      <c r="E47" s="23">
        <f>IF($B47&lt;&gt;"Challan","",IF(ROUND(AN47-AO47,2)&gt;0,"Over-applied",IF(ROUND(AN47-AO47,2)=0,"Fully Utilised","Unconsumed")))</f>
      </c>
      <c r="F47" s="24"/>
      <c r="G47" s="25"/>
      <c r="H47" s="25"/>
      <c r="I47" s="26"/>
      <c r="J47" s="26"/>
      <c r="K47" s="26"/>
      <c r="L47" s="26"/>
      <c r="M47" s="26"/>
      <c r="N47" s="26"/>
      <c r="O47" s="26"/>
      <c r="P47" s="27">
        <f>IF($B47&lt;&gt;"Challan","",I47+J47+K47+L47+M47+N47)</f>
      </c>
      <c r="Q47" s="25"/>
      <c r="R47" s="25"/>
      <c r="S47" s="25"/>
      <c r="T47" s="25"/>
      <c r="U47" s="25"/>
      <c r="V47" s="28"/>
      <c r="W47" s="28"/>
      <c r="X47" s="23">
        <f>IF($B47="Entry",IF(AND(LEN(TRIM(UPPER(W47)))=10,CODE(MID(TRIM(UPPER(W47)),1,1))&gt;=65,CODE(MID(TRIM(UPPER(W47)),1,1))&lt;=90,CODE(MID(TRIM(UPPER(W47)),2,1))&gt;=65,CODE(MID(TRIM(UPPER(W47)),2,1))&lt;=90,CODE(MID(TRIM(UPPER(W47)),3,1))&gt;=65,CODE(MID(TRIM(UPPER(W47)),3,1))&lt;=90,CODE(MID(TRIM(UPPER(W47)),4,1))&gt;=65,CODE(MID(TRIM(UPPER(W47)),4,1))&lt;=90,CODE(MID(TRIM(UPPER(W47)),5,1))&gt;=65,CODE(MID(TRIM(UPPER(W47)),5,1))&lt;=90,CODE(MID(TRIM(UPPER(W47)),10,1))&gt;=65,CODE(MID(TRIM(UPPER(W47)),10,1))&lt;=90,CODE(MID(TRIM(UPPER(W47)),6,1))&gt;=48,CODE(MID(TRIM(UPPER(W47)),6,1))&lt;=57,CODE(MID(TRIM(UPPER(W47)),7,1))&gt;=48,CODE(MID(TRIM(UPPER(W47)),7,1))&lt;=57,CODE(MID(TRIM(UPPER(W47)),8,1))&gt;=48,CODE(MID(TRIM(UPPER(W47)),8,1))&lt;=57,CODE(MID(TRIM(UPPER(W47)),9,1))&gt;=48,CODE(MID(TRIM(UPPER(W47)),9,1))&lt;=57),"N","Y"),IF($B47="Challan","",IF(W47&lt;&gt;"","◄ Set Row Type","")))</f>
      </c>
      <c r="Y47" s="23">
        <f>IF($B47="Entry",IF(LEN(W47)&lt;4,"",IF(UPPER(MID(W47,4,1))="P","Individual",IF(UPPER(MID(W47,4,1))="H","HUF",IF(UPPER(MID(W47,4,1))="C","Company",IF(UPPER(MID(W47,4,1))="F","Firm",IF(UPPER(MID(W47,4,1))="L","LLP",IF(UPPER(MID(W47,4,1))="T","Trust",IF(UPPER(MID(W47,4,1))="A","AOP","")))))))),IF($B47="Challan","",IF(W47&lt;&gt;"","◄ Set Row Type","")))</f>
      </c>
      <c r="Z47" s="28"/>
      <c r="AA47" s="29">
        <f>IF($B47&lt;&gt;"Entry","",IF(Z47="","",IF(X47="Y",SUMPRODUCT(('Rate Lookup'!$A$1:$A$37=Z47)*'Rate Lookup'!$D$1:$D$37),IF(OR(Y47="Individual",Y47="HUF"),SUMPRODUCT(('Rate Lookup'!$A$1:$A$37=Z47)*'Rate Lookup'!$B$1:$B$37),SUMPRODUCT(('Rate Lookup'!$A$1:$A$37=Z47)*'Rate Lookup'!$C$1:$C$37)))))</f>
      </c>
      <c r="AB47" s="30"/>
      <c r="AC47" s="31"/>
      <c r="AD47" s="27">
        <f>IF($B47&lt;&gt;"Entry","",ROUND(AC47*AA47/100,0))</f>
      </c>
      <c r="AE47" s="27">
        <f>IF($B47&lt;&gt;"Entry","",0)</f>
      </c>
      <c r="AF47" s="27">
        <f>IF($B47&lt;&gt;"Entry","",0)</f>
      </c>
      <c r="AG47" s="27">
        <f>IF($B47&lt;&gt;"Entry","",IF(OR(AD47=0,AB47="",AQ47="",AQ47&lt;=0),0,IF(AQ47&lt;=DATE(YEAR(AB47),MONTH(AB47)+1,7),0,ROUND(AD47*0.015*((YEAR(AQ47)-YEAR(AB47))*12+(MONTH(AQ47)-MONTH(AB47))+1),0))))</f>
      </c>
      <c r="AH47" s="27">
        <f>IF($B47&lt;&gt;"Entry","",0)</f>
      </c>
      <c r="AI47" s="28"/>
      <c r="AJ47" s="28"/>
      <c r="AK47" s="32"/>
      <c r="AL47" s="28"/>
      <c r="AM47" s="28"/>
      <c r="AN47" s="27">
        <f>IF($B47&lt;&gt;"Challan","",SUMIF('Q1 Data'!$D$4:$D$207,D47,'Q1 Data'!$AD$4:$AD$207)+SUMIF('Q1 Data'!$D$4:$D$207,D47,'Q1 Data'!$AG$4:$AG$207)+SUMIF('Q1 Data'!$D$4:$D$207,D47,'Q1 Data'!$AE$4:$AE$207)+SUMIF('Q2 Data'!$D$4:$D$207,D47,'Q2 Data'!$AD$4:$AD$207)+SUMIF('Q2 Data'!$D$4:$D$207,D47,'Q2 Data'!$AG$4:$AG$207)+SUMIF('Q2 Data'!$D$4:$D$207,D47,'Q2 Data'!$AE$4:$AE$207)+SUMIF('Q3 Data'!$D$4:$D$207,D47,'Q3 Data'!$AD$4:$AD$207)+SUMIF('Q3 Data'!$D$4:$D$207,D47,'Q3 Data'!$AG$4:$AG$207)+SUMIF('Q3 Data'!$D$4:$D$207,D47,'Q3 Data'!$AE$4:$AE$207)+SUMIF('Q4 Data'!$D$4:$D$207,D47,'Q4 Data'!$AD$4:$AD$207)+SUMIF('Q4 Data'!$D$4:$D$207,D47,'Q4 Data'!$AG$4:$AG$207)+SUMIF('Q4 Data'!$D$4:$D$207,D47,'Q4 Data'!$AE$4:$AE$207))</f>
      </c>
      <c r="AO47" s="27">
        <f>IF($B47&lt;&gt;"Challan","",P47-N47)</f>
      </c>
      <c r="AP47" s="27">
        <f>IF($B47&lt;&gt;"Challan","",MAX(0,AO47-AN47))</f>
      </c>
      <c r="AQ47" s="33">
        <f>IF($B47&lt;&gt;"Entry","",SUMPRODUCT(('Q1 Data'!$D$4:$D$207=D47)*('Q1 Data'!$B$4:$B$207="Challan")*'Q1 Data'!$F$4:$F$207)+SUMPRODUCT(('Q2 Data'!$D$4:$D$207=D47)*('Q2 Data'!$B$4:$B$207="Challan")*'Q2 Data'!$F$4:$F$207)+SUMPRODUCT(('Q3 Data'!$D$4:$D$207=D47)*('Q3 Data'!$B$4:$B$207="Challan")*'Q3 Data'!$F$4:$F$207)+SUMPRODUCT(('Q4 Data'!$D$4:$D$207=D47)*('Q4 Data'!$B$4:$B$207="Challan")*'Q4 Data'!$F$4:$F$207))</f>
      </c>
      <c r="AR47" s="34">
        <f>IF(OR($B47&lt;&gt;"Entry",Z47=""),FALSE,AND((SUMPRODUCT(('Q1 Data'!$D$4:$D$207=D47)*('Q1 Data'!$B$4:$B$207="Challan")*('Q1 Data'!$H$4:$H$207&lt;&gt;""))+SUMPRODUCT(('Q2 Data'!$D$4:$D$207=D47)*('Q2 Data'!$B$4:$B$207="Challan")*('Q2 Data'!$H$4:$H$207&lt;&gt;""))+SUMPRODUCT(('Q3 Data'!$D$4:$D$207=D47)*('Q3 Data'!$B$4:$B$207="Challan")*('Q3 Data'!$H$4:$H$207&lt;&gt;""))+SUMPRODUCT(('Q4 Data'!$D$4:$D$207=D47)*('Q4 Data'!$B$4:$B$207="Challan")*('Q4 Data'!$H$4:$H$207&lt;&gt;"")))&gt;0,(SUMPRODUCT(('Q1 Data'!$D$4:$D$207=D47)*('Q1 Data'!$B$4:$B$207="Challan")*('Q1 Data'!$H$4:$H$207=Z47))+SUMPRODUCT(('Q2 Data'!$D$4:$D$207=D47)*('Q2 Data'!$B$4:$B$207="Challan")*('Q2 Data'!$H$4:$H$207=Z47))+SUMPRODUCT(('Q3 Data'!$D$4:$D$207=D47)*('Q3 Data'!$B$4:$B$207="Challan")*('Q3 Data'!$H$4:$H$207=Z47))+SUMPRODUCT(('Q4 Data'!$D$4:$D$207=D47)*('Q4 Data'!$B$4:$B$207="Challan")*('Q4 Data'!$H$4:$H$207=Z47)))=0))</f>
      </c>
    </row>
    <row r="48" spans="1:44" x14ac:dyDescent="0.25">
      <c r="A48" s="20">
        <f>IF($B48="Entry",COUNTIF($B$4:$B48,"Entry"),"")</f>
      </c>
      <c r="B48" s="21"/>
      <c r="C48" s="22"/>
      <c r="D48" s="22"/>
      <c r="E48" s="23">
        <f>IF($B48&lt;&gt;"Challan","",IF(ROUND(AN48-AO48,2)&gt;0,"Over-applied",IF(ROUND(AN48-AO48,2)=0,"Fully Utilised","Unconsumed")))</f>
      </c>
      <c r="F48" s="24"/>
      <c r="G48" s="25"/>
      <c r="H48" s="25"/>
      <c r="I48" s="26"/>
      <c r="J48" s="26"/>
      <c r="K48" s="26"/>
      <c r="L48" s="26"/>
      <c r="M48" s="26"/>
      <c r="N48" s="26"/>
      <c r="O48" s="26"/>
      <c r="P48" s="27">
        <f>IF($B48&lt;&gt;"Challan","",I48+J48+K48+L48+M48+N48)</f>
      </c>
      <c r="Q48" s="25"/>
      <c r="R48" s="25"/>
      <c r="S48" s="25"/>
      <c r="T48" s="25"/>
      <c r="U48" s="25"/>
      <c r="V48" s="28"/>
      <c r="W48" s="28"/>
      <c r="X48" s="23">
        <f>IF($B48="Entry",IF(AND(LEN(TRIM(UPPER(W48)))=10,CODE(MID(TRIM(UPPER(W48)),1,1))&gt;=65,CODE(MID(TRIM(UPPER(W48)),1,1))&lt;=90,CODE(MID(TRIM(UPPER(W48)),2,1))&gt;=65,CODE(MID(TRIM(UPPER(W48)),2,1))&lt;=90,CODE(MID(TRIM(UPPER(W48)),3,1))&gt;=65,CODE(MID(TRIM(UPPER(W48)),3,1))&lt;=90,CODE(MID(TRIM(UPPER(W48)),4,1))&gt;=65,CODE(MID(TRIM(UPPER(W48)),4,1))&lt;=90,CODE(MID(TRIM(UPPER(W48)),5,1))&gt;=65,CODE(MID(TRIM(UPPER(W48)),5,1))&lt;=90,CODE(MID(TRIM(UPPER(W48)),10,1))&gt;=65,CODE(MID(TRIM(UPPER(W48)),10,1))&lt;=90,CODE(MID(TRIM(UPPER(W48)),6,1))&gt;=48,CODE(MID(TRIM(UPPER(W48)),6,1))&lt;=57,CODE(MID(TRIM(UPPER(W48)),7,1))&gt;=48,CODE(MID(TRIM(UPPER(W48)),7,1))&lt;=57,CODE(MID(TRIM(UPPER(W48)),8,1))&gt;=48,CODE(MID(TRIM(UPPER(W48)),8,1))&lt;=57,CODE(MID(TRIM(UPPER(W48)),9,1))&gt;=48,CODE(MID(TRIM(UPPER(W48)),9,1))&lt;=57),"N","Y"),IF($B48="Challan","",IF(W48&lt;&gt;"","◄ Set Row Type","")))</f>
      </c>
      <c r="Y48" s="23">
        <f>IF($B48="Entry",IF(LEN(W48)&lt;4,"",IF(UPPER(MID(W48,4,1))="P","Individual",IF(UPPER(MID(W48,4,1))="H","HUF",IF(UPPER(MID(W48,4,1))="C","Company",IF(UPPER(MID(W48,4,1))="F","Firm",IF(UPPER(MID(W48,4,1))="L","LLP",IF(UPPER(MID(W48,4,1))="T","Trust",IF(UPPER(MID(W48,4,1))="A","AOP","")))))))),IF($B48="Challan","",IF(W48&lt;&gt;"","◄ Set Row Type","")))</f>
      </c>
      <c r="Z48" s="28"/>
      <c r="AA48" s="29">
        <f>IF($B48&lt;&gt;"Entry","",IF(Z48="","",IF(X48="Y",SUMPRODUCT(('Rate Lookup'!$A$1:$A$37=Z48)*'Rate Lookup'!$D$1:$D$37),IF(OR(Y48="Individual",Y48="HUF"),SUMPRODUCT(('Rate Lookup'!$A$1:$A$37=Z48)*'Rate Lookup'!$B$1:$B$37),SUMPRODUCT(('Rate Lookup'!$A$1:$A$37=Z48)*'Rate Lookup'!$C$1:$C$37)))))</f>
      </c>
      <c r="AB48" s="30"/>
      <c r="AC48" s="31"/>
      <c r="AD48" s="27">
        <f>IF($B48&lt;&gt;"Entry","",ROUND(AC48*AA48/100,0))</f>
      </c>
      <c r="AE48" s="27">
        <f>IF($B48&lt;&gt;"Entry","",0)</f>
      </c>
      <c r="AF48" s="27">
        <f>IF($B48&lt;&gt;"Entry","",0)</f>
      </c>
      <c r="AG48" s="27">
        <f>IF($B48&lt;&gt;"Entry","",IF(OR(AD48=0,AB48="",AQ48="",AQ48&lt;=0),0,IF(AQ48&lt;=DATE(YEAR(AB48),MONTH(AB48)+1,7),0,ROUND(AD48*0.015*((YEAR(AQ48)-YEAR(AB48))*12+(MONTH(AQ48)-MONTH(AB48))+1),0))))</f>
      </c>
      <c r="AH48" s="27">
        <f>IF($B48&lt;&gt;"Entry","",0)</f>
      </c>
      <c r="AI48" s="28"/>
      <c r="AJ48" s="28"/>
      <c r="AK48" s="32"/>
      <c r="AL48" s="28"/>
      <c r="AM48" s="28"/>
      <c r="AN48" s="27">
        <f>IF($B48&lt;&gt;"Challan","",SUMIF('Q1 Data'!$D$4:$D$207,D48,'Q1 Data'!$AD$4:$AD$207)+SUMIF('Q1 Data'!$D$4:$D$207,D48,'Q1 Data'!$AG$4:$AG$207)+SUMIF('Q1 Data'!$D$4:$D$207,D48,'Q1 Data'!$AE$4:$AE$207)+SUMIF('Q2 Data'!$D$4:$D$207,D48,'Q2 Data'!$AD$4:$AD$207)+SUMIF('Q2 Data'!$D$4:$D$207,D48,'Q2 Data'!$AG$4:$AG$207)+SUMIF('Q2 Data'!$D$4:$D$207,D48,'Q2 Data'!$AE$4:$AE$207)+SUMIF('Q3 Data'!$D$4:$D$207,D48,'Q3 Data'!$AD$4:$AD$207)+SUMIF('Q3 Data'!$D$4:$D$207,D48,'Q3 Data'!$AG$4:$AG$207)+SUMIF('Q3 Data'!$D$4:$D$207,D48,'Q3 Data'!$AE$4:$AE$207)+SUMIF('Q4 Data'!$D$4:$D$207,D48,'Q4 Data'!$AD$4:$AD$207)+SUMIF('Q4 Data'!$D$4:$D$207,D48,'Q4 Data'!$AG$4:$AG$207)+SUMIF('Q4 Data'!$D$4:$D$207,D48,'Q4 Data'!$AE$4:$AE$207))</f>
      </c>
      <c r="AO48" s="27">
        <f>IF($B48&lt;&gt;"Challan","",P48-N48)</f>
      </c>
      <c r="AP48" s="27">
        <f>IF($B48&lt;&gt;"Challan","",MAX(0,AO48-AN48))</f>
      </c>
      <c r="AQ48" s="33">
        <f>IF($B48&lt;&gt;"Entry","",SUMPRODUCT(('Q1 Data'!$D$4:$D$207=D48)*('Q1 Data'!$B$4:$B$207="Challan")*'Q1 Data'!$F$4:$F$207)+SUMPRODUCT(('Q2 Data'!$D$4:$D$207=D48)*('Q2 Data'!$B$4:$B$207="Challan")*'Q2 Data'!$F$4:$F$207)+SUMPRODUCT(('Q3 Data'!$D$4:$D$207=D48)*('Q3 Data'!$B$4:$B$207="Challan")*'Q3 Data'!$F$4:$F$207)+SUMPRODUCT(('Q4 Data'!$D$4:$D$207=D48)*('Q4 Data'!$B$4:$B$207="Challan")*'Q4 Data'!$F$4:$F$207))</f>
      </c>
      <c r="AR48" s="34">
        <f>IF(OR($B48&lt;&gt;"Entry",Z48=""),FALSE,AND((SUMPRODUCT(('Q1 Data'!$D$4:$D$207=D48)*('Q1 Data'!$B$4:$B$207="Challan")*('Q1 Data'!$H$4:$H$207&lt;&gt;""))+SUMPRODUCT(('Q2 Data'!$D$4:$D$207=D48)*('Q2 Data'!$B$4:$B$207="Challan")*('Q2 Data'!$H$4:$H$207&lt;&gt;""))+SUMPRODUCT(('Q3 Data'!$D$4:$D$207=D48)*('Q3 Data'!$B$4:$B$207="Challan")*('Q3 Data'!$H$4:$H$207&lt;&gt;""))+SUMPRODUCT(('Q4 Data'!$D$4:$D$207=D48)*('Q4 Data'!$B$4:$B$207="Challan")*('Q4 Data'!$H$4:$H$207&lt;&gt;"")))&gt;0,(SUMPRODUCT(('Q1 Data'!$D$4:$D$207=D48)*('Q1 Data'!$B$4:$B$207="Challan")*('Q1 Data'!$H$4:$H$207=Z48))+SUMPRODUCT(('Q2 Data'!$D$4:$D$207=D48)*('Q2 Data'!$B$4:$B$207="Challan")*('Q2 Data'!$H$4:$H$207=Z48))+SUMPRODUCT(('Q3 Data'!$D$4:$D$207=D48)*('Q3 Data'!$B$4:$B$207="Challan")*('Q3 Data'!$H$4:$H$207=Z48))+SUMPRODUCT(('Q4 Data'!$D$4:$D$207=D48)*('Q4 Data'!$B$4:$B$207="Challan")*('Q4 Data'!$H$4:$H$207=Z48)))=0))</f>
      </c>
    </row>
    <row r="49" spans="1:44" x14ac:dyDescent="0.25">
      <c r="A49" s="20">
        <f>IF($B49="Entry",COUNTIF($B$4:$B49,"Entry"),"")</f>
      </c>
      <c r="B49" s="21"/>
      <c r="C49" s="22"/>
      <c r="D49" s="22"/>
      <c r="E49" s="23">
        <f>IF($B49&lt;&gt;"Challan","",IF(ROUND(AN49-AO49,2)&gt;0,"Over-applied",IF(ROUND(AN49-AO49,2)=0,"Fully Utilised","Unconsumed")))</f>
      </c>
      <c r="F49" s="24"/>
      <c r="G49" s="25"/>
      <c r="H49" s="25"/>
      <c r="I49" s="26"/>
      <c r="J49" s="26"/>
      <c r="K49" s="26"/>
      <c r="L49" s="26"/>
      <c r="M49" s="26"/>
      <c r="N49" s="26"/>
      <c r="O49" s="26"/>
      <c r="P49" s="27">
        <f>IF($B49&lt;&gt;"Challan","",I49+J49+K49+L49+M49+N49)</f>
      </c>
      <c r="Q49" s="25"/>
      <c r="R49" s="25"/>
      <c r="S49" s="25"/>
      <c r="T49" s="25"/>
      <c r="U49" s="25"/>
      <c r="V49" s="28"/>
      <c r="W49" s="28"/>
      <c r="X49" s="23">
        <f>IF($B49="Entry",IF(AND(LEN(TRIM(UPPER(W49)))=10,CODE(MID(TRIM(UPPER(W49)),1,1))&gt;=65,CODE(MID(TRIM(UPPER(W49)),1,1))&lt;=90,CODE(MID(TRIM(UPPER(W49)),2,1))&gt;=65,CODE(MID(TRIM(UPPER(W49)),2,1))&lt;=90,CODE(MID(TRIM(UPPER(W49)),3,1))&gt;=65,CODE(MID(TRIM(UPPER(W49)),3,1))&lt;=90,CODE(MID(TRIM(UPPER(W49)),4,1))&gt;=65,CODE(MID(TRIM(UPPER(W49)),4,1))&lt;=90,CODE(MID(TRIM(UPPER(W49)),5,1))&gt;=65,CODE(MID(TRIM(UPPER(W49)),5,1))&lt;=90,CODE(MID(TRIM(UPPER(W49)),10,1))&gt;=65,CODE(MID(TRIM(UPPER(W49)),10,1))&lt;=90,CODE(MID(TRIM(UPPER(W49)),6,1))&gt;=48,CODE(MID(TRIM(UPPER(W49)),6,1))&lt;=57,CODE(MID(TRIM(UPPER(W49)),7,1))&gt;=48,CODE(MID(TRIM(UPPER(W49)),7,1))&lt;=57,CODE(MID(TRIM(UPPER(W49)),8,1))&gt;=48,CODE(MID(TRIM(UPPER(W49)),8,1))&lt;=57,CODE(MID(TRIM(UPPER(W49)),9,1))&gt;=48,CODE(MID(TRIM(UPPER(W49)),9,1))&lt;=57),"N","Y"),IF($B49="Challan","",IF(W49&lt;&gt;"","◄ Set Row Type","")))</f>
      </c>
      <c r="Y49" s="23">
        <f>IF($B49="Entry",IF(LEN(W49)&lt;4,"",IF(UPPER(MID(W49,4,1))="P","Individual",IF(UPPER(MID(W49,4,1))="H","HUF",IF(UPPER(MID(W49,4,1))="C","Company",IF(UPPER(MID(W49,4,1))="F","Firm",IF(UPPER(MID(W49,4,1))="L","LLP",IF(UPPER(MID(W49,4,1))="T","Trust",IF(UPPER(MID(W49,4,1))="A","AOP","")))))))),IF($B49="Challan","",IF(W49&lt;&gt;"","◄ Set Row Type","")))</f>
      </c>
      <c r="Z49" s="28"/>
      <c r="AA49" s="29">
        <f>IF($B49&lt;&gt;"Entry","",IF(Z49="","",IF(X49="Y",SUMPRODUCT(('Rate Lookup'!$A$1:$A$37=Z49)*'Rate Lookup'!$D$1:$D$37),IF(OR(Y49="Individual",Y49="HUF"),SUMPRODUCT(('Rate Lookup'!$A$1:$A$37=Z49)*'Rate Lookup'!$B$1:$B$37),SUMPRODUCT(('Rate Lookup'!$A$1:$A$37=Z49)*'Rate Lookup'!$C$1:$C$37)))))</f>
      </c>
      <c r="AB49" s="30"/>
      <c r="AC49" s="31"/>
      <c r="AD49" s="27">
        <f>IF($B49&lt;&gt;"Entry","",ROUND(AC49*AA49/100,0))</f>
      </c>
      <c r="AE49" s="27">
        <f>IF($B49&lt;&gt;"Entry","",0)</f>
      </c>
      <c r="AF49" s="27">
        <f>IF($B49&lt;&gt;"Entry","",0)</f>
      </c>
      <c r="AG49" s="27">
        <f>IF($B49&lt;&gt;"Entry","",IF(OR(AD49=0,AB49="",AQ49="",AQ49&lt;=0),0,IF(AQ49&lt;=DATE(YEAR(AB49),MONTH(AB49)+1,7),0,ROUND(AD49*0.015*((YEAR(AQ49)-YEAR(AB49))*12+(MONTH(AQ49)-MONTH(AB49))+1),0))))</f>
      </c>
      <c r="AH49" s="27">
        <f>IF($B49&lt;&gt;"Entry","",0)</f>
      </c>
      <c r="AI49" s="28"/>
      <c r="AJ49" s="28"/>
      <c r="AK49" s="32"/>
      <c r="AL49" s="28"/>
      <c r="AM49" s="28"/>
      <c r="AN49" s="27">
        <f>IF($B49&lt;&gt;"Challan","",SUMIF('Q1 Data'!$D$4:$D$207,D49,'Q1 Data'!$AD$4:$AD$207)+SUMIF('Q1 Data'!$D$4:$D$207,D49,'Q1 Data'!$AG$4:$AG$207)+SUMIF('Q1 Data'!$D$4:$D$207,D49,'Q1 Data'!$AE$4:$AE$207)+SUMIF('Q2 Data'!$D$4:$D$207,D49,'Q2 Data'!$AD$4:$AD$207)+SUMIF('Q2 Data'!$D$4:$D$207,D49,'Q2 Data'!$AG$4:$AG$207)+SUMIF('Q2 Data'!$D$4:$D$207,D49,'Q2 Data'!$AE$4:$AE$207)+SUMIF('Q3 Data'!$D$4:$D$207,D49,'Q3 Data'!$AD$4:$AD$207)+SUMIF('Q3 Data'!$D$4:$D$207,D49,'Q3 Data'!$AG$4:$AG$207)+SUMIF('Q3 Data'!$D$4:$D$207,D49,'Q3 Data'!$AE$4:$AE$207)+SUMIF('Q4 Data'!$D$4:$D$207,D49,'Q4 Data'!$AD$4:$AD$207)+SUMIF('Q4 Data'!$D$4:$D$207,D49,'Q4 Data'!$AG$4:$AG$207)+SUMIF('Q4 Data'!$D$4:$D$207,D49,'Q4 Data'!$AE$4:$AE$207))</f>
      </c>
      <c r="AO49" s="27">
        <f>IF($B49&lt;&gt;"Challan","",P49-N49)</f>
      </c>
      <c r="AP49" s="27">
        <f>IF($B49&lt;&gt;"Challan","",MAX(0,AO49-AN49))</f>
      </c>
      <c r="AQ49" s="33">
        <f>IF($B49&lt;&gt;"Entry","",SUMPRODUCT(('Q1 Data'!$D$4:$D$207=D49)*('Q1 Data'!$B$4:$B$207="Challan")*'Q1 Data'!$F$4:$F$207)+SUMPRODUCT(('Q2 Data'!$D$4:$D$207=D49)*('Q2 Data'!$B$4:$B$207="Challan")*'Q2 Data'!$F$4:$F$207)+SUMPRODUCT(('Q3 Data'!$D$4:$D$207=D49)*('Q3 Data'!$B$4:$B$207="Challan")*'Q3 Data'!$F$4:$F$207)+SUMPRODUCT(('Q4 Data'!$D$4:$D$207=D49)*('Q4 Data'!$B$4:$B$207="Challan")*'Q4 Data'!$F$4:$F$207))</f>
      </c>
      <c r="AR49" s="34">
        <f>IF(OR($B49&lt;&gt;"Entry",Z49=""),FALSE,AND((SUMPRODUCT(('Q1 Data'!$D$4:$D$207=D49)*('Q1 Data'!$B$4:$B$207="Challan")*('Q1 Data'!$H$4:$H$207&lt;&gt;""))+SUMPRODUCT(('Q2 Data'!$D$4:$D$207=D49)*('Q2 Data'!$B$4:$B$207="Challan")*('Q2 Data'!$H$4:$H$207&lt;&gt;""))+SUMPRODUCT(('Q3 Data'!$D$4:$D$207=D49)*('Q3 Data'!$B$4:$B$207="Challan")*('Q3 Data'!$H$4:$H$207&lt;&gt;""))+SUMPRODUCT(('Q4 Data'!$D$4:$D$207=D49)*('Q4 Data'!$B$4:$B$207="Challan")*('Q4 Data'!$H$4:$H$207&lt;&gt;"")))&gt;0,(SUMPRODUCT(('Q1 Data'!$D$4:$D$207=D49)*('Q1 Data'!$B$4:$B$207="Challan")*('Q1 Data'!$H$4:$H$207=Z49))+SUMPRODUCT(('Q2 Data'!$D$4:$D$207=D49)*('Q2 Data'!$B$4:$B$207="Challan")*('Q2 Data'!$H$4:$H$207=Z49))+SUMPRODUCT(('Q3 Data'!$D$4:$D$207=D49)*('Q3 Data'!$B$4:$B$207="Challan")*('Q3 Data'!$H$4:$H$207=Z49))+SUMPRODUCT(('Q4 Data'!$D$4:$D$207=D49)*('Q4 Data'!$B$4:$B$207="Challan")*('Q4 Data'!$H$4:$H$207=Z49)))=0))</f>
      </c>
    </row>
    <row r="50" spans="1:44" x14ac:dyDescent="0.25">
      <c r="A50" s="20">
        <f>IF($B50="Entry",COUNTIF($B$4:$B50,"Entry"),"")</f>
      </c>
      <c r="B50" s="21"/>
      <c r="C50" s="22"/>
      <c r="D50" s="22"/>
      <c r="E50" s="23">
        <f>IF($B50&lt;&gt;"Challan","",IF(ROUND(AN50-AO50,2)&gt;0,"Over-applied",IF(ROUND(AN50-AO50,2)=0,"Fully Utilised","Unconsumed")))</f>
      </c>
      <c r="F50" s="24"/>
      <c r="G50" s="25"/>
      <c r="H50" s="25"/>
      <c r="I50" s="26"/>
      <c r="J50" s="26"/>
      <c r="K50" s="26"/>
      <c r="L50" s="26"/>
      <c r="M50" s="26"/>
      <c r="N50" s="26"/>
      <c r="O50" s="26"/>
      <c r="P50" s="27">
        <f>IF($B50&lt;&gt;"Challan","",I50+J50+K50+L50+M50+N50)</f>
      </c>
      <c r="Q50" s="25"/>
      <c r="R50" s="25"/>
      <c r="S50" s="25"/>
      <c r="T50" s="25"/>
      <c r="U50" s="25"/>
      <c r="V50" s="28"/>
      <c r="W50" s="28"/>
      <c r="X50" s="23">
        <f>IF($B50="Entry",IF(AND(LEN(TRIM(UPPER(W50)))=10,CODE(MID(TRIM(UPPER(W50)),1,1))&gt;=65,CODE(MID(TRIM(UPPER(W50)),1,1))&lt;=90,CODE(MID(TRIM(UPPER(W50)),2,1))&gt;=65,CODE(MID(TRIM(UPPER(W50)),2,1))&lt;=90,CODE(MID(TRIM(UPPER(W50)),3,1))&gt;=65,CODE(MID(TRIM(UPPER(W50)),3,1))&lt;=90,CODE(MID(TRIM(UPPER(W50)),4,1))&gt;=65,CODE(MID(TRIM(UPPER(W50)),4,1))&lt;=90,CODE(MID(TRIM(UPPER(W50)),5,1))&gt;=65,CODE(MID(TRIM(UPPER(W50)),5,1))&lt;=90,CODE(MID(TRIM(UPPER(W50)),10,1))&gt;=65,CODE(MID(TRIM(UPPER(W50)),10,1))&lt;=90,CODE(MID(TRIM(UPPER(W50)),6,1))&gt;=48,CODE(MID(TRIM(UPPER(W50)),6,1))&lt;=57,CODE(MID(TRIM(UPPER(W50)),7,1))&gt;=48,CODE(MID(TRIM(UPPER(W50)),7,1))&lt;=57,CODE(MID(TRIM(UPPER(W50)),8,1))&gt;=48,CODE(MID(TRIM(UPPER(W50)),8,1))&lt;=57,CODE(MID(TRIM(UPPER(W50)),9,1))&gt;=48,CODE(MID(TRIM(UPPER(W50)),9,1))&lt;=57),"N","Y"),IF($B50="Challan","",IF(W50&lt;&gt;"","◄ Set Row Type","")))</f>
      </c>
      <c r="Y50" s="23">
        <f>IF($B50="Entry",IF(LEN(W50)&lt;4,"",IF(UPPER(MID(W50,4,1))="P","Individual",IF(UPPER(MID(W50,4,1))="H","HUF",IF(UPPER(MID(W50,4,1))="C","Company",IF(UPPER(MID(W50,4,1))="F","Firm",IF(UPPER(MID(W50,4,1))="L","LLP",IF(UPPER(MID(W50,4,1))="T","Trust",IF(UPPER(MID(W50,4,1))="A","AOP","")))))))),IF($B50="Challan","",IF(W50&lt;&gt;"","◄ Set Row Type","")))</f>
      </c>
      <c r="Z50" s="28"/>
      <c r="AA50" s="29">
        <f>IF($B50&lt;&gt;"Entry","",IF(Z50="","",IF(X50="Y",SUMPRODUCT(('Rate Lookup'!$A$1:$A$37=Z50)*'Rate Lookup'!$D$1:$D$37),IF(OR(Y50="Individual",Y50="HUF"),SUMPRODUCT(('Rate Lookup'!$A$1:$A$37=Z50)*'Rate Lookup'!$B$1:$B$37),SUMPRODUCT(('Rate Lookup'!$A$1:$A$37=Z50)*'Rate Lookup'!$C$1:$C$37)))))</f>
      </c>
      <c r="AB50" s="30"/>
      <c r="AC50" s="31"/>
      <c r="AD50" s="27">
        <f>IF($B50&lt;&gt;"Entry","",ROUND(AC50*AA50/100,0))</f>
      </c>
      <c r="AE50" s="27">
        <f>IF($B50&lt;&gt;"Entry","",0)</f>
      </c>
      <c r="AF50" s="27">
        <f>IF($B50&lt;&gt;"Entry","",0)</f>
      </c>
      <c r="AG50" s="27">
        <f>IF($B50&lt;&gt;"Entry","",IF(OR(AD50=0,AB50="",AQ50="",AQ50&lt;=0),0,IF(AQ50&lt;=DATE(YEAR(AB50),MONTH(AB50)+1,7),0,ROUND(AD50*0.015*((YEAR(AQ50)-YEAR(AB50))*12+(MONTH(AQ50)-MONTH(AB50))+1),0))))</f>
      </c>
      <c r="AH50" s="27">
        <f>IF($B50&lt;&gt;"Entry","",0)</f>
      </c>
      <c r="AI50" s="28"/>
      <c r="AJ50" s="28"/>
      <c r="AK50" s="32"/>
      <c r="AL50" s="28"/>
      <c r="AM50" s="28"/>
      <c r="AN50" s="27">
        <f>IF($B50&lt;&gt;"Challan","",SUMIF('Q1 Data'!$D$4:$D$207,D50,'Q1 Data'!$AD$4:$AD$207)+SUMIF('Q1 Data'!$D$4:$D$207,D50,'Q1 Data'!$AG$4:$AG$207)+SUMIF('Q1 Data'!$D$4:$D$207,D50,'Q1 Data'!$AE$4:$AE$207)+SUMIF('Q2 Data'!$D$4:$D$207,D50,'Q2 Data'!$AD$4:$AD$207)+SUMIF('Q2 Data'!$D$4:$D$207,D50,'Q2 Data'!$AG$4:$AG$207)+SUMIF('Q2 Data'!$D$4:$D$207,D50,'Q2 Data'!$AE$4:$AE$207)+SUMIF('Q3 Data'!$D$4:$D$207,D50,'Q3 Data'!$AD$4:$AD$207)+SUMIF('Q3 Data'!$D$4:$D$207,D50,'Q3 Data'!$AG$4:$AG$207)+SUMIF('Q3 Data'!$D$4:$D$207,D50,'Q3 Data'!$AE$4:$AE$207)+SUMIF('Q4 Data'!$D$4:$D$207,D50,'Q4 Data'!$AD$4:$AD$207)+SUMIF('Q4 Data'!$D$4:$D$207,D50,'Q4 Data'!$AG$4:$AG$207)+SUMIF('Q4 Data'!$D$4:$D$207,D50,'Q4 Data'!$AE$4:$AE$207))</f>
      </c>
      <c r="AO50" s="27">
        <f>IF($B50&lt;&gt;"Challan","",P50-N50)</f>
      </c>
      <c r="AP50" s="27">
        <f>IF($B50&lt;&gt;"Challan","",MAX(0,AO50-AN50))</f>
      </c>
      <c r="AQ50" s="33">
        <f>IF($B50&lt;&gt;"Entry","",SUMPRODUCT(('Q1 Data'!$D$4:$D$207=D50)*('Q1 Data'!$B$4:$B$207="Challan")*'Q1 Data'!$F$4:$F$207)+SUMPRODUCT(('Q2 Data'!$D$4:$D$207=D50)*('Q2 Data'!$B$4:$B$207="Challan")*'Q2 Data'!$F$4:$F$207)+SUMPRODUCT(('Q3 Data'!$D$4:$D$207=D50)*('Q3 Data'!$B$4:$B$207="Challan")*'Q3 Data'!$F$4:$F$207)+SUMPRODUCT(('Q4 Data'!$D$4:$D$207=D50)*('Q4 Data'!$B$4:$B$207="Challan")*'Q4 Data'!$F$4:$F$207))</f>
      </c>
      <c r="AR50" s="34">
        <f>IF(OR($B50&lt;&gt;"Entry",Z50=""),FALSE,AND((SUMPRODUCT(('Q1 Data'!$D$4:$D$207=D50)*('Q1 Data'!$B$4:$B$207="Challan")*('Q1 Data'!$H$4:$H$207&lt;&gt;""))+SUMPRODUCT(('Q2 Data'!$D$4:$D$207=D50)*('Q2 Data'!$B$4:$B$207="Challan")*('Q2 Data'!$H$4:$H$207&lt;&gt;""))+SUMPRODUCT(('Q3 Data'!$D$4:$D$207=D50)*('Q3 Data'!$B$4:$B$207="Challan")*('Q3 Data'!$H$4:$H$207&lt;&gt;""))+SUMPRODUCT(('Q4 Data'!$D$4:$D$207=D50)*('Q4 Data'!$B$4:$B$207="Challan")*('Q4 Data'!$H$4:$H$207&lt;&gt;"")))&gt;0,(SUMPRODUCT(('Q1 Data'!$D$4:$D$207=D50)*('Q1 Data'!$B$4:$B$207="Challan")*('Q1 Data'!$H$4:$H$207=Z50))+SUMPRODUCT(('Q2 Data'!$D$4:$D$207=D50)*('Q2 Data'!$B$4:$B$207="Challan")*('Q2 Data'!$H$4:$H$207=Z50))+SUMPRODUCT(('Q3 Data'!$D$4:$D$207=D50)*('Q3 Data'!$B$4:$B$207="Challan")*('Q3 Data'!$H$4:$H$207=Z50))+SUMPRODUCT(('Q4 Data'!$D$4:$D$207=D50)*('Q4 Data'!$B$4:$B$207="Challan")*('Q4 Data'!$H$4:$H$207=Z50)))=0))</f>
      </c>
    </row>
    <row r="51" spans="1:44" x14ac:dyDescent="0.25">
      <c r="A51" s="20">
        <f>IF($B51="Entry",COUNTIF($B$4:$B51,"Entry"),"")</f>
      </c>
      <c r="B51" s="21"/>
      <c r="C51" s="22"/>
      <c r="D51" s="22"/>
      <c r="E51" s="23">
        <f>IF($B51&lt;&gt;"Challan","",IF(ROUND(AN51-AO51,2)&gt;0,"Over-applied",IF(ROUND(AN51-AO51,2)=0,"Fully Utilised","Unconsumed")))</f>
      </c>
      <c r="F51" s="24"/>
      <c r="G51" s="25"/>
      <c r="H51" s="25"/>
      <c r="I51" s="26"/>
      <c r="J51" s="26"/>
      <c r="K51" s="26"/>
      <c r="L51" s="26"/>
      <c r="M51" s="26"/>
      <c r="N51" s="26"/>
      <c r="O51" s="26"/>
      <c r="P51" s="27">
        <f>IF($B51&lt;&gt;"Challan","",I51+J51+K51+L51+M51+N51)</f>
      </c>
      <c r="Q51" s="25"/>
      <c r="R51" s="25"/>
      <c r="S51" s="25"/>
      <c r="T51" s="25"/>
      <c r="U51" s="25"/>
      <c r="V51" s="28"/>
      <c r="W51" s="28"/>
      <c r="X51" s="23">
        <f>IF($B51="Entry",IF(AND(LEN(TRIM(UPPER(W51)))=10,CODE(MID(TRIM(UPPER(W51)),1,1))&gt;=65,CODE(MID(TRIM(UPPER(W51)),1,1))&lt;=90,CODE(MID(TRIM(UPPER(W51)),2,1))&gt;=65,CODE(MID(TRIM(UPPER(W51)),2,1))&lt;=90,CODE(MID(TRIM(UPPER(W51)),3,1))&gt;=65,CODE(MID(TRIM(UPPER(W51)),3,1))&lt;=90,CODE(MID(TRIM(UPPER(W51)),4,1))&gt;=65,CODE(MID(TRIM(UPPER(W51)),4,1))&lt;=90,CODE(MID(TRIM(UPPER(W51)),5,1))&gt;=65,CODE(MID(TRIM(UPPER(W51)),5,1))&lt;=90,CODE(MID(TRIM(UPPER(W51)),10,1))&gt;=65,CODE(MID(TRIM(UPPER(W51)),10,1))&lt;=90,CODE(MID(TRIM(UPPER(W51)),6,1))&gt;=48,CODE(MID(TRIM(UPPER(W51)),6,1))&lt;=57,CODE(MID(TRIM(UPPER(W51)),7,1))&gt;=48,CODE(MID(TRIM(UPPER(W51)),7,1))&lt;=57,CODE(MID(TRIM(UPPER(W51)),8,1))&gt;=48,CODE(MID(TRIM(UPPER(W51)),8,1))&lt;=57,CODE(MID(TRIM(UPPER(W51)),9,1))&gt;=48,CODE(MID(TRIM(UPPER(W51)),9,1))&lt;=57),"N","Y"),IF($B51="Challan","",IF(W51&lt;&gt;"","◄ Set Row Type","")))</f>
      </c>
      <c r="Y51" s="23">
        <f>IF($B51="Entry",IF(LEN(W51)&lt;4,"",IF(UPPER(MID(W51,4,1))="P","Individual",IF(UPPER(MID(W51,4,1))="H","HUF",IF(UPPER(MID(W51,4,1))="C","Company",IF(UPPER(MID(W51,4,1))="F","Firm",IF(UPPER(MID(W51,4,1))="L","LLP",IF(UPPER(MID(W51,4,1))="T","Trust",IF(UPPER(MID(W51,4,1))="A","AOP","")))))))),IF($B51="Challan","",IF(W51&lt;&gt;"","◄ Set Row Type","")))</f>
      </c>
      <c r="Z51" s="28"/>
      <c r="AA51" s="29">
        <f>IF($B51&lt;&gt;"Entry","",IF(Z51="","",IF(X51="Y",SUMPRODUCT(('Rate Lookup'!$A$1:$A$37=Z51)*'Rate Lookup'!$D$1:$D$37),IF(OR(Y51="Individual",Y51="HUF"),SUMPRODUCT(('Rate Lookup'!$A$1:$A$37=Z51)*'Rate Lookup'!$B$1:$B$37),SUMPRODUCT(('Rate Lookup'!$A$1:$A$37=Z51)*'Rate Lookup'!$C$1:$C$37)))))</f>
      </c>
      <c r="AB51" s="30"/>
      <c r="AC51" s="31"/>
      <c r="AD51" s="27">
        <f>IF($B51&lt;&gt;"Entry","",ROUND(AC51*AA51/100,0))</f>
      </c>
      <c r="AE51" s="27">
        <f>IF($B51&lt;&gt;"Entry","",0)</f>
      </c>
      <c r="AF51" s="27">
        <f>IF($B51&lt;&gt;"Entry","",0)</f>
      </c>
      <c r="AG51" s="27">
        <f>IF($B51&lt;&gt;"Entry","",IF(OR(AD51=0,AB51="",AQ51="",AQ51&lt;=0),0,IF(AQ51&lt;=DATE(YEAR(AB51),MONTH(AB51)+1,7),0,ROUND(AD51*0.015*((YEAR(AQ51)-YEAR(AB51))*12+(MONTH(AQ51)-MONTH(AB51))+1),0))))</f>
      </c>
      <c r="AH51" s="27">
        <f>IF($B51&lt;&gt;"Entry","",0)</f>
      </c>
      <c r="AI51" s="28"/>
      <c r="AJ51" s="28"/>
      <c r="AK51" s="32"/>
      <c r="AL51" s="28"/>
      <c r="AM51" s="28"/>
      <c r="AN51" s="27">
        <f>IF($B51&lt;&gt;"Challan","",SUMIF('Q1 Data'!$D$4:$D$207,D51,'Q1 Data'!$AD$4:$AD$207)+SUMIF('Q1 Data'!$D$4:$D$207,D51,'Q1 Data'!$AG$4:$AG$207)+SUMIF('Q1 Data'!$D$4:$D$207,D51,'Q1 Data'!$AE$4:$AE$207)+SUMIF('Q2 Data'!$D$4:$D$207,D51,'Q2 Data'!$AD$4:$AD$207)+SUMIF('Q2 Data'!$D$4:$D$207,D51,'Q2 Data'!$AG$4:$AG$207)+SUMIF('Q2 Data'!$D$4:$D$207,D51,'Q2 Data'!$AE$4:$AE$207)+SUMIF('Q3 Data'!$D$4:$D$207,D51,'Q3 Data'!$AD$4:$AD$207)+SUMIF('Q3 Data'!$D$4:$D$207,D51,'Q3 Data'!$AG$4:$AG$207)+SUMIF('Q3 Data'!$D$4:$D$207,D51,'Q3 Data'!$AE$4:$AE$207)+SUMIF('Q4 Data'!$D$4:$D$207,D51,'Q4 Data'!$AD$4:$AD$207)+SUMIF('Q4 Data'!$D$4:$D$207,D51,'Q4 Data'!$AG$4:$AG$207)+SUMIF('Q4 Data'!$D$4:$D$207,D51,'Q4 Data'!$AE$4:$AE$207))</f>
      </c>
      <c r="AO51" s="27">
        <f>IF($B51&lt;&gt;"Challan","",P51-N51)</f>
      </c>
      <c r="AP51" s="27">
        <f>IF($B51&lt;&gt;"Challan","",MAX(0,AO51-AN51))</f>
      </c>
      <c r="AQ51" s="33">
        <f>IF($B51&lt;&gt;"Entry","",SUMPRODUCT(('Q1 Data'!$D$4:$D$207=D51)*('Q1 Data'!$B$4:$B$207="Challan")*'Q1 Data'!$F$4:$F$207)+SUMPRODUCT(('Q2 Data'!$D$4:$D$207=D51)*('Q2 Data'!$B$4:$B$207="Challan")*'Q2 Data'!$F$4:$F$207)+SUMPRODUCT(('Q3 Data'!$D$4:$D$207=D51)*('Q3 Data'!$B$4:$B$207="Challan")*'Q3 Data'!$F$4:$F$207)+SUMPRODUCT(('Q4 Data'!$D$4:$D$207=D51)*('Q4 Data'!$B$4:$B$207="Challan")*'Q4 Data'!$F$4:$F$207))</f>
      </c>
      <c r="AR51" s="34">
        <f>IF(OR($B51&lt;&gt;"Entry",Z51=""),FALSE,AND((SUMPRODUCT(('Q1 Data'!$D$4:$D$207=D51)*('Q1 Data'!$B$4:$B$207="Challan")*('Q1 Data'!$H$4:$H$207&lt;&gt;""))+SUMPRODUCT(('Q2 Data'!$D$4:$D$207=D51)*('Q2 Data'!$B$4:$B$207="Challan")*('Q2 Data'!$H$4:$H$207&lt;&gt;""))+SUMPRODUCT(('Q3 Data'!$D$4:$D$207=D51)*('Q3 Data'!$B$4:$B$207="Challan")*('Q3 Data'!$H$4:$H$207&lt;&gt;""))+SUMPRODUCT(('Q4 Data'!$D$4:$D$207=D51)*('Q4 Data'!$B$4:$B$207="Challan")*('Q4 Data'!$H$4:$H$207&lt;&gt;"")))&gt;0,(SUMPRODUCT(('Q1 Data'!$D$4:$D$207=D51)*('Q1 Data'!$B$4:$B$207="Challan")*('Q1 Data'!$H$4:$H$207=Z51))+SUMPRODUCT(('Q2 Data'!$D$4:$D$207=D51)*('Q2 Data'!$B$4:$B$207="Challan")*('Q2 Data'!$H$4:$H$207=Z51))+SUMPRODUCT(('Q3 Data'!$D$4:$D$207=D51)*('Q3 Data'!$B$4:$B$207="Challan")*('Q3 Data'!$H$4:$H$207=Z51))+SUMPRODUCT(('Q4 Data'!$D$4:$D$207=D51)*('Q4 Data'!$B$4:$B$207="Challan")*('Q4 Data'!$H$4:$H$207=Z51)))=0))</f>
      </c>
    </row>
    <row r="52" spans="1:44" x14ac:dyDescent="0.25">
      <c r="A52" s="20">
        <f>IF($B52="Entry",COUNTIF($B$4:$B52,"Entry"),"")</f>
      </c>
      <c r="B52" s="21"/>
      <c r="C52" s="22"/>
      <c r="D52" s="22"/>
      <c r="E52" s="23">
        <f>IF($B52&lt;&gt;"Challan","",IF(ROUND(AN52-AO52,2)&gt;0,"Over-applied",IF(ROUND(AN52-AO52,2)=0,"Fully Utilised","Unconsumed")))</f>
      </c>
      <c r="F52" s="24"/>
      <c r="G52" s="25"/>
      <c r="H52" s="25"/>
      <c r="I52" s="26"/>
      <c r="J52" s="26"/>
      <c r="K52" s="26"/>
      <c r="L52" s="26"/>
      <c r="M52" s="26"/>
      <c r="N52" s="26"/>
      <c r="O52" s="26"/>
      <c r="P52" s="27">
        <f>IF($B52&lt;&gt;"Challan","",I52+J52+K52+L52+M52+N52)</f>
      </c>
      <c r="Q52" s="25"/>
      <c r="R52" s="25"/>
      <c r="S52" s="25"/>
      <c r="T52" s="25"/>
      <c r="U52" s="25"/>
      <c r="V52" s="28"/>
      <c r="W52" s="28"/>
      <c r="X52" s="23">
        <f>IF($B52="Entry",IF(AND(LEN(TRIM(UPPER(W52)))=10,CODE(MID(TRIM(UPPER(W52)),1,1))&gt;=65,CODE(MID(TRIM(UPPER(W52)),1,1))&lt;=90,CODE(MID(TRIM(UPPER(W52)),2,1))&gt;=65,CODE(MID(TRIM(UPPER(W52)),2,1))&lt;=90,CODE(MID(TRIM(UPPER(W52)),3,1))&gt;=65,CODE(MID(TRIM(UPPER(W52)),3,1))&lt;=90,CODE(MID(TRIM(UPPER(W52)),4,1))&gt;=65,CODE(MID(TRIM(UPPER(W52)),4,1))&lt;=90,CODE(MID(TRIM(UPPER(W52)),5,1))&gt;=65,CODE(MID(TRIM(UPPER(W52)),5,1))&lt;=90,CODE(MID(TRIM(UPPER(W52)),10,1))&gt;=65,CODE(MID(TRIM(UPPER(W52)),10,1))&lt;=90,CODE(MID(TRIM(UPPER(W52)),6,1))&gt;=48,CODE(MID(TRIM(UPPER(W52)),6,1))&lt;=57,CODE(MID(TRIM(UPPER(W52)),7,1))&gt;=48,CODE(MID(TRIM(UPPER(W52)),7,1))&lt;=57,CODE(MID(TRIM(UPPER(W52)),8,1))&gt;=48,CODE(MID(TRIM(UPPER(W52)),8,1))&lt;=57,CODE(MID(TRIM(UPPER(W52)),9,1))&gt;=48,CODE(MID(TRIM(UPPER(W52)),9,1))&lt;=57),"N","Y"),IF($B52="Challan","",IF(W52&lt;&gt;"","◄ Set Row Type","")))</f>
      </c>
      <c r="Y52" s="23">
        <f>IF($B52="Entry",IF(LEN(W52)&lt;4,"",IF(UPPER(MID(W52,4,1))="P","Individual",IF(UPPER(MID(W52,4,1))="H","HUF",IF(UPPER(MID(W52,4,1))="C","Company",IF(UPPER(MID(W52,4,1))="F","Firm",IF(UPPER(MID(W52,4,1))="L","LLP",IF(UPPER(MID(W52,4,1))="T","Trust",IF(UPPER(MID(W52,4,1))="A","AOP","")))))))),IF($B52="Challan","",IF(W52&lt;&gt;"","◄ Set Row Type","")))</f>
      </c>
      <c r="Z52" s="28"/>
      <c r="AA52" s="29">
        <f>IF($B52&lt;&gt;"Entry","",IF(Z52="","",IF(X52="Y",SUMPRODUCT(('Rate Lookup'!$A$1:$A$37=Z52)*'Rate Lookup'!$D$1:$D$37),IF(OR(Y52="Individual",Y52="HUF"),SUMPRODUCT(('Rate Lookup'!$A$1:$A$37=Z52)*'Rate Lookup'!$B$1:$B$37),SUMPRODUCT(('Rate Lookup'!$A$1:$A$37=Z52)*'Rate Lookup'!$C$1:$C$37)))))</f>
      </c>
      <c r="AB52" s="30"/>
      <c r="AC52" s="31"/>
      <c r="AD52" s="27">
        <f>IF($B52&lt;&gt;"Entry","",ROUND(AC52*AA52/100,0))</f>
      </c>
      <c r="AE52" s="27">
        <f>IF($B52&lt;&gt;"Entry","",0)</f>
      </c>
      <c r="AF52" s="27">
        <f>IF($B52&lt;&gt;"Entry","",0)</f>
      </c>
      <c r="AG52" s="27">
        <f>IF($B52&lt;&gt;"Entry","",IF(OR(AD52=0,AB52="",AQ52="",AQ52&lt;=0),0,IF(AQ52&lt;=DATE(YEAR(AB52),MONTH(AB52)+1,7),0,ROUND(AD52*0.015*((YEAR(AQ52)-YEAR(AB52))*12+(MONTH(AQ52)-MONTH(AB52))+1),0))))</f>
      </c>
      <c r="AH52" s="27">
        <f>IF($B52&lt;&gt;"Entry","",0)</f>
      </c>
      <c r="AI52" s="28"/>
      <c r="AJ52" s="28"/>
      <c r="AK52" s="32"/>
      <c r="AL52" s="28"/>
      <c r="AM52" s="28"/>
      <c r="AN52" s="27">
        <f>IF($B52&lt;&gt;"Challan","",SUMIF('Q1 Data'!$D$4:$D$207,D52,'Q1 Data'!$AD$4:$AD$207)+SUMIF('Q1 Data'!$D$4:$D$207,D52,'Q1 Data'!$AG$4:$AG$207)+SUMIF('Q1 Data'!$D$4:$D$207,D52,'Q1 Data'!$AE$4:$AE$207)+SUMIF('Q2 Data'!$D$4:$D$207,D52,'Q2 Data'!$AD$4:$AD$207)+SUMIF('Q2 Data'!$D$4:$D$207,D52,'Q2 Data'!$AG$4:$AG$207)+SUMIF('Q2 Data'!$D$4:$D$207,D52,'Q2 Data'!$AE$4:$AE$207)+SUMIF('Q3 Data'!$D$4:$D$207,D52,'Q3 Data'!$AD$4:$AD$207)+SUMIF('Q3 Data'!$D$4:$D$207,D52,'Q3 Data'!$AG$4:$AG$207)+SUMIF('Q3 Data'!$D$4:$D$207,D52,'Q3 Data'!$AE$4:$AE$207)+SUMIF('Q4 Data'!$D$4:$D$207,D52,'Q4 Data'!$AD$4:$AD$207)+SUMIF('Q4 Data'!$D$4:$D$207,D52,'Q4 Data'!$AG$4:$AG$207)+SUMIF('Q4 Data'!$D$4:$D$207,D52,'Q4 Data'!$AE$4:$AE$207))</f>
      </c>
      <c r="AO52" s="27">
        <f>IF($B52&lt;&gt;"Challan","",P52-N52)</f>
      </c>
      <c r="AP52" s="27">
        <f>IF($B52&lt;&gt;"Challan","",MAX(0,AO52-AN52))</f>
      </c>
      <c r="AQ52" s="33">
        <f>IF($B52&lt;&gt;"Entry","",SUMPRODUCT(('Q1 Data'!$D$4:$D$207=D52)*('Q1 Data'!$B$4:$B$207="Challan")*'Q1 Data'!$F$4:$F$207)+SUMPRODUCT(('Q2 Data'!$D$4:$D$207=D52)*('Q2 Data'!$B$4:$B$207="Challan")*'Q2 Data'!$F$4:$F$207)+SUMPRODUCT(('Q3 Data'!$D$4:$D$207=D52)*('Q3 Data'!$B$4:$B$207="Challan")*'Q3 Data'!$F$4:$F$207)+SUMPRODUCT(('Q4 Data'!$D$4:$D$207=D52)*('Q4 Data'!$B$4:$B$207="Challan")*'Q4 Data'!$F$4:$F$207))</f>
      </c>
      <c r="AR52" s="34">
        <f>IF(OR($B52&lt;&gt;"Entry",Z52=""),FALSE,AND((SUMPRODUCT(('Q1 Data'!$D$4:$D$207=D52)*('Q1 Data'!$B$4:$B$207="Challan")*('Q1 Data'!$H$4:$H$207&lt;&gt;""))+SUMPRODUCT(('Q2 Data'!$D$4:$D$207=D52)*('Q2 Data'!$B$4:$B$207="Challan")*('Q2 Data'!$H$4:$H$207&lt;&gt;""))+SUMPRODUCT(('Q3 Data'!$D$4:$D$207=D52)*('Q3 Data'!$B$4:$B$207="Challan")*('Q3 Data'!$H$4:$H$207&lt;&gt;""))+SUMPRODUCT(('Q4 Data'!$D$4:$D$207=D52)*('Q4 Data'!$B$4:$B$207="Challan")*('Q4 Data'!$H$4:$H$207&lt;&gt;"")))&gt;0,(SUMPRODUCT(('Q1 Data'!$D$4:$D$207=D52)*('Q1 Data'!$B$4:$B$207="Challan")*('Q1 Data'!$H$4:$H$207=Z52))+SUMPRODUCT(('Q2 Data'!$D$4:$D$207=D52)*('Q2 Data'!$B$4:$B$207="Challan")*('Q2 Data'!$H$4:$H$207=Z52))+SUMPRODUCT(('Q3 Data'!$D$4:$D$207=D52)*('Q3 Data'!$B$4:$B$207="Challan")*('Q3 Data'!$H$4:$H$207=Z52))+SUMPRODUCT(('Q4 Data'!$D$4:$D$207=D52)*('Q4 Data'!$B$4:$B$207="Challan")*('Q4 Data'!$H$4:$H$207=Z52)))=0))</f>
      </c>
    </row>
    <row r="53" spans="1:44" x14ac:dyDescent="0.25">
      <c r="A53" s="20">
        <f>IF($B53="Entry",COUNTIF($B$4:$B53,"Entry"),"")</f>
      </c>
      <c r="B53" s="21"/>
      <c r="C53" s="22"/>
      <c r="D53" s="22"/>
      <c r="E53" s="23">
        <f>IF($B53&lt;&gt;"Challan","",IF(ROUND(AN53-AO53,2)&gt;0,"Over-applied",IF(ROUND(AN53-AO53,2)=0,"Fully Utilised","Unconsumed")))</f>
      </c>
      <c r="F53" s="24"/>
      <c r="G53" s="25"/>
      <c r="H53" s="25"/>
      <c r="I53" s="26"/>
      <c r="J53" s="26"/>
      <c r="K53" s="26"/>
      <c r="L53" s="26"/>
      <c r="M53" s="26"/>
      <c r="N53" s="26"/>
      <c r="O53" s="26"/>
      <c r="P53" s="27">
        <f>IF($B53&lt;&gt;"Challan","",I53+J53+K53+L53+M53+N53)</f>
      </c>
      <c r="Q53" s="25"/>
      <c r="R53" s="25"/>
      <c r="S53" s="25"/>
      <c r="T53" s="25"/>
      <c r="U53" s="25"/>
      <c r="V53" s="28"/>
      <c r="W53" s="28"/>
      <c r="X53" s="23">
        <f>IF($B53="Entry",IF(AND(LEN(TRIM(UPPER(W53)))=10,CODE(MID(TRIM(UPPER(W53)),1,1))&gt;=65,CODE(MID(TRIM(UPPER(W53)),1,1))&lt;=90,CODE(MID(TRIM(UPPER(W53)),2,1))&gt;=65,CODE(MID(TRIM(UPPER(W53)),2,1))&lt;=90,CODE(MID(TRIM(UPPER(W53)),3,1))&gt;=65,CODE(MID(TRIM(UPPER(W53)),3,1))&lt;=90,CODE(MID(TRIM(UPPER(W53)),4,1))&gt;=65,CODE(MID(TRIM(UPPER(W53)),4,1))&lt;=90,CODE(MID(TRIM(UPPER(W53)),5,1))&gt;=65,CODE(MID(TRIM(UPPER(W53)),5,1))&lt;=90,CODE(MID(TRIM(UPPER(W53)),10,1))&gt;=65,CODE(MID(TRIM(UPPER(W53)),10,1))&lt;=90,CODE(MID(TRIM(UPPER(W53)),6,1))&gt;=48,CODE(MID(TRIM(UPPER(W53)),6,1))&lt;=57,CODE(MID(TRIM(UPPER(W53)),7,1))&gt;=48,CODE(MID(TRIM(UPPER(W53)),7,1))&lt;=57,CODE(MID(TRIM(UPPER(W53)),8,1))&gt;=48,CODE(MID(TRIM(UPPER(W53)),8,1))&lt;=57,CODE(MID(TRIM(UPPER(W53)),9,1))&gt;=48,CODE(MID(TRIM(UPPER(W53)),9,1))&lt;=57),"N","Y"),IF($B53="Challan","",IF(W53&lt;&gt;"","◄ Set Row Type","")))</f>
      </c>
      <c r="Y53" s="23">
        <f>IF($B53="Entry",IF(LEN(W53)&lt;4,"",IF(UPPER(MID(W53,4,1))="P","Individual",IF(UPPER(MID(W53,4,1))="H","HUF",IF(UPPER(MID(W53,4,1))="C","Company",IF(UPPER(MID(W53,4,1))="F","Firm",IF(UPPER(MID(W53,4,1))="L","LLP",IF(UPPER(MID(W53,4,1))="T","Trust",IF(UPPER(MID(W53,4,1))="A","AOP","")))))))),IF($B53="Challan","",IF(W53&lt;&gt;"","◄ Set Row Type","")))</f>
      </c>
      <c r="Z53" s="28"/>
      <c r="AA53" s="29">
        <f>IF($B53&lt;&gt;"Entry","",IF(Z53="","",IF(X53="Y",SUMPRODUCT(('Rate Lookup'!$A$1:$A$37=Z53)*'Rate Lookup'!$D$1:$D$37),IF(OR(Y53="Individual",Y53="HUF"),SUMPRODUCT(('Rate Lookup'!$A$1:$A$37=Z53)*'Rate Lookup'!$B$1:$B$37),SUMPRODUCT(('Rate Lookup'!$A$1:$A$37=Z53)*'Rate Lookup'!$C$1:$C$37)))))</f>
      </c>
      <c r="AB53" s="30"/>
      <c r="AC53" s="31"/>
      <c r="AD53" s="27">
        <f>IF($B53&lt;&gt;"Entry","",ROUND(AC53*AA53/100,0))</f>
      </c>
      <c r="AE53" s="27">
        <f>IF($B53&lt;&gt;"Entry","",0)</f>
      </c>
      <c r="AF53" s="27">
        <f>IF($B53&lt;&gt;"Entry","",0)</f>
      </c>
      <c r="AG53" s="27">
        <f>IF($B53&lt;&gt;"Entry","",IF(OR(AD53=0,AB53="",AQ53="",AQ53&lt;=0),0,IF(AQ53&lt;=DATE(YEAR(AB53),MONTH(AB53)+1,7),0,ROUND(AD53*0.015*((YEAR(AQ53)-YEAR(AB53))*12+(MONTH(AQ53)-MONTH(AB53))+1),0))))</f>
      </c>
      <c r="AH53" s="27">
        <f>IF($B53&lt;&gt;"Entry","",0)</f>
      </c>
      <c r="AI53" s="28"/>
      <c r="AJ53" s="28"/>
      <c r="AK53" s="32"/>
      <c r="AL53" s="28"/>
      <c r="AM53" s="28"/>
      <c r="AN53" s="27">
        <f>IF($B53&lt;&gt;"Challan","",SUMIF('Q1 Data'!$D$4:$D$207,D53,'Q1 Data'!$AD$4:$AD$207)+SUMIF('Q1 Data'!$D$4:$D$207,D53,'Q1 Data'!$AG$4:$AG$207)+SUMIF('Q1 Data'!$D$4:$D$207,D53,'Q1 Data'!$AE$4:$AE$207)+SUMIF('Q2 Data'!$D$4:$D$207,D53,'Q2 Data'!$AD$4:$AD$207)+SUMIF('Q2 Data'!$D$4:$D$207,D53,'Q2 Data'!$AG$4:$AG$207)+SUMIF('Q2 Data'!$D$4:$D$207,D53,'Q2 Data'!$AE$4:$AE$207)+SUMIF('Q3 Data'!$D$4:$D$207,D53,'Q3 Data'!$AD$4:$AD$207)+SUMIF('Q3 Data'!$D$4:$D$207,D53,'Q3 Data'!$AG$4:$AG$207)+SUMIF('Q3 Data'!$D$4:$D$207,D53,'Q3 Data'!$AE$4:$AE$207)+SUMIF('Q4 Data'!$D$4:$D$207,D53,'Q4 Data'!$AD$4:$AD$207)+SUMIF('Q4 Data'!$D$4:$D$207,D53,'Q4 Data'!$AG$4:$AG$207)+SUMIF('Q4 Data'!$D$4:$D$207,D53,'Q4 Data'!$AE$4:$AE$207))</f>
      </c>
      <c r="AO53" s="27">
        <f>IF($B53&lt;&gt;"Challan","",P53-N53)</f>
      </c>
      <c r="AP53" s="27">
        <f>IF($B53&lt;&gt;"Challan","",MAX(0,AO53-AN53))</f>
      </c>
      <c r="AQ53" s="33">
        <f>IF($B53&lt;&gt;"Entry","",SUMPRODUCT(('Q1 Data'!$D$4:$D$207=D53)*('Q1 Data'!$B$4:$B$207="Challan")*'Q1 Data'!$F$4:$F$207)+SUMPRODUCT(('Q2 Data'!$D$4:$D$207=D53)*('Q2 Data'!$B$4:$B$207="Challan")*'Q2 Data'!$F$4:$F$207)+SUMPRODUCT(('Q3 Data'!$D$4:$D$207=D53)*('Q3 Data'!$B$4:$B$207="Challan")*'Q3 Data'!$F$4:$F$207)+SUMPRODUCT(('Q4 Data'!$D$4:$D$207=D53)*('Q4 Data'!$B$4:$B$207="Challan")*'Q4 Data'!$F$4:$F$207))</f>
      </c>
      <c r="AR53" s="34">
        <f>IF(OR($B53&lt;&gt;"Entry",Z53=""),FALSE,AND((SUMPRODUCT(('Q1 Data'!$D$4:$D$207=D53)*('Q1 Data'!$B$4:$B$207="Challan")*('Q1 Data'!$H$4:$H$207&lt;&gt;""))+SUMPRODUCT(('Q2 Data'!$D$4:$D$207=D53)*('Q2 Data'!$B$4:$B$207="Challan")*('Q2 Data'!$H$4:$H$207&lt;&gt;""))+SUMPRODUCT(('Q3 Data'!$D$4:$D$207=D53)*('Q3 Data'!$B$4:$B$207="Challan")*('Q3 Data'!$H$4:$H$207&lt;&gt;""))+SUMPRODUCT(('Q4 Data'!$D$4:$D$207=D53)*('Q4 Data'!$B$4:$B$207="Challan")*('Q4 Data'!$H$4:$H$207&lt;&gt;"")))&gt;0,(SUMPRODUCT(('Q1 Data'!$D$4:$D$207=D53)*('Q1 Data'!$B$4:$B$207="Challan")*('Q1 Data'!$H$4:$H$207=Z53))+SUMPRODUCT(('Q2 Data'!$D$4:$D$207=D53)*('Q2 Data'!$B$4:$B$207="Challan")*('Q2 Data'!$H$4:$H$207=Z53))+SUMPRODUCT(('Q3 Data'!$D$4:$D$207=D53)*('Q3 Data'!$B$4:$B$207="Challan")*('Q3 Data'!$H$4:$H$207=Z53))+SUMPRODUCT(('Q4 Data'!$D$4:$D$207=D53)*('Q4 Data'!$B$4:$B$207="Challan")*('Q4 Data'!$H$4:$H$207=Z53)))=0))</f>
      </c>
    </row>
    <row r="54" spans="1:44" x14ac:dyDescent="0.25">
      <c r="A54" s="20">
        <f>IF($B54="Entry",COUNTIF($B$4:$B54,"Entry"),"")</f>
      </c>
      <c r="B54" s="21"/>
      <c r="C54" s="22"/>
      <c r="D54" s="22"/>
      <c r="E54" s="23">
        <f>IF($B54&lt;&gt;"Challan","",IF(ROUND(AN54-AO54,2)&gt;0,"Over-applied",IF(ROUND(AN54-AO54,2)=0,"Fully Utilised","Unconsumed")))</f>
      </c>
      <c r="F54" s="24"/>
      <c r="G54" s="25"/>
      <c r="H54" s="25"/>
      <c r="I54" s="26"/>
      <c r="J54" s="26"/>
      <c r="K54" s="26"/>
      <c r="L54" s="26"/>
      <c r="M54" s="26"/>
      <c r="N54" s="26"/>
      <c r="O54" s="26"/>
      <c r="P54" s="27">
        <f>IF($B54&lt;&gt;"Challan","",I54+J54+K54+L54+M54+N54)</f>
      </c>
      <c r="Q54" s="25"/>
      <c r="R54" s="25"/>
      <c r="S54" s="25"/>
      <c r="T54" s="25"/>
      <c r="U54" s="25"/>
      <c r="V54" s="28"/>
      <c r="W54" s="28"/>
      <c r="X54" s="23">
        <f>IF($B54="Entry",IF(AND(LEN(TRIM(UPPER(W54)))=10,CODE(MID(TRIM(UPPER(W54)),1,1))&gt;=65,CODE(MID(TRIM(UPPER(W54)),1,1))&lt;=90,CODE(MID(TRIM(UPPER(W54)),2,1))&gt;=65,CODE(MID(TRIM(UPPER(W54)),2,1))&lt;=90,CODE(MID(TRIM(UPPER(W54)),3,1))&gt;=65,CODE(MID(TRIM(UPPER(W54)),3,1))&lt;=90,CODE(MID(TRIM(UPPER(W54)),4,1))&gt;=65,CODE(MID(TRIM(UPPER(W54)),4,1))&lt;=90,CODE(MID(TRIM(UPPER(W54)),5,1))&gt;=65,CODE(MID(TRIM(UPPER(W54)),5,1))&lt;=90,CODE(MID(TRIM(UPPER(W54)),10,1))&gt;=65,CODE(MID(TRIM(UPPER(W54)),10,1))&lt;=90,CODE(MID(TRIM(UPPER(W54)),6,1))&gt;=48,CODE(MID(TRIM(UPPER(W54)),6,1))&lt;=57,CODE(MID(TRIM(UPPER(W54)),7,1))&gt;=48,CODE(MID(TRIM(UPPER(W54)),7,1))&lt;=57,CODE(MID(TRIM(UPPER(W54)),8,1))&gt;=48,CODE(MID(TRIM(UPPER(W54)),8,1))&lt;=57,CODE(MID(TRIM(UPPER(W54)),9,1))&gt;=48,CODE(MID(TRIM(UPPER(W54)),9,1))&lt;=57),"N","Y"),IF($B54="Challan","",IF(W54&lt;&gt;"","◄ Set Row Type","")))</f>
      </c>
      <c r="Y54" s="23">
        <f>IF($B54="Entry",IF(LEN(W54)&lt;4,"",IF(UPPER(MID(W54,4,1))="P","Individual",IF(UPPER(MID(W54,4,1))="H","HUF",IF(UPPER(MID(W54,4,1))="C","Company",IF(UPPER(MID(W54,4,1))="F","Firm",IF(UPPER(MID(W54,4,1))="L","LLP",IF(UPPER(MID(W54,4,1))="T","Trust",IF(UPPER(MID(W54,4,1))="A","AOP","")))))))),IF($B54="Challan","",IF(W54&lt;&gt;"","◄ Set Row Type","")))</f>
      </c>
      <c r="Z54" s="28"/>
      <c r="AA54" s="29">
        <f>IF($B54&lt;&gt;"Entry","",IF(Z54="","",IF(X54="Y",SUMPRODUCT(('Rate Lookup'!$A$1:$A$37=Z54)*'Rate Lookup'!$D$1:$D$37),IF(OR(Y54="Individual",Y54="HUF"),SUMPRODUCT(('Rate Lookup'!$A$1:$A$37=Z54)*'Rate Lookup'!$B$1:$B$37),SUMPRODUCT(('Rate Lookup'!$A$1:$A$37=Z54)*'Rate Lookup'!$C$1:$C$37)))))</f>
      </c>
      <c r="AB54" s="30"/>
      <c r="AC54" s="31"/>
      <c r="AD54" s="27">
        <f>IF($B54&lt;&gt;"Entry","",ROUND(AC54*AA54/100,0))</f>
      </c>
      <c r="AE54" s="27">
        <f>IF($B54&lt;&gt;"Entry","",0)</f>
      </c>
      <c r="AF54" s="27">
        <f>IF($B54&lt;&gt;"Entry","",0)</f>
      </c>
      <c r="AG54" s="27">
        <f>IF($B54&lt;&gt;"Entry","",IF(OR(AD54=0,AB54="",AQ54="",AQ54&lt;=0),0,IF(AQ54&lt;=DATE(YEAR(AB54),MONTH(AB54)+1,7),0,ROUND(AD54*0.015*((YEAR(AQ54)-YEAR(AB54))*12+(MONTH(AQ54)-MONTH(AB54))+1),0))))</f>
      </c>
      <c r="AH54" s="27">
        <f>IF($B54&lt;&gt;"Entry","",0)</f>
      </c>
      <c r="AI54" s="28"/>
      <c r="AJ54" s="28"/>
      <c r="AK54" s="32"/>
      <c r="AL54" s="28"/>
      <c r="AM54" s="28"/>
      <c r="AN54" s="27">
        <f>IF($B54&lt;&gt;"Challan","",SUMIF('Q1 Data'!$D$4:$D$207,D54,'Q1 Data'!$AD$4:$AD$207)+SUMIF('Q1 Data'!$D$4:$D$207,D54,'Q1 Data'!$AG$4:$AG$207)+SUMIF('Q1 Data'!$D$4:$D$207,D54,'Q1 Data'!$AE$4:$AE$207)+SUMIF('Q2 Data'!$D$4:$D$207,D54,'Q2 Data'!$AD$4:$AD$207)+SUMIF('Q2 Data'!$D$4:$D$207,D54,'Q2 Data'!$AG$4:$AG$207)+SUMIF('Q2 Data'!$D$4:$D$207,D54,'Q2 Data'!$AE$4:$AE$207)+SUMIF('Q3 Data'!$D$4:$D$207,D54,'Q3 Data'!$AD$4:$AD$207)+SUMIF('Q3 Data'!$D$4:$D$207,D54,'Q3 Data'!$AG$4:$AG$207)+SUMIF('Q3 Data'!$D$4:$D$207,D54,'Q3 Data'!$AE$4:$AE$207)+SUMIF('Q4 Data'!$D$4:$D$207,D54,'Q4 Data'!$AD$4:$AD$207)+SUMIF('Q4 Data'!$D$4:$D$207,D54,'Q4 Data'!$AG$4:$AG$207)+SUMIF('Q4 Data'!$D$4:$D$207,D54,'Q4 Data'!$AE$4:$AE$207))</f>
      </c>
      <c r="AO54" s="27">
        <f>IF($B54&lt;&gt;"Challan","",P54-N54)</f>
      </c>
      <c r="AP54" s="27">
        <f>IF($B54&lt;&gt;"Challan","",MAX(0,AO54-AN54))</f>
      </c>
      <c r="AQ54" s="33">
        <f>IF($B54&lt;&gt;"Entry","",SUMPRODUCT(('Q1 Data'!$D$4:$D$207=D54)*('Q1 Data'!$B$4:$B$207="Challan")*'Q1 Data'!$F$4:$F$207)+SUMPRODUCT(('Q2 Data'!$D$4:$D$207=D54)*('Q2 Data'!$B$4:$B$207="Challan")*'Q2 Data'!$F$4:$F$207)+SUMPRODUCT(('Q3 Data'!$D$4:$D$207=D54)*('Q3 Data'!$B$4:$B$207="Challan")*'Q3 Data'!$F$4:$F$207)+SUMPRODUCT(('Q4 Data'!$D$4:$D$207=D54)*('Q4 Data'!$B$4:$B$207="Challan")*'Q4 Data'!$F$4:$F$207))</f>
      </c>
      <c r="AR54" s="34">
        <f>IF(OR($B54&lt;&gt;"Entry",Z54=""),FALSE,AND((SUMPRODUCT(('Q1 Data'!$D$4:$D$207=D54)*('Q1 Data'!$B$4:$B$207="Challan")*('Q1 Data'!$H$4:$H$207&lt;&gt;""))+SUMPRODUCT(('Q2 Data'!$D$4:$D$207=D54)*('Q2 Data'!$B$4:$B$207="Challan")*('Q2 Data'!$H$4:$H$207&lt;&gt;""))+SUMPRODUCT(('Q3 Data'!$D$4:$D$207=D54)*('Q3 Data'!$B$4:$B$207="Challan")*('Q3 Data'!$H$4:$H$207&lt;&gt;""))+SUMPRODUCT(('Q4 Data'!$D$4:$D$207=D54)*('Q4 Data'!$B$4:$B$207="Challan")*('Q4 Data'!$H$4:$H$207&lt;&gt;"")))&gt;0,(SUMPRODUCT(('Q1 Data'!$D$4:$D$207=D54)*('Q1 Data'!$B$4:$B$207="Challan")*('Q1 Data'!$H$4:$H$207=Z54))+SUMPRODUCT(('Q2 Data'!$D$4:$D$207=D54)*('Q2 Data'!$B$4:$B$207="Challan")*('Q2 Data'!$H$4:$H$207=Z54))+SUMPRODUCT(('Q3 Data'!$D$4:$D$207=D54)*('Q3 Data'!$B$4:$B$207="Challan")*('Q3 Data'!$H$4:$H$207=Z54))+SUMPRODUCT(('Q4 Data'!$D$4:$D$207=D54)*('Q4 Data'!$B$4:$B$207="Challan")*('Q4 Data'!$H$4:$H$207=Z54)))=0))</f>
      </c>
    </row>
    <row r="55" spans="1:44" x14ac:dyDescent="0.25">
      <c r="A55" s="20">
        <f>IF($B55="Entry",COUNTIF($B$4:$B55,"Entry"),"")</f>
      </c>
      <c r="B55" s="21"/>
      <c r="C55" s="22"/>
      <c r="D55" s="22"/>
      <c r="E55" s="23">
        <f>IF($B55&lt;&gt;"Challan","",IF(ROUND(AN55-AO55,2)&gt;0,"Over-applied",IF(ROUND(AN55-AO55,2)=0,"Fully Utilised","Unconsumed")))</f>
      </c>
      <c r="F55" s="24"/>
      <c r="G55" s="25"/>
      <c r="H55" s="25"/>
      <c r="I55" s="26"/>
      <c r="J55" s="26"/>
      <c r="K55" s="26"/>
      <c r="L55" s="26"/>
      <c r="M55" s="26"/>
      <c r="N55" s="26"/>
      <c r="O55" s="26"/>
      <c r="P55" s="27">
        <f>IF($B55&lt;&gt;"Challan","",I55+J55+K55+L55+M55+N55)</f>
      </c>
      <c r="Q55" s="25"/>
      <c r="R55" s="25"/>
      <c r="S55" s="25"/>
      <c r="T55" s="25"/>
      <c r="U55" s="25"/>
      <c r="V55" s="28"/>
      <c r="W55" s="28"/>
      <c r="X55" s="23">
        <f>IF($B55="Entry",IF(AND(LEN(TRIM(UPPER(W55)))=10,CODE(MID(TRIM(UPPER(W55)),1,1))&gt;=65,CODE(MID(TRIM(UPPER(W55)),1,1))&lt;=90,CODE(MID(TRIM(UPPER(W55)),2,1))&gt;=65,CODE(MID(TRIM(UPPER(W55)),2,1))&lt;=90,CODE(MID(TRIM(UPPER(W55)),3,1))&gt;=65,CODE(MID(TRIM(UPPER(W55)),3,1))&lt;=90,CODE(MID(TRIM(UPPER(W55)),4,1))&gt;=65,CODE(MID(TRIM(UPPER(W55)),4,1))&lt;=90,CODE(MID(TRIM(UPPER(W55)),5,1))&gt;=65,CODE(MID(TRIM(UPPER(W55)),5,1))&lt;=90,CODE(MID(TRIM(UPPER(W55)),10,1))&gt;=65,CODE(MID(TRIM(UPPER(W55)),10,1))&lt;=90,CODE(MID(TRIM(UPPER(W55)),6,1))&gt;=48,CODE(MID(TRIM(UPPER(W55)),6,1))&lt;=57,CODE(MID(TRIM(UPPER(W55)),7,1))&gt;=48,CODE(MID(TRIM(UPPER(W55)),7,1))&lt;=57,CODE(MID(TRIM(UPPER(W55)),8,1))&gt;=48,CODE(MID(TRIM(UPPER(W55)),8,1))&lt;=57,CODE(MID(TRIM(UPPER(W55)),9,1))&gt;=48,CODE(MID(TRIM(UPPER(W55)),9,1))&lt;=57),"N","Y"),IF($B55="Challan","",IF(W55&lt;&gt;"","◄ Set Row Type","")))</f>
      </c>
      <c r="Y55" s="23">
        <f>IF($B55="Entry",IF(LEN(W55)&lt;4,"",IF(UPPER(MID(W55,4,1))="P","Individual",IF(UPPER(MID(W55,4,1))="H","HUF",IF(UPPER(MID(W55,4,1))="C","Company",IF(UPPER(MID(W55,4,1))="F","Firm",IF(UPPER(MID(W55,4,1))="L","LLP",IF(UPPER(MID(W55,4,1))="T","Trust",IF(UPPER(MID(W55,4,1))="A","AOP","")))))))),IF($B55="Challan","",IF(W55&lt;&gt;"","◄ Set Row Type","")))</f>
      </c>
      <c r="Z55" s="28"/>
      <c r="AA55" s="29">
        <f>IF($B55&lt;&gt;"Entry","",IF(Z55="","",IF(X55="Y",SUMPRODUCT(('Rate Lookup'!$A$1:$A$37=Z55)*'Rate Lookup'!$D$1:$D$37),IF(OR(Y55="Individual",Y55="HUF"),SUMPRODUCT(('Rate Lookup'!$A$1:$A$37=Z55)*'Rate Lookup'!$B$1:$B$37),SUMPRODUCT(('Rate Lookup'!$A$1:$A$37=Z55)*'Rate Lookup'!$C$1:$C$37)))))</f>
      </c>
      <c r="AB55" s="30"/>
      <c r="AC55" s="31"/>
      <c r="AD55" s="27">
        <f>IF($B55&lt;&gt;"Entry","",ROUND(AC55*AA55/100,0))</f>
      </c>
      <c r="AE55" s="27">
        <f>IF($B55&lt;&gt;"Entry","",0)</f>
      </c>
      <c r="AF55" s="27">
        <f>IF($B55&lt;&gt;"Entry","",0)</f>
      </c>
      <c r="AG55" s="27">
        <f>IF($B55&lt;&gt;"Entry","",IF(OR(AD55=0,AB55="",AQ55="",AQ55&lt;=0),0,IF(AQ55&lt;=DATE(YEAR(AB55),MONTH(AB55)+1,7),0,ROUND(AD55*0.015*((YEAR(AQ55)-YEAR(AB55))*12+(MONTH(AQ55)-MONTH(AB55))+1),0))))</f>
      </c>
      <c r="AH55" s="27">
        <f>IF($B55&lt;&gt;"Entry","",0)</f>
      </c>
      <c r="AI55" s="28"/>
      <c r="AJ55" s="28"/>
      <c r="AK55" s="32"/>
      <c r="AL55" s="28"/>
      <c r="AM55" s="28"/>
      <c r="AN55" s="27">
        <f>IF($B55&lt;&gt;"Challan","",SUMIF('Q1 Data'!$D$4:$D$207,D55,'Q1 Data'!$AD$4:$AD$207)+SUMIF('Q1 Data'!$D$4:$D$207,D55,'Q1 Data'!$AG$4:$AG$207)+SUMIF('Q1 Data'!$D$4:$D$207,D55,'Q1 Data'!$AE$4:$AE$207)+SUMIF('Q2 Data'!$D$4:$D$207,D55,'Q2 Data'!$AD$4:$AD$207)+SUMIF('Q2 Data'!$D$4:$D$207,D55,'Q2 Data'!$AG$4:$AG$207)+SUMIF('Q2 Data'!$D$4:$D$207,D55,'Q2 Data'!$AE$4:$AE$207)+SUMIF('Q3 Data'!$D$4:$D$207,D55,'Q3 Data'!$AD$4:$AD$207)+SUMIF('Q3 Data'!$D$4:$D$207,D55,'Q3 Data'!$AG$4:$AG$207)+SUMIF('Q3 Data'!$D$4:$D$207,D55,'Q3 Data'!$AE$4:$AE$207)+SUMIF('Q4 Data'!$D$4:$D$207,D55,'Q4 Data'!$AD$4:$AD$207)+SUMIF('Q4 Data'!$D$4:$D$207,D55,'Q4 Data'!$AG$4:$AG$207)+SUMIF('Q4 Data'!$D$4:$D$207,D55,'Q4 Data'!$AE$4:$AE$207))</f>
      </c>
      <c r="AO55" s="27">
        <f>IF($B55&lt;&gt;"Challan","",P55-N55)</f>
      </c>
      <c r="AP55" s="27">
        <f>IF($B55&lt;&gt;"Challan","",MAX(0,AO55-AN55))</f>
      </c>
      <c r="AQ55" s="33">
        <f>IF($B55&lt;&gt;"Entry","",SUMPRODUCT(('Q1 Data'!$D$4:$D$207=D55)*('Q1 Data'!$B$4:$B$207="Challan")*'Q1 Data'!$F$4:$F$207)+SUMPRODUCT(('Q2 Data'!$D$4:$D$207=D55)*('Q2 Data'!$B$4:$B$207="Challan")*'Q2 Data'!$F$4:$F$207)+SUMPRODUCT(('Q3 Data'!$D$4:$D$207=D55)*('Q3 Data'!$B$4:$B$207="Challan")*'Q3 Data'!$F$4:$F$207)+SUMPRODUCT(('Q4 Data'!$D$4:$D$207=D55)*('Q4 Data'!$B$4:$B$207="Challan")*'Q4 Data'!$F$4:$F$207))</f>
      </c>
      <c r="AR55" s="34">
        <f>IF(OR($B55&lt;&gt;"Entry",Z55=""),FALSE,AND((SUMPRODUCT(('Q1 Data'!$D$4:$D$207=D55)*('Q1 Data'!$B$4:$B$207="Challan")*('Q1 Data'!$H$4:$H$207&lt;&gt;""))+SUMPRODUCT(('Q2 Data'!$D$4:$D$207=D55)*('Q2 Data'!$B$4:$B$207="Challan")*('Q2 Data'!$H$4:$H$207&lt;&gt;""))+SUMPRODUCT(('Q3 Data'!$D$4:$D$207=D55)*('Q3 Data'!$B$4:$B$207="Challan")*('Q3 Data'!$H$4:$H$207&lt;&gt;""))+SUMPRODUCT(('Q4 Data'!$D$4:$D$207=D55)*('Q4 Data'!$B$4:$B$207="Challan")*('Q4 Data'!$H$4:$H$207&lt;&gt;"")))&gt;0,(SUMPRODUCT(('Q1 Data'!$D$4:$D$207=D55)*('Q1 Data'!$B$4:$B$207="Challan")*('Q1 Data'!$H$4:$H$207=Z55))+SUMPRODUCT(('Q2 Data'!$D$4:$D$207=D55)*('Q2 Data'!$B$4:$B$207="Challan")*('Q2 Data'!$H$4:$H$207=Z55))+SUMPRODUCT(('Q3 Data'!$D$4:$D$207=D55)*('Q3 Data'!$B$4:$B$207="Challan")*('Q3 Data'!$H$4:$H$207=Z55))+SUMPRODUCT(('Q4 Data'!$D$4:$D$207=D55)*('Q4 Data'!$B$4:$B$207="Challan")*('Q4 Data'!$H$4:$H$207=Z55)))=0))</f>
      </c>
    </row>
    <row r="56" spans="1:44" x14ac:dyDescent="0.25">
      <c r="A56" s="20">
        <f>IF($B56="Entry",COUNTIF($B$4:$B56,"Entry"),"")</f>
      </c>
      <c r="B56" s="21"/>
      <c r="C56" s="22"/>
      <c r="D56" s="22"/>
      <c r="E56" s="23">
        <f>IF($B56&lt;&gt;"Challan","",IF(ROUND(AN56-AO56,2)&gt;0,"Over-applied",IF(ROUND(AN56-AO56,2)=0,"Fully Utilised","Unconsumed")))</f>
      </c>
      <c r="F56" s="24"/>
      <c r="G56" s="25"/>
      <c r="H56" s="25"/>
      <c r="I56" s="26"/>
      <c r="J56" s="26"/>
      <c r="K56" s="26"/>
      <c r="L56" s="26"/>
      <c r="M56" s="26"/>
      <c r="N56" s="26"/>
      <c r="O56" s="26"/>
      <c r="P56" s="27">
        <f>IF($B56&lt;&gt;"Challan","",I56+J56+K56+L56+M56+N56)</f>
      </c>
      <c r="Q56" s="25"/>
      <c r="R56" s="25"/>
      <c r="S56" s="25"/>
      <c r="T56" s="25"/>
      <c r="U56" s="25"/>
      <c r="V56" s="28"/>
      <c r="W56" s="28"/>
      <c r="X56" s="23">
        <f>IF($B56="Entry",IF(AND(LEN(TRIM(UPPER(W56)))=10,CODE(MID(TRIM(UPPER(W56)),1,1))&gt;=65,CODE(MID(TRIM(UPPER(W56)),1,1))&lt;=90,CODE(MID(TRIM(UPPER(W56)),2,1))&gt;=65,CODE(MID(TRIM(UPPER(W56)),2,1))&lt;=90,CODE(MID(TRIM(UPPER(W56)),3,1))&gt;=65,CODE(MID(TRIM(UPPER(W56)),3,1))&lt;=90,CODE(MID(TRIM(UPPER(W56)),4,1))&gt;=65,CODE(MID(TRIM(UPPER(W56)),4,1))&lt;=90,CODE(MID(TRIM(UPPER(W56)),5,1))&gt;=65,CODE(MID(TRIM(UPPER(W56)),5,1))&lt;=90,CODE(MID(TRIM(UPPER(W56)),10,1))&gt;=65,CODE(MID(TRIM(UPPER(W56)),10,1))&lt;=90,CODE(MID(TRIM(UPPER(W56)),6,1))&gt;=48,CODE(MID(TRIM(UPPER(W56)),6,1))&lt;=57,CODE(MID(TRIM(UPPER(W56)),7,1))&gt;=48,CODE(MID(TRIM(UPPER(W56)),7,1))&lt;=57,CODE(MID(TRIM(UPPER(W56)),8,1))&gt;=48,CODE(MID(TRIM(UPPER(W56)),8,1))&lt;=57,CODE(MID(TRIM(UPPER(W56)),9,1))&gt;=48,CODE(MID(TRIM(UPPER(W56)),9,1))&lt;=57),"N","Y"),IF($B56="Challan","",IF(W56&lt;&gt;"","◄ Set Row Type","")))</f>
      </c>
      <c r="Y56" s="23">
        <f>IF($B56="Entry",IF(LEN(W56)&lt;4,"",IF(UPPER(MID(W56,4,1))="P","Individual",IF(UPPER(MID(W56,4,1))="H","HUF",IF(UPPER(MID(W56,4,1))="C","Company",IF(UPPER(MID(W56,4,1))="F","Firm",IF(UPPER(MID(W56,4,1))="L","LLP",IF(UPPER(MID(W56,4,1))="T","Trust",IF(UPPER(MID(W56,4,1))="A","AOP","")))))))),IF($B56="Challan","",IF(W56&lt;&gt;"","◄ Set Row Type","")))</f>
      </c>
      <c r="Z56" s="28"/>
      <c r="AA56" s="29">
        <f>IF($B56&lt;&gt;"Entry","",IF(Z56="","",IF(X56="Y",SUMPRODUCT(('Rate Lookup'!$A$1:$A$37=Z56)*'Rate Lookup'!$D$1:$D$37),IF(OR(Y56="Individual",Y56="HUF"),SUMPRODUCT(('Rate Lookup'!$A$1:$A$37=Z56)*'Rate Lookup'!$B$1:$B$37),SUMPRODUCT(('Rate Lookup'!$A$1:$A$37=Z56)*'Rate Lookup'!$C$1:$C$37)))))</f>
      </c>
      <c r="AB56" s="30"/>
      <c r="AC56" s="31"/>
      <c r="AD56" s="27">
        <f>IF($B56&lt;&gt;"Entry","",ROUND(AC56*AA56/100,0))</f>
      </c>
      <c r="AE56" s="27">
        <f>IF($B56&lt;&gt;"Entry","",0)</f>
      </c>
      <c r="AF56" s="27">
        <f>IF($B56&lt;&gt;"Entry","",0)</f>
      </c>
      <c r="AG56" s="27">
        <f>IF($B56&lt;&gt;"Entry","",IF(OR(AD56=0,AB56="",AQ56="",AQ56&lt;=0),0,IF(AQ56&lt;=DATE(YEAR(AB56),MONTH(AB56)+1,7),0,ROUND(AD56*0.015*((YEAR(AQ56)-YEAR(AB56))*12+(MONTH(AQ56)-MONTH(AB56))+1),0))))</f>
      </c>
      <c r="AH56" s="27">
        <f>IF($B56&lt;&gt;"Entry","",0)</f>
      </c>
      <c r="AI56" s="28"/>
      <c r="AJ56" s="28"/>
      <c r="AK56" s="32"/>
      <c r="AL56" s="28"/>
      <c r="AM56" s="28"/>
      <c r="AN56" s="27">
        <f>IF($B56&lt;&gt;"Challan","",SUMIF('Q1 Data'!$D$4:$D$207,D56,'Q1 Data'!$AD$4:$AD$207)+SUMIF('Q1 Data'!$D$4:$D$207,D56,'Q1 Data'!$AG$4:$AG$207)+SUMIF('Q1 Data'!$D$4:$D$207,D56,'Q1 Data'!$AE$4:$AE$207)+SUMIF('Q2 Data'!$D$4:$D$207,D56,'Q2 Data'!$AD$4:$AD$207)+SUMIF('Q2 Data'!$D$4:$D$207,D56,'Q2 Data'!$AG$4:$AG$207)+SUMIF('Q2 Data'!$D$4:$D$207,D56,'Q2 Data'!$AE$4:$AE$207)+SUMIF('Q3 Data'!$D$4:$D$207,D56,'Q3 Data'!$AD$4:$AD$207)+SUMIF('Q3 Data'!$D$4:$D$207,D56,'Q3 Data'!$AG$4:$AG$207)+SUMIF('Q3 Data'!$D$4:$D$207,D56,'Q3 Data'!$AE$4:$AE$207)+SUMIF('Q4 Data'!$D$4:$D$207,D56,'Q4 Data'!$AD$4:$AD$207)+SUMIF('Q4 Data'!$D$4:$D$207,D56,'Q4 Data'!$AG$4:$AG$207)+SUMIF('Q4 Data'!$D$4:$D$207,D56,'Q4 Data'!$AE$4:$AE$207))</f>
      </c>
      <c r="AO56" s="27">
        <f>IF($B56&lt;&gt;"Challan","",P56-N56)</f>
      </c>
      <c r="AP56" s="27">
        <f>IF($B56&lt;&gt;"Challan","",MAX(0,AO56-AN56))</f>
      </c>
      <c r="AQ56" s="33">
        <f>IF($B56&lt;&gt;"Entry","",SUMPRODUCT(('Q1 Data'!$D$4:$D$207=D56)*('Q1 Data'!$B$4:$B$207="Challan")*'Q1 Data'!$F$4:$F$207)+SUMPRODUCT(('Q2 Data'!$D$4:$D$207=D56)*('Q2 Data'!$B$4:$B$207="Challan")*'Q2 Data'!$F$4:$F$207)+SUMPRODUCT(('Q3 Data'!$D$4:$D$207=D56)*('Q3 Data'!$B$4:$B$207="Challan")*'Q3 Data'!$F$4:$F$207)+SUMPRODUCT(('Q4 Data'!$D$4:$D$207=D56)*('Q4 Data'!$B$4:$B$207="Challan")*'Q4 Data'!$F$4:$F$207))</f>
      </c>
      <c r="AR56" s="34">
        <f>IF(OR($B56&lt;&gt;"Entry",Z56=""),FALSE,AND((SUMPRODUCT(('Q1 Data'!$D$4:$D$207=D56)*('Q1 Data'!$B$4:$B$207="Challan")*('Q1 Data'!$H$4:$H$207&lt;&gt;""))+SUMPRODUCT(('Q2 Data'!$D$4:$D$207=D56)*('Q2 Data'!$B$4:$B$207="Challan")*('Q2 Data'!$H$4:$H$207&lt;&gt;""))+SUMPRODUCT(('Q3 Data'!$D$4:$D$207=D56)*('Q3 Data'!$B$4:$B$207="Challan")*('Q3 Data'!$H$4:$H$207&lt;&gt;""))+SUMPRODUCT(('Q4 Data'!$D$4:$D$207=D56)*('Q4 Data'!$B$4:$B$207="Challan")*('Q4 Data'!$H$4:$H$207&lt;&gt;"")))&gt;0,(SUMPRODUCT(('Q1 Data'!$D$4:$D$207=D56)*('Q1 Data'!$B$4:$B$207="Challan")*('Q1 Data'!$H$4:$H$207=Z56))+SUMPRODUCT(('Q2 Data'!$D$4:$D$207=D56)*('Q2 Data'!$B$4:$B$207="Challan")*('Q2 Data'!$H$4:$H$207=Z56))+SUMPRODUCT(('Q3 Data'!$D$4:$D$207=D56)*('Q3 Data'!$B$4:$B$207="Challan")*('Q3 Data'!$H$4:$H$207=Z56))+SUMPRODUCT(('Q4 Data'!$D$4:$D$207=D56)*('Q4 Data'!$B$4:$B$207="Challan")*('Q4 Data'!$H$4:$H$207=Z56)))=0))</f>
      </c>
    </row>
    <row r="57" spans="1:44" x14ac:dyDescent="0.25">
      <c r="A57" s="20">
        <f>IF($B57="Entry",COUNTIF($B$4:$B57,"Entry"),"")</f>
      </c>
      <c r="B57" s="21"/>
      <c r="C57" s="22"/>
      <c r="D57" s="22"/>
      <c r="E57" s="23">
        <f>IF($B57&lt;&gt;"Challan","",IF(ROUND(AN57-AO57,2)&gt;0,"Over-applied",IF(ROUND(AN57-AO57,2)=0,"Fully Utilised","Unconsumed")))</f>
      </c>
      <c r="F57" s="24"/>
      <c r="G57" s="25"/>
      <c r="H57" s="25"/>
      <c r="I57" s="26"/>
      <c r="J57" s="26"/>
      <c r="K57" s="26"/>
      <c r="L57" s="26"/>
      <c r="M57" s="26"/>
      <c r="N57" s="26"/>
      <c r="O57" s="26"/>
      <c r="P57" s="27">
        <f>IF($B57&lt;&gt;"Challan","",I57+J57+K57+L57+M57+N57)</f>
      </c>
      <c r="Q57" s="25"/>
      <c r="R57" s="25"/>
      <c r="S57" s="25"/>
      <c r="T57" s="25"/>
      <c r="U57" s="25"/>
      <c r="V57" s="28"/>
      <c r="W57" s="28"/>
      <c r="X57" s="23">
        <f>IF($B57="Entry",IF(AND(LEN(TRIM(UPPER(W57)))=10,CODE(MID(TRIM(UPPER(W57)),1,1))&gt;=65,CODE(MID(TRIM(UPPER(W57)),1,1))&lt;=90,CODE(MID(TRIM(UPPER(W57)),2,1))&gt;=65,CODE(MID(TRIM(UPPER(W57)),2,1))&lt;=90,CODE(MID(TRIM(UPPER(W57)),3,1))&gt;=65,CODE(MID(TRIM(UPPER(W57)),3,1))&lt;=90,CODE(MID(TRIM(UPPER(W57)),4,1))&gt;=65,CODE(MID(TRIM(UPPER(W57)),4,1))&lt;=90,CODE(MID(TRIM(UPPER(W57)),5,1))&gt;=65,CODE(MID(TRIM(UPPER(W57)),5,1))&lt;=90,CODE(MID(TRIM(UPPER(W57)),10,1))&gt;=65,CODE(MID(TRIM(UPPER(W57)),10,1))&lt;=90,CODE(MID(TRIM(UPPER(W57)),6,1))&gt;=48,CODE(MID(TRIM(UPPER(W57)),6,1))&lt;=57,CODE(MID(TRIM(UPPER(W57)),7,1))&gt;=48,CODE(MID(TRIM(UPPER(W57)),7,1))&lt;=57,CODE(MID(TRIM(UPPER(W57)),8,1))&gt;=48,CODE(MID(TRIM(UPPER(W57)),8,1))&lt;=57,CODE(MID(TRIM(UPPER(W57)),9,1))&gt;=48,CODE(MID(TRIM(UPPER(W57)),9,1))&lt;=57),"N","Y"),IF($B57="Challan","",IF(W57&lt;&gt;"","◄ Set Row Type","")))</f>
      </c>
      <c r="Y57" s="23">
        <f>IF($B57="Entry",IF(LEN(W57)&lt;4,"",IF(UPPER(MID(W57,4,1))="P","Individual",IF(UPPER(MID(W57,4,1))="H","HUF",IF(UPPER(MID(W57,4,1))="C","Company",IF(UPPER(MID(W57,4,1))="F","Firm",IF(UPPER(MID(W57,4,1))="L","LLP",IF(UPPER(MID(W57,4,1))="T","Trust",IF(UPPER(MID(W57,4,1))="A","AOP","")))))))),IF($B57="Challan","",IF(W57&lt;&gt;"","◄ Set Row Type","")))</f>
      </c>
      <c r="Z57" s="28"/>
      <c r="AA57" s="29">
        <f>IF($B57&lt;&gt;"Entry","",IF(Z57="","",IF(X57="Y",SUMPRODUCT(('Rate Lookup'!$A$1:$A$37=Z57)*'Rate Lookup'!$D$1:$D$37),IF(OR(Y57="Individual",Y57="HUF"),SUMPRODUCT(('Rate Lookup'!$A$1:$A$37=Z57)*'Rate Lookup'!$B$1:$B$37),SUMPRODUCT(('Rate Lookup'!$A$1:$A$37=Z57)*'Rate Lookup'!$C$1:$C$37)))))</f>
      </c>
      <c r="AB57" s="30"/>
      <c r="AC57" s="31"/>
      <c r="AD57" s="27">
        <f>IF($B57&lt;&gt;"Entry","",ROUND(AC57*AA57/100,0))</f>
      </c>
      <c r="AE57" s="27">
        <f>IF($B57&lt;&gt;"Entry","",0)</f>
      </c>
      <c r="AF57" s="27">
        <f>IF($B57&lt;&gt;"Entry","",0)</f>
      </c>
      <c r="AG57" s="27">
        <f>IF($B57&lt;&gt;"Entry","",IF(OR(AD57=0,AB57="",AQ57="",AQ57&lt;=0),0,IF(AQ57&lt;=DATE(YEAR(AB57),MONTH(AB57)+1,7),0,ROUND(AD57*0.015*((YEAR(AQ57)-YEAR(AB57))*12+(MONTH(AQ57)-MONTH(AB57))+1),0))))</f>
      </c>
      <c r="AH57" s="27">
        <f>IF($B57&lt;&gt;"Entry","",0)</f>
      </c>
      <c r="AI57" s="28"/>
      <c r="AJ57" s="28"/>
      <c r="AK57" s="32"/>
      <c r="AL57" s="28"/>
      <c r="AM57" s="28"/>
      <c r="AN57" s="27">
        <f>IF($B57&lt;&gt;"Challan","",SUMIF('Q1 Data'!$D$4:$D$207,D57,'Q1 Data'!$AD$4:$AD$207)+SUMIF('Q1 Data'!$D$4:$D$207,D57,'Q1 Data'!$AG$4:$AG$207)+SUMIF('Q1 Data'!$D$4:$D$207,D57,'Q1 Data'!$AE$4:$AE$207)+SUMIF('Q2 Data'!$D$4:$D$207,D57,'Q2 Data'!$AD$4:$AD$207)+SUMIF('Q2 Data'!$D$4:$D$207,D57,'Q2 Data'!$AG$4:$AG$207)+SUMIF('Q2 Data'!$D$4:$D$207,D57,'Q2 Data'!$AE$4:$AE$207)+SUMIF('Q3 Data'!$D$4:$D$207,D57,'Q3 Data'!$AD$4:$AD$207)+SUMIF('Q3 Data'!$D$4:$D$207,D57,'Q3 Data'!$AG$4:$AG$207)+SUMIF('Q3 Data'!$D$4:$D$207,D57,'Q3 Data'!$AE$4:$AE$207)+SUMIF('Q4 Data'!$D$4:$D$207,D57,'Q4 Data'!$AD$4:$AD$207)+SUMIF('Q4 Data'!$D$4:$D$207,D57,'Q4 Data'!$AG$4:$AG$207)+SUMIF('Q4 Data'!$D$4:$D$207,D57,'Q4 Data'!$AE$4:$AE$207))</f>
      </c>
      <c r="AO57" s="27">
        <f>IF($B57&lt;&gt;"Challan","",P57-N57)</f>
      </c>
      <c r="AP57" s="27">
        <f>IF($B57&lt;&gt;"Challan","",MAX(0,AO57-AN57))</f>
      </c>
      <c r="AQ57" s="33">
        <f>IF($B57&lt;&gt;"Entry","",SUMPRODUCT(('Q1 Data'!$D$4:$D$207=D57)*('Q1 Data'!$B$4:$B$207="Challan")*'Q1 Data'!$F$4:$F$207)+SUMPRODUCT(('Q2 Data'!$D$4:$D$207=D57)*('Q2 Data'!$B$4:$B$207="Challan")*'Q2 Data'!$F$4:$F$207)+SUMPRODUCT(('Q3 Data'!$D$4:$D$207=D57)*('Q3 Data'!$B$4:$B$207="Challan")*'Q3 Data'!$F$4:$F$207)+SUMPRODUCT(('Q4 Data'!$D$4:$D$207=D57)*('Q4 Data'!$B$4:$B$207="Challan")*'Q4 Data'!$F$4:$F$207))</f>
      </c>
      <c r="AR57" s="34">
        <f>IF(OR($B57&lt;&gt;"Entry",Z57=""),FALSE,AND((SUMPRODUCT(('Q1 Data'!$D$4:$D$207=D57)*('Q1 Data'!$B$4:$B$207="Challan")*('Q1 Data'!$H$4:$H$207&lt;&gt;""))+SUMPRODUCT(('Q2 Data'!$D$4:$D$207=D57)*('Q2 Data'!$B$4:$B$207="Challan")*('Q2 Data'!$H$4:$H$207&lt;&gt;""))+SUMPRODUCT(('Q3 Data'!$D$4:$D$207=D57)*('Q3 Data'!$B$4:$B$207="Challan")*('Q3 Data'!$H$4:$H$207&lt;&gt;""))+SUMPRODUCT(('Q4 Data'!$D$4:$D$207=D57)*('Q4 Data'!$B$4:$B$207="Challan")*('Q4 Data'!$H$4:$H$207&lt;&gt;"")))&gt;0,(SUMPRODUCT(('Q1 Data'!$D$4:$D$207=D57)*('Q1 Data'!$B$4:$B$207="Challan")*('Q1 Data'!$H$4:$H$207=Z57))+SUMPRODUCT(('Q2 Data'!$D$4:$D$207=D57)*('Q2 Data'!$B$4:$B$207="Challan")*('Q2 Data'!$H$4:$H$207=Z57))+SUMPRODUCT(('Q3 Data'!$D$4:$D$207=D57)*('Q3 Data'!$B$4:$B$207="Challan")*('Q3 Data'!$H$4:$H$207=Z57))+SUMPRODUCT(('Q4 Data'!$D$4:$D$207=D57)*('Q4 Data'!$B$4:$B$207="Challan")*('Q4 Data'!$H$4:$H$207=Z57)))=0))</f>
      </c>
    </row>
    <row r="58" spans="1:44" x14ac:dyDescent="0.25">
      <c r="A58" s="20">
        <f>IF($B58="Entry",COUNTIF($B$4:$B58,"Entry"),"")</f>
      </c>
      <c r="B58" s="21"/>
      <c r="C58" s="22"/>
      <c r="D58" s="22"/>
      <c r="E58" s="23">
        <f>IF($B58&lt;&gt;"Challan","",IF(ROUND(AN58-AO58,2)&gt;0,"Over-applied",IF(ROUND(AN58-AO58,2)=0,"Fully Utilised","Unconsumed")))</f>
      </c>
      <c r="F58" s="24"/>
      <c r="G58" s="25"/>
      <c r="H58" s="25"/>
      <c r="I58" s="26"/>
      <c r="J58" s="26"/>
      <c r="K58" s="26"/>
      <c r="L58" s="26"/>
      <c r="M58" s="26"/>
      <c r="N58" s="26"/>
      <c r="O58" s="26"/>
      <c r="P58" s="27">
        <f>IF($B58&lt;&gt;"Challan","",I58+J58+K58+L58+M58+N58)</f>
      </c>
      <c r="Q58" s="25"/>
      <c r="R58" s="25"/>
      <c r="S58" s="25"/>
      <c r="T58" s="25"/>
      <c r="U58" s="25"/>
      <c r="V58" s="28"/>
      <c r="W58" s="28"/>
      <c r="X58" s="23">
        <f>IF($B58="Entry",IF(AND(LEN(TRIM(UPPER(W58)))=10,CODE(MID(TRIM(UPPER(W58)),1,1))&gt;=65,CODE(MID(TRIM(UPPER(W58)),1,1))&lt;=90,CODE(MID(TRIM(UPPER(W58)),2,1))&gt;=65,CODE(MID(TRIM(UPPER(W58)),2,1))&lt;=90,CODE(MID(TRIM(UPPER(W58)),3,1))&gt;=65,CODE(MID(TRIM(UPPER(W58)),3,1))&lt;=90,CODE(MID(TRIM(UPPER(W58)),4,1))&gt;=65,CODE(MID(TRIM(UPPER(W58)),4,1))&lt;=90,CODE(MID(TRIM(UPPER(W58)),5,1))&gt;=65,CODE(MID(TRIM(UPPER(W58)),5,1))&lt;=90,CODE(MID(TRIM(UPPER(W58)),10,1))&gt;=65,CODE(MID(TRIM(UPPER(W58)),10,1))&lt;=90,CODE(MID(TRIM(UPPER(W58)),6,1))&gt;=48,CODE(MID(TRIM(UPPER(W58)),6,1))&lt;=57,CODE(MID(TRIM(UPPER(W58)),7,1))&gt;=48,CODE(MID(TRIM(UPPER(W58)),7,1))&lt;=57,CODE(MID(TRIM(UPPER(W58)),8,1))&gt;=48,CODE(MID(TRIM(UPPER(W58)),8,1))&lt;=57,CODE(MID(TRIM(UPPER(W58)),9,1))&gt;=48,CODE(MID(TRIM(UPPER(W58)),9,1))&lt;=57),"N","Y"),IF($B58="Challan","",IF(W58&lt;&gt;"","◄ Set Row Type","")))</f>
      </c>
      <c r="Y58" s="23">
        <f>IF($B58="Entry",IF(LEN(W58)&lt;4,"",IF(UPPER(MID(W58,4,1))="P","Individual",IF(UPPER(MID(W58,4,1))="H","HUF",IF(UPPER(MID(W58,4,1))="C","Company",IF(UPPER(MID(W58,4,1))="F","Firm",IF(UPPER(MID(W58,4,1))="L","LLP",IF(UPPER(MID(W58,4,1))="T","Trust",IF(UPPER(MID(W58,4,1))="A","AOP","")))))))),IF($B58="Challan","",IF(W58&lt;&gt;"","◄ Set Row Type","")))</f>
      </c>
      <c r="Z58" s="28"/>
      <c r="AA58" s="29">
        <f>IF($B58&lt;&gt;"Entry","",IF(Z58="","",IF(X58="Y",SUMPRODUCT(('Rate Lookup'!$A$1:$A$37=Z58)*'Rate Lookup'!$D$1:$D$37),IF(OR(Y58="Individual",Y58="HUF"),SUMPRODUCT(('Rate Lookup'!$A$1:$A$37=Z58)*'Rate Lookup'!$B$1:$B$37),SUMPRODUCT(('Rate Lookup'!$A$1:$A$37=Z58)*'Rate Lookup'!$C$1:$C$37)))))</f>
      </c>
      <c r="AB58" s="30"/>
      <c r="AC58" s="31"/>
      <c r="AD58" s="27">
        <f>IF($B58&lt;&gt;"Entry","",ROUND(AC58*AA58/100,0))</f>
      </c>
      <c r="AE58" s="27">
        <f>IF($B58&lt;&gt;"Entry","",0)</f>
      </c>
      <c r="AF58" s="27">
        <f>IF($B58&lt;&gt;"Entry","",0)</f>
      </c>
      <c r="AG58" s="27">
        <f>IF($B58&lt;&gt;"Entry","",IF(OR(AD58=0,AB58="",AQ58="",AQ58&lt;=0),0,IF(AQ58&lt;=DATE(YEAR(AB58),MONTH(AB58)+1,7),0,ROUND(AD58*0.015*((YEAR(AQ58)-YEAR(AB58))*12+(MONTH(AQ58)-MONTH(AB58))+1),0))))</f>
      </c>
      <c r="AH58" s="27">
        <f>IF($B58&lt;&gt;"Entry","",0)</f>
      </c>
      <c r="AI58" s="28"/>
      <c r="AJ58" s="28"/>
      <c r="AK58" s="32"/>
      <c r="AL58" s="28"/>
      <c r="AM58" s="28"/>
      <c r="AN58" s="27">
        <f>IF($B58&lt;&gt;"Challan","",SUMIF('Q1 Data'!$D$4:$D$207,D58,'Q1 Data'!$AD$4:$AD$207)+SUMIF('Q1 Data'!$D$4:$D$207,D58,'Q1 Data'!$AG$4:$AG$207)+SUMIF('Q1 Data'!$D$4:$D$207,D58,'Q1 Data'!$AE$4:$AE$207)+SUMIF('Q2 Data'!$D$4:$D$207,D58,'Q2 Data'!$AD$4:$AD$207)+SUMIF('Q2 Data'!$D$4:$D$207,D58,'Q2 Data'!$AG$4:$AG$207)+SUMIF('Q2 Data'!$D$4:$D$207,D58,'Q2 Data'!$AE$4:$AE$207)+SUMIF('Q3 Data'!$D$4:$D$207,D58,'Q3 Data'!$AD$4:$AD$207)+SUMIF('Q3 Data'!$D$4:$D$207,D58,'Q3 Data'!$AG$4:$AG$207)+SUMIF('Q3 Data'!$D$4:$D$207,D58,'Q3 Data'!$AE$4:$AE$207)+SUMIF('Q4 Data'!$D$4:$D$207,D58,'Q4 Data'!$AD$4:$AD$207)+SUMIF('Q4 Data'!$D$4:$D$207,D58,'Q4 Data'!$AG$4:$AG$207)+SUMIF('Q4 Data'!$D$4:$D$207,D58,'Q4 Data'!$AE$4:$AE$207))</f>
      </c>
      <c r="AO58" s="27">
        <f>IF($B58&lt;&gt;"Challan","",P58-N58)</f>
      </c>
      <c r="AP58" s="27">
        <f>IF($B58&lt;&gt;"Challan","",MAX(0,AO58-AN58))</f>
      </c>
      <c r="AQ58" s="33">
        <f>IF($B58&lt;&gt;"Entry","",SUMPRODUCT(('Q1 Data'!$D$4:$D$207=D58)*('Q1 Data'!$B$4:$B$207="Challan")*'Q1 Data'!$F$4:$F$207)+SUMPRODUCT(('Q2 Data'!$D$4:$D$207=D58)*('Q2 Data'!$B$4:$B$207="Challan")*'Q2 Data'!$F$4:$F$207)+SUMPRODUCT(('Q3 Data'!$D$4:$D$207=D58)*('Q3 Data'!$B$4:$B$207="Challan")*'Q3 Data'!$F$4:$F$207)+SUMPRODUCT(('Q4 Data'!$D$4:$D$207=D58)*('Q4 Data'!$B$4:$B$207="Challan")*'Q4 Data'!$F$4:$F$207))</f>
      </c>
      <c r="AR58" s="34">
        <f>IF(OR($B58&lt;&gt;"Entry",Z58=""),FALSE,AND((SUMPRODUCT(('Q1 Data'!$D$4:$D$207=D58)*('Q1 Data'!$B$4:$B$207="Challan")*('Q1 Data'!$H$4:$H$207&lt;&gt;""))+SUMPRODUCT(('Q2 Data'!$D$4:$D$207=D58)*('Q2 Data'!$B$4:$B$207="Challan")*('Q2 Data'!$H$4:$H$207&lt;&gt;""))+SUMPRODUCT(('Q3 Data'!$D$4:$D$207=D58)*('Q3 Data'!$B$4:$B$207="Challan")*('Q3 Data'!$H$4:$H$207&lt;&gt;""))+SUMPRODUCT(('Q4 Data'!$D$4:$D$207=D58)*('Q4 Data'!$B$4:$B$207="Challan")*('Q4 Data'!$H$4:$H$207&lt;&gt;"")))&gt;0,(SUMPRODUCT(('Q1 Data'!$D$4:$D$207=D58)*('Q1 Data'!$B$4:$B$207="Challan")*('Q1 Data'!$H$4:$H$207=Z58))+SUMPRODUCT(('Q2 Data'!$D$4:$D$207=D58)*('Q2 Data'!$B$4:$B$207="Challan")*('Q2 Data'!$H$4:$H$207=Z58))+SUMPRODUCT(('Q3 Data'!$D$4:$D$207=D58)*('Q3 Data'!$B$4:$B$207="Challan")*('Q3 Data'!$H$4:$H$207=Z58))+SUMPRODUCT(('Q4 Data'!$D$4:$D$207=D58)*('Q4 Data'!$B$4:$B$207="Challan")*('Q4 Data'!$H$4:$H$207=Z58)))=0))</f>
      </c>
    </row>
    <row r="59" spans="1:44" x14ac:dyDescent="0.25">
      <c r="A59" s="20">
        <f>IF($B59="Entry",COUNTIF($B$4:$B59,"Entry"),"")</f>
      </c>
      <c r="B59" s="21"/>
      <c r="C59" s="22"/>
      <c r="D59" s="22"/>
      <c r="E59" s="23">
        <f>IF($B59&lt;&gt;"Challan","",IF(ROUND(AN59-AO59,2)&gt;0,"Over-applied",IF(ROUND(AN59-AO59,2)=0,"Fully Utilised","Unconsumed")))</f>
      </c>
      <c r="F59" s="24"/>
      <c r="G59" s="25"/>
      <c r="H59" s="25"/>
      <c r="I59" s="26"/>
      <c r="J59" s="26"/>
      <c r="K59" s="26"/>
      <c r="L59" s="26"/>
      <c r="M59" s="26"/>
      <c r="N59" s="26"/>
      <c r="O59" s="26"/>
      <c r="P59" s="27">
        <f>IF($B59&lt;&gt;"Challan","",I59+J59+K59+L59+M59+N59)</f>
      </c>
      <c r="Q59" s="25"/>
      <c r="R59" s="25"/>
      <c r="S59" s="25"/>
      <c r="T59" s="25"/>
      <c r="U59" s="25"/>
      <c r="V59" s="28"/>
      <c r="W59" s="28"/>
      <c r="X59" s="23">
        <f>IF($B59="Entry",IF(AND(LEN(TRIM(UPPER(W59)))=10,CODE(MID(TRIM(UPPER(W59)),1,1))&gt;=65,CODE(MID(TRIM(UPPER(W59)),1,1))&lt;=90,CODE(MID(TRIM(UPPER(W59)),2,1))&gt;=65,CODE(MID(TRIM(UPPER(W59)),2,1))&lt;=90,CODE(MID(TRIM(UPPER(W59)),3,1))&gt;=65,CODE(MID(TRIM(UPPER(W59)),3,1))&lt;=90,CODE(MID(TRIM(UPPER(W59)),4,1))&gt;=65,CODE(MID(TRIM(UPPER(W59)),4,1))&lt;=90,CODE(MID(TRIM(UPPER(W59)),5,1))&gt;=65,CODE(MID(TRIM(UPPER(W59)),5,1))&lt;=90,CODE(MID(TRIM(UPPER(W59)),10,1))&gt;=65,CODE(MID(TRIM(UPPER(W59)),10,1))&lt;=90,CODE(MID(TRIM(UPPER(W59)),6,1))&gt;=48,CODE(MID(TRIM(UPPER(W59)),6,1))&lt;=57,CODE(MID(TRIM(UPPER(W59)),7,1))&gt;=48,CODE(MID(TRIM(UPPER(W59)),7,1))&lt;=57,CODE(MID(TRIM(UPPER(W59)),8,1))&gt;=48,CODE(MID(TRIM(UPPER(W59)),8,1))&lt;=57,CODE(MID(TRIM(UPPER(W59)),9,1))&gt;=48,CODE(MID(TRIM(UPPER(W59)),9,1))&lt;=57),"N","Y"),IF($B59="Challan","",IF(W59&lt;&gt;"","◄ Set Row Type","")))</f>
      </c>
      <c r="Y59" s="23">
        <f>IF($B59="Entry",IF(LEN(W59)&lt;4,"",IF(UPPER(MID(W59,4,1))="P","Individual",IF(UPPER(MID(W59,4,1))="H","HUF",IF(UPPER(MID(W59,4,1))="C","Company",IF(UPPER(MID(W59,4,1))="F","Firm",IF(UPPER(MID(W59,4,1))="L","LLP",IF(UPPER(MID(W59,4,1))="T","Trust",IF(UPPER(MID(W59,4,1))="A","AOP","")))))))),IF($B59="Challan","",IF(W59&lt;&gt;"","◄ Set Row Type","")))</f>
      </c>
      <c r="Z59" s="28"/>
      <c r="AA59" s="29">
        <f>IF($B59&lt;&gt;"Entry","",IF(Z59="","",IF(X59="Y",SUMPRODUCT(('Rate Lookup'!$A$1:$A$37=Z59)*'Rate Lookup'!$D$1:$D$37),IF(OR(Y59="Individual",Y59="HUF"),SUMPRODUCT(('Rate Lookup'!$A$1:$A$37=Z59)*'Rate Lookup'!$B$1:$B$37),SUMPRODUCT(('Rate Lookup'!$A$1:$A$37=Z59)*'Rate Lookup'!$C$1:$C$37)))))</f>
      </c>
      <c r="AB59" s="30"/>
      <c r="AC59" s="31"/>
      <c r="AD59" s="27">
        <f>IF($B59&lt;&gt;"Entry","",ROUND(AC59*AA59/100,0))</f>
      </c>
      <c r="AE59" s="27">
        <f>IF($B59&lt;&gt;"Entry","",0)</f>
      </c>
      <c r="AF59" s="27">
        <f>IF($B59&lt;&gt;"Entry","",0)</f>
      </c>
      <c r="AG59" s="27">
        <f>IF($B59&lt;&gt;"Entry","",IF(OR(AD59=0,AB59="",AQ59="",AQ59&lt;=0),0,IF(AQ59&lt;=DATE(YEAR(AB59),MONTH(AB59)+1,7),0,ROUND(AD59*0.015*((YEAR(AQ59)-YEAR(AB59))*12+(MONTH(AQ59)-MONTH(AB59))+1),0))))</f>
      </c>
      <c r="AH59" s="27">
        <f>IF($B59&lt;&gt;"Entry","",0)</f>
      </c>
      <c r="AI59" s="28"/>
      <c r="AJ59" s="28"/>
      <c r="AK59" s="32"/>
      <c r="AL59" s="28"/>
      <c r="AM59" s="28"/>
      <c r="AN59" s="27">
        <f>IF($B59&lt;&gt;"Challan","",SUMIF('Q1 Data'!$D$4:$D$207,D59,'Q1 Data'!$AD$4:$AD$207)+SUMIF('Q1 Data'!$D$4:$D$207,D59,'Q1 Data'!$AG$4:$AG$207)+SUMIF('Q1 Data'!$D$4:$D$207,D59,'Q1 Data'!$AE$4:$AE$207)+SUMIF('Q2 Data'!$D$4:$D$207,D59,'Q2 Data'!$AD$4:$AD$207)+SUMIF('Q2 Data'!$D$4:$D$207,D59,'Q2 Data'!$AG$4:$AG$207)+SUMIF('Q2 Data'!$D$4:$D$207,D59,'Q2 Data'!$AE$4:$AE$207)+SUMIF('Q3 Data'!$D$4:$D$207,D59,'Q3 Data'!$AD$4:$AD$207)+SUMIF('Q3 Data'!$D$4:$D$207,D59,'Q3 Data'!$AG$4:$AG$207)+SUMIF('Q3 Data'!$D$4:$D$207,D59,'Q3 Data'!$AE$4:$AE$207)+SUMIF('Q4 Data'!$D$4:$D$207,D59,'Q4 Data'!$AD$4:$AD$207)+SUMIF('Q4 Data'!$D$4:$D$207,D59,'Q4 Data'!$AG$4:$AG$207)+SUMIF('Q4 Data'!$D$4:$D$207,D59,'Q4 Data'!$AE$4:$AE$207))</f>
      </c>
      <c r="AO59" s="27">
        <f>IF($B59&lt;&gt;"Challan","",P59-N59)</f>
      </c>
      <c r="AP59" s="27">
        <f>IF($B59&lt;&gt;"Challan","",MAX(0,AO59-AN59))</f>
      </c>
      <c r="AQ59" s="33">
        <f>IF($B59&lt;&gt;"Entry","",SUMPRODUCT(('Q1 Data'!$D$4:$D$207=D59)*('Q1 Data'!$B$4:$B$207="Challan")*'Q1 Data'!$F$4:$F$207)+SUMPRODUCT(('Q2 Data'!$D$4:$D$207=D59)*('Q2 Data'!$B$4:$B$207="Challan")*'Q2 Data'!$F$4:$F$207)+SUMPRODUCT(('Q3 Data'!$D$4:$D$207=D59)*('Q3 Data'!$B$4:$B$207="Challan")*'Q3 Data'!$F$4:$F$207)+SUMPRODUCT(('Q4 Data'!$D$4:$D$207=D59)*('Q4 Data'!$B$4:$B$207="Challan")*'Q4 Data'!$F$4:$F$207))</f>
      </c>
      <c r="AR59" s="34">
        <f>IF(OR($B59&lt;&gt;"Entry",Z59=""),FALSE,AND((SUMPRODUCT(('Q1 Data'!$D$4:$D$207=D59)*('Q1 Data'!$B$4:$B$207="Challan")*('Q1 Data'!$H$4:$H$207&lt;&gt;""))+SUMPRODUCT(('Q2 Data'!$D$4:$D$207=D59)*('Q2 Data'!$B$4:$B$207="Challan")*('Q2 Data'!$H$4:$H$207&lt;&gt;""))+SUMPRODUCT(('Q3 Data'!$D$4:$D$207=D59)*('Q3 Data'!$B$4:$B$207="Challan")*('Q3 Data'!$H$4:$H$207&lt;&gt;""))+SUMPRODUCT(('Q4 Data'!$D$4:$D$207=D59)*('Q4 Data'!$B$4:$B$207="Challan")*('Q4 Data'!$H$4:$H$207&lt;&gt;"")))&gt;0,(SUMPRODUCT(('Q1 Data'!$D$4:$D$207=D59)*('Q1 Data'!$B$4:$B$207="Challan")*('Q1 Data'!$H$4:$H$207=Z59))+SUMPRODUCT(('Q2 Data'!$D$4:$D$207=D59)*('Q2 Data'!$B$4:$B$207="Challan")*('Q2 Data'!$H$4:$H$207=Z59))+SUMPRODUCT(('Q3 Data'!$D$4:$D$207=D59)*('Q3 Data'!$B$4:$B$207="Challan")*('Q3 Data'!$H$4:$H$207=Z59))+SUMPRODUCT(('Q4 Data'!$D$4:$D$207=D59)*('Q4 Data'!$B$4:$B$207="Challan")*('Q4 Data'!$H$4:$H$207=Z59)))=0))</f>
      </c>
    </row>
    <row r="60" spans="1:44" x14ac:dyDescent="0.25">
      <c r="A60" s="20">
        <f>IF($B60="Entry",COUNTIF($B$4:$B60,"Entry"),"")</f>
      </c>
      <c r="B60" s="21"/>
      <c r="C60" s="22"/>
      <c r="D60" s="22"/>
      <c r="E60" s="23">
        <f>IF($B60&lt;&gt;"Challan","",IF(ROUND(AN60-AO60,2)&gt;0,"Over-applied",IF(ROUND(AN60-AO60,2)=0,"Fully Utilised","Unconsumed")))</f>
      </c>
      <c r="F60" s="24"/>
      <c r="G60" s="25"/>
      <c r="H60" s="25"/>
      <c r="I60" s="26"/>
      <c r="J60" s="26"/>
      <c r="K60" s="26"/>
      <c r="L60" s="26"/>
      <c r="M60" s="26"/>
      <c r="N60" s="26"/>
      <c r="O60" s="26"/>
      <c r="P60" s="27">
        <f>IF($B60&lt;&gt;"Challan","",I60+J60+K60+L60+M60+N60)</f>
      </c>
      <c r="Q60" s="25"/>
      <c r="R60" s="25"/>
      <c r="S60" s="25"/>
      <c r="T60" s="25"/>
      <c r="U60" s="25"/>
      <c r="V60" s="28"/>
      <c r="W60" s="28"/>
      <c r="X60" s="23">
        <f>IF($B60="Entry",IF(AND(LEN(TRIM(UPPER(W60)))=10,CODE(MID(TRIM(UPPER(W60)),1,1))&gt;=65,CODE(MID(TRIM(UPPER(W60)),1,1))&lt;=90,CODE(MID(TRIM(UPPER(W60)),2,1))&gt;=65,CODE(MID(TRIM(UPPER(W60)),2,1))&lt;=90,CODE(MID(TRIM(UPPER(W60)),3,1))&gt;=65,CODE(MID(TRIM(UPPER(W60)),3,1))&lt;=90,CODE(MID(TRIM(UPPER(W60)),4,1))&gt;=65,CODE(MID(TRIM(UPPER(W60)),4,1))&lt;=90,CODE(MID(TRIM(UPPER(W60)),5,1))&gt;=65,CODE(MID(TRIM(UPPER(W60)),5,1))&lt;=90,CODE(MID(TRIM(UPPER(W60)),10,1))&gt;=65,CODE(MID(TRIM(UPPER(W60)),10,1))&lt;=90,CODE(MID(TRIM(UPPER(W60)),6,1))&gt;=48,CODE(MID(TRIM(UPPER(W60)),6,1))&lt;=57,CODE(MID(TRIM(UPPER(W60)),7,1))&gt;=48,CODE(MID(TRIM(UPPER(W60)),7,1))&lt;=57,CODE(MID(TRIM(UPPER(W60)),8,1))&gt;=48,CODE(MID(TRIM(UPPER(W60)),8,1))&lt;=57,CODE(MID(TRIM(UPPER(W60)),9,1))&gt;=48,CODE(MID(TRIM(UPPER(W60)),9,1))&lt;=57),"N","Y"),IF($B60="Challan","",IF(W60&lt;&gt;"","◄ Set Row Type","")))</f>
      </c>
      <c r="Y60" s="23">
        <f>IF($B60="Entry",IF(LEN(W60)&lt;4,"",IF(UPPER(MID(W60,4,1))="P","Individual",IF(UPPER(MID(W60,4,1))="H","HUF",IF(UPPER(MID(W60,4,1))="C","Company",IF(UPPER(MID(W60,4,1))="F","Firm",IF(UPPER(MID(W60,4,1))="L","LLP",IF(UPPER(MID(W60,4,1))="T","Trust",IF(UPPER(MID(W60,4,1))="A","AOP","")))))))),IF($B60="Challan","",IF(W60&lt;&gt;"","◄ Set Row Type","")))</f>
      </c>
      <c r="Z60" s="28"/>
      <c r="AA60" s="29">
        <f>IF($B60&lt;&gt;"Entry","",IF(Z60="","",IF(X60="Y",SUMPRODUCT(('Rate Lookup'!$A$1:$A$37=Z60)*'Rate Lookup'!$D$1:$D$37),IF(OR(Y60="Individual",Y60="HUF"),SUMPRODUCT(('Rate Lookup'!$A$1:$A$37=Z60)*'Rate Lookup'!$B$1:$B$37),SUMPRODUCT(('Rate Lookup'!$A$1:$A$37=Z60)*'Rate Lookup'!$C$1:$C$37)))))</f>
      </c>
      <c r="AB60" s="30"/>
      <c r="AC60" s="31"/>
      <c r="AD60" s="27">
        <f>IF($B60&lt;&gt;"Entry","",ROUND(AC60*AA60/100,0))</f>
      </c>
      <c r="AE60" s="27">
        <f>IF($B60&lt;&gt;"Entry","",0)</f>
      </c>
      <c r="AF60" s="27">
        <f>IF($B60&lt;&gt;"Entry","",0)</f>
      </c>
      <c r="AG60" s="27">
        <f>IF($B60&lt;&gt;"Entry","",IF(OR(AD60=0,AB60="",AQ60="",AQ60&lt;=0),0,IF(AQ60&lt;=DATE(YEAR(AB60),MONTH(AB60)+1,7),0,ROUND(AD60*0.015*((YEAR(AQ60)-YEAR(AB60))*12+(MONTH(AQ60)-MONTH(AB60))+1),0))))</f>
      </c>
      <c r="AH60" s="27">
        <f>IF($B60&lt;&gt;"Entry","",0)</f>
      </c>
      <c r="AI60" s="28"/>
      <c r="AJ60" s="28"/>
      <c r="AK60" s="32"/>
      <c r="AL60" s="28"/>
      <c r="AM60" s="28"/>
      <c r="AN60" s="27">
        <f>IF($B60&lt;&gt;"Challan","",SUMIF('Q1 Data'!$D$4:$D$207,D60,'Q1 Data'!$AD$4:$AD$207)+SUMIF('Q1 Data'!$D$4:$D$207,D60,'Q1 Data'!$AG$4:$AG$207)+SUMIF('Q1 Data'!$D$4:$D$207,D60,'Q1 Data'!$AE$4:$AE$207)+SUMIF('Q2 Data'!$D$4:$D$207,D60,'Q2 Data'!$AD$4:$AD$207)+SUMIF('Q2 Data'!$D$4:$D$207,D60,'Q2 Data'!$AG$4:$AG$207)+SUMIF('Q2 Data'!$D$4:$D$207,D60,'Q2 Data'!$AE$4:$AE$207)+SUMIF('Q3 Data'!$D$4:$D$207,D60,'Q3 Data'!$AD$4:$AD$207)+SUMIF('Q3 Data'!$D$4:$D$207,D60,'Q3 Data'!$AG$4:$AG$207)+SUMIF('Q3 Data'!$D$4:$D$207,D60,'Q3 Data'!$AE$4:$AE$207)+SUMIF('Q4 Data'!$D$4:$D$207,D60,'Q4 Data'!$AD$4:$AD$207)+SUMIF('Q4 Data'!$D$4:$D$207,D60,'Q4 Data'!$AG$4:$AG$207)+SUMIF('Q4 Data'!$D$4:$D$207,D60,'Q4 Data'!$AE$4:$AE$207))</f>
      </c>
      <c r="AO60" s="27">
        <f>IF($B60&lt;&gt;"Challan","",P60-N60)</f>
      </c>
      <c r="AP60" s="27">
        <f>IF($B60&lt;&gt;"Challan","",MAX(0,AO60-AN60))</f>
      </c>
      <c r="AQ60" s="33">
        <f>IF($B60&lt;&gt;"Entry","",SUMPRODUCT(('Q1 Data'!$D$4:$D$207=D60)*('Q1 Data'!$B$4:$B$207="Challan")*'Q1 Data'!$F$4:$F$207)+SUMPRODUCT(('Q2 Data'!$D$4:$D$207=D60)*('Q2 Data'!$B$4:$B$207="Challan")*'Q2 Data'!$F$4:$F$207)+SUMPRODUCT(('Q3 Data'!$D$4:$D$207=D60)*('Q3 Data'!$B$4:$B$207="Challan")*'Q3 Data'!$F$4:$F$207)+SUMPRODUCT(('Q4 Data'!$D$4:$D$207=D60)*('Q4 Data'!$B$4:$B$207="Challan")*'Q4 Data'!$F$4:$F$207))</f>
      </c>
      <c r="AR60" s="34">
        <f>IF(OR($B60&lt;&gt;"Entry",Z60=""),FALSE,AND((SUMPRODUCT(('Q1 Data'!$D$4:$D$207=D60)*('Q1 Data'!$B$4:$B$207="Challan")*('Q1 Data'!$H$4:$H$207&lt;&gt;""))+SUMPRODUCT(('Q2 Data'!$D$4:$D$207=D60)*('Q2 Data'!$B$4:$B$207="Challan")*('Q2 Data'!$H$4:$H$207&lt;&gt;""))+SUMPRODUCT(('Q3 Data'!$D$4:$D$207=D60)*('Q3 Data'!$B$4:$B$207="Challan")*('Q3 Data'!$H$4:$H$207&lt;&gt;""))+SUMPRODUCT(('Q4 Data'!$D$4:$D$207=D60)*('Q4 Data'!$B$4:$B$207="Challan")*('Q4 Data'!$H$4:$H$207&lt;&gt;"")))&gt;0,(SUMPRODUCT(('Q1 Data'!$D$4:$D$207=D60)*('Q1 Data'!$B$4:$B$207="Challan")*('Q1 Data'!$H$4:$H$207=Z60))+SUMPRODUCT(('Q2 Data'!$D$4:$D$207=D60)*('Q2 Data'!$B$4:$B$207="Challan")*('Q2 Data'!$H$4:$H$207=Z60))+SUMPRODUCT(('Q3 Data'!$D$4:$D$207=D60)*('Q3 Data'!$B$4:$B$207="Challan")*('Q3 Data'!$H$4:$H$207=Z60))+SUMPRODUCT(('Q4 Data'!$D$4:$D$207=D60)*('Q4 Data'!$B$4:$B$207="Challan")*('Q4 Data'!$H$4:$H$207=Z60)))=0))</f>
      </c>
    </row>
    <row r="61" spans="1:44" x14ac:dyDescent="0.25">
      <c r="A61" s="20">
        <f>IF($B61="Entry",COUNTIF($B$4:$B61,"Entry"),"")</f>
      </c>
      <c r="B61" s="21"/>
      <c r="C61" s="22"/>
      <c r="D61" s="22"/>
      <c r="E61" s="23">
        <f>IF($B61&lt;&gt;"Challan","",IF(ROUND(AN61-AO61,2)&gt;0,"Over-applied",IF(ROUND(AN61-AO61,2)=0,"Fully Utilised","Unconsumed")))</f>
      </c>
      <c r="F61" s="24"/>
      <c r="G61" s="25"/>
      <c r="H61" s="25"/>
      <c r="I61" s="26"/>
      <c r="J61" s="26"/>
      <c r="K61" s="26"/>
      <c r="L61" s="26"/>
      <c r="M61" s="26"/>
      <c r="N61" s="26"/>
      <c r="O61" s="26"/>
      <c r="P61" s="27">
        <f>IF($B61&lt;&gt;"Challan","",I61+J61+K61+L61+M61+N61)</f>
      </c>
      <c r="Q61" s="25"/>
      <c r="R61" s="25"/>
      <c r="S61" s="25"/>
      <c r="T61" s="25"/>
      <c r="U61" s="25"/>
      <c r="V61" s="28"/>
      <c r="W61" s="28"/>
      <c r="X61" s="23">
        <f>IF($B61="Entry",IF(AND(LEN(TRIM(UPPER(W61)))=10,CODE(MID(TRIM(UPPER(W61)),1,1))&gt;=65,CODE(MID(TRIM(UPPER(W61)),1,1))&lt;=90,CODE(MID(TRIM(UPPER(W61)),2,1))&gt;=65,CODE(MID(TRIM(UPPER(W61)),2,1))&lt;=90,CODE(MID(TRIM(UPPER(W61)),3,1))&gt;=65,CODE(MID(TRIM(UPPER(W61)),3,1))&lt;=90,CODE(MID(TRIM(UPPER(W61)),4,1))&gt;=65,CODE(MID(TRIM(UPPER(W61)),4,1))&lt;=90,CODE(MID(TRIM(UPPER(W61)),5,1))&gt;=65,CODE(MID(TRIM(UPPER(W61)),5,1))&lt;=90,CODE(MID(TRIM(UPPER(W61)),10,1))&gt;=65,CODE(MID(TRIM(UPPER(W61)),10,1))&lt;=90,CODE(MID(TRIM(UPPER(W61)),6,1))&gt;=48,CODE(MID(TRIM(UPPER(W61)),6,1))&lt;=57,CODE(MID(TRIM(UPPER(W61)),7,1))&gt;=48,CODE(MID(TRIM(UPPER(W61)),7,1))&lt;=57,CODE(MID(TRIM(UPPER(W61)),8,1))&gt;=48,CODE(MID(TRIM(UPPER(W61)),8,1))&lt;=57,CODE(MID(TRIM(UPPER(W61)),9,1))&gt;=48,CODE(MID(TRIM(UPPER(W61)),9,1))&lt;=57),"N","Y"),IF($B61="Challan","",IF(W61&lt;&gt;"","◄ Set Row Type","")))</f>
      </c>
      <c r="Y61" s="23">
        <f>IF($B61="Entry",IF(LEN(W61)&lt;4,"",IF(UPPER(MID(W61,4,1))="P","Individual",IF(UPPER(MID(W61,4,1))="H","HUF",IF(UPPER(MID(W61,4,1))="C","Company",IF(UPPER(MID(W61,4,1))="F","Firm",IF(UPPER(MID(W61,4,1))="L","LLP",IF(UPPER(MID(W61,4,1))="T","Trust",IF(UPPER(MID(W61,4,1))="A","AOP","")))))))),IF($B61="Challan","",IF(W61&lt;&gt;"","◄ Set Row Type","")))</f>
      </c>
      <c r="Z61" s="28"/>
      <c r="AA61" s="29">
        <f>IF($B61&lt;&gt;"Entry","",IF(Z61="","",IF(X61="Y",SUMPRODUCT(('Rate Lookup'!$A$1:$A$37=Z61)*'Rate Lookup'!$D$1:$D$37),IF(OR(Y61="Individual",Y61="HUF"),SUMPRODUCT(('Rate Lookup'!$A$1:$A$37=Z61)*'Rate Lookup'!$B$1:$B$37),SUMPRODUCT(('Rate Lookup'!$A$1:$A$37=Z61)*'Rate Lookup'!$C$1:$C$37)))))</f>
      </c>
      <c r="AB61" s="30"/>
      <c r="AC61" s="31"/>
      <c r="AD61" s="27">
        <f>IF($B61&lt;&gt;"Entry","",ROUND(AC61*AA61/100,0))</f>
      </c>
      <c r="AE61" s="27">
        <f>IF($B61&lt;&gt;"Entry","",0)</f>
      </c>
      <c r="AF61" s="27">
        <f>IF($B61&lt;&gt;"Entry","",0)</f>
      </c>
      <c r="AG61" s="27">
        <f>IF($B61&lt;&gt;"Entry","",IF(OR(AD61=0,AB61="",AQ61="",AQ61&lt;=0),0,IF(AQ61&lt;=DATE(YEAR(AB61),MONTH(AB61)+1,7),0,ROUND(AD61*0.015*((YEAR(AQ61)-YEAR(AB61))*12+(MONTH(AQ61)-MONTH(AB61))+1),0))))</f>
      </c>
      <c r="AH61" s="27">
        <f>IF($B61&lt;&gt;"Entry","",0)</f>
      </c>
      <c r="AI61" s="28"/>
      <c r="AJ61" s="28"/>
      <c r="AK61" s="32"/>
      <c r="AL61" s="28"/>
      <c r="AM61" s="28"/>
      <c r="AN61" s="27">
        <f>IF($B61&lt;&gt;"Challan","",SUMIF('Q1 Data'!$D$4:$D$207,D61,'Q1 Data'!$AD$4:$AD$207)+SUMIF('Q1 Data'!$D$4:$D$207,D61,'Q1 Data'!$AG$4:$AG$207)+SUMIF('Q1 Data'!$D$4:$D$207,D61,'Q1 Data'!$AE$4:$AE$207)+SUMIF('Q2 Data'!$D$4:$D$207,D61,'Q2 Data'!$AD$4:$AD$207)+SUMIF('Q2 Data'!$D$4:$D$207,D61,'Q2 Data'!$AG$4:$AG$207)+SUMIF('Q2 Data'!$D$4:$D$207,D61,'Q2 Data'!$AE$4:$AE$207)+SUMIF('Q3 Data'!$D$4:$D$207,D61,'Q3 Data'!$AD$4:$AD$207)+SUMIF('Q3 Data'!$D$4:$D$207,D61,'Q3 Data'!$AG$4:$AG$207)+SUMIF('Q3 Data'!$D$4:$D$207,D61,'Q3 Data'!$AE$4:$AE$207)+SUMIF('Q4 Data'!$D$4:$D$207,D61,'Q4 Data'!$AD$4:$AD$207)+SUMIF('Q4 Data'!$D$4:$D$207,D61,'Q4 Data'!$AG$4:$AG$207)+SUMIF('Q4 Data'!$D$4:$D$207,D61,'Q4 Data'!$AE$4:$AE$207))</f>
      </c>
      <c r="AO61" s="27">
        <f>IF($B61&lt;&gt;"Challan","",P61-N61)</f>
      </c>
      <c r="AP61" s="27">
        <f>IF($B61&lt;&gt;"Challan","",MAX(0,AO61-AN61))</f>
      </c>
      <c r="AQ61" s="33">
        <f>IF($B61&lt;&gt;"Entry","",SUMPRODUCT(('Q1 Data'!$D$4:$D$207=D61)*('Q1 Data'!$B$4:$B$207="Challan")*'Q1 Data'!$F$4:$F$207)+SUMPRODUCT(('Q2 Data'!$D$4:$D$207=D61)*('Q2 Data'!$B$4:$B$207="Challan")*'Q2 Data'!$F$4:$F$207)+SUMPRODUCT(('Q3 Data'!$D$4:$D$207=D61)*('Q3 Data'!$B$4:$B$207="Challan")*'Q3 Data'!$F$4:$F$207)+SUMPRODUCT(('Q4 Data'!$D$4:$D$207=D61)*('Q4 Data'!$B$4:$B$207="Challan")*'Q4 Data'!$F$4:$F$207))</f>
      </c>
      <c r="AR61" s="34">
        <f>IF(OR($B61&lt;&gt;"Entry",Z61=""),FALSE,AND((SUMPRODUCT(('Q1 Data'!$D$4:$D$207=D61)*('Q1 Data'!$B$4:$B$207="Challan")*('Q1 Data'!$H$4:$H$207&lt;&gt;""))+SUMPRODUCT(('Q2 Data'!$D$4:$D$207=D61)*('Q2 Data'!$B$4:$B$207="Challan")*('Q2 Data'!$H$4:$H$207&lt;&gt;""))+SUMPRODUCT(('Q3 Data'!$D$4:$D$207=D61)*('Q3 Data'!$B$4:$B$207="Challan")*('Q3 Data'!$H$4:$H$207&lt;&gt;""))+SUMPRODUCT(('Q4 Data'!$D$4:$D$207=D61)*('Q4 Data'!$B$4:$B$207="Challan")*('Q4 Data'!$H$4:$H$207&lt;&gt;"")))&gt;0,(SUMPRODUCT(('Q1 Data'!$D$4:$D$207=D61)*('Q1 Data'!$B$4:$B$207="Challan")*('Q1 Data'!$H$4:$H$207=Z61))+SUMPRODUCT(('Q2 Data'!$D$4:$D$207=D61)*('Q2 Data'!$B$4:$B$207="Challan")*('Q2 Data'!$H$4:$H$207=Z61))+SUMPRODUCT(('Q3 Data'!$D$4:$D$207=D61)*('Q3 Data'!$B$4:$B$207="Challan")*('Q3 Data'!$H$4:$H$207=Z61))+SUMPRODUCT(('Q4 Data'!$D$4:$D$207=D61)*('Q4 Data'!$B$4:$B$207="Challan")*('Q4 Data'!$H$4:$H$207=Z61)))=0))</f>
      </c>
    </row>
    <row r="62" spans="1:44" x14ac:dyDescent="0.25">
      <c r="A62" s="20">
        <f>IF($B62="Entry",COUNTIF($B$4:$B62,"Entry"),"")</f>
      </c>
      <c r="B62" s="21"/>
      <c r="C62" s="22"/>
      <c r="D62" s="22"/>
      <c r="E62" s="23">
        <f>IF($B62&lt;&gt;"Challan","",IF(ROUND(AN62-AO62,2)&gt;0,"Over-applied",IF(ROUND(AN62-AO62,2)=0,"Fully Utilised","Unconsumed")))</f>
      </c>
      <c r="F62" s="24"/>
      <c r="G62" s="25"/>
      <c r="H62" s="25"/>
      <c r="I62" s="26"/>
      <c r="J62" s="26"/>
      <c r="K62" s="26"/>
      <c r="L62" s="26"/>
      <c r="M62" s="26"/>
      <c r="N62" s="26"/>
      <c r="O62" s="26"/>
      <c r="P62" s="27">
        <f>IF($B62&lt;&gt;"Challan","",I62+J62+K62+L62+M62+N62)</f>
      </c>
      <c r="Q62" s="25"/>
      <c r="R62" s="25"/>
      <c r="S62" s="25"/>
      <c r="T62" s="25"/>
      <c r="U62" s="25"/>
      <c r="V62" s="28"/>
      <c r="W62" s="28"/>
      <c r="X62" s="23">
        <f>IF($B62="Entry",IF(AND(LEN(TRIM(UPPER(W62)))=10,CODE(MID(TRIM(UPPER(W62)),1,1))&gt;=65,CODE(MID(TRIM(UPPER(W62)),1,1))&lt;=90,CODE(MID(TRIM(UPPER(W62)),2,1))&gt;=65,CODE(MID(TRIM(UPPER(W62)),2,1))&lt;=90,CODE(MID(TRIM(UPPER(W62)),3,1))&gt;=65,CODE(MID(TRIM(UPPER(W62)),3,1))&lt;=90,CODE(MID(TRIM(UPPER(W62)),4,1))&gt;=65,CODE(MID(TRIM(UPPER(W62)),4,1))&lt;=90,CODE(MID(TRIM(UPPER(W62)),5,1))&gt;=65,CODE(MID(TRIM(UPPER(W62)),5,1))&lt;=90,CODE(MID(TRIM(UPPER(W62)),10,1))&gt;=65,CODE(MID(TRIM(UPPER(W62)),10,1))&lt;=90,CODE(MID(TRIM(UPPER(W62)),6,1))&gt;=48,CODE(MID(TRIM(UPPER(W62)),6,1))&lt;=57,CODE(MID(TRIM(UPPER(W62)),7,1))&gt;=48,CODE(MID(TRIM(UPPER(W62)),7,1))&lt;=57,CODE(MID(TRIM(UPPER(W62)),8,1))&gt;=48,CODE(MID(TRIM(UPPER(W62)),8,1))&lt;=57,CODE(MID(TRIM(UPPER(W62)),9,1))&gt;=48,CODE(MID(TRIM(UPPER(W62)),9,1))&lt;=57),"N","Y"),IF($B62="Challan","",IF(W62&lt;&gt;"","◄ Set Row Type","")))</f>
      </c>
      <c r="Y62" s="23">
        <f>IF($B62="Entry",IF(LEN(W62)&lt;4,"",IF(UPPER(MID(W62,4,1))="P","Individual",IF(UPPER(MID(W62,4,1))="H","HUF",IF(UPPER(MID(W62,4,1))="C","Company",IF(UPPER(MID(W62,4,1))="F","Firm",IF(UPPER(MID(W62,4,1))="L","LLP",IF(UPPER(MID(W62,4,1))="T","Trust",IF(UPPER(MID(W62,4,1))="A","AOP","")))))))),IF($B62="Challan","",IF(W62&lt;&gt;"","◄ Set Row Type","")))</f>
      </c>
      <c r="Z62" s="28"/>
      <c r="AA62" s="29">
        <f>IF($B62&lt;&gt;"Entry","",IF(Z62="","",IF(X62="Y",SUMPRODUCT(('Rate Lookup'!$A$1:$A$37=Z62)*'Rate Lookup'!$D$1:$D$37),IF(OR(Y62="Individual",Y62="HUF"),SUMPRODUCT(('Rate Lookup'!$A$1:$A$37=Z62)*'Rate Lookup'!$B$1:$B$37),SUMPRODUCT(('Rate Lookup'!$A$1:$A$37=Z62)*'Rate Lookup'!$C$1:$C$37)))))</f>
      </c>
      <c r="AB62" s="30"/>
      <c r="AC62" s="31"/>
      <c r="AD62" s="27">
        <f>IF($B62&lt;&gt;"Entry","",ROUND(AC62*AA62/100,0))</f>
      </c>
      <c r="AE62" s="27">
        <f>IF($B62&lt;&gt;"Entry","",0)</f>
      </c>
      <c r="AF62" s="27">
        <f>IF($B62&lt;&gt;"Entry","",0)</f>
      </c>
      <c r="AG62" s="27">
        <f>IF($B62&lt;&gt;"Entry","",IF(OR(AD62=0,AB62="",AQ62="",AQ62&lt;=0),0,IF(AQ62&lt;=DATE(YEAR(AB62),MONTH(AB62)+1,7),0,ROUND(AD62*0.015*((YEAR(AQ62)-YEAR(AB62))*12+(MONTH(AQ62)-MONTH(AB62))+1),0))))</f>
      </c>
      <c r="AH62" s="27">
        <f>IF($B62&lt;&gt;"Entry","",0)</f>
      </c>
      <c r="AI62" s="28"/>
      <c r="AJ62" s="28"/>
      <c r="AK62" s="32"/>
      <c r="AL62" s="28"/>
      <c r="AM62" s="28"/>
      <c r="AN62" s="27">
        <f>IF($B62&lt;&gt;"Challan","",SUMIF('Q1 Data'!$D$4:$D$207,D62,'Q1 Data'!$AD$4:$AD$207)+SUMIF('Q1 Data'!$D$4:$D$207,D62,'Q1 Data'!$AG$4:$AG$207)+SUMIF('Q1 Data'!$D$4:$D$207,D62,'Q1 Data'!$AE$4:$AE$207)+SUMIF('Q2 Data'!$D$4:$D$207,D62,'Q2 Data'!$AD$4:$AD$207)+SUMIF('Q2 Data'!$D$4:$D$207,D62,'Q2 Data'!$AG$4:$AG$207)+SUMIF('Q2 Data'!$D$4:$D$207,D62,'Q2 Data'!$AE$4:$AE$207)+SUMIF('Q3 Data'!$D$4:$D$207,D62,'Q3 Data'!$AD$4:$AD$207)+SUMIF('Q3 Data'!$D$4:$D$207,D62,'Q3 Data'!$AG$4:$AG$207)+SUMIF('Q3 Data'!$D$4:$D$207,D62,'Q3 Data'!$AE$4:$AE$207)+SUMIF('Q4 Data'!$D$4:$D$207,D62,'Q4 Data'!$AD$4:$AD$207)+SUMIF('Q4 Data'!$D$4:$D$207,D62,'Q4 Data'!$AG$4:$AG$207)+SUMIF('Q4 Data'!$D$4:$D$207,D62,'Q4 Data'!$AE$4:$AE$207))</f>
      </c>
      <c r="AO62" s="27">
        <f>IF($B62&lt;&gt;"Challan","",P62-N62)</f>
      </c>
      <c r="AP62" s="27">
        <f>IF($B62&lt;&gt;"Challan","",MAX(0,AO62-AN62))</f>
      </c>
      <c r="AQ62" s="33">
        <f>IF($B62&lt;&gt;"Entry","",SUMPRODUCT(('Q1 Data'!$D$4:$D$207=D62)*('Q1 Data'!$B$4:$B$207="Challan")*'Q1 Data'!$F$4:$F$207)+SUMPRODUCT(('Q2 Data'!$D$4:$D$207=D62)*('Q2 Data'!$B$4:$B$207="Challan")*'Q2 Data'!$F$4:$F$207)+SUMPRODUCT(('Q3 Data'!$D$4:$D$207=D62)*('Q3 Data'!$B$4:$B$207="Challan")*'Q3 Data'!$F$4:$F$207)+SUMPRODUCT(('Q4 Data'!$D$4:$D$207=D62)*('Q4 Data'!$B$4:$B$207="Challan")*'Q4 Data'!$F$4:$F$207))</f>
      </c>
      <c r="AR62" s="34">
        <f>IF(OR($B62&lt;&gt;"Entry",Z62=""),FALSE,AND((SUMPRODUCT(('Q1 Data'!$D$4:$D$207=D62)*('Q1 Data'!$B$4:$B$207="Challan")*('Q1 Data'!$H$4:$H$207&lt;&gt;""))+SUMPRODUCT(('Q2 Data'!$D$4:$D$207=D62)*('Q2 Data'!$B$4:$B$207="Challan")*('Q2 Data'!$H$4:$H$207&lt;&gt;""))+SUMPRODUCT(('Q3 Data'!$D$4:$D$207=D62)*('Q3 Data'!$B$4:$B$207="Challan")*('Q3 Data'!$H$4:$H$207&lt;&gt;""))+SUMPRODUCT(('Q4 Data'!$D$4:$D$207=D62)*('Q4 Data'!$B$4:$B$207="Challan")*('Q4 Data'!$H$4:$H$207&lt;&gt;"")))&gt;0,(SUMPRODUCT(('Q1 Data'!$D$4:$D$207=D62)*('Q1 Data'!$B$4:$B$207="Challan")*('Q1 Data'!$H$4:$H$207=Z62))+SUMPRODUCT(('Q2 Data'!$D$4:$D$207=D62)*('Q2 Data'!$B$4:$B$207="Challan")*('Q2 Data'!$H$4:$H$207=Z62))+SUMPRODUCT(('Q3 Data'!$D$4:$D$207=D62)*('Q3 Data'!$B$4:$B$207="Challan")*('Q3 Data'!$H$4:$H$207=Z62))+SUMPRODUCT(('Q4 Data'!$D$4:$D$207=D62)*('Q4 Data'!$B$4:$B$207="Challan")*('Q4 Data'!$H$4:$H$207=Z62)))=0))</f>
      </c>
    </row>
    <row r="63" spans="1:44" x14ac:dyDescent="0.25">
      <c r="A63" s="20">
        <f>IF($B63="Entry",COUNTIF($B$4:$B63,"Entry"),"")</f>
      </c>
      <c r="B63" s="21"/>
      <c r="C63" s="22"/>
      <c r="D63" s="22"/>
      <c r="E63" s="23">
        <f>IF($B63&lt;&gt;"Challan","",IF(ROUND(AN63-AO63,2)&gt;0,"Over-applied",IF(ROUND(AN63-AO63,2)=0,"Fully Utilised","Unconsumed")))</f>
      </c>
      <c r="F63" s="24"/>
      <c r="G63" s="25"/>
      <c r="H63" s="25"/>
      <c r="I63" s="26"/>
      <c r="J63" s="26"/>
      <c r="K63" s="26"/>
      <c r="L63" s="26"/>
      <c r="M63" s="26"/>
      <c r="N63" s="26"/>
      <c r="O63" s="26"/>
      <c r="P63" s="27">
        <f>IF($B63&lt;&gt;"Challan","",I63+J63+K63+L63+M63+N63)</f>
      </c>
      <c r="Q63" s="25"/>
      <c r="R63" s="25"/>
      <c r="S63" s="25"/>
      <c r="T63" s="25"/>
      <c r="U63" s="25"/>
      <c r="V63" s="28"/>
      <c r="W63" s="28"/>
      <c r="X63" s="23">
        <f>IF($B63="Entry",IF(AND(LEN(TRIM(UPPER(W63)))=10,CODE(MID(TRIM(UPPER(W63)),1,1))&gt;=65,CODE(MID(TRIM(UPPER(W63)),1,1))&lt;=90,CODE(MID(TRIM(UPPER(W63)),2,1))&gt;=65,CODE(MID(TRIM(UPPER(W63)),2,1))&lt;=90,CODE(MID(TRIM(UPPER(W63)),3,1))&gt;=65,CODE(MID(TRIM(UPPER(W63)),3,1))&lt;=90,CODE(MID(TRIM(UPPER(W63)),4,1))&gt;=65,CODE(MID(TRIM(UPPER(W63)),4,1))&lt;=90,CODE(MID(TRIM(UPPER(W63)),5,1))&gt;=65,CODE(MID(TRIM(UPPER(W63)),5,1))&lt;=90,CODE(MID(TRIM(UPPER(W63)),10,1))&gt;=65,CODE(MID(TRIM(UPPER(W63)),10,1))&lt;=90,CODE(MID(TRIM(UPPER(W63)),6,1))&gt;=48,CODE(MID(TRIM(UPPER(W63)),6,1))&lt;=57,CODE(MID(TRIM(UPPER(W63)),7,1))&gt;=48,CODE(MID(TRIM(UPPER(W63)),7,1))&lt;=57,CODE(MID(TRIM(UPPER(W63)),8,1))&gt;=48,CODE(MID(TRIM(UPPER(W63)),8,1))&lt;=57,CODE(MID(TRIM(UPPER(W63)),9,1))&gt;=48,CODE(MID(TRIM(UPPER(W63)),9,1))&lt;=57),"N","Y"),IF($B63="Challan","",IF(W63&lt;&gt;"","◄ Set Row Type","")))</f>
      </c>
      <c r="Y63" s="23">
        <f>IF($B63="Entry",IF(LEN(W63)&lt;4,"",IF(UPPER(MID(W63,4,1))="P","Individual",IF(UPPER(MID(W63,4,1))="H","HUF",IF(UPPER(MID(W63,4,1))="C","Company",IF(UPPER(MID(W63,4,1))="F","Firm",IF(UPPER(MID(W63,4,1))="L","LLP",IF(UPPER(MID(W63,4,1))="T","Trust",IF(UPPER(MID(W63,4,1))="A","AOP","")))))))),IF($B63="Challan","",IF(W63&lt;&gt;"","◄ Set Row Type","")))</f>
      </c>
      <c r="Z63" s="28"/>
      <c r="AA63" s="29">
        <f>IF($B63&lt;&gt;"Entry","",IF(Z63="","",IF(X63="Y",SUMPRODUCT(('Rate Lookup'!$A$1:$A$37=Z63)*'Rate Lookup'!$D$1:$D$37),IF(OR(Y63="Individual",Y63="HUF"),SUMPRODUCT(('Rate Lookup'!$A$1:$A$37=Z63)*'Rate Lookup'!$B$1:$B$37),SUMPRODUCT(('Rate Lookup'!$A$1:$A$37=Z63)*'Rate Lookup'!$C$1:$C$37)))))</f>
      </c>
      <c r="AB63" s="30"/>
      <c r="AC63" s="31"/>
      <c r="AD63" s="27">
        <f>IF($B63&lt;&gt;"Entry","",ROUND(AC63*AA63/100,0))</f>
      </c>
      <c r="AE63" s="27">
        <f>IF($B63&lt;&gt;"Entry","",0)</f>
      </c>
      <c r="AF63" s="27">
        <f>IF($B63&lt;&gt;"Entry","",0)</f>
      </c>
      <c r="AG63" s="27">
        <f>IF($B63&lt;&gt;"Entry","",IF(OR(AD63=0,AB63="",AQ63="",AQ63&lt;=0),0,IF(AQ63&lt;=DATE(YEAR(AB63),MONTH(AB63)+1,7),0,ROUND(AD63*0.015*((YEAR(AQ63)-YEAR(AB63))*12+(MONTH(AQ63)-MONTH(AB63))+1),0))))</f>
      </c>
      <c r="AH63" s="27">
        <f>IF($B63&lt;&gt;"Entry","",0)</f>
      </c>
      <c r="AI63" s="28"/>
      <c r="AJ63" s="28"/>
      <c r="AK63" s="32"/>
      <c r="AL63" s="28"/>
      <c r="AM63" s="28"/>
      <c r="AN63" s="27">
        <f>IF($B63&lt;&gt;"Challan","",SUMIF('Q1 Data'!$D$4:$D$207,D63,'Q1 Data'!$AD$4:$AD$207)+SUMIF('Q1 Data'!$D$4:$D$207,D63,'Q1 Data'!$AG$4:$AG$207)+SUMIF('Q1 Data'!$D$4:$D$207,D63,'Q1 Data'!$AE$4:$AE$207)+SUMIF('Q2 Data'!$D$4:$D$207,D63,'Q2 Data'!$AD$4:$AD$207)+SUMIF('Q2 Data'!$D$4:$D$207,D63,'Q2 Data'!$AG$4:$AG$207)+SUMIF('Q2 Data'!$D$4:$D$207,D63,'Q2 Data'!$AE$4:$AE$207)+SUMIF('Q3 Data'!$D$4:$D$207,D63,'Q3 Data'!$AD$4:$AD$207)+SUMIF('Q3 Data'!$D$4:$D$207,D63,'Q3 Data'!$AG$4:$AG$207)+SUMIF('Q3 Data'!$D$4:$D$207,D63,'Q3 Data'!$AE$4:$AE$207)+SUMIF('Q4 Data'!$D$4:$D$207,D63,'Q4 Data'!$AD$4:$AD$207)+SUMIF('Q4 Data'!$D$4:$D$207,D63,'Q4 Data'!$AG$4:$AG$207)+SUMIF('Q4 Data'!$D$4:$D$207,D63,'Q4 Data'!$AE$4:$AE$207))</f>
      </c>
      <c r="AO63" s="27">
        <f>IF($B63&lt;&gt;"Challan","",P63-N63)</f>
      </c>
      <c r="AP63" s="27">
        <f>IF($B63&lt;&gt;"Challan","",MAX(0,AO63-AN63))</f>
      </c>
      <c r="AQ63" s="33">
        <f>IF($B63&lt;&gt;"Entry","",SUMPRODUCT(('Q1 Data'!$D$4:$D$207=D63)*('Q1 Data'!$B$4:$B$207="Challan")*'Q1 Data'!$F$4:$F$207)+SUMPRODUCT(('Q2 Data'!$D$4:$D$207=D63)*('Q2 Data'!$B$4:$B$207="Challan")*'Q2 Data'!$F$4:$F$207)+SUMPRODUCT(('Q3 Data'!$D$4:$D$207=D63)*('Q3 Data'!$B$4:$B$207="Challan")*'Q3 Data'!$F$4:$F$207)+SUMPRODUCT(('Q4 Data'!$D$4:$D$207=D63)*('Q4 Data'!$B$4:$B$207="Challan")*'Q4 Data'!$F$4:$F$207))</f>
      </c>
      <c r="AR63" s="34">
        <f>IF(OR($B63&lt;&gt;"Entry",Z63=""),FALSE,AND((SUMPRODUCT(('Q1 Data'!$D$4:$D$207=D63)*('Q1 Data'!$B$4:$B$207="Challan")*('Q1 Data'!$H$4:$H$207&lt;&gt;""))+SUMPRODUCT(('Q2 Data'!$D$4:$D$207=D63)*('Q2 Data'!$B$4:$B$207="Challan")*('Q2 Data'!$H$4:$H$207&lt;&gt;""))+SUMPRODUCT(('Q3 Data'!$D$4:$D$207=D63)*('Q3 Data'!$B$4:$B$207="Challan")*('Q3 Data'!$H$4:$H$207&lt;&gt;""))+SUMPRODUCT(('Q4 Data'!$D$4:$D$207=D63)*('Q4 Data'!$B$4:$B$207="Challan")*('Q4 Data'!$H$4:$H$207&lt;&gt;"")))&gt;0,(SUMPRODUCT(('Q1 Data'!$D$4:$D$207=D63)*('Q1 Data'!$B$4:$B$207="Challan")*('Q1 Data'!$H$4:$H$207=Z63))+SUMPRODUCT(('Q2 Data'!$D$4:$D$207=D63)*('Q2 Data'!$B$4:$B$207="Challan")*('Q2 Data'!$H$4:$H$207=Z63))+SUMPRODUCT(('Q3 Data'!$D$4:$D$207=D63)*('Q3 Data'!$B$4:$B$207="Challan")*('Q3 Data'!$H$4:$H$207=Z63))+SUMPRODUCT(('Q4 Data'!$D$4:$D$207=D63)*('Q4 Data'!$B$4:$B$207="Challan")*('Q4 Data'!$H$4:$H$207=Z63)))=0))</f>
      </c>
    </row>
    <row r="64" spans="1:44" x14ac:dyDescent="0.25">
      <c r="A64" s="20">
        <f>IF($B64="Entry",COUNTIF($B$4:$B64,"Entry"),"")</f>
      </c>
      <c r="B64" s="21"/>
      <c r="C64" s="22"/>
      <c r="D64" s="22"/>
      <c r="E64" s="23">
        <f>IF($B64&lt;&gt;"Challan","",IF(ROUND(AN64-AO64,2)&gt;0,"Over-applied",IF(ROUND(AN64-AO64,2)=0,"Fully Utilised","Unconsumed")))</f>
      </c>
      <c r="F64" s="24"/>
      <c r="G64" s="25"/>
      <c r="H64" s="25"/>
      <c r="I64" s="26"/>
      <c r="J64" s="26"/>
      <c r="K64" s="26"/>
      <c r="L64" s="26"/>
      <c r="M64" s="26"/>
      <c r="N64" s="26"/>
      <c r="O64" s="26"/>
      <c r="P64" s="27">
        <f>IF($B64&lt;&gt;"Challan","",I64+J64+K64+L64+M64+N64)</f>
      </c>
      <c r="Q64" s="25"/>
      <c r="R64" s="25"/>
      <c r="S64" s="25"/>
      <c r="T64" s="25"/>
      <c r="U64" s="25"/>
      <c r="V64" s="28"/>
      <c r="W64" s="28"/>
      <c r="X64" s="23">
        <f>IF($B64="Entry",IF(AND(LEN(TRIM(UPPER(W64)))=10,CODE(MID(TRIM(UPPER(W64)),1,1))&gt;=65,CODE(MID(TRIM(UPPER(W64)),1,1))&lt;=90,CODE(MID(TRIM(UPPER(W64)),2,1))&gt;=65,CODE(MID(TRIM(UPPER(W64)),2,1))&lt;=90,CODE(MID(TRIM(UPPER(W64)),3,1))&gt;=65,CODE(MID(TRIM(UPPER(W64)),3,1))&lt;=90,CODE(MID(TRIM(UPPER(W64)),4,1))&gt;=65,CODE(MID(TRIM(UPPER(W64)),4,1))&lt;=90,CODE(MID(TRIM(UPPER(W64)),5,1))&gt;=65,CODE(MID(TRIM(UPPER(W64)),5,1))&lt;=90,CODE(MID(TRIM(UPPER(W64)),10,1))&gt;=65,CODE(MID(TRIM(UPPER(W64)),10,1))&lt;=90,CODE(MID(TRIM(UPPER(W64)),6,1))&gt;=48,CODE(MID(TRIM(UPPER(W64)),6,1))&lt;=57,CODE(MID(TRIM(UPPER(W64)),7,1))&gt;=48,CODE(MID(TRIM(UPPER(W64)),7,1))&lt;=57,CODE(MID(TRIM(UPPER(W64)),8,1))&gt;=48,CODE(MID(TRIM(UPPER(W64)),8,1))&lt;=57,CODE(MID(TRIM(UPPER(W64)),9,1))&gt;=48,CODE(MID(TRIM(UPPER(W64)),9,1))&lt;=57),"N","Y"),IF($B64="Challan","",IF(W64&lt;&gt;"","◄ Set Row Type","")))</f>
      </c>
      <c r="Y64" s="23">
        <f>IF($B64="Entry",IF(LEN(W64)&lt;4,"",IF(UPPER(MID(W64,4,1))="P","Individual",IF(UPPER(MID(W64,4,1))="H","HUF",IF(UPPER(MID(W64,4,1))="C","Company",IF(UPPER(MID(W64,4,1))="F","Firm",IF(UPPER(MID(W64,4,1))="L","LLP",IF(UPPER(MID(W64,4,1))="T","Trust",IF(UPPER(MID(W64,4,1))="A","AOP","")))))))),IF($B64="Challan","",IF(W64&lt;&gt;"","◄ Set Row Type","")))</f>
      </c>
      <c r="Z64" s="28"/>
      <c r="AA64" s="29">
        <f>IF($B64&lt;&gt;"Entry","",IF(Z64="","",IF(X64="Y",SUMPRODUCT(('Rate Lookup'!$A$1:$A$37=Z64)*'Rate Lookup'!$D$1:$D$37),IF(OR(Y64="Individual",Y64="HUF"),SUMPRODUCT(('Rate Lookup'!$A$1:$A$37=Z64)*'Rate Lookup'!$B$1:$B$37),SUMPRODUCT(('Rate Lookup'!$A$1:$A$37=Z64)*'Rate Lookup'!$C$1:$C$37)))))</f>
      </c>
      <c r="AB64" s="30"/>
      <c r="AC64" s="31"/>
      <c r="AD64" s="27">
        <f>IF($B64&lt;&gt;"Entry","",ROUND(AC64*AA64/100,0))</f>
      </c>
      <c r="AE64" s="27">
        <f>IF($B64&lt;&gt;"Entry","",0)</f>
      </c>
      <c r="AF64" s="27">
        <f>IF($B64&lt;&gt;"Entry","",0)</f>
      </c>
      <c r="AG64" s="27">
        <f>IF($B64&lt;&gt;"Entry","",IF(OR(AD64=0,AB64="",AQ64="",AQ64&lt;=0),0,IF(AQ64&lt;=DATE(YEAR(AB64),MONTH(AB64)+1,7),0,ROUND(AD64*0.015*((YEAR(AQ64)-YEAR(AB64))*12+(MONTH(AQ64)-MONTH(AB64))+1),0))))</f>
      </c>
      <c r="AH64" s="27">
        <f>IF($B64&lt;&gt;"Entry","",0)</f>
      </c>
      <c r="AI64" s="28"/>
      <c r="AJ64" s="28"/>
      <c r="AK64" s="32"/>
      <c r="AL64" s="28"/>
      <c r="AM64" s="28"/>
      <c r="AN64" s="27">
        <f>IF($B64&lt;&gt;"Challan","",SUMIF('Q1 Data'!$D$4:$D$207,D64,'Q1 Data'!$AD$4:$AD$207)+SUMIF('Q1 Data'!$D$4:$D$207,D64,'Q1 Data'!$AG$4:$AG$207)+SUMIF('Q1 Data'!$D$4:$D$207,D64,'Q1 Data'!$AE$4:$AE$207)+SUMIF('Q2 Data'!$D$4:$D$207,D64,'Q2 Data'!$AD$4:$AD$207)+SUMIF('Q2 Data'!$D$4:$D$207,D64,'Q2 Data'!$AG$4:$AG$207)+SUMIF('Q2 Data'!$D$4:$D$207,D64,'Q2 Data'!$AE$4:$AE$207)+SUMIF('Q3 Data'!$D$4:$D$207,D64,'Q3 Data'!$AD$4:$AD$207)+SUMIF('Q3 Data'!$D$4:$D$207,D64,'Q3 Data'!$AG$4:$AG$207)+SUMIF('Q3 Data'!$D$4:$D$207,D64,'Q3 Data'!$AE$4:$AE$207)+SUMIF('Q4 Data'!$D$4:$D$207,D64,'Q4 Data'!$AD$4:$AD$207)+SUMIF('Q4 Data'!$D$4:$D$207,D64,'Q4 Data'!$AG$4:$AG$207)+SUMIF('Q4 Data'!$D$4:$D$207,D64,'Q4 Data'!$AE$4:$AE$207))</f>
      </c>
      <c r="AO64" s="27">
        <f>IF($B64&lt;&gt;"Challan","",P64-N64)</f>
      </c>
      <c r="AP64" s="27">
        <f>IF($B64&lt;&gt;"Challan","",MAX(0,AO64-AN64))</f>
      </c>
      <c r="AQ64" s="33">
        <f>IF($B64&lt;&gt;"Entry","",SUMPRODUCT(('Q1 Data'!$D$4:$D$207=D64)*('Q1 Data'!$B$4:$B$207="Challan")*'Q1 Data'!$F$4:$F$207)+SUMPRODUCT(('Q2 Data'!$D$4:$D$207=D64)*('Q2 Data'!$B$4:$B$207="Challan")*'Q2 Data'!$F$4:$F$207)+SUMPRODUCT(('Q3 Data'!$D$4:$D$207=D64)*('Q3 Data'!$B$4:$B$207="Challan")*'Q3 Data'!$F$4:$F$207)+SUMPRODUCT(('Q4 Data'!$D$4:$D$207=D64)*('Q4 Data'!$B$4:$B$207="Challan")*'Q4 Data'!$F$4:$F$207))</f>
      </c>
      <c r="AR64" s="34">
        <f>IF(OR($B64&lt;&gt;"Entry",Z64=""),FALSE,AND((SUMPRODUCT(('Q1 Data'!$D$4:$D$207=D64)*('Q1 Data'!$B$4:$B$207="Challan")*('Q1 Data'!$H$4:$H$207&lt;&gt;""))+SUMPRODUCT(('Q2 Data'!$D$4:$D$207=D64)*('Q2 Data'!$B$4:$B$207="Challan")*('Q2 Data'!$H$4:$H$207&lt;&gt;""))+SUMPRODUCT(('Q3 Data'!$D$4:$D$207=D64)*('Q3 Data'!$B$4:$B$207="Challan")*('Q3 Data'!$H$4:$H$207&lt;&gt;""))+SUMPRODUCT(('Q4 Data'!$D$4:$D$207=D64)*('Q4 Data'!$B$4:$B$207="Challan")*('Q4 Data'!$H$4:$H$207&lt;&gt;"")))&gt;0,(SUMPRODUCT(('Q1 Data'!$D$4:$D$207=D64)*('Q1 Data'!$B$4:$B$207="Challan")*('Q1 Data'!$H$4:$H$207=Z64))+SUMPRODUCT(('Q2 Data'!$D$4:$D$207=D64)*('Q2 Data'!$B$4:$B$207="Challan")*('Q2 Data'!$H$4:$H$207=Z64))+SUMPRODUCT(('Q3 Data'!$D$4:$D$207=D64)*('Q3 Data'!$B$4:$B$207="Challan")*('Q3 Data'!$H$4:$H$207=Z64))+SUMPRODUCT(('Q4 Data'!$D$4:$D$207=D64)*('Q4 Data'!$B$4:$B$207="Challan")*('Q4 Data'!$H$4:$H$207=Z64)))=0))</f>
      </c>
    </row>
    <row r="65" spans="1:44" x14ac:dyDescent="0.25">
      <c r="A65" s="20">
        <f>IF($B65="Entry",COUNTIF($B$4:$B65,"Entry"),"")</f>
      </c>
      <c r="B65" s="21"/>
      <c r="C65" s="22"/>
      <c r="D65" s="22"/>
      <c r="E65" s="23">
        <f>IF($B65&lt;&gt;"Challan","",IF(ROUND(AN65-AO65,2)&gt;0,"Over-applied",IF(ROUND(AN65-AO65,2)=0,"Fully Utilised","Unconsumed")))</f>
      </c>
      <c r="F65" s="24"/>
      <c r="G65" s="25"/>
      <c r="H65" s="25"/>
      <c r="I65" s="26"/>
      <c r="J65" s="26"/>
      <c r="K65" s="26"/>
      <c r="L65" s="26"/>
      <c r="M65" s="26"/>
      <c r="N65" s="26"/>
      <c r="O65" s="26"/>
      <c r="P65" s="27">
        <f>IF($B65&lt;&gt;"Challan","",I65+J65+K65+L65+M65+N65)</f>
      </c>
      <c r="Q65" s="25"/>
      <c r="R65" s="25"/>
      <c r="S65" s="25"/>
      <c r="T65" s="25"/>
      <c r="U65" s="25"/>
      <c r="V65" s="28"/>
      <c r="W65" s="28"/>
      <c r="X65" s="23">
        <f>IF($B65="Entry",IF(AND(LEN(TRIM(UPPER(W65)))=10,CODE(MID(TRIM(UPPER(W65)),1,1))&gt;=65,CODE(MID(TRIM(UPPER(W65)),1,1))&lt;=90,CODE(MID(TRIM(UPPER(W65)),2,1))&gt;=65,CODE(MID(TRIM(UPPER(W65)),2,1))&lt;=90,CODE(MID(TRIM(UPPER(W65)),3,1))&gt;=65,CODE(MID(TRIM(UPPER(W65)),3,1))&lt;=90,CODE(MID(TRIM(UPPER(W65)),4,1))&gt;=65,CODE(MID(TRIM(UPPER(W65)),4,1))&lt;=90,CODE(MID(TRIM(UPPER(W65)),5,1))&gt;=65,CODE(MID(TRIM(UPPER(W65)),5,1))&lt;=90,CODE(MID(TRIM(UPPER(W65)),10,1))&gt;=65,CODE(MID(TRIM(UPPER(W65)),10,1))&lt;=90,CODE(MID(TRIM(UPPER(W65)),6,1))&gt;=48,CODE(MID(TRIM(UPPER(W65)),6,1))&lt;=57,CODE(MID(TRIM(UPPER(W65)),7,1))&gt;=48,CODE(MID(TRIM(UPPER(W65)),7,1))&lt;=57,CODE(MID(TRIM(UPPER(W65)),8,1))&gt;=48,CODE(MID(TRIM(UPPER(W65)),8,1))&lt;=57,CODE(MID(TRIM(UPPER(W65)),9,1))&gt;=48,CODE(MID(TRIM(UPPER(W65)),9,1))&lt;=57),"N","Y"),IF($B65="Challan","",IF(W65&lt;&gt;"","◄ Set Row Type","")))</f>
      </c>
      <c r="Y65" s="23">
        <f>IF($B65="Entry",IF(LEN(W65)&lt;4,"",IF(UPPER(MID(W65,4,1))="P","Individual",IF(UPPER(MID(W65,4,1))="H","HUF",IF(UPPER(MID(W65,4,1))="C","Company",IF(UPPER(MID(W65,4,1))="F","Firm",IF(UPPER(MID(W65,4,1))="L","LLP",IF(UPPER(MID(W65,4,1))="T","Trust",IF(UPPER(MID(W65,4,1))="A","AOP","")))))))),IF($B65="Challan","",IF(W65&lt;&gt;"","◄ Set Row Type","")))</f>
      </c>
      <c r="Z65" s="28"/>
      <c r="AA65" s="29">
        <f>IF($B65&lt;&gt;"Entry","",IF(Z65="","",IF(X65="Y",SUMPRODUCT(('Rate Lookup'!$A$1:$A$37=Z65)*'Rate Lookup'!$D$1:$D$37),IF(OR(Y65="Individual",Y65="HUF"),SUMPRODUCT(('Rate Lookup'!$A$1:$A$37=Z65)*'Rate Lookup'!$B$1:$B$37),SUMPRODUCT(('Rate Lookup'!$A$1:$A$37=Z65)*'Rate Lookup'!$C$1:$C$37)))))</f>
      </c>
      <c r="AB65" s="30"/>
      <c r="AC65" s="31"/>
      <c r="AD65" s="27">
        <f>IF($B65&lt;&gt;"Entry","",ROUND(AC65*AA65/100,0))</f>
      </c>
      <c r="AE65" s="27">
        <f>IF($B65&lt;&gt;"Entry","",0)</f>
      </c>
      <c r="AF65" s="27">
        <f>IF($B65&lt;&gt;"Entry","",0)</f>
      </c>
      <c r="AG65" s="27">
        <f>IF($B65&lt;&gt;"Entry","",IF(OR(AD65=0,AB65="",AQ65="",AQ65&lt;=0),0,IF(AQ65&lt;=DATE(YEAR(AB65),MONTH(AB65)+1,7),0,ROUND(AD65*0.015*((YEAR(AQ65)-YEAR(AB65))*12+(MONTH(AQ65)-MONTH(AB65))+1),0))))</f>
      </c>
      <c r="AH65" s="27">
        <f>IF($B65&lt;&gt;"Entry","",0)</f>
      </c>
      <c r="AI65" s="28"/>
      <c r="AJ65" s="28"/>
      <c r="AK65" s="32"/>
      <c r="AL65" s="28"/>
      <c r="AM65" s="28"/>
      <c r="AN65" s="27">
        <f>IF($B65&lt;&gt;"Challan","",SUMIF('Q1 Data'!$D$4:$D$207,D65,'Q1 Data'!$AD$4:$AD$207)+SUMIF('Q1 Data'!$D$4:$D$207,D65,'Q1 Data'!$AG$4:$AG$207)+SUMIF('Q1 Data'!$D$4:$D$207,D65,'Q1 Data'!$AE$4:$AE$207)+SUMIF('Q2 Data'!$D$4:$D$207,D65,'Q2 Data'!$AD$4:$AD$207)+SUMIF('Q2 Data'!$D$4:$D$207,D65,'Q2 Data'!$AG$4:$AG$207)+SUMIF('Q2 Data'!$D$4:$D$207,D65,'Q2 Data'!$AE$4:$AE$207)+SUMIF('Q3 Data'!$D$4:$D$207,D65,'Q3 Data'!$AD$4:$AD$207)+SUMIF('Q3 Data'!$D$4:$D$207,D65,'Q3 Data'!$AG$4:$AG$207)+SUMIF('Q3 Data'!$D$4:$D$207,D65,'Q3 Data'!$AE$4:$AE$207)+SUMIF('Q4 Data'!$D$4:$D$207,D65,'Q4 Data'!$AD$4:$AD$207)+SUMIF('Q4 Data'!$D$4:$D$207,D65,'Q4 Data'!$AG$4:$AG$207)+SUMIF('Q4 Data'!$D$4:$D$207,D65,'Q4 Data'!$AE$4:$AE$207))</f>
      </c>
      <c r="AO65" s="27">
        <f>IF($B65&lt;&gt;"Challan","",P65-N65)</f>
      </c>
      <c r="AP65" s="27">
        <f>IF($B65&lt;&gt;"Challan","",MAX(0,AO65-AN65))</f>
      </c>
      <c r="AQ65" s="33">
        <f>IF($B65&lt;&gt;"Entry","",SUMPRODUCT(('Q1 Data'!$D$4:$D$207=D65)*('Q1 Data'!$B$4:$B$207="Challan")*'Q1 Data'!$F$4:$F$207)+SUMPRODUCT(('Q2 Data'!$D$4:$D$207=D65)*('Q2 Data'!$B$4:$B$207="Challan")*'Q2 Data'!$F$4:$F$207)+SUMPRODUCT(('Q3 Data'!$D$4:$D$207=D65)*('Q3 Data'!$B$4:$B$207="Challan")*'Q3 Data'!$F$4:$F$207)+SUMPRODUCT(('Q4 Data'!$D$4:$D$207=D65)*('Q4 Data'!$B$4:$B$207="Challan")*'Q4 Data'!$F$4:$F$207))</f>
      </c>
      <c r="AR65" s="34">
        <f>IF(OR($B65&lt;&gt;"Entry",Z65=""),FALSE,AND((SUMPRODUCT(('Q1 Data'!$D$4:$D$207=D65)*('Q1 Data'!$B$4:$B$207="Challan")*('Q1 Data'!$H$4:$H$207&lt;&gt;""))+SUMPRODUCT(('Q2 Data'!$D$4:$D$207=D65)*('Q2 Data'!$B$4:$B$207="Challan")*('Q2 Data'!$H$4:$H$207&lt;&gt;""))+SUMPRODUCT(('Q3 Data'!$D$4:$D$207=D65)*('Q3 Data'!$B$4:$B$207="Challan")*('Q3 Data'!$H$4:$H$207&lt;&gt;""))+SUMPRODUCT(('Q4 Data'!$D$4:$D$207=D65)*('Q4 Data'!$B$4:$B$207="Challan")*('Q4 Data'!$H$4:$H$207&lt;&gt;"")))&gt;0,(SUMPRODUCT(('Q1 Data'!$D$4:$D$207=D65)*('Q1 Data'!$B$4:$B$207="Challan")*('Q1 Data'!$H$4:$H$207=Z65))+SUMPRODUCT(('Q2 Data'!$D$4:$D$207=D65)*('Q2 Data'!$B$4:$B$207="Challan")*('Q2 Data'!$H$4:$H$207=Z65))+SUMPRODUCT(('Q3 Data'!$D$4:$D$207=D65)*('Q3 Data'!$B$4:$B$207="Challan")*('Q3 Data'!$H$4:$H$207=Z65))+SUMPRODUCT(('Q4 Data'!$D$4:$D$207=D65)*('Q4 Data'!$B$4:$B$207="Challan")*('Q4 Data'!$H$4:$H$207=Z65)))=0))</f>
      </c>
    </row>
    <row r="66" spans="1:44" x14ac:dyDescent="0.25">
      <c r="A66" s="20">
        <f>IF($B66="Entry",COUNTIF($B$4:$B66,"Entry"),"")</f>
      </c>
      <c r="B66" s="21"/>
      <c r="C66" s="22"/>
      <c r="D66" s="22"/>
      <c r="E66" s="23">
        <f>IF($B66&lt;&gt;"Challan","",IF(ROUND(AN66-AO66,2)&gt;0,"Over-applied",IF(ROUND(AN66-AO66,2)=0,"Fully Utilised","Unconsumed")))</f>
      </c>
      <c r="F66" s="24"/>
      <c r="G66" s="25"/>
      <c r="H66" s="25"/>
      <c r="I66" s="26"/>
      <c r="J66" s="26"/>
      <c r="K66" s="26"/>
      <c r="L66" s="26"/>
      <c r="M66" s="26"/>
      <c r="N66" s="26"/>
      <c r="O66" s="26"/>
      <c r="P66" s="27">
        <f>IF($B66&lt;&gt;"Challan","",I66+J66+K66+L66+M66+N66)</f>
      </c>
      <c r="Q66" s="25"/>
      <c r="R66" s="25"/>
      <c r="S66" s="25"/>
      <c r="T66" s="25"/>
      <c r="U66" s="25"/>
      <c r="V66" s="28"/>
      <c r="W66" s="28"/>
      <c r="X66" s="23">
        <f>IF($B66="Entry",IF(AND(LEN(TRIM(UPPER(W66)))=10,CODE(MID(TRIM(UPPER(W66)),1,1))&gt;=65,CODE(MID(TRIM(UPPER(W66)),1,1))&lt;=90,CODE(MID(TRIM(UPPER(W66)),2,1))&gt;=65,CODE(MID(TRIM(UPPER(W66)),2,1))&lt;=90,CODE(MID(TRIM(UPPER(W66)),3,1))&gt;=65,CODE(MID(TRIM(UPPER(W66)),3,1))&lt;=90,CODE(MID(TRIM(UPPER(W66)),4,1))&gt;=65,CODE(MID(TRIM(UPPER(W66)),4,1))&lt;=90,CODE(MID(TRIM(UPPER(W66)),5,1))&gt;=65,CODE(MID(TRIM(UPPER(W66)),5,1))&lt;=90,CODE(MID(TRIM(UPPER(W66)),10,1))&gt;=65,CODE(MID(TRIM(UPPER(W66)),10,1))&lt;=90,CODE(MID(TRIM(UPPER(W66)),6,1))&gt;=48,CODE(MID(TRIM(UPPER(W66)),6,1))&lt;=57,CODE(MID(TRIM(UPPER(W66)),7,1))&gt;=48,CODE(MID(TRIM(UPPER(W66)),7,1))&lt;=57,CODE(MID(TRIM(UPPER(W66)),8,1))&gt;=48,CODE(MID(TRIM(UPPER(W66)),8,1))&lt;=57,CODE(MID(TRIM(UPPER(W66)),9,1))&gt;=48,CODE(MID(TRIM(UPPER(W66)),9,1))&lt;=57),"N","Y"),IF($B66="Challan","",IF(W66&lt;&gt;"","◄ Set Row Type","")))</f>
      </c>
      <c r="Y66" s="23">
        <f>IF($B66="Entry",IF(LEN(W66)&lt;4,"",IF(UPPER(MID(W66,4,1))="P","Individual",IF(UPPER(MID(W66,4,1))="H","HUF",IF(UPPER(MID(W66,4,1))="C","Company",IF(UPPER(MID(W66,4,1))="F","Firm",IF(UPPER(MID(W66,4,1))="L","LLP",IF(UPPER(MID(W66,4,1))="T","Trust",IF(UPPER(MID(W66,4,1))="A","AOP","")))))))),IF($B66="Challan","",IF(W66&lt;&gt;"","◄ Set Row Type","")))</f>
      </c>
      <c r="Z66" s="28"/>
      <c r="AA66" s="29">
        <f>IF($B66&lt;&gt;"Entry","",IF(Z66="","",IF(X66="Y",SUMPRODUCT(('Rate Lookup'!$A$1:$A$37=Z66)*'Rate Lookup'!$D$1:$D$37),IF(OR(Y66="Individual",Y66="HUF"),SUMPRODUCT(('Rate Lookup'!$A$1:$A$37=Z66)*'Rate Lookup'!$B$1:$B$37),SUMPRODUCT(('Rate Lookup'!$A$1:$A$37=Z66)*'Rate Lookup'!$C$1:$C$37)))))</f>
      </c>
      <c r="AB66" s="30"/>
      <c r="AC66" s="31"/>
      <c r="AD66" s="27">
        <f>IF($B66&lt;&gt;"Entry","",ROUND(AC66*AA66/100,0))</f>
      </c>
      <c r="AE66" s="27">
        <f>IF($B66&lt;&gt;"Entry","",0)</f>
      </c>
      <c r="AF66" s="27">
        <f>IF($B66&lt;&gt;"Entry","",0)</f>
      </c>
      <c r="AG66" s="27">
        <f>IF($B66&lt;&gt;"Entry","",IF(OR(AD66=0,AB66="",AQ66="",AQ66&lt;=0),0,IF(AQ66&lt;=DATE(YEAR(AB66),MONTH(AB66)+1,7),0,ROUND(AD66*0.015*((YEAR(AQ66)-YEAR(AB66))*12+(MONTH(AQ66)-MONTH(AB66))+1),0))))</f>
      </c>
      <c r="AH66" s="27">
        <f>IF($B66&lt;&gt;"Entry","",0)</f>
      </c>
      <c r="AI66" s="28"/>
      <c r="AJ66" s="28"/>
      <c r="AK66" s="32"/>
      <c r="AL66" s="28"/>
      <c r="AM66" s="28"/>
      <c r="AN66" s="27">
        <f>IF($B66&lt;&gt;"Challan","",SUMIF('Q1 Data'!$D$4:$D$207,D66,'Q1 Data'!$AD$4:$AD$207)+SUMIF('Q1 Data'!$D$4:$D$207,D66,'Q1 Data'!$AG$4:$AG$207)+SUMIF('Q1 Data'!$D$4:$D$207,D66,'Q1 Data'!$AE$4:$AE$207)+SUMIF('Q2 Data'!$D$4:$D$207,D66,'Q2 Data'!$AD$4:$AD$207)+SUMIF('Q2 Data'!$D$4:$D$207,D66,'Q2 Data'!$AG$4:$AG$207)+SUMIF('Q2 Data'!$D$4:$D$207,D66,'Q2 Data'!$AE$4:$AE$207)+SUMIF('Q3 Data'!$D$4:$D$207,D66,'Q3 Data'!$AD$4:$AD$207)+SUMIF('Q3 Data'!$D$4:$D$207,D66,'Q3 Data'!$AG$4:$AG$207)+SUMIF('Q3 Data'!$D$4:$D$207,D66,'Q3 Data'!$AE$4:$AE$207)+SUMIF('Q4 Data'!$D$4:$D$207,D66,'Q4 Data'!$AD$4:$AD$207)+SUMIF('Q4 Data'!$D$4:$D$207,D66,'Q4 Data'!$AG$4:$AG$207)+SUMIF('Q4 Data'!$D$4:$D$207,D66,'Q4 Data'!$AE$4:$AE$207))</f>
      </c>
      <c r="AO66" s="27">
        <f>IF($B66&lt;&gt;"Challan","",P66-N66)</f>
      </c>
      <c r="AP66" s="27">
        <f>IF($B66&lt;&gt;"Challan","",MAX(0,AO66-AN66))</f>
      </c>
      <c r="AQ66" s="33">
        <f>IF($B66&lt;&gt;"Entry","",SUMPRODUCT(('Q1 Data'!$D$4:$D$207=D66)*('Q1 Data'!$B$4:$B$207="Challan")*'Q1 Data'!$F$4:$F$207)+SUMPRODUCT(('Q2 Data'!$D$4:$D$207=D66)*('Q2 Data'!$B$4:$B$207="Challan")*'Q2 Data'!$F$4:$F$207)+SUMPRODUCT(('Q3 Data'!$D$4:$D$207=D66)*('Q3 Data'!$B$4:$B$207="Challan")*'Q3 Data'!$F$4:$F$207)+SUMPRODUCT(('Q4 Data'!$D$4:$D$207=D66)*('Q4 Data'!$B$4:$B$207="Challan")*'Q4 Data'!$F$4:$F$207))</f>
      </c>
      <c r="AR66" s="34">
        <f>IF(OR($B66&lt;&gt;"Entry",Z66=""),FALSE,AND((SUMPRODUCT(('Q1 Data'!$D$4:$D$207=D66)*('Q1 Data'!$B$4:$B$207="Challan")*('Q1 Data'!$H$4:$H$207&lt;&gt;""))+SUMPRODUCT(('Q2 Data'!$D$4:$D$207=D66)*('Q2 Data'!$B$4:$B$207="Challan")*('Q2 Data'!$H$4:$H$207&lt;&gt;""))+SUMPRODUCT(('Q3 Data'!$D$4:$D$207=D66)*('Q3 Data'!$B$4:$B$207="Challan")*('Q3 Data'!$H$4:$H$207&lt;&gt;""))+SUMPRODUCT(('Q4 Data'!$D$4:$D$207=D66)*('Q4 Data'!$B$4:$B$207="Challan")*('Q4 Data'!$H$4:$H$207&lt;&gt;"")))&gt;0,(SUMPRODUCT(('Q1 Data'!$D$4:$D$207=D66)*('Q1 Data'!$B$4:$B$207="Challan")*('Q1 Data'!$H$4:$H$207=Z66))+SUMPRODUCT(('Q2 Data'!$D$4:$D$207=D66)*('Q2 Data'!$B$4:$B$207="Challan")*('Q2 Data'!$H$4:$H$207=Z66))+SUMPRODUCT(('Q3 Data'!$D$4:$D$207=D66)*('Q3 Data'!$B$4:$B$207="Challan")*('Q3 Data'!$H$4:$H$207=Z66))+SUMPRODUCT(('Q4 Data'!$D$4:$D$207=D66)*('Q4 Data'!$B$4:$B$207="Challan")*('Q4 Data'!$H$4:$H$207=Z66)))=0))</f>
      </c>
    </row>
    <row r="67" spans="1:44" x14ac:dyDescent="0.25">
      <c r="A67" s="20">
        <f>IF($B67="Entry",COUNTIF($B$4:$B67,"Entry"),"")</f>
      </c>
      <c r="B67" s="21"/>
      <c r="C67" s="22"/>
      <c r="D67" s="22"/>
      <c r="E67" s="23">
        <f>IF($B67&lt;&gt;"Challan","",IF(ROUND(AN67-AO67,2)&gt;0,"Over-applied",IF(ROUND(AN67-AO67,2)=0,"Fully Utilised","Unconsumed")))</f>
      </c>
      <c r="F67" s="24"/>
      <c r="G67" s="25"/>
      <c r="H67" s="25"/>
      <c r="I67" s="26"/>
      <c r="J67" s="26"/>
      <c r="K67" s="26"/>
      <c r="L67" s="26"/>
      <c r="M67" s="26"/>
      <c r="N67" s="26"/>
      <c r="O67" s="26"/>
      <c r="P67" s="27">
        <f>IF($B67&lt;&gt;"Challan","",I67+J67+K67+L67+M67+N67)</f>
      </c>
      <c r="Q67" s="25"/>
      <c r="R67" s="25"/>
      <c r="S67" s="25"/>
      <c r="T67" s="25"/>
      <c r="U67" s="25"/>
      <c r="V67" s="28"/>
      <c r="W67" s="28"/>
      <c r="X67" s="23">
        <f>IF($B67="Entry",IF(AND(LEN(TRIM(UPPER(W67)))=10,CODE(MID(TRIM(UPPER(W67)),1,1))&gt;=65,CODE(MID(TRIM(UPPER(W67)),1,1))&lt;=90,CODE(MID(TRIM(UPPER(W67)),2,1))&gt;=65,CODE(MID(TRIM(UPPER(W67)),2,1))&lt;=90,CODE(MID(TRIM(UPPER(W67)),3,1))&gt;=65,CODE(MID(TRIM(UPPER(W67)),3,1))&lt;=90,CODE(MID(TRIM(UPPER(W67)),4,1))&gt;=65,CODE(MID(TRIM(UPPER(W67)),4,1))&lt;=90,CODE(MID(TRIM(UPPER(W67)),5,1))&gt;=65,CODE(MID(TRIM(UPPER(W67)),5,1))&lt;=90,CODE(MID(TRIM(UPPER(W67)),10,1))&gt;=65,CODE(MID(TRIM(UPPER(W67)),10,1))&lt;=90,CODE(MID(TRIM(UPPER(W67)),6,1))&gt;=48,CODE(MID(TRIM(UPPER(W67)),6,1))&lt;=57,CODE(MID(TRIM(UPPER(W67)),7,1))&gt;=48,CODE(MID(TRIM(UPPER(W67)),7,1))&lt;=57,CODE(MID(TRIM(UPPER(W67)),8,1))&gt;=48,CODE(MID(TRIM(UPPER(W67)),8,1))&lt;=57,CODE(MID(TRIM(UPPER(W67)),9,1))&gt;=48,CODE(MID(TRIM(UPPER(W67)),9,1))&lt;=57),"N","Y"),IF($B67="Challan","",IF(W67&lt;&gt;"","◄ Set Row Type","")))</f>
      </c>
      <c r="Y67" s="23">
        <f>IF($B67="Entry",IF(LEN(W67)&lt;4,"",IF(UPPER(MID(W67,4,1))="P","Individual",IF(UPPER(MID(W67,4,1))="H","HUF",IF(UPPER(MID(W67,4,1))="C","Company",IF(UPPER(MID(W67,4,1))="F","Firm",IF(UPPER(MID(W67,4,1))="L","LLP",IF(UPPER(MID(W67,4,1))="T","Trust",IF(UPPER(MID(W67,4,1))="A","AOP","")))))))),IF($B67="Challan","",IF(W67&lt;&gt;"","◄ Set Row Type","")))</f>
      </c>
      <c r="Z67" s="28"/>
      <c r="AA67" s="29">
        <f>IF($B67&lt;&gt;"Entry","",IF(Z67="","",IF(X67="Y",SUMPRODUCT(('Rate Lookup'!$A$1:$A$37=Z67)*'Rate Lookup'!$D$1:$D$37),IF(OR(Y67="Individual",Y67="HUF"),SUMPRODUCT(('Rate Lookup'!$A$1:$A$37=Z67)*'Rate Lookup'!$B$1:$B$37),SUMPRODUCT(('Rate Lookup'!$A$1:$A$37=Z67)*'Rate Lookup'!$C$1:$C$37)))))</f>
      </c>
      <c r="AB67" s="30"/>
      <c r="AC67" s="31"/>
      <c r="AD67" s="27">
        <f>IF($B67&lt;&gt;"Entry","",ROUND(AC67*AA67/100,0))</f>
      </c>
      <c r="AE67" s="27">
        <f>IF($B67&lt;&gt;"Entry","",0)</f>
      </c>
      <c r="AF67" s="27">
        <f>IF($B67&lt;&gt;"Entry","",0)</f>
      </c>
      <c r="AG67" s="27">
        <f>IF($B67&lt;&gt;"Entry","",IF(OR(AD67=0,AB67="",AQ67="",AQ67&lt;=0),0,IF(AQ67&lt;=DATE(YEAR(AB67),MONTH(AB67)+1,7),0,ROUND(AD67*0.015*((YEAR(AQ67)-YEAR(AB67))*12+(MONTH(AQ67)-MONTH(AB67))+1),0))))</f>
      </c>
      <c r="AH67" s="27">
        <f>IF($B67&lt;&gt;"Entry","",0)</f>
      </c>
      <c r="AI67" s="28"/>
      <c r="AJ67" s="28"/>
      <c r="AK67" s="32"/>
      <c r="AL67" s="28"/>
      <c r="AM67" s="28"/>
      <c r="AN67" s="27">
        <f>IF($B67&lt;&gt;"Challan","",SUMIF('Q1 Data'!$D$4:$D$207,D67,'Q1 Data'!$AD$4:$AD$207)+SUMIF('Q1 Data'!$D$4:$D$207,D67,'Q1 Data'!$AG$4:$AG$207)+SUMIF('Q1 Data'!$D$4:$D$207,D67,'Q1 Data'!$AE$4:$AE$207)+SUMIF('Q2 Data'!$D$4:$D$207,D67,'Q2 Data'!$AD$4:$AD$207)+SUMIF('Q2 Data'!$D$4:$D$207,D67,'Q2 Data'!$AG$4:$AG$207)+SUMIF('Q2 Data'!$D$4:$D$207,D67,'Q2 Data'!$AE$4:$AE$207)+SUMIF('Q3 Data'!$D$4:$D$207,D67,'Q3 Data'!$AD$4:$AD$207)+SUMIF('Q3 Data'!$D$4:$D$207,D67,'Q3 Data'!$AG$4:$AG$207)+SUMIF('Q3 Data'!$D$4:$D$207,D67,'Q3 Data'!$AE$4:$AE$207)+SUMIF('Q4 Data'!$D$4:$D$207,D67,'Q4 Data'!$AD$4:$AD$207)+SUMIF('Q4 Data'!$D$4:$D$207,D67,'Q4 Data'!$AG$4:$AG$207)+SUMIF('Q4 Data'!$D$4:$D$207,D67,'Q4 Data'!$AE$4:$AE$207))</f>
      </c>
      <c r="AO67" s="27">
        <f>IF($B67&lt;&gt;"Challan","",P67-N67)</f>
      </c>
      <c r="AP67" s="27">
        <f>IF($B67&lt;&gt;"Challan","",MAX(0,AO67-AN67))</f>
      </c>
      <c r="AQ67" s="33">
        <f>IF($B67&lt;&gt;"Entry","",SUMPRODUCT(('Q1 Data'!$D$4:$D$207=D67)*('Q1 Data'!$B$4:$B$207="Challan")*'Q1 Data'!$F$4:$F$207)+SUMPRODUCT(('Q2 Data'!$D$4:$D$207=D67)*('Q2 Data'!$B$4:$B$207="Challan")*'Q2 Data'!$F$4:$F$207)+SUMPRODUCT(('Q3 Data'!$D$4:$D$207=D67)*('Q3 Data'!$B$4:$B$207="Challan")*'Q3 Data'!$F$4:$F$207)+SUMPRODUCT(('Q4 Data'!$D$4:$D$207=D67)*('Q4 Data'!$B$4:$B$207="Challan")*'Q4 Data'!$F$4:$F$207))</f>
      </c>
      <c r="AR67" s="34">
        <f>IF(OR($B67&lt;&gt;"Entry",Z67=""),FALSE,AND((SUMPRODUCT(('Q1 Data'!$D$4:$D$207=D67)*('Q1 Data'!$B$4:$B$207="Challan")*('Q1 Data'!$H$4:$H$207&lt;&gt;""))+SUMPRODUCT(('Q2 Data'!$D$4:$D$207=D67)*('Q2 Data'!$B$4:$B$207="Challan")*('Q2 Data'!$H$4:$H$207&lt;&gt;""))+SUMPRODUCT(('Q3 Data'!$D$4:$D$207=D67)*('Q3 Data'!$B$4:$B$207="Challan")*('Q3 Data'!$H$4:$H$207&lt;&gt;""))+SUMPRODUCT(('Q4 Data'!$D$4:$D$207=D67)*('Q4 Data'!$B$4:$B$207="Challan")*('Q4 Data'!$H$4:$H$207&lt;&gt;"")))&gt;0,(SUMPRODUCT(('Q1 Data'!$D$4:$D$207=D67)*('Q1 Data'!$B$4:$B$207="Challan")*('Q1 Data'!$H$4:$H$207=Z67))+SUMPRODUCT(('Q2 Data'!$D$4:$D$207=D67)*('Q2 Data'!$B$4:$B$207="Challan")*('Q2 Data'!$H$4:$H$207=Z67))+SUMPRODUCT(('Q3 Data'!$D$4:$D$207=D67)*('Q3 Data'!$B$4:$B$207="Challan")*('Q3 Data'!$H$4:$H$207=Z67))+SUMPRODUCT(('Q4 Data'!$D$4:$D$207=D67)*('Q4 Data'!$B$4:$B$207="Challan")*('Q4 Data'!$H$4:$H$207=Z67)))=0))</f>
      </c>
    </row>
    <row r="68" spans="1:44" x14ac:dyDescent="0.25">
      <c r="A68" s="20">
        <f>IF($B68="Entry",COUNTIF($B$4:$B68,"Entry"),"")</f>
      </c>
      <c r="B68" s="21"/>
      <c r="C68" s="22"/>
      <c r="D68" s="22"/>
      <c r="E68" s="23">
        <f>IF($B68&lt;&gt;"Challan","",IF(ROUND(AN68-AO68,2)&gt;0,"Over-applied",IF(ROUND(AN68-AO68,2)=0,"Fully Utilised","Unconsumed")))</f>
      </c>
      <c r="F68" s="24"/>
      <c r="G68" s="25"/>
      <c r="H68" s="25"/>
      <c r="I68" s="26"/>
      <c r="J68" s="26"/>
      <c r="K68" s="26"/>
      <c r="L68" s="26"/>
      <c r="M68" s="26"/>
      <c r="N68" s="26"/>
      <c r="O68" s="26"/>
      <c r="P68" s="27">
        <f>IF($B68&lt;&gt;"Challan","",I68+J68+K68+L68+M68+N68)</f>
      </c>
      <c r="Q68" s="25"/>
      <c r="R68" s="25"/>
      <c r="S68" s="25"/>
      <c r="T68" s="25"/>
      <c r="U68" s="25"/>
      <c r="V68" s="28"/>
      <c r="W68" s="28"/>
      <c r="X68" s="23">
        <f>IF($B68="Entry",IF(AND(LEN(TRIM(UPPER(W68)))=10,CODE(MID(TRIM(UPPER(W68)),1,1))&gt;=65,CODE(MID(TRIM(UPPER(W68)),1,1))&lt;=90,CODE(MID(TRIM(UPPER(W68)),2,1))&gt;=65,CODE(MID(TRIM(UPPER(W68)),2,1))&lt;=90,CODE(MID(TRIM(UPPER(W68)),3,1))&gt;=65,CODE(MID(TRIM(UPPER(W68)),3,1))&lt;=90,CODE(MID(TRIM(UPPER(W68)),4,1))&gt;=65,CODE(MID(TRIM(UPPER(W68)),4,1))&lt;=90,CODE(MID(TRIM(UPPER(W68)),5,1))&gt;=65,CODE(MID(TRIM(UPPER(W68)),5,1))&lt;=90,CODE(MID(TRIM(UPPER(W68)),10,1))&gt;=65,CODE(MID(TRIM(UPPER(W68)),10,1))&lt;=90,CODE(MID(TRIM(UPPER(W68)),6,1))&gt;=48,CODE(MID(TRIM(UPPER(W68)),6,1))&lt;=57,CODE(MID(TRIM(UPPER(W68)),7,1))&gt;=48,CODE(MID(TRIM(UPPER(W68)),7,1))&lt;=57,CODE(MID(TRIM(UPPER(W68)),8,1))&gt;=48,CODE(MID(TRIM(UPPER(W68)),8,1))&lt;=57,CODE(MID(TRIM(UPPER(W68)),9,1))&gt;=48,CODE(MID(TRIM(UPPER(W68)),9,1))&lt;=57),"N","Y"),IF($B68="Challan","",IF(W68&lt;&gt;"","◄ Set Row Type","")))</f>
      </c>
      <c r="Y68" s="23">
        <f>IF($B68="Entry",IF(LEN(W68)&lt;4,"",IF(UPPER(MID(W68,4,1))="P","Individual",IF(UPPER(MID(W68,4,1))="H","HUF",IF(UPPER(MID(W68,4,1))="C","Company",IF(UPPER(MID(W68,4,1))="F","Firm",IF(UPPER(MID(W68,4,1))="L","LLP",IF(UPPER(MID(W68,4,1))="T","Trust",IF(UPPER(MID(W68,4,1))="A","AOP","")))))))),IF($B68="Challan","",IF(W68&lt;&gt;"","◄ Set Row Type","")))</f>
      </c>
      <c r="Z68" s="28"/>
      <c r="AA68" s="29">
        <f>IF($B68&lt;&gt;"Entry","",IF(Z68="","",IF(X68="Y",SUMPRODUCT(('Rate Lookup'!$A$1:$A$37=Z68)*'Rate Lookup'!$D$1:$D$37),IF(OR(Y68="Individual",Y68="HUF"),SUMPRODUCT(('Rate Lookup'!$A$1:$A$37=Z68)*'Rate Lookup'!$B$1:$B$37),SUMPRODUCT(('Rate Lookup'!$A$1:$A$37=Z68)*'Rate Lookup'!$C$1:$C$37)))))</f>
      </c>
      <c r="AB68" s="30"/>
      <c r="AC68" s="31"/>
      <c r="AD68" s="27">
        <f>IF($B68&lt;&gt;"Entry","",ROUND(AC68*AA68/100,0))</f>
      </c>
      <c r="AE68" s="27">
        <f>IF($B68&lt;&gt;"Entry","",0)</f>
      </c>
      <c r="AF68" s="27">
        <f>IF($B68&lt;&gt;"Entry","",0)</f>
      </c>
      <c r="AG68" s="27">
        <f>IF($B68&lt;&gt;"Entry","",IF(OR(AD68=0,AB68="",AQ68="",AQ68&lt;=0),0,IF(AQ68&lt;=DATE(YEAR(AB68),MONTH(AB68)+1,7),0,ROUND(AD68*0.015*((YEAR(AQ68)-YEAR(AB68))*12+(MONTH(AQ68)-MONTH(AB68))+1),0))))</f>
      </c>
      <c r="AH68" s="27">
        <f>IF($B68&lt;&gt;"Entry","",0)</f>
      </c>
      <c r="AI68" s="28"/>
      <c r="AJ68" s="28"/>
      <c r="AK68" s="32"/>
      <c r="AL68" s="28"/>
      <c r="AM68" s="28"/>
      <c r="AN68" s="27">
        <f>IF($B68&lt;&gt;"Challan","",SUMIF('Q1 Data'!$D$4:$D$207,D68,'Q1 Data'!$AD$4:$AD$207)+SUMIF('Q1 Data'!$D$4:$D$207,D68,'Q1 Data'!$AG$4:$AG$207)+SUMIF('Q1 Data'!$D$4:$D$207,D68,'Q1 Data'!$AE$4:$AE$207)+SUMIF('Q2 Data'!$D$4:$D$207,D68,'Q2 Data'!$AD$4:$AD$207)+SUMIF('Q2 Data'!$D$4:$D$207,D68,'Q2 Data'!$AG$4:$AG$207)+SUMIF('Q2 Data'!$D$4:$D$207,D68,'Q2 Data'!$AE$4:$AE$207)+SUMIF('Q3 Data'!$D$4:$D$207,D68,'Q3 Data'!$AD$4:$AD$207)+SUMIF('Q3 Data'!$D$4:$D$207,D68,'Q3 Data'!$AG$4:$AG$207)+SUMIF('Q3 Data'!$D$4:$D$207,D68,'Q3 Data'!$AE$4:$AE$207)+SUMIF('Q4 Data'!$D$4:$D$207,D68,'Q4 Data'!$AD$4:$AD$207)+SUMIF('Q4 Data'!$D$4:$D$207,D68,'Q4 Data'!$AG$4:$AG$207)+SUMIF('Q4 Data'!$D$4:$D$207,D68,'Q4 Data'!$AE$4:$AE$207))</f>
      </c>
      <c r="AO68" s="27">
        <f>IF($B68&lt;&gt;"Challan","",P68-N68)</f>
      </c>
      <c r="AP68" s="27">
        <f>IF($B68&lt;&gt;"Challan","",MAX(0,AO68-AN68))</f>
      </c>
      <c r="AQ68" s="33">
        <f>IF($B68&lt;&gt;"Entry","",SUMPRODUCT(('Q1 Data'!$D$4:$D$207=D68)*('Q1 Data'!$B$4:$B$207="Challan")*'Q1 Data'!$F$4:$F$207)+SUMPRODUCT(('Q2 Data'!$D$4:$D$207=D68)*('Q2 Data'!$B$4:$B$207="Challan")*'Q2 Data'!$F$4:$F$207)+SUMPRODUCT(('Q3 Data'!$D$4:$D$207=D68)*('Q3 Data'!$B$4:$B$207="Challan")*'Q3 Data'!$F$4:$F$207)+SUMPRODUCT(('Q4 Data'!$D$4:$D$207=D68)*('Q4 Data'!$B$4:$B$207="Challan")*'Q4 Data'!$F$4:$F$207))</f>
      </c>
      <c r="AR68" s="34">
        <f>IF(OR($B68&lt;&gt;"Entry",Z68=""),FALSE,AND((SUMPRODUCT(('Q1 Data'!$D$4:$D$207=D68)*('Q1 Data'!$B$4:$B$207="Challan")*('Q1 Data'!$H$4:$H$207&lt;&gt;""))+SUMPRODUCT(('Q2 Data'!$D$4:$D$207=D68)*('Q2 Data'!$B$4:$B$207="Challan")*('Q2 Data'!$H$4:$H$207&lt;&gt;""))+SUMPRODUCT(('Q3 Data'!$D$4:$D$207=D68)*('Q3 Data'!$B$4:$B$207="Challan")*('Q3 Data'!$H$4:$H$207&lt;&gt;""))+SUMPRODUCT(('Q4 Data'!$D$4:$D$207=D68)*('Q4 Data'!$B$4:$B$207="Challan")*('Q4 Data'!$H$4:$H$207&lt;&gt;"")))&gt;0,(SUMPRODUCT(('Q1 Data'!$D$4:$D$207=D68)*('Q1 Data'!$B$4:$B$207="Challan")*('Q1 Data'!$H$4:$H$207=Z68))+SUMPRODUCT(('Q2 Data'!$D$4:$D$207=D68)*('Q2 Data'!$B$4:$B$207="Challan")*('Q2 Data'!$H$4:$H$207=Z68))+SUMPRODUCT(('Q3 Data'!$D$4:$D$207=D68)*('Q3 Data'!$B$4:$B$207="Challan")*('Q3 Data'!$H$4:$H$207=Z68))+SUMPRODUCT(('Q4 Data'!$D$4:$D$207=D68)*('Q4 Data'!$B$4:$B$207="Challan")*('Q4 Data'!$H$4:$H$207=Z68)))=0))</f>
      </c>
    </row>
    <row r="69" spans="1:44" x14ac:dyDescent="0.25">
      <c r="A69" s="20">
        <f>IF($B69="Entry",COUNTIF($B$4:$B69,"Entry"),"")</f>
      </c>
      <c r="B69" s="21"/>
      <c r="C69" s="22"/>
      <c r="D69" s="22"/>
      <c r="E69" s="23">
        <f>IF($B69&lt;&gt;"Challan","",IF(ROUND(AN69-AO69,2)&gt;0,"Over-applied",IF(ROUND(AN69-AO69,2)=0,"Fully Utilised","Unconsumed")))</f>
      </c>
      <c r="F69" s="24"/>
      <c r="G69" s="25"/>
      <c r="H69" s="25"/>
      <c r="I69" s="26"/>
      <c r="J69" s="26"/>
      <c r="K69" s="26"/>
      <c r="L69" s="26"/>
      <c r="M69" s="26"/>
      <c r="N69" s="26"/>
      <c r="O69" s="26"/>
      <c r="P69" s="27">
        <f>IF($B69&lt;&gt;"Challan","",I69+J69+K69+L69+M69+N69)</f>
      </c>
      <c r="Q69" s="25"/>
      <c r="R69" s="25"/>
      <c r="S69" s="25"/>
      <c r="T69" s="25"/>
      <c r="U69" s="25"/>
      <c r="V69" s="28"/>
      <c r="W69" s="28"/>
      <c r="X69" s="23">
        <f>IF($B69="Entry",IF(AND(LEN(TRIM(UPPER(W69)))=10,CODE(MID(TRIM(UPPER(W69)),1,1))&gt;=65,CODE(MID(TRIM(UPPER(W69)),1,1))&lt;=90,CODE(MID(TRIM(UPPER(W69)),2,1))&gt;=65,CODE(MID(TRIM(UPPER(W69)),2,1))&lt;=90,CODE(MID(TRIM(UPPER(W69)),3,1))&gt;=65,CODE(MID(TRIM(UPPER(W69)),3,1))&lt;=90,CODE(MID(TRIM(UPPER(W69)),4,1))&gt;=65,CODE(MID(TRIM(UPPER(W69)),4,1))&lt;=90,CODE(MID(TRIM(UPPER(W69)),5,1))&gt;=65,CODE(MID(TRIM(UPPER(W69)),5,1))&lt;=90,CODE(MID(TRIM(UPPER(W69)),10,1))&gt;=65,CODE(MID(TRIM(UPPER(W69)),10,1))&lt;=90,CODE(MID(TRIM(UPPER(W69)),6,1))&gt;=48,CODE(MID(TRIM(UPPER(W69)),6,1))&lt;=57,CODE(MID(TRIM(UPPER(W69)),7,1))&gt;=48,CODE(MID(TRIM(UPPER(W69)),7,1))&lt;=57,CODE(MID(TRIM(UPPER(W69)),8,1))&gt;=48,CODE(MID(TRIM(UPPER(W69)),8,1))&lt;=57,CODE(MID(TRIM(UPPER(W69)),9,1))&gt;=48,CODE(MID(TRIM(UPPER(W69)),9,1))&lt;=57),"N","Y"),IF($B69="Challan","",IF(W69&lt;&gt;"","◄ Set Row Type","")))</f>
      </c>
      <c r="Y69" s="23">
        <f>IF($B69="Entry",IF(LEN(W69)&lt;4,"",IF(UPPER(MID(W69,4,1))="P","Individual",IF(UPPER(MID(W69,4,1))="H","HUF",IF(UPPER(MID(W69,4,1))="C","Company",IF(UPPER(MID(W69,4,1))="F","Firm",IF(UPPER(MID(W69,4,1))="L","LLP",IF(UPPER(MID(W69,4,1))="T","Trust",IF(UPPER(MID(W69,4,1))="A","AOP","")))))))),IF($B69="Challan","",IF(W69&lt;&gt;"","◄ Set Row Type","")))</f>
      </c>
      <c r="Z69" s="28"/>
      <c r="AA69" s="29">
        <f>IF($B69&lt;&gt;"Entry","",IF(Z69="","",IF(X69="Y",SUMPRODUCT(('Rate Lookup'!$A$1:$A$37=Z69)*'Rate Lookup'!$D$1:$D$37),IF(OR(Y69="Individual",Y69="HUF"),SUMPRODUCT(('Rate Lookup'!$A$1:$A$37=Z69)*'Rate Lookup'!$B$1:$B$37),SUMPRODUCT(('Rate Lookup'!$A$1:$A$37=Z69)*'Rate Lookup'!$C$1:$C$37)))))</f>
      </c>
      <c r="AB69" s="30"/>
      <c r="AC69" s="31"/>
      <c r="AD69" s="27">
        <f>IF($B69&lt;&gt;"Entry","",ROUND(AC69*AA69/100,0))</f>
      </c>
      <c r="AE69" s="27">
        <f>IF($B69&lt;&gt;"Entry","",0)</f>
      </c>
      <c r="AF69" s="27">
        <f>IF($B69&lt;&gt;"Entry","",0)</f>
      </c>
      <c r="AG69" s="27">
        <f>IF($B69&lt;&gt;"Entry","",IF(OR(AD69=0,AB69="",AQ69="",AQ69&lt;=0),0,IF(AQ69&lt;=DATE(YEAR(AB69),MONTH(AB69)+1,7),0,ROUND(AD69*0.015*((YEAR(AQ69)-YEAR(AB69))*12+(MONTH(AQ69)-MONTH(AB69))+1),0))))</f>
      </c>
      <c r="AH69" s="27">
        <f>IF($B69&lt;&gt;"Entry","",0)</f>
      </c>
      <c r="AI69" s="28"/>
      <c r="AJ69" s="28"/>
      <c r="AK69" s="32"/>
      <c r="AL69" s="28"/>
      <c r="AM69" s="28"/>
      <c r="AN69" s="27">
        <f>IF($B69&lt;&gt;"Challan","",SUMIF('Q1 Data'!$D$4:$D$207,D69,'Q1 Data'!$AD$4:$AD$207)+SUMIF('Q1 Data'!$D$4:$D$207,D69,'Q1 Data'!$AG$4:$AG$207)+SUMIF('Q1 Data'!$D$4:$D$207,D69,'Q1 Data'!$AE$4:$AE$207)+SUMIF('Q2 Data'!$D$4:$D$207,D69,'Q2 Data'!$AD$4:$AD$207)+SUMIF('Q2 Data'!$D$4:$D$207,D69,'Q2 Data'!$AG$4:$AG$207)+SUMIF('Q2 Data'!$D$4:$D$207,D69,'Q2 Data'!$AE$4:$AE$207)+SUMIF('Q3 Data'!$D$4:$D$207,D69,'Q3 Data'!$AD$4:$AD$207)+SUMIF('Q3 Data'!$D$4:$D$207,D69,'Q3 Data'!$AG$4:$AG$207)+SUMIF('Q3 Data'!$D$4:$D$207,D69,'Q3 Data'!$AE$4:$AE$207)+SUMIF('Q4 Data'!$D$4:$D$207,D69,'Q4 Data'!$AD$4:$AD$207)+SUMIF('Q4 Data'!$D$4:$D$207,D69,'Q4 Data'!$AG$4:$AG$207)+SUMIF('Q4 Data'!$D$4:$D$207,D69,'Q4 Data'!$AE$4:$AE$207))</f>
      </c>
      <c r="AO69" s="27">
        <f>IF($B69&lt;&gt;"Challan","",P69-N69)</f>
      </c>
      <c r="AP69" s="27">
        <f>IF($B69&lt;&gt;"Challan","",MAX(0,AO69-AN69))</f>
      </c>
      <c r="AQ69" s="33">
        <f>IF($B69&lt;&gt;"Entry","",SUMPRODUCT(('Q1 Data'!$D$4:$D$207=D69)*('Q1 Data'!$B$4:$B$207="Challan")*'Q1 Data'!$F$4:$F$207)+SUMPRODUCT(('Q2 Data'!$D$4:$D$207=D69)*('Q2 Data'!$B$4:$B$207="Challan")*'Q2 Data'!$F$4:$F$207)+SUMPRODUCT(('Q3 Data'!$D$4:$D$207=D69)*('Q3 Data'!$B$4:$B$207="Challan")*'Q3 Data'!$F$4:$F$207)+SUMPRODUCT(('Q4 Data'!$D$4:$D$207=D69)*('Q4 Data'!$B$4:$B$207="Challan")*'Q4 Data'!$F$4:$F$207))</f>
      </c>
      <c r="AR69" s="34">
        <f>IF(OR($B69&lt;&gt;"Entry",Z69=""),FALSE,AND((SUMPRODUCT(('Q1 Data'!$D$4:$D$207=D69)*('Q1 Data'!$B$4:$B$207="Challan")*('Q1 Data'!$H$4:$H$207&lt;&gt;""))+SUMPRODUCT(('Q2 Data'!$D$4:$D$207=D69)*('Q2 Data'!$B$4:$B$207="Challan")*('Q2 Data'!$H$4:$H$207&lt;&gt;""))+SUMPRODUCT(('Q3 Data'!$D$4:$D$207=D69)*('Q3 Data'!$B$4:$B$207="Challan")*('Q3 Data'!$H$4:$H$207&lt;&gt;""))+SUMPRODUCT(('Q4 Data'!$D$4:$D$207=D69)*('Q4 Data'!$B$4:$B$207="Challan")*('Q4 Data'!$H$4:$H$207&lt;&gt;"")))&gt;0,(SUMPRODUCT(('Q1 Data'!$D$4:$D$207=D69)*('Q1 Data'!$B$4:$B$207="Challan")*('Q1 Data'!$H$4:$H$207=Z69))+SUMPRODUCT(('Q2 Data'!$D$4:$D$207=D69)*('Q2 Data'!$B$4:$B$207="Challan")*('Q2 Data'!$H$4:$H$207=Z69))+SUMPRODUCT(('Q3 Data'!$D$4:$D$207=D69)*('Q3 Data'!$B$4:$B$207="Challan")*('Q3 Data'!$H$4:$H$207=Z69))+SUMPRODUCT(('Q4 Data'!$D$4:$D$207=D69)*('Q4 Data'!$B$4:$B$207="Challan")*('Q4 Data'!$H$4:$H$207=Z69)))=0))</f>
      </c>
    </row>
    <row r="70" spans="1:44" x14ac:dyDescent="0.25">
      <c r="A70" s="20">
        <f>IF($B70="Entry",COUNTIF($B$4:$B70,"Entry"),"")</f>
      </c>
      <c r="B70" s="21"/>
      <c r="C70" s="22"/>
      <c r="D70" s="22"/>
      <c r="E70" s="23">
        <f>IF($B70&lt;&gt;"Challan","",IF(ROUND(AN70-AO70,2)&gt;0,"Over-applied",IF(ROUND(AN70-AO70,2)=0,"Fully Utilised","Unconsumed")))</f>
      </c>
      <c r="F70" s="24"/>
      <c r="G70" s="25"/>
      <c r="H70" s="25"/>
      <c r="I70" s="26"/>
      <c r="J70" s="26"/>
      <c r="K70" s="26"/>
      <c r="L70" s="26"/>
      <c r="M70" s="26"/>
      <c r="N70" s="26"/>
      <c r="O70" s="26"/>
      <c r="P70" s="27">
        <f>IF($B70&lt;&gt;"Challan","",I70+J70+K70+L70+M70+N70)</f>
      </c>
      <c r="Q70" s="25"/>
      <c r="R70" s="25"/>
      <c r="S70" s="25"/>
      <c r="T70" s="25"/>
      <c r="U70" s="25"/>
      <c r="V70" s="28"/>
      <c r="W70" s="28"/>
      <c r="X70" s="23">
        <f>IF($B70="Entry",IF(AND(LEN(TRIM(UPPER(W70)))=10,CODE(MID(TRIM(UPPER(W70)),1,1))&gt;=65,CODE(MID(TRIM(UPPER(W70)),1,1))&lt;=90,CODE(MID(TRIM(UPPER(W70)),2,1))&gt;=65,CODE(MID(TRIM(UPPER(W70)),2,1))&lt;=90,CODE(MID(TRIM(UPPER(W70)),3,1))&gt;=65,CODE(MID(TRIM(UPPER(W70)),3,1))&lt;=90,CODE(MID(TRIM(UPPER(W70)),4,1))&gt;=65,CODE(MID(TRIM(UPPER(W70)),4,1))&lt;=90,CODE(MID(TRIM(UPPER(W70)),5,1))&gt;=65,CODE(MID(TRIM(UPPER(W70)),5,1))&lt;=90,CODE(MID(TRIM(UPPER(W70)),10,1))&gt;=65,CODE(MID(TRIM(UPPER(W70)),10,1))&lt;=90,CODE(MID(TRIM(UPPER(W70)),6,1))&gt;=48,CODE(MID(TRIM(UPPER(W70)),6,1))&lt;=57,CODE(MID(TRIM(UPPER(W70)),7,1))&gt;=48,CODE(MID(TRIM(UPPER(W70)),7,1))&lt;=57,CODE(MID(TRIM(UPPER(W70)),8,1))&gt;=48,CODE(MID(TRIM(UPPER(W70)),8,1))&lt;=57,CODE(MID(TRIM(UPPER(W70)),9,1))&gt;=48,CODE(MID(TRIM(UPPER(W70)),9,1))&lt;=57),"N","Y"),IF($B70="Challan","",IF(W70&lt;&gt;"","◄ Set Row Type","")))</f>
      </c>
      <c r="Y70" s="23">
        <f>IF($B70="Entry",IF(LEN(W70)&lt;4,"",IF(UPPER(MID(W70,4,1))="P","Individual",IF(UPPER(MID(W70,4,1))="H","HUF",IF(UPPER(MID(W70,4,1))="C","Company",IF(UPPER(MID(W70,4,1))="F","Firm",IF(UPPER(MID(W70,4,1))="L","LLP",IF(UPPER(MID(W70,4,1))="T","Trust",IF(UPPER(MID(W70,4,1))="A","AOP","")))))))),IF($B70="Challan","",IF(W70&lt;&gt;"","◄ Set Row Type","")))</f>
      </c>
      <c r="Z70" s="28"/>
      <c r="AA70" s="29">
        <f>IF($B70&lt;&gt;"Entry","",IF(Z70="","",IF(X70="Y",SUMPRODUCT(('Rate Lookup'!$A$1:$A$37=Z70)*'Rate Lookup'!$D$1:$D$37),IF(OR(Y70="Individual",Y70="HUF"),SUMPRODUCT(('Rate Lookup'!$A$1:$A$37=Z70)*'Rate Lookup'!$B$1:$B$37),SUMPRODUCT(('Rate Lookup'!$A$1:$A$37=Z70)*'Rate Lookup'!$C$1:$C$37)))))</f>
      </c>
      <c r="AB70" s="30"/>
      <c r="AC70" s="31"/>
      <c r="AD70" s="27">
        <f>IF($B70&lt;&gt;"Entry","",ROUND(AC70*AA70/100,0))</f>
      </c>
      <c r="AE70" s="27">
        <f>IF($B70&lt;&gt;"Entry","",0)</f>
      </c>
      <c r="AF70" s="27">
        <f>IF($B70&lt;&gt;"Entry","",0)</f>
      </c>
      <c r="AG70" s="27">
        <f>IF($B70&lt;&gt;"Entry","",IF(OR(AD70=0,AB70="",AQ70="",AQ70&lt;=0),0,IF(AQ70&lt;=DATE(YEAR(AB70),MONTH(AB70)+1,7),0,ROUND(AD70*0.015*((YEAR(AQ70)-YEAR(AB70))*12+(MONTH(AQ70)-MONTH(AB70))+1),0))))</f>
      </c>
      <c r="AH70" s="27">
        <f>IF($B70&lt;&gt;"Entry","",0)</f>
      </c>
      <c r="AI70" s="28"/>
      <c r="AJ70" s="28"/>
      <c r="AK70" s="32"/>
      <c r="AL70" s="28"/>
      <c r="AM70" s="28"/>
      <c r="AN70" s="27">
        <f>IF($B70&lt;&gt;"Challan","",SUMIF('Q1 Data'!$D$4:$D$207,D70,'Q1 Data'!$AD$4:$AD$207)+SUMIF('Q1 Data'!$D$4:$D$207,D70,'Q1 Data'!$AG$4:$AG$207)+SUMIF('Q1 Data'!$D$4:$D$207,D70,'Q1 Data'!$AE$4:$AE$207)+SUMIF('Q2 Data'!$D$4:$D$207,D70,'Q2 Data'!$AD$4:$AD$207)+SUMIF('Q2 Data'!$D$4:$D$207,D70,'Q2 Data'!$AG$4:$AG$207)+SUMIF('Q2 Data'!$D$4:$D$207,D70,'Q2 Data'!$AE$4:$AE$207)+SUMIF('Q3 Data'!$D$4:$D$207,D70,'Q3 Data'!$AD$4:$AD$207)+SUMIF('Q3 Data'!$D$4:$D$207,D70,'Q3 Data'!$AG$4:$AG$207)+SUMIF('Q3 Data'!$D$4:$D$207,D70,'Q3 Data'!$AE$4:$AE$207)+SUMIF('Q4 Data'!$D$4:$D$207,D70,'Q4 Data'!$AD$4:$AD$207)+SUMIF('Q4 Data'!$D$4:$D$207,D70,'Q4 Data'!$AG$4:$AG$207)+SUMIF('Q4 Data'!$D$4:$D$207,D70,'Q4 Data'!$AE$4:$AE$207))</f>
      </c>
      <c r="AO70" s="27">
        <f>IF($B70&lt;&gt;"Challan","",P70-N70)</f>
      </c>
      <c r="AP70" s="27">
        <f>IF($B70&lt;&gt;"Challan","",MAX(0,AO70-AN70))</f>
      </c>
      <c r="AQ70" s="33">
        <f>IF($B70&lt;&gt;"Entry","",SUMPRODUCT(('Q1 Data'!$D$4:$D$207=D70)*('Q1 Data'!$B$4:$B$207="Challan")*'Q1 Data'!$F$4:$F$207)+SUMPRODUCT(('Q2 Data'!$D$4:$D$207=D70)*('Q2 Data'!$B$4:$B$207="Challan")*'Q2 Data'!$F$4:$F$207)+SUMPRODUCT(('Q3 Data'!$D$4:$D$207=D70)*('Q3 Data'!$B$4:$B$207="Challan")*'Q3 Data'!$F$4:$F$207)+SUMPRODUCT(('Q4 Data'!$D$4:$D$207=D70)*('Q4 Data'!$B$4:$B$207="Challan")*'Q4 Data'!$F$4:$F$207))</f>
      </c>
      <c r="AR70" s="34">
        <f>IF(OR($B70&lt;&gt;"Entry",Z70=""),FALSE,AND((SUMPRODUCT(('Q1 Data'!$D$4:$D$207=D70)*('Q1 Data'!$B$4:$B$207="Challan")*('Q1 Data'!$H$4:$H$207&lt;&gt;""))+SUMPRODUCT(('Q2 Data'!$D$4:$D$207=D70)*('Q2 Data'!$B$4:$B$207="Challan")*('Q2 Data'!$H$4:$H$207&lt;&gt;""))+SUMPRODUCT(('Q3 Data'!$D$4:$D$207=D70)*('Q3 Data'!$B$4:$B$207="Challan")*('Q3 Data'!$H$4:$H$207&lt;&gt;""))+SUMPRODUCT(('Q4 Data'!$D$4:$D$207=D70)*('Q4 Data'!$B$4:$B$207="Challan")*('Q4 Data'!$H$4:$H$207&lt;&gt;"")))&gt;0,(SUMPRODUCT(('Q1 Data'!$D$4:$D$207=D70)*('Q1 Data'!$B$4:$B$207="Challan")*('Q1 Data'!$H$4:$H$207=Z70))+SUMPRODUCT(('Q2 Data'!$D$4:$D$207=D70)*('Q2 Data'!$B$4:$B$207="Challan")*('Q2 Data'!$H$4:$H$207=Z70))+SUMPRODUCT(('Q3 Data'!$D$4:$D$207=D70)*('Q3 Data'!$B$4:$B$207="Challan")*('Q3 Data'!$H$4:$H$207=Z70))+SUMPRODUCT(('Q4 Data'!$D$4:$D$207=D70)*('Q4 Data'!$B$4:$B$207="Challan")*('Q4 Data'!$H$4:$H$207=Z70)))=0))</f>
      </c>
    </row>
    <row r="71" spans="1:44" x14ac:dyDescent="0.25">
      <c r="A71" s="20">
        <f>IF($B71="Entry",COUNTIF($B$4:$B71,"Entry"),"")</f>
      </c>
      <c r="B71" s="21"/>
      <c r="C71" s="22"/>
      <c r="D71" s="22"/>
      <c r="E71" s="23">
        <f>IF($B71&lt;&gt;"Challan","",IF(ROUND(AN71-AO71,2)&gt;0,"Over-applied",IF(ROUND(AN71-AO71,2)=0,"Fully Utilised","Unconsumed")))</f>
      </c>
      <c r="F71" s="24"/>
      <c r="G71" s="25"/>
      <c r="H71" s="25"/>
      <c r="I71" s="26"/>
      <c r="J71" s="26"/>
      <c r="K71" s="26"/>
      <c r="L71" s="26"/>
      <c r="M71" s="26"/>
      <c r="N71" s="26"/>
      <c r="O71" s="26"/>
      <c r="P71" s="27">
        <f>IF($B71&lt;&gt;"Challan","",I71+J71+K71+L71+M71+N71)</f>
      </c>
      <c r="Q71" s="25"/>
      <c r="R71" s="25"/>
      <c r="S71" s="25"/>
      <c r="T71" s="25"/>
      <c r="U71" s="25"/>
      <c r="V71" s="28"/>
      <c r="W71" s="28"/>
      <c r="X71" s="23">
        <f>IF($B71="Entry",IF(AND(LEN(TRIM(UPPER(W71)))=10,CODE(MID(TRIM(UPPER(W71)),1,1))&gt;=65,CODE(MID(TRIM(UPPER(W71)),1,1))&lt;=90,CODE(MID(TRIM(UPPER(W71)),2,1))&gt;=65,CODE(MID(TRIM(UPPER(W71)),2,1))&lt;=90,CODE(MID(TRIM(UPPER(W71)),3,1))&gt;=65,CODE(MID(TRIM(UPPER(W71)),3,1))&lt;=90,CODE(MID(TRIM(UPPER(W71)),4,1))&gt;=65,CODE(MID(TRIM(UPPER(W71)),4,1))&lt;=90,CODE(MID(TRIM(UPPER(W71)),5,1))&gt;=65,CODE(MID(TRIM(UPPER(W71)),5,1))&lt;=90,CODE(MID(TRIM(UPPER(W71)),10,1))&gt;=65,CODE(MID(TRIM(UPPER(W71)),10,1))&lt;=90,CODE(MID(TRIM(UPPER(W71)),6,1))&gt;=48,CODE(MID(TRIM(UPPER(W71)),6,1))&lt;=57,CODE(MID(TRIM(UPPER(W71)),7,1))&gt;=48,CODE(MID(TRIM(UPPER(W71)),7,1))&lt;=57,CODE(MID(TRIM(UPPER(W71)),8,1))&gt;=48,CODE(MID(TRIM(UPPER(W71)),8,1))&lt;=57,CODE(MID(TRIM(UPPER(W71)),9,1))&gt;=48,CODE(MID(TRIM(UPPER(W71)),9,1))&lt;=57),"N","Y"),IF($B71="Challan","",IF(W71&lt;&gt;"","◄ Set Row Type","")))</f>
      </c>
      <c r="Y71" s="23">
        <f>IF($B71="Entry",IF(LEN(W71)&lt;4,"",IF(UPPER(MID(W71,4,1))="P","Individual",IF(UPPER(MID(W71,4,1))="H","HUF",IF(UPPER(MID(W71,4,1))="C","Company",IF(UPPER(MID(W71,4,1))="F","Firm",IF(UPPER(MID(W71,4,1))="L","LLP",IF(UPPER(MID(W71,4,1))="T","Trust",IF(UPPER(MID(W71,4,1))="A","AOP","")))))))),IF($B71="Challan","",IF(W71&lt;&gt;"","◄ Set Row Type","")))</f>
      </c>
      <c r="Z71" s="28"/>
      <c r="AA71" s="29">
        <f>IF($B71&lt;&gt;"Entry","",IF(Z71="","",IF(X71="Y",SUMPRODUCT(('Rate Lookup'!$A$1:$A$37=Z71)*'Rate Lookup'!$D$1:$D$37),IF(OR(Y71="Individual",Y71="HUF"),SUMPRODUCT(('Rate Lookup'!$A$1:$A$37=Z71)*'Rate Lookup'!$B$1:$B$37),SUMPRODUCT(('Rate Lookup'!$A$1:$A$37=Z71)*'Rate Lookup'!$C$1:$C$37)))))</f>
      </c>
      <c r="AB71" s="30"/>
      <c r="AC71" s="31"/>
      <c r="AD71" s="27">
        <f>IF($B71&lt;&gt;"Entry","",ROUND(AC71*AA71/100,0))</f>
      </c>
      <c r="AE71" s="27">
        <f>IF($B71&lt;&gt;"Entry","",0)</f>
      </c>
      <c r="AF71" s="27">
        <f>IF($B71&lt;&gt;"Entry","",0)</f>
      </c>
      <c r="AG71" s="27">
        <f>IF($B71&lt;&gt;"Entry","",IF(OR(AD71=0,AB71="",AQ71="",AQ71&lt;=0),0,IF(AQ71&lt;=DATE(YEAR(AB71),MONTH(AB71)+1,7),0,ROUND(AD71*0.015*((YEAR(AQ71)-YEAR(AB71))*12+(MONTH(AQ71)-MONTH(AB71))+1),0))))</f>
      </c>
      <c r="AH71" s="27">
        <f>IF($B71&lt;&gt;"Entry","",0)</f>
      </c>
      <c r="AI71" s="28"/>
      <c r="AJ71" s="28"/>
      <c r="AK71" s="32"/>
      <c r="AL71" s="28"/>
      <c r="AM71" s="28"/>
      <c r="AN71" s="27">
        <f>IF($B71&lt;&gt;"Challan","",SUMIF('Q1 Data'!$D$4:$D$207,D71,'Q1 Data'!$AD$4:$AD$207)+SUMIF('Q1 Data'!$D$4:$D$207,D71,'Q1 Data'!$AG$4:$AG$207)+SUMIF('Q1 Data'!$D$4:$D$207,D71,'Q1 Data'!$AE$4:$AE$207)+SUMIF('Q2 Data'!$D$4:$D$207,D71,'Q2 Data'!$AD$4:$AD$207)+SUMIF('Q2 Data'!$D$4:$D$207,D71,'Q2 Data'!$AG$4:$AG$207)+SUMIF('Q2 Data'!$D$4:$D$207,D71,'Q2 Data'!$AE$4:$AE$207)+SUMIF('Q3 Data'!$D$4:$D$207,D71,'Q3 Data'!$AD$4:$AD$207)+SUMIF('Q3 Data'!$D$4:$D$207,D71,'Q3 Data'!$AG$4:$AG$207)+SUMIF('Q3 Data'!$D$4:$D$207,D71,'Q3 Data'!$AE$4:$AE$207)+SUMIF('Q4 Data'!$D$4:$D$207,D71,'Q4 Data'!$AD$4:$AD$207)+SUMIF('Q4 Data'!$D$4:$D$207,D71,'Q4 Data'!$AG$4:$AG$207)+SUMIF('Q4 Data'!$D$4:$D$207,D71,'Q4 Data'!$AE$4:$AE$207))</f>
      </c>
      <c r="AO71" s="27">
        <f>IF($B71&lt;&gt;"Challan","",P71-N71)</f>
      </c>
      <c r="AP71" s="27">
        <f>IF($B71&lt;&gt;"Challan","",MAX(0,AO71-AN71))</f>
      </c>
      <c r="AQ71" s="33">
        <f>IF($B71&lt;&gt;"Entry","",SUMPRODUCT(('Q1 Data'!$D$4:$D$207=D71)*('Q1 Data'!$B$4:$B$207="Challan")*'Q1 Data'!$F$4:$F$207)+SUMPRODUCT(('Q2 Data'!$D$4:$D$207=D71)*('Q2 Data'!$B$4:$B$207="Challan")*'Q2 Data'!$F$4:$F$207)+SUMPRODUCT(('Q3 Data'!$D$4:$D$207=D71)*('Q3 Data'!$B$4:$B$207="Challan")*'Q3 Data'!$F$4:$F$207)+SUMPRODUCT(('Q4 Data'!$D$4:$D$207=D71)*('Q4 Data'!$B$4:$B$207="Challan")*'Q4 Data'!$F$4:$F$207))</f>
      </c>
      <c r="AR71" s="34">
        <f>IF(OR($B71&lt;&gt;"Entry",Z71=""),FALSE,AND((SUMPRODUCT(('Q1 Data'!$D$4:$D$207=D71)*('Q1 Data'!$B$4:$B$207="Challan")*('Q1 Data'!$H$4:$H$207&lt;&gt;""))+SUMPRODUCT(('Q2 Data'!$D$4:$D$207=D71)*('Q2 Data'!$B$4:$B$207="Challan")*('Q2 Data'!$H$4:$H$207&lt;&gt;""))+SUMPRODUCT(('Q3 Data'!$D$4:$D$207=D71)*('Q3 Data'!$B$4:$B$207="Challan")*('Q3 Data'!$H$4:$H$207&lt;&gt;""))+SUMPRODUCT(('Q4 Data'!$D$4:$D$207=D71)*('Q4 Data'!$B$4:$B$207="Challan")*('Q4 Data'!$H$4:$H$207&lt;&gt;"")))&gt;0,(SUMPRODUCT(('Q1 Data'!$D$4:$D$207=D71)*('Q1 Data'!$B$4:$B$207="Challan")*('Q1 Data'!$H$4:$H$207=Z71))+SUMPRODUCT(('Q2 Data'!$D$4:$D$207=D71)*('Q2 Data'!$B$4:$B$207="Challan")*('Q2 Data'!$H$4:$H$207=Z71))+SUMPRODUCT(('Q3 Data'!$D$4:$D$207=D71)*('Q3 Data'!$B$4:$B$207="Challan")*('Q3 Data'!$H$4:$H$207=Z71))+SUMPRODUCT(('Q4 Data'!$D$4:$D$207=D71)*('Q4 Data'!$B$4:$B$207="Challan")*('Q4 Data'!$H$4:$H$207=Z71)))=0))</f>
      </c>
    </row>
    <row r="72" spans="1:44" x14ac:dyDescent="0.25">
      <c r="A72" s="20">
        <f>IF($B72="Entry",COUNTIF($B$4:$B72,"Entry"),"")</f>
      </c>
      <c r="B72" s="21"/>
      <c r="C72" s="22"/>
      <c r="D72" s="22"/>
      <c r="E72" s="23">
        <f>IF($B72&lt;&gt;"Challan","",IF(ROUND(AN72-AO72,2)&gt;0,"Over-applied",IF(ROUND(AN72-AO72,2)=0,"Fully Utilised","Unconsumed")))</f>
      </c>
      <c r="F72" s="24"/>
      <c r="G72" s="25"/>
      <c r="H72" s="25"/>
      <c r="I72" s="26"/>
      <c r="J72" s="26"/>
      <c r="K72" s="26"/>
      <c r="L72" s="26"/>
      <c r="M72" s="26"/>
      <c r="N72" s="26"/>
      <c r="O72" s="26"/>
      <c r="P72" s="27">
        <f>IF($B72&lt;&gt;"Challan","",I72+J72+K72+L72+M72+N72)</f>
      </c>
      <c r="Q72" s="25"/>
      <c r="R72" s="25"/>
      <c r="S72" s="25"/>
      <c r="T72" s="25"/>
      <c r="U72" s="25"/>
      <c r="V72" s="28"/>
      <c r="W72" s="28"/>
      <c r="X72" s="23">
        <f>IF($B72="Entry",IF(AND(LEN(TRIM(UPPER(W72)))=10,CODE(MID(TRIM(UPPER(W72)),1,1))&gt;=65,CODE(MID(TRIM(UPPER(W72)),1,1))&lt;=90,CODE(MID(TRIM(UPPER(W72)),2,1))&gt;=65,CODE(MID(TRIM(UPPER(W72)),2,1))&lt;=90,CODE(MID(TRIM(UPPER(W72)),3,1))&gt;=65,CODE(MID(TRIM(UPPER(W72)),3,1))&lt;=90,CODE(MID(TRIM(UPPER(W72)),4,1))&gt;=65,CODE(MID(TRIM(UPPER(W72)),4,1))&lt;=90,CODE(MID(TRIM(UPPER(W72)),5,1))&gt;=65,CODE(MID(TRIM(UPPER(W72)),5,1))&lt;=90,CODE(MID(TRIM(UPPER(W72)),10,1))&gt;=65,CODE(MID(TRIM(UPPER(W72)),10,1))&lt;=90,CODE(MID(TRIM(UPPER(W72)),6,1))&gt;=48,CODE(MID(TRIM(UPPER(W72)),6,1))&lt;=57,CODE(MID(TRIM(UPPER(W72)),7,1))&gt;=48,CODE(MID(TRIM(UPPER(W72)),7,1))&lt;=57,CODE(MID(TRIM(UPPER(W72)),8,1))&gt;=48,CODE(MID(TRIM(UPPER(W72)),8,1))&lt;=57,CODE(MID(TRIM(UPPER(W72)),9,1))&gt;=48,CODE(MID(TRIM(UPPER(W72)),9,1))&lt;=57),"N","Y"),IF($B72="Challan","",IF(W72&lt;&gt;"","◄ Set Row Type","")))</f>
      </c>
      <c r="Y72" s="23">
        <f>IF($B72="Entry",IF(LEN(W72)&lt;4,"",IF(UPPER(MID(W72,4,1))="P","Individual",IF(UPPER(MID(W72,4,1))="H","HUF",IF(UPPER(MID(W72,4,1))="C","Company",IF(UPPER(MID(W72,4,1))="F","Firm",IF(UPPER(MID(W72,4,1))="L","LLP",IF(UPPER(MID(W72,4,1))="T","Trust",IF(UPPER(MID(W72,4,1))="A","AOP","")))))))),IF($B72="Challan","",IF(W72&lt;&gt;"","◄ Set Row Type","")))</f>
      </c>
      <c r="Z72" s="28"/>
      <c r="AA72" s="29">
        <f>IF($B72&lt;&gt;"Entry","",IF(Z72="","",IF(X72="Y",SUMPRODUCT(('Rate Lookup'!$A$1:$A$37=Z72)*'Rate Lookup'!$D$1:$D$37),IF(OR(Y72="Individual",Y72="HUF"),SUMPRODUCT(('Rate Lookup'!$A$1:$A$37=Z72)*'Rate Lookup'!$B$1:$B$37),SUMPRODUCT(('Rate Lookup'!$A$1:$A$37=Z72)*'Rate Lookup'!$C$1:$C$37)))))</f>
      </c>
      <c r="AB72" s="30"/>
      <c r="AC72" s="31"/>
      <c r="AD72" s="27">
        <f>IF($B72&lt;&gt;"Entry","",ROUND(AC72*AA72/100,0))</f>
      </c>
      <c r="AE72" s="27">
        <f>IF($B72&lt;&gt;"Entry","",0)</f>
      </c>
      <c r="AF72" s="27">
        <f>IF($B72&lt;&gt;"Entry","",0)</f>
      </c>
      <c r="AG72" s="27">
        <f>IF($B72&lt;&gt;"Entry","",IF(OR(AD72=0,AB72="",AQ72="",AQ72&lt;=0),0,IF(AQ72&lt;=DATE(YEAR(AB72),MONTH(AB72)+1,7),0,ROUND(AD72*0.015*((YEAR(AQ72)-YEAR(AB72))*12+(MONTH(AQ72)-MONTH(AB72))+1),0))))</f>
      </c>
      <c r="AH72" s="27">
        <f>IF($B72&lt;&gt;"Entry","",0)</f>
      </c>
      <c r="AI72" s="28"/>
      <c r="AJ72" s="28"/>
      <c r="AK72" s="32"/>
      <c r="AL72" s="28"/>
      <c r="AM72" s="28"/>
      <c r="AN72" s="27">
        <f>IF($B72&lt;&gt;"Challan","",SUMIF('Q1 Data'!$D$4:$D$207,D72,'Q1 Data'!$AD$4:$AD$207)+SUMIF('Q1 Data'!$D$4:$D$207,D72,'Q1 Data'!$AG$4:$AG$207)+SUMIF('Q1 Data'!$D$4:$D$207,D72,'Q1 Data'!$AE$4:$AE$207)+SUMIF('Q2 Data'!$D$4:$D$207,D72,'Q2 Data'!$AD$4:$AD$207)+SUMIF('Q2 Data'!$D$4:$D$207,D72,'Q2 Data'!$AG$4:$AG$207)+SUMIF('Q2 Data'!$D$4:$D$207,D72,'Q2 Data'!$AE$4:$AE$207)+SUMIF('Q3 Data'!$D$4:$D$207,D72,'Q3 Data'!$AD$4:$AD$207)+SUMIF('Q3 Data'!$D$4:$D$207,D72,'Q3 Data'!$AG$4:$AG$207)+SUMIF('Q3 Data'!$D$4:$D$207,D72,'Q3 Data'!$AE$4:$AE$207)+SUMIF('Q4 Data'!$D$4:$D$207,D72,'Q4 Data'!$AD$4:$AD$207)+SUMIF('Q4 Data'!$D$4:$D$207,D72,'Q4 Data'!$AG$4:$AG$207)+SUMIF('Q4 Data'!$D$4:$D$207,D72,'Q4 Data'!$AE$4:$AE$207))</f>
      </c>
      <c r="AO72" s="27">
        <f>IF($B72&lt;&gt;"Challan","",P72-N72)</f>
      </c>
      <c r="AP72" s="27">
        <f>IF($B72&lt;&gt;"Challan","",MAX(0,AO72-AN72))</f>
      </c>
      <c r="AQ72" s="33">
        <f>IF($B72&lt;&gt;"Entry","",SUMPRODUCT(('Q1 Data'!$D$4:$D$207=D72)*('Q1 Data'!$B$4:$B$207="Challan")*'Q1 Data'!$F$4:$F$207)+SUMPRODUCT(('Q2 Data'!$D$4:$D$207=D72)*('Q2 Data'!$B$4:$B$207="Challan")*'Q2 Data'!$F$4:$F$207)+SUMPRODUCT(('Q3 Data'!$D$4:$D$207=D72)*('Q3 Data'!$B$4:$B$207="Challan")*'Q3 Data'!$F$4:$F$207)+SUMPRODUCT(('Q4 Data'!$D$4:$D$207=D72)*('Q4 Data'!$B$4:$B$207="Challan")*'Q4 Data'!$F$4:$F$207))</f>
      </c>
      <c r="AR72" s="34">
        <f>IF(OR($B72&lt;&gt;"Entry",Z72=""),FALSE,AND((SUMPRODUCT(('Q1 Data'!$D$4:$D$207=D72)*('Q1 Data'!$B$4:$B$207="Challan")*('Q1 Data'!$H$4:$H$207&lt;&gt;""))+SUMPRODUCT(('Q2 Data'!$D$4:$D$207=D72)*('Q2 Data'!$B$4:$B$207="Challan")*('Q2 Data'!$H$4:$H$207&lt;&gt;""))+SUMPRODUCT(('Q3 Data'!$D$4:$D$207=D72)*('Q3 Data'!$B$4:$B$207="Challan")*('Q3 Data'!$H$4:$H$207&lt;&gt;""))+SUMPRODUCT(('Q4 Data'!$D$4:$D$207=D72)*('Q4 Data'!$B$4:$B$207="Challan")*('Q4 Data'!$H$4:$H$207&lt;&gt;"")))&gt;0,(SUMPRODUCT(('Q1 Data'!$D$4:$D$207=D72)*('Q1 Data'!$B$4:$B$207="Challan")*('Q1 Data'!$H$4:$H$207=Z72))+SUMPRODUCT(('Q2 Data'!$D$4:$D$207=D72)*('Q2 Data'!$B$4:$B$207="Challan")*('Q2 Data'!$H$4:$H$207=Z72))+SUMPRODUCT(('Q3 Data'!$D$4:$D$207=D72)*('Q3 Data'!$B$4:$B$207="Challan")*('Q3 Data'!$H$4:$H$207=Z72))+SUMPRODUCT(('Q4 Data'!$D$4:$D$207=D72)*('Q4 Data'!$B$4:$B$207="Challan")*('Q4 Data'!$H$4:$H$207=Z72)))=0))</f>
      </c>
    </row>
    <row r="73" spans="1:44" x14ac:dyDescent="0.25">
      <c r="A73" s="20">
        <f>IF($B73="Entry",COUNTIF($B$4:$B73,"Entry"),"")</f>
      </c>
      <c r="B73" s="21"/>
      <c r="C73" s="22"/>
      <c r="D73" s="22"/>
      <c r="E73" s="23">
        <f>IF($B73&lt;&gt;"Challan","",IF(ROUND(AN73-AO73,2)&gt;0,"Over-applied",IF(ROUND(AN73-AO73,2)=0,"Fully Utilised","Unconsumed")))</f>
      </c>
      <c r="F73" s="24"/>
      <c r="G73" s="25"/>
      <c r="H73" s="25"/>
      <c r="I73" s="26"/>
      <c r="J73" s="26"/>
      <c r="K73" s="26"/>
      <c r="L73" s="26"/>
      <c r="M73" s="26"/>
      <c r="N73" s="26"/>
      <c r="O73" s="26"/>
      <c r="P73" s="27">
        <f>IF($B73&lt;&gt;"Challan","",I73+J73+K73+L73+M73+N73)</f>
      </c>
      <c r="Q73" s="25"/>
      <c r="R73" s="25"/>
      <c r="S73" s="25"/>
      <c r="T73" s="25"/>
      <c r="U73" s="25"/>
      <c r="V73" s="28"/>
      <c r="W73" s="28"/>
      <c r="X73" s="23">
        <f>IF($B73="Entry",IF(AND(LEN(TRIM(UPPER(W73)))=10,CODE(MID(TRIM(UPPER(W73)),1,1))&gt;=65,CODE(MID(TRIM(UPPER(W73)),1,1))&lt;=90,CODE(MID(TRIM(UPPER(W73)),2,1))&gt;=65,CODE(MID(TRIM(UPPER(W73)),2,1))&lt;=90,CODE(MID(TRIM(UPPER(W73)),3,1))&gt;=65,CODE(MID(TRIM(UPPER(W73)),3,1))&lt;=90,CODE(MID(TRIM(UPPER(W73)),4,1))&gt;=65,CODE(MID(TRIM(UPPER(W73)),4,1))&lt;=90,CODE(MID(TRIM(UPPER(W73)),5,1))&gt;=65,CODE(MID(TRIM(UPPER(W73)),5,1))&lt;=90,CODE(MID(TRIM(UPPER(W73)),10,1))&gt;=65,CODE(MID(TRIM(UPPER(W73)),10,1))&lt;=90,CODE(MID(TRIM(UPPER(W73)),6,1))&gt;=48,CODE(MID(TRIM(UPPER(W73)),6,1))&lt;=57,CODE(MID(TRIM(UPPER(W73)),7,1))&gt;=48,CODE(MID(TRIM(UPPER(W73)),7,1))&lt;=57,CODE(MID(TRIM(UPPER(W73)),8,1))&gt;=48,CODE(MID(TRIM(UPPER(W73)),8,1))&lt;=57,CODE(MID(TRIM(UPPER(W73)),9,1))&gt;=48,CODE(MID(TRIM(UPPER(W73)),9,1))&lt;=57),"N","Y"),IF($B73="Challan","",IF(W73&lt;&gt;"","◄ Set Row Type","")))</f>
      </c>
      <c r="Y73" s="23">
        <f>IF($B73="Entry",IF(LEN(W73)&lt;4,"",IF(UPPER(MID(W73,4,1))="P","Individual",IF(UPPER(MID(W73,4,1))="H","HUF",IF(UPPER(MID(W73,4,1))="C","Company",IF(UPPER(MID(W73,4,1))="F","Firm",IF(UPPER(MID(W73,4,1))="L","LLP",IF(UPPER(MID(W73,4,1))="T","Trust",IF(UPPER(MID(W73,4,1))="A","AOP","")))))))),IF($B73="Challan","",IF(W73&lt;&gt;"","◄ Set Row Type","")))</f>
      </c>
      <c r="Z73" s="28"/>
      <c r="AA73" s="29">
        <f>IF($B73&lt;&gt;"Entry","",IF(Z73="","",IF(X73="Y",SUMPRODUCT(('Rate Lookup'!$A$1:$A$37=Z73)*'Rate Lookup'!$D$1:$D$37),IF(OR(Y73="Individual",Y73="HUF"),SUMPRODUCT(('Rate Lookup'!$A$1:$A$37=Z73)*'Rate Lookup'!$B$1:$B$37),SUMPRODUCT(('Rate Lookup'!$A$1:$A$37=Z73)*'Rate Lookup'!$C$1:$C$37)))))</f>
      </c>
      <c r="AB73" s="30"/>
      <c r="AC73" s="31"/>
      <c r="AD73" s="27">
        <f>IF($B73&lt;&gt;"Entry","",ROUND(AC73*AA73/100,0))</f>
      </c>
      <c r="AE73" s="27">
        <f>IF($B73&lt;&gt;"Entry","",0)</f>
      </c>
      <c r="AF73" s="27">
        <f>IF($B73&lt;&gt;"Entry","",0)</f>
      </c>
      <c r="AG73" s="27">
        <f>IF($B73&lt;&gt;"Entry","",IF(OR(AD73=0,AB73="",AQ73="",AQ73&lt;=0),0,IF(AQ73&lt;=DATE(YEAR(AB73),MONTH(AB73)+1,7),0,ROUND(AD73*0.015*((YEAR(AQ73)-YEAR(AB73))*12+(MONTH(AQ73)-MONTH(AB73))+1),0))))</f>
      </c>
      <c r="AH73" s="27">
        <f>IF($B73&lt;&gt;"Entry","",0)</f>
      </c>
      <c r="AI73" s="28"/>
      <c r="AJ73" s="28"/>
      <c r="AK73" s="32"/>
      <c r="AL73" s="28"/>
      <c r="AM73" s="28"/>
      <c r="AN73" s="27">
        <f>IF($B73&lt;&gt;"Challan","",SUMIF('Q1 Data'!$D$4:$D$207,D73,'Q1 Data'!$AD$4:$AD$207)+SUMIF('Q1 Data'!$D$4:$D$207,D73,'Q1 Data'!$AG$4:$AG$207)+SUMIF('Q1 Data'!$D$4:$D$207,D73,'Q1 Data'!$AE$4:$AE$207)+SUMIF('Q2 Data'!$D$4:$D$207,D73,'Q2 Data'!$AD$4:$AD$207)+SUMIF('Q2 Data'!$D$4:$D$207,D73,'Q2 Data'!$AG$4:$AG$207)+SUMIF('Q2 Data'!$D$4:$D$207,D73,'Q2 Data'!$AE$4:$AE$207)+SUMIF('Q3 Data'!$D$4:$D$207,D73,'Q3 Data'!$AD$4:$AD$207)+SUMIF('Q3 Data'!$D$4:$D$207,D73,'Q3 Data'!$AG$4:$AG$207)+SUMIF('Q3 Data'!$D$4:$D$207,D73,'Q3 Data'!$AE$4:$AE$207)+SUMIF('Q4 Data'!$D$4:$D$207,D73,'Q4 Data'!$AD$4:$AD$207)+SUMIF('Q4 Data'!$D$4:$D$207,D73,'Q4 Data'!$AG$4:$AG$207)+SUMIF('Q4 Data'!$D$4:$D$207,D73,'Q4 Data'!$AE$4:$AE$207))</f>
      </c>
      <c r="AO73" s="27">
        <f>IF($B73&lt;&gt;"Challan","",P73-N73)</f>
      </c>
      <c r="AP73" s="27">
        <f>IF($B73&lt;&gt;"Challan","",MAX(0,AO73-AN73))</f>
      </c>
      <c r="AQ73" s="33">
        <f>IF($B73&lt;&gt;"Entry","",SUMPRODUCT(('Q1 Data'!$D$4:$D$207=D73)*('Q1 Data'!$B$4:$B$207="Challan")*'Q1 Data'!$F$4:$F$207)+SUMPRODUCT(('Q2 Data'!$D$4:$D$207=D73)*('Q2 Data'!$B$4:$B$207="Challan")*'Q2 Data'!$F$4:$F$207)+SUMPRODUCT(('Q3 Data'!$D$4:$D$207=D73)*('Q3 Data'!$B$4:$B$207="Challan")*'Q3 Data'!$F$4:$F$207)+SUMPRODUCT(('Q4 Data'!$D$4:$D$207=D73)*('Q4 Data'!$B$4:$B$207="Challan")*'Q4 Data'!$F$4:$F$207))</f>
      </c>
      <c r="AR73" s="34">
        <f>IF(OR($B73&lt;&gt;"Entry",Z73=""),FALSE,AND((SUMPRODUCT(('Q1 Data'!$D$4:$D$207=D73)*('Q1 Data'!$B$4:$B$207="Challan")*('Q1 Data'!$H$4:$H$207&lt;&gt;""))+SUMPRODUCT(('Q2 Data'!$D$4:$D$207=D73)*('Q2 Data'!$B$4:$B$207="Challan")*('Q2 Data'!$H$4:$H$207&lt;&gt;""))+SUMPRODUCT(('Q3 Data'!$D$4:$D$207=D73)*('Q3 Data'!$B$4:$B$207="Challan")*('Q3 Data'!$H$4:$H$207&lt;&gt;""))+SUMPRODUCT(('Q4 Data'!$D$4:$D$207=D73)*('Q4 Data'!$B$4:$B$207="Challan")*('Q4 Data'!$H$4:$H$207&lt;&gt;"")))&gt;0,(SUMPRODUCT(('Q1 Data'!$D$4:$D$207=D73)*('Q1 Data'!$B$4:$B$207="Challan")*('Q1 Data'!$H$4:$H$207=Z73))+SUMPRODUCT(('Q2 Data'!$D$4:$D$207=D73)*('Q2 Data'!$B$4:$B$207="Challan")*('Q2 Data'!$H$4:$H$207=Z73))+SUMPRODUCT(('Q3 Data'!$D$4:$D$207=D73)*('Q3 Data'!$B$4:$B$207="Challan")*('Q3 Data'!$H$4:$H$207=Z73))+SUMPRODUCT(('Q4 Data'!$D$4:$D$207=D73)*('Q4 Data'!$B$4:$B$207="Challan")*('Q4 Data'!$H$4:$H$207=Z73)))=0))</f>
      </c>
    </row>
    <row r="74" spans="1:44" x14ac:dyDescent="0.25">
      <c r="A74" s="20">
        <f>IF($B74="Entry",COUNTIF($B$4:$B74,"Entry"),"")</f>
      </c>
      <c r="B74" s="21"/>
      <c r="C74" s="22"/>
      <c r="D74" s="22"/>
      <c r="E74" s="23">
        <f>IF($B74&lt;&gt;"Challan","",IF(ROUND(AN74-AO74,2)&gt;0,"Over-applied",IF(ROUND(AN74-AO74,2)=0,"Fully Utilised","Unconsumed")))</f>
      </c>
      <c r="F74" s="24"/>
      <c r="G74" s="25"/>
      <c r="H74" s="25"/>
      <c r="I74" s="26"/>
      <c r="J74" s="26"/>
      <c r="K74" s="26"/>
      <c r="L74" s="26"/>
      <c r="M74" s="26"/>
      <c r="N74" s="26"/>
      <c r="O74" s="26"/>
      <c r="P74" s="27">
        <f>IF($B74&lt;&gt;"Challan","",I74+J74+K74+L74+M74+N74)</f>
      </c>
      <c r="Q74" s="25"/>
      <c r="R74" s="25"/>
      <c r="S74" s="25"/>
      <c r="T74" s="25"/>
      <c r="U74" s="25"/>
      <c r="V74" s="28"/>
      <c r="W74" s="28"/>
      <c r="X74" s="23">
        <f>IF($B74="Entry",IF(AND(LEN(TRIM(UPPER(W74)))=10,CODE(MID(TRIM(UPPER(W74)),1,1))&gt;=65,CODE(MID(TRIM(UPPER(W74)),1,1))&lt;=90,CODE(MID(TRIM(UPPER(W74)),2,1))&gt;=65,CODE(MID(TRIM(UPPER(W74)),2,1))&lt;=90,CODE(MID(TRIM(UPPER(W74)),3,1))&gt;=65,CODE(MID(TRIM(UPPER(W74)),3,1))&lt;=90,CODE(MID(TRIM(UPPER(W74)),4,1))&gt;=65,CODE(MID(TRIM(UPPER(W74)),4,1))&lt;=90,CODE(MID(TRIM(UPPER(W74)),5,1))&gt;=65,CODE(MID(TRIM(UPPER(W74)),5,1))&lt;=90,CODE(MID(TRIM(UPPER(W74)),10,1))&gt;=65,CODE(MID(TRIM(UPPER(W74)),10,1))&lt;=90,CODE(MID(TRIM(UPPER(W74)),6,1))&gt;=48,CODE(MID(TRIM(UPPER(W74)),6,1))&lt;=57,CODE(MID(TRIM(UPPER(W74)),7,1))&gt;=48,CODE(MID(TRIM(UPPER(W74)),7,1))&lt;=57,CODE(MID(TRIM(UPPER(W74)),8,1))&gt;=48,CODE(MID(TRIM(UPPER(W74)),8,1))&lt;=57,CODE(MID(TRIM(UPPER(W74)),9,1))&gt;=48,CODE(MID(TRIM(UPPER(W74)),9,1))&lt;=57),"N","Y"),IF($B74="Challan","",IF(W74&lt;&gt;"","◄ Set Row Type","")))</f>
      </c>
      <c r="Y74" s="23">
        <f>IF($B74="Entry",IF(LEN(W74)&lt;4,"",IF(UPPER(MID(W74,4,1))="P","Individual",IF(UPPER(MID(W74,4,1))="H","HUF",IF(UPPER(MID(W74,4,1))="C","Company",IF(UPPER(MID(W74,4,1))="F","Firm",IF(UPPER(MID(W74,4,1))="L","LLP",IF(UPPER(MID(W74,4,1))="T","Trust",IF(UPPER(MID(W74,4,1))="A","AOP","")))))))),IF($B74="Challan","",IF(W74&lt;&gt;"","◄ Set Row Type","")))</f>
      </c>
      <c r="Z74" s="28"/>
      <c r="AA74" s="29">
        <f>IF($B74&lt;&gt;"Entry","",IF(Z74="","",IF(X74="Y",SUMPRODUCT(('Rate Lookup'!$A$1:$A$37=Z74)*'Rate Lookup'!$D$1:$D$37),IF(OR(Y74="Individual",Y74="HUF"),SUMPRODUCT(('Rate Lookup'!$A$1:$A$37=Z74)*'Rate Lookup'!$B$1:$B$37),SUMPRODUCT(('Rate Lookup'!$A$1:$A$37=Z74)*'Rate Lookup'!$C$1:$C$37)))))</f>
      </c>
      <c r="AB74" s="30"/>
      <c r="AC74" s="31"/>
      <c r="AD74" s="27">
        <f>IF($B74&lt;&gt;"Entry","",ROUND(AC74*AA74/100,0))</f>
      </c>
      <c r="AE74" s="27">
        <f>IF($B74&lt;&gt;"Entry","",0)</f>
      </c>
      <c r="AF74" s="27">
        <f>IF($B74&lt;&gt;"Entry","",0)</f>
      </c>
      <c r="AG74" s="27">
        <f>IF($B74&lt;&gt;"Entry","",IF(OR(AD74=0,AB74="",AQ74="",AQ74&lt;=0),0,IF(AQ74&lt;=DATE(YEAR(AB74),MONTH(AB74)+1,7),0,ROUND(AD74*0.015*((YEAR(AQ74)-YEAR(AB74))*12+(MONTH(AQ74)-MONTH(AB74))+1),0))))</f>
      </c>
      <c r="AH74" s="27">
        <f>IF($B74&lt;&gt;"Entry","",0)</f>
      </c>
      <c r="AI74" s="28"/>
      <c r="AJ74" s="28"/>
      <c r="AK74" s="32"/>
      <c r="AL74" s="28"/>
      <c r="AM74" s="28"/>
      <c r="AN74" s="27">
        <f>IF($B74&lt;&gt;"Challan","",SUMIF('Q1 Data'!$D$4:$D$207,D74,'Q1 Data'!$AD$4:$AD$207)+SUMIF('Q1 Data'!$D$4:$D$207,D74,'Q1 Data'!$AG$4:$AG$207)+SUMIF('Q1 Data'!$D$4:$D$207,D74,'Q1 Data'!$AE$4:$AE$207)+SUMIF('Q2 Data'!$D$4:$D$207,D74,'Q2 Data'!$AD$4:$AD$207)+SUMIF('Q2 Data'!$D$4:$D$207,D74,'Q2 Data'!$AG$4:$AG$207)+SUMIF('Q2 Data'!$D$4:$D$207,D74,'Q2 Data'!$AE$4:$AE$207)+SUMIF('Q3 Data'!$D$4:$D$207,D74,'Q3 Data'!$AD$4:$AD$207)+SUMIF('Q3 Data'!$D$4:$D$207,D74,'Q3 Data'!$AG$4:$AG$207)+SUMIF('Q3 Data'!$D$4:$D$207,D74,'Q3 Data'!$AE$4:$AE$207)+SUMIF('Q4 Data'!$D$4:$D$207,D74,'Q4 Data'!$AD$4:$AD$207)+SUMIF('Q4 Data'!$D$4:$D$207,D74,'Q4 Data'!$AG$4:$AG$207)+SUMIF('Q4 Data'!$D$4:$D$207,D74,'Q4 Data'!$AE$4:$AE$207))</f>
      </c>
      <c r="AO74" s="27">
        <f>IF($B74&lt;&gt;"Challan","",P74-N74)</f>
      </c>
      <c r="AP74" s="27">
        <f>IF($B74&lt;&gt;"Challan","",MAX(0,AO74-AN74))</f>
      </c>
      <c r="AQ74" s="33">
        <f>IF($B74&lt;&gt;"Entry","",SUMPRODUCT(('Q1 Data'!$D$4:$D$207=D74)*('Q1 Data'!$B$4:$B$207="Challan")*'Q1 Data'!$F$4:$F$207)+SUMPRODUCT(('Q2 Data'!$D$4:$D$207=D74)*('Q2 Data'!$B$4:$B$207="Challan")*'Q2 Data'!$F$4:$F$207)+SUMPRODUCT(('Q3 Data'!$D$4:$D$207=D74)*('Q3 Data'!$B$4:$B$207="Challan")*'Q3 Data'!$F$4:$F$207)+SUMPRODUCT(('Q4 Data'!$D$4:$D$207=D74)*('Q4 Data'!$B$4:$B$207="Challan")*'Q4 Data'!$F$4:$F$207))</f>
      </c>
      <c r="AR74" s="34">
        <f>IF(OR($B74&lt;&gt;"Entry",Z74=""),FALSE,AND((SUMPRODUCT(('Q1 Data'!$D$4:$D$207=D74)*('Q1 Data'!$B$4:$B$207="Challan")*('Q1 Data'!$H$4:$H$207&lt;&gt;""))+SUMPRODUCT(('Q2 Data'!$D$4:$D$207=D74)*('Q2 Data'!$B$4:$B$207="Challan")*('Q2 Data'!$H$4:$H$207&lt;&gt;""))+SUMPRODUCT(('Q3 Data'!$D$4:$D$207=D74)*('Q3 Data'!$B$4:$B$207="Challan")*('Q3 Data'!$H$4:$H$207&lt;&gt;""))+SUMPRODUCT(('Q4 Data'!$D$4:$D$207=D74)*('Q4 Data'!$B$4:$B$207="Challan")*('Q4 Data'!$H$4:$H$207&lt;&gt;"")))&gt;0,(SUMPRODUCT(('Q1 Data'!$D$4:$D$207=D74)*('Q1 Data'!$B$4:$B$207="Challan")*('Q1 Data'!$H$4:$H$207=Z74))+SUMPRODUCT(('Q2 Data'!$D$4:$D$207=D74)*('Q2 Data'!$B$4:$B$207="Challan")*('Q2 Data'!$H$4:$H$207=Z74))+SUMPRODUCT(('Q3 Data'!$D$4:$D$207=D74)*('Q3 Data'!$B$4:$B$207="Challan")*('Q3 Data'!$H$4:$H$207=Z74))+SUMPRODUCT(('Q4 Data'!$D$4:$D$207=D74)*('Q4 Data'!$B$4:$B$207="Challan")*('Q4 Data'!$H$4:$H$207=Z74)))=0))</f>
      </c>
    </row>
    <row r="75" spans="1:44" x14ac:dyDescent="0.25">
      <c r="A75" s="20">
        <f>IF($B75="Entry",COUNTIF($B$4:$B75,"Entry"),"")</f>
      </c>
      <c r="B75" s="21"/>
      <c r="C75" s="22"/>
      <c r="D75" s="22"/>
      <c r="E75" s="23">
        <f>IF($B75&lt;&gt;"Challan","",IF(ROUND(AN75-AO75,2)&gt;0,"Over-applied",IF(ROUND(AN75-AO75,2)=0,"Fully Utilised","Unconsumed")))</f>
      </c>
      <c r="F75" s="24"/>
      <c r="G75" s="25"/>
      <c r="H75" s="25"/>
      <c r="I75" s="26"/>
      <c r="J75" s="26"/>
      <c r="K75" s="26"/>
      <c r="L75" s="26"/>
      <c r="M75" s="26"/>
      <c r="N75" s="26"/>
      <c r="O75" s="26"/>
      <c r="P75" s="27">
        <f>IF($B75&lt;&gt;"Challan","",I75+J75+K75+L75+M75+N75)</f>
      </c>
      <c r="Q75" s="25"/>
      <c r="R75" s="25"/>
      <c r="S75" s="25"/>
      <c r="T75" s="25"/>
      <c r="U75" s="25"/>
      <c r="V75" s="28"/>
      <c r="W75" s="28"/>
      <c r="X75" s="23">
        <f>IF($B75="Entry",IF(AND(LEN(TRIM(UPPER(W75)))=10,CODE(MID(TRIM(UPPER(W75)),1,1))&gt;=65,CODE(MID(TRIM(UPPER(W75)),1,1))&lt;=90,CODE(MID(TRIM(UPPER(W75)),2,1))&gt;=65,CODE(MID(TRIM(UPPER(W75)),2,1))&lt;=90,CODE(MID(TRIM(UPPER(W75)),3,1))&gt;=65,CODE(MID(TRIM(UPPER(W75)),3,1))&lt;=90,CODE(MID(TRIM(UPPER(W75)),4,1))&gt;=65,CODE(MID(TRIM(UPPER(W75)),4,1))&lt;=90,CODE(MID(TRIM(UPPER(W75)),5,1))&gt;=65,CODE(MID(TRIM(UPPER(W75)),5,1))&lt;=90,CODE(MID(TRIM(UPPER(W75)),10,1))&gt;=65,CODE(MID(TRIM(UPPER(W75)),10,1))&lt;=90,CODE(MID(TRIM(UPPER(W75)),6,1))&gt;=48,CODE(MID(TRIM(UPPER(W75)),6,1))&lt;=57,CODE(MID(TRIM(UPPER(W75)),7,1))&gt;=48,CODE(MID(TRIM(UPPER(W75)),7,1))&lt;=57,CODE(MID(TRIM(UPPER(W75)),8,1))&gt;=48,CODE(MID(TRIM(UPPER(W75)),8,1))&lt;=57,CODE(MID(TRIM(UPPER(W75)),9,1))&gt;=48,CODE(MID(TRIM(UPPER(W75)),9,1))&lt;=57),"N","Y"),IF($B75="Challan","",IF(W75&lt;&gt;"","◄ Set Row Type","")))</f>
      </c>
      <c r="Y75" s="23">
        <f>IF($B75="Entry",IF(LEN(W75)&lt;4,"",IF(UPPER(MID(W75,4,1))="P","Individual",IF(UPPER(MID(W75,4,1))="H","HUF",IF(UPPER(MID(W75,4,1))="C","Company",IF(UPPER(MID(W75,4,1))="F","Firm",IF(UPPER(MID(W75,4,1))="L","LLP",IF(UPPER(MID(W75,4,1))="T","Trust",IF(UPPER(MID(W75,4,1))="A","AOP","")))))))),IF($B75="Challan","",IF(W75&lt;&gt;"","◄ Set Row Type","")))</f>
      </c>
      <c r="Z75" s="28"/>
      <c r="AA75" s="29">
        <f>IF($B75&lt;&gt;"Entry","",IF(Z75="","",IF(X75="Y",SUMPRODUCT(('Rate Lookup'!$A$1:$A$37=Z75)*'Rate Lookup'!$D$1:$D$37),IF(OR(Y75="Individual",Y75="HUF"),SUMPRODUCT(('Rate Lookup'!$A$1:$A$37=Z75)*'Rate Lookup'!$B$1:$B$37),SUMPRODUCT(('Rate Lookup'!$A$1:$A$37=Z75)*'Rate Lookup'!$C$1:$C$37)))))</f>
      </c>
      <c r="AB75" s="30"/>
      <c r="AC75" s="31"/>
      <c r="AD75" s="27">
        <f>IF($B75&lt;&gt;"Entry","",ROUND(AC75*AA75/100,0))</f>
      </c>
      <c r="AE75" s="27">
        <f>IF($B75&lt;&gt;"Entry","",0)</f>
      </c>
      <c r="AF75" s="27">
        <f>IF($B75&lt;&gt;"Entry","",0)</f>
      </c>
      <c r="AG75" s="27">
        <f>IF($B75&lt;&gt;"Entry","",IF(OR(AD75=0,AB75="",AQ75="",AQ75&lt;=0),0,IF(AQ75&lt;=DATE(YEAR(AB75),MONTH(AB75)+1,7),0,ROUND(AD75*0.015*((YEAR(AQ75)-YEAR(AB75))*12+(MONTH(AQ75)-MONTH(AB75))+1),0))))</f>
      </c>
      <c r="AH75" s="27">
        <f>IF($B75&lt;&gt;"Entry","",0)</f>
      </c>
      <c r="AI75" s="28"/>
      <c r="AJ75" s="28"/>
      <c r="AK75" s="32"/>
      <c r="AL75" s="28"/>
      <c r="AM75" s="28"/>
      <c r="AN75" s="27">
        <f>IF($B75&lt;&gt;"Challan","",SUMIF('Q1 Data'!$D$4:$D$207,D75,'Q1 Data'!$AD$4:$AD$207)+SUMIF('Q1 Data'!$D$4:$D$207,D75,'Q1 Data'!$AG$4:$AG$207)+SUMIF('Q1 Data'!$D$4:$D$207,D75,'Q1 Data'!$AE$4:$AE$207)+SUMIF('Q2 Data'!$D$4:$D$207,D75,'Q2 Data'!$AD$4:$AD$207)+SUMIF('Q2 Data'!$D$4:$D$207,D75,'Q2 Data'!$AG$4:$AG$207)+SUMIF('Q2 Data'!$D$4:$D$207,D75,'Q2 Data'!$AE$4:$AE$207)+SUMIF('Q3 Data'!$D$4:$D$207,D75,'Q3 Data'!$AD$4:$AD$207)+SUMIF('Q3 Data'!$D$4:$D$207,D75,'Q3 Data'!$AG$4:$AG$207)+SUMIF('Q3 Data'!$D$4:$D$207,D75,'Q3 Data'!$AE$4:$AE$207)+SUMIF('Q4 Data'!$D$4:$D$207,D75,'Q4 Data'!$AD$4:$AD$207)+SUMIF('Q4 Data'!$D$4:$D$207,D75,'Q4 Data'!$AG$4:$AG$207)+SUMIF('Q4 Data'!$D$4:$D$207,D75,'Q4 Data'!$AE$4:$AE$207))</f>
      </c>
      <c r="AO75" s="27">
        <f>IF($B75&lt;&gt;"Challan","",P75-N75)</f>
      </c>
      <c r="AP75" s="27">
        <f>IF($B75&lt;&gt;"Challan","",MAX(0,AO75-AN75))</f>
      </c>
      <c r="AQ75" s="33">
        <f>IF($B75&lt;&gt;"Entry","",SUMPRODUCT(('Q1 Data'!$D$4:$D$207=D75)*('Q1 Data'!$B$4:$B$207="Challan")*'Q1 Data'!$F$4:$F$207)+SUMPRODUCT(('Q2 Data'!$D$4:$D$207=D75)*('Q2 Data'!$B$4:$B$207="Challan")*'Q2 Data'!$F$4:$F$207)+SUMPRODUCT(('Q3 Data'!$D$4:$D$207=D75)*('Q3 Data'!$B$4:$B$207="Challan")*'Q3 Data'!$F$4:$F$207)+SUMPRODUCT(('Q4 Data'!$D$4:$D$207=D75)*('Q4 Data'!$B$4:$B$207="Challan")*'Q4 Data'!$F$4:$F$207))</f>
      </c>
      <c r="AR75" s="34">
        <f>IF(OR($B75&lt;&gt;"Entry",Z75=""),FALSE,AND((SUMPRODUCT(('Q1 Data'!$D$4:$D$207=D75)*('Q1 Data'!$B$4:$B$207="Challan")*('Q1 Data'!$H$4:$H$207&lt;&gt;""))+SUMPRODUCT(('Q2 Data'!$D$4:$D$207=D75)*('Q2 Data'!$B$4:$B$207="Challan")*('Q2 Data'!$H$4:$H$207&lt;&gt;""))+SUMPRODUCT(('Q3 Data'!$D$4:$D$207=D75)*('Q3 Data'!$B$4:$B$207="Challan")*('Q3 Data'!$H$4:$H$207&lt;&gt;""))+SUMPRODUCT(('Q4 Data'!$D$4:$D$207=D75)*('Q4 Data'!$B$4:$B$207="Challan")*('Q4 Data'!$H$4:$H$207&lt;&gt;"")))&gt;0,(SUMPRODUCT(('Q1 Data'!$D$4:$D$207=D75)*('Q1 Data'!$B$4:$B$207="Challan")*('Q1 Data'!$H$4:$H$207=Z75))+SUMPRODUCT(('Q2 Data'!$D$4:$D$207=D75)*('Q2 Data'!$B$4:$B$207="Challan")*('Q2 Data'!$H$4:$H$207=Z75))+SUMPRODUCT(('Q3 Data'!$D$4:$D$207=D75)*('Q3 Data'!$B$4:$B$207="Challan")*('Q3 Data'!$H$4:$H$207=Z75))+SUMPRODUCT(('Q4 Data'!$D$4:$D$207=D75)*('Q4 Data'!$B$4:$B$207="Challan")*('Q4 Data'!$H$4:$H$207=Z75)))=0))</f>
      </c>
    </row>
    <row r="76" spans="1:44" x14ac:dyDescent="0.25">
      <c r="A76" s="20">
        <f>IF($B76="Entry",COUNTIF($B$4:$B76,"Entry"),"")</f>
      </c>
      <c r="B76" s="21"/>
      <c r="C76" s="22"/>
      <c r="D76" s="22"/>
      <c r="E76" s="23">
        <f>IF($B76&lt;&gt;"Challan","",IF(ROUND(AN76-AO76,2)&gt;0,"Over-applied",IF(ROUND(AN76-AO76,2)=0,"Fully Utilised","Unconsumed")))</f>
      </c>
      <c r="F76" s="24"/>
      <c r="G76" s="25"/>
      <c r="H76" s="25"/>
      <c r="I76" s="26"/>
      <c r="J76" s="26"/>
      <c r="K76" s="26"/>
      <c r="L76" s="26"/>
      <c r="M76" s="26"/>
      <c r="N76" s="26"/>
      <c r="O76" s="26"/>
      <c r="P76" s="27">
        <f>IF($B76&lt;&gt;"Challan","",I76+J76+K76+L76+M76+N76)</f>
      </c>
      <c r="Q76" s="25"/>
      <c r="R76" s="25"/>
      <c r="S76" s="25"/>
      <c r="T76" s="25"/>
      <c r="U76" s="25"/>
      <c r="V76" s="28"/>
      <c r="W76" s="28"/>
      <c r="X76" s="23">
        <f>IF($B76="Entry",IF(AND(LEN(TRIM(UPPER(W76)))=10,CODE(MID(TRIM(UPPER(W76)),1,1))&gt;=65,CODE(MID(TRIM(UPPER(W76)),1,1))&lt;=90,CODE(MID(TRIM(UPPER(W76)),2,1))&gt;=65,CODE(MID(TRIM(UPPER(W76)),2,1))&lt;=90,CODE(MID(TRIM(UPPER(W76)),3,1))&gt;=65,CODE(MID(TRIM(UPPER(W76)),3,1))&lt;=90,CODE(MID(TRIM(UPPER(W76)),4,1))&gt;=65,CODE(MID(TRIM(UPPER(W76)),4,1))&lt;=90,CODE(MID(TRIM(UPPER(W76)),5,1))&gt;=65,CODE(MID(TRIM(UPPER(W76)),5,1))&lt;=90,CODE(MID(TRIM(UPPER(W76)),10,1))&gt;=65,CODE(MID(TRIM(UPPER(W76)),10,1))&lt;=90,CODE(MID(TRIM(UPPER(W76)),6,1))&gt;=48,CODE(MID(TRIM(UPPER(W76)),6,1))&lt;=57,CODE(MID(TRIM(UPPER(W76)),7,1))&gt;=48,CODE(MID(TRIM(UPPER(W76)),7,1))&lt;=57,CODE(MID(TRIM(UPPER(W76)),8,1))&gt;=48,CODE(MID(TRIM(UPPER(W76)),8,1))&lt;=57,CODE(MID(TRIM(UPPER(W76)),9,1))&gt;=48,CODE(MID(TRIM(UPPER(W76)),9,1))&lt;=57),"N","Y"),IF($B76="Challan","",IF(W76&lt;&gt;"","◄ Set Row Type","")))</f>
      </c>
      <c r="Y76" s="23">
        <f>IF($B76="Entry",IF(LEN(W76)&lt;4,"",IF(UPPER(MID(W76,4,1))="P","Individual",IF(UPPER(MID(W76,4,1))="H","HUF",IF(UPPER(MID(W76,4,1))="C","Company",IF(UPPER(MID(W76,4,1))="F","Firm",IF(UPPER(MID(W76,4,1))="L","LLP",IF(UPPER(MID(W76,4,1))="T","Trust",IF(UPPER(MID(W76,4,1))="A","AOP","")))))))),IF($B76="Challan","",IF(W76&lt;&gt;"","◄ Set Row Type","")))</f>
      </c>
      <c r="Z76" s="28"/>
      <c r="AA76" s="29">
        <f>IF($B76&lt;&gt;"Entry","",IF(Z76="","",IF(X76="Y",SUMPRODUCT(('Rate Lookup'!$A$1:$A$37=Z76)*'Rate Lookup'!$D$1:$D$37),IF(OR(Y76="Individual",Y76="HUF"),SUMPRODUCT(('Rate Lookup'!$A$1:$A$37=Z76)*'Rate Lookup'!$B$1:$B$37),SUMPRODUCT(('Rate Lookup'!$A$1:$A$37=Z76)*'Rate Lookup'!$C$1:$C$37)))))</f>
      </c>
      <c r="AB76" s="30"/>
      <c r="AC76" s="31"/>
      <c r="AD76" s="27">
        <f>IF($B76&lt;&gt;"Entry","",ROUND(AC76*AA76/100,0))</f>
      </c>
      <c r="AE76" s="27">
        <f>IF($B76&lt;&gt;"Entry","",0)</f>
      </c>
      <c r="AF76" s="27">
        <f>IF($B76&lt;&gt;"Entry","",0)</f>
      </c>
      <c r="AG76" s="27">
        <f>IF($B76&lt;&gt;"Entry","",IF(OR(AD76=0,AB76="",AQ76="",AQ76&lt;=0),0,IF(AQ76&lt;=DATE(YEAR(AB76),MONTH(AB76)+1,7),0,ROUND(AD76*0.015*((YEAR(AQ76)-YEAR(AB76))*12+(MONTH(AQ76)-MONTH(AB76))+1),0))))</f>
      </c>
      <c r="AH76" s="27">
        <f>IF($B76&lt;&gt;"Entry","",0)</f>
      </c>
      <c r="AI76" s="28"/>
      <c r="AJ76" s="28"/>
      <c r="AK76" s="32"/>
      <c r="AL76" s="28"/>
      <c r="AM76" s="28"/>
      <c r="AN76" s="27">
        <f>IF($B76&lt;&gt;"Challan","",SUMIF('Q1 Data'!$D$4:$D$207,D76,'Q1 Data'!$AD$4:$AD$207)+SUMIF('Q1 Data'!$D$4:$D$207,D76,'Q1 Data'!$AG$4:$AG$207)+SUMIF('Q1 Data'!$D$4:$D$207,D76,'Q1 Data'!$AE$4:$AE$207)+SUMIF('Q2 Data'!$D$4:$D$207,D76,'Q2 Data'!$AD$4:$AD$207)+SUMIF('Q2 Data'!$D$4:$D$207,D76,'Q2 Data'!$AG$4:$AG$207)+SUMIF('Q2 Data'!$D$4:$D$207,D76,'Q2 Data'!$AE$4:$AE$207)+SUMIF('Q3 Data'!$D$4:$D$207,D76,'Q3 Data'!$AD$4:$AD$207)+SUMIF('Q3 Data'!$D$4:$D$207,D76,'Q3 Data'!$AG$4:$AG$207)+SUMIF('Q3 Data'!$D$4:$D$207,D76,'Q3 Data'!$AE$4:$AE$207)+SUMIF('Q4 Data'!$D$4:$D$207,D76,'Q4 Data'!$AD$4:$AD$207)+SUMIF('Q4 Data'!$D$4:$D$207,D76,'Q4 Data'!$AG$4:$AG$207)+SUMIF('Q4 Data'!$D$4:$D$207,D76,'Q4 Data'!$AE$4:$AE$207))</f>
      </c>
      <c r="AO76" s="27">
        <f>IF($B76&lt;&gt;"Challan","",P76-N76)</f>
      </c>
      <c r="AP76" s="27">
        <f>IF($B76&lt;&gt;"Challan","",MAX(0,AO76-AN76))</f>
      </c>
      <c r="AQ76" s="33">
        <f>IF($B76&lt;&gt;"Entry","",SUMPRODUCT(('Q1 Data'!$D$4:$D$207=D76)*('Q1 Data'!$B$4:$B$207="Challan")*'Q1 Data'!$F$4:$F$207)+SUMPRODUCT(('Q2 Data'!$D$4:$D$207=D76)*('Q2 Data'!$B$4:$B$207="Challan")*'Q2 Data'!$F$4:$F$207)+SUMPRODUCT(('Q3 Data'!$D$4:$D$207=D76)*('Q3 Data'!$B$4:$B$207="Challan")*'Q3 Data'!$F$4:$F$207)+SUMPRODUCT(('Q4 Data'!$D$4:$D$207=D76)*('Q4 Data'!$B$4:$B$207="Challan")*'Q4 Data'!$F$4:$F$207))</f>
      </c>
      <c r="AR76" s="34">
        <f>IF(OR($B76&lt;&gt;"Entry",Z76=""),FALSE,AND((SUMPRODUCT(('Q1 Data'!$D$4:$D$207=D76)*('Q1 Data'!$B$4:$B$207="Challan")*('Q1 Data'!$H$4:$H$207&lt;&gt;""))+SUMPRODUCT(('Q2 Data'!$D$4:$D$207=D76)*('Q2 Data'!$B$4:$B$207="Challan")*('Q2 Data'!$H$4:$H$207&lt;&gt;""))+SUMPRODUCT(('Q3 Data'!$D$4:$D$207=D76)*('Q3 Data'!$B$4:$B$207="Challan")*('Q3 Data'!$H$4:$H$207&lt;&gt;""))+SUMPRODUCT(('Q4 Data'!$D$4:$D$207=D76)*('Q4 Data'!$B$4:$B$207="Challan")*('Q4 Data'!$H$4:$H$207&lt;&gt;"")))&gt;0,(SUMPRODUCT(('Q1 Data'!$D$4:$D$207=D76)*('Q1 Data'!$B$4:$B$207="Challan")*('Q1 Data'!$H$4:$H$207=Z76))+SUMPRODUCT(('Q2 Data'!$D$4:$D$207=D76)*('Q2 Data'!$B$4:$B$207="Challan")*('Q2 Data'!$H$4:$H$207=Z76))+SUMPRODUCT(('Q3 Data'!$D$4:$D$207=D76)*('Q3 Data'!$B$4:$B$207="Challan")*('Q3 Data'!$H$4:$H$207=Z76))+SUMPRODUCT(('Q4 Data'!$D$4:$D$207=D76)*('Q4 Data'!$B$4:$B$207="Challan")*('Q4 Data'!$H$4:$H$207=Z76)))=0))</f>
      </c>
    </row>
    <row r="77" spans="1:44" x14ac:dyDescent="0.25">
      <c r="A77" s="20">
        <f>IF($B77="Entry",COUNTIF($B$4:$B77,"Entry"),"")</f>
      </c>
      <c r="B77" s="21"/>
      <c r="C77" s="22"/>
      <c r="D77" s="22"/>
      <c r="E77" s="23">
        <f>IF($B77&lt;&gt;"Challan","",IF(ROUND(AN77-AO77,2)&gt;0,"Over-applied",IF(ROUND(AN77-AO77,2)=0,"Fully Utilised","Unconsumed")))</f>
      </c>
      <c r="F77" s="24"/>
      <c r="G77" s="25"/>
      <c r="H77" s="25"/>
      <c r="I77" s="26"/>
      <c r="J77" s="26"/>
      <c r="K77" s="26"/>
      <c r="L77" s="26"/>
      <c r="M77" s="26"/>
      <c r="N77" s="26"/>
      <c r="O77" s="26"/>
      <c r="P77" s="27">
        <f>IF($B77&lt;&gt;"Challan","",I77+J77+K77+L77+M77+N77)</f>
      </c>
      <c r="Q77" s="25"/>
      <c r="R77" s="25"/>
      <c r="S77" s="25"/>
      <c r="T77" s="25"/>
      <c r="U77" s="25"/>
      <c r="V77" s="28"/>
      <c r="W77" s="28"/>
      <c r="X77" s="23">
        <f>IF($B77="Entry",IF(AND(LEN(TRIM(UPPER(W77)))=10,CODE(MID(TRIM(UPPER(W77)),1,1))&gt;=65,CODE(MID(TRIM(UPPER(W77)),1,1))&lt;=90,CODE(MID(TRIM(UPPER(W77)),2,1))&gt;=65,CODE(MID(TRIM(UPPER(W77)),2,1))&lt;=90,CODE(MID(TRIM(UPPER(W77)),3,1))&gt;=65,CODE(MID(TRIM(UPPER(W77)),3,1))&lt;=90,CODE(MID(TRIM(UPPER(W77)),4,1))&gt;=65,CODE(MID(TRIM(UPPER(W77)),4,1))&lt;=90,CODE(MID(TRIM(UPPER(W77)),5,1))&gt;=65,CODE(MID(TRIM(UPPER(W77)),5,1))&lt;=90,CODE(MID(TRIM(UPPER(W77)),10,1))&gt;=65,CODE(MID(TRIM(UPPER(W77)),10,1))&lt;=90,CODE(MID(TRIM(UPPER(W77)),6,1))&gt;=48,CODE(MID(TRIM(UPPER(W77)),6,1))&lt;=57,CODE(MID(TRIM(UPPER(W77)),7,1))&gt;=48,CODE(MID(TRIM(UPPER(W77)),7,1))&lt;=57,CODE(MID(TRIM(UPPER(W77)),8,1))&gt;=48,CODE(MID(TRIM(UPPER(W77)),8,1))&lt;=57,CODE(MID(TRIM(UPPER(W77)),9,1))&gt;=48,CODE(MID(TRIM(UPPER(W77)),9,1))&lt;=57),"N","Y"),IF($B77="Challan","",IF(W77&lt;&gt;"","◄ Set Row Type","")))</f>
      </c>
      <c r="Y77" s="23">
        <f>IF($B77="Entry",IF(LEN(W77)&lt;4,"",IF(UPPER(MID(W77,4,1))="P","Individual",IF(UPPER(MID(W77,4,1))="H","HUF",IF(UPPER(MID(W77,4,1))="C","Company",IF(UPPER(MID(W77,4,1))="F","Firm",IF(UPPER(MID(W77,4,1))="L","LLP",IF(UPPER(MID(W77,4,1))="T","Trust",IF(UPPER(MID(W77,4,1))="A","AOP","")))))))),IF($B77="Challan","",IF(W77&lt;&gt;"","◄ Set Row Type","")))</f>
      </c>
      <c r="Z77" s="28"/>
      <c r="AA77" s="29">
        <f>IF($B77&lt;&gt;"Entry","",IF(Z77="","",IF(X77="Y",SUMPRODUCT(('Rate Lookup'!$A$1:$A$37=Z77)*'Rate Lookup'!$D$1:$D$37),IF(OR(Y77="Individual",Y77="HUF"),SUMPRODUCT(('Rate Lookup'!$A$1:$A$37=Z77)*'Rate Lookup'!$B$1:$B$37),SUMPRODUCT(('Rate Lookup'!$A$1:$A$37=Z77)*'Rate Lookup'!$C$1:$C$37)))))</f>
      </c>
      <c r="AB77" s="30"/>
      <c r="AC77" s="31"/>
      <c r="AD77" s="27">
        <f>IF($B77&lt;&gt;"Entry","",ROUND(AC77*AA77/100,0))</f>
      </c>
      <c r="AE77" s="27">
        <f>IF($B77&lt;&gt;"Entry","",0)</f>
      </c>
      <c r="AF77" s="27">
        <f>IF($B77&lt;&gt;"Entry","",0)</f>
      </c>
      <c r="AG77" s="27">
        <f>IF($B77&lt;&gt;"Entry","",IF(OR(AD77=0,AB77="",AQ77="",AQ77&lt;=0),0,IF(AQ77&lt;=DATE(YEAR(AB77),MONTH(AB77)+1,7),0,ROUND(AD77*0.015*((YEAR(AQ77)-YEAR(AB77))*12+(MONTH(AQ77)-MONTH(AB77))+1),0))))</f>
      </c>
      <c r="AH77" s="27">
        <f>IF($B77&lt;&gt;"Entry","",0)</f>
      </c>
      <c r="AI77" s="28"/>
      <c r="AJ77" s="28"/>
      <c r="AK77" s="32"/>
      <c r="AL77" s="28"/>
      <c r="AM77" s="28"/>
      <c r="AN77" s="27">
        <f>IF($B77&lt;&gt;"Challan","",SUMIF('Q1 Data'!$D$4:$D$207,D77,'Q1 Data'!$AD$4:$AD$207)+SUMIF('Q1 Data'!$D$4:$D$207,D77,'Q1 Data'!$AG$4:$AG$207)+SUMIF('Q1 Data'!$D$4:$D$207,D77,'Q1 Data'!$AE$4:$AE$207)+SUMIF('Q2 Data'!$D$4:$D$207,D77,'Q2 Data'!$AD$4:$AD$207)+SUMIF('Q2 Data'!$D$4:$D$207,D77,'Q2 Data'!$AG$4:$AG$207)+SUMIF('Q2 Data'!$D$4:$D$207,D77,'Q2 Data'!$AE$4:$AE$207)+SUMIF('Q3 Data'!$D$4:$D$207,D77,'Q3 Data'!$AD$4:$AD$207)+SUMIF('Q3 Data'!$D$4:$D$207,D77,'Q3 Data'!$AG$4:$AG$207)+SUMIF('Q3 Data'!$D$4:$D$207,D77,'Q3 Data'!$AE$4:$AE$207)+SUMIF('Q4 Data'!$D$4:$D$207,D77,'Q4 Data'!$AD$4:$AD$207)+SUMIF('Q4 Data'!$D$4:$D$207,D77,'Q4 Data'!$AG$4:$AG$207)+SUMIF('Q4 Data'!$D$4:$D$207,D77,'Q4 Data'!$AE$4:$AE$207))</f>
      </c>
      <c r="AO77" s="27">
        <f>IF($B77&lt;&gt;"Challan","",P77-N77)</f>
      </c>
      <c r="AP77" s="27">
        <f>IF($B77&lt;&gt;"Challan","",MAX(0,AO77-AN77))</f>
      </c>
      <c r="AQ77" s="33">
        <f>IF($B77&lt;&gt;"Entry","",SUMPRODUCT(('Q1 Data'!$D$4:$D$207=D77)*('Q1 Data'!$B$4:$B$207="Challan")*'Q1 Data'!$F$4:$F$207)+SUMPRODUCT(('Q2 Data'!$D$4:$D$207=D77)*('Q2 Data'!$B$4:$B$207="Challan")*'Q2 Data'!$F$4:$F$207)+SUMPRODUCT(('Q3 Data'!$D$4:$D$207=D77)*('Q3 Data'!$B$4:$B$207="Challan")*'Q3 Data'!$F$4:$F$207)+SUMPRODUCT(('Q4 Data'!$D$4:$D$207=D77)*('Q4 Data'!$B$4:$B$207="Challan")*'Q4 Data'!$F$4:$F$207))</f>
      </c>
      <c r="AR77" s="34">
        <f>IF(OR($B77&lt;&gt;"Entry",Z77=""),FALSE,AND((SUMPRODUCT(('Q1 Data'!$D$4:$D$207=D77)*('Q1 Data'!$B$4:$B$207="Challan")*('Q1 Data'!$H$4:$H$207&lt;&gt;""))+SUMPRODUCT(('Q2 Data'!$D$4:$D$207=D77)*('Q2 Data'!$B$4:$B$207="Challan")*('Q2 Data'!$H$4:$H$207&lt;&gt;""))+SUMPRODUCT(('Q3 Data'!$D$4:$D$207=D77)*('Q3 Data'!$B$4:$B$207="Challan")*('Q3 Data'!$H$4:$H$207&lt;&gt;""))+SUMPRODUCT(('Q4 Data'!$D$4:$D$207=D77)*('Q4 Data'!$B$4:$B$207="Challan")*('Q4 Data'!$H$4:$H$207&lt;&gt;"")))&gt;0,(SUMPRODUCT(('Q1 Data'!$D$4:$D$207=D77)*('Q1 Data'!$B$4:$B$207="Challan")*('Q1 Data'!$H$4:$H$207=Z77))+SUMPRODUCT(('Q2 Data'!$D$4:$D$207=D77)*('Q2 Data'!$B$4:$B$207="Challan")*('Q2 Data'!$H$4:$H$207=Z77))+SUMPRODUCT(('Q3 Data'!$D$4:$D$207=D77)*('Q3 Data'!$B$4:$B$207="Challan")*('Q3 Data'!$H$4:$H$207=Z77))+SUMPRODUCT(('Q4 Data'!$D$4:$D$207=D77)*('Q4 Data'!$B$4:$B$207="Challan")*('Q4 Data'!$H$4:$H$207=Z77)))=0))</f>
      </c>
    </row>
    <row r="78" spans="1:44" x14ac:dyDescent="0.25">
      <c r="A78" s="20">
        <f>IF($B78="Entry",COUNTIF($B$4:$B78,"Entry"),"")</f>
      </c>
      <c r="B78" s="21"/>
      <c r="C78" s="22"/>
      <c r="D78" s="22"/>
      <c r="E78" s="23">
        <f>IF($B78&lt;&gt;"Challan","",IF(ROUND(AN78-AO78,2)&gt;0,"Over-applied",IF(ROUND(AN78-AO78,2)=0,"Fully Utilised","Unconsumed")))</f>
      </c>
      <c r="F78" s="24"/>
      <c r="G78" s="25"/>
      <c r="H78" s="25"/>
      <c r="I78" s="26"/>
      <c r="J78" s="26"/>
      <c r="K78" s="26"/>
      <c r="L78" s="26"/>
      <c r="M78" s="26"/>
      <c r="N78" s="26"/>
      <c r="O78" s="26"/>
      <c r="P78" s="27">
        <f>IF($B78&lt;&gt;"Challan","",I78+J78+K78+L78+M78+N78)</f>
      </c>
      <c r="Q78" s="25"/>
      <c r="R78" s="25"/>
      <c r="S78" s="25"/>
      <c r="T78" s="25"/>
      <c r="U78" s="25"/>
      <c r="V78" s="28"/>
      <c r="W78" s="28"/>
      <c r="X78" s="23">
        <f>IF($B78="Entry",IF(AND(LEN(TRIM(UPPER(W78)))=10,CODE(MID(TRIM(UPPER(W78)),1,1))&gt;=65,CODE(MID(TRIM(UPPER(W78)),1,1))&lt;=90,CODE(MID(TRIM(UPPER(W78)),2,1))&gt;=65,CODE(MID(TRIM(UPPER(W78)),2,1))&lt;=90,CODE(MID(TRIM(UPPER(W78)),3,1))&gt;=65,CODE(MID(TRIM(UPPER(W78)),3,1))&lt;=90,CODE(MID(TRIM(UPPER(W78)),4,1))&gt;=65,CODE(MID(TRIM(UPPER(W78)),4,1))&lt;=90,CODE(MID(TRIM(UPPER(W78)),5,1))&gt;=65,CODE(MID(TRIM(UPPER(W78)),5,1))&lt;=90,CODE(MID(TRIM(UPPER(W78)),10,1))&gt;=65,CODE(MID(TRIM(UPPER(W78)),10,1))&lt;=90,CODE(MID(TRIM(UPPER(W78)),6,1))&gt;=48,CODE(MID(TRIM(UPPER(W78)),6,1))&lt;=57,CODE(MID(TRIM(UPPER(W78)),7,1))&gt;=48,CODE(MID(TRIM(UPPER(W78)),7,1))&lt;=57,CODE(MID(TRIM(UPPER(W78)),8,1))&gt;=48,CODE(MID(TRIM(UPPER(W78)),8,1))&lt;=57,CODE(MID(TRIM(UPPER(W78)),9,1))&gt;=48,CODE(MID(TRIM(UPPER(W78)),9,1))&lt;=57),"N","Y"),IF($B78="Challan","",IF(W78&lt;&gt;"","◄ Set Row Type","")))</f>
      </c>
      <c r="Y78" s="23">
        <f>IF($B78="Entry",IF(LEN(W78)&lt;4,"",IF(UPPER(MID(W78,4,1))="P","Individual",IF(UPPER(MID(W78,4,1))="H","HUF",IF(UPPER(MID(W78,4,1))="C","Company",IF(UPPER(MID(W78,4,1))="F","Firm",IF(UPPER(MID(W78,4,1))="L","LLP",IF(UPPER(MID(W78,4,1))="T","Trust",IF(UPPER(MID(W78,4,1))="A","AOP","")))))))),IF($B78="Challan","",IF(W78&lt;&gt;"","◄ Set Row Type","")))</f>
      </c>
      <c r="Z78" s="28"/>
      <c r="AA78" s="29">
        <f>IF($B78&lt;&gt;"Entry","",IF(Z78="","",IF(X78="Y",SUMPRODUCT(('Rate Lookup'!$A$1:$A$37=Z78)*'Rate Lookup'!$D$1:$D$37),IF(OR(Y78="Individual",Y78="HUF"),SUMPRODUCT(('Rate Lookup'!$A$1:$A$37=Z78)*'Rate Lookup'!$B$1:$B$37),SUMPRODUCT(('Rate Lookup'!$A$1:$A$37=Z78)*'Rate Lookup'!$C$1:$C$37)))))</f>
      </c>
      <c r="AB78" s="30"/>
      <c r="AC78" s="31"/>
      <c r="AD78" s="27">
        <f>IF($B78&lt;&gt;"Entry","",ROUND(AC78*AA78/100,0))</f>
      </c>
      <c r="AE78" s="27">
        <f>IF($B78&lt;&gt;"Entry","",0)</f>
      </c>
      <c r="AF78" s="27">
        <f>IF($B78&lt;&gt;"Entry","",0)</f>
      </c>
      <c r="AG78" s="27">
        <f>IF($B78&lt;&gt;"Entry","",IF(OR(AD78=0,AB78="",AQ78="",AQ78&lt;=0),0,IF(AQ78&lt;=DATE(YEAR(AB78),MONTH(AB78)+1,7),0,ROUND(AD78*0.015*((YEAR(AQ78)-YEAR(AB78))*12+(MONTH(AQ78)-MONTH(AB78))+1),0))))</f>
      </c>
      <c r="AH78" s="27">
        <f>IF($B78&lt;&gt;"Entry","",0)</f>
      </c>
      <c r="AI78" s="28"/>
      <c r="AJ78" s="28"/>
      <c r="AK78" s="32"/>
      <c r="AL78" s="28"/>
      <c r="AM78" s="28"/>
      <c r="AN78" s="27">
        <f>IF($B78&lt;&gt;"Challan","",SUMIF('Q1 Data'!$D$4:$D$207,D78,'Q1 Data'!$AD$4:$AD$207)+SUMIF('Q1 Data'!$D$4:$D$207,D78,'Q1 Data'!$AG$4:$AG$207)+SUMIF('Q1 Data'!$D$4:$D$207,D78,'Q1 Data'!$AE$4:$AE$207)+SUMIF('Q2 Data'!$D$4:$D$207,D78,'Q2 Data'!$AD$4:$AD$207)+SUMIF('Q2 Data'!$D$4:$D$207,D78,'Q2 Data'!$AG$4:$AG$207)+SUMIF('Q2 Data'!$D$4:$D$207,D78,'Q2 Data'!$AE$4:$AE$207)+SUMIF('Q3 Data'!$D$4:$D$207,D78,'Q3 Data'!$AD$4:$AD$207)+SUMIF('Q3 Data'!$D$4:$D$207,D78,'Q3 Data'!$AG$4:$AG$207)+SUMIF('Q3 Data'!$D$4:$D$207,D78,'Q3 Data'!$AE$4:$AE$207)+SUMIF('Q4 Data'!$D$4:$D$207,D78,'Q4 Data'!$AD$4:$AD$207)+SUMIF('Q4 Data'!$D$4:$D$207,D78,'Q4 Data'!$AG$4:$AG$207)+SUMIF('Q4 Data'!$D$4:$D$207,D78,'Q4 Data'!$AE$4:$AE$207))</f>
      </c>
      <c r="AO78" s="27">
        <f>IF($B78&lt;&gt;"Challan","",P78-N78)</f>
      </c>
      <c r="AP78" s="27">
        <f>IF($B78&lt;&gt;"Challan","",MAX(0,AO78-AN78))</f>
      </c>
      <c r="AQ78" s="33">
        <f>IF($B78&lt;&gt;"Entry","",SUMPRODUCT(('Q1 Data'!$D$4:$D$207=D78)*('Q1 Data'!$B$4:$B$207="Challan")*'Q1 Data'!$F$4:$F$207)+SUMPRODUCT(('Q2 Data'!$D$4:$D$207=D78)*('Q2 Data'!$B$4:$B$207="Challan")*'Q2 Data'!$F$4:$F$207)+SUMPRODUCT(('Q3 Data'!$D$4:$D$207=D78)*('Q3 Data'!$B$4:$B$207="Challan")*'Q3 Data'!$F$4:$F$207)+SUMPRODUCT(('Q4 Data'!$D$4:$D$207=D78)*('Q4 Data'!$B$4:$B$207="Challan")*'Q4 Data'!$F$4:$F$207))</f>
      </c>
      <c r="AR78" s="34">
        <f>IF(OR($B78&lt;&gt;"Entry",Z78=""),FALSE,AND((SUMPRODUCT(('Q1 Data'!$D$4:$D$207=D78)*('Q1 Data'!$B$4:$B$207="Challan")*('Q1 Data'!$H$4:$H$207&lt;&gt;""))+SUMPRODUCT(('Q2 Data'!$D$4:$D$207=D78)*('Q2 Data'!$B$4:$B$207="Challan")*('Q2 Data'!$H$4:$H$207&lt;&gt;""))+SUMPRODUCT(('Q3 Data'!$D$4:$D$207=D78)*('Q3 Data'!$B$4:$B$207="Challan")*('Q3 Data'!$H$4:$H$207&lt;&gt;""))+SUMPRODUCT(('Q4 Data'!$D$4:$D$207=D78)*('Q4 Data'!$B$4:$B$207="Challan")*('Q4 Data'!$H$4:$H$207&lt;&gt;"")))&gt;0,(SUMPRODUCT(('Q1 Data'!$D$4:$D$207=D78)*('Q1 Data'!$B$4:$B$207="Challan")*('Q1 Data'!$H$4:$H$207=Z78))+SUMPRODUCT(('Q2 Data'!$D$4:$D$207=D78)*('Q2 Data'!$B$4:$B$207="Challan")*('Q2 Data'!$H$4:$H$207=Z78))+SUMPRODUCT(('Q3 Data'!$D$4:$D$207=D78)*('Q3 Data'!$B$4:$B$207="Challan")*('Q3 Data'!$H$4:$H$207=Z78))+SUMPRODUCT(('Q4 Data'!$D$4:$D$207=D78)*('Q4 Data'!$B$4:$B$207="Challan")*('Q4 Data'!$H$4:$H$207=Z78)))=0))</f>
      </c>
    </row>
    <row r="79" spans="1:44" x14ac:dyDescent="0.25">
      <c r="A79" s="20">
        <f>IF($B79="Entry",COUNTIF($B$4:$B79,"Entry"),"")</f>
      </c>
      <c r="B79" s="21"/>
      <c r="C79" s="22"/>
      <c r="D79" s="22"/>
      <c r="E79" s="23">
        <f>IF($B79&lt;&gt;"Challan","",IF(ROUND(AN79-AO79,2)&gt;0,"Over-applied",IF(ROUND(AN79-AO79,2)=0,"Fully Utilised","Unconsumed")))</f>
      </c>
      <c r="F79" s="24"/>
      <c r="G79" s="25"/>
      <c r="H79" s="25"/>
      <c r="I79" s="26"/>
      <c r="J79" s="26"/>
      <c r="K79" s="26"/>
      <c r="L79" s="26"/>
      <c r="M79" s="26"/>
      <c r="N79" s="26"/>
      <c r="O79" s="26"/>
      <c r="P79" s="27">
        <f>IF($B79&lt;&gt;"Challan","",I79+J79+K79+L79+M79+N79)</f>
      </c>
      <c r="Q79" s="25"/>
      <c r="R79" s="25"/>
      <c r="S79" s="25"/>
      <c r="T79" s="25"/>
      <c r="U79" s="25"/>
      <c r="V79" s="28"/>
      <c r="W79" s="28"/>
      <c r="X79" s="23">
        <f>IF($B79="Entry",IF(AND(LEN(TRIM(UPPER(W79)))=10,CODE(MID(TRIM(UPPER(W79)),1,1))&gt;=65,CODE(MID(TRIM(UPPER(W79)),1,1))&lt;=90,CODE(MID(TRIM(UPPER(W79)),2,1))&gt;=65,CODE(MID(TRIM(UPPER(W79)),2,1))&lt;=90,CODE(MID(TRIM(UPPER(W79)),3,1))&gt;=65,CODE(MID(TRIM(UPPER(W79)),3,1))&lt;=90,CODE(MID(TRIM(UPPER(W79)),4,1))&gt;=65,CODE(MID(TRIM(UPPER(W79)),4,1))&lt;=90,CODE(MID(TRIM(UPPER(W79)),5,1))&gt;=65,CODE(MID(TRIM(UPPER(W79)),5,1))&lt;=90,CODE(MID(TRIM(UPPER(W79)),10,1))&gt;=65,CODE(MID(TRIM(UPPER(W79)),10,1))&lt;=90,CODE(MID(TRIM(UPPER(W79)),6,1))&gt;=48,CODE(MID(TRIM(UPPER(W79)),6,1))&lt;=57,CODE(MID(TRIM(UPPER(W79)),7,1))&gt;=48,CODE(MID(TRIM(UPPER(W79)),7,1))&lt;=57,CODE(MID(TRIM(UPPER(W79)),8,1))&gt;=48,CODE(MID(TRIM(UPPER(W79)),8,1))&lt;=57,CODE(MID(TRIM(UPPER(W79)),9,1))&gt;=48,CODE(MID(TRIM(UPPER(W79)),9,1))&lt;=57),"N","Y"),IF($B79="Challan","",IF(W79&lt;&gt;"","◄ Set Row Type","")))</f>
      </c>
      <c r="Y79" s="23">
        <f>IF($B79="Entry",IF(LEN(W79)&lt;4,"",IF(UPPER(MID(W79,4,1))="P","Individual",IF(UPPER(MID(W79,4,1))="H","HUF",IF(UPPER(MID(W79,4,1))="C","Company",IF(UPPER(MID(W79,4,1))="F","Firm",IF(UPPER(MID(W79,4,1))="L","LLP",IF(UPPER(MID(W79,4,1))="T","Trust",IF(UPPER(MID(W79,4,1))="A","AOP","")))))))),IF($B79="Challan","",IF(W79&lt;&gt;"","◄ Set Row Type","")))</f>
      </c>
      <c r="Z79" s="28"/>
      <c r="AA79" s="29">
        <f>IF($B79&lt;&gt;"Entry","",IF(Z79="","",IF(X79="Y",SUMPRODUCT(('Rate Lookup'!$A$1:$A$37=Z79)*'Rate Lookup'!$D$1:$D$37),IF(OR(Y79="Individual",Y79="HUF"),SUMPRODUCT(('Rate Lookup'!$A$1:$A$37=Z79)*'Rate Lookup'!$B$1:$B$37),SUMPRODUCT(('Rate Lookup'!$A$1:$A$37=Z79)*'Rate Lookup'!$C$1:$C$37)))))</f>
      </c>
      <c r="AB79" s="30"/>
      <c r="AC79" s="31"/>
      <c r="AD79" s="27">
        <f>IF($B79&lt;&gt;"Entry","",ROUND(AC79*AA79/100,0))</f>
      </c>
      <c r="AE79" s="27">
        <f>IF($B79&lt;&gt;"Entry","",0)</f>
      </c>
      <c r="AF79" s="27">
        <f>IF($B79&lt;&gt;"Entry","",0)</f>
      </c>
      <c r="AG79" s="27">
        <f>IF($B79&lt;&gt;"Entry","",IF(OR(AD79=0,AB79="",AQ79="",AQ79&lt;=0),0,IF(AQ79&lt;=DATE(YEAR(AB79),MONTH(AB79)+1,7),0,ROUND(AD79*0.015*((YEAR(AQ79)-YEAR(AB79))*12+(MONTH(AQ79)-MONTH(AB79))+1),0))))</f>
      </c>
      <c r="AH79" s="27">
        <f>IF($B79&lt;&gt;"Entry","",0)</f>
      </c>
      <c r="AI79" s="28"/>
      <c r="AJ79" s="28"/>
      <c r="AK79" s="32"/>
      <c r="AL79" s="28"/>
      <c r="AM79" s="28"/>
      <c r="AN79" s="27">
        <f>IF($B79&lt;&gt;"Challan","",SUMIF('Q1 Data'!$D$4:$D$207,D79,'Q1 Data'!$AD$4:$AD$207)+SUMIF('Q1 Data'!$D$4:$D$207,D79,'Q1 Data'!$AG$4:$AG$207)+SUMIF('Q1 Data'!$D$4:$D$207,D79,'Q1 Data'!$AE$4:$AE$207)+SUMIF('Q2 Data'!$D$4:$D$207,D79,'Q2 Data'!$AD$4:$AD$207)+SUMIF('Q2 Data'!$D$4:$D$207,D79,'Q2 Data'!$AG$4:$AG$207)+SUMIF('Q2 Data'!$D$4:$D$207,D79,'Q2 Data'!$AE$4:$AE$207)+SUMIF('Q3 Data'!$D$4:$D$207,D79,'Q3 Data'!$AD$4:$AD$207)+SUMIF('Q3 Data'!$D$4:$D$207,D79,'Q3 Data'!$AG$4:$AG$207)+SUMIF('Q3 Data'!$D$4:$D$207,D79,'Q3 Data'!$AE$4:$AE$207)+SUMIF('Q4 Data'!$D$4:$D$207,D79,'Q4 Data'!$AD$4:$AD$207)+SUMIF('Q4 Data'!$D$4:$D$207,D79,'Q4 Data'!$AG$4:$AG$207)+SUMIF('Q4 Data'!$D$4:$D$207,D79,'Q4 Data'!$AE$4:$AE$207))</f>
      </c>
      <c r="AO79" s="27">
        <f>IF($B79&lt;&gt;"Challan","",P79-N79)</f>
      </c>
      <c r="AP79" s="27">
        <f>IF($B79&lt;&gt;"Challan","",MAX(0,AO79-AN79))</f>
      </c>
      <c r="AQ79" s="33">
        <f>IF($B79&lt;&gt;"Entry","",SUMPRODUCT(('Q1 Data'!$D$4:$D$207=D79)*('Q1 Data'!$B$4:$B$207="Challan")*'Q1 Data'!$F$4:$F$207)+SUMPRODUCT(('Q2 Data'!$D$4:$D$207=D79)*('Q2 Data'!$B$4:$B$207="Challan")*'Q2 Data'!$F$4:$F$207)+SUMPRODUCT(('Q3 Data'!$D$4:$D$207=D79)*('Q3 Data'!$B$4:$B$207="Challan")*'Q3 Data'!$F$4:$F$207)+SUMPRODUCT(('Q4 Data'!$D$4:$D$207=D79)*('Q4 Data'!$B$4:$B$207="Challan")*'Q4 Data'!$F$4:$F$207))</f>
      </c>
      <c r="AR79" s="34">
        <f>IF(OR($B79&lt;&gt;"Entry",Z79=""),FALSE,AND((SUMPRODUCT(('Q1 Data'!$D$4:$D$207=D79)*('Q1 Data'!$B$4:$B$207="Challan")*('Q1 Data'!$H$4:$H$207&lt;&gt;""))+SUMPRODUCT(('Q2 Data'!$D$4:$D$207=D79)*('Q2 Data'!$B$4:$B$207="Challan")*('Q2 Data'!$H$4:$H$207&lt;&gt;""))+SUMPRODUCT(('Q3 Data'!$D$4:$D$207=D79)*('Q3 Data'!$B$4:$B$207="Challan")*('Q3 Data'!$H$4:$H$207&lt;&gt;""))+SUMPRODUCT(('Q4 Data'!$D$4:$D$207=D79)*('Q4 Data'!$B$4:$B$207="Challan")*('Q4 Data'!$H$4:$H$207&lt;&gt;"")))&gt;0,(SUMPRODUCT(('Q1 Data'!$D$4:$D$207=D79)*('Q1 Data'!$B$4:$B$207="Challan")*('Q1 Data'!$H$4:$H$207=Z79))+SUMPRODUCT(('Q2 Data'!$D$4:$D$207=D79)*('Q2 Data'!$B$4:$B$207="Challan")*('Q2 Data'!$H$4:$H$207=Z79))+SUMPRODUCT(('Q3 Data'!$D$4:$D$207=D79)*('Q3 Data'!$B$4:$B$207="Challan")*('Q3 Data'!$H$4:$H$207=Z79))+SUMPRODUCT(('Q4 Data'!$D$4:$D$207=D79)*('Q4 Data'!$B$4:$B$207="Challan")*('Q4 Data'!$H$4:$H$207=Z79)))=0))</f>
      </c>
    </row>
    <row r="80" spans="1:44" x14ac:dyDescent="0.25">
      <c r="A80" s="20">
        <f>IF($B80="Entry",COUNTIF($B$4:$B80,"Entry"),"")</f>
      </c>
      <c r="B80" s="21"/>
      <c r="C80" s="22"/>
      <c r="D80" s="22"/>
      <c r="E80" s="23">
        <f>IF($B80&lt;&gt;"Challan","",IF(ROUND(AN80-AO80,2)&gt;0,"Over-applied",IF(ROUND(AN80-AO80,2)=0,"Fully Utilised","Unconsumed")))</f>
      </c>
      <c r="F80" s="24"/>
      <c r="G80" s="25"/>
      <c r="H80" s="25"/>
      <c r="I80" s="26"/>
      <c r="J80" s="26"/>
      <c r="K80" s="26"/>
      <c r="L80" s="26"/>
      <c r="M80" s="26"/>
      <c r="N80" s="26"/>
      <c r="O80" s="26"/>
      <c r="P80" s="27">
        <f>IF($B80&lt;&gt;"Challan","",I80+J80+K80+L80+M80+N80)</f>
      </c>
      <c r="Q80" s="25"/>
      <c r="R80" s="25"/>
      <c r="S80" s="25"/>
      <c r="T80" s="25"/>
      <c r="U80" s="25"/>
      <c r="V80" s="28"/>
      <c r="W80" s="28"/>
      <c r="X80" s="23">
        <f>IF($B80="Entry",IF(AND(LEN(TRIM(UPPER(W80)))=10,CODE(MID(TRIM(UPPER(W80)),1,1))&gt;=65,CODE(MID(TRIM(UPPER(W80)),1,1))&lt;=90,CODE(MID(TRIM(UPPER(W80)),2,1))&gt;=65,CODE(MID(TRIM(UPPER(W80)),2,1))&lt;=90,CODE(MID(TRIM(UPPER(W80)),3,1))&gt;=65,CODE(MID(TRIM(UPPER(W80)),3,1))&lt;=90,CODE(MID(TRIM(UPPER(W80)),4,1))&gt;=65,CODE(MID(TRIM(UPPER(W80)),4,1))&lt;=90,CODE(MID(TRIM(UPPER(W80)),5,1))&gt;=65,CODE(MID(TRIM(UPPER(W80)),5,1))&lt;=90,CODE(MID(TRIM(UPPER(W80)),10,1))&gt;=65,CODE(MID(TRIM(UPPER(W80)),10,1))&lt;=90,CODE(MID(TRIM(UPPER(W80)),6,1))&gt;=48,CODE(MID(TRIM(UPPER(W80)),6,1))&lt;=57,CODE(MID(TRIM(UPPER(W80)),7,1))&gt;=48,CODE(MID(TRIM(UPPER(W80)),7,1))&lt;=57,CODE(MID(TRIM(UPPER(W80)),8,1))&gt;=48,CODE(MID(TRIM(UPPER(W80)),8,1))&lt;=57,CODE(MID(TRIM(UPPER(W80)),9,1))&gt;=48,CODE(MID(TRIM(UPPER(W80)),9,1))&lt;=57),"N","Y"),IF($B80="Challan","",IF(W80&lt;&gt;"","◄ Set Row Type","")))</f>
      </c>
      <c r="Y80" s="23">
        <f>IF($B80="Entry",IF(LEN(W80)&lt;4,"",IF(UPPER(MID(W80,4,1))="P","Individual",IF(UPPER(MID(W80,4,1))="H","HUF",IF(UPPER(MID(W80,4,1))="C","Company",IF(UPPER(MID(W80,4,1))="F","Firm",IF(UPPER(MID(W80,4,1))="L","LLP",IF(UPPER(MID(W80,4,1))="T","Trust",IF(UPPER(MID(W80,4,1))="A","AOP","")))))))),IF($B80="Challan","",IF(W80&lt;&gt;"","◄ Set Row Type","")))</f>
      </c>
      <c r="Z80" s="28"/>
      <c r="AA80" s="29">
        <f>IF($B80&lt;&gt;"Entry","",IF(Z80="","",IF(X80="Y",SUMPRODUCT(('Rate Lookup'!$A$1:$A$37=Z80)*'Rate Lookup'!$D$1:$D$37),IF(OR(Y80="Individual",Y80="HUF"),SUMPRODUCT(('Rate Lookup'!$A$1:$A$37=Z80)*'Rate Lookup'!$B$1:$B$37),SUMPRODUCT(('Rate Lookup'!$A$1:$A$37=Z80)*'Rate Lookup'!$C$1:$C$37)))))</f>
      </c>
      <c r="AB80" s="30"/>
      <c r="AC80" s="31"/>
      <c r="AD80" s="27">
        <f>IF($B80&lt;&gt;"Entry","",ROUND(AC80*AA80/100,0))</f>
      </c>
      <c r="AE80" s="27">
        <f>IF($B80&lt;&gt;"Entry","",0)</f>
      </c>
      <c r="AF80" s="27">
        <f>IF($B80&lt;&gt;"Entry","",0)</f>
      </c>
      <c r="AG80" s="27">
        <f>IF($B80&lt;&gt;"Entry","",IF(OR(AD80=0,AB80="",AQ80="",AQ80&lt;=0),0,IF(AQ80&lt;=DATE(YEAR(AB80),MONTH(AB80)+1,7),0,ROUND(AD80*0.015*((YEAR(AQ80)-YEAR(AB80))*12+(MONTH(AQ80)-MONTH(AB80))+1),0))))</f>
      </c>
      <c r="AH80" s="27">
        <f>IF($B80&lt;&gt;"Entry","",0)</f>
      </c>
      <c r="AI80" s="28"/>
      <c r="AJ80" s="28"/>
      <c r="AK80" s="32"/>
      <c r="AL80" s="28"/>
      <c r="AM80" s="28"/>
      <c r="AN80" s="27">
        <f>IF($B80&lt;&gt;"Challan","",SUMIF('Q1 Data'!$D$4:$D$207,D80,'Q1 Data'!$AD$4:$AD$207)+SUMIF('Q1 Data'!$D$4:$D$207,D80,'Q1 Data'!$AG$4:$AG$207)+SUMIF('Q1 Data'!$D$4:$D$207,D80,'Q1 Data'!$AE$4:$AE$207)+SUMIF('Q2 Data'!$D$4:$D$207,D80,'Q2 Data'!$AD$4:$AD$207)+SUMIF('Q2 Data'!$D$4:$D$207,D80,'Q2 Data'!$AG$4:$AG$207)+SUMIF('Q2 Data'!$D$4:$D$207,D80,'Q2 Data'!$AE$4:$AE$207)+SUMIF('Q3 Data'!$D$4:$D$207,D80,'Q3 Data'!$AD$4:$AD$207)+SUMIF('Q3 Data'!$D$4:$D$207,D80,'Q3 Data'!$AG$4:$AG$207)+SUMIF('Q3 Data'!$D$4:$D$207,D80,'Q3 Data'!$AE$4:$AE$207)+SUMIF('Q4 Data'!$D$4:$D$207,D80,'Q4 Data'!$AD$4:$AD$207)+SUMIF('Q4 Data'!$D$4:$D$207,D80,'Q4 Data'!$AG$4:$AG$207)+SUMIF('Q4 Data'!$D$4:$D$207,D80,'Q4 Data'!$AE$4:$AE$207))</f>
      </c>
      <c r="AO80" s="27">
        <f>IF($B80&lt;&gt;"Challan","",P80-N80)</f>
      </c>
      <c r="AP80" s="27">
        <f>IF($B80&lt;&gt;"Challan","",MAX(0,AO80-AN80))</f>
      </c>
      <c r="AQ80" s="33">
        <f>IF($B80&lt;&gt;"Entry","",SUMPRODUCT(('Q1 Data'!$D$4:$D$207=D80)*('Q1 Data'!$B$4:$B$207="Challan")*'Q1 Data'!$F$4:$F$207)+SUMPRODUCT(('Q2 Data'!$D$4:$D$207=D80)*('Q2 Data'!$B$4:$B$207="Challan")*'Q2 Data'!$F$4:$F$207)+SUMPRODUCT(('Q3 Data'!$D$4:$D$207=D80)*('Q3 Data'!$B$4:$B$207="Challan")*'Q3 Data'!$F$4:$F$207)+SUMPRODUCT(('Q4 Data'!$D$4:$D$207=D80)*('Q4 Data'!$B$4:$B$207="Challan")*'Q4 Data'!$F$4:$F$207))</f>
      </c>
      <c r="AR80" s="34">
        <f>IF(OR($B80&lt;&gt;"Entry",Z80=""),FALSE,AND((SUMPRODUCT(('Q1 Data'!$D$4:$D$207=D80)*('Q1 Data'!$B$4:$B$207="Challan")*('Q1 Data'!$H$4:$H$207&lt;&gt;""))+SUMPRODUCT(('Q2 Data'!$D$4:$D$207=D80)*('Q2 Data'!$B$4:$B$207="Challan")*('Q2 Data'!$H$4:$H$207&lt;&gt;""))+SUMPRODUCT(('Q3 Data'!$D$4:$D$207=D80)*('Q3 Data'!$B$4:$B$207="Challan")*('Q3 Data'!$H$4:$H$207&lt;&gt;""))+SUMPRODUCT(('Q4 Data'!$D$4:$D$207=D80)*('Q4 Data'!$B$4:$B$207="Challan")*('Q4 Data'!$H$4:$H$207&lt;&gt;"")))&gt;0,(SUMPRODUCT(('Q1 Data'!$D$4:$D$207=D80)*('Q1 Data'!$B$4:$B$207="Challan")*('Q1 Data'!$H$4:$H$207=Z80))+SUMPRODUCT(('Q2 Data'!$D$4:$D$207=D80)*('Q2 Data'!$B$4:$B$207="Challan")*('Q2 Data'!$H$4:$H$207=Z80))+SUMPRODUCT(('Q3 Data'!$D$4:$D$207=D80)*('Q3 Data'!$B$4:$B$207="Challan")*('Q3 Data'!$H$4:$H$207=Z80))+SUMPRODUCT(('Q4 Data'!$D$4:$D$207=D80)*('Q4 Data'!$B$4:$B$207="Challan")*('Q4 Data'!$H$4:$H$207=Z80)))=0))</f>
      </c>
    </row>
    <row r="81" spans="1:44" x14ac:dyDescent="0.25">
      <c r="A81" s="20">
        <f>IF($B81="Entry",COUNTIF($B$4:$B81,"Entry"),"")</f>
      </c>
      <c r="B81" s="21"/>
      <c r="C81" s="22"/>
      <c r="D81" s="22"/>
      <c r="E81" s="23">
        <f>IF($B81&lt;&gt;"Challan","",IF(ROUND(AN81-AO81,2)&gt;0,"Over-applied",IF(ROUND(AN81-AO81,2)=0,"Fully Utilised","Unconsumed")))</f>
      </c>
      <c r="F81" s="24"/>
      <c r="G81" s="25"/>
      <c r="H81" s="25"/>
      <c r="I81" s="26"/>
      <c r="J81" s="26"/>
      <c r="K81" s="26"/>
      <c r="L81" s="26"/>
      <c r="M81" s="26"/>
      <c r="N81" s="26"/>
      <c r="O81" s="26"/>
      <c r="P81" s="27">
        <f>IF($B81&lt;&gt;"Challan","",I81+J81+K81+L81+M81+N81)</f>
      </c>
      <c r="Q81" s="25"/>
      <c r="R81" s="25"/>
      <c r="S81" s="25"/>
      <c r="T81" s="25"/>
      <c r="U81" s="25"/>
      <c r="V81" s="28"/>
      <c r="W81" s="28"/>
      <c r="X81" s="23">
        <f>IF($B81="Entry",IF(AND(LEN(TRIM(UPPER(W81)))=10,CODE(MID(TRIM(UPPER(W81)),1,1))&gt;=65,CODE(MID(TRIM(UPPER(W81)),1,1))&lt;=90,CODE(MID(TRIM(UPPER(W81)),2,1))&gt;=65,CODE(MID(TRIM(UPPER(W81)),2,1))&lt;=90,CODE(MID(TRIM(UPPER(W81)),3,1))&gt;=65,CODE(MID(TRIM(UPPER(W81)),3,1))&lt;=90,CODE(MID(TRIM(UPPER(W81)),4,1))&gt;=65,CODE(MID(TRIM(UPPER(W81)),4,1))&lt;=90,CODE(MID(TRIM(UPPER(W81)),5,1))&gt;=65,CODE(MID(TRIM(UPPER(W81)),5,1))&lt;=90,CODE(MID(TRIM(UPPER(W81)),10,1))&gt;=65,CODE(MID(TRIM(UPPER(W81)),10,1))&lt;=90,CODE(MID(TRIM(UPPER(W81)),6,1))&gt;=48,CODE(MID(TRIM(UPPER(W81)),6,1))&lt;=57,CODE(MID(TRIM(UPPER(W81)),7,1))&gt;=48,CODE(MID(TRIM(UPPER(W81)),7,1))&lt;=57,CODE(MID(TRIM(UPPER(W81)),8,1))&gt;=48,CODE(MID(TRIM(UPPER(W81)),8,1))&lt;=57,CODE(MID(TRIM(UPPER(W81)),9,1))&gt;=48,CODE(MID(TRIM(UPPER(W81)),9,1))&lt;=57),"N","Y"),IF($B81="Challan","",IF(W81&lt;&gt;"","◄ Set Row Type","")))</f>
      </c>
      <c r="Y81" s="23">
        <f>IF($B81="Entry",IF(LEN(W81)&lt;4,"",IF(UPPER(MID(W81,4,1))="P","Individual",IF(UPPER(MID(W81,4,1))="H","HUF",IF(UPPER(MID(W81,4,1))="C","Company",IF(UPPER(MID(W81,4,1))="F","Firm",IF(UPPER(MID(W81,4,1))="L","LLP",IF(UPPER(MID(W81,4,1))="T","Trust",IF(UPPER(MID(W81,4,1))="A","AOP","")))))))),IF($B81="Challan","",IF(W81&lt;&gt;"","◄ Set Row Type","")))</f>
      </c>
      <c r="Z81" s="28"/>
      <c r="AA81" s="29">
        <f>IF($B81&lt;&gt;"Entry","",IF(Z81="","",IF(X81="Y",SUMPRODUCT(('Rate Lookup'!$A$1:$A$37=Z81)*'Rate Lookup'!$D$1:$D$37),IF(OR(Y81="Individual",Y81="HUF"),SUMPRODUCT(('Rate Lookup'!$A$1:$A$37=Z81)*'Rate Lookup'!$B$1:$B$37),SUMPRODUCT(('Rate Lookup'!$A$1:$A$37=Z81)*'Rate Lookup'!$C$1:$C$37)))))</f>
      </c>
      <c r="AB81" s="30"/>
      <c r="AC81" s="31"/>
      <c r="AD81" s="27">
        <f>IF($B81&lt;&gt;"Entry","",ROUND(AC81*AA81/100,0))</f>
      </c>
      <c r="AE81" s="27">
        <f>IF($B81&lt;&gt;"Entry","",0)</f>
      </c>
      <c r="AF81" s="27">
        <f>IF($B81&lt;&gt;"Entry","",0)</f>
      </c>
      <c r="AG81" s="27">
        <f>IF($B81&lt;&gt;"Entry","",IF(OR(AD81=0,AB81="",AQ81="",AQ81&lt;=0),0,IF(AQ81&lt;=DATE(YEAR(AB81),MONTH(AB81)+1,7),0,ROUND(AD81*0.015*((YEAR(AQ81)-YEAR(AB81))*12+(MONTH(AQ81)-MONTH(AB81))+1),0))))</f>
      </c>
      <c r="AH81" s="27">
        <f>IF($B81&lt;&gt;"Entry","",0)</f>
      </c>
      <c r="AI81" s="28"/>
      <c r="AJ81" s="28"/>
      <c r="AK81" s="32"/>
      <c r="AL81" s="28"/>
      <c r="AM81" s="28"/>
      <c r="AN81" s="27">
        <f>IF($B81&lt;&gt;"Challan","",SUMIF('Q1 Data'!$D$4:$D$207,D81,'Q1 Data'!$AD$4:$AD$207)+SUMIF('Q1 Data'!$D$4:$D$207,D81,'Q1 Data'!$AG$4:$AG$207)+SUMIF('Q1 Data'!$D$4:$D$207,D81,'Q1 Data'!$AE$4:$AE$207)+SUMIF('Q2 Data'!$D$4:$D$207,D81,'Q2 Data'!$AD$4:$AD$207)+SUMIF('Q2 Data'!$D$4:$D$207,D81,'Q2 Data'!$AG$4:$AG$207)+SUMIF('Q2 Data'!$D$4:$D$207,D81,'Q2 Data'!$AE$4:$AE$207)+SUMIF('Q3 Data'!$D$4:$D$207,D81,'Q3 Data'!$AD$4:$AD$207)+SUMIF('Q3 Data'!$D$4:$D$207,D81,'Q3 Data'!$AG$4:$AG$207)+SUMIF('Q3 Data'!$D$4:$D$207,D81,'Q3 Data'!$AE$4:$AE$207)+SUMIF('Q4 Data'!$D$4:$D$207,D81,'Q4 Data'!$AD$4:$AD$207)+SUMIF('Q4 Data'!$D$4:$D$207,D81,'Q4 Data'!$AG$4:$AG$207)+SUMIF('Q4 Data'!$D$4:$D$207,D81,'Q4 Data'!$AE$4:$AE$207))</f>
      </c>
      <c r="AO81" s="27">
        <f>IF($B81&lt;&gt;"Challan","",P81-N81)</f>
      </c>
      <c r="AP81" s="27">
        <f>IF($B81&lt;&gt;"Challan","",MAX(0,AO81-AN81))</f>
      </c>
      <c r="AQ81" s="33">
        <f>IF($B81&lt;&gt;"Entry","",SUMPRODUCT(('Q1 Data'!$D$4:$D$207=D81)*('Q1 Data'!$B$4:$B$207="Challan")*'Q1 Data'!$F$4:$F$207)+SUMPRODUCT(('Q2 Data'!$D$4:$D$207=D81)*('Q2 Data'!$B$4:$B$207="Challan")*'Q2 Data'!$F$4:$F$207)+SUMPRODUCT(('Q3 Data'!$D$4:$D$207=D81)*('Q3 Data'!$B$4:$B$207="Challan")*'Q3 Data'!$F$4:$F$207)+SUMPRODUCT(('Q4 Data'!$D$4:$D$207=D81)*('Q4 Data'!$B$4:$B$207="Challan")*'Q4 Data'!$F$4:$F$207))</f>
      </c>
      <c r="AR81" s="34">
        <f>IF(OR($B81&lt;&gt;"Entry",Z81=""),FALSE,AND((SUMPRODUCT(('Q1 Data'!$D$4:$D$207=D81)*('Q1 Data'!$B$4:$B$207="Challan")*('Q1 Data'!$H$4:$H$207&lt;&gt;""))+SUMPRODUCT(('Q2 Data'!$D$4:$D$207=D81)*('Q2 Data'!$B$4:$B$207="Challan")*('Q2 Data'!$H$4:$H$207&lt;&gt;""))+SUMPRODUCT(('Q3 Data'!$D$4:$D$207=D81)*('Q3 Data'!$B$4:$B$207="Challan")*('Q3 Data'!$H$4:$H$207&lt;&gt;""))+SUMPRODUCT(('Q4 Data'!$D$4:$D$207=D81)*('Q4 Data'!$B$4:$B$207="Challan")*('Q4 Data'!$H$4:$H$207&lt;&gt;"")))&gt;0,(SUMPRODUCT(('Q1 Data'!$D$4:$D$207=D81)*('Q1 Data'!$B$4:$B$207="Challan")*('Q1 Data'!$H$4:$H$207=Z81))+SUMPRODUCT(('Q2 Data'!$D$4:$D$207=D81)*('Q2 Data'!$B$4:$B$207="Challan")*('Q2 Data'!$H$4:$H$207=Z81))+SUMPRODUCT(('Q3 Data'!$D$4:$D$207=D81)*('Q3 Data'!$B$4:$B$207="Challan")*('Q3 Data'!$H$4:$H$207=Z81))+SUMPRODUCT(('Q4 Data'!$D$4:$D$207=D81)*('Q4 Data'!$B$4:$B$207="Challan")*('Q4 Data'!$H$4:$H$207=Z81)))=0))</f>
      </c>
    </row>
    <row r="82" spans="1:44" x14ac:dyDescent="0.25">
      <c r="A82" s="20">
        <f>IF($B82="Entry",COUNTIF($B$4:$B82,"Entry"),"")</f>
      </c>
      <c r="B82" s="21"/>
      <c r="C82" s="22"/>
      <c r="D82" s="22"/>
      <c r="E82" s="23">
        <f>IF($B82&lt;&gt;"Challan","",IF(ROUND(AN82-AO82,2)&gt;0,"Over-applied",IF(ROUND(AN82-AO82,2)=0,"Fully Utilised","Unconsumed")))</f>
      </c>
      <c r="F82" s="24"/>
      <c r="G82" s="25"/>
      <c r="H82" s="25"/>
      <c r="I82" s="26"/>
      <c r="J82" s="26"/>
      <c r="K82" s="26"/>
      <c r="L82" s="26"/>
      <c r="M82" s="26"/>
      <c r="N82" s="26"/>
      <c r="O82" s="26"/>
      <c r="P82" s="27">
        <f>IF($B82&lt;&gt;"Challan","",I82+J82+K82+L82+M82+N82)</f>
      </c>
      <c r="Q82" s="25"/>
      <c r="R82" s="25"/>
      <c r="S82" s="25"/>
      <c r="T82" s="25"/>
      <c r="U82" s="25"/>
      <c r="V82" s="28"/>
      <c r="W82" s="28"/>
      <c r="X82" s="23">
        <f>IF($B82="Entry",IF(AND(LEN(TRIM(UPPER(W82)))=10,CODE(MID(TRIM(UPPER(W82)),1,1))&gt;=65,CODE(MID(TRIM(UPPER(W82)),1,1))&lt;=90,CODE(MID(TRIM(UPPER(W82)),2,1))&gt;=65,CODE(MID(TRIM(UPPER(W82)),2,1))&lt;=90,CODE(MID(TRIM(UPPER(W82)),3,1))&gt;=65,CODE(MID(TRIM(UPPER(W82)),3,1))&lt;=90,CODE(MID(TRIM(UPPER(W82)),4,1))&gt;=65,CODE(MID(TRIM(UPPER(W82)),4,1))&lt;=90,CODE(MID(TRIM(UPPER(W82)),5,1))&gt;=65,CODE(MID(TRIM(UPPER(W82)),5,1))&lt;=90,CODE(MID(TRIM(UPPER(W82)),10,1))&gt;=65,CODE(MID(TRIM(UPPER(W82)),10,1))&lt;=90,CODE(MID(TRIM(UPPER(W82)),6,1))&gt;=48,CODE(MID(TRIM(UPPER(W82)),6,1))&lt;=57,CODE(MID(TRIM(UPPER(W82)),7,1))&gt;=48,CODE(MID(TRIM(UPPER(W82)),7,1))&lt;=57,CODE(MID(TRIM(UPPER(W82)),8,1))&gt;=48,CODE(MID(TRIM(UPPER(W82)),8,1))&lt;=57,CODE(MID(TRIM(UPPER(W82)),9,1))&gt;=48,CODE(MID(TRIM(UPPER(W82)),9,1))&lt;=57),"N","Y"),IF($B82="Challan","",IF(W82&lt;&gt;"","◄ Set Row Type","")))</f>
      </c>
      <c r="Y82" s="23">
        <f>IF($B82="Entry",IF(LEN(W82)&lt;4,"",IF(UPPER(MID(W82,4,1))="P","Individual",IF(UPPER(MID(W82,4,1))="H","HUF",IF(UPPER(MID(W82,4,1))="C","Company",IF(UPPER(MID(W82,4,1))="F","Firm",IF(UPPER(MID(W82,4,1))="L","LLP",IF(UPPER(MID(W82,4,1))="T","Trust",IF(UPPER(MID(W82,4,1))="A","AOP","")))))))),IF($B82="Challan","",IF(W82&lt;&gt;"","◄ Set Row Type","")))</f>
      </c>
      <c r="Z82" s="28"/>
      <c r="AA82" s="29">
        <f>IF($B82&lt;&gt;"Entry","",IF(Z82="","",IF(X82="Y",SUMPRODUCT(('Rate Lookup'!$A$1:$A$37=Z82)*'Rate Lookup'!$D$1:$D$37),IF(OR(Y82="Individual",Y82="HUF"),SUMPRODUCT(('Rate Lookup'!$A$1:$A$37=Z82)*'Rate Lookup'!$B$1:$B$37),SUMPRODUCT(('Rate Lookup'!$A$1:$A$37=Z82)*'Rate Lookup'!$C$1:$C$37)))))</f>
      </c>
      <c r="AB82" s="30"/>
      <c r="AC82" s="31"/>
      <c r="AD82" s="27">
        <f>IF($B82&lt;&gt;"Entry","",ROUND(AC82*AA82/100,0))</f>
      </c>
      <c r="AE82" s="27">
        <f>IF($B82&lt;&gt;"Entry","",0)</f>
      </c>
      <c r="AF82" s="27">
        <f>IF($B82&lt;&gt;"Entry","",0)</f>
      </c>
      <c r="AG82" s="27">
        <f>IF($B82&lt;&gt;"Entry","",IF(OR(AD82=0,AB82="",AQ82="",AQ82&lt;=0),0,IF(AQ82&lt;=DATE(YEAR(AB82),MONTH(AB82)+1,7),0,ROUND(AD82*0.015*((YEAR(AQ82)-YEAR(AB82))*12+(MONTH(AQ82)-MONTH(AB82))+1),0))))</f>
      </c>
      <c r="AH82" s="27">
        <f>IF($B82&lt;&gt;"Entry","",0)</f>
      </c>
      <c r="AI82" s="28"/>
      <c r="AJ82" s="28"/>
      <c r="AK82" s="32"/>
      <c r="AL82" s="28"/>
      <c r="AM82" s="28"/>
      <c r="AN82" s="27">
        <f>IF($B82&lt;&gt;"Challan","",SUMIF('Q1 Data'!$D$4:$D$207,D82,'Q1 Data'!$AD$4:$AD$207)+SUMIF('Q1 Data'!$D$4:$D$207,D82,'Q1 Data'!$AG$4:$AG$207)+SUMIF('Q1 Data'!$D$4:$D$207,D82,'Q1 Data'!$AE$4:$AE$207)+SUMIF('Q2 Data'!$D$4:$D$207,D82,'Q2 Data'!$AD$4:$AD$207)+SUMIF('Q2 Data'!$D$4:$D$207,D82,'Q2 Data'!$AG$4:$AG$207)+SUMIF('Q2 Data'!$D$4:$D$207,D82,'Q2 Data'!$AE$4:$AE$207)+SUMIF('Q3 Data'!$D$4:$D$207,D82,'Q3 Data'!$AD$4:$AD$207)+SUMIF('Q3 Data'!$D$4:$D$207,D82,'Q3 Data'!$AG$4:$AG$207)+SUMIF('Q3 Data'!$D$4:$D$207,D82,'Q3 Data'!$AE$4:$AE$207)+SUMIF('Q4 Data'!$D$4:$D$207,D82,'Q4 Data'!$AD$4:$AD$207)+SUMIF('Q4 Data'!$D$4:$D$207,D82,'Q4 Data'!$AG$4:$AG$207)+SUMIF('Q4 Data'!$D$4:$D$207,D82,'Q4 Data'!$AE$4:$AE$207))</f>
      </c>
      <c r="AO82" s="27">
        <f>IF($B82&lt;&gt;"Challan","",P82-N82)</f>
      </c>
      <c r="AP82" s="27">
        <f>IF($B82&lt;&gt;"Challan","",MAX(0,AO82-AN82))</f>
      </c>
      <c r="AQ82" s="33">
        <f>IF($B82&lt;&gt;"Entry","",SUMPRODUCT(('Q1 Data'!$D$4:$D$207=D82)*('Q1 Data'!$B$4:$B$207="Challan")*'Q1 Data'!$F$4:$F$207)+SUMPRODUCT(('Q2 Data'!$D$4:$D$207=D82)*('Q2 Data'!$B$4:$B$207="Challan")*'Q2 Data'!$F$4:$F$207)+SUMPRODUCT(('Q3 Data'!$D$4:$D$207=D82)*('Q3 Data'!$B$4:$B$207="Challan")*'Q3 Data'!$F$4:$F$207)+SUMPRODUCT(('Q4 Data'!$D$4:$D$207=D82)*('Q4 Data'!$B$4:$B$207="Challan")*'Q4 Data'!$F$4:$F$207))</f>
      </c>
      <c r="AR82" s="34">
        <f>IF(OR($B82&lt;&gt;"Entry",Z82=""),FALSE,AND((SUMPRODUCT(('Q1 Data'!$D$4:$D$207=D82)*('Q1 Data'!$B$4:$B$207="Challan")*('Q1 Data'!$H$4:$H$207&lt;&gt;""))+SUMPRODUCT(('Q2 Data'!$D$4:$D$207=D82)*('Q2 Data'!$B$4:$B$207="Challan")*('Q2 Data'!$H$4:$H$207&lt;&gt;""))+SUMPRODUCT(('Q3 Data'!$D$4:$D$207=D82)*('Q3 Data'!$B$4:$B$207="Challan")*('Q3 Data'!$H$4:$H$207&lt;&gt;""))+SUMPRODUCT(('Q4 Data'!$D$4:$D$207=D82)*('Q4 Data'!$B$4:$B$207="Challan")*('Q4 Data'!$H$4:$H$207&lt;&gt;"")))&gt;0,(SUMPRODUCT(('Q1 Data'!$D$4:$D$207=D82)*('Q1 Data'!$B$4:$B$207="Challan")*('Q1 Data'!$H$4:$H$207=Z82))+SUMPRODUCT(('Q2 Data'!$D$4:$D$207=D82)*('Q2 Data'!$B$4:$B$207="Challan")*('Q2 Data'!$H$4:$H$207=Z82))+SUMPRODUCT(('Q3 Data'!$D$4:$D$207=D82)*('Q3 Data'!$B$4:$B$207="Challan")*('Q3 Data'!$H$4:$H$207=Z82))+SUMPRODUCT(('Q4 Data'!$D$4:$D$207=D82)*('Q4 Data'!$B$4:$B$207="Challan")*('Q4 Data'!$H$4:$H$207=Z82)))=0))</f>
      </c>
    </row>
    <row r="83" spans="1:44" x14ac:dyDescent="0.25">
      <c r="A83" s="20">
        <f>IF($B83="Entry",COUNTIF($B$4:$B83,"Entry"),"")</f>
      </c>
      <c r="B83" s="21"/>
      <c r="C83" s="22"/>
      <c r="D83" s="22"/>
      <c r="E83" s="23">
        <f>IF($B83&lt;&gt;"Challan","",IF(ROUND(AN83-AO83,2)&gt;0,"Over-applied",IF(ROUND(AN83-AO83,2)=0,"Fully Utilised","Unconsumed")))</f>
      </c>
      <c r="F83" s="24"/>
      <c r="G83" s="25"/>
      <c r="H83" s="25"/>
      <c r="I83" s="26"/>
      <c r="J83" s="26"/>
      <c r="K83" s="26"/>
      <c r="L83" s="26"/>
      <c r="M83" s="26"/>
      <c r="N83" s="26"/>
      <c r="O83" s="26"/>
      <c r="P83" s="27">
        <f>IF($B83&lt;&gt;"Challan","",I83+J83+K83+L83+M83+N83)</f>
      </c>
      <c r="Q83" s="25"/>
      <c r="R83" s="25"/>
      <c r="S83" s="25"/>
      <c r="T83" s="25"/>
      <c r="U83" s="25"/>
      <c r="V83" s="28"/>
      <c r="W83" s="28"/>
      <c r="X83" s="23">
        <f>IF($B83="Entry",IF(AND(LEN(TRIM(UPPER(W83)))=10,CODE(MID(TRIM(UPPER(W83)),1,1))&gt;=65,CODE(MID(TRIM(UPPER(W83)),1,1))&lt;=90,CODE(MID(TRIM(UPPER(W83)),2,1))&gt;=65,CODE(MID(TRIM(UPPER(W83)),2,1))&lt;=90,CODE(MID(TRIM(UPPER(W83)),3,1))&gt;=65,CODE(MID(TRIM(UPPER(W83)),3,1))&lt;=90,CODE(MID(TRIM(UPPER(W83)),4,1))&gt;=65,CODE(MID(TRIM(UPPER(W83)),4,1))&lt;=90,CODE(MID(TRIM(UPPER(W83)),5,1))&gt;=65,CODE(MID(TRIM(UPPER(W83)),5,1))&lt;=90,CODE(MID(TRIM(UPPER(W83)),10,1))&gt;=65,CODE(MID(TRIM(UPPER(W83)),10,1))&lt;=90,CODE(MID(TRIM(UPPER(W83)),6,1))&gt;=48,CODE(MID(TRIM(UPPER(W83)),6,1))&lt;=57,CODE(MID(TRIM(UPPER(W83)),7,1))&gt;=48,CODE(MID(TRIM(UPPER(W83)),7,1))&lt;=57,CODE(MID(TRIM(UPPER(W83)),8,1))&gt;=48,CODE(MID(TRIM(UPPER(W83)),8,1))&lt;=57,CODE(MID(TRIM(UPPER(W83)),9,1))&gt;=48,CODE(MID(TRIM(UPPER(W83)),9,1))&lt;=57),"N","Y"),IF($B83="Challan","",IF(W83&lt;&gt;"","◄ Set Row Type","")))</f>
      </c>
      <c r="Y83" s="23">
        <f>IF($B83="Entry",IF(LEN(W83)&lt;4,"",IF(UPPER(MID(W83,4,1))="P","Individual",IF(UPPER(MID(W83,4,1))="H","HUF",IF(UPPER(MID(W83,4,1))="C","Company",IF(UPPER(MID(W83,4,1))="F","Firm",IF(UPPER(MID(W83,4,1))="L","LLP",IF(UPPER(MID(W83,4,1))="T","Trust",IF(UPPER(MID(W83,4,1))="A","AOP","")))))))),IF($B83="Challan","",IF(W83&lt;&gt;"","◄ Set Row Type","")))</f>
      </c>
      <c r="Z83" s="28"/>
      <c r="AA83" s="29">
        <f>IF($B83&lt;&gt;"Entry","",IF(Z83="","",IF(X83="Y",SUMPRODUCT(('Rate Lookup'!$A$1:$A$37=Z83)*'Rate Lookup'!$D$1:$D$37),IF(OR(Y83="Individual",Y83="HUF"),SUMPRODUCT(('Rate Lookup'!$A$1:$A$37=Z83)*'Rate Lookup'!$B$1:$B$37),SUMPRODUCT(('Rate Lookup'!$A$1:$A$37=Z83)*'Rate Lookup'!$C$1:$C$37)))))</f>
      </c>
      <c r="AB83" s="30"/>
      <c r="AC83" s="31"/>
      <c r="AD83" s="27">
        <f>IF($B83&lt;&gt;"Entry","",ROUND(AC83*AA83/100,0))</f>
      </c>
      <c r="AE83" s="27">
        <f>IF($B83&lt;&gt;"Entry","",0)</f>
      </c>
      <c r="AF83" s="27">
        <f>IF($B83&lt;&gt;"Entry","",0)</f>
      </c>
      <c r="AG83" s="27">
        <f>IF($B83&lt;&gt;"Entry","",IF(OR(AD83=0,AB83="",AQ83="",AQ83&lt;=0),0,IF(AQ83&lt;=DATE(YEAR(AB83),MONTH(AB83)+1,7),0,ROUND(AD83*0.015*((YEAR(AQ83)-YEAR(AB83))*12+(MONTH(AQ83)-MONTH(AB83))+1),0))))</f>
      </c>
      <c r="AH83" s="27">
        <f>IF($B83&lt;&gt;"Entry","",0)</f>
      </c>
      <c r="AI83" s="28"/>
      <c r="AJ83" s="28"/>
      <c r="AK83" s="32"/>
      <c r="AL83" s="28"/>
      <c r="AM83" s="28"/>
      <c r="AN83" s="27">
        <f>IF($B83&lt;&gt;"Challan","",SUMIF('Q1 Data'!$D$4:$D$207,D83,'Q1 Data'!$AD$4:$AD$207)+SUMIF('Q1 Data'!$D$4:$D$207,D83,'Q1 Data'!$AG$4:$AG$207)+SUMIF('Q1 Data'!$D$4:$D$207,D83,'Q1 Data'!$AE$4:$AE$207)+SUMIF('Q2 Data'!$D$4:$D$207,D83,'Q2 Data'!$AD$4:$AD$207)+SUMIF('Q2 Data'!$D$4:$D$207,D83,'Q2 Data'!$AG$4:$AG$207)+SUMIF('Q2 Data'!$D$4:$D$207,D83,'Q2 Data'!$AE$4:$AE$207)+SUMIF('Q3 Data'!$D$4:$D$207,D83,'Q3 Data'!$AD$4:$AD$207)+SUMIF('Q3 Data'!$D$4:$D$207,D83,'Q3 Data'!$AG$4:$AG$207)+SUMIF('Q3 Data'!$D$4:$D$207,D83,'Q3 Data'!$AE$4:$AE$207)+SUMIF('Q4 Data'!$D$4:$D$207,D83,'Q4 Data'!$AD$4:$AD$207)+SUMIF('Q4 Data'!$D$4:$D$207,D83,'Q4 Data'!$AG$4:$AG$207)+SUMIF('Q4 Data'!$D$4:$D$207,D83,'Q4 Data'!$AE$4:$AE$207))</f>
      </c>
      <c r="AO83" s="27">
        <f>IF($B83&lt;&gt;"Challan","",P83-N83)</f>
      </c>
      <c r="AP83" s="27">
        <f>IF($B83&lt;&gt;"Challan","",MAX(0,AO83-AN83))</f>
      </c>
      <c r="AQ83" s="33">
        <f>IF($B83&lt;&gt;"Entry","",SUMPRODUCT(('Q1 Data'!$D$4:$D$207=D83)*('Q1 Data'!$B$4:$B$207="Challan")*'Q1 Data'!$F$4:$F$207)+SUMPRODUCT(('Q2 Data'!$D$4:$D$207=D83)*('Q2 Data'!$B$4:$B$207="Challan")*'Q2 Data'!$F$4:$F$207)+SUMPRODUCT(('Q3 Data'!$D$4:$D$207=D83)*('Q3 Data'!$B$4:$B$207="Challan")*'Q3 Data'!$F$4:$F$207)+SUMPRODUCT(('Q4 Data'!$D$4:$D$207=D83)*('Q4 Data'!$B$4:$B$207="Challan")*'Q4 Data'!$F$4:$F$207))</f>
      </c>
      <c r="AR83" s="34">
        <f>IF(OR($B83&lt;&gt;"Entry",Z83=""),FALSE,AND((SUMPRODUCT(('Q1 Data'!$D$4:$D$207=D83)*('Q1 Data'!$B$4:$B$207="Challan")*('Q1 Data'!$H$4:$H$207&lt;&gt;""))+SUMPRODUCT(('Q2 Data'!$D$4:$D$207=D83)*('Q2 Data'!$B$4:$B$207="Challan")*('Q2 Data'!$H$4:$H$207&lt;&gt;""))+SUMPRODUCT(('Q3 Data'!$D$4:$D$207=D83)*('Q3 Data'!$B$4:$B$207="Challan")*('Q3 Data'!$H$4:$H$207&lt;&gt;""))+SUMPRODUCT(('Q4 Data'!$D$4:$D$207=D83)*('Q4 Data'!$B$4:$B$207="Challan")*('Q4 Data'!$H$4:$H$207&lt;&gt;"")))&gt;0,(SUMPRODUCT(('Q1 Data'!$D$4:$D$207=D83)*('Q1 Data'!$B$4:$B$207="Challan")*('Q1 Data'!$H$4:$H$207=Z83))+SUMPRODUCT(('Q2 Data'!$D$4:$D$207=D83)*('Q2 Data'!$B$4:$B$207="Challan")*('Q2 Data'!$H$4:$H$207=Z83))+SUMPRODUCT(('Q3 Data'!$D$4:$D$207=D83)*('Q3 Data'!$B$4:$B$207="Challan")*('Q3 Data'!$H$4:$H$207=Z83))+SUMPRODUCT(('Q4 Data'!$D$4:$D$207=D83)*('Q4 Data'!$B$4:$B$207="Challan")*('Q4 Data'!$H$4:$H$207=Z83)))=0))</f>
      </c>
    </row>
    <row r="84" spans="1:44" x14ac:dyDescent="0.25">
      <c r="A84" s="20">
        <f>IF($B84="Entry",COUNTIF($B$4:$B84,"Entry"),"")</f>
      </c>
      <c r="B84" s="21"/>
      <c r="C84" s="22"/>
      <c r="D84" s="22"/>
      <c r="E84" s="23">
        <f>IF($B84&lt;&gt;"Challan","",IF(ROUND(AN84-AO84,2)&gt;0,"Over-applied",IF(ROUND(AN84-AO84,2)=0,"Fully Utilised","Unconsumed")))</f>
      </c>
      <c r="F84" s="24"/>
      <c r="G84" s="25"/>
      <c r="H84" s="25"/>
      <c r="I84" s="26"/>
      <c r="J84" s="26"/>
      <c r="K84" s="26"/>
      <c r="L84" s="26"/>
      <c r="M84" s="26"/>
      <c r="N84" s="26"/>
      <c r="O84" s="26"/>
      <c r="P84" s="27">
        <f>IF($B84&lt;&gt;"Challan","",I84+J84+K84+L84+M84+N84)</f>
      </c>
      <c r="Q84" s="25"/>
      <c r="R84" s="25"/>
      <c r="S84" s="25"/>
      <c r="T84" s="25"/>
      <c r="U84" s="25"/>
      <c r="V84" s="28"/>
      <c r="W84" s="28"/>
      <c r="X84" s="23">
        <f>IF($B84="Entry",IF(AND(LEN(TRIM(UPPER(W84)))=10,CODE(MID(TRIM(UPPER(W84)),1,1))&gt;=65,CODE(MID(TRIM(UPPER(W84)),1,1))&lt;=90,CODE(MID(TRIM(UPPER(W84)),2,1))&gt;=65,CODE(MID(TRIM(UPPER(W84)),2,1))&lt;=90,CODE(MID(TRIM(UPPER(W84)),3,1))&gt;=65,CODE(MID(TRIM(UPPER(W84)),3,1))&lt;=90,CODE(MID(TRIM(UPPER(W84)),4,1))&gt;=65,CODE(MID(TRIM(UPPER(W84)),4,1))&lt;=90,CODE(MID(TRIM(UPPER(W84)),5,1))&gt;=65,CODE(MID(TRIM(UPPER(W84)),5,1))&lt;=90,CODE(MID(TRIM(UPPER(W84)),10,1))&gt;=65,CODE(MID(TRIM(UPPER(W84)),10,1))&lt;=90,CODE(MID(TRIM(UPPER(W84)),6,1))&gt;=48,CODE(MID(TRIM(UPPER(W84)),6,1))&lt;=57,CODE(MID(TRIM(UPPER(W84)),7,1))&gt;=48,CODE(MID(TRIM(UPPER(W84)),7,1))&lt;=57,CODE(MID(TRIM(UPPER(W84)),8,1))&gt;=48,CODE(MID(TRIM(UPPER(W84)),8,1))&lt;=57,CODE(MID(TRIM(UPPER(W84)),9,1))&gt;=48,CODE(MID(TRIM(UPPER(W84)),9,1))&lt;=57),"N","Y"),IF($B84="Challan","",IF(W84&lt;&gt;"","◄ Set Row Type","")))</f>
      </c>
      <c r="Y84" s="23">
        <f>IF($B84="Entry",IF(LEN(W84)&lt;4,"",IF(UPPER(MID(W84,4,1))="P","Individual",IF(UPPER(MID(W84,4,1))="H","HUF",IF(UPPER(MID(W84,4,1))="C","Company",IF(UPPER(MID(W84,4,1))="F","Firm",IF(UPPER(MID(W84,4,1))="L","LLP",IF(UPPER(MID(W84,4,1))="T","Trust",IF(UPPER(MID(W84,4,1))="A","AOP","")))))))),IF($B84="Challan","",IF(W84&lt;&gt;"","◄ Set Row Type","")))</f>
      </c>
      <c r="Z84" s="28"/>
      <c r="AA84" s="29">
        <f>IF($B84&lt;&gt;"Entry","",IF(Z84="","",IF(X84="Y",SUMPRODUCT(('Rate Lookup'!$A$1:$A$37=Z84)*'Rate Lookup'!$D$1:$D$37),IF(OR(Y84="Individual",Y84="HUF"),SUMPRODUCT(('Rate Lookup'!$A$1:$A$37=Z84)*'Rate Lookup'!$B$1:$B$37),SUMPRODUCT(('Rate Lookup'!$A$1:$A$37=Z84)*'Rate Lookup'!$C$1:$C$37)))))</f>
      </c>
      <c r="AB84" s="30"/>
      <c r="AC84" s="31"/>
      <c r="AD84" s="27">
        <f>IF($B84&lt;&gt;"Entry","",ROUND(AC84*AA84/100,0))</f>
      </c>
      <c r="AE84" s="27">
        <f>IF($B84&lt;&gt;"Entry","",0)</f>
      </c>
      <c r="AF84" s="27">
        <f>IF($B84&lt;&gt;"Entry","",0)</f>
      </c>
      <c r="AG84" s="27">
        <f>IF($B84&lt;&gt;"Entry","",IF(OR(AD84=0,AB84="",AQ84="",AQ84&lt;=0),0,IF(AQ84&lt;=DATE(YEAR(AB84),MONTH(AB84)+1,7),0,ROUND(AD84*0.015*((YEAR(AQ84)-YEAR(AB84))*12+(MONTH(AQ84)-MONTH(AB84))+1),0))))</f>
      </c>
      <c r="AH84" s="27">
        <f>IF($B84&lt;&gt;"Entry","",0)</f>
      </c>
      <c r="AI84" s="28"/>
      <c r="AJ84" s="28"/>
      <c r="AK84" s="32"/>
      <c r="AL84" s="28"/>
      <c r="AM84" s="28"/>
      <c r="AN84" s="27">
        <f>IF($B84&lt;&gt;"Challan","",SUMIF('Q1 Data'!$D$4:$D$207,D84,'Q1 Data'!$AD$4:$AD$207)+SUMIF('Q1 Data'!$D$4:$D$207,D84,'Q1 Data'!$AG$4:$AG$207)+SUMIF('Q1 Data'!$D$4:$D$207,D84,'Q1 Data'!$AE$4:$AE$207)+SUMIF('Q2 Data'!$D$4:$D$207,D84,'Q2 Data'!$AD$4:$AD$207)+SUMIF('Q2 Data'!$D$4:$D$207,D84,'Q2 Data'!$AG$4:$AG$207)+SUMIF('Q2 Data'!$D$4:$D$207,D84,'Q2 Data'!$AE$4:$AE$207)+SUMIF('Q3 Data'!$D$4:$D$207,D84,'Q3 Data'!$AD$4:$AD$207)+SUMIF('Q3 Data'!$D$4:$D$207,D84,'Q3 Data'!$AG$4:$AG$207)+SUMIF('Q3 Data'!$D$4:$D$207,D84,'Q3 Data'!$AE$4:$AE$207)+SUMIF('Q4 Data'!$D$4:$D$207,D84,'Q4 Data'!$AD$4:$AD$207)+SUMIF('Q4 Data'!$D$4:$D$207,D84,'Q4 Data'!$AG$4:$AG$207)+SUMIF('Q4 Data'!$D$4:$D$207,D84,'Q4 Data'!$AE$4:$AE$207))</f>
      </c>
      <c r="AO84" s="27">
        <f>IF($B84&lt;&gt;"Challan","",P84-N84)</f>
      </c>
      <c r="AP84" s="27">
        <f>IF($B84&lt;&gt;"Challan","",MAX(0,AO84-AN84))</f>
      </c>
      <c r="AQ84" s="33">
        <f>IF($B84&lt;&gt;"Entry","",SUMPRODUCT(('Q1 Data'!$D$4:$D$207=D84)*('Q1 Data'!$B$4:$B$207="Challan")*'Q1 Data'!$F$4:$F$207)+SUMPRODUCT(('Q2 Data'!$D$4:$D$207=D84)*('Q2 Data'!$B$4:$B$207="Challan")*'Q2 Data'!$F$4:$F$207)+SUMPRODUCT(('Q3 Data'!$D$4:$D$207=D84)*('Q3 Data'!$B$4:$B$207="Challan")*'Q3 Data'!$F$4:$F$207)+SUMPRODUCT(('Q4 Data'!$D$4:$D$207=D84)*('Q4 Data'!$B$4:$B$207="Challan")*'Q4 Data'!$F$4:$F$207))</f>
      </c>
      <c r="AR84" s="34">
        <f>IF(OR($B84&lt;&gt;"Entry",Z84=""),FALSE,AND((SUMPRODUCT(('Q1 Data'!$D$4:$D$207=D84)*('Q1 Data'!$B$4:$B$207="Challan")*('Q1 Data'!$H$4:$H$207&lt;&gt;""))+SUMPRODUCT(('Q2 Data'!$D$4:$D$207=D84)*('Q2 Data'!$B$4:$B$207="Challan")*('Q2 Data'!$H$4:$H$207&lt;&gt;""))+SUMPRODUCT(('Q3 Data'!$D$4:$D$207=D84)*('Q3 Data'!$B$4:$B$207="Challan")*('Q3 Data'!$H$4:$H$207&lt;&gt;""))+SUMPRODUCT(('Q4 Data'!$D$4:$D$207=D84)*('Q4 Data'!$B$4:$B$207="Challan")*('Q4 Data'!$H$4:$H$207&lt;&gt;"")))&gt;0,(SUMPRODUCT(('Q1 Data'!$D$4:$D$207=D84)*('Q1 Data'!$B$4:$B$207="Challan")*('Q1 Data'!$H$4:$H$207=Z84))+SUMPRODUCT(('Q2 Data'!$D$4:$D$207=D84)*('Q2 Data'!$B$4:$B$207="Challan")*('Q2 Data'!$H$4:$H$207=Z84))+SUMPRODUCT(('Q3 Data'!$D$4:$D$207=D84)*('Q3 Data'!$B$4:$B$207="Challan")*('Q3 Data'!$H$4:$H$207=Z84))+SUMPRODUCT(('Q4 Data'!$D$4:$D$207=D84)*('Q4 Data'!$B$4:$B$207="Challan")*('Q4 Data'!$H$4:$H$207=Z84)))=0))</f>
      </c>
    </row>
    <row r="85" spans="1:44" x14ac:dyDescent="0.25">
      <c r="A85" s="20">
        <f>IF($B85="Entry",COUNTIF($B$4:$B85,"Entry"),"")</f>
      </c>
      <c r="B85" s="21"/>
      <c r="C85" s="22"/>
      <c r="D85" s="22"/>
      <c r="E85" s="23">
        <f>IF($B85&lt;&gt;"Challan","",IF(ROUND(AN85-AO85,2)&gt;0,"Over-applied",IF(ROUND(AN85-AO85,2)=0,"Fully Utilised","Unconsumed")))</f>
      </c>
      <c r="F85" s="24"/>
      <c r="G85" s="25"/>
      <c r="H85" s="25"/>
      <c r="I85" s="26"/>
      <c r="J85" s="26"/>
      <c r="K85" s="26"/>
      <c r="L85" s="26"/>
      <c r="M85" s="26"/>
      <c r="N85" s="26"/>
      <c r="O85" s="26"/>
      <c r="P85" s="27">
        <f>IF($B85&lt;&gt;"Challan","",I85+J85+K85+L85+M85+N85)</f>
      </c>
      <c r="Q85" s="25"/>
      <c r="R85" s="25"/>
      <c r="S85" s="25"/>
      <c r="T85" s="25"/>
      <c r="U85" s="25"/>
      <c r="V85" s="28"/>
      <c r="W85" s="28"/>
      <c r="X85" s="23">
        <f>IF($B85="Entry",IF(AND(LEN(TRIM(UPPER(W85)))=10,CODE(MID(TRIM(UPPER(W85)),1,1))&gt;=65,CODE(MID(TRIM(UPPER(W85)),1,1))&lt;=90,CODE(MID(TRIM(UPPER(W85)),2,1))&gt;=65,CODE(MID(TRIM(UPPER(W85)),2,1))&lt;=90,CODE(MID(TRIM(UPPER(W85)),3,1))&gt;=65,CODE(MID(TRIM(UPPER(W85)),3,1))&lt;=90,CODE(MID(TRIM(UPPER(W85)),4,1))&gt;=65,CODE(MID(TRIM(UPPER(W85)),4,1))&lt;=90,CODE(MID(TRIM(UPPER(W85)),5,1))&gt;=65,CODE(MID(TRIM(UPPER(W85)),5,1))&lt;=90,CODE(MID(TRIM(UPPER(W85)),10,1))&gt;=65,CODE(MID(TRIM(UPPER(W85)),10,1))&lt;=90,CODE(MID(TRIM(UPPER(W85)),6,1))&gt;=48,CODE(MID(TRIM(UPPER(W85)),6,1))&lt;=57,CODE(MID(TRIM(UPPER(W85)),7,1))&gt;=48,CODE(MID(TRIM(UPPER(W85)),7,1))&lt;=57,CODE(MID(TRIM(UPPER(W85)),8,1))&gt;=48,CODE(MID(TRIM(UPPER(W85)),8,1))&lt;=57,CODE(MID(TRIM(UPPER(W85)),9,1))&gt;=48,CODE(MID(TRIM(UPPER(W85)),9,1))&lt;=57),"N","Y"),IF($B85="Challan","",IF(W85&lt;&gt;"","◄ Set Row Type","")))</f>
      </c>
      <c r="Y85" s="23">
        <f>IF($B85="Entry",IF(LEN(W85)&lt;4,"",IF(UPPER(MID(W85,4,1))="P","Individual",IF(UPPER(MID(W85,4,1))="H","HUF",IF(UPPER(MID(W85,4,1))="C","Company",IF(UPPER(MID(W85,4,1))="F","Firm",IF(UPPER(MID(W85,4,1))="L","LLP",IF(UPPER(MID(W85,4,1))="T","Trust",IF(UPPER(MID(W85,4,1))="A","AOP","")))))))),IF($B85="Challan","",IF(W85&lt;&gt;"","◄ Set Row Type","")))</f>
      </c>
      <c r="Z85" s="28"/>
      <c r="AA85" s="29">
        <f>IF($B85&lt;&gt;"Entry","",IF(Z85="","",IF(X85="Y",SUMPRODUCT(('Rate Lookup'!$A$1:$A$37=Z85)*'Rate Lookup'!$D$1:$D$37),IF(OR(Y85="Individual",Y85="HUF"),SUMPRODUCT(('Rate Lookup'!$A$1:$A$37=Z85)*'Rate Lookup'!$B$1:$B$37),SUMPRODUCT(('Rate Lookup'!$A$1:$A$37=Z85)*'Rate Lookup'!$C$1:$C$37)))))</f>
      </c>
      <c r="AB85" s="30"/>
      <c r="AC85" s="31"/>
      <c r="AD85" s="27">
        <f>IF($B85&lt;&gt;"Entry","",ROUND(AC85*AA85/100,0))</f>
      </c>
      <c r="AE85" s="27">
        <f>IF($B85&lt;&gt;"Entry","",0)</f>
      </c>
      <c r="AF85" s="27">
        <f>IF($B85&lt;&gt;"Entry","",0)</f>
      </c>
      <c r="AG85" s="27">
        <f>IF($B85&lt;&gt;"Entry","",IF(OR(AD85=0,AB85="",AQ85="",AQ85&lt;=0),0,IF(AQ85&lt;=DATE(YEAR(AB85),MONTH(AB85)+1,7),0,ROUND(AD85*0.015*((YEAR(AQ85)-YEAR(AB85))*12+(MONTH(AQ85)-MONTH(AB85))+1),0))))</f>
      </c>
      <c r="AH85" s="27">
        <f>IF($B85&lt;&gt;"Entry","",0)</f>
      </c>
      <c r="AI85" s="28"/>
      <c r="AJ85" s="28"/>
      <c r="AK85" s="32"/>
      <c r="AL85" s="28"/>
      <c r="AM85" s="28"/>
      <c r="AN85" s="27">
        <f>IF($B85&lt;&gt;"Challan","",SUMIF('Q1 Data'!$D$4:$D$207,D85,'Q1 Data'!$AD$4:$AD$207)+SUMIF('Q1 Data'!$D$4:$D$207,D85,'Q1 Data'!$AG$4:$AG$207)+SUMIF('Q1 Data'!$D$4:$D$207,D85,'Q1 Data'!$AE$4:$AE$207)+SUMIF('Q2 Data'!$D$4:$D$207,D85,'Q2 Data'!$AD$4:$AD$207)+SUMIF('Q2 Data'!$D$4:$D$207,D85,'Q2 Data'!$AG$4:$AG$207)+SUMIF('Q2 Data'!$D$4:$D$207,D85,'Q2 Data'!$AE$4:$AE$207)+SUMIF('Q3 Data'!$D$4:$D$207,D85,'Q3 Data'!$AD$4:$AD$207)+SUMIF('Q3 Data'!$D$4:$D$207,D85,'Q3 Data'!$AG$4:$AG$207)+SUMIF('Q3 Data'!$D$4:$D$207,D85,'Q3 Data'!$AE$4:$AE$207)+SUMIF('Q4 Data'!$D$4:$D$207,D85,'Q4 Data'!$AD$4:$AD$207)+SUMIF('Q4 Data'!$D$4:$D$207,D85,'Q4 Data'!$AG$4:$AG$207)+SUMIF('Q4 Data'!$D$4:$D$207,D85,'Q4 Data'!$AE$4:$AE$207))</f>
      </c>
      <c r="AO85" s="27">
        <f>IF($B85&lt;&gt;"Challan","",P85-N85)</f>
      </c>
      <c r="AP85" s="27">
        <f>IF($B85&lt;&gt;"Challan","",MAX(0,AO85-AN85))</f>
      </c>
      <c r="AQ85" s="33">
        <f>IF($B85&lt;&gt;"Entry","",SUMPRODUCT(('Q1 Data'!$D$4:$D$207=D85)*('Q1 Data'!$B$4:$B$207="Challan")*'Q1 Data'!$F$4:$F$207)+SUMPRODUCT(('Q2 Data'!$D$4:$D$207=D85)*('Q2 Data'!$B$4:$B$207="Challan")*'Q2 Data'!$F$4:$F$207)+SUMPRODUCT(('Q3 Data'!$D$4:$D$207=D85)*('Q3 Data'!$B$4:$B$207="Challan")*'Q3 Data'!$F$4:$F$207)+SUMPRODUCT(('Q4 Data'!$D$4:$D$207=D85)*('Q4 Data'!$B$4:$B$207="Challan")*'Q4 Data'!$F$4:$F$207))</f>
      </c>
      <c r="AR85" s="34">
        <f>IF(OR($B85&lt;&gt;"Entry",Z85=""),FALSE,AND((SUMPRODUCT(('Q1 Data'!$D$4:$D$207=D85)*('Q1 Data'!$B$4:$B$207="Challan")*('Q1 Data'!$H$4:$H$207&lt;&gt;""))+SUMPRODUCT(('Q2 Data'!$D$4:$D$207=D85)*('Q2 Data'!$B$4:$B$207="Challan")*('Q2 Data'!$H$4:$H$207&lt;&gt;""))+SUMPRODUCT(('Q3 Data'!$D$4:$D$207=D85)*('Q3 Data'!$B$4:$B$207="Challan")*('Q3 Data'!$H$4:$H$207&lt;&gt;""))+SUMPRODUCT(('Q4 Data'!$D$4:$D$207=D85)*('Q4 Data'!$B$4:$B$207="Challan")*('Q4 Data'!$H$4:$H$207&lt;&gt;"")))&gt;0,(SUMPRODUCT(('Q1 Data'!$D$4:$D$207=D85)*('Q1 Data'!$B$4:$B$207="Challan")*('Q1 Data'!$H$4:$H$207=Z85))+SUMPRODUCT(('Q2 Data'!$D$4:$D$207=D85)*('Q2 Data'!$B$4:$B$207="Challan")*('Q2 Data'!$H$4:$H$207=Z85))+SUMPRODUCT(('Q3 Data'!$D$4:$D$207=D85)*('Q3 Data'!$B$4:$B$207="Challan")*('Q3 Data'!$H$4:$H$207=Z85))+SUMPRODUCT(('Q4 Data'!$D$4:$D$207=D85)*('Q4 Data'!$B$4:$B$207="Challan")*('Q4 Data'!$H$4:$H$207=Z85)))=0))</f>
      </c>
    </row>
    <row r="86" spans="1:44" x14ac:dyDescent="0.25">
      <c r="A86" s="20">
        <f>IF($B86="Entry",COUNTIF($B$4:$B86,"Entry"),"")</f>
      </c>
      <c r="B86" s="21"/>
      <c r="C86" s="22"/>
      <c r="D86" s="22"/>
      <c r="E86" s="23">
        <f>IF($B86&lt;&gt;"Challan","",IF(ROUND(AN86-AO86,2)&gt;0,"Over-applied",IF(ROUND(AN86-AO86,2)=0,"Fully Utilised","Unconsumed")))</f>
      </c>
      <c r="F86" s="24"/>
      <c r="G86" s="25"/>
      <c r="H86" s="25"/>
      <c r="I86" s="26"/>
      <c r="J86" s="26"/>
      <c r="K86" s="26"/>
      <c r="L86" s="26"/>
      <c r="M86" s="26"/>
      <c r="N86" s="26"/>
      <c r="O86" s="26"/>
      <c r="P86" s="27">
        <f>IF($B86&lt;&gt;"Challan","",I86+J86+K86+L86+M86+N86)</f>
      </c>
      <c r="Q86" s="25"/>
      <c r="R86" s="25"/>
      <c r="S86" s="25"/>
      <c r="T86" s="25"/>
      <c r="U86" s="25"/>
      <c r="V86" s="28"/>
      <c r="W86" s="28"/>
      <c r="X86" s="23">
        <f>IF($B86="Entry",IF(AND(LEN(TRIM(UPPER(W86)))=10,CODE(MID(TRIM(UPPER(W86)),1,1))&gt;=65,CODE(MID(TRIM(UPPER(W86)),1,1))&lt;=90,CODE(MID(TRIM(UPPER(W86)),2,1))&gt;=65,CODE(MID(TRIM(UPPER(W86)),2,1))&lt;=90,CODE(MID(TRIM(UPPER(W86)),3,1))&gt;=65,CODE(MID(TRIM(UPPER(W86)),3,1))&lt;=90,CODE(MID(TRIM(UPPER(W86)),4,1))&gt;=65,CODE(MID(TRIM(UPPER(W86)),4,1))&lt;=90,CODE(MID(TRIM(UPPER(W86)),5,1))&gt;=65,CODE(MID(TRIM(UPPER(W86)),5,1))&lt;=90,CODE(MID(TRIM(UPPER(W86)),10,1))&gt;=65,CODE(MID(TRIM(UPPER(W86)),10,1))&lt;=90,CODE(MID(TRIM(UPPER(W86)),6,1))&gt;=48,CODE(MID(TRIM(UPPER(W86)),6,1))&lt;=57,CODE(MID(TRIM(UPPER(W86)),7,1))&gt;=48,CODE(MID(TRIM(UPPER(W86)),7,1))&lt;=57,CODE(MID(TRIM(UPPER(W86)),8,1))&gt;=48,CODE(MID(TRIM(UPPER(W86)),8,1))&lt;=57,CODE(MID(TRIM(UPPER(W86)),9,1))&gt;=48,CODE(MID(TRIM(UPPER(W86)),9,1))&lt;=57),"N","Y"),IF($B86="Challan","",IF(W86&lt;&gt;"","◄ Set Row Type","")))</f>
      </c>
      <c r="Y86" s="23">
        <f>IF($B86="Entry",IF(LEN(W86)&lt;4,"",IF(UPPER(MID(W86,4,1))="P","Individual",IF(UPPER(MID(W86,4,1))="H","HUF",IF(UPPER(MID(W86,4,1))="C","Company",IF(UPPER(MID(W86,4,1))="F","Firm",IF(UPPER(MID(W86,4,1))="L","LLP",IF(UPPER(MID(W86,4,1))="T","Trust",IF(UPPER(MID(W86,4,1))="A","AOP","")))))))),IF($B86="Challan","",IF(W86&lt;&gt;"","◄ Set Row Type","")))</f>
      </c>
      <c r="Z86" s="28"/>
      <c r="AA86" s="29">
        <f>IF($B86&lt;&gt;"Entry","",IF(Z86="","",IF(X86="Y",SUMPRODUCT(('Rate Lookup'!$A$1:$A$37=Z86)*'Rate Lookup'!$D$1:$D$37),IF(OR(Y86="Individual",Y86="HUF"),SUMPRODUCT(('Rate Lookup'!$A$1:$A$37=Z86)*'Rate Lookup'!$B$1:$B$37),SUMPRODUCT(('Rate Lookup'!$A$1:$A$37=Z86)*'Rate Lookup'!$C$1:$C$37)))))</f>
      </c>
      <c r="AB86" s="30"/>
      <c r="AC86" s="31"/>
      <c r="AD86" s="27">
        <f>IF($B86&lt;&gt;"Entry","",ROUND(AC86*AA86/100,0))</f>
      </c>
      <c r="AE86" s="27">
        <f>IF($B86&lt;&gt;"Entry","",0)</f>
      </c>
      <c r="AF86" s="27">
        <f>IF($B86&lt;&gt;"Entry","",0)</f>
      </c>
      <c r="AG86" s="27">
        <f>IF($B86&lt;&gt;"Entry","",IF(OR(AD86=0,AB86="",AQ86="",AQ86&lt;=0),0,IF(AQ86&lt;=DATE(YEAR(AB86),MONTH(AB86)+1,7),0,ROUND(AD86*0.015*((YEAR(AQ86)-YEAR(AB86))*12+(MONTH(AQ86)-MONTH(AB86))+1),0))))</f>
      </c>
      <c r="AH86" s="27">
        <f>IF($B86&lt;&gt;"Entry","",0)</f>
      </c>
      <c r="AI86" s="28"/>
      <c r="AJ86" s="28"/>
      <c r="AK86" s="32"/>
      <c r="AL86" s="28"/>
      <c r="AM86" s="28"/>
      <c r="AN86" s="27">
        <f>IF($B86&lt;&gt;"Challan","",SUMIF('Q1 Data'!$D$4:$D$207,D86,'Q1 Data'!$AD$4:$AD$207)+SUMIF('Q1 Data'!$D$4:$D$207,D86,'Q1 Data'!$AG$4:$AG$207)+SUMIF('Q1 Data'!$D$4:$D$207,D86,'Q1 Data'!$AE$4:$AE$207)+SUMIF('Q2 Data'!$D$4:$D$207,D86,'Q2 Data'!$AD$4:$AD$207)+SUMIF('Q2 Data'!$D$4:$D$207,D86,'Q2 Data'!$AG$4:$AG$207)+SUMIF('Q2 Data'!$D$4:$D$207,D86,'Q2 Data'!$AE$4:$AE$207)+SUMIF('Q3 Data'!$D$4:$D$207,D86,'Q3 Data'!$AD$4:$AD$207)+SUMIF('Q3 Data'!$D$4:$D$207,D86,'Q3 Data'!$AG$4:$AG$207)+SUMIF('Q3 Data'!$D$4:$D$207,D86,'Q3 Data'!$AE$4:$AE$207)+SUMIF('Q4 Data'!$D$4:$D$207,D86,'Q4 Data'!$AD$4:$AD$207)+SUMIF('Q4 Data'!$D$4:$D$207,D86,'Q4 Data'!$AG$4:$AG$207)+SUMIF('Q4 Data'!$D$4:$D$207,D86,'Q4 Data'!$AE$4:$AE$207))</f>
      </c>
      <c r="AO86" s="27">
        <f>IF($B86&lt;&gt;"Challan","",P86-N86)</f>
      </c>
      <c r="AP86" s="27">
        <f>IF($B86&lt;&gt;"Challan","",MAX(0,AO86-AN86))</f>
      </c>
      <c r="AQ86" s="33">
        <f>IF($B86&lt;&gt;"Entry","",SUMPRODUCT(('Q1 Data'!$D$4:$D$207=D86)*('Q1 Data'!$B$4:$B$207="Challan")*'Q1 Data'!$F$4:$F$207)+SUMPRODUCT(('Q2 Data'!$D$4:$D$207=D86)*('Q2 Data'!$B$4:$B$207="Challan")*'Q2 Data'!$F$4:$F$207)+SUMPRODUCT(('Q3 Data'!$D$4:$D$207=D86)*('Q3 Data'!$B$4:$B$207="Challan")*'Q3 Data'!$F$4:$F$207)+SUMPRODUCT(('Q4 Data'!$D$4:$D$207=D86)*('Q4 Data'!$B$4:$B$207="Challan")*'Q4 Data'!$F$4:$F$207))</f>
      </c>
      <c r="AR86" s="34">
        <f>IF(OR($B86&lt;&gt;"Entry",Z86=""),FALSE,AND((SUMPRODUCT(('Q1 Data'!$D$4:$D$207=D86)*('Q1 Data'!$B$4:$B$207="Challan")*('Q1 Data'!$H$4:$H$207&lt;&gt;""))+SUMPRODUCT(('Q2 Data'!$D$4:$D$207=D86)*('Q2 Data'!$B$4:$B$207="Challan")*('Q2 Data'!$H$4:$H$207&lt;&gt;""))+SUMPRODUCT(('Q3 Data'!$D$4:$D$207=D86)*('Q3 Data'!$B$4:$B$207="Challan")*('Q3 Data'!$H$4:$H$207&lt;&gt;""))+SUMPRODUCT(('Q4 Data'!$D$4:$D$207=D86)*('Q4 Data'!$B$4:$B$207="Challan")*('Q4 Data'!$H$4:$H$207&lt;&gt;"")))&gt;0,(SUMPRODUCT(('Q1 Data'!$D$4:$D$207=D86)*('Q1 Data'!$B$4:$B$207="Challan")*('Q1 Data'!$H$4:$H$207=Z86))+SUMPRODUCT(('Q2 Data'!$D$4:$D$207=D86)*('Q2 Data'!$B$4:$B$207="Challan")*('Q2 Data'!$H$4:$H$207=Z86))+SUMPRODUCT(('Q3 Data'!$D$4:$D$207=D86)*('Q3 Data'!$B$4:$B$207="Challan")*('Q3 Data'!$H$4:$H$207=Z86))+SUMPRODUCT(('Q4 Data'!$D$4:$D$207=D86)*('Q4 Data'!$B$4:$B$207="Challan")*('Q4 Data'!$H$4:$H$207=Z86)))=0))</f>
      </c>
    </row>
    <row r="87" spans="1:44" x14ac:dyDescent="0.25">
      <c r="A87" s="20">
        <f>IF($B87="Entry",COUNTIF($B$4:$B87,"Entry"),"")</f>
      </c>
      <c r="B87" s="21"/>
      <c r="C87" s="22"/>
      <c r="D87" s="22"/>
      <c r="E87" s="23">
        <f>IF($B87&lt;&gt;"Challan","",IF(ROUND(AN87-AO87,2)&gt;0,"Over-applied",IF(ROUND(AN87-AO87,2)=0,"Fully Utilised","Unconsumed")))</f>
      </c>
      <c r="F87" s="24"/>
      <c r="G87" s="25"/>
      <c r="H87" s="25"/>
      <c r="I87" s="26"/>
      <c r="J87" s="26"/>
      <c r="K87" s="26"/>
      <c r="L87" s="26"/>
      <c r="M87" s="26"/>
      <c r="N87" s="26"/>
      <c r="O87" s="26"/>
      <c r="P87" s="27">
        <f>IF($B87&lt;&gt;"Challan","",I87+J87+K87+L87+M87+N87)</f>
      </c>
      <c r="Q87" s="25"/>
      <c r="R87" s="25"/>
      <c r="S87" s="25"/>
      <c r="T87" s="25"/>
      <c r="U87" s="25"/>
      <c r="V87" s="28"/>
      <c r="W87" s="28"/>
      <c r="X87" s="23">
        <f>IF($B87="Entry",IF(AND(LEN(TRIM(UPPER(W87)))=10,CODE(MID(TRIM(UPPER(W87)),1,1))&gt;=65,CODE(MID(TRIM(UPPER(W87)),1,1))&lt;=90,CODE(MID(TRIM(UPPER(W87)),2,1))&gt;=65,CODE(MID(TRIM(UPPER(W87)),2,1))&lt;=90,CODE(MID(TRIM(UPPER(W87)),3,1))&gt;=65,CODE(MID(TRIM(UPPER(W87)),3,1))&lt;=90,CODE(MID(TRIM(UPPER(W87)),4,1))&gt;=65,CODE(MID(TRIM(UPPER(W87)),4,1))&lt;=90,CODE(MID(TRIM(UPPER(W87)),5,1))&gt;=65,CODE(MID(TRIM(UPPER(W87)),5,1))&lt;=90,CODE(MID(TRIM(UPPER(W87)),10,1))&gt;=65,CODE(MID(TRIM(UPPER(W87)),10,1))&lt;=90,CODE(MID(TRIM(UPPER(W87)),6,1))&gt;=48,CODE(MID(TRIM(UPPER(W87)),6,1))&lt;=57,CODE(MID(TRIM(UPPER(W87)),7,1))&gt;=48,CODE(MID(TRIM(UPPER(W87)),7,1))&lt;=57,CODE(MID(TRIM(UPPER(W87)),8,1))&gt;=48,CODE(MID(TRIM(UPPER(W87)),8,1))&lt;=57,CODE(MID(TRIM(UPPER(W87)),9,1))&gt;=48,CODE(MID(TRIM(UPPER(W87)),9,1))&lt;=57),"N","Y"),IF($B87="Challan","",IF(W87&lt;&gt;"","◄ Set Row Type","")))</f>
      </c>
      <c r="Y87" s="23">
        <f>IF($B87="Entry",IF(LEN(W87)&lt;4,"",IF(UPPER(MID(W87,4,1))="P","Individual",IF(UPPER(MID(W87,4,1))="H","HUF",IF(UPPER(MID(W87,4,1))="C","Company",IF(UPPER(MID(W87,4,1))="F","Firm",IF(UPPER(MID(W87,4,1))="L","LLP",IF(UPPER(MID(W87,4,1))="T","Trust",IF(UPPER(MID(W87,4,1))="A","AOP","")))))))),IF($B87="Challan","",IF(W87&lt;&gt;"","◄ Set Row Type","")))</f>
      </c>
      <c r="Z87" s="28"/>
      <c r="AA87" s="29">
        <f>IF($B87&lt;&gt;"Entry","",IF(Z87="","",IF(X87="Y",SUMPRODUCT(('Rate Lookup'!$A$1:$A$37=Z87)*'Rate Lookup'!$D$1:$D$37),IF(OR(Y87="Individual",Y87="HUF"),SUMPRODUCT(('Rate Lookup'!$A$1:$A$37=Z87)*'Rate Lookup'!$B$1:$B$37),SUMPRODUCT(('Rate Lookup'!$A$1:$A$37=Z87)*'Rate Lookup'!$C$1:$C$37)))))</f>
      </c>
      <c r="AB87" s="30"/>
      <c r="AC87" s="31"/>
      <c r="AD87" s="27">
        <f>IF($B87&lt;&gt;"Entry","",ROUND(AC87*AA87/100,0))</f>
      </c>
      <c r="AE87" s="27">
        <f>IF($B87&lt;&gt;"Entry","",0)</f>
      </c>
      <c r="AF87" s="27">
        <f>IF($B87&lt;&gt;"Entry","",0)</f>
      </c>
      <c r="AG87" s="27">
        <f>IF($B87&lt;&gt;"Entry","",IF(OR(AD87=0,AB87="",AQ87="",AQ87&lt;=0),0,IF(AQ87&lt;=DATE(YEAR(AB87),MONTH(AB87)+1,7),0,ROUND(AD87*0.015*((YEAR(AQ87)-YEAR(AB87))*12+(MONTH(AQ87)-MONTH(AB87))+1),0))))</f>
      </c>
      <c r="AH87" s="27">
        <f>IF($B87&lt;&gt;"Entry","",0)</f>
      </c>
      <c r="AI87" s="28"/>
      <c r="AJ87" s="28"/>
      <c r="AK87" s="32"/>
      <c r="AL87" s="28"/>
      <c r="AM87" s="28"/>
      <c r="AN87" s="27">
        <f>IF($B87&lt;&gt;"Challan","",SUMIF('Q1 Data'!$D$4:$D$207,D87,'Q1 Data'!$AD$4:$AD$207)+SUMIF('Q1 Data'!$D$4:$D$207,D87,'Q1 Data'!$AG$4:$AG$207)+SUMIF('Q1 Data'!$D$4:$D$207,D87,'Q1 Data'!$AE$4:$AE$207)+SUMIF('Q2 Data'!$D$4:$D$207,D87,'Q2 Data'!$AD$4:$AD$207)+SUMIF('Q2 Data'!$D$4:$D$207,D87,'Q2 Data'!$AG$4:$AG$207)+SUMIF('Q2 Data'!$D$4:$D$207,D87,'Q2 Data'!$AE$4:$AE$207)+SUMIF('Q3 Data'!$D$4:$D$207,D87,'Q3 Data'!$AD$4:$AD$207)+SUMIF('Q3 Data'!$D$4:$D$207,D87,'Q3 Data'!$AG$4:$AG$207)+SUMIF('Q3 Data'!$D$4:$D$207,D87,'Q3 Data'!$AE$4:$AE$207)+SUMIF('Q4 Data'!$D$4:$D$207,D87,'Q4 Data'!$AD$4:$AD$207)+SUMIF('Q4 Data'!$D$4:$D$207,D87,'Q4 Data'!$AG$4:$AG$207)+SUMIF('Q4 Data'!$D$4:$D$207,D87,'Q4 Data'!$AE$4:$AE$207))</f>
      </c>
      <c r="AO87" s="27">
        <f>IF($B87&lt;&gt;"Challan","",P87-N87)</f>
      </c>
      <c r="AP87" s="27">
        <f>IF($B87&lt;&gt;"Challan","",MAX(0,AO87-AN87))</f>
      </c>
      <c r="AQ87" s="33">
        <f>IF($B87&lt;&gt;"Entry","",SUMPRODUCT(('Q1 Data'!$D$4:$D$207=D87)*('Q1 Data'!$B$4:$B$207="Challan")*'Q1 Data'!$F$4:$F$207)+SUMPRODUCT(('Q2 Data'!$D$4:$D$207=D87)*('Q2 Data'!$B$4:$B$207="Challan")*'Q2 Data'!$F$4:$F$207)+SUMPRODUCT(('Q3 Data'!$D$4:$D$207=D87)*('Q3 Data'!$B$4:$B$207="Challan")*'Q3 Data'!$F$4:$F$207)+SUMPRODUCT(('Q4 Data'!$D$4:$D$207=D87)*('Q4 Data'!$B$4:$B$207="Challan")*'Q4 Data'!$F$4:$F$207))</f>
      </c>
      <c r="AR87" s="34">
        <f>IF(OR($B87&lt;&gt;"Entry",Z87=""),FALSE,AND((SUMPRODUCT(('Q1 Data'!$D$4:$D$207=D87)*('Q1 Data'!$B$4:$B$207="Challan")*('Q1 Data'!$H$4:$H$207&lt;&gt;""))+SUMPRODUCT(('Q2 Data'!$D$4:$D$207=D87)*('Q2 Data'!$B$4:$B$207="Challan")*('Q2 Data'!$H$4:$H$207&lt;&gt;""))+SUMPRODUCT(('Q3 Data'!$D$4:$D$207=D87)*('Q3 Data'!$B$4:$B$207="Challan")*('Q3 Data'!$H$4:$H$207&lt;&gt;""))+SUMPRODUCT(('Q4 Data'!$D$4:$D$207=D87)*('Q4 Data'!$B$4:$B$207="Challan")*('Q4 Data'!$H$4:$H$207&lt;&gt;"")))&gt;0,(SUMPRODUCT(('Q1 Data'!$D$4:$D$207=D87)*('Q1 Data'!$B$4:$B$207="Challan")*('Q1 Data'!$H$4:$H$207=Z87))+SUMPRODUCT(('Q2 Data'!$D$4:$D$207=D87)*('Q2 Data'!$B$4:$B$207="Challan")*('Q2 Data'!$H$4:$H$207=Z87))+SUMPRODUCT(('Q3 Data'!$D$4:$D$207=D87)*('Q3 Data'!$B$4:$B$207="Challan")*('Q3 Data'!$H$4:$H$207=Z87))+SUMPRODUCT(('Q4 Data'!$D$4:$D$207=D87)*('Q4 Data'!$B$4:$B$207="Challan")*('Q4 Data'!$H$4:$H$207=Z87)))=0))</f>
      </c>
    </row>
    <row r="88" spans="1:44" x14ac:dyDescent="0.25">
      <c r="A88" s="20">
        <f>IF($B88="Entry",COUNTIF($B$4:$B88,"Entry"),"")</f>
      </c>
      <c r="B88" s="21"/>
      <c r="C88" s="22"/>
      <c r="D88" s="22"/>
      <c r="E88" s="23">
        <f>IF($B88&lt;&gt;"Challan","",IF(ROUND(AN88-AO88,2)&gt;0,"Over-applied",IF(ROUND(AN88-AO88,2)=0,"Fully Utilised","Unconsumed")))</f>
      </c>
      <c r="F88" s="24"/>
      <c r="G88" s="25"/>
      <c r="H88" s="25"/>
      <c r="I88" s="26"/>
      <c r="J88" s="26"/>
      <c r="K88" s="26"/>
      <c r="L88" s="26"/>
      <c r="M88" s="26"/>
      <c r="N88" s="26"/>
      <c r="O88" s="26"/>
      <c r="P88" s="27">
        <f>IF($B88&lt;&gt;"Challan","",I88+J88+K88+L88+M88+N88)</f>
      </c>
      <c r="Q88" s="25"/>
      <c r="R88" s="25"/>
      <c r="S88" s="25"/>
      <c r="T88" s="25"/>
      <c r="U88" s="25"/>
      <c r="V88" s="28"/>
      <c r="W88" s="28"/>
      <c r="X88" s="23">
        <f>IF($B88="Entry",IF(AND(LEN(TRIM(UPPER(W88)))=10,CODE(MID(TRIM(UPPER(W88)),1,1))&gt;=65,CODE(MID(TRIM(UPPER(W88)),1,1))&lt;=90,CODE(MID(TRIM(UPPER(W88)),2,1))&gt;=65,CODE(MID(TRIM(UPPER(W88)),2,1))&lt;=90,CODE(MID(TRIM(UPPER(W88)),3,1))&gt;=65,CODE(MID(TRIM(UPPER(W88)),3,1))&lt;=90,CODE(MID(TRIM(UPPER(W88)),4,1))&gt;=65,CODE(MID(TRIM(UPPER(W88)),4,1))&lt;=90,CODE(MID(TRIM(UPPER(W88)),5,1))&gt;=65,CODE(MID(TRIM(UPPER(W88)),5,1))&lt;=90,CODE(MID(TRIM(UPPER(W88)),10,1))&gt;=65,CODE(MID(TRIM(UPPER(W88)),10,1))&lt;=90,CODE(MID(TRIM(UPPER(W88)),6,1))&gt;=48,CODE(MID(TRIM(UPPER(W88)),6,1))&lt;=57,CODE(MID(TRIM(UPPER(W88)),7,1))&gt;=48,CODE(MID(TRIM(UPPER(W88)),7,1))&lt;=57,CODE(MID(TRIM(UPPER(W88)),8,1))&gt;=48,CODE(MID(TRIM(UPPER(W88)),8,1))&lt;=57,CODE(MID(TRIM(UPPER(W88)),9,1))&gt;=48,CODE(MID(TRIM(UPPER(W88)),9,1))&lt;=57),"N","Y"),IF($B88="Challan","",IF(W88&lt;&gt;"","◄ Set Row Type","")))</f>
      </c>
      <c r="Y88" s="23">
        <f>IF($B88="Entry",IF(LEN(W88)&lt;4,"",IF(UPPER(MID(W88,4,1))="P","Individual",IF(UPPER(MID(W88,4,1))="H","HUF",IF(UPPER(MID(W88,4,1))="C","Company",IF(UPPER(MID(W88,4,1))="F","Firm",IF(UPPER(MID(W88,4,1))="L","LLP",IF(UPPER(MID(W88,4,1))="T","Trust",IF(UPPER(MID(W88,4,1))="A","AOP","")))))))),IF($B88="Challan","",IF(W88&lt;&gt;"","◄ Set Row Type","")))</f>
      </c>
      <c r="Z88" s="28"/>
      <c r="AA88" s="29">
        <f>IF($B88&lt;&gt;"Entry","",IF(Z88="","",IF(X88="Y",SUMPRODUCT(('Rate Lookup'!$A$1:$A$37=Z88)*'Rate Lookup'!$D$1:$D$37),IF(OR(Y88="Individual",Y88="HUF"),SUMPRODUCT(('Rate Lookup'!$A$1:$A$37=Z88)*'Rate Lookup'!$B$1:$B$37),SUMPRODUCT(('Rate Lookup'!$A$1:$A$37=Z88)*'Rate Lookup'!$C$1:$C$37)))))</f>
      </c>
      <c r="AB88" s="30"/>
      <c r="AC88" s="31"/>
      <c r="AD88" s="27">
        <f>IF($B88&lt;&gt;"Entry","",ROUND(AC88*AA88/100,0))</f>
      </c>
      <c r="AE88" s="27">
        <f>IF($B88&lt;&gt;"Entry","",0)</f>
      </c>
      <c r="AF88" s="27">
        <f>IF($B88&lt;&gt;"Entry","",0)</f>
      </c>
      <c r="AG88" s="27">
        <f>IF($B88&lt;&gt;"Entry","",IF(OR(AD88=0,AB88="",AQ88="",AQ88&lt;=0),0,IF(AQ88&lt;=DATE(YEAR(AB88),MONTH(AB88)+1,7),0,ROUND(AD88*0.015*((YEAR(AQ88)-YEAR(AB88))*12+(MONTH(AQ88)-MONTH(AB88))+1),0))))</f>
      </c>
      <c r="AH88" s="27">
        <f>IF($B88&lt;&gt;"Entry","",0)</f>
      </c>
      <c r="AI88" s="28"/>
      <c r="AJ88" s="28"/>
      <c r="AK88" s="32"/>
      <c r="AL88" s="28"/>
      <c r="AM88" s="28"/>
      <c r="AN88" s="27">
        <f>IF($B88&lt;&gt;"Challan","",SUMIF('Q1 Data'!$D$4:$D$207,D88,'Q1 Data'!$AD$4:$AD$207)+SUMIF('Q1 Data'!$D$4:$D$207,D88,'Q1 Data'!$AG$4:$AG$207)+SUMIF('Q1 Data'!$D$4:$D$207,D88,'Q1 Data'!$AE$4:$AE$207)+SUMIF('Q2 Data'!$D$4:$D$207,D88,'Q2 Data'!$AD$4:$AD$207)+SUMIF('Q2 Data'!$D$4:$D$207,D88,'Q2 Data'!$AG$4:$AG$207)+SUMIF('Q2 Data'!$D$4:$D$207,D88,'Q2 Data'!$AE$4:$AE$207)+SUMIF('Q3 Data'!$D$4:$D$207,D88,'Q3 Data'!$AD$4:$AD$207)+SUMIF('Q3 Data'!$D$4:$D$207,D88,'Q3 Data'!$AG$4:$AG$207)+SUMIF('Q3 Data'!$D$4:$D$207,D88,'Q3 Data'!$AE$4:$AE$207)+SUMIF('Q4 Data'!$D$4:$D$207,D88,'Q4 Data'!$AD$4:$AD$207)+SUMIF('Q4 Data'!$D$4:$D$207,D88,'Q4 Data'!$AG$4:$AG$207)+SUMIF('Q4 Data'!$D$4:$D$207,D88,'Q4 Data'!$AE$4:$AE$207))</f>
      </c>
      <c r="AO88" s="27">
        <f>IF($B88&lt;&gt;"Challan","",P88-N88)</f>
      </c>
      <c r="AP88" s="27">
        <f>IF($B88&lt;&gt;"Challan","",MAX(0,AO88-AN88))</f>
      </c>
      <c r="AQ88" s="33">
        <f>IF($B88&lt;&gt;"Entry","",SUMPRODUCT(('Q1 Data'!$D$4:$D$207=D88)*('Q1 Data'!$B$4:$B$207="Challan")*'Q1 Data'!$F$4:$F$207)+SUMPRODUCT(('Q2 Data'!$D$4:$D$207=D88)*('Q2 Data'!$B$4:$B$207="Challan")*'Q2 Data'!$F$4:$F$207)+SUMPRODUCT(('Q3 Data'!$D$4:$D$207=D88)*('Q3 Data'!$B$4:$B$207="Challan")*'Q3 Data'!$F$4:$F$207)+SUMPRODUCT(('Q4 Data'!$D$4:$D$207=D88)*('Q4 Data'!$B$4:$B$207="Challan")*'Q4 Data'!$F$4:$F$207))</f>
      </c>
      <c r="AR88" s="34">
        <f>IF(OR($B88&lt;&gt;"Entry",Z88=""),FALSE,AND((SUMPRODUCT(('Q1 Data'!$D$4:$D$207=D88)*('Q1 Data'!$B$4:$B$207="Challan")*('Q1 Data'!$H$4:$H$207&lt;&gt;""))+SUMPRODUCT(('Q2 Data'!$D$4:$D$207=D88)*('Q2 Data'!$B$4:$B$207="Challan")*('Q2 Data'!$H$4:$H$207&lt;&gt;""))+SUMPRODUCT(('Q3 Data'!$D$4:$D$207=D88)*('Q3 Data'!$B$4:$B$207="Challan")*('Q3 Data'!$H$4:$H$207&lt;&gt;""))+SUMPRODUCT(('Q4 Data'!$D$4:$D$207=D88)*('Q4 Data'!$B$4:$B$207="Challan")*('Q4 Data'!$H$4:$H$207&lt;&gt;"")))&gt;0,(SUMPRODUCT(('Q1 Data'!$D$4:$D$207=D88)*('Q1 Data'!$B$4:$B$207="Challan")*('Q1 Data'!$H$4:$H$207=Z88))+SUMPRODUCT(('Q2 Data'!$D$4:$D$207=D88)*('Q2 Data'!$B$4:$B$207="Challan")*('Q2 Data'!$H$4:$H$207=Z88))+SUMPRODUCT(('Q3 Data'!$D$4:$D$207=D88)*('Q3 Data'!$B$4:$B$207="Challan")*('Q3 Data'!$H$4:$H$207=Z88))+SUMPRODUCT(('Q4 Data'!$D$4:$D$207=D88)*('Q4 Data'!$B$4:$B$207="Challan")*('Q4 Data'!$H$4:$H$207=Z88)))=0))</f>
      </c>
    </row>
    <row r="89" spans="1:44" x14ac:dyDescent="0.25">
      <c r="A89" s="20">
        <f>IF($B89="Entry",COUNTIF($B$4:$B89,"Entry"),"")</f>
      </c>
      <c r="B89" s="21"/>
      <c r="C89" s="22"/>
      <c r="D89" s="22"/>
      <c r="E89" s="23">
        <f>IF($B89&lt;&gt;"Challan","",IF(ROUND(AN89-AO89,2)&gt;0,"Over-applied",IF(ROUND(AN89-AO89,2)=0,"Fully Utilised","Unconsumed")))</f>
      </c>
      <c r="F89" s="24"/>
      <c r="G89" s="25"/>
      <c r="H89" s="25"/>
      <c r="I89" s="26"/>
      <c r="J89" s="26"/>
      <c r="K89" s="26"/>
      <c r="L89" s="26"/>
      <c r="M89" s="26"/>
      <c r="N89" s="26"/>
      <c r="O89" s="26"/>
      <c r="P89" s="27">
        <f>IF($B89&lt;&gt;"Challan","",I89+J89+K89+L89+M89+N89)</f>
      </c>
      <c r="Q89" s="25"/>
      <c r="R89" s="25"/>
      <c r="S89" s="25"/>
      <c r="T89" s="25"/>
      <c r="U89" s="25"/>
      <c r="V89" s="28"/>
      <c r="W89" s="28"/>
      <c r="X89" s="23">
        <f>IF($B89="Entry",IF(AND(LEN(TRIM(UPPER(W89)))=10,CODE(MID(TRIM(UPPER(W89)),1,1))&gt;=65,CODE(MID(TRIM(UPPER(W89)),1,1))&lt;=90,CODE(MID(TRIM(UPPER(W89)),2,1))&gt;=65,CODE(MID(TRIM(UPPER(W89)),2,1))&lt;=90,CODE(MID(TRIM(UPPER(W89)),3,1))&gt;=65,CODE(MID(TRIM(UPPER(W89)),3,1))&lt;=90,CODE(MID(TRIM(UPPER(W89)),4,1))&gt;=65,CODE(MID(TRIM(UPPER(W89)),4,1))&lt;=90,CODE(MID(TRIM(UPPER(W89)),5,1))&gt;=65,CODE(MID(TRIM(UPPER(W89)),5,1))&lt;=90,CODE(MID(TRIM(UPPER(W89)),10,1))&gt;=65,CODE(MID(TRIM(UPPER(W89)),10,1))&lt;=90,CODE(MID(TRIM(UPPER(W89)),6,1))&gt;=48,CODE(MID(TRIM(UPPER(W89)),6,1))&lt;=57,CODE(MID(TRIM(UPPER(W89)),7,1))&gt;=48,CODE(MID(TRIM(UPPER(W89)),7,1))&lt;=57,CODE(MID(TRIM(UPPER(W89)),8,1))&gt;=48,CODE(MID(TRIM(UPPER(W89)),8,1))&lt;=57,CODE(MID(TRIM(UPPER(W89)),9,1))&gt;=48,CODE(MID(TRIM(UPPER(W89)),9,1))&lt;=57),"N","Y"),IF($B89="Challan","",IF(W89&lt;&gt;"","◄ Set Row Type","")))</f>
      </c>
      <c r="Y89" s="23">
        <f>IF($B89="Entry",IF(LEN(W89)&lt;4,"",IF(UPPER(MID(W89,4,1))="P","Individual",IF(UPPER(MID(W89,4,1))="H","HUF",IF(UPPER(MID(W89,4,1))="C","Company",IF(UPPER(MID(W89,4,1))="F","Firm",IF(UPPER(MID(W89,4,1))="L","LLP",IF(UPPER(MID(W89,4,1))="T","Trust",IF(UPPER(MID(W89,4,1))="A","AOP","")))))))),IF($B89="Challan","",IF(W89&lt;&gt;"","◄ Set Row Type","")))</f>
      </c>
      <c r="Z89" s="28"/>
      <c r="AA89" s="29">
        <f>IF($B89&lt;&gt;"Entry","",IF(Z89="","",IF(X89="Y",SUMPRODUCT(('Rate Lookup'!$A$1:$A$37=Z89)*'Rate Lookup'!$D$1:$D$37),IF(OR(Y89="Individual",Y89="HUF"),SUMPRODUCT(('Rate Lookup'!$A$1:$A$37=Z89)*'Rate Lookup'!$B$1:$B$37),SUMPRODUCT(('Rate Lookup'!$A$1:$A$37=Z89)*'Rate Lookup'!$C$1:$C$37)))))</f>
      </c>
      <c r="AB89" s="30"/>
      <c r="AC89" s="31"/>
      <c r="AD89" s="27">
        <f>IF($B89&lt;&gt;"Entry","",ROUND(AC89*AA89/100,0))</f>
      </c>
      <c r="AE89" s="27">
        <f>IF($B89&lt;&gt;"Entry","",0)</f>
      </c>
      <c r="AF89" s="27">
        <f>IF($B89&lt;&gt;"Entry","",0)</f>
      </c>
      <c r="AG89" s="27">
        <f>IF($B89&lt;&gt;"Entry","",IF(OR(AD89=0,AB89="",AQ89="",AQ89&lt;=0),0,IF(AQ89&lt;=DATE(YEAR(AB89),MONTH(AB89)+1,7),0,ROUND(AD89*0.015*((YEAR(AQ89)-YEAR(AB89))*12+(MONTH(AQ89)-MONTH(AB89))+1),0))))</f>
      </c>
      <c r="AH89" s="27">
        <f>IF($B89&lt;&gt;"Entry","",0)</f>
      </c>
      <c r="AI89" s="28"/>
      <c r="AJ89" s="28"/>
      <c r="AK89" s="32"/>
      <c r="AL89" s="28"/>
      <c r="AM89" s="28"/>
      <c r="AN89" s="27">
        <f>IF($B89&lt;&gt;"Challan","",SUMIF('Q1 Data'!$D$4:$D$207,D89,'Q1 Data'!$AD$4:$AD$207)+SUMIF('Q1 Data'!$D$4:$D$207,D89,'Q1 Data'!$AG$4:$AG$207)+SUMIF('Q1 Data'!$D$4:$D$207,D89,'Q1 Data'!$AE$4:$AE$207)+SUMIF('Q2 Data'!$D$4:$D$207,D89,'Q2 Data'!$AD$4:$AD$207)+SUMIF('Q2 Data'!$D$4:$D$207,D89,'Q2 Data'!$AG$4:$AG$207)+SUMIF('Q2 Data'!$D$4:$D$207,D89,'Q2 Data'!$AE$4:$AE$207)+SUMIF('Q3 Data'!$D$4:$D$207,D89,'Q3 Data'!$AD$4:$AD$207)+SUMIF('Q3 Data'!$D$4:$D$207,D89,'Q3 Data'!$AG$4:$AG$207)+SUMIF('Q3 Data'!$D$4:$D$207,D89,'Q3 Data'!$AE$4:$AE$207)+SUMIF('Q4 Data'!$D$4:$D$207,D89,'Q4 Data'!$AD$4:$AD$207)+SUMIF('Q4 Data'!$D$4:$D$207,D89,'Q4 Data'!$AG$4:$AG$207)+SUMIF('Q4 Data'!$D$4:$D$207,D89,'Q4 Data'!$AE$4:$AE$207))</f>
      </c>
      <c r="AO89" s="27">
        <f>IF($B89&lt;&gt;"Challan","",P89-N89)</f>
      </c>
      <c r="AP89" s="27">
        <f>IF($B89&lt;&gt;"Challan","",MAX(0,AO89-AN89))</f>
      </c>
      <c r="AQ89" s="33">
        <f>IF($B89&lt;&gt;"Entry","",SUMPRODUCT(('Q1 Data'!$D$4:$D$207=D89)*('Q1 Data'!$B$4:$B$207="Challan")*'Q1 Data'!$F$4:$F$207)+SUMPRODUCT(('Q2 Data'!$D$4:$D$207=D89)*('Q2 Data'!$B$4:$B$207="Challan")*'Q2 Data'!$F$4:$F$207)+SUMPRODUCT(('Q3 Data'!$D$4:$D$207=D89)*('Q3 Data'!$B$4:$B$207="Challan")*'Q3 Data'!$F$4:$F$207)+SUMPRODUCT(('Q4 Data'!$D$4:$D$207=D89)*('Q4 Data'!$B$4:$B$207="Challan")*'Q4 Data'!$F$4:$F$207))</f>
      </c>
      <c r="AR89" s="34">
        <f>IF(OR($B89&lt;&gt;"Entry",Z89=""),FALSE,AND((SUMPRODUCT(('Q1 Data'!$D$4:$D$207=D89)*('Q1 Data'!$B$4:$B$207="Challan")*('Q1 Data'!$H$4:$H$207&lt;&gt;""))+SUMPRODUCT(('Q2 Data'!$D$4:$D$207=D89)*('Q2 Data'!$B$4:$B$207="Challan")*('Q2 Data'!$H$4:$H$207&lt;&gt;""))+SUMPRODUCT(('Q3 Data'!$D$4:$D$207=D89)*('Q3 Data'!$B$4:$B$207="Challan")*('Q3 Data'!$H$4:$H$207&lt;&gt;""))+SUMPRODUCT(('Q4 Data'!$D$4:$D$207=D89)*('Q4 Data'!$B$4:$B$207="Challan")*('Q4 Data'!$H$4:$H$207&lt;&gt;"")))&gt;0,(SUMPRODUCT(('Q1 Data'!$D$4:$D$207=D89)*('Q1 Data'!$B$4:$B$207="Challan")*('Q1 Data'!$H$4:$H$207=Z89))+SUMPRODUCT(('Q2 Data'!$D$4:$D$207=D89)*('Q2 Data'!$B$4:$B$207="Challan")*('Q2 Data'!$H$4:$H$207=Z89))+SUMPRODUCT(('Q3 Data'!$D$4:$D$207=D89)*('Q3 Data'!$B$4:$B$207="Challan")*('Q3 Data'!$H$4:$H$207=Z89))+SUMPRODUCT(('Q4 Data'!$D$4:$D$207=D89)*('Q4 Data'!$B$4:$B$207="Challan")*('Q4 Data'!$H$4:$H$207=Z89)))=0))</f>
      </c>
    </row>
    <row r="90" spans="1:44" x14ac:dyDescent="0.25">
      <c r="A90" s="20">
        <f>IF($B90="Entry",COUNTIF($B$4:$B90,"Entry"),"")</f>
      </c>
      <c r="B90" s="21"/>
      <c r="C90" s="22"/>
      <c r="D90" s="22"/>
      <c r="E90" s="23">
        <f>IF($B90&lt;&gt;"Challan","",IF(ROUND(AN90-AO90,2)&gt;0,"Over-applied",IF(ROUND(AN90-AO90,2)=0,"Fully Utilised","Unconsumed")))</f>
      </c>
      <c r="F90" s="24"/>
      <c r="G90" s="25"/>
      <c r="H90" s="25"/>
      <c r="I90" s="26"/>
      <c r="J90" s="26"/>
      <c r="K90" s="26"/>
      <c r="L90" s="26"/>
      <c r="M90" s="26"/>
      <c r="N90" s="26"/>
      <c r="O90" s="26"/>
      <c r="P90" s="27">
        <f>IF($B90&lt;&gt;"Challan","",I90+J90+K90+L90+M90+N90)</f>
      </c>
      <c r="Q90" s="25"/>
      <c r="R90" s="25"/>
      <c r="S90" s="25"/>
      <c r="T90" s="25"/>
      <c r="U90" s="25"/>
      <c r="V90" s="28"/>
      <c r="W90" s="28"/>
      <c r="X90" s="23">
        <f>IF($B90="Entry",IF(AND(LEN(TRIM(UPPER(W90)))=10,CODE(MID(TRIM(UPPER(W90)),1,1))&gt;=65,CODE(MID(TRIM(UPPER(W90)),1,1))&lt;=90,CODE(MID(TRIM(UPPER(W90)),2,1))&gt;=65,CODE(MID(TRIM(UPPER(W90)),2,1))&lt;=90,CODE(MID(TRIM(UPPER(W90)),3,1))&gt;=65,CODE(MID(TRIM(UPPER(W90)),3,1))&lt;=90,CODE(MID(TRIM(UPPER(W90)),4,1))&gt;=65,CODE(MID(TRIM(UPPER(W90)),4,1))&lt;=90,CODE(MID(TRIM(UPPER(W90)),5,1))&gt;=65,CODE(MID(TRIM(UPPER(W90)),5,1))&lt;=90,CODE(MID(TRIM(UPPER(W90)),10,1))&gt;=65,CODE(MID(TRIM(UPPER(W90)),10,1))&lt;=90,CODE(MID(TRIM(UPPER(W90)),6,1))&gt;=48,CODE(MID(TRIM(UPPER(W90)),6,1))&lt;=57,CODE(MID(TRIM(UPPER(W90)),7,1))&gt;=48,CODE(MID(TRIM(UPPER(W90)),7,1))&lt;=57,CODE(MID(TRIM(UPPER(W90)),8,1))&gt;=48,CODE(MID(TRIM(UPPER(W90)),8,1))&lt;=57,CODE(MID(TRIM(UPPER(W90)),9,1))&gt;=48,CODE(MID(TRIM(UPPER(W90)),9,1))&lt;=57),"N","Y"),IF($B90="Challan","",IF(W90&lt;&gt;"","◄ Set Row Type","")))</f>
      </c>
      <c r="Y90" s="23">
        <f>IF($B90="Entry",IF(LEN(W90)&lt;4,"",IF(UPPER(MID(W90,4,1))="P","Individual",IF(UPPER(MID(W90,4,1))="H","HUF",IF(UPPER(MID(W90,4,1))="C","Company",IF(UPPER(MID(W90,4,1))="F","Firm",IF(UPPER(MID(W90,4,1))="L","LLP",IF(UPPER(MID(W90,4,1))="T","Trust",IF(UPPER(MID(W90,4,1))="A","AOP","")))))))),IF($B90="Challan","",IF(W90&lt;&gt;"","◄ Set Row Type","")))</f>
      </c>
      <c r="Z90" s="28"/>
      <c r="AA90" s="29">
        <f>IF($B90&lt;&gt;"Entry","",IF(Z90="","",IF(X90="Y",SUMPRODUCT(('Rate Lookup'!$A$1:$A$37=Z90)*'Rate Lookup'!$D$1:$D$37),IF(OR(Y90="Individual",Y90="HUF"),SUMPRODUCT(('Rate Lookup'!$A$1:$A$37=Z90)*'Rate Lookup'!$B$1:$B$37),SUMPRODUCT(('Rate Lookup'!$A$1:$A$37=Z90)*'Rate Lookup'!$C$1:$C$37)))))</f>
      </c>
      <c r="AB90" s="30"/>
      <c r="AC90" s="31"/>
      <c r="AD90" s="27">
        <f>IF($B90&lt;&gt;"Entry","",ROUND(AC90*AA90/100,0))</f>
      </c>
      <c r="AE90" s="27">
        <f>IF($B90&lt;&gt;"Entry","",0)</f>
      </c>
      <c r="AF90" s="27">
        <f>IF($B90&lt;&gt;"Entry","",0)</f>
      </c>
      <c r="AG90" s="27">
        <f>IF($B90&lt;&gt;"Entry","",IF(OR(AD90=0,AB90="",AQ90="",AQ90&lt;=0),0,IF(AQ90&lt;=DATE(YEAR(AB90),MONTH(AB90)+1,7),0,ROUND(AD90*0.015*((YEAR(AQ90)-YEAR(AB90))*12+(MONTH(AQ90)-MONTH(AB90))+1),0))))</f>
      </c>
      <c r="AH90" s="27">
        <f>IF($B90&lt;&gt;"Entry","",0)</f>
      </c>
      <c r="AI90" s="28"/>
      <c r="AJ90" s="28"/>
      <c r="AK90" s="32"/>
      <c r="AL90" s="28"/>
      <c r="AM90" s="28"/>
      <c r="AN90" s="27">
        <f>IF($B90&lt;&gt;"Challan","",SUMIF('Q1 Data'!$D$4:$D$207,D90,'Q1 Data'!$AD$4:$AD$207)+SUMIF('Q1 Data'!$D$4:$D$207,D90,'Q1 Data'!$AG$4:$AG$207)+SUMIF('Q1 Data'!$D$4:$D$207,D90,'Q1 Data'!$AE$4:$AE$207)+SUMIF('Q2 Data'!$D$4:$D$207,D90,'Q2 Data'!$AD$4:$AD$207)+SUMIF('Q2 Data'!$D$4:$D$207,D90,'Q2 Data'!$AG$4:$AG$207)+SUMIF('Q2 Data'!$D$4:$D$207,D90,'Q2 Data'!$AE$4:$AE$207)+SUMIF('Q3 Data'!$D$4:$D$207,D90,'Q3 Data'!$AD$4:$AD$207)+SUMIF('Q3 Data'!$D$4:$D$207,D90,'Q3 Data'!$AG$4:$AG$207)+SUMIF('Q3 Data'!$D$4:$D$207,D90,'Q3 Data'!$AE$4:$AE$207)+SUMIF('Q4 Data'!$D$4:$D$207,D90,'Q4 Data'!$AD$4:$AD$207)+SUMIF('Q4 Data'!$D$4:$D$207,D90,'Q4 Data'!$AG$4:$AG$207)+SUMIF('Q4 Data'!$D$4:$D$207,D90,'Q4 Data'!$AE$4:$AE$207))</f>
      </c>
      <c r="AO90" s="27">
        <f>IF($B90&lt;&gt;"Challan","",P90-N90)</f>
      </c>
      <c r="AP90" s="27">
        <f>IF($B90&lt;&gt;"Challan","",MAX(0,AO90-AN90))</f>
      </c>
      <c r="AQ90" s="33">
        <f>IF($B90&lt;&gt;"Entry","",SUMPRODUCT(('Q1 Data'!$D$4:$D$207=D90)*('Q1 Data'!$B$4:$B$207="Challan")*'Q1 Data'!$F$4:$F$207)+SUMPRODUCT(('Q2 Data'!$D$4:$D$207=D90)*('Q2 Data'!$B$4:$B$207="Challan")*'Q2 Data'!$F$4:$F$207)+SUMPRODUCT(('Q3 Data'!$D$4:$D$207=D90)*('Q3 Data'!$B$4:$B$207="Challan")*'Q3 Data'!$F$4:$F$207)+SUMPRODUCT(('Q4 Data'!$D$4:$D$207=D90)*('Q4 Data'!$B$4:$B$207="Challan")*'Q4 Data'!$F$4:$F$207))</f>
      </c>
      <c r="AR90" s="34">
        <f>IF(OR($B90&lt;&gt;"Entry",Z90=""),FALSE,AND((SUMPRODUCT(('Q1 Data'!$D$4:$D$207=D90)*('Q1 Data'!$B$4:$B$207="Challan")*('Q1 Data'!$H$4:$H$207&lt;&gt;""))+SUMPRODUCT(('Q2 Data'!$D$4:$D$207=D90)*('Q2 Data'!$B$4:$B$207="Challan")*('Q2 Data'!$H$4:$H$207&lt;&gt;""))+SUMPRODUCT(('Q3 Data'!$D$4:$D$207=D90)*('Q3 Data'!$B$4:$B$207="Challan")*('Q3 Data'!$H$4:$H$207&lt;&gt;""))+SUMPRODUCT(('Q4 Data'!$D$4:$D$207=D90)*('Q4 Data'!$B$4:$B$207="Challan")*('Q4 Data'!$H$4:$H$207&lt;&gt;"")))&gt;0,(SUMPRODUCT(('Q1 Data'!$D$4:$D$207=D90)*('Q1 Data'!$B$4:$B$207="Challan")*('Q1 Data'!$H$4:$H$207=Z90))+SUMPRODUCT(('Q2 Data'!$D$4:$D$207=D90)*('Q2 Data'!$B$4:$B$207="Challan")*('Q2 Data'!$H$4:$H$207=Z90))+SUMPRODUCT(('Q3 Data'!$D$4:$D$207=D90)*('Q3 Data'!$B$4:$B$207="Challan")*('Q3 Data'!$H$4:$H$207=Z90))+SUMPRODUCT(('Q4 Data'!$D$4:$D$207=D90)*('Q4 Data'!$B$4:$B$207="Challan")*('Q4 Data'!$H$4:$H$207=Z90)))=0))</f>
      </c>
    </row>
    <row r="91" spans="1:44" x14ac:dyDescent="0.25">
      <c r="A91" s="20">
        <f>IF($B91="Entry",COUNTIF($B$4:$B91,"Entry"),"")</f>
      </c>
      <c r="B91" s="21"/>
      <c r="C91" s="22"/>
      <c r="D91" s="22"/>
      <c r="E91" s="23">
        <f>IF($B91&lt;&gt;"Challan","",IF(ROUND(AN91-AO91,2)&gt;0,"Over-applied",IF(ROUND(AN91-AO91,2)=0,"Fully Utilised","Unconsumed")))</f>
      </c>
      <c r="F91" s="24"/>
      <c r="G91" s="25"/>
      <c r="H91" s="25"/>
      <c r="I91" s="26"/>
      <c r="J91" s="26"/>
      <c r="K91" s="26"/>
      <c r="L91" s="26"/>
      <c r="M91" s="26"/>
      <c r="N91" s="26"/>
      <c r="O91" s="26"/>
      <c r="P91" s="27">
        <f>IF($B91&lt;&gt;"Challan","",I91+J91+K91+L91+M91+N91)</f>
      </c>
      <c r="Q91" s="25"/>
      <c r="R91" s="25"/>
      <c r="S91" s="25"/>
      <c r="T91" s="25"/>
      <c r="U91" s="25"/>
      <c r="V91" s="28"/>
      <c r="W91" s="28"/>
      <c r="X91" s="23">
        <f>IF($B91="Entry",IF(AND(LEN(TRIM(UPPER(W91)))=10,CODE(MID(TRIM(UPPER(W91)),1,1))&gt;=65,CODE(MID(TRIM(UPPER(W91)),1,1))&lt;=90,CODE(MID(TRIM(UPPER(W91)),2,1))&gt;=65,CODE(MID(TRIM(UPPER(W91)),2,1))&lt;=90,CODE(MID(TRIM(UPPER(W91)),3,1))&gt;=65,CODE(MID(TRIM(UPPER(W91)),3,1))&lt;=90,CODE(MID(TRIM(UPPER(W91)),4,1))&gt;=65,CODE(MID(TRIM(UPPER(W91)),4,1))&lt;=90,CODE(MID(TRIM(UPPER(W91)),5,1))&gt;=65,CODE(MID(TRIM(UPPER(W91)),5,1))&lt;=90,CODE(MID(TRIM(UPPER(W91)),10,1))&gt;=65,CODE(MID(TRIM(UPPER(W91)),10,1))&lt;=90,CODE(MID(TRIM(UPPER(W91)),6,1))&gt;=48,CODE(MID(TRIM(UPPER(W91)),6,1))&lt;=57,CODE(MID(TRIM(UPPER(W91)),7,1))&gt;=48,CODE(MID(TRIM(UPPER(W91)),7,1))&lt;=57,CODE(MID(TRIM(UPPER(W91)),8,1))&gt;=48,CODE(MID(TRIM(UPPER(W91)),8,1))&lt;=57,CODE(MID(TRIM(UPPER(W91)),9,1))&gt;=48,CODE(MID(TRIM(UPPER(W91)),9,1))&lt;=57),"N","Y"),IF($B91="Challan","",IF(W91&lt;&gt;"","◄ Set Row Type","")))</f>
      </c>
      <c r="Y91" s="23">
        <f>IF($B91="Entry",IF(LEN(W91)&lt;4,"",IF(UPPER(MID(W91,4,1))="P","Individual",IF(UPPER(MID(W91,4,1))="H","HUF",IF(UPPER(MID(W91,4,1))="C","Company",IF(UPPER(MID(W91,4,1))="F","Firm",IF(UPPER(MID(W91,4,1))="L","LLP",IF(UPPER(MID(W91,4,1))="T","Trust",IF(UPPER(MID(W91,4,1))="A","AOP","")))))))),IF($B91="Challan","",IF(W91&lt;&gt;"","◄ Set Row Type","")))</f>
      </c>
      <c r="Z91" s="28"/>
      <c r="AA91" s="29">
        <f>IF($B91&lt;&gt;"Entry","",IF(Z91="","",IF(X91="Y",SUMPRODUCT(('Rate Lookup'!$A$1:$A$37=Z91)*'Rate Lookup'!$D$1:$D$37),IF(OR(Y91="Individual",Y91="HUF"),SUMPRODUCT(('Rate Lookup'!$A$1:$A$37=Z91)*'Rate Lookup'!$B$1:$B$37),SUMPRODUCT(('Rate Lookup'!$A$1:$A$37=Z91)*'Rate Lookup'!$C$1:$C$37)))))</f>
      </c>
      <c r="AB91" s="30"/>
      <c r="AC91" s="31"/>
      <c r="AD91" s="27">
        <f>IF($B91&lt;&gt;"Entry","",ROUND(AC91*AA91/100,0))</f>
      </c>
      <c r="AE91" s="27">
        <f>IF($B91&lt;&gt;"Entry","",0)</f>
      </c>
      <c r="AF91" s="27">
        <f>IF($B91&lt;&gt;"Entry","",0)</f>
      </c>
      <c r="AG91" s="27">
        <f>IF($B91&lt;&gt;"Entry","",IF(OR(AD91=0,AB91="",AQ91="",AQ91&lt;=0),0,IF(AQ91&lt;=DATE(YEAR(AB91),MONTH(AB91)+1,7),0,ROUND(AD91*0.015*((YEAR(AQ91)-YEAR(AB91))*12+(MONTH(AQ91)-MONTH(AB91))+1),0))))</f>
      </c>
      <c r="AH91" s="27">
        <f>IF($B91&lt;&gt;"Entry","",0)</f>
      </c>
      <c r="AI91" s="28"/>
      <c r="AJ91" s="28"/>
      <c r="AK91" s="32"/>
      <c r="AL91" s="28"/>
      <c r="AM91" s="28"/>
      <c r="AN91" s="27">
        <f>IF($B91&lt;&gt;"Challan","",SUMIF('Q1 Data'!$D$4:$D$207,D91,'Q1 Data'!$AD$4:$AD$207)+SUMIF('Q1 Data'!$D$4:$D$207,D91,'Q1 Data'!$AG$4:$AG$207)+SUMIF('Q1 Data'!$D$4:$D$207,D91,'Q1 Data'!$AE$4:$AE$207)+SUMIF('Q2 Data'!$D$4:$D$207,D91,'Q2 Data'!$AD$4:$AD$207)+SUMIF('Q2 Data'!$D$4:$D$207,D91,'Q2 Data'!$AG$4:$AG$207)+SUMIF('Q2 Data'!$D$4:$D$207,D91,'Q2 Data'!$AE$4:$AE$207)+SUMIF('Q3 Data'!$D$4:$D$207,D91,'Q3 Data'!$AD$4:$AD$207)+SUMIF('Q3 Data'!$D$4:$D$207,D91,'Q3 Data'!$AG$4:$AG$207)+SUMIF('Q3 Data'!$D$4:$D$207,D91,'Q3 Data'!$AE$4:$AE$207)+SUMIF('Q4 Data'!$D$4:$D$207,D91,'Q4 Data'!$AD$4:$AD$207)+SUMIF('Q4 Data'!$D$4:$D$207,D91,'Q4 Data'!$AG$4:$AG$207)+SUMIF('Q4 Data'!$D$4:$D$207,D91,'Q4 Data'!$AE$4:$AE$207))</f>
      </c>
      <c r="AO91" s="27">
        <f>IF($B91&lt;&gt;"Challan","",P91-N91)</f>
      </c>
      <c r="AP91" s="27">
        <f>IF($B91&lt;&gt;"Challan","",MAX(0,AO91-AN91))</f>
      </c>
      <c r="AQ91" s="33">
        <f>IF($B91&lt;&gt;"Entry","",SUMPRODUCT(('Q1 Data'!$D$4:$D$207=D91)*('Q1 Data'!$B$4:$B$207="Challan")*'Q1 Data'!$F$4:$F$207)+SUMPRODUCT(('Q2 Data'!$D$4:$D$207=D91)*('Q2 Data'!$B$4:$B$207="Challan")*'Q2 Data'!$F$4:$F$207)+SUMPRODUCT(('Q3 Data'!$D$4:$D$207=D91)*('Q3 Data'!$B$4:$B$207="Challan")*'Q3 Data'!$F$4:$F$207)+SUMPRODUCT(('Q4 Data'!$D$4:$D$207=D91)*('Q4 Data'!$B$4:$B$207="Challan")*'Q4 Data'!$F$4:$F$207))</f>
      </c>
      <c r="AR91" s="34">
        <f>IF(OR($B91&lt;&gt;"Entry",Z91=""),FALSE,AND((SUMPRODUCT(('Q1 Data'!$D$4:$D$207=D91)*('Q1 Data'!$B$4:$B$207="Challan")*('Q1 Data'!$H$4:$H$207&lt;&gt;""))+SUMPRODUCT(('Q2 Data'!$D$4:$D$207=D91)*('Q2 Data'!$B$4:$B$207="Challan")*('Q2 Data'!$H$4:$H$207&lt;&gt;""))+SUMPRODUCT(('Q3 Data'!$D$4:$D$207=D91)*('Q3 Data'!$B$4:$B$207="Challan")*('Q3 Data'!$H$4:$H$207&lt;&gt;""))+SUMPRODUCT(('Q4 Data'!$D$4:$D$207=D91)*('Q4 Data'!$B$4:$B$207="Challan")*('Q4 Data'!$H$4:$H$207&lt;&gt;"")))&gt;0,(SUMPRODUCT(('Q1 Data'!$D$4:$D$207=D91)*('Q1 Data'!$B$4:$B$207="Challan")*('Q1 Data'!$H$4:$H$207=Z91))+SUMPRODUCT(('Q2 Data'!$D$4:$D$207=D91)*('Q2 Data'!$B$4:$B$207="Challan")*('Q2 Data'!$H$4:$H$207=Z91))+SUMPRODUCT(('Q3 Data'!$D$4:$D$207=D91)*('Q3 Data'!$B$4:$B$207="Challan")*('Q3 Data'!$H$4:$H$207=Z91))+SUMPRODUCT(('Q4 Data'!$D$4:$D$207=D91)*('Q4 Data'!$B$4:$B$207="Challan")*('Q4 Data'!$H$4:$H$207=Z91)))=0))</f>
      </c>
    </row>
    <row r="92" spans="1:44" x14ac:dyDescent="0.25">
      <c r="A92" s="20">
        <f>IF($B92="Entry",COUNTIF($B$4:$B92,"Entry"),"")</f>
      </c>
      <c r="B92" s="21"/>
      <c r="C92" s="22"/>
      <c r="D92" s="22"/>
      <c r="E92" s="23">
        <f>IF($B92&lt;&gt;"Challan","",IF(ROUND(AN92-AO92,2)&gt;0,"Over-applied",IF(ROUND(AN92-AO92,2)=0,"Fully Utilised","Unconsumed")))</f>
      </c>
      <c r="F92" s="24"/>
      <c r="G92" s="25"/>
      <c r="H92" s="25"/>
      <c r="I92" s="26"/>
      <c r="J92" s="26"/>
      <c r="K92" s="26"/>
      <c r="L92" s="26"/>
      <c r="M92" s="26"/>
      <c r="N92" s="26"/>
      <c r="O92" s="26"/>
      <c r="P92" s="27">
        <f>IF($B92&lt;&gt;"Challan","",I92+J92+K92+L92+M92+N92)</f>
      </c>
      <c r="Q92" s="25"/>
      <c r="R92" s="25"/>
      <c r="S92" s="25"/>
      <c r="T92" s="25"/>
      <c r="U92" s="25"/>
      <c r="V92" s="28"/>
      <c r="W92" s="28"/>
      <c r="X92" s="23">
        <f>IF($B92="Entry",IF(AND(LEN(TRIM(UPPER(W92)))=10,CODE(MID(TRIM(UPPER(W92)),1,1))&gt;=65,CODE(MID(TRIM(UPPER(W92)),1,1))&lt;=90,CODE(MID(TRIM(UPPER(W92)),2,1))&gt;=65,CODE(MID(TRIM(UPPER(W92)),2,1))&lt;=90,CODE(MID(TRIM(UPPER(W92)),3,1))&gt;=65,CODE(MID(TRIM(UPPER(W92)),3,1))&lt;=90,CODE(MID(TRIM(UPPER(W92)),4,1))&gt;=65,CODE(MID(TRIM(UPPER(W92)),4,1))&lt;=90,CODE(MID(TRIM(UPPER(W92)),5,1))&gt;=65,CODE(MID(TRIM(UPPER(W92)),5,1))&lt;=90,CODE(MID(TRIM(UPPER(W92)),10,1))&gt;=65,CODE(MID(TRIM(UPPER(W92)),10,1))&lt;=90,CODE(MID(TRIM(UPPER(W92)),6,1))&gt;=48,CODE(MID(TRIM(UPPER(W92)),6,1))&lt;=57,CODE(MID(TRIM(UPPER(W92)),7,1))&gt;=48,CODE(MID(TRIM(UPPER(W92)),7,1))&lt;=57,CODE(MID(TRIM(UPPER(W92)),8,1))&gt;=48,CODE(MID(TRIM(UPPER(W92)),8,1))&lt;=57,CODE(MID(TRIM(UPPER(W92)),9,1))&gt;=48,CODE(MID(TRIM(UPPER(W92)),9,1))&lt;=57),"N","Y"),IF($B92="Challan","",IF(W92&lt;&gt;"","◄ Set Row Type","")))</f>
      </c>
      <c r="Y92" s="23">
        <f>IF($B92="Entry",IF(LEN(W92)&lt;4,"",IF(UPPER(MID(W92,4,1))="P","Individual",IF(UPPER(MID(W92,4,1))="H","HUF",IF(UPPER(MID(W92,4,1))="C","Company",IF(UPPER(MID(W92,4,1))="F","Firm",IF(UPPER(MID(W92,4,1))="L","LLP",IF(UPPER(MID(W92,4,1))="T","Trust",IF(UPPER(MID(W92,4,1))="A","AOP","")))))))),IF($B92="Challan","",IF(W92&lt;&gt;"","◄ Set Row Type","")))</f>
      </c>
      <c r="Z92" s="28"/>
      <c r="AA92" s="29">
        <f>IF($B92&lt;&gt;"Entry","",IF(Z92="","",IF(X92="Y",SUMPRODUCT(('Rate Lookup'!$A$1:$A$37=Z92)*'Rate Lookup'!$D$1:$D$37),IF(OR(Y92="Individual",Y92="HUF"),SUMPRODUCT(('Rate Lookup'!$A$1:$A$37=Z92)*'Rate Lookup'!$B$1:$B$37),SUMPRODUCT(('Rate Lookup'!$A$1:$A$37=Z92)*'Rate Lookup'!$C$1:$C$37)))))</f>
      </c>
      <c r="AB92" s="30"/>
      <c r="AC92" s="31"/>
      <c r="AD92" s="27">
        <f>IF($B92&lt;&gt;"Entry","",ROUND(AC92*AA92/100,0))</f>
      </c>
      <c r="AE92" s="27">
        <f>IF($B92&lt;&gt;"Entry","",0)</f>
      </c>
      <c r="AF92" s="27">
        <f>IF($B92&lt;&gt;"Entry","",0)</f>
      </c>
      <c r="AG92" s="27">
        <f>IF($B92&lt;&gt;"Entry","",IF(OR(AD92=0,AB92="",AQ92="",AQ92&lt;=0),0,IF(AQ92&lt;=DATE(YEAR(AB92),MONTH(AB92)+1,7),0,ROUND(AD92*0.015*((YEAR(AQ92)-YEAR(AB92))*12+(MONTH(AQ92)-MONTH(AB92))+1),0))))</f>
      </c>
      <c r="AH92" s="27">
        <f>IF($B92&lt;&gt;"Entry","",0)</f>
      </c>
      <c r="AI92" s="28"/>
      <c r="AJ92" s="28"/>
      <c r="AK92" s="32"/>
      <c r="AL92" s="28"/>
      <c r="AM92" s="28"/>
      <c r="AN92" s="27">
        <f>IF($B92&lt;&gt;"Challan","",SUMIF('Q1 Data'!$D$4:$D$207,D92,'Q1 Data'!$AD$4:$AD$207)+SUMIF('Q1 Data'!$D$4:$D$207,D92,'Q1 Data'!$AG$4:$AG$207)+SUMIF('Q1 Data'!$D$4:$D$207,D92,'Q1 Data'!$AE$4:$AE$207)+SUMIF('Q2 Data'!$D$4:$D$207,D92,'Q2 Data'!$AD$4:$AD$207)+SUMIF('Q2 Data'!$D$4:$D$207,D92,'Q2 Data'!$AG$4:$AG$207)+SUMIF('Q2 Data'!$D$4:$D$207,D92,'Q2 Data'!$AE$4:$AE$207)+SUMIF('Q3 Data'!$D$4:$D$207,D92,'Q3 Data'!$AD$4:$AD$207)+SUMIF('Q3 Data'!$D$4:$D$207,D92,'Q3 Data'!$AG$4:$AG$207)+SUMIF('Q3 Data'!$D$4:$D$207,D92,'Q3 Data'!$AE$4:$AE$207)+SUMIF('Q4 Data'!$D$4:$D$207,D92,'Q4 Data'!$AD$4:$AD$207)+SUMIF('Q4 Data'!$D$4:$D$207,D92,'Q4 Data'!$AG$4:$AG$207)+SUMIF('Q4 Data'!$D$4:$D$207,D92,'Q4 Data'!$AE$4:$AE$207))</f>
      </c>
      <c r="AO92" s="27">
        <f>IF($B92&lt;&gt;"Challan","",P92-N92)</f>
      </c>
      <c r="AP92" s="27">
        <f>IF($B92&lt;&gt;"Challan","",MAX(0,AO92-AN92))</f>
      </c>
      <c r="AQ92" s="33">
        <f>IF($B92&lt;&gt;"Entry","",SUMPRODUCT(('Q1 Data'!$D$4:$D$207=D92)*('Q1 Data'!$B$4:$B$207="Challan")*'Q1 Data'!$F$4:$F$207)+SUMPRODUCT(('Q2 Data'!$D$4:$D$207=D92)*('Q2 Data'!$B$4:$B$207="Challan")*'Q2 Data'!$F$4:$F$207)+SUMPRODUCT(('Q3 Data'!$D$4:$D$207=D92)*('Q3 Data'!$B$4:$B$207="Challan")*'Q3 Data'!$F$4:$F$207)+SUMPRODUCT(('Q4 Data'!$D$4:$D$207=D92)*('Q4 Data'!$B$4:$B$207="Challan")*'Q4 Data'!$F$4:$F$207))</f>
      </c>
      <c r="AR92" s="34">
        <f>IF(OR($B92&lt;&gt;"Entry",Z92=""),FALSE,AND((SUMPRODUCT(('Q1 Data'!$D$4:$D$207=D92)*('Q1 Data'!$B$4:$B$207="Challan")*('Q1 Data'!$H$4:$H$207&lt;&gt;""))+SUMPRODUCT(('Q2 Data'!$D$4:$D$207=D92)*('Q2 Data'!$B$4:$B$207="Challan")*('Q2 Data'!$H$4:$H$207&lt;&gt;""))+SUMPRODUCT(('Q3 Data'!$D$4:$D$207=D92)*('Q3 Data'!$B$4:$B$207="Challan")*('Q3 Data'!$H$4:$H$207&lt;&gt;""))+SUMPRODUCT(('Q4 Data'!$D$4:$D$207=D92)*('Q4 Data'!$B$4:$B$207="Challan")*('Q4 Data'!$H$4:$H$207&lt;&gt;"")))&gt;0,(SUMPRODUCT(('Q1 Data'!$D$4:$D$207=D92)*('Q1 Data'!$B$4:$B$207="Challan")*('Q1 Data'!$H$4:$H$207=Z92))+SUMPRODUCT(('Q2 Data'!$D$4:$D$207=D92)*('Q2 Data'!$B$4:$B$207="Challan")*('Q2 Data'!$H$4:$H$207=Z92))+SUMPRODUCT(('Q3 Data'!$D$4:$D$207=D92)*('Q3 Data'!$B$4:$B$207="Challan")*('Q3 Data'!$H$4:$H$207=Z92))+SUMPRODUCT(('Q4 Data'!$D$4:$D$207=D92)*('Q4 Data'!$B$4:$B$207="Challan")*('Q4 Data'!$H$4:$H$207=Z92)))=0))</f>
      </c>
    </row>
    <row r="93" spans="1:44" x14ac:dyDescent="0.25">
      <c r="A93" s="20">
        <f>IF($B93="Entry",COUNTIF($B$4:$B93,"Entry"),"")</f>
      </c>
      <c r="B93" s="21"/>
      <c r="C93" s="22"/>
      <c r="D93" s="22"/>
      <c r="E93" s="23">
        <f>IF($B93&lt;&gt;"Challan","",IF(ROUND(AN93-AO93,2)&gt;0,"Over-applied",IF(ROUND(AN93-AO93,2)=0,"Fully Utilised","Unconsumed")))</f>
      </c>
      <c r="F93" s="24"/>
      <c r="G93" s="25"/>
      <c r="H93" s="25"/>
      <c r="I93" s="26"/>
      <c r="J93" s="26"/>
      <c r="K93" s="26"/>
      <c r="L93" s="26"/>
      <c r="M93" s="26"/>
      <c r="N93" s="26"/>
      <c r="O93" s="26"/>
      <c r="P93" s="27">
        <f>IF($B93&lt;&gt;"Challan","",I93+J93+K93+L93+M93+N93)</f>
      </c>
      <c r="Q93" s="25"/>
      <c r="R93" s="25"/>
      <c r="S93" s="25"/>
      <c r="T93" s="25"/>
      <c r="U93" s="25"/>
      <c r="V93" s="28"/>
      <c r="W93" s="28"/>
      <c r="X93" s="23">
        <f>IF($B93="Entry",IF(AND(LEN(TRIM(UPPER(W93)))=10,CODE(MID(TRIM(UPPER(W93)),1,1))&gt;=65,CODE(MID(TRIM(UPPER(W93)),1,1))&lt;=90,CODE(MID(TRIM(UPPER(W93)),2,1))&gt;=65,CODE(MID(TRIM(UPPER(W93)),2,1))&lt;=90,CODE(MID(TRIM(UPPER(W93)),3,1))&gt;=65,CODE(MID(TRIM(UPPER(W93)),3,1))&lt;=90,CODE(MID(TRIM(UPPER(W93)),4,1))&gt;=65,CODE(MID(TRIM(UPPER(W93)),4,1))&lt;=90,CODE(MID(TRIM(UPPER(W93)),5,1))&gt;=65,CODE(MID(TRIM(UPPER(W93)),5,1))&lt;=90,CODE(MID(TRIM(UPPER(W93)),10,1))&gt;=65,CODE(MID(TRIM(UPPER(W93)),10,1))&lt;=90,CODE(MID(TRIM(UPPER(W93)),6,1))&gt;=48,CODE(MID(TRIM(UPPER(W93)),6,1))&lt;=57,CODE(MID(TRIM(UPPER(W93)),7,1))&gt;=48,CODE(MID(TRIM(UPPER(W93)),7,1))&lt;=57,CODE(MID(TRIM(UPPER(W93)),8,1))&gt;=48,CODE(MID(TRIM(UPPER(W93)),8,1))&lt;=57,CODE(MID(TRIM(UPPER(W93)),9,1))&gt;=48,CODE(MID(TRIM(UPPER(W93)),9,1))&lt;=57),"N","Y"),IF($B93="Challan","",IF(W93&lt;&gt;"","◄ Set Row Type","")))</f>
      </c>
      <c r="Y93" s="23">
        <f>IF($B93="Entry",IF(LEN(W93)&lt;4,"",IF(UPPER(MID(W93,4,1))="P","Individual",IF(UPPER(MID(W93,4,1))="H","HUF",IF(UPPER(MID(W93,4,1))="C","Company",IF(UPPER(MID(W93,4,1))="F","Firm",IF(UPPER(MID(W93,4,1))="L","LLP",IF(UPPER(MID(W93,4,1))="T","Trust",IF(UPPER(MID(W93,4,1))="A","AOP","")))))))),IF($B93="Challan","",IF(W93&lt;&gt;"","◄ Set Row Type","")))</f>
      </c>
      <c r="Z93" s="28"/>
      <c r="AA93" s="29">
        <f>IF($B93&lt;&gt;"Entry","",IF(Z93="","",IF(X93="Y",SUMPRODUCT(('Rate Lookup'!$A$1:$A$37=Z93)*'Rate Lookup'!$D$1:$D$37),IF(OR(Y93="Individual",Y93="HUF"),SUMPRODUCT(('Rate Lookup'!$A$1:$A$37=Z93)*'Rate Lookup'!$B$1:$B$37),SUMPRODUCT(('Rate Lookup'!$A$1:$A$37=Z93)*'Rate Lookup'!$C$1:$C$37)))))</f>
      </c>
      <c r="AB93" s="30"/>
      <c r="AC93" s="31"/>
      <c r="AD93" s="27">
        <f>IF($B93&lt;&gt;"Entry","",ROUND(AC93*AA93/100,0))</f>
      </c>
      <c r="AE93" s="27">
        <f>IF($B93&lt;&gt;"Entry","",0)</f>
      </c>
      <c r="AF93" s="27">
        <f>IF($B93&lt;&gt;"Entry","",0)</f>
      </c>
      <c r="AG93" s="27">
        <f>IF($B93&lt;&gt;"Entry","",IF(OR(AD93=0,AB93="",AQ93="",AQ93&lt;=0),0,IF(AQ93&lt;=DATE(YEAR(AB93),MONTH(AB93)+1,7),0,ROUND(AD93*0.015*((YEAR(AQ93)-YEAR(AB93))*12+(MONTH(AQ93)-MONTH(AB93))+1),0))))</f>
      </c>
      <c r="AH93" s="27">
        <f>IF($B93&lt;&gt;"Entry","",0)</f>
      </c>
      <c r="AI93" s="28"/>
      <c r="AJ93" s="28"/>
      <c r="AK93" s="32"/>
      <c r="AL93" s="28"/>
      <c r="AM93" s="28"/>
      <c r="AN93" s="27">
        <f>IF($B93&lt;&gt;"Challan","",SUMIF('Q1 Data'!$D$4:$D$207,D93,'Q1 Data'!$AD$4:$AD$207)+SUMIF('Q1 Data'!$D$4:$D$207,D93,'Q1 Data'!$AG$4:$AG$207)+SUMIF('Q1 Data'!$D$4:$D$207,D93,'Q1 Data'!$AE$4:$AE$207)+SUMIF('Q2 Data'!$D$4:$D$207,D93,'Q2 Data'!$AD$4:$AD$207)+SUMIF('Q2 Data'!$D$4:$D$207,D93,'Q2 Data'!$AG$4:$AG$207)+SUMIF('Q2 Data'!$D$4:$D$207,D93,'Q2 Data'!$AE$4:$AE$207)+SUMIF('Q3 Data'!$D$4:$D$207,D93,'Q3 Data'!$AD$4:$AD$207)+SUMIF('Q3 Data'!$D$4:$D$207,D93,'Q3 Data'!$AG$4:$AG$207)+SUMIF('Q3 Data'!$D$4:$D$207,D93,'Q3 Data'!$AE$4:$AE$207)+SUMIF('Q4 Data'!$D$4:$D$207,D93,'Q4 Data'!$AD$4:$AD$207)+SUMIF('Q4 Data'!$D$4:$D$207,D93,'Q4 Data'!$AG$4:$AG$207)+SUMIF('Q4 Data'!$D$4:$D$207,D93,'Q4 Data'!$AE$4:$AE$207))</f>
      </c>
      <c r="AO93" s="27">
        <f>IF($B93&lt;&gt;"Challan","",P93-N93)</f>
      </c>
      <c r="AP93" s="27">
        <f>IF($B93&lt;&gt;"Challan","",MAX(0,AO93-AN93))</f>
      </c>
      <c r="AQ93" s="33">
        <f>IF($B93&lt;&gt;"Entry","",SUMPRODUCT(('Q1 Data'!$D$4:$D$207=D93)*('Q1 Data'!$B$4:$B$207="Challan")*'Q1 Data'!$F$4:$F$207)+SUMPRODUCT(('Q2 Data'!$D$4:$D$207=D93)*('Q2 Data'!$B$4:$B$207="Challan")*'Q2 Data'!$F$4:$F$207)+SUMPRODUCT(('Q3 Data'!$D$4:$D$207=D93)*('Q3 Data'!$B$4:$B$207="Challan")*'Q3 Data'!$F$4:$F$207)+SUMPRODUCT(('Q4 Data'!$D$4:$D$207=D93)*('Q4 Data'!$B$4:$B$207="Challan")*'Q4 Data'!$F$4:$F$207))</f>
      </c>
      <c r="AR93" s="34">
        <f>IF(OR($B93&lt;&gt;"Entry",Z93=""),FALSE,AND((SUMPRODUCT(('Q1 Data'!$D$4:$D$207=D93)*('Q1 Data'!$B$4:$B$207="Challan")*('Q1 Data'!$H$4:$H$207&lt;&gt;""))+SUMPRODUCT(('Q2 Data'!$D$4:$D$207=D93)*('Q2 Data'!$B$4:$B$207="Challan")*('Q2 Data'!$H$4:$H$207&lt;&gt;""))+SUMPRODUCT(('Q3 Data'!$D$4:$D$207=D93)*('Q3 Data'!$B$4:$B$207="Challan")*('Q3 Data'!$H$4:$H$207&lt;&gt;""))+SUMPRODUCT(('Q4 Data'!$D$4:$D$207=D93)*('Q4 Data'!$B$4:$B$207="Challan")*('Q4 Data'!$H$4:$H$207&lt;&gt;"")))&gt;0,(SUMPRODUCT(('Q1 Data'!$D$4:$D$207=D93)*('Q1 Data'!$B$4:$B$207="Challan")*('Q1 Data'!$H$4:$H$207=Z93))+SUMPRODUCT(('Q2 Data'!$D$4:$D$207=D93)*('Q2 Data'!$B$4:$B$207="Challan")*('Q2 Data'!$H$4:$H$207=Z93))+SUMPRODUCT(('Q3 Data'!$D$4:$D$207=D93)*('Q3 Data'!$B$4:$B$207="Challan")*('Q3 Data'!$H$4:$H$207=Z93))+SUMPRODUCT(('Q4 Data'!$D$4:$D$207=D93)*('Q4 Data'!$B$4:$B$207="Challan")*('Q4 Data'!$H$4:$H$207=Z93)))=0))</f>
      </c>
    </row>
    <row r="94" spans="1:44" x14ac:dyDescent="0.25">
      <c r="A94" s="20">
        <f>IF($B94="Entry",COUNTIF($B$4:$B94,"Entry"),"")</f>
      </c>
      <c r="B94" s="21"/>
      <c r="C94" s="22"/>
      <c r="D94" s="22"/>
      <c r="E94" s="23">
        <f>IF($B94&lt;&gt;"Challan","",IF(ROUND(AN94-AO94,2)&gt;0,"Over-applied",IF(ROUND(AN94-AO94,2)=0,"Fully Utilised","Unconsumed")))</f>
      </c>
      <c r="F94" s="24"/>
      <c r="G94" s="25"/>
      <c r="H94" s="25"/>
      <c r="I94" s="26"/>
      <c r="J94" s="26"/>
      <c r="K94" s="26"/>
      <c r="L94" s="26"/>
      <c r="M94" s="26"/>
      <c r="N94" s="26"/>
      <c r="O94" s="26"/>
      <c r="P94" s="27">
        <f>IF($B94&lt;&gt;"Challan","",I94+J94+K94+L94+M94+N94)</f>
      </c>
      <c r="Q94" s="25"/>
      <c r="R94" s="25"/>
      <c r="S94" s="25"/>
      <c r="T94" s="25"/>
      <c r="U94" s="25"/>
      <c r="V94" s="28"/>
      <c r="W94" s="28"/>
      <c r="X94" s="23">
        <f>IF($B94="Entry",IF(AND(LEN(TRIM(UPPER(W94)))=10,CODE(MID(TRIM(UPPER(W94)),1,1))&gt;=65,CODE(MID(TRIM(UPPER(W94)),1,1))&lt;=90,CODE(MID(TRIM(UPPER(W94)),2,1))&gt;=65,CODE(MID(TRIM(UPPER(W94)),2,1))&lt;=90,CODE(MID(TRIM(UPPER(W94)),3,1))&gt;=65,CODE(MID(TRIM(UPPER(W94)),3,1))&lt;=90,CODE(MID(TRIM(UPPER(W94)),4,1))&gt;=65,CODE(MID(TRIM(UPPER(W94)),4,1))&lt;=90,CODE(MID(TRIM(UPPER(W94)),5,1))&gt;=65,CODE(MID(TRIM(UPPER(W94)),5,1))&lt;=90,CODE(MID(TRIM(UPPER(W94)),10,1))&gt;=65,CODE(MID(TRIM(UPPER(W94)),10,1))&lt;=90,CODE(MID(TRIM(UPPER(W94)),6,1))&gt;=48,CODE(MID(TRIM(UPPER(W94)),6,1))&lt;=57,CODE(MID(TRIM(UPPER(W94)),7,1))&gt;=48,CODE(MID(TRIM(UPPER(W94)),7,1))&lt;=57,CODE(MID(TRIM(UPPER(W94)),8,1))&gt;=48,CODE(MID(TRIM(UPPER(W94)),8,1))&lt;=57,CODE(MID(TRIM(UPPER(W94)),9,1))&gt;=48,CODE(MID(TRIM(UPPER(W94)),9,1))&lt;=57),"N","Y"),IF($B94="Challan","",IF(W94&lt;&gt;"","◄ Set Row Type","")))</f>
      </c>
      <c r="Y94" s="23">
        <f>IF($B94="Entry",IF(LEN(W94)&lt;4,"",IF(UPPER(MID(W94,4,1))="P","Individual",IF(UPPER(MID(W94,4,1))="H","HUF",IF(UPPER(MID(W94,4,1))="C","Company",IF(UPPER(MID(W94,4,1))="F","Firm",IF(UPPER(MID(W94,4,1))="L","LLP",IF(UPPER(MID(W94,4,1))="T","Trust",IF(UPPER(MID(W94,4,1))="A","AOP","")))))))),IF($B94="Challan","",IF(W94&lt;&gt;"","◄ Set Row Type","")))</f>
      </c>
      <c r="Z94" s="28"/>
      <c r="AA94" s="29">
        <f>IF($B94&lt;&gt;"Entry","",IF(Z94="","",IF(X94="Y",SUMPRODUCT(('Rate Lookup'!$A$1:$A$37=Z94)*'Rate Lookup'!$D$1:$D$37),IF(OR(Y94="Individual",Y94="HUF"),SUMPRODUCT(('Rate Lookup'!$A$1:$A$37=Z94)*'Rate Lookup'!$B$1:$B$37),SUMPRODUCT(('Rate Lookup'!$A$1:$A$37=Z94)*'Rate Lookup'!$C$1:$C$37)))))</f>
      </c>
      <c r="AB94" s="30"/>
      <c r="AC94" s="31"/>
      <c r="AD94" s="27">
        <f>IF($B94&lt;&gt;"Entry","",ROUND(AC94*AA94/100,0))</f>
      </c>
      <c r="AE94" s="27">
        <f>IF($B94&lt;&gt;"Entry","",0)</f>
      </c>
      <c r="AF94" s="27">
        <f>IF($B94&lt;&gt;"Entry","",0)</f>
      </c>
      <c r="AG94" s="27">
        <f>IF($B94&lt;&gt;"Entry","",IF(OR(AD94=0,AB94="",AQ94="",AQ94&lt;=0),0,IF(AQ94&lt;=DATE(YEAR(AB94),MONTH(AB94)+1,7),0,ROUND(AD94*0.015*((YEAR(AQ94)-YEAR(AB94))*12+(MONTH(AQ94)-MONTH(AB94))+1),0))))</f>
      </c>
      <c r="AH94" s="27">
        <f>IF($B94&lt;&gt;"Entry","",0)</f>
      </c>
      <c r="AI94" s="28"/>
      <c r="AJ94" s="28"/>
      <c r="AK94" s="32"/>
      <c r="AL94" s="28"/>
      <c r="AM94" s="28"/>
      <c r="AN94" s="27">
        <f>IF($B94&lt;&gt;"Challan","",SUMIF('Q1 Data'!$D$4:$D$207,D94,'Q1 Data'!$AD$4:$AD$207)+SUMIF('Q1 Data'!$D$4:$D$207,D94,'Q1 Data'!$AG$4:$AG$207)+SUMIF('Q1 Data'!$D$4:$D$207,D94,'Q1 Data'!$AE$4:$AE$207)+SUMIF('Q2 Data'!$D$4:$D$207,D94,'Q2 Data'!$AD$4:$AD$207)+SUMIF('Q2 Data'!$D$4:$D$207,D94,'Q2 Data'!$AG$4:$AG$207)+SUMIF('Q2 Data'!$D$4:$D$207,D94,'Q2 Data'!$AE$4:$AE$207)+SUMIF('Q3 Data'!$D$4:$D$207,D94,'Q3 Data'!$AD$4:$AD$207)+SUMIF('Q3 Data'!$D$4:$D$207,D94,'Q3 Data'!$AG$4:$AG$207)+SUMIF('Q3 Data'!$D$4:$D$207,D94,'Q3 Data'!$AE$4:$AE$207)+SUMIF('Q4 Data'!$D$4:$D$207,D94,'Q4 Data'!$AD$4:$AD$207)+SUMIF('Q4 Data'!$D$4:$D$207,D94,'Q4 Data'!$AG$4:$AG$207)+SUMIF('Q4 Data'!$D$4:$D$207,D94,'Q4 Data'!$AE$4:$AE$207))</f>
      </c>
      <c r="AO94" s="27">
        <f>IF($B94&lt;&gt;"Challan","",P94-N94)</f>
      </c>
      <c r="AP94" s="27">
        <f>IF($B94&lt;&gt;"Challan","",MAX(0,AO94-AN94))</f>
      </c>
      <c r="AQ94" s="33">
        <f>IF($B94&lt;&gt;"Entry","",SUMPRODUCT(('Q1 Data'!$D$4:$D$207=D94)*('Q1 Data'!$B$4:$B$207="Challan")*'Q1 Data'!$F$4:$F$207)+SUMPRODUCT(('Q2 Data'!$D$4:$D$207=D94)*('Q2 Data'!$B$4:$B$207="Challan")*'Q2 Data'!$F$4:$F$207)+SUMPRODUCT(('Q3 Data'!$D$4:$D$207=D94)*('Q3 Data'!$B$4:$B$207="Challan")*'Q3 Data'!$F$4:$F$207)+SUMPRODUCT(('Q4 Data'!$D$4:$D$207=D94)*('Q4 Data'!$B$4:$B$207="Challan")*'Q4 Data'!$F$4:$F$207))</f>
      </c>
      <c r="AR94" s="34">
        <f>IF(OR($B94&lt;&gt;"Entry",Z94=""),FALSE,AND((SUMPRODUCT(('Q1 Data'!$D$4:$D$207=D94)*('Q1 Data'!$B$4:$B$207="Challan")*('Q1 Data'!$H$4:$H$207&lt;&gt;""))+SUMPRODUCT(('Q2 Data'!$D$4:$D$207=D94)*('Q2 Data'!$B$4:$B$207="Challan")*('Q2 Data'!$H$4:$H$207&lt;&gt;""))+SUMPRODUCT(('Q3 Data'!$D$4:$D$207=D94)*('Q3 Data'!$B$4:$B$207="Challan")*('Q3 Data'!$H$4:$H$207&lt;&gt;""))+SUMPRODUCT(('Q4 Data'!$D$4:$D$207=D94)*('Q4 Data'!$B$4:$B$207="Challan")*('Q4 Data'!$H$4:$H$207&lt;&gt;"")))&gt;0,(SUMPRODUCT(('Q1 Data'!$D$4:$D$207=D94)*('Q1 Data'!$B$4:$B$207="Challan")*('Q1 Data'!$H$4:$H$207=Z94))+SUMPRODUCT(('Q2 Data'!$D$4:$D$207=D94)*('Q2 Data'!$B$4:$B$207="Challan")*('Q2 Data'!$H$4:$H$207=Z94))+SUMPRODUCT(('Q3 Data'!$D$4:$D$207=D94)*('Q3 Data'!$B$4:$B$207="Challan")*('Q3 Data'!$H$4:$H$207=Z94))+SUMPRODUCT(('Q4 Data'!$D$4:$D$207=D94)*('Q4 Data'!$B$4:$B$207="Challan")*('Q4 Data'!$H$4:$H$207=Z94)))=0))</f>
      </c>
    </row>
    <row r="95" spans="1:44" x14ac:dyDescent="0.25">
      <c r="A95" s="20">
        <f>IF($B95="Entry",COUNTIF($B$4:$B95,"Entry"),"")</f>
      </c>
      <c r="B95" s="21"/>
      <c r="C95" s="22"/>
      <c r="D95" s="22"/>
      <c r="E95" s="23">
        <f>IF($B95&lt;&gt;"Challan","",IF(ROUND(AN95-AO95,2)&gt;0,"Over-applied",IF(ROUND(AN95-AO95,2)=0,"Fully Utilised","Unconsumed")))</f>
      </c>
      <c r="F95" s="24"/>
      <c r="G95" s="25"/>
      <c r="H95" s="25"/>
      <c r="I95" s="26"/>
      <c r="J95" s="26"/>
      <c r="K95" s="26"/>
      <c r="L95" s="26"/>
      <c r="M95" s="26"/>
      <c r="N95" s="26"/>
      <c r="O95" s="26"/>
      <c r="P95" s="27">
        <f>IF($B95&lt;&gt;"Challan","",I95+J95+K95+L95+M95+N95)</f>
      </c>
      <c r="Q95" s="25"/>
      <c r="R95" s="25"/>
      <c r="S95" s="25"/>
      <c r="T95" s="25"/>
      <c r="U95" s="25"/>
      <c r="V95" s="28"/>
      <c r="W95" s="28"/>
      <c r="X95" s="23">
        <f>IF($B95="Entry",IF(AND(LEN(TRIM(UPPER(W95)))=10,CODE(MID(TRIM(UPPER(W95)),1,1))&gt;=65,CODE(MID(TRIM(UPPER(W95)),1,1))&lt;=90,CODE(MID(TRIM(UPPER(W95)),2,1))&gt;=65,CODE(MID(TRIM(UPPER(W95)),2,1))&lt;=90,CODE(MID(TRIM(UPPER(W95)),3,1))&gt;=65,CODE(MID(TRIM(UPPER(W95)),3,1))&lt;=90,CODE(MID(TRIM(UPPER(W95)),4,1))&gt;=65,CODE(MID(TRIM(UPPER(W95)),4,1))&lt;=90,CODE(MID(TRIM(UPPER(W95)),5,1))&gt;=65,CODE(MID(TRIM(UPPER(W95)),5,1))&lt;=90,CODE(MID(TRIM(UPPER(W95)),10,1))&gt;=65,CODE(MID(TRIM(UPPER(W95)),10,1))&lt;=90,CODE(MID(TRIM(UPPER(W95)),6,1))&gt;=48,CODE(MID(TRIM(UPPER(W95)),6,1))&lt;=57,CODE(MID(TRIM(UPPER(W95)),7,1))&gt;=48,CODE(MID(TRIM(UPPER(W95)),7,1))&lt;=57,CODE(MID(TRIM(UPPER(W95)),8,1))&gt;=48,CODE(MID(TRIM(UPPER(W95)),8,1))&lt;=57,CODE(MID(TRIM(UPPER(W95)),9,1))&gt;=48,CODE(MID(TRIM(UPPER(W95)),9,1))&lt;=57),"N","Y"),IF($B95="Challan","",IF(W95&lt;&gt;"","◄ Set Row Type","")))</f>
      </c>
      <c r="Y95" s="23">
        <f>IF($B95="Entry",IF(LEN(W95)&lt;4,"",IF(UPPER(MID(W95,4,1))="P","Individual",IF(UPPER(MID(W95,4,1))="H","HUF",IF(UPPER(MID(W95,4,1))="C","Company",IF(UPPER(MID(W95,4,1))="F","Firm",IF(UPPER(MID(W95,4,1))="L","LLP",IF(UPPER(MID(W95,4,1))="T","Trust",IF(UPPER(MID(W95,4,1))="A","AOP","")))))))),IF($B95="Challan","",IF(W95&lt;&gt;"","◄ Set Row Type","")))</f>
      </c>
      <c r="Z95" s="28"/>
      <c r="AA95" s="29">
        <f>IF($B95&lt;&gt;"Entry","",IF(Z95="","",IF(X95="Y",SUMPRODUCT(('Rate Lookup'!$A$1:$A$37=Z95)*'Rate Lookup'!$D$1:$D$37),IF(OR(Y95="Individual",Y95="HUF"),SUMPRODUCT(('Rate Lookup'!$A$1:$A$37=Z95)*'Rate Lookup'!$B$1:$B$37),SUMPRODUCT(('Rate Lookup'!$A$1:$A$37=Z95)*'Rate Lookup'!$C$1:$C$37)))))</f>
      </c>
      <c r="AB95" s="30"/>
      <c r="AC95" s="31"/>
      <c r="AD95" s="27">
        <f>IF($B95&lt;&gt;"Entry","",ROUND(AC95*AA95/100,0))</f>
      </c>
      <c r="AE95" s="27">
        <f>IF($B95&lt;&gt;"Entry","",0)</f>
      </c>
      <c r="AF95" s="27">
        <f>IF($B95&lt;&gt;"Entry","",0)</f>
      </c>
      <c r="AG95" s="27">
        <f>IF($B95&lt;&gt;"Entry","",IF(OR(AD95=0,AB95="",AQ95="",AQ95&lt;=0),0,IF(AQ95&lt;=DATE(YEAR(AB95),MONTH(AB95)+1,7),0,ROUND(AD95*0.015*((YEAR(AQ95)-YEAR(AB95))*12+(MONTH(AQ95)-MONTH(AB95))+1),0))))</f>
      </c>
      <c r="AH95" s="27">
        <f>IF($B95&lt;&gt;"Entry","",0)</f>
      </c>
      <c r="AI95" s="28"/>
      <c r="AJ95" s="28"/>
      <c r="AK95" s="32"/>
      <c r="AL95" s="28"/>
      <c r="AM95" s="28"/>
      <c r="AN95" s="27">
        <f>IF($B95&lt;&gt;"Challan","",SUMIF('Q1 Data'!$D$4:$D$207,D95,'Q1 Data'!$AD$4:$AD$207)+SUMIF('Q1 Data'!$D$4:$D$207,D95,'Q1 Data'!$AG$4:$AG$207)+SUMIF('Q1 Data'!$D$4:$D$207,D95,'Q1 Data'!$AE$4:$AE$207)+SUMIF('Q2 Data'!$D$4:$D$207,D95,'Q2 Data'!$AD$4:$AD$207)+SUMIF('Q2 Data'!$D$4:$D$207,D95,'Q2 Data'!$AG$4:$AG$207)+SUMIF('Q2 Data'!$D$4:$D$207,D95,'Q2 Data'!$AE$4:$AE$207)+SUMIF('Q3 Data'!$D$4:$D$207,D95,'Q3 Data'!$AD$4:$AD$207)+SUMIF('Q3 Data'!$D$4:$D$207,D95,'Q3 Data'!$AG$4:$AG$207)+SUMIF('Q3 Data'!$D$4:$D$207,D95,'Q3 Data'!$AE$4:$AE$207)+SUMIF('Q4 Data'!$D$4:$D$207,D95,'Q4 Data'!$AD$4:$AD$207)+SUMIF('Q4 Data'!$D$4:$D$207,D95,'Q4 Data'!$AG$4:$AG$207)+SUMIF('Q4 Data'!$D$4:$D$207,D95,'Q4 Data'!$AE$4:$AE$207))</f>
      </c>
      <c r="AO95" s="27">
        <f>IF($B95&lt;&gt;"Challan","",P95-N95)</f>
      </c>
      <c r="AP95" s="27">
        <f>IF($B95&lt;&gt;"Challan","",MAX(0,AO95-AN95))</f>
      </c>
      <c r="AQ95" s="33">
        <f>IF($B95&lt;&gt;"Entry","",SUMPRODUCT(('Q1 Data'!$D$4:$D$207=D95)*('Q1 Data'!$B$4:$B$207="Challan")*'Q1 Data'!$F$4:$F$207)+SUMPRODUCT(('Q2 Data'!$D$4:$D$207=D95)*('Q2 Data'!$B$4:$B$207="Challan")*'Q2 Data'!$F$4:$F$207)+SUMPRODUCT(('Q3 Data'!$D$4:$D$207=D95)*('Q3 Data'!$B$4:$B$207="Challan")*'Q3 Data'!$F$4:$F$207)+SUMPRODUCT(('Q4 Data'!$D$4:$D$207=D95)*('Q4 Data'!$B$4:$B$207="Challan")*'Q4 Data'!$F$4:$F$207))</f>
      </c>
      <c r="AR95" s="34">
        <f>IF(OR($B95&lt;&gt;"Entry",Z95=""),FALSE,AND((SUMPRODUCT(('Q1 Data'!$D$4:$D$207=D95)*('Q1 Data'!$B$4:$B$207="Challan")*('Q1 Data'!$H$4:$H$207&lt;&gt;""))+SUMPRODUCT(('Q2 Data'!$D$4:$D$207=D95)*('Q2 Data'!$B$4:$B$207="Challan")*('Q2 Data'!$H$4:$H$207&lt;&gt;""))+SUMPRODUCT(('Q3 Data'!$D$4:$D$207=D95)*('Q3 Data'!$B$4:$B$207="Challan")*('Q3 Data'!$H$4:$H$207&lt;&gt;""))+SUMPRODUCT(('Q4 Data'!$D$4:$D$207=D95)*('Q4 Data'!$B$4:$B$207="Challan")*('Q4 Data'!$H$4:$H$207&lt;&gt;"")))&gt;0,(SUMPRODUCT(('Q1 Data'!$D$4:$D$207=D95)*('Q1 Data'!$B$4:$B$207="Challan")*('Q1 Data'!$H$4:$H$207=Z95))+SUMPRODUCT(('Q2 Data'!$D$4:$D$207=D95)*('Q2 Data'!$B$4:$B$207="Challan")*('Q2 Data'!$H$4:$H$207=Z95))+SUMPRODUCT(('Q3 Data'!$D$4:$D$207=D95)*('Q3 Data'!$B$4:$B$207="Challan")*('Q3 Data'!$H$4:$H$207=Z95))+SUMPRODUCT(('Q4 Data'!$D$4:$D$207=D95)*('Q4 Data'!$B$4:$B$207="Challan")*('Q4 Data'!$H$4:$H$207=Z95)))=0))</f>
      </c>
    </row>
    <row r="96" spans="1:44" x14ac:dyDescent="0.25">
      <c r="A96" s="20">
        <f>IF($B96="Entry",COUNTIF($B$4:$B96,"Entry"),"")</f>
      </c>
      <c r="B96" s="21"/>
      <c r="C96" s="22"/>
      <c r="D96" s="22"/>
      <c r="E96" s="23">
        <f>IF($B96&lt;&gt;"Challan","",IF(ROUND(AN96-AO96,2)&gt;0,"Over-applied",IF(ROUND(AN96-AO96,2)=0,"Fully Utilised","Unconsumed")))</f>
      </c>
      <c r="F96" s="24"/>
      <c r="G96" s="25"/>
      <c r="H96" s="25"/>
      <c r="I96" s="26"/>
      <c r="J96" s="26"/>
      <c r="K96" s="26"/>
      <c r="L96" s="26"/>
      <c r="M96" s="26"/>
      <c r="N96" s="26"/>
      <c r="O96" s="26"/>
      <c r="P96" s="27">
        <f>IF($B96&lt;&gt;"Challan","",I96+J96+K96+L96+M96+N96)</f>
      </c>
      <c r="Q96" s="25"/>
      <c r="R96" s="25"/>
      <c r="S96" s="25"/>
      <c r="T96" s="25"/>
      <c r="U96" s="25"/>
      <c r="V96" s="28"/>
      <c r="W96" s="28"/>
      <c r="X96" s="23">
        <f>IF($B96="Entry",IF(AND(LEN(TRIM(UPPER(W96)))=10,CODE(MID(TRIM(UPPER(W96)),1,1))&gt;=65,CODE(MID(TRIM(UPPER(W96)),1,1))&lt;=90,CODE(MID(TRIM(UPPER(W96)),2,1))&gt;=65,CODE(MID(TRIM(UPPER(W96)),2,1))&lt;=90,CODE(MID(TRIM(UPPER(W96)),3,1))&gt;=65,CODE(MID(TRIM(UPPER(W96)),3,1))&lt;=90,CODE(MID(TRIM(UPPER(W96)),4,1))&gt;=65,CODE(MID(TRIM(UPPER(W96)),4,1))&lt;=90,CODE(MID(TRIM(UPPER(W96)),5,1))&gt;=65,CODE(MID(TRIM(UPPER(W96)),5,1))&lt;=90,CODE(MID(TRIM(UPPER(W96)),10,1))&gt;=65,CODE(MID(TRIM(UPPER(W96)),10,1))&lt;=90,CODE(MID(TRIM(UPPER(W96)),6,1))&gt;=48,CODE(MID(TRIM(UPPER(W96)),6,1))&lt;=57,CODE(MID(TRIM(UPPER(W96)),7,1))&gt;=48,CODE(MID(TRIM(UPPER(W96)),7,1))&lt;=57,CODE(MID(TRIM(UPPER(W96)),8,1))&gt;=48,CODE(MID(TRIM(UPPER(W96)),8,1))&lt;=57,CODE(MID(TRIM(UPPER(W96)),9,1))&gt;=48,CODE(MID(TRIM(UPPER(W96)),9,1))&lt;=57),"N","Y"),IF($B96="Challan","",IF(W96&lt;&gt;"","◄ Set Row Type","")))</f>
      </c>
      <c r="Y96" s="23">
        <f>IF($B96="Entry",IF(LEN(W96)&lt;4,"",IF(UPPER(MID(W96,4,1))="P","Individual",IF(UPPER(MID(W96,4,1))="H","HUF",IF(UPPER(MID(W96,4,1))="C","Company",IF(UPPER(MID(W96,4,1))="F","Firm",IF(UPPER(MID(W96,4,1))="L","LLP",IF(UPPER(MID(W96,4,1))="T","Trust",IF(UPPER(MID(W96,4,1))="A","AOP","")))))))),IF($B96="Challan","",IF(W96&lt;&gt;"","◄ Set Row Type","")))</f>
      </c>
      <c r="Z96" s="28"/>
      <c r="AA96" s="29">
        <f>IF($B96&lt;&gt;"Entry","",IF(Z96="","",IF(X96="Y",SUMPRODUCT(('Rate Lookup'!$A$1:$A$37=Z96)*'Rate Lookup'!$D$1:$D$37),IF(OR(Y96="Individual",Y96="HUF"),SUMPRODUCT(('Rate Lookup'!$A$1:$A$37=Z96)*'Rate Lookup'!$B$1:$B$37),SUMPRODUCT(('Rate Lookup'!$A$1:$A$37=Z96)*'Rate Lookup'!$C$1:$C$37)))))</f>
      </c>
      <c r="AB96" s="30"/>
      <c r="AC96" s="31"/>
      <c r="AD96" s="27">
        <f>IF($B96&lt;&gt;"Entry","",ROUND(AC96*AA96/100,0))</f>
      </c>
      <c r="AE96" s="27">
        <f>IF($B96&lt;&gt;"Entry","",0)</f>
      </c>
      <c r="AF96" s="27">
        <f>IF($B96&lt;&gt;"Entry","",0)</f>
      </c>
      <c r="AG96" s="27">
        <f>IF($B96&lt;&gt;"Entry","",IF(OR(AD96=0,AB96="",AQ96="",AQ96&lt;=0),0,IF(AQ96&lt;=DATE(YEAR(AB96),MONTH(AB96)+1,7),0,ROUND(AD96*0.015*((YEAR(AQ96)-YEAR(AB96))*12+(MONTH(AQ96)-MONTH(AB96))+1),0))))</f>
      </c>
      <c r="AH96" s="27">
        <f>IF($B96&lt;&gt;"Entry","",0)</f>
      </c>
      <c r="AI96" s="28"/>
      <c r="AJ96" s="28"/>
      <c r="AK96" s="32"/>
      <c r="AL96" s="28"/>
      <c r="AM96" s="28"/>
      <c r="AN96" s="27">
        <f>IF($B96&lt;&gt;"Challan","",SUMIF('Q1 Data'!$D$4:$D$207,D96,'Q1 Data'!$AD$4:$AD$207)+SUMIF('Q1 Data'!$D$4:$D$207,D96,'Q1 Data'!$AG$4:$AG$207)+SUMIF('Q1 Data'!$D$4:$D$207,D96,'Q1 Data'!$AE$4:$AE$207)+SUMIF('Q2 Data'!$D$4:$D$207,D96,'Q2 Data'!$AD$4:$AD$207)+SUMIF('Q2 Data'!$D$4:$D$207,D96,'Q2 Data'!$AG$4:$AG$207)+SUMIF('Q2 Data'!$D$4:$D$207,D96,'Q2 Data'!$AE$4:$AE$207)+SUMIF('Q3 Data'!$D$4:$D$207,D96,'Q3 Data'!$AD$4:$AD$207)+SUMIF('Q3 Data'!$D$4:$D$207,D96,'Q3 Data'!$AG$4:$AG$207)+SUMIF('Q3 Data'!$D$4:$D$207,D96,'Q3 Data'!$AE$4:$AE$207)+SUMIF('Q4 Data'!$D$4:$D$207,D96,'Q4 Data'!$AD$4:$AD$207)+SUMIF('Q4 Data'!$D$4:$D$207,D96,'Q4 Data'!$AG$4:$AG$207)+SUMIF('Q4 Data'!$D$4:$D$207,D96,'Q4 Data'!$AE$4:$AE$207))</f>
      </c>
      <c r="AO96" s="27">
        <f>IF($B96&lt;&gt;"Challan","",P96-N96)</f>
      </c>
      <c r="AP96" s="27">
        <f>IF($B96&lt;&gt;"Challan","",MAX(0,AO96-AN96))</f>
      </c>
      <c r="AQ96" s="33">
        <f>IF($B96&lt;&gt;"Entry","",SUMPRODUCT(('Q1 Data'!$D$4:$D$207=D96)*('Q1 Data'!$B$4:$B$207="Challan")*'Q1 Data'!$F$4:$F$207)+SUMPRODUCT(('Q2 Data'!$D$4:$D$207=D96)*('Q2 Data'!$B$4:$B$207="Challan")*'Q2 Data'!$F$4:$F$207)+SUMPRODUCT(('Q3 Data'!$D$4:$D$207=D96)*('Q3 Data'!$B$4:$B$207="Challan")*'Q3 Data'!$F$4:$F$207)+SUMPRODUCT(('Q4 Data'!$D$4:$D$207=D96)*('Q4 Data'!$B$4:$B$207="Challan")*'Q4 Data'!$F$4:$F$207))</f>
      </c>
      <c r="AR96" s="34">
        <f>IF(OR($B96&lt;&gt;"Entry",Z96=""),FALSE,AND((SUMPRODUCT(('Q1 Data'!$D$4:$D$207=D96)*('Q1 Data'!$B$4:$B$207="Challan")*('Q1 Data'!$H$4:$H$207&lt;&gt;""))+SUMPRODUCT(('Q2 Data'!$D$4:$D$207=D96)*('Q2 Data'!$B$4:$B$207="Challan")*('Q2 Data'!$H$4:$H$207&lt;&gt;""))+SUMPRODUCT(('Q3 Data'!$D$4:$D$207=D96)*('Q3 Data'!$B$4:$B$207="Challan")*('Q3 Data'!$H$4:$H$207&lt;&gt;""))+SUMPRODUCT(('Q4 Data'!$D$4:$D$207=D96)*('Q4 Data'!$B$4:$B$207="Challan")*('Q4 Data'!$H$4:$H$207&lt;&gt;"")))&gt;0,(SUMPRODUCT(('Q1 Data'!$D$4:$D$207=D96)*('Q1 Data'!$B$4:$B$207="Challan")*('Q1 Data'!$H$4:$H$207=Z96))+SUMPRODUCT(('Q2 Data'!$D$4:$D$207=D96)*('Q2 Data'!$B$4:$B$207="Challan")*('Q2 Data'!$H$4:$H$207=Z96))+SUMPRODUCT(('Q3 Data'!$D$4:$D$207=D96)*('Q3 Data'!$B$4:$B$207="Challan")*('Q3 Data'!$H$4:$H$207=Z96))+SUMPRODUCT(('Q4 Data'!$D$4:$D$207=D96)*('Q4 Data'!$B$4:$B$207="Challan")*('Q4 Data'!$H$4:$H$207=Z96)))=0))</f>
      </c>
    </row>
    <row r="97" spans="1:44" x14ac:dyDescent="0.25">
      <c r="A97" s="20">
        <f>IF($B97="Entry",COUNTIF($B$4:$B97,"Entry"),"")</f>
      </c>
      <c r="B97" s="21"/>
      <c r="C97" s="22"/>
      <c r="D97" s="22"/>
      <c r="E97" s="23">
        <f>IF($B97&lt;&gt;"Challan","",IF(ROUND(AN97-AO97,2)&gt;0,"Over-applied",IF(ROUND(AN97-AO97,2)=0,"Fully Utilised","Unconsumed")))</f>
      </c>
      <c r="F97" s="24"/>
      <c r="G97" s="25"/>
      <c r="H97" s="25"/>
      <c r="I97" s="26"/>
      <c r="J97" s="26"/>
      <c r="K97" s="26"/>
      <c r="L97" s="26"/>
      <c r="M97" s="26"/>
      <c r="N97" s="26"/>
      <c r="O97" s="26"/>
      <c r="P97" s="27">
        <f>IF($B97&lt;&gt;"Challan","",I97+J97+K97+L97+M97+N97)</f>
      </c>
      <c r="Q97" s="25"/>
      <c r="R97" s="25"/>
      <c r="S97" s="25"/>
      <c r="T97" s="25"/>
      <c r="U97" s="25"/>
      <c r="V97" s="28"/>
      <c r="W97" s="28"/>
      <c r="X97" s="23">
        <f>IF($B97="Entry",IF(AND(LEN(TRIM(UPPER(W97)))=10,CODE(MID(TRIM(UPPER(W97)),1,1))&gt;=65,CODE(MID(TRIM(UPPER(W97)),1,1))&lt;=90,CODE(MID(TRIM(UPPER(W97)),2,1))&gt;=65,CODE(MID(TRIM(UPPER(W97)),2,1))&lt;=90,CODE(MID(TRIM(UPPER(W97)),3,1))&gt;=65,CODE(MID(TRIM(UPPER(W97)),3,1))&lt;=90,CODE(MID(TRIM(UPPER(W97)),4,1))&gt;=65,CODE(MID(TRIM(UPPER(W97)),4,1))&lt;=90,CODE(MID(TRIM(UPPER(W97)),5,1))&gt;=65,CODE(MID(TRIM(UPPER(W97)),5,1))&lt;=90,CODE(MID(TRIM(UPPER(W97)),10,1))&gt;=65,CODE(MID(TRIM(UPPER(W97)),10,1))&lt;=90,CODE(MID(TRIM(UPPER(W97)),6,1))&gt;=48,CODE(MID(TRIM(UPPER(W97)),6,1))&lt;=57,CODE(MID(TRIM(UPPER(W97)),7,1))&gt;=48,CODE(MID(TRIM(UPPER(W97)),7,1))&lt;=57,CODE(MID(TRIM(UPPER(W97)),8,1))&gt;=48,CODE(MID(TRIM(UPPER(W97)),8,1))&lt;=57,CODE(MID(TRIM(UPPER(W97)),9,1))&gt;=48,CODE(MID(TRIM(UPPER(W97)),9,1))&lt;=57),"N","Y"),IF($B97="Challan","",IF(W97&lt;&gt;"","◄ Set Row Type","")))</f>
      </c>
      <c r="Y97" s="23">
        <f>IF($B97="Entry",IF(LEN(W97)&lt;4,"",IF(UPPER(MID(W97,4,1))="P","Individual",IF(UPPER(MID(W97,4,1))="H","HUF",IF(UPPER(MID(W97,4,1))="C","Company",IF(UPPER(MID(W97,4,1))="F","Firm",IF(UPPER(MID(W97,4,1))="L","LLP",IF(UPPER(MID(W97,4,1))="T","Trust",IF(UPPER(MID(W97,4,1))="A","AOP","")))))))),IF($B97="Challan","",IF(W97&lt;&gt;"","◄ Set Row Type","")))</f>
      </c>
      <c r="Z97" s="28"/>
      <c r="AA97" s="29">
        <f>IF($B97&lt;&gt;"Entry","",IF(Z97="","",IF(X97="Y",SUMPRODUCT(('Rate Lookup'!$A$1:$A$37=Z97)*'Rate Lookup'!$D$1:$D$37),IF(OR(Y97="Individual",Y97="HUF"),SUMPRODUCT(('Rate Lookup'!$A$1:$A$37=Z97)*'Rate Lookup'!$B$1:$B$37),SUMPRODUCT(('Rate Lookup'!$A$1:$A$37=Z97)*'Rate Lookup'!$C$1:$C$37)))))</f>
      </c>
      <c r="AB97" s="30"/>
      <c r="AC97" s="31"/>
      <c r="AD97" s="27">
        <f>IF($B97&lt;&gt;"Entry","",ROUND(AC97*AA97/100,0))</f>
      </c>
      <c r="AE97" s="27">
        <f>IF($B97&lt;&gt;"Entry","",0)</f>
      </c>
      <c r="AF97" s="27">
        <f>IF($B97&lt;&gt;"Entry","",0)</f>
      </c>
      <c r="AG97" s="27">
        <f>IF($B97&lt;&gt;"Entry","",IF(OR(AD97=0,AB97="",AQ97="",AQ97&lt;=0),0,IF(AQ97&lt;=DATE(YEAR(AB97),MONTH(AB97)+1,7),0,ROUND(AD97*0.015*((YEAR(AQ97)-YEAR(AB97))*12+(MONTH(AQ97)-MONTH(AB97))+1),0))))</f>
      </c>
      <c r="AH97" s="27">
        <f>IF($B97&lt;&gt;"Entry","",0)</f>
      </c>
      <c r="AI97" s="28"/>
      <c r="AJ97" s="28"/>
      <c r="AK97" s="32"/>
      <c r="AL97" s="28"/>
      <c r="AM97" s="28"/>
      <c r="AN97" s="27">
        <f>IF($B97&lt;&gt;"Challan","",SUMIF('Q1 Data'!$D$4:$D$207,D97,'Q1 Data'!$AD$4:$AD$207)+SUMIF('Q1 Data'!$D$4:$D$207,D97,'Q1 Data'!$AG$4:$AG$207)+SUMIF('Q1 Data'!$D$4:$D$207,D97,'Q1 Data'!$AE$4:$AE$207)+SUMIF('Q2 Data'!$D$4:$D$207,D97,'Q2 Data'!$AD$4:$AD$207)+SUMIF('Q2 Data'!$D$4:$D$207,D97,'Q2 Data'!$AG$4:$AG$207)+SUMIF('Q2 Data'!$D$4:$D$207,D97,'Q2 Data'!$AE$4:$AE$207)+SUMIF('Q3 Data'!$D$4:$D$207,D97,'Q3 Data'!$AD$4:$AD$207)+SUMIF('Q3 Data'!$D$4:$D$207,D97,'Q3 Data'!$AG$4:$AG$207)+SUMIF('Q3 Data'!$D$4:$D$207,D97,'Q3 Data'!$AE$4:$AE$207)+SUMIF('Q4 Data'!$D$4:$D$207,D97,'Q4 Data'!$AD$4:$AD$207)+SUMIF('Q4 Data'!$D$4:$D$207,D97,'Q4 Data'!$AG$4:$AG$207)+SUMIF('Q4 Data'!$D$4:$D$207,D97,'Q4 Data'!$AE$4:$AE$207))</f>
      </c>
      <c r="AO97" s="27">
        <f>IF($B97&lt;&gt;"Challan","",P97-N97)</f>
      </c>
      <c r="AP97" s="27">
        <f>IF($B97&lt;&gt;"Challan","",MAX(0,AO97-AN97))</f>
      </c>
      <c r="AQ97" s="33">
        <f>IF($B97&lt;&gt;"Entry","",SUMPRODUCT(('Q1 Data'!$D$4:$D$207=D97)*('Q1 Data'!$B$4:$B$207="Challan")*'Q1 Data'!$F$4:$F$207)+SUMPRODUCT(('Q2 Data'!$D$4:$D$207=D97)*('Q2 Data'!$B$4:$B$207="Challan")*'Q2 Data'!$F$4:$F$207)+SUMPRODUCT(('Q3 Data'!$D$4:$D$207=D97)*('Q3 Data'!$B$4:$B$207="Challan")*'Q3 Data'!$F$4:$F$207)+SUMPRODUCT(('Q4 Data'!$D$4:$D$207=D97)*('Q4 Data'!$B$4:$B$207="Challan")*'Q4 Data'!$F$4:$F$207))</f>
      </c>
      <c r="AR97" s="34">
        <f>IF(OR($B97&lt;&gt;"Entry",Z97=""),FALSE,AND((SUMPRODUCT(('Q1 Data'!$D$4:$D$207=D97)*('Q1 Data'!$B$4:$B$207="Challan")*('Q1 Data'!$H$4:$H$207&lt;&gt;""))+SUMPRODUCT(('Q2 Data'!$D$4:$D$207=D97)*('Q2 Data'!$B$4:$B$207="Challan")*('Q2 Data'!$H$4:$H$207&lt;&gt;""))+SUMPRODUCT(('Q3 Data'!$D$4:$D$207=D97)*('Q3 Data'!$B$4:$B$207="Challan")*('Q3 Data'!$H$4:$H$207&lt;&gt;""))+SUMPRODUCT(('Q4 Data'!$D$4:$D$207=D97)*('Q4 Data'!$B$4:$B$207="Challan")*('Q4 Data'!$H$4:$H$207&lt;&gt;"")))&gt;0,(SUMPRODUCT(('Q1 Data'!$D$4:$D$207=D97)*('Q1 Data'!$B$4:$B$207="Challan")*('Q1 Data'!$H$4:$H$207=Z97))+SUMPRODUCT(('Q2 Data'!$D$4:$D$207=D97)*('Q2 Data'!$B$4:$B$207="Challan")*('Q2 Data'!$H$4:$H$207=Z97))+SUMPRODUCT(('Q3 Data'!$D$4:$D$207=D97)*('Q3 Data'!$B$4:$B$207="Challan")*('Q3 Data'!$H$4:$H$207=Z97))+SUMPRODUCT(('Q4 Data'!$D$4:$D$207=D97)*('Q4 Data'!$B$4:$B$207="Challan")*('Q4 Data'!$H$4:$H$207=Z97)))=0))</f>
      </c>
    </row>
    <row r="98" spans="1:44" x14ac:dyDescent="0.25">
      <c r="A98" s="20">
        <f>IF($B98="Entry",COUNTIF($B$4:$B98,"Entry"),"")</f>
      </c>
      <c r="B98" s="21"/>
      <c r="C98" s="22"/>
      <c r="D98" s="22"/>
      <c r="E98" s="23">
        <f>IF($B98&lt;&gt;"Challan","",IF(ROUND(AN98-AO98,2)&gt;0,"Over-applied",IF(ROUND(AN98-AO98,2)=0,"Fully Utilised","Unconsumed")))</f>
      </c>
      <c r="F98" s="24"/>
      <c r="G98" s="25"/>
      <c r="H98" s="25"/>
      <c r="I98" s="26"/>
      <c r="J98" s="26"/>
      <c r="K98" s="26"/>
      <c r="L98" s="26"/>
      <c r="M98" s="26"/>
      <c r="N98" s="26"/>
      <c r="O98" s="26"/>
      <c r="P98" s="27">
        <f>IF($B98&lt;&gt;"Challan","",I98+J98+K98+L98+M98+N98)</f>
      </c>
      <c r="Q98" s="25"/>
      <c r="R98" s="25"/>
      <c r="S98" s="25"/>
      <c r="T98" s="25"/>
      <c r="U98" s="25"/>
      <c r="V98" s="28"/>
      <c r="W98" s="28"/>
      <c r="X98" s="23">
        <f>IF($B98="Entry",IF(AND(LEN(TRIM(UPPER(W98)))=10,CODE(MID(TRIM(UPPER(W98)),1,1))&gt;=65,CODE(MID(TRIM(UPPER(W98)),1,1))&lt;=90,CODE(MID(TRIM(UPPER(W98)),2,1))&gt;=65,CODE(MID(TRIM(UPPER(W98)),2,1))&lt;=90,CODE(MID(TRIM(UPPER(W98)),3,1))&gt;=65,CODE(MID(TRIM(UPPER(W98)),3,1))&lt;=90,CODE(MID(TRIM(UPPER(W98)),4,1))&gt;=65,CODE(MID(TRIM(UPPER(W98)),4,1))&lt;=90,CODE(MID(TRIM(UPPER(W98)),5,1))&gt;=65,CODE(MID(TRIM(UPPER(W98)),5,1))&lt;=90,CODE(MID(TRIM(UPPER(W98)),10,1))&gt;=65,CODE(MID(TRIM(UPPER(W98)),10,1))&lt;=90,CODE(MID(TRIM(UPPER(W98)),6,1))&gt;=48,CODE(MID(TRIM(UPPER(W98)),6,1))&lt;=57,CODE(MID(TRIM(UPPER(W98)),7,1))&gt;=48,CODE(MID(TRIM(UPPER(W98)),7,1))&lt;=57,CODE(MID(TRIM(UPPER(W98)),8,1))&gt;=48,CODE(MID(TRIM(UPPER(W98)),8,1))&lt;=57,CODE(MID(TRIM(UPPER(W98)),9,1))&gt;=48,CODE(MID(TRIM(UPPER(W98)),9,1))&lt;=57),"N","Y"),IF($B98="Challan","",IF(W98&lt;&gt;"","◄ Set Row Type","")))</f>
      </c>
      <c r="Y98" s="23">
        <f>IF($B98="Entry",IF(LEN(W98)&lt;4,"",IF(UPPER(MID(W98,4,1))="P","Individual",IF(UPPER(MID(W98,4,1))="H","HUF",IF(UPPER(MID(W98,4,1))="C","Company",IF(UPPER(MID(W98,4,1))="F","Firm",IF(UPPER(MID(W98,4,1))="L","LLP",IF(UPPER(MID(W98,4,1))="T","Trust",IF(UPPER(MID(W98,4,1))="A","AOP","")))))))),IF($B98="Challan","",IF(W98&lt;&gt;"","◄ Set Row Type","")))</f>
      </c>
      <c r="Z98" s="28"/>
      <c r="AA98" s="29">
        <f>IF($B98&lt;&gt;"Entry","",IF(Z98="","",IF(X98="Y",SUMPRODUCT(('Rate Lookup'!$A$1:$A$37=Z98)*'Rate Lookup'!$D$1:$D$37),IF(OR(Y98="Individual",Y98="HUF"),SUMPRODUCT(('Rate Lookup'!$A$1:$A$37=Z98)*'Rate Lookup'!$B$1:$B$37),SUMPRODUCT(('Rate Lookup'!$A$1:$A$37=Z98)*'Rate Lookup'!$C$1:$C$37)))))</f>
      </c>
      <c r="AB98" s="30"/>
      <c r="AC98" s="31"/>
      <c r="AD98" s="27">
        <f>IF($B98&lt;&gt;"Entry","",ROUND(AC98*AA98/100,0))</f>
      </c>
      <c r="AE98" s="27">
        <f>IF($B98&lt;&gt;"Entry","",0)</f>
      </c>
      <c r="AF98" s="27">
        <f>IF($B98&lt;&gt;"Entry","",0)</f>
      </c>
      <c r="AG98" s="27">
        <f>IF($B98&lt;&gt;"Entry","",IF(OR(AD98=0,AB98="",AQ98="",AQ98&lt;=0),0,IF(AQ98&lt;=DATE(YEAR(AB98),MONTH(AB98)+1,7),0,ROUND(AD98*0.015*((YEAR(AQ98)-YEAR(AB98))*12+(MONTH(AQ98)-MONTH(AB98))+1),0))))</f>
      </c>
      <c r="AH98" s="27">
        <f>IF($B98&lt;&gt;"Entry","",0)</f>
      </c>
      <c r="AI98" s="28"/>
      <c r="AJ98" s="28"/>
      <c r="AK98" s="32"/>
      <c r="AL98" s="28"/>
      <c r="AM98" s="28"/>
      <c r="AN98" s="27">
        <f>IF($B98&lt;&gt;"Challan","",SUMIF('Q1 Data'!$D$4:$D$207,D98,'Q1 Data'!$AD$4:$AD$207)+SUMIF('Q1 Data'!$D$4:$D$207,D98,'Q1 Data'!$AG$4:$AG$207)+SUMIF('Q1 Data'!$D$4:$D$207,D98,'Q1 Data'!$AE$4:$AE$207)+SUMIF('Q2 Data'!$D$4:$D$207,D98,'Q2 Data'!$AD$4:$AD$207)+SUMIF('Q2 Data'!$D$4:$D$207,D98,'Q2 Data'!$AG$4:$AG$207)+SUMIF('Q2 Data'!$D$4:$D$207,D98,'Q2 Data'!$AE$4:$AE$207)+SUMIF('Q3 Data'!$D$4:$D$207,D98,'Q3 Data'!$AD$4:$AD$207)+SUMIF('Q3 Data'!$D$4:$D$207,D98,'Q3 Data'!$AG$4:$AG$207)+SUMIF('Q3 Data'!$D$4:$D$207,D98,'Q3 Data'!$AE$4:$AE$207)+SUMIF('Q4 Data'!$D$4:$D$207,D98,'Q4 Data'!$AD$4:$AD$207)+SUMIF('Q4 Data'!$D$4:$D$207,D98,'Q4 Data'!$AG$4:$AG$207)+SUMIF('Q4 Data'!$D$4:$D$207,D98,'Q4 Data'!$AE$4:$AE$207))</f>
      </c>
      <c r="AO98" s="27">
        <f>IF($B98&lt;&gt;"Challan","",P98-N98)</f>
      </c>
      <c r="AP98" s="27">
        <f>IF($B98&lt;&gt;"Challan","",MAX(0,AO98-AN98))</f>
      </c>
      <c r="AQ98" s="33">
        <f>IF($B98&lt;&gt;"Entry","",SUMPRODUCT(('Q1 Data'!$D$4:$D$207=D98)*('Q1 Data'!$B$4:$B$207="Challan")*'Q1 Data'!$F$4:$F$207)+SUMPRODUCT(('Q2 Data'!$D$4:$D$207=D98)*('Q2 Data'!$B$4:$B$207="Challan")*'Q2 Data'!$F$4:$F$207)+SUMPRODUCT(('Q3 Data'!$D$4:$D$207=D98)*('Q3 Data'!$B$4:$B$207="Challan")*'Q3 Data'!$F$4:$F$207)+SUMPRODUCT(('Q4 Data'!$D$4:$D$207=D98)*('Q4 Data'!$B$4:$B$207="Challan")*'Q4 Data'!$F$4:$F$207))</f>
      </c>
      <c r="AR98" s="34">
        <f>IF(OR($B98&lt;&gt;"Entry",Z98=""),FALSE,AND((SUMPRODUCT(('Q1 Data'!$D$4:$D$207=D98)*('Q1 Data'!$B$4:$B$207="Challan")*('Q1 Data'!$H$4:$H$207&lt;&gt;""))+SUMPRODUCT(('Q2 Data'!$D$4:$D$207=D98)*('Q2 Data'!$B$4:$B$207="Challan")*('Q2 Data'!$H$4:$H$207&lt;&gt;""))+SUMPRODUCT(('Q3 Data'!$D$4:$D$207=D98)*('Q3 Data'!$B$4:$B$207="Challan")*('Q3 Data'!$H$4:$H$207&lt;&gt;""))+SUMPRODUCT(('Q4 Data'!$D$4:$D$207=D98)*('Q4 Data'!$B$4:$B$207="Challan")*('Q4 Data'!$H$4:$H$207&lt;&gt;"")))&gt;0,(SUMPRODUCT(('Q1 Data'!$D$4:$D$207=D98)*('Q1 Data'!$B$4:$B$207="Challan")*('Q1 Data'!$H$4:$H$207=Z98))+SUMPRODUCT(('Q2 Data'!$D$4:$D$207=D98)*('Q2 Data'!$B$4:$B$207="Challan")*('Q2 Data'!$H$4:$H$207=Z98))+SUMPRODUCT(('Q3 Data'!$D$4:$D$207=D98)*('Q3 Data'!$B$4:$B$207="Challan")*('Q3 Data'!$H$4:$H$207=Z98))+SUMPRODUCT(('Q4 Data'!$D$4:$D$207=D98)*('Q4 Data'!$B$4:$B$207="Challan")*('Q4 Data'!$H$4:$H$207=Z98)))=0))</f>
      </c>
    </row>
    <row r="99" spans="1:44" x14ac:dyDescent="0.25">
      <c r="A99" s="20">
        <f>IF($B99="Entry",COUNTIF($B$4:$B99,"Entry"),"")</f>
      </c>
      <c r="B99" s="21"/>
      <c r="C99" s="22"/>
      <c r="D99" s="22"/>
      <c r="E99" s="23">
        <f>IF($B99&lt;&gt;"Challan","",IF(ROUND(AN99-AO99,2)&gt;0,"Over-applied",IF(ROUND(AN99-AO99,2)=0,"Fully Utilised","Unconsumed")))</f>
      </c>
      <c r="F99" s="24"/>
      <c r="G99" s="25"/>
      <c r="H99" s="25"/>
      <c r="I99" s="26"/>
      <c r="J99" s="26"/>
      <c r="K99" s="26"/>
      <c r="L99" s="26"/>
      <c r="M99" s="26"/>
      <c r="N99" s="26"/>
      <c r="O99" s="26"/>
      <c r="P99" s="27">
        <f>IF($B99&lt;&gt;"Challan","",I99+J99+K99+L99+M99+N99)</f>
      </c>
      <c r="Q99" s="25"/>
      <c r="R99" s="25"/>
      <c r="S99" s="25"/>
      <c r="T99" s="25"/>
      <c r="U99" s="25"/>
      <c r="V99" s="28"/>
      <c r="W99" s="28"/>
      <c r="X99" s="23">
        <f>IF($B99="Entry",IF(AND(LEN(TRIM(UPPER(W99)))=10,CODE(MID(TRIM(UPPER(W99)),1,1))&gt;=65,CODE(MID(TRIM(UPPER(W99)),1,1))&lt;=90,CODE(MID(TRIM(UPPER(W99)),2,1))&gt;=65,CODE(MID(TRIM(UPPER(W99)),2,1))&lt;=90,CODE(MID(TRIM(UPPER(W99)),3,1))&gt;=65,CODE(MID(TRIM(UPPER(W99)),3,1))&lt;=90,CODE(MID(TRIM(UPPER(W99)),4,1))&gt;=65,CODE(MID(TRIM(UPPER(W99)),4,1))&lt;=90,CODE(MID(TRIM(UPPER(W99)),5,1))&gt;=65,CODE(MID(TRIM(UPPER(W99)),5,1))&lt;=90,CODE(MID(TRIM(UPPER(W99)),10,1))&gt;=65,CODE(MID(TRIM(UPPER(W99)),10,1))&lt;=90,CODE(MID(TRIM(UPPER(W99)),6,1))&gt;=48,CODE(MID(TRIM(UPPER(W99)),6,1))&lt;=57,CODE(MID(TRIM(UPPER(W99)),7,1))&gt;=48,CODE(MID(TRIM(UPPER(W99)),7,1))&lt;=57,CODE(MID(TRIM(UPPER(W99)),8,1))&gt;=48,CODE(MID(TRIM(UPPER(W99)),8,1))&lt;=57,CODE(MID(TRIM(UPPER(W99)),9,1))&gt;=48,CODE(MID(TRIM(UPPER(W99)),9,1))&lt;=57),"N","Y"),IF($B99="Challan","",IF(W99&lt;&gt;"","◄ Set Row Type","")))</f>
      </c>
      <c r="Y99" s="23">
        <f>IF($B99="Entry",IF(LEN(W99)&lt;4,"",IF(UPPER(MID(W99,4,1))="P","Individual",IF(UPPER(MID(W99,4,1))="H","HUF",IF(UPPER(MID(W99,4,1))="C","Company",IF(UPPER(MID(W99,4,1))="F","Firm",IF(UPPER(MID(W99,4,1))="L","LLP",IF(UPPER(MID(W99,4,1))="T","Trust",IF(UPPER(MID(W99,4,1))="A","AOP","")))))))),IF($B99="Challan","",IF(W99&lt;&gt;"","◄ Set Row Type","")))</f>
      </c>
      <c r="Z99" s="28"/>
      <c r="AA99" s="29">
        <f>IF($B99&lt;&gt;"Entry","",IF(Z99="","",IF(X99="Y",SUMPRODUCT(('Rate Lookup'!$A$1:$A$37=Z99)*'Rate Lookup'!$D$1:$D$37),IF(OR(Y99="Individual",Y99="HUF"),SUMPRODUCT(('Rate Lookup'!$A$1:$A$37=Z99)*'Rate Lookup'!$B$1:$B$37),SUMPRODUCT(('Rate Lookup'!$A$1:$A$37=Z99)*'Rate Lookup'!$C$1:$C$37)))))</f>
      </c>
      <c r="AB99" s="30"/>
      <c r="AC99" s="31"/>
      <c r="AD99" s="27">
        <f>IF($B99&lt;&gt;"Entry","",ROUND(AC99*AA99/100,0))</f>
      </c>
      <c r="AE99" s="27">
        <f>IF($B99&lt;&gt;"Entry","",0)</f>
      </c>
      <c r="AF99" s="27">
        <f>IF($B99&lt;&gt;"Entry","",0)</f>
      </c>
      <c r="AG99" s="27">
        <f>IF($B99&lt;&gt;"Entry","",IF(OR(AD99=0,AB99="",AQ99="",AQ99&lt;=0),0,IF(AQ99&lt;=DATE(YEAR(AB99),MONTH(AB99)+1,7),0,ROUND(AD99*0.015*((YEAR(AQ99)-YEAR(AB99))*12+(MONTH(AQ99)-MONTH(AB99))+1),0))))</f>
      </c>
      <c r="AH99" s="27">
        <f>IF($B99&lt;&gt;"Entry","",0)</f>
      </c>
      <c r="AI99" s="28"/>
      <c r="AJ99" s="28"/>
      <c r="AK99" s="32"/>
      <c r="AL99" s="28"/>
      <c r="AM99" s="28"/>
      <c r="AN99" s="27">
        <f>IF($B99&lt;&gt;"Challan","",SUMIF('Q1 Data'!$D$4:$D$207,D99,'Q1 Data'!$AD$4:$AD$207)+SUMIF('Q1 Data'!$D$4:$D$207,D99,'Q1 Data'!$AG$4:$AG$207)+SUMIF('Q1 Data'!$D$4:$D$207,D99,'Q1 Data'!$AE$4:$AE$207)+SUMIF('Q2 Data'!$D$4:$D$207,D99,'Q2 Data'!$AD$4:$AD$207)+SUMIF('Q2 Data'!$D$4:$D$207,D99,'Q2 Data'!$AG$4:$AG$207)+SUMIF('Q2 Data'!$D$4:$D$207,D99,'Q2 Data'!$AE$4:$AE$207)+SUMIF('Q3 Data'!$D$4:$D$207,D99,'Q3 Data'!$AD$4:$AD$207)+SUMIF('Q3 Data'!$D$4:$D$207,D99,'Q3 Data'!$AG$4:$AG$207)+SUMIF('Q3 Data'!$D$4:$D$207,D99,'Q3 Data'!$AE$4:$AE$207)+SUMIF('Q4 Data'!$D$4:$D$207,D99,'Q4 Data'!$AD$4:$AD$207)+SUMIF('Q4 Data'!$D$4:$D$207,D99,'Q4 Data'!$AG$4:$AG$207)+SUMIF('Q4 Data'!$D$4:$D$207,D99,'Q4 Data'!$AE$4:$AE$207))</f>
      </c>
      <c r="AO99" s="27">
        <f>IF($B99&lt;&gt;"Challan","",P99-N99)</f>
      </c>
      <c r="AP99" s="27">
        <f>IF($B99&lt;&gt;"Challan","",MAX(0,AO99-AN99))</f>
      </c>
      <c r="AQ99" s="33">
        <f>IF($B99&lt;&gt;"Entry","",SUMPRODUCT(('Q1 Data'!$D$4:$D$207=D99)*('Q1 Data'!$B$4:$B$207="Challan")*'Q1 Data'!$F$4:$F$207)+SUMPRODUCT(('Q2 Data'!$D$4:$D$207=D99)*('Q2 Data'!$B$4:$B$207="Challan")*'Q2 Data'!$F$4:$F$207)+SUMPRODUCT(('Q3 Data'!$D$4:$D$207=D99)*('Q3 Data'!$B$4:$B$207="Challan")*'Q3 Data'!$F$4:$F$207)+SUMPRODUCT(('Q4 Data'!$D$4:$D$207=D99)*('Q4 Data'!$B$4:$B$207="Challan")*'Q4 Data'!$F$4:$F$207))</f>
      </c>
      <c r="AR99" s="34">
        <f>IF(OR($B99&lt;&gt;"Entry",Z99=""),FALSE,AND((SUMPRODUCT(('Q1 Data'!$D$4:$D$207=D99)*('Q1 Data'!$B$4:$B$207="Challan")*('Q1 Data'!$H$4:$H$207&lt;&gt;""))+SUMPRODUCT(('Q2 Data'!$D$4:$D$207=D99)*('Q2 Data'!$B$4:$B$207="Challan")*('Q2 Data'!$H$4:$H$207&lt;&gt;""))+SUMPRODUCT(('Q3 Data'!$D$4:$D$207=D99)*('Q3 Data'!$B$4:$B$207="Challan")*('Q3 Data'!$H$4:$H$207&lt;&gt;""))+SUMPRODUCT(('Q4 Data'!$D$4:$D$207=D99)*('Q4 Data'!$B$4:$B$207="Challan")*('Q4 Data'!$H$4:$H$207&lt;&gt;"")))&gt;0,(SUMPRODUCT(('Q1 Data'!$D$4:$D$207=D99)*('Q1 Data'!$B$4:$B$207="Challan")*('Q1 Data'!$H$4:$H$207=Z99))+SUMPRODUCT(('Q2 Data'!$D$4:$D$207=D99)*('Q2 Data'!$B$4:$B$207="Challan")*('Q2 Data'!$H$4:$H$207=Z99))+SUMPRODUCT(('Q3 Data'!$D$4:$D$207=D99)*('Q3 Data'!$B$4:$B$207="Challan")*('Q3 Data'!$H$4:$H$207=Z99))+SUMPRODUCT(('Q4 Data'!$D$4:$D$207=D99)*('Q4 Data'!$B$4:$B$207="Challan")*('Q4 Data'!$H$4:$H$207=Z99)))=0))</f>
      </c>
    </row>
    <row r="100" spans="1:44" x14ac:dyDescent="0.25">
      <c r="A100" s="20">
        <f>IF($B100="Entry",COUNTIF($B$4:$B100,"Entry"),"")</f>
      </c>
      <c r="B100" s="21"/>
      <c r="C100" s="22"/>
      <c r="D100" s="22"/>
      <c r="E100" s="23">
        <f>IF($B100&lt;&gt;"Challan","",IF(ROUND(AN100-AO100,2)&gt;0,"Over-applied",IF(ROUND(AN100-AO100,2)=0,"Fully Utilised","Unconsumed")))</f>
      </c>
      <c r="F100" s="24"/>
      <c r="G100" s="25"/>
      <c r="H100" s="25"/>
      <c r="I100" s="26"/>
      <c r="J100" s="26"/>
      <c r="K100" s="26"/>
      <c r="L100" s="26"/>
      <c r="M100" s="26"/>
      <c r="N100" s="26"/>
      <c r="O100" s="26"/>
      <c r="P100" s="27">
        <f>IF($B100&lt;&gt;"Challan","",I100+J100+K100+L100+M100+N100)</f>
      </c>
      <c r="Q100" s="25"/>
      <c r="R100" s="25"/>
      <c r="S100" s="25"/>
      <c r="T100" s="25"/>
      <c r="U100" s="25"/>
      <c r="V100" s="28"/>
      <c r="W100" s="28"/>
      <c r="X100" s="23">
        <f>IF($B100="Entry",IF(AND(LEN(TRIM(UPPER(W100)))=10,CODE(MID(TRIM(UPPER(W100)),1,1))&gt;=65,CODE(MID(TRIM(UPPER(W100)),1,1))&lt;=90,CODE(MID(TRIM(UPPER(W100)),2,1))&gt;=65,CODE(MID(TRIM(UPPER(W100)),2,1))&lt;=90,CODE(MID(TRIM(UPPER(W100)),3,1))&gt;=65,CODE(MID(TRIM(UPPER(W100)),3,1))&lt;=90,CODE(MID(TRIM(UPPER(W100)),4,1))&gt;=65,CODE(MID(TRIM(UPPER(W100)),4,1))&lt;=90,CODE(MID(TRIM(UPPER(W100)),5,1))&gt;=65,CODE(MID(TRIM(UPPER(W100)),5,1))&lt;=90,CODE(MID(TRIM(UPPER(W100)),10,1))&gt;=65,CODE(MID(TRIM(UPPER(W100)),10,1))&lt;=90,CODE(MID(TRIM(UPPER(W100)),6,1))&gt;=48,CODE(MID(TRIM(UPPER(W100)),6,1))&lt;=57,CODE(MID(TRIM(UPPER(W100)),7,1))&gt;=48,CODE(MID(TRIM(UPPER(W100)),7,1))&lt;=57,CODE(MID(TRIM(UPPER(W100)),8,1))&gt;=48,CODE(MID(TRIM(UPPER(W100)),8,1))&lt;=57,CODE(MID(TRIM(UPPER(W100)),9,1))&gt;=48,CODE(MID(TRIM(UPPER(W100)),9,1))&lt;=57),"N","Y"),IF($B100="Challan","",IF(W100&lt;&gt;"","◄ Set Row Type","")))</f>
      </c>
      <c r="Y100" s="23">
        <f>IF($B100="Entry",IF(LEN(W100)&lt;4,"",IF(UPPER(MID(W100,4,1))="P","Individual",IF(UPPER(MID(W100,4,1))="H","HUF",IF(UPPER(MID(W100,4,1))="C","Company",IF(UPPER(MID(W100,4,1))="F","Firm",IF(UPPER(MID(W100,4,1))="L","LLP",IF(UPPER(MID(W100,4,1))="T","Trust",IF(UPPER(MID(W100,4,1))="A","AOP","")))))))),IF($B100="Challan","",IF(W100&lt;&gt;"","◄ Set Row Type","")))</f>
      </c>
      <c r="Z100" s="28"/>
      <c r="AA100" s="29">
        <f>IF($B100&lt;&gt;"Entry","",IF(Z100="","",IF(X100="Y",SUMPRODUCT(('Rate Lookup'!$A$1:$A$37=Z100)*'Rate Lookup'!$D$1:$D$37),IF(OR(Y100="Individual",Y100="HUF"),SUMPRODUCT(('Rate Lookup'!$A$1:$A$37=Z100)*'Rate Lookup'!$B$1:$B$37),SUMPRODUCT(('Rate Lookup'!$A$1:$A$37=Z100)*'Rate Lookup'!$C$1:$C$37)))))</f>
      </c>
      <c r="AB100" s="30"/>
      <c r="AC100" s="31"/>
      <c r="AD100" s="27">
        <f>IF($B100&lt;&gt;"Entry","",ROUND(AC100*AA100/100,0))</f>
      </c>
      <c r="AE100" s="27">
        <f>IF($B100&lt;&gt;"Entry","",0)</f>
      </c>
      <c r="AF100" s="27">
        <f>IF($B100&lt;&gt;"Entry","",0)</f>
      </c>
      <c r="AG100" s="27">
        <f>IF($B100&lt;&gt;"Entry","",IF(OR(AD100=0,AB100="",AQ100="",AQ100&lt;=0),0,IF(AQ100&lt;=DATE(YEAR(AB100),MONTH(AB100)+1,7),0,ROUND(AD100*0.015*((YEAR(AQ100)-YEAR(AB100))*12+(MONTH(AQ100)-MONTH(AB100))+1),0))))</f>
      </c>
      <c r="AH100" s="27">
        <f>IF($B100&lt;&gt;"Entry","",0)</f>
      </c>
      <c r="AI100" s="28"/>
      <c r="AJ100" s="28"/>
      <c r="AK100" s="32"/>
      <c r="AL100" s="28"/>
      <c r="AM100" s="28"/>
      <c r="AN100" s="27">
        <f>IF($B100&lt;&gt;"Challan","",SUMIF('Q1 Data'!$D$4:$D$207,D100,'Q1 Data'!$AD$4:$AD$207)+SUMIF('Q1 Data'!$D$4:$D$207,D100,'Q1 Data'!$AG$4:$AG$207)+SUMIF('Q1 Data'!$D$4:$D$207,D100,'Q1 Data'!$AE$4:$AE$207)+SUMIF('Q2 Data'!$D$4:$D$207,D100,'Q2 Data'!$AD$4:$AD$207)+SUMIF('Q2 Data'!$D$4:$D$207,D100,'Q2 Data'!$AG$4:$AG$207)+SUMIF('Q2 Data'!$D$4:$D$207,D100,'Q2 Data'!$AE$4:$AE$207)+SUMIF('Q3 Data'!$D$4:$D$207,D100,'Q3 Data'!$AD$4:$AD$207)+SUMIF('Q3 Data'!$D$4:$D$207,D100,'Q3 Data'!$AG$4:$AG$207)+SUMIF('Q3 Data'!$D$4:$D$207,D100,'Q3 Data'!$AE$4:$AE$207)+SUMIF('Q4 Data'!$D$4:$D$207,D100,'Q4 Data'!$AD$4:$AD$207)+SUMIF('Q4 Data'!$D$4:$D$207,D100,'Q4 Data'!$AG$4:$AG$207)+SUMIF('Q4 Data'!$D$4:$D$207,D100,'Q4 Data'!$AE$4:$AE$207))</f>
      </c>
      <c r="AO100" s="27">
        <f>IF($B100&lt;&gt;"Challan","",P100-N100)</f>
      </c>
      <c r="AP100" s="27">
        <f>IF($B100&lt;&gt;"Challan","",MAX(0,AO100-AN100))</f>
      </c>
      <c r="AQ100" s="33">
        <f>IF($B100&lt;&gt;"Entry","",SUMPRODUCT(('Q1 Data'!$D$4:$D$207=D100)*('Q1 Data'!$B$4:$B$207="Challan")*'Q1 Data'!$F$4:$F$207)+SUMPRODUCT(('Q2 Data'!$D$4:$D$207=D100)*('Q2 Data'!$B$4:$B$207="Challan")*'Q2 Data'!$F$4:$F$207)+SUMPRODUCT(('Q3 Data'!$D$4:$D$207=D100)*('Q3 Data'!$B$4:$B$207="Challan")*'Q3 Data'!$F$4:$F$207)+SUMPRODUCT(('Q4 Data'!$D$4:$D$207=D100)*('Q4 Data'!$B$4:$B$207="Challan")*'Q4 Data'!$F$4:$F$207))</f>
      </c>
      <c r="AR100" s="34">
        <f>IF(OR($B100&lt;&gt;"Entry",Z100=""),FALSE,AND((SUMPRODUCT(('Q1 Data'!$D$4:$D$207=D100)*('Q1 Data'!$B$4:$B$207="Challan")*('Q1 Data'!$H$4:$H$207&lt;&gt;""))+SUMPRODUCT(('Q2 Data'!$D$4:$D$207=D100)*('Q2 Data'!$B$4:$B$207="Challan")*('Q2 Data'!$H$4:$H$207&lt;&gt;""))+SUMPRODUCT(('Q3 Data'!$D$4:$D$207=D100)*('Q3 Data'!$B$4:$B$207="Challan")*('Q3 Data'!$H$4:$H$207&lt;&gt;""))+SUMPRODUCT(('Q4 Data'!$D$4:$D$207=D100)*('Q4 Data'!$B$4:$B$207="Challan")*('Q4 Data'!$H$4:$H$207&lt;&gt;"")))&gt;0,(SUMPRODUCT(('Q1 Data'!$D$4:$D$207=D100)*('Q1 Data'!$B$4:$B$207="Challan")*('Q1 Data'!$H$4:$H$207=Z100))+SUMPRODUCT(('Q2 Data'!$D$4:$D$207=D100)*('Q2 Data'!$B$4:$B$207="Challan")*('Q2 Data'!$H$4:$H$207=Z100))+SUMPRODUCT(('Q3 Data'!$D$4:$D$207=D100)*('Q3 Data'!$B$4:$B$207="Challan")*('Q3 Data'!$H$4:$H$207=Z100))+SUMPRODUCT(('Q4 Data'!$D$4:$D$207=D100)*('Q4 Data'!$B$4:$B$207="Challan")*('Q4 Data'!$H$4:$H$207=Z100)))=0))</f>
      </c>
    </row>
    <row r="101" spans="1:44" x14ac:dyDescent="0.25">
      <c r="A101" s="20">
        <f>IF($B101="Entry",COUNTIF($B$4:$B101,"Entry"),"")</f>
      </c>
      <c r="B101" s="21"/>
      <c r="C101" s="22"/>
      <c r="D101" s="22"/>
      <c r="E101" s="23">
        <f>IF($B101&lt;&gt;"Challan","",IF(ROUND(AN101-AO101,2)&gt;0,"Over-applied",IF(ROUND(AN101-AO101,2)=0,"Fully Utilised","Unconsumed")))</f>
      </c>
      <c r="F101" s="24"/>
      <c r="G101" s="25"/>
      <c r="H101" s="25"/>
      <c r="I101" s="26"/>
      <c r="J101" s="26"/>
      <c r="K101" s="26"/>
      <c r="L101" s="26"/>
      <c r="M101" s="26"/>
      <c r="N101" s="26"/>
      <c r="O101" s="26"/>
      <c r="P101" s="27">
        <f>IF($B101&lt;&gt;"Challan","",I101+J101+K101+L101+M101+N101)</f>
      </c>
      <c r="Q101" s="25"/>
      <c r="R101" s="25"/>
      <c r="S101" s="25"/>
      <c r="T101" s="25"/>
      <c r="U101" s="25"/>
      <c r="V101" s="28"/>
      <c r="W101" s="28"/>
      <c r="X101" s="23">
        <f>IF($B101="Entry",IF(AND(LEN(TRIM(UPPER(W101)))=10,CODE(MID(TRIM(UPPER(W101)),1,1))&gt;=65,CODE(MID(TRIM(UPPER(W101)),1,1))&lt;=90,CODE(MID(TRIM(UPPER(W101)),2,1))&gt;=65,CODE(MID(TRIM(UPPER(W101)),2,1))&lt;=90,CODE(MID(TRIM(UPPER(W101)),3,1))&gt;=65,CODE(MID(TRIM(UPPER(W101)),3,1))&lt;=90,CODE(MID(TRIM(UPPER(W101)),4,1))&gt;=65,CODE(MID(TRIM(UPPER(W101)),4,1))&lt;=90,CODE(MID(TRIM(UPPER(W101)),5,1))&gt;=65,CODE(MID(TRIM(UPPER(W101)),5,1))&lt;=90,CODE(MID(TRIM(UPPER(W101)),10,1))&gt;=65,CODE(MID(TRIM(UPPER(W101)),10,1))&lt;=90,CODE(MID(TRIM(UPPER(W101)),6,1))&gt;=48,CODE(MID(TRIM(UPPER(W101)),6,1))&lt;=57,CODE(MID(TRIM(UPPER(W101)),7,1))&gt;=48,CODE(MID(TRIM(UPPER(W101)),7,1))&lt;=57,CODE(MID(TRIM(UPPER(W101)),8,1))&gt;=48,CODE(MID(TRIM(UPPER(W101)),8,1))&lt;=57,CODE(MID(TRIM(UPPER(W101)),9,1))&gt;=48,CODE(MID(TRIM(UPPER(W101)),9,1))&lt;=57),"N","Y"),IF($B101="Challan","",IF(W101&lt;&gt;"","◄ Set Row Type","")))</f>
      </c>
      <c r="Y101" s="23">
        <f>IF($B101="Entry",IF(LEN(W101)&lt;4,"",IF(UPPER(MID(W101,4,1))="P","Individual",IF(UPPER(MID(W101,4,1))="H","HUF",IF(UPPER(MID(W101,4,1))="C","Company",IF(UPPER(MID(W101,4,1))="F","Firm",IF(UPPER(MID(W101,4,1))="L","LLP",IF(UPPER(MID(W101,4,1))="T","Trust",IF(UPPER(MID(W101,4,1))="A","AOP","")))))))),IF($B101="Challan","",IF(W101&lt;&gt;"","◄ Set Row Type","")))</f>
      </c>
      <c r="Z101" s="28"/>
      <c r="AA101" s="29">
        <f>IF($B101&lt;&gt;"Entry","",IF(Z101="","",IF(X101="Y",SUMPRODUCT(('Rate Lookup'!$A$1:$A$37=Z101)*'Rate Lookup'!$D$1:$D$37),IF(OR(Y101="Individual",Y101="HUF"),SUMPRODUCT(('Rate Lookup'!$A$1:$A$37=Z101)*'Rate Lookup'!$B$1:$B$37),SUMPRODUCT(('Rate Lookup'!$A$1:$A$37=Z101)*'Rate Lookup'!$C$1:$C$37)))))</f>
      </c>
      <c r="AB101" s="30"/>
      <c r="AC101" s="31"/>
      <c r="AD101" s="27">
        <f>IF($B101&lt;&gt;"Entry","",ROUND(AC101*AA101/100,0))</f>
      </c>
      <c r="AE101" s="27">
        <f>IF($B101&lt;&gt;"Entry","",0)</f>
      </c>
      <c r="AF101" s="27">
        <f>IF($B101&lt;&gt;"Entry","",0)</f>
      </c>
      <c r="AG101" s="27">
        <f>IF($B101&lt;&gt;"Entry","",IF(OR(AD101=0,AB101="",AQ101="",AQ101&lt;=0),0,IF(AQ101&lt;=DATE(YEAR(AB101),MONTH(AB101)+1,7),0,ROUND(AD101*0.015*((YEAR(AQ101)-YEAR(AB101))*12+(MONTH(AQ101)-MONTH(AB101))+1),0))))</f>
      </c>
      <c r="AH101" s="27">
        <f>IF($B101&lt;&gt;"Entry","",0)</f>
      </c>
      <c r="AI101" s="28"/>
      <c r="AJ101" s="28"/>
      <c r="AK101" s="32"/>
      <c r="AL101" s="28"/>
      <c r="AM101" s="28"/>
      <c r="AN101" s="27">
        <f>IF($B101&lt;&gt;"Challan","",SUMIF('Q1 Data'!$D$4:$D$207,D101,'Q1 Data'!$AD$4:$AD$207)+SUMIF('Q1 Data'!$D$4:$D$207,D101,'Q1 Data'!$AG$4:$AG$207)+SUMIF('Q1 Data'!$D$4:$D$207,D101,'Q1 Data'!$AE$4:$AE$207)+SUMIF('Q2 Data'!$D$4:$D$207,D101,'Q2 Data'!$AD$4:$AD$207)+SUMIF('Q2 Data'!$D$4:$D$207,D101,'Q2 Data'!$AG$4:$AG$207)+SUMIF('Q2 Data'!$D$4:$D$207,D101,'Q2 Data'!$AE$4:$AE$207)+SUMIF('Q3 Data'!$D$4:$D$207,D101,'Q3 Data'!$AD$4:$AD$207)+SUMIF('Q3 Data'!$D$4:$D$207,D101,'Q3 Data'!$AG$4:$AG$207)+SUMIF('Q3 Data'!$D$4:$D$207,D101,'Q3 Data'!$AE$4:$AE$207)+SUMIF('Q4 Data'!$D$4:$D$207,D101,'Q4 Data'!$AD$4:$AD$207)+SUMIF('Q4 Data'!$D$4:$D$207,D101,'Q4 Data'!$AG$4:$AG$207)+SUMIF('Q4 Data'!$D$4:$D$207,D101,'Q4 Data'!$AE$4:$AE$207))</f>
      </c>
      <c r="AO101" s="27">
        <f>IF($B101&lt;&gt;"Challan","",P101-N101)</f>
      </c>
      <c r="AP101" s="27">
        <f>IF($B101&lt;&gt;"Challan","",MAX(0,AO101-AN101))</f>
      </c>
      <c r="AQ101" s="33">
        <f>IF($B101&lt;&gt;"Entry","",SUMPRODUCT(('Q1 Data'!$D$4:$D$207=D101)*('Q1 Data'!$B$4:$B$207="Challan")*'Q1 Data'!$F$4:$F$207)+SUMPRODUCT(('Q2 Data'!$D$4:$D$207=D101)*('Q2 Data'!$B$4:$B$207="Challan")*'Q2 Data'!$F$4:$F$207)+SUMPRODUCT(('Q3 Data'!$D$4:$D$207=D101)*('Q3 Data'!$B$4:$B$207="Challan")*'Q3 Data'!$F$4:$F$207)+SUMPRODUCT(('Q4 Data'!$D$4:$D$207=D101)*('Q4 Data'!$B$4:$B$207="Challan")*'Q4 Data'!$F$4:$F$207))</f>
      </c>
      <c r="AR101" s="34">
        <f>IF(OR($B101&lt;&gt;"Entry",Z101=""),FALSE,AND((SUMPRODUCT(('Q1 Data'!$D$4:$D$207=D101)*('Q1 Data'!$B$4:$B$207="Challan")*('Q1 Data'!$H$4:$H$207&lt;&gt;""))+SUMPRODUCT(('Q2 Data'!$D$4:$D$207=D101)*('Q2 Data'!$B$4:$B$207="Challan")*('Q2 Data'!$H$4:$H$207&lt;&gt;""))+SUMPRODUCT(('Q3 Data'!$D$4:$D$207=D101)*('Q3 Data'!$B$4:$B$207="Challan")*('Q3 Data'!$H$4:$H$207&lt;&gt;""))+SUMPRODUCT(('Q4 Data'!$D$4:$D$207=D101)*('Q4 Data'!$B$4:$B$207="Challan")*('Q4 Data'!$H$4:$H$207&lt;&gt;"")))&gt;0,(SUMPRODUCT(('Q1 Data'!$D$4:$D$207=D101)*('Q1 Data'!$B$4:$B$207="Challan")*('Q1 Data'!$H$4:$H$207=Z101))+SUMPRODUCT(('Q2 Data'!$D$4:$D$207=D101)*('Q2 Data'!$B$4:$B$207="Challan")*('Q2 Data'!$H$4:$H$207=Z101))+SUMPRODUCT(('Q3 Data'!$D$4:$D$207=D101)*('Q3 Data'!$B$4:$B$207="Challan")*('Q3 Data'!$H$4:$H$207=Z101))+SUMPRODUCT(('Q4 Data'!$D$4:$D$207=D101)*('Q4 Data'!$B$4:$B$207="Challan")*('Q4 Data'!$H$4:$H$207=Z101)))=0))</f>
      </c>
    </row>
    <row r="102" spans="1:44" x14ac:dyDescent="0.25">
      <c r="A102" s="20">
        <f>IF($B102="Entry",COUNTIF($B$4:$B102,"Entry"),"")</f>
      </c>
      <c r="B102" s="21"/>
      <c r="C102" s="22"/>
      <c r="D102" s="22"/>
      <c r="E102" s="23">
        <f>IF($B102&lt;&gt;"Challan","",IF(ROUND(AN102-AO102,2)&gt;0,"Over-applied",IF(ROUND(AN102-AO102,2)=0,"Fully Utilised","Unconsumed")))</f>
      </c>
      <c r="F102" s="24"/>
      <c r="G102" s="25"/>
      <c r="H102" s="25"/>
      <c r="I102" s="26"/>
      <c r="J102" s="26"/>
      <c r="K102" s="26"/>
      <c r="L102" s="26"/>
      <c r="M102" s="26"/>
      <c r="N102" s="26"/>
      <c r="O102" s="26"/>
      <c r="P102" s="27">
        <f>IF($B102&lt;&gt;"Challan","",I102+J102+K102+L102+M102+N102)</f>
      </c>
      <c r="Q102" s="25"/>
      <c r="R102" s="25"/>
      <c r="S102" s="25"/>
      <c r="T102" s="25"/>
      <c r="U102" s="25"/>
      <c r="V102" s="28"/>
      <c r="W102" s="28"/>
      <c r="X102" s="23">
        <f>IF($B102="Entry",IF(AND(LEN(TRIM(UPPER(W102)))=10,CODE(MID(TRIM(UPPER(W102)),1,1))&gt;=65,CODE(MID(TRIM(UPPER(W102)),1,1))&lt;=90,CODE(MID(TRIM(UPPER(W102)),2,1))&gt;=65,CODE(MID(TRIM(UPPER(W102)),2,1))&lt;=90,CODE(MID(TRIM(UPPER(W102)),3,1))&gt;=65,CODE(MID(TRIM(UPPER(W102)),3,1))&lt;=90,CODE(MID(TRIM(UPPER(W102)),4,1))&gt;=65,CODE(MID(TRIM(UPPER(W102)),4,1))&lt;=90,CODE(MID(TRIM(UPPER(W102)),5,1))&gt;=65,CODE(MID(TRIM(UPPER(W102)),5,1))&lt;=90,CODE(MID(TRIM(UPPER(W102)),10,1))&gt;=65,CODE(MID(TRIM(UPPER(W102)),10,1))&lt;=90,CODE(MID(TRIM(UPPER(W102)),6,1))&gt;=48,CODE(MID(TRIM(UPPER(W102)),6,1))&lt;=57,CODE(MID(TRIM(UPPER(W102)),7,1))&gt;=48,CODE(MID(TRIM(UPPER(W102)),7,1))&lt;=57,CODE(MID(TRIM(UPPER(W102)),8,1))&gt;=48,CODE(MID(TRIM(UPPER(W102)),8,1))&lt;=57,CODE(MID(TRIM(UPPER(W102)),9,1))&gt;=48,CODE(MID(TRIM(UPPER(W102)),9,1))&lt;=57),"N","Y"),IF($B102="Challan","",IF(W102&lt;&gt;"","◄ Set Row Type","")))</f>
      </c>
      <c r="Y102" s="23">
        <f>IF($B102="Entry",IF(LEN(W102)&lt;4,"",IF(UPPER(MID(W102,4,1))="P","Individual",IF(UPPER(MID(W102,4,1))="H","HUF",IF(UPPER(MID(W102,4,1))="C","Company",IF(UPPER(MID(W102,4,1))="F","Firm",IF(UPPER(MID(W102,4,1))="L","LLP",IF(UPPER(MID(W102,4,1))="T","Trust",IF(UPPER(MID(W102,4,1))="A","AOP","")))))))),IF($B102="Challan","",IF(W102&lt;&gt;"","◄ Set Row Type","")))</f>
      </c>
      <c r="Z102" s="28"/>
      <c r="AA102" s="29">
        <f>IF($B102&lt;&gt;"Entry","",IF(Z102="","",IF(X102="Y",SUMPRODUCT(('Rate Lookup'!$A$1:$A$37=Z102)*'Rate Lookup'!$D$1:$D$37),IF(OR(Y102="Individual",Y102="HUF"),SUMPRODUCT(('Rate Lookup'!$A$1:$A$37=Z102)*'Rate Lookup'!$B$1:$B$37),SUMPRODUCT(('Rate Lookup'!$A$1:$A$37=Z102)*'Rate Lookup'!$C$1:$C$37)))))</f>
      </c>
      <c r="AB102" s="30"/>
      <c r="AC102" s="31"/>
      <c r="AD102" s="27">
        <f>IF($B102&lt;&gt;"Entry","",ROUND(AC102*AA102/100,0))</f>
      </c>
      <c r="AE102" s="27">
        <f>IF($B102&lt;&gt;"Entry","",0)</f>
      </c>
      <c r="AF102" s="27">
        <f>IF($B102&lt;&gt;"Entry","",0)</f>
      </c>
      <c r="AG102" s="27">
        <f>IF($B102&lt;&gt;"Entry","",IF(OR(AD102=0,AB102="",AQ102="",AQ102&lt;=0),0,IF(AQ102&lt;=DATE(YEAR(AB102),MONTH(AB102)+1,7),0,ROUND(AD102*0.015*((YEAR(AQ102)-YEAR(AB102))*12+(MONTH(AQ102)-MONTH(AB102))+1),0))))</f>
      </c>
      <c r="AH102" s="27">
        <f>IF($B102&lt;&gt;"Entry","",0)</f>
      </c>
      <c r="AI102" s="28"/>
      <c r="AJ102" s="28"/>
      <c r="AK102" s="32"/>
      <c r="AL102" s="28"/>
      <c r="AM102" s="28"/>
      <c r="AN102" s="27">
        <f>IF($B102&lt;&gt;"Challan","",SUMIF('Q1 Data'!$D$4:$D$207,D102,'Q1 Data'!$AD$4:$AD$207)+SUMIF('Q1 Data'!$D$4:$D$207,D102,'Q1 Data'!$AG$4:$AG$207)+SUMIF('Q1 Data'!$D$4:$D$207,D102,'Q1 Data'!$AE$4:$AE$207)+SUMIF('Q2 Data'!$D$4:$D$207,D102,'Q2 Data'!$AD$4:$AD$207)+SUMIF('Q2 Data'!$D$4:$D$207,D102,'Q2 Data'!$AG$4:$AG$207)+SUMIF('Q2 Data'!$D$4:$D$207,D102,'Q2 Data'!$AE$4:$AE$207)+SUMIF('Q3 Data'!$D$4:$D$207,D102,'Q3 Data'!$AD$4:$AD$207)+SUMIF('Q3 Data'!$D$4:$D$207,D102,'Q3 Data'!$AG$4:$AG$207)+SUMIF('Q3 Data'!$D$4:$D$207,D102,'Q3 Data'!$AE$4:$AE$207)+SUMIF('Q4 Data'!$D$4:$D$207,D102,'Q4 Data'!$AD$4:$AD$207)+SUMIF('Q4 Data'!$D$4:$D$207,D102,'Q4 Data'!$AG$4:$AG$207)+SUMIF('Q4 Data'!$D$4:$D$207,D102,'Q4 Data'!$AE$4:$AE$207))</f>
      </c>
      <c r="AO102" s="27">
        <f>IF($B102&lt;&gt;"Challan","",P102-N102)</f>
      </c>
      <c r="AP102" s="27">
        <f>IF($B102&lt;&gt;"Challan","",MAX(0,AO102-AN102))</f>
      </c>
      <c r="AQ102" s="33">
        <f>IF($B102&lt;&gt;"Entry","",SUMPRODUCT(('Q1 Data'!$D$4:$D$207=D102)*('Q1 Data'!$B$4:$B$207="Challan")*'Q1 Data'!$F$4:$F$207)+SUMPRODUCT(('Q2 Data'!$D$4:$D$207=D102)*('Q2 Data'!$B$4:$B$207="Challan")*'Q2 Data'!$F$4:$F$207)+SUMPRODUCT(('Q3 Data'!$D$4:$D$207=D102)*('Q3 Data'!$B$4:$B$207="Challan")*'Q3 Data'!$F$4:$F$207)+SUMPRODUCT(('Q4 Data'!$D$4:$D$207=D102)*('Q4 Data'!$B$4:$B$207="Challan")*'Q4 Data'!$F$4:$F$207))</f>
      </c>
      <c r="AR102" s="34">
        <f>IF(OR($B102&lt;&gt;"Entry",Z102=""),FALSE,AND((SUMPRODUCT(('Q1 Data'!$D$4:$D$207=D102)*('Q1 Data'!$B$4:$B$207="Challan")*('Q1 Data'!$H$4:$H$207&lt;&gt;""))+SUMPRODUCT(('Q2 Data'!$D$4:$D$207=D102)*('Q2 Data'!$B$4:$B$207="Challan")*('Q2 Data'!$H$4:$H$207&lt;&gt;""))+SUMPRODUCT(('Q3 Data'!$D$4:$D$207=D102)*('Q3 Data'!$B$4:$B$207="Challan")*('Q3 Data'!$H$4:$H$207&lt;&gt;""))+SUMPRODUCT(('Q4 Data'!$D$4:$D$207=D102)*('Q4 Data'!$B$4:$B$207="Challan")*('Q4 Data'!$H$4:$H$207&lt;&gt;"")))&gt;0,(SUMPRODUCT(('Q1 Data'!$D$4:$D$207=D102)*('Q1 Data'!$B$4:$B$207="Challan")*('Q1 Data'!$H$4:$H$207=Z102))+SUMPRODUCT(('Q2 Data'!$D$4:$D$207=D102)*('Q2 Data'!$B$4:$B$207="Challan")*('Q2 Data'!$H$4:$H$207=Z102))+SUMPRODUCT(('Q3 Data'!$D$4:$D$207=D102)*('Q3 Data'!$B$4:$B$207="Challan")*('Q3 Data'!$H$4:$H$207=Z102))+SUMPRODUCT(('Q4 Data'!$D$4:$D$207=D102)*('Q4 Data'!$B$4:$B$207="Challan")*('Q4 Data'!$H$4:$H$207=Z102)))=0))</f>
      </c>
    </row>
    <row r="103" spans="1:44" x14ac:dyDescent="0.25">
      <c r="A103" s="20">
        <f>IF($B103="Entry",COUNTIF($B$4:$B103,"Entry"),"")</f>
      </c>
      <c r="B103" s="21"/>
      <c r="C103" s="22"/>
      <c r="D103" s="22"/>
      <c r="E103" s="23">
        <f>IF($B103&lt;&gt;"Challan","",IF(ROUND(AN103-AO103,2)&gt;0,"Over-applied",IF(ROUND(AN103-AO103,2)=0,"Fully Utilised","Unconsumed")))</f>
      </c>
      <c r="F103" s="24"/>
      <c r="G103" s="25"/>
      <c r="H103" s="25"/>
      <c r="I103" s="26"/>
      <c r="J103" s="26"/>
      <c r="K103" s="26"/>
      <c r="L103" s="26"/>
      <c r="M103" s="26"/>
      <c r="N103" s="26"/>
      <c r="O103" s="26"/>
      <c r="P103" s="27">
        <f>IF($B103&lt;&gt;"Challan","",I103+J103+K103+L103+M103+N103)</f>
      </c>
      <c r="Q103" s="25"/>
      <c r="R103" s="25"/>
      <c r="S103" s="25"/>
      <c r="T103" s="25"/>
      <c r="U103" s="25"/>
      <c r="V103" s="28"/>
      <c r="W103" s="28"/>
      <c r="X103" s="23">
        <f>IF($B103="Entry",IF(AND(LEN(TRIM(UPPER(W103)))=10,CODE(MID(TRIM(UPPER(W103)),1,1))&gt;=65,CODE(MID(TRIM(UPPER(W103)),1,1))&lt;=90,CODE(MID(TRIM(UPPER(W103)),2,1))&gt;=65,CODE(MID(TRIM(UPPER(W103)),2,1))&lt;=90,CODE(MID(TRIM(UPPER(W103)),3,1))&gt;=65,CODE(MID(TRIM(UPPER(W103)),3,1))&lt;=90,CODE(MID(TRIM(UPPER(W103)),4,1))&gt;=65,CODE(MID(TRIM(UPPER(W103)),4,1))&lt;=90,CODE(MID(TRIM(UPPER(W103)),5,1))&gt;=65,CODE(MID(TRIM(UPPER(W103)),5,1))&lt;=90,CODE(MID(TRIM(UPPER(W103)),10,1))&gt;=65,CODE(MID(TRIM(UPPER(W103)),10,1))&lt;=90,CODE(MID(TRIM(UPPER(W103)),6,1))&gt;=48,CODE(MID(TRIM(UPPER(W103)),6,1))&lt;=57,CODE(MID(TRIM(UPPER(W103)),7,1))&gt;=48,CODE(MID(TRIM(UPPER(W103)),7,1))&lt;=57,CODE(MID(TRIM(UPPER(W103)),8,1))&gt;=48,CODE(MID(TRIM(UPPER(W103)),8,1))&lt;=57,CODE(MID(TRIM(UPPER(W103)),9,1))&gt;=48,CODE(MID(TRIM(UPPER(W103)),9,1))&lt;=57),"N","Y"),IF($B103="Challan","",IF(W103&lt;&gt;"","◄ Set Row Type","")))</f>
      </c>
      <c r="Y103" s="23">
        <f>IF($B103="Entry",IF(LEN(W103)&lt;4,"",IF(UPPER(MID(W103,4,1))="P","Individual",IF(UPPER(MID(W103,4,1))="H","HUF",IF(UPPER(MID(W103,4,1))="C","Company",IF(UPPER(MID(W103,4,1))="F","Firm",IF(UPPER(MID(W103,4,1))="L","LLP",IF(UPPER(MID(W103,4,1))="T","Trust",IF(UPPER(MID(W103,4,1))="A","AOP","")))))))),IF($B103="Challan","",IF(W103&lt;&gt;"","◄ Set Row Type","")))</f>
      </c>
      <c r="Z103" s="28"/>
      <c r="AA103" s="29">
        <f>IF($B103&lt;&gt;"Entry","",IF(Z103="","",IF(X103="Y",SUMPRODUCT(('Rate Lookup'!$A$1:$A$37=Z103)*'Rate Lookup'!$D$1:$D$37),IF(OR(Y103="Individual",Y103="HUF"),SUMPRODUCT(('Rate Lookup'!$A$1:$A$37=Z103)*'Rate Lookup'!$B$1:$B$37),SUMPRODUCT(('Rate Lookup'!$A$1:$A$37=Z103)*'Rate Lookup'!$C$1:$C$37)))))</f>
      </c>
      <c r="AB103" s="30"/>
      <c r="AC103" s="31"/>
      <c r="AD103" s="27">
        <f>IF($B103&lt;&gt;"Entry","",ROUND(AC103*AA103/100,0))</f>
      </c>
      <c r="AE103" s="27">
        <f>IF($B103&lt;&gt;"Entry","",0)</f>
      </c>
      <c r="AF103" s="27">
        <f>IF($B103&lt;&gt;"Entry","",0)</f>
      </c>
      <c r="AG103" s="27">
        <f>IF($B103&lt;&gt;"Entry","",IF(OR(AD103=0,AB103="",AQ103="",AQ103&lt;=0),0,IF(AQ103&lt;=DATE(YEAR(AB103),MONTH(AB103)+1,7),0,ROUND(AD103*0.015*((YEAR(AQ103)-YEAR(AB103))*12+(MONTH(AQ103)-MONTH(AB103))+1),0))))</f>
      </c>
      <c r="AH103" s="27">
        <f>IF($B103&lt;&gt;"Entry","",0)</f>
      </c>
      <c r="AI103" s="28"/>
      <c r="AJ103" s="28"/>
      <c r="AK103" s="32"/>
      <c r="AL103" s="28"/>
      <c r="AM103" s="28"/>
      <c r="AN103" s="27">
        <f>IF($B103&lt;&gt;"Challan","",SUMIF('Q1 Data'!$D$4:$D$207,D103,'Q1 Data'!$AD$4:$AD$207)+SUMIF('Q1 Data'!$D$4:$D$207,D103,'Q1 Data'!$AG$4:$AG$207)+SUMIF('Q1 Data'!$D$4:$D$207,D103,'Q1 Data'!$AE$4:$AE$207)+SUMIF('Q2 Data'!$D$4:$D$207,D103,'Q2 Data'!$AD$4:$AD$207)+SUMIF('Q2 Data'!$D$4:$D$207,D103,'Q2 Data'!$AG$4:$AG$207)+SUMIF('Q2 Data'!$D$4:$D$207,D103,'Q2 Data'!$AE$4:$AE$207)+SUMIF('Q3 Data'!$D$4:$D$207,D103,'Q3 Data'!$AD$4:$AD$207)+SUMIF('Q3 Data'!$D$4:$D$207,D103,'Q3 Data'!$AG$4:$AG$207)+SUMIF('Q3 Data'!$D$4:$D$207,D103,'Q3 Data'!$AE$4:$AE$207)+SUMIF('Q4 Data'!$D$4:$D$207,D103,'Q4 Data'!$AD$4:$AD$207)+SUMIF('Q4 Data'!$D$4:$D$207,D103,'Q4 Data'!$AG$4:$AG$207)+SUMIF('Q4 Data'!$D$4:$D$207,D103,'Q4 Data'!$AE$4:$AE$207))</f>
      </c>
      <c r="AO103" s="27">
        <f>IF($B103&lt;&gt;"Challan","",P103-N103)</f>
      </c>
      <c r="AP103" s="27">
        <f>IF($B103&lt;&gt;"Challan","",MAX(0,AO103-AN103))</f>
      </c>
      <c r="AQ103" s="33">
        <f>IF($B103&lt;&gt;"Entry","",SUMPRODUCT(('Q1 Data'!$D$4:$D$207=D103)*('Q1 Data'!$B$4:$B$207="Challan")*'Q1 Data'!$F$4:$F$207)+SUMPRODUCT(('Q2 Data'!$D$4:$D$207=D103)*('Q2 Data'!$B$4:$B$207="Challan")*'Q2 Data'!$F$4:$F$207)+SUMPRODUCT(('Q3 Data'!$D$4:$D$207=D103)*('Q3 Data'!$B$4:$B$207="Challan")*'Q3 Data'!$F$4:$F$207)+SUMPRODUCT(('Q4 Data'!$D$4:$D$207=D103)*('Q4 Data'!$B$4:$B$207="Challan")*'Q4 Data'!$F$4:$F$207))</f>
      </c>
      <c r="AR103" s="34">
        <f>IF(OR($B103&lt;&gt;"Entry",Z103=""),FALSE,AND((SUMPRODUCT(('Q1 Data'!$D$4:$D$207=D103)*('Q1 Data'!$B$4:$B$207="Challan")*('Q1 Data'!$H$4:$H$207&lt;&gt;""))+SUMPRODUCT(('Q2 Data'!$D$4:$D$207=D103)*('Q2 Data'!$B$4:$B$207="Challan")*('Q2 Data'!$H$4:$H$207&lt;&gt;""))+SUMPRODUCT(('Q3 Data'!$D$4:$D$207=D103)*('Q3 Data'!$B$4:$B$207="Challan")*('Q3 Data'!$H$4:$H$207&lt;&gt;""))+SUMPRODUCT(('Q4 Data'!$D$4:$D$207=D103)*('Q4 Data'!$B$4:$B$207="Challan")*('Q4 Data'!$H$4:$H$207&lt;&gt;"")))&gt;0,(SUMPRODUCT(('Q1 Data'!$D$4:$D$207=D103)*('Q1 Data'!$B$4:$B$207="Challan")*('Q1 Data'!$H$4:$H$207=Z103))+SUMPRODUCT(('Q2 Data'!$D$4:$D$207=D103)*('Q2 Data'!$B$4:$B$207="Challan")*('Q2 Data'!$H$4:$H$207=Z103))+SUMPRODUCT(('Q3 Data'!$D$4:$D$207=D103)*('Q3 Data'!$B$4:$B$207="Challan")*('Q3 Data'!$H$4:$H$207=Z103))+SUMPRODUCT(('Q4 Data'!$D$4:$D$207=D103)*('Q4 Data'!$B$4:$B$207="Challan")*('Q4 Data'!$H$4:$H$207=Z103)))=0))</f>
      </c>
    </row>
    <row r="104" spans="1:44" x14ac:dyDescent="0.25">
      <c r="A104" s="20">
        <f>IF($B104="Entry",COUNTIF($B$4:$B104,"Entry"),"")</f>
      </c>
      <c r="B104" s="21"/>
      <c r="C104" s="22"/>
      <c r="D104" s="22"/>
      <c r="E104" s="23">
        <f>IF($B104&lt;&gt;"Challan","",IF(ROUND(AN104-AO104,2)&gt;0,"Over-applied",IF(ROUND(AN104-AO104,2)=0,"Fully Utilised","Unconsumed")))</f>
      </c>
      <c r="F104" s="24"/>
      <c r="G104" s="25"/>
      <c r="H104" s="25"/>
      <c r="I104" s="26"/>
      <c r="J104" s="26"/>
      <c r="K104" s="26"/>
      <c r="L104" s="26"/>
      <c r="M104" s="26"/>
      <c r="N104" s="26"/>
      <c r="O104" s="26"/>
      <c r="P104" s="27">
        <f>IF($B104&lt;&gt;"Challan","",I104+J104+K104+L104+M104+N104)</f>
      </c>
      <c r="Q104" s="25"/>
      <c r="R104" s="25"/>
      <c r="S104" s="25"/>
      <c r="T104" s="25"/>
      <c r="U104" s="25"/>
      <c r="V104" s="28"/>
      <c r="W104" s="28"/>
      <c r="X104" s="23">
        <f>IF($B104="Entry",IF(AND(LEN(TRIM(UPPER(W104)))=10,CODE(MID(TRIM(UPPER(W104)),1,1))&gt;=65,CODE(MID(TRIM(UPPER(W104)),1,1))&lt;=90,CODE(MID(TRIM(UPPER(W104)),2,1))&gt;=65,CODE(MID(TRIM(UPPER(W104)),2,1))&lt;=90,CODE(MID(TRIM(UPPER(W104)),3,1))&gt;=65,CODE(MID(TRIM(UPPER(W104)),3,1))&lt;=90,CODE(MID(TRIM(UPPER(W104)),4,1))&gt;=65,CODE(MID(TRIM(UPPER(W104)),4,1))&lt;=90,CODE(MID(TRIM(UPPER(W104)),5,1))&gt;=65,CODE(MID(TRIM(UPPER(W104)),5,1))&lt;=90,CODE(MID(TRIM(UPPER(W104)),10,1))&gt;=65,CODE(MID(TRIM(UPPER(W104)),10,1))&lt;=90,CODE(MID(TRIM(UPPER(W104)),6,1))&gt;=48,CODE(MID(TRIM(UPPER(W104)),6,1))&lt;=57,CODE(MID(TRIM(UPPER(W104)),7,1))&gt;=48,CODE(MID(TRIM(UPPER(W104)),7,1))&lt;=57,CODE(MID(TRIM(UPPER(W104)),8,1))&gt;=48,CODE(MID(TRIM(UPPER(W104)),8,1))&lt;=57,CODE(MID(TRIM(UPPER(W104)),9,1))&gt;=48,CODE(MID(TRIM(UPPER(W104)),9,1))&lt;=57),"N","Y"),IF($B104="Challan","",IF(W104&lt;&gt;"","◄ Set Row Type","")))</f>
      </c>
      <c r="Y104" s="23">
        <f>IF($B104="Entry",IF(LEN(W104)&lt;4,"",IF(UPPER(MID(W104,4,1))="P","Individual",IF(UPPER(MID(W104,4,1))="H","HUF",IF(UPPER(MID(W104,4,1))="C","Company",IF(UPPER(MID(W104,4,1))="F","Firm",IF(UPPER(MID(W104,4,1))="L","LLP",IF(UPPER(MID(W104,4,1))="T","Trust",IF(UPPER(MID(W104,4,1))="A","AOP","")))))))),IF($B104="Challan","",IF(W104&lt;&gt;"","◄ Set Row Type","")))</f>
      </c>
      <c r="Z104" s="28"/>
      <c r="AA104" s="29">
        <f>IF($B104&lt;&gt;"Entry","",IF(Z104="","",IF(X104="Y",SUMPRODUCT(('Rate Lookup'!$A$1:$A$37=Z104)*'Rate Lookup'!$D$1:$D$37),IF(OR(Y104="Individual",Y104="HUF"),SUMPRODUCT(('Rate Lookup'!$A$1:$A$37=Z104)*'Rate Lookup'!$B$1:$B$37),SUMPRODUCT(('Rate Lookup'!$A$1:$A$37=Z104)*'Rate Lookup'!$C$1:$C$37)))))</f>
      </c>
      <c r="AB104" s="30"/>
      <c r="AC104" s="31"/>
      <c r="AD104" s="27">
        <f>IF($B104&lt;&gt;"Entry","",ROUND(AC104*AA104/100,0))</f>
      </c>
      <c r="AE104" s="27">
        <f>IF($B104&lt;&gt;"Entry","",0)</f>
      </c>
      <c r="AF104" s="27">
        <f>IF($B104&lt;&gt;"Entry","",0)</f>
      </c>
      <c r="AG104" s="27">
        <f>IF($B104&lt;&gt;"Entry","",IF(OR(AD104=0,AB104="",AQ104="",AQ104&lt;=0),0,IF(AQ104&lt;=DATE(YEAR(AB104),MONTH(AB104)+1,7),0,ROUND(AD104*0.015*((YEAR(AQ104)-YEAR(AB104))*12+(MONTH(AQ104)-MONTH(AB104))+1),0))))</f>
      </c>
      <c r="AH104" s="27">
        <f>IF($B104&lt;&gt;"Entry","",0)</f>
      </c>
      <c r="AI104" s="28"/>
      <c r="AJ104" s="28"/>
      <c r="AK104" s="32"/>
      <c r="AL104" s="28"/>
      <c r="AM104" s="28"/>
      <c r="AN104" s="27">
        <f>IF($B104&lt;&gt;"Challan","",SUMIF('Q1 Data'!$D$4:$D$207,D104,'Q1 Data'!$AD$4:$AD$207)+SUMIF('Q1 Data'!$D$4:$D$207,D104,'Q1 Data'!$AG$4:$AG$207)+SUMIF('Q1 Data'!$D$4:$D$207,D104,'Q1 Data'!$AE$4:$AE$207)+SUMIF('Q2 Data'!$D$4:$D$207,D104,'Q2 Data'!$AD$4:$AD$207)+SUMIF('Q2 Data'!$D$4:$D$207,D104,'Q2 Data'!$AG$4:$AG$207)+SUMIF('Q2 Data'!$D$4:$D$207,D104,'Q2 Data'!$AE$4:$AE$207)+SUMIF('Q3 Data'!$D$4:$D$207,D104,'Q3 Data'!$AD$4:$AD$207)+SUMIF('Q3 Data'!$D$4:$D$207,D104,'Q3 Data'!$AG$4:$AG$207)+SUMIF('Q3 Data'!$D$4:$D$207,D104,'Q3 Data'!$AE$4:$AE$207)+SUMIF('Q4 Data'!$D$4:$D$207,D104,'Q4 Data'!$AD$4:$AD$207)+SUMIF('Q4 Data'!$D$4:$D$207,D104,'Q4 Data'!$AG$4:$AG$207)+SUMIF('Q4 Data'!$D$4:$D$207,D104,'Q4 Data'!$AE$4:$AE$207))</f>
      </c>
      <c r="AO104" s="27">
        <f>IF($B104&lt;&gt;"Challan","",P104-N104)</f>
      </c>
      <c r="AP104" s="27">
        <f>IF($B104&lt;&gt;"Challan","",MAX(0,AO104-AN104))</f>
      </c>
      <c r="AQ104" s="33">
        <f>IF($B104&lt;&gt;"Entry","",SUMPRODUCT(('Q1 Data'!$D$4:$D$207=D104)*('Q1 Data'!$B$4:$B$207="Challan")*'Q1 Data'!$F$4:$F$207)+SUMPRODUCT(('Q2 Data'!$D$4:$D$207=D104)*('Q2 Data'!$B$4:$B$207="Challan")*'Q2 Data'!$F$4:$F$207)+SUMPRODUCT(('Q3 Data'!$D$4:$D$207=D104)*('Q3 Data'!$B$4:$B$207="Challan")*'Q3 Data'!$F$4:$F$207)+SUMPRODUCT(('Q4 Data'!$D$4:$D$207=D104)*('Q4 Data'!$B$4:$B$207="Challan")*'Q4 Data'!$F$4:$F$207))</f>
      </c>
      <c r="AR104" s="34">
        <f>IF(OR($B104&lt;&gt;"Entry",Z104=""),FALSE,AND((SUMPRODUCT(('Q1 Data'!$D$4:$D$207=D104)*('Q1 Data'!$B$4:$B$207="Challan")*('Q1 Data'!$H$4:$H$207&lt;&gt;""))+SUMPRODUCT(('Q2 Data'!$D$4:$D$207=D104)*('Q2 Data'!$B$4:$B$207="Challan")*('Q2 Data'!$H$4:$H$207&lt;&gt;""))+SUMPRODUCT(('Q3 Data'!$D$4:$D$207=D104)*('Q3 Data'!$B$4:$B$207="Challan")*('Q3 Data'!$H$4:$H$207&lt;&gt;""))+SUMPRODUCT(('Q4 Data'!$D$4:$D$207=D104)*('Q4 Data'!$B$4:$B$207="Challan")*('Q4 Data'!$H$4:$H$207&lt;&gt;"")))&gt;0,(SUMPRODUCT(('Q1 Data'!$D$4:$D$207=D104)*('Q1 Data'!$B$4:$B$207="Challan")*('Q1 Data'!$H$4:$H$207=Z104))+SUMPRODUCT(('Q2 Data'!$D$4:$D$207=D104)*('Q2 Data'!$B$4:$B$207="Challan")*('Q2 Data'!$H$4:$H$207=Z104))+SUMPRODUCT(('Q3 Data'!$D$4:$D$207=D104)*('Q3 Data'!$B$4:$B$207="Challan")*('Q3 Data'!$H$4:$H$207=Z104))+SUMPRODUCT(('Q4 Data'!$D$4:$D$207=D104)*('Q4 Data'!$B$4:$B$207="Challan")*('Q4 Data'!$H$4:$H$207=Z104)))=0))</f>
      </c>
    </row>
    <row r="105" spans="1:44" x14ac:dyDescent="0.25">
      <c r="A105" s="20">
        <f>IF($B105="Entry",COUNTIF($B$4:$B105,"Entry"),"")</f>
      </c>
      <c r="B105" s="21"/>
      <c r="C105" s="22"/>
      <c r="D105" s="22"/>
      <c r="E105" s="23">
        <f>IF($B105&lt;&gt;"Challan","",IF(ROUND(AN105-AO105,2)&gt;0,"Over-applied",IF(ROUND(AN105-AO105,2)=0,"Fully Utilised","Unconsumed")))</f>
      </c>
      <c r="F105" s="24"/>
      <c r="G105" s="25"/>
      <c r="H105" s="25"/>
      <c r="I105" s="26"/>
      <c r="J105" s="26"/>
      <c r="K105" s="26"/>
      <c r="L105" s="26"/>
      <c r="M105" s="26"/>
      <c r="N105" s="26"/>
      <c r="O105" s="26"/>
      <c r="P105" s="27">
        <f>IF($B105&lt;&gt;"Challan","",I105+J105+K105+L105+M105+N105)</f>
      </c>
      <c r="Q105" s="25"/>
      <c r="R105" s="25"/>
      <c r="S105" s="25"/>
      <c r="T105" s="25"/>
      <c r="U105" s="25"/>
      <c r="V105" s="28"/>
      <c r="W105" s="28"/>
      <c r="X105" s="23">
        <f>IF($B105="Entry",IF(AND(LEN(TRIM(UPPER(W105)))=10,CODE(MID(TRIM(UPPER(W105)),1,1))&gt;=65,CODE(MID(TRIM(UPPER(W105)),1,1))&lt;=90,CODE(MID(TRIM(UPPER(W105)),2,1))&gt;=65,CODE(MID(TRIM(UPPER(W105)),2,1))&lt;=90,CODE(MID(TRIM(UPPER(W105)),3,1))&gt;=65,CODE(MID(TRIM(UPPER(W105)),3,1))&lt;=90,CODE(MID(TRIM(UPPER(W105)),4,1))&gt;=65,CODE(MID(TRIM(UPPER(W105)),4,1))&lt;=90,CODE(MID(TRIM(UPPER(W105)),5,1))&gt;=65,CODE(MID(TRIM(UPPER(W105)),5,1))&lt;=90,CODE(MID(TRIM(UPPER(W105)),10,1))&gt;=65,CODE(MID(TRIM(UPPER(W105)),10,1))&lt;=90,CODE(MID(TRIM(UPPER(W105)),6,1))&gt;=48,CODE(MID(TRIM(UPPER(W105)),6,1))&lt;=57,CODE(MID(TRIM(UPPER(W105)),7,1))&gt;=48,CODE(MID(TRIM(UPPER(W105)),7,1))&lt;=57,CODE(MID(TRIM(UPPER(W105)),8,1))&gt;=48,CODE(MID(TRIM(UPPER(W105)),8,1))&lt;=57,CODE(MID(TRIM(UPPER(W105)),9,1))&gt;=48,CODE(MID(TRIM(UPPER(W105)),9,1))&lt;=57),"N","Y"),IF($B105="Challan","",IF(W105&lt;&gt;"","◄ Set Row Type","")))</f>
      </c>
      <c r="Y105" s="23">
        <f>IF($B105="Entry",IF(LEN(W105)&lt;4,"",IF(UPPER(MID(W105,4,1))="P","Individual",IF(UPPER(MID(W105,4,1))="H","HUF",IF(UPPER(MID(W105,4,1))="C","Company",IF(UPPER(MID(W105,4,1))="F","Firm",IF(UPPER(MID(W105,4,1))="L","LLP",IF(UPPER(MID(W105,4,1))="T","Trust",IF(UPPER(MID(W105,4,1))="A","AOP","")))))))),IF($B105="Challan","",IF(W105&lt;&gt;"","◄ Set Row Type","")))</f>
      </c>
      <c r="Z105" s="28"/>
      <c r="AA105" s="29">
        <f>IF($B105&lt;&gt;"Entry","",IF(Z105="","",IF(X105="Y",SUMPRODUCT(('Rate Lookup'!$A$1:$A$37=Z105)*'Rate Lookup'!$D$1:$D$37),IF(OR(Y105="Individual",Y105="HUF"),SUMPRODUCT(('Rate Lookup'!$A$1:$A$37=Z105)*'Rate Lookup'!$B$1:$B$37),SUMPRODUCT(('Rate Lookup'!$A$1:$A$37=Z105)*'Rate Lookup'!$C$1:$C$37)))))</f>
      </c>
      <c r="AB105" s="30"/>
      <c r="AC105" s="31"/>
      <c r="AD105" s="27">
        <f>IF($B105&lt;&gt;"Entry","",ROUND(AC105*AA105/100,0))</f>
      </c>
      <c r="AE105" s="27">
        <f>IF($B105&lt;&gt;"Entry","",0)</f>
      </c>
      <c r="AF105" s="27">
        <f>IF($B105&lt;&gt;"Entry","",0)</f>
      </c>
      <c r="AG105" s="27">
        <f>IF($B105&lt;&gt;"Entry","",IF(OR(AD105=0,AB105="",AQ105="",AQ105&lt;=0),0,IF(AQ105&lt;=DATE(YEAR(AB105),MONTH(AB105)+1,7),0,ROUND(AD105*0.015*((YEAR(AQ105)-YEAR(AB105))*12+(MONTH(AQ105)-MONTH(AB105))+1),0))))</f>
      </c>
      <c r="AH105" s="27">
        <f>IF($B105&lt;&gt;"Entry","",0)</f>
      </c>
      <c r="AI105" s="28"/>
      <c r="AJ105" s="28"/>
      <c r="AK105" s="32"/>
      <c r="AL105" s="28"/>
      <c r="AM105" s="28"/>
      <c r="AN105" s="27">
        <f>IF($B105&lt;&gt;"Challan","",SUMIF('Q1 Data'!$D$4:$D$207,D105,'Q1 Data'!$AD$4:$AD$207)+SUMIF('Q1 Data'!$D$4:$D$207,D105,'Q1 Data'!$AG$4:$AG$207)+SUMIF('Q1 Data'!$D$4:$D$207,D105,'Q1 Data'!$AE$4:$AE$207)+SUMIF('Q2 Data'!$D$4:$D$207,D105,'Q2 Data'!$AD$4:$AD$207)+SUMIF('Q2 Data'!$D$4:$D$207,D105,'Q2 Data'!$AG$4:$AG$207)+SUMIF('Q2 Data'!$D$4:$D$207,D105,'Q2 Data'!$AE$4:$AE$207)+SUMIF('Q3 Data'!$D$4:$D$207,D105,'Q3 Data'!$AD$4:$AD$207)+SUMIF('Q3 Data'!$D$4:$D$207,D105,'Q3 Data'!$AG$4:$AG$207)+SUMIF('Q3 Data'!$D$4:$D$207,D105,'Q3 Data'!$AE$4:$AE$207)+SUMIF('Q4 Data'!$D$4:$D$207,D105,'Q4 Data'!$AD$4:$AD$207)+SUMIF('Q4 Data'!$D$4:$D$207,D105,'Q4 Data'!$AG$4:$AG$207)+SUMIF('Q4 Data'!$D$4:$D$207,D105,'Q4 Data'!$AE$4:$AE$207))</f>
      </c>
      <c r="AO105" s="27">
        <f>IF($B105&lt;&gt;"Challan","",P105-N105)</f>
      </c>
      <c r="AP105" s="27">
        <f>IF($B105&lt;&gt;"Challan","",MAX(0,AO105-AN105))</f>
      </c>
      <c r="AQ105" s="33">
        <f>IF($B105&lt;&gt;"Entry","",SUMPRODUCT(('Q1 Data'!$D$4:$D$207=D105)*('Q1 Data'!$B$4:$B$207="Challan")*'Q1 Data'!$F$4:$F$207)+SUMPRODUCT(('Q2 Data'!$D$4:$D$207=D105)*('Q2 Data'!$B$4:$B$207="Challan")*'Q2 Data'!$F$4:$F$207)+SUMPRODUCT(('Q3 Data'!$D$4:$D$207=D105)*('Q3 Data'!$B$4:$B$207="Challan")*'Q3 Data'!$F$4:$F$207)+SUMPRODUCT(('Q4 Data'!$D$4:$D$207=D105)*('Q4 Data'!$B$4:$B$207="Challan")*'Q4 Data'!$F$4:$F$207))</f>
      </c>
      <c r="AR105" s="34">
        <f>IF(OR($B105&lt;&gt;"Entry",Z105=""),FALSE,AND((SUMPRODUCT(('Q1 Data'!$D$4:$D$207=D105)*('Q1 Data'!$B$4:$B$207="Challan")*('Q1 Data'!$H$4:$H$207&lt;&gt;""))+SUMPRODUCT(('Q2 Data'!$D$4:$D$207=D105)*('Q2 Data'!$B$4:$B$207="Challan")*('Q2 Data'!$H$4:$H$207&lt;&gt;""))+SUMPRODUCT(('Q3 Data'!$D$4:$D$207=D105)*('Q3 Data'!$B$4:$B$207="Challan")*('Q3 Data'!$H$4:$H$207&lt;&gt;""))+SUMPRODUCT(('Q4 Data'!$D$4:$D$207=D105)*('Q4 Data'!$B$4:$B$207="Challan")*('Q4 Data'!$H$4:$H$207&lt;&gt;"")))&gt;0,(SUMPRODUCT(('Q1 Data'!$D$4:$D$207=D105)*('Q1 Data'!$B$4:$B$207="Challan")*('Q1 Data'!$H$4:$H$207=Z105))+SUMPRODUCT(('Q2 Data'!$D$4:$D$207=D105)*('Q2 Data'!$B$4:$B$207="Challan")*('Q2 Data'!$H$4:$H$207=Z105))+SUMPRODUCT(('Q3 Data'!$D$4:$D$207=D105)*('Q3 Data'!$B$4:$B$207="Challan")*('Q3 Data'!$H$4:$H$207=Z105))+SUMPRODUCT(('Q4 Data'!$D$4:$D$207=D105)*('Q4 Data'!$B$4:$B$207="Challan")*('Q4 Data'!$H$4:$H$207=Z105)))=0))</f>
      </c>
    </row>
    <row r="106" spans="1:44" x14ac:dyDescent="0.25">
      <c r="A106" s="20">
        <f>IF($B106="Entry",COUNTIF($B$4:$B106,"Entry"),"")</f>
      </c>
      <c r="B106" s="21"/>
      <c r="C106" s="22"/>
      <c r="D106" s="22"/>
      <c r="E106" s="23">
        <f>IF($B106&lt;&gt;"Challan","",IF(ROUND(AN106-AO106,2)&gt;0,"Over-applied",IF(ROUND(AN106-AO106,2)=0,"Fully Utilised","Unconsumed")))</f>
      </c>
      <c r="F106" s="24"/>
      <c r="G106" s="25"/>
      <c r="H106" s="25"/>
      <c r="I106" s="26"/>
      <c r="J106" s="26"/>
      <c r="K106" s="26"/>
      <c r="L106" s="26"/>
      <c r="M106" s="26"/>
      <c r="N106" s="26"/>
      <c r="O106" s="26"/>
      <c r="P106" s="27">
        <f>IF($B106&lt;&gt;"Challan","",I106+J106+K106+L106+M106+N106)</f>
      </c>
      <c r="Q106" s="25"/>
      <c r="R106" s="25"/>
      <c r="S106" s="25"/>
      <c r="T106" s="25"/>
      <c r="U106" s="25"/>
      <c r="V106" s="28"/>
      <c r="W106" s="28"/>
      <c r="X106" s="23">
        <f>IF($B106="Entry",IF(AND(LEN(TRIM(UPPER(W106)))=10,CODE(MID(TRIM(UPPER(W106)),1,1))&gt;=65,CODE(MID(TRIM(UPPER(W106)),1,1))&lt;=90,CODE(MID(TRIM(UPPER(W106)),2,1))&gt;=65,CODE(MID(TRIM(UPPER(W106)),2,1))&lt;=90,CODE(MID(TRIM(UPPER(W106)),3,1))&gt;=65,CODE(MID(TRIM(UPPER(W106)),3,1))&lt;=90,CODE(MID(TRIM(UPPER(W106)),4,1))&gt;=65,CODE(MID(TRIM(UPPER(W106)),4,1))&lt;=90,CODE(MID(TRIM(UPPER(W106)),5,1))&gt;=65,CODE(MID(TRIM(UPPER(W106)),5,1))&lt;=90,CODE(MID(TRIM(UPPER(W106)),10,1))&gt;=65,CODE(MID(TRIM(UPPER(W106)),10,1))&lt;=90,CODE(MID(TRIM(UPPER(W106)),6,1))&gt;=48,CODE(MID(TRIM(UPPER(W106)),6,1))&lt;=57,CODE(MID(TRIM(UPPER(W106)),7,1))&gt;=48,CODE(MID(TRIM(UPPER(W106)),7,1))&lt;=57,CODE(MID(TRIM(UPPER(W106)),8,1))&gt;=48,CODE(MID(TRIM(UPPER(W106)),8,1))&lt;=57,CODE(MID(TRIM(UPPER(W106)),9,1))&gt;=48,CODE(MID(TRIM(UPPER(W106)),9,1))&lt;=57),"N","Y"),IF($B106="Challan","",IF(W106&lt;&gt;"","◄ Set Row Type","")))</f>
      </c>
      <c r="Y106" s="23">
        <f>IF($B106="Entry",IF(LEN(W106)&lt;4,"",IF(UPPER(MID(W106,4,1))="P","Individual",IF(UPPER(MID(W106,4,1))="H","HUF",IF(UPPER(MID(W106,4,1))="C","Company",IF(UPPER(MID(W106,4,1))="F","Firm",IF(UPPER(MID(W106,4,1))="L","LLP",IF(UPPER(MID(W106,4,1))="T","Trust",IF(UPPER(MID(W106,4,1))="A","AOP","")))))))),IF($B106="Challan","",IF(W106&lt;&gt;"","◄ Set Row Type","")))</f>
      </c>
      <c r="Z106" s="28"/>
      <c r="AA106" s="29">
        <f>IF($B106&lt;&gt;"Entry","",IF(Z106="","",IF(X106="Y",SUMPRODUCT(('Rate Lookup'!$A$1:$A$37=Z106)*'Rate Lookup'!$D$1:$D$37),IF(OR(Y106="Individual",Y106="HUF"),SUMPRODUCT(('Rate Lookup'!$A$1:$A$37=Z106)*'Rate Lookup'!$B$1:$B$37),SUMPRODUCT(('Rate Lookup'!$A$1:$A$37=Z106)*'Rate Lookup'!$C$1:$C$37)))))</f>
      </c>
      <c r="AB106" s="30"/>
      <c r="AC106" s="31"/>
      <c r="AD106" s="27">
        <f>IF($B106&lt;&gt;"Entry","",ROUND(AC106*AA106/100,0))</f>
      </c>
      <c r="AE106" s="27">
        <f>IF($B106&lt;&gt;"Entry","",0)</f>
      </c>
      <c r="AF106" s="27">
        <f>IF($B106&lt;&gt;"Entry","",0)</f>
      </c>
      <c r="AG106" s="27">
        <f>IF($B106&lt;&gt;"Entry","",IF(OR(AD106=0,AB106="",AQ106="",AQ106&lt;=0),0,IF(AQ106&lt;=DATE(YEAR(AB106),MONTH(AB106)+1,7),0,ROUND(AD106*0.015*((YEAR(AQ106)-YEAR(AB106))*12+(MONTH(AQ106)-MONTH(AB106))+1),0))))</f>
      </c>
      <c r="AH106" s="27">
        <f>IF($B106&lt;&gt;"Entry","",0)</f>
      </c>
      <c r="AI106" s="28"/>
      <c r="AJ106" s="28"/>
      <c r="AK106" s="32"/>
      <c r="AL106" s="28"/>
      <c r="AM106" s="28"/>
      <c r="AN106" s="27">
        <f>IF($B106&lt;&gt;"Challan","",SUMIF('Q1 Data'!$D$4:$D$207,D106,'Q1 Data'!$AD$4:$AD$207)+SUMIF('Q1 Data'!$D$4:$D$207,D106,'Q1 Data'!$AG$4:$AG$207)+SUMIF('Q1 Data'!$D$4:$D$207,D106,'Q1 Data'!$AE$4:$AE$207)+SUMIF('Q2 Data'!$D$4:$D$207,D106,'Q2 Data'!$AD$4:$AD$207)+SUMIF('Q2 Data'!$D$4:$D$207,D106,'Q2 Data'!$AG$4:$AG$207)+SUMIF('Q2 Data'!$D$4:$D$207,D106,'Q2 Data'!$AE$4:$AE$207)+SUMIF('Q3 Data'!$D$4:$D$207,D106,'Q3 Data'!$AD$4:$AD$207)+SUMIF('Q3 Data'!$D$4:$D$207,D106,'Q3 Data'!$AG$4:$AG$207)+SUMIF('Q3 Data'!$D$4:$D$207,D106,'Q3 Data'!$AE$4:$AE$207)+SUMIF('Q4 Data'!$D$4:$D$207,D106,'Q4 Data'!$AD$4:$AD$207)+SUMIF('Q4 Data'!$D$4:$D$207,D106,'Q4 Data'!$AG$4:$AG$207)+SUMIF('Q4 Data'!$D$4:$D$207,D106,'Q4 Data'!$AE$4:$AE$207))</f>
      </c>
      <c r="AO106" s="27">
        <f>IF($B106&lt;&gt;"Challan","",P106-N106)</f>
      </c>
      <c r="AP106" s="27">
        <f>IF($B106&lt;&gt;"Challan","",MAX(0,AO106-AN106))</f>
      </c>
      <c r="AQ106" s="33">
        <f>IF($B106&lt;&gt;"Entry","",SUMPRODUCT(('Q1 Data'!$D$4:$D$207=D106)*('Q1 Data'!$B$4:$B$207="Challan")*'Q1 Data'!$F$4:$F$207)+SUMPRODUCT(('Q2 Data'!$D$4:$D$207=D106)*('Q2 Data'!$B$4:$B$207="Challan")*'Q2 Data'!$F$4:$F$207)+SUMPRODUCT(('Q3 Data'!$D$4:$D$207=D106)*('Q3 Data'!$B$4:$B$207="Challan")*'Q3 Data'!$F$4:$F$207)+SUMPRODUCT(('Q4 Data'!$D$4:$D$207=D106)*('Q4 Data'!$B$4:$B$207="Challan")*'Q4 Data'!$F$4:$F$207))</f>
      </c>
      <c r="AR106" s="34">
        <f>IF(OR($B106&lt;&gt;"Entry",Z106=""),FALSE,AND((SUMPRODUCT(('Q1 Data'!$D$4:$D$207=D106)*('Q1 Data'!$B$4:$B$207="Challan")*('Q1 Data'!$H$4:$H$207&lt;&gt;""))+SUMPRODUCT(('Q2 Data'!$D$4:$D$207=D106)*('Q2 Data'!$B$4:$B$207="Challan")*('Q2 Data'!$H$4:$H$207&lt;&gt;""))+SUMPRODUCT(('Q3 Data'!$D$4:$D$207=D106)*('Q3 Data'!$B$4:$B$207="Challan")*('Q3 Data'!$H$4:$H$207&lt;&gt;""))+SUMPRODUCT(('Q4 Data'!$D$4:$D$207=D106)*('Q4 Data'!$B$4:$B$207="Challan")*('Q4 Data'!$H$4:$H$207&lt;&gt;"")))&gt;0,(SUMPRODUCT(('Q1 Data'!$D$4:$D$207=D106)*('Q1 Data'!$B$4:$B$207="Challan")*('Q1 Data'!$H$4:$H$207=Z106))+SUMPRODUCT(('Q2 Data'!$D$4:$D$207=D106)*('Q2 Data'!$B$4:$B$207="Challan")*('Q2 Data'!$H$4:$H$207=Z106))+SUMPRODUCT(('Q3 Data'!$D$4:$D$207=D106)*('Q3 Data'!$B$4:$B$207="Challan")*('Q3 Data'!$H$4:$H$207=Z106))+SUMPRODUCT(('Q4 Data'!$D$4:$D$207=D106)*('Q4 Data'!$B$4:$B$207="Challan")*('Q4 Data'!$H$4:$H$207=Z106)))=0))</f>
      </c>
    </row>
    <row r="107" spans="1:44" x14ac:dyDescent="0.25">
      <c r="A107" s="20">
        <f>IF($B107="Entry",COUNTIF($B$4:$B107,"Entry"),"")</f>
      </c>
      <c r="B107" s="21"/>
      <c r="C107" s="22"/>
      <c r="D107" s="22"/>
      <c r="E107" s="23">
        <f>IF($B107&lt;&gt;"Challan","",IF(ROUND(AN107-AO107,2)&gt;0,"Over-applied",IF(ROUND(AN107-AO107,2)=0,"Fully Utilised","Unconsumed")))</f>
      </c>
      <c r="F107" s="24"/>
      <c r="G107" s="25"/>
      <c r="H107" s="25"/>
      <c r="I107" s="26"/>
      <c r="J107" s="26"/>
      <c r="K107" s="26"/>
      <c r="L107" s="26"/>
      <c r="M107" s="26"/>
      <c r="N107" s="26"/>
      <c r="O107" s="26"/>
      <c r="P107" s="27">
        <f>IF($B107&lt;&gt;"Challan","",I107+J107+K107+L107+M107+N107)</f>
      </c>
      <c r="Q107" s="25"/>
      <c r="R107" s="25"/>
      <c r="S107" s="25"/>
      <c r="T107" s="25"/>
      <c r="U107" s="25"/>
      <c r="V107" s="28"/>
      <c r="W107" s="28"/>
      <c r="X107" s="23">
        <f>IF($B107="Entry",IF(AND(LEN(TRIM(UPPER(W107)))=10,CODE(MID(TRIM(UPPER(W107)),1,1))&gt;=65,CODE(MID(TRIM(UPPER(W107)),1,1))&lt;=90,CODE(MID(TRIM(UPPER(W107)),2,1))&gt;=65,CODE(MID(TRIM(UPPER(W107)),2,1))&lt;=90,CODE(MID(TRIM(UPPER(W107)),3,1))&gt;=65,CODE(MID(TRIM(UPPER(W107)),3,1))&lt;=90,CODE(MID(TRIM(UPPER(W107)),4,1))&gt;=65,CODE(MID(TRIM(UPPER(W107)),4,1))&lt;=90,CODE(MID(TRIM(UPPER(W107)),5,1))&gt;=65,CODE(MID(TRIM(UPPER(W107)),5,1))&lt;=90,CODE(MID(TRIM(UPPER(W107)),10,1))&gt;=65,CODE(MID(TRIM(UPPER(W107)),10,1))&lt;=90,CODE(MID(TRIM(UPPER(W107)),6,1))&gt;=48,CODE(MID(TRIM(UPPER(W107)),6,1))&lt;=57,CODE(MID(TRIM(UPPER(W107)),7,1))&gt;=48,CODE(MID(TRIM(UPPER(W107)),7,1))&lt;=57,CODE(MID(TRIM(UPPER(W107)),8,1))&gt;=48,CODE(MID(TRIM(UPPER(W107)),8,1))&lt;=57,CODE(MID(TRIM(UPPER(W107)),9,1))&gt;=48,CODE(MID(TRIM(UPPER(W107)),9,1))&lt;=57),"N","Y"),IF($B107="Challan","",IF(W107&lt;&gt;"","◄ Set Row Type","")))</f>
      </c>
      <c r="Y107" s="23">
        <f>IF($B107="Entry",IF(LEN(W107)&lt;4,"",IF(UPPER(MID(W107,4,1))="P","Individual",IF(UPPER(MID(W107,4,1))="H","HUF",IF(UPPER(MID(W107,4,1))="C","Company",IF(UPPER(MID(W107,4,1))="F","Firm",IF(UPPER(MID(W107,4,1))="L","LLP",IF(UPPER(MID(W107,4,1))="T","Trust",IF(UPPER(MID(W107,4,1))="A","AOP","")))))))),IF($B107="Challan","",IF(W107&lt;&gt;"","◄ Set Row Type","")))</f>
      </c>
      <c r="Z107" s="28"/>
      <c r="AA107" s="29">
        <f>IF($B107&lt;&gt;"Entry","",IF(Z107="","",IF(X107="Y",SUMPRODUCT(('Rate Lookup'!$A$1:$A$37=Z107)*'Rate Lookup'!$D$1:$D$37),IF(OR(Y107="Individual",Y107="HUF"),SUMPRODUCT(('Rate Lookup'!$A$1:$A$37=Z107)*'Rate Lookup'!$B$1:$B$37),SUMPRODUCT(('Rate Lookup'!$A$1:$A$37=Z107)*'Rate Lookup'!$C$1:$C$37)))))</f>
      </c>
      <c r="AB107" s="30"/>
      <c r="AC107" s="31"/>
      <c r="AD107" s="27">
        <f>IF($B107&lt;&gt;"Entry","",ROUND(AC107*AA107/100,0))</f>
      </c>
      <c r="AE107" s="27">
        <f>IF($B107&lt;&gt;"Entry","",0)</f>
      </c>
      <c r="AF107" s="27">
        <f>IF($B107&lt;&gt;"Entry","",0)</f>
      </c>
      <c r="AG107" s="27">
        <f>IF($B107&lt;&gt;"Entry","",IF(OR(AD107=0,AB107="",AQ107="",AQ107&lt;=0),0,IF(AQ107&lt;=DATE(YEAR(AB107),MONTH(AB107)+1,7),0,ROUND(AD107*0.015*((YEAR(AQ107)-YEAR(AB107))*12+(MONTH(AQ107)-MONTH(AB107))+1),0))))</f>
      </c>
      <c r="AH107" s="27">
        <f>IF($B107&lt;&gt;"Entry","",0)</f>
      </c>
      <c r="AI107" s="28"/>
      <c r="AJ107" s="28"/>
      <c r="AK107" s="32"/>
      <c r="AL107" s="28"/>
      <c r="AM107" s="28"/>
      <c r="AN107" s="27">
        <f>IF($B107&lt;&gt;"Challan","",SUMIF('Q1 Data'!$D$4:$D$207,D107,'Q1 Data'!$AD$4:$AD$207)+SUMIF('Q1 Data'!$D$4:$D$207,D107,'Q1 Data'!$AG$4:$AG$207)+SUMIF('Q1 Data'!$D$4:$D$207,D107,'Q1 Data'!$AE$4:$AE$207)+SUMIF('Q2 Data'!$D$4:$D$207,D107,'Q2 Data'!$AD$4:$AD$207)+SUMIF('Q2 Data'!$D$4:$D$207,D107,'Q2 Data'!$AG$4:$AG$207)+SUMIF('Q2 Data'!$D$4:$D$207,D107,'Q2 Data'!$AE$4:$AE$207)+SUMIF('Q3 Data'!$D$4:$D$207,D107,'Q3 Data'!$AD$4:$AD$207)+SUMIF('Q3 Data'!$D$4:$D$207,D107,'Q3 Data'!$AG$4:$AG$207)+SUMIF('Q3 Data'!$D$4:$D$207,D107,'Q3 Data'!$AE$4:$AE$207)+SUMIF('Q4 Data'!$D$4:$D$207,D107,'Q4 Data'!$AD$4:$AD$207)+SUMIF('Q4 Data'!$D$4:$D$207,D107,'Q4 Data'!$AG$4:$AG$207)+SUMIF('Q4 Data'!$D$4:$D$207,D107,'Q4 Data'!$AE$4:$AE$207))</f>
      </c>
      <c r="AO107" s="27">
        <f>IF($B107&lt;&gt;"Challan","",P107-N107)</f>
      </c>
      <c r="AP107" s="27">
        <f>IF($B107&lt;&gt;"Challan","",MAX(0,AO107-AN107))</f>
      </c>
      <c r="AQ107" s="33">
        <f>IF($B107&lt;&gt;"Entry","",SUMPRODUCT(('Q1 Data'!$D$4:$D$207=D107)*('Q1 Data'!$B$4:$B$207="Challan")*'Q1 Data'!$F$4:$F$207)+SUMPRODUCT(('Q2 Data'!$D$4:$D$207=D107)*('Q2 Data'!$B$4:$B$207="Challan")*'Q2 Data'!$F$4:$F$207)+SUMPRODUCT(('Q3 Data'!$D$4:$D$207=D107)*('Q3 Data'!$B$4:$B$207="Challan")*'Q3 Data'!$F$4:$F$207)+SUMPRODUCT(('Q4 Data'!$D$4:$D$207=D107)*('Q4 Data'!$B$4:$B$207="Challan")*'Q4 Data'!$F$4:$F$207))</f>
      </c>
      <c r="AR107" s="34">
        <f>IF(OR($B107&lt;&gt;"Entry",Z107=""),FALSE,AND((SUMPRODUCT(('Q1 Data'!$D$4:$D$207=D107)*('Q1 Data'!$B$4:$B$207="Challan")*('Q1 Data'!$H$4:$H$207&lt;&gt;""))+SUMPRODUCT(('Q2 Data'!$D$4:$D$207=D107)*('Q2 Data'!$B$4:$B$207="Challan")*('Q2 Data'!$H$4:$H$207&lt;&gt;""))+SUMPRODUCT(('Q3 Data'!$D$4:$D$207=D107)*('Q3 Data'!$B$4:$B$207="Challan")*('Q3 Data'!$H$4:$H$207&lt;&gt;""))+SUMPRODUCT(('Q4 Data'!$D$4:$D$207=D107)*('Q4 Data'!$B$4:$B$207="Challan")*('Q4 Data'!$H$4:$H$207&lt;&gt;"")))&gt;0,(SUMPRODUCT(('Q1 Data'!$D$4:$D$207=D107)*('Q1 Data'!$B$4:$B$207="Challan")*('Q1 Data'!$H$4:$H$207=Z107))+SUMPRODUCT(('Q2 Data'!$D$4:$D$207=D107)*('Q2 Data'!$B$4:$B$207="Challan")*('Q2 Data'!$H$4:$H$207=Z107))+SUMPRODUCT(('Q3 Data'!$D$4:$D$207=D107)*('Q3 Data'!$B$4:$B$207="Challan")*('Q3 Data'!$H$4:$H$207=Z107))+SUMPRODUCT(('Q4 Data'!$D$4:$D$207=D107)*('Q4 Data'!$B$4:$B$207="Challan")*('Q4 Data'!$H$4:$H$207=Z107)))=0))</f>
      </c>
    </row>
    <row r="108" spans="1:44" x14ac:dyDescent="0.25">
      <c r="A108" s="20">
        <f>IF($B108="Entry",COUNTIF($B$4:$B108,"Entry"),"")</f>
      </c>
      <c r="B108" s="21"/>
      <c r="C108" s="22"/>
      <c r="D108" s="22"/>
      <c r="E108" s="23">
        <f>IF($B108&lt;&gt;"Challan","",IF(ROUND(AN108-AO108,2)&gt;0,"Over-applied",IF(ROUND(AN108-AO108,2)=0,"Fully Utilised","Unconsumed")))</f>
      </c>
      <c r="F108" s="24"/>
      <c r="G108" s="25"/>
      <c r="H108" s="25"/>
      <c r="I108" s="26"/>
      <c r="J108" s="26"/>
      <c r="K108" s="26"/>
      <c r="L108" s="26"/>
      <c r="M108" s="26"/>
      <c r="N108" s="26"/>
      <c r="O108" s="26"/>
      <c r="P108" s="27">
        <f>IF($B108&lt;&gt;"Challan","",I108+J108+K108+L108+M108+N108)</f>
      </c>
      <c r="Q108" s="25"/>
      <c r="R108" s="25"/>
      <c r="S108" s="25"/>
      <c r="T108" s="25"/>
      <c r="U108" s="25"/>
      <c r="V108" s="28"/>
      <c r="W108" s="28"/>
      <c r="X108" s="23">
        <f>IF($B108="Entry",IF(AND(LEN(TRIM(UPPER(W108)))=10,CODE(MID(TRIM(UPPER(W108)),1,1))&gt;=65,CODE(MID(TRIM(UPPER(W108)),1,1))&lt;=90,CODE(MID(TRIM(UPPER(W108)),2,1))&gt;=65,CODE(MID(TRIM(UPPER(W108)),2,1))&lt;=90,CODE(MID(TRIM(UPPER(W108)),3,1))&gt;=65,CODE(MID(TRIM(UPPER(W108)),3,1))&lt;=90,CODE(MID(TRIM(UPPER(W108)),4,1))&gt;=65,CODE(MID(TRIM(UPPER(W108)),4,1))&lt;=90,CODE(MID(TRIM(UPPER(W108)),5,1))&gt;=65,CODE(MID(TRIM(UPPER(W108)),5,1))&lt;=90,CODE(MID(TRIM(UPPER(W108)),10,1))&gt;=65,CODE(MID(TRIM(UPPER(W108)),10,1))&lt;=90,CODE(MID(TRIM(UPPER(W108)),6,1))&gt;=48,CODE(MID(TRIM(UPPER(W108)),6,1))&lt;=57,CODE(MID(TRIM(UPPER(W108)),7,1))&gt;=48,CODE(MID(TRIM(UPPER(W108)),7,1))&lt;=57,CODE(MID(TRIM(UPPER(W108)),8,1))&gt;=48,CODE(MID(TRIM(UPPER(W108)),8,1))&lt;=57,CODE(MID(TRIM(UPPER(W108)),9,1))&gt;=48,CODE(MID(TRIM(UPPER(W108)),9,1))&lt;=57),"N","Y"),IF($B108="Challan","",IF(W108&lt;&gt;"","◄ Set Row Type","")))</f>
      </c>
      <c r="Y108" s="23">
        <f>IF($B108="Entry",IF(LEN(W108)&lt;4,"",IF(UPPER(MID(W108,4,1))="P","Individual",IF(UPPER(MID(W108,4,1))="H","HUF",IF(UPPER(MID(W108,4,1))="C","Company",IF(UPPER(MID(W108,4,1))="F","Firm",IF(UPPER(MID(W108,4,1))="L","LLP",IF(UPPER(MID(W108,4,1))="T","Trust",IF(UPPER(MID(W108,4,1))="A","AOP","")))))))),IF($B108="Challan","",IF(W108&lt;&gt;"","◄ Set Row Type","")))</f>
      </c>
      <c r="Z108" s="28"/>
      <c r="AA108" s="29">
        <f>IF($B108&lt;&gt;"Entry","",IF(Z108="","",IF(X108="Y",SUMPRODUCT(('Rate Lookup'!$A$1:$A$37=Z108)*'Rate Lookup'!$D$1:$D$37),IF(OR(Y108="Individual",Y108="HUF"),SUMPRODUCT(('Rate Lookup'!$A$1:$A$37=Z108)*'Rate Lookup'!$B$1:$B$37),SUMPRODUCT(('Rate Lookup'!$A$1:$A$37=Z108)*'Rate Lookup'!$C$1:$C$37)))))</f>
      </c>
      <c r="AB108" s="30"/>
      <c r="AC108" s="31"/>
      <c r="AD108" s="27">
        <f>IF($B108&lt;&gt;"Entry","",ROUND(AC108*AA108/100,0))</f>
      </c>
      <c r="AE108" s="27">
        <f>IF($B108&lt;&gt;"Entry","",0)</f>
      </c>
      <c r="AF108" s="27">
        <f>IF($B108&lt;&gt;"Entry","",0)</f>
      </c>
      <c r="AG108" s="27">
        <f>IF($B108&lt;&gt;"Entry","",IF(OR(AD108=0,AB108="",AQ108="",AQ108&lt;=0),0,IF(AQ108&lt;=DATE(YEAR(AB108),MONTH(AB108)+1,7),0,ROUND(AD108*0.015*((YEAR(AQ108)-YEAR(AB108))*12+(MONTH(AQ108)-MONTH(AB108))+1),0))))</f>
      </c>
      <c r="AH108" s="27">
        <f>IF($B108&lt;&gt;"Entry","",0)</f>
      </c>
      <c r="AI108" s="28"/>
      <c r="AJ108" s="28"/>
      <c r="AK108" s="32"/>
      <c r="AL108" s="28"/>
      <c r="AM108" s="28"/>
      <c r="AN108" s="27">
        <f>IF($B108&lt;&gt;"Challan","",SUMIF('Q1 Data'!$D$4:$D$207,D108,'Q1 Data'!$AD$4:$AD$207)+SUMIF('Q1 Data'!$D$4:$D$207,D108,'Q1 Data'!$AG$4:$AG$207)+SUMIF('Q1 Data'!$D$4:$D$207,D108,'Q1 Data'!$AE$4:$AE$207)+SUMIF('Q2 Data'!$D$4:$D$207,D108,'Q2 Data'!$AD$4:$AD$207)+SUMIF('Q2 Data'!$D$4:$D$207,D108,'Q2 Data'!$AG$4:$AG$207)+SUMIF('Q2 Data'!$D$4:$D$207,D108,'Q2 Data'!$AE$4:$AE$207)+SUMIF('Q3 Data'!$D$4:$D$207,D108,'Q3 Data'!$AD$4:$AD$207)+SUMIF('Q3 Data'!$D$4:$D$207,D108,'Q3 Data'!$AG$4:$AG$207)+SUMIF('Q3 Data'!$D$4:$D$207,D108,'Q3 Data'!$AE$4:$AE$207)+SUMIF('Q4 Data'!$D$4:$D$207,D108,'Q4 Data'!$AD$4:$AD$207)+SUMIF('Q4 Data'!$D$4:$D$207,D108,'Q4 Data'!$AG$4:$AG$207)+SUMIF('Q4 Data'!$D$4:$D$207,D108,'Q4 Data'!$AE$4:$AE$207))</f>
      </c>
      <c r="AO108" s="27">
        <f>IF($B108&lt;&gt;"Challan","",P108-N108)</f>
      </c>
      <c r="AP108" s="27">
        <f>IF($B108&lt;&gt;"Challan","",MAX(0,AO108-AN108))</f>
      </c>
      <c r="AQ108" s="33">
        <f>IF($B108&lt;&gt;"Entry","",SUMPRODUCT(('Q1 Data'!$D$4:$D$207=D108)*('Q1 Data'!$B$4:$B$207="Challan")*'Q1 Data'!$F$4:$F$207)+SUMPRODUCT(('Q2 Data'!$D$4:$D$207=D108)*('Q2 Data'!$B$4:$B$207="Challan")*'Q2 Data'!$F$4:$F$207)+SUMPRODUCT(('Q3 Data'!$D$4:$D$207=D108)*('Q3 Data'!$B$4:$B$207="Challan")*'Q3 Data'!$F$4:$F$207)+SUMPRODUCT(('Q4 Data'!$D$4:$D$207=D108)*('Q4 Data'!$B$4:$B$207="Challan")*'Q4 Data'!$F$4:$F$207))</f>
      </c>
      <c r="AR108" s="34">
        <f>IF(OR($B108&lt;&gt;"Entry",Z108=""),FALSE,AND((SUMPRODUCT(('Q1 Data'!$D$4:$D$207=D108)*('Q1 Data'!$B$4:$B$207="Challan")*('Q1 Data'!$H$4:$H$207&lt;&gt;""))+SUMPRODUCT(('Q2 Data'!$D$4:$D$207=D108)*('Q2 Data'!$B$4:$B$207="Challan")*('Q2 Data'!$H$4:$H$207&lt;&gt;""))+SUMPRODUCT(('Q3 Data'!$D$4:$D$207=D108)*('Q3 Data'!$B$4:$B$207="Challan")*('Q3 Data'!$H$4:$H$207&lt;&gt;""))+SUMPRODUCT(('Q4 Data'!$D$4:$D$207=D108)*('Q4 Data'!$B$4:$B$207="Challan")*('Q4 Data'!$H$4:$H$207&lt;&gt;"")))&gt;0,(SUMPRODUCT(('Q1 Data'!$D$4:$D$207=D108)*('Q1 Data'!$B$4:$B$207="Challan")*('Q1 Data'!$H$4:$H$207=Z108))+SUMPRODUCT(('Q2 Data'!$D$4:$D$207=D108)*('Q2 Data'!$B$4:$B$207="Challan")*('Q2 Data'!$H$4:$H$207=Z108))+SUMPRODUCT(('Q3 Data'!$D$4:$D$207=D108)*('Q3 Data'!$B$4:$B$207="Challan")*('Q3 Data'!$H$4:$H$207=Z108))+SUMPRODUCT(('Q4 Data'!$D$4:$D$207=D108)*('Q4 Data'!$B$4:$B$207="Challan")*('Q4 Data'!$H$4:$H$207=Z108)))=0))</f>
      </c>
    </row>
    <row r="109" spans="1:44" x14ac:dyDescent="0.25">
      <c r="A109" s="20">
        <f>IF($B109="Entry",COUNTIF($B$4:$B109,"Entry"),"")</f>
      </c>
      <c r="B109" s="21"/>
      <c r="C109" s="22"/>
      <c r="D109" s="22"/>
      <c r="E109" s="23">
        <f>IF($B109&lt;&gt;"Challan","",IF(ROUND(AN109-AO109,2)&gt;0,"Over-applied",IF(ROUND(AN109-AO109,2)=0,"Fully Utilised","Unconsumed")))</f>
      </c>
      <c r="F109" s="24"/>
      <c r="G109" s="25"/>
      <c r="H109" s="25"/>
      <c r="I109" s="26"/>
      <c r="J109" s="26"/>
      <c r="K109" s="26"/>
      <c r="L109" s="26"/>
      <c r="M109" s="26"/>
      <c r="N109" s="26"/>
      <c r="O109" s="26"/>
      <c r="P109" s="27">
        <f>IF($B109&lt;&gt;"Challan","",I109+J109+K109+L109+M109+N109)</f>
      </c>
      <c r="Q109" s="25"/>
      <c r="R109" s="25"/>
      <c r="S109" s="25"/>
      <c r="T109" s="25"/>
      <c r="U109" s="25"/>
      <c r="V109" s="28"/>
      <c r="W109" s="28"/>
      <c r="X109" s="23">
        <f>IF($B109="Entry",IF(AND(LEN(TRIM(UPPER(W109)))=10,CODE(MID(TRIM(UPPER(W109)),1,1))&gt;=65,CODE(MID(TRIM(UPPER(W109)),1,1))&lt;=90,CODE(MID(TRIM(UPPER(W109)),2,1))&gt;=65,CODE(MID(TRIM(UPPER(W109)),2,1))&lt;=90,CODE(MID(TRIM(UPPER(W109)),3,1))&gt;=65,CODE(MID(TRIM(UPPER(W109)),3,1))&lt;=90,CODE(MID(TRIM(UPPER(W109)),4,1))&gt;=65,CODE(MID(TRIM(UPPER(W109)),4,1))&lt;=90,CODE(MID(TRIM(UPPER(W109)),5,1))&gt;=65,CODE(MID(TRIM(UPPER(W109)),5,1))&lt;=90,CODE(MID(TRIM(UPPER(W109)),10,1))&gt;=65,CODE(MID(TRIM(UPPER(W109)),10,1))&lt;=90,CODE(MID(TRIM(UPPER(W109)),6,1))&gt;=48,CODE(MID(TRIM(UPPER(W109)),6,1))&lt;=57,CODE(MID(TRIM(UPPER(W109)),7,1))&gt;=48,CODE(MID(TRIM(UPPER(W109)),7,1))&lt;=57,CODE(MID(TRIM(UPPER(W109)),8,1))&gt;=48,CODE(MID(TRIM(UPPER(W109)),8,1))&lt;=57,CODE(MID(TRIM(UPPER(W109)),9,1))&gt;=48,CODE(MID(TRIM(UPPER(W109)),9,1))&lt;=57),"N","Y"),IF($B109="Challan","",IF(W109&lt;&gt;"","◄ Set Row Type","")))</f>
      </c>
      <c r="Y109" s="23">
        <f>IF($B109="Entry",IF(LEN(W109)&lt;4,"",IF(UPPER(MID(W109,4,1))="P","Individual",IF(UPPER(MID(W109,4,1))="H","HUF",IF(UPPER(MID(W109,4,1))="C","Company",IF(UPPER(MID(W109,4,1))="F","Firm",IF(UPPER(MID(W109,4,1))="L","LLP",IF(UPPER(MID(W109,4,1))="T","Trust",IF(UPPER(MID(W109,4,1))="A","AOP","")))))))),IF($B109="Challan","",IF(W109&lt;&gt;"","◄ Set Row Type","")))</f>
      </c>
      <c r="Z109" s="28"/>
      <c r="AA109" s="29">
        <f>IF($B109&lt;&gt;"Entry","",IF(Z109="","",IF(X109="Y",SUMPRODUCT(('Rate Lookup'!$A$1:$A$37=Z109)*'Rate Lookup'!$D$1:$D$37),IF(OR(Y109="Individual",Y109="HUF"),SUMPRODUCT(('Rate Lookup'!$A$1:$A$37=Z109)*'Rate Lookup'!$B$1:$B$37),SUMPRODUCT(('Rate Lookup'!$A$1:$A$37=Z109)*'Rate Lookup'!$C$1:$C$37)))))</f>
      </c>
      <c r="AB109" s="30"/>
      <c r="AC109" s="31"/>
      <c r="AD109" s="27">
        <f>IF($B109&lt;&gt;"Entry","",ROUND(AC109*AA109/100,0))</f>
      </c>
      <c r="AE109" s="27">
        <f>IF($B109&lt;&gt;"Entry","",0)</f>
      </c>
      <c r="AF109" s="27">
        <f>IF($B109&lt;&gt;"Entry","",0)</f>
      </c>
      <c r="AG109" s="27">
        <f>IF($B109&lt;&gt;"Entry","",IF(OR(AD109=0,AB109="",AQ109="",AQ109&lt;=0),0,IF(AQ109&lt;=DATE(YEAR(AB109),MONTH(AB109)+1,7),0,ROUND(AD109*0.015*((YEAR(AQ109)-YEAR(AB109))*12+(MONTH(AQ109)-MONTH(AB109))+1),0))))</f>
      </c>
      <c r="AH109" s="27">
        <f>IF($B109&lt;&gt;"Entry","",0)</f>
      </c>
      <c r="AI109" s="28"/>
      <c r="AJ109" s="28"/>
      <c r="AK109" s="32"/>
      <c r="AL109" s="28"/>
      <c r="AM109" s="28"/>
      <c r="AN109" s="27">
        <f>IF($B109&lt;&gt;"Challan","",SUMIF('Q1 Data'!$D$4:$D$207,D109,'Q1 Data'!$AD$4:$AD$207)+SUMIF('Q1 Data'!$D$4:$D$207,D109,'Q1 Data'!$AG$4:$AG$207)+SUMIF('Q1 Data'!$D$4:$D$207,D109,'Q1 Data'!$AE$4:$AE$207)+SUMIF('Q2 Data'!$D$4:$D$207,D109,'Q2 Data'!$AD$4:$AD$207)+SUMIF('Q2 Data'!$D$4:$D$207,D109,'Q2 Data'!$AG$4:$AG$207)+SUMIF('Q2 Data'!$D$4:$D$207,D109,'Q2 Data'!$AE$4:$AE$207)+SUMIF('Q3 Data'!$D$4:$D$207,D109,'Q3 Data'!$AD$4:$AD$207)+SUMIF('Q3 Data'!$D$4:$D$207,D109,'Q3 Data'!$AG$4:$AG$207)+SUMIF('Q3 Data'!$D$4:$D$207,D109,'Q3 Data'!$AE$4:$AE$207)+SUMIF('Q4 Data'!$D$4:$D$207,D109,'Q4 Data'!$AD$4:$AD$207)+SUMIF('Q4 Data'!$D$4:$D$207,D109,'Q4 Data'!$AG$4:$AG$207)+SUMIF('Q4 Data'!$D$4:$D$207,D109,'Q4 Data'!$AE$4:$AE$207))</f>
      </c>
      <c r="AO109" s="27">
        <f>IF($B109&lt;&gt;"Challan","",P109-N109)</f>
      </c>
      <c r="AP109" s="27">
        <f>IF($B109&lt;&gt;"Challan","",MAX(0,AO109-AN109))</f>
      </c>
      <c r="AQ109" s="33">
        <f>IF($B109&lt;&gt;"Entry","",SUMPRODUCT(('Q1 Data'!$D$4:$D$207=D109)*('Q1 Data'!$B$4:$B$207="Challan")*'Q1 Data'!$F$4:$F$207)+SUMPRODUCT(('Q2 Data'!$D$4:$D$207=D109)*('Q2 Data'!$B$4:$B$207="Challan")*'Q2 Data'!$F$4:$F$207)+SUMPRODUCT(('Q3 Data'!$D$4:$D$207=D109)*('Q3 Data'!$B$4:$B$207="Challan")*'Q3 Data'!$F$4:$F$207)+SUMPRODUCT(('Q4 Data'!$D$4:$D$207=D109)*('Q4 Data'!$B$4:$B$207="Challan")*'Q4 Data'!$F$4:$F$207))</f>
      </c>
      <c r="AR109" s="34">
        <f>IF(OR($B109&lt;&gt;"Entry",Z109=""),FALSE,AND((SUMPRODUCT(('Q1 Data'!$D$4:$D$207=D109)*('Q1 Data'!$B$4:$B$207="Challan")*('Q1 Data'!$H$4:$H$207&lt;&gt;""))+SUMPRODUCT(('Q2 Data'!$D$4:$D$207=D109)*('Q2 Data'!$B$4:$B$207="Challan")*('Q2 Data'!$H$4:$H$207&lt;&gt;""))+SUMPRODUCT(('Q3 Data'!$D$4:$D$207=D109)*('Q3 Data'!$B$4:$B$207="Challan")*('Q3 Data'!$H$4:$H$207&lt;&gt;""))+SUMPRODUCT(('Q4 Data'!$D$4:$D$207=D109)*('Q4 Data'!$B$4:$B$207="Challan")*('Q4 Data'!$H$4:$H$207&lt;&gt;"")))&gt;0,(SUMPRODUCT(('Q1 Data'!$D$4:$D$207=D109)*('Q1 Data'!$B$4:$B$207="Challan")*('Q1 Data'!$H$4:$H$207=Z109))+SUMPRODUCT(('Q2 Data'!$D$4:$D$207=D109)*('Q2 Data'!$B$4:$B$207="Challan")*('Q2 Data'!$H$4:$H$207=Z109))+SUMPRODUCT(('Q3 Data'!$D$4:$D$207=D109)*('Q3 Data'!$B$4:$B$207="Challan")*('Q3 Data'!$H$4:$H$207=Z109))+SUMPRODUCT(('Q4 Data'!$D$4:$D$207=D109)*('Q4 Data'!$B$4:$B$207="Challan")*('Q4 Data'!$H$4:$H$207=Z109)))=0))</f>
      </c>
    </row>
    <row r="110" spans="1:44" x14ac:dyDescent="0.25">
      <c r="A110" s="20">
        <f>IF($B110="Entry",COUNTIF($B$4:$B110,"Entry"),"")</f>
      </c>
      <c r="B110" s="21"/>
      <c r="C110" s="22"/>
      <c r="D110" s="22"/>
      <c r="E110" s="23">
        <f>IF($B110&lt;&gt;"Challan","",IF(ROUND(AN110-AO110,2)&gt;0,"Over-applied",IF(ROUND(AN110-AO110,2)=0,"Fully Utilised","Unconsumed")))</f>
      </c>
      <c r="F110" s="24"/>
      <c r="G110" s="25"/>
      <c r="H110" s="25"/>
      <c r="I110" s="26"/>
      <c r="J110" s="26"/>
      <c r="K110" s="26"/>
      <c r="L110" s="26"/>
      <c r="M110" s="26"/>
      <c r="N110" s="26"/>
      <c r="O110" s="26"/>
      <c r="P110" s="27">
        <f>IF($B110&lt;&gt;"Challan","",I110+J110+K110+L110+M110+N110)</f>
      </c>
      <c r="Q110" s="25"/>
      <c r="R110" s="25"/>
      <c r="S110" s="25"/>
      <c r="T110" s="25"/>
      <c r="U110" s="25"/>
      <c r="V110" s="28"/>
      <c r="W110" s="28"/>
      <c r="X110" s="23">
        <f>IF($B110="Entry",IF(AND(LEN(TRIM(UPPER(W110)))=10,CODE(MID(TRIM(UPPER(W110)),1,1))&gt;=65,CODE(MID(TRIM(UPPER(W110)),1,1))&lt;=90,CODE(MID(TRIM(UPPER(W110)),2,1))&gt;=65,CODE(MID(TRIM(UPPER(W110)),2,1))&lt;=90,CODE(MID(TRIM(UPPER(W110)),3,1))&gt;=65,CODE(MID(TRIM(UPPER(W110)),3,1))&lt;=90,CODE(MID(TRIM(UPPER(W110)),4,1))&gt;=65,CODE(MID(TRIM(UPPER(W110)),4,1))&lt;=90,CODE(MID(TRIM(UPPER(W110)),5,1))&gt;=65,CODE(MID(TRIM(UPPER(W110)),5,1))&lt;=90,CODE(MID(TRIM(UPPER(W110)),10,1))&gt;=65,CODE(MID(TRIM(UPPER(W110)),10,1))&lt;=90,CODE(MID(TRIM(UPPER(W110)),6,1))&gt;=48,CODE(MID(TRIM(UPPER(W110)),6,1))&lt;=57,CODE(MID(TRIM(UPPER(W110)),7,1))&gt;=48,CODE(MID(TRIM(UPPER(W110)),7,1))&lt;=57,CODE(MID(TRIM(UPPER(W110)),8,1))&gt;=48,CODE(MID(TRIM(UPPER(W110)),8,1))&lt;=57,CODE(MID(TRIM(UPPER(W110)),9,1))&gt;=48,CODE(MID(TRIM(UPPER(W110)),9,1))&lt;=57),"N","Y"),IF($B110="Challan","",IF(W110&lt;&gt;"","◄ Set Row Type","")))</f>
      </c>
      <c r="Y110" s="23">
        <f>IF($B110="Entry",IF(LEN(W110)&lt;4,"",IF(UPPER(MID(W110,4,1))="P","Individual",IF(UPPER(MID(W110,4,1))="H","HUF",IF(UPPER(MID(W110,4,1))="C","Company",IF(UPPER(MID(W110,4,1))="F","Firm",IF(UPPER(MID(W110,4,1))="L","LLP",IF(UPPER(MID(W110,4,1))="T","Trust",IF(UPPER(MID(W110,4,1))="A","AOP","")))))))),IF($B110="Challan","",IF(W110&lt;&gt;"","◄ Set Row Type","")))</f>
      </c>
      <c r="Z110" s="28"/>
      <c r="AA110" s="29">
        <f>IF($B110&lt;&gt;"Entry","",IF(Z110="","",IF(X110="Y",SUMPRODUCT(('Rate Lookup'!$A$1:$A$37=Z110)*'Rate Lookup'!$D$1:$D$37),IF(OR(Y110="Individual",Y110="HUF"),SUMPRODUCT(('Rate Lookup'!$A$1:$A$37=Z110)*'Rate Lookup'!$B$1:$B$37),SUMPRODUCT(('Rate Lookup'!$A$1:$A$37=Z110)*'Rate Lookup'!$C$1:$C$37)))))</f>
      </c>
      <c r="AB110" s="30"/>
      <c r="AC110" s="31"/>
      <c r="AD110" s="27">
        <f>IF($B110&lt;&gt;"Entry","",ROUND(AC110*AA110/100,0))</f>
      </c>
      <c r="AE110" s="27">
        <f>IF($B110&lt;&gt;"Entry","",0)</f>
      </c>
      <c r="AF110" s="27">
        <f>IF($B110&lt;&gt;"Entry","",0)</f>
      </c>
      <c r="AG110" s="27">
        <f>IF($B110&lt;&gt;"Entry","",IF(OR(AD110=0,AB110="",AQ110="",AQ110&lt;=0),0,IF(AQ110&lt;=DATE(YEAR(AB110),MONTH(AB110)+1,7),0,ROUND(AD110*0.015*((YEAR(AQ110)-YEAR(AB110))*12+(MONTH(AQ110)-MONTH(AB110))+1),0))))</f>
      </c>
      <c r="AH110" s="27">
        <f>IF($B110&lt;&gt;"Entry","",0)</f>
      </c>
      <c r="AI110" s="28"/>
      <c r="AJ110" s="28"/>
      <c r="AK110" s="32"/>
      <c r="AL110" s="28"/>
      <c r="AM110" s="28"/>
      <c r="AN110" s="27">
        <f>IF($B110&lt;&gt;"Challan","",SUMIF('Q1 Data'!$D$4:$D$207,D110,'Q1 Data'!$AD$4:$AD$207)+SUMIF('Q1 Data'!$D$4:$D$207,D110,'Q1 Data'!$AG$4:$AG$207)+SUMIF('Q1 Data'!$D$4:$D$207,D110,'Q1 Data'!$AE$4:$AE$207)+SUMIF('Q2 Data'!$D$4:$D$207,D110,'Q2 Data'!$AD$4:$AD$207)+SUMIF('Q2 Data'!$D$4:$D$207,D110,'Q2 Data'!$AG$4:$AG$207)+SUMIF('Q2 Data'!$D$4:$D$207,D110,'Q2 Data'!$AE$4:$AE$207)+SUMIF('Q3 Data'!$D$4:$D$207,D110,'Q3 Data'!$AD$4:$AD$207)+SUMIF('Q3 Data'!$D$4:$D$207,D110,'Q3 Data'!$AG$4:$AG$207)+SUMIF('Q3 Data'!$D$4:$D$207,D110,'Q3 Data'!$AE$4:$AE$207)+SUMIF('Q4 Data'!$D$4:$D$207,D110,'Q4 Data'!$AD$4:$AD$207)+SUMIF('Q4 Data'!$D$4:$D$207,D110,'Q4 Data'!$AG$4:$AG$207)+SUMIF('Q4 Data'!$D$4:$D$207,D110,'Q4 Data'!$AE$4:$AE$207))</f>
      </c>
      <c r="AO110" s="27">
        <f>IF($B110&lt;&gt;"Challan","",P110-N110)</f>
      </c>
      <c r="AP110" s="27">
        <f>IF($B110&lt;&gt;"Challan","",MAX(0,AO110-AN110))</f>
      </c>
      <c r="AQ110" s="33">
        <f>IF($B110&lt;&gt;"Entry","",SUMPRODUCT(('Q1 Data'!$D$4:$D$207=D110)*('Q1 Data'!$B$4:$B$207="Challan")*'Q1 Data'!$F$4:$F$207)+SUMPRODUCT(('Q2 Data'!$D$4:$D$207=D110)*('Q2 Data'!$B$4:$B$207="Challan")*'Q2 Data'!$F$4:$F$207)+SUMPRODUCT(('Q3 Data'!$D$4:$D$207=D110)*('Q3 Data'!$B$4:$B$207="Challan")*'Q3 Data'!$F$4:$F$207)+SUMPRODUCT(('Q4 Data'!$D$4:$D$207=D110)*('Q4 Data'!$B$4:$B$207="Challan")*'Q4 Data'!$F$4:$F$207))</f>
      </c>
      <c r="AR110" s="34">
        <f>IF(OR($B110&lt;&gt;"Entry",Z110=""),FALSE,AND((SUMPRODUCT(('Q1 Data'!$D$4:$D$207=D110)*('Q1 Data'!$B$4:$B$207="Challan")*('Q1 Data'!$H$4:$H$207&lt;&gt;""))+SUMPRODUCT(('Q2 Data'!$D$4:$D$207=D110)*('Q2 Data'!$B$4:$B$207="Challan")*('Q2 Data'!$H$4:$H$207&lt;&gt;""))+SUMPRODUCT(('Q3 Data'!$D$4:$D$207=D110)*('Q3 Data'!$B$4:$B$207="Challan")*('Q3 Data'!$H$4:$H$207&lt;&gt;""))+SUMPRODUCT(('Q4 Data'!$D$4:$D$207=D110)*('Q4 Data'!$B$4:$B$207="Challan")*('Q4 Data'!$H$4:$H$207&lt;&gt;"")))&gt;0,(SUMPRODUCT(('Q1 Data'!$D$4:$D$207=D110)*('Q1 Data'!$B$4:$B$207="Challan")*('Q1 Data'!$H$4:$H$207=Z110))+SUMPRODUCT(('Q2 Data'!$D$4:$D$207=D110)*('Q2 Data'!$B$4:$B$207="Challan")*('Q2 Data'!$H$4:$H$207=Z110))+SUMPRODUCT(('Q3 Data'!$D$4:$D$207=D110)*('Q3 Data'!$B$4:$B$207="Challan")*('Q3 Data'!$H$4:$H$207=Z110))+SUMPRODUCT(('Q4 Data'!$D$4:$D$207=D110)*('Q4 Data'!$B$4:$B$207="Challan")*('Q4 Data'!$H$4:$H$207=Z110)))=0))</f>
      </c>
    </row>
    <row r="111" spans="1:44" x14ac:dyDescent="0.25">
      <c r="A111" s="20">
        <f>IF($B111="Entry",COUNTIF($B$4:$B111,"Entry"),"")</f>
      </c>
      <c r="B111" s="21"/>
      <c r="C111" s="22"/>
      <c r="D111" s="22"/>
      <c r="E111" s="23">
        <f>IF($B111&lt;&gt;"Challan","",IF(ROUND(AN111-AO111,2)&gt;0,"Over-applied",IF(ROUND(AN111-AO111,2)=0,"Fully Utilised","Unconsumed")))</f>
      </c>
      <c r="F111" s="24"/>
      <c r="G111" s="25"/>
      <c r="H111" s="25"/>
      <c r="I111" s="26"/>
      <c r="J111" s="26"/>
      <c r="K111" s="26"/>
      <c r="L111" s="26"/>
      <c r="M111" s="26"/>
      <c r="N111" s="26"/>
      <c r="O111" s="26"/>
      <c r="P111" s="27">
        <f>IF($B111&lt;&gt;"Challan","",I111+J111+K111+L111+M111+N111)</f>
      </c>
      <c r="Q111" s="25"/>
      <c r="R111" s="25"/>
      <c r="S111" s="25"/>
      <c r="T111" s="25"/>
      <c r="U111" s="25"/>
      <c r="V111" s="28"/>
      <c r="W111" s="28"/>
      <c r="X111" s="23">
        <f>IF($B111="Entry",IF(AND(LEN(TRIM(UPPER(W111)))=10,CODE(MID(TRIM(UPPER(W111)),1,1))&gt;=65,CODE(MID(TRIM(UPPER(W111)),1,1))&lt;=90,CODE(MID(TRIM(UPPER(W111)),2,1))&gt;=65,CODE(MID(TRIM(UPPER(W111)),2,1))&lt;=90,CODE(MID(TRIM(UPPER(W111)),3,1))&gt;=65,CODE(MID(TRIM(UPPER(W111)),3,1))&lt;=90,CODE(MID(TRIM(UPPER(W111)),4,1))&gt;=65,CODE(MID(TRIM(UPPER(W111)),4,1))&lt;=90,CODE(MID(TRIM(UPPER(W111)),5,1))&gt;=65,CODE(MID(TRIM(UPPER(W111)),5,1))&lt;=90,CODE(MID(TRIM(UPPER(W111)),10,1))&gt;=65,CODE(MID(TRIM(UPPER(W111)),10,1))&lt;=90,CODE(MID(TRIM(UPPER(W111)),6,1))&gt;=48,CODE(MID(TRIM(UPPER(W111)),6,1))&lt;=57,CODE(MID(TRIM(UPPER(W111)),7,1))&gt;=48,CODE(MID(TRIM(UPPER(W111)),7,1))&lt;=57,CODE(MID(TRIM(UPPER(W111)),8,1))&gt;=48,CODE(MID(TRIM(UPPER(W111)),8,1))&lt;=57,CODE(MID(TRIM(UPPER(W111)),9,1))&gt;=48,CODE(MID(TRIM(UPPER(W111)),9,1))&lt;=57),"N","Y"),IF($B111="Challan","",IF(W111&lt;&gt;"","◄ Set Row Type","")))</f>
      </c>
      <c r="Y111" s="23">
        <f>IF($B111="Entry",IF(LEN(W111)&lt;4,"",IF(UPPER(MID(W111,4,1))="P","Individual",IF(UPPER(MID(W111,4,1))="H","HUF",IF(UPPER(MID(W111,4,1))="C","Company",IF(UPPER(MID(W111,4,1))="F","Firm",IF(UPPER(MID(W111,4,1))="L","LLP",IF(UPPER(MID(W111,4,1))="T","Trust",IF(UPPER(MID(W111,4,1))="A","AOP","")))))))),IF($B111="Challan","",IF(W111&lt;&gt;"","◄ Set Row Type","")))</f>
      </c>
      <c r="Z111" s="28"/>
      <c r="AA111" s="29">
        <f>IF($B111&lt;&gt;"Entry","",IF(Z111="","",IF(X111="Y",SUMPRODUCT(('Rate Lookup'!$A$1:$A$37=Z111)*'Rate Lookup'!$D$1:$D$37),IF(OR(Y111="Individual",Y111="HUF"),SUMPRODUCT(('Rate Lookup'!$A$1:$A$37=Z111)*'Rate Lookup'!$B$1:$B$37),SUMPRODUCT(('Rate Lookup'!$A$1:$A$37=Z111)*'Rate Lookup'!$C$1:$C$37)))))</f>
      </c>
      <c r="AB111" s="30"/>
      <c r="AC111" s="31"/>
      <c r="AD111" s="27">
        <f>IF($B111&lt;&gt;"Entry","",ROUND(AC111*AA111/100,0))</f>
      </c>
      <c r="AE111" s="27">
        <f>IF($B111&lt;&gt;"Entry","",0)</f>
      </c>
      <c r="AF111" s="27">
        <f>IF($B111&lt;&gt;"Entry","",0)</f>
      </c>
      <c r="AG111" s="27">
        <f>IF($B111&lt;&gt;"Entry","",IF(OR(AD111=0,AB111="",AQ111="",AQ111&lt;=0),0,IF(AQ111&lt;=DATE(YEAR(AB111),MONTH(AB111)+1,7),0,ROUND(AD111*0.015*((YEAR(AQ111)-YEAR(AB111))*12+(MONTH(AQ111)-MONTH(AB111))+1),0))))</f>
      </c>
      <c r="AH111" s="27">
        <f>IF($B111&lt;&gt;"Entry","",0)</f>
      </c>
      <c r="AI111" s="28"/>
      <c r="AJ111" s="28"/>
      <c r="AK111" s="32"/>
      <c r="AL111" s="28"/>
      <c r="AM111" s="28"/>
      <c r="AN111" s="27">
        <f>IF($B111&lt;&gt;"Challan","",SUMIF('Q1 Data'!$D$4:$D$207,D111,'Q1 Data'!$AD$4:$AD$207)+SUMIF('Q1 Data'!$D$4:$D$207,D111,'Q1 Data'!$AG$4:$AG$207)+SUMIF('Q1 Data'!$D$4:$D$207,D111,'Q1 Data'!$AE$4:$AE$207)+SUMIF('Q2 Data'!$D$4:$D$207,D111,'Q2 Data'!$AD$4:$AD$207)+SUMIF('Q2 Data'!$D$4:$D$207,D111,'Q2 Data'!$AG$4:$AG$207)+SUMIF('Q2 Data'!$D$4:$D$207,D111,'Q2 Data'!$AE$4:$AE$207)+SUMIF('Q3 Data'!$D$4:$D$207,D111,'Q3 Data'!$AD$4:$AD$207)+SUMIF('Q3 Data'!$D$4:$D$207,D111,'Q3 Data'!$AG$4:$AG$207)+SUMIF('Q3 Data'!$D$4:$D$207,D111,'Q3 Data'!$AE$4:$AE$207)+SUMIF('Q4 Data'!$D$4:$D$207,D111,'Q4 Data'!$AD$4:$AD$207)+SUMIF('Q4 Data'!$D$4:$D$207,D111,'Q4 Data'!$AG$4:$AG$207)+SUMIF('Q4 Data'!$D$4:$D$207,D111,'Q4 Data'!$AE$4:$AE$207))</f>
      </c>
      <c r="AO111" s="27">
        <f>IF($B111&lt;&gt;"Challan","",P111-N111)</f>
      </c>
      <c r="AP111" s="27">
        <f>IF($B111&lt;&gt;"Challan","",MAX(0,AO111-AN111))</f>
      </c>
      <c r="AQ111" s="33">
        <f>IF($B111&lt;&gt;"Entry","",SUMPRODUCT(('Q1 Data'!$D$4:$D$207=D111)*('Q1 Data'!$B$4:$B$207="Challan")*'Q1 Data'!$F$4:$F$207)+SUMPRODUCT(('Q2 Data'!$D$4:$D$207=D111)*('Q2 Data'!$B$4:$B$207="Challan")*'Q2 Data'!$F$4:$F$207)+SUMPRODUCT(('Q3 Data'!$D$4:$D$207=D111)*('Q3 Data'!$B$4:$B$207="Challan")*'Q3 Data'!$F$4:$F$207)+SUMPRODUCT(('Q4 Data'!$D$4:$D$207=D111)*('Q4 Data'!$B$4:$B$207="Challan")*'Q4 Data'!$F$4:$F$207))</f>
      </c>
      <c r="AR111" s="34">
        <f>IF(OR($B111&lt;&gt;"Entry",Z111=""),FALSE,AND((SUMPRODUCT(('Q1 Data'!$D$4:$D$207=D111)*('Q1 Data'!$B$4:$B$207="Challan")*('Q1 Data'!$H$4:$H$207&lt;&gt;""))+SUMPRODUCT(('Q2 Data'!$D$4:$D$207=D111)*('Q2 Data'!$B$4:$B$207="Challan")*('Q2 Data'!$H$4:$H$207&lt;&gt;""))+SUMPRODUCT(('Q3 Data'!$D$4:$D$207=D111)*('Q3 Data'!$B$4:$B$207="Challan")*('Q3 Data'!$H$4:$H$207&lt;&gt;""))+SUMPRODUCT(('Q4 Data'!$D$4:$D$207=D111)*('Q4 Data'!$B$4:$B$207="Challan")*('Q4 Data'!$H$4:$H$207&lt;&gt;"")))&gt;0,(SUMPRODUCT(('Q1 Data'!$D$4:$D$207=D111)*('Q1 Data'!$B$4:$B$207="Challan")*('Q1 Data'!$H$4:$H$207=Z111))+SUMPRODUCT(('Q2 Data'!$D$4:$D$207=D111)*('Q2 Data'!$B$4:$B$207="Challan")*('Q2 Data'!$H$4:$H$207=Z111))+SUMPRODUCT(('Q3 Data'!$D$4:$D$207=D111)*('Q3 Data'!$B$4:$B$207="Challan")*('Q3 Data'!$H$4:$H$207=Z111))+SUMPRODUCT(('Q4 Data'!$D$4:$D$207=D111)*('Q4 Data'!$B$4:$B$207="Challan")*('Q4 Data'!$H$4:$H$207=Z111)))=0))</f>
      </c>
    </row>
    <row r="112" spans="1:44" x14ac:dyDescent="0.25">
      <c r="A112" s="20">
        <f>IF($B112="Entry",COUNTIF($B$4:$B112,"Entry"),"")</f>
      </c>
      <c r="B112" s="21"/>
      <c r="C112" s="22"/>
      <c r="D112" s="22"/>
      <c r="E112" s="23">
        <f>IF($B112&lt;&gt;"Challan","",IF(ROUND(AN112-AO112,2)&gt;0,"Over-applied",IF(ROUND(AN112-AO112,2)=0,"Fully Utilised","Unconsumed")))</f>
      </c>
      <c r="F112" s="24"/>
      <c r="G112" s="25"/>
      <c r="H112" s="25"/>
      <c r="I112" s="26"/>
      <c r="J112" s="26"/>
      <c r="K112" s="26"/>
      <c r="L112" s="26"/>
      <c r="M112" s="26"/>
      <c r="N112" s="26"/>
      <c r="O112" s="26"/>
      <c r="P112" s="27">
        <f>IF($B112&lt;&gt;"Challan","",I112+J112+K112+L112+M112+N112)</f>
      </c>
      <c r="Q112" s="25"/>
      <c r="R112" s="25"/>
      <c r="S112" s="25"/>
      <c r="T112" s="25"/>
      <c r="U112" s="25"/>
      <c r="V112" s="28"/>
      <c r="W112" s="28"/>
      <c r="X112" s="23">
        <f>IF($B112="Entry",IF(AND(LEN(TRIM(UPPER(W112)))=10,CODE(MID(TRIM(UPPER(W112)),1,1))&gt;=65,CODE(MID(TRIM(UPPER(W112)),1,1))&lt;=90,CODE(MID(TRIM(UPPER(W112)),2,1))&gt;=65,CODE(MID(TRIM(UPPER(W112)),2,1))&lt;=90,CODE(MID(TRIM(UPPER(W112)),3,1))&gt;=65,CODE(MID(TRIM(UPPER(W112)),3,1))&lt;=90,CODE(MID(TRIM(UPPER(W112)),4,1))&gt;=65,CODE(MID(TRIM(UPPER(W112)),4,1))&lt;=90,CODE(MID(TRIM(UPPER(W112)),5,1))&gt;=65,CODE(MID(TRIM(UPPER(W112)),5,1))&lt;=90,CODE(MID(TRIM(UPPER(W112)),10,1))&gt;=65,CODE(MID(TRIM(UPPER(W112)),10,1))&lt;=90,CODE(MID(TRIM(UPPER(W112)),6,1))&gt;=48,CODE(MID(TRIM(UPPER(W112)),6,1))&lt;=57,CODE(MID(TRIM(UPPER(W112)),7,1))&gt;=48,CODE(MID(TRIM(UPPER(W112)),7,1))&lt;=57,CODE(MID(TRIM(UPPER(W112)),8,1))&gt;=48,CODE(MID(TRIM(UPPER(W112)),8,1))&lt;=57,CODE(MID(TRIM(UPPER(W112)),9,1))&gt;=48,CODE(MID(TRIM(UPPER(W112)),9,1))&lt;=57),"N","Y"),IF($B112="Challan","",IF(W112&lt;&gt;"","◄ Set Row Type","")))</f>
      </c>
      <c r="Y112" s="23">
        <f>IF($B112="Entry",IF(LEN(W112)&lt;4,"",IF(UPPER(MID(W112,4,1))="P","Individual",IF(UPPER(MID(W112,4,1))="H","HUF",IF(UPPER(MID(W112,4,1))="C","Company",IF(UPPER(MID(W112,4,1))="F","Firm",IF(UPPER(MID(W112,4,1))="L","LLP",IF(UPPER(MID(W112,4,1))="T","Trust",IF(UPPER(MID(W112,4,1))="A","AOP","")))))))),IF($B112="Challan","",IF(W112&lt;&gt;"","◄ Set Row Type","")))</f>
      </c>
      <c r="Z112" s="28"/>
      <c r="AA112" s="29">
        <f>IF($B112&lt;&gt;"Entry","",IF(Z112="","",IF(X112="Y",SUMPRODUCT(('Rate Lookup'!$A$1:$A$37=Z112)*'Rate Lookup'!$D$1:$D$37),IF(OR(Y112="Individual",Y112="HUF"),SUMPRODUCT(('Rate Lookup'!$A$1:$A$37=Z112)*'Rate Lookup'!$B$1:$B$37),SUMPRODUCT(('Rate Lookup'!$A$1:$A$37=Z112)*'Rate Lookup'!$C$1:$C$37)))))</f>
      </c>
      <c r="AB112" s="30"/>
      <c r="AC112" s="31"/>
      <c r="AD112" s="27">
        <f>IF($B112&lt;&gt;"Entry","",ROUND(AC112*AA112/100,0))</f>
      </c>
      <c r="AE112" s="27">
        <f>IF($B112&lt;&gt;"Entry","",0)</f>
      </c>
      <c r="AF112" s="27">
        <f>IF($B112&lt;&gt;"Entry","",0)</f>
      </c>
      <c r="AG112" s="27">
        <f>IF($B112&lt;&gt;"Entry","",IF(OR(AD112=0,AB112="",AQ112="",AQ112&lt;=0),0,IF(AQ112&lt;=DATE(YEAR(AB112),MONTH(AB112)+1,7),0,ROUND(AD112*0.015*((YEAR(AQ112)-YEAR(AB112))*12+(MONTH(AQ112)-MONTH(AB112))+1),0))))</f>
      </c>
      <c r="AH112" s="27">
        <f>IF($B112&lt;&gt;"Entry","",0)</f>
      </c>
      <c r="AI112" s="28"/>
      <c r="AJ112" s="28"/>
      <c r="AK112" s="32"/>
      <c r="AL112" s="28"/>
      <c r="AM112" s="28"/>
      <c r="AN112" s="27">
        <f>IF($B112&lt;&gt;"Challan","",SUMIF('Q1 Data'!$D$4:$D$207,D112,'Q1 Data'!$AD$4:$AD$207)+SUMIF('Q1 Data'!$D$4:$D$207,D112,'Q1 Data'!$AG$4:$AG$207)+SUMIF('Q1 Data'!$D$4:$D$207,D112,'Q1 Data'!$AE$4:$AE$207)+SUMIF('Q2 Data'!$D$4:$D$207,D112,'Q2 Data'!$AD$4:$AD$207)+SUMIF('Q2 Data'!$D$4:$D$207,D112,'Q2 Data'!$AG$4:$AG$207)+SUMIF('Q2 Data'!$D$4:$D$207,D112,'Q2 Data'!$AE$4:$AE$207)+SUMIF('Q3 Data'!$D$4:$D$207,D112,'Q3 Data'!$AD$4:$AD$207)+SUMIF('Q3 Data'!$D$4:$D$207,D112,'Q3 Data'!$AG$4:$AG$207)+SUMIF('Q3 Data'!$D$4:$D$207,D112,'Q3 Data'!$AE$4:$AE$207)+SUMIF('Q4 Data'!$D$4:$D$207,D112,'Q4 Data'!$AD$4:$AD$207)+SUMIF('Q4 Data'!$D$4:$D$207,D112,'Q4 Data'!$AG$4:$AG$207)+SUMIF('Q4 Data'!$D$4:$D$207,D112,'Q4 Data'!$AE$4:$AE$207))</f>
      </c>
      <c r="AO112" s="27">
        <f>IF($B112&lt;&gt;"Challan","",P112-N112)</f>
      </c>
      <c r="AP112" s="27">
        <f>IF($B112&lt;&gt;"Challan","",MAX(0,AO112-AN112))</f>
      </c>
      <c r="AQ112" s="33">
        <f>IF($B112&lt;&gt;"Entry","",SUMPRODUCT(('Q1 Data'!$D$4:$D$207=D112)*('Q1 Data'!$B$4:$B$207="Challan")*'Q1 Data'!$F$4:$F$207)+SUMPRODUCT(('Q2 Data'!$D$4:$D$207=D112)*('Q2 Data'!$B$4:$B$207="Challan")*'Q2 Data'!$F$4:$F$207)+SUMPRODUCT(('Q3 Data'!$D$4:$D$207=D112)*('Q3 Data'!$B$4:$B$207="Challan")*'Q3 Data'!$F$4:$F$207)+SUMPRODUCT(('Q4 Data'!$D$4:$D$207=D112)*('Q4 Data'!$B$4:$B$207="Challan")*'Q4 Data'!$F$4:$F$207))</f>
      </c>
      <c r="AR112" s="34">
        <f>IF(OR($B112&lt;&gt;"Entry",Z112=""),FALSE,AND((SUMPRODUCT(('Q1 Data'!$D$4:$D$207=D112)*('Q1 Data'!$B$4:$B$207="Challan")*('Q1 Data'!$H$4:$H$207&lt;&gt;""))+SUMPRODUCT(('Q2 Data'!$D$4:$D$207=D112)*('Q2 Data'!$B$4:$B$207="Challan")*('Q2 Data'!$H$4:$H$207&lt;&gt;""))+SUMPRODUCT(('Q3 Data'!$D$4:$D$207=D112)*('Q3 Data'!$B$4:$B$207="Challan")*('Q3 Data'!$H$4:$H$207&lt;&gt;""))+SUMPRODUCT(('Q4 Data'!$D$4:$D$207=D112)*('Q4 Data'!$B$4:$B$207="Challan")*('Q4 Data'!$H$4:$H$207&lt;&gt;"")))&gt;0,(SUMPRODUCT(('Q1 Data'!$D$4:$D$207=D112)*('Q1 Data'!$B$4:$B$207="Challan")*('Q1 Data'!$H$4:$H$207=Z112))+SUMPRODUCT(('Q2 Data'!$D$4:$D$207=D112)*('Q2 Data'!$B$4:$B$207="Challan")*('Q2 Data'!$H$4:$H$207=Z112))+SUMPRODUCT(('Q3 Data'!$D$4:$D$207=D112)*('Q3 Data'!$B$4:$B$207="Challan")*('Q3 Data'!$H$4:$H$207=Z112))+SUMPRODUCT(('Q4 Data'!$D$4:$D$207=D112)*('Q4 Data'!$B$4:$B$207="Challan")*('Q4 Data'!$H$4:$H$207=Z112)))=0))</f>
      </c>
    </row>
    <row r="113" spans="1:44" x14ac:dyDescent="0.25">
      <c r="A113" s="20">
        <f>IF($B113="Entry",COUNTIF($B$4:$B113,"Entry"),"")</f>
      </c>
      <c r="B113" s="21"/>
      <c r="C113" s="22"/>
      <c r="D113" s="22"/>
      <c r="E113" s="23">
        <f>IF($B113&lt;&gt;"Challan","",IF(ROUND(AN113-AO113,2)&gt;0,"Over-applied",IF(ROUND(AN113-AO113,2)=0,"Fully Utilised","Unconsumed")))</f>
      </c>
      <c r="F113" s="24"/>
      <c r="G113" s="25"/>
      <c r="H113" s="25"/>
      <c r="I113" s="26"/>
      <c r="J113" s="26"/>
      <c r="K113" s="26"/>
      <c r="L113" s="26"/>
      <c r="M113" s="26"/>
      <c r="N113" s="26"/>
      <c r="O113" s="26"/>
      <c r="P113" s="27">
        <f>IF($B113&lt;&gt;"Challan","",I113+J113+K113+L113+M113+N113)</f>
      </c>
      <c r="Q113" s="25"/>
      <c r="R113" s="25"/>
      <c r="S113" s="25"/>
      <c r="T113" s="25"/>
      <c r="U113" s="25"/>
      <c r="V113" s="28"/>
      <c r="W113" s="28"/>
      <c r="X113" s="23">
        <f>IF($B113="Entry",IF(AND(LEN(TRIM(UPPER(W113)))=10,CODE(MID(TRIM(UPPER(W113)),1,1))&gt;=65,CODE(MID(TRIM(UPPER(W113)),1,1))&lt;=90,CODE(MID(TRIM(UPPER(W113)),2,1))&gt;=65,CODE(MID(TRIM(UPPER(W113)),2,1))&lt;=90,CODE(MID(TRIM(UPPER(W113)),3,1))&gt;=65,CODE(MID(TRIM(UPPER(W113)),3,1))&lt;=90,CODE(MID(TRIM(UPPER(W113)),4,1))&gt;=65,CODE(MID(TRIM(UPPER(W113)),4,1))&lt;=90,CODE(MID(TRIM(UPPER(W113)),5,1))&gt;=65,CODE(MID(TRIM(UPPER(W113)),5,1))&lt;=90,CODE(MID(TRIM(UPPER(W113)),10,1))&gt;=65,CODE(MID(TRIM(UPPER(W113)),10,1))&lt;=90,CODE(MID(TRIM(UPPER(W113)),6,1))&gt;=48,CODE(MID(TRIM(UPPER(W113)),6,1))&lt;=57,CODE(MID(TRIM(UPPER(W113)),7,1))&gt;=48,CODE(MID(TRIM(UPPER(W113)),7,1))&lt;=57,CODE(MID(TRIM(UPPER(W113)),8,1))&gt;=48,CODE(MID(TRIM(UPPER(W113)),8,1))&lt;=57,CODE(MID(TRIM(UPPER(W113)),9,1))&gt;=48,CODE(MID(TRIM(UPPER(W113)),9,1))&lt;=57),"N","Y"),IF($B113="Challan","",IF(W113&lt;&gt;"","◄ Set Row Type","")))</f>
      </c>
      <c r="Y113" s="23">
        <f>IF($B113="Entry",IF(LEN(W113)&lt;4,"",IF(UPPER(MID(W113,4,1))="P","Individual",IF(UPPER(MID(W113,4,1))="H","HUF",IF(UPPER(MID(W113,4,1))="C","Company",IF(UPPER(MID(W113,4,1))="F","Firm",IF(UPPER(MID(W113,4,1))="L","LLP",IF(UPPER(MID(W113,4,1))="T","Trust",IF(UPPER(MID(W113,4,1))="A","AOP","")))))))),IF($B113="Challan","",IF(W113&lt;&gt;"","◄ Set Row Type","")))</f>
      </c>
      <c r="Z113" s="28"/>
      <c r="AA113" s="29">
        <f>IF($B113&lt;&gt;"Entry","",IF(Z113="","",IF(X113="Y",SUMPRODUCT(('Rate Lookup'!$A$1:$A$37=Z113)*'Rate Lookup'!$D$1:$D$37),IF(OR(Y113="Individual",Y113="HUF"),SUMPRODUCT(('Rate Lookup'!$A$1:$A$37=Z113)*'Rate Lookup'!$B$1:$B$37),SUMPRODUCT(('Rate Lookup'!$A$1:$A$37=Z113)*'Rate Lookup'!$C$1:$C$37)))))</f>
      </c>
      <c r="AB113" s="30"/>
      <c r="AC113" s="31"/>
      <c r="AD113" s="27">
        <f>IF($B113&lt;&gt;"Entry","",ROUND(AC113*AA113/100,0))</f>
      </c>
      <c r="AE113" s="27">
        <f>IF($B113&lt;&gt;"Entry","",0)</f>
      </c>
      <c r="AF113" s="27">
        <f>IF($B113&lt;&gt;"Entry","",0)</f>
      </c>
      <c r="AG113" s="27">
        <f>IF($B113&lt;&gt;"Entry","",IF(OR(AD113=0,AB113="",AQ113="",AQ113&lt;=0),0,IF(AQ113&lt;=DATE(YEAR(AB113),MONTH(AB113)+1,7),0,ROUND(AD113*0.015*((YEAR(AQ113)-YEAR(AB113))*12+(MONTH(AQ113)-MONTH(AB113))+1),0))))</f>
      </c>
      <c r="AH113" s="27">
        <f>IF($B113&lt;&gt;"Entry","",0)</f>
      </c>
      <c r="AI113" s="28"/>
      <c r="AJ113" s="28"/>
      <c r="AK113" s="32"/>
      <c r="AL113" s="28"/>
      <c r="AM113" s="28"/>
      <c r="AN113" s="27">
        <f>IF($B113&lt;&gt;"Challan","",SUMIF('Q1 Data'!$D$4:$D$207,D113,'Q1 Data'!$AD$4:$AD$207)+SUMIF('Q1 Data'!$D$4:$D$207,D113,'Q1 Data'!$AG$4:$AG$207)+SUMIF('Q1 Data'!$D$4:$D$207,D113,'Q1 Data'!$AE$4:$AE$207)+SUMIF('Q2 Data'!$D$4:$D$207,D113,'Q2 Data'!$AD$4:$AD$207)+SUMIF('Q2 Data'!$D$4:$D$207,D113,'Q2 Data'!$AG$4:$AG$207)+SUMIF('Q2 Data'!$D$4:$D$207,D113,'Q2 Data'!$AE$4:$AE$207)+SUMIF('Q3 Data'!$D$4:$D$207,D113,'Q3 Data'!$AD$4:$AD$207)+SUMIF('Q3 Data'!$D$4:$D$207,D113,'Q3 Data'!$AG$4:$AG$207)+SUMIF('Q3 Data'!$D$4:$D$207,D113,'Q3 Data'!$AE$4:$AE$207)+SUMIF('Q4 Data'!$D$4:$D$207,D113,'Q4 Data'!$AD$4:$AD$207)+SUMIF('Q4 Data'!$D$4:$D$207,D113,'Q4 Data'!$AG$4:$AG$207)+SUMIF('Q4 Data'!$D$4:$D$207,D113,'Q4 Data'!$AE$4:$AE$207))</f>
      </c>
      <c r="AO113" s="27">
        <f>IF($B113&lt;&gt;"Challan","",P113-N113)</f>
      </c>
      <c r="AP113" s="27">
        <f>IF($B113&lt;&gt;"Challan","",MAX(0,AO113-AN113))</f>
      </c>
      <c r="AQ113" s="33">
        <f>IF($B113&lt;&gt;"Entry","",SUMPRODUCT(('Q1 Data'!$D$4:$D$207=D113)*('Q1 Data'!$B$4:$B$207="Challan")*'Q1 Data'!$F$4:$F$207)+SUMPRODUCT(('Q2 Data'!$D$4:$D$207=D113)*('Q2 Data'!$B$4:$B$207="Challan")*'Q2 Data'!$F$4:$F$207)+SUMPRODUCT(('Q3 Data'!$D$4:$D$207=D113)*('Q3 Data'!$B$4:$B$207="Challan")*'Q3 Data'!$F$4:$F$207)+SUMPRODUCT(('Q4 Data'!$D$4:$D$207=D113)*('Q4 Data'!$B$4:$B$207="Challan")*'Q4 Data'!$F$4:$F$207))</f>
      </c>
      <c r="AR113" s="34">
        <f>IF(OR($B113&lt;&gt;"Entry",Z113=""),FALSE,AND((SUMPRODUCT(('Q1 Data'!$D$4:$D$207=D113)*('Q1 Data'!$B$4:$B$207="Challan")*('Q1 Data'!$H$4:$H$207&lt;&gt;""))+SUMPRODUCT(('Q2 Data'!$D$4:$D$207=D113)*('Q2 Data'!$B$4:$B$207="Challan")*('Q2 Data'!$H$4:$H$207&lt;&gt;""))+SUMPRODUCT(('Q3 Data'!$D$4:$D$207=D113)*('Q3 Data'!$B$4:$B$207="Challan")*('Q3 Data'!$H$4:$H$207&lt;&gt;""))+SUMPRODUCT(('Q4 Data'!$D$4:$D$207=D113)*('Q4 Data'!$B$4:$B$207="Challan")*('Q4 Data'!$H$4:$H$207&lt;&gt;"")))&gt;0,(SUMPRODUCT(('Q1 Data'!$D$4:$D$207=D113)*('Q1 Data'!$B$4:$B$207="Challan")*('Q1 Data'!$H$4:$H$207=Z113))+SUMPRODUCT(('Q2 Data'!$D$4:$D$207=D113)*('Q2 Data'!$B$4:$B$207="Challan")*('Q2 Data'!$H$4:$H$207=Z113))+SUMPRODUCT(('Q3 Data'!$D$4:$D$207=D113)*('Q3 Data'!$B$4:$B$207="Challan")*('Q3 Data'!$H$4:$H$207=Z113))+SUMPRODUCT(('Q4 Data'!$D$4:$D$207=D113)*('Q4 Data'!$B$4:$B$207="Challan")*('Q4 Data'!$H$4:$H$207=Z113)))=0))</f>
      </c>
    </row>
    <row r="114" spans="1:44" x14ac:dyDescent="0.25">
      <c r="A114" s="20">
        <f>IF($B114="Entry",COUNTIF($B$4:$B114,"Entry"),"")</f>
      </c>
      <c r="B114" s="21"/>
      <c r="C114" s="22"/>
      <c r="D114" s="22"/>
      <c r="E114" s="23">
        <f>IF($B114&lt;&gt;"Challan","",IF(ROUND(AN114-AO114,2)&gt;0,"Over-applied",IF(ROUND(AN114-AO114,2)=0,"Fully Utilised","Unconsumed")))</f>
      </c>
      <c r="F114" s="24"/>
      <c r="G114" s="25"/>
      <c r="H114" s="25"/>
      <c r="I114" s="26"/>
      <c r="J114" s="26"/>
      <c r="K114" s="26"/>
      <c r="L114" s="26"/>
      <c r="M114" s="26"/>
      <c r="N114" s="26"/>
      <c r="O114" s="26"/>
      <c r="P114" s="27">
        <f>IF($B114&lt;&gt;"Challan","",I114+J114+K114+L114+M114+N114)</f>
      </c>
      <c r="Q114" s="25"/>
      <c r="R114" s="25"/>
      <c r="S114" s="25"/>
      <c r="T114" s="25"/>
      <c r="U114" s="25"/>
      <c r="V114" s="28"/>
      <c r="W114" s="28"/>
      <c r="X114" s="23">
        <f>IF($B114="Entry",IF(AND(LEN(TRIM(UPPER(W114)))=10,CODE(MID(TRIM(UPPER(W114)),1,1))&gt;=65,CODE(MID(TRIM(UPPER(W114)),1,1))&lt;=90,CODE(MID(TRIM(UPPER(W114)),2,1))&gt;=65,CODE(MID(TRIM(UPPER(W114)),2,1))&lt;=90,CODE(MID(TRIM(UPPER(W114)),3,1))&gt;=65,CODE(MID(TRIM(UPPER(W114)),3,1))&lt;=90,CODE(MID(TRIM(UPPER(W114)),4,1))&gt;=65,CODE(MID(TRIM(UPPER(W114)),4,1))&lt;=90,CODE(MID(TRIM(UPPER(W114)),5,1))&gt;=65,CODE(MID(TRIM(UPPER(W114)),5,1))&lt;=90,CODE(MID(TRIM(UPPER(W114)),10,1))&gt;=65,CODE(MID(TRIM(UPPER(W114)),10,1))&lt;=90,CODE(MID(TRIM(UPPER(W114)),6,1))&gt;=48,CODE(MID(TRIM(UPPER(W114)),6,1))&lt;=57,CODE(MID(TRIM(UPPER(W114)),7,1))&gt;=48,CODE(MID(TRIM(UPPER(W114)),7,1))&lt;=57,CODE(MID(TRIM(UPPER(W114)),8,1))&gt;=48,CODE(MID(TRIM(UPPER(W114)),8,1))&lt;=57,CODE(MID(TRIM(UPPER(W114)),9,1))&gt;=48,CODE(MID(TRIM(UPPER(W114)),9,1))&lt;=57),"N","Y"),IF($B114="Challan","",IF(W114&lt;&gt;"","◄ Set Row Type","")))</f>
      </c>
      <c r="Y114" s="23">
        <f>IF($B114="Entry",IF(LEN(W114)&lt;4,"",IF(UPPER(MID(W114,4,1))="P","Individual",IF(UPPER(MID(W114,4,1))="H","HUF",IF(UPPER(MID(W114,4,1))="C","Company",IF(UPPER(MID(W114,4,1))="F","Firm",IF(UPPER(MID(W114,4,1))="L","LLP",IF(UPPER(MID(W114,4,1))="T","Trust",IF(UPPER(MID(W114,4,1))="A","AOP","")))))))),IF($B114="Challan","",IF(W114&lt;&gt;"","◄ Set Row Type","")))</f>
      </c>
      <c r="Z114" s="28"/>
      <c r="AA114" s="29">
        <f>IF($B114&lt;&gt;"Entry","",IF(Z114="","",IF(X114="Y",SUMPRODUCT(('Rate Lookup'!$A$1:$A$37=Z114)*'Rate Lookup'!$D$1:$D$37),IF(OR(Y114="Individual",Y114="HUF"),SUMPRODUCT(('Rate Lookup'!$A$1:$A$37=Z114)*'Rate Lookup'!$B$1:$B$37),SUMPRODUCT(('Rate Lookup'!$A$1:$A$37=Z114)*'Rate Lookup'!$C$1:$C$37)))))</f>
      </c>
      <c r="AB114" s="30"/>
      <c r="AC114" s="31"/>
      <c r="AD114" s="27">
        <f>IF($B114&lt;&gt;"Entry","",ROUND(AC114*AA114/100,0))</f>
      </c>
      <c r="AE114" s="27">
        <f>IF($B114&lt;&gt;"Entry","",0)</f>
      </c>
      <c r="AF114" s="27">
        <f>IF($B114&lt;&gt;"Entry","",0)</f>
      </c>
      <c r="AG114" s="27">
        <f>IF($B114&lt;&gt;"Entry","",IF(OR(AD114=0,AB114="",AQ114="",AQ114&lt;=0),0,IF(AQ114&lt;=DATE(YEAR(AB114),MONTH(AB114)+1,7),0,ROUND(AD114*0.015*((YEAR(AQ114)-YEAR(AB114))*12+(MONTH(AQ114)-MONTH(AB114))+1),0))))</f>
      </c>
      <c r="AH114" s="27">
        <f>IF($B114&lt;&gt;"Entry","",0)</f>
      </c>
      <c r="AI114" s="28"/>
      <c r="AJ114" s="28"/>
      <c r="AK114" s="32"/>
      <c r="AL114" s="28"/>
      <c r="AM114" s="28"/>
      <c r="AN114" s="27">
        <f>IF($B114&lt;&gt;"Challan","",SUMIF('Q1 Data'!$D$4:$D$207,D114,'Q1 Data'!$AD$4:$AD$207)+SUMIF('Q1 Data'!$D$4:$D$207,D114,'Q1 Data'!$AG$4:$AG$207)+SUMIF('Q1 Data'!$D$4:$D$207,D114,'Q1 Data'!$AE$4:$AE$207)+SUMIF('Q2 Data'!$D$4:$D$207,D114,'Q2 Data'!$AD$4:$AD$207)+SUMIF('Q2 Data'!$D$4:$D$207,D114,'Q2 Data'!$AG$4:$AG$207)+SUMIF('Q2 Data'!$D$4:$D$207,D114,'Q2 Data'!$AE$4:$AE$207)+SUMIF('Q3 Data'!$D$4:$D$207,D114,'Q3 Data'!$AD$4:$AD$207)+SUMIF('Q3 Data'!$D$4:$D$207,D114,'Q3 Data'!$AG$4:$AG$207)+SUMIF('Q3 Data'!$D$4:$D$207,D114,'Q3 Data'!$AE$4:$AE$207)+SUMIF('Q4 Data'!$D$4:$D$207,D114,'Q4 Data'!$AD$4:$AD$207)+SUMIF('Q4 Data'!$D$4:$D$207,D114,'Q4 Data'!$AG$4:$AG$207)+SUMIF('Q4 Data'!$D$4:$D$207,D114,'Q4 Data'!$AE$4:$AE$207))</f>
      </c>
      <c r="AO114" s="27">
        <f>IF($B114&lt;&gt;"Challan","",P114-N114)</f>
      </c>
      <c r="AP114" s="27">
        <f>IF($B114&lt;&gt;"Challan","",MAX(0,AO114-AN114))</f>
      </c>
      <c r="AQ114" s="33">
        <f>IF($B114&lt;&gt;"Entry","",SUMPRODUCT(('Q1 Data'!$D$4:$D$207=D114)*('Q1 Data'!$B$4:$B$207="Challan")*'Q1 Data'!$F$4:$F$207)+SUMPRODUCT(('Q2 Data'!$D$4:$D$207=D114)*('Q2 Data'!$B$4:$B$207="Challan")*'Q2 Data'!$F$4:$F$207)+SUMPRODUCT(('Q3 Data'!$D$4:$D$207=D114)*('Q3 Data'!$B$4:$B$207="Challan")*'Q3 Data'!$F$4:$F$207)+SUMPRODUCT(('Q4 Data'!$D$4:$D$207=D114)*('Q4 Data'!$B$4:$B$207="Challan")*'Q4 Data'!$F$4:$F$207))</f>
      </c>
      <c r="AR114" s="34">
        <f>IF(OR($B114&lt;&gt;"Entry",Z114=""),FALSE,AND((SUMPRODUCT(('Q1 Data'!$D$4:$D$207=D114)*('Q1 Data'!$B$4:$B$207="Challan")*('Q1 Data'!$H$4:$H$207&lt;&gt;""))+SUMPRODUCT(('Q2 Data'!$D$4:$D$207=D114)*('Q2 Data'!$B$4:$B$207="Challan")*('Q2 Data'!$H$4:$H$207&lt;&gt;""))+SUMPRODUCT(('Q3 Data'!$D$4:$D$207=D114)*('Q3 Data'!$B$4:$B$207="Challan")*('Q3 Data'!$H$4:$H$207&lt;&gt;""))+SUMPRODUCT(('Q4 Data'!$D$4:$D$207=D114)*('Q4 Data'!$B$4:$B$207="Challan")*('Q4 Data'!$H$4:$H$207&lt;&gt;"")))&gt;0,(SUMPRODUCT(('Q1 Data'!$D$4:$D$207=D114)*('Q1 Data'!$B$4:$B$207="Challan")*('Q1 Data'!$H$4:$H$207=Z114))+SUMPRODUCT(('Q2 Data'!$D$4:$D$207=D114)*('Q2 Data'!$B$4:$B$207="Challan")*('Q2 Data'!$H$4:$H$207=Z114))+SUMPRODUCT(('Q3 Data'!$D$4:$D$207=D114)*('Q3 Data'!$B$4:$B$207="Challan")*('Q3 Data'!$H$4:$H$207=Z114))+SUMPRODUCT(('Q4 Data'!$D$4:$D$207=D114)*('Q4 Data'!$B$4:$B$207="Challan")*('Q4 Data'!$H$4:$H$207=Z114)))=0))</f>
      </c>
    </row>
    <row r="115" spans="1:44" x14ac:dyDescent="0.25">
      <c r="A115" s="20">
        <f>IF($B115="Entry",COUNTIF($B$4:$B115,"Entry"),"")</f>
      </c>
      <c r="B115" s="21"/>
      <c r="C115" s="22"/>
      <c r="D115" s="22"/>
      <c r="E115" s="23">
        <f>IF($B115&lt;&gt;"Challan","",IF(ROUND(AN115-AO115,2)&gt;0,"Over-applied",IF(ROUND(AN115-AO115,2)=0,"Fully Utilised","Unconsumed")))</f>
      </c>
      <c r="F115" s="24"/>
      <c r="G115" s="25"/>
      <c r="H115" s="25"/>
      <c r="I115" s="26"/>
      <c r="J115" s="26"/>
      <c r="K115" s="26"/>
      <c r="L115" s="26"/>
      <c r="M115" s="26"/>
      <c r="N115" s="26"/>
      <c r="O115" s="26"/>
      <c r="P115" s="27">
        <f>IF($B115&lt;&gt;"Challan","",I115+J115+K115+L115+M115+N115)</f>
      </c>
      <c r="Q115" s="25"/>
      <c r="R115" s="25"/>
      <c r="S115" s="25"/>
      <c r="T115" s="25"/>
      <c r="U115" s="25"/>
      <c r="V115" s="28"/>
      <c r="W115" s="28"/>
      <c r="X115" s="23">
        <f>IF($B115="Entry",IF(AND(LEN(TRIM(UPPER(W115)))=10,CODE(MID(TRIM(UPPER(W115)),1,1))&gt;=65,CODE(MID(TRIM(UPPER(W115)),1,1))&lt;=90,CODE(MID(TRIM(UPPER(W115)),2,1))&gt;=65,CODE(MID(TRIM(UPPER(W115)),2,1))&lt;=90,CODE(MID(TRIM(UPPER(W115)),3,1))&gt;=65,CODE(MID(TRIM(UPPER(W115)),3,1))&lt;=90,CODE(MID(TRIM(UPPER(W115)),4,1))&gt;=65,CODE(MID(TRIM(UPPER(W115)),4,1))&lt;=90,CODE(MID(TRIM(UPPER(W115)),5,1))&gt;=65,CODE(MID(TRIM(UPPER(W115)),5,1))&lt;=90,CODE(MID(TRIM(UPPER(W115)),10,1))&gt;=65,CODE(MID(TRIM(UPPER(W115)),10,1))&lt;=90,CODE(MID(TRIM(UPPER(W115)),6,1))&gt;=48,CODE(MID(TRIM(UPPER(W115)),6,1))&lt;=57,CODE(MID(TRIM(UPPER(W115)),7,1))&gt;=48,CODE(MID(TRIM(UPPER(W115)),7,1))&lt;=57,CODE(MID(TRIM(UPPER(W115)),8,1))&gt;=48,CODE(MID(TRIM(UPPER(W115)),8,1))&lt;=57,CODE(MID(TRIM(UPPER(W115)),9,1))&gt;=48,CODE(MID(TRIM(UPPER(W115)),9,1))&lt;=57),"N","Y"),IF($B115="Challan","",IF(W115&lt;&gt;"","◄ Set Row Type","")))</f>
      </c>
      <c r="Y115" s="23">
        <f>IF($B115="Entry",IF(LEN(W115)&lt;4,"",IF(UPPER(MID(W115,4,1))="P","Individual",IF(UPPER(MID(W115,4,1))="H","HUF",IF(UPPER(MID(W115,4,1))="C","Company",IF(UPPER(MID(W115,4,1))="F","Firm",IF(UPPER(MID(W115,4,1))="L","LLP",IF(UPPER(MID(W115,4,1))="T","Trust",IF(UPPER(MID(W115,4,1))="A","AOP","")))))))),IF($B115="Challan","",IF(W115&lt;&gt;"","◄ Set Row Type","")))</f>
      </c>
      <c r="Z115" s="28"/>
      <c r="AA115" s="29">
        <f>IF($B115&lt;&gt;"Entry","",IF(Z115="","",IF(X115="Y",SUMPRODUCT(('Rate Lookup'!$A$1:$A$37=Z115)*'Rate Lookup'!$D$1:$D$37),IF(OR(Y115="Individual",Y115="HUF"),SUMPRODUCT(('Rate Lookup'!$A$1:$A$37=Z115)*'Rate Lookup'!$B$1:$B$37),SUMPRODUCT(('Rate Lookup'!$A$1:$A$37=Z115)*'Rate Lookup'!$C$1:$C$37)))))</f>
      </c>
      <c r="AB115" s="30"/>
      <c r="AC115" s="31"/>
      <c r="AD115" s="27">
        <f>IF($B115&lt;&gt;"Entry","",ROUND(AC115*AA115/100,0))</f>
      </c>
      <c r="AE115" s="27">
        <f>IF($B115&lt;&gt;"Entry","",0)</f>
      </c>
      <c r="AF115" s="27">
        <f>IF($B115&lt;&gt;"Entry","",0)</f>
      </c>
      <c r="AG115" s="27">
        <f>IF($B115&lt;&gt;"Entry","",IF(OR(AD115=0,AB115="",AQ115="",AQ115&lt;=0),0,IF(AQ115&lt;=DATE(YEAR(AB115),MONTH(AB115)+1,7),0,ROUND(AD115*0.015*((YEAR(AQ115)-YEAR(AB115))*12+(MONTH(AQ115)-MONTH(AB115))+1),0))))</f>
      </c>
      <c r="AH115" s="27">
        <f>IF($B115&lt;&gt;"Entry","",0)</f>
      </c>
      <c r="AI115" s="28"/>
      <c r="AJ115" s="28"/>
      <c r="AK115" s="32"/>
      <c r="AL115" s="28"/>
      <c r="AM115" s="28"/>
      <c r="AN115" s="27">
        <f>IF($B115&lt;&gt;"Challan","",SUMIF('Q1 Data'!$D$4:$D$207,D115,'Q1 Data'!$AD$4:$AD$207)+SUMIF('Q1 Data'!$D$4:$D$207,D115,'Q1 Data'!$AG$4:$AG$207)+SUMIF('Q1 Data'!$D$4:$D$207,D115,'Q1 Data'!$AE$4:$AE$207)+SUMIF('Q2 Data'!$D$4:$D$207,D115,'Q2 Data'!$AD$4:$AD$207)+SUMIF('Q2 Data'!$D$4:$D$207,D115,'Q2 Data'!$AG$4:$AG$207)+SUMIF('Q2 Data'!$D$4:$D$207,D115,'Q2 Data'!$AE$4:$AE$207)+SUMIF('Q3 Data'!$D$4:$D$207,D115,'Q3 Data'!$AD$4:$AD$207)+SUMIF('Q3 Data'!$D$4:$D$207,D115,'Q3 Data'!$AG$4:$AG$207)+SUMIF('Q3 Data'!$D$4:$D$207,D115,'Q3 Data'!$AE$4:$AE$207)+SUMIF('Q4 Data'!$D$4:$D$207,D115,'Q4 Data'!$AD$4:$AD$207)+SUMIF('Q4 Data'!$D$4:$D$207,D115,'Q4 Data'!$AG$4:$AG$207)+SUMIF('Q4 Data'!$D$4:$D$207,D115,'Q4 Data'!$AE$4:$AE$207))</f>
      </c>
      <c r="AO115" s="27">
        <f>IF($B115&lt;&gt;"Challan","",P115-N115)</f>
      </c>
      <c r="AP115" s="27">
        <f>IF($B115&lt;&gt;"Challan","",MAX(0,AO115-AN115))</f>
      </c>
      <c r="AQ115" s="33">
        <f>IF($B115&lt;&gt;"Entry","",SUMPRODUCT(('Q1 Data'!$D$4:$D$207=D115)*('Q1 Data'!$B$4:$B$207="Challan")*'Q1 Data'!$F$4:$F$207)+SUMPRODUCT(('Q2 Data'!$D$4:$D$207=D115)*('Q2 Data'!$B$4:$B$207="Challan")*'Q2 Data'!$F$4:$F$207)+SUMPRODUCT(('Q3 Data'!$D$4:$D$207=D115)*('Q3 Data'!$B$4:$B$207="Challan")*'Q3 Data'!$F$4:$F$207)+SUMPRODUCT(('Q4 Data'!$D$4:$D$207=D115)*('Q4 Data'!$B$4:$B$207="Challan")*'Q4 Data'!$F$4:$F$207))</f>
      </c>
      <c r="AR115" s="34">
        <f>IF(OR($B115&lt;&gt;"Entry",Z115=""),FALSE,AND((SUMPRODUCT(('Q1 Data'!$D$4:$D$207=D115)*('Q1 Data'!$B$4:$B$207="Challan")*('Q1 Data'!$H$4:$H$207&lt;&gt;""))+SUMPRODUCT(('Q2 Data'!$D$4:$D$207=D115)*('Q2 Data'!$B$4:$B$207="Challan")*('Q2 Data'!$H$4:$H$207&lt;&gt;""))+SUMPRODUCT(('Q3 Data'!$D$4:$D$207=D115)*('Q3 Data'!$B$4:$B$207="Challan")*('Q3 Data'!$H$4:$H$207&lt;&gt;""))+SUMPRODUCT(('Q4 Data'!$D$4:$D$207=D115)*('Q4 Data'!$B$4:$B$207="Challan")*('Q4 Data'!$H$4:$H$207&lt;&gt;"")))&gt;0,(SUMPRODUCT(('Q1 Data'!$D$4:$D$207=D115)*('Q1 Data'!$B$4:$B$207="Challan")*('Q1 Data'!$H$4:$H$207=Z115))+SUMPRODUCT(('Q2 Data'!$D$4:$D$207=D115)*('Q2 Data'!$B$4:$B$207="Challan")*('Q2 Data'!$H$4:$H$207=Z115))+SUMPRODUCT(('Q3 Data'!$D$4:$D$207=D115)*('Q3 Data'!$B$4:$B$207="Challan")*('Q3 Data'!$H$4:$H$207=Z115))+SUMPRODUCT(('Q4 Data'!$D$4:$D$207=D115)*('Q4 Data'!$B$4:$B$207="Challan")*('Q4 Data'!$H$4:$H$207=Z115)))=0))</f>
      </c>
    </row>
    <row r="116" spans="1:44" x14ac:dyDescent="0.25">
      <c r="A116" s="20">
        <f>IF($B116="Entry",COUNTIF($B$4:$B116,"Entry"),"")</f>
      </c>
      <c r="B116" s="21"/>
      <c r="C116" s="22"/>
      <c r="D116" s="22"/>
      <c r="E116" s="23">
        <f>IF($B116&lt;&gt;"Challan","",IF(ROUND(AN116-AO116,2)&gt;0,"Over-applied",IF(ROUND(AN116-AO116,2)=0,"Fully Utilised","Unconsumed")))</f>
      </c>
      <c r="F116" s="24"/>
      <c r="G116" s="25"/>
      <c r="H116" s="25"/>
      <c r="I116" s="26"/>
      <c r="J116" s="26"/>
      <c r="K116" s="26"/>
      <c r="L116" s="26"/>
      <c r="M116" s="26"/>
      <c r="N116" s="26"/>
      <c r="O116" s="26"/>
      <c r="P116" s="27">
        <f>IF($B116&lt;&gt;"Challan","",I116+J116+K116+L116+M116+N116)</f>
      </c>
      <c r="Q116" s="25"/>
      <c r="R116" s="25"/>
      <c r="S116" s="25"/>
      <c r="T116" s="25"/>
      <c r="U116" s="25"/>
      <c r="V116" s="28"/>
      <c r="W116" s="28"/>
      <c r="X116" s="23">
        <f>IF($B116="Entry",IF(AND(LEN(TRIM(UPPER(W116)))=10,CODE(MID(TRIM(UPPER(W116)),1,1))&gt;=65,CODE(MID(TRIM(UPPER(W116)),1,1))&lt;=90,CODE(MID(TRIM(UPPER(W116)),2,1))&gt;=65,CODE(MID(TRIM(UPPER(W116)),2,1))&lt;=90,CODE(MID(TRIM(UPPER(W116)),3,1))&gt;=65,CODE(MID(TRIM(UPPER(W116)),3,1))&lt;=90,CODE(MID(TRIM(UPPER(W116)),4,1))&gt;=65,CODE(MID(TRIM(UPPER(W116)),4,1))&lt;=90,CODE(MID(TRIM(UPPER(W116)),5,1))&gt;=65,CODE(MID(TRIM(UPPER(W116)),5,1))&lt;=90,CODE(MID(TRIM(UPPER(W116)),10,1))&gt;=65,CODE(MID(TRIM(UPPER(W116)),10,1))&lt;=90,CODE(MID(TRIM(UPPER(W116)),6,1))&gt;=48,CODE(MID(TRIM(UPPER(W116)),6,1))&lt;=57,CODE(MID(TRIM(UPPER(W116)),7,1))&gt;=48,CODE(MID(TRIM(UPPER(W116)),7,1))&lt;=57,CODE(MID(TRIM(UPPER(W116)),8,1))&gt;=48,CODE(MID(TRIM(UPPER(W116)),8,1))&lt;=57,CODE(MID(TRIM(UPPER(W116)),9,1))&gt;=48,CODE(MID(TRIM(UPPER(W116)),9,1))&lt;=57),"N","Y"),IF($B116="Challan","",IF(W116&lt;&gt;"","◄ Set Row Type","")))</f>
      </c>
      <c r="Y116" s="23">
        <f>IF($B116="Entry",IF(LEN(W116)&lt;4,"",IF(UPPER(MID(W116,4,1))="P","Individual",IF(UPPER(MID(W116,4,1))="H","HUF",IF(UPPER(MID(W116,4,1))="C","Company",IF(UPPER(MID(W116,4,1))="F","Firm",IF(UPPER(MID(W116,4,1))="L","LLP",IF(UPPER(MID(W116,4,1))="T","Trust",IF(UPPER(MID(W116,4,1))="A","AOP","")))))))),IF($B116="Challan","",IF(W116&lt;&gt;"","◄ Set Row Type","")))</f>
      </c>
      <c r="Z116" s="28"/>
      <c r="AA116" s="29">
        <f>IF($B116&lt;&gt;"Entry","",IF(Z116="","",IF(X116="Y",SUMPRODUCT(('Rate Lookup'!$A$1:$A$37=Z116)*'Rate Lookup'!$D$1:$D$37),IF(OR(Y116="Individual",Y116="HUF"),SUMPRODUCT(('Rate Lookup'!$A$1:$A$37=Z116)*'Rate Lookup'!$B$1:$B$37),SUMPRODUCT(('Rate Lookup'!$A$1:$A$37=Z116)*'Rate Lookup'!$C$1:$C$37)))))</f>
      </c>
      <c r="AB116" s="30"/>
      <c r="AC116" s="31"/>
      <c r="AD116" s="27">
        <f>IF($B116&lt;&gt;"Entry","",ROUND(AC116*AA116/100,0))</f>
      </c>
      <c r="AE116" s="27">
        <f>IF($B116&lt;&gt;"Entry","",0)</f>
      </c>
      <c r="AF116" s="27">
        <f>IF($B116&lt;&gt;"Entry","",0)</f>
      </c>
      <c r="AG116" s="27">
        <f>IF($B116&lt;&gt;"Entry","",IF(OR(AD116=0,AB116="",AQ116="",AQ116&lt;=0),0,IF(AQ116&lt;=DATE(YEAR(AB116),MONTH(AB116)+1,7),0,ROUND(AD116*0.015*((YEAR(AQ116)-YEAR(AB116))*12+(MONTH(AQ116)-MONTH(AB116))+1),0))))</f>
      </c>
      <c r="AH116" s="27">
        <f>IF($B116&lt;&gt;"Entry","",0)</f>
      </c>
      <c r="AI116" s="28"/>
      <c r="AJ116" s="28"/>
      <c r="AK116" s="32"/>
      <c r="AL116" s="28"/>
      <c r="AM116" s="28"/>
      <c r="AN116" s="27">
        <f>IF($B116&lt;&gt;"Challan","",SUMIF('Q1 Data'!$D$4:$D$207,D116,'Q1 Data'!$AD$4:$AD$207)+SUMIF('Q1 Data'!$D$4:$D$207,D116,'Q1 Data'!$AG$4:$AG$207)+SUMIF('Q1 Data'!$D$4:$D$207,D116,'Q1 Data'!$AE$4:$AE$207)+SUMIF('Q2 Data'!$D$4:$D$207,D116,'Q2 Data'!$AD$4:$AD$207)+SUMIF('Q2 Data'!$D$4:$D$207,D116,'Q2 Data'!$AG$4:$AG$207)+SUMIF('Q2 Data'!$D$4:$D$207,D116,'Q2 Data'!$AE$4:$AE$207)+SUMIF('Q3 Data'!$D$4:$D$207,D116,'Q3 Data'!$AD$4:$AD$207)+SUMIF('Q3 Data'!$D$4:$D$207,D116,'Q3 Data'!$AG$4:$AG$207)+SUMIF('Q3 Data'!$D$4:$D$207,D116,'Q3 Data'!$AE$4:$AE$207)+SUMIF('Q4 Data'!$D$4:$D$207,D116,'Q4 Data'!$AD$4:$AD$207)+SUMIF('Q4 Data'!$D$4:$D$207,D116,'Q4 Data'!$AG$4:$AG$207)+SUMIF('Q4 Data'!$D$4:$D$207,D116,'Q4 Data'!$AE$4:$AE$207))</f>
      </c>
      <c r="AO116" s="27">
        <f>IF($B116&lt;&gt;"Challan","",P116-N116)</f>
      </c>
      <c r="AP116" s="27">
        <f>IF($B116&lt;&gt;"Challan","",MAX(0,AO116-AN116))</f>
      </c>
      <c r="AQ116" s="33">
        <f>IF($B116&lt;&gt;"Entry","",SUMPRODUCT(('Q1 Data'!$D$4:$D$207=D116)*('Q1 Data'!$B$4:$B$207="Challan")*'Q1 Data'!$F$4:$F$207)+SUMPRODUCT(('Q2 Data'!$D$4:$D$207=D116)*('Q2 Data'!$B$4:$B$207="Challan")*'Q2 Data'!$F$4:$F$207)+SUMPRODUCT(('Q3 Data'!$D$4:$D$207=D116)*('Q3 Data'!$B$4:$B$207="Challan")*'Q3 Data'!$F$4:$F$207)+SUMPRODUCT(('Q4 Data'!$D$4:$D$207=D116)*('Q4 Data'!$B$4:$B$207="Challan")*'Q4 Data'!$F$4:$F$207))</f>
      </c>
      <c r="AR116" s="34">
        <f>IF(OR($B116&lt;&gt;"Entry",Z116=""),FALSE,AND((SUMPRODUCT(('Q1 Data'!$D$4:$D$207=D116)*('Q1 Data'!$B$4:$B$207="Challan")*('Q1 Data'!$H$4:$H$207&lt;&gt;""))+SUMPRODUCT(('Q2 Data'!$D$4:$D$207=D116)*('Q2 Data'!$B$4:$B$207="Challan")*('Q2 Data'!$H$4:$H$207&lt;&gt;""))+SUMPRODUCT(('Q3 Data'!$D$4:$D$207=D116)*('Q3 Data'!$B$4:$B$207="Challan")*('Q3 Data'!$H$4:$H$207&lt;&gt;""))+SUMPRODUCT(('Q4 Data'!$D$4:$D$207=D116)*('Q4 Data'!$B$4:$B$207="Challan")*('Q4 Data'!$H$4:$H$207&lt;&gt;"")))&gt;0,(SUMPRODUCT(('Q1 Data'!$D$4:$D$207=D116)*('Q1 Data'!$B$4:$B$207="Challan")*('Q1 Data'!$H$4:$H$207=Z116))+SUMPRODUCT(('Q2 Data'!$D$4:$D$207=D116)*('Q2 Data'!$B$4:$B$207="Challan")*('Q2 Data'!$H$4:$H$207=Z116))+SUMPRODUCT(('Q3 Data'!$D$4:$D$207=D116)*('Q3 Data'!$B$4:$B$207="Challan")*('Q3 Data'!$H$4:$H$207=Z116))+SUMPRODUCT(('Q4 Data'!$D$4:$D$207=D116)*('Q4 Data'!$B$4:$B$207="Challan")*('Q4 Data'!$H$4:$H$207=Z116)))=0))</f>
      </c>
    </row>
    <row r="117" spans="1:44" x14ac:dyDescent="0.25">
      <c r="A117" s="20">
        <f>IF($B117="Entry",COUNTIF($B$4:$B117,"Entry"),"")</f>
      </c>
      <c r="B117" s="21"/>
      <c r="C117" s="22"/>
      <c r="D117" s="22"/>
      <c r="E117" s="23">
        <f>IF($B117&lt;&gt;"Challan","",IF(ROUND(AN117-AO117,2)&gt;0,"Over-applied",IF(ROUND(AN117-AO117,2)=0,"Fully Utilised","Unconsumed")))</f>
      </c>
      <c r="F117" s="24"/>
      <c r="G117" s="25"/>
      <c r="H117" s="25"/>
      <c r="I117" s="26"/>
      <c r="J117" s="26"/>
      <c r="K117" s="26"/>
      <c r="L117" s="26"/>
      <c r="M117" s="26"/>
      <c r="N117" s="26"/>
      <c r="O117" s="26"/>
      <c r="P117" s="27">
        <f>IF($B117&lt;&gt;"Challan","",I117+J117+K117+L117+M117+N117)</f>
      </c>
      <c r="Q117" s="25"/>
      <c r="R117" s="25"/>
      <c r="S117" s="25"/>
      <c r="T117" s="25"/>
      <c r="U117" s="25"/>
      <c r="V117" s="28"/>
      <c r="W117" s="28"/>
      <c r="X117" s="23">
        <f>IF($B117="Entry",IF(AND(LEN(TRIM(UPPER(W117)))=10,CODE(MID(TRIM(UPPER(W117)),1,1))&gt;=65,CODE(MID(TRIM(UPPER(W117)),1,1))&lt;=90,CODE(MID(TRIM(UPPER(W117)),2,1))&gt;=65,CODE(MID(TRIM(UPPER(W117)),2,1))&lt;=90,CODE(MID(TRIM(UPPER(W117)),3,1))&gt;=65,CODE(MID(TRIM(UPPER(W117)),3,1))&lt;=90,CODE(MID(TRIM(UPPER(W117)),4,1))&gt;=65,CODE(MID(TRIM(UPPER(W117)),4,1))&lt;=90,CODE(MID(TRIM(UPPER(W117)),5,1))&gt;=65,CODE(MID(TRIM(UPPER(W117)),5,1))&lt;=90,CODE(MID(TRIM(UPPER(W117)),10,1))&gt;=65,CODE(MID(TRIM(UPPER(W117)),10,1))&lt;=90,CODE(MID(TRIM(UPPER(W117)),6,1))&gt;=48,CODE(MID(TRIM(UPPER(W117)),6,1))&lt;=57,CODE(MID(TRIM(UPPER(W117)),7,1))&gt;=48,CODE(MID(TRIM(UPPER(W117)),7,1))&lt;=57,CODE(MID(TRIM(UPPER(W117)),8,1))&gt;=48,CODE(MID(TRIM(UPPER(W117)),8,1))&lt;=57,CODE(MID(TRIM(UPPER(W117)),9,1))&gt;=48,CODE(MID(TRIM(UPPER(W117)),9,1))&lt;=57),"N","Y"),IF($B117="Challan","",IF(W117&lt;&gt;"","◄ Set Row Type","")))</f>
      </c>
      <c r="Y117" s="23">
        <f>IF($B117="Entry",IF(LEN(W117)&lt;4,"",IF(UPPER(MID(W117,4,1))="P","Individual",IF(UPPER(MID(W117,4,1))="H","HUF",IF(UPPER(MID(W117,4,1))="C","Company",IF(UPPER(MID(W117,4,1))="F","Firm",IF(UPPER(MID(W117,4,1))="L","LLP",IF(UPPER(MID(W117,4,1))="T","Trust",IF(UPPER(MID(W117,4,1))="A","AOP","")))))))),IF($B117="Challan","",IF(W117&lt;&gt;"","◄ Set Row Type","")))</f>
      </c>
      <c r="Z117" s="28"/>
      <c r="AA117" s="29">
        <f>IF($B117&lt;&gt;"Entry","",IF(Z117="","",IF(X117="Y",SUMPRODUCT(('Rate Lookup'!$A$1:$A$37=Z117)*'Rate Lookup'!$D$1:$D$37),IF(OR(Y117="Individual",Y117="HUF"),SUMPRODUCT(('Rate Lookup'!$A$1:$A$37=Z117)*'Rate Lookup'!$B$1:$B$37),SUMPRODUCT(('Rate Lookup'!$A$1:$A$37=Z117)*'Rate Lookup'!$C$1:$C$37)))))</f>
      </c>
      <c r="AB117" s="30"/>
      <c r="AC117" s="31"/>
      <c r="AD117" s="27">
        <f>IF($B117&lt;&gt;"Entry","",ROUND(AC117*AA117/100,0))</f>
      </c>
      <c r="AE117" s="27">
        <f>IF($B117&lt;&gt;"Entry","",0)</f>
      </c>
      <c r="AF117" s="27">
        <f>IF($B117&lt;&gt;"Entry","",0)</f>
      </c>
      <c r="AG117" s="27">
        <f>IF($B117&lt;&gt;"Entry","",IF(OR(AD117=0,AB117="",AQ117="",AQ117&lt;=0),0,IF(AQ117&lt;=DATE(YEAR(AB117),MONTH(AB117)+1,7),0,ROUND(AD117*0.015*((YEAR(AQ117)-YEAR(AB117))*12+(MONTH(AQ117)-MONTH(AB117))+1),0))))</f>
      </c>
      <c r="AH117" s="27">
        <f>IF($B117&lt;&gt;"Entry","",0)</f>
      </c>
      <c r="AI117" s="28"/>
      <c r="AJ117" s="28"/>
      <c r="AK117" s="32"/>
      <c r="AL117" s="28"/>
      <c r="AM117" s="28"/>
      <c r="AN117" s="27">
        <f>IF($B117&lt;&gt;"Challan","",SUMIF('Q1 Data'!$D$4:$D$207,D117,'Q1 Data'!$AD$4:$AD$207)+SUMIF('Q1 Data'!$D$4:$D$207,D117,'Q1 Data'!$AG$4:$AG$207)+SUMIF('Q1 Data'!$D$4:$D$207,D117,'Q1 Data'!$AE$4:$AE$207)+SUMIF('Q2 Data'!$D$4:$D$207,D117,'Q2 Data'!$AD$4:$AD$207)+SUMIF('Q2 Data'!$D$4:$D$207,D117,'Q2 Data'!$AG$4:$AG$207)+SUMIF('Q2 Data'!$D$4:$D$207,D117,'Q2 Data'!$AE$4:$AE$207)+SUMIF('Q3 Data'!$D$4:$D$207,D117,'Q3 Data'!$AD$4:$AD$207)+SUMIF('Q3 Data'!$D$4:$D$207,D117,'Q3 Data'!$AG$4:$AG$207)+SUMIF('Q3 Data'!$D$4:$D$207,D117,'Q3 Data'!$AE$4:$AE$207)+SUMIF('Q4 Data'!$D$4:$D$207,D117,'Q4 Data'!$AD$4:$AD$207)+SUMIF('Q4 Data'!$D$4:$D$207,D117,'Q4 Data'!$AG$4:$AG$207)+SUMIF('Q4 Data'!$D$4:$D$207,D117,'Q4 Data'!$AE$4:$AE$207))</f>
      </c>
      <c r="AO117" s="27">
        <f>IF($B117&lt;&gt;"Challan","",P117-N117)</f>
      </c>
      <c r="AP117" s="27">
        <f>IF($B117&lt;&gt;"Challan","",MAX(0,AO117-AN117))</f>
      </c>
      <c r="AQ117" s="33">
        <f>IF($B117&lt;&gt;"Entry","",SUMPRODUCT(('Q1 Data'!$D$4:$D$207=D117)*('Q1 Data'!$B$4:$B$207="Challan")*'Q1 Data'!$F$4:$F$207)+SUMPRODUCT(('Q2 Data'!$D$4:$D$207=D117)*('Q2 Data'!$B$4:$B$207="Challan")*'Q2 Data'!$F$4:$F$207)+SUMPRODUCT(('Q3 Data'!$D$4:$D$207=D117)*('Q3 Data'!$B$4:$B$207="Challan")*'Q3 Data'!$F$4:$F$207)+SUMPRODUCT(('Q4 Data'!$D$4:$D$207=D117)*('Q4 Data'!$B$4:$B$207="Challan")*'Q4 Data'!$F$4:$F$207))</f>
      </c>
      <c r="AR117" s="34">
        <f>IF(OR($B117&lt;&gt;"Entry",Z117=""),FALSE,AND((SUMPRODUCT(('Q1 Data'!$D$4:$D$207=D117)*('Q1 Data'!$B$4:$B$207="Challan")*('Q1 Data'!$H$4:$H$207&lt;&gt;""))+SUMPRODUCT(('Q2 Data'!$D$4:$D$207=D117)*('Q2 Data'!$B$4:$B$207="Challan")*('Q2 Data'!$H$4:$H$207&lt;&gt;""))+SUMPRODUCT(('Q3 Data'!$D$4:$D$207=D117)*('Q3 Data'!$B$4:$B$207="Challan")*('Q3 Data'!$H$4:$H$207&lt;&gt;""))+SUMPRODUCT(('Q4 Data'!$D$4:$D$207=D117)*('Q4 Data'!$B$4:$B$207="Challan")*('Q4 Data'!$H$4:$H$207&lt;&gt;"")))&gt;0,(SUMPRODUCT(('Q1 Data'!$D$4:$D$207=D117)*('Q1 Data'!$B$4:$B$207="Challan")*('Q1 Data'!$H$4:$H$207=Z117))+SUMPRODUCT(('Q2 Data'!$D$4:$D$207=D117)*('Q2 Data'!$B$4:$B$207="Challan")*('Q2 Data'!$H$4:$H$207=Z117))+SUMPRODUCT(('Q3 Data'!$D$4:$D$207=D117)*('Q3 Data'!$B$4:$B$207="Challan")*('Q3 Data'!$H$4:$H$207=Z117))+SUMPRODUCT(('Q4 Data'!$D$4:$D$207=D117)*('Q4 Data'!$B$4:$B$207="Challan")*('Q4 Data'!$H$4:$H$207=Z117)))=0))</f>
      </c>
    </row>
    <row r="118" spans="1:44" x14ac:dyDescent="0.25">
      <c r="A118" s="20">
        <f>IF($B118="Entry",COUNTIF($B$4:$B118,"Entry"),"")</f>
      </c>
      <c r="B118" s="21"/>
      <c r="C118" s="22"/>
      <c r="D118" s="22"/>
      <c r="E118" s="23">
        <f>IF($B118&lt;&gt;"Challan","",IF(ROUND(AN118-AO118,2)&gt;0,"Over-applied",IF(ROUND(AN118-AO118,2)=0,"Fully Utilised","Unconsumed")))</f>
      </c>
      <c r="F118" s="24"/>
      <c r="G118" s="25"/>
      <c r="H118" s="25"/>
      <c r="I118" s="26"/>
      <c r="J118" s="26"/>
      <c r="K118" s="26"/>
      <c r="L118" s="26"/>
      <c r="M118" s="26"/>
      <c r="N118" s="26"/>
      <c r="O118" s="26"/>
      <c r="P118" s="27">
        <f>IF($B118&lt;&gt;"Challan","",I118+J118+K118+L118+M118+N118)</f>
      </c>
      <c r="Q118" s="25"/>
      <c r="R118" s="25"/>
      <c r="S118" s="25"/>
      <c r="T118" s="25"/>
      <c r="U118" s="25"/>
      <c r="V118" s="28"/>
      <c r="W118" s="28"/>
      <c r="X118" s="23">
        <f>IF($B118="Entry",IF(AND(LEN(TRIM(UPPER(W118)))=10,CODE(MID(TRIM(UPPER(W118)),1,1))&gt;=65,CODE(MID(TRIM(UPPER(W118)),1,1))&lt;=90,CODE(MID(TRIM(UPPER(W118)),2,1))&gt;=65,CODE(MID(TRIM(UPPER(W118)),2,1))&lt;=90,CODE(MID(TRIM(UPPER(W118)),3,1))&gt;=65,CODE(MID(TRIM(UPPER(W118)),3,1))&lt;=90,CODE(MID(TRIM(UPPER(W118)),4,1))&gt;=65,CODE(MID(TRIM(UPPER(W118)),4,1))&lt;=90,CODE(MID(TRIM(UPPER(W118)),5,1))&gt;=65,CODE(MID(TRIM(UPPER(W118)),5,1))&lt;=90,CODE(MID(TRIM(UPPER(W118)),10,1))&gt;=65,CODE(MID(TRIM(UPPER(W118)),10,1))&lt;=90,CODE(MID(TRIM(UPPER(W118)),6,1))&gt;=48,CODE(MID(TRIM(UPPER(W118)),6,1))&lt;=57,CODE(MID(TRIM(UPPER(W118)),7,1))&gt;=48,CODE(MID(TRIM(UPPER(W118)),7,1))&lt;=57,CODE(MID(TRIM(UPPER(W118)),8,1))&gt;=48,CODE(MID(TRIM(UPPER(W118)),8,1))&lt;=57,CODE(MID(TRIM(UPPER(W118)),9,1))&gt;=48,CODE(MID(TRIM(UPPER(W118)),9,1))&lt;=57),"N","Y"),IF($B118="Challan","",IF(W118&lt;&gt;"","◄ Set Row Type","")))</f>
      </c>
      <c r="Y118" s="23">
        <f>IF($B118="Entry",IF(LEN(W118)&lt;4,"",IF(UPPER(MID(W118,4,1))="P","Individual",IF(UPPER(MID(W118,4,1))="H","HUF",IF(UPPER(MID(W118,4,1))="C","Company",IF(UPPER(MID(W118,4,1))="F","Firm",IF(UPPER(MID(W118,4,1))="L","LLP",IF(UPPER(MID(W118,4,1))="T","Trust",IF(UPPER(MID(W118,4,1))="A","AOP","")))))))),IF($B118="Challan","",IF(W118&lt;&gt;"","◄ Set Row Type","")))</f>
      </c>
      <c r="Z118" s="28"/>
      <c r="AA118" s="29">
        <f>IF($B118&lt;&gt;"Entry","",IF(Z118="","",IF(X118="Y",SUMPRODUCT(('Rate Lookup'!$A$1:$A$37=Z118)*'Rate Lookup'!$D$1:$D$37),IF(OR(Y118="Individual",Y118="HUF"),SUMPRODUCT(('Rate Lookup'!$A$1:$A$37=Z118)*'Rate Lookup'!$B$1:$B$37),SUMPRODUCT(('Rate Lookup'!$A$1:$A$37=Z118)*'Rate Lookup'!$C$1:$C$37)))))</f>
      </c>
      <c r="AB118" s="30"/>
      <c r="AC118" s="31"/>
      <c r="AD118" s="27">
        <f>IF($B118&lt;&gt;"Entry","",ROUND(AC118*AA118/100,0))</f>
      </c>
      <c r="AE118" s="27">
        <f>IF($B118&lt;&gt;"Entry","",0)</f>
      </c>
      <c r="AF118" s="27">
        <f>IF($B118&lt;&gt;"Entry","",0)</f>
      </c>
      <c r="AG118" s="27">
        <f>IF($B118&lt;&gt;"Entry","",IF(OR(AD118=0,AB118="",AQ118="",AQ118&lt;=0),0,IF(AQ118&lt;=DATE(YEAR(AB118),MONTH(AB118)+1,7),0,ROUND(AD118*0.015*((YEAR(AQ118)-YEAR(AB118))*12+(MONTH(AQ118)-MONTH(AB118))+1),0))))</f>
      </c>
      <c r="AH118" s="27">
        <f>IF($B118&lt;&gt;"Entry","",0)</f>
      </c>
      <c r="AI118" s="28"/>
      <c r="AJ118" s="28"/>
      <c r="AK118" s="32"/>
      <c r="AL118" s="28"/>
      <c r="AM118" s="28"/>
      <c r="AN118" s="27">
        <f>IF($B118&lt;&gt;"Challan","",SUMIF('Q1 Data'!$D$4:$D$207,D118,'Q1 Data'!$AD$4:$AD$207)+SUMIF('Q1 Data'!$D$4:$D$207,D118,'Q1 Data'!$AG$4:$AG$207)+SUMIF('Q1 Data'!$D$4:$D$207,D118,'Q1 Data'!$AE$4:$AE$207)+SUMIF('Q2 Data'!$D$4:$D$207,D118,'Q2 Data'!$AD$4:$AD$207)+SUMIF('Q2 Data'!$D$4:$D$207,D118,'Q2 Data'!$AG$4:$AG$207)+SUMIF('Q2 Data'!$D$4:$D$207,D118,'Q2 Data'!$AE$4:$AE$207)+SUMIF('Q3 Data'!$D$4:$D$207,D118,'Q3 Data'!$AD$4:$AD$207)+SUMIF('Q3 Data'!$D$4:$D$207,D118,'Q3 Data'!$AG$4:$AG$207)+SUMIF('Q3 Data'!$D$4:$D$207,D118,'Q3 Data'!$AE$4:$AE$207)+SUMIF('Q4 Data'!$D$4:$D$207,D118,'Q4 Data'!$AD$4:$AD$207)+SUMIF('Q4 Data'!$D$4:$D$207,D118,'Q4 Data'!$AG$4:$AG$207)+SUMIF('Q4 Data'!$D$4:$D$207,D118,'Q4 Data'!$AE$4:$AE$207))</f>
      </c>
      <c r="AO118" s="27">
        <f>IF($B118&lt;&gt;"Challan","",P118-N118)</f>
      </c>
      <c r="AP118" s="27">
        <f>IF($B118&lt;&gt;"Challan","",MAX(0,AO118-AN118))</f>
      </c>
      <c r="AQ118" s="33">
        <f>IF($B118&lt;&gt;"Entry","",SUMPRODUCT(('Q1 Data'!$D$4:$D$207=D118)*('Q1 Data'!$B$4:$B$207="Challan")*'Q1 Data'!$F$4:$F$207)+SUMPRODUCT(('Q2 Data'!$D$4:$D$207=D118)*('Q2 Data'!$B$4:$B$207="Challan")*'Q2 Data'!$F$4:$F$207)+SUMPRODUCT(('Q3 Data'!$D$4:$D$207=D118)*('Q3 Data'!$B$4:$B$207="Challan")*'Q3 Data'!$F$4:$F$207)+SUMPRODUCT(('Q4 Data'!$D$4:$D$207=D118)*('Q4 Data'!$B$4:$B$207="Challan")*'Q4 Data'!$F$4:$F$207))</f>
      </c>
      <c r="AR118" s="34">
        <f>IF(OR($B118&lt;&gt;"Entry",Z118=""),FALSE,AND((SUMPRODUCT(('Q1 Data'!$D$4:$D$207=D118)*('Q1 Data'!$B$4:$B$207="Challan")*('Q1 Data'!$H$4:$H$207&lt;&gt;""))+SUMPRODUCT(('Q2 Data'!$D$4:$D$207=D118)*('Q2 Data'!$B$4:$B$207="Challan")*('Q2 Data'!$H$4:$H$207&lt;&gt;""))+SUMPRODUCT(('Q3 Data'!$D$4:$D$207=D118)*('Q3 Data'!$B$4:$B$207="Challan")*('Q3 Data'!$H$4:$H$207&lt;&gt;""))+SUMPRODUCT(('Q4 Data'!$D$4:$D$207=D118)*('Q4 Data'!$B$4:$B$207="Challan")*('Q4 Data'!$H$4:$H$207&lt;&gt;"")))&gt;0,(SUMPRODUCT(('Q1 Data'!$D$4:$D$207=D118)*('Q1 Data'!$B$4:$B$207="Challan")*('Q1 Data'!$H$4:$H$207=Z118))+SUMPRODUCT(('Q2 Data'!$D$4:$D$207=D118)*('Q2 Data'!$B$4:$B$207="Challan")*('Q2 Data'!$H$4:$H$207=Z118))+SUMPRODUCT(('Q3 Data'!$D$4:$D$207=D118)*('Q3 Data'!$B$4:$B$207="Challan")*('Q3 Data'!$H$4:$H$207=Z118))+SUMPRODUCT(('Q4 Data'!$D$4:$D$207=D118)*('Q4 Data'!$B$4:$B$207="Challan")*('Q4 Data'!$H$4:$H$207=Z118)))=0))</f>
      </c>
    </row>
    <row r="119" spans="1:44" x14ac:dyDescent="0.25">
      <c r="A119" s="20">
        <f>IF($B119="Entry",COUNTIF($B$4:$B119,"Entry"),"")</f>
      </c>
      <c r="B119" s="21"/>
      <c r="C119" s="22"/>
      <c r="D119" s="22"/>
      <c r="E119" s="23">
        <f>IF($B119&lt;&gt;"Challan","",IF(ROUND(AN119-AO119,2)&gt;0,"Over-applied",IF(ROUND(AN119-AO119,2)=0,"Fully Utilised","Unconsumed")))</f>
      </c>
      <c r="F119" s="24"/>
      <c r="G119" s="25"/>
      <c r="H119" s="25"/>
      <c r="I119" s="26"/>
      <c r="J119" s="26"/>
      <c r="K119" s="26"/>
      <c r="L119" s="26"/>
      <c r="M119" s="26"/>
      <c r="N119" s="26"/>
      <c r="O119" s="26"/>
      <c r="P119" s="27">
        <f>IF($B119&lt;&gt;"Challan","",I119+J119+K119+L119+M119+N119)</f>
      </c>
      <c r="Q119" s="25"/>
      <c r="R119" s="25"/>
      <c r="S119" s="25"/>
      <c r="T119" s="25"/>
      <c r="U119" s="25"/>
      <c r="V119" s="28"/>
      <c r="W119" s="28"/>
      <c r="X119" s="23">
        <f>IF($B119="Entry",IF(AND(LEN(TRIM(UPPER(W119)))=10,CODE(MID(TRIM(UPPER(W119)),1,1))&gt;=65,CODE(MID(TRIM(UPPER(W119)),1,1))&lt;=90,CODE(MID(TRIM(UPPER(W119)),2,1))&gt;=65,CODE(MID(TRIM(UPPER(W119)),2,1))&lt;=90,CODE(MID(TRIM(UPPER(W119)),3,1))&gt;=65,CODE(MID(TRIM(UPPER(W119)),3,1))&lt;=90,CODE(MID(TRIM(UPPER(W119)),4,1))&gt;=65,CODE(MID(TRIM(UPPER(W119)),4,1))&lt;=90,CODE(MID(TRIM(UPPER(W119)),5,1))&gt;=65,CODE(MID(TRIM(UPPER(W119)),5,1))&lt;=90,CODE(MID(TRIM(UPPER(W119)),10,1))&gt;=65,CODE(MID(TRIM(UPPER(W119)),10,1))&lt;=90,CODE(MID(TRIM(UPPER(W119)),6,1))&gt;=48,CODE(MID(TRIM(UPPER(W119)),6,1))&lt;=57,CODE(MID(TRIM(UPPER(W119)),7,1))&gt;=48,CODE(MID(TRIM(UPPER(W119)),7,1))&lt;=57,CODE(MID(TRIM(UPPER(W119)),8,1))&gt;=48,CODE(MID(TRIM(UPPER(W119)),8,1))&lt;=57,CODE(MID(TRIM(UPPER(W119)),9,1))&gt;=48,CODE(MID(TRIM(UPPER(W119)),9,1))&lt;=57),"N","Y"),IF($B119="Challan","",IF(W119&lt;&gt;"","◄ Set Row Type","")))</f>
      </c>
      <c r="Y119" s="23">
        <f>IF($B119="Entry",IF(LEN(W119)&lt;4,"",IF(UPPER(MID(W119,4,1))="P","Individual",IF(UPPER(MID(W119,4,1))="H","HUF",IF(UPPER(MID(W119,4,1))="C","Company",IF(UPPER(MID(W119,4,1))="F","Firm",IF(UPPER(MID(W119,4,1))="L","LLP",IF(UPPER(MID(W119,4,1))="T","Trust",IF(UPPER(MID(W119,4,1))="A","AOP","")))))))),IF($B119="Challan","",IF(W119&lt;&gt;"","◄ Set Row Type","")))</f>
      </c>
      <c r="Z119" s="28"/>
      <c r="AA119" s="29">
        <f>IF($B119&lt;&gt;"Entry","",IF(Z119="","",IF(X119="Y",SUMPRODUCT(('Rate Lookup'!$A$1:$A$37=Z119)*'Rate Lookup'!$D$1:$D$37),IF(OR(Y119="Individual",Y119="HUF"),SUMPRODUCT(('Rate Lookup'!$A$1:$A$37=Z119)*'Rate Lookup'!$B$1:$B$37),SUMPRODUCT(('Rate Lookup'!$A$1:$A$37=Z119)*'Rate Lookup'!$C$1:$C$37)))))</f>
      </c>
      <c r="AB119" s="30"/>
      <c r="AC119" s="31"/>
      <c r="AD119" s="27">
        <f>IF($B119&lt;&gt;"Entry","",ROUND(AC119*AA119/100,0))</f>
      </c>
      <c r="AE119" s="27">
        <f>IF($B119&lt;&gt;"Entry","",0)</f>
      </c>
      <c r="AF119" s="27">
        <f>IF($B119&lt;&gt;"Entry","",0)</f>
      </c>
      <c r="AG119" s="27">
        <f>IF($B119&lt;&gt;"Entry","",IF(OR(AD119=0,AB119="",AQ119="",AQ119&lt;=0),0,IF(AQ119&lt;=DATE(YEAR(AB119),MONTH(AB119)+1,7),0,ROUND(AD119*0.015*((YEAR(AQ119)-YEAR(AB119))*12+(MONTH(AQ119)-MONTH(AB119))+1),0))))</f>
      </c>
      <c r="AH119" s="27">
        <f>IF($B119&lt;&gt;"Entry","",0)</f>
      </c>
      <c r="AI119" s="28"/>
      <c r="AJ119" s="28"/>
      <c r="AK119" s="32"/>
      <c r="AL119" s="28"/>
      <c r="AM119" s="28"/>
      <c r="AN119" s="27">
        <f>IF($B119&lt;&gt;"Challan","",SUMIF('Q1 Data'!$D$4:$D$207,D119,'Q1 Data'!$AD$4:$AD$207)+SUMIF('Q1 Data'!$D$4:$D$207,D119,'Q1 Data'!$AG$4:$AG$207)+SUMIF('Q1 Data'!$D$4:$D$207,D119,'Q1 Data'!$AE$4:$AE$207)+SUMIF('Q2 Data'!$D$4:$D$207,D119,'Q2 Data'!$AD$4:$AD$207)+SUMIF('Q2 Data'!$D$4:$D$207,D119,'Q2 Data'!$AG$4:$AG$207)+SUMIF('Q2 Data'!$D$4:$D$207,D119,'Q2 Data'!$AE$4:$AE$207)+SUMIF('Q3 Data'!$D$4:$D$207,D119,'Q3 Data'!$AD$4:$AD$207)+SUMIF('Q3 Data'!$D$4:$D$207,D119,'Q3 Data'!$AG$4:$AG$207)+SUMIF('Q3 Data'!$D$4:$D$207,D119,'Q3 Data'!$AE$4:$AE$207)+SUMIF('Q4 Data'!$D$4:$D$207,D119,'Q4 Data'!$AD$4:$AD$207)+SUMIF('Q4 Data'!$D$4:$D$207,D119,'Q4 Data'!$AG$4:$AG$207)+SUMIF('Q4 Data'!$D$4:$D$207,D119,'Q4 Data'!$AE$4:$AE$207))</f>
      </c>
      <c r="AO119" s="27">
        <f>IF($B119&lt;&gt;"Challan","",P119-N119)</f>
      </c>
      <c r="AP119" s="27">
        <f>IF($B119&lt;&gt;"Challan","",MAX(0,AO119-AN119))</f>
      </c>
      <c r="AQ119" s="33">
        <f>IF($B119&lt;&gt;"Entry","",SUMPRODUCT(('Q1 Data'!$D$4:$D$207=D119)*('Q1 Data'!$B$4:$B$207="Challan")*'Q1 Data'!$F$4:$F$207)+SUMPRODUCT(('Q2 Data'!$D$4:$D$207=D119)*('Q2 Data'!$B$4:$B$207="Challan")*'Q2 Data'!$F$4:$F$207)+SUMPRODUCT(('Q3 Data'!$D$4:$D$207=D119)*('Q3 Data'!$B$4:$B$207="Challan")*'Q3 Data'!$F$4:$F$207)+SUMPRODUCT(('Q4 Data'!$D$4:$D$207=D119)*('Q4 Data'!$B$4:$B$207="Challan")*'Q4 Data'!$F$4:$F$207))</f>
      </c>
      <c r="AR119" s="34">
        <f>IF(OR($B119&lt;&gt;"Entry",Z119=""),FALSE,AND((SUMPRODUCT(('Q1 Data'!$D$4:$D$207=D119)*('Q1 Data'!$B$4:$B$207="Challan")*('Q1 Data'!$H$4:$H$207&lt;&gt;""))+SUMPRODUCT(('Q2 Data'!$D$4:$D$207=D119)*('Q2 Data'!$B$4:$B$207="Challan")*('Q2 Data'!$H$4:$H$207&lt;&gt;""))+SUMPRODUCT(('Q3 Data'!$D$4:$D$207=D119)*('Q3 Data'!$B$4:$B$207="Challan")*('Q3 Data'!$H$4:$H$207&lt;&gt;""))+SUMPRODUCT(('Q4 Data'!$D$4:$D$207=D119)*('Q4 Data'!$B$4:$B$207="Challan")*('Q4 Data'!$H$4:$H$207&lt;&gt;"")))&gt;0,(SUMPRODUCT(('Q1 Data'!$D$4:$D$207=D119)*('Q1 Data'!$B$4:$B$207="Challan")*('Q1 Data'!$H$4:$H$207=Z119))+SUMPRODUCT(('Q2 Data'!$D$4:$D$207=D119)*('Q2 Data'!$B$4:$B$207="Challan")*('Q2 Data'!$H$4:$H$207=Z119))+SUMPRODUCT(('Q3 Data'!$D$4:$D$207=D119)*('Q3 Data'!$B$4:$B$207="Challan")*('Q3 Data'!$H$4:$H$207=Z119))+SUMPRODUCT(('Q4 Data'!$D$4:$D$207=D119)*('Q4 Data'!$B$4:$B$207="Challan")*('Q4 Data'!$H$4:$H$207=Z119)))=0))</f>
      </c>
    </row>
    <row r="120" spans="1:44" x14ac:dyDescent="0.25">
      <c r="A120" s="20">
        <f>IF($B120="Entry",COUNTIF($B$4:$B120,"Entry"),"")</f>
      </c>
      <c r="B120" s="21"/>
      <c r="C120" s="22"/>
      <c r="D120" s="22"/>
      <c r="E120" s="23">
        <f>IF($B120&lt;&gt;"Challan","",IF(ROUND(AN120-AO120,2)&gt;0,"Over-applied",IF(ROUND(AN120-AO120,2)=0,"Fully Utilised","Unconsumed")))</f>
      </c>
      <c r="F120" s="24"/>
      <c r="G120" s="25"/>
      <c r="H120" s="25"/>
      <c r="I120" s="26"/>
      <c r="J120" s="26"/>
      <c r="K120" s="26"/>
      <c r="L120" s="26"/>
      <c r="M120" s="26"/>
      <c r="N120" s="26"/>
      <c r="O120" s="26"/>
      <c r="P120" s="27">
        <f>IF($B120&lt;&gt;"Challan","",I120+J120+K120+L120+M120+N120)</f>
      </c>
      <c r="Q120" s="25"/>
      <c r="R120" s="25"/>
      <c r="S120" s="25"/>
      <c r="T120" s="25"/>
      <c r="U120" s="25"/>
      <c r="V120" s="28"/>
      <c r="W120" s="28"/>
      <c r="X120" s="23">
        <f>IF($B120="Entry",IF(AND(LEN(TRIM(UPPER(W120)))=10,CODE(MID(TRIM(UPPER(W120)),1,1))&gt;=65,CODE(MID(TRIM(UPPER(W120)),1,1))&lt;=90,CODE(MID(TRIM(UPPER(W120)),2,1))&gt;=65,CODE(MID(TRIM(UPPER(W120)),2,1))&lt;=90,CODE(MID(TRIM(UPPER(W120)),3,1))&gt;=65,CODE(MID(TRIM(UPPER(W120)),3,1))&lt;=90,CODE(MID(TRIM(UPPER(W120)),4,1))&gt;=65,CODE(MID(TRIM(UPPER(W120)),4,1))&lt;=90,CODE(MID(TRIM(UPPER(W120)),5,1))&gt;=65,CODE(MID(TRIM(UPPER(W120)),5,1))&lt;=90,CODE(MID(TRIM(UPPER(W120)),10,1))&gt;=65,CODE(MID(TRIM(UPPER(W120)),10,1))&lt;=90,CODE(MID(TRIM(UPPER(W120)),6,1))&gt;=48,CODE(MID(TRIM(UPPER(W120)),6,1))&lt;=57,CODE(MID(TRIM(UPPER(W120)),7,1))&gt;=48,CODE(MID(TRIM(UPPER(W120)),7,1))&lt;=57,CODE(MID(TRIM(UPPER(W120)),8,1))&gt;=48,CODE(MID(TRIM(UPPER(W120)),8,1))&lt;=57,CODE(MID(TRIM(UPPER(W120)),9,1))&gt;=48,CODE(MID(TRIM(UPPER(W120)),9,1))&lt;=57),"N","Y"),IF($B120="Challan","",IF(W120&lt;&gt;"","◄ Set Row Type","")))</f>
      </c>
      <c r="Y120" s="23">
        <f>IF($B120="Entry",IF(LEN(W120)&lt;4,"",IF(UPPER(MID(W120,4,1))="P","Individual",IF(UPPER(MID(W120,4,1))="H","HUF",IF(UPPER(MID(W120,4,1))="C","Company",IF(UPPER(MID(W120,4,1))="F","Firm",IF(UPPER(MID(W120,4,1))="L","LLP",IF(UPPER(MID(W120,4,1))="T","Trust",IF(UPPER(MID(W120,4,1))="A","AOP","")))))))),IF($B120="Challan","",IF(W120&lt;&gt;"","◄ Set Row Type","")))</f>
      </c>
      <c r="Z120" s="28"/>
      <c r="AA120" s="29">
        <f>IF($B120&lt;&gt;"Entry","",IF(Z120="","",IF(X120="Y",SUMPRODUCT(('Rate Lookup'!$A$1:$A$37=Z120)*'Rate Lookup'!$D$1:$D$37),IF(OR(Y120="Individual",Y120="HUF"),SUMPRODUCT(('Rate Lookup'!$A$1:$A$37=Z120)*'Rate Lookup'!$B$1:$B$37),SUMPRODUCT(('Rate Lookup'!$A$1:$A$37=Z120)*'Rate Lookup'!$C$1:$C$37)))))</f>
      </c>
      <c r="AB120" s="30"/>
      <c r="AC120" s="31"/>
      <c r="AD120" s="27">
        <f>IF($B120&lt;&gt;"Entry","",ROUND(AC120*AA120/100,0))</f>
      </c>
      <c r="AE120" s="27">
        <f>IF($B120&lt;&gt;"Entry","",0)</f>
      </c>
      <c r="AF120" s="27">
        <f>IF($B120&lt;&gt;"Entry","",0)</f>
      </c>
      <c r="AG120" s="27">
        <f>IF($B120&lt;&gt;"Entry","",IF(OR(AD120=0,AB120="",AQ120="",AQ120&lt;=0),0,IF(AQ120&lt;=DATE(YEAR(AB120),MONTH(AB120)+1,7),0,ROUND(AD120*0.015*((YEAR(AQ120)-YEAR(AB120))*12+(MONTH(AQ120)-MONTH(AB120))+1),0))))</f>
      </c>
      <c r="AH120" s="27">
        <f>IF($B120&lt;&gt;"Entry","",0)</f>
      </c>
      <c r="AI120" s="28"/>
      <c r="AJ120" s="28"/>
      <c r="AK120" s="32"/>
      <c r="AL120" s="28"/>
      <c r="AM120" s="28"/>
      <c r="AN120" s="27">
        <f>IF($B120&lt;&gt;"Challan","",SUMIF('Q1 Data'!$D$4:$D$207,D120,'Q1 Data'!$AD$4:$AD$207)+SUMIF('Q1 Data'!$D$4:$D$207,D120,'Q1 Data'!$AG$4:$AG$207)+SUMIF('Q1 Data'!$D$4:$D$207,D120,'Q1 Data'!$AE$4:$AE$207)+SUMIF('Q2 Data'!$D$4:$D$207,D120,'Q2 Data'!$AD$4:$AD$207)+SUMIF('Q2 Data'!$D$4:$D$207,D120,'Q2 Data'!$AG$4:$AG$207)+SUMIF('Q2 Data'!$D$4:$D$207,D120,'Q2 Data'!$AE$4:$AE$207)+SUMIF('Q3 Data'!$D$4:$D$207,D120,'Q3 Data'!$AD$4:$AD$207)+SUMIF('Q3 Data'!$D$4:$D$207,D120,'Q3 Data'!$AG$4:$AG$207)+SUMIF('Q3 Data'!$D$4:$D$207,D120,'Q3 Data'!$AE$4:$AE$207)+SUMIF('Q4 Data'!$D$4:$D$207,D120,'Q4 Data'!$AD$4:$AD$207)+SUMIF('Q4 Data'!$D$4:$D$207,D120,'Q4 Data'!$AG$4:$AG$207)+SUMIF('Q4 Data'!$D$4:$D$207,D120,'Q4 Data'!$AE$4:$AE$207))</f>
      </c>
      <c r="AO120" s="27">
        <f>IF($B120&lt;&gt;"Challan","",P120-N120)</f>
      </c>
      <c r="AP120" s="27">
        <f>IF($B120&lt;&gt;"Challan","",MAX(0,AO120-AN120))</f>
      </c>
      <c r="AQ120" s="33">
        <f>IF($B120&lt;&gt;"Entry","",SUMPRODUCT(('Q1 Data'!$D$4:$D$207=D120)*('Q1 Data'!$B$4:$B$207="Challan")*'Q1 Data'!$F$4:$F$207)+SUMPRODUCT(('Q2 Data'!$D$4:$D$207=D120)*('Q2 Data'!$B$4:$B$207="Challan")*'Q2 Data'!$F$4:$F$207)+SUMPRODUCT(('Q3 Data'!$D$4:$D$207=D120)*('Q3 Data'!$B$4:$B$207="Challan")*'Q3 Data'!$F$4:$F$207)+SUMPRODUCT(('Q4 Data'!$D$4:$D$207=D120)*('Q4 Data'!$B$4:$B$207="Challan")*'Q4 Data'!$F$4:$F$207))</f>
      </c>
      <c r="AR120" s="34">
        <f>IF(OR($B120&lt;&gt;"Entry",Z120=""),FALSE,AND((SUMPRODUCT(('Q1 Data'!$D$4:$D$207=D120)*('Q1 Data'!$B$4:$B$207="Challan")*('Q1 Data'!$H$4:$H$207&lt;&gt;""))+SUMPRODUCT(('Q2 Data'!$D$4:$D$207=D120)*('Q2 Data'!$B$4:$B$207="Challan")*('Q2 Data'!$H$4:$H$207&lt;&gt;""))+SUMPRODUCT(('Q3 Data'!$D$4:$D$207=D120)*('Q3 Data'!$B$4:$B$207="Challan")*('Q3 Data'!$H$4:$H$207&lt;&gt;""))+SUMPRODUCT(('Q4 Data'!$D$4:$D$207=D120)*('Q4 Data'!$B$4:$B$207="Challan")*('Q4 Data'!$H$4:$H$207&lt;&gt;"")))&gt;0,(SUMPRODUCT(('Q1 Data'!$D$4:$D$207=D120)*('Q1 Data'!$B$4:$B$207="Challan")*('Q1 Data'!$H$4:$H$207=Z120))+SUMPRODUCT(('Q2 Data'!$D$4:$D$207=D120)*('Q2 Data'!$B$4:$B$207="Challan")*('Q2 Data'!$H$4:$H$207=Z120))+SUMPRODUCT(('Q3 Data'!$D$4:$D$207=D120)*('Q3 Data'!$B$4:$B$207="Challan")*('Q3 Data'!$H$4:$H$207=Z120))+SUMPRODUCT(('Q4 Data'!$D$4:$D$207=D120)*('Q4 Data'!$B$4:$B$207="Challan")*('Q4 Data'!$H$4:$H$207=Z120)))=0))</f>
      </c>
    </row>
    <row r="121" spans="1:44" x14ac:dyDescent="0.25">
      <c r="A121" s="20">
        <f>IF($B121="Entry",COUNTIF($B$4:$B121,"Entry"),"")</f>
      </c>
      <c r="B121" s="21"/>
      <c r="C121" s="22"/>
      <c r="D121" s="22"/>
      <c r="E121" s="23">
        <f>IF($B121&lt;&gt;"Challan","",IF(ROUND(AN121-AO121,2)&gt;0,"Over-applied",IF(ROUND(AN121-AO121,2)=0,"Fully Utilised","Unconsumed")))</f>
      </c>
      <c r="F121" s="24"/>
      <c r="G121" s="25"/>
      <c r="H121" s="25"/>
      <c r="I121" s="26"/>
      <c r="J121" s="26"/>
      <c r="K121" s="26"/>
      <c r="L121" s="26"/>
      <c r="M121" s="26"/>
      <c r="N121" s="26"/>
      <c r="O121" s="26"/>
      <c r="P121" s="27">
        <f>IF($B121&lt;&gt;"Challan","",I121+J121+K121+L121+M121+N121)</f>
      </c>
      <c r="Q121" s="25"/>
      <c r="R121" s="25"/>
      <c r="S121" s="25"/>
      <c r="T121" s="25"/>
      <c r="U121" s="25"/>
      <c r="V121" s="28"/>
      <c r="W121" s="28"/>
      <c r="X121" s="23">
        <f>IF($B121="Entry",IF(AND(LEN(TRIM(UPPER(W121)))=10,CODE(MID(TRIM(UPPER(W121)),1,1))&gt;=65,CODE(MID(TRIM(UPPER(W121)),1,1))&lt;=90,CODE(MID(TRIM(UPPER(W121)),2,1))&gt;=65,CODE(MID(TRIM(UPPER(W121)),2,1))&lt;=90,CODE(MID(TRIM(UPPER(W121)),3,1))&gt;=65,CODE(MID(TRIM(UPPER(W121)),3,1))&lt;=90,CODE(MID(TRIM(UPPER(W121)),4,1))&gt;=65,CODE(MID(TRIM(UPPER(W121)),4,1))&lt;=90,CODE(MID(TRIM(UPPER(W121)),5,1))&gt;=65,CODE(MID(TRIM(UPPER(W121)),5,1))&lt;=90,CODE(MID(TRIM(UPPER(W121)),10,1))&gt;=65,CODE(MID(TRIM(UPPER(W121)),10,1))&lt;=90,CODE(MID(TRIM(UPPER(W121)),6,1))&gt;=48,CODE(MID(TRIM(UPPER(W121)),6,1))&lt;=57,CODE(MID(TRIM(UPPER(W121)),7,1))&gt;=48,CODE(MID(TRIM(UPPER(W121)),7,1))&lt;=57,CODE(MID(TRIM(UPPER(W121)),8,1))&gt;=48,CODE(MID(TRIM(UPPER(W121)),8,1))&lt;=57,CODE(MID(TRIM(UPPER(W121)),9,1))&gt;=48,CODE(MID(TRIM(UPPER(W121)),9,1))&lt;=57),"N","Y"),IF($B121="Challan","",IF(W121&lt;&gt;"","◄ Set Row Type","")))</f>
      </c>
      <c r="Y121" s="23">
        <f>IF($B121="Entry",IF(LEN(W121)&lt;4,"",IF(UPPER(MID(W121,4,1))="P","Individual",IF(UPPER(MID(W121,4,1))="H","HUF",IF(UPPER(MID(W121,4,1))="C","Company",IF(UPPER(MID(W121,4,1))="F","Firm",IF(UPPER(MID(W121,4,1))="L","LLP",IF(UPPER(MID(W121,4,1))="T","Trust",IF(UPPER(MID(W121,4,1))="A","AOP","")))))))),IF($B121="Challan","",IF(W121&lt;&gt;"","◄ Set Row Type","")))</f>
      </c>
      <c r="Z121" s="28"/>
      <c r="AA121" s="29">
        <f>IF($B121&lt;&gt;"Entry","",IF(Z121="","",IF(X121="Y",SUMPRODUCT(('Rate Lookup'!$A$1:$A$37=Z121)*'Rate Lookup'!$D$1:$D$37),IF(OR(Y121="Individual",Y121="HUF"),SUMPRODUCT(('Rate Lookup'!$A$1:$A$37=Z121)*'Rate Lookup'!$B$1:$B$37),SUMPRODUCT(('Rate Lookup'!$A$1:$A$37=Z121)*'Rate Lookup'!$C$1:$C$37)))))</f>
      </c>
      <c r="AB121" s="30"/>
      <c r="AC121" s="31"/>
      <c r="AD121" s="27">
        <f>IF($B121&lt;&gt;"Entry","",ROUND(AC121*AA121/100,0))</f>
      </c>
      <c r="AE121" s="27">
        <f>IF($B121&lt;&gt;"Entry","",0)</f>
      </c>
      <c r="AF121" s="27">
        <f>IF($B121&lt;&gt;"Entry","",0)</f>
      </c>
      <c r="AG121" s="27">
        <f>IF($B121&lt;&gt;"Entry","",IF(OR(AD121=0,AB121="",AQ121="",AQ121&lt;=0),0,IF(AQ121&lt;=DATE(YEAR(AB121),MONTH(AB121)+1,7),0,ROUND(AD121*0.015*((YEAR(AQ121)-YEAR(AB121))*12+(MONTH(AQ121)-MONTH(AB121))+1),0))))</f>
      </c>
      <c r="AH121" s="27">
        <f>IF($B121&lt;&gt;"Entry","",0)</f>
      </c>
      <c r="AI121" s="28"/>
      <c r="AJ121" s="28"/>
      <c r="AK121" s="32"/>
      <c r="AL121" s="28"/>
      <c r="AM121" s="28"/>
      <c r="AN121" s="27">
        <f>IF($B121&lt;&gt;"Challan","",SUMIF('Q1 Data'!$D$4:$D$207,D121,'Q1 Data'!$AD$4:$AD$207)+SUMIF('Q1 Data'!$D$4:$D$207,D121,'Q1 Data'!$AG$4:$AG$207)+SUMIF('Q1 Data'!$D$4:$D$207,D121,'Q1 Data'!$AE$4:$AE$207)+SUMIF('Q2 Data'!$D$4:$D$207,D121,'Q2 Data'!$AD$4:$AD$207)+SUMIF('Q2 Data'!$D$4:$D$207,D121,'Q2 Data'!$AG$4:$AG$207)+SUMIF('Q2 Data'!$D$4:$D$207,D121,'Q2 Data'!$AE$4:$AE$207)+SUMIF('Q3 Data'!$D$4:$D$207,D121,'Q3 Data'!$AD$4:$AD$207)+SUMIF('Q3 Data'!$D$4:$D$207,D121,'Q3 Data'!$AG$4:$AG$207)+SUMIF('Q3 Data'!$D$4:$D$207,D121,'Q3 Data'!$AE$4:$AE$207)+SUMIF('Q4 Data'!$D$4:$D$207,D121,'Q4 Data'!$AD$4:$AD$207)+SUMIF('Q4 Data'!$D$4:$D$207,D121,'Q4 Data'!$AG$4:$AG$207)+SUMIF('Q4 Data'!$D$4:$D$207,D121,'Q4 Data'!$AE$4:$AE$207))</f>
      </c>
      <c r="AO121" s="27">
        <f>IF($B121&lt;&gt;"Challan","",P121-N121)</f>
      </c>
      <c r="AP121" s="27">
        <f>IF($B121&lt;&gt;"Challan","",MAX(0,AO121-AN121))</f>
      </c>
      <c r="AQ121" s="33">
        <f>IF($B121&lt;&gt;"Entry","",SUMPRODUCT(('Q1 Data'!$D$4:$D$207=D121)*('Q1 Data'!$B$4:$B$207="Challan")*'Q1 Data'!$F$4:$F$207)+SUMPRODUCT(('Q2 Data'!$D$4:$D$207=D121)*('Q2 Data'!$B$4:$B$207="Challan")*'Q2 Data'!$F$4:$F$207)+SUMPRODUCT(('Q3 Data'!$D$4:$D$207=D121)*('Q3 Data'!$B$4:$B$207="Challan")*'Q3 Data'!$F$4:$F$207)+SUMPRODUCT(('Q4 Data'!$D$4:$D$207=D121)*('Q4 Data'!$B$4:$B$207="Challan")*'Q4 Data'!$F$4:$F$207))</f>
      </c>
      <c r="AR121" s="34">
        <f>IF(OR($B121&lt;&gt;"Entry",Z121=""),FALSE,AND((SUMPRODUCT(('Q1 Data'!$D$4:$D$207=D121)*('Q1 Data'!$B$4:$B$207="Challan")*('Q1 Data'!$H$4:$H$207&lt;&gt;""))+SUMPRODUCT(('Q2 Data'!$D$4:$D$207=D121)*('Q2 Data'!$B$4:$B$207="Challan")*('Q2 Data'!$H$4:$H$207&lt;&gt;""))+SUMPRODUCT(('Q3 Data'!$D$4:$D$207=D121)*('Q3 Data'!$B$4:$B$207="Challan")*('Q3 Data'!$H$4:$H$207&lt;&gt;""))+SUMPRODUCT(('Q4 Data'!$D$4:$D$207=D121)*('Q4 Data'!$B$4:$B$207="Challan")*('Q4 Data'!$H$4:$H$207&lt;&gt;"")))&gt;0,(SUMPRODUCT(('Q1 Data'!$D$4:$D$207=D121)*('Q1 Data'!$B$4:$B$207="Challan")*('Q1 Data'!$H$4:$H$207=Z121))+SUMPRODUCT(('Q2 Data'!$D$4:$D$207=D121)*('Q2 Data'!$B$4:$B$207="Challan")*('Q2 Data'!$H$4:$H$207=Z121))+SUMPRODUCT(('Q3 Data'!$D$4:$D$207=D121)*('Q3 Data'!$B$4:$B$207="Challan")*('Q3 Data'!$H$4:$H$207=Z121))+SUMPRODUCT(('Q4 Data'!$D$4:$D$207=D121)*('Q4 Data'!$B$4:$B$207="Challan")*('Q4 Data'!$H$4:$H$207=Z121)))=0))</f>
      </c>
    </row>
    <row r="122" spans="1:44" x14ac:dyDescent="0.25">
      <c r="A122" s="20">
        <f>IF($B122="Entry",COUNTIF($B$4:$B122,"Entry"),"")</f>
      </c>
      <c r="B122" s="21"/>
      <c r="C122" s="22"/>
      <c r="D122" s="22"/>
      <c r="E122" s="23">
        <f>IF($B122&lt;&gt;"Challan","",IF(ROUND(AN122-AO122,2)&gt;0,"Over-applied",IF(ROUND(AN122-AO122,2)=0,"Fully Utilised","Unconsumed")))</f>
      </c>
      <c r="F122" s="24"/>
      <c r="G122" s="25"/>
      <c r="H122" s="25"/>
      <c r="I122" s="26"/>
      <c r="J122" s="26"/>
      <c r="K122" s="26"/>
      <c r="L122" s="26"/>
      <c r="M122" s="26"/>
      <c r="N122" s="26"/>
      <c r="O122" s="26"/>
      <c r="P122" s="27">
        <f>IF($B122&lt;&gt;"Challan","",I122+J122+K122+L122+M122+N122)</f>
      </c>
      <c r="Q122" s="25"/>
      <c r="R122" s="25"/>
      <c r="S122" s="25"/>
      <c r="T122" s="25"/>
      <c r="U122" s="25"/>
      <c r="V122" s="28"/>
      <c r="W122" s="28"/>
      <c r="X122" s="23">
        <f>IF($B122="Entry",IF(AND(LEN(TRIM(UPPER(W122)))=10,CODE(MID(TRIM(UPPER(W122)),1,1))&gt;=65,CODE(MID(TRIM(UPPER(W122)),1,1))&lt;=90,CODE(MID(TRIM(UPPER(W122)),2,1))&gt;=65,CODE(MID(TRIM(UPPER(W122)),2,1))&lt;=90,CODE(MID(TRIM(UPPER(W122)),3,1))&gt;=65,CODE(MID(TRIM(UPPER(W122)),3,1))&lt;=90,CODE(MID(TRIM(UPPER(W122)),4,1))&gt;=65,CODE(MID(TRIM(UPPER(W122)),4,1))&lt;=90,CODE(MID(TRIM(UPPER(W122)),5,1))&gt;=65,CODE(MID(TRIM(UPPER(W122)),5,1))&lt;=90,CODE(MID(TRIM(UPPER(W122)),10,1))&gt;=65,CODE(MID(TRIM(UPPER(W122)),10,1))&lt;=90,CODE(MID(TRIM(UPPER(W122)),6,1))&gt;=48,CODE(MID(TRIM(UPPER(W122)),6,1))&lt;=57,CODE(MID(TRIM(UPPER(W122)),7,1))&gt;=48,CODE(MID(TRIM(UPPER(W122)),7,1))&lt;=57,CODE(MID(TRIM(UPPER(W122)),8,1))&gt;=48,CODE(MID(TRIM(UPPER(W122)),8,1))&lt;=57,CODE(MID(TRIM(UPPER(W122)),9,1))&gt;=48,CODE(MID(TRIM(UPPER(W122)),9,1))&lt;=57),"N","Y"),IF($B122="Challan","",IF(W122&lt;&gt;"","◄ Set Row Type","")))</f>
      </c>
      <c r="Y122" s="23">
        <f>IF($B122="Entry",IF(LEN(W122)&lt;4,"",IF(UPPER(MID(W122,4,1))="P","Individual",IF(UPPER(MID(W122,4,1))="H","HUF",IF(UPPER(MID(W122,4,1))="C","Company",IF(UPPER(MID(W122,4,1))="F","Firm",IF(UPPER(MID(W122,4,1))="L","LLP",IF(UPPER(MID(W122,4,1))="T","Trust",IF(UPPER(MID(W122,4,1))="A","AOP","")))))))),IF($B122="Challan","",IF(W122&lt;&gt;"","◄ Set Row Type","")))</f>
      </c>
      <c r="Z122" s="28"/>
      <c r="AA122" s="29">
        <f>IF($B122&lt;&gt;"Entry","",IF(Z122="","",IF(X122="Y",SUMPRODUCT(('Rate Lookup'!$A$1:$A$37=Z122)*'Rate Lookup'!$D$1:$D$37),IF(OR(Y122="Individual",Y122="HUF"),SUMPRODUCT(('Rate Lookup'!$A$1:$A$37=Z122)*'Rate Lookup'!$B$1:$B$37),SUMPRODUCT(('Rate Lookup'!$A$1:$A$37=Z122)*'Rate Lookup'!$C$1:$C$37)))))</f>
      </c>
      <c r="AB122" s="30"/>
      <c r="AC122" s="31"/>
      <c r="AD122" s="27">
        <f>IF($B122&lt;&gt;"Entry","",ROUND(AC122*AA122/100,0))</f>
      </c>
      <c r="AE122" s="27">
        <f>IF($B122&lt;&gt;"Entry","",0)</f>
      </c>
      <c r="AF122" s="27">
        <f>IF($B122&lt;&gt;"Entry","",0)</f>
      </c>
      <c r="AG122" s="27">
        <f>IF($B122&lt;&gt;"Entry","",IF(OR(AD122=0,AB122="",AQ122="",AQ122&lt;=0),0,IF(AQ122&lt;=DATE(YEAR(AB122),MONTH(AB122)+1,7),0,ROUND(AD122*0.015*((YEAR(AQ122)-YEAR(AB122))*12+(MONTH(AQ122)-MONTH(AB122))+1),0))))</f>
      </c>
      <c r="AH122" s="27">
        <f>IF($B122&lt;&gt;"Entry","",0)</f>
      </c>
      <c r="AI122" s="28"/>
      <c r="AJ122" s="28"/>
      <c r="AK122" s="32"/>
      <c r="AL122" s="28"/>
      <c r="AM122" s="28"/>
      <c r="AN122" s="27">
        <f>IF($B122&lt;&gt;"Challan","",SUMIF('Q1 Data'!$D$4:$D$207,D122,'Q1 Data'!$AD$4:$AD$207)+SUMIF('Q1 Data'!$D$4:$D$207,D122,'Q1 Data'!$AG$4:$AG$207)+SUMIF('Q1 Data'!$D$4:$D$207,D122,'Q1 Data'!$AE$4:$AE$207)+SUMIF('Q2 Data'!$D$4:$D$207,D122,'Q2 Data'!$AD$4:$AD$207)+SUMIF('Q2 Data'!$D$4:$D$207,D122,'Q2 Data'!$AG$4:$AG$207)+SUMIF('Q2 Data'!$D$4:$D$207,D122,'Q2 Data'!$AE$4:$AE$207)+SUMIF('Q3 Data'!$D$4:$D$207,D122,'Q3 Data'!$AD$4:$AD$207)+SUMIF('Q3 Data'!$D$4:$D$207,D122,'Q3 Data'!$AG$4:$AG$207)+SUMIF('Q3 Data'!$D$4:$D$207,D122,'Q3 Data'!$AE$4:$AE$207)+SUMIF('Q4 Data'!$D$4:$D$207,D122,'Q4 Data'!$AD$4:$AD$207)+SUMIF('Q4 Data'!$D$4:$D$207,D122,'Q4 Data'!$AG$4:$AG$207)+SUMIF('Q4 Data'!$D$4:$D$207,D122,'Q4 Data'!$AE$4:$AE$207))</f>
      </c>
      <c r="AO122" s="27">
        <f>IF($B122&lt;&gt;"Challan","",P122-N122)</f>
      </c>
      <c r="AP122" s="27">
        <f>IF($B122&lt;&gt;"Challan","",MAX(0,AO122-AN122))</f>
      </c>
      <c r="AQ122" s="33">
        <f>IF($B122&lt;&gt;"Entry","",SUMPRODUCT(('Q1 Data'!$D$4:$D$207=D122)*('Q1 Data'!$B$4:$B$207="Challan")*'Q1 Data'!$F$4:$F$207)+SUMPRODUCT(('Q2 Data'!$D$4:$D$207=D122)*('Q2 Data'!$B$4:$B$207="Challan")*'Q2 Data'!$F$4:$F$207)+SUMPRODUCT(('Q3 Data'!$D$4:$D$207=D122)*('Q3 Data'!$B$4:$B$207="Challan")*'Q3 Data'!$F$4:$F$207)+SUMPRODUCT(('Q4 Data'!$D$4:$D$207=D122)*('Q4 Data'!$B$4:$B$207="Challan")*'Q4 Data'!$F$4:$F$207))</f>
      </c>
      <c r="AR122" s="34">
        <f>IF(OR($B122&lt;&gt;"Entry",Z122=""),FALSE,AND((SUMPRODUCT(('Q1 Data'!$D$4:$D$207=D122)*('Q1 Data'!$B$4:$B$207="Challan")*('Q1 Data'!$H$4:$H$207&lt;&gt;""))+SUMPRODUCT(('Q2 Data'!$D$4:$D$207=D122)*('Q2 Data'!$B$4:$B$207="Challan")*('Q2 Data'!$H$4:$H$207&lt;&gt;""))+SUMPRODUCT(('Q3 Data'!$D$4:$D$207=D122)*('Q3 Data'!$B$4:$B$207="Challan")*('Q3 Data'!$H$4:$H$207&lt;&gt;""))+SUMPRODUCT(('Q4 Data'!$D$4:$D$207=D122)*('Q4 Data'!$B$4:$B$207="Challan")*('Q4 Data'!$H$4:$H$207&lt;&gt;"")))&gt;0,(SUMPRODUCT(('Q1 Data'!$D$4:$D$207=D122)*('Q1 Data'!$B$4:$B$207="Challan")*('Q1 Data'!$H$4:$H$207=Z122))+SUMPRODUCT(('Q2 Data'!$D$4:$D$207=D122)*('Q2 Data'!$B$4:$B$207="Challan")*('Q2 Data'!$H$4:$H$207=Z122))+SUMPRODUCT(('Q3 Data'!$D$4:$D$207=D122)*('Q3 Data'!$B$4:$B$207="Challan")*('Q3 Data'!$H$4:$H$207=Z122))+SUMPRODUCT(('Q4 Data'!$D$4:$D$207=D122)*('Q4 Data'!$B$4:$B$207="Challan")*('Q4 Data'!$H$4:$H$207=Z122)))=0))</f>
      </c>
    </row>
    <row r="123" spans="1:44" x14ac:dyDescent="0.25">
      <c r="A123" s="20">
        <f>IF($B123="Entry",COUNTIF($B$4:$B123,"Entry"),"")</f>
      </c>
      <c r="B123" s="21"/>
      <c r="C123" s="22"/>
      <c r="D123" s="22"/>
      <c r="E123" s="23">
        <f>IF($B123&lt;&gt;"Challan","",IF(ROUND(AN123-AO123,2)&gt;0,"Over-applied",IF(ROUND(AN123-AO123,2)=0,"Fully Utilised","Unconsumed")))</f>
      </c>
      <c r="F123" s="24"/>
      <c r="G123" s="25"/>
      <c r="H123" s="25"/>
      <c r="I123" s="26"/>
      <c r="J123" s="26"/>
      <c r="K123" s="26"/>
      <c r="L123" s="26"/>
      <c r="M123" s="26"/>
      <c r="N123" s="26"/>
      <c r="O123" s="26"/>
      <c r="P123" s="27">
        <f>IF($B123&lt;&gt;"Challan","",I123+J123+K123+L123+M123+N123)</f>
      </c>
      <c r="Q123" s="25"/>
      <c r="R123" s="25"/>
      <c r="S123" s="25"/>
      <c r="T123" s="25"/>
      <c r="U123" s="25"/>
      <c r="V123" s="28"/>
      <c r="W123" s="28"/>
      <c r="X123" s="23">
        <f>IF($B123="Entry",IF(AND(LEN(TRIM(UPPER(W123)))=10,CODE(MID(TRIM(UPPER(W123)),1,1))&gt;=65,CODE(MID(TRIM(UPPER(W123)),1,1))&lt;=90,CODE(MID(TRIM(UPPER(W123)),2,1))&gt;=65,CODE(MID(TRIM(UPPER(W123)),2,1))&lt;=90,CODE(MID(TRIM(UPPER(W123)),3,1))&gt;=65,CODE(MID(TRIM(UPPER(W123)),3,1))&lt;=90,CODE(MID(TRIM(UPPER(W123)),4,1))&gt;=65,CODE(MID(TRIM(UPPER(W123)),4,1))&lt;=90,CODE(MID(TRIM(UPPER(W123)),5,1))&gt;=65,CODE(MID(TRIM(UPPER(W123)),5,1))&lt;=90,CODE(MID(TRIM(UPPER(W123)),10,1))&gt;=65,CODE(MID(TRIM(UPPER(W123)),10,1))&lt;=90,CODE(MID(TRIM(UPPER(W123)),6,1))&gt;=48,CODE(MID(TRIM(UPPER(W123)),6,1))&lt;=57,CODE(MID(TRIM(UPPER(W123)),7,1))&gt;=48,CODE(MID(TRIM(UPPER(W123)),7,1))&lt;=57,CODE(MID(TRIM(UPPER(W123)),8,1))&gt;=48,CODE(MID(TRIM(UPPER(W123)),8,1))&lt;=57,CODE(MID(TRIM(UPPER(W123)),9,1))&gt;=48,CODE(MID(TRIM(UPPER(W123)),9,1))&lt;=57),"N","Y"),IF($B123="Challan","",IF(W123&lt;&gt;"","◄ Set Row Type","")))</f>
      </c>
      <c r="Y123" s="23">
        <f>IF($B123="Entry",IF(LEN(W123)&lt;4,"",IF(UPPER(MID(W123,4,1))="P","Individual",IF(UPPER(MID(W123,4,1))="H","HUF",IF(UPPER(MID(W123,4,1))="C","Company",IF(UPPER(MID(W123,4,1))="F","Firm",IF(UPPER(MID(W123,4,1))="L","LLP",IF(UPPER(MID(W123,4,1))="T","Trust",IF(UPPER(MID(W123,4,1))="A","AOP","")))))))),IF($B123="Challan","",IF(W123&lt;&gt;"","◄ Set Row Type","")))</f>
      </c>
      <c r="Z123" s="28"/>
      <c r="AA123" s="29">
        <f>IF($B123&lt;&gt;"Entry","",IF(Z123="","",IF(X123="Y",SUMPRODUCT(('Rate Lookup'!$A$1:$A$37=Z123)*'Rate Lookup'!$D$1:$D$37),IF(OR(Y123="Individual",Y123="HUF"),SUMPRODUCT(('Rate Lookup'!$A$1:$A$37=Z123)*'Rate Lookup'!$B$1:$B$37),SUMPRODUCT(('Rate Lookup'!$A$1:$A$37=Z123)*'Rate Lookup'!$C$1:$C$37)))))</f>
      </c>
      <c r="AB123" s="30"/>
      <c r="AC123" s="31"/>
      <c r="AD123" s="27">
        <f>IF($B123&lt;&gt;"Entry","",ROUND(AC123*AA123/100,0))</f>
      </c>
      <c r="AE123" s="27">
        <f>IF($B123&lt;&gt;"Entry","",0)</f>
      </c>
      <c r="AF123" s="27">
        <f>IF($B123&lt;&gt;"Entry","",0)</f>
      </c>
      <c r="AG123" s="27">
        <f>IF($B123&lt;&gt;"Entry","",IF(OR(AD123=0,AB123="",AQ123="",AQ123&lt;=0),0,IF(AQ123&lt;=DATE(YEAR(AB123),MONTH(AB123)+1,7),0,ROUND(AD123*0.015*((YEAR(AQ123)-YEAR(AB123))*12+(MONTH(AQ123)-MONTH(AB123))+1),0))))</f>
      </c>
      <c r="AH123" s="27">
        <f>IF($B123&lt;&gt;"Entry","",0)</f>
      </c>
      <c r="AI123" s="28"/>
      <c r="AJ123" s="28"/>
      <c r="AK123" s="32"/>
      <c r="AL123" s="28"/>
      <c r="AM123" s="28"/>
      <c r="AN123" s="27">
        <f>IF($B123&lt;&gt;"Challan","",SUMIF('Q1 Data'!$D$4:$D$207,D123,'Q1 Data'!$AD$4:$AD$207)+SUMIF('Q1 Data'!$D$4:$D$207,D123,'Q1 Data'!$AG$4:$AG$207)+SUMIF('Q1 Data'!$D$4:$D$207,D123,'Q1 Data'!$AE$4:$AE$207)+SUMIF('Q2 Data'!$D$4:$D$207,D123,'Q2 Data'!$AD$4:$AD$207)+SUMIF('Q2 Data'!$D$4:$D$207,D123,'Q2 Data'!$AG$4:$AG$207)+SUMIF('Q2 Data'!$D$4:$D$207,D123,'Q2 Data'!$AE$4:$AE$207)+SUMIF('Q3 Data'!$D$4:$D$207,D123,'Q3 Data'!$AD$4:$AD$207)+SUMIF('Q3 Data'!$D$4:$D$207,D123,'Q3 Data'!$AG$4:$AG$207)+SUMIF('Q3 Data'!$D$4:$D$207,D123,'Q3 Data'!$AE$4:$AE$207)+SUMIF('Q4 Data'!$D$4:$D$207,D123,'Q4 Data'!$AD$4:$AD$207)+SUMIF('Q4 Data'!$D$4:$D$207,D123,'Q4 Data'!$AG$4:$AG$207)+SUMIF('Q4 Data'!$D$4:$D$207,D123,'Q4 Data'!$AE$4:$AE$207))</f>
      </c>
      <c r="AO123" s="27">
        <f>IF($B123&lt;&gt;"Challan","",P123-N123)</f>
      </c>
      <c r="AP123" s="27">
        <f>IF($B123&lt;&gt;"Challan","",MAX(0,AO123-AN123))</f>
      </c>
      <c r="AQ123" s="33">
        <f>IF($B123&lt;&gt;"Entry","",SUMPRODUCT(('Q1 Data'!$D$4:$D$207=D123)*('Q1 Data'!$B$4:$B$207="Challan")*'Q1 Data'!$F$4:$F$207)+SUMPRODUCT(('Q2 Data'!$D$4:$D$207=D123)*('Q2 Data'!$B$4:$B$207="Challan")*'Q2 Data'!$F$4:$F$207)+SUMPRODUCT(('Q3 Data'!$D$4:$D$207=D123)*('Q3 Data'!$B$4:$B$207="Challan")*'Q3 Data'!$F$4:$F$207)+SUMPRODUCT(('Q4 Data'!$D$4:$D$207=D123)*('Q4 Data'!$B$4:$B$207="Challan")*'Q4 Data'!$F$4:$F$207))</f>
      </c>
      <c r="AR123" s="34">
        <f>IF(OR($B123&lt;&gt;"Entry",Z123=""),FALSE,AND((SUMPRODUCT(('Q1 Data'!$D$4:$D$207=D123)*('Q1 Data'!$B$4:$B$207="Challan")*('Q1 Data'!$H$4:$H$207&lt;&gt;""))+SUMPRODUCT(('Q2 Data'!$D$4:$D$207=D123)*('Q2 Data'!$B$4:$B$207="Challan")*('Q2 Data'!$H$4:$H$207&lt;&gt;""))+SUMPRODUCT(('Q3 Data'!$D$4:$D$207=D123)*('Q3 Data'!$B$4:$B$207="Challan")*('Q3 Data'!$H$4:$H$207&lt;&gt;""))+SUMPRODUCT(('Q4 Data'!$D$4:$D$207=D123)*('Q4 Data'!$B$4:$B$207="Challan")*('Q4 Data'!$H$4:$H$207&lt;&gt;"")))&gt;0,(SUMPRODUCT(('Q1 Data'!$D$4:$D$207=D123)*('Q1 Data'!$B$4:$B$207="Challan")*('Q1 Data'!$H$4:$H$207=Z123))+SUMPRODUCT(('Q2 Data'!$D$4:$D$207=D123)*('Q2 Data'!$B$4:$B$207="Challan")*('Q2 Data'!$H$4:$H$207=Z123))+SUMPRODUCT(('Q3 Data'!$D$4:$D$207=D123)*('Q3 Data'!$B$4:$B$207="Challan")*('Q3 Data'!$H$4:$H$207=Z123))+SUMPRODUCT(('Q4 Data'!$D$4:$D$207=D123)*('Q4 Data'!$B$4:$B$207="Challan")*('Q4 Data'!$H$4:$H$207=Z123)))=0))</f>
      </c>
    </row>
    <row r="124" spans="1:44" x14ac:dyDescent="0.25">
      <c r="A124" s="20">
        <f>IF($B124="Entry",COUNTIF($B$4:$B124,"Entry"),"")</f>
      </c>
      <c r="B124" s="21"/>
      <c r="C124" s="22"/>
      <c r="D124" s="22"/>
      <c r="E124" s="23">
        <f>IF($B124&lt;&gt;"Challan","",IF(ROUND(AN124-AO124,2)&gt;0,"Over-applied",IF(ROUND(AN124-AO124,2)=0,"Fully Utilised","Unconsumed")))</f>
      </c>
      <c r="F124" s="24"/>
      <c r="G124" s="25"/>
      <c r="H124" s="25"/>
      <c r="I124" s="26"/>
      <c r="J124" s="26"/>
      <c r="K124" s="26"/>
      <c r="L124" s="26"/>
      <c r="M124" s="26"/>
      <c r="N124" s="26"/>
      <c r="O124" s="26"/>
      <c r="P124" s="27">
        <f>IF($B124&lt;&gt;"Challan","",I124+J124+K124+L124+M124+N124)</f>
      </c>
      <c r="Q124" s="25"/>
      <c r="R124" s="25"/>
      <c r="S124" s="25"/>
      <c r="T124" s="25"/>
      <c r="U124" s="25"/>
      <c r="V124" s="28"/>
      <c r="W124" s="28"/>
      <c r="X124" s="23">
        <f>IF($B124="Entry",IF(AND(LEN(TRIM(UPPER(W124)))=10,CODE(MID(TRIM(UPPER(W124)),1,1))&gt;=65,CODE(MID(TRIM(UPPER(W124)),1,1))&lt;=90,CODE(MID(TRIM(UPPER(W124)),2,1))&gt;=65,CODE(MID(TRIM(UPPER(W124)),2,1))&lt;=90,CODE(MID(TRIM(UPPER(W124)),3,1))&gt;=65,CODE(MID(TRIM(UPPER(W124)),3,1))&lt;=90,CODE(MID(TRIM(UPPER(W124)),4,1))&gt;=65,CODE(MID(TRIM(UPPER(W124)),4,1))&lt;=90,CODE(MID(TRIM(UPPER(W124)),5,1))&gt;=65,CODE(MID(TRIM(UPPER(W124)),5,1))&lt;=90,CODE(MID(TRIM(UPPER(W124)),10,1))&gt;=65,CODE(MID(TRIM(UPPER(W124)),10,1))&lt;=90,CODE(MID(TRIM(UPPER(W124)),6,1))&gt;=48,CODE(MID(TRIM(UPPER(W124)),6,1))&lt;=57,CODE(MID(TRIM(UPPER(W124)),7,1))&gt;=48,CODE(MID(TRIM(UPPER(W124)),7,1))&lt;=57,CODE(MID(TRIM(UPPER(W124)),8,1))&gt;=48,CODE(MID(TRIM(UPPER(W124)),8,1))&lt;=57,CODE(MID(TRIM(UPPER(W124)),9,1))&gt;=48,CODE(MID(TRIM(UPPER(W124)),9,1))&lt;=57),"N","Y"),IF($B124="Challan","",IF(W124&lt;&gt;"","◄ Set Row Type","")))</f>
      </c>
      <c r="Y124" s="23">
        <f>IF($B124="Entry",IF(LEN(W124)&lt;4,"",IF(UPPER(MID(W124,4,1))="P","Individual",IF(UPPER(MID(W124,4,1))="H","HUF",IF(UPPER(MID(W124,4,1))="C","Company",IF(UPPER(MID(W124,4,1))="F","Firm",IF(UPPER(MID(W124,4,1))="L","LLP",IF(UPPER(MID(W124,4,1))="T","Trust",IF(UPPER(MID(W124,4,1))="A","AOP","")))))))),IF($B124="Challan","",IF(W124&lt;&gt;"","◄ Set Row Type","")))</f>
      </c>
      <c r="Z124" s="28"/>
      <c r="AA124" s="29">
        <f>IF($B124&lt;&gt;"Entry","",IF(Z124="","",IF(X124="Y",SUMPRODUCT(('Rate Lookup'!$A$1:$A$37=Z124)*'Rate Lookup'!$D$1:$D$37),IF(OR(Y124="Individual",Y124="HUF"),SUMPRODUCT(('Rate Lookup'!$A$1:$A$37=Z124)*'Rate Lookup'!$B$1:$B$37),SUMPRODUCT(('Rate Lookup'!$A$1:$A$37=Z124)*'Rate Lookup'!$C$1:$C$37)))))</f>
      </c>
      <c r="AB124" s="30"/>
      <c r="AC124" s="31"/>
      <c r="AD124" s="27">
        <f>IF($B124&lt;&gt;"Entry","",ROUND(AC124*AA124/100,0))</f>
      </c>
      <c r="AE124" s="27">
        <f>IF($B124&lt;&gt;"Entry","",0)</f>
      </c>
      <c r="AF124" s="27">
        <f>IF($B124&lt;&gt;"Entry","",0)</f>
      </c>
      <c r="AG124" s="27">
        <f>IF($B124&lt;&gt;"Entry","",IF(OR(AD124=0,AB124="",AQ124="",AQ124&lt;=0),0,IF(AQ124&lt;=DATE(YEAR(AB124),MONTH(AB124)+1,7),0,ROUND(AD124*0.015*((YEAR(AQ124)-YEAR(AB124))*12+(MONTH(AQ124)-MONTH(AB124))+1),0))))</f>
      </c>
      <c r="AH124" s="27">
        <f>IF($B124&lt;&gt;"Entry","",0)</f>
      </c>
      <c r="AI124" s="28"/>
      <c r="AJ124" s="28"/>
      <c r="AK124" s="32"/>
      <c r="AL124" s="28"/>
      <c r="AM124" s="28"/>
      <c r="AN124" s="27">
        <f>IF($B124&lt;&gt;"Challan","",SUMIF('Q1 Data'!$D$4:$D$207,D124,'Q1 Data'!$AD$4:$AD$207)+SUMIF('Q1 Data'!$D$4:$D$207,D124,'Q1 Data'!$AG$4:$AG$207)+SUMIF('Q1 Data'!$D$4:$D$207,D124,'Q1 Data'!$AE$4:$AE$207)+SUMIF('Q2 Data'!$D$4:$D$207,D124,'Q2 Data'!$AD$4:$AD$207)+SUMIF('Q2 Data'!$D$4:$D$207,D124,'Q2 Data'!$AG$4:$AG$207)+SUMIF('Q2 Data'!$D$4:$D$207,D124,'Q2 Data'!$AE$4:$AE$207)+SUMIF('Q3 Data'!$D$4:$D$207,D124,'Q3 Data'!$AD$4:$AD$207)+SUMIF('Q3 Data'!$D$4:$D$207,D124,'Q3 Data'!$AG$4:$AG$207)+SUMIF('Q3 Data'!$D$4:$D$207,D124,'Q3 Data'!$AE$4:$AE$207)+SUMIF('Q4 Data'!$D$4:$D$207,D124,'Q4 Data'!$AD$4:$AD$207)+SUMIF('Q4 Data'!$D$4:$D$207,D124,'Q4 Data'!$AG$4:$AG$207)+SUMIF('Q4 Data'!$D$4:$D$207,D124,'Q4 Data'!$AE$4:$AE$207))</f>
      </c>
      <c r="AO124" s="27">
        <f>IF($B124&lt;&gt;"Challan","",P124-N124)</f>
      </c>
      <c r="AP124" s="27">
        <f>IF($B124&lt;&gt;"Challan","",MAX(0,AO124-AN124))</f>
      </c>
      <c r="AQ124" s="33">
        <f>IF($B124&lt;&gt;"Entry","",SUMPRODUCT(('Q1 Data'!$D$4:$D$207=D124)*('Q1 Data'!$B$4:$B$207="Challan")*'Q1 Data'!$F$4:$F$207)+SUMPRODUCT(('Q2 Data'!$D$4:$D$207=D124)*('Q2 Data'!$B$4:$B$207="Challan")*'Q2 Data'!$F$4:$F$207)+SUMPRODUCT(('Q3 Data'!$D$4:$D$207=D124)*('Q3 Data'!$B$4:$B$207="Challan")*'Q3 Data'!$F$4:$F$207)+SUMPRODUCT(('Q4 Data'!$D$4:$D$207=D124)*('Q4 Data'!$B$4:$B$207="Challan")*'Q4 Data'!$F$4:$F$207))</f>
      </c>
      <c r="AR124" s="34">
        <f>IF(OR($B124&lt;&gt;"Entry",Z124=""),FALSE,AND((SUMPRODUCT(('Q1 Data'!$D$4:$D$207=D124)*('Q1 Data'!$B$4:$B$207="Challan")*('Q1 Data'!$H$4:$H$207&lt;&gt;""))+SUMPRODUCT(('Q2 Data'!$D$4:$D$207=D124)*('Q2 Data'!$B$4:$B$207="Challan")*('Q2 Data'!$H$4:$H$207&lt;&gt;""))+SUMPRODUCT(('Q3 Data'!$D$4:$D$207=D124)*('Q3 Data'!$B$4:$B$207="Challan")*('Q3 Data'!$H$4:$H$207&lt;&gt;""))+SUMPRODUCT(('Q4 Data'!$D$4:$D$207=D124)*('Q4 Data'!$B$4:$B$207="Challan")*('Q4 Data'!$H$4:$H$207&lt;&gt;"")))&gt;0,(SUMPRODUCT(('Q1 Data'!$D$4:$D$207=D124)*('Q1 Data'!$B$4:$B$207="Challan")*('Q1 Data'!$H$4:$H$207=Z124))+SUMPRODUCT(('Q2 Data'!$D$4:$D$207=D124)*('Q2 Data'!$B$4:$B$207="Challan")*('Q2 Data'!$H$4:$H$207=Z124))+SUMPRODUCT(('Q3 Data'!$D$4:$D$207=D124)*('Q3 Data'!$B$4:$B$207="Challan")*('Q3 Data'!$H$4:$H$207=Z124))+SUMPRODUCT(('Q4 Data'!$D$4:$D$207=D124)*('Q4 Data'!$B$4:$B$207="Challan")*('Q4 Data'!$H$4:$H$207=Z124)))=0))</f>
      </c>
    </row>
    <row r="125" spans="1:44" x14ac:dyDescent="0.25">
      <c r="A125" s="20">
        <f>IF($B125="Entry",COUNTIF($B$4:$B125,"Entry"),"")</f>
      </c>
      <c r="B125" s="21"/>
      <c r="C125" s="22"/>
      <c r="D125" s="22"/>
      <c r="E125" s="23">
        <f>IF($B125&lt;&gt;"Challan","",IF(ROUND(AN125-AO125,2)&gt;0,"Over-applied",IF(ROUND(AN125-AO125,2)=0,"Fully Utilised","Unconsumed")))</f>
      </c>
      <c r="F125" s="24"/>
      <c r="G125" s="25"/>
      <c r="H125" s="25"/>
      <c r="I125" s="26"/>
      <c r="J125" s="26"/>
      <c r="K125" s="26"/>
      <c r="L125" s="26"/>
      <c r="M125" s="26"/>
      <c r="N125" s="26"/>
      <c r="O125" s="26"/>
      <c r="P125" s="27">
        <f>IF($B125&lt;&gt;"Challan","",I125+J125+K125+L125+M125+N125)</f>
      </c>
      <c r="Q125" s="25"/>
      <c r="R125" s="25"/>
      <c r="S125" s="25"/>
      <c r="T125" s="25"/>
      <c r="U125" s="25"/>
      <c r="V125" s="28"/>
      <c r="W125" s="28"/>
      <c r="X125" s="23">
        <f>IF($B125="Entry",IF(AND(LEN(TRIM(UPPER(W125)))=10,CODE(MID(TRIM(UPPER(W125)),1,1))&gt;=65,CODE(MID(TRIM(UPPER(W125)),1,1))&lt;=90,CODE(MID(TRIM(UPPER(W125)),2,1))&gt;=65,CODE(MID(TRIM(UPPER(W125)),2,1))&lt;=90,CODE(MID(TRIM(UPPER(W125)),3,1))&gt;=65,CODE(MID(TRIM(UPPER(W125)),3,1))&lt;=90,CODE(MID(TRIM(UPPER(W125)),4,1))&gt;=65,CODE(MID(TRIM(UPPER(W125)),4,1))&lt;=90,CODE(MID(TRIM(UPPER(W125)),5,1))&gt;=65,CODE(MID(TRIM(UPPER(W125)),5,1))&lt;=90,CODE(MID(TRIM(UPPER(W125)),10,1))&gt;=65,CODE(MID(TRIM(UPPER(W125)),10,1))&lt;=90,CODE(MID(TRIM(UPPER(W125)),6,1))&gt;=48,CODE(MID(TRIM(UPPER(W125)),6,1))&lt;=57,CODE(MID(TRIM(UPPER(W125)),7,1))&gt;=48,CODE(MID(TRIM(UPPER(W125)),7,1))&lt;=57,CODE(MID(TRIM(UPPER(W125)),8,1))&gt;=48,CODE(MID(TRIM(UPPER(W125)),8,1))&lt;=57,CODE(MID(TRIM(UPPER(W125)),9,1))&gt;=48,CODE(MID(TRIM(UPPER(W125)),9,1))&lt;=57),"N","Y"),IF($B125="Challan","",IF(W125&lt;&gt;"","◄ Set Row Type","")))</f>
      </c>
      <c r="Y125" s="23">
        <f>IF($B125="Entry",IF(LEN(W125)&lt;4,"",IF(UPPER(MID(W125,4,1))="P","Individual",IF(UPPER(MID(W125,4,1))="H","HUF",IF(UPPER(MID(W125,4,1))="C","Company",IF(UPPER(MID(W125,4,1))="F","Firm",IF(UPPER(MID(W125,4,1))="L","LLP",IF(UPPER(MID(W125,4,1))="T","Trust",IF(UPPER(MID(W125,4,1))="A","AOP","")))))))),IF($B125="Challan","",IF(W125&lt;&gt;"","◄ Set Row Type","")))</f>
      </c>
      <c r="Z125" s="28"/>
      <c r="AA125" s="29">
        <f>IF($B125&lt;&gt;"Entry","",IF(Z125="","",IF(X125="Y",SUMPRODUCT(('Rate Lookup'!$A$1:$A$37=Z125)*'Rate Lookup'!$D$1:$D$37),IF(OR(Y125="Individual",Y125="HUF"),SUMPRODUCT(('Rate Lookup'!$A$1:$A$37=Z125)*'Rate Lookup'!$B$1:$B$37),SUMPRODUCT(('Rate Lookup'!$A$1:$A$37=Z125)*'Rate Lookup'!$C$1:$C$37)))))</f>
      </c>
      <c r="AB125" s="30"/>
      <c r="AC125" s="31"/>
      <c r="AD125" s="27">
        <f>IF($B125&lt;&gt;"Entry","",ROUND(AC125*AA125/100,0))</f>
      </c>
      <c r="AE125" s="27">
        <f>IF($B125&lt;&gt;"Entry","",0)</f>
      </c>
      <c r="AF125" s="27">
        <f>IF($B125&lt;&gt;"Entry","",0)</f>
      </c>
      <c r="AG125" s="27">
        <f>IF($B125&lt;&gt;"Entry","",IF(OR(AD125=0,AB125="",AQ125="",AQ125&lt;=0),0,IF(AQ125&lt;=DATE(YEAR(AB125),MONTH(AB125)+1,7),0,ROUND(AD125*0.015*((YEAR(AQ125)-YEAR(AB125))*12+(MONTH(AQ125)-MONTH(AB125))+1),0))))</f>
      </c>
      <c r="AH125" s="27">
        <f>IF($B125&lt;&gt;"Entry","",0)</f>
      </c>
      <c r="AI125" s="28"/>
      <c r="AJ125" s="28"/>
      <c r="AK125" s="32"/>
      <c r="AL125" s="28"/>
      <c r="AM125" s="28"/>
      <c r="AN125" s="27">
        <f>IF($B125&lt;&gt;"Challan","",SUMIF('Q1 Data'!$D$4:$D$207,D125,'Q1 Data'!$AD$4:$AD$207)+SUMIF('Q1 Data'!$D$4:$D$207,D125,'Q1 Data'!$AG$4:$AG$207)+SUMIF('Q1 Data'!$D$4:$D$207,D125,'Q1 Data'!$AE$4:$AE$207)+SUMIF('Q2 Data'!$D$4:$D$207,D125,'Q2 Data'!$AD$4:$AD$207)+SUMIF('Q2 Data'!$D$4:$D$207,D125,'Q2 Data'!$AG$4:$AG$207)+SUMIF('Q2 Data'!$D$4:$D$207,D125,'Q2 Data'!$AE$4:$AE$207)+SUMIF('Q3 Data'!$D$4:$D$207,D125,'Q3 Data'!$AD$4:$AD$207)+SUMIF('Q3 Data'!$D$4:$D$207,D125,'Q3 Data'!$AG$4:$AG$207)+SUMIF('Q3 Data'!$D$4:$D$207,D125,'Q3 Data'!$AE$4:$AE$207)+SUMIF('Q4 Data'!$D$4:$D$207,D125,'Q4 Data'!$AD$4:$AD$207)+SUMIF('Q4 Data'!$D$4:$D$207,D125,'Q4 Data'!$AG$4:$AG$207)+SUMIF('Q4 Data'!$D$4:$D$207,D125,'Q4 Data'!$AE$4:$AE$207))</f>
      </c>
      <c r="AO125" s="27">
        <f>IF($B125&lt;&gt;"Challan","",P125-N125)</f>
      </c>
      <c r="AP125" s="27">
        <f>IF($B125&lt;&gt;"Challan","",MAX(0,AO125-AN125))</f>
      </c>
      <c r="AQ125" s="33">
        <f>IF($B125&lt;&gt;"Entry","",SUMPRODUCT(('Q1 Data'!$D$4:$D$207=D125)*('Q1 Data'!$B$4:$B$207="Challan")*'Q1 Data'!$F$4:$F$207)+SUMPRODUCT(('Q2 Data'!$D$4:$D$207=D125)*('Q2 Data'!$B$4:$B$207="Challan")*'Q2 Data'!$F$4:$F$207)+SUMPRODUCT(('Q3 Data'!$D$4:$D$207=D125)*('Q3 Data'!$B$4:$B$207="Challan")*'Q3 Data'!$F$4:$F$207)+SUMPRODUCT(('Q4 Data'!$D$4:$D$207=D125)*('Q4 Data'!$B$4:$B$207="Challan")*'Q4 Data'!$F$4:$F$207))</f>
      </c>
      <c r="AR125" s="34">
        <f>IF(OR($B125&lt;&gt;"Entry",Z125=""),FALSE,AND((SUMPRODUCT(('Q1 Data'!$D$4:$D$207=D125)*('Q1 Data'!$B$4:$B$207="Challan")*('Q1 Data'!$H$4:$H$207&lt;&gt;""))+SUMPRODUCT(('Q2 Data'!$D$4:$D$207=D125)*('Q2 Data'!$B$4:$B$207="Challan")*('Q2 Data'!$H$4:$H$207&lt;&gt;""))+SUMPRODUCT(('Q3 Data'!$D$4:$D$207=D125)*('Q3 Data'!$B$4:$B$207="Challan")*('Q3 Data'!$H$4:$H$207&lt;&gt;""))+SUMPRODUCT(('Q4 Data'!$D$4:$D$207=D125)*('Q4 Data'!$B$4:$B$207="Challan")*('Q4 Data'!$H$4:$H$207&lt;&gt;"")))&gt;0,(SUMPRODUCT(('Q1 Data'!$D$4:$D$207=D125)*('Q1 Data'!$B$4:$B$207="Challan")*('Q1 Data'!$H$4:$H$207=Z125))+SUMPRODUCT(('Q2 Data'!$D$4:$D$207=D125)*('Q2 Data'!$B$4:$B$207="Challan")*('Q2 Data'!$H$4:$H$207=Z125))+SUMPRODUCT(('Q3 Data'!$D$4:$D$207=D125)*('Q3 Data'!$B$4:$B$207="Challan")*('Q3 Data'!$H$4:$H$207=Z125))+SUMPRODUCT(('Q4 Data'!$D$4:$D$207=D125)*('Q4 Data'!$B$4:$B$207="Challan")*('Q4 Data'!$H$4:$H$207=Z125)))=0))</f>
      </c>
    </row>
    <row r="126" spans="1:44" x14ac:dyDescent="0.25">
      <c r="A126" s="20">
        <f>IF($B126="Entry",COUNTIF($B$4:$B126,"Entry"),"")</f>
      </c>
      <c r="B126" s="21"/>
      <c r="C126" s="22"/>
      <c r="D126" s="22"/>
      <c r="E126" s="23">
        <f>IF($B126&lt;&gt;"Challan","",IF(ROUND(AN126-AO126,2)&gt;0,"Over-applied",IF(ROUND(AN126-AO126,2)=0,"Fully Utilised","Unconsumed")))</f>
      </c>
      <c r="F126" s="24"/>
      <c r="G126" s="25"/>
      <c r="H126" s="25"/>
      <c r="I126" s="26"/>
      <c r="J126" s="26"/>
      <c r="K126" s="26"/>
      <c r="L126" s="26"/>
      <c r="M126" s="26"/>
      <c r="N126" s="26"/>
      <c r="O126" s="26"/>
      <c r="P126" s="27">
        <f>IF($B126&lt;&gt;"Challan","",I126+J126+K126+L126+M126+N126)</f>
      </c>
      <c r="Q126" s="25"/>
      <c r="R126" s="25"/>
      <c r="S126" s="25"/>
      <c r="T126" s="25"/>
      <c r="U126" s="25"/>
      <c r="V126" s="28"/>
      <c r="W126" s="28"/>
      <c r="X126" s="23">
        <f>IF($B126="Entry",IF(AND(LEN(TRIM(UPPER(W126)))=10,CODE(MID(TRIM(UPPER(W126)),1,1))&gt;=65,CODE(MID(TRIM(UPPER(W126)),1,1))&lt;=90,CODE(MID(TRIM(UPPER(W126)),2,1))&gt;=65,CODE(MID(TRIM(UPPER(W126)),2,1))&lt;=90,CODE(MID(TRIM(UPPER(W126)),3,1))&gt;=65,CODE(MID(TRIM(UPPER(W126)),3,1))&lt;=90,CODE(MID(TRIM(UPPER(W126)),4,1))&gt;=65,CODE(MID(TRIM(UPPER(W126)),4,1))&lt;=90,CODE(MID(TRIM(UPPER(W126)),5,1))&gt;=65,CODE(MID(TRIM(UPPER(W126)),5,1))&lt;=90,CODE(MID(TRIM(UPPER(W126)),10,1))&gt;=65,CODE(MID(TRIM(UPPER(W126)),10,1))&lt;=90,CODE(MID(TRIM(UPPER(W126)),6,1))&gt;=48,CODE(MID(TRIM(UPPER(W126)),6,1))&lt;=57,CODE(MID(TRIM(UPPER(W126)),7,1))&gt;=48,CODE(MID(TRIM(UPPER(W126)),7,1))&lt;=57,CODE(MID(TRIM(UPPER(W126)),8,1))&gt;=48,CODE(MID(TRIM(UPPER(W126)),8,1))&lt;=57,CODE(MID(TRIM(UPPER(W126)),9,1))&gt;=48,CODE(MID(TRIM(UPPER(W126)),9,1))&lt;=57),"N","Y"),IF($B126="Challan","",IF(W126&lt;&gt;"","◄ Set Row Type","")))</f>
      </c>
      <c r="Y126" s="23">
        <f>IF($B126="Entry",IF(LEN(W126)&lt;4,"",IF(UPPER(MID(W126,4,1))="P","Individual",IF(UPPER(MID(W126,4,1))="H","HUF",IF(UPPER(MID(W126,4,1))="C","Company",IF(UPPER(MID(W126,4,1))="F","Firm",IF(UPPER(MID(W126,4,1))="L","LLP",IF(UPPER(MID(W126,4,1))="T","Trust",IF(UPPER(MID(W126,4,1))="A","AOP","")))))))),IF($B126="Challan","",IF(W126&lt;&gt;"","◄ Set Row Type","")))</f>
      </c>
      <c r="Z126" s="28"/>
      <c r="AA126" s="29">
        <f>IF($B126&lt;&gt;"Entry","",IF(Z126="","",IF(X126="Y",SUMPRODUCT(('Rate Lookup'!$A$1:$A$37=Z126)*'Rate Lookup'!$D$1:$D$37),IF(OR(Y126="Individual",Y126="HUF"),SUMPRODUCT(('Rate Lookup'!$A$1:$A$37=Z126)*'Rate Lookup'!$B$1:$B$37),SUMPRODUCT(('Rate Lookup'!$A$1:$A$37=Z126)*'Rate Lookup'!$C$1:$C$37)))))</f>
      </c>
      <c r="AB126" s="30"/>
      <c r="AC126" s="31"/>
      <c r="AD126" s="27">
        <f>IF($B126&lt;&gt;"Entry","",ROUND(AC126*AA126/100,0))</f>
      </c>
      <c r="AE126" s="27">
        <f>IF($B126&lt;&gt;"Entry","",0)</f>
      </c>
      <c r="AF126" s="27">
        <f>IF($B126&lt;&gt;"Entry","",0)</f>
      </c>
      <c r="AG126" s="27">
        <f>IF($B126&lt;&gt;"Entry","",IF(OR(AD126=0,AB126="",AQ126="",AQ126&lt;=0),0,IF(AQ126&lt;=DATE(YEAR(AB126),MONTH(AB126)+1,7),0,ROUND(AD126*0.015*((YEAR(AQ126)-YEAR(AB126))*12+(MONTH(AQ126)-MONTH(AB126))+1),0))))</f>
      </c>
      <c r="AH126" s="27">
        <f>IF($B126&lt;&gt;"Entry","",0)</f>
      </c>
      <c r="AI126" s="28"/>
      <c r="AJ126" s="28"/>
      <c r="AK126" s="32"/>
      <c r="AL126" s="28"/>
      <c r="AM126" s="28"/>
      <c r="AN126" s="27">
        <f>IF($B126&lt;&gt;"Challan","",SUMIF('Q1 Data'!$D$4:$D$207,D126,'Q1 Data'!$AD$4:$AD$207)+SUMIF('Q1 Data'!$D$4:$D$207,D126,'Q1 Data'!$AG$4:$AG$207)+SUMIF('Q1 Data'!$D$4:$D$207,D126,'Q1 Data'!$AE$4:$AE$207)+SUMIF('Q2 Data'!$D$4:$D$207,D126,'Q2 Data'!$AD$4:$AD$207)+SUMIF('Q2 Data'!$D$4:$D$207,D126,'Q2 Data'!$AG$4:$AG$207)+SUMIF('Q2 Data'!$D$4:$D$207,D126,'Q2 Data'!$AE$4:$AE$207)+SUMIF('Q3 Data'!$D$4:$D$207,D126,'Q3 Data'!$AD$4:$AD$207)+SUMIF('Q3 Data'!$D$4:$D$207,D126,'Q3 Data'!$AG$4:$AG$207)+SUMIF('Q3 Data'!$D$4:$D$207,D126,'Q3 Data'!$AE$4:$AE$207)+SUMIF('Q4 Data'!$D$4:$D$207,D126,'Q4 Data'!$AD$4:$AD$207)+SUMIF('Q4 Data'!$D$4:$D$207,D126,'Q4 Data'!$AG$4:$AG$207)+SUMIF('Q4 Data'!$D$4:$D$207,D126,'Q4 Data'!$AE$4:$AE$207))</f>
      </c>
      <c r="AO126" s="27">
        <f>IF($B126&lt;&gt;"Challan","",P126-N126)</f>
      </c>
      <c r="AP126" s="27">
        <f>IF($B126&lt;&gt;"Challan","",MAX(0,AO126-AN126))</f>
      </c>
      <c r="AQ126" s="33">
        <f>IF($B126&lt;&gt;"Entry","",SUMPRODUCT(('Q1 Data'!$D$4:$D$207=D126)*('Q1 Data'!$B$4:$B$207="Challan")*'Q1 Data'!$F$4:$F$207)+SUMPRODUCT(('Q2 Data'!$D$4:$D$207=D126)*('Q2 Data'!$B$4:$B$207="Challan")*'Q2 Data'!$F$4:$F$207)+SUMPRODUCT(('Q3 Data'!$D$4:$D$207=D126)*('Q3 Data'!$B$4:$B$207="Challan")*'Q3 Data'!$F$4:$F$207)+SUMPRODUCT(('Q4 Data'!$D$4:$D$207=D126)*('Q4 Data'!$B$4:$B$207="Challan")*'Q4 Data'!$F$4:$F$207))</f>
      </c>
      <c r="AR126" s="34">
        <f>IF(OR($B126&lt;&gt;"Entry",Z126=""),FALSE,AND((SUMPRODUCT(('Q1 Data'!$D$4:$D$207=D126)*('Q1 Data'!$B$4:$B$207="Challan")*('Q1 Data'!$H$4:$H$207&lt;&gt;""))+SUMPRODUCT(('Q2 Data'!$D$4:$D$207=D126)*('Q2 Data'!$B$4:$B$207="Challan")*('Q2 Data'!$H$4:$H$207&lt;&gt;""))+SUMPRODUCT(('Q3 Data'!$D$4:$D$207=D126)*('Q3 Data'!$B$4:$B$207="Challan")*('Q3 Data'!$H$4:$H$207&lt;&gt;""))+SUMPRODUCT(('Q4 Data'!$D$4:$D$207=D126)*('Q4 Data'!$B$4:$B$207="Challan")*('Q4 Data'!$H$4:$H$207&lt;&gt;"")))&gt;0,(SUMPRODUCT(('Q1 Data'!$D$4:$D$207=D126)*('Q1 Data'!$B$4:$B$207="Challan")*('Q1 Data'!$H$4:$H$207=Z126))+SUMPRODUCT(('Q2 Data'!$D$4:$D$207=D126)*('Q2 Data'!$B$4:$B$207="Challan")*('Q2 Data'!$H$4:$H$207=Z126))+SUMPRODUCT(('Q3 Data'!$D$4:$D$207=D126)*('Q3 Data'!$B$4:$B$207="Challan")*('Q3 Data'!$H$4:$H$207=Z126))+SUMPRODUCT(('Q4 Data'!$D$4:$D$207=D126)*('Q4 Data'!$B$4:$B$207="Challan")*('Q4 Data'!$H$4:$H$207=Z126)))=0))</f>
      </c>
    </row>
    <row r="127" spans="1:44" x14ac:dyDescent="0.25">
      <c r="A127" s="20">
        <f>IF($B127="Entry",COUNTIF($B$4:$B127,"Entry"),"")</f>
      </c>
      <c r="B127" s="21"/>
      <c r="C127" s="22"/>
      <c r="D127" s="22"/>
      <c r="E127" s="23">
        <f>IF($B127&lt;&gt;"Challan","",IF(ROUND(AN127-AO127,2)&gt;0,"Over-applied",IF(ROUND(AN127-AO127,2)=0,"Fully Utilised","Unconsumed")))</f>
      </c>
      <c r="F127" s="24"/>
      <c r="G127" s="25"/>
      <c r="H127" s="25"/>
      <c r="I127" s="26"/>
      <c r="J127" s="26"/>
      <c r="K127" s="26"/>
      <c r="L127" s="26"/>
      <c r="M127" s="26"/>
      <c r="N127" s="26"/>
      <c r="O127" s="26"/>
      <c r="P127" s="27">
        <f>IF($B127&lt;&gt;"Challan","",I127+J127+K127+L127+M127+N127)</f>
      </c>
      <c r="Q127" s="25"/>
      <c r="R127" s="25"/>
      <c r="S127" s="25"/>
      <c r="T127" s="25"/>
      <c r="U127" s="25"/>
      <c r="V127" s="28"/>
      <c r="W127" s="28"/>
      <c r="X127" s="23">
        <f>IF($B127="Entry",IF(AND(LEN(TRIM(UPPER(W127)))=10,CODE(MID(TRIM(UPPER(W127)),1,1))&gt;=65,CODE(MID(TRIM(UPPER(W127)),1,1))&lt;=90,CODE(MID(TRIM(UPPER(W127)),2,1))&gt;=65,CODE(MID(TRIM(UPPER(W127)),2,1))&lt;=90,CODE(MID(TRIM(UPPER(W127)),3,1))&gt;=65,CODE(MID(TRIM(UPPER(W127)),3,1))&lt;=90,CODE(MID(TRIM(UPPER(W127)),4,1))&gt;=65,CODE(MID(TRIM(UPPER(W127)),4,1))&lt;=90,CODE(MID(TRIM(UPPER(W127)),5,1))&gt;=65,CODE(MID(TRIM(UPPER(W127)),5,1))&lt;=90,CODE(MID(TRIM(UPPER(W127)),10,1))&gt;=65,CODE(MID(TRIM(UPPER(W127)),10,1))&lt;=90,CODE(MID(TRIM(UPPER(W127)),6,1))&gt;=48,CODE(MID(TRIM(UPPER(W127)),6,1))&lt;=57,CODE(MID(TRIM(UPPER(W127)),7,1))&gt;=48,CODE(MID(TRIM(UPPER(W127)),7,1))&lt;=57,CODE(MID(TRIM(UPPER(W127)),8,1))&gt;=48,CODE(MID(TRIM(UPPER(W127)),8,1))&lt;=57,CODE(MID(TRIM(UPPER(W127)),9,1))&gt;=48,CODE(MID(TRIM(UPPER(W127)),9,1))&lt;=57),"N","Y"),IF($B127="Challan","",IF(W127&lt;&gt;"","◄ Set Row Type","")))</f>
      </c>
      <c r="Y127" s="23">
        <f>IF($B127="Entry",IF(LEN(W127)&lt;4,"",IF(UPPER(MID(W127,4,1))="P","Individual",IF(UPPER(MID(W127,4,1))="H","HUF",IF(UPPER(MID(W127,4,1))="C","Company",IF(UPPER(MID(W127,4,1))="F","Firm",IF(UPPER(MID(W127,4,1))="L","LLP",IF(UPPER(MID(W127,4,1))="T","Trust",IF(UPPER(MID(W127,4,1))="A","AOP","")))))))),IF($B127="Challan","",IF(W127&lt;&gt;"","◄ Set Row Type","")))</f>
      </c>
      <c r="Z127" s="28"/>
      <c r="AA127" s="29">
        <f>IF($B127&lt;&gt;"Entry","",IF(Z127="","",IF(X127="Y",SUMPRODUCT(('Rate Lookup'!$A$1:$A$37=Z127)*'Rate Lookup'!$D$1:$D$37),IF(OR(Y127="Individual",Y127="HUF"),SUMPRODUCT(('Rate Lookup'!$A$1:$A$37=Z127)*'Rate Lookup'!$B$1:$B$37),SUMPRODUCT(('Rate Lookup'!$A$1:$A$37=Z127)*'Rate Lookup'!$C$1:$C$37)))))</f>
      </c>
      <c r="AB127" s="30"/>
      <c r="AC127" s="31"/>
      <c r="AD127" s="27">
        <f>IF($B127&lt;&gt;"Entry","",ROUND(AC127*AA127/100,0))</f>
      </c>
      <c r="AE127" s="27">
        <f>IF($B127&lt;&gt;"Entry","",0)</f>
      </c>
      <c r="AF127" s="27">
        <f>IF($B127&lt;&gt;"Entry","",0)</f>
      </c>
      <c r="AG127" s="27">
        <f>IF($B127&lt;&gt;"Entry","",IF(OR(AD127=0,AB127="",AQ127="",AQ127&lt;=0),0,IF(AQ127&lt;=DATE(YEAR(AB127),MONTH(AB127)+1,7),0,ROUND(AD127*0.015*((YEAR(AQ127)-YEAR(AB127))*12+(MONTH(AQ127)-MONTH(AB127))+1),0))))</f>
      </c>
      <c r="AH127" s="27">
        <f>IF($B127&lt;&gt;"Entry","",0)</f>
      </c>
      <c r="AI127" s="28"/>
      <c r="AJ127" s="28"/>
      <c r="AK127" s="32"/>
      <c r="AL127" s="28"/>
      <c r="AM127" s="28"/>
      <c r="AN127" s="27">
        <f>IF($B127&lt;&gt;"Challan","",SUMIF('Q1 Data'!$D$4:$D$207,D127,'Q1 Data'!$AD$4:$AD$207)+SUMIF('Q1 Data'!$D$4:$D$207,D127,'Q1 Data'!$AG$4:$AG$207)+SUMIF('Q1 Data'!$D$4:$D$207,D127,'Q1 Data'!$AE$4:$AE$207)+SUMIF('Q2 Data'!$D$4:$D$207,D127,'Q2 Data'!$AD$4:$AD$207)+SUMIF('Q2 Data'!$D$4:$D$207,D127,'Q2 Data'!$AG$4:$AG$207)+SUMIF('Q2 Data'!$D$4:$D$207,D127,'Q2 Data'!$AE$4:$AE$207)+SUMIF('Q3 Data'!$D$4:$D$207,D127,'Q3 Data'!$AD$4:$AD$207)+SUMIF('Q3 Data'!$D$4:$D$207,D127,'Q3 Data'!$AG$4:$AG$207)+SUMIF('Q3 Data'!$D$4:$D$207,D127,'Q3 Data'!$AE$4:$AE$207)+SUMIF('Q4 Data'!$D$4:$D$207,D127,'Q4 Data'!$AD$4:$AD$207)+SUMIF('Q4 Data'!$D$4:$D$207,D127,'Q4 Data'!$AG$4:$AG$207)+SUMIF('Q4 Data'!$D$4:$D$207,D127,'Q4 Data'!$AE$4:$AE$207))</f>
      </c>
      <c r="AO127" s="27">
        <f>IF($B127&lt;&gt;"Challan","",P127-N127)</f>
      </c>
      <c r="AP127" s="27">
        <f>IF($B127&lt;&gt;"Challan","",MAX(0,AO127-AN127))</f>
      </c>
      <c r="AQ127" s="33">
        <f>IF($B127&lt;&gt;"Entry","",SUMPRODUCT(('Q1 Data'!$D$4:$D$207=D127)*('Q1 Data'!$B$4:$B$207="Challan")*'Q1 Data'!$F$4:$F$207)+SUMPRODUCT(('Q2 Data'!$D$4:$D$207=D127)*('Q2 Data'!$B$4:$B$207="Challan")*'Q2 Data'!$F$4:$F$207)+SUMPRODUCT(('Q3 Data'!$D$4:$D$207=D127)*('Q3 Data'!$B$4:$B$207="Challan")*'Q3 Data'!$F$4:$F$207)+SUMPRODUCT(('Q4 Data'!$D$4:$D$207=D127)*('Q4 Data'!$B$4:$B$207="Challan")*'Q4 Data'!$F$4:$F$207))</f>
      </c>
      <c r="AR127" s="34">
        <f>IF(OR($B127&lt;&gt;"Entry",Z127=""),FALSE,AND((SUMPRODUCT(('Q1 Data'!$D$4:$D$207=D127)*('Q1 Data'!$B$4:$B$207="Challan")*('Q1 Data'!$H$4:$H$207&lt;&gt;""))+SUMPRODUCT(('Q2 Data'!$D$4:$D$207=D127)*('Q2 Data'!$B$4:$B$207="Challan")*('Q2 Data'!$H$4:$H$207&lt;&gt;""))+SUMPRODUCT(('Q3 Data'!$D$4:$D$207=D127)*('Q3 Data'!$B$4:$B$207="Challan")*('Q3 Data'!$H$4:$H$207&lt;&gt;""))+SUMPRODUCT(('Q4 Data'!$D$4:$D$207=D127)*('Q4 Data'!$B$4:$B$207="Challan")*('Q4 Data'!$H$4:$H$207&lt;&gt;"")))&gt;0,(SUMPRODUCT(('Q1 Data'!$D$4:$D$207=D127)*('Q1 Data'!$B$4:$B$207="Challan")*('Q1 Data'!$H$4:$H$207=Z127))+SUMPRODUCT(('Q2 Data'!$D$4:$D$207=D127)*('Q2 Data'!$B$4:$B$207="Challan")*('Q2 Data'!$H$4:$H$207=Z127))+SUMPRODUCT(('Q3 Data'!$D$4:$D$207=D127)*('Q3 Data'!$B$4:$B$207="Challan")*('Q3 Data'!$H$4:$H$207=Z127))+SUMPRODUCT(('Q4 Data'!$D$4:$D$207=D127)*('Q4 Data'!$B$4:$B$207="Challan")*('Q4 Data'!$H$4:$H$207=Z127)))=0))</f>
      </c>
    </row>
    <row r="128" spans="1:44" x14ac:dyDescent="0.25">
      <c r="A128" s="20">
        <f>IF($B128="Entry",COUNTIF($B$4:$B128,"Entry"),"")</f>
      </c>
      <c r="B128" s="21"/>
      <c r="C128" s="22"/>
      <c r="D128" s="22"/>
      <c r="E128" s="23">
        <f>IF($B128&lt;&gt;"Challan","",IF(ROUND(AN128-AO128,2)&gt;0,"Over-applied",IF(ROUND(AN128-AO128,2)=0,"Fully Utilised","Unconsumed")))</f>
      </c>
      <c r="F128" s="24"/>
      <c r="G128" s="25"/>
      <c r="H128" s="25"/>
      <c r="I128" s="26"/>
      <c r="J128" s="26"/>
      <c r="K128" s="26"/>
      <c r="L128" s="26"/>
      <c r="M128" s="26"/>
      <c r="N128" s="26"/>
      <c r="O128" s="26"/>
      <c r="P128" s="27">
        <f>IF($B128&lt;&gt;"Challan","",I128+J128+K128+L128+M128+N128)</f>
      </c>
      <c r="Q128" s="25"/>
      <c r="R128" s="25"/>
      <c r="S128" s="25"/>
      <c r="T128" s="25"/>
      <c r="U128" s="25"/>
      <c r="V128" s="28"/>
      <c r="W128" s="28"/>
      <c r="X128" s="23">
        <f>IF($B128="Entry",IF(AND(LEN(TRIM(UPPER(W128)))=10,CODE(MID(TRIM(UPPER(W128)),1,1))&gt;=65,CODE(MID(TRIM(UPPER(W128)),1,1))&lt;=90,CODE(MID(TRIM(UPPER(W128)),2,1))&gt;=65,CODE(MID(TRIM(UPPER(W128)),2,1))&lt;=90,CODE(MID(TRIM(UPPER(W128)),3,1))&gt;=65,CODE(MID(TRIM(UPPER(W128)),3,1))&lt;=90,CODE(MID(TRIM(UPPER(W128)),4,1))&gt;=65,CODE(MID(TRIM(UPPER(W128)),4,1))&lt;=90,CODE(MID(TRIM(UPPER(W128)),5,1))&gt;=65,CODE(MID(TRIM(UPPER(W128)),5,1))&lt;=90,CODE(MID(TRIM(UPPER(W128)),10,1))&gt;=65,CODE(MID(TRIM(UPPER(W128)),10,1))&lt;=90,CODE(MID(TRIM(UPPER(W128)),6,1))&gt;=48,CODE(MID(TRIM(UPPER(W128)),6,1))&lt;=57,CODE(MID(TRIM(UPPER(W128)),7,1))&gt;=48,CODE(MID(TRIM(UPPER(W128)),7,1))&lt;=57,CODE(MID(TRIM(UPPER(W128)),8,1))&gt;=48,CODE(MID(TRIM(UPPER(W128)),8,1))&lt;=57,CODE(MID(TRIM(UPPER(W128)),9,1))&gt;=48,CODE(MID(TRIM(UPPER(W128)),9,1))&lt;=57),"N","Y"),IF($B128="Challan","",IF(W128&lt;&gt;"","◄ Set Row Type","")))</f>
      </c>
      <c r="Y128" s="23">
        <f>IF($B128="Entry",IF(LEN(W128)&lt;4,"",IF(UPPER(MID(W128,4,1))="P","Individual",IF(UPPER(MID(W128,4,1))="H","HUF",IF(UPPER(MID(W128,4,1))="C","Company",IF(UPPER(MID(W128,4,1))="F","Firm",IF(UPPER(MID(W128,4,1))="L","LLP",IF(UPPER(MID(W128,4,1))="T","Trust",IF(UPPER(MID(W128,4,1))="A","AOP","")))))))),IF($B128="Challan","",IF(W128&lt;&gt;"","◄ Set Row Type","")))</f>
      </c>
      <c r="Z128" s="28"/>
      <c r="AA128" s="29">
        <f>IF($B128&lt;&gt;"Entry","",IF(Z128="","",IF(X128="Y",SUMPRODUCT(('Rate Lookup'!$A$1:$A$37=Z128)*'Rate Lookup'!$D$1:$D$37),IF(OR(Y128="Individual",Y128="HUF"),SUMPRODUCT(('Rate Lookup'!$A$1:$A$37=Z128)*'Rate Lookup'!$B$1:$B$37),SUMPRODUCT(('Rate Lookup'!$A$1:$A$37=Z128)*'Rate Lookup'!$C$1:$C$37)))))</f>
      </c>
      <c r="AB128" s="30"/>
      <c r="AC128" s="31"/>
      <c r="AD128" s="27">
        <f>IF($B128&lt;&gt;"Entry","",ROUND(AC128*AA128/100,0))</f>
      </c>
      <c r="AE128" s="27">
        <f>IF($B128&lt;&gt;"Entry","",0)</f>
      </c>
      <c r="AF128" s="27">
        <f>IF($B128&lt;&gt;"Entry","",0)</f>
      </c>
      <c r="AG128" s="27">
        <f>IF($B128&lt;&gt;"Entry","",IF(OR(AD128=0,AB128="",AQ128="",AQ128&lt;=0),0,IF(AQ128&lt;=DATE(YEAR(AB128),MONTH(AB128)+1,7),0,ROUND(AD128*0.015*((YEAR(AQ128)-YEAR(AB128))*12+(MONTH(AQ128)-MONTH(AB128))+1),0))))</f>
      </c>
      <c r="AH128" s="27">
        <f>IF($B128&lt;&gt;"Entry","",0)</f>
      </c>
      <c r="AI128" s="28"/>
      <c r="AJ128" s="28"/>
      <c r="AK128" s="32"/>
      <c r="AL128" s="28"/>
      <c r="AM128" s="28"/>
      <c r="AN128" s="27">
        <f>IF($B128&lt;&gt;"Challan","",SUMIF('Q1 Data'!$D$4:$D$207,D128,'Q1 Data'!$AD$4:$AD$207)+SUMIF('Q1 Data'!$D$4:$D$207,D128,'Q1 Data'!$AG$4:$AG$207)+SUMIF('Q1 Data'!$D$4:$D$207,D128,'Q1 Data'!$AE$4:$AE$207)+SUMIF('Q2 Data'!$D$4:$D$207,D128,'Q2 Data'!$AD$4:$AD$207)+SUMIF('Q2 Data'!$D$4:$D$207,D128,'Q2 Data'!$AG$4:$AG$207)+SUMIF('Q2 Data'!$D$4:$D$207,D128,'Q2 Data'!$AE$4:$AE$207)+SUMIF('Q3 Data'!$D$4:$D$207,D128,'Q3 Data'!$AD$4:$AD$207)+SUMIF('Q3 Data'!$D$4:$D$207,D128,'Q3 Data'!$AG$4:$AG$207)+SUMIF('Q3 Data'!$D$4:$D$207,D128,'Q3 Data'!$AE$4:$AE$207)+SUMIF('Q4 Data'!$D$4:$D$207,D128,'Q4 Data'!$AD$4:$AD$207)+SUMIF('Q4 Data'!$D$4:$D$207,D128,'Q4 Data'!$AG$4:$AG$207)+SUMIF('Q4 Data'!$D$4:$D$207,D128,'Q4 Data'!$AE$4:$AE$207))</f>
      </c>
      <c r="AO128" s="27">
        <f>IF($B128&lt;&gt;"Challan","",P128-N128)</f>
      </c>
      <c r="AP128" s="27">
        <f>IF($B128&lt;&gt;"Challan","",MAX(0,AO128-AN128))</f>
      </c>
      <c r="AQ128" s="33">
        <f>IF($B128&lt;&gt;"Entry","",SUMPRODUCT(('Q1 Data'!$D$4:$D$207=D128)*('Q1 Data'!$B$4:$B$207="Challan")*'Q1 Data'!$F$4:$F$207)+SUMPRODUCT(('Q2 Data'!$D$4:$D$207=D128)*('Q2 Data'!$B$4:$B$207="Challan")*'Q2 Data'!$F$4:$F$207)+SUMPRODUCT(('Q3 Data'!$D$4:$D$207=D128)*('Q3 Data'!$B$4:$B$207="Challan")*'Q3 Data'!$F$4:$F$207)+SUMPRODUCT(('Q4 Data'!$D$4:$D$207=D128)*('Q4 Data'!$B$4:$B$207="Challan")*'Q4 Data'!$F$4:$F$207))</f>
      </c>
      <c r="AR128" s="34">
        <f>IF(OR($B128&lt;&gt;"Entry",Z128=""),FALSE,AND((SUMPRODUCT(('Q1 Data'!$D$4:$D$207=D128)*('Q1 Data'!$B$4:$B$207="Challan")*('Q1 Data'!$H$4:$H$207&lt;&gt;""))+SUMPRODUCT(('Q2 Data'!$D$4:$D$207=D128)*('Q2 Data'!$B$4:$B$207="Challan")*('Q2 Data'!$H$4:$H$207&lt;&gt;""))+SUMPRODUCT(('Q3 Data'!$D$4:$D$207=D128)*('Q3 Data'!$B$4:$B$207="Challan")*('Q3 Data'!$H$4:$H$207&lt;&gt;""))+SUMPRODUCT(('Q4 Data'!$D$4:$D$207=D128)*('Q4 Data'!$B$4:$B$207="Challan")*('Q4 Data'!$H$4:$H$207&lt;&gt;"")))&gt;0,(SUMPRODUCT(('Q1 Data'!$D$4:$D$207=D128)*('Q1 Data'!$B$4:$B$207="Challan")*('Q1 Data'!$H$4:$H$207=Z128))+SUMPRODUCT(('Q2 Data'!$D$4:$D$207=D128)*('Q2 Data'!$B$4:$B$207="Challan")*('Q2 Data'!$H$4:$H$207=Z128))+SUMPRODUCT(('Q3 Data'!$D$4:$D$207=D128)*('Q3 Data'!$B$4:$B$207="Challan")*('Q3 Data'!$H$4:$H$207=Z128))+SUMPRODUCT(('Q4 Data'!$D$4:$D$207=D128)*('Q4 Data'!$B$4:$B$207="Challan")*('Q4 Data'!$H$4:$H$207=Z128)))=0))</f>
      </c>
    </row>
    <row r="129" spans="1:44" x14ac:dyDescent="0.25">
      <c r="A129" s="20">
        <f>IF($B129="Entry",COUNTIF($B$4:$B129,"Entry"),"")</f>
      </c>
      <c r="B129" s="21"/>
      <c r="C129" s="22"/>
      <c r="D129" s="22"/>
      <c r="E129" s="23">
        <f>IF($B129&lt;&gt;"Challan","",IF(ROUND(AN129-AO129,2)&gt;0,"Over-applied",IF(ROUND(AN129-AO129,2)=0,"Fully Utilised","Unconsumed")))</f>
      </c>
      <c r="F129" s="24"/>
      <c r="G129" s="25"/>
      <c r="H129" s="25"/>
      <c r="I129" s="26"/>
      <c r="J129" s="26"/>
      <c r="K129" s="26"/>
      <c r="L129" s="26"/>
      <c r="M129" s="26"/>
      <c r="N129" s="26"/>
      <c r="O129" s="26"/>
      <c r="P129" s="27">
        <f>IF($B129&lt;&gt;"Challan","",I129+J129+K129+L129+M129+N129)</f>
      </c>
      <c r="Q129" s="25"/>
      <c r="R129" s="25"/>
      <c r="S129" s="25"/>
      <c r="T129" s="25"/>
      <c r="U129" s="25"/>
      <c r="V129" s="28"/>
      <c r="W129" s="28"/>
      <c r="X129" s="23">
        <f>IF($B129="Entry",IF(AND(LEN(TRIM(UPPER(W129)))=10,CODE(MID(TRIM(UPPER(W129)),1,1))&gt;=65,CODE(MID(TRIM(UPPER(W129)),1,1))&lt;=90,CODE(MID(TRIM(UPPER(W129)),2,1))&gt;=65,CODE(MID(TRIM(UPPER(W129)),2,1))&lt;=90,CODE(MID(TRIM(UPPER(W129)),3,1))&gt;=65,CODE(MID(TRIM(UPPER(W129)),3,1))&lt;=90,CODE(MID(TRIM(UPPER(W129)),4,1))&gt;=65,CODE(MID(TRIM(UPPER(W129)),4,1))&lt;=90,CODE(MID(TRIM(UPPER(W129)),5,1))&gt;=65,CODE(MID(TRIM(UPPER(W129)),5,1))&lt;=90,CODE(MID(TRIM(UPPER(W129)),10,1))&gt;=65,CODE(MID(TRIM(UPPER(W129)),10,1))&lt;=90,CODE(MID(TRIM(UPPER(W129)),6,1))&gt;=48,CODE(MID(TRIM(UPPER(W129)),6,1))&lt;=57,CODE(MID(TRIM(UPPER(W129)),7,1))&gt;=48,CODE(MID(TRIM(UPPER(W129)),7,1))&lt;=57,CODE(MID(TRIM(UPPER(W129)),8,1))&gt;=48,CODE(MID(TRIM(UPPER(W129)),8,1))&lt;=57,CODE(MID(TRIM(UPPER(W129)),9,1))&gt;=48,CODE(MID(TRIM(UPPER(W129)),9,1))&lt;=57),"N","Y"),IF($B129="Challan","",IF(W129&lt;&gt;"","◄ Set Row Type","")))</f>
      </c>
      <c r="Y129" s="23">
        <f>IF($B129="Entry",IF(LEN(W129)&lt;4,"",IF(UPPER(MID(W129,4,1))="P","Individual",IF(UPPER(MID(W129,4,1))="H","HUF",IF(UPPER(MID(W129,4,1))="C","Company",IF(UPPER(MID(W129,4,1))="F","Firm",IF(UPPER(MID(W129,4,1))="L","LLP",IF(UPPER(MID(W129,4,1))="T","Trust",IF(UPPER(MID(W129,4,1))="A","AOP","")))))))),IF($B129="Challan","",IF(W129&lt;&gt;"","◄ Set Row Type","")))</f>
      </c>
      <c r="Z129" s="28"/>
      <c r="AA129" s="29">
        <f>IF($B129&lt;&gt;"Entry","",IF(Z129="","",IF(X129="Y",SUMPRODUCT(('Rate Lookup'!$A$1:$A$37=Z129)*'Rate Lookup'!$D$1:$D$37),IF(OR(Y129="Individual",Y129="HUF"),SUMPRODUCT(('Rate Lookup'!$A$1:$A$37=Z129)*'Rate Lookup'!$B$1:$B$37),SUMPRODUCT(('Rate Lookup'!$A$1:$A$37=Z129)*'Rate Lookup'!$C$1:$C$37)))))</f>
      </c>
      <c r="AB129" s="30"/>
      <c r="AC129" s="31"/>
      <c r="AD129" s="27">
        <f>IF($B129&lt;&gt;"Entry","",ROUND(AC129*AA129/100,0))</f>
      </c>
      <c r="AE129" s="27">
        <f>IF($B129&lt;&gt;"Entry","",0)</f>
      </c>
      <c r="AF129" s="27">
        <f>IF($B129&lt;&gt;"Entry","",0)</f>
      </c>
      <c r="AG129" s="27">
        <f>IF($B129&lt;&gt;"Entry","",IF(OR(AD129=0,AB129="",AQ129="",AQ129&lt;=0),0,IF(AQ129&lt;=DATE(YEAR(AB129),MONTH(AB129)+1,7),0,ROUND(AD129*0.015*((YEAR(AQ129)-YEAR(AB129))*12+(MONTH(AQ129)-MONTH(AB129))+1),0))))</f>
      </c>
      <c r="AH129" s="27">
        <f>IF($B129&lt;&gt;"Entry","",0)</f>
      </c>
      <c r="AI129" s="28"/>
      <c r="AJ129" s="28"/>
      <c r="AK129" s="32"/>
      <c r="AL129" s="28"/>
      <c r="AM129" s="28"/>
      <c r="AN129" s="27">
        <f>IF($B129&lt;&gt;"Challan","",SUMIF('Q1 Data'!$D$4:$D$207,D129,'Q1 Data'!$AD$4:$AD$207)+SUMIF('Q1 Data'!$D$4:$D$207,D129,'Q1 Data'!$AG$4:$AG$207)+SUMIF('Q1 Data'!$D$4:$D$207,D129,'Q1 Data'!$AE$4:$AE$207)+SUMIF('Q2 Data'!$D$4:$D$207,D129,'Q2 Data'!$AD$4:$AD$207)+SUMIF('Q2 Data'!$D$4:$D$207,D129,'Q2 Data'!$AG$4:$AG$207)+SUMIF('Q2 Data'!$D$4:$D$207,D129,'Q2 Data'!$AE$4:$AE$207)+SUMIF('Q3 Data'!$D$4:$D$207,D129,'Q3 Data'!$AD$4:$AD$207)+SUMIF('Q3 Data'!$D$4:$D$207,D129,'Q3 Data'!$AG$4:$AG$207)+SUMIF('Q3 Data'!$D$4:$D$207,D129,'Q3 Data'!$AE$4:$AE$207)+SUMIF('Q4 Data'!$D$4:$D$207,D129,'Q4 Data'!$AD$4:$AD$207)+SUMIF('Q4 Data'!$D$4:$D$207,D129,'Q4 Data'!$AG$4:$AG$207)+SUMIF('Q4 Data'!$D$4:$D$207,D129,'Q4 Data'!$AE$4:$AE$207))</f>
      </c>
      <c r="AO129" s="27">
        <f>IF($B129&lt;&gt;"Challan","",P129-N129)</f>
      </c>
      <c r="AP129" s="27">
        <f>IF($B129&lt;&gt;"Challan","",MAX(0,AO129-AN129))</f>
      </c>
      <c r="AQ129" s="33">
        <f>IF($B129&lt;&gt;"Entry","",SUMPRODUCT(('Q1 Data'!$D$4:$D$207=D129)*('Q1 Data'!$B$4:$B$207="Challan")*'Q1 Data'!$F$4:$F$207)+SUMPRODUCT(('Q2 Data'!$D$4:$D$207=D129)*('Q2 Data'!$B$4:$B$207="Challan")*'Q2 Data'!$F$4:$F$207)+SUMPRODUCT(('Q3 Data'!$D$4:$D$207=D129)*('Q3 Data'!$B$4:$B$207="Challan")*'Q3 Data'!$F$4:$F$207)+SUMPRODUCT(('Q4 Data'!$D$4:$D$207=D129)*('Q4 Data'!$B$4:$B$207="Challan")*'Q4 Data'!$F$4:$F$207))</f>
      </c>
      <c r="AR129" s="34">
        <f>IF(OR($B129&lt;&gt;"Entry",Z129=""),FALSE,AND((SUMPRODUCT(('Q1 Data'!$D$4:$D$207=D129)*('Q1 Data'!$B$4:$B$207="Challan")*('Q1 Data'!$H$4:$H$207&lt;&gt;""))+SUMPRODUCT(('Q2 Data'!$D$4:$D$207=D129)*('Q2 Data'!$B$4:$B$207="Challan")*('Q2 Data'!$H$4:$H$207&lt;&gt;""))+SUMPRODUCT(('Q3 Data'!$D$4:$D$207=D129)*('Q3 Data'!$B$4:$B$207="Challan")*('Q3 Data'!$H$4:$H$207&lt;&gt;""))+SUMPRODUCT(('Q4 Data'!$D$4:$D$207=D129)*('Q4 Data'!$B$4:$B$207="Challan")*('Q4 Data'!$H$4:$H$207&lt;&gt;"")))&gt;0,(SUMPRODUCT(('Q1 Data'!$D$4:$D$207=D129)*('Q1 Data'!$B$4:$B$207="Challan")*('Q1 Data'!$H$4:$H$207=Z129))+SUMPRODUCT(('Q2 Data'!$D$4:$D$207=D129)*('Q2 Data'!$B$4:$B$207="Challan")*('Q2 Data'!$H$4:$H$207=Z129))+SUMPRODUCT(('Q3 Data'!$D$4:$D$207=D129)*('Q3 Data'!$B$4:$B$207="Challan")*('Q3 Data'!$H$4:$H$207=Z129))+SUMPRODUCT(('Q4 Data'!$D$4:$D$207=D129)*('Q4 Data'!$B$4:$B$207="Challan")*('Q4 Data'!$H$4:$H$207=Z129)))=0))</f>
      </c>
    </row>
    <row r="130" spans="1:44" x14ac:dyDescent="0.25">
      <c r="A130" s="20">
        <f>IF($B130="Entry",COUNTIF($B$4:$B130,"Entry"),"")</f>
      </c>
      <c r="B130" s="21"/>
      <c r="C130" s="22"/>
      <c r="D130" s="22"/>
      <c r="E130" s="23">
        <f>IF($B130&lt;&gt;"Challan","",IF(ROUND(AN130-AO130,2)&gt;0,"Over-applied",IF(ROUND(AN130-AO130,2)=0,"Fully Utilised","Unconsumed")))</f>
      </c>
      <c r="F130" s="24"/>
      <c r="G130" s="25"/>
      <c r="H130" s="25"/>
      <c r="I130" s="26"/>
      <c r="J130" s="26"/>
      <c r="K130" s="26"/>
      <c r="L130" s="26"/>
      <c r="M130" s="26"/>
      <c r="N130" s="26"/>
      <c r="O130" s="26"/>
      <c r="P130" s="27">
        <f>IF($B130&lt;&gt;"Challan","",I130+J130+K130+L130+M130+N130)</f>
      </c>
      <c r="Q130" s="25"/>
      <c r="R130" s="25"/>
      <c r="S130" s="25"/>
      <c r="T130" s="25"/>
      <c r="U130" s="25"/>
      <c r="V130" s="28"/>
      <c r="W130" s="28"/>
      <c r="X130" s="23">
        <f>IF($B130="Entry",IF(AND(LEN(TRIM(UPPER(W130)))=10,CODE(MID(TRIM(UPPER(W130)),1,1))&gt;=65,CODE(MID(TRIM(UPPER(W130)),1,1))&lt;=90,CODE(MID(TRIM(UPPER(W130)),2,1))&gt;=65,CODE(MID(TRIM(UPPER(W130)),2,1))&lt;=90,CODE(MID(TRIM(UPPER(W130)),3,1))&gt;=65,CODE(MID(TRIM(UPPER(W130)),3,1))&lt;=90,CODE(MID(TRIM(UPPER(W130)),4,1))&gt;=65,CODE(MID(TRIM(UPPER(W130)),4,1))&lt;=90,CODE(MID(TRIM(UPPER(W130)),5,1))&gt;=65,CODE(MID(TRIM(UPPER(W130)),5,1))&lt;=90,CODE(MID(TRIM(UPPER(W130)),10,1))&gt;=65,CODE(MID(TRIM(UPPER(W130)),10,1))&lt;=90,CODE(MID(TRIM(UPPER(W130)),6,1))&gt;=48,CODE(MID(TRIM(UPPER(W130)),6,1))&lt;=57,CODE(MID(TRIM(UPPER(W130)),7,1))&gt;=48,CODE(MID(TRIM(UPPER(W130)),7,1))&lt;=57,CODE(MID(TRIM(UPPER(W130)),8,1))&gt;=48,CODE(MID(TRIM(UPPER(W130)),8,1))&lt;=57,CODE(MID(TRIM(UPPER(W130)),9,1))&gt;=48,CODE(MID(TRIM(UPPER(W130)),9,1))&lt;=57),"N","Y"),IF($B130="Challan","",IF(W130&lt;&gt;"","◄ Set Row Type","")))</f>
      </c>
      <c r="Y130" s="23">
        <f>IF($B130="Entry",IF(LEN(W130)&lt;4,"",IF(UPPER(MID(W130,4,1))="P","Individual",IF(UPPER(MID(W130,4,1))="H","HUF",IF(UPPER(MID(W130,4,1))="C","Company",IF(UPPER(MID(W130,4,1))="F","Firm",IF(UPPER(MID(W130,4,1))="L","LLP",IF(UPPER(MID(W130,4,1))="T","Trust",IF(UPPER(MID(W130,4,1))="A","AOP","")))))))),IF($B130="Challan","",IF(W130&lt;&gt;"","◄ Set Row Type","")))</f>
      </c>
      <c r="Z130" s="28"/>
      <c r="AA130" s="29">
        <f>IF($B130&lt;&gt;"Entry","",IF(Z130="","",IF(X130="Y",SUMPRODUCT(('Rate Lookup'!$A$1:$A$37=Z130)*'Rate Lookup'!$D$1:$D$37),IF(OR(Y130="Individual",Y130="HUF"),SUMPRODUCT(('Rate Lookup'!$A$1:$A$37=Z130)*'Rate Lookup'!$B$1:$B$37),SUMPRODUCT(('Rate Lookup'!$A$1:$A$37=Z130)*'Rate Lookup'!$C$1:$C$37)))))</f>
      </c>
      <c r="AB130" s="30"/>
      <c r="AC130" s="31"/>
      <c r="AD130" s="27">
        <f>IF($B130&lt;&gt;"Entry","",ROUND(AC130*AA130/100,0))</f>
      </c>
      <c r="AE130" s="27">
        <f>IF($B130&lt;&gt;"Entry","",0)</f>
      </c>
      <c r="AF130" s="27">
        <f>IF($B130&lt;&gt;"Entry","",0)</f>
      </c>
      <c r="AG130" s="27">
        <f>IF($B130&lt;&gt;"Entry","",IF(OR(AD130=0,AB130="",AQ130="",AQ130&lt;=0),0,IF(AQ130&lt;=DATE(YEAR(AB130),MONTH(AB130)+1,7),0,ROUND(AD130*0.015*((YEAR(AQ130)-YEAR(AB130))*12+(MONTH(AQ130)-MONTH(AB130))+1),0))))</f>
      </c>
      <c r="AH130" s="27">
        <f>IF($B130&lt;&gt;"Entry","",0)</f>
      </c>
      <c r="AI130" s="28"/>
      <c r="AJ130" s="28"/>
      <c r="AK130" s="32"/>
      <c r="AL130" s="28"/>
      <c r="AM130" s="28"/>
      <c r="AN130" s="27">
        <f>IF($B130&lt;&gt;"Challan","",SUMIF('Q1 Data'!$D$4:$D$207,D130,'Q1 Data'!$AD$4:$AD$207)+SUMIF('Q1 Data'!$D$4:$D$207,D130,'Q1 Data'!$AG$4:$AG$207)+SUMIF('Q1 Data'!$D$4:$D$207,D130,'Q1 Data'!$AE$4:$AE$207)+SUMIF('Q2 Data'!$D$4:$D$207,D130,'Q2 Data'!$AD$4:$AD$207)+SUMIF('Q2 Data'!$D$4:$D$207,D130,'Q2 Data'!$AG$4:$AG$207)+SUMIF('Q2 Data'!$D$4:$D$207,D130,'Q2 Data'!$AE$4:$AE$207)+SUMIF('Q3 Data'!$D$4:$D$207,D130,'Q3 Data'!$AD$4:$AD$207)+SUMIF('Q3 Data'!$D$4:$D$207,D130,'Q3 Data'!$AG$4:$AG$207)+SUMIF('Q3 Data'!$D$4:$D$207,D130,'Q3 Data'!$AE$4:$AE$207)+SUMIF('Q4 Data'!$D$4:$D$207,D130,'Q4 Data'!$AD$4:$AD$207)+SUMIF('Q4 Data'!$D$4:$D$207,D130,'Q4 Data'!$AG$4:$AG$207)+SUMIF('Q4 Data'!$D$4:$D$207,D130,'Q4 Data'!$AE$4:$AE$207))</f>
      </c>
      <c r="AO130" s="27">
        <f>IF($B130&lt;&gt;"Challan","",P130-N130)</f>
      </c>
      <c r="AP130" s="27">
        <f>IF($B130&lt;&gt;"Challan","",MAX(0,AO130-AN130))</f>
      </c>
      <c r="AQ130" s="33">
        <f>IF($B130&lt;&gt;"Entry","",SUMPRODUCT(('Q1 Data'!$D$4:$D$207=D130)*('Q1 Data'!$B$4:$B$207="Challan")*'Q1 Data'!$F$4:$F$207)+SUMPRODUCT(('Q2 Data'!$D$4:$D$207=D130)*('Q2 Data'!$B$4:$B$207="Challan")*'Q2 Data'!$F$4:$F$207)+SUMPRODUCT(('Q3 Data'!$D$4:$D$207=D130)*('Q3 Data'!$B$4:$B$207="Challan")*'Q3 Data'!$F$4:$F$207)+SUMPRODUCT(('Q4 Data'!$D$4:$D$207=D130)*('Q4 Data'!$B$4:$B$207="Challan")*'Q4 Data'!$F$4:$F$207))</f>
      </c>
      <c r="AR130" s="34">
        <f>IF(OR($B130&lt;&gt;"Entry",Z130=""),FALSE,AND((SUMPRODUCT(('Q1 Data'!$D$4:$D$207=D130)*('Q1 Data'!$B$4:$B$207="Challan")*('Q1 Data'!$H$4:$H$207&lt;&gt;""))+SUMPRODUCT(('Q2 Data'!$D$4:$D$207=D130)*('Q2 Data'!$B$4:$B$207="Challan")*('Q2 Data'!$H$4:$H$207&lt;&gt;""))+SUMPRODUCT(('Q3 Data'!$D$4:$D$207=D130)*('Q3 Data'!$B$4:$B$207="Challan")*('Q3 Data'!$H$4:$H$207&lt;&gt;""))+SUMPRODUCT(('Q4 Data'!$D$4:$D$207=D130)*('Q4 Data'!$B$4:$B$207="Challan")*('Q4 Data'!$H$4:$H$207&lt;&gt;"")))&gt;0,(SUMPRODUCT(('Q1 Data'!$D$4:$D$207=D130)*('Q1 Data'!$B$4:$B$207="Challan")*('Q1 Data'!$H$4:$H$207=Z130))+SUMPRODUCT(('Q2 Data'!$D$4:$D$207=D130)*('Q2 Data'!$B$4:$B$207="Challan")*('Q2 Data'!$H$4:$H$207=Z130))+SUMPRODUCT(('Q3 Data'!$D$4:$D$207=D130)*('Q3 Data'!$B$4:$B$207="Challan")*('Q3 Data'!$H$4:$H$207=Z130))+SUMPRODUCT(('Q4 Data'!$D$4:$D$207=D130)*('Q4 Data'!$B$4:$B$207="Challan")*('Q4 Data'!$H$4:$H$207=Z130)))=0))</f>
      </c>
    </row>
    <row r="131" spans="1:44" x14ac:dyDescent="0.25">
      <c r="A131" s="20">
        <f>IF($B131="Entry",COUNTIF($B$4:$B131,"Entry"),"")</f>
      </c>
      <c r="B131" s="21"/>
      <c r="C131" s="22"/>
      <c r="D131" s="22"/>
      <c r="E131" s="23">
        <f>IF($B131&lt;&gt;"Challan","",IF(ROUND(AN131-AO131,2)&gt;0,"Over-applied",IF(ROUND(AN131-AO131,2)=0,"Fully Utilised","Unconsumed")))</f>
      </c>
      <c r="F131" s="24"/>
      <c r="G131" s="25"/>
      <c r="H131" s="25"/>
      <c r="I131" s="26"/>
      <c r="J131" s="26"/>
      <c r="K131" s="26"/>
      <c r="L131" s="26"/>
      <c r="M131" s="26"/>
      <c r="N131" s="26"/>
      <c r="O131" s="26"/>
      <c r="P131" s="27">
        <f>IF($B131&lt;&gt;"Challan","",I131+J131+K131+L131+M131+N131)</f>
      </c>
      <c r="Q131" s="25"/>
      <c r="R131" s="25"/>
      <c r="S131" s="25"/>
      <c r="T131" s="25"/>
      <c r="U131" s="25"/>
      <c r="V131" s="28"/>
      <c r="W131" s="28"/>
      <c r="X131" s="23">
        <f>IF($B131="Entry",IF(AND(LEN(TRIM(UPPER(W131)))=10,CODE(MID(TRIM(UPPER(W131)),1,1))&gt;=65,CODE(MID(TRIM(UPPER(W131)),1,1))&lt;=90,CODE(MID(TRIM(UPPER(W131)),2,1))&gt;=65,CODE(MID(TRIM(UPPER(W131)),2,1))&lt;=90,CODE(MID(TRIM(UPPER(W131)),3,1))&gt;=65,CODE(MID(TRIM(UPPER(W131)),3,1))&lt;=90,CODE(MID(TRIM(UPPER(W131)),4,1))&gt;=65,CODE(MID(TRIM(UPPER(W131)),4,1))&lt;=90,CODE(MID(TRIM(UPPER(W131)),5,1))&gt;=65,CODE(MID(TRIM(UPPER(W131)),5,1))&lt;=90,CODE(MID(TRIM(UPPER(W131)),10,1))&gt;=65,CODE(MID(TRIM(UPPER(W131)),10,1))&lt;=90,CODE(MID(TRIM(UPPER(W131)),6,1))&gt;=48,CODE(MID(TRIM(UPPER(W131)),6,1))&lt;=57,CODE(MID(TRIM(UPPER(W131)),7,1))&gt;=48,CODE(MID(TRIM(UPPER(W131)),7,1))&lt;=57,CODE(MID(TRIM(UPPER(W131)),8,1))&gt;=48,CODE(MID(TRIM(UPPER(W131)),8,1))&lt;=57,CODE(MID(TRIM(UPPER(W131)),9,1))&gt;=48,CODE(MID(TRIM(UPPER(W131)),9,1))&lt;=57),"N","Y"),IF($B131="Challan","",IF(W131&lt;&gt;"","◄ Set Row Type","")))</f>
      </c>
      <c r="Y131" s="23">
        <f>IF($B131="Entry",IF(LEN(W131)&lt;4,"",IF(UPPER(MID(W131,4,1))="P","Individual",IF(UPPER(MID(W131,4,1))="H","HUF",IF(UPPER(MID(W131,4,1))="C","Company",IF(UPPER(MID(W131,4,1))="F","Firm",IF(UPPER(MID(W131,4,1))="L","LLP",IF(UPPER(MID(W131,4,1))="T","Trust",IF(UPPER(MID(W131,4,1))="A","AOP","")))))))),IF($B131="Challan","",IF(W131&lt;&gt;"","◄ Set Row Type","")))</f>
      </c>
      <c r="Z131" s="28"/>
      <c r="AA131" s="29">
        <f>IF($B131&lt;&gt;"Entry","",IF(Z131="","",IF(X131="Y",SUMPRODUCT(('Rate Lookup'!$A$1:$A$37=Z131)*'Rate Lookup'!$D$1:$D$37),IF(OR(Y131="Individual",Y131="HUF"),SUMPRODUCT(('Rate Lookup'!$A$1:$A$37=Z131)*'Rate Lookup'!$B$1:$B$37),SUMPRODUCT(('Rate Lookup'!$A$1:$A$37=Z131)*'Rate Lookup'!$C$1:$C$37)))))</f>
      </c>
      <c r="AB131" s="30"/>
      <c r="AC131" s="31"/>
      <c r="AD131" s="27">
        <f>IF($B131&lt;&gt;"Entry","",ROUND(AC131*AA131/100,0))</f>
      </c>
      <c r="AE131" s="27">
        <f>IF($B131&lt;&gt;"Entry","",0)</f>
      </c>
      <c r="AF131" s="27">
        <f>IF($B131&lt;&gt;"Entry","",0)</f>
      </c>
      <c r="AG131" s="27">
        <f>IF($B131&lt;&gt;"Entry","",IF(OR(AD131=0,AB131="",AQ131="",AQ131&lt;=0),0,IF(AQ131&lt;=DATE(YEAR(AB131),MONTH(AB131)+1,7),0,ROUND(AD131*0.015*((YEAR(AQ131)-YEAR(AB131))*12+(MONTH(AQ131)-MONTH(AB131))+1),0))))</f>
      </c>
      <c r="AH131" s="27">
        <f>IF($B131&lt;&gt;"Entry","",0)</f>
      </c>
      <c r="AI131" s="28"/>
      <c r="AJ131" s="28"/>
      <c r="AK131" s="32"/>
      <c r="AL131" s="28"/>
      <c r="AM131" s="28"/>
      <c r="AN131" s="27">
        <f>IF($B131&lt;&gt;"Challan","",SUMIF('Q1 Data'!$D$4:$D$207,D131,'Q1 Data'!$AD$4:$AD$207)+SUMIF('Q1 Data'!$D$4:$D$207,D131,'Q1 Data'!$AG$4:$AG$207)+SUMIF('Q1 Data'!$D$4:$D$207,D131,'Q1 Data'!$AE$4:$AE$207)+SUMIF('Q2 Data'!$D$4:$D$207,D131,'Q2 Data'!$AD$4:$AD$207)+SUMIF('Q2 Data'!$D$4:$D$207,D131,'Q2 Data'!$AG$4:$AG$207)+SUMIF('Q2 Data'!$D$4:$D$207,D131,'Q2 Data'!$AE$4:$AE$207)+SUMIF('Q3 Data'!$D$4:$D$207,D131,'Q3 Data'!$AD$4:$AD$207)+SUMIF('Q3 Data'!$D$4:$D$207,D131,'Q3 Data'!$AG$4:$AG$207)+SUMIF('Q3 Data'!$D$4:$D$207,D131,'Q3 Data'!$AE$4:$AE$207)+SUMIF('Q4 Data'!$D$4:$D$207,D131,'Q4 Data'!$AD$4:$AD$207)+SUMIF('Q4 Data'!$D$4:$D$207,D131,'Q4 Data'!$AG$4:$AG$207)+SUMIF('Q4 Data'!$D$4:$D$207,D131,'Q4 Data'!$AE$4:$AE$207))</f>
      </c>
      <c r="AO131" s="27">
        <f>IF($B131&lt;&gt;"Challan","",P131-N131)</f>
      </c>
      <c r="AP131" s="27">
        <f>IF($B131&lt;&gt;"Challan","",MAX(0,AO131-AN131))</f>
      </c>
      <c r="AQ131" s="33">
        <f>IF($B131&lt;&gt;"Entry","",SUMPRODUCT(('Q1 Data'!$D$4:$D$207=D131)*('Q1 Data'!$B$4:$B$207="Challan")*'Q1 Data'!$F$4:$F$207)+SUMPRODUCT(('Q2 Data'!$D$4:$D$207=D131)*('Q2 Data'!$B$4:$B$207="Challan")*'Q2 Data'!$F$4:$F$207)+SUMPRODUCT(('Q3 Data'!$D$4:$D$207=D131)*('Q3 Data'!$B$4:$B$207="Challan")*'Q3 Data'!$F$4:$F$207)+SUMPRODUCT(('Q4 Data'!$D$4:$D$207=D131)*('Q4 Data'!$B$4:$B$207="Challan")*'Q4 Data'!$F$4:$F$207))</f>
      </c>
      <c r="AR131" s="34">
        <f>IF(OR($B131&lt;&gt;"Entry",Z131=""),FALSE,AND((SUMPRODUCT(('Q1 Data'!$D$4:$D$207=D131)*('Q1 Data'!$B$4:$B$207="Challan")*('Q1 Data'!$H$4:$H$207&lt;&gt;""))+SUMPRODUCT(('Q2 Data'!$D$4:$D$207=D131)*('Q2 Data'!$B$4:$B$207="Challan")*('Q2 Data'!$H$4:$H$207&lt;&gt;""))+SUMPRODUCT(('Q3 Data'!$D$4:$D$207=D131)*('Q3 Data'!$B$4:$B$207="Challan")*('Q3 Data'!$H$4:$H$207&lt;&gt;""))+SUMPRODUCT(('Q4 Data'!$D$4:$D$207=D131)*('Q4 Data'!$B$4:$B$207="Challan")*('Q4 Data'!$H$4:$H$207&lt;&gt;"")))&gt;0,(SUMPRODUCT(('Q1 Data'!$D$4:$D$207=D131)*('Q1 Data'!$B$4:$B$207="Challan")*('Q1 Data'!$H$4:$H$207=Z131))+SUMPRODUCT(('Q2 Data'!$D$4:$D$207=D131)*('Q2 Data'!$B$4:$B$207="Challan")*('Q2 Data'!$H$4:$H$207=Z131))+SUMPRODUCT(('Q3 Data'!$D$4:$D$207=D131)*('Q3 Data'!$B$4:$B$207="Challan")*('Q3 Data'!$H$4:$H$207=Z131))+SUMPRODUCT(('Q4 Data'!$D$4:$D$207=D131)*('Q4 Data'!$B$4:$B$207="Challan")*('Q4 Data'!$H$4:$H$207=Z131)))=0))</f>
      </c>
    </row>
    <row r="132" spans="1:44" x14ac:dyDescent="0.25">
      <c r="A132" s="20">
        <f>IF($B132="Entry",COUNTIF($B$4:$B132,"Entry"),"")</f>
      </c>
      <c r="B132" s="21"/>
      <c r="C132" s="22"/>
      <c r="D132" s="22"/>
      <c r="E132" s="23">
        <f>IF($B132&lt;&gt;"Challan","",IF(ROUND(AN132-AO132,2)&gt;0,"Over-applied",IF(ROUND(AN132-AO132,2)=0,"Fully Utilised","Unconsumed")))</f>
      </c>
      <c r="F132" s="24"/>
      <c r="G132" s="25"/>
      <c r="H132" s="25"/>
      <c r="I132" s="26"/>
      <c r="J132" s="26"/>
      <c r="K132" s="26"/>
      <c r="L132" s="26"/>
      <c r="M132" s="26"/>
      <c r="N132" s="26"/>
      <c r="O132" s="26"/>
      <c r="P132" s="27">
        <f>IF($B132&lt;&gt;"Challan","",I132+J132+K132+L132+M132+N132)</f>
      </c>
      <c r="Q132" s="25"/>
      <c r="R132" s="25"/>
      <c r="S132" s="25"/>
      <c r="T132" s="25"/>
      <c r="U132" s="25"/>
      <c r="V132" s="28"/>
      <c r="W132" s="28"/>
      <c r="X132" s="23">
        <f>IF($B132="Entry",IF(AND(LEN(TRIM(UPPER(W132)))=10,CODE(MID(TRIM(UPPER(W132)),1,1))&gt;=65,CODE(MID(TRIM(UPPER(W132)),1,1))&lt;=90,CODE(MID(TRIM(UPPER(W132)),2,1))&gt;=65,CODE(MID(TRIM(UPPER(W132)),2,1))&lt;=90,CODE(MID(TRIM(UPPER(W132)),3,1))&gt;=65,CODE(MID(TRIM(UPPER(W132)),3,1))&lt;=90,CODE(MID(TRIM(UPPER(W132)),4,1))&gt;=65,CODE(MID(TRIM(UPPER(W132)),4,1))&lt;=90,CODE(MID(TRIM(UPPER(W132)),5,1))&gt;=65,CODE(MID(TRIM(UPPER(W132)),5,1))&lt;=90,CODE(MID(TRIM(UPPER(W132)),10,1))&gt;=65,CODE(MID(TRIM(UPPER(W132)),10,1))&lt;=90,CODE(MID(TRIM(UPPER(W132)),6,1))&gt;=48,CODE(MID(TRIM(UPPER(W132)),6,1))&lt;=57,CODE(MID(TRIM(UPPER(W132)),7,1))&gt;=48,CODE(MID(TRIM(UPPER(W132)),7,1))&lt;=57,CODE(MID(TRIM(UPPER(W132)),8,1))&gt;=48,CODE(MID(TRIM(UPPER(W132)),8,1))&lt;=57,CODE(MID(TRIM(UPPER(W132)),9,1))&gt;=48,CODE(MID(TRIM(UPPER(W132)),9,1))&lt;=57),"N","Y"),IF($B132="Challan","",IF(W132&lt;&gt;"","◄ Set Row Type","")))</f>
      </c>
      <c r="Y132" s="23">
        <f>IF($B132="Entry",IF(LEN(W132)&lt;4,"",IF(UPPER(MID(W132,4,1))="P","Individual",IF(UPPER(MID(W132,4,1))="H","HUF",IF(UPPER(MID(W132,4,1))="C","Company",IF(UPPER(MID(W132,4,1))="F","Firm",IF(UPPER(MID(W132,4,1))="L","LLP",IF(UPPER(MID(W132,4,1))="T","Trust",IF(UPPER(MID(W132,4,1))="A","AOP","")))))))),IF($B132="Challan","",IF(W132&lt;&gt;"","◄ Set Row Type","")))</f>
      </c>
      <c r="Z132" s="28"/>
      <c r="AA132" s="29">
        <f>IF($B132&lt;&gt;"Entry","",IF(Z132="","",IF(X132="Y",SUMPRODUCT(('Rate Lookup'!$A$1:$A$37=Z132)*'Rate Lookup'!$D$1:$D$37),IF(OR(Y132="Individual",Y132="HUF"),SUMPRODUCT(('Rate Lookup'!$A$1:$A$37=Z132)*'Rate Lookup'!$B$1:$B$37),SUMPRODUCT(('Rate Lookup'!$A$1:$A$37=Z132)*'Rate Lookup'!$C$1:$C$37)))))</f>
      </c>
      <c r="AB132" s="30"/>
      <c r="AC132" s="31"/>
      <c r="AD132" s="27">
        <f>IF($B132&lt;&gt;"Entry","",ROUND(AC132*AA132/100,0))</f>
      </c>
      <c r="AE132" s="27">
        <f>IF($B132&lt;&gt;"Entry","",0)</f>
      </c>
      <c r="AF132" s="27">
        <f>IF($B132&lt;&gt;"Entry","",0)</f>
      </c>
      <c r="AG132" s="27">
        <f>IF($B132&lt;&gt;"Entry","",IF(OR(AD132=0,AB132="",AQ132="",AQ132&lt;=0),0,IF(AQ132&lt;=DATE(YEAR(AB132),MONTH(AB132)+1,7),0,ROUND(AD132*0.015*((YEAR(AQ132)-YEAR(AB132))*12+(MONTH(AQ132)-MONTH(AB132))+1),0))))</f>
      </c>
      <c r="AH132" s="27">
        <f>IF($B132&lt;&gt;"Entry","",0)</f>
      </c>
      <c r="AI132" s="28"/>
      <c r="AJ132" s="28"/>
      <c r="AK132" s="32"/>
      <c r="AL132" s="28"/>
      <c r="AM132" s="28"/>
      <c r="AN132" s="27">
        <f>IF($B132&lt;&gt;"Challan","",SUMIF('Q1 Data'!$D$4:$D$207,D132,'Q1 Data'!$AD$4:$AD$207)+SUMIF('Q1 Data'!$D$4:$D$207,D132,'Q1 Data'!$AG$4:$AG$207)+SUMIF('Q1 Data'!$D$4:$D$207,D132,'Q1 Data'!$AE$4:$AE$207)+SUMIF('Q2 Data'!$D$4:$D$207,D132,'Q2 Data'!$AD$4:$AD$207)+SUMIF('Q2 Data'!$D$4:$D$207,D132,'Q2 Data'!$AG$4:$AG$207)+SUMIF('Q2 Data'!$D$4:$D$207,D132,'Q2 Data'!$AE$4:$AE$207)+SUMIF('Q3 Data'!$D$4:$D$207,D132,'Q3 Data'!$AD$4:$AD$207)+SUMIF('Q3 Data'!$D$4:$D$207,D132,'Q3 Data'!$AG$4:$AG$207)+SUMIF('Q3 Data'!$D$4:$D$207,D132,'Q3 Data'!$AE$4:$AE$207)+SUMIF('Q4 Data'!$D$4:$D$207,D132,'Q4 Data'!$AD$4:$AD$207)+SUMIF('Q4 Data'!$D$4:$D$207,D132,'Q4 Data'!$AG$4:$AG$207)+SUMIF('Q4 Data'!$D$4:$D$207,D132,'Q4 Data'!$AE$4:$AE$207))</f>
      </c>
      <c r="AO132" s="27">
        <f>IF($B132&lt;&gt;"Challan","",P132-N132)</f>
      </c>
      <c r="AP132" s="27">
        <f>IF($B132&lt;&gt;"Challan","",MAX(0,AO132-AN132))</f>
      </c>
      <c r="AQ132" s="33">
        <f>IF($B132&lt;&gt;"Entry","",SUMPRODUCT(('Q1 Data'!$D$4:$D$207=D132)*('Q1 Data'!$B$4:$B$207="Challan")*'Q1 Data'!$F$4:$F$207)+SUMPRODUCT(('Q2 Data'!$D$4:$D$207=D132)*('Q2 Data'!$B$4:$B$207="Challan")*'Q2 Data'!$F$4:$F$207)+SUMPRODUCT(('Q3 Data'!$D$4:$D$207=D132)*('Q3 Data'!$B$4:$B$207="Challan")*'Q3 Data'!$F$4:$F$207)+SUMPRODUCT(('Q4 Data'!$D$4:$D$207=D132)*('Q4 Data'!$B$4:$B$207="Challan")*'Q4 Data'!$F$4:$F$207))</f>
      </c>
      <c r="AR132" s="34">
        <f>IF(OR($B132&lt;&gt;"Entry",Z132=""),FALSE,AND((SUMPRODUCT(('Q1 Data'!$D$4:$D$207=D132)*('Q1 Data'!$B$4:$B$207="Challan")*('Q1 Data'!$H$4:$H$207&lt;&gt;""))+SUMPRODUCT(('Q2 Data'!$D$4:$D$207=D132)*('Q2 Data'!$B$4:$B$207="Challan")*('Q2 Data'!$H$4:$H$207&lt;&gt;""))+SUMPRODUCT(('Q3 Data'!$D$4:$D$207=D132)*('Q3 Data'!$B$4:$B$207="Challan")*('Q3 Data'!$H$4:$H$207&lt;&gt;""))+SUMPRODUCT(('Q4 Data'!$D$4:$D$207=D132)*('Q4 Data'!$B$4:$B$207="Challan")*('Q4 Data'!$H$4:$H$207&lt;&gt;"")))&gt;0,(SUMPRODUCT(('Q1 Data'!$D$4:$D$207=D132)*('Q1 Data'!$B$4:$B$207="Challan")*('Q1 Data'!$H$4:$H$207=Z132))+SUMPRODUCT(('Q2 Data'!$D$4:$D$207=D132)*('Q2 Data'!$B$4:$B$207="Challan")*('Q2 Data'!$H$4:$H$207=Z132))+SUMPRODUCT(('Q3 Data'!$D$4:$D$207=D132)*('Q3 Data'!$B$4:$B$207="Challan")*('Q3 Data'!$H$4:$H$207=Z132))+SUMPRODUCT(('Q4 Data'!$D$4:$D$207=D132)*('Q4 Data'!$B$4:$B$207="Challan")*('Q4 Data'!$H$4:$H$207=Z132)))=0))</f>
      </c>
    </row>
    <row r="133" spans="1:44" x14ac:dyDescent="0.25">
      <c r="A133" s="20">
        <f>IF($B133="Entry",COUNTIF($B$4:$B133,"Entry"),"")</f>
      </c>
      <c r="B133" s="21"/>
      <c r="C133" s="22"/>
      <c r="D133" s="22"/>
      <c r="E133" s="23">
        <f>IF($B133&lt;&gt;"Challan","",IF(ROUND(AN133-AO133,2)&gt;0,"Over-applied",IF(ROUND(AN133-AO133,2)=0,"Fully Utilised","Unconsumed")))</f>
      </c>
      <c r="F133" s="24"/>
      <c r="G133" s="25"/>
      <c r="H133" s="25"/>
      <c r="I133" s="26"/>
      <c r="J133" s="26"/>
      <c r="K133" s="26"/>
      <c r="L133" s="26"/>
      <c r="M133" s="26"/>
      <c r="N133" s="26"/>
      <c r="O133" s="26"/>
      <c r="P133" s="27">
        <f>IF($B133&lt;&gt;"Challan","",I133+J133+K133+L133+M133+N133)</f>
      </c>
      <c r="Q133" s="25"/>
      <c r="R133" s="25"/>
      <c r="S133" s="25"/>
      <c r="T133" s="25"/>
      <c r="U133" s="25"/>
      <c r="V133" s="28"/>
      <c r="W133" s="28"/>
      <c r="X133" s="23">
        <f>IF($B133="Entry",IF(AND(LEN(TRIM(UPPER(W133)))=10,CODE(MID(TRIM(UPPER(W133)),1,1))&gt;=65,CODE(MID(TRIM(UPPER(W133)),1,1))&lt;=90,CODE(MID(TRIM(UPPER(W133)),2,1))&gt;=65,CODE(MID(TRIM(UPPER(W133)),2,1))&lt;=90,CODE(MID(TRIM(UPPER(W133)),3,1))&gt;=65,CODE(MID(TRIM(UPPER(W133)),3,1))&lt;=90,CODE(MID(TRIM(UPPER(W133)),4,1))&gt;=65,CODE(MID(TRIM(UPPER(W133)),4,1))&lt;=90,CODE(MID(TRIM(UPPER(W133)),5,1))&gt;=65,CODE(MID(TRIM(UPPER(W133)),5,1))&lt;=90,CODE(MID(TRIM(UPPER(W133)),10,1))&gt;=65,CODE(MID(TRIM(UPPER(W133)),10,1))&lt;=90,CODE(MID(TRIM(UPPER(W133)),6,1))&gt;=48,CODE(MID(TRIM(UPPER(W133)),6,1))&lt;=57,CODE(MID(TRIM(UPPER(W133)),7,1))&gt;=48,CODE(MID(TRIM(UPPER(W133)),7,1))&lt;=57,CODE(MID(TRIM(UPPER(W133)),8,1))&gt;=48,CODE(MID(TRIM(UPPER(W133)),8,1))&lt;=57,CODE(MID(TRIM(UPPER(W133)),9,1))&gt;=48,CODE(MID(TRIM(UPPER(W133)),9,1))&lt;=57),"N","Y"),IF($B133="Challan","",IF(W133&lt;&gt;"","◄ Set Row Type","")))</f>
      </c>
      <c r="Y133" s="23">
        <f>IF($B133="Entry",IF(LEN(W133)&lt;4,"",IF(UPPER(MID(W133,4,1))="P","Individual",IF(UPPER(MID(W133,4,1))="H","HUF",IF(UPPER(MID(W133,4,1))="C","Company",IF(UPPER(MID(W133,4,1))="F","Firm",IF(UPPER(MID(W133,4,1))="L","LLP",IF(UPPER(MID(W133,4,1))="T","Trust",IF(UPPER(MID(W133,4,1))="A","AOP","")))))))),IF($B133="Challan","",IF(W133&lt;&gt;"","◄ Set Row Type","")))</f>
      </c>
      <c r="Z133" s="28"/>
      <c r="AA133" s="29">
        <f>IF($B133&lt;&gt;"Entry","",IF(Z133="","",IF(X133="Y",SUMPRODUCT(('Rate Lookup'!$A$1:$A$37=Z133)*'Rate Lookup'!$D$1:$D$37),IF(OR(Y133="Individual",Y133="HUF"),SUMPRODUCT(('Rate Lookup'!$A$1:$A$37=Z133)*'Rate Lookup'!$B$1:$B$37),SUMPRODUCT(('Rate Lookup'!$A$1:$A$37=Z133)*'Rate Lookup'!$C$1:$C$37)))))</f>
      </c>
      <c r="AB133" s="30"/>
      <c r="AC133" s="31"/>
      <c r="AD133" s="27">
        <f>IF($B133&lt;&gt;"Entry","",ROUND(AC133*AA133/100,0))</f>
      </c>
      <c r="AE133" s="27">
        <f>IF($B133&lt;&gt;"Entry","",0)</f>
      </c>
      <c r="AF133" s="27">
        <f>IF($B133&lt;&gt;"Entry","",0)</f>
      </c>
      <c r="AG133" s="27">
        <f>IF($B133&lt;&gt;"Entry","",IF(OR(AD133=0,AB133="",AQ133="",AQ133&lt;=0),0,IF(AQ133&lt;=DATE(YEAR(AB133),MONTH(AB133)+1,7),0,ROUND(AD133*0.015*((YEAR(AQ133)-YEAR(AB133))*12+(MONTH(AQ133)-MONTH(AB133))+1),0))))</f>
      </c>
      <c r="AH133" s="27">
        <f>IF($B133&lt;&gt;"Entry","",0)</f>
      </c>
      <c r="AI133" s="28"/>
      <c r="AJ133" s="28"/>
      <c r="AK133" s="32"/>
      <c r="AL133" s="28"/>
      <c r="AM133" s="28"/>
      <c r="AN133" s="27">
        <f>IF($B133&lt;&gt;"Challan","",SUMIF('Q1 Data'!$D$4:$D$207,D133,'Q1 Data'!$AD$4:$AD$207)+SUMIF('Q1 Data'!$D$4:$D$207,D133,'Q1 Data'!$AG$4:$AG$207)+SUMIF('Q1 Data'!$D$4:$D$207,D133,'Q1 Data'!$AE$4:$AE$207)+SUMIF('Q2 Data'!$D$4:$D$207,D133,'Q2 Data'!$AD$4:$AD$207)+SUMIF('Q2 Data'!$D$4:$D$207,D133,'Q2 Data'!$AG$4:$AG$207)+SUMIF('Q2 Data'!$D$4:$D$207,D133,'Q2 Data'!$AE$4:$AE$207)+SUMIF('Q3 Data'!$D$4:$D$207,D133,'Q3 Data'!$AD$4:$AD$207)+SUMIF('Q3 Data'!$D$4:$D$207,D133,'Q3 Data'!$AG$4:$AG$207)+SUMIF('Q3 Data'!$D$4:$D$207,D133,'Q3 Data'!$AE$4:$AE$207)+SUMIF('Q4 Data'!$D$4:$D$207,D133,'Q4 Data'!$AD$4:$AD$207)+SUMIF('Q4 Data'!$D$4:$D$207,D133,'Q4 Data'!$AG$4:$AG$207)+SUMIF('Q4 Data'!$D$4:$D$207,D133,'Q4 Data'!$AE$4:$AE$207))</f>
      </c>
      <c r="AO133" s="27">
        <f>IF($B133&lt;&gt;"Challan","",P133-N133)</f>
      </c>
      <c r="AP133" s="27">
        <f>IF($B133&lt;&gt;"Challan","",MAX(0,AO133-AN133))</f>
      </c>
      <c r="AQ133" s="33">
        <f>IF($B133&lt;&gt;"Entry","",SUMPRODUCT(('Q1 Data'!$D$4:$D$207=D133)*('Q1 Data'!$B$4:$B$207="Challan")*'Q1 Data'!$F$4:$F$207)+SUMPRODUCT(('Q2 Data'!$D$4:$D$207=D133)*('Q2 Data'!$B$4:$B$207="Challan")*'Q2 Data'!$F$4:$F$207)+SUMPRODUCT(('Q3 Data'!$D$4:$D$207=D133)*('Q3 Data'!$B$4:$B$207="Challan")*'Q3 Data'!$F$4:$F$207)+SUMPRODUCT(('Q4 Data'!$D$4:$D$207=D133)*('Q4 Data'!$B$4:$B$207="Challan")*'Q4 Data'!$F$4:$F$207))</f>
      </c>
      <c r="AR133" s="34">
        <f>IF(OR($B133&lt;&gt;"Entry",Z133=""),FALSE,AND((SUMPRODUCT(('Q1 Data'!$D$4:$D$207=D133)*('Q1 Data'!$B$4:$B$207="Challan")*('Q1 Data'!$H$4:$H$207&lt;&gt;""))+SUMPRODUCT(('Q2 Data'!$D$4:$D$207=D133)*('Q2 Data'!$B$4:$B$207="Challan")*('Q2 Data'!$H$4:$H$207&lt;&gt;""))+SUMPRODUCT(('Q3 Data'!$D$4:$D$207=D133)*('Q3 Data'!$B$4:$B$207="Challan")*('Q3 Data'!$H$4:$H$207&lt;&gt;""))+SUMPRODUCT(('Q4 Data'!$D$4:$D$207=D133)*('Q4 Data'!$B$4:$B$207="Challan")*('Q4 Data'!$H$4:$H$207&lt;&gt;"")))&gt;0,(SUMPRODUCT(('Q1 Data'!$D$4:$D$207=D133)*('Q1 Data'!$B$4:$B$207="Challan")*('Q1 Data'!$H$4:$H$207=Z133))+SUMPRODUCT(('Q2 Data'!$D$4:$D$207=D133)*('Q2 Data'!$B$4:$B$207="Challan")*('Q2 Data'!$H$4:$H$207=Z133))+SUMPRODUCT(('Q3 Data'!$D$4:$D$207=D133)*('Q3 Data'!$B$4:$B$207="Challan")*('Q3 Data'!$H$4:$H$207=Z133))+SUMPRODUCT(('Q4 Data'!$D$4:$D$207=D133)*('Q4 Data'!$B$4:$B$207="Challan")*('Q4 Data'!$H$4:$H$207=Z133)))=0))</f>
      </c>
    </row>
    <row r="134" spans="1:44" x14ac:dyDescent="0.25">
      <c r="A134" s="20">
        <f>IF($B134="Entry",COUNTIF($B$4:$B134,"Entry"),"")</f>
      </c>
      <c r="B134" s="21"/>
      <c r="C134" s="22"/>
      <c r="D134" s="22"/>
      <c r="E134" s="23">
        <f>IF($B134&lt;&gt;"Challan","",IF(ROUND(AN134-AO134,2)&gt;0,"Over-applied",IF(ROUND(AN134-AO134,2)=0,"Fully Utilised","Unconsumed")))</f>
      </c>
      <c r="F134" s="24"/>
      <c r="G134" s="25"/>
      <c r="H134" s="25"/>
      <c r="I134" s="26"/>
      <c r="J134" s="26"/>
      <c r="K134" s="26"/>
      <c r="L134" s="26"/>
      <c r="M134" s="26"/>
      <c r="N134" s="26"/>
      <c r="O134" s="26"/>
      <c r="P134" s="27">
        <f>IF($B134&lt;&gt;"Challan","",I134+J134+K134+L134+M134+N134)</f>
      </c>
      <c r="Q134" s="25"/>
      <c r="R134" s="25"/>
      <c r="S134" s="25"/>
      <c r="T134" s="25"/>
      <c r="U134" s="25"/>
      <c r="V134" s="28"/>
      <c r="W134" s="28"/>
      <c r="X134" s="23">
        <f>IF($B134="Entry",IF(AND(LEN(TRIM(UPPER(W134)))=10,CODE(MID(TRIM(UPPER(W134)),1,1))&gt;=65,CODE(MID(TRIM(UPPER(W134)),1,1))&lt;=90,CODE(MID(TRIM(UPPER(W134)),2,1))&gt;=65,CODE(MID(TRIM(UPPER(W134)),2,1))&lt;=90,CODE(MID(TRIM(UPPER(W134)),3,1))&gt;=65,CODE(MID(TRIM(UPPER(W134)),3,1))&lt;=90,CODE(MID(TRIM(UPPER(W134)),4,1))&gt;=65,CODE(MID(TRIM(UPPER(W134)),4,1))&lt;=90,CODE(MID(TRIM(UPPER(W134)),5,1))&gt;=65,CODE(MID(TRIM(UPPER(W134)),5,1))&lt;=90,CODE(MID(TRIM(UPPER(W134)),10,1))&gt;=65,CODE(MID(TRIM(UPPER(W134)),10,1))&lt;=90,CODE(MID(TRIM(UPPER(W134)),6,1))&gt;=48,CODE(MID(TRIM(UPPER(W134)),6,1))&lt;=57,CODE(MID(TRIM(UPPER(W134)),7,1))&gt;=48,CODE(MID(TRIM(UPPER(W134)),7,1))&lt;=57,CODE(MID(TRIM(UPPER(W134)),8,1))&gt;=48,CODE(MID(TRIM(UPPER(W134)),8,1))&lt;=57,CODE(MID(TRIM(UPPER(W134)),9,1))&gt;=48,CODE(MID(TRIM(UPPER(W134)),9,1))&lt;=57),"N","Y"),IF($B134="Challan","",IF(W134&lt;&gt;"","◄ Set Row Type","")))</f>
      </c>
      <c r="Y134" s="23">
        <f>IF($B134="Entry",IF(LEN(W134)&lt;4,"",IF(UPPER(MID(W134,4,1))="P","Individual",IF(UPPER(MID(W134,4,1))="H","HUF",IF(UPPER(MID(W134,4,1))="C","Company",IF(UPPER(MID(W134,4,1))="F","Firm",IF(UPPER(MID(W134,4,1))="L","LLP",IF(UPPER(MID(W134,4,1))="T","Trust",IF(UPPER(MID(W134,4,1))="A","AOP","")))))))),IF($B134="Challan","",IF(W134&lt;&gt;"","◄ Set Row Type","")))</f>
      </c>
      <c r="Z134" s="28"/>
      <c r="AA134" s="29">
        <f>IF($B134&lt;&gt;"Entry","",IF(Z134="","",IF(X134="Y",SUMPRODUCT(('Rate Lookup'!$A$1:$A$37=Z134)*'Rate Lookup'!$D$1:$D$37),IF(OR(Y134="Individual",Y134="HUF"),SUMPRODUCT(('Rate Lookup'!$A$1:$A$37=Z134)*'Rate Lookup'!$B$1:$B$37),SUMPRODUCT(('Rate Lookup'!$A$1:$A$37=Z134)*'Rate Lookup'!$C$1:$C$37)))))</f>
      </c>
      <c r="AB134" s="30"/>
      <c r="AC134" s="31"/>
      <c r="AD134" s="27">
        <f>IF($B134&lt;&gt;"Entry","",ROUND(AC134*AA134/100,0))</f>
      </c>
      <c r="AE134" s="27">
        <f>IF($B134&lt;&gt;"Entry","",0)</f>
      </c>
      <c r="AF134" s="27">
        <f>IF($B134&lt;&gt;"Entry","",0)</f>
      </c>
      <c r="AG134" s="27">
        <f>IF($B134&lt;&gt;"Entry","",IF(OR(AD134=0,AB134="",AQ134="",AQ134&lt;=0),0,IF(AQ134&lt;=DATE(YEAR(AB134),MONTH(AB134)+1,7),0,ROUND(AD134*0.015*((YEAR(AQ134)-YEAR(AB134))*12+(MONTH(AQ134)-MONTH(AB134))+1),0))))</f>
      </c>
      <c r="AH134" s="27">
        <f>IF($B134&lt;&gt;"Entry","",0)</f>
      </c>
      <c r="AI134" s="28"/>
      <c r="AJ134" s="28"/>
      <c r="AK134" s="32"/>
      <c r="AL134" s="28"/>
      <c r="AM134" s="28"/>
      <c r="AN134" s="27">
        <f>IF($B134&lt;&gt;"Challan","",SUMIF('Q1 Data'!$D$4:$D$207,D134,'Q1 Data'!$AD$4:$AD$207)+SUMIF('Q1 Data'!$D$4:$D$207,D134,'Q1 Data'!$AG$4:$AG$207)+SUMIF('Q1 Data'!$D$4:$D$207,D134,'Q1 Data'!$AE$4:$AE$207)+SUMIF('Q2 Data'!$D$4:$D$207,D134,'Q2 Data'!$AD$4:$AD$207)+SUMIF('Q2 Data'!$D$4:$D$207,D134,'Q2 Data'!$AG$4:$AG$207)+SUMIF('Q2 Data'!$D$4:$D$207,D134,'Q2 Data'!$AE$4:$AE$207)+SUMIF('Q3 Data'!$D$4:$D$207,D134,'Q3 Data'!$AD$4:$AD$207)+SUMIF('Q3 Data'!$D$4:$D$207,D134,'Q3 Data'!$AG$4:$AG$207)+SUMIF('Q3 Data'!$D$4:$D$207,D134,'Q3 Data'!$AE$4:$AE$207)+SUMIF('Q4 Data'!$D$4:$D$207,D134,'Q4 Data'!$AD$4:$AD$207)+SUMIF('Q4 Data'!$D$4:$D$207,D134,'Q4 Data'!$AG$4:$AG$207)+SUMIF('Q4 Data'!$D$4:$D$207,D134,'Q4 Data'!$AE$4:$AE$207))</f>
      </c>
      <c r="AO134" s="27">
        <f>IF($B134&lt;&gt;"Challan","",P134-N134)</f>
      </c>
      <c r="AP134" s="27">
        <f>IF($B134&lt;&gt;"Challan","",MAX(0,AO134-AN134))</f>
      </c>
      <c r="AQ134" s="33">
        <f>IF($B134&lt;&gt;"Entry","",SUMPRODUCT(('Q1 Data'!$D$4:$D$207=D134)*('Q1 Data'!$B$4:$B$207="Challan")*'Q1 Data'!$F$4:$F$207)+SUMPRODUCT(('Q2 Data'!$D$4:$D$207=D134)*('Q2 Data'!$B$4:$B$207="Challan")*'Q2 Data'!$F$4:$F$207)+SUMPRODUCT(('Q3 Data'!$D$4:$D$207=D134)*('Q3 Data'!$B$4:$B$207="Challan")*'Q3 Data'!$F$4:$F$207)+SUMPRODUCT(('Q4 Data'!$D$4:$D$207=D134)*('Q4 Data'!$B$4:$B$207="Challan")*'Q4 Data'!$F$4:$F$207))</f>
      </c>
      <c r="AR134" s="34">
        <f>IF(OR($B134&lt;&gt;"Entry",Z134=""),FALSE,AND((SUMPRODUCT(('Q1 Data'!$D$4:$D$207=D134)*('Q1 Data'!$B$4:$B$207="Challan")*('Q1 Data'!$H$4:$H$207&lt;&gt;""))+SUMPRODUCT(('Q2 Data'!$D$4:$D$207=D134)*('Q2 Data'!$B$4:$B$207="Challan")*('Q2 Data'!$H$4:$H$207&lt;&gt;""))+SUMPRODUCT(('Q3 Data'!$D$4:$D$207=D134)*('Q3 Data'!$B$4:$B$207="Challan")*('Q3 Data'!$H$4:$H$207&lt;&gt;""))+SUMPRODUCT(('Q4 Data'!$D$4:$D$207=D134)*('Q4 Data'!$B$4:$B$207="Challan")*('Q4 Data'!$H$4:$H$207&lt;&gt;"")))&gt;0,(SUMPRODUCT(('Q1 Data'!$D$4:$D$207=D134)*('Q1 Data'!$B$4:$B$207="Challan")*('Q1 Data'!$H$4:$H$207=Z134))+SUMPRODUCT(('Q2 Data'!$D$4:$D$207=D134)*('Q2 Data'!$B$4:$B$207="Challan")*('Q2 Data'!$H$4:$H$207=Z134))+SUMPRODUCT(('Q3 Data'!$D$4:$D$207=D134)*('Q3 Data'!$B$4:$B$207="Challan")*('Q3 Data'!$H$4:$H$207=Z134))+SUMPRODUCT(('Q4 Data'!$D$4:$D$207=D134)*('Q4 Data'!$B$4:$B$207="Challan")*('Q4 Data'!$H$4:$H$207=Z134)))=0))</f>
      </c>
    </row>
    <row r="135" spans="1:44" x14ac:dyDescent="0.25">
      <c r="A135" s="20">
        <f>IF($B135="Entry",COUNTIF($B$4:$B135,"Entry"),"")</f>
      </c>
      <c r="B135" s="21"/>
      <c r="C135" s="22"/>
      <c r="D135" s="22"/>
      <c r="E135" s="23">
        <f>IF($B135&lt;&gt;"Challan","",IF(ROUND(AN135-AO135,2)&gt;0,"Over-applied",IF(ROUND(AN135-AO135,2)=0,"Fully Utilised","Unconsumed")))</f>
      </c>
      <c r="F135" s="24"/>
      <c r="G135" s="25"/>
      <c r="H135" s="25"/>
      <c r="I135" s="26"/>
      <c r="J135" s="26"/>
      <c r="K135" s="26"/>
      <c r="L135" s="26"/>
      <c r="M135" s="26"/>
      <c r="N135" s="26"/>
      <c r="O135" s="26"/>
      <c r="P135" s="27">
        <f>IF($B135&lt;&gt;"Challan","",I135+J135+K135+L135+M135+N135)</f>
      </c>
      <c r="Q135" s="25"/>
      <c r="R135" s="25"/>
      <c r="S135" s="25"/>
      <c r="T135" s="25"/>
      <c r="U135" s="25"/>
      <c r="V135" s="28"/>
      <c r="W135" s="28"/>
      <c r="X135" s="23">
        <f>IF($B135="Entry",IF(AND(LEN(TRIM(UPPER(W135)))=10,CODE(MID(TRIM(UPPER(W135)),1,1))&gt;=65,CODE(MID(TRIM(UPPER(W135)),1,1))&lt;=90,CODE(MID(TRIM(UPPER(W135)),2,1))&gt;=65,CODE(MID(TRIM(UPPER(W135)),2,1))&lt;=90,CODE(MID(TRIM(UPPER(W135)),3,1))&gt;=65,CODE(MID(TRIM(UPPER(W135)),3,1))&lt;=90,CODE(MID(TRIM(UPPER(W135)),4,1))&gt;=65,CODE(MID(TRIM(UPPER(W135)),4,1))&lt;=90,CODE(MID(TRIM(UPPER(W135)),5,1))&gt;=65,CODE(MID(TRIM(UPPER(W135)),5,1))&lt;=90,CODE(MID(TRIM(UPPER(W135)),10,1))&gt;=65,CODE(MID(TRIM(UPPER(W135)),10,1))&lt;=90,CODE(MID(TRIM(UPPER(W135)),6,1))&gt;=48,CODE(MID(TRIM(UPPER(W135)),6,1))&lt;=57,CODE(MID(TRIM(UPPER(W135)),7,1))&gt;=48,CODE(MID(TRIM(UPPER(W135)),7,1))&lt;=57,CODE(MID(TRIM(UPPER(W135)),8,1))&gt;=48,CODE(MID(TRIM(UPPER(W135)),8,1))&lt;=57,CODE(MID(TRIM(UPPER(W135)),9,1))&gt;=48,CODE(MID(TRIM(UPPER(W135)),9,1))&lt;=57),"N","Y"),IF($B135="Challan","",IF(W135&lt;&gt;"","◄ Set Row Type","")))</f>
      </c>
      <c r="Y135" s="23">
        <f>IF($B135="Entry",IF(LEN(W135)&lt;4,"",IF(UPPER(MID(W135,4,1))="P","Individual",IF(UPPER(MID(W135,4,1))="H","HUF",IF(UPPER(MID(W135,4,1))="C","Company",IF(UPPER(MID(W135,4,1))="F","Firm",IF(UPPER(MID(W135,4,1))="L","LLP",IF(UPPER(MID(W135,4,1))="T","Trust",IF(UPPER(MID(W135,4,1))="A","AOP","")))))))),IF($B135="Challan","",IF(W135&lt;&gt;"","◄ Set Row Type","")))</f>
      </c>
      <c r="Z135" s="28"/>
      <c r="AA135" s="29">
        <f>IF($B135&lt;&gt;"Entry","",IF(Z135="","",IF(X135="Y",SUMPRODUCT(('Rate Lookup'!$A$1:$A$37=Z135)*'Rate Lookup'!$D$1:$D$37),IF(OR(Y135="Individual",Y135="HUF"),SUMPRODUCT(('Rate Lookup'!$A$1:$A$37=Z135)*'Rate Lookup'!$B$1:$B$37),SUMPRODUCT(('Rate Lookup'!$A$1:$A$37=Z135)*'Rate Lookup'!$C$1:$C$37)))))</f>
      </c>
      <c r="AB135" s="30"/>
      <c r="AC135" s="31"/>
      <c r="AD135" s="27">
        <f>IF($B135&lt;&gt;"Entry","",ROUND(AC135*AA135/100,0))</f>
      </c>
      <c r="AE135" s="27">
        <f>IF($B135&lt;&gt;"Entry","",0)</f>
      </c>
      <c r="AF135" s="27">
        <f>IF($B135&lt;&gt;"Entry","",0)</f>
      </c>
      <c r="AG135" s="27">
        <f>IF($B135&lt;&gt;"Entry","",IF(OR(AD135=0,AB135="",AQ135="",AQ135&lt;=0),0,IF(AQ135&lt;=DATE(YEAR(AB135),MONTH(AB135)+1,7),0,ROUND(AD135*0.015*((YEAR(AQ135)-YEAR(AB135))*12+(MONTH(AQ135)-MONTH(AB135))+1),0))))</f>
      </c>
      <c r="AH135" s="27">
        <f>IF($B135&lt;&gt;"Entry","",0)</f>
      </c>
      <c r="AI135" s="28"/>
      <c r="AJ135" s="28"/>
      <c r="AK135" s="32"/>
      <c r="AL135" s="28"/>
      <c r="AM135" s="28"/>
      <c r="AN135" s="27">
        <f>IF($B135&lt;&gt;"Challan","",SUMIF('Q1 Data'!$D$4:$D$207,D135,'Q1 Data'!$AD$4:$AD$207)+SUMIF('Q1 Data'!$D$4:$D$207,D135,'Q1 Data'!$AG$4:$AG$207)+SUMIF('Q1 Data'!$D$4:$D$207,D135,'Q1 Data'!$AE$4:$AE$207)+SUMIF('Q2 Data'!$D$4:$D$207,D135,'Q2 Data'!$AD$4:$AD$207)+SUMIF('Q2 Data'!$D$4:$D$207,D135,'Q2 Data'!$AG$4:$AG$207)+SUMIF('Q2 Data'!$D$4:$D$207,D135,'Q2 Data'!$AE$4:$AE$207)+SUMIF('Q3 Data'!$D$4:$D$207,D135,'Q3 Data'!$AD$4:$AD$207)+SUMIF('Q3 Data'!$D$4:$D$207,D135,'Q3 Data'!$AG$4:$AG$207)+SUMIF('Q3 Data'!$D$4:$D$207,D135,'Q3 Data'!$AE$4:$AE$207)+SUMIF('Q4 Data'!$D$4:$D$207,D135,'Q4 Data'!$AD$4:$AD$207)+SUMIF('Q4 Data'!$D$4:$D$207,D135,'Q4 Data'!$AG$4:$AG$207)+SUMIF('Q4 Data'!$D$4:$D$207,D135,'Q4 Data'!$AE$4:$AE$207))</f>
      </c>
      <c r="AO135" s="27">
        <f>IF($B135&lt;&gt;"Challan","",P135-N135)</f>
      </c>
      <c r="AP135" s="27">
        <f>IF($B135&lt;&gt;"Challan","",MAX(0,AO135-AN135))</f>
      </c>
      <c r="AQ135" s="33">
        <f>IF($B135&lt;&gt;"Entry","",SUMPRODUCT(('Q1 Data'!$D$4:$D$207=D135)*('Q1 Data'!$B$4:$B$207="Challan")*'Q1 Data'!$F$4:$F$207)+SUMPRODUCT(('Q2 Data'!$D$4:$D$207=D135)*('Q2 Data'!$B$4:$B$207="Challan")*'Q2 Data'!$F$4:$F$207)+SUMPRODUCT(('Q3 Data'!$D$4:$D$207=D135)*('Q3 Data'!$B$4:$B$207="Challan")*'Q3 Data'!$F$4:$F$207)+SUMPRODUCT(('Q4 Data'!$D$4:$D$207=D135)*('Q4 Data'!$B$4:$B$207="Challan")*'Q4 Data'!$F$4:$F$207))</f>
      </c>
      <c r="AR135" s="34">
        <f>IF(OR($B135&lt;&gt;"Entry",Z135=""),FALSE,AND((SUMPRODUCT(('Q1 Data'!$D$4:$D$207=D135)*('Q1 Data'!$B$4:$B$207="Challan")*('Q1 Data'!$H$4:$H$207&lt;&gt;""))+SUMPRODUCT(('Q2 Data'!$D$4:$D$207=D135)*('Q2 Data'!$B$4:$B$207="Challan")*('Q2 Data'!$H$4:$H$207&lt;&gt;""))+SUMPRODUCT(('Q3 Data'!$D$4:$D$207=D135)*('Q3 Data'!$B$4:$B$207="Challan")*('Q3 Data'!$H$4:$H$207&lt;&gt;""))+SUMPRODUCT(('Q4 Data'!$D$4:$D$207=D135)*('Q4 Data'!$B$4:$B$207="Challan")*('Q4 Data'!$H$4:$H$207&lt;&gt;"")))&gt;0,(SUMPRODUCT(('Q1 Data'!$D$4:$D$207=D135)*('Q1 Data'!$B$4:$B$207="Challan")*('Q1 Data'!$H$4:$H$207=Z135))+SUMPRODUCT(('Q2 Data'!$D$4:$D$207=D135)*('Q2 Data'!$B$4:$B$207="Challan")*('Q2 Data'!$H$4:$H$207=Z135))+SUMPRODUCT(('Q3 Data'!$D$4:$D$207=D135)*('Q3 Data'!$B$4:$B$207="Challan")*('Q3 Data'!$H$4:$H$207=Z135))+SUMPRODUCT(('Q4 Data'!$D$4:$D$207=D135)*('Q4 Data'!$B$4:$B$207="Challan")*('Q4 Data'!$H$4:$H$207=Z135)))=0))</f>
      </c>
    </row>
    <row r="136" spans="1:44" x14ac:dyDescent="0.25">
      <c r="A136" s="20">
        <f>IF($B136="Entry",COUNTIF($B$4:$B136,"Entry"),"")</f>
      </c>
      <c r="B136" s="21"/>
      <c r="C136" s="22"/>
      <c r="D136" s="22"/>
      <c r="E136" s="23">
        <f>IF($B136&lt;&gt;"Challan","",IF(ROUND(AN136-AO136,2)&gt;0,"Over-applied",IF(ROUND(AN136-AO136,2)=0,"Fully Utilised","Unconsumed")))</f>
      </c>
      <c r="F136" s="24"/>
      <c r="G136" s="25"/>
      <c r="H136" s="25"/>
      <c r="I136" s="26"/>
      <c r="J136" s="26"/>
      <c r="K136" s="26"/>
      <c r="L136" s="26"/>
      <c r="M136" s="26"/>
      <c r="N136" s="26"/>
      <c r="O136" s="26"/>
      <c r="P136" s="27">
        <f>IF($B136&lt;&gt;"Challan","",I136+J136+K136+L136+M136+N136)</f>
      </c>
      <c r="Q136" s="25"/>
      <c r="R136" s="25"/>
      <c r="S136" s="25"/>
      <c r="T136" s="25"/>
      <c r="U136" s="25"/>
      <c r="V136" s="28"/>
      <c r="W136" s="28"/>
      <c r="X136" s="23">
        <f>IF($B136="Entry",IF(AND(LEN(TRIM(UPPER(W136)))=10,CODE(MID(TRIM(UPPER(W136)),1,1))&gt;=65,CODE(MID(TRIM(UPPER(W136)),1,1))&lt;=90,CODE(MID(TRIM(UPPER(W136)),2,1))&gt;=65,CODE(MID(TRIM(UPPER(W136)),2,1))&lt;=90,CODE(MID(TRIM(UPPER(W136)),3,1))&gt;=65,CODE(MID(TRIM(UPPER(W136)),3,1))&lt;=90,CODE(MID(TRIM(UPPER(W136)),4,1))&gt;=65,CODE(MID(TRIM(UPPER(W136)),4,1))&lt;=90,CODE(MID(TRIM(UPPER(W136)),5,1))&gt;=65,CODE(MID(TRIM(UPPER(W136)),5,1))&lt;=90,CODE(MID(TRIM(UPPER(W136)),10,1))&gt;=65,CODE(MID(TRIM(UPPER(W136)),10,1))&lt;=90,CODE(MID(TRIM(UPPER(W136)),6,1))&gt;=48,CODE(MID(TRIM(UPPER(W136)),6,1))&lt;=57,CODE(MID(TRIM(UPPER(W136)),7,1))&gt;=48,CODE(MID(TRIM(UPPER(W136)),7,1))&lt;=57,CODE(MID(TRIM(UPPER(W136)),8,1))&gt;=48,CODE(MID(TRIM(UPPER(W136)),8,1))&lt;=57,CODE(MID(TRIM(UPPER(W136)),9,1))&gt;=48,CODE(MID(TRIM(UPPER(W136)),9,1))&lt;=57),"N","Y"),IF($B136="Challan","",IF(W136&lt;&gt;"","◄ Set Row Type","")))</f>
      </c>
      <c r="Y136" s="23">
        <f>IF($B136="Entry",IF(LEN(W136)&lt;4,"",IF(UPPER(MID(W136,4,1))="P","Individual",IF(UPPER(MID(W136,4,1))="H","HUF",IF(UPPER(MID(W136,4,1))="C","Company",IF(UPPER(MID(W136,4,1))="F","Firm",IF(UPPER(MID(W136,4,1))="L","LLP",IF(UPPER(MID(W136,4,1))="T","Trust",IF(UPPER(MID(W136,4,1))="A","AOP","")))))))),IF($B136="Challan","",IF(W136&lt;&gt;"","◄ Set Row Type","")))</f>
      </c>
      <c r="Z136" s="28"/>
      <c r="AA136" s="29">
        <f>IF($B136&lt;&gt;"Entry","",IF(Z136="","",IF(X136="Y",SUMPRODUCT(('Rate Lookup'!$A$1:$A$37=Z136)*'Rate Lookup'!$D$1:$D$37),IF(OR(Y136="Individual",Y136="HUF"),SUMPRODUCT(('Rate Lookup'!$A$1:$A$37=Z136)*'Rate Lookup'!$B$1:$B$37),SUMPRODUCT(('Rate Lookup'!$A$1:$A$37=Z136)*'Rate Lookup'!$C$1:$C$37)))))</f>
      </c>
      <c r="AB136" s="30"/>
      <c r="AC136" s="31"/>
      <c r="AD136" s="27">
        <f>IF($B136&lt;&gt;"Entry","",ROUND(AC136*AA136/100,0))</f>
      </c>
      <c r="AE136" s="27">
        <f>IF($B136&lt;&gt;"Entry","",0)</f>
      </c>
      <c r="AF136" s="27">
        <f>IF($B136&lt;&gt;"Entry","",0)</f>
      </c>
      <c r="AG136" s="27">
        <f>IF($B136&lt;&gt;"Entry","",IF(OR(AD136=0,AB136="",AQ136="",AQ136&lt;=0),0,IF(AQ136&lt;=DATE(YEAR(AB136),MONTH(AB136)+1,7),0,ROUND(AD136*0.015*((YEAR(AQ136)-YEAR(AB136))*12+(MONTH(AQ136)-MONTH(AB136))+1),0))))</f>
      </c>
      <c r="AH136" s="27">
        <f>IF($B136&lt;&gt;"Entry","",0)</f>
      </c>
      <c r="AI136" s="28"/>
      <c r="AJ136" s="28"/>
      <c r="AK136" s="32"/>
      <c r="AL136" s="28"/>
      <c r="AM136" s="28"/>
      <c r="AN136" s="27">
        <f>IF($B136&lt;&gt;"Challan","",SUMIF('Q1 Data'!$D$4:$D$207,D136,'Q1 Data'!$AD$4:$AD$207)+SUMIF('Q1 Data'!$D$4:$D$207,D136,'Q1 Data'!$AG$4:$AG$207)+SUMIF('Q1 Data'!$D$4:$D$207,D136,'Q1 Data'!$AE$4:$AE$207)+SUMIF('Q2 Data'!$D$4:$D$207,D136,'Q2 Data'!$AD$4:$AD$207)+SUMIF('Q2 Data'!$D$4:$D$207,D136,'Q2 Data'!$AG$4:$AG$207)+SUMIF('Q2 Data'!$D$4:$D$207,D136,'Q2 Data'!$AE$4:$AE$207)+SUMIF('Q3 Data'!$D$4:$D$207,D136,'Q3 Data'!$AD$4:$AD$207)+SUMIF('Q3 Data'!$D$4:$D$207,D136,'Q3 Data'!$AG$4:$AG$207)+SUMIF('Q3 Data'!$D$4:$D$207,D136,'Q3 Data'!$AE$4:$AE$207)+SUMIF('Q4 Data'!$D$4:$D$207,D136,'Q4 Data'!$AD$4:$AD$207)+SUMIF('Q4 Data'!$D$4:$D$207,D136,'Q4 Data'!$AG$4:$AG$207)+SUMIF('Q4 Data'!$D$4:$D$207,D136,'Q4 Data'!$AE$4:$AE$207))</f>
      </c>
      <c r="AO136" s="27">
        <f>IF($B136&lt;&gt;"Challan","",P136-N136)</f>
      </c>
      <c r="AP136" s="27">
        <f>IF($B136&lt;&gt;"Challan","",MAX(0,AO136-AN136))</f>
      </c>
      <c r="AQ136" s="33">
        <f>IF($B136&lt;&gt;"Entry","",SUMPRODUCT(('Q1 Data'!$D$4:$D$207=D136)*('Q1 Data'!$B$4:$B$207="Challan")*'Q1 Data'!$F$4:$F$207)+SUMPRODUCT(('Q2 Data'!$D$4:$D$207=D136)*('Q2 Data'!$B$4:$B$207="Challan")*'Q2 Data'!$F$4:$F$207)+SUMPRODUCT(('Q3 Data'!$D$4:$D$207=D136)*('Q3 Data'!$B$4:$B$207="Challan")*'Q3 Data'!$F$4:$F$207)+SUMPRODUCT(('Q4 Data'!$D$4:$D$207=D136)*('Q4 Data'!$B$4:$B$207="Challan")*'Q4 Data'!$F$4:$F$207))</f>
      </c>
      <c r="AR136" s="34">
        <f>IF(OR($B136&lt;&gt;"Entry",Z136=""),FALSE,AND((SUMPRODUCT(('Q1 Data'!$D$4:$D$207=D136)*('Q1 Data'!$B$4:$B$207="Challan")*('Q1 Data'!$H$4:$H$207&lt;&gt;""))+SUMPRODUCT(('Q2 Data'!$D$4:$D$207=D136)*('Q2 Data'!$B$4:$B$207="Challan")*('Q2 Data'!$H$4:$H$207&lt;&gt;""))+SUMPRODUCT(('Q3 Data'!$D$4:$D$207=D136)*('Q3 Data'!$B$4:$B$207="Challan")*('Q3 Data'!$H$4:$H$207&lt;&gt;""))+SUMPRODUCT(('Q4 Data'!$D$4:$D$207=D136)*('Q4 Data'!$B$4:$B$207="Challan")*('Q4 Data'!$H$4:$H$207&lt;&gt;"")))&gt;0,(SUMPRODUCT(('Q1 Data'!$D$4:$D$207=D136)*('Q1 Data'!$B$4:$B$207="Challan")*('Q1 Data'!$H$4:$H$207=Z136))+SUMPRODUCT(('Q2 Data'!$D$4:$D$207=D136)*('Q2 Data'!$B$4:$B$207="Challan")*('Q2 Data'!$H$4:$H$207=Z136))+SUMPRODUCT(('Q3 Data'!$D$4:$D$207=D136)*('Q3 Data'!$B$4:$B$207="Challan")*('Q3 Data'!$H$4:$H$207=Z136))+SUMPRODUCT(('Q4 Data'!$D$4:$D$207=D136)*('Q4 Data'!$B$4:$B$207="Challan")*('Q4 Data'!$H$4:$H$207=Z136)))=0))</f>
      </c>
    </row>
    <row r="137" spans="1:44" x14ac:dyDescent="0.25">
      <c r="A137" s="20">
        <f>IF($B137="Entry",COUNTIF($B$4:$B137,"Entry"),"")</f>
      </c>
      <c r="B137" s="21"/>
      <c r="C137" s="22"/>
      <c r="D137" s="22"/>
      <c r="E137" s="23">
        <f>IF($B137&lt;&gt;"Challan","",IF(ROUND(AN137-AO137,2)&gt;0,"Over-applied",IF(ROUND(AN137-AO137,2)=0,"Fully Utilised","Unconsumed")))</f>
      </c>
      <c r="F137" s="24"/>
      <c r="G137" s="25"/>
      <c r="H137" s="25"/>
      <c r="I137" s="26"/>
      <c r="J137" s="26"/>
      <c r="K137" s="26"/>
      <c r="L137" s="26"/>
      <c r="M137" s="26"/>
      <c r="N137" s="26"/>
      <c r="O137" s="26"/>
      <c r="P137" s="27">
        <f>IF($B137&lt;&gt;"Challan","",I137+J137+K137+L137+M137+N137)</f>
      </c>
      <c r="Q137" s="25"/>
      <c r="R137" s="25"/>
      <c r="S137" s="25"/>
      <c r="T137" s="25"/>
      <c r="U137" s="25"/>
      <c r="V137" s="28"/>
      <c r="W137" s="28"/>
      <c r="X137" s="23">
        <f>IF($B137="Entry",IF(AND(LEN(TRIM(UPPER(W137)))=10,CODE(MID(TRIM(UPPER(W137)),1,1))&gt;=65,CODE(MID(TRIM(UPPER(W137)),1,1))&lt;=90,CODE(MID(TRIM(UPPER(W137)),2,1))&gt;=65,CODE(MID(TRIM(UPPER(W137)),2,1))&lt;=90,CODE(MID(TRIM(UPPER(W137)),3,1))&gt;=65,CODE(MID(TRIM(UPPER(W137)),3,1))&lt;=90,CODE(MID(TRIM(UPPER(W137)),4,1))&gt;=65,CODE(MID(TRIM(UPPER(W137)),4,1))&lt;=90,CODE(MID(TRIM(UPPER(W137)),5,1))&gt;=65,CODE(MID(TRIM(UPPER(W137)),5,1))&lt;=90,CODE(MID(TRIM(UPPER(W137)),10,1))&gt;=65,CODE(MID(TRIM(UPPER(W137)),10,1))&lt;=90,CODE(MID(TRIM(UPPER(W137)),6,1))&gt;=48,CODE(MID(TRIM(UPPER(W137)),6,1))&lt;=57,CODE(MID(TRIM(UPPER(W137)),7,1))&gt;=48,CODE(MID(TRIM(UPPER(W137)),7,1))&lt;=57,CODE(MID(TRIM(UPPER(W137)),8,1))&gt;=48,CODE(MID(TRIM(UPPER(W137)),8,1))&lt;=57,CODE(MID(TRIM(UPPER(W137)),9,1))&gt;=48,CODE(MID(TRIM(UPPER(W137)),9,1))&lt;=57),"N","Y"),IF($B137="Challan","",IF(W137&lt;&gt;"","◄ Set Row Type","")))</f>
      </c>
      <c r="Y137" s="23">
        <f>IF($B137="Entry",IF(LEN(W137)&lt;4,"",IF(UPPER(MID(W137,4,1))="P","Individual",IF(UPPER(MID(W137,4,1))="H","HUF",IF(UPPER(MID(W137,4,1))="C","Company",IF(UPPER(MID(W137,4,1))="F","Firm",IF(UPPER(MID(W137,4,1))="L","LLP",IF(UPPER(MID(W137,4,1))="T","Trust",IF(UPPER(MID(W137,4,1))="A","AOP","")))))))),IF($B137="Challan","",IF(W137&lt;&gt;"","◄ Set Row Type","")))</f>
      </c>
      <c r="Z137" s="28"/>
      <c r="AA137" s="29">
        <f>IF($B137&lt;&gt;"Entry","",IF(Z137="","",IF(X137="Y",SUMPRODUCT(('Rate Lookup'!$A$1:$A$37=Z137)*'Rate Lookup'!$D$1:$D$37),IF(OR(Y137="Individual",Y137="HUF"),SUMPRODUCT(('Rate Lookup'!$A$1:$A$37=Z137)*'Rate Lookup'!$B$1:$B$37),SUMPRODUCT(('Rate Lookup'!$A$1:$A$37=Z137)*'Rate Lookup'!$C$1:$C$37)))))</f>
      </c>
      <c r="AB137" s="30"/>
      <c r="AC137" s="31"/>
      <c r="AD137" s="27">
        <f>IF($B137&lt;&gt;"Entry","",ROUND(AC137*AA137/100,0))</f>
      </c>
      <c r="AE137" s="27">
        <f>IF($B137&lt;&gt;"Entry","",0)</f>
      </c>
      <c r="AF137" s="27">
        <f>IF($B137&lt;&gt;"Entry","",0)</f>
      </c>
      <c r="AG137" s="27">
        <f>IF($B137&lt;&gt;"Entry","",IF(OR(AD137=0,AB137="",AQ137="",AQ137&lt;=0),0,IF(AQ137&lt;=DATE(YEAR(AB137),MONTH(AB137)+1,7),0,ROUND(AD137*0.015*((YEAR(AQ137)-YEAR(AB137))*12+(MONTH(AQ137)-MONTH(AB137))+1),0))))</f>
      </c>
      <c r="AH137" s="27">
        <f>IF($B137&lt;&gt;"Entry","",0)</f>
      </c>
      <c r="AI137" s="28"/>
      <c r="AJ137" s="28"/>
      <c r="AK137" s="32"/>
      <c r="AL137" s="28"/>
      <c r="AM137" s="28"/>
      <c r="AN137" s="27">
        <f>IF($B137&lt;&gt;"Challan","",SUMIF('Q1 Data'!$D$4:$D$207,D137,'Q1 Data'!$AD$4:$AD$207)+SUMIF('Q1 Data'!$D$4:$D$207,D137,'Q1 Data'!$AG$4:$AG$207)+SUMIF('Q1 Data'!$D$4:$D$207,D137,'Q1 Data'!$AE$4:$AE$207)+SUMIF('Q2 Data'!$D$4:$D$207,D137,'Q2 Data'!$AD$4:$AD$207)+SUMIF('Q2 Data'!$D$4:$D$207,D137,'Q2 Data'!$AG$4:$AG$207)+SUMIF('Q2 Data'!$D$4:$D$207,D137,'Q2 Data'!$AE$4:$AE$207)+SUMIF('Q3 Data'!$D$4:$D$207,D137,'Q3 Data'!$AD$4:$AD$207)+SUMIF('Q3 Data'!$D$4:$D$207,D137,'Q3 Data'!$AG$4:$AG$207)+SUMIF('Q3 Data'!$D$4:$D$207,D137,'Q3 Data'!$AE$4:$AE$207)+SUMIF('Q4 Data'!$D$4:$D$207,D137,'Q4 Data'!$AD$4:$AD$207)+SUMIF('Q4 Data'!$D$4:$D$207,D137,'Q4 Data'!$AG$4:$AG$207)+SUMIF('Q4 Data'!$D$4:$D$207,D137,'Q4 Data'!$AE$4:$AE$207))</f>
      </c>
      <c r="AO137" s="27">
        <f>IF($B137&lt;&gt;"Challan","",P137-N137)</f>
      </c>
      <c r="AP137" s="27">
        <f>IF($B137&lt;&gt;"Challan","",MAX(0,AO137-AN137))</f>
      </c>
      <c r="AQ137" s="33">
        <f>IF($B137&lt;&gt;"Entry","",SUMPRODUCT(('Q1 Data'!$D$4:$D$207=D137)*('Q1 Data'!$B$4:$B$207="Challan")*'Q1 Data'!$F$4:$F$207)+SUMPRODUCT(('Q2 Data'!$D$4:$D$207=D137)*('Q2 Data'!$B$4:$B$207="Challan")*'Q2 Data'!$F$4:$F$207)+SUMPRODUCT(('Q3 Data'!$D$4:$D$207=D137)*('Q3 Data'!$B$4:$B$207="Challan")*'Q3 Data'!$F$4:$F$207)+SUMPRODUCT(('Q4 Data'!$D$4:$D$207=D137)*('Q4 Data'!$B$4:$B$207="Challan")*'Q4 Data'!$F$4:$F$207))</f>
      </c>
      <c r="AR137" s="34">
        <f>IF(OR($B137&lt;&gt;"Entry",Z137=""),FALSE,AND((SUMPRODUCT(('Q1 Data'!$D$4:$D$207=D137)*('Q1 Data'!$B$4:$B$207="Challan")*('Q1 Data'!$H$4:$H$207&lt;&gt;""))+SUMPRODUCT(('Q2 Data'!$D$4:$D$207=D137)*('Q2 Data'!$B$4:$B$207="Challan")*('Q2 Data'!$H$4:$H$207&lt;&gt;""))+SUMPRODUCT(('Q3 Data'!$D$4:$D$207=D137)*('Q3 Data'!$B$4:$B$207="Challan")*('Q3 Data'!$H$4:$H$207&lt;&gt;""))+SUMPRODUCT(('Q4 Data'!$D$4:$D$207=D137)*('Q4 Data'!$B$4:$B$207="Challan")*('Q4 Data'!$H$4:$H$207&lt;&gt;"")))&gt;0,(SUMPRODUCT(('Q1 Data'!$D$4:$D$207=D137)*('Q1 Data'!$B$4:$B$207="Challan")*('Q1 Data'!$H$4:$H$207=Z137))+SUMPRODUCT(('Q2 Data'!$D$4:$D$207=D137)*('Q2 Data'!$B$4:$B$207="Challan")*('Q2 Data'!$H$4:$H$207=Z137))+SUMPRODUCT(('Q3 Data'!$D$4:$D$207=D137)*('Q3 Data'!$B$4:$B$207="Challan")*('Q3 Data'!$H$4:$H$207=Z137))+SUMPRODUCT(('Q4 Data'!$D$4:$D$207=D137)*('Q4 Data'!$B$4:$B$207="Challan")*('Q4 Data'!$H$4:$H$207=Z137)))=0))</f>
      </c>
    </row>
    <row r="138" spans="1:44" x14ac:dyDescent="0.25">
      <c r="A138" s="20">
        <f>IF($B138="Entry",COUNTIF($B$4:$B138,"Entry"),"")</f>
      </c>
      <c r="B138" s="21"/>
      <c r="C138" s="22"/>
      <c r="D138" s="22"/>
      <c r="E138" s="23">
        <f>IF($B138&lt;&gt;"Challan","",IF(ROUND(AN138-AO138,2)&gt;0,"Over-applied",IF(ROUND(AN138-AO138,2)=0,"Fully Utilised","Unconsumed")))</f>
      </c>
      <c r="F138" s="24"/>
      <c r="G138" s="25"/>
      <c r="H138" s="25"/>
      <c r="I138" s="26"/>
      <c r="J138" s="26"/>
      <c r="K138" s="26"/>
      <c r="L138" s="26"/>
      <c r="M138" s="26"/>
      <c r="N138" s="26"/>
      <c r="O138" s="26"/>
      <c r="P138" s="27">
        <f>IF($B138&lt;&gt;"Challan","",I138+J138+K138+L138+M138+N138)</f>
      </c>
      <c r="Q138" s="25"/>
      <c r="R138" s="25"/>
      <c r="S138" s="25"/>
      <c r="T138" s="25"/>
      <c r="U138" s="25"/>
      <c r="V138" s="28"/>
      <c r="W138" s="28"/>
      <c r="X138" s="23">
        <f>IF($B138="Entry",IF(AND(LEN(TRIM(UPPER(W138)))=10,CODE(MID(TRIM(UPPER(W138)),1,1))&gt;=65,CODE(MID(TRIM(UPPER(W138)),1,1))&lt;=90,CODE(MID(TRIM(UPPER(W138)),2,1))&gt;=65,CODE(MID(TRIM(UPPER(W138)),2,1))&lt;=90,CODE(MID(TRIM(UPPER(W138)),3,1))&gt;=65,CODE(MID(TRIM(UPPER(W138)),3,1))&lt;=90,CODE(MID(TRIM(UPPER(W138)),4,1))&gt;=65,CODE(MID(TRIM(UPPER(W138)),4,1))&lt;=90,CODE(MID(TRIM(UPPER(W138)),5,1))&gt;=65,CODE(MID(TRIM(UPPER(W138)),5,1))&lt;=90,CODE(MID(TRIM(UPPER(W138)),10,1))&gt;=65,CODE(MID(TRIM(UPPER(W138)),10,1))&lt;=90,CODE(MID(TRIM(UPPER(W138)),6,1))&gt;=48,CODE(MID(TRIM(UPPER(W138)),6,1))&lt;=57,CODE(MID(TRIM(UPPER(W138)),7,1))&gt;=48,CODE(MID(TRIM(UPPER(W138)),7,1))&lt;=57,CODE(MID(TRIM(UPPER(W138)),8,1))&gt;=48,CODE(MID(TRIM(UPPER(W138)),8,1))&lt;=57,CODE(MID(TRIM(UPPER(W138)),9,1))&gt;=48,CODE(MID(TRIM(UPPER(W138)),9,1))&lt;=57),"N","Y"),IF($B138="Challan","",IF(W138&lt;&gt;"","◄ Set Row Type","")))</f>
      </c>
      <c r="Y138" s="23">
        <f>IF($B138="Entry",IF(LEN(W138)&lt;4,"",IF(UPPER(MID(W138,4,1))="P","Individual",IF(UPPER(MID(W138,4,1))="H","HUF",IF(UPPER(MID(W138,4,1))="C","Company",IF(UPPER(MID(W138,4,1))="F","Firm",IF(UPPER(MID(W138,4,1))="L","LLP",IF(UPPER(MID(W138,4,1))="T","Trust",IF(UPPER(MID(W138,4,1))="A","AOP","")))))))),IF($B138="Challan","",IF(W138&lt;&gt;"","◄ Set Row Type","")))</f>
      </c>
      <c r="Z138" s="28"/>
      <c r="AA138" s="29">
        <f>IF($B138&lt;&gt;"Entry","",IF(Z138="","",IF(X138="Y",SUMPRODUCT(('Rate Lookup'!$A$1:$A$37=Z138)*'Rate Lookup'!$D$1:$D$37),IF(OR(Y138="Individual",Y138="HUF"),SUMPRODUCT(('Rate Lookup'!$A$1:$A$37=Z138)*'Rate Lookup'!$B$1:$B$37),SUMPRODUCT(('Rate Lookup'!$A$1:$A$37=Z138)*'Rate Lookup'!$C$1:$C$37)))))</f>
      </c>
      <c r="AB138" s="30"/>
      <c r="AC138" s="31"/>
      <c r="AD138" s="27">
        <f>IF($B138&lt;&gt;"Entry","",ROUND(AC138*AA138/100,0))</f>
      </c>
      <c r="AE138" s="27">
        <f>IF($B138&lt;&gt;"Entry","",0)</f>
      </c>
      <c r="AF138" s="27">
        <f>IF($B138&lt;&gt;"Entry","",0)</f>
      </c>
      <c r="AG138" s="27">
        <f>IF($B138&lt;&gt;"Entry","",IF(OR(AD138=0,AB138="",AQ138="",AQ138&lt;=0),0,IF(AQ138&lt;=DATE(YEAR(AB138),MONTH(AB138)+1,7),0,ROUND(AD138*0.015*((YEAR(AQ138)-YEAR(AB138))*12+(MONTH(AQ138)-MONTH(AB138))+1),0))))</f>
      </c>
      <c r="AH138" s="27">
        <f>IF($B138&lt;&gt;"Entry","",0)</f>
      </c>
      <c r="AI138" s="28"/>
      <c r="AJ138" s="28"/>
      <c r="AK138" s="32"/>
      <c r="AL138" s="28"/>
      <c r="AM138" s="28"/>
      <c r="AN138" s="27">
        <f>IF($B138&lt;&gt;"Challan","",SUMIF('Q1 Data'!$D$4:$D$207,D138,'Q1 Data'!$AD$4:$AD$207)+SUMIF('Q1 Data'!$D$4:$D$207,D138,'Q1 Data'!$AG$4:$AG$207)+SUMIF('Q1 Data'!$D$4:$D$207,D138,'Q1 Data'!$AE$4:$AE$207)+SUMIF('Q2 Data'!$D$4:$D$207,D138,'Q2 Data'!$AD$4:$AD$207)+SUMIF('Q2 Data'!$D$4:$D$207,D138,'Q2 Data'!$AG$4:$AG$207)+SUMIF('Q2 Data'!$D$4:$D$207,D138,'Q2 Data'!$AE$4:$AE$207)+SUMIF('Q3 Data'!$D$4:$D$207,D138,'Q3 Data'!$AD$4:$AD$207)+SUMIF('Q3 Data'!$D$4:$D$207,D138,'Q3 Data'!$AG$4:$AG$207)+SUMIF('Q3 Data'!$D$4:$D$207,D138,'Q3 Data'!$AE$4:$AE$207)+SUMIF('Q4 Data'!$D$4:$D$207,D138,'Q4 Data'!$AD$4:$AD$207)+SUMIF('Q4 Data'!$D$4:$D$207,D138,'Q4 Data'!$AG$4:$AG$207)+SUMIF('Q4 Data'!$D$4:$D$207,D138,'Q4 Data'!$AE$4:$AE$207))</f>
      </c>
      <c r="AO138" s="27">
        <f>IF($B138&lt;&gt;"Challan","",P138-N138)</f>
      </c>
      <c r="AP138" s="27">
        <f>IF($B138&lt;&gt;"Challan","",MAX(0,AO138-AN138))</f>
      </c>
      <c r="AQ138" s="33">
        <f>IF($B138&lt;&gt;"Entry","",SUMPRODUCT(('Q1 Data'!$D$4:$D$207=D138)*('Q1 Data'!$B$4:$B$207="Challan")*'Q1 Data'!$F$4:$F$207)+SUMPRODUCT(('Q2 Data'!$D$4:$D$207=D138)*('Q2 Data'!$B$4:$B$207="Challan")*'Q2 Data'!$F$4:$F$207)+SUMPRODUCT(('Q3 Data'!$D$4:$D$207=D138)*('Q3 Data'!$B$4:$B$207="Challan")*'Q3 Data'!$F$4:$F$207)+SUMPRODUCT(('Q4 Data'!$D$4:$D$207=D138)*('Q4 Data'!$B$4:$B$207="Challan")*'Q4 Data'!$F$4:$F$207))</f>
      </c>
      <c r="AR138" s="34">
        <f>IF(OR($B138&lt;&gt;"Entry",Z138=""),FALSE,AND((SUMPRODUCT(('Q1 Data'!$D$4:$D$207=D138)*('Q1 Data'!$B$4:$B$207="Challan")*('Q1 Data'!$H$4:$H$207&lt;&gt;""))+SUMPRODUCT(('Q2 Data'!$D$4:$D$207=D138)*('Q2 Data'!$B$4:$B$207="Challan")*('Q2 Data'!$H$4:$H$207&lt;&gt;""))+SUMPRODUCT(('Q3 Data'!$D$4:$D$207=D138)*('Q3 Data'!$B$4:$B$207="Challan")*('Q3 Data'!$H$4:$H$207&lt;&gt;""))+SUMPRODUCT(('Q4 Data'!$D$4:$D$207=D138)*('Q4 Data'!$B$4:$B$207="Challan")*('Q4 Data'!$H$4:$H$207&lt;&gt;"")))&gt;0,(SUMPRODUCT(('Q1 Data'!$D$4:$D$207=D138)*('Q1 Data'!$B$4:$B$207="Challan")*('Q1 Data'!$H$4:$H$207=Z138))+SUMPRODUCT(('Q2 Data'!$D$4:$D$207=D138)*('Q2 Data'!$B$4:$B$207="Challan")*('Q2 Data'!$H$4:$H$207=Z138))+SUMPRODUCT(('Q3 Data'!$D$4:$D$207=D138)*('Q3 Data'!$B$4:$B$207="Challan")*('Q3 Data'!$H$4:$H$207=Z138))+SUMPRODUCT(('Q4 Data'!$D$4:$D$207=D138)*('Q4 Data'!$B$4:$B$207="Challan")*('Q4 Data'!$H$4:$H$207=Z138)))=0))</f>
      </c>
    </row>
    <row r="139" spans="1:44" x14ac:dyDescent="0.25">
      <c r="A139" s="20">
        <f>IF($B139="Entry",COUNTIF($B$4:$B139,"Entry"),"")</f>
      </c>
      <c r="B139" s="21"/>
      <c r="C139" s="22"/>
      <c r="D139" s="22"/>
      <c r="E139" s="23">
        <f>IF($B139&lt;&gt;"Challan","",IF(ROUND(AN139-AO139,2)&gt;0,"Over-applied",IF(ROUND(AN139-AO139,2)=0,"Fully Utilised","Unconsumed")))</f>
      </c>
      <c r="F139" s="24"/>
      <c r="G139" s="25"/>
      <c r="H139" s="25"/>
      <c r="I139" s="26"/>
      <c r="J139" s="26"/>
      <c r="K139" s="26"/>
      <c r="L139" s="26"/>
      <c r="M139" s="26"/>
      <c r="N139" s="26"/>
      <c r="O139" s="26"/>
      <c r="P139" s="27">
        <f>IF($B139&lt;&gt;"Challan","",I139+J139+K139+L139+M139+N139)</f>
      </c>
      <c r="Q139" s="25"/>
      <c r="R139" s="25"/>
      <c r="S139" s="25"/>
      <c r="T139" s="25"/>
      <c r="U139" s="25"/>
      <c r="V139" s="28"/>
      <c r="W139" s="28"/>
      <c r="X139" s="23">
        <f>IF($B139="Entry",IF(AND(LEN(TRIM(UPPER(W139)))=10,CODE(MID(TRIM(UPPER(W139)),1,1))&gt;=65,CODE(MID(TRIM(UPPER(W139)),1,1))&lt;=90,CODE(MID(TRIM(UPPER(W139)),2,1))&gt;=65,CODE(MID(TRIM(UPPER(W139)),2,1))&lt;=90,CODE(MID(TRIM(UPPER(W139)),3,1))&gt;=65,CODE(MID(TRIM(UPPER(W139)),3,1))&lt;=90,CODE(MID(TRIM(UPPER(W139)),4,1))&gt;=65,CODE(MID(TRIM(UPPER(W139)),4,1))&lt;=90,CODE(MID(TRIM(UPPER(W139)),5,1))&gt;=65,CODE(MID(TRIM(UPPER(W139)),5,1))&lt;=90,CODE(MID(TRIM(UPPER(W139)),10,1))&gt;=65,CODE(MID(TRIM(UPPER(W139)),10,1))&lt;=90,CODE(MID(TRIM(UPPER(W139)),6,1))&gt;=48,CODE(MID(TRIM(UPPER(W139)),6,1))&lt;=57,CODE(MID(TRIM(UPPER(W139)),7,1))&gt;=48,CODE(MID(TRIM(UPPER(W139)),7,1))&lt;=57,CODE(MID(TRIM(UPPER(W139)),8,1))&gt;=48,CODE(MID(TRIM(UPPER(W139)),8,1))&lt;=57,CODE(MID(TRIM(UPPER(W139)),9,1))&gt;=48,CODE(MID(TRIM(UPPER(W139)),9,1))&lt;=57),"N","Y"),IF($B139="Challan","",IF(W139&lt;&gt;"","◄ Set Row Type","")))</f>
      </c>
      <c r="Y139" s="23">
        <f>IF($B139="Entry",IF(LEN(W139)&lt;4,"",IF(UPPER(MID(W139,4,1))="P","Individual",IF(UPPER(MID(W139,4,1))="H","HUF",IF(UPPER(MID(W139,4,1))="C","Company",IF(UPPER(MID(W139,4,1))="F","Firm",IF(UPPER(MID(W139,4,1))="L","LLP",IF(UPPER(MID(W139,4,1))="T","Trust",IF(UPPER(MID(W139,4,1))="A","AOP","")))))))),IF($B139="Challan","",IF(W139&lt;&gt;"","◄ Set Row Type","")))</f>
      </c>
      <c r="Z139" s="28"/>
      <c r="AA139" s="29">
        <f>IF($B139&lt;&gt;"Entry","",IF(Z139="","",IF(X139="Y",SUMPRODUCT(('Rate Lookup'!$A$1:$A$37=Z139)*'Rate Lookup'!$D$1:$D$37),IF(OR(Y139="Individual",Y139="HUF"),SUMPRODUCT(('Rate Lookup'!$A$1:$A$37=Z139)*'Rate Lookup'!$B$1:$B$37),SUMPRODUCT(('Rate Lookup'!$A$1:$A$37=Z139)*'Rate Lookup'!$C$1:$C$37)))))</f>
      </c>
      <c r="AB139" s="30"/>
      <c r="AC139" s="31"/>
      <c r="AD139" s="27">
        <f>IF($B139&lt;&gt;"Entry","",ROUND(AC139*AA139/100,0))</f>
      </c>
      <c r="AE139" s="27">
        <f>IF($B139&lt;&gt;"Entry","",0)</f>
      </c>
      <c r="AF139" s="27">
        <f>IF($B139&lt;&gt;"Entry","",0)</f>
      </c>
      <c r="AG139" s="27">
        <f>IF($B139&lt;&gt;"Entry","",IF(OR(AD139=0,AB139="",AQ139="",AQ139&lt;=0),0,IF(AQ139&lt;=DATE(YEAR(AB139),MONTH(AB139)+1,7),0,ROUND(AD139*0.015*((YEAR(AQ139)-YEAR(AB139))*12+(MONTH(AQ139)-MONTH(AB139))+1),0))))</f>
      </c>
      <c r="AH139" s="27">
        <f>IF($B139&lt;&gt;"Entry","",0)</f>
      </c>
      <c r="AI139" s="28"/>
      <c r="AJ139" s="28"/>
      <c r="AK139" s="32"/>
      <c r="AL139" s="28"/>
      <c r="AM139" s="28"/>
      <c r="AN139" s="27">
        <f>IF($B139&lt;&gt;"Challan","",SUMIF('Q1 Data'!$D$4:$D$207,D139,'Q1 Data'!$AD$4:$AD$207)+SUMIF('Q1 Data'!$D$4:$D$207,D139,'Q1 Data'!$AG$4:$AG$207)+SUMIF('Q1 Data'!$D$4:$D$207,D139,'Q1 Data'!$AE$4:$AE$207)+SUMIF('Q2 Data'!$D$4:$D$207,D139,'Q2 Data'!$AD$4:$AD$207)+SUMIF('Q2 Data'!$D$4:$D$207,D139,'Q2 Data'!$AG$4:$AG$207)+SUMIF('Q2 Data'!$D$4:$D$207,D139,'Q2 Data'!$AE$4:$AE$207)+SUMIF('Q3 Data'!$D$4:$D$207,D139,'Q3 Data'!$AD$4:$AD$207)+SUMIF('Q3 Data'!$D$4:$D$207,D139,'Q3 Data'!$AG$4:$AG$207)+SUMIF('Q3 Data'!$D$4:$D$207,D139,'Q3 Data'!$AE$4:$AE$207)+SUMIF('Q4 Data'!$D$4:$D$207,D139,'Q4 Data'!$AD$4:$AD$207)+SUMIF('Q4 Data'!$D$4:$D$207,D139,'Q4 Data'!$AG$4:$AG$207)+SUMIF('Q4 Data'!$D$4:$D$207,D139,'Q4 Data'!$AE$4:$AE$207))</f>
      </c>
      <c r="AO139" s="27">
        <f>IF($B139&lt;&gt;"Challan","",P139-N139)</f>
      </c>
      <c r="AP139" s="27">
        <f>IF($B139&lt;&gt;"Challan","",MAX(0,AO139-AN139))</f>
      </c>
      <c r="AQ139" s="33">
        <f>IF($B139&lt;&gt;"Entry","",SUMPRODUCT(('Q1 Data'!$D$4:$D$207=D139)*('Q1 Data'!$B$4:$B$207="Challan")*'Q1 Data'!$F$4:$F$207)+SUMPRODUCT(('Q2 Data'!$D$4:$D$207=D139)*('Q2 Data'!$B$4:$B$207="Challan")*'Q2 Data'!$F$4:$F$207)+SUMPRODUCT(('Q3 Data'!$D$4:$D$207=D139)*('Q3 Data'!$B$4:$B$207="Challan")*'Q3 Data'!$F$4:$F$207)+SUMPRODUCT(('Q4 Data'!$D$4:$D$207=D139)*('Q4 Data'!$B$4:$B$207="Challan")*'Q4 Data'!$F$4:$F$207))</f>
      </c>
      <c r="AR139" s="34">
        <f>IF(OR($B139&lt;&gt;"Entry",Z139=""),FALSE,AND((SUMPRODUCT(('Q1 Data'!$D$4:$D$207=D139)*('Q1 Data'!$B$4:$B$207="Challan")*('Q1 Data'!$H$4:$H$207&lt;&gt;""))+SUMPRODUCT(('Q2 Data'!$D$4:$D$207=D139)*('Q2 Data'!$B$4:$B$207="Challan")*('Q2 Data'!$H$4:$H$207&lt;&gt;""))+SUMPRODUCT(('Q3 Data'!$D$4:$D$207=D139)*('Q3 Data'!$B$4:$B$207="Challan")*('Q3 Data'!$H$4:$H$207&lt;&gt;""))+SUMPRODUCT(('Q4 Data'!$D$4:$D$207=D139)*('Q4 Data'!$B$4:$B$207="Challan")*('Q4 Data'!$H$4:$H$207&lt;&gt;"")))&gt;0,(SUMPRODUCT(('Q1 Data'!$D$4:$D$207=D139)*('Q1 Data'!$B$4:$B$207="Challan")*('Q1 Data'!$H$4:$H$207=Z139))+SUMPRODUCT(('Q2 Data'!$D$4:$D$207=D139)*('Q2 Data'!$B$4:$B$207="Challan")*('Q2 Data'!$H$4:$H$207=Z139))+SUMPRODUCT(('Q3 Data'!$D$4:$D$207=D139)*('Q3 Data'!$B$4:$B$207="Challan")*('Q3 Data'!$H$4:$H$207=Z139))+SUMPRODUCT(('Q4 Data'!$D$4:$D$207=D139)*('Q4 Data'!$B$4:$B$207="Challan")*('Q4 Data'!$H$4:$H$207=Z139)))=0))</f>
      </c>
    </row>
    <row r="140" spans="1:44" x14ac:dyDescent="0.25">
      <c r="A140" s="20">
        <f>IF($B140="Entry",COUNTIF($B$4:$B140,"Entry"),"")</f>
      </c>
      <c r="B140" s="21"/>
      <c r="C140" s="22"/>
      <c r="D140" s="22"/>
      <c r="E140" s="23">
        <f>IF($B140&lt;&gt;"Challan","",IF(ROUND(AN140-AO140,2)&gt;0,"Over-applied",IF(ROUND(AN140-AO140,2)=0,"Fully Utilised","Unconsumed")))</f>
      </c>
      <c r="F140" s="24"/>
      <c r="G140" s="25"/>
      <c r="H140" s="25"/>
      <c r="I140" s="26"/>
      <c r="J140" s="26"/>
      <c r="K140" s="26"/>
      <c r="L140" s="26"/>
      <c r="M140" s="26"/>
      <c r="N140" s="26"/>
      <c r="O140" s="26"/>
      <c r="P140" s="27">
        <f>IF($B140&lt;&gt;"Challan","",I140+J140+K140+L140+M140+N140)</f>
      </c>
      <c r="Q140" s="25"/>
      <c r="R140" s="25"/>
      <c r="S140" s="25"/>
      <c r="T140" s="25"/>
      <c r="U140" s="25"/>
      <c r="V140" s="28"/>
      <c r="W140" s="28"/>
      <c r="X140" s="23">
        <f>IF($B140="Entry",IF(AND(LEN(TRIM(UPPER(W140)))=10,CODE(MID(TRIM(UPPER(W140)),1,1))&gt;=65,CODE(MID(TRIM(UPPER(W140)),1,1))&lt;=90,CODE(MID(TRIM(UPPER(W140)),2,1))&gt;=65,CODE(MID(TRIM(UPPER(W140)),2,1))&lt;=90,CODE(MID(TRIM(UPPER(W140)),3,1))&gt;=65,CODE(MID(TRIM(UPPER(W140)),3,1))&lt;=90,CODE(MID(TRIM(UPPER(W140)),4,1))&gt;=65,CODE(MID(TRIM(UPPER(W140)),4,1))&lt;=90,CODE(MID(TRIM(UPPER(W140)),5,1))&gt;=65,CODE(MID(TRIM(UPPER(W140)),5,1))&lt;=90,CODE(MID(TRIM(UPPER(W140)),10,1))&gt;=65,CODE(MID(TRIM(UPPER(W140)),10,1))&lt;=90,CODE(MID(TRIM(UPPER(W140)),6,1))&gt;=48,CODE(MID(TRIM(UPPER(W140)),6,1))&lt;=57,CODE(MID(TRIM(UPPER(W140)),7,1))&gt;=48,CODE(MID(TRIM(UPPER(W140)),7,1))&lt;=57,CODE(MID(TRIM(UPPER(W140)),8,1))&gt;=48,CODE(MID(TRIM(UPPER(W140)),8,1))&lt;=57,CODE(MID(TRIM(UPPER(W140)),9,1))&gt;=48,CODE(MID(TRIM(UPPER(W140)),9,1))&lt;=57),"N","Y"),IF($B140="Challan","",IF(W140&lt;&gt;"","◄ Set Row Type","")))</f>
      </c>
      <c r="Y140" s="23">
        <f>IF($B140="Entry",IF(LEN(W140)&lt;4,"",IF(UPPER(MID(W140,4,1))="P","Individual",IF(UPPER(MID(W140,4,1))="H","HUF",IF(UPPER(MID(W140,4,1))="C","Company",IF(UPPER(MID(W140,4,1))="F","Firm",IF(UPPER(MID(W140,4,1))="L","LLP",IF(UPPER(MID(W140,4,1))="T","Trust",IF(UPPER(MID(W140,4,1))="A","AOP","")))))))),IF($B140="Challan","",IF(W140&lt;&gt;"","◄ Set Row Type","")))</f>
      </c>
      <c r="Z140" s="28"/>
      <c r="AA140" s="29">
        <f>IF($B140&lt;&gt;"Entry","",IF(Z140="","",IF(X140="Y",SUMPRODUCT(('Rate Lookup'!$A$1:$A$37=Z140)*'Rate Lookup'!$D$1:$D$37),IF(OR(Y140="Individual",Y140="HUF"),SUMPRODUCT(('Rate Lookup'!$A$1:$A$37=Z140)*'Rate Lookup'!$B$1:$B$37),SUMPRODUCT(('Rate Lookup'!$A$1:$A$37=Z140)*'Rate Lookup'!$C$1:$C$37)))))</f>
      </c>
      <c r="AB140" s="30"/>
      <c r="AC140" s="31"/>
      <c r="AD140" s="27">
        <f>IF($B140&lt;&gt;"Entry","",ROUND(AC140*AA140/100,0))</f>
      </c>
      <c r="AE140" s="27">
        <f>IF($B140&lt;&gt;"Entry","",0)</f>
      </c>
      <c r="AF140" s="27">
        <f>IF($B140&lt;&gt;"Entry","",0)</f>
      </c>
      <c r="AG140" s="27">
        <f>IF($B140&lt;&gt;"Entry","",IF(OR(AD140=0,AB140="",AQ140="",AQ140&lt;=0),0,IF(AQ140&lt;=DATE(YEAR(AB140),MONTH(AB140)+1,7),0,ROUND(AD140*0.015*((YEAR(AQ140)-YEAR(AB140))*12+(MONTH(AQ140)-MONTH(AB140))+1),0))))</f>
      </c>
      <c r="AH140" s="27">
        <f>IF($B140&lt;&gt;"Entry","",0)</f>
      </c>
      <c r="AI140" s="28"/>
      <c r="AJ140" s="28"/>
      <c r="AK140" s="32"/>
      <c r="AL140" s="28"/>
      <c r="AM140" s="28"/>
      <c r="AN140" s="27">
        <f>IF($B140&lt;&gt;"Challan","",SUMIF('Q1 Data'!$D$4:$D$207,D140,'Q1 Data'!$AD$4:$AD$207)+SUMIF('Q1 Data'!$D$4:$D$207,D140,'Q1 Data'!$AG$4:$AG$207)+SUMIF('Q1 Data'!$D$4:$D$207,D140,'Q1 Data'!$AE$4:$AE$207)+SUMIF('Q2 Data'!$D$4:$D$207,D140,'Q2 Data'!$AD$4:$AD$207)+SUMIF('Q2 Data'!$D$4:$D$207,D140,'Q2 Data'!$AG$4:$AG$207)+SUMIF('Q2 Data'!$D$4:$D$207,D140,'Q2 Data'!$AE$4:$AE$207)+SUMIF('Q3 Data'!$D$4:$D$207,D140,'Q3 Data'!$AD$4:$AD$207)+SUMIF('Q3 Data'!$D$4:$D$207,D140,'Q3 Data'!$AG$4:$AG$207)+SUMIF('Q3 Data'!$D$4:$D$207,D140,'Q3 Data'!$AE$4:$AE$207)+SUMIF('Q4 Data'!$D$4:$D$207,D140,'Q4 Data'!$AD$4:$AD$207)+SUMIF('Q4 Data'!$D$4:$D$207,D140,'Q4 Data'!$AG$4:$AG$207)+SUMIF('Q4 Data'!$D$4:$D$207,D140,'Q4 Data'!$AE$4:$AE$207))</f>
      </c>
      <c r="AO140" s="27">
        <f>IF($B140&lt;&gt;"Challan","",P140-N140)</f>
      </c>
      <c r="AP140" s="27">
        <f>IF($B140&lt;&gt;"Challan","",MAX(0,AO140-AN140))</f>
      </c>
      <c r="AQ140" s="33">
        <f>IF($B140&lt;&gt;"Entry","",SUMPRODUCT(('Q1 Data'!$D$4:$D$207=D140)*('Q1 Data'!$B$4:$B$207="Challan")*'Q1 Data'!$F$4:$F$207)+SUMPRODUCT(('Q2 Data'!$D$4:$D$207=D140)*('Q2 Data'!$B$4:$B$207="Challan")*'Q2 Data'!$F$4:$F$207)+SUMPRODUCT(('Q3 Data'!$D$4:$D$207=D140)*('Q3 Data'!$B$4:$B$207="Challan")*'Q3 Data'!$F$4:$F$207)+SUMPRODUCT(('Q4 Data'!$D$4:$D$207=D140)*('Q4 Data'!$B$4:$B$207="Challan")*'Q4 Data'!$F$4:$F$207))</f>
      </c>
      <c r="AR140" s="34">
        <f>IF(OR($B140&lt;&gt;"Entry",Z140=""),FALSE,AND((SUMPRODUCT(('Q1 Data'!$D$4:$D$207=D140)*('Q1 Data'!$B$4:$B$207="Challan")*('Q1 Data'!$H$4:$H$207&lt;&gt;""))+SUMPRODUCT(('Q2 Data'!$D$4:$D$207=D140)*('Q2 Data'!$B$4:$B$207="Challan")*('Q2 Data'!$H$4:$H$207&lt;&gt;""))+SUMPRODUCT(('Q3 Data'!$D$4:$D$207=D140)*('Q3 Data'!$B$4:$B$207="Challan")*('Q3 Data'!$H$4:$H$207&lt;&gt;""))+SUMPRODUCT(('Q4 Data'!$D$4:$D$207=D140)*('Q4 Data'!$B$4:$B$207="Challan")*('Q4 Data'!$H$4:$H$207&lt;&gt;"")))&gt;0,(SUMPRODUCT(('Q1 Data'!$D$4:$D$207=D140)*('Q1 Data'!$B$4:$B$207="Challan")*('Q1 Data'!$H$4:$H$207=Z140))+SUMPRODUCT(('Q2 Data'!$D$4:$D$207=D140)*('Q2 Data'!$B$4:$B$207="Challan")*('Q2 Data'!$H$4:$H$207=Z140))+SUMPRODUCT(('Q3 Data'!$D$4:$D$207=D140)*('Q3 Data'!$B$4:$B$207="Challan")*('Q3 Data'!$H$4:$H$207=Z140))+SUMPRODUCT(('Q4 Data'!$D$4:$D$207=D140)*('Q4 Data'!$B$4:$B$207="Challan")*('Q4 Data'!$H$4:$H$207=Z140)))=0))</f>
      </c>
    </row>
    <row r="141" spans="1:44" x14ac:dyDescent="0.25">
      <c r="A141" s="20">
        <f>IF($B141="Entry",COUNTIF($B$4:$B141,"Entry"),"")</f>
      </c>
      <c r="B141" s="21"/>
      <c r="C141" s="22"/>
      <c r="D141" s="22"/>
      <c r="E141" s="23">
        <f>IF($B141&lt;&gt;"Challan","",IF(ROUND(AN141-AO141,2)&gt;0,"Over-applied",IF(ROUND(AN141-AO141,2)=0,"Fully Utilised","Unconsumed")))</f>
      </c>
      <c r="F141" s="24"/>
      <c r="G141" s="25"/>
      <c r="H141" s="25"/>
      <c r="I141" s="26"/>
      <c r="J141" s="26"/>
      <c r="K141" s="26"/>
      <c r="L141" s="26"/>
      <c r="M141" s="26"/>
      <c r="N141" s="26"/>
      <c r="O141" s="26"/>
      <c r="P141" s="27">
        <f>IF($B141&lt;&gt;"Challan","",I141+J141+K141+L141+M141+N141)</f>
      </c>
      <c r="Q141" s="25"/>
      <c r="R141" s="25"/>
      <c r="S141" s="25"/>
      <c r="T141" s="25"/>
      <c r="U141" s="25"/>
      <c r="V141" s="28"/>
      <c r="W141" s="28"/>
      <c r="X141" s="23">
        <f>IF($B141="Entry",IF(AND(LEN(TRIM(UPPER(W141)))=10,CODE(MID(TRIM(UPPER(W141)),1,1))&gt;=65,CODE(MID(TRIM(UPPER(W141)),1,1))&lt;=90,CODE(MID(TRIM(UPPER(W141)),2,1))&gt;=65,CODE(MID(TRIM(UPPER(W141)),2,1))&lt;=90,CODE(MID(TRIM(UPPER(W141)),3,1))&gt;=65,CODE(MID(TRIM(UPPER(W141)),3,1))&lt;=90,CODE(MID(TRIM(UPPER(W141)),4,1))&gt;=65,CODE(MID(TRIM(UPPER(W141)),4,1))&lt;=90,CODE(MID(TRIM(UPPER(W141)),5,1))&gt;=65,CODE(MID(TRIM(UPPER(W141)),5,1))&lt;=90,CODE(MID(TRIM(UPPER(W141)),10,1))&gt;=65,CODE(MID(TRIM(UPPER(W141)),10,1))&lt;=90,CODE(MID(TRIM(UPPER(W141)),6,1))&gt;=48,CODE(MID(TRIM(UPPER(W141)),6,1))&lt;=57,CODE(MID(TRIM(UPPER(W141)),7,1))&gt;=48,CODE(MID(TRIM(UPPER(W141)),7,1))&lt;=57,CODE(MID(TRIM(UPPER(W141)),8,1))&gt;=48,CODE(MID(TRIM(UPPER(W141)),8,1))&lt;=57,CODE(MID(TRIM(UPPER(W141)),9,1))&gt;=48,CODE(MID(TRIM(UPPER(W141)),9,1))&lt;=57),"N","Y"),IF($B141="Challan","",IF(W141&lt;&gt;"","◄ Set Row Type","")))</f>
      </c>
      <c r="Y141" s="23">
        <f>IF($B141="Entry",IF(LEN(W141)&lt;4,"",IF(UPPER(MID(W141,4,1))="P","Individual",IF(UPPER(MID(W141,4,1))="H","HUF",IF(UPPER(MID(W141,4,1))="C","Company",IF(UPPER(MID(W141,4,1))="F","Firm",IF(UPPER(MID(W141,4,1))="L","LLP",IF(UPPER(MID(W141,4,1))="T","Trust",IF(UPPER(MID(W141,4,1))="A","AOP","")))))))),IF($B141="Challan","",IF(W141&lt;&gt;"","◄ Set Row Type","")))</f>
      </c>
      <c r="Z141" s="28"/>
      <c r="AA141" s="29">
        <f>IF($B141&lt;&gt;"Entry","",IF(Z141="","",IF(X141="Y",SUMPRODUCT(('Rate Lookup'!$A$1:$A$37=Z141)*'Rate Lookup'!$D$1:$D$37),IF(OR(Y141="Individual",Y141="HUF"),SUMPRODUCT(('Rate Lookup'!$A$1:$A$37=Z141)*'Rate Lookup'!$B$1:$B$37),SUMPRODUCT(('Rate Lookup'!$A$1:$A$37=Z141)*'Rate Lookup'!$C$1:$C$37)))))</f>
      </c>
      <c r="AB141" s="30"/>
      <c r="AC141" s="31"/>
      <c r="AD141" s="27">
        <f>IF($B141&lt;&gt;"Entry","",ROUND(AC141*AA141/100,0))</f>
      </c>
      <c r="AE141" s="27">
        <f>IF($B141&lt;&gt;"Entry","",0)</f>
      </c>
      <c r="AF141" s="27">
        <f>IF($B141&lt;&gt;"Entry","",0)</f>
      </c>
      <c r="AG141" s="27">
        <f>IF($B141&lt;&gt;"Entry","",IF(OR(AD141=0,AB141="",AQ141="",AQ141&lt;=0),0,IF(AQ141&lt;=DATE(YEAR(AB141),MONTH(AB141)+1,7),0,ROUND(AD141*0.015*((YEAR(AQ141)-YEAR(AB141))*12+(MONTH(AQ141)-MONTH(AB141))+1),0))))</f>
      </c>
      <c r="AH141" s="27">
        <f>IF($B141&lt;&gt;"Entry","",0)</f>
      </c>
      <c r="AI141" s="28"/>
      <c r="AJ141" s="28"/>
      <c r="AK141" s="32"/>
      <c r="AL141" s="28"/>
      <c r="AM141" s="28"/>
      <c r="AN141" s="27">
        <f>IF($B141&lt;&gt;"Challan","",SUMIF('Q1 Data'!$D$4:$D$207,D141,'Q1 Data'!$AD$4:$AD$207)+SUMIF('Q1 Data'!$D$4:$D$207,D141,'Q1 Data'!$AG$4:$AG$207)+SUMIF('Q1 Data'!$D$4:$D$207,D141,'Q1 Data'!$AE$4:$AE$207)+SUMIF('Q2 Data'!$D$4:$D$207,D141,'Q2 Data'!$AD$4:$AD$207)+SUMIF('Q2 Data'!$D$4:$D$207,D141,'Q2 Data'!$AG$4:$AG$207)+SUMIF('Q2 Data'!$D$4:$D$207,D141,'Q2 Data'!$AE$4:$AE$207)+SUMIF('Q3 Data'!$D$4:$D$207,D141,'Q3 Data'!$AD$4:$AD$207)+SUMIF('Q3 Data'!$D$4:$D$207,D141,'Q3 Data'!$AG$4:$AG$207)+SUMIF('Q3 Data'!$D$4:$D$207,D141,'Q3 Data'!$AE$4:$AE$207)+SUMIF('Q4 Data'!$D$4:$D$207,D141,'Q4 Data'!$AD$4:$AD$207)+SUMIF('Q4 Data'!$D$4:$D$207,D141,'Q4 Data'!$AG$4:$AG$207)+SUMIF('Q4 Data'!$D$4:$D$207,D141,'Q4 Data'!$AE$4:$AE$207))</f>
      </c>
      <c r="AO141" s="27">
        <f>IF($B141&lt;&gt;"Challan","",P141-N141)</f>
      </c>
      <c r="AP141" s="27">
        <f>IF($B141&lt;&gt;"Challan","",MAX(0,AO141-AN141))</f>
      </c>
      <c r="AQ141" s="33">
        <f>IF($B141&lt;&gt;"Entry","",SUMPRODUCT(('Q1 Data'!$D$4:$D$207=D141)*('Q1 Data'!$B$4:$B$207="Challan")*'Q1 Data'!$F$4:$F$207)+SUMPRODUCT(('Q2 Data'!$D$4:$D$207=D141)*('Q2 Data'!$B$4:$B$207="Challan")*'Q2 Data'!$F$4:$F$207)+SUMPRODUCT(('Q3 Data'!$D$4:$D$207=D141)*('Q3 Data'!$B$4:$B$207="Challan")*'Q3 Data'!$F$4:$F$207)+SUMPRODUCT(('Q4 Data'!$D$4:$D$207=D141)*('Q4 Data'!$B$4:$B$207="Challan")*'Q4 Data'!$F$4:$F$207))</f>
      </c>
      <c r="AR141" s="34">
        <f>IF(OR($B141&lt;&gt;"Entry",Z141=""),FALSE,AND((SUMPRODUCT(('Q1 Data'!$D$4:$D$207=D141)*('Q1 Data'!$B$4:$B$207="Challan")*('Q1 Data'!$H$4:$H$207&lt;&gt;""))+SUMPRODUCT(('Q2 Data'!$D$4:$D$207=D141)*('Q2 Data'!$B$4:$B$207="Challan")*('Q2 Data'!$H$4:$H$207&lt;&gt;""))+SUMPRODUCT(('Q3 Data'!$D$4:$D$207=D141)*('Q3 Data'!$B$4:$B$207="Challan")*('Q3 Data'!$H$4:$H$207&lt;&gt;""))+SUMPRODUCT(('Q4 Data'!$D$4:$D$207=D141)*('Q4 Data'!$B$4:$B$207="Challan")*('Q4 Data'!$H$4:$H$207&lt;&gt;"")))&gt;0,(SUMPRODUCT(('Q1 Data'!$D$4:$D$207=D141)*('Q1 Data'!$B$4:$B$207="Challan")*('Q1 Data'!$H$4:$H$207=Z141))+SUMPRODUCT(('Q2 Data'!$D$4:$D$207=D141)*('Q2 Data'!$B$4:$B$207="Challan")*('Q2 Data'!$H$4:$H$207=Z141))+SUMPRODUCT(('Q3 Data'!$D$4:$D$207=D141)*('Q3 Data'!$B$4:$B$207="Challan")*('Q3 Data'!$H$4:$H$207=Z141))+SUMPRODUCT(('Q4 Data'!$D$4:$D$207=D141)*('Q4 Data'!$B$4:$B$207="Challan")*('Q4 Data'!$H$4:$H$207=Z141)))=0))</f>
      </c>
    </row>
    <row r="142" spans="1:44" x14ac:dyDescent="0.25">
      <c r="A142" s="20">
        <f>IF($B142="Entry",COUNTIF($B$4:$B142,"Entry"),"")</f>
      </c>
      <c r="B142" s="21"/>
      <c r="C142" s="22"/>
      <c r="D142" s="22"/>
      <c r="E142" s="23">
        <f>IF($B142&lt;&gt;"Challan","",IF(ROUND(AN142-AO142,2)&gt;0,"Over-applied",IF(ROUND(AN142-AO142,2)=0,"Fully Utilised","Unconsumed")))</f>
      </c>
      <c r="F142" s="24"/>
      <c r="G142" s="25"/>
      <c r="H142" s="25"/>
      <c r="I142" s="26"/>
      <c r="J142" s="26"/>
      <c r="K142" s="26"/>
      <c r="L142" s="26"/>
      <c r="M142" s="26"/>
      <c r="N142" s="26"/>
      <c r="O142" s="26"/>
      <c r="P142" s="27">
        <f>IF($B142&lt;&gt;"Challan","",I142+J142+K142+L142+M142+N142)</f>
      </c>
      <c r="Q142" s="25"/>
      <c r="R142" s="25"/>
      <c r="S142" s="25"/>
      <c r="T142" s="25"/>
      <c r="U142" s="25"/>
      <c r="V142" s="28"/>
      <c r="W142" s="28"/>
      <c r="X142" s="23">
        <f>IF($B142="Entry",IF(AND(LEN(TRIM(UPPER(W142)))=10,CODE(MID(TRIM(UPPER(W142)),1,1))&gt;=65,CODE(MID(TRIM(UPPER(W142)),1,1))&lt;=90,CODE(MID(TRIM(UPPER(W142)),2,1))&gt;=65,CODE(MID(TRIM(UPPER(W142)),2,1))&lt;=90,CODE(MID(TRIM(UPPER(W142)),3,1))&gt;=65,CODE(MID(TRIM(UPPER(W142)),3,1))&lt;=90,CODE(MID(TRIM(UPPER(W142)),4,1))&gt;=65,CODE(MID(TRIM(UPPER(W142)),4,1))&lt;=90,CODE(MID(TRIM(UPPER(W142)),5,1))&gt;=65,CODE(MID(TRIM(UPPER(W142)),5,1))&lt;=90,CODE(MID(TRIM(UPPER(W142)),10,1))&gt;=65,CODE(MID(TRIM(UPPER(W142)),10,1))&lt;=90,CODE(MID(TRIM(UPPER(W142)),6,1))&gt;=48,CODE(MID(TRIM(UPPER(W142)),6,1))&lt;=57,CODE(MID(TRIM(UPPER(W142)),7,1))&gt;=48,CODE(MID(TRIM(UPPER(W142)),7,1))&lt;=57,CODE(MID(TRIM(UPPER(W142)),8,1))&gt;=48,CODE(MID(TRIM(UPPER(W142)),8,1))&lt;=57,CODE(MID(TRIM(UPPER(W142)),9,1))&gt;=48,CODE(MID(TRIM(UPPER(W142)),9,1))&lt;=57),"N","Y"),IF($B142="Challan","",IF(W142&lt;&gt;"","◄ Set Row Type","")))</f>
      </c>
      <c r="Y142" s="23">
        <f>IF($B142="Entry",IF(LEN(W142)&lt;4,"",IF(UPPER(MID(W142,4,1))="P","Individual",IF(UPPER(MID(W142,4,1))="H","HUF",IF(UPPER(MID(W142,4,1))="C","Company",IF(UPPER(MID(W142,4,1))="F","Firm",IF(UPPER(MID(W142,4,1))="L","LLP",IF(UPPER(MID(W142,4,1))="T","Trust",IF(UPPER(MID(W142,4,1))="A","AOP","")))))))),IF($B142="Challan","",IF(W142&lt;&gt;"","◄ Set Row Type","")))</f>
      </c>
      <c r="Z142" s="28"/>
      <c r="AA142" s="29">
        <f>IF($B142&lt;&gt;"Entry","",IF(Z142="","",IF(X142="Y",SUMPRODUCT(('Rate Lookup'!$A$1:$A$37=Z142)*'Rate Lookup'!$D$1:$D$37),IF(OR(Y142="Individual",Y142="HUF"),SUMPRODUCT(('Rate Lookup'!$A$1:$A$37=Z142)*'Rate Lookup'!$B$1:$B$37),SUMPRODUCT(('Rate Lookup'!$A$1:$A$37=Z142)*'Rate Lookup'!$C$1:$C$37)))))</f>
      </c>
      <c r="AB142" s="30"/>
      <c r="AC142" s="31"/>
      <c r="AD142" s="27">
        <f>IF($B142&lt;&gt;"Entry","",ROUND(AC142*AA142/100,0))</f>
      </c>
      <c r="AE142" s="27">
        <f>IF($B142&lt;&gt;"Entry","",0)</f>
      </c>
      <c r="AF142" s="27">
        <f>IF($B142&lt;&gt;"Entry","",0)</f>
      </c>
      <c r="AG142" s="27">
        <f>IF($B142&lt;&gt;"Entry","",IF(OR(AD142=0,AB142="",AQ142="",AQ142&lt;=0),0,IF(AQ142&lt;=DATE(YEAR(AB142),MONTH(AB142)+1,7),0,ROUND(AD142*0.015*((YEAR(AQ142)-YEAR(AB142))*12+(MONTH(AQ142)-MONTH(AB142))+1),0))))</f>
      </c>
      <c r="AH142" s="27">
        <f>IF($B142&lt;&gt;"Entry","",0)</f>
      </c>
      <c r="AI142" s="28"/>
      <c r="AJ142" s="28"/>
      <c r="AK142" s="32"/>
      <c r="AL142" s="28"/>
      <c r="AM142" s="28"/>
      <c r="AN142" s="27">
        <f>IF($B142&lt;&gt;"Challan","",SUMIF('Q1 Data'!$D$4:$D$207,D142,'Q1 Data'!$AD$4:$AD$207)+SUMIF('Q1 Data'!$D$4:$D$207,D142,'Q1 Data'!$AG$4:$AG$207)+SUMIF('Q1 Data'!$D$4:$D$207,D142,'Q1 Data'!$AE$4:$AE$207)+SUMIF('Q2 Data'!$D$4:$D$207,D142,'Q2 Data'!$AD$4:$AD$207)+SUMIF('Q2 Data'!$D$4:$D$207,D142,'Q2 Data'!$AG$4:$AG$207)+SUMIF('Q2 Data'!$D$4:$D$207,D142,'Q2 Data'!$AE$4:$AE$207)+SUMIF('Q3 Data'!$D$4:$D$207,D142,'Q3 Data'!$AD$4:$AD$207)+SUMIF('Q3 Data'!$D$4:$D$207,D142,'Q3 Data'!$AG$4:$AG$207)+SUMIF('Q3 Data'!$D$4:$D$207,D142,'Q3 Data'!$AE$4:$AE$207)+SUMIF('Q4 Data'!$D$4:$D$207,D142,'Q4 Data'!$AD$4:$AD$207)+SUMIF('Q4 Data'!$D$4:$D$207,D142,'Q4 Data'!$AG$4:$AG$207)+SUMIF('Q4 Data'!$D$4:$D$207,D142,'Q4 Data'!$AE$4:$AE$207))</f>
      </c>
      <c r="AO142" s="27">
        <f>IF($B142&lt;&gt;"Challan","",P142-N142)</f>
      </c>
      <c r="AP142" s="27">
        <f>IF($B142&lt;&gt;"Challan","",MAX(0,AO142-AN142))</f>
      </c>
      <c r="AQ142" s="33">
        <f>IF($B142&lt;&gt;"Entry","",SUMPRODUCT(('Q1 Data'!$D$4:$D$207=D142)*('Q1 Data'!$B$4:$B$207="Challan")*'Q1 Data'!$F$4:$F$207)+SUMPRODUCT(('Q2 Data'!$D$4:$D$207=D142)*('Q2 Data'!$B$4:$B$207="Challan")*'Q2 Data'!$F$4:$F$207)+SUMPRODUCT(('Q3 Data'!$D$4:$D$207=D142)*('Q3 Data'!$B$4:$B$207="Challan")*'Q3 Data'!$F$4:$F$207)+SUMPRODUCT(('Q4 Data'!$D$4:$D$207=D142)*('Q4 Data'!$B$4:$B$207="Challan")*'Q4 Data'!$F$4:$F$207))</f>
      </c>
      <c r="AR142" s="34">
        <f>IF(OR($B142&lt;&gt;"Entry",Z142=""),FALSE,AND((SUMPRODUCT(('Q1 Data'!$D$4:$D$207=D142)*('Q1 Data'!$B$4:$B$207="Challan")*('Q1 Data'!$H$4:$H$207&lt;&gt;""))+SUMPRODUCT(('Q2 Data'!$D$4:$D$207=D142)*('Q2 Data'!$B$4:$B$207="Challan")*('Q2 Data'!$H$4:$H$207&lt;&gt;""))+SUMPRODUCT(('Q3 Data'!$D$4:$D$207=D142)*('Q3 Data'!$B$4:$B$207="Challan")*('Q3 Data'!$H$4:$H$207&lt;&gt;""))+SUMPRODUCT(('Q4 Data'!$D$4:$D$207=D142)*('Q4 Data'!$B$4:$B$207="Challan")*('Q4 Data'!$H$4:$H$207&lt;&gt;"")))&gt;0,(SUMPRODUCT(('Q1 Data'!$D$4:$D$207=D142)*('Q1 Data'!$B$4:$B$207="Challan")*('Q1 Data'!$H$4:$H$207=Z142))+SUMPRODUCT(('Q2 Data'!$D$4:$D$207=D142)*('Q2 Data'!$B$4:$B$207="Challan")*('Q2 Data'!$H$4:$H$207=Z142))+SUMPRODUCT(('Q3 Data'!$D$4:$D$207=D142)*('Q3 Data'!$B$4:$B$207="Challan")*('Q3 Data'!$H$4:$H$207=Z142))+SUMPRODUCT(('Q4 Data'!$D$4:$D$207=D142)*('Q4 Data'!$B$4:$B$207="Challan")*('Q4 Data'!$H$4:$H$207=Z142)))=0))</f>
      </c>
    </row>
    <row r="143" spans="1:44" x14ac:dyDescent="0.25">
      <c r="A143" s="20">
        <f>IF($B143="Entry",COUNTIF($B$4:$B143,"Entry"),"")</f>
      </c>
      <c r="B143" s="21"/>
      <c r="C143" s="22"/>
      <c r="D143" s="22"/>
      <c r="E143" s="23">
        <f>IF($B143&lt;&gt;"Challan","",IF(ROUND(AN143-AO143,2)&gt;0,"Over-applied",IF(ROUND(AN143-AO143,2)=0,"Fully Utilised","Unconsumed")))</f>
      </c>
      <c r="F143" s="24"/>
      <c r="G143" s="25"/>
      <c r="H143" s="25"/>
      <c r="I143" s="26"/>
      <c r="J143" s="26"/>
      <c r="K143" s="26"/>
      <c r="L143" s="26"/>
      <c r="M143" s="26"/>
      <c r="N143" s="26"/>
      <c r="O143" s="26"/>
      <c r="P143" s="27">
        <f>IF($B143&lt;&gt;"Challan","",I143+J143+K143+L143+M143+N143)</f>
      </c>
      <c r="Q143" s="25"/>
      <c r="R143" s="25"/>
      <c r="S143" s="25"/>
      <c r="T143" s="25"/>
      <c r="U143" s="25"/>
      <c r="V143" s="28"/>
      <c r="W143" s="28"/>
      <c r="X143" s="23">
        <f>IF($B143="Entry",IF(AND(LEN(TRIM(UPPER(W143)))=10,CODE(MID(TRIM(UPPER(W143)),1,1))&gt;=65,CODE(MID(TRIM(UPPER(W143)),1,1))&lt;=90,CODE(MID(TRIM(UPPER(W143)),2,1))&gt;=65,CODE(MID(TRIM(UPPER(W143)),2,1))&lt;=90,CODE(MID(TRIM(UPPER(W143)),3,1))&gt;=65,CODE(MID(TRIM(UPPER(W143)),3,1))&lt;=90,CODE(MID(TRIM(UPPER(W143)),4,1))&gt;=65,CODE(MID(TRIM(UPPER(W143)),4,1))&lt;=90,CODE(MID(TRIM(UPPER(W143)),5,1))&gt;=65,CODE(MID(TRIM(UPPER(W143)),5,1))&lt;=90,CODE(MID(TRIM(UPPER(W143)),10,1))&gt;=65,CODE(MID(TRIM(UPPER(W143)),10,1))&lt;=90,CODE(MID(TRIM(UPPER(W143)),6,1))&gt;=48,CODE(MID(TRIM(UPPER(W143)),6,1))&lt;=57,CODE(MID(TRIM(UPPER(W143)),7,1))&gt;=48,CODE(MID(TRIM(UPPER(W143)),7,1))&lt;=57,CODE(MID(TRIM(UPPER(W143)),8,1))&gt;=48,CODE(MID(TRIM(UPPER(W143)),8,1))&lt;=57,CODE(MID(TRIM(UPPER(W143)),9,1))&gt;=48,CODE(MID(TRIM(UPPER(W143)),9,1))&lt;=57),"N","Y"),IF($B143="Challan","",IF(W143&lt;&gt;"","◄ Set Row Type","")))</f>
      </c>
      <c r="Y143" s="23">
        <f>IF($B143="Entry",IF(LEN(W143)&lt;4,"",IF(UPPER(MID(W143,4,1))="P","Individual",IF(UPPER(MID(W143,4,1))="H","HUF",IF(UPPER(MID(W143,4,1))="C","Company",IF(UPPER(MID(W143,4,1))="F","Firm",IF(UPPER(MID(W143,4,1))="L","LLP",IF(UPPER(MID(W143,4,1))="T","Trust",IF(UPPER(MID(W143,4,1))="A","AOP","")))))))),IF($B143="Challan","",IF(W143&lt;&gt;"","◄ Set Row Type","")))</f>
      </c>
      <c r="Z143" s="28"/>
      <c r="AA143" s="29">
        <f>IF($B143&lt;&gt;"Entry","",IF(Z143="","",IF(X143="Y",SUMPRODUCT(('Rate Lookup'!$A$1:$A$37=Z143)*'Rate Lookup'!$D$1:$D$37),IF(OR(Y143="Individual",Y143="HUF"),SUMPRODUCT(('Rate Lookup'!$A$1:$A$37=Z143)*'Rate Lookup'!$B$1:$B$37),SUMPRODUCT(('Rate Lookup'!$A$1:$A$37=Z143)*'Rate Lookup'!$C$1:$C$37)))))</f>
      </c>
      <c r="AB143" s="30"/>
      <c r="AC143" s="31"/>
      <c r="AD143" s="27">
        <f>IF($B143&lt;&gt;"Entry","",ROUND(AC143*AA143/100,0))</f>
      </c>
      <c r="AE143" s="27">
        <f>IF($B143&lt;&gt;"Entry","",0)</f>
      </c>
      <c r="AF143" s="27">
        <f>IF($B143&lt;&gt;"Entry","",0)</f>
      </c>
      <c r="AG143" s="27">
        <f>IF($B143&lt;&gt;"Entry","",IF(OR(AD143=0,AB143="",AQ143="",AQ143&lt;=0),0,IF(AQ143&lt;=DATE(YEAR(AB143),MONTH(AB143)+1,7),0,ROUND(AD143*0.015*((YEAR(AQ143)-YEAR(AB143))*12+(MONTH(AQ143)-MONTH(AB143))+1),0))))</f>
      </c>
      <c r="AH143" s="27">
        <f>IF($B143&lt;&gt;"Entry","",0)</f>
      </c>
      <c r="AI143" s="28"/>
      <c r="AJ143" s="28"/>
      <c r="AK143" s="32"/>
      <c r="AL143" s="28"/>
      <c r="AM143" s="28"/>
      <c r="AN143" s="27">
        <f>IF($B143&lt;&gt;"Challan","",SUMIF('Q1 Data'!$D$4:$D$207,D143,'Q1 Data'!$AD$4:$AD$207)+SUMIF('Q1 Data'!$D$4:$D$207,D143,'Q1 Data'!$AG$4:$AG$207)+SUMIF('Q1 Data'!$D$4:$D$207,D143,'Q1 Data'!$AE$4:$AE$207)+SUMIF('Q2 Data'!$D$4:$D$207,D143,'Q2 Data'!$AD$4:$AD$207)+SUMIF('Q2 Data'!$D$4:$D$207,D143,'Q2 Data'!$AG$4:$AG$207)+SUMIF('Q2 Data'!$D$4:$D$207,D143,'Q2 Data'!$AE$4:$AE$207)+SUMIF('Q3 Data'!$D$4:$D$207,D143,'Q3 Data'!$AD$4:$AD$207)+SUMIF('Q3 Data'!$D$4:$D$207,D143,'Q3 Data'!$AG$4:$AG$207)+SUMIF('Q3 Data'!$D$4:$D$207,D143,'Q3 Data'!$AE$4:$AE$207)+SUMIF('Q4 Data'!$D$4:$D$207,D143,'Q4 Data'!$AD$4:$AD$207)+SUMIF('Q4 Data'!$D$4:$D$207,D143,'Q4 Data'!$AG$4:$AG$207)+SUMIF('Q4 Data'!$D$4:$D$207,D143,'Q4 Data'!$AE$4:$AE$207))</f>
      </c>
      <c r="AO143" s="27">
        <f>IF($B143&lt;&gt;"Challan","",P143-N143)</f>
      </c>
      <c r="AP143" s="27">
        <f>IF($B143&lt;&gt;"Challan","",MAX(0,AO143-AN143))</f>
      </c>
      <c r="AQ143" s="33">
        <f>IF($B143&lt;&gt;"Entry","",SUMPRODUCT(('Q1 Data'!$D$4:$D$207=D143)*('Q1 Data'!$B$4:$B$207="Challan")*'Q1 Data'!$F$4:$F$207)+SUMPRODUCT(('Q2 Data'!$D$4:$D$207=D143)*('Q2 Data'!$B$4:$B$207="Challan")*'Q2 Data'!$F$4:$F$207)+SUMPRODUCT(('Q3 Data'!$D$4:$D$207=D143)*('Q3 Data'!$B$4:$B$207="Challan")*'Q3 Data'!$F$4:$F$207)+SUMPRODUCT(('Q4 Data'!$D$4:$D$207=D143)*('Q4 Data'!$B$4:$B$207="Challan")*'Q4 Data'!$F$4:$F$207))</f>
      </c>
      <c r="AR143" s="34">
        <f>IF(OR($B143&lt;&gt;"Entry",Z143=""),FALSE,AND((SUMPRODUCT(('Q1 Data'!$D$4:$D$207=D143)*('Q1 Data'!$B$4:$B$207="Challan")*('Q1 Data'!$H$4:$H$207&lt;&gt;""))+SUMPRODUCT(('Q2 Data'!$D$4:$D$207=D143)*('Q2 Data'!$B$4:$B$207="Challan")*('Q2 Data'!$H$4:$H$207&lt;&gt;""))+SUMPRODUCT(('Q3 Data'!$D$4:$D$207=D143)*('Q3 Data'!$B$4:$B$207="Challan")*('Q3 Data'!$H$4:$H$207&lt;&gt;""))+SUMPRODUCT(('Q4 Data'!$D$4:$D$207=D143)*('Q4 Data'!$B$4:$B$207="Challan")*('Q4 Data'!$H$4:$H$207&lt;&gt;"")))&gt;0,(SUMPRODUCT(('Q1 Data'!$D$4:$D$207=D143)*('Q1 Data'!$B$4:$B$207="Challan")*('Q1 Data'!$H$4:$H$207=Z143))+SUMPRODUCT(('Q2 Data'!$D$4:$D$207=D143)*('Q2 Data'!$B$4:$B$207="Challan")*('Q2 Data'!$H$4:$H$207=Z143))+SUMPRODUCT(('Q3 Data'!$D$4:$D$207=D143)*('Q3 Data'!$B$4:$B$207="Challan")*('Q3 Data'!$H$4:$H$207=Z143))+SUMPRODUCT(('Q4 Data'!$D$4:$D$207=D143)*('Q4 Data'!$B$4:$B$207="Challan")*('Q4 Data'!$H$4:$H$207=Z143)))=0))</f>
      </c>
    </row>
    <row r="144" spans="1:44" x14ac:dyDescent="0.25">
      <c r="A144" s="20">
        <f>IF($B144="Entry",COUNTIF($B$4:$B144,"Entry"),"")</f>
      </c>
      <c r="B144" s="21"/>
      <c r="C144" s="22"/>
      <c r="D144" s="22"/>
      <c r="E144" s="23">
        <f>IF($B144&lt;&gt;"Challan","",IF(ROUND(AN144-AO144,2)&gt;0,"Over-applied",IF(ROUND(AN144-AO144,2)=0,"Fully Utilised","Unconsumed")))</f>
      </c>
      <c r="F144" s="24"/>
      <c r="G144" s="25"/>
      <c r="H144" s="25"/>
      <c r="I144" s="26"/>
      <c r="J144" s="26"/>
      <c r="K144" s="26"/>
      <c r="L144" s="26"/>
      <c r="M144" s="26"/>
      <c r="N144" s="26"/>
      <c r="O144" s="26"/>
      <c r="P144" s="27">
        <f>IF($B144&lt;&gt;"Challan","",I144+J144+K144+L144+M144+N144)</f>
      </c>
      <c r="Q144" s="25"/>
      <c r="R144" s="25"/>
      <c r="S144" s="25"/>
      <c r="T144" s="25"/>
      <c r="U144" s="25"/>
      <c r="V144" s="28"/>
      <c r="W144" s="28"/>
      <c r="X144" s="23">
        <f>IF($B144="Entry",IF(AND(LEN(TRIM(UPPER(W144)))=10,CODE(MID(TRIM(UPPER(W144)),1,1))&gt;=65,CODE(MID(TRIM(UPPER(W144)),1,1))&lt;=90,CODE(MID(TRIM(UPPER(W144)),2,1))&gt;=65,CODE(MID(TRIM(UPPER(W144)),2,1))&lt;=90,CODE(MID(TRIM(UPPER(W144)),3,1))&gt;=65,CODE(MID(TRIM(UPPER(W144)),3,1))&lt;=90,CODE(MID(TRIM(UPPER(W144)),4,1))&gt;=65,CODE(MID(TRIM(UPPER(W144)),4,1))&lt;=90,CODE(MID(TRIM(UPPER(W144)),5,1))&gt;=65,CODE(MID(TRIM(UPPER(W144)),5,1))&lt;=90,CODE(MID(TRIM(UPPER(W144)),10,1))&gt;=65,CODE(MID(TRIM(UPPER(W144)),10,1))&lt;=90,CODE(MID(TRIM(UPPER(W144)),6,1))&gt;=48,CODE(MID(TRIM(UPPER(W144)),6,1))&lt;=57,CODE(MID(TRIM(UPPER(W144)),7,1))&gt;=48,CODE(MID(TRIM(UPPER(W144)),7,1))&lt;=57,CODE(MID(TRIM(UPPER(W144)),8,1))&gt;=48,CODE(MID(TRIM(UPPER(W144)),8,1))&lt;=57,CODE(MID(TRIM(UPPER(W144)),9,1))&gt;=48,CODE(MID(TRIM(UPPER(W144)),9,1))&lt;=57),"N","Y"),IF($B144="Challan","",IF(W144&lt;&gt;"","◄ Set Row Type","")))</f>
      </c>
      <c r="Y144" s="23">
        <f>IF($B144="Entry",IF(LEN(W144)&lt;4,"",IF(UPPER(MID(W144,4,1))="P","Individual",IF(UPPER(MID(W144,4,1))="H","HUF",IF(UPPER(MID(W144,4,1))="C","Company",IF(UPPER(MID(W144,4,1))="F","Firm",IF(UPPER(MID(W144,4,1))="L","LLP",IF(UPPER(MID(W144,4,1))="T","Trust",IF(UPPER(MID(W144,4,1))="A","AOP","")))))))),IF($B144="Challan","",IF(W144&lt;&gt;"","◄ Set Row Type","")))</f>
      </c>
      <c r="Z144" s="28"/>
      <c r="AA144" s="29">
        <f>IF($B144&lt;&gt;"Entry","",IF(Z144="","",IF(X144="Y",SUMPRODUCT(('Rate Lookup'!$A$1:$A$37=Z144)*'Rate Lookup'!$D$1:$D$37),IF(OR(Y144="Individual",Y144="HUF"),SUMPRODUCT(('Rate Lookup'!$A$1:$A$37=Z144)*'Rate Lookup'!$B$1:$B$37),SUMPRODUCT(('Rate Lookup'!$A$1:$A$37=Z144)*'Rate Lookup'!$C$1:$C$37)))))</f>
      </c>
      <c r="AB144" s="30"/>
      <c r="AC144" s="31"/>
      <c r="AD144" s="27">
        <f>IF($B144&lt;&gt;"Entry","",ROUND(AC144*AA144/100,0))</f>
      </c>
      <c r="AE144" s="27">
        <f>IF($B144&lt;&gt;"Entry","",0)</f>
      </c>
      <c r="AF144" s="27">
        <f>IF($B144&lt;&gt;"Entry","",0)</f>
      </c>
      <c r="AG144" s="27">
        <f>IF($B144&lt;&gt;"Entry","",IF(OR(AD144=0,AB144="",AQ144="",AQ144&lt;=0),0,IF(AQ144&lt;=DATE(YEAR(AB144),MONTH(AB144)+1,7),0,ROUND(AD144*0.015*((YEAR(AQ144)-YEAR(AB144))*12+(MONTH(AQ144)-MONTH(AB144))+1),0))))</f>
      </c>
      <c r="AH144" s="27">
        <f>IF($B144&lt;&gt;"Entry","",0)</f>
      </c>
      <c r="AI144" s="28"/>
      <c r="AJ144" s="28"/>
      <c r="AK144" s="32"/>
      <c r="AL144" s="28"/>
      <c r="AM144" s="28"/>
      <c r="AN144" s="27">
        <f>IF($B144&lt;&gt;"Challan","",SUMIF('Q1 Data'!$D$4:$D$207,D144,'Q1 Data'!$AD$4:$AD$207)+SUMIF('Q1 Data'!$D$4:$D$207,D144,'Q1 Data'!$AG$4:$AG$207)+SUMIF('Q1 Data'!$D$4:$D$207,D144,'Q1 Data'!$AE$4:$AE$207)+SUMIF('Q2 Data'!$D$4:$D$207,D144,'Q2 Data'!$AD$4:$AD$207)+SUMIF('Q2 Data'!$D$4:$D$207,D144,'Q2 Data'!$AG$4:$AG$207)+SUMIF('Q2 Data'!$D$4:$D$207,D144,'Q2 Data'!$AE$4:$AE$207)+SUMIF('Q3 Data'!$D$4:$D$207,D144,'Q3 Data'!$AD$4:$AD$207)+SUMIF('Q3 Data'!$D$4:$D$207,D144,'Q3 Data'!$AG$4:$AG$207)+SUMIF('Q3 Data'!$D$4:$D$207,D144,'Q3 Data'!$AE$4:$AE$207)+SUMIF('Q4 Data'!$D$4:$D$207,D144,'Q4 Data'!$AD$4:$AD$207)+SUMIF('Q4 Data'!$D$4:$D$207,D144,'Q4 Data'!$AG$4:$AG$207)+SUMIF('Q4 Data'!$D$4:$D$207,D144,'Q4 Data'!$AE$4:$AE$207))</f>
      </c>
      <c r="AO144" s="27">
        <f>IF($B144&lt;&gt;"Challan","",P144-N144)</f>
      </c>
      <c r="AP144" s="27">
        <f>IF($B144&lt;&gt;"Challan","",MAX(0,AO144-AN144))</f>
      </c>
      <c r="AQ144" s="33">
        <f>IF($B144&lt;&gt;"Entry","",SUMPRODUCT(('Q1 Data'!$D$4:$D$207=D144)*('Q1 Data'!$B$4:$B$207="Challan")*'Q1 Data'!$F$4:$F$207)+SUMPRODUCT(('Q2 Data'!$D$4:$D$207=D144)*('Q2 Data'!$B$4:$B$207="Challan")*'Q2 Data'!$F$4:$F$207)+SUMPRODUCT(('Q3 Data'!$D$4:$D$207=D144)*('Q3 Data'!$B$4:$B$207="Challan")*'Q3 Data'!$F$4:$F$207)+SUMPRODUCT(('Q4 Data'!$D$4:$D$207=D144)*('Q4 Data'!$B$4:$B$207="Challan")*'Q4 Data'!$F$4:$F$207))</f>
      </c>
      <c r="AR144" s="34">
        <f>IF(OR($B144&lt;&gt;"Entry",Z144=""),FALSE,AND((SUMPRODUCT(('Q1 Data'!$D$4:$D$207=D144)*('Q1 Data'!$B$4:$B$207="Challan")*('Q1 Data'!$H$4:$H$207&lt;&gt;""))+SUMPRODUCT(('Q2 Data'!$D$4:$D$207=D144)*('Q2 Data'!$B$4:$B$207="Challan")*('Q2 Data'!$H$4:$H$207&lt;&gt;""))+SUMPRODUCT(('Q3 Data'!$D$4:$D$207=D144)*('Q3 Data'!$B$4:$B$207="Challan")*('Q3 Data'!$H$4:$H$207&lt;&gt;""))+SUMPRODUCT(('Q4 Data'!$D$4:$D$207=D144)*('Q4 Data'!$B$4:$B$207="Challan")*('Q4 Data'!$H$4:$H$207&lt;&gt;"")))&gt;0,(SUMPRODUCT(('Q1 Data'!$D$4:$D$207=D144)*('Q1 Data'!$B$4:$B$207="Challan")*('Q1 Data'!$H$4:$H$207=Z144))+SUMPRODUCT(('Q2 Data'!$D$4:$D$207=D144)*('Q2 Data'!$B$4:$B$207="Challan")*('Q2 Data'!$H$4:$H$207=Z144))+SUMPRODUCT(('Q3 Data'!$D$4:$D$207=D144)*('Q3 Data'!$B$4:$B$207="Challan")*('Q3 Data'!$H$4:$H$207=Z144))+SUMPRODUCT(('Q4 Data'!$D$4:$D$207=D144)*('Q4 Data'!$B$4:$B$207="Challan")*('Q4 Data'!$H$4:$H$207=Z144)))=0))</f>
      </c>
    </row>
    <row r="145" spans="1:44" x14ac:dyDescent="0.25">
      <c r="A145" s="20">
        <f>IF($B145="Entry",COUNTIF($B$4:$B145,"Entry"),"")</f>
      </c>
      <c r="B145" s="21"/>
      <c r="C145" s="22"/>
      <c r="D145" s="22"/>
      <c r="E145" s="23">
        <f>IF($B145&lt;&gt;"Challan","",IF(ROUND(AN145-AO145,2)&gt;0,"Over-applied",IF(ROUND(AN145-AO145,2)=0,"Fully Utilised","Unconsumed")))</f>
      </c>
      <c r="F145" s="24"/>
      <c r="G145" s="25"/>
      <c r="H145" s="25"/>
      <c r="I145" s="26"/>
      <c r="J145" s="26"/>
      <c r="K145" s="26"/>
      <c r="L145" s="26"/>
      <c r="M145" s="26"/>
      <c r="N145" s="26"/>
      <c r="O145" s="26"/>
      <c r="P145" s="27">
        <f>IF($B145&lt;&gt;"Challan","",I145+J145+K145+L145+M145+N145)</f>
      </c>
      <c r="Q145" s="25"/>
      <c r="R145" s="25"/>
      <c r="S145" s="25"/>
      <c r="T145" s="25"/>
      <c r="U145" s="25"/>
      <c r="V145" s="28"/>
      <c r="W145" s="28"/>
      <c r="X145" s="23">
        <f>IF($B145="Entry",IF(AND(LEN(TRIM(UPPER(W145)))=10,CODE(MID(TRIM(UPPER(W145)),1,1))&gt;=65,CODE(MID(TRIM(UPPER(W145)),1,1))&lt;=90,CODE(MID(TRIM(UPPER(W145)),2,1))&gt;=65,CODE(MID(TRIM(UPPER(W145)),2,1))&lt;=90,CODE(MID(TRIM(UPPER(W145)),3,1))&gt;=65,CODE(MID(TRIM(UPPER(W145)),3,1))&lt;=90,CODE(MID(TRIM(UPPER(W145)),4,1))&gt;=65,CODE(MID(TRIM(UPPER(W145)),4,1))&lt;=90,CODE(MID(TRIM(UPPER(W145)),5,1))&gt;=65,CODE(MID(TRIM(UPPER(W145)),5,1))&lt;=90,CODE(MID(TRIM(UPPER(W145)),10,1))&gt;=65,CODE(MID(TRIM(UPPER(W145)),10,1))&lt;=90,CODE(MID(TRIM(UPPER(W145)),6,1))&gt;=48,CODE(MID(TRIM(UPPER(W145)),6,1))&lt;=57,CODE(MID(TRIM(UPPER(W145)),7,1))&gt;=48,CODE(MID(TRIM(UPPER(W145)),7,1))&lt;=57,CODE(MID(TRIM(UPPER(W145)),8,1))&gt;=48,CODE(MID(TRIM(UPPER(W145)),8,1))&lt;=57,CODE(MID(TRIM(UPPER(W145)),9,1))&gt;=48,CODE(MID(TRIM(UPPER(W145)),9,1))&lt;=57),"N","Y"),IF($B145="Challan","",IF(W145&lt;&gt;"","◄ Set Row Type","")))</f>
      </c>
      <c r="Y145" s="23">
        <f>IF($B145="Entry",IF(LEN(W145)&lt;4,"",IF(UPPER(MID(W145,4,1))="P","Individual",IF(UPPER(MID(W145,4,1))="H","HUF",IF(UPPER(MID(W145,4,1))="C","Company",IF(UPPER(MID(W145,4,1))="F","Firm",IF(UPPER(MID(W145,4,1))="L","LLP",IF(UPPER(MID(W145,4,1))="T","Trust",IF(UPPER(MID(W145,4,1))="A","AOP","")))))))),IF($B145="Challan","",IF(W145&lt;&gt;"","◄ Set Row Type","")))</f>
      </c>
      <c r="Z145" s="28"/>
      <c r="AA145" s="29">
        <f>IF($B145&lt;&gt;"Entry","",IF(Z145="","",IF(X145="Y",SUMPRODUCT(('Rate Lookup'!$A$1:$A$37=Z145)*'Rate Lookup'!$D$1:$D$37),IF(OR(Y145="Individual",Y145="HUF"),SUMPRODUCT(('Rate Lookup'!$A$1:$A$37=Z145)*'Rate Lookup'!$B$1:$B$37),SUMPRODUCT(('Rate Lookup'!$A$1:$A$37=Z145)*'Rate Lookup'!$C$1:$C$37)))))</f>
      </c>
      <c r="AB145" s="30"/>
      <c r="AC145" s="31"/>
      <c r="AD145" s="27">
        <f>IF($B145&lt;&gt;"Entry","",ROUND(AC145*AA145/100,0))</f>
      </c>
      <c r="AE145" s="27">
        <f>IF($B145&lt;&gt;"Entry","",0)</f>
      </c>
      <c r="AF145" s="27">
        <f>IF($B145&lt;&gt;"Entry","",0)</f>
      </c>
      <c r="AG145" s="27">
        <f>IF($B145&lt;&gt;"Entry","",IF(OR(AD145=0,AB145="",AQ145="",AQ145&lt;=0),0,IF(AQ145&lt;=DATE(YEAR(AB145),MONTH(AB145)+1,7),0,ROUND(AD145*0.015*((YEAR(AQ145)-YEAR(AB145))*12+(MONTH(AQ145)-MONTH(AB145))+1),0))))</f>
      </c>
      <c r="AH145" s="27">
        <f>IF($B145&lt;&gt;"Entry","",0)</f>
      </c>
      <c r="AI145" s="28"/>
      <c r="AJ145" s="28"/>
      <c r="AK145" s="32"/>
      <c r="AL145" s="28"/>
      <c r="AM145" s="28"/>
      <c r="AN145" s="27">
        <f>IF($B145&lt;&gt;"Challan","",SUMIF('Q1 Data'!$D$4:$D$207,D145,'Q1 Data'!$AD$4:$AD$207)+SUMIF('Q1 Data'!$D$4:$D$207,D145,'Q1 Data'!$AG$4:$AG$207)+SUMIF('Q1 Data'!$D$4:$D$207,D145,'Q1 Data'!$AE$4:$AE$207)+SUMIF('Q2 Data'!$D$4:$D$207,D145,'Q2 Data'!$AD$4:$AD$207)+SUMIF('Q2 Data'!$D$4:$D$207,D145,'Q2 Data'!$AG$4:$AG$207)+SUMIF('Q2 Data'!$D$4:$D$207,D145,'Q2 Data'!$AE$4:$AE$207)+SUMIF('Q3 Data'!$D$4:$D$207,D145,'Q3 Data'!$AD$4:$AD$207)+SUMIF('Q3 Data'!$D$4:$D$207,D145,'Q3 Data'!$AG$4:$AG$207)+SUMIF('Q3 Data'!$D$4:$D$207,D145,'Q3 Data'!$AE$4:$AE$207)+SUMIF('Q4 Data'!$D$4:$D$207,D145,'Q4 Data'!$AD$4:$AD$207)+SUMIF('Q4 Data'!$D$4:$D$207,D145,'Q4 Data'!$AG$4:$AG$207)+SUMIF('Q4 Data'!$D$4:$D$207,D145,'Q4 Data'!$AE$4:$AE$207))</f>
      </c>
      <c r="AO145" s="27">
        <f>IF($B145&lt;&gt;"Challan","",P145-N145)</f>
      </c>
      <c r="AP145" s="27">
        <f>IF($B145&lt;&gt;"Challan","",MAX(0,AO145-AN145))</f>
      </c>
      <c r="AQ145" s="33">
        <f>IF($B145&lt;&gt;"Entry","",SUMPRODUCT(('Q1 Data'!$D$4:$D$207=D145)*('Q1 Data'!$B$4:$B$207="Challan")*'Q1 Data'!$F$4:$F$207)+SUMPRODUCT(('Q2 Data'!$D$4:$D$207=D145)*('Q2 Data'!$B$4:$B$207="Challan")*'Q2 Data'!$F$4:$F$207)+SUMPRODUCT(('Q3 Data'!$D$4:$D$207=D145)*('Q3 Data'!$B$4:$B$207="Challan")*'Q3 Data'!$F$4:$F$207)+SUMPRODUCT(('Q4 Data'!$D$4:$D$207=D145)*('Q4 Data'!$B$4:$B$207="Challan")*'Q4 Data'!$F$4:$F$207))</f>
      </c>
      <c r="AR145" s="34">
        <f>IF(OR($B145&lt;&gt;"Entry",Z145=""),FALSE,AND((SUMPRODUCT(('Q1 Data'!$D$4:$D$207=D145)*('Q1 Data'!$B$4:$B$207="Challan")*('Q1 Data'!$H$4:$H$207&lt;&gt;""))+SUMPRODUCT(('Q2 Data'!$D$4:$D$207=D145)*('Q2 Data'!$B$4:$B$207="Challan")*('Q2 Data'!$H$4:$H$207&lt;&gt;""))+SUMPRODUCT(('Q3 Data'!$D$4:$D$207=D145)*('Q3 Data'!$B$4:$B$207="Challan")*('Q3 Data'!$H$4:$H$207&lt;&gt;""))+SUMPRODUCT(('Q4 Data'!$D$4:$D$207=D145)*('Q4 Data'!$B$4:$B$207="Challan")*('Q4 Data'!$H$4:$H$207&lt;&gt;"")))&gt;0,(SUMPRODUCT(('Q1 Data'!$D$4:$D$207=D145)*('Q1 Data'!$B$4:$B$207="Challan")*('Q1 Data'!$H$4:$H$207=Z145))+SUMPRODUCT(('Q2 Data'!$D$4:$D$207=D145)*('Q2 Data'!$B$4:$B$207="Challan")*('Q2 Data'!$H$4:$H$207=Z145))+SUMPRODUCT(('Q3 Data'!$D$4:$D$207=D145)*('Q3 Data'!$B$4:$B$207="Challan")*('Q3 Data'!$H$4:$H$207=Z145))+SUMPRODUCT(('Q4 Data'!$D$4:$D$207=D145)*('Q4 Data'!$B$4:$B$207="Challan")*('Q4 Data'!$H$4:$H$207=Z145)))=0))</f>
      </c>
    </row>
    <row r="146" spans="1:44" x14ac:dyDescent="0.25">
      <c r="A146" s="20">
        <f>IF($B146="Entry",COUNTIF($B$4:$B146,"Entry"),"")</f>
      </c>
      <c r="B146" s="21"/>
      <c r="C146" s="22"/>
      <c r="D146" s="22"/>
      <c r="E146" s="23">
        <f>IF($B146&lt;&gt;"Challan","",IF(ROUND(AN146-AO146,2)&gt;0,"Over-applied",IF(ROUND(AN146-AO146,2)=0,"Fully Utilised","Unconsumed")))</f>
      </c>
      <c r="F146" s="24"/>
      <c r="G146" s="25"/>
      <c r="H146" s="25"/>
      <c r="I146" s="26"/>
      <c r="J146" s="26"/>
      <c r="K146" s="26"/>
      <c r="L146" s="26"/>
      <c r="M146" s="26"/>
      <c r="N146" s="26"/>
      <c r="O146" s="26"/>
      <c r="P146" s="27">
        <f>IF($B146&lt;&gt;"Challan","",I146+J146+K146+L146+M146+N146)</f>
      </c>
      <c r="Q146" s="25"/>
      <c r="R146" s="25"/>
      <c r="S146" s="25"/>
      <c r="T146" s="25"/>
      <c r="U146" s="25"/>
      <c r="V146" s="28"/>
      <c r="W146" s="28"/>
      <c r="X146" s="23">
        <f>IF($B146="Entry",IF(AND(LEN(TRIM(UPPER(W146)))=10,CODE(MID(TRIM(UPPER(W146)),1,1))&gt;=65,CODE(MID(TRIM(UPPER(W146)),1,1))&lt;=90,CODE(MID(TRIM(UPPER(W146)),2,1))&gt;=65,CODE(MID(TRIM(UPPER(W146)),2,1))&lt;=90,CODE(MID(TRIM(UPPER(W146)),3,1))&gt;=65,CODE(MID(TRIM(UPPER(W146)),3,1))&lt;=90,CODE(MID(TRIM(UPPER(W146)),4,1))&gt;=65,CODE(MID(TRIM(UPPER(W146)),4,1))&lt;=90,CODE(MID(TRIM(UPPER(W146)),5,1))&gt;=65,CODE(MID(TRIM(UPPER(W146)),5,1))&lt;=90,CODE(MID(TRIM(UPPER(W146)),10,1))&gt;=65,CODE(MID(TRIM(UPPER(W146)),10,1))&lt;=90,CODE(MID(TRIM(UPPER(W146)),6,1))&gt;=48,CODE(MID(TRIM(UPPER(W146)),6,1))&lt;=57,CODE(MID(TRIM(UPPER(W146)),7,1))&gt;=48,CODE(MID(TRIM(UPPER(W146)),7,1))&lt;=57,CODE(MID(TRIM(UPPER(W146)),8,1))&gt;=48,CODE(MID(TRIM(UPPER(W146)),8,1))&lt;=57,CODE(MID(TRIM(UPPER(W146)),9,1))&gt;=48,CODE(MID(TRIM(UPPER(W146)),9,1))&lt;=57),"N","Y"),IF($B146="Challan","",IF(W146&lt;&gt;"","◄ Set Row Type","")))</f>
      </c>
      <c r="Y146" s="23">
        <f>IF($B146="Entry",IF(LEN(W146)&lt;4,"",IF(UPPER(MID(W146,4,1))="P","Individual",IF(UPPER(MID(W146,4,1))="H","HUF",IF(UPPER(MID(W146,4,1))="C","Company",IF(UPPER(MID(W146,4,1))="F","Firm",IF(UPPER(MID(W146,4,1))="L","LLP",IF(UPPER(MID(W146,4,1))="T","Trust",IF(UPPER(MID(W146,4,1))="A","AOP","")))))))),IF($B146="Challan","",IF(W146&lt;&gt;"","◄ Set Row Type","")))</f>
      </c>
      <c r="Z146" s="28"/>
      <c r="AA146" s="29">
        <f>IF($B146&lt;&gt;"Entry","",IF(Z146="","",IF(X146="Y",SUMPRODUCT(('Rate Lookup'!$A$1:$A$37=Z146)*'Rate Lookup'!$D$1:$D$37),IF(OR(Y146="Individual",Y146="HUF"),SUMPRODUCT(('Rate Lookup'!$A$1:$A$37=Z146)*'Rate Lookup'!$B$1:$B$37),SUMPRODUCT(('Rate Lookup'!$A$1:$A$37=Z146)*'Rate Lookup'!$C$1:$C$37)))))</f>
      </c>
      <c r="AB146" s="30"/>
      <c r="AC146" s="31"/>
      <c r="AD146" s="27">
        <f>IF($B146&lt;&gt;"Entry","",ROUND(AC146*AA146/100,0))</f>
      </c>
      <c r="AE146" s="27">
        <f>IF($B146&lt;&gt;"Entry","",0)</f>
      </c>
      <c r="AF146" s="27">
        <f>IF($B146&lt;&gt;"Entry","",0)</f>
      </c>
      <c r="AG146" s="27">
        <f>IF($B146&lt;&gt;"Entry","",IF(OR(AD146=0,AB146="",AQ146="",AQ146&lt;=0),0,IF(AQ146&lt;=DATE(YEAR(AB146),MONTH(AB146)+1,7),0,ROUND(AD146*0.015*((YEAR(AQ146)-YEAR(AB146))*12+(MONTH(AQ146)-MONTH(AB146))+1),0))))</f>
      </c>
      <c r="AH146" s="27">
        <f>IF($B146&lt;&gt;"Entry","",0)</f>
      </c>
      <c r="AI146" s="28"/>
      <c r="AJ146" s="28"/>
      <c r="AK146" s="32"/>
      <c r="AL146" s="28"/>
      <c r="AM146" s="28"/>
      <c r="AN146" s="27">
        <f>IF($B146&lt;&gt;"Challan","",SUMIF('Q1 Data'!$D$4:$D$207,D146,'Q1 Data'!$AD$4:$AD$207)+SUMIF('Q1 Data'!$D$4:$D$207,D146,'Q1 Data'!$AG$4:$AG$207)+SUMIF('Q1 Data'!$D$4:$D$207,D146,'Q1 Data'!$AE$4:$AE$207)+SUMIF('Q2 Data'!$D$4:$D$207,D146,'Q2 Data'!$AD$4:$AD$207)+SUMIF('Q2 Data'!$D$4:$D$207,D146,'Q2 Data'!$AG$4:$AG$207)+SUMIF('Q2 Data'!$D$4:$D$207,D146,'Q2 Data'!$AE$4:$AE$207)+SUMIF('Q3 Data'!$D$4:$D$207,D146,'Q3 Data'!$AD$4:$AD$207)+SUMIF('Q3 Data'!$D$4:$D$207,D146,'Q3 Data'!$AG$4:$AG$207)+SUMIF('Q3 Data'!$D$4:$D$207,D146,'Q3 Data'!$AE$4:$AE$207)+SUMIF('Q4 Data'!$D$4:$D$207,D146,'Q4 Data'!$AD$4:$AD$207)+SUMIF('Q4 Data'!$D$4:$D$207,D146,'Q4 Data'!$AG$4:$AG$207)+SUMIF('Q4 Data'!$D$4:$D$207,D146,'Q4 Data'!$AE$4:$AE$207))</f>
      </c>
      <c r="AO146" s="27">
        <f>IF($B146&lt;&gt;"Challan","",P146-N146)</f>
      </c>
      <c r="AP146" s="27">
        <f>IF($B146&lt;&gt;"Challan","",MAX(0,AO146-AN146))</f>
      </c>
      <c r="AQ146" s="33">
        <f>IF($B146&lt;&gt;"Entry","",SUMPRODUCT(('Q1 Data'!$D$4:$D$207=D146)*('Q1 Data'!$B$4:$B$207="Challan")*'Q1 Data'!$F$4:$F$207)+SUMPRODUCT(('Q2 Data'!$D$4:$D$207=D146)*('Q2 Data'!$B$4:$B$207="Challan")*'Q2 Data'!$F$4:$F$207)+SUMPRODUCT(('Q3 Data'!$D$4:$D$207=D146)*('Q3 Data'!$B$4:$B$207="Challan")*'Q3 Data'!$F$4:$F$207)+SUMPRODUCT(('Q4 Data'!$D$4:$D$207=D146)*('Q4 Data'!$B$4:$B$207="Challan")*'Q4 Data'!$F$4:$F$207))</f>
      </c>
      <c r="AR146" s="34">
        <f>IF(OR($B146&lt;&gt;"Entry",Z146=""),FALSE,AND((SUMPRODUCT(('Q1 Data'!$D$4:$D$207=D146)*('Q1 Data'!$B$4:$B$207="Challan")*('Q1 Data'!$H$4:$H$207&lt;&gt;""))+SUMPRODUCT(('Q2 Data'!$D$4:$D$207=D146)*('Q2 Data'!$B$4:$B$207="Challan")*('Q2 Data'!$H$4:$H$207&lt;&gt;""))+SUMPRODUCT(('Q3 Data'!$D$4:$D$207=D146)*('Q3 Data'!$B$4:$B$207="Challan")*('Q3 Data'!$H$4:$H$207&lt;&gt;""))+SUMPRODUCT(('Q4 Data'!$D$4:$D$207=D146)*('Q4 Data'!$B$4:$B$207="Challan")*('Q4 Data'!$H$4:$H$207&lt;&gt;"")))&gt;0,(SUMPRODUCT(('Q1 Data'!$D$4:$D$207=D146)*('Q1 Data'!$B$4:$B$207="Challan")*('Q1 Data'!$H$4:$H$207=Z146))+SUMPRODUCT(('Q2 Data'!$D$4:$D$207=D146)*('Q2 Data'!$B$4:$B$207="Challan")*('Q2 Data'!$H$4:$H$207=Z146))+SUMPRODUCT(('Q3 Data'!$D$4:$D$207=D146)*('Q3 Data'!$B$4:$B$207="Challan")*('Q3 Data'!$H$4:$H$207=Z146))+SUMPRODUCT(('Q4 Data'!$D$4:$D$207=D146)*('Q4 Data'!$B$4:$B$207="Challan")*('Q4 Data'!$H$4:$H$207=Z146)))=0))</f>
      </c>
    </row>
    <row r="147" spans="1:44" x14ac:dyDescent="0.25">
      <c r="A147" s="20">
        <f>IF($B147="Entry",COUNTIF($B$4:$B147,"Entry"),"")</f>
      </c>
      <c r="B147" s="21"/>
      <c r="C147" s="22"/>
      <c r="D147" s="22"/>
      <c r="E147" s="23">
        <f>IF($B147&lt;&gt;"Challan","",IF(ROUND(AN147-AO147,2)&gt;0,"Over-applied",IF(ROUND(AN147-AO147,2)=0,"Fully Utilised","Unconsumed")))</f>
      </c>
      <c r="F147" s="24"/>
      <c r="G147" s="25"/>
      <c r="H147" s="25"/>
      <c r="I147" s="26"/>
      <c r="J147" s="26"/>
      <c r="K147" s="26"/>
      <c r="L147" s="26"/>
      <c r="M147" s="26"/>
      <c r="N147" s="26"/>
      <c r="O147" s="26"/>
      <c r="P147" s="27">
        <f>IF($B147&lt;&gt;"Challan","",I147+J147+K147+L147+M147+N147)</f>
      </c>
      <c r="Q147" s="25"/>
      <c r="R147" s="25"/>
      <c r="S147" s="25"/>
      <c r="T147" s="25"/>
      <c r="U147" s="25"/>
      <c r="V147" s="28"/>
      <c r="W147" s="28"/>
      <c r="X147" s="23">
        <f>IF($B147="Entry",IF(AND(LEN(TRIM(UPPER(W147)))=10,CODE(MID(TRIM(UPPER(W147)),1,1))&gt;=65,CODE(MID(TRIM(UPPER(W147)),1,1))&lt;=90,CODE(MID(TRIM(UPPER(W147)),2,1))&gt;=65,CODE(MID(TRIM(UPPER(W147)),2,1))&lt;=90,CODE(MID(TRIM(UPPER(W147)),3,1))&gt;=65,CODE(MID(TRIM(UPPER(W147)),3,1))&lt;=90,CODE(MID(TRIM(UPPER(W147)),4,1))&gt;=65,CODE(MID(TRIM(UPPER(W147)),4,1))&lt;=90,CODE(MID(TRIM(UPPER(W147)),5,1))&gt;=65,CODE(MID(TRIM(UPPER(W147)),5,1))&lt;=90,CODE(MID(TRIM(UPPER(W147)),10,1))&gt;=65,CODE(MID(TRIM(UPPER(W147)),10,1))&lt;=90,CODE(MID(TRIM(UPPER(W147)),6,1))&gt;=48,CODE(MID(TRIM(UPPER(W147)),6,1))&lt;=57,CODE(MID(TRIM(UPPER(W147)),7,1))&gt;=48,CODE(MID(TRIM(UPPER(W147)),7,1))&lt;=57,CODE(MID(TRIM(UPPER(W147)),8,1))&gt;=48,CODE(MID(TRIM(UPPER(W147)),8,1))&lt;=57,CODE(MID(TRIM(UPPER(W147)),9,1))&gt;=48,CODE(MID(TRIM(UPPER(W147)),9,1))&lt;=57),"N","Y"),IF($B147="Challan","",IF(W147&lt;&gt;"","◄ Set Row Type","")))</f>
      </c>
      <c r="Y147" s="23">
        <f>IF($B147="Entry",IF(LEN(W147)&lt;4,"",IF(UPPER(MID(W147,4,1))="P","Individual",IF(UPPER(MID(W147,4,1))="H","HUF",IF(UPPER(MID(W147,4,1))="C","Company",IF(UPPER(MID(W147,4,1))="F","Firm",IF(UPPER(MID(W147,4,1))="L","LLP",IF(UPPER(MID(W147,4,1))="T","Trust",IF(UPPER(MID(W147,4,1))="A","AOP","")))))))),IF($B147="Challan","",IF(W147&lt;&gt;"","◄ Set Row Type","")))</f>
      </c>
      <c r="Z147" s="28"/>
      <c r="AA147" s="29">
        <f>IF($B147&lt;&gt;"Entry","",IF(Z147="","",IF(X147="Y",SUMPRODUCT(('Rate Lookup'!$A$1:$A$37=Z147)*'Rate Lookup'!$D$1:$D$37),IF(OR(Y147="Individual",Y147="HUF"),SUMPRODUCT(('Rate Lookup'!$A$1:$A$37=Z147)*'Rate Lookup'!$B$1:$B$37),SUMPRODUCT(('Rate Lookup'!$A$1:$A$37=Z147)*'Rate Lookup'!$C$1:$C$37)))))</f>
      </c>
      <c r="AB147" s="30"/>
      <c r="AC147" s="31"/>
      <c r="AD147" s="27">
        <f>IF($B147&lt;&gt;"Entry","",ROUND(AC147*AA147/100,0))</f>
      </c>
      <c r="AE147" s="27">
        <f>IF($B147&lt;&gt;"Entry","",0)</f>
      </c>
      <c r="AF147" s="27">
        <f>IF($B147&lt;&gt;"Entry","",0)</f>
      </c>
      <c r="AG147" s="27">
        <f>IF($B147&lt;&gt;"Entry","",IF(OR(AD147=0,AB147="",AQ147="",AQ147&lt;=0),0,IF(AQ147&lt;=DATE(YEAR(AB147),MONTH(AB147)+1,7),0,ROUND(AD147*0.015*((YEAR(AQ147)-YEAR(AB147))*12+(MONTH(AQ147)-MONTH(AB147))+1),0))))</f>
      </c>
      <c r="AH147" s="27">
        <f>IF($B147&lt;&gt;"Entry","",0)</f>
      </c>
      <c r="AI147" s="28"/>
      <c r="AJ147" s="28"/>
      <c r="AK147" s="32"/>
      <c r="AL147" s="28"/>
      <c r="AM147" s="28"/>
      <c r="AN147" s="27">
        <f>IF($B147&lt;&gt;"Challan","",SUMIF('Q1 Data'!$D$4:$D$207,D147,'Q1 Data'!$AD$4:$AD$207)+SUMIF('Q1 Data'!$D$4:$D$207,D147,'Q1 Data'!$AG$4:$AG$207)+SUMIF('Q1 Data'!$D$4:$D$207,D147,'Q1 Data'!$AE$4:$AE$207)+SUMIF('Q2 Data'!$D$4:$D$207,D147,'Q2 Data'!$AD$4:$AD$207)+SUMIF('Q2 Data'!$D$4:$D$207,D147,'Q2 Data'!$AG$4:$AG$207)+SUMIF('Q2 Data'!$D$4:$D$207,D147,'Q2 Data'!$AE$4:$AE$207)+SUMIF('Q3 Data'!$D$4:$D$207,D147,'Q3 Data'!$AD$4:$AD$207)+SUMIF('Q3 Data'!$D$4:$D$207,D147,'Q3 Data'!$AG$4:$AG$207)+SUMIF('Q3 Data'!$D$4:$D$207,D147,'Q3 Data'!$AE$4:$AE$207)+SUMIF('Q4 Data'!$D$4:$D$207,D147,'Q4 Data'!$AD$4:$AD$207)+SUMIF('Q4 Data'!$D$4:$D$207,D147,'Q4 Data'!$AG$4:$AG$207)+SUMIF('Q4 Data'!$D$4:$D$207,D147,'Q4 Data'!$AE$4:$AE$207))</f>
      </c>
      <c r="AO147" s="27">
        <f>IF($B147&lt;&gt;"Challan","",P147-N147)</f>
      </c>
      <c r="AP147" s="27">
        <f>IF($B147&lt;&gt;"Challan","",MAX(0,AO147-AN147))</f>
      </c>
      <c r="AQ147" s="33">
        <f>IF($B147&lt;&gt;"Entry","",SUMPRODUCT(('Q1 Data'!$D$4:$D$207=D147)*('Q1 Data'!$B$4:$B$207="Challan")*'Q1 Data'!$F$4:$F$207)+SUMPRODUCT(('Q2 Data'!$D$4:$D$207=D147)*('Q2 Data'!$B$4:$B$207="Challan")*'Q2 Data'!$F$4:$F$207)+SUMPRODUCT(('Q3 Data'!$D$4:$D$207=D147)*('Q3 Data'!$B$4:$B$207="Challan")*'Q3 Data'!$F$4:$F$207)+SUMPRODUCT(('Q4 Data'!$D$4:$D$207=D147)*('Q4 Data'!$B$4:$B$207="Challan")*'Q4 Data'!$F$4:$F$207))</f>
      </c>
      <c r="AR147" s="34">
        <f>IF(OR($B147&lt;&gt;"Entry",Z147=""),FALSE,AND((SUMPRODUCT(('Q1 Data'!$D$4:$D$207=D147)*('Q1 Data'!$B$4:$B$207="Challan")*('Q1 Data'!$H$4:$H$207&lt;&gt;""))+SUMPRODUCT(('Q2 Data'!$D$4:$D$207=D147)*('Q2 Data'!$B$4:$B$207="Challan")*('Q2 Data'!$H$4:$H$207&lt;&gt;""))+SUMPRODUCT(('Q3 Data'!$D$4:$D$207=D147)*('Q3 Data'!$B$4:$B$207="Challan")*('Q3 Data'!$H$4:$H$207&lt;&gt;""))+SUMPRODUCT(('Q4 Data'!$D$4:$D$207=D147)*('Q4 Data'!$B$4:$B$207="Challan")*('Q4 Data'!$H$4:$H$207&lt;&gt;"")))&gt;0,(SUMPRODUCT(('Q1 Data'!$D$4:$D$207=D147)*('Q1 Data'!$B$4:$B$207="Challan")*('Q1 Data'!$H$4:$H$207=Z147))+SUMPRODUCT(('Q2 Data'!$D$4:$D$207=D147)*('Q2 Data'!$B$4:$B$207="Challan")*('Q2 Data'!$H$4:$H$207=Z147))+SUMPRODUCT(('Q3 Data'!$D$4:$D$207=D147)*('Q3 Data'!$B$4:$B$207="Challan")*('Q3 Data'!$H$4:$H$207=Z147))+SUMPRODUCT(('Q4 Data'!$D$4:$D$207=D147)*('Q4 Data'!$B$4:$B$207="Challan")*('Q4 Data'!$H$4:$H$207=Z147)))=0))</f>
      </c>
    </row>
    <row r="148" spans="1:44" x14ac:dyDescent="0.25">
      <c r="A148" s="20">
        <f>IF($B148="Entry",COUNTIF($B$4:$B148,"Entry"),"")</f>
      </c>
      <c r="B148" s="21"/>
      <c r="C148" s="22"/>
      <c r="D148" s="22"/>
      <c r="E148" s="23">
        <f>IF($B148&lt;&gt;"Challan","",IF(ROUND(AN148-AO148,2)&gt;0,"Over-applied",IF(ROUND(AN148-AO148,2)=0,"Fully Utilised","Unconsumed")))</f>
      </c>
      <c r="F148" s="24"/>
      <c r="G148" s="25"/>
      <c r="H148" s="25"/>
      <c r="I148" s="26"/>
      <c r="J148" s="26"/>
      <c r="K148" s="26"/>
      <c r="L148" s="26"/>
      <c r="M148" s="26"/>
      <c r="N148" s="26"/>
      <c r="O148" s="26"/>
      <c r="P148" s="27">
        <f>IF($B148&lt;&gt;"Challan","",I148+J148+K148+L148+M148+N148)</f>
      </c>
      <c r="Q148" s="25"/>
      <c r="R148" s="25"/>
      <c r="S148" s="25"/>
      <c r="T148" s="25"/>
      <c r="U148" s="25"/>
      <c r="V148" s="28"/>
      <c r="W148" s="28"/>
      <c r="X148" s="23">
        <f>IF($B148="Entry",IF(AND(LEN(TRIM(UPPER(W148)))=10,CODE(MID(TRIM(UPPER(W148)),1,1))&gt;=65,CODE(MID(TRIM(UPPER(W148)),1,1))&lt;=90,CODE(MID(TRIM(UPPER(W148)),2,1))&gt;=65,CODE(MID(TRIM(UPPER(W148)),2,1))&lt;=90,CODE(MID(TRIM(UPPER(W148)),3,1))&gt;=65,CODE(MID(TRIM(UPPER(W148)),3,1))&lt;=90,CODE(MID(TRIM(UPPER(W148)),4,1))&gt;=65,CODE(MID(TRIM(UPPER(W148)),4,1))&lt;=90,CODE(MID(TRIM(UPPER(W148)),5,1))&gt;=65,CODE(MID(TRIM(UPPER(W148)),5,1))&lt;=90,CODE(MID(TRIM(UPPER(W148)),10,1))&gt;=65,CODE(MID(TRIM(UPPER(W148)),10,1))&lt;=90,CODE(MID(TRIM(UPPER(W148)),6,1))&gt;=48,CODE(MID(TRIM(UPPER(W148)),6,1))&lt;=57,CODE(MID(TRIM(UPPER(W148)),7,1))&gt;=48,CODE(MID(TRIM(UPPER(W148)),7,1))&lt;=57,CODE(MID(TRIM(UPPER(W148)),8,1))&gt;=48,CODE(MID(TRIM(UPPER(W148)),8,1))&lt;=57,CODE(MID(TRIM(UPPER(W148)),9,1))&gt;=48,CODE(MID(TRIM(UPPER(W148)),9,1))&lt;=57),"N","Y"),IF($B148="Challan","",IF(W148&lt;&gt;"","◄ Set Row Type","")))</f>
      </c>
      <c r="Y148" s="23">
        <f>IF($B148="Entry",IF(LEN(W148)&lt;4,"",IF(UPPER(MID(W148,4,1))="P","Individual",IF(UPPER(MID(W148,4,1))="H","HUF",IF(UPPER(MID(W148,4,1))="C","Company",IF(UPPER(MID(W148,4,1))="F","Firm",IF(UPPER(MID(W148,4,1))="L","LLP",IF(UPPER(MID(W148,4,1))="T","Trust",IF(UPPER(MID(W148,4,1))="A","AOP","")))))))),IF($B148="Challan","",IF(W148&lt;&gt;"","◄ Set Row Type","")))</f>
      </c>
      <c r="Z148" s="28"/>
      <c r="AA148" s="29">
        <f>IF($B148&lt;&gt;"Entry","",IF(Z148="","",IF(X148="Y",SUMPRODUCT(('Rate Lookup'!$A$1:$A$37=Z148)*'Rate Lookup'!$D$1:$D$37),IF(OR(Y148="Individual",Y148="HUF"),SUMPRODUCT(('Rate Lookup'!$A$1:$A$37=Z148)*'Rate Lookup'!$B$1:$B$37),SUMPRODUCT(('Rate Lookup'!$A$1:$A$37=Z148)*'Rate Lookup'!$C$1:$C$37)))))</f>
      </c>
      <c r="AB148" s="30"/>
      <c r="AC148" s="31"/>
      <c r="AD148" s="27">
        <f>IF($B148&lt;&gt;"Entry","",ROUND(AC148*AA148/100,0))</f>
      </c>
      <c r="AE148" s="27">
        <f>IF($B148&lt;&gt;"Entry","",0)</f>
      </c>
      <c r="AF148" s="27">
        <f>IF($B148&lt;&gt;"Entry","",0)</f>
      </c>
      <c r="AG148" s="27">
        <f>IF($B148&lt;&gt;"Entry","",IF(OR(AD148=0,AB148="",AQ148="",AQ148&lt;=0),0,IF(AQ148&lt;=DATE(YEAR(AB148),MONTH(AB148)+1,7),0,ROUND(AD148*0.015*((YEAR(AQ148)-YEAR(AB148))*12+(MONTH(AQ148)-MONTH(AB148))+1),0))))</f>
      </c>
      <c r="AH148" s="27">
        <f>IF($B148&lt;&gt;"Entry","",0)</f>
      </c>
      <c r="AI148" s="28"/>
      <c r="AJ148" s="28"/>
      <c r="AK148" s="32"/>
      <c r="AL148" s="28"/>
      <c r="AM148" s="28"/>
      <c r="AN148" s="27">
        <f>IF($B148&lt;&gt;"Challan","",SUMIF('Q1 Data'!$D$4:$D$207,D148,'Q1 Data'!$AD$4:$AD$207)+SUMIF('Q1 Data'!$D$4:$D$207,D148,'Q1 Data'!$AG$4:$AG$207)+SUMIF('Q1 Data'!$D$4:$D$207,D148,'Q1 Data'!$AE$4:$AE$207)+SUMIF('Q2 Data'!$D$4:$D$207,D148,'Q2 Data'!$AD$4:$AD$207)+SUMIF('Q2 Data'!$D$4:$D$207,D148,'Q2 Data'!$AG$4:$AG$207)+SUMIF('Q2 Data'!$D$4:$D$207,D148,'Q2 Data'!$AE$4:$AE$207)+SUMIF('Q3 Data'!$D$4:$D$207,D148,'Q3 Data'!$AD$4:$AD$207)+SUMIF('Q3 Data'!$D$4:$D$207,D148,'Q3 Data'!$AG$4:$AG$207)+SUMIF('Q3 Data'!$D$4:$D$207,D148,'Q3 Data'!$AE$4:$AE$207)+SUMIF('Q4 Data'!$D$4:$D$207,D148,'Q4 Data'!$AD$4:$AD$207)+SUMIF('Q4 Data'!$D$4:$D$207,D148,'Q4 Data'!$AG$4:$AG$207)+SUMIF('Q4 Data'!$D$4:$D$207,D148,'Q4 Data'!$AE$4:$AE$207))</f>
      </c>
      <c r="AO148" s="27">
        <f>IF($B148&lt;&gt;"Challan","",P148-N148)</f>
      </c>
      <c r="AP148" s="27">
        <f>IF($B148&lt;&gt;"Challan","",MAX(0,AO148-AN148))</f>
      </c>
      <c r="AQ148" s="33">
        <f>IF($B148&lt;&gt;"Entry","",SUMPRODUCT(('Q1 Data'!$D$4:$D$207=D148)*('Q1 Data'!$B$4:$B$207="Challan")*'Q1 Data'!$F$4:$F$207)+SUMPRODUCT(('Q2 Data'!$D$4:$D$207=D148)*('Q2 Data'!$B$4:$B$207="Challan")*'Q2 Data'!$F$4:$F$207)+SUMPRODUCT(('Q3 Data'!$D$4:$D$207=D148)*('Q3 Data'!$B$4:$B$207="Challan")*'Q3 Data'!$F$4:$F$207)+SUMPRODUCT(('Q4 Data'!$D$4:$D$207=D148)*('Q4 Data'!$B$4:$B$207="Challan")*'Q4 Data'!$F$4:$F$207))</f>
      </c>
      <c r="AR148" s="34">
        <f>IF(OR($B148&lt;&gt;"Entry",Z148=""),FALSE,AND((SUMPRODUCT(('Q1 Data'!$D$4:$D$207=D148)*('Q1 Data'!$B$4:$B$207="Challan")*('Q1 Data'!$H$4:$H$207&lt;&gt;""))+SUMPRODUCT(('Q2 Data'!$D$4:$D$207=D148)*('Q2 Data'!$B$4:$B$207="Challan")*('Q2 Data'!$H$4:$H$207&lt;&gt;""))+SUMPRODUCT(('Q3 Data'!$D$4:$D$207=D148)*('Q3 Data'!$B$4:$B$207="Challan")*('Q3 Data'!$H$4:$H$207&lt;&gt;""))+SUMPRODUCT(('Q4 Data'!$D$4:$D$207=D148)*('Q4 Data'!$B$4:$B$207="Challan")*('Q4 Data'!$H$4:$H$207&lt;&gt;"")))&gt;0,(SUMPRODUCT(('Q1 Data'!$D$4:$D$207=D148)*('Q1 Data'!$B$4:$B$207="Challan")*('Q1 Data'!$H$4:$H$207=Z148))+SUMPRODUCT(('Q2 Data'!$D$4:$D$207=D148)*('Q2 Data'!$B$4:$B$207="Challan")*('Q2 Data'!$H$4:$H$207=Z148))+SUMPRODUCT(('Q3 Data'!$D$4:$D$207=D148)*('Q3 Data'!$B$4:$B$207="Challan")*('Q3 Data'!$H$4:$H$207=Z148))+SUMPRODUCT(('Q4 Data'!$D$4:$D$207=D148)*('Q4 Data'!$B$4:$B$207="Challan")*('Q4 Data'!$H$4:$H$207=Z148)))=0))</f>
      </c>
    </row>
    <row r="149" spans="1:44" x14ac:dyDescent="0.25">
      <c r="A149" s="20">
        <f>IF($B149="Entry",COUNTIF($B$4:$B149,"Entry"),"")</f>
      </c>
      <c r="B149" s="21"/>
      <c r="C149" s="22"/>
      <c r="D149" s="22"/>
      <c r="E149" s="23">
        <f>IF($B149&lt;&gt;"Challan","",IF(ROUND(AN149-AO149,2)&gt;0,"Over-applied",IF(ROUND(AN149-AO149,2)=0,"Fully Utilised","Unconsumed")))</f>
      </c>
      <c r="F149" s="24"/>
      <c r="G149" s="25"/>
      <c r="H149" s="25"/>
      <c r="I149" s="26"/>
      <c r="J149" s="26"/>
      <c r="K149" s="26"/>
      <c r="L149" s="26"/>
      <c r="M149" s="26"/>
      <c r="N149" s="26"/>
      <c r="O149" s="26"/>
      <c r="P149" s="27">
        <f>IF($B149&lt;&gt;"Challan","",I149+J149+K149+L149+M149+N149)</f>
      </c>
      <c r="Q149" s="25"/>
      <c r="R149" s="25"/>
      <c r="S149" s="25"/>
      <c r="T149" s="25"/>
      <c r="U149" s="25"/>
      <c r="V149" s="28"/>
      <c r="W149" s="28"/>
      <c r="X149" s="23">
        <f>IF($B149="Entry",IF(AND(LEN(TRIM(UPPER(W149)))=10,CODE(MID(TRIM(UPPER(W149)),1,1))&gt;=65,CODE(MID(TRIM(UPPER(W149)),1,1))&lt;=90,CODE(MID(TRIM(UPPER(W149)),2,1))&gt;=65,CODE(MID(TRIM(UPPER(W149)),2,1))&lt;=90,CODE(MID(TRIM(UPPER(W149)),3,1))&gt;=65,CODE(MID(TRIM(UPPER(W149)),3,1))&lt;=90,CODE(MID(TRIM(UPPER(W149)),4,1))&gt;=65,CODE(MID(TRIM(UPPER(W149)),4,1))&lt;=90,CODE(MID(TRIM(UPPER(W149)),5,1))&gt;=65,CODE(MID(TRIM(UPPER(W149)),5,1))&lt;=90,CODE(MID(TRIM(UPPER(W149)),10,1))&gt;=65,CODE(MID(TRIM(UPPER(W149)),10,1))&lt;=90,CODE(MID(TRIM(UPPER(W149)),6,1))&gt;=48,CODE(MID(TRIM(UPPER(W149)),6,1))&lt;=57,CODE(MID(TRIM(UPPER(W149)),7,1))&gt;=48,CODE(MID(TRIM(UPPER(W149)),7,1))&lt;=57,CODE(MID(TRIM(UPPER(W149)),8,1))&gt;=48,CODE(MID(TRIM(UPPER(W149)),8,1))&lt;=57,CODE(MID(TRIM(UPPER(W149)),9,1))&gt;=48,CODE(MID(TRIM(UPPER(W149)),9,1))&lt;=57),"N","Y"),IF($B149="Challan","",IF(W149&lt;&gt;"","◄ Set Row Type","")))</f>
      </c>
      <c r="Y149" s="23">
        <f>IF($B149="Entry",IF(LEN(W149)&lt;4,"",IF(UPPER(MID(W149,4,1))="P","Individual",IF(UPPER(MID(W149,4,1))="H","HUF",IF(UPPER(MID(W149,4,1))="C","Company",IF(UPPER(MID(W149,4,1))="F","Firm",IF(UPPER(MID(W149,4,1))="L","LLP",IF(UPPER(MID(W149,4,1))="T","Trust",IF(UPPER(MID(W149,4,1))="A","AOP","")))))))),IF($B149="Challan","",IF(W149&lt;&gt;"","◄ Set Row Type","")))</f>
      </c>
      <c r="Z149" s="28"/>
      <c r="AA149" s="29">
        <f>IF($B149&lt;&gt;"Entry","",IF(Z149="","",IF(X149="Y",SUMPRODUCT(('Rate Lookup'!$A$1:$A$37=Z149)*'Rate Lookup'!$D$1:$D$37),IF(OR(Y149="Individual",Y149="HUF"),SUMPRODUCT(('Rate Lookup'!$A$1:$A$37=Z149)*'Rate Lookup'!$B$1:$B$37),SUMPRODUCT(('Rate Lookup'!$A$1:$A$37=Z149)*'Rate Lookup'!$C$1:$C$37)))))</f>
      </c>
      <c r="AB149" s="30"/>
      <c r="AC149" s="31"/>
      <c r="AD149" s="27">
        <f>IF($B149&lt;&gt;"Entry","",ROUND(AC149*AA149/100,0))</f>
      </c>
      <c r="AE149" s="27">
        <f>IF($B149&lt;&gt;"Entry","",0)</f>
      </c>
      <c r="AF149" s="27">
        <f>IF($B149&lt;&gt;"Entry","",0)</f>
      </c>
      <c r="AG149" s="27">
        <f>IF($B149&lt;&gt;"Entry","",IF(OR(AD149=0,AB149="",AQ149="",AQ149&lt;=0),0,IF(AQ149&lt;=DATE(YEAR(AB149),MONTH(AB149)+1,7),0,ROUND(AD149*0.015*((YEAR(AQ149)-YEAR(AB149))*12+(MONTH(AQ149)-MONTH(AB149))+1),0))))</f>
      </c>
      <c r="AH149" s="27">
        <f>IF($B149&lt;&gt;"Entry","",0)</f>
      </c>
      <c r="AI149" s="28"/>
      <c r="AJ149" s="28"/>
      <c r="AK149" s="32"/>
      <c r="AL149" s="28"/>
      <c r="AM149" s="28"/>
      <c r="AN149" s="27">
        <f>IF($B149&lt;&gt;"Challan","",SUMIF('Q1 Data'!$D$4:$D$207,D149,'Q1 Data'!$AD$4:$AD$207)+SUMIF('Q1 Data'!$D$4:$D$207,D149,'Q1 Data'!$AG$4:$AG$207)+SUMIF('Q1 Data'!$D$4:$D$207,D149,'Q1 Data'!$AE$4:$AE$207)+SUMIF('Q2 Data'!$D$4:$D$207,D149,'Q2 Data'!$AD$4:$AD$207)+SUMIF('Q2 Data'!$D$4:$D$207,D149,'Q2 Data'!$AG$4:$AG$207)+SUMIF('Q2 Data'!$D$4:$D$207,D149,'Q2 Data'!$AE$4:$AE$207)+SUMIF('Q3 Data'!$D$4:$D$207,D149,'Q3 Data'!$AD$4:$AD$207)+SUMIF('Q3 Data'!$D$4:$D$207,D149,'Q3 Data'!$AG$4:$AG$207)+SUMIF('Q3 Data'!$D$4:$D$207,D149,'Q3 Data'!$AE$4:$AE$207)+SUMIF('Q4 Data'!$D$4:$D$207,D149,'Q4 Data'!$AD$4:$AD$207)+SUMIF('Q4 Data'!$D$4:$D$207,D149,'Q4 Data'!$AG$4:$AG$207)+SUMIF('Q4 Data'!$D$4:$D$207,D149,'Q4 Data'!$AE$4:$AE$207))</f>
      </c>
      <c r="AO149" s="27">
        <f>IF($B149&lt;&gt;"Challan","",P149-N149)</f>
      </c>
      <c r="AP149" s="27">
        <f>IF($B149&lt;&gt;"Challan","",MAX(0,AO149-AN149))</f>
      </c>
      <c r="AQ149" s="33">
        <f>IF($B149&lt;&gt;"Entry","",SUMPRODUCT(('Q1 Data'!$D$4:$D$207=D149)*('Q1 Data'!$B$4:$B$207="Challan")*'Q1 Data'!$F$4:$F$207)+SUMPRODUCT(('Q2 Data'!$D$4:$D$207=D149)*('Q2 Data'!$B$4:$B$207="Challan")*'Q2 Data'!$F$4:$F$207)+SUMPRODUCT(('Q3 Data'!$D$4:$D$207=D149)*('Q3 Data'!$B$4:$B$207="Challan")*'Q3 Data'!$F$4:$F$207)+SUMPRODUCT(('Q4 Data'!$D$4:$D$207=D149)*('Q4 Data'!$B$4:$B$207="Challan")*'Q4 Data'!$F$4:$F$207))</f>
      </c>
      <c r="AR149" s="34">
        <f>IF(OR($B149&lt;&gt;"Entry",Z149=""),FALSE,AND((SUMPRODUCT(('Q1 Data'!$D$4:$D$207=D149)*('Q1 Data'!$B$4:$B$207="Challan")*('Q1 Data'!$H$4:$H$207&lt;&gt;""))+SUMPRODUCT(('Q2 Data'!$D$4:$D$207=D149)*('Q2 Data'!$B$4:$B$207="Challan")*('Q2 Data'!$H$4:$H$207&lt;&gt;""))+SUMPRODUCT(('Q3 Data'!$D$4:$D$207=D149)*('Q3 Data'!$B$4:$B$207="Challan")*('Q3 Data'!$H$4:$H$207&lt;&gt;""))+SUMPRODUCT(('Q4 Data'!$D$4:$D$207=D149)*('Q4 Data'!$B$4:$B$207="Challan")*('Q4 Data'!$H$4:$H$207&lt;&gt;"")))&gt;0,(SUMPRODUCT(('Q1 Data'!$D$4:$D$207=D149)*('Q1 Data'!$B$4:$B$207="Challan")*('Q1 Data'!$H$4:$H$207=Z149))+SUMPRODUCT(('Q2 Data'!$D$4:$D$207=D149)*('Q2 Data'!$B$4:$B$207="Challan")*('Q2 Data'!$H$4:$H$207=Z149))+SUMPRODUCT(('Q3 Data'!$D$4:$D$207=D149)*('Q3 Data'!$B$4:$B$207="Challan")*('Q3 Data'!$H$4:$H$207=Z149))+SUMPRODUCT(('Q4 Data'!$D$4:$D$207=D149)*('Q4 Data'!$B$4:$B$207="Challan")*('Q4 Data'!$H$4:$H$207=Z149)))=0))</f>
      </c>
    </row>
    <row r="150" spans="1:44" x14ac:dyDescent="0.25">
      <c r="A150" s="20">
        <f>IF($B150="Entry",COUNTIF($B$4:$B150,"Entry"),"")</f>
      </c>
      <c r="B150" s="21"/>
      <c r="C150" s="22"/>
      <c r="D150" s="22"/>
      <c r="E150" s="23">
        <f>IF($B150&lt;&gt;"Challan","",IF(ROUND(AN150-AO150,2)&gt;0,"Over-applied",IF(ROUND(AN150-AO150,2)=0,"Fully Utilised","Unconsumed")))</f>
      </c>
      <c r="F150" s="24"/>
      <c r="G150" s="25"/>
      <c r="H150" s="25"/>
      <c r="I150" s="26"/>
      <c r="J150" s="26"/>
      <c r="K150" s="26"/>
      <c r="L150" s="26"/>
      <c r="M150" s="26"/>
      <c r="N150" s="26"/>
      <c r="O150" s="26"/>
      <c r="P150" s="27">
        <f>IF($B150&lt;&gt;"Challan","",I150+J150+K150+L150+M150+N150)</f>
      </c>
      <c r="Q150" s="25"/>
      <c r="R150" s="25"/>
      <c r="S150" s="25"/>
      <c r="T150" s="25"/>
      <c r="U150" s="25"/>
      <c r="V150" s="28"/>
      <c r="W150" s="28"/>
      <c r="X150" s="23">
        <f>IF($B150="Entry",IF(AND(LEN(TRIM(UPPER(W150)))=10,CODE(MID(TRIM(UPPER(W150)),1,1))&gt;=65,CODE(MID(TRIM(UPPER(W150)),1,1))&lt;=90,CODE(MID(TRIM(UPPER(W150)),2,1))&gt;=65,CODE(MID(TRIM(UPPER(W150)),2,1))&lt;=90,CODE(MID(TRIM(UPPER(W150)),3,1))&gt;=65,CODE(MID(TRIM(UPPER(W150)),3,1))&lt;=90,CODE(MID(TRIM(UPPER(W150)),4,1))&gt;=65,CODE(MID(TRIM(UPPER(W150)),4,1))&lt;=90,CODE(MID(TRIM(UPPER(W150)),5,1))&gt;=65,CODE(MID(TRIM(UPPER(W150)),5,1))&lt;=90,CODE(MID(TRIM(UPPER(W150)),10,1))&gt;=65,CODE(MID(TRIM(UPPER(W150)),10,1))&lt;=90,CODE(MID(TRIM(UPPER(W150)),6,1))&gt;=48,CODE(MID(TRIM(UPPER(W150)),6,1))&lt;=57,CODE(MID(TRIM(UPPER(W150)),7,1))&gt;=48,CODE(MID(TRIM(UPPER(W150)),7,1))&lt;=57,CODE(MID(TRIM(UPPER(W150)),8,1))&gt;=48,CODE(MID(TRIM(UPPER(W150)),8,1))&lt;=57,CODE(MID(TRIM(UPPER(W150)),9,1))&gt;=48,CODE(MID(TRIM(UPPER(W150)),9,1))&lt;=57),"N","Y"),IF($B150="Challan","",IF(W150&lt;&gt;"","◄ Set Row Type","")))</f>
      </c>
      <c r="Y150" s="23">
        <f>IF($B150="Entry",IF(LEN(W150)&lt;4,"",IF(UPPER(MID(W150,4,1))="P","Individual",IF(UPPER(MID(W150,4,1))="H","HUF",IF(UPPER(MID(W150,4,1))="C","Company",IF(UPPER(MID(W150,4,1))="F","Firm",IF(UPPER(MID(W150,4,1))="L","LLP",IF(UPPER(MID(W150,4,1))="T","Trust",IF(UPPER(MID(W150,4,1))="A","AOP","")))))))),IF($B150="Challan","",IF(W150&lt;&gt;"","◄ Set Row Type","")))</f>
      </c>
      <c r="Z150" s="28"/>
      <c r="AA150" s="29">
        <f>IF($B150&lt;&gt;"Entry","",IF(Z150="","",IF(X150="Y",SUMPRODUCT(('Rate Lookup'!$A$1:$A$37=Z150)*'Rate Lookup'!$D$1:$D$37),IF(OR(Y150="Individual",Y150="HUF"),SUMPRODUCT(('Rate Lookup'!$A$1:$A$37=Z150)*'Rate Lookup'!$B$1:$B$37),SUMPRODUCT(('Rate Lookup'!$A$1:$A$37=Z150)*'Rate Lookup'!$C$1:$C$37)))))</f>
      </c>
      <c r="AB150" s="30"/>
      <c r="AC150" s="31"/>
      <c r="AD150" s="27">
        <f>IF($B150&lt;&gt;"Entry","",ROUND(AC150*AA150/100,0))</f>
      </c>
      <c r="AE150" s="27">
        <f>IF($B150&lt;&gt;"Entry","",0)</f>
      </c>
      <c r="AF150" s="27">
        <f>IF($B150&lt;&gt;"Entry","",0)</f>
      </c>
      <c r="AG150" s="27">
        <f>IF($B150&lt;&gt;"Entry","",IF(OR(AD150=0,AB150="",AQ150="",AQ150&lt;=0),0,IF(AQ150&lt;=DATE(YEAR(AB150),MONTH(AB150)+1,7),0,ROUND(AD150*0.015*((YEAR(AQ150)-YEAR(AB150))*12+(MONTH(AQ150)-MONTH(AB150))+1),0))))</f>
      </c>
      <c r="AH150" s="27">
        <f>IF($B150&lt;&gt;"Entry","",0)</f>
      </c>
      <c r="AI150" s="28"/>
      <c r="AJ150" s="28"/>
      <c r="AK150" s="32"/>
      <c r="AL150" s="28"/>
      <c r="AM150" s="28"/>
      <c r="AN150" s="27">
        <f>IF($B150&lt;&gt;"Challan","",SUMIF('Q1 Data'!$D$4:$D$207,D150,'Q1 Data'!$AD$4:$AD$207)+SUMIF('Q1 Data'!$D$4:$D$207,D150,'Q1 Data'!$AG$4:$AG$207)+SUMIF('Q1 Data'!$D$4:$D$207,D150,'Q1 Data'!$AE$4:$AE$207)+SUMIF('Q2 Data'!$D$4:$D$207,D150,'Q2 Data'!$AD$4:$AD$207)+SUMIF('Q2 Data'!$D$4:$D$207,D150,'Q2 Data'!$AG$4:$AG$207)+SUMIF('Q2 Data'!$D$4:$D$207,D150,'Q2 Data'!$AE$4:$AE$207)+SUMIF('Q3 Data'!$D$4:$D$207,D150,'Q3 Data'!$AD$4:$AD$207)+SUMIF('Q3 Data'!$D$4:$D$207,D150,'Q3 Data'!$AG$4:$AG$207)+SUMIF('Q3 Data'!$D$4:$D$207,D150,'Q3 Data'!$AE$4:$AE$207)+SUMIF('Q4 Data'!$D$4:$D$207,D150,'Q4 Data'!$AD$4:$AD$207)+SUMIF('Q4 Data'!$D$4:$D$207,D150,'Q4 Data'!$AG$4:$AG$207)+SUMIF('Q4 Data'!$D$4:$D$207,D150,'Q4 Data'!$AE$4:$AE$207))</f>
      </c>
      <c r="AO150" s="27">
        <f>IF($B150&lt;&gt;"Challan","",P150-N150)</f>
      </c>
      <c r="AP150" s="27">
        <f>IF($B150&lt;&gt;"Challan","",MAX(0,AO150-AN150))</f>
      </c>
      <c r="AQ150" s="33">
        <f>IF($B150&lt;&gt;"Entry","",SUMPRODUCT(('Q1 Data'!$D$4:$D$207=D150)*('Q1 Data'!$B$4:$B$207="Challan")*'Q1 Data'!$F$4:$F$207)+SUMPRODUCT(('Q2 Data'!$D$4:$D$207=D150)*('Q2 Data'!$B$4:$B$207="Challan")*'Q2 Data'!$F$4:$F$207)+SUMPRODUCT(('Q3 Data'!$D$4:$D$207=D150)*('Q3 Data'!$B$4:$B$207="Challan")*'Q3 Data'!$F$4:$F$207)+SUMPRODUCT(('Q4 Data'!$D$4:$D$207=D150)*('Q4 Data'!$B$4:$B$207="Challan")*'Q4 Data'!$F$4:$F$207))</f>
      </c>
      <c r="AR150" s="34">
        <f>IF(OR($B150&lt;&gt;"Entry",Z150=""),FALSE,AND((SUMPRODUCT(('Q1 Data'!$D$4:$D$207=D150)*('Q1 Data'!$B$4:$B$207="Challan")*('Q1 Data'!$H$4:$H$207&lt;&gt;""))+SUMPRODUCT(('Q2 Data'!$D$4:$D$207=D150)*('Q2 Data'!$B$4:$B$207="Challan")*('Q2 Data'!$H$4:$H$207&lt;&gt;""))+SUMPRODUCT(('Q3 Data'!$D$4:$D$207=D150)*('Q3 Data'!$B$4:$B$207="Challan")*('Q3 Data'!$H$4:$H$207&lt;&gt;""))+SUMPRODUCT(('Q4 Data'!$D$4:$D$207=D150)*('Q4 Data'!$B$4:$B$207="Challan")*('Q4 Data'!$H$4:$H$207&lt;&gt;"")))&gt;0,(SUMPRODUCT(('Q1 Data'!$D$4:$D$207=D150)*('Q1 Data'!$B$4:$B$207="Challan")*('Q1 Data'!$H$4:$H$207=Z150))+SUMPRODUCT(('Q2 Data'!$D$4:$D$207=D150)*('Q2 Data'!$B$4:$B$207="Challan")*('Q2 Data'!$H$4:$H$207=Z150))+SUMPRODUCT(('Q3 Data'!$D$4:$D$207=D150)*('Q3 Data'!$B$4:$B$207="Challan")*('Q3 Data'!$H$4:$H$207=Z150))+SUMPRODUCT(('Q4 Data'!$D$4:$D$207=D150)*('Q4 Data'!$B$4:$B$207="Challan")*('Q4 Data'!$H$4:$H$207=Z150)))=0))</f>
      </c>
    </row>
    <row r="151" spans="1:44" x14ac:dyDescent="0.25">
      <c r="A151" s="20">
        <f>IF($B151="Entry",COUNTIF($B$4:$B151,"Entry"),"")</f>
      </c>
      <c r="B151" s="21"/>
      <c r="C151" s="22"/>
      <c r="D151" s="22"/>
      <c r="E151" s="23">
        <f>IF($B151&lt;&gt;"Challan","",IF(ROUND(AN151-AO151,2)&gt;0,"Over-applied",IF(ROUND(AN151-AO151,2)=0,"Fully Utilised","Unconsumed")))</f>
      </c>
      <c r="F151" s="24"/>
      <c r="G151" s="25"/>
      <c r="H151" s="25"/>
      <c r="I151" s="26"/>
      <c r="J151" s="26"/>
      <c r="K151" s="26"/>
      <c r="L151" s="26"/>
      <c r="M151" s="26"/>
      <c r="N151" s="26"/>
      <c r="O151" s="26"/>
      <c r="P151" s="27">
        <f>IF($B151&lt;&gt;"Challan","",I151+J151+K151+L151+M151+N151)</f>
      </c>
      <c r="Q151" s="25"/>
      <c r="R151" s="25"/>
      <c r="S151" s="25"/>
      <c r="T151" s="25"/>
      <c r="U151" s="25"/>
      <c r="V151" s="28"/>
      <c r="W151" s="28"/>
      <c r="X151" s="23">
        <f>IF($B151="Entry",IF(AND(LEN(TRIM(UPPER(W151)))=10,CODE(MID(TRIM(UPPER(W151)),1,1))&gt;=65,CODE(MID(TRIM(UPPER(W151)),1,1))&lt;=90,CODE(MID(TRIM(UPPER(W151)),2,1))&gt;=65,CODE(MID(TRIM(UPPER(W151)),2,1))&lt;=90,CODE(MID(TRIM(UPPER(W151)),3,1))&gt;=65,CODE(MID(TRIM(UPPER(W151)),3,1))&lt;=90,CODE(MID(TRIM(UPPER(W151)),4,1))&gt;=65,CODE(MID(TRIM(UPPER(W151)),4,1))&lt;=90,CODE(MID(TRIM(UPPER(W151)),5,1))&gt;=65,CODE(MID(TRIM(UPPER(W151)),5,1))&lt;=90,CODE(MID(TRIM(UPPER(W151)),10,1))&gt;=65,CODE(MID(TRIM(UPPER(W151)),10,1))&lt;=90,CODE(MID(TRIM(UPPER(W151)),6,1))&gt;=48,CODE(MID(TRIM(UPPER(W151)),6,1))&lt;=57,CODE(MID(TRIM(UPPER(W151)),7,1))&gt;=48,CODE(MID(TRIM(UPPER(W151)),7,1))&lt;=57,CODE(MID(TRIM(UPPER(W151)),8,1))&gt;=48,CODE(MID(TRIM(UPPER(W151)),8,1))&lt;=57,CODE(MID(TRIM(UPPER(W151)),9,1))&gt;=48,CODE(MID(TRIM(UPPER(W151)),9,1))&lt;=57),"N","Y"),IF($B151="Challan","",IF(W151&lt;&gt;"","◄ Set Row Type","")))</f>
      </c>
      <c r="Y151" s="23">
        <f>IF($B151="Entry",IF(LEN(W151)&lt;4,"",IF(UPPER(MID(W151,4,1))="P","Individual",IF(UPPER(MID(W151,4,1))="H","HUF",IF(UPPER(MID(W151,4,1))="C","Company",IF(UPPER(MID(W151,4,1))="F","Firm",IF(UPPER(MID(W151,4,1))="L","LLP",IF(UPPER(MID(W151,4,1))="T","Trust",IF(UPPER(MID(W151,4,1))="A","AOP","")))))))),IF($B151="Challan","",IF(W151&lt;&gt;"","◄ Set Row Type","")))</f>
      </c>
      <c r="Z151" s="28"/>
      <c r="AA151" s="29">
        <f>IF($B151&lt;&gt;"Entry","",IF(Z151="","",IF(X151="Y",SUMPRODUCT(('Rate Lookup'!$A$1:$A$37=Z151)*'Rate Lookup'!$D$1:$D$37),IF(OR(Y151="Individual",Y151="HUF"),SUMPRODUCT(('Rate Lookup'!$A$1:$A$37=Z151)*'Rate Lookup'!$B$1:$B$37),SUMPRODUCT(('Rate Lookup'!$A$1:$A$37=Z151)*'Rate Lookup'!$C$1:$C$37)))))</f>
      </c>
      <c r="AB151" s="30"/>
      <c r="AC151" s="31"/>
      <c r="AD151" s="27">
        <f>IF($B151&lt;&gt;"Entry","",ROUND(AC151*AA151/100,0))</f>
      </c>
      <c r="AE151" s="27">
        <f>IF($B151&lt;&gt;"Entry","",0)</f>
      </c>
      <c r="AF151" s="27">
        <f>IF($B151&lt;&gt;"Entry","",0)</f>
      </c>
      <c r="AG151" s="27">
        <f>IF($B151&lt;&gt;"Entry","",IF(OR(AD151=0,AB151="",AQ151="",AQ151&lt;=0),0,IF(AQ151&lt;=DATE(YEAR(AB151),MONTH(AB151)+1,7),0,ROUND(AD151*0.015*((YEAR(AQ151)-YEAR(AB151))*12+(MONTH(AQ151)-MONTH(AB151))+1),0))))</f>
      </c>
      <c r="AH151" s="27">
        <f>IF($B151&lt;&gt;"Entry","",0)</f>
      </c>
      <c r="AI151" s="28"/>
      <c r="AJ151" s="28"/>
      <c r="AK151" s="32"/>
      <c r="AL151" s="28"/>
      <c r="AM151" s="28"/>
      <c r="AN151" s="27">
        <f>IF($B151&lt;&gt;"Challan","",SUMIF('Q1 Data'!$D$4:$D$207,D151,'Q1 Data'!$AD$4:$AD$207)+SUMIF('Q1 Data'!$D$4:$D$207,D151,'Q1 Data'!$AG$4:$AG$207)+SUMIF('Q1 Data'!$D$4:$D$207,D151,'Q1 Data'!$AE$4:$AE$207)+SUMIF('Q2 Data'!$D$4:$D$207,D151,'Q2 Data'!$AD$4:$AD$207)+SUMIF('Q2 Data'!$D$4:$D$207,D151,'Q2 Data'!$AG$4:$AG$207)+SUMIF('Q2 Data'!$D$4:$D$207,D151,'Q2 Data'!$AE$4:$AE$207)+SUMIF('Q3 Data'!$D$4:$D$207,D151,'Q3 Data'!$AD$4:$AD$207)+SUMIF('Q3 Data'!$D$4:$D$207,D151,'Q3 Data'!$AG$4:$AG$207)+SUMIF('Q3 Data'!$D$4:$D$207,D151,'Q3 Data'!$AE$4:$AE$207)+SUMIF('Q4 Data'!$D$4:$D$207,D151,'Q4 Data'!$AD$4:$AD$207)+SUMIF('Q4 Data'!$D$4:$D$207,D151,'Q4 Data'!$AG$4:$AG$207)+SUMIF('Q4 Data'!$D$4:$D$207,D151,'Q4 Data'!$AE$4:$AE$207))</f>
      </c>
      <c r="AO151" s="27">
        <f>IF($B151&lt;&gt;"Challan","",P151-N151)</f>
      </c>
      <c r="AP151" s="27">
        <f>IF($B151&lt;&gt;"Challan","",MAX(0,AO151-AN151))</f>
      </c>
      <c r="AQ151" s="33">
        <f>IF($B151&lt;&gt;"Entry","",SUMPRODUCT(('Q1 Data'!$D$4:$D$207=D151)*('Q1 Data'!$B$4:$B$207="Challan")*'Q1 Data'!$F$4:$F$207)+SUMPRODUCT(('Q2 Data'!$D$4:$D$207=D151)*('Q2 Data'!$B$4:$B$207="Challan")*'Q2 Data'!$F$4:$F$207)+SUMPRODUCT(('Q3 Data'!$D$4:$D$207=D151)*('Q3 Data'!$B$4:$B$207="Challan")*'Q3 Data'!$F$4:$F$207)+SUMPRODUCT(('Q4 Data'!$D$4:$D$207=D151)*('Q4 Data'!$B$4:$B$207="Challan")*'Q4 Data'!$F$4:$F$207))</f>
      </c>
      <c r="AR151" s="34">
        <f>IF(OR($B151&lt;&gt;"Entry",Z151=""),FALSE,AND((SUMPRODUCT(('Q1 Data'!$D$4:$D$207=D151)*('Q1 Data'!$B$4:$B$207="Challan")*('Q1 Data'!$H$4:$H$207&lt;&gt;""))+SUMPRODUCT(('Q2 Data'!$D$4:$D$207=D151)*('Q2 Data'!$B$4:$B$207="Challan")*('Q2 Data'!$H$4:$H$207&lt;&gt;""))+SUMPRODUCT(('Q3 Data'!$D$4:$D$207=D151)*('Q3 Data'!$B$4:$B$207="Challan")*('Q3 Data'!$H$4:$H$207&lt;&gt;""))+SUMPRODUCT(('Q4 Data'!$D$4:$D$207=D151)*('Q4 Data'!$B$4:$B$207="Challan")*('Q4 Data'!$H$4:$H$207&lt;&gt;"")))&gt;0,(SUMPRODUCT(('Q1 Data'!$D$4:$D$207=D151)*('Q1 Data'!$B$4:$B$207="Challan")*('Q1 Data'!$H$4:$H$207=Z151))+SUMPRODUCT(('Q2 Data'!$D$4:$D$207=D151)*('Q2 Data'!$B$4:$B$207="Challan")*('Q2 Data'!$H$4:$H$207=Z151))+SUMPRODUCT(('Q3 Data'!$D$4:$D$207=D151)*('Q3 Data'!$B$4:$B$207="Challan")*('Q3 Data'!$H$4:$H$207=Z151))+SUMPRODUCT(('Q4 Data'!$D$4:$D$207=D151)*('Q4 Data'!$B$4:$B$207="Challan")*('Q4 Data'!$H$4:$H$207=Z151)))=0))</f>
      </c>
    </row>
    <row r="152" spans="1:44" x14ac:dyDescent="0.25">
      <c r="A152" s="20">
        <f>IF($B152="Entry",COUNTIF($B$4:$B152,"Entry"),"")</f>
      </c>
      <c r="B152" s="21"/>
      <c r="C152" s="22"/>
      <c r="D152" s="22"/>
      <c r="E152" s="23">
        <f>IF($B152&lt;&gt;"Challan","",IF(ROUND(AN152-AO152,2)&gt;0,"Over-applied",IF(ROUND(AN152-AO152,2)=0,"Fully Utilised","Unconsumed")))</f>
      </c>
      <c r="F152" s="24"/>
      <c r="G152" s="25"/>
      <c r="H152" s="25"/>
      <c r="I152" s="26"/>
      <c r="J152" s="26"/>
      <c r="K152" s="26"/>
      <c r="L152" s="26"/>
      <c r="M152" s="26"/>
      <c r="N152" s="26"/>
      <c r="O152" s="26"/>
      <c r="P152" s="27">
        <f>IF($B152&lt;&gt;"Challan","",I152+J152+K152+L152+M152+N152)</f>
      </c>
      <c r="Q152" s="25"/>
      <c r="R152" s="25"/>
      <c r="S152" s="25"/>
      <c r="T152" s="25"/>
      <c r="U152" s="25"/>
      <c r="V152" s="28"/>
      <c r="W152" s="28"/>
      <c r="X152" s="23">
        <f>IF($B152="Entry",IF(AND(LEN(TRIM(UPPER(W152)))=10,CODE(MID(TRIM(UPPER(W152)),1,1))&gt;=65,CODE(MID(TRIM(UPPER(W152)),1,1))&lt;=90,CODE(MID(TRIM(UPPER(W152)),2,1))&gt;=65,CODE(MID(TRIM(UPPER(W152)),2,1))&lt;=90,CODE(MID(TRIM(UPPER(W152)),3,1))&gt;=65,CODE(MID(TRIM(UPPER(W152)),3,1))&lt;=90,CODE(MID(TRIM(UPPER(W152)),4,1))&gt;=65,CODE(MID(TRIM(UPPER(W152)),4,1))&lt;=90,CODE(MID(TRIM(UPPER(W152)),5,1))&gt;=65,CODE(MID(TRIM(UPPER(W152)),5,1))&lt;=90,CODE(MID(TRIM(UPPER(W152)),10,1))&gt;=65,CODE(MID(TRIM(UPPER(W152)),10,1))&lt;=90,CODE(MID(TRIM(UPPER(W152)),6,1))&gt;=48,CODE(MID(TRIM(UPPER(W152)),6,1))&lt;=57,CODE(MID(TRIM(UPPER(W152)),7,1))&gt;=48,CODE(MID(TRIM(UPPER(W152)),7,1))&lt;=57,CODE(MID(TRIM(UPPER(W152)),8,1))&gt;=48,CODE(MID(TRIM(UPPER(W152)),8,1))&lt;=57,CODE(MID(TRIM(UPPER(W152)),9,1))&gt;=48,CODE(MID(TRIM(UPPER(W152)),9,1))&lt;=57),"N","Y"),IF($B152="Challan","",IF(W152&lt;&gt;"","◄ Set Row Type","")))</f>
      </c>
      <c r="Y152" s="23">
        <f>IF($B152="Entry",IF(LEN(W152)&lt;4,"",IF(UPPER(MID(W152,4,1))="P","Individual",IF(UPPER(MID(W152,4,1))="H","HUF",IF(UPPER(MID(W152,4,1))="C","Company",IF(UPPER(MID(W152,4,1))="F","Firm",IF(UPPER(MID(W152,4,1))="L","LLP",IF(UPPER(MID(W152,4,1))="T","Trust",IF(UPPER(MID(W152,4,1))="A","AOP","")))))))),IF($B152="Challan","",IF(W152&lt;&gt;"","◄ Set Row Type","")))</f>
      </c>
      <c r="Z152" s="28"/>
      <c r="AA152" s="29">
        <f>IF($B152&lt;&gt;"Entry","",IF(Z152="","",IF(X152="Y",SUMPRODUCT(('Rate Lookup'!$A$1:$A$37=Z152)*'Rate Lookup'!$D$1:$D$37),IF(OR(Y152="Individual",Y152="HUF"),SUMPRODUCT(('Rate Lookup'!$A$1:$A$37=Z152)*'Rate Lookup'!$B$1:$B$37),SUMPRODUCT(('Rate Lookup'!$A$1:$A$37=Z152)*'Rate Lookup'!$C$1:$C$37)))))</f>
      </c>
      <c r="AB152" s="30"/>
      <c r="AC152" s="31"/>
      <c r="AD152" s="27">
        <f>IF($B152&lt;&gt;"Entry","",ROUND(AC152*AA152/100,0))</f>
      </c>
      <c r="AE152" s="27">
        <f>IF($B152&lt;&gt;"Entry","",0)</f>
      </c>
      <c r="AF152" s="27">
        <f>IF($B152&lt;&gt;"Entry","",0)</f>
      </c>
      <c r="AG152" s="27">
        <f>IF($B152&lt;&gt;"Entry","",IF(OR(AD152=0,AB152="",AQ152="",AQ152&lt;=0),0,IF(AQ152&lt;=DATE(YEAR(AB152),MONTH(AB152)+1,7),0,ROUND(AD152*0.015*((YEAR(AQ152)-YEAR(AB152))*12+(MONTH(AQ152)-MONTH(AB152))+1),0))))</f>
      </c>
      <c r="AH152" s="27">
        <f>IF($B152&lt;&gt;"Entry","",0)</f>
      </c>
      <c r="AI152" s="28"/>
      <c r="AJ152" s="28"/>
      <c r="AK152" s="32"/>
      <c r="AL152" s="28"/>
      <c r="AM152" s="28"/>
      <c r="AN152" s="27">
        <f>IF($B152&lt;&gt;"Challan","",SUMIF('Q1 Data'!$D$4:$D$207,D152,'Q1 Data'!$AD$4:$AD$207)+SUMIF('Q1 Data'!$D$4:$D$207,D152,'Q1 Data'!$AG$4:$AG$207)+SUMIF('Q1 Data'!$D$4:$D$207,D152,'Q1 Data'!$AE$4:$AE$207)+SUMIF('Q2 Data'!$D$4:$D$207,D152,'Q2 Data'!$AD$4:$AD$207)+SUMIF('Q2 Data'!$D$4:$D$207,D152,'Q2 Data'!$AG$4:$AG$207)+SUMIF('Q2 Data'!$D$4:$D$207,D152,'Q2 Data'!$AE$4:$AE$207)+SUMIF('Q3 Data'!$D$4:$D$207,D152,'Q3 Data'!$AD$4:$AD$207)+SUMIF('Q3 Data'!$D$4:$D$207,D152,'Q3 Data'!$AG$4:$AG$207)+SUMIF('Q3 Data'!$D$4:$D$207,D152,'Q3 Data'!$AE$4:$AE$207)+SUMIF('Q4 Data'!$D$4:$D$207,D152,'Q4 Data'!$AD$4:$AD$207)+SUMIF('Q4 Data'!$D$4:$D$207,D152,'Q4 Data'!$AG$4:$AG$207)+SUMIF('Q4 Data'!$D$4:$D$207,D152,'Q4 Data'!$AE$4:$AE$207))</f>
      </c>
      <c r="AO152" s="27">
        <f>IF($B152&lt;&gt;"Challan","",P152-N152)</f>
      </c>
      <c r="AP152" s="27">
        <f>IF($B152&lt;&gt;"Challan","",MAX(0,AO152-AN152))</f>
      </c>
      <c r="AQ152" s="33">
        <f>IF($B152&lt;&gt;"Entry","",SUMPRODUCT(('Q1 Data'!$D$4:$D$207=D152)*('Q1 Data'!$B$4:$B$207="Challan")*'Q1 Data'!$F$4:$F$207)+SUMPRODUCT(('Q2 Data'!$D$4:$D$207=D152)*('Q2 Data'!$B$4:$B$207="Challan")*'Q2 Data'!$F$4:$F$207)+SUMPRODUCT(('Q3 Data'!$D$4:$D$207=D152)*('Q3 Data'!$B$4:$B$207="Challan")*'Q3 Data'!$F$4:$F$207)+SUMPRODUCT(('Q4 Data'!$D$4:$D$207=D152)*('Q4 Data'!$B$4:$B$207="Challan")*'Q4 Data'!$F$4:$F$207))</f>
      </c>
      <c r="AR152" s="34">
        <f>IF(OR($B152&lt;&gt;"Entry",Z152=""),FALSE,AND((SUMPRODUCT(('Q1 Data'!$D$4:$D$207=D152)*('Q1 Data'!$B$4:$B$207="Challan")*('Q1 Data'!$H$4:$H$207&lt;&gt;""))+SUMPRODUCT(('Q2 Data'!$D$4:$D$207=D152)*('Q2 Data'!$B$4:$B$207="Challan")*('Q2 Data'!$H$4:$H$207&lt;&gt;""))+SUMPRODUCT(('Q3 Data'!$D$4:$D$207=D152)*('Q3 Data'!$B$4:$B$207="Challan")*('Q3 Data'!$H$4:$H$207&lt;&gt;""))+SUMPRODUCT(('Q4 Data'!$D$4:$D$207=D152)*('Q4 Data'!$B$4:$B$207="Challan")*('Q4 Data'!$H$4:$H$207&lt;&gt;"")))&gt;0,(SUMPRODUCT(('Q1 Data'!$D$4:$D$207=D152)*('Q1 Data'!$B$4:$B$207="Challan")*('Q1 Data'!$H$4:$H$207=Z152))+SUMPRODUCT(('Q2 Data'!$D$4:$D$207=D152)*('Q2 Data'!$B$4:$B$207="Challan")*('Q2 Data'!$H$4:$H$207=Z152))+SUMPRODUCT(('Q3 Data'!$D$4:$D$207=D152)*('Q3 Data'!$B$4:$B$207="Challan")*('Q3 Data'!$H$4:$H$207=Z152))+SUMPRODUCT(('Q4 Data'!$D$4:$D$207=D152)*('Q4 Data'!$B$4:$B$207="Challan")*('Q4 Data'!$H$4:$H$207=Z152)))=0))</f>
      </c>
    </row>
    <row r="153" spans="1:44" x14ac:dyDescent="0.25">
      <c r="A153" s="20">
        <f>IF($B153="Entry",COUNTIF($B$4:$B153,"Entry"),"")</f>
      </c>
      <c r="B153" s="21"/>
      <c r="C153" s="22"/>
      <c r="D153" s="22"/>
      <c r="E153" s="23">
        <f>IF($B153&lt;&gt;"Challan","",IF(ROUND(AN153-AO153,2)&gt;0,"Over-applied",IF(ROUND(AN153-AO153,2)=0,"Fully Utilised","Unconsumed")))</f>
      </c>
      <c r="F153" s="24"/>
      <c r="G153" s="25"/>
      <c r="H153" s="25"/>
      <c r="I153" s="26"/>
      <c r="J153" s="26"/>
      <c r="K153" s="26"/>
      <c r="L153" s="26"/>
      <c r="M153" s="26"/>
      <c r="N153" s="26"/>
      <c r="O153" s="26"/>
      <c r="P153" s="27">
        <f>IF($B153&lt;&gt;"Challan","",I153+J153+K153+L153+M153+N153)</f>
      </c>
      <c r="Q153" s="25"/>
      <c r="R153" s="25"/>
      <c r="S153" s="25"/>
      <c r="T153" s="25"/>
      <c r="U153" s="25"/>
      <c r="V153" s="28"/>
      <c r="W153" s="28"/>
      <c r="X153" s="23">
        <f>IF($B153="Entry",IF(AND(LEN(TRIM(UPPER(W153)))=10,CODE(MID(TRIM(UPPER(W153)),1,1))&gt;=65,CODE(MID(TRIM(UPPER(W153)),1,1))&lt;=90,CODE(MID(TRIM(UPPER(W153)),2,1))&gt;=65,CODE(MID(TRIM(UPPER(W153)),2,1))&lt;=90,CODE(MID(TRIM(UPPER(W153)),3,1))&gt;=65,CODE(MID(TRIM(UPPER(W153)),3,1))&lt;=90,CODE(MID(TRIM(UPPER(W153)),4,1))&gt;=65,CODE(MID(TRIM(UPPER(W153)),4,1))&lt;=90,CODE(MID(TRIM(UPPER(W153)),5,1))&gt;=65,CODE(MID(TRIM(UPPER(W153)),5,1))&lt;=90,CODE(MID(TRIM(UPPER(W153)),10,1))&gt;=65,CODE(MID(TRIM(UPPER(W153)),10,1))&lt;=90,CODE(MID(TRIM(UPPER(W153)),6,1))&gt;=48,CODE(MID(TRIM(UPPER(W153)),6,1))&lt;=57,CODE(MID(TRIM(UPPER(W153)),7,1))&gt;=48,CODE(MID(TRIM(UPPER(W153)),7,1))&lt;=57,CODE(MID(TRIM(UPPER(W153)),8,1))&gt;=48,CODE(MID(TRIM(UPPER(W153)),8,1))&lt;=57,CODE(MID(TRIM(UPPER(W153)),9,1))&gt;=48,CODE(MID(TRIM(UPPER(W153)),9,1))&lt;=57),"N","Y"),IF($B153="Challan","",IF(W153&lt;&gt;"","◄ Set Row Type","")))</f>
      </c>
      <c r="Y153" s="23">
        <f>IF($B153="Entry",IF(LEN(W153)&lt;4,"",IF(UPPER(MID(W153,4,1))="P","Individual",IF(UPPER(MID(W153,4,1))="H","HUF",IF(UPPER(MID(W153,4,1))="C","Company",IF(UPPER(MID(W153,4,1))="F","Firm",IF(UPPER(MID(W153,4,1))="L","LLP",IF(UPPER(MID(W153,4,1))="T","Trust",IF(UPPER(MID(W153,4,1))="A","AOP","")))))))),IF($B153="Challan","",IF(W153&lt;&gt;"","◄ Set Row Type","")))</f>
      </c>
      <c r="Z153" s="28"/>
      <c r="AA153" s="29">
        <f>IF($B153&lt;&gt;"Entry","",IF(Z153="","",IF(X153="Y",SUMPRODUCT(('Rate Lookup'!$A$1:$A$37=Z153)*'Rate Lookup'!$D$1:$D$37),IF(OR(Y153="Individual",Y153="HUF"),SUMPRODUCT(('Rate Lookup'!$A$1:$A$37=Z153)*'Rate Lookup'!$B$1:$B$37),SUMPRODUCT(('Rate Lookup'!$A$1:$A$37=Z153)*'Rate Lookup'!$C$1:$C$37)))))</f>
      </c>
      <c r="AB153" s="30"/>
      <c r="AC153" s="31"/>
      <c r="AD153" s="27">
        <f>IF($B153&lt;&gt;"Entry","",ROUND(AC153*AA153/100,0))</f>
      </c>
      <c r="AE153" s="27">
        <f>IF($B153&lt;&gt;"Entry","",0)</f>
      </c>
      <c r="AF153" s="27">
        <f>IF($B153&lt;&gt;"Entry","",0)</f>
      </c>
      <c r="AG153" s="27">
        <f>IF($B153&lt;&gt;"Entry","",IF(OR(AD153=0,AB153="",AQ153="",AQ153&lt;=0),0,IF(AQ153&lt;=DATE(YEAR(AB153),MONTH(AB153)+1,7),0,ROUND(AD153*0.015*((YEAR(AQ153)-YEAR(AB153))*12+(MONTH(AQ153)-MONTH(AB153))+1),0))))</f>
      </c>
      <c r="AH153" s="27">
        <f>IF($B153&lt;&gt;"Entry","",0)</f>
      </c>
      <c r="AI153" s="28"/>
      <c r="AJ153" s="28"/>
      <c r="AK153" s="32"/>
      <c r="AL153" s="28"/>
      <c r="AM153" s="28"/>
      <c r="AN153" s="27">
        <f>IF($B153&lt;&gt;"Challan","",SUMIF('Q1 Data'!$D$4:$D$207,D153,'Q1 Data'!$AD$4:$AD$207)+SUMIF('Q1 Data'!$D$4:$D$207,D153,'Q1 Data'!$AG$4:$AG$207)+SUMIF('Q1 Data'!$D$4:$D$207,D153,'Q1 Data'!$AE$4:$AE$207)+SUMIF('Q2 Data'!$D$4:$D$207,D153,'Q2 Data'!$AD$4:$AD$207)+SUMIF('Q2 Data'!$D$4:$D$207,D153,'Q2 Data'!$AG$4:$AG$207)+SUMIF('Q2 Data'!$D$4:$D$207,D153,'Q2 Data'!$AE$4:$AE$207)+SUMIF('Q3 Data'!$D$4:$D$207,D153,'Q3 Data'!$AD$4:$AD$207)+SUMIF('Q3 Data'!$D$4:$D$207,D153,'Q3 Data'!$AG$4:$AG$207)+SUMIF('Q3 Data'!$D$4:$D$207,D153,'Q3 Data'!$AE$4:$AE$207)+SUMIF('Q4 Data'!$D$4:$D$207,D153,'Q4 Data'!$AD$4:$AD$207)+SUMIF('Q4 Data'!$D$4:$D$207,D153,'Q4 Data'!$AG$4:$AG$207)+SUMIF('Q4 Data'!$D$4:$D$207,D153,'Q4 Data'!$AE$4:$AE$207))</f>
      </c>
      <c r="AO153" s="27">
        <f>IF($B153&lt;&gt;"Challan","",P153-N153)</f>
      </c>
      <c r="AP153" s="27">
        <f>IF($B153&lt;&gt;"Challan","",MAX(0,AO153-AN153))</f>
      </c>
      <c r="AQ153" s="33">
        <f>IF($B153&lt;&gt;"Entry","",SUMPRODUCT(('Q1 Data'!$D$4:$D$207=D153)*('Q1 Data'!$B$4:$B$207="Challan")*'Q1 Data'!$F$4:$F$207)+SUMPRODUCT(('Q2 Data'!$D$4:$D$207=D153)*('Q2 Data'!$B$4:$B$207="Challan")*'Q2 Data'!$F$4:$F$207)+SUMPRODUCT(('Q3 Data'!$D$4:$D$207=D153)*('Q3 Data'!$B$4:$B$207="Challan")*'Q3 Data'!$F$4:$F$207)+SUMPRODUCT(('Q4 Data'!$D$4:$D$207=D153)*('Q4 Data'!$B$4:$B$207="Challan")*'Q4 Data'!$F$4:$F$207))</f>
      </c>
      <c r="AR153" s="34">
        <f>IF(OR($B153&lt;&gt;"Entry",Z153=""),FALSE,AND((SUMPRODUCT(('Q1 Data'!$D$4:$D$207=D153)*('Q1 Data'!$B$4:$B$207="Challan")*('Q1 Data'!$H$4:$H$207&lt;&gt;""))+SUMPRODUCT(('Q2 Data'!$D$4:$D$207=D153)*('Q2 Data'!$B$4:$B$207="Challan")*('Q2 Data'!$H$4:$H$207&lt;&gt;""))+SUMPRODUCT(('Q3 Data'!$D$4:$D$207=D153)*('Q3 Data'!$B$4:$B$207="Challan")*('Q3 Data'!$H$4:$H$207&lt;&gt;""))+SUMPRODUCT(('Q4 Data'!$D$4:$D$207=D153)*('Q4 Data'!$B$4:$B$207="Challan")*('Q4 Data'!$H$4:$H$207&lt;&gt;"")))&gt;0,(SUMPRODUCT(('Q1 Data'!$D$4:$D$207=D153)*('Q1 Data'!$B$4:$B$207="Challan")*('Q1 Data'!$H$4:$H$207=Z153))+SUMPRODUCT(('Q2 Data'!$D$4:$D$207=D153)*('Q2 Data'!$B$4:$B$207="Challan")*('Q2 Data'!$H$4:$H$207=Z153))+SUMPRODUCT(('Q3 Data'!$D$4:$D$207=D153)*('Q3 Data'!$B$4:$B$207="Challan")*('Q3 Data'!$H$4:$H$207=Z153))+SUMPRODUCT(('Q4 Data'!$D$4:$D$207=D153)*('Q4 Data'!$B$4:$B$207="Challan")*('Q4 Data'!$H$4:$H$207=Z153)))=0))</f>
      </c>
    </row>
    <row r="154" spans="1:44" x14ac:dyDescent="0.25">
      <c r="A154" s="20">
        <f>IF($B154="Entry",COUNTIF($B$4:$B154,"Entry"),"")</f>
      </c>
      <c r="B154" s="21"/>
      <c r="C154" s="22"/>
      <c r="D154" s="22"/>
      <c r="E154" s="23">
        <f>IF($B154&lt;&gt;"Challan","",IF(ROUND(AN154-AO154,2)&gt;0,"Over-applied",IF(ROUND(AN154-AO154,2)=0,"Fully Utilised","Unconsumed")))</f>
      </c>
      <c r="F154" s="24"/>
      <c r="G154" s="25"/>
      <c r="H154" s="25"/>
      <c r="I154" s="26"/>
      <c r="J154" s="26"/>
      <c r="K154" s="26"/>
      <c r="L154" s="26"/>
      <c r="M154" s="26"/>
      <c r="N154" s="26"/>
      <c r="O154" s="26"/>
      <c r="P154" s="27">
        <f>IF($B154&lt;&gt;"Challan","",I154+J154+K154+L154+M154+N154)</f>
      </c>
      <c r="Q154" s="25"/>
      <c r="R154" s="25"/>
      <c r="S154" s="25"/>
      <c r="T154" s="25"/>
      <c r="U154" s="25"/>
      <c r="V154" s="28"/>
      <c r="W154" s="28"/>
      <c r="X154" s="23">
        <f>IF($B154="Entry",IF(AND(LEN(TRIM(UPPER(W154)))=10,CODE(MID(TRIM(UPPER(W154)),1,1))&gt;=65,CODE(MID(TRIM(UPPER(W154)),1,1))&lt;=90,CODE(MID(TRIM(UPPER(W154)),2,1))&gt;=65,CODE(MID(TRIM(UPPER(W154)),2,1))&lt;=90,CODE(MID(TRIM(UPPER(W154)),3,1))&gt;=65,CODE(MID(TRIM(UPPER(W154)),3,1))&lt;=90,CODE(MID(TRIM(UPPER(W154)),4,1))&gt;=65,CODE(MID(TRIM(UPPER(W154)),4,1))&lt;=90,CODE(MID(TRIM(UPPER(W154)),5,1))&gt;=65,CODE(MID(TRIM(UPPER(W154)),5,1))&lt;=90,CODE(MID(TRIM(UPPER(W154)),10,1))&gt;=65,CODE(MID(TRIM(UPPER(W154)),10,1))&lt;=90,CODE(MID(TRIM(UPPER(W154)),6,1))&gt;=48,CODE(MID(TRIM(UPPER(W154)),6,1))&lt;=57,CODE(MID(TRIM(UPPER(W154)),7,1))&gt;=48,CODE(MID(TRIM(UPPER(W154)),7,1))&lt;=57,CODE(MID(TRIM(UPPER(W154)),8,1))&gt;=48,CODE(MID(TRIM(UPPER(W154)),8,1))&lt;=57,CODE(MID(TRIM(UPPER(W154)),9,1))&gt;=48,CODE(MID(TRIM(UPPER(W154)),9,1))&lt;=57),"N","Y"),IF($B154="Challan","",IF(W154&lt;&gt;"","◄ Set Row Type","")))</f>
      </c>
      <c r="Y154" s="23">
        <f>IF($B154="Entry",IF(LEN(W154)&lt;4,"",IF(UPPER(MID(W154,4,1))="P","Individual",IF(UPPER(MID(W154,4,1))="H","HUF",IF(UPPER(MID(W154,4,1))="C","Company",IF(UPPER(MID(W154,4,1))="F","Firm",IF(UPPER(MID(W154,4,1))="L","LLP",IF(UPPER(MID(W154,4,1))="T","Trust",IF(UPPER(MID(W154,4,1))="A","AOP","")))))))),IF($B154="Challan","",IF(W154&lt;&gt;"","◄ Set Row Type","")))</f>
      </c>
      <c r="Z154" s="28"/>
      <c r="AA154" s="29">
        <f>IF($B154&lt;&gt;"Entry","",IF(Z154="","",IF(X154="Y",SUMPRODUCT(('Rate Lookup'!$A$1:$A$37=Z154)*'Rate Lookup'!$D$1:$D$37),IF(OR(Y154="Individual",Y154="HUF"),SUMPRODUCT(('Rate Lookup'!$A$1:$A$37=Z154)*'Rate Lookup'!$B$1:$B$37),SUMPRODUCT(('Rate Lookup'!$A$1:$A$37=Z154)*'Rate Lookup'!$C$1:$C$37)))))</f>
      </c>
      <c r="AB154" s="30"/>
      <c r="AC154" s="31"/>
      <c r="AD154" s="27">
        <f>IF($B154&lt;&gt;"Entry","",ROUND(AC154*AA154/100,0))</f>
      </c>
      <c r="AE154" s="27">
        <f>IF($B154&lt;&gt;"Entry","",0)</f>
      </c>
      <c r="AF154" s="27">
        <f>IF($B154&lt;&gt;"Entry","",0)</f>
      </c>
      <c r="AG154" s="27">
        <f>IF($B154&lt;&gt;"Entry","",IF(OR(AD154=0,AB154="",AQ154="",AQ154&lt;=0),0,IF(AQ154&lt;=DATE(YEAR(AB154),MONTH(AB154)+1,7),0,ROUND(AD154*0.015*((YEAR(AQ154)-YEAR(AB154))*12+(MONTH(AQ154)-MONTH(AB154))+1),0))))</f>
      </c>
      <c r="AH154" s="27">
        <f>IF($B154&lt;&gt;"Entry","",0)</f>
      </c>
      <c r="AI154" s="28"/>
      <c r="AJ154" s="28"/>
      <c r="AK154" s="32"/>
      <c r="AL154" s="28"/>
      <c r="AM154" s="28"/>
      <c r="AN154" s="27">
        <f>IF($B154&lt;&gt;"Challan","",SUMIF('Q1 Data'!$D$4:$D$207,D154,'Q1 Data'!$AD$4:$AD$207)+SUMIF('Q1 Data'!$D$4:$D$207,D154,'Q1 Data'!$AG$4:$AG$207)+SUMIF('Q1 Data'!$D$4:$D$207,D154,'Q1 Data'!$AE$4:$AE$207)+SUMIF('Q2 Data'!$D$4:$D$207,D154,'Q2 Data'!$AD$4:$AD$207)+SUMIF('Q2 Data'!$D$4:$D$207,D154,'Q2 Data'!$AG$4:$AG$207)+SUMIF('Q2 Data'!$D$4:$D$207,D154,'Q2 Data'!$AE$4:$AE$207)+SUMIF('Q3 Data'!$D$4:$D$207,D154,'Q3 Data'!$AD$4:$AD$207)+SUMIF('Q3 Data'!$D$4:$D$207,D154,'Q3 Data'!$AG$4:$AG$207)+SUMIF('Q3 Data'!$D$4:$D$207,D154,'Q3 Data'!$AE$4:$AE$207)+SUMIF('Q4 Data'!$D$4:$D$207,D154,'Q4 Data'!$AD$4:$AD$207)+SUMIF('Q4 Data'!$D$4:$D$207,D154,'Q4 Data'!$AG$4:$AG$207)+SUMIF('Q4 Data'!$D$4:$D$207,D154,'Q4 Data'!$AE$4:$AE$207))</f>
      </c>
      <c r="AO154" s="27">
        <f>IF($B154&lt;&gt;"Challan","",P154-N154)</f>
      </c>
      <c r="AP154" s="27">
        <f>IF($B154&lt;&gt;"Challan","",MAX(0,AO154-AN154))</f>
      </c>
      <c r="AQ154" s="33">
        <f>IF($B154&lt;&gt;"Entry","",SUMPRODUCT(('Q1 Data'!$D$4:$D$207=D154)*('Q1 Data'!$B$4:$B$207="Challan")*'Q1 Data'!$F$4:$F$207)+SUMPRODUCT(('Q2 Data'!$D$4:$D$207=D154)*('Q2 Data'!$B$4:$B$207="Challan")*'Q2 Data'!$F$4:$F$207)+SUMPRODUCT(('Q3 Data'!$D$4:$D$207=D154)*('Q3 Data'!$B$4:$B$207="Challan")*'Q3 Data'!$F$4:$F$207)+SUMPRODUCT(('Q4 Data'!$D$4:$D$207=D154)*('Q4 Data'!$B$4:$B$207="Challan")*'Q4 Data'!$F$4:$F$207))</f>
      </c>
      <c r="AR154" s="34">
        <f>IF(OR($B154&lt;&gt;"Entry",Z154=""),FALSE,AND((SUMPRODUCT(('Q1 Data'!$D$4:$D$207=D154)*('Q1 Data'!$B$4:$B$207="Challan")*('Q1 Data'!$H$4:$H$207&lt;&gt;""))+SUMPRODUCT(('Q2 Data'!$D$4:$D$207=D154)*('Q2 Data'!$B$4:$B$207="Challan")*('Q2 Data'!$H$4:$H$207&lt;&gt;""))+SUMPRODUCT(('Q3 Data'!$D$4:$D$207=D154)*('Q3 Data'!$B$4:$B$207="Challan")*('Q3 Data'!$H$4:$H$207&lt;&gt;""))+SUMPRODUCT(('Q4 Data'!$D$4:$D$207=D154)*('Q4 Data'!$B$4:$B$207="Challan")*('Q4 Data'!$H$4:$H$207&lt;&gt;"")))&gt;0,(SUMPRODUCT(('Q1 Data'!$D$4:$D$207=D154)*('Q1 Data'!$B$4:$B$207="Challan")*('Q1 Data'!$H$4:$H$207=Z154))+SUMPRODUCT(('Q2 Data'!$D$4:$D$207=D154)*('Q2 Data'!$B$4:$B$207="Challan")*('Q2 Data'!$H$4:$H$207=Z154))+SUMPRODUCT(('Q3 Data'!$D$4:$D$207=D154)*('Q3 Data'!$B$4:$B$207="Challan")*('Q3 Data'!$H$4:$H$207=Z154))+SUMPRODUCT(('Q4 Data'!$D$4:$D$207=D154)*('Q4 Data'!$B$4:$B$207="Challan")*('Q4 Data'!$H$4:$H$207=Z154)))=0))</f>
      </c>
    </row>
    <row r="155" spans="1:44" x14ac:dyDescent="0.25">
      <c r="A155" s="20">
        <f>IF($B155="Entry",COUNTIF($B$4:$B155,"Entry"),"")</f>
      </c>
      <c r="B155" s="21"/>
      <c r="C155" s="22"/>
      <c r="D155" s="22"/>
      <c r="E155" s="23">
        <f>IF($B155&lt;&gt;"Challan","",IF(ROUND(AN155-AO155,2)&gt;0,"Over-applied",IF(ROUND(AN155-AO155,2)=0,"Fully Utilised","Unconsumed")))</f>
      </c>
      <c r="F155" s="24"/>
      <c r="G155" s="25"/>
      <c r="H155" s="25"/>
      <c r="I155" s="26"/>
      <c r="J155" s="26"/>
      <c r="K155" s="26"/>
      <c r="L155" s="26"/>
      <c r="M155" s="26"/>
      <c r="N155" s="26"/>
      <c r="O155" s="26"/>
      <c r="P155" s="27">
        <f>IF($B155&lt;&gt;"Challan","",I155+J155+K155+L155+M155+N155)</f>
      </c>
      <c r="Q155" s="25"/>
      <c r="R155" s="25"/>
      <c r="S155" s="25"/>
      <c r="T155" s="25"/>
      <c r="U155" s="25"/>
      <c r="V155" s="28"/>
      <c r="W155" s="28"/>
      <c r="X155" s="23">
        <f>IF($B155="Entry",IF(AND(LEN(TRIM(UPPER(W155)))=10,CODE(MID(TRIM(UPPER(W155)),1,1))&gt;=65,CODE(MID(TRIM(UPPER(W155)),1,1))&lt;=90,CODE(MID(TRIM(UPPER(W155)),2,1))&gt;=65,CODE(MID(TRIM(UPPER(W155)),2,1))&lt;=90,CODE(MID(TRIM(UPPER(W155)),3,1))&gt;=65,CODE(MID(TRIM(UPPER(W155)),3,1))&lt;=90,CODE(MID(TRIM(UPPER(W155)),4,1))&gt;=65,CODE(MID(TRIM(UPPER(W155)),4,1))&lt;=90,CODE(MID(TRIM(UPPER(W155)),5,1))&gt;=65,CODE(MID(TRIM(UPPER(W155)),5,1))&lt;=90,CODE(MID(TRIM(UPPER(W155)),10,1))&gt;=65,CODE(MID(TRIM(UPPER(W155)),10,1))&lt;=90,CODE(MID(TRIM(UPPER(W155)),6,1))&gt;=48,CODE(MID(TRIM(UPPER(W155)),6,1))&lt;=57,CODE(MID(TRIM(UPPER(W155)),7,1))&gt;=48,CODE(MID(TRIM(UPPER(W155)),7,1))&lt;=57,CODE(MID(TRIM(UPPER(W155)),8,1))&gt;=48,CODE(MID(TRIM(UPPER(W155)),8,1))&lt;=57,CODE(MID(TRIM(UPPER(W155)),9,1))&gt;=48,CODE(MID(TRIM(UPPER(W155)),9,1))&lt;=57),"N","Y"),IF($B155="Challan","",IF(W155&lt;&gt;"","◄ Set Row Type","")))</f>
      </c>
      <c r="Y155" s="23">
        <f>IF($B155="Entry",IF(LEN(W155)&lt;4,"",IF(UPPER(MID(W155,4,1))="P","Individual",IF(UPPER(MID(W155,4,1))="H","HUF",IF(UPPER(MID(W155,4,1))="C","Company",IF(UPPER(MID(W155,4,1))="F","Firm",IF(UPPER(MID(W155,4,1))="L","LLP",IF(UPPER(MID(W155,4,1))="T","Trust",IF(UPPER(MID(W155,4,1))="A","AOP","")))))))),IF($B155="Challan","",IF(W155&lt;&gt;"","◄ Set Row Type","")))</f>
      </c>
      <c r="Z155" s="28"/>
      <c r="AA155" s="29">
        <f>IF($B155&lt;&gt;"Entry","",IF(Z155="","",IF(X155="Y",SUMPRODUCT(('Rate Lookup'!$A$1:$A$37=Z155)*'Rate Lookup'!$D$1:$D$37),IF(OR(Y155="Individual",Y155="HUF"),SUMPRODUCT(('Rate Lookup'!$A$1:$A$37=Z155)*'Rate Lookup'!$B$1:$B$37),SUMPRODUCT(('Rate Lookup'!$A$1:$A$37=Z155)*'Rate Lookup'!$C$1:$C$37)))))</f>
      </c>
      <c r="AB155" s="30"/>
      <c r="AC155" s="31"/>
      <c r="AD155" s="27">
        <f>IF($B155&lt;&gt;"Entry","",ROUND(AC155*AA155/100,0))</f>
      </c>
      <c r="AE155" s="27">
        <f>IF($B155&lt;&gt;"Entry","",0)</f>
      </c>
      <c r="AF155" s="27">
        <f>IF($B155&lt;&gt;"Entry","",0)</f>
      </c>
      <c r="AG155" s="27">
        <f>IF($B155&lt;&gt;"Entry","",IF(OR(AD155=0,AB155="",AQ155="",AQ155&lt;=0),0,IF(AQ155&lt;=DATE(YEAR(AB155),MONTH(AB155)+1,7),0,ROUND(AD155*0.015*((YEAR(AQ155)-YEAR(AB155))*12+(MONTH(AQ155)-MONTH(AB155))+1),0))))</f>
      </c>
      <c r="AH155" s="27">
        <f>IF($B155&lt;&gt;"Entry","",0)</f>
      </c>
      <c r="AI155" s="28"/>
      <c r="AJ155" s="28"/>
      <c r="AK155" s="32"/>
      <c r="AL155" s="28"/>
      <c r="AM155" s="28"/>
      <c r="AN155" s="27">
        <f>IF($B155&lt;&gt;"Challan","",SUMIF('Q1 Data'!$D$4:$D$207,D155,'Q1 Data'!$AD$4:$AD$207)+SUMIF('Q1 Data'!$D$4:$D$207,D155,'Q1 Data'!$AG$4:$AG$207)+SUMIF('Q1 Data'!$D$4:$D$207,D155,'Q1 Data'!$AE$4:$AE$207)+SUMIF('Q2 Data'!$D$4:$D$207,D155,'Q2 Data'!$AD$4:$AD$207)+SUMIF('Q2 Data'!$D$4:$D$207,D155,'Q2 Data'!$AG$4:$AG$207)+SUMIF('Q2 Data'!$D$4:$D$207,D155,'Q2 Data'!$AE$4:$AE$207)+SUMIF('Q3 Data'!$D$4:$D$207,D155,'Q3 Data'!$AD$4:$AD$207)+SUMIF('Q3 Data'!$D$4:$D$207,D155,'Q3 Data'!$AG$4:$AG$207)+SUMIF('Q3 Data'!$D$4:$D$207,D155,'Q3 Data'!$AE$4:$AE$207)+SUMIF('Q4 Data'!$D$4:$D$207,D155,'Q4 Data'!$AD$4:$AD$207)+SUMIF('Q4 Data'!$D$4:$D$207,D155,'Q4 Data'!$AG$4:$AG$207)+SUMIF('Q4 Data'!$D$4:$D$207,D155,'Q4 Data'!$AE$4:$AE$207))</f>
      </c>
      <c r="AO155" s="27">
        <f>IF($B155&lt;&gt;"Challan","",P155-N155)</f>
      </c>
      <c r="AP155" s="27">
        <f>IF($B155&lt;&gt;"Challan","",MAX(0,AO155-AN155))</f>
      </c>
      <c r="AQ155" s="33">
        <f>IF($B155&lt;&gt;"Entry","",SUMPRODUCT(('Q1 Data'!$D$4:$D$207=D155)*('Q1 Data'!$B$4:$B$207="Challan")*'Q1 Data'!$F$4:$F$207)+SUMPRODUCT(('Q2 Data'!$D$4:$D$207=D155)*('Q2 Data'!$B$4:$B$207="Challan")*'Q2 Data'!$F$4:$F$207)+SUMPRODUCT(('Q3 Data'!$D$4:$D$207=D155)*('Q3 Data'!$B$4:$B$207="Challan")*'Q3 Data'!$F$4:$F$207)+SUMPRODUCT(('Q4 Data'!$D$4:$D$207=D155)*('Q4 Data'!$B$4:$B$207="Challan")*'Q4 Data'!$F$4:$F$207))</f>
      </c>
      <c r="AR155" s="34">
        <f>IF(OR($B155&lt;&gt;"Entry",Z155=""),FALSE,AND((SUMPRODUCT(('Q1 Data'!$D$4:$D$207=D155)*('Q1 Data'!$B$4:$B$207="Challan")*('Q1 Data'!$H$4:$H$207&lt;&gt;""))+SUMPRODUCT(('Q2 Data'!$D$4:$D$207=D155)*('Q2 Data'!$B$4:$B$207="Challan")*('Q2 Data'!$H$4:$H$207&lt;&gt;""))+SUMPRODUCT(('Q3 Data'!$D$4:$D$207=D155)*('Q3 Data'!$B$4:$B$207="Challan")*('Q3 Data'!$H$4:$H$207&lt;&gt;""))+SUMPRODUCT(('Q4 Data'!$D$4:$D$207=D155)*('Q4 Data'!$B$4:$B$207="Challan")*('Q4 Data'!$H$4:$H$207&lt;&gt;"")))&gt;0,(SUMPRODUCT(('Q1 Data'!$D$4:$D$207=D155)*('Q1 Data'!$B$4:$B$207="Challan")*('Q1 Data'!$H$4:$H$207=Z155))+SUMPRODUCT(('Q2 Data'!$D$4:$D$207=D155)*('Q2 Data'!$B$4:$B$207="Challan")*('Q2 Data'!$H$4:$H$207=Z155))+SUMPRODUCT(('Q3 Data'!$D$4:$D$207=D155)*('Q3 Data'!$B$4:$B$207="Challan")*('Q3 Data'!$H$4:$H$207=Z155))+SUMPRODUCT(('Q4 Data'!$D$4:$D$207=D155)*('Q4 Data'!$B$4:$B$207="Challan")*('Q4 Data'!$H$4:$H$207=Z155)))=0))</f>
      </c>
    </row>
    <row r="156" spans="1:44" x14ac:dyDescent="0.25">
      <c r="A156" s="20">
        <f>IF($B156="Entry",COUNTIF($B$4:$B156,"Entry"),"")</f>
      </c>
      <c r="B156" s="21"/>
      <c r="C156" s="22"/>
      <c r="D156" s="22"/>
      <c r="E156" s="23">
        <f>IF($B156&lt;&gt;"Challan","",IF(ROUND(AN156-AO156,2)&gt;0,"Over-applied",IF(ROUND(AN156-AO156,2)=0,"Fully Utilised","Unconsumed")))</f>
      </c>
      <c r="F156" s="24"/>
      <c r="G156" s="25"/>
      <c r="H156" s="25"/>
      <c r="I156" s="26"/>
      <c r="J156" s="26"/>
      <c r="K156" s="26"/>
      <c r="L156" s="26"/>
      <c r="M156" s="26"/>
      <c r="N156" s="26"/>
      <c r="O156" s="26"/>
      <c r="P156" s="27">
        <f>IF($B156&lt;&gt;"Challan","",I156+J156+K156+L156+M156+N156)</f>
      </c>
      <c r="Q156" s="25"/>
      <c r="R156" s="25"/>
      <c r="S156" s="25"/>
      <c r="T156" s="25"/>
      <c r="U156" s="25"/>
      <c r="V156" s="28"/>
      <c r="W156" s="28"/>
      <c r="X156" s="23">
        <f>IF($B156="Entry",IF(AND(LEN(TRIM(UPPER(W156)))=10,CODE(MID(TRIM(UPPER(W156)),1,1))&gt;=65,CODE(MID(TRIM(UPPER(W156)),1,1))&lt;=90,CODE(MID(TRIM(UPPER(W156)),2,1))&gt;=65,CODE(MID(TRIM(UPPER(W156)),2,1))&lt;=90,CODE(MID(TRIM(UPPER(W156)),3,1))&gt;=65,CODE(MID(TRIM(UPPER(W156)),3,1))&lt;=90,CODE(MID(TRIM(UPPER(W156)),4,1))&gt;=65,CODE(MID(TRIM(UPPER(W156)),4,1))&lt;=90,CODE(MID(TRIM(UPPER(W156)),5,1))&gt;=65,CODE(MID(TRIM(UPPER(W156)),5,1))&lt;=90,CODE(MID(TRIM(UPPER(W156)),10,1))&gt;=65,CODE(MID(TRIM(UPPER(W156)),10,1))&lt;=90,CODE(MID(TRIM(UPPER(W156)),6,1))&gt;=48,CODE(MID(TRIM(UPPER(W156)),6,1))&lt;=57,CODE(MID(TRIM(UPPER(W156)),7,1))&gt;=48,CODE(MID(TRIM(UPPER(W156)),7,1))&lt;=57,CODE(MID(TRIM(UPPER(W156)),8,1))&gt;=48,CODE(MID(TRIM(UPPER(W156)),8,1))&lt;=57,CODE(MID(TRIM(UPPER(W156)),9,1))&gt;=48,CODE(MID(TRIM(UPPER(W156)),9,1))&lt;=57),"N","Y"),IF($B156="Challan","",IF(W156&lt;&gt;"","◄ Set Row Type","")))</f>
      </c>
      <c r="Y156" s="23">
        <f>IF($B156="Entry",IF(LEN(W156)&lt;4,"",IF(UPPER(MID(W156,4,1))="P","Individual",IF(UPPER(MID(W156,4,1))="H","HUF",IF(UPPER(MID(W156,4,1))="C","Company",IF(UPPER(MID(W156,4,1))="F","Firm",IF(UPPER(MID(W156,4,1))="L","LLP",IF(UPPER(MID(W156,4,1))="T","Trust",IF(UPPER(MID(W156,4,1))="A","AOP","")))))))),IF($B156="Challan","",IF(W156&lt;&gt;"","◄ Set Row Type","")))</f>
      </c>
      <c r="Z156" s="28"/>
      <c r="AA156" s="29">
        <f>IF($B156&lt;&gt;"Entry","",IF(Z156="","",IF(X156="Y",SUMPRODUCT(('Rate Lookup'!$A$1:$A$37=Z156)*'Rate Lookup'!$D$1:$D$37),IF(OR(Y156="Individual",Y156="HUF"),SUMPRODUCT(('Rate Lookup'!$A$1:$A$37=Z156)*'Rate Lookup'!$B$1:$B$37),SUMPRODUCT(('Rate Lookup'!$A$1:$A$37=Z156)*'Rate Lookup'!$C$1:$C$37)))))</f>
      </c>
      <c r="AB156" s="30"/>
      <c r="AC156" s="31"/>
      <c r="AD156" s="27">
        <f>IF($B156&lt;&gt;"Entry","",ROUND(AC156*AA156/100,0))</f>
      </c>
      <c r="AE156" s="27">
        <f>IF($B156&lt;&gt;"Entry","",0)</f>
      </c>
      <c r="AF156" s="27">
        <f>IF($B156&lt;&gt;"Entry","",0)</f>
      </c>
      <c r="AG156" s="27">
        <f>IF($B156&lt;&gt;"Entry","",IF(OR(AD156=0,AB156="",AQ156="",AQ156&lt;=0),0,IF(AQ156&lt;=DATE(YEAR(AB156),MONTH(AB156)+1,7),0,ROUND(AD156*0.015*((YEAR(AQ156)-YEAR(AB156))*12+(MONTH(AQ156)-MONTH(AB156))+1),0))))</f>
      </c>
      <c r="AH156" s="27">
        <f>IF($B156&lt;&gt;"Entry","",0)</f>
      </c>
      <c r="AI156" s="28"/>
      <c r="AJ156" s="28"/>
      <c r="AK156" s="32"/>
      <c r="AL156" s="28"/>
      <c r="AM156" s="28"/>
      <c r="AN156" s="27">
        <f>IF($B156&lt;&gt;"Challan","",SUMIF('Q1 Data'!$D$4:$D$207,D156,'Q1 Data'!$AD$4:$AD$207)+SUMIF('Q1 Data'!$D$4:$D$207,D156,'Q1 Data'!$AG$4:$AG$207)+SUMIF('Q1 Data'!$D$4:$D$207,D156,'Q1 Data'!$AE$4:$AE$207)+SUMIF('Q2 Data'!$D$4:$D$207,D156,'Q2 Data'!$AD$4:$AD$207)+SUMIF('Q2 Data'!$D$4:$D$207,D156,'Q2 Data'!$AG$4:$AG$207)+SUMIF('Q2 Data'!$D$4:$D$207,D156,'Q2 Data'!$AE$4:$AE$207)+SUMIF('Q3 Data'!$D$4:$D$207,D156,'Q3 Data'!$AD$4:$AD$207)+SUMIF('Q3 Data'!$D$4:$D$207,D156,'Q3 Data'!$AG$4:$AG$207)+SUMIF('Q3 Data'!$D$4:$D$207,D156,'Q3 Data'!$AE$4:$AE$207)+SUMIF('Q4 Data'!$D$4:$D$207,D156,'Q4 Data'!$AD$4:$AD$207)+SUMIF('Q4 Data'!$D$4:$D$207,D156,'Q4 Data'!$AG$4:$AG$207)+SUMIF('Q4 Data'!$D$4:$D$207,D156,'Q4 Data'!$AE$4:$AE$207))</f>
      </c>
      <c r="AO156" s="27">
        <f>IF($B156&lt;&gt;"Challan","",P156-N156)</f>
      </c>
      <c r="AP156" s="27">
        <f>IF($B156&lt;&gt;"Challan","",MAX(0,AO156-AN156))</f>
      </c>
      <c r="AQ156" s="33">
        <f>IF($B156&lt;&gt;"Entry","",SUMPRODUCT(('Q1 Data'!$D$4:$D$207=D156)*('Q1 Data'!$B$4:$B$207="Challan")*'Q1 Data'!$F$4:$F$207)+SUMPRODUCT(('Q2 Data'!$D$4:$D$207=D156)*('Q2 Data'!$B$4:$B$207="Challan")*'Q2 Data'!$F$4:$F$207)+SUMPRODUCT(('Q3 Data'!$D$4:$D$207=D156)*('Q3 Data'!$B$4:$B$207="Challan")*'Q3 Data'!$F$4:$F$207)+SUMPRODUCT(('Q4 Data'!$D$4:$D$207=D156)*('Q4 Data'!$B$4:$B$207="Challan")*'Q4 Data'!$F$4:$F$207))</f>
      </c>
      <c r="AR156" s="34">
        <f>IF(OR($B156&lt;&gt;"Entry",Z156=""),FALSE,AND((SUMPRODUCT(('Q1 Data'!$D$4:$D$207=D156)*('Q1 Data'!$B$4:$B$207="Challan")*('Q1 Data'!$H$4:$H$207&lt;&gt;""))+SUMPRODUCT(('Q2 Data'!$D$4:$D$207=D156)*('Q2 Data'!$B$4:$B$207="Challan")*('Q2 Data'!$H$4:$H$207&lt;&gt;""))+SUMPRODUCT(('Q3 Data'!$D$4:$D$207=D156)*('Q3 Data'!$B$4:$B$207="Challan")*('Q3 Data'!$H$4:$H$207&lt;&gt;""))+SUMPRODUCT(('Q4 Data'!$D$4:$D$207=D156)*('Q4 Data'!$B$4:$B$207="Challan")*('Q4 Data'!$H$4:$H$207&lt;&gt;"")))&gt;0,(SUMPRODUCT(('Q1 Data'!$D$4:$D$207=D156)*('Q1 Data'!$B$4:$B$207="Challan")*('Q1 Data'!$H$4:$H$207=Z156))+SUMPRODUCT(('Q2 Data'!$D$4:$D$207=D156)*('Q2 Data'!$B$4:$B$207="Challan")*('Q2 Data'!$H$4:$H$207=Z156))+SUMPRODUCT(('Q3 Data'!$D$4:$D$207=D156)*('Q3 Data'!$B$4:$B$207="Challan")*('Q3 Data'!$H$4:$H$207=Z156))+SUMPRODUCT(('Q4 Data'!$D$4:$D$207=D156)*('Q4 Data'!$B$4:$B$207="Challan")*('Q4 Data'!$H$4:$H$207=Z156)))=0))</f>
      </c>
    </row>
    <row r="157" spans="1:44" x14ac:dyDescent="0.25">
      <c r="A157" s="20">
        <f>IF($B157="Entry",COUNTIF($B$4:$B157,"Entry"),"")</f>
      </c>
      <c r="B157" s="21"/>
      <c r="C157" s="22"/>
      <c r="D157" s="22"/>
      <c r="E157" s="23">
        <f>IF($B157&lt;&gt;"Challan","",IF(ROUND(AN157-AO157,2)&gt;0,"Over-applied",IF(ROUND(AN157-AO157,2)=0,"Fully Utilised","Unconsumed")))</f>
      </c>
      <c r="F157" s="24"/>
      <c r="G157" s="25"/>
      <c r="H157" s="25"/>
      <c r="I157" s="26"/>
      <c r="J157" s="26"/>
      <c r="K157" s="26"/>
      <c r="L157" s="26"/>
      <c r="M157" s="26"/>
      <c r="N157" s="26"/>
      <c r="O157" s="26"/>
      <c r="P157" s="27">
        <f>IF($B157&lt;&gt;"Challan","",I157+J157+K157+L157+M157+N157)</f>
      </c>
      <c r="Q157" s="25"/>
      <c r="R157" s="25"/>
      <c r="S157" s="25"/>
      <c r="T157" s="25"/>
      <c r="U157" s="25"/>
      <c r="V157" s="28"/>
      <c r="W157" s="28"/>
      <c r="X157" s="23">
        <f>IF($B157="Entry",IF(AND(LEN(TRIM(UPPER(W157)))=10,CODE(MID(TRIM(UPPER(W157)),1,1))&gt;=65,CODE(MID(TRIM(UPPER(W157)),1,1))&lt;=90,CODE(MID(TRIM(UPPER(W157)),2,1))&gt;=65,CODE(MID(TRIM(UPPER(W157)),2,1))&lt;=90,CODE(MID(TRIM(UPPER(W157)),3,1))&gt;=65,CODE(MID(TRIM(UPPER(W157)),3,1))&lt;=90,CODE(MID(TRIM(UPPER(W157)),4,1))&gt;=65,CODE(MID(TRIM(UPPER(W157)),4,1))&lt;=90,CODE(MID(TRIM(UPPER(W157)),5,1))&gt;=65,CODE(MID(TRIM(UPPER(W157)),5,1))&lt;=90,CODE(MID(TRIM(UPPER(W157)),10,1))&gt;=65,CODE(MID(TRIM(UPPER(W157)),10,1))&lt;=90,CODE(MID(TRIM(UPPER(W157)),6,1))&gt;=48,CODE(MID(TRIM(UPPER(W157)),6,1))&lt;=57,CODE(MID(TRIM(UPPER(W157)),7,1))&gt;=48,CODE(MID(TRIM(UPPER(W157)),7,1))&lt;=57,CODE(MID(TRIM(UPPER(W157)),8,1))&gt;=48,CODE(MID(TRIM(UPPER(W157)),8,1))&lt;=57,CODE(MID(TRIM(UPPER(W157)),9,1))&gt;=48,CODE(MID(TRIM(UPPER(W157)),9,1))&lt;=57),"N","Y"),IF($B157="Challan","",IF(W157&lt;&gt;"","◄ Set Row Type","")))</f>
      </c>
      <c r="Y157" s="23">
        <f>IF($B157="Entry",IF(LEN(W157)&lt;4,"",IF(UPPER(MID(W157,4,1))="P","Individual",IF(UPPER(MID(W157,4,1))="H","HUF",IF(UPPER(MID(W157,4,1))="C","Company",IF(UPPER(MID(W157,4,1))="F","Firm",IF(UPPER(MID(W157,4,1))="L","LLP",IF(UPPER(MID(W157,4,1))="T","Trust",IF(UPPER(MID(W157,4,1))="A","AOP","")))))))),IF($B157="Challan","",IF(W157&lt;&gt;"","◄ Set Row Type","")))</f>
      </c>
      <c r="Z157" s="28"/>
      <c r="AA157" s="29">
        <f>IF($B157&lt;&gt;"Entry","",IF(Z157="","",IF(X157="Y",SUMPRODUCT(('Rate Lookup'!$A$1:$A$37=Z157)*'Rate Lookup'!$D$1:$D$37),IF(OR(Y157="Individual",Y157="HUF"),SUMPRODUCT(('Rate Lookup'!$A$1:$A$37=Z157)*'Rate Lookup'!$B$1:$B$37),SUMPRODUCT(('Rate Lookup'!$A$1:$A$37=Z157)*'Rate Lookup'!$C$1:$C$37)))))</f>
      </c>
      <c r="AB157" s="30"/>
      <c r="AC157" s="31"/>
      <c r="AD157" s="27">
        <f>IF($B157&lt;&gt;"Entry","",ROUND(AC157*AA157/100,0))</f>
      </c>
      <c r="AE157" s="27">
        <f>IF($B157&lt;&gt;"Entry","",0)</f>
      </c>
      <c r="AF157" s="27">
        <f>IF($B157&lt;&gt;"Entry","",0)</f>
      </c>
      <c r="AG157" s="27">
        <f>IF($B157&lt;&gt;"Entry","",IF(OR(AD157=0,AB157="",AQ157="",AQ157&lt;=0),0,IF(AQ157&lt;=DATE(YEAR(AB157),MONTH(AB157)+1,7),0,ROUND(AD157*0.015*((YEAR(AQ157)-YEAR(AB157))*12+(MONTH(AQ157)-MONTH(AB157))+1),0))))</f>
      </c>
      <c r="AH157" s="27">
        <f>IF($B157&lt;&gt;"Entry","",0)</f>
      </c>
      <c r="AI157" s="28"/>
      <c r="AJ157" s="28"/>
      <c r="AK157" s="32"/>
      <c r="AL157" s="28"/>
      <c r="AM157" s="28"/>
      <c r="AN157" s="27">
        <f>IF($B157&lt;&gt;"Challan","",SUMIF('Q1 Data'!$D$4:$D$207,D157,'Q1 Data'!$AD$4:$AD$207)+SUMIF('Q1 Data'!$D$4:$D$207,D157,'Q1 Data'!$AG$4:$AG$207)+SUMIF('Q1 Data'!$D$4:$D$207,D157,'Q1 Data'!$AE$4:$AE$207)+SUMIF('Q2 Data'!$D$4:$D$207,D157,'Q2 Data'!$AD$4:$AD$207)+SUMIF('Q2 Data'!$D$4:$D$207,D157,'Q2 Data'!$AG$4:$AG$207)+SUMIF('Q2 Data'!$D$4:$D$207,D157,'Q2 Data'!$AE$4:$AE$207)+SUMIF('Q3 Data'!$D$4:$D$207,D157,'Q3 Data'!$AD$4:$AD$207)+SUMIF('Q3 Data'!$D$4:$D$207,D157,'Q3 Data'!$AG$4:$AG$207)+SUMIF('Q3 Data'!$D$4:$D$207,D157,'Q3 Data'!$AE$4:$AE$207)+SUMIF('Q4 Data'!$D$4:$D$207,D157,'Q4 Data'!$AD$4:$AD$207)+SUMIF('Q4 Data'!$D$4:$D$207,D157,'Q4 Data'!$AG$4:$AG$207)+SUMIF('Q4 Data'!$D$4:$D$207,D157,'Q4 Data'!$AE$4:$AE$207))</f>
      </c>
      <c r="AO157" s="27">
        <f>IF($B157&lt;&gt;"Challan","",P157-N157)</f>
      </c>
      <c r="AP157" s="27">
        <f>IF($B157&lt;&gt;"Challan","",MAX(0,AO157-AN157))</f>
      </c>
      <c r="AQ157" s="33">
        <f>IF($B157&lt;&gt;"Entry","",SUMPRODUCT(('Q1 Data'!$D$4:$D$207=D157)*('Q1 Data'!$B$4:$B$207="Challan")*'Q1 Data'!$F$4:$F$207)+SUMPRODUCT(('Q2 Data'!$D$4:$D$207=D157)*('Q2 Data'!$B$4:$B$207="Challan")*'Q2 Data'!$F$4:$F$207)+SUMPRODUCT(('Q3 Data'!$D$4:$D$207=D157)*('Q3 Data'!$B$4:$B$207="Challan")*'Q3 Data'!$F$4:$F$207)+SUMPRODUCT(('Q4 Data'!$D$4:$D$207=D157)*('Q4 Data'!$B$4:$B$207="Challan")*'Q4 Data'!$F$4:$F$207))</f>
      </c>
      <c r="AR157" s="34">
        <f>IF(OR($B157&lt;&gt;"Entry",Z157=""),FALSE,AND((SUMPRODUCT(('Q1 Data'!$D$4:$D$207=D157)*('Q1 Data'!$B$4:$B$207="Challan")*('Q1 Data'!$H$4:$H$207&lt;&gt;""))+SUMPRODUCT(('Q2 Data'!$D$4:$D$207=D157)*('Q2 Data'!$B$4:$B$207="Challan")*('Q2 Data'!$H$4:$H$207&lt;&gt;""))+SUMPRODUCT(('Q3 Data'!$D$4:$D$207=D157)*('Q3 Data'!$B$4:$B$207="Challan")*('Q3 Data'!$H$4:$H$207&lt;&gt;""))+SUMPRODUCT(('Q4 Data'!$D$4:$D$207=D157)*('Q4 Data'!$B$4:$B$207="Challan")*('Q4 Data'!$H$4:$H$207&lt;&gt;"")))&gt;0,(SUMPRODUCT(('Q1 Data'!$D$4:$D$207=D157)*('Q1 Data'!$B$4:$B$207="Challan")*('Q1 Data'!$H$4:$H$207=Z157))+SUMPRODUCT(('Q2 Data'!$D$4:$D$207=D157)*('Q2 Data'!$B$4:$B$207="Challan")*('Q2 Data'!$H$4:$H$207=Z157))+SUMPRODUCT(('Q3 Data'!$D$4:$D$207=D157)*('Q3 Data'!$B$4:$B$207="Challan")*('Q3 Data'!$H$4:$H$207=Z157))+SUMPRODUCT(('Q4 Data'!$D$4:$D$207=D157)*('Q4 Data'!$B$4:$B$207="Challan")*('Q4 Data'!$H$4:$H$207=Z157)))=0))</f>
      </c>
    </row>
    <row r="158" spans="1:44" x14ac:dyDescent="0.25">
      <c r="A158" s="20">
        <f>IF($B158="Entry",COUNTIF($B$4:$B158,"Entry"),"")</f>
      </c>
      <c r="B158" s="21"/>
      <c r="C158" s="22"/>
      <c r="D158" s="22"/>
      <c r="E158" s="23">
        <f>IF($B158&lt;&gt;"Challan","",IF(ROUND(AN158-AO158,2)&gt;0,"Over-applied",IF(ROUND(AN158-AO158,2)=0,"Fully Utilised","Unconsumed")))</f>
      </c>
      <c r="F158" s="24"/>
      <c r="G158" s="25"/>
      <c r="H158" s="25"/>
      <c r="I158" s="26"/>
      <c r="J158" s="26"/>
      <c r="K158" s="26"/>
      <c r="L158" s="26"/>
      <c r="M158" s="26"/>
      <c r="N158" s="26"/>
      <c r="O158" s="26"/>
      <c r="P158" s="27">
        <f>IF($B158&lt;&gt;"Challan","",I158+J158+K158+L158+M158+N158)</f>
      </c>
      <c r="Q158" s="25"/>
      <c r="R158" s="25"/>
      <c r="S158" s="25"/>
      <c r="T158" s="25"/>
      <c r="U158" s="25"/>
      <c r="V158" s="28"/>
      <c r="W158" s="28"/>
      <c r="X158" s="23">
        <f>IF($B158="Entry",IF(AND(LEN(TRIM(UPPER(W158)))=10,CODE(MID(TRIM(UPPER(W158)),1,1))&gt;=65,CODE(MID(TRIM(UPPER(W158)),1,1))&lt;=90,CODE(MID(TRIM(UPPER(W158)),2,1))&gt;=65,CODE(MID(TRIM(UPPER(W158)),2,1))&lt;=90,CODE(MID(TRIM(UPPER(W158)),3,1))&gt;=65,CODE(MID(TRIM(UPPER(W158)),3,1))&lt;=90,CODE(MID(TRIM(UPPER(W158)),4,1))&gt;=65,CODE(MID(TRIM(UPPER(W158)),4,1))&lt;=90,CODE(MID(TRIM(UPPER(W158)),5,1))&gt;=65,CODE(MID(TRIM(UPPER(W158)),5,1))&lt;=90,CODE(MID(TRIM(UPPER(W158)),10,1))&gt;=65,CODE(MID(TRIM(UPPER(W158)),10,1))&lt;=90,CODE(MID(TRIM(UPPER(W158)),6,1))&gt;=48,CODE(MID(TRIM(UPPER(W158)),6,1))&lt;=57,CODE(MID(TRIM(UPPER(W158)),7,1))&gt;=48,CODE(MID(TRIM(UPPER(W158)),7,1))&lt;=57,CODE(MID(TRIM(UPPER(W158)),8,1))&gt;=48,CODE(MID(TRIM(UPPER(W158)),8,1))&lt;=57,CODE(MID(TRIM(UPPER(W158)),9,1))&gt;=48,CODE(MID(TRIM(UPPER(W158)),9,1))&lt;=57),"N","Y"),IF($B158="Challan","",IF(W158&lt;&gt;"","◄ Set Row Type","")))</f>
      </c>
      <c r="Y158" s="23">
        <f>IF($B158="Entry",IF(LEN(W158)&lt;4,"",IF(UPPER(MID(W158,4,1))="P","Individual",IF(UPPER(MID(W158,4,1))="H","HUF",IF(UPPER(MID(W158,4,1))="C","Company",IF(UPPER(MID(W158,4,1))="F","Firm",IF(UPPER(MID(W158,4,1))="L","LLP",IF(UPPER(MID(W158,4,1))="T","Trust",IF(UPPER(MID(W158,4,1))="A","AOP","")))))))),IF($B158="Challan","",IF(W158&lt;&gt;"","◄ Set Row Type","")))</f>
      </c>
      <c r="Z158" s="28"/>
      <c r="AA158" s="29">
        <f>IF($B158&lt;&gt;"Entry","",IF(Z158="","",IF(X158="Y",SUMPRODUCT(('Rate Lookup'!$A$1:$A$37=Z158)*'Rate Lookup'!$D$1:$D$37),IF(OR(Y158="Individual",Y158="HUF"),SUMPRODUCT(('Rate Lookup'!$A$1:$A$37=Z158)*'Rate Lookup'!$B$1:$B$37),SUMPRODUCT(('Rate Lookup'!$A$1:$A$37=Z158)*'Rate Lookup'!$C$1:$C$37)))))</f>
      </c>
      <c r="AB158" s="30"/>
      <c r="AC158" s="31"/>
      <c r="AD158" s="27">
        <f>IF($B158&lt;&gt;"Entry","",ROUND(AC158*AA158/100,0))</f>
      </c>
      <c r="AE158" s="27">
        <f>IF($B158&lt;&gt;"Entry","",0)</f>
      </c>
      <c r="AF158" s="27">
        <f>IF($B158&lt;&gt;"Entry","",0)</f>
      </c>
      <c r="AG158" s="27">
        <f>IF($B158&lt;&gt;"Entry","",IF(OR(AD158=0,AB158="",AQ158="",AQ158&lt;=0),0,IF(AQ158&lt;=DATE(YEAR(AB158),MONTH(AB158)+1,7),0,ROUND(AD158*0.015*((YEAR(AQ158)-YEAR(AB158))*12+(MONTH(AQ158)-MONTH(AB158))+1),0))))</f>
      </c>
      <c r="AH158" s="27">
        <f>IF($B158&lt;&gt;"Entry","",0)</f>
      </c>
      <c r="AI158" s="28"/>
      <c r="AJ158" s="28"/>
      <c r="AK158" s="32"/>
      <c r="AL158" s="28"/>
      <c r="AM158" s="28"/>
      <c r="AN158" s="27">
        <f>IF($B158&lt;&gt;"Challan","",SUMIF('Q1 Data'!$D$4:$D$207,D158,'Q1 Data'!$AD$4:$AD$207)+SUMIF('Q1 Data'!$D$4:$D$207,D158,'Q1 Data'!$AG$4:$AG$207)+SUMIF('Q1 Data'!$D$4:$D$207,D158,'Q1 Data'!$AE$4:$AE$207)+SUMIF('Q2 Data'!$D$4:$D$207,D158,'Q2 Data'!$AD$4:$AD$207)+SUMIF('Q2 Data'!$D$4:$D$207,D158,'Q2 Data'!$AG$4:$AG$207)+SUMIF('Q2 Data'!$D$4:$D$207,D158,'Q2 Data'!$AE$4:$AE$207)+SUMIF('Q3 Data'!$D$4:$D$207,D158,'Q3 Data'!$AD$4:$AD$207)+SUMIF('Q3 Data'!$D$4:$D$207,D158,'Q3 Data'!$AG$4:$AG$207)+SUMIF('Q3 Data'!$D$4:$D$207,D158,'Q3 Data'!$AE$4:$AE$207)+SUMIF('Q4 Data'!$D$4:$D$207,D158,'Q4 Data'!$AD$4:$AD$207)+SUMIF('Q4 Data'!$D$4:$D$207,D158,'Q4 Data'!$AG$4:$AG$207)+SUMIF('Q4 Data'!$D$4:$D$207,D158,'Q4 Data'!$AE$4:$AE$207))</f>
      </c>
      <c r="AO158" s="27">
        <f>IF($B158&lt;&gt;"Challan","",P158-N158)</f>
      </c>
      <c r="AP158" s="27">
        <f>IF($B158&lt;&gt;"Challan","",MAX(0,AO158-AN158))</f>
      </c>
      <c r="AQ158" s="33">
        <f>IF($B158&lt;&gt;"Entry","",SUMPRODUCT(('Q1 Data'!$D$4:$D$207=D158)*('Q1 Data'!$B$4:$B$207="Challan")*'Q1 Data'!$F$4:$F$207)+SUMPRODUCT(('Q2 Data'!$D$4:$D$207=D158)*('Q2 Data'!$B$4:$B$207="Challan")*'Q2 Data'!$F$4:$F$207)+SUMPRODUCT(('Q3 Data'!$D$4:$D$207=D158)*('Q3 Data'!$B$4:$B$207="Challan")*'Q3 Data'!$F$4:$F$207)+SUMPRODUCT(('Q4 Data'!$D$4:$D$207=D158)*('Q4 Data'!$B$4:$B$207="Challan")*'Q4 Data'!$F$4:$F$207))</f>
      </c>
      <c r="AR158" s="34">
        <f>IF(OR($B158&lt;&gt;"Entry",Z158=""),FALSE,AND((SUMPRODUCT(('Q1 Data'!$D$4:$D$207=D158)*('Q1 Data'!$B$4:$B$207="Challan")*('Q1 Data'!$H$4:$H$207&lt;&gt;""))+SUMPRODUCT(('Q2 Data'!$D$4:$D$207=D158)*('Q2 Data'!$B$4:$B$207="Challan")*('Q2 Data'!$H$4:$H$207&lt;&gt;""))+SUMPRODUCT(('Q3 Data'!$D$4:$D$207=D158)*('Q3 Data'!$B$4:$B$207="Challan")*('Q3 Data'!$H$4:$H$207&lt;&gt;""))+SUMPRODUCT(('Q4 Data'!$D$4:$D$207=D158)*('Q4 Data'!$B$4:$B$207="Challan")*('Q4 Data'!$H$4:$H$207&lt;&gt;"")))&gt;0,(SUMPRODUCT(('Q1 Data'!$D$4:$D$207=D158)*('Q1 Data'!$B$4:$B$207="Challan")*('Q1 Data'!$H$4:$H$207=Z158))+SUMPRODUCT(('Q2 Data'!$D$4:$D$207=D158)*('Q2 Data'!$B$4:$B$207="Challan")*('Q2 Data'!$H$4:$H$207=Z158))+SUMPRODUCT(('Q3 Data'!$D$4:$D$207=D158)*('Q3 Data'!$B$4:$B$207="Challan")*('Q3 Data'!$H$4:$H$207=Z158))+SUMPRODUCT(('Q4 Data'!$D$4:$D$207=D158)*('Q4 Data'!$B$4:$B$207="Challan")*('Q4 Data'!$H$4:$H$207=Z158)))=0))</f>
      </c>
    </row>
    <row r="159" spans="1:44" x14ac:dyDescent="0.25">
      <c r="A159" s="20">
        <f>IF($B159="Entry",COUNTIF($B$4:$B159,"Entry"),"")</f>
      </c>
      <c r="B159" s="21"/>
      <c r="C159" s="22"/>
      <c r="D159" s="22"/>
      <c r="E159" s="23">
        <f>IF($B159&lt;&gt;"Challan","",IF(ROUND(AN159-AO159,2)&gt;0,"Over-applied",IF(ROUND(AN159-AO159,2)=0,"Fully Utilised","Unconsumed")))</f>
      </c>
      <c r="F159" s="24"/>
      <c r="G159" s="25"/>
      <c r="H159" s="25"/>
      <c r="I159" s="26"/>
      <c r="J159" s="26"/>
      <c r="K159" s="26"/>
      <c r="L159" s="26"/>
      <c r="M159" s="26"/>
      <c r="N159" s="26"/>
      <c r="O159" s="26"/>
      <c r="P159" s="27">
        <f>IF($B159&lt;&gt;"Challan","",I159+J159+K159+L159+M159+N159)</f>
      </c>
      <c r="Q159" s="25"/>
      <c r="R159" s="25"/>
      <c r="S159" s="25"/>
      <c r="T159" s="25"/>
      <c r="U159" s="25"/>
      <c r="V159" s="28"/>
      <c r="W159" s="28"/>
      <c r="X159" s="23">
        <f>IF($B159="Entry",IF(AND(LEN(TRIM(UPPER(W159)))=10,CODE(MID(TRIM(UPPER(W159)),1,1))&gt;=65,CODE(MID(TRIM(UPPER(W159)),1,1))&lt;=90,CODE(MID(TRIM(UPPER(W159)),2,1))&gt;=65,CODE(MID(TRIM(UPPER(W159)),2,1))&lt;=90,CODE(MID(TRIM(UPPER(W159)),3,1))&gt;=65,CODE(MID(TRIM(UPPER(W159)),3,1))&lt;=90,CODE(MID(TRIM(UPPER(W159)),4,1))&gt;=65,CODE(MID(TRIM(UPPER(W159)),4,1))&lt;=90,CODE(MID(TRIM(UPPER(W159)),5,1))&gt;=65,CODE(MID(TRIM(UPPER(W159)),5,1))&lt;=90,CODE(MID(TRIM(UPPER(W159)),10,1))&gt;=65,CODE(MID(TRIM(UPPER(W159)),10,1))&lt;=90,CODE(MID(TRIM(UPPER(W159)),6,1))&gt;=48,CODE(MID(TRIM(UPPER(W159)),6,1))&lt;=57,CODE(MID(TRIM(UPPER(W159)),7,1))&gt;=48,CODE(MID(TRIM(UPPER(W159)),7,1))&lt;=57,CODE(MID(TRIM(UPPER(W159)),8,1))&gt;=48,CODE(MID(TRIM(UPPER(W159)),8,1))&lt;=57,CODE(MID(TRIM(UPPER(W159)),9,1))&gt;=48,CODE(MID(TRIM(UPPER(W159)),9,1))&lt;=57),"N","Y"),IF($B159="Challan","",IF(W159&lt;&gt;"","◄ Set Row Type","")))</f>
      </c>
      <c r="Y159" s="23">
        <f>IF($B159="Entry",IF(LEN(W159)&lt;4,"",IF(UPPER(MID(W159,4,1))="P","Individual",IF(UPPER(MID(W159,4,1))="H","HUF",IF(UPPER(MID(W159,4,1))="C","Company",IF(UPPER(MID(W159,4,1))="F","Firm",IF(UPPER(MID(W159,4,1))="L","LLP",IF(UPPER(MID(W159,4,1))="T","Trust",IF(UPPER(MID(W159,4,1))="A","AOP","")))))))),IF($B159="Challan","",IF(W159&lt;&gt;"","◄ Set Row Type","")))</f>
      </c>
      <c r="Z159" s="28"/>
      <c r="AA159" s="29">
        <f>IF($B159&lt;&gt;"Entry","",IF(Z159="","",IF(X159="Y",SUMPRODUCT(('Rate Lookup'!$A$1:$A$37=Z159)*'Rate Lookup'!$D$1:$D$37),IF(OR(Y159="Individual",Y159="HUF"),SUMPRODUCT(('Rate Lookup'!$A$1:$A$37=Z159)*'Rate Lookup'!$B$1:$B$37),SUMPRODUCT(('Rate Lookup'!$A$1:$A$37=Z159)*'Rate Lookup'!$C$1:$C$37)))))</f>
      </c>
      <c r="AB159" s="30"/>
      <c r="AC159" s="31"/>
      <c r="AD159" s="27">
        <f>IF($B159&lt;&gt;"Entry","",ROUND(AC159*AA159/100,0))</f>
      </c>
      <c r="AE159" s="27">
        <f>IF($B159&lt;&gt;"Entry","",0)</f>
      </c>
      <c r="AF159" s="27">
        <f>IF($B159&lt;&gt;"Entry","",0)</f>
      </c>
      <c r="AG159" s="27">
        <f>IF($B159&lt;&gt;"Entry","",IF(OR(AD159=0,AB159="",AQ159="",AQ159&lt;=0),0,IF(AQ159&lt;=DATE(YEAR(AB159),MONTH(AB159)+1,7),0,ROUND(AD159*0.015*((YEAR(AQ159)-YEAR(AB159))*12+(MONTH(AQ159)-MONTH(AB159))+1),0))))</f>
      </c>
      <c r="AH159" s="27">
        <f>IF($B159&lt;&gt;"Entry","",0)</f>
      </c>
      <c r="AI159" s="28"/>
      <c r="AJ159" s="28"/>
      <c r="AK159" s="32"/>
      <c r="AL159" s="28"/>
      <c r="AM159" s="28"/>
      <c r="AN159" s="27">
        <f>IF($B159&lt;&gt;"Challan","",SUMIF('Q1 Data'!$D$4:$D$207,D159,'Q1 Data'!$AD$4:$AD$207)+SUMIF('Q1 Data'!$D$4:$D$207,D159,'Q1 Data'!$AG$4:$AG$207)+SUMIF('Q1 Data'!$D$4:$D$207,D159,'Q1 Data'!$AE$4:$AE$207)+SUMIF('Q2 Data'!$D$4:$D$207,D159,'Q2 Data'!$AD$4:$AD$207)+SUMIF('Q2 Data'!$D$4:$D$207,D159,'Q2 Data'!$AG$4:$AG$207)+SUMIF('Q2 Data'!$D$4:$D$207,D159,'Q2 Data'!$AE$4:$AE$207)+SUMIF('Q3 Data'!$D$4:$D$207,D159,'Q3 Data'!$AD$4:$AD$207)+SUMIF('Q3 Data'!$D$4:$D$207,D159,'Q3 Data'!$AG$4:$AG$207)+SUMIF('Q3 Data'!$D$4:$D$207,D159,'Q3 Data'!$AE$4:$AE$207)+SUMIF('Q4 Data'!$D$4:$D$207,D159,'Q4 Data'!$AD$4:$AD$207)+SUMIF('Q4 Data'!$D$4:$D$207,D159,'Q4 Data'!$AG$4:$AG$207)+SUMIF('Q4 Data'!$D$4:$D$207,D159,'Q4 Data'!$AE$4:$AE$207))</f>
      </c>
      <c r="AO159" s="27">
        <f>IF($B159&lt;&gt;"Challan","",P159-N159)</f>
      </c>
      <c r="AP159" s="27">
        <f>IF($B159&lt;&gt;"Challan","",MAX(0,AO159-AN159))</f>
      </c>
      <c r="AQ159" s="33">
        <f>IF($B159&lt;&gt;"Entry","",SUMPRODUCT(('Q1 Data'!$D$4:$D$207=D159)*('Q1 Data'!$B$4:$B$207="Challan")*'Q1 Data'!$F$4:$F$207)+SUMPRODUCT(('Q2 Data'!$D$4:$D$207=D159)*('Q2 Data'!$B$4:$B$207="Challan")*'Q2 Data'!$F$4:$F$207)+SUMPRODUCT(('Q3 Data'!$D$4:$D$207=D159)*('Q3 Data'!$B$4:$B$207="Challan")*'Q3 Data'!$F$4:$F$207)+SUMPRODUCT(('Q4 Data'!$D$4:$D$207=D159)*('Q4 Data'!$B$4:$B$207="Challan")*'Q4 Data'!$F$4:$F$207))</f>
      </c>
      <c r="AR159" s="34">
        <f>IF(OR($B159&lt;&gt;"Entry",Z159=""),FALSE,AND((SUMPRODUCT(('Q1 Data'!$D$4:$D$207=D159)*('Q1 Data'!$B$4:$B$207="Challan")*('Q1 Data'!$H$4:$H$207&lt;&gt;""))+SUMPRODUCT(('Q2 Data'!$D$4:$D$207=D159)*('Q2 Data'!$B$4:$B$207="Challan")*('Q2 Data'!$H$4:$H$207&lt;&gt;""))+SUMPRODUCT(('Q3 Data'!$D$4:$D$207=D159)*('Q3 Data'!$B$4:$B$207="Challan")*('Q3 Data'!$H$4:$H$207&lt;&gt;""))+SUMPRODUCT(('Q4 Data'!$D$4:$D$207=D159)*('Q4 Data'!$B$4:$B$207="Challan")*('Q4 Data'!$H$4:$H$207&lt;&gt;"")))&gt;0,(SUMPRODUCT(('Q1 Data'!$D$4:$D$207=D159)*('Q1 Data'!$B$4:$B$207="Challan")*('Q1 Data'!$H$4:$H$207=Z159))+SUMPRODUCT(('Q2 Data'!$D$4:$D$207=D159)*('Q2 Data'!$B$4:$B$207="Challan")*('Q2 Data'!$H$4:$H$207=Z159))+SUMPRODUCT(('Q3 Data'!$D$4:$D$207=D159)*('Q3 Data'!$B$4:$B$207="Challan")*('Q3 Data'!$H$4:$H$207=Z159))+SUMPRODUCT(('Q4 Data'!$D$4:$D$207=D159)*('Q4 Data'!$B$4:$B$207="Challan")*('Q4 Data'!$H$4:$H$207=Z159)))=0))</f>
      </c>
    </row>
    <row r="160" spans="1:44" x14ac:dyDescent="0.25">
      <c r="A160" s="20">
        <f>IF($B160="Entry",COUNTIF($B$4:$B160,"Entry"),"")</f>
      </c>
      <c r="B160" s="21"/>
      <c r="C160" s="22"/>
      <c r="D160" s="22"/>
      <c r="E160" s="23">
        <f>IF($B160&lt;&gt;"Challan","",IF(ROUND(AN160-AO160,2)&gt;0,"Over-applied",IF(ROUND(AN160-AO160,2)=0,"Fully Utilised","Unconsumed")))</f>
      </c>
      <c r="F160" s="24"/>
      <c r="G160" s="25"/>
      <c r="H160" s="25"/>
      <c r="I160" s="26"/>
      <c r="J160" s="26"/>
      <c r="K160" s="26"/>
      <c r="L160" s="26"/>
      <c r="M160" s="26"/>
      <c r="N160" s="26"/>
      <c r="O160" s="26"/>
      <c r="P160" s="27">
        <f>IF($B160&lt;&gt;"Challan","",I160+J160+K160+L160+M160+N160)</f>
      </c>
      <c r="Q160" s="25"/>
      <c r="R160" s="25"/>
      <c r="S160" s="25"/>
      <c r="T160" s="25"/>
      <c r="U160" s="25"/>
      <c r="V160" s="28"/>
      <c r="W160" s="28"/>
      <c r="X160" s="23">
        <f>IF($B160="Entry",IF(AND(LEN(TRIM(UPPER(W160)))=10,CODE(MID(TRIM(UPPER(W160)),1,1))&gt;=65,CODE(MID(TRIM(UPPER(W160)),1,1))&lt;=90,CODE(MID(TRIM(UPPER(W160)),2,1))&gt;=65,CODE(MID(TRIM(UPPER(W160)),2,1))&lt;=90,CODE(MID(TRIM(UPPER(W160)),3,1))&gt;=65,CODE(MID(TRIM(UPPER(W160)),3,1))&lt;=90,CODE(MID(TRIM(UPPER(W160)),4,1))&gt;=65,CODE(MID(TRIM(UPPER(W160)),4,1))&lt;=90,CODE(MID(TRIM(UPPER(W160)),5,1))&gt;=65,CODE(MID(TRIM(UPPER(W160)),5,1))&lt;=90,CODE(MID(TRIM(UPPER(W160)),10,1))&gt;=65,CODE(MID(TRIM(UPPER(W160)),10,1))&lt;=90,CODE(MID(TRIM(UPPER(W160)),6,1))&gt;=48,CODE(MID(TRIM(UPPER(W160)),6,1))&lt;=57,CODE(MID(TRIM(UPPER(W160)),7,1))&gt;=48,CODE(MID(TRIM(UPPER(W160)),7,1))&lt;=57,CODE(MID(TRIM(UPPER(W160)),8,1))&gt;=48,CODE(MID(TRIM(UPPER(W160)),8,1))&lt;=57,CODE(MID(TRIM(UPPER(W160)),9,1))&gt;=48,CODE(MID(TRIM(UPPER(W160)),9,1))&lt;=57),"N","Y"),IF($B160="Challan","",IF(W160&lt;&gt;"","◄ Set Row Type","")))</f>
      </c>
      <c r="Y160" s="23">
        <f>IF($B160="Entry",IF(LEN(W160)&lt;4,"",IF(UPPER(MID(W160,4,1))="P","Individual",IF(UPPER(MID(W160,4,1))="H","HUF",IF(UPPER(MID(W160,4,1))="C","Company",IF(UPPER(MID(W160,4,1))="F","Firm",IF(UPPER(MID(W160,4,1))="L","LLP",IF(UPPER(MID(W160,4,1))="T","Trust",IF(UPPER(MID(W160,4,1))="A","AOP","")))))))),IF($B160="Challan","",IF(W160&lt;&gt;"","◄ Set Row Type","")))</f>
      </c>
      <c r="Z160" s="28"/>
      <c r="AA160" s="29">
        <f>IF($B160&lt;&gt;"Entry","",IF(Z160="","",IF(X160="Y",SUMPRODUCT(('Rate Lookup'!$A$1:$A$37=Z160)*'Rate Lookup'!$D$1:$D$37),IF(OR(Y160="Individual",Y160="HUF"),SUMPRODUCT(('Rate Lookup'!$A$1:$A$37=Z160)*'Rate Lookup'!$B$1:$B$37),SUMPRODUCT(('Rate Lookup'!$A$1:$A$37=Z160)*'Rate Lookup'!$C$1:$C$37)))))</f>
      </c>
      <c r="AB160" s="30"/>
      <c r="AC160" s="31"/>
      <c r="AD160" s="27">
        <f>IF($B160&lt;&gt;"Entry","",ROUND(AC160*AA160/100,0))</f>
      </c>
      <c r="AE160" s="27">
        <f>IF($B160&lt;&gt;"Entry","",0)</f>
      </c>
      <c r="AF160" s="27">
        <f>IF($B160&lt;&gt;"Entry","",0)</f>
      </c>
      <c r="AG160" s="27">
        <f>IF($B160&lt;&gt;"Entry","",IF(OR(AD160=0,AB160="",AQ160="",AQ160&lt;=0),0,IF(AQ160&lt;=DATE(YEAR(AB160),MONTH(AB160)+1,7),0,ROUND(AD160*0.015*((YEAR(AQ160)-YEAR(AB160))*12+(MONTH(AQ160)-MONTH(AB160))+1),0))))</f>
      </c>
      <c r="AH160" s="27">
        <f>IF($B160&lt;&gt;"Entry","",0)</f>
      </c>
      <c r="AI160" s="28"/>
      <c r="AJ160" s="28"/>
      <c r="AK160" s="32"/>
      <c r="AL160" s="28"/>
      <c r="AM160" s="28"/>
      <c r="AN160" s="27">
        <f>IF($B160&lt;&gt;"Challan","",SUMIF('Q1 Data'!$D$4:$D$207,D160,'Q1 Data'!$AD$4:$AD$207)+SUMIF('Q1 Data'!$D$4:$D$207,D160,'Q1 Data'!$AG$4:$AG$207)+SUMIF('Q1 Data'!$D$4:$D$207,D160,'Q1 Data'!$AE$4:$AE$207)+SUMIF('Q2 Data'!$D$4:$D$207,D160,'Q2 Data'!$AD$4:$AD$207)+SUMIF('Q2 Data'!$D$4:$D$207,D160,'Q2 Data'!$AG$4:$AG$207)+SUMIF('Q2 Data'!$D$4:$D$207,D160,'Q2 Data'!$AE$4:$AE$207)+SUMIF('Q3 Data'!$D$4:$D$207,D160,'Q3 Data'!$AD$4:$AD$207)+SUMIF('Q3 Data'!$D$4:$D$207,D160,'Q3 Data'!$AG$4:$AG$207)+SUMIF('Q3 Data'!$D$4:$D$207,D160,'Q3 Data'!$AE$4:$AE$207)+SUMIF('Q4 Data'!$D$4:$D$207,D160,'Q4 Data'!$AD$4:$AD$207)+SUMIF('Q4 Data'!$D$4:$D$207,D160,'Q4 Data'!$AG$4:$AG$207)+SUMIF('Q4 Data'!$D$4:$D$207,D160,'Q4 Data'!$AE$4:$AE$207))</f>
      </c>
      <c r="AO160" s="27">
        <f>IF($B160&lt;&gt;"Challan","",P160-N160)</f>
      </c>
      <c r="AP160" s="27">
        <f>IF($B160&lt;&gt;"Challan","",MAX(0,AO160-AN160))</f>
      </c>
      <c r="AQ160" s="33">
        <f>IF($B160&lt;&gt;"Entry","",SUMPRODUCT(('Q1 Data'!$D$4:$D$207=D160)*('Q1 Data'!$B$4:$B$207="Challan")*'Q1 Data'!$F$4:$F$207)+SUMPRODUCT(('Q2 Data'!$D$4:$D$207=D160)*('Q2 Data'!$B$4:$B$207="Challan")*'Q2 Data'!$F$4:$F$207)+SUMPRODUCT(('Q3 Data'!$D$4:$D$207=D160)*('Q3 Data'!$B$4:$B$207="Challan")*'Q3 Data'!$F$4:$F$207)+SUMPRODUCT(('Q4 Data'!$D$4:$D$207=D160)*('Q4 Data'!$B$4:$B$207="Challan")*'Q4 Data'!$F$4:$F$207))</f>
      </c>
      <c r="AR160" s="34">
        <f>IF(OR($B160&lt;&gt;"Entry",Z160=""),FALSE,AND((SUMPRODUCT(('Q1 Data'!$D$4:$D$207=D160)*('Q1 Data'!$B$4:$B$207="Challan")*('Q1 Data'!$H$4:$H$207&lt;&gt;""))+SUMPRODUCT(('Q2 Data'!$D$4:$D$207=D160)*('Q2 Data'!$B$4:$B$207="Challan")*('Q2 Data'!$H$4:$H$207&lt;&gt;""))+SUMPRODUCT(('Q3 Data'!$D$4:$D$207=D160)*('Q3 Data'!$B$4:$B$207="Challan")*('Q3 Data'!$H$4:$H$207&lt;&gt;""))+SUMPRODUCT(('Q4 Data'!$D$4:$D$207=D160)*('Q4 Data'!$B$4:$B$207="Challan")*('Q4 Data'!$H$4:$H$207&lt;&gt;"")))&gt;0,(SUMPRODUCT(('Q1 Data'!$D$4:$D$207=D160)*('Q1 Data'!$B$4:$B$207="Challan")*('Q1 Data'!$H$4:$H$207=Z160))+SUMPRODUCT(('Q2 Data'!$D$4:$D$207=D160)*('Q2 Data'!$B$4:$B$207="Challan")*('Q2 Data'!$H$4:$H$207=Z160))+SUMPRODUCT(('Q3 Data'!$D$4:$D$207=D160)*('Q3 Data'!$B$4:$B$207="Challan")*('Q3 Data'!$H$4:$H$207=Z160))+SUMPRODUCT(('Q4 Data'!$D$4:$D$207=D160)*('Q4 Data'!$B$4:$B$207="Challan")*('Q4 Data'!$H$4:$H$207=Z160)))=0))</f>
      </c>
    </row>
    <row r="161" spans="1:44" x14ac:dyDescent="0.25">
      <c r="A161" s="20">
        <f>IF($B161="Entry",COUNTIF($B$4:$B161,"Entry"),"")</f>
      </c>
      <c r="B161" s="21"/>
      <c r="C161" s="22"/>
      <c r="D161" s="22"/>
      <c r="E161" s="23">
        <f>IF($B161&lt;&gt;"Challan","",IF(ROUND(AN161-AO161,2)&gt;0,"Over-applied",IF(ROUND(AN161-AO161,2)=0,"Fully Utilised","Unconsumed")))</f>
      </c>
      <c r="F161" s="24"/>
      <c r="G161" s="25"/>
      <c r="H161" s="25"/>
      <c r="I161" s="26"/>
      <c r="J161" s="26"/>
      <c r="K161" s="26"/>
      <c r="L161" s="26"/>
      <c r="M161" s="26"/>
      <c r="N161" s="26"/>
      <c r="O161" s="26"/>
      <c r="P161" s="27">
        <f>IF($B161&lt;&gt;"Challan","",I161+J161+K161+L161+M161+N161)</f>
      </c>
      <c r="Q161" s="25"/>
      <c r="R161" s="25"/>
      <c r="S161" s="25"/>
      <c r="T161" s="25"/>
      <c r="U161" s="25"/>
      <c r="V161" s="28"/>
      <c r="W161" s="28"/>
      <c r="X161" s="23">
        <f>IF($B161="Entry",IF(AND(LEN(TRIM(UPPER(W161)))=10,CODE(MID(TRIM(UPPER(W161)),1,1))&gt;=65,CODE(MID(TRIM(UPPER(W161)),1,1))&lt;=90,CODE(MID(TRIM(UPPER(W161)),2,1))&gt;=65,CODE(MID(TRIM(UPPER(W161)),2,1))&lt;=90,CODE(MID(TRIM(UPPER(W161)),3,1))&gt;=65,CODE(MID(TRIM(UPPER(W161)),3,1))&lt;=90,CODE(MID(TRIM(UPPER(W161)),4,1))&gt;=65,CODE(MID(TRIM(UPPER(W161)),4,1))&lt;=90,CODE(MID(TRIM(UPPER(W161)),5,1))&gt;=65,CODE(MID(TRIM(UPPER(W161)),5,1))&lt;=90,CODE(MID(TRIM(UPPER(W161)),10,1))&gt;=65,CODE(MID(TRIM(UPPER(W161)),10,1))&lt;=90,CODE(MID(TRIM(UPPER(W161)),6,1))&gt;=48,CODE(MID(TRIM(UPPER(W161)),6,1))&lt;=57,CODE(MID(TRIM(UPPER(W161)),7,1))&gt;=48,CODE(MID(TRIM(UPPER(W161)),7,1))&lt;=57,CODE(MID(TRIM(UPPER(W161)),8,1))&gt;=48,CODE(MID(TRIM(UPPER(W161)),8,1))&lt;=57,CODE(MID(TRIM(UPPER(W161)),9,1))&gt;=48,CODE(MID(TRIM(UPPER(W161)),9,1))&lt;=57),"N","Y"),IF($B161="Challan","",IF(W161&lt;&gt;"","◄ Set Row Type","")))</f>
      </c>
      <c r="Y161" s="23">
        <f>IF($B161="Entry",IF(LEN(W161)&lt;4,"",IF(UPPER(MID(W161,4,1))="P","Individual",IF(UPPER(MID(W161,4,1))="H","HUF",IF(UPPER(MID(W161,4,1))="C","Company",IF(UPPER(MID(W161,4,1))="F","Firm",IF(UPPER(MID(W161,4,1))="L","LLP",IF(UPPER(MID(W161,4,1))="T","Trust",IF(UPPER(MID(W161,4,1))="A","AOP","")))))))),IF($B161="Challan","",IF(W161&lt;&gt;"","◄ Set Row Type","")))</f>
      </c>
      <c r="Z161" s="28"/>
      <c r="AA161" s="29">
        <f>IF($B161&lt;&gt;"Entry","",IF(Z161="","",IF(X161="Y",SUMPRODUCT(('Rate Lookup'!$A$1:$A$37=Z161)*'Rate Lookup'!$D$1:$D$37),IF(OR(Y161="Individual",Y161="HUF"),SUMPRODUCT(('Rate Lookup'!$A$1:$A$37=Z161)*'Rate Lookup'!$B$1:$B$37),SUMPRODUCT(('Rate Lookup'!$A$1:$A$37=Z161)*'Rate Lookup'!$C$1:$C$37)))))</f>
      </c>
      <c r="AB161" s="30"/>
      <c r="AC161" s="31"/>
      <c r="AD161" s="27">
        <f>IF($B161&lt;&gt;"Entry","",ROUND(AC161*AA161/100,0))</f>
      </c>
      <c r="AE161" s="27">
        <f>IF($B161&lt;&gt;"Entry","",0)</f>
      </c>
      <c r="AF161" s="27">
        <f>IF($B161&lt;&gt;"Entry","",0)</f>
      </c>
      <c r="AG161" s="27">
        <f>IF($B161&lt;&gt;"Entry","",IF(OR(AD161=0,AB161="",AQ161="",AQ161&lt;=0),0,IF(AQ161&lt;=DATE(YEAR(AB161),MONTH(AB161)+1,7),0,ROUND(AD161*0.015*((YEAR(AQ161)-YEAR(AB161))*12+(MONTH(AQ161)-MONTH(AB161))+1),0))))</f>
      </c>
      <c r="AH161" s="27">
        <f>IF($B161&lt;&gt;"Entry","",0)</f>
      </c>
      <c r="AI161" s="28"/>
      <c r="AJ161" s="28"/>
      <c r="AK161" s="32"/>
      <c r="AL161" s="28"/>
      <c r="AM161" s="28"/>
      <c r="AN161" s="27">
        <f>IF($B161&lt;&gt;"Challan","",SUMIF('Q1 Data'!$D$4:$D$207,D161,'Q1 Data'!$AD$4:$AD$207)+SUMIF('Q1 Data'!$D$4:$D$207,D161,'Q1 Data'!$AG$4:$AG$207)+SUMIF('Q1 Data'!$D$4:$D$207,D161,'Q1 Data'!$AE$4:$AE$207)+SUMIF('Q2 Data'!$D$4:$D$207,D161,'Q2 Data'!$AD$4:$AD$207)+SUMIF('Q2 Data'!$D$4:$D$207,D161,'Q2 Data'!$AG$4:$AG$207)+SUMIF('Q2 Data'!$D$4:$D$207,D161,'Q2 Data'!$AE$4:$AE$207)+SUMIF('Q3 Data'!$D$4:$D$207,D161,'Q3 Data'!$AD$4:$AD$207)+SUMIF('Q3 Data'!$D$4:$D$207,D161,'Q3 Data'!$AG$4:$AG$207)+SUMIF('Q3 Data'!$D$4:$D$207,D161,'Q3 Data'!$AE$4:$AE$207)+SUMIF('Q4 Data'!$D$4:$D$207,D161,'Q4 Data'!$AD$4:$AD$207)+SUMIF('Q4 Data'!$D$4:$D$207,D161,'Q4 Data'!$AG$4:$AG$207)+SUMIF('Q4 Data'!$D$4:$D$207,D161,'Q4 Data'!$AE$4:$AE$207))</f>
      </c>
      <c r="AO161" s="27">
        <f>IF($B161&lt;&gt;"Challan","",P161-N161)</f>
      </c>
      <c r="AP161" s="27">
        <f>IF($B161&lt;&gt;"Challan","",MAX(0,AO161-AN161))</f>
      </c>
      <c r="AQ161" s="33">
        <f>IF($B161&lt;&gt;"Entry","",SUMPRODUCT(('Q1 Data'!$D$4:$D$207=D161)*('Q1 Data'!$B$4:$B$207="Challan")*'Q1 Data'!$F$4:$F$207)+SUMPRODUCT(('Q2 Data'!$D$4:$D$207=D161)*('Q2 Data'!$B$4:$B$207="Challan")*'Q2 Data'!$F$4:$F$207)+SUMPRODUCT(('Q3 Data'!$D$4:$D$207=D161)*('Q3 Data'!$B$4:$B$207="Challan")*'Q3 Data'!$F$4:$F$207)+SUMPRODUCT(('Q4 Data'!$D$4:$D$207=D161)*('Q4 Data'!$B$4:$B$207="Challan")*'Q4 Data'!$F$4:$F$207))</f>
      </c>
      <c r="AR161" s="34">
        <f>IF(OR($B161&lt;&gt;"Entry",Z161=""),FALSE,AND((SUMPRODUCT(('Q1 Data'!$D$4:$D$207=D161)*('Q1 Data'!$B$4:$B$207="Challan")*('Q1 Data'!$H$4:$H$207&lt;&gt;""))+SUMPRODUCT(('Q2 Data'!$D$4:$D$207=D161)*('Q2 Data'!$B$4:$B$207="Challan")*('Q2 Data'!$H$4:$H$207&lt;&gt;""))+SUMPRODUCT(('Q3 Data'!$D$4:$D$207=D161)*('Q3 Data'!$B$4:$B$207="Challan")*('Q3 Data'!$H$4:$H$207&lt;&gt;""))+SUMPRODUCT(('Q4 Data'!$D$4:$D$207=D161)*('Q4 Data'!$B$4:$B$207="Challan")*('Q4 Data'!$H$4:$H$207&lt;&gt;"")))&gt;0,(SUMPRODUCT(('Q1 Data'!$D$4:$D$207=D161)*('Q1 Data'!$B$4:$B$207="Challan")*('Q1 Data'!$H$4:$H$207=Z161))+SUMPRODUCT(('Q2 Data'!$D$4:$D$207=D161)*('Q2 Data'!$B$4:$B$207="Challan")*('Q2 Data'!$H$4:$H$207=Z161))+SUMPRODUCT(('Q3 Data'!$D$4:$D$207=D161)*('Q3 Data'!$B$4:$B$207="Challan")*('Q3 Data'!$H$4:$H$207=Z161))+SUMPRODUCT(('Q4 Data'!$D$4:$D$207=D161)*('Q4 Data'!$B$4:$B$207="Challan")*('Q4 Data'!$H$4:$H$207=Z161)))=0))</f>
      </c>
    </row>
    <row r="162" spans="1:44" x14ac:dyDescent="0.25">
      <c r="A162" s="20">
        <f>IF($B162="Entry",COUNTIF($B$4:$B162,"Entry"),"")</f>
      </c>
      <c r="B162" s="21"/>
      <c r="C162" s="22"/>
      <c r="D162" s="22"/>
      <c r="E162" s="23">
        <f>IF($B162&lt;&gt;"Challan","",IF(ROUND(AN162-AO162,2)&gt;0,"Over-applied",IF(ROUND(AN162-AO162,2)=0,"Fully Utilised","Unconsumed")))</f>
      </c>
      <c r="F162" s="24"/>
      <c r="G162" s="25"/>
      <c r="H162" s="25"/>
      <c r="I162" s="26"/>
      <c r="J162" s="26"/>
      <c r="K162" s="26"/>
      <c r="L162" s="26"/>
      <c r="M162" s="26"/>
      <c r="N162" s="26"/>
      <c r="O162" s="26"/>
      <c r="P162" s="27">
        <f>IF($B162&lt;&gt;"Challan","",I162+J162+K162+L162+M162+N162)</f>
      </c>
      <c r="Q162" s="25"/>
      <c r="R162" s="25"/>
      <c r="S162" s="25"/>
      <c r="T162" s="25"/>
      <c r="U162" s="25"/>
      <c r="V162" s="28"/>
      <c r="W162" s="28"/>
      <c r="X162" s="23">
        <f>IF($B162="Entry",IF(AND(LEN(TRIM(UPPER(W162)))=10,CODE(MID(TRIM(UPPER(W162)),1,1))&gt;=65,CODE(MID(TRIM(UPPER(W162)),1,1))&lt;=90,CODE(MID(TRIM(UPPER(W162)),2,1))&gt;=65,CODE(MID(TRIM(UPPER(W162)),2,1))&lt;=90,CODE(MID(TRIM(UPPER(W162)),3,1))&gt;=65,CODE(MID(TRIM(UPPER(W162)),3,1))&lt;=90,CODE(MID(TRIM(UPPER(W162)),4,1))&gt;=65,CODE(MID(TRIM(UPPER(W162)),4,1))&lt;=90,CODE(MID(TRIM(UPPER(W162)),5,1))&gt;=65,CODE(MID(TRIM(UPPER(W162)),5,1))&lt;=90,CODE(MID(TRIM(UPPER(W162)),10,1))&gt;=65,CODE(MID(TRIM(UPPER(W162)),10,1))&lt;=90,CODE(MID(TRIM(UPPER(W162)),6,1))&gt;=48,CODE(MID(TRIM(UPPER(W162)),6,1))&lt;=57,CODE(MID(TRIM(UPPER(W162)),7,1))&gt;=48,CODE(MID(TRIM(UPPER(W162)),7,1))&lt;=57,CODE(MID(TRIM(UPPER(W162)),8,1))&gt;=48,CODE(MID(TRIM(UPPER(W162)),8,1))&lt;=57,CODE(MID(TRIM(UPPER(W162)),9,1))&gt;=48,CODE(MID(TRIM(UPPER(W162)),9,1))&lt;=57),"N","Y"),IF($B162="Challan","",IF(W162&lt;&gt;"","◄ Set Row Type","")))</f>
      </c>
      <c r="Y162" s="23">
        <f>IF($B162="Entry",IF(LEN(W162)&lt;4,"",IF(UPPER(MID(W162,4,1))="P","Individual",IF(UPPER(MID(W162,4,1))="H","HUF",IF(UPPER(MID(W162,4,1))="C","Company",IF(UPPER(MID(W162,4,1))="F","Firm",IF(UPPER(MID(W162,4,1))="L","LLP",IF(UPPER(MID(W162,4,1))="T","Trust",IF(UPPER(MID(W162,4,1))="A","AOP","")))))))),IF($B162="Challan","",IF(W162&lt;&gt;"","◄ Set Row Type","")))</f>
      </c>
      <c r="Z162" s="28"/>
      <c r="AA162" s="29">
        <f>IF($B162&lt;&gt;"Entry","",IF(Z162="","",IF(X162="Y",SUMPRODUCT(('Rate Lookup'!$A$1:$A$37=Z162)*'Rate Lookup'!$D$1:$D$37),IF(OR(Y162="Individual",Y162="HUF"),SUMPRODUCT(('Rate Lookup'!$A$1:$A$37=Z162)*'Rate Lookup'!$B$1:$B$37),SUMPRODUCT(('Rate Lookup'!$A$1:$A$37=Z162)*'Rate Lookup'!$C$1:$C$37)))))</f>
      </c>
      <c r="AB162" s="30"/>
      <c r="AC162" s="31"/>
      <c r="AD162" s="27">
        <f>IF($B162&lt;&gt;"Entry","",ROUND(AC162*AA162/100,0))</f>
      </c>
      <c r="AE162" s="27">
        <f>IF($B162&lt;&gt;"Entry","",0)</f>
      </c>
      <c r="AF162" s="27">
        <f>IF($B162&lt;&gt;"Entry","",0)</f>
      </c>
      <c r="AG162" s="27">
        <f>IF($B162&lt;&gt;"Entry","",IF(OR(AD162=0,AB162="",AQ162="",AQ162&lt;=0),0,IF(AQ162&lt;=DATE(YEAR(AB162),MONTH(AB162)+1,7),0,ROUND(AD162*0.015*((YEAR(AQ162)-YEAR(AB162))*12+(MONTH(AQ162)-MONTH(AB162))+1),0))))</f>
      </c>
      <c r="AH162" s="27">
        <f>IF($B162&lt;&gt;"Entry","",0)</f>
      </c>
      <c r="AI162" s="28"/>
      <c r="AJ162" s="28"/>
      <c r="AK162" s="32"/>
      <c r="AL162" s="28"/>
      <c r="AM162" s="28"/>
      <c r="AN162" s="27">
        <f>IF($B162&lt;&gt;"Challan","",SUMIF('Q1 Data'!$D$4:$D$207,D162,'Q1 Data'!$AD$4:$AD$207)+SUMIF('Q1 Data'!$D$4:$D$207,D162,'Q1 Data'!$AG$4:$AG$207)+SUMIF('Q1 Data'!$D$4:$D$207,D162,'Q1 Data'!$AE$4:$AE$207)+SUMIF('Q2 Data'!$D$4:$D$207,D162,'Q2 Data'!$AD$4:$AD$207)+SUMIF('Q2 Data'!$D$4:$D$207,D162,'Q2 Data'!$AG$4:$AG$207)+SUMIF('Q2 Data'!$D$4:$D$207,D162,'Q2 Data'!$AE$4:$AE$207)+SUMIF('Q3 Data'!$D$4:$D$207,D162,'Q3 Data'!$AD$4:$AD$207)+SUMIF('Q3 Data'!$D$4:$D$207,D162,'Q3 Data'!$AG$4:$AG$207)+SUMIF('Q3 Data'!$D$4:$D$207,D162,'Q3 Data'!$AE$4:$AE$207)+SUMIF('Q4 Data'!$D$4:$D$207,D162,'Q4 Data'!$AD$4:$AD$207)+SUMIF('Q4 Data'!$D$4:$D$207,D162,'Q4 Data'!$AG$4:$AG$207)+SUMIF('Q4 Data'!$D$4:$D$207,D162,'Q4 Data'!$AE$4:$AE$207))</f>
      </c>
      <c r="AO162" s="27">
        <f>IF($B162&lt;&gt;"Challan","",P162-N162)</f>
      </c>
      <c r="AP162" s="27">
        <f>IF($B162&lt;&gt;"Challan","",MAX(0,AO162-AN162))</f>
      </c>
      <c r="AQ162" s="33">
        <f>IF($B162&lt;&gt;"Entry","",SUMPRODUCT(('Q1 Data'!$D$4:$D$207=D162)*('Q1 Data'!$B$4:$B$207="Challan")*'Q1 Data'!$F$4:$F$207)+SUMPRODUCT(('Q2 Data'!$D$4:$D$207=D162)*('Q2 Data'!$B$4:$B$207="Challan")*'Q2 Data'!$F$4:$F$207)+SUMPRODUCT(('Q3 Data'!$D$4:$D$207=D162)*('Q3 Data'!$B$4:$B$207="Challan")*'Q3 Data'!$F$4:$F$207)+SUMPRODUCT(('Q4 Data'!$D$4:$D$207=D162)*('Q4 Data'!$B$4:$B$207="Challan")*'Q4 Data'!$F$4:$F$207))</f>
      </c>
      <c r="AR162" s="34">
        <f>IF(OR($B162&lt;&gt;"Entry",Z162=""),FALSE,AND((SUMPRODUCT(('Q1 Data'!$D$4:$D$207=D162)*('Q1 Data'!$B$4:$B$207="Challan")*('Q1 Data'!$H$4:$H$207&lt;&gt;""))+SUMPRODUCT(('Q2 Data'!$D$4:$D$207=D162)*('Q2 Data'!$B$4:$B$207="Challan")*('Q2 Data'!$H$4:$H$207&lt;&gt;""))+SUMPRODUCT(('Q3 Data'!$D$4:$D$207=D162)*('Q3 Data'!$B$4:$B$207="Challan")*('Q3 Data'!$H$4:$H$207&lt;&gt;""))+SUMPRODUCT(('Q4 Data'!$D$4:$D$207=D162)*('Q4 Data'!$B$4:$B$207="Challan")*('Q4 Data'!$H$4:$H$207&lt;&gt;"")))&gt;0,(SUMPRODUCT(('Q1 Data'!$D$4:$D$207=D162)*('Q1 Data'!$B$4:$B$207="Challan")*('Q1 Data'!$H$4:$H$207=Z162))+SUMPRODUCT(('Q2 Data'!$D$4:$D$207=D162)*('Q2 Data'!$B$4:$B$207="Challan")*('Q2 Data'!$H$4:$H$207=Z162))+SUMPRODUCT(('Q3 Data'!$D$4:$D$207=D162)*('Q3 Data'!$B$4:$B$207="Challan")*('Q3 Data'!$H$4:$H$207=Z162))+SUMPRODUCT(('Q4 Data'!$D$4:$D$207=D162)*('Q4 Data'!$B$4:$B$207="Challan")*('Q4 Data'!$H$4:$H$207=Z162)))=0))</f>
      </c>
    </row>
    <row r="163" spans="1:44" x14ac:dyDescent="0.25">
      <c r="A163" s="20">
        <f>IF($B163="Entry",COUNTIF($B$4:$B163,"Entry"),"")</f>
      </c>
      <c r="B163" s="21"/>
      <c r="C163" s="22"/>
      <c r="D163" s="22"/>
      <c r="E163" s="23">
        <f>IF($B163&lt;&gt;"Challan","",IF(ROUND(AN163-AO163,2)&gt;0,"Over-applied",IF(ROUND(AN163-AO163,2)=0,"Fully Utilised","Unconsumed")))</f>
      </c>
      <c r="F163" s="24"/>
      <c r="G163" s="25"/>
      <c r="H163" s="25"/>
      <c r="I163" s="26"/>
      <c r="J163" s="26"/>
      <c r="K163" s="26"/>
      <c r="L163" s="26"/>
      <c r="M163" s="26"/>
      <c r="N163" s="26"/>
      <c r="O163" s="26"/>
      <c r="P163" s="27">
        <f>IF($B163&lt;&gt;"Challan","",I163+J163+K163+L163+M163+N163)</f>
      </c>
      <c r="Q163" s="25"/>
      <c r="R163" s="25"/>
      <c r="S163" s="25"/>
      <c r="T163" s="25"/>
      <c r="U163" s="25"/>
      <c r="V163" s="28"/>
      <c r="W163" s="28"/>
      <c r="X163" s="23">
        <f>IF($B163="Entry",IF(AND(LEN(TRIM(UPPER(W163)))=10,CODE(MID(TRIM(UPPER(W163)),1,1))&gt;=65,CODE(MID(TRIM(UPPER(W163)),1,1))&lt;=90,CODE(MID(TRIM(UPPER(W163)),2,1))&gt;=65,CODE(MID(TRIM(UPPER(W163)),2,1))&lt;=90,CODE(MID(TRIM(UPPER(W163)),3,1))&gt;=65,CODE(MID(TRIM(UPPER(W163)),3,1))&lt;=90,CODE(MID(TRIM(UPPER(W163)),4,1))&gt;=65,CODE(MID(TRIM(UPPER(W163)),4,1))&lt;=90,CODE(MID(TRIM(UPPER(W163)),5,1))&gt;=65,CODE(MID(TRIM(UPPER(W163)),5,1))&lt;=90,CODE(MID(TRIM(UPPER(W163)),10,1))&gt;=65,CODE(MID(TRIM(UPPER(W163)),10,1))&lt;=90,CODE(MID(TRIM(UPPER(W163)),6,1))&gt;=48,CODE(MID(TRIM(UPPER(W163)),6,1))&lt;=57,CODE(MID(TRIM(UPPER(W163)),7,1))&gt;=48,CODE(MID(TRIM(UPPER(W163)),7,1))&lt;=57,CODE(MID(TRIM(UPPER(W163)),8,1))&gt;=48,CODE(MID(TRIM(UPPER(W163)),8,1))&lt;=57,CODE(MID(TRIM(UPPER(W163)),9,1))&gt;=48,CODE(MID(TRIM(UPPER(W163)),9,1))&lt;=57),"N","Y"),IF($B163="Challan","",IF(W163&lt;&gt;"","◄ Set Row Type","")))</f>
      </c>
      <c r="Y163" s="23">
        <f>IF($B163="Entry",IF(LEN(W163)&lt;4,"",IF(UPPER(MID(W163,4,1))="P","Individual",IF(UPPER(MID(W163,4,1))="H","HUF",IF(UPPER(MID(W163,4,1))="C","Company",IF(UPPER(MID(W163,4,1))="F","Firm",IF(UPPER(MID(W163,4,1))="L","LLP",IF(UPPER(MID(W163,4,1))="T","Trust",IF(UPPER(MID(W163,4,1))="A","AOP","")))))))),IF($B163="Challan","",IF(W163&lt;&gt;"","◄ Set Row Type","")))</f>
      </c>
      <c r="Z163" s="28"/>
      <c r="AA163" s="29">
        <f>IF($B163&lt;&gt;"Entry","",IF(Z163="","",IF(X163="Y",SUMPRODUCT(('Rate Lookup'!$A$1:$A$37=Z163)*'Rate Lookup'!$D$1:$D$37),IF(OR(Y163="Individual",Y163="HUF"),SUMPRODUCT(('Rate Lookup'!$A$1:$A$37=Z163)*'Rate Lookup'!$B$1:$B$37),SUMPRODUCT(('Rate Lookup'!$A$1:$A$37=Z163)*'Rate Lookup'!$C$1:$C$37)))))</f>
      </c>
      <c r="AB163" s="30"/>
      <c r="AC163" s="31"/>
      <c r="AD163" s="27">
        <f>IF($B163&lt;&gt;"Entry","",ROUND(AC163*AA163/100,0))</f>
      </c>
      <c r="AE163" s="27">
        <f>IF($B163&lt;&gt;"Entry","",0)</f>
      </c>
      <c r="AF163" s="27">
        <f>IF($B163&lt;&gt;"Entry","",0)</f>
      </c>
      <c r="AG163" s="27">
        <f>IF($B163&lt;&gt;"Entry","",IF(OR(AD163=0,AB163="",AQ163="",AQ163&lt;=0),0,IF(AQ163&lt;=DATE(YEAR(AB163),MONTH(AB163)+1,7),0,ROUND(AD163*0.015*((YEAR(AQ163)-YEAR(AB163))*12+(MONTH(AQ163)-MONTH(AB163))+1),0))))</f>
      </c>
      <c r="AH163" s="27">
        <f>IF($B163&lt;&gt;"Entry","",0)</f>
      </c>
      <c r="AI163" s="28"/>
      <c r="AJ163" s="28"/>
      <c r="AK163" s="32"/>
      <c r="AL163" s="28"/>
      <c r="AM163" s="28"/>
      <c r="AN163" s="27">
        <f>IF($B163&lt;&gt;"Challan","",SUMIF('Q1 Data'!$D$4:$D$207,D163,'Q1 Data'!$AD$4:$AD$207)+SUMIF('Q1 Data'!$D$4:$D$207,D163,'Q1 Data'!$AG$4:$AG$207)+SUMIF('Q1 Data'!$D$4:$D$207,D163,'Q1 Data'!$AE$4:$AE$207)+SUMIF('Q2 Data'!$D$4:$D$207,D163,'Q2 Data'!$AD$4:$AD$207)+SUMIF('Q2 Data'!$D$4:$D$207,D163,'Q2 Data'!$AG$4:$AG$207)+SUMIF('Q2 Data'!$D$4:$D$207,D163,'Q2 Data'!$AE$4:$AE$207)+SUMIF('Q3 Data'!$D$4:$D$207,D163,'Q3 Data'!$AD$4:$AD$207)+SUMIF('Q3 Data'!$D$4:$D$207,D163,'Q3 Data'!$AG$4:$AG$207)+SUMIF('Q3 Data'!$D$4:$D$207,D163,'Q3 Data'!$AE$4:$AE$207)+SUMIF('Q4 Data'!$D$4:$D$207,D163,'Q4 Data'!$AD$4:$AD$207)+SUMIF('Q4 Data'!$D$4:$D$207,D163,'Q4 Data'!$AG$4:$AG$207)+SUMIF('Q4 Data'!$D$4:$D$207,D163,'Q4 Data'!$AE$4:$AE$207))</f>
      </c>
      <c r="AO163" s="27">
        <f>IF($B163&lt;&gt;"Challan","",P163-N163)</f>
      </c>
      <c r="AP163" s="27">
        <f>IF($B163&lt;&gt;"Challan","",MAX(0,AO163-AN163))</f>
      </c>
      <c r="AQ163" s="33">
        <f>IF($B163&lt;&gt;"Entry","",SUMPRODUCT(('Q1 Data'!$D$4:$D$207=D163)*('Q1 Data'!$B$4:$B$207="Challan")*'Q1 Data'!$F$4:$F$207)+SUMPRODUCT(('Q2 Data'!$D$4:$D$207=D163)*('Q2 Data'!$B$4:$B$207="Challan")*'Q2 Data'!$F$4:$F$207)+SUMPRODUCT(('Q3 Data'!$D$4:$D$207=D163)*('Q3 Data'!$B$4:$B$207="Challan")*'Q3 Data'!$F$4:$F$207)+SUMPRODUCT(('Q4 Data'!$D$4:$D$207=D163)*('Q4 Data'!$B$4:$B$207="Challan")*'Q4 Data'!$F$4:$F$207))</f>
      </c>
      <c r="AR163" s="34">
        <f>IF(OR($B163&lt;&gt;"Entry",Z163=""),FALSE,AND((SUMPRODUCT(('Q1 Data'!$D$4:$D$207=D163)*('Q1 Data'!$B$4:$B$207="Challan")*('Q1 Data'!$H$4:$H$207&lt;&gt;""))+SUMPRODUCT(('Q2 Data'!$D$4:$D$207=D163)*('Q2 Data'!$B$4:$B$207="Challan")*('Q2 Data'!$H$4:$H$207&lt;&gt;""))+SUMPRODUCT(('Q3 Data'!$D$4:$D$207=D163)*('Q3 Data'!$B$4:$B$207="Challan")*('Q3 Data'!$H$4:$H$207&lt;&gt;""))+SUMPRODUCT(('Q4 Data'!$D$4:$D$207=D163)*('Q4 Data'!$B$4:$B$207="Challan")*('Q4 Data'!$H$4:$H$207&lt;&gt;"")))&gt;0,(SUMPRODUCT(('Q1 Data'!$D$4:$D$207=D163)*('Q1 Data'!$B$4:$B$207="Challan")*('Q1 Data'!$H$4:$H$207=Z163))+SUMPRODUCT(('Q2 Data'!$D$4:$D$207=D163)*('Q2 Data'!$B$4:$B$207="Challan")*('Q2 Data'!$H$4:$H$207=Z163))+SUMPRODUCT(('Q3 Data'!$D$4:$D$207=D163)*('Q3 Data'!$B$4:$B$207="Challan")*('Q3 Data'!$H$4:$H$207=Z163))+SUMPRODUCT(('Q4 Data'!$D$4:$D$207=D163)*('Q4 Data'!$B$4:$B$207="Challan")*('Q4 Data'!$H$4:$H$207=Z163)))=0))</f>
      </c>
    </row>
    <row r="164" spans="1:44" x14ac:dyDescent="0.25">
      <c r="A164" s="20">
        <f>IF($B164="Entry",COUNTIF($B$4:$B164,"Entry"),"")</f>
      </c>
      <c r="B164" s="21"/>
      <c r="C164" s="22"/>
      <c r="D164" s="22"/>
      <c r="E164" s="23">
        <f>IF($B164&lt;&gt;"Challan","",IF(ROUND(AN164-AO164,2)&gt;0,"Over-applied",IF(ROUND(AN164-AO164,2)=0,"Fully Utilised","Unconsumed")))</f>
      </c>
      <c r="F164" s="24"/>
      <c r="G164" s="25"/>
      <c r="H164" s="25"/>
      <c r="I164" s="26"/>
      <c r="J164" s="26"/>
      <c r="K164" s="26"/>
      <c r="L164" s="26"/>
      <c r="M164" s="26"/>
      <c r="N164" s="26"/>
      <c r="O164" s="26"/>
      <c r="P164" s="27">
        <f>IF($B164&lt;&gt;"Challan","",I164+J164+K164+L164+M164+N164)</f>
      </c>
      <c r="Q164" s="25"/>
      <c r="R164" s="25"/>
      <c r="S164" s="25"/>
      <c r="T164" s="25"/>
      <c r="U164" s="25"/>
      <c r="V164" s="28"/>
      <c r="W164" s="28"/>
      <c r="X164" s="23">
        <f>IF($B164="Entry",IF(AND(LEN(TRIM(UPPER(W164)))=10,CODE(MID(TRIM(UPPER(W164)),1,1))&gt;=65,CODE(MID(TRIM(UPPER(W164)),1,1))&lt;=90,CODE(MID(TRIM(UPPER(W164)),2,1))&gt;=65,CODE(MID(TRIM(UPPER(W164)),2,1))&lt;=90,CODE(MID(TRIM(UPPER(W164)),3,1))&gt;=65,CODE(MID(TRIM(UPPER(W164)),3,1))&lt;=90,CODE(MID(TRIM(UPPER(W164)),4,1))&gt;=65,CODE(MID(TRIM(UPPER(W164)),4,1))&lt;=90,CODE(MID(TRIM(UPPER(W164)),5,1))&gt;=65,CODE(MID(TRIM(UPPER(W164)),5,1))&lt;=90,CODE(MID(TRIM(UPPER(W164)),10,1))&gt;=65,CODE(MID(TRIM(UPPER(W164)),10,1))&lt;=90,CODE(MID(TRIM(UPPER(W164)),6,1))&gt;=48,CODE(MID(TRIM(UPPER(W164)),6,1))&lt;=57,CODE(MID(TRIM(UPPER(W164)),7,1))&gt;=48,CODE(MID(TRIM(UPPER(W164)),7,1))&lt;=57,CODE(MID(TRIM(UPPER(W164)),8,1))&gt;=48,CODE(MID(TRIM(UPPER(W164)),8,1))&lt;=57,CODE(MID(TRIM(UPPER(W164)),9,1))&gt;=48,CODE(MID(TRIM(UPPER(W164)),9,1))&lt;=57),"N","Y"),IF($B164="Challan","",IF(W164&lt;&gt;"","◄ Set Row Type","")))</f>
      </c>
      <c r="Y164" s="23">
        <f>IF($B164="Entry",IF(LEN(W164)&lt;4,"",IF(UPPER(MID(W164,4,1))="P","Individual",IF(UPPER(MID(W164,4,1))="H","HUF",IF(UPPER(MID(W164,4,1))="C","Company",IF(UPPER(MID(W164,4,1))="F","Firm",IF(UPPER(MID(W164,4,1))="L","LLP",IF(UPPER(MID(W164,4,1))="T","Trust",IF(UPPER(MID(W164,4,1))="A","AOP","")))))))),IF($B164="Challan","",IF(W164&lt;&gt;"","◄ Set Row Type","")))</f>
      </c>
      <c r="Z164" s="28"/>
      <c r="AA164" s="29">
        <f>IF($B164&lt;&gt;"Entry","",IF(Z164="","",IF(X164="Y",SUMPRODUCT(('Rate Lookup'!$A$1:$A$37=Z164)*'Rate Lookup'!$D$1:$D$37),IF(OR(Y164="Individual",Y164="HUF"),SUMPRODUCT(('Rate Lookup'!$A$1:$A$37=Z164)*'Rate Lookup'!$B$1:$B$37),SUMPRODUCT(('Rate Lookup'!$A$1:$A$37=Z164)*'Rate Lookup'!$C$1:$C$37)))))</f>
      </c>
      <c r="AB164" s="30"/>
      <c r="AC164" s="31"/>
      <c r="AD164" s="27">
        <f>IF($B164&lt;&gt;"Entry","",ROUND(AC164*AA164/100,0))</f>
      </c>
      <c r="AE164" s="27">
        <f>IF($B164&lt;&gt;"Entry","",0)</f>
      </c>
      <c r="AF164" s="27">
        <f>IF($B164&lt;&gt;"Entry","",0)</f>
      </c>
      <c r="AG164" s="27">
        <f>IF($B164&lt;&gt;"Entry","",IF(OR(AD164=0,AB164="",AQ164="",AQ164&lt;=0),0,IF(AQ164&lt;=DATE(YEAR(AB164),MONTH(AB164)+1,7),0,ROUND(AD164*0.015*((YEAR(AQ164)-YEAR(AB164))*12+(MONTH(AQ164)-MONTH(AB164))+1),0))))</f>
      </c>
      <c r="AH164" s="27">
        <f>IF($B164&lt;&gt;"Entry","",0)</f>
      </c>
      <c r="AI164" s="28"/>
      <c r="AJ164" s="28"/>
      <c r="AK164" s="32"/>
      <c r="AL164" s="28"/>
      <c r="AM164" s="28"/>
      <c r="AN164" s="27">
        <f>IF($B164&lt;&gt;"Challan","",SUMIF('Q1 Data'!$D$4:$D$207,D164,'Q1 Data'!$AD$4:$AD$207)+SUMIF('Q1 Data'!$D$4:$D$207,D164,'Q1 Data'!$AG$4:$AG$207)+SUMIF('Q1 Data'!$D$4:$D$207,D164,'Q1 Data'!$AE$4:$AE$207)+SUMIF('Q2 Data'!$D$4:$D$207,D164,'Q2 Data'!$AD$4:$AD$207)+SUMIF('Q2 Data'!$D$4:$D$207,D164,'Q2 Data'!$AG$4:$AG$207)+SUMIF('Q2 Data'!$D$4:$D$207,D164,'Q2 Data'!$AE$4:$AE$207)+SUMIF('Q3 Data'!$D$4:$D$207,D164,'Q3 Data'!$AD$4:$AD$207)+SUMIF('Q3 Data'!$D$4:$D$207,D164,'Q3 Data'!$AG$4:$AG$207)+SUMIF('Q3 Data'!$D$4:$D$207,D164,'Q3 Data'!$AE$4:$AE$207)+SUMIF('Q4 Data'!$D$4:$D$207,D164,'Q4 Data'!$AD$4:$AD$207)+SUMIF('Q4 Data'!$D$4:$D$207,D164,'Q4 Data'!$AG$4:$AG$207)+SUMIF('Q4 Data'!$D$4:$D$207,D164,'Q4 Data'!$AE$4:$AE$207))</f>
      </c>
      <c r="AO164" s="27">
        <f>IF($B164&lt;&gt;"Challan","",P164-N164)</f>
      </c>
      <c r="AP164" s="27">
        <f>IF($B164&lt;&gt;"Challan","",MAX(0,AO164-AN164))</f>
      </c>
      <c r="AQ164" s="33">
        <f>IF($B164&lt;&gt;"Entry","",SUMPRODUCT(('Q1 Data'!$D$4:$D$207=D164)*('Q1 Data'!$B$4:$B$207="Challan")*'Q1 Data'!$F$4:$F$207)+SUMPRODUCT(('Q2 Data'!$D$4:$D$207=D164)*('Q2 Data'!$B$4:$B$207="Challan")*'Q2 Data'!$F$4:$F$207)+SUMPRODUCT(('Q3 Data'!$D$4:$D$207=D164)*('Q3 Data'!$B$4:$B$207="Challan")*'Q3 Data'!$F$4:$F$207)+SUMPRODUCT(('Q4 Data'!$D$4:$D$207=D164)*('Q4 Data'!$B$4:$B$207="Challan")*'Q4 Data'!$F$4:$F$207))</f>
      </c>
      <c r="AR164" s="34">
        <f>IF(OR($B164&lt;&gt;"Entry",Z164=""),FALSE,AND((SUMPRODUCT(('Q1 Data'!$D$4:$D$207=D164)*('Q1 Data'!$B$4:$B$207="Challan")*('Q1 Data'!$H$4:$H$207&lt;&gt;""))+SUMPRODUCT(('Q2 Data'!$D$4:$D$207=D164)*('Q2 Data'!$B$4:$B$207="Challan")*('Q2 Data'!$H$4:$H$207&lt;&gt;""))+SUMPRODUCT(('Q3 Data'!$D$4:$D$207=D164)*('Q3 Data'!$B$4:$B$207="Challan")*('Q3 Data'!$H$4:$H$207&lt;&gt;""))+SUMPRODUCT(('Q4 Data'!$D$4:$D$207=D164)*('Q4 Data'!$B$4:$B$207="Challan")*('Q4 Data'!$H$4:$H$207&lt;&gt;"")))&gt;0,(SUMPRODUCT(('Q1 Data'!$D$4:$D$207=D164)*('Q1 Data'!$B$4:$B$207="Challan")*('Q1 Data'!$H$4:$H$207=Z164))+SUMPRODUCT(('Q2 Data'!$D$4:$D$207=D164)*('Q2 Data'!$B$4:$B$207="Challan")*('Q2 Data'!$H$4:$H$207=Z164))+SUMPRODUCT(('Q3 Data'!$D$4:$D$207=D164)*('Q3 Data'!$B$4:$B$207="Challan")*('Q3 Data'!$H$4:$H$207=Z164))+SUMPRODUCT(('Q4 Data'!$D$4:$D$207=D164)*('Q4 Data'!$B$4:$B$207="Challan")*('Q4 Data'!$H$4:$H$207=Z164)))=0))</f>
      </c>
    </row>
    <row r="165" spans="1:44" x14ac:dyDescent="0.25">
      <c r="A165" s="20">
        <f>IF($B165="Entry",COUNTIF($B$4:$B165,"Entry"),"")</f>
      </c>
      <c r="B165" s="21"/>
      <c r="C165" s="22"/>
      <c r="D165" s="22"/>
      <c r="E165" s="23">
        <f>IF($B165&lt;&gt;"Challan","",IF(ROUND(AN165-AO165,2)&gt;0,"Over-applied",IF(ROUND(AN165-AO165,2)=0,"Fully Utilised","Unconsumed")))</f>
      </c>
      <c r="F165" s="24"/>
      <c r="G165" s="25"/>
      <c r="H165" s="25"/>
      <c r="I165" s="26"/>
      <c r="J165" s="26"/>
      <c r="K165" s="26"/>
      <c r="L165" s="26"/>
      <c r="M165" s="26"/>
      <c r="N165" s="26"/>
      <c r="O165" s="26"/>
      <c r="P165" s="27">
        <f>IF($B165&lt;&gt;"Challan","",I165+J165+K165+L165+M165+N165)</f>
      </c>
      <c r="Q165" s="25"/>
      <c r="R165" s="25"/>
      <c r="S165" s="25"/>
      <c r="T165" s="25"/>
      <c r="U165" s="25"/>
      <c r="V165" s="28"/>
      <c r="W165" s="28"/>
      <c r="X165" s="23">
        <f>IF($B165="Entry",IF(AND(LEN(TRIM(UPPER(W165)))=10,CODE(MID(TRIM(UPPER(W165)),1,1))&gt;=65,CODE(MID(TRIM(UPPER(W165)),1,1))&lt;=90,CODE(MID(TRIM(UPPER(W165)),2,1))&gt;=65,CODE(MID(TRIM(UPPER(W165)),2,1))&lt;=90,CODE(MID(TRIM(UPPER(W165)),3,1))&gt;=65,CODE(MID(TRIM(UPPER(W165)),3,1))&lt;=90,CODE(MID(TRIM(UPPER(W165)),4,1))&gt;=65,CODE(MID(TRIM(UPPER(W165)),4,1))&lt;=90,CODE(MID(TRIM(UPPER(W165)),5,1))&gt;=65,CODE(MID(TRIM(UPPER(W165)),5,1))&lt;=90,CODE(MID(TRIM(UPPER(W165)),10,1))&gt;=65,CODE(MID(TRIM(UPPER(W165)),10,1))&lt;=90,CODE(MID(TRIM(UPPER(W165)),6,1))&gt;=48,CODE(MID(TRIM(UPPER(W165)),6,1))&lt;=57,CODE(MID(TRIM(UPPER(W165)),7,1))&gt;=48,CODE(MID(TRIM(UPPER(W165)),7,1))&lt;=57,CODE(MID(TRIM(UPPER(W165)),8,1))&gt;=48,CODE(MID(TRIM(UPPER(W165)),8,1))&lt;=57,CODE(MID(TRIM(UPPER(W165)),9,1))&gt;=48,CODE(MID(TRIM(UPPER(W165)),9,1))&lt;=57),"N","Y"),IF($B165="Challan","",IF(W165&lt;&gt;"","◄ Set Row Type","")))</f>
      </c>
      <c r="Y165" s="23">
        <f>IF($B165="Entry",IF(LEN(W165)&lt;4,"",IF(UPPER(MID(W165,4,1))="P","Individual",IF(UPPER(MID(W165,4,1))="H","HUF",IF(UPPER(MID(W165,4,1))="C","Company",IF(UPPER(MID(W165,4,1))="F","Firm",IF(UPPER(MID(W165,4,1))="L","LLP",IF(UPPER(MID(W165,4,1))="T","Trust",IF(UPPER(MID(W165,4,1))="A","AOP","")))))))),IF($B165="Challan","",IF(W165&lt;&gt;"","◄ Set Row Type","")))</f>
      </c>
      <c r="Z165" s="28"/>
      <c r="AA165" s="29">
        <f>IF($B165&lt;&gt;"Entry","",IF(Z165="","",IF(X165="Y",SUMPRODUCT(('Rate Lookup'!$A$1:$A$37=Z165)*'Rate Lookup'!$D$1:$D$37),IF(OR(Y165="Individual",Y165="HUF"),SUMPRODUCT(('Rate Lookup'!$A$1:$A$37=Z165)*'Rate Lookup'!$B$1:$B$37),SUMPRODUCT(('Rate Lookup'!$A$1:$A$37=Z165)*'Rate Lookup'!$C$1:$C$37)))))</f>
      </c>
      <c r="AB165" s="30"/>
      <c r="AC165" s="31"/>
      <c r="AD165" s="27">
        <f>IF($B165&lt;&gt;"Entry","",ROUND(AC165*AA165/100,0))</f>
      </c>
      <c r="AE165" s="27">
        <f>IF($B165&lt;&gt;"Entry","",0)</f>
      </c>
      <c r="AF165" s="27">
        <f>IF($B165&lt;&gt;"Entry","",0)</f>
      </c>
      <c r="AG165" s="27">
        <f>IF($B165&lt;&gt;"Entry","",IF(OR(AD165=0,AB165="",AQ165="",AQ165&lt;=0),0,IF(AQ165&lt;=DATE(YEAR(AB165),MONTH(AB165)+1,7),0,ROUND(AD165*0.015*((YEAR(AQ165)-YEAR(AB165))*12+(MONTH(AQ165)-MONTH(AB165))+1),0))))</f>
      </c>
      <c r="AH165" s="27">
        <f>IF($B165&lt;&gt;"Entry","",0)</f>
      </c>
      <c r="AI165" s="28"/>
      <c r="AJ165" s="28"/>
      <c r="AK165" s="32"/>
      <c r="AL165" s="28"/>
      <c r="AM165" s="28"/>
      <c r="AN165" s="27">
        <f>IF($B165&lt;&gt;"Challan","",SUMIF('Q1 Data'!$D$4:$D$207,D165,'Q1 Data'!$AD$4:$AD$207)+SUMIF('Q1 Data'!$D$4:$D$207,D165,'Q1 Data'!$AG$4:$AG$207)+SUMIF('Q1 Data'!$D$4:$D$207,D165,'Q1 Data'!$AE$4:$AE$207)+SUMIF('Q2 Data'!$D$4:$D$207,D165,'Q2 Data'!$AD$4:$AD$207)+SUMIF('Q2 Data'!$D$4:$D$207,D165,'Q2 Data'!$AG$4:$AG$207)+SUMIF('Q2 Data'!$D$4:$D$207,D165,'Q2 Data'!$AE$4:$AE$207)+SUMIF('Q3 Data'!$D$4:$D$207,D165,'Q3 Data'!$AD$4:$AD$207)+SUMIF('Q3 Data'!$D$4:$D$207,D165,'Q3 Data'!$AG$4:$AG$207)+SUMIF('Q3 Data'!$D$4:$D$207,D165,'Q3 Data'!$AE$4:$AE$207)+SUMIF('Q4 Data'!$D$4:$D$207,D165,'Q4 Data'!$AD$4:$AD$207)+SUMIF('Q4 Data'!$D$4:$D$207,D165,'Q4 Data'!$AG$4:$AG$207)+SUMIF('Q4 Data'!$D$4:$D$207,D165,'Q4 Data'!$AE$4:$AE$207))</f>
      </c>
      <c r="AO165" s="27">
        <f>IF($B165&lt;&gt;"Challan","",P165-N165)</f>
      </c>
      <c r="AP165" s="27">
        <f>IF($B165&lt;&gt;"Challan","",MAX(0,AO165-AN165))</f>
      </c>
      <c r="AQ165" s="33">
        <f>IF($B165&lt;&gt;"Entry","",SUMPRODUCT(('Q1 Data'!$D$4:$D$207=D165)*('Q1 Data'!$B$4:$B$207="Challan")*'Q1 Data'!$F$4:$F$207)+SUMPRODUCT(('Q2 Data'!$D$4:$D$207=D165)*('Q2 Data'!$B$4:$B$207="Challan")*'Q2 Data'!$F$4:$F$207)+SUMPRODUCT(('Q3 Data'!$D$4:$D$207=D165)*('Q3 Data'!$B$4:$B$207="Challan")*'Q3 Data'!$F$4:$F$207)+SUMPRODUCT(('Q4 Data'!$D$4:$D$207=D165)*('Q4 Data'!$B$4:$B$207="Challan")*'Q4 Data'!$F$4:$F$207))</f>
      </c>
      <c r="AR165" s="34">
        <f>IF(OR($B165&lt;&gt;"Entry",Z165=""),FALSE,AND((SUMPRODUCT(('Q1 Data'!$D$4:$D$207=D165)*('Q1 Data'!$B$4:$B$207="Challan")*('Q1 Data'!$H$4:$H$207&lt;&gt;""))+SUMPRODUCT(('Q2 Data'!$D$4:$D$207=D165)*('Q2 Data'!$B$4:$B$207="Challan")*('Q2 Data'!$H$4:$H$207&lt;&gt;""))+SUMPRODUCT(('Q3 Data'!$D$4:$D$207=D165)*('Q3 Data'!$B$4:$B$207="Challan")*('Q3 Data'!$H$4:$H$207&lt;&gt;""))+SUMPRODUCT(('Q4 Data'!$D$4:$D$207=D165)*('Q4 Data'!$B$4:$B$207="Challan")*('Q4 Data'!$H$4:$H$207&lt;&gt;"")))&gt;0,(SUMPRODUCT(('Q1 Data'!$D$4:$D$207=D165)*('Q1 Data'!$B$4:$B$207="Challan")*('Q1 Data'!$H$4:$H$207=Z165))+SUMPRODUCT(('Q2 Data'!$D$4:$D$207=D165)*('Q2 Data'!$B$4:$B$207="Challan")*('Q2 Data'!$H$4:$H$207=Z165))+SUMPRODUCT(('Q3 Data'!$D$4:$D$207=D165)*('Q3 Data'!$B$4:$B$207="Challan")*('Q3 Data'!$H$4:$H$207=Z165))+SUMPRODUCT(('Q4 Data'!$D$4:$D$207=D165)*('Q4 Data'!$B$4:$B$207="Challan")*('Q4 Data'!$H$4:$H$207=Z165)))=0))</f>
      </c>
    </row>
    <row r="166" spans="1:44" x14ac:dyDescent="0.25">
      <c r="A166" s="20">
        <f>IF($B166="Entry",COUNTIF($B$4:$B166,"Entry"),"")</f>
      </c>
      <c r="B166" s="21"/>
      <c r="C166" s="22"/>
      <c r="D166" s="22"/>
      <c r="E166" s="23">
        <f>IF($B166&lt;&gt;"Challan","",IF(ROUND(AN166-AO166,2)&gt;0,"Over-applied",IF(ROUND(AN166-AO166,2)=0,"Fully Utilised","Unconsumed")))</f>
      </c>
      <c r="F166" s="24"/>
      <c r="G166" s="25"/>
      <c r="H166" s="25"/>
      <c r="I166" s="26"/>
      <c r="J166" s="26"/>
      <c r="K166" s="26"/>
      <c r="L166" s="26"/>
      <c r="M166" s="26"/>
      <c r="N166" s="26"/>
      <c r="O166" s="26"/>
      <c r="P166" s="27">
        <f>IF($B166&lt;&gt;"Challan","",I166+J166+K166+L166+M166+N166)</f>
      </c>
      <c r="Q166" s="25"/>
      <c r="R166" s="25"/>
      <c r="S166" s="25"/>
      <c r="T166" s="25"/>
      <c r="U166" s="25"/>
      <c r="V166" s="28"/>
      <c r="W166" s="28"/>
      <c r="X166" s="23">
        <f>IF($B166="Entry",IF(AND(LEN(TRIM(UPPER(W166)))=10,CODE(MID(TRIM(UPPER(W166)),1,1))&gt;=65,CODE(MID(TRIM(UPPER(W166)),1,1))&lt;=90,CODE(MID(TRIM(UPPER(W166)),2,1))&gt;=65,CODE(MID(TRIM(UPPER(W166)),2,1))&lt;=90,CODE(MID(TRIM(UPPER(W166)),3,1))&gt;=65,CODE(MID(TRIM(UPPER(W166)),3,1))&lt;=90,CODE(MID(TRIM(UPPER(W166)),4,1))&gt;=65,CODE(MID(TRIM(UPPER(W166)),4,1))&lt;=90,CODE(MID(TRIM(UPPER(W166)),5,1))&gt;=65,CODE(MID(TRIM(UPPER(W166)),5,1))&lt;=90,CODE(MID(TRIM(UPPER(W166)),10,1))&gt;=65,CODE(MID(TRIM(UPPER(W166)),10,1))&lt;=90,CODE(MID(TRIM(UPPER(W166)),6,1))&gt;=48,CODE(MID(TRIM(UPPER(W166)),6,1))&lt;=57,CODE(MID(TRIM(UPPER(W166)),7,1))&gt;=48,CODE(MID(TRIM(UPPER(W166)),7,1))&lt;=57,CODE(MID(TRIM(UPPER(W166)),8,1))&gt;=48,CODE(MID(TRIM(UPPER(W166)),8,1))&lt;=57,CODE(MID(TRIM(UPPER(W166)),9,1))&gt;=48,CODE(MID(TRIM(UPPER(W166)),9,1))&lt;=57),"N","Y"),IF($B166="Challan","",IF(W166&lt;&gt;"","◄ Set Row Type","")))</f>
      </c>
      <c r="Y166" s="23">
        <f>IF($B166="Entry",IF(LEN(W166)&lt;4,"",IF(UPPER(MID(W166,4,1))="P","Individual",IF(UPPER(MID(W166,4,1))="H","HUF",IF(UPPER(MID(W166,4,1))="C","Company",IF(UPPER(MID(W166,4,1))="F","Firm",IF(UPPER(MID(W166,4,1))="L","LLP",IF(UPPER(MID(W166,4,1))="T","Trust",IF(UPPER(MID(W166,4,1))="A","AOP","")))))))),IF($B166="Challan","",IF(W166&lt;&gt;"","◄ Set Row Type","")))</f>
      </c>
      <c r="Z166" s="28"/>
      <c r="AA166" s="29">
        <f>IF($B166&lt;&gt;"Entry","",IF(Z166="","",IF(X166="Y",SUMPRODUCT(('Rate Lookup'!$A$1:$A$37=Z166)*'Rate Lookup'!$D$1:$D$37),IF(OR(Y166="Individual",Y166="HUF"),SUMPRODUCT(('Rate Lookup'!$A$1:$A$37=Z166)*'Rate Lookup'!$B$1:$B$37),SUMPRODUCT(('Rate Lookup'!$A$1:$A$37=Z166)*'Rate Lookup'!$C$1:$C$37)))))</f>
      </c>
      <c r="AB166" s="30"/>
      <c r="AC166" s="31"/>
      <c r="AD166" s="27">
        <f>IF($B166&lt;&gt;"Entry","",ROUND(AC166*AA166/100,0))</f>
      </c>
      <c r="AE166" s="27">
        <f>IF($B166&lt;&gt;"Entry","",0)</f>
      </c>
      <c r="AF166" s="27">
        <f>IF($B166&lt;&gt;"Entry","",0)</f>
      </c>
      <c r="AG166" s="27">
        <f>IF($B166&lt;&gt;"Entry","",IF(OR(AD166=0,AB166="",AQ166="",AQ166&lt;=0),0,IF(AQ166&lt;=DATE(YEAR(AB166),MONTH(AB166)+1,7),0,ROUND(AD166*0.015*((YEAR(AQ166)-YEAR(AB166))*12+(MONTH(AQ166)-MONTH(AB166))+1),0))))</f>
      </c>
      <c r="AH166" s="27">
        <f>IF($B166&lt;&gt;"Entry","",0)</f>
      </c>
      <c r="AI166" s="28"/>
      <c r="AJ166" s="28"/>
      <c r="AK166" s="32"/>
      <c r="AL166" s="28"/>
      <c r="AM166" s="28"/>
      <c r="AN166" s="27">
        <f>IF($B166&lt;&gt;"Challan","",SUMIF('Q1 Data'!$D$4:$D$207,D166,'Q1 Data'!$AD$4:$AD$207)+SUMIF('Q1 Data'!$D$4:$D$207,D166,'Q1 Data'!$AG$4:$AG$207)+SUMIF('Q1 Data'!$D$4:$D$207,D166,'Q1 Data'!$AE$4:$AE$207)+SUMIF('Q2 Data'!$D$4:$D$207,D166,'Q2 Data'!$AD$4:$AD$207)+SUMIF('Q2 Data'!$D$4:$D$207,D166,'Q2 Data'!$AG$4:$AG$207)+SUMIF('Q2 Data'!$D$4:$D$207,D166,'Q2 Data'!$AE$4:$AE$207)+SUMIF('Q3 Data'!$D$4:$D$207,D166,'Q3 Data'!$AD$4:$AD$207)+SUMIF('Q3 Data'!$D$4:$D$207,D166,'Q3 Data'!$AG$4:$AG$207)+SUMIF('Q3 Data'!$D$4:$D$207,D166,'Q3 Data'!$AE$4:$AE$207)+SUMIF('Q4 Data'!$D$4:$D$207,D166,'Q4 Data'!$AD$4:$AD$207)+SUMIF('Q4 Data'!$D$4:$D$207,D166,'Q4 Data'!$AG$4:$AG$207)+SUMIF('Q4 Data'!$D$4:$D$207,D166,'Q4 Data'!$AE$4:$AE$207))</f>
      </c>
      <c r="AO166" s="27">
        <f>IF($B166&lt;&gt;"Challan","",P166-N166)</f>
      </c>
      <c r="AP166" s="27">
        <f>IF($B166&lt;&gt;"Challan","",MAX(0,AO166-AN166))</f>
      </c>
      <c r="AQ166" s="33">
        <f>IF($B166&lt;&gt;"Entry","",SUMPRODUCT(('Q1 Data'!$D$4:$D$207=D166)*('Q1 Data'!$B$4:$B$207="Challan")*'Q1 Data'!$F$4:$F$207)+SUMPRODUCT(('Q2 Data'!$D$4:$D$207=D166)*('Q2 Data'!$B$4:$B$207="Challan")*'Q2 Data'!$F$4:$F$207)+SUMPRODUCT(('Q3 Data'!$D$4:$D$207=D166)*('Q3 Data'!$B$4:$B$207="Challan")*'Q3 Data'!$F$4:$F$207)+SUMPRODUCT(('Q4 Data'!$D$4:$D$207=D166)*('Q4 Data'!$B$4:$B$207="Challan")*'Q4 Data'!$F$4:$F$207))</f>
      </c>
      <c r="AR166" s="34">
        <f>IF(OR($B166&lt;&gt;"Entry",Z166=""),FALSE,AND((SUMPRODUCT(('Q1 Data'!$D$4:$D$207=D166)*('Q1 Data'!$B$4:$B$207="Challan")*('Q1 Data'!$H$4:$H$207&lt;&gt;""))+SUMPRODUCT(('Q2 Data'!$D$4:$D$207=D166)*('Q2 Data'!$B$4:$B$207="Challan")*('Q2 Data'!$H$4:$H$207&lt;&gt;""))+SUMPRODUCT(('Q3 Data'!$D$4:$D$207=D166)*('Q3 Data'!$B$4:$B$207="Challan")*('Q3 Data'!$H$4:$H$207&lt;&gt;""))+SUMPRODUCT(('Q4 Data'!$D$4:$D$207=D166)*('Q4 Data'!$B$4:$B$207="Challan")*('Q4 Data'!$H$4:$H$207&lt;&gt;"")))&gt;0,(SUMPRODUCT(('Q1 Data'!$D$4:$D$207=D166)*('Q1 Data'!$B$4:$B$207="Challan")*('Q1 Data'!$H$4:$H$207=Z166))+SUMPRODUCT(('Q2 Data'!$D$4:$D$207=D166)*('Q2 Data'!$B$4:$B$207="Challan")*('Q2 Data'!$H$4:$H$207=Z166))+SUMPRODUCT(('Q3 Data'!$D$4:$D$207=D166)*('Q3 Data'!$B$4:$B$207="Challan")*('Q3 Data'!$H$4:$H$207=Z166))+SUMPRODUCT(('Q4 Data'!$D$4:$D$207=D166)*('Q4 Data'!$B$4:$B$207="Challan")*('Q4 Data'!$H$4:$H$207=Z166)))=0))</f>
      </c>
    </row>
    <row r="167" spans="1:44" x14ac:dyDescent="0.25">
      <c r="A167" s="20">
        <f>IF($B167="Entry",COUNTIF($B$4:$B167,"Entry"),"")</f>
      </c>
      <c r="B167" s="21"/>
      <c r="C167" s="22"/>
      <c r="D167" s="22"/>
      <c r="E167" s="23">
        <f>IF($B167&lt;&gt;"Challan","",IF(ROUND(AN167-AO167,2)&gt;0,"Over-applied",IF(ROUND(AN167-AO167,2)=0,"Fully Utilised","Unconsumed")))</f>
      </c>
      <c r="F167" s="24"/>
      <c r="G167" s="25"/>
      <c r="H167" s="25"/>
      <c r="I167" s="26"/>
      <c r="J167" s="26"/>
      <c r="K167" s="26"/>
      <c r="L167" s="26"/>
      <c r="M167" s="26"/>
      <c r="N167" s="26"/>
      <c r="O167" s="26"/>
      <c r="P167" s="27">
        <f>IF($B167&lt;&gt;"Challan","",I167+J167+K167+L167+M167+N167)</f>
      </c>
      <c r="Q167" s="25"/>
      <c r="R167" s="25"/>
      <c r="S167" s="25"/>
      <c r="T167" s="25"/>
      <c r="U167" s="25"/>
      <c r="V167" s="28"/>
      <c r="W167" s="28"/>
      <c r="X167" s="23">
        <f>IF($B167="Entry",IF(AND(LEN(TRIM(UPPER(W167)))=10,CODE(MID(TRIM(UPPER(W167)),1,1))&gt;=65,CODE(MID(TRIM(UPPER(W167)),1,1))&lt;=90,CODE(MID(TRIM(UPPER(W167)),2,1))&gt;=65,CODE(MID(TRIM(UPPER(W167)),2,1))&lt;=90,CODE(MID(TRIM(UPPER(W167)),3,1))&gt;=65,CODE(MID(TRIM(UPPER(W167)),3,1))&lt;=90,CODE(MID(TRIM(UPPER(W167)),4,1))&gt;=65,CODE(MID(TRIM(UPPER(W167)),4,1))&lt;=90,CODE(MID(TRIM(UPPER(W167)),5,1))&gt;=65,CODE(MID(TRIM(UPPER(W167)),5,1))&lt;=90,CODE(MID(TRIM(UPPER(W167)),10,1))&gt;=65,CODE(MID(TRIM(UPPER(W167)),10,1))&lt;=90,CODE(MID(TRIM(UPPER(W167)),6,1))&gt;=48,CODE(MID(TRIM(UPPER(W167)),6,1))&lt;=57,CODE(MID(TRIM(UPPER(W167)),7,1))&gt;=48,CODE(MID(TRIM(UPPER(W167)),7,1))&lt;=57,CODE(MID(TRIM(UPPER(W167)),8,1))&gt;=48,CODE(MID(TRIM(UPPER(W167)),8,1))&lt;=57,CODE(MID(TRIM(UPPER(W167)),9,1))&gt;=48,CODE(MID(TRIM(UPPER(W167)),9,1))&lt;=57),"N","Y"),IF($B167="Challan","",IF(W167&lt;&gt;"","◄ Set Row Type","")))</f>
      </c>
      <c r="Y167" s="23">
        <f>IF($B167="Entry",IF(LEN(W167)&lt;4,"",IF(UPPER(MID(W167,4,1))="P","Individual",IF(UPPER(MID(W167,4,1))="H","HUF",IF(UPPER(MID(W167,4,1))="C","Company",IF(UPPER(MID(W167,4,1))="F","Firm",IF(UPPER(MID(W167,4,1))="L","LLP",IF(UPPER(MID(W167,4,1))="T","Trust",IF(UPPER(MID(W167,4,1))="A","AOP","")))))))),IF($B167="Challan","",IF(W167&lt;&gt;"","◄ Set Row Type","")))</f>
      </c>
      <c r="Z167" s="28"/>
      <c r="AA167" s="29">
        <f>IF($B167&lt;&gt;"Entry","",IF(Z167="","",IF(X167="Y",SUMPRODUCT(('Rate Lookup'!$A$1:$A$37=Z167)*'Rate Lookup'!$D$1:$D$37),IF(OR(Y167="Individual",Y167="HUF"),SUMPRODUCT(('Rate Lookup'!$A$1:$A$37=Z167)*'Rate Lookup'!$B$1:$B$37),SUMPRODUCT(('Rate Lookup'!$A$1:$A$37=Z167)*'Rate Lookup'!$C$1:$C$37)))))</f>
      </c>
      <c r="AB167" s="30"/>
      <c r="AC167" s="31"/>
      <c r="AD167" s="27">
        <f>IF($B167&lt;&gt;"Entry","",ROUND(AC167*AA167/100,0))</f>
      </c>
      <c r="AE167" s="27">
        <f>IF($B167&lt;&gt;"Entry","",0)</f>
      </c>
      <c r="AF167" s="27">
        <f>IF($B167&lt;&gt;"Entry","",0)</f>
      </c>
      <c r="AG167" s="27">
        <f>IF($B167&lt;&gt;"Entry","",IF(OR(AD167=0,AB167="",AQ167="",AQ167&lt;=0),0,IF(AQ167&lt;=DATE(YEAR(AB167),MONTH(AB167)+1,7),0,ROUND(AD167*0.015*((YEAR(AQ167)-YEAR(AB167))*12+(MONTH(AQ167)-MONTH(AB167))+1),0))))</f>
      </c>
      <c r="AH167" s="27">
        <f>IF($B167&lt;&gt;"Entry","",0)</f>
      </c>
      <c r="AI167" s="28"/>
      <c r="AJ167" s="28"/>
      <c r="AK167" s="32"/>
      <c r="AL167" s="28"/>
      <c r="AM167" s="28"/>
      <c r="AN167" s="27">
        <f>IF($B167&lt;&gt;"Challan","",SUMIF('Q1 Data'!$D$4:$D$207,D167,'Q1 Data'!$AD$4:$AD$207)+SUMIF('Q1 Data'!$D$4:$D$207,D167,'Q1 Data'!$AG$4:$AG$207)+SUMIF('Q1 Data'!$D$4:$D$207,D167,'Q1 Data'!$AE$4:$AE$207)+SUMIF('Q2 Data'!$D$4:$D$207,D167,'Q2 Data'!$AD$4:$AD$207)+SUMIF('Q2 Data'!$D$4:$D$207,D167,'Q2 Data'!$AG$4:$AG$207)+SUMIF('Q2 Data'!$D$4:$D$207,D167,'Q2 Data'!$AE$4:$AE$207)+SUMIF('Q3 Data'!$D$4:$D$207,D167,'Q3 Data'!$AD$4:$AD$207)+SUMIF('Q3 Data'!$D$4:$D$207,D167,'Q3 Data'!$AG$4:$AG$207)+SUMIF('Q3 Data'!$D$4:$D$207,D167,'Q3 Data'!$AE$4:$AE$207)+SUMIF('Q4 Data'!$D$4:$D$207,D167,'Q4 Data'!$AD$4:$AD$207)+SUMIF('Q4 Data'!$D$4:$D$207,D167,'Q4 Data'!$AG$4:$AG$207)+SUMIF('Q4 Data'!$D$4:$D$207,D167,'Q4 Data'!$AE$4:$AE$207))</f>
      </c>
      <c r="AO167" s="27">
        <f>IF($B167&lt;&gt;"Challan","",P167-N167)</f>
      </c>
      <c r="AP167" s="27">
        <f>IF($B167&lt;&gt;"Challan","",MAX(0,AO167-AN167))</f>
      </c>
      <c r="AQ167" s="33">
        <f>IF($B167&lt;&gt;"Entry","",SUMPRODUCT(('Q1 Data'!$D$4:$D$207=D167)*('Q1 Data'!$B$4:$B$207="Challan")*'Q1 Data'!$F$4:$F$207)+SUMPRODUCT(('Q2 Data'!$D$4:$D$207=D167)*('Q2 Data'!$B$4:$B$207="Challan")*'Q2 Data'!$F$4:$F$207)+SUMPRODUCT(('Q3 Data'!$D$4:$D$207=D167)*('Q3 Data'!$B$4:$B$207="Challan")*'Q3 Data'!$F$4:$F$207)+SUMPRODUCT(('Q4 Data'!$D$4:$D$207=D167)*('Q4 Data'!$B$4:$B$207="Challan")*'Q4 Data'!$F$4:$F$207))</f>
      </c>
      <c r="AR167" s="34">
        <f>IF(OR($B167&lt;&gt;"Entry",Z167=""),FALSE,AND((SUMPRODUCT(('Q1 Data'!$D$4:$D$207=D167)*('Q1 Data'!$B$4:$B$207="Challan")*('Q1 Data'!$H$4:$H$207&lt;&gt;""))+SUMPRODUCT(('Q2 Data'!$D$4:$D$207=D167)*('Q2 Data'!$B$4:$B$207="Challan")*('Q2 Data'!$H$4:$H$207&lt;&gt;""))+SUMPRODUCT(('Q3 Data'!$D$4:$D$207=D167)*('Q3 Data'!$B$4:$B$207="Challan")*('Q3 Data'!$H$4:$H$207&lt;&gt;""))+SUMPRODUCT(('Q4 Data'!$D$4:$D$207=D167)*('Q4 Data'!$B$4:$B$207="Challan")*('Q4 Data'!$H$4:$H$207&lt;&gt;"")))&gt;0,(SUMPRODUCT(('Q1 Data'!$D$4:$D$207=D167)*('Q1 Data'!$B$4:$B$207="Challan")*('Q1 Data'!$H$4:$H$207=Z167))+SUMPRODUCT(('Q2 Data'!$D$4:$D$207=D167)*('Q2 Data'!$B$4:$B$207="Challan")*('Q2 Data'!$H$4:$H$207=Z167))+SUMPRODUCT(('Q3 Data'!$D$4:$D$207=D167)*('Q3 Data'!$B$4:$B$207="Challan")*('Q3 Data'!$H$4:$H$207=Z167))+SUMPRODUCT(('Q4 Data'!$D$4:$D$207=D167)*('Q4 Data'!$B$4:$B$207="Challan")*('Q4 Data'!$H$4:$H$207=Z167)))=0))</f>
      </c>
    </row>
    <row r="168" spans="1:44" x14ac:dyDescent="0.25">
      <c r="A168" s="20">
        <f>IF($B168="Entry",COUNTIF($B$4:$B168,"Entry"),"")</f>
      </c>
      <c r="B168" s="21"/>
      <c r="C168" s="22"/>
      <c r="D168" s="22"/>
      <c r="E168" s="23">
        <f>IF($B168&lt;&gt;"Challan","",IF(ROUND(AN168-AO168,2)&gt;0,"Over-applied",IF(ROUND(AN168-AO168,2)=0,"Fully Utilised","Unconsumed")))</f>
      </c>
      <c r="F168" s="24"/>
      <c r="G168" s="25"/>
      <c r="H168" s="25"/>
      <c r="I168" s="26"/>
      <c r="J168" s="26"/>
      <c r="K168" s="26"/>
      <c r="L168" s="26"/>
      <c r="M168" s="26"/>
      <c r="N168" s="26"/>
      <c r="O168" s="26"/>
      <c r="P168" s="27">
        <f>IF($B168&lt;&gt;"Challan","",I168+J168+K168+L168+M168+N168)</f>
      </c>
      <c r="Q168" s="25"/>
      <c r="R168" s="25"/>
      <c r="S168" s="25"/>
      <c r="T168" s="25"/>
      <c r="U168" s="25"/>
      <c r="V168" s="28"/>
      <c r="W168" s="28"/>
      <c r="X168" s="23">
        <f>IF($B168="Entry",IF(AND(LEN(TRIM(UPPER(W168)))=10,CODE(MID(TRIM(UPPER(W168)),1,1))&gt;=65,CODE(MID(TRIM(UPPER(W168)),1,1))&lt;=90,CODE(MID(TRIM(UPPER(W168)),2,1))&gt;=65,CODE(MID(TRIM(UPPER(W168)),2,1))&lt;=90,CODE(MID(TRIM(UPPER(W168)),3,1))&gt;=65,CODE(MID(TRIM(UPPER(W168)),3,1))&lt;=90,CODE(MID(TRIM(UPPER(W168)),4,1))&gt;=65,CODE(MID(TRIM(UPPER(W168)),4,1))&lt;=90,CODE(MID(TRIM(UPPER(W168)),5,1))&gt;=65,CODE(MID(TRIM(UPPER(W168)),5,1))&lt;=90,CODE(MID(TRIM(UPPER(W168)),10,1))&gt;=65,CODE(MID(TRIM(UPPER(W168)),10,1))&lt;=90,CODE(MID(TRIM(UPPER(W168)),6,1))&gt;=48,CODE(MID(TRIM(UPPER(W168)),6,1))&lt;=57,CODE(MID(TRIM(UPPER(W168)),7,1))&gt;=48,CODE(MID(TRIM(UPPER(W168)),7,1))&lt;=57,CODE(MID(TRIM(UPPER(W168)),8,1))&gt;=48,CODE(MID(TRIM(UPPER(W168)),8,1))&lt;=57,CODE(MID(TRIM(UPPER(W168)),9,1))&gt;=48,CODE(MID(TRIM(UPPER(W168)),9,1))&lt;=57),"N","Y"),IF($B168="Challan","",IF(W168&lt;&gt;"","◄ Set Row Type","")))</f>
      </c>
      <c r="Y168" s="23">
        <f>IF($B168="Entry",IF(LEN(W168)&lt;4,"",IF(UPPER(MID(W168,4,1))="P","Individual",IF(UPPER(MID(W168,4,1))="H","HUF",IF(UPPER(MID(W168,4,1))="C","Company",IF(UPPER(MID(W168,4,1))="F","Firm",IF(UPPER(MID(W168,4,1))="L","LLP",IF(UPPER(MID(W168,4,1))="T","Trust",IF(UPPER(MID(W168,4,1))="A","AOP","")))))))),IF($B168="Challan","",IF(W168&lt;&gt;"","◄ Set Row Type","")))</f>
      </c>
      <c r="Z168" s="28"/>
      <c r="AA168" s="29">
        <f>IF($B168&lt;&gt;"Entry","",IF(Z168="","",IF(X168="Y",SUMPRODUCT(('Rate Lookup'!$A$1:$A$37=Z168)*'Rate Lookup'!$D$1:$D$37),IF(OR(Y168="Individual",Y168="HUF"),SUMPRODUCT(('Rate Lookup'!$A$1:$A$37=Z168)*'Rate Lookup'!$B$1:$B$37),SUMPRODUCT(('Rate Lookup'!$A$1:$A$37=Z168)*'Rate Lookup'!$C$1:$C$37)))))</f>
      </c>
      <c r="AB168" s="30"/>
      <c r="AC168" s="31"/>
      <c r="AD168" s="27">
        <f>IF($B168&lt;&gt;"Entry","",ROUND(AC168*AA168/100,0))</f>
      </c>
      <c r="AE168" s="27">
        <f>IF($B168&lt;&gt;"Entry","",0)</f>
      </c>
      <c r="AF168" s="27">
        <f>IF($B168&lt;&gt;"Entry","",0)</f>
      </c>
      <c r="AG168" s="27">
        <f>IF($B168&lt;&gt;"Entry","",IF(OR(AD168=0,AB168="",AQ168="",AQ168&lt;=0),0,IF(AQ168&lt;=DATE(YEAR(AB168),MONTH(AB168)+1,7),0,ROUND(AD168*0.015*((YEAR(AQ168)-YEAR(AB168))*12+(MONTH(AQ168)-MONTH(AB168))+1),0))))</f>
      </c>
      <c r="AH168" s="27">
        <f>IF($B168&lt;&gt;"Entry","",0)</f>
      </c>
      <c r="AI168" s="28"/>
      <c r="AJ168" s="28"/>
      <c r="AK168" s="32"/>
      <c r="AL168" s="28"/>
      <c r="AM168" s="28"/>
      <c r="AN168" s="27">
        <f>IF($B168&lt;&gt;"Challan","",SUMIF('Q1 Data'!$D$4:$D$207,D168,'Q1 Data'!$AD$4:$AD$207)+SUMIF('Q1 Data'!$D$4:$D$207,D168,'Q1 Data'!$AG$4:$AG$207)+SUMIF('Q1 Data'!$D$4:$D$207,D168,'Q1 Data'!$AE$4:$AE$207)+SUMIF('Q2 Data'!$D$4:$D$207,D168,'Q2 Data'!$AD$4:$AD$207)+SUMIF('Q2 Data'!$D$4:$D$207,D168,'Q2 Data'!$AG$4:$AG$207)+SUMIF('Q2 Data'!$D$4:$D$207,D168,'Q2 Data'!$AE$4:$AE$207)+SUMIF('Q3 Data'!$D$4:$D$207,D168,'Q3 Data'!$AD$4:$AD$207)+SUMIF('Q3 Data'!$D$4:$D$207,D168,'Q3 Data'!$AG$4:$AG$207)+SUMIF('Q3 Data'!$D$4:$D$207,D168,'Q3 Data'!$AE$4:$AE$207)+SUMIF('Q4 Data'!$D$4:$D$207,D168,'Q4 Data'!$AD$4:$AD$207)+SUMIF('Q4 Data'!$D$4:$D$207,D168,'Q4 Data'!$AG$4:$AG$207)+SUMIF('Q4 Data'!$D$4:$D$207,D168,'Q4 Data'!$AE$4:$AE$207))</f>
      </c>
      <c r="AO168" s="27">
        <f>IF($B168&lt;&gt;"Challan","",P168-N168)</f>
      </c>
      <c r="AP168" s="27">
        <f>IF($B168&lt;&gt;"Challan","",MAX(0,AO168-AN168))</f>
      </c>
      <c r="AQ168" s="33">
        <f>IF($B168&lt;&gt;"Entry","",SUMPRODUCT(('Q1 Data'!$D$4:$D$207=D168)*('Q1 Data'!$B$4:$B$207="Challan")*'Q1 Data'!$F$4:$F$207)+SUMPRODUCT(('Q2 Data'!$D$4:$D$207=D168)*('Q2 Data'!$B$4:$B$207="Challan")*'Q2 Data'!$F$4:$F$207)+SUMPRODUCT(('Q3 Data'!$D$4:$D$207=D168)*('Q3 Data'!$B$4:$B$207="Challan")*'Q3 Data'!$F$4:$F$207)+SUMPRODUCT(('Q4 Data'!$D$4:$D$207=D168)*('Q4 Data'!$B$4:$B$207="Challan")*'Q4 Data'!$F$4:$F$207))</f>
      </c>
      <c r="AR168" s="34">
        <f>IF(OR($B168&lt;&gt;"Entry",Z168=""),FALSE,AND((SUMPRODUCT(('Q1 Data'!$D$4:$D$207=D168)*('Q1 Data'!$B$4:$B$207="Challan")*('Q1 Data'!$H$4:$H$207&lt;&gt;""))+SUMPRODUCT(('Q2 Data'!$D$4:$D$207=D168)*('Q2 Data'!$B$4:$B$207="Challan")*('Q2 Data'!$H$4:$H$207&lt;&gt;""))+SUMPRODUCT(('Q3 Data'!$D$4:$D$207=D168)*('Q3 Data'!$B$4:$B$207="Challan")*('Q3 Data'!$H$4:$H$207&lt;&gt;""))+SUMPRODUCT(('Q4 Data'!$D$4:$D$207=D168)*('Q4 Data'!$B$4:$B$207="Challan")*('Q4 Data'!$H$4:$H$207&lt;&gt;"")))&gt;0,(SUMPRODUCT(('Q1 Data'!$D$4:$D$207=D168)*('Q1 Data'!$B$4:$B$207="Challan")*('Q1 Data'!$H$4:$H$207=Z168))+SUMPRODUCT(('Q2 Data'!$D$4:$D$207=D168)*('Q2 Data'!$B$4:$B$207="Challan")*('Q2 Data'!$H$4:$H$207=Z168))+SUMPRODUCT(('Q3 Data'!$D$4:$D$207=D168)*('Q3 Data'!$B$4:$B$207="Challan")*('Q3 Data'!$H$4:$H$207=Z168))+SUMPRODUCT(('Q4 Data'!$D$4:$D$207=D168)*('Q4 Data'!$B$4:$B$207="Challan")*('Q4 Data'!$H$4:$H$207=Z168)))=0))</f>
      </c>
    </row>
    <row r="169" spans="1:44" x14ac:dyDescent="0.25">
      <c r="A169" s="20">
        <f>IF($B169="Entry",COUNTIF($B$4:$B169,"Entry"),"")</f>
      </c>
      <c r="B169" s="21"/>
      <c r="C169" s="22"/>
      <c r="D169" s="22"/>
      <c r="E169" s="23">
        <f>IF($B169&lt;&gt;"Challan","",IF(ROUND(AN169-AO169,2)&gt;0,"Over-applied",IF(ROUND(AN169-AO169,2)=0,"Fully Utilised","Unconsumed")))</f>
      </c>
      <c r="F169" s="24"/>
      <c r="G169" s="25"/>
      <c r="H169" s="25"/>
      <c r="I169" s="26"/>
      <c r="J169" s="26"/>
      <c r="K169" s="26"/>
      <c r="L169" s="26"/>
      <c r="M169" s="26"/>
      <c r="N169" s="26"/>
      <c r="O169" s="26"/>
      <c r="P169" s="27">
        <f>IF($B169&lt;&gt;"Challan","",I169+J169+K169+L169+M169+N169)</f>
      </c>
      <c r="Q169" s="25"/>
      <c r="R169" s="25"/>
      <c r="S169" s="25"/>
      <c r="T169" s="25"/>
      <c r="U169" s="25"/>
      <c r="V169" s="28"/>
      <c r="W169" s="28"/>
      <c r="X169" s="23">
        <f>IF($B169="Entry",IF(AND(LEN(TRIM(UPPER(W169)))=10,CODE(MID(TRIM(UPPER(W169)),1,1))&gt;=65,CODE(MID(TRIM(UPPER(W169)),1,1))&lt;=90,CODE(MID(TRIM(UPPER(W169)),2,1))&gt;=65,CODE(MID(TRIM(UPPER(W169)),2,1))&lt;=90,CODE(MID(TRIM(UPPER(W169)),3,1))&gt;=65,CODE(MID(TRIM(UPPER(W169)),3,1))&lt;=90,CODE(MID(TRIM(UPPER(W169)),4,1))&gt;=65,CODE(MID(TRIM(UPPER(W169)),4,1))&lt;=90,CODE(MID(TRIM(UPPER(W169)),5,1))&gt;=65,CODE(MID(TRIM(UPPER(W169)),5,1))&lt;=90,CODE(MID(TRIM(UPPER(W169)),10,1))&gt;=65,CODE(MID(TRIM(UPPER(W169)),10,1))&lt;=90,CODE(MID(TRIM(UPPER(W169)),6,1))&gt;=48,CODE(MID(TRIM(UPPER(W169)),6,1))&lt;=57,CODE(MID(TRIM(UPPER(W169)),7,1))&gt;=48,CODE(MID(TRIM(UPPER(W169)),7,1))&lt;=57,CODE(MID(TRIM(UPPER(W169)),8,1))&gt;=48,CODE(MID(TRIM(UPPER(W169)),8,1))&lt;=57,CODE(MID(TRIM(UPPER(W169)),9,1))&gt;=48,CODE(MID(TRIM(UPPER(W169)),9,1))&lt;=57),"N","Y"),IF($B169="Challan","",IF(W169&lt;&gt;"","◄ Set Row Type","")))</f>
      </c>
      <c r="Y169" s="23">
        <f>IF($B169="Entry",IF(LEN(W169)&lt;4,"",IF(UPPER(MID(W169,4,1))="P","Individual",IF(UPPER(MID(W169,4,1))="H","HUF",IF(UPPER(MID(W169,4,1))="C","Company",IF(UPPER(MID(W169,4,1))="F","Firm",IF(UPPER(MID(W169,4,1))="L","LLP",IF(UPPER(MID(W169,4,1))="T","Trust",IF(UPPER(MID(W169,4,1))="A","AOP","")))))))),IF($B169="Challan","",IF(W169&lt;&gt;"","◄ Set Row Type","")))</f>
      </c>
      <c r="Z169" s="28"/>
      <c r="AA169" s="29">
        <f>IF($B169&lt;&gt;"Entry","",IF(Z169="","",IF(X169="Y",SUMPRODUCT(('Rate Lookup'!$A$1:$A$37=Z169)*'Rate Lookup'!$D$1:$D$37),IF(OR(Y169="Individual",Y169="HUF"),SUMPRODUCT(('Rate Lookup'!$A$1:$A$37=Z169)*'Rate Lookup'!$B$1:$B$37),SUMPRODUCT(('Rate Lookup'!$A$1:$A$37=Z169)*'Rate Lookup'!$C$1:$C$37)))))</f>
      </c>
      <c r="AB169" s="30"/>
      <c r="AC169" s="31"/>
      <c r="AD169" s="27">
        <f>IF($B169&lt;&gt;"Entry","",ROUND(AC169*AA169/100,0))</f>
      </c>
      <c r="AE169" s="27">
        <f>IF($B169&lt;&gt;"Entry","",0)</f>
      </c>
      <c r="AF169" s="27">
        <f>IF($B169&lt;&gt;"Entry","",0)</f>
      </c>
      <c r="AG169" s="27">
        <f>IF($B169&lt;&gt;"Entry","",IF(OR(AD169=0,AB169="",AQ169="",AQ169&lt;=0),0,IF(AQ169&lt;=DATE(YEAR(AB169),MONTH(AB169)+1,7),0,ROUND(AD169*0.015*((YEAR(AQ169)-YEAR(AB169))*12+(MONTH(AQ169)-MONTH(AB169))+1),0))))</f>
      </c>
      <c r="AH169" s="27">
        <f>IF($B169&lt;&gt;"Entry","",0)</f>
      </c>
      <c r="AI169" s="28"/>
      <c r="AJ169" s="28"/>
      <c r="AK169" s="32"/>
      <c r="AL169" s="28"/>
      <c r="AM169" s="28"/>
      <c r="AN169" s="27">
        <f>IF($B169&lt;&gt;"Challan","",SUMIF('Q1 Data'!$D$4:$D$207,D169,'Q1 Data'!$AD$4:$AD$207)+SUMIF('Q1 Data'!$D$4:$D$207,D169,'Q1 Data'!$AG$4:$AG$207)+SUMIF('Q1 Data'!$D$4:$D$207,D169,'Q1 Data'!$AE$4:$AE$207)+SUMIF('Q2 Data'!$D$4:$D$207,D169,'Q2 Data'!$AD$4:$AD$207)+SUMIF('Q2 Data'!$D$4:$D$207,D169,'Q2 Data'!$AG$4:$AG$207)+SUMIF('Q2 Data'!$D$4:$D$207,D169,'Q2 Data'!$AE$4:$AE$207)+SUMIF('Q3 Data'!$D$4:$D$207,D169,'Q3 Data'!$AD$4:$AD$207)+SUMIF('Q3 Data'!$D$4:$D$207,D169,'Q3 Data'!$AG$4:$AG$207)+SUMIF('Q3 Data'!$D$4:$D$207,D169,'Q3 Data'!$AE$4:$AE$207)+SUMIF('Q4 Data'!$D$4:$D$207,D169,'Q4 Data'!$AD$4:$AD$207)+SUMIF('Q4 Data'!$D$4:$D$207,D169,'Q4 Data'!$AG$4:$AG$207)+SUMIF('Q4 Data'!$D$4:$D$207,D169,'Q4 Data'!$AE$4:$AE$207))</f>
      </c>
      <c r="AO169" s="27">
        <f>IF($B169&lt;&gt;"Challan","",P169-N169)</f>
      </c>
      <c r="AP169" s="27">
        <f>IF($B169&lt;&gt;"Challan","",MAX(0,AO169-AN169))</f>
      </c>
      <c r="AQ169" s="33">
        <f>IF($B169&lt;&gt;"Entry","",SUMPRODUCT(('Q1 Data'!$D$4:$D$207=D169)*('Q1 Data'!$B$4:$B$207="Challan")*'Q1 Data'!$F$4:$F$207)+SUMPRODUCT(('Q2 Data'!$D$4:$D$207=D169)*('Q2 Data'!$B$4:$B$207="Challan")*'Q2 Data'!$F$4:$F$207)+SUMPRODUCT(('Q3 Data'!$D$4:$D$207=D169)*('Q3 Data'!$B$4:$B$207="Challan")*'Q3 Data'!$F$4:$F$207)+SUMPRODUCT(('Q4 Data'!$D$4:$D$207=D169)*('Q4 Data'!$B$4:$B$207="Challan")*'Q4 Data'!$F$4:$F$207))</f>
      </c>
      <c r="AR169" s="34">
        <f>IF(OR($B169&lt;&gt;"Entry",Z169=""),FALSE,AND((SUMPRODUCT(('Q1 Data'!$D$4:$D$207=D169)*('Q1 Data'!$B$4:$B$207="Challan")*('Q1 Data'!$H$4:$H$207&lt;&gt;""))+SUMPRODUCT(('Q2 Data'!$D$4:$D$207=D169)*('Q2 Data'!$B$4:$B$207="Challan")*('Q2 Data'!$H$4:$H$207&lt;&gt;""))+SUMPRODUCT(('Q3 Data'!$D$4:$D$207=D169)*('Q3 Data'!$B$4:$B$207="Challan")*('Q3 Data'!$H$4:$H$207&lt;&gt;""))+SUMPRODUCT(('Q4 Data'!$D$4:$D$207=D169)*('Q4 Data'!$B$4:$B$207="Challan")*('Q4 Data'!$H$4:$H$207&lt;&gt;"")))&gt;0,(SUMPRODUCT(('Q1 Data'!$D$4:$D$207=D169)*('Q1 Data'!$B$4:$B$207="Challan")*('Q1 Data'!$H$4:$H$207=Z169))+SUMPRODUCT(('Q2 Data'!$D$4:$D$207=D169)*('Q2 Data'!$B$4:$B$207="Challan")*('Q2 Data'!$H$4:$H$207=Z169))+SUMPRODUCT(('Q3 Data'!$D$4:$D$207=D169)*('Q3 Data'!$B$4:$B$207="Challan")*('Q3 Data'!$H$4:$H$207=Z169))+SUMPRODUCT(('Q4 Data'!$D$4:$D$207=D169)*('Q4 Data'!$B$4:$B$207="Challan")*('Q4 Data'!$H$4:$H$207=Z169)))=0))</f>
      </c>
    </row>
    <row r="170" spans="1:44" x14ac:dyDescent="0.25">
      <c r="A170" s="20">
        <f>IF($B170="Entry",COUNTIF($B$4:$B170,"Entry"),"")</f>
      </c>
      <c r="B170" s="21"/>
      <c r="C170" s="22"/>
      <c r="D170" s="22"/>
      <c r="E170" s="23">
        <f>IF($B170&lt;&gt;"Challan","",IF(ROUND(AN170-AO170,2)&gt;0,"Over-applied",IF(ROUND(AN170-AO170,2)=0,"Fully Utilised","Unconsumed")))</f>
      </c>
      <c r="F170" s="24"/>
      <c r="G170" s="25"/>
      <c r="H170" s="25"/>
      <c r="I170" s="26"/>
      <c r="J170" s="26"/>
      <c r="K170" s="26"/>
      <c r="L170" s="26"/>
      <c r="M170" s="26"/>
      <c r="N170" s="26"/>
      <c r="O170" s="26"/>
      <c r="P170" s="27">
        <f>IF($B170&lt;&gt;"Challan","",I170+J170+K170+L170+M170+N170)</f>
      </c>
      <c r="Q170" s="25"/>
      <c r="R170" s="25"/>
      <c r="S170" s="25"/>
      <c r="T170" s="25"/>
      <c r="U170" s="25"/>
      <c r="V170" s="28"/>
      <c r="W170" s="28"/>
      <c r="X170" s="23">
        <f>IF($B170="Entry",IF(AND(LEN(TRIM(UPPER(W170)))=10,CODE(MID(TRIM(UPPER(W170)),1,1))&gt;=65,CODE(MID(TRIM(UPPER(W170)),1,1))&lt;=90,CODE(MID(TRIM(UPPER(W170)),2,1))&gt;=65,CODE(MID(TRIM(UPPER(W170)),2,1))&lt;=90,CODE(MID(TRIM(UPPER(W170)),3,1))&gt;=65,CODE(MID(TRIM(UPPER(W170)),3,1))&lt;=90,CODE(MID(TRIM(UPPER(W170)),4,1))&gt;=65,CODE(MID(TRIM(UPPER(W170)),4,1))&lt;=90,CODE(MID(TRIM(UPPER(W170)),5,1))&gt;=65,CODE(MID(TRIM(UPPER(W170)),5,1))&lt;=90,CODE(MID(TRIM(UPPER(W170)),10,1))&gt;=65,CODE(MID(TRIM(UPPER(W170)),10,1))&lt;=90,CODE(MID(TRIM(UPPER(W170)),6,1))&gt;=48,CODE(MID(TRIM(UPPER(W170)),6,1))&lt;=57,CODE(MID(TRIM(UPPER(W170)),7,1))&gt;=48,CODE(MID(TRIM(UPPER(W170)),7,1))&lt;=57,CODE(MID(TRIM(UPPER(W170)),8,1))&gt;=48,CODE(MID(TRIM(UPPER(W170)),8,1))&lt;=57,CODE(MID(TRIM(UPPER(W170)),9,1))&gt;=48,CODE(MID(TRIM(UPPER(W170)),9,1))&lt;=57),"N","Y"),IF($B170="Challan","",IF(W170&lt;&gt;"","◄ Set Row Type","")))</f>
      </c>
      <c r="Y170" s="23">
        <f>IF($B170="Entry",IF(LEN(W170)&lt;4,"",IF(UPPER(MID(W170,4,1))="P","Individual",IF(UPPER(MID(W170,4,1))="H","HUF",IF(UPPER(MID(W170,4,1))="C","Company",IF(UPPER(MID(W170,4,1))="F","Firm",IF(UPPER(MID(W170,4,1))="L","LLP",IF(UPPER(MID(W170,4,1))="T","Trust",IF(UPPER(MID(W170,4,1))="A","AOP","")))))))),IF($B170="Challan","",IF(W170&lt;&gt;"","◄ Set Row Type","")))</f>
      </c>
      <c r="Z170" s="28"/>
      <c r="AA170" s="29">
        <f>IF($B170&lt;&gt;"Entry","",IF(Z170="","",IF(X170="Y",SUMPRODUCT(('Rate Lookup'!$A$1:$A$37=Z170)*'Rate Lookup'!$D$1:$D$37),IF(OR(Y170="Individual",Y170="HUF"),SUMPRODUCT(('Rate Lookup'!$A$1:$A$37=Z170)*'Rate Lookup'!$B$1:$B$37),SUMPRODUCT(('Rate Lookup'!$A$1:$A$37=Z170)*'Rate Lookup'!$C$1:$C$37)))))</f>
      </c>
      <c r="AB170" s="30"/>
      <c r="AC170" s="31"/>
      <c r="AD170" s="27">
        <f>IF($B170&lt;&gt;"Entry","",ROUND(AC170*AA170/100,0))</f>
      </c>
      <c r="AE170" s="27">
        <f>IF($B170&lt;&gt;"Entry","",0)</f>
      </c>
      <c r="AF170" s="27">
        <f>IF($B170&lt;&gt;"Entry","",0)</f>
      </c>
      <c r="AG170" s="27">
        <f>IF($B170&lt;&gt;"Entry","",IF(OR(AD170=0,AB170="",AQ170="",AQ170&lt;=0),0,IF(AQ170&lt;=DATE(YEAR(AB170),MONTH(AB170)+1,7),0,ROUND(AD170*0.015*((YEAR(AQ170)-YEAR(AB170))*12+(MONTH(AQ170)-MONTH(AB170))+1),0))))</f>
      </c>
      <c r="AH170" s="27">
        <f>IF($B170&lt;&gt;"Entry","",0)</f>
      </c>
      <c r="AI170" s="28"/>
      <c r="AJ170" s="28"/>
      <c r="AK170" s="32"/>
      <c r="AL170" s="28"/>
      <c r="AM170" s="28"/>
      <c r="AN170" s="27">
        <f>IF($B170&lt;&gt;"Challan","",SUMIF('Q1 Data'!$D$4:$D$207,D170,'Q1 Data'!$AD$4:$AD$207)+SUMIF('Q1 Data'!$D$4:$D$207,D170,'Q1 Data'!$AG$4:$AG$207)+SUMIF('Q1 Data'!$D$4:$D$207,D170,'Q1 Data'!$AE$4:$AE$207)+SUMIF('Q2 Data'!$D$4:$D$207,D170,'Q2 Data'!$AD$4:$AD$207)+SUMIF('Q2 Data'!$D$4:$D$207,D170,'Q2 Data'!$AG$4:$AG$207)+SUMIF('Q2 Data'!$D$4:$D$207,D170,'Q2 Data'!$AE$4:$AE$207)+SUMIF('Q3 Data'!$D$4:$D$207,D170,'Q3 Data'!$AD$4:$AD$207)+SUMIF('Q3 Data'!$D$4:$D$207,D170,'Q3 Data'!$AG$4:$AG$207)+SUMIF('Q3 Data'!$D$4:$D$207,D170,'Q3 Data'!$AE$4:$AE$207)+SUMIF('Q4 Data'!$D$4:$D$207,D170,'Q4 Data'!$AD$4:$AD$207)+SUMIF('Q4 Data'!$D$4:$D$207,D170,'Q4 Data'!$AG$4:$AG$207)+SUMIF('Q4 Data'!$D$4:$D$207,D170,'Q4 Data'!$AE$4:$AE$207))</f>
      </c>
      <c r="AO170" s="27">
        <f>IF($B170&lt;&gt;"Challan","",P170-N170)</f>
      </c>
      <c r="AP170" s="27">
        <f>IF($B170&lt;&gt;"Challan","",MAX(0,AO170-AN170))</f>
      </c>
      <c r="AQ170" s="33">
        <f>IF($B170&lt;&gt;"Entry","",SUMPRODUCT(('Q1 Data'!$D$4:$D$207=D170)*('Q1 Data'!$B$4:$B$207="Challan")*'Q1 Data'!$F$4:$F$207)+SUMPRODUCT(('Q2 Data'!$D$4:$D$207=D170)*('Q2 Data'!$B$4:$B$207="Challan")*'Q2 Data'!$F$4:$F$207)+SUMPRODUCT(('Q3 Data'!$D$4:$D$207=D170)*('Q3 Data'!$B$4:$B$207="Challan")*'Q3 Data'!$F$4:$F$207)+SUMPRODUCT(('Q4 Data'!$D$4:$D$207=D170)*('Q4 Data'!$B$4:$B$207="Challan")*'Q4 Data'!$F$4:$F$207))</f>
      </c>
      <c r="AR170" s="34">
        <f>IF(OR($B170&lt;&gt;"Entry",Z170=""),FALSE,AND((SUMPRODUCT(('Q1 Data'!$D$4:$D$207=D170)*('Q1 Data'!$B$4:$B$207="Challan")*('Q1 Data'!$H$4:$H$207&lt;&gt;""))+SUMPRODUCT(('Q2 Data'!$D$4:$D$207=D170)*('Q2 Data'!$B$4:$B$207="Challan")*('Q2 Data'!$H$4:$H$207&lt;&gt;""))+SUMPRODUCT(('Q3 Data'!$D$4:$D$207=D170)*('Q3 Data'!$B$4:$B$207="Challan")*('Q3 Data'!$H$4:$H$207&lt;&gt;""))+SUMPRODUCT(('Q4 Data'!$D$4:$D$207=D170)*('Q4 Data'!$B$4:$B$207="Challan")*('Q4 Data'!$H$4:$H$207&lt;&gt;"")))&gt;0,(SUMPRODUCT(('Q1 Data'!$D$4:$D$207=D170)*('Q1 Data'!$B$4:$B$207="Challan")*('Q1 Data'!$H$4:$H$207=Z170))+SUMPRODUCT(('Q2 Data'!$D$4:$D$207=D170)*('Q2 Data'!$B$4:$B$207="Challan")*('Q2 Data'!$H$4:$H$207=Z170))+SUMPRODUCT(('Q3 Data'!$D$4:$D$207=D170)*('Q3 Data'!$B$4:$B$207="Challan")*('Q3 Data'!$H$4:$H$207=Z170))+SUMPRODUCT(('Q4 Data'!$D$4:$D$207=D170)*('Q4 Data'!$B$4:$B$207="Challan")*('Q4 Data'!$H$4:$H$207=Z170)))=0))</f>
      </c>
    </row>
    <row r="171" spans="1:44" x14ac:dyDescent="0.25">
      <c r="A171" s="20">
        <f>IF($B171="Entry",COUNTIF($B$4:$B171,"Entry"),"")</f>
      </c>
      <c r="B171" s="21"/>
      <c r="C171" s="22"/>
      <c r="D171" s="22"/>
      <c r="E171" s="23">
        <f>IF($B171&lt;&gt;"Challan","",IF(ROUND(AN171-AO171,2)&gt;0,"Over-applied",IF(ROUND(AN171-AO171,2)=0,"Fully Utilised","Unconsumed")))</f>
      </c>
      <c r="F171" s="24"/>
      <c r="G171" s="25"/>
      <c r="H171" s="25"/>
      <c r="I171" s="26"/>
      <c r="J171" s="26"/>
      <c r="K171" s="26"/>
      <c r="L171" s="26"/>
      <c r="M171" s="26"/>
      <c r="N171" s="26"/>
      <c r="O171" s="26"/>
      <c r="P171" s="27">
        <f>IF($B171&lt;&gt;"Challan","",I171+J171+K171+L171+M171+N171)</f>
      </c>
      <c r="Q171" s="25"/>
      <c r="R171" s="25"/>
      <c r="S171" s="25"/>
      <c r="T171" s="25"/>
      <c r="U171" s="25"/>
      <c r="V171" s="28"/>
      <c r="W171" s="28"/>
      <c r="X171" s="23">
        <f>IF($B171="Entry",IF(AND(LEN(TRIM(UPPER(W171)))=10,CODE(MID(TRIM(UPPER(W171)),1,1))&gt;=65,CODE(MID(TRIM(UPPER(W171)),1,1))&lt;=90,CODE(MID(TRIM(UPPER(W171)),2,1))&gt;=65,CODE(MID(TRIM(UPPER(W171)),2,1))&lt;=90,CODE(MID(TRIM(UPPER(W171)),3,1))&gt;=65,CODE(MID(TRIM(UPPER(W171)),3,1))&lt;=90,CODE(MID(TRIM(UPPER(W171)),4,1))&gt;=65,CODE(MID(TRIM(UPPER(W171)),4,1))&lt;=90,CODE(MID(TRIM(UPPER(W171)),5,1))&gt;=65,CODE(MID(TRIM(UPPER(W171)),5,1))&lt;=90,CODE(MID(TRIM(UPPER(W171)),10,1))&gt;=65,CODE(MID(TRIM(UPPER(W171)),10,1))&lt;=90,CODE(MID(TRIM(UPPER(W171)),6,1))&gt;=48,CODE(MID(TRIM(UPPER(W171)),6,1))&lt;=57,CODE(MID(TRIM(UPPER(W171)),7,1))&gt;=48,CODE(MID(TRIM(UPPER(W171)),7,1))&lt;=57,CODE(MID(TRIM(UPPER(W171)),8,1))&gt;=48,CODE(MID(TRIM(UPPER(W171)),8,1))&lt;=57,CODE(MID(TRIM(UPPER(W171)),9,1))&gt;=48,CODE(MID(TRIM(UPPER(W171)),9,1))&lt;=57),"N","Y"),IF($B171="Challan","",IF(W171&lt;&gt;"","◄ Set Row Type","")))</f>
      </c>
      <c r="Y171" s="23">
        <f>IF($B171="Entry",IF(LEN(W171)&lt;4,"",IF(UPPER(MID(W171,4,1))="P","Individual",IF(UPPER(MID(W171,4,1))="H","HUF",IF(UPPER(MID(W171,4,1))="C","Company",IF(UPPER(MID(W171,4,1))="F","Firm",IF(UPPER(MID(W171,4,1))="L","LLP",IF(UPPER(MID(W171,4,1))="T","Trust",IF(UPPER(MID(W171,4,1))="A","AOP","")))))))),IF($B171="Challan","",IF(W171&lt;&gt;"","◄ Set Row Type","")))</f>
      </c>
      <c r="Z171" s="28"/>
      <c r="AA171" s="29">
        <f>IF($B171&lt;&gt;"Entry","",IF(Z171="","",IF(X171="Y",SUMPRODUCT(('Rate Lookup'!$A$1:$A$37=Z171)*'Rate Lookup'!$D$1:$D$37),IF(OR(Y171="Individual",Y171="HUF"),SUMPRODUCT(('Rate Lookup'!$A$1:$A$37=Z171)*'Rate Lookup'!$B$1:$B$37),SUMPRODUCT(('Rate Lookup'!$A$1:$A$37=Z171)*'Rate Lookup'!$C$1:$C$37)))))</f>
      </c>
      <c r="AB171" s="30"/>
      <c r="AC171" s="31"/>
      <c r="AD171" s="27">
        <f>IF($B171&lt;&gt;"Entry","",ROUND(AC171*AA171/100,0))</f>
      </c>
      <c r="AE171" s="27">
        <f>IF($B171&lt;&gt;"Entry","",0)</f>
      </c>
      <c r="AF171" s="27">
        <f>IF($B171&lt;&gt;"Entry","",0)</f>
      </c>
      <c r="AG171" s="27">
        <f>IF($B171&lt;&gt;"Entry","",IF(OR(AD171=0,AB171="",AQ171="",AQ171&lt;=0),0,IF(AQ171&lt;=DATE(YEAR(AB171),MONTH(AB171)+1,7),0,ROUND(AD171*0.015*((YEAR(AQ171)-YEAR(AB171))*12+(MONTH(AQ171)-MONTH(AB171))+1),0))))</f>
      </c>
      <c r="AH171" s="27">
        <f>IF($B171&lt;&gt;"Entry","",0)</f>
      </c>
      <c r="AI171" s="28"/>
      <c r="AJ171" s="28"/>
      <c r="AK171" s="32"/>
      <c r="AL171" s="28"/>
      <c r="AM171" s="28"/>
      <c r="AN171" s="27">
        <f>IF($B171&lt;&gt;"Challan","",SUMIF('Q1 Data'!$D$4:$D$207,D171,'Q1 Data'!$AD$4:$AD$207)+SUMIF('Q1 Data'!$D$4:$D$207,D171,'Q1 Data'!$AG$4:$AG$207)+SUMIF('Q1 Data'!$D$4:$D$207,D171,'Q1 Data'!$AE$4:$AE$207)+SUMIF('Q2 Data'!$D$4:$D$207,D171,'Q2 Data'!$AD$4:$AD$207)+SUMIF('Q2 Data'!$D$4:$D$207,D171,'Q2 Data'!$AG$4:$AG$207)+SUMIF('Q2 Data'!$D$4:$D$207,D171,'Q2 Data'!$AE$4:$AE$207)+SUMIF('Q3 Data'!$D$4:$D$207,D171,'Q3 Data'!$AD$4:$AD$207)+SUMIF('Q3 Data'!$D$4:$D$207,D171,'Q3 Data'!$AG$4:$AG$207)+SUMIF('Q3 Data'!$D$4:$D$207,D171,'Q3 Data'!$AE$4:$AE$207)+SUMIF('Q4 Data'!$D$4:$D$207,D171,'Q4 Data'!$AD$4:$AD$207)+SUMIF('Q4 Data'!$D$4:$D$207,D171,'Q4 Data'!$AG$4:$AG$207)+SUMIF('Q4 Data'!$D$4:$D$207,D171,'Q4 Data'!$AE$4:$AE$207))</f>
      </c>
      <c r="AO171" s="27">
        <f>IF($B171&lt;&gt;"Challan","",P171-N171)</f>
      </c>
      <c r="AP171" s="27">
        <f>IF($B171&lt;&gt;"Challan","",MAX(0,AO171-AN171))</f>
      </c>
      <c r="AQ171" s="33">
        <f>IF($B171&lt;&gt;"Entry","",SUMPRODUCT(('Q1 Data'!$D$4:$D$207=D171)*('Q1 Data'!$B$4:$B$207="Challan")*'Q1 Data'!$F$4:$F$207)+SUMPRODUCT(('Q2 Data'!$D$4:$D$207=D171)*('Q2 Data'!$B$4:$B$207="Challan")*'Q2 Data'!$F$4:$F$207)+SUMPRODUCT(('Q3 Data'!$D$4:$D$207=D171)*('Q3 Data'!$B$4:$B$207="Challan")*'Q3 Data'!$F$4:$F$207)+SUMPRODUCT(('Q4 Data'!$D$4:$D$207=D171)*('Q4 Data'!$B$4:$B$207="Challan")*'Q4 Data'!$F$4:$F$207))</f>
      </c>
      <c r="AR171" s="34">
        <f>IF(OR($B171&lt;&gt;"Entry",Z171=""),FALSE,AND((SUMPRODUCT(('Q1 Data'!$D$4:$D$207=D171)*('Q1 Data'!$B$4:$B$207="Challan")*('Q1 Data'!$H$4:$H$207&lt;&gt;""))+SUMPRODUCT(('Q2 Data'!$D$4:$D$207=D171)*('Q2 Data'!$B$4:$B$207="Challan")*('Q2 Data'!$H$4:$H$207&lt;&gt;""))+SUMPRODUCT(('Q3 Data'!$D$4:$D$207=D171)*('Q3 Data'!$B$4:$B$207="Challan")*('Q3 Data'!$H$4:$H$207&lt;&gt;""))+SUMPRODUCT(('Q4 Data'!$D$4:$D$207=D171)*('Q4 Data'!$B$4:$B$207="Challan")*('Q4 Data'!$H$4:$H$207&lt;&gt;"")))&gt;0,(SUMPRODUCT(('Q1 Data'!$D$4:$D$207=D171)*('Q1 Data'!$B$4:$B$207="Challan")*('Q1 Data'!$H$4:$H$207=Z171))+SUMPRODUCT(('Q2 Data'!$D$4:$D$207=D171)*('Q2 Data'!$B$4:$B$207="Challan")*('Q2 Data'!$H$4:$H$207=Z171))+SUMPRODUCT(('Q3 Data'!$D$4:$D$207=D171)*('Q3 Data'!$B$4:$B$207="Challan")*('Q3 Data'!$H$4:$H$207=Z171))+SUMPRODUCT(('Q4 Data'!$D$4:$D$207=D171)*('Q4 Data'!$B$4:$B$207="Challan")*('Q4 Data'!$H$4:$H$207=Z171)))=0))</f>
      </c>
    </row>
    <row r="172" spans="1:44" x14ac:dyDescent="0.25">
      <c r="A172" s="20">
        <f>IF($B172="Entry",COUNTIF($B$4:$B172,"Entry"),"")</f>
      </c>
      <c r="B172" s="21"/>
      <c r="C172" s="22"/>
      <c r="D172" s="22"/>
      <c r="E172" s="23">
        <f>IF($B172&lt;&gt;"Challan","",IF(ROUND(AN172-AO172,2)&gt;0,"Over-applied",IF(ROUND(AN172-AO172,2)=0,"Fully Utilised","Unconsumed")))</f>
      </c>
      <c r="F172" s="24"/>
      <c r="G172" s="25"/>
      <c r="H172" s="25"/>
      <c r="I172" s="26"/>
      <c r="J172" s="26"/>
      <c r="K172" s="26"/>
      <c r="L172" s="26"/>
      <c r="M172" s="26"/>
      <c r="N172" s="26"/>
      <c r="O172" s="26"/>
      <c r="P172" s="27">
        <f>IF($B172&lt;&gt;"Challan","",I172+J172+K172+L172+M172+N172)</f>
      </c>
      <c r="Q172" s="25"/>
      <c r="R172" s="25"/>
      <c r="S172" s="25"/>
      <c r="T172" s="25"/>
      <c r="U172" s="25"/>
      <c r="V172" s="28"/>
      <c r="W172" s="28"/>
      <c r="X172" s="23">
        <f>IF($B172="Entry",IF(AND(LEN(TRIM(UPPER(W172)))=10,CODE(MID(TRIM(UPPER(W172)),1,1))&gt;=65,CODE(MID(TRIM(UPPER(W172)),1,1))&lt;=90,CODE(MID(TRIM(UPPER(W172)),2,1))&gt;=65,CODE(MID(TRIM(UPPER(W172)),2,1))&lt;=90,CODE(MID(TRIM(UPPER(W172)),3,1))&gt;=65,CODE(MID(TRIM(UPPER(W172)),3,1))&lt;=90,CODE(MID(TRIM(UPPER(W172)),4,1))&gt;=65,CODE(MID(TRIM(UPPER(W172)),4,1))&lt;=90,CODE(MID(TRIM(UPPER(W172)),5,1))&gt;=65,CODE(MID(TRIM(UPPER(W172)),5,1))&lt;=90,CODE(MID(TRIM(UPPER(W172)),10,1))&gt;=65,CODE(MID(TRIM(UPPER(W172)),10,1))&lt;=90,CODE(MID(TRIM(UPPER(W172)),6,1))&gt;=48,CODE(MID(TRIM(UPPER(W172)),6,1))&lt;=57,CODE(MID(TRIM(UPPER(W172)),7,1))&gt;=48,CODE(MID(TRIM(UPPER(W172)),7,1))&lt;=57,CODE(MID(TRIM(UPPER(W172)),8,1))&gt;=48,CODE(MID(TRIM(UPPER(W172)),8,1))&lt;=57,CODE(MID(TRIM(UPPER(W172)),9,1))&gt;=48,CODE(MID(TRIM(UPPER(W172)),9,1))&lt;=57),"N","Y"),IF($B172="Challan","",IF(W172&lt;&gt;"","◄ Set Row Type","")))</f>
      </c>
      <c r="Y172" s="23">
        <f>IF($B172="Entry",IF(LEN(W172)&lt;4,"",IF(UPPER(MID(W172,4,1))="P","Individual",IF(UPPER(MID(W172,4,1))="H","HUF",IF(UPPER(MID(W172,4,1))="C","Company",IF(UPPER(MID(W172,4,1))="F","Firm",IF(UPPER(MID(W172,4,1))="L","LLP",IF(UPPER(MID(W172,4,1))="T","Trust",IF(UPPER(MID(W172,4,1))="A","AOP","")))))))),IF($B172="Challan","",IF(W172&lt;&gt;"","◄ Set Row Type","")))</f>
      </c>
      <c r="Z172" s="28"/>
      <c r="AA172" s="29">
        <f>IF($B172&lt;&gt;"Entry","",IF(Z172="","",IF(X172="Y",SUMPRODUCT(('Rate Lookup'!$A$1:$A$37=Z172)*'Rate Lookup'!$D$1:$D$37),IF(OR(Y172="Individual",Y172="HUF"),SUMPRODUCT(('Rate Lookup'!$A$1:$A$37=Z172)*'Rate Lookup'!$B$1:$B$37),SUMPRODUCT(('Rate Lookup'!$A$1:$A$37=Z172)*'Rate Lookup'!$C$1:$C$37)))))</f>
      </c>
      <c r="AB172" s="30"/>
      <c r="AC172" s="31"/>
      <c r="AD172" s="27">
        <f>IF($B172&lt;&gt;"Entry","",ROUND(AC172*AA172/100,0))</f>
      </c>
      <c r="AE172" s="27">
        <f>IF($B172&lt;&gt;"Entry","",0)</f>
      </c>
      <c r="AF172" s="27">
        <f>IF($B172&lt;&gt;"Entry","",0)</f>
      </c>
      <c r="AG172" s="27">
        <f>IF($B172&lt;&gt;"Entry","",IF(OR(AD172=0,AB172="",AQ172="",AQ172&lt;=0),0,IF(AQ172&lt;=DATE(YEAR(AB172),MONTH(AB172)+1,7),0,ROUND(AD172*0.015*((YEAR(AQ172)-YEAR(AB172))*12+(MONTH(AQ172)-MONTH(AB172))+1),0))))</f>
      </c>
      <c r="AH172" s="27">
        <f>IF($B172&lt;&gt;"Entry","",0)</f>
      </c>
      <c r="AI172" s="28"/>
      <c r="AJ172" s="28"/>
      <c r="AK172" s="32"/>
      <c r="AL172" s="28"/>
      <c r="AM172" s="28"/>
      <c r="AN172" s="27">
        <f>IF($B172&lt;&gt;"Challan","",SUMIF('Q1 Data'!$D$4:$D$207,D172,'Q1 Data'!$AD$4:$AD$207)+SUMIF('Q1 Data'!$D$4:$D$207,D172,'Q1 Data'!$AG$4:$AG$207)+SUMIF('Q1 Data'!$D$4:$D$207,D172,'Q1 Data'!$AE$4:$AE$207)+SUMIF('Q2 Data'!$D$4:$D$207,D172,'Q2 Data'!$AD$4:$AD$207)+SUMIF('Q2 Data'!$D$4:$D$207,D172,'Q2 Data'!$AG$4:$AG$207)+SUMIF('Q2 Data'!$D$4:$D$207,D172,'Q2 Data'!$AE$4:$AE$207)+SUMIF('Q3 Data'!$D$4:$D$207,D172,'Q3 Data'!$AD$4:$AD$207)+SUMIF('Q3 Data'!$D$4:$D$207,D172,'Q3 Data'!$AG$4:$AG$207)+SUMIF('Q3 Data'!$D$4:$D$207,D172,'Q3 Data'!$AE$4:$AE$207)+SUMIF('Q4 Data'!$D$4:$D$207,D172,'Q4 Data'!$AD$4:$AD$207)+SUMIF('Q4 Data'!$D$4:$D$207,D172,'Q4 Data'!$AG$4:$AG$207)+SUMIF('Q4 Data'!$D$4:$D$207,D172,'Q4 Data'!$AE$4:$AE$207))</f>
      </c>
      <c r="AO172" s="27">
        <f>IF($B172&lt;&gt;"Challan","",P172-N172)</f>
      </c>
      <c r="AP172" s="27">
        <f>IF($B172&lt;&gt;"Challan","",MAX(0,AO172-AN172))</f>
      </c>
      <c r="AQ172" s="33">
        <f>IF($B172&lt;&gt;"Entry","",SUMPRODUCT(('Q1 Data'!$D$4:$D$207=D172)*('Q1 Data'!$B$4:$B$207="Challan")*'Q1 Data'!$F$4:$F$207)+SUMPRODUCT(('Q2 Data'!$D$4:$D$207=D172)*('Q2 Data'!$B$4:$B$207="Challan")*'Q2 Data'!$F$4:$F$207)+SUMPRODUCT(('Q3 Data'!$D$4:$D$207=D172)*('Q3 Data'!$B$4:$B$207="Challan")*'Q3 Data'!$F$4:$F$207)+SUMPRODUCT(('Q4 Data'!$D$4:$D$207=D172)*('Q4 Data'!$B$4:$B$207="Challan")*'Q4 Data'!$F$4:$F$207))</f>
      </c>
      <c r="AR172" s="34">
        <f>IF(OR($B172&lt;&gt;"Entry",Z172=""),FALSE,AND((SUMPRODUCT(('Q1 Data'!$D$4:$D$207=D172)*('Q1 Data'!$B$4:$B$207="Challan")*('Q1 Data'!$H$4:$H$207&lt;&gt;""))+SUMPRODUCT(('Q2 Data'!$D$4:$D$207=D172)*('Q2 Data'!$B$4:$B$207="Challan")*('Q2 Data'!$H$4:$H$207&lt;&gt;""))+SUMPRODUCT(('Q3 Data'!$D$4:$D$207=D172)*('Q3 Data'!$B$4:$B$207="Challan")*('Q3 Data'!$H$4:$H$207&lt;&gt;""))+SUMPRODUCT(('Q4 Data'!$D$4:$D$207=D172)*('Q4 Data'!$B$4:$B$207="Challan")*('Q4 Data'!$H$4:$H$207&lt;&gt;"")))&gt;0,(SUMPRODUCT(('Q1 Data'!$D$4:$D$207=D172)*('Q1 Data'!$B$4:$B$207="Challan")*('Q1 Data'!$H$4:$H$207=Z172))+SUMPRODUCT(('Q2 Data'!$D$4:$D$207=D172)*('Q2 Data'!$B$4:$B$207="Challan")*('Q2 Data'!$H$4:$H$207=Z172))+SUMPRODUCT(('Q3 Data'!$D$4:$D$207=D172)*('Q3 Data'!$B$4:$B$207="Challan")*('Q3 Data'!$H$4:$H$207=Z172))+SUMPRODUCT(('Q4 Data'!$D$4:$D$207=D172)*('Q4 Data'!$B$4:$B$207="Challan")*('Q4 Data'!$H$4:$H$207=Z172)))=0))</f>
      </c>
    </row>
    <row r="173" spans="1:44" x14ac:dyDescent="0.25">
      <c r="A173" s="20">
        <f>IF($B173="Entry",COUNTIF($B$4:$B173,"Entry"),"")</f>
      </c>
      <c r="B173" s="21"/>
      <c r="C173" s="22"/>
      <c r="D173" s="22"/>
      <c r="E173" s="23">
        <f>IF($B173&lt;&gt;"Challan","",IF(ROUND(AN173-AO173,2)&gt;0,"Over-applied",IF(ROUND(AN173-AO173,2)=0,"Fully Utilised","Unconsumed")))</f>
      </c>
      <c r="F173" s="24"/>
      <c r="G173" s="25"/>
      <c r="H173" s="25"/>
      <c r="I173" s="26"/>
      <c r="J173" s="26"/>
      <c r="K173" s="26"/>
      <c r="L173" s="26"/>
      <c r="M173" s="26"/>
      <c r="N173" s="26"/>
      <c r="O173" s="26"/>
      <c r="P173" s="27">
        <f>IF($B173&lt;&gt;"Challan","",I173+J173+K173+L173+M173+N173)</f>
      </c>
      <c r="Q173" s="25"/>
      <c r="R173" s="25"/>
      <c r="S173" s="25"/>
      <c r="T173" s="25"/>
      <c r="U173" s="25"/>
      <c r="V173" s="28"/>
      <c r="W173" s="28"/>
      <c r="X173" s="23">
        <f>IF($B173="Entry",IF(AND(LEN(TRIM(UPPER(W173)))=10,CODE(MID(TRIM(UPPER(W173)),1,1))&gt;=65,CODE(MID(TRIM(UPPER(W173)),1,1))&lt;=90,CODE(MID(TRIM(UPPER(W173)),2,1))&gt;=65,CODE(MID(TRIM(UPPER(W173)),2,1))&lt;=90,CODE(MID(TRIM(UPPER(W173)),3,1))&gt;=65,CODE(MID(TRIM(UPPER(W173)),3,1))&lt;=90,CODE(MID(TRIM(UPPER(W173)),4,1))&gt;=65,CODE(MID(TRIM(UPPER(W173)),4,1))&lt;=90,CODE(MID(TRIM(UPPER(W173)),5,1))&gt;=65,CODE(MID(TRIM(UPPER(W173)),5,1))&lt;=90,CODE(MID(TRIM(UPPER(W173)),10,1))&gt;=65,CODE(MID(TRIM(UPPER(W173)),10,1))&lt;=90,CODE(MID(TRIM(UPPER(W173)),6,1))&gt;=48,CODE(MID(TRIM(UPPER(W173)),6,1))&lt;=57,CODE(MID(TRIM(UPPER(W173)),7,1))&gt;=48,CODE(MID(TRIM(UPPER(W173)),7,1))&lt;=57,CODE(MID(TRIM(UPPER(W173)),8,1))&gt;=48,CODE(MID(TRIM(UPPER(W173)),8,1))&lt;=57,CODE(MID(TRIM(UPPER(W173)),9,1))&gt;=48,CODE(MID(TRIM(UPPER(W173)),9,1))&lt;=57),"N","Y"),IF($B173="Challan","",IF(W173&lt;&gt;"","◄ Set Row Type","")))</f>
      </c>
      <c r="Y173" s="23">
        <f>IF($B173="Entry",IF(LEN(W173)&lt;4,"",IF(UPPER(MID(W173,4,1))="P","Individual",IF(UPPER(MID(W173,4,1))="H","HUF",IF(UPPER(MID(W173,4,1))="C","Company",IF(UPPER(MID(W173,4,1))="F","Firm",IF(UPPER(MID(W173,4,1))="L","LLP",IF(UPPER(MID(W173,4,1))="T","Trust",IF(UPPER(MID(W173,4,1))="A","AOP","")))))))),IF($B173="Challan","",IF(W173&lt;&gt;"","◄ Set Row Type","")))</f>
      </c>
      <c r="Z173" s="28"/>
      <c r="AA173" s="29">
        <f>IF($B173&lt;&gt;"Entry","",IF(Z173="","",IF(X173="Y",SUMPRODUCT(('Rate Lookup'!$A$1:$A$37=Z173)*'Rate Lookup'!$D$1:$D$37),IF(OR(Y173="Individual",Y173="HUF"),SUMPRODUCT(('Rate Lookup'!$A$1:$A$37=Z173)*'Rate Lookup'!$B$1:$B$37),SUMPRODUCT(('Rate Lookup'!$A$1:$A$37=Z173)*'Rate Lookup'!$C$1:$C$37)))))</f>
      </c>
      <c r="AB173" s="30"/>
      <c r="AC173" s="31"/>
      <c r="AD173" s="27">
        <f>IF($B173&lt;&gt;"Entry","",ROUND(AC173*AA173/100,0))</f>
      </c>
      <c r="AE173" s="27">
        <f>IF($B173&lt;&gt;"Entry","",0)</f>
      </c>
      <c r="AF173" s="27">
        <f>IF($B173&lt;&gt;"Entry","",0)</f>
      </c>
      <c r="AG173" s="27">
        <f>IF($B173&lt;&gt;"Entry","",IF(OR(AD173=0,AB173="",AQ173="",AQ173&lt;=0),0,IF(AQ173&lt;=DATE(YEAR(AB173),MONTH(AB173)+1,7),0,ROUND(AD173*0.015*((YEAR(AQ173)-YEAR(AB173))*12+(MONTH(AQ173)-MONTH(AB173))+1),0))))</f>
      </c>
      <c r="AH173" s="27">
        <f>IF($B173&lt;&gt;"Entry","",0)</f>
      </c>
      <c r="AI173" s="28"/>
      <c r="AJ173" s="28"/>
      <c r="AK173" s="32"/>
      <c r="AL173" s="28"/>
      <c r="AM173" s="28"/>
      <c r="AN173" s="27">
        <f>IF($B173&lt;&gt;"Challan","",SUMIF('Q1 Data'!$D$4:$D$207,D173,'Q1 Data'!$AD$4:$AD$207)+SUMIF('Q1 Data'!$D$4:$D$207,D173,'Q1 Data'!$AG$4:$AG$207)+SUMIF('Q1 Data'!$D$4:$D$207,D173,'Q1 Data'!$AE$4:$AE$207)+SUMIF('Q2 Data'!$D$4:$D$207,D173,'Q2 Data'!$AD$4:$AD$207)+SUMIF('Q2 Data'!$D$4:$D$207,D173,'Q2 Data'!$AG$4:$AG$207)+SUMIF('Q2 Data'!$D$4:$D$207,D173,'Q2 Data'!$AE$4:$AE$207)+SUMIF('Q3 Data'!$D$4:$D$207,D173,'Q3 Data'!$AD$4:$AD$207)+SUMIF('Q3 Data'!$D$4:$D$207,D173,'Q3 Data'!$AG$4:$AG$207)+SUMIF('Q3 Data'!$D$4:$D$207,D173,'Q3 Data'!$AE$4:$AE$207)+SUMIF('Q4 Data'!$D$4:$D$207,D173,'Q4 Data'!$AD$4:$AD$207)+SUMIF('Q4 Data'!$D$4:$D$207,D173,'Q4 Data'!$AG$4:$AG$207)+SUMIF('Q4 Data'!$D$4:$D$207,D173,'Q4 Data'!$AE$4:$AE$207))</f>
      </c>
      <c r="AO173" s="27">
        <f>IF($B173&lt;&gt;"Challan","",P173-N173)</f>
      </c>
      <c r="AP173" s="27">
        <f>IF($B173&lt;&gt;"Challan","",MAX(0,AO173-AN173))</f>
      </c>
      <c r="AQ173" s="33">
        <f>IF($B173&lt;&gt;"Entry","",SUMPRODUCT(('Q1 Data'!$D$4:$D$207=D173)*('Q1 Data'!$B$4:$B$207="Challan")*'Q1 Data'!$F$4:$F$207)+SUMPRODUCT(('Q2 Data'!$D$4:$D$207=D173)*('Q2 Data'!$B$4:$B$207="Challan")*'Q2 Data'!$F$4:$F$207)+SUMPRODUCT(('Q3 Data'!$D$4:$D$207=D173)*('Q3 Data'!$B$4:$B$207="Challan")*'Q3 Data'!$F$4:$F$207)+SUMPRODUCT(('Q4 Data'!$D$4:$D$207=D173)*('Q4 Data'!$B$4:$B$207="Challan")*'Q4 Data'!$F$4:$F$207))</f>
      </c>
      <c r="AR173" s="34">
        <f>IF(OR($B173&lt;&gt;"Entry",Z173=""),FALSE,AND((SUMPRODUCT(('Q1 Data'!$D$4:$D$207=D173)*('Q1 Data'!$B$4:$B$207="Challan")*('Q1 Data'!$H$4:$H$207&lt;&gt;""))+SUMPRODUCT(('Q2 Data'!$D$4:$D$207=D173)*('Q2 Data'!$B$4:$B$207="Challan")*('Q2 Data'!$H$4:$H$207&lt;&gt;""))+SUMPRODUCT(('Q3 Data'!$D$4:$D$207=D173)*('Q3 Data'!$B$4:$B$207="Challan")*('Q3 Data'!$H$4:$H$207&lt;&gt;""))+SUMPRODUCT(('Q4 Data'!$D$4:$D$207=D173)*('Q4 Data'!$B$4:$B$207="Challan")*('Q4 Data'!$H$4:$H$207&lt;&gt;"")))&gt;0,(SUMPRODUCT(('Q1 Data'!$D$4:$D$207=D173)*('Q1 Data'!$B$4:$B$207="Challan")*('Q1 Data'!$H$4:$H$207=Z173))+SUMPRODUCT(('Q2 Data'!$D$4:$D$207=D173)*('Q2 Data'!$B$4:$B$207="Challan")*('Q2 Data'!$H$4:$H$207=Z173))+SUMPRODUCT(('Q3 Data'!$D$4:$D$207=D173)*('Q3 Data'!$B$4:$B$207="Challan")*('Q3 Data'!$H$4:$H$207=Z173))+SUMPRODUCT(('Q4 Data'!$D$4:$D$207=D173)*('Q4 Data'!$B$4:$B$207="Challan")*('Q4 Data'!$H$4:$H$207=Z173)))=0))</f>
      </c>
    </row>
    <row r="174" spans="1:44" x14ac:dyDescent="0.25">
      <c r="A174" s="20">
        <f>IF($B174="Entry",COUNTIF($B$4:$B174,"Entry"),"")</f>
      </c>
      <c r="B174" s="21"/>
      <c r="C174" s="22"/>
      <c r="D174" s="22"/>
      <c r="E174" s="23">
        <f>IF($B174&lt;&gt;"Challan","",IF(ROUND(AN174-AO174,2)&gt;0,"Over-applied",IF(ROUND(AN174-AO174,2)=0,"Fully Utilised","Unconsumed")))</f>
      </c>
      <c r="F174" s="24"/>
      <c r="G174" s="25"/>
      <c r="H174" s="25"/>
      <c r="I174" s="26"/>
      <c r="J174" s="26"/>
      <c r="K174" s="26"/>
      <c r="L174" s="26"/>
      <c r="M174" s="26"/>
      <c r="N174" s="26"/>
      <c r="O174" s="26"/>
      <c r="P174" s="27">
        <f>IF($B174&lt;&gt;"Challan","",I174+J174+K174+L174+M174+N174)</f>
      </c>
      <c r="Q174" s="25"/>
      <c r="R174" s="25"/>
      <c r="S174" s="25"/>
      <c r="T174" s="25"/>
      <c r="U174" s="25"/>
      <c r="V174" s="28"/>
      <c r="W174" s="28"/>
      <c r="X174" s="23">
        <f>IF($B174="Entry",IF(AND(LEN(TRIM(UPPER(W174)))=10,CODE(MID(TRIM(UPPER(W174)),1,1))&gt;=65,CODE(MID(TRIM(UPPER(W174)),1,1))&lt;=90,CODE(MID(TRIM(UPPER(W174)),2,1))&gt;=65,CODE(MID(TRIM(UPPER(W174)),2,1))&lt;=90,CODE(MID(TRIM(UPPER(W174)),3,1))&gt;=65,CODE(MID(TRIM(UPPER(W174)),3,1))&lt;=90,CODE(MID(TRIM(UPPER(W174)),4,1))&gt;=65,CODE(MID(TRIM(UPPER(W174)),4,1))&lt;=90,CODE(MID(TRIM(UPPER(W174)),5,1))&gt;=65,CODE(MID(TRIM(UPPER(W174)),5,1))&lt;=90,CODE(MID(TRIM(UPPER(W174)),10,1))&gt;=65,CODE(MID(TRIM(UPPER(W174)),10,1))&lt;=90,CODE(MID(TRIM(UPPER(W174)),6,1))&gt;=48,CODE(MID(TRIM(UPPER(W174)),6,1))&lt;=57,CODE(MID(TRIM(UPPER(W174)),7,1))&gt;=48,CODE(MID(TRIM(UPPER(W174)),7,1))&lt;=57,CODE(MID(TRIM(UPPER(W174)),8,1))&gt;=48,CODE(MID(TRIM(UPPER(W174)),8,1))&lt;=57,CODE(MID(TRIM(UPPER(W174)),9,1))&gt;=48,CODE(MID(TRIM(UPPER(W174)),9,1))&lt;=57),"N","Y"),IF($B174="Challan","",IF(W174&lt;&gt;"","◄ Set Row Type","")))</f>
      </c>
      <c r="Y174" s="23">
        <f>IF($B174="Entry",IF(LEN(W174)&lt;4,"",IF(UPPER(MID(W174,4,1))="P","Individual",IF(UPPER(MID(W174,4,1))="H","HUF",IF(UPPER(MID(W174,4,1))="C","Company",IF(UPPER(MID(W174,4,1))="F","Firm",IF(UPPER(MID(W174,4,1))="L","LLP",IF(UPPER(MID(W174,4,1))="T","Trust",IF(UPPER(MID(W174,4,1))="A","AOP","")))))))),IF($B174="Challan","",IF(W174&lt;&gt;"","◄ Set Row Type","")))</f>
      </c>
      <c r="Z174" s="28"/>
      <c r="AA174" s="29">
        <f>IF($B174&lt;&gt;"Entry","",IF(Z174="","",IF(X174="Y",SUMPRODUCT(('Rate Lookup'!$A$1:$A$37=Z174)*'Rate Lookup'!$D$1:$D$37),IF(OR(Y174="Individual",Y174="HUF"),SUMPRODUCT(('Rate Lookup'!$A$1:$A$37=Z174)*'Rate Lookup'!$B$1:$B$37),SUMPRODUCT(('Rate Lookup'!$A$1:$A$37=Z174)*'Rate Lookup'!$C$1:$C$37)))))</f>
      </c>
      <c r="AB174" s="30"/>
      <c r="AC174" s="31"/>
      <c r="AD174" s="27">
        <f>IF($B174&lt;&gt;"Entry","",ROUND(AC174*AA174/100,0))</f>
      </c>
      <c r="AE174" s="27">
        <f>IF($B174&lt;&gt;"Entry","",0)</f>
      </c>
      <c r="AF174" s="27">
        <f>IF($B174&lt;&gt;"Entry","",0)</f>
      </c>
      <c r="AG174" s="27">
        <f>IF($B174&lt;&gt;"Entry","",IF(OR(AD174=0,AB174="",AQ174="",AQ174&lt;=0),0,IF(AQ174&lt;=DATE(YEAR(AB174),MONTH(AB174)+1,7),0,ROUND(AD174*0.015*((YEAR(AQ174)-YEAR(AB174))*12+(MONTH(AQ174)-MONTH(AB174))+1),0))))</f>
      </c>
      <c r="AH174" s="27">
        <f>IF($B174&lt;&gt;"Entry","",0)</f>
      </c>
      <c r="AI174" s="28"/>
      <c r="AJ174" s="28"/>
      <c r="AK174" s="32"/>
      <c r="AL174" s="28"/>
      <c r="AM174" s="28"/>
      <c r="AN174" s="27">
        <f>IF($B174&lt;&gt;"Challan","",SUMIF('Q1 Data'!$D$4:$D$207,D174,'Q1 Data'!$AD$4:$AD$207)+SUMIF('Q1 Data'!$D$4:$D$207,D174,'Q1 Data'!$AG$4:$AG$207)+SUMIF('Q1 Data'!$D$4:$D$207,D174,'Q1 Data'!$AE$4:$AE$207)+SUMIF('Q2 Data'!$D$4:$D$207,D174,'Q2 Data'!$AD$4:$AD$207)+SUMIF('Q2 Data'!$D$4:$D$207,D174,'Q2 Data'!$AG$4:$AG$207)+SUMIF('Q2 Data'!$D$4:$D$207,D174,'Q2 Data'!$AE$4:$AE$207)+SUMIF('Q3 Data'!$D$4:$D$207,D174,'Q3 Data'!$AD$4:$AD$207)+SUMIF('Q3 Data'!$D$4:$D$207,D174,'Q3 Data'!$AG$4:$AG$207)+SUMIF('Q3 Data'!$D$4:$D$207,D174,'Q3 Data'!$AE$4:$AE$207)+SUMIF('Q4 Data'!$D$4:$D$207,D174,'Q4 Data'!$AD$4:$AD$207)+SUMIF('Q4 Data'!$D$4:$D$207,D174,'Q4 Data'!$AG$4:$AG$207)+SUMIF('Q4 Data'!$D$4:$D$207,D174,'Q4 Data'!$AE$4:$AE$207))</f>
      </c>
      <c r="AO174" s="27">
        <f>IF($B174&lt;&gt;"Challan","",P174-N174)</f>
      </c>
      <c r="AP174" s="27">
        <f>IF($B174&lt;&gt;"Challan","",MAX(0,AO174-AN174))</f>
      </c>
      <c r="AQ174" s="33">
        <f>IF($B174&lt;&gt;"Entry","",SUMPRODUCT(('Q1 Data'!$D$4:$D$207=D174)*('Q1 Data'!$B$4:$B$207="Challan")*'Q1 Data'!$F$4:$F$207)+SUMPRODUCT(('Q2 Data'!$D$4:$D$207=D174)*('Q2 Data'!$B$4:$B$207="Challan")*'Q2 Data'!$F$4:$F$207)+SUMPRODUCT(('Q3 Data'!$D$4:$D$207=D174)*('Q3 Data'!$B$4:$B$207="Challan")*'Q3 Data'!$F$4:$F$207)+SUMPRODUCT(('Q4 Data'!$D$4:$D$207=D174)*('Q4 Data'!$B$4:$B$207="Challan")*'Q4 Data'!$F$4:$F$207))</f>
      </c>
      <c r="AR174" s="34">
        <f>IF(OR($B174&lt;&gt;"Entry",Z174=""),FALSE,AND((SUMPRODUCT(('Q1 Data'!$D$4:$D$207=D174)*('Q1 Data'!$B$4:$B$207="Challan")*('Q1 Data'!$H$4:$H$207&lt;&gt;""))+SUMPRODUCT(('Q2 Data'!$D$4:$D$207=D174)*('Q2 Data'!$B$4:$B$207="Challan")*('Q2 Data'!$H$4:$H$207&lt;&gt;""))+SUMPRODUCT(('Q3 Data'!$D$4:$D$207=D174)*('Q3 Data'!$B$4:$B$207="Challan")*('Q3 Data'!$H$4:$H$207&lt;&gt;""))+SUMPRODUCT(('Q4 Data'!$D$4:$D$207=D174)*('Q4 Data'!$B$4:$B$207="Challan")*('Q4 Data'!$H$4:$H$207&lt;&gt;"")))&gt;0,(SUMPRODUCT(('Q1 Data'!$D$4:$D$207=D174)*('Q1 Data'!$B$4:$B$207="Challan")*('Q1 Data'!$H$4:$H$207=Z174))+SUMPRODUCT(('Q2 Data'!$D$4:$D$207=D174)*('Q2 Data'!$B$4:$B$207="Challan")*('Q2 Data'!$H$4:$H$207=Z174))+SUMPRODUCT(('Q3 Data'!$D$4:$D$207=D174)*('Q3 Data'!$B$4:$B$207="Challan")*('Q3 Data'!$H$4:$H$207=Z174))+SUMPRODUCT(('Q4 Data'!$D$4:$D$207=D174)*('Q4 Data'!$B$4:$B$207="Challan")*('Q4 Data'!$H$4:$H$207=Z174)))=0))</f>
      </c>
    </row>
    <row r="175" spans="1:44" x14ac:dyDescent="0.25">
      <c r="A175" s="20">
        <f>IF($B175="Entry",COUNTIF($B$4:$B175,"Entry"),"")</f>
      </c>
      <c r="B175" s="21"/>
      <c r="C175" s="22"/>
      <c r="D175" s="22"/>
      <c r="E175" s="23">
        <f>IF($B175&lt;&gt;"Challan","",IF(ROUND(AN175-AO175,2)&gt;0,"Over-applied",IF(ROUND(AN175-AO175,2)=0,"Fully Utilised","Unconsumed")))</f>
      </c>
      <c r="F175" s="24"/>
      <c r="G175" s="25"/>
      <c r="H175" s="25"/>
      <c r="I175" s="26"/>
      <c r="J175" s="26"/>
      <c r="K175" s="26"/>
      <c r="L175" s="26"/>
      <c r="M175" s="26"/>
      <c r="N175" s="26"/>
      <c r="O175" s="26"/>
      <c r="P175" s="27">
        <f>IF($B175&lt;&gt;"Challan","",I175+J175+K175+L175+M175+N175)</f>
      </c>
      <c r="Q175" s="25"/>
      <c r="R175" s="25"/>
      <c r="S175" s="25"/>
      <c r="T175" s="25"/>
      <c r="U175" s="25"/>
      <c r="V175" s="28"/>
      <c r="W175" s="28"/>
      <c r="X175" s="23">
        <f>IF($B175="Entry",IF(AND(LEN(TRIM(UPPER(W175)))=10,CODE(MID(TRIM(UPPER(W175)),1,1))&gt;=65,CODE(MID(TRIM(UPPER(W175)),1,1))&lt;=90,CODE(MID(TRIM(UPPER(W175)),2,1))&gt;=65,CODE(MID(TRIM(UPPER(W175)),2,1))&lt;=90,CODE(MID(TRIM(UPPER(W175)),3,1))&gt;=65,CODE(MID(TRIM(UPPER(W175)),3,1))&lt;=90,CODE(MID(TRIM(UPPER(W175)),4,1))&gt;=65,CODE(MID(TRIM(UPPER(W175)),4,1))&lt;=90,CODE(MID(TRIM(UPPER(W175)),5,1))&gt;=65,CODE(MID(TRIM(UPPER(W175)),5,1))&lt;=90,CODE(MID(TRIM(UPPER(W175)),10,1))&gt;=65,CODE(MID(TRIM(UPPER(W175)),10,1))&lt;=90,CODE(MID(TRIM(UPPER(W175)),6,1))&gt;=48,CODE(MID(TRIM(UPPER(W175)),6,1))&lt;=57,CODE(MID(TRIM(UPPER(W175)),7,1))&gt;=48,CODE(MID(TRIM(UPPER(W175)),7,1))&lt;=57,CODE(MID(TRIM(UPPER(W175)),8,1))&gt;=48,CODE(MID(TRIM(UPPER(W175)),8,1))&lt;=57,CODE(MID(TRIM(UPPER(W175)),9,1))&gt;=48,CODE(MID(TRIM(UPPER(W175)),9,1))&lt;=57),"N","Y"),IF($B175="Challan","",IF(W175&lt;&gt;"","◄ Set Row Type","")))</f>
      </c>
      <c r="Y175" s="23">
        <f>IF($B175="Entry",IF(LEN(W175)&lt;4,"",IF(UPPER(MID(W175,4,1))="P","Individual",IF(UPPER(MID(W175,4,1))="H","HUF",IF(UPPER(MID(W175,4,1))="C","Company",IF(UPPER(MID(W175,4,1))="F","Firm",IF(UPPER(MID(W175,4,1))="L","LLP",IF(UPPER(MID(W175,4,1))="T","Trust",IF(UPPER(MID(W175,4,1))="A","AOP","")))))))),IF($B175="Challan","",IF(W175&lt;&gt;"","◄ Set Row Type","")))</f>
      </c>
      <c r="Z175" s="28"/>
      <c r="AA175" s="29">
        <f>IF($B175&lt;&gt;"Entry","",IF(Z175="","",IF(X175="Y",SUMPRODUCT(('Rate Lookup'!$A$1:$A$37=Z175)*'Rate Lookup'!$D$1:$D$37),IF(OR(Y175="Individual",Y175="HUF"),SUMPRODUCT(('Rate Lookup'!$A$1:$A$37=Z175)*'Rate Lookup'!$B$1:$B$37),SUMPRODUCT(('Rate Lookup'!$A$1:$A$37=Z175)*'Rate Lookup'!$C$1:$C$37)))))</f>
      </c>
      <c r="AB175" s="30"/>
      <c r="AC175" s="31"/>
      <c r="AD175" s="27">
        <f>IF($B175&lt;&gt;"Entry","",ROUND(AC175*AA175/100,0))</f>
      </c>
      <c r="AE175" s="27">
        <f>IF($B175&lt;&gt;"Entry","",0)</f>
      </c>
      <c r="AF175" s="27">
        <f>IF($B175&lt;&gt;"Entry","",0)</f>
      </c>
      <c r="AG175" s="27">
        <f>IF($B175&lt;&gt;"Entry","",IF(OR(AD175=0,AB175="",AQ175="",AQ175&lt;=0),0,IF(AQ175&lt;=DATE(YEAR(AB175),MONTH(AB175)+1,7),0,ROUND(AD175*0.015*((YEAR(AQ175)-YEAR(AB175))*12+(MONTH(AQ175)-MONTH(AB175))+1),0))))</f>
      </c>
      <c r="AH175" s="27">
        <f>IF($B175&lt;&gt;"Entry","",0)</f>
      </c>
      <c r="AI175" s="28"/>
      <c r="AJ175" s="28"/>
      <c r="AK175" s="32"/>
      <c r="AL175" s="28"/>
      <c r="AM175" s="28"/>
      <c r="AN175" s="27">
        <f>IF($B175&lt;&gt;"Challan","",SUMIF('Q1 Data'!$D$4:$D$207,D175,'Q1 Data'!$AD$4:$AD$207)+SUMIF('Q1 Data'!$D$4:$D$207,D175,'Q1 Data'!$AG$4:$AG$207)+SUMIF('Q1 Data'!$D$4:$D$207,D175,'Q1 Data'!$AE$4:$AE$207)+SUMIF('Q2 Data'!$D$4:$D$207,D175,'Q2 Data'!$AD$4:$AD$207)+SUMIF('Q2 Data'!$D$4:$D$207,D175,'Q2 Data'!$AG$4:$AG$207)+SUMIF('Q2 Data'!$D$4:$D$207,D175,'Q2 Data'!$AE$4:$AE$207)+SUMIF('Q3 Data'!$D$4:$D$207,D175,'Q3 Data'!$AD$4:$AD$207)+SUMIF('Q3 Data'!$D$4:$D$207,D175,'Q3 Data'!$AG$4:$AG$207)+SUMIF('Q3 Data'!$D$4:$D$207,D175,'Q3 Data'!$AE$4:$AE$207)+SUMIF('Q4 Data'!$D$4:$D$207,D175,'Q4 Data'!$AD$4:$AD$207)+SUMIF('Q4 Data'!$D$4:$D$207,D175,'Q4 Data'!$AG$4:$AG$207)+SUMIF('Q4 Data'!$D$4:$D$207,D175,'Q4 Data'!$AE$4:$AE$207))</f>
      </c>
      <c r="AO175" s="27">
        <f>IF($B175&lt;&gt;"Challan","",P175-N175)</f>
      </c>
      <c r="AP175" s="27">
        <f>IF($B175&lt;&gt;"Challan","",MAX(0,AO175-AN175))</f>
      </c>
      <c r="AQ175" s="33">
        <f>IF($B175&lt;&gt;"Entry","",SUMPRODUCT(('Q1 Data'!$D$4:$D$207=D175)*('Q1 Data'!$B$4:$B$207="Challan")*'Q1 Data'!$F$4:$F$207)+SUMPRODUCT(('Q2 Data'!$D$4:$D$207=D175)*('Q2 Data'!$B$4:$B$207="Challan")*'Q2 Data'!$F$4:$F$207)+SUMPRODUCT(('Q3 Data'!$D$4:$D$207=D175)*('Q3 Data'!$B$4:$B$207="Challan")*'Q3 Data'!$F$4:$F$207)+SUMPRODUCT(('Q4 Data'!$D$4:$D$207=D175)*('Q4 Data'!$B$4:$B$207="Challan")*'Q4 Data'!$F$4:$F$207))</f>
      </c>
      <c r="AR175" s="34">
        <f>IF(OR($B175&lt;&gt;"Entry",Z175=""),FALSE,AND((SUMPRODUCT(('Q1 Data'!$D$4:$D$207=D175)*('Q1 Data'!$B$4:$B$207="Challan")*('Q1 Data'!$H$4:$H$207&lt;&gt;""))+SUMPRODUCT(('Q2 Data'!$D$4:$D$207=D175)*('Q2 Data'!$B$4:$B$207="Challan")*('Q2 Data'!$H$4:$H$207&lt;&gt;""))+SUMPRODUCT(('Q3 Data'!$D$4:$D$207=D175)*('Q3 Data'!$B$4:$B$207="Challan")*('Q3 Data'!$H$4:$H$207&lt;&gt;""))+SUMPRODUCT(('Q4 Data'!$D$4:$D$207=D175)*('Q4 Data'!$B$4:$B$207="Challan")*('Q4 Data'!$H$4:$H$207&lt;&gt;"")))&gt;0,(SUMPRODUCT(('Q1 Data'!$D$4:$D$207=D175)*('Q1 Data'!$B$4:$B$207="Challan")*('Q1 Data'!$H$4:$H$207=Z175))+SUMPRODUCT(('Q2 Data'!$D$4:$D$207=D175)*('Q2 Data'!$B$4:$B$207="Challan")*('Q2 Data'!$H$4:$H$207=Z175))+SUMPRODUCT(('Q3 Data'!$D$4:$D$207=D175)*('Q3 Data'!$B$4:$B$207="Challan")*('Q3 Data'!$H$4:$H$207=Z175))+SUMPRODUCT(('Q4 Data'!$D$4:$D$207=D175)*('Q4 Data'!$B$4:$B$207="Challan")*('Q4 Data'!$H$4:$H$207=Z175)))=0))</f>
      </c>
    </row>
    <row r="176" spans="1:44" x14ac:dyDescent="0.25">
      <c r="A176" s="20">
        <f>IF($B176="Entry",COUNTIF($B$4:$B176,"Entry"),"")</f>
      </c>
      <c r="B176" s="21"/>
      <c r="C176" s="22"/>
      <c r="D176" s="22"/>
      <c r="E176" s="23">
        <f>IF($B176&lt;&gt;"Challan","",IF(ROUND(AN176-AO176,2)&gt;0,"Over-applied",IF(ROUND(AN176-AO176,2)=0,"Fully Utilised","Unconsumed")))</f>
      </c>
      <c r="F176" s="24"/>
      <c r="G176" s="25"/>
      <c r="H176" s="25"/>
      <c r="I176" s="26"/>
      <c r="J176" s="26"/>
      <c r="K176" s="26"/>
      <c r="L176" s="26"/>
      <c r="M176" s="26"/>
      <c r="N176" s="26"/>
      <c r="O176" s="26"/>
      <c r="P176" s="27">
        <f>IF($B176&lt;&gt;"Challan","",I176+J176+K176+L176+M176+N176)</f>
      </c>
      <c r="Q176" s="25"/>
      <c r="R176" s="25"/>
      <c r="S176" s="25"/>
      <c r="T176" s="25"/>
      <c r="U176" s="25"/>
      <c r="V176" s="28"/>
      <c r="W176" s="28"/>
      <c r="X176" s="23">
        <f>IF($B176="Entry",IF(AND(LEN(TRIM(UPPER(W176)))=10,CODE(MID(TRIM(UPPER(W176)),1,1))&gt;=65,CODE(MID(TRIM(UPPER(W176)),1,1))&lt;=90,CODE(MID(TRIM(UPPER(W176)),2,1))&gt;=65,CODE(MID(TRIM(UPPER(W176)),2,1))&lt;=90,CODE(MID(TRIM(UPPER(W176)),3,1))&gt;=65,CODE(MID(TRIM(UPPER(W176)),3,1))&lt;=90,CODE(MID(TRIM(UPPER(W176)),4,1))&gt;=65,CODE(MID(TRIM(UPPER(W176)),4,1))&lt;=90,CODE(MID(TRIM(UPPER(W176)),5,1))&gt;=65,CODE(MID(TRIM(UPPER(W176)),5,1))&lt;=90,CODE(MID(TRIM(UPPER(W176)),10,1))&gt;=65,CODE(MID(TRIM(UPPER(W176)),10,1))&lt;=90,CODE(MID(TRIM(UPPER(W176)),6,1))&gt;=48,CODE(MID(TRIM(UPPER(W176)),6,1))&lt;=57,CODE(MID(TRIM(UPPER(W176)),7,1))&gt;=48,CODE(MID(TRIM(UPPER(W176)),7,1))&lt;=57,CODE(MID(TRIM(UPPER(W176)),8,1))&gt;=48,CODE(MID(TRIM(UPPER(W176)),8,1))&lt;=57,CODE(MID(TRIM(UPPER(W176)),9,1))&gt;=48,CODE(MID(TRIM(UPPER(W176)),9,1))&lt;=57),"N","Y"),IF($B176="Challan","",IF(W176&lt;&gt;"","◄ Set Row Type","")))</f>
      </c>
      <c r="Y176" s="23">
        <f>IF($B176="Entry",IF(LEN(W176)&lt;4,"",IF(UPPER(MID(W176,4,1))="P","Individual",IF(UPPER(MID(W176,4,1))="H","HUF",IF(UPPER(MID(W176,4,1))="C","Company",IF(UPPER(MID(W176,4,1))="F","Firm",IF(UPPER(MID(W176,4,1))="L","LLP",IF(UPPER(MID(W176,4,1))="T","Trust",IF(UPPER(MID(W176,4,1))="A","AOP","")))))))),IF($B176="Challan","",IF(W176&lt;&gt;"","◄ Set Row Type","")))</f>
      </c>
      <c r="Z176" s="28"/>
      <c r="AA176" s="29">
        <f>IF($B176&lt;&gt;"Entry","",IF(Z176="","",IF(X176="Y",SUMPRODUCT(('Rate Lookup'!$A$1:$A$37=Z176)*'Rate Lookup'!$D$1:$D$37),IF(OR(Y176="Individual",Y176="HUF"),SUMPRODUCT(('Rate Lookup'!$A$1:$A$37=Z176)*'Rate Lookup'!$B$1:$B$37),SUMPRODUCT(('Rate Lookup'!$A$1:$A$37=Z176)*'Rate Lookup'!$C$1:$C$37)))))</f>
      </c>
      <c r="AB176" s="30"/>
      <c r="AC176" s="31"/>
      <c r="AD176" s="27">
        <f>IF($B176&lt;&gt;"Entry","",ROUND(AC176*AA176/100,0))</f>
      </c>
      <c r="AE176" s="27">
        <f>IF($B176&lt;&gt;"Entry","",0)</f>
      </c>
      <c r="AF176" s="27">
        <f>IF($B176&lt;&gt;"Entry","",0)</f>
      </c>
      <c r="AG176" s="27">
        <f>IF($B176&lt;&gt;"Entry","",IF(OR(AD176=0,AB176="",AQ176="",AQ176&lt;=0),0,IF(AQ176&lt;=DATE(YEAR(AB176),MONTH(AB176)+1,7),0,ROUND(AD176*0.015*((YEAR(AQ176)-YEAR(AB176))*12+(MONTH(AQ176)-MONTH(AB176))+1),0))))</f>
      </c>
      <c r="AH176" s="27">
        <f>IF($B176&lt;&gt;"Entry","",0)</f>
      </c>
      <c r="AI176" s="28"/>
      <c r="AJ176" s="28"/>
      <c r="AK176" s="32"/>
      <c r="AL176" s="28"/>
      <c r="AM176" s="28"/>
      <c r="AN176" s="27">
        <f>IF($B176&lt;&gt;"Challan","",SUMIF('Q1 Data'!$D$4:$D$207,D176,'Q1 Data'!$AD$4:$AD$207)+SUMIF('Q1 Data'!$D$4:$D$207,D176,'Q1 Data'!$AG$4:$AG$207)+SUMIF('Q1 Data'!$D$4:$D$207,D176,'Q1 Data'!$AE$4:$AE$207)+SUMIF('Q2 Data'!$D$4:$D$207,D176,'Q2 Data'!$AD$4:$AD$207)+SUMIF('Q2 Data'!$D$4:$D$207,D176,'Q2 Data'!$AG$4:$AG$207)+SUMIF('Q2 Data'!$D$4:$D$207,D176,'Q2 Data'!$AE$4:$AE$207)+SUMIF('Q3 Data'!$D$4:$D$207,D176,'Q3 Data'!$AD$4:$AD$207)+SUMIF('Q3 Data'!$D$4:$D$207,D176,'Q3 Data'!$AG$4:$AG$207)+SUMIF('Q3 Data'!$D$4:$D$207,D176,'Q3 Data'!$AE$4:$AE$207)+SUMIF('Q4 Data'!$D$4:$D$207,D176,'Q4 Data'!$AD$4:$AD$207)+SUMIF('Q4 Data'!$D$4:$D$207,D176,'Q4 Data'!$AG$4:$AG$207)+SUMIF('Q4 Data'!$D$4:$D$207,D176,'Q4 Data'!$AE$4:$AE$207))</f>
      </c>
      <c r="AO176" s="27">
        <f>IF($B176&lt;&gt;"Challan","",P176-N176)</f>
      </c>
      <c r="AP176" s="27">
        <f>IF($B176&lt;&gt;"Challan","",MAX(0,AO176-AN176))</f>
      </c>
      <c r="AQ176" s="33">
        <f>IF($B176&lt;&gt;"Entry","",SUMPRODUCT(('Q1 Data'!$D$4:$D$207=D176)*('Q1 Data'!$B$4:$B$207="Challan")*'Q1 Data'!$F$4:$F$207)+SUMPRODUCT(('Q2 Data'!$D$4:$D$207=D176)*('Q2 Data'!$B$4:$B$207="Challan")*'Q2 Data'!$F$4:$F$207)+SUMPRODUCT(('Q3 Data'!$D$4:$D$207=D176)*('Q3 Data'!$B$4:$B$207="Challan")*'Q3 Data'!$F$4:$F$207)+SUMPRODUCT(('Q4 Data'!$D$4:$D$207=D176)*('Q4 Data'!$B$4:$B$207="Challan")*'Q4 Data'!$F$4:$F$207))</f>
      </c>
      <c r="AR176" s="34">
        <f>IF(OR($B176&lt;&gt;"Entry",Z176=""),FALSE,AND((SUMPRODUCT(('Q1 Data'!$D$4:$D$207=D176)*('Q1 Data'!$B$4:$B$207="Challan")*('Q1 Data'!$H$4:$H$207&lt;&gt;""))+SUMPRODUCT(('Q2 Data'!$D$4:$D$207=D176)*('Q2 Data'!$B$4:$B$207="Challan")*('Q2 Data'!$H$4:$H$207&lt;&gt;""))+SUMPRODUCT(('Q3 Data'!$D$4:$D$207=D176)*('Q3 Data'!$B$4:$B$207="Challan")*('Q3 Data'!$H$4:$H$207&lt;&gt;""))+SUMPRODUCT(('Q4 Data'!$D$4:$D$207=D176)*('Q4 Data'!$B$4:$B$207="Challan")*('Q4 Data'!$H$4:$H$207&lt;&gt;"")))&gt;0,(SUMPRODUCT(('Q1 Data'!$D$4:$D$207=D176)*('Q1 Data'!$B$4:$B$207="Challan")*('Q1 Data'!$H$4:$H$207=Z176))+SUMPRODUCT(('Q2 Data'!$D$4:$D$207=D176)*('Q2 Data'!$B$4:$B$207="Challan")*('Q2 Data'!$H$4:$H$207=Z176))+SUMPRODUCT(('Q3 Data'!$D$4:$D$207=D176)*('Q3 Data'!$B$4:$B$207="Challan")*('Q3 Data'!$H$4:$H$207=Z176))+SUMPRODUCT(('Q4 Data'!$D$4:$D$207=D176)*('Q4 Data'!$B$4:$B$207="Challan")*('Q4 Data'!$H$4:$H$207=Z176)))=0))</f>
      </c>
    </row>
    <row r="177" spans="1:44" x14ac:dyDescent="0.25">
      <c r="A177" s="20">
        <f>IF($B177="Entry",COUNTIF($B$4:$B177,"Entry"),"")</f>
      </c>
      <c r="B177" s="21"/>
      <c r="C177" s="22"/>
      <c r="D177" s="22"/>
      <c r="E177" s="23">
        <f>IF($B177&lt;&gt;"Challan","",IF(ROUND(AN177-AO177,2)&gt;0,"Over-applied",IF(ROUND(AN177-AO177,2)=0,"Fully Utilised","Unconsumed")))</f>
      </c>
      <c r="F177" s="24"/>
      <c r="G177" s="25"/>
      <c r="H177" s="25"/>
      <c r="I177" s="26"/>
      <c r="J177" s="26"/>
      <c r="K177" s="26"/>
      <c r="L177" s="26"/>
      <c r="M177" s="26"/>
      <c r="N177" s="26"/>
      <c r="O177" s="26"/>
      <c r="P177" s="27">
        <f>IF($B177&lt;&gt;"Challan","",I177+J177+K177+L177+M177+N177)</f>
      </c>
      <c r="Q177" s="25"/>
      <c r="R177" s="25"/>
      <c r="S177" s="25"/>
      <c r="T177" s="25"/>
      <c r="U177" s="25"/>
      <c r="V177" s="28"/>
      <c r="W177" s="28"/>
      <c r="X177" s="23">
        <f>IF($B177="Entry",IF(AND(LEN(TRIM(UPPER(W177)))=10,CODE(MID(TRIM(UPPER(W177)),1,1))&gt;=65,CODE(MID(TRIM(UPPER(W177)),1,1))&lt;=90,CODE(MID(TRIM(UPPER(W177)),2,1))&gt;=65,CODE(MID(TRIM(UPPER(W177)),2,1))&lt;=90,CODE(MID(TRIM(UPPER(W177)),3,1))&gt;=65,CODE(MID(TRIM(UPPER(W177)),3,1))&lt;=90,CODE(MID(TRIM(UPPER(W177)),4,1))&gt;=65,CODE(MID(TRIM(UPPER(W177)),4,1))&lt;=90,CODE(MID(TRIM(UPPER(W177)),5,1))&gt;=65,CODE(MID(TRIM(UPPER(W177)),5,1))&lt;=90,CODE(MID(TRIM(UPPER(W177)),10,1))&gt;=65,CODE(MID(TRIM(UPPER(W177)),10,1))&lt;=90,CODE(MID(TRIM(UPPER(W177)),6,1))&gt;=48,CODE(MID(TRIM(UPPER(W177)),6,1))&lt;=57,CODE(MID(TRIM(UPPER(W177)),7,1))&gt;=48,CODE(MID(TRIM(UPPER(W177)),7,1))&lt;=57,CODE(MID(TRIM(UPPER(W177)),8,1))&gt;=48,CODE(MID(TRIM(UPPER(W177)),8,1))&lt;=57,CODE(MID(TRIM(UPPER(W177)),9,1))&gt;=48,CODE(MID(TRIM(UPPER(W177)),9,1))&lt;=57),"N","Y"),IF($B177="Challan","",IF(W177&lt;&gt;"","◄ Set Row Type","")))</f>
      </c>
      <c r="Y177" s="23">
        <f>IF($B177="Entry",IF(LEN(W177)&lt;4,"",IF(UPPER(MID(W177,4,1))="P","Individual",IF(UPPER(MID(W177,4,1))="H","HUF",IF(UPPER(MID(W177,4,1))="C","Company",IF(UPPER(MID(W177,4,1))="F","Firm",IF(UPPER(MID(W177,4,1))="L","LLP",IF(UPPER(MID(W177,4,1))="T","Trust",IF(UPPER(MID(W177,4,1))="A","AOP","")))))))),IF($B177="Challan","",IF(W177&lt;&gt;"","◄ Set Row Type","")))</f>
      </c>
      <c r="Z177" s="28"/>
      <c r="AA177" s="29">
        <f>IF($B177&lt;&gt;"Entry","",IF(Z177="","",IF(X177="Y",SUMPRODUCT(('Rate Lookup'!$A$1:$A$37=Z177)*'Rate Lookup'!$D$1:$D$37),IF(OR(Y177="Individual",Y177="HUF"),SUMPRODUCT(('Rate Lookup'!$A$1:$A$37=Z177)*'Rate Lookup'!$B$1:$B$37),SUMPRODUCT(('Rate Lookup'!$A$1:$A$37=Z177)*'Rate Lookup'!$C$1:$C$37)))))</f>
      </c>
      <c r="AB177" s="30"/>
      <c r="AC177" s="31"/>
      <c r="AD177" s="27">
        <f>IF($B177&lt;&gt;"Entry","",ROUND(AC177*AA177/100,0))</f>
      </c>
      <c r="AE177" s="27">
        <f>IF($B177&lt;&gt;"Entry","",0)</f>
      </c>
      <c r="AF177" s="27">
        <f>IF($B177&lt;&gt;"Entry","",0)</f>
      </c>
      <c r="AG177" s="27">
        <f>IF($B177&lt;&gt;"Entry","",IF(OR(AD177=0,AB177="",AQ177="",AQ177&lt;=0),0,IF(AQ177&lt;=DATE(YEAR(AB177),MONTH(AB177)+1,7),0,ROUND(AD177*0.015*((YEAR(AQ177)-YEAR(AB177))*12+(MONTH(AQ177)-MONTH(AB177))+1),0))))</f>
      </c>
      <c r="AH177" s="27">
        <f>IF($B177&lt;&gt;"Entry","",0)</f>
      </c>
      <c r="AI177" s="28"/>
      <c r="AJ177" s="28"/>
      <c r="AK177" s="32"/>
      <c r="AL177" s="28"/>
      <c r="AM177" s="28"/>
      <c r="AN177" s="27">
        <f>IF($B177&lt;&gt;"Challan","",SUMIF('Q1 Data'!$D$4:$D$207,D177,'Q1 Data'!$AD$4:$AD$207)+SUMIF('Q1 Data'!$D$4:$D$207,D177,'Q1 Data'!$AG$4:$AG$207)+SUMIF('Q1 Data'!$D$4:$D$207,D177,'Q1 Data'!$AE$4:$AE$207)+SUMIF('Q2 Data'!$D$4:$D$207,D177,'Q2 Data'!$AD$4:$AD$207)+SUMIF('Q2 Data'!$D$4:$D$207,D177,'Q2 Data'!$AG$4:$AG$207)+SUMIF('Q2 Data'!$D$4:$D$207,D177,'Q2 Data'!$AE$4:$AE$207)+SUMIF('Q3 Data'!$D$4:$D$207,D177,'Q3 Data'!$AD$4:$AD$207)+SUMIF('Q3 Data'!$D$4:$D$207,D177,'Q3 Data'!$AG$4:$AG$207)+SUMIF('Q3 Data'!$D$4:$D$207,D177,'Q3 Data'!$AE$4:$AE$207)+SUMIF('Q4 Data'!$D$4:$D$207,D177,'Q4 Data'!$AD$4:$AD$207)+SUMIF('Q4 Data'!$D$4:$D$207,D177,'Q4 Data'!$AG$4:$AG$207)+SUMIF('Q4 Data'!$D$4:$D$207,D177,'Q4 Data'!$AE$4:$AE$207))</f>
      </c>
      <c r="AO177" s="27">
        <f>IF($B177&lt;&gt;"Challan","",P177-N177)</f>
      </c>
      <c r="AP177" s="27">
        <f>IF($B177&lt;&gt;"Challan","",MAX(0,AO177-AN177))</f>
      </c>
      <c r="AQ177" s="33">
        <f>IF($B177&lt;&gt;"Entry","",SUMPRODUCT(('Q1 Data'!$D$4:$D$207=D177)*('Q1 Data'!$B$4:$B$207="Challan")*'Q1 Data'!$F$4:$F$207)+SUMPRODUCT(('Q2 Data'!$D$4:$D$207=D177)*('Q2 Data'!$B$4:$B$207="Challan")*'Q2 Data'!$F$4:$F$207)+SUMPRODUCT(('Q3 Data'!$D$4:$D$207=D177)*('Q3 Data'!$B$4:$B$207="Challan")*'Q3 Data'!$F$4:$F$207)+SUMPRODUCT(('Q4 Data'!$D$4:$D$207=D177)*('Q4 Data'!$B$4:$B$207="Challan")*'Q4 Data'!$F$4:$F$207))</f>
      </c>
      <c r="AR177" s="34">
        <f>IF(OR($B177&lt;&gt;"Entry",Z177=""),FALSE,AND((SUMPRODUCT(('Q1 Data'!$D$4:$D$207=D177)*('Q1 Data'!$B$4:$B$207="Challan")*('Q1 Data'!$H$4:$H$207&lt;&gt;""))+SUMPRODUCT(('Q2 Data'!$D$4:$D$207=D177)*('Q2 Data'!$B$4:$B$207="Challan")*('Q2 Data'!$H$4:$H$207&lt;&gt;""))+SUMPRODUCT(('Q3 Data'!$D$4:$D$207=D177)*('Q3 Data'!$B$4:$B$207="Challan")*('Q3 Data'!$H$4:$H$207&lt;&gt;""))+SUMPRODUCT(('Q4 Data'!$D$4:$D$207=D177)*('Q4 Data'!$B$4:$B$207="Challan")*('Q4 Data'!$H$4:$H$207&lt;&gt;"")))&gt;0,(SUMPRODUCT(('Q1 Data'!$D$4:$D$207=D177)*('Q1 Data'!$B$4:$B$207="Challan")*('Q1 Data'!$H$4:$H$207=Z177))+SUMPRODUCT(('Q2 Data'!$D$4:$D$207=D177)*('Q2 Data'!$B$4:$B$207="Challan")*('Q2 Data'!$H$4:$H$207=Z177))+SUMPRODUCT(('Q3 Data'!$D$4:$D$207=D177)*('Q3 Data'!$B$4:$B$207="Challan")*('Q3 Data'!$H$4:$H$207=Z177))+SUMPRODUCT(('Q4 Data'!$D$4:$D$207=D177)*('Q4 Data'!$B$4:$B$207="Challan")*('Q4 Data'!$H$4:$H$207=Z177)))=0))</f>
      </c>
    </row>
    <row r="178" spans="1:44" x14ac:dyDescent="0.25">
      <c r="A178" s="20">
        <f>IF($B178="Entry",COUNTIF($B$4:$B178,"Entry"),"")</f>
      </c>
      <c r="B178" s="21"/>
      <c r="C178" s="22"/>
      <c r="D178" s="22"/>
      <c r="E178" s="23">
        <f>IF($B178&lt;&gt;"Challan","",IF(ROUND(AN178-AO178,2)&gt;0,"Over-applied",IF(ROUND(AN178-AO178,2)=0,"Fully Utilised","Unconsumed")))</f>
      </c>
      <c r="F178" s="24"/>
      <c r="G178" s="25"/>
      <c r="H178" s="25"/>
      <c r="I178" s="26"/>
      <c r="J178" s="26"/>
      <c r="K178" s="26"/>
      <c r="L178" s="26"/>
      <c r="M178" s="26"/>
      <c r="N178" s="26"/>
      <c r="O178" s="26"/>
      <c r="P178" s="27">
        <f>IF($B178&lt;&gt;"Challan","",I178+J178+K178+L178+M178+N178)</f>
      </c>
      <c r="Q178" s="25"/>
      <c r="R178" s="25"/>
      <c r="S178" s="25"/>
      <c r="T178" s="25"/>
      <c r="U178" s="25"/>
      <c r="V178" s="28"/>
      <c r="W178" s="28"/>
      <c r="X178" s="23">
        <f>IF($B178="Entry",IF(AND(LEN(TRIM(UPPER(W178)))=10,CODE(MID(TRIM(UPPER(W178)),1,1))&gt;=65,CODE(MID(TRIM(UPPER(W178)),1,1))&lt;=90,CODE(MID(TRIM(UPPER(W178)),2,1))&gt;=65,CODE(MID(TRIM(UPPER(W178)),2,1))&lt;=90,CODE(MID(TRIM(UPPER(W178)),3,1))&gt;=65,CODE(MID(TRIM(UPPER(W178)),3,1))&lt;=90,CODE(MID(TRIM(UPPER(W178)),4,1))&gt;=65,CODE(MID(TRIM(UPPER(W178)),4,1))&lt;=90,CODE(MID(TRIM(UPPER(W178)),5,1))&gt;=65,CODE(MID(TRIM(UPPER(W178)),5,1))&lt;=90,CODE(MID(TRIM(UPPER(W178)),10,1))&gt;=65,CODE(MID(TRIM(UPPER(W178)),10,1))&lt;=90,CODE(MID(TRIM(UPPER(W178)),6,1))&gt;=48,CODE(MID(TRIM(UPPER(W178)),6,1))&lt;=57,CODE(MID(TRIM(UPPER(W178)),7,1))&gt;=48,CODE(MID(TRIM(UPPER(W178)),7,1))&lt;=57,CODE(MID(TRIM(UPPER(W178)),8,1))&gt;=48,CODE(MID(TRIM(UPPER(W178)),8,1))&lt;=57,CODE(MID(TRIM(UPPER(W178)),9,1))&gt;=48,CODE(MID(TRIM(UPPER(W178)),9,1))&lt;=57),"N","Y"),IF($B178="Challan","",IF(W178&lt;&gt;"","◄ Set Row Type","")))</f>
      </c>
      <c r="Y178" s="23">
        <f>IF($B178="Entry",IF(LEN(W178)&lt;4,"",IF(UPPER(MID(W178,4,1))="P","Individual",IF(UPPER(MID(W178,4,1))="H","HUF",IF(UPPER(MID(W178,4,1))="C","Company",IF(UPPER(MID(W178,4,1))="F","Firm",IF(UPPER(MID(W178,4,1))="L","LLP",IF(UPPER(MID(W178,4,1))="T","Trust",IF(UPPER(MID(W178,4,1))="A","AOP","")))))))),IF($B178="Challan","",IF(W178&lt;&gt;"","◄ Set Row Type","")))</f>
      </c>
      <c r="Z178" s="28"/>
      <c r="AA178" s="29">
        <f>IF($B178&lt;&gt;"Entry","",IF(Z178="","",IF(X178="Y",SUMPRODUCT(('Rate Lookup'!$A$1:$A$37=Z178)*'Rate Lookup'!$D$1:$D$37),IF(OR(Y178="Individual",Y178="HUF"),SUMPRODUCT(('Rate Lookup'!$A$1:$A$37=Z178)*'Rate Lookup'!$B$1:$B$37),SUMPRODUCT(('Rate Lookup'!$A$1:$A$37=Z178)*'Rate Lookup'!$C$1:$C$37)))))</f>
      </c>
      <c r="AB178" s="30"/>
      <c r="AC178" s="31"/>
      <c r="AD178" s="27">
        <f>IF($B178&lt;&gt;"Entry","",ROUND(AC178*AA178/100,0))</f>
      </c>
      <c r="AE178" s="27">
        <f>IF($B178&lt;&gt;"Entry","",0)</f>
      </c>
      <c r="AF178" s="27">
        <f>IF($B178&lt;&gt;"Entry","",0)</f>
      </c>
      <c r="AG178" s="27">
        <f>IF($B178&lt;&gt;"Entry","",IF(OR(AD178=0,AB178="",AQ178="",AQ178&lt;=0),0,IF(AQ178&lt;=DATE(YEAR(AB178),MONTH(AB178)+1,7),0,ROUND(AD178*0.015*((YEAR(AQ178)-YEAR(AB178))*12+(MONTH(AQ178)-MONTH(AB178))+1),0))))</f>
      </c>
      <c r="AH178" s="27">
        <f>IF($B178&lt;&gt;"Entry","",0)</f>
      </c>
      <c r="AI178" s="28"/>
      <c r="AJ178" s="28"/>
      <c r="AK178" s="32"/>
      <c r="AL178" s="28"/>
      <c r="AM178" s="28"/>
      <c r="AN178" s="27">
        <f>IF($B178&lt;&gt;"Challan","",SUMIF('Q1 Data'!$D$4:$D$207,D178,'Q1 Data'!$AD$4:$AD$207)+SUMIF('Q1 Data'!$D$4:$D$207,D178,'Q1 Data'!$AG$4:$AG$207)+SUMIF('Q1 Data'!$D$4:$D$207,D178,'Q1 Data'!$AE$4:$AE$207)+SUMIF('Q2 Data'!$D$4:$D$207,D178,'Q2 Data'!$AD$4:$AD$207)+SUMIF('Q2 Data'!$D$4:$D$207,D178,'Q2 Data'!$AG$4:$AG$207)+SUMIF('Q2 Data'!$D$4:$D$207,D178,'Q2 Data'!$AE$4:$AE$207)+SUMIF('Q3 Data'!$D$4:$D$207,D178,'Q3 Data'!$AD$4:$AD$207)+SUMIF('Q3 Data'!$D$4:$D$207,D178,'Q3 Data'!$AG$4:$AG$207)+SUMIF('Q3 Data'!$D$4:$D$207,D178,'Q3 Data'!$AE$4:$AE$207)+SUMIF('Q4 Data'!$D$4:$D$207,D178,'Q4 Data'!$AD$4:$AD$207)+SUMIF('Q4 Data'!$D$4:$D$207,D178,'Q4 Data'!$AG$4:$AG$207)+SUMIF('Q4 Data'!$D$4:$D$207,D178,'Q4 Data'!$AE$4:$AE$207))</f>
      </c>
      <c r="AO178" s="27">
        <f>IF($B178&lt;&gt;"Challan","",P178-N178)</f>
      </c>
      <c r="AP178" s="27">
        <f>IF($B178&lt;&gt;"Challan","",MAX(0,AO178-AN178))</f>
      </c>
      <c r="AQ178" s="33">
        <f>IF($B178&lt;&gt;"Entry","",SUMPRODUCT(('Q1 Data'!$D$4:$D$207=D178)*('Q1 Data'!$B$4:$B$207="Challan")*'Q1 Data'!$F$4:$F$207)+SUMPRODUCT(('Q2 Data'!$D$4:$D$207=D178)*('Q2 Data'!$B$4:$B$207="Challan")*'Q2 Data'!$F$4:$F$207)+SUMPRODUCT(('Q3 Data'!$D$4:$D$207=D178)*('Q3 Data'!$B$4:$B$207="Challan")*'Q3 Data'!$F$4:$F$207)+SUMPRODUCT(('Q4 Data'!$D$4:$D$207=D178)*('Q4 Data'!$B$4:$B$207="Challan")*'Q4 Data'!$F$4:$F$207))</f>
      </c>
      <c r="AR178" s="34">
        <f>IF(OR($B178&lt;&gt;"Entry",Z178=""),FALSE,AND((SUMPRODUCT(('Q1 Data'!$D$4:$D$207=D178)*('Q1 Data'!$B$4:$B$207="Challan")*('Q1 Data'!$H$4:$H$207&lt;&gt;""))+SUMPRODUCT(('Q2 Data'!$D$4:$D$207=D178)*('Q2 Data'!$B$4:$B$207="Challan")*('Q2 Data'!$H$4:$H$207&lt;&gt;""))+SUMPRODUCT(('Q3 Data'!$D$4:$D$207=D178)*('Q3 Data'!$B$4:$B$207="Challan")*('Q3 Data'!$H$4:$H$207&lt;&gt;""))+SUMPRODUCT(('Q4 Data'!$D$4:$D$207=D178)*('Q4 Data'!$B$4:$B$207="Challan")*('Q4 Data'!$H$4:$H$207&lt;&gt;"")))&gt;0,(SUMPRODUCT(('Q1 Data'!$D$4:$D$207=D178)*('Q1 Data'!$B$4:$B$207="Challan")*('Q1 Data'!$H$4:$H$207=Z178))+SUMPRODUCT(('Q2 Data'!$D$4:$D$207=D178)*('Q2 Data'!$B$4:$B$207="Challan")*('Q2 Data'!$H$4:$H$207=Z178))+SUMPRODUCT(('Q3 Data'!$D$4:$D$207=D178)*('Q3 Data'!$B$4:$B$207="Challan")*('Q3 Data'!$H$4:$H$207=Z178))+SUMPRODUCT(('Q4 Data'!$D$4:$D$207=D178)*('Q4 Data'!$B$4:$B$207="Challan")*('Q4 Data'!$H$4:$H$207=Z178)))=0))</f>
      </c>
    </row>
    <row r="179" spans="1:44" x14ac:dyDescent="0.25">
      <c r="A179" s="20">
        <f>IF($B179="Entry",COUNTIF($B$4:$B179,"Entry"),"")</f>
      </c>
      <c r="B179" s="21"/>
      <c r="C179" s="22"/>
      <c r="D179" s="22"/>
      <c r="E179" s="23">
        <f>IF($B179&lt;&gt;"Challan","",IF(ROUND(AN179-AO179,2)&gt;0,"Over-applied",IF(ROUND(AN179-AO179,2)=0,"Fully Utilised","Unconsumed")))</f>
      </c>
      <c r="F179" s="24"/>
      <c r="G179" s="25"/>
      <c r="H179" s="25"/>
      <c r="I179" s="26"/>
      <c r="J179" s="26"/>
      <c r="K179" s="26"/>
      <c r="L179" s="26"/>
      <c r="M179" s="26"/>
      <c r="N179" s="26"/>
      <c r="O179" s="26"/>
      <c r="P179" s="27">
        <f>IF($B179&lt;&gt;"Challan","",I179+J179+K179+L179+M179+N179)</f>
      </c>
      <c r="Q179" s="25"/>
      <c r="R179" s="25"/>
      <c r="S179" s="25"/>
      <c r="T179" s="25"/>
      <c r="U179" s="25"/>
      <c r="V179" s="28"/>
      <c r="W179" s="28"/>
      <c r="X179" s="23">
        <f>IF($B179="Entry",IF(AND(LEN(TRIM(UPPER(W179)))=10,CODE(MID(TRIM(UPPER(W179)),1,1))&gt;=65,CODE(MID(TRIM(UPPER(W179)),1,1))&lt;=90,CODE(MID(TRIM(UPPER(W179)),2,1))&gt;=65,CODE(MID(TRIM(UPPER(W179)),2,1))&lt;=90,CODE(MID(TRIM(UPPER(W179)),3,1))&gt;=65,CODE(MID(TRIM(UPPER(W179)),3,1))&lt;=90,CODE(MID(TRIM(UPPER(W179)),4,1))&gt;=65,CODE(MID(TRIM(UPPER(W179)),4,1))&lt;=90,CODE(MID(TRIM(UPPER(W179)),5,1))&gt;=65,CODE(MID(TRIM(UPPER(W179)),5,1))&lt;=90,CODE(MID(TRIM(UPPER(W179)),10,1))&gt;=65,CODE(MID(TRIM(UPPER(W179)),10,1))&lt;=90,CODE(MID(TRIM(UPPER(W179)),6,1))&gt;=48,CODE(MID(TRIM(UPPER(W179)),6,1))&lt;=57,CODE(MID(TRIM(UPPER(W179)),7,1))&gt;=48,CODE(MID(TRIM(UPPER(W179)),7,1))&lt;=57,CODE(MID(TRIM(UPPER(W179)),8,1))&gt;=48,CODE(MID(TRIM(UPPER(W179)),8,1))&lt;=57,CODE(MID(TRIM(UPPER(W179)),9,1))&gt;=48,CODE(MID(TRIM(UPPER(W179)),9,1))&lt;=57),"N","Y"),IF($B179="Challan","",IF(W179&lt;&gt;"","◄ Set Row Type","")))</f>
      </c>
      <c r="Y179" s="23">
        <f>IF($B179="Entry",IF(LEN(W179)&lt;4,"",IF(UPPER(MID(W179,4,1))="P","Individual",IF(UPPER(MID(W179,4,1))="H","HUF",IF(UPPER(MID(W179,4,1))="C","Company",IF(UPPER(MID(W179,4,1))="F","Firm",IF(UPPER(MID(W179,4,1))="L","LLP",IF(UPPER(MID(W179,4,1))="T","Trust",IF(UPPER(MID(W179,4,1))="A","AOP","")))))))),IF($B179="Challan","",IF(W179&lt;&gt;"","◄ Set Row Type","")))</f>
      </c>
      <c r="Z179" s="28"/>
      <c r="AA179" s="29">
        <f>IF($B179&lt;&gt;"Entry","",IF(Z179="","",IF(X179="Y",SUMPRODUCT(('Rate Lookup'!$A$1:$A$37=Z179)*'Rate Lookup'!$D$1:$D$37),IF(OR(Y179="Individual",Y179="HUF"),SUMPRODUCT(('Rate Lookup'!$A$1:$A$37=Z179)*'Rate Lookup'!$B$1:$B$37),SUMPRODUCT(('Rate Lookup'!$A$1:$A$37=Z179)*'Rate Lookup'!$C$1:$C$37)))))</f>
      </c>
      <c r="AB179" s="30"/>
      <c r="AC179" s="31"/>
      <c r="AD179" s="27">
        <f>IF($B179&lt;&gt;"Entry","",ROUND(AC179*AA179/100,0))</f>
      </c>
      <c r="AE179" s="27">
        <f>IF($B179&lt;&gt;"Entry","",0)</f>
      </c>
      <c r="AF179" s="27">
        <f>IF($B179&lt;&gt;"Entry","",0)</f>
      </c>
      <c r="AG179" s="27">
        <f>IF($B179&lt;&gt;"Entry","",IF(OR(AD179=0,AB179="",AQ179="",AQ179&lt;=0),0,IF(AQ179&lt;=DATE(YEAR(AB179),MONTH(AB179)+1,7),0,ROUND(AD179*0.015*((YEAR(AQ179)-YEAR(AB179))*12+(MONTH(AQ179)-MONTH(AB179))+1),0))))</f>
      </c>
      <c r="AH179" s="27">
        <f>IF($B179&lt;&gt;"Entry","",0)</f>
      </c>
      <c r="AI179" s="28"/>
      <c r="AJ179" s="28"/>
      <c r="AK179" s="32"/>
      <c r="AL179" s="28"/>
      <c r="AM179" s="28"/>
      <c r="AN179" s="27">
        <f>IF($B179&lt;&gt;"Challan","",SUMIF('Q1 Data'!$D$4:$D$207,D179,'Q1 Data'!$AD$4:$AD$207)+SUMIF('Q1 Data'!$D$4:$D$207,D179,'Q1 Data'!$AG$4:$AG$207)+SUMIF('Q1 Data'!$D$4:$D$207,D179,'Q1 Data'!$AE$4:$AE$207)+SUMIF('Q2 Data'!$D$4:$D$207,D179,'Q2 Data'!$AD$4:$AD$207)+SUMIF('Q2 Data'!$D$4:$D$207,D179,'Q2 Data'!$AG$4:$AG$207)+SUMIF('Q2 Data'!$D$4:$D$207,D179,'Q2 Data'!$AE$4:$AE$207)+SUMIF('Q3 Data'!$D$4:$D$207,D179,'Q3 Data'!$AD$4:$AD$207)+SUMIF('Q3 Data'!$D$4:$D$207,D179,'Q3 Data'!$AG$4:$AG$207)+SUMIF('Q3 Data'!$D$4:$D$207,D179,'Q3 Data'!$AE$4:$AE$207)+SUMIF('Q4 Data'!$D$4:$D$207,D179,'Q4 Data'!$AD$4:$AD$207)+SUMIF('Q4 Data'!$D$4:$D$207,D179,'Q4 Data'!$AG$4:$AG$207)+SUMIF('Q4 Data'!$D$4:$D$207,D179,'Q4 Data'!$AE$4:$AE$207))</f>
      </c>
      <c r="AO179" s="27">
        <f>IF($B179&lt;&gt;"Challan","",P179-N179)</f>
      </c>
      <c r="AP179" s="27">
        <f>IF($B179&lt;&gt;"Challan","",MAX(0,AO179-AN179))</f>
      </c>
      <c r="AQ179" s="33">
        <f>IF($B179&lt;&gt;"Entry","",SUMPRODUCT(('Q1 Data'!$D$4:$D$207=D179)*('Q1 Data'!$B$4:$B$207="Challan")*'Q1 Data'!$F$4:$F$207)+SUMPRODUCT(('Q2 Data'!$D$4:$D$207=D179)*('Q2 Data'!$B$4:$B$207="Challan")*'Q2 Data'!$F$4:$F$207)+SUMPRODUCT(('Q3 Data'!$D$4:$D$207=D179)*('Q3 Data'!$B$4:$B$207="Challan")*'Q3 Data'!$F$4:$F$207)+SUMPRODUCT(('Q4 Data'!$D$4:$D$207=D179)*('Q4 Data'!$B$4:$B$207="Challan")*'Q4 Data'!$F$4:$F$207))</f>
      </c>
      <c r="AR179" s="34">
        <f>IF(OR($B179&lt;&gt;"Entry",Z179=""),FALSE,AND((SUMPRODUCT(('Q1 Data'!$D$4:$D$207=D179)*('Q1 Data'!$B$4:$B$207="Challan")*('Q1 Data'!$H$4:$H$207&lt;&gt;""))+SUMPRODUCT(('Q2 Data'!$D$4:$D$207=D179)*('Q2 Data'!$B$4:$B$207="Challan")*('Q2 Data'!$H$4:$H$207&lt;&gt;""))+SUMPRODUCT(('Q3 Data'!$D$4:$D$207=D179)*('Q3 Data'!$B$4:$B$207="Challan")*('Q3 Data'!$H$4:$H$207&lt;&gt;""))+SUMPRODUCT(('Q4 Data'!$D$4:$D$207=D179)*('Q4 Data'!$B$4:$B$207="Challan")*('Q4 Data'!$H$4:$H$207&lt;&gt;"")))&gt;0,(SUMPRODUCT(('Q1 Data'!$D$4:$D$207=D179)*('Q1 Data'!$B$4:$B$207="Challan")*('Q1 Data'!$H$4:$H$207=Z179))+SUMPRODUCT(('Q2 Data'!$D$4:$D$207=D179)*('Q2 Data'!$B$4:$B$207="Challan")*('Q2 Data'!$H$4:$H$207=Z179))+SUMPRODUCT(('Q3 Data'!$D$4:$D$207=D179)*('Q3 Data'!$B$4:$B$207="Challan")*('Q3 Data'!$H$4:$H$207=Z179))+SUMPRODUCT(('Q4 Data'!$D$4:$D$207=D179)*('Q4 Data'!$B$4:$B$207="Challan")*('Q4 Data'!$H$4:$H$207=Z179)))=0))</f>
      </c>
    </row>
    <row r="180" spans="1:44" x14ac:dyDescent="0.25">
      <c r="A180" s="20">
        <f>IF($B180="Entry",COUNTIF($B$4:$B180,"Entry"),"")</f>
      </c>
      <c r="B180" s="21"/>
      <c r="C180" s="22"/>
      <c r="D180" s="22"/>
      <c r="E180" s="23">
        <f>IF($B180&lt;&gt;"Challan","",IF(ROUND(AN180-AO180,2)&gt;0,"Over-applied",IF(ROUND(AN180-AO180,2)=0,"Fully Utilised","Unconsumed")))</f>
      </c>
      <c r="F180" s="24"/>
      <c r="G180" s="25"/>
      <c r="H180" s="25"/>
      <c r="I180" s="26"/>
      <c r="J180" s="26"/>
      <c r="K180" s="26"/>
      <c r="L180" s="26"/>
      <c r="M180" s="26"/>
      <c r="N180" s="26"/>
      <c r="O180" s="26"/>
      <c r="P180" s="27">
        <f>IF($B180&lt;&gt;"Challan","",I180+J180+K180+L180+M180+N180)</f>
      </c>
      <c r="Q180" s="25"/>
      <c r="R180" s="25"/>
      <c r="S180" s="25"/>
      <c r="T180" s="25"/>
      <c r="U180" s="25"/>
      <c r="V180" s="28"/>
      <c r="W180" s="28"/>
      <c r="X180" s="23">
        <f>IF($B180="Entry",IF(AND(LEN(TRIM(UPPER(W180)))=10,CODE(MID(TRIM(UPPER(W180)),1,1))&gt;=65,CODE(MID(TRIM(UPPER(W180)),1,1))&lt;=90,CODE(MID(TRIM(UPPER(W180)),2,1))&gt;=65,CODE(MID(TRIM(UPPER(W180)),2,1))&lt;=90,CODE(MID(TRIM(UPPER(W180)),3,1))&gt;=65,CODE(MID(TRIM(UPPER(W180)),3,1))&lt;=90,CODE(MID(TRIM(UPPER(W180)),4,1))&gt;=65,CODE(MID(TRIM(UPPER(W180)),4,1))&lt;=90,CODE(MID(TRIM(UPPER(W180)),5,1))&gt;=65,CODE(MID(TRIM(UPPER(W180)),5,1))&lt;=90,CODE(MID(TRIM(UPPER(W180)),10,1))&gt;=65,CODE(MID(TRIM(UPPER(W180)),10,1))&lt;=90,CODE(MID(TRIM(UPPER(W180)),6,1))&gt;=48,CODE(MID(TRIM(UPPER(W180)),6,1))&lt;=57,CODE(MID(TRIM(UPPER(W180)),7,1))&gt;=48,CODE(MID(TRIM(UPPER(W180)),7,1))&lt;=57,CODE(MID(TRIM(UPPER(W180)),8,1))&gt;=48,CODE(MID(TRIM(UPPER(W180)),8,1))&lt;=57,CODE(MID(TRIM(UPPER(W180)),9,1))&gt;=48,CODE(MID(TRIM(UPPER(W180)),9,1))&lt;=57),"N","Y"),IF($B180="Challan","",IF(W180&lt;&gt;"","◄ Set Row Type","")))</f>
      </c>
      <c r="Y180" s="23">
        <f>IF($B180="Entry",IF(LEN(W180)&lt;4,"",IF(UPPER(MID(W180,4,1))="P","Individual",IF(UPPER(MID(W180,4,1))="H","HUF",IF(UPPER(MID(W180,4,1))="C","Company",IF(UPPER(MID(W180,4,1))="F","Firm",IF(UPPER(MID(W180,4,1))="L","LLP",IF(UPPER(MID(W180,4,1))="T","Trust",IF(UPPER(MID(W180,4,1))="A","AOP","")))))))),IF($B180="Challan","",IF(W180&lt;&gt;"","◄ Set Row Type","")))</f>
      </c>
      <c r="Z180" s="28"/>
      <c r="AA180" s="29">
        <f>IF($B180&lt;&gt;"Entry","",IF(Z180="","",IF(X180="Y",SUMPRODUCT(('Rate Lookup'!$A$1:$A$37=Z180)*'Rate Lookup'!$D$1:$D$37),IF(OR(Y180="Individual",Y180="HUF"),SUMPRODUCT(('Rate Lookup'!$A$1:$A$37=Z180)*'Rate Lookup'!$B$1:$B$37),SUMPRODUCT(('Rate Lookup'!$A$1:$A$37=Z180)*'Rate Lookup'!$C$1:$C$37)))))</f>
      </c>
      <c r="AB180" s="30"/>
      <c r="AC180" s="31"/>
      <c r="AD180" s="27">
        <f>IF($B180&lt;&gt;"Entry","",ROUND(AC180*AA180/100,0))</f>
      </c>
      <c r="AE180" s="27">
        <f>IF($B180&lt;&gt;"Entry","",0)</f>
      </c>
      <c r="AF180" s="27">
        <f>IF($B180&lt;&gt;"Entry","",0)</f>
      </c>
      <c r="AG180" s="27">
        <f>IF($B180&lt;&gt;"Entry","",IF(OR(AD180=0,AB180="",AQ180="",AQ180&lt;=0),0,IF(AQ180&lt;=DATE(YEAR(AB180),MONTH(AB180)+1,7),0,ROUND(AD180*0.015*((YEAR(AQ180)-YEAR(AB180))*12+(MONTH(AQ180)-MONTH(AB180))+1),0))))</f>
      </c>
      <c r="AH180" s="27">
        <f>IF($B180&lt;&gt;"Entry","",0)</f>
      </c>
      <c r="AI180" s="28"/>
      <c r="AJ180" s="28"/>
      <c r="AK180" s="32"/>
      <c r="AL180" s="28"/>
      <c r="AM180" s="28"/>
      <c r="AN180" s="27">
        <f>IF($B180&lt;&gt;"Challan","",SUMIF('Q1 Data'!$D$4:$D$207,D180,'Q1 Data'!$AD$4:$AD$207)+SUMIF('Q1 Data'!$D$4:$D$207,D180,'Q1 Data'!$AG$4:$AG$207)+SUMIF('Q1 Data'!$D$4:$D$207,D180,'Q1 Data'!$AE$4:$AE$207)+SUMIF('Q2 Data'!$D$4:$D$207,D180,'Q2 Data'!$AD$4:$AD$207)+SUMIF('Q2 Data'!$D$4:$D$207,D180,'Q2 Data'!$AG$4:$AG$207)+SUMIF('Q2 Data'!$D$4:$D$207,D180,'Q2 Data'!$AE$4:$AE$207)+SUMIF('Q3 Data'!$D$4:$D$207,D180,'Q3 Data'!$AD$4:$AD$207)+SUMIF('Q3 Data'!$D$4:$D$207,D180,'Q3 Data'!$AG$4:$AG$207)+SUMIF('Q3 Data'!$D$4:$D$207,D180,'Q3 Data'!$AE$4:$AE$207)+SUMIF('Q4 Data'!$D$4:$D$207,D180,'Q4 Data'!$AD$4:$AD$207)+SUMIF('Q4 Data'!$D$4:$D$207,D180,'Q4 Data'!$AG$4:$AG$207)+SUMIF('Q4 Data'!$D$4:$D$207,D180,'Q4 Data'!$AE$4:$AE$207))</f>
      </c>
      <c r="AO180" s="27">
        <f>IF($B180&lt;&gt;"Challan","",P180-N180)</f>
      </c>
      <c r="AP180" s="27">
        <f>IF($B180&lt;&gt;"Challan","",MAX(0,AO180-AN180))</f>
      </c>
      <c r="AQ180" s="33">
        <f>IF($B180&lt;&gt;"Entry","",SUMPRODUCT(('Q1 Data'!$D$4:$D$207=D180)*('Q1 Data'!$B$4:$B$207="Challan")*'Q1 Data'!$F$4:$F$207)+SUMPRODUCT(('Q2 Data'!$D$4:$D$207=D180)*('Q2 Data'!$B$4:$B$207="Challan")*'Q2 Data'!$F$4:$F$207)+SUMPRODUCT(('Q3 Data'!$D$4:$D$207=D180)*('Q3 Data'!$B$4:$B$207="Challan")*'Q3 Data'!$F$4:$F$207)+SUMPRODUCT(('Q4 Data'!$D$4:$D$207=D180)*('Q4 Data'!$B$4:$B$207="Challan")*'Q4 Data'!$F$4:$F$207))</f>
      </c>
      <c r="AR180" s="34">
        <f>IF(OR($B180&lt;&gt;"Entry",Z180=""),FALSE,AND((SUMPRODUCT(('Q1 Data'!$D$4:$D$207=D180)*('Q1 Data'!$B$4:$B$207="Challan")*('Q1 Data'!$H$4:$H$207&lt;&gt;""))+SUMPRODUCT(('Q2 Data'!$D$4:$D$207=D180)*('Q2 Data'!$B$4:$B$207="Challan")*('Q2 Data'!$H$4:$H$207&lt;&gt;""))+SUMPRODUCT(('Q3 Data'!$D$4:$D$207=D180)*('Q3 Data'!$B$4:$B$207="Challan")*('Q3 Data'!$H$4:$H$207&lt;&gt;""))+SUMPRODUCT(('Q4 Data'!$D$4:$D$207=D180)*('Q4 Data'!$B$4:$B$207="Challan")*('Q4 Data'!$H$4:$H$207&lt;&gt;"")))&gt;0,(SUMPRODUCT(('Q1 Data'!$D$4:$D$207=D180)*('Q1 Data'!$B$4:$B$207="Challan")*('Q1 Data'!$H$4:$H$207=Z180))+SUMPRODUCT(('Q2 Data'!$D$4:$D$207=D180)*('Q2 Data'!$B$4:$B$207="Challan")*('Q2 Data'!$H$4:$H$207=Z180))+SUMPRODUCT(('Q3 Data'!$D$4:$D$207=D180)*('Q3 Data'!$B$4:$B$207="Challan")*('Q3 Data'!$H$4:$H$207=Z180))+SUMPRODUCT(('Q4 Data'!$D$4:$D$207=D180)*('Q4 Data'!$B$4:$B$207="Challan")*('Q4 Data'!$H$4:$H$207=Z180)))=0))</f>
      </c>
    </row>
    <row r="181" spans="1:44" x14ac:dyDescent="0.25">
      <c r="A181" s="20">
        <f>IF($B181="Entry",COUNTIF($B$4:$B181,"Entry"),"")</f>
      </c>
      <c r="B181" s="21"/>
      <c r="C181" s="22"/>
      <c r="D181" s="22"/>
      <c r="E181" s="23">
        <f>IF($B181&lt;&gt;"Challan","",IF(ROUND(AN181-AO181,2)&gt;0,"Over-applied",IF(ROUND(AN181-AO181,2)=0,"Fully Utilised","Unconsumed")))</f>
      </c>
      <c r="F181" s="24"/>
      <c r="G181" s="25"/>
      <c r="H181" s="25"/>
      <c r="I181" s="26"/>
      <c r="J181" s="26"/>
      <c r="K181" s="26"/>
      <c r="L181" s="26"/>
      <c r="M181" s="26"/>
      <c r="N181" s="26"/>
      <c r="O181" s="26"/>
      <c r="P181" s="27">
        <f>IF($B181&lt;&gt;"Challan","",I181+J181+K181+L181+M181+N181)</f>
      </c>
      <c r="Q181" s="25"/>
      <c r="R181" s="25"/>
      <c r="S181" s="25"/>
      <c r="T181" s="25"/>
      <c r="U181" s="25"/>
      <c r="V181" s="28"/>
      <c r="W181" s="28"/>
      <c r="X181" s="23">
        <f>IF($B181="Entry",IF(AND(LEN(TRIM(UPPER(W181)))=10,CODE(MID(TRIM(UPPER(W181)),1,1))&gt;=65,CODE(MID(TRIM(UPPER(W181)),1,1))&lt;=90,CODE(MID(TRIM(UPPER(W181)),2,1))&gt;=65,CODE(MID(TRIM(UPPER(W181)),2,1))&lt;=90,CODE(MID(TRIM(UPPER(W181)),3,1))&gt;=65,CODE(MID(TRIM(UPPER(W181)),3,1))&lt;=90,CODE(MID(TRIM(UPPER(W181)),4,1))&gt;=65,CODE(MID(TRIM(UPPER(W181)),4,1))&lt;=90,CODE(MID(TRIM(UPPER(W181)),5,1))&gt;=65,CODE(MID(TRIM(UPPER(W181)),5,1))&lt;=90,CODE(MID(TRIM(UPPER(W181)),10,1))&gt;=65,CODE(MID(TRIM(UPPER(W181)),10,1))&lt;=90,CODE(MID(TRIM(UPPER(W181)),6,1))&gt;=48,CODE(MID(TRIM(UPPER(W181)),6,1))&lt;=57,CODE(MID(TRIM(UPPER(W181)),7,1))&gt;=48,CODE(MID(TRIM(UPPER(W181)),7,1))&lt;=57,CODE(MID(TRIM(UPPER(W181)),8,1))&gt;=48,CODE(MID(TRIM(UPPER(W181)),8,1))&lt;=57,CODE(MID(TRIM(UPPER(W181)),9,1))&gt;=48,CODE(MID(TRIM(UPPER(W181)),9,1))&lt;=57),"N","Y"),IF($B181="Challan","",IF(W181&lt;&gt;"","◄ Set Row Type","")))</f>
      </c>
      <c r="Y181" s="23">
        <f>IF($B181="Entry",IF(LEN(W181)&lt;4,"",IF(UPPER(MID(W181,4,1))="P","Individual",IF(UPPER(MID(W181,4,1))="H","HUF",IF(UPPER(MID(W181,4,1))="C","Company",IF(UPPER(MID(W181,4,1))="F","Firm",IF(UPPER(MID(W181,4,1))="L","LLP",IF(UPPER(MID(W181,4,1))="T","Trust",IF(UPPER(MID(W181,4,1))="A","AOP","")))))))),IF($B181="Challan","",IF(W181&lt;&gt;"","◄ Set Row Type","")))</f>
      </c>
      <c r="Z181" s="28"/>
      <c r="AA181" s="29">
        <f>IF($B181&lt;&gt;"Entry","",IF(Z181="","",IF(X181="Y",SUMPRODUCT(('Rate Lookup'!$A$1:$A$37=Z181)*'Rate Lookup'!$D$1:$D$37),IF(OR(Y181="Individual",Y181="HUF"),SUMPRODUCT(('Rate Lookup'!$A$1:$A$37=Z181)*'Rate Lookup'!$B$1:$B$37),SUMPRODUCT(('Rate Lookup'!$A$1:$A$37=Z181)*'Rate Lookup'!$C$1:$C$37)))))</f>
      </c>
      <c r="AB181" s="30"/>
      <c r="AC181" s="31"/>
      <c r="AD181" s="27">
        <f>IF($B181&lt;&gt;"Entry","",ROUND(AC181*AA181/100,0))</f>
      </c>
      <c r="AE181" s="27">
        <f>IF($B181&lt;&gt;"Entry","",0)</f>
      </c>
      <c r="AF181" s="27">
        <f>IF($B181&lt;&gt;"Entry","",0)</f>
      </c>
      <c r="AG181" s="27">
        <f>IF($B181&lt;&gt;"Entry","",IF(OR(AD181=0,AB181="",AQ181="",AQ181&lt;=0),0,IF(AQ181&lt;=DATE(YEAR(AB181),MONTH(AB181)+1,7),0,ROUND(AD181*0.015*((YEAR(AQ181)-YEAR(AB181))*12+(MONTH(AQ181)-MONTH(AB181))+1),0))))</f>
      </c>
      <c r="AH181" s="27">
        <f>IF($B181&lt;&gt;"Entry","",0)</f>
      </c>
      <c r="AI181" s="28"/>
      <c r="AJ181" s="28"/>
      <c r="AK181" s="32"/>
      <c r="AL181" s="28"/>
      <c r="AM181" s="28"/>
      <c r="AN181" s="27">
        <f>IF($B181&lt;&gt;"Challan","",SUMIF('Q1 Data'!$D$4:$D$207,D181,'Q1 Data'!$AD$4:$AD$207)+SUMIF('Q1 Data'!$D$4:$D$207,D181,'Q1 Data'!$AG$4:$AG$207)+SUMIF('Q1 Data'!$D$4:$D$207,D181,'Q1 Data'!$AE$4:$AE$207)+SUMIF('Q2 Data'!$D$4:$D$207,D181,'Q2 Data'!$AD$4:$AD$207)+SUMIF('Q2 Data'!$D$4:$D$207,D181,'Q2 Data'!$AG$4:$AG$207)+SUMIF('Q2 Data'!$D$4:$D$207,D181,'Q2 Data'!$AE$4:$AE$207)+SUMIF('Q3 Data'!$D$4:$D$207,D181,'Q3 Data'!$AD$4:$AD$207)+SUMIF('Q3 Data'!$D$4:$D$207,D181,'Q3 Data'!$AG$4:$AG$207)+SUMIF('Q3 Data'!$D$4:$D$207,D181,'Q3 Data'!$AE$4:$AE$207)+SUMIF('Q4 Data'!$D$4:$D$207,D181,'Q4 Data'!$AD$4:$AD$207)+SUMIF('Q4 Data'!$D$4:$D$207,D181,'Q4 Data'!$AG$4:$AG$207)+SUMIF('Q4 Data'!$D$4:$D$207,D181,'Q4 Data'!$AE$4:$AE$207))</f>
      </c>
      <c r="AO181" s="27">
        <f>IF($B181&lt;&gt;"Challan","",P181-N181)</f>
      </c>
      <c r="AP181" s="27">
        <f>IF($B181&lt;&gt;"Challan","",MAX(0,AO181-AN181))</f>
      </c>
      <c r="AQ181" s="33">
        <f>IF($B181&lt;&gt;"Entry","",SUMPRODUCT(('Q1 Data'!$D$4:$D$207=D181)*('Q1 Data'!$B$4:$B$207="Challan")*'Q1 Data'!$F$4:$F$207)+SUMPRODUCT(('Q2 Data'!$D$4:$D$207=D181)*('Q2 Data'!$B$4:$B$207="Challan")*'Q2 Data'!$F$4:$F$207)+SUMPRODUCT(('Q3 Data'!$D$4:$D$207=D181)*('Q3 Data'!$B$4:$B$207="Challan")*'Q3 Data'!$F$4:$F$207)+SUMPRODUCT(('Q4 Data'!$D$4:$D$207=D181)*('Q4 Data'!$B$4:$B$207="Challan")*'Q4 Data'!$F$4:$F$207))</f>
      </c>
      <c r="AR181" s="34">
        <f>IF(OR($B181&lt;&gt;"Entry",Z181=""),FALSE,AND((SUMPRODUCT(('Q1 Data'!$D$4:$D$207=D181)*('Q1 Data'!$B$4:$B$207="Challan")*('Q1 Data'!$H$4:$H$207&lt;&gt;""))+SUMPRODUCT(('Q2 Data'!$D$4:$D$207=D181)*('Q2 Data'!$B$4:$B$207="Challan")*('Q2 Data'!$H$4:$H$207&lt;&gt;""))+SUMPRODUCT(('Q3 Data'!$D$4:$D$207=D181)*('Q3 Data'!$B$4:$B$207="Challan")*('Q3 Data'!$H$4:$H$207&lt;&gt;""))+SUMPRODUCT(('Q4 Data'!$D$4:$D$207=D181)*('Q4 Data'!$B$4:$B$207="Challan")*('Q4 Data'!$H$4:$H$207&lt;&gt;"")))&gt;0,(SUMPRODUCT(('Q1 Data'!$D$4:$D$207=D181)*('Q1 Data'!$B$4:$B$207="Challan")*('Q1 Data'!$H$4:$H$207=Z181))+SUMPRODUCT(('Q2 Data'!$D$4:$D$207=D181)*('Q2 Data'!$B$4:$B$207="Challan")*('Q2 Data'!$H$4:$H$207=Z181))+SUMPRODUCT(('Q3 Data'!$D$4:$D$207=D181)*('Q3 Data'!$B$4:$B$207="Challan")*('Q3 Data'!$H$4:$H$207=Z181))+SUMPRODUCT(('Q4 Data'!$D$4:$D$207=D181)*('Q4 Data'!$B$4:$B$207="Challan")*('Q4 Data'!$H$4:$H$207=Z181)))=0))</f>
      </c>
    </row>
    <row r="182" spans="1:44" x14ac:dyDescent="0.25">
      <c r="A182" s="20">
        <f>IF($B182="Entry",COUNTIF($B$4:$B182,"Entry"),"")</f>
      </c>
      <c r="B182" s="21"/>
      <c r="C182" s="22"/>
      <c r="D182" s="22"/>
      <c r="E182" s="23">
        <f>IF($B182&lt;&gt;"Challan","",IF(ROUND(AN182-AO182,2)&gt;0,"Over-applied",IF(ROUND(AN182-AO182,2)=0,"Fully Utilised","Unconsumed")))</f>
      </c>
      <c r="F182" s="24"/>
      <c r="G182" s="25"/>
      <c r="H182" s="25"/>
      <c r="I182" s="26"/>
      <c r="J182" s="26"/>
      <c r="K182" s="26"/>
      <c r="L182" s="26"/>
      <c r="M182" s="26"/>
      <c r="N182" s="26"/>
      <c r="O182" s="26"/>
      <c r="P182" s="27">
        <f>IF($B182&lt;&gt;"Challan","",I182+J182+K182+L182+M182+N182)</f>
      </c>
      <c r="Q182" s="25"/>
      <c r="R182" s="25"/>
      <c r="S182" s="25"/>
      <c r="T182" s="25"/>
      <c r="U182" s="25"/>
      <c r="V182" s="28"/>
      <c r="W182" s="28"/>
      <c r="X182" s="23">
        <f>IF($B182="Entry",IF(AND(LEN(TRIM(UPPER(W182)))=10,CODE(MID(TRIM(UPPER(W182)),1,1))&gt;=65,CODE(MID(TRIM(UPPER(W182)),1,1))&lt;=90,CODE(MID(TRIM(UPPER(W182)),2,1))&gt;=65,CODE(MID(TRIM(UPPER(W182)),2,1))&lt;=90,CODE(MID(TRIM(UPPER(W182)),3,1))&gt;=65,CODE(MID(TRIM(UPPER(W182)),3,1))&lt;=90,CODE(MID(TRIM(UPPER(W182)),4,1))&gt;=65,CODE(MID(TRIM(UPPER(W182)),4,1))&lt;=90,CODE(MID(TRIM(UPPER(W182)),5,1))&gt;=65,CODE(MID(TRIM(UPPER(W182)),5,1))&lt;=90,CODE(MID(TRIM(UPPER(W182)),10,1))&gt;=65,CODE(MID(TRIM(UPPER(W182)),10,1))&lt;=90,CODE(MID(TRIM(UPPER(W182)),6,1))&gt;=48,CODE(MID(TRIM(UPPER(W182)),6,1))&lt;=57,CODE(MID(TRIM(UPPER(W182)),7,1))&gt;=48,CODE(MID(TRIM(UPPER(W182)),7,1))&lt;=57,CODE(MID(TRIM(UPPER(W182)),8,1))&gt;=48,CODE(MID(TRIM(UPPER(W182)),8,1))&lt;=57,CODE(MID(TRIM(UPPER(W182)),9,1))&gt;=48,CODE(MID(TRIM(UPPER(W182)),9,1))&lt;=57),"N","Y"),IF($B182="Challan","",IF(W182&lt;&gt;"","◄ Set Row Type","")))</f>
      </c>
      <c r="Y182" s="23">
        <f>IF($B182="Entry",IF(LEN(W182)&lt;4,"",IF(UPPER(MID(W182,4,1))="P","Individual",IF(UPPER(MID(W182,4,1))="H","HUF",IF(UPPER(MID(W182,4,1))="C","Company",IF(UPPER(MID(W182,4,1))="F","Firm",IF(UPPER(MID(W182,4,1))="L","LLP",IF(UPPER(MID(W182,4,1))="T","Trust",IF(UPPER(MID(W182,4,1))="A","AOP","")))))))),IF($B182="Challan","",IF(W182&lt;&gt;"","◄ Set Row Type","")))</f>
      </c>
      <c r="Z182" s="28"/>
      <c r="AA182" s="29">
        <f>IF($B182&lt;&gt;"Entry","",IF(Z182="","",IF(X182="Y",SUMPRODUCT(('Rate Lookup'!$A$1:$A$37=Z182)*'Rate Lookup'!$D$1:$D$37),IF(OR(Y182="Individual",Y182="HUF"),SUMPRODUCT(('Rate Lookup'!$A$1:$A$37=Z182)*'Rate Lookup'!$B$1:$B$37),SUMPRODUCT(('Rate Lookup'!$A$1:$A$37=Z182)*'Rate Lookup'!$C$1:$C$37)))))</f>
      </c>
      <c r="AB182" s="30"/>
      <c r="AC182" s="31"/>
      <c r="AD182" s="27">
        <f>IF($B182&lt;&gt;"Entry","",ROUND(AC182*AA182/100,0))</f>
      </c>
      <c r="AE182" s="27">
        <f>IF($B182&lt;&gt;"Entry","",0)</f>
      </c>
      <c r="AF182" s="27">
        <f>IF($B182&lt;&gt;"Entry","",0)</f>
      </c>
      <c r="AG182" s="27">
        <f>IF($B182&lt;&gt;"Entry","",IF(OR(AD182=0,AB182="",AQ182="",AQ182&lt;=0),0,IF(AQ182&lt;=DATE(YEAR(AB182),MONTH(AB182)+1,7),0,ROUND(AD182*0.015*((YEAR(AQ182)-YEAR(AB182))*12+(MONTH(AQ182)-MONTH(AB182))+1),0))))</f>
      </c>
      <c r="AH182" s="27">
        <f>IF($B182&lt;&gt;"Entry","",0)</f>
      </c>
      <c r="AI182" s="28"/>
      <c r="AJ182" s="28"/>
      <c r="AK182" s="32"/>
      <c r="AL182" s="28"/>
      <c r="AM182" s="28"/>
      <c r="AN182" s="27">
        <f>IF($B182&lt;&gt;"Challan","",SUMIF('Q1 Data'!$D$4:$D$207,D182,'Q1 Data'!$AD$4:$AD$207)+SUMIF('Q1 Data'!$D$4:$D$207,D182,'Q1 Data'!$AG$4:$AG$207)+SUMIF('Q1 Data'!$D$4:$D$207,D182,'Q1 Data'!$AE$4:$AE$207)+SUMIF('Q2 Data'!$D$4:$D$207,D182,'Q2 Data'!$AD$4:$AD$207)+SUMIF('Q2 Data'!$D$4:$D$207,D182,'Q2 Data'!$AG$4:$AG$207)+SUMIF('Q2 Data'!$D$4:$D$207,D182,'Q2 Data'!$AE$4:$AE$207)+SUMIF('Q3 Data'!$D$4:$D$207,D182,'Q3 Data'!$AD$4:$AD$207)+SUMIF('Q3 Data'!$D$4:$D$207,D182,'Q3 Data'!$AG$4:$AG$207)+SUMIF('Q3 Data'!$D$4:$D$207,D182,'Q3 Data'!$AE$4:$AE$207)+SUMIF('Q4 Data'!$D$4:$D$207,D182,'Q4 Data'!$AD$4:$AD$207)+SUMIF('Q4 Data'!$D$4:$D$207,D182,'Q4 Data'!$AG$4:$AG$207)+SUMIF('Q4 Data'!$D$4:$D$207,D182,'Q4 Data'!$AE$4:$AE$207))</f>
      </c>
      <c r="AO182" s="27">
        <f>IF($B182&lt;&gt;"Challan","",P182-N182)</f>
      </c>
      <c r="AP182" s="27">
        <f>IF($B182&lt;&gt;"Challan","",MAX(0,AO182-AN182))</f>
      </c>
      <c r="AQ182" s="33">
        <f>IF($B182&lt;&gt;"Entry","",SUMPRODUCT(('Q1 Data'!$D$4:$D$207=D182)*('Q1 Data'!$B$4:$B$207="Challan")*'Q1 Data'!$F$4:$F$207)+SUMPRODUCT(('Q2 Data'!$D$4:$D$207=D182)*('Q2 Data'!$B$4:$B$207="Challan")*'Q2 Data'!$F$4:$F$207)+SUMPRODUCT(('Q3 Data'!$D$4:$D$207=D182)*('Q3 Data'!$B$4:$B$207="Challan")*'Q3 Data'!$F$4:$F$207)+SUMPRODUCT(('Q4 Data'!$D$4:$D$207=D182)*('Q4 Data'!$B$4:$B$207="Challan")*'Q4 Data'!$F$4:$F$207))</f>
      </c>
      <c r="AR182" s="34">
        <f>IF(OR($B182&lt;&gt;"Entry",Z182=""),FALSE,AND((SUMPRODUCT(('Q1 Data'!$D$4:$D$207=D182)*('Q1 Data'!$B$4:$B$207="Challan")*('Q1 Data'!$H$4:$H$207&lt;&gt;""))+SUMPRODUCT(('Q2 Data'!$D$4:$D$207=D182)*('Q2 Data'!$B$4:$B$207="Challan")*('Q2 Data'!$H$4:$H$207&lt;&gt;""))+SUMPRODUCT(('Q3 Data'!$D$4:$D$207=D182)*('Q3 Data'!$B$4:$B$207="Challan")*('Q3 Data'!$H$4:$H$207&lt;&gt;""))+SUMPRODUCT(('Q4 Data'!$D$4:$D$207=D182)*('Q4 Data'!$B$4:$B$207="Challan")*('Q4 Data'!$H$4:$H$207&lt;&gt;"")))&gt;0,(SUMPRODUCT(('Q1 Data'!$D$4:$D$207=D182)*('Q1 Data'!$B$4:$B$207="Challan")*('Q1 Data'!$H$4:$H$207=Z182))+SUMPRODUCT(('Q2 Data'!$D$4:$D$207=D182)*('Q2 Data'!$B$4:$B$207="Challan")*('Q2 Data'!$H$4:$H$207=Z182))+SUMPRODUCT(('Q3 Data'!$D$4:$D$207=D182)*('Q3 Data'!$B$4:$B$207="Challan")*('Q3 Data'!$H$4:$H$207=Z182))+SUMPRODUCT(('Q4 Data'!$D$4:$D$207=D182)*('Q4 Data'!$B$4:$B$207="Challan")*('Q4 Data'!$H$4:$H$207=Z182)))=0))</f>
      </c>
    </row>
    <row r="183" spans="1:44" x14ac:dyDescent="0.25">
      <c r="A183" s="20">
        <f>IF($B183="Entry",COUNTIF($B$4:$B183,"Entry"),"")</f>
      </c>
      <c r="B183" s="21"/>
      <c r="C183" s="22"/>
      <c r="D183" s="22"/>
      <c r="E183" s="23">
        <f>IF($B183&lt;&gt;"Challan","",IF(ROUND(AN183-AO183,2)&gt;0,"Over-applied",IF(ROUND(AN183-AO183,2)=0,"Fully Utilised","Unconsumed")))</f>
      </c>
      <c r="F183" s="24"/>
      <c r="G183" s="25"/>
      <c r="H183" s="25"/>
      <c r="I183" s="26"/>
      <c r="J183" s="26"/>
      <c r="K183" s="26"/>
      <c r="L183" s="26"/>
      <c r="M183" s="26"/>
      <c r="N183" s="26"/>
      <c r="O183" s="26"/>
      <c r="P183" s="27">
        <f>IF($B183&lt;&gt;"Challan","",I183+J183+K183+L183+M183+N183)</f>
      </c>
      <c r="Q183" s="25"/>
      <c r="R183" s="25"/>
      <c r="S183" s="25"/>
      <c r="T183" s="25"/>
      <c r="U183" s="25"/>
      <c r="V183" s="28"/>
      <c r="W183" s="28"/>
      <c r="X183" s="23">
        <f>IF($B183="Entry",IF(AND(LEN(TRIM(UPPER(W183)))=10,CODE(MID(TRIM(UPPER(W183)),1,1))&gt;=65,CODE(MID(TRIM(UPPER(W183)),1,1))&lt;=90,CODE(MID(TRIM(UPPER(W183)),2,1))&gt;=65,CODE(MID(TRIM(UPPER(W183)),2,1))&lt;=90,CODE(MID(TRIM(UPPER(W183)),3,1))&gt;=65,CODE(MID(TRIM(UPPER(W183)),3,1))&lt;=90,CODE(MID(TRIM(UPPER(W183)),4,1))&gt;=65,CODE(MID(TRIM(UPPER(W183)),4,1))&lt;=90,CODE(MID(TRIM(UPPER(W183)),5,1))&gt;=65,CODE(MID(TRIM(UPPER(W183)),5,1))&lt;=90,CODE(MID(TRIM(UPPER(W183)),10,1))&gt;=65,CODE(MID(TRIM(UPPER(W183)),10,1))&lt;=90,CODE(MID(TRIM(UPPER(W183)),6,1))&gt;=48,CODE(MID(TRIM(UPPER(W183)),6,1))&lt;=57,CODE(MID(TRIM(UPPER(W183)),7,1))&gt;=48,CODE(MID(TRIM(UPPER(W183)),7,1))&lt;=57,CODE(MID(TRIM(UPPER(W183)),8,1))&gt;=48,CODE(MID(TRIM(UPPER(W183)),8,1))&lt;=57,CODE(MID(TRIM(UPPER(W183)),9,1))&gt;=48,CODE(MID(TRIM(UPPER(W183)),9,1))&lt;=57),"N","Y"),IF($B183="Challan","",IF(W183&lt;&gt;"","◄ Set Row Type","")))</f>
      </c>
      <c r="Y183" s="23">
        <f>IF($B183="Entry",IF(LEN(W183)&lt;4,"",IF(UPPER(MID(W183,4,1))="P","Individual",IF(UPPER(MID(W183,4,1))="H","HUF",IF(UPPER(MID(W183,4,1))="C","Company",IF(UPPER(MID(W183,4,1))="F","Firm",IF(UPPER(MID(W183,4,1))="L","LLP",IF(UPPER(MID(W183,4,1))="T","Trust",IF(UPPER(MID(W183,4,1))="A","AOP","")))))))),IF($B183="Challan","",IF(W183&lt;&gt;"","◄ Set Row Type","")))</f>
      </c>
      <c r="Z183" s="28"/>
      <c r="AA183" s="29">
        <f>IF($B183&lt;&gt;"Entry","",IF(Z183="","",IF(X183="Y",SUMPRODUCT(('Rate Lookup'!$A$1:$A$37=Z183)*'Rate Lookup'!$D$1:$D$37),IF(OR(Y183="Individual",Y183="HUF"),SUMPRODUCT(('Rate Lookup'!$A$1:$A$37=Z183)*'Rate Lookup'!$B$1:$B$37),SUMPRODUCT(('Rate Lookup'!$A$1:$A$37=Z183)*'Rate Lookup'!$C$1:$C$37)))))</f>
      </c>
      <c r="AB183" s="30"/>
      <c r="AC183" s="31"/>
      <c r="AD183" s="27">
        <f>IF($B183&lt;&gt;"Entry","",ROUND(AC183*AA183/100,0))</f>
      </c>
      <c r="AE183" s="27">
        <f>IF($B183&lt;&gt;"Entry","",0)</f>
      </c>
      <c r="AF183" s="27">
        <f>IF($B183&lt;&gt;"Entry","",0)</f>
      </c>
      <c r="AG183" s="27">
        <f>IF($B183&lt;&gt;"Entry","",IF(OR(AD183=0,AB183="",AQ183="",AQ183&lt;=0),0,IF(AQ183&lt;=DATE(YEAR(AB183),MONTH(AB183)+1,7),0,ROUND(AD183*0.015*((YEAR(AQ183)-YEAR(AB183))*12+(MONTH(AQ183)-MONTH(AB183))+1),0))))</f>
      </c>
      <c r="AH183" s="27">
        <f>IF($B183&lt;&gt;"Entry","",0)</f>
      </c>
      <c r="AI183" s="28"/>
      <c r="AJ183" s="28"/>
      <c r="AK183" s="32"/>
      <c r="AL183" s="28"/>
      <c r="AM183" s="28"/>
      <c r="AN183" s="27">
        <f>IF($B183&lt;&gt;"Challan","",SUMIF('Q1 Data'!$D$4:$D$207,D183,'Q1 Data'!$AD$4:$AD$207)+SUMIF('Q1 Data'!$D$4:$D$207,D183,'Q1 Data'!$AG$4:$AG$207)+SUMIF('Q1 Data'!$D$4:$D$207,D183,'Q1 Data'!$AE$4:$AE$207)+SUMIF('Q2 Data'!$D$4:$D$207,D183,'Q2 Data'!$AD$4:$AD$207)+SUMIF('Q2 Data'!$D$4:$D$207,D183,'Q2 Data'!$AG$4:$AG$207)+SUMIF('Q2 Data'!$D$4:$D$207,D183,'Q2 Data'!$AE$4:$AE$207)+SUMIF('Q3 Data'!$D$4:$D$207,D183,'Q3 Data'!$AD$4:$AD$207)+SUMIF('Q3 Data'!$D$4:$D$207,D183,'Q3 Data'!$AG$4:$AG$207)+SUMIF('Q3 Data'!$D$4:$D$207,D183,'Q3 Data'!$AE$4:$AE$207)+SUMIF('Q4 Data'!$D$4:$D$207,D183,'Q4 Data'!$AD$4:$AD$207)+SUMIF('Q4 Data'!$D$4:$D$207,D183,'Q4 Data'!$AG$4:$AG$207)+SUMIF('Q4 Data'!$D$4:$D$207,D183,'Q4 Data'!$AE$4:$AE$207))</f>
      </c>
      <c r="AO183" s="27">
        <f>IF($B183&lt;&gt;"Challan","",P183-N183)</f>
      </c>
      <c r="AP183" s="27">
        <f>IF($B183&lt;&gt;"Challan","",MAX(0,AO183-AN183))</f>
      </c>
      <c r="AQ183" s="33">
        <f>IF($B183&lt;&gt;"Entry","",SUMPRODUCT(('Q1 Data'!$D$4:$D$207=D183)*('Q1 Data'!$B$4:$B$207="Challan")*'Q1 Data'!$F$4:$F$207)+SUMPRODUCT(('Q2 Data'!$D$4:$D$207=D183)*('Q2 Data'!$B$4:$B$207="Challan")*'Q2 Data'!$F$4:$F$207)+SUMPRODUCT(('Q3 Data'!$D$4:$D$207=D183)*('Q3 Data'!$B$4:$B$207="Challan")*'Q3 Data'!$F$4:$F$207)+SUMPRODUCT(('Q4 Data'!$D$4:$D$207=D183)*('Q4 Data'!$B$4:$B$207="Challan")*'Q4 Data'!$F$4:$F$207))</f>
      </c>
      <c r="AR183" s="34">
        <f>IF(OR($B183&lt;&gt;"Entry",Z183=""),FALSE,AND((SUMPRODUCT(('Q1 Data'!$D$4:$D$207=D183)*('Q1 Data'!$B$4:$B$207="Challan")*('Q1 Data'!$H$4:$H$207&lt;&gt;""))+SUMPRODUCT(('Q2 Data'!$D$4:$D$207=D183)*('Q2 Data'!$B$4:$B$207="Challan")*('Q2 Data'!$H$4:$H$207&lt;&gt;""))+SUMPRODUCT(('Q3 Data'!$D$4:$D$207=D183)*('Q3 Data'!$B$4:$B$207="Challan")*('Q3 Data'!$H$4:$H$207&lt;&gt;""))+SUMPRODUCT(('Q4 Data'!$D$4:$D$207=D183)*('Q4 Data'!$B$4:$B$207="Challan")*('Q4 Data'!$H$4:$H$207&lt;&gt;"")))&gt;0,(SUMPRODUCT(('Q1 Data'!$D$4:$D$207=D183)*('Q1 Data'!$B$4:$B$207="Challan")*('Q1 Data'!$H$4:$H$207=Z183))+SUMPRODUCT(('Q2 Data'!$D$4:$D$207=D183)*('Q2 Data'!$B$4:$B$207="Challan")*('Q2 Data'!$H$4:$H$207=Z183))+SUMPRODUCT(('Q3 Data'!$D$4:$D$207=D183)*('Q3 Data'!$B$4:$B$207="Challan")*('Q3 Data'!$H$4:$H$207=Z183))+SUMPRODUCT(('Q4 Data'!$D$4:$D$207=D183)*('Q4 Data'!$B$4:$B$207="Challan")*('Q4 Data'!$H$4:$H$207=Z183)))=0))</f>
      </c>
    </row>
    <row r="184" spans="1:44" x14ac:dyDescent="0.25">
      <c r="A184" s="20">
        <f>IF($B184="Entry",COUNTIF($B$4:$B184,"Entry"),"")</f>
      </c>
      <c r="B184" s="21"/>
      <c r="C184" s="22"/>
      <c r="D184" s="22"/>
      <c r="E184" s="23">
        <f>IF($B184&lt;&gt;"Challan","",IF(ROUND(AN184-AO184,2)&gt;0,"Over-applied",IF(ROUND(AN184-AO184,2)=0,"Fully Utilised","Unconsumed")))</f>
      </c>
      <c r="F184" s="24"/>
      <c r="G184" s="25"/>
      <c r="H184" s="25"/>
      <c r="I184" s="26"/>
      <c r="J184" s="26"/>
      <c r="K184" s="26"/>
      <c r="L184" s="26"/>
      <c r="M184" s="26"/>
      <c r="N184" s="26"/>
      <c r="O184" s="26"/>
      <c r="P184" s="27">
        <f>IF($B184&lt;&gt;"Challan","",I184+J184+K184+L184+M184+N184)</f>
      </c>
      <c r="Q184" s="25"/>
      <c r="R184" s="25"/>
      <c r="S184" s="25"/>
      <c r="T184" s="25"/>
      <c r="U184" s="25"/>
      <c r="V184" s="28"/>
      <c r="W184" s="28"/>
      <c r="X184" s="23">
        <f>IF($B184="Entry",IF(AND(LEN(TRIM(UPPER(W184)))=10,CODE(MID(TRIM(UPPER(W184)),1,1))&gt;=65,CODE(MID(TRIM(UPPER(W184)),1,1))&lt;=90,CODE(MID(TRIM(UPPER(W184)),2,1))&gt;=65,CODE(MID(TRIM(UPPER(W184)),2,1))&lt;=90,CODE(MID(TRIM(UPPER(W184)),3,1))&gt;=65,CODE(MID(TRIM(UPPER(W184)),3,1))&lt;=90,CODE(MID(TRIM(UPPER(W184)),4,1))&gt;=65,CODE(MID(TRIM(UPPER(W184)),4,1))&lt;=90,CODE(MID(TRIM(UPPER(W184)),5,1))&gt;=65,CODE(MID(TRIM(UPPER(W184)),5,1))&lt;=90,CODE(MID(TRIM(UPPER(W184)),10,1))&gt;=65,CODE(MID(TRIM(UPPER(W184)),10,1))&lt;=90,CODE(MID(TRIM(UPPER(W184)),6,1))&gt;=48,CODE(MID(TRIM(UPPER(W184)),6,1))&lt;=57,CODE(MID(TRIM(UPPER(W184)),7,1))&gt;=48,CODE(MID(TRIM(UPPER(W184)),7,1))&lt;=57,CODE(MID(TRIM(UPPER(W184)),8,1))&gt;=48,CODE(MID(TRIM(UPPER(W184)),8,1))&lt;=57,CODE(MID(TRIM(UPPER(W184)),9,1))&gt;=48,CODE(MID(TRIM(UPPER(W184)),9,1))&lt;=57),"N","Y"),IF($B184="Challan","",IF(W184&lt;&gt;"","◄ Set Row Type","")))</f>
      </c>
      <c r="Y184" s="23">
        <f>IF($B184="Entry",IF(LEN(W184)&lt;4,"",IF(UPPER(MID(W184,4,1))="P","Individual",IF(UPPER(MID(W184,4,1))="H","HUF",IF(UPPER(MID(W184,4,1))="C","Company",IF(UPPER(MID(W184,4,1))="F","Firm",IF(UPPER(MID(W184,4,1))="L","LLP",IF(UPPER(MID(W184,4,1))="T","Trust",IF(UPPER(MID(W184,4,1))="A","AOP","")))))))),IF($B184="Challan","",IF(W184&lt;&gt;"","◄ Set Row Type","")))</f>
      </c>
      <c r="Z184" s="28"/>
      <c r="AA184" s="29">
        <f>IF($B184&lt;&gt;"Entry","",IF(Z184="","",IF(X184="Y",SUMPRODUCT(('Rate Lookup'!$A$1:$A$37=Z184)*'Rate Lookup'!$D$1:$D$37),IF(OR(Y184="Individual",Y184="HUF"),SUMPRODUCT(('Rate Lookup'!$A$1:$A$37=Z184)*'Rate Lookup'!$B$1:$B$37),SUMPRODUCT(('Rate Lookup'!$A$1:$A$37=Z184)*'Rate Lookup'!$C$1:$C$37)))))</f>
      </c>
      <c r="AB184" s="30"/>
      <c r="AC184" s="31"/>
      <c r="AD184" s="27">
        <f>IF($B184&lt;&gt;"Entry","",ROUND(AC184*AA184/100,0))</f>
      </c>
      <c r="AE184" s="27">
        <f>IF($B184&lt;&gt;"Entry","",0)</f>
      </c>
      <c r="AF184" s="27">
        <f>IF($B184&lt;&gt;"Entry","",0)</f>
      </c>
      <c r="AG184" s="27">
        <f>IF($B184&lt;&gt;"Entry","",IF(OR(AD184=0,AB184="",AQ184="",AQ184&lt;=0),0,IF(AQ184&lt;=DATE(YEAR(AB184),MONTH(AB184)+1,7),0,ROUND(AD184*0.015*((YEAR(AQ184)-YEAR(AB184))*12+(MONTH(AQ184)-MONTH(AB184))+1),0))))</f>
      </c>
      <c r="AH184" s="27">
        <f>IF($B184&lt;&gt;"Entry","",0)</f>
      </c>
      <c r="AI184" s="28"/>
      <c r="AJ184" s="28"/>
      <c r="AK184" s="32"/>
      <c r="AL184" s="28"/>
      <c r="AM184" s="28"/>
      <c r="AN184" s="27">
        <f>IF($B184&lt;&gt;"Challan","",SUMIF('Q1 Data'!$D$4:$D$207,D184,'Q1 Data'!$AD$4:$AD$207)+SUMIF('Q1 Data'!$D$4:$D$207,D184,'Q1 Data'!$AG$4:$AG$207)+SUMIF('Q1 Data'!$D$4:$D$207,D184,'Q1 Data'!$AE$4:$AE$207)+SUMIF('Q2 Data'!$D$4:$D$207,D184,'Q2 Data'!$AD$4:$AD$207)+SUMIF('Q2 Data'!$D$4:$D$207,D184,'Q2 Data'!$AG$4:$AG$207)+SUMIF('Q2 Data'!$D$4:$D$207,D184,'Q2 Data'!$AE$4:$AE$207)+SUMIF('Q3 Data'!$D$4:$D$207,D184,'Q3 Data'!$AD$4:$AD$207)+SUMIF('Q3 Data'!$D$4:$D$207,D184,'Q3 Data'!$AG$4:$AG$207)+SUMIF('Q3 Data'!$D$4:$D$207,D184,'Q3 Data'!$AE$4:$AE$207)+SUMIF('Q4 Data'!$D$4:$D$207,D184,'Q4 Data'!$AD$4:$AD$207)+SUMIF('Q4 Data'!$D$4:$D$207,D184,'Q4 Data'!$AG$4:$AG$207)+SUMIF('Q4 Data'!$D$4:$D$207,D184,'Q4 Data'!$AE$4:$AE$207))</f>
      </c>
      <c r="AO184" s="27">
        <f>IF($B184&lt;&gt;"Challan","",P184-N184)</f>
      </c>
      <c r="AP184" s="27">
        <f>IF($B184&lt;&gt;"Challan","",MAX(0,AO184-AN184))</f>
      </c>
      <c r="AQ184" s="33">
        <f>IF($B184&lt;&gt;"Entry","",SUMPRODUCT(('Q1 Data'!$D$4:$D$207=D184)*('Q1 Data'!$B$4:$B$207="Challan")*'Q1 Data'!$F$4:$F$207)+SUMPRODUCT(('Q2 Data'!$D$4:$D$207=D184)*('Q2 Data'!$B$4:$B$207="Challan")*'Q2 Data'!$F$4:$F$207)+SUMPRODUCT(('Q3 Data'!$D$4:$D$207=D184)*('Q3 Data'!$B$4:$B$207="Challan")*'Q3 Data'!$F$4:$F$207)+SUMPRODUCT(('Q4 Data'!$D$4:$D$207=D184)*('Q4 Data'!$B$4:$B$207="Challan")*'Q4 Data'!$F$4:$F$207))</f>
      </c>
      <c r="AR184" s="34">
        <f>IF(OR($B184&lt;&gt;"Entry",Z184=""),FALSE,AND((SUMPRODUCT(('Q1 Data'!$D$4:$D$207=D184)*('Q1 Data'!$B$4:$B$207="Challan")*('Q1 Data'!$H$4:$H$207&lt;&gt;""))+SUMPRODUCT(('Q2 Data'!$D$4:$D$207=D184)*('Q2 Data'!$B$4:$B$207="Challan")*('Q2 Data'!$H$4:$H$207&lt;&gt;""))+SUMPRODUCT(('Q3 Data'!$D$4:$D$207=D184)*('Q3 Data'!$B$4:$B$207="Challan")*('Q3 Data'!$H$4:$H$207&lt;&gt;""))+SUMPRODUCT(('Q4 Data'!$D$4:$D$207=D184)*('Q4 Data'!$B$4:$B$207="Challan")*('Q4 Data'!$H$4:$H$207&lt;&gt;"")))&gt;0,(SUMPRODUCT(('Q1 Data'!$D$4:$D$207=D184)*('Q1 Data'!$B$4:$B$207="Challan")*('Q1 Data'!$H$4:$H$207=Z184))+SUMPRODUCT(('Q2 Data'!$D$4:$D$207=D184)*('Q2 Data'!$B$4:$B$207="Challan")*('Q2 Data'!$H$4:$H$207=Z184))+SUMPRODUCT(('Q3 Data'!$D$4:$D$207=D184)*('Q3 Data'!$B$4:$B$207="Challan")*('Q3 Data'!$H$4:$H$207=Z184))+SUMPRODUCT(('Q4 Data'!$D$4:$D$207=D184)*('Q4 Data'!$B$4:$B$207="Challan")*('Q4 Data'!$H$4:$H$207=Z184)))=0))</f>
      </c>
    </row>
    <row r="185" spans="1:44" x14ac:dyDescent="0.25">
      <c r="A185" s="20">
        <f>IF($B185="Entry",COUNTIF($B$4:$B185,"Entry"),"")</f>
      </c>
      <c r="B185" s="21"/>
      <c r="C185" s="22"/>
      <c r="D185" s="22"/>
      <c r="E185" s="23">
        <f>IF($B185&lt;&gt;"Challan","",IF(ROUND(AN185-AO185,2)&gt;0,"Over-applied",IF(ROUND(AN185-AO185,2)=0,"Fully Utilised","Unconsumed")))</f>
      </c>
      <c r="F185" s="24"/>
      <c r="G185" s="25"/>
      <c r="H185" s="25"/>
      <c r="I185" s="26"/>
      <c r="J185" s="26"/>
      <c r="K185" s="26"/>
      <c r="L185" s="26"/>
      <c r="M185" s="26"/>
      <c r="N185" s="26"/>
      <c r="O185" s="26"/>
      <c r="P185" s="27">
        <f>IF($B185&lt;&gt;"Challan","",I185+J185+K185+L185+M185+N185)</f>
      </c>
      <c r="Q185" s="25"/>
      <c r="R185" s="25"/>
      <c r="S185" s="25"/>
      <c r="T185" s="25"/>
      <c r="U185" s="25"/>
      <c r="V185" s="28"/>
      <c r="W185" s="28"/>
      <c r="X185" s="23">
        <f>IF($B185="Entry",IF(AND(LEN(TRIM(UPPER(W185)))=10,CODE(MID(TRIM(UPPER(W185)),1,1))&gt;=65,CODE(MID(TRIM(UPPER(W185)),1,1))&lt;=90,CODE(MID(TRIM(UPPER(W185)),2,1))&gt;=65,CODE(MID(TRIM(UPPER(W185)),2,1))&lt;=90,CODE(MID(TRIM(UPPER(W185)),3,1))&gt;=65,CODE(MID(TRIM(UPPER(W185)),3,1))&lt;=90,CODE(MID(TRIM(UPPER(W185)),4,1))&gt;=65,CODE(MID(TRIM(UPPER(W185)),4,1))&lt;=90,CODE(MID(TRIM(UPPER(W185)),5,1))&gt;=65,CODE(MID(TRIM(UPPER(W185)),5,1))&lt;=90,CODE(MID(TRIM(UPPER(W185)),10,1))&gt;=65,CODE(MID(TRIM(UPPER(W185)),10,1))&lt;=90,CODE(MID(TRIM(UPPER(W185)),6,1))&gt;=48,CODE(MID(TRIM(UPPER(W185)),6,1))&lt;=57,CODE(MID(TRIM(UPPER(W185)),7,1))&gt;=48,CODE(MID(TRIM(UPPER(W185)),7,1))&lt;=57,CODE(MID(TRIM(UPPER(W185)),8,1))&gt;=48,CODE(MID(TRIM(UPPER(W185)),8,1))&lt;=57,CODE(MID(TRIM(UPPER(W185)),9,1))&gt;=48,CODE(MID(TRIM(UPPER(W185)),9,1))&lt;=57),"N","Y"),IF($B185="Challan","",IF(W185&lt;&gt;"","◄ Set Row Type","")))</f>
      </c>
      <c r="Y185" s="23">
        <f>IF($B185="Entry",IF(LEN(W185)&lt;4,"",IF(UPPER(MID(W185,4,1))="P","Individual",IF(UPPER(MID(W185,4,1))="H","HUF",IF(UPPER(MID(W185,4,1))="C","Company",IF(UPPER(MID(W185,4,1))="F","Firm",IF(UPPER(MID(W185,4,1))="L","LLP",IF(UPPER(MID(W185,4,1))="T","Trust",IF(UPPER(MID(W185,4,1))="A","AOP","")))))))),IF($B185="Challan","",IF(W185&lt;&gt;"","◄ Set Row Type","")))</f>
      </c>
      <c r="Z185" s="28"/>
      <c r="AA185" s="29">
        <f>IF($B185&lt;&gt;"Entry","",IF(Z185="","",IF(X185="Y",SUMPRODUCT(('Rate Lookup'!$A$1:$A$37=Z185)*'Rate Lookup'!$D$1:$D$37),IF(OR(Y185="Individual",Y185="HUF"),SUMPRODUCT(('Rate Lookup'!$A$1:$A$37=Z185)*'Rate Lookup'!$B$1:$B$37),SUMPRODUCT(('Rate Lookup'!$A$1:$A$37=Z185)*'Rate Lookup'!$C$1:$C$37)))))</f>
      </c>
      <c r="AB185" s="30"/>
      <c r="AC185" s="31"/>
      <c r="AD185" s="27">
        <f>IF($B185&lt;&gt;"Entry","",ROUND(AC185*AA185/100,0))</f>
      </c>
      <c r="AE185" s="27">
        <f>IF($B185&lt;&gt;"Entry","",0)</f>
      </c>
      <c r="AF185" s="27">
        <f>IF($B185&lt;&gt;"Entry","",0)</f>
      </c>
      <c r="AG185" s="27">
        <f>IF($B185&lt;&gt;"Entry","",IF(OR(AD185=0,AB185="",AQ185="",AQ185&lt;=0),0,IF(AQ185&lt;=DATE(YEAR(AB185),MONTH(AB185)+1,7),0,ROUND(AD185*0.015*((YEAR(AQ185)-YEAR(AB185))*12+(MONTH(AQ185)-MONTH(AB185))+1),0))))</f>
      </c>
      <c r="AH185" s="27">
        <f>IF($B185&lt;&gt;"Entry","",0)</f>
      </c>
      <c r="AI185" s="28"/>
      <c r="AJ185" s="28"/>
      <c r="AK185" s="32"/>
      <c r="AL185" s="28"/>
      <c r="AM185" s="28"/>
      <c r="AN185" s="27">
        <f>IF($B185&lt;&gt;"Challan","",SUMIF('Q1 Data'!$D$4:$D$207,D185,'Q1 Data'!$AD$4:$AD$207)+SUMIF('Q1 Data'!$D$4:$D$207,D185,'Q1 Data'!$AG$4:$AG$207)+SUMIF('Q1 Data'!$D$4:$D$207,D185,'Q1 Data'!$AE$4:$AE$207)+SUMIF('Q2 Data'!$D$4:$D$207,D185,'Q2 Data'!$AD$4:$AD$207)+SUMIF('Q2 Data'!$D$4:$D$207,D185,'Q2 Data'!$AG$4:$AG$207)+SUMIF('Q2 Data'!$D$4:$D$207,D185,'Q2 Data'!$AE$4:$AE$207)+SUMIF('Q3 Data'!$D$4:$D$207,D185,'Q3 Data'!$AD$4:$AD$207)+SUMIF('Q3 Data'!$D$4:$D$207,D185,'Q3 Data'!$AG$4:$AG$207)+SUMIF('Q3 Data'!$D$4:$D$207,D185,'Q3 Data'!$AE$4:$AE$207)+SUMIF('Q4 Data'!$D$4:$D$207,D185,'Q4 Data'!$AD$4:$AD$207)+SUMIF('Q4 Data'!$D$4:$D$207,D185,'Q4 Data'!$AG$4:$AG$207)+SUMIF('Q4 Data'!$D$4:$D$207,D185,'Q4 Data'!$AE$4:$AE$207))</f>
      </c>
      <c r="AO185" s="27">
        <f>IF($B185&lt;&gt;"Challan","",P185-N185)</f>
      </c>
      <c r="AP185" s="27">
        <f>IF($B185&lt;&gt;"Challan","",MAX(0,AO185-AN185))</f>
      </c>
      <c r="AQ185" s="33">
        <f>IF($B185&lt;&gt;"Entry","",SUMPRODUCT(('Q1 Data'!$D$4:$D$207=D185)*('Q1 Data'!$B$4:$B$207="Challan")*'Q1 Data'!$F$4:$F$207)+SUMPRODUCT(('Q2 Data'!$D$4:$D$207=D185)*('Q2 Data'!$B$4:$B$207="Challan")*'Q2 Data'!$F$4:$F$207)+SUMPRODUCT(('Q3 Data'!$D$4:$D$207=D185)*('Q3 Data'!$B$4:$B$207="Challan")*'Q3 Data'!$F$4:$F$207)+SUMPRODUCT(('Q4 Data'!$D$4:$D$207=D185)*('Q4 Data'!$B$4:$B$207="Challan")*'Q4 Data'!$F$4:$F$207))</f>
      </c>
      <c r="AR185" s="34">
        <f>IF(OR($B185&lt;&gt;"Entry",Z185=""),FALSE,AND((SUMPRODUCT(('Q1 Data'!$D$4:$D$207=D185)*('Q1 Data'!$B$4:$B$207="Challan")*('Q1 Data'!$H$4:$H$207&lt;&gt;""))+SUMPRODUCT(('Q2 Data'!$D$4:$D$207=D185)*('Q2 Data'!$B$4:$B$207="Challan")*('Q2 Data'!$H$4:$H$207&lt;&gt;""))+SUMPRODUCT(('Q3 Data'!$D$4:$D$207=D185)*('Q3 Data'!$B$4:$B$207="Challan")*('Q3 Data'!$H$4:$H$207&lt;&gt;""))+SUMPRODUCT(('Q4 Data'!$D$4:$D$207=D185)*('Q4 Data'!$B$4:$B$207="Challan")*('Q4 Data'!$H$4:$H$207&lt;&gt;"")))&gt;0,(SUMPRODUCT(('Q1 Data'!$D$4:$D$207=D185)*('Q1 Data'!$B$4:$B$207="Challan")*('Q1 Data'!$H$4:$H$207=Z185))+SUMPRODUCT(('Q2 Data'!$D$4:$D$207=D185)*('Q2 Data'!$B$4:$B$207="Challan")*('Q2 Data'!$H$4:$H$207=Z185))+SUMPRODUCT(('Q3 Data'!$D$4:$D$207=D185)*('Q3 Data'!$B$4:$B$207="Challan")*('Q3 Data'!$H$4:$H$207=Z185))+SUMPRODUCT(('Q4 Data'!$D$4:$D$207=D185)*('Q4 Data'!$B$4:$B$207="Challan")*('Q4 Data'!$H$4:$H$207=Z185)))=0))</f>
      </c>
    </row>
    <row r="186" spans="1:44" x14ac:dyDescent="0.25">
      <c r="A186" s="20">
        <f>IF($B186="Entry",COUNTIF($B$4:$B186,"Entry"),"")</f>
      </c>
      <c r="B186" s="21"/>
      <c r="C186" s="22"/>
      <c r="D186" s="22"/>
      <c r="E186" s="23">
        <f>IF($B186&lt;&gt;"Challan","",IF(ROUND(AN186-AO186,2)&gt;0,"Over-applied",IF(ROUND(AN186-AO186,2)=0,"Fully Utilised","Unconsumed")))</f>
      </c>
      <c r="F186" s="24"/>
      <c r="G186" s="25"/>
      <c r="H186" s="25"/>
      <c r="I186" s="26"/>
      <c r="J186" s="26"/>
      <c r="K186" s="26"/>
      <c r="L186" s="26"/>
      <c r="M186" s="26"/>
      <c r="N186" s="26"/>
      <c r="O186" s="26"/>
      <c r="P186" s="27">
        <f>IF($B186&lt;&gt;"Challan","",I186+J186+K186+L186+M186+N186)</f>
      </c>
      <c r="Q186" s="25"/>
      <c r="R186" s="25"/>
      <c r="S186" s="25"/>
      <c r="T186" s="25"/>
      <c r="U186" s="25"/>
      <c r="V186" s="28"/>
      <c r="W186" s="28"/>
      <c r="X186" s="23">
        <f>IF($B186="Entry",IF(AND(LEN(TRIM(UPPER(W186)))=10,CODE(MID(TRIM(UPPER(W186)),1,1))&gt;=65,CODE(MID(TRIM(UPPER(W186)),1,1))&lt;=90,CODE(MID(TRIM(UPPER(W186)),2,1))&gt;=65,CODE(MID(TRIM(UPPER(W186)),2,1))&lt;=90,CODE(MID(TRIM(UPPER(W186)),3,1))&gt;=65,CODE(MID(TRIM(UPPER(W186)),3,1))&lt;=90,CODE(MID(TRIM(UPPER(W186)),4,1))&gt;=65,CODE(MID(TRIM(UPPER(W186)),4,1))&lt;=90,CODE(MID(TRIM(UPPER(W186)),5,1))&gt;=65,CODE(MID(TRIM(UPPER(W186)),5,1))&lt;=90,CODE(MID(TRIM(UPPER(W186)),10,1))&gt;=65,CODE(MID(TRIM(UPPER(W186)),10,1))&lt;=90,CODE(MID(TRIM(UPPER(W186)),6,1))&gt;=48,CODE(MID(TRIM(UPPER(W186)),6,1))&lt;=57,CODE(MID(TRIM(UPPER(W186)),7,1))&gt;=48,CODE(MID(TRIM(UPPER(W186)),7,1))&lt;=57,CODE(MID(TRIM(UPPER(W186)),8,1))&gt;=48,CODE(MID(TRIM(UPPER(W186)),8,1))&lt;=57,CODE(MID(TRIM(UPPER(W186)),9,1))&gt;=48,CODE(MID(TRIM(UPPER(W186)),9,1))&lt;=57),"N","Y"),IF($B186="Challan","",IF(W186&lt;&gt;"","◄ Set Row Type","")))</f>
      </c>
      <c r="Y186" s="23">
        <f>IF($B186="Entry",IF(LEN(W186)&lt;4,"",IF(UPPER(MID(W186,4,1))="P","Individual",IF(UPPER(MID(W186,4,1))="H","HUF",IF(UPPER(MID(W186,4,1))="C","Company",IF(UPPER(MID(W186,4,1))="F","Firm",IF(UPPER(MID(W186,4,1))="L","LLP",IF(UPPER(MID(W186,4,1))="T","Trust",IF(UPPER(MID(W186,4,1))="A","AOP","")))))))),IF($B186="Challan","",IF(W186&lt;&gt;"","◄ Set Row Type","")))</f>
      </c>
      <c r="Z186" s="28"/>
      <c r="AA186" s="29">
        <f>IF($B186&lt;&gt;"Entry","",IF(Z186="","",IF(X186="Y",SUMPRODUCT(('Rate Lookup'!$A$1:$A$37=Z186)*'Rate Lookup'!$D$1:$D$37),IF(OR(Y186="Individual",Y186="HUF"),SUMPRODUCT(('Rate Lookup'!$A$1:$A$37=Z186)*'Rate Lookup'!$B$1:$B$37),SUMPRODUCT(('Rate Lookup'!$A$1:$A$37=Z186)*'Rate Lookup'!$C$1:$C$37)))))</f>
      </c>
      <c r="AB186" s="30"/>
      <c r="AC186" s="31"/>
      <c r="AD186" s="27">
        <f>IF($B186&lt;&gt;"Entry","",ROUND(AC186*AA186/100,0))</f>
      </c>
      <c r="AE186" s="27">
        <f>IF($B186&lt;&gt;"Entry","",0)</f>
      </c>
      <c r="AF186" s="27">
        <f>IF($B186&lt;&gt;"Entry","",0)</f>
      </c>
      <c r="AG186" s="27">
        <f>IF($B186&lt;&gt;"Entry","",IF(OR(AD186=0,AB186="",AQ186="",AQ186&lt;=0),0,IF(AQ186&lt;=DATE(YEAR(AB186),MONTH(AB186)+1,7),0,ROUND(AD186*0.015*((YEAR(AQ186)-YEAR(AB186))*12+(MONTH(AQ186)-MONTH(AB186))+1),0))))</f>
      </c>
      <c r="AH186" s="27">
        <f>IF($B186&lt;&gt;"Entry","",0)</f>
      </c>
      <c r="AI186" s="28"/>
      <c r="AJ186" s="28"/>
      <c r="AK186" s="32"/>
      <c r="AL186" s="28"/>
      <c r="AM186" s="28"/>
      <c r="AN186" s="27">
        <f>IF($B186&lt;&gt;"Challan","",SUMIF('Q1 Data'!$D$4:$D$207,D186,'Q1 Data'!$AD$4:$AD$207)+SUMIF('Q1 Data'!$D$4:$D$207,D186,'Q1 Data'!$AG$4:$AG$207)+SUMIF('Q1 Data'!$D$4:$D$207,D186,'Q1 Data'!$AE$4:$AE$207)+SUMIF('Q2 Data'!$D$4:$D$207,D186,'Q2 Data'!$AD$4:$AD$207)+SUMIF('Q2 Data'!$D$4:$D$207,D186,'Q2 Data'!$AG$4:$AG$207)+SUMIF('Q2 Data'!$D$4:$D$207,D186,'Q2 Data'!$AE$4:$AE$207)+SUMIF('Q3 Data'!$D$4:$D$207,D186,'Q3 Data'!$AD$4:$AD$207)+SUMIF('Q3 Data'!$D$4:$D$207,D186,'Q3 Data'!$AG$4:$AG$207)+SUMIF('Q3 Data'!$D$4:$D$207,D186,'Q3 Data'!$AE$4:$AE$207)+SUMIF('Q4 Data'!$D$4:$D$207,D186,'Q4 Data'!$AD$4:$AD$207)+SUMIF('Q4 Data'!$D$4:$D$207,D186,'Q4 Data'!$AG$4:$AG$207)+SUMIF('Q4 Data'!$D$4:$D$207,D186,'Q4 Data'!$AE$4:$AE$207))</f>
      </c>
      <c r="AO186" s="27">
        <f>IF($B186&lt;&gt;"Challan","",P186-N186)</f>
      </c>
      <c r="AP186" s="27">
        <f>IF($B186&lt;&gt;"Challan","",MAX(0,AO186-AN186))</f>
      </c>
      <c r="AQ186" s="33">
        <f>IF($B186&lt;&gt;"Entry","",SUMPRODUCT(('Q1 Data'!$D$4:$D$207=D186)*('Q1 Data'!$B$4:$B$207="Challan")*'Q1 Data'!$F$4:$F$207)+SUMPRODUCT(('Q2 Data'!$D$4:$D$207=D186)*('Q2 Data'!$B$4:$B$207="Challan")*'Q2 Data'!$F$4:$F$207)+SUMPRODUCT(('Q3 Data'!$D$4:$D$207=D186)*('Q3 Data'!$B$4:$B$207="Challan")*'Q3 Data'!$F$4:$F$207)+SUMPRODUCT(('Q4 Data'!$D$4:$D$207=D186)*('Q4 Data'!$B$4:$B$207="Challan")*'Q4 Data'!$F$4:$F$207))</f>
      </c>
      <c r="AR186" s="34">
        <f>IF(OR($B186&lt;&gt;"Entry",Z186=""),FALSE,AND((SUMPRODUCT(('Q1 Data'!$D$4:$D$207=D186)*('Q1 Data'!$B$4:$B$207="Challan")*('Q1 Data'!$H$4:$H$207&lt;&gt;""))+SUMPRODUCT(('Q2 Data'!$D$4:$D$207=D186)*('Q2 Data'!$B$4:$B$207="Challan")*('Q2 Data'!$H$4:$H$207&lt;&gt;""))+SUMPRODUCT(('Q3 Data'!$D$4:$D$207=D186)*('Q3 Data'!$B$4:$B$207="Challan")*('Q3 Data'!$H$4:$H$207&lt;&gt;""))+SUMPRODUCT(('Q4 Data'!$D$4:$D$207=D186)*('Q4 Data'!$B$4:$B$207="Challan")*('Q4 Data'!$H$4:$H$207&lt;&gt;"")))&gt;0,(SUMPRODUCT(('Q1 Data'!$D$4:$D$207=D186)*('Q1 Data'!$B$4:$B$207="Challan")*('Q1 Data'!$H$4:$H$207=Z186))+SUMPRODUCT(('Q2 Data'!$D$4:$D$207=D186)*('Q2 Data'!$B$4:$B$207="Challan")*('Q2 Data'!$H$4:$H$207=Z186))+SUMPRODUCT(('Q3 Data'!$D$4:$D$207=D186)*('Q3 Data'!$B$4:$B$207="Challan")*('Q3 Data'!$H$4:$H$207=Z186))+SUMPRODUCT(('Q4 Data'!$D$4:$D$207=D186)*('Q4 Data'!$B$4:$B$207="Challan")*('Q4 Data'!$H$4:$H$207=Z186)))=0))</f>
      </c>
    </row>
    <row r="187" spans="1:44" x14ac:dyDescent="0.25">
      <c r="A187" s="20">
        <f>IF($B187="Entry",COUNTIF($B$4:$B187,"Entry"),"")</f>
      </c>
      <c r="B187" s="21"/>
      <c r="C187" s="22"/>
      <c r="D187" s="22"/>
      <c r="E187" s="23">
        <f>IF($B187&lt;&gt;"Challan","",IF(ROUND(AN187-AO187,2)&gt;0,"Over-applied",IF(ROUND(AN187-AO187,2)=0,"Fully Utilised","Unconsumed")))</f>
      </c>
      <c r="F187" s="24"/>
      <c r="G187" s="25"/>
      <c r="H187" s="25"/>
      <c r="I187" s="26"/>
      <c r="J187" s="26"/>
      <c r="K187" s="26"/>
      <c r="L187" s="26"/>
      <c r="M187" s="26"/>
      <c r="N187" s="26"/>
      <c r="O187" s="26"/>
      <c r="P187" s="27">
        <f>IF($B187&lt;&gt;"Challan","",I187+J187+K187+L187+M187+N187)</f>
      </c>
      <c r="Q187" s="25"/>
      <c r="R187" s="25"/>
      <c r="S187" s="25"/>
      <c r="T187" s="25"/>
      <c r="U187" s="25"/>
      <c r="V187" s="28"/>
      <c r="W187" s="28"/>
      <c r="X187" s="23">
        <f>IF($B187="Entry",IF(AND(LEN(TRIM(UPPER(W187)))=10,CODE(MID(TRIM(UPPER(W187)),1,1))&gt;=65,CODE(MID(TRIM(UPPER(W187)),1,1))&lt;=90,CODE(MID(TRIM(UPPER(W187)),2,1))&gt;=65,CODE(MID(TRIM(UPPER(W187)),2,1))&lt;=90,CODE(MID(TRIM(UPPER(W187)),3,1))&gt;=65,CODE(MID(TRIM(UPPER(W187)),3,1))&lt;=90,CODE(MID(TRIM(UPPER(W187)),4,1))&gt;=65,CODE(MID(TRIM(UPPER(W187)),4,1))&lt;=90,CODE(MID(TRIM(UPPER(W187)),5,1))&gt;=65,CODE(MID(TRIM(UPPER(W187)),5,1))&lt;=90,CODE(MID(TRIM(UPPER(W187)),10,1))&gt;=65,CODE(MID(TRIM(UPPER(W187)),10,1))&lt;=90,CODE(MID(TRIM(UPPER(W187)),6,1))&gt;=48,CODE(MID(TRIM(UPPER(W187)),6,1))&lt;=57,CODE(MID(TRIM(UPPER(W187)),7,1))&gt;=48,CODE(MID(TRIM(UPPER(W187)),7,1))&lt;=57,CODE(MID(TRIM(UPPER(W187)),8,1))&gt;=48,CODE(MID(TRIM(UPPER(W187)),8,1))&lt;=57,CODE(MID(TRIM(UPPER(W187)),9,1))&gt;=48,CODE(MID(TRIM(UPPER(W187)),9,1))&lt;=57),"N","Y"),IF($B187="Challan","",IF(W187&lt;&gt;"","◄ Set Row Type","")))</f>
      </c>
      <c r="Y187" s="23">
        <f>IF($B187="Entry",IF(LEN(W187)&lt;4,"",IF(UPPER(MID(W187,4,1))="P","Individual",IF(UPPER(MID(W187,4,1))="H","HUF",IF(UPPER(MID(W187,4,1))="C","Company",IF(UPPER(MID(W187,4,1))="F","Firm",IF(UPPER(MID(W187,4,1))="L","LLP",IF(UPPER(MID(W187,4,1))="T","Trust",IF(UPPER(MID(W187,4,1))="A","AOP","")))))))),IF($B187="Challan","",IF(W187&lt;&gt;"","◄ Set Row Type","")))</f>
      </c>
      <c r="Z187" s="28"/>
      <c r="AA187" s="29">
        <f>IF($B187&lt;&gt;"Entry","",IF(Z187="","",IF(X187="Y",SUMPRODUCT(('Rate Lookup'!$A$1:$A$37=Z187)*'Rate Lookup'!$D$1:$D$37),IF(OR(Y187="Individual",Y187="HUF"),SUMPRODUCT(('Rate Lookup'!$A$1:$A$37=Z187)*'Rate Lookup'!$B$1:$B$37),SUMPRODUCT(('Rate Lookup'!$A$1:$A$37=Z187)*'Rate Lookup'!$C$1:$C$37)))))</f>
      </c>
      <c r="AB187" s="30"/>
      <c r="AC187" s="31"/>
      <c r="AD187" s="27">
        <f>IF($B187&lt;&gt;"Entry","",ROUND(AC187*AA187/100,0))</f>
      </c>
      <c r="AE187" s="27">
        <f>IF($B187&lt;&gt;"Entry","",0)</f>
      </c>
      <c r="AF187" s="27">
        <f>IF($B187&lt;&gt;"Entry","",0)</f>
      </c>
      <c r="AG187" s="27">
        <f>IF($B187&lt;&gt;"Entry","",IF(OR(AD187=0,AB187="",AQ187="",AQ187&lt;=0),0,IF(AQ187&lt;=DATE(YEAR(AB187),MONTH(AB187)+1,7),0,ROUND(AD187*0.015*((YEAR(AQ187)-YEAR(AB187))*12+(MONTH(AQ187)-MONTH(AB187))+1),0))))</f>
      </c>
      <c r="AH187" s="27">
        <f>IF($B187&lt;&gt;"Entry","",0)</f>
      </c>
      <c r="AI187" s="28"/>
      <c r="AJ187" s="28"/>
      <c r="AK187" s="32"/>
      <c r="AL187" s="28"/>
      <c r="AM187" s="28"/>
      <c r="AN187" s="27">
        <f>IF($B187&lt;&gt;"Challan","",SUMIF('Q1 Data'!$D$4:$D$207,D187,'Q1 Data'!$AD$4:$AD$207)+SUMIF('Q1 Data'!$D$4:$D$207,D187,'Q1 Data'!$AG$4:$AG$207)+SUMIF('Q1 Data'!$D$4:$D$207,D187,'Q1 Data'!$AE$4:$AE$207)+SUMIF('Q2 Data'!$D$4:$D$207,D187,'Q2 Data'!$AD$4:$AD$207)+SUMIF('Q2 Data'!$D$4:$D$207,D187,'Q2 Data'!$AG$4:$AG$207)+SUMIF('Q2 Data'!$D$4:$D$207,D187,'Q2 Data'!$AE$4:$AE$207)+SUMIF('Q3 Data'!$D$4:$D$207,D187,'Q3 Data'!$AD$4:$AD$207)+SUMIF('Q3 Data'!$D$4:$D$207,D187,'Q3 Data'!$AG$4:$AG$207)+SUMIF('Q3 Data'!$D$4:$D$207,D187,'Q3 Data'!$AE$4:$AE$207)+SUMIF('Q4 Data'!$D$4:$D$207,D187,'Q4 Data'!$AD$4:$AD$207)+SUMIF('Q4 Data'!$D$4:$D$207,D187,'Q4 Data'!$AG$4:$AG$207)+SUMIF('Q4 Data'!$D$4:$D$207,D187,'Q4 Data'!$AE$4:$AE$207))</f>
      </c>
      <c r="AO187" s="27">
        <f>IF($B187&lt;&gt;"Challan","",P187-N187)</f>
      </c>
      <c r="AP187" s="27">
        <f>IF($B187&lt;&gt;"Challan","",MAX(0,AO187-AN187))</f>
      </c>
      <c r="AQ187" s="33">
        <f>IF($B187&lt;&gt;"Entry","",SUMPRODUCT(('Q1 Data'!$D$4:$D$207=D187)*('Q1 Data'!$B$4:$B$207="Challan")*'Q1 Data'!$F$4:$F$207)+SUMPRODUCT(('Q2 Data'!$D$4:$D$207=D187)*('Q2 Data'!$B$4:$B$207="Challan")*'Q2 Data'!$F$4:$F$207)+SUMPRODUCT(('Q3 Data'!$D$4:$D$207=D187)*('Q3 Data'!$B$4:$B$207="Challan")*'Q3 Data'!$F$4:$F$207)+SUMPRODUCT(('Q4 Data'!$D$4:$D$207=D187)*('Q4 Data'!$B$4:$B$207="Challan")*'Q4 Data'!$F$4:$F$207))</f>
      </c>
      <c r="AR187" s="34">
        <f>IF(OR($B187&lt;&gt;"Entry",Z187=""),FALSE,AND((SUMPRODUCT(('Q1 Data'!$D$4:$D$207=D187)*('Q1 Data'!$B$4:$B$207="Challan")*('Q1 Data'!$H$4:$H$207&lt;&gt;""))+SUMPRODUCT(('Q2 Data'!$D$4:$D$207=D187)*('Q2 Data'!$B$4:$B$207="Challan")*('Q2 Data'!$H$4:$H$207&lt;&gt;""))+SUMPRODUCT(('Q3 Data'!$D$4:$D$207=D187)*('Q3 Data'!$B$4:$B$207="Challan")*('Q3 Data'!$H$4:$H$207&lt;&gt;""))+SUMPRODUCT(('Q4 Data'!$D$4:$D$207=D187)*('Q4 Data'!$B$4:$B$207="Challan")*('Q4 Data'!$H$4:$H$207&lt;&gt;"")))&gt;0,(SUMPRODUCT(('Q1 Data'!$D$4:$D$207=D187)*('Q1 Data'!$B$4:$B$207="Challan")*('Q1 Data'!$H$4:$H$207=Z187))+SUMPRODUCT(('Q2 Data'!$D$4:$D$207=D187)*('Q2 Data'!$B$4:$B$207="Challan")*('Q2 Data'!$H$4:$H$207=Z187))+SUMPRODUCT(('Q3 Data'!$D$4:$D$207=D187)*('Q3 Data'!$B$4:$B$207="Challan")*('Q3 Data'!$H$4:$H$207=Z187))+SUMPRODUCT(('Q4 Data'!$D$4:$D$207=D187)*('Q4 Data'!$B$4:$B$207="Challan")*('Q4 Data'!$H$4:$H$207=Z187)))=0))</f>
      </c>
    </row>
    <row r="188" spans="1:44" x14ac:dyDescent="0.25">
      <c r="A188" s="20">
        <f>IF($B188="Entry",COUNTIF($B$4:$B188,"Entry"),"")</f>
      </c>
      <c r="B188" s="21"/>
      <c r="C188" s="22"/>
      <c r="D188" s="22"/>
      <c r="E188" s="23">
        <f>IF($B188&lt;&gt;"Challan","",IF(ROUND(AN188-AO188,2)&gt;0,"Over-applied",IF(ROUND(AN188-AO188,2)=0,"Fully Utilised","Unconsumed")))</f>
      </c>
      <c r="F188" s="24"/>
      <c r="G188" s="25"/>
      <c r="H188" s="25"/>
      <c r="I188" s="26"/>
      <c r="J188" s="26"/>
      <c r="K188" s="26"/>
      <c r="L188" s="26"/>
      <c r="M188" s="26"/>
      <c r="N188" s="26"/>
      <c r="O188" s="26"/>
      <c r="P188" s="27">
        <f>IF($B188&lt;&gt;"Challan","",I188+J188+K188+L188+M188+N188)</f>
      </c>
      <c r="Q188" s="25"/>
      <c r="R188" s="25"/>
      <c r="S188" s="25"/>
      <c r="T188" s="25"/>
      <c r="U188" s="25"/>
      <c r="V188" s="28"/>
      <c r="W188" s="28"/>
      <c r="X188" s="23">
        <f>IF($B188="Entry",IF(AND(LEN(TRIM(UPPER(W188)))=10,CODE(MID(TRIM(UPPER(W188)),1,1))&gt;=65,CODE(MID(TRIM(UPPER(W188)),1,1))&lt;=90,CODE(MID(TRIM(UPPER(W188)),2,1))&gt;=65,CODE(MID(TRIM(UPPER(W188)),2,1))&lt;=90,CODE(MID(TRIM(UPPER(W188)),3,1))&gt;=65,CODE(MID(TRIM(UPPER(W188)),3,1))&lt;=90,CODE(MID(TRIM(UPPER(W188)),4,1))&gt;=65,CODE(MID(TRIM(UPPER(W188)),4,1))&lt;=90,CODE(MID(TRIM(UPPER(W188)),5,1))&gt;=65,CODE(MID(TRIM(UPPER(W188)),5,1))&lt;=90,CODE(MID(TRIM(UPPER(W188)),10,1))&gt;=65,CODE(MID(TRIM(UPPER(W188)),10,1))&lt;=90,CODE(MID(TRIM(UPPER(W188)),6,1))&gt;=48,CODE(MID(TRIM(UPPER(W188)),6,1))&lt;=57,CODE(MID(TRIM(UPPER(W188)),7,1))&gt;=48,CODE(MID(TRIM(UPPER(W188)),7,1))&lt;=57,CODE(MID(TRIM(UPPER(W188)),8,1))&gt;=48,CODE(MID(TRIM(UPPER(W188)),8,1))&lt;=57,CODE(MID(TRIM(UPPER(W188)),9,1))&gt;=48,CODE(MID(TRIM(UPPER(W188)),9,1))&lt;=57),"N","Y"),IF($B188="Challan","",IF(W188&lt;&gt;"","◄ Set Row Type","")))</f>
      </c>
      <c r="Y188" s="23">
        <f>IF($B188="Entry",IF(LEN(W188)&lt;4,"",IF(UPPER(MID(W188,4,1))="P","Individual",IF(UPPER(MID(W188,4,1))="H","HUF",IF(UPPER(MID(W188,4,1))="C","Company",IF(UPPER(MID(W188,4,1))="F","Firm",IF(UPPER(MID(W188,4,1))="L","LLP",IF(UPPER(MID(W188,4,1))="T","Trust",IF(UPPER(MID(W188,4,1))="A","AOP","")))))))),IF($B188="Challan","",IF(W188&lt;&gt;"","◄ Set Row Type","")))</f>
      </c>
      <c r="Z188" s="28"/>
      <c r="AA188" s="29">
        <f>IF($B188&lt;&gt;"Entry","",IF(Z188="","",IF(X188="Y",SUMPRODUCT(('Rate Lookup'!$A$1:$A$37=Z188)*'Rate Lookup'!$D$1:$D$37),IF(OR(Y188="Individual",Y188="HUF"),SUMPRODUCT(('Rate Lookup'!$A$1:$A$37=Z188)*'Rate Lookup'!$B$1:$B$37),SUMPRODUCT(('Rate Lookup'!$A$1:$A$37=Z188)*'Rate Lookup'!$C$1:$C$37)))))</f>
      </c>
      <c r="AB188" s="30"/>
      <c r="AC188" s="31"/>
      <c r="AD188" s="27">
        <f>IF($B188&lt;&gt;"Entry","",ROUND(AC188*AA188/100,0))</f>
      </c>
      <c r="AE188" s="27">
        <f>IF($B188&lt;&gt;"Entry","",0)</f>
      </c>
      <c r="AF188" s="27">
        <f>IF($B188&lt;&gt;"Entry","",0)</f>
      </c>
      <c r="AG188" s="27">
        <f>IF($B188&lt;&gt;"Entry","",IF(OR(AD188=0,AB188="",AQ188="",AQ188&lt;=0),0,IF(AQ188&lt;=DATE(YEAR(AB188),MONTH(AB188)+1,7),0,ROUND(AD188*0.015*((YEAR(AQ188)-YEAR(AB188))*12+(MONTH(AQ188)-MONTH(AB188))+1),0))))</f>
      </c>
      <c r="AH188" s="27">
        <f>IF($B188&lt;&gt;"Entry","",0)</f>
      </c>
      <c r="AI188" s="28"/>
      <c r="AJ188" s="28"/>
      <c r="AK188" s="32"/>
      <c r="AL188" s="28"/>
      <c r="AM188" s="28"/>
      <c r="AN188" s="27">
        <f>IF($B188&lt;&gt;"Challan","",SUMIF('Q1 Data'!$D$4:$D$207,D188,'Q1 Data'!$AD$4:$AD$207)+SUMIF('Q1 Data'!$D$4:$D$207,D188,'Q1 Data'!$AG$4:$AG$207)+SUMIF('Q1 Data'!$D$4:$D$207,D188,'Q1 Data'!$AE$4:$AE$207)+SUMIF('Q2 Data'!$D$4:$D$207,D188,'Q2 Data'!$AD$4:$AD$207)+SUMIF('Q2 Data'!$D$4:$D$207,D188,'Q2 Data'!$AG$4:$AG$207)+SUMIF('Q2 Data'!$D$4:$D$207,D188,'Q2 Data'!$AE$4:$AE$207)+SUMIF('Q3 Data'!$D$4:$D$207,D188,'Q3 Data'!$AD$4:$AD$207)+SUMIF('Q3 Data'!$D$4:$D$207,D188,'Q3 Data'!$AG$4:$AG$207)+SUMIF('Q3 Data'!$D$4:$D$207,D188,'Q3 Data'!$AE$4:$AE$207)+SUMIF('Q4 Data'!$D$4:$D$207,D188,'Q4 Data'!$AD$4:$AD$207)+SUMIF('Q4 Data'!$D$4:$D$207,D188,'Q4 Data'!$AG$4:$AG$207)+SUMIF('Q4 Data'!$D$4:$D$207,D188,'Q4 Data'!$AE$4:$AE$207))</f>
      </c>
      <c r="AO188" s="27">
        <f>IF($B188&lt;&gt;"Challan","",P188-N188)</f>
      </c>
      <c r="AP188" s="27">
        <f>IF($B188&lt;&gt;"Challan","",MAX(0,AO188-AN188))</f>
      </c>
      <c r="AQ188" s="33">
        <f>IF($B188&lt;&gt;"Entry","",SUMPRODUCT(('Q1 Data'!$D$4:$D$207=D188)*('Q1 Data'!$B$4:$B$207="Challan")*'Q1 Data'!$F$4:$F$207)+SUMPRODUCT(('Q2 Data'!$D$4:$D$207=D188)*('Q2 Data'!$B$4:$B$207="Challan")*'Q2 Data'!$F$4:$F$207)+SUMPRODUCT(('Q3 Data'!$D$4:$D$207=D188)*('Q3 Data'!$B$4:$B$207="Challan")*'Q3 Data'!$F$4:$F$207)+SUMPRODUCT(('Q4 Data'!$D$4:$D$207=D188)*('Q4 Data'!$B$4:$B$207="Challan")*'Q4 Data'!$F$4:$F$207))</f>
      </c>
      <c r="AR188" s="34">
        <f>IF(OR($B188&lt;&gt;"Entry",Z188=""),FALSE,AND((SUMPRODUCT(('Q1 Data'!$D$4:$D$207=D188)*('Q1 Data'!$B$4:$B$207="Challan")*('Q1 Data'!$H$4:$H$207&lt;&gt;""))+SUMPRODUCT(('Q2 Data'!$D$4:$D$207=D188)*('Q2 Data'!$B$4:$B$207="Challan")*('Q2 Data'!$H$4:$H$207&lt;&gt;""))+SUMPRODUCT(('Q3 Data'!$D$4:$D$207=D188)*('Q3 Data'!$B$4:$B$207="Challan")*('Q3 Data'!$H$4:$H$207&lt;&gt;""))+SUMPRODUCT(('Q4 Data'!$D$4:$D$207=D188)*('Q4 Data'!$B$4:$B$207="Challan")*('Q4 Data'!$H$4:$H$207&lt;&gt;"")))&gt;0,(SUMPRODUCT(('Q1 Data'!$D$4:$D$207=D188)*('Q1 Data'!$B$4:$B$207="Challan")*('Q1 Data'!$H$4:$H$207=Z188))+SUMPRODUCT(('Q2 Data'!$D$4:$D$207=D188)*('Q2 Data'!$B$4:$B$207="Challan")*('Q2 Data'!$H$4:$H$207=Z188))+SUMPRODUCT(('Q3 Data'!$D$4:$D$207=D188)*('Q3 Data'!$B$4:$B$207="Challan")*('Q3 Data'!$H$4:$H$207=Z188))+SUMPRODUCT(('Q4 Data'!$D$4:$D$207=D188)*('Q4 Data'!$B$4:$B$207="Challan")*('Q4 Data'!$H$4:$H$207=Z188)))=0))</f>
      </c>
    </row>
    <row r="189" spans="1:44" x14ac:dyDescent="0.25">
      <c r="A189" s="20">
        <f>IF($B189="Entry",COUNTIF($B$4:$B189,"Entry"),"")</f>
      </c>
      <c r="B189" s="21"/>
      <c r="C189" s="22"/>
      <c r="D189" s="22"/>
      <c r="E189" s="23">
        <f>IF($B189&lt;&gt;"Challan","",IF(ROUND(AN189-AO189,2)&gt;0,"Over-applied",IF(ROUND(AN189-AO189,2)=0,"Fully Utilised","Unconsumed")))</f>
      </c>
      <c r="F189" s="24"/>
      <c r="G189" s="25"/>
      <c r="H189" s="25"/>
      <c r="I189" s="26"/>
      <c r="J189" s="26"/>
      <c r="K189" s="26"/>
      <c r="L189" s="26"/>
      <c r="M189" s="26"/>
      <c r="N189" s="26"/>
      <c r="O189" s="26"/>
      <c r="P189" s="27">
        <f>IF($B189&lt;&gt;"Challan","",I189+J189+K189+L189+M189+N189)</f>
      </c>
      <c r="Q189" s="25"/>
      <c r="R189" s="25"/>
      <c r="S189" s="25"/>
      <c r="T189" s="25"/>
      <c r="U189" s="25"/>
      <c r="V189" s="28"/>
      <c r="W189" s="28"/>
      <c r="X189" s="23">
        <f>IF($B189="Entry",IF(AND(LEN(TRIM(UPPER(W189)))=10,CODE(MID(TRIM(UPPER(W189)),1,1))&gt;=65,CODE(MID(TRIM(UPPER(W189)),1,1))&lt;=90,CODE(MID(TRIM(UPPER(W189)),2,1))&gt;=65,CODE(MID(TRIM(UPPER(W189)),2,1))&lt;=90,CODE(MID(TRIM(UPPER(W189)),3,1))&gt;=65,CODE(MID(TRIM(UPPER(W189)),3,1))&lt;=90,CODE(MID(TRIM(UPPER(W189)),4,1))&gt;=65,CODE(MID(TRIM(UPPER(W189)),4,1))&lt;=90,CODE(MID(TRIM(UPPER(W189)),5,1))&gt;=65,CODE(MID(TRIM(UPPER(W189)),5,1))&lt;=90,CODE(MID(TRIM(UPPER(W189)),10,1))&gt;=65,CODE(MID(TRIM(UPPER(W189)),10,1))&lt;=90,CODE(MID(TRIM(UPPER(W189)),6,1))&gt;=48,CODE(MID(TRIM(UPPER(W189)),6,1))&lt;=57,CODE(MID(TRIM(UPPER(W189)),7,1))&gt;=48,CODE(MID(TRIM(UPPER(W189)),7,1))&lt;=57,CODE(MID(TRIM(UPPER(W189)),8,1))&gt;=48,CODE(MID(TRIM(UPPER(W189)),8,1))&lt;=57,CODE(MID(TRIM(UPPER(W189)),9,1))&gt;=48,CODE(MID(TRIM(UPPER(W189)),9,1))&lt;=57),"N","Y"),IF($B189="Challan","",IF(W189&lt;&gt;"","◄ Set Row Type","")))</f>
      </c>
      <c r="Y189" s="23">
        <f>IF($B189="Entry",IF(LEN(W189)&lt;4,"",IF(UPPER(MID(W189,4,1))="P","Individual",IF(UPPER(MID(W189,4,1))="H","HUF",IF(UPPER(MID(W189,4,1))="C","Company",IF(UPPER(MID(W189,4,1))="F","Firm",IF(UPPER(MID(W189,4,1))="L","LLP",IF(UPPER(MID(W189,4,1))="T","Trust",IF(UPPER(MID(W189,4,1))="A","AOP","")))))))),IF($B189="Challan","",IF(W189&lt;&gt;"","◄ Set Row Type","")))</f>
      </c>
      <c r="Z189" s="28"/>
      <c r="AA189" s="29">
        <f>IF($B189&lt;&gt;"Entry","",IF(Z189="","",IF(X189="Y",SUMPRODUCT(('Rate Lookup'!$A$1:$A$37=Z189)*'Rate Lookup'!$D$1:$D$37),IF(OR(Y189="Individual",Y189="HUF"),SUMPRODUCT(('Rate Lookup'!$A$1:$A$37=Z189)*'Rate Lookup'!$B$1:$B$37),SUMPRODUCT(('Rate Lookup'!$A$1:$A$37=Z189)*'Rate Lookup'!$C$1:$C$37)))))</f>
      </c>
      <c r="AB189" s="30"/>
      <c r="AC189" s="31"/>
      <c r="AD189" s="27">
        <f>IF($B189&lt;&gt;"Entry","",ROUND(AC189*AA189/100,0))</f>
      </c>
      <c r="AE189" s="27">
        <f>IF($B189&lt;&gt;"Entry","",0)</f>
      </c>
      <c r="AF189" s="27">
        <f>IF($B189&lt;&gt;"Entry","",0)</f>
      </c>
      <c r="AG189" s="27">
        <f>IF($B189&lt;&gt;"Entry","",IF(OR(AD189=0,AB189="",AQ189="",AQ189&lt;=0),0,IF(AQ189&lt;=DATE(YEAR(AB189),MONTH(AB189)+1,7),0,ROUND(AD189*0.015*((YEAR(AQ189)-YEAR(AB189))*12+(MONTH(AQ189)-MONTH(AB189))+1),0))))</f>
      </c>
      <c r="AH189" s="27">
        <f>IF($B189&lt;&gt;"Entry","",0)</f>
      </c>
      <c r="AI189" s="28"/>
      <c r="AJ189" s="28"/>
      <c r="AK189" s="32"/>
      <c r="AL189" s="28"/>
      <c r="AM189" s="28"/>
      <c r="AN189" s="27">
        <f>IF($B189&lt;&gt;"Challan","",SUMIF('Q1 Data'!$D$4:$D$207,D189,'Q1 Data'!$AD$4:$AD$207)+SUMIF('Q1 Data'!$D$4:$D$207,D189,'Q1 Data'!$AG$4:$AG$207)+SUMIF('Q1 Data'!$D$4:$D$207,D189,'Q1 Data'!$AE$4:$AE$207)+SUMIF('Q2 Data'!$D$4:$D$207,D189,'Q2 Data'!$AD$4:$AD$207)+SUMIF('Q2 Data'!$D$4:$D$207,D189,'Q2 Data'!$AG$4:$AG$207)+SUMIF('Q2 Data'!$D$4:$D$207,D189,'Q2 Data'!$AE$4:$AE$207)+SUMIF('Q3 Data'!$D$4:$D$207,D189,'Q3 Data'!$AD$4:$AD$207)+SUMIF('Q3 Data'!$D$4:$D$207,D189,'Q3 Data'!$AG$4:$AG$207)+SUMIF('Q3 Data'!$D$4:$D$207,D189,'Q3 Data'!$AE$4:$AE$207)+SUMIF('Q4 Data'!$D$4:$D$207,D189,'Q4 Data'!$AD$4:$AD$207)+SUMIF('Q4 Data'!$D$4:$D$207,D189,'Q4 Data'!$AG$4:$AG$207)+SUMIF('Q4 Data'!$D$4:$D$207,D189,'Q4 Data'!$AE$4:$AE$207))</f>
      </c>
      <c r="AO189" s="27">
        <f>IF($B189&lt;&gt;"Challan","",P189-N189)</f>
      </c>
      <c r="AP189" s="27">
        <f>IF($B189&lt;&gt;"Challan","",MAX(0,AO189-AN189))</f>
      </c>
      <c r="AQ189" s="33">
        <f>IF($B189&lt;&gt;"Entry","",SUMPRODUCT(('Q1 Data'!$D$4:$D$207=D189)*('Q1 Data'!$B$4:$B$207="Challan")*'Q1 Data'!$F$4:$F$207)+SUMPRODUCT(('Q2 Data'!$D$4:$D$207=D189)*('Q2 Data'!$B$4:$B$207="Challan")*'Q2 Data'!$F$4:$F$207)+SUMPRODUCT(('Q3 Data'!$D$4:$D$207=D189)*('Q3 Data'!$B$4:$B$207="Challan")*'Q3 Data'!$F$4:$F$207)+SUMPRODUCT(('Q4 Data'!$D$4:$D$207=D189)*('Q4 Data'!$B$4:$B$207="Challan")*'Q4 Data'!$F$4:$F$207))</f>
      </c>
      <c r="AR189" s="34">
        <f>IF(OR($B189&lt;&gt;"Entry",Z189=""),FALSE,AND((SUMPRODUCT(('Q1 Data'!$D$4:$D$207=D189)*('Q1 Data'!$B$4:$B$207="Challan")*('Q1 Data'!$H$4:$H$207&lt;&gt;""))+SUMPRODUCT(('Q2 Data'!$D$4:$D$207=D189)*('Q2 Data'!$B$4:$B$207="Challan")*('Q2 Data'!$H$4:$H$207&lt;&gt;""))+SUMPRODUCT(('Q3 Data'!$D$4:$D$207=D189)*('Q3 Data'!$B$4:$B$207="Challan")*('Q3 Data'!$H$4:$H$207&lt;&gt;""))+SUMPRODUCT(('Q4 Data'!$D$4:$D$207=D189)*('Q4 Data'!$B$4:$B$207="Challan")*('Q4 Data'!$H$4:$H$207&lt;&gt;"")))&gt;0,(SUMPRODUCT(('Q1 Data'!$D$4:$D$207=D189)*('Q1 Data'!$B$4:$B$207="Challan")*('Q1 Data'!$H$4:$H$207=Z189))+SUMPRODUCT(('Q2 Data'!$D$4:$D$207=D189)*('Q2 Data'!$B$4:$B$207="Challan")*('Q2 Data'!$H$4:$H$207=Z189))+SUMPRODUCT(('Q3 Data'!$D$4:$D$207=D189)*('Q3 Data'!$B$4:$B$207="Challan")*('Q3 Data'!$H$4:$H$207=Z189))+SUMPRODUCT(('Q4 Data'!$D$4:$D$207=D189)*('Q4 Data'!$B$4:$B$207="Challan")*('Q4 Data'!$H$4:$H$207=Z189)))=0))</f>
      </c>
    </row>
    <row r="190" spans="1:44" x14ac:dyDescent="0.25">
      <c r="A190" s="20">
        <f>IF($B190="Entry",COUNTIF($B$4:$B190,"Entry"),"")</f>
      </c>
      <c r="B190" s="21"/>
      <c r="C190" s="22"/>
      <c r="D190" s="22"/>
      <c r="E190" s="23">
        <f>IF($B190&lt;&gt;"Challan","",IF(ROUND(AN190-AO190,2)&gt;0,"Over-applied",IF(ROUND(AN190-AO190,2)=0,"Fully Utilised","Unconsumed")))</f>
      </c>
      <c r="F190" s="24"/>
      <c r="G190" s="25"/>
      <c r="H190" s="25"/>
      <c r="I190" s="26"/>
      <c r="J190" s="26"/>
      <c r="K190" s="26"/>
      <c r="L190" s="26"/>
      <c r="M190" s="26"/>
      <c r="N190" s="26"/>
      <c r="O190" s="26"/>
      <c r="P190" s="27">
        <f>IF($B190&lt;&gt;"Challan","",I190+J190+K190+L190+M190+N190)</f>
      </c>
      <c r="Q190" s="25"/>
      <c r="R190" s="25"/>
      <c r="S190" s="25"/>
      <c r="T190" s="25"/>
      <c r="U190" s="25"/>
      <c r="V190" s="28"/>
      <c r="W190" s="28"/>
      <c r="X190" s="23">
        <f>IF($B190="Entry",IF(AND(LEN(TRIM(UPPER(W190)))=10,CODE(MID(TRIM(UPPER(W190)),1,1))&gt;=65,CODE(MID(TRIM(UPPER(W190)),1,1))&lt;=90,CODE(MID(TRIM(UPPER(W190)),2,1))&gt;=65,CODE(MID(TRIM(UPPER(W190)),2,1))&lt;=90,CODE(MID(TRIM(UPPER(W190)),3,1))&gt;=65,CODE(MID(TRIM(UPPER(W190)),3,1))&lt;=90,CODE(MID(TRIM(UPPER(W190)),4,1))&gt;=65,CODE(MID(TRIM(UPPER(W190)),4,1))&lt;=90,CODE(MID(TRIM(UPPER(W190)),5,1))&gt;=65,CODE(MID(TRIM(UPPER(W190)),5,1))&lt;=90,CODE(MID(TRIM(UPPER(W190)),10,1))&gt;=65,CODE(MID(TRIM(UPPER(W190)),10,1))&lt;=90,CODE(MID(TRIM(UPPER(W190)),6,1))&gt;=48,CODE(MID(TRIM(UPPER(W190)),6,1))&lt;=57,CODE(MID(TRIM(UPPER(W190)),7,1))&gt;=48,CODE(MID(TRIM(UPPER(W190)),7,1))&lt;=57,CODE(MID(TRIM(UPPER(W190)),8,1))&gt;=48,CODE(MID(TRIM(UPPER(W190)),8,1))&lt;=57,CODE(MID(TRIM(UPPER(W190)),9,1))&gt;=48,CODE(MID(TRIM(UPPER(W190)),9,1))&lt;=57),"N","Y"),IF($B190="Challan","",IF(W190&lt;&gt;"","◄ Set Row Type","")))</f>
      </c>
      <c r="Y190" s="23">
        <f>IF($B190="Entry",IF(LEN(W190)&lt;4,"",IF(UPPER(MID(W190,4,1))="P","Individual",IF(UPPER(MID(W190,4,1))="H","HUF",IF(UPPER(MID(W190,4,1))="C","Company",IF(UPPER(MID(W190,4,1))="F","Firm",IF(UPPER(MID(W190,4,1))="L","LLP",IF(UPPER(MID(W190,4,1))="T","Trust",IF(UPPER(MID(W190,4,1))="A","AOP","")))))))),IF($B190="Challan","",IF(W190&lt;&gt;"","◄ Set Row Type","")))</f>
      </c>
      <c r="Z190" s="28"/>
      <c r="AA190" s="29">
        <f>IF($B190&lt;&gt;"Entry","",IF(Z190="","",IF(X190="Y",SUMPRODUCT(('Rate Lookup'!$A$1:$A$37=Z190)*'Rate Lookup'!$D$1:$D$37),IF(OR(Y190="Individual",Y190="HUF"),SUMPRODUCT(('Rate Lookup'!$A$1:$A$37=Z190)*'Rate Lookup'!$B$1:$B$37),SUMPRODUCT(('Rate Lookup'!$A$1:$A$37=Z190)*'Rate Lookup'!$C$1:$C$37)))))</f>
      </c>
      <c r="AB190" s="30"/>
      <c r="AC190" s="31"/>
      <c r="AD190" s="27">
        <f>IF($B190&lt;&gt;"Entry","",ROUND(AC190*AA190/100,0))</f>
      </c>
      <c r="AE190" s="27">
        <f>IF($B190&lt;&gt;"Entry","",0)</f>
      </c>
      <c r="AF190" s="27">
        <f>IF($B190&lt;&gt;"Entry","",0)</f>
      </c>
      <c r="AG190" s="27">
        <f>IF($B190&lt;&gt;"Entry","",IF(OR(AD190=0,AB190="",AQ190="",AQ190&lt;=0),0,IF(AQ190&lt;=DATE(YEAR(AB190),MONTH(AB190)+1,7),0,ROUND(AD190*0.015*((YEAR(AQ190)-YEAR(AB190))*12+(MONTH(AQ190)-MONTH(AB190))+1),0))))</f>
      </c>
      <c r="AH190" s="27">
        <f>IF($B190&lt;&gt;"Entry","",0)</f>
      </c>
      <c r="AI190" s="28"/>
      <c r="AJ190" s="28"/>
      <c r="AK190" s="32"/>
      <c r="AL190" s="28"/>
      <c r="AM190" s="28"/>
      <c r="AN190" s="27">
        <f>IF($B190&lt;&gt;"Challan","",SUMIF('Q1 Data'!$D$4:$D$207,D190,'Q1 Data'!$AD$4:$AD$207)+SUMIF('Q1 Data'!$D$4:$D$207,D190,'Q1 Data'!$AG$4:$AG$207)+SUMIF('Q1 Data'!$D$4:$D$207,D190,'Q1 Data'!$AE$4:$AE$207)+SUMIF('Q2 Data'!$D$4:$D$207,D190,'Q2 Data'!$AD$4:$AD$207)+SUMIF('Q2 Data'!$D$4:$D$207,D190,'Q2 Data'!$AG$4:$AG$207)+SUMIF('Q2 Data'!$D$4:$D$207,D190,'Q2 Data'!$AE$4:$AE$207)+SUMIF('Q3 Data'!$D$4:$D$207,D190,'Q3 Data'!$AD$4:$AD$207)+SUMIF('Q3 Data'!$D$4:$D$207,D190,'Q3 Data'!$AG$4:$AG$207)+SUMIF('Q3 Data'!$D$4:$D$207,D190,'Q3 Data'!$AE$4:$AE$207)+SUMIF('Q4 Data'!$D$4:$D$207,D190,'Q4 Data'!$AD$4:$AD$207)+SUMIF('Q4 Data'!$D$4:$D$207,D190,'Q4 Data'!$AG$4:$AG$207)+SUMIF('Q4 Data'!$D$4:$D$207,D190,'Q4 Data'!$AE$4:$AE$207))</f>
      </c>
      <c r="AO190" s="27">
        <f>IF($B190&lt;&gt;"Challan","",P190-N190)</f>
      </c>
      <c r="AP190" s="27">
        <f>IF($B190&lt;&gt;"Challan","",MAX(0,AO190-AN190))</f>
      </c>
      <c r="AQ190" s="33">
        <f>IF($B190&lt;&gt;"Entry","",SUMPRODUCT(('Q1 Data'!$D$4:$D$207=D190)*('Q1 Data'!$B$4:$B$207="Challan")*'Q1 Data'!$F$4:$F$207)+SUMPRODUCT(('Q2 Data'!$D$4:$D$207=D190)*('Q2 Data'!$B$4:$B$207="Challan")*'Q2 Data'!$F$4:$F$207)+SUMPRODUCT(('Q3 Data'!$D$4:$D$207=D190)*('Q3 Data'!$B$4:$B$207="Challan")*'Q3 Data'!$F$4:$F$207)+SUMPRODUCT(('Q4 Data'!$D$4:$D$207=D190)*('Q4 Data'!$B$4:$B$207="Challan")*'Q4 Data'!$F$4:$F$207))</f>
      </c>
      <c r="AR190" s="34">
        <f>IF(OR($B190&lt;&gt;"Entry",Z190=""),FALSE,AND((SUMPRODUCT(('Q1 Data'!$D$4:$D$207=D190)*('Q1 Data'!$B$4:$B$207="Challan")*('Q1 Data'!$H$4:$H$207&lt;&gt;""))+SUMPRODUCT(('Q2 Data'!$D$4:$D$207=D190)*('Q2 Data'!$B$4:$B$207="Challan")*('Q2 Data'!$H$4:$H$207&lt;&gt;""))+SUMPRODUCT(('Q3 Data'!$D$4:$D$207=D190)*('Q3 Data'!$B$4:$B$207="Challan")*('Q3 Data'!$H$4:$H$207&lt;&gt;""))+SUMPRODUCT(('Q4 Data'!$D$4:$D$207=D190)*('Q4 Data'!$B$4:$B$207="Challan")*('Q4 Data'!$H$4:$H$207&lt;&gt;"")))&gt;0,(SUMPRODUCT(('Q1 Data'!$D$4:$D$207=D190)*('Q1 Data'!$B$4:$B$207="Challan")*('Q1 Data'!$H$4:$H$207=Z190))+SUMPRODUCT(('Q2 Data'!$D$4:$D$207=D190)*('Q2 Data'!$B$4:$B$207="Challan")*('Q2 Data'!$H$4:$H$207=Z190))+SUMPRODUCT(('Q3 Data'!$D$4:$D$207=D190)*('Q3 Data'!$B$4:$B$207="Challan")*('Q3 Data'!$H$4:$H$207=Z190))+SUMPRODUCT(('Q4 Data'!$D$4:$D$207=D190)*('Q4 Data'!$B$4:$B$207="Challan")*('Q4 Data'!$H$4:$H$207=Z190)))=0))</f>
      </c>
    </row>
    <row r="191" spans="1:44" x14ac:dyDescent="0.25">
      <c r="A191" s="20">
        <f>IF($B191="Entry",COUNTIF($B$4:$B191,"Entry"),"")</f>
      </c>
      <c r="B191" s="21"/>
      <c r="C191" s="22"/>
      <c r="D191" s="22"/>
      <c r="E191" s="23">
        <f>IF($B191&lt;&gt;"Challan","",IF(ROUND(AN191-AO191,2)&gt;0,"Over-applied",IF(ROUND(AN191-AO191,2)=0,"Fully Utilised","Unconsumed")))</f>
      </c>
      <c r="F191" s="24"/>
      <c r="G191" s="25"/>
      <c r="H191" s="25"/>
      <c r="I191" s="26"/>
      <c r="J191" s="26"/>
      <c r="K191" s="26"/>
      <c r="L191" s="26"/>
      <c r="M191" s="26"/>
      <c r="N191" s="26"/>
      <c r="O191" s="26"/>
      <c r="P191" s="27">
        <f>IF($B191&lt;&gt;"Challan","",I191+J191+K191+L191+M191+N191)</f>
      </c>
      <c r="Q191" s="25"/>
      <c r="R191" s="25"/>
      <c r="S191" s="25"/>
      <c r="T191" s="25"/>
      <c r="U191" s="25"/>
      <c r="V191" s="28"/>
      <c r="W191" s="28"/>
      <c r="X191" s="23">
        <f>IF($B191="Entry",IF(AND(LEN(TRIM(UPPER(W191)))=10,CODE(MID(TRIM(UPPER(W191)),1,1))&gt;=65,CODE(MID(TRIM(UPPER(W191)),1,1))&lt;=90,CODE(MID(TRIM(UPPER(W191)),2,1))&gt;=65,CODE(MID(TRIM(UPPER(W191)),2,1))&lt;=90,CODE(MID(TRIM(UPPER(W191)),3,1))&gt;=65,CODE(MID(TRIM(UPPER(W191)),3,1))&lt;=90,CODE(MID(TRIM(UPPER(W191)),4,1))&gt;=65,CODE(MID(TRIM(UPPER(W191)),4,1))&lt;=90,CODE(MID(TRIM(UPPER(W191)),5,1))&gt;=65,CODE(MID(TRIM(UPPER(W191)),5,1))&lt;=90,CODE(MID(TRIM(UPPER(W191)),10,1))&gt;=65,CODE(MID(TRIM(UPPER(W191)),10,1))&lt;=90,CODE(MID(TRIM(UPPER(W191)),6,1))&gt;=48,CODE(MID(TRIM(UPPER(W191)),6,1))&lt;=57,CODE(MID(TRIM(UPPER(W191)),7,1))&gt;=48,CODE(MID(TRIM(UPPER(W191)),7,1))&lt;=57,CODE(MID(TRIM(UPPER(W191)),8,1))&gt;=48,CODE(MID(TRIM(UPPER(W191)),8,1))&lt;=57,CODE(MID(TRIM(UPPER(W191)),9,1))&gt;=48,CODE(MID(TRIM(UPPER(W191)),9,1))&lt;=57),"N","Y"),IF($B191="Challan","",IF(W191&lt;&gt;"","◄ Set Row Type","")))</f>
      </c>
      <c r="Y191" s="23">
        <f>IF($B191="Entry",IF(LEN(W191)&lt;4,"",IF(UPPER(MID(W191,4,1))="P","Individual",IF(UPPER(MID(W191,4,1))="H","HUF",IF(UPPER(MID(W191,4,1))="C","Company",IF(UPPER(MID(W191,4,1))="F","Firm",IF(UPPER(MID(W191,4,1))="L","LLP",IF(UPPER(MID(W191,4,1))="T","Trust",IF(UPPER(MID(W191,4,1))="A","AOP","")))))))),IF($B191="Challan","",IF(W191&lt;&gt;"","◄ Set Row Type","")))</f>
      </c>
      <c r="Z191" s="28"/>
      <c r="AA191" s="29">
        <f>IF($B191&lt;&gt;"Entry","",IF(Z191="","",IF(X191="Y",SUMPRODUCT(('Rate Lookup'!$A$1:$A$37=Z191)*'Rate Lookup'!$D$1:$D$37),IF(OR(Y191="Individual",Y191="HUF"),SUMPRODUCT(('Rate Lookup'!$A$1:$A$37=Z191)*'Rate Lookup'!$B$1:$B$37),SUMPRODUCT(('Rate Lookup'!$A$1:$A$37=Z191)*'Rate Lookup'!$C$1:$C$37)))))</f>
      </c>
      <c r="AB191" s="30"/>
      <c r="AC191" s="31"/>
      <c r="AD191" s="27">
        <f>IF($B191&lt;&gt;"Entry","",ROUND(AC191*AA191/100,0))</f>
      </c>
      <c r="AE191" s="27">
        <f>IF($B191&lt;&gt;"Entry","",0)</f>
      </c>
      <c r="AF191" s="27">
        <f>IF($B191&lt;&gt;"Entry","",0)</f>
      </c>
      <c r="AG191" s="27">
        <f>IF($B191&lt;&gt;"Entry","",IF(OR(AD191=0,AB191="",AQ191="",AQ191&lt;=0),0,IF(AQ191&lt;=DATE(YEAR(AB191),MONTH(AB191)+1,7),0,ROUND(AD191*0.015*((YEAR(AQ191)-YEAR(AB191))*12+(MONTH(AQ191)-MONTH(AB191))+1),0))))</f>
      </c>
      <c r="AH191" s="27">
        <f>IF($B191&lt;&gt;"Entry","",0)</f>
      </c>
      <c r="AI191" s="28"/>
      <c r="AJ191" s="28"/>
      <c r="AK191" s="32"/>
      <c r="AL191" s="28"/>
      <c r="AM191" s="28"/>
      <c r="AN191" s="27">
        <f>IF($B191&lt;&gt;"Challan","",SUMIF('Q1 Data'!$D$4:$D$207,D191,'Q1 Data'!$AD$4:$AD$207)+SUMIF('Q1 Data'!$D$4:$D$207,D191,'Q1 Data'!$AG$4:$AG$207)+SUMIF('Q1 Data'!$D$4:$D$207,D191,'Q1 Data'!$AE$4:$AE$207)+SUMIF('Q2 Data'!$D$4:$D$207,D191,'Q2 Data'!$AD$4:$AD$207)+SUMIF('Q2 Data'!$D$4:$D$207,D191,'Q2 Data'!$AG$4:$AG$207)+SUMIF('Q2 Data'!$D$4:$D$207,D191,'Q2 Data'!$AE$4:$AE$207)+SUMIF('Q3 Data'!$D$4:$D$207,D191,'Q3 Data'!$AD$4:$AD$207)+SUMIF('Q3 Data'!$D$4:$D$207,D191,'Q3 Data'!$AG$4:$AG$207)+SUMIF('Q3 Data'!$D$4:$D$207,D191,'Q3 Data'!$AE$4:$AE$207)+SUMIF('Q4 Data'!$D$4:$D$207,D191,'Q4 Data'!$AD$4:$AD$207)+SUMIF('Q4 Data'!$D$4:$D$207,D191,'Q4 Data'!$AG$4:$AG$207)+SUMIF('Q4 Data'!$D$4:$D$207,D191,'Q4 Data'!$AE$4:$AE$207))</f>
      </c>
      <c r="AO191" s="27">
        <f>IF($B191&lt;&gt;"Challan","",P191-N191)</f>
      </c>
      <c r="AP191" s="27">
        <f>IF($B191&lt;&gt;"Challan","",MAX(0,AO191-AN191))</f>
      </c>
      <c r="AQ191" s="33">
        <f>IF($B191&lt;&gt;"Entry","",SUMPRODUCT(('Q1 Data'!$D$4:$D$207=D191)*('Q1 Data'!$B$4:$B$207="Challan")*'Q1 Data'!$F$4:$F$207)+SUMPRODUCT(('Q2 Data'!$D$4:$D$207=D191)*('Q2 Data'!$B$4:$B$207="Challan")*'Q2 Data'!$F$4:$F$207)+SUMPRODUCT(('Q3 Data'!$D$4:$D$207=D191)*('Q3 Data'!$B$4:$B$207="Challan")*'Q3 Data'!$F$4:$F$207)+SUMPRODUCT(('Q4 Data'!$D$4:$D$207=D191)*('Q4 Data'!$B$4:$B$207="Challan")*'Q4 Data'!$F$4:$F$207))</f>
      </c>
      <c r="AR191" s="34">
        <f>IF(OR($B191&lt;&gt;"Entry",Z191=""),FALSE,AND((SUMPRODUCT(('Q1 Data'!$D$4:$D$207=D191)*('Q1 Data'!$B$4:$B$207="Challan")*('Q1 Data'!$H$4:$H$207&lt;&gt;""))+SUMPRODUCT(('Q2 Data'!$D$4:$D$207=D191)*('Q2 Data'!$B$4:$B$207="Challan")*('Q2 Data'!$H$4:$H$207&lt;&gt;""))+SUMPRODUCT(('Q3 Data'!$D$4:$D$207=D191)*('Q3 Data'!$B$4:$B$207="Challan")*('Q3 Data'!$H$4:$H$207&lt;&gt;""))+SUMPRODUCT(('Q4 Data'!$D$4:$D$207=D191)*('Q4 Data'!$B$4:$B$207="Challan")*('Q4 Data'!$H$4:$H$207&lt;&gt;"")))&gt;0,(SUMPRODUCT(('Q1 Data'!$D$4:$D$207=D191)*('Q1 Data'!$B$4:$B$207="Challan")*('Q1 Data'!$H$4:$H$207=Z191))+SUMPRODUCT(('Q2 Data'!$D$4:$D$207=D191)*('Q2 Data'!$B$4:$B$207="Challan")*('Q2 Data'!$H$4:$H$207=Z191))+SUMPRODUCT(('Q3 Data'!$D$4:$D$207=D191)*('Q3 Data'!$B$4:$B$207="Challan")*('Q3 Data'!$H$4:$H$207=Z191))+SUMPRODUCT(('Q4 Data'!$D$4:$D$207=D191)*('Q4 Data'!$B$4:$B$207="Challan")*('Q4 Data'!$H$4:$H$207=Z191)))=0))</f>
      </c>
    </row>
    <row r="192" spans="1:44" x14ac:dyDescent="0.25">
      <c r="A192" s="20">
        <f>IF($B192="Entry",COUNTIF($B$4:$B192,"Entry"),"")</f>
      </c>
      <c r="B192" s="21"/>
      <c r="C192" s="22"/>
      <c r="D192" s="22"/>
      <c r="E192" s="23">
        <f>IF($B192&lt;&gt;"Challan","",IF(ROUND(AN192-AO192,2)&gt;0,"Over-applied",IF(ROUND(AN192-AO192,2)=0,"Fully Utilised","Unconsumed")))</f>
      </c>
      <c r="F192" s="24"/>
      <c r="G192" s="25"/>
      <c r="H192" s="25"/>
      <c r="I192" s="26"/>
      <c r="J192" s="26"/>
      <c r="K192" s="26"/>
      <c r="L192" s="26"/>
      <c r="M192" s="26"/>
      <c r="N192" s="26"/>
      <c r="O192" s="26"/>
      <c r="P192" s="27">
        <f>IF($B192&lt;&gt;"Challan","",I192+J192+K192+L192+M192+N192)</f>
      </c>
      <c r="Q192" s="25"/>
      <c r="R192" s="25"/>
      <c r="S192" s="25"/>
      <c r="T192" s="25"/>
      <c r="U192" s="25"/>
      <c r="V192" s="28"/>
      <c r="W192" s="28"/>
      <c r="X192" s="23">
        <f>IF($B192="Entry",IF(AND(LEN(TRIM(UPPER(W192)))=10,CODE(MID(TRIM(UPPER(W192)),1,1))&gt;=65,CODE(MID(TRIM(UPPER(W192)),1,1))&lt;=90,CODE(MID(TRIM(UPPER(W192)),2,1))&gt;=65,CODE(MID(TRIM(UPPER(W192)),2,1))&lt;=90,CODE(MID(TRIM(UPPER(W192)),3,1))&gt;=65,CODE(MID(TRIM(UPPER(W192)),3,1))&lt;=90,CODE(MID(TRIM(UPPER(W192)),4,1))&gt;=65,CODE(MID(TRIM(UPPER(W192)),4,1))&lt;=90,CODE(MID(TRIM(UPPER(W192)),5,1))&gt;=65,CODE(MID(TRIM(UPPER(W192)),5,1))&lt;=90,CODE(MID(TRIM(UPPER(W192)),10,1))&gt;=65,CODE(MID(TRIM(UPPER(W192)),10,1))&lt;=90,CODE(MID(TRIM(UPPER(W192)),6,1))&gt;=48,CODE(MID(TRIM(UPPER(W192)),6,1))&lt;=57,CODE(MID(TRIM(UPPER(W192)),7,1))&gt;=48,CODE(MID(TRIM(UPPER(W192)),7,1))&lt;=57,CODE(MID(TRIM(UPPER(W192)),8,1))&gt;=48,CODE(MID(TRIM(UPPER(W192)),8,1))&lt;=57,CODE(MID(TRIM(UPPER(W192)),9,1))&gt;=48,CODE(MID(TRIM(UPPER(W192)),9,1))&lt;=57),"N","Y"),IF($B192="Challan","",IF(W192&lt;&gt;"","◄ Set Row Type","")))</f>
      </c>
      <c r="Y192" s="23">
        <f>IF($B192="Entry",IF(LEN(W192)&lt;4,"",IF(UPPER(MID(W192,4,1))="P","Individual",IF(UPPER(MID(W192,4,1))="H","HUF",IF(UPPER(MID(W192,4,1))="C","Company",IF(UPPER(MID(W192,4,1))="F","Firm",IF(UPPER(MID(W192,4,1))="L","LLP",IF(UPPER(MID(W192,4,1))="T","Trust",IF(UPPER(MID(W192,4,1))="A","AOP","")))))))),IF($B192="Challan","",IF(W192&lt;&gt;"","◄ Set Row Type","")))</f>
      </c>
      <c r="Z192" s="28"/>
      <c r="AA192" s="29">
        <f>IF($B192&lt;&gt;"Entry","",IF(Z192="","",IF(X192="Y",SUMPRODUCT(('Rate Lookup'!$A$1:$A$37=Z192)*'Rate Lookup'!$D$1:$D$37),IF(OR(Y192="Individual",Y192="HUF"),SUMPRODUCT(('Rate Lookup'!$A$1:$A$37=Z192)*'Rate Lookup'!$B$1:$B$37),SUMPRODUCT(('Rate Lookup'!$A$1:$A$37=Z192)*'Rate Lookup'!$C$1:$C$37)))))</f>
      </c>
      <c r="AB192" s="30"/>
      <c r="AC192" s="31"/>
      <c r="AD192" s="27">
        <f>IF($B192&lt;&gt;"Entry","",ROUND(AC192*AA192/100,0))</f>
      </c>
      <c r="AE192" s="27">
        <f>IF($B192&lt;&gt;"Entry","",0)</f>
      </c>
      <c r="AF192" s="27">
        <f>IF($B192&lt;&gt;"Entry","",0)</f>
      </c>
      <c r="AG192" s="27">
        <f>IF($B192&lt;&gt;"Entry","",IF(OR(AD192=0,AB192="",AQ192="",AQ192&lt;=0),0,IF(AQ192&lt;=DATE(YEAR(AB192),MONTH(AB192)+1,7),0,ROUND(AD192*0.015*((YEAR(AQ192)-YEAR(AB192))*12+(MONTH(AQ192)-MONTH(AB192))+1),0))))</f>
      </c>
      <c r="AH192" s="27">
        <f>IF($B192&lt;&gt;"Entry","",0)</f>
      </c>
      <c r="AI192" s="28"/>
      <c r="AJ192" s="28"/>
      <c r="AK192" s="32"/>
      <c r="AL192" s="28"/>
      <c r="AM192" s="28"/>
      <c r="AN192" s="27">
        <f>IF($B192&lt;&gt;"Challan","",SUMIF('Q1 Data'!$D$4:$D$207,D192,'Q1 Data'!$AD$4:$AD$207)+SUMIF('Q1 Data'!$D$4:$D$207,D192,'Q1 Data'!$AG$4:$AG$207)+SUMIF('Q1 Data'!$D$4:$D$207,D192,'Q1 Data'!$AE$4:$AE$207)+SUMIF('Q2 Data'!$D$4:$D$207,D192,'Q2 Data'!$AD$4:$AD$207)+SUMIF('Q2 Data'!$D$4:$D$207,D192,'Q2 Data'!$AG$4:$AG$207)+SUMIF('Q2 Data'!$D$4:$D$207,D192,'Q2 Data'!$AE$4:$AE$207)+SUMIF('Q3 Data'!$D$4:$D$207,D192,'Q3 Data'!$AD$4:$AD$207)+SUMIF('Q3 Data'!$D$4:$D$207,D192,'Q3 Data'!$AG$4:$AG$207)+SUMIF('Q3 Data'!$D$4:$D$207,D192,'Q3 Data'!$AE$4:$AE$207)+SUMIF('Q4 Data'!$D$4:$D$207,D192,'Q4 Data'!$AD$4:$AD$207)+SUMIF('Q4 Data'!$D$4:$D$207,D192,'Q4 Data'!$AG$4:$AG$207)+SUMIF('Q4 Data'!$D$4:$D$207,D192,'Q4 Data'!$AE$4:$AE$207))</f>
      </c>
      <c r="AO192" s="27">
        <f>IF($B192&lt;&gt;"Challan","",P192-N192)</f>
      </c>
      <c r="AP192" s="27">
        <f>IF($B192&lt;&gt;"Challan","",MAX(0,AO192-AN192))</f>
      </c>
      <c r="AQ192" s="33">
        <f>IF($B192&lt;&gt;"Entry","",SUMPRODUCT(('Q1 Data'!$D$4:$D$207=D192)*('Q1 Data'!$B$4:$B$207="Challan")*'Q1 Data'!$F$4:$F$207)+SUMPRODUCT(('Q2 Data'!$D$4:$D$207=D192)*('Q2 Data'!$B$4:$B$207="Challan")*'Q2 Data'!$F$4:$F$207)+SUMPRODUCT(('Q3 Data'!$D$4:$D$207=D192)*('Q3 Data'!$B$4:$B$207="Challan")*'Q3 Data'!$F$4:$F$207)+SUMPRODUCT(('Q4 Data'!$D$4:$D$207=D192)*('Q4 Data'!$B$4:$B$207="Challan")*'Q4 Data'!$F$4:$F$207))</f>
      </c>
      <c r="AR192" s="34">
        <f>IF(OR($B192&lt;&gt;"Entry",Z192=""),FALSE,AND((SUMPRODUCT(('Q1 Data'!$D$4:$D$207=D192)*('Q1 Data'!$B$4:$B$207="Challan")*('Q1 Data'!$H$4:$H$207&lt;&gt;""))+SUMPRODUCT(('Q2 Data'!$D$4:$D$207=D192)*('Q2 Data'!$B$4:$B$207="Challan")*('Q2 Data'!$H$4:$H$207&lt;&gt;""))+SUMPRODUCT(('Q3 Data'!$D$4:$D$207=D192)*('Q3 Data'!$B$4:$B$207="Challan")*('Q3 Data'!$H$4:$H$207&lt;&gt;""))+SUMPRODUCT(('Q4 Data'!$D$4:$D$207=D192)*('Q4 Data'!$B$4:$B$207="Challan")*('Q4 Data'!$H$4:$H$207&lt;&gt;"")))&gt;0,(SUMPRODUCT(('Q1 Data'!$D$4:$D$207=D192)*('Q1 Data'!$B$4:$B$207="Challan")*('Q1 Data'!$H$4:$H$207=Z192))+SUMPRODUCT(('Q2 Data'!$D$4:$D$207=D192)*('Q2 Data'!$B$4:$B$207="Challan")*('Q2 Data'!$H$4:$H$207=Z192))+SUMPRODUCT(('Q3 Data'!$D$4:$D$207=D192)*('Q3 Data'!$B$4:$B$207="Challan")*('Q3 Data'!$H$4:$H$207=Z192))+SUMPRODUCT(('Q4 Data'!$D$4:$D$207=D192)*('Q4 Data'!$B$4:$B$207="Challan")*('Q4 Data'!$H$4:$H$207=Z192)))=0))</f>
      </c>
    </row>
    <row r="193" spans="1:44" x14ac:dyDescent="0.25">
      <c r="A193" s="20">
        <f>IF($B193="Entry",COUNTIF($B$4:$B193,"Entry"),"")</f>
      </c>
      <c r="B193" s="21"/>
      <c r="C193" s="22"/>
      <c r="D193" s="22"/>
      <c r="E193" s="23">
        <f>IF($B193&lt;&gt;"Challan","",IF(ROUND(AN193-AO193,2)&gt;0,"Over-applied",IF(ROUND(AN193-AO193,2)=0,"Fully Utilised","Unconsumed")))</f>
      </c>
      <c r="F193" s="24"/>
      <c r="G193" s="25"/>
      <c r="H193" s="25"/>
      <c r="I193" s="26"/>
      <c r="J193" s="26"/>
      <c r="K193" s="26"/>
      <c r="L193" s="26"/>
      <c r="M193" s="26"/>
      <c r="N193" s="26"/>
      <c r="O193" s="26"/>
      <c r="P193" s="27">
        <f>IF($B193&lt;&gt;"Challan","",I193+J193+K193+L193+M193+N193)</f>
      </c>
      <c r="Q193" s="25"/>
      <c r="R193" s="25"/>
      <c r="S193" s="25"/>
      <c r="T193" s="25"/>
      <c r="U193" s="25"/>
      <c r="V193" s="28"/>
      <c r="W193" s="28"/>
      <c r="X193" s="23">
        <f>IF($B193="Entry",IF(AND(LEN(TRIM(UPPER(W193)))=10,CODE(MID(TRIM(UPPER(W193)),1,1))&gt;=65,CODE(MID(TRIM(UPPER(W193)),1,1))&lt;=90,CODE(MID(TRIM(UPPER(W193)),2,1))&gt;=65,CODE(MID(TRIM(UPPER(W193)),2,1))&lt;=90,CODE(MID(TRIM(UPPER(W193)),3,1))&gt;=65,CODE(MID(TRIM(UPPER(W193)),3,1))&lt;=90,CODE(MID(TRIM(UPPER(W193)),4,1))&gt;=65,CODE(MID(TRIM(UPPER(W193)),4,1))&lt;=90,CODE(MID(TRIM(UPPER(W193)),5,1))&gt;=65,CODE(MID(TRIM(UPPER(W193)),5,1))&lt;=90,CODE(MID(TRIM(UPPER(W193)),10,1))&gt;=65,CODE(MID(TRIM(UPPER(W193)),10,1))&lt;=90,CODE(MID(TRIM(UPPER(W193)),6,1))&gt;=48,CODE(MID(TRIM(UPPER(W193)),6,1))&lt;=57,CODE(MID(TRIM(UPPER(W193)),7,1))&gt;=48,CODE(MID(TRIM(UPPER(W193)),7,1))&lt;=57,CODE(MID(TRIM(UPPER(W193)),8,1))&gt;=48,CODE(MID(TRIM(UPPER(W193)),8,1))&lt;=57,CODE(MID(TRIM(UPPER(W193)),9,1))&gt;=48,CODE(MID(TRIM(UPPER(W193)),9,1))&lt;=57),"N","Y"),IF($B193="Challan","",IF(W193&lt;&gt;"","◄ Set Row Type","")))</f>
      </c>
      <c r="Y193" s="23">
        <f>IF($B193="Entry",IF(LEN(W193)&lt;4,"",IF(UPPER(MID(W193,4,1))="P","Individual",IF(UPPER(MID(W193,4,1))="H","HUF",IF(UPPER(MID(W193,4,1))="C","Company",IF(UPPER(MID(W193,4,1))="F","Firm",IF(UPPER(MID(W193,4,1))="L","LLP",IF(UPPER(MID(W193,4,1))="T","Trust",IF(UPPER(MID(W193,4,1))="A","AOP","")))))))),IF($B193="Challan","",IF(W193&lt;&gt;"","◄ Set Row Type","")))</f>
      </c>
      <c r="Z193" s="28"/>
      <c r="AA193" s="29">
        <f>IF($B193&lt;&gt;"Entry","",IF(Z193="","",IF(X193="Y",SUMPRODUCT(('Rate Lookup'!$A$1:$A$37=Z193)*'Rate Lookup'!$D$1:$D$37),IF(OR(Y193="Individual",Y193="HUF"),SUMPRODUCT(('Rate Lookup'!$A$1:$A$37=Z193)*'Rate Lookup'!$B$1:$B$37),SUMPRODUCT(('Rate Lookup'!$A$1:$A$37=Z193)*'Rate Lookup'!$C$1:$C$37)))))</f>
      </c>
      <c r="AB193" s="30"/>
      <c r="AC193" s="31"/>
      <c r="AD193" s="27">
        <f>IF($B193&lt;&gt;"Entry","",ROUND(AC193*AA193/100,0))</f>
      </c>
      <c r="AE193" s="27">
        <f>IF($B193&lt;&gt;"Entry","",0)</f>
      </c>
      <c r="AF193" s="27">
        <f>IF($B193&lt;&gt;"Entry","",0)</f>
      </c>
      <c r="AG193" s="27">
        <f>IF($B193&lt;&gt;"Entry","",IF(OR(AD193=0,AB193="",AQ193="",AQ193&lt;=0),0,IF(AQ193&lt;=DATE(YEAR(AB193),MONTH(AB193)+1,7),0,ROUND(AD193*0.015*((YEAR(AQ193)-YEAR(AB193))*12+(MONTH(AQ193)-MONTH(AB193))+1),0))))</f>
      </c>
      <c r="AH193" s="27">
        <f>IF($B193&lt;&gt;"Entry","",0)</f>
      </c>
      <c r="AI193" s="28"/>
      <c r="AJ193" s="28"/>
      <c r="AK193" s="32"/>
      <c r="AL193" s="28"/>
      <c r="AM193" s="28"/>
      <c r="AN193" s="27">
        <f>IF($B193&lt;&gt;"Challan","",SUMIF('Q1 Data'!$D$4:$D$207,D193,'Q1 Data'!$AD$4:$AD$207)+SUMIF('Q1 Data'!$D$4:$D$207,D193,'Q1 Data'!$AG$4:$AG$207)+SUMIF('Q1 Data'!$D$4:$D$207,D193,'Q1 Data'!$AE$4:$AE$207)+SUMIF('Q2 Data'!$D$4:$D$207,D193,'Q2 Data'!$AD$4:$AD$207)+SUMIF('Q2 Data'!$D$4:$D$207,D193,'Q2 Data'!$AG$4:$AG$207)+SUMIF('Q2 Data'!$D$4:$D$207,D193,'Q2 Data'!$AE$4:$AE$207)+SUMIF('Q3 Data'!$D$4:$D$207,D193,'Q3 Data'!$AD$4:$AD$207)+SUMIF('Q3 Data'!$D$4:$D$207,D193,'Q3 Data'!$AG$4:$AG$207)+SUMIF('Q3 Data'!$D$4:$D$207,D193,'Q3 Data'!$AE$4:$AE$207)+SUMIF('Q4 Data'!$D$4:$D$207,D193,'Q4 Data'!$AD$4:$AD$207)+SUMIF('Q4 Data'!$D$4:$D$207,D193,'Q4 Data'!$AG$4:$AG$207)+SUMIF('Q4 Data'!$D$4:$D$207,D193,'Q4 Data'!$AE$4:$AE$207))</f>
      </c>
      <c r="AO193" s="27">
        <f>IF($B193&lt;&gt;"Challan","",P193-N193)</f>
      </c>
      <c r="AP193" s="27">
        <f>IF($B193&lt;&gt;"Challan","",MAX(0,AO193-AN193))</f>
      </c>
      <c r="AQ193" s="33">
        <f>IF($B193&lt;&gt;"Entry","",SUMPRODUCT(('Q1 Data'!$D$4:$D$207=D193)*('Q1 Data'!$B$4:$B$207="Challan")*'Q1 Data'!$F$4:$F$207)+SUMPRODUCT(('Q2 Data'!$D$4:$D$207=D193)*('Q2 Data'!$B$4:$B$207="Challan")*'Q2 Data'!$F$4:$F$207)+SUMPRODUCT(('Q3 Data'!$D$4:$D$207=D193)*('Q3 Data'!$B$4:$B$207="Challan")*'Q3 Data'!$F$4:$F$207)+SUMPRODUCT(('Q4 Data'!$D$4:$D$207=D193)*('Q4 Data'!$B$4:$B$207="Challan")*'Q4 Data'!$F$4:$F$207))</f>
      </c>
      <c r="AR193" s="34">
        <f>IF(OR($B193&lt;&gt;"Entry",Z193=""),FALSE,AND((SUMPRODUCT(('Q1 Data'!$D$4:$D$207=D193)*('Q1 Data'!$B$4:$B$207="Challan")*('Q1 Data'!$H$4:$H$207&lt;&gt;""))+SUMPRODUCT(('Q2 Data'!$D$4:$D$207=D193)*('Q2 Data'!$B$4:$B$207="Challan")*('Q2 Data'!$H$4:$H$207&lt;&gt;""))+SUMPRODUCT(('Q3 Data'!$D$4:$D$207=D193)*('Q3 Data'!$B$4:$B$207="Challan")*('Q3 Data'!$H$4:$H$207&lt;&gt;""))+SUMPRODUCT(('Q4 Data'!$D$4:$D$207=D193)*('Q4 Data'!$B$4:$B$207="Challan")*('Q4 Data'!$H$4:$H$207&lt;&gt;"")))&gt;0,(SUMPRODUCT(('Q1 Data'!$D$4:$D$207=D193)*('Q1 Data'!$B$4:$B$207="Challan")*('Q1 Data'!$H$4:$H$207=Z193))+SUMPRODUCT(('Q2 Data'!$D$4:$D$207=D193)*('Q2 Data'!$B$4:$B$207="Challan")*('Q2 Data'!$H$4:$H$207=Z193))+SUMPRODUCT(('Q3 Data'!$D$4:$D$207=D193)*('Q3 Data'!$B$4:$B$207="Challan")*('Q3 Data'!$H$4:$H$207=Z193))+SUMPRODUCT(('Q4 Data'!$D$4:$D$207=D193)*('Q4 Data'!$B$4:$B$207="Challan")*('Q4 Data'!$H$4:$H$207=Z193)))=0))</f>
      </c>
    </row>
    <row r="194" spans="1:44" x14ac:dyDescent="0.25">
      <c r="A194" s="20">
        <f>IF($B194="Entry",COUNTIF($B$4:$B194,"Entry"),"")</f>
      </c>
      <c r="B194" s="21"/>
      <c r="C194" s="22"/>
      <c r="D194" s="22"/>
      <c r="E194" s="23">
        <f>IF($B194&lt;&gt;"Challan","",IF(ROUND(AN194-AO194,2)&gt;0,"Over-applied",IF(ROUND(AN194-AO194,2)=0,"Fully Utilised","Unconsumed")))</f>
      </c>
      <c r="F194" s="24"/>
      <c r="G194" s="25"/>
      <c r="H194" s="25"/>
      <c r="I194" s="26"/>
      <c r="J194" s="26"/>
      <c r="K194" s="26"/>
      <c r="L194" s="26"/>
      <c r="M194" s="26"/>
      <c r="N194" s="26"/>
      <c r="O194" s="26"/>
      <c r="P194" s="27">
        <f>IF($B194&lt;&gt;"Challan","",I194+J194+K194+L194+M194+N194)</f>
      </c>
      <c r="Q194" s="25"/>
      <c r="R194" s="25"/>
      <c r="S194" s="25"/>
      <c r="T194" s="25"/>
      <c r="U194" s="25"/>
      <c r="V194" s="28"/>
      <c r="W194" s="28"/>
      <c r="X194" s="23">
        <f>IF($B194="Entry",IF(AND(LEN(TRIM(UPPER(W194)))=10,CODE(MID(TRIM(UPPER(W194)),1,1))&gt;=65,CODE(MID(TRIM(UPPER(W194)),1,1))&lt;=90,CODE(MID(TRIM(UPPER(W194)),2,1))&gt;=65,CODE(MID(TRIM(UPPER(W194)),2,1))&lt;=90,CODE(MID(TRIM(UPPER(W194)),3,1))&gt;=65,CODE(MID(TRIM(UPPER(W194)),3,1))&lt;=90,CODE(MID(TRIM(UPPER(W194)),4,1))&gt;=65,CODE(MID(TRIM(UPPER(W194)),4,1))&lt;=90,CODE(MID(TRIM(UPPER(W194)),5,1))&gt;=65,CODE(MID(TRIM(UPPER(W194)),5,1))&lt;=90,CODE(MID(TRIM(UPPER(W194)),10,1))&gt;=65,CODE(MID(TRIM(UPPER(W194)),10,1))&lt;=90,CODE(MID(TRIM(UPPER(W194)),6,1))&gt;=48,CODE(MID(TRIM(UPPER(W194)),6,1))&lt;=57,CODE(MID(TRIM(UPPER(W194)),7,1))&gt;=48,CODE(MID(TRIM(UPPER(W194)),7,1))&lt;=57,CODE(MID(TRIM(UPPER(W194)),8,1))&gt;=48,CODE(MID(TRIM(UPPER(W194)),8,1))&lt;=57,CODE(MID(TRIM(UPPER(W194)),9,1))&gt;=48,CODE(MID(TRIM(UPPER(W194)),9,1))&lt;=57),"N","Y"),IF($B194="Challan","",IF(W194&lt;&gt;"","◄ Set Row Type","")))</f>
      </c>
      <c r="Y194" s="23">
        <f>IF($B194="Entry",IF(LEN(W194)&lt;4,"",IF(UPPER(MID(W194,4,1))="P","Individual",IF(UPPER(MID(W194,4,1))="H","HUF",IF(UPPER(MID(W194,4,1))="C","Company",IF(UPPER(MID(W194,4,1))="F","Firm",IF(UPPER(MID(W194,4,1))="L","LLP",IF(UPPER(MID(W194,4,1))="T","Trust",IF(UPPER(MID(W194,4,1))="A","AOP","")))))))),IF($B194="Challan","",IF(W194&lt;&gt;"","◄ Set Row Type","")))</f>
      </c>
      <c r="Z194" s="28"/>
      <c r="AA194" s="29">
        <f>IF($B194&lt;&gt;"Entry","",IF(Z194="","",IF(X194="Y",SUMPRODUCT(('Rate Lookup'!$A$1:$A$37=Z194)*'Rate Lookup'!$D$1:$D$37),IF(OR(Y194="Individual",Y194="HUF"),SUMPRODUCT(('Rate Lookup'!$A$1:$A$37=Z194)*'Rate Lookup'!$B$1:$B$37),SUMPRODUCT(('Rate Lookup'!$A$1:$A$37=Z194)*'Rate Lookup'!$C$1:$C$37)))))</f>
      </c>
      <c r="AB194" s="30"/>
      <c r="AC194" s="31"/>
      <c r="AD194" s="27">
        <f>IF($B194&lt;&gt;"Entry","",ROUND(AC194*AA194/100,0))</f>
      </c>
      <c r="AE194" s="27">
        <f>IF($B194&lt;&gt;"Entry","",0)</f>
      </c>
      <c r="AF194" s="27">
        <f>IF($B194&lt;&gt;"Entry","",0)</f>
      </c>
      <c r="AG194" s="27">
        <f>IF($B194&lt;&gt;"Entry","",IF(OR(AD194=0,AB194="",AQ194="",AQ194&lt;=0),0,IF(AQ194&lt;=DATE(YEAR(AB194),MONTH(AB194)+1,7),0,ROUND(AD194*0.015*((YEAR(AQ194)-YEAR(AB194))*12+(MONTH(AQ194)-MONTH(AB194))+1),0))))</f>
      </c>
      <c r="AH194" s="27">
        <f>IF($B194&lt;&gt;"Entry","",0)</f>
      </c>
      <c r="AI194" s="28"/>
      <c r="AJ194" s="28"/>
      <c r="AK194" s="32"/>
      <c r="AL194" s="28"/>
      <c r="AM194" s="28"/>
      <c r="AN194" s="27">
        <f>IF($B194&lt;&gt;"Challan","",SUMIF('Q1 Data'!$D$4:$D$207,D194,'Q1 Data'!$AD$4:$AD$207)+SUMIF('Q1 Data'!$D$4:$D$207,D194,'Q1 Data'!$AG$4:$AG$207)+SUMIF('Q1 Data'!$D$4:$D$207,D194,'Q1 Data'!$AE$4:$AE$207)+SUMIF('Q2 Data'!$D$4:$D$207,D194,'Q2 Data'!$AD$4:$AD$207)+SUMIF('Q2 Data'!$D$4:$D$207,D194,'Q2 Data'!$AG$4:$AG$207)+SUMIF('Q2 Data'!$D$4:$D$207,D194,'Q2 Data'!$AE$4:$AE$207)+SUMIF('Q3 Data'!$D$4:$D$207,D194,'Q3 Data'!$AD$4:$AD$207)+SUMIF('Q3 Data'!$D$4:$D$207,D194,'Q3 Data'!$AG$4:$AG$207)+SUMIF('Q3 Data'!$D$4:$D$207,D194,'Q3 Data'!$AE$4:$AE$207)+SUMIF('Q4 Data'!$D$4:$D$207,D194,'Q4 Data'!$AD$4:$AD$207)+SUMIF('Q4 Data'!$D$4:$D$207,D194,'Q4 Data'!$AG$4:$AG$207)+SUMIF('Q4 Data'!$D$4:$D$207,D194,'Q4 Data'!$AE$4:$AE$207))</f>
      </c>
      <c r="AO194" s="27">
        <f>IF($B194&lt;&gt;"Challan","",P194-N194)</f>
      </c>
      <c r="AP194" s="27">
        <f>IF($B194&lt;&gt;"Challan","",MAX(0,AO194-AN194))</f>
      </c>
      <c r="AQ194" s="33">
        <f>IF($B194&lt;&gt;"Entry","",SUMPRODUCT(('Q1 Data'!$D$4:$D$207=D194)*('Q1 Data'!$B$4:$B$207="Challan")*'Q1 Data'!$F$4:$F$207)+SUMPRODUCT(('Q2 Data'!$D$4:$D$207=D194)*('Q2 Data'!$B$4:$B$207="Challan")*'Q2 Data'!$F$4:$F$207)+SUMPRODUCT(('Q3 Data'!$D$4:$D$207=D194)*('Q3 Data'!$B$4:$B$207="Challan")*'Q3 Data'!$F$4:$F$207)+SUMPRODUCT(('Q4 Data'!$D$4:$D$207=D194)*('Q4 Data'!$B$4:$B$207="Challan")*'Q4 Data'!$F$4:$F$207))</f>
      </c>
      <c r="AR194" s="34">
        <f>IF(OR($B194&lt;&gt;"Entry",Z194=""),FALSE,AND((SUMPRODUCT(('Q1 Data'!$D$4:$D$207=D194)*('Q1 Data'!$B$4:$B$207="Challan")*('Q1 Data'!$H$4:$H$207&lt;&gt;""))+SUMPRODUCT(('Q2 Data'!$D$4:$D$207=D194)*('Q2 Data'!$B$4:$B$207="Challan")*('Q2 Data'!$H$4:$H$207&lt;&gt;""))+SUMPRODUCT(('Q3 Data'!$D$4:$D$207=D194)*('Q3 Data'!$B$4:$B$207="Challan")*('Q3 Data'!$H$4:$H$207&lt;&gt;""))+SUMPRODUCT(('Q4 Data'!$D$4:$D$207=D194)*('Q4 Data'!$B$4:$B$207="Challan")*('Q4 Data'!$H$4:$H$207&lt;&gt;"")))&gt;0,(SUMPRODUCT(('Q1 Data'!$D$4:$D$207=D194)*('Q1 Data'!$B$4:$B$207="Challan")*('Q1 Data'!$H$4:$H$207=Z194))+SUMPRODUCT(('Q2 Data'!$D$4:$D$207=D194)*('Q2 Data'!$B$4:$B$207="Challan")*('Q2 Data'!$H$4:$H$207=Z194))+SUMPRODUCT(('Q3 Data'!$D$4:$D$207=D194)*('Q3 Data'!$B$4:$B$207="Challan")*('Q3 Data'!$H$4:$H$207=Z194))+SUMPRODUCT(('Q4 Data'!$D$4:$D$207=D194)*('Q4 Data'!$B$4:$B$207="Challan")*('Q4 Data'!$H$4:$H$207=Z194)))=0))</f>
      </c>
    </row>
    <row r="195" spans="1:44" x14ac:dyDescent="0.25">
      <c r="A195" s="20">
        <f>IF($B195="Entry",COUNTIF($B$4:$B195,"Entry"),"")</f>
      </c>
      <c r="B195" s="21"/>
      <c r="C195" s="22"/>
      <c r="D195" s="22"/>
      <c r="E195" s="23">
        <f>IF($B195&lt;&gt;"Challan","",IF(ROUND(AN195-AO195,2)&gt;0,"Over-applied",IF(ROUND(AN195-AO195,2)=0,"Fully Utilised","Unconsumed")))</f>
      </c>
      <c r="F195" s="24"/>
      <c r="G195" s="25"/>
      <c r="H195" s="25"/>
      <c r="I195" s="26"/>
      <c r="J195" s="26"/>
      <c r="K195" s="26"/>
      <c r="L195" s="26"/>
      <c r="M195" s="26"/>
      <c r="N195" s="26"/>
      <c r="O195" s="26"/>
      <c r="P195" s="27">
        <f>IF($B195&lt;&gt;"Challan","",I195+J195+K195+L195+M195+N195)</f>
      </c>
      <c r="Q195" s="25"/>
      <c r="R195" s="25"/>
      <c r="S195" s="25"/>
      <c r="T195" s="25"/>
      <c r="U195" s="25"/>
      <c r="V195" s="28"/>
      <c r="W195" s="28"/>
      <c r="X195" s="23">
        <f>IF($B195="Entry",IF(AND(LEN(TRIM(UPPER(W195)))=10,CODE(MID(TRIM(UPPER(W195)),1,1))&gt;=65,CODE(MID(TRIM(UPPER(W195)),1,1))&lt;=90,CODE(MID(TRIM(UPPER(W195)),2,1))&gt;=65,CODE(MID(TRIM(UPPER(W195)),2,1))&lt;=90,CODE(MID(TRIM(UPPER(W195)),3,1))&gt;=65,CODE(MID(TRIM(UPPER(W195)),3,1))&lt;=90,CODE(MID(TRIM(UPPER(W195)),4,1))&gt;=65,CODE(MID(TRIM(UPPER(W195)),4,1))&lt;=90,CODE(MID(TRIM(UPPER(W195)),5,1))&gt;=65,CODE(MID(TRIM(UPPER(W195)),5,1))&lt;=90,CODE(MID(TRIM(UPPER(W195)),10,1))&gt;=65,CODE(MID(TRIM(UPPER(W195)),10,1))&lt;=90,CODE(MID(TRIM(UPPER(W195)),6,1))&gt;=48,CODE(MID(TRIM(UPPER(W195)),6,1))&lt;=57,CODE(MID(TRIM(UPPER(W195)),7,1))&gt;=48,CODE(MID(TRIM(UPPER(W195)),7,1))&lt;=57,CODE(MID(TRIM(UPPER(W195)),8,1))&gt;=48,CODE(MID(TRIM(UPPER(W195)),8,1))&lt;=57,CODE(MID(TRIM(UPPER(W195)),9,1))&gt;=48,CODE(MID(TRIM(UPPER(W195)),9,1))&lt;=57),"N","Y"),IF($B195="Challan","",IF(W195&lt;&gt;"","◄ Set Row Type","")))</f>
      </c>
      <c r="Y195" s="23">
        <f>IF($B195="Entry",IF(LEN(W195)&lt;4,"",IF(UPPER(MID(W195,4,1))="P","Individual",IF(UPPER(MID(W195,4,1))="H","HUF",IF(UPPER(MID(W195,4,1))="C","Company",IF(UPPER(MID(W195,4,1))="F","Firm",IF(UPPER(MID(W195,4,1))="L","LLP",IF(UPPER(MID(W195,4,1))="T","Trust",IF(UPPER(MID(W195,4,1))="A","AOP","")))))))),IF($B195="Challan","",IF(W195&lt;&gt;"","◄ Set Row Type","")))</f>
      </c>
      <c r="Z195" s="28"/>
      <c r="AA195" s="29">
        <f>IF($B195&lt;&gt;"Entry","",IF(Z195="","",IF(X195="Y",SUMPRODUCT(('Rate Lookup'!$A$1:$A$37=Z195)*'Rate Lookup'!$D$1:$D$37),IF(OR(Y195="Individual",Y195="HUF"),SUMPRODUCT(('Rate Lookup'!$A$1:$A$37=Z195)*'Rate Lookup'!$B$1:$B$37),SUMPRODUCT(('Rate Lookup'!$A$1:$A$37=Z195)*'Rate Lookup'!$C$1:$C$37)))))</f>
      </c>
      <c r="AB195" s="30"/>
      <c r="AC195" s="31"/>
      <c r="AD195" s="27">
        <f>IF($B195&lt;&gt;"Entry","",ROUND(AC195*AA195/100,0))</f>
      </c>
      <c r="AE195" s="27">
        <f>IF($B195&lt;&gt;"Entry","",0)</f>
      </c>
      <c r="AF195" s="27">
        <f>IF($B195&lt;&gt;"Entry","",0)</f>
      </c>
      <c r="AG195" s="27">
        <f>IF($B195&lt;&gt;"Entry","",IF(OR(AD195=0,AB195="",AQ195="",AQ195&lt;=0),0,IF(AQ195&lt;=DATE(YEAR(AB195),MONTH(AB195)+1,7),0,ROUND(AD195*0.015*((YEAR(AQ195)-YEAR(AB195))*12+(MONTH(AQ195)-MONTH(AB195))+1),0))))</f>
      </c>
      <c r="AH195" s="27">
        <f>IF($B195&lt;&gt;"Entry","",0)</f>
      </c>
      <c r="AI195" s="28"/>
      <c r="AJ195" s="28"/>
      <c r="AK195" s="32"/>
      <c r="AL195" s="28"/>
      <c r="AM195" s="28"/>
      <c r="AN195" s="27">
        <f>IF($B195&lt;&gt;"Challan","",SUMIF('Q1 Data'!$D$4:$D$207,D195,'Q1 Data'!$AD$4:$AD$207)+SUMIF('Q1 Data'!$D$4:$D$207,D195,'Q1 Data'!$AG$4:$AG$207)+SUMIF('Q1 Data'!$D$4:$D$207,D195,'Q1 Data'!$AE$4:$AE$207)+SUMIF('Q2 Data'!$D$4:$D$207,D195,'Q2 Data'!$AD$4:$AD$207)+SUMIF('Q2 Data'!$D$4:$D$207,D195,'Q2 Data'!$AG$4:$AG$207)+SUMIF('Q2 Data'!$D$4:$D$207,D195,'Q2 Data'!$AE$4:$AE$207)+SUMIF('Q3 Data'!$D$4:$D$207,D195,'Q3 Data'!$AD$4:$AD$207)+SUMIF('Q3 Data'!$D$4:$D$207,D195,'Q3 Data'!$AG$4:$AG$207)+SUMIF('Q3 Data'!$D$4:$D$207,D195,'Q3 Data'!$AE$4:$AE$207)+SUMIF('Q4 Data'!$D$4:$D$207,D195,'Q4 Data'!$AD$4:$AD$207)+SUMIF('Q4 Data'!$D$4:$D$207,D195,'Q4 Data'!$AG$4:$AG$207)+SUMIF('Q4 Data'!$D$4:$D$207,D195,'Q4 Data'!$AE$4:$AE$207))</f>
      </c>
      <c r="AO195" s="27">
        <f>IF($B195&lt;&gt;"Challan","",P195-N195)</f>
      </c>
      <c r="AP195" s="27">
        <f>IF($B195&lt;&gt;"Challan","",MAX(0,AO195-AN195))</f>
      </c>
      <c r="AQ195" s="33">
        <f>IF($B195&lt;&gt;"Entry","",SUMPRODUCT(('Q1 Data'!$D$4:$D$207=D195)*('Q1 Data'!$B$4:$B$207="Challan")*'Q1 Data'!$F$4:$F$207)+SUMPRODUCT(('Q2 Data'!$D$4:$D$207=D195)*('Q2 Data'!$B$4:$B$207="Challan")*'Q2 Data'!$F$4:$F$207)+SUMPRODUCT(('Q3 Data'!$D$4:$D$207=D195)*('Q3 Data'!$B$4:$B$207="Challan")*'Q3 Data'!$F$4:$F$207)+SUMPRODUCT(('Q4 Data'!$D$4:$D$207=D195)*('Q4 Data'!$B$4:$B$207="Challan")*'Q4 Data'!$F$4:$F$207))</f>
      </c>
      <c r="AR195" s="34">
        <f>IF(OR($B195&lt;&gt;"Entry",Z195=""),FALSE,AND((SUMPRODUCT(('Q1 Data'!$D$4:$D$207=D195)*('Q1 Data'!$B$4:$B$207="Challan")*('Q1 Data'!$H$4:$H$207&lt;&gt;""))+SUMPRODUCT(('Q2 Data'!$D$4:$D$207=D195)*('Q2 Data'!$B$4:$B$207="Challan")*('Q2 Data'!$H$4:$H$207&lt;&gt;""))+SUMPRODUCT(('Q3 Data'!$D$4:$D$207=D195)*('Q3 Data'!$B$4:$B$207="Challan")*('Q3 Data'!$H$4:$H$207&lt;&gt;""))+SUMPRODUCT(('Q4 Data'!$D$4:$D$207=D195)*('Q4 Data'!$B$4:$B$207="Challan")*('Q4 Data'!$H$4:$H$207&lt;&gt;"")))&gt;0,(SUMPRODUCT(('Q1 Data'!$D$4:$D$207=D195)*('Q1 Data'!$B$4:$B$207="Challan")*('Q1 Data'!$H$4:$H$207=Z195))+SUMPRODUCT(('Q2 Data'!$D$4:$D$207=D195)*('Q2 Data'!$B$4:$B$207="Challan")*('Q2 Data'!$H$4:$H$207=Z195))+SUMPRODUCT(('Q3 Data'!$D$4:$D$207=D195)*('Q3 Data'!$B$4:$B$207="Challan")*('Q3 Data'!$H$4:$H$207=Z195))+SUMPRODUCT(('Q4 Data'!$D$4:$D$207=D195)*('Q4 Data'!$B$4:$B$207="Challan")*('Q4 Data'!$H$4:$H$207=Z195)))=0))</f>
      </c>
    </row>
    <row r="196" spans="1:44" x14ac:dyDescent="0.25">
      <c r="A196" s="20">
        <f>IF($B196="Entry",COUNTIF($B$4:$B196,"Entry"),"")</f>
      </c>
      <c r="B196" s="21"/>
      <c r="C196" s="22"/>
      <c r="D196" s="22"/>
      <c r="E196" s="23">
        <f>IF($B196&lt;&gt;"Challan","",IF(ROUND(AN196-AO196,2)&gt;0,"Over-applied",IF(ROUND(AN196-AO196,2)=0,"Fully Utilised","Unconsumed")))</f>
      </c>
      <c r="F196" s="24"/>
      <c r="G196" s="25"/>
      <c r="H196" s="25"/>
      <c r="I196" s="26"/>
      <c r="J196" s="26"/>
      <c r="K196" s="26"/>
      <c r="L196" s="26"/>
      <c r="M196" s="26"/>
      <c r="N196" s="26"/>
      <c r="O196" s="26"/>
      <c r="P196" s="27">
        <f>IF($B196&lt;&gt;"Challan","",I196+J196+K196+L196+M196+N196)</f>
      </c>
      <c r="Q196" s="25"/>
      <c r="R196" s="25"/>
      <c r="S196" s="25"/>
      <c r="T196" s="25"/>
      <c r="U196" s="25"/>
      <c r="V196" s="28"/>
      <c r="W196" s="28"/>
      <c r="X196" s="23">
        <f>IF($B196="Entry",IF(AND(LEN(TRIM(UPPER(W196)))=10,CODE(MID(TRIM(UPPER(W196)),1,1))&gt;=65,CODE(MID(TRIM(UPPER(W196)),1,1))&lt;=90,CODE(MID(TRIM(UPPER(W196)),2,1))&gt;=65,CODE(MID(TRIM(UPPER(W196)),2,1))&lt;=90,CODE(MID(TRIM(UPPER(W196)),3,1))&gt;=65,CODE(MID(TRIM(UPPER(W196)),3,1))&lt;=90,CODE(MID(TRIM(UPPER(W196)),4,1))&gt;=65,CODE(MID(TRIM(UPPER(W196)),4,1))&lt;=90,CODE(MID(TRIM(UPPER(W196)),5,1))&gt;=65,CODE(MID(TRIM(UPPER(W196)),5,1))&lt;=90,CODE(MID(TRIM(UPPER(W196)),10,1))&gt;=65,CODE(MID(TRIM(UPPER(W196)),10,1))&lt;=90,CODE(MID(TRIM(UPPER(W196)),6,1))&gt;=48,CODE(MID(TRIM(UPPER(W196)),6,1))&lt;=57,CODE(MID(TRIM(UPPER(W196)),7,1))&gt;=48,CODE(MID(TRIM(UPPER(W196)),7,1))&lt;=57,CODE(MID(TRIM(UPPER(W196)),8,1))&gt;=48,CODE(MID(TRIM(UPPER(W196)),8,1))&lt;=57,CODE(MID(TRIM(UPPER(W196)),9,1))&gt;=48,CODE(MID(TRIM(UPPER(W196)),9,1))&lt;=57),"N","Y"),IF($B196="Challan","",IF(W196&lt;&gt;"","◄ Set Row Type","")))</f>
      </c>
      <c r="Y196" s="23">
        <f>IF($B196="Entry",IF(LEN(W196)&lt;4,"",IF(UPPER(MID(W196,4,1))="P","Individual",IF(UPPER(MID(W196,4,1))="H","HUF",IF(UPPER(MID(W196,4,1))="C","Company",IF(UPPER(MID(W196,4,1))="F","Firm",IF(UPPER(MID(W196,4,1))="L","LLP",IF(UPPER(MID(W196,4,1))="T","Trust",IF(UPPER(MID(W196,4,1))="A","AOP","")))))))),IF($B196="Challan","",IF(W196&lt;&gt;"","◄ Set Row Type","")))</f>
      </c>
      <c r="Z196" s="28"/>
      <c r="AA196" s="29">
        <f>IF($B196&lt;&gt;"Entry","",IF(Z196="","",IF(X196="Y",SUMPRODUCT(('Rate Lookup'!$A$1:$A$37=Z196)*'Rate Lookup'!$D$1:$D$37),IF(OR(Y196="Individual",Y196="HUF"),SUMPRODUCT(('Rate Lookup'!$A$1:$A$37=Z196)*'Rate Lookup'!$B$1:$B$37),SUMPRODUCT(('Rate Lookup'!$A$1:$A$37=Z196)*'Rate Lookup'!$C$1:$C$37)))))</f>
      </c>
      <c r="AB196" s="30"/>
      <c r="AC196" s="31"/>
      <c r="AD196" s="27">
        <f>IF($B196&lt;&gt;"Entry","",ROUND(AC196*AA196/100,0))</f>
      </c>
      <c r="AE196" s="27">
        <f>IF($B196&lt;&gt;"Entry","",0)</f>
      </c>
      <c r="AF196" s="27">
        <f>IF($B196&lt;&gt;"Entry","",0)</f>
      </c>
      <c r="AG196" s="27">
        <f>IF($B196&lt;&gt;"Entry","",IF(OR(AD196=0,AB196="",AQ196="",AQ196&lt;=0),0,IF(AQ196&lt;=DATE(YEAR(AB196),MONTH(AB196)+1,7),0,ROUND(AD196*0.015*((YEAR(AQ196)-YEAR(AB196))*12+(MONTH(AQ196)-MONTH(AB196))+1),0))))</f>
      </c>
      <c r="AH196" s="27">
        <f>IF($B196&lt;&gt;"Entry","",0)</f>
      </c>
      <c r="AI196" s="28"/>
      <c r="AJ196" s="28"/>
      <c r="AK196" s="32"/>
      <c r="AL196" s="28"/>
      <c r="AM196" s="28"/>
      <c r="AN196" s="27">
        <f>IF($B196&lt;&gt;"Challan","",SUMIF('Q1 Data'!$D$4:$D$207,D196,'Q1 Data'!$AD$4:$AD$207)+SUMIF('Q1 Data'!$D$4:$D$207,D196,'Q1 Data'!$AG$4:$AG$207)+SUMIF('Q1 Data'!$D$4:$D$207,D196,'Q1 Data'!$AE$4:$AE$207)+SUMIF('Q2 Data'!$D$4:$D$207,D196,'Q2 Data'!$AD$4:$AD$207)+SUMIF('Q2 Data'!$D$4:$D$207,D196,'Q2 Data'!$AG$4:$AG$207)+SUMIF('Q2 Data'!$D$4:$D$207,D196,'Q2 Data'!$AE$4:$AE$207)+SUMIF('Q3 Data'!$D$4:$D$207,D196,'Q3 Data'!$AD$4:$AD$207)+SUMIF('Q3 Data'!$D$4:$D$207,D196,'Q3 Data'!$AG$4:$AG$207)+SUMIF('Q3 Data'!$D$4:$D$207,D196,'Q3 Data'!$AE$4:$AE$207)+SUMIF('Q4 Data'!$D$4:$D$207,D196,'Q4 Data'!$AD$4:$AD$207)+SUMIF('Q4 Data'!$D$4:$D$207,D196,'Q4 Data'!$AG$4:$AG$207)+SUMIF('Q4 Data'!$D$4:$D$207,D196,'Q4 Data'!$AE$4:$AE$207))</f>
      </c>
      <c r="AO196" s="27">
        <f>IF($B196&lt;&gt;"Challan","",P196-N196)</f>
      </c>
      <c r="AP196" s="27">
        <f>IF($B196&lt;&gt;"Challan","",MAX(0,AO196-AN196))</f>
      </c>
      <c r="AQ196" s="33">
        <f>IF($B196&lt;&gt;"Entry","",SUMPRODUCT(('Q1 Data'!$D$4:$D$207=D196)*('Q1 Data'!$B$4:$B$207="Challan")*'Q1 Data'!$F$4:$F$207)+SUMPRODUCT(('Q2 Data'!$D$4:$D$207=D196)*('Q2 Data'!$B$4:$B$207="Challan")*'Q2 Data'!$F$4:$F$207)+SUMPRODUCT(('Q3 Data'!$D$4:$D$207=D196)*('Q3 Data'!$B$4:$B$207="Challan")*'Q3 Data'!$F$4:$F$207)+SUMPRODUCT(('Q4 Data'!$D$4:$D$207=D196)*('Q4 Data'!$B$4:$B$207="Challan")*'Q4 Data'!$F$4:$F$207))</f>
      </c>
      <c r="AR196" s="34">
        <f>IF(OR($B196&lt;&gt;"Entry",Z196=""),FALSE,AND((SUMPRODUCT(('Q1 Data'!$D$4:$D$207=D196)*('Q1 Data'!$B$4:$B$207="Challan")*('Q1 Data'!$H$4:$H$207&lt;&gt;""))+SUMPRODUCT(('Q2 Data'!$D$4:$D$207=D196)*('Q2 Data'!$B$4:$B$207="Challan")*('Q2 Data'!$H$4:$H$207&lt;&gt;""))+SUMPRODUCT(('Q3 Data'!$D$4:$D$207=D196)*('Q3 Data'!$B$4:$B$207="Challan")*('Q3 Data'!$H$4:$H$207&lt;&gt;""))+SUMPRODUCT(('Q4 Data'!$D$4:$D$207=D196)*('Q4 Data'!$B$4:$B$207="Challan")*('Q4 Data'!$H$4:$H$207&lt;&gt;"")))&gt;0,(SUMPRODUCT(('Q1 Data'!$D$4:$D$207=D196)*('Q1 Data'!$B$4:$B$207="Challan")*('Q1 Data'!$H$4:$H$207=Z196))+SUMPRODUCT(('Q2 Data'!$D$4:$D$207=D196)*('Q2 Data'!$B$4:$B$207="Challan")*('Q2 Data'!$H$4:$H$207=Z196))+SUMPRODUCT(('Q3 Data'!$D$4:$D$207=D196)*('Q3 Data'!$B$4:$B$207="Challan")*('Q3 Data'!$H$4:$H$207=Z196))+SUMPRODUCT(('Q4 Data'!$D$4:$D$207=D196)*('Q4 Data'!$B$4:$B$207="Challan")*('Q4 Data'!$H$4:$H$207=Z196)))=0))</f>
      </c>
    </row>
    <row r="197" spans="1:44" x14ac:dyDescent="0.25">
      <c r="A197" s="20">
        <f>IF($B197="Entry",COUNTIF($B$4:$B197,"Entry"),"")</f>
      </c>
      <c r="B197" s="21"/>
      <c r="C197" s="22"/>
      <c r="D197" s="22"/>
      <c r="E197" s="23">
        <f>IF($B197&lt;&gt;"Challan","",IF(ROUND(AN197-AO197,2)&gt;0,"Over-applied",IF(ROUND(AN197-AO197,2)=0,"Fully Utilised","Unconsumed")))</f>
      </c>
      <c r="F197" s="24"/>
      <c r="G197" s="25"/>
      <c r="H197" s="25"/>
      <c r="I197" s="26"/>
      <c r="J197" s="26"/>
      <c r="K197" s="26"/>
      <c r="L197" s="26"/>
      <c r="M197" s="26"/>
      <c r="N197" s="26"/>
      <c r="O197" s="26"/>
      <c r="P197" s="27">
        <f>IF($B197&lt;&gt;"Challan","",I197+J197+K197+L197+M197+N197)</f>
      </c>
      <c r="Q197" s="25"/>
      <c r="R197" s="25"/>
      <c r="S197" s="25"/>
      <c r="T197" s="25"/>
      <c r="U197" s="25"/>
      <c r="V197" s="28"/>
      <c r="W197" s="28"/>
      <c r="X197" s="23">
        <f>IF($B197="Entry",IF(AND(LEN(TRIM(UPPER(W197)))=10,CODE(MID(TRIM(UPPER(W197)),1,1))&gt;=65,CODE(MID(TRIM(UPPER(W197)),1,1))&lt;=90,CODE(MID(TRIM(UPPER(W197)),2,1))&gt;=65,CODE(MID(TRIM(UPPER(W197)),2,1))&lt;=90,CODE(MID(TRIM(UPPER(W197)),3,1))&gt;=65,CODE(MID(TRIM(UPPER(W197)),3,1))&lt;=90,CODE(MID(TRIM(UPPER(W197)),4,1))&gt;=65,CODE(MID(TRIM(UPPER(W197)),4,1))&lt;=90,CODE(MID(TRIM(UPPER(W197)),5,1))&gt;=65,CODE(MID(TRIM(UPPER(W197)),5,1))&lt;=90,CODE(MID(TRIM(UPPER(W197)),10,1))&gt;=65,CODE(MID(TRIM(UPPER(W197)),10,1))&lt;=90,CODE(MID(TRIM(UPPER(W197)),6,1))&gt;=48,CODE(MID(TRIM(UPPER(W197)),6,1))&lt;=57,CODE(MID(TRIM(UPPER(W197)),7,1))&gt;=48,CODE(MID(TRIM(UPPER(W197)),7,1))&lt;=57,CODE(MID(TRIM(UPPER(W197)),8,1))&gt;=48,CODE(MID(TRIM(UPPER(W197)),8,1))&lt;=57,CODE(MID(TRIM(UPPER(W197)),9,1))&gt;=48,CODE(MID(TRIM(UPPER(W197)),9,1))&lt;=57),"N","Y"),IF($B197="Challan","",IF(W197&lt;&gt;"","◄ Set Row Type","")))</f>
      </c>
      <c r="Y197" s="23">
        <f>IF($B197="Entry",IF(LEN(W197)&lt;4,"",IF(UPPER(MID(W197,4,1))="P","Individual",IF(UPPER(MID(W197,4,1))="H","HUF",IF(UPPER(MID(W197,4,1))="C","Company",IF(UPPER(MID(W197,4,1))="F","Firm",IF(UPPER(MID(W197,4,1))="L","LLP",IF(UPPER(MID(W197,4,1))="T","Trust",IF(UPPER(MID(W197,4,1))="A","AOP","")))))))),IF($B197="Challan","",IF(W197&lt;&gt;"","◄ Set Row Type","")))</f>
      </c>
      <c r="Z197" s="28"/>
      <c r="AA197" s="29">
        <f>IF($B197&lt;&gt;"Entry","",IF(Z197="","",IF(X197="Y",SUMPRODUCT(('Rate Lookup'!$A$1:$A$37=Z197)*'Rate Lookup'!$D$1:$D$37),IF(OR(Y197="Individual",Y197="HUF"),SUMPRODUCT(('Rate Lookup'!$A$1:$A$37=Z197)*'Rate Lookup'!$B$1:$B$37),SUMPRODUCT(('Rate Lookup'!$A$1:$A$37=Z197)*'Rate Lookup'!$C$1:$C$37)))))</f>
      </c>
      <c r="AB197" s="30"/>
      <c r="AC197" s="31"/>
      <c r="AD197" s="27">
        <f>IF($B197&lt;&gt;"Entry","",ROUND(AC197*AA197/100,0))</f>
      </c>
      <c r="AE197" s="27">
        <f>IF($B197&lt;&gt;"Entry","",0)</f>
      </c>
      <c r="AF197" s="27">
        <f>IF($B197&lt;&gt;"Entry","",0)</f>
      </c>
      <c r="AG197" s="27">
        <f>IF($B197&lt;&gt;"Entry","",IF(OR(AD197=0,AB197="",AQ197="",AQ197&lt;=0),0,IF(AQ197&lt;=DATE(YEAR(AB197),MONTH(AB197)+1,7),0,ROUND(AD197*0.015*((YEAR(AQ197)-YEAR(AB197))*12+(MONTH(AQ197)-MONTH(AB197))+1),0))))</f>
      </c>
      <c r="AH197" s="27">
        <f>IF($B197&lt;&gt;"Entry","",0)</f>
      </c>
      <c r="AI197" s="28"/>
      <c r="AJ197" s="28"/>
      <c r="AK197" s="32"/>
      <c r="AL197" s="28"/>
      <c r="AM197" s="28"/>
      <c r="AN197" s="27">
        <f>IF($B197&lt;&gt;"Challan","",SUMIF('Q1 Data'!$D$4:$D$207,D197,'Q1 Data'!$AD$4:$AD$207)+SUMIF('Q1 Data'!$D$4:$D$207,D197,'Q1 Data'!$AG$4:$AG$207)+SUMIF('Q1 Data'!$D$4:$D$207,D197,'Q1 Data'!$AE$4:$AE$207)+SUMIF('Q2 Data'!$D$4:$D$207,D197,'Q2 Data'!$AD$4:$AD$207)+SUMIF('Q2 Data'!$D$4:$D$207,D197,'Q2 Data'!$AG$4:$AG$207)+SUMIF('Q2 Data'!$D$4:$D$207,D197,'Q2 Data'!$AE$4:$AE$207)+SUMIF('Q3 Data'!$D$4:$D$207,D197,'Q3 Data'!$AD$4:$AD$207)+SUMIF('Q3 Data'!$D$4:$D$207,D197,'Q3 Data'!$AG$4:$AG$207)+SUMIF('Q3 Data'!$D$4:$D$207,D197,'Q3 Data'!$AE$4:$AE$207)+SUMIF('Q4 Data'!$D$4:$D$207,D197,'Q4 Data'!$AD$4:$AD$207)+SUMIF('Q4 Data'!$D$4:$D$207,D197,'Q4 Data'!$AG$4:$AG$207)+SUMIF('Q4 Data'!$D$4:$D$207,D197,'Q4 Data'!$AE$4:$AE$207))</f>
      </c>
      <c r="AO197" s="27">
        <f>IF($B197&lt;&gt;"Challan","",P197-N197)</f>
      </c>
      <c r="AP197" s="27">
        <f>IF($B197&lt;&gt;"Challan","",MAX(0,AO197-AN197))</f>
      </c>
      <c r="AQ197" s="33">
        <f>IF($B197&lt;&gt;"Entry","",SUMPRODUCT(('Q1 Data'!$D$4:$D$207=D197)*('Q1 Data'!$B$4:$B$207="Challan")*'Q1 Data'!$F$4:$F$207)+SUMPRODUCT(('Q2 Data'!$D$4:$D$207=D197)*('Q2 Data'!$B$4:$B$207="Challan")*'Q2 Data'!$F$4:$F$207)+SUMPRODUCT(('Q3 Data'!$D$4:$D$207=D197)*('Q3 Data'!$B$4:$B$207="Challan")*'Q3 Data'!$F$4:$F$207)+SUMPRODUCT(('Q4 Data'!$D$4:$D$207=D197)*('Q4 Data'!$B$4:$B$207="Challan")*'Q4 Data'!$F$4:$F$207))</f>
      </c>
      <c r="AR197" s="34">
        <f>IF(OR($B197&lt;&gt;"Entry",Z197=""),FALSE,AND((SUMPRODUCT(('Q1 Data'!$D$4:$D$207=D197)*('Q1 Data'!$B$4:$B$207="Challan")*('Q1 Data'!$H$4:$H$207&lt;&gt;""))+SUMPRODUCT(('Q2 Data'!$D$4:$D$207=D197)*('Q2 Data'!$B$4:$B$207="Challan")*('Q2 Data'!$H$4:$H$207&lt;&gt;""))+SUMPRODUCT(('Q3 Data'!$D$4:$D$207=D197)*('Q3 Data'!$B$4:$B$207="Challan")*('Q3 Data'!$H$4:$H$207&lt;&gt;""))+SUMPRODUCT(('Q4 Data'!$D$4:$D$207=D197)*('Q4 Data'!$B$4:$B$207="Challan")*('Q4 Data'!$H$4:$H$207&lt;&gt;"")))&gt;0,(SUMPRODUCT(('Q1 Data'!$D$4:$D$207=D197)*('Q1 Data'!$B$4:$B$207="Challan")*('Q1 Data'!$H$4:$H$207=Z197))+SUMPRODUCT(('Q2 Data'!$D$4:$D$207=D197)*('Q2 Data'!$B$4:$B$207="Challan")*('Q2 Data'!$H$4:$H$207=Z197))+SUMPRODUCT(('Q3 Data'!$D$4:$D$207=D197)*('Q3 Data'!$B$4:$B$207="Challan")*('Q3 Data'!$H$4:$H$207=Z197))+SUMPRODUCT(('Q4 Data'!$D$4:$D$207=D197)*('Q4 Data'!$B$4:$B$207="Challan")*('Q4 Data'!$H$4:$H$207=Z197)))=0))</f>
      </c>
    </row>
    <row r="198" spans="1:44" x14ac:dyDescent="0.25">
      <c r="A198" s="20">
        <f>IF($B198="Entry",COUNTIF($B$4:$B198,"Entry"),"")</f>
      </c>
      <c r="B198" s="21"/>
      <c r="C198" s="22"/>
      <c r="D198" s="22"/>
      <c r="E198" s="23">
        <f>IF($B198&lt;&gt;"Challan","",IF(ROUND(AN198-AO198,2)&gt;0,"Over-applied",IF(ROUND(AN198-AO198,2)=0,"Fully Utilised","Unconsumed")))</f>
      </c>
      <c r="F198" s="24"/>
      <c r="G198" s="25"/>
      <c r="H198" s="25"/>
      <c r="I198" s="26"/>
      <c r="J198" s="26"/>
      <c r="K198" s="26"/>
      <c r="L198" s="26"/>
      <c r="M198" s="26"/>
      <c r="N198" s="26"/>
      <c r="O198" s="26"/>
      <c r="P198" s="27">
        <f>IF($B198&lt;&gt;"Challan","",I198+J198+K198+L198+M198+N198)</f>
      </c>
      <c r="Q198" s="25"/>
      <c r="R198" s="25"/>
      <c r="S198" s="25"/>
      <c r="T198" s="25"/>
      <c r="U198" s="25"/>
      <c r="V198" s="28"/>
      <c r="W198" s="28"/>
      <c r="X198" s="23">
        <f>IF($B198="Entry",IF(AND(LEN(TRIM(UPPER(W198)))=10,CODE(MID(TRIM(UPPER(W198)),1,1))&gt;=65,CODE(MID(TRIM(UPPER(W198)),1,1))&lt;=90,CODE(MID(TRIM(UPPER(W198)),2,1))&gt;=65,CODE(MID(TRIM(UPPER(W198)),2,1))&lt;=90,CODE(MID(TRIM(UPPER(W198)),3,1))&gt;=65,CODE(MID(TRIM(UPPER(W198)),3,1))&lt;=90,CODE(MID(TRIM(UPPER(W198)),4,1))&gt;=65,CODE(MID(TRIM(UPPER(W198)),4,1))&lt;=90,CODE(MID(TRIM(UPPER(W198)),5,1))&gt;=65,CODE(MID(TRIM(UPPER(W198)),5,1))&lt;=90,CODE(MID(TRIM(UPPER(W198)),10,1))&gt;=65,CODE(MID(TRIM(UPPER(W198)),10,1))&lt;=90,CODE(MID(TRIM(UPPER(W198)),6,1))&gt;=48,CODE(MID(TRIM(UPPER(W198)),6,1))&lt;=57,CODE(MID(TRIM(UPPER(W198)),7,1))&gt;=48,CODE(MID(TRIM(UPPER(W198)),7,1))&lt;=57,CODE(MID(TRIM(UPPER(W198)),8,1))&gt;=48,CODE(MID(TRIM(UPPER(W198)),8,1))&lt;=57,CODE(MID(TRIM(UPPER(W198)),9,1))&gt;=48,CODE(MID(TRIM(UPPER(W198)),9,1))&lt;=57),"N","Y"),IF($B198="Challan","",IF(W198&lt;&gt;"","◄ Set Row Type","")))</f>
      </c>
      <c r="Y198" s="23">
        <f>IF($B198="Entry",IF(LEN(W198)&lt;4,"",IF(UPPER(MID(W198,4,1))="P","Individual",IF(UPPER(MID(W198,4,1))="H","HUF",IF(UPPER(MID(W198,4,1))="C","Company",IF(UPPER(MID(W198,4,1))="F","Firm",IF(UPPER(MID(W198,4,1))="L","LLP",IF(UPPER(MID(W198,4,1))="T","Trust",IF(UPPER(MID(W198,4,1))="A","AOP","")))))))),IF($B198="Challan","",IF(W198&lt;&gt;"","◄ Set Row Type","")))</f>
      </c>
      <c r="Z198" s="28"/>
      <c r="AA198" s="29">
        <f>IF($B198&lt;&gt;"Entry","",IF(Z198="","",IF(X198="Y",SUMPRODUCT(('Rate Lookup'!$A$1:$A$37=Z198)*'Rate Lookup'!$D$1:$D$37),IF(OR(Y198="Individual",Y198="HUF"),SUMPRODUCT(('Rate Lookup'!$A$1:$A$37=Z198)*'Rate Lookup'!$B$1:$B$37),SUMPRODUCT(('Rate Lookup'!$A$1:$A$37=Z198)*'Rate Lookup'!$C$1:$C$37)))))</f>
      </c>
      <c r="AB198" s="30"/>
      <c r="AC198" s="31"/>
      <c r="AD198" s="27">
        <f>IF($B198&lt;&gt;"Entry","",ROUND(AC198*AA198/100,0))</f>
      </c>
      <c r="AE198" s="27">
        <f>IF($B198&lt;&gt;"Entry","",0)</f>
      </c>
      <c r="AF198" s="27">
        <f>IF($B198&lt;&gt;"Entry","",0)</f>
      </c>
      <c r="AG198" s="27">
        <f>IF($B198&lt;&gt;"Entry","",IF(OR(AD198=0,AB198="",AQ198="",AQ198&lt;=0),0,IF(AQ198&lt;=DATE(YEAR(AB198),MONTH(AB198)+1,7),0,ROUND(AD198*0.015*((YEAR(AQ198)-YEAR(AB198))*12+(MONTH(AQ198)-MONTH(AB198))+1),0))))</f>
      </c>
      <c r="AH198" s="27">
        <f>IF($B198&lt;&gt;"Entry","",0)</f>
      </c>
      <c r="AI198" s="28"/>
      <c r="AJ198" s="28"/>
      <c r="AK198" s="32"/>
      <c r="AL198" s="28"/>
      <c r="AM198" s="28"/>
      <c r="AN198" s="27">
        <f>IF($B198&lt;&gt;"Challan","",SUMIF('Q1 Data'!$D$4:$D$207,D198,'Q1 Data'!$AD$4:$AD$207)+SUMIF('Q1 Data'!$D$4:$D$207,D198,'Q1 Data'!$AG$4:$AG$207)+SUMIF('Q1 Data'!$D$4:$D$207,D198,'Q1 Data'!$AE$4:$AE$207)+SUMIF('Q2 Data'!$D$4:$D$207,D198,'Q2 Data'!$AD$4:$AD$207)+SUMIF('Q2 Data'!$D$4:$D$207,D198,'Q2 Data'!$AG$4:$AG$207)+SUMIF('Q2 Data'!$D$4:$D$207,D198,'Q2 Data'!$AE$4:$AE$207)+SUMIF('Q3 Data'!$D$4:$D$207,D198,'Q3 Data'!$AD$4:$AD$207)+SUMIF('Q3 Data'!$D$4:$D$207,D198,'Q3 Data'!$AG$4:$AG$207)+SUMIF('Q3 Data'!$D$4:$D$207,D198,'Q3 Data'!$AE$4:$AE$207)+SUMIF('Q4 Data'!$D$4:$D$207,D198,'Q4 Data'!$AD$4:$AD$207)+SUMIF('Q4 Data'!$D$4:$D$207,D198,'Q4 Data'!$AG$4:$AG$207)+SUMIF('Q4 Data'!$D$4:$D$207,D198,'Q4 Data'!$AE$4:$AE$207))</f>
      </c>
      <c r="AO198" s="27">
        <f>IF($B198&lt;&gt;"Challan","",P198-N198)</f>
      </c>
      <c r="AP198" s="27">
        <f>IF($B198&lt;&gt;"Challan","",MAX(0,AO198-AN198))</f>
      </c>
      <c r="AQ198" s="33">
        <f>IF($B198&lt;&gt;"Entry","",SUMPRODUCT(('Q1 Data'!$D$4:$D$207=D198)*('Q1 Data'!$B$4:$B$207="Challan")*'Q1 Data'!$F$4:$F$207)+SUMPRODUCT(('Q2 Data'!$D$4:$D$207=D198)*('Q2 Data'!$B$4:$B$207="Challan")*'Q2 Data'!$F$4:$F$207)+SUMPRODUCT(('Q3 Data'!$D$4:$D$207=D198)*('Q3 Data'!$B$4:$B$207="Challan")*'Q3 Data'!$F$4:$F$207)+SUMPRODUCT(('Q4 Data'!$D$4:$D$207=D198)*('Q4 Data'!$B$4:$B$207="Challan")*'Q4 Data'!$F$4:$F$207))</f>
      </c>
      <c r="AR198" s="34">
        <f>IF(OR($B198&lt;&gt;"Entry",Z198=""),FALSE,AND((SUMPRODUCT(('Q1 Data'!$D$4:$D$207=D198)*('Q1 Data'!$B$4:$B$207="Challan")*('Q1 Data'!$H$4:$H$207&lt;&gt;""))+SUMPRODUCT(('Q2 Data'!$D$4:$D$207=D198)*('Q2 Data'!$B$4:$B$207="Challan")*('Q2 Data'!$H$4:$H$207&lt;&gt;""))+SUMPRODUCT(('Q3 Data'!$D$4:$D$207=D198)*('Q3 Data'!$B$4:$B$207="Challan")*('Q3 Data'!$H$4:$H$207&lt;&gt;""))+SUMPRODUCT(('Q4 Data'!$D$4:$D$207=D198)*('Q4 Data'!$B$4:$B$207="Challan")*('Q4 Data'!$H$4:$H$207&lt;&gt;"")))&gt;0,(SUMPRODUCT(('Q1 Data'!$D$4:$D$207=D198)*('Q1 Data'!$B$4:$B$207="Challan")*('Q1 Data'!$H$4:$H$207=Z198))+SUMPRODUCT(('Q2 Data'!$D$4:$D$207=D198)*('Q2 Data'!$B$4:$B$207="Challan")*('Q2 Data'!$H$4:$H$207=Z198))+SUMPRODUCT(('Q3 Data'!$D$4:$D$207=D198)*('Q3 Data'!$B$4:$B$207="Challan")*('Q3 Data'!$H$4:$H$207=Z198))+SUMPRODUCT(('Q4 Data'!$D$4:$D$207=D198)*('Q4 Data'!$B$4:$B$207="Challan")*('Q4 Data'!$H$4:$H$207=Z198)))=0))</f>
      </c>
    </row>
    <row r="199" spans="1:44" x14ac:dyDescent="0.25">
      <c r="A199" s="20">
        <f>IF($B199="Entry",COUNTIF($B$4:$B199,"Entry"),"")</f>
      </c>
      <c r="B199" s="21"/>
      <c r="C199" s="22"/>
      <c r="D199" s="22"/>
      <c r="E199" s="23">
        <f>IF($B199&lt;&gt;"Challan","",IF(ROUND(AN199-AO199,2)&gt;0,"Over-applied",IF(ROUND(AN199-AO199,2)=0,"Fully Utilised","Unconsumed")))</f>
      </c>
      <c r="F199" s="24"/>
      <c r="G199" s="25"/>
      <c r="H199" s="25"/>
      <c r="I199" s="26"/>
      <c r="J199" s="26"/>
      <c r="K199" s="26"/>
      <c r="L199" s="26"/>
      <c r="M199" s="26"/>
      <c r="N199" s="26"/>
      <c r="O199" s="26"/>
      <c r="P199" s="27">
        <f>IF($B199&lt;&gt;"Challan","",I199+J199+K199+L199+M199+N199)</f>
      </c>
      <c r="Q199" s="25"/>
      <c r="R199" s="25"/>
      <c r="S199" s="25"/>
      <c r="T199" s="25"/>
      <c r="U199" s="25"/>
      <c r="V199" s="28"/>
      <c r="W199" s="28"/>
      <c r="X199" s="23">
        <f>IF($B199="Entry",IF(AND(LEN(TRIM(UPPER(W199)))=10,CODE(MID(TRIM(UPPER(W199)),1,1))&gt;=65,CODE(MID(TRIM(UPPER(W199)),1,1))&lt;=90,CODE(MID(TRIM(UPPER(W199)),2,1))&gt;=65,CODE(MID(TRIM(UPPER(W199)),2,1))&lt;=90,CODE(MID(TRIM(UPPER(W199)),3,1))&gt;=65,CODE(MID(TRIM(UPPER(W199)),3,1))&lt;=90,CODE(MID(TRIM(UPPER(W199)),4,1))&gt;=65,CODE(MID(TRIM(UPPER(W199)),4,1))&lt;=90,CODE(MID(TRIM(UPPER(W199)),5,1))&gt;=65,CODE(MID(TRIM(UPPER(W199)),5,1))&lt;=90,CODE(MID(TRIM(UPPER(W199)),10,1))&gt;=65,CODE(MID(TRIM(UPPER(W199)),10,1))&lt;=90,CODE(MID(TRIM(UPPER(W199)),6,1))&gt;=48,CODE(MID(TRIM(UPPER(W199)),6,1))&lt;=57,CODE(MID(TRIM(UPPER(W199)),7,1))&gt;=48,CODE(MID(TRIM(UPPER(W199)),7,1))&lt;=57,CODE(MID(TRIM(UPPER(W199)),8,1))&gt;=48,CODE(MID(TRIM(UPPER(W199)),8,1))&lt;=57,CODE(MID(TRIM(UPPER(W199)),9,1))&gt;=48,CODE(MID(TRIM(UPPER(W199)),9,1))&lt;=57),"N","Y"),IF($B199="Challan","",IF(W199&lt;&gt;"","◄ Set Row Type","")))</f>
      </c>
      <c r="Y199" s="23">
        <f>IF($B199="Entry",IF(LEN(W199)&lt;4,"",IF(UPPER(MID(W199,4,1))="P","Individual",IF(UPPER(MID(W199,4,1))="H","HUF",IF(UPPER(MID(W199,4,1))="C","Company",IF(UPPER(MID(W199,4,1))="F","Firm",IF(UPPER(MID(W199,4,1))="L","LLP",IF(UPPER(MID(W199,4,1))="T","Trust",IF(UPPER(MID(W199,4,1))="A","AOP","")))))))),IF($B199="Challan","",IF(W199&lt;&gt;"","◄ Set Row Type","")))</f>
      </c>
      <c r="Z199" s="28"/>
      <c r="AA199" s="29">
        <f>IF($B199&lt;&gt;"Entry","",IF(Z199="","",IF(X199="Y",SUMPRODUCT(('Rate Lookup'!$A$1:$A$37=Z199)*'Rate Lookup'!$D$1:$D$37),IF(OR(Y199="Individual",Y199="HUF"),SUMPRODUCT(('Rate Lookup'!$A$1:$A$37=Z199)*'Rate Lookup'!$B$1:$B$37),SUMPRODUCT(('Rate Lookup'!$A$1:$A$37=Z199)*'Rate Lookup'!$C$1:$C$37)))))</f>
      </c>
      <c r="AB199" s="30"/>
      <c r="AC199" s="31"/>
      <c r="AD199" s="27">
        <f>IF($B199&lt;&gt;"Entry","",ROUND(AC199*AA199/100,0))</f>
      </c>
      <c r="AE199" s="27">
        <f>IF($B199&lt;&gt;"Entry","",0)</f>
      </c>
      <c r="AF199" s="27">
        <f>IF($B199&lt;&gt;"Entry","",0)</f>
      </c>
      <c r="AG199" s="27">
        <f>IF($B199&lt;&gt;"Entry","",IF(OR(AD199=0,AB199="",AQ199="",AQ199&lt;=0),0,IF(AQ199&lt;=DATE(YEAR(AB199),MONTH(AB199)+1,7),0,ROUND(AD199*0.015*((YEAR(AQ199)-YEAR(AB199))*12+(MONTH(AQ199)-MONTH(AB199))+1),0))))</f>
      </c>
      <c r="AH199" s="27">
        <f>IF($B199&lt;&gt;"Entry","",0)</f>
      </c>
      <c r="AI199" s="28"/>
      <c r="AJ199" s="28"/>
      <c r="AK199" s="32"/>
      <c r="AL199" s="28"/>
      <c r="AM199" s="28"/>
      <c r="AN199" s="27">
        <f>IF($B199&lt;&gt;"Challan","",SUMIF('Q1 Data'!$D$4:$D$207,D199,'Q1 Data'!$AD$4:$AD$207)+SUMIF('Q1 Data'!$D$4:$D$207,D199,'Q1 Data'!$AG$4:$AG$207)+SUMIF('Q1 Data'!$D$4:$D$207,D199,'Q1 Data'!$AE$4:$AE$207)+SUMIF('Q2 Data'!$D$4:$D$207,D199,'Q2 Data'!$AD$4:$AD$207)+SUMIF('Q2 Data'!$D$4:$D$207,D199,'Q2 Data'!$AG$4:$AG$207)+SUMIF('Q2 Data'!$D$4:$D$207,D199,'Q2 Data'!$AE$4:$AE$207)+SUMIF('Q3 Data'!$D$4:$D$207,D199,'Q3 Data'!$AD$4:$AD$207)+SUMIF('Q3 Data'!$D$4:$D$207,D199,'Q3 Data'!$AG$4:$AG$207)+SUMIF('Q3 Data'!$D$4:$D$207,D199,'Q3 Data'!$AE$4:$AE$207)+SUMIF('Q4 Data'!$D$4:$D$207,D199,'Q4 Data'!$AD$4:$AD$207)+SUMIF('Q4 Data'!$D$4:$D$207,D199,'Q4 Data'!$AG$4:$AG$207)+SUMIF('Q4 Data'!$D$4:$D$207,D199,'Q4 Data'!$AE$4:$AE$207))</f>
      </c>
      <c r="AO199" s="27">
        <f>IF($B199&lt;&gt;"Challan","",P199-N199)</f>
      </c>
      <c r="AP199" s="27">
        <f>IF($B199&lt;&gt;"Challan","",MAX(0,AO199-AN199))</f>
      </c>
      <c r="AQ199" s="33">
        <f>IF($B199&lt;&gt;"Entry","",SUMPRODUCT(('Q1 Data'!$D$4:$D$207=D199)*('Q1 Data'!$B$4:$B$207="Challan")*'Q1 Data'!$F$4:$F$207)+SUMPRODUCT(('Q2 Data'!$D$4:$D$207=D199)*('Q2 Data'!$B$4:$B$207="Challan")*'Q2 Data'!$F$4:$F$207)+SUMPRODUCT(('Q3 Data'!$D$4:$D$207=D199)*('Q3 Data'!$B$4:$B$207="Challan")*'Q3 Data'!$F$4:$F$207)+SUMPRODUCT(('Q4 Data'!$D$4:$D$207=D199)*('Q4 Data'!$B$4:$B$207="Challan")*'Q4 Data'!$F$4:$F$207))</f>
      </c>
      <c r="AR199" s="34">
        <f>IF(OR($B199&lt;&gt;"Entry",Z199=""),FALSE,AND((SUMPRODUCT(('Q1 Data'!$D$4:$D$207=D199)*('Q1 Data'!$B$4:$B$207="Challan")*('Q1 Data'!$H$4:$H$207&lt;&gt;""))+SUMPRODUCT(('Q2 Data'!$D$4:$D$207=D199)*('Q2 Data'!$B$4:$B$207="Challan")*('Q2 Data'!$H$4:$H$207&lt;&gt;""))+SUMPRODUCT(('Q3 Data'!$D$4:$D$207=D199)*('Q3 Data'!$B$4:$B$207="Challan")*('Q3 Data'!$H$4:$H$207&lt;&gt;""))+SUMPRODUCT(('Q4 Data'!$D$4:$D$207=D199)*('Q4 Data'!$B$4:$B$207="Challan")*('Q4 Data'!$H$4:$H$207&lt;&gt;"")))&gt;0,(SUMPRODUCT(('Q1 Data'!$D$4:$D$207=D199)*('Q1 Data'!$B$4:$B$207="Challan")*('Q1 Data'!$H$4:$H$207=Z199))+SUMPRODUCT(('Q2 Data'!$D$4:$D$207=D199)*('Q2 Data'!$B$4:$B$207="Challan")*('Q2 Data'!$H$4:$H$207=Z199))+SUMPRODUCT(('Q3 Data'!$D$4:$D$207=D199)*('Q3 Data'!$B$4:$B$207="Challan")*('Q3 Data'!$H$4:$H$207=Z199))+SUMPRODUCT(('Q4 Data'!$D$4:$D$207=D199)*('Q4 Data'!$B$4:$B$207="Challan")*('Q4 Data'!$H$4:$H$207=Z199)))=0))</f>
      </c>
    </row>
    <row r="200" spans="1:44" x14ac:dyDescent="0.25">
      <c r="A200" s="20">
        <f>IF($B200="Entry",COUNTIF($B$4:$B200,"Entry"),"")</f>
      </c>
      <c r="B200" s="21"/>
      <c r="C200" s="22"/>
      <c r="D200" s="22"/>
      <c r="E200" s="23">
        <f>IF($B200&lt;&gt;"Challan","",IF(ROUND(AN200-AO200,2)&gt;0,"Over-applied",IF(ROUND(AN200-AO200,2)=0,"Fully Utilised","Unconsumed")))</f>
      </c>
      <c r="F200" s="24"/>
      <c r="G200" s="25"/>
      <c r="H200" s="25"/>
      <c r="I200" s="26"/>
      <c r="J200" s="26"/>
      <c r="K200" s="26"/>
      <c r="L200" s="26"/>
      <c r="M200" s="26"/>
      <c r="N200" s="26"/>
      <c r="O200" s="26"/>
      <c r="P200" s="27">
        <f>IF($B200&lt;&gt;"Challan","",I200+J200+K200+L200+M200+N200)</f>
      </c>
      <c r="Q200" s="25"/>
      <c r="R200" s="25"/>
      <c r="S200" s="25"/>
      <c r="T200" s="25"/>
      <c r="U200" s="25"/>
      <c r="V200" s="28"/>
      <c r="W200" s="28"/>
      <c r="X200" s="23">
        <f>IF($B200="Entry",IF(AND(LEN(TRIM(UPPER(W200)))=10,CODE(MID(TRIM(UPPER(W200)),1,1))&gt;=65,CODE(MID(TRIM(UPPER(W200)),1,1))&lt;=90,CODE(MID(TRIM(UPPER(W200)),2,1))&gt;=65,CODE(MID(TRIM(UPPER(W200)),2,1))&lt;=90,CODE(MID(TRIM(UPPER(W200)),3,1))&gt;=65,CODE(MID(TRIM(UPPER(W200)),3,1))&lt;=90,CODE(MID(TRIM(UPPER(W200)),4,1))&gt;=65,CODE(MID(TRIM(UPPER(W200)),4,1))&lt;=90,CODE(MID(TRIM(UPPER(W200)),5,1))&gt;=65,CODE(MID(TRIM(UPPER(W200)),5,1))&lt;=90,CODE(MID(TRIM(UPPER(W200)),10,1))&gt;=65,CODE(MID(TRIM(UPPER(W200)),10,1))&lt;=90,CODE(MID(TRIM(UPPER(W200)),6,1))&gt;=48,CODE(MID(TRIM(UPPER(W200)),6,1))&lt;=57,CODE(MID(TRIM(UPPER(W200)),7,1))&gt;=48,CODE(MID(TRIM(UPPER(W200)),7,1))&lt;=57,CODE(MID(TRIM(UPPER(W200)),8,1))&gt;=48,CODE(MID(TRIM(UPPER(W200)),8,1))&lt;=57,CODE(MID(TRIM(UPPER(W200)),9,1))&gt;=48,CODE(MID(TRIM(UPPER(W200)),9,1))&lt;=57),"N","Y"),IF($B200="Challan","",IF(W200&lt;&gt;"","◄ Set Row Type","")))</f>
      </c>
      <c r="Y200" s="23">
        <f>IF($B200="Entry",IF(LEN(W200)&lt;4,"",IF(UPPER(MID(W200,4,1))="P","Individual",IF(UPPER(MID(W200,4,1))="H","HUF",IF(UPPER(MID(W200,4,1))="C","Company",IF(UPPER(MID(W200,4,1))="F","Firm",IF(UPPER(MID(W200,4,1))="L","LLP",IF(UPPER(MID(W200,4,1))="T","Trust",IF(UPPER(MID(W200,4,1))="A","AOP","")))))))),IF($B200="Challan","",IF(W200&lt;&gt;"","◄ Set Row Type","")))</f>
      </c>
      <c r="Z200" s="28"/>
      <c r="AA200" s="29">
        <f>IF($B200&lt;&gt;"Entry","",IF(Z200="","",IF(X200="Y",SUMPRODUCT(('Rate Lookup'!$A$1:$A$37=Z200)*'Rate Lookup'!$D$1:$D$37),IF(OR(Y200="Individual",Y200="HUF"),SUMPRODUCT(('Rate Lookup'!$A$1:$A$37=Z200)*'Rate Lookup'!$B$1:$B$37),SUMPRODUCT(('Rate Lookup'!$A$1:$A$37=Z200)*'Rate Lookup'!$C$1:$C$37)))))</f>
      </c>
      <c r="AB200" s="30"/>
      <c r="AC200" s="31"/>
      <c r="AD200" s="27">
        <f>IF($B200&lt;&gt;"Entry","",ROUND(AC200*AA200/100,0))</f>
      </c>
      <c r="AE200" s="27">
        <f>IF($B200&lt;&gt;"Entry","",0)</f>
      </c>
      <c r="AF200" s="27">
        <f>IF($B200&lt;&gt;"Entry","",0)</f>
      </c>
      <c r="AG200" s="27">
        <f>IF($B200&lt;&gt;"Entry","",IF(OR(AD200=0,AB200="",AQ200="",AQ200&lt;=0),0,IF(AQ200&lt;=DATE(YEAR(AB200),MONTH(AB200)+1,7),0,ROUND(AD200*0.015*((YEAR(AQ200)-YEAR(AB200))*12+(MONTH(AQ200)-MONTH(AB200))+1),0))))</f>
      </c>
      <c r="AH200" s="27">
        <f>IF($B200&lt;&gt;"Entry","",0)</f>
      </c>
      <c r="AI200" s="28"/>
      <c r="AJ200" s="28"/>
      <c r="AK200" s="32"/>
      <c r="AL200" s="28"/>
      <c r="AM200" s="28"/>
      <c r="AN200" s="27">
        <f>IF($B200&lt;&gt;"Challan","",SUMIF('Q1 Data'!$D$4:$D$207,D200,'Q1 Data'!$AD$4:$AD$207)+SUMIF('Q1 Data'!$D$4:$D$207,D200,'Q1 Data'!$AG$4:$AG$207)+SUMIF('Q1 Data'!$D$4:$D$207,D200,'Q1 Data'!$AE$4:$AE$207)+SUMIF('Q2 Data'!$D$4:$D$207,D200,'Q2 Data'!$AD$4:$AD$207)+SUMIF('Q2 Data'!$D$4:$D$207,D200,'Q2 Data'!$AG$4:$AG$207)+SUMIF('Q2 Data'!$D$4:$D$207,D200,'Q2 Data'!$AE$4:$AE$207)+SUMIF('Q3 Data'!$D$4:$D$207,D200,'Q3 Data'!$AD$4:$AD$207)+SUMIF('Q3 Data'!$D$4:$D$207,D200,'Q3 Data'!$AG$4:$AG$207)+SUMIF('Q3 Data'!$D$4:$D$207,D200,'Q3 Data'!$AE$4:$AE$207)+SUMIF('Q4 Data'!$D$4:$D$207,D200,'Q4 Data'!$AD$4:$AD$207)+SUMIF('Q4 Data'!$D$4:$D$207,D200,'Q4 Data'!$AG$4:$AG$207)+SUMIF('Q4 Data'!$D$4:$D$207,D200,'Q4 Data'!$AE$4:$AE$207))</f>
      </c>
      <c r="AO200" s="27">
        <f>IF($B200&lt;&gt;"Challan","",P200-N200)</f>
      </c>
      <c r="AP200" s="27">
        <f>IF($B200&lt;&gt;"Challan","",MAX(0,AO200-AN200))</f>
      </c>
      <c r="AQ200" s="33">
        <f>IF($B200&lt;&gt;"Entry","",SUMPRODUCT(('Q1 Data'!$D$4:$D$207=D200)*('Q1 Data'!$B$4:$B$207="Challan")*'Q1 Data'!$F$4:$F$207)+SUMPRODUCT(('Q2 Data'!$D$4:$D$207=D200)*('Q2 Data'!$B$4:$B$207="Challan")*'Q2 Data'!$F$4:$F$207)+SUMPRODUCT(('Q3 Data'!$D$4:$D$207=D200)*('Q3 Data'!$B$4:$B$207="Challan")*'Q3 Data'!$F$4:$F$207)+SUMPRODUCT(('Q4 Data'!$D$4:$D$207=D200)*('Q4 Data'!$B$4:$B$207="Challan")*'Q4 Data'!$F$4:$F$207))</f>
      </c>
      <c r="AR200" s="34">
        <f>IF(OR($B200&lt;&gt;"Entry",Z200=""),FALSE,AND((SUMPRODUCT(('Q1 Data'!$D$4:$D$207=D200)*('Q1 Data'!$B$4:$B$207="Challan")*('Q1 Data'!$H$4:$H$207&lt;&gt;""))+SUMPRODUCT(('Q2 Data'!$D$4:$D$207=D200)*('Q2 Data'!$B$4:$B$207="Challan")*('Q2 Data'!$H$4:$H$207&lt;&gt;""))+SUMPRODUCT(('Q3 Data'!$D$4:$D$207=D200)*('Q3 Data'!$B$4:$B$207="Challan")*('Q3 Data'!$H$4:$H$207&lt;&gt;""))+SUMPRODUCT(('Q4 Data'!$D$4:$D$207=D200)*('Q4 Data'!$B$4:$B$207="Challan")*('Q4 Data'!$H$4:$H$207&lt;&gt;"")))&gt;0,(SUMPRODUCT(('Q1 Data'!$D$4:$D$207=D200)*('Q1 Data'!$B$4:$B$207="Challan")*('Q1 Data'!$H$4:$H$207=Z200))+SUMPRODUCT(('Q2 Data'!$D$4:$D$207=D200)*('Q2 Data'!$B$4:$B$207="Challan")*('Q2 Data'!$H$4:$H$207=Z200))+SUMPRODUCT(('Q3 Data'!$D$4:$D$207=D200)*('Q3 Data'!$B$4:$B$207="Challan")*('Q3 Data'!$H$4:$H$207=Z200))+SUMPRODUCT(('Q4 Data'!$D$4:$D$207=D200)*('Q4 Data'!$B$4:$B$207="Challan")*('Q4 Data'!$H$4:$H$207=Z200)))=0))</f>
      </c>
    </row>
    <row r="201" spans="1:44" x14ac:dyDescent="0.25">
      <c r="A201" s="20">
        <f>IF($B201="Entry",COUNTIF($B$4:$B201,"Entry"),"")</f>
      </c>
      <c r="B201" s="21"/>
      <c r="C201" s="22"/>
      <c r="D201" s="22"/>
      <c r="E201" s="23">
        <f>IF($B201&lt;&gt;"Challan","",IF(ROUND(AN201-AO201,2)&gt;0,"Over-applied",IF(ROUND(AN201-AO201,2)=0,"Fully Utilised","Unconsumed")))</f>
      </c>
      <c r="F201" s="24"/>
      <c r="G201" s="25"/>
      <c r="H201" s="25"/>
      <c r="I201" s="26"/>
      <c r="J201" s="26"/>
      <c r="K201" s="26"/>
      <c r="L201" s="26"/>
      <c r="M201" s="26"/>
      <c r="N201" s="26"/>
      <c r="O201" s="26"/>
      <c r="P201" s="27">
        <f>IF($B201&lt;&gt;"Challan","",I201+J201+K201+L201+M201+N201)</f>
      </c>
      <c r="Q201" s="25"/>
      <c r="R201" s="25"/>
      <c r="S201" s="25"/>
      <c r="T201" s="25"/>
      <c r="U201" s="25"/>
      <c r="V201" s="28"/>
      <c r="W201" s="28"/>
      <c r="X201" s="23">
        <f>IF($B201="Entry",IF(AND(LEN(TRIM(UPPER(W201)))=10,CODE(MID(TRIM(UPPER(W201)),1,1))&gt;=65,CODE(MID(TRIM(UPPER(W201)),1,1))&lt;=90,CODE(MID(TRIM(UPPER(W201)),2,1))&gt;=65,CODE(MID(TRIM(UPPER(W201)),2,1))&lt;=90,CODE(MID(TRIM(UPPER(W201)),3,1))&gt;=65,CODE(MID(TRIM(UPPER(W201)),3,1))&lt;=90,CODE(MID(TRIM(UPPER(W201)),4,1))&gt;=65,CODE(MID(TRIM(UPPER(W201)),4,1))&lt;=90,CODE(MID(TRIM(UPPER(W201)),5,1))&gt;=65,CODE(MID(TRIM(UPPER(W201)),5,1))&lt;=90,CODE(MID(TRIM(UPPER(W201)),10,1))&gt;=65,CODE(MID(TRIM(UPPER(W201)),10,1))&lt;=90,CODE(MID(TRIM(UPPER(W201)),6,1))&gt;=48,CODE(MID(TRIM(UPPER(W201)),6,1))&lt;=57,CODE(MID(TRIM(UPPER(W201)),7,1))&gt;=48,CODE(MID(TRIM(UPPER(W201)),7,1))&lt;=57,CODE(MID(TRIM(UPPER(W201)),8,1))&gt;=48,CODE(MID(TRIM(UPPER(W201)),8,1))&lt;=57,CODE(MID(TRIM(UPPER(W201)),9,1))&gt;=48,CODE(MID(TRIM(UPPER(W201)),9,1))&lt;=57),"N","Y"),IF($B201="Challan","",IF(W201&lt;&gt;"","◄ Set Row Type","")))</f>
      </c>
      <c r="Y201" s="23">
        <f>IF($B201="Entry",IF(LEN(W201)&lt;4,"",IF(UPPER(MID(W201,4,1))="P","Individual",IF(UPPER(MID(W201,4,1))="H","HUF",IF(UPPER(MID(W201,4,1))="C","Company",IF(UPPER(MID(W201,4,1))="F","Firm",IF(UPPER(MID(W201,4,1))="L","LLP",IF(UPPER(MID(W201,4,1))="T","Trust",IF(UPPER(MID(W201,4,1))="A","AOP","")))))))),IF($B201="Challan","",IF(W201&lt;&gt;"","◄ Set Row Type","")))</f>
      </c>
      <c r="Z201" s="28"/>
      <c r="AA201" s="29">
        <f>IF($B201&lt;&gt;"Entry","",IF(Z201="","",IF(X201="Y",SUMPRODUCT(('Rate Lookup'!$A$1:$A$37=Z201)*'Rate Lookup'!$D$1:$D$37),IF(OR(Y201="Individual",Y201="HUF"),SUMPRODUCT(('Rate Lookup'!$A$1:$A$37=Z201)*'Rate Lookup'!$B$1:$B$37),SUMPRODUCT(('Rate Lookup'!$A$1:$A$37=Z201)*'Rate Lookup'!$C$1:$C$37)))))</f>
      </c>
      <c r="AB201" s="30"/>
      <c r="AC201" s="31"/>
      <c r="AD201" s="27">
        <f>IF($B201&lt;&gt;"Entry","",ROUND(AC201*AA201/100,0))</f>
      </c>
      <c r="AE201" s="27">
        <f>IF($B201&lt;&gt;"Entry","",0)</f>
      </c>
      <c r="AF201" s="27">
        <f>IF($B201&lt;&gt;"Entry","",0)</f>
      </c>
      <c r="AG201" s="27">
        <f>IF($B201&lt;&gt;"Entry","",IF(OR(AD201=0,AB201="",AQ201="",AQ201&lt;=0),0,IF(AQ201&lt;=DATE(YEAR(AB201),MONTH(AB201)+1,7),0,ROUND(AD201*0.015*((YEAR(AQ201)-YEAR(AB201))*12+(MONTH(AQ201)-MONTH(AB201))+1),0))))</f>
      </c>
      <c r="AH201" s="27">
        <f>IF($B201&lt;&gt;"Entry","",0)</f>
      </c>
      <c r="AI201" s="28"/>
      <c r="AJ201" s="28"/>
      <c r="AK201" s="32"/>
      <c r="AL201" s="28"/>
      <c r="AM201" s="28"/>
      <c r="AN201" s="27">
        <f>IF($B201&lt;&gt;"Challan","",SUMIF('Q1 Data'!$D$4:$D$207,D201,'Q1 Data'!$AD$4:$AD$207)+SUMIF('Q1 Data'!$D$4:$D$207,D201,'Q1 Data'!$AG$4:$AG$207)+SUMIF('Q1 Data'!$D$4:$D$207,D201,'Q1 Data'!$AE$4:$AE$207)+SUMIF('Q2 Data'!$D$4:$D$207,D201,'Q2 Data'!$AD$4:$AD$207)+SUMIF('Q2 Data'!$D$4:$D$207,D201,'Q2 Data'!$AG$4:$AG$207)+SUMIF('Q2 Data'!$D$4:$D$207,D201,'Q2 Data'!$AE$4:$AE$207)+SUMIF('Q3 Data'!$D$4:$D$207,D201,'Q3 Data'!$AD$4:$AD$207)+SUMIF('Q3 Data'!$D$4:$D$207,D201,'Q3 Data'!$AG$4:$AG$207)+SUMIF('Q3 Data'!$D$4:$D$207,D201,'Q3 Data'!$AE$4:$AE$207)+SUMIF('Q4 Data'!$D$4:$D$207,D201,'Q4 Data'!$AD$4:$AD$207)+SUMIF('Q4 Data'!$D$4:$D$207,D201,'Q4 Data'!$AG$4:$AG$207)+SUMIF('Q4 Data'!$D$4:$D$207,D201,'Q4 Data'!$AE$4:$AE$207))</f>
      </c>
      <c r="AO201" s="27">
        <f>IF($B201&lt;&gt;"Challan","",P201-N201)</f>
      </c>
      <c r="AP201" s="27">
        <f>IF($B201&lt;&gt;"Challan","",MAX(0,AO201-AN201))</f>
      </c>
      <c r="AQ201" s="33">
        <f>IF($B201&lt;&gt;"Entry","",SUMPRODUCT(('Q1 Data'!$D$4:$D$207=D201)*('Q1 Data'!$B$4:$B$207="Challan")*'Q1 Data'!$F$4:$F$207)+SUMPRODUCT(('Q2 Data'!$D$4:$D$207=D201)*('Q2 Data'!$B$4:$B$207="Challan")*'Q2 Data'!$F$4:$F$207)+SUMPRODUCT(('Q3 Data'!$D$4:$D$207=D201)*('Q3 Data'!$B$4:$B$207="Challan")*'Q3 Data'!$F$4:$F$207)+SUMPRODUCT(('Q4 Data'!$D$4:$D$207=D201)*('Q4 Data'!$B$4:$B$207="Challan")*'Q4 Data'!$F$4:$F$207))</f>
      </c>
      <c r="AR201" s="34">
        <f>IF(OR($B201&lt;&gt;"Entry",Z201=""),FALSE,AND((SUMPRODUCT(('Q1 Data'!$D$4:$D$207=D201)*('Q1 Data'!$B$4:$B$207="Challan")*('Q1 Data'!$H$4:$H$207&lt;&gt;""))+SUMPRODUCT(('Q2 Data'!$D$4:$D$207=D201)*('Q2 Data'!$B$4:$B$207="Challan")*('Q2 Data'!$H$4:$H$207&lt;&gt;""))+SUMPRODUCT(('Q3 Data'!$D$4:$D$207=D201)*('Q3 Data'!$B$4:$B$207="Challan")*('Q3 Data'!$H$4:$H$207&lt;&gt;""))+SUMPRODUCT(('Q4 Data'!$D$4:$D$207=D201)*('Q4 Data'!$B$4:$B$207="Challan")*('Q4 Data'!$H$4:$H$207&lt;&gt;"")))&gt;0,(SUMPRODUCT(('Q1 Data'!$D$4:$D$207=D201)*('Q1 Data'!$B$4:$B$207="Challan")*('Q1 Data'!$H$4:$H$207=Z201))+SUMPRODUCT(('Q2 Data'!$D$4:$D$207=D201)*('Q2 Data'!$B$4:$B$207="Challan")*('Q2 Data'!$H$4:$H$207=Z201))+SUMPRODUCT(('Q3 Data'!$D$4:$D$207=D201)*('Q3 Data'!$B$4:$B$207="Challan")*('Q3 Data'!$H$4:$H$207=Z201))+SUMPRODUCT(('Q4 Data'!$D$4:$D$207=D201)*('Q4 Data'!$B$4:$B$207="Challan")*('Q4 Data'!$H$4:$H$207=Z201)))=0))</f>
      </c>
    </row>
    <row r="202" spans="1:44" x14ac:dyDescent="0.25">
      <c r="A202" s="20">
        <f>IF($B202="Entry",COUNTIF($B$4:$B202,"Entry"),"")</f>
      </c>
      <c r="B202" s="21"/>
      <c r="C202" s="22"/>
      <c r="D202" s="22"/>
      <c r="E202" s="23">
        <f>IF($B202&lt;&gt;"Challan","",IF(ROUND(AN202-AO202,2)&gt;0,"Over-applied",IF(ROUND(AN202-AO202,2)=0,"Fully Utilised","Unconsumed")))</f>
      </c>
      <c r="F202" s="24"/>
      <c r="G202" s="25"/>
      <c r="H202" s="25"/>
      <c r="I202" s="26"/>
      <c r="J202" s="26"/>
      <c r="K202" s="26"/>
      <c r="L202" s="26"/>
      <c r="M202" s="26"/>
      <c r="N202" s="26"/>
      <c r="O202" s="26"/>
      <c r="P202" s="27">
        <f>IF($B202&lt;&gt;"Challan","",I202+J202+K202+L202+M202+N202)</f>
      </c>
      <c r="Q202" s="25"/>
      <c r="R202" s="25"/>
      <c r="S202" s="25"/>
      <c r="T202" s="25"/>
      <c r="U202" s="25"/>
      <c r="V202" s="28"/>
      <c r="W202" s="28"/>
      <c r="X202" s="23">
        <f>IF($B202="Entry",IF(AND(LEN(TRIM(UPPER(W202)))=10,CODE(MID(TRIM(UPPER(W202)),1,1))&gt;=65,CODE(MID(TRIM(UPPER(W202)),1,1))&lt;=90,CODE(MID(TRIM(UPPER(W202)),2,1))&gt;=65,CODE(MID(TRIM(UPPER(W202)),2,1))&lt;=90,CODE(MID(TRIM(UPPER(W202)),3,1))&gt;=65,CODE(MID(TRIM(UPPER(W202)),3,1))&lt;=90,CODE(MID(TRIM(UPPER(W202)),4,1))&gt;=65,CODE(MID(TRIM(UPPER(W202)),4,1))&lt;=90,CODE(MID(TRIM(UPPER(W202)),5,1))&gt;=65,CODE(MID(TRIM(UPPER(W202)),5,1))&lt;=90,CODE(MID(TRIM(UPPER(W202)),10,1))&gt;=65,CODE(MID(TRIM(UPPER(W202)),10,1))&lt;=90,CODE(MID(TRIM(UPPER(W202)),6,1))&gt;=48,CODE(MID(TRIM(UPPER(W202)),6,1))&lt;=57,CODE(MID(TRIM(UPPER(W202)),7,1))&gt;=48,CODE(MID(TRIM(UPPER(W202)),7,1))&lt;=57,CODE(MID(TRIM(UPPER(W202)),8,1))&gt;=48,CODE(MID(TRIM(UPPER(W202)),8,1))&lt;=57,CODE(MID(TRIM(UPPER(W202)),9,1))&gt;=48,CODE(MID(TRIM(UPPER(W202)),9,1))&lt;=57),"N","Y"),IF($B202="Challan","",IF(W202&lt;&gt;"","◄ Set Row Type","")))</f>
      </c>
      <c r="Y202" s="23">
        <f>IF($B202="Entry",IF(LEN(W202)&lt;4,"",IF(UPPER(MID(W202,4,1))="P","Individual",IF(UPPER(MID(W202,4,1))="H","HUF",IF(UPPER(MID(W202,4,1))="C","Company",IF(UPPER(MID(W202,4,1))="F","Firm",IF(UPPER(MID(W202,4,1))="L","LLP",IF(UPPER(MID(W202,4,1))="T","Trust",IF(UPPER(MID(W202,4,1))="A","AOP","")))))))),IF($B202="Challan","",IF(W202&lt;&gt;"","◄ Set Row Type","")))</f>
      </c>
      <c r="Z202" s="28"/>
      <c r="AA202" s="29">
        <f>IF($B202&lt;&gt;"Entry","",IF(Z202="","",IF(X202="Y",SUMPRODUCT(('Rate Lookup'!$A$1:$A$37=Z202)*'Rate Lookup'!$D$1:$D$37),IF(OR(Y202="Individual",Y202="HUF"),SUMPRODUCT(('Rate Lookup'!$A$1:$A$37=Z202)*'Rate Lookup'!$B$1:$B$37),SUMPRODUCT(('Rate Lookup'!$A$1:$A$37=Z202)*'Rate Lookup'!$C$1:$C$37)))))</f>
      </c>
      <c r="AB202" s="30"/>
      <c r="AC202" s="31"/>
      <c r="AD202" s="27">
        <f>IF($B202&lt;&gt;"Entry","",ROUND(AC202*AA202/100,0))</f>
      </c>
      <c r="AE202" s="27">
        <f>IF($B202&lt;&gt;"Entry","",0)</f>
      </c>
      <c r="AF202" s="27">
        <f>IF($B202&lt;&gt;"Entry","",0)</f>
      </c>
      <c r="AG202" s="27">
        <f>IF($B202&lt;&gt;"Entry","",IF(OR(AD202=0,AB202="",AQ202="",AQ202&lt;=0),0,IF(AQ202&lt;=DATE(YEAR(AB202),MONTH(AB202)+1,7),0,ROUND(AD202*0.015*((YEAR(AQ202)-YEAR(AB202))*12+(MONTH(AQ202)-MONTH(AB202))+1),0))))</f>
      </c>
      <c r="AH202" s="27">
        <f>IF($B202&lt;&gt;"Entry","",0)</f>
      </c>
      <c r="AI202" s="28"/>
      <c r="AJ202" s="28"/>
      <c r="AK202" s="32"/>
      <c r="AL202" s="28"/>
      <c r="AM202" s="28"/>
      <c r="AN202" s="27">
        <f>IF($B202&lt;&gt;"Challan","",SUMIF('Q1 Data'!$D$4:$D$207,D202,'Q1 Data'!$AD$4:$AD$207)+SUMIF('Q1 Data'!$D$4:$D$207,D202,'Q1 Data'!$AG$4:$AG$207)+SUMIF('Q1 Data'!$D$4:$D$207,D202,'Q1 Data'!$AE$4:$AE$207)+SUMIF('Q2 Data'!$D$4:$D$207,D202,'Q2 Data'!$AD$4:$AD$207)+SUMIF('Q2 Data'!$D$4:$D$207,D202,'Q2 Data'!$AG$4:$AG$207)+SUMIF('Q2 Data'!$D$4:$D$207,D202,'Q2 Data'!$AE$4:$AE$207)+SUMIF('Q3 Data'!$D$4:$D$207,D202,'Q3 Data'!$AD$4:$AD$207)+SUMIF('Q3 Data'!$D$4:$D$207,D202,'Q3 Data'!$AG$4:$AG$207)+SUMIF('Q3 Data'!$D$4:$D$207,D202,'Q3 Data'!$AE$4:$AE$207)+SUMIF('Q4 Data'!$D$4:$D$207,D202,'Q4 Data'!$AD$4:$AD$207)+SUMIF('Q4 Data'!$D$4:$D$207,D202,'Q4 Data'!$AG$4:$AG$207)+SUMIF('Q4 Data'!$D$4:$D$207,D202,'Q4 Data'!$AE$4:$AE$207))</f>
      </c>
      <c r="AO202" s="27">
        <f>IF($B202&lt;&gt;"Challan","",P202-N202)</f>
      </c>
      <c r="AP202" s="27">
        <f>IF($B202&lt;&gt;"Challan","",MAX(0,AO202-AN202))</f>
      </c>
      <c r="AQ202" s="33">
        <f>IF($B202&lt;&gt;"Entry","",SUMPRODUCT(('Q1 Data'!$D$4:$D$207=D202)*('Q1 Data'!$B$4:$B$207="Challan")*'Q1 Data'!$F$4:$F$207)+SUMPRODUCT(('Q2 Data'!$D$4:$D$207=D202)*('Q2 Data'!$B$4:$B$207="Challan")*'Q2 Data'!$F$4:$F$207)+SUMPRODUCT(('Q3 Data'!$D$4:$D$207=D202)*('Q3 Data'!$B$4:$B$207="Challan")*'Q3 Data'!$F$4:$F$207)+SUMPRODUCT(('Q4 Data'!$D$4:$D$207=D202)*('Q4 Data'!$B$4:$B$207="Challan")*'Q4 Data'!$F$4:$F$207))</f>
      </c>
      <c r="AR202" s="34">
        <f>IF(OR($B202&lt;&gt;"Entry",Z202=""),FALSE,AND((SUMPRODUCT(('Q1 Data'!$D$4:$D$207=D202)*('Q1 Data'!$B$4:$B$207="Challan")*('Q1 Data'!$H$4:$H$207&lt;&gt;""))+SUMPRODUCT(('Q2 Data'!$D$4:$D$207=D202)*('Q2 Data'!$B$4:$B$207="Challan")*('Q2 Data'!$H$4:$H$207&lt;&gt;""))+SUMPRODUCT(('Q3 Data'!$D$4:$D$207=D202)*('Q3 Data'!$B$4:$B$207="Challan")*('Q3 Data'!$H$4:$H$207&lt;&gt;""))+SUMPRODUCT(('Q4 Data'!$D$4:$D$207=D202)*('Q4 Data'!$B$4:$B$207="Challan")*('Q4 Data'!$H$4:$H$207&lt;&gt;"")))&gt;0,(SUMPRODUCT(('Q1 Data'!$D$4:$D$207=D202)*('Q1 Data'!$B$4:$B$207="Challan")*('Q1 Data'!$H$4:$H$207=Z202))+SUMPRODUCT(('Q2 Data'!$D$4:$D$207=D202)*('Q2 Data'!$B$4:$B$207="Challan")*('Q2 Data'!$H$4:$H$207=Z202))+SUMPRODUCT(('Q3 Data'!$D$4:$D$207=D202)*('Q3 Data'!$B$4:$B$207="Challan")*('Q3 Data'!$H$4:$H$207=Z202))+SUMPRODUCT(('Q4 Data'!$D$4:$D$207=D202)*('Q4 Data'!$B$4:$B$207="Challan")*('Q4 Data'!$H$4:$H$207=Z202)))=0))</f>
      </c>
    </row>
    <row r="203" spans="1:44" x14ac:dyDescent="0.25">
      <c r="A203" s="20">
        <f>IF($B203="Entry",COUNTIF($B$4:$B203,"Entry"),"")</f>
      </c>
      <c r="B203" s="21"/>
      <c r="C203" s="22"/>
      <c r="D203" s="22"/>
      <c r="E203" s="23">
        <f>IF($B203&lt;&gt;"Challan","",IF(ROUND(AN203-AO203,2)&gt;0,"Over-applied",IF(ROUND(AN203-AO203,2)=0,"Fully Utilised","Unconsumed")))</f>
      </c>
      <c r="F203" s="24"/>
      <c r="G203" s="25"/>
      <c r="H203" s="25"/>
      <c r="I203" s="26"/>
      <c r="J203" s="26"/>
      <c r="K203" s="26"/>
      <c r="L203" s="26"/>
      <c r="M203" s="26"/>
      <c r="N203" s="26"/>
      <c r="O203" s="26"/>
      <c r="P203" s="27">
        <f>IF($B203&lt;&gt;"Challan","",I203+J203+K203+L203+M203+N203)</f>
      </c>
      <c r="Q203" s="25"/>
      <c r="R203" s="25"/>
      <c r="S203" s="25"/>
      <c r="T203" s="25"/>
      <c r="U203" s="25"/>
      <c r="V203" s="28"/>
      <c r="W203" s="28"/>
      <c r="X203" s="23">
        <f>IF($B203="Entry",IF(AND(LEN(TRIM(UPPER(W203)))=10,CODE(MID(TRIM(UPPER(W203)),1,1))&gt;=65,CODE(MID(TRIM(UPPER(W203)),1,1))&lt;=90,CODE(MID(TRIM(UPPER(W203)),2,1))&gt;=65,CODE(MID(TRIM(UPPER(W203)),2,1))&lt;=90,CODE(MID(TRIM(UPPER(W203)),3,1))&gt;=65,CODE(MID(TRIM(UPPER(W203)),3,1))&lt;=90,CODE(MID(TRIM(UPPER(W203)),4,1))&gt;=65,CODE(MID(TRIM(UPPER(W203)),4,1))&lt;=90,CODE(MID(TRIM(UPPER(W203)),5,1))&gt;=65,CODE(MID(TRIM(UPPER(W203)),5,1))&lt;=90,CODE(MID(TRIM(UPPER(W203)),10,1))&gt;=65,CODE(MID(TRIM(UPPER(W203)),10,1))&lt;=90,CODE(MID(TRIM(UPPER(W203)),6,1))&gt;=48,CODE(MID(TRIM(UPPER(W203)),6,1))&lt;=57,CODE(MID(TRIM(UPPER(W203)),7,1))&gt;=48,CODE(MID(TRIM(UPPER(W203)),7,1))&lt;=57,CODE(MID(TRIM(UPPER(W203)),8,1))&gt;=48,CODE(MID(TRIM(UPPER(W203)),8,1))&lt;=57,CODE(MID(TRIM(UPPER(W203)),9,1))&gt;=48,CODE(MID(TRIM(UPPER(W203)),9,1))&lt;=57),"N","Y"),IF($B203="Challan","",IF(W203&lt;&gt;"","◄ Set Row Type","")))</f>
      </c>
      <c r="Y203" s="23">
        <f>IF($B203="Entry",IF(LEN(W203)&lt;4,"",IF(UPPER(MID(W203,4,1))="P","Individual",IF(UPPER(MID(W203,4,1))="H","HUF",IF(UPPER(MID(W203,4,1))="C","Company",IF(UPPER(MID(W203,4,1))="F","Firm",IF(UPPER(MID(W203,4,1))="L","LLP",IF(UPPER(MID(W203,4,1))="T","Trust",IF(UPPER(MID(W203,4,1))="A","AOP","")))))))),IF($B203="Challan","",IF(W203&lt;&gt;"","◄ Set Row Type","")))</f>
      </c>
      <c r="Z203" s="28"/>
      <c r="AA203" s="29">
        <f>IF($B203&lt;&gt;"Entry","",IF(Z203="","",IF(X203="Y",SUMPRODUCT(('Rate Lookup'!$A$1:$A$37=Z203)*'Rate Lookup'!$D$1:$D$37),IF(OR(Y203="Individual",Y203="HUF"),SUMPRODUCT(('Rate Lookup'!$A$1:$A$37=Z203)*'Rate Lookup'!$B$1:$B$37),SUMPRODUCT(('Rate Lookup'!$A$1:$A$37=Z203)*'Rate Lookup'!$C$1:$C$37)))))</f>
      </c>
      <c r="AB203" s="30"/>
      <c r="AC203" s="31"/>
      <c r="AD203" s="27">
        <f>IF($B203&lt;&gt;"Entry","",ROUND(AC203*AA203/100,0))</f>
      </c>
      <c r="AE203" s="27">
        <f>IF($B203&lt;&gt;"Entry","",0)</f>
      </c>
      <c r="AF203" s="27">
        <f>IF($B203&lt;&gt;"Entry","",0)</f>
      </c>
      <c r="AG203" s="27">
        <f>IF($B203&lt;&gt;"Entry","",IF(OR(AD203=0,AB203="",AQ203="",AQ203&lt;=0),0,IF(AQ203&lt;=DATE(YEAR(AB203),MONTH(AB203)+1,7),0,ROUND(AD203*0.015*((YEAR(AQ203)-YEAR(AB203))*12+(MONTH(AQ203)-MONTH(AB203))+1),0))))</f>
      </c>
      <c r="AH203" s="27">
        <f>IF($B203&lt;&gt;"Entry","",0)</f>
      </c>
      <c r="AI203" s="28"/>
      <c r="AJ203" s="28"/>
      <c r="AK203" s="32"/>
      <c r="AL203" s="28"/>
      <c r="AM203" s="28"/>
      <c r="AN203" s="27">
        <f>IF($B203&lt;&gt;"Challan","",SUMIF('Q1 Data'!$D$4:$D$207,D203,'Q1 Data'!$AD$4:$AD$207)+SUMIF('Q1 Data'!$D$4:$D$207,D203,'Q1 Data'!$AG$4:$AG$207)+SUMIF('Q1 Data'!$D$4:$D$207,D203,'Q1 Data'!$AE$4:$AE$207)+SUMIF('Q2 Data'!$D$4:$D$207,D203,'Q2 Data'!$AD$4:$AD$207)+SUMIF('Q2 Data'!$D$4:$D$207,D203,'Q2 Data'!$AG$4:$AG$207)+SUMIF('Q2 Data'!$D$4:$D$207,D203,'Q2 Data'!$AE$4:$AE$207)+SUMIF('Q3 Data'!$D$4:$D$207,D203,'Q3 Data'!$AD$4:$AD$207)+SUMIF('Q3 Data'!$D$4:$D$207,D203,'Q3 Data'!$AG$4:$AG$207)+SUMIF('Q3 Data'!$D$4:$D$207,D203,'Q3 Data'!$AE$4:$AE$207)+SUMIF('Q4 Data'!$D$4:$D$207,D203,'Q4 Data'!$AD$4:$AD$207)+SUMIF('Q4 Data'!$D$4:$D$207,D203,'Q4 Data'!$AG$4:$AG$207)+SUMIF('Q4 Data'!$D$4:$D$207,D203,'Q4 Data'!$AE$4:$AE$207))</f>
      </c>
      <c r="AO203" s="27">
        <f>IF($B203&lt;&gt;"Challan","",P203-N203)</f>
      </c>
      <c r="AP203" s="27">
        <f>IF($B203&lt;&gt;"Challan","",MAX(0,AO203-AN203))</f>
      </c>
      <c r="AQ203" s="33">
        <f>IF($B203&lt;&gt;"Entry","",SUMPRODUCT(('Q1 Data'!$D$4:$D$207=D203)*('Q1 Data'!$B$4:$B$207="Challan")*'Q1 Data'!$F$4:$F$207)+SUMPRODUCT(('Q2 Data'!$D$4:$D$207=D203)*('Q2 Data'!$B$4:$B$207="Challan")*'Q2 Data'!$F$4:$F$207)+SUMPRODUCT(('Q3 Data'!$D$4:$D$207=D203)*('Q3 Data'!$B$4:$B$207="Challan")*'Q3 Data'!$F$4:$F$207)+SUMPRODUCT(('Q4 Data'!$D$4:$D$207=D203)*('Q4 Data'!$B$4:$B$207="Challan")*'Q4 Data'!$F$4:$F$207))</f>
      </c>
      <c r="AR203" s="34">
        <f>IF(OR($B203&lt;&gt;"Entry",Z203=""),FALSE,AND((SUMPRODUCT(('Q1 Data'!$D$4:$D$207=D203)*('Q1 Data'!$B$4:$B$207="Challan")*('Q1 Data'!$H$4:$H$207&lt;&gt;""))+SUMPRODUCT(('Q2 Data'!$D$4:$D$207=D203)*('Q2 Data'!$B$4:$B$207="Challan")*('Q2 Data'!$H$4:$H$207&lt;&gt;""))+SUMPRODUCT(('Q3 Data'!$D$4:$D$207=D203)*('Q3 Data'!$B$4:$B$207="Challan")*('Q3 Data'!$H$4:$H$207&lt;&gt;""))+SUMPRODUCT(('Q4 Data'!$D$4:$D$207=D203)*('Q4 Data'!$B$4:$B$207="Challan")*('Q4 Data'!$H$4:$H$207&lt;&gt;"")))&gt;0,(SUMPRODUCT(('Q1 Data'!$D$4:$D$207=D203)*('Q1 Data'!$B$4:$B$207="Challan")*('Q1 Data'!$H$4:$H$207=Z203))+SUMPRODUCT(('Q2 Data'!$D$4:$D$207=D203)*('Q2 Data'!$B$4:$B$207="Challan")*('Q2 Data'!$H$4:$H$207=Z203))+SUMPRODUCT(('Q3 Data'!$D$4:$D$207=D203)*('Q3 Data'!$B$4:$B$207="Challan")*('Q3 Data'!$H$4:$H$207=Z203))+SUMPRODUCT(('Q4 Data'!$D$4:$D$207=D203)*('Q4 Data'!$B$4:$B$207="Challan")*('Q4 Data'!$H$4:$H$207=Z203)))=0))</f>
      </c>
    </row>
    <row r="204" spans="1:44" x14ac:dyDescent="0.25">
      <c r="A204" s="20">
        <f>IF($B204="Entry",COUNTIF($B$4:$B204,"Entry"),"")</f>
      </c>
      <c r="B204" s="21"/>
      <c r="C204" s="22"/>
      <c r="D204" s="22"/>
      <c r="E204" s="23">
        <f>IF($B204&lt;&gt;"Challan","",IF(ROUND(AN204-AO204,2)&gt;0,"Over-applied",IF(ROUND(AN204-AO204,2)=0,"Fully Utilised","Unconsumed")))</f>
      </c>
      <c r="F204" s="24"/>
      <c r="G204" s="25"/>
      <c r="H204" s="25"/>
      <c r="I204" s="26"/>
      <c r="J204" s="26"/>
      <c r="K204" s="26"/>
      <c r="L204" s="26"/>
      <c r="M204" s="26"/>
      <c r="N204" s="26"/>
      <c r="O204" s="26"/>
      <c r="P204" s="27">
        <f>IF($B204&lt;&gt;"Challan","",I204+J204+K204+L204+M204+N204)</f>
      </c>
      <c r="Q204" s="25"/>
      <c r="R204" s="25"/>
      <c r="S204" s="25"/>
      <c r="T204" s="25"/>
      <c r="U204" s="25"/>
      <c r="V204" s="28"/>
      <c r="W204" s="28"/>
      <c r="X204" s="23">
        <f>IF($B204="Entry",IF(AND(LEN(TRIM(UPPER(W204)))=10,CODE(MID(TRIM(UPPER(W204)),1,1))&gt;=65,CODE(MID(TRIM(UPPER(W204)),1,1))&lt;=90,CODE(MID(TRIM(UPPER(W204)),2,1))&gt;=65,CODE(MID(TRIM(UPPER(W204)),2,1))&lt;=90,CODE(MID(TRIM(UPPER(W204)),3,1))&gt;=65,CODE(MID(TRIM(UPPER(W204)),3,1))&lt;=90,CODE(MID(TRIM(UPPER(W204)),4,1))&gt;=65,CODE(MID(TRIM(UPPER(W204)),4,1))&lt;=90,CODE(MID(TRIM(UPPER(W204)),5,1))&gt;=65,CODE(MID(TRIM(UPPER(W204)),5,1))&lt;=90,CODE(MID(TRIM(UPPER(W204)),10,1))&gt;=65,CODE(MID(TRIM(UPPER(W204)),10,1))&lt;=90,CODE(MID(TRIM(UPPER(W204)),6,1))&gt;=48,CODE(MID(TRIM(UPPER(W204)),6,1))&lt;=57,CODE(MID(TRIM(UPPER(W204)),7,1))&gt;=48,CODE(MID(TRIM(UPPER(W204)),7,1))&lt;=57,CODE(MID(TRIM(UPPER(W204)),8,1))&gt;=48,CODE(MID(TRIM(UPPER(W204)),8,1))&lt;=57,CODE(MID(TRIM(UPPER(W204)),9,1))&gt;=48,CODE(MID(TRIM(UPPER(W204)),9,1))&lt;=57),"N","Y"),IF($B204="Challan","",IF(W204&lt;&gt;"","◄ Set Row Type","")))</f>
      </c>
      <c r="Y204" s="23">
        <f>IF($B204="Entry",IF(LEN(W204)&lt;4,"",IF(UPPER(MID(W204,4,1))="P","Individual",IF(UPPER(MID(W204,4,1))="H","HUF",IF(UPPER(MID(W204,4,1))="C","Company",IF(UPPER(MID(W204,4,1))="F","Firm",IF(UPPER(MID(W204,4,1))="L","LLP",IF(UPPER(MID(W204,4,1))="T","Trust",IF(UPPER(MID(W204,4,1))="A","AOP","")))))))),IF($B204="Challan","",IF(W204&lt;&gt;"","◄ Set Row Type","")))</f>
      </c>
      <c r="Z204" s="28"/>
      <c r="AA204" s="29">
        <f>IF($B204&lt;&gt;"Entry","",IF(Z204="","",IF(X204="Y",SUMPRODUCT(('Rate Lookup'!$A$1:$A$37=Z204)*'Rate Lookup'!$D$1:$D$37),IF(OR(Y204="Individual",Y204="HUF"),SUMPRODUCT(('Rate Lookup'!$A$1:$A$37=Z204)*'Rate Lookup'!$B$1:$B$37),SUMPRODUCT(('Rate Lookup'!$A$1:$A$37=Z204)*'Rate Lookup'!$C$1:$C$37)))))</f>
      </c>
      <c r="AB204" s="30"/>
      <c r="AC204" s="31"/>
      <c r="AD204" s="27">
        <f>IF($B204&lt;&gt;"Entry","",ROUND(AC204*AA204/100,0))</f>
      </c>
      <c r="AE204" s="27">
        <f>IF($B204&lt;&gt;"Entry","",0)</f>
      </c>
      <c r="AF204" s="27">
        <f>IF($B204&lt;&gt;"Entry","",0)</f>
      </c>
      <c r="AG204" s="27">
        <f>IF($B204&lt;&gt;"Entry","",IF(OR(AD204=0,AB204="",AQ204="",AQ204&lt;=0),0,IF(AQ204&lt;=DATE(YEAR(AB204),MONTH(AB204)+1,7),0,ROUND(AD204*0.015*((YEAR(AQ204)-YEAR(AB204))*12+(MONTH(AQ204)-MONTH(AB204))+1),0))))</f>
      </c>
      <c r="AH204" s="27">
        <f>IF($B204&lt;&gt;"Entry","",0)</f>
      </c>
      <c r="AI204" s="28"/>
      <c r="AJ204" s="28"/>
      <c r="AK204" s="32"/>
      <c r="AL204" s="28"/>
      <c r="AM204" s="28"/>
      <c r="AN204" s="27">
        <f>IF($B204&lt;&gt;"Challan","",SUMIF('Q1 Data'!$D$4:$D$207,D204,'Q1 Data'!$AD$4:$AD$207)+SUMIF('Q1 Data'!$D$4:$D$207,D204,'Q1 Data'!$AG$4:$AG$207)+SUMIF('Q1 Data'!$D$4:$D$207,D204,'Q1 Data'!$AE$4:$AE$207)+SUMIF('Q2 Data'!$D$4:$D$207,D204,'Q2 Data'!$AD$4:$AD$207)+SUMIF('Q2 Data'!$D$4:$D$207,D204,'Q2 Data'!$AG$4:$AG$207)+SUMIF('Q2 Data'!$D$4:$D$207,D204,'Q2 Data'!$AE$4:$AE$207)+SUMIF('Q3 Data'!$D$4:$D$207,D204,'Q3 Data'!$AD$4:$AD$207)+SUMIF('Q3 Data'!$D$4:$D$207,D204,'Q3 Data'!$AG$4:$AG$207)+SUMIF('Q3 Data'!$D$4:$D$207,D204,'Q3 Data'!$AE$4:$AE$207)+SUMIF('Q4 Data'!$D$4:$D$207,D204,'Q4 Data'!$AD$4:$AD$207)+SUMIF('Q4 Data'!$D$4:$D$207,D204,'Q4 Data'!$AG$4:$AG$207)+SUMIF('Q4 Data'!$D$4:$D$207,D204,'Q4 Data'!$AE$4:$AE$207))</f>
      </c>
      <c r="AO204" s="27">
        <f>IF($B204&lt;&gt;"Challan","",P204-N204)</f>
      </c>
      <c r="AP204" s="27">
        <f>IF($B204&lt;&gt;"Challan","",MAX(0,AO204-AN204))</f>
      </c>
      <c r="AQ204" s="33">
        <f>IF($B204&lt;&gt;"Entry","",SUMPRODUCT(('Q1 Data'!$D$4:$D$207=D204)*('Q1 Data'!$B$4:$B$207="Challan")*'Q1 Data'!$F$4:$F$207)+SUMPRODUCT(('Q2 Data'!$D$4:$D$207=D204)*('Q2 Data'!$B$4:$B$207="Challan")*'Q2 Data'!$F$4:$F$207)+SUMPRODUCT(('Q3 Data'!$D$4:$D$207=D204)*('Q3 Data'!$B$4:$B$207="Challan")*'Q3 Data'!$F$4:$F$207)+SUMPRODUCT(('Q4 Data'!$D$4:$D$207=D204)*('Q4 Data'!$B$4:$B$207="Challan")*'Q4 Data'!$F$4:$F$207))</f>
      </c>
      <c r="AR204" s="34">
        <f>IF(OR($B204&lt;&gt;"Entry",Z204=""),FALSE,AND((SUMPRODUCT(('Q1 Data'!$D$4:$D$207=D204)*('Q1 Data'!$B$4:$B$207="Challan")*('Q1 Data'!$H$4:$H$207&lt;&gt;""))+SUMPRODUCT(('Q2 Data'!$D$4:$D$207=D204)*('Q2 Data'!$B$4:$B$207="Challan")*('Q2 Data'!$H$4:$H$207&lt;&gt;""))+SUMPRODUCT(('Q3 Data'!$D$4:$D$207=D204)*('Q3 Data'!$B$4:$B$207="Challan")*('Q3 Data'!$H$4:$H$207&lt;&gt;""))+SUMPRODUCT(('Q4 Data'!$D$4:$D$207=D204)*('Q4 Data'!$B$4:$B$207="Challan")*('Q4 Data'!$H$4:$H$207&lt;&gt;"")))&gt;0,(SUMPRODUCT(('Q1 Data'!$D$4:$D$207=D204)*('Q1 Data'!$B$4:$B$207="Challan")*('Q1 Data'!$H$4:$H$207=Z204))+SUMPRODUCT(('Q2 Data'!$D$4:$D$207=D204)*('Q2 Data'!$B$4:$B$207="Challan")*('Q2 Data'!$H$4:$H$207=Z204))+SUMPRODUCT(('Q3 Data'!$D$4:$D$207=D204)*('Q3 Data'!$B$4:$B$207="Challan")*('Q3 Data'!$H$4:$H$207=Z204))+SUMPRODUCT(('Q4 Data'!$D$4:$D$207=D204)*('Q4 Data'!$B$4:$B$207="Challan")*('Q4 Data'!$H$4:$H$207=Z204)))=0))</f>
      </c>
    </row>
    <row r="205" spans="1:44" x14ac:dyDescent="0.25">
      <c r="A205" s="20">
        <f>IF($B205="Entry",COUNTIF($B$4:$B205,"Entry"),"")</f>
      </c>
      <c r="B205" s="21"/>
      <c r="C205" s="22"/>
      <c r="D205" s="22"/>
      <c r="E205" s="23">
        <f>IF($B205&lt;&gt;"Challan","",IF(ROUND(AN205-AO205,2)&gt;0,"Over-applied",IF(ROUND(AN205-AO205,2)=0,"Fully Utilised","Unconsumed")))</f>
      </c>
      <c r="F205" s="24"/>
      <c r="G205" s="25"/>
      <c r="H205" s="25"/>
      <c r="I205" s="26"/>
      <c r="J205" s="26"/>
      <c r="K205" s="26"/>
      <c r="L205" s="26"/>
      <c r="M205" s="26"/>
      <c r="N205" s="26"/>
      <c r="O205" s="26"/>
      <c r="P205" s="27">
        <f>IF($B205&lt;&gt;"Challan","",I205+J205+K205+L205+M205+N205)</f>
      </c>
      <c r="Q205" s="25"/>
      <c r="R205" s="25"/>
      <c r="S205" s="25"/>
      <c r="T205" s="25"/>
      <c r="U205" s="25"/>
      <c r="V205" s="28"/>
      <c r="W205" s="28"/>
      <c r="X205" s="23">
        <f>IF($B205="Entry",IF(AND(LEN(TRIM(UPPER(W205)))=10,CODE(MID(TRIM(UPPER(W205)),1,1))&gt;=65,CODE(MID(TRIM(UPPER(W205)),1,1))&lt;=90,CODE(MID(TRIM(UPPER(W205)),2,1))&gt;=65,CODE(MID(TRIM(UPPER(W205)),2,1))&lt;=90,CODE(MID(TRIM(UPPER(W205)),3,1))&gt;=65,CODE(MID(TRIM(UPPER(W205)),3,1))&lt;=90,CODE(MID(TRIM(UPPER(W205)),4,1))&gt;=65,CODE(MID(TRIM(UPPER(W205)),4,1))&lt;=90,CODE(MID(TRIM(UPPER(W205)),5,1))&gt;=65,CODE(MID(TRIM(UPPER(W205)),5,1))&lt;=90,CODE(MID(TRIM(UPPER(W205)),10,1))&gt;=65,CODE(MID(TRIM(UPPER(W205)),10,1))&lt;=90,CODE(MID(TRIM(UPPER(W205)),6,1))&gt;=48,CODE(MID(TRIM(UPPER(W205)),6,1))&lt;=57,CODE(MID(TRIM(UPPER(W205)),7,1))&gt;=48,CODE(MID(TRIM(UPPER(W205)),7,1))&lt;=57,CODE(MID(TRIM(UPPER(W205)),8,1))&gt;=48,CODE(MID(TRIM(UPPER(W205)),8,1))&lt;=57,CODE(MID(TRIM(UPPER(W205)),9,1))&gt;=48,CODE(MID(TRIM(UPPER(W205)),9,1))&lt;=57),"N","Y"),IF($B205="Challan","",IF(W205&lt;&gt;"","◄ Set Row Type","")))</f>
      </c>
      <c r="Y205" s="23">
        <f>IF($B205="Entry",IF(LEN(W205)&lt;4,"",IF(UPPER(MID(W205,4,1))="P","Individual",IF(UPPER(MID(W205,4,1))="H","HUF",IF(UPPER(MID(W205,4,1))="C","Company",IF(UPPER(MID(W205,4,1))="F","Firm",IF(UPPER(MID(W205,4,1))="L","LLP",IF(UPPER(MID(W205,4,1))="T","Trust",IF(UPPER(MID(W205,4,1))="A","AOP","")))))))),IF($B205="Challan","",IF(W205&lt;&gt;"","◄ Set Row Type","")))</f>
      </c>
      <c r="Z205" s="28"/>
      <c r="AA205" s="29">
        <f>IF($B205&lt;&gt;"Entry","",IF(Z205="","",IF(X205="Y",SUMPRODUCT(('Rate Lookup'!$A$1:$A$37=Z205)*'Rate Lookup'!$D$1:$D$37),IF(OR(Y205="Individual",Y205="HUF"),SUMPRODUCT(('Rate Lookup'!$A$1:$A$37=Z205)*'Rate Lookup'!$B$1:$B$37),SUMPRODUCT(('Rate Lookup'!$A$1:$A$37=Z205)*'Rate Lookup'!$C$1:$C$37)))))</f>
      </c>
      <c r="AB205" s="30"/>
      <c r="AC205" s="31"/>
      <c r="AD205" s="27">
        <f>IF($B205&lt;&gt;"Entry","",ROUND(AC205*AA205/100,0))</f>
      </c>
      <c r="AE205" s="27">
        <f>IF($B205&lt;&gt;"Entry","",0)</f>
      </c>
      <c r="AF205" s="27">
        <f>IF($B205&lt;&gt;"Entry","",0)</f>
      </c>
      <c r="AG205" s="27">
        <f>IF($B205&lt;&gt;"Entry","",IF(OR(AD205=0,AB205="",AQ205="",AQ205&lt;=0),0,IF(AQ205&lt;=DATE(YEAR(AB205),MONTH(AB205)+1,7),0,ROUND(AD205*0.015*((YEAR(AQ205)-YEAR(AB205))*12+(MONTH(AQ205)-MONTH(AB205))+1),0))))</f>
      </c>
      <c r="AH205" s="27">
        <f>IF($B205&lt;&gt;"Entry","",0)</f>
      </c>
      <c r="AI205" s="28"/>
      <c r="AJ205" s="28"/>
      <c r="AK205" s="32"/>
      <c r="AL205" s="28"/>
      <c r="AM205" s="28"/>
      <c r="AN205" s="27">
        <f>IF($B205&lt;&gt;"Challan","",SUMIF('Q1 Data'!$D$4:$D$207,D205,'Q1 Data'!$AD$4:$AD$207)+SUMIF('Q1 Data'!$D$4:$D$207,D205,'Q1 Data'!$AG$4:$AG$207)+SUMIF('Q1 Data'!$D$4:$D$207,D205,'Q1 Data'!$AE$4:$AE$207)+SUMIF('Q2 Data'!$D$4:$D$207,D205,'Q2 Data'!$AD$4:$AD$207)+SUMIF('Q2 Data'!$D$4:$D$207,D205,'Q2 Data'!$AG$4:$AG$207)+SUMIF('Q2 Data'!$D$4:$D$207,D205,'Q2 Data'!$AE$4:$AE$207)+SUMIF('Q3 Data'!$D$4:$D$207,D205,'Q3 Data'!$AD$4:$AD$207)+SUMIF('Q3 Data'!$D$4:$D$207,D205,'Q3 Data'!$AG$4:$AG$207)+SUMIF('Q3 Data'!$D$4:$D$207,D205,'Q3 Data'!$AE$4:$AE$207)+SUMIF('Q4 Data'!$D$4:$D$207,D205,'Q4 Data'!$AD$4:$AD$207)+SUMIF('Q4 Data'!$D$4:$D$207,D205,'Q4 Data'!$AG$4:$AG$207)+SUMIF('Q4 Data'!$D$4:$D$207,D205,'Q4 Data'!$AE$4:$AE$207))</f>
      </c>
      <c r="AO205" s="27">
        <f>IF($B205&lt;&gt;"Challan","",P205-N205)</f>
      </c>
      <c r="AP205" s="27">
        <f>IF($B205&lt;&gt;"Challan","",MAX(0,AO205-AN205))</f>
      </c>
      <c r="AQ205" s="33">
        <f>IF($B205&lt;&gt;"Entry","",SUMPRODUCT(('Q1 Data'!$D$4:$D$207=D205)*('Q1 Data'!$B$4:$B$207="Challan")*'Q1 Data'!$F$4:$F$207)+SUMPRODUCT(('Q2 Data'!$D$4:$D$207=D205)*('Q2 Data'!$B$4:$B$207="Challan")*'Q2 Data'!$F$4:$F$207)+SUMPRODUCT(('Q3 Data'!$D$4:$D$207=D205)*('Q3 Data'!$B$4:$B$207="Challan")*'Q3 Data'!$F$4:$F$207)+SUMPRODUCT(('Q4 Data'!$D$4:$D$207=D205)*('Q4 Data'!$B$4:$B$207="Challan")*'Q4 Data'!$F$4:$F$207))</f>
      </c>
      <c r="AR205" s="34">
        <f>IF(OR($B205&lt;&gt;"Entry",Z205=""),FALSE,AND((SUMPRODUCT(('Q1 Data'!$D$4:$D$207=D205)*('Q1 Data'!$B$4:$B$207="Challan")*('Q1 Data'!$H$4:$H$207&lt;&gt;""))+SUMPRODUCT(('Q2 Data'!$D$4:$D$207=D205)*('Q2 Data'!$B$4:$B$207="Challan")*('Q2 Data'!$H$4:$H$207&lt;&gt;""))+SUMPRODUCT(('Q3 Data'!$D$4:$D$207=D205)*('Q3 Data'!$B$4:$B$207="Challan")*('Q3 Data'!$H$4:$H$207&lt;&gt;""))+SUMPRODUCT(('Q4 Data'!$D$4:$D$207=D205)*('Q4 Data'!$B$4:$B$207="Challan")*('Q4 Data'!$H$4:$H$207&lt;&gt;"")))&gt;0,(SUMPRODUCT(('Q1 Data'!$D$4:$D$207=D205)*('Q1 Data'!$B$4:$B$207="Challan")*('Q1 Data'!$H$4:$H$207=Z205))+SUMPRODUCT(('Q2 Data'!$D$4:$D$207=D205)*('Q2 Data'!$B$4:$B$207="Challan")*('Q2 Data'!$H$4:$H$207=Z205))+SUMPRODUCT(('Q3 Data'!$D$4:$D$207=D205)*('Q3 Data'!$B$4:$B$207="Challan")*('Q3 Data'!$H$4:$H$207=Z205))+SUMPRODUCT(('Q4 Data'!$D$4:$D$207=D205)*('Q4 Data'!$B$4:$B$207="Challan")*('Q4 Data'!$H$4:$H$207=Z205)))=0))</f>
      </c>
    </row>
    <row r="206" spans="1:44" x14ac:dyDescent="0.25">
      <c r="A206" s="20">
        <f>IF($B206="Entry",COUNTIF($B$4:$B206,"Entry"),"")</f>
      </c>
      <c r="B206" s="21"/>
      <c r="C206" s="22"/>
      <c r="D206" s="22"/>
      <c r="E206" s="23">
        <f>IF($B206&lt;&gt;"Challan","",IF(ROUND(AN206-AO206,2)&gt;0,"Over-applied",IF(ROUND(AN206-AO206,2)=0,"Fully Utilised","Unconsumed")))</f>
      </c>
      <c r="F206" s="24"/>
      <c r="G206" s="25"/>
      <c r="H206" s="25"/>
      <c r="I206" s="26"/>
      <c r="J206" s="26"/>
      <c r="K206" s="26"/>
      <c r="L206" s="26"/>
      <c r="M206" s="26"/>
      <c r="N206" s="26"/>
      <c r="O206" s="26"/>
      <c r="P206" s="27">
        <f>IF($B206&lt;&gt;"Challan","",I206+J206+K206+L206+M206+N206)</f>
      </c>
      <c r="Q206" s="25"/>
      <c r="R206" s="25"/>
      <c r="S206" s="25"/>
      <c r="T206" s="25"/>
      <c r="U206" s="25"/>
      <c r="V206" s="28"/>
      <c r="W206" s="28"/>
      <c r="X206" s="23">
        <f>IF($B206="Entry",IF(AND(LEN(TRIM(UPPER(W206)))=10,CODE(MID(TRIM(UPPER(W206)),1,1))&gt;=65,CODE(MID(TRIM(UPPER(W206)),1,1))&lt;=90,CODE(MID(TRIM(UPPER(W206)),2,1))&gt;=65,CODE(MID(TRIM(UPPER(W206)),2,1))&lt;=90,CODE(MID(TRIM(UPPER(W206)),3,1))&gt;=65,CODE(MID(TRIM(UPPER(W206)),3,1))&lt;=90,CODE(MID(TRIM(UPPER(W206)),4,1))&gt;=65,CODE(MID(TRIM(UPPER(W206)),4,1))&lt;=90,CODE(MID(TRIM(UPPER(W206)),5,1))&gt;=65,CODE(MID(TRIM(UPPER(W206)),5,1))&lt;=90,CODE(MID(TRIM(UPPER(W206)),10,1))&gt;=65,CODE(MID(TRIM(UPPER(W206)),10,1))&lt;=90,CODE(MID(TRIM(UPPER(W206)),6,1))&gt;=48,CODE(MID(TRIM(UPPER(W206)),6,1))&lt;=57,CODE(MID(TRIM(UPPER(W206)),7,1))&gt;=48,CODE(MID(TRIM(UPPER(W206)),7,1))&lt;=57,CODE(MID(TRIM(UPPER(W206)),8,1))&gt;=48,CODE(MID(TRIM(UPPER(W206)),8,1))&lt;=57,CODE(MID(TRIM(UPPER(W206)),9,1))&gt;=48,CODE(MID(TRIM(UPPER(W206)),9,1))&lt;=57),"N","Y"),IF($B206="Challan","",IF(W206&lt;&gt;"","◄ Set Row Type","")))</f>
      </c>
      <c r="Y206" s="23">
        <f>IF($B206="Entry",IF(LEN(W206)&lt;4,"",IF(UPPER(MID(W206,4,1))="P","Individual",IF(UPPER(MID(W206,4,1))="H","HUF",IF(UPPER(MID(W206,4,1))="C","Company",IF(UPPER(MID(W206,4,1))="F","Firm",IF(UPPER(MID(W206,4,1))="L","LLP",IF(UPPER(MID(W206,4,1))="T","Trust",IF(UPPER(MID(W206,4,1))="A","AOP","")))))))),IF($B206="Challan","",IF(W206&lt;&gt;"","◄ Set Row Type","")))</f>
      </c>
      <c r="Z206" s="28"/>
      <c r="AA206" s="29">
        <f>IF($B206&lt;&gt;"Entry","",IF(Z206="","",IF(X206="Y",SUMPRODUCT(('Rate Lookup'!$A$1:$A$37=Z206)*'Rate Lookup'!$D$1:$D$37),IF(OR(Y206="Individual",Y206="HUF"),SUMPRODUCT(('Rate Lookup'!$A$1:$A$37=Z206)*'Rate Lookup'!$B$1:$B$37),SUMPRODUCT(('Rate Lookup'!$A$1:$A$37=Z206)*'Rate Lookup'!$C$1:$C$37)))))</f>
      </c>
      <c r="AB206" s="30"/>
      <c r="AC206" s="31"/>
      <c r="AD206" s="27">
        <f>IF($B206&lt;&gt;"Entry","",ROUND(AC206*AA206/100,0))</f>
      </c>
      <c r="AE206" s="27">
        <f>IF($B206&lt;&gt;"Entry","",0)</f>
      </c>
      <c r="AF206" s="27">
        <f>IF($B206&lt;&gt;"Entry","",0)</f>
      </c>
      <c r="AG206" s="27">
        <f>IF($B206&lt;&gt;"Entry","",IF(OR(AD206=0,AB206="",AQ206="",AQ206&lt;=0),0,IF(AQ206&lt;=DATE(YEAR(AB206),MONTH(AB206)+1,7),0,ROUND(AD206*0.015*((YEAR(AQ206)-YEAR(AB206))*12+(MONTH(AQ206)-MONTH(AB206))+1),0))))</f>
      </c>
      <c r="AH206" s="27">
        <f>IF($B206&lt;&gt;"Entry","",0)</f>
      </c>
      <c r="AI206" s="28"/>
      <c r="AJ206" s="28"/>
      <c r="AK206" s="32"/>
      <c r="AL206" s="28"/>
      <c r="AM206" s="28"/>
      <c r="AN206" s="27">
        <f>IF($B206&lt;&gt;"Challan","",SUMIF('Q1 Data'!$D$4:$D$207,D206,'Q1 Data'!$AD$4:$AD$207)+SUMIF('Q1 Data'!$D$4:$D$207,D206,'Q1 Data'!$AG$4:$AG$207)+SUMIF('Q1 Data'!$D$4:$D$207,D206,'Q1 Data'!$AE$4:$AE$207)+SUMIF('Q2 Data'!$D$4:$D$207,D206,'Q2 Data'!$AD$4:$AD$207)+SUMIF('Q2 Data'!$D$4:$D$207,D206,'Q2 Data'!$AG$4:$AG$207)+SUMIF('Q2 Data'!$D$4:$D$207,D206,'Q2 Data'!$AE$4:$AE$207)+SUMIF('Q3 Data'!$D$4:$D$207,D206,'Q3 Data'!$AD$4:$AD$207)+SUMIF('Q3 Data'!$D$4:$D$207,D206,'Q3 Data'!$AG$4:$AG$207)+SUMIF('Q3 Data'!$D$4:$D$207,D206,'Q3 Data'!$AE$4:$AE$207)+SUMIF('Q4 Data'!$D$4:$D$207,D206,'Q4 Data'!$AD$4:$AD$207)+SUMIF('Q4 Data'!$D$4:$D$207,D206,'Q4 Data'!$AG$4:$AG$207)+SUMIF('Q4 Data'!$D$4:$D$207,D206,'Q4 Data'!$AE$4:$AE$207))</f>
      </c>
      <c r="AO206" s="27">
        <f>IF($B206&lt;&gt;"Challan","",P206-N206)</f>
      </c>
      <c r="AP206" s="27">
        <f>IF($B206&lt;&gt;"Challan","",MAX(0,AO206-AN206))</f>
      </c>
      <c r="AQ206" s="33">
        <f>IF($B206&lt;&gt;"Entry","",SUMPRODUCT(('Q1 Data'!$D$4:$D$207=D206)*('Q1 Data'!$B$4:$B$207="Challan")*'Q1 Data'!$F$4:$F$207)+SUMPRODUCT(('Q2 Data'!$D$4:$D$207=D206)*('Q2 Data'!$B$4:$B$207="Challan")*'Q2 Data'!$F$4:$F$207)+SUMPRODUCT(('Q3 Data'!$D$4:$D$207=D206)*('Q3 Data'!$B$4:$B$207="Challan")*'Q3 Data'!$F$4:$F$207)+SUMPRODUCT(('Q4 Data'!$D$4:$D$207=D206)*('Q4 Data'!$B$4:$B$207="Challan")*'Q4 Data'!$F$4:$F$207))</f>
      </c>
      <c r="AR206" s="34">
        <f>IF(OR($B206&lt;&gt;"Entry",Z206=""),FALSE,AND((SUMPRODUCT(('Q1 Data'!$D$4:$D$207=D206)*('Q1 Data'!$B$4:$B$207="Challan")*('Q1 Data'!$H$4:$H$207&lt;&gt;""))+SUMPRODUCT(('Q2 Data'!$D$4:$D$207=D206)*('Q2 Data'!$B$4:$B$207="Challan")*('Q2 Data'!$H$4:$H$207&lt;&gt;""))+SUMPRODUCT(('Q3 Data'!$D$4:$D$207=D206)*('Q3 Data'!$B$4:$B$207="Challan")*('Q3 Data'!$H$4:$H$207&lt;&gt;""))+SUMPRODUCT(('Q4 Data'!$D$4:$D$207=D206)*('Q4 Data'!$B$4:$B$207="Challan")*('Q4 Data'!$H$4:$H$207&lt;&gt;"")))&gt;0,(SUMPRODUCT(('Q1 Data'!$D$4:$D$207=D206)*('Q1 Data'!$B$4:$B$207="Challan")*('Q1 Data'!$H$4:$H$207=Z206))+SUMPRODUCT(('Q2 Data'!$D$4:$D$207=D206)*('Q2 Data'!$B$4:$B$207="Challan")*('Q2 Data'!$H$4:$H$207=Z206))+SUMPRODUCT(('Q3 Data'!$D$4:$D$207=D206)*('Q3 Data'!$B$4:$B$207="Challan")*('Q3 Data'!$H$4:$H$207=Z206))+SUMPRODUCT(('Q4 Data'!$D$4:$D$207=D206)*('Q4 Data'!$B$4:$B$207="Challan")*('Q4 Data'!$H$4:$H$207=Z206)))=0))</f>
      </c>
    </row>
    <row r="207" spans="1:44" x14ac:dyDescent="0.25">
      <c r="A207" s="20">
        <f>IF($B207="Entry",COUNTIF($B$4:$B207,"Entry"),"")</f>
      </c>
      <c r="B207" s="21"/>
      <c r="C207" s="22"/>
      <c r="D207" s="22"/>
      <c r="E207" s="23">
        <f>IF($B207&lt;&gt;"Challan","",IF(ROUND(AN207-AO207,2)&gt;0,"Over-applied",IF(ROUND(AN207-AO207,2)=0,"Fully Utilised","Unconsumed")))</f>
      </c>
      <c r="F207" s="24"/>
      <c r="G207" s="25"/>
      <c r="H207" s="25"/>
      <c r="I207" s="26"/>
      <c r="J207" s="26"/>
      <c r="K207" s="26"/>
      <c r="L207" s="26"/>
      <c r="M207" s="26"/>
      <c r="N207" s="26"/>
      <c r="O207" s="26"/>
      <c r="P207" s="27">
        <f>IF($B207&lt;&gt;"Challan","",I207+J207+K207+L207+M207+N207)</f>
      </c>
      <c r="Q207" s="25"/>
      <c r="R207" s="25"/>
      <c r="S207" s="25"/>
      <c r="T207" s="25"/>
      <c r="U207" s="25"/>
      <c r="V207" s="28"/>
      <c r="W207" s="28"/>
      <c r="X207" s="23">
        <f>IF($B207="Entry",IF(AND(LEN(TRIM(UPPER(W207)))=10,CODE(MID(TRIM(UPPER(W207)),1,1))&gt;=65,CODE(MID(TRIM(UPPER(W207)),1,1))&lt;=90,CODE(MID(TRIM(UPPER(W207)),2,1))&gt;=65,CODE(MID(TRIM(UPPER(W207)),2,1))&lt;=90,CODE(MID(TRIM(UPPER(W207)),3,1))&gt;=65,CODE(MID(TRIM(UPPER(W207)),3,1))&lt;=90,CODE(MID(TRIM(UPPER(W207)),4,1))&gt;=65,CODE(MID(TRIM(UPPER(W207)),4,1))&lt;=90,CODE(MID(TRIM(UPPER(W207)),5,1))&gt;=65,CODE(MID(TRIM(UPPER(W207)),5,1))&lt;=90,CODE(MID(TRIM(UPPER(W207)),10,1))&gt;=65,CODE(MID(TRIM(UPPER(W207)),10,1))&lt;=90,CODE(MID(TRIM(UPPER(W207)),6,1))&gt;=48,CODE(MID(TRIM(UPPER(W207)),6,1))&lt;=57,CODE(MID(TRIM(UPPER(W207)),7,1))&gt;=48,CODE(MID(TRIM(UPPER(W207)),7,1))&lt;=57,CODE(MID(TRIM(UPPER(W207)),8,1))&gt;=48,CODE(MID(TRIM(UPPER(W207)),8,1))&lt;=57,CODE(MID(TRIM(UPPER(W207)),9,1))&gt;=48,CODE(MID(TRIM(UPPER(W207)),9,1))&lt;=57),"N","Y"),IF($B207="Challan","",IF(W207&lt;&gt;"","◄ Set Row Type","")))</f>
      </c>
      <c r="Y207" s="23">
        <f>IF($B207="Entry",IF(LEN(W207)&lt;4,"",IF(UPPER(MID(W207,4,1))="P","Individual",IF(UPPER(MID(W207,4,1))="H","HUF",IF(UPPER(MID(W207,4,1))="C","Company",IF(UPPER(MID(W207,4,1))="F","Firm",IF(UPPER(MID(W207,4,1))="L","LLP",IF(UPPER(MID(W207,4,1))="T","Trust",IF(UPPER(MID(W207,4,1))="A","AOP","")))))))),IF($B207="Challan","",IF(W207&lt;&gt;"","◄ Set Row Type","")))</f>
      </c>
      <c r="Z207" s="28"/>
      <c r="AA207" s="29">
        <f>IF($B207&lt;&gt;"Entry","",IF(Z207="","",IF(X207="Y",SUMPRODUCT(('Rate Lookup'!$A$1:$A$37=Z207)*'Rate Lookup'!$D$1:$D$37),IF(OR(Y207="Individual",Y207="HUF"),SUMPRODUCT(('Rate Lookup'!$A$1:$A$37=Z207)*'Rate Lookup'!$B$1:$B$37),SUMPRODUCT(('Rate Lookup'!$A$1:$A$37=Z207)*'Rate Lookup'!$C$1:$C$37)))))</f>
      </c>
      <c r="AB207" s="30"/>
      <c r="AC207" s="31"/>
      <c r="AD207" s="27">
        <f>IF($B207&lt;&gt;"Entry","",ROUND(AC207*AA207/100,0))</f>
      </c>
      <c r="AE207" s="27">
        <f>IF($B207&lt;&gt;"Entry","",0)</f>
      </c>
      <c r="AF207" s="27">
        <f>IF($B207&lt;&gt;"Entry","",0)</f>
      </c>
      <c r="AG207" s="27">
        <f>IF($B207&lt;&gt;"Entry","",IF(OR(AD207=0,AB207="",AQ207="",AQ207&lt;=0),0,IF(AQ207&lt;=DATE(YEAR(AB207),MONTH(AB207)+1,7),0,ROUND(AD207*0.015*((YEAR(AQ207)-YEAR(AB207))*12+(MONTH(AQ207)-MONTH(AB207))+1),0))))</f>
      </c>
      <c r="AH207" s="27">
        <f>IF($B207&lt;&gt;"Entry","",0)</f>
      </c>
      <c r="AI207" s="28"/>
      <c r="AJ207" s="28"/>
      <c r="AK207" s="32"/>
      <c r="AL207" s="28"/>
      <c r="AM207" s="28"/>
      <c r="AN207" s="27">
        <f>IF($B207&lt;&gt;"Challan","",SUMIF('Q1 Data'!$D$4:$D$207,D207,'Q1 Data'!$AD$4:$AD$207)+SUMIF('Q1 Data'!$D$4:$D$207,D207,'Q1 Data'!$AG$4:$AG$207)+SUMIF('Q1 Data'!$D$4:$D$207,D207,'Q1 Data'!$AE$4:$AE$207)+SUMIF('Q2 Data'!$D$4:$D$207,D207,'Q2 Data'!$AD$4:$AD$207)+SUMIF('Q2 Data'!$D$4:$D$207,D207,'Q2 Data'!$AG$4:$AG$207)+SUMIF('Q2 Data'!$D$4:$D$207,D207,'Q2 Data'!$AE$4:$AE$207)+SUMIF('Q3 Data'!$D$4:$D$207,D207,'Q3 Data'!$AD$4:$AD$207)+SUMIF('Q3 Data'!$D$4:$D$207,D207,'Q3 Data'!$AG$4:$AG$207)+SUMIF('Q3 Data'!$D$4:$D$207,D207,'Q3 Data'!$AE$4:$AE$207)+SUMIF('Q4 Data'!$D$4:$D$207,D207,'Q4 Data'!$AD$4:$AD$207)+SUMIF('Q4 Data'!$D$4:$D$207,D207,'Q4 Data'!$AG$4:$AG$207)+SUMIF('Q4 Data'!$D$4:$D$207,D207,'Q4 Data'!$AE$4:$AE$207))</f>
      </c>
      <c r="AO207" s="27">
        <f>IF($B207&lt;&gt;"Challan","",P207-N207)</f>
      </c>
      <c r="AP207" s="27">
        <f>IF($B207&lt;&gt;"Challan","",MAX(0,AO207-AN207))</f>
      </c>
      <c r="AQ207" s="33">
        <f>IF($B207&lt;&gt;"Entry","",SUMPRODUCT(('Q1 Data'!$D$4:$D$207=D207)*('Q1 Data'!$B$4:$B$207="Challan")*'Q1 Data'!$F$4:$F$207)+SUMPRODUCT(('Q2 Data'!$D$4:$D$207=D207)*('Q2 Data'!$B$4:$B$207="Challan")*'Q2 Data'!$F$4:$F$207)+SUMPRODUCT(('Q3 Data'!$D$4:$D$207=D207)*('Q3 Data'!$B$4:$B$207="Challan")*'Q3 Data'!$F$4:$F$207)+SUMPRODUCT(('Q4 Data'!$D$4:$D$207=D207)*('Q4 Data'!$B$4:$B$207="Challan")*'Q4 Data'!$F$4:$F$207))</f>
      </c>
      <c r="AR207" s="34">
        <f>IF(OR($B207&lt;&gt;"Entry",Z207=""),FALSE,AND((SUMPRODUCT(('Q1 Data'!$D$4:$D$207=D207)*('Q1 Data'!$B$4:$B$207="Challan")*('Q1 Data'!$H$4:$H$207&lt;&gt;""))+SUMPRODUCT(('Q2 Data'!$D$4:$D$207=D207)*('Q2 Data'!$B$4:$B$207="Challan")*('Q2 Data'!$H$4:$H$207&lt;&gt;""))+SUMPRODUCT(('Q3 Data'!$D$4:$D$207=D207)*('Q3 Data'!$B$4:$B$207="Challan")*('Q3 Data'!$H$4:$H$207&lt;&gt;""))+SUMPRODUCT(('Q4 Data'!$D$4:$D$207=D207)*('Q4 Data'!$B$4:$B$207="Challan")*('Q4 Data'!$H$4:$H$207&lt;&gt;"")))&gt;0,(SUMPRODUCT(('Q1 Data'!$D$4:$D$207=D207)*('Q1 Data'!$B$4:$B$207="Challan")*('Q1 Data'!$H$4:$H$207=Z207))+SUMPRODUCT(('Q2 Data'!$D$4:$D$207=D207)*('Q2 Data'!$B$4:$B$207="Challan")*('Q2 Data'!$H$4:$H$207=Z207))+SUMPRODUCT(('Q3 Data'!$D$4:$D$207=D207)*('Q3 Data'!$B$4:$B$207="Challan")*('Q3 Data'!$H$4:$H$207=Z207))+SUMPRODUCT(('Q4 Data'!$D$4:$D$207=D207)*('Q4 Data'!$B$4:$B$207="Challan")*('Q4 Data'!$H$4:$H$207=Z207)))=0))</f>
      </c>
    </row>
  </sheetData>
  <sheetProtection sheet="1" formatCells="0" formatColumns="0" formatRows="0"/>
  <mergeCells count="2">
    <mergeCell ref="A1:AP1"/>
    <mergeCell ref="A2:AP2"/>
  </mergeCells>
  <conditionalFormatting sqref="A4:AP207">
    <cfRule type="expression" dxfId="9" priority="4">
      <formula>$B4="Challan"</formula>
    </cfRule>
  </conditionalFormatting>
  <conditionalFormatting sqref="A4:AP207">
    <cfRule type="expression" dxfId="10" priority="1">
      <formula>E4="Over-applied"</formula>
    </cfRule>
    <cfRule type="expression" dxfId="11" priority="2">
      <formula>E4="Fully Utilised"</formula>
    </cfRule>
    <cfRule type="expression" dxfId="12" priority="3">
      <formula>E4="Unconsumed"</formula>
    </cfRule>
  </conditionalFormatting>
  <conditionalFormatting sqref="Z4:Z207">
    <cfRule type="expression" dxfId="13" priority="5">
      <formula>AR4=TRUE</formula>
    </cfRule>
  </conditionalFormatting>
  <conditionalFormatting sqref="W4:W207">
    <cfRule type="expression" dxfId="14" priority="6">
      <formula>X4="Y"</formula>
    </cfRule>
  </conditionalFormatting>
  <conditionalFormatting sqref="X4:X207">
    <cfRule type="expression" dxfId="15" priority="7">
      <formula>X4="Y"</formula>
    </cfRule>
  </conditionalFormatting>
  <conditionalFormatting sqref="A2:AP2">
    <cfRule type="expression" dxfId="16" priority="8">
      <formula>ISNUMBER(SEARCH("VALIDATION FAILED",A2))</formula>
    </cfRule>
    <cfRule type="expression" dxfId="17" priority="9">
      <formula>ISNUMBER(SEARCH("Validation Successful",A2))</formula>
    </cfRule>
  </conditionalFormatting>
  <dataValidations count="20">
    <dataValidation type="date" allowBlank="1" showErrorMessage="1" errorTitle="Invalid Date" error="Enter a real date (use the date picker), between 01-Apr-2020 and 31-Mar-2030." sqref="AB4:AB207">
      <formula1>43922</formula1>
      <formula2>47573</formula2>
    </dataValidation>
    <dataValidation type="decimal" operator="greaterThanOrEqual" allowBlank="1" showErrorMessage="1" errorTitle="Invalid Amount" error="Must be a number of 0 or more." sqref="AC4:AC207">
      <formula1>0</formula1>
    </dataValidation>
    <dataValidation type="list" allowBlank="1" showErrorMessage="1" errorTitle="Invalid Reason Code" error="Pick a Reason Code from the dropdown (A/B/C/D/E/Y/Z)." sqref="AI4:AI207">
      <formula1>"A,B,C,D,E,Y,Z"</formula1>
    </dataValidation>
    <dataValidation type="decimal" allowBlank="1" showErrorMessage="1" errorTitle="Invalid Rate" error="Rate must be a number between 0 and 100." sqref="AK4:AK207">
      <formula1>0</formula1>
      <formula2>100</formula2>
    </dataValidation>
    <dataValidation type="list" showErrorMessage="1" errorTitle="Invalid Row Type" error="Pick either Challan or Entry from the dropdown." sqref="B4:B207">
      <formula1>"Challan,Entry"</formula1>
    </dataValidation>
    <dataValidation type="textLength" operator="equal" allowBlank="1" showErrorMessage="1" errorTitle="Invalid BSR Code" error="BSR Code must be exactly 7 characters." sqref="C4:C207">
      <formula1>7</formula1>
    </dataValidation>
    <dataValidation type="custom" allowBlank="1" showErrorMessage="1" errorTitle="Invalid Challan Serial No." error="On a Challan row, Challan Serial No. must be exactly 5 digits and unique across ALL FOUR quarter tabs — the same challan can only be entered once, in the quarter it was actually deposited." sqref="D4:D207">
      <formula1>OR($B4&lt;&gt;"Challan",AND(LEN(D4)=5,(COUNTIFS('Q1 Data'!$B$4:$B$207,"Challan",'Q1 Data'!$D$4:$D$207,D4)+COUNTIFS('Q2 Data'!$B$4:$B$207,"Challan",'Q2 Data'!$D$4:$D$207,D4)+COUNTIFS('Q3 Data'!$B$4:$B$207,"Challan",'Q3 Data'!$D$4:$D$207,D4)+COUNTIFS('Q4 Data'!$B$4:$B$207,"Challan",'Q4 Data'!$D$4:$D$207,D4))=1))</formula1>
    </dataValidation>
    <dataValidation type="date" allowBlank="1" showErrorMessage="1" errorTitle="Invalid Date" error="Enter a real date (use the date picker), between 01-Apr-2020 and 31-Mar-2030." sqref="F4:F207">
      <formula1>43922</formula1>
      <formula2>47573</formula2>
    </dataValidation>
    <dataValidation type="list" allowBlank="1" showErrorMessage="1" errorTitle="Invalid Minor Head" error="Pick 200 (TDS Payable) or 400 (Demand) from the dropdown." sqref="G4:G207">
      <formula1>"200,400"</formula1>
    </dataValidation>
    <dataValidation type="list" allowBlank="1" showErrorMessage="1" errorTitle="Invalid Section" error="Pick a section from the dropdown list." sqref="H4:H207">
      <formula1>'Rate Lookup'!$A$1:$A$37</formula1>
    </dataValidation>
    <dataValidation type="decimal" operator="greaterThanOrEqual" allowBlank="1" showErrorMessage="1" errorTitle="Invalid Amount" error="Must be a number of 0 or more." sqref="I4:I207">
      <formula1>0</formula1>
    </dataValidation>
    <dataValidation type="decimal" operator="greaterThanOrEqual" allowBlank="1" showErrorMessage="1" errorTitle="Invalid Amount" error="Must be a number of 0 or more." sqref="J4:J207">
      <formula1>0</formula1>
    </dataValidation>
    <dataValidation type="decimal" operator="greaterThanOrEqual" allowBlank="1" showErrorMessage="1" errorTitle="Invalid Amount" error="Must be a number of 0 or more." sqref="K4:K207">
      <formula1>0</formula1>
    </dataValidation>
    <dataValidation type="decimal" operator="greaterThanOrEqual" allowBlank="1" showErrorMessage="1" errorTitle="Invalid Amount" error="Must be a number of 0 or more." sqref="L4:L207">
      <formula1>0</formula1>
    </dataValidation>
    <dataValidation type="decimal" operator="greaterThanOrEqual" allowBlank="1" showErrorMessage="1" errorTitle="Invalid Amount" error="Must be a number of 0 or more." sqref="M4:M207">
      <formula1>0</formula1>
    </dataValidation>
    <dataValidation type="decimal" operator="greaterThanOrEqual" allowBlank="1" showErrorMessage="1" errorTitle="Invalid Amount" error="Must be a number of 0 or more." sqref="N4:N207">
      <formula1>0</formula1>
    </dataValidation>
    <dataValidation type="custom" allowBlank="1" showErrorMessage="1" errorTitle="Invalid Late Fees Used" error="Late Fees Used cannot be negative or exceed Late Fees u/s 234E." sqref="O4:O207">
      <formula1>AND(O4&gt;=0,O4&lt;=N4)</formula1>
    </dataValidation>
    <dataValidation type="custom" allowBlank="1" showErrorMessage="1" errorTitle="Invalid Bank Name" error="Bank Name must be a name, not a number." sqref="Q4:Q207">
      <formula1>LEN(SUBSTITUTE(SUBSTITUTE(SUBSTITUTE(SUBSTITUTE(SUBSTITUTE(SUBSTITUTE(SUBSTITUTE(SUBSTITUTE(SUBSTITUTE(SUBSTITUTE(SUBSTITUTE(SUBSTITUTE(SUBSTITUTE(Q4,"0",""),"1",""),"2",""),"3",""),"4",""),"5",""),"6",""),"7",""),"8",""),"9",""),",",""),".","")," ",""))&gt;0</formula1>
    </dataValidation>
    <dataValidation type="list" allowBlank="1" showErrorMessage="1" errorTitle="Invalid value" error="Pick Y or N from the dropdown." sqref="R4:R207">
      <formula1>"Y,N"</formula1>
    </dataValidation>
    <dataValidation type="list" allowBlank="1" showErrorMessage="1" errorTitle="Invalid Section for this Deductee Type" error="194C(a) is Individual/HUF only; 194C(b) is for every other deductee type. Pick the option matching this row's own Deductee Type (column Y)." sqref="Z4:Z207">
      <formula1>IF(OR($Y4="Individual",$Y4="HUF"),'Rate Lookup'!$F$1:$F$36,'Rate Lookup'!$G$1:$G$36)</formula1>
    </dataValidation>
  </dataValidations>
  <pageMargins left="0.7" right="0.7" top="0.75" bottom="0.75" header="0.3" footer="0.3"/>
  <pageSetup orientation="portrait" horizontalDpi="4294967295" verticalDpi="4294967295" scale="100" fitToWidth="1" fitToHeight="1"/>
  <ignoredErrors>
    <ignoredError sqref="C4:D207 F4:F207" numberStoredAsText="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R207"/>
  <sheetViews>
    <sheetView workbookViewId="0" showGridLines="0">
      <pane ySplit="3" topLeftCell="A4" activePane="bottomLeft" state="frozen"/>
      <selection pane="bottomLeft"/>
    </sheetView>
  </sheetViews>
  <sheetFormatPr defaultRowHeight="15" outlineLevelRow="0" outlineLevelCol="0" x14ac:dyDescent="55"/>
  <cols>
    <col min="1" max="1" width="7" customWidth="1"/>
    <col min="2" max="2" width="10" customWidth="1"/>
    <col min="3" max="4" width="12" customWidth="1"/>
    <col min="5" max="5" width="13" customWidth="1"/>
    <col min="6" max="7" width="12" customWidth="1"/>
    <col min="8" max="8" width="55" customWidth="1"/>
    <col min="9" max="20" width="12" customWidth="1"/>
    <col min="21" max="21" width="18" customWidth="1"/>
    <col min="22" max="22" width="26" customWidth="1"/>
    <col min="23" max="25" width="12" customWidth="1"/>
    <col min="26" max="26" width="55" customWidth="1"/>
    <col min="27" max="38" width="12" customWidth="1"/>
    <col min="39" max="39" width="18" customWidth="1"/>
    <col min="40" max="42" width="12" customWidth="1"/>
    <col min="43" max="44" width="12" hidden="1" customWidth="1"/>
  </cols>
  <sheetData>
    <row r="1" ht="22" customHeight="1" spans="1:42" x14ac:dyDescent="0.25">
      <c r="A1" s="6" t="s">
        <v>174</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row>
    <row r="2" ht="20" customHeight="1" spans="1:42" x14ac:dyDescent="0.25">
      <c r="A2" s="7">
        <f>IF(COUNTIF($E$4:$E$207,"Over-applied")=0,"✅ Validation Successful — no over-applied challans ("&amp;COUNTIF($B$4:$B$207,"Challan")&amp;" challans, "&amp;COUNTIF($B$4:$B$207,"Entry")&amp;" entries checked).","❌ VALIDATION FAILED — "&amp;COUNTIF($E$4:$E$207,"Over-applied")&amp;" challan(s) Over-applied. See the red-highlighted row(s) below — reduce entries or increase the challan deposit.")</f>
      </c>
      <c r="B2" s="7"/>
      <c r="C2" s="7"/>
      <c r="D2" s="7"/>
      <c r="E2" s="7"/>
      <c r="F2" s="7"/>
      <c r="G2" s="7"/>
      <c r="H2" s="7"/>
      <c r="I2" s="7"/>
      <c r="J2" s="7"/>
      <c r="K2" s="7"/>
      <c r="L2" s="7"/>
      <c r="M2" s="7"/>
      <c r="N2" s="7"/>
      <c r="O2" s="7"/>
      <c r="P2" s="7"/>
      <c r="Q2" s="7"/>
      <c r="R2" s="7"/>
      <c r="S2" s="7"/>
      <c r="T2" s="7"/>
      <c r="U2" s="7"/>
      <c r="V2" s="7"/>
      <c r="W2" s="7"/>
      <c r="X2" s="7"/>
      <c r="Y2" s="7"/>
      <c r="Z2" s="7"/>
      <c r="AA2" s="7"/>
      <c r="AB2" s="7"/>
      <c r="AC2" s="7"/>
      <c r="AD2" s="7"/>
      <c r="AE2" s="7"/>
      <c r="AF2" s="7"/>
      <c r="AG2" s="7"/>
      <c r="AH2" s="7"/>
      <c r="AI2" s="7"/>
      <c r="AJ2" s="7"/>
      <c r="AK2" s="7"/>
      <c r="AL2" s="7"/>
      <c r="AM2" s="7"/>
      <c r="AN2" s="7"/>
      <c r="AO2" s="7"/>
      <c r="AP2" s="7"/>
    </row>
    <row r="3" ht="40" customHeight="1" spans="1:44" x14ac:dyDescent="0.25">
      <c r="A3" s="8" t="s">
        <v>111</v>
      </c>
      <c r="B3" s="8" t="s">
        <v>112</v>
      </c>
      <c r="C3" s="8" t="s">
        <v>113</v>
      </c>
      <c r="D3" s="8" t="s">
        <v>114</v>
      </c>
      <c r="E3" s="8" t="s">
        <v>115</v>
      </c>
      <c r="F3" s="8" t="s">
        <v>116</v>
      </c>
      <c r="G3" s="8" t="s">
        <v>117</v>
      </c>
      <c r="H3" s="8" t="s">
        <v>118</v>
      </c>
      <c r="I3" s="8" t="s">
        <v>119</v>
      </c>
      <c r="J3" s="8" t="s">
        <v>120</v>
      </c>
      <c r="K3" s="8" t="s">
        <v>121</v>
      </c>
      <c r="L3" s="8" t="s">
        <v>122</v>
      </c>
      <c r="M3" s="8" t="s">
        <v>123</v>
      </c>
      <c r="N3" s="8" t="s">
        <v>124</v>
      </c>
      <c r="O3" s="8" t="s">
        <v>125</v>
      </c>
      <c r="P3" s="8" t="s">
        <v>126</v>
      </c>
      <c r="Q3" s="8" t="s">
        <v>127</v>
      </c>
      <c r="R3" s="8" t="s">
        <v>128</v>
      </c>
      <c r="S3" s="8" t="s">
        <v>129</v>
      </c>
      <c r="T3" s="8" t="s">
        <v>130</v>
      </c>
      <c r="U3" s="8" t="s">
        <v>131</v>
      </c>
      <c r="V3" s="8" t="s">
        <v>132</v>
      </c>
      <c r="W3" s="8" t="s">
        <v>133</v>
      </c>
      <c r="X3" s="8" t="s">
        <v>134</v>
      </c>
      <c r="Y3" s="8" t="s">
        <v>135</v>
      </c>
      <c r="Z3" s="8" t="s">
        <v>136</v>
      </c>
      <c r="AA3" s="8" t="s">
        <v>137</v>
      </c>
      <c r="AB3" s="8" t="s">
        <v>138</v>
      </c>
      <c r="AC3" s="8" t="s">
        <v>139</v>
      </c>
      <c r="AD3" s="8" t="s">
        <v>140</v>
      </c>
      <c r="AE3" s="8" t="s">
        <v>141</v>
      </c>
      <c r="AF3" s="8" t="s">
        <v>142</v>
      </c>
      <c r="AG3" s="8" t="s">
        <v>143</v>
      </c>
      <c r="AH3" s="8" t="s">
        <v>144</v>
      </c>
      <c r="AI3" s="8" t="s">
        <v>145</v>
      </c>
      <c r="AJ3" s="8" t="s">
        <v>146</v>
      </c>
      <c r="AK3" s="8" t="s">
        <v>147</v>
      </c>
      <c r="AL3" s="8" t="s">
        <v>148</v>
      </c>
      <c r="AM3" s="8" t="s">
        <v>149</v>
      </c>
      <c r="AN3" s="8" t="s">
        <v>150</v>
      </c>
      <c r="AO3" s="8" t="s">
        <v>151</v>
      </c>
      <c r="AP3" s="8" t="s">
        <v>152</v>
      </c>
      <c r="AQ3" s="8" t="s">
        <v>153</v>
      </c>
      <c r="AR3" s="8" t="s">
        <v>154</v>
      </c>
    </row>
    <row r="4" spans="1:44" x14ac:dyDescent="0.25">
      <c r="A4" s="20">
        <f>IF($B4="Entry",COUNTIF($B$4:$B4,"Entry"),"")</f>
      </c>
      <c r="B4" s="21"/>
      <c r="C4" s="22"/>
      <c r="D4" s="22"/>
      <c r="E4" s="23">
        <f>IF($B4&lt;&gt;"Challan","",IF(ROUND(AN4-AO4,2)&gt;0,"Over-applied",IF(ROUND(AN4-AO4,2)=0,"Fully Utilised","Unconsumed")))</f>
      </c>
      <c r="F4" s="24"/>
      <c r="G4" s="25"/>
      <c r="H4" s="25"/>
      <c r="I4" s="26"/>
      <c r="J4" s="26"/>
      <c r="K4" s="26"/>
      <c r="L4" s="26"/>
      <c r="M4" s="26"/>
      <c r="N4" s="26"/>
      <c r="O4" s="26"/>
      <c r="P4" s="27">
        <f>IF($B4&lt;&gt;"Challan","",I4+J4+K4+L4+M4+N4)</f>
      </c>
      <c r="Q4" s="25"/>
      <c r="R4" s="25"/>
      <c r="S4" s="25"/>
      <c r="T4" s="25"/>
      <c r="U4" s="25"/>
      <c r="V4" s="28"/>
      <c r="W4" s="28"/>
      <c r="X4" s="23">
        <f>IF($B4="Entry",IF(AND(LEN(TRIM(UPPER(W4)))=10,CODE(MID(TRIM(UPPER(W4)),1,1))&gt;=65,CODE(MID(TRIM(UPPER(W4)),1,1))&lt;=90,CODE(MID(TRIM(UPPER(W4)),2,1))&gt;=65,CODE(MID(TRIM(UPPER(W4)),2,1))&lt;=90,CODE(MID(TRIM(UPPER(W4)),3,1))&gt;=65,CODE(MID(TRIM(UPPER(W4)),3,1))&lt;=90,CODE(MID(TRIM(UPPER(W4)),4,1))&gt;=65,CODE(MID(TRIM(UPPER(W4)),4,1))&lt;=90,CODE(MID(TRIM(UPPER(W4)),5,1))&gt;=65,CODE(MID(TRIM(UPPER(W4)),5,1))&lt;=90,CODE(MID(TRIM(UPPER(W4)),10,1))&gt;=65,CODE(MID(TRIM(UPPER(W4)),10,1))&lt;=90,CODE(MID(TRIM(UPPER(W4)),6,1))&gt;=48,CODE(MID(TRIM(UPPER(W4)),6,1))&lt;=57,CODE(MID(TRIM(UPPER(W4)),7,1))&gt;=48,CODE(MID(TRIM(UPPER(W4)),7,1))&lt;=57,CODE(MID(TRIM(UPPER(W4)),8,1))&gt;=48,CODE(MID(TRIM(UPPER(W4)),8,1))&lt;=57,CODE(MID(TRIM(UPPER(W4)),9,1))&gt;=48,CODE(MID(TRIM(UPPER(W4)),9,1))&lt;=57),"N","Y"),IF($B4="Challan","",IF(W4&lt;&gt;"","◄ Set Row Type","")))</f>
      </c>
      <c r="Y4" s="23">
        <f>IF($B4="Entry",IF(LEN(W4)&lt;4,"",IF(UPPER(MID(W4,4,1))="P","Individual",IF(UPPER(MID(W4,4,1))="H","HUF",IF(UPPER(MID(W4,4,1))="C","Company",IF(UPPER(MID(W4,4,1))="F","Firm",IF(UPPER(MID(W4,4,1))="L","LLP",IF(UPPER(MID(W4,4,1))="T","Trust",IF(UPPER(MID(W4,4,1))="A","AOP","")))))))),IF($B4="Challan","",IF(W4&lt;&gt;"","◄ Set Row Type","")))</f>
      </c>
      <c r="Z4" s="28"/>
      <c r="AA4" s="29">
        <f>IF($B4&lt;&gt;"Entry","",IF(Z4="","",IF(X4="Y",SUMPRODUCT(('Rate Lookup'!$A$1:$A$37=Z4)*'Rate Lookup'!$D$1:$D$37),IF(OR(Y4="Individual",Y4="HUF"),SUMPRODUCT(('Rate Lookup'!$A$1:$A$37=Z4)*'Rate Lookup'!$B$1:$B$37),SUMPRODUCT(('Rate Lookup'!$A$1:$A$37=Z4)*'Rate Lookup'!$C$1:$C$37)))))</f>
      </c>
      <c r="AB4" s="30"/>
      <c r="AC4" s="31"/>
      <c r="AD4" s="27">
        <f>IF($B4&lt;&gt;"Entry","",ROUND(AC4*AA4/100,0))</f>
      </c>
      <c r="AE4" s="27">
        <f>IF($B4&lt;&gt;"Entry","",0)</f>
      </c>
      <c r="AF4" s="27">
        <f>IF($B4&lt;&gt;"Entry","",0)</f>
      </c>
      <c r="AG4" s="27">
        <f>IF($B4&lt;&gt;"Entry","",IF(OR(AD4=0,AB4="",AQ4="",AQ4&lt;=0),0,IF(AQ4&lt;=DATE(YEAR(AB4),MONTH(AB4)+1,7),0,ROUND(AD4*0.015*((YEAR(AQ4)-YEAR(AB4))*12+(MONTH(AQ4)-MONTH(AB4))+1),0))))</f>
      </c>
      <c r="AH4" s="27">
        <f>IF($B4&lt;&gt;"Entry","",0)</f>
      </c>
      <c r="AI4" s="28"/>
      <c r="AJ4" s="28"/>
      <c r="AK4" s="32"/>
      <c r="AL4" s="28"/>
      <c r="AM4" s="28"/>
      <c r="AN4" s="27">
        <f>IF($B4&lt;&gt;"Challan","",SUMIF('Q1 Data'!$D$4:$D$207,D4,'Q1 Data'!$AD$4:$AD$207)+SUMIF('Q1 Data'!$D$4:$D$207,D4,'Q1 Data'!$AG$4:$AG$207)+SUMIF('Q1 Data'!$D$4:$D$207,D4,'Q1 Data'!$AE$4:$AE$207)+SUMIF('Q2 Data'!$D$4:$D$207,D4,'Q2 Data'!$AD$4:$AD$207)+SUMIF('Q2 Data'!$D$4:$D$207,D4,'Q2 Data'!$AG$4:$AG$207)+SUMIF('Q2 Data'!$D$4:$D$207,D4,'Q2 Data'!$AE$4:$AE$207)+SUMIF('Q3 Data'!$D$4:$D$207,D4,'Q3 Data'!$AD$4:$AD$207)+SUMIF('Q3 Data'!$D$4:$D$207,D4,'Q3 Data'!$AG$4:$AG$207)+SUMIF('Q3 Data'!$D$4:$D$207,D4,'Q3 Data'!$AE$4:$AE$207)+SUMIF('Q4 Data'!$D$4:$D$207,D4,'Q4 Data'!$AD$4:$AD$207)+SUMIF('Q4 Data'!$D$4:$D$207,D4,'Q4 Data'!$AG$4:$AG$207)+SUMIF('Q4 Data'!$D$4:$D$207,D4,'Q4 Data'!$AE$4:$AE$207))</f>
      </c>
      <c r="AO4" s="27">
        <f>IF($B4&lt;&gt;"Challan","",P4-N4)</f>
      </c>
      <c r="AP4" s="27">
        <f>IF($B4&lt;&gt;"Challan","",MAX(0,AO4-AN4))</f>
      </c>
      <c r="AQ4" s="33">
        <f>IF($B4&lt;&gt;"Entry","",SUMPRODUCT(('Q1 Data'!$D$4:$D$207=D4)*('Q1 Data'!$B$4:$B$207="Challan")*'Q1 Data'!$F$4:$F$207)+SUMPRODUCT(('Q2 Data'!$D$4:$D$207=D4)*('Q2 Data'!$B$4:$B$207="Challan")*'Q2 Data'!$F$4:$F$207)+SUMPRODUCT(('Q3 Data'!$D$4:$D$207=D4)*('Q3 Data'!$B$4:$B$207="Challan")*'Q3 Data'!$F$4:$F$207)+SUMPRODUCT(('Q4 Data'!$D$4:$D$207=D4)*('Q4 Data'!$B$4:$B$207="Challan")*'Q4 Data'!$F$4:$F$207))</f>
      </c>
      <c r="AR4" s="34">
        <f>IF(OR($B4&lt;&gt;"Entry",Z4=""),FALSE,AND((SUMPRODUCT(('Q1 Data'!$D$4:$D$207=D4)*('Q1 Data'!$B$4:$B$207="Challan")*('Q1 Data'!$H$4:$H$207&lt;&gt;""))+SUMPRODUCT(('Q2 Data'!$D$4:$D$207=D4)*('Q2 Data'!$B$4:$B$207="Challan")*('Q2 Data'!$H$4:$H$207&lt;&gt;""))+SUMPRODUCT(('Q3 Data'!$D$4:$D$207=D4)*('Q3 Data'!$B$4:$B$207="Challan")*('Q3 Data'!$H$4:$H$207&lt;&gt;""))+SUMPRODUCT(('Q4 Data'!$D$4:$D$207=D4)*('Q4 Data'!$B$4:$B$207="Challan")*('Q4 Data'!$H$4:$H$207&lt;&gt;"")))&gt;0,(SUMPRODUCT(('Q1 Data'!$D$4:$D$207=D4)*('Q1 Data'!$B$4:$B$207="Challan")*('Q1 Data'!$H$4:$H$207=Z4))+SUMPRODUCT(('Q2 Data'!$D$4:$D$207=D4)*('Q2 Data'!$B$4:$B$207="Challan")*('Q2 Data'!$H$4:$H$207=Z4))+SUMPRODUCT(('Q3 Data'!$D$4:$D$207=D4)*('Q3 Data'!$B$4:$B$207="Challan")*('Q3 Data'!$H$4:$H$207=Z4))+SUMPRODUCT(('Q4 Data'!$D$4:$D$207=D4)*('Q4 Data'!$B$4:$B$207="Challan")*('Q4 Data'!$H$4:$H$207=Z4)))=0))</f>
      </c>
    </row>
    <row r="5" spans="1:44" x14ac:dyDescent="0.25">
      <c r="A5" s="20">
        <f>IF($B5="Entry",COUNTIF($B$4:$B5,"Entry"),"")</f>
      </c>
      <c r="B5" s="21"/>
      <c r="C5" s="22"/>
      <c r="D5" s="22"/>
      <c r="E5" s="23">
        <f>IF($B5&lt;&gt;"Challan","",IF(ROUND(AN5-AO5,2)&gt;0,"Over-applied",IF(ROUND(AN5-AO5,2)=0,"Fully Utilised","Unconsumed")))</f>
      </c>
      <c r="F5" s="24"/>
      <c r="G5" s="25"/>
      <c r="H5" s="25"/>
      <c r="I5" s="26"/>
      <c r="J5" s="26"/>
      <c r="K5" s="26"/>
      <c r="L5" s="26"/>
      <c r="M5" s="26"/>
      <c r="N5" s="26"/>
      <c r="O5" s="26"/>
      <c r="P5" s="27">
        <f>IF($B5&lt;&gt;"Challan","",I5+J5+K5+L5+M5+N5)</f>
      </c>
      <c r="Q5" s="25"/>
      <c r="R5" s="25"/>
      <c r="S5" s="25"/>
      <c r="T5" s="25"/>
      <c r="U5" s="25"/>
      <c r="V5" s="28"/>
      <c r="W5" s="28"/>
      <c r="X5" s="23">
        <f>IF($B5="Entry",IF(AND(LEN(TRIM(UPPER(W5)))=10,CODE(MID(TRIM(UPPER(W5)),1,1))&gt;=65,CODE(MID(TRIM(UPPER(W5)),1,1))&lt;=90,CODE(MID(TRIM(UPPER(W5)),2,1))&gt;=65,CODE(MID(TRIM(UPPER(W5)),2,1))&lt;=90,CODE(MID(TRIM(UPPER(W5)),3,1))&gt;=65,CODE(MID(TRIM(UPPER(W5)),3,1))&lt;=90,CODE(MID(TRIM(UPPER(W5)),4,1))&gt;=65,CODE(MID(TRIM(UPPER(W5)),4,1))&lt;=90,CODE(MID(TRIM(UPPER(W5)),5,1))&gt;=65,CODE(MID(TRIM(UPPER(W5)),5,1))&lt;=90,CODE(MID(TRIM(UPPER(W5)),10,1))&gt;=65,CODE(MID(TRIM(UPPER(W5)),10,1))&lt;=90,CODE(MID(TRIM(UPPER(W5)),6,1))&gt;=48,CODE(MID(TRIM(UPPER(W5)),6,1))&lt;=57,CODE(MID(TRIM(UPPER(W5)),7,1))&gt;=48,CODE(MID(TRIM(UPPER(W5)),7,1))&lt;=57,CODE(MID(TRIM(UPPER(W5)),8,1))&gt;=48,CODE(MID(TRIM(UPPER(W5)),8,1))&lt;=57,CODE(MID(TRIM(UPPER(W5)),9,1))&gt;=48,CODE(MID(TRIM(UPPER(W5)),9,1))&lt;=57),"N","Y"),IF($B5="Challan","",IF(W5&lt;&gt;"","◄ Set Row Type","")))</f>
      </c>
      <c r="Y5" s="23">
        <f>IF($B5="Entry",IF(LEN(W5)&lt;4,"",IF(UPPER(MID(W5,4,1))="P","Individual",IF(UPPER(MID(W5,4,1))="H","HUF",IF(UPPER(MID(W5,4,1))="C","Company",IF(UPPER(MID(W5,4,1))="F","Firm",IF(UPPER(MID(W5,4,1))="L","LLP",IF(UPPER(MID(W5,4,1))="T","Trust",IF(UPPER(MID(W5,4,1))="A","AOP","")))))))),IF($B5="Challan","",IF(W5&lt;&gt;"","◄ Set Row Type","")))</f>
      </c>
      <c r="Z5" s="28"/>
      <c r="AA5" s="29">
        <f>IF($B5&lt;&gt;"Entry","",IF(Z5="","",IF(X5="Y",SUMPRODUCT(('Rate Lookup'!$A$1:$A$37=Z5)*'Rate Lookup'!$D$1:$D$37),IF(OR(Y5="Individual",Y5="HUF"),SUMPRODUCT(('Rate Lookup'!$A$1:$A$37=Z5)*'Rate Lookup'!$B$1:$B$37),SUMPRODUCT(('Rate Lookup'!$A$1:$A$37=Z5)*'Rate Lookup'!$C$1:$C$37)))))</f>
      </c>
      <c r="AB5" s="30"/>
      <c r="AC5" s="31"/>
      <c r="AD5" s="27">
        <f>IF($B5&lt;&gt;"Entry","",ROUND(AC5*AA5/100,0))</f>
      </c>
      <c r="AE5" s="27">
        <f>IF($B5&lt;&gt;"Entry","",0)</f>
      </c>
      <c r="AF5" s="27">
        <f>IF($B5&lt;&gt;"Entry","",0)</f>
      </c>
      <c r="AG5" s="27">
        <f>IF($B5&lt;&gt;"Entry","",IF(OR(AD5=0,AB5="",AQ5="",AQ5&lt;=0),0,IF(AQ5&lt;=DATE(YEAR(AB5),MONTH(AB5)+1,7),0,ROUND(AD5*0.015*((YEAR(AQ5)-YEAR(AB5))*12+(MONTH(AQ5)-MONTH(AB5))+1),0))))</f>
      </c>
      <c r="AH5" s="27">
        <f>IF($B5&lt;&gt;"Entry","",0)</f>
      </c>
      <c r="AI5" s="28"/>
      <c r="AJ5" s="28"/>
      <c r="AK5" s="32"/>
      <c r="AL5" s="28"/>
      <c r="AM5" s="28"/>
      <c r="AN5" s="27">
        <f>IF($B5&lt;&gt;"Challan","",SUMIF('Q1 Data'!$D$4:$D$207,D5,'Q1 Data'!$AD$4:$AD$207)+SUMIF('Q1 Data'!$D$4:$D$207,D5,'Q1 Data'!$AG$4:$AG$207)+SUMIF('Q1 Data'!$D$4:$D$207,D5,'Q1 Data'!$AE$4:$AE$207)+SUMIF('Q2 Data'!$D$4:$D$207,D5,'Q2 Data'!$AD$4:$AD$207)+SUMIF('Q2 Data'!$D$4:$D$207,D5,'Q2 Data'!$AG$4:$AG$207)+SUMIF('Q2 Data'!$D$4:$D$207,D5,'Q2 Data'!$AE$4:$AE$207)+SUMIF('Q3 Data'!$D$4:$D$207,D5,'Q3 Data'!$AD$4:$AD$207)+SUMIF('Q3 Data'!$D$4:$D$207,D5,'Q3 Data'!$AG$4:$AG$207)+SUMIF('Q3 Data'!$D$4:$D$207,D5,'Q3 Data'!$AE$4:$AE$207)+SUMIF('Q4 Data'!$D$4:$D$207,D5,'Q4 Data'!$AD$4:$AD$207)+SUMIF('Q4 Data'!$D$4:$D$207,D5,'Q4 Data'!$AG$4:$AG$207)+SUMIF('Q4 Data'!$D$4:$D$207,D5,'Q4 Data'!$AE$4:$AE$207))</f>
      </c>
      <c r="AO5" s="27">
        <f>IF($B5&lt;&gt;"Challan","",P5-N5)</f>
      </c>
      <c r="AP5" s="27">
        <f>IF($B5&lt;&gt;"Challan","",MAX(0,AO5-AN5))</f>
      </c>
      <c r="AQ5" s="33">
        <f>IF($B5&lt;&gt;"Entry","",SUMPRODUCT(('Q1 Data'!$D$4:$D$207=D5)*('Q1 Data'!$B$4:$B$207="Challan")*'Q1 Data'!$F$4:$F$207)+SUMPRODUCT(('Q2 Data'!$D$4:$D$207=D5)*('Q2 Data'!$B$4:$B$207="Challan")*'Q2 Data'!$F$4:$F$207)+SUMPRODUCT(('Q3 Data'!$D$4:$D$207=D5)*('Q3 Data'!$B$4:$B$207="Challan")*'Q3 Data'!$F$4:$F$207)+SUMPRODUCT(('Q4 Data'!$D$4:$D$207=D5)*('Q4 Data'!$B$4:$B$207="Challan")*'Q4 Data'!$F$4:$F$207))</f>
      </c>
      <c r="AR5" s="34">
        <f>IF(OR($B5&lt;&gt;"Entry",Z5=""),FALSE,AND((SUMPRODUCT(('Q1 Data'!$D$4:$D$207=D5)*('Q1 Data'!$B$4:$B$207="Challan")*('Q1 Data'!$H$4:$H$207&lt;&gt;""))+SUMPRODUCT(('Q2 Data'!$D$4:$D$207=D5)*('Q2 Data'!$B$4:$B$207="Challan")*('Q2 Data'!$H$4:$H$207&lt;&gt;""))+SUMPRODUCT(('Q3 Data'!$D$4:$D$207=D5)*('Q3 Data'!$B$4:$B$207="Challan")*('Q3 Data'!$H$4:$H$207&lt;&gt;""))+SUMPRODUCT(('Q4 Data'!$D$4:$D$207=D5)*('Q4 Data'!$B$4:$B$207="Challan")*('Q4 Data'!$H$4:$H$207&lt;&gt;"")))&gt;0,(SUMPRODUCT(('Q1 Data'!$D$4:$D$207=D5)*('Q1 Data'!$B$4:$B$207="Challan")*('Q1 Data'!$H$4:$H$207=Z5))+SUMPRODUCT(('Q2 Data'!$D$4:$D$207=D5)*('Q2 Data'!$B$4:$B$207="Challan")*('Q2 Data'!$H$4:$H$207=Z5))+SUMPRODUCT(('Q3 Data'!$D$4:$D$207=D5)*('Q3 Data'!$B$4:$B$207="Challan")*('Q3 Data'!$H$4:$H$207=Z5))+SUMPRODUCT(('Q4 Data'!$D$4:$D$207=D5)*('Q4 Data'!$B$4:$B$207="Challan")*('Q4 Data'!$H$4:$H$207=Z5)))=0))</f>
      </c>
    </row>
    <row r="6" spans="1:44" x14ac:dyDescent="0.25">
      <c r="A6" s="20">
        <f>IF($B6="Entry",COUNTIF($B$4:$B6,"Entry"),"")</f>
      </c>
      <c r="B6" s="21"/>
      <c r="C6" s="22"/>
      <c r="D6" s="22"/>
      <c r="E6" s="23">
        <f>IF($B6&lt;&gt;"Challan","",IF(ROUND(AN6-AO6,2)&gt;0,"Over-applied",IF(ROUND(AN6-AO6,2)=0,"Fully Utilised","Unconsumed")))</f>
      </c>
      <c r="F6" s="24"/>
      <c r="G6" s="25"/>
      <c r="H6" s="25"/>
      <c r="I6" s="26"/>
      <c r="J6" s="26"/>
      <c r="K6" s="26"/>
      <c r="L6" s="26"/>
      <c r="M6" s="26"/>
      <c r="N6" s="26"/>
      <c r="O6" s="26"/>
      <c r="P6" s="27">
        <f>IF($B6&lt;&gt;"Challan","",I6+J6+K6+L6+M6+N6)</f>
      </c>
      <c r="Q6" s="25"/>
      <c r="R6" s="25"/>
      <c r="S6" s="25"/>
      <c r="T6" s="25"/>
      <c r="U6" s="25"/>
      <c r="V6" s="28"/>
      <c r="W6" s="28"/>
      <c r="X6" s="23">
        <f>IF($B6="Entry",IF(AND(LEN(TRIM(UPPER(W6)))=10,CODE(MID(TRIM(UPPER(W6)),1,1))&gt;=65,CODE(MID(TRIM(UPPER(W6)),1,1))&lt;=90,CODE(MID(TRIM(UPPER(W6)),2,1))&gt;=65,CODE(MID(TRIM(UPPER(W6)),2,1))&lt;=90,CODE(MID(TRIM(UPPER(W6)),3,1))&gt;=65,CODE(MID(TRIM(UPPER(W6)),3,1))&lt;=90,CODE(MID(TRIM(UPPER(W6)),4,1))&gt;=65,CODE(MID(TRIM(UPPER(W6)),4,1))&lt;=90,CODE(MID(TRIM(UPPER(W6)),5,1))&gt;=65,CODE(MID(TRIM(UPPER(W6)),5,1))&lt;=90,CODE(MID(TRIM(UPPER(W6)),10,1))&gt;=65,CODE(MID(TRIM(UPPER(W6)),10,1))&lt;=90,CODE(MID(TRIM(UPPER(W6)),6,1))&gt;=48,CODE(MID(TRIM(UPPER(W6)),6,1))&lt;=57,CODE(MID(TRIM(UPPER(W6)),7,1))&gt;=48,CODE(MID(TRIM(UPPER(W6)),7,1))&lt;=57,CODE(MID(TRIM(UPPER(W6)),8,1))&gt;=48,CODE(MID(TRIM(UPPER(W6)),8,1))&lt;=57,CODE(MID(TRIM(UPPER(W6)),9,1))&gt;=48,CODE(MID(TRIM(UPPER(W6)),9,1))&lt;=57),"N","Y"),IF($B6="Challan","",IF(W6&lt;&gt;"","◄ Set Row Type","")))</f>
      </c>
      <c r="Y6" s="23">
        <f>IF($B6="Entry",IF(LEN(W6)&lt;4,"",IF(UPPER(MID(W6,4,1))="P","Individual",IF(UPPER(MID(W6,4,1))="H","HUF",IF(UPPER(MID(W6,4,1))="C","Company",IF(UPPER(MID(W6,4,1))="F","Firm",IF(UPPER(MID(W6,4,1))="L","LLP",IF(UPPER(MID(W6,4,1))="T","Trust",IF(UPPER(MID(W6,4,1))="A","AOP","")))))))),IF($B6="Challan","",IF(W6&lt;&gt;"","◄ Set Row Type","")))</f>
      </c>
      <c r="Z6" s="28"/>
      <c r="AA6" s="29">
        <f>IF($B6&lt;&gt;"Entry","",IF(Z6="","",IF(X6="Y",SUMPRODUCT(('Rate Lookup'!$A$1:$A$37=Z6)*'Rate Lookup'!$D$1:$D$37),IF(OR(Y6="Individual",Y6="HUF"),SUMPRODUCT(('Rate Lookup'!$A$1:$A$37=Z6)*'Rate Lookup'!$B$1:$B$37),SUMPRODUCT(('Rate Lookup'!$A$1:$A$37=Z6)*'Rate Lookup'!$C$1:$C$37)))))</f>
      </c>
      <c r="AB6" s="30"/>
      <c r="AC6" s="31"/>
      <c r="AD6" s="27">
        <f>IF($B6&lt;&gt;"Entry","",ROUND(AC6*AA6/100,0))</f>
      </c>
      <c r="AE6" s="27">
        <f>IF($B6&lt;&gt;"Entry","",0)</f>
      </c>
      <c r="AF6" s="27">
        <f>IF($B6&lt;&gt;"Entry","",0)</f>
      </c>
      <c r="AG6" s="27">
        <f>IF($B6&lt;&gt;"Entry","",IF(OR(AD6=0,AB6="",AQ6="",AQ6&lt;=0),0,IF(AQ6&lt;=DATE(YEAR(AB6),MONTH(AB6)+1,7),0,ROUND(AD6*0.015*((YEAR(AQ6)-YEAR(AB6))*12+(MONTH(AQ6)-MONTH(AB6))+1),0))))</f>
      </c>
      <c r="AH6" s="27">
        <f>IF($B6&lt;&gt;"Entry","",0)</f>
      </c>
      <c r="AI6" s="28"/>
      <c r="AJ6" s="28"/>
      <c r="AK6" s="32"/>
      <c r="AL6" s="28"/>
      <c r="AM6" s="28"/>
      <c r="AN6" s="27">
        <f>IF($B6&lt;&gt;"Challan","",SUMIF('Q1 Data'!$D$4:$D$207,D6,'Q1 Data'!$AD$4:$AD$207)+SUMIF('Q1 Data'!$D$4:$D$207,D6,'Q1 Data'!$AG$4:$AG$207)+SUMIF('Q1 Data'!$D$4:$D$207,D6,'Q1 Data'!$AE$4:$AE$207)+SUMIF('Q2 Data'!$D$4:$D$207,D6,'Q2 Data'!$AD$4:$AD$207)+SUMIF('Q2 Data'!$D$4:$D$207,D6,'Q2 Data'!$AG$4:$AG$207)+SUMIF('Q2 Data'!$D$4:$D$207,D6,'Q2 Data'!$AE$4:$AE$207)+SUMIF('Q3 Data'!$D$4:$D$207,D6,'Q3 Data'!$AD$4:$AD$207)+SUMIF('Q3 Data'!$D$4:$D$207,D6,'Q3 Data'!$AG$4:$AG$207)+SUMIF('Q3 Data'!$D$4:$D$207,D6,'Q3 Data'!$AE$4:$AE$207)+SUMIF('Q4 Data'!$D$4:$D$207,D6,'Q4 Data'!$AD$4:$AD$207)+SUMIF('Q4 Data'!$D$4:$D$207,D6,'Q4 Data'!$AG$4:$AG$207)+SUMIF('Q4 Data'!$D$4:$D$207,D6,'Q4 Data'!$AE$4:$AE$207))</f>
      </c>
      <c r="AO6" s="27">
        <f>IF($B6&lt;&gt;"Challan","",P6-N6)</f>
      </c>
      <c r="AP6" s="27">
        <f>IF($B6&lt;&gt;"Challan","",MAX(0,AO6-AN6))</f>
      </c>
      <c r="AQ6" s="33">
        <f>IF($B6&lt;&gt;"Entry","",SUMPRODUCT(('Q1 Data'!$D$4:$D$207=D6)*('Q1 Data'!$B$4:$B$207="Challan")*'Q1 Data'!$F$4:$F$207)+SUMPRODUCT(('Q2 Data'!$D$4:$D$207=D6)*('Q2 Data'!$B$4:$B$207="Challan")*'Q2 Data'!$F$4:$F$207)+SUMPRODUCT(('Q3 Data'!$D$4:$D$207=D6)*('Q3 Data'!$B$4:$B$207="Challan")*'Q3 Data'!$F$4:$F$207)+SUMPRODUCT(('Q4 Data'!$D$4:$D$207=D6)*('Q4 Data'!$B$4:$B$207="Challan")*'Q4 Data'!$F$4:$F$207))</f>
      </c>
      <c r="AR6" s="34">
        <f>IF(OR($B6&lt;&gt;"Entry",Z6=""),FALSE,AND((SUMPRODUCT(('Q1 Data'!$D$4:$D$207=D6)*('Q1 Data'!$B$4:$B$207="Challan")*('Q1 Data'!$H$4:$H$207&lt;&gt;""))+SUMPRODUCT(('Q2 Data'!$D$4:$D$207=D6)*('Q2 Data'!$B$4:$B$207="Challan")*('Q2 Data'!$H$4:$H$207&lt;&gt;""))+SUMPRODUCT(('Q3 Data'!$D$4:$D$207=D6)*('Q3 Data'!$B$4:$B$207="Challan")*('Q3 Data'!$H$4:$H$207&lt;&gt;""))+SUMPRODUCT(('Q4 Data'!$D$4:$D$207=D6)*('Q4 Data'!$B$4:$B$207="Challan")*('Q4 Data'!$H$4:$H$207&lt;&gt;"")))&gt;0,(SUMPRODUCT(('Q1 Data'!$D$4:$D$207=D6)*('Q1 Data'!$B$4:$B$207="Challan")*('Q1 Data'!$H$4:$H$207=Z6))+SUMPRODUCT(('Q2 Data'!$D$4:$D$207=D6)*('Q2 Data'!$B$4:$B$207="Challan")*('Q2 Data'!$H$4:$H$207=Z6))+SUMPRODUCT(('Q3 Data'!$D$4:$D$207=D6)*('Q3 Data'!$B$4:$B$207="Challan")*('Q3 Data'!$H$4:$H$207=Z6))+SUMPRODUCT(('Q4 Data'!$D$4:$D$207=D6)*('Q4 Data'!$B$4:$B$207="Challan")*('Q4 Data'!$H$4:$H$207=Z6)))=0))</f>
      </c>
    </row>
    <row r="7" spans="1:44" x14ac:dyDescent="0.25">
      <c r="A7" s="20">
        <f>IF($B7="Entry",COUNTIF($B$4:$B7,"Entry"),"")</f>
      </c>
      <c r="B7" s="21"/>
      <c r="C7" s="22"/>
      <c r="D7" s="22"/>
      <c r="E7" s="23">
        <f>IF($B7&lt;&gt;"Challan","",IF(ROUND(AN7-AO7,2)&gt;0,"Over-applied",IF(ROUND(AN7-AO7,2)=0,"Fully Utilised","Unconsumed")))</f>
      </c>
      <c r="F7" s="24"/>
      <c r="G7" s="25"/>
      <c r="H7" s="25"/>
      <c r="I7" s="26"/>
      <c r="J7" s="26"/>
      <c r="K7" s="26"/>
      <c r="L7" s="26"/>
      <c r="M7" s="26"/>
      <c r="N7" s="26"/>
      <c r="O7" s="26"/>
      <c r="P7" s="27">
        <f>IF($B7&lt;&gt;"Challan","",I7+J7+K7+L7+M7+N7)</f>
      </c>
      <c r="Q7" s="25"/>
      <c r="R7" s="25"/>
      <c r="S7" s="25"/>
      <c r="T7" s="25"/>
      <c r="U7" s="25"/>
      <c r="V7" s="28"/>
      <c r="W7" s="28"/>
      <c r="X7" s="23">
        <f>IF($B7="Entry",IF(AND(LEN(TRIM(UPPER(W7)))=10,CODE(MID(TRIM(UPPER(W7)),1,1))&gt;=65,CODE(MID(TRIM(UPPER(W7)),1,1))&lt;=90,CODE(MID(TRIM(UPPER(W7)),2,1))&gt;=65,CODE(MID(TRIM(UPPER(W7)),2,1))&lt;=90,CODE(MID(TRIM(UPPER(W7)),3,1))&gt;=65,CODE(MID(TRIM(UPPER(W7)),3,1))&lt;=90,CODE(MID(TRIM(UPPER(W7)),4,1))&gt;=65,CODE(MID(TRIM(UPPER(W7)),4,1))&lt;=90,CODE(MID(TRIM(UPPER(W7)),5,1))&gt;=65,CODE(MID(TRIM(UPPER(W7)),5,1))&lt;=90,CODE(MID(TRIM(UPPER(W7)),10,1))&gt;=65,CODE(MID(TRIM(UPPER(W7)),10,1))&lt;=90,CODE(MID(TRIM(UPPER(W7)),6,1))&gt;=48,CODE(MID(TRIM(UPPER(W7)),6,1))&lt;=57,CODE(MID(TRIM(UPPER(W7)),7,1))&gt;=48,CODE(MID(TRIM(UPPER(W7)),7,1))&lt;=57,CODE(MID(TRIM(UPPER(W7)),8,1))&gt;=48,CODE(MID(TRIM(UPPER(W7)),8,1))&lt;=57,CODE(MID(TRIM(UPPER(W7)),9,1))&gt;=48,CODE(MID(TRIM(UPPER(W7)),9,1))&lt;=57),"N","Y"),IF($B7="Challan","",IF(W7&lt;&gt;"","◄ Set Row Type","")))</f>
      </c>
      <c r="Y7" s="23">
        <f>IF($B7="Entry",IF(LEN(W7)&lt;4,"",IF(UPPER(MID(W7,4,1))="P","Individual",IF(UPPER(MID(W7,4,1))="H","HUF",IF(UPPER(MID(W7,4,1))="C","Company",IF(UPPER(MID(W7,4,1))="F","Firm",IF(UPPER(MID(W7,4,1))="L","LLP",IF(UPPER(MID(W7,4,1))="T","Trust",IF(UPPER(MID(W7,4,1))="A","AOP","")))))))),IF($B7="Challan","",IF(W7&lt;&gt;"","◄ Set Row Type","")))</f>
      </c>
      <c r="Z7" s="28"/>
      <c r="AA7" s="29">
        <f>IF($B7&lt;&gt;"Entry","",IF(Z7="","",IF(X7="Y",SUMPRODUCT(('Rate Lookup'!$A$1:$A$37=Z7)*'Rate Lookup'!$D$1:$D$37),IF(OR(Y7="Individual",Y7="HUF"),SUMPRODUCT(('Rate Lookup'!$A$1:$A$37=Z7)*'Rate Lookup'!$B$1:$B$37),SUMPRODUCT(('Rate Lookup'!$A$1:$A$37=Z7)*'Rate Lookup'!$C$1:$C$37)))))</f>
      </c>
      <c r="AB7" s="30"/>
      <c r="AC7" s="31"/>
      <c r="AD7" s="27">
        <f>IF($B7&lt;&gt;"Entry","",ROUND(AC7*AA7/100,0))</f>
      </c>
      <c r="AE7" s="27">
        <f>IF($B7&lt;&gt;"Entry","",0)</f>
      </c>
      <c r="AF7" s="27">
        <f>IF($B7&lt;&gt;"Entry","",0)</f>
      </c>
      <c r="AG7" s="27">
        <f>IF($B7&lt;&gt;"Entry","",IF(OR(AD7=0,AB7="",AQ7="",AQ7&lt;=0),0,IF(AQ7&lt;=DATE(YEAR(AB7),MONTH(AB7)+1,7),0,ROUND(AD7*0.015*((YEAR(AQ7)-YEAR(AB7))*12+(MONTH(AQ7)-MONTH(AB7))+1),0))))</f>
      </c>
      <c r="AH7" s="27">
        <f>IF($B7&lt;&gt;"Entry","",0)</f>
      </c>
      <c r="AI7" s="28"/>
      <c r="AJ7" s="28"/>
      <c r="AK7" s="32"/>
      <c r="AL7" s="28"/>
      <c r="AM7" s="28"/>
      <c r="AN7" s="27">
        <f>IF($B7&lt;&gt;"Challan","",SUMIF('Q1 Data'!$D$4:$D$207,D7,'Q1 Data'!$AD$4:$AD$207)+SUMIF('Q1 Data'!$D$4:$D$207,D7,'Q1 Data'!$AG$4:$AG$207)+SUMIF('Q1 Data'!$D$4:$D$207,D7,'Q1 Data'!$AE$4:$AE$207)+SUMIF('Q2 Data'!$D$4:$D$207,D7,'Q2 Data'!$AD$4:$AD$207)+SUMIF('Q2 Data'!$D$4:$D$207,D7,'Q2 Data'!$AG$4:$AG$207)+SUMIF('Q2 Data'!$D$4:$D$207,D7,'Q2 Data'!$AE$4:$AE$207)+SUMIF('Q3 Data'!$D$4:$D$207,D7,'Q3 Data'!$AD$4:$AD$207)+SUMIF('Q3 Data'!$D$4:$D$207,D7,'Q3 Data'!$AG$4:$AG$207)+SUMIF('Q3 Data'!$D$4:$D$207,D7,'Q3 Data'!$AE$4:$AE$207)+SUMIF('Q4 Data'!$D$4:$D$207,D7,'Q4 Data'!$AD$4:$AD$207)+SUMIF('Q4 Data'!$D$4:$D$207,D7,'Q4 Data'!$AG$4:$AG$207)+SUMIF('Q4 Data'!$D$4:$D$207,D7,'Q4 Data'!$AE$4:$AE$207))</f>
      </c>
      <c r="AO7" s="27">
        <f>IF($B7&lt;&gt;"Challan","",P7-N7)</f>
      </c>
      <c r="AP7" s="27">
        <f>IF($B7&lt;&gt;"Challan","",MAX(0,AO7-AN7))</f>
      </c>
      <c r="AQ7" s="33">
        <f>IF($B7&lt;&gt;"Entry","",SUMPRODUCT(('Q1 Data'!$D$4:$D$207=D7)*('Q1 Data'!$B$4:$B$207="Challan")*'Q1 Data'!$F$4:$F$207)+SUMPRODUCT(('Q2 Data'!$D$4:$D$207=D7)*('Q2 Data'!$B$4:$B$207="Challan")*'Q2 Data'!$F$4:$F$207)+SUMPRODUCT(('Q3 Data'!$D$4:$D$207=D7)*('Q3 Data'!$B$4:$B$207="Challan")*'Q3 Data'!$F$4:$F$207)+SUMPRODUCT(('Q4 Data'!$D$4:$D$207=D7)*('Q4 Data'!$B$4:$B$207="Challan")*'Q4 Data'!$F$4:$F$207))</f>
      </c>
      <c r="AR7" s="34">
        <f>IF(OR($B7&lt;&gt;"Entry",Z7=""),FALSE,AND((SUMPRODUCT(('Q1 Data'!$D$4:$D$207=D7)*('Q1 Data'!$B$4:$B$207="Challan")*('Q1 Data'!$H$4:$H$207&lt;&gt;""))+SUMPRODUCT(('Q2 Data'!$D$4:$D$207=D7)*('Q2 Data'!$B$4:$B$207="Challan")*('Q2 Data'!$H$4:$H$207&lt;&gt;""))+SUMPRODUCT(('Q3 Data'!$D$4:$D$207=D7)*('Q3 Data'!$B$4:$B$207="Challan")*('Q3 Data'!$H$4:$H$207&lt;&gt;""))+SUMPRODUCT(('Q4 Data'!$D$4:$D$207=D7)*('Q4 Data'!$B$4:$B$207="Challan")*('Q4 Data'!$H$4:$H$207&lt;&gt;"")))&gt;0,(SUMPRODUCT(('Q1 Data'!$D$4:$D$207=D7)*('Q1 Data'!$B$4:$B$207="Challan")*('Q1 Data'!$H$4:$H$207=Z7))+SUMPRODUCT(('Q2 Data'!$D$4:$D$207=D7)*('Q2 Data'!$B$4:$B$207="Challan")*('Q2 Data'!$H$4:$H$207=Z7))+SUMPRODUCT(('Q3 Data'!$D$4:$D$207=D7)*('Q3 Data'!$B$4:$B$207="Challan")*('Q3 Data'!$H$4:$H$207=Z7))+SUMPRODUCT(('Q4 Data'!$D$4:$D$207=D7)*('Q4 Data'!$B$4:$B$207="Challan")*('Q4 Data'!$H$4:$H$207=Z7)))=0))</f>
      </c>
    </row>
    <row r="8" spans="1:44" x14ac:dyDescent="0.25">
      <c r="A8" s="20">
        <f>IF($B8="Entry",COUNTIF($B$4:$B8,"Entry"),"")</f>
      </c>
      <c r="B8" s="21"/>
      <c r="C8" s="22"/>
      <c r="D8" s="22"/>
      <c r="E8" s="23">
        <f>IF($B8&lt;&gt;"Challan","",IF(ROUND(AN8-AO8,2)&gt;0,"Over-applied",IF(ROUND(AN8-AO8,2)=0,"Fully Utilised","Unconsumed")))</f>
      </c>
      <c r="F8" s="24"/>
      <c r="G8" s="25"/>
      <c r="H8" s="25"/>
      <c r="I8" s="26"/>
      <c r="J8" s="26"/>
      <c r="K8" s="26"/>
      <c r="L8" s="26"/>
      <c r="M8" s="26"/>
      <c r="N8" s="26"/>
      <c r="O8" s="26"/>
      <c r="P8" s="27">
        <f>IF($B8&lt;&gt;"Challan","",I8+J8+K8+L8+M8+N8)</f>
      </c>
      <c r="Q8" s="25"/>
      <c r="R8" s="25"/>
      <c r="S8" s="25"/>
      <c r="T8" s="25"/>
      <c r="U8" s="25"/>
      <c r="V8" s="28"/>
      <c r="W8" s="28"/>
      <c r="X8" s="23">
        <f>IF($B8="Entry",IF(AND(LEN(TRIM(UPPER(W8)))=10,CODE(MID(TRIM(UPPER(W8)),1,1))&gt;=65,CODE(MID(TRIM(UPPER(W8)),1,1))&lt;=90,CODE(MID(TRIM(UPPER(W8)),2,1))&gt;=65,CODE(MID(TRIM(UPPER(W8)),2,1))&lt;=90,CODE(MID(TRIM(UPPER(W8)),3,1))&gt;=65,CODE(MID(TRIM(UPPER(W8)),3,1))&lt;=90,CODE(MID(TRIM(UPPER(W8)),4,1))&gt;=65,CODE(MID(TRIM(UPPER(W8)),4,1))&lt;=90,CODE(MID(TRIM(UPPER(W8)),5,1))&gt;=65,CODE(MID(TRIM(UPPER(W8)),5,1))&lt;=90,CODE(MID(TRIM(UPPER(W8)),10,1))&gt;=65,CODE(MID(TRIM(UPPER(W8)),10,1))&lt;=90,CODE(MID(TRIM(UPPER(W8)),6,1))&gt;=48,CODE(MID(TRIM(UPPER(W8)),6,1))&lt;=57,CODE(MID(TRIM(UPPER(W8)),7,1))&gt;=48,CODE(MID(TRIM(UPPER(W8)),7,1))&lt;=57,CODE(MID(TRIM(UPPER(W8)),8,1))&gt;=48,CODE(MID(TRIM(UPPER(W8)),8,1))&lt;=57,CODE(MID(TRIM(UPPER(W8)),9,1))&gt;=48,CODE(MID(TRIM(UPPER(W8)),9,1))&lt;=57),"N","Y"),IF($B8="Challan","",IF(W8&lt;&gt;"","◄ Set Row Type","")))</f>
      </c>
      <c r="Y8" s="23">
        <f>IF($B8="Entry",IF(LEN(W8)&lt;4,"",IF(UPPER(MID(W8,4,1))="P","Individual",IF(UPPER(MID(W8,4,1))="H","HUF",IF(UPPER(MID(W8,4,1))="C","Company",IF(UPPER(MID(W8,4,1))="F","Firm",IF(UPPER(MID(W8,4,1))="L","LLP",IF(UPPER(MID(W8,4,1))="T","Trust",IF(UPPER(MID(W8,4,1))="A","AOP","")))))))),IF($B8="Challan","",IF(W8&lt;&gt;"","◄ Set Row Type","")))</f>
      </c>
      <c r="Z8" s="28"/>
      <c r="AA8" s="29">
        <f>IF($B8&lt;&gt;"Entry","",IF(Z8="","",IF(X8="Y",SUMPRODUCT(('Rate Lookup'!$A$1:$A$37=Z8)*'Rate Lookup'!$D$1:$D$37),IF(OR(Y8="Individual",Y8="HUF"),SUMPRODUCT(('Rate Lookup'!$A$1:$A$37=Z8)*'Rate Lookup'!$B$1:$B$37),SUMPRODUCT(('Rate Lookup'!$A$1:$A$37=Z8)*'Rate Lookup'!$C$1:$C$37)))))</f>
      </c>
      <c r="AB8" s="30"/>
      <c r="AC8" s="31"/>
      <c r="AD8" s="27">
        <f>IF($B8&lt;&gt;"Entry","",ROUND(AC8*AA8/100,0))</f>
      </c>
      <c r="AE8" s="27">
        <f>IF($B8&lt;&gt;"Entry","",0)</f>
      </c>
      <c r="AF8" s="27">
        <f>IF($B8&lt;&gt;"Entry","",0)</f>
      </c>
      <c r="AG8" s="27">
        <f>IF($B8&lt;&gt;"Entry","",IF(OR(AD8=0,AB8="",AQ8="",AQ8&lt;=0),0,IF(AQ8&lt;=DATE(YEAR(AB8),MONTH(AB8)+1,7),0,ROUND(AD8*0.015*((YEAR(AQ8)-YEAR(AB8))*12+(MONTH(AQ8)-MONTH(AB8))+1),0))))</f>
      </c>
      <c r="AH8" s="27">
        <f>IF($B8&lt;&gt;"Entry","",0)</f>
      </c>
      <c r="AI8" s="28"/>
      <c r="AJ8" s="28"/>
      <c r="AK8" s="32"/>
      <c r="AL8" s="28"/>
      <c r="AM8" s="28"/>
      <c r="AN8" s="27">
        <f>IF($B8&lt;&gt;"Challan","",SUMIF('Q1 Data'!$D$4:$D$207,D8,'Q1 Data'!$AD$4:$AD$207)+SUMIF('Q1 Data'!$D$4:$D$207,D8,'Q1 Data'!$AG$4:$AG$207)+SUMIF('Q1 Data'!$D$4:$D$207,D8,'Q1 Data'!$AE$4:$AE$207)+SUMIF('Q2 Data'!$D$4:$D$207,D8,'Q2 Data'!$AD$4:$AD$207)+SUMIF('Q2 Data'!$D$4:$D$207,D8,'Q2 Data'!$AG$4:$AG$207)+SUMIF('Q2 Data'!$D$4:$D$207,D8,'Q2 Data'!$AE$4:$AE$207)+SUMIF('Q3 Data'!$D$4:$D$207,D8,'Q3 Data'!$AD$4:$AD$207)+SUMIF('Q3 Data'!$D$4:$D$207,D8,'Q3 Data'!$AG$4:$AG$207)+SUMIF('Q3 Data'!$D$4:$D$207,D8,'Q3 Data'!$AE$4:$AE$207)+SUMIF('Q4 Data'!$D$4:$D$207,D8,'Q4 Data'!$AD$4:$AD$207)+SUMIF('Q4 Data'!$D$4:$D$207,D8,'Q4 Data'!$AG$4:$AG$207)+SUMIF('Q4 Data'!$D$4:$D$207,D8,'Q4 Data'!$AE$4:$AE$207))</f>
      </c>
      <c r="AO8" s="27">
        <f>IF($B8&lt;&gt;"Challan","",P8-N8)</f>
      </c>
      <c r="AP8" s="27">
        <f>IF($B8&lt;&gt;"Challan","",MAX(0,AO8-AN8))</f>
      </c>
      <c r="AQ8" s="33">
        <f>IF($B8&lt;&gt;"Entry","",SUMPRODUCT(('Q1 Data'!$D$4:$D$207=D8)*('Q1 Data'!$B$4:$B$207="Challan")*'Q1 Data'!$F$4:$F$207)+SUMPRODUCT(('Q2 Data'!$D$4:$D$207=D8)*('Q2 Data'!$B$4:$B$207="Challan")*'Q2 Data'!$F$4:$F$207)+SUMPRODUCT(('Q3 Data'!$D$4:$D$207=D8)*('Q3 Data'!$B$4:$B$207="Challan")*'Q3 Data'!$F$4:$F$207)+SUMPRODUCT(('Q4 Data'!$D$4:$D$207=D8)*('Q4 Data'!$B$4:$B$207="Challan")*'Q4 Data'!$F$4:$F$207))</f>
      </c>
      <c r="AR8" s="34">
        <f>IF(OR($B8&lt;&gt;"Entry",Z8=""),FALSE,AND((SUMPRODUCT(('Q1 Data'!$D$4:$D$207=D8)*('Q1 Data'!$B$4:$B$207="Challan")*('Q1 Data'!$H$4:$H$207&lt;&gt;""))+SUMPRODUCT(('Q2 Data'!$D$4:$D$207=D8)*('Q2 Data'!$B$4:$B$207="Challan")*('Q2 Data'!$H$4:$H$207&lt;&gt;""))+SUMPRODUCT(('Q3 Data'!$D$4:$D$207=D8)*('Q3 Data'!$B$4:$B$207="Challan")*('Q3 Data'!$H$4:$H$207&lt;&gt;""))+SUMPRODUCT(('Q4 Data'!$D$4:$D$207=D8)*('Q4 Data'!$B$4:$B$207="Challan")*('Q4 Data'!$H$4:$H$207&lt;&gt;"")))&gt;0,(SUMPRODUCT(('Q1 Data'!$D$4:$D$207=D8)*('Q1 Data'!$B$4:$B$207="Challan")*('Q1 Data'!$H$4:$H$207=Z8))+SUMPRODUCT(('Q2 Data'!$D$4:$D$207=D8)*('Q2 Data'!$B$4:$B$207="Challan")*('Q2 Data'!$H$4:$H$207=Z8))+SUMPRODUCT(('Q3 Data'!$D$4:$D$207=D8)*('Q3 Data'!$B$4:$B$207="Challan")*('Q3 Data'!$H$4:$H$207=Z8))+SUMPRODUCT(('Q4 Data'!$D$4:$D$207=D8)*('Q4 Data'!$B$4:$B$207="Challan")*('Q4 Data'!$H$4:$H$207=Z8)))=0))</f>
      </c>
    </row>
    <row r="9" spans="1:44" x14ac:dyDescent="0.25">
      <c r="A9" s="20">
        <f>IF($B9="Entry",COUNTIF($B$4:$B9,"Entry"),"")</f>
      </c>
      <c r="B9" s="21"/>
      <c r="C9" s="22"/>
      <c r="D9" s="22"/>
      <c r="E9" s="23">
        <f>IF($B9&lt;&gt;"Challan","",IF(ROUND(AN9-AO9,2)&gt;0,"Over-applied",IF(ROUND(AN9-AO9,2)=0,"Fully Utilised","Unconsumed")))</f>
      </c>
      <c r="F9" s="24"/>
      <c r="G9" s="25"/>
      <c r="H9" s="25"/>
      <c r="I9" s="26"/>
      <c r="J9" s="26"/>
      <c r="K9" s="26"/>
      <c r="L9" s="26"/>
      <c r="M9" s="26"/>
      <c r="N9" s="26"/>
      <c r="O9" s="26"/>
      <c r="P9" s="27">
        <f>IF($B9&lt;&gt;"Challan","",I9+J9+K9+L9+M9+N9)</f>
      </c>
      <c r="Q9" s="25"/>
      <c r="R9" s="25"/>
      <c r="S9" s="25"/>
      <c r="T9" s="25"/>
      <c r="U9" s="25"/>
      <c r="V9" s="28"/>
      <c r="W9" s="28"/>
      <c r="X9" s="23">
        <f>IF($B9="Entry",IF(AND(LEN(TRIM(UPPER(W9)))=10,CODE(MID(TRIM(UPPER(W9)),1,1))&gt;=65,CODE(MID(TRIM(UPPER(W9)),1,1))&lt;=90,CODE(MID(TRIM(UPPER(W9)),2,1))&gt;=65,CODE(MID(TRIM(UPPER(W9)),2,1))&lt;=90,CODE(MID(TRIM(UPPER(W9)),3,1))&gt;=65,CODE(MID(TRIM(UPPER(W9)),3,1))&lt;=90,CODE(MID(TRIM(UPPER(W9)),4,1))&gt;=65,CODE(MID(TRIM(UPPER(W9)),4,1))&lt;=90,CODE(MID(TRIM(UPPER(W9)),5,1))&gt;=65,CODE(MID(TRIM(UPPER(W9)),5,1))&lt;=90,CODE(MID(TRIM(UPPER(W9)),10,1))&gt;=65,CODE(MID(TRIM(UPPER(W9)),10,1))&lt;=90,CODE(MID(TRIM(UPPER(W9)),6,1))&gt;=48,CODE(MID(TRIM(UPPER(W9)),6,1))&lt;=57,CODE(MID(TRIM(UPPER(W9)),7,1))&gt;=48,CODE(MID(TRIM(UPPER(W9)),7,1))&lt;=57,CODE(MID(TRIM(UPPER(W9)),8,1))&gt;=48,CODE(MID(TRIM(UPPER(W9)),8,1))&lt;=57,CODE(MID(TRIM(UPPER(W9)),9,1))&gt;=48,CODE(MID(TRIM(UPPER(W9)),9,1))&lt;=57),"N","Y"),IF($B9="Challan","",IF(W9&lt;&gt;"","◄ Set Row Type","")))</f>
      </c>
      <c r="Y9" s="23">
        <f>IF($B9="Entry",IF(LEN(W9)&lt;4,"",IF(UPPER(MID(W9,4,1))="P","Individual",IF(UPPER(MID(W9,4,1))="H","HUF",IF(UPPER(MID(W9,4,1))="C","Company",IF(UPPER(MID(W9,4,1))="F","Firm",IF(UPPER(MID(W9,4,1))="L","LLP",IF(UPPER(MID(W9,4,1))="T","Trust",IF(UPPER(MID(W9,4,1))="A","AOP","")))))))),IF($B9="Challan","",IF(W9&lt;&gt;"","◄ Set Row Type","")))</f>
      </c>
      <c r="Z9" s="28"/>
      <c r="AA9" s="29">
        <f>IF($B9&lt;&gt;"Entry","",IF(Z9="","",IF(X9="Y",SUMPRODUCT(('Rate Lookup'!$A$1:$A$37=Z9)*'Rate Lookup'!$D$1:$D$37),IF(OR(Y9="Individual",Y9="HUF"),SUMPRODUCT(('Rate Lookup'!$A$1:$A$37=Z9)*'Rate Lookup'!$B$1:$B$37),SUMPRODUCT(('Rate Lookup'!$A$1:$A$37=Z9)*'Rate Lookup'!$C$1:$C$37)))))</f>
      </c>
      <c r="AB9" s="30"/>
      <c r="AC9" s="31"/>
      <c r="AD9" s="27">
        <f>IF($B9&lt;&gt;"Entry","",ROUND(AC9*AA9/100,0))</f>
      </c>
      <c r="AE9" s="27">
        <f>IF($B9&lt;&gt;"Entry","",0)</f>
      </c>
      <c r="AF9" s="27">
        <f>IF($B9&lt;&gt;"Entry","",0)</f>
      </c>
      <c r="AG9" s="27">
        <f>IF($B9&lt;&gt;"Entry","",IF(OR(AD9=0,AB9="",AQ9="",AQ9&lt;=0),0,IF(AQ9&lt;=DATE(YEAR(AB9),MONTH(AB9)+1,7),0,ROUND(AD9*0.015*((YEAR(AQ9)-YEAR(AB9))*12+(MONTH(AQ9)-MONTH(AB9))+1),0))))</f>
      </c>
      <c r="AH9" s="27">
        <f>IF($B9&lt;&gt;"Entry","",0)</f>
      </c>
      <c r="AI9" s="28"/>
      <c r="AJ9" s="28"/>
      <c r="AK9" s="32"/>
      <c r="AL9" s="28"/>
      <c r="AM9" s="28"/>
      <c r="AN9" s="27">
        <f>IF($B9&lt;&gt;"Challan","",SUMIF('Q1 Data'!$D$4:$D$207,D9,'Q1 Data'!$AD$4:$AD$207)+SUMIF('Q1 Data'!$D$4:$D$207,D9,'Q1 Data'!$AG$4:$AG$207)+SUMIF('Q1 Data'!$D$4:$D$207,D9,'Q1 Data'!$AE$4:$AE$207)+SUMIF('Q2 Data'!$D$4:$D$207,D9,'Q2 Data'!$AD$4:$AD$207)+SUMIF('Q2 Data'!$D$4:$D$207,D9,'Q2 Data'!$AG$4:$AG$207)+SUMIF('Q2 Data'!$D$4:$D$207,D9,'Q2 Data'!$AE$4:$AE$207)+SUMIF('Q3 Data'!$D$4:$D$207,D9,'Q3 Data'!$AD$4:$AD$207)+SUMIF('Q3 Data'!$D$4:$D$207,D9,'Q3 Data'!$AG$4:$AG$207)+SUMIF('Q3 Data'!$D$4:$D$207,D9,'Q3 Data'!$AE$4:$AE$207)+SUMIF('Q4 Data'!$D$4:$D$207,D9,'Q4 Data'!$AD$4:$AD$207)+SUMIF('Q4 Data'!$D$4:$D$207,D9,'Q4 Data'!$AG$4:$AG$207)+SUMIF('Q4 Data'!$D$4:$D$207,D9,'Q4 Data'!$AE$4:$AE$207))</f>
      </c>
      <c r="AO9" s="27">
        <f>IF($B9&lt;&gt;"Challan","",P9-N9)</f>
      </c>
      <c r="AP9" s="27">
        <f>IF($B9&lt;&gt;"Challan","",MAX(0,AO9-AN9))</f>
      </c>
      <c r="AQ9" s="33">
        <f>IF($B9&lt;&gt;"Entry","",SUMPRODUCT(('Q1 Data'!$D$4:$D$207=D9)*('Q1 Data'!$B$4:$B$207="Challan")*'Q1 Data'!$F$4:$F$207)+SUMPRODUCT(('Q2 Data'!$D$4:$D$207=D9)*('Q2 Data'!$B$4:$B$207="Challan")*'Q2 Data'!$F$4:$F$207)+SUMPRODUCT(('Q3 Data'!$D$4:$D$207=D9)*('Q3 Data'!$B$4:$B$207="Challan")*'Q3 Data'!$F$4:$F$207)+SUMPRODUCT(('Q4 Data'!$D$4:$D$207=D9)*('Q4 Data'!$B$4:$B$207="Challan")*'Q4 Data'!$F$4:$F$207))</f>
      </c>
      <c r="AR9" s="34">
        <f>IF(OR($B9&lt;&gt;"Entry",Z9=""),FALSE,AND((SUMPRODUCT(('Q1 Data'!$D$4:$D$207=D9)*('Q1 Data'!$B$4:$B$207="Challan")*('Q1 Data'!$H$4:$H$207&lt;&gt;""))+SUMPRODUCT(('Q2 Data'!$D$4:$D$207=D9)*('Q2 Data'!$B$4:$B$207="Challan")*('Q2 Data'!$H$4:$H$207&lt;&gt;""))+SUMPRODUCT(('Q3 Data'!$D$4:$D$207=D9)*('Q3 Data'!$B$4:$B$207="Challan")*('Q3 Data'!$H$4:$H$207&lt;&gt;""))+SUMPRODUCT(('Q4 Data'!$D$4:$D$207=D9)*('Q4 Data'!$B$4:$B$207="Challan")*('Q4 Data'!$H$4:$H$207&lt;&gt;"")))&gt;0,(SUMPRODUCT(('Q1 Data'!$D$4:$D$207=D9)*('Q1 Data'!$B$4:$B$207="Challan")*('Q1 Data'!$H$4:$H$207=Z9))+SUMPRODUCT(('Q2 Data'!$D$4:$D$207=D9)*('Q2 Data'!$B$4:$B$207="Challan")*('Q2 Data'!$H$4:$H$207=Z9))+SUMPRODUCT(('Q3 Data'!$D$4:$D$207=D9)*('Q3 Data'!$B$4:$B$207="Challan")*('Q3 Data'!$H$4:$H$207=Z9))+SUMPRODUCT(('Q4 Data'!$D$4:$D$207=D9)*('Q4 Data'!$B$4:$B$207="Challan")*('Q4 Data'!$H$4:$H$207=Z9)))=0))</f>
      </c>
    </row>
    <row r="10" spans="1:44" x14ac:dyDescent="0.25">
      <c r="A10" s="20">
        <f>IF($B10="Entry",COUNTIF($B$4:$B10,"Entry"),"")</f>
      </c>
      <c r="B10" s="21"/>
      <c r="C10" s="22"/>
      <c r="D10" s="22"/>
      <c r="E10" s="23">
        <f>IF($B10&lt;&gt;"Challan","",IF(ROUND(AN10-AO10,2)&gt;0,"Over-applied",IF(ROUND(AN10-AO10,2)=0,"Fully Utilised","Unconsumed")))</f>
      </c>
      <c r="F10" s="24"/>
      <c r="G10" s="25"/>
      <c r="H10" s="25"/>
      <c r="I10" s="26"/>
      <c r="J10" s="26"/>
      <c r="K10" s="26"/>
      <c r="L10" s="26"/>
      <c r="M10" s="26"/>
      <c r="N10" s="26"/>
      <c r="O10" s="26"/>
      <c r="P10" s="27">
        <f>IF($B10&lt;&gt;"Challan","",I10+J10+K10+L10+M10+N10)</f>
      </c>
      <c r="Q10" s="25"/>
      <c r="R10" s="25"/>
      <c r="S10" s="25"/>
      <c r="T10" s="25"/>
      <c r="U10" s="25"/>
      <c r="V10" s="28"/>
      <c r="W10" s="28"/>
      <c r="X10" s="23">
        <f>IF($B10="Entry",IF(AND(LEN(TRIM(UPPER(W10)))=10,CODE(MID(TRIM(UPPER(W10)),1,1))&gt;=65,CODE(MID(TRIM(UPPER(W10)),1,1))&lt;=90,CODE(MID(TRIM(UPPER(W10)),2,1))&gt;=65,CODE(MID(TRIM(UPPER(W10)),2,1))&lt;=90,CODE(MID(TRIM(UPPER(W10)),3,1))&gt;=65,CODE(MID(TRIM(UPPER(W10)),3,1))&lt;=90,CODE(MID(TRIM(UPPER(W10)),4,1))&gt;=65,CODE(MID(TRIM(UPPER(W10)),4,1))&lt;=90,CODE(MID(TRIM(UPPER(W10)),5,1))&gt;=65,CODE(MID(TRIM(UPPER(W10)),5,1))&lt;=90,CODE(MID(TRIM(UPPER(W10)),10,1))&gt;=65,CODE(MID(TRIM(UPPER(W10)),10,1))&lt;=90,CODE(MID(TRIM(UPPER(W10)),6,1))&gt;=48,CODE(MID(TRIM(UPPER(W10)),6,1))&lt;=57,CODE(MID(TRIM(UPPER(W10)),7,1))&gt;=48,CODE(MID(TRIM(UPPER(W10)),7,1))&lt;=57,CODE(MID(TRIM(UPPER(W10)),8,1))&gt;=48,CODE(MID(TRIM(UPPER(W10)),8,1))&lt;=57,CODE(MID(TRIM(UPPER(W10)),9,1))&gt;=48,CODE(MID(TRIM(UPPER(W10)),9,1))&lt;=57),"N","Y"),IF($B10="Challan","",IF(W10&lt;&gt;"","◄ Set Row Type","")))</f>
      </c>
      <c r="Y10" s="23">
        <f>IF($B10="Entry",IF(LEN(W10)&lt;4,"",IF(UPPER(MID(W10,4,1))="P","Individual",IF(UPPER(MID(W10,4,1))="H","HUF",IF(UPPER(MID(W10,4,1))="C","Company",IF(UPPER(MID(W10,4,1))="F","Firm",IF(UPPER(MID(W10,4,1))="L","LLP",IF(UPPER(MID(W10,4,1))="T","Trust",IF(UPPER(MID(W10,4,1))="A","AOP","")))))))),IF($B10="Challan","",IF(W10&lt;&gt;"","◄ Set Row Type","")))</f>
      </c>
      <c r="Z10" s="28"/>
      <c r="AA10" s="29">
        <f>IF($B10&lt;&gt;"Entry","",IF(Z10="","",IF(X10="Y",SUMPRODUCT(('Rate Lookup'!$A$1:$A$37=Z10)*'Rate Lookup'!$D$1:$D$37),IF(OR(Y10="Individual",Y10="HUF"),SUMPRODUCT(('Rate Lookup'!$A$1:$A$37=Z10)*'Rate Lookup'!$B$1:$B$37),SUMPRODUCT(('Rate Lookup'!$A$1:$A$37=Z10)*'Rate Lookup'!$C$1:$C$37)))))</f>
      </c>
      <c r="AB10" s="30"/>
      <c r="AC10" s="31"/>
      <c r="AD10" s="27">
        <f>IF($B10&lt;&gt;"Entry","",ROUND(AC10*AA10/100,0))</f>
      </c>
      <c r="AE10" s="27">
        <f>IF($B10&lt;&gt;"Entry","",0)</f>
      </c>
      <c r="AF10" s="27">
        <f>IF($B10&lt;&gt;"Entry","",0)</f>
      </c>
      <c r="AG10" s="27">
        <f>IF($B10&lt;&gt;"Entry","",IF(OR(AD10=0,AB10="",AQ10="",AQ10&lt;=0),0,IF(AQ10&lt;=DATE(YEAR(AB10),MONTH(AB10)+1,7),0,ROUND(AD10*0.015*((YEAR(AQ10)-YEAR(AB10))*12+(MONTH(AQ10)-MONTH(AB10))+1),0))))</f>
      </c>
      <c r="AH10" s="27">
        <f>IF($B10&lt;&gt;"Entry","",0)</f>
      </c>
      <c r="AI10" s="28"/>
      <c r="AJ10" s="28"/>
      <c r="AK10" s="32"/>
      <c r="AL10" s="28"/>
      <c r="AM10" s="28"/>
      <c r="AN10" s="27">
        <f>IF($B10&lt;&gt;"Challan","",SUMIF('Q1 Data'!$D$4:$D$207,D10,'Q1 Data'!$AD$4:$AD$207)+SUMIF('Q1 Data'!$D$4:$D$207,D10,'Q1 Data'!$AG$4:$AG$207)+SUMIF('Q1 Data'!$D$4:$D$207,D10,'Q1 Data'!$AE$4:$AE$207)+SUMIF('Q2 Data'!$D$4:$D$207,D10,'Q2 Data'!$AD$4:$AD$207)+SUMIF('Q2 Data'!$D$4:$D$207,D10,'Q2 Data'!$AG$4:$AG$207)+SUMIF('Q2 Data'!$D$4:$D$207,D10,'Q2 Data'!$AE$4:$AE$207)+SUMIF('Q3 Data'!$D$4:$D$207,D10,'Q3 Data'!$AD$4:$AD$207)+SUMIF('Q3 Data'!$D$4:$D$207,D10,'Q3 Data'!$AG$4:$AG$207)+SUMIF('Q3 Data'!$D$4:$D$207,D10,'Q3 Data'!$AE$4:$AE$207)+SUMIF('Q4 Data'!$D$4:$D$207,D10,'Q4 Data'!$AD$4:$AD$207)+SUMIF('Q4 Data'!$D$4:$D$207,D10,'Q4 Data'!$AG$4:$AG$207)+SUMIF('Q4 Data'!$D$4:$D$207,D10,'Q4 Data'!$AE$4:$AE$207))</f>
      </c>
      <c r="AO10" s="27">
        <f>IF($B10&lt;&gt;"Challan","",P10-N10)</f>
      </c>
      <c r="AP10" s="27">
        <f>IF($B10&lt;&gt;"Challan","",MAX(0,AO10-AN10))</f>
      </c>
      <c r="AQ10" s="33">
        <f>IF($B10&lt;&gt;"Entry","",SUMPRODUCT(('Q1 Data'!$D$4:$D$207=D10)*('Q1 Data'!$B$4:$B$207="Challan")*'Q1 Data'!$F$4:$F$207)+SUMPRODUCT(('Q2 Data'!$D$4:$D$207=D10)*('Q2 Data'!$B$4:$B$207="Challan")*'Q2 Data'!$F$4:$F$207)+SUMPRODUCT(('Q3 Data'!$D$4:$D$207=D10)*('Q3 Data'!$B$4:$B$207="Challan")*'Q3 Data'!$F$4:$F$207)+SUMPRODUCT(('Q4 Data'!$D$4:$D$207=D10)*('Q4 Data'!$B$4:$B$207="Challan")*'Q4 Data'!$F$4:$F$207))</f>
      </c>
      <c r="AR10" s="34">
        <f>IF(OR($B10&lt;&gt;"Entry",Z10=""),FALSE,AND((SUMPRODUCT(('Q1 Data'!$D$4:$D$207=D10)*('Q1 Data'!$B$4:$B$207="Challan")*('Q1 Data'!$H$4:$H$207&lt;&gt;""))+SUMPRODUCT(('Q2 Data'!$D$4:$D$207=D10)*('Q2 Data'!$B$4:$B$207="Challan")*('Q2 Data'!$H$4:$H$207&lt;&gt;""))+SUMPRODUCT(('Q3 Data'!$D$4:$D$207=D10)*('Q3 Data'!$B$4:$B$207="Challan")*('Q3 Data'!$H$4:$H$207&lt;&gt;""))+SUMPRODUCT(('Q4 Data'!$D$4:$D$207=D10)*('Q4 Data'!$B$4:$B$207="Challan")*('Q4 Data'!$H$4:$H$207&lt;&gt;"")))&gt;0,(SUMPRODUCT(('Q1 Data'!$D$4:$D$207=D10)*('Q1 Data'!$B$4:$B$207="Challan")*('Q1 Data'!$H$4:$H$207=Z10))+SUMPRODUCT(('Q2 Data'!$D$4:$D$207=D10)*('Q2 Data'!$B$4:$B$207="Challan")*('Q2 Data'!$H$4:$H$207=Z10))+SUMPRODUCT(('Q3 Data'!$D$4:$D$207=D10)*('Q3 Data'!$B$4:$B$207="Challan")*('Q3 Data'!$H$4:$H$207=Z10))+SUMPRODUCT(('Q4 Data'!$D$4:$D$207=D10)*('Q4 Data'!$B$4:$B$207="Challan")*('Q4 Data'!$H$4:$H$207=Z10)))=0))</f>
      </c>
    </row>
    <row r="11" spans="1:44" x14ac:dyDescent="0.25">
      <c r="A11" s="20">
        <f>IF($B11="Entry",COUNTIF($B$4:$B11,"Entry"),"")</f>
      </c>
      <c r="B11" s="21"/>
      <c r="C11" s="22"/>
      <c r="D11" s="22"/>
      <c r="E11" s="23">
        <f>IF($B11&lt;&gt;"Challan","",IF(ROUND(AN11-AO11,2)&gt;0,"Over-applied",IF(ROUND(AN11-AO11,2)=0,"Fully Utilised","Unconsumed")))</f>
      </c>
      <c r="F11" s="24"/>
      <c r="G11" s="25"/>
      <c r="H11" s="25"/>
      <c r="I11" s="26"/>
      <c r="J11" s="26"/>
      <c r="K11" s="26"/>
      <c r="L11" s="26"/>
      <c r="M11" s="26"/>
      <c r="N11" s="26"/>
      <c r="O11" s="26"/>
      <c r="P11" s="27">
        <f>IF($B11&lt;&gt;"Challan","",I11+J11+K11+L11+M11+N11)</f>
      </c>
      <c r="Q11" s="25"/>
      <c r="R11" s="25"/>
      <c r="S11" s="25"/>
      <c r="T11" s="25"/>
      <c r="U11" s="25"/>
      <c r="V11" s="28"/>
      <c r="W11" s="28"/>
      <c r="X11" s="23">
        <f>IF($B11="Entry",IF(AND(LEN(TRIM(UPPER(W11)))=10,CODE(MID(TRIM(UPPER(W11)),1,1))&gt;=65,CODE(MID(TRIM(UPPER(W11)),1,1))&lt;=90,CODE(MID(TRIM(UPPER(W11)),2,1))&gt;=65,CODE(MID(TRIM(UPPER(W11)),2,1))&lt;=90,CODE(MID(TRIM(UPPER(W11)),3,1))&gt;=65,CODE(MID(TRIM(UPPER(W11)),3,1))&lt;=90,CODE(MID(TRIM(UPPER(W11)),4,1))&gt;=65,CODE(MID(TRIM(UPPER(W11)),4,1))&lt;=90,CODE(MID(TRIM(UPPER(W11)),5,1))&gt;=65,CODE(MID(TRIM(UPPER(W11)),5,1))&lt;=90,CODE(MID(TRIM(UPPER(W11)),10,1))&gt;=65,CODE(MID(TRIM(UPPER(W11)),10,1))&lt;=90,CODE(MID(TRIM(UPPER(W11)),6,1))&gt;=48,CODE(MID(TRIM(UPPER(W11)),6,1))&lt;=57,CODE(MID(TRIM(UPPER(W11)),7,1))&gt;=48,CODE(MID(TRIM(UPPER(W11)),7,1))&lt;=57,CODE(MID(TRIM(UPPER(W11)),8,1))&gt;=48,CODE(MID(TRIM(UPPER(W11)),8,1))&lt;=57,CODE(MID(TRIM(UPPER(W11)),9,1))&gt;=48,CODE(MID(TRIM(UPPER(W11)),9,1))&lt;=57),"N","Y"),IF($B11="Challan","",IF(W11&lt;&gt;"","◄ Set Row Type","")))</f>
      </c>
      <c r="Y11" s="23">
        <f>IF($B11="Entry",IF(LEN(W11)&lt;4,"",IF(UPPER(MID(W11,4,1))="P","Individual",IF(UPPER(MID(W11,4,1))="H","HUF",IF(UPPER(MID(W11,4,1))="C","Company",IF(UPPER(MID(W11,4,1))="F","Firm",IF(UPPER(MID(W11,4,1))="L","LLP",IF(UPPER(MID(W11,4,1))="T","Trust",IF(UPPER(MID(W11,4,1))="A","AOP","")))))))),IF($B11="Challan","",IF(W11&lt;&gt;"","◄ Set Row Type","")))</f>
      </c>
      <c r="Z11" s="28"/>
      <c r="AA11" s="29">
        <f>IF($B11&lt;&gt;"Entry","",IF(Z11="","",IF(X11="Y",SUMPRODUCT(('Rate Lookup'!$A$1:$A$37=Z11)*'Rate Lookup'!$D$1:$D$37),IF(OR(Y11="Individual",Y11="HUF"),SUMPRODUCT(('Rate Lookup'!$A$1:$A$37=Z11)*'Rate Lookup'!$B$1:$B$37),SUMPRODUCT(('Rate Lookup'!$A$1:$A$37=Z11)*'Rate Lookup'!$C$1:$C$37)))))</f>
      </c>
      <c r="AB11" s="30"/>
      <c r="AC11" s="31"/>
      <c r="AD11" s="27">
        <f>IF($B11&lt;&gt;"Entry","",ROUND(AC11*AA11/100,0))</f>
      </c>
      <c r="AE11" s="27">
        <f>IF($B11&lt;&gt;"Entry","",0)</f>
      </c>
      <c r="AF11" s="27">
        <f>IF($B11&lt;&gt;"Entry","",0)</f>
      </c>
      <c r="AG11" s="27">
        <f>IF($B11&lt;&gt;"Entry","",IF(OR(AD11=0,AB11="",AQ11="",AQ11&lt;=0),0,IF(AQ11&lt;=DATE(YEAR(AB11),MONTH(AB11)+1,7),0,ROUND(AD11*0.015*((YEAR(AQ11)-YEAR(AB11))*12+(MONTH(AQ11)-MONTH(AB11))+1),0))))</f>
      </c>
      <c r="AH11" s="27">
        <f>IF($B11&lt;&gt;"Entry","",0)</f>
      </c>
      <c r="AI11" s="28"/>
      <c r="AJ11" s="28"/>
      <c r="AK11" s="32"/>
      <c r="AL11" s="28"/>
      <c r="AM11" s="28"/>
      <c r="AN11" s="27">
        <f>IF($B11&lt;&gt;"Challan","",SUMIF('Q1 Data'!$D$4:$D$207,D11,'Q1 Data'!$AD$4:$AD$207)+SUMIF('Q1 Data'!$D$4:$D$207,D11,'Q1 Data'!$AG$4:$AG$207)+SUMIF('Q1 Data'!$D$4:$D$207,D11,'Q1 Data'!$AE$4:$AE$207)+SUMIF('Q2 Data'!$D$4:$D$207,D11,'Q2 Data'!$AD$4:$AD$207)+SUMIF('Q2 Data'!$D$4:$D$207,D11,'Q2 Data'!$AG$4:$AG$207)+SUMIF('Q2 Data'!$D$4:$D$207,D11,'Q2 Data'!$AE$4:$AE$207)+SUMIF('Q3 Data'!$D$4:$D$207,D11,'Q3 Data'!$AD$4:$AD$207)+SUMIF('Q3 Data'!$D$4:$D$207,D11,'Q3 Data'!$AG$4:$AG$207)+SUMIF('Q3 Data'!$D$4:$D$207,D11,'Q3 Data'!$AE$4:$AE$207)+SUMIF('Q4 Data'!$D$4:$D$207,D11,'Q4 Data'!$AD$4:$AD$207)+SUMIF('Q4 Data'!$D$4:$D$207,D11,'Q4 Data'!$AG$4:$AG$207)+SUMIF('Q4 Data'!$D$4:$D$207,D11,'Q4 Data'!$AE$4:$AE$207))</f>
      </c>
      <c r="AO11" s="27">
        <f>IF($B11&lt;&gt;"Challan","",P11-N11)</f>
      </c>
      <c r="AP11" s="27">
        <f>IF($B11&lt;&gt;"Challan","",MAX(0,AO11-AN11))</f>
      </c>
      <c r="AQ11" s="33">
        <f>IF($B11&lt;&gt;"Entry","",SUMPRODUCT(('Q1 Data'!$D$4:$D$207=D11)*('Q1 Data'!$B$4:$B$207="Challan")*'Q1 Data'!$F$4:$F$207)+SUMPRODUCT(('Q2 Data'!$D$4:$D$207=D11)*('Q2 Data'!$B$4:$B$207="Challan")*'Q2 Data'!$F$4:$F$207)+SUMPRODUCT(('Q3 Data'!$D$4:$D$207=D11)*('Q3 Data'!$B$4:$B$207="Challan")*'Q3 Data'!$F$4:$F$207)+SUMPRODUCT(('Q4 Data'!$D$4:$D$207=D11)*('Q4 Data'!$B$4:$B$207="Challan")*'Q4 Data'!$F$4:$F$207))</f>
      </c>
      <c r="AR11" s="34">
        <f>IF(OR($B11&lt;&gt;"Entry",Z11=""),FALSE,AND((SUMPRODUCT(('Q1 Data'!$D$4:$D$207=D11)*('Q1 Data'!$B$4:$B$207="Challan")*('Q1 Data'!$H$4:$H$207&lt;&gt;""))+SUMPRODUCT(('Q2 Data'!$D$4:$D$207=D11)*('Q2 Data'!$B$4:$B$207="Challan")*('Q2 Data'!$H$4:$H$207&lt;&gt;""))+SUMPRODUCT(('Q3 Data'!$D$4:$D$207=D11)*('Q3 Data'!$B$4:$B$207="Challan")*('Q3 Data'!$H$4:$H$207&lt;&gt;""))+SUMPRODUCT(('Q4 Data'!$D$4:$D$207=D11)*('Q4 Data'!$B$4:$B$207="Challan")*('Q4 Data'!$H$4:$H$207&lt;&gt;"")))&gt;0,(SUMPRODUCT(('Q1 Data'!$D$4:$D$207=D11)*('Q1 Data'!$B$4:$B$207="Challan")*('Q1 Data'!$H$4:$H$207=Z11))+SUMPRODUCT(('Q2 Data'!$D$4:$D$207=D11)*('Q2 Data'!$B$4:$B$207="Challan")*('Q2 Data'!$H$4:$H$207=Z11))+SUMPRODUCT(('Q3 Data'!$D$4:$D$207=D11)*('Q3 Data'!$B$4:$B$207="Challan")*('Q3 Data'!$H$4:$H$207=Z11))+SUMPRODUCT(('Q4 Data'!$D$4:$D$207=D11)*('Q4 Data'!$B$4:$B$207="Challan")*('Q4 Data'!$H$4:$H$207=Z11)))=0))</f>
      </c>
    </row>
    <row r="12" spans="1:44" x14ac:dyDescent="0.25">
      <c r="A12" s="20">
        <f>IF($B12="Entry",COUNTIF($B$4:$B12,"Entry"),"")</f>
      </c>
      <c r="B12" s="21"/>
      <c r="C12" s="22"/>
      <c r="D12" s="22"/>
      <c r="E12" s="23">
        <f>IF($B12&lt;&gt;"Challan","",IF(ROUND(AN12-AO12,2)&gt;0,"Over-applied",IF(ROUND(AN12-AO12,2)=0,"Fully Utilised","Unconsumed")))</f>
      </c>
      <c r="F12" s="24"/>
      <c r="G12" s="25"/>
      <c r="H12" s="25"/>
      <c r="I12" s="26"/>
      <c r="J12" s="26"/>
      <c r="K12" s="26"/>
      <c r="L12" s="26"/>
      <c r="M12" s="26"/>
      <c r="N12" s="26"/>
      <c r="O12" s="26"/>
      <c r="P12" s="27">
        <f>IF($B12&lt;&gt;"Challan","",I12+J12+K12+L12+M12+N12)</f>
      </c>
      <c r="Q12" s="25"/>
      <c r="R12" s="25"/>
      <c r="S12" s="25"/>
      <c r="T12" s="25"/>
      <c r="U12" s="25"/>
      <c r="V12" s="28"/>
      <c r="W12" s="28"/>
      <c r="X12" s="23">
        <f>IF($B12="Entry",IF(AND(LEN(TRIM(UPPER(W12)))=10,CODE(MID(TRIM(UPPER(W12)),1,1))&gt;=65,CODE(MID(TRIM(UPPER(W12)),1,1))&lt;=90,CODE(MID(TRIM(UPPER(W12)),2,1))&gt;=65,CODE(MID(TRIM(UPPER(W12)),2,1))&lt;=90,CODE(MID(TRIM(UPPER(W12)),3,1))&gt;=65,CODE(MID(TRIM(UPPER(W12)),3,1))&lt;=90,CODE(MID(TRIM(UPPER(W12)),4,1))&gt;=65,CODE(MID(TRIM(UPPER(W12)),4,1))&lt;=90,CODE(MID(TRIM(UPPER(W12)),5,1))&gt;=65,CODE(MID(TRIM(UPPER(W12)),5,1))&lt;=90,CODE(MID(TRIM(UPPER(W12)),10,1))&gt;=65,CODE(MID(TRIM(UPPER(W12)),10,1))&lt;=90,CODE(MID(TRIM(UPPER(W12)),6,1))&gt;=48,CODE(MID(TRIM(UPPER(W12)),6,1))&lt;=57,CODE(MID(TRIM(UPPER(W12)),7,1))&gt;=48,CODE(MID(TRIM(UPPER(W12)),7,1))&lt;=57,CODE(MID(TRIM(UPPER(W12)),8,1))&gt;=48,CODE(MID(TRIM(UPPER(W12)),8,1))&lt;=57,CODE(MID(TRIM(UPPER(W12)),9,1))&gt;=48,CODE(MID(TRIM(UPPER(W12)),9,1))&lt;=57),"N","Y"),IF($B12="Challan","",IF(W12&lt;&gt;"","◄ Set Row Type","")))</f>
      </c>
      <c r="Y12" s="23">
        <f>IF($B12="Entry",IF(LEN(W12)&lt;4,"",IF(UPPER(MID(W12,4,1))="P","Individual",IF(UPPER(MID(W12,4,1))="H","HUF",IF(UPPER(MID(W12,4,1))="C","Company",IF(UPPER(MID(W12,4,1))="F","Firm",IF(UPPER(MID(W12,4,1))="L","LLP",IF(UPPER(MID(W12,4,1))="T","Trust",IF(UPPER(MID(W12,4,1))="A","AOP","")))))))),IF($B12="Challan","",IF(W12&lt;&gt;"","◄ Set Row Type","")))</f>
      </c>
      <c r="Z12" s="28"/>
      <c r="AA12" s="29">
        <f>IF($B12&lt;&gt;"Entry","",IF(Z12="","",IF(X12="Y",SUMPRODUCT(('Rate Lookup'!$A$1:$A$37=Z12)*'Rate Lookup'!$D$1:$D$37),IF(OR(Y12="Individual",Y12="HUF"),SUMPRODUCT(('Rate Lookup'!$A$1:$A$37=Z12)*'Rate Lookup'!$B$1:$B$37),SUMPRODUCT(('Rate Lookup'!$A$1:$A$37=Z12)*'Rate Lookup'!$C$1:$C$37)))))</f>
      </c>
      <c r="AB12" s="30"/>
      <c r="AC12" s="31"/>
      <c r="AD12" s="27">
        <f>IF($B12&lt;&gt;"Entry","",ROUND(AC12*AA12/100,0))</f>
      </c>
      <c r="AE12" s="27">
        <f>IF($B12&lt;&gt;"Entry","",0)</f>
      </c>
      <c r="AF12" s="27">
        <f>IF($B12&lt;&gt;"Entry","",0)</f>
      </c>
      <c r="AG12" s="27">
        <f>IF($B12&lt;&gt;"Entry","",IF(OR(AD12=0,AB12="",AQ12="",AQ12&lt;=0),0,IF(AQ12&lt;=DATE(YEAR(AB12),MONTH(AB12)+1,7),0,ROUND(AD12*0.015*((YEAR(AQ12)-YEAR(AB12))*12+(MONTH(AQ12)-MONTH(AB12))+1),0))))</f>
      </c>
      <c r="AH12" s="27">
        <f>IF($B12&lt;&gt;"Entry","",0)</f>
      </c>
      <c r="AI12" s="28"/>
      <c r="AJ12" s="28"/>
      <c r="AK12" s="32"/>
      <c r="AL12" s="28"/>
      <c r="AM12" s="28"/>
      <c r="AN12" s="27">
        <f>IF($B12&lt;&gt;"Challan","",SUMIF('Q1 Data'!$D$4:$D$207,D12,'Q1 Data'!$AD$4:$AD$207)+SUMIF('Q1 Data'!$D$4:$D$207,D12,'Q1 Data'!$AG$4:$AG$207)+SUMIF('Q1 Data'!$D$4:$D$207,D12,'Q1 Data'!$AE$4:$AE$207)+SUMIF('Q2 Data'!$D$4:$D$207,D12,'Q2 Data'!$AD$4:$AD$207)+SUMIF('Q2 Data'!$D$4:$D$207,D12,'Q2 Data'!$AG$4:$AG$207)+SUMIF('Q2 Data'!$D$4:$D$207,D12,'Q2 Data'!$AE$4:$AE$207)+SUMIF('Q3 Data'!$D$4:$D$207,D12,'Q3 Data'!$AD$4:$AD$207)+SUMIF('Q3 Data'!$D$4:$D$207,D12,'Q3 Data'!$AG$4:$AG$207)+SUMIF('Q3 Data'!$D$4:$D$207,D12,'Q3 Data'!$AE$4:$AE$207)+SUMIF('Q4 Data'!$D$4:$D$207,D12,'Q4 Data'!$AD$4:$AD$207)+SUMIF('Q4 Data'!$D$4:$D$207,D12,'Q4 Data'!$AG$4:$AG$207)+SUMIF('Q4 Data'!$D$4:$D$207,D12,'Q4 Data'!$AE$4:$AE$207))</f>
      </c>
      <c r="AO12" s="27">
        <f>IF($B12&lt;&gt;"Challan","",P12-N12)</f>
      </c>
      <c r="AP12" s="27">
        <f>IF($B12&lt;&gt;"Challan","",MAX(0,AO12-AN12))</f>
      </c>
      <c r="AQ12" s="33">
        <f>IF($B12&lt;&gt;"Entry","",SUMPRODUCT(('Q1 Data'!$D$4:$D$207=D12)*('Q1 Data'!$B$4:$B$207="Challan")*'Q1 Data'!$F$4:$F$207)+SUMPRODUCT(('Q2 Data'!$D$4:$D$207=D12)*('Q2 Data'!$B$4:$B$207="Challan")*'Q2 Data'!$F$4:$F$207)+SUMPRODUCT(('Q3 Data'!$D$4:$D$207=D12)*('Q3 Data'!$B$4:$B$207="Challan")*'Q3 Data'!$F$4:$F$207)+SUMPRODUCT(('Q4 Data'!$D$4:$D$207=D12)*('Q4 Data'!$B$4:$B$207="Challan")*'Q4 Data'!$F$4:$F$207))</f>
      </c>
      <c r="AR12" s="34">
        <f>IF(OR($B12&lt;&gt;"Entry",Z12=""),FALSE,AND((SUMPRODUCT(('Q1 Data'!$D$4:$D$207=D12)*('Q1 Data'!$B$4:$B$207="Challan")*('Q1 Data'!$H$4:$H$207&lt;&gt;""))+SUMPRODUCT(('Q2 Data'!$D$4:$D$207=D12)*('Q2 Data'!$B$4:$B$207="Challan")*('Q2 Data'!$H$4:$H$207&lt;&gt;""))+SUMPRODUCT(('Q3 Data'!$D$4:$D$207=D12)*('Q3 Data'!$B$4:$B$207="Challan")*('Q3 Data'!$H$4:$H$207&lt;&gt;""))+SUMPRODUCT(('Q4 Data'!$D$4:$D$207=D12)*('Q4 Data'!$B$4:$B$207="Challan")*('Q4 Data'!$H$4:$H$207&lt;&gt;"")))&gt;0,(SUMPRODUCT(('Q1 Data'!$D$4:$D$207=D12)*('Q1 Data'!$B$4:$B$207="Challan")*('Q1 Data'!$H$4:$H$207=Z12))+SUMPRODUCT(('Q2 Data'!$D$4:$D$207=D12)*('Q2 Data'!$B$4:$B$207="Challan")*('Q2 Data'!$H$4:$H$207=Z12))+SUMPRODUCT(('Q3 Data'!$D$4:$D$207=D12)*('Q3 Data'!$B$4:$B$207="Challan")*('Q3 Data'!$H$4:$H$207=Z12))+SUMPRODUCT(('Q4 Data'!$D$4:$D$207=D12)*('Q4 Data'!$B$4:$B$207="Challan")*('Q4 Data'!$H$4:$H$207=Z12)))=0))</f>
      </c>
    </row>
    <row r="13" spans="1:44" x14ac:dyDescent="0.25">
      <c r="A13" s="20">
        <f>IF($B13="Entry",COUNTIF($B$4:$B13,"Entry"),"")</f>
      </c>
      <c r="B13" s="21"/>
      <c r="C13" s="22"/>
      <c r="D13" s="22"/>
      <c r="E13" s="23">
        <f>IF($B13&lt;&gt;"Challan","",IF(ROUND(AN13-AO13,2)&gt;0,"Over-applied",IF(ROUND(AN13-AO13,2)=0,"Fully Utilised","Unconsumed")))</f>
      </c>
      <c r="F13" s="24"/>
      <c r="G13" s="25"/>
      <c r="H13" s="25"/>
      <c r="I13" s="26"/>
      <c r="J13" s="26"/>
      <c r="K13" s="26"/>
      <c r="L13" s="26"/>
      <c r="M13" s="26"/>
      <c r="N13" s="26"/>
      <c r="O13" s="26"/>
      <c r="P13" s="27">
        <f>IF($B13&lt;&gt;"Challan","",I13+J13+K13+L13+M13+N13)</f>
      </c>
      <c r="Q13" s="25"/>
      <c r="R13" s="25"/>
      <c r="S13" s="25"/>
      <c r="T13" s="25"/>
      <c r="U13" s="25"/>
      <c r="V13" s="28"/>
      <c r="W13" s="28"/>
      <c r="X13" s="23">
        <f>IF($B13="Entry",IF(AND(LEN(TRIM(UPPER(W13)))=10,CODE(MID(TRIM(UPPER(W13)),1,1))&gt;=65,CODE(MID(TRIM(UPPER(W13)),1,1))&lt;=90,CODE(MID(TRIM(UPPER(W13)),2,1))&gt;=65,CODE(MID(TRIM(UPPER(W13)),2,1))&lt;=90,CODE(MID(TRIM(UPPER(W13)),3,1))&gt;=65,CODE(MID(TRIM(UPPER(W13)),3,1))&lt;=90,CODE(MID(TRIM(UPPER(W13)),4,1))&gt;=65,CODE(MID(TRIM(UPPER(W13)),4,1))&lt;=90,CODE(MID(TRIM(UPPER(W13)),5,1))&gt;=65,CODE(MID(TRIM(UPPER(W13)),5,1))&lt;=90,CODE(MID(TRIM(UPPER(W13)),10,1))&gt;=65,CODE(MID(TRIM(UPPER(W13)),10,1))&lt;=90,CODE(MID(TRIM(UPPER(W13)),6,1))&gt;=48,CODE(MID(TRIM(UPPER(W13)),6,1))&lt;=57,CODE(MID(TRIM(UPPER(W13)),7,1))&gt;=48,CODE(MID(TRIM(UPPER(W13)),7,1))&lt;=57,CODE(MID(TRIM(UPPER(W13)),8,1))&gt;=48,CODE(MID(TRIM(UPPER(W13)),8,1))&lt;=57,CODE(MID(TRIM(UPPER(W13)),9,1))&gt;=48,CODE(MID(TRIM(UPPER(W13)),9,1))&lt;=57),"N","Y"),IF($B13="Challan","",IF(W13&lt;&gt;"","◄ Set Row Type","")))</f>
      </c>
      <c r="Y13" s="23">
        <f>IF($B13="Entry",IF(LEN(W13)&lt;4,"",IF(UPPER(MID(W13,4,1))="P","Individual",IF(UPPER(MID(W13,4,1))="H","HUF",IF(UPPER(MID(W13,4,1))="C","Company",IF(UPPER(MID(W13,4,1))="F","Firm",IF(UPPER(MID(W13,4,1))="L","LLP",IF(UPPER(MID(W13,4,1))="T","Trust",IF(UPPER(MID(W13,4,1))="A","AOP","")))))))),IF($B13="Challan","",IF(W13&lt;&gt;"","◄ Set Row Type","")))</f>
      </c>
      <c r="Z13" s="28"/>
      <c r="AA13" s="29">
        <f>IF($B13&lt;&gt;"Entry","",IF(Z13="","",IF(X13="Y",SUMPRODUCT(('Rate Lookup'!$A$1:$A$37=Z13)*'Rate Lookup'!$D$1:$D$37),IF(OR(Y13="Individual",Y13="HUF"),SUMPRODUCT(('Rate Lookup'!$A$1:$A$37=Z13)*'Rate Lookup'!$B$1:$B$37),SUMPRODUCT(('Rate Lookup'!$A$1:$A$37=Z13)*'Rate Lookup'!$C$1:$C$37)))))</f>
      </c>
      <c r="AB13" s="30"/>
      <c r="AC13" s="31"/>
      <c r="AD13" s="27">
        <f>IF($B13&lt;&gt;"Entry","",ROUND(AC13*AA13/100,0))</f>
      </c>
      <c r="AE13" s="27">
        <f>IF($B13&lt;&gt;"Entry","",0)</f>
      </c>
      <c r="AF13" s="27">
        <f>IF($B13&lt;&gt;"Entry","",0)</f>
      </c>
      <c r="AG13" s="27">
        <f>IF($B13&lt;&gt;"Entry","",IF(OR(AD13=0,AB13="",AQ13="",AQ13&lt;=0),0,IF(AQ13&lt;=DATE(YEAR(AB13),MONTH(AB13)+1,7),0,ROUND(AD13*0.015*((YEAR(AQ13)-YEAR(AB13))*12+(MONTH(AQ13)-MONTH(AB13))+1),0))))</f>
      </c>
      <c r="AH13" s="27">
        <f>IF($B13&lt;&gt;"Entry","",0)</f>
      </c>
      <c r="AI13" s="28"/>
      <c r="AJ13" s="28"/>
      <c r="AK13" s="32"/>
      <c r="AL13" s="28"/>
      <c r="AM13" s="28"/>
      <c r="AN13" s="27">
        <f>IF($B13&lt;&gt;"Challan","",SUMIF('Q1 Data'!$D$4:$D$207,D13,'Q1 Data'!$AD$4:$AD$207)+SUMIF('Q1 Data'!$D$4:$D$207,D13,'Q1 Data'!$AG$4:$AG$207)+SUMIF('Q1 Data'!$D$4:$D$207,D13,'Q1 Data'!$AE$4:$AE$207)+SUMIF('Q2 Data'!$D$4:$D$207,D13,'Q2 Data'!$AD$4:$AD$207)+SUMIF('Q2 Data'!$D$4:$D$207,D13,'Q2 Data'!$AG$4:$AG$207)+SUMIF('Q2 Data'!$D$4:$D$207,D13,'Q2 Data'!$AE$4:$AE$207)+SUMIF('Q3 Data'!$D$4:$D$207,D13,'Q3 Data'!$AD$4:$AD$207)+SUMIF('Q3 Data'!$D$4:$D$207,D13,'Q3 Data'!$AG$4:$AG$207)+SUMIF('Q3 Data'!$D$4:$D$207,D13,'Q3 Data'!$AE$4:$AE$207)+SUMIF('Q4 Data'!$D$4:$D$207,D13,'Q4 Data'!$AD$4:$AD$207)+SUMIF('Q4 Data'!$D$4:$D$207,D13,'Q4 Data'!$AG$4:$AG$207)+SUMIF('Q4 Data'!$D$4:$D$207,D13,'Q4 Data'!$AE$4:$AE$207))</f>
      </c>
      <c r="AO13" s="27">
        <f>IF($B13&lt;&gt;"Challan","",P13-N13)</f>
      </c>
      <c r="AP13" s="27">
        <f>IF($B13&lt;&gt;"Challan","",MAX(0,AO13-AN13))</f>
      </c>
      <c r="AQ13" s="33">
        <f>IF($B13&lt;&gt;"Entry","",SUMPRODUCT(('Q1 Data'!$D$4:$D$207=D13)*('Q1 Data'!$B$4:$B$207="Challan")*'Q1 Data'!$F$4:$F$207)+SUMPRODUCT(('Q2 Data'!$D$4:$D$207=D13)*('Q2 Data'!$B$4:$B$207="Challan")*'Q2 Data'!$F$4:$F$207)+SUMPRODUCT(('Q3 Data'!$D$4:$D$207=D13)*('Q3 Data'!$B$4:$B$207="Challan")*'Q3 Data'!$F$4:$F$207)+SUMPRODUCT(('Q4 Data'!$D$4:$D$207=D13)*('Q4 Data'!$B$4:$B$207="Challan")*'Q4 Data'!$F$4:$F$207))</f>
      </c>
      <c r="AR13" s="34">
        <f>IF(OR($B13&lt;&gt;"Entry",Z13=""),FALSE,AND((SUMPRODUCT(('Q1 Data'!$D$4:$D$207=D13)*('Q1 Data'!$B$4:$B$207="Challan")*('Q1 Data'!$H$4:$H$207&lt;&gt;""))+SUMPRODUCT(('Q2 Data'!$D$4:$D$207=D13)*('Q2 Data'!$B$4:$B$207="Challan")*('Q2 Data'!$H$4:$H$207&lt;&gt;""))+SUMPRODUCT(('Q3 Data'!$D$4:$D$207=D13)*('Q3 Data'!$B$4:$B$207="Challan")*('Q3 Data'!$H$4:$H$207&lt;&gt;""))+SUMPRODUCT(('Q4 Data'!$D$4:$D$207=D13)*('Q4 Data'!$B$4:$B$207="Challan")*('Q4 Data'!$H$4:$H$207&lt;&gt;"")))&gt;0,(SUMPRODUCT(('Q1 Data'!$D$4:$D$207=D13)*('Q1 Data'!$B$4:$B$207="Challan")*('Q1 Data'!$H$4:$H$207=Z13))+SUMPRODUCT(('Q2 Data'!$D$4:$D$207=D13)*('Q2 Data'!$B$4:$B$207="Challan")*('Q2 Data'!$H$4:$H$207=Z13))+SUMPRODUCT(('Q3 Data'!$D$4:$D$207=D13)*('Q3 Data'!$B$4:$B$207="Challan")*('Q3 Data'!$H$4:$H$207=Z13))+SUMPRODUCT(('Q4 Data'!$D$4:$D$207=D13)*('Q4 Data'!$B$4:$B$207="Challan")*('Q4 Data'!$H$4:$H$207=Z13)))=0))</f>
      </c>
    </row>
    <row r="14" spans="1:44" x14ac:dyDescent="0.25">
      <c r="A14" s="20">
        <f>IF($B14="Entry",COUNTIF($B$4:$B14,"Entry"),"")</f>
      </c>
      <c r="B14" s="21"/>
      <c r="C14" s="22"/>
      <c r="D14" s="22"/>
      <c r="E14" s="23">
        <f>IF($B14&lt;&gt;"Challan","",IF(ROUND(AN14-AO14,2)&gt;0,"Over-applied",IF(ROUND(AN14-AO14,2)=0,"Fully Utilised","Unconsumed")))</f>
      </c>
      <c r="F14" s="24"/>
      <c r="G14" s="25"/>
      <c r="H14" s="25"/>
      <c r="I14" s="26"/>
      <c r="J14" s="26"/>
      <c r="K14" s="26"/>
      <c r="L14" s="26"/>
      <c r="M14" s="26"/>
      <c r="N14" s="26"/>
      <c r="O14" s="26"/>
      <c r="P14" s="27">
        <f>IF($B14&lt;&gt;"Challan","",I14+J14+K14+L14+M14+N14)</f>
      </c>
      <c r="Q14" s="25"/>
      <c r="R14" s="25"/>
      <c r="S14" s="25"/>
      <c r="T14" s="25"/>
      <c r="U14" s="25"/>
      <c r="V14" s="28"/>
      <c r="W14" s="28"/>
      <c r="X14" s="23">
        <f>IF($B14="Entry",IF(AND(LEN(TRIM(UPPER(W14)))=10,CODE(MID(TRIM(UPPER(W14)),1,1))&gt;=65,CODE(MID(TRIM(UPPER(W14)),1,1))&lt;=90,CODE(MID(TRIM(UPPER(W14)),2,1))&gt;=65,CODE(MID(TRIM(UPPER(W14)),2,1))&lt;=90,CODE(MID(TRIM(UPPER(W14)),3,1))&gt;=65,CODE(MID(TRIM(UPPER(W14)),3,1))&lt;=90,CODE(MID(TRIM(UPPER(W14)),4,1))&gt;=65,CODE(MID(TRIM(UPPER(W14)),4,1))&lt;=90,CODE(MID(TRIM(UPPER(W14)),5,1))&gt;=65,CODE(MID(TRIM(UPPER(W14)),5,1))&lt;=90,CODE(MID(TRIM(UPPER(W14)),10,1))&gt;=65,CODE(MID(TRIM(UPPER(W14)),10,1))&lt;=90,CODE(MID(TRIM(UPPER(W14)),6,1))&gt;=48,CODE(MID(TRIM(UPPER(W14)),6,1))&lt;=57,CODE(MID(TRIM(UPPER(W14)),7,1))&gt;=48,CODE(MID(TRIM(UPPER(W14)),7,1))&lt;=57,CODE(MID(TRIM(UPPER(W14)),8,1))&gt;=48,CODE(MID(TRIM(UPPER(W14)),8,1))&lt;=57,CODE(MID(TRIM(UPPER(W14)),9,1))&gt;=48,CODE(MID(TRIM(UPPER(W14)),9,1))&lt;=57),"N","Y"),IF($B14="Challan","",IF(W14&lt;&gt;"","◄ Set Row Type","")))</f>
      </c>
      <c r="Y14" s="23">
        <f>IF($B14="Entry",IF(LEN(W14)&lt;4,"",IF(UPPER(MID(W14,4,1))="P","Individual",IF(UPPER(MID(W14,4,1))="H","HUF",IF(UPPER(MID(W14,4,1))="C","Company",IF(UPPER(MID(W14,4,1))="F","Firm",IF(UPPER(MID(W14,4,1))="L","LLP",IF(UPPER(MID(W14,4,1))="T","Trust",IF(UPPER(MID(W14,4,1))="A","AOP","")))))))),IF($B14="Challan","",IF(W14&lt;&gt;"","◄ Set Row Type","")))</f>
      </c>
      <c r="Z14" s="28"/>
      <c r="AA14" s="29">
        <f>IF($B14&lt;&gt;"Entry","",IF(Z14="","",IF(X14="Y",SUMPRODUCT(('Rate Lookup'!$A$1:$A$37=Z14)*'Rate Lookup'!$D$1:$D$37),IF(OR(Y14="Individual",Y14="HUF"),SUMPRODUCT(('Rate Lookup'!$A$1:$A$37=Z14)*'Rate Lookup'!$B$1:$B$37),SUMPRODUCT(('Rate Lookup'!$A$1:$A$37=Z14)*'Rate Lookup'!$C$1:$C$37)))))</f>
      </c>
      <c r="AB14" s="30"/>
      <c r="AC14" s="31"/>
      <c r="AD14" s="27">
        <f>IF($B14&lt;&gt;"Entry","",ROUND(AC14*AA14/100,0))</f>
      </c>
      <c r="AE14" s="27">
        <f>IF($B14&lt;&gt;"Entry","",0)</f>
      </c>
      <c r="AF14" s="27">
        <f>IF($B14&lt;&gt;"Entry","",0)</f>
      </c>
      <c r="AG14" s="27">
        <f>IF($B14&lt;&gt;"Entry","",IF(OR(AD14=0,AB14="",AQ14="",AQ14&lt;=0),0,IF(AQ14&lt;=DATE(YEAR(AB14),MONTH(AB14)+1,7),0,ROUND(AD14*0.015*((YEAR(AQ14)-YEAR(AB14))*12+(MONTH(AQ14)-MONTH(AB14))+1),0))))</f>
      </c>
      <c r="AH14" s="27">
        <f>IF($B14&lt;&gt;"Entry","",0)</f>
      </c>
      <c r="AI14" s="28"/>
      <c r="AJ14" s="28"/>
      <c r="AK14" s="32"/>
      <c r="AL14" s="28"/>
      <c r="AM14" s="28"/>
      <c r="AN14" s="27">
        <f>IF($B14&lt;&gt;"Challan","",SUMIF('Q1 Data'!$D$4:$D$207,D14,'Q1 Data'!$AD$4:$AD$207)+SUMIF('Q1 Data'!$D$4:$D$207,D14,'Q1 Data'!$AG$4:$AG$207)+SUMIF('Q1 Data'!$D$4:$D$207,D14,'Q1 Data'!$AE$4:$AE$207)+SUMIF('Q2 Data'!$D$4:$D$207,D14,'Q2 Data'!$AD$4:$AD$207)+SUMIF('Q2 Data'!$D$4:$D$207,D14,'Q2 Data'!$AG$4:$AG$207)+SUMIF('Q2 Data'!$D$4:$D$207,D14,'Q2 Data'!$AE$4:$AE$207)+SUMIF('Q3 Data'!$D$4:$D$207,D14,'Q3 Data'!$AD$4:$AD$207)+SUMIF('Q3 Data'!$D$4:$D$207,D14,'Q3 Data'!$AG$4:$AG$207)+SUMIF('Q3 Data'!$D$4:$D$207,D14,'Q3 Data'!$AE$4:$AE$207)+SUMIF('Q4 Data'!$D$4:$D$207,D14,'Q4 Data'!$AD$4:$AD$207)+SUMIF('Q4 Data'!$D$4:$D$207,D14,'Q4 Data'!$AG$4:$AG$207)+SUMIF('Q4 Data'!$D$4:$D$207,D14,'Q4 Data'!$AE$4:$AE$207))</f>
      </c>
      <c r="AO14" s="27">
        <f>IF($B14&lt;&gt;"Challan","",P14-N14)</f>
      </c>
      <c r="AP14" s="27">
        <f>IF($B14&lt;&gt;"Challan","",MAX(0,AO14-AN14))</f>
      </c>
      <c r="AQ14" s="33">
        <f>IF($B14&lt;&gt;"Entry","",SUMPRODUCT(('Q1 Data'!$D$4:$D$207=D14)*('Q1 Data'!$B$4:$B$207="Challan")*'Q1 Data'!$F$4:$F$207)+SUMPRODUCT(('Q2 Data'!$D$4:$D$207=D14)*('Q2 Data'!$B$4:$B$207="Challan")*'Q2 Data'!$F$4:$F$207)+SUMPRODUCT(('Q3 Data'!$D$4:$D$207=D14)*('Q3 Data'!$B$4:$B$207="Challan")*'Q3 Data'!$F$4:$F$207)+SUMPRODUCT(('Q4 Data'!$D$4:$D$207=D14)*('Q4 Data'!$B$4:$B$207="Challan")*'Q4 Data'!$F$4:$F$207))</f>
      </c>
      <c r="AR14" s="34">
        <f>IF(OR($B14&lt;&gt;"Entry",Z14=""),FALSE,AND((SUMPRODUCT(('Q1 Data'!$D$4:$D$207=D14)*('Q1 Data'!$B$4:$B$207="Challan")*('Q1 Data'!$H$4:$H$207&lt;&gt;""))+SUMPRODUCT(('Q2 Data'!$D$4:$D$207=D14)*('Q2 Data'!$B$4:$B$207="Challan")*('Q2 Data'!$H$4:$H$207&lt;&gt;""))+SUMPRODUCT(('Q3 Data'!$D$4:$D$207=D14)*('Q3 Data'!$B$4:$B$207="Challan")*('Q3 Data'!$H$4:$H$207&lt;&gt;""))+SUMPRODUCT(('Q4 Data'!$D$4:$D$207=D14)*('Q4 Data'!$B$4:$B$207="Challan")*('Q4 Data'!$H$4:$H$207&lt;&gt;"")))&gt;0,(SUMPRODUCT(('Q1 Data'!$D$4:$D$207=D14)*('Q1 Data'!$B$4:$B$207="Challan")*('Q1 Data'!$H$4:$H$207=Z14))+SUMPRODUCT(('Q2 Data'!$D$4:$D$207=D14)*('Q2 Data'!$B$4:$B$207="Challan")*('Q2 Data'!$H$4:$H$207=Z14))+SUMPRODUCT(('Q3 Data'!$D$4:$D$207=D14)*('Q3 Data'!$B$4:$B$207="Challan")*('Q3 Data'!$H$4:$H$207=Z14))+SUMPRODUCT(('Q4 Data'!$D$4:$D$207=D14)*('Q4 Data'!$B$4:$B$207="Challan")*('Q4 Data'!$H$4:$H$207=Z14)))=0))</f>
      </c>
    </row>
    <row r="15" spans="1:44" x14ac:dyDescent="0.25">
      <c r="A15" s="20">
        <f>IF($B15="Entry",COUNTIF($B$4:$B15,"Entry"),"")</f>
      </c>
      <c r="B15" s="21"/>
      <c r="C15" s="22"/>
      <c r="D15" s="22"/>
      <c r="E15" s="23">
        <f>IF($B15&lt;&gt;"Challan","",IF(ROUND(AN15-AO15,2)&gt;0,"Over-applied",IF(ROUND(AN15-AO15,2)=0,"Fully Utilised","Unconsumed")))</f>
      </c>
      <c r="F15" s="24"/>
      <c r="G15" s="25"/>
      <c r="H15" s="25"/>
      <c r="I15" s="26"/>
      <c r="J15" s="26"/>
      <c r="K15" s="26"/>
      <c r="L15" s="26"/>
      <c r="M15" s="26"/>
      <c r="N15" s="26"/>
      <c r="O15" s="26"/>
      <c r="P15" s="27">
        <f>IF($B15&lt;&gt;"Challan","",I15+J15+K15+L15+M15+N15)</f>
      </c>
      <c r="Q15" s="25"/>
      <c r="R15" s="25"/>
      <c r="S15" s="25"/>
      <c r="T15" s="25"/>
      <c r="U15" s="25"/>
      <c r="V15" s="28"/>
      <c r="W15" s="28"/>
      <c r="X15" s="23">
        <f>IF($B15="Entry",IF(AND(LEN(TRIM(UPPER(W15)))=10,CODE(MID(TRIM(UPPER(W15)),1,1))&gt;=65,CODE(MID(TRIM(UPPER(W15)),1,1))&lt;=90,CODE(MID(TRIM(UPPER(W15)),2,1))&gt;=65,CODE(MID(TRIM(UPPER(W15)),2,1))&lt;=90,CODE(MID(TRIM(UPPER(W15)),3,1))&gt;=65,CODE(MID(TRIM(UPPER(W15)),3,1))&lt;=90,CODE(MID(TRIM(UPPER(W15)),4,1))&gt;=65,CODE(MID(TRIM(UPPER(W15)),4,1))&lt;=90,CODE(MID(TRIM(UPPER(W15)),5,1))&gt;=65,CODE(MID(TRIM(UPPER(W15)),5,1))&lt;=90,CODE(MID(TRIM(UPPER(W15)),10,1))&gt;=65,CODE(MID(TRIM(UPPER(W15)),10,1))&lt;=90,CODE(MID(TRIM(UPPER(W15)),6,1))&gt;=48,CODE(MID(TRIM(UPPER(W15)),6,1))&lt;=57,CODE(MID(TRIM(UPPER(W15)),7,1))&gt;=48,CODE(MID(TRIM(UPPER(W15)),7,1))&lt;=57,CODE(MID(TRIM(UPPER(W15)),8,1))&gt;=48,CODE(MID(TRIM(UPPER(W15)),8,1))&lt;=57,CODE(MID(TRIM(UPPER(W15)),9,1))&gt;=48,CODE(MID(TRIM(UPPER(W15)),9,1))&lt;=57),"N","Y"),IF($B15="Challan","",IF(W15&lt;&gt;"","◄ Set Row Type","")))</f>
      </c>
      <c r="Y15" s="23">
        <f>IF($B15="Entry",IF(LEN(W15)&lt;4,"",IF(UPPER(MID(W15,4,1))="P","Individual",IF(UPPER(MID(W15,4,1))="H","HUF",IF(UPPER(MID(W15,4,1))="C","Company",IF(UPPER(MID(W15,4,1))="F","Firm",IF(UPPER(MID(W15,4,1))="L","LLP",IF(UPPER(MID(W15,4,1))="T","Trust",IF(UPPER(MID(W15,4,1))="A","AOP","")))))))),IF($B15="Challan","",IF(W15&lt;&gt;"","◄ Set Row Type","")))</f>
      </c>
      <c r="Z15" s="28"/>
      <c r="AA15" s="29">
        <f>IF($B15&lt;&gt;"Entry","",IF(Z15="","",IF(X15="Y",SUMPRODUCT(('Rate Lookup'!$A$1:$A$37=Z15)*'Rate Lookup'!$D$1:$D$37),IF(OR(Y15="Individual",Y15="HUF"),SUMPRODUCT(('Rate Lookup'!$A$1:$A$37=Z15)*'Rate Lookup'!$B$1:$B$37),SUMPRODUCT(('Rate Lookup'!$A$1:$A$37=Z15)*'Rate Lookup'!$C$1:$C$37)))))</f>
      </c>
      <c r="AB15" s="30"/>
      <c r="AC15" s="31"/>
      <c r="AD15" s="27">
        <f>IF($B15&lt;&gt;"Entry","",ROUND(AC15*AA15/100,0))</f>
      </c>
      <c r="AE15" s="27">
        <f>IF($B15&lt;&gt;"Entry","",0)</f>
      </c>
      <c r="AF15" s="27">
        <f>IF($B15&lt;&gt;"Entry","",0)</f>
      </c>
      <c r="AG15" s="27">
        <f>IF($B15&lt;&gt;"Entry","",IF(OR(AD15=0,AB15="",AQ15="",AQ15&lt;=0),0,IF(AQ15&lt;=DATE(YEAR(AB15),MONTH(AB15)+1,7),0,ROUND(AD15*0.015*((YEAR(AQ15)-YEAR(AB15))*12+(MONTH(AQ15)-MONTH(AB15))+1),0))))</f>
      </c>
      <c r="AH15" s="27">
        <f>IF($B15&lt;&gt;"Entry","",0)</f>
      </c>
      <c r="AI15" s="28"/>
      <c r="AJ15" s="28"/>
      <c r="AK15" s="32"/>
      <c r="AL15" s="28"/>
      <c r="AM15" s="28"/>
      <c r="AN15" s="27">
        <f>IF($B15&lt;&gt;"Challan","",SUMIF('Q1 Data'!$D$4:$D$207,D15,'Q1 Data'!$AD$4:$AD$207)+SUMIF('Q1 Data'!$D$4:$D$207,D15,'Q1 Data'!$AG$4:$AG$207)+SUMIF('Q1 Data'!$D$4:$D$207,D15,'Q1 Data'!$AE$4:$AE$207)+SUMIF('Q2 Data'!$D$4:$D$207,D15,'Q2 Data'!$AD$4:$AD$207)+SUMIF('Q2 Data'!$D$4:$D$207,D15,'Q2 Data'!$AG$4:$AG$207)+SUMIF('Q2 Data'!$D$4:$D$207,D15,'Q2 Data'!$AE$4:$AE$207)+SUMIF('Q3 Data'!$D$4:$D$207,D15,'Q3 Data'!$AD$4:$AD$207)+SUMIF('Q3 Data'!$D$4:$D$207,D15,'Q3 Data'!$AG$4:$AG$207)+SUMIF('Q3 Data'!$D$4:$D$207,D15,'Q3 Data'!$AE$4:$AE$207)+SUMIF('Q4 Data'!$D$4:$D$207,D15,'Q4 Data'!$AD$4:$AD$207)+SUMIF('Q4 Data'!$D$4:$D$207,D15,'Q4 Data'!$AG$4:$AG$207)+SUMIF('Q4 Data'!$D$4:$D$207,D15,'Q4 Data'!$AE$4:$AE$207))</f>
      </c>
      <c r="AO15" s="27">
        <f>IF($B15&lt;&gt;"Challan","",P15-N15)</f>
      </c>
      <c r="AP15" s="27">
        <f>IF($B15&lt;&gt;"Challan","",MAX(0,AO15-AN15))</f>
      </c>
      <c r="AQ15" s="33">
        <f>IF($B15&lt;&gt;"Entry","",SUMPRODUCT(('Q1 Data'!$D$4:$D$207=D15)*('Q1 Data'!$B$4:$B$207="Challan")*'Q1 Data'!$F$4:$F$207)+SUMPRODUCT(('Q2 Data'!$D$4:$D$207=D15)*('Q2 Data'!$B$4:$B$207="Challan")*'Q2 Data'!$F$4:$F$207)+SUMPRODUCT(('Q3 Data'!$D$4:$D$207=D15)*('Q3 Data'!$B$4:$B$207="Challan")*'Q3 Data'!$F$4:$F$207)+SUMPRODUCT(('Q4 Data'!$D$4:$D$207=D15)*('Q4 Data'!$B$4:$B$207="Challan")*'Q4 Data'!$F$4:$F$207))</f>
      </c>
      <c r="AR15" s="34">
        <f>IF(OR($B15&lt;&gt;"Entry",Z15=""),FALSE,AND((SUMPRODUCT(('Q1 Data'!$D$4:$D$207=D15)*('Q1 Data'!$B$4:$B$207="Challan")*('Q1 Data'!$H$4:$H$207&lt;&gt;""))+SUMPRODUCT(('Q2 Data'!$D$4:$D$207=D15)*('Q2 Data'!$B$4:$B$207="Challan")*('Q2 Data'!$H$4:$H$207&lt;&gt;""))+SUMPRODUCT(('Q3 Data'!$D$4:$D$207=D15)*('Q3 Data'!$B$4:$B$207="Challan")*('Q3 Data'!$H$4:$H$207&lt;&gt;""))+SUMPRODUCT(('Q4 Data'!$D$4:$D$207=D15)*('Q4 Data'!$B$4:$B$207="Challan")*('Q4 Data'!$H$4:$H$207&lt;&gt;"")))&gt;0,(SUMPRODUCT(('Q1 Data'!$D$4:$D$207=D15)*('Q1 Data'!$B$4:$B$207="Challan")*('Q1 Data'!$H$4:$H$207=Z15))+SUMPRODUCT(('Q2 Data'!$D$4:$D$207=D15)*('Q2 Data'!$B$4:$B$207="Challan")*('Q2 Data'!$H$4:$H$207=Z15))+SUMPRODUCT(('Q3 Data'!$D$4:$D$207=D15)*('Q3 Data'!$B$4:$B$207="Challan")*('Q3 Data'!$H$4:$H$207=Z15))+SUMPRODUCT(('Q4 Data'!$D$4:$D$207=D15)*('Q4 Data'!$B$4:$B$207="Challan")*('Q4 Data'!$H$4:$H$207=Z15)))=0))</f>
      </c>
    </row>
    <row r="16" spans="1:44" x14ac:dyDescent="0.25">
      <c r="A16" s="20">
        <f>IF($B16="Entry",COUNTIF($B$4:$B16,"Entry"),"")</f>
      </c>
      <c r="B16" s="21"/>
      <c r="C16" s="22"/>
      <c r="D16" s="22"/>
      <c r="E16" s="23">
        <f>IF($B16&lt;&gt;"Challan","",IF(ROUND(AN16-AO16,2)&gt;0,"Over-applied",IF(ROUND(AN16-AO16,2)=0,"Fully Utilised","Unconsumed")))</f>
      </c>
      <c r="F16" s="24"/>
      <c r="G16" s="25"/>
      <c r="H16" s="25"/>
      <c r="I16" s="26"/>
      <c r="J16" s="26"/>
      <c r="K16" s="26"/>
      <c r="L16" s="26"/>
      <c r="M16" s="26"/>
      <c r="N16" s="26"/>
      <c r="O16" s="26"/>
      <c r="P16" s="27">
        <f>IF($B16&lt;&gt;"Challan","",I16+J16+K16+L16+M16+N16)</f>
      </c>
      <c r="Q16" s="25"/>
      <c r="R16" s="25"/>
      <c r="S16" s="25"/>
      <c r="T16" s="25"/>
      <c r="U16" s="25"/>
      <c r="V16" s="28"/>
      <c r="W16" s="28"/>
      <c r="X16" s="23">
        <f>IF($B16="Entry",IF(AND(LEN(TRIM(UPPER(W16)))=10,CODE(MID(TRIM(UPPER(W16)),1,1))&gt;=65,CODE(MID(TRIM(UPPER(W16)),1,1))&lt;=90,CODE(MID(TRIM(UPPER(W16)),2,1))&gt;=65,CODE(MID(TRIM(UPPER(W16)),2,1))&lt;=90,CODE(MID(TRIM(UPPER(W16)),3,1))&gt;=65,CODE(MID(TRIM(UPPER(W16)),3,1))&lt;=90,CODE(MID(TRIM(UPPER(W16)),4,1))&gt;=65,CODE(MID(TRIM(UPPER(W16)),4,1))&lt;=90,CODE(MID(TRIM(UPPER(W16)),5,1))&gt;=65,CODE(MID(TRIM(UPPER(W16)),5,1))&lt;=90,CODE(MID(TRIM(UPPER(W16)),10,1))&gt;=65,CODE(MID(TRIM(UPPER(W16)),10,1))&lt;=90,CODE(MID(TRIM(UPPER(W16)),6,1))&gt;=48,CODE(MID(TRIM(UPPER(W16)),6,1))&lt;=57,CODE(MID(TRIM(UPPER(W16)),7,1))&gt;=48,CODE(MID(TRIM(UPPER(W16)),7,1))&lt;=57,CODE(MID(TRIM(UPPER(W16)),8,1))&gt;=48,CODE(MID(TRIM(UPPER(W16)),8,1))&lt;=57,CODE(MID(TRIM(UPPER(W16)),9,1))&gt;=48,CODE(MID(TRIM(UPPER(W16)),9,1))&lt;=57),"N","Y"),IF($B16="Challan","",IF(W16&lt;&gt;"","◄ Set Row Type","")))</f>
      </c>
      <c r="Y16" s="23">
        <f>IF($B16="Entry",IF(LEN(W16)&lt;4,"",IF(UPPER(MID(W16,4,1))="P","Individual",IF(UPPER(MID(W16,4,1))="H","HUF",IF(UPPER(MID(W16,4,1))="C","Company",IF(UPPER(MID(W16,4,1))="F","Firm",IF(UPPER(MID(W16,4,1))="L","LLP",IF(UPPER(MID(W16,4,1))="T","Trust",IF(UPPER(MID(W16,4,1))="A","AOP","")))))))),IF($B16="Challan","",IF(W16&lt;&gt;"","◄ Set Row Type","")))</f>
      </c>
      <c r="Z16" s="28"/>
      <c r="AA16" s="29">
        <f>IF($B16&lt;&gt;"Entry","",IF(Z16="","",IF(X16="Y",SUMPRODUCT(('Rate Lookup'!$A$1:$A$37=Z16)*'Rate Lookup'!$D$1:$D$37),IF(OR(Y16="Individual",Y16="HUF"),SUMPRODUCT(('Rate Lookup'!$A$1:$A$37=Z16)*'Rate Lookup'!$B$1:$B$37),SUMPRODUCT(('Rate Lookup'!$A$1:$A$37=Z16)*'Rate Lookup'!$C$1:$C$37)))))</f>
      </c>
      <c r="AB16" s="30"/>
      <c r="AC16" s="31"/>
      <c r="AD16" s="27">
        <f>IF($B16&lt;&gt;"Entry","",ROUND(AC16*AA16/100,0))</f>
      </c>
      <c r="AE16" s="27">
        <f>IF($B16&lt;&gt;"Entry","",0)</f>
      </c>
      <c r="AF16" s="27">
        <f>IF($B16&lt;&gt;"Entry","",0)</f>
      </c>
      <c r="AG16" s="27">
        <f>IF($B16&lt;&gt;"Entry","",IF(OR(AD16=0,AB16="",AQ16="",AQ16&lt;=0),0,IF(AQ16&lt;=DATE(YEAR(AB16),MONTH(AB16)+1,7),0,ROUND(AD16*0.015*((YEAR(AQ16)-YEAR(AB16))*12+(MONTH(AQ16)-MONTH(AB16))+1),0))))</f>
      </c>
      <c r="AH16" s="27">
        <f>IF($B16&lt;&gt;"Entry","",0)</f>
      </c>
      <c r="AI16" s="28"/>
      <c r="AJ16" s="28"/>
      <c r="AK16" s="32"/>
      <c r="AL16" s="28"/>
      <c r="AM16" s="28"/>
      <c r="AN16" s="27">
        <f>IF($B16&lt;&gt;"Challan","",SUMIF('Q1 Data'!$D$4:$D$207,D16,'Q1 Data'!$AD$4:$AD$207)+SUMIF('Q1 Data'!$D$4:$D$207,D16,'Q1 Data'!$AG$4:$AG$207)+SUMIF('Q1 Data'!$D$4:$D$207,D16,'Q1 Data'!$AE$4:$AE$207)+SUMIF('Q2 Data'!$D$4:$D$207,D16,'Q2 Data'!$AD$4:$AD$207)+SUMIF('Q2 Data'!$D$4:$D$207,D16,'Q2 Data'!$AG$4:$AG$207)+SUMIF('Q2 Data'!$D$4:$D$207,D16,'Q2 Data'!$AE$4:$AE$207)+SUMIF('Q3 Data'!$D$4:$D$207,D16,'Q3 Data'!$AD$4:$AD$207)+SUMIF('Q3 Data'!$D$4:$D$207,D16,'Q3 Data'!$AG$4:$AG$207)+SUMIF('Q3 Data'!$D$4:$D$207,D16,'Q3 Data'!$AE$4:$AE$207)+SUMIF('Q4 Data'!$D$4:$D$207,D16,'Q4 Data'!$AD$4:$AD$207)+SUMIF('Q4 Data'!$D$4:$D$207,D16,'Q4 Data'!$AG$4:$AG$207)+SUMIF('Q4 Data'!$D$4:$D$207,D16,'Q4 Data'!$AE$4:$AE$207))</f>
      </c>
      <c r="AO16" s="27">
        <f>IF($B16&lt;&gt;"Challan","",P16-N16)</f>
      </c>
      <c r="AP16" s="27">
        <f>IF($B16&lt;&gt;"Challan","",MAX(0,AO16-AN16))</f>
      </c>
      <c r="AQ16" s="33">
        <f>IF($B16&lt;&gt;"Entry","",SUMPRODUCT(('Q1 Data'!$D$4:$D$207=D16)*('Q1 Data'!$B$4:$B$207="Challan")*'Q1 Data'!$F$4:$F$207)+SUMPRODUCT(('Q2 Data'!$D$4:$D$207=D16)*('Q2 Data'!$B$4:$B$207="Challan")*'Q2 Data'!$F$4:$F$207)+SUMPRODUCT(('Q3 Data'!$D$4:$D$207=D16)*('Q3 Data'!$B$4:$B$207="Challan")*'Q3 Data'!$F$4:$F$207)+SUMPRODUCT(('Q4 Data'!$D$4:$D$207=D16)*('Q4 Data'!$B$4:$B$207="Challan")*'Q4 Data'!$F$4:$F$207))</f>
      </c>
      <c r="AR16" s="34">
        <f>IF(OR($B16&lt;&gt;"Entry",Z16=""),FALSE,AND((SUMPRODUCT(('Q1 Data'!$D$4:$D$207=D16)*('Q1 Data'!$B$4:$B$207="Challan")*('Q1 Data'!$H$4:$H$207&lt;&gt;""))+SUMPRODUCT(('Q2 Data'!$D$4:$D$207=D16)*('Q2 Data'!$B$4:$B$207="Challan")*('Q2 Data'!$H$4:$H$207&lt;&gt;""))+SUMPRODUCT(('Q3 Data'!$D$4:$D$207=D16)*('Q3 Data'!$B$4:$B$207="Challan")*('Q3 Data'!$H$4:$H$207&lt;&gt;""))+SUMPRODUCT(('Q4 Data'!$D$4:$D$207=D16)*('Q4 Data'!$B$4:$B$207="Challan")*('Q4 Data'!$H$4:$H$207&lt;&gt;"")))&gt;0,(SUMPRODUCT(('Q1 Data'!$D$4:$D$207=D16)*('Q1 Data'!$B$4:$B$207="Challan")*('Q1 Data'!$H$4:$H$207=Z16))+SUMPRODUCT(('Q2 Data'!$D$4:$D$207=D16)*('Q2 Data'!$B$4:$B$207="Challan")*('Q2 Data'!$H$4:$H$207=Z16))+SUMPRODUCT(('Q3 Data'!$D$4:$D$207=D16)*('Q3 Data'!$B$4:$B$207="Challan")*('Q3 Data'!$H$4:$H$207=Z16))+SUMPRODUCT(('Q4 Data'!$D$4:$D$207=D16)*('Q4 Data'!$B$4:$B$207="Challan")*('Q4 Data'!$H$4:$H$207=Z16)))=0))</f>
      </c>
    </row>
    <row r="17" spans="1:44" x14ac:dyDescent="0.25">
      <c r="A17" s="20">
        <f>IF($B17="Entry",COUNTIF($B$4:$B17,"Entry"),"")</f>
      </c>
      <c r="B17" s="21"/>
      <c r="C17" s="22"/>
      <c r="D17" s="22"/>
      <c r="E17" s="23">
        <f>IF($B17&lt;&gt;"Challan","",IF(ROUND(AN17-AO17,2)&gt;0,"Over-applied",IF(ROUND(AN17-AO17,2)=0,"Fully Utilised","Unconsumed")))</f>
      </c>
      <c r="F17" s="24"/>
      <c r="G17" s="25"/>
      <c r="H17" s="25"/>
      <c r="I17" s="26"/>
      <c r="J17" s="26"/>
      <c r="K17" s="26"/>
      <c r="L17" s="26"/>
      <c r="M17" s="26"/>
      <c r="N17" s="26"/>
      <c r="O17" s="26"/>
      <c r="P17" s="27">
        <f>IF($B17&lt;&gt;"Challan","",I17+J17+K17+L17+M17+N17)</f>
      </c>
      <c r="Q17" s="25"/>
      <c r="R17" s="25"/>
      <c r="S17" s="25"/>
      <c r="T17" s="25"/>
      <c r="U17" s="25"/>
      <c r="V17" s="28"/>
      <c r="W17" s="28"/>
      <c r="X17" s="23">
        <f>IF($B17="Entry",IF(AND(LEN(TRIM(UPPER(W17)))=10,CODE(MID(TRIM(UPPER(W17)),1,1))&gt;=65,CODE(MID(TRIM(UPPER(W17)),1,1))&lt;=90,CODE(MID(TRIM(UPPER(W17)),2,1))&gt;=65,CODE(MID(TRIM(UPPER(W17)),2,1))&lt;=90,CODE(MID(TRIM(UPPER(W17)),3,1))&gt;=65,CODE(MID(TRIM(UPPER(W17)),3,1))&lt;=90,CODE(MID(TRIM(UPPER(W17)),4,1))&gt;=65,CODE(MID(TRIM(UPPER(W17)),4,1))&lt;=90,CODE(MID(TRIM(UPPER(W17)),5,1))&gt;=65,CODE(MID(TRIM(UPPER(W17)),5,1))&lt;=90,CODE(MID(TRIM(UPPER(W17)),10,1))&gt;=65,CODE(MID(TRIM(UPPER(W17)),10,1))&lt;=90,CODE(MID(TRIM(UPPER(W17)),6,1))&gt;=48,CODE(MID(TRIM(UPPER(W17)),6,1))&lt;=57,CODE(MID(TRIM(UPPER(W17)),7,1))&gt;=48,CODE(MID(TRIM(UPPER(W17)),7,1))&lt;=57,CODE(MID(TRIM(UPPER(W17)),8,1))&gt;=48,CODE(MID(TRIM(UPPER(W17)),8,1))&lt;=57,CODE(MID(TRIM(UPPER(W17)),9,1))&gt;=48,CODE(MID(TRIM(UPPER(W17)),9,1))&lt;=57),"N","Y"),IF($B17="Challan","",IF(W17&lt;&gt;"","◄ Set Row Type","")))</f>
      </c>
      <c r="Y17" s="23">
        <f>IF($B17="Entry",IF(LEN(W17)&lt;4,"",IF(UPPER(MID(W17,4,1))="P","Individual",IF(UPPER(MID(W17,4,1))="H","HUF",IF(UPPER(MID(W17,4,1))="C","Company",IF(UPPER(MID(W17,4,1))="F","Firm",IF(UPPER(MID(W17,4,1))="L","LLP",IF(UPPER(MID(W17,4,1))="T","Trust",IF(UPPER(MID(W17,4,1))="A","AOP","")))))))),IF($B17="Challan","",IF(W17&lt;&gt;"","◄ Set Row Type","")))</f>
      </c>
      <c r="Z17" s="28"/>
      <c r="AA17" s="29">
        <f>IF($B17&lt;&gt;"Entry","",IF(Z17="","",IF(X17="Y",SUMPRODUCT(('Rate Lookup'!$A$1:$A$37=Z17)*'Rate Lookup'!$D$1:$D$37),IF(OR(Y17="Individual",Y17="HUF"),SUMPRODUCT(('Rate Lookup'!$A$1:$A$37=Z17)*'Rate Lookup'!$B$1:$B$37),SUMPRODUCT(('Rate Lookup'!$A$1:$A$37=Z17)*'Rate Lookup'!$C$1:$C$37)))))</f>
      </c>
      <c r="AB17" s="30"/>
      <c r="AC17" s="31"/>
      <c r="AD17" s="27">
        <f>IF($B17&lt;&gt;"Entry","",ROUND(AC17*AA17/100,0))</f>
      </c>
      <c r="AE17" s="27">
        <f>IF($B17&lt;&gt;"Entry","",0)</f>
      </c>
      <c r="AF17" s="27">
        <f>IF($B17&lt;&gt;"Entry","",0)</f>
      </c>
      <c r="AG17" s="27">
        <f>IF($B17&lt;&gt;"Entry","",IF(OR(AD17=0,AB17="",AQ17="",AQ17&lt;=0),0,IF(AQ17&lt;=DATE(YEAR(AB17),MONTH(AB17)+1,7),0,ROUND(AD17*0.015*((YEAR(AQ17)-YEAR(AB17))*12+(MONTH(AQ17)-MONTH(AB17))+1),0))))</f>
      </c>
      <c r="AH17" s="27">
        <f>IF($B17&lt;&gt;"Entry","",0)</f>
      </c>
      <c r="AI17" s="28"/>
      <c r="AJ17" s="28"/>
      <c r="AK17" s="32"/>
      <c r="AL17" s="28"/>
      <c r="AM17" s="28"/>
      <c r="AN17" s="27">
        <f>IF($B17&lt;&gt;"Challan","",SUMIF('Q1 Data'!$D$4:$D$207,D17,'Q1 Data'!$AD$4:$AD$207)+SUMIF('Q1 Data'!$D$4:$D$207,D17,'Q1 Data'!$AG$4:$AG$207)+SUMIF('Q1 Data'!$D$4:$D$207,D17,'Q1 Data'!$AE$4:$AE$207)+SUMIF('Q2 Data'!$D$4:$D$207,D17,'Q2 Data'!$AD$4:$AD$207)+SUMIF('Q2 Data'!$D$4:$D$207,D17,'Q2 Data'!$AG$4:$AG$207)+SUMIF('Q2 Data'!$D$4:$D$207,D17,'Q2 Data'!$AE$4:$AE$207)+SUMIF('Q3 Data'!$D$4:$D$207,D17,'Q3 Data'!$AD$4:$AD$207)+SUMIF('Q3 Data'!$D$4:$D$207,D17,'Q3 Data'!$AG$4:$AG$207)+SUMIF('Q3 Data'!$D$4:$D$207,D17,'Q3 Data'!$AE$4:$AE$207)+SUMIF('Q4 Data'!$D$4:$D$207,D17,'Q4 Data'!$AD$4:$AD$207)+SUMIF('Q4 Data'!$D$4:$D$207,D17,'Q4 Data'!$AG$4:$AG$207)+SUMIF('Q4 Data'!$D$4:$D$207,D17,'Q4 Data'!$AE$4:$AE$207))</f>
      </c>
      <c r="AO17" s="27">
        <f>IF($B17&lt;&gt;"Challan","",P17-N17)</f>
      </c>
      <c r="AP17" s="27">
        <f>IF($B17&lt;&gt;"Challan","",MAX(0,AO17-AN17))</f>
      </c>
      <c r="AQ17" s="33">
        <f>IF($B17&lt;&gt;"Entry","",SUMPRODUCT(('Q1 Data'!$D$4:$D$207=D17)*('Q1 Data'!$B$4:$B$207="Challan")*'Q1 Data'!$F$4:$F$207)+SUMPRODUCT(('Q2 Data'!$D$4:$D$207=D17)*('Q2 Data'!$B$4:$B$207="Challan")*'Q2 Data'!$F$4:$F$207)+SUMPRODUCT(('Q3 Data'!$D$4:$D$207=D17)*('Q3 Data'!$B$4:$B$207="Challan")*'Q3 Data'!$F$4:$F$207)+SUMPRODUCT(('Q4 Data'!$D$4:$D$207=D17)*('Q4 Data'!$B$4:$B$207="Challan")*'Q4 Data'!$F$4:$F$207))</f>
      </c>
      <c r="AR17" s="34">
        <f>IF(OR($B17&lt;&gt;"Entry",Z17=""),FALSE,AND((SUMPRODUCT(('Q1 Data'!$D$4:$D$207=D17)*('Q1 Data'!$B$4:$B$207="Challan")*('Q1 Data'!$H$4:$H$207&lt;&gt;""))+SUMPRODUCT(('Q2 Data'!$D$4:$D$207=D17)*('Q2 Data'!$B$4:$B$207="Challan")*('Q2 Data'!$H$4:$H$207&lt;&gt;""))+SUMPRODUCT(('Q3 Data'!$D$4:$D$207=D17)*('Q3 Data'!$B$4:$B$207="Challan")*('Q3 Data'!$H$4:$H$207&lt;&gt;""))+SUMPRODUCT(('Q4 Data'!$D$4:$D$207=D17)*('Q4 Data'!$B$4:$B$207="Challan")*('Q4 Data'!$H$4:$H$207&lt;&gt;"")))&gt;0,(SUMPRODUCT(('Q1 Data'!$D$4:$D$207=D17)*('Q1 Data'!$B$4:$B$207="Challan")*('Q1 Data'!$H$4:$H$207=Z17))+SUMPRODUCT(('Q2 Data'!$D$4:$D$207=D17)*('Q2 Data'!$B$4:$B$207="Challan")*('Q2 Data'!$H$4:$H$207=Z17))+SUMPRODUCT(('Q3 Data'!$D$4:$D$207=D17)*('Q3 Data'!$B$4:$B$207="Challan")*('Q3 Data'!$H$4:$H$207=Z17))+SUMPRODUCT(('Q4 Data'!$D$4:$D$207=D17)*('Q4 Data'!$B$4:$B$207="Challan")*('Q4 Data'!$H$4:$H$207=Z17)))=0))</f>
      </c>
    </row>
    <row r="18" spans="1:44" x14ac:dyDescent="0.25">
      <c r="A18" s="20">
        <f>IF($B18="Entry",COUNTIF($B$4:$B18,"Entry"),"")</f>
      </c>
      <c r="B18" s="21"/>
      <c r="C18" s="22"/>
      <c r="D18" s="22"/>
      <c r="E18" s="23">
        <f>IF($B18&lt;&gt;"Challan","",IF(ROUND(AN18-AO18,2)&gt;0,"Over-applied",IF(ROUND(AN18-AO18,2)=0,"Fully Utilised","Unconsumed")))</f>
      </c>
      <c r="F18" s="24"/>
      <c r="G18" s="25"/>
      <c r="H18" s="25"/>
      <c r="I18" s="26"/>
      <c r="J18" s="26"/>
      <c r="K18" s="26"/>
      <c r="L18" s="26"/>
      <c r="M18" s="26"/>
      <c r="N18" s="26"/>
      <c r="O18" s="26"/>
      <c r="P18" s="27">
        <f>IF($B18&lt;&gt;"Challan","",I18+J18+K18+L18+M18+N18)</f>
      </c>
      <c r="Q18" s="25"/>
      <c r="R18" s="25"/>
      <c r="S18" s="25"/>
      <c r="T18" s="25"/>
      <c r="U18" s="25"/>
      <c r="V18" s="28"/>
      <c r="W18" s="28"/>
      <c r="X18" s="23">
        <f>IF($B18="Entry",IF(AND(LEN(TRIM(UPPER(W18)))=10,CODE(MID(TRIM(UPPER(W18)),1,1))&gt;=65,CODE(MID(TRIM(UPPER(W18)),1,1))&lt;=90,CODE(MID(TRIM(UPPER(W18)),2,1))&gt;=65,CODE(MID(TRIM(UPPER(W18)),2,1))&lt;=90,CODE(MID(TRIM(UPPER(W18)),3,1))&gt;=65,CODE(MID(TRIM(UPPER(W18)),3,1))&lt;=90,CODE(MID(TRIM(UPPER(W18)),4,1))&gt;=65,CODE(MID(TRIM(UPPER(W18)),4,1))&lt;=90,CODE(MID(TRIM(UPPER(W18)),5,1))&gt;=65,CODE(MID(TRIM(UPPER(W18)),5,1))&lt;=90,CODE(MID(TRIM(UPPER(W18)),10,1))&gt;=65,CODE(MID(TRIM(UPPER(W18)),10,1))&lt;=90,CODE(MID(TRIM(UPPER(W18)),6,1))&gt;=48,CODE(MID(TRIM(UPPER(W18)),6,1))&lt;=57,CODE(MID(TRIM(UPPER(W18)),7,1))&gt;=48,CODE(MID(TRIM(UPPER(W18)),7,1))&lt;=57,CODE(MID(TRIM(UPPER(W18)),8,1))&gt;=48,CODE(MID(TRIM(UPPER(W18)),8,1))&lt;=57,CODE(MID(TRIM(UPPER(W18)),9,1))&gt;=48,CODE(MID(TRIM(UPPER(W18)),9,1))&lt;=57),"N","Y"),IF($B18="Challan","",IF(W18&lt;&gt;"","◄ Set Row Type","")))</f>
      </c>
      <c r="Y18" s="23">
        <f>IF($B18="Entry",IF(LEN(W18)&lt;4,"",IF(UPPER(MID(W18,4,1))="P","Individual",IF(UPPER(MID(W18,4,1))="H","HUF",IF(UPPER(MID(W18,4,1))="C","Company",IF(UPPER(MID(W18,4,1))="F","Firm",IF(UPPER(MID(W18,4,1))="L","LLP",IF(UPPER(MID(W18,4,1))="T","Trust",IF(UPPER(MID(W18,4,1))="A","AOP","")))))))),IF($B18="Challan","",IF(W18&lt;&gt;"","◄ Set Row Type","")))</f>
      </c>
      <c r="Z18" s="28"/>
      <c r="AA18" s="29">
        <f>IF($B18&lt;&gt;"Entry","",IF(Z18="","",IF(X18="Y",SUMPRODUCT(('Rate Lookup'!$A$1:$A$37=Z18)*'Rate Lookup'!$D$1:$D$37),IF(OR(Y18="Individual",Y18="HUF"),SUMPRODUCT(('Rate Lookup'!$A$1:$A$37=Z18)*'Rate Lookup'!$B$1:$B$37),SUMPRODUCT(('Rate Lookup'!$A$1:$A$37=Z18)*'Rate Lookup'!$C$1:$C$37)))))</f>
      </c>
      <c r="AB18" s="30"/>
      <c r="AC18" s="31"/>
      <c r="AD18" s="27">
        <f>IF($B18&lt;&gt;"Entry","",ROUND(AC18*AA18/100,0))</f>
      </c>
      <c r="AE18" s="27">
        <f>IF($B18&lt;&gt;"Entry","",0)</f>
      </c>
      <c r="AF18" s="27">
        <f>IF($B18&lt;&gt;"Entry","",0)</f>
      </c>
      <c r="AG18" s="27">
        <f>IF($B18&lt;&gt;"Entry","",IF(OR(AD18=0,AB18="",AQ18="",AQ18&lt;=0),0,IF(AQ18&lt;=DATE(YEAR(AB18),MONTH(AB18)+1,7),0,ROUND(AD18*0.015*((YEAR(AQ18)-YEAR(AB18))*12+(MONTH(AQ18)-MONTH(AB18))+1),0))))</f>
      </c>
      <c r="AH18" s="27">
        <f>IF($B18&lt;&gt;"Entry","",0)</f>
      </c>
      <c r="AI18" s="28"/>
      <c r="AJ18" s="28"/>
      <c r="AK18" s="32"/>
      <c r="AL18" s="28"/>
      <c r="AM18" s="28"/>
      <c r="AN18" s="27">
        <f>IF($B18&lt;&gt;"Challan","",SUMIF('Q1 Data'!$D$4:$D$207,D18,'Q1 Data'!$AD$4:$AD$207)+SUMIF('Q1 Data'!$D$4:$D$207,D18,'Q1 Data'!$AG$4:$AG$207)+SUMIF('Q1 Data'!$D$4:$D$207,D18,'Q1 Data'!$AE$4:$AE$207)+SUMIF('Q2 Data'!$D$4:$D$207,D18,'Q2 Data'!$AD$4:$AD$207)+SUMIF('Q2 Data'!$D$4:$D$207,D18,'Q2 Data'!$AG$4:$AG$207)+SUMIF('Q2 Data'!$D$4:$D$207,D18,'Q2 Data'!$AE$4:$AE$207)+SUMIF('Q3 Data'!$D$4:$D$207,D18,'Q3 Data'!$AD$4:$AD$207)+SUMIF('Q3 Data'!$D$4:$D$207,D18,'Q3 Data'!$AG$4:$AG$207)+SUMIF('Q3 Data'!$D$4:$D$207,D18,'Q3 Data'!$AE$4:$AE$207)+SUMIF('Q4 Data'!$D$4:$D$207,D18,'Q4 Data'!$AD$4:$AD$207)+SUMIF('Q4 Data'!$D$4:$D$207,D18,'Q4 Data'!$AG$4:$AG$207)+SUMIF('Q4 Data'!$D$4:$D$207,D18,'Q4 Data'!$AE$4:$AE$207))</f>
      </c>
      <c r="AO18" s="27">
        <f>IF($B18&lt;&gt;"Challan","",P18-N18)</f>
      </c>
      <c r="AP18" s="27">
        <f>IF($B18&lt;&gt;"Challan","",MAX(0,AO18-AN18))</f>
      </c>
      <c r="AQ18" s="33">
        <f>IF($B18&lt;&gt;"Entry","",SUMPRODUCT(('Q1 Data'!$D$4:$D$207=D18)*('Q1 Data'!$B$4:$B$207="Challan")*'Q1 Data'!$F$4:$F$207)+SUMPRODUCT(('Q2 Data'!$D$4:$D$207=D18)*('Q2 Data'!$B$4:$B$207="Challan")*'Q2 Data'!$F$4:$F$207)+SUMPRODUCT(('Q3 Data'!$D$4:$D$207=D18)*('Q3 Data'!$B$4:$B$207="Challan")*'Q3 Data'!$F$4:$F$207)+SUMPRODUCT(('Q4 Data'!$D$4:$D$207=D18)*('Q4 Data'!$B$4:$B$207="Challan")*'Q4 Data'!$F$4:$F$207))</f>
      </c>
      <c r="AR18" s="34">
        <f>IF(OR($B18&lt;&gt;"Entry",Z18=""),FALSE,AND((SUMPRODUCT(('Q1 Data'!$D$4:$D$207=D18)*('Q1 Data'!$B$4:$B$207="Challan")*('Q1 Data'!$H$4:$H$207&lt;&gt;""))+SUMPRODUCT(('Q2 Data'!$D$4:$D$207=D18)*('Q2 Data'!$B$4:$B$207="Challan")*('Q2 Data'!$H$4:$H$207&lt;&gt;""))+SUMPRODUCT(('Q3 Data'!$D$4:$D$207=D18)*('Q3 Data'!$B$4:$B$207="Challan")*('Q3 Data'!$H$4:$H$207&lt;&gt;""))+SUMPRODUCT(('Q4 Data'!$D$4:$D$207=D18)*('Q4 Data'!$B$4:$B$207="Challan")*('Q4 Data'!$H$4:$H$207&lt;&gt;"")))&gt;0,(SUMPRODUCT(('Q1 Data'!$D$4:$D$207=D18)*('Q1 Data'!$B$4:$B$207="Challan")*('Q1 Data'!$H$4:$H$207=Z18))+SUMPRODUCT(('Q2 Data'!$D$4:$D$207=D18)*('Q2 Data'!$B$4:$B$207="Challan")*('Q2 Data'!$H$4:$H$207=Z18))+SUMPRODUCT(('Q3 Data'!$D$4:$D$207=D18)*('Q3 Data'!$B$4:$B$207="Challan")*('Q3 Data'!$H$4:$H$207=Z18))+SUMPRODUCT(('Q4 Data'!$D$4:$D$207=D18)*('Q4 Data'!$B$4:$B$207="Challan")*('Q4 Data'!$H$4:$H$207=Z18)))=0))</f>
      </c>
    </row>
    <row r="19" spans="1:44" x14ac:dyDescent="0.25">
      <c r="A19" s="20">
        <f>IF($B19="Entry",COUNTIF($B$4:$B19,"Entry"),"")</f>
      </c>
      <c r="B19" s="21"/>
      <c r="C19" s="22"/>
      <c r="D19" s="22"/>
      <c r="E19" s="23">
        <f>IF($B19&lt;&gt;"Challan","",IF(ROUND(AN19-AO19,2)&gt;0,"Over-applied",IF(ROUND(AN19-AO19,2)=0,"Fully Utilised","Unconsumed")))</f>
      </c>
      <c r="F19" s="24"/>
      <c r="G19" s="25"/>
      <c r="H19" s="25"/>
      <c r="I19" s="26"/>
      <c r="J19" s="26"/>
      <c r="K19" s="26"/>
      <c r="L19" s="26"/>
      <c r="M19" s="26"/>
      <c r="N19" s="26"/>
      <c r="O19" s="26"/>
      <c r="P19" s="27">
        <f>IF($B19&lt;&gt;"Challan","",I19+J19+K19+L19+M19+N19)</f>
      </c>
      <c r="Q19" s="25"/>
      <c r="R19" s="25"/>
      <c r="S19" s="25"/>
      <c r="T19" s="25"/>
      <c r="U19" s="25"/>
      <c r="V19" s="28"/>
      <c r="W19" s="28"/>
      <c r="X19" s="23">
        <f>IF($B19="Entry",IF(AND(LEN(TRIM(UPPER(W19)))=10,CODE(MID(TRIM(UPPER(W19)),1,1))&gt;=65,CODE(MID(TRIM(UPPER(W19)),1,1))&lt;=90,CODE(MID(TRIM(UPPER(W19)),2,1))&gt;=65,CODE(MID(TRIM(UPPER(W19)),2,1))&lt;=90,CODE(MID(TRIM(UPPER(W19)),3,1))&gt;=65,CODE(MID(TRIM(UPPER(W19)),3,1))&lt;=90,CODE(MID(TRIM(UPPER(W19)),4,1))&gt;=65,CODE(MID(TRIM(UPPER(W19)),4,1))&lt;=90,CODE(MID(TRIM(UPPER(W19)),5,1))&gt;=65,CODE(MID(TRIM(UPPER(W19)),5,1))&lt;=90,CODE(MID(TRIM(UPPER(W19)),10,1))&gt;=65,CODE(MID(TRIM(UPPER(W19)),10,1))&lt;=90,CODE(MID(TRIM(UPPER(W19)),6,1))&gt;=48,CODE(MID(TRIM(UPPER(W19)),6,1))&lt;=57,CODE(MID(TRIM(UPPER(W19)),7,1))&gt;=48,CODE(MID(TRIM(UPPER(W19)),7,1))&lt;=57,CODE(MID(TRIM(UPPER(W19)),8,1))&gt;=48,CODE(MID(TRIM(UPPER(W19)),8,1))&lt;=57,CODE(MID(TRIM(UPPER(W19)),9,1))&gt;=48,CODE(MID(TRIM(UPPER(W19)),9,1))&lt;=57),"N","Y"),IF($B19="Challan","",IF(W19&lt;&gt;"","◄ Set Row Type","")))</f>
      </c>
      <c r="Y19" s="23">
        <f>IF($B19="Entry",IF(LEN(W19)&lt;4,"",IF(UPPER(MID(W19,4,1))="P","Individual",IF(UPPER(MID(W19,4,1))="H","HUF",IF(UPPER(MID(W19,4,1))="C","Company",IF(UPPER(MID(W19,4,1))="F","Firm",IF(UPPER(MID(W19,4,1))="L","LLP",IF(UPPER(MID(W19,4,1))="T","Trust",IF(UPPER(MID(W19,4,1))="A","AOP","")))))))),IF($B19="Challan","",IF(W19&lt;&gt;"","◄ Set Row Type","")))</f>
      </c>
      <c r="Z19" s="28"/>
      <c r="AA19" s="29">
        <f>IF($B19&lt;&gt;"Entry","",IF(Z19="","",IF(X19="Y",SUMPRODUCT(('Rate Lookup'!$A$1:$A$37=Z19)*'Rate Lookup'!$D$1:$D$37),IF(OR(Y19="Individual",Y19="HUF"),SUMPRODUCT(('Rate Lookup'!$A$1:$A$37=Z19)*'Rate Lookup'!$B$1:$B$37),SUMPRODUCT(('Rate Lookup'!$A$1:$A$37=Z19)*'Rate Lookup'!$C$1:$C$37)))))</f>
      </c>
      <c r="AB19" s="30"/>
      <c r="AC19" s="31"/>
      <c r="AD19" s="27">
        <f>IF($B19&lt;&gt;"Entry","",ROUND(AC19*AA19/100,0))</f>
      </c>
      <c r="AE19" s="27">
        <f>IF($B19&lt;&gt;"Entry","",0)</f>
      </c>
      <c r="AF19" s="27">
        <f>IF($B19&lt;&gt;"Entry","",0)</f>
      </c>
      <c r="AG19" s="27">
        <f>IF($B19&lt;&gt;"Entry","",IF(OR(AD19=0,AB19="",AQ19="",AQ19&lt;=0),0,IF(AQ19&lt;=DATE(YEAR(AB19),MONTH(AB19)+1,7),0,ROUND(AD19*0.015*((YEAR(AQ19)-YEAR(AB19))*12+(MONTH(AQ19)-MONTH(AB19))+1),0))))</f>
      </c>
      <c r="AH19" s="27">
        <f>IF($B19&lt;&gt;"Entry","",0)</f>
      </c>
      <c r="AI19" s="28"/>
      <c r="AJ19" s="28"/>
      <c r="AK19" s="32"/>
      <c r="AL19" s="28"/>
      <c r="AM19" s="28"/>
      <c r="AN19" s="27">
        <f>IF($B19&lt;&gt;"Challan","",SUMIF('Q1 Data'!$D$4:$D$207,D19,'Q1 Data'!$AD$4:$AD$207)+SUMIF('Q1 Data'!$D$4:$D$207,D19,'Q1 Data'!$AG$4:$AG$207)+SUMIF('Q1 Data'!$D$4:$D$207,D19,'Q1 Data'!$AE$4:$AE$207)+SUMIF('Q2 Data'!$D$4:$D$207,D19,'Q2 Data'!$AD$4:$AD$207)+SUMIF('Q2 Data'!$D$4:$D$207,D19,'Q2 Data'!$AG$4:$AG$207)+SUMIF('Q2 Data'!$D$4:$D$207,D19,'Q2 Data'!$AE$4:$AE$207)+SUMIF('Q3 Data'!$D$4:$D$207,D19,'Q3 Data'!$AD$4:$AD$207)+SUMIF('Q3 Data'!$D$4:$D$207,D19,'Q3 Data'!$AG$4:$AG$207)+SUMIF('Q3 Data'!$D$4:$D$207,D19,'Q3 Data'!$AE$4:$AE$207)+SUMIF('Q4 Data'!$D$4:$D$207,D19,'Q4 Data'!$AD$4:$AD$207)+SUMIF('Q4 Data'!$D$4:$D$207,D19,'Q4 Data'!$AG$4:$AG$207)+SUMIF('Q4 Data'!$D$4:$D$207,D19,'Q4 Data'!$AE$4:$AE$207))</f>
      </c>
      <c r="AO19" s="27">
        <f>IF($B19&lt;&gt;"Challan","",P19-N19)</f>
      </c>
      <c r="AP19" s="27">
        <f>IF($B19&lt;&gt;"Challan","",MAX(0,AO19-AN19))</f>
      </c>
      <c r="AQ19" s="33">
        <f>IF($B19&lt;&gt;"Entry","",SUMPRODUCT(('Q1 Data'!$D$4:$D$207=D19)*('Q1 Data'!$B$4:$B$207="Challan")*'Q1 Data'!$F$4:$F$207)+SUMPRODUCT(('Q2 Data'!$D$4:$D$207=D19)*('Q2 Data'!$B$4:$B$207="Challan")*'Q2 Data'!$F$4:$F$207)+SUMPRODUCT(('Q3 Data'!$D$4:$D$207=D19)*('Q3 Data'!$B$4:$B$207="Challan")*'Q3 Data'!$F$4:$F$207)+SUMPRODUCT(('Q4 Data'!$D$4:$D$207=D19)*('Q4 Data'!$B$4:$B$207="Challan")*'Q4 Data'!$F$4:$F$207))</f>
      </c>
      <c r="AR19" s="34">
        <f>IF(OR($B19&lt;&gt;"Entry",Z19=""),FALSE,AND((SUMPRODUCT(('Q1 Data'!$D$4:$D$207=D19)*('Q1 Data'!$B$4:$B$207="Challan")*('Q1 Data'!$H$4:$H$207&lt;&gt;""))+SUMPRODUCT(('Q2 Data'!$D$4:$D$207=D19)*('Q2 Data'!$B$4:$B$207="Challan")*('Q2 Data'!$H$4:$H$207&lt;&gt;""))+SUMPRODUCT(('Q3 Data'!$D$4:$D$207=D19)*('Q3 Data'!$B$4:$B$207="Challan")*('Q3 Data'!$H$4:$H$207&lt;&gt;""))+SUMPRODUCT(('Q4 Data'!$D$4:$D$207=D19)*('Q4 Data'!$B$4:$B$207="Challan")*('Q4 Data'!$H$4:$H$207&lt;&gt;"")))&gt;0,(SUMPRODUCT(('Q1 Data'!$D$4:$D$207=D19)*('Q1 Data'!$B$4:$B$207="Challan")*('Q1 Data'!$H$4:$H$207=Z19))+SUMPRODUCT(('Q2 Data'!$D$4:$D$207=D19)*('Q2 Data'!$B$4:$B$207="Challan")*('Q2 Data'!$H$4:$H$207=Z19))+SUMPRODUCT(('Q3 Data'!$D$4:$D$207=D19)*('Q3 Data'!$B$4:$B$207="Challan")*('Q3 Data'!$H$4:$H$207=Z19))+SUMPRODUCT(('Q4 Data'!$D$4:$D$207=D19)*('Q4 Data'!$B$4:$B$207="Challan")*('Q4 Data'!$H$4:$H$207=Z19)))=0))</f>
      </c>
    </row>
    <row r="20" spans="1:44" x14ac:dyDescent="0.25">
      <c r="A20" s="20">
        <f>IF($B20="Entry",COUNTIF($B$4:$B20,"Entry"),"")</f>
      </c>
      <c r="B20" s="21"/>
      <c r="C20" s="22"/>
      <c r="D20" s="22"/>
      <c r="E20" s="23">
        <f>IF($B20&lt;&gt;"Challan","",IF(ROUND(AN20-AO20,2)&gt;0,"Over-applied",IF(ROUND(AN20-AO20,2)=0,"Fully Utilised","Unconsumed")))</f>
      </c>
      <c r="F20" s="24"/>
      <c r="G20" s="25"/>
      <c r="H20" s="25"/>
      <c r="I20" s="26"/>
      <c r="J20" s="26"/>
      <c r="K20" s="26"/>
      <c r="L20" s="26"/>
      <c r="M20" s="26"/>
      <c r="N20" s="26"/>
      <c r="O20" s="26"/>
      <c r="P20" s="27">
        <f>IF($B20&lt;&gt;"Challan","",I20+J20+K20+L20+M20+N20)</f>
      </c>
      <c r="Q20" s="25"/>
      <c r="R20" s="25"/>
      <c r="S20" s="25"/>
      <c r="T20" s="25"/>
      <c r="U20" s="25"/>
      <c r="V20" s="28"/>
      <c r="W20" s="28"/>
      <c r="X20" s="23">
        <f>IF($B20="Entry",IF(AND(LEN(TRIM(UPPER(W20)))=10,CODE(MID(TRIM(UPPER(W20)),1,1))&gt;=65,CODE(MID(TRIM(UPPER(W20)),1,1))&lt;=90,CODE(MID(TRIM(UPPER(W20)),2,1))&gt;=65,CODE(MID(TRIM(UPPER(W20)),2,1))&lt;=90,CODE(MID(TRIM(UPPER(W20)),3,1))&gt;=65,CODE(MID(TRIM(UPPER(W20)),3,1))&lt;=90,CODE(MID(TRIM(UPPER(W20)),4,1))&gt;=65,CODE(MID(TRIM(UPPER(W20)),4,1))&lt;=90,CODE(MID(TRIM(UPPER(W20)),5,1))&gt;=65,CODE(MID(TRIM(UPPER(W20)),5,1))&lt;=90,CODE(MID(TRIM(UPPER(W20)),10,1))&gt;=65,CODE(MID(TRIM(UPPER(W20)),10,1))&lt;=90,CODE(MID(TRIM(UPPER(W20)),6,1))&gt;=48,CODE(MID(TRIM(UPPER(W20)),6,1))&lt;=57,CODE(MID(TRIM(UPPER(W20)),7,1))&gt;=48,CODE(MID(TRIM(UPPER(W20)),7,1))&lt;=57,CODE(MID(TRIM(UPPER(W20)),8,1))&gt;=48,CODE(MID(TRIM(UPPER(W20)),8,1))&lt;=57,CODE(MID(TRIM(UPPER(W20)),9,1))&gt;=48,CODE(MID(TRIM(UPPER(W20)),9,1))&lt;=57),"N","Y"),IF($B20="Challan","",IF(W20&lt;&gt;"","◄ Set Row Type","")))</f>
      </c>
      <c r="Y20" s="23">
        <f>IF($B20="Entry",IF(LEN(W20)&lt;4,"",IF(UPPER(MID(W20,4,1))="P","Individual",IF(UPPER(MID(W20,4,1))="H","HUF",IF(UPPER(MID(W20,4,1))="C","Company",IF(UPPER(MID(W20,4,1))="F","Firm",IF(UPPER(MID(W20,4,1))="L","LLP",IF(UPPER(MID(W20,4,1))="T","Trust",IF(UPPER(MID(W20,4,1))="A","AOP","")))))))),IF($B20="Challan","",IF(W20&lt;&gt;"","◄ Set Row Type","")))</f>
      </c>
      <c r="Z20" s="28"/>
      <c r="AA20" s="29">
        <f>IF($B20&lt;&gt;"Entry","",IF(Z20="","",IF(X20="Y",SUMPRODUCT(('Rate Lookup'!$A$1:$A$37=Z20)*'Rate Lookup'!$D$1:$D$37),IF(OR(Y20="Individual",Y20="HUF"),SUMPRODUCT(('Rate Lookup'!$A$1:$A$37=Z20)*'Rate Lookup'!$B$1:$B$37),SUMPRODUCT(('Rate Lookup'!$A$1:$A$37=Z20)*'Rate Lookup'!$C$1:$C$37)))))</f>
      </c>
      <c r="AB20" s="30"/>
      <c r="AC20" s="31"/>
      <c r="AD20" s="27">
        <f>IF($B20&lt;&gt;"Entry","",ROUND(AC20*AA20/100,0))</f>
      </c>
      <c r="AE20" s="27">
        <f>IF($B20&lt;&gt;"Entry","",0)</f>
      </c>
      <c r="AF20" s="27">
        <f>IF($B20&lt;&gt;"Entry","",0)</f>
      </c>
      <c r="AG20" s="27">
        <f>IF($B20&lt;&gt;"Entry","",IF(OR(AD20=0,AB20="",AQ20="",AQ20&lt;=0),0,IF(AQ20&lt;=DATE(YEAR(AB20),MONTH(AB20)+1,7),0,ROUND(AD20*0.015*((YEAR(AQ20)-YEAR(AB20))*12+(MONTH(AQ20)-MONTH(AB20))+1),0))))</f>
      </c>
      <c r="AH20" s="27">
        <f>IF($B20&lt;&gt;"Entry","",0)</f>
      </c>
      <c r="AI20" s="28"/>
      <c r="AJ20" s="28"/>
      <c r="AK20" s="32"/>
      <c r="AL20" s="28"/>
      <c r="AM20" s="28"/>
      <c r="AN20" s="27">
        <f>IF($B20&lt;&gt;"Challan","",SUMIF('Q1 Data'!$D$4:$D$207,D20,'Q1 Data'!$AD$4:$AD$207)+SUMIF('Q1 Data'!$D$4:$D$207,D20,'Q1 Data'!$AG$4:$AG$207)+SUMIF('Q1 Data'!$D$4:$D$207,D20,'Q1 Data'!$AE$4:$AE$207)+SUMIF('Q2 Data'!$D$4:$D$207,D20,'Q2 Data'!$AD$4:$AD$207)+SUMIF('Q2 Data'!$D$4:$D$207,D20,'Q2 Data'!$AG$4:$AG$207)+SUMIF('Q2 Data'!$D$4:$D$207,D20,'Q2 Data'!$AE$4:$AE$207)+SUMIF('Q3 Data'!$D$4:$D$207,D20,'Q3 Data'!$AD$4:$AD$207)+SUMIF('Q3 Data'!$D$4:$D$207,D20,'Q3 Data'!$AG$4:$AG$207)+SUMIF('Q3 Data'!$D$4:$D$207,D20,'Q3 Data'!$AE$4:$AE$207)+SUMIF('Q4 Data'!$D$4:$D$207,D20,'Q4 Data'!$AD$4:$AD$207)+SUMIF('Q4 Data'!$D$4:$D$207,D20,'Q4 Data'!$AG$4:$AG$207)+SUMIF('Q4 Data'!$D$4:$D$207,D20,'Q4 Data'!$AE$4:$AE$207))</f>
      </c>
      <c r="AO20" s="27">
        <f>IF($B20&lt;&gt;"Challan","",P20-N20)</f>
      </c>
      <c r="AP20" s="27">
        <f>IF($B20&lt;&gt;"Challan","",MAX(0,AO20-AN20))</f>
      </c>
      <c r="AQ20" s="33">
        <f>IF($B20&lt;&gt;"Entry","",SUMPRODUCT(('Q1 Data'!$D$4:$D$207=D20)*('Q1 Data'!$B$4:$B$207="Challan")*'Q1 Data'!$F$4:$F$207)+SUMPRODUCT(('Q2 Data'!$D$4:$D$207=D20)*('Q2 Data'!$B$4:$B$207="Challan")*'Q2 Data'!$F$4:$F$207)+SUMPRODUCT(('Q3 Data'!$D$4:$D$207=D20)*('Q3 Data'!$B$4:$B$207="Challan")*'Q3 Data'!$F$4:$F$207)+SUMPRODUCT(('Q4 Data'!$D$4:$D$207=D20)*('Q4 Data'!$B$4:$B$207="Challan")*'Q4 Data'!$F$4:$F$207))</f>
      </c>
      <c r="AR20" s="34">
        <f>IF(OR($B20&lt;&gt;"Entry",Z20=""),FALSE,AND((SUMPRODUCT(('Q1 Data'!$D$4:$D$207=D20)*('Q1 Data'!$B$4:$B$207="Challan")*('Q1 Data'!$H$4:$H$207&lt;&gt;""))+SUMPRODUCT(('Q2 Data'!$D$4:$D$207=D20)*('Q2 Data'!$B$4:$B$207="Challan")*('Q2 Data'!$H$4:$H$207&lt;&gt;""))+SUMPRODUCT(('Q3 Data'!$D$4:$D$207=D20)*('Q3 Data'!$B$4:$B$207="Challan")*('Q3 Data'!$H$4:$H$207&lt;&gt;""))+SUMPRODUCT(('Q4 Data'!$D$4:$D$207=D20)*('Q4 Data'!$B$4:$B$207="Challan")*('Q4 Data'!$H$4:$H$207&lt;&gt;"")))&gt;0,(SUMPRODUCT(('Q1 Data'!$D$4:$D$207=D20)*('Q1 Data'!$B$4:$B$207="Challan")*('Q1 Data'!$H$4:$H$207=Z20))+SUMPRODUCT(('Q2 Data'!$D$4:$D$207=D20)*('Q2 Data'!$B$4:$B$207="Challan")*('Q2 Data'!$H$4:$H$207=Z20))+SUMPRODUCT(('Q3 Data'!$D$4:$D$207=D20)*('Q3 Data'!$B$4:$B$207="Challan")*('Q3 Data'!$H$4:$H$207=Z20))+SUMPRODUCT(('Q4 Data'!$D$4:$D$207=D20)*('Q4 Data'!$B$4:$B$207="Challan")*('Q4 Data'!$H$4:$H$207=Z20)))=0))</f>
      </c>
    </row>
    <row r="21" spans="1:44" x14ac:dyDescent="0.25">
      <c r="A21" s="20">
        <f>IF($B21="Entry",COUNTIF($B$4:$B21,"Entry"),"")</f>
      </c>
      <c r="B21" s="21"/>
      <c r="C21" s="22"/>
      <c r="D21" s="22"/>
      <c r="E21" s="23">
        <f>IF($B21&lt;&gt;"Challan","",IF(ROUND(AN21-AO21,2)&gt;0,"Over-applied",IF(ROUND(AN21-AO21,2)=0,"Fully Utilised","Unconsumed")))</f>
      </c>
      <c r="F21" s="24"/>
      <c r="G21" s="25"/>
      <c r="H21" s="25"/>
      <c r="I21" s="26"/>
      <c r="J21" s="26"/>
      <c r="K21" s="26"/>
      <c r="L21" s="26"/>
      <c r="M21" s="26"/>
      <c r="N21" s="26"/>
      <c r="O21" s="26"/>
      <c r="P21" s="27">
        <f>IF($B21&lt;&gt;"Challan","",I21+J21+K21+L21+M21+N21)</f>
      </c>
      <c r="Q21" s="25"/>
      <c r="R21" s="25"/>
      <c r="S21" s="25"/>
      <c r="T21" s="25"/>
      <c r="U21" s="25"/>
      <c r="V21" s="28"/>
      <c r="W21" s="28"/>
      <c r="X21" s="23">
        <f>IF($B21="Entry",IF(AND(LEN(TRIM(UPPER(W21)))=10,CODE(MID(TRIM(UPPER(W21)),1,1))&gt;=65,CODE(MID(TRIM(UPPER(W21)),1,1))&lt;=90,CODE(MID(TRIM(UPPER(W21)),2,1))&gt;=65,CODE(MID(TRIM(UPPER(W21)),2,1))&lt;=90,CODE(MID(TRIM(UPPER(W21)),3,1))&gt;=65,CODE(MID(TRIM(UPPER(W21)),3,1))&lt;=90,CODE(MID(TRIM(UPPER(W21)),4,1))&gt;=65,CODE(MID(TRIM(UPPER(W21)),4,1))&lt;=90,CODE(MID(TRIM(UPPER(W21)),5,1))&gt;=65,CODE(MID(TRIM(UPPER(W21)),5,1))&lt;=90,CODE(MID(TRIM(UPPER(W21)),10,1))&gt;=65,CODE(MID(TRIM(UPPER(W21)),10,1))&lt;=90,CODE(MID(TRIM(UPPER(W21)),6,1))&gt;=48,CODE(MID(TRIM(UPPER(W21)),6,1))&lt;=57,CODE(MID(TRIM(UPPER(W21)),7,1))&gt;=48,CODE(MID(TRIM(UPPER(W21)),7,1))&lt;=57,CODE(MID(TRIM(UPPER(W21)),8,1))&gt;=48,CODE(MID(TRIM(UPPER(W21)),8,1))&lt;=57,CODE(MID(TRIM(UPPER(W21)),9,1))&gt;=48,CODE(MID(TRIM(UPPER(W21)),9,1))&lt;=57),"N","Y"),IF($B21="Challan","",IF(W21&lt;&gt;"","◄ Set Row Type","")))</f>
      </c>
      <c r="Y21" s="23">
        <f>IF($B21="Entry",IF(LEN(W21)&lt;4,"",IF(UPPER(MID(W21,4,1))="P","Individual",IF(UPPER(MID(W21,4,1))="H","HUF",IF(UPPER(MID(W21,4,1))="C","Company",IF(UPPER(MID(W21,4,1))="F","Firm",IF(UPPER(MID(W21,4,1))="L","LLP",IF(UPPER(MID(W21,4,1))="T","Trust",IF(UPPER(MID(W21,4,1))="A","AOP","")))))))),IF($B21="Challan","",IF(W21&lt;&gt;"","◄ Set Row Type","")))</f>
      </c>
      <c r="Z21" s="28"/>
      <c r="AA21" s="29">
        <f>IF($B21&lt;&gt;"Entry","",IF(Z21="","",IF(X21="Y",SUMPRODUCT(('Rate Lookup'!$A$1:$A$37=Z21)*'Rate Lookup'!$D$1:$D$37),IF(OR(Y21="Individual",Y21="HUF"),SUMPRODUCT(('Rate Lookup'!$A$1:$A$37=Z21)*'Rate Lookup'!$B$1:$B$37),SUMPRODUCT(('Rate Lookup'!$A$1:$A$37=Z21)*'Rate Lookup'!$C$1:$C$37)))))</f>
      </c>
      <c r="AB21" s="30"/>
      <c r="AC21" s="31"/>
      <c r="AD21" s="27">
        <f>IF($B21&lt;&gt;"Entry","",ROUND(AC21*AA21/100,0))</f>
      </c>
      <c r="AE21" s="27">
        <f>IF($B21&lt;&gt;"Entry","",0)</f>
      </c>
      <c r="AF21" s="27">
        <f>IF($B21&lt;&gt;"Entry","",0)</f>
      </c>
      <c r="AG21" s="27">
        <f>IF($B21&lt;&gt;"Entry","",IF(OR(AD21=0,AB21="",AQ21="",AQ21&lt;=0),0,IF(AQ21&lt;=DATE(YEAR(AB21),MONTH(AB21)+1,7),0,ROUND(AD21*0.015*((YEAR(AQ21)-YEAR(AB21))*12+(MONTH(AQ21)-MONTH(AB21))+1),0))))</f>
      </c>
      <c r="AH21" s="27">
        <f>IF($B21&lt;&gt;"Entry","",0)</f>
      </c>
      <c r="AI21" s="28"/>
      <c r="AJ21" s="28"/>
      <c r="AK21" s="32"/>
      <c r="AL21" s="28"/>
      <c r="AM21" s="28"/>
      <c r="AN21" s="27">
        <f>IF($B21&lt;&gt;"Challan","",SUMIF('Q1 Data'!$D$4:$D$207,D21,'Q1 Data'!$AD$4:$AD$207)+SUMIF('Q1 Data'!$D$4:$D$207,D21,'Q1 Data'!$AG$4:$AG$207)+SUMIF('Q1 Data'!$D$4:$D$207,D21,'Q1 Data'!$AE$4:$AE$207)+SUMIF('Q2 Data'!$D$4:$D$207,D21,'Q2 Data'!$AD$4:$AD$207)+SUMIF('Q2 Data'!$D$4:$D$207,D21,'Q2 Data'!$AG$4:$AG$207)+SUMIF('Q2 Data'!$D$4:$D$207,D21,'Q2 Data'!$AE$4:$AE$207)+SUMIF('Q3 Data'!$D$4:$D$207,D21,'Q3 Data'!$AD$4:$AD$207)+SUMIF('Q3 Data'!$D$4:$D$207,D21,'Q3 Data'!$AG$4:$AG$207)+SUMIF('Q3 Data'!$D$4:$D$207,D21,'Q3 Data'!$AE$4:$AE$207)+SUMIF('Q4 Data'!$D$4:$D$207,D21,'Q4 Data'!$AD$4:$AD$207)+SUMIF('Q4 Data'!$D$4:$D$207,D21,'Q4 Data'!$AG$4:$AG$207)+SUMIF('Q4 Data'!$D$4:$D$207,D21,'Q4 Data'!$AE$4:$AE$207))</f>
      </c>
      <c r="AO21" s="27">
        <f>IF($B21&lt;&gt;"Challan","",P21-N21)</f>
      </c>
      <c r="AP21" s="27">
        <f>IF($B21&lt;&gt;"Challan","",MAX(0,AO21-AN21))</f>
      </c>
      <c r="AQ21" s="33">
        <f>IF($B21&lt;&gt;"Entry","",SUMPRODUCT(('Q1 Data'!$D$4:$D$207=D21)*('Q1 Data'!$B$4:$B$207="Challan")*'Q1 Data'!$F$4:$F$207)+SUMPRODUCT(('Q2 Data'!$D$4:$D$207=D21)*('Q2 Data'!$B$4:$B$207="Challan")*'Q2 Data'!$F$4:$F$207)+SUMPRODUCT(('Q3 Data'!$D$4:$D$207=D21)*('Q3 Data'!$B$4:$B$207="Challan")*'Q3 Data'!$F$4:$F$207)+SUMPRODUCT(('Q4 Data'!$D$4:$D$207=D21)*('Q4 Data'!$B$4:$B$207="Challan")*'Q4 Data'!$F$4:$F$207))</f>
      </c>
      <c r="AR21" s="34">
        <f>IF(OR($B21&lt;&gt;"Entry",Z21=""),FALSE,AND((SUMPRODUCT(('Q1 Data'!$D$4:$D$207=D21)*('Q1 Data'!$B$4:$B$207="Challan")*('Q1 Data'!$H$4:$H$207&lt;&gt;""))+SUMPRODUCT(('Q2 Data'!$D$4:$D$207=D21)*('Q2 Data'!$B$4:$B$207="Challan")*('Q2 Data'!$H$4:$H$207&lt;&gt;""))+SUMPRODUCT(('Q3 Data'!$D$4:$D$207=D21)*('Q3 Data'!$B$4:$B$207="Challan")*('Q3 Data'!$H$4:$H$207&lt;&gt;""))+SUMPRODUCT(('Q4 Data'!$D$4:$D$207=D21)*('Q4 Data'!$B$4:$B$207="Challan")*('Q4 Data'!$H$4:$H$207&lt;&gt;"")))&gt;0,(SUMPRODUCT(('Q1 Data'!$D$4:$D$207=D21)*('Q1 Data'!$B$4:$B$207="Challan")*('Q1 Data'!$H$4:$H$207=Z21))+SUMPRODUCT(('Q2 Data'!$D$4:$D$207=D21)*('Q2 Data'!$B$4:$B$207="Challan")*('Q2 Data'!$H$4:$H$207=Z21))+SUMPRODUCT(('Q3 Data'!$D$4:$D$207=D21)*('Q3 Data'!$B$4:$B$207="Challan")*('Q3 Data'!$H$4:$H$207=Z21))+SUMPRODUCT(('Q4 Data'!$D$4:$D$207=D21)*('Q4 Data'!$B$4:$B$207="Challan")*('Q4 Data'!$H$4:$H$207=Z21)))=0))</f>
      </c>
    </row>
    <row r="22" spans="1:44" x14ac:dyDescent="0.25">
      <c r="A22" s="20">
        <f>IF($B22="Entry",COUNTIF($B$4:$B22,"Entry"),"")</f>
      </c>
      <c r="B22" s="21"/>
      <c r="C22" s="22"/>
      <c r="D22" s="22"/>
      <c r="E22" s="23">
        <f>IF($B22&lt;&gt;"Challan","",IF(ROUND(AN22-AO22,2)&gt;0,"Over-applied",IF(ROUND(AN22-AO22,2)=0,"Fully Utilised","Unconsumed")))</f>
      </c>
      <c r="F22" s="24"/>
      <c r="G22" s="25"/>
      <c r="H22" s="25"/>
      <c r="I22" s="26"/>
      <c r="J22" s="26"/>
      <c r="K22" s="26"/>
      <c r="L22" s="26"/>
      <c r="M22" s="26"/>
      <c r="N22" s="26"/>
      <c r="O22" s="26"/>
      <c r="P22" s="27">
        <f>IF($B22&lt;&gt;"Challan","",I22+J22+K22+L22+M22+N22)</f>
      </c>
      <c r="Q22" s="25"/>
      <c r="R22" s="25"/>
      <c r="S22" s="25"/>
      <c r="T22" s="25"/>
      <c r="U22" s="25"/>
      <c r="V22" s="28"/>
      <c r="W22" s="28"/>
      <c r="X22" s="23">
        <f>IF($B22="Entry",IF(AND(LEN(TRIM(UPPER(W22)))=10,CODE(MID(TRIM(UPPER(W22)),1,1))&gt;=65,CODE(MID(TRIM(UPPER(W22)),1,1))&lt;=90,CODE(MID(TRIM(UPPER(W22)),2,1))&gt;=65,CODE(MID(TRIM(UPPER(W22)),2,1))&lt;=90,CODE(MID(TRIM(UPPER(W22)),3,1))&gt;=65,CODE(MID(TRIM(UPPER(W22)),3,1))&lt;=90,CODE(MID(TRIM(UPPER(W22)),4,1))&gt;=65,CODE(MID(TRIM(UPPER(W22)),4,1))&lt;=90,CODE(MID(TRIM(UPPER(W22)),5,1))&gt;=65,CODE(MID(TRIM(UPPER(W22)),5,1))&lt;=90,CODE(MID(TRIM(UPPER(W22)),10,1))&gt;=65,CODE(MID(TRIM(UPPER(W22)),10,1))&lt;=90,CODE(MID(TRIM(UPPER(W22)),6,1))&gt;=48,CODE(MID(TRIM(UPPER(W22)),6,1))&lt;=57,CODE(MID(TRIM(UPPER(W22)),7,1))&gt;=48,CODE(MID(TRIM(UPPER(W22)),7,1))&lt;=57,CODE(MID(TRIM(UPPER(W22)),8,1))&gt;=48,CODE(MID(TRIM(UPPER(W22)),8,1))&lt;=57,CODE(MID(TRIM(UPPER(W22)),9,1))&gt;=48,CODE(MID(TRIM(UPPER(W22)),9,1))&lt;=57),"N","Y"),IF($B22="Challan","",IF(W22&lt;&gt;"","◄ Set Row Type","")))</f>
      </c>
      <c r="Y22" s="23">
        <f>IF($B22="Entry",IF(LEN(W22)&lt;4,"",IF(UPPER(MID(W22,4,1))="P","Individual",IF(UPPER(MID(W22,4,1))="H","HUF",IF(UPPER(MID(W22,4,1))="C","Company",IF(UPPER(MID(W22,4,1))="F","Firm",IF(UPPER(MID(W22,4,1))="L","LLP",IF(UPPER(MID(W22,4,1))="T","Trust",IF(UPPER(MID(W22,4,1))="A","AOP","")))))))),IF($B22="Challan","",IF(W22&lt;&gt;"","◄ Set Row Type","")))</f>
      </c>
      <c r="Z22" s="28"/>
      <c r="AA22" s="29">
        <f>IF($B22&lt;&gt;"Entry","",IF(Z22="","",IF(X22="Y",SUMPRODUCT(('Rate Lookup'!$A$1:$A$37=Z22)*'Rate Lookup'!$D$1:$D$37),IF(OR(Y22="Individual",Y22="HUF"),SUMPRODUCT(('Rate Lookup'!$A$1:$A$37=Z22)*'Rate Lookup'!$B$1:$B$37),SUMPRODUCT(('Rate Lookup'!$A$1:$A$37=Z22)*'Rate Lookup'!$C$1:$C$37)))))</f>
      </c>
      <c r="AB22" s="30"/>
      <c r="AC22" s="31"/>
      <c r="AD22" s="27">
        <f>IF($B22&lt;&gt;"Entry","",ROUND(AC22*AA22/100,0))</f>
      </c>
      <c r="AE22" s="27">
        <f>IF($B22&lt;&gt;"Entry","",0)</f>
      </c>
      <c r="AF22" s="27">
        <f>IF($B22&lt;&gt;"Entry","",0)</f>
      </c>
      <c r="AG22" s="27">
        <f>IF($B22&lt;&gt;"Entry","",IF(OR(AD22=0,AB22="",AQ22="",AQ22&lt;=0),0,IF(AQ22&lt;=DATE(YEAR(AB22),MONTH(AB22)+1,7),0,ROUND(AD22*0.015*((YEAR(AQ22)-YEAR(AB22))*12+(MONTH(AQ22)-MONTH(AB22))+1),0))))</f>
      </c>
      <c r="AH22" s="27">
        <f>IF($B22&lt;&gt;"Entry","",0)</f>
      </c>
      <c r="AI22" s="28"/>
      <c r="AJ22" s="28"/>
      <c r="AK22" s="32"/>
      <c r="AL22" s="28"/>
      <c r="AM22" s="28"/>
      <c r="AN22" s="27">
        <f>IF($B22&lt;&gt;"Challan","",SUMIF('Q1 Data'!$D$4:$D$207,D22,'Q1 Data'!$AD$4:$AD$207)+SUMIF('Q1 Data'!$D$4:$D$207,D22,'Q1 Data'!$AG$4:$AG$207)+SUMIF('Q1 Data'!$D$4:$D$207,D22,'Q1 Data'!$AE$4:$AE$207)+SUMIF('Q2 Data'!$D$4:$D$207,D22,'Q2 Data'!$AD$4:$AD$207)+SUMIF('Q2 Data'!$D$4:$D$207,D22,'Q2 Data'!$AG$4:$AG$207)+SUMIF('Q2 Data'!$D$4:$D$207,D22,'Q2 Data'!$AE$4:$AE$207)+SUMIF('Q3 Data'!$D$4:$D$207,D22,'Q3 Data'!$AD$4:$AD$207)+SUMIF('Q3 Data'!$D$4:$D$207,D22,'Q3 Data'!$AG$4:$AG$207)+SUMIF('Q3 Data'!$D$4:$D$207,D22,'Q3 Data'!$AE$4:$AE$207)+SUMIF('Q4 Data'!$D$4:$D$207,D22,'Q4 Data'!$AD$4:$AD$207)+SUMIF('Q4 Data'!$D$4:$D$207,D22,'Q4 Data'!$AG$4:$AG$207)+SUMIF('Q4 Data'!$D$4:$D$207,D22,'Q4 Data'!$AE$4:$AE$207))</f>
      </c>
      <c r="AO22" s="27">
        <f>IF($B22&lt;&gt;"Challan","",P22-N22)</f>
      </c>
      <c r="AP22" s="27">
        <f>IF($B22&lt;&gt;"Challan","",MAX(0,AO22-AN22))</f>
      </c>
      <c r="AQ22" s="33">
        <f>IF($B22&lt;&gt;"Entry","",SUMPRODUCT(('Q1 Data'!$D$4:$D$207=D22)*('Q1 Data'!$B$4:$B$207="Challan")*'Q1 Data'!$F$4:$F$207)+SUMPRODUCT(('Q2 Data'!$D$4:$D$207=D22)*('Q2 Data'!$B$4:$B$207="Challan")*'Q2 Data'!$F$4:$F$207)+SUMPRODUCT(('Q3 Data'!$D$4:$D$207=D22)*('Q3 Data'!$B$4:$B$207="Challan")*'Q3 Data'!$F$4:$F$207)+SUMPRODUCT(('Q4 Data'!$D$4:$D$207=D22)*('Q4 Data'!$B$4:$B$207="Challan")*'Q4 Data'!$F$4:$F$207))</f>
      </c>
      <c r="AR22" s="34">
        <f>IF(OR($B22&lt;&gt;"Entry",Z22=""),FALSE,AND((SUMPRODUCT(('Q1 Data'!$D$4:$D$207=D22)*('Q1 Data'!$B$4:$B$207="Challan")*('Q1 Data'!$H$4:$H$207&lt;&gt;""))+SUMPRODUCT(('Q2 Data'!$D$4:$D$207=D22)*('Q2 Data'!$B$4:$B$207="Challan")*('Q2 Data'!$H$4:$H$207&lt;&gt;""))+SUMPRODUCT(('Q3 Data'!$D$4:$D$207=D22)*('Q3 Data'!$B$4:$B$207="Challan")*('Q3 Data'!$H$4:$H$207&lt;&gt;""))+SUMPRODUCT(('Q4 Data'!$D$4:$D$207=D22)*('Q4 Data'!$B$4:$B$207="Challan")*('Q4 Data'!$H$4:$H$207&lt;&gt;"")))&gt;0,(SUMPRODUCT(('Q1 Data'!$D$4:$D$207=D22)*('Q1 Data'!$B$4:$B$207="Challan")*('Q1 Data'!$H$4:$H$207=Z22))+SUMPRODUCT(('Q2 Data'!$D$4:$D$207=D22)*('Q2 Data'!$B$4:$B$207="Challan")*('Q2 Data'!$H$4:$H$207=Z22))+SUMPRODUCT(('Q3 Data'!$D$4:$D$207=D22)*('Q3 Data'!$B$4:$B$207="Challan")*('Q3 Data'!$H$4:$H$207=Z22))+SUMPRODUCT(('Q4 Data'!$D$4:$D$207=D22)*('Q4 Data'!$B$4:$B$207="Challan")*('Q4 Data'!$H$4:$H$207=Z22)))=0))</f>
      </c>
    </row>
    <row r="23" spans="1:44" x14ac:dyDescent="0.25">
      <c r="A23" s="20">
        <f>IF($B23="Entry",COUNTIF($B$4:$B23,"Entry"),"")</f>
      </c>
      <c r="B23" s="21"/>
      <c r="C23" s="22"/>
      <c r="D23" s="22"/>
      <c r="E23" s="23">
        <f>IF($B23&lt;&gt;"Challan","",IF(ROUND(AN23-AO23,2)&gt;0,"Over-applied",IF(ROUND(AN23-AO23,2)=0,"Fully Utilised","Unconsumed")))</f>
      </c>
      <c r="F23" s="24"/>
      <c r="G23" s="25"/>
      <c r="H23" s="25"/>
      <c r="I23" s="26"/>
      <c r="J23" s="26"/>
      <c r="K23" s="26"/>
      <c r="L23" s="26"/>
      <c r="M23" s="26"/>
      <c r="N23" s="26"/>
      <c r="O23" s="26"/>
      <c r="P23" s="27">
        <f>IF($B23&lt;&gt;"Challan","",I23+J23+K23+L23+M23+N23)</f>
      </c>
      <c r="Q23" s="25"/>
      <c r="R23" s="25"/>
      <c r="S23" s="25"/>
      <c r="T23" s="25"/>
      <c r="U23" s="25"/>
      <c r="V23" s="28"/>
      <c r="W23" s="28"/>
      <c r="X23" s="23">
        <f>IF($B23="Entry",IF(AND(LEN(TRIM(UPPER(W23)))=10,CODE(MID(TRIM(UPPER(W23)),1,1))&gt;=65,CODE(MID(TRIM(UPPER(W23)),1,1))&lt;=90,CODE(MID(TRIM(UPPER(W23)),2,1))&gt;=65,CODE(MID(TRIM(UPPER(W23)),2,1))&lt;=90,CODE(MID(TRIM(UPPER(W23)),3,1))&gt;=65,CODE(MID(TRIM(UPPER(W23)),3,1))&lt;=90,CODE(MID(TRIM(UPPER(W23)),4,1))&gt;=65,CODE(MID(TRIM(UPPER(W23)),4,1))&lt;=90,CODE(MID(TRIM(UPPER(W23)),5,1))&gt;=65,CODE(MID(TRIM(UPPER(W23)),5,1))&lt;=90,CODE(MID(TRIM(UPPER(W23)),10,1))&gt;=65,CODE(MID(TRIM(UPPER(W23)),10,1))&lt;=90,CODE(MID(TRIM(UPPER(W23)),6,1))&gt;=48,CODE(MID(TRIM(UPPER(W23)),6,1))&lt;=57,CODE(MID(TRIM(UPPER(W23)),7,1))&gt;=48,CODE(MID(TRIM(UPPER(W23)),7,1))&lt;=57,CODE(MID(TRIM(UPPER(W23)),8,1))&gt;=48,CODE(MID(TRIM(UPPER(W23)),8,1))&lt;=57,CODE(MID(TRIM(UPPER(W23)),9,1))&gt;=48,CODE(MID(TRIM(UPPER(W23)),9,1))&lt;=57),"N","Y"),IF($B23="Challan","",IF(W23&lt;&gt;"","◄ Set Row Type","")))</f>
      </c>
      <c r="Y23" s="23">
        <f>IF($B23="Entry",IF(LEN(W23)&lt;4,"",IF(UPPER(MID(W23,4,1))="P","Individual",IF(UPPER(MID(W23,4,1))="H","HUF",IF(UPPER(MID(W23,4,1))="C","Company",IF(UPPER(MID(W23,4,1))="F","Firm",IF(UPPER(MID(W23,4,1))="L","LLP",IF(UPPER(MID(W23,4,1))="T","Trust",IF(UPPER(MID(W23,4,1))="A","AOP","")))))))),IF($B23="Challan","",IF(W23&lt;&gt;"","◄ Set Row Type","")))</f>
      </c>
      <c r="Z23" s="28"/>
      <c r="AA23" s="29">
        <f>IF($B23&lt;&gt;"Entry","",IF(Z23="","",IF(X23="Y",SUMPRODUCT(('Rate Lookup'!$A$1:$A$37=Z23)*'Rate Lookup'!$D$1:$D$37),IF(OR(Y23="Individual",Y23="HUF"),SUMPRODUCT(('Rate Lookup'!$A$1:$A$37=Z23)*'Rate Lookup'!$B$1:$B$37),SUMPRODUCT(('Rate Lookup'!$A$1:$A$37=Z23)*'Rate Lookup'!$C$1:$C$37)))))</f>
      </c>
      <c r="AB23" s="30"/>
      <c r="AC23" s="31"/>
      <c r="AD23" s="27">
        <f>IF($B23&lt;&gt;"Entry","",ROUND(AC23*AA23/100,0))</f>
      </c>
      <c r="AE23" s="27">
        <f>IF($B23&lt;&gt;"Entry","",0)</f>
      </c>
      <c r="AF23" s="27">
        <f>IF($B23&lt;&gt;"Entry","",0)</f>
      </c>
      <c r="AG23" s="27">
        <f>IF($B23&lt;&gt;"Entry","",IF(OR(AD23=0,AB23="",AQ23="",AQ23&lt;=0),0,IF(AQ23&lt;=DATE(YEAR(AB23),MONTH(AB23)+1,7),0,ROUND(AD23*0.015*((YEAR(AQ23)-YEAR(AB23))*12+(MONTH(AQ23)-MONTH(AB23))+1),0))))</f>
      </c>
      <c r="AH23" s="27">
        <f>IF($B23&lt;&gt;"Entry","",0)</f>
      </c>
      <c r="AI23" s="28"/>
      <c r="AJ23" s="28"/>
      <c r="AK23" s="32"/>
      <c r="AL23" s="28"/>
      <c r="AM23" s="28"/>
      <c r="AN23" s="27">
        <f>IF($B23&lt;&gt;"Challan","",SUMIF('Q1 Data'!$D$4:$D$207,D23,'Q1 Data'!$AD$4:$AD$207)+SUMIF('Q1 Data'!$D$4:$D$207,D23,'Q1 Data'!$AG$4:$AG$207)+SUMIF('Q1 Data'!$D$4:$D$207,D23,'Q1 Data'!$AE$4:$AE$207)+SUMIF('Q2 Data'!$D$4:$D$207,D23,'Q2 Data'!$AD$4:$AD$207)+SUMIF('Q2 Data'!$D$4:$D$207,D23,'Q2 Data'!$AG$4:$AG$207)+SUMIF('Q2 Data'!$D$4:$D$207,D23,'Q2 Data'!$AE$4:$AE$207)+SUMIF('Q3 Data'!$D$4:$D$207,D23,'Q3 Data'!$AD$4:$AD$207)+SUMIF('Q3 Data'!$D$4:$D$207,D23,'Q3 Data'!$AG$4:$AG$207)+SUMIF('Q3 Data'!$D$4:$D$207,D23,'Q3 Data'!$AE$4:$AE$207)+SUMIF('Q4 Data'!$D$4:$D$207,D23,'Q4 Data'!$AD$4:$AD$207)+SUMIF('Q4 Data'!$D$4:$D$207,D23,'Q4 Data'!$AG$4:$AG$207)+SUMIF('Q4 Data'!$D$4:$D$207,D23,'Q4 Data'!$AE$4:$AE$207))</f>
      </c>
      <c r="AO23" s="27">
        <f>IF($B23&lt;&gt;"Challan","",P23-N23)</f>
      </c>
      <c r="AP23" s="27">
        <f>IF($B23&lt;&gt;"Challan","",MAX(0,AO23-AN23))</f>
      </c>
      <c r="AQ23" s="33">
        <f>IF($B23&lt;&gt;"Entry","",SUMPRODUCT(('Q1 Data'!$D$4:$D$207=D23)*('Q1 Data'!$B$4:$B$207="Challan")*'Q1 Data'!$F$4:$F$207)+SUMPRODUCT(('Q2 Data'!$D$4:$D$207=D23)*('Q2 Data'!$B$4:$B$207="Challan")*'Q2 Data'!$F$4:$F$207)+SUMPRODUCT(('Q3 Data'!$D$4:$D$207=D23)*('Q3 Data'!$B$4:$B$207="Challan")*'Q3 Data'!$F$4:$F$207)+SUMPRODUCT(('Q4 Data'!$D$4:$D$207=D23)*('Q4 Data'!$B$4:$B$207="Challan")*'Q4 Data'!$F$4:$F$207))</f>
      </c>
      <c r="AR23" s="34">
        <f>IF(OR($B23&lt;&gt;"Entry",Z23=""),FALSE,AND((SUMPRODUCT(('Q1 Data'!$D$4:$D$207=D23)*('Q1 Data'!$B$4:$B$207="Challan")*('Q1 Data'!$H$4:$H$207&lt;&gt;""))+SUMPRODUCT(('Q2 Data'!$D$4:$D$207=D23)*('Q2 Data'!$B$4:$B$207="Challan")*('Q2 Data'!$H$4:$H$207&lt;&gt;""))+SUMPRODUCT(('Q3 Data'!$D$4:$D$207=D23)*('Q3 Data'!$B$4:$B$207="Challan")*('Q3 Data'!$H$4:$H$207&lt;&gt;""))+SUMPRODUCT(('Q4 Data'!$D$4:$D$207=D23)*('Q4 Data'!$B$4:$B$207="Challan")*('Q4 Data'!$H$4:$H$207&lt;&gt;"")))&gt;0,(SUMPRODUCT(('Q1 Data'!$D$4:$D$207=D23)*('Q1 Data'!$B$4:$B$207="Challan")*('Q1 Data'!$H$4:$H$207=Z23))+SUMPRODUCT(('Q2 Data'!$D$4:$D$207=D23)*('Q2 Data'!$B$4:$B$207="Challan")*('Q2 Data'!$H$4:$H$207=Z23))+SUMPRODUCT(('Q3 Data'!$D$4:$D$207=D23)*('Q3 Data'!$B$4:$B$207="Challan")*('Q3 Data'!$H$4:$H$207=Z23))+SUMPRODUCT(('Q4 Data'!$D$4:$D$207=D23)*('Q4 Data'!$B$4:$B$207="Challan")*('Q4 Data'!$H$4:$H$207=Z23)))=0))</f>
      </c>
    </row>
    <row r="24" spans="1:44" x14ac:dyDescent="0.25">
      <c r="A24" s="20">
        <f>IF($B24="Entry",COUNTIF($B$4:$B24,"Entry"),"")</f>
      </c>
      <c r="B24" s="21"/>
      <c r="C24" s="22"/>
      <c r="D24" s="22"/>
      <c r="E24" s="23">
        <f>IF($B24&lt;&gt;"Challan","",IF(ROUND(AN24-AO24,2)&gt;0,"Over-applied",IF(ROUND(AN24-AO24,2)=0,"Fully Utilised","Unconsumed")))</f>
      </c>
      <c r="F24" s="24"/>
      <c r="G24" s="25"/>
      <c r="H24" s="25"/>
      <c r="I24" s="26"/>
      <c r="J24" s="26"/>
      <c r="K24" s="26"/>
      <c r="L24" s="26"/>
      <c r="M24" s="26"/>
      <c r="N24" s="26"/>
      <c r="O24" s="26"/>
      <c r="P24" s="27">
        <f>IF($B24&lt;&gt;"Challan","",I24+J24+K24+L24+M24+N24)</f>
      </c>
      <c r="Q24" s="25"/>
      <c r="R24" s="25"/>
      <c r="S24" s="25"/>
      <c r="T24" s="25"/>
      <c r="U24" s="25"/>
      <c r="V24" s="28"/>
      <c r="W24" s="28"/>
      <c r="X24" s="23">
        <f>IF($B24="Entry",IF(AND(LEN(TRIM(UPPER(W24)))=10,CODE(MID(TRIM(UPPER(W24)),1,1))&gt;=65,CODE(MID(TRIM(UPPER(W24)),1,1))&lt;=90,CODE(MID(TRIM(UPPER(W24)),2,1))&gt;=65,CODE(MID(TRIM(UPPER(W24)),2,1))&lt;=90,CODE(MID(TRIM(UPPER(W24)),3,1))&gt;=65,CODE(MID(TRIM(UPPER(W24)),3,1))&lt;=90,CODE(MID(TRIM(UPPER(W24)),4,1))&gt;=65,CODE(MID(TRIM(UPPER(W24)),4,1))&lt;=90,CODE(MID(TRIM(UPPER(W24)),5,1))&gt;=65,CODE(MID(TRIM(UPPER(W24)),5,1))&lt;=90,CODE(MID(TRIM(UPPER(W24)),10,1))&gt;=65,CODE(MID(TRIM(UPPER(W24)),10,1))&lt;=90,CODE(MID(TRIM(UPPER(W24)),6,1))&gt;=48,CODE(MID(TRIM(UPPER(W24)),6,1))&lt;=57,CODE(MID(TRIM(UPPER(W24)),7,1))&gt;=48,CODE(MID(TRIM(UPPER(W24)),7,1))&lt;=57,CODE(MID(TRIM(UPPER(W24)),8,1))&gt;=48,CODE(MID(TRIM(UPPER(W24)),8,1))&lt;=57,CODE(MID(TRIM(UPPER(W24)),9,1))&gt;=48,CODE(MID(TRIM(UPPER(W24)),9,1))&lt;=57),"N","Y"),IF($B24="Challan","",IF(W24&lt;&gt;"","◄ Set Row Type","")))</f>
      </c>
      <c r="Y24" s="23">
        <f>IF($B24="Entry",IF(LEN(W24)&lt;4,"",IF(UPPER(MID(W24,4,1))="P","Individual",IF(UPPER(MID(W24,4,1))="H","HUF",IF(UPPER(MID(W24,4,1))="C","Company",IF(UPPER(MID(W24,4,1))="F","Firm",IF(UPPER(MID(W24,4,1))="L","LLP",IF(UPPER(MID(W24,4,1))="T","Trust",IF(UPPER(MID(W24,4,1))="A","AOP","")))))))),IF($B24="Challan","",IF(W24&lt;&gt;"","◄ Set Row Type","")))</f>
      </c>
      <c r="Z24" s="28"/>
      <c r="AA24" s="29">
        <f>IF($B24&lt;&gt;"Entry","",IF(Z24="","",IF(X24="Y",SUMPRODUCT(('Rate Lookup'!$A$1:$A$37=Z24)*'Rate Lookup'!$D$1:$D$37),IF(OR(Y24="Individual",Y24="HUF"),SUMPRODUCT(('Rate Lookup'!$A$1:$A$37=Z24)*'Rate Lookup'!$B$1:$B$37),SUMPRODUCT(('Rate Lookup'!$A$1:$A$37=Z24)*'Rate Lookup'!$C$1:$C$37)))))</f>
      </c>
      <c r="AB24" s="30"/>
      <c r="AC24" s="31"/>
      <c r="AD24" s="27">
        <f>IF($B24&lt;&gt;"Entry","",ROUND(AC24*AA24/100,0))</f>
      </c>
      <c r="AE24" s="27">
        <f>IF($B24&lt;&gt;"Entry","",0)</f>
      </c>
      <c r="AF24" s="27">
        <f>IF($B24&lt;&gt;"Entry","",0)</f>
      </c>
      <c r="AG24" s="27">
        <f>IF($B24&lt;&gt;"Entry","",IF(OR(AD24=0,AB24="",AQ24="",AQ24&lt;=0),0,IF(AQ24&lt;=DATE(YEAR(AB24),MONTH(AB24)+1,7),0,ROUND(AD24*0.015*((YEAR(AQ24)-YEAR(AB24))*12+(MONTH(AQ24)-MONTH(AB24))+1),0))))</f>
      </c>
      <c r="AH24" s="27">
        <f>IF($B24&lt;&gt;"Entry","",0)</f>
      </c>
      <c r="AI24" s="28"/>
      <c r="AJ24" s="28"/>
      <c r="AK24" s="32"/>
      <c r="AL24" s="28"/>
      <c r="AM24" s="28"/>
      <c r="AN24" s="27">
        <f>IF($B24&lt;&gt;"Challan","",SUMIF('Q1 Data'!$D$4:$D$207,D24,'Q1 Data'!$AD$4:$AD$207)+SUMIF('Q1 Data'!$D$4:$D$207,D24,'Q1 Data'!$AG$4:$AG$207)+SUMIF('Q1 Data'!$D$4:$D$207,D24,'Q1 Data'!$AE$4:$AE$207)+SUMIF('Q2 Data'!$D$4:$D$207,D24,'Q2 Data'!$AD$4:$AD$207)+SUMIF('Q2 Data'!$D$4:$D$207,D24,'Q2 Data'!$AG$4:$AG$207)+SUMIF('Q2 Data'!$D$4:$D$207,D24,'Q2 Data'!$AE$4:$AE$207)+SUMIF('Q3 Data'!$D$4:$D$207,D24,'Q3 Data'!$AD$4:$AD$207)+SUMIF('Q3 Data'!$D$4:$D$207,D24,'Q3 Data'!$AG$4:$AG$207)+SUMIF('Q3 Data'!$D$4:$D$207,D24,'Q3 Data'!$AE$4:$AE$207)+SUMIF('Q4 Data'!$D$4:$D$207,D24,'Q4 Data'!$AD$4:$AD$207)+SUMIF('Q4 Data'!$D$4:$D$207,D24,'Q4 Data'!$AG$4:$AG$207)+SUMIF('Q4 Data'!$D$4:$D$207,D24,'Q4 Data'!$AE$4:$AE$207))</f>
      </c>
      <c r="AO24" s="27">
        <f>IF($B24&lt;&gt;"Challan","",P24-N24)</f>
      </c>
      <c r="AP24" s="27">
        <f>IF($B24&lt;&gt;"Challan","",MAX(0,AO24-AN24))</f>
      </c>
      <c r="AQ24" s="33">
        <f>IF($B24&lt;&gt;"Entry","",SUMPRODUCT(('Q1 Data'!$D$4:$D$207=D24)*('Q1 Data'!$B$4:$B$207="Challan")*'Q1 Data'!$F$4:$F$207)+SUMPRODUCT(('Q2 Data'!$D$4:$D$207=D24)*('Q2 Data'!$B$4:$B$207="Challan")*'Q2 Data'!$F$4:$F$207)+SUMPRODUCT(('Q3 Data'!$D$4:$D$207=D24)*('Q3 Data'!$B$4:$B$207="Challan")*'Q3 Data'!$F$4:$F$207)+SUMPRODUCT(('Q4 Data'!$D$4:$D$207=D24)*('Q4 Data'!$B$4:$B$207="Challan")*'Q4 Data'!$F$4:$F$207))</f>
      </c>
      <c r="AR24" s="34">
        <f>IF(OR($B24&lt;&gt;"Entry",Z24=""),FALSE,AND((SUMPRODUCT(('Q1 Data'!$D$4:$D$207=D24)*('Q1 Data'!$B$4:$B$207="Challan")*('Q1 Data'!$H$4:$H$207&lt;&gt;""))+SUMPRODUCT(('Q2 Data'!$D$4:$D$207=D24)*('Q2 Data'!$B$4:$B$207="Challan")*('Q2 Data'!$H$4:$H$207&lt;&gt;""))+SUMPRODUCT(('Q3 Data'!$D$4:$D$207=D24)*('Q3 Data'!$B$4:$B$207="Challan")*('Q3 Data'!$H$4:$H$207&lt;&gt;""))+SUMPRODUCT(('Q4 Data'!$D$4:$D$207=D24)*('Q4 Data'!$B$4:$B$207="Challan")*('Q4 Data'!$H$4:$H$207&lt;&gt;"")))&gt;0,(SUMPRODUCT(('Q1 Data'!$D$4:$D$207=D24)*('Q1 Data'!$B$4:$B$207="Challan")*('Q1 Data'!$H$4:$H$207=Z24))+SUMPRODUCT(('Q2 Data'!$D$4:$D$207=D24)*('Q2 Data'!$B$4:$B$207="Challan")*('Q2 Data'!$H$4:$H$207=Z24))+SUMPRODUCT(('Q3 Data'!$D$4:$D$207=D24)*('Q3 Data'!$B$4:$B$207="Challan")*('Q3 Data'!$H$4:$H$207=Z24))+SUMPRODUCT(('Q4 Data'!$D$4:$D$207=D24)*('Q4 Data'!$B$4:$B$207="Challan")*('Q4 Data'!$H$4:$H$207=Z24)))=0))</f>
      </c>
    </row>
    <row r="25" spans="1:44" x14ac:dyDescent="0.25">
      <c r="A25" s="20">
        <f>IF($B25="Entry",COUNTIF($B$4:$B25,"Entry"),"")</f>
      </c>
      <c r="B25" s="21"/>
      <c r="C25" s="22"/>
      <c r="D25" s="22"/>
      <c r="E25" s="23">
        <f>IF($B25&lt;&gt;"Challan","",IF(ROUND(AN25-AO25,2)&gt;0,"Over-applied",IF(ROUND(AN25-AO25,2)=0,"Fully Utilised","Unconsumed")))</f>
      </c>
      <c r="F25" s="24"/>
      <c r="G25" s="25"/>
      <c r="H25" s="25"/>
      <c r="I25" s="26"/>
      <c r="J25" s="26"/>
      <c r="K25" s="26"/>
      <c r="L25" s="26"/>
      <c r="M25" s="26"/>
      <c r="N25" s="26"/>
      <c r="O25" s="26"/>
      <c r="P25" s="27">
        <f>IF($B25&lt;&gt;"Challan","",I25+J25+K25+L25+M25+N25)</f>
      </c>
      <c r="Q25" s="25"/>
      <c r="R25" s="25"/>
      <c r="S25" s="25"/>
      <c r="T25" s="25"/>
      <c r="U25" s="25"/>
      <c r="V25" s="28"/>
      <c r="W25" s="28"/>
      <c r="X25" s="23">
        <f>IF($B25="Entry",IF(AND(LEN(TRIM(UPPER(W25)))=10,CODE(MID(TRIM(UPPER(W25)),1,1))&gt;=65,CODE(MID(TRIM(UPPER(W25)),1,1))&lt;=90,CODE(MID(TRIM(UPPER(W25)),2,1))&gt;=65,CODE(MID(TRIM(UPPER(W25)),2,1))&lt;=90,CODE(MID(TRIM(UPPER(W25)),3,1))&gt;=65,CODE(MID(TRIM(UPPER(W25)),3,1))&lt;=90,CODE(MID(TRIM(UPPER(W25)),4,1))&gt;=65,CODE(MID(TRIM(UPPER(W25)),4,1))&lt;=90,CODE(MID(TRIM(UPPER(W25)),5,1))&gt;=65,CODE(MID(TRIM(UPPER(W25)),5,1))&lt;=90,CODE(MID(TRIM(UPPER(W25)),10,1))&gt;=65,CODE(MID(TRIM(UPPER(W25)),10,1))&lt;=90,CODE(MID(TRIM(UPPER(W25)),6,1))&gt;=48,CODE(MID(TRIM(UPPER(W25)),6,1))&lt;=57,CODE(MID(TRIM(UPPER(W25)),7,1))&gt;=48,CODE(MID(TRIM(UPPER(W25)),7,1))&lt;=57,CODE(MID(TRIM(UPPER(W25)),8,1))&gt;=48,CODE(MID(TRIM(UPPER(W25)),8,1))&lt;=57,CODE(MID(TRIM(UPPER(W25)),9,1))&gt;=48,CODE(MID(TRIM(UPPER(W25)),9,1))&lt;=57),"N","Y"),IF($B25="Challan","",IF(W25&lt;&gt;"","◄ Set Row Type","")))</f>
      </c>
      <c r="Y25" s="23">
        <f>IF($B25="Entry",IF(LEN(W25)&lt;4,"",IF(UPPER(MID(W25,4,1))="P","Individual",IF(UPPER(MID(W25,4,1))="H","HUF",IF(UPPER(MID(W25,4,1))="C","Company",IF(UPPER(MID(W25,4,1))="F","Firm",IF(UPPER(MID(W25,4,1))="L","LLP",IF(UPPER(MID(W25,4,1))="T","Trust",IF(UPPER(MID(W25,4,1))="A","AOP","")))))))),IF($B25="Challan","",IF(W25&lt;&gt;"","◄ Set Row Type","")))</f>
      </c>
      <c r="Z25" s="28"/>
      <c r="AA25" s="29">
        <f>IF($B25&lt;&gt;"Entry","",IF(Z25="","",IF(X25="Y",SUMPRODUCT(('Rate Lookup'!$A$1:$A$37=Z25)*'Rate Lookup'!$D$1:$D$37),IF(OR(Y25="Individual",Y25="HUF"),SUMPRODUCT(('Rate Lookup'!$A$1:$A$37=Z25)*'Rate Lookup'!$B$1:$B$37),SUMPRODUCT(('Rate Lookup'!$A$1:$A$37=Z25)*'Rate Lookup'!$C$1:$C$37)))))</f>
      </c>
      <c r="AB25" s="30"/>
      <c r="AC25" s="31"/>
      <c r="AD25" s="27">
        <f>IF($B25&lt;&gt;"Entry","",ROUND(AC25*AA25/100,0))</f>
      </c>
      <c r="AE25" s="27">
        <f>IF($B25&lt;&gt;"Entry","",0)</f>
      </c>
      <c r="AF25" s="27">
        <f>IF($B25&lt;&gt;"Entry","",0)</f>
      </c>
      <c r="AG25" s="27">
        <f>IF($B25&lt;&gt;"Entry","",IF(OR(AD25=0,AB25="",AQ25="",AQ25&lt;=0),0,IF(AQ25&lt;=DATE(YEAR(AB25),MONTH(AB25)+1,7),0,ROUND(AD25*0.015*((YEAR(AQ25)-YEAR(AB25))*12+(MONTH(AQ25)-MONTH(AB25))+1),0))))</f>
      </c>
      <c r="AH25" s="27">
        <f>IF($B25&lt;&gt;"Entry","",0)</f>
      </c>
      <c r="AI25" s="28"/>
      <c r="AJ25" s="28"/>
      <c r="AK25" s="32"/>
      <c r="AL25" s="28"/>
      <c r="AM25" s="28"/>
      <c r="AN25" s="27">
        <f>IF($B25&lt;&gt;"Challan","",SUMIF('Q1 Data'!$D$4:$D$207,D25,'Q1 Data'!$AD$4:$AD$207)+SUMIF('Q1 Data'!$D$4:$D$207,D25,'Q1 Data'!$AG$4:$AG$207)+SUMIF('Q1 Data'!$D$4:$D$207,D25,'Q1 Data'!$AE$4:$AE$207)+SUMIF('Q2 Data'!$D$4:$D$207,D25,'Q2 Data'!$AD$4:$AD$207)+SUMIF('Q2 Data'!$D$4:$D$207,D25,'Q2 Data'!$AG$4:$AG$207)+SUMIF('Q2 Data'!$D$4:$D$207,D25,'Q2 Data'!$AE$4:$AE$207)+SUMIF('Q3 Data'!$D$4:$D$207,D25,'Q3 Data'!$AD$4:$AD$207)+SUMIF('Q3 Data'!$D$4:$D$207,D25,'Q3 Data'!$AG$4:$AG$207)+SUMIF('Q3 Data'!$D$4:$D$207,D25,'Q3 Data'!$AE$4:$AE$207)+SUMIF('Q4 Data'!$D$4:$D$207,D25,'Q4 Data'!$AD$4:$AD$207)+SUMIF('Q4 Data'!$D$4:$D$207,D25,'Q4 Data'!$AG$4:$AG$207)+SUMIF('Q4 Data'!$D$4:$D$207,D25,'Q4 Data'!$AE$4:$AE$207))</f>
      </c>
      <c r="AO25" s="27">
        <f>IF($B25&lt;&gt;"Challan","",P25-N25)</f>
      </c>
      <c r="AP25" s="27">
        <f>IF($B25&lt;&gt;"Challan","",MAX(0,AO25-AN25))</f>
      </c>
      <c r="AQ25" s="33">
        <f>IF($B25&lt;&gt;"Entry","",SUMPRODUCT(('Q1 Data'!$D$4:$D$207=D25)*('Q1 Data'!$B$4:$B$207="Challan")*'Q1 Data'!$F$4:$F$207)+SUMPRODUCT(('Q2 Data'!$D$4:$D$207=D25)*('Q2 Data'!$B$4:$B$207="Challan")*'Q2 Data'!$F$4:$F$207)+SUMPRODUCT(('Q3 Data'!$D$4:$D$207=D25)*('Q3 Data'!$B$4:$B$207="Challan")*'Q3 Data'!$F$4:$F$207)+SUMPRODUCT(('Q4 Data'!$D$4:$D$207=D25)*('Q4 Data'!$B$4:$B$207="Challan")*'Q4 Data'!$F$4:$F$207))</f>
      </c>
      <c r="AR25" s="34">
        <f>IF(OR($B25&lt;&gt;"Entry",Z25=""),FALSE,AND((SUMPRODUCT(('Q1 Data'!$D$4:$D$207=D25)*('Q1 Data'!$B$4:$B$207="Challan")*('Q1 Data'!$H$4:$H$207&lt;&gt;""))+SUMPRODUCT(('Q2 Data'!$D$4:$D$207=D25)*('Q2 Data'!$B$4:$B$207="Challan")*('Q2 Data'!$H$4:$H$207&lt;&gt;""))+SUMPRODUCT(('Q3 Data'!$D$4:$D$207=D25)*('Q3 Data'!$B$4:$B$207="Challan")*('Q3 Data'!$H$4:$H$207&lt;&gt;""))+SUMPRODUCT(('Q4 Data'!$D$4:$D$207=D25)*('Q4 Data'!$B$4:$B$207="Challan")*('Q4 Data'!$H$4:$H$207&lt;&gt;"")))&gt;0,(SUMPRODUCT(('Q1 Data'!$D$4:$D$207=D25)*('Q1 Data'!$B$4:$B$207="Challan")*('Q1 Data'!$H$4:$H$207=Z25))+SUMPRODUCT(('Q2 Data'!$D$4:$D$207=D25)*('Q2 Data'!$B$4:$B$207="Challan")*('Q2 Data'!$H$4:$H$207=Z25))+SUMPRODUCT(('Q3 Data'!$D$4:$D$207=D25)*('Q3 Data'!$B$4:$B$207="Challan")*('Q3 Data'!$H$4:$H$207=Z25))+SUMPRODUCT(('Q4 Data'!$D$4:$D$207=D25)*('Q4 Data'!$B$4:$B$207="Challan")*('Q4 Data'!$H$4:$H$207=Z25)))=0))</f>
      </c>
    </row>
    <row r="26" spans="1:44" x14ac:dyDescent="0.25">
      <c r="A26" s="20">
        <f>IF($B26="Entry",COUNTIF($B$4:$B26,"Entry"),"")</f>
      </c>
      <c r="B26" s="21"/>
      <c r="C26" s="22"/>
      <c r="D26" s="22"/>
      <c r="E26" s="23">
        <f>IF($B26&lt;&gt;"Challan","",IF(ROUND(AN26-AO26,2)&gt;0,"Over-applied",IF(ROUND(AN26-AO26,2)=0,"Fully Utilised","Unconsumed")))</f>
      </c>
      <c r="F26" s="24"/>
      <c r="G26" s="25"/>
      <c r="H26" s="25"/>
      <c r="I26" s="26"/>
      <c r="J26" s="26"/>
      <c r="K26" s="26"/>
      <c r="L26" s="26"/>
      <c r="M26" s="26"/>
      <c r="N26" s="26"/>
      <c r="O26" s="26"/>
      <c r="P26" s="27">
        <f>IF($B26&lt;&gt;"Challan","",I26+J26+K26+L26+M26+N26)</f>
      </c>
      <c r="Q26" s="25"/>
      <c r="R26" s="25"/>
      <c r="S26" s="25"/>
      <c r="T26" s="25"/>
      <c r="U26" s="25"/>
      <c r="V26" s="28"/>
      <c r="W26" s="28"/>
      <c r="X26" s="23">
        <f>IF($B26="Entry",IF(AND(LEN(TRIM(UPPER(W26)))=10,CODE(MID(TRIM(UPPER(W26)),1,1))&gt;=65,CODE(MID(TRIM(UPPER(W26)),1,1))&lt;=90,CODE(MID(TRIM(UPPER(W26)),2,1))&gt;=65,CODE(MID(TRIM(UPPER(W26)),2,1))&lt;=90,CODE(MID(TRIM(UPPER(W26)),3,1))&gt;=65,CODE(MID(TRIM(UPPER(W26)),3,1))&lt;=90,CODE(MID(TRIM(UPPER(W26)),4,1))&gt;=65,CODE(MID(TRIM(UPPER(W26)),4,1))&lt;=90,CODE(MID(TRIM(UPPER(W26)),5,1))&gt;=65,CODE(MID(TRIM(UPPER(W26)),5,1))&lt;=90,CODE(MID(TRIM(UPPER(W26)),10,1))&gt;=65,CODE(MID(TRIM(UPPER(W26)),10,1))&lt;=90,CODE(MID(TRIM(UPPER(W26)),6,1))&gt;=48,CODE(MID(TRIM(UPPER(W26)),6,1))&lt;=57,CODE(MID(TRIM(UPPER(W26)),7,1))&gt;=48,CODE(MID(TRIM(UPPER(W26)),7,1))&lt;=57,CODE(MID(TRIM(UPPER(W26)),8,1))&gt;=48,CODE(MID(TRIM(UPPER(W26)),8,1))&lt;=57,CODE(MID(TRIM(UPPER(W26)),9,1))&gt;=48,CODE(MID(TRIM(UPPER(W26)),9,1))&lt;=57),"N","Y"),IF($B26="Challan","",IF(W26&lt;&gt;"","◄ Set Row Type","")))</f>
      </c>
      <c r="Y26" s="23">
        <f>IF($B26="Entry",IF(LEN(W26)&lt;4,"",IF(UPPER(MID(W26,4,1))="P","Individual",IF(UPPER(MID(W26,4,1))="H","HUF",IF(UPPER(MID(W26,4,1))="C","Company",IF(UPPER(MID(W26,4,1))="F","Firm",IF(UPPER(MID(W26,4,1))="L","LLP",IF(UPPER(MID(W26,4,1))="T","Trust",IF(UPPER(MID(W26,4,1))="A","AOP","")))))))),IF($B26="Challan","",IF(W26&lt;&gt;"","◄ Set Row Type","")))</f>
      </c>
      <c r="Z26" s="28"/>
      <c r="AA26" s="29">
        <f>IF($B26&lt;&gt;"Entry","",IF(Z26="","",IF(X26="Y",SUMPRODUCT(('Rate Lookup'!$A$1:$A$37=Z26)*'Rate Lookup'!$D$1:$D$37),IF(OR(Y26="Individual",Y26="HUF"),SUMPRODUCT(('Rate Lookup'!$A$1:$A$37=Z26)*'Rate Lookup'!$B$1:$B$37),SUMPRODUCT(('Rate Lookup'!$A$1:$A$37=Z26)*'Rate Lookup'!$C$1:$C$37)))))</f>
      </c>
      <c r="AB26" s="30"/>
      <c r="AC26" s="31"/>
      <c r="AD26" s="27">
        <f>IF($B26&lt;&gt;"Entry","",ROUND(AC26*AA26/100,0))</f>
      </c>
      <c r="AE26" s="27">
        <f>IF($B26&lt;&gt;"Entry","",0)</f>
      </c>
      <c r="AF26" s="27">
        <f>IF($B26&lt;&gt;"Entry","",0)</f>
      </c>
      <c r="AG26" s="27">
        <f>IF($B26&lt;&gt;"Entry","",IF(OR(AD26=0,AB26="",AQ26="",AQ26&lt;=0),0,IF(AQ26&lt;=DATE(YEAR(AB26),MONTH(AB26)+1,7),0,ROUND(AD26*0.015*((YEAR(AQ26)-YEAR(AB26))*12+(MONTH(AQ26)-MONTH(AB26))+1),0))))</f>
      </c>
      <c r="AH26" s="27">
        <f>IF($B26&lt;&gt;"Entry","",0)</f>
      </c>
      <c r="AI26" s="28"/>
      <c r="AJ26" s="28"/>
      <c r="AK26" s="32"/>
      <c r="AL26" s="28"/>
      <c r="AM26" s="28"/>
      <c r="AN26" s="27">
        <f>IF($B26&lt;&gt;"Challan","",SUMIF('Q1 Data'!$D$4:$D$207,D26,'Q1 Data'!$AD$4:$AD$207)+SUMIF('Q1 Data'!$D$4:$D$207,D26,'Q1 Data'!$AG$4:$AG$207)+SUMIF('Q1 Data'!$D$4:$D$207,D26,'Q1 Data'!$AE$4:$AE$207)+SUMIF('Q2 Data'!$D$4:$D$207,D26,'Q2 Data'!$AD$4:$AD$207)+SUMIF('Q2 Data'!$D$4:$D$207,D26,'Q2 Data'!$AG$4:$AG$207)+SUMIF('Q2 Data'!$D$4:$D$207,D26,'Q2 Data'!$AE$4:$AE$207)+SUMIF('Q3 Data'!$D$4:$D$207,D26,'Q3 Data'!$AD$4:$AD$207)+SUMIF('Q3 Data'!$D$4:$D$207,D26,'Q3 Data'!$AG$4:$AG$207)+SUMIF('Q3 Data'!$D$4:$D$207,D26,'Q3 Data'!$AE$4:$AE$207)+SUMIF('Q4 Data'!$D$4:$D$207,D26,'Q4 Data'!$AD$4:$AD$207)+SUMIF('Q4 Data'!$D$4:$D$207,D26,'Q4 Data'!$AG$4:$AG$207)+SUMIF('Q4 Data'!$D$4:$D$207,D26,'Q4 Data'!$AE$4:$AE$207))</f>
      </c>
      <c r="AO26" s="27">
        <f>IF($B26&lt;&gt;"Challan","",P26-N26)</f>
      </c>
      <c r="AP26" s="27">
        <f>IF($B26&lt;&gt;"Challan","",MAX(0,AO26-AN26))</f>
      </c>
      <c r="AQ26" s="33">
        <f>IF($B26&lt;&gt;"Entry","",SUMPRODUCT(('Q1 Data'!$D$4:$D$207=D26)*('Q1 Data'!$B$4:$B$207="Challan")*'Q1 Data'!$F$4:$F$207)+SUMPRODUCT(('Q2 Data'!$D$4:$D$207=D26)*('Q2 Data'!$B$4:$B$207="Challan")*'Q2 Data'!$F$4:$F$207)+SUMPRODUCT(('Q3 Data'!$D$4:$D$207=D26)*('Q3 Data'!$B$4:$B$207="Challan")*'Q3 Data'!$F$4:$F$207)+SUMPRODUCT(('Q4 Data'!$D$4:$D$207=D26)*('Q4 Data'!$B$4:$B$207="Challan")*'Q4 Data'!$F$4:$F$207))</f>
      </c>
      <c r="AR26" s="34">
        <f>IF(OR($B26&lt;&gt;"Entry",Z26=""),FALSE,AND((SUMPRODUCT(('Q1 Data'!$D$4:$D$207=D26)*('Q1 Data'!$B$4:$B$207="Challan")*('Q1 Data'!$H$4:$H$207&lt;&gt;""))+SUMPRODUCT(('Q2 Data'!$D$4:$D$207=D26)*('Q2 Data'!$B$4:$B$207="Challan")*('Q2 Data'!$H$4:$H$207&lt;&gt;""))+SUMPRODUCT(('Q3 Data'!$D$4:$D$207=D26)*('Q3 Data'!$B$4:$B$207="Challan")*('Q3 Data'!$H$4:$H$207&lt;&gt;""))+SUMPRODUCT(('Q4 Data'!$D$4:$D$207=D26)*('Q4 Data'!$B$4:$B$207="Challan")*('Q4 Data'!$H$4:$H$207&lt;&gt;"")))&gt;0,(SUMPRODUCT(('Q1 Data'!$D$4:$D$207=D26)*('Q1 Data'!$B$4:$B$207="Challan")*('Q1 Data'!$H$4:$H$207=Z26))+SUMPRODUCT(('Q2 Data'!$D$4:$D$207=D26)*('Q2 Data'!$B$4:$B$207="Challan")*('Q2 Data'!$H$4:$H$207=Z26))+SUMPRODUCT(('Q3 Data'!$D$4:$D$207=D26)*('Q3 Data'!$B$4:$B$207="Challan")*('Q3 Data'!$H$4:$H$207=Z26))+SUMPRODUCT(('Q4 Data'!$D$4:$D$207=D26)*('Q4 Data'!$B$4:$B$207="Challan")*('Q4 Data'!$H$4:$H$207=Z26)))=0))</f>
      </c>
    </row>
    <row r="27" spans="1:44" x14ac:dyDescent="0.25">
      <c r="A27" s="20">
        <f>IF($B27="Entry",COUNTIF($B$4:$B27,"Entry"),"")</f>
      </c>
      <c r="B27" s="21"/>
      <c r="C27" s="22"/>
      <c r="D27" s="22"/>
      <c r="E27" s="23">
        <f>IF($B27&lt;&gt;"Challan","",IF(ROUND(AN27-AO27,2)&gt;0,"Over-applied",IF(ROUND(AN27-AO27,2)=0,"Fully Utilised","Unconsumed")))</f>
      </c>
      <c r="F27" s="24"/>
      <c r="G27" s="25"/>
      <c r="H27" s="25"/>
      <c r="I27" s="26"/>
      <c r="J27" s="26"/>
      <c r="K27" s="26"/>
      <c r="L27" s="26"/>
      <c r="M27" s="26"/>
      <c r="N27" s="26"/>
      <c r="O27" s="26"/>
      <c r="P27" s="27">
        <f>IF($B27&lt;&gt;"Challan","",I27+J27+K27+L27+M27+N27)</f>
      </c>
      <c r="Q27" s="25"/>
      <c r="R27" s="25"/>
      <c r="S27" s="25"/>
      <c r="T27" s="25"/>
      <c r="U27" s="25"/>
      <c r="V27" s="28"/>
      <c r="W27" s="28"/>
      <c r="X27" s="23">
        <f>IF($B27="Entry",IF(AND(LEN(TRIM(UPPER(W27)))=10,CODE(MID(TRIM(UPPER(W27)),1,1))&gt;=65,CODE(MID(TRIM(UPPER(W27)),1,1))&lt;=90,CODE(MID(TRIM(UPPER(W27)),2,1))&gt;=65,CODE(MID(TRIM(UPPER(W27)),2,1))&lt;=90,CODE(MID(TRIM(UPPER(W27)),3,1))&gt;=65,CODE(MID(TRIM(UPPER(W27)),3,1))&lt;=90,CODE(MID(TRIM(UPPER(W27)),4,1))&gt;=65,CODE(MID(TRIM(UPPER(W27)),4,1))&lt;=90,CODE(MID(TRIM(UPPER(W27)),5,1))&gt;=65,CODE(MID(TRIM(UPPER(W27)),5,1))&lt;=90,CODE(MID(TRIM(UPPER(W27)),10,1))&gt;=65,CODE(MID(TRIM(UPPER(W27)),10,1))&lt;=90,CODE(MID(TRIM(UPPER(W27)),6,1))&gt;=48,CODE(MID(TRIM(UPPER(W27)),6,1))&lt;=57,CODE(MID(TRIM(UPPER(W27)),7,1))&gt;=48,CODE(MID(TRIM(UPPER(W27)),7,1))&lt;=57,CODE(MID(TRIM(UPPER(W27)),8,1))&gt;=48,CODE(MID(TRIM(UPPER(W27)),8,1))&lt;=57,CODE(MID(TRIM(UPPER(W27)),9,1))&gt;=48,CODE(MID(TRIM(UPPER(W27)),9,1))&lt;=57),"N","Y"),IF($B27="Challan","",IF(W27&lt;&gt;"","◄ Set Row Type","")))</f>
      </c>
      <c r="Y27" s="23">
        <f>IF($B27="Entry",IF(LEN(W27)&lt;4,"",IF(UPPER(MID(W27,4,1))="P","Individual",IF(UPPER(MID(W27,4,1))="H","HUF",IF(UPPER(MID(W27,4,1))="C","Company",IF(UPPER(MID(W27,4,1))="F","Firm",IF(UPPER(MID(W27,4,1))="L","LLP",IF(UPPER(MID(W27,4,1))="T","Trust",IF(UPPER(MID(W27,4,1))="A","AOP","")))))))),IF($B27="Challan","",IF(W27&lt;&gt;"","◄ Set Row Type","")))</f>
      </c>
      <c r="Z27" s="28"/>
      <c r="AA27" s="29">
        <f>IF($B27&lt;&gt;"Entry","",IF(Z27="","",IF(X27="Y",SUMPRODUCT(('Rate Lookup'!$A$1:$A$37=Z27)*'Rate Lookup'!$D$1:$D$37),IF(OR(Y27="Individual",Y27="HUF"),SUMPRODUCT(('Rate Lookup'!$A$1:$A$37=Z27)*'Rate Lookup'!$B$1:$B$37),SUMPRODUCT(('Rate Lookup'!$A$1:$A$37=Z27)*'Rate Lookup'!$C$1:$C$37)))))</f>
      </c>
      <c r="AB27" s="30"/>
      <c r="AC27" s="31"/>
      <c r="AD27" s="27">
        <f>IF($B27&lt;&gt;"Entry","",ROUND(AC27*AA27/100,0))</f>
      </c>
      <c r="AE27" s="27">
        <f>IF($B27&lt;&gt;"Entry","",0)</f>
      </c>
      <c r="AF27" s="27">
        <f>IF($B27&lt;&gt;"Entry","",0)</f>
      </c>
      <c r="AG27" s="27">
        <f>IF($B27&lt;&gt;"Entry","",IF(OR(AD27=0,AB27="",AQ27="",AQ27&lt;=0),0,IF(AQ27&lt;=DATE(YEAR(AB27),MONTH(AB27)+1,7),0,ROUND(AD27*0.015*((YEAR(AQ27)-YEAR(AB27))*12+(MONTH(AQ27)-MONTH(AB27))+1),0))))</f>
      </c>
      <c r="AH27" s="27">
        <f>IF($B27&lt;&gt;"Entry","",0)</f>
      </c>
      <c r="AI27" s="28"/>
      <c r="AJ27" s="28"/>
      <c r="AK27" s="32"/>
      <c r="AL27" s="28"/>
      <c r="AM27" s="28"/>
      <c r="AN27" s="27">
        <f>IF($B27&lt;&gt;"Challan","",SUMIF('Q1 Data'!$D$4:$D$207,D27,'Q1 Data'!$AD$4:$AD$207)+SUMIF('Q1 Data'!$D$4:$D$207,D27,'Q1 Data'!$AG$4:$AG$207)+SUMIF('Q1 Data'!$D$4:$D$207,D27,'Q1 Data'!$AE$4:$AE$207)+SUMIF('Q2 Data'!$D$4:$D$207,D27,'Q2 Data'!$AD$4:$AD$207)+SUMIF('Q2 Data'!$D$4:$D$207,D27,'Q2 Data'!$AG$4:$AG$207)+SUMIF('Q2 Data'!$D$4:$D$207,D27,'Q2 Data'!$AE$4:$AE$207)+SUMIF('Q3 Data'!$D$4:$D$207,D27,'Q3 Data'!$AD$4:$AD$207)+SUMIF('Q3 Data'!$D$4:$D$207,D27,'Q3 Data'!$AG$4:$AG$207)+SUMIF('Q3 Data'!$D$4:$D$207,D27,'Q3 Data'!$AE$4:$AE$207)+SUMIF('Q4 Data'!$D$4:$D$207,D27,'Q4 Data'!$AD$4:$AD$207)+SUMIF('Q4 Data'!$D$4:$D$207,D27,'Q4 Data'!$AG$4:$AG$207)+SUMIF('Q4 Data'!$D$4:$D$207,D27,'Q4 Data'!$AE$4:$AE$207))</f>
      </c>
      <c r="AO27" s="27">
        <f>IF($B27&lt;&gt;"Challan","",P27-N27)</f>
      </c>
      <c r="AP27" s="27">
        <f>IF($B27&lt;&gt;"Challan","",MAX(0,AO27-AN27))</f>
      </c>
      <c r="AQ27" s="33">
        <f>IF($B27&lt;&gt;"Entry","",SUMPRODUCT(('Q1 Data'!$D$4:$D$207=D27)*('Q1 Data'!$B$4:$B$207="Challan")*'Q1 Data'!$F$4:$F$207)+SUMPRODUCT(('Q2 Data'!$D$4:$D$207=D27)*('Q2 Data'!$B$4:$B$207="Challan")*'Q2 Data'!$F$4:$F$207)+SUMPRODUCT(('Q3 Data'!$D$4:$D$207=D27)*('Q3 Data'!$B$4:$B$207="Challan")*'Q3 Data'!$F$4:$F$207)+SUMPRODUCT(('Q4 Data'!$D$4:$D$207=D27)*('Q4 Data'!$B$4:$B$207="Challan")*'Q4 Data'!$F$4:$F$207))</f>
      </c>
      <c r="AR27" s="34">
        <f>IF(OR($B27&lt;&gt;"Entry",Z27=""),FALSE,AND((SUMPRODUCT(('Q1 Data'!$D$4:$D$207=D27)*('Q1 Data'!$B$4:$B$207="Challan")*('Q1 Data'!$H$4:$H$207&lt;&gt;""))+SUMPRODUCT(('Q2 Data'!$D$4:$D$207=D27)*('Q2 Data'!$B$4:$B$207="Challan")*('Q2 Data'!$H$4:$H$207&lt;&gt;""))+SUMPRODUCT(('Q3 Data'!$D$4:$D$207=D27)*('Q3 Data'!$B$4:$B$207="Challan")*('Q3 Data'!$H$4:$H$207&lt;&gt;""))+SUMPRODUCT(('Q4 Data'!$D$4:$D$207=D27)*('Q4 Data'!$B$4:$B$207="Challan")*('Q4 Data'!$H$4:$H$207&lt;&gt;"")))&gt;0,(SUMPRODUCT(('Q1 Data'!$D$4:$D$207=D27)*('Q1 Data'!$B$4:$B$207="Challan")*('Q1 Data'!$H$4:$H$207=Z27))+SUMPRODUCT(('Q2 Data'!$D$4:$D$207=D27)*('Q2 Data'!$B$4:$B$207="Challan")*('Q2 Data'!$H$4:$H$207=Z27))+SUMPRODUCT(('Q3 Data'!$D$4:$D$207=D27)*('Q3 Data'!$B$4:$B$207="Challan")*('Q3 Data'!$H$4:$H$207=Z27))+SUMPRODUCT(('Q4 Data'!$D$4:$D$207=D27)*('Q4 Data'!$B$4:$B$207="Challan")*('Q4 Data'!$H$4:$H$207=Z27)))=0))</f>
      </c>
    </row>
    <row r="28" spans="1:44" x14ac:dyDescent="0.25">
      <c r="A28" s="20">
        <f>IF($B28="Entry",COUNTIF($B$4:$B28,"Entry"),"")</f>
      </c>
      <c r="B28" s="21"/>
      <c r="C28" s="22"/>
      <c r="D28" s="22"/>
      <c r="E28" s="23">
        <f>IF($B28&lt;&gt;"Challan","",IF(ROUND(AN28-AO28,2)&gt;0,"Over-applied",IF(ROUND(AN28-AO28,2)=0,"Fully Utilised","Unconsumed")))</f>
      </c>
      <c r="F28" s="24"/>
      <c r="G28" s="25"/>
      <c r="H28" s="25"/>
      <c r="I28" s="26"/>
      <c r="J28" s="26"/>
      <c r="K28" s="26"/>
      <c r="L28" s="26"/>
      <c r="M28" s="26"/>
      <c r="N28" s="26"/>
      <c r="O28" s="26"/>
      <c r="P28" s="27">
        <f>IF($B28&lt;&gt;"Challan","",I28+J28+K28+L28+M28+N28)</f>
      </c>
      <c r="Q28" s="25"/>
      <c r="R28" s="25"/>
      <c r="S28" s="25"/>
      <c r="T28" s="25"/>
      <c r="U28" s="25"/>
      <c r="V28" s="28"/>
      <c r="W28" s="28"/>
      <c r="X28" s="23">
        <f>IF($B28="Entry",IF(AND(LEN(TRIM(UPPER(W28)))=10,CODE(MID(TRIM(UPPER(W28)),1,1))&gt;=65,CODE(MID(TRIM(UPPER(W28)),1,1))&lt;=90,CODE(MID(TRIM(UPPER(W28)),2,1))&gt;=65,CODE(MID(TRIM(UPPER(W28)),2,1))&lt;=90,CODE(MID(TRIM(UPPER(W28)),3,1))&gt;=65,CODE(MID(TRIM(UPPER(W28)),3,1))&lt;=90,CODE(MID(TRIM(UPPER(W28)),4,1))&gt;=65,CODE(MID(TRIM(UPPER(W28)),4,1))&lt;=90,CODE(MID(TRIM(UPPER(W28)),5,1))&gt;=65,CODE(MID(TRIM(UPPER(W28)),5,1))&lt;=90,CODE(MID(TRIM(UPPER(W28)),10,1))&gt;=65,CODE(MID(TRIM(UPPER(W28)),10,1))&lt;=90,CODE(MID(TRIM(UPPER(W28)),6,1))&gt;=48,CODE(MID(TRIM(UPPER(W28)),6,1))&lt;=57,CODE(MID(TRIM(UPPER(W28)),7,1))&gt;=48,CODE(MID(TRIM(UPPER(W28)),7,1))&lt;=57,CODE(MID(TRIM(UPPER(W28)),8,1))&gt;=48,CODE(MID(TRIM(UPPER(W28)),8,1))&lt;=57,CODE(MID(TRIM(UPPER(W28)),9,1))&gt;=48,CODE(MID(TRIM(UPPER(W28)),9,1))&lt;=57),"N","Y"),IF($B28="Challan","",IF(W28&lt;&gt;"","◄ Set Row Type","")))</f>
      </c>
      <c r="Y28" s="23">
        <f>IF($B28="Entry",IF(LEN(W28)&lt;4,"",IF(UPPER(MID(W28,4,1))="P","Individual",IF(UPPER(MID(W28,4,1))="H","HUF",IF(UPPER(MID(W28,4,1))="C","Company",IF(UPPER(MID(W28,4,1))="F","Firm",IF(UPPER(MID(W28,4,1))="L","LLP",IF(UPPER(MID(W28,4,1))="T","Trust",IF(UPPER(MID(W28,4,1))="A","AOP","")))))))),IF($B28="Challan","",IF(W28&lt;&gt;"","◄ Set Row Type","")))</f>
      </c>
      <c r="Z28" s="28"/>
      <c r="AA28" s="29">
        <f>IF($B28&lt;&gt;"Entry","",IF(Z28="","",IF(X28="Y",SUMPRODUCT(('Rate Lookup'!$A$1:$A$37=Z28)*'Rate Lookup'!$D$1:$D$37),IF(OR(Y28="Individual",Y28="HUF"),SUMPRODUCT(('Rate Lookup'!$A$1:$A$37=Z28)*'Rate Lookup'!$B$1:$B$37),SUMPRODUCT(('Rate Lookup'!$A$1:$A$37=Z28)*'Rate Lookup'!$C$1:$C$37)))))</f>
      </c>
      <c r="AB28" s="30"/>
      <c r="AC28" s="31"/>
      <c r="AD28" s="27">
        <f>IF($B28&lt;&gt;"Entry","",ROUND(AC28*AA28/100,0))</f>
      </c>
      <c r="AE28" s="27">
        <f>IF($B28&lt;&gt;"Entry","",0)</f>
      </c>
      <c r="AF28" s="27">
        <f>IF($B28&lt;&gt;"Entry","",0)</f>
      </c>
      <c r="AG28" s="27">
        <f>IF($B28&lt;&gt;"Entry","",IF(OR(AD28=0,AB28="",AQ28="",AQ28&lt;=0),0,IF(AQ28&lt;=DATE(YEAR(AB28),MONTH(AB28)+1,7),0,ROUND(AD28*0.015*((YEAR(AQ28)-YEAR(AB28))*12+(MONTH(AQ28)-MONTH(AB28))+1),0))))</f>
      </c>
      <c r="AH28" s="27">
        <f>IF($B28&lt;&gt;"Entry","",0)</f>
      </c>
      <c r="AI28" s="28"/>
      <c r="AJ28" s="28"/>
      <c r="AK28" s="32"/>
      <c r="AL28" s="28"/>
      <c r="AM28" s="28"/>
      <c r="AN28" s="27">
        <f>IF($B28&lt;&gt;"Challan","",SUMIF('Q1 Data'!$D$4:$D$207,D28,'Q1 Data'!$AD$4:$AD$207)+SUMIF('Q1 Data'!$D$4:$D$207,D28,'Q1 Data'!$AG$4:$AG$207)+SUMIF('Q1 Data'!$D$4:$D$207,D28,'Q1 Data'!$AE$4:$AE$207)+SUMIF('Q2 Data'!$D$4:$D$207,D28,'Q2 Data'!$AD$4:$AD$207)+SUMIF('Q2 Data'!$D$4:$D$207,D28,'Q2 Data'!$AG$4:$AG$207)+SUMIF('Q2 Data'!$D$4:$D$207,D28,'Q2 Data'!$AE$4:$AE$207)+SUMIF('Q3 Data'!$D$4:$D$207,D28,'Q3 Data'!$AD$4:$AD$207)+SUMIF('Q3 Data'!$D$4:$D$207,D28,'Q3 Data'!$AG$4:$AG$207)+SUMIF('Q3 Data'!$D$4:$D$207,D28,'Q3 Data'!$AE$4:$AE$207)+SUMIF('Q4 Data'!$D$4:$D$207,D28,'Q4 Data'!$AD$4:$AD$207)+SUMIF('Q4 Data'!$D$4:$D$207,D28,'Q4 Data'!$AG$4:$AG$207)+SUMIF('Q4 Data'!$D$4:$D$207,D28,'Q4 Data'!$AE$4:$AE$207))</f>
      </c>
      <c r="AO28" s="27">
        <f>IF($B28&lt;&gt;"Challan","",P28-N28)</f>
      </c>
      <c r="AP28" s="27">
        <f>IF($B28&lt;&gt;"Challan","",MAX(0,AO28-AN28))</f>
      </c>
      <c r="AQ28" s="33">
        <f>IF($B28&lt;&gt;"Entry","",SUMPRODUCT(('Q1 Data'!$D$4:$D$207=D28)*('Q1 Data'!$B$4:$B$207="Challan")*'Q1 Data'!$F$4:$F$207)+SUMPRODUCT(('Q2 Data'!$D$4:$D$207=D28)*('Q2 Data'!$B$4:$B$207="Challan")*'Q2 Data'!$F$4:$F$207)+SUMPRODUCT(('Q3 Data'!$D$4:$D$207=D28)*('Q3 Data'!$B$4:$B$207="Challan")*'Q3 Data'!$F$4:$F$207)+SUMPRODUCT(('Q4 Data'!$D$4:$D$207=D28)*('Q4 Data'!$B$4:$B$207="Challan")*'Q4 Data'!$F$4:$F$207))</f>
      </c>
      <c r="AR28" s="34">
        <f>IF(OR($B28&lt;&gt;"Entry",Z28=""),FALSE,AND((SUMPRODUCT(('Q1 Data'!$D$4:$D$207=D28)*('Q1 Data'!$B$4:$B$207="Challan")*('Q1 Data'!$H$4:$H$207&lt;&gt;""))+SUMPRODUCT(('Q2 Data'!$D$4:$D$207=D28)*('Q2 Data'!$B$4:$B$207="Challan")*('Q2 Data'!$H$4:$H$207&lt;&gt;""))+SUMPRODUCT(('Q3 Data'!$D$4:$D$207=D28)*('Q3 Data'!$B$4:$B$207="Challan")*('Q3 Data'!$H$4:$H$207&lt;&gt;""))+SUMPRODUCT(('Q4 Data'!$D$4:$D$207=D28)*('Q4 Data'!$B$4:$B$207="Challan")*('Q4 Data'!$H$4:$H$207&lt;&gt;"")))&gt;0,(SUMPRODUCT(('Q1 Data'!$D$4:$D$207=D28)*('Q1 Data'!$B$4:$B$207="Challan")*('Q1 Data'!$H$4:$H$207=Z28))+SUMPRODUCT(('Q2 Data'!$D$4:$D$207=D28)*('Q2 Data'!$B$4:$B$207="Challan")*('Q2 Data'!$H$4:$H$207=Z28))+SUMPRODUCT(('Q3 Data'!$D$4:$D$207=D28)*('Q3 Data'!$B$4:$B$207="Challan")*('Q3 Data'!$H$4:$H$207=Z28))+SUMPRODUCT(('Q4 Data'!$D$4:$D$207=D28)*('Q4 Data'!$B$4:$B$207="Challan")*('Q4 Data'!$H$4:$H$207=Z28)))=0))</f>
      </c>
    </row>
    <row r="29" spans="1:44" x14ac:dyDescent="0.25">
      <c r="A29" s="20">
        <f>IF($B29="Entry",COUNTIF($B$4:$B29,"Entry"),"")</f>
      </c>
      <c r="B29" s="21"/>
      <c r="C29" s="22"/>
      <c r="D29" s="22"/>
      <c r="E29" s="23">
        <f>IF($B29&lt;&gt;"Challan","",IF(ROUND(AN29-AO29,2)&gt;0,"Over-applied",IF(ROUND(AN29-AO29,2)=0,"Fully Utilised","Unconsumed")))</f>
      </c>
      <c r="F29" s="24"/>
      <c r="G29" s="25"/>
      <c r="H29" s="25"/>
      <c r="I29" s="26"/>
      <c r="J29" s="26"/>
      <c r="K29" s="26"/>
      <c r="L29" s="26"/>
      <c r="M29" s="26"/>
      <c r="N29" s="26"/>
      <c r="O29" s="26"/>
      <c r="P29" s="27">
        <f>IF($B29&lt;&gt;"Challan","",I29+J29+K29+L29+M29+N29)</f>
      </c>
      <c r="Q29" s="25"/>
      <c r="R29" s="25"/>
      <c r="S29" s="25"/>
      <c r="T29" s="25"/>
      <c r="U29" s="25"/>
      <c r="V29" s="28"/>
      <c r="W29" s="28"/>
      <c r="X29" s="23">
        <f>IF($B29="Entry",IF(AND(LEN(TRIM(UPPER(W29)))=10,CODE(MID(TRIM(UPPER(W29)),1,1))&gt;=65,CODE(MID(TRIM(UPPER(W29)),1,1))&lt;=90,CODE(MID(TRIM(UPPER(W29)),2,1))&gt;=65,CODE(MID(TRIM(UPPER(W29)),2,1))&lt;=90,CODE(MID(TRIM(UPPER(W29)),3,1))&gt;=65,CODE(MID(TRIM(UPPER(W29)),3,1))&lt;=90,CODE(MID(TRIM(UPPER(W29)),4,1))&gt;=65,CODE(MID(TRIM(UPPER(W29)),4,1))&lt;=90,CODE(MID(TRIM(UPPER(W29)),5,1))&gt;=65,CODE(MID(TRIM(UPPER(W29)),5,1))&lt;=90,CODE(MID(TRIM(UPPER(W29)),10,1))&gt;=65,CODE(MID(TRIM(UPPER(W29)),10,1))&lt;=90,CODE(MID(TRIM(UPPER(W29)),6,1))&gt;=48,CODE(MID(TRIM(UPPER(W29)),6,1))&lt;=57,CODE(MID(TRIM(UPPER(W29)),7,1))&gt;=48,CODE(MID(TRIM(UPPER(W29)),7,1))&lt;=57,CODE(MID(TRIM(UPPER(W29)),8,1))&gt;=48,CODE(MID(TRIM(UPPER(W29)),8,1))&lt;=57,CODE(MID(TRIM(UPPER(W29)),9,1))&gt;=48,CODE(MID(TRIM(UPPER(W29)),9,1))&lt;=57),"N","Y"),IF($B29="Challan","",IF(W29&lt;&gt;"","◄ Set Row Type","")))</f>
      </c>
      <c r="Y29" s="23">
        <f>IF($B29="Entry",IF(LEN(W29)&lt;4,"",IF(UPPER(MID(W29,4,1))="P","Individual",IF(UPPER(MID(W29,4,1))="H","HUF",IF(UPPER(MID(W29,4,1))="C","Company",IF(UPPER(MID(W29,4,1))="F","Firm",IF(UPPER(MID(W29,4,1))="L","LLP",IF(UPPER(MID(W29,4,1))="T","Trust",IF(UPPER(MID(W29,4,1))="A","AOP","")))))))),IF($B29="Challan","",IF(W29&lt;&gt;"","◄ Set Row Type","")))</f>
      </c>
      <c r="Z29" s="28"/>
      <c r="AA29" s="29">
        <f>IF($B29&lt;&gt;"Entry","",IF(Z29="","",IF(X29="Y",SUMPRODUCT(('Rate Lookup'!$A$1:$A$37=Z29)*'Rate Lookup'!$D$1:$D$37),IF(OR(Y29="Individual",Y29="HUF"),SUMPRODUCT(('Rate Lookup'!$A$1:$A$37=Z29)*'Rate Lookup'!$B$1:$B$37),SUMPRODUCT(('Rate Lookup'!$A$1:$A$37=Z29)*'Rate Lookup'!$C$1:$C$37)))))</f>
      </c>
      <c r="AB29" s="30"/>
      <c r="AC29" s="31"/>
      <c r="AD29" s="27">
        <f>IF($B29&lt;&gt;"Entry","",ROUND(AC29*AA29/100,0))</f>
      </c>
      <c r="AE29" s="27">
        <f>IF($B29&lt;&gt;"Entry","",0)</f>
      </c>
      <c r="AF29" s="27">
        <f>IF($B29&lt;&gt;"Entry","",0)</f>
      </c>
      <c r="AG29" s="27">
        <f>IF($B29&lt;&gt;"Entry","",IF(OR(AD29=0,AB29="",AQ29="",AQ29&lt;=0),0,IF(AQ29&lt;=DATE(YEAR(AB29),MONTH(AB29)+1,7),0,ROUND(AD29*0.015*((YEAR(AQ29)-YEAR(AB29))*12+(MONTH(AQ29)-MONTH(AB29))+1),0))))</f>
      </c>
      <c r="AH29" s="27">
        <f>IF($B29&lt;&gt;"Entry","",0)</f>
      </c>
      <c r="AI29" s="28"/>
      <c r="AJ29" s="28"/>
      <c r="AK29" s="32"/>
      <c r="AL29" s="28"/>
      <c r="AM29" s="28"/>
      <c r="AN29" s="27">
        <f>IF($B29&lt;&gt;"Challan","",SUMIF('Q1 Data'!$D$4:$D$207,D29,'Q1 Data'!$AD$4:$AD$207)+SUMIF('Q1 Data'!$D$4:$D$207,D29,'Q1 Data'!$AG$4:$AG$207)+SUMIF('Q1 Data'!$D$4:$D$207,D29,'Q1 Data'!$AE$4:$AE$207)+SUMIF('Q2 Data'!$D$4:$D$207,D29,'Q2 Data'!$AD$4:$AD$207)+SUMIF('Q2 Data'!$D$4:$D$207,D29,'Q2 Data'!$AG$4:$AG$207)+SUMIF('Q2 Data'!$D$4:$D$207,D29,'Q2 Data'!$AE$4:$AE$207)+SUMIF('Q3 Data'!$D$4:$D$207,D29,'Q3 Data'!$AD$4:$AD$207)+SUMIF('Q3 Data'!$D$4:$D$207,D29,'Q3 Data'!$AG$4:$AG$207)+SUMIF('Q3 Data'!$D$4:$D$207,D29,'Q3 Data'!$AE$4:$AE$207)+SUMIF('Q4 Data'!$D$4:$D$207,D29,'Q4 Data'!$AD$4:$AD$207)+SUMIF('Q4 Data'!$D$4:$D$207,D29,'Q4 Data'!$AG$4:$AG$207)+SUMIF('Q4 Data'!$D$4:$D$207,D29,'Q4 Data'!$AE$4:$AE$207))</f>
      </c>
      <c r="AO29" s="27">
        <f>IF($B29&lt;&gt;"Challan","",P29-N29)</f>
      </c>
      <c r="AP29" s="27">
        <f>IF($B29&lt;&gt;"Challan","",MAX(0,AO29-AN29))</f>
      </c>
      <c r="AQ29" s="33">
        <f>IF($B29&lt;&gt;"Entry","",SUMPRODUCT(('Q1 Data'!$D$4:$D$207=D29)*('Q1 Data'!$B$4:$B$207="Challan")*'Q1 Data'!$F$4:$F$207)+SUMPRODUCT(('Q2 Data'!$D$4:$D$207=D29)*('Q2 Data'!$B$4:$B$207="Challan")*'Q2 Data'!$F$4:$F$207)+SUMPRODUCT(('Q3 Data'!$D$4:$D$207=D29)*('Q3 Data'!$B$4:$B$207="Challan")*'Q3 Data'!$F$4:$F$207)+SUMPRODUCT(('Q4 Data'!$D$4:$D$207=D29)*('Q4 Data'!$B$4:$B$207="Challan")*'Q4 Data'!$F$4:$F$207))</f>
      </c>
      <c r="AR29" s="34">
        <f>IF(OR($B29&lt;&gt;"Entry",Z29=""),FALSE,AND((SUMPRODUCT(('Q1 Data'!$D$4:$D$207=D29)*('Q1 Data'!$B$4:$B$207="Challan")*('Q1 Data'!$H$4:$H$207&lt;&gt;""))+SUMPRODUCT(('Q2 Data'!$D$4:$D$207=D29)*('Q2 Data'!$B$4:$B$207="Challan")*('Q2 Data'!$H$4:$H$207&lt;&gt;""))+SUMPRODUCT(('Q3 Data'!$D$4:$D$207=D29)*('Q3 Data'!$B$4:$B$207="Challan")*('Q3 Data'!$H$4:$H$207&lt;&gt;""))+SUMPRODUCT(('Q4 Data'!$D$4:$D$207=D29)*('Q4 Data'!$B$4:$B$207="Challan")*('Q4 Data'!$H$4:$H$207&lt;&gt;"")))&gt;0,(SUMPRODUCT(('Q1 Data'!$D$4:$D$207=D29)*('Q1 Data'!$B$4:$B$207="Challan")*('Q1 Data'!$H$4:$H$207=Z29))+SUMPRODUCT(('Q2 Data'!$D$4:$D$207=D29)*('Q2 Data'!$B$4:$B$207="Challan")*('Q2 Data'!$H$4:$H$207=Z29))+SUMPRODUCT(('Q3 Data'!$D$4:$D$207=D29)*('Q3 Data'!$B$4:$B$207="Challan")*('Q3 Data'!$H$4:$H$207=Z29))+SUMPRODUCT(('Q4 Data'!$D$4:$D$207=D29)*('Q4 Data'!$B$4:$B$207="Challan")*('Q4 Data'!$H$4:$H$207=Z29)))=0))</f>
      </c>
    </row>
    <row r="30" spans="1:44" x14ac:dyDescent="0.25">
      <c r="A30" s="20">
        <f>IF($B30="Entry",COUNTIF($B$4:$B30,"Entry"),"")</f>
      </c>
      <c r="B30" s="21"/>
      <c r="C30" s="22"/>
      <c r="D30" s="22"/>
      <c r="E30" s="23">
        <f>IF($B30&lt;&gt;"Challan","",IF(ROUND(AN30-AO30,2)&gt;0,"Over-applied",IF(ROUND(AN30-AO30,2)=0,"Fully Utilised","Unconsumed")))</f>
      </c>
      <c r="F30" s="24"/>
      <c r="G30" s="25"/>
      <c r="H30" s="25"/>
      <c r="I30" s="26"/>
      <c r="J30" s="26"/>
      <c r="K30" s="26"/>
      <c r="L30" s="26"/>
      <c r="M30" s="26"/>
      <c r="N30" s="26"/>
      <c r="O30" s="26"/>
      <c r="P30" s="27">
        <f>IF($B30&lt;&gt;"Challan","",I30+J30+K30+L30+M30+N30)</f>
      </c>
      <c r="Q30" s="25"/>
      <c r="R30" s="25"/>
      <c r="S30" s="25"/>
      <c r="T30" s="25"/>
      <c r="U30" s="25"/>
      <c r="V30" s="28"/>
      <c r="W30" s="28"/>
      <c r="X30" s="23">
        <f>IF($B30="Entry",IF(AND(LEN(TRIM(UPPER(W30)))=10,CODE(MID(TRIM(UPPER(W30)),1,1))&gt;=65,CODE(MID(TRIM(UPPER(W30)),1,1))&lt;=90,CODE(MID(TRIM(UPPER(W30)),2,1))&gt;=65,CODE(MID(TRIM(UPPER(W30)),2,1))&lt;=90,CODE(MID(TRIM(UPPER(W30)),3,1))&gt;=65,CODE(MID(TRIM(UPPER(W30)),3,1))&lt;=90,CODE(MID(TRIM(UPPER(W30)),4,1))&gt;=65,CODE(MID(TRIM(UPPER(W30)),4,1))&lt;=90,CODE(MID(TRIM(UPPER(W30)),5,1))&gt;=65,CODE(MID(TRIM(UPPER(W30)),5,1))&lt;=90,CODE(MID(TRIM(UPPER(W30)),10,1))&gt;=65,CODE(MID(TRIM(UPPER(W30)),10,1))&lt;=90,CODE(MID(TRIM(UPPER(W30)),6,1))&gt;=48,CODE(MID(TRIM(UPPER(W30)),6,1))&lt;=57,CODE(MID(TRIM(UPPER(W30)),7,1))&gt;=48,CODE(MID(TRIM(UPPER(W30)),7,1))&lt;=57,CODE(MID(TRIM(UPPER(W30)),8,1))&gt;=48,CODE(MID(TRIM(UPPER(W30)),8,1))&lt;=57,CODE(MID(TRIM(UPPER(W30)),9,1))&gt;=48,CODE(MID(TRIM(UPPER(W30)),9,1))&lt;=57),"N","Y"),IF($B30="Challan","",IF(W30&lt;&gt;"","◄ Set Row Type","")))</f>
      </c>
      <c r="Y30" s="23">
        <f>IF($B30="Entry",IF(LEN(W30)&lt;4,"",IF(UPPER(MID(W30,4,1))="P","Individual",IF(UPPER(MID(W30,4,1))="H","HUF",IF(UPPER(MID(W30,4,1))="C","Company",IF(UPPER(MID(W30,4,1))="F","Firm",IF(UPPER(MID(W30,4,1))="L","LLP",IF(UPPER(MID(W30,4,1))="T","Trust",IF(UPPER(MID(W30,4,1))="A","AOP","")))))))),IF($B30="Challan","",IF(W30&lt;&gt;"","◄ Set Row Type","")))</f>
      </c>
      <c r="Z30" s="28"/>
      <c r="AA30" s="29">
        <f>IF($B30&lt;&gt;"Entry","",IF(Z30="","",IF(X30="Y",SUMPRODUCT(('Rate Lookup'!$A$1:$A$37=Z30)*'Rate Lookup'!$D$1:$D$37),IF(OR(Y30="Individual",Y30="HUF"),SUMPRODUCT(('Rate Lookup'!$A$1:$A$37=Z30)*'Rate Lookup'!$B$1:$B$37),SUMPRODUCT(('Rate Lookup'!$A$1:$A$37=Z30)*'Rate Lookup'!$C$1:$C$37)))))</f>
      </c>
      <c r="AB30" s="30"/>
      <c r="AC30" s="31"/>
      <c r="AD30" s="27">
        <f>IF($B30&lt;&gt;"Entry","",ROUND(AC30*AA30/100,0))</f>
      </c>
      <c r="AE30" s="27">
        <f>IF($B30&lt;&gt;"Entry","",0)</f>
      </c>
      <c r="AF30" s="27">
        <f>IF($B30&lt;&gt;"Entry","",0)</f>
      </c>
      <c r="AG30" s="27">
        <f>IF($B30&lt;&gt;"Entry","",IF(OR(AD30=0,AB30="",AQ30="",AQ30&lt;=0),0,IF(AQ30&lt;=DATE(YEAR(AB30),MONTH(AB30)+1,7),0,ROUND(AD30*0.015*((YEAR(AQ30)-YEAR(AB30))*12+(MONTH(AQ30)-MONTH(AB30))+1),0))))</f>
      </c>
      <c r="AH30" s="27">
        <f>IF($B30&lt;&gt;"Entry","",0)</f>
      </c>
      <c r="AI30" s="28"/>
      <c r="AJ30" s="28"/>
      <c r="AK30" s="32"/>
      <c r="AL30" s="28"/>
      <c r="AM30" s="28"/>
      <c r="AN30" s="27">
        <f>IF($B30&lt;&gt;"Challan","",SUMIF('Q1 Data'!$D$4:$D$207,D30,'Q1 Data'!$AD$4:$AD$207)+SUMIF('Q1 Data'!$D$4:$D$207,D30,'Q1 Data'!$AG$4:$AG$207)+SUMIF('Q1 Data'!$D$4:$D$207,D30,'Q1 Data'!$AE$4:$AE$207)+SUMIF('Q2 Data'!$D$4:$D$207,D30,'Q2 Data'!$AD$4:$AD$207)+SUMIF('Q2 Data'!$D$4:$D$207,D30,'Q2 Data'!$AG$4:$AG$207)+SUMIF('Q2 Data'!$D$4:$D$207,D30,'Q2 Data'!$AE$4:$AE$207)+SUMIF('Q3 Data'!$D$4:$D$207,D30,'Q3 Data'!$AD$4:$AD$207)+SUMIF('Q3 Data'!$D$4:$D$207,D30,'Q3 Data'!$AG$4:$AG$207)+SUMIF('Q3 Data'!$D$4:$D$207,D30,'Q3 Data'!$AE$4:$AE$207)+SUMIF('Q4 Data'!$D$4:$D$207,D30,'Q4 Data'!$AD$4:$AD$207)+SUMIF('Q4 Data'!$D$4:$D$207,D30,'Q4 Data'!$AG$4:$AG$207)+SUMIF('Q4 Data'!$D$4:$D$207,D30,'Q4 Data'!$AE$4:$AE$207))</f>
      </c>
      <c r="AO30" s="27">
        <f>IF($B30&lt;&gt;"Challan","",P30-N30)</f>
      </c>
      <c r="AP30" s="27">
        <f>IF($B30&lt;&gt;"Challan","",MAX(0,AO30-AN30))</f>
      </c>
      <c r="AQ30" s="33">
        <f>IF($B30&lt;&gt;"Entry","",SUMPRODUCT(('Q1 Data'!$D$4:$D$207=D30)*('Q1 Data'!$B$4:$B$207="Challan")*'Q1 Data'!$F$4:$F$207)+SUMPRODUCT(('Q2 Data'!$D$4:$D$207=D30)*('Q2 Data'!$B$4:$B$207="Challan")*'Q2 Data'!$F$4:$F$207)+SUMPRODUCT(('Q3 Data'!$D$4:$D$207=D30)*('Q3 Data'!$B$4:$B$207="Challan")*'Q3 Data'!$F$4:$F$207)+SUMPRODUCT(('Q4 Data'!$D$4:$D$207=D30)*('Q4 Data'!$B$4:$B$207="Challan")*'Q4 Data'!$F$4:$F$207))</f>
      </c>
      <c r="AR30" s="34">
        <f>IF(OR($B30&lt;&gt;"Entry",Z30=""),FALSE,AND((SUMPRODUCT(('Q1 Data'!$D$4:$D$207=D30)*('Q1 Data'!$B$4:$B$207="Challan")*('Q1 Data'!$H$4:$H$207&lt;&gt;""))+SUMPRODUCT(('Q2 Data'!$D$4:$D$207=D30)*('Q2 Data'!$B$4:$B$207="Challan")*('Q2 Data'!$H$4:$H$207&lt;&gt;""))+SUMPRODUCT(('Q3 Data'!$D$4:$D$207=D30)*('Q3 Data'!$B$4:$B$207="Challan")*('Q3 Data'!$H$4:$H$207&lt;&gt;""))+SUMPRODUCT(('Q4 Data'!$D$4:$D$207=D30)*('Q4 Data'!$B$4:$B$207="Challan")*('Q4 Data'!$H$4:$H$207&lt;&gt;"")))&gt;0,(SUMPRODUCT(('Q1 Data'!$D$4:$D$207=D30)*('Q1 Data'!$B$4:$B$207="Challan")*('Q1 Data'!$H$4:$H$207=Z30))+SUMPRODUCT(('Q2 Data'!$D$4:$D$207=D30)*('Q2 Data'!$B$4:$B$207="Challan")*('Q2 Data'!$H$4:$H$207=Z30))+SUMPRODUCT(('Q3 Data'!$D$4:$D$207=D30)*('Q3 Data'!$B$4:$B$207="Challan")*('Q3 Data'!$H$4:$H$207=Z30))+SUMPRODUCT(('Q4 Data'!$D$4:$D$207=D30)*('Q4 Data'!$B$4:$B$207="Challan")*('Q4 Data'!$H$4:$H$207=Z30)))=0))</f>
      </c>
    </row>
    <row r="31" spans="1:44" x14ac:dyDescent="0.25">
      <c r="A31" s="20">
        <f>IF($B31="Entry",COUNTIF($B$4:$B31,"Entry"),"")</f>
      </c>
      <c r="B31" s="21"/>
      <c r="C31" s="22"/>
      <c r="D31" s="22"/>
      <c r="E31" s="23">
        <f>IF($B31&lt;&gt;"Challan","",IF(ROUND(AN31-AO31,2)&gt;0,"Over-applied",IF(ROUND(AN31-AO31,2)=0,"Fully Utilised","Unconsumed")))</f>
      </c>
      <c r="F31" s="24"/>
      <c r="G31" s="25"/>
      <c r="H31" s="25"/>
      <c r="I31" s="26"/>
      <c r="J31" s="26"/>
      <c r="K31" s="26"/>
      <c r="L31" s="26"/>
      <c r="M31" s="26"/>
      <c r="N31" s="26"/>
      <c r="O31" s="26"/>
      <c r="P31" s="27">
        <f>IF($B31&lt;&gt;"Challan","",I31+J31+K31+L31+M31+N31)</f>
      </c>
      <c r="Q31" s="25"/>
      <c r="R31" s="25"/>
      <c r="S31" s="25"/>
      <c r="T31" s="25"/>
      <c r="U31" s="25"/>
      <c r="V31" s="28"/>
      <c r="W31" s="28"/>
      <c r="X31" s="23">
        <f>IF($B31="Entry",IF(AND(LEN(TRIM(UPPER(W31)))=10,CODE(MID(TRIM(UPPER(W31)),1,1))&gt;=65,CODE(MID(TRIM(UPPER(W31)),1,1))&lt;=90,CODE(MID(TRIM(UPPER(W31)),2,1))&gt;=65,CODE(MID(TRIM(UPPER(W31)),2,1))&lt;=90,CODE(MID(TRIM(UPPER(W31)),3,1))&gt;=65,CODE(MID(TRIM(UPPER(W31)),3,1))&lt;=90,CODE(MID(TRIM(UPPER(W31)),4,1))&gt;=65,CODE(MID(TRIM(UPPER(W31)),4,1))&lt;=90,CODE(MID(TRIM(UPPER(W31)),5,1))&gt;=65,CODE(MID(TRIM(UPPER(W31)),5,1))&lt;=90,CODE(MID(TRIM(UPPER(W31)),10,1))&gt;=65,CODE(MID(TRIM(UPPER(W31)),10,1))&lt;=90,CODE(MID(TRIM(UPPER(W31)),6,1))&gt;=48,CODE(MID(TRIM(UPPER(W31)),6,1))&lt;=57,CODE(MID(TRIM(UPPER(W31)),7,1))&gt;=48,CODE(MID(TRIM(UPPER(W31)),7,1))&lt;=57,CODE(MID(TRIM(UPPER(W31)),8,1))&gt;=48,CODE(MID(TRIM(UPPER(W31)),8,1))&lt;=57,CODE(MID(TRIM(UPPER(W31)),9,1))&gt;=48,CODE(MID(TRIM(UPPER(W31)),9,1))&lt;=57),"N","Y"),IF($B31="Challan","",IF(W31&lt;&gt;"","◄ Set Row Type","")))</f>
      </c>
      <c r="Y31" s="23">
        <f>IF($B31="Entry",IF(LEN(W31)&lt;4,"",IF(UPPER(MID(W31,4,1))="P","Individual",IF(UPPER(MID(W31,4,1))="H","HUF",IF(UPPER(MID(W31,4,1))="C","Company",IF(UPPER(MID(W31,4,1))="F","Firm",IF(UPPER(MID(W31,4,1))="L","LLP",IF(UPPER(MID(W31,4,1))="T","Trust",IF(UPPER(MID(W31,4,1))="A","AOP","")))))))),IF($B31="Challan","",IF(W31&lt;&gt;"","◄ Set Row Type","")))</f>
      </c>
      <c r="Z31" s="28"/>
      <c r="AA31" s="29">
        <f>IF($B31&lt;&gt;"Entry","",IF(Z31="","",IF(X31="Y",SUMPRODUCT(('Rate Lookup'!$A$1:$A$37=Z31)*'Rate Lookup'!$D$1:$D$37),IF(OR(Y31="Individual",Y31="HUF"),SUMPRODUCT(('Rate Lookup'!$A$1:$A$37=Z31)*'Rate Lookup'!$B$1:$B$37),SUMPRODUCT(('Rate Lookup'!$A$1:$A$37=Z31)*'Rate Lookup'!$C$1:$C$37)))))</f>
      </c>
      <c r="AB31" s="30"/>
      <c r="AC31" s="31"/>
      <c r="AD31" s="27">
        <f>IF($B31&lt;&gt;"Entry","",ROUND(AC31*AA31/100,0))</f>
      </c>
      <c r="AE31" s="27">
        <f>IF($B31&lt;&gt;"Entry","",0)</f>
      </c>
      <c r="AF31" s="27">
        <f>IF($B31&lt;&gt;"Entry","",0)</f>
      </c>
      <c r="AG31" s="27">
        <f>IF($B31&lt;&gt;"Entry","",IF(OR(AD31=0,AB31="",AQ31="",AQ31&lt;=0),0,IF(AQ31&lt;=DATE(YEAR(AB31),MONTH(AB31)+1,7),0,ROUND(AD31*0.015*((YEAR(AQ31)-YEAR(AB31))*12+(MONTH(AQ31)-MONTH(AB31))+1),0))))</f>
      </c>
      <c r="AH31" s="27">
        <f>IF($B31&lt;&gt;"Entry","",0)</f>
      </c>
      <c r="AI31" s="28"/>
      <c r="AJ31" s="28"/>
      <c r="AK31" s="32"/>
      <c r="AL31" s="28"/>
      <c r="AM31" s="28"/>
      <c r="AN31" s="27">
        <f>IF($B31&lt;&gt;"Challan","",SUMIF('Q1 Data'!$D$4:$D$207,D31,'Q1 Data'!$AD$4:$AD$207)+SUMIF('Q1 Data'!$D$4:$D$207,D31,'Q1 Data'!$AG$4:$AG$207)+SUMIF('Q1 Data'!$D$4:$D$207,D31,'Q1 Data'!$AE$4:$AE$207)+SUMIF('Q2 Data'!$D$4:$D$207,D31,'Q2 Data'!$AD$4:$AD$207)+SUMIF('Q2 Data'!$D$4:$D$207,D31,'Q2 Data'!$AG$4:$AG$207)+SUMIF('Q2 Data'!$D$4:$D$207,D31,'Q2 Data'!$AE$4:$AE$207)+SUMIF('Q3 Data'!$D$4:$D$207,D31,'Q3 Data'!$AD$4:$AD$207)+SUMIF('Q3 Data'!$D$4:$D$207,D31,'Q3 Data'!$AG$4:$AG$207)+SUMIF('Q3 Data'!$D$4:$D$207,D31,'Q3 Data'!$AE$4:$AE$207)+SUMIF('Q4 Data'!$D$4:$D$207,D31,'Q4 Data'!$AD$4:$AD$207)+SUMIF('Q4 Data'!$D$4:$D$207,D31,'Q4 Data'!$AG$4:$AG$207)+SUMIF('Q4 Data'!$D$4:$D$207,D31,'Q4 Data'!$AE$4:$AE$207))</f>
      </c>
      <c r="AO31" s="27">
        <f>IF($B31&lt;&gt;"Challan","",P31-N31)</f>
      </c>
      <c r="AP31" s="27">
        <f>IF($B31&lt;&gt;"Challan","",MAX(0,AO31-AN31))</f>
      </c>
      <c r="AQ31" s="33">
        <f>IF($B31&lt;&gt;"Entry","",SUMPRODUCT(('Q1 Data'!$D$4:$D$207=D31)*('Q1 Data'!$B$4:$B$207="Challan")*'Q1 Data'!$F$4:$F$207)+SUMPRODUCT(('Q2 Data'!$D$4:$D$207=D31)*('Q2 Data'!$B$4:$B$207="Challan")*'Q2 Data'!$F$4:$F$207)+SUMPRODUCT(('Q3 Data'!$D$4:$D$207=D31)*('Q3 Data'!$B$4:$B$207="Challan")*'Q3 Data'!$F$4:$F$207)+SUMPRODUCT(('Q4 Data'!$D$4:$D$207=D31)*('Q4 Data'!$B$4:$B$207="Challan")*'Q4 Data'!$F$4:$F$207))</f>
      </c>
      <c r="AR31" s="34">
        <f>IF(OR($B31&lt;&gt;"Entry",Z31=""),FALSE,AND((SUMPRODUCT(('Q1 Data'!$D$4:$D$207=D31)*('Q1 Data'!$B$4:$B$207="Challan")*('Q1 Data'!$H$4:$H$207&lt;&gt;""))+SUMPRODUCT(('Q2 Data'!$D$4:$D$207=D31)*('Q2 Data'!$B$4:$B$207="Challan")*('Q2 Data'!$H$4:$H$207&lt;&gt;""))+SUMPRODUCT(('Q3 Data'!$D$4:$D$207=D31)*('Q3 Data'!$B$4:$B$207="Challan")*('Q3 Data'!$H$4:$H$207&lt;&gt;""))+SUMPRODUCT(('Q4 Data'!$D$4:$D$207=D31)*('Q4 Data'!$B$4:$B$207="Challan")*('Q4 Data'!$H$4:$H$207&lt;&gt;"")))&gt;0,(SUMPRODUCT(('Q1 Data'!$D$4:$D$207=D31)*('Q1 Data'!$B$4:$B$207="Challan")*('Q1 Data'!$H$4:$H$207=Z31))+SUMPRODUCT(('Q2 Data'!$D$4:$D$207=D31)*('Q2 Data'!$B$4:$B$207="Challan")*('Q2 Data'!$H$4:$H$207=Z31))+SUMPRODUCT(('Q3 Data'!$D$4:$D$207=D31)*('Q3 Data'!$B$4:$B$207="Challan")*('Q3 Data'!$H$4:$H$207=Z31))+SUMPRODUCT(('Q4 Data'!$D$4:$D$207=D31)*('Q4 Data'!$B$4:$B$207="Challan")*('Q4 Data'!$H$4:$H$207=Z31)))=0))</f>
      </c>
    </row>
    <row r="32" spans="1:44" x14ac:dyDescent="0.25">
      <c r="A32" s="20">
        <f>IF($B32="Entry",COUNTIF($B$4:$B32,"Entry"),"")</f>
      </c>
      <c r="B32" s="21"/>
      <c r="C32" s="22"/>
      <c r="D32" s="22"/>
      <c r="E32" s="23">
        <f>IF($B32&lt;&gt;"Challan","",IF(ROUND(AN32-AO32,2)&gt;0,"Over-applied",IF(ROUND(AN32-AO32,2)=0,"Fully Utilised","Unconsumed")))</f>
      </c>
      <c r="F32" s="24"/>
      <c r="G32" s="25"/>
      <c r="H32" s="25"/>
      <c r="I32" s="26"/>
      <c r="J32" s="26"/>
      <c r="K32" s="26"/>
      <c r="L32" s="26"/>
      <c r="M32" s="26"/>
      <c r="N32" s="26"/>
      <c r="O32" s="26"/>
      <c r="P32" s="27">
        <f>IF($B32&lt;&gt;"Challan","",I32+J32+K32+L32+M32+N32)</f>
      </c>
      <c r="Q32" s="25"/>
      <c r="R32" s="25"/>
      <c r="S32" s="25"/>
      <c r="T32" s="25"/>
      <c r="U32" s="25"/>
      <c r="V32" s="28"/>
      <c r="W32" s="28"/>
      <c r="X32" s="23">
        <f>IF($B32="Entry",IF(AND(LEN(TRIM(UPPER(W32)))=10,CODE(MID(TRIM(UPPER(W32)),1,1))&gt;=65,CODE(MID(TRIM(UPPER(W32)),1,1))&lt;=90,CODE(MID(TRIM(UPPER(W32)),2,1))&gt;=65,CODE(MID(TRIM(UPPER(W32)),2,1))&lt;=90,CODE(MID(TRIM(UPPER(W32)),3,1))&gt;=65,CODE(MID(TRIM(UPPER(W32)),3,1))&lt;=90,CODE(MID(TRIM(UPPER(W32)),4,1))&gt;=65,CODE(MID(TRIM(UPPER(W32)),4,1))&lt;=90,CODE(MID(TRIM(UPPER(W32)),5,1))&gt;=65,CODE(MID(TRIM(UPPER(W32)),5,1))&lt;=90,CODE(MID(TRIM(UPPER(W32)),10,1))&gt;=65,CODE(MID(TRIM(UPPER(W32)),10,1))&lt;=90,CODE(MID(TRIM(UPPER(W32)),6,1))&gt;=48,CODE(MID(TRIM(UPPER(W32)),6,1))&lt;=57,CODE(MID(TRIM(UPPER(W32)),7,1))&gt;=48,CODE(MID(TRIM(UPPER(W32)),7,1))&lt;=57,CODE(MID(TRIM(UPPER(W32)),8,1))&gt;=48,CODE(MID(TRIM(UPPER(W32)),8,1))&lt;=57,CODE(MID(TRIM(UPPER(W32)),9,1))&gt;=48,CODE(MID(TRIM(UPPER(W32)),9,1))&lt;=57),"N","Y"),IF($B32="Challan","",IF(W32&lt;&gt;"","◄ Set Row Type","")))</f>
      </c>
      <c r="Y32" s="23">
        <f>IF($B32="Entry",IF(LEN(W32)&lt;4,"",IF(UPPER(MID(W32,4,1))="P","Individual",IF(UPPER(MID(W32,4,1))="H","HUF",IF(UPPER(MID(W32,4,1))="C","Company",IF(UPPER(MID(W32,4,1))="F","Firm",IF(UPPER(MID(W32,4,1))="L","LLP",IF(UPPER(MID(W32,4,1))="T","Trust",IF(UPPER(MID(W32,4,1))="A","AOP","")))))))),IF($B32="Challan","",IF(W32&lt;&gt;"","◄ Set Row Type","")))</f>
      </c>
      <c r="Z32" s="28"/>
      <c r="AA32" s="29">
        <f>IF($B32&lt;&gt;"Entry","",IF(Z32="","",IF(X32="Y",SUMPRODUCT(('Rate Lookup'!$A$1:$A$37=Z32)*'Rate Lookup'!$D$1:$D$37),IF(OR(Y32="Individual",Y32="HUF"),SUMPRODUCT(('Rate Lookup'!$A$1:$A$37=Z32)*'Rate Lookup'!$B$1:$B$37),SUMPRODUCT(('Rate Lookup'!$A$1:$A$37=Z32)*'Rate Lookup'!$C$1:$C$37)))))</f>
      </c>
      <c r="AB32" s="30"/>
      <c r="AC32" s="31"/>
      <c r="AD32" s="27">
        <f>IF($B32&lt;&gt;"Entry","",ROUND(AC32*AA32/100,0))</f>
      </c>
      <c r="AE32" s="27">
        <f>IF($B32&lt;&gt;"Entry","",0)</f>
      </c>
      <c r="AF32" s="27">
        <f>IF($B32&lt;&gt;"Entry","",0)</f>
      </c>
      <c r="AG32" s="27">
        <f>IF($B32&lt;&gt;"Entry","",IF(OR(AD32=0,AB32="",AQ32="",AQ32&lt;=0),0,IF(AQ32&lt;=DATE(YEAR(AB32),MONTH(AB32)+1,7),0,ROUND(AD32*0.015*((YEAR(AQ32)-YEAR(AB32))*12+(MONTH(AQ32)-MONTH(AB32))+1),0))))</f>
      </c>
      <c r="AH32" s="27">
        <f>IF($B32&lt;&gt;"Entry","",0)</f>
      </c>
      <c r="AI32" s="28"/>
      <c r="AJ32" s="28"/>
      <c r="AK32" s="32"/>
      <c r="AL32" s="28"/>
      <c r="AM32" s="28"/>
      <c r="AN32" s="27">
        <f>IF($B32&lt;&gt;"Challan","",SUMIF('Q1 Data'!$D$4:$D$207,D32,'Q1 Data'!$AD$4:$AD$207)+SUMIF('Q1 Data'!$D$4:$D$207,D32,'Q1 Data'!$AG$4:$AG$207)+SUMIF('Q1 Data'!$D$4:$D$207,D32,'Q1 Data'!$AE$4:$AE$207)+SUMIF('Q2 Data'!$D$4:$D$207,D32,'Q2 Data'!$AD$4:$AD$207)+SUMIF('Q2 Data'!$D$4:$D$207,D32,'Q2 Data'!$AG$4:$AG$207)+SUMIF('Q2 Data'!$D$4:$D$207,D32,'Q2 Data'!$AE$4:$AE$207)+SUMIF('Q3 Data'!$D$4:$D$207,D32,'Q3 Data'!$AD$4:$AD$207)+SUMIF('Q3 Data'!$D$4:$D$207,D32,'Q3 Data'!$AG$4:$AG$207)+SUMIF('Q3 Data'!$D$4:$D$207,D32,'Q3 Data'!$AE$4:$AE$207)+SUMIF('Q4 Data'!$D$4:$D$207,D32,'Q4 Data'!$AD$4:$AD$207)+SUMIF('Q4 Data'!$D$4:$D$207,D32,'Q4 Data'!$AG$4:$AG$207)+SUMIF('Q4 Data'!$D$4:$D$207,D32,'Q4 Data'!$AE$4:$AE$207))</f>
      </c>
      <c r="AO32" s="27">
        <f>IF($B32&lt;&gt;"Challan","",P32-N32)</f>
      </c>
      <c r="AP32" s="27">
        <f>IF($B32&lt;&gt;"Challan","",MAX(0,AO32-AN32))</f>
      </c>
      <c r="AQ32" s="33">
        <f>IF($B32&lt;&gt;"Entry","",SUMPRODUCT(('Q1 Data'!$D$4:$D$207=D32)*('Q1 Data'!$B$4:$B$207="Challan")*'Q1 Data'!$F$4:$F$207)+SUMPRODUCT(('Q2 Data'!$D$4:$D$207=D32)*('Q2 Data'!$B$4:$B$207="Challan")*'Q2 Data'!$F$4:$F$207)+SUMPRODUCT(('Q3 Data'!$D$4:$D$207=D32)*('Q3 Data'!$B$4:$B$207="Challan")*'Q3 Data'!$F$4:$F$207)+SUMPRODUCT(('Q4 Data'!$D$4:$D$207=D32)*('Q4 Data'!$B$4:$B$207="Challan")*'Q4 Data'!$F$4:$F$207))</f>
      </c>
      <c r="AR32" s="34">
        <f>IF(OR($B32&lt;&gt;"Entry",Z32=""),FALSE,AND((SUMPRODUCT(('Q1 Data'!$D$4:$D$207=D32)*('Q1 Data'!$B$4:$B$207="Challan")*('Q1 Data'!$H$4:$H$207&lt;&gt;""))+SUMPRODUCT(('Q2 Data'!$D$4:$D$207=D32)*('Q2 Data'!$B$4:$B$207="Challan")*('Q2 Data'!$H$4:$H$207&lt;&gt;""))+SUMPRODUCT(('Q3 Data'!$D$4:$D$207=D32)*('Q3 Data'!$B$4:$B$207="Challan")*('Q3 Data'!$H$4:$H$207&lt;&gt;""))+SUMPRODUCT(('Q4 Data'!$D$4:$D$207=D32)*('Q4 Data'!$B$4:$B$207="Challan")*('Q4 Data'!$H$4:$H$207&lt;&gt;"")))&gt;0,(SUMPRODUCT(('Q1 Data'!$D$4:$D$207=D32)*('Q1 Data'!$B$4:$B$207="Challan")*('Q1 Data'!$H$4:$H$207=Z32))+SUMPRODUCT(('Q2 Data'!$D$4:$D$207=D32)*('Q2 Data'!$B$4:$B$207="Challan")*('Q2 Data'!$H$4:$H$207=Z32))+SUMPRODUCT(('Q3 Data'!$D$4:$D$207=D32)*('Q3 Data'!$B$4:$B$207="Challan")*('Q3 Data'!$H$4:$H$207=Z32))+SUMPRODUCT(('Q4 Data'!$D$4:$D$207=D32)*('Q4 Data'!$B$4:$B$207="Challan")*('Q4 Data'!$H$4:$H$207=Z32)))=0))</f>
      </c>
    </row>
    <row r="33" spans="1:44" x14ac:dyDescent="0.25">
      <c r="A33" s="20">
        <f>IF($B33="Entry",COUNTIF($B$4:$B33,"Entry"),"")</f>
      </c>
      <c r="B33" s="21"/>
      <c r="C33" s="22"/>
      <c r="D33" s="22"/>
      <c r="E33" s="23">
        <f>IF($B33&lt;&gt;"Challan","",IF(ROUND(AN33-AO33,2)&gt;0,"Over-applied",IF(ROUND(AN33-AO33,2)=0,"Fully Utilised","Unconsumed")))</f>
      </c>
      <c r="F33" s="24"/>
      <c r="G33" s="25"/>
      <c r="H33" s="25"/>
      <c r="I33" s="26"/>
      <c r="J33" s="26"/>
      <c r="K33" s="26"/>
      <c r="L33" s="26"/>
      <c r="M33" s="26"/>
      <c r="N33" s="26"/>
      <c r="O33" s="26"/>
      <c r="P33" s="27">
        <f>IF($B33&lt;&gt;"Challan","",I33+J33+K33+L33+M33+N33)</f>
      </c>
      <c r="Q33" s="25"/>
      <c r="R33" s="25"/>
      <c r="S33" s="25"/>
      <c r="T33" s="25"/>
      <c r="U33" s="25"/>
      <c r="V33" s="28"/>
      <c r="W33" s="28"/>
      <c r="X33" s="23">
        <f>IF($B33="Entry",IF(AND(LEN(TRIM(UPPER(W33)))=10,CODE(MID(TRIM(UPPER(W33)),1,1))&gt;=65,CODE(MID(TRIM(UPPER(W33)),1,1))&lt;=90,CODE(MID(TRIM(UPPER(W33)),2,1))&gt;=65,CODE(MID(TRIM(UPPER(W33)),2,1))&lt;=90,CODE(MID(TRIM(UPPER(W33)),3,1))&gt;=65,CODE(MID(TRIM(UPPER(W33)),3,1))&lt;=90,CODE(MID(TRIM(UPPER(W33)),4,1))&gt;=65,CODE(MID(TRIM(UPPER(W33)),4,1))&lt;=90,CODE(MID(TRIM(UPPER(W33)),5,1))&gt;=65,CODE(MID(TRIM(UPPER(W33)),5,1))&lt;=90,CODE(MID(TRIM(UPPER(W33)),10,1))&gt;=65,CODE(MID(TRIM(UPPER(W33)),10,1))&lt;=90,CODE(MID(TRIM(UPPER(W33)),6,1))&gt;=48,CODE(MID(TRIM(UPPER(W33)),6,1))&lt;=57,CODE(MID(TRIM(UPPER(W33)),7,1))&gt;=48,CODE(MID(TRIM(UPPER(W33)),7,1))&lt;=57,CODE(MID(TRIM(UPPER(W33)),8,1))&gt;=48,CODE(MID(TRIM(UPPER(W33)),8,1))&lt;=57,CODE(MID(TRIM(UPPER(W33)),9,1))&gt;=48,CODE(MID(TRIM(UPPER(W33)),9,1))&lt;=57),"N","Y"),IF($B33="Challan","",IF(W33&lt;&gt;"","◄ Set Row Type","")))</f>
      </c>
      <c r="Y33" s="23">
        <f>IF($B33="Entry",IF(LEN(W33)&lt;4,"",IF(UPPER(MID(W33,4,1))="P","Individual",IF(UPPER(MID(W33,4,1))="H","HUF",IF(UPPER(MID(W33,4,1))="C","Company",IF(UPPER(MID(W33,4,1))="F","Firm",IF(UPPER(MID(W33,4,1))="L","LLP",IF(UPPER(MID(W33,4,1))="T","Trust",IF(UPPER(MID(W33,4,1))="A","AOP","")))))))),IF($B33="Challan","",IF(W33&lt;&gt;"","◄ Set Row Type","")))</f>
      </c>
      <c r="Z33" s="28"/>
      <c r="AA33" s="29">
        <f>IF($B33&lt;&gt;"Entry","",IF(Z33="","",IF(X33="Y",SUMPRODUCT(('Rate Lookup'!$A$1:$A$37=Z33)*'Rate Lookup'!$D$1:$D$37),IF(OR(Y33="Individual",Y33="HUF"),SUMPRODUCT(('Rate Lookup'!$A$1:$A$37=Z33)*'Rate Lookup'!$B$1:$B$37),SUMPRODUCT(('Rate Lookup'!$A$1:$A$37=Z33)*'Rate Lookup'!$C$1:$C$37)))))</f>
      </c>
      <c r="AB33" s="30"/>
      <c r="AC33" s="31"/>
      <c r="AD33" s="27">
        <f>IF($B33&lt;&gt;"Entry","",ROUND(AC33*AA33/100,0))</f>
      </c>
      <c r="AE33" s="27">
        <f>IF($B33&lt;&gt;"Entry","",0)</f>
      </c>
      <c r="AF33" s="27">
        <f>IF($B33&lt;&gt;"Entry","",0)</f>
      </c>
      <c r="AG33" s="27">
        <f>IF($B33&lt;&gt;"Entry","",IF(OR(AD33=0,AB33="",AQ33="",AQ33&lt;=0),0,IF(AQ33&lt;=DATE(YEAR(AB33),MONTH(AB33)+1,7),0,ROUND(AD33*0.015*((YEAR(AQ33)-YEAR(AB33))*12+(MONTH(AQ33)-MONTH(AB33))+1),0))))</f>
      </c>
      <c r="AH33" s="27">
        <f>IF($B33&lt;&gt;"Entry","",0)</f>
      </c>
      <c r="AI33" s="28"/>
      <c r="AJ33" s="28"/>
      <c r="AK33" s="32"/>
      <c r="AL33" s="28"/>
      <c r="AM33" s="28"/>
      <c r="AN33" s="27">
        <f>IF($B33&lt;&gt;"Challan","",SUMIF('Q1 Data'!$D$4:$D$207,D33,'Q1 Data'!$AD$4:$AD$207)+SUMIF('Q1 Data'!$D$4:$D$207,D33,'Q1 Data'!$AG$4:$AG$207)+SUMIF('Q1 Data'!$D$4:$D$207,D33,'Q1 Data'!$AE$4:$AE$207)+SUMIF('Q2 Data'!$D$4:$D$207,D33,'Q2 Data'!$AD$4:$AD$207)+SUMIF('Q2 Data'!$D$4:$D$207,D33,'Q2 Data'!$AG$4:$AG$207)+SUMIF('Q2 Data'!$D$4:$D$207,D33,'Q2 Data'!$AE$4:$AE$207)+SUMIF('Q3 Data'!$D$4:$D$207,D33,'Q3 Data'!$AD$4:$AD$207)+SUMIF('Q3 Data'!$D$4:$D$207,D33,'Q3 Data'!$AG$4:$AG$207)+SUMIF('Q3 Data'!$D$4:$D$207,D33,'Q3 Data'!$AE$4:$AE$207)+SUMIF('Q4 Data'!$D$4:$D$207,D33,'Q4 Data'!$AD$4:$AD$207)+SUMIF('Q4 Data'!$D$4:$D$207,D33,'Q4 Data'!$AG$4:$AG$207)+SUMIF('Q4 Data'!$D$4:$D$207,D33,'Q4 Data'!$AE$4:$AE$207))</f>
      </c>
      <c r="AO33" s="27">
        <f>IF($B33&lt;&gt;"Challan","",P33-N33)</f>
      </c>
      <c r="AP33" s="27">
        <f>IF($B33&lt;&gt;"Challan","",MAX(0,AO33-AN33))</f>
      </c>
      <c r="AQ33" s="33">
        <f>IF($B33&lt;&gt;"Entry","",SUMPRODUCT(('Q1 Data'!$D$4:$D$207=D33)*('Q1 Data'!$B$4:$B$207="Challan")*'Q1 Data'!$F$4:$F$207)+SUMPRODUCT(('Q2 Data'!$D$4:$D$207=D33)*('Q2 Data'!$B$4:$B$207="Challan")*'Q2 Data'!$F$4:$F$207)+SUMPRODUCT(('Q3 Data'!$D$4:$D$207=D33)*('Q3 Data'!$B$4:$B$207="Challan")*'Q3 Data'!$F$4:$F$207)+SUMPRODUCT(('Q4 Data'!$D$4:$D$207=D33)*('Q4 Data'!$B$4:$B$207="Challan")*'Q4 Data'!$F$4:$F$207))</f>
      </c>
      <c r="AR33" s="34">
        <f>IF(OR($B33&lt;&gt;"Entry",Z33=""),FALSE,AND((SUMPRODUCT(('Q1 Data'!$D$4:$D$207=D33)*('Q1 Data'!$B$4:$B$207="Challan")*('Q1 Data'!$H$4:$H$207&lt;&gt;""))+SUMPRODUCT(('Q2 Data'!$D$4:$D$207=D33)*('Q2 Data'!$B$4:$B$207="Challan")*('Q2 Data'!$H$4:$H$207&lt;&gt;""))+SUMPRODUCT(('Q3 Data'!$D$4:$D$207=D33)*('Q3 Data'!$B$4:$B$207="Challan")*('Q3 Data'!$H$4:$H$207&lt;&gt;""))+SUMPRODUCT(('Q4 Data'!$D$4:$D$207=D33)*('Q4 Data'!$B$4:$B$207="Challan")*('Q4 Data'!$H$4:$H$207&lt;&gt;"")))&gt;0,(SUMPRODUCT(('Q1 Data'!$D$4:$D$207=D33)*('Q1 Data'!$B$4:$B$207="Challan")*('Q1 Data'!$H$4:$H$207=Z33))+SUMPRODUCT(('Q2 Data'!$D$4:$D$207=D33)*('Q2 Data'!$B$4:$B$207="Challan")*('Q2 Data'!$H$4:$H$207=Z33))+SUMPRODUCT(('Q3 Data'!$D$4:$D$207=D33)*('Q3 Data'!$B$4:$B$207="Challan")*('Q3 Data'!$H$4:$H$207=Z33))+SUMPRODUCT(('Q4 Data'!$D$4:$D$207=D33)*('Q4 Data'!$B$4:$B$207="Challan")*('Q4 Data'!$H$4:$H$207=Z33)))=0))</f>
      </c>
    </row>
    <row r="34" spans="1:44" x14ac:dyDescent="0.25">
      <c r="A34" s="20">
        <f>IF($B34="Entry",COUNTIF($B$4:$B34,"Entry"),"")</f>
      </c>
      <c r="B34" s="21"/>
      <c r="C34" s="22"/>
      <c r="D34" s="22"/>
      <c r="E34" s="23">
        <f>IF($B34&lt;&gt;"Challan","",IF(ROUND(AN34-AO34,2)&gt;0,"Over-applied",IF(ROUND(AN34-AO34,2)=0,"Fully Utilised","Unconsumed")))</f>
      </c>
      <c r="F34" s="24"/>
      <c r="G34" s="25"/>
      <c r="H34" s="25"/>
      <c r="I34" s="26"/>
      <c r="J34" s="26"/>
      <c r="K34" s="26"/>
      <c r="L34" s="26"/>
      <c r="M34" s="26"/>
      <c r="N34" s="26"/>
      <c r="O34" s="26"/>
      <c r="P34" s="27">
        <f>IF($B34&lt;&gt;"Challan","",I34+J34+K34+L34+M34+N34)</f>
      </c>
      <c r="Q34" s="25"/>
      <c r="R34" s="25"/>
      <c r="S34" s="25"/>
      <c r="T34" s="25"/>
      <c r="U34" s="25"/>
      <c r="V34" s="28"/>
      <c r="W34" s="28"/>
      <c r="X34" s="23">
        <f>IF($B34="Entry",IF(AND(LEN(TRIM(UPPER(W34)))=10,CODE(MID(TRIM(UPPER(W34)),1,1))&gt;=65,CODE(MID(TRIM(UPPER(W34)),1,1))&lt;=90,CODE(MID(TRIM(UPPER(W34)),2,1))&gt;=65,CODE(MID(TRIM(UPPER(W34)),2,1))&lt;=90,CODE(MID(TRIM(UPPER(W34)),3,1))&gt;=65,CODE(MID(TRIM(UPPER(W34)),3,1))&lt;=90,CODE(MID(TRIM(UPPER(W34)),4,1))&gt;=65,CODE(MID(TRIM(UPPER(W34)),4,1))&lt;=90,CODE(MID(TRIM(UPPER(W34)),5,1))&gt;=65,CODE(MID(TRIM(UPPER(W34)),5,1))&lt;=90,CODE(MID(TRIM(UPPER(W34)),10,1))&gt;=65,CODE(MID(TRIM(UPPER(W34)),10,1))&lt;=90,CODE(MID(TRIM(UPPER(W34)),6,1))&gt;=48,CODE(MID(TRIM(UPPER(W34)),6,1))&lt;=57,CODE(MID(TRIM(UPPER(W34)),7,1))&gt;=48,CODE(MID(TRIM(UPPER(W34)),7,1))&lt;=57,CODE(MID(TRIM(UPPER(W34)),8,1))&gt;=48,CODE(MID(TRIM(UPPER(W34)),8,1))&lt;=57,CODE(MID(TRIM(UPPER(W34)),9,1))&gt;=48,CODE(MID(TRIM(UPPER(W34)),9,1))&lt;=57),"N","Y"),IF($B34="Challan","",IF(W34&lt;&gt;"","◄ Set Row Type","")))</f>
      </c>
      <c r="Y34" s="23">
        <f>IF($B34="Entry",IF(LEN(W34)&lt;4,"",IF(UPPER(MID(W34,4,1))="P","Individual",IF(UPPER(MID(W34,4,1))="H","HUF",IF(UPPER(MID(W34,4,1))="C","Company",IF(UPPER(MID(W34,4,1))="F","Firm",IF(UPPER(MID(W34,4,1))="L","LLP",IF(UPPER(MID(W34,4,1))="T","Trust",IF(UPPER(MID(W34,4,1))="A","AOP","")))))))),IF($B34="Challan","",IF(W34&lt;&gt;"","◄ Set Row Type","")))</f>
      </c>
      <c r="Z34" s="28"/>
      <c r="AA34" s="29">
        <f>IF($B34&lt;&gt;"Entry","",IF(Z34="","",IF(X34="Y",SUMPRODUCT(('Rate Lookup'!$A$1:$A$37=Z34)*'Rate Lookup'!$D$1:$D$37),IF(OR(Y34="Individual",Y34="HUF"),SUMPRODUCT(('Rate Lookup'!$A$1:$A$37=Z34)*'Rate Lookup'!$B$1:$B$37),SUMPRODUCT(('Rate Lookup'!$A$1:$A$37=Z34)*'Rate Lookup'!$C$1:$C$37)))))</f>
      </c>
      <c r="AB34" s="30"/>
      <c r="AC34" s="31"/>
      <c r="AD34" s="27">
        <f>IF($B34&lt;&gt;"Entry","",ROUND(AC34*AA34/100,0))</f>
      </c>
      <c r="AE34" s="27">
        <f>IF($B34&lt;&gt;"Entry","",0)</f>
      </c>
      <c r="AF34" s="27">
        <f>IF($B34&lt;&gt;"Entry","",0)</f>
      </c>
      <c r="AG34" s="27">
        <f>IF($B34&lt;&gt;"Entry","",IF(OR(AD34=0,AB34="",AQ34="",AQ34&lt;=0),0,IF(AQ34&lt;=DATE(YEAR(AB34),MONTH(AB34)+1,7),0,ROUND(AD34*0.015*((YEAR(AQ34)-YEAR(AB34))*12+(MONTH(AQ34)-MONTH(AB34))+1),0))))</f>
      </c>
      <c r="AH34" s="27">
        <f>IF($B34&lt;&gt;"Entry","",0)</f>
      </c>
      <c r="AI34" s="28"/>
      <c r="AJ34" s="28"/>
      <c r="AK34" s="32"/>
      <c r="AL34" s="28"/>
      <c r="AM34" s="28"/>
      <c r="AN34" s="27">
        <f>IF($B34&lt;&gt;"Challan","",SUMIF('Q1 Data'!$D$4:$D$207,D34,'Q1 Data'!$AD$4:$AD$207)+SUMIF('Q1 Data'!$D$4:$D$207,D34,'Q1 Data'!$AG$4:$AG$207)+SUMIF('Q1 Data'!$D$4:$D$207,D34,'Q1 Data'!$AE$4:$AE$207)+SUMIF('Q2 Data'!$D$4:$D$207,D34,'Q2 Data'!$AD$4:$AD$207)+SUMIF('Q2 Data'!$D$4:$D$207,D34,'Q2 Data'!$AG$4:$AG$207)+SUMIF('Q2 Data'!$D$4:$D$207,D34,'Q2 Data'!$AE$4:$AE$207)+SUMIF('Q3 Data'!$D$4:$D$207,D34,'Q3 Data'!$AD$4:$AD$207)+SUMIF('Q3 Data'!$D$4:$D$207,D34,'Q3 Data'!$AG$4:$AG$207)+SUMIF('Q3 Data'!$D$4:$D$207,D34,'Q3 Data'!$AE$4:$AE$207)+SUMIF('Q4 Data'!$D$4:$D$207,D34,'Q4 Data'!$AD$4:$AD$207)+SUMIF('Q4 Data'!$D$4:$D$207,D34,'Q4 Data'!$AG$4:$AG$207)+SUMIF('Q4 Data'!$D$4:$D$207,D34,'Q4 Data'!$AE$4:$AE$207))</f>
      </c>
      <c r="AO34" s="27">
        <f>IF($B34&lt;&gt;"Challan","",P34-N34)</f>
      </c>
      <c r="AP34" s="27">
        <f>IF($B34&lt;&gt;"Challan","",MAX(0,AO34-AN34))</f>
      </c>
      <c r="AQ34" s="33">
        <f>IF($B34&lt;&gt;"Entry","",SUMPRODUCT(('Q1 Data'!$D$4:$D$207=D34)*('Q1 Data'!$B$4:$B$207="Challan")*'Q1 Data'!$F$4:$F$207)+SUMPRODUCT(('Q2 Data'!$D$4:$D$207=D34)*('Q2 Data'!$B$4:$B$207="Challan")*'Q2 Data'!$F$4:$F$207)+SUMPRODUCT(('Q3 Data'!$D$4:$D$207=D34)*('Q3 Data'!$B$4:$B$207="Challan")*'Q3 Data'!$F$4:$F$207)+SUMPRODUCT(('Q4 Data'!$D$4:$D$207=D34)*('Q4 Data'!$B$4:$B$207="Challan")*'Q4 Data'!$F$4:$F$207))</f>
      </c>
      <c r="AR34" s="34">
        <f>IF(OR($B34&lt;&gt;"Entry",Z34=""),FALSE,AND((SUMPRODUCT(('Q1 Data'!$D$4:$D$207=D34)*('Q1 Data'!$B$4:$B$207="Challan")*('Q1 Data'!$H$4:$H$207&lt;&gt;""))+SUMPRODUCT(('Q2 Data'!$D$4:$D$207=D34)*('Q2 Data'!$B$4:$B$207="Challan")*('Q2 Data'!$H$4:$H$207&lt;&gt;""))+SUMPRODUCT(('Q3 Data'!$D$4:$D$207=D34)*('Q3 Data'!$B$4:$B$207="Challan")*('Q3 Data'!$H$4:$H$207&lt;&gt;""))+SUMPRODUCT(('Q4 Data'!$D$4:$D$207=D34)*('Q4 Data'!$B$4:$B$207="Challan")*('Q4 Data'!$H$4:$H$207&lt;&gt;"")))&gt;0,(SUMPRODUCT(('Q1 Data'!$D$4:$D$207=D34)*('Q1 Data'!$B$4:$B$207="Challan")*('Q1 Data'!$H$4:$H$207=Z34))+SUMPRODUCT(('Q2 Data'!$D$4:$D$207=D34)*('Q2 Data'!$B$4:$B$207="Challan")*('Q2 Data'!$H$4:$H$207=Z34))+SUMPRODUCT(('Q3 Data'!$D$4:$D$207=D34)*('Q3 Data'!$B$4:$B$207="Challan")*('Q3 Data'!$H$4:$H$207=Z34))+SUMPRODUCT(('Q4 Data'!$D$4:$D$207=D34)*('Q4 Data'!$B$4:$B$207="Challan")*('Q4 Data'!$H$4:$H$207=Z34)))=0))</f>
      </c>
    </row>
    <row r="35" spans="1:44" x14ac:dyDescent="0.25">
      <c r="A35" s="20">
        <f>IF($B35="Entry",COUNTIF($B$4:$B35,"Entry"),"")</f>
      </c>
      <c r="B35" s="21"/>
      <c r="C35" s="22"/>
      <c r="D35" s="22"/>
      <c r="E35" s="23">
        <f>IF($B35&lt;&gt;"Challan","",IF(ROUND(AN35-AO35,2)&gt;0,"Over-applied",IF(ROUND(AN35-AO35,2)=0,"Fully Utilised","Unconsumed")))</f>
      </c>
      <c r="F35" s="24"/>
      <c r="G35" s="25"/>
      <c r="H35" s="25"/>
      <c r="I35" s="26"/>
      <c r="J35" s="26"/>
      <c r="K35" s="26"/>
      <c r="L35" s="26"/>
      <c r="M35" s="26"/>
      <c r="N35" s="26"/>
      <c r="O35" s="26"/>
      <c r="P35" s="27">
        <f>IF($B35&lt;&gt;"Challan","",I35+J35+K35+L35+M35+N35)</f>
      </c>
      <c r="Q35" s="25"/>
      <c r="R35" s="25"/>
      <c r="S35" s="25"/>
      <c r="T35" s="25"/>
      <c r="U35" s="25"/>
      <c r="V35" s="28"/>
      <c r="W35" s="28"/>
      <c r="X35" s="23">
        <f>IF($B35="Entry",IF(AND(LEN(TRIM(UPPER(W35)))=10,CODE(MID(TRIM(UPPER(W35)),1,1))&gt;=65,CODE(MID(TRIM(UPPER(W35)),1,1))&lt;=90,CODE(MID(TRIM(UPPER(W35)),2,1))&gt;=65,CODE(MID(TRIM(UPPER(W35)),2,1))&lt;=90,CODE(MID(TRIM(UPPER(W35)),3,1))&gt;=65,CODE(MID(TRIM(UPPER(W35)),3,1))&lt;=90,CODE(MID(TRIM(UPPER(W35)),4,1))&gt;=65,CODE(MID(TRIM(UPPER(W35)),4,1))&lt;=90,CODE(MID(TRIM(UPPER(W35)),5,1))&gt;=65,CODE(MID(TRIM(UPPER(W35)),5,1))&lt;=90,CODE(MID(TRIM(UPPER(W35)),10,1))&gt;=65,CODE(MID(TRIM(UPPER(W35)),10,1))&lt;=90,CODE(MID(TRIM(UPPER(W35)),6,1))&gt;=48,CODE(MID(TRIM(UPPER(W35)),6,1))&lt;=57,CODE(MID(TRIM(UPPER(W35)),7,1))&gt;=48,CODE(MID(TRIM(UPPER(W35)),7,1))&lt;=57,CODE(MID(TRIM(UPPER(W35)),8,1))&gt;=48,CODE(MID(TRIM(UPPER(W35)),8,1))&lt;=57,CODE(MID(TRIM(UPPER(W35)),9,1))&gt;=48,CODE(MID(TRIM(UPPER(W35)),9,1))&lt;=57),"N","Y"),IF($B35="Challan","",IF(W35&lt;&gt;"","◄ Set Row Type","")))</f>
      </c>
      <c r="Y35" s="23">
        <f>IF($B35="Entry",IF(LEN(W35)&lt;4,"",IF(UPPER(MID(W35,4,1))="P","Individual",IF(UPPER(MID(W35,4,1))="H","HUF",IF(UPPER(MID(W35,4,1))="C","Company",IF(UPPER(MID(W35,4,1))="F","Firm",IF(UPPER(MID(W35,4,1))="L","LLP",IF(UPPER(MID(W35,4,1))="T","Trust",IF(UPPER(MID(W35,4,1))="A","AOP","")))))))),IF($B35="Challan","",IF(W35&lt;&gt;"","◄ Set Row Type","")))</f>
      </c>
      <c r="Z35" s="28"/>
      <c r="AA35" s="29">
        <f>IF($B35&lt;&gt;"Entry","",IF(Z35="","",IF(X35="Y",SUMPRODUCT(('Rate Lookup'!$A$1:$A$37=Z35)*'Rate Lookup'!$D$1:$D$37),IF(OR(Y35="Individual",Y35="HUF"),SUMPRODUCT(('Rate Lookup'!$A$1:$A$37=Z35)*'Rate Lookup'!$B$1:$B$37),SUMPRODUCT(('Rate Lookup'!$A$1:$A$37=Z35)*'Rate Lookup'!$C$1:$C$37)))))</f>
      </c>
      <c r="AB35" s="30"/>
      <c r="AC35" s="31"/>
      <c r="AD35" s="27">
        <f>IF($B35&lt;&gt;"Entry","",ROUND(AC35*AA35/100,0))</f>
      </c>
      <c r="AE35" s="27">
        <f>IF($B35&lt;&gt;"Entry","",0)</f>
      </c>
      <c r="AF35" s="27">
        <f>IF($B35&lt;&gt;"Entry","",0)</f>
      </c>
      <c r="AG35" s="27">
        <f>IF($B35&lt;&gt;"Entry","",IF(OR(AD35=0,AB35="",AQ35="",AQ35&lt;=0),0,IF(AQ35&lt;=DATE(YEAR(AB35),MONTH(AB35)+1,7),0,ROUND(AD35*0.015*((YEAR(AQ35)-YEAR(AB35))*12+(MONTH(AQ35)-MONTH(AB35))+1),0))))</f>
      </c>
      <c r="AH35" s="27">
        <f>IF($B35&lt;&gt;"Entry","",0)</f>
      </c>
      <c r="AI35" s="28"/>
      <c r="AJ35" s="28"/>
      <c r="AK35" s="32"/>
      <c r="AL35" s="28"/>
      <c r="AM35" s="28"/>
      <c r="AN35" s="27">
        <f>IF($B35&lt;&gt;"Challan","",SUMIF('Q1 Data'!$D$4:$D$207,D35,'Q1 Data'!$AD$4:$AD$207)+SUMIF('Q1 Data'!$D$4:$D$207,D35,'Q1 Data'!$AG$4:$AG$207)+SUMIF('Q1 Data'!$D$4:$D$207,D35,'Q1 Data'!$AE$4:$AE$207)+SUMIF('Q2 Data'!$D$4:$D$207,D35,'Q2 Data'!$AD$4:$AD$207)+SUMIF('Q2 Data'!$D$4:$D$207,D35,'Q2 Data'!$AG$4:$AG$207)+SUMIF('Q2 Data'!$D$4:$D$207,D35,'Q2 Data'!$AE$4:$AE$207)+SUMIF('Q3 Data'!$D$4:$D$207,D35,'Q3 Data'!$AD$4:$AD$207)+SUMIF('Q3 Data'!$D$4:$D$207,D35,'Q3 Data'!$AG$4:$AG$207)+SUMIF('Q3 Data'!$D$4:$D$207,D35,'Q3 Data'!$AE$4:$AE$207)+SUMIF('Q4 Data'!$D$4:$D$207,D35,'Q4 Data'!$AD$4:$AD$207)+SUMIF('Q4 Data'!$D$4:$D$207,D35,'Q4 Data'!$AG$4:$AG$207)+SUMIF('Q4 Data'!$D$4:$D$207,D35,'Q4 Data'!$AE$4:$AE$207))</f>
      </c>
      <c r="AO35" s="27">
        <f>IF($B35&lt;&gt;"Challan","",P35-N35)</f>
      </c>
      <c r="AP35" s="27">
        <f>IF($B35&lt;&gt;"Challan","",MAX(0,AO35-AN35))</f>
      </c>
      <c r="AQ35" s="33">
        <f>IF($B35&lt;&gt;"Entry","",SUMPRODUCT(('Q1 Data'!$D$4:$D$207=D35)*('Q1 Data'!$B$4:$B$207="Challan")*'Q1 Data'!$F$4:$F$207)+SUMPRODUCT(('Q2 Data'!$D$4:$D$207=D35)*('Q2 Data'!$B$4:$B$207="Challan")*'Q2 Data'!$F$4:$F$207)+SUMPRODUCT(('Q3 Data'!$D$4:$D$207=D35)*('Q3 Data'!$B$4:$B$207="Challan")*'Q3 Data'!$F$4:$F$207)+SUMPRODUCT(('Q4 Data'!$D$4:$D$207=D35)*('Q4 Data'!$B$4:$B$207="Challan")*'Q4 Data'!$F$4:$F$207))</f>
      </c>
      <c r="AR35" s="34">
        <f>IF(OR($B35&lt;&gt;"Entry",Z35=""),FALSE,AND((SUMPRODUCT(('Q1 Data'!$D$4:$D$207=D35)*('Q1 Data'!$B$4:$B$207="Challan")*('Q1 Data'!$H$4:$H$207&lt;&gt;""))+SUMPRODUCT(('Q2 Data'!$D$4:$D$207=D35)*('Q2 Data'!$B$4:$B$207="Challan")*('Q2 Data'!$H$4:$H$207&lt;&gt;""))+SUMPRODUCT(('Q3 Data'!$D$4:$D$207=D35)*('Q3 Data'!$B$4:$B$207="Challan")*('Q3 Data'!$H$4:$H$207&lt;&gt;""))+SUMPRODUCT(('Q4 Data'!$D$4:$D$207=D35)*('Q4 Data'!$B$4:$B$207="Challan")*('Q4 Data'!$H$4:$H$207&lt;&gt;"")))&gt;0,(SUMPRODUCT(('Q1 Data'!$D$4:$D$207=D35)*('Q1 Data'!$B$4:$B$207="Challan")*('Q1 Data'!$H$4:$H$207=Z35))+SUMPRODUCT(('Q2 Data'!$D$4:$D$207=D35)*('Q2 Data'!$B$4:$B$207="Challan")*('Q2 Data'!$H$4:$H$207=Z35))+SUMPRODUCT(('Q3 Data'!$D$4:$D$207=D35)*('Q3 Data'!$B$4:$B$207="Challan")*('Q3 Data'!$H$4:$H$207=Z35))+SUMPRODUCT(('Q4 Data'!$D$4:$D$207=D35)*('Q4 Data'!$B$4:$B$207="Challan")*('Q4 Data'!$H$4:$H$207=Z35)))=0))</f>
      </c>
    </row>
    <row r="36" spans="1:44" x14ac:dyDescent="0.25">
      <c r="A36" s="20">
        <f>IF($B36="Entry",COUNTIF($B$4:$B36,"Entry"),"")</f>
      </c>
      <c r="B36" s="21"/>
      <c r="C36" s="22"/>
      <c r="D36" s="22"/>
      <c r="E36" s="23">
        <f>IF($B36&lt;&gt;"Challan","",IF(ROUND(AN36-AO36,2)&gt;0,"Over-applied",IF(ROUND(AN36-AO36,2)=0,"Fully Utilised","Unconsumed")))</f>
      </c>
      <c r="F36" s="24"/>
      <c r="G36" s="25"/>
      <c r="H36" s="25"/>
      <c r="I36" s="26"/>
      <c r="J36" s="26"/>
      <c r="K36" s="26"/>
      <c r="L36" s="26"/>
      <c r="M36" s="26"/>
      <c r="N36" s="26"/>
      <c r="O36" s="26"/>
      <c r="P36" s="27">
        <f>IF($B36&lt;&gt;"Challan","",I36+J36+K36+L36+M36+N36)</f>
      </c>
      <c r="Q36" s="25"/>
      <c r="R36" s="25"/>
      <c r="S36" s="25"/>
      <c r="T36" s="25"/>
      <c r="U36" s="25"/>
      <c r="V36" s="28"/>
      <c r="W36" s="28"/>
      <c r="X36" s="23">
        <f>IF($B36="Entry",IF(AND(LEN(TRIM(UPPER(W36)))=10,CODE(MID(TRIM(UPPER(W36)),1,1))&gt;=65,CODE(MID(TRIM(UPPER(W36)),1,1))&lt;=90,CODE(MID(TRIM(UPPER(W36)),2,1))&gt;=65,CODE(MID(TRIM(UPPER(W36)),2,1))&lt;=90,CODE(MID(TRIM(UPPER(W36)),3,1))&gt;=65,CODE(MID(TRIM(UPPER(W36)),3,1))&lt;=90,CODE(MID(TRIM(UPPER(W36)),4,1))&gt;=65,CODE(MID(TRIM(UPPER(W36)),4,1))&lt;=90,CODE(MID(TRIM(UPPER(W36)),5,1))&gt;=65,CODE(MID(TRIM(UPPER(W36)),5,1))&lt;=90,CODE(MID(TRIM(UPPER(W36)),10,1))&gt;=65,CODE(MID(TRIM(UPPER(W36)),10,1))&lt;=90,CODE(MID(TRIM(UPPER(W36)),6,1))&gt;=48,CODE(MID(TRIM(UPPER(W36)),6,1))&lt;=57,CODE(MID(TRIM(UPPER(W36)),7,1))&gt;=48,CODE(MID(TRIM(UPPER(W36)),7,1))&lt;=57,CODE(MID(TRIM(UPPER(W36)),8,1))&gt;=48,CODE(MID(TRIM(UPPER(W36)),8,1))&lt;=57,CODE(MID(TRIM(UPPER(W36)),9,1))&gt;=48,CODE(MID(TRIM(UPPER(W36)),9,1))&lt;=57),"N","Y"),IF($B36="Challan","",IF(W36&lt;&gt;"","◄ Set Row Type","")))</f>
      </c>
      <c r="Y36" s="23">
        <f>IF($B36="Entry",IF(LEN(W36)&lt;4,"",IF(UPPER(MID(W36,4,1))="P","Individual",IF(UPPER(MID(W36,4,1))="H","HUF",IF(UPPER(MID(W36,4,1))="C","Company",IF(UPPER(MID(W36,4,1))="F","Firm",IF(UPPER(MID(W36,4,1))="L","LLP",IF(UPPER(MID(W36,4,1))="T","Trust",IF(UPPER(MID(W36,4,1))="A","AOP","")))))))),IF($B36="Challan","",IF(W36&lt;&gt;"","◄ Set Row Type","")))</f>
      </c>
      <c r="Z36" s="28"/>
      <c r="AA36" s="29">
        <f>IF($B36&lt;&gt;"Entry","",IF(Z36="","",IF(X36="Y",SUMPRODUCT(('Rate Lookup'!$A$1:$A$37=Z36)*'Rate Lookup'!$D$1:$D$37),IF(OR(Y36="Individual",Y36="HUF"),SUMPRODUCT(('Rate Lookup'!$A$1:$A$37=Z36)*'Rate Lookup'!$B$1:$B$37),SUMPRODUCT(('Rate Lookup'!$A$1:$A$37=Z36)*'Rate Lookup'!$C$1:$C$37)))))</f>
      </c>
      <c r="AB36" s="30"/>
      <c r="AC36" s="31"/>
      <c r="AD36" s="27">
        <f>IF($B36&lt;&gt;"Entry","",ROUND(AC36*AA36/100,0))</f>
      </c>
      <c r="AE36" s="27">
        <f>IF($B36&lt;&gt;"Entry","",0)</f>
      </c>
      <c r="AF36" s="27">
        <f>IF($B36&lt;&gt;"Entry","",0)</f>
      </c>
      <c r="AG36" s="27">
        <f>IF($B36&lt;&gt;"Entry","",IF(OR(AD36=0,AB36="",AQ36="",AQ36&lt;=0),0,IF(AQ36&lt;=DATE(YEAR(AB36),MONTH(AB36)+1,7),0,ROUND(AD36*0.015*((YEAR(AQ36)-YEAR(AB36))*12+(MONTH(AQ36)-MONTH(AB36))+1),0))))</f>
      </c>
      <c r="AH36" s="27">
        <f>IF($B36&lt;&gt;"Entry","",0)</f>
      </c>
      <c r="AI36" s="28"/>
      <c r="AJ36" s="28"/>
      <c r="AK36" s="32"/>
      <c r="AL36" s="28"/>
      <c r="AM36" s="28"/>
      <c r="AN36" s="27">
        <f>IF($B36&lt;&gt;"Challan","",SUMIF('Q1 Data'!$D$4:$D$207,D36,'Q1 Data'!$AD$4:$AD$207)+SUMIF('Q1 Data'!$D$4:$D$207,D36,'Q1 Data'!$AG$4:$AG$207)+SUMIF('Q1 Data'!$D$4:$D$207,D36,'Q1 Data'!$AE$4:$AE$207)+SUMIF('Q2 Data'!$D$4:$D$207,D36,'Q2 Data'!$AD$4:$AD$207)+SUMIF('Q2 Data'!$D$4:$D$207,D36,'Q2 Data'!$AG$4:$AG$207)+SUMIF('Q2 Data'!$D$4:$D$207,D36,'Q2 Data'!$AE$4:$AE$207)+SUMIF('Q3 Data'!$D$4:$D$207,D36,'Q3 Data'!$AD$4:$AD$207)+SUMIF('Q3 Data'!$D$4:$D$207,D36,'Q3 Data'!$AG$4:$AG$207)+SUMIF('Q3 Data'!$D$4:$D$207,D36,'Q3 Data'!$AE$4:$AE$207)+SUMIF('Q4 Data'!$D$4:$D$207,D36,'Q4 Data'!$AD$4:$AD$207)+SUMIF('Q4 Data'!$D$4:$D$207,D36,'Q4 Data'!$AG$4:$AG$207)+SUMIF('Q4 Data'!$D$4:$D$207,D36,'Q4 Data'!$AE$4:$AE$207))</f>
      </c>
      <c r="AO36" s="27">
        <f>IF($B36&lt;&gt;"Challan","",P36-N36)</f>
      </c>
      <c r="AP36" s="27">
        <f>IF($B36&lt;&gt;"Challan","",MAX(0,AO36-AN36))</f>
      </c>
      <c r="AQ36" s="33">
        <f>IF($B36&lt;&gt;"Entry","",SUMPRODUCT(('Q1 Data'!$D$4:$D$207=D36)*('Q1 Data'!$B$4:$B$207="Challan")*'Q1 Data'!$F$4:$F$207)+SUMPRODUCT(('Q2 Data'!$D$4:$D$207=D36)*('Q2 Data'!$B$4:$B$207="Challan")*'Q2 Data'!$F$4:$F$207)+SUMPRODUCT(('Q3 Data'!$D$4:$D$207=D36)*('Q3 Data'!$B$4:$B$207="Challan")*'Q3 Data'!$F$4:$F$207)+SUMPRODUCT(('Q4 Data'!$D$4:$D$207=D36)*('Q4 Data'!$B$4:$B$207="Challan")*'Q4 Data'!$F$4:$F$207))</f>
      </c>
      <c r="AR36" s="34">
        <f>IF(OR($B36&lt;&gt;"Entry",Z36=""),FALSE,AND((SUMPRODUCT(('Q1 Data'!$D$4:$D$207=D36)*('Q1 Data'!$B$4:$B$207="Challan")*('Q1 Data'!$H$4:$H$207&lt;&gt;""))+SUMPRODUCT(('Q2 Data'!$D$4:$D$207=D36)*('Q2 Data'!$B$4:$B$207="Challan")*('Q2 Data'!$H$4:$H$207&lt;&gt;""))+SUMPRODUCT(('Q3 Data'!$D$4:$D$207=D36)*('Q3 Data'!$B$4:$B$207="Challan")*('Q3 Data'!$H$4:$H$207&lt;&gt;""))+SUMPRODUCT(('Q4 Data'!$D$4:$D$207=D36)*('Q4 Data'!$B$4:$B$207="Challan")*('Q4 Data'!$H$4:$H$207&lt;&gt;"")))&gt;0,(SUMPRODUCT(('Q1 Data'!$D$4:$D$207=D36)*('Q1 Data'!$B$4:$B$207="Challan")*('Q1 Data'!$H$4:$H$207=Z36))+SUMPRODUCT(('Q2 Data'!$D$4:$D$207=D36)*('Q2 Data'!$B$4:$B$207="Challan")*('Q2 Data'!$H$4:$H$207=Z36))+SUMPRODUCT(('Q3 Data'!$D$4:$D$207=D36)*('Q3 Data'!$B$4:$B$207="Challan")*('Q3 Data'!$H$4:$H$207=Z36))+SUMPRODUCT(('Q4 Data'!$D$4:$D$207=D36)*('Q4 Data'!$B$4:$B$207="Challan")*('Q4 Data'!$H$4:$H$207=Z36)))=0))</f>
      </c>
    </row>
    <row r="37" spans="1:44" x14ac:dyDescent="0.25">
      <c r="A37" s="20">
        <f>IF($B37="Entry",COUNTIF($B$4:$B37,"Entry"),"")</f>
      </c>
      <c r="B37" s="21"/>
      <c r="C37" s="22"/>
      <c r="D37" s="22"/>
      <c r="E37" s="23">
        <f>IF($B37&lt;&gt;"Challan","",IF(ROUND(AN37-AO37,2)&gt;0,"Over-applied",IF(ROUND(AN37-AO37,2)=0,"Fully Utilised","Unconsumed")))</f>
      </c>
      <c r="F37" s="24"/>
      <c r="G37" s="25"/>
      <c r="H37" s="25"/>
      <c r="I37" s="26"/>
      <c r="J37" s="26"/>
      <c r="K37" s="26"/>
      <c r="L37" s="26"/>
      <c r="M37" s="26"/>
      <c r="N37" s="26"/>
      <c r="O37" s="26"/>
      <c r="P37" s="27">
        <f>IF($B37&lt;&gt;"Challan","",I37+J37+K37+L37+M37+N37)</f>
      </c>
      <c r="Q37" s="25"/>
      <c r="R37" s="25"/>
      <c r="S37" s="25"/>
      <c r="T37" s="25"/>
      <c r="U37" s="25"/>
      <c r="V37" s="28"/>
      <c r="W37" s="28"/>
      <c r="X37" s="23">
        <f>IF($B37="Entry",IF(AND(LEN(TRIM(UPPER(W37)))=10,CODE(MID(TRIM(UPPER(W37)),1,1))&gt;=65,CODE(MID(TRIM(UPPER(W37)),1,1))&lt;=90,CODE(MID(TRIM(UPPER(W37)),2,1))&gt;=65,CODE(MID(TRIM(UPPER(W37)),2,1))&lt;=90,CODE(MID(TRIM(UPPER(W37)),3,1))&gt;=65,CODE(MID(TRIM(UPPER(W37)),3,1))&lt;=90,CODE(MID(TRIM(UPPER(W37)),4,1))&gt;=65,CODE(MID(TRIM(UPPER(W37)),4,1))&lt;=90,CODE(MID(TRIM(UPPER(W37)),5,1))&gt;=65,CODE(MID(TRIM(UPPER(W37)),5,1))&lt;=90,CODE(MID(TRIM(UPPER(W37)),10,1))&gt;=65,CODE(MID(TRIM(UPPER(W37)),10,1))&lt;=90,CODE(MID(TRIM(UPPER(W37)),6,1))&gt;=48,CODE(MID(TRIM(UPPER(W37)),6,1))&lt;=57,CODE(MID(TRIM(UPPER(W37)),7,1))&gt;=48,CODE(MID(TRIM(UPPER(W37)),7,1))&lt;=57,CODE(MID(TRIM(UPPER(W37)),8,1))&gt;=48,CODE(MID(TRIM(UPPER(W37)),8,1))&lt;=57,CODE(MID(TRIM(UPPER(W37)),9,1))&gt;=48,CODE(MID(TRIM(UPPER(W37)),9,1))&lt;=57),"N","Y"),IF($B37="Challan","",IF(W37&lt;&gt;"","◄ Set Row Type","")))</f>
      </c>
      <c r="Y37" s="23">
        <f>IF($B37="Entry",IF(LEN(W37)&lt;4,"",IF(UPPER(MID(W37,4,1))="P","Individual",IF(UPPER(MID(W37,4,1))="H","HUF",IF(UPPER(MID(W37,4,1))="C","Company",IF(UPPER(MID(W37,4,1))="F","Firm",IF(UPPER(MID(W37,4,1))="L","LLP",IF(UPPER(MID(W37,4,1))="T","Trust",IF(UPPER(MID(W37,4,1))="A","AOP","")))))))),IF($B37="Challan","",IF(W37&lt;&gt;"","◄ Set Row Type","")))</f>
      </c>
      <c r="Z37" s="28"/>
      <c r="AA37" s="29">
        <f>IF($B37&lt;&gt;"Entry","",IF(Z37="","",IF(X37="Y",SUMPRODUCT(('Rate Lookup'!$A$1:$A$37=Z37)*'Rate Lookup'!$D$1:$D$37),IF(OR(Y37="Individual",Y37="HUF"),SUMPRODUCT(('Rate Lookup'!$A$1:$A$37=Z37)*'Rate Lookup'!$B$1:$B$37),SUMPRODUCT(('Rate Lookup'!$A$1:$A$37=Z37)*'Rate Lookup'!$C$1:$C$37)))))</f>
      </c>
      <c r="AB37" s="30"/>
      <c r="AC37" s="31"/>
      <c r="AD37" s="27">
        <f>IF($B37&lt;&gt;"Entry","",ROUND(AC37*AA37/100,0))</f>
      </c>
      <c r="AE37" s="27">
        <f>IF($B37&lt;&gt;"Entry","",0)</f>
      </c>
      <c r="AF37" s="27">
        <f>IF($B37&lt;&gt;"Entry","",0)</f>
      </c>
      <c r="AG37" s="27">
        <f>IF($B37&lt;&gt;"Entry","",IF(OR(AD37=0,AB37="",AQ37="",AQ37&lt;=0),0,IF(AQ37&lt;=DATE(YEAR(AB37),MONTH(AB37)+1,7),0,ROUND(AD37*0.015*((YEAR(AQ37)-YEAR(AB37))*12+(MONTH(AQ37)-MONTH(AB37))+1),0))))</f>
      </c>
      <c r="AH37" s="27">
        <f>IF($B37&lt;&gt;"Entry","",0)</f>
      </c>
      <c r="AI37" s="28"/>
      <c r="AJ37" s="28"/>
      <c r="AK37" s="32"/>
      <c r="AL37" s="28"/>
      <c r="AM37" s="28"/>
      <c r="AN37" s="27">
        <f>IF($B37&lt;&gt;"Challan","",SUMIF('Q1 Data'!$D$4:$D$207,D37,'Q1 Data'!$AD$4:$AD$207)+SUMIF('Q1 Data'!$D$4:$D$207,D37,'Q1 Data'!$AG$4:$AG$207)+SUMIF('Q1 Data'!$D$4:$D$207,D37,'Q1 Data'!$AE$4:$AE$207)+SUMIF('Q2 Data'!$D$4:$D$207,D37,'Q2 Data'!$AD$4:$AD$207)+SUMIF('Q2 Data'!$D$4:$D$207,D37,'Q2 Data'!$AG$4:$AG$207)+SUMIF('Q2 Data'!$D$4:$D$207,D37,'Q2 Data'!$AE$4:$AE$207)+SUMIF('Q3 Data'!$D$4:$D$207,D37,'Q3 Data'!$AD$4:$AD$207)+SUMIF('Q3 Data'!$D$4:$D$207,D37,'Q3 Data'!$AG$4:$AG$207)+SUMIF('Q3 Data'!$D$4:$D$207,D37,'Q3 Data'!$AE$4:$AE$207)+SUMIF('Q4 Data'!$D$4:$D$207,D37,'Q4 Data'!$AD$4:$AD$207)+SUMIF('Q4 Data'!$D$4:$D$207,D37,'Q4 Data'!$AG$4:$AG$207)+SUMIF('Q4 Data'!$D$4:$D$207,D37,'Q4 Data'!$AE$4:$AE$207))</f>
      </c>
      <c r="AO37" s="27">
        <f>IF($B37&lt;&gt;"Challan","",P37-N37)</f>
      </c>
      <c r="AP37" s="27">
        <f>IF($B37&lt;&gt;"Challan","",MAX(0,AO37-AN37))</f>
      </c>
      <c r="AQ37" s="33">
        <f>IF($B37&lt;&gt;"Entry","",SUMPRODUCT(('Q1 Data'!$D$4:$D$207=D37)*('Q1 Data'!$B$4:$B$207="Challan")*'Q1 Data'!$F$4:$F$207)+SUMPRODUCT(('Q2 Data'!$D$4:$D$207=D37)*('Q2 Data'!$B$4:$B$207="Challan")*'Q2 Data'!$F$4:$F$207)+SUMPRODUCT(('Q3 Data'!$D$4:$D$207=D37)*('Q3 Data'!$B$4:$B$207="Challan")*'Q3 Data'!$F$4:$F$207)+SUMPRODUCT(('Q4 Data'!$D$4:$D$207=D37)*('Q4 Data'!$B$4:$B$207="Challan")*'Q4 Data'!$F$4:$F$207))</f>
      </c>
      <c r="AR37" s="34">
        <f>IF(OR($B37&lt;&gt;"Entry",Z37=""),FALSE,AND((SUMPRODUCT(('Q1 Data'!$D$4:$D$207=D37)*('Q1 Data'!$B$4:$B$207="Challan")*('Q1 Data'!$H$4:$H$207&lt;&gt;""))+SUMPRODUCT(('Q2 Data'!$D$4:$D$207=D37)*('Q2 Data'!$B$4:$B$207="Challan")*('Q2 Data'!$H$4:$H$207&lt;&gt;""))+SUMPRODUCT(('Q3 Data'!$D$4:$D$207=D37)*('Q3 Data'!$B$4:$B$207="Challan")*('Q3 Data'!$H$4:$H$207&lt;&gt;""))+SUMPRODUCT(('Q4 Data'!$D$4:$D$207=D37)*('Q4 Data'!$B$4:$B$207="Challan")*('Q4 Data'!$H$4:$H$207&lt;&gt;"")))&gt;0,(SUMPRODUCT(('Q1 Data'!$D$4:$D$207=D37)*('Q1 Data'!$B$4:$B$207="Challan")*('Q1 Data'!$H$4:$H$207=Z37))+SUMPRODUCT(('Q2 Data'!$D$4:$D$207=D37)*('Q2 Data'!$B$4:$B$207="Challan")*('Q2 Data'!$H$4:$H$207=Z37))+SUMPRODUCT(('Q3 Data'!$D$4:$D$207=D37)*('Q3 Data'!$B$4:$B$207="Challan")*('Q3 Data'!$H$4:$H$207=Z37))+SUMPRODUCT(('Q4 Data'!$D$4:$D$207=D37)*('Q4 Data'!$B$4:$B$207="Challan")*('Q4 Data'!$H$4:$H$207=Z37)))=0))</f>
      </c>
    </row>
    <row r="38" spans="1:44" x14ac:dyDescent="0.25">
      <c r="A38" s="20">
        <f>IF($B38="Entry",COUNTIF($B$4:$B38,"Entry"),"")</f>
      </c>
      <c r="B38" s="21"/>
      <c r="C38" s="22"/>
      <c r="D38" s="22"/>
      <c r="E38" s="23">
        <f>IF($B38&lt;&gt;"Challan","",IF(ROUND(AN38-AO38,2)&gt;0,"Over-applied",IF(ROUND(AN38-AO38,2)=0,"Fully Utilised","Unconsumed")))</f>
      </c>
      <c r="F38" s="24"/>
      <c r="G38" s="25"/>
      <c r="H38" s="25"/>
      <c r="I38" s="26"/>
      <c r="J38" s="26"/>
      <c r="K38" s="26"/>
      <c r="L38" s="26"/>
      <c r="M38" s="26"/>
      <c r="N38" s="26"/>
      <c r="O38" s="26"/>
      <c r="P38" s="27">
        <f>IF($B38&lt;&gt;"Challan","",I38+J38+K38+L38+M38+N38)</f>
      </c>
      <c r="Q38" s="25"/>
      <c r="R38" s="25"/>
      <c r="S38" s="25"/>
      <c r="T38" s="25"/>
      <c r="U38" s="25"/>
      <c r="V38" s="28"/>
      <c r="W38" s="28"/>
      <c r="X38" s="23">
        <f>IF($B38="Entry",IF(AND(LEN(TRIM(UPPER(W38)))=10,CODE(MID(TRIM(UPPER(W38)),1,1))&gt;=65,CODE(MID(TRIM(UPPER(W38)),1,1))&lt;=90,CODE(MID(TRIM(UPPER(W38)),2,1))&gt;=65,CODE(MID(TRIM(UPPER(W38)),2,1))&lt;=90,CODE(MID(TRIM(UPPER(W38)),3,1))&gt;=65,CODE(MID(TRIM(UPPER(W38)),3,1))&lt;=90,CODE(MID(TRIM(UPPER(W38)),4,1))&gt;=65,CODE(MID(TRIM(UPPER(W38)),4,1))&lt;=90,CODE(MID(TRIM(UPPER(W38)),5,1))&gt;=65,CODE(MID(TRIM(UPPER(W38)),5,1))&lt;=90,CODE(MID(TRIM(UPPER(W38)),10,1))&gt;=65,CODE(MID(TRIM(UPPER(W38)),10,1))&lt;=90,CODE(MID(TRIM(UPPER(W38)),6,1))&gt;=48,CODE(MID(TRIM(UPPER(W38)),6,1))&lt;=57,CODE(MID(TRIM(UPPER(W38)),7,1))&gt;=48,CODE(MID(TRIM(UPPER(W38)),7,1))&lt;=57,CODE(MID(TRIM(UPPER(W38)),8,1))&gt;=48,CODE(MID(TRIM(UPPER(W38)),8,1))&lt;=57,CODE(MID(TRIM(UPPER(W38)),9,1))&gt;=48,CODE(MID(TRIM(UPPER(W38)),9,1))&lt;=57),"N","Y"),IF($B38="Challan","",IF(W38&lt;&gt;"","◄ Set Row Type","")))</f>
      </c>
      <c r="Y38" s="23">
        <f>IF($B38="Entry",IF(LEN(W38)&lt;4,"",IF(UPPER(MID(W38,4,1))="P","Individual",IF(UPPER(MID(W38,4,1))="H","HUF",IF(UPPER(MID(W38,4,1))="C","Company",IF(UPPER(MID(W38,4,1))="F","Firm",IF(UPPER(MID(W38,4,1))="L","LLP",IF(UPPER(MID(W38,4,1))="T","Trust",IF(UPPER(MID(W38,4,1))="A","AOP","")))))))),IF($B38="Challan","",IF(W38&lt;&gt;"","◄ Set Row Type","")))</f>
      </c>
      <c r="Z38" s="28"/>
      <c r="AA38" s="29">
        <f>IF($B38&lt;&gt;"Entry","",IF(Z38="","",IF(X38="Y",SUMPRODUCT(('Rate Lookup'!$A$1:$A$37=Z38)*'Rate Lookup'!$D$1:$D$37),IF(OR(Y38="Individual",Y38="HUF"),SUMPRODUCT(('Rate Lookup'!$A$1:$A$37=Z38)*'Rate Lookup'!$B$1:$B$37),SUMPRODUCT(('Rate Lookup'!$A$1:$A$37=Z38)*'Rate Lookup'!$C$1:$C$37)))))</f>
      </c>
      <c r="AB38" s="30"/>
      <c r="AC38" s="31"/>
      <c r="AD38" s="27">
        <f>IF($B38&lt;&gt;"Entry","",ROUND(AC38*AA38/100,0))</f>
      </c>
      <c r="AE38" s="27">
        <f>IF($B38&lt;&gt;"Entry","",0)</f>
      </c>
      <c r="AF38" s="27">
        <f>IF($B38&lt;&gt;"Entry","",0)</f>
      </c>
      <c r="AG38" s="27">
        <f>IF($B38&lt;&gt;"Entry","",IF(OR(AD38=0,AB38="",AQ38="",AQ38&lt;=0),0,IF(AQ38&lt;=DATE(YEAR(AB38),MONTH(AB38)+1,7),0,ROUND(AD38*0.015*((YEAR(AQ38)-YEAR(AB38))*12+(MONTH(AQ38)-MONTH(AB38))+1),0))))</f>
      </c>
      <c r="AH38" s="27">
        <f>IF($B38&lt;&gt;"Entry","",0)</f>
      </c>
      <c r="AI38" s="28"/>
      <c r="AJ38" s="28"/>
      <c r="AK38" s="32"/>
      <c r="AL38" s="28"/>
      <c r="AM38" s="28"/>
      <c r="AN38" s="27">
        <f>IF($B38&lt;&gt;"Challan","",SUMIF('Q1 Data'!$D$4:$D$207,D38,'Q1 Data'!$AD$4:$AD$207)+SUMIF('Q1 Data'!$D$4:$D$207,D38,'Q1 Data'!$AG$4:$AG$207)+SUMIF('Q1 Data'!$D$4:$D$207,D38,'Q1 Data'!$AE$4:$AE$207)+SUMIF('Q2 Data'!$D$4:$D$207,D38,'Q2 Data'!$AD$4:$AD$207)+SUMIF('Q2 Data'!$D$4:$D$207,D38,'Q2 Data'!$AG$4:$AG$207)+SUMIF('Q2 Data'!$D$4:$D$207,D38,'Q2 Data'!$AE$4:$AE$207)+SUMIF('Q3 Data'!$D$4:$D$207,D38,'Q3 Data'!$AD$4:$AD$207)+SUMIF('Q3 Data'!$D$4:$D$207,D38,'Q3 Data'!$AG$4:$AG$207)+SUMIF('Q3 Data'!$D$4:$D$207,D38,'Q3 Data'!$AE$4:$AE$207)+SUMIF('Q4 Data'!$D$4:$D$207,D38,'Q4 Data'!$AD$4:$AD$207)+SUMIF('Q4 Data'!$D$4:$D$207,D38,'Q4 Data'!$AG$4:$AG$207)+SUMIF('Q4 Data'!$D$4:$D$207,D38,'Q4 Data'!$AE$4:$AE$207))</f>
      </c>
      <c r="AO38" s="27">
        <f>IF($B38&lt;&gt;"Challan","",P38-N38)</f>
      </c>
      <c r="AP38" s="27">
        <f>IF($B38&lt;&gt;"Challan","",MAX(0,AO38-AN38))</f>
      </c>
      <c r="AQ38" s="33">
        <f>IF($B38&lt;&gt;"Entry","",SUMPRODUCT(('Q1 Data'!$D$4:$D$207=D38)*('Q1 Data'!$B$4:$B$207="Challan")*'Q1 Data'!$F$4:$F$207)+SUMPRODUCT(('Q2 Data'!$D$4:$D$207=D38)*('Q2 Data'!$B$4:$B$207="Challan")*'Q2 Data'!$F$4:$F$207)+SUMPRODUCT(('Q3 Data'!$D$4:$D$207=D38)*('Q3 Data'!$B$4:$B$207="Challan")*'Q3 Data'!$F$4:$F$207)+SUMPRODUCT(('Q4 Data'!$D$4:$D$207=D38)*('Q4 Data'!$B$4:$B$207="Challan")*'Q4 Data'!$F$4:$F$207))</f>
      </c>
      <c r="AR38" s="34">
        <f>IF(OR($B38&lt;&gt;"Entry",Z38=""),FALSE,AND((SUMPRODUCT(('Q1 Data'!$D$4:$D$207=D38)*('Q1 Data'!$B$4:$B$207="Challan")*('Q1 Data'!$H$4:$H$207&lt;&gt;""))+SUMPRODUCT(('Q2 Data'!$D$4:$D$207=D38)*('Q2 Data'!$B$4:$B$207="Challan")*('Q2 Data'!$H$4:$H$207&lt;&gt;""))+SUMPRODUCT(('Q3 Data'!$D$4:$D$207=D38)*('Q3 Data'!$B$4:$B$207="Challan")*('Q3 Data'!$H$4:$H$207&lt;&gt;""))+SUMPRODUCT(('Q4 Data'!$D$4:$D$207=D38)*('Q4 Data'!$B$4:$B$207="Challan")*('Q4 Data'!$H$4:$H$207&lt;&gt;"")))&gt;0,(SUMPRODUCT(('Q1 Data'!$D$4:$D$207=D38)*('Q1 Data'!$B$4:$B$207="Challan")*('Q1 Data'!$H$4:$H$207=Z38))+SUMPRODUCT(('Q2 Data'!$D$4:$D$207=D38)*('Q2 Data'!$B$4:$B$207="Challan")*('Q2 Data'!$H$4:$H$207=Z38))+SUMPRODUCT(('Q3 Data'!$D$4:$D$207=D38)*('Q3 Data'!$B$4:$B$207="Challan")*('Q3 Data'!$H$4:$H$207=Z38))+SUMPRODUCT(('Q4 Data'!$D$4:$D$207=D38)*('Q4 Data'!$B$4:$B$207="Challan")*('Q4 Data'!$H$4:$H$207=Z38)))=0))</f>
      </c>
    </row>
    <row r="39" spans="1:44" x14ac:dyDescent="0.25">
      <c r="A39" s="20">
        <f>IF($B39="Entry",COUNTIF($B$4:$B39,"Entry"),"")</f>
      </c>
      <c r="B39" s="21"/>
      <c r="C39" s="22"/>
      <c r="D39" s="22"/>
      <c r="E39" s="23">
        <f>IF($B39&lt;&gt;"Challan","",IF(ROUND(AN39-AO39,2)&gt;0,"Over-applied",IF(ROUND(AN39-AO39,2)=0,"Fully Utilised","Unconsumed")))</f>
      </c>
      <c r="F39" s="24"/>
      <c r="G39" s="25"/>
      <c r="H39" s="25"/>
      <c r="I39" s="26"/>
      <c r="J39" s="26"/>
      <c r="K39" s="26"/>
      <c r="L39" s="26"/>
      <c r="M39" s="26"/>
      <c r="N39" s="26"/>
      <c r="O39" s="26"/>
      <c r="P39" s="27">
        <f>IF($B39&lt;&gt;"Challan","",I39+J39+K39+L39+M39+N39)</f>
      </c>
      <c r="Q39" s="25"/>
      <c r="R39" s="25"/>
      <c r="S39" s="25"/>
      <c r="T39" s="25"/>
      <c r="U39" s="25"/>
      <c r="V39" s="28"/>
      <c r="W39" s="28"/>
      <c r="X39" s="23">
        <f>IF($B39="Entry",IF(AND(LEN(TRIM(UPPER(W39)))=10,CODE(MID(TRIM(UPPER(W39)),1,1))&gt;=65,CODE(MID(TRIM(UPPER(W39)),1,1))&lt;=90,CODE(MID(TRIM(UPPER(W39)),2,1))&gt;=65,CODE(MID(TRIM(UPPER(W39)),2,1))&lt;=90,CODE(MID(TRIM(UPPER(W39)),3,1))&gt;=65,CODE(MID(TRIM(UPPER(W39)),3,1))&lt;=90,CODE(MID(TRIM(UPPER(W39)),4,1))&gt;=65,CODE(MID(TRIM(UPPER(W39)),4,1))&lt;=90,CODE(MID(TRIM(UPPER(W39)),5,1))&gt;=65,CODE(MID(TRIM(UPPER(W39)),5,1))&lt;=90,CODE(MID(TRIM(UPPER(W39)),10,1))&gt;=65,CODE(MID(TRIM(UPPER(W39)),10,1))&lt;=90,CODE(MID(TRIM(UPPER(W39)),6,1))&gt;=48,CODE(MID(TRIM(UPPER(W39)),6,1))&lt;=57,CODE(MID(TRIM(UPPER(W39)),7,1))&gt;=48,CODE(MID(TRIM(UPPER(W39)),7,1))&lt;=57,CODE(MID(TRIM(UPPER(W39)),8,1))&gt;=48,CODE(MID(TRIM(UPPER(W39)),8,1))&lt;=57,CODE(MID(TRIM(UPPER(W39)),9,1))&gt;=48,CODE(MID(TRIM(UPPER(W39)),9,1))&lt;=57),"N","Y"),IF($B39="Challan","",IF(W39&lt;&gt;"","◄ Set Row Type","")))</f>
      </c>
      <c r="Y39" s="23">
        <f>IF($B39="Entry",IF(LEN(W39)&lt;4,"",IF(UPPER(MID(W39,4,1))="P","Individual",IF(UPPER(MID(W39,4,1))="H","HUF",IF(UPPER(MID(W39,4,1))="C","Company",IF(UPPER(MID(W39,4,1))="F","Firm",IF(UPPER(MID(W39,4,1))="L","LLP",IF(UPPER(MID(W39,4,1))="T","Trust",IF(UPPER(MID(W39,4,1))="A","AOP","")))))))),IF($B39="Challan","",IF(W39&lt;&gt;"","◄ Set Row Type","")))</f>
      </c>
      <c r="Z39" s="28"/>
      <c r="AA39" s="29">
        <f>IF($B39&lt;&gt;"Entry","",IF(Z39="","",IF(X39="Y",SUMPRODUCT(('Rate Lookup'!$A$1:$A$37=Z39)*'Rate Lookup'!$D$1:$D$37),IF(OR(Y39="Individual",Y39="HUF"),SUMPRODUCT(('Rate Lookup'!$A$1:$A$37=Z39)*'Rate Lookup'!$B$1:$B$37),SUMPRODUCT(('Rate Lookup'!$A$1:$A$37=Z39)*'Rate Lookup'!$C$1:$C$37)))))</f>
      </c>
      <c r="AB39" s="30"/>
      <c r="AC39" s="31"/>
      <c r="AD39" s="27">
        <f>IF($B39&lt;&gt;"Entry","",ROUND(AC39*AA39/100,0))</f>
      </c>
      <c r="AE39" s="27">
        <f>IF($B39&lt;&gt;"Entry","",0)</f>
      </c>
      <c r="AF39" s="27">
        <f>IF($B39&lt;&gt;"Entry","",0)</f>
      </c>
      <c r="AG39" s="27">
        <f>IF($B39&lt;&gt;"Entry","",IF(OR(AD39=0,AB39="",AQ39="",AQ39&lt;=0),0,IF(AQ39&lt;=DATE(YEAR(AB39),MONTH(AB39)+1,7),0,ROUND(AD39*0.015*((YEAR(AQ39)-YEAR(AB39))*12+(MONTH(AQ39)-MONTH(AB39))+1),0))))</f>
      </c>
      <c r="AH39" s="27">
        <f>IF($B39&lt;&gt;"Entry","",0)</f>
      </c>
      <c r="AI39" s="28"/>
      <c r="AJ39" s="28"/>
      <c r="AK39" s="32"/>
      <c r="AL39" s="28"/>
      <c r="AM39" s="28"/>
      <c r="AN39" s="27">
        <f>IF($B39&lt;&gt;"Challan","",SUMIF('Q1 Data'!$D$4:$D$207,D39,'Q1 Data'!$AD$4:$AD$207)+SUMIF('Q1 Data'!$D$4:$D$207,D39,'Q1 Data'!$AG$4:$AG$207)+SUMIF('Q1 Data'!$D$4:$D$207,D39,'Q1 Data'!$AE$4:$AE$207)+SUMIF('Q2 Data'!$D$4:$D$207,D39,'Q2 Data'!$AD$4:$AD$207)+SUMIF('Q2 Data'!$D$4:$D$207,D39,'Q2 Data'!$AG$4:$AG$207)+SUMIF('Q2 Data'!$D$4:$D$207,D39,'Q2 Data'!$AE$4:$AE$207)+SUMIF('Q3 Data'!$D$4:$D$207,D39,'Q3 Data'!$AD$4:$AD$207)+SUMIF('Q3 Data'!$D$4:$D$207,D39,'Q3 Data'!$AG$4:$AG$207)+SUMIF('Q3 Data'!$D$4:$D$207,D39,'Q3 Data'!$AE$4:$AE$207)+SUMIF('Q4 Data'!$D$4:$D$207,D39,'Q4 Data'!$AD$4:$AD$207)+SUMIF('Q4 Data'!$D$4:$D$207,D39,'Q4 Data'!$AG$4:$AG$207)+SUMIF('Q4 Data'!$D$4:$D$207,D39,'Q4 Data'!$AE$4:$AE$207))</f>
      </c>
      <c r="AO39" s="27">
        <f>IF($B39&lt;&gt;"Challan","",P39-N39)</f>
      </c>
      <c r="AP39" s="27">
        <f>IF($B39&lt;&gt;"Challan","",MAX(0,AO39-AN39))</f>
      </c>
      <c r="AQ39" s="33">
        <f>IF($B39&lt;&gt;"Entry","",SUMPRODUCT(('Q1 Data'!$D$4:$D$207=D39)*('Q1 Data'!$B$4:$B$207="Challan")*'Q1 Data'!$F$4:$F$207)+SUMPRODUCT(('Q2 Data'!$D$4:$D$207=D39)*('Q2 Data'!$B$4:$B$207="Challan")*'Q2 Data'!$F$4:$F$207)+SUMPRODUCT(('Q3 Data'!$D$4:$D$207=D39)*('Q3 Data'!$B$4:$B$207="Challan")*'Q3 Data'!$F$4:$F$207)+SUMPRODUCT(('Q4 Data'!$D$4:$D$207=D39)*('Q4 Data'!$B$4:$B$207="Challan")*'Q4 Data'!$F$4:$F$207))</f>
      </c>
      <c r="AR39" s="34">
        <f>IF(OR($B39&lt;&gt;"Entry",Z39=""),FALSE,AND((SUMPRODUCT(('Q1 Data'!$D$4:$D$207=D39)*('Q1 Data'!$B$4:$B$207="Challan")*('Q1 Data'!$H$4:$H$207&lt;&gt;""))+SUMPRODUCT(('Q2 Data'!$D$4:$D$207=D39)*('Q2 Data'!$B$4:$B$207="Challan")*('Q2 Data'!$H$4:$H$207&lt;&gt;""))+SUMPRODUCT(('Q3 Data'!$D$4:$D$207=D39)*('Q3 Data'!$B$4:$B$207="Challan")*('Q3 Data'!$H$4:$H$207&lt;&gt;""))+SUMPRODUCT(('Q4 Data'!$D$4:$D$207=D39)*('Q4 Data'!$B$4:$B$207="Challan")*('Q4 Data'!$H$4:$H$207&lt;&gt;"")))&gt;0,(SUMPRODUCT(('Q1 Data'!$D$4:$D$207=D39)*('Q1 Data'!$B$4:$B$207="Challan")*('Q1 Data'!$H$4:$H$207=Z39))+SUMPRODUCT(('Q2 Data'!$D$4:$D$207=D39)*('Q2 Data'!$B$4:$B$207="Challan")*('Q2 Data'!$H$4:$H$207=Z39))+SUMPRODUCT(('Q3 Data'!$D$4:$D$207=D39)*('Q3 Data'!$B$4:$B$207="Challan")*('Q3 Data'!$H$4:$H$207=Z39))+SUMPRODUCT(('Q4 Data'!$D$4:$D$207=D39)*('Q4 Data'!$B$4:$B$207="Challan")*('Q4 Data'!$H$4:$H$207=Z39)))=0))</f>
      </c>
    </row>
    <row r="40" spans="1:44" x14ac:dyDescent="0.25">
      <c r="A40" s="20">
        <f>IF($B40="Entry",COUNTIF($B$4:$B40,"Entry"),"")</f>
      </c>
      <c r="B40" s="21"/>
      <c r="C40" s="22"/>
      <c r="D40" s="22"/>
      <c r="E40" s="23">
        <f>IF($B40&lt;&gt;"Challan","",IF(ROUND(AN40-AO40,2)&gt;0,"Over-applied",IF(ROUND(AN40-AO40,2)=0,"Fully Utilised","Unconsumed")))</f>
      </c>
      <c r="F40" s="24"/>
      <c r="G40" s="25"/>
      <c r="H40" s="25"/>
      <c r="I40" s="26"/>
      <c r="J40" s="26"/>
      <c r="K40" s="26"/>
      <c r="L40" s="26"/>
      <c r="M40" s="26"/>
      <c r="N40" s="26"/>
      <c r="O40" s="26"/>
      <c r="P40" s="27">
        <f>IF($B40&lt;&gt;"Challan","",I40+J40+K40+L40+M40+N40)</f>
      </c>
      <c r="Q40" s="25"/>
      <c r="R40" s="25"/>
      <c r="S40" s="25"/>
      <c r="T40" s="25"/>
      <c r="U40" s="25"/>
      <c r="V40" s="28"/>
      <c r="W40" s="28"/>
      <c r="X40" s="23">
        <f>IF($B40="Entry",IF(AND(LEN(TRIM(UPPER(W40)))=10,CODE(MID(TRIM(UPPER(W40)),1,1))&gt;=65,CODE(MID(TRIM(UPPER(W40)),1,1))&lt;=90,CODE(MID(TRIM(UPPER(W40)),2,1))&gt;=65,CODE(MID(TRIM(UPPER(W40)),2,1))&lt;=90,CODE(MID(TRIM(UPPER(W40)),3,1))&gt;=65,CODE(MID(TRIM(UPPER(W40)),3,1))&lt;=90,CODE(MID(TRIM(UPPER(W40)),4,1))&gt;=65,CODE(MID(TRIM(UPPER(W40)),4,1))&lt;=90,CODE(MID(TRIM(UPPER(W40)),5,1))&gt;=65,CODE(MID(TRIM(UPPER(W40)),5,1))&lt;=90,CODE(MID(TRIM(UPPER(W40)),10,1))&gt;=65,CODE(MID(TRIM(UPPER(W40)),10,1))&lt;=90,CODE(MID(TRIM(UPPER(W40)),6,1))&gt;=48,CODE(MID(TRIM(UPPER(W40)),6,1))&lt;=57,CODE(MID(TRIM(UPPER(W40)),7,1))&gt;=48,CODE(MID(TRIM(UPPER(W40)),7,1))&lt;=57,CODE(MID(TRIM(UPPER(W40)),8,1))&gt;=48,CODE(MID(TRIM(UPPER(W40)),8,1))&lt;=57,CODE(MID(TRIM(UPPER(W40)),9,1))&gt;=48,CODE(MID(TRIM(UPPER(W40)),9,1))&lt;=57),"N","Y"),IF($B40="Challan","",IF(W40&lt;&gt;"","◄ Set Row Type","")))</f>
      </c>
      <c r="Y40" s="23">
        <f>IF($B40="Entry",IF(LEN(W40)&lt;4,"",IF(UPPER(MID(W40,4,1))="P","Individual",IF(UPPER(MID(W40,4,1))="H","HUF",IF(UPPER(MID(W40,4,1))="C","Company",IF(UPPER(MID(W40,4,1))="F","Firm",IF(UPPER(MID(W40,4,1))="L","LLP",IF(UPPER(MID(W40,4,1))="T","Trust",IF(UPPER(MID(W40,4,1))="A","AOP","")))))))),IF($B40="Challan","",IF(W40&lt;&gt;"","◄ Set Row Type","")))</f>
      </c>
      <c r="Z40" s="28"/>
      <c r="AA40" s="29">
        <f>IF($B40&lt;&gt;"Entry","",IF(Z40="","",IF(X40="Y",SUMPRODUCT(('Rate Lookup'!$A$1:$A$37=Z40)*'Rate Lookup'!$D$1:$D$37),IF(OR(Y40="Individual",Y40="HUF"),SUMPRODUCT(('Rate Lookup'!$A$1:$A$37=Z40)*'Rate Lookup'!$B$1:$B$37),SUMPRODUCT(('Rate Lookup'!$A$1:$A$37=Z40)*'Rate Lookup'!$C$1:$C$37)))))</f>
      </c>
      <c r="AB40" s="30"/>
      <c r="AC40" s="31"/>
      <c r="AD40" s="27">
        <f>IF($B40&lt;&gt;"Entry","",ROUND(AC40*AA40/100,0))</f>
      </c>
      <c r="AE40" s="27">
        <f>IF($B40&lt;&gt;"Entry","",0)</f>
      </c>
      <c r="AF40" s="27">
        <f>IF($B40&lt;&gt;"Entry","",0)</f>
      </c>
      <c r="AG40" s="27">
        <f>IF($B40&lt;&gt;"Entry","",IF(OR(AD40=0,AB40="",AQ40="",AQ40&lt;=0),0,IF(AQ40&lt;=DATE(YEAR(AB40),MONTH(AB40)+1,7),0,ROUND(AD40*0.015*((YEAR(AQ40)-YEAR(AB40))*12+(MONTH(AQ40)-MONTH(AB40))+1),0))))</f>
      </c>
      <c r="AH40" s="27">
        <f>IF($B40&lt;&gt;"Entry","",0)</f>
      </c>
      <c r="AI40" s="28"/>
      <c r="AJ40" s="28"/>
      <c r="AK40" s="32"/>
      <c r="AL40" s="28"/>
      <c r="AM40" s="28"/>
      <c r="AN40" s="27">
        <f>IF($B40&lt;&gt;"Challan","",SUMIF('Q1 Data'!$D$4:$D$207,D40,'Q1 Data'!$AD$4:$AD$207)+SUMIF('Q1 Data'!$D$4:$D$207,D40,'Q1 Data'!$AG$4:$AG$207)+SUMIF('Q1 Data'!$D$4:$D$207,D40,'Q1 Data'!$AE$4:$AE$207)+SUMIF('Q2 Data'!$D$4:$D$207,D40,'Q2 Data'!$AD$4:$AD$207)+SUMIF('Q2 Data'!$D$4:$D$207,D40,'Q2 Data'!$AG$4:$AG$207)+SUMIF('Q2 Data'!$D$4:$D$207,D40,'Q2 Data'!$AE$4:$AE$207)+SUMIF('Q3 Data'!$D$4:$D$207,D40,'Q3 Data'!$AD$4:$AD$207)+SUMIF('Q3 Data'!$D$4:$D$207,D40,'Q3 Data'!$AG$4:$AG$207)+SUMIF('Q3 Data'!$D$4:$D$207,D40,'Q3 Data'!$AE$4:$AE$207)+SUMIF('Q4 Data'!$D$4:$D$207,D40,'Q4 Data'!$AD$4:$AD$207)+SUMIF('Q4 Data'!$D$4:$D$207,D40,'Q4 Data'!$AG$4:$AG$207)+SUMIF('Q4 Data'!$D$4:$D$207,D40,'Q4 Data'!$AE$4:$AE$207))</f>
      </c>
      <c r="AO40" s="27">
        <f>IF($B40&lt;&gt;"Challan","",P40-N40)</f>
      </c>
      <c r="AP40" s="27">
        <f>IF($B40&lt;&gt;"Challan","",MAX(0,AO40-AN40))</f>
      </c>
      <c r="AQ40" s="33">
        <f>IF($B40&lt;&gt;"Entry","",SUMPRODUCT(('Q1 Data'!$D$4:$D$207=D40)*('Q1 Data'!$B$4:$B$207="Challan")*'Q1 Data'!$F$4:$F$207)+SUMPRODUCT(('Q2 Data'!$D$4:$D$207=D40)*('Q2 Data'!$B$4:$B$207="Challan")*'Q2 Data'!$F$4:$F$207)+SUMPRODUCT(('Q3 Data'!$D$4:$D$207=D40)*('Q3 Data'!$B$4:$B$207="Challan")*'Q3 Data'!$F$4:$F$207)+SUMPRODUCT(('Q4 Data'!$D$4:$D$207=D40)*('Q4 Data'!$B$4:$B$207="Challan")*'Q4 Data'!$F$4:$F$207))</f>
      </c>
      <c r="AR40" s="34">
        <f>IF(OR($B40&lt;&gt;"Entry",Z40=""),FALSE,AND((SUMPRODUCT(('Q1 Data'!$D$4:$D$207=D40)*('Q1 Data'!$B$4:$B$207="Challan")*('Q1 Data'!$H$4:$H$207&lt;&gt;""))+SUMPRODUCT(('Q2 Data'!$D$4:$D$207=D40)*('Q2 Data'!$B$4:$B$207="Challan")*('Q2 Data'!$H$4:$H$207&lt;&gt;""))+SUMPRODUCT(('Q3 Data'!$D$4:$D$207=D40)*('Q3 Data'!$B$4:$B$207="Challan")*('Q3 Data'!$H$4:$H$207&lt;&gt;""))+SUMPRODUCT(('Q4 Data'!$D$4:$D$207=D40)*('Q4 Data'!$B$4:$B$207="Challan")*('Q4 Data'!$H$4:$H$207&lt;&gt;"")))&gt;0,(SUMPRODUCT(('Q1 Data'!$D$4:$D$207=D40)*('Q1 Data'!$B$4:$B$207="Challan")*('Q1 Data'!$H$4:$H$207=Z40))+SUMPRODUCT(('Q2 Data'!$D$4:$D$207=D40)*('Q2 Data'!$B$4:$B$207="Challan")*('Q2 Data'!$H$4:$H$207=Z40))+SUMPRODUCT(('Q3 Data'!$D$4:$D$207=D40)*('Q3 Data'!$B$4:$B$207="Challan")*('Q3 Data'!$H$4:$H$207=Z40))+SUMPRODUCT(('Q4 Data'!$D$4:$D$207=D40)*('Q4 Data'!$B$4:$B$207="Challan")*('Q4 Data'!$H$4:$H$207=Z40)))=0))</f>
      </c>
    </row>
    <row r="41" spans="1:44" x14ac:dyDescent="0.25">
      <c r="A41" s="20">
        <f>IF($B41="Entry",COUNTIF($B$4:$B41,"Entry"),"")</f>
      </c>
      <c r="B41" s="21"/>
      <c r="C41" s="22"/>
      <c r="D41" s="22"/>
      <c r="E41" s="23">
        <f>IF($B41&lt;&gt;"Challan","",IF(ROUND(AN41-AO41,2)&gt;0,"Over-applied",IF(ROUND(AN41-AO41,2)=0,"Fully Utilised","Unconsumed")))</f>
      </c>
      <c r="F41" s="24"/>
      <c r="G41" s="25"/>
      <c r="H41" s="25"/>
      <c r="I41" s="26"/>
      <c r="J41" s="26"/>
      <c r="K41" s="26"/>
      <c r="L41" s="26"/>
      <c r="M41" s="26"/>
      <c r="N41" s="26"/>
      <c r="O41" s="26"/>
      <c r="P41" s="27">
        <f>IF($B41&lt;&gt;"Challan","",I41+J41+K41+L41+M41+N41)</f>
      </c>
      <c r="Q41" s="25"/>
      <c r="R41" s="25"/>
      <c r="S41" s="25"/>
      <c r="T41" s="25"/>
      <c r="U41" s="25"/>
      <c r="V41" s="28"/>
      <c r="W41" s="28"/>
      <c r="X41" s="23">
        <f>IF($B41="Entry",IF(AND(LEN(TRIM(UPPER(W41)))=10,CODE(MID(TRIM(UPPER(W41)),1,1))&gt;=65,CODE(MID(TRIM(UPPER(W41)),1,1))&lt;=90,CODE(MID(TRIM(UPPER(W41)),2,1))&gt;=65,CODE(MID(TRIM(UPPER(W41)),2,1))&lt;=90,CODE(MID(TRIM(UPPER(W41)),3,1))&gt;=65,CODE(MID(TRIM(UPPER(W41)),3,1))&lt;=90,CODE(MID(TRIM(UPPER(W41)),4,1))&gt;=65,CODE(MID(TRIM(UPPER(W41)),4,1))&lt;=90,CODE(MID(TRIM(UPPER(W41)),5,1))&gt;=65,CODE(MID(TRIM(UPPER(W41)),5,1))&lt;=90,CODE(MID(TRIM(UPPER(W41)),10,1))&gt;=65,CODE(MID(TRIM(UPPER(W41)),10,1))&lt;=90,CODE(MID(TRIM(UPPER(W41)),6,1))&gt;=48,CODE(MID(TRIM(UPPER(W41)),6,1))&lt;=57,CODE(MID(TRIM(UPPER(W41)),7,1))&gt;=48,CODE(MID(TRIM(UPPER(W41)),7,1))&lt;=57,CODE(MID(TRIM(UPPER(W41)),8,1))&gt;=48,CODE(MID(TRIM(UPPER(W41)),8,1))&lt;=57,CODE(MID(TRIM(UPPER(W41)),9,1))&gt;=48,CODE(MID(TRIM(UPPER(W41)),9,1))&lt;=57),"N","Y"),IF($B41="Challan","",IF(W41&lt;&gt;"","◄ Set Row Type","")))</f>
      </c>
      <c r="Y41" s="23">
        <f>IF($B41="Entry",IF(LEN(W41)&lt;4,"",IF(UPPER(MID(W41,4,1))="P","Individual",IF(UPPER(MID(W41,4,1))="H","HUF",IF(UPPER(MID(W41,4,1))="C","Company",IF(UPPER(MID(W41,4,1))="F","Firm",IF(UPPER(MID(W41,4,1))="L","LLP",IF(UPPER(MID(W41,4,1))="T","Trust",IF(UPPER(MID(W41,4,1))="A","AOP","")))))))),IF($B41="Challan","",IF(W41&lt;&gt;"","◄ Set Row Type","")))</f>
      </c>
      <c r="Z41" s="28"/>
      <c r="AA41" s="29">
        <f>IF($B41&lt;&gt;"Entry","",IF(Z41="","",IF(X41="Y",SUMPRODUCT(('Rate Lookup'!$A$1:$A$37=Z41)*'Rate Lookup'!$D$1:$D$37),IF(OR(Y41="Individual",Y41="HUF"),SUMPRODUCT(('Rate Lookup'!$A$1:$A$37=Z41)*'Rate Lookup'!$B$1:$B$37),SUMPRODUCT(('Rate Lookup'!$A$1:$A$37=Z41)*'Rate Lookup'!$C$1:$C$37)))))</f>
      </c>
      <c r="AB41" s="30"/>
      <c r="AC41" s="31"/>
      <c r="AD41" s="27">
        <f>IF($B41&lt;&gt;"Entry","",ROUND(AC41*AA41/100,0))</f>
      </c>
      <c r="AE41" s="27">
        <f>IF($B41&lt;&gt;"Entry","",0)</f>
      </c>
      <c r="AF41" s="27">
        <f>IF($B41&lt;&gt;"Entry","",0)</f>
      </c>
      <c r="AG41" s="27">
        <f>IF($B41&lt;&gt;"Entry","",IF(OR(AD41=0,AB41="",AQ41="",AQ41&lt;=0),0,IF(AQ41&lt;=DATE(YEAR(AB41),MONTH(AB41)+1,7),0,ROUND(AD41*0.015*((YEAR(AQ41)-YEAR(AB41))*12+(MONTH(AQ41)-MONTH(AB41))+1),0))))</f>
      </c>
      <c r="AH41" s="27">
        <f>IF($B41&lt;&gt;"Entry","",0)</f>
      </c>
      <c r="AI41" s="28"/>
      <c r="AJ41" s="28"/>
      <c r="AK41" s="32"/>
      <c r="AL41" s="28"/>
      <c r="AM41" s="28"/>
      <c r="AN41" s="27">
        <f>IF($B41&lt;&gt;"Challan","",SUMIF('Q1 Data'!$D$4:$D$207,D41,'Q1 Data'!$AD$4:$AD$207)+SUMIF('Q1 Data'!$D$4:$D$207,D41,'Q1 Data'!$AG$4:$AG$207)+SUMIF('Q1 Data'!$D$4:$D$207,D41,'Q1 Data'!$AE$4:$AE$207)+SUMIF('Q2 Data'!$D$4:$D$207,D41,'Q2 Data'!$AD$4:$AD$207)+SUMIF('Q2 Data'!$D$4:$D$207,D41,'Q2 Data'!$AG$4:$AG$207)+SUMIF('Q2 Data'!$D$4:$D$207,D41,'Q2 Data'!$AE$4:$AE$207)+SUMIF('Q3 Data'!$D$4:$D$207,D41,'Q3 Data'!$AD$4:$AD$207)+SUMIF('Q3 Data'!$D$4:$D$207,D41,'Q3 Data'!$AG$4:$AG$207)+SUMIF('Q3 Data'!$D$4:$D$207,D41,'Q3 Data'!$AE$4:$AE$207)+SUMIF('Q4 Data'!$D$4:$D$207,D41,'Q4 Data'!$AD$4:$AD$207)+SUMIF('Q4 Data'!$D$4:$D$207,D41,'Q4 Data'!$AG$4:$AG$207)+SUMIF('Q4 Data'!$D$4:$D$207,D41,'Q4 Data'!$AE$4:$AE$207))</f>
      </c>
      <c r="AO41" s="27">
        <f>IF($B41&lt;&gt;"Challan","",P41-N41)</f>
      </c>
      <c r="AP41" s="27">
        <f>IF($B41&lt;&gt;"Challan","",MAX(0,AO41-AN41))</f>
      </c>
      <c r="AQ41" s="33">
        <f>IF($B41&lt;&gt;"Entry","",SUMPRODUCT(('Q1 Data'!$D$4:$D$207=D41)*('Q1 Data'!$B$4:$B$207="Challan")*'Q1 Data'!$F$4:$F$207)+SUMPRODUCT(('Q2 Data'!$D$4:$D$207=D41)*('Q2 Data'!$B$4:$B$207="Challan")*'Q2 Data'!$F$4:$F$207)+SUMPRODUCT(('Q3 Data'!$D$4:$D$207=D41)*('Q3 Data'!$B$4:$B$207="Challan")*'Q3 Data'!$F$4:$F$207)+SUMPRODUCT(('Q4 Data'!$D$4:$D$207=D41)*('Q4 Data'!$B$4:$B$207="Challan")*'Q4 Data'!$F$4:$F$207))</f>
      </c>
      <c r="AR41" s="34">
        <f>IF(OR($B41&lt;&gt;"Entry",Z41=""),FALSE,AND((SUMPRODUCT(('Q1 Data'!$D$4:$D$207=D41)*('Q1 Data'!$B$4:$B$207="Challan")*('Q1 Data'!$H$4:$H$207&lt;&gt;""))+SUMPRODUCT(('Q2 Data'!$D$4:$D$207=D41)*('Q2 Data'!$B$4:$B$207="Challan")*('Q2 Data'!$H$4:$H$207&lt;&gt;""))+SUMPRODUCT(('Q3 Data'!$D$4:$D$207=D41)*('Q3 Data'!$B$4:$B$207="Challan")*('Q3 Data'!$H$4:$H$207&lt;&gt;""))+SUMPRODUCT(('Q4 Data'!$D$4:$D$207=D41)*('Q4 Data'!$B$4:$B$207="Challan")*('Q4 Data'!$H$4:$H$207&lt;&gt;"")))&gt;0,(SUMPRODUCT(('Q1 Data'!$D$4:$D$207=D41)*('Q1 Data'!$B$4:$B$207="Challan")*('Q1 Data'!$H$4:$H$207=Z41))+SUMPRODUCT(('Q2 Data'!$D$4:$D$207=D41)*('Q2 Data'!$B$4:$B$207="Challan")*('Q2 Data'!$H$4:$H$207=Z41))+SUMPRODUCT(('Q3 Data'!$D$4:$D$207=D41)*('Q3 Data'!$B$4:$B$207="Challan")*('Q3 Data'!$H$4:$H$207=Z41))+SUMPRODUCT(('Q4 Data'!$D$4:$D$207=D41)*('Q4 Data'!$B$4:$B$207="Challan")*('Q4 Data'!$H$4:$H$207=Z41)))=0))</f>
      </c>
    </row>
    <row r="42" spans="1:44" x14ac:dyDescent="0.25">
      <c r="A42" s="20">
        <f>IF($B42="Entry",COUNTIF($B$4:$B42,"Entry"),"")</f>
      </c>
      <c r="B42" s="21"/>
      <c r="C42" s="22"/>
      <c r="D42" s="22"/>
      <c r="E42" s="23">
        <f>IF($B42&lt;&gt;"Challan","",IF(ROUND(AN42-AO42,2)&gt;0,"Over-applied",IF(ROUND(AN42-AO42,2)=0,"Fully Utilised","Unconsumed")))</f>
      </c>
      <c r="F42" s="24"/>
      <c r="G42" s="25"/>
      <c r="H42" s="25"/>
      <c r="I42" s="26"/>
      <c r="J42" s="26"/>
      <c r="K42" s="26"/>
      <c r="L42" s="26"/>
      <c r="M42" s="26"/>
      <c r="N42" s="26"/>
      <c r="O42" s="26"/>
      <c r="P42" s="27">
        <f>IF($B42&lt;&gt;"Challan","",I42+J42+K42+L42+M42+N42)</f>
      </c>
      <c r="Q42" s="25"/>
      <c r="R42" s="25"/>
      <c r="S42" s="25"/>
      <c r="T42" s="25"/>
      <c r="U42" s="25"/>
      <c r="V42" s="28"/>
      <c r="W42" s="28"/>
      <c r="X42" s="23">
        <f>IF($B42="Entry",IF(AND(LEN(TRIM(UPPER(W42)))=10,CODE(MID(TRIM(UPPER(W42)),1,1))&gt;=65,CODE(MID(TRIM(UPPER(W42)),1,1))&lt;=90,CODE(MID(TRIM(UPPER(W42)),2,1))&gt;=65,CODE(MID(TRIM(UPPER(W42)),2,1))&lt;=90,CODE(MID(TRIM(UPPER(W42)),3,1))&gt;=65,CODE(MID(TRIM(UPPER(W42)),3,1))&lt;=90,CODE(MID(TRIM(UPPER(W42)),4,1))&gt;=65,CODE(MID(TRIM(UPPER(W42)),4,1))&lt;=90,CODE(MID(TRIM(UPPER(W42)),5,1))&gt;=65,CODE(MID(TRIM(UPPER(W42)),5,1))&lt;=90,CODE(MID(TRIM(UPPER(W42)),10,1))&gt;=65,CODE(MID(TRIM(UPPER(W42)),10,1))&lt;=90,CODE(MID(TRIM(UPPER(W42)),6,1))&gt;=48,CODE(MID(TRIM(UPPER(W42)),6,1))&lt;=57,CODE(MID(TRIM(UPPER(W42)),7,1))&gt;=48,CODE(MID(TRIM(UPPER(W42)),7,1))&lt;=57,CODE(MID(TRIM(UPPER(W42)),8,1))&gt;=48,CODE(MID(TRIM(UPPER(W42)),8,1))&lt;=57,CODE(MID(TRIM(UPPER(W42)),9,1))&gt;=48,CODE(MID(TRIM(UPPER(W42)),9,1))&lt;=57),"N","Y"),IF($B42="Challan","",IF(W42&lt;&gt;"","◄ Set Row Type","")))</f>
      </c>
      <c r="Y42" s="23">
        <f>IF($B42="Entry",IF(LEN(W42)&lt;4,"",IF(UPPER(MID(W42,4,1))="P","Individual",IF(UPPER(MID(W42,4,1))="H","HUF",IF(UPPER(MID(W42,4,1))="C","Company",IF(UPPER(MID(W42,4,1))="F","Firm",IF(UPPER(MID(W42,4,1))="L","LLP",IF(UPPER(MID(W42,4,1))="T","Trust",IF(UPPER(MID(W42,4,1))="A","AOP","")))))))),IF($B42="Challan","",IF(W42&lt;&gt;"","◄ Set Row Type","")))</f>
      </c>
      <c r="Z42" s="28"/>
      <c r="AA42" s="29">
        <f>IF($B42&lt;&gt;"Entry","",IF(Z42="","",IF(X42="Y",SUMPRODUCT(('Rate Lookup'!$A$1:$A$37=Z42)*'Rate Lookup'!$D$1:$D$37),IF(OR(Y42="Individual",Y42="HUF"),SUMPRODUCT(('Rate Lookup'!$A$1:$A$37=Z42)*'Rate Lookup'!$B$1:$B$37),SUMPRODUCT(('Rate Lookup'!$A$1:$A$37=Z42)*'Rate Lookup'!$C$1:$C$37)))))</f>
      </c>
      <c r="AB42" s="30"/>
      <c r="AC42" s="31"/>
      <c r="AD42" s="27">
        <f>IF($B42&lt;&gt;"Entry","",ROUND(AC42*AA42/100,0))</f>
      </c>
      <c r="AE42" s="27">
        <f>IF($B42&lt;&gt;"Entry","",0)</f>
      </c>
      <c r="AF42" s="27">
        <f>IF($B42&lt;&gt;"Entry","",0)</f>
      </c>
      <c r="AG42" s="27">
        <f>IF($B42&lt;&gt;"Entry","",IF(OR(AD42=0,AB42="",AQ42="",AQ42&lt;=0),0,IF(AQ42&lt;=DATE(YEAR(AB42),MONTH(AB42)+1,7),0,ROUND(AD42*0.015*((YEAR(AQ42)-YEAR(AB42))*12+(MONTH(AQ42)-MONTH(AB42))+1),0))))</f>
      </c>
      <c r="AH42" s="27">
        <f>IF($B42&lt;&gt;"Entry","",0)</f>
      </c>
      <c r="AI42" s="28"/>
      <c r="AJ42" s="28"/>
      <c r="AK42" s="32"/>
      <c r="AL42" s="28"/>
      <c r="AM42" s="28"/>
      <c r="AN42" s="27">
        <f>IF($B42&lt;&gt;"Challan","",SUMIF('Q1 Data'!$D$4:$D$207,D42,'Q1 Data'!$AD$4:$AD$207)+SUMIF('Q1 Data'!$D$4:$D$207,D42,'Q1 Data'!$AG$4:$AG$207)+SUMIF('Q1 Data'!$D$4:$D$207,D42,'Q1 Data'!$AE$4:$AE$207)+SUMIF('Q2 Data'!$D$4:$D$207,D42,'Q2 Data'!$AD$4:$AD$207)+SUMIF('Q2 Data'!$D$4:$D$207,D42,'Q2 Data'!$AG$4:$AG$207)+SUMIF('Q2 Data'!$D$4:$D$207,D42,'Q2 Data'!$AE$4:$AE$207)+SUMIF('Q3 Data'!$D$4:$D$207,D42,'Q3 Data'!$AD$4:$AD$207)+SUMIF('Q3 Data'!$D$4:$D$207,D42,'Q3 Data'!$AG$4:$AG$207)+SUMIF('Q3 Data'!$D$4:$D$207,D42,'Q3 Data'!$AE$4:$AE$207)+SUMIF('Q4 Data'!$D$4:$D$207,D42,'Q4 Data'!$AD$4:$AD$207)+SUMIF('Q4 Data'!$D$4:$D$207,D42,'Q4 Data'!$AG$4:$AG$207)+SUMIF('Q4 Data'!$D$4:$D$207,D42,'Q4 Data'!$AE$4:$AE$207))</f>
      </c>
      <c r="AO42" s="27">
        <f>IF($B42&lt;&gt;"Challan","",P42-N42)</f>
      </c>
      <c r="AP42" s="27">
        <f>IF($B42&lt;&gt;"Challan","",MAX(0,AO42-AN42))</f>
      </c>
      <c r="AQ42" s="33">
        <f>IF($B42&lt;&gt;"Entry","",SUMPRODUCT(('Q1 Data'!$D$4:$D$207=D42)*('Q1 Data'!$B$4:$B$207="Challan")*'Q1 Data'!$F$4:$F$207)+SUMPRODUCT(('Q2 Data'!$D$4:$D$207=D42)*('Q2 Data'!$B$4:$B$207="Challan")*'Q2 Data'!$F$4:$F$207)+SUMPRODUCT(('Q3 Data'!$D$4:$D$207=D42)*('Q3 Data'!$B$4:$B$207="Challan")*'Q3 Data'!$F$4:$F$207)+SUMPRODUCT(('Q4 Data'!$D$4:$D$207=D42)*('Q4 Data'!$B$4:$B$207="Challan")*'Q4 Data'!$F$4:$F$207))</f>
      </c>
      <c r="AR42" s="34">
        <f>IF(OR($B42&lt;&gt;"Entry",Z42=""),FALSE,AND((SUMPRODUCT(('Q1 Data'!$D$4:$D$207=D42)*('Q1 Data'!$B$4:$B$207="Challan")*('Q1 Data'!$H$4:$H$207&lt;&gt;""))+SUMPRODUCT(('Q2 Data'!$D$4:$D$207=D42)*('Q2 Data'!$B$4:$B$207="Challan")*('Q2 Data'!$H$4:$H$207&lt;&gt;""))+SUMPRODUCT(('Q3 Data'!$D$4:$D$207=D42)*('Q3 Data'!$B$4:$B$207="Challan")*('Q3 Data'!$H$4:$H$207&lt;&gt;""))+SUMPRODUCT(('Q4 Data'!$D$4:$D$207=D42)*('Q4 Data'!$B$4:$B$207="Challan")*('Q4 Data'!$H$4:$H$207&lt;&gt;"")))&gt;0,(SUMPRODUCT(('Q1 Data'!$D$4:$D$207=D42)*('Q1 Data'!$B$4:$B$207="Challan")*('Q1 Data'!$H$4:$H$207=Z42))+SUMPRODUCT(('Q2 Data'!$D$4:$D$207=D42)*('Q2 Data'!$B$4:$B$207="Challan")*('Q2 Data'!$H$4:$H$207=Z42))+SUMPRODUCT(('Q3 Data'!$D$4:$D$207=D42)*('Q3 Data'!$B$4:$B$207="Challan")*('Q3 Data'!$H$4:$H$207=Z42))+SUMPRODUCT(('Q4 Data'!$D$4:$D$207=D42)*('Q4 Data'!$B$4:$B$207="Challan")*('Q4 Data'!$H$4:$H$207=Z42)))=0))</f>
      </c>
    </row>
    <row r="43" spans="1:44" x14ac:dyDescent="0.25">
      <c r="A43" s="20">
        <f>IF($B43="Entry",COUNTIF($B$4:$B43,"Entry"),"")</f>
      </c>
      <c r="B43" s="21"/>
      <c r="C43" s="22"/>
      <c r="D43" s="22"/>
      <c r="E43" s="23">
        <f>IF($B43&lt;&gt;"Challan","",IF(ROUND(AN43-AO43,2)&gt;0,"Over-applied",IF(ROUND(AN43-AO43,2)=0,"Fully Utilised","Unconsumed")))</f>
      </c>
      <c r="F43" s="24"/>
      <c r="G43" s="25"/>
      <c r="H43" s="25"/>
      <c r="I43" s="26"/>
      <c r="J43" s="26"/>
      <c r="K43" s="26"/>
      <c r="L43" s="26"/>
      <c r="M43" s="26"/>
      <c r="N43" s="26"/>
      <c r="O43" s="26"/>
      <c r="P43" s="27">
        <f>IF($B43&lt;&gt;"Challan","",I43+J43+K43+L43+M43+N43)</f>
      </c>
      <c r="Q43" s="25"/>
      <c r="R43" s="25"/>
      <c r="S43" s="25"/>
      <c r="T43" s="25"/>
      <c r="U43" s="25"/>
      <c r="V43" s="28"/>
      <c r="W43" s="28"/>
      <c r="X43" s="23">
        <f>IF($B43="Entry",IF(AND(LEN(TRIM(UPPER(W43)))=10,CODE(MID(TRIM(UPPER(W43)),1,1))&gt;=65,CODE(MID(TRIM(UPPER(W43)),1,1))&lt;=90,CODE(MID(TRIM(UPPER(W43)),2,1))&gt;=65,CODE(MID(TRIM(UPPER(W43)),2,1))&lt;=90,CODE(MID(TRIM(UPPER(W43)),3,1))&gt;=65,CODE(MID(TRIM(UPPER(W43)),3,1))&lt;=90,CODE(MID(TRIM(UPPER(W43)),4,1))&gt;=65,CODE(MID(TRIM(UPPER(W43)),4,1))&lt;=90,CODE(MID(TRIM(UPPER(W43)),5,1))&gt;=65,CODE(MID(TRIM(UPPER(W43)),5,1))&lt;=90,CODE(MID(TRIM(UPPER(W43)),10,1))&gt;=65,CODE(MID(TRIM(UPPER(W43)),10,1))&lt;=90,CODE(MID(TRIM(UPPER(W43)),6,1))&gt;=48,CODE(MID(TRIM(UPPER(W43)),6,1))&lt;=57,CODE(MID(TRIM(UPPER(W43)),7,1))&gt;=48,CODE(MID(TRIM(UPPER(W43)),7,1))&lt;=57,CODE(MID(TRIM(UPPER(W43)),8,1))&gt;=48,CODE(MID(TRIM(UPPER(W43)),8,1))&lt;=57,CODE(MID(TRIM(UPPER(W43)),9,1))&gt;=48,CODE(MID(TRIM(UPPER(W43)),9,1))&lt;=57),"N","Y"),IF($B43="Challan","",IF(W43&lt;&gt;"","◄ Set Row Type","")))</f>
      </c>
      <c r="Y43" s="23">
        <f>IF($B43="Entry",IF(LEN(W43)&lt;4,"",IF(UPPER(MID(W43,4,1))="P","Individual",IF(UPPER(MID(W43,4,1))="H","HUF",IF(UPPER(MID(W43,4,1))="C","Company",IF(UPPER(MID(W43,4,1))="F","Firm",IF(UPPER(MID(W43,4,1))="L","LLP",IF(UPPER(MID(W43,4,1))="T","Trust",IF(UPPER(MID(W43,4,1))="A","AOP","")))))))),IF($B43="Challan","",IF(W43&lt;&gt;"","◄ Set Row Type","")))</f>
      </c>
      <c r="Z43" s="28"/>
      <c r="AA43" s="29">
        <f>IF($B43&lt;&gt;"Entry","",IF(Z43="","",IF(X43="Y",SUMPRODUCT(('Rate Lookup'!$A$1:$A$37=Z43)*'Rate Lookup'!$D$1:$D$37),IF(OR(Y43="Individual",Y43="HUF"),SUMPRODUCT(('Rate Lookup'!$A$1:$A$37=Z43)*'Rate Lookup'!$B$1:$B$37),SUMPRODUCT(('Rate Lookup'!$A$1:$A$37=Z43)*'Rate Lookup'!$C$1:$C$37)))))</f>
      </c>
      <c r="AB43" s="30"/>
      <c r="AC43" s="31"/>
      <c r="AD43" s="27">
        <f>IF($B43&lt;&gt;"Entry","",ROUND(AC43*AA43/100,0))</f>
      </c>
      <c r="AE43" s="27">
        <f>IF($B43&lt;&gt;"Entry","",0)</f>
      </c>
      <c r="AF43" s="27">
        <f>IF($B43&lt;&gt;"Entry","",0)</f>
      </c>
      <c r="AG43" s="27">
        <f>IF($B43&lt;&gt;"Entry","",IF(OR(AD43=0,AB43="",AQ43="",AQ43&lt;=0),0,IF(AQ43&lt;=DATE(YEAR(AB43),MONTH(AB43)+1,7),0,ROUND(AD43*0.015*((YEAR(AQ43)-YEAR(AB43))*12+(MONTH(AQ43)-MONTH(AB43))+1),0))))</f>
      </c>
      <c r="AH43" s="27">
        <f>IF($B43&lt;&gt;"Entry","",0)</f>
      </c>
      <c r="AI43" s="28"/>
      <c r="AJ43" s="28"/>
      <c r="AK43" s="32"/>
      <c r="AL43" s="28"/>
      <c r="AM43" s="28"/>
      <c r="AN43" s="27">
        <f>IF($B43&lt;&gt;"Challan","",SUMIF('Q1 Data'!$D$4:$D$207,D43,'Q1 Data'!$AD$4:$AD$207)+SUMIF('Q1 Data'!$D$4:$D$207,D43,'Q1 Data'!$AG$4:$AG$207)+SUMIF('Q1 Data'!$D$4:$D$207,D43,'Q1 Data'!$AE$4:$AE$207)+SUMIF('Q2 Data'!$D$4:$D$207,D43,'Q2 Data'!$AD$4:$AD$207)+SUMIF('Q2 Data'!$D$4:$D$207,D43,'Q2 Data'!$AG$4:$AG$207)+SUMIF('Q2 Data'!$D$4:$D$207,D43,'Q2 Data'!$AE$4:$AE$207)+SUMIF('Q3 Data'!$D$4:$D$207,D43,'Q3 Data'!$AD$4:$AD$207)+SUMIF('Q3 Data'!$D$4:$D$207,D43,'Q3 Data'!$AG$4:$AG$207)+SUMIF('Q3 Data'!$D$4:$D$207,D43,'Q3 Data'!$AE$4:$AE$207)+SUMIF('Q4 Data'!$D$4:$D$207,D43,'Q4 Data'!$AD$4:$AD$207)+SUMIF('Q4 Data'!$D$4:$D$207,D43,'Q4 Data'!$AG$4:$AG$207)+SUMIF('Q4 Data'!$D$4:$D$207,D43,'Q4 Data'!$AE$4:$AE$207))</f>
      </c>
      <c r="AO43" s="27">
        <f>IF($B43&lt;&gt;"Challan","",P43-N43)</f>
      </c>
      <c r="AP43" s="27">
        <f>IF($B43&lt;&gt;"Challan","",MAX(0,AO43-AN43))</f>
      </c>
      <c r="AQ43" s="33">
        <f>IF($B43&lt;&gt;"Entry","",SUMPRODUCT(('Q1 Data'!$D$4:$D$207=D43)*('Q1 Data'!$B$4:$B$207="Challan")*'Q1 Data'!$F$4:$F$207)+SUMPRODUCT(('Q2 Data'!$D$4:$D$207=D43)*('Q2 Data'!$B$4:$B$207="Challan")*'Q2 Data'!$F$4:$F$207)+SUMPRODUCT(('Q3 Data'!$D$4:$D$207=D43)*('Q3 Data'!$B$4:$B$207="Challan")*'Q3 Data'!$F$4:$F$207)+SUMPRODUCT(('Q4 Data'!$D$4:$D$207=D43)*('Q4 Data'!$B$4:$B$207="Challan")*'Q4 Data'!$F$4:$F$207))</f>
      </c>
      <c r="AR43" s="34">
        <f>IF(OR($B43&lt;&gt;"Entry",Z43=""),FALSE,AND((SUMPRODUCT(('Q1 Data'!$D$4:$D$207=D43)*('Q1 Data'!$B$4:$B$207="Challan")*('Q1 Data'!$H$4:$H$207&lt;&gt;""))+SUMPRODUCT(('Q2 Data'!$D$4:$D$207=D43)*('Q2 Data'!$B$4:$B$207="Challan")*('Q2 Data'!$H$4:$H$207&lt;&gt;""))+SUMPRODUCT(('Q3 Data'!$D$4:$D$207=D43)*('Q3 Data'!$B$4:$B$207="Challan")*('Q3 Data'!$H$4:$H$207&lt;&gt;""))+SUMPRODUCT(('Q4 Data'!$D$4:$D$207=D43)*('Q4 Data'!$B$4:$B$207="Challan")*('Q4 Data'!$H$4:$H$207&lt;&gt;"")))&gt;0,(SUMPRODUCT(('Q1 Data'!$D$4:$D$207=D43)*('Q1 Data'!$B$4:$B$207="Challan")*('Q1 Data'!$H$4:$H$207=Z43))+SUMPRODUCT(('Q2 Data'!$D$4:$D$207=D43)*('Q2 Data'!$B$4:$B$207="Challan")*('Q2 Data'!$H$4:$H$207=Z43))+SUMPRODUCT(('Q3 Data'!$D$4:$D$207=D43)*('Q3 Data'!$B$4:$B$207="Challan")*('Q3 Data'!$H$4:$H$207=Z43))+SUMPRODUCT(('Q4 Data'!$D$4:$D$207=D43)*('Q4 Data'!$B$4:$B$207="Challan")*('Q4 Data'!$H$4:$H$207=Z43)))=0))</f>
      </c>
    </row>
    <row r="44" spans="1:44" x14ac:dyDescent="0.25">
      <c r="A44" s="20">
        <f>IF($B44="Entry",COUNTIF($B$4:$B44,"Entry"),"")</f>
      </c>
      <c r="B44" s="21"/>
      <c r="C44" s="22"/>
      <c r="D44" s="22"/>
      <c r="E44" s="23">
        <f>IF($B44&lt;&gt;"Challan","",IF(ROUND(AN44-AO44,2)&gt;0,"Over-applied",IF(ROUND(AN44-AO44,2)=0,"Fully Utilised","Unconsumed")))</f>
      </c>
      <c r="F44" s="24"/>
      <c r="G44" s="25"/>
      <c r="H44" s="25"/>
      <c r="I44" s="26"/>
      <c r="J44" s="26"/>
      <c r="K44" s="26"/>
      <c r="L44" s="26"/>
      <c r="M44" s="26"/>
      <c r="N44" s="26"/>
      <c r="O44" s="26"/>
      <c r="P44" s="27">
        <f>IF($B44&lt;&gt;"Challan","",I44+J44+K44+L44+M44+N44)</f>
      </c>
      <c r="Q44" s="25"/>
      <c r="R44" s="25"/>
      <c r="S44" s="25"/>
      <c r="T44" s="25"/>
      <c r="U44" s="25"/>
      <c r="V44" s="28"/>
      <c r="W44" s="28"/>
      <c r="X44" s="23">
        <f>IF($B44="Entry",IF(AND(LEN(TRIM(UPPER(W44)))=10,CODE(MID(TRIM(UPPER(W44)),1,1))&gt;=65,CODE(MID(TRIM(UPPER(W44)),1,1))&lt;=90,CODE(MID(TRIM(UPPER(W44)),2,1))&gt;=65,CODE(MID(TRIM(UPPER(W44)),2,1))&lt;=90,CODE(MID(TRIM(UPPER(W44)),3,1))&gt;=65,CODE(MID(TRIM(UPPER(W44)),3,1))&lt;=90,CODE(MID(TRIM(UPPER(W44)),4,1))&gt;=65,CODE(MID(TRIM(UPPER(W44)),4,1))&lt;=90,CODE(MID(TRIM(UPPER(W44)),5,1))&gt;=65,CODE(MID(TRIM(UPPER(W44)),5,1))&lt;=90,CODE(MID(TRIM(UPPER(W44)),10,1))&gt;=65,CODE(MID(TRIM(UPPER(W44)),10,1))&lt;=90,CODE(MID(TRIM(UPPER(W44)),6,1))&gt;=48,CODE(MID(TRIM(UPPER(W44)),6,1))&lt;=57,CODE(MID(TRIM(UPPER(W44)),7,1))&gt;=48,CODE(MID(TRIM(UPPER(W44)),7,1))&lt;=57,CODE(MID(TRIM(UPPER(W44)),8,1))&gt;=48,CODE(MID(TRIM(UPPER(W44)),8,1))&lt;=57,CODE(MID(TRIM(UPPER(W44)),9,1))&gt;=48,CODE(MID(TRIM(UPPER(W44)),9,1))&lt;=57),"N","Y"),IF($B44="Challan","",IF(W44&lt;&gt;"","◄ Set Row Type","")))</f>
      </c>
      <c r="Y44" s="23">
        <f>IF($B44="Entry",IF(LEN(W44)&lt;4,"",IF(UPPER(MID(W44,4,1))="P","Individual",IF(UPPER(MID(W44,4,1))="H","HUF",IF(UPPER(MID(W44,4,1))="C","Company",IF(UPPER(MID(W44,4,1))="F","Firm",IF(UPPER(MID(W44,4,1))="L","LLP",IF(UPPER(MID(W44,4,1))="T","Trust",IF(UPPER(MID(W44,4,1))="A","AOP","")))))))),IF($B44="Challan","",IF(W44&lt;&gt;"","◄ Set Row Type","")))</f>
      </c>
      <c r="Z44" s="28"/>
      <c r="AA44" s="29">
        <f>IF($B44&lt;&gt;"Entry","",IF(Z44="","",IF(X44="Y",SUMPRODUCT(('Rate Lookup'!$A$1:$A$37=Z44)*'Rate Lookup'!$D$1:$D$37),IF(OR(Y44="Individual",Y44="HUF"),SUMPRODUCT(('Rate Lookup'!$A$1:$A$37=Z44)*'Rate Lookup'!$B$1:$B$37),SUMPRODUCT(('Rate Lookup'!$A$1:$A$37=Z44)*'Rate Lookup'!$C$1:$C$37)))))</f>
      </c>
      <c r="AB44" s="30"/>
      <c r="AC44" s="31"/>
      <c r="AD44" s="27">
        <f>IF($B44&lt;&gt;"Entry","",ROUND(AC44*AA44/100,0))</f>
      </c>
      <c r="AE44" s="27">
        <f>IF($B44&lt;&gt;"Entry","",0)</f>
      </c>
      <c r="AF44" s="27">
        <f>IF($B44&lt;&gt;"Entry","",0)</f>
      </c>
      <c r="AG44" s="27">
        <f>IF($B44&lt;&gt;"Entry","",IF(OR(AD44=0,AB44="",AQ44="",AQ44&lt;=0),0,IF(AQ44&lt;=DATE(YEAR(AB44),MONTH(AB44)+1,7),0,ROUND(AD44*0.015*((YEAR(AQ44)-YEAR(AB44))*12+(MONTH(AQ44)-MONTH(AB44))+1),0))))</f>
      </c>
      <c r="AH44" s="27">
        <f>IF($B44&lt;&gt;"Entry","",0)</f>
      </c>
      <c r="AI44" s="28"/>
      <c r="AJ44" s="28"/>
      <c r="AK44" s="32"/>
      <c r="AL44" s="28"/>
      <c r="AM44" s="28"/>
      <c r="AN44" s="27">
        <f>IF($B44&lt;&gt;"Challan","",SUMIF('Q1 Data'!$D$4:$D$207,D44,'Q1 Data'!$AD$4:$AD$207)+SUMIF('Q1 Data'!$D$4:$D$207,D44,'Q1 Data'!$AG$4:$AG$207)+SUMIF('Q1 Data'!$D$4:$D$207,D44,'Q1 Data'!$AE$4:$AE$207)+SUMIF('Q2 Data'!$D$4:$D$207,D44,'Q2 Data'!$AD$4:$AD$207)+SUMIF('Q2 Data'!$D$4:$D$207,D44,'Q2 Data'!$AG$4:$AG$207)+SUMIF('Q2 Data'!$D$4:$D$207,D44,'Q2 Data'!$AE$4:$AE$207)+SUMIF('Q3 Data'!$D$4:$D$207,D44,'Q3 Data'!$AD$4:$AD$207)+SUMIF('Q3 Data'!$D$4:$D$207,D44,'Q3 Data'!$AG$4:$AG$207)+SUMIF('Q3 Data'!$D$4:$D$207,D44,'Q3 Data'!$AE$4:$AE$207)+SUMIF('Q4 Data'!$D$4:$D$207,D44,'Q4 Data'!$AD$4:$AD$207)+SUMIF('Q4 Data'!$D$4:$D$207,D44,'Q4 Data'!$AG$4:$AG$207)+SUMIF('Q4 Data'!$D$4:$D$207,D44,'Q4 Data'!$AE$4:$AE$207))</f>
      </c>
      <c r="AO44" s="27">
        <f>IF($B44&lt;&gt;"Challan","",P44-N44)</f>
      </c>
      <c r="AP44" s="27">
        <f>IF($B44&lt;&gt;"Challan","",MAX(0,AO44-AN44))</f>
      </c>
      <c r="AQ44" s="33">
        <f>IF($B44&lt;&gt;"Entry","",SUMPRODUCT(('Q1 Data'!$D$4:$D$207=D44)*('Q1 Data'!$B$4:$B$207="Challan")*'Q1 Data'!$F$4:$F$207)+SUMPRODUCT(('Q2 Data'!$D$4:$D$207=D44)*('Q2 Data'!$B$4:$B$207="Challan")*'Q2 Data'!$F$4:$F$207)+SUMPRODUCT(('Q3 Data'!$D$4:$D$207=D44)*('Q3 Data'!$B$4:$B$207="Challan")*'Q3 Data'!$F$4:$F$207)+SUMPRODUCT(('Q4 Data'!$D$4:$D$207=D44)*('Q4 Data'!$B$4:$B$207="Challan")*'Q4 Data'!$F$4:$F$207))</f>
      </c>
      <c r="AR44" s="34">
        <f>IF(OR($B44&lt;&gt;"Entry",Z44=""),FALSE,AND((SUMPRODUCT(('Q1 Data'!$D$4:$D$207=D44)*('Q1 Data'!$B$4:$B$207="Challan")*('Q1 Data'!$H$4:$H$207&lt;&gt;""))+SUMPRODUCT(('Q2 Data'!$D$4:$D$207=D44)*('Q2 Data'!$B$4:$B$207="Challan")*('Q2 Data'!$H$4:$H$207&lt;&gt;""))+SUMPRODUCT(('Q3 Data'!$D$4:$D$207=D44)*('Q3 Data'!$B$4:$B$207="Challan")*('Q3 Data'!$H$4:$H$207&lt;&gt;""))+SUMPRODUCT(('Q4 Data'!$D$4:$D$207=D44)*('Q4 Data'!$B$4:$B$207="Challan")*('Q4 Data'!$H$4:$H$207&lt;&gt;"")))&gt;0,(SUMPRODUCT(('Q1 Data'!$D$4:$D$207=D44)*('Q1 Data'!$B$4:$B$207="Challan")*('Q1 Data'!$H$4:$H$207=Z44))+SUMPRODUCT(('Q2 Data'!$D$4:$D$207=D44)*('Q2 Data'!$B$4:$B$207="Challan")*('Q2 Data'!$H$4:$H$207=Z44))+SUMPRODUCT(('Q3 Data'!$D$4:$D$207=D44)*('Q3 Data'!$B$4:$B$207="Challan")*('Q3 Data'!$H$4:$H$207=Z44))+SUMPRODUCT(('Q4 Data'!$D$4:$D$207=D44)*('Q4 Data'!$B$4:$B$207="Challan")*('Q4 Data'!$H$4:$H$207=Z44)))=0))</f>
      </c>
    </row>
    <row r="45" spans="1:44" x14ac:dyDescent="0.25">
      <c r="A45" s="20">
        <f>IF($B45="Entry",COUNTIF($B$4:$B45,"Entry"),"")</f>
      </c>
      <c r="B45" s="21"/>
      <c r="C45" s="22"/>
      <c r="D45" s="22"/>
      <c r="E45" s="23">
        <f>IF($B45&lt;&gt;"Challan","",IF(ROUND(AN45-AO45,2)&gt;0,"Over-applied",IF(ROUND(AN45-AO45,2)=0,"Fully Utilised","Unconsumed")))</f>
      </c>
      <c r="F45" s="24"/>
      <c r="G45" s="25"/>
      <c r="H45" s="25"/>
      <c r="I45" s="26"/>
      <c r="J45" s="26"/>
      <c r="K45" s="26"/>
      <c r="L45" s="26"/>
      <c r="M45" s="26"/>
      <c r="N45" s="26"/>
      <c r="O45" s="26"/>
      <c r="P45" s="27">
        <f>IF($B45&lt;&gt;"Challan","",I45+J45+K45+L45+M45+N45)</f>
      </c>
      <c r="Q45" s="25"/>
      <c r="R45" s="25"/>
      <c r="S45" s="25"/>
      <c r="T45" s="25"/>
      <c r="U45" s="25"/>
      <c r="V45" s="28"/>
      <c r="W45" s="28"/>
      <c r="X45" s="23">
        <f>IF($B45="Entry",IF(AND(LEN(TRIM(UPPER(W45)))=10,CODE(MID(TRIM(UPPER(W45)),1,1))&gt;=65,CODE(MID(TRIM(UPPER(W45)),1,1))&lt;=90,CODE(MID(TRIM(UPPER(W45)),2,1))&gt;=65,CODE(MID(TRIM(UPPER(W45)),2,1))&lt;=90,CODE(MID(TRIM(UPPER(W45)),3,1))&gt;=65,CODE(MID(TRIM(UPPER(W45)),3,1))&lt;=90,CODE(MID(TRIM(UPPER(W45)),4,1))&gt;=65,CODE(MID(TRIM(UPPER(W45)),4,1))&lt;=90,CODE(MID(TRIM(UPPER(W45)),5,1))&gt;=65,CODE(MID(TRIM(UPPER(W45)),5,1))&lt;=90,CODE(MID(TRIM(UPPER(W45)),10,1))&gt;=65,CODE(MID(TRIM(UPPER(W45)),10,1))&lt;=90,CODE(MID(TRIM(UPPER(W45)),6,1))&gt;=48,CODE(MID(TRIM(UPPER(W45)),6,1))&lt;=57,CODE(MID(TRIM(UPPER(W45)),7,1))&gt;=48,CODE(MID(TRIM(UPPER(W45)),7,1))&lt;=57,CODE(MID(TRIM(UPPER(W45)),8,1))&gt;=48,CODE(MID(TRIM(UPPER(W45)),8,1))&lt;=57,CODE(MID(TRIM(UPPER(W45)),9,1))&gt;=48,CODE(MID(TRIM(UPPER(W45)),9,1))&lt;=57),"N","Y"),IF($B45="Challan","",IF(W45&lt;&gt;"","◄ Set Row Type","")))</f>
      </c>
      <c r="Y45" s="23">
        <f>IF($B45="Entry",IF(LEN(W45)&lt;4,"",IF(UPPER(MID(W45,4,1))="P","Individual",IF(UPPER(MID(W45,4,1))="H","HUF",IF(UPPER(MID(W45,4,1))="C","Company",IF(UPPER(MID(W45,4,1))="F","Firm",IF(UPPER(MID(W45,4,1))="L","LLP",IF(UPPER(MID(W45,4,1))="T","Trust",IF(UPPER(MID(W45,4,1))="A","AOP","")))))))),IF($B45="Challan","",IF(W45&lt;&gt;"","◄ Set Row Type","")))</f>
      </c>
      <c r="Z45" s="28"/>
      <c r="AA45" s="29">
        <f>IF($B45&lt;&gt;"Entry","",IF(Z45="","",IF(X45="Y",SUMPRODUCT(('Rate Lookup'!$A$1:$A$37=Z45)*'Rate Lookup'!$D$1:$D$37),IF(OR(Y45="Individual",Y45="HUF"),SUMPRODUCT(('Rate Lookup'!$A$1:$A$37=Z45)*'Rate Lookup'!$B$1:$B$37),SUMPRODUCT(('Rate Lookup'!$A$1:$A$37=Z45)*'Rate Lookup'!$C$1:$C$37)))))</f>
      </c>
      <c r="AB45" s="30"/>
      <c r="AC45" s="31"/>
      <c r="AD45" s="27">
        <f>IF($B45&lt;&gt;"Entry","",ROUND(AC45*AA45/100,0))</f>
      </c>
      <c r="AE45" s="27">
        <f>IF($B45&lt;&gt;"Entry","",0)</f>
      </c>
      <c r="AF45" s="27">
        <f>IF($B45&lt;&gt;"Entry","",0)</f>
      </c>
      <c r="AG45" s="27">
        <f>IF($B45&lt;&gt;"Entry","",IF(OR(AD45=0,AB45="",AQ45="",AQ45&lt;=0),0,IF(AQ45&lt;=DATE(YEAR(AB45),MONTH(AB45)+1,7),0,ROUND(AD45*0.015*((YEAR(AQ45)-YEAR(AB45))*12+(MONTH(AQ45)-MONTH(AB45))+1),0))))</f>
      </c>
      <c r="AH45" s="27">
        <f>IF($B45&lt;&gt;"Entry","",0)</f>
      </c>
      <c r="AI45" s="28"/>
      <c r="AJ45" s="28"/>
      <c r="AK45" s="32"/>
      <c r="AL45" s="28"/>
      <c r="AM45" s="28"/>
      <c r="AN45" s="27">
        <f>IF($B45&lt;&gt;"Challan","",SUMIF('Q1 Data'!$D$4:$D$207,D45,'Q1 Data'!$AD$4:$AD$207)+SUMIF('Q1 Data'!$D$4:$D$207,D45,'Q1 Data'!$AG$4:$AG$207)+SUMIF('Q1 Data'!$D$4:$D$207,D45,'Q1 Data'!$AE$4:$AE$207)+SUMIF('Q2 Data'!$D$4:$D$207,D45,'Q2 Data'!$AD$4:$AD$207)+SUMIF('Q2 Data'!$D$4:$D$207,D45,'Q2 Data'!$AG$4:$AG$207)+SUMIF('Q2 Data'!$D$4:$D$207,D45,'Q2 Data'!$AE$4:$AE$207)+SUMIF('Q3 Data'!$D$4:$D$207,D45,'Q3 Data'!$AD$4:$AD$207)+SUMIF('Q3 Data'!$D$4:$D$207,D45,'Q3 Data'!$AG$4:$AG$207)+SUMIF('Q3 Data'!$D$4:$D$207,D45,'Q3 Data'!$AE$4:$AE$207)+SUMIF('Q4 Data'!$D$4:$D$207,D45,'Q4 Data'!$AD$4:$AD$207)+SUMIF('Q4 Data'!$D$4:$D$207,D45,'Q4 Data'!$AG$4:$AG$207)+SUMIF('Q4 Data'!$D$4:$D$207,D45,'Q4 Data'!$AE$4:$AE$207))</f>
      </c>
      <c r="AO45" s="27">
        <f>IF($B45&lt;&gt;"Challan","",P45-N45)</f>
      </c>
      <c r="AP45" s="27">
        <f>IF($B45&lt;&gt;"Challan","",MAX(0,AO45-AN45))</f>
      </c>
      <c r="AQ45" s="33">
        <f>IF($B45&lt;&gt;"Entry","",SUMPRODUCT(('Q1 Data'!$D$4:$D$207=D45)*('Q1 Data'!$B$4:$B$207="Challan")*'Q1 Data'!$F$4:$F$207)+SUMPRODUCT(('Q2 Data'!$D$4:$D$207=D45)*('Q2 Data'!$B$4:$B$207="Challan")*'Q2 Data'!$F$4:$F$207)+SUMPRODUCT(('Q3 Data'!$D$4:$D$207=D45)*('Q3 Data'!$B$4:$B$207="Challan")*'Q3 Data'!$F$4:$F$207)+SUMPRODUCT(('Q4 Data'!$D$4:$D$207=D45)*('Q4 Data'!$B$4:$B$207="Challan")*'Q4 Data'!$F$4:$F$207))</f>
      </c>
      <c r="AR45" s="34">
        <f>IF(OR($B45&lt;&gt;"Entry",Z45=""),FALSE,AND((SUMPRODUCT(('Q1 Data'!$D$4:$D$207=D45)*('Q1 Data'!$B$4:$B$207="Challan")*('Q1 Data'!$H$4:$H$207&lt;&gt;""))+SUMPRODUCT(('Q2 Data'!$D$4:$D$207=D45)*('Q2 Data'!$B$4:$B$207="Challan")*('Q2 Data'!$H$4:$H$207&lt;&gt;""))+SUMPRODUCT(('Q3 Data'!$D$4:$D$207=D45)*('Q3 Data'!$B$4:$B$207="Challan")*('Q3 Data'!$H$4:$H$207&lt;&gt;""))+SUMPRODUCT(('Q4 Data'!$D$4:$D$207=D45)*('Q4 Data'!$B$4:$B$207="Challan")*('Q4 Data'!$H$4:$H$207&lt;&gt;"")))&gt;0,(SUMPRODUCT(('Q1 Data'!$D$4:$D$207=D45)*('Q1 Data'!$B$4:$B$207="Challan")*('Q1 Data'!$H$4:$H$207=Z45))+SUMPRODUCT(('Q2 Data'!$D$4:$D$207=D45)*('Q2 Data'!$B$4:$B$207="Challan")*('Q2 Data'!$H$4:$H$207=Z45))+SUMPRODUCT(('Q3 Data'!$D$4:$D$207=D45)*('Q3 Data'!$B$4:$B$207="Challan")*('Q3 Data'!$H$4:$H$207=Z45))+SUMPRODUCT(('Q4 Data'!$D$4:$D$207=D45)*('Q4 Data'!$B$4:$B$207="Challan")*('Q4 Data'!$H$4:$H$207=Z45)))=0))</f>
      </c>
    </row>
    <row r="46" spans="1:44" x14ac:dyDescent="0.25">
      <c r="A46" s="20">
        <f>IF($B46="Entry",COUNTIF($B$4:$B46,"Entry"),"")</f>
      </c>
      <c r="B46" s="21"/>
      <c r="C46" s="22"/>
      <c r="D46" s="22"/>
      <c r="E46" s="23">
        <f>IF($B46&lt;&gt;"Challan","",IF(ROUND(AN46-AO46,2)&gt;0,"Over-applied",IF(ROUND(AN46-AO46,2)=0,"Fully Utilised","Unconsumed")))</f>
      </c>
      <c r="F46" s="24"/>
      <c r="G46" s="25"/>
      <c r="H46" s="25"/>
      <c r="I46" s="26"/>
      <c r="J46" s="26"/>
      <c r="K46" s="26"/>
      <c r="L46" s="26"/>
      <c r="M46" s="26"/>
      <c r="N46" s="26"/>
      <c r="O46" s="26"/>
      <c r="P46" s="27">
        <f>IF($B46&lt;&gt;"Challan","",I46+J46+K46+L46+M46+N46)</f>
      </c>
      <c r="Q46" s="25"/>
      <c r="R46" s="25"/>
      <c r="S46" s="25"/>
      <c r="T46" s="25"/>
      <c r="U46" s="25"/>
      <c r="V46" s="28"/>
      <c r="W46" s="28"/>
      <c r="X46" s="23">
        <f>IF($B46="Entry",IF(AND(LEN(TRIM(UPPER(W46)))=10,CODE(MID(TRIM(UPPER(W46)),1,1))&gt;=65,CODE(MID(TRIM(UPPER(W46)),1,1))&lt;=90,CODE(MID(TRIM(UPPER(W46)),2,1))&gt;=65,CODE(MID(TRIM(UPPER(W46)),2,1))&lt;=90,CODE(MID(TRIM(UPPER(W46)),3,1))&gt;=65,CODE(MID(TRIM(UPPER(W46)),3,1))&lt;=90,CODE(MID(TRIM(UPPER(W46)),4,1))&gt;=65,CODE(MID(TRIM(UPPER(W46)),4,1))&lt;=90,CODE(MID(TRIM(UPPER(W46)),5,1))&gt;=65,CODE(MID(TRIM(UPPER(W46)),5,1))&lt;=90,CODE(MID(TRIM(UPPER(W46)),10,1))&gt;=65,CODE(MID(TRIM(UPPER(W46)),10,1))&lt;=90,CODE(MID(TRIM(UPPER(W46)),6,1))&gt;=48,CODE(MID(TRIM(UPPER(W46)),6,1))&lt;=57,CODE(MID(TRIM(UPPER(W46)),7,1))&gt;=48,CODE(MID(TRIM(UPPER(W46)),7,1))&lt;=57,CODE(MID(TRIM(UPPER(W46)),8,1))&gt;=48,CODE(MID(TRIM(UPPER(W46)),8,1))&lt;=57,CODE(MID(TRIM(UPPER(W46)),9,1))&gt;=48,CODE(MID(TRIM(UPPER(W46)),9,1))&lt;=57),"N","Y"),IF($B46="Challan","",IF(W46&lt;&gt;"","◄ Set Row Type","")))</f>
      </c>
      <c r="Y46" s="23">
        <f>IF($B46="Entry",IF(LEN(W46)&lt;4,"",IF(UPPER(MID(W46,4,1))="P","Individual",IF(UPPER(MID(W46,4,1))="H","HUF",IF(UPPER(MID(W46,4,1))="C","Company",IF(UPPER(MID(W46,4,1))="F","Firm",IF(UPPER(MID(W46,4,1))="L","LLP",IF(UPPER(MID(W46,4,1))="T","Trust",IF(UPPER(MID(W46,4,1))="A","AOP","")))))))),IF($B46="Challan","",IF(W46&lt;&gt;"","◄ Set Row Type","")))</f>
      </c>
      <c r="Z46" s="28"/>
      <c r="AA46" s="29">
        <f>IF($B46&lt;&gt;"Entry","",IF(Z46="","",IF(X46="Y",SUMPRODUCT(('Rate Lookup'!$A$1:$A$37=Z46)*'Rate Lookup'!$D$1:$D$37),IF(OR(Y46="Individual",Y46="HUF"),SUMPRODUCT(('Rate Lookup'!$A$1:$A$37=Z46)*'Rate Lookup'!$B$1:$B$37),SUMPRODUCT(('Rate Lookup'!$A$1:$A$37=Z46)*'Rate Lookup'!$C$1:$C$37)))))</f>
      </c>
      <c r="AB46" s="30"/>
      <c r="AC46" s="31"/>
      <c r="AD46" s="27">
        <f>IF($B46&lt;&gt;"Entry","",ROUND(AC46*AA46/100,0))</f>
      </c>
      <c r="AE46" s="27">
        <f>IF($B46&lt;&gt;"Entry","",0)</f>
      </c>
      <c r="AF46" s="27">
        <f>IF($B46&lt;&gt;"Entry","",0)</f>
      </c>
      <c r="AG46" s="27">
        <f>IF($B46&lt;&gt;"Entry","",IF(OR(AD46=0,AB46="",AQ46="",AQ46&lt;=0),0,IF(AQ46&lt;=DATE(YEAR(AB46),MONTH(AB46)+1,7),0,ROUND(AD46*0.015*((YEAR(AQ46)-YEAR(AB46))*12+(MONTH(AQ46)-MONTH(AB46))+1),0))))</f>
      </c>
      <c r="AH46" s="27">
        <f>IF($B46&lt;&gt;"Entry","",0)</f>
      </c>
      <c r="AI46" s="28"/>
      <c r="AJ46" s="28"/>
      <c r="AK46" s="32"/>
      <c r="AL46" s="28"/>
      <c r="AM46" s="28"/>
      <c r="AN46" s="27">
        <f>IF($B46&lt;&gt;"Challan","",SUMIF('Q1 Data'!$D$4:$D$207,D46,'Q1 Data'!$AD$4:$AD$207)+SUMIF('Q1 Data'!$D$4:$D$207,D46,'Q1 Data'!$AG$4:$AG$207)+SUMIF('Q1 Data'!$D$4:$D$207,D46,'Q1 Data'!$AE$4:$AE$207)+SUMIF('Q2 Data'!$D$4:$D$207,D46,'Q2 Data'!$AD$4:$AD$207)+SUMIF('Q2 Data'!$D$4:$D$207,D46,'Q2 Data'!$AG$4:$AG$207)+SUMIF('Q2 Data'!$D$4:$D$207,D46,'Q2 Data'!$AE$4:$AE$207)+SUMIF('Q3 Data'!$D$4:$D$207,D46,'Q3 Data'!$AD$4:$AD$207)+SUMIF('Q3 Data'!$D$4:$D$207,D46,'Q3 Data'!$AG$4:$AG$207)+SUMIF('Q3 Data'!$D$4:$D$207,D46,'Q3 Data'!$AE$4:$AE$207)+SUMIF('Q4 Data'!$D$4:$D$207,D46,'Q4 Data'!$AD$4:$AD$207)+SUMIF('Q4 Data'!$D$4:$D$207,D46,'Q4 Data'!$AG$4:$AG$207)+SUMIF('Q4 Data'!$D$4:$D$207,D46,'Q4 Data'!$AE$4:$AE$207))</f>
      </c>
      <c r="AO46" s="27">
        <f>IF($B46&lt;&gt;"Challan","",P46-N46)</f>
      </c>
      <c r="AP46" s="27">
        <f>IF($B46&lt;&gt;"Challan","",MAX(0,AO46-AN46))</f>
      </c>
      <c r="AQ46" s="33">
        <f>IF($B46&lt;&gt;"Entry","",SUMPRODUCT(('Q1 Data'!$D$4:$D$207=D46)*('Q1 Data'!$B$4:$B$207="Challan")*'Q1 Data'!$F$4:$F$207)+SUMPRODUCT(('Q2 Data'!$D$4:$D$207=D46)*('Q2 Data'!$B$4:$B$207="Challan")*'Q2 Data'!$F$4:$F$207)+SUMPRODUCT(('Q3 Data'!$D$4:$D$207=D46)*('Q3 Data'!$B$4:$B$207="Challan")*'Q3 Data'!$F$4:$F$207)+SUMPRODUCT(('Q4 Data'!$D$4:$D$207=D46)*('Q4 Data'!$B$4:$B$207="Challan")*'Q4 Data'!$F$4:$F$207))</f>
      </c>
      <c r="AR46" s="34">
        <f>IF(OR($B46&lt;&gt;"Entry",Z46=""),FALSE,AND((SUMPRODUCT(('Q1 Data'!$D$4:$D$207=D46)*('Q1 Data'!$B$4:$B$207="Challan")*('Q1 Data'!$H$4:$H$207&lt;&gt;""))+SUMPRODUCT(('Q2 Data'!$D$4:$D$207=D46)*('Q2 Data'!$B$4:$B$207="Challan")*('Q2 Data'!$H$4:$H$207&lt;&gt;""))+SUMPRODUCT(('Q3 Data'!$D$4:$D$207=D46)*('Q3 Data'!$B$4:$B$207="Challan")*('Q3 Data'!$H$4:$H$207&lt;&gt;""))+SUMPRODUCT(('Q4 Data'!$D$4:$D$207=D46)*('Q4 Data'!$B$4:$B$207="Challan")*('Q4 Data'!$H$4:$H$207&lt;&gt;"")))&gt;0,(SUMPRODUCT(('Q1 Data'!$D$4:$D$207=D46)*('Q1 Data'!$B$4:$B$207="Challan")*('Q1 Data'!$H$4:$H$207=Z46))+SUMPRODUCT(('Q2 Data'!$D$4:$D$207=D46)*('Q2 Data'!$B$4:$B$207="Challan")*('Q2 Data'!$H$4:$H$207=Z46))+SUMPRODUCT(('Q3 Data'!$D$4:$D$207=D46)*('Q3 Data'!$B$4:$B$207="Challan")*('Q3 Data'!$H$4:$H$207=Z46))+SUMPRODUCT(('Q4 Data'!$D$4:$D$207=D46)*('Q4 Data'!$B$4:$B$207="Challan")*('Q4 Data'!$H$4:$H$207=Z46)))=0))</f>
      </c>
    </row>
    <row r="47" spans="1:44" x14ac:dyDescent="0.25">
      <c r="A47" s="20">
        <f>IF($B47="Entry",COUNTIF($B$4:$B47,"Entry"),"")</f>
      </c>
      <c r="B47" s="21"/>
      <c r="C47" s="22"/>
      <c r="D47" s="22"/>
      <c r="E47" s="23">
        <f>IF($B47&lt;&gt;"Challan","",IF(ROUND(AN47-AO47,2)&gt;0,"Over-applied",IF(ROUND(AN47-AO47,2)=0,"Fully Utilised","Unconsumed")))</f>
      </c>
      <c r="F47" s="24"/>
      <c r="G47" s="25"/>
      <c r="H47" s="25"/>
      <c r="I47" s="26"/>
      <c r="J47" s="26"/>
      <c r="K47" s="26"/>
      <c r="L47" s="26"/>
      <c r="M47" s="26"/>
      <c r="N47" s="26"/>
      <c r="O47" s="26"/>
      <c r="P47" s="27">
        <f>IF($B47&lt;&gt;"Challan","",I47+J47+K47+L47+M47+N47)</f>
      </c>
      <c r="Q47" s="25"/>
      <c r="R47" s="25"/>
      <c r="S47" s="25"/>
      <c r="T47" s="25"/>
      <c r="U47" s="25"/>
      <c r="V47" s="28"/>
      <c r="W47" s="28"/>
      <c r="X47" s="23">
        <f>IF($B47="Entry",IF(AND(LEN(TRIM(UPPER(W47)))=10,CODE(MID(TRIM(UPPER(W47)),1,1))&gt;=65,CODE(MID(TRIM(UPPER(W47)),1,1))&lt;=90,CODE(MID(TRIM(UPPER(W47)),2,1))&gt;=65,CODE(MID(TRIM(UPPER(W47)),2,1))&lt;=90,CODE(MID(TRIM(UPPER(W47)),3,1))&gt;=65,CODE(MID(TRIM(UPPER(W47)),3,1))&lt;=90,CODE(MID(TRIM(UPPER(W47)),4,1))&gt;=65,CODE(MID(TRIM(UPPER(W47)),4,1))&lt;=90,CODE(MID(TRIM(UPPER(W47)),5,1))&gt;=65,CODE(MID(TRIM(UPPER(W47)),5,1))&lt;=90,CODE(MID(TRIM(UPPER(W47)),10,1))&gt;=65,CODE(MID(TRIM(UPPER(W47)),10,1))&lt;=90,CODE(MID(TRIM(UPPER(W47)),6,1))&gt;=48,CODE(MID(TRIM(UPPER(W47)),6,1))&lt;=57,CODE(MID(TRIM(UPPER(W47)),7,1))&gt;=48,CODE(MID(TRIM(UPPER(W47)),7,1))&lt;=57,CODE(MID(TRIM(UPPER(W47)),8,1))&gt;=48,CODE(MID(TRIM(UPPER(W47)),8,1))&lt;=57,CODE(MID(TRIM(UPPER(W47)),9,1))&gt;=48,CODE(MID(TRIM(UPPER(W47)),9,1))&lt;=57),"N","Y"),IF($B47="Challan","",IF(W47&lt;&gt;"","◄ Set Row Type","")))</f>
      </c>
      <c r="Y47" s="23">
        <f>IF($B47="Entry",IF(LEN(W47)&lt;4,"",IF(UPPER(MID(W47,4,1))="P","Individual",IF(UPPER(MID(W47,4,1))="H","HUF",IF(UPPER(MID(W47,4,1))="C","Company",IF(UPPER(MID(W47,4,1))="F","Firm",IF(UPPER(MID(W47,4,1))="L","LLP",IF(UPPER(MID(W47,4,1))="T","Trust",IF(UPPER(MID(W47,4,1))="A","AOP","")))))))),IF($B47="Challan","",IF(W47&lt;&gt;"","◄ Set Row Type","")))</f>
      </c>
      <c r="Z47" s="28"/>
      <c r="AA47" s="29">
        <f>IF($B47&lt;&gt;"Entry","",IF(Z47="","",IF(X47="Y",SUMPRODUCT(('Rate Lookup'!$A$1:$A$37=Z47)*'Rate Lookup'!$D$1:$D$37),IF(OR(Y47="Individual",Y47="HUF"),SUMPRODUCT(('Rate Lookup'!$A$1:$A$37=Z47)*'Rate Lookup'!$B$1:$B$37),SUMPRODUCT(('Rate Lookup'!$A$1:$A$37=Z47)*'Rate Lookup'!$C$1:$C$37)))))</f>
      </c>
      <c r="AB47" s="30"/>
      <c r="AC47" s="31"/>
      <c r="AD47" s="27">
        <f>IF($B47&lt;&gt;"Entry","",ROUND(AC47*AA47/100,0))</f>
      </c>
      <c r="AE47" s="27">
        <f>IF($B47&lt;&gt;"Entry","",0)</f>
      </c>
      <c r="AF47" s="27">
        <f>IF($B47&lt;&gt;"Entry","",0)</f>
      </c>
      <c r="AG47" s="27">
        <f>IF($B47&lt;&gt;"Entry","",IF(OR(AD47=0,AB47="",AQ47="",AQ47&lt;=0),0,IF(AQ47&lt;=DATE(YEAR(AB47),MONTH(AB47)+1,7),0,ROUND(AD47*0.015*((YEAR(AQ47)-YEAR(AB47))*12+(MONTH(AQ47)-MONTH(AB47))+1),0))))</f>
      </c>
      <c r="AH47" s="27">
        <f>IF($B47&lt;&gt;"Entry","",0)</f>
      </c>
      <c r="AI47" s="28"/>
      <c r="AJ47" s="28"/>
      <c r="AK47" s="32"/>
      <c r="AL47" s="28"/>
      <c r="AM47" s="28"/>
      <c r="AN47" s="27">
        <f>IF($B47&lt;&gt;"Challan","",SUMIF('Q1 Data'!$D$4:$D$207,D47,'Q1 Data'!$AD$4:$AD$207)+SUMIF('Q1 Data'!$D$4:$D$207,D47,'Q1 Data'!$AG$4:$AG$207)+SUMIF('Q1 Data'!$D$4:$D$207,D47,'Q1 Data'!$AE$4:$AE$207)+SUMIF('Q2 Data'!$D$4:$D$207,D47,'Q2 Data'!$AD$4:$AD$207)+SUMIF('Q2 Data'!$D$4:$D$207,D47,'Q2 Data'!$AG$4:$AG$207)+SUMIF('Q2 Data'!$D$4:$D$207,D47,'Q2 Data'!$AE$4:$AE$207)+SUMIF('Q3 Data'!$D$4:$D$207,D47,'Q3 Data'!$AD$4:$AD$207)+SUMIF('Q3 Data'!$D$4:$D$207,D47,'Q3 Data'!$AG$4:$AG$207)+SUMIF('Q3 Data'!$D$4:$D$207,D47,'Q3 Data'!$AE$4:$AE$207)+SUMIF('Q4 Data'!$D$4:$D$207,D47,'Q4 Data'!$AD$4:$AD$207)+SUMIF('Q4 Data'!$D$4:$D$207,D47,'Q4 Data'!$AG$4:$AG$207)+SUMIF('Q4 Data'!$D$4:$D$207,D47,'Q4 Data'!$AE$4:$AE$207))</f>
      </c>
      <c r="AO47" s="27">
        <f>IF($B47&lt;&gt;"Challan","",P47-N47)</f>
      </c>
      <c r="AP47" s="27">
        <f>IF($B47&lt;&gt;"Challan","",MAX(0,AO47-AN47))</f>
      </c>
      <c r="AQ47" s="33">
        <f>IF($B47&lt;&gt;"Entry","",SUMPRODUCT(('Q1 Data'!$D$4:$D$207=D47)*('Q1 Data'!$B$4:$B$207="Challan")*'Q1 Data'!$F$4:$F$207)+SUMPRODUCT(('Q2 Data'!$D$4:$D$207=D47)*('Q2 Data'!$B$4:$B$207="Challan")*'Q2 Data'!$F$4:$F$207)+SUMPRODUCT(('Q3 Data'!$D$4:$D$207=D47)*('Q3 Data'!$B$4:$B$207="Challan")*'Q3 Data'!$F$4:$F$207)+SUMPRODUCT(('Q4 Data'!$D$4:$D$207=D47)*('Q4 Data'!$B$4:$B$207="Challan")*'Q4 Data'!$F$4:$F$207))</f>
      </c>
      <c r="AR47" s="34">
        <f>IF(OR($B47&lt;&gt;"Entry",Z47=""),FALSE,AND((SUMPRODUCT(('Q1 Data'!$D$4:$D$207=D47)*('Q1 Data'!$B$4:$B$207="Challan")*('Q1 Data'!$H$4:$H$207&lt;&gt;""))+SUMPRODUCT(('Q2 Data'!$D$4:$D$207=D47)*('Q2 Data'!$B$4:$B$207="Challan")*('Q2 Data'!$H$4:$H$207&lt;&gt;""))+SUMPRODUCT(('Q3 Data'!$D$4:$D$207=D47)*('Q3 Data'!$B$4:$B$207="Challan")*('Q3 Data'!$H$4:$H$207&lt;&gt;""))+SUMPRODUCT(('Q4 Data'!$D$4:$D$207=D47)*('Q4 Data'!$B$4:$B$207="Challan")*('Q4 Data'!$H$4:$H$207&lt;&gt;"")))&gt;0,(SUMPRODUCT(('Q1 Data'!$D$4:$D$207=D47)*('Q1 Data'!$B$4:$B$207="Challan")*('Q1 Data'!$H$4:$H$207=Z47))+SUMPRODUCT(('Q2 Data'!$D$4:$D$207=D47)*('Q2 Data'!$B$4:$B$207="Challan")*('Q2 Data'!$H$4:$H$207=Z47))+SUMPRODUCT(('Q3 Data'!$D$4:$D$207=D47)*('Q3 Data'!$B$4:$B$207="Challan")*('Q3 Data'!$H$4:$H$207=Z47))+SUMPRODUCT(('Q4 Data'!$D$4:$D$207=D47)*('Q4 Data'!$B$4:$B$207="Challan")*('Q4 Data'!$H$4:$H$207=Z47)))=0))</f>
      </c>
    </row>
    <row r="48" spans="1:44" x14ac:dyDescent="0.25">
      <c r="A48" s="20">
        <f>IF($B48="Entry",COUNTIF($B$4:$B48,"Entry"),"")</f>
      </c>
      <c r="B48" s="21"/>
      <c r="C48" s="22"/>
      <c r="D48" s="22"/>
      <c r="E48" s="23">
        <f>IF($B48&lt;&gt;"Challan","",IF(ROUND(AN48-AO48,2)&gt;0,"Over-applied",IF(ROUND(AN48-AO48,2)=0,"Fully Utilised","Unconsumed")))</f>
      </c>
      <c r="F48" s="24"/>
      <c r="G48" s="25"/>
      <c r="H48" s="25"/>
      <c r="I48" s="26"/>
      <c r="J48" s="26"/>
      <c r="K48" s="26"/>
      <c r="L48" s="26"/>
      <c r="M48" s="26"/>
      <c r="N48" s="26"/>
      <c r="O48" s="26"/>
      <c r="P48" s="27">
        <f>IF($B48&lt;&gt;"Challan","",I48+J48+K48+L48+M48+N48)</f>
      </c>
      <c r="Q48" s="25"/>
      <c r="R48" s="25"/>
      <c r="S48" s="25"/>
      <c r="T48" s="25"/>
      <c r="U48" s="25"/>
      <c r="V48" s="28"/>
      <c r="W48" s="28"/>
      <c r="X48" s="23">
        <f>IF($B48="Entry",IF(AND(LEN(TRIM(UPPER(W48)))=10,CODE(MID(TRIM(UPPER(W48)),1,1))&gt;=65,CODE(MID(TRIM(UPPER(W48)),1,1))&lt;=90,CODE(MID(TRIM(UPPER(W48)),2,1))&gt;=65,CODE(MID(TRIM(UPPER(W48)),2,1))&lt;=90,CODE(MID(TRIM(UPPER(W48)),3,1))&gt;=65,CODE(MID(TRIM(UPPER(W48)),3,1))&lt;=90,CODE(MID(TRIM(UPPER(W48)),4,1))&gt;=65,CODE(MID(TRIM(UPPER(W48)),4,1))&lt;=90,CODE(MID(TRIM(UPPER(W48)),5,1))&gt;=65,CODE(MID(TRIM(UPPER(W48)),5,1))&lt;=90,CODE(MID(TRIM(UPPER(W48)),10,1))&gt;=65,CODE(MID(TRIM(UPPER(W48)),10,1))&lt;=90,CODE(MID(TRIM(UPPER(W48)),6,1))&gt;=48,CODE(MID(TRIM(UPPER(W48)),6,1))&lt;=57,CODE(MID(TRIM(UPPER(W48)),7,1))&gt;=48,CODE(MID(TRIM(UPPER(W48)),7,1))&lt;=57,CODE(MID(TRIM(UPPER(W48)),8,1))&gt;=48,CODE(MID(TRIM(UPPER(W48)),8,1))&lt;=57,CODE(MID(TRIM(UPPER(W48)),9,1))&gt;=48,CODE(MID(TRIM(UPPER(W48)),9,1))&lt;=57),"N","Y"),IF($B48="Challan","",IF(W48&lt;&gt;"","◄ Set Row Type","")))</f>
      </c>
      <c r="Y48" s="23">
        <f>IF($B48="Entry",IF(LEN(W48)&lt;4,"",IF(UPPER(MID(W48,4,1))="P","Individual",IF(UPPER(MID(W48,4,1))="H","HUF",IF(UPPER(MID(W48,4,1))="C","Company",IF(UPPER(MID(W48,4,1))="F","Firm",IF(UPPER(MID(W48,4,1))="L","LLP",IF(UPPER(MID(W48,4,1))="T","Trust",IF(UPPER(MID(W48,4,1))="A","AOP","")))))))),IF($B48="Challan","",IF(W48&lt;&gt;"","◄ Set Row Type","")))</f>
      </c>
      <c r="Z48" s="28"/>
      <c r="AA48" s="29">
        <f>IF($B48&lt;&gt;"Entry","",IF(Z48="","",IF(X48="Y",SUMPRODUCT(('Rate Lookup'!$A$1:$A$37=Z48)*'Rate Lookup'!$D$1:$D$37),IF(OR(Y48="Individual",Y48="HUF"),SUMPRODUCT(('Rate Lookup'!$A$1:$A$37=Z48)*'Rate Lookup'!$B$1:$B$37),SUMPRODUCT(('Rate Lookup'!$A$1:$A$37=Z48)*'Rate Lookup'!$C$1:$C$37)))))</f>
      </c>
      <c r="AB48" s="30"/>
      <c r="AC48" s="31"/>
      <c r="AD48" s="27">
        <f>IF($B48&lt;&gt;"Entry","",ROUND(AC48*AA48/100,0))</f>
      </c>
      <c r="AE48" s="27">
        <f>IF($B48&lt;&gt;"Entry","",0)</f>
      </c>
      <c r="AF48" s="27">
        <f>IF($B48&lt;&gt;"Entry","",0)</f>
      </c>
      <c r="AG48" s="27">
        <f>IF($B48&lt;&gt;"Entry","",IF(OR(AD48=0,AB48="",AQ48="",AQ48&lt;=0),0,IF(AQ48&lt;=DATE(YEAR(AB48),MONTH(AB48)+1,7),0,ROUND(AD48*0.015*((YEAR(AQ48)-YEAR(AB48))*12+(MONTH(AQ48)-MONTH(AB48))+1),0))))</f>
      </c>
      <c r="AH48" s="27">
        <f>IF($B48&lt;&gt;"Entry","",0)</f>
      </c>
      <c r="AI48" s="28"/>
      <c r="AJ48" s="28"/>
      <c r="AK48" s="32"/>
      <c r="AL48" s="28"/>
      <c r="AM48" s="28"/>
      <c r="AN48" s="27">
        <f>IF($B48&lt;&gt;"Challan","",SUMIF('Q1 Data'!$D$4:$D$207,D48,'Q1 Data'!$AD$4:$AD$207)+SUMIF('Q1 Data'!$D$4:$D$207,D48,'Q1 Data'!$AG$4:$AG$207)+SUMIF('Q1 Data'!$D$4:$D$207,D48,'Q1 Data'!$AE$4:$AE$207)+SUMIF('Q2 Data'!$D$4:$D$207,D48,'Q2 Data'!$AD$4:$AD$207)+SUMIF('Q2 Data'!$D$4:$D$207,D48,'Q2 Data'!$AG$4:$AG$207)+SUMIF('Q2 Data'!$D$4:$D$207,D48,'Q2 Data'!$AE$4:$AE$207)+SUMIF('Q3 Data'!$D$4:$D$207,D48,'Q3 Data'!$AD$4:$AD$207)+SUMIF('Q3 Data'!$D$4:$D$207,D48,'Q3 Data'!$AG$4:$AG$207)+SUMIF('Q3 Data'!$D$4:$D$207,D48,'Q3 Data'!$AE$4:$AE$207)+SUMIF('Q4 Data'!$D$4:$D$207,D48,'Q4 Data'!$AD$4:$AD$207)+SUMIF('Q4 Data'!$D$4:$D$207,D48,'Q4 Data'!$AG$4:$AG$207)+SUMIF('Q4 Data'!$D$4:$D$207,D48,'Q4 Data'!$AE$4:$AE$207))</f>
      </c>
      <c r="AO48" s="27">
        <f>IF($B48&lt;&gt;"Challan","",P48-N48)</f>
      </c>
      <c r="AP48" s="27">
        <f>IF($B48&lt;&gt;"Challan","",MAX(0,AO48-AN48))</f>
      </c>
      <c r="AQ48" s="33">
        <f>IF($B48&lt;&gt;"Entry","",SUMPRODUCT(('Q1 Data'!$D$4:$D$207=D48)*('Q1 Data'!$B$4:$B$207="Challan")*'Q1 Data'!$F$4:$F$207)+SUMPRODUCT(('Q2 Data'!$D$4:$D$207=D48)*('Q2 Data'!$B$4:$B$207="Challan")*'Q2 Data'!$F$4:$F$207)+SUMPRODUCT(('Q3 Data'!$D$4:$D$207=D48)*('Q3 Data'!$B$4:$B$207="Challan")*'Q3 Data'!$F$4:$F$207)+SUMPRODUCT(('Q4 Data'!$D$4:$D$207=D48)*('Q4 Data'!$B$4:$B$207="Challan")*'Q4 Data'!$F$4:$F$207))</f>
      </c>
      <c r="AR48" s="34">
        <f>IF(OR($B48&lt;&gt;"Entry",Z48=""),FALSE,AND((SUMPRODUCT(('Q1 Data'!$D$4:$D$207=D48)*('Q1 Data'!$B$4:$B$207="Challan")*('Q1 Data'!$H$4:$H$207&lt;&gt;""))+SUMPRODUCT(('Q2 Data'!$D$4:$D$207=D48)*('Q2 Data'!$B$4:$B$207="Challan")*('Q2 Data'!$H$4:$H$207&lt;&gt;""))+SUMPRODUCT(('Q3 Data'!$D$4:$D$207=D48)*('Q3 Data'!$B$4:$B$207="Challan")*('Q3 Data'!$H$4:$H$207&lt;&gt;""))+SUMPRODUCT(('Q4 Data'!$D$4:$D$207=D48)*('Q4 Data'!$B$4:$B$207="Challan")*('Q4 Data'!$H$4:$H$207&lt;&gt;"")))&gt;0,(SUMPRODUCT(('Q1 Data'!$D$4:$D$207=D48)*('Q1 Data'!$B$4:$B$207="Challan")*('Q1 Data'!$H$4:$H$207=Z48))+SUMPRODUCT(('Q2 Data'!$D$4:$D$207=D48)*('Q2 Data'!$B$4:$B$207="Challan")*('Q2 Data'!$H$4:$H$207=Z48))+SUMPRODUCT(('Q3 Data'!$D$4:$D$207=D48)*('Q3 Data'!$B$4:$B$207="Challan")*('Q3 Data'!$H$4:$H$207=Z48))+SUMPRODUCT(('Q4 Data'!$D$4:$D$207=D48)*('Q4 Data'!$B$4:$B$207="Challan")*('Q4 Data'!$H$4:$H$207=Z48)))=0))</f>
      </c>
    </row>
    <row r="49" spans="1:44" x14ac:dyDescent="0.25">
      <c r="A49" s="20">
        <f>IF($B49="Entry",COUNTIF($B$4:$B49,"Entry"),"")</f>
      </c>
      <c r="B49" s="21"/>
      <c r="C49" s="22"/>
      <c r="D49" s="22"/>
      <c r="E49" s="23">
        <f>IF($B49&lt;&gt;"Challan","",IF(ROUND(AN49-AO49,2)&gt;0,"Over-applied",IF(ROUND(AN49-AO49,2)=0,"Fully Utilised","Unconsumed")))</f>
      </c>
      <c r="F49" s="24"/>
      <c r="G49" s="25"/>
      <c r="H49" s="25"/>
      <c r="I49" s="26"/>
      <c r="J49" s="26"/>
      <c r="K49" s="26"/>
      <c r="L49" s="26"/>
      <c r="M49" s="26"/>
      <c r="N49" s="26"/>
      <c r="O49" s="26"/>
      <c r="P49" s="27">
        <f>IF($B49&lt;&gt;"Challan","",I49+J49+K49+L49+M49+N49)</f>
      </c>
      <c r="Q49" s="25"/>
      <c r="R49" s="25"/>
      <c r="S49" s="25"/>
      <c r="T49" s="25"/>
      <c r="U49" s="25"/>
      <c r="V49" s="28"/>
      <c r="W49" s="28"/>
      <c r="X49" s="23">
        <f>IF($B49="Entry",IF(AND(LEN(TRIM(UPPER(W49)))=10,CODE(MID(TRIM(UPPER(W49)),1,1))&gt;=65,CODE(MID(TRIM(UPPER(W49)),1,1))&lt;=90,CODE(MID(TRIM(UPPER(W49)),2,1))&gt;=65,CODE(MID(TRIM(UPPER(W49)),2,1))&lt;=90,CODE(MID(TRIM(UPPER(W49)),3,1))&gt;=65,CODE(MID(TRIM(UPPER(W49)),3,1))&lt;=90,CODE(MID(TRIM(UPPER(W49)),4,1))&gt;=65,CODE(MID(TRIM(UPPER(W49)),4,1))&lt;=90,CODE(MID(TRIM(UPPER(W49)),5,1))&gt;=65,CODE(MID(TRIM(UPPER(W49)),5,1))&lt;=90,CODE(MID(TRIM(UPPER(W49)),10,1))&gt;=65,CODE(MID(TRIM(UPPER(W49)),10,1))&lt;=90,CODE(MID(TRIM(UPPER(W49)),6,1))&gt;=48,CODE(MID(TRIM(UPPER(W49)),6,1))&lt;=57,CODE(MID(TRIM(UPPER(W49)),7,1))&gt;=48,CODE(MID(TRIM(UPPER(W49)),7,1))&lt;=57,CODE(MID(TRIM(UPPER(W49)),8,1))&gt;=48,CODE(MID(TRIM(UPPER(W49)),8,1))&lt;=57,CODE(MID(TRIM(UPPER(W49)),9,1))&gt;=48,CODE(MID(TRIM(UPPER(W49)),9,1))&lt;=57),"N","Y"),IF($B49="Challan","",IF(W49&lt;&gt;"","◄ Set Row Type","")))</f>
      </c>
      <c r="Y49" s="23">
        <f>IF($B49="Entry",IF(LEN(W49)&lt;4,"",IF(UPPER(MID(W49,4,1))="P","Individual",IF(UPPER(MID(W49,4,1))="H","HUF",IF(UPPER(MID(W49,4,1))="C","Company",IF(UPPER(MID(W49,4,1))="F","Firm",IF(UPPER(MID(W49,4,1))="L","LLP",IF(UPPER(MID(W49,4,1))="T","Trust",IF(UPPER(MID(W49,4,1))="A","AOP","")))))))),IF($B49="Challan","",IF(W49&lt;&gt;"","◄ Set Row Type","")))</f>
      </c>
      <c r="Z49" s="28"/>
      <c r="AA49" s="29">
        <f>IF($B49&lt;&gt;"Entry","",IF(Z49="","",IF(X49="Y",SUMPRODUCT(('Rate Lookup'!$A$1:$A$37=Z49)*'Rate Lookup'!$D$1:$D$37),IF(OR(Y49="Individual",Y49="HUF"),SUMPRODUCT(('Rate Lookup'!$A$1:$A$37=Z49)*'Rate Lookup'!$B$1:$B$37),SUMPRODUCT(('Rate Lookup'!$A$1:$A$37=Z49)*'Rate Lookup'!$C$1:$C$37)))))</f>
      </c>
      <c r="AB49" s="30"/>
      <c r="AC49" s="31"/>
      <c r="AD49" s="27">
        <f>IF($B49&lt;&gt;"Entry","",ROUND(AC49*AA49/100,0))</f>
      </c>
      <c r="AE49" s="27">
        <f>IF($B49&lt;&gt;"Entry","",0)</f>
      </c>
      <c r="AF49" s="27">
        <f>IF($B49&lt;&gt;"Entry","",0)</f>
      </c>
      <c r="AG49" s="27">
        <f>IF($B49&lt;&gt;"Entry","",IF(OR(AD49=0,AB49="",AQ49="",AQ49&lt;=0),0,IF(AQ49&lt;=DATE(YEAR(AB49),MONTH(AB49)+1,7),0,ROUND(AD49*0.015*((YEAR(AQ49)-YEAR(AB49))*12+(MONTH(AQ49)-MONTH(AB49))+1),0))))</f>
      </c>
      <c r="AH49" s="27">
        <f>IF($B49&lt;&gt;"Entry","",0)</f>
      </c>
      <c r="AI49" s="28"/>
      <c r="AJ49" s="28"/>
      <c r="AK49" s="32"/>
      <c r="AL49" s="28"/>
      <c r="AM49" s="28"/>
      <c r="AN49" s="27">
        <f>IF($B49&lt;&gt;"Challan","",SUMIF('Q1 Data'!$D$4:$D$207,D49,'Q1 Data'!$AD$4:$AD$207)+SUMIF('Q1 Data'!$D$4:$D$207,D49,'Q1 Data'!$AG$4:$AG$207)+SUMIF('Q1 Data'!$D$4:$D$207,D49,'Q1 Data'!$AE$4:$AE$207)+SUMIF('Q2 Data'!$D$4:$D$207,D49,'Q2 Data'!$AD$4:$AD$207)+SUMIF('Q2 Data'!$D$4:$D$207,D49,'Q2 Data'!$AG$4:$AG$207)+SUMIF('Q2 Data'!$D$4:$D$207,D49,'Q2 Data'!$AE$4:$AE$207)+SUMIF('Q3 Data'!$D$4:$D$207,D49,'Q3 Data'!$AD$4:$AD$207)+SUMIF('Q3 Data'!$D$4:$D$207,D49,'Q3 Data'!$AG$4:$AG$207)+SUMIF('Q3 Data'!$D$4:$D$207,D49,'Q3 Data'!$AE$4:$AE$207)+SUMIF('Q4 Data'!$D$4:$D$207,D49,'Q4 Data'!$AD$4:$AD$207)+SUMIF('Q4 Data'!$D$4:$D$207,D49,'Q4 Data'!$AG$4:$AG$207)+SUMIF('Q4 Data'!$D$4:$D$207,D49,'Q4 Data'!$AE$4:$AE$207))</f>
      </c>
      <c r="AO49" s="27">
        <f>IF($B49&lt;&gt;"Challan","",P49-N49)</f>
      </c>
      <c r="AP49" s="27">
        <f>IF($B49&lt;&gt;"Challan","",MAX(0,AO49-AN49))</f>
      </c>
      <c r="AQ49" s="33">
        <f>IF($B49&lt;&gt;"Entry","",SUMPRODUCT(('Q1 Data'!$D$4:$D$207=D49)*('Q1 Data'!$B$4:$B$207="Challan")*'Q1 Data'!$F$4:$F$207)+SUMPRODUCT(('Q2 Data'!$D$4:$D$207=D49)*('Q2 Data'!$B$4:$B$207="Challan")*'Q2 Data'!$F$4:$F$207)+SUMPRODUCT(('Q3 Data'!$D$4:$D$207=D49)*('Q3 Data'!$B$4:$B$207="Challan")*'Q3 Data'!$F$4:$F$207)+SUMPRODUCT(('Q4 Data'!$D$4:$D$207=D49)*('Q4 Data'!$B$4:$B$207="Challan")*'Q4 Data'!$F$4:$F$207))</f>
      </c>
      <c r="AR49" s="34">
        <f>IF(OR($B49&lt;&gt;"Entry",Z49=""),FALSE,AND((SUMPRODUCT(('Q1 Data'!$D$4:$D$207=D49)*('Q1 Data'!$B$4:$B$207="Challan")*('Q1 Data'!$H$4:$H$207&lt;&gt;""))+SUMPRODUCT(('Q2 Data'!$D$4:$D$207=D49)*('Q2 Data'!$B$4:$B$207="Challan")*('Q2 Data'!$H$4:$H$207&lt;&gt;""))+SUMPRODUCT(('Q3 Data'!$D$4:$D$207=D49)*('Q3 Data'!$B$4:$B$207="Challan")*('Q3 Data'!$H$4:$H$207&lt;&gt;""))+SUMPRODUCT(('Q4 Data'!$D$4:$D$207=D49)*('Q4 Data'!$B$4:$B$207="Challan")*('Q4 Data'!$H$4:$H$207&lt;&gt;"")))&gt;0,(SUMPRODUCT(('Q1 Data'!$D$4:$D$207=D49)*('Q1 Data'!$B$4:$B$207="Challan")*('Q1 Data'!$H$4:$H$207=Z49))+SUMPRODUCT(('Q2 Data'!$D$4:$D$207=D49)*('Q2 Data'!$B$4:$B$207="Challan")*('Q2 Data'!$H$4:$H$207=Z49))+SUMPRODUCT(('Q3 Data'!$D$4:$D$207=D49)*('Q3 Data'!$B$4:$B$207="Challan")*('Q3 Data'!$H$4:$H$207=Z49))+SUMPRODUCT(('Q4 Data'!$D$4:$D$207=D49)*('Q4 Data'!$B$4:$B$207="Challan")*('Q4 Data'!$H$4:$H$207=Z49)))=0))</f>
      </c>
    </row>
    <row r="50" spans="1:44" x14ac:dyDescent="0.25">
      <c r="A50" s="20">
        <f>IF($B50="Entry",COUNTIF($B$4:$B50,"Entry"),"")</f>
      </c>
      <c r="B50" s="21"/>
      <c r="C50" s="22"/>
      <c r="D50" s="22"/>
      <c r="E50" s="23">
        <f>IF($B50&lt;&gt;"Challan","",IF(ROUND(AN50-AO50,2)&gt;0,"Over-applied",IF(ROUND(AN50-AO50,2)=0,"Fully Utilised","Unconsumed")))</f>
      </c>
      <c r="F50" s="24"/>
      <c r="G50" s="25"/>
      <c r="H50" s="25"/>
      <c r="I50" s="26"/>
      <c r="J50" s="26"/>
      <c r="K50" s="26"/>
      <c r="L50" s="26"/>
      <c r="M50" s="26"/>
      <c r="N50" s="26"/>
      <c r="O50" s="26"/>
      <c r="P50" s="27">
        <f>IF($B50&lt;&gt;"Challan","",I50+J50+K50+L50+M50+N50)</f>
      </c>
      <c r="Q50" s="25"/>
      <c r="R50" s="25"/>
      <c r="S50" s="25"/>
      <c r="T50" s="25"/>
      <c r="U50" s="25"/>
      <c r="V50" s="28"/>
      <c r="W50" s="28"/>
      <c r="X50" s="23">
        <f>IF($B50="Entry",IF(AND(LEN(TRIM(UPPER(W50)))=10,CODE(MID(TRIM(UPPER(W50)),1,1))&gt;=65,CODE(MID(TRIM(UPPER(W50)),1,1))&lt;=90,CODE(MID(TRIM(UPPER(W50)),2,1))&gt;=65,CODE(MID(TRIM(UPPER(W50)),2,1))&lt;=90,CODE(MID(TRIM(UPPER(W50)),3,1))&gt;=65,CODE(MID(TRIM(UPPER(W50)),3,1))&lt;=90,CODE(MID(TRIM(UPPER(W50)),4,1))&gt;=65,CODE(MID(TRIM(UPPER(W50)),4,1))&lt;=90,CODE(MID(TRIM(UPPER(W50)),5,1))&gt;=65,CODE(MID(TRIM(UPPER(W50)),5,1))&lt;=90,CODE(MID(TRIM(UPPER(W50)),10,1))&gt;=65,CODE(MID(TRIM(UPPER(W50)),10,1))&lt;=90,CODE(MID(TRIM(UPPER(W50)),6,1))&gt;=48,CODE(MID(TRIM(UPPER(W50)),6,1))&lt;=57,CODE(MID(TRIM(UPPER(W50)),7,1))&gt;=48,CODE(MID(TRIM(UPPER(W50)),7,1))&lt;=57,CODE(MID(TRIM(UPPER(W50)),8,1))&gt;=48,CODE(MID(TRIM(UPPER(W50)),8,1))&lt;=57,CODE(MID(TRIM(UPPER(W50)),9,1))&gt;=48,CODE(MID(TRIM(UPPER(W50)),9,1))&lt;=57),"N","Y"),IF($B50="Challan","",IF(W50&lt;&gt;"","◄ Set Row Type","")))</f>
      </c>
      <c r="Y50" s="23">
        <f>IF($B50="Entry",IF(LEN(W50)&lt;4,"",IF(UPPER(MID(W50,4,1))="P","Individual",IF(UPPER(MID(W50,4,1))="H","HUF",IF(UPPER(MID(W50,4,1))="C","Company",IF(UPPER(MID(W50,4,1))="F","Firm",IF(UPPER(MID(W50,4,1))="L","LLP",IF(UPPER(MID(W50,4,1))="T","Trust",IF(UPPER(MID(W50,4,1))="A","AOP","")))))))),IF($B50="Challan","",IF(W50&lt;&gt;"","◄ Set Row Type","")))</f>
      </c>
      <c r="Z50" s="28"/>
      <c r="AA50" s="29">
        <f>IF($B50&lt;&gt;"Entry","",IF(Z50="","",IF(X50="Y",SUMPRODUCT(('Rate Lookup'!$A$1:$A$37=Z50)*'Rate Lookup'!$D$1:$D$37),IF(OR(Y50="Individual",Y50="HUF"),SUMPRODUCT(('Rate Lookup'!$A$1:$A$37=Z50)*'Rate Lookup'!$B$1:$B$37),SUMPRODUCT(('Rate Lookup'!$A$1:$A$37=Z50)*'Rate Lookup'!$C$1:$C$37)))))</f>
      </c>
      <c r="AB50" s="30"/>
      <c r="AC50" s="31"/>
      <c r="AD50" s="27">
        <f>IF($B50&lt;&gt;"Entry","",ROUND(AC50*AA50/100,0))</f>
      </c>
      <c r="AE50" s="27">
        <f>IF($B50&lt;&gt;"Entry","",0)</f>
      </c>
      <c r="AF50" s="27">
        <f>IF($B50&lt;&gt;"Entry","",0)</f>
      </c>
      <c r="AG50" s="27">
        <f>IF($B50&lt;&gt;"Entry","",IF(OR(AD50=0,AB50="",AQ50="",AQ50&lt;=0),0,IF(AQ50&lt;=DATE(YEAR(AB50),MONTH(AB50)+1,7),0,ROUND(AD50*0.015*((YEAR(AQ50)-YEAR(AB50))*12+(MONTH(AQ50)-MONTH(AB50))+1),0))))</f>
      </c>
      <c r="AH50" s="27">
        <f>IF($B50&lt;&gt;"Entry","",0)</f>
      </c>
      <c r="AI50" s="28"/>
      <c r="AJ50" s="28"/>
      <c r="AK50" s="32"/>
      <c r="AL50" s="28"/>
      <c r="AM50" s="28"/>
      <c r="AN50" s="27">
        <f>IF($B50&lt;&gt;"Challan","",SUMIF('Q1 Data'!$D$4:$D$207,D50,'Q1 Data'!$AD$4:$AD$207)+SUMIF('Q1 Data'!$D$4:$D$207,D50,'Q1 Data'!$AG$4:$AG$207)+SUMIF('Q1 Data'!$D$4:$D$207,D50,'Q1 Data'!$AE$4:$AE$207)+SUMIF('Q2 Data'!$D$4:$D$207,D50,'Q2 Data'!$AD$4:$AD$207)+SUMIF('Q2 Data'!$D$4:$D$207,D50,'Q2 Data'!$AG$4:$AG$207)+SUMIF('Q2 Data'!$D$4:$D$207,D50,'Q2 Data'!$AE$4:$AE$207)+SUMIF('Q3 Data'!$D$4:$D$207,D50,'Q3 Data'!$AD$4:$AD$207)+SUMIF('Q3 Data'!$D$4:$D$207,D50,'Q3 Data'!$AG$4:$AG$207)+SUMIF('Q3 Data'!$D$4:$D$207,D50,'Q3 Data'!$AE$4:$AE$207)+SUMIF('Q4 Data'!$D$4:$D$207,D50,'Q4 Data'!$AD$4:$AD$207)+SUMIF('Q4 Data'!$D$4:$D$207,D50,'Q4 Data'!$AG$4:$AG$207)+SUMIF('Q4 Data'!$D$4:$D$207,D50,'Q4 Data'!$AE$4:$AE$207))</f>
      </c>
      <c r="AO50" s="27">
        <f>IF($B50&lt;&gt;"Challan","",P50-N50)</f>
      </c>
      <c r="AP50" s="27">
        <f>IF($B50&lt;&gt;"Challan","",MAX(0,AO50-AN50))</f>
      </c>
      <c r="AQ50" s="33">
        <f>IF($B50&lt;&gt;"Entry","",SUMPRODUCT(('Q1 Data'!$D$4:$D$207=D50)*('Q1 Data'!$B$4:$B$207="Challan")*'Q1 Data'!$F$4:$F$207)+SUMPRODUCT(('Q2 Data'!$D$4:$D$207=D50)*('Q2 Data'!$B$4:$B$207="Challan")*'Q2 Data'!$F$4:$F$207)+SUMPRODUCT(('Q3 Data'!$D$4:$D$207=D50)*('Q3 Data'!$B$4:$B$207="Challan")*'Q3 Data'!$F$4:$F$207)+SUMPRODUCT(('Q4 Data'!$D$4:$D$207=D50)*('Q4 Data'!$B$4:$B$207="Challan")*'Q4 Data'!$F$4:$F$207))</f>
      </c>
      <c r="AR50" s="34">
        <f>IF(OR($B50&lt;&gt;"Entry",Z50=""),FALSE,AND((SUMPRODUCT(('Q1 Data'!$D$4:$D$207=D50)*('Q1 Data'!$B$4:$B$207="Challan")*('Q1 Data'!$H$4:$H$207&lt;&gt;""))+SUMPRODUCT(('Q2 Data'!$D$4:$D$207=D50)*('Q2 Data'!$B$4:$B$207="Challan")*('Q2 Data'!$H$4:$H$207&lt;&gt;""))+SUMPRODUCT(('Q3 Data'!$D$4:$D$207=D50)*('Q3 Data'!$B$4:$B$207="Challan")*('Q3 Data'!$H$4:$H$207&lt;&gt;""))+SUMPRODUCT(('Q4 Data'!$D$4:$D$207=D50)*('Q4 Data'!$B$4:$B$207="Challan")*('Q4 Data'!$H$4:$H$207&lt;&gt;"")))&gt;0,(SUMPRODUCT(('Q1 Data'!$D$4:$D$207=D50)*('Q1 Data'!$B$4:$B$207="Challan")*('Q1 Data'!$H$4:$H$207=Z50))+SUMPRODUCT(('Q2 Data'!$D$4:$D$207=D50)*('Q2 Data'!$B$4:$B$207="Challan")*('Q2 Data'!$H$4:$H$207=Z50))+SUMPRODUCT(('Q3 Data'!$D$4:$D$207=D50)*('Q3 Data'!$B$4:$B$207="Challan")*('Q3 Data'!$H$4:$H$207=Z50))+SUMPRODUCT(('Q4 Data'!$D$4:$D$207=D50)*('Q4 Data'!$B$4:$B$207="Challan")*('Q4 Data'!$H$4:$H$207=Z50)))=0))</f>
      </c>
    </row>
    <row r="51" spans="1:44" x14ac:dyDescent="0.25">
      <c r="A51" s="20">
        <f>IF($B51="Entry",COUNTIF($B$4:$B51,"Entry"),"")</f>
      </c>
      <c r="B51" s="21"/>
      <c r="C51" s="22"/>
      <c r="D51" s="22"/>
      <c r="E51" s="23">
        <f>IF($B51&lt;&gt;"Challan","",IF(ROUND(AN51-AO51,2)&gt;0,"Over-applied",IF(ROUND(AN51-AO51,2)=0,"Fully Utilised","Unconsumed")))</f>
      </c>
      <c r="F51" s="24"/>
      <c r="G51" s="25"/>
      <c r="H51" s="25"/>
      <c r="I51" s="26"/>
      <c r="J51" s="26"/>
      <c r="K51" s="26"/>
      <c r="L51" s="26"/>
      <c r="M51" s="26"/>
      <c r="N51" s="26"/>
      <c r="O51" s="26"/>
      <c r="P51" s="27">
        <f>IF($B51&lt;&gt;"Challan","",I51+J51+K51+L51+M51+N51)</f>
      </c>
      <c r="Q51" s="25"/>
      <c r="R51" s="25"/>
      <c r="S51" s="25"/>
      <c r="T51" s="25"/>
      <c r="U51" s="25"/>
      <c r="V51" s="28"/>
      <c r="W51" s="28"/>
      <c r="X51" s="23">
        <f>IF($B51="Entry",IF(AND(LEN(TRIM(UPPER(W51)))=10,CODE(MID(TRIM(UPPER(W51)),1,1))&gt;=65,CODE(MID(TRIM(UPPER(W51)),1,1))&lt;=90,CODE(MID(TRIM(UPPER(W51)),2,1))&gt;=65,CODE(MID(TRIM(UPPER(W51)),2,1))&lt;=90,CODE(MID(TRIM(UPPER(W51)),3,1))&gt;=65,CODE(MID(TRIM(UPPER(W51)),3,1))&lt;=90,CODE(MID(TRIM(UPPER(W51)),4,1))&gt;=65,CODE(MID(TRIM(UPPER(W51)),4,1))&lt;=90,CODE(MID(TRIM(UPPER(W51)),5,1))&gt;=65,CODE(MID(TRIM(UPPER(W51)),5,1))&lt;=90,CODE(MID(TRIM(UPPER(W51)),10,1))&gt;=65,CODE(MID(TRIM(UPPER(W51)),10,1))&lt;=90,CODE(MID(TRIM(UPPER(W51)),6,1))&gt;=48,CODE(MID(TRIM(UPPER(W51)),6,1))&lt;=57,CODE(MID(TRIM(UPPER(W51)),7,1))&gt;=48,CODE(MID(TRIM(UPPER(W51)),7,1))&lt;=57,CODE(MID(TRIM(UPPER(W51)),8,1))&gt;=48,CODE(MID(TRIM(UPPER(W51)),8,1))&lt;=57,CODE(MID(TRIM(UPPER(W51)),9,1))&gt;=48,CODE(MID(TRIM(UPPER(W51)),9,1))&lt;=57),"N","Y"),IF($B51="Challan","",IF(W51&lt;&gt;"","◄ Set Row Type","")))</f>
      </c>
      <c r="Y51" s="23">
        <f>IF($B51="Entry",IF(LEN(W51)&lt;4,"",IF(UPPER(MID(W51,4,1))="P","Individual",IF(UPPER(MID(W51,4,1))="H","HUF",IF(UPPER(MID(W51,4,1))="C","Company",IF(UPPER(MID(W51,4,1))="F","Firm",IF(UPPER(MID(W51,4,1))="L","LLP",IF(UPPER(MID(W51,4,1))="T","Trust",IF(UPPER(MID(W51,4,1))="A","AOP","")))))))),IF($B51="Challan","",IF(W51&lt;&gt;"","◄ Set Row Type","")))</f>
      </c>
      <c r="Z51" s="28"/>
      <c r="AA51" s="29">
        <f>IF($B51&lt;&gt;"Entry","",IF(Z51="","",IF(X51="Y",SUMPRODUCT(('Rate Lookup'!$A$1:$A$37=Z51)*'Rate Lookup'!$D$1:$D$37),IF(OR(Y51="Individual",Y51="HUF"),SUMPRODUCT(('Rate Lookup'!$A$1:$A$37=Z51)*'Rate Lookup'!$B$1:$B$37),SUMPRODUCT(('Rate Lookup'!$A$1:$A$37=Z51)*'Rate Lookup'!$C$1:$C$37)))))</f>
      </c>
      <c r="AB51" s="30"/>
      <c r="AC51" s="31"/>
      <c r="AD51" s="27">
        <f>IF($B51&lt;&gt;"Entry","",ROUND(AC51*AA51/100,0))</f>
      </c>
      <c r="AE51" s="27">
        <f>IF($B51&lt;&gt;"Entry","",0)</f>
      </c>
      <c r="AF51" s="27">
        <f>IF($B51&lt;&gt;"Entry","",0)</f>
      </c>
      <c r="AG51" s="27">
        <f>IF($B51&lt;&gt;"Entry","",IF(OR(AD51=0,AB51="",AQ51="",AQ51&lt;=0),0,IF(AQ51&lt;=DATE(YEAR(AB51),MONTH(AB51)+1,7),0,ROUND(AD51*0.015*((YEAR(AQ51)-YEAR(AB51))*12+(MONTH(AQ51)-MONTH(AB51))+1),0))))</f>
      </c>
      <c r="AH51" s="27">
        <f>IF($B51&lt;&gt;"Entry","",0)</f>
      </c>
      <c r="AI51" s="28"/>
      <c r="AJ51" s="28"/>
      <c r="AK51" s="32"/>
      <c r="AL51" s="28"/>
      <c r="AM51" s="28"/>
      <c r="AN51" s="27">
        <f>IF($B51&lt;&gt;"Challan","",SUMIF('Q1 Data'!$D$4:$D$207,D51,'Q1 Data'!$AD$4:$AD$207)+SUMIF('Q1 Data'!$D$4:$D$207,D51,'Q1 Data'!$AG$4:$AG$207)+SUMIF('Q1 Data'!$D$4:$D$207,D51,'Q1 Data'!$AE$4:$AE$207)+SUMIF('Q2 Data'!$D$4:$D$207,D51,'Q2 Data'!$AD$4:$AD$207)+SUMIF('Q2 Data'!$D$4:$D$207,D51,'Q2 Data'!$AG$4:$AG$207)+SUMIF('Q2 Data'!$D$4:$D$207,D51,'Q2 Data'!$AE$4:$AE$207)+SUMIF('Q3 Data'!$D$4:$D$207,D51,'Q3 Data'!$AD$4:$AD$207)+SUMIF('Q3 Data'!$D$4:$D$207,D51,'Q3 Data'!$AG$4:$AG$207)+SUMIF('Q3 Data'!$D$4:$D$207,D51,'Q3 Data'!$AE$4:$AE$207)+SUMIF('Q4 Data'!$D$4:$D$207,D51,'Q4 Data'!$AD$4:$AD$207)+SUMIF('Q4 Data'!$D$4:$D$207,D51,'Q4 Data'!$AG$4:$AG$207)+SUMIF('Q4 Data'!$D$4:$D$207,D51,'Q4 Data'!$AE$4:$AE$207))</f>
      </c>
      <c r="AO51" s="27">
        <f>IF($B51&lt;&gt;"Challan","",P51-N51)</f>
      </c>
      <c r="AP51" s="27">
        <f>IF($B51&lt;&gt;"Challan","",MAX(0,AO51-AN51))</f>
      </c>
      <c r="AQ51" s="33">
        <f>IF($B51&lt;&gt;"Entry","",SUMPRODUCT(('Q1 Data'!$D$4:$D$207=D51)*('Q1 Data'!$B$4:$B$207="Challan")*'Q1 Data'!$F$4:$F$207)+SUMPRODUCT(('Q2 Data'!$D$4:$D$207=D51)*('Q2 Data'!$B$4:$B$207="Challan")*'Q2 Data'!$F$4:$F$207)+SUMPRODUCT(('Q3 Data'!$D$4:$D$207=D51)*('Q3 Data'!$B$4:$B$207="Challan")*'Q3 Data'!$F$4:$F$207)+SUMPRODUCT(('Q4 Data'!$D$4:$D$207=D51)*('Q4 Data'!$B$4:$B$207="Challan")*'Q4 Data'!$F$4:$F$207))</f>
      </c>
      <c r="AR51" s="34">
        <f>IF(OR($B51&lt;&gt;"Entry",Z51=""),FALSE,AND((SUMPRODUCT(('Q1 Data'!$D$4:$D$207=D51)*('Q1 Data'!$B$4:$B$207="Challan")*('Q1 Data'!$H$4:$H$207&lt;&gt;""))+SUMPRODUCT(('Q2 Data'!$D$4:$D$207=D51)*('Q2 Data'!$B$4:$B$207="Challan")*('Q2 Data'!$H$4:$H$207&lt;&gt;""))+SUMPRODUCT(('Q3 Data'!$D$4:$D$207=D51)*('Q3 Data'!$B$4:$B$207="Challan")*('Q3 Data'!$H$4:$H$207&lt;&gt;""))+SUMPRODUCT(('Q4 Data'!$D$4:$D$207=D51)*('Q4 Data'!$B$4:$B$207="Challan")*('Q4 Data'!$H$4:$H$207&lt;&gt;"")))&gt;0,(SUMPRODUCT(('Q1 Data'!$D$4:$D$207=D51)*('Q1 Data'!$B$4:$B$207="Challan")*('Q1 Data'!$H$4:$H$207=Z51))+SUMPRODUCT(('Q2 Data'!$D$4:$D$207=D51)*('Q2 Data'!$B$4:$B$207="Challan")*('Q2 Data'!$H$4:$H$207=Z51))+SUMPRODUCT(('Q3 Data'!$D$4:$D$207=D51)*('Q3 Data'!$B$4:$B$207="Challan")*('Q3 Data'!$H$4:$H$207=Z51))+SUMPRODUCT(('Q4 Data'!$D$4:$D$207=D51)*('Q4 Data'!$B$4:$B$207="Challan")*('Q4 Data'!$H$4:$H$207=Z51)))=0))</f>
      </c>
    </row>
    <row r="52" spans="1:44" x14ac:dyDescent="0.25">
      <c r="A52" s="20">
        <f>IF($B52="Entry",COUNTIF($B$4:$B52,"Entry"),"")</f>
      </c>
      <c r="B52" s="21"/>
      <c r="C52" s="22"/>
      <c r="D52" s="22"/>
      <c r="E52" s="23">
        <f>IF($B52&lt;&gt;"Challan","",IF(ROUND(AN52-AO52,2)&gt;0,"Over-applied",IF(ROUND(AN52-AO52,2)=0,"Fully Utilised","Unconsumed")))</f>
      </c>
      <c r="F52" s="24"/>
      <c r="G52" s="25"/>
      <c r="H52" s="25"/>
      <c r="I52" s="26"/>
      <c r="J52" s="26"/>
      <c r="K52" s="26"/>
      <c r="L52" s="26"/>
      <c r="M52" s="26"/>
      <c r="N52" s="26"/>
      <c r="O52" s="26"/>
      <c r="P52" s="27">
        <f>IF($B52&lt;&gt;"Challan","",I52+J52+K52+L52+M52+N52)</f>
      </c>
      <c r="Q52" s="25"/>
      <c r="R52" s="25"/>
      <c r="S52" s="25"/>
      <c r="T52" s="25"/>
      <c r="U52" s="25"/>
      <c r="V52" s="28"/>
      <c r="W52" s="28"/>
      <c r="X52" s="23">
        <f>IF($B52="Entry",IF(AND(LEN(TRIM(UPPER(W52)))=10,CODE(MID(TRIM(UPPER(W52)),1,1))&gt;=65,CODE(MID(TRIM(UPPER(W52)),1,1))&lt;=90,CODE(MID(TRIM(UPPER(W52)),2,1))&gt;=65,CODE(MID(TRIM(UPPER(W52)),2,1))&lt;=90,CODE(MID(TRIM(UPPER(W52)),3,1))&gt;=65,CODE(MID(TRIM(UPPER(W52)),3,1))&lt;=90,CODE(MID(TRIM(UPPER(W52)),4,1))&gt;=65,CODE(MID(TRIM(UPPER(W52)),4,1))&lt;=90,CODE(MID(TRIM(UPPER(W52)),5,1))&gt;=65,CODE(MID(TRIM(UPPER(W52)),5,1))&lt;=90,CODE(MID(TRIM(UPPER(W52)),10,1))&gt;=65,CODE(MID(TRIM(UPPER(W52)),10,1))&lt;=90,CODE(MID(TRIM(UPPER(W52)),6,1))&gt;=48,CODE(MID(TRIM(UPPER(W52)),6,1))&lt;=57,CODE(MID(TRIM(UPPER(W52)),7,1))&gt;=48,CODE(MID(TRIM(UPPER(W52)),7,1))&lt;=57,CODE(MID(TRIM(UPPER(W52)),8,1))&gt;=48,CODE(MID(TRIM(UPPER(W52)),8,1))&lt;=57,CODE(MID(TRIM(UPPER(W52)),9,1))&gt;=48,CODE(MID(TRIM(UPPER(W52)),9,1))&lt;=57),"N","Y"),IF($B52="Challan","",IF(W52&lt;&gt;"","◄ Set Row Type","")))</f>
      </c>
      <c r="Y52" s="23">
        <f>IF($B52="Entry",IF(LEN(W52)&lt;4,"",IF(UPPER(MID(W52,4,1))="P","Individual",IF(UPPER(MID(W52,4,1))="H","HUF",IF(UPPER(MID(W52,4,1))="C","Company",IF(UPPER(MID(W52,4,1))="F","Firm",IF(UPPER(MID(W52,4,1))="L","LLP",IF(UPPER(MID(W52,4,1))="T","Trust",IF(UPPER(MID(W52,4,1))="A","AOP","")))))))),IF($B52="Challan","",IF(W52&lt;&gt;"","◄ Set Row Type","")))</f>
      </c>
      <c r="Z52" s="28"/>
      <c r="AA52" s="29">
        <f>IF($B52&lt;&gt;"Entry","",IF(Z52="","",IF(X52="Y",SUMPRODUCT(('Rate Lookup'!$A$1:$A$37=Z52)*'Rate Lookup'!$D$1:$D$37),IF(OR(Y52="Individual",Y52="HUF"),SUMPRODUCT(('Rate Lookup'!$A$1:$A$37=Z52)*'Rate Lookup'!$B$1:$B$37),SUMPRODUCT(('Rate Lookup'!$A$1:$A$37=Z52)*'Rate Lookup'!$C$1:$C$37)))))</f>
      </c>
      <c r="AB52" s="30"/>
      <c r="AC52" s="31"/>
      <c r="AD52" s="27">
        <f>IF($B52&lt;&gt;"Entry","",ROUND(AC52*AA52/100,0))</f>
      </c>
      <c r="AE52" s="27">
        <f>IF($B52&lt;&gt;"Entry","",0)</f>
      </c>
      <c r="AF52" s="27">
        <f>IF($B52&lt;&gt;"Entry","",0)</f>
      </c>
      <c r="AG52" s="27">
        <f>IF($B52&lt;&gt;"Entry","",IF(OR(AD52=0,AB52="",AQ52="",AQ52&lt;=0),0,IF(AQ52&lt;=DATE(YEAR(AB52),MONTH(AB52)+1,7),0,ROUND(AD52*0.015*((YEAR(AQ52)-YEAR(AB52))*12+(MONTH(AQ52)-MONTH(AB52))+1),0))))</f>
      </c>
      <c r="AH52" s="27">
        <f>IF($B52&lt;&gt;"Entry","",0)</f>
      </c>
      <c r="AI52" s="28"/>
      <c r="AJ52" s="28"/>
      <c r="AK52" s="32"/>
      <c r="AL52" s="28"/>
      <c r="AM52" s="28"/>
      <c r="AN52" s="27">
        <f>IF($B52&lt;&gt;"Challan","",SUMIF('Q1 Data'!$D$4:$D$207,D52,'Q1 Data'!$AD$4:$AD$207)+SUMIF('Q1 Data'!$D$4:$D$207,D52,'Q1 Data'!$AG$4:$AG$207)+SUMIF('Q1 Data'!$D$4:$D$207,D52,'Q1 Data'!$AE$4:$AE$207)+SUMIF('Q2 Data'!$D$4:$D$207,D52,'Q2 Data'!$AD$4:$AD$207)+SUMIF('Q2 Data'!$D$4:$D$207,D52,'Q2 Data'!$AG$4:$AG$207)+SUMIF('Q2 Data'!$D$4:$D$207,D52,'Q2 Data'!$AE$4:$AE$207)+SUMIF('Q3 Data'!$D$4:$D$207,D52,'Q3 Data'!$AD$4:$AD$207)+SUMIF('Q3 Data'!$D$4:$D$207,D52,'Q3 Data'!$AG$4:$AG$207)+SUMIF('Q3 Data'!$D$4:$D$207,D52,'Q3 Data'!$AE$4:$AE$207)+SUMIF('Q4 Data'!$D$4:$D$207,D52,'Q4 Data'!$AD$4:$AD$207)+SUMIF('Q4 Data'!$D$4:$D$207,D52,'Q4 Data'!$AG$4:$AG$207)+SUMIF('Q4 Data'!$D$4:$D$207,D52,'Q4 Data'!$AE$4:$AE$207))</f>
      </c>
      <c r="AO52" s="27">
        <f>IF($B52&lt;&gt;"Challan","",P52-N52)</f>
      </c>
      <c r="AP52" s="27">
        <f>IF($B52&lt;&gt;"Challan","",MAX(0,AO52-AN52))</f>
      </c>
      <c r="AQ52" s="33">
        <f>IF($B52&lt;&gt;"Entry","",SUMPRODUCT(('Q1 Data'!$D$4:$D$207=D52)*('Q1 Data'!$B$4:$B$207="Challan")*'Q1 Data'!$F$4:$F$207)+SUMPRODUCT(('Q2 Data'!$D$4:$D$207=D52)*('Q2 Data'!$B$4:$B$207="Challan")*'Q2 Data'!$F$4:$F$207)+SUMPRODUCT(('Q3 Data'!$D$4:$D$207=D52)*('Q3 Data'!$B$4:$B$207="Challan")*'Q3 Data'!$F$4:$F$207)+SUMPRODUCT(('Q4 Data'!$D$4:$D$207=D52)*('Q4 Data'!$B$4:$B$207="Challan")*'Q4 Data'!$F$4:$F$207))</f>
      </c>
      <c r="AR52" s="34">
        <f>IF(OR($B52&lt;&gt;"Entry",Z52=""),FALSE,AND((SUMPRODUCT(('Q1 Data'!$D$4:$D$207=D52)*('Q1 Data'!$B$4:$B$207="Challan")*('Q1 Data'!$H$4:$H$207&lt;&gt;""))+SUMPRODUCT(('Q2 Data'!$D$4:$D$207=D52)*('Q2 Data'!$B$4:$B$207="Challan")*('Q2 Data'!$H$4:$H$207&lt;&gt;""))+SUMPRODUCT(('Q3 Data'!$D$4:$D$207=D52)*('Q3 Data'!$B$4:$B$207="Challan")*('Q3 Data'!$H$4:$H$207&lt;&gt;""))+SUMPRODUCT(('Q4 Data'!$D$4:$D$207=D52)*('Q4 Data'!$B$4:$B$207="Challan")*('Q4 Data'!$H$4:$H$207&lt;&gt;"")))&gt;0,(SUMPRODUCT(('Q1 Data'!$D$4:$D$207=D52)*('Q1 Data'!$B$4:$B$207="Challan")*('Q1 Data'!$H$4:$H$207=Z52))+SUMPRODUCT(('Q2 Data'!$D$4:$D$207=D52)*('Q2 Data'!$B$4:$B$207="Challan")*('Q2 Data'!$H$4:$H$207=Z52))+SUMPRODUCT(('Q3 Data'!$D$4:$D$207=D52)*('Q3 Data'!$B$4:$B$207="Challan")*('Q3 Data'!$H$4:$H$207=Z52))+SUMPRODUCT(('Q4 Data'!$D$4:$D$207=D52)*('Q4 Data'!$B$4:$B$207="Challan")*('Q4 Data'!$H$4:$H$207=Z52)))=0))</f>
      </c>
    </row>
    <row r="53" spans="1:44" x14ac:dyDescent="0.25">
      <c r="A53" s="20">
        <f>IF($B53="Entry",COUNTIF($B$4:$B53,"Entry"),"")</f>
      </c>
      <c r="B53" s="21"/>
      <c r="C53" s="22"/>
      <c r="D53" s="22"/>
      <c r="E53" s="23">
        <f>IF($B53&lt;&gt;"Challan","",IF(ROUND(AN53-AO53,2)&gt;0,"Over-applied",IF(ROUND(AN53-AO53,2)=0,"Fully Utilised","Unconsumed")))</f>
      </c>
      <c r="F53" s="24"/>
      <c r="G53" s="25"/>
      <c r="H53" s="25"/>
      <c r="I53" s="26"/>
      <c r="J53" s="26"/>
      <c r="K53" s="26"/>
      <c r="L53" s="26"/>
      <c r="M53" s="26"/>
      <c r="N53" s="26"/>
      <c r="O53" s="26"/>
      <c r="P53" s="27">
        <f>IF($B53&lt;&gt;"Challan","",I53+J53+K53+L53+M53+N53)</f>
      </c>
      <c r="Q53" s="25"/>
      <c r="R53" s="25"/>
      <c r="S53" s="25"/>
      <c r="T53" s="25"/>
      <c r="U53" s="25"/>
      <c r="V53" s="28"/>
      <c r="W53" s="28"/>
      <c r="X53" s="23">
        <f>IF($B53="Entry",IF(AND(LEN(TRIM(UPPER(W53)))=10,CODE(MID(TRIM(UPPER(W53)),1,1))&gt;=65,CODE(MID(TRIM(UPPER(W53)),1,1))&lt;=90,CODE(MID(TRIM(UPPER(W53)),2,1))&gt;=65,CODE(MID(TRIM(UPPER(W53)),2,1))&lt;=90,CODE(MID(TRIM(UPPER(W53)),3,1))&gt;=65,CODE(MID(TRIM(UPPER(W53)),3,1))&lt;=90,CODE(MID(TRIM(UPPER(W53)),4,1))&gt;=65,CODE(MID(TRIM(UPPER(W53)),4,1))&lt;=90,CODE(MID(TRIM(UPPER(W53)),5,1))&gt;=65,CODE(MID(TRIM(UPPER(W53)),5,1))&lt;=90,CODE(MID(TRIM(UPPER(W53)),10,1))&gt;=65,CODE(MID(TRIM(UPPER(W53)),10,1))&lt;=90,CODE(MID(TRIM(UPPER(W53)),6,1))&gt;=48,CODE(MID(TRIM(UPPER(W53)),6,1))&lt;=57,CODE(MID(TRIM(UPPER(W53)),7,1))&gt;=48,CODE(MID(TRIM(UPPER(W53)),7,1))&lt;=57,CODE(MID(TRIM(UPPER(W53)),8,1))&gt;=48,CODE(MID(TRIM(UPPER(W53)),8,1))&lt;=57,CODE(MID(TRIM(UPPER(W53)),9,1))&gt;=48,CODE(MID(TRIM(UPPER(W53)),9,1))&lt;=57),"N","Y"),IF($B53="Challan","",IF(W53&lt;&gt;"","◄ Set Row Type","")))</f>
      </c>
      <c r="Y53" s="23">
        <f>IF($B53="Entry",IF(LEN(W53)&lt;4,"",IF(UPPER(MID(W53,4,1))="P","Individual",IF(UPPER(MID(W53,4,1))="H","HUF",IF(UPPER(MID(W53,4,1))="C","Company",IF(UPPER(MID(W53,4,1))="F","Firm",IF(UPPER(MID(W53,4,1))="L","LLP",IF(UPPER(MID(W53,4,1))="T","Trust",IF(UPPER(MID(W53,4,1))="A","AOP","")))))))),IF($B53="Challan","",IF(W53&lt;&gt;"","◄ Set Row Type","")))</f>
      </c>
      <c r="Z53" s="28"/>
      <c r="AA53" s="29">
        <f>IF($B53&lt;&gt;"Entry","",IF(Z53="","",IF(X53="Y",SUMPRODUCT(('Rate Lookup'!$A$1:$A$37=Z53)*'Rate Lookup'!$D$1:$D$37),IF(OR(Y53="Individual",Y53="HUF"),SUMPRODUCT(('Rate Lookup'!$A$1:$A$37=Z53)*'Rate Lookup'!$B$1:$B$37),SUMPRODUCT(('Rate Lookup'!$A$1:$A$37=Z53)*'Rate Lookup'!$C$1:$C$37)))))</f>
      </c>
      <c r="AB53" s="30"/>
      <c r="AC53" s="31"/>
      <c r="AD53" s="27">
        <f>IF($B53&lt;&gt;"Entry","",ROUND(AC53*AA53/100,0))</f>
      </c>
      <c r="AE53" s="27">
        <f>IF($B53&lt;&gt;"Entry","",0)</f>
      </c>
      <c r="AF53" s="27">
        <f>IF($B53&lt;&gt;"Entry","",0)</f>
      </c>
      <c r="AG53" s="27">
        <f>IF($B53&lt;&gt;"Entry","",IF(OR(AD53=0,AB53="",AQ53="",AQ53&lt;=0),0,IF(AQ53&lt;=DATE(YEAR(AB53),MONTH(AB53)+1,7),0,ROUND(AD53*0.015*((YEAR(AQ53)-YEAR(AB53))*12+(MONTH(AQ53)-MONTH(AB53))+1),0))))</f>
      </c>
      <c r="AH53" s="27">
        <f>IF($B53&lt;&gt;"Entry","",0)</f>
      </c>
      <c r="AI53" s="28"/>
      <c r="AJ53" s="28"/>
      <c r="AK53" s="32"/>
      <c r="AL53" s="28"/>
      <c r="AM53" s="28"/>
      <c r="AN53" s="27">
        <f>IF($B53&lt;&gt;"Challan","",SUMIF('Q1 Data'!$D$4:$D$207,D53,'Q1 Data'!$AD$4:$AD$207)+SUMIF('Q1 Data'!$D$4:$D$207,D53,'Q1 Data'!$AG$4:$AG$207)+SUMIF('Q1 Data'!$D$4:$D$207,D53,'Q1 Data'!$AE$4:$AE$207)+SUMIF('Q2 Data'!$D$4:$D$207,D53,'Q2 Data'!$AD$4:$AD$207)+SUMIF('Q2 Data'!$D$4:$D$207,D53,'Q2 Data'!$AG$4:$AG$207)+SUMIF('Q2 Data'!$D$4:$D$207,D53,'Q2 Data'!$AE$4:$AE$207)+SUMIF('Q3 Data'!$D$4:$D$207,D53,'Q3 Data'!$AD$4:$AD$207)+SUMIF('Q3 Data'!$D$4:$D$207,D53,'Q3 Data'!$AG$4:$AG$207)+SUMIF('Q3 Data'!$D$4:$D$207,D53,'Q3 Data'!$AE$4:$AE$207)+SUMIF('Q4 Data'!$D$4:$D$207,D53,'Q4 Data'!$AD$4:$AD$207)+SUMIF('Q4 Data'!$D$4:$D$207,D53,'Q4 Data'!$AG$4:$AG$207)+SUMIF('Q4 Data'!$D$4:$D$207,D53,'Q4 Data'!$AE$4:$AE$207))</f>
      </c>
      <c r="AO53" s="27">
        <f>IF($B53&lt;&gt;"Challan","",P53-N53)</f>
      </c>
      <c r="AP53" s="27">
        <f>IF($B53&lt;&gt;"Challan","",MAX(0,AO53-AN53))</f>
      </c>
      <c r="AQ53" s="33">
        <f>IF($B53&lt;&gt;"Entry","",SUMPRODUCT(('Q1 Data'!$D$4:$D$207=D53)*('Q1 Data'!$B$4:$B$207="Challan")*'Q1 Data'!$F$4:$F$207)+SUMPRODUCT(('Q2 Data'!$D$4:$D$207=D53)*('Q2 Data'!$B$4:$B$207="Challan")*'Q2 Data'!$F$4:$F$207)+SUMPRODUCT(('Q3 Data'!$D$4:$D$207=D53)*('Q3 Data'!$B$4:$B$207="Challan")*'Q3 Data'!$F$4:$F$207)+SUMPRODUCT(('Q4 Data'!$D$4:$D$207=D53)*('Q4 Data'!$B$4:$B$207="Challan")*'Q4 Data'!$F$4:$F$207))</f>
      </c>
      <c r="AR53" s="34">
        <f>IF(OR($B53&lt;&gt;"Entry",Z53=""),FALSE,AND((SUMPRODUCT(('Q1 Data'!$D$4:$D$207=D53)*('Q1 Data'!$B$4:$B$207="Challan")*('Q1 Data'!$H$4:$H$207&lt;&gt;""))+SUMPRODUCT(('Q2 Data'!$D$4:$D$207=D53)*('Q2 Data'!$B$4:$B$207="Challan")*('Q2 Data'!$H$4:$H$207&lt;&gt;""))+SUMPRODUCT(('Q3 Data'!$D$4:$D$207=D53)*('Q3 Data'!$B$4:$B$207="Challan")*('Q3 Data'!$H$4:$H$207&lt;&gt;""))+SUMPRODUCT(('Q4 Data'!$D$4:$D$207=D53)*('Q4 Data'!$B$4:$B$207="Challan")*('Q4 Data'!$H$4:$H$207&lt;&gt;"")))&gt;0,(SUMPRODUCT(('Q1 Data'!$D$4:$D$207=D53)*('Q1 Data'!$B$4:$B$207="Challan")*('Q1 Data'!$H$4:$H$207=Z53))+SUMPRODUCT(('Q2 Data'!$D$4:$D$207=D53)*('Q2 Data'!$B$4:$B$207="Challan")*('Q2 Data'!$H$4:$H$207=Z53))+SUMPRODUCT(('Q3 Data'!$D$4:$D$207=D53)*('Q3 Data'!$B$4:$B$207="Challan")*('Q3 Data'!$H$4:$H$207=Z53))+SUMPRODUCT(('Q4 Data'!$D$4:$D$207=D53)*('Q4 Data'!$B$4:$B$207="Challan")*('Q4 Data'!$H$4:$H$207=Z53)))=0))</f>
      </c>
    </row>
    <row r="54" spans="1:44" x14ac:dyDescent="0.25">
      <c r="A54" s="20">
        <f>IF($B54="Entry",COUNTIF($B$4:$B54,"Entry"),"")</f>
      </c>
      <c r="B54" s="21"/>
      <c r="C54" s="22"/>
      <c r="D54" s="22"/>
      <c r="E54" s="23">
        <f>IF($B54&lt;&gt;"Challan","",IF(ROUND(AN54-AO54,2)&gt;0,"Over-applied",IF(ROUND(AN54-AO54,2)=0,"Fully Utilised","Unconsumed")))</f>
      </c>
      <c r="F54" s="24"/>
      <c r="G54" s="25"/>
      <c r="H54" s="25"/>
      <c r="I54" s="26"/>
      <c r="J54" s="26"/>
      <c r="K54" s="26"/>
      <c r="L54" s="26"/>
      <c r="M54" s="26"/>
      <c r="N54" s="26"/>
      <c r="O54" s="26"/>
      <c r="P54" s="27">
        <f>IF($B54&lt;&gt;"Challan","",I54+J54+K54+L54+M54+N54)</f>
      </c>
      <c r="Q54" s="25"/>
      <c r="R54" s="25"/>
      <c r="S54" s="25"/>
      <c r="T54" s="25"/>
      <c r="U54" s="25"/>
      <c r="V54" s="28"/>
      <c r="W54" s="28"/>
      <c r="X54" s="23">
        <f>IF($B54="Entry",IF(AND(LEN(TRIM(UPPER(W54)))=10,CODE(MID(TRIM(UPPER(W54)),1,1))&gt;=65,CODE(MID(TRIM(UPPER(W54)),1,1))&lt;=90,CODE(MID(TRIM(UPPER(W54)),2,1))&gt;=65,CODE(MID(TRIM(UPPER(W54)),2,1))&lt;=90,CODE(MID(TRIM(UPPER(W54)),3,1))&gt;=65,CODE(MID(TRIM(UPPER(W54)),3,1))&lt;=90,CODE(MID(TRIM(UPPER(W54)),4,1))&gt;=65,CODE(MID(TRIM(UPPER(W54)),4,1))&lt;=90,CODE(MID(TRIM(UPPER(W54)),5,1))&gt;=65,CODE(MID(TRIM(UPPER(W54)),5,1))&lt;=90,CODE(MID(TRIM(UPPER(W54)),10,1))&gt;=65,CODE(MID(TRIM(UPPER(W54)),10,1))&lt;=90,CODE(MID(TRIM(UPPER(W54)),6,1))&gt;=48,CODE(MID(TRIM(UPPER(W54)),6,1))&lt;=57,CODE(MID(TRIM(UPPER(W54)),7,1))&gt;=48,CODE(MID(TRIM(UPPER(W54)),7,1))&lt;=57,CODE(MID(TRIM(UPPER(W54)),8,1))&gt;=48,CODE(MID(TRIM(UPPER(W54)),8,1))&lt;=57,CODE(MID(TRIM(UPPER(W54)),9,1))&gt;=48,CODE(MID(TRIM(UPPER(W54)),9,1))&lt;=57),"N","Y"),IF($B54="Challan","",IF(W54&lt;&gt;"","◄ Set Row Type","")))</f>
      </c>
      <c r="Y54" s="23">
        <f>IF($B54="Entry",IF(LEN(W54)&lt;4,"",IF(UPPER(MID(W54,4,1))="P","Individual",IF(UPPER(MID(W54,4,1))="H","HUF",IF(UPPER(MID(W54,4,1))="C","Company",IF(UPPER(MID(W54,4,1))="F","Firm",IF(UPPER(MID(W54,4,1))="L","LLP",IF(UPPER(MID(W54,4,1))="T","Trust",IF(UPPER(MID(W54,4,1))="A","AOP","")))))))),IF($B54="Challan","",IF(W54&lt;&gt;"","◄ Set Row Type","")))</f>
      </c>
      <c r="Z54" s="28"/>
      <c r="AA54" s="29">
        <f>IF($B54&lt;&gt;"Entry","",IF(Z54="","",IF(X54="Y",SUMPRODUCT(('Rate Lookup'!$A$1:$A$37=Z54)*'Rate Lookup'!$D$1:$D$37),IF(OR(Y54="Individual",Y54="HUF"),SUMPRODUCT(('Rate Lookup'!$A$1:$A$37=Z54)*'Rate Lookup'!$B$1:$B$37),SUMPRODUCT(('Rate Lookup'!$A$1:$A$37=Z54)*'Rate Lookup'!$C$1:$C$37)))))</f>
      </c>
      <c r="AB54" s="30"/>
      <c r="AC54" s="31"/>
      <c r="AD54" s="27">
        <f>IF($B54&lt;&gt;"Entry","",ROUND(AC54*AA54/100,0))</f>
      </c>
      <c r="AE54" s="27">
        <f>IF($B54&lt;&gt;"Entry","",0)</f>
      </c>
      <c r="AF54" s="27">
        <f>IF($B54&lt;&gt;"Entry","",0)</f>
      </c>
      <c r="AG54" s="27">
        <f>IF($B54&lt;&gt;"Entry","",IF(OR(AD54=0,AB54="",AQ54="",AQ54&lt;=0),0,IF(AQ54&lt;=DATE(YEAR(AB54),MONTH(AB54)+1,7),0,ROUND(AD54*0.015*((YEAR(AQ54)-YEAR(AB54))*12+(MONTH(AQ54)-MONTH(AB54))+1),0))))</f>
      </c>
      <c r="AH54" s="27">
        <f>IF($B54&lt;&gt;"Entry","",0)</f>
      </c>
      <c r="AI54" s="28"/>
      <c r="AJ54" s="28"/>
      <c r="AK54" s="32"/>
      <c r="AL54" s="28"/>
      <c r="AM54" s="28"/>
      <c r="AN54" s="27">
        <f>IF($B54&lt;&gt;"Challan","",SUMIF('Q1 Data'!$D$4:$D$207,D54,'Q1 Data'!$AD$4:$AD$207)+SUMIF('Q1 Data'!$D$4:$D$207,D54,'Q1 Data'!$AG$4:$AG$207)+SUMIF('Q1 Data'!$D$4:$D$207,D54,'Q1 Data'!$AE$4:$AE$207)+SUMIF('Q2 Data'!$D$4:$D$207,D54,'Q2 Data'!$AD$4:$AD$207)+SUMIF('Q2 Data'!$D$4:$D$207,D54,'Q2 Data'!$AG$4:$AG$207)+SUMIF('Q2 Data'!$D$4:$D$207,D54,'Q2 Data'!$AE$4:$AE$207)+SUMIF('Q3 Data'!$D$4:$D$207,D54,'Q3 Data'!$AD$4:$AD$207)+SUMIF('Q3 Data'!$D$4:$D$207,D54,'Q3 Data'!$AG$4:$AG$207)+SUMIF('Q3 Data'!$D$4:$D$207,D54,'Q3 Data'!$AE$4:$AE$207)+SUMIF('Q4 Data'!$D$4:$D$207,D54,'Q4 Data'!$AD$4:$AD$207)+SUMIF('Q4 Data'!$D$4:$D$207,D54,'Q4 Data'!$AG$4:$AG$207)+SUMIF('Q4 Data'!$D$4:$D$207,D54,'Q4 Data'!$AE$4:$AE$207))</f>
      </c>
      <c r="AO54" s="27">
        <f>IF($B54&lt;&gt;"Challan","",P54-N54)</f>
      </c>
      <c r="AP54" s="27">
        <f>IF($B54&lt;&gt;"Challan","",MAX(0,AO54-AN54))</f>
      </c>
      <c r="AQ54" s="33">
        <f>IF($B54&lt;&gt;"Entry","",SUMPRODUCT(('Q1 Data'!$D$4:$D$207=D54)*('Q1 Data'!$B$4:$B$207="Challan")*'Q1 Data'!$F$4:$F$207)+SUMPRODUCT(('Q2 Data'!$D$4:$D$207=D54)*('Q2 Data'!$B$4:$B$207="Challan")*'Q2 Data'!$F$4:$F$207)+SUMPRODUCT(('Q3 Data'!$D$4:$D$207=D54)*('Q3 Data'!$B$4:$B$207="Challan")*'Q3 Data'!$F$4:$F$207)+SUMPRODUCT(('Q4 Data'!$D$4:$D$207=D54)*('Q4 Data'!$B$4:$B$207="Challan")*'Q4 Data'!$F$4:$F$207))</f>
      </c>
      <c r="AR54" s="34">
        <f>IF(OR($B54&lt;&gt;"Entry",Z54=""),FALSE,AND((SUMPRODUCT(('Q1 Data'!$D$4:$D$207=D54)*('Q1 Data'!$B$4:$B$207="Challan")*('Q1 Data'!$H$4:$H$207&lt;&gt;""))+SUMPRODUCT(('Q2 Data'!$D$4:$D$207=D54)*('Q2 Data'!$B$4:$B$207="Challan")*('Q2 Data'!$H$4:$H$207&lt;&gt;""))+SUMPRODUCT(('Q3 Data'!$D$4:$D$207=D54)*('Q3 Data'!$B$4:$B$207="Challan")*('Q3 Data'!$H$4:$H$207&lt;&gt;""))+SUMPRODUCT(('Q4 Data'!$D$4:$D$207=D54)*('Q4 Data'!$B$4:$B$207="Challan")*('Q4 Data'!$H$4:$H$207&lt;&gt;"")))&gt;0,(SUMPRODUCT(('Q1 Data'!$D$4:$D$207=D54)*('Q1 Data'!$B$4:$B$207="Challan")*('Q1 Data'!$H$4:$H$207=Z54))+SUMPRODUCT(('Q2 Data'!$D$4:$D$207=D54)*('Q2 Data'!$B$4:$B$207="Challan")*('Q2 Data'!$H$4:$H$207=Z54))+SUMPRODUCT(('Q3 Data'!$D$4:$D$207=D54)*('Q3 Data'!$B$4:$B$207="Challan")*('Q3 Data'!$H$4:$H$207=Z54))+SUMPRODUCT(('Q4 Data'!$D$4:$D$207=D54)*('Q4 Data'!$B$4:$B$207="Challan")*('Q4 Data'!$H$4:$H$207=Z54)))=0))</f>
      </c>
    </row>
    <row r="55" spans="1:44" x14ac:dyDescent="0.25">
      <c r="A55" s="20">
        <f>IF($B55="Entry",COUNTIF($B$4:$B55,"Entry"),"")</f>
      </c>
      <c r="B55" s="21"/>
      <c r="C55" s="22"/>
      <c r="D55" s="22"/>
      <c r="E55" s="23">
        <f>IF($B55&lt;&gt;"Challan","",IF(ROUND(AN55-AO55,2)&gt;0,"Over-applied",IF(ROUND(AN55-AO55,2)=0,"Fully Utilised","Unconsumed")))</f>
      </c>
      <c r="F55" s="24"/>
      <c r="G55" s="25"/>
      <c r="H55" s="25"/>
      <c r="I55" s="26"/>
      <c r="J55" s="26"/>
      <c r="K55" s="26"/>
      <c r="L55" s="26"/>
      <c r="M55" s="26"/>
      <c r="N55" s="26"/>
      <c r="O55" s="26"/>
      <c r="P55" s="27">
        <f>IF($B55&lt;&gt;"Challan","",I55+J55+K55+L55+M55+N55)</f>
      </c>
      <c r="Q55" s="25"/>
      <c r="R55" s="25"/>
      <c r="S55" s="25"/>
      <c r="T55" s="25"/>
      <c r="U55" s="25"/>
      <c r="V55" s="28"/>
      <c r="W55" s="28"/>
      <c r="X55" s="23">
        <f>IF($B55="Entry",IF(AND(LEN(TRIM(UPPER(W55)))=10,CODE(MID(TRIM(UPPER(W55)),1,1))&gt;=65,CODE(MID(TRIM(UPPER(W55)),1,1))&lt;=90,CODE(MID(TRIM(UPPER(W55)),2,1))&gt;=65,CODE(MID(TRIM(UPPER(W55)),2,1))&lt;=90,CODE(MID(TRIM(UPPER(W55)),3,1))&gt;=65,CODE(MID(TRIM(UPPER(W55)),3,1))&lt;=90,CODE(MID(TRIM(UPPER(W55)),4,1))&gt;=65,CODE(MID(TRIM(UPPER(W55)),4,1))&lt;=90,CODE(MID(TRIM(UPPER(W55)),5,1))&gt;=65,CODE(MID(TRIM(UPPER(W55)),5,1))&lt;=90,CODE(MID(TRIM(UPPER(W55)),10,1))&gt;=65,CODE(MID(TRIM(UPPER(W55)),10,1))&lt;=90,CODE(MID(TRIM(UPPER(W55)),6,1))&gt;=48,CODE(MID(TRIM(UPPER(W55)),6,1))&lt;=57,CODE(MID(TRIM(UPPER(W55)),7,1))&gt;=48,CODE(MID(TRIM(UPPER(W55)),7,1))&lt;=57,CODE(MID(TRIM(UPPER(W55)),8,1))&gt;=48,CODE(MID(TRIM(UPPER(W55)),8,1))&lt;=57,CODE(MID(TRIM(UPPER(W55)),9,1))&gt;=48,CODE(MID(TRIM(UPPER(W55)),9,1))&lt;=57),"N","Y"),IF($B55="Challan","",IF(W55&lt;&gt;"","◄ Set Row Type","")))</f>
      </c>
      <c r="Y55" s="23">
        <f>IF($B55="Entry",IF(LEN(W55)&lt;4,"",IF(UPPER(MID(W55,4,1))="P","Individual",IF(UPPER(MID(W55,4,1))="H","HUF",IF(UPPER(MID(W55,4,1))="C","Company",IF(UPPER(MID(W55,4,1))="F","Firm",IF(UPPER(MID(W55,4,1))="L","LLP",IF(UPPER(MID(W55,4,1))="T","Trust",IF(UPPER(MID(W55,4,1))="A","AOP","")))))))),IF($B55="Challan","",IF(W55&lt;&gt;"","◄ Set Row Type","")))</f>
      </c>
      <c r="Z55" s="28"/>
      <c r="AA55" s="29">
        <f>IF($B55&lt;&gt;"Entry","",IF(Z55="","",IF(X55="Y",SUMPRODUCT(('Rate Lookup'!$A$1:$A$37=Z55)*'Rate Lookup'!$D$1:$D$37),IF(OR(Y55="Individual",Y55="HUF"),SUMPRODUCT(('Rate Lookup'!$A$1:$A$37=Z55)*'Rate Lookup'!$B$1:$B$37),SUMPRODUCT(('Rate Lookup'!$A$1:$A$37=Z55)*'Rate Lookup'!$C$1:$C$37)))))</f>
      </c>
      <c r="AB55" s="30"/>
      <c r="AC55" s="31"/>
      <c r="AD55" s="27">
        <f>IF($B55&lt;&gt;"Entry","",ROUND(AC55*AA55/100,0))</f>
      </c>
      <c r="AE55" s="27">
        <f>IF($B55&lt;&gt;"Entry","",0)</f>
      </c>
      <c r="AF55" s="27">
        <f>IF($B55&lt;&gt;"Entry","",0)</f>
      </c>
      <c r="AG55" s="27">
        <f>IF($B55&lt;&gt;"Entry","",IF(OR(AD55=0,AB55="",AQ55="",AQ55&lt;=0),0,IF(AQ55&lt;=DATE(YEAR(AB55),MONTH(AB55)+1,7),0,ROUND(AD55*0.015*((YEAR(AQ55)-YEAR(AB55))*12+(MONTH(AQ55)-MONTH(AB55))+1),0))))</f>
      </c>
      <c r="AH55" s="27">
        <f>IF($B55&lt;&gt;"Entry","",0)</f>
      </c>
      <c r="AI55" s="28"/>
      <c r="AJ55" s="28"/>
      <c r="AK55" s="32"/>
      <c r="AL55" s="28"/>
      <c r="AM55" s="28"/>
      <c r="AN55" s="27">
        <f>IF($B55&lt;&gt;"Challan","",SUMIF('Q1 Data'!$D$4:$D$207,D55,'Q1 Data'!$AD$4:$AD$207)+SUMIF('Q1 Data'!$D$4:$D$207,D55,'Q1 Data'!$AG$4:$AG$207)+SUMIF('Q1 Data'!$D$4:$D$207,D55,'Q1 Data'!$AE$4:$AE$207)+SUMIF('Q2 Data'!$D$4:$D$207,D55,'Q2 Data'!$AD$4:$AD$207)+SUMIF('Q2 Data'!$D$4:$D$207,D55,'Q2 Data'!$AG$4:$AG$207)+SUMIF('Q2 Data'!$D$4:$D$207,D55,'Q2 Data'!$AE$4:$AE$207)+SUMIF('Q3 Data'!$D$4:$D$207,D55,'Q3 Data'!$AD$4:$AD$207)+SUMIF('Q3 Data'!$D$4:$D$207,D55,'Q3 Data'!$AG$4:$AG$207)+SUMIF('Q3 Data'!$D$4:$D$207,D55,'Q3 Data'!$AE$4:$AE$207)+SUMIF('Q4 Data'!$D$4:$D$207,D55,'Q4 Data'!$AD$4:$AD$207)+SUMIF('Q4 Data'!$D$4:$D$207,D55,'Q4 Data'!$AG$4:$AG$207)+SUMIF('Q4 Data'!$D$4:$D$207,D55,'Q4 Data'!$AE$4:$AE$207))</f>
      </c>
      <c r="AO55" s="27">
        <f>IF($B55&lt;&gt;"Challan","",P55-N55)</f>
      </c>
      <c r="AP55" s="27">
        <f>IF($B55&lt;&gt;"Challan","",MAX(0,AO55-AN55))</f>
      </c>
      <c r="AQ55" s="33">
        <f>IF($B55&lt;&gt;"Entry","",SUMPRODUCT(('Q1 Data'!$D$4:$D$207=D55)*('Q1 Data'!$B$4:$B$207="Challan")*'Q1 Data'!$F$4:$F$207)+SUMPRODUCT(('Q2 Data'!$D$4:$D$207=D55)*('Q2 Data'!$B$4:$B$207="Challan")*'Q2 Data'!$F$4:$F$207)+SUMPRODUCT(('Q3 Data'!$D$4:$D$207=D55)*('Q3 Data'!$B$4:$B$207="Challan")*'Q3 Data'!$F$4:$F$207)+SUMPRODUCT(('Q4 Data'!$D$4:$D$207=D55)*('Q4 Data'!$B$4:$B$207="Challan")*'Q4 Data'!$F$4:$F$207))</f>
      </c>
      <c r="AR55" s="34">
        <f>IF(OR($B55&lt;&gt;"Entry",Z55=""),FALSE,AND((SUMPRODUCT(('Q1 Data'!$D$4:$D$207=D55)*('Q1 Data'!$B$4:$B$207="Challan")*('Q1 Data'!$H$4:$H$207&lt;&gt;""))+SUMPRODUCT(('Q2 Data'!$D$4:$D$207=D55)*('Q2 Data'!$B$4:$B$207="Challan")*('Q2 Data'!$H$4:$H$207&lt;&gt;""))+SUMPRODUCT(('Q3 Data'!$D$4:$D$207=D55)*('Q3 Data'!$B$4:$B$207="Challan")*('Q3 Data'!$H$4:$H$207&lt;&gt;""))+SUMPRODUCT(('Q4 Data'!$D$4:$D$207=D55)*('Q4 Data'!$B$4:$B$207="Challan")*('Q4 Data'!$H$4:$H$207&lt;&gt;"")))&gt;0,(SUMPRODUCT(('Q1 Data'!$D$4:$D$207=D55)*('Q1 Data'!$B$4:$B$207="Challan")*('Q1 Data'!$H$4:$H$207=Z55))+SUMPRODUCT(('Q2 Data'!$D$4:$D$207=D55)*('Q2 Data'!$B$4:$B$207="Challan")*('Q2 Data'!$H$4:$H$207=Z55))+SUMPRODUCT(('Q3 Data'!$D$4:$D$207=D55)*('Q3 Data'!$B$4:$B$207="Challan")*('Q3 Data'!$H$4:$H$207=Z55))+SUMPRODUCT(('Q4 Data'!$D$4:$D$207=D55)*('Q4 Data'!$B$4:$B$207="Challan")*('Q4 Data'!$H$4:$H$207=Z55)))=0))</f>
      </c>
    </row>
    <row r="56" spans="1:44" x14ac:dyDescent="0.25">
      <c r="A56" s="20">
        <f>IF($B56="Entry",COUNTIF($B$4:$B56,"Entry"),"")</f>
      </c>
      <c r="B56" s="21"/>
      <c r="C56" s="22"/>
      <c r="D56" s="22"/>
      <c r="E56" s="23">
        <f>IF($B56&lt;&gt;"Challan","",IF(ROUND(AN56-AO56,2)&gt;0,"Over-applied",IF(ROUND(AN56-AO56,2)=0,"Fully Utilised","Unconsumed")))</f>
      </c>
      <c r="F56" s="24"/>
      <c r="G56" s="25"/>
      <c r="H56" s="25"/>
      <c r="I56" s="26"/>
      <c r="J56" s="26"/>
      <c r="K56" s="26"/>
      <c r="L56" s="26"/>
      <c r="M56" s="26"/>
      <c r="N56" s="26"/>
      <c r="O56" s="26"/>
      <c r="P56" s="27">
        <f>IF($B56&lt;&gt;"Challan","",I56+J56+K56+L56+M56+N56)</f>
      </c>
      <c r="Q56" s="25"/>
      <c r="R56" s="25"/>
      <c r="S56" s="25"/>
      <c r="T56" s="25"/>
      <c r="U56" s="25"/>
      <c r="V56" s="28"/>
      <c r="W56" s="28"/>
      <c r="X56" s="23">
        <f>IF($B56="Entry",IF(AND(LEN(TRIM(UPPER(W56)))=10,CODE(MID(TRIM(UPPER(W56)),1,1))&gt;=65,CODE(MID(TRIM(UPPER(W56)),1,1))&lt;=90,CODE(MID(TRIM(UPPER(W56)),2,1))&gt;=65,CODE(MID(TRIM(UPPER(W56)),2,1))&lt;=90,CODE(MID(TRIM(UPPER(W56)),3,1))&gt;=65,CODE(MID(TRIM(UPPER(W56)),3,1))&lt;=90,CODE(MID(TRIM(UPPER(W56)),4,1))&gt;=65,CODE(MID(TRIM(UPPER(W56)),4,1))&lt;=90,CODE(MID(TRIM(UPPER(W56)),5,1))&gt;=65,CODE(MID(TRIM(UPPER(W56)),5,1))&lt;=90,CODE(MID(TRIM(UPPER(W56)),10,1))&gt;=65,CODE(MID(TRIM(UPPER(W56)),10,1))&lt;=90,CODE(MID(TRIM(UPPER(W56)),6,1))&gt;=48,CODE(MID(TRIM(UPPER(W56)),6,1))&lt;=57,CODE(MID(TRIM(UPPER(W56)),7,1))&gt;=48,CODE(MID(TRIM(UPPER(W56)),7,1))&lt;=57,CODE(MID(TRIM(UPPER(W56)),8,1))&gt;=48,CODE(MID(TRIM(UPPER(W56)),8,1))&lt;=57,CODE(MID(TRIM(UPPER(W56)),9,1))&gt;=48,CODE(MID(TRIM(UPPER(W56)),9,1))&lt;=57),"N","Y"),IF($B56="Challan","",IF(W56&lt;&gt;"","◄ Set Row Type","")))</f>
      </c>
      <c r="Y56" s="23">
        <f>IF($B56="Entry",IF(LEN(W56)&lt;4,"",IF(UPPER(MID(W56,4,1))="P","Individual",IF(UPPER(MID(W56,4,1))="H","HUF",IF(UPPER(MID(W56,4,1))="C","Company",IF(UPPER(MID(W56,4,1))="F","Firm",IF(UPPER(MID(W56,4,1))="L","LLP",IF(UPPER(MID(W56,4,1))="T","Trust",IF(UPPER(MID(W56,4,1))="A","AOP","")))))))),IF($B56="Challan","",IF(W56&lt;&gt;"","◄ Set Row Type","")))</f>
      </c>
      <c r="Z56" s="28"/>
      <c r="AA56" s="29">
        <f>IF($B56&lt;&gt;"Entry","",IF(Z56="","",IF(X56="Y",SUMPRODUCT(('Rate Lookup'!$A$1:$A$37=Z56)*'Rate Lookup'!$D$1:$D$37),IF(OR(Y56="Individual",Y56="HUF"),SUMPRODUCT(('Rate Lookup'!$A$1:$A$37=Z56)*'Rate Lookup'!$B$1:$B$37),SUMPRODUCT(('Rate Lookup'!$A$1:$A$37=Z56)*'Rate Lookup'!$C$1:$C$37)))))</f>
      </c>
      <c r="AB56" s="30"/>
      <c r="AC56" s="31"/>
      <c r="AD56" s="27">
        <f>IF($B56&lt;&gt;"Entry","",ROUND(AC56*AA56/100,0))</f>
      </c>
      <c r="AE56" s="27">
        <f>IF($B56&lt;&gt;"Entry","",0)</f>
      </c>
      <c r="AF56" s="27">
        <f>IF($B56&lt;&gt;"Entry","",0)</f>
      </c>
      <c r="AG56" s="27">
        <f>IF($B56&lt;&gt;"Entry","",IF(OR(AD56=0,AB56="",AQ56="",AQ56&lt;=0),0,IF(AQ56&lt;=DATE(YEAR(AB56),MONTH(AB56)+1,7),0,ROUND(AD56*0.015*((YEAR(AQ56)-YEAR(AB56))*12+(MONTH(AQ56)-MONTH(AB56))+1),0))))</f>
      </c>
      <c r="AH56" s="27">
        <f>IF($B56&lt;&gt;"Entry","",0)</f>
      </c>
      <c r="AI56" s="28"/>
      <c r="AJ56" s="28"/>
      <c r="AK56" s="32"/>
      <c r="AL56" s="28"/>
      <c r="AM56" s="28"/>
      <c r="AN56" s="27">
        <f>IF($B56&lt;&gt;"Challan","",SUMIF('Q1 Data'!$D$4:$D$207,D56,'Q1 Data'!$AD$4:$AD$207)+SUMIF('Q1 Data'!$D$4:$D$207,D56,'Q1 Data'!$AG$4:$AG$207)+SUMIF('Q1 Data'!$D$4:$D$207,D56,'Q1 Data'!$AE$4:$AE$207)+SUMIF('Q2 Data'!$D$4:$D$207,D56,'Q2 Data'!$AD$4:$AD$207)+SUMIF('Q2 Data'!$D$4:$D$207,D56,'Q2 Data'!$AG$4:$AG$207)+SUMIF('Q2 Data'!$D$4:$D$207,D56,'Q2 Data'!$AE$4:$AE$207)+SUMIF('Q3 Data'!$D$4:$D$207,D56,'Q3 Data'!$AD$4:$AD$207)+SUMIF('Q3 Data'!$D$4:$D$207,D56,'Q3 Data'!$AG$4:$AG$207)+SUMIF('Q3 Data'!$D$4:$D$207,D56,'Q3 Data'!$AE$4:$AE$207)+SUMIF('Q4 Data'!$D$4:$D$207,D56,'Q4 Data'!$AD$4:$AD$207)+SUMIF('Q4 Data'!$D$4:$D$207,D56,'Q4 Data'!$AG$4:$AG$207)+SUMIF('Q4 Data'!$D$4:$D$207,D56,'Q4 Data'!$AE$4:$AE$207))</f>
      </c>
      <c r="AO56" s="27">
        <f>IF($B56&lt;&gt;"Challan","",P56-N56)</f>
      </c>
      <c r="AP56" s="27">
        <f>IF($B56&lt;&gt;"Challan","",MAX(0,AO56-AN56))</f>
      </c>
      <c r="AQ56" s="33">
        <f>IF($B56&lt;&gt;"Entry","",SUMPRODUCT(('Q1 Data'!$D$4:$D$207=D56)*('Q1 Data'!$B$4:$B$207="Challan")*'Q1 Data'!$F$4:$F$207)+SUMPRODUCT(('Q2 Data'!$D$4:$D$207=D56)*('Q2 Data'!$B$4:$B$207="Challan")*'Q2 Data'!$F$4:$F$207)+SUMPRODUCT(('Q3 Data'!$D$4:$D$207=D56)*('Q3 Data'!$B$4:$B$207="Challan")*'Q3 Data'!$F$4:$F$207)+SUMPRODUCT(('Q4 Data'!$D$4:$D$207=D56)*('Q4 Data'!$B$4:$B$207="Challan")*'Q4 Data'!$F$4:$F$207))</f>
      </c>
      <c r="AR56" s="34">
        <f>IF(OR($B56&lt;&gt;"Entry",Z56=""),FALSE,AND((SUMPRODUCT(('Q1 Data'!$D$4:$D$207=D56)*('Q1 Data'!$B$4:$B$207="Challan")*('Q1 Data'!$H$4:$H$207&lt;&gt;""))+SUMPRODUCT(('Q2 Data'!$D$4:$D$207=D56)*('Q2 Data'!$B$4:$B$207="Challan")*('Q2 Data'!$H$4:$H$207&lt;&gt;""))+SUMPRODUCT(('Q3 Data'!$D$4:$D$207=D56)*('Q3 Data'!$B$4:$B$207="Challan")*('Q3 Data'!$H$4:$H$207&lt;&gt;""))+SUMPRODUCT(('Q4 Data'!$D$4:$D$207=D56)*('Q4 Data'!$B$4:$B$207="Challan")*('Q4 Data'!$H$4:$H$207&lt;&gt;"")))&gt;0,(SUMPRODUCT(('Q1 Data'!$D$4:$D$207=D56)*('Q1 Data'!$B$4:$B$207="Challan")*('Q1 Data'!$H$4:$H$207=Z56))+SUMPRODUCT(('Q2 Data'!$D$4:$D$207=D56)*('Q2 Data'!$B$4:$B$207="Challan")*('Q2 Data'!$H$4:$H$207=Z56))+SUMPRODUCT(('Q3 Data'!$D$4:$D$207=D56)*('Q3 Data'!$B$4:$B$207="Challan")*('Q3 Data'!$H$4:$H$207=Z56))+SUMPRODUCT(('Q4 Data'!$D$4:$D$207=D56)*('Q4 Data'!$B$4:$B$207="Challan")*('Q4 Data'!$H$4:$H$207=Z56)))=0))</f>
      </c>
    </row>
    <row r="57" spans="1:44" x14ac:dyDescent="0.25">
      <c r="A57" s="20">
        <f>IF($B57="Entry",COUNTIF($B$4:$B57,"Entry"),"")</f>
      </c>
      <c r="B57" s="21"/>
      <c r="C57" s="22"/>
      <c r="D57" s="22"/>
      <c r="E57" s="23">
        <f>IF($B57&lt;&gt;"Challan","",IF(ROUND(AN57-AO57,2)&gt;0,"Over-applied",IF(ROUND(AN57-AO57,2)=0,"Fully Utilised","Unconsumed")))</f>
      </c>
      <c r="F57" s="24"/>
      <c r="G57" s="25"/>
      <c r="H57" s="25"/>
      <c r="I57" s="26"/>
      <c r="J57" s="26"/>
      <c r="K57" s="26"/>
      <c r="L57" s="26"/>
      <c r="M57" s="26"/>
      <c r="N57" s="26"/>
      <c r="O57" s="26"/>
      <c r="P57" s="27">
        <f>IF($B57&lt;&gt;"Challan","",I57+J57+K57+L57+M57+N57)</f>
      </c>
      <c r="Q57" s="25"/>
      <c r="R57" s="25"/>
      <c r="S57" s="25"/>
      <c r="T57" s="25"/>
      <c r="U57" s="25"/>
      <c r="V57" s="28"/>
      <c r="W57" s="28"/>
      <c r="X57" s="23">
        <f>IF($B57="Entry",IF(AND(LEN(TRIM(UPPER(W57)))=10,CODE(MID(TRIM(UPPER(W57)),1,1))&gt;=65,CODE(MID(TRIM(UPPER(W57)),1,1))&lt;=90,CODE(MID(TRIM(UPPER(W57)),2,1))&gt;=65,CODE(MID(TRIM(UPPER(W57)),2,1))&lt;=90,CODE(MID(TRIM(UPPER(W57)),3,1))&gt;=65,CODE(MID(TRIM(UPPER(W57)),3,1))&lt;=90,CODE(MID(TRIM(UPPER(W57)),4,1))&gt;=65,CODE(MID(TRIM(UPPER(W57)),4,1))&lt;=90,CODE(MID(TRIM(UPPER(W57)),5,1))&gt;=65,CODE(MID(TRIM(UPPER(W57)),5,1))&lt;=90,CODE(MID(TRIM(UPPER(W57)),10,1))&gt;=65,CODE(MID(TRIM(UPPER(W57)),10,1))&lt;=90,CODE(MID(TRIM(UPPER(W57)),6,1))&gt;=48,CODE(MID(TRIM(UPPER(W57)),6,1))&lt;=57,CODE(MID(TRIM(UPPER(W57)),7,1))&gt;=48,CODE(MID(TRIM(UPPER(W57)),7,1))&lt;=57,CODE(MID(TRIM(UPPER(W57)),8,1))&gt;=48,CODE(MID(TRIM(UPPER(W57)),8,1))&lt;=57,CODE(MID(TRIM(UPPER(W57)),9,1))&gt;=48,CODE(MID(TRIM(UPPER(W57)),9,1))&lt;=57),"N","Y"),IF($B57="Challan","",IF(W57&lt;&gt;"","◄ Set Row Type","")))</f>
      </c>
      <c r="Y57" s="23">
        <f>IF($B57="Entry",IF(LEN(W57)&lt;4,"",IF(UPPER(MID(W57,4,1))="P","Individual",IF(UPPER(MID(W57,4,1))="H","HUF",IF(UPPER(MID(W57,4,1))="C","Company",IF(UPPER(MID(W57,4,1))="F","Firm",IF(UPPER(MID(W57,4,1))="L","LLP",IF(UPPER(MID(W57,4,1))="T","Trust",IF(UPPER(MID(W57,4,1))="A","AOP","")))))))),IF($B57="Challan","",IF(W57&lt;&gt;"","◄ Set Row Type","")))</f>
      </c>
      <c r="Z57" s="28"/>
      <c r="AA57" s="29">
        <f>IF($B57&lt;&gt;"Entry","",IF(Z57="","",IF(X57="Y",SUMPRODUCT(('Rate Lookup'!$A$1:$A$37=Z57)*'Rate Lookup'!$D$1:$D$37),IF(OR(Y57="Individual",Y57="HUF"),SUMPRODUCT(('Rate Lookup'!$A$1:$A$37=Z57)*'Rate Lookup'!$B$1:$B$37),SUMPRODUCT(('Rate Lookup'!$A$1:$A$37=Z57)*'Rate Lookup'!$C$1:$C$37)))))</f>
      </c>
      <c r="AB57" s="30"/>
      <c r="AC57" s="31"/>
      <c r="AD57" s="27">
        <f>IF($B57&lt;&gt;"Entry","",ROUND(AC57*AA57/100,0))</f>
      </c>
      <c r="AE57" s="27">
        <f>IF($B57&lt;&gt;"Entry","",0)</f>
      </c>
      <c r="AF57" s="27">
        <f>IF($B57&lt;&gt;"Entry","",0)</f>
      </c>
      <c r="AG57" s="27">
        <f>IF($B57&lt;&gt;"Entry","",IF(OR(AD57=0,AB57="",AQ57="",AQ57&lt;=0),0,IF(AQ57&lt;=DATE(YEAR(AB57),MONTH(AB57)+1,7),0,ROUND(AD57*0.015*((YEAR(AQ57)-YEAR(AB57))*12+(MONTH(AQ57)-MONTH(AB57))+1),0))))</f>
      </c>
      <c r="AH57" s="27">
        <f>IF($B57&lt;&gt;"Entry","",0)</f>
      </c>
      <c r="AI57" s="28"/>
      <c r="AJ57" s="28"/>
      <c r="AK57" s="32"/>
      <c r="AL57" s="28"/>
      <c r="AM57" s="28"/>
      <c r="AN57" s="27">
        <f>IF($B57&lt;&gt;"Challan","",SUMIF('Q1 Data'!$D$4:$D$207,D57,'Q1 Data'!$AD$4:$AD$207)+SUMIF('Q1 Data'!$D$4:$D$207,D57,'Q1 Data'!$AG$4:$AG$207)+SUMIF('Q1 Data'!$D$4:$D$207,D57,'Q1 Data'!$AE$4:$AE$207)+SUMIF('Q2 Data'!$D$4:$D$207,D57,'Q2 Data'!$AD$4:$AD$207)+SUMIF('Q2 Data'!$D$4:$D$207,D57,'Q2 Data'!$AG$4:$AG$207)+SUMIF('Q2 Data'!$D$4:$D$207,D57,'Q2 Data'!$AE$4:$AE$207)+SUMIF('Q3 Data'!$D$4:$D$207,D57,'Q3 Data'!$AD$4:$AD$207)+SUMIF('Q3 Data'!$D$4:$D$207,D57,'Q3 Data'!$AG$4:$AG$207)+SUMIF('Q3 Data'!$D$4:$D$207,D57,'Q3 Data'!$AE$4:$AE$207)+SUMIF('Q4 Data'!$D$4:$D$207,D57,'Q4 Data'!$AD$4:$AD$207)+SUMIF('Q4 Data'!$D$4:$D$207,D57,'Q4 Data'!$AG$4:$AG$207)+SUMIF('Q4 Data'!$D$4:$D$207,D57,'Q4 Data'!$AE$4:$AE$207))</f>
      </c>
      <c r="AO57" s="27">
        <f>IF($B57&lt;&gt;"Challan","",P57-N57)</f>
      </c>
      <c r="AP57" s="27">
        <f>IF($B57&lt;&gt;"Challan","",MAX(0,AO57-AN57))</f>
      </c>
      <c r="AQ57" s="33">
        <f>IF($B57&lt;&gt;"Entry","",SUMPRODUCT(('Q1 Data'!$D$4:$D$207=D57)*('Q1 Data'!$B$4:$B$207="Challan")*'Q1 Data'!$F$4:$F$207)+SUMPRODUCT(('Q2 Data'!$D$4:$D$207=D57)*('Q2 Data'!$B$4:$B$207="Challan")*'Q2 Data'!$F$4:$F$207)+SUMPRODUCT(('Q3 Data'!$D$4:$D$207=D57)*('Q3 Data'!$B$4:$B$207="Challan")*'Q3 Data'!$F$4:$F$207)+SUMPRODUCT(('Q4 Data'!$D$4:$D$207=D57)*('Q4 Data'!$B$4:$B$207="Challan")*'Q4 Data'!$F$4:$F$207))</f>
      </c>
      <c r="AR57" s="34">
        <f>IF(OR($B57&lt;&gt;"Entry",Z57=""),FALSE,AND((SUMPRODUCT(('Q1 Data'!$D$4:$D$207=D57)*('Q1 Data'!$B$4:$B$207="Challan")*('Q1 Data'!$H$4:$H$207&lt;&gt;""))+SUMPRODUCT(('Q2 Data'!$D$4:$D$207=D57)*('Q2 Data'!$B$4:$B$207="Challan")*('Q2 Data'!$H$4:$H$207&lt;&gt;""))+SUMPRODUCT(('Q3 Data'!$D$4:$D$207=D57)*('Q3 Data'!$B$4:$B$207="Challan")*('Q3 Data'!$H$4:$H$207&lt;&gt;""))+SUMPRODUCT(('Q4 Data'!$D$4:$D$207=D57)*('Q4 Data'!$B$4:$B$207="Challan")*('Q4 Data'!$H$4:$H$207&lt;&gt;"")))&gt;0,(SUMPRODUCT(('Q1 Data'!$D$4:$D$207=D57)*('Q1 Data'!$B$4:$B$207="Challan")*('Q1 Data'!$H$4:$H$207=Z57))+SUMPRODUCT(('Q2 Data'!$D$4:$D$207=D57)*('Q2 Data'!$B$4:$B$207="Challan")*('Q2 Data'!$H$4:$H$207=Z57))+SUMPRODUCT(('Q3 Data'!$D$4:$D$207=D57)*('Q3 Data'!$B$4:$B$207="Challan")*('Q3 Data'!$H$4:$H$207=Z57))+SUMPRODUCT(('Q4 Data'!$D$4:$D$207=D57)*('Q4 Data'!$B$4:$B$207="Challan")*('Q4 Data'!$H$4:$H$207=Z57)))=0))</f>
      </c>
    </row>
    <row r="58" spans="1:44" x14ac:dyDescent="0.25">
      <c r="A58" s="20">
        <f>IF($B58="Entry",COUNTIF($B$4:$B58,"Entry"),"")</f>
      </c>
      <c r="B58" s="21"/>
      <c r="C58" s="22"/>
      <c r="D58" s="22"/>
      <c r="E58" s="23">
        <f>IF($B58&lt;&gt;"Challan","",IF(ROUND(AN58-AO58,2)&gt;0,"Over-applied",IF(ROUND(AN58-AO58,2)=0,"Fully Utilised","Unconsumed")))</f>
      </c>
      <c r="F58" s="24"/>
      <c r="G58" s="25"/>
      <c r="H58" s="25"/>
      <c r="I58" s="26"/>
      <c r="J58" s="26"/>
      <c r="K58" s="26"/>
      <c r="L58" s="26"/>
      <c r="M58" s="26"/>
      <c r="N58" s="26"/>
      <c r="O58" s="26"/>
      <c r="P58" s="27">
        <f>IF($B58&lt;&gt;"Challan","",I58+J58+K58+L58+M58+N58)</f>
      </c>
      <c r="Q58" s="25"/>
      <c r="R58" s="25"/>
      <c r="S58" s="25"/>
      <c r="T58" s="25"/>
      <c r="U58" s="25"/>
      <c r="V58" s="28"/>
      <c r="W58" s="28"/>
      <c r="X58" s="23">
        <f>IF($B58="Entry",IF(AND(LEN(TRIM(UPPER(W58)))=10,CODE(MID(TRIM(UPPER(W58)),1,1))&gt;=65,CODE(MID(TRIM(UPPER(W58)),1,1))&lt;=90,CODE(MID(TRIM(UPPER(W58)),2,1))&gt;=65,CODE(MID(TRIM(UPPER(W58)),2,1))&lt;=90,CODE(MID(TRIM(UPPER(W58)),3,1))&gt;=65,CODE(MID(TRIM(UPPER(W58)),3,1))&lt;=90,CODE(MID(TRIM(UPPER(W58)),4,1))&gt;=65,CODE(MID(TRIM(UPPER(W58)),4,1))&lt;=90,CODE(MID(TRIM(UPPER(W58)),5,1))&gt;=65,CODE(MID(TRIM(UPPER(W58)),5,1))&lt;=90,CODE(MID(TRIM(UPPER(W58)),10,1))&gt;=65,CODE(MID(TRIM(UPPER(W58)),10,1))&lt;=90,CODE(MID(TRIM(UPPER(W58)),6,1))&gt;=48,CODE(MID(TRIM(UPPER(W58)),6,1))&lt;=57,CODE(MID(TRIM(UPPER(W58)),7,1))&gt;=48,CODE(MID(TRIM(UPPER(W58)),7,1))&lt;=57,CODE(MID(TRIM(UPPER(W58)),8,1))&gt;=48,CODE(MID(TRIM(UPPER(W58)),8,1))&lt;=57,CODE(MID(TRIM(UPPER(W58)),9,1))&gt;=48,CODE(MID(TRIM(UPPER(W58)),9,1))&lt;=57),"N","Y"),IF($B58="Challan","",IF(W58&lt;&gt;"","◄ Set Row Type","")))</f>
      </c>
      <c r="Y58" s="23">
        <f>IF($B58="Entry",IF(LEN(W58)&lt;4,"",IF(UPPER(MID(W58,4,1))="P","Individual",IF(UPPER(MID(W58,4,1))="H","HUF",IF(UPPER(MID(W58,4,1))="C","Company",IF(UPPER(MID(W58,4,1))="F","Firm",IF(UPPER(MID(W58,4,1))="L","LLP",IF(UPPER(MID(W58,4,1))="T","Trust",IF(UPPER(MID(W58,4,1))="A","AOP","")))))))),IF($B58="Challan","",IF(W58&lt;&gt;"","◄ Set Row Type","")))</f>
      </c>
      <c r="Z58" s="28"/>
      <c r="AA58" s="29">
        <f>IF($B58&lt;&gt;"Entry","",IF(Z58="","",IF(X58="Y",SUMPRODUCT(('Rate Lookup'!$A$1:$A$37=Z58)*'Rate Lookup'!$D$1:$D$37),IF(OR(Y58="Individual",Y58="HUF"),SUMPRODUCT(('Rate Lookup'!$A$1:$A$37=Z58)*'Rate Lookup'!$B$1:$B$37),SUMPRODUCT(('Rate Lookup'!$A$1:$A$37=Z58)*'Rate Lookup'!$C$1:$C$37)))))</f>
      </c>
      <c r="AB58" s="30"/>
      <c r="AC58" s="31"/>
      <c r="AD58" s="27">
        <f>IF($B58&lt;&gt;"Entry","",ROUND(AC58*AA58/100,0))</f>
      </c>
      <c r="AE58" s="27">
        <f>IF($B58&lt;&gt;"Entry","",0)</f>
      </c>
      <c r="AF58" s="27">
        <f>IF($B58&lt;&gt;"Entry","",0)</f>
      </c>
      <c r="AG58" s="27">
        <f>IF($B58&lt;&gt;"Entry","",IF(OR(AD58=0,AB58="",AQ58="",AQ58&lt;=0),0,IF(AQ58&lt;=DATE(YEAR(AB58),MONTH(AB58)+1,7),0,ROUND(AD58*0.015*((YEAR(AQ58)-YEAR(AB58))*12+(MONTH(AQ58)-MONTH(AB58))+1),0))))</f>
      </c>
      <c r="AH58" s="27">
        <f>IF($B58&lt;&gt;"Entry","",0)</f>
      </c>
      <c r="AI58" s="28"/>
      <c r="AJ58" s="28"/>
      <c r="AK58" s="32"/>
      <c r="AL58" s="28"/>
      <c r="AM58" s="28"/>
      <c r="AN58" s="27">
        <f>IF($B58&lt;&gt;"Challan","",SUMIF('Q1 Data'!$D$4:$D$207,D58,'Q1 Data'!$AD$4:$AD$207)+SUMIF('Q1 Data'!$D$4:$D$207,D58,'Q1 Data'!$AG$4:$AG$207)+SUMIF('Q1 Data'!$D$4:$D$207,D58,'Q1 Data'!$AE$4:$AE$207)+SUMIF('Q2 Data'!$D$4:$D$207,D58,'Q2 Data'!$AD$4:$AD$207)+SUMIF('Q2 Data'!$D$4:$D$207,D58,'Q2 Data'!$AG$4:$AG$207)+SUMIF('Q2 Data'!$D$4:$D$207,D58,'Q2 Data'!$AE$4:$AE$207)+SUMIF('Q3 Data'!$D$4:$D$207,D58,'Q3 Data'!$AD$4:$AD$207)+SUMIF('Q3 Data'!$D$4:$D$207,D58,'Q3 Data'!$AG$4:$AG$207)+SUMIF('Q3 Data'!$D$4:$D$207,D58,'Q3 Data'!$AE$4:$AE$207)+SUMIF('Q4 Data'!$D$4:$D$207,D58,'Q4 Data'!$AD$4:$AD$207)+SUMIF('Q4 Data'!$D$4:$D$207,D58,'Q4 Data'!$AG$4:$AG$207)+SUMIF('Q4 Data'!$D$4:$D$207,D58,'Q4 Data'!$AE$4:$AE$207))</f>
      </c>
      <c r="AO58" s="27">
        <f>IF($B58&lt;&gt;"Challan","",P58-N58)</f>
      </c>
      <c r="AP58" s="27">
        <f>IF($B58&lt;&gt;"Challan","",MAX(0,AO58-AN58))</f>
      </c>
      <c r="AQ58" s="33">
        <f>IF($B58&lt;&gt;"Entry","",SUMPRODUCT(('Q1 Data'!$D$4:$D$207=D58)*('Q1 Data'!$B$4:$B$207="Challan")*'Q1 Data'!$F$4:$F$207)+SUMPRODUCT(('Q2 Data'!$D$4:$D$207=D58)*('Q2 Data'!$B$4:$B$207="Challan")*'Q2 Data'!$F$4:$F$207)+SUMPRODUCT(('Q3 Data'!$D$4:$D$207=D58)*('Q3 Data'!$B$4:$B$207="Challan")*'Q3 Data'!$F$4:$F$207)+SUMPRODUCT(('Q4 Data'!$D$4:$D$207=D58)*('Q4 Data'!$B$4:$B$207="Challan")*'Q4 Data'!$F$4:$F$207))</f>
      </c>
      <c r="AR58" s="34">
        <f>IF(OR($B58&lt;&gt;"Entry",Z58=""),FALSE,AND((SUMPRODUCT(('Q1 Data'!$D$4:$D$207=D58)*('Q1 Data'!$B$4:$B$207="Challan")*('Q1 Data'!$H$4:$H$207&lt;&gt;""))+SUMPRODUCT(('Q2 Data'!$D$4:$D$207=D58)*('Q2 Data'!$B$4:$B$207="Challan")*('Q2 Data'!$H$4:$H$207&lt;&gt;""))+SUMPRODUCT(('Q3 Data'!$D$4:$D$207=D58)*('Q3 Data'!$B$4:$B$207="Challan")*('Q3 Data'!$H$4:$H$207&lt;&gt;""))+SUMPRODUCT(('Q4 Data'!$D$4:$D$207=D58)*('Q4 Data'!$B$4:$B$207="Challan")*('Q4 Data'!$H$4:$H$207&lt;&gt;"")))&gt;0,(SUMPRODUCT(('Q1 Data'!$D$4:$D$207=D58)*('Q1 Data'!$B$4:$B$207="Challan")*('Q1 Data'!$H$4:$H$207=Z58))+SUMPRODUCT(('Q2 Data'!$D$4:$D$207=D58)*('Q2 Data'!$B$4:$B$207="Challan")*('Q2 Data'!$H$4:$H$207=Z58))+SUMPRODUCT(('Q3 Data'!$D$4:$D$207=D58)*('Q3 Data'!$B$4:$B$207="Challan")*('Q3 Data'!$H$4:$H$207=Z58))+SUMPRODUCT(('Q4 Data'!$D$4:$D$207=D58)*('Q4 Data'!$B$4:$B$207="Challan")*('Q4 Data'!$H$4:$H$207=Z58)))=0))</f>
      </c>
    </row>
    <row r="59" spans="1:44" x14ac:dyDescent="0.25">
      <c r="A59" s="20">
        <f>IF($B59="Entry",COUNTIF($B$4:$B59,"Entry"),"")</f>
      </c>
      <c r="B59" s="21"/>
      <c r="C59" s="22"/>
      <c r="D59" s="22"/>
      <c r="E59" s="23">
        <f>IF($B59&lt;&gt;"Challan","",IF(ROUND(AN59-AO59,2)&gt;0,"Over-applied",IF(ROUND(AN59-AO59,2)=0,"Fully Utilised","Unconsumed")))</f>
      </c>
      <c r="F59" s="24"/>
      <c r="G59" s="25"/>
      <c r="H59" s="25"/>
      <c r="I59" s="26"/>
      <c r="J59" s="26"/>
      <c r="K59" s="26"/>
      <c r="L59" s="26"/>
      <c r="M59" s="26"/>
      <c r="N59" s="26"/>
      <c r="O59" s="26"/>
      <c r="P59" s="27">
        <f>IF($B59&lt;&gt;"Challan","",I59+J59+K59+L59+M59+N59)</f>
      </c>
      <c r="Q59" s="25"/>
      <c r="R59" s="25"/>
      <c r="S59" s="25"/>
      <c r="T59" s="25"/>
      <c r="U59" s="25"/>
      <c r="V59" s="28"/>
      <c r="W59" s="28"/>
      <c r="X59" s="23">
        <f>IF($B59="Entry",IF(AND(LEN(TRIM(UPPER(W59)))=10,CODE(MID(TRIM(UPPER(W59)),1,1))&gt;=65,CODE(MID(TRIM(UPPER(W59)),1,1))&lt;=90,CODE(MID(TRIM(UPPER(W59)),2,1))&gt;=65,CODE(MID(TRIM(UPPER(W59)),2,1))&lt;=90,CODE(MID(TRIM(UPPER(W59)),3,1))&gt;=65,CODE(MID(TRIM(UPPER(W59)),3,1))&lt;=90,CODE(MID(TRIM(UPPER(W59)),4,1))&gt;=65,CODE(MID(TRIM(UPPER(W59)),4,1))&lt;=90,CODE(MID(TRIM(UPPER(W59)),5,1))&gt;=65,CODE(MID(TRIM(UPPER(W59)),5,1))&lt;=90,CODE(MID(TRIM(UPPER(W59)),10,1))&gt;=65,CODE(MID(TRIM(UPPER(W59)),10,1))&lt;=90,CODE(MID(TRIM(UPPER(W59)),6,1))&gt;=48,CODE(MID(TRIM(UPPER(W59)),6,1))&lt;=57,CODE(MID(TRIM(UPPER(W59)),7,1))&gt;=48,CODE(MID(TRIM(UPPER(W59)),7,1))&lt;=57,CODE(MID(TRIM(UPPER(W59)),8,1))&gt;=48,CODE(MID(TRIM(UPPER(W59)),8,1))&lt;=57,CODE(MID(TRIM(UPPER(W59)),9,1))&gt;=48,CODE(MID(TRIM(UPPER(W59)),9,1))&lt;=57),"N","Y"),IF($B59="Challan","",IF(W59&lt;&gt;"","◄ Set Row Type","")))</f>
      </c>
      <c r="Y59" s="23">
        <f>IF($B59="Entry",IF(LEN(W59)&lt;4,"",IF(UPPER(MID(W59,4,1))="P","Individual",IF(UPPER(MID(W59,4,1))="H","HUF",IF(UPPER(MID(W59,4,1))="C","Company",IF(UPPER(MID(W59,4,1))="F","Firm",IF(UPPER(MID(W59,4,1))="L","LLP",IF(UPPER(MID(W59,4,1))="T","Trust",IF(UPPER(MID(W59,4,1))="A","AOP","")))))))),IF($B59="Challan","",IF(W59&lt;&gt;"","◄ Set Row Type","")))</f>
      </c>
      <c r="Z59" s="28"/>
      <c r="AA59" s="29">
        <f>IF($B59&lt;&gt;"Entry","",IF(Z59="","",IF(X59="Y",SUMPRODUCT(('Rate Lookup'!$A$1:$A$37=Z59)*'Rate Lookup'!$D$1:$D$37),IF(OR(Y59="Individual",Y59="HUF"),SUMPRODUCT(('Rate Lookup'!$A$1:$A$37=Z59)*'Rate Lookup'!$B$1:$B$37),SUMPRODUCT(('Rate Lookup'!$A$1:$A$37=Z59)*'Rate Lookup'!$C$1:$C$37)))))</f>
      </c>
      <c r="AB59" s="30"/>
      <c r="AC59" s="31"/>
      <c r="AD59" s="27">
        <f>IF($B59&lt;&gt;"Entry","",ROUND(AC59*AA59/100,0))</f>
      </c>
      <c r="AE59" s="27">
        <f>IF($B59&lt;&gt;"Entry","",0)</f>
      </c>
      <c r="AF59" s="27">
        <f>IF($B59&lt;&gt;"Entry","",0)</f>
      </c>
      <c r="AG59" s="27">
        <f>IF($B59&lt;&gt;"Entry","",IF(OR(AD59=0,AB59="",AQ59="",AQ59&lt;=0),0,IF(AQ59&lt;=DATE(YEAR(AB59),MONTH(AB59)+1,7),0,ROUND(AD59*0.015*((YEAR(AQ59)-YEAR(AB59))*12+(MONTH(AQ59)-MONTH(AB59))+1),0))))</f>
      </c>
      <c r="AH59" s="27">
        <f>IF($B59&lt;&gt;"Entry","",0)</f>
      </c>
      <c r="AI59" s="28"/>
      <c r="AJ59" s="28"/>
      <c r="AK59" s="32"/>
      <c r="AL59" s="28"/>
      <c r="AM59" s="28"/>
      <c r="AN59" s="27">
        <f>IF($B59&lt;&gt;"Challan","",SUMIF('Q1 Data'!$D$4:$D$207,D59,'Q1 Data'!$AD$4:$AD$207)+SUMIF('Q1 Data'!$D$4:$D$207,D59,'Q1 Data'!$AG$4:$AG$207)+SUMIF('Q1 Data'!$D$4:$D$207,D59,'Q1 Data'!$AE$4:$AE$207)+SUMIF('Q2 Data'!$D$4:$D$207,D59,'Q2 Data'!$AD$4:$AD$207)+SUMIF('Q2 Data'!$D$4:$D$207,D59,'Q2 Data'!$AG$4:$AG$207)+SUMIF('Q2 Data'!$D$4:$D$207,D59,'Q2 Data'!$AE$4:$AE$207)+SUMIF('Q3 Data'!$D$4:$D$207,D59,'Q3 Data'!$AD$4:$AD$207)+SUMIF('Q3 Data'!$D$4:$D$207,D59,'Q3 Data'!$AG$4:$AG$207)+SUMIF('Q3 Data'!$D$4:$D$207,D59,'Q3 Data'!$AE$4:$AE$207)+SUMIF('Q4 Data'!$D$4:$D$207,D59,'Q4 Data'!$AD$4:$AD$207)+SUMIF('Q4 Data'!$D$4:$D$207,D59,'Q4 Data'!$AG$4:$AG$207)+SUMIF('Q4 Data'!$D$4:$D$207,D59,'Q4 Data'!$AE$4:$AE$207))</f>
      </c>
      <c r="AO59" s="27">
        <f>IF($B59&lt;&gt;"Challan","",P59-N59)</f>
      </c>
      <c r="AP59" s="27">
        <f>IF($B59&lt;&gt;"Challan","",MAX(0,AO59-AN59))</f>
      </c>
      <c r="AQ59" s="33">
        <f>IF($B59&lt;&gt;"Entry","",SUMPRODUCT(('Q1 Data'!$D$4:$D$207=D59)*('Q1 Data'!$B$4:$B$207="Challan")*'Q1 Data'!$F$4:$F$207)+SUMPRODUCT(('Q2 Data'!$D$4:$D$207=D59)*('Q2 Data'!$B$4:$B$207="Challan")*'Q2 Data'!$F$4:$F$207)+SUMPRODUCT(('Q3 Data'!$D$4:$D$207=D59)*('Q3 Data'!$B$4:$B$207="Challan")*'Q3 Data'!$F$4:$F$207)+SUMPRODUCT(('Q4 Data'!$D$4:$D$207=D59)*('Q4 Data'!$B$4:$B$207="Challan")*'Q4 Data'!$F$4:$F$207))</f>
      </c>
      <c r="AR59" s="34">
        <f>IF(OR($B59&lt;&gt;"Entry",Z59=""),FALSE,AND((SUMPRODUCT(('Q1 Data'!$D$4:$D$207=D59)*('Q1 Data'!$B$4:$B$207="Challan")*('Q1 Data'!$H$4:$H$207&lt;&gt;""))+SUMPRODUCT(('Q2 Data'!$D$4:$D$207=D59)*('Q2 Data'!$B$4:$B$207="Challan")*('Q2 Data'!$H$4:$H$207&lt;&gt;""))+SUMPRODUCT(('Q3 Data'!$D$4:$D$207=D59)*('Q3 Data'!$B$4:$B$207="Challan")*('Q3 Data'!$H$4:$H$207&lt;&gt;""))+SUMPRODUCT(('Q4 Data'!$D$4:$D$207=D59)*('Q4 Data'!$B$4:$B$207="Challan")*('Q4 Data'!$H$4:$H$207&lt;&gt;"")))&gt;0,(SUMPRODUCT(('Q1 Data'!$D$4:$D$207=D59)*('Q1 Data'!$B$4:$B$207="Challan")*('Q1 Data'!$H$4:$H$207=Z59))+SUMPRODUCT(('Q2 Data'!$D$4:$D$207=D59)*('Q2 Data'!$B$4:$B$207="Challan")*('Q2 Data'!$H$4:$H$207=Z59))+SUMPRODUCT(('Q3 Data'!$D$4:$D$207=D59)*('Q3 Data'!$B$4:$B$207="Challan")*('Q3 Data'!$H$4:$H$207=Z59))+SUMPRODUCT(('Q4 Data'!$D$4:$D$207=D59)*('Q4 Data'!$B$4:$B$207="Challan")*('Q4 Data'!$H$4:$H$207=Z59)))=0))</f>
      </c>
    </row>
    <row r="60" spans="1:44" x14ac:dyDescent="0.25">
      <c r="A60" s="20">
        <f>IF($B60="Entry",COUNTIF($B$4:$B60,"Entry"),"")</f>
      </c>
      <c r="B60" s="21"/>
      <c r="C60" s="22"/>
      <c r="D60" s="22"/>
      <c r="E60" s="23">
        <f>IF($B60&lt;&gt;"Challan","",IF(ROUND(AN60-AO60,2)&gt;0,"Over-applied",IF(ROUND(AN60-AO60,2)=0,"Fully Utilised","Unconsumed")))</f>
      </c>
      <c r="F60" s="24"/>
      <c r="G60" s="25"/>
      <c r="H60" s="25"/>
      <c r="I60" s="26"/>
      <c r="J60" s="26"/>
      <c r="K60" s="26"/>
      <c r="L60" s="26"/>
      <c r="M60" s="26"/>
      <c r="N60" s="26"/>
      <c r="O60" s="26"/>
      <c r="P60" s="27">
        <f>IF($B60&lt;&gt;"Challan","",I60+J60+K60+L60+M60+N60)</f>
      </c>
      <c r="Q60" s="25"/>
      <c r="R60" s="25"/>
      <c r="S60" s="25"/>
      <c r="T60" s="25"/>
      <c r="U60" s="25"/>
      <c r="V60" s="28"/>
      <c r="W60" s="28"/>
      <c r="X60" s="23">
        <f>IF($B60="Entry",IF(AND(LEN(TRIM(UPPER(W60)))=10,CODE(MID(TRIM(UPPER(W60)),1,1))&gt;=65,CODE(MID(TRIM(UPPER(W60)),1,1))&lt;=90,CODE(MID(TRIM(UPPER(W60)),2,1))&gt;=65,CODE(MID(TRIM(UPPER(W60)),2,1))&lt;=90,CODE(MID(TRIM(UPPER(W60)),3,1))&gt;=65,CODE(MID(TRIM(UPPER(W60)),3,1))&lt;=90,CODE(MID(TRIM(UPPER(W60)),4,1))&gt;=65,CODE(MID(TRIM(UPPER(W60)),4,1))&lt;=90,CODE(MID(TRIM(UPPER(W60)),5,1))&gt;=65,CODE(MID(TRIM(UPPER(W60)),5,1))&lt;=90,CODE(MID(TRIM(UPPER(W60)),10,1))&gt;=65,CODE(MID(TRIM(UPPER(W60)),10,1))&lt;=90,CODE(MID(TRIM(UPPER(W60)),6,1))&gt;=48,CODE(MID(TRIM(UPPER(W60)),6,1))&lt;=57,CODE(MID(TRIM(UPPER(W60)),7,1))&gt;=48,CODE(MID(TRIM(UPPER(W60)),7,1))&lt;=57,CODE(MID(TRIM(UPPER(W60)),8,1))&gt;=48,CODE(MID(TRIM(UPPER(W60)),8,1))&lt;=57,CODE(MID(TRIM(UPPER(W60)),9,1))&gt;=48,CODE(MID(TRIM(UPPER(W60)),9,1))&lt;=57),"N","Y"),IF($B60="Challan","",IF(W60&lt;&gt;"","◄ Set Row Type","")))</f>
      </c>
      <c r="Y60" s="23">
        <f>IF($B60="Entry",IF(LEN(W60)&lt;4,"",IF(UPPER(MID(W60,4,1))="P","Individual",IF(UPPER(MID(W60,4,1))="H","HUF",IF(UPPER(MID(W60,4,1))="C","Company",IF(UPPER(MID(W60,4,1))="F","Firm",IF(UPPER(MID(W60,4,1))="L","LLP",IF(UPPER(MID(W60,4,1))="T","Trust",IF(UPPER(MID(W60,4,1))="A","AOP","")))))))),IF($B60="Challan","",IF(W60&lt;&gt;"","◄ Set Row Type","")))</f>
      </c>
      <c r="Z60" s="28"/>
      <c r="AA60" s="29">
        <f>IF($B60&lt;&gt;"Entry","",IF(Z60="","",IF(X60="Y",SUMPRODUCT(('Rate Lookup'!$A$1:$A$37=Z60)*'Rate Lookup'!$D$1:$D$37),IF(OR(Y60="Individual",Y60="HUF"),SUMPRODUCT(('Rate Lookup'!$A$1:$A$37=Z60)*'Rate Lookup'!$B$1:$B$37),SUMPRODUCT(('Rate Lookup'!$A$1:$A$37=Z60)*'Rate Lookup'!$C$1:$C$37)))))</f>
      </c>
      <c r="AB60" s="30"/>
      <c r="AC60" s="31"/>
      <c r="AD60" s="27">
        <f>IF($B60&lt;&gt;"Entry","",ROUND(AC60*AA60/100,0))</f>
      </c>
      <c r="AE60" s="27">
        <f>IF($B60&lt;&gt;"Entry","",0)</f>
      </c>
      <c r="AF60" s="27">
        <f>IF($B60&lt;&gt;"Entry","",0)</f>
      </c>
      <c r="AG60" s="27">
        <f>IF($B60&lt;&gt;"Entry","",IF(OR(AD60=0,AB60="",AQ60="",AQ60&lt;=0),0,IF(AQ60&lt;=DATE(YEAR(AB60),MONTH(AB60)+1,7),0,ROUND(AD60*0.015*((YEAR(AQ60)-YEAR(AB60))*12+(MONTH(AQ60)-MONTH(AB60))+1),0))))</f>
      </c>
      <c r="AH60" s="27">
        <f>IF($B60&lt;&gt;"Entry","",0)</f>
      </c>
      <c r="AI60" s="28"/>
      <c r="AJ60" s="28"/>
      <c r="AK60" s="32"/>
      <c r="AL60" s="28"/>
      <c r="AM60" s="28"/>
      <c r="AN60" s="27">
        <f>IF($B60&lt;&gt;"Challan","",SUMIF('Q1 Data'!$D$4:$D$207,D60,'Q1 Data'!$AD$4:$AD$207)+SUMIF('Q1 Data'!$D$4:$D$207,D60,'Q1 Data'!$AG$4:$AG$207)+SUMIF('Q1 Data'!$D$4:$D$207,D60,'Q1 Data'!$AE$4:$AE$207)+SUMIF('Q2 Data'!$D$4:$D$207,D60,'Q2 Data'!$AD$4:$AD$207)+SUMIF('Q2 Data'!$D$4:$D$207,D60,'Q2 Data'!$AG$4:$AG$207)+SUMIF('Q2 Data'!$D$4:$D$207,D60,'Q2 Data'!$AE$4:$AE$207)+SUMIF('Q3 Data'!$D$4:$D$207,D60,'Q3 Data'!$AD$4:$AD$207)+SUMIF('Q3 Data'!$D$4:$D$207,D60,'Q3 Data'!$AG$4:$AG$207)+SUMIF('Q3 Data'!$D$4:$D$207,D60,'Q3 Data'!$AE$4:$AE$207)+SUMIF('Q4 Data'!$D$4:$D$207,D60,'Q4 Data'!$AD$4:$AD$207)+SUMIF('Q4 Data'!$D$4:$D$207,D60,'Q4 Data'!$AG$4:$AG$207)+SUMIF('Q4 Data'!$D$4:$D$207,D60,'Q4 Data'!$AE$4:$AE$207))</f>
      </c>
      <c r="AO60" s="27">
        <f>IF($B60&lt;&gt;"Challan","",P60-N60)</f>
      </c>
      <c r="AP60" s="27">
        <f>IF($B60&lt;&gt;"Challan","",MAX(0,AO60-AN60))</f>
      </c>
      <c r="AQ60" s="33">
        <f>IF($B60&lt;&gt;"Entry","",SUMPRODUCT(('Q1 Data'!$D$4:$D$207=D60)*('Q1 Data'!$B$4:$B$207="Challan")*'Q1 Data'!$F$4:$F$207)+SUMPRODUCT(('Q2 Data'!$D$4:$D$207=D60)*('Q2 Data'!$B$4:$B$207="Challan")*'Q2 Data'!$F$4:$F$207)+SUMPRODUCT(('Q3 Data'!$D$4:$D$207=D60)*('Q3 Data'!$B$4:$B$207="Challan")*'Q3 Data'!$F$4:$F$207)+SUMPRODUCT(('Q4 Data'!$D$4:$D$207=D60)*('Q4 Data'!$B$4:$B$207="Challan")*'Q4 Data'!$F$4:$F$207))</f>
      </c>
      <c r="AR60" s="34">
        <f>IF(OR($B60&lt;&gt;"Entry",Z60=""),FALSE,AND((SUMPRODUCT(('Q1 Data'!$D$4:$D$207=D60)*('Q1 Data'!$B$4:$B$207="Challan")*('Q1 Data'!$H$4:$H$207&lt;&gt;""))+SUMPRODUCT(('Q2 Data'!$D$4:$D$207=D60)*('Q2 Data'!$B$4:$B$207="Challan")*('Q2 Data'!$H$4:$H$207&lt;&gt;""))+SUMPRODUCT(('Q3 Data'!$D$4:$D$207=D60)*('Q3 Data'!$B$4:$B$207="Challan")*('Q3 Data'!$H$4:$H$207&lt;&gt;""))+SUMPRODUCT(('Q4 Data'!$D$4:$D$207=D60)*('Q4 Data'!$B$4:$B$207="Challan")*('Q4 Data'!$H$4:$H$207&lt;&gt;"")))&gt;0,(SUMPRODUCT(('Q1 Data'!$D$4:$D$207=D60)*('Q1 Data'!$B$4:$B$207="Challan")*('Q1 Data'!$H$4:$H$207=Z60))+SUMPRODUCT(('Q2 Data'!$D$4:$D$207=D60)*('Q2 Data'!$B$4:$B$207="Challan")*('Q2 Data'!$H$4:$H$207=Z60))+SUMPRODUCT(('Q3 Data'!$D$4:$D$207=D60)*('Q3 Data'!$B$4:$B$207="Challan")*('Q3 Data'!$H$4:$H$207=Z60))+SUMPRODUCT(('Q4 Data'!$D$4:$D$207=D60)*('Q4 Data'!$B$4:$B$207="Challan")*('Q4 Data'!$H$4:$H$207=Z60)))=0))</f>
      </c>
    </row>
    <row r="61" spans="1:44" x14ac:dyDescent="0.25">
      <c r="A61" s="20">
        <f>IF($B61="Entry",COUNTIF($B$4:$B61,"Entry"),"")</f>
      </c>
      <c r="B61" s="21"/>
      <c r="C61" s="22"/>
      <c r="D61" s="22"/>
      <c r="E61" s="23">
        <f>IF($B61&lt;&gt;"Challan","",IF(ROUND(AN61-AO61,2)&gt;0,"Over-applied",IF(ROUND(AN61-AO61,2)=0,"Fully Utilised","Unconsumed")))</f>
      </c>
      <c r="F61" s="24"/>
      <c r="G61" s="25"/>
      <c r="H61" s="25"/>
      <c r="I61" s="26"/>
      <c r="J61" s="26"/>
      <c r="K61" s="26"/>
      <c r="L61" s="26"/>
      <c r="M61" s="26"/>
      <c r="N61" s="26"/>
      <c r="O61" s="26"/>
      <c r="P61" s="27">
        <f>IF($B61&lt;&gt;"Challan","",I61+J61+K61+L61+M61+N61)</f>
      </c>
      <c r="Q61" s="25"/>
      <c r="R61" s="25"/>
      <c r="S61" s="25"/>
      <c r="T61" s="25"/>
      <c r="U61" s="25"/>
      <c r="V61" s="28"/>
      <c r="W61" s="28"/>
      <c r="X61" s="23">
        <f>IF($B61="Entry",IF(AND(LEN(TRIM(UPPER(W61)))=10,CODE(MID(TRIM(UPPER(W61)),1,1))&gt;=65,CODE(MID(TRIM(UPPER(W61)),1,1))&lt;=90,CODE(MID(TRIM(UPPER(W61)),2,1))&gt;=65,CODE(MID(TRIM(UPPER(W61)),2,1))&lt;=90,CODE(MID(TRIM(UPPER(W61)),3,1))&gt;=65,CODE(MID(TRIM(UPPER(W61)),3,1))&lt;=90,CODE(MID(TRIM(UPPER(W61)),4,1))&gt;=65,CODE(MID(TRIM(UPPER(W61)),4,1))&lt;=90,CODE(MID(TRIM(UPPER(W61)),5,1))&gt;=65,CODE(MID(TRIM(UPPER(W61)),5,1))&lt;=90,CODE(MID(TRIM(UPPER(W61)),10,1))&gt;=65,CODE(MID(TRIM(UPPER(W61)),10,1))&lt;=90,CODE(MID(TRIM(UPPER(W61)),6,1))&gt;=48,CODE(MID(TRIM(UPPER(W61)),6,1))&lt;=57,CODE(MID(TRIM(UPPER(W61)),7,1))&gt;=48,CODE(MID(TRIM(UPPER(W61)),7,1))&lt;=57,CODE(MID(TRIM(UPPER(W61)),8,1))&gt;=48,CODE(MID(TRIM(UPPER(W61)),8,1))&lt;=57,CODE(MID(TRIM(UPPER(W61)),9,1))&gt;=48,CODE(MID(TRIM(UPPER(W61)),9,1))&lt;=57),"N","Y"),IF($B61="Challan","",IF(W61&lt;&gt;"","◄ Set Row Type","")))</f>
      </c>
      <c r="Y61" s="23">
        <f>IF($B61="Entry",IF(LEN(W61)&lt;4,"",IF(UPPER(MID(W61,4,1))="P","Individual",IF(UPPER(MID(W61,4,1))="H","HUF",IF(UPPER(MID(W61,4,1))="C","Company",IF(UPPER(MID(W61,4,1))="F","Firm",IF(UPPER(MID(W61,4,1))="L","LLP",IF(UPPER(MID(W61,4,1))="T","Trust",IF(UPPER(MID(W61,4,1))="A","AOP","")))))))),IF($B61="Challan","",IF(W61&lt;&gt;"","◄ Set Row Type","")))</f>
      </c>
      <c r="Z61" s="28"/>
      <c r="AA61" s="29">
        <f>IF($B61&lt;&gt;"Entry","",IF(Z61="","",IF(X61="Y",SUMPRODUCT(('Rate Lookup'!$A$1:$A$37=Z61)*'Rate Lookup'!$D$1:$D$37),IF(OR(Y61="Individual",Y61="HUF"),SUMPRODUCT(('Rate Lookup'!$A$1:$A$37=Z61)*'Rate Lookup'!$B$1:$B$37),SUMPRODUCT(('Rate Lookup'!$A$1:$A$37=Z61)*'Rate Lookup'!$C$1:$C$37)))))</f>
      </c>
      <c r="AB61" s="30"/>
      <c r="AC61" s="31"/>
      <c r="AD61" s="27">
        <f>IF($B61&lt;&gt;"Entry","",ROUND(AC61*AA61/100,0))</f>
      </c>
      <c r="AE61" s="27">
        <f>IF($B61&lt;&gt;"Entry","",0)</f>
      </c>
      <c r="AF61" s="27">
        <f>IF($B61&lt;&gt;"Entry","",0)</f>
      </c>
      <c r="AG61" s="27">
        <f>IF($B61&lt;&gt;"Entry","",IF(OR(AD61=0,AB61="",AQ61="",AQ61&lt;=0),0,IF(AQ61&lt;=DATE(YEAR(AB61),MONTH(AB61)+1,7),0,ROUND(AD61*0.015*((YEAR(AQ61)-YEAR(AB61))*12+(MONTH(AQ61)-MONTH(AB61))+1),0))))</f>
      </c>
      <c r="AH61" s="27">
        <f>IF($B61&lt;&gt;"Entry","",0)</f>
      </c>
      <c r="AI61" s="28"/>
      <c r="AJ61" s="28"/>
      <c r="AK61" s="32"/>
      <c r="AL61" s="28"/>
      <c r="AM61" s="28"/>
      <c r="AN61" s="27">
        <f>IF($B61&lt;&gt;"Challan","",SUMIF('Q1 Data'!$D$4:$D$207,D61,'Q1 Data'!$AD$4:$AD$207)+SUMIF('Q1 Data'!$D$4:$D$207,D61,'Q1 Data'!$AG$4:$AG$207)+SUMIF('Q1 Data'!$D$4:$D$207,D61,'Q1 Data'!$AE$4:$AE$207)+SUMIF('Q2 Data'!$D$4:$D$207,D61,'Q2 Data'!$AD$4:$AD$207)+SUMIF('Q2 Data'!$D$4:$D$207,D61,'Q2 Data'!$AG$4:$AG$207)+SUMIF('Q2 Data'!$D$4:$D$207,D61,'Q2 Data'!$AE$4:$AE$207)+SUMIF('Q3 Data'!$D$4:$D$207,D61,'Q3 Data'!$AD$4:$AD$207)+SUMIF('Q3 Data'!$D$4:$D$207,D61,'Q3 Data'!$AG$4:$AG$207)+SUMIF('Q3 Data'!$D$4:$D$207,D61,'Q3 Data'!$AE$4:$AE$207)+SUMIF('Q4 Data'!$D$4:$D$207,D61,'Q4 Data'!$AD$4:$AD$207)+SUMIF('Q4 Data'!$D$4:$D$207,D61,'Q4 Data'!$AG$4:$AG$207)+SUMIF('Q4 Data'!$D$4:$D$207,D61,'Q4 Data'!$AE$4:$AE$207))</f>
      </c>
      <c r="AO61" s="27">
        <f>IF($B61&lt;&gt;"Challan","",P61-N61)</f>
      </c>
      <c r="AP61" s="27">
        <f>IF($B61&lt;&gt;"Challan","",MAX(0,AO61-AN61))</f>
      </c>
      <c r="AQ61" s="33">
        <f>IF($B61&lt;&gt;"Entry","",SUMPRODUCT(('Q1 Data'!$D$4:$D$207=D61)*('Q1 Data'!$B$4:$B$207="Challan")*'Q1 Data'!$F$4:$F$207)+SUMPRODUCT(('Q2 Data'!$D$4:$D$207=D61)*('Q2 Data'!$B$4:$B$207="Challan")*'Q2 Data'!$F$4:$F$207)+SUMPRODUCT(('Q3 Data'!$D$4:$D$207=D61)*('Q3 Data'!$B$4:$B$207="Challan")*'Q3 Data'!$F$4:$F$207)+SUMPRODUCT(('Q4 Data'!$D$4:$D$207=D61)*('Q4 Data'!$B$4:$B$207="Challan")*'Q4 Data'!$F$4:$F$207))</f>
      </c>
      <c r="AR61" s="34">
        <f>IF(OR($B61&lt;&gt;"Entry",Z61=""),FALSE,AND((SUMPRODUCT(('Q1 Data'!$D$4:$D$207=D61)*('Q1 Data'!$B$4:$B$207="Challan")*('Q1 Data'!$H$4:$H$207&lt;&gt;""))+SUMPRODUCT(('Q2 Data'!$D$4:$D$207=D61)*('Q2 Data'!$B$4:$B$207="Challan")*('Q2 Data'!$H$4:$H$207&lt;&gt;""))+SUMPRODUCT(('Q3 Data'!$D$4:$D$207=D61)*('Q3 Data'!$B$4:$B$207="Challan")*('Q3 Data'!$H$4:$H$207&lt;&gt;""))+SUMPRODUCT(('Q4 Data'!$D$4:$D$207=D61)*('Q4 Data'!$B$4:$B$207="Challan")*('Q4 Data'!$H$4:$H$207&lt;&gt;"")))&gt;0,(SUMPRODUCT(('Q1 Data'!$D$4:$D$207=D61)*('Q1 Data'!$B$4:$B$207="Challan")*('Q1 Data'!$H$4:$H$207=Z61))+SUMPRODUCT(('Q2 Data'!$D$4:$D$207=D61)*('Q2 Data'!$B$4:$B$207="Challan")*('Q2 Data'!$H$4:$H$207=Z61))+SUMPRODUCT(('Q3 Data'!$D$4:$D$207=D61)*('Q3 Data'!$B$4:$B$207="Challan")*('Q3 Data'!$H$4:$H$207=Z61))+SUMPRODUCT(('Q4 Data'!$D$4:$D$207=D61)*('Q4 Data'!$B$4:$B$207="Challan")*('Q4 Data'!$H$4:$H$207=Z61)))=0))</f>
      </c>
    </row>
    <row r="62" spans="1:44" x14ac:dyDescent="0.25">
      <c r="A62" s="20">
        <f>IF($B62="Entry",COUNTIF($B$4:$B62,"Entry"),"")</f>
      </c>
      <c r="B62" s="21"/>
      <c r="C62" s="22"/>
      <c r="D62" s="22"/>
      <c r="E62" s="23">
        <f>IF($B62&lt;&gt;"Challan","",IF(ROUND(AN62-AO62,2)&gt;0,"Over-applied",IF(ROUND(AN62-AO62,2)=0,"Fully Utilised","Unconsumed")))</f>
      </c>
      <c r="F62" s="24"/>
      <c r="G62" s="25"/>
      <c r="H62" s="25"/>
      <c r="I62" s="26"/>
      <c r="J62" s="26"/>
      <c r="K62" s="26"/>
      <c r="L62" s="26"/>
      <c r="M62" s="26"/>
      <c r="N62" s="26"/>
      <c r="O62" s="26"/>
      <c r="P62" s="27">
        <f>IF($B62&lt;&gt;"Challan","",I62+J62+K62+L62+M62+N62)</f>
      </c>
      <c r="Q62" s="25"/>
      <c r="R62" s="25"/>
      <c r="S62" s="25"/>
      <c r="T62" s="25"/>
      <c r="U62" s="25"/>
      <c r="V62" s="28"/>
      <c r="W62" s="28"/>
      <c r="X62" s="23">
        <f>IF($B62="Entry",IF(AND(LEN(TRIM(UPPER(W62)))=10,CODE(MID(TRIM(UPPER(W62)),1,1))&gt;=65,CODE(MID(TRIM(UPPER(W62)),1,1))&lt;=90,CODE(MID(TRIM(UPPER(W62)),2,1))&gt;=65,CODE(MID(TRIM(UPPER(W62)),2,1))&lt;=90,CODE(MID(TRIM(UPPER(W62)),3,1))&gt;=65,CODE(MID(TRIM(UPPER(W62)),3,1))&lt;=90,CODE(MID(TRIM(UPPER(W62)),4,1))&gt;=65,CODE(MID(TRIM(UPPER(W62)),4,1))&lt;=90,CODE(MID(TRIM(UPPER(W62)),5,1))&gt;=65,CODE(MID(TRIM(UPPER(W62)),5,1))&lt;=90,CODE(MID(TRIM(UPPER(W62)),10,1))&gt;=65,CODE(MID(TRIM(UPPER(W62)),10,1))&lt;=90,CODE(MID(TRIM(UPPER(W62)),6,1))&gt;=48,CODE(MID(TRIM(UPPER(W62)),6,1))&lt;=57,CODE(MID(TRIM(UPPER(W62)),7,1))&gt;=48,CODE(MID(TRIM(UPPER(W62)),7,1))&lt;=57,CODE(MID(TRIM(UPPER(W62)),8,1))&gt;=48,CODE(MID(TRIM(UPPER(W62)),8,1))&lt;=57,CODE(MID(TRIM(UPPER(W62)),9,1))&gt;=48,CODE(MID(TRIM(UPPER(W62)),9,1))&lt;=57),"N","Y"),IF($B62="Challan","",IF(W62&lt;&gt;"","◄ Set Row Type","")))</f>
      </c>
      <c r="Y62" s="23">
        <f>IF($B62="Entry",IF(LEN(W62)&lt;4,"",IF(UPPER(MID(W62,4,1))="P","Individual",IF(UPPER(MID(W62,4,1))="H","HUF",IF(UPPER(MID(W62,4,1))="C","Company",IF(UPPER(MID(W62,4,1))="F","Firm",IF(UPPER(MID(W62,4,1))="L","LLP",IF(UPPER(MID(W62,4,1))="T","Trust",IF(UPPER(MID(W62,4,1))="A","AOP","")))))))),IF($B62="Challan","",IF(W62&lt;&gt;"","◄ Set Row Type","")))</f>
      </c>
      <c r="Z62" s="28"/>
      <c r="AA62" s="29">
        <f>IF($B62&lt;&gt;"Entry","",IF(Z62="","",IF(X62="Y",SUMPRODUCT(('Rate Lookup'!$A$1:$A$37=Z62)*'Rate Lookup'!$D$1:$D$37),IF(OR(Y62="Individual",Y62="HUF"),SUMPRODUCT(('Rate Lookup'!$A$1:$A$37=Z62)*'Rate Lookup'!$B$1:$B$37),SUMPRODUCT(('Rate Lookup'!$A$1:$A$37=Z62)*'Rate Lookup'!$C$1:$C$37)))))</f>
      </c>
      <c r="AB62" s="30"/>
      <c r="AC62" s="31"/>
      <c r="AD62" s="27">
        <f>IF($B62&lt;&gt;"Entry","",ROUND(AC62*AA62/100,0))</f>
      </c>
      <c r="AE62" s="27">
        <f>IF($B62&lt;&gt;"Entry","",0)</f>
      </c>
      <c r="AF62" s="27">
        <f>IF($B62&lt;&gt;"Entry","",0)</f>
      </c>
      <c r="AG62" s="27">
        <f>IF($B62&lt;&gt;"Entry","",IF(OR(AD62=0,AB62="",AQ62="",AQ62&lt;=0),0,IF(AQ62&lt;=DATE(YEAR(AB62),MONTH(AB62)+1,7),0,ROUND(AD62*0.015*((YEAR(AQ62)-YEAR(AB62))*12+(MONTH(AQ62)-MONTH(AB62))+1),0))))</f>
      </c>
      <c r="AH62" s="27">
        <f>IF($B62&lt;&gt;"Entry","",0)</f>
      </c>
      <c r="AI62" s="28"/>
      <c r="AJ62" s="28"/>
      <c r="AK62" s="32"/>
      <c r="AL62" s="28"/>
      <c r="AM62" s="28"/>
      <c r="AN62" s="27">
        <f>IF($B62&lt;&gt;"Challan","",SUMIF('Q1 Data'!$D$4:$D$207,D62,'Q1 Data'!$AD$4:$AD$207)+SUMIF('Q1 Data'!$D$4:$D$207,D62,'Q1 Data'!$AG$4:$AG$207)+SUMIF('Q1 Data'!$D$4:$D$207,D62,'Q1 Data'!$AE$4:$AE$207)+SUMIF('Q2 Data'!$D$4:$D$207,D62,'Q2 Data'!$AD$4:$AD$207)+SUMIF('Q2 Data'!$D$4:$D$207,D62,'Q2 Data'!$AG$4:$AG$207)+SUMIF('Q2 Data'!$D$4:$D$207,D62,'Q2 Data'!$AE$4:$AE$207)+SUMIF('Q3 Data'!$D$4:$D$207,D62,'Q3 Data'!$AD$4:$AD$207)+SUMIF('Q3 Data'!$D$4:$D$207,D62,'Q3 Data'!$AG$4:$AG$207)+SUMIF('Q3 Data'!$D$4:$D$207,D62,'Q3 Data'!$AE$4:$AE$207)+SUMIF('Q4 Data'!$D$4:$D$207,D62,'Q4 Data'!$AD$4:$AD$207)+SUMIF('Q4 Data'!$D$4:$D$207,D62,'Q4 Data'!$AG$4:$AG$207)+SUMIF('Q4 Data'!$D$4:$D$207,D62,'Q4 Data'!$AE$4:$AE$207))</f>
      </c>
      <c r="AO62" s="27">
        <f>IF($B62&lt;&gt;"Challan","",P62-N62)</f>
      </c>
      <c r="AP62" s="27">
        <f>IF($B62&lt;&gt;"Challan","",MAX(0,AO62-AN62))</f>
      </c>
      <c r="AQ62" s="33">
        <f>IF($B62&lt;&gt;"Entry","",SUMPRODUCT(('Q1 Data'!$D$4:$D$207=D62)*('Q1 Data'!$B$4:$B$207="Challan")*'Q1 Data'!$F$4:$F$207)+SUMPRODUCT(('Q2 Data'!$D$4:$D$207=D62)*('Q2 Data'!$B$4:$B$207="Challan")*'Q2 Data'!$F$4:$F$207)+SUMPRODUCT(('Q3 Data'!$D$4:$D$207=D62)*('Q3 Data'!$B$4:$B$207="Challan")*'Q3 Data'!$F$4:$F$207)+SUMPRODUCT(('Q4 Data'!$D$4:$D$207=D62)*('Q4 Data'!$B$4:$B$207="Challan")*'Q4 Data'!$F$4:$F$207))</f>
      </c>
      <c r="AR62" s="34">
        <f>IF(OR($B62&lt;&gt;"Entry",Z62=""),FALSE,AND((SUMPRODUCT(('Q1 Data'!$D$4:$D$207=D62)*('Q1 Data'!$B$4:$B$207="Challan")*('Q1 Data'!$H$4:$H$207&lt;&gt;""))+SUMPRODUCT(('Q2 Data'!$D$4:$D$207=D62)*('Q2 Data'!$B$4:$B$207="Challan")*('Q2 Data'!$H$4:$H$207&lt;&gt;""))+SUMPRODUCT(('Q3 Data'!$D$4:$D$207=D62)*('Q3 Data'!$B$4:$B$207="Challan")*('Q3 Data'!$H$4:$H$207&lt;&gt;""))+SUMPRODUCT(('Q4 Data'!$D$4:$D$207=D62)*('Q4 Data'!$B$4:$B$207="Challan")*('Q4 Data'!$H$4:$H$207&lt;&gt;"")))&gt;0,(SUMPRODUCT(('Q1 Data'!$D$4:$D$207=D62)*('Q1 Data'!$B$4:$B$207="Challan")*('Q1 Data'!$H$4:$H$207=Z62))+SUMPRODUCT(('Q2 Data'!$D$4:$D$207=D62)*('Q2 Data'!$B$4:$B$207="Challan")*('Q2 Data'!$H$4:$H$207=Z62))+SUMPRODUCT(('Q3 Data'!$D$4:$D$207=D62)*('Q3 Data'!$B$4:$B$207="Challan")*('Q3 Data'!$H$4:$H$207=Z62))+SUMPRODUCT(('Q4 Data'!$D$4:$D$207=D62)*('Q4 Data'!$B$4:$B$207="Challan")*('Q4 Data'!$H$4:$H$207=Z62)))=0))</f>
      </c>
    </row>
    <row r="63" spans="1:44" x14ac:dyDescent="0.25">
      <c r="A63" s="20">
        <f>IF($B63="Entry",COUNTIF($B$4:$B63,"Entry"),"")</f>
      </c>
      <c r="B63" s="21"/>
      <c r="C63" s="22"/>
      <c r="D63" s="22"/>
      <c r="E63" s="23">
        <f>IF($B63&lt;&gt;"Challan","",IF(ROUND(AN63-AO63,2)&gt;0,"Over-applied",IF(ROUND(AN63-AO63,2)=0,"Fully Utilised","Unconsumed")))</f>
      </c>
      <c r="F63" s="24"/>
      <c r="G63" s="25"/>
      <c r="H63" s="25"/>
      <c r="I63" s="26"/>
      <c r="J63" s="26"/>
      <c r="K63" s="26"/>
      <c r="L63" s="26"/>
      <c r="M63" s="26"/>
      <c r="N63" s="26"/>
      <c r="O63" s="26"/>
      <c r="P63" s="27">
        <f>IF($B63&lt;&gt;"Challan","",I63+J63+K63+L63+M63+N63)</f>
      </c>
      <c r="Q63" s="25"/>
      <c r="R63" s="25"/>
      <c r="S63" s="25"/>
      <c r="T63" s="25"/>
      <c r="U63" s="25"/>
      <c r="V63" s="28"/>
      <c r="W63" s="28"/>
      <c r="X63" s="23">
        <f>IF($B63="Entry",IF(AND(LEN(TRIM(UPPER(W63)))=10,CODE(MID(TRIM(UPPER(W63)),1,1))&gt;=65,CODE(MID(TRIM(UPPER(W63)),1,1))&lt;=90,CODE(MID(TRIM(UPPER(W63)),2,1))&gt;=65,CODE(MID(TRIM(UPPER(W63)),2,1))&lt;=90,CODE(MID(TRIM(UPPER(W63)),3,1))&gt;=65,CODE(MID(TRIM(UPPER(W63)),3,1))&lt;=90,CODE(MID(TRIM(UPPER(W63)),4,1))&gt;=65,CODE(MID(TRIM(UPPER(W63)),4,1))&lt;=90,CODE(MID(TRIM(UPPER(W63)),5,1))&gt;=65,CODE(MID(TRIM(UPPER(W63)),5,1))&lt;=90,CODE(MID(TRIM(UPPER(W63)),10,1))&gt;=65,CODE(MID(TRIM(UPPER(W63)),10,1))&lt;=90,CODE(MID(TRIM(UPPER(W63)),6,1))&gt;=48,CODE(MID(TRIM(UPPER(W63)),6,1))&lt;=57,CODE(MID(TRIM(UPPER(W63)),7,1))&gt;=48,CODE(MID(TRIM(UPPER(W63)),7,1))&lt;=57,CODE(MID(TRIM(UPPER(W63)),8,1))&gt;=48,CODE(MID(TRIM(UPPER(W63)),8,1))&lt;=57,CODE(MID(TRIM(UPPER(W63)),9,1))&gt;=48,CODE(MID(TRIM(UPPER(W63)),9,1))&lt;=57),"N","Y"),IF($B63="Challan","",IF(W63&lt;&gt;"","◄ Set Row Type","")))</f>
      </c>
      <c r="Y63" s="23">
        <f>IF($B63="Entry",IF(LEN(W63)&lt;4,"",IF(UPPER(MID(W63,4,1))="P","Individual",IF(UPPER(MID(W63,4,1))="H","HUF",IF(UPPER(MID(W63,4,1))="C","Company",IF(UPPER(MID(W63,4,1))="F","Firm",IF(UPPER(MID(W63,4,1))="L","LLP",IF(UPPER(MID(W63,4,1))="T","Trust",IF(UPPER(MID(W63,4,1))="A","AOP","")))))))),IF($B63="Challan","",IF(W63&lt;&gt;"","◄ Set Row Type","")))</f>
      </c>
      <c r="Z63" s="28"/>
      <c r="AA63" s="29">
        <f>IF($B63&lt;&gt;"Entry","",IF(Z63="","",IF(X63="Y",SUMPRODUCT(('Rate Lookup'!$A$1:$A$37=Z63)*'Rate Lookup'!$D$1:$D$37),IF(OR(Y63="Individual",Y63="HUF"),SUMPRODUCT(('Rate Lookup'!$A$1:$A$37=Z63)*'Rate Lookup'!$B$1:$B$37),SUMPRODUCT(('Rate Lookup'!$A$1:$A$37=Z63)*'Rate Lookup'!$C$1:$C$37)))))</f>
      </c>
      <c r="AB63" s="30"/>
      <c r="AC63" s="31"/>
      <c r="AD63" s="27">
        <f>IF($B63&lt;&gt;"Entry","",ROUND(AC63*AA63/100,0))</f>
      </c>
      <c r="AE63" s="27">
        <f>IF($B63&lt;&gt;"Entry","",0)</f>
      </c>
      <c r="AF63" s="27">
        <f>IF($B63&lt;&gt;"Entry","",0)</f>
      </c>
      <c r="AG63" s="27">
        <f>IF($B63&lt;&gt;"Entry","",IF(OR(AD63=0,AB63="",AQ63="",AQ63&lt;=0),0,IF(AQ63&lt;=DATE(YEAR(AB63),MONTH(AB63)+1,7),0,ROUND(AD63*0.015*((YEAR(AQ63)-YEAR(AB63))*12+(MONTH(AQ63)-MONTH(AB63))+1),0))))</f>
      </c>
      <c r="AH63" s="27">
        <f>IF($B63&lt;&gt;"Entry","",0)</f>
      </c>
      <c r="AI63" s="28"/>
      <c r="AJ63" s="28"/>
      <c r="AK63" s="32"/>
      <c r="AL63" s="28"/>
      <c r="AM63" s="28"/>
      <c r="AN63" s="27">
        <f>IF($B63&lt;&gt;"Challan","",SUMIF('Q1 Data'!$D$4:$D$207,D63,'Q1 Data'!$AD$4:$AD$207)+SUMIF('Q1 Data'!$D$4:$D$207,D63,'Q1 Data'!$AG$4:$AG$207)+SUMIF('Q1 Data'!$D$4:$D$207,D63,'Q1 Data'!$AE$4:$AE$207)+SUMIF('Q2 Data'!$D$4:$D$207,D63,'Q2 Data'!$AD$4:$AD$207)+SUMIF('Q2 Data'!$D$4:$D$207,D63,'Q2 Data'!$AG$4:$AG$207)+SUMIF('Q2 Data'!$D$4:$D$207,D63,'Q2 Data'!$AE$4:$AE$207)+SUMIF('Q3 Data'!$D$4:$D$207,D63,'Q3 Data'!$AD$4:$AD$207)+SUMIF('Q3 Data'!$D$4:$D$207,D63,'Q3 Data'!$AG$4:$AG$207)+SUMIF('Q3 Data'!$D$4:$D$207,D63,'Q3 Data'!$AE$4:$AE$207)+SUMIF('Q4 Data'!$D$4:$D$207,D63,'Q4 Data'!$AD$4:$AD$207)+SUMIF('Q4 Data'!$D$4:$D$207,D63,'Q4 Data'!$AG$4:$AG$207)+SUMIF('Q4 Data'!$D$4:$D$207,D63,'Q4 Data'!$AE$4:$AE$207))</f>
      </c>
      <c r="AO63" s="27">
        <f>IF($B63&lt;&gt;"Challan","",P63-N63)</f>
      </c>
      <c r="AP63" s="27">
        <f>IF($B63&lt;&gt;"Challan","",MAX(0,AO63-AN63))</f>
      </c>
      <c r="AQ63" s="33">
        <f>IF($B63&lt;&gt;"Entry","",SUMPRODUCT(('Q1 Data'!$D$4:$D$207=D63)*('Q1 Data'!$B$4:$B$207="Challan")*'Q1 Data'!$F$4:$F$207)+SUMPRODUCT(('Q2 Data'!$D$4:$D$207=D63)*('Q2 Data'!$B$4:$B$207="Challan")*'Q2 Data'!$F$4:$F$207)+SUMPRODUCT(('Q3 Data'!$D$4:$D$207=D63)*('Q3 Data'!$B$4:$B$207="Challan")*'Q3 Data'!$F$4:$F$207)+SUMPRODUCT(('Q4 Data'!$D$4:$D$207=D63)*('Q4 Data'!$B$4:$B$207="Challan")*'Q4 Data'!$F$4:$F$207))</f>
      </c>
      <c r="AR63" s="34">
        <f>IF(OR($B63&lt;&gt;"Entry",Z63=""),FALSE,AND((SUMPRODUCT(('Q1 Data'!$D$4:$D$207=D63)*('Q1 Data'!$B$4:$B$207="Challan")*('Q1 Data'!$H$4:$H$207&lt;&gt;""))+SUMPRODUCT(('Q2 Data'!$D$4:$D$207=D63)*('Q2 Data'!$B$4:$B$207="Challan")*('Q2 Data'!$H$4:$H$207&lt;&gt;""))+SUMPRODUCT(('Q3 Data'!$D$4:$D$207=D63)*('Q3 Data'!$B$4:$B$207="Challan")*('Q3 Data'!$H$4:$H$207&lt;&gt;""))+SUMPRODUCT(('Q4 Data'!$D$4:$D$207=D63)*('Q4 Data'!$B$4:$B$207="Challan")*('Q4 Data'!$H$4:$H$207&lt;&gt;"")))&gt;0,(SUMPRODUCT(('Q1 Data'!$D$4:$D$207=D63)*('Q1 Data'!$B$4:$B$207="Challan")*('Q1 Data'!$H$4:$H$207=Z63))+SUMPRODUCT(('Q2 Data'!$D$4:$D$207=D63)*('Q2 Data'!$B$4:$B$207="Challan")*('Q2 Data'!$H$4:$H$207=Z63))+SUMPRODUCT(('Q3 Data'!$D$4:$D$207=D63)*('Q3 Data'!$B$4:$B$207="Challan")*('Q3 Data'!$H$4:$H$207=Z63))+SUMPRODUCT(('Q4 Data'!$D$4:$D$207=D63)*('Q4 Data'!$B$4:$B$207="Challan")*('Q4 Data'!$H$4:$H$207=Z63)))=0))</f>
      </c>
    </row>
    <row r="64" spans="1:44" x14ac:dyDescent="0.25">
      <c r="A64" s="20">
        <f>IF($B64="Entry",COUNTIF($B$4:$B64,"Entry"),"")</f>
      </c>
      <c r="B64" s="21"/>
      <c r="C64" s="22"/>
      <c r="D64" s="22"/>
      <c r="E64" s="23">
        <f>IF($B64&lt;&gt;"Challan","",IF(ROUND(AN64-AO64,2)&gt;0,"Over-applied",IF(ROUND(AN64-AO64,2)=0,"Fully Utilised","Unconsumed")))</f>
      </c>
      <c r="F64" s="24"/>
      <c r="G64" s="25"/>
      <c r="H64" s="25"/>
      <c r="I64" s="26"/>
      <c r="J64" s="26"/>
      <c r="K64" s="26"/>
      <c r="L64" s="26"/>
      <c r="M64" s="26"/>
      <c r="N64" s="26"/>
      <c r="O64" s="26"/>
      <c r="P64" s="27">
        <f>IF($B64&lt;&gt;"Challan","",I64+J64+K64+L64+M64+N64)</f>
      </c>
      <c r="Q64" s="25"/>
      <c r="R64" s="25"/>
      <c r="S64" s="25"/>
      <c r="T64" s="25"/>
      <c r="U64" s="25"/>
      <c r="V64" s="28"/>
      <c r="W64" s="28"/>
      <c r="X64" s="23">
        <f>IF($B64="Entry",IF(AND(LEN(TRIM(UPPER(W64)))=10,CODE(MID(TRIM(UPPER(W64)),1,1))&gt;=65,CODE(MID(TRIM(UPPER(W64)),1,1))&lt;=90,CODE(MID(TRIM(UPPER(W64)),2,1))&gt;=65,CODE(MID(TRIM(UPPER(W64)),2,1))&lt;=90,CODE(MID(TRIM(UPPER(W64)),3,1))&gt;=65,CODE(MID(TRIM(UPPER(W64)),3,1))&lt;=90,CODE(MID(TRIM(UPPER(W64)),4,1))&gt;=65,CODE(MID(TRIM(UPPER(W64)),4,1))&lt;=90,CODE(MID(TRIM(UPPER(W64)),5,1))&gt;=65,CODE(MID(TRIM(UPPER(W64)),5,1))&lt;=90,CODE(MID(TRIM(UPPER(W64)),10,1))&gt;=65,CODE(MID(TRIM(UPPER(W64)),10,1))&lt;=90,CODE(MID(TRIM(UPPER(W64)),6,1))&gt;=48,CODE(MID(TRIM(UPPER(W64)),6,1))&lt;=57,CODE(MID(TRIM(UPPER(W64)),7,1))&gt;=48,CODE(MID(TRIM(UPPER(W64)),7,1))&lt;=57,CODE(MID(TRIM(UPPER(W64)),8,1))&gt;=48,CODE(MID(TRIM(UPPER(W64)),8,1))&lt;=57,CODE(MID(TRIM(UPPER(W64)),9,1))&gt;=48,CODE(MID(TRIM(UPPER(W64)),9,1))&lt;=57),"N","Y"),IF($B64="Challan","",IF(W64&lt;&gt;"","◄ Set Row Type","")))</f>
      </c>
      <c r="Y64" s="23">
        <f>IF($B64="Entry",IF(LEN(W64)&lt;4,"",IF(UPPER(MID(W64,4,1))="P","Individual",IF(UPPER(MID(W64,4,1))="H","HUF",IF(UPPER(MID(W64,4,1))="C","Company",IF(UPPER(MID(W64,4,1))="F","Firm",IF(UPPER(MID(W64,4,1))="L","LLP",IF(UPPER(MID(W64,4,1))="T","Trust",IF(UPPER(MID(W64,4,1))="A","AOP","")))))))),IF($B64="Challan","",IF(W64&lt;&gt;"","◄ Set Row Type","")))</f>
      </c>
      <c r="Z64" s="28"/>
      <c r="AA64" s="29">
        <f>IF($B64&lt;&gt;"Entry","",IF(Z64="","",IF(X64="Y",SUMPRODUCT(('Rate Lookup'!$A$1:$A$37=Z64)*'Rate Lookup'!$D$1:$D$37),IF(OR(Y64="Individual",Y64="HUF"),SUMPRODUCT(('Rate Lookup'!$A$1:$A$37=Z64)*'Rate Lookup'!$B$1:$B$37),SUMPRODUCT(('Rate Lookup'!$A$1:$A$37=Z64)*'Rate Lookup'!$C$1:$C$37)))))</f>
      </c>
      <c r="AB64" s="30"/>
      <c r="AC64" s="31"/>
      <c r="AD64" s="27">
        <f>IF($B64&lt;&gt;"Entry","",ROUND(AC64*AA64/100,0))</f>
      </c>
      <c r="AE64" s="27">
        <f>IF($B64&lt;&gt;"Entry","",0)</f>
      </c>
      <c r="AF64" s="27">
        <f>IF($B64&lt;&gt;"Entry","",0)</f>
      </c>
      <c r="AG64" s="27">
        <f>IF($B64&lt;&gt;"Entry","",IF(OR(AD64=0,AB64="",AQ64="",AQ64&lt;=0),0,IF(AQ64&lt;=DATE(YEAR(AB64),MONTH(AB64)+1,7),0,ROUND(AD64*0.015*((YEAR(AQ64)-YEAR(AB64))*12+(MONTH(AQ64)-MONTH(AB64))+1),0))))</f>
      </c>
      <c r="AH64" s="27">
        <f>IF($B64&lt;&gt;"Entry","",0)</f>
      </c>
      <c r="AI64" s="28"/>
      <c r="AJ64" s="28"/>
      <c r="AK64" s="32"/>
      <c r="AL64" s="28"/>
      <c r="AM64" s="28"/>
      <c r="AN64" s="27">
        <f>IF($B64&lt;&gt;"Challan","",SUMIF('Q1 Data'!$D$4:$D$207,D64,'Q1 Data'!$AD$4:$AD$207)+SUMIF('Q1 Data'!$D$4:$D$207,D64,'Q1 Data'!$AG$4:$AG$207)+SUMIF('Q1 Data'!$D$4:$D$207,D64,'Q1 Data'!$AE$4:$AE$207)+SUMIF('Q2 Data'!$D$4:$D$207,D64,'Q2 Data'!$AD$4:$AD$207)+SUMIF('Q2 Data'!$D$4:$D$207,D64,'Q2 Data'!$AG$4:$AG$207)+SUMIF('Q2 Data'!$D$4:$D$207,D64,'Q2 Data'!$AE$4:$AE$207)+SUMIF('Q3 Data'!$D$4:$D$207,D64,'Q3 Data'!$AD$4:$AD$207)+SUMIF('Q3 Data'!$D$4:$D$207,D64,'Q3 Data'!$AG$4:$AG$207)+SUMIF('Q3 Data'!$D$4:$D$207,D64,'Q3 Data'!$AE$4:$AE$207)+SUMIF('Q4 Data'!$D$4:$D$207,D64,'Q4 Data'!$AD$4:$AD$207)+SUMIF('Q4 Data'!$D$4:$D$207,D64,'Q4 Data'!$AG$4:$AG$207)+SUMIF('Q4 Data'!$D$4:$D$207,D64,'Q4 Data'!$AE$4:$AE$207))</f>
      </c>
      <c r="AO64" s="27">
        <f>IF($B64&lt;&gt;"Challan","",P64-N64)</f>
      </c>
      <c r="AP64" s="27">
        <f>IF($B64&lt;&gt;"Challan","",MAX(0,AO64-AN64))</f>
      </c>
      <c r="AQ64" s="33">
        <f>IF($B64&lt;&gt;"Entry","",SUMPRODUCT(('Q1 Data'!$D$4:$D$207=D64)*('Q1 Data'!$B$4:$B$207="Challan")*'Q1 Data'!$F$4:$F$207)+SUMPRODUCT(('Q2 Data'!$D$4:$D$207=D64)*('Q2 Data'!$B$4:$B$207="Challan")*'Q2 Data'!$F$4:$F$207)+SUMPRODUCT(('Q3 Data'!$D$4:$D$207=D64)*('Q3 Data'!$B$4:$B$207="Challan")*'Q3 Data'!$F$4:$F$207)+SUMPRODUCT(('Q4 Data'!$D$4:$D$207=D64)*('Q4 Data'!$B$4:$B$207="Challan")*'Q4 Data'!$F$4:$F$207))</f>
      </c>
      <c r="AR64" s="34">
        <f>IF(OR($B64&lt;&gt;"Entry",Z64=""),FALSE,AND((SUMPRODUCT(('Q1 Data'!$D$4:$D$207=D64)*('Q1 Data'!$B$4:$B$207="Challan")*('Q1 Data'!$H$4:$H$207&lt;&gt;""))+SUMPRODUCT(('Q2 Data'!$D$4:$D$207=D64)*('Q2 Data'!$B$4:$B$207="Challan")*('Q2 Data'!$H$4:$H$207&lt;&gt;""))+SUMPRODUCT(('Q3 Data'!$D$4:$D$207=D64)*('Q3 Data'!$B$4:$B$207="Challan")*('Q3 Data'!$H$4:$H$207&lt;&gt;""))+SUMPRODUCT(('Q4 Data'!$D$4:$D$207=D64)*('Q4 Data'!$B$4:$B$207="Challan")*('Q4 Data'!$H$4:$H$207&lt;&gt;"")))&gt;0,(SUMPRODUCT(('Q1 Data'!$D$4:$D$207=D64)*('Q1 Data'!$B$4:$B$207="Challan")*('Q1 Data'!$H$4:$H$207=Z64))+SUMPRODUCT(('Q2 Data'!$D$4:$D$207=D64)*('Q2 Data'!$B$4:$B$207="Challan")*('Q2 Data'!$H$4:$H$207=Z64))+SUMPRODUCT(('Q3 Data'!$D$4:$D$207=D64)*('Q3 Data'!$B$4:$B$207="Challan")*('Q3 Data'!$H$4:$H$207=Z64))+SUMPRODUCT(('Q4 Data'!$D$4:$D$207=D64)*('Q4 Data'!$B$4:$B$207="Challan")*('Q4 Data'!$H$4:$H$207=Z64)))=0))</f>
      </c>
    </row>
    <row r="65" spans="1:44" x14ac:dyDescent="0.25">
      <c r="A65" s="20">
        <f>IF($B65="Entry",COUNTIF($B$4:$B65,"Entry"),"")</f>
      </c>
      <c r="B65" s="21"/>
      <c r="C65" s="22"/>
      <c r="D65" s="22"/>
      <c r="E65" s="23">
        <f>IF($B65&lt;&gt;"Challan","",IF(ROUND(AN65-AO65,2)&gt;0,"Over-applied",IF(ROUND(AN65-AO65,2)=0,"Fully Utilised","Unconsumed")))</f>
      </c>
      <c r="F65" s="24"/>
      <c r="G65" s="25"/>
      <c r="H65" s="25"/>
      <c r="I65" s="26"/>
      <c r="J65" s="26"/>
      <c r="K65" s="26"/>
      <c r="L65" s="26"/>
      <c r="M65" s="26"/>
      <c r="N65" s="26"/>
      <c r="O65" s="26"/>
      <c r="P65" s="27">
        <f>IF($B65&lt;&gt;"Challan","",I65+J65+K65+L65+M65+N65)</f>
      </c>
      <c r="Q65" s="25"/>
      <c r="R65" s="25"/>
      <c r="S65" s="25"/>
      <c r="T65" s="25"/>
      <c r="U65" s="25"/>
      <c r="V65" s="28"/>
      <c r="W65" s="28"/>
      <c r="X65" s="23">
        <f>IF($B65="Entry",IF(AND(LEN(TRIM(UPPER(W65)))=10,CODE(MID(TRIM(UPPER(W65)),1,1))&gt;=65,CODE(MID(TRIM(UPPER(W65)),1,1))&lt;=90,CODE(MID(TRIM(UPPER(W65)),2,1))&gt;=65,CODE(MID(TRIM(UPPER(W65)),2,1))&lt;=90,CODE(MID(TRIM(UPPER(W65)),3,1))&gt;=65,CODE(MID(TRIM(UPPER(W65)),3,1))&lt;=90,CODE(MID(TRIM(UPPER(W65)),4,1))&gt;=65,CODE(MID(TRIM(UPPER(W65)),4,1))&lt;=90,CODE(MID(TRIM(UPPER(W65)),5,1))&gt;=65,CODE(MID(TRIM(UPPER(W65)),5,1))&lt;=90,CODE(MID(TRIM(UPPER(W65)),10,1))&gt;=65,CODE(MID(TRIM(UPPER(W65)),10,1))&lt;=90,CODE(MID(TRIM(UPPER(W65)),6,1))&gt;=48,CODE(MID(TRIM(UPPER(W65)),6,1))&lt;=57,CODE(MID(TRIM(UPPER(W65)),7,1))&gt;=48,CODE(MID(TRIM(UPPER(W65)),7,1))&lt;=57,CODE(MID(TRIM(UPPER(W65)),8,1))&gt;=48,CODE(MID(TRIM(UPPER(W65)),8,1))&lt;=57,CODE(MID(TRIM(UPPER(W65)),9,1))&gt;=48,CODE(MID(TRIM(UPPER(W65)),9,1))&lt;=57),"N","Y"),IF($B65="Challan","",IF(W65&lt;&gt;"","◄ Set Row Type","")))</f>
      </c>
      <c r="Y65" s="23">
        <f>IF($B65="Entry",IF(LEN(W65)&lt;4,"",IF(UPPER(MID(W65,4,1))="P","Individual",IF(UPPER(MID(W65,4,1))="H","HUF",IF(UPPER(MID(W65,4,1))="C","Company",IF(UPPER(MID(W65,4,1))="F","Firm",IF(UPPER(MID(W65,4,1))="L","LLP",IF(UPPER(MID(W65,4,1))="T","Trust",IF(UPPER(MID(W65,4,1))="A","AOP","")))))))),IF($B65="Challan","",IF(W65&lt;&gt;"","◄ Set Row Type","")))</f>
      </c>
      <c r="Z65" s="28"/>
      <c r="AA65" s="29">
        <f>IF($B65&lt;&gt;"Entry","",IF(Z65="","",IF(X65="Y",SUMPRODUCT(('Rate Lookup'!$A$1:$A$37=Z65)*'Rate Lookup'!$D$1:$D$37),IF(OR(Y65="Individual",Y65="HUF"),SUMPRODUCT(('Rate Lookup'!$A$1:$A$37=Z65)*'Rate Lookup'!$B$1:$B$37),SUMPRODUCT(('Rate Lookup'!$A$1:$A$37=Z65)*'Rate Lookup'!$C$1:$C$37)))))</f>
      </c>
      <c r="AB65" s="30"/>
      <c r="AC65" s="31"/>
      <c r="AD65" s="27">
        <f>IF($B65&lt;&gt;"Entry","",ROUND(AC65*AA65/100,0))</f>
      </c>
      <c r="AE65" s="27">
        <f>IF($B65&lt;&gt;"Entry","",0)</f>
      </c>
      <c r="AF65" s="27">
        <f>IF($B65&lt;&gt;"Entry","",0)</f>
      </c>
      <c r="AG65" s="27">
        <f>IF($B65&lt;&gt;"Entry","",IF(OR(AD65=0,AB65="",AQ65="",AQ65&lt;=0),0,IF(AQ65&lt;=DATE(YEAR(AB65),MONTH(AB65)+1,7),0,ROUND(AD65*0.015*((YEAR(AQ65)-YEAR(AB65))*12+(MONTH(AQ65)-MONTH(AB65))+1),0))))</f>
      </c>
      <c r="AH65" s="27">
        <f>IF($B65&lt;&gt;"Entry","",0)</f>
      </c>
      <c r="AI65" s="28"/>
      <c r="AJ65" s="28"/>
      <c r="AK65" s="32"/>
      <c r="AL65" s="28"/>
      <c r="AM65" s="28"/>
      <c r="AN65" s="27">
        <f>IF($B65&lt;&gt;"Challan","",SUMIF('Q1 Data'!$D$4:$D$207,D65,'Q1 Data'!$AD$4:$AD$207)+SUMIF('Q1 Data'!$D$4:$D$207,D65,'Q1 Data'!$AG$4:$AG$207)+SUMIF('Q1 Data'!$D$4:$D$207,D65,'Q1 Data'!$AE$4:$AE$207)+SUMIF('Q2 Data'!$D$4:$D$207,D65,'Q2 Data'!$AD$4:$AD$207)+SUMIF('Q2 Data'!$D$4:$D$207,D65,'Q2 Data'!$AG$4:$AG$207)+SUMIF('Q2 Data'!$D$4:$D$207,D65,'Q2 Data'!$AE$4:$AE$207)+SUMIF('Q3 Data'!$D$4:$D$207,D65,'Q3 Data'!$AD$4:$AD$207)+SUMIF('Q3 Data'!$D$4:$D$207,D65,'Q3 Data'!$AG$4:$AG$207)+SUMIF('Q3 Data'!$D$4:$D$207,D65,'Q3 Data'!$AE$4:$AE$207)+SUMIF('Q4 Data'!$D$4:$D$207,D65,'Q4 Data'!$AD$4:$AD$207)+SUMIF('Q4 Data'!$D$4:$D$207,D65,'Q4 Data'!$AG$4:$AG$207)+SUMIF('Q4 Data'!$D$4:$D$207,D65,'Q4 Data'!$AE$4:$AE$207))</f>
      </c>
      <c r="AO65" s="27">
        <f>IF($B65&lt;&gt;"Challan","",P65-N65)</f>
      </c>
      <c r="AP65" s="27">
        <f>IF($B65&lt;&gt;"Challan","",MAX(0,AO65-AN65))</f>
      </c>
      <c r="AQ65" s="33">
        <f>IF($B65&lt;&gt;"Entry","",SUMPRODUCT(('Q1 Data'!$D$4:$D$207=D65)*('Q1 Data'!$B$4:$B$207="Challan")*'Q1 Data'!$F$4:$F$207)+SUMPRODUCT(('Q2 Data'!$D$4:$D$207=D65)*('Q2 Data'!$B$4:$B$207="Challan")*'Q2 Data'!$F$4:$F$207)+SUMPRODUCT(('Q3 Data'!$D$4:$D$207=D65)*('Q3 Data'!$B$4:$B$207="Challan")*'Q3 Data'!$F$4:$F$207)+SUMPRODUCT(('Q4 Data'!$D$4:$D$207=D65)*('Q4 Data'!$B$4:$B$207="Challan")*'Q4 Data'!$F$4:$F$207))</f>
      </c>
      <c r="AR65" s="34">
        <f>IF(OR($B65&lt;&gt;"Entry",Z65=""),FALSE,AND((SUMPRODUCT(('Q1 Data'!$D$4:$D$207=D65)*('Q1 Data'!$B$4:$B$207="Challan")*('Q1 Data'!$H$4:$H$207&lt;&gt;""))+SUMPRODUCT(('Q2 Data'!$D$4:$D$207=D65)*('Q2 Data'!$B$4:$B$207="Challan")*('Q2 Data'!$H$4:$H$207&lt;&gt;""))+SUMPRODUCT(('Q3 Data'!$D$4:$D$207=D65)*('Q3 Data'!$B$4:$B$207="Challan")*('Q3 Data'!$H$4:$H$207&lt;&gt;""))+SUMPRODUCT(('Q4 Data'!$D$4:$D$207=D65)*('Q4 Data'!$B$4:$B$207="Challan")*('Q4 Data'!$H$4:$H$207&lt;&gt;"")))&gt;0,(SUMPRODUCT(('Q1 Data'!$D$4:$D$207=D65)*('Q1 Data'!$B$4:$B$207="Challan")*('Q1 Data'!$H$4:$H$207=Z65))+SUMPRODUCT(('Q2 Data'!$D$4:$D$207=D65)*('Q2 Data'!$B$4:$B$207="Challan")*('Q2 Data'!$H$4:$H$207=Z65))+SUMPRODUCT(('Q3 Data'!$D$4:$D$207=D65)*('Q3 Data'!$B$4:$B$207="Challan")*('Q3 Data'!$H$4:$H$207=Z65))+SUMPRODUCT(('Q4 Data'!$D$4:$D$207=D65)*('Q4 Data'!$B$4:$B$207="Challan")*('Q4 Data'!$H$4:$H$207=Z65)))=0))</f>
      </c>
    </row>
    <row r="66" spans="1:44" x14ac:dyDescent="0.25">
      <c r="A66" s="20">
        <f>IF($B66="Entry",COUNTIF($B$4:$B66,"Entry"),"")</f>
      </c>
      <c r="B66" s="21"/>
      <c r="C66" s="22"/>
      <c r="D66" s="22"/>
      <c r="E66" s="23">
        <f>IF($B66&lt;&gt;"Challan","",IF(ROUND(AN66-AO66,2)&gt;0,"Over-applied",IF(ROUND(AN66-AO66,2)=0,"Fully Utilised","Unconsumed")))</f>
      </c>
      <c r="F66" s="24"/>
      <c r="G66" s="25"/>
      <c r="H66" s="25"/>
      <c r="I66" s="26"/>
      <c r="J66" s="26"/>
      <c r="K66" s="26"/>
      <c r="L66" s="26"/>
      <c r="M66" s="26"/>
      <c r="N66" s="26"/>
      <c r="O66" s="26"/>
      <c r="P66" s="27">
        <f>IF($B66&lt;&gt;"Challan","",I66+J66+K66+L66+M66+N66)</f>
      </c>
      <c r="Q66" s="25"/>
      <c r="R66" s="25"/>
      <c r="S66" s="25"/>
      <c r="T66" s="25"/>
      <c r="U66" s="25"/>
      <c r="V66" s="28"/>
      <c r="W66" s="28"/>
      <c r="X66" s="23">
        <f>IF($B66="Entry",IF(AND(LEN(TRIM(UPPER(W66)))=10,CODE(MID(TRIM(UPPER(W66)),1,1))&gt;=65,CODE(MID(TRIM(UPPER(W66)),1,1))&lt;=90,CODE(MID(TRIM(UPPER(W66)),2,1))&gt;=65,CODE(MID(TRIM(UPPER(W66)),2,1))&lt;=90,CODE(MID(TRIM(UPPER(W66)),3,1))&gt;=65,CODE(MID(TRIM(UPPER(W66)),3,1))&lt;=90,CODE(MID(TRIM(UPPER(W66)),4,1))&gt;=65,CODE(MID(TRIM(UPPER(W66)),4,1))&lt;=90,CODE(MID(TRIM(UPPER(W66)),5,1))&gt;=65,CODE(MID(TRIM(UPPER(W66)),5,1))&lt;=90,CODE(MID(TRIM(UPPER(W66)),10,1))&gt;=65,CODE(MID(TRIM(UPPER(W66)),10,1))&lt;=90,CODE(MID(TRIM(UPPER(W66)),6,1))&gt;=48,CODE(MID(TRIM(UPPER(W66)),6,1))&lt;=57,CODE(MID(TRIM(UPPER(W66)),7,1))&gt;=48,CODE(MID(TRIM(UPPER(W66)),7,1))&lt;=57,CODE(MID(TRIM(UPPER(W66)),8,1))&gt;=48,CODE(MID(TRIM(UPPER(W66)),8,1))&lt;=57,CODE(MID(TRIM(UPPER(W66)),9,1))&gt;=48,CODE(MID(TRIM(UPPER(W66)),9,1))&lt;=57),"N","Y"),IF($B66="Challan","",IF(W66&lt;&gt;"","◄ Set Row Type","")))</f>
      </c>
      <c r="Y66" s="23">
        <f>IF($B66="Entry",IF(LEN(W66)&lt;4,"",IF(UPPER(MID(W66,4,1))="P","Individual",IF(UPPER(MID(W66,4,1))="H","HUF",IF(UPPER(MID(W66,4,1))="C","Company",IF(UPPER(MID(W66,4,1))="F","Firm",IF(UPPER(MID(W66,4,1))="L","LLP",IF(UPPER(MID(W66,4,1))="T","Trust",IF(UPPER(MID(W66,4,1))="A","AOP","")))))))),IF($B66="Challan","",IF(W66&lt;&gt;"","◄ Set Row Type","")))</f>
      </c>
      <c r="Z66" s="28"/>
      <c r="AA66" s="29">
        <f>IF($B66&lt;&gt;"Entry","",IF(Z66="","",IF(X66="Y",SUMPRODUCT(('Rate Lookup'!$A$1:$A$37=Z66)*'Rate Lookup'!$D$1:$D$37),IF(OR(Y66="Individual",Y66="HUF"),SUMPRODUCT(('Rate Lookup'!$A$1:$A$37=Z66)*'Rate Lookup'!$B$1:$B$37),SUMPRODUCT(('Rate Lookup'!$A$1:$A$37=Z66)*'Rate Lookup'!$C$1:$C$37)))))</f>
      </c>
      <c r="AB66" s="30"/>
      <c r="AC66" s="31"/>
      <c r="AD66" s="27">
        <f>IF($B66&lt;&gt;"Entry","",ROUND(AC66*AA66/100,0))</f>
      </c>
      <c r="AE66" s="27">
        <f>IF($B66&lt;&gt;"Entry","",0)</f>
      </c>
      <c r="AF66" s="27">
        <f>IF($B66&lt;&gt;"Entry","",0)</f>
      </c>
      <c r="AG66" s="27">
        <f>IF($B66&lt;&gt;"Entry","",IF(OR(AD66=0,AB66="",AQ66="",AQ66&lt;=0),0,IF(AQ66&lt;=DATE(YEAR(AB66),MONTH(AB66)+1,7),0,ROUND(AD66*0.015*((YEAR(AQ66)-YEAR(AB66))*12+(MONTH(AQ66)-MONTH(AB66))+1),0))))</f>
      </c>
      <c r="AH66" s="27">
        <f>IF($B66&lt;&gt;"Entry","",0)</f>
      </c>
      <c r="AI66" s="28"/>
      <c r="AJ66" s="28"/>
      <c r="AK66" s="32"/>
      <c r="AL66" s="28"/>
      <c r="AM66" s="28"/>
      <c r="AN66" s="27">
        <f>IF($B66&lt;&gt;"Challan","",SUMIF('Q1 Data'!$D$4:$D$207,D66,'Q1 Data'!$AD$4:$AD$207)+SUMIF('Q1 Data'!$D$4:$D$207,D66,'Q1 Data'!$AG$4:$AG$207)+SUMIF('Q1 Data'!$D$4:$D$207,D66,'Q1 Data'!$AE$4:$AE$207)+SUMIF('Q2 Data'!$D$4:$D$207,D66,'Q2 Data'!$AD$4:$AD$207)+SUMIF('Q2 Data'!$D$4:$D$207,D66,'Q2 Data'!$AG$4:$AG$207)+SUMIF('Q2 Data'!$D$4:$D$207,D66,'Q2 Data'!$AE$4:$AE$207)+SUMIF('Q3 Data'!$D$4:$D$207,D66,'Q3 Data'!$AD$4:$AD$207)+SUMIF('Q3 Data'!$D$4:$D$207,D66,'Q3 Data'!$AG$4:$AG$207)+SUMIF('Q3 Data'!$D$4:$D$207,D66,'Q3 Data'!$AE$4:$AE$207)+SUMIF('Q4 Data'!$D$4:$D$207,D66,'Q4 Data'!$AD$4:$AD$207)+SUMIF('Q4 Data'!$D$4:$D$207,D66,'Q4 Data'!$AG$4:$AG$207)+SUMIF('Q4 Data'!$D$4:$D$207,D66,'Q4 Data'!$AE$4:$AE$207))</f>
      </c>
      <c r="AO66" s="27">
        <f>IF($B66&lt;&gt;"Challan","",P66-N66)</f>
      </c>
      <c r="AP66" s="27">
        <f>IF($B66&lt;&gt;"Challan","",MAX(0,AO66-AN66))</f>
      </c>
      <c r="AQ66" s="33">
        <f>IF($B66&lt;&gt;"Entry","",SUMPRODUCT(('Q1 Data'!$D$4:$D$207=D66)*('Q1 Data'!$B$4:$B$207="Challan")*'Q1 Data'!$F$4:$F$207)+SUMPRODUCT(('Q2 Data'!$D$4:$D$207=D66)*('Q2 Data'!$B$4:$B$207="Challan")*'Q2 Data'!$F$4:$F$207)+SUMPRODUCT(('Q3 Data'!$D$4:$D$207=D66)*('Q3 Data'!$B$4:$B$207="Challan")*'Q3 Data'!$F$4:$F$207)+SUMPRODUCT(('Q4 Data'!$D$4:$D$207=D66)*('Q4 Data'!$B$4:$B$207="Challan")*'Q4 Data'!$F$4:$F$207))</f>
      </c>
      <c r="AR66" s="34">
        <f>IF(OR($B66&lt;&gt;"Entry",Z66=""),FALSE,AND((SUMPRODUCT(('Q1 Data'!$D$4:$D$207=D66)*('Q1 Data'!$B$4:$B$207="Challan")*('Q1 Data'!$H$4:$H$207&lt;&gt;""))+SUMPRODUCT(('Q2 Data'!$D$4:$D$207=D66)*('Q2 Data'!$B$4:$B$207="Challan")*('Q2 Data'!$H$4:$H$207&lt;&gt;""))+SUMPRODUCT(('Q3 Data'!$D$4:$D$207=D66)*('Q3 Data'!$B$4:$B$207="Challan")*('Q3 Data'!$H$4:$H$207&lt;&gt;""))+SUMPRODUCT(('Q4 Data'!$D$4:$D$207=D66)*('Q4 Data'!$B$4:$B$207="Challan")*('Q4 Data'!$H$4:$H$207&lt;&gt;"")))&gt;0,(SUMPRODUCT(('Q1 Data'!$D$4:$D$207=D66)*('Q1 Data'!$B$4:$B$207="Challan")*('Q1 Data'!$H$4:$H$207=Z66))+SUMPRODUCT(('Q2 Data'!$D$4:$D$207=D66)*('Q2 Data'!$B$4:$B$207="Challan")*('Q2 Data'!$H$4:$H$207=Z66))+SUMPRODUCT(('Q3 Data'!$D$4:$D$207=D66)*('Q3 Data'!$B$4:$B$207="Challan")*('Q3 Data'!$H$4:$H$207=Z66))+SUMPRODUCT(('Q4 Data'!$D$4:$D$207=D66)*('Q4 Data'!$B$4:$B$207="Challan")*('Q4 Data'!$H$4:$H$207=Z66)))=0))</f>
      </c>
    </row>
    <row r="67" spans="1:44" x14ac:dyDescent="0.25">
      <c r="A67" s="20">
        <f>IF($B67="Entry",COUNTIF($B$4:$B67,"Entry"),"")</f>
      </c>
      <c r="B67" s="21"/>
      <c r="C67" s="22"/>
      <c r="D67" s="22"/>
      <c r="E67" s="23">
        <f>IF($B67&lt;&gt;"Challan","",IF(ROUND(AN67-AO67,2)&gt;0,"Over-applied",IF(ROUND(AN67-AO67,2)=0,"Fully Utilised","Unconsumed")))</f>
      </c>
      <c r="F67" s="24"/>
      <c r="G67" s="25"/>
      <c r="H67" s="25"/>
      <c r="I67" s="26"/>
      <c r="J67" s="26"/>
      <c r="K67" s="26"/>
      <c r="L67" s="26"/>
      <c r="M67" s="26"/>
      <c r="N67" s="26"/>
      <c r="O67" s="26"/>
      <c r="P67" s="27">
        <f>IF($B67&lt;&gt;"Challan","",I67+J67+K67+L67+M67+N67)</f>
      </c>
      <c r="Q67" s="25"/>
      <c r="R67" s="25"/>
      <c r="S67" s="25"/>
      <c r="T67" s="25"/>
      <c r="U67" s="25"/>
      <c r="V67" s="28"/>
      <c r="W67" s="28"/>
      <c r="X67" s="23">
        <f>IF($B67="Entry",IF(AND(LEN(TRIM(UPPER(W67)))=10,CODE(MID(TRIM(UPPER(W67)),1,1))&gt;=65,CODE(MID(TRIM(UPPER(W67)),1,1))&lt;=90,CODE(MID(TRIM(UPPER(W67)),2,1))&gt;=65,CODE(MID(TRIM(UPPER(W67)),2,1))&lt;=90,CODE(MID(TRIM(UPPER(W67)),3,1))&gt;=65,CODE(MID(TRIM(UPPER(W67)),3,1))&lt;=90,CODE(MID(TRIM(UPPER(W67)),4,1))&gt;=65,CODE(MID(TRIM(UPPER(W67)),4,1))&lt;=90,CODE(MID(TRIM(UPPER(W67)),5,1))&gt;=65,CODE(MID(TRIM(UPPER(W67)),5,1))&lt;=90,CODE(MID(TRIM(UPPER(W67)),10,1))&gt;=65,CODE(MID(TRIM(UPPER(W67)),10,1))&lt;=90,CODE(MID(TRIM(UPPER(W67)),6,1))&gt;=48,CODE(MID(TRIM(UPPER(W67)),6,1))&lt;=57,CODE(MID(TRIM(UPPER(W67)),7,1))&gt;=48,CODE(MID(TRIM(UPPER(W67)),7,1))&lt;=57,CODE(MID(TRIM(UPPER(W67)),8,1))&gt;=48,CODE(MID(TRIM(UPPER(W67)),8,1))&lt;=57,CODE(MID(TRIM(UPPER(W67)),9,1))&gt;=48,CODE(MID(TRIM(UPPER(W67)),9,1))&lt;=57),"N","Y"),IF($B67="Challan","",IF(W67&lt;&gt;"","◄ Set Row Type","")))</f>
      </c>
      <c r="Y67" s="23">
        <f>IF($B67="Entry",IF(LEN(W67)&lt;4,"",IF(UPPER(MID(W67,4,1))="P","Individual",IF(UPPER(MID(W67,4,1))="H","HUF",IF(UPPER(MID(W67,4,1))="C","Company",IF(UPPER(MID(W67,4,1))="F","Firm",IF(UPPER(MID(W67,4,1))="L","LLP",IF(UPPER(MID(W67,4,1))="T","Trust",IF(UPPER(MID(W67,4,1))="A","AOP","")))))))),IF($B67="Challan","",IF(W67&lt;&gt;"","◄ Set Row Type","")))</f>
      </c>
      <c r="Z67" s="28"/>
      <c r="AA67" s="29">
        <f>IF($B67&lt;&gt;"Entry","",IF(Z67="","",IF(X67="Y",SUMPRODUCT(('Rate Lookup'!$A$1:$A$37=Z67)*'Rate Lookup'!$D$1:$D$37),IF(OR(Y67="Individual",Y67="HUF"),SUMPRODUCT(('Rate Lookup'!$A$1:$A$37=Z67)*'Rate Lookup'!$B$1:$B$37),SUMPRODUCT(('Rate Lookup'!$A$1:$A$37=Z67)*'Rate Lookup'!$C$1:$C$37)))))</f>
      </c>
      <c r="AB67" s="30"/>
      <c r="AC67" s="31"/>
      <c r="AD67" s="27">
        <f>IF($B67&lt;&gt;"Entry","",ROUND(AC67*AA67/100,0))</f>
      </c>
      <c r="AE67" s="27">
        <f>IF($B67&lt;&gt;"Entry","",0)</f>
      </c>
      <c r="AF67" s="27">
        <f>IF($B67&lt;&gt;"Entry","",0)</f>
      </c>
      <c r="AG67" s="27">
        <f>IF($B67&lt;&gt;"Entry","",IF(OR(AD67=0,AB67="",AQ67="",AQ67&lt;=0),0,IF(AQ67&lt;=DATE(YEAR(AB67),MONTH(AB67)+1,7),0,ROUND(AD67*0.015*((YEAR(AQ67)-YEAR(AB67))*12+(MONTH(AQ67)-MONTH(AB67))+1),0))))</f>
      </c>
      <c r="AH67" s="27">
        <f>IF($B67&lt;&gt;"Entry","",0)</f>
      </c>
      <c r="AI67" s="28"/>
      <c r="AJ67" s="28"/>
      <c r="AK67" s="32"/>
      <c r="AL67" s="28"/>
      <c r="AM67" s="28"/>
      <c r="AN67" s="27">
        <f>IF($B67&lt;&gt;"Challan","",SUMIF('Q1 Data'!$D$4:$D$207,D67,'Q1 Data'!$AD$4:$AD$207)+SUMIF('Q1 Data'!$D$4:$D$207,D67,'Q1 Data'!$AG$4:$AG$207)+SUMIF('Q1 Data'!$D$4:$D$207,D67,'Q1 Data'!$AE$4:$AE$207)+SUMIF('Q2 Data'!$D$4:$D$207,D67,'Q2 Data'!$AD$4:$AD$207)+SUMIF('Q2 Data'!$D$4:$D$207,D67,'Q2 Data'!$AG$4:$AG$207)+SUMIF('Q2 Data'!$D$4:$D$207,D67,'Q2 Data'!$AE$4:$AE$207)+SUMIF('Q3 Data'!$D$4:$D$207,D67,'Q3 Data'!$AD$4:$AD$207)+SUMIF('Q3 Data'!$D$4:$D$207,D67,'Q3 Data'!$AG$4:$AG$207)+SUMIF('Q3 Data'!$D$4:$D$207,D67,'Q3 Data'!$AE$4:$AE$207)+SUMIF('Q4 Data'!$D$4:$D$207,D67,'Q4 Data'!$AD$4:$AD$207)+SUMIF('Q4 Data'!$D$4:$D$207,D67,'Q4 Data'!$AG$4:$AG$207)+SUMIF('Q4 Data'!$D$4:$D$207,D67,'Q4 Data'!$AE$4:$AE$207))</f>
      </c>
      <c r="AO67" s="27">
        <f>IF($B67&lt;&gt;"Challan","",P67-N67)</f>
      </c>
      <c r="AP67" s="27">
        <f>IF($B67&lt;&gt;"Challan","",MAX(0,AO67-AN67))</f>
      </c>
      <c r="AQ67" s="33">
        <f>IF($B67&lt;&gt;"Entry","",SUMPRODUCT(('Q1 Data'!$D$4:$D$207=D67)*('Q1 Data'!$B$4:$B$207="Challan")*'Q1 Data'!$F$4:$F$207)+SUMPRODUCT(('Q2 Data'!$D$4:$D$207=D67)*('Q2 Data'!$B$4:$B$207="Challan")*'Q2 Data'!$F$4:$F$207)+SUMPRODUCT(('Q3 Data'!$D$4:$D$207=D67)*('Q3 Data'!$B$4:$B$207="Challan")*'Q3 Data'!$F$4:$F$207)+SUMPRODUCT(('Q4 Data'!$D$4:$D$207=D67)*('Q4 Data'!$B$4:$B$207="Challan")*'Q4 Data'!$F$4:$F$207))</f>
      </c>
      <c r="AR67" s="34">
        <f>IF(OR($B67&lt;&gt;"Entry",Z67=""),FALSE,AND((SUMPRODUCT(('Q1 Data'!$D$4:$D$207=D67)*('Q1 Data'!$B$4:$B$207="Challan")*('Q1 Data'!$H$4:$H$207&lt;&gt;""))+SUMPRODUCT(('Q2 Data'!$D$4:$D$207=D67)*('Q2 Data'!$B$4:$B$207="Challan")*('Q2 Data'!$H$4:$H$207&lt;&gt;""))+SUMPRODUCT(('Q3 Data'!$D$4:$D$207=D67)*('Q3 Data'!$B$4:$B$207="Challan")*('Q3 Data'!$H$4:$H$207&lt;&gt;""))+SUMPRODUCT(('Q4 Data'!$D$4:$D$207=D67)*('Q4 Data'!$B$4:$B$207="Challan")*('Q4 Data'!$H$4:$H$207&lt;&gt;"")))&gt;0,(SUMPRODUCT(('Q1 Data'!$D$4:$D$207=D67)*('Q1 Data'!$B$4:$B$207="Challan")*('Q1 Data'!$H$4:$H$207=Z67))+SUMPRODUCT(('Q2 Data'!$D$4:$D$207=D67)*('Q2 Data'!$B$4:$B$207="Challan")*('Q2 Data'!$H$4:$H$207=Z67))+SUMPRODUCT(('Q3 Data'!$D$4:$D$207=D67)*('Q3 Data'!$B$4:$B$207="Challan")*('Q3 Data'!$H$4:$H$207=Z67))+SUMPRODUCT(('Q4 Data'!$D$4:$D$207=D67)*('Q4 Data'!$B$4:$B$207="Challan")*('Q4 Data'!$H$4:$H$207=Z67)))=0))</f>
      </c>
    </row>
    <row r="68" spans="1:44" x14ac:dyDescent="0.25">
      <c r="A68" s="20">
        <f>IF($B68="Entry",COUNTIF($B$4:$B68,"Entry"),"")</f>
      </c>
      <c r="B68" s="21"/>
      <c r="C68" s="22"/>
      <c r="D68" s="22"/>
      <c r="E68" s="23">
        <f>IF($B68&lt;&gt;"Challan","",IF(ROUND(AN68-AO68,2)&gt;0,"Over-applied",IF(ROUND(AN68-AO68,2)=0,"Fully Utilised","Unconsumed")))</f>
      </c>
      <c r="F68" s="24"/>
      <c r="G68" s="25"/>
      <c r="H68" s="25"/>
      <c r="I68" s="26"/>
      <c r="J68" s="26"/>
      <c r="K68" s="26"/>
      <c r="L68" s="26"/>
      <c r="M68" s="26"/>
      <c r="N68" s="26"/>
      <c r="O68" s="26"/>
      <c r="P68" s="27">
        <f>IF($B68&lt;&gt;"Challan","",I68+J68+K68+L68+M68+N68)</f>
      </c>
      <c r="Q68" s="25"/>
      <c r="R68" s="25"/>
      <c r="S68" s="25"/>
      <c r="T68" s="25"/>
      <c r="U68" s="25"/>
      <c r="V68" s="28"/>
      <c r="W68" s="28"/>
      <c r="X68" s="23">
        <f>IF($B68="Entry",IF(AND(LEN(TRIM(UPPER(W68)))=10,CODE(MID(TRIM(UPPER(W68)),1,1))&gt;=65,CODE(MID(TRIM(UPPER(W68)),1,1))&lt;=90,CODE(MID(TRIM(UPPER(W68)),2,1))&gt;=65,CODE(MID(TRIM(UPPER(W68)),2,1))&lt;=90,CODE(MID(TRIM(UPPER(W68)),3,1))&gt;=65,CODE(MID(TRIM(UPPER(W68)),3,1))&lt;=90,CODE(MID(TRIM(UPPER(W68)),4,1))&gt;=65,CODE(MID(TRIM(UPPER(W68)),4,1))&lt;=90,CODE(MID(TRIM(UPPER(W68)),5,1))&gt;=65,CODE(MID(TRIM(UPPER(W68)),5,1))&lt;=90,CODE(MID(TRIM(UPPER(W68)),10,1))&gt;=65,CODE(MID(TRIM(UPPER(W68)),10,1))&lt;=90,CODE(MID(TRIM(UPPER(W68)),6,1))&gt;=48,CODE(MID(TRIM(UPPER(W68)),6,1))&lt;=57,CODE(MID(TRIM(UPPER(W68)),7,1))&gt;=48,CODE(MID(TRIM(UPPER(W68)),7,1))&lt;=57,CODE(MID(TRIM(UPPER(W68)),8,1))&gt;=48,CODE(MID(TRIM(UPPER(W68)),8,1))&lt;=57,CODE(MID(TRIM(UPPER(W68)),9,1))&gt;=48,CODE(MID(TRIM(UPPER(W68)),9,1))&lt;=57),"N","Y"),IF($B68="Challan","",IF(W68&lt;&gt;"","◄ Set Row Type","")))</f>
      </c>
      <c r="Y68" s="23">
        <f>IF($B68="Entry",IF(LEN(W68)&lt;4,"",IF(UPPER(MID(W68,4,1))="P","Individual",IF(UPPER(MID(W68,4,1))="H","HUF",IF(UPPER(MID(W68,4,1))="C","Company",IF(UPPER(MID(W68,4,1))="F","Firm",IF(UPPER(MID(W68,4,1))="L","LLP",IF(UPPER(MID(W68,4,1))="T","Trust",IF(UPPER(MID(W68,4,1))="A","AOP","")))))))),IF($B68="Challan","",IF(W68&lt;&gt;"","◄ Set Row Type","")))</f>
      </c>
      <c r="Z68" s="28"/>
      <c r="AA68" s="29">
        <f>IF($B68&lt;&gt;"Entry","",IF(Z68="","",IF(X68="Y",SUMPRODUCT(('Rate Lookup'!$A$1:$A$37=Z68)*'Rate Lookup'!$D$1:$D$37),IF(OR(Y68="Individual",Y68="HUF"),SUMPRODUCT(('Rate Lookup'!$A$1:$A$37=Z68)*'Rate Lookup'!$B$1:$B$37),SUMPRODUCT(('Rate Lookup'!$A$1:$A$37=Z68)*'Rate Lookup'!$C$1:$C$37)))))</f>
      </c>
      <c r="AB68" s="30"/>
      <c r="AC68" s="31"/>
      <c r="AD68" s="27">
        <f>IF($B68&lt;&gt;"Entry","",ROUND(AC68*AA68/100,0))</f>
      </c>
      <c r="AE68" s="27">
        <f>IF($B68&lt;&gt;"Entry","",0)</f>
      </c>
      <c r="AF68" s="27">
        <f>IF($B68&lt;&gt;"Entry","",0)</f>
      </c>
      <c r="AG68" s="27">
        <f>IF($B68&lt;&gt;"Entry","",IF(OR(AD68=0,AB68="",AQ68="",AQ68&lt;=0),0,IF(AQ68&lt;=DATE(YEAR(AB68),MONTH(AB68)+1,7),0,ROUND(AD68*0.015*((YEAR(AQ68)-YEAR(AB68))*12+(MONTH(AQ68)-MONTH(AB68))+1),0))))</f>
      </c>
      <c r="AH68" s="27">
        <f>IF($B68&lt;&gt;"Entry","",0)</f>
      </c>
      <c r="AI68" s="28"/>
      <c r="AJ68" s="28"/>
      <c r="AK68" s="32"/>
      <c r="AL68" s="28"/>
      <c r="AM68" s="28"/>
      <c r="AN68" s="27">
        <f>IF($B68&lt;&gt;"Challan","",SUMIF('Q1 Data'!$D$4:$D$207,D68,'Q1 Data'!$AD$4:$AD$207)+SUMIF('Q1 Data'!$D$4:$D$207,D68,'Q1 Data'!$AG$4:$AG$207)+SUMIF('Q1 Data'!$D$4:$D$207,D68,'Q1 Data'!$AE$4:$AE$207)+SUMIF('Q2 Data'!$D$4:$D$207,D68,'Q2 Data'!$AD$4:$AD$207)+SUMIF('Q2 Data'!$D$4:$D$207,D68,'Q2 Data'!$AG$4:$AG$207)+SUMIF('Q2 Data'!$D$4:$D$207,D68,'Q2 Data'!$AE$4:$AE$207)+SUMIF('Q3 Data'!$D$4:$D$207,D68,'Q3 Data'!$AD$4:$AD$207)+SUMIF('Q3 Data'!$D$4:$D$207,D68,'Q3 Data'!$AG$4:$AG$207)+SUMIF('Q3 Data'!$D$4:$D$207,D68,'Q3 Data'!$AE$4:$AE$207)+SUMIF('Q4 Data'!$D$4:$D$207,D68,'Q4 Data'!$AD$4:$AD$207)+SUMIF('Q4 Data'!$D$4:$D$207,D68,'Q4 Data'!$AG$4:$AG$207)+SUMIF('Q4 Data'!$D$4:$D$207,D68,'Q4 Data'!$AE$4:$AE$207))</f>
      </c>
      <c r="AO68" s="27">
        <f>IF($B68&lt;&gt;"Challan","",P68-N68)</f>
      </c>
      <c r="AP68" s="27">
        <f>IF($B68&lt;&gt;"Challan","",MAX(0,AO68-AN68))</f>
      </c>
      <c r="AQ68" s="33">
        <f>IF($B68&lt;&gt;"Entry","",SUMPRODUCT(('Q1 Data'!$D$4:$D$207=D68)*('Q1 Data'!$B$4:$B$207="Challan")*'Q1 Data'!$F$4:$F$207)+SUMPRODUCT(('Q2 Data'!$D$4:$D$207=D68)*('Q2 Data'!$B$4:$B$207="Challan")*'Q2 Data'!$F$4:$F$207)+SUMPRODUCT(('Q3 Data'!$D$4:$D$207=D68)*('Q3 Data'!$B$4:$B$207="Challan")*'Q3 Data'!$F$4:$F$207)+SUMPRODUCT(('Q4 Data'!$D$4:$D$207=D68)*('Q4 Data'!$B$4:$B$207="Challan")*'Q4 Data'!$F$4:$F$207))</f>
      </c>
      <c r="AR68" s="34">
        <f>IF(OR($B68&lt;&gt;"Entry",Z68=""),FALSE,AND((SUMPRODUCT(('Q1 Data'!$D$4:$D$207=D68)*('Q1 Data'!$B$4:$B$207="Challan")*('Q1 Data'!$H$4:$H$207&lt;&gt;""))+SUMPRODUCT(('Q2 Data'!$D$4:$D$207=D68)*('Q2 Data'!$B$4:$B$207="Challan")*('Q2 Data'!$H$4:$H$207&lt;&gt;""))+SUMPRODUCT(('Q3 Data'!$D$4:$D$207=D68)*('Q3 Data'!$B$4:$B$207="Challan")*('Q3 Data'!$H$4:$H$207&lt;&gt;""))+SUMPRODUCT(('Q4 Data'!$D$4:$D$207=D68)*('Q4 Data'!$B$4:$B$207="Challan")*('Q4 Data'!$H$4:$H$207&lt;&gt;"")))&gt;0,(SUMPRODUCT(('Q1 Data'!$D$4:$D$207=D68)*('Q1 Data'!$B$4:$B$207="Challan")*('Q1 Data'!$H$4:$H$207=Z68))+SUMPRODUCT(('Q2 Data'!$D$4:$D$207=D68)*('Q2 Data'!$B$4:$B$207="Challan")*('Q2 Data'!$H$4:$H$207=Z68))+SUMPRODUCT(('Q3 Data'!$D$4:$D$207=D68)*('Q3 Data'!$B$4:$B$207="Challan")*('Q3 Data'!$H$4:$H$207=Z68))+SUMPRODUCT(('Q4 Data'!$D$4:$D$207=D68)*('Q4 Data'!$B$4:$B$207="Challan")*('Q4 Data'!$H$4:$H$207=Z68)))=0))</f>
      </c>
    </row>
    <row r="69" spans="1:44" x14ac:dyDescent="0.25">
      <c r="A69" s="20">
        <f>IF($B69="Entry",COUNTIF($B$4:$B69,"Entry"),"")</f>
      </c>
      <c r="B69" s="21"/>
      <c r="C69" s="22"/>
      <c r="D69" s="22"/>
      <c r="E69" s="23">
        <f>IF($B69&lt;&gt;"Challan","",IF(ROUND(AN69-AO69,2)&gt;0,"Over-applied",IF(ROUND(AN69-AO69,2)=0,"Fully Utilised","Unconsumed")))</f>
      </c>
      <c r="F69" s="24"/>
      <c r="G69" s="25"/>
      <c r="H69" s="25"/>
      <c r="I69" s="26"/>
      <c r="J69" s="26"/>
      <c r="K69" s="26"/>
      <c r="L69" s="26"/>
      <c r="M69" s="26"/>
      <c r="N69" s="26"/>
      <c r="O69" s="26"/>
      <c r="P69" s="27">
        <f>IF($B69&lt;&gt;"Challan","",I69+J69+K69+L69+M69+N69)</f>
      </c>
      <c r="Q69" s="25"/>
      <c r="R69" s="25"/>
      <c r="S69" s="25"/>
      <c r="T69" s="25"/>
      <c r="U69" s="25"/>
      <c r="V69" s="28"/>
      <c r="W69" s="28"/>
      <c r="X69" s="23">
        <f>IF($B69="Entry",IF(AND(LEN(TRIM(UPPER(W69)))=10,CODE(MID(TRIM(UPPER(W69)),1,1))&gt;=65,CODE(MID(TRIM(UPPER(W69)),1,1))&lt;=90,CODE(MID(TRIM(UPPER(W69)),2,1))&gt;=65,CODE(MID(TRIM(UPPER(W69)),2,1))&lt;=90,CODE(MID(TRIM(UPPER(W69)),3,1))&gt;=65,CODE(MID(TRIM(UPPER(W69)),3,1))&lt;=90,CODE(MID(TRIM(UPPER(W69)),4,1))&gt;=65,CODE(MID(TRIM(UPPER(W69)),4,1))&lt;=90,CODE(MID(TRIM(UPPER(W69)),5,1))&gt;=65,CODE(MID(TRIM(UPPER(W69)),5,1))&lt;=90,CODE(MID(TRIM(UPPER(W69)),10,1))&gt;=65,CODE(MID(TRIM(UPPER(W69)),10,1))&lt;=90,CODE(MID(TRIM(UPPER(W69)),6,1))&gt;=48,CODE(MID(TRIM(UPPER(W69)),6,1))&lt;=57,CODE(MID(TRIM(UPPER(W69)),7,1))&gt;=48,CODE(MID(TRIM(UPPER(W69)),7,1))&lt;=57,CODE(MID(TRIM(UPPER(W69)),8,1))&gt;=48,CODE(MID(TRIM(UPPER(W69)),8,1))&lt;=57,CODE(MID(TRIM(UPPER(W69)),9,1))&gt;=48,CODE(MID(TRIM(UPPER(W69)),9,1))&lt;=57),"N","Y"),IF($B69="Challan","",IF(W69&lt;&gt;"","◄ Set Row Type","")))</f>
      </c>
      <c r="Y69" s="23">
        <f>IF($B69="Entry",IF(LEN(W69)&lt;4,"",IF(UPPER(MID(W69,4,1))="P","Individual",IF(UPPER(MID(W69,4,1))="H","HUF",IF(UPPER(MID(W69,4,1))="C","Company",IF(UPPER(MID(W69,4,1))="F","Firm",IF(UPPER(MID(W69,4,1))="L","LLP",IF(UPPER(MID(W69,4,1))="T","Trust",IF(UPPER(MID(W69,4,1))="A","AOP","")))))))),IF($B69="Challan","",IF(W69&lt;&gt;"","◄ Set Row Type","")))</f>
      </c>
      <c r="Z69" s="28"/>
      <c r="AA69" s="29">
        <f>IF($B69&lt;&gt;"Entry","",IF(Z69="","",IF(X69="Y",SUMPRODUCT(('Rate Lookup'!$A$1:$A$37=Z69)*'Rate Lookup'!$D$1:$D$37),IF(OR(Y69="Individual",Y69="HUF"),SUMPRODUCT(('Rate Lookup'!$A$1:$A$37=Z69)*'Rate Lookup'!$B$1:$B$37),SUMPRODUCT(('Rate Lookup'!$A$1:$A$37=Z69)*'Rate Lookup'!$C$1:$C$37)))))</f>
      </c>
      <c r="AB69" s="30"/>
      <c r="AC69" s="31"/>
      <c r="AD69" s="27">
        <f>IF($B69&lt;&gt;"Entry","",ROUND(AC69*AA69/100,0))</f>
      </c>
      <c r="AE69" s="27">
        <f>IF($B69&lt;&gt;"Entry","",0)</f>
      </c>
      <c r="AF69" s="27">
        <f>IF($B69&lt;&gt;"Entry","",0)</f>
      </c>
      <c r="AG69" s="27">
        <f>IF($B69&lt;&gt;"Entry","",IF(OR(AD69=0,AB69="",AQ69="",AQ69&lt;=0),0,IF(AQ69&lt;=DATE(YEAR(AB69),MONTH(AB69)+1,7),0,ROUND(AD69*0.015*((YEAR(AQ69)-YEAR(AB69))*12+(MONTH(AQ69)-MONTH(AB69))+1),0))))</f>
      </c>
      <c r="AH69" s="27">
        <f>IF($B69&lt;&gt;"Entry","",0)</f>
      </c>
      <c r="AI69" s="28"/>
      <c r="AJ69" s="28"/>
      <c r="AK69" s="32"/>
      <c r="AL69" s="28"/>
      <c r="AM69" s="28"/>
      <c r="AN69" s="27">
        <f>IF($B69&lt;&gt;"Challan","",SUMIF('Q1 Data'!$D$4:$D$207,D69,'Q1 Data'!$AD$4:$AD$207)+SUMIF('Q1 Data'!$D$4:$D$207,D69,'Q1 Data'!$AG$4:$AG$207)+SUMIF('Q1 Data'!$D$4:$D$207,D69,'Q1 Data'!$AE$4:$AE$207)+SUMIF('Q2 Data'!$D$4:$D$207,D69,'Q2 Data'!$AD$4:$AD$207)+SUMIF('Q2 Data'!$D$4:$D$207,D69,'Q2 Data'!$AG$4:$AG$207)+SUMIF('Q2 Data'!$D$4:$D$207,D69,'Q2 Data'!$AE$4:$AE$207)+SUMIF('Q3 Data'!$D$4:$D$207,D69,'Q3 Data'!$AD$4:$AD$207)+SUMIF('Q3 Data'!$D$4:$D$207,D69,'Q3 Data'!$AG$4:$AG$207)+SUMIF('Q3 Data'!$D$4:$D$207,D69,'Q3 Data'!$AE$4:$AE$207)+SUMIF('Q4 Data'!$D$4:$D$207,D69,'Q4 Data'!$AD$4:$AD$207)+SUMIF('Q4 Data'!$D$4:$D$207,D69,'Q4 Data'!$AG$4:$AG$207)+SUMIF('Q4 Data'!$D$4:$D$207,D69,'Q4 Data'!$AE$4:$AE$207))</f>
      </c>
      <c r="AO69" s="27">
        <f>IF($B69&lt;&gt;"Challan","",P69-N69)</f>
      </c>
      <c r="AP69" s="27">
        <f>IF($B69&lt;&gt;"Challan","",MAX(0,AO69-AN69))</f>
      </c>
      <c r="AQ69" s="33">
        <f>IF($B69&lt;&gt;"Entry","",SUMPRODUCT(('Q1 Data'!$D$4:$D$207=D69)*('Q1 Data'!$B$4:$B$207="Challan")*'Q1 Data'!$F$4:$F$207)+SUMPRODUCT(('Q2 Data'!$D$4:$D$207=D69)*('Q2 Data'!$B$4:$B$207="Challan")*'Q2 Data'!$F$4:$F$207)+SUMPRODUCT(('Q3 Data'!$D$4:$D$207=D69)*('Q3 Data'!$B$4:$B$207="Challan")*'Q3 Data'!$F$4:$F$207)+SUMPRODUCT(('Q4 Data'!$D$4:$D$207=D69)*('Q4 Data'!$B$4:$B$207="Challan")*'Q4 Data'!$F$4:$F$207))</f>
      </c>
      <c r="AR69" s="34">
        <f>IF(OR($B69&lt;&gt;"Entry",Z69=""),FALSE,AND((SUMPRODUCT(('Q1 Data'!$D$4:$D$207=D69)*('Q1 Data'!$B$4:$B$207="Challan")*('Q1 Data'!$H$4:$H$207&lt;&gt;""))+SUMPRODUCT(('Q2 Data'!$D$4:$D$207=D69)*('Q2 Data'!$B$4:$B$207="Challan")*('Q2 Data'!$H$4:$H$207&lt;&gt;""))+SUMPRODUCT(('Q3 Data'!$D$4:$D$207=D69)*('Q3 Data'!$B$4:$B$207="Challan")*('Q3 Data'!$H$4:$H$207&lt;&gt;""))+SUMPRODUCT(('Q4 Data'!$D$4:$D$207=D69)*('Q4 Data'!$B$4:$B$207="Challan")*('Q4 Data'!$H$4:$H$207&lt;&gt;"")))&gt;0,(SUMPRODUCT(('Q1 Data'!$D$4:$D$207=D69)*('Q1 Data'!$B$4:$B$207="Challan")*('Q1 Data'!$H$4:$H$207=Z69))+SUMPRODUCT(('Q2 Data'!$D$4:$D$207=D69)*('Q2 Data'!$B$4:$B$207="Challan")*('Q2 Data'!$H$4:$H$207=Z69))+SUMPRODUCT(('Q3 Data'!$D$4:$D$207=D69)*('Q3 Data'!$B$4:$B$207="Challan")*('Q3 Data'!$H$4:$H$207=Z69))+SUMPRODUCT(('Q4 Data'!$D$4:$D$207=D69)*('Q4 Data'!$B$4:$B$207="Challan")*('Q4 Data'!$H$4:$H$207=Z69)))=0))</f>
      </c>
    </row>
    <row r="70" spans="1:44" x14ac:dyDescent="0.25">
      <c r="A70" s="20">
        <f>IF($B70="Entry",COUNTIF($B$4:$B70,"Entry"),"")</f>
      </c>
      <c r="B70" s="21"/>
      <c r="C70" s="22"/>
      <c r="D70" s="22"/>
      <c r="E70" s="23">
        <f>IF($B70&lt;&gt;"Challan","",IF(ROUND(AN70-AO70,2)&gt;0,"Over-applied",IF(ROUND(AN70-AO70,2)=0,"Fully Utilised","Unconsumed")))</f>
      </c>
      <c r="F70" s="24"/>
      <c r="G70" s="25"/>
      <c r="H70" s="25"/>
      <c r="I70" s="26"/>
      <c r="J70" s="26"/>
      <c r="K70" s="26"/>
      <c r="L70" s="26"/>
      <c r="M70" s="26"/>
      <c r="N70" s="26"/>
      <c r="O70" s="26"/>
      <c r="P70" s="27">
        <f>IF($B70&lt;&gt;"Challan","",I70+J70+K70+L70+M70+N70)</f>
      </c>
      <c r="Q70" s="25"/>
      <c r="R70" s="25"/>
      <c r="S70" s="25"/>
      <c r="T70" s="25"/>
      <c r="U70" s="25"/>
      <c r="V70" s="28"/>
      <c r="W70" s="28"/>
      <c r="X70" s="23">
        <f>IF($B70="Entry",IF(AND(LEN(TRIM(UPPER(W70)))=10,CODE(MID(TRIM(UPPER(W70)),1,1))&gt;=65,CODE(MID(TRIM(UPPER(W70)),1,1))&lt;=90,CODE(MID(TRIM(UPPER(W70)),2,1))&gt;=65,CODE(MID(TRIM(UPPER(W70)),2,1))&lt;=90,CODE(MID(TRIM(UPPER(W70)),3,1))&gt;=65,CODE(MID(TRIM(UPPER(W70)),3,1))&lt;=90,CODE(MID(TRIM(UPPER(W70)),4,1))&gt;=65,CODE(MID(TRIM(UPPER(W70)),4,1))&lt;=90,CODE(MID(TRIM(UPPER(W70)),5,1))&gt;=65,CODE(MID(TRIM(UPPER(W70)),5,1))&lt;=90,CODE(MID(TRIM(UPPER(W70)),10,1))&gt;=65,CODE(MID(TRIM(UPPER(W70)),10,1))&lt;=90,CODE(MID(TRIM(UPPER(W70)),6,1))&gt;=48,CODE(MID(TRIM(UPPER(W70)),6,1))&lt;=57,CODE(MID(TRIM(UPPER(W70)),7,1))&gt;=48,CODE(MID(TRIM(UPPER(W70)),7,1))&lt;=57,CODE(MID(TRIM(UPPER(W70)),8,1))&gt;=48,CODE(MID(TRIM(UPPER(W70)),8,1))&lt;=57,CODE(MID(TRIM(UPPER(W70)),9,1))&gt;=48,CODE(MID(TRIM(UPPER(W70)),9,1))&lt;=57),"N","Y"),IF($B70="Challan","",IF(W70&lt;&gt;"","◄ Set Row Type","")))</f>
      </c>
      <c r="Y70" s="23">
        <f>IF($B70="Entry",IF(LEN(W70)&lt;4,"",IF(UPPER(MID(W70,4,1))="P","Individual",IF(UPPER(MID(W70,4,1))="H","HUF",IF(UPPER(MID(W70,4,1))="C","Company",IF(UPPER(MID(W70,4,1))="F","Firm",IF(UPPER(MID(W70,4,1))="L","LLP",IF(UPPER(MID(W70,4,1))="T","Trust",IF(UPPER(MID(W70,4,1))="A","AOP","")))))))),IF($B70="Challan","",IF(W70&lt;&gt;"","◄ Set Row Type","")))</f>
      </c>
      <c r="Z70" s="28"/>
      <c r="AA70" s="29">
        <f>IF($B70&lt;&gt;"Entry","",IF(Z70="","",IF(X70="Y",SUMPRODUCT(('Rate Lookup'!$A$1:$A$37=Z70)*'Rate Lookup'!$D$1:$D$37),IF(OR(Y70="Individual",Y70="HUF"),SUMPRODUCT(('Rate Lookup'!$A$1:$A$37=Z70)*'Rate Lookup'!$B$1:$B$37),SUMPRODUCT(('Rate Lookup'!$A$1:$A$37=Z70)*'Rate Lookup'!$C$1:$C$37)))))</f>
      </c>
      <c r="AB70" s="30"/>
      <c r="AC70" s="31"/>
      <c r="AD70" s="27">
        <f>IF($B70&lt;&gt;"Entry","",ROUND(AC70*AA70/100,0))</f>
      </c>
      <c r="AE70" s="27">
        <f>IF($B70&lt;&gt;"Entry","",0)</f>
      </c>
      <c r="AF70" s="27">
        <f>IF($B70&lt;&gt;"Entry","",0)</f>
      </c>
      <c r="AG70" s="27">
        <f>IF($B70&lt;&gt;"Entry","",IF(OR(AD70=0,AB70="",AQ70="",AQ70&lt;=0),0,IF(AQ70&lt;=DATE(YEAR(AB70),MONTH(AB70)+1,7),0,ROUND(AD70*0.015*((YEAR(AQ70)-YEAR(AB70))*12+(MONTH(AQ70)-MONTH(AB70))+1),0))))</f>
      </c>
      <c r="AH70" s="27">
        <f>IF($B70&lt;&gt;"Entry","",0)</f>
      </c>
      <c r="AI70" s="28"/>
      <c r="AJ70" s="28"/>
      <c r="AK70" s="32"/>
      <c r="AL70" s="28"/>
      <c r="AM70" s="28"/>
      <c r="AN70" s="27">
        <f>IF($B70&lt;&gt;"Challan","",SUMIF('Q1 Data'!$D$4:$D$207,D70,'Q1 Data'!$AD$4:$AD$207)+SUMIF('Q1 Data'!$D$4:$D$207,D70,'Q1 Data'!$AG$4:$AG$207)+SUMIF('Q1 Data'!$D$4:$D$207,D70,'Q1 Data'!$AE$4:$AE$207)+SUMIF('Q2 Data'!$D$4:$D$207,D70,'Q2 Data'!$AD$4:$AD$207)+SUMIF('Q2 Data'!$D$4:$D$207,D70,'Q2 Data'!$AG$4:$AG$207)+SUMIF('Q2 Data'!$D$4:$D$207,D70,'Q2 Data'!$AE$4:$AE$207)+SUMIF('Q3 Data'!$D$4:$D$207,D70,'Q3 Data'!$AD$4:$AD$207)+SUMIF('Q3 Data'!$D$4:$D$207,D70,'Q3 Data'!$AG$4:$AG$207)+SUMIF('Q3 Data'!$D$4:$D$207,D70,'Q3 Data'!$AE$4:$AE$207)+SUMIF('Q4 Data'!$D$4:$D$207,D70,'Q4 Data'!$AD$4:$AD$207)+SUMIF('Q4 Data'!$D$4:$D$207,D70,'Q4 Data'!$AG$4:$AG$207)+SUMIF('Q4 Data'!$D$4:$D$207,D70,'Q4 Data'!$AE$4:$AE$207))</f>
      </c>
      <c r="AO70" s="27">
        <f>IF($B70&lt;&gt;"Challan","",P70-N70)</f>
      </c>
      <c r="AP70" s="27">
        <f>IF($B70&lt;&gt;"Challan","",MAX(0,AO70-AN70))</f>
      </c>
      <c r="AQ70" s="33">
        <f>IF($B70&lt;&gt;"Entry","",SUMPRODUCT(('Q1 Data'!$D$4:$D$207=D70)*('Q1 Data'!$B$4:$B$207="Challan")*'Q1 Data'!$F$4:$F$207)+SUMPRODUCT(('Q2 Data'!$D$4:$D$207=D70)*('Q2 Data'!$B$4:$B$207="Challan")*'Q2 Data'!$F$4:$F$207)+SUMPRODUCT(('Q3 Data'!$D$4:$D$207=D70)*('Q3 Data'!$B$4:$B$207="Challan")*'Q3 Data'!$F$4:$F$207)+SUMPRODUCT(('Q4 Data'!$D$4:$D$207=D70)*('Q4 Data'!$B$4:$B$207="Challan")*'Q4 Data'!$F$4:$F$207))</f>
      </c>
      <c r="AR70" s="34">
        <f>IF(OR($B70&lt;&gt;"Entry",Z70=""),FALSE,AND((SUMPRODUCT(('Q1 Data'!$D$4:$D$207=D70)*('Q1 Data'!$B$4:$B$207="Challan")*('Q1 Data'!$H$4:$H$207&lt;&gt;""))+SUMPRODUCT(('Q2 Data'!$D$4:$D$207=D70)*('Q2 Data'!$B$4:$B$207="Challan")*('Q2 Data'!$H$4:$H$207&lt;&gt;""))+SUMPRODUCT(('Q3 Data'!$D$4:$D$207=D70)*('Q3 Data'!$B$4:$B$207="Challan")*('Q3 Data'!$H$4:$H$207&lt;&gt;""))+SUMPRODUCT(('Q4 Data'!$D$4:$D$207=D70)*('Q4 Data'!$B$4:$B$207="Challan")*('Q4 Data'!$H$4:$H$207&lt;&gt;"")))&gt;0,(SUMPRODUCT(('Q1 Data'!$D$4:$D$207=D70)*('Q1 Data'!$B$4:$B$207="Challan")*('Q1 Data'!$H$4:$H$207=Z70))+SUMPRODUCT(('Q2 Data'!$D$4:$D$207=D70)*('Q2 Data'!$B$4:$B$207="Challan")*('Q2 Data'!$H$4:$H$207=Z70))+SUMPRODUCT(('Q3 Data'!$D$4:$D$207=D70)*('Q3 Data'!$B$4:$B$207="Challan")*('Q3 Data'!$H$4:$H$207=Z70))+SUMPRODUCT(('Q4 Data'!$D$4:$D$207=D70)*('Q4 Data'!$B$4:$B$207="Challan")*('Q4 Data'!$H$4:$H$207=Z70)))=0))</f>
      </c>
    </row>
    <row r="71" spans="1:44" x14ac:dyDescent="0.25">
      <c r="A71" s="20">
        <f>IF($B71="Entry",COUNTIF($B$4:$B71,"Entry"),"")</f>
      </c>
      <c r="B71" s="21"/>
      <c r="C71" s="22"/>
      <c r="D71" s="22"/>
      <c r="E71" s="23">
        <f>IF($B71&lt;&gt;"Challan","",IF(ROUND(AN71-AO71,2)&gt;0,"Over-applied",IF(ROUND(AN71-AO71,2)=0,"Fully Utilised","Unconsumed")))</f>
      </c>
      <c r="F71" s="24"/>
      <c r="G71" s="25"/>
      <c r="H71" s="25"/>
      <c r="I71" s="26"/>
      <c r="J71" s="26"/>
      <c r="K71" s="26"/>
      <c r="L71" s="26"/>
      <c r="M71" s="26"/>
      <c r="N71" s="26"/>
      <c r="O71" s="26"/>
      <c r="P71" s="27">
        <f>IF($B71&lt;&gt;"Challan","",I71+J71+K71+L71+M71+N71)</f>
      </c>
      <c r="Q71" s="25"/>
      <c r="R71" s="25"/>
      <c r="S71" s="25"/>
      <c r="T71" s="25"/>
      <c r="U71" s="25"/>
      <c r="V71" s="28"/>
      <c r="W71" s="28"/>
      <c r="X71" s="23">
        <f>IF($B71="Entry",IF(AND(LEN(TRIM(UPPER(W71)))=10,CODE(MID(TRIM(UPPER(W71)),1,1))&gt;=65,CODE(MID(TRIM(UPPER(W71)),1,1))&lt;=90,CODE(MID(TRIM(UPPER(W71)),2,1))&gt;=65,CODE(MID(TRIM(UPPER(W71)),2,1))&lt;=90,CODE(MID(TRIM(UPPER(W71)),3,1))&gt;=65,CODE(MID(TRIM(UPPER(W71)),3,1))&lt;=90,CODE(MID(TRIM(UPPER(W71)),4,1))&gt;=65,CODE(MID(TRIM(UPPER(W71)),4,1))&lt;=90,CODE(MID(TRIM(UPPER(W71)),5,1))&gt;=65,CODE(MID(TRIM(UPPER(W71)),5,1))&lt;=90,CODE(MID(TRIM(UPPER(W71)),10,1))&gt;=65,CODE(MID(TRIM(UPPER(W71)),10,1))&lt;=90,CODE(MID(TRIM(UPPER(W71)),6,1))&gt;=48,CODE(MID(TRIM(UPPER(W71)),6,1))&lt;=57,CODE(MID(TRIM(UPPER(W71)),7,1))&gt;=48,CODE(MID(TRIM(UPPER(W71)),7,1))&lt;=57,CODE(MID(TRIM(UPPER(W71)),8,1))&gt;=48,CODE(MID(TRIM(UPPER(W71)),8,1))&lt;=57,CODE(MID(TRIM(UPPER(W71)),9,1))&gt;=48,CODE(MID(TRIM(UPPER(W71)),9,1))&lt;=57),"N","Y"),IF($B71="Challan","",IF(W71&lt;&gt;"","◄ Set Row Type","")))</f>
      </c>
      <c r="Y71" s="23">
        <f>IF($B71="Entry",IF(LEN(W71)&lt;4,"",IF(UPPER(MID(W71,4,1))="P","Individual",IF(UPPER(MID(W71,4,1))="H","HUF",IF(UPPER(MID(W71,4,1))="C","Company",IF(UPPER(MID(W71,4,1))="F","Firm",IF(UPPER(MID(W71,4,1))="L","LLP",IF(UPPER(MID(W71,4,1))="T","Trust",IF(UPPER(MID(W71,4,1))="A","AOP","")))))))),IF($B71="Challan","",IF(W71&lt;&gt;"","◄ Set Row Type","")))</f>
      </c>
      <c r="Z71" s="28"/>
      <c r="AA71" s="29">
        <f>IF($B71&lt;&gt;"Entry","",IF(Z71="","",IF(X71="Y",SUMPRODUCT(('Rate Lookup'!$A$1:$A$37=Z71)*'Rate Lookup'!$D$1:$D$37),IF(OR(Y71="Individual",Y71="HUF"),SUMPRODUCT(('Rate Lookup'!$A$1:$A$37=Z71)*'Rate Lookup'!$B$1:$B$37),SUMPRODUCT(('Rate Lookup'!$A$1:$A$37=Z71)*'Rate Lookup'!$C$1:$C$37)))))</f>
      </c>
      <c r="AB71" s="30"/>
      <c r="AC71" s="31"/>
      <c r="AD71" s="27">
        <f>IF($B71&lt;&gt;"Entry","",ROUND(AC71*AA71/100,0))</f>
      </c>
      <c r="AE71" s="27">
        <f>IF($B71&lt;&gt;"Entry","",0)</f>
      </c>
      <c r="AF71" s="27">
        <f>IF($B71&lt;&gt;"Entry","",0)</f>
      </c>
      <c r="AG71" s="27">
        <f>IF($B71&lt;&gt;"Entry","",IF(OR(AD71=0,AB71="",AQ71="",AQ71&lt;=0),0,IF(AQ71&lt;=DATE(YEAR(AB71),MONTH(AB71)+1,7),0,ROUND(AD71*0.015*((YEAR(AQ71)-YEAR(AB71))*12+(MONTH(AQ71)-MONTH(AB71))+1),0))))</f>
      </c>
      <c r="AH71" s="27">
        <f>IF($B71&lt;&gt;"Entry","",0)</f>
      </c>
      <c r="AI71" s="28"/>
      <c r="AJ71" s="28"/>
      <c r="AK71" s="32"/>
      <c r="AL71" s="28"/>
      <c r="AM71" s="28"/>
      <c r="AN71" s="27">
        <f>IF($B71&lt;&gt;"Challan","",SUMIF('Q1 Data'!$D$4:$D$207,D71,'Q1 Data'!$AD$4:$AD$207)+SUMIF('Q1 Data'!$D$4:$D$207,D71,'Q1 Data'!$AG$4:$AG$207)+SUMIF('Q1 Data'!$D$4:$D$207,D71,'Q1 Data'!$AE$4:$AE$207)+SUMIF('Q2 Data'!$D$4:$D$207,D71,'Q2 Data'!$AD$4:$AD$207)+SUMIF('Q2 Data'!$D$4:$D$207,D71,'Q2 Data'!$AG$4:$AG$207)+SUMIF('Q2 Data'!$D$4:$D$207,D71,'Q2 Data'!$AE$4:$AE$207)+SUMIF('Q3 Data'!$D$4:$D$207,D71,'Q3 Data'!$AD$4:$AD$207)+SUMIF('Q3 Data'!$D$4:$D$207,D71,'Q3 Data'!$AG$4:$AG$207)+SUMIF('Q3 Data'!$D$4:$D$207,D71,'Q3 Data'!$AE$4:$AE$207)+SUMIF('Q4 Data'!$D$4:$D$207,D71,'Q4 Data'!$AD$4:$AD$207)+SUMIF('Q4 Data'!$D$4:$D$207,D71,'Q4 Data'!$AG$4:$AG$207)+SUMIF('Q4 Data'!$D$4:$D$207,D71,'Q4 Data'!$AE$4:$AE$207))</f>
      </c>
      <c r="AO71" s="27">
        <f>IF($B71&lt;&gt;"Challan","",P71-N71)</f>
      </c>
      <c r="AP71" s="27">
        <f>IF($B71&lt;&gt;"Challan","",MAX(0,AO71-AN71))</f>
      </c>
      <c r="AQ71" s="33">
        <f>IF($B71&lt;&gt;"Entry","",SUMPRODUCT(('Q1 Data'!$D$4:$D$207=D71)*('Q1 Data'!$B$4:$B$207="Challan")*'Q1 Data'!$F$4:$F$207)+SUMPRODUCT(('Q2 Data'!$D$4:$D$207=D71)*('Q2 Data'!$B$4:$B$207="Challan")*'Q2 Data'!$F$4:$F$207)+SUMPRODUCT(('Q3 Data'!$D$4:$D$207=D71)*('Q3 Data'!$B$4:$B$207="Challan")*'Q3 Data'!$F$4:$F$207)+SUMPRODUCT(('Q4 Data'!$D$4:$D$207=D71)*('Q4 Data'!$B$4:$B$207="Challan")*'Q4 Data'!$F$4:$F$207))</f>
      </c>
      <c r="AR71" s="34">
        <f>IF(OR($B71&lt;&gt;"Entry",Z71=""),FALSE,AND((SUMPRODUCT(('Q1 Data'!$D$4:$D$207=D71)*('Q1 Data'!$B$4:$B$207="Challan")*('Q1 Data'!$H$4:$H$207&lt;&gt;""))+SUMPRODUCT(('Q2 Data'!$D$4:$D$207=D71)*('Q2 Data'!$B$4:$B$207="Challan")*('Q2 Data'!$H$4:$H$207&lt;&gt;""))+SUMPRODUCT(('Q3 Data'!$D$4:$D$207=D71)*('Q3 Data'!$B$4:$B$207="Challan")*('Q3 Data'!$H$4:$H$207&lt;&gt;""))+SUMPRODUCT(('Q4 Data'!$D$4:$D$207=D71)*('Q4 Data'!$B$4:$B$207="Challan")*('Q4 Data'!$H$4:$H$207&lt;&gt;"")))&gt;0,(SUMPRODUCT(('Q1 Data'!$D$4:$D$207=D71)*('Q1 Data'!$B$4:$B$207="Challan")*('Q1 Data'!$H$4:$H$207=Z71))+SUMPRODUCT(('Q2 Data'!$D$4:$D$207=D71)*('Q2 Data'!$B$4:$B$207="Challan")*('Q2 Data'!$H$4:$H$207=Z71))+SUMPRODUCT(('Q3 Data'!$D$4:$D$207=D71)*('Q3 Data'!$B$4:$B$207="Challan")*('Q3 Data'!$H$4:$H$207=Z71))+SUMPRODUCT(('Q4 Data'!$D$4:$D$207=D71)*('Q4 Data'!$B$4:$B$207="Challan")*('Q4 Data'!$H$4:$H$207=Z71)))=0))</f>
      </c>
    </row>
    <row r="72" spans="1:44" x14ac:dyDescent="0.25">
      <c r="A72" s="20">
        <f>IF($B72="Entry",COUNTIF($B$4:$B72,"Entry"),"")</f>
      </c>
      <c r="B72" s="21"/>
      <c r="C72" s="22"/>
      <c r="D72" s="22"/>
      <c r="E72" s="23">
        <f>IF($B72&lt;&gt;"Challan","",IF(ROUND(AN72-AO72,2)&gt;0,"Over-applied",IF(ROUND(AN72-AO72,2)=0,"Fully Utilised","Unconsumed")))</f>
      </c>
      <c r="F72" s="24"/>
      <c r="G72" s="25"/>
      <c r="H72" s="25"/>
      <c r="I72" s="26"/>
      <c r="J72" s="26"/>
      <c r="K72" s="26"/>
      <c r="L72" s="26"/>
      <c r="M72" s="26"/>
      <c r="N72" s="26"/>
      <c r="O72" s="26"/>
      <c r="P72" s="27">
        <f>IF($B72&lt;&gt;"Challan","",I72+J72+K72+L72+M72+N72)</f>
      </c>
      <c r="Q72" s="25"/>
      <c r="R72" s="25"/>
      <c r="S72" s="25"/>
      <c r="T72" s="25"/>
      <c r="U72" s="25"/>
      <c r="V72" s="28"/>
      <c r="W72" s="28"/>
      <c r="X72" s="23">
        <f>IF($B72="Entry",IF(AND(LEN(TRIM(UPPER(W72)))=10,CODE(MID(TRIM(UPPER(W72)),1,1))&gt;=65,CODE(MID(TRIM(UPPER(W72)),1,1))&lt;=90,CODE(MID(TRIM(UPPER(W72)),2,1))&gt;=65,CODE(MID(TRIM(UPPER(W72)),2,1))&lt;=90,CODE(MID(TRIM(UPPER(W72)),3,1))&gt;=65,CODE(MID(TRIM(UPPER(W72)),3,1))&lt;=90,CODE(MID(TRIM(UPPER(W72)),4,1))&gt;=65,CODE(MID(TRIM(UPPER(W72)),4,1))&lt;=90,CODE(MID(TRIM(UPPER(W72)),5,1))&gt;=65,CODE(MID(TRIM(UPPER(W72)),5,1))&lt;=90,CODE(MID(TRIM(UPPER(W72)),10,1))&gt;=65,CODE(MID(TRIM(UPPER(W72)),10,1))&lt;=90,CODE(MID(TRIM(UPPER(W72)),6,1))&gt;=48,CODE(MID(TRIM(UPPER(W72)),6,1))&lt;=57,CODE(MID(TRIM(UPPER(W72)),7,1))&gt;=48,CODE(MID(TRIM(UPPER(W72)),7,1))&lt;=57,CODE(MID(TRIM(UPPER(W72)),8,1))&gt;=48,CODE(MID(TRIM(UPPER(W72)),8,1))&lt;=57,CODE(MID(TRIM(UPPER(W72)),9,1))&gt;=48,CODE(MID(TRIM(UPPER(W72)),9,1))&lt;=57),"N","Y"),IF($B72="Challan","",IF(W72&lt;&gt;"","◄ Set Row Type","")))</f>
      </c>
      <c r="Y72" s="23">
        <f>IF($B72="Entry",IF(LEN(W72)&lt;4,"",IF(UPPER(MID(W72,4,1))="P","Individual",IF(UPPER(MID(W72,4,1))="H","HUF",IF(UPPER(MID(W72,4,1))="C","Company",IF(UPPER(MID(W72,4,1))="F","Firm",IF(UPPER(MID(W72,4,1))="L","LLP",IF(UPPER(MID(W72,4,1))="T","Trust",IF(UPPER(MID(W72,4,1))="A","AOP","")))))))),IF($B72="Challan","",IF(W72&lt;&gt;"","◄ Set Row Type","")))</f>
      </c>
      <c r="Z72" s="28"/>
      <c r="AA72" s="29">
        <f>IF($B72&lt;&gt;"Entry","",IF(Z72="","",IF(X72="Y",SUMPRODUCT(('Rate Lookup'!$A$1:$A$37=Z72)*'Rate Lookup'!$D$1:$D$37),IF(OR(Y72="Individual",Y72="HUF"),SUMPRODUCT(('Rate Lookup'!$A$1:$A$37=Z72)*'Rate Lookup'!$B$1:$B$37),SUMPRODUCT(('Rate Lookup'!$A$1:$A$37=Z72)*'Rate Lookup'!$C$1:$C$37)))))</f>
      </c>
      <c r="AB72" s="30"/>
      <c r="AC72" s="31"/>
      <c r="AD72" s="27">
        <f>IF($B72&lt;&gt;"Entry","",ROUND(AC72*AA72/100,0))</f>
      </c>
      <c r="AE72" s="27">
        <f>IF($B72&lt;&gt;"Entry","",0)</f>
      </c>
      <c r="AF72" s="27">
        <f>IF($B72&lt;&gt;"Entry","",0)</f>
      </c>
      <c r="AG72" s="27">
        <f>IF($B72&lt;&gt;"Entry","",IF(OR(AD72=0,AB72="",AQ72="",AQ72&lt;=0),0,IF(AQ72&lt;=DATE(YEAR(AB72),MONTH(AB72)+1,7),0,ROUND(AD72*0.015*((YEAR(AQ72)-YEAR(AB72))*12+(MONTH(AQ72)-MONTH(AB72))+1),0))))</f>
      </c>
      <c r="AH72" s="27">
        <f>IF($B72&lt;&gt;"Entry","",0)</f>
      </c>
      <c r="AI72" s="28"/>
      <c r="AJ72" s="28"/>
      <c r="AK72" s="32"/>
      <c r="AL72" s="28"/>
      <c r="AM72" s="28"/>
      <c r="AN72" s="27">
        <f>IF($B72&lt;&gt;"Challan","",SUMIF('Q1 Data'!$D$4:$D$207,D72,'Q1 Data'!$AD$4:$AD$207)+SUMIF('Q1 Data'!$D$4:$D$207,D72,'Q1 Data'!$AG$4:$AG$207)+SUMIF('Q1 Data'!$D$4:$D$207,D72,'Q1 Data'!$AE$4:$AE$207)+SUMIF('Q2 Data'!$D$4:$D$207,D72,'Q2 Data'!$AD$4:$AD$207)+SUMIF('Q2 Data'!$D$4:$D$207,D72,'Q2 Data'!$AG$4:$AG$207)+SUMIF('Q2 Data'!$D$4:$D$207,D72,'Q2 Data'!$AE$4:$AE$207)+SUMIF('Q3 Data'!$D$4:$D$207,D72,'Q3 Data'!$AD$4:$AD$207)+SUMIF('Q3 Data'!$D$4:$D$207,D72,'Q3 Data'!$AG$4:$AG$207)+SUMIF('Q3 Data'!$D$4:$D$207,D72,'Q3 Data'!$AE$4:$AE$207)+SUMIF('Q4 Data'!$D$4:$D$207,D72,'Q4 Data'!$AD$4:$AD$207)+SUMIF('Q4 Data'!$D$4:$D$207,D72,'Q4 Data'!$AG$4:$AG$207)+SUMIF('Q4 Data'!$D$4:$D$207,D72,'Q4 Data'!$AE$4:$AE$207))</f>
      </c>
      <c r="AO72" s="27">
        <f>IF($B72&lt;&gt;"Challan","",P72-N72)</f>
      </c>
      <c r="AP72" s="27">
        <f>IF($B72&lt;&gt;"Challan","",MAX(0,AO72-AN72))</f>
      </c>
      <c r="AQ72" s="33">
        <f>IF($B72&lt;&gt;"Entry","",SUMPRODUCT(('Q1 Data'!$D$4:$D$207=D72)*('Q1 Data'!$B$4:$B$207="Challan")*'Q1 Data'!$F$4:$F$207)+SUMPRODUCT(('Q2 Data'!$D$4:$D$207=D72)*('Q2 Data'!$B$4:$B$207="Challan")*'Q2 Data'!$F$4:$F$207)+SUMPRODUCT(('Q3 Data'!$D$4:$D$207=D72)*('Q3 Data'!$B$4:$B$207="Challan")*'Q3 Data'!$F$4:$F$207)+SUMPRODUCT(('Q4 Data'!$D$4:$D$207=D72)*('Q4 Data'!$B$4:$B$207="Challan")*'Q4 Data'!$F$4:$F$207))</f>
      </c>
      <c r="AR72" s="34">
        <f>IF(OR($B72&lt;&gt;"Entry",Z72=""),FALSE,AND((SUMPRODUCT(('Q1 Data'!$D$4:$D$207=D72)*('Q1 Data'!$B$4:$B$207="Challan")*('Q1 Data'!$H$4:$H$207&lt;&gt;""))+SUMPRODUCT(('Q2 Data'!$D$4:$D$207=D72)*('Q2 Data'!$B$4:$B$207="Challan")*('Q2 Data'!$H$4:$H$207&lt;&gt;""))+SUMPRODUCT(('Q3 Data'!$D$4:$D$207=D72)*('Q3 Data'!$B$4:$B$207="Challan")*('Q3 Data'!$H$4:$H$207&lt;&gt;""))+SUMPRODUCT(('Q4 Data'!$D$4:$D$207=D72)*('Q4 Data'!$B$4:$B$207="Challan")*('Q4 Data'!$H$4:$H$207&lt;&gt;"")))&gt;0,(SUMPRODUCT(('Q1 Data'!$D$4:$D$207=D72)*('Q1 Data'!$B$4:$B$207="Challan")*('Q1 Data'!$H$4:$H$207=Z72))+SUMPRODUCT(('Q2 Data'!$D$4:$D$207=D72)*('Q2 Data'!$B$4:$B$207="Challan")*('Q2 Data'!$H$4:$H$207=Z72))+SUMPRODUCT(('Q3 Data'!$D$4:$D$207=D72)*('Q3 Data'!$B$4:$B$207="Challan")*('Q3 Data'!$H$4:$H$207=Z72))+SUMPRODUCT(('Q4 Data'!$D$4:$D$207=D72)*('Q4 Data'!$B$4:$B$207="Challan")*('Q4 Data'!$H$4:$H$207=Z72)))=0))</f>
      </c>
    </row>
    <row r="73" spans="1:44" x14ac:dyDescent="0.25">
      <c r="A73" s="20">
        <f>IF($B73="Entry",COUNTIF($B$4:$B73,"Entry"),"")</f>
      </c>
      <c r="B73" s="21"/>
      <c r="C73" s="22"/>
      <c r="D73" s="22"/>
      <c r="E73" s="23">
        <f>IF($B73&lt;&gt;"Challan","",IF(ROUND(AN73-AO73,2)&gt;0,"Over-applied",IF(ROUND(AN73-AO73,2)=0,"Fully Utilised","Unconsumed")))</f>
      </c>
      <c r="F73" s="24"/>
      <c r="G73" s="25"/>
      <c r="H73" s="25"/>
      <c r="I73" s="26"/>
      <c r="J73" s="26"/>
      <c r="K73" s="26"/>
      <c r="L73" s="26"/>
      <c r="M73" s="26"/>
      <c r="N73" s="26"/>
      <c r="O73" s="26"/>
      <c r="P73" s="27">
        <f>IF($B73&lt;&gt;"Challan","",I73+J73+K73+L73+M73+N73)</f>
      </c>
      <c r="Q73" s="25"/>
      <c r="R73" s="25"/>
      <c r="S73" s="25"/>
      <c r="T73" s="25"/>
      <c r="U73" s="25"/>
      <c r="V73" s="28"/>
      <c r="W73" s="28"/>
      <c r="X73" s="23">
        <f>IF($B73="Entry",IF(AND(LEN(TRIM(UPPER(W73)))=10,CODE(MID(TRIM(UPPER(W73)),1,1))&gt;=65,CODE(MID(TRIM(UPPER(W73)),1,1))&lt;=90,CODE(MID(TRIM(UPPER(W73)),2,1))&gt;=65,CODE(MID(TRIM(UPPER(W73)),2,1))&lt;=90,CODE(MID(TRIM(UPPER(W73)),3,1))&gt;=65,CODE(MID(TRIM(UPPER(W73)),3,1))&lt;=90,CODE(MID(TRIM(UPPER(W73)),4,1))&gt;=65,CODE(MID(TRIM(UPPER(W73)),4,1))&lt;=90,CODE(MID(TRIM(UPPER(W73)),5,1))&gt;=65,CODE(MID(TRIM(UPPER(W73)),5,1))&lt;=90,CODE(MID(TRIM(UPPER(W73)),10,1))&gt;=65,CODE(MID(TRIM(UPPER(W73)),10,1))&lt;=90,CODE(MID(TRIM(UPPER(W73)),6,1))&gt;=48,CODE(MID(TRIM(UPPER(W73)),6,1))&lt;=57,CODE(MID(TRIM(UPPER(W73)),7,1))&gt;=48,CODE(MID(TRIM(UPPER(W73)),7,1))&lt;=57,CODE(MID(TRIM(UPPER(W73)),8,1))&gt;=48,CODE(MID(TRIM(UPPER(W73)),8,1))&lt;=57,CODE(MID(TRIM(UPPER(W73)),9,1))&gt;=48,CODE(MID(TRIM(UPPER(W73)),9,1))&lt;=57),"N","Y"),IF($B73="Challan","",IF(W73&lt;&gt;"","◄ Set Row Type","")))</f>
      </c>
      <c r="Y73" s="23">
        <f>IF($B73="Entry",IF(LEN(W73)&lt;4,"",IF(UPPER(MID(W73,4,1))="P","Individual",IF(UPPER(MID(W73,4,1))="H","HUF",IF(UPPER(MID(W73,4,1))="C","Company",IF(UPPER(MID(W73,4,1))="F","Firm",IF(UPPER(MID(W73,4,1))="L","LLP",IF(UPPER(MID(W73,4,1))="T","Trust",IF(UPPER(MID(W73,4,1))="A","AOP","")))))))),IF($B73="Challan","",IF(W73&lt;&gt;"","◄ Set Row Type","")))</f>
      </c>
      <c r="Z73" s="28"/>
      <c r="AA73" s="29">
        <f>IF($B73&lt;&gt;"Entry","",IF(Z73="","",IF(X73="Y",SUMPRODUCT(('Rate Lookup'!$A$1:$A$37=Z73)*'Rate Lookup'!$D$1:$D$37),IF(OR(Y73="Individual",Y73="HUF"),SUMPRODUCT(('Rate Lookup'!$A$1:$A$37=Z73)*'Rate Lookup'!$B$1:$B$37),SUMPRODUCT(('Rate Lookup'!$A$1:$A$37=Z73)*'Rate Lookup'!$C$1:$C$37)))))</f>
      </c>
      <c r="AB73" s="30"/>
      <c r="AC73" s="31"/>
      <c r="AD73" s="27">
        <f>IF($B73&lt;&gt;"Entry","",ROUND(AC73*AA73/100,0))</f>
      </c>
      <c r="AE73" s="27">
        <f>IF($B73&lt;&gt;"Entry","",0)</f>
      </c>
      <c r="AF73" s="27">
        <f>IF($B73&lt;&gt;"Entry","",0)</f>
      </c>
      <c r="AG73" s="27">
        <f>IF($B73&lt;&gt;"Entry","",IF(OR(AD73=0,AB73="",AQ73="",AQ73&lt;=0),0,IF(AQ73&lt;=DATE(YEAR(AB73),MONTH(AB73)+1,7),0,ROUND(AD73*0.015*((YEAR(AQ73)-YEAR(AB73))*12+(MONTH(AQ73)-MONTH(AB73))+1),0))))</f>
      </c>
      <c r="AH73" s="27">
        <f>IF($B73&lt;&gt;"Entry","",0)</f>
      </c>
      <c r="AI73" s="28"/>
      <c r="AJ73" s="28"/>
      <c r="AK73" s="32"/>
      <c r="AL73" s="28"/>
      <c r="AM73" s="28"/>
      <c r="AN73" s="27">
        <f>IF($B73&lt;&gt;"Challan","",SUMIF('Q1 Data'!$D$4:$D$207,D73,'Q1 Data'!$AD$4:$AD$207)+SUMIF('Q1 Data'!$D$4:$D$207,D73,'Q1 Data'!$AG$4:$AG$207)+SUMIF('Q1 Data'!$D$4:$D$207,D73,'Q1 Data'!$AE$4:$AE$207)+SUMIF('Q2 Data'!$D$4:$D$207,D73,'Q2 Data'!$AD$4:$AD$207)+SUMIF('Q2 Data'!$D$4:$D$207,D73,'Q2 Data'!$AG$4:$AG$207)+SUMIF('Q2 Data'!$D$4:$D$207,D73,'Q2 Data'!$AE$4:$AE$207)+SUMIF('Q3 Data'!$D$4:$D$207,D73,'Q3 Data'!$AD$4:$AD$207)+SUMIF('Q3 Data'!$D$4:$D$207,D73,'Q3 Data'!$AG$4:$AG$207)+SUMIF('Q3 Data'!$D$4:$D$207,D73,'Q3 Data'!$AE$4:$AE$207)+SUMIF('Q4 Data'!$D$4:$D$207,D73,'Q4 Data'!$AD$4:$AD$207)+SUMIF('Q4 Data'!$D$4:$D$207,D73,'Q4 Data'!$AG$4:$AG$207)+SUMIF('Q4 Data'!$D$4:$D$207,D73,'Q4 Data'!$AE$4:$AE$207))</f>
      </c>
      <c r="AO73" s="27">
        <f>IF($B73&lt;&gt;"Challan","",P73-N73)</f>
      </c>
      <c r="AP73" s="27">
        <f>IF($B73&lt;&gt;"Challan","",MAX(0,AO73-AN73))</f>
      </c>
      <c r="AQ73" s="33">
        <f>IF($B73&lt;&gt;"Entry","",SUMPRODUCT(('Q1 Data'!$D$4:$D$207=D73)*('Q1 Data'!$B$4:$B$207="Challan")*'Q1 Data'!$F$4:$F$207)+SUMPRODUCT(('Q2 Data'!$D$4:$D$207=D73)*('Q2 Data'!$B$4:$B$207="Challan")*'Q2 Data'!$F$4:$F$207)+SUMPRODUCT(('Q3 Data'!$D$4:$D$207=D73)*('Q3 Data'!$B$4:$B$207="Challan")*'Q3 Data'!$F$4:$F$207)+SUMPRODUCT(('Q4 Data'!$D$4:$D$207=D73)*('Q4 Data'!$B$4:$B$207="Challan")*'Q4 Data'!$F$4:$F$207))</f>
      </c>
      <c r="AR73" s="34">
        <f>IF(OR($B73&lt;&gt;"Entry",Z73=""),FALSE,AND((SUMPRODUCT(('Q1 Data'!$D$4:$D$207=D73)*('Q1 Data'!$B$4:$B$207="Challan")*('Q1 Data'!$H$4:$H$207&lt;&gt;""))+SUMPRODUCT(('Q2 Data'!$D$4:$D$207=D73)*('Q2 Data'!$B$4:$B$207="Challan")*('Q2 Data'!$H$4:$H$207&lt;&gt;""))+SUMPRODUCT(('Q3 Data'!$D$4:$D$207=D73)*('Q3 Data'!$B$4:$B$207="Challan")*('Q3 Data'!$H$4:$H$207&lt;&gt;""))+SUMPRODUCT(('Q4 Data'!$D$4:$D$207=D73)*('Q4 Data'!$B$4:$B$207="Challan")*('Q4 Data'!$H$4:$H$207&lt;&gt;"")))&gt;0,(SUMPRODUCT(('Q1 Data'!$D$4:$D$207=D73)*('Q1 Data'!$B$4:$B$207="Challan")*('Q1 Data'!$H$4:$H$207=Z73))+SUMPRODUCT(('Q2 Data'!$D$4:$D$207=D73)*('Q2 Data'!$B$4:$B$207="Challan")*('Q2 Data'!$H$4:$H$207=Z73))+SUMPRODUCT(('Q3 Data'!$D$4:$D$207=D73)*('Q3 Data'!$B$4:$B$207="Challan")*('Q3 Data'!$H$4:$H$207=Z73))+SUMPRODUCT(('Q4 Data'!$D$4:$D$207=D73)*('Q4 Data'!$B$4:$B$207="Challan")*('Q4 Data'!$H$4:$H$207=Z73)))=0))</f>
      </c>
    </row>
    <row r="74" spans="1:44" x14ac:dyDescent="0.25">
      <c r="A74" s="20">
        <f>IF($B74="Entry",COUNTIF($B$4:$B74,"Entry"),"")</f>
      </c>
      <c r="B74" s="21"/>
      <c r="C74" s="22"/>
      <c r="D74" s="22"/>
      <c r="E74" s="23">
        <f>IF($B74&lt;&gt;"Challan","",IF(ROUND(AN74-AO74,2)&gt;0,"Over-applied",IF(ROUND(AN74-AO74,2)=0,"Fully Utilised","Unconsumed")))</f>
      </c>
      <c r="F74" s="24"/>
      <c r="G74" s="25"/>
      <c r="H74" s="25"/>
      <c r="I74" s="26"/>
      <c r="J74" s="26"/>
      <c r="K74" s="26"/>
      <c r="L74" s="26"/>
      <c r="M74" s="26"/>
      <c r="N74" s="26"/>
      <c r="O74" s="26"/>
      <c r="P74" s="27">
        <f>IF($B74&lt;&gt;"Challan","",I74+J74+K74+L74+M74+N74)</f>
      </c>
      <c r="Q74" s="25"/>
      <c r="R74" s="25"/>
      <c r="S74" s="25"/>
      <c r="T74" s="25"/>
      <c r="U74" s="25"/>
      <c r="V74" s="28"/>
      <c r="W74" s="28"/>
      <c r="X74" s="23">
        <f>IF($B74="Entry",IF(AND(LEN(TRIM(UPPER(W74)))=10,CODE(MID(TRIM(UPPER(W74)),1,1))&gt;=65,CODE(MID(TRIM(UPPER(W74)),1,1))&lt;=90,CODE(MID(TRIM(UPPER(W74)),2,1))&gt;=65,CODE(MID(TRIM(UPPER(W74)),2,1))&lt;=90,CODE(MID(TRIM(UPPER(W74)),3,1))&gt;=65,CODE(MID(TRIM(UPPER(W74)),3,1))&lt;=90,CODE(MID(TRIM(UPPER(W74)),4,1))&gt;=65,CODE(MID(TRIM(UPPER(W74)),4,1))&lt;=90,CODE(MID(TRIM(UPPER(W74)),5,1))&gt;=65,CODE(MID(TRIM(UPPER(W74)),5,1))&lt;=90,CODE(MID(TRIM(UPPER(W74)),10,1))&gt;=65,CODE(MID(TRIM(UPPER(W74)),10,1))&lt;=90,CODE(MID(TRIM(UPPER(W74)),6,1))&gt;=48,CODE(MID(TRIM(UPPER(W74)),6,1))&lt;=57,CODE(MID(TRIM(UPPER(W74)),7,1))&gt;=48,CODE(MID(TRIM(UPPER(W74)),7,1))&lt;=57,CODE(MID(TRIM(UPPER(W74)),8,1))&gt;=48,CODE(MID(TRIM(UPPER(W74)),8,1))&lt;=57,CODE(MID(TRIM(UPPER(W74)),9,1))&gt;=48,CODE(MID(TRIM(UPPER(W74)),9,1))&lt;=57),"N","Y"),IF($B74="Challan","",IF(W74&lt;&gt;"","◄ Set Row Type","")))</f>
      </c>
      <c r="Y74" s="23">
        <f>IF($B74="Entry",IF(LEN(W74)&lt;4,"",IF(UPPER(MID(W74,4,1))="P","Individual",IF(UPPER(MID(W74,4,1))="H","HUF",IF(UPPER(MID(W74,4,1))="C","Company",IF(UPPER(MID(W74,4,1))="F","Firm",IF(UPPER(MID(W74,4,1))="L","LLP",IF(UPPER(MID(W74,4,1))="T","Trust",IF(UPPER(MID(W74,4,1))="A","AOP","")))))))),IF($B74="Challan","",IF(W74&lt;&gt;"","◄ Set Row Type","")))</f>
      </c>
      <c r="Z74" s="28"/>
      <c r="AA74" s="29">
        <f>IF($B74&lt;&gt;"Entry","",IF(Z74="","",IF(X74="Y",SUMPRODUCT(('Rate Lookup'!$A$1:$A$37=Z74)*'Rate Lookup'!$D$1:$D$37),IF(OR(Y74="Individual",Y74="HUF"),SUMPRODUCT(('Rate Lookup'!$A$1:$A$37=Z74)*'Rate Lookup'!$B$1:$B$37),SUMPRODUCT(('Rate Lookup'!$A$1:$A$37=Z74)*'Rate Lookup'!$C$1:$C$37)))))</f>
      </c>
      <c r="AB74" s="30"/>
      <c r="AC74" s="31"/>
      <c r="AD74" s="27">
        <f>IF($B74&lt;&gt;"Entry","",ROUND(AC74*AA74/100,0))</f>
      </c>
      <c r="AE74" s="27">
        <f>IF($B74&lt;&gt;"Entry","",0)</f>
      </c>
      <c r="AF74" s="27">
        <f>IF($B74&lt;&gt;"Entry","",0)</f>
      </c>
      <c r="AG74" s="27">
        <f>IF($B74&lt;&gt;"Entry","",IF(OR(AD74=0,AB74="",AQ74="",AQ74&lt;=0),0,IF(AQ74&lt;=DATE(YEAR(AB74),MONTH(AB74)+1,7),0,ROUND(AD74*0.015*((YEAR(AQ74)-YEAR(AB74))*12+(MONTH(AQ74)-MONTH(AB74))+1),0))))</f>
      </c>
      <c r="AH74" s="27">
        <f>IF($B74&lt;&gt;"Entry","",0)</f>
      </c>
      <c r="AI74" s="28"/>
      <c r="AJ74" s="28"/>
      <c r="AK74" s="32"/>
      <c r="AL74" s="28"/>
      <c r="AM74" s="28"/>
      <c r="AN74" s="27">
        <f>IF($B74&lt;&gt;"Challan","",SUMIF('Q1 Data'!$D$4:$D$207,D74,'Q1 Data'!$AD$4:$AD$207)+SUMIF('Q1 Data'!$D$4:$D$207,D74,'Q1 Data'!$AG$4:$AG$207)+SUMIF('Q1 Data'!$D$4:$D$207,D74,'Q1 Data'!$AE$4:$AE$207)+SUMIF('Q2 Data'!$D$4:$D$207,D74,'Q2 Data'!$AD$4:$AD$207)+SUMIF('Q2 Data'!$D$4:$D$207,D74,'Q2 Data'!$AG$4:$AG$207)+SUMIF('Q2 Data'!$D$4:$D$207,D74,'Q2 Data'!$AE$4:$AE$207)+SUMIF('Q3 Data'!$D$4:$D$207,D74,'Q3 Data'!$AD$4:$AD$207)+SUMIF('Q3 Data'!$D$4:$D$207,D74,'Q3 Data'!$AG$4:$AG$207)+SUMIF('Q3 Data'!$D$4:$D$207,D74,'Q3 Data'!$AE$4:$AE$207)+SUMIF('Q4 Data'!$D$4:$D$207,D74,'Q4 Data'!$AD$4:$AD$207)+SUMIF('Q4 Data'!$D$4:$D$207,D74,'Q4 Data'!$AG$4:$AG$207)+SUMIF('Q4 Data'!$D$4:$D$207,D74,'Q4 Data'!$AE$4:$AE$207))</f>
      </c>
      <c r="AO74" s="27">
        <f>IF($B74&lt;&gt;"Challan","",P74-N74)</f>
      </c>
      <c r="AP74" s="27">
        <f>IF($B74&lt;&gt;"Challan","",MAX(0,AO74-AN74))</f>
      </c>
      <c r="AQ74" s="33">
        <f>IF($B74&lt;&gt;"Entry","",SUMPRODUCT(('Q1 Data'!$D$4:$D$207=D74)*('Q1 Data'!$B$4:$B$207="Challan")*'Q1 Data'!$F$4:$F$207)+SUMPRODUCT(('Q2 Data'!$D$4:$D$207=D74)*('Q2 Data'!$B$4:$B$207="Challan")*'Q2 Data'!$F$4:$F$207)+SUMPRODUCT(('Q3 Data'!$D$4:$D$207=D74)*('Q3 Data'!$B$4:$B$207="Challan")*'Q3 Data'!$F$4:$F$207)+SUMPRODUCT(('Q4 Data'!$D$4:$D$207=D74)*('Q4 Data'!$B$4:$B$207="Challan")*'Q4 Data'!$F$4:$F$207))</f>
      </c>
      <c r="AR74" s="34">
        <f>IF(OR($B74&lt;&gt;"Entry",Z74=""),FALSE,AND((SUMPRODUCT(('Q1 Data'!$D$4:$D$207=D74)*('Q1 Data'!$B$4:$B$207="Challan")*('Q1 Data'!$H$4:$H$207&lt;&gt;""))+SUMPRODUCT(('Q2 Data'!$D$4:$D$207=D74)*('Q2 Data'!$B$4:$B$207="Challan")*('Q2 Data'!$H$4:$H$207&lt;&gt;""))+SUMPRODUCT(('Q3 Data'!$D$4:$D$207=D74)*('Q3 Data'!$B$4:$B$207="Challan")*('Q3 Data'!$H$4:$H$207&lt;&gt;""))+SUMPRODUCT(('Q4 Data'!$D$4:$D$207=D74)*('Q4 Data'!$B$4:$B$207="Challan")*('Q4 Data'!$H$4:$H$207&lt;&gt;"")))&gt;0,(SUMPRODUCT(('Q1 Data'!$D$4:$D$207=D74)*('Q1 Data'!$B$4:$B$207="Challan")*('Q1 Data'!$H$4:$H$207=Z74))+SUMPRODUCT(('Q2 Data'!$D$4:$D$207=D74)*('Q2 Data'!$B$4:$B$207="Challan")*('Q2 Data'!$H$4:$H$207=Z74))+SUMPRODUCT(('Q3 Data'!$D$4:$D$207=D74)*('Q3 Data'!$B$4:$B$207="Challan")*('Q3 Data'!$H$4:$H$207=Z74))+SUMPRODUCT(('Q4 Data'!$D$4:$D$207=D74)*('Q4 Data'!$B$4:$B$207="Challan")*('Q4 Data'!$H$4:$H$207=Z74)))=0))</f>
      </c>
    </row>
    <row r="75" spans="1:44" x14ac:dyDescent="0.25">
      <c r="A75" s="20">
        <f>IF($B75="Entry",COUNTIF($B$4:$B75,"Entry"),"")</f>
      </c>
      <c r="B75" s="21"/>
      <c r="C75" s="22"/>
      <c r="D75" s="22"/>
      <c r="E75" s="23">
        <f>IF($B75&lt;&gt;"Challan","",IF(ROUND(AN75-AO75,2)&gt;0,"Over-applied",IF(ROUND(AN75-AO75,2)=0,"Fully Utilised","Unconsumed")))</f>
      </c>
      <c r="F75" s="24"/>
      <c r="G75" s="25"/>
      <c r="H75" s="25"/>
      <c r="I75" s="26"/>
      <c r="J75" s="26"/>
      <c r="K75" s="26"/>
      <c r="L75" s="26"/>
      <c r="M75" s="26"/>
      <c r="N75" s="26"/>
      <c r="O75" s="26"/>
      <c r="P75" s="27">
        <f>IF($B75&lt;&gt;"Challan","",I75+J75+K75+L75+M75+N75)</f>
      </c>
      <c r="Q75" s="25"/>
      <c r="R75" s="25"/>
      <c r="S75" s="25"/>
      <c r="T75" s="25"/>
      <c r="U75" s="25"/>
      <c r="V75" s="28"/>
      <c r="W75" s="28"/>
      <c r="X75" s="23">
        <f>IF($B75="Entry",IF(AND(LEN(TRIM(UPPER(W75)))=10,CODE(MID(TRIM(UPPER(W75)),1,1))&gt;=65,CODE(MID(TRIM(UPPER(W75)),1,1))&lt;=90,CODE(MID(TRIM(UPPER(W75)),2,1))&gt;=65,CODE(MID(TRIM(UPPER(W75)),2,1))&lt;=90,CODE(MID(TRIM(UPPER(W75)),3,1))&gt;=65,CODE(MID(TRIM(UPPER(W75)),3,1))&lt;=90,CODE(MID(TRIM(UPPER(W75)),4,1))&gt;=65,CODE(MID(TRIM(UPPER(W75)),4,1))&lt;=90,CODE(MID(TRIM(UPPER(W75)),5,1))&gt;=65,CODE(MID(TRIM(UPPER(W75)),5,1))&lt;=90,CODE(MID(TRIM(UPPER(W75)),10,1))&gt;=65,CODE(MID(TRIM(UPPER(W75)),10,1))&lt;=90,CODE(MID(TRIM(UPPER(W75)),6,1))&gt;=48,CODE(MID(TRIM(UPPER(W75)),6,1))&lt;=57,CODE(MID(TRIM(UPPER(W75)),7,1))&gt;=48,CODE(MID(TRIM(UPPER(W75)),7,1))&lt;=57,CODE(MID(TRIM(UPPER(W75)),8,1))&gt;=48,CODE(MID(TRIM(UPPER(W75)),8,1))&lt;=57,CODE(MID(TRIM(UPPER(W75)),9,1))&gt;=48,CODE(MID(TRIM(UPPER(W75)),9,1))&lt;=57),"N","Y"),IF($B75="Challan","",IF(W75&lt;&gt;"","◄ Set Row Type","")))</f>
      </c>
      <c r="Y75" s="23">
        <f>IF($B75="Entry",IF(LEN(W75)&lt;4,"",IF(UPPER(MID(W75,4,1))="P","Individual",IF(UPPER(MID(W75,4,1))="H","HUF",IF(UPPER(MID(W75,4,1))="C","Company",IF(UPPER(MID(W75,4,1))="F","Firm",IF(UPPER(MID(W75,4,1))="L","LLP",IF(UPPER(MID(W75,4,1))="T","Trust",IF(UPPER(MID(W75,4,1))="A","AOP","")))))))),IF($B75="Challan","",IF(W75&lt;&gt;"","◄ Set Row Type","")))</f>
      </c>
      <c r="Z75" s="28"/>
      <c r="AA75" s="29">
        <f>IF($B75&lt;&gt;"Entry","",IF(Z75="","",IF(X75="Y",SUMPRODUCT(('Rate Lookup'!$A$1:$A$37=Z75)*'Rate Lookup'!$D$1:$D$37),IF(OR(Y75="Individual",Y75="HUF"),SUMPRODUCT(('Rate Lookup'!$A$1:$A$37=Z75)*'Rate Lookup'!$B$1:$B$37),SUMPRODUCT(('Rate Lookup'!$A$1:$A$37=Z75)*'Rate Lookup'!$C$1:$C$37)))))</f>
      </c>
      <c r="AB75" s="30"/>
      <c r="AC75" s="31"/>
      <c r="AD75" s="27">
        <f>IF($B75&lt;&gt;"Entry","",ROUND(AC75*AA75/100,0))</f>
      </c>
      <c r="AE75" s="27">
        <f>IF($B75&lt;&gt;"Entry","",0)</f>
      </c>
      <c r="AF75" s="27">
        <f>IF($B75&lt;&gt;"Entry","",0)</f>
      </c>
      <c r="AG75" s="27">
        <f>IF($B75&lt;&gt;"Entry","",IF(OR(AD75=0,AB75="",AQ75="",AQ75&lt;=0),0,IF(AQ75&lt;=DATE(YEAR(AB75),MONTH(AB75)+1,7),0,ROUND(AD75*0.015*((YEAR(AQ75)-YEAR(AB75))*12+(MONTH(AQ75)-MONTH(AB75))+1),0))))</f>
      </c>
      <c r="AH75" s="27">
        <f>IF($B75&lt;&gt;"Entry","",0)</f>
      </c>
      <c r="AI75" s="28"/>
      <c r="AJ75" s="28"/>
      <c r="AK75" s="32"/>
      <c r="AL75" s="28"/>
      <c r="AM75" s="28"/>
      <c r="AN75" s="27">
        <f>IF($B75&lt;&gt;"Challan","",SUMIF('Q1 Data'!$D$4:$D$207,D75,'Q1 Data'!$AD$4:$AD$207)+SUMIF('Q1 Data'!$D$4:$D$207,D75,'Q1 Data'!$AG$4:$AG$207)+SUMIF('Q1 Data'!$D$4:$D$207,D75,'Q1 Data'!$AE$4:$AE$207)+SUMIF('Q2 Data'!$D$4:$D$207,D75,'Q2 Data'!$AD$4:$AD$207)+SUMIF('Q2 Data'!$D$4:$D$207,D75,'Q2 Data'!$AG$4:$AG$207)+SUMIF('Q2 Data'!$D$4:$D$207,D75,'Q2 Data'!$AE$4:$AE$207)+SUMIF('Q3 Data'!$D$4:$D$207,D75,'Q3 Data'!$AD$4:$AD$207)+SUMIF('Q3 Data'!$D$4:$D$207,D75,'Q3 Data'!$AG$4:$AG$207)+SUMIF('Q3 Data'!$D$4:$D$207,D75,'Q3 Data'!$AE$4:$AE$207)+SUMIF('Q4 Data'!$D$4:$D$207,D75,'Q4 Data'!$AD$4:$AD$207)+SUMIF('Q4 Data'!$D$4:$D$207,D75,'Q4 Data'!$AG$4:$AG$207)+SUMIF('Q4 Data'!$D$4:$D$207,D75,'Q4 Data'!$AE$4:$AE$207))</f>
      </c>
      <c r="AO75" s="27">
        <f>IF($B75&lt;&gt;"Challan","",P75-N75)</f>
      </c>
      <c r="AP75" s="27">
        <f>IF($B75&lt;&gt;"Challan","",MAX(0,AO75-AN75))</f>
      </c>
      <c r="AQ75" s="33">
        <f>IF($B75&lt;&gt;"Entry","",SUMPRODUCT(('Q1 Data'!$D$4:$D$207=D75)*('Q1 Data'!$B$4:$B$207="Challan")*'Q1 Data'!$F$4:$F$207)+SUMPRODUCT(('Q2 Data'!$D$4:$D$207=D75)*('Q2 Data'!$B$4:$B$207="Challan")*'Q2 Data'!$F$4:$F$207)+SUMPRODUCT(('Q3 Data'!$D$4:$D$207=D75)*('Q3 Data'!$B$4:$B$207="Challan")*'Q3 Data'!$F$4:$F$207)+SUMPRODUCT(('Q4 Data'!$D$4:$D$207=D75)*('Q4 Data'!$B$4:$B$207="Challan")*'Q4 Data'!$F$4:$F$207))</f>
      </c>
      <c r="AR75" s="34">
        <f>IF(OR($B75&lt;&gt;"Entry",Z75=""),FALSE,AND((SUMPRODUCT(('Q1 Data'!$D$4:$D$207=D75)*('Q1 Data'!$B$4:$B$207="Challan")*('Q1 Data'!$H$4:$H$207&lt;&gt;""))+SUMPRODUCT(('Q2 Data'!$D$4:$D$207=D75)*('Q2 Data'!$B$4:$B$207="Challan")*('Q2 Data'!$H$4:$H$207&lt;&gt;""))+SUMPRODUCT(('Q3 Data'!$D$4:$D$207=D75)*('Q3 Data'!$B$4:$B$207="Challan")*('Q3 Data'!$H$4:$H$207&lt;&gt;""))+SUMPRODUCT(('Q4 Data'!$D$4:$D$207=D75)*('Q4 Data'!$B$4:$B$207="Challan")*('Q4 Data'!$H$4:$H$207&lt;&gt;"")))&gt;0,(SUMPRODUCT(('Q1 Data'!$D$4:$D$207=D75)*('Q1 Data'!$B$4:$B$207="Challan")*('Q1 Data'!$H$4:$H$207=Z75))+SUMPRODUCT(('Q2 Data'!$D$4:$D$207=D75)*('Q2 Data'!$B$4:$B$207="Challan")*('Q2 Data'!$H$4:$H$207=Z75))+SUMPRODUCT(('Q3 Data'!$D$4:$D$207=D75)*('Q3 Data'!$B$4:$B$207="Challan")*('Q3 Data'!$H$4:$H$207=Z75))+SUMPRODUCT(('Q4 Data'!$D$4:$D$207=D75)*('Q4 Data'!$B$4:$B$207="Challan")*('Q4 Data'!$H$4:$H$207=Z75)))=0))</f>
      </c>
    </row>
    <row r="76" spans="1:44" x14ac:dyDescent="0.25">
      <c r="A76" s="20">
        <f>IF($B76="Entry",COUNTIF($B$4:$B76,"Entry"),"")</f>
      </c>
      <c r="B76" s="21"/>
      <c r="C76" s="22"/>
      <c r="D76" s="22"/>
      <c r="E76" s="23">
        <f>IF($B76&lt;&gt;"Challan","",IF(ROUND(AN76-AO76,2)&gt;0,"Over-applied",IF(ROUND(AN76-AO76,2)=0,"Fully Utilised","Unconsumed")))</f>
      </c>
      <c r="F76" s="24"/>
      <c r="G76" s="25"/>
      <c r="H76" s="25"/>
      <c r="I76" s="26"/>
      <c r="J76" s="26"/>
      <c r="K76" s="26"/>
      <c r="L76" s="26"/>
      <c r="M76" s="26"/>
      <c r="N76" s="26"/>
      <c r="O76" s="26"/>
      <c r="P76" s="27">
        <f>IF($B76&lt;&gt;"Challan","",I76+J76+K76+L76+M76+N76)</f>
      </c>
      <c r="Q76" s="25"/>
      <c r="R76" s="25"/>
      <c r="S76" s="25"/>
      <c r="T76" s="25"/>
      <c r="U76" s="25"/>
      <c r="V76" s="28"/>
      <c r="W76" s="28"/>
      <c r="X76" s="23">
        <f>IF($B76="Entry",IF(AND(LEN(TRIM(UPPER(W76)))=10,CODE(MID(TRIM(UPPER(W76)),1,1))&gt;=65,CODE(MID(TRIM(UPPER(W76)),1,1))&lt;=90,CODE(MID(TRIM(UPPER(W76)),2,1))&gt;=65,CODE(MID(TRIM(UPPER(W76)),2,1))&lt;=90,CODE(MID(TRIM(UPPER(W76)),3,1))&gt;=65,CODE(MID(TRIM(UPPER(W76)),3,1))&lt;=90,CODE(MID(TRIM(UPPER(W76)),4,1))&gt;=65,CODE(MID(TRIM(UPPER(W76)),4,1))&lt;=90,CODE(MID(TRIM(UPPER(W76)),5,1))&gt;=65,CODE(MID(TRIM(UPPER(W76)),5,1))&lt;=90,CODE(MID(TRIM(UPPER(W76)),10,1))&gt;=65,CODE(MID(TRIM(UPPER(W76)),10,1))&lt;=90,CODE(MID(TRIM(UPPER(W76)),6,1))&gt;=48,CODE(MID(TRIM(UPPER(W76)),6,1))&lt;=57,CODE(MID(TRIM(UPPER(W76)),7,1))&gt;=48,CODE(MID(TRIM(UPPER(W76)),7,1))&lt;=57,CODE(MID(TRIM(UPPER(W76)),8,1))&gt;=48,CODE(MID(TRIM(UPPER(W76)),8,1))&lt;=57,CODE(MID(TRIM(UPPER(W76)),9,1))&gt;=48,CODE(MID(TRIM(UPPER(W76)),9,1))&lt;=57),"N","Y"),IF($B76="Challan","",IF(W76&lt;&gt;"","◄ Set Row Type","")))</f>
      </c>
      <c r="Y76" s="23">
        <f>IF($B76="Entry",IF(LEN(W76)&lt;4,"",IF(UPPER(MID(W76,4,1))="P","Individual",IF(UPPER(MID(W76,4,1))="H","HUF",IF(UPPER(MID(W76,4,1))="C","Company",IF(UPPER(MID(W76,4,1))="F","Firm",IF(UPPER(MID(W76,4,1))="L","LLP",IF(UPPER(MID(W76,4,1))="T","Trust",IF(UPPER(MID(W76,4,1))="A","AOP","")))))))),IF($B76="Challan","",IF(W76&lt;&gt;"","◄ Set Row Type","")))</f>
      </c>
      <c r="Z76" s="28"/>
      <c r="AA76" s="29">
        <f>IF($B76&lt;&gt;"Entry","",IF(Z76="","",IF(X76="Y",SUMPRODUCT(('Rate Lookup'!$A$1:$A$37=Z76)*'Rate Lookup'!$D$1:$D$37),IF(OR(Y76="Individual",Y76="HUF"),SUMPRODUCT(('Rate Lookup'!$A$1:$A$37=Z76)*'Rate Lookup'!$B$1:$B$37),SUMPRODUCT(('Rate Lookup'!$A$1:$A$37=Z76)*'Rate Lookup'!$C$1:$C$37)))))</f>
      </c>
      <c r="AB76" s="30"/>
      <c r="AC76" s="31"/>
      <c r="AD76" s="27">
        <f>IF($B76&lt;&gt;"Entry","",ROUND(AC76*AA76/100,0))</f>
      </c>
      <c r="AE76" s="27">
        <f>IF($B76&lt;&gt;"Entry","",0)</f>
      </c>
      <c r="AF76" s="27">
        <f>IF($B76&lt;&gt;"Entry","",0)</f>
      </c>
      <c r="AG76" s="27">
        <f>IF($B76&lt;&gt;"Entry","",IF(OR(AD76=0,AB76="",AQ76="",AQ76&lt;=0),0,IF(AQ76&lt;=DATE(YEAR(AB76),MONTH(AB76)+1,7),0,ROUND(AD76*0.015*((YEAR(AQ76)-YEAR(AB76))*12+(MONTH(AQ76)-MONTH(AB76))+1),0))))</f>
      </c>
      <c r="AH76" s="27">
        <f>IF($B76&lt;&gt;"Entry","",0)</f>
      </c>
      <c r="AI76" s="28"/>
      <c r="AJ76" s="28"/>
      <c r="AK76" s="32"/>
      <c r="AL76" s="28"/>
      <c r="AM76" s="28"/>
      <c r="AN76" s="27">
        <f>IF($B76&lt;&gt;"Challan","",SUMIF('Q1 Data'!$D$4:$D$207,D76,'Q1 Data'!$AD$4:$AD$207)+SUMIF('Q1 Data'!$D$4:$D$207,D76,'Q1 Data'!$AG$4:$AG$207)+SUMIF('Q1 Data'!$D$4:$D$207,D76,'Q1 Data'!$AE$4:$AE$207)+SUMIF('Q2 Data'!$D$4:$D$207,D76,'Q2 Data'!$AD$4:$AD$207)+SUMIF('Q2 Data'!$D$4:$D$207,D76,'Q2 Data'!$AG$4:$AG$207)+SUMIF('Q2 Data'!$D$4:$D$207,D76,'Q2 Data'!$AE$4:$AE$207)+SUMIF('Q3 Data'!$D$4:$D$207,D76,'Q3 Data'!$AD$4:$AD$207)+SUMIF('Q3 Data'!$D$4:$D$207,D76,'Q3 Data'!$AG$4:$AG$207)+SUMIF('Q3 Data'!$D$4:$D$207,D76,'Q3 Data'!$AE$4:$AE$207)+SUMIF('Q4 Data'!$D$4:$D$207,D76,'Q4 Data'!$AD$4:$AD$207)+SUMIF('Q4 Data'!$D$4:$D$207,D76,'Q4 Data'!$AG$4:$AG$207)+SUMIF('Q4 Data'!$D$4:$D$207,D76,'Q4 Data'!$AE$4:$AE$207))</f>
      </c>
      <c r="AO76" s="27">
        <f>IF($B76&lt;&gt;"Challan","",P76-N76)</f>
      </c>
      <c r="AP76" s="27">
        <f>IF($B76&lt;&gt;"Challan","",MAX(0,AO76-AN76))</f>
      </c>
      <c r="AQ76" s="33">
        <f>IF($B76&lt;&gt;"Entry","",SUMPRODUCT(('Q1 Data'!$D$4:$D$207=D76)*('Q1 Data'!$B$4:$B$207="Challan")*'Q1 Data'!$F$4:$F$207)+SUMPRODUCT(('Q2 Data'!$D$4:$D$207=D76)*('Q2 Data'!$B$4:$B$207="Challan")*'Q2 Data'!$F$4:$F$207)+SUMPRODUCT(('Q3 Data'!$D$4:$D$207=D76)*('Q3 Data'!$B$4:$B$207="Challan")*'Q3 Data'!$F$4:$F$207)+SUMPRODUCT(('Q4 Data'!$D$4:$D$207=D76)*('Q4 Data'!$B$4:$B$207="Challan")*'Q4 Data'!$F$4:$F$207))</f>
      </c>
      <c r="AR76" s="34">
        <f>IF(OR($B76&lt;&gt;"Entry",Z76=""),FALSE,AND((SUMPRODUCT(('Q1 Data'!$D$4:$D$207=D76)*('Q1 Data'!$B$4:$B$207="Challan")*('Q1 Data'!$H$4:$H$207&lt;&gt;""))+SUMPRODUCT(('Q2 Data'!$D$4:$D$207=D76)*('Q2 Data'!$B$4:$B$207="Challan")*('Q2 Data'!$H$4:$H$207&lt;&gt;""))+SUMPRODUCT(('Q3 Data'!$D$4:$D$207=D76)*('Q3 Data'!$B$4:$B$207="Challan")*('Q3 Data'!$H$4:$H$207&lt;&gt;""))+SUMPRODUCT(('Q4 Data'!$D$4:$D$207=D76)*('Q4 Data'!$B$4:$B$207="Challan")*('Q4 Data'!$H$4:$H$207&lt;&gt;"")))&gt;0,(SUMPRODUCT(('Q1 Data'!$D$4:$D$207=D76)*('Q1 Data'!$B$4:$B$207="Challan")*('Q1 Data'!$H$4:$H$207=Z76))+SUMPRODUCT(('Q2 Data'!$D$4:$D$207=D76)*('Q2 Data'!$B$4:$B$207="Challan")*('Q2 Data'!$H$4:$H$207=Z76))+SUMPRODUCT(('Q3 Data'!$D$4:$D$207=D76)*('Q3 Data'!$B$4:$B$207="Challan")*('Q3 Data'!$H$4:$H$207=Z76))+SUMPRODUCT(('Q4 Data'!$D$4:$D$207=D76)*('Q4 Data'!$B$4:$B$207="Challan")*('Q4 Data'!$H$4:$H$207=Z76)))=0))</f>
      </c>
    </row>
    <row r="77" spans="1:44" x14ac:dyDescent="0.25">
      <c r="A77" s="20">
        <f>IF($B77="Entry",COUNTIF($B$4:$B77,"Entry"),"")</f>
      </c>
      <c r="B77" s="21"/>
      <c r="C77" s="22"/>
      <c r="D77" s="22"/>
      <c r="E77" s="23">
        <f>IF($B77&lt;&gt;"Challan","",IF(ROUND(AN77-AO77,2)&gt;0,"Over-applied",IF(ROUND(AN77-AO77,2)=0,"Fully Utilised","Unconsumed")))</f>
      </c>
      <c r="F77" s="24"/>
      <c r="G77" s="25"/>
      <c r="H77" s="25"/>
      <c r="I77" s="26"/>
      <c r="J77" s="26"/>
      <c r="K77" s="26"/>
      <c r="L77" s="26"/>
      <c r="M77" s="26"/>
      <c r="N77" s="26"/>
      <c r="O77" s="26"/>
      <c r="P77" s="27">
        <f>IF($B77&lt;&gt;"Challan","",I77+J77+K77+L77+M77+N77)</f>
      </c>
      <c r="Q77" s="25"/>
      <c r="R77" s="25"/>
      <c r="S77" s="25"/>
      <c r="T77" s="25"/>
      <c r="U77" s="25"/>
      <c r="V77" s="28"/>
      <c r="W77" s="28"/>
      <c r="X77" s="23">
        <f>IF($B77="Entry",IF(AND(LEN(TRIM(UPPER(W77)))=10,CODE(MID(TRIM(UPPER(W77)),1,1))&gt;=65,CODE(MID(TRIM(UPPER(W77)),1,1))&lt;=90,CODE(MID(TRIM(UPPER(W77)),2,1))&gt;=65,CODE(MID(TRIM(UPPER(W77)),2,1))&lt;=90,CODE(MID(TRIM(UPPER(W77)),3,1))&gt;=65,CODE(MID(TRIM(UPPER(W77)),3,1))&lt;=90,CODE(MID(TRIM(UPPER(W77)),4,1))&gt;=65,CODE(MID(TRIM(UPPER(W77)),4,1))&lt;=90,CODE(MID(TRIM(UPPER(W77)),5,1))&gt;=65,CODE(MID(TRIM(UPPER(W77)),5,1))&lt;=90,CODE(MID(TRIM(UPPER(W77)),10,1))&gt;=65,CODE(MID(TRIM(UPPER(W77)),10,1))&lt;=90,CODE(MID(TRIM(UPPER(W77)),6,1))&gt;=48,CODE(MID(TRIM(UPPER(W77)),6,1))&lt;=57,CODE(MID(TRIM(UPPER(W77)),7,1))&gt;=48,CODE(MID(TRIM(UPPER(W77)),7,1))&lt;=57,CODE(MID(TRIM(UPPER(W77)),8,1))&gt;=48,CODE(MID(TRIM(UPPER(W77)),8,1))&lt;=57,CODE(MID(TRIM(UPPER(W77)),9,1))&gt;=48,CODE(MID(TRIM(UPPER(W77)),9,1))&lt;=57),"N","Y"),IF($B77="Challan","",IF(W77&lt;&gt;"","◄ Set Row Type","")))</f>
      </c>
      <c r="Y77" s="23">
        <f>IF($B77="Entry",IF(LEN(W77)&lt;4,"",IF(UPPER(MID(W77,4,1))="P","Individual",IF(UPPER(MID(W77,4,1))="H","HUF",IF(UPPER(MID(W77,4,1))="C","Company",IF(UPPER(MID(W77,4,1))="F","Firm",IF(UPPER(MID(W77,4,1))="L","LLP",IF(UPPER(MID(W77,4,1))="T","Trust",IF(UPPER(MID(W77,4,1))="A","AOP","")))))))),IF($B77="Challan","",IF(W77&lt;&gt;"","◄ Set Row Type","")))</f>
      </c>
      <c r="Z77" s="28"/>
      <c r="AA77" s="29">
        <f>IF($B77&lt;&gt;"Entry","",IF(Z77="","",IF(X77="Y",SUMPRODUCT(('Rate Lookup'!$A$1:$A$37=Z77)*'Rate Lookup'!$D$1:$D$37),IF(OR(Y77="Individual",Y77="HUF"),SUMPRODUCT(('Rate Lookup'!$A$1:$A$37=Z77)*'Rate Lookup'!$B$1:$B$37),SUMPRODUCT(('Rate Lookup'!$A$1:$A$37=Z77)*'Rate Lookup'!$C$1:$C$37)))))</f>
      </c>
      <c r="AB77" s="30"/>
      <c r="AC77" s="31"/>
      <c r="AD77" s="27">
        <f>IF($B77&lt;&gt;"Entry","",ROUND(AC77*AA77/100,0))</f>
      </c>
      <c r="AE77" s="27">
        <f>IF($B77&lt;&gt;"Entry","",0)</f>
      </c>
      <c r="AF77" s="27">
        <f>IF($B77&lt;&gt;"Entry","",0)</f>
      </c>
      <c r="AG77" s="27">
        <f>IF($B77&lt;&gt;"Entry","",IF(OR(AD77=0,AB77="",AQ77="",AQ77&lt;=0),0,IF(AQ77&lt;=DATE(YEAR(AB77),MONTH(AB77)+1,7),0,ROUND(AD77*0.015*((YEAR(AQ77)-YEAR(AB77))*12+(MONTH(AQ77)-MONTH(AB77))+1),0))))</f>
      </c>
      <c r="AH77" s="27">
        <f>IF($B77&lt;&gt;"Entry","",0)</f>
      </c>
      <c r="AI77" s="28"/>
      <c r="AJ77" s="28"/>
      <c r="AK77" s="32"/>
      <c r="AL77" s="28"/>
      <c r="AM77" s="28"/>
      <c r="AN77" s="27">
        <f>IF($B77&lt;&gt;"Challan","",SUMIF('Q1 Data'!$D$4:$D$207,D77,'Q1 Data'!$AD$4:$AD$207)+SUMIF('Q1 Data'!$D$4:$D$207,D77,'Q1 Data'!$AG$4:$AG$207)+SUMIF('Q1 Data'!$D$4:$D$207,D77,'Q1 Data'!$AE$4:$AE$207)+SUMIF('Q2 Data'!$D$4:$D$207,D77,'Q2 Data'!$AD$4:$AD$207)+SUMIF('Q2 Data'!$D$4:$D$207,D77,'Q2 Data'!$AG$4:$AG$207)+SUMIF('Q2 Data'!$D$4:$D$207,D77,'Q2 Data'!$AE$4:$AE$207)+SUMIF('Q3 Data'!$D$4:$D$207,D77,'Q3 Data'!$AD$4:$AD$207)+SUMIF('Q3 Data'!$D$4:$D$207,D77,'Q3 Data'!$AG$4:$AG$207)+SUMIF('Q3 Data'!$D$4:$D$207,D77,'Q3 Data'!$AE$4:$AE$207)+SUMIF('Q4 Data'!$D$4:$D$207,D77,'Q4 Data'!$AD$4:$AD$207)+SUMIF('Q4 Data'!$D$4:$D$207,D77,'Q4 Data'!$AG$4:$AG$207)+SUMIF('Q4 Data'!$D$4:$D$207,D77,'Q4 Data'!$AE$4:$AE$207))</f>
      </c>
      <c r="AO77" s="27">
        <f>IF($B77&lt;&gt;"Challan","",P77-N77)</f>
      </c>
      <c r="AP77" s="27">
        <f>IF($B77&lt;&gt;"Challan","",MAX(0,AO77-AN77))</f>
      </c>
      <c r="AQ77" s="33">
        <f>IF($B77&lt;&gt;"Entry","",SUMPRODUCT(('Q1 Data'!$D$4:$D$207=D77)*('Q1 Data'!$B$4:$B$207="Challan")*'Q1 Data'!$F$4:$F$207)+SUMPRODUCT(('Q2 Data'!$D$4:$D$207=D77)*('Q2 Data'!$B$4:$B$207="Challan")*'Q2 Data'!$F$4:$F$207)+SUMPRODUCT(('Q3 Data'!$D$4:$D$207=D77)*('Q3 Data'!$B$4:$B$207="Challan")*'Q3 Data'!$F$4:$F$207)+SUMPRODUCT(('Q4 Data'!$D$4:$D$207=D77)*('Q4 Data'!$B$4:$B$207="Challan")*'Q4 Data'!$F$4:$F$207))</f>
      </c>
      <c r="AR77" s="34">
        <f>IF(OR($B77&lt;&gt;"Entry",Z77=""),FALSE,AND((SUMPRODUCT(('Q1 Data'!$D$4:$D$207=D77)*('Q1 Data'!$B$4:$B$207="Challan")*('Q1 Data'!$H$4:$H$207&lt;&gt;""))+SUMPRODUCT(('Q2 Data'!$D$4:$D$207=D77)*('Q2 Data'!$B$4:$B$207="Challan")*('Q2 Data'!$H$4:$H$207&lt;&gt;""))+SUMPRODUCT(('Q3 Data'!$D$4:$D$207=D77)*('Q3 Data'!$B$4:$B$207="Challan")*('Q3 Data'!$H$4:$H$207&lt;&gt;""))+SUMPRODUCT(('Q4 Data'!$D$4:$D$207=D77)*('Q4 Data'!$B$4:$B$207="Challan")*('Q4 Data'!$H$4:$H$207&lt;&gt;"")))&gt;0,(SUMPRODUCT(('Q1 Data'!$D$4:$D$207=D77)*('Q1 Data'!$B$4:$B$207="Challan")*('Q1 Data'!$H$4:$H$207=Z77))+SUMPRODUCT(('Q2 Data'!$D$4:$D$207=D77)*('Q2 Data'!$B$4:$B$207="Challan")*('Q2 Data'!$H$4:$H$207=Z77))+SUMPRODUCT(('Q3 Data'!$D$4:$D$207=D77)*('Q3 Data'!$B$4:$B$207="Challan")*('Q3 Data'!$H$4:$H$207=Z77))+SUMPRODUCT(('Q4 Data'!$D$4:$D$207=D77)*('Q4 Data'!$B$4:$B$207="Challan")*('Q4 Data'!$H$4:$H$207=Z77)))=0))</f>
      </c>
    </row>
    <row r="78" spans="1:44" x14ac:dyDescent="0.25">
      <c r="A78" s="20">
        <f>IF($B78="Entry",COUNTIF($B$4:$B78,"Entry"),"")</f>
      </c>
      <c r="B78" s="21"/>
      <c r="C78" s="22"/>
      <c r="D78" s="22"/>
      <c r="E78" s="23">
        <f>IF($B78&lt;&gt;"Challan","",IF(ROUND(AN78-AO78,2)&gt;0,"Over-applied",IF(ROUND(AN78-AO78,2)=0,"Fully Utilised","Unconsumed")))</f>
      </c>
      <c r="F78" s="24"/>
      <c r="G78" s="25"/>
      <c r="H78" s="25"/>
      <c r="I78" s="26"/>
      <c r="J78" s="26"/>
      <c r="K78" s="26"/>
      <c r="L78" s="26"/>
      <c r="M78" s="26"/>
      <c r="N78" s="26"/>
      <c r="O78" s="26"/>
      <c r="P78" s="27">
        <f>IF($B78&lt;&gt;"Challan","",I78+J78+K78+L78+M78+N78)</f>
      </c>
      <c r="Q78" s="25"/>
      <c r="R78" s="25"/>
      <c r="S78" s="25"/>
      <c r="T78" s="25"/>
      <c r="U78" s="25"/>
      <c r="V78" s="28"/>
      <c r="W78" s="28"/>
      <c r="X78" s="23">
        <f>IF($B78="Entry",IF(AND(LEN(TRIM(UPPER(W78)))=10,CODE(MID(TRIM(UPPER(W78)),1,1))&gt;=65,CODE(MID(TRIM(UPPER(W78)),1,1))&lt;=90,CODE(MID(TRIM(UPPER(W78)),2,1))&gt;=65,CODE(MID(TRIM(UPPER(W78)),2,1))&lt;=90,CODE(MID(TRIM(UPPER(W78)),3,1))&gt;=65,CODE(MID(TRIM(UPPER(W78)),3,1))&lt;=90,CODE(MID(TRIM(UPPER(W78)),4,1))&gt;=65,CODE(MID(TRIM(UPPER(W78)),4,1))&lt;=90,CODE(MID(TRIM(UPPER(W78)),5,1))&gt;=65,CODE(MID(TRIM(UPPER(W78)),5,1))&lt;=90,CODE(MID(TRIM(UPPER(W78)),10,1))&gt;=65,CODE(MID(TRIM(UPPER(W78)),10,1))&lt;=90,CODE(MID(TRIM(UPPER(W78)),6,1))&gt;=48,CODE(MID(TRIM(UPPER(W78)),6,1))&lt;=57,CODE(MID(TRIM(UPPER(W78)),7,1))&gt;=48,CODE(MID(TRIM(UPPER(W78)),7,1))&lt;=57,CODE(MID(TRIM(UPPER(W78)),8,1))&gt;=48,CODE(MID(TRIM(UPPER(W78)),8,1))&lt;=57,CODE(MID(TRIM(UPPER(W78)),9,1))&gt;=48,CODE(MID(TRIM(UPPER(W78)),9,1))&lt;=57),"N","Y"),IF($B78="Challan","",IF(W78&lt;&gt;"","◄ Set Row Type","")))</f>
      </c>
      <c r="Y78" s="23">
        <f>IF($B78="Entry",IF(LEN(W78)&lt;4,"",IF(UPPER(MID(W78,4,1))="P","Individual",IF(UPPER(MID(W78,4,1))="H","HUF",IF(UPPER(MID(W78,4,1))="C","Company",IF(UPPER(MID(W78,4,1))="F","Firm",IF(UPPER(MID(W78,4,1))="L","LLP",IF(UPPER(MID(W78,4,1))="T","Trust",IF(UPPER(MID(W78,4,1))="A","AOP","")))))))),IF($B78="Challan","",IF(W78&lt;&gt;"","◄ Set Row Type","")))</f>
      </c>
      <c r="Z78" s="28"/>
      <c r="AA78" s="29">
        <f>IF($B78&lt;&gt;"Entry","",IF(Z78="","",IF(X78="Y",SUMPRODUCT(('Rate Lookup'!$A$1:$A$37=Z78)*'Rate Lookup'!$D$1:$D$37),IF(OR(Y78="Individual",Y78="HUF"),SUMPRODUCT(('Rate Lookup'!$A$1:$A$37=Z78)*'Rate Lookup'!$B$1:$B$37),SUMPRODUCT(('Rate Lookup'!$A$1:$A$37=Z78)*'Rate Lookup'!$C$1:$C$37)))))</f>
      </c>
      <c r="AB78" s="30"/>
      <c r="AC78" s="31"/>
      <c r="AD78" s="27">
        <f>IF($B78&lt;&gt;"Entry","",ROUND(AC78*AA78/100,0))</f>
      </c>
      <c r="AE78" s="27">
        <f>IF($B78&lt;&gt;"Entry","",0)</f>
      </c>
      <c r="AF78" s="27">
        <f>IF($B78&lt;&gt;"Entry","",0)</f>
      </c>
      <c r="AG78" s="27">
        <f>IF($B78&lt;&gt;"Entry","",IF(OR(AD78=0,AB78="",AQ78="",AQ78&lt;=0),0,IF(AQ78&lt;=DATE(YEAR(AB78),MONTH(AB78)+1,7),0,ROUND(AD78*0.015*((YEAR(AQ78)-YEAR(AB78))*12+(MONTH(AQ78)-MONTH(AB78))+1),0))))</f>
      </c>
      <c r="AH78" s="27">
        <f>IF($B78&lt;&gt;"Entry","",0)</f>
      </c>
      <c r="AI78" s="28"/>
      <c r="AJ78" s="28"/>
      <c r="AK78" s="32"/>
      <c r="AL78" s="28"/>
      <c r="AM78" s="28"/>
      <c r="AN78" s="27">
        <f>IF($B78&lt;&gt;"Challan","",SUMIF('Q1 Data'!$D$4:$D$207,D78,'Q1 Data'!$AD$4:$AD$207)+SUMIF('Q1 Data'!$D$4:$D$207,D78,'Q1 Data'!$AG$4:$AG$207)+SUMIF('Q1 Data'!$D$4:$D$207,D78,'Q1 Data'!$AE$4:$AE$207)+SUMIF('Q2 Data'!$D$4:$D$207,D78,'Q2 Data'!$AD$4:$AD$207)+SUMIF('Q2 Data'!$D$4:$D$207,D78,'Q2 Data'!$AG$4:$AG$207)+SUMIF('Q2 Data'!$D$4:$D$207,D78,'Q2 Data'!$AE$4:$AE$207)+SUMIF('Q3 Data'!$D$4:$D$207,D78,'Q3 Data'!$AD$4:$AD$207)+SUMIF('Q3 Data'!$D$4:$D$207,D78,'Q3 Data'!$AG$4:$AG$207)+SUMIF('Q3 Data'!$D$4:$D$207,D78,'Q3 Data'!$AE$4:$AE$207)+SUMIF('Q4 Data'!$D$4:$D$207,D78,'Q4 Data'!$AD$4:$AD$207)+SUMIF('Q4 Data'!$D$4:$D$207,D78,'Q4 Data'!$AG$4:$AG$207)+SUMIF('Q4 Data'!$D$4:$D$207,D78,'Q4 Data'!$AE$4:$AE$207))</f>
      </c>
      <c r="AO78" s="27">
        <f>IF($B78&lt;&gt;"Challan","",P78-N78)</f>
      </c>
      <c r="AP78" s="27">
        <f>IF($B78&lt;&gt;"Challan","",MAX(0,AO78-AN78))</f>
      </c>
      <c r="AQ78" s="33">
        <f>IF($B78&lt;&gt;"Entry","",SUMPRODUCT(('Q1 Data'!$D$4:$D$207=D78)*('Q1 Data'!$B$4:$B$207="Challan")*'Q1 Data'!$F$4:$F$207)+SUMPRODUCT(('Q2 Data'!$D$4:$D$207=D78)*('Q2 Data'!$B$4:$B$207="Challan")*'Q2 Data'!$F$4:$F$207)+SUMPRODUCT(('Q3 Data'!$D$4:$D$207=D78)*('Q3 Data'!$B$4:$B$207="Challan")*'Q3 Data'!$F$4:$F$207)+SUMPRODUCT(('Q4 Data'!$D$4:$D$207=D78)*('Q4 Data'!$B$4:$B$207="Challan")*'Q4 Data'!$F$4:$F$207))</f>
      </c>
      <c r="AR78" s="34">
        <f>IF(OR($B78&lt;&gt;"Entry",Z78=""),FALSE,AND((SUMPRODUCT(('Q1 Data'!$D$4:$D$207=D78)*('Q1 Data'!$B$4:$B$207="Challan")*('Q1 Data'!$H$4:$H$207&lt;&gt;""))+SUMPRODUCT(('Q2 Data'!$D$4:$D$207=D78)*('Q2 Data'!$B$4:$B$207="Challan")*('Q2 Data'!$H$4:$H$207&lt;&gt;""))+SUMPRODUCT(('Q3 Data'!$D$4:$D$207=D78)*('Q3 Data'!$B$4:$B$207="Challan")*('Q3 Data'!$H$4:$H$207&lt;&gt;""))+SUMPRODUCT(('Q4 Data'!$D$4:$D$207=D78)*('Q4 Data'!$B$4:$B$207="Challan")*('Q4 Data'!$H$4:$H$207&lt;&gt;"")))&gt;0,(SUMPRODUCT(('Q1 Data'!$D$4:$D$207=D78)*('Q1 Data'!$B$4:$B$207="Challan")*('Q1 Data'!$H$4:$H$207=Z78))+SUMPRODUCT(('Q2 Data'!$D$4:$D$207=D78)*('Q2 Data'!$B$4:$B$207="Challan")*('Q2 Data'!$H$4:$H$207=Z78))+SUMPRODUCT(('Q3 Data'!$D$4:$D$207=D78)*('Q3 Data'!$B$4:$B$207="Challan")*('Q3 Data'!$H$4:$H$207=Z78))+SUMPRODUCT(('Q4 Data'!$D$4:$D$207=D78)*('Q4 Data'!$B$4:$B$207="Challan")*('Q4 Data'!$H$4:$H$207=Z78)))=0))</f>
      </c>
    </row>
    <row r="79" spans="1:44" x14ac:dyDescent="0.25">
      <c r="A79" s="20">
        <f>IF($B79="Entry",COUNTIF($B$4:$B79,"Entry"),"")</f>
      </c>
      <c r="B79" s="21"/>
      <c r="C79" s="22"/>
      <c r="D79" s="22"/>
      <c r="E79" s="23">
        <f>IF($B79&lt;&gt;"Challan","",IF(ROUND(AN79-AO79,2)&gt;0,"Over-applied",IF(ROUND(AN79-AO79,2)=0,"Fully Utilised","Unconsumed")))</f>
      </c>
      <c r="F79" s="24"/>
      <c r="G79" s="25"/>
      <c r="H79" s="25"/>
      <c r="I79" s="26"/>
      <c r="J79" s="26"/>
      <c r="K79" s="26"/>
      <c r="L79" s="26"/>
      <c r="M79" s="26"/>
      <c r="N79" s="26"/>
      <c r="O79" s="26"/>
      <c r="P79" s="27">
        <f>IF($B79&lt;&gt;"Challan","",I79+J79+K79+L79+M79+N79)</f>
      </c>
      <c r="Q79" s="25"/>
      <c r="R79" s="25"/>
      <c r="S79" s="25"/>
      <c r="T79" s="25"/>
      <c r="U79" s="25"/>
      <c r="V79" s="28"/>
      <c r="W79" s="28"/>
      <c r="X79" s="23">
        <f>IF($B79="Entry",IF(AND(LEN(TRIM(UPPER(W79)))=10,CODE(MID(TRIM(UPPER(W79)),1,1))&gt;=65,CODE(MID(TRIM(UPPER(W79)),1,1))&lt;=90,CODE(MID(TRIM(UPPER(W79)),2,1))&gt;=65,CODE(MID(TRIM(UPPER(W79)),2,1))&lt;=90,CODE(MID(TRIM(UPPER(W79)),3,1))&gt;=65,CODE(MID(TRIM(UPPER(W79)),3,1))&lt;=90,CODE(MID(TRIM(UPPER(W79)),4,1))&gt;=65,CODE(MID(TRIM(UPPER(W79)),4,1))&lt;=90,CODE(MID(TRIM(UPPER(W79)),5,1))&gt;=65,CODE(MID(TRIM(UPPER(W79)),5,1))&lt;=90,CODE(MID(TRIM(UPPER(W79)),10,1))&gt;=65,CODE(MID(TRIM(UPPER(W79)),10,1))&lt;=90,CODE(MID(TRIM(UPPER(W79)),6,1))&gt;=48,CODE(MID(TRIM(UPPER(W79)),6,1))&lt;=57,CODE(MID(TRIM(UPPER(W79)),7,1))&gt;=48,CODE(MID(TRIM(UPPER(W79)),7,1))&lt;=57,CODE(MID(TRIM(UPPER(W79)),8,1))&gt;=48,CODE(MID(TRIM(UPPER(W79)),8,1))&lt;=57,CODE(MID(TRIM(UPPER(W79)),9,1))&gt;=48,CODE(MID(TRIM(UPPER(W79)),9,1))&lt;=57),"N","Y"),IF($B79="Challan","",IF(W79&lt;&gt;"","◄ Set Row Type","")))</f>
      </c>
      <c r="Y79" s="23">
        <f>IF($B79="Entry",IF(LEN(W79)&lt;4,"",IF(UPPER(MID(W79,4,1))="P","Individual",IF(UPPER(MID(W79,4,1))="H","HUF",IF(UPPER(MID(W79,4,1))="C","Company",IF(UPPER(MID(W79,4,1))="F","Firm",IF(UPPER(MID(W79,4,1))="L","LLP",IF(UPPER(MID(W79,4,1))="T","Trust",IF(UPPER(MID(W79,4,1))="A","AOP","")))))))),IF($B79="Challan","",IF(W79&lt;&gt;"","◄ Set Row Type","")))</f>
      </c>
      <c r="Z79" s="28"/>
      <c r="AA79" s="29">
        <f>IF($B79&lt;&gt;"Entry","",IF(Z79="","",IF(X79="Y",SUMPRODUCT(('Rate Lookup'!$A$1:$A$37=Z79)*'Rate Lookup'!$D$1:$D$37),IF(OR(Y79="Individual",Y79="HUF"),SUMPRODUCT(('Rate Lookup'!$A$1:$A$37=Z79)*'Rate Lookup'!$B$1:$B$37),SUMPRODUCT(('Rate Lookup'!$A$1:$A$37=Z79)*'Rate Lookup'!$C$1:$C$37)))))</f>
      </c>
      <c r="AB79" s="30"/>
      <c r="AC79" s="31"/>
      <c r="AD79" s="27">
        <f>IF($B79&lt;&gt;"Entry","",ROUND(AC79*AA79/100,0))</f>
      </c>
      <c r="AE79" s="27">
        <f>IF($B79&lt;&gt;"Entry","",0)</f>
      </c>
      <c r="AF79" s="27">
        <f>IF($B79&lt;&gt;"Entry","",0)</f>
      </c>
      <c r="AG79" s="27">
        <f>IF($B79&lt;&gt;"Entry","",IF(OR(AD79=0,AB79="",AQ79="",AQ79&lt;=0),0,IF(AQ79&lt;=DATE(YEAR(AB79),MONTH(AB79)+1,7),0,ROUND(AD79*0.015*((YEAR(AQ79)-YEAR(AB79))*12+(MONTH(AQ79)-MONTH(AB79))+1),0))))</f>
      </c>
      <c r="AH79" s="27">
        <f>IF($B79&lt;&gt;"Entry","",0)</f>
      </c>
      <c r="AI79" s="28"/>
      <c r="AJ79" s="28"/>
      <c r="AK79" s="32"/>
      <c r="AL79" s="28"/>
      <c r="AM79" s="28"/>
      <c r="AN79" s="27">
        <f>IF($B79&lt;&gt;"Challan","",SUMIF('Q1 Data'!$D$4:$D$207,D79,'Q1 Data'!$AD$4:$AD$207)+SUMIF('Q1 Data'!$D$4:$D$207,D79,'Q1 Data'!$AG$4:$AG$207)+SUMIF('Q1 Data'!$D$4:$D$207,D79,'Q1 Data'!$AE$4:$AE$207)+SUMIF('Q2 Data'!$D$4:$D$207,D79,'Q2 Data'!$AD$4:$AD$207)+SUMIF('Q2 Data'!$D$4:$D$207,D79,'Q2 Data'!$AG$4:$AG$207)+SUMIF('Q2 Data'!$D$4:$D$207,D79,'Q2 Data'!$AE$4:$AE$207)+SUMIF('Q3 Data'!$D$4:$D$207,D79,'Q3 Data'!$AD$4:$AD$207)+SUMIF('Q3 Data'!$D$4:$D$207,D79,'Q3 Data'!$AG$4:$AG$207)+SUMIF('Q3 Data'!$D$4:$D$207,D79,'Q3 Data'!$AE$4:$AE$207)+SUMIF('Q4 Data'!$D$4:$D$207,D79,'Q4 Data'!$AD$4:$AD$207)+SUMIF('Q4 Data'!$D$4:$D$207,D79,'Q4 Data'!$AG$4:$AG$207)+SUMIF('Q4 Data'!$D$4:$D$207,D79,'Q4 Data'!$AE$4:$AE$207))</f>
      </c>
      <c r="AO79" s="27">
        <f>IF($B79&lt;&gt;"Challan","",P79-N79)</f>
      </c>
      <c r="AP79" s="27">
        <f>IF($B79&lt;&gt;"Challan","",MAX(0,AO79-AN79))</f>
      </c>
      <c r="AQ79" s="33">
        <f>IF($B79&lt;&gt;"Entry","",SUMPRODUCT(('Q1 Data'!$D$4:$D$207=D79)*('Q1 Data'!$B$4:$B$207="Challan")*'Q1 Data'!$F$4:$F$207)+SUMPRODUCT(('Q2 Data'!$D$4:$D$207=D79)*('Q2 Data'!$B$4:$B$207="Challan")*'Q2 Data'!$F$4:$F$207)+SUMPRODUCT(('Q3 Data'!$D$4:$D$207=D79)*('Q3 Data'!$B$4:$B$207="Challan")*'Q3 Data'!$F$4:$F$207)+SUMPRODUCT(('Q4 Data'!$D$4:$D$207=D79)*('Q4 Data'!$B$4:$B$207="Challan")*'Q4 Data'!$F$4:$F$207))</f>
      </c>
      <c r="AR79" s="34">
        <f>IF(OR($B79&lt;&gt;"Entry",Z79=""),FALSE,AND((SUMPRODUCT(('Q1 Data'!$D$4:$D$207=D79)*('Q1 Data'!$B$4:$B$207="Challan")*('Q1 Data'!$H$4:$H$207&lt;&gt;""))+SUMPRODUCT(('Q2 Data'!$D$4:$D$207=D79)*('Q2 Data'!$B$4:$B$207="Challan")*('Q2 Data'!$H$4:$H$207&lt;&gt;""))+SUMPRODUCT(('Q3 Data'!$D$4:$D$207=D79)*('Q3 Data'!$B$4:$B$207="Challan")*('Q3 Data'!$H$4:$H$207&lt;&gt;""))+SUMPRODUCT(('Q4 Data'!$D$4:$D$207=D79)*('Q4 Data'!$B$4:$B$207="Challan")*('Q4 Data'!$H$4:$H$207&lt;&gt;"")))&gt;0,(SUMPRODUCT(('Q1 Data'!$D$4:$D$207=D79)*('Q1 Data'!$B$4:$B$207="Challan")*('Q1 Data'!$H$4:$H$207=Z79))+SUMPRODUCT(('Q2 Data'!$D$4:$D$207=D79)*('Q2 Data'!$B$4:$B$207="Challan")*('Q2 Data'!$H$4:$H$207=Z79))+SUMPRODUCT(('Q3 Data'!$D$4:$D$207=D79)*('Q3 Data'!$B$4:$B$207="Challan")*('Q3 Data'!$H$4:$H$207=Z79))+SUMPRODUCT(('Q4 Data'!$D$4:$D$207=D79)*('Q4 Data'!$B$4:$B$207="Challan")*('Q4 Data'!$H$4:$H$207=Z79)))=0))</f>
      </c>
    </row>
    <row r="80" spans="1:44" x14ac:dyDescent="0.25">
      <c r="A80" s="20">
        <f>IF($B80="Entry",COUNTIF($B$4:$B80,"Entry"),"")</f>
      </c>
      <c r="B80" s="21"/>
      <c r="C80" s="22"/>
      <c r="D80" s="22"/>
      <c r="E80" s="23">
        <f>IF($B80&lt;&gt;"Challan","",IF(ROUND(AN80-AO80,2)&gt;0,"Over-applied",IF(ROUND(AN80-AO80,2)=0,"Fully Utilised","Unconsumed")))</f>
      </c>
      <c r="F80" s="24"/>
      <c r="G80" s="25"/>
      <c r="H80" s="25"/>
      <c r="I80" s="26"/>
      <c r="J80" s="26"/>
      <c r="K80" s="26"/>
      <c r="L80" s="26"/>
      <c r="M80" s="26"/>
      <c r="N80" s="26"/>
      <c r="O80" s="26"/>
      <c r="P80" s="27">
        <f>IF($B80&lt;&gt;"Challan","",I80+J80+K80+L80+M80+N80)</f>
      </c>
      <c r="Q80" s="25"/>
      <c r="R80" s="25"/>
      <c r="S80" s="25"/>
      <c r="T80" s="25"/>
      <c r="U80" s="25"/>
      <c r="V80" s="28"/>
      <c r="W80" s="28"/>
      <c r="X80" s="23">
        <f>IF($B80="Entry",IF(AND(LEN(TRIM(UPPER(W80)))=10,CODE(MID(TRIM(UPPER(W80)),1,1))&gt;=65,CODE(MID(TRIM(UPPER(W80)),1,1))&lt;=90,CODE(MID(TRIM(UPPER(W80)),2,1))&gt;=65,CODE(MID(TRIM(UPPER(W80)),2,1))&lt;=90,CODE(MID(TRIM(UPPER(W80)),3,1))&gt;=65,CODE(MID(TRIM(UPPER(W80)),3,1))&lt;=90,CODE(MID(TRIM(UPPER(W80)),4,1))&gt;=65,CODE(MID(TRIM(UPPER(W80)),4,1))&lt;=90,CODE(MID(TRIM(UPPER(W80)),5,1))&gt;=65,CODE(MID(TRIM(UPPER(W80)),5,1))&lt;=90,CODE(MID(TRIM(UPPER(W80)),10,1))&gt;=65,CODE(MID(TRIM(UPPER(W80)),10,1))&lt;=90,CODE(MID(TRIM(UPPER(W80)),6,1))&gt;=48,CODE(MID(TRIM(UPPER(W80)),6,1))&lt;=57,CODE(MID(TRIM(UPPER(W80)),7,1))&gt;=48,CODE(MID(TRIM(UPPER(W80)),7,1))&lt;=57,CODE(MID(TRIM(UPPER(W80)),8,1))&gt;=48,CODE(MID(TRIM(UPPER(W80)),8,1))&lt;=57,CODE(MID(TRIM(UPPER(W80)),9,1))&gt;=48,CODE(MID(TRIM(UPPER(W80)),9,1))&lt;=57),"N","Y"),IF($B80="Challan","",IF(W80&lt;&gt;"","◄ Set Row Type","")))</f>
      </c>
      <c r="Y80" s="23">
        <f>IF($B80="Entry",IF(LEN(W80)&lt;4,"",IF(UPPER(MID(W80,4,1))="P","Individual",IF(UPPER(MID(W80,4,1))="H","HUF",IF(UPPER(MID(W80,4,1))="C","Company",IF(UPPER(MID(W80,4,1))="F","Firm",IF(UPPER(MID(W80,4,1))="L","LLP",IF(UPPER(MID(W80,4,1))="T","Trust",IF(UPPER(MID(W80,4,1))="A","AOP","")))))))),IF($B80="Challan","",IF(W80&lt;&gt;"","◄ Set Row Type","")))</f>
      </c>
      <c r="Z80" s="28"/>
      <c r="AA80" s="29">
        <f>IF($B80&lt;&gt;"Entry","",IF(Z80="","",IF(X80="Y",SUMPRODUCT(('Rate Lookup'!$A$1:$A$37=Z80)*'Rate Lookup'!$D$1:$D$37),IF(OR(Y80="Individual",Y80="HUF"),SUMPRODUCT(('Rate Lookup'!$A$1:$A$37=Z80)*'Rate Lookup'!$B$1:$B$37),SUMPRODUCT(('Rate Lookup'!$A$1:$A$37=Z80)*'Rate Lookup'!$C$1:$C$37)))))</f>
      </c>
      <c r="AB80" s="30"/>
      <c r="AC80" s="31"/>
      <c r="AD80" s="27">
        <f>IF($B80&lt;&gt;"Entry","",ROUND(AC80*AA80/100,0))</f>
      </c>
      <c r="AE80" s="27">
        <f>IF($B80&lt;&gt;"Entry","",0)</f>
      </c>
      <c r="AF80" s="27">
        <f>IF($B80&lt;&gt;"Entry","",0)</f>
      </c>
      <c r="AG80" s="27">
        <f>IF($B80&lt;&gt;"Entry","",IF(OR(AD80=0,AB80="",AQ80="",AQ80&lt;=0),0,IF(AQ80&lt;=DATE(YEAR(AB80),MONTH(AB80)+1,7),0,ROUND(AD80*0.015*((YEAR(AQ80)-YEAR(AB80))*12+(MONTH(AQ80)-MONTH(AB80))+1),0))))</f>
      </c>
      <c r="AH80" s="27">
        <f>IF($B80&lt;&gt;"Entry","",0)</f>
      </c>
      <c r="AI80" s="28"/>
      <c r="AJ80" s="28"/>
      <c r="AK80" s="32"/>
      <c r="AL80" s="28"/>
      <c r="AM80" s="28"/>
      <c r="AN80" s="27">
        <f>IF($B80&lt;&gt;"Challan","",SUMIF('Q1 Data'!$D$4:$D$207,D80,'Q1 Data'!$AD$4:$AD$207)+SUMIF('Q1 Data'!$D$4:$D$207,D80,'Q1 Data'!$AG$4:$AG$207)+SUMIF('Q1 Data'!$D$4:$D$207,D80,'Q1 Data'!$AE$4:$AE$207)+SUMIF('Q2 Data'!$D$4:$D$207,D80,'Q2 Data'!$AD$4:$AD$207)+SUMIF('Q2 Data'!$D$4:$D$207,D80,'Q2 Data'!$AG$4:$AG$207)+SUMIF('Q2 Data'!$D$4:$D$207,D80,'Q2 Data'!$AE$4:$AE$207)+SUMIF('Q3 Data'!$D$4:$D$207,D80,'Q3 Data'!$AD$4:$AD$207)+SUMIF('Q3 Data'!$D$4:$D$207,D80,'Q3 Data'!$AG$4:$AG$207)+SUMIF('Q3 Data'!$D$4:$D$207,D80,'Q3 Data'!$AE$4:$AE$207)+SUMIF('Q4 Data'!$D$4:$D$207,D80,'Q4 Data'!$AD$4:$AD$207)+SUMIF('Q4 Data'!$D$4:$D$207,D80,'Q4 Data'!$AG$4:$AG$207)+SUMIF('Q4 Data'!$D$4:$D$207,D80,'Q4 Data'!$AE$4:$AE$207))</f>
      </c>
      <c r="AO80" s="27">
        <f>IF($B80&lt;&gt;"Challan","",P80-N80)</f>
      </c>
      <c r="AP80" s="27">
        <f>IF($B80&lt;&gt;"Challan","",MAX(0,AO80-AN80))</f>
      </c>
      <c r="AQ80" s="33">
        <f>IF($B80&lt;&gt;"Entry","",SUMPRODUCT(('Q1 Data'!$D$4:$D$207=D80)*('Q1 Data'!$B$4:$B$207="Challan")*'Q1 Data'!$F$4:$F$207)+SUMPRODUCT(('Q2 Data'!$D$4:$D$207=D80)*('Q2 Data'!$B$4:$B$207="Challan")*'Q2 Data'!$F$4:$F$207)+SUMPRODUCT(('Q3 Data'!$D$4:$D$207=D80)*('Q3 Data'!$B$4:$B$207="Challan")*'Q3 Data'!$F$4:$F$207)+SUMPRODUCT(('Q4 Data'!$D$4:$D$207=D80)*('Q4 Data'!$B$4:$B$207="Challan")*'Q4 Data'!$F$4:$F$207))</f>
      </c>
      <c r="AR80" s="34">
        <f>IF(OR($B80&lt;&gt;"Entry",Z80=""),FALSE,AND((SUMPRODUCT(('Q1 Data'!$D$4:$D$207=D80)*('Q1 Data'!$B$4:$B$207="Challan")*('Q1 Data'!$H$4:$H$207&lt;&gt;""))+SUMPRODUCT(('Q2 Data'!$D$4:$D$207=D80)*('Q2 Data'!$B$4:$B$207="Challan")*('Q2 Data'!$H$4:$H$207&lt;&gt;""))+SUMPRODUCT(('Q3 Data'!$D$4:$D$207=D80)*('Q3 Data'!$B$4:$B$207="Challan")*('Q3 Data'!$H$4:$H$207&lt;&gt;""))+SUMPRODUCT(('Q4 Data'!$D$4:$D$207=D80)*('Q4 Data'!$B$4:$B$207="Challan")*('Q4 Data'!$H$4:$H$207&lt;&gt;"")))&gt;0,(SUMPRODUCT(('Q1 Data'!$D$4:$D$207=D80)*('Q1 Data'!$B$4:$B$207="Challan")*('Q1 Data'!$H$4:$H$207=Z80))+SUMPRODUCT(('Q2 Data'!$D$4:$D$207=D80)*('Q2 Data'!$B$4:$B$207="Challan")*('Q2 Data'!$H$4:$H$207=Z80))+SUMPRODUCT(('Q3 Data'!$D$4:$D$207=D80)*('Q3 Data'!$B$4:$B$207="Challan")*('Q3 Data'!$H$4:$H$207=Z80))+SUMPRODUCT(('Q4 Data'!$D$4:$D$207=D80)*('Q4 Data'!$B$4:$B$207="Challan")*('Q4 Data'!$H$4:$H$207=Z80)))=0))</f>
      </c>
    </row>
    <row r="81" spans="1:44" x14ac:dyDescent="0.25">
      <c r="A81" s="20">
        <f>IF($B81="Entry",COUNTIF($B$4:$B81,"Entry"),"")</f>
      </c>
      <c r="B81" s="21"/>
      <c r="C81" s="22"/>
      <c r="D81" s="22"/>
      <c r="E81" s="23">
        <f>IF($B81&lt;&gt;"Challan","",IF(ROUND(AN81-AO81,2)&gt;0,"Over-applied",IF(ROUND(AN81-AO81,2)=0,"Fully Utilised","Unconsumed")))</f>
      </c>
      <c r="F81" s="24"/>
      <c r="G81" s="25"/>
      <c r="H81" s="25"/>
      <c r="I81" s="26"/>
      <c r="J81" s="26"/>
      <c r="K81" s="26"/>
      <c r="L81" s="26"/>
      <c r="M81" s="26"/>
      <c r="N81" s="26"/>
      <c r="O81" s="26"/>
      <c r="P81" s="27">
        <f>IF($B81&lt;&gt;"Challan","",I81+J81+K81+L81+M81+N81)</f>
      </c>
      <c r="Q81" s="25"/>
      <c r="R81" s="25"/>
      <c r="S81" s="25"/>
      <c r="T81" s="25"/>
      <c r="U81" s="25"/>
      <c r="V81" s="28"/>
      <c r="W81" s="28"/>
      <c r="X81" s="23">
        <f>IF($B81="Entry",IF(AND(LEN(TRIM(UPPER(W81)))=10,CODE(MID(TRIM(UPPER(W81)),1,1))&gt;=65,CODE(MID(TRIM(UPPER(W81)),1,1))&lt;=90,CODE(MID(TRIM(UPPER(W81)),2,1))&gt;=65,CODE(MID(TRIM(UPPER(W81)),2,1))&lt;=90,CODE(MID(TRIM(UPPER(W81)),3,1))&gt;=65,CODE(MID(TRIM(UPPER(W81)),3,1))&lt;=90,CODE(MID(TRIM(UPPER(W81)),4,1))&gt;=65,CODE(MID(TRIM(UPPER(W81)),4,1))&lt;=90,CODE(MID(TRIM(UPPER(W81)),5,1))&gt;=65,CODE(MID(TRIM(UPPER(W81)),5,1))&lt;=90,CODE(MID(TRIM(UPPER(W81)),10,1))&gt;=65,CODE(MID(TRIM(UPPER(W81)),10,1))&lt;=90,CODE(MID(TRIM(UPPER(W81)),6,1))&gt;=48,CODE(MID(TRIM(UPPER(W81)),6,1))&lt;=57,CODE(MID(TRIM(UPPER(W81)),7,1))&gt;=48,CODE(MID(TRIM(UPPER(W81)),7,1))&lt;=57,CODE(MID(TRIM(UPPER(W81)),8,1))&gt;=48,CODE(MID(TRIM(UPPER(W81)),8,1))&lt;=57,CODE(MID(TRIM(UPPER(W81)),9,1))&gt;=48,CODE(MID(TRIM(UPPER(W81)),9,1))&lt;=57),"N","Y"),IF($B81="Challan","",IF(W81&lt;&gt;"","◄ Set Row Type","")))</f>
      </c>
      <c r="Y81" s="23">
        <f>IF($B81="Entry",IF(LEN(W81)&lt;4,"",IF(UPPER(MID(W81,4,1))="P","Individual",IF(UPPER(MID(W81,4,1))="H","HUF",IF(UPPER(MID(W81,4,1))="C","Company",IF(UPPER(MID(W81,4,1))="F","Firm",IF(UPPER(MID(W81,4,1))="L","LLP",IF(UPPER(MID(W81,4,1))="T","Trust",IF(UPPER(MID(W81,4,1))="A","AOP","")))))))),IF($B81="Challan","",IF(W81&lt;&gt;"","◄ Set Row Type","")))</f>
      </c>
      <c r="Z81" s="28"/>
      <c r="AA81" s="29">
        <f>IF($B81&lt;&gt;"Entry","",IF(Z81="","",IF(X81="Y",SUMPRODUCT(('Rate Lookup'!$A$1:$A$37=Z81)*'Rate Lookup'!$D$1:$D$37),IF(OR(Y81="Individual",Y81="HUF"),SUMPRODUCT(('Rate Lookup'!$A$1:$A$37=Z81)*'Rate Lookup'!$B$1:$B$37),SUMPRODUCT(('Rate Lookup'!$A$1:$A$37=Z81)*'Rate Lookup'!$C$1:$C$37)))))</f>
      </c>
      <c r="AB81" s="30"/>
      <c r="AC81" s="31"/>
      <c r="AD81" s="27">
        <f>IF($B81&lt;&gt;"Entry","",ROUND(AC81*AA81/100,0))</f>
      </c>
      <c r="AE81" s="27">
        <f>IF($B81&lt;&gt;"Entry","",0)</f>
      </c>
      <c r="AF81" s="27">
        <f>IF($B81&lt;&gt;"Entry","",0)</f>
      </c>
      <c r="AG81" s="27">
        <f>IF($B81&lt;&gt;"Entry","",IF(OR(AD81=0,AB81="",AQ81="",AQ81&lt;=0),0,IF(AQ81&lt;=DATE(YEAR(AB81),MONTH(AB81)+1,7),0,ROUND(AD81*0.015*((YEAR(AQ81)-YEAR(AB81))*12+(MONTH(AQ81)-MONTH(AB81))+1),0))))</f>
      </c>
      <c r="AH81" s="27">
        <f>IF($B81&lt;&gt;"Entry","",0)</f>
      </c>
      <c r="AI81" s="28"/>
      <c r="AJ81" s="28"/>
      <c r="AK81" s="32"/>
      <c r="AL81" s="28"/>
      <c r="AM81" s="28"/>
      <c r="AN81" s="27">
        <f>IF($B81&lt;&gt;"Challan","",SUMIF('Q1 Data'!$D$4:$D$207,D81,'Q1 Data'!$AD$4:$AD$207)+SUMIF('Q1 Data'!$D$4:$D$207,D81,'Q1 Data'!$AG$4:$AG$207)+SUMIF('Q1 Data'!$D$4:$D$207,D81,'Q1 Data'!$AE$4:$AE$207)+SUMIF('Q2 Data'!$D$4:$D$207,D81,'Q2 Data'!$AD$4:$AD$207)+SUMIF('Q2 Data'!$D$4:$D$207,D81,'Q2 Data'!$AG$4:$AG$207)+SUMIF('Q2 Data'!$D$4:$D$207,D81,'Q2 Data'!$AE$4:$AE$207)+SUMIF('Q3 Data'!$D$4:$D$207,D81,'Q3 Data'!$AD$4:$AD$207)+SUMIF('Q3 Data'!$D$4:$D$207,D81,'Q3 Data'!$AG$4:$AG$207)+SUMIF('Q3 Data'!$D$4:$D$207,D81,'Q3 Data'!$AE$4:$AE$207)+SUMIF('Q4 Data'!$D$4:$D$207,D81,'Q4 Data'!$AD$4:$AD$207)+SUMIF('Q4 Data'!$D$4:$D$207,D81,'Q4 Data'!$AG$4:$AG$207)+SUMIF('Q4 Data'!$D$4:$D$207,D81,'Q4 Data'!$AE$4:$AE$207))</f>
      </c>
      <c r="AO81" s="27">
        <f>IF($B81&lt;&gt;"Challan","",P81-N81)</f>
      </c>
      <c r="AP81" s="27">
        <f>IF($B81&lt;&gt;"Challan","",MAX(0,AO81-AN81))</f>
      </c>
      <c r="AQ81" s="33">
        <f>IF($B81&lt;&gt;"Entry","",SUMPRODUCT(('Q1 Data'!$D$4:$D$207=D81)*('Q1 Data'!$B$4:$B$207="Challan")*'Q1 Data'!$F$4:$F$207)+SUMPRODUCT(('Q2 Data'!$D$4:$D$207=D81)*('Q2 Data'!$B$4:$B$207="Challan")*'Q2 Data'!$F$4:$F$207)+SUMPRODUCT(('Q3 Data'!$D$4:$D$207=D81)*('Q3 Data'!$B$4:$B$207="Challan")*'Q3 Data'!$F$4:$F$207)+SUMPRODUCT(('Q4 Data'!$D$4:$D$207=D81)*('Q4 Data'!$B$4:$B$207="Challan")*'Q4 Data'!$F$4:$F$207))</f>
      </c>
      <c r="AR81" s="34">
        <f>IF(OR($B81&lt;&gt;"Entry",Z81=""),FALSE,AND((SUMPRODUCT(('Q1 Data'!$D$4:$D$207=D81)*('Q1 Data'!$B$4:$B$207="Challan")*('Q1 Data'!$H$4:$H$207&lt;&gt;""))+SUMPRODUCT(('Q2 Data'!$D$4:$D$207=D81)*('Q2 Data'!$B$4:$B$207="Challan")*('Q2 Data'!$H$4:$H$207&lt;&gt;""))+SUMPRODUCT(('Q3 Data'!$D$4:$D$207=D81)*('Q3 Data'!$B$4:$B$207="Challan")*('Q3 Data'!$H$4:$H$207&lt;&gt;""))+SUMPRODUCT(('Q4 Data'!$D$4:$D$207=D81)*('Q4 Data'!$B$4:$B$207="Challan")*('Q4 Data'!$H$4:$H$207&lt;&gt;"")))&gt;0,(SUMPRODUCT(('Q1 Data'!$D$4:$D$207=D81)*('Q1 Data'!$B$4:$B$207="Challan")*('Q1 Data'!$H$4:$H$207=Z81))+SUMPRODUCT(('Q2 Data'!$D$4:$D$207=D81)*('Q2 Data'!$B$4:$B$207="Challan")*('Q2 Data'!$H$4:$H$207=Z81))+SUMPRODUCT(('Q3 Data'!$D$4:$D$207=D81)*('Q3 Data'!$B$4:$B$207="Challan")*('Q3 Data'!$H$4:$H$207=Z81))+SUMPRODUCT(('Q4 Data'!$D$4:$D$207=D81)*('Q4 Data'!$B$4:$B$207="Challan")*('Q4 Data'!$H$4:$H$207=Z81)))=0))</f>
      </c>
    </row>
    <row r="82" spans="1:44" x14ac:dyDescent="0.25">
      <c r="A82" s="20">
        <f>IF($B82="Entry",COUNTIF($B$4:$B82,"Entry"),"")</f>
      </c>
      <c r="B82" s="21"/>
      <c r="C82" s="22"/>
      <c r="D82" s="22"/>
      <c r="E82" s="23">
        <f>IF($B82&lt;&gt;"Challan","",IF(ROUND(AN82-AO82,2)&gt;0,"Over-applied",IF(ROUND(AN82-AO82,2)=0,"Fully Utilised","Unconsumed")))</f>
      </c>
      <c r="F82" s="24"/>
      <c r="G82" s="25"/>
      <c r="H82" s="25"/>
      <c r="I82" s="26"/>
      <c r="J82" s="26"/>
      <c r="K82" s="26"/>
      <c r="L82" s="26"/>
      <c r="M82" s="26"/>
      <c r="N82" s="26"/>
      <c r="O82" s="26"/>
      <c r="P82" s="27">
        <f>IF($B82&lt;&gt;"Challan","",I82+J82+K82+L82+M82+N82)</f>
      </c>
      <c r="Q82" s="25"/>
      <c r="R82" s="25"/>
      <c r="S82" s="25"/>
      <c r="T82" s="25"/>
      <c r="U82" s="25"/>
      <c r="V82" s="28"/>
      <c r="W82" s="28"/>
      <c r="X82" s="23">
        <f>IF($B82="Entry",IF(AND(LEN(TRIM(UPPER(W82)))=10,CODE(MID(TRIM(UPPER(W82)),1,1))&gt;=65,CODE(MID(TRIM(UPPER(W82)),1,1))&lt;=90,CODE(MID(TRIM(UPPER(W82)),2,1))&gt;=65,CODE(MID(TRIM(UPPER(W82)),2,1))&lt;=90,CODE(MID(TRIM(UPPER(W82)),3,1))&gt;=65,CODE(MID(TRIM(UPPER(W82)),3,1))&lt;=90,CODE(MID(TRIM(UPPER(W82)),4,1))&gt;=65,CODE(MID(TRIM(UPPER(W82)),4,1))&lt;=90,CODE(MID(TRIM(UPPER(W82)),5,1))&gt;=65,CODE(MID(TRIM(UPPER(W82)),5,1))&lt;=90,CODE(MID(TRIM(UPPER(W82)),10,1))&gt;=65,CODE(MID(TRIM(UPPER(W82)),10,1))&lt;=90,CODE(MID(TRIM(UPPER(W82)),6,1))&gt;=48,CODE(MID(TRIM(UPPER(W82)),6,1))&lt;=57,CODE(MID(TRIM(UPPER(W82)),7,1))&gt;=48,CODE(MID(TRIM(UPPER(W82)),7,1))&lt;=57,CODE(MID(TRIM(UPPER(W82)),8,1))&gt;=48,CODE(MID(TRIM(UPPER(W82)),8,1))&lt;=57,CODE(MID(TRIM(UPPER(W82)),9,1))&gt;=48,CODE(MID(TRIM(UPPER(W82)),9,1))&lt;=57),"N","Y"),IF($B82="Challan","",IF(W82&lt;&gt;"","◄ Set Row Type","")))</f>
      </c>
      <c r="Y82" s="23">
        <f>IF($B82="Entry",IF(LEN(W82)&lt;4,"",IF(UPPER(MID(W82,4,1))="P","Individual",IF(UPPER(MID(W82,4,1))="H","HUF",IF(UPPER(MID(W82,4,1))="C","Company",IF(UPPER(MID(W82,4,1))="F","Firm",IF(UPPER(MID(W82,4,1))="L","LLP",IF(UPPER(MID(W82,4,1))="T","Trust",IF(UPPER(MID(W82,4,1))="A","AOP","")))))))),IF($B82="Challan","",IF(W82&lt;&gt;"","◄ Set Row Type","")))</f>
      </c>
      <c r="Z82" s="28"/>
      <c r="AA82" s="29">
        <f>IF($B82&lt;&gt;"Entry","",IF(Z82="","",IF(X82="Y",SUMPRODUCT(('Rate Lookup'!$A$1:$A$37=Z82)*'Rate Lookup'!$D$1:$D$37),IF(OR(Y82="Individual",Y82="HUF"),SUMPRODUCT(('Rate Lookup'!$A$1:$A$37=Z82)*'Rate Lookup'!$B$1:$B$37),SUMPRODUCT(('Rate Lookup'!$A$1:$A$37=Z82)*'Rate Lookup'!$C$1:$C$37)))))</f>
      </c>
      <c r="AB82" s="30"/>
      <c r="AC82" s="31"/>
      <c r="AD82" s="27">
        <f>IF($B82&lt;&gt;"Entry","",ROUND(AC82*AA82/100,0))</f>
      </c>
      <c r="AE82" s="27">
        <f>IF($B82&lt;&gt;"Entry","",0)</f>
      </c>
      <c r="AF82" s="27">
        <f>IF($B82&lt;&gt;"Entry","",0)</f>
      </c>
      <c r="AG82" s="27">
        <f>IF($B82&lt;&gt;"Entry","",IF(OR(AD82=0,AB82="",AQ82="",AQ82&lt;=0),0,IF(AQ82&lt;=DATE(YEAR(AB82),MONTH(AB82)+1,7),0,ROUND(AD82*0.015*((YEAR(AQ82)-YEAR(AB82))*12+(MONTH(AQ82)-MONTH(AB82))+1),0))))</f>
      </c>
      <c r="AH82" s="27">
        <f>IF($B82&lt;&gt;"Entry","",0)</f>
      </c>
      <c r="AI82" s="28"/>
      <c r="AJ82" s="28"/>
      <c r="AK82" s="32"/>
      <c r="AL82" s="28"/>
      <c r="AM82" s="28"/>
      <c r="AN82" s="27">
        <f>IF($B82&lt;&gt;"Challan","",SUMIF('Q1 Data'!$D$4:$D$207,D82,'Q1 Data'!$AD$4:$AD$207)+SUMIF('Q1 Data'!$D$4:$D$207,D82,'Q1 Data'!$AG$4:$AG$207)+SUMIF('Q1 Data'!$D$4:$D$207,D82,'Q1 Data'!$AE$4:$AE$207)+SUMIF('Q2 Data'!$D$4:$D$207,D82,'Q2 Data'!$AD$4:$AD$207)+SUMIF('Q2 Data'!$D$4:$D$207,D82,'Q2 Data'!$AG$4:$AG$207)+SUMIF('Q2 Data'!$D$4:$D$207,D82,'Q2 Data'!$AE$4:$AE$207)+SUMIF('Q3 Data'!$D$4:$D$207,D82,'Q3 Data'!$AD$4:$AD$207)+SUMIF('Q3 Data'!$D$4:$D$207,D82,'Q3 Data'!$AG$4:$AG$207)+SUMIF('Q3 Data'!$D$4:$D$207,D82,'Q3 Data'!$AE$4:$AE$207)+SUMIF('Q4 Data'!$D$4:$D$207,D82,'Q4 Data'!$AD$4:$AD$207)+SUMIF('Q4 Data'!$D$4:$D$207,D82,'Q4 Data'!$AG$4:$AG$207)+SUMIF('Q4 Data'!$D$4:$D$207,D82,'Q4 Data'!$AE$4:$AE$207))</f>
      </c>
      <c r="AO82" s="27">
        <f>IF($B82&lt;&gt;"Challan","",P82-N82)</f>
      </c>
      <c r="AP82" s="27">
        <f>IF($B82&lt;&gt;"Challan","",MAX(0,AO82-AN82))</f>
      </c>
      <c r="AQ82" s="33">
        <f>IF($B82&lt;&gt;"Entry","",SUMPRODUCT(('Q1 Data'!$D$4:$D$207=D82)*('Q1 Data'!$B$4:$B$207="Challan")*'Q1 Data'!$F$4:$F$207)+SUMPRODUCT(('Q2 Data'!$D$4:$D$207=D82)*('Q2 Data'!$B$4:$B$207="Challan")*'Q2 Data'!$F$4:$F$207)+SUMPRODUCT(('Q3 Data'!$D$4:$D$207=D82)*('Q3 Data'!$B$4:$B$207="Challan")*'Q3 Data'!$F$4:$F$207)+SUMPRODUCT(('Q4 Data'!$D$4:$D$207=D82)*('Q4 Data'!$B$4:$B$207="Challan")*'Q4 Data'!$F$4:$F$207))</f>
      </c>
      <c r="AR82" s="34">
        <f>IF(OR($B82&lt;&gt;"Entry",Z82=""),FALSE,AND((SUMPRODUCT(('Q1 Data'!$D$4:$D$207=D82)*('Q1 Data'!$B$4:$B$207="Challan")*('Q1 Data'!$H$4:$H$207&lt;&gt;""))+SUMPRODUCT(('Q2 Data'!$D$4:$D$207=D82)*('Q2 Data'!$B$4:$B$207="Challan")*('Q2 Data'!$H$4:$H$207&lt;&gt;""))+SUMPRODUCT(('Q3 Data'!$D$4:$D$207=D82)*('Q3 Data'!$B$4:$B$207="Challan")*('Q3 Data'!$H$4:$H$207&lt;&gt;""))+SUMPRODUCT(('Q4 Data'!$D$4:$D$207=D82)*('Q4 Data'!$B$4:$B$207="Challan")*('Q4 Data'!$H$4:$H$207&lt;&gt;"")))&gt;0,(SUMPRODUCT(('Q1 Data'!$D$4:$D$207=D82)*('Q1 Data'!$B$4:$B$207="Challan")*('Q1 Data'!$H$4:$H$207=Z82))+SUMPRODUCT(('Q2 Data'!$D$4:$D$207=D82)*('Q2 Data'!$B$4:$B$207="Challan")*('Q2 Data'!$H$4:$H$207=Z82))+SUMPRODUCT(('Q3 Data'!$D$4:$D$207=D82)*('Q3 Data'!$B$4:$B$207="Challan")*('Q3 Data'!$H$4:$H$207=Z82))+SUMPRODUCT(('Q4 Data'!$D$4:$D$207=D82)*('Q4 Data'!$B$4:$B$207="Challan")*('Q4 Data'!$H$4:$H$207=Z82)))=0))</f>
      </c>
    </row>
    <row r="83" spans="1:44" x14ac:dyDescent="0.25">
      <c r="A83" s="20">
        <f>IF($B83="Entry",COUNTIF($B$4:$B83,"Entry"),"")</f>
      </c>
      <c r="B83" s="21"/>
      <c r="C83" s="22"/>
      <c r="D83" s="22"/>
      <c r="E83" s="23">
        <f>IF($B83&lt;&gt;"Challan","",IF(ROUND(AN83-AO83,2)&gt;0,"Over-applied",IF(ROUND(AN83-AO83,2)=0,"Fully Utilised","Unconsumed")))</f>
      </c>
      <c r="F83" s="24"/>
      <c r="G83" s="25"/>
      <c r="H83" s="25"/>
      <c r="I83" s="26"/>
      <c r="J83" s="26"/>
      <c r="K83" s="26"/>
      <c r="L83" s="26"/>
      <c r="M83" s="26"/>
      <c r="N83" s="26"/>
      <c r="O83" s="26"/>
      <c r="P83" s="27">
        <f>IF($B83&lt;&gt;"Challan","",I83+J83+K83+L83+M83+N83)</f>
      </c>
      <c r="Q83" s="25"/>
      <c r="R83" s="25"/>
      <c r="S83" s="25"/>
      <c r="T83" s="25"/>
      <c r="U83" s="25"/>
      <c r="V83" s="28"/>
      <c r="W83" s="28"/>
      <c r="X83" s="23">
        <f>IF($B83="Entry",IF(AND(LEN(TRIM(UPPER(W83)))=10,CODE(MID(TRIM(UPPER(W83)),1,1))&gt;=65,CODE(MID(TRIM(UPPER(W83)),1,1))&lt;=90,CODE(MID(TRIM(UPPER(W83)),2,1))&gt;=65,CODE(MID(TRIM(UPPER(W83)),2,1))&lt;=90,CODE(MID(TRIM(UPPER(W83)),3,1))&gt;=65,CODE(MID(TRIM(UPPER(W83)),3,1))&lt;=90,CODE(MID(TRIM(UPPER(W83)),4,1))&gt;=65,CODE(MID(TRIM(UPPER(W83)),4,1))&lt;=90,CODE(MID(TRIM(UPPER(W83)),5,1))&gt;=65,CODE(MID(TRIM(UPPER(W83)),5,1))&lt;=90,CODE(MID(TRIM(UPPER(W83)),10,1))&gt;=65,CODE(MID(TRIM(UPPER(W83)),10,1))&lt;=90,CODE(MID(TRIM(UPPER(W83)),6,1))&gt;=48,CODE(MID(TRIM(UPPER(W83)),6,1))&lt;=57,CODE(MID(TRIM(UPPER(W83)),7,1))&gt;=48,CODE(MID(TRIM(UPPER(W83)),7,1))&lt;=57,CODE(MID(TRIM(UPPER(W83)),8,1))&gt;=48,CODE(MID(TRIM(UPPER(W83)),8,1))&lt;=57,CODE(MID(TRIM(UPPER(W83)),9,1))&gt;=48,CODE(MID(TRIM(UPPER(W83)),9,1))&lt;=57),"N","Y"),IF($B83="Challan","",IF(W83&lt;&gt;"","◄ Set Row Type","")))</f>
      </c>
      <c r="Y83" s="23">
        <f>IF($B83="Entry",IF(LEN(W83)&lt;4,"",IF(UPPER(MID(W83,4,1))="P","Individual",IF(UPPER(MID(W83,4,1))="H","HUF",IF(UPPER(MID(W83,4,1))="C","Company",IF(UPPER(MID(W83,4,1))="F","Firm",IF(UPPER(MID(W83,4,1))="L","LLP",IF(UPPER(MID(W83,4,1))="T","Trust",IF(UPPER(MID(W83,4,1))="A","AOP","")))))))),IF($B83="Challan","",IF(W83&lt;&gt;"","◄ Set Row Type","")))</f>
      </c>
      <c r="Z83" s="28"/>
      <c r="AA83" s="29">
        <f>IF($B83&lt;&gt;"Entry","",IF(Z83="","",IF(X83="Y",SUMPRODUCT(('Rate Lookup'!$A$1:$A$37=Z83)*'Rate Lookup'!$D$1:$D$37),IF(OR(Y83="Individual",Y83="HUF"),SUMPRODUCT(('Rate Lookup'!$A$1:$A$37=Z83)*'Rate Lookup'!$B$1:$B$37),SUMPRODUCT(('Rate Lookup'!$A$1:$A$37=Z83)*'Rate Lookup'!$C$1:$C$37)))))</f>
      </c>
      <c r="AB83" s="30"/>
      <c r="AC83" s="31"/>
      <c r="AD83" s="27">
        <f>IF($B83&lt;&gt;"Entry","",ROUND(AC83*AA83/100,0))</f>
      </c>
      <c r="AE83" s="27">
        <f>IF($B83&lt;&gt;"Entry","",0)</f>
      </c>
      <c r="AF83" s="27">
        <f>IF($B83&lt;&gt;"Entry","",0)</f>
      </c>
      <c r="AG83" s="27">
        <f>IF($B83&lt;&gt;"Entry","",IF(OR(AD83=0,AB83="",AQ83="",AQ83&lt;=0),0,IF(AQ83&lt;=DATE(YEAR(AB83),MONTH(AB83)+1,7),0,ROUND(AD83*0.015*((YEAR(AQ83)-YEAR(AB83))*12+(MONTH(AQ83)-MONTH(AB83))+1),0))))</f>
      </c>
      <c r="AH83" s="27">
        <f>IF($B83&lt;&gt;"Entry","",0)</f>
      </c>
      <c r="AI83" s="28"/>
      <c r="AJ83" s="28"/>
      <c r="AK83" s="32"/>
      <c r="AL83" s="28"/>
      <c r="AM83" s="28"/>
      <c r="AN83" s="27">
        <f>IF($B83&lt;&gt;"Challan","",SUMIF('Q1 Data'!$D$4:$D$207,D83,'Q1 Data'!$AD$4:$AD$207)+SUMIF('Q1 Data'!$D$4:$D$207,D83,'Q1 Data'!$AG$4:$AG$207)+SUMIF('Q1 Data'!$D$4:$D$207,D83,'Q1 Data'!$AE$4:$AE$207)+SUMIF('Q2 Data'!$D$4:$D$207,D83,'Q2 Data'!$AD$4:$AD$207)+SUMIF('Q2 Data'!$D$4:$D$207,D83,'Q2 Data'!$AG$4:$AG$207)+SUMIF('Q2 Data'!$D$4:$D$207,D83,'Q2 Data'!$AE$4:$AE$207)+SUMIF('Q3 Data'!$D$4:$D$207,D83,'Q3 Data'!$AD$4:$AD$207)+SUMIF('Q3 Data'!$D$4:$D$207,D83,'Q3 Data'!$AG$4:$AG$207)+SUMIF('Q3 Data'!$D$4:$D$207,D83,'Q3 Data'!$AE$4:$AE$207)+SUMIF('Q4 Data'!$D$4:$D$207,D83,'Q4 Data'!$AD$4:$AD$207)+SUMIF('Q4 Data'!$D$4:$D$207,D83,'Q4 Data'!$AG$4:$AG$207)+SUMIF('Q4 Data'!$D$4:$D$207,D83,'Q4 Data'!$AE$4:$AE$207))</f>
      </c>
      <c r="AO83" s="27">
        <f>IF($B83&lt;&gt;"Challan","",P83-N83)</f>
      </c>
      <c r="AP83" s="27">
        <f>IF($B83&lt;&gt;"Challan","",MAX(0,AO83-AN83))</f>
      </c>
      <c r="AQ83" s="33">
        <f>IF($B83&lt;&gt;"Entry","",SUMPRODUCT(('Q1 Data'!$D$4:$D$207=D83)*('Q1 Data'!$B$4:$B$207="Challan")*'Q1 Data'!$F$4:$F$207)+SUMPRODUCT(('Q2 Data'!$D$4:$D$207=D83)*('Q2 Data'!$B$4:$B$207="Challan")*'Q2 Data'!$F$4:$F$207)+SUMPRODUCT(('Q3 Data'!$D$4:$D$207=D83)*('Q3 Data'!$B$4:$B$207="Challan")*'Q3 Data'!$F$4:$F$207)+SUMPRODUCT(('Q4 Data'!$D$4:$D$207=D83)*('Q4 Data'!$B$4:$B$207="Challan")*'Q4 Data'!$F$4:$F$207))</f>
      </c>
      <c r="AR83" s="34">
        <f>IF(OR($B83&lt;&gt;"Entry",Z83=""),FALSE,AND((SUMPRODUCT(('Q1 Data'!$D$4:$D$207=D83)*('Q1 Data'!$B$4:$B$207="Challan")*('Q1 Data'!$H$4:$H$207&lt;&gt;""))+SUMPRODUCT(('Q2 Data'!$D$4:$D$207=D83)*('Q2 Data'!$B$4:$B$207="Challan")*('Q2 Data'!$H$4:$H$207&lt;&gt;""))+SUMPRODUCT(('Q3 Data'!$D$4:$D$207=D83)*('Q3 Data'!$B$4:$B$207="Challan")*('Q3 Data'!$H$4:$H$207&lt;&gt;""))+SUMPRODUCT(('Q4 Data'!$D$4:$D$207=D83)*('Q4 Data'!$B$4:$B$207="Challan")*('Q4 Data'!$H$4:$H$207&lt;&gt;"")))&gt;0,(SUMPRODUCT(('Q1 Data'!$D$4:$D$207=D83)*('Q1 Data'!$B$4:$B$207="Challan")*('Q1 Data'!$H$4:$H$207=Z83))+SUMPRODUCT(('Q2 Data'!$D$4:$D$207=D83)*('Q2 Data'!$B$4:$B$207="Challan")*('Q2 Data'!$H$4:$H$207=Z83))+SUMPRODUCT(('Q3 Data'!$D$4:$D$207=D83)*('Q3 Data'!$B$4:$B$207="Challan")*('Q3 Data'!$H$4:$H$207=Z83))+SUMPRODUCT(('Q4 Data'!$D$4:$D$207=D83)*('Q4 Data'!$B$4:$B$207="Challan")*('Q4 Data'!$H$4:$H$207=Z83)))=0))</f>
      </c>
    </row>
    <row r="84" spans="1:44" x14ac:dyDescent="0.25">
      <c r="A84" s="20">
        <f>IF($B84="Entry",COUNTIF($B$4:$B84,"Entry"),"")</f>
      </c>
      <c r="B84" s="21"/>
      <c r="C84" s="22"/>
      <c r="D84" s="22"/>
      <c r="E84" s="23">
        <f>IF($B84&lt;&gt;"Challan","",IF(ROUND(AN84-AO84,2)&gt;0,"Over-applied",IF(ROUND(AN84-AO84,2)=0,"Fully Utilised","Unconsumed")))</f>
      </c>
      <c r="F84" s="24"/>
      <c r="G84" s="25"/>
      <c r="H84" s="25"/>
      <c r="I84" s="26"/>
      <c r="J84" s="26"/>
      <c r="K84" s="26"/>
      <c r="L84" s="26"/>
      <c r="M84" s="26"/>
      <c r="N84" s="26"/>
      <c r="O84" s="26"/>
      <c r="P84" s="27">
        <f>IF($B84&lt;&gt;"Challan","",I84+J84+K84+L84+M84+N84)</f>
      </c>
      <c r="Q84" s="25"/>
      <c r="R84" s="25"/>
      <c r="S84" s="25"/>
      <c r="T84" s="25"/>
      <c r="U84" s="25"/>
      <c r="V84" s="28"/>
      <c r="W84" s="28"/>
      <c r="X84" s="23">
        <f>IF($B84="Entry",IF(AND(LEN(TRIM(UPPER(W84)))=10,CODE(MID(TRIM(UPPER(W84)),1,1))&gt;=65,CODE(MID(TRIM(UPPER(W84)),1,1))&lt;=90,CODE(MID(TRIM(UPPER(W84)),2,1))&gt;=65,CODE(MID(TRIM(UPPER(W84)),2,1))&lt;=90,CODE(MID(TRIM(UPPER(W84)),3,1))&gt;=65,CODE(MID(TRIM(UPPER(W84)),3,1))&lt;=90,CODE(MID(TRIM(UPPER(W84)),4,1))&gt;=65,CODE(MID(TRIM(UPPER(W84)),4,1))&lt;=90,CODE(MID(TRIM(UPPER(W84)),5,1))&gt;=65,CODE(MID(TRIM(UPPER(W84)),5,1))&lt;=90,CODE(MID(TRIM(UPPER(W84)),10,1))&gt;=65,CODE(MID(TRIM(UPPER(W84)),10,1))&lt;=90,CODE(MID(TRIM(UPPER(W84)),6,1))&gt;=48,CODE(MID(TRIM(UPPER(W84)),6,1))&lt;=57,CODE(MID(TRIM(UPPER(W84)),7,1))&gt;=48,CODE(MID(TRIM(UPPER(W84)),7,1))&lt;=57,CODE(MID(TRIM(UPPER(W84)),8,1))&gt;=48,CODE(MID(TRIM(UPPER(W84)),8,1))&lt;=57,CODE(MID(TRIM(UPPER(W84)),9,1))&gt;=48,CODE(MID(TRIM(UPPER(W84)),9,1))&lt;=57),"N","Y"),IF($B84="Challan","",IF(W84&lt;&gt;"","◄ Set Row Type","")))</f>
      </c>
      <c r="Y84" s="23">
        <f>IF($B84="Entry",IF(LEN(W84)&lt;4,"",IF(UPPER(MID(W84,4,1))="P","Individual",IF(UPPER(MID(W84,4,1))="H","HUF",IF(UPPER(MID(W84,4,1))="C","Company",IF(UPPER(MID(W84,4,1))="F","Firm",IF(UPPER(MID(W84,4,1))="L","LLP",IF(UPPER(MID(W84,4,1))="T","Trust",IF(UPPER(MID(W84,4,1))="A","AOP","")))))))),IF($B84="Challan","",IF(W84&lt;&gt;"","◄ Set Row Type","")))</f>
      </c>
      <c r="Z84" s="28"/>
      <c r="AA84" s="29">
        <f>IF($B84&lt;&gt;"Entry","",IF(Z84="","",IF(X84="Y",SUMPRODUCT(('Rate Lookup'!$A$1:$A$37=Z84)*'Rate Lookup'!$D$1:$D$37),IF(OR(Y84="Individual",Y84="HUF"),SUMPRODUCT(('Rate Lookup'!$A$1:$A$37=Z84)*'Rate Lookup'!$B$1:$B$37),SUMPRODUCT(('Rate Lookup'!$A$1:$A$37=Z84)*'Rate Lookup'!$C$1:$C$37)))))</f>
      </c>
      <c r="AB84" s="30"/>
      <c r="AC84" s="31"/>
      <c r="AD84" s="27">
        <f>IF($B84&lt;&gt;"Entry","",ROUND(AC84*AA84/100,0))</f>
      </c>
      <c r="AE84" s="27">
        <f>IF($B84&lt;&gt;"Entry","",0)</f>
      </c>
      <c r="AF84" s="27">
        <f>IF($B84&lt;&gt;"Entry","",0)</f>
      </c>
      <c r="AG84" s="27">
        <f>IF($B84&lt;&gt;"Entry","",IF(OR(AD84=0,AB84="",AQ84="",AQ84&lt;=0),0,IF(AQ84&lt;=DATE(YEAR(AB84),MONTH(AB84)+1,7),0,ROUND(AD84*0.015*((YEAR(AQ84)-YEAR(AB84))*12+(MONTH(AQ84)-MONTH(AB84))+1),0))))</f>
      </c>
      <c r="AH84" s="27">
        <f>IF($B84&lt;&gt;"Entry","",0)</f>
      </c>
      <c r="AI84" s="28"/>
      <c r="AJ84" s="28"/>
      <c r="AK84" s="32"/>
      <c r="AL84" s="28"/>
      <c r="AM84" s="28"/>
      <c r="AN84" s="27">
        <f>IF($B84&lt;&gt;"Challan","",SUMIF('Q1 Data'!$D$4:$D$207,D84,'Q1 Data'!$AD$4:$AD$207)+SUMIF('Q1 Data'!$D$4:$D$207,D84,'Q1 Data'!$AG$4:$AG$207)+SUMIF('Q1 Data'!$D$4:$D$207,D84,'Q1 Data'!$AE$4:$AE$207)+SUMIF('Q2 Data'!$D$4:$D$207,D84,'Q2 Data'!$AD$4:$AD$207)+SUMIF('Q2 Data'!$D$4:$D$207,D84,'Q2 Data'!$AG$4:$AG$207)+SUMIF('Q2 Data'!$D$4:$D$207,D84,'Q2 Data'!$AE$4:$AE$207)+SUMIF('Q3 Data'!$D$4:$D$207,D84,'Q3 Data'!$AD$4:$AD$207)+SUMIF('Q3 Data'!$D$4:$D$207,D84,'Q3 Data'!$AG$4:$AG$207)+SUMIF('Q3 Data'!$D$4:$D$207,D84,'Q3 Data'!$AE$4:$AE$207)+SUMIF('Q4 Data'!$D$4:$D$207,D84,'Q4 Data'!$AD$4:$AD$207)+SUMIF('Q4 Data'!$D$4:$D$207,D84,'Q4 Data'!$AG$4:$AG$207)+SUMIF('Q4 Data'!$D$4:$D$207,D84,'Q4 Data'!$AE$4:$AE$207))</f>
      </c>
      <c r="AO84" s="27">
        <f>IF($B84&lt;&gt;"Challan","",P84-N84)</f>
      </c>
      <c r="AP84" s="27">
        <f>IF($B84&lt;&gt;"Challan","",MAX(0,AO84-AN84))</f>
      </c>
      <c r="AQ84" s="33">
        <f>IF($B84&lt;&gt;"Entry","",SUMPRODUCT(('Q1 Data'!$D$4:$D$207=D84)*('Q1 Data'!$B$4:$B$207="Challan")*'Q1 Data'!$F$4:$F$207)+SUMPRODUCT(('Q2 Data'!$D$4:$D$207=D84)*('Q2 Data'!$B$4:$B$207="Challan")*'Q2 Data'!$F$4:$F$207)+SUMPRODUCT(('Q3 Data'!$D$4:$D$207=D84)*('Q3 Data'!$B$4:$B$207="Challan")*'Q3 Data'!$F$4:$F$207)+SUMPRODUCT(('Q4 Data'!$D$4:$D$207=D84)*('Q4 Data'!$B$4:$B$207="Challan")*'Q4 Data'!$F$4:$F$207))</f>
      </c>
      <c r="AR84" s="34">
        <f>IF(OR($B84&lt;&gt;"Entry",Z84=""),FALSE,AND((SUMPRODUCT(('Q1 Data'!$D$4:$D$207=D84)*('Q1 Data'!$B$4:$B$207="Challan")*('Q1 Data'!$H$4:$H$207&lt;&gt;""))+SUMPRODUCT(('Q2 Data'!$D$4:$D$207=D84)*('Q2 Data'!$B$4:$B$207="Challan")*('Q2 Data'!$H$4:$H$207&lt;&gt;""))+SUMPRODUCT(('Q3 Data'!$D$4:$D$207=D84)*('Q3 Data'!$B$4:$B$207="Challan")*('Q3 Data'!$H$4:$H$207&lt;&gt;""))+SUMPRODUCT(('Q4 Data'!$D$4:$D$207=D84)*('Q4 Data'!$B$4:$B$207="Challan")*('Q4 Data'!$H$4:$H$207&lt;&gt;"")))&gt;0,(SUMPRODUCT(('Q1 Data'!$D$4:$D$207=D84)*('Q1 Data'!$B$4:$B$207="Challan")*('Q1 Data'!$H$4:$H$207=Z84))+SUMPRODUCT(('Q2 Data'!$D$4:$D$207=D84)*('Q2 Data'!$B$4:$B$207="Challan")*('Q2 Data'!$H$4:$H$207=Z84))+SUMPRODUCT(('Q3 Data'!$D$4:$D$207=D84)*('Q3 Data'!$B$4:$B$207="Challan")*('Q3 Data'!$H$4:$H$207=Z84))+SUMPRODUCT(('Q4 Data'!$D$4:$D$207=D84)*('Q4 Data'!$B$4:$B$207="Challan")*('Q4 Data'!$H$4:$H$207=Z84)))=0))</f>
      </c>
    </row>
    <row r="85" spans="1:44" x14ac:dyDescent="0.25">
      <c r="A85" s="20">
        <f>IF($B85="Entry",COUNTIF($B$4:$B85,"Entry"),"")</f>
      </c>
      <c r="B85" s="21"/>
      <c r="C85" s="22"/>
      <c r="D85" s="22"/>
      <c r="E85" s="23">
        <f>IF($B85&lt;&gt;"Challan","",IF(ROUND(AN85-AO85,2)&gt;0,"Over-applied",IF(ROUND(AN85-AO85,2)=0,"Fully Utilised","Unconsumed")))</f>
      </c>
      <c r="F85" s="24"/>
      <c r="G85" s="25"/>
      <c r="H85" s="25"/>
      <c r="I85" s="26"/>
      <c r="J85" s="26"/>
      <c r="K85" s="26"/>
      <c r="L85" s="26"/>
      <c r="M85" s="26"/>
      <c r="N85" s="26"/>
      <c r="O85" s="26"/>
      <c r="P85" s="27">
        <f>IF($B85&lt;&gt;"Challan","",I85+J85+K85+L85+M85+N85)</f>
      </c>
      <c r="Q85" s="25"/>
      <c r="R85" s="25"/>
      <c r="S85" s="25"/>
      <c r="T85" s="25"/>
      <c r="U85" s="25"/>
      <c r="V85" s="28"/>
      <c r="W85" s="28"/>
      <c r="X85" s="23">
        <f>IF($B85="Entry",IF(AND(LEN(TRIM(UPPER(W85)))=10,CODE(MID(TRIM(UPPER(W85)),1,1))&gt;=65,CODE(MID(TRIM(UPPER(W85)),1,1))&lt;=90,CODE(MID(TRIM(UPPER(W85)),2,1))&gt;=65,CODE(MID(TRIM(UPPER(W85)),2,1))&lt;=90,CODE(MID(TRIM(UPPER(W85)),3,1))&gt;=65,CODE(MID(TRIM(UPPER(W85)),3,1))&lt;=90,CODE(MID(TRIM(UPPER(W85)),4,1))&gt;=65,CODE(MID(TRIM(UPPER(W85)),4,1))&lt;=90,CODE(MID(TRIM(UPPER(W85)),5,1))&gt;=65,CODE(MID(TRIM(UPPER(W85)),5,1))&lt;=90,CODE(MID(TRIM(UPPER(W85)),10,1))&gt;=65,CODE(MID(TRIM(UPPER(W85)),10,1))&lt;=90,CODE(MID(TRIM(UPPER(W85)),6,1))&gt;=48,CODE(MID(TRIM(UPPER(W85)),6,1))&lt;=57,CODE(MID(TRIM(UPPER(W85)),7,1))&gt;=48,CODE(MID(TRIM(UPPER(W85)),7,1))&lt;=57,CODE(MID(TRIM(UPPER(W85)),8,1))&gt;=48,CODE(MID(TRIM(UPPER(W85)),8,1))&lt;=57,CODE(MID(TRIM(UPPER(W85)),9,1))&gt;=48,CODE(MID(TRIM(UPPER(W85)),9,1))&lt;=57),"N","Y"),IF($B85="Challan","",IF(W85&lt;&gt;"","◄ Set Row Type","")))</f>
      </c>
      <c r="Y85" s="23">
        <f>IF($B85="Entry",IF(LEN(W85)&lt;4,"",IF(UPPER(MID(W85,4,1))="P","Individual",IF(UPPER(MID(W85,4,1))="H","HUF",IF(UPPER(MID(W85,4,1))="C","Company",IF(UPPER(MID(W85,4,1))="F","Firm",IF(UPPER(MID(W85,4,1))="L","LLP",IF(UPPER(MID(W85,4,1))="T","Trust",IF(UPPER(MID(W85,4,1))="A","AOP","")))))))),IF($B85="Challan","",IF(W85&lt;&gt;"","◄ Set Row Type","")))</f>
      </c>
      <c r="Z85" s="28"/>
      <c r="AA85" s="29">
        <f>IF($B85&lt;&gt;"Entry","",IF(Z85="","",IF(X85="Y",SUMPRODUCT(('Rate Lookup'!$A$1:$A$37=Z85)*'Rate Lookup'!$D$1:$D$37),IF(OR(Y85="Individual",Y85="HUF"),SUMPRODUCT(('Rate Lookup'!$A$1:$A$37=Z85)*'Rate Lookup'!$B$1:$B$37),SUMPRODUCT(('Rate Lookup'!$A$1:$A$37=Z85)*'Rate Lookup'!$C$1:$C$37)))))</f>
      </c>
      <c r="AB85" s="30"/>
      <c r="AC85" s="31"/>
      <c r="AD85" s="27">
        <f>IF($B85&lt;&gt;"Entry","",ROUND(AC85*AA85/100,0))</f>
      </c>
      <c r="AE85" s="27">
        <f>IF($B85&lt;&gt;"Entry","",0)</f>
      </c>
      <c r="AF85" s="27">
        <f>IF($B85&lt;&gt;"Entry","",0)</f>
      </c>
      <c r="AG85" s="27">
        <f>IF($B85&lt;&gt;"Entry","",IF(OR(AD85=0,AB85="",AQ85="",AQ85&lt;=0),0,IF(AQ85&lt;=DATE(YEAR(AB85),MONTH(AB85)+1,7),0,ROUND(AD85*0.015*((YEAR(AQ85)-YEAR(AB85))*12+(MONTH(AQ85)-MONTH(AB85))+1),0))))</f>
      </c>
      <c r="AH85" s="27">
        <f>IF($B85&lt;&gt;"Entry","",0)</f>
      </c>
      <c r="AI85" s="28"/>
      <c r="AJ85" s="28"/>
      <c r="AK85" s="32"/>
      <c r="AL85" s="28"/>
      <c r="AM85" s="28"/>
      <c r="AN85" s="27">
        <f>IF($B85&lt;&gt;"Challan","",SUMIF('Q1 Data'!$D$4:$D$207,D85,'Q1 Data'!$AD$4:$AD$207)+SUMIF('Q1 Data'!$D$4:$D$207,D85,'Q1 Data'!$AG$4:$AG$207)+SUMIF('Q1 Data'!$D$4:$D$207,D85,'Q1 Data'!$AE$4:$AE$207)+SUMIF('Q2 Data'!$D$4:$D$207,D85,'Q2 Data'!$AD$4:$AD$207)+SUMIF('Q2 Data'!$D$4:$D$207,D85,'Q2 Data'!$AG$4:$AG$207)+SUMIF('Q2 Data'!$D$4:$D$207,D85,'Q2 Data'!$AE$4:$AE$207)+SUMIF('Q3 Data'!$D$4:$D$207,D85,'Q3 Data'!$AD$4:$AD$207)+SUMIF('Q3 Data'!$D$4:$D$207,D85,'Q3 Data'!$AG$4:$AG$207)+SUMIF('Q3 Data'!$D$4:$D$207,D85,'Q3 Data'!$AE$4:$AE$207)+SUMIF('Q4 Data'!$D$4:$D$207,D85,'Q4 Data'!$AD$4:$AD$207)+SUMIF('Q4 Data'!$D$4:$D$207,D85,'Q4 Data'!$AG$4:$AG$207)+SUMIF('Q4 Data'!$D$4:$D$207,D85,'Q4 Data'!$AE$4:$AE$207))</f>
      </c>
      <c r="AO85" s="27">
        <f>IF($B85&lt;&gt;"Challan","",P85-N85)</f>
      </c>
      <c r="AP85" s="27">
        <f>IF($B85&lt;&gt;"Challan","",MAX(0,AO85-AN85))</f>
      </c>
      <c r="AQ85" s="33">
        <f>IF($B85&lt;&gt;"Entry","",SUMPRODUCT(('Q1 Data'!$D$4:$D$207=D85)*('Q1 Data'!$B$4:$B$207="Challan")*'Q1 Data'!$F$4:$F$207)+SUMPRODUCT(('Q2 Data'!$D$4:$D$207=D85)*('Q2 Data'!$B$4:$B$207="Challan")*'Q2 Data'!$F$4:$F$207)+SUMPRODUCT(('Q3 Data'!$D$4:$D$207=D85)*('Q3 Data'!$B$4:$B$207="Challan")*'Q3 Data'!$F$4:$F$207)+SUMPRODUCT(('Q4 Data'!$D$4:$D$207=D85)*('Q4 Data'!$B$4:$B$207="Challan")*'Q4 Data'!$F$4:$F$207))</f>
      </c>
      <c r="AR85" s="34">
        <f>IF(OR($B85&lt;&gt;"Entry",Z85=""),FALSE,AND((SUMPRODUCT(('Q1 Data'!$D$4:$D$207=D85)*('Q1 Data'!$B$4:$B$207="Challan")*('Q1 Data'!$H$4:$H$207&lt;&gt;""))+SUMPRODUCT(('Q2 Data'!$D$4:$D$207=D85)*('Q2 Data'!$B$4:$B$207="Challan")*('Q2 Data'!$H$4:$H$207&lt;&gt;""))+SUMPRODUCT(('Q3 Data'!$D$4:$D$207=D85)*('Q3 Data'!$B$4:$B$207="Challan")*('Q3 Data'!$H$4:$H$207&lt;&gt;""))+SUMPRODUCT(('Q4 Data'!$D$4:$D$207=D85)*('Q4 Data'!$B$4:$B$207="Challan")*('Q4 Data'!$H$4:$H$207&lt;&gt;"")))&gt;0,(SUMPRODUCT(('Q1 Data'!$D$4:$D$207=D85)*('Q1 Data'!$B$4:$B$207="Challan")*('Q1 Data'!$H$4:$H$207=Z85))+SUMPRODUCT(('Q2 Data'!$D$4:$D$207=D85)*('Q2 Data'!$B$4:$B$207="Challan")*('Q2 Data'!$H$4:$H$207=Z85))+SUMPRODUCT(('Q3 Data'!$D$4:$D$207=D85)*('Q3 Data'!$B$4:$B$207="Challan")*('Q3 Data'!$H$4:$H$207=Z85))+SUMPRODUCT(('Q4 Data'!$D$4:$D$207=D85)*('Q4 Data'!$B$4:$B$207="Challan")*('Q4 Data'!$H$4:$H$207=Z85)))=0))</f>
      </c>
    </row>
    <row r="86" spans="1:44" x14ac:dyDescent="0.25">
      <c r="A86" s="20">
        <f>IF($B86="Entry",COUNTIF($B$4:$B86,"Entry"),"")</f>
      </c>
      <c r="B86" s="21"/>
      <c r="C86" s="22"/>
      <c r="D86" s="22"/>
      <c r="E86" s="23">
        <f>IF($B86&lt;&gt;"Challan","",IF(ROUND(AN86-AO86,2)&gt;0,"Over-applied",IF(ROUND(AN86-AO86,2)=0,"Fully Utilised","Unconsumed")))</f>
      </c>
      <c r="F86" s="24"/>
      <c r="G86" s="25"/>
      <c r="H86" s="25"/>
      <c r="I86" s="26"/>
      <c r="J86" s="26"/>
      <c r="K86" s="26"/>
      <c r="L86" s="26"/>
      <c r="M86" s="26"/>
      <c r="N86" s="26"/>
      <c r="O86" s="26"/>
      <c r="P86" s="27">
        <f>IF($B86&lt;&gt;"Challan","",I86+J86+K86+L86+M86+N86)</f>
      </c>
      <c r="Q86" s="25"/>
      <c r="R86" s="25"/>
      <c r="S86" s="25"/>
      <c r="T86" s="25"/>
      <c r="U86" s="25"/>
      <c r="V86" s="28"/>
      <c r="W86" s="28"/>
      <c r="X86" s="23">
        <f>IF($B86="Entry",IF(AND(LEN(TRIM(UPPER(W86)))=10,CODE(MID(TRIM(UPPER(W86)),1,1))&gt;=65,CODE(MID(TRIM(UPPER(W86)),1,1))&lt;=90,CODE(MID(TRIM(UPPER(W86)),2,1))&gt;=65,CODE(MID(TRIM(UPPER(W86)),2,1))&lt;=90,CODE(MID(TRIM(UPPER(W86)),3,1))&gt;=65,CODE(MID(TRIM(UPPER(W86)),3,1))&lt;=90,CODE(MID(TRIM(UPPER(W86)),4,1))&gt;=65,CODE(MID(TRIM(UPPER(W86)),4,1))&lt;=90,CODE(MID(TRIM(UPPER(W86)),5,1))&gt;=65,CODE(MID(TRIM(UPPER(W86)),5,1))&lt;=90,CODE(MID(TRIM(UPPER(W86)),10,1))&gt;=65,CODE(MID(TRIM(UPPER(W86)),10,1))&lt;=90,CODE(MID(TRIM(UPPER(W86)),6,1))&gt;=48,CODE(MID(TRIM(UPPER(W86)),6,1))&lt;=57,CODE(MID(TRIM(UPPER(W86)),7,1))&gt;=48,CODE(MID(TRIM(UPPER(W86)),7,1))&lt;=57,CODE(MID(TRIM(UPPER(W86)),8,1))&gt;=48,CODE(MID(TRIM(UPPER(W86)),8,1))&lt;=57,CODE(MID(TRIM(UPPER(W86)),9,1))&gt;=48,CODE(MID(TRIM(UPPER(W86)),9,1))&lt;=57),"N","Y"),IF($B86="Challan","",IF(W86&lt;&gt;"","◄ Set Row Type","")))</f>
      </c>
      <c r="Y86" s="23">
        <f>IF($B86="Entry",IF(LEN(W86)&lt;4,"",IF(UPPER(MID(W86,4,1))="P","Individual",IF(UPPER(MID(W86,4,1))="H","HUF",IF(UPPER(MID(W86,4,1))="C","Company",IF(UPPER(MID(W86,4,1))="F","Firm",IF(UPPER(MID(W86,4,1))="L","LLP",IF(UPPER(MID(W86,4,1))="T","Trust",IF(UPPER(MID(W86,4,1))="A","AOP","")))))))),IF($B86="Challan","",IF(W86&lt;&gt;"","◄ Set Row Type","")))</f>
      </c>
      <c r="Z86" s="28"/>
      <c r="AA86" s="29">
        <f>IF($B86&lt;&gt;"Entry","",IF(Z86="","",IF(X86="Y",SUMPRODUCT(('Rate Lookup'!$A$1:$A$37=Z86)*'Rate Lookup'!$D$1:$D$37),IF(OR(Y86="Individual",Y86="HUF"),SUMPRODUCT(('Rate Lookup'!$A$1:$A$37=Z86)*'Rate Lookup'!$B$1:$B$37),SUMPRODUCT(('Rate Lookup'!$A$1:$A$37=Z86)*'Rate Lookup'!$C$1:$C$37)))))</f>
      </c>
      <c r="AB86" s="30"/>
      <c r="AC86" s="31"/>
      <c r="AD86" s="27">
        <f>IF($B86&lt;&gt;"Entry","",ROUND(AC86*AA86/100,0))</f>
      </c>
      <c r="AE86" s="27">
        <f>IF($B86&lt;&gt;"Entry","",0)</f>
      </c>
      <c r="AF86" s="27">
        <f>IF($B86&lt;&gt;"Entry","",0)</f>
      </c>
      <c r="AG86" s="27">
        <f>IF($B86&lt;&gt;"Entry","",IF(OR(AD86=0,AB86="",AQ86="",AQ86&lt;=0),0,IF(AQ86&lt;=DATE(YEAR(AB86),MONTH(AB86)+1,7),0,ROUND(AD86*0.015*((YEAR(AQ86)-YEAR(AB86))*12+(MONTH(AQ86)-MONTH(AB86))+1),0))))</f>
      </c>
      <c r="AH86" s="27">
        <f>IF($B86&lt;&gt;"Entry","",0)</f>
      </c>
      <c r="AI86" s="28"/>
      <c r="AJ86" s="28"/>
      <c r="AK86" s="32"/>
      <c r="AL86" s="28"/>
      <c r="AM86" s="28"/>
      <c r="AN86" s="27">
        <f>IF($B86&lt;&gt;"Challan","",SUMIF('Q1 Data'!$D$4:$D$207,D86,'Q1 Data'!$AD$4:$AD$207)+SUMIF('Q1 Data'!$D$4:$D$207,D86,'Q1 Data'!$AG$4:$AG$207)+SUMIF('Q1 Data'!$D$4:$D$207,D86,'Q1 Data'!$AE$4:$AE$207)+SUMIF('Q2 Data'!$D$4:$D$207,D86,'Q2 Data'!$AD$4:$AD$207)+SUMIF('Q2 Data'!$D$4:$D$207,D86,'Q2 Data'!$AG$4:$AG$207)+SUMIF('Q2 Data'!$D$4:$D$207,D86,'Q2 Data'!$AE$4:$AE$207)+SUMIF('Q3 Data'!$D$4:$D$207,D86,'Q3 Data'!$AD$4:$AD$207)+SUMIF('Q3 Data'!$D$4:$D$207,D86,'Q3 Data'!$AG$4:$AG$207)+SUMIF('Q3 Data'!$D$4:$D$207,D86,'Q3 Data'!$AE$4:$AE$207)+SUMIF('Q4 Data'!$D$4:$D$207,D86,'Q4 Data'!$AD$4:$AD$207)+SUMIF('Q4 Data'!$D$4:$D$207,D86,'Q4 Data'!$AG$4:$AG$207)+SUMIF('Q4 Data'!$D$4:$D$207,D86,'Q4 Data'!$AE$4:$AE$207))</f>
      </c>
      <c r="AO86" s="27">
        <f>IF($B86&lt;&gt;"Challan","",P86-N86)</f>
      </c>
      <c r="AP86" s="27">
        <f>IF($B86&lt;&gt;"Challan","",MAX(0,AO86-AN86))</f>
      </c>
      <c r="AQ86" s="33">
        <f>IF($B86&lt;&gt;"Entry","",SUMPRODUCT(('Q1 Data'!$D$4:$D$207=D86)*('Q1 Data'!$B$4:$B$207="Challan")*'Q1 Data'!$F$4:$F$207)+SUMPRODUCT(('Q2 Data'!$D$4:$D$207=D86)*('Q2 Data'!$B$4:$B$207="Challan")*'Q2 Data'!$F$4:$F$207)+SUMPRODUCT(('Q3 Data'!$D$4:$D$207=D86)*('Q3 Data'!$B$4:$B$207="Challan")*'Q3 Data'!$F$4:$F$207)+SUMPRODUCT(('Q4 Data'!$D$4:$D$207=D86)*('Q4 Data'!$B$4:$B$207="Challan")*'Q4 Data'!$F$4:$F$207))</f>
      </c>
      <c r="AR86" s="34">
        <f>IF(OR($B86&lt;&gt;"Entry",Z86=""),FALSE,AND((SUMPRODUCT(('Q1 Data'!$D$4:$D$207=D86)*('Q1 Data'!$B$4:$B$207="Challan")*('Q1 Data'!$H$4:$H$207&lt;&gt;""))+SUMPRODUCT(('Q2 Data'!$D$4:$D$207=D86)*('Q2 Data'!$B$4:$B$207="Challan")*('Q2 Data'!$H$4:$H$207&lt;&gt;""))+SUMPRODUCT(('Q3 Data'!$D$4:$D$207=D86)*('Q3 Data'!$B$4:$B$207="Challan")*('Q3 Data'!$H$4:$H$207&lt;&gt;""))+SUMPRODUCT(('Q4 Data'!$D$4:$D$207=D86)*('Q4 Data'!$B$4:$B$207="Challan")*('Q4 Data'!$H$4:$H$207&lt;&gt;"")))&gt;0,(SUMPRODUCT(('Q1 Data'!$D$4:$D$207=D86)*('Q1 Data'!$B$4:$B$207="Challan")*('Q1 Data'!$H$4:$H$207=Z86))+SUMPRODUCT(('Q2 Data'!$D$4:$D$207=D86)*('Q2 Data'!$B$4:$B$207="Challan")*('Q2 Data'!$H$4:$H$207=Z86))+SUMPRODUCT(('Q3 Data'!$D$4:$D$207=D86)*('Q3 Data'!$B$4:$B$207="Challan")*('Q3 Data'!$H$4:$H$207=Z86))+SUMPRODUCT(('Q4 Data'!$D$4:$D$207=D86)*('Q4 Data'!$B$4:$B$207="Challan")*('Q4 Data'!$H$4:$H$207=Z86)))=0))</f>
      </c>
    </row>
    <row r="87" spans="1:44" x14ac:dyDescent="0.25">
      <c r="A87" s="20">
        <f>IF($B87="Entry",COUNTIF($B$4:$B87,"Entry"),"")</f>
      </c>
      <c r="B87" s="21"/>
      <c r="C87" s="22"/>
      <c r="D87" s="22"/>
      <c r="E87" s="23">
        <f>IF($B87&lt;&gt;"Challan","",IF(ROUND(AN87-AO87,2)&gt;0,"Over-applied",IF(ROUND(AN87-AO87,2)=0,"Fully Utilised","Unconsumed")))</f>
      </c>
      <c r="F87" s="24"/>
      <c r="G87" s="25"/>
      <c r="H87" s="25"/>
      <c r="I87" s="26"/>
      <c r="J87" s="26"/>
      <c r="K87" s="26"/>
      <c r="L87" s="26"/>
      <c r="M87" s="26"/>
      <c r="N87" s="26"/>
      <c r="O87" s="26"/>
      <c r="P87" s="27">
        <f>IF($B87&lt;&gt;"Challan","",I87+J87+K87+L87+M87+N87)</f>
      </c>
      <c r="Q87" s="25"/>
      <c r="R87" s="25"/>
      <c r="S87" s="25"/>
      <c r="T87" s="25"/>
      <c r="U87" s="25"/>
      <c r="V87" s="28"/>
      <c r="W87" s="28"/>
      <c r="X87" s="23">
        <f>IF($B87="Entry",IF(AND(LEN(TRIM(UPPER(W87)))=10,CODE(MID(TRIM(UPPER(W87)),1,1))&gt;=65,CODE(MID(TRIM(UPPER(W87)),1,1))&lt;=90,CODE(MID(TRIM(UPPER(W87)),2,1))&gt;=65,CODE(MID(TRIM(UPPER(W87)),2,1))&lt;=90,CODE(MID(TRIM(UPPER(W87)),3,1))&gt;=65,CODE(MID(TRIM(UPPER(W87)),3,1))&lt;=90,CODE(MID(TRIM(UPPER(W87)),4,1))&gt;=65,CODE(MID(TRIM(UPPER(W87)),4,1))&lt;=90,CODE(MID(TRIM(UPPER(W87)),5,1))&gt;=65,CODE(MID(TRIM(UPPER(W87)),5,1))&lt;=90,CODE(MID(TRIM(UPPER(W87)),10,1))&gt;=65,CODE(MID(TRIM(UPPER(W87)),10,1))&lt;=90,CODE(MID(TRIM(UPPER(W87)),6,1))&gt;=48,CODE(MID(TRIM(UPPER(W87)),6,1))&lt;=57,CODE(MID(TRIM(UPPER(W87)),7,1))&gt;=48,CODE(MID(TRIM(UPPER(W87)),7,1))&lt;=57,CODE(MID(TRIM(UPPER(W87)),8,1))&gt;=48,CODE(MID(TRIM(UPPER(W87)),8,1))&lt;=57,CODE(MID(TRIM(UPPER(W87)),9,1))&gt;=48,CODE(MID(TRIM(UPPER(W87)),9,1))&lt;=57),"N","Y"),IF($B87="Challan","",IF(W87&lt;&gt;"","◄ Set Row Type","")))</f>
      </c>
      <c r="Y87" s="23">
        <f>IF($B87="Entry",IF(LEN(W87)&lt;4,"",IF(UPPER(MID(W87,4,1))="P","Individual",IF(UPPER(MID(W87,4,1))="H","HUF",IF(UPPER(MID(W87,4,1))="C","Company",IF(UPPER(MID(W87,4,1))="F","Firm",IF(UPPER(MID(W87,4,1))="L","LLP",IF(UPPER(MID(W87,4,1))="T","Trust",IF(UPPER(MID(W87,4,1))="A","AOP","")))))))),IF($B87="Challan","",IF(W87&lt;&gt;"","◄ Set Row Type","")))</f>
      </c>
      <c r="Z87" s="28"/>
      <c r="AA87" s="29">
        <f>IF($B87&lt;&gt;"Entry","",IF(Z87="","",IF(X87="Y",SUMPRODUCT(('Rate Lookup'!$A$1:$A$37=Z87)*'Rate Lookup'!$D$1:$D$37),IF(OR(Y87="Individual",Y87="HUF"),SUMPRODUCT(('Rate Lookup'!$A$1:$A$37=Z87)*'Rate Lookup'!$B$1:$B$37),SUMPRODUCT(('Rate Lookup'!$A$1:$A$37=Z87)*'Rate Lookup'!$C$1:$C$37)))))</f>
      </c>
      <c r="AB87" s="30"/>
      <c r="AC87" s="31"/>
      <c r="AD87" s="27">
        <f>IF($B87&lt;&gt;"Entry","",ROUND(AC87*AA87/100,0))</f>
      </c>
      <c r="AE87" s="27">
        <f>IF($B87&lt;&gt;"Entry","",0)</f>
      </c>
      <c r="AF87" s="27">
        <f>IF($B87&lt;&gt;"Entry","",0)</f>
      </c>
      <c r="AG87" s="27">
        <f>IF($B87&lt;&gt;"Entry","",IF(OR(AD87=0,AB87="",AQ87="",AQ87&lt;=0),0,IF(AQ87&lt;=DATE(YEAR(AB87),MONTH(AB87)+1,7),0,ROUND(AD87*0.015*((YEAR(AQ87)-YEAR(AB87))*12+(MONTH(AQ87)-MONTH(AB87))+1),0))))</f>
      </c>
      <c r="AH87" s="27">
        <f>IF($B87&lt;&gt;"Entry","",0)</f>
      </c>
      <c r="AI87" s="28"/>
      <c r="AJ87" s="28"/>
      <c r="AK87" s="32"/>
      <c r="AL87" s="28"/>
      <c r="AM87" s="28"/>
      <c r="AN87" s="27">
        <f>IF($B87&lt;&gt;"Challan","",SUMIF('Q1 Data'!$D$4:$D$207,D87,'Q1 Data'!$AD$4:$AD$207)+SUMIF('Q1 Data'!$D$4:$D$207,D87,'Q1 Data'!$AG$4:$AG$207)+SUMIF('Q1 Data'!$D$4:$D$207,D87,'Q1 Data'!$AE$4:$AE$207)+SUMIF('Q2 Data'!$D$4:$D$207,D87,'Q2 Data'!$AD$4:$AD$207)+SUMIF('Q2 Data'!$D$4:$D$207,D87,'Q2 Data'!$AG$4:$AG$207)+SUMIF('Q2 Data'!$D$4:$D$207,D87,'Q2 Data'!$AE$4:$AE$207)+SUMIF('Q3 Data'!$D$4:$D$207,D87,'Q3 Data'!$AD$4:$AD$207)+SUMIF('Q3 Data'!$D$4:$D$207,D87,'Q3 Data'!$AG$4:$AG$207)+SUMIF('Q3 Data'!$D$4:$D$207,D87,'Q3 Data'!$AE$4:$AE$207)+SUMIF('Q4 Data'!$D$4:$D$207,D87,'Q4 Data'!$AD$4:$AD$207)+SUMIF('Q4 Data'!$D$4:$D$207,D87,'Q4 Data'!$AG$4:$AG$207)+SUMIF('Q4 Data'!$D$4:$D$207,D87,'Q4 Data'!$AE$4:$AE$207))</f>
      </c>
      <c r="AO87" s="27">
        <f>IF($B87&lt;&gt;"Challan","",P87-N87)</f>
      </c>
      <c r="AP87" s="27">
        <f>IF($B87&lt;&gt;"Challan","",MAX(0,AO87-AN87))</f>
      </c>
      <c r="AQ87" s="33">
        <f>IF($B87&lt;&gt;"Entry","",SUMPRODUCT(('Q1 Data'!$D$4:$D$207=D87)*('Q1 Data'!$B$4:$B$207="Challan")*'Q1 Data'!$F$4:$F$207)+SUMPRODUCT(('Q2 Data'!$D$4:$D$207=D87)*('Q2 Data'!$B$4:$B$207="Challan")*'Q2 Data'!$F$4:$F$207)+SUMPRODUCT(('Q3 Data'!$D$4:$D$207=D87)*('Q3 Data'!$B$4:$B$207="Challan")*'Q3 Data'!$F$4:$F$207)+SUMPRODUCT(('Q4 Data'!$D$4:$D$207=D87)*('Q4 Data'!$B$4:$B$207="Challan")*'Q4 Data'!$F$4:$F$207))</f>
      </c>
      <c r="AR87" s="34">
        <f>IF(OR($B87&lt;&gt;"Entry",Z87=""),FALSE,AND((SUMPRODUCT(('Q1 Data'!$D$4:$D$207=D87)*('Q1 Data'!$B$4:$B$207="Challan")*('Q1 Data'!$H$4:$H$207&lt;&gt;""))+SUMPRODUCT(('Q2 Data'!$D$4:$D$207=D87)*('Q2 Data'!$B$4:$B$207="Challan")*('Q2 Data'!$H$4:$H$207&lt;&gt;""))+SUMPRODUCT(('Q3 Data'!$D$4:$D$207=D87)*('Q3 Data'!$B$4:$B$207="Challan")*('Q3 Data'!$H$4:$H$207&lt;&gt;""))+SUMPRODUCT(('Q4 Data'!$D$4:$D$207=D87)*('Q4 Data'!$B$4:$B$207="Challan")*('Q4 Data'!$H$4:$H$207&lt;&gt;"")))&gt;0,(SUMPRODUCT(('Q1 Data'!$D$4:$D$207=D87)*('Q1 Data'!$B$4:$B$207="Challan")*('Q1 Data'!$H$4:$H$207=Z87))+SUMPRODUCT(('Q2 Data'!$D$4:$D$207=D87)*('Q2 Data'!$B$4:$B$207="Challan")*('Q2 Data'!$H$4:$H$207=Z87))+SUMPRODUCT(('Q3 Data'!$D$4:$D$207=D87)*('Q3 Data'!$B$4:$B$207="Challan")*('Q3 Data'!$H$4:$H$207=Z87))+SUMPRODUCT(('Q4 Data'!$D$4:$D$207=D87)*('Q4 Data'!$B$4:$B$207="Challan")*('Q4 Data'!$H$4:$H$207=Z87)))=0))</f>
      </c>
    </row>
    <row r="88" spans="1:44" x14ac:dyDescent="0.25">
      <c r="A88" s="20">
        <f>IF($B88="Entry",COUNTIF($B$4:$B88,"Entry"),"")</f>
      </c>
      <c r="B88" s="21"/>
      <c r="C88" s="22"/>
      <c r="D88" s="22"/>
      <c r="E88" s="23">
        <f>IF($B88&lt;&gt;"Challan","",IF(ROUND(AN88-AO88,2)&gt;0,"Over-applied",IF(ROUND(AN88-AO88,2)=0,"Fully Utilised","Unconsumed")))</f>
      </c>
      <c r="F88" s="24"/>
      <c r="G88" s="25"/>
      <c r="H88" s="25"/>
      <c r="I88" s="26"/>
      <c r="J88" s="26"/>
      <c r="K88" s="26"/>
      <c r="L88" s="26"/>
      <c r="M88" s="26"/>
      <c r="N88" s="26"/>
      <c r="O88" s="26"/>
      <c r="P88" s="27">
        <f>IF($B88&lt;&gt;"Challan","",I88+J88+K88+L88+M88+N88)</f>
      </c>
      <c r="Q88" s="25"/>
      <c r="R88" s="25"/>
      <c r="S88" s="25"/>
      <c r="T88" s="25"/>
      <c r="U88" s="25"/>
      <c r="V88" s="28"/>
      <c r="W88" s="28"/>
      <c r="X88" s="23">
        <f>IF($B88="Entry",IF(AND(LEN(TRIM(UPPER(W88)))=10,CODE(MID(TRIM(UPPER(W88)),1,1))&gt;=65,CODE(MID(TRIM(UPPER(W88)),1,1))&lt;=90,CODE(MID(TRIM(UPPER(W88)),2,1))&gt;=65,CODE(MID(TRIM(UPPER(W88)),2,1))&lt;=90,CODE(MID(TRIM(UPPER(W88)),3,1))&gt;=65,CODE(MID(TRIM(UPPER(W88)),3,1))&lt;=90,CODE(MID(TRIM(UPPER(W88)),4,1))&gt;=65,CODE(MID(TRIM(UPPER(W88)),4,1))&lt;=90,CODE(MID(TRIM(UPPER(W88)),5,1))&gt;=65,CODE(MID(TRIM(UPPER(W88)),5,1))&lt;=90,CODE(MID(TRIM(UPPER(W88)),10,1))&gt;=65,CODE(MID(TRIM(UPPER(W88)),10,1))&lt;=90,CODE(MID(TRIM(UPPER(W88)),6,1))&gt;=48,CODE(MID(TRIM(UPPER(W88)),6,1))&lt;=57,CODE(MID(TRIM(UPPER(W88)),7,1))&gt;=48,CODE(MID(TRIM(UPPER(W88)),7,1))&lt;=57,CODE(MID(TRIM(UPPER(W88)),8,1))&gt;=48,CODE(MID(TRIM(UPPER(W88)),8,1))&lt;=57,CODE(MID(TRIM(UPPER(W88)),9,1))&gt;=48,CODE(MID(TRIM(UPPER(W88)),9,1))&lt;=57),"N","Y"),IF($B88="Challan","",IF(W88&lt;&gt;"","◄ Set Row Type","")))</f>
      </c>
      <c r="Y88" s="23">
        <f>IF($B88="Entry",IF(LEN(W88)&lt;4,"",IF(UPPER(MID(W88,4,1))="P","Individual",IF(UPPER(MID(W88,4,1))="H","HUF",IF(UPPER(MID(W88,4,1))="C","Company",IF(UPPER(MID(W88,4,1))="F","Firm",IF(UPPER(MID(W88,4,1))="L","LLP",IF(UPPER(MID(W88,4,1))="T","Trust",IF(UPPER(MID(W88,4,1))="A","AOP","")))))))),IF($B88="Challan","",IF(W88&lt;&gt;"","◄ Set Row Type","")))</f>
      </c>
      <c r="Z88" s="28"/>
      <c r="AA88" s="29">
        <f>IF($B88&lt;&gt;"Entry","",IF(Z88="","",IF(X88="Y",SUMPRODUCT(('Rate Lookup'!$A$1:$A$37=Z88)*'Rate Lookup'!$D$1:$D$37),IF(OR(Y88="Individual",Y88="HUF"),SUMPRODUCT(('Rate Lookup'!$A$1:$A$37=Z88)*'Rate Lookup'!$B$1:$B$37),SUMPRODUCT(('Rate Lookup'!$A$1:$A$37=Z88)*'Rate Lookup'!$C$1:$C$37)))))</f>
      </c>
      <c r="AB88" s="30"/>
      <c r="AC88" s="31"/>
      <c r="AD88" s="27">
        <f>IF($B88&lt;&gt;"Entry","",ROUND(AC88*AA88/100,0))</f>
      </c>
      <c r="AE88" s="27">
        <f>IF($B88&lt;&gt;"Entry","",0)</f>
      </c>
      <c r="AF88" s="27">
        <f>IF($B88&lt;&gt;"Entry","",0)</f>
      </c>
      <c r="AG88" s="27">
        <f>IF($B88&lt;&gt;"Entry","",IF(OR(AD88=0,AB88="",AQ88="",AQ88&lt;=0),0,IF(AQ88&lt;=DATE(YEAR(AB88),MONTH(AB88)+1,7),0,ROUND(AD88*0.015*((YEAR(AQ88)-YEAR(AB88))*12+(MONTH(AQ88)-MONTH(AB88))+1),0))))</f>
      </c>
      <c r="AH88" s="27">
        <f>IF($B88&lt;&gt;"Entry","",0)</f>
      </c>
      <c r="AI88" s="28"/>
      <c r="AJ88" s="28"/>
      <c r="AK88" s="32"/>
      <c r="AL88" s="28"/>
      <c r="AM88" s="28"/>
      <c r="AN88" s="27">
        <f>IF($B88&lt;&gt;"Challan","",SUMIF('Q1 Data'!$D$4:$D$207,D88,'Q1 Data'!$AD$4:$AD$207)+SUMIF('Q1 Data'!$D$4:$D$207,D88,'Q1 Data'!$AG$4:$AG$207)+SUMIF('Q1 Data'!$D$4:$D$207,D88,'Q1 Data'!$AE$4:$AE$207)+SUMIF('Q2 Data'!$D$4:$D$207,D88,'Q2 Data'!$AD$4:$AD$207)+SUMIF('Q2 Data'!$D$4:$D$207,D88,'Q2 Data'!$AG$4:$AG$207)+SUMIF('Q2 Data'!$D$4:$D$207,D88,'Q2 Data'!$AE$4:$AE$207)+SUMIF('Q3 Data'!$D$4:$D$207,D88,'Q3 Data'!$AD$4:$AD$207)+SUMIF('Q3 Data'!$D$4:$D$207,D88,'Q3 Data'!$AG$4:$AG$207)+SUMIF('Q3 Data'!$D$4:$D$207,D88,'Q3 Data'!$AE$4:$AE$207)+SUMIF('Q4 Data'!$D$4:$D$207,D88,'Q4 Data'!$AD$4:$AD$207)+SUMIF('Q4 Data'!$D$4:$D$207,D88,'Q4 Data'!$AG$4:$AG$207)+SUMIF('Q4 Data'!$D$4:$D$207,D88,'Q4 Data'!$AE$4:$AE$207))</f>
      </c>
      <c r="AO88" s="27">
        <f>IF($B88&lt;&gt;"Challan","",P88-N88)</f>
      </c>
      <c r="AP88" s="27">
        <f>IF($B88&lt;&gt;"Challan","",MAX(0,AO88-AN88))</f>
      </c>
      <c r="AQ88" s="33">
        <f>IF($B88&lt;&gt;"Entry","",SUMPRODUCT(('Q1 Data'!$D$4:$D$207=D88)*('Q1 Data'!$B$4:$B$207="Challan")*'Q1 Data'!$F$4:$F$207)+SUMPRODUCT(('Q2 Data'!$D$4:$D$207=D88)*('Q2 Data'!$B$4:$B$207="Challan")*'Q2 Data'!$F$4:$F$207)+SUMPRODUCT(('Q3 Data'!$D$4:$D$207=D88)*('Q3 Data'!$B$4:$B$207="Challan")*'Q3 Data'!$F$4:$F$207)+SUMPRODUCT(('Q4 Data'!$D$4:$D$207=D88)*('Q4 Data'!$B$4:$B$207="Challan")*'Q4 Data'!$F$4:$F$207))</f>
      </c>
      <c r="AR88" s="34">
        <f>IF(OR($B88&lt;&gt;"Entry",Z88=""),FALSE,AND((SUMPRODUCT(('Q1 Data'!$D$4:$D$207=D88)*('Q1 Data'!$B$4:$B$207="Challan")*('Q1 Data'!$H$4:$H$207&lt;&gt;""))+SUMPRODUCT(('Q2 Data'!$D$4:$D$207=D88)*('Q2 Data'!$B$4:$B$207="Challan")*('Q2 Data'!$H$4:$H$207&lt;&gt;""))+SUMPRODUCT(('Q3 Data'!$D$4:$D$207=D88)*('Q3 Data'!$B$4:$B$207="Challan")*('Q3 Data'!$H$4:$H$207&lt;&gt;""))+SUMPRODUCT(('Q4 Data'!$D$4:$D$207=D88)*('Q4 Data'!$B$4:$B$207="Challan")*('Q4 Data'!$H$4:$H$207&lt;&gt;"")))&gt;0,(SUMPRODUCT(('Q1 Data'!$D$4:$D$207=D88)*('Q1 Data'!$B$4:$B$207="Challan")*('Q1 Data'!$H$4:$H$207=Z88))+SUMPRODUCT(('Q2 Data'!$D$4:$D$207=D88)*('Q2 Data'!$B$4:$B$207="Challan")*('Q2 Data'!$H$4:$H$207=Z88))+SUMPRODUCT(('Q3 Data'!$D$4:$D$207=D88)*('Q3 Data'!$B$4:$B$207="Challan")*('Q3 Data'!$H$4:$H$207=Z88))+SUMPRODUCT(('Q4 Data'!$D$4:$D$207=D88)*('Q4 Data'!$B$4:$B$207="Challan")*('Q4 Data'!$H$4:$H$207=Z88)))=0))</f>
      </c>
    </row>
    <row r="89" spans="1:44" x14ac:dyDescent="0.25">
      <c r="A89" s="20">
        <f>IF($B89="Entry",COUNTIF($B$4:$B89,"Entry"),"")</f>
      </c>
      <c r="B89" s="21"/>
      <c r="C89" s="22"/>
      <c r="D89" s="22"/>
      <c r="E89" s="23">
        <f>IF($B89&lt;&gt;"Challan","",IF(ROUND(AN89-AO89,2)&gt;0,"Over-applied",IF(ROUND(AN89-AO89,2)=0,"Fully Utilised","Unconsumed")))</f>
      </c>
      <c r="F89" s="24"/>
      <c r="G89" s="25"/>
      <c r="H89" s="25"/>
      <c r="I89" s="26"/>
      <c r="J89" s="26"/>
      <c r="K89" s="26"/>
      <c r="L89" s="26"/>
      <c r="M89" s="26"/>
      <c r="N89" s="26"/>
      <c r="O89" s="26"/>
      <c r="P89" s="27">
        <f>IF($B89&lt;&gt;"Challan","",I89+J89+K89+L89+M89+N89)</f>
      </c>
      <c r="Q89" s="25"/>
      <c r="R89" s="25"/>
      <c r="S89" s="25"/>
      <c r="T89" s="25"/>
      <c r="U89" s="25"/>
      <c r="V89" s="28"/>
      <c r="W89" s="28"/>
      <c r="X89" s="23">
        <f>IF($B89="Entry",IF(AND(LEN(TRIM(UPPER(W89)))=10,CODE(MID(TRIM(UPPER(W89)),1,1))&gt;=65,CODE(MID(TRIM(UPPER(W89)),1,1))&lt;=90,CODE(MID(TRIM(UPPER(W89)),2,1))&gt;=65,CODE(MID(TRIM(UPPER(W89)),2,1))&lt;=90,CODE(MID(TRIM(UPPER(W89)),3,1))&gt;=65,CODE(MID(TRIM(UPPER(W89)),3,1))&lt;=90,CODE(MID(TRIM(UPPER(W89)),4,1))&gt;=65,CODE(MID(TRIM(UPPER(W89)),4,1))&lt;=90,CODE(MID(TRIM(UPPER(W89)),5,1))&gt;=65,CODE(MID(TRIM(UPPER(W89)),5,1))&lt;=90,CODE(MID(TRIM(UPPER(W89)),10,1))&gt;=65,CODE(MID(TRIM(UPPER(W89)),10,1))&lt;=90,CODE(MID(TRIM(UPPER(W89)),6,1))&gt;=48,CODE(MID(TRIM(UPPER(W89)),6,1))&lt;=57,CODE(MID(TRIM(UPPER(W89)),7,1))&gt;=48,CODE(MID(TRIM(UPPER(W89)),7,1))&lt;=57,CODE(MID(TRIM(UPPER(W89)),8,1))&gt;=48,CODE(MID(TRIM(UPPER(W89)),8,1))&lt;=57,CODE(MID(TRIM(UPPER(W89)),9,1))&gt;=48,CODE(MID(TRIM(UPPER(W89)),9,1))&lt;=57),"N","Y"),IF($B89="Challan","",IF(W89&lt;&gt;"","◄ Set Row Type","")))</f>
      </c>
      <c r="Y89" s="23">
        <f>IF($B89="Entry",IF(LEN(W89)&lt;4,"",IF(UPPER(MID(W89,4,1))="P","Individual",IF(UPPER(MID(W89,4,1))="H","HUF",IF(UPPER(MID(W89,4,1))="C","Company",IF(UPPER(MID(W89,4,1))="F","Firm",IF(UPPER(MID(W89,4,1))="L","LLP",IF(UPPER(MID(W89,4,1))="T","Trust",IF(UPPER(MID(W89,4,1))="A","AOP","")))))))),IF($B89="Challan","",IF(W89&lt;&gt;"","◄ Set Row Type","")))</f>
      </c>
      <c r="Z89" s="28"/>
      <c r="AA89" s="29">
        <f>IF($B89&lt;&gt;"Entry","",IF(Z89="","",IF(X89="Y",SUMPRODUCT(('Rate Lookup'!$A$1:$A$37=Z89)*'Rate Lookup'!$D$1:$D$37),IF(OR(Y89="Individual",Y89="HUF"),SUMPRODUCT(('Rate Lookup'!$A$1:$A$37=Z89)*'Rate Lookup'!$B$1:$B$37),SUMPRODUCT(('Rate Lookup'!$A$1:$A$37=Z89)*'Rate Lookup'!$C$1:$C$37)))))</f>
      </c>
      <c r="AB89" s="30"/>
      <c r="AC89" s="31"/>
      <c r="AD89" s="27">
        <f>IF($B89&lt;&gt;"Entry","",ROUND(AC89*AA89/100,0))</f>
      </c>
      <c r="AE89" s="27">
        <f>IF($B89&lt;&gt;"Entry","",0)</f>
      </c>
      <c r="AF89" s="27">
        <f>IF($B89&lt;&gt;"Entry","",0)</f>
      </c>
      <c r="AG89" s="27">
        <f>IF($B89&lt;&gt;"Entry","",IF(OR(AD89=0,AB89="",AQ89="",AQ89&lt;=0),0,IF(AQ89&lt;=DATE(YEAR(AB89),MONTH(AB89)+1,7),0,ROUND(AD89*0.015*((YEAR(AQ89)-YEAR(AB89))*12+(MONTH(AQ89)-MONTH(AB89))+1),0))))</f>
      </c>
      <c r="AH89" s="27">
        <f>IF($B89&lt;&gt;"Entry","",0)</f>
      </c>
      <c r="AI89" s="28"/>
      <c r="AJ89" s="28"/>
      <c r="AK89" s="32"/>
      <c r="AL89" s="28"/>
      <c r="AM89" s="28"/>
      <c r="AN89" s="27">
        <f>IF($B89&lt;&gt;"Challan","",SUMIF('Q1 Data'!$D$4:$D$207,D89,'Q1 Data'!$AD$4:$AD$207)+SUMIF('Q1 Data'!$D$4:$D$207,D89,'Q1 Data'!$AG$4:$AG$207)+SUMIF('Q1 Data'!$D$4:$D$207,D89,'Q1 Data'!$AE$4:$AE$207)+SUMIF('Q2 Data'!$D$4:$D$207,D89,'Q2 Data'!$AD$4:$AD$207)+SUMIF('Q2 Data'!$D$4:$D$207,D89,'Q2 Data'!$AG$4:$AG$207)+SUMIF('Q2 Data'!$D$4:$D$207,D89,'Q2 Data'!$AE$4:$AE$207)+SUMIF('Q3 Data'!$D$4:$D$207,D89,'Q3 Data'!$AD$4:$AD$207)+SUMIF('Q3 Data'!$D$4:$D$207,D89,'Q3 Data'!$AG$4:$AG$207)+SUMIF('Q3 Data'!$D$4:$D$207,D89,'Q3 Data'!$AE$4:$AE$207)+SUMIF('Q4 Data'!$D$4:$D$207,D89,'Q4 Data'!$AD$4:$AD$207)+SUMIF('Q4 Data'!$D$4:$D$207,D89,'Q4 Data'!$AG$4:$AG$207)+SUMIF('Q4 Data'!$D$4:$D$207,D89,'Q4 Data'!$AE$4:$AE$207))</f>
      </c>
      <c r="AO89" s="27">
        <f>IF($B89&lt;&gt;"Challan","",P89-N89)</f>
      </c>
      <c r="AP89" s="27">
        <f>IF($B89&lt;&gt;"Challan","",MAX(0,AO89-AN89))</f>
      </c>
      <c r="AQ89" s="33">
        <f>IF($B89&lt;&gt;"Entry","",SUMPRODUCT(('Q1 Data'!$D$4:$D$207=D89)*('Q1 Data'!$B$4:$B$207="Challan")*'Q1 Data'!$F$4:$F$207)+SUMPRODUCT(('Q2 Data'!$D$4:$D$207=D89)*('Q2 Data'!$B$4:$B$207="Challan")*'Q2 Data'!$F$4:$F$207)+SUMPRODUCT(('Q3 Data'!$D$4:$D$207=D89)*('Q3 Data'!$B$4:$B$207="Challan")*'Q3 Data'!$F$4:$F$207)+SUMPRODUCT(('Q4 Data'!$D$4:$D$207=D89)*('Q4 Data'!$B$4:$B$207="Challan")*'Q4 Data'!$F$4:$F$207))</f>
      </c>
      <c r="AR89" s="34">
        <f>IF(OR($B89&lt;&gt;"Entry",Z89=""),FALSE,AND((SUMPRODUCT(('Q1 Data'!$D$4:$D$207=D89)*('Q1 Data'!$B$4:$B$207="Challan")*('Q1 Data'!$H$4:$H$207&lt;&gt;""))+SUMPRODUCT(('Q2 Data'!$D$4:$D$207=D89)*('Q2 Data'!$B$4:$B$207="Challan")*('Q2 Data'!$H$4:$H$207&lt;&gt;""))+SUMPRODUCT(('Q3 Data'!$D$4:$D$207=D89)*('Q3 Data'!$B$4:$B$207="Challan")*('Q3 Data'!$H$4:$H$207&lt;&gt;""))+SUMPRODUCT(('Q4 Data'!$D$4:$D$207=D89)*('Q4 Data'!$B$4:$B$207="Challan")*('Q4 Data'!$H$4:$H$207&lt;&gt;"")))&gt;0,(SUMPRODUCT(('Q1 Data'!$D$4:$D$207=D89)*('Q1 Data'!$B$4:$B$207="Challan")*('Q1 Data'!$H$4:$H$207=Z89))+SUMPRODUCT(('Q2 Data'!$D$4:$D$207=D89)*('Q2 Data'!$B$4:$B$207="Challan")*('Q2 Data'!$H$4:$H$207=Z89))+SUMPRODUCT(('Q3 Data'!$D$4:$D$207=D89)*('Q3 Data'!$B$4:$B$207="Challan")*('Q3 Data'!$H$4:$H$207=Z89))+SUMPRODUCT(('Q4 Data'!$D$4:$D$207=D89)*('Q4 Data'!$B$4:$B$207="Challan")*('Q4 Data'!$H$4:$H$207=Z89)))=0))</f>
      </c>
    </row>
    <row r="90" spans="1:44" x14ac:dyDescent="0.25">
      <c r="A90" s="20">
        <f>IF($B90="Entry",COUNTIF($B$4:$B90,"Entry"),"")</f>
      </c>
      <c r="B90" s="21"/>
      <c r="C90" s="22"/>
      <c r="D90" s="22"/>
      <c r="E90" s="23">
        <f>IF($B90&lt;&gt;"Challan","",IF(ROUND(AN90-AO90,2)&gt;0,"Over-applied",IF(ROUND(AN90-AO90,2)=0,"Fully Utilised","Unconsumed")))</f>
      </c>
      <c r="F90" s="24"/>
      <c r="G90" s="25"/>
      <c r="H90" s="25"/>
      <c r="I90" s="26"/>
      <c r="J90" s="26"/>
      <c r="K90" s="26"/>
      <c r="L90" s="26"/>
      <c r="M90" s="26"/>
      <c r="N90" s="26"/>
      <c r="O90" s="26"/>
      <c r="P90" s="27">
        <f>IF($B90&lt;&gt;"Challan","",I90+J90+K90+L90+M90+N90)</f>
      </c>
      <c r="Q90" s="25"/>
      <c r="R90" s="25"/>
      <c r="S90" s="25"/>
      <c r="T90" s="25"/>
      <c r="U90" s="25"/>
      <c r="V90" s="28"/>
      <c r="W90" s="28"/>
      <c r="X90" s="23">
        <f>IF($B90="Entry",IF(AND(LEN(TRIM(UPPER(W90)))=10,CODE(MID(TRIM(UPPER(W90)),1,1))&gt;=65,CODE(MID(TRIM(UPPER(W90)),1,1))&lt;=90,CODE(MID(TRIM(UPPER(W90)),2,1))&gt;=65,CODE(MID(TRIM(UPPER(W90)),2,1))&lt;=90,CODE(MID(TRIM(UPPER(W90)),3,1))&gt;=65,CODE(MID(TRIM(UPPER(W90)),3,1))&lt;=90,CODE(MID(TRIM(UPPER(W90)),4,1))&gt;=65,CODE(MID(TRIM(UPPER(W90)),4,1))&lt;=90,CODE(MID(TRIM(UPPER(W90)),5,1))&gt;=65,CODE(MID(TRIM(UPPER(W90)),5,1))&lt;=90,CODE(MID(TRIM(UPPER(W90)),10,1))&gt;=65,CODE(MID(TRIM(UPPER(W90)),10,1))&lt;=90,CODE(MID(TRIM(UPPER(W90)),6,1))&gt;=48,CODE(MID(TRIM(UPPER(W90)),6,1))&lt;=57,CODE(MID(TRIM(UPPER(W90)),7,1))&gt;=48,CODE(MID(TRIM(UPPER(W90)),7,1))&lt;=57,CODE(MID(TRIM(UPPER(W90)),8,1))&gt;=48,CODE(MID(TRIM(UPPER(W90)),8,1))&lt;=57,CODE(MID(TRIM(UPPER(W90)),9,1))&gt;=48,CODE(MID(TRIM(UPPER(W90)),9,1))&lt;=57),"N","Y"),IF($B90="Challan","",IF(W90&lt;&gt;"","◄ Set Row Type","")))</f>
      </c>
      <c r="Y90" s="23">
        <f>IF($B90="Entry",IF(LEN(W90)&lt;4,"",IF(UPPER(MID(W90,4,1))="P","Individual",IF(UPPER(MID(W90,4,1))="H","HUF",IF(UPPER(MID(W90,4,1))="C","Company",IF(UPPER(MID(W90,4,1))="F","Firm",IF(UPPER(MID(W90,4,1))="L","LLP",IF(UPPER(MID(W90,4,1))="T","Trust",IF(UPPER(MID(W90,4,1))="A","AOP","")))))))),IF($B90="Challan","",IF(W90&lt;&gt;"","◄ Set Row Type","")))</f>
      </c>
      <c r="Z90" s="28"/>
      <c r="AA90" s="29">
        <f>IF($B90&lt;&gt;"Entry","",IF(Z90="","",IF(X90="Y",SUMPRODUCT(('Rate Lookup'!$A$1:$A$37=Z90)*'Rate Lookup'!$D$1:$D$37),IF(OR(Y90="Individual",Y90="HUF"),SUMPRODUCT(('Rate Lookup'!$A$1:$A$37=Z90)*'Rate Lookup'!$B$1:$B$37),SUMPRODUCT(('Rate Lookup'!$A$1:$A$37=Z90)*'Rate Lookup'!$C$1:$C$37)))))</f>
      </c>
      <c r="AB90" s="30"/>
      <c r="AC90" s="31"/>
      <c r="AD90" s="27">
        <f>IF($B90&lt;&gt;"Entry","",ROUND(AC90*AA90/100,0))</f>
      </c>
      <c r="AE90" s="27">
        <f>IF($B90&lt;&gt;"Entry","",0)</f>
      </c>
      <c r="AF90" s="27">
        <f>IF($B90&lt;&gt;"Entry","",0)</f>
      </c>
      <c r="AG90" s="27">
        <f>IF($B90&lt;&gt;"Entry","",IF(OR(AD90=0,AB90="",AQ90="",AQ90&lt;=0),0,IF(AQ90&lt;=DATE(YEAR(AB90),MONTH(AB90)+1,7),0,ROUND(AD90*0.015*((YEAR(AQ90)-YEAR(AB90))*12+(MONTH(AQ90)-MONTH(AB90))+1),0))))</f>
      </c>
      <c r="AH90" s="27">
        <f>IF($B90&lt;&gt;"Entry","",0)</f>
      </c>
      <c r="AI90" s="28"/>
      <c r="AJ90" s="28"/>
      <c r="AK90" s="32"/>
      <c r="AL90" s="28"/>
      <c r="AM90" s="28"/>
      <c r="AN90" s="27">
        <f>IF($B90&lt;&gt;"Challan","",SUMIF('Q1 Data'!$D$4:$D$207,D90,'Q1 Data'!$AD$4:$AD$207)+SUMIF('Q1 Data'!$D$4:$D$207,D90,'Q1 Data'!$AG$4:$AG$207)+SUMIF('Q1 Data'!$D$4:$D$207,D90,'Q1 Data'!$AE$4:$AE$207)+SUMIF('Q2 Data'!$D$4:$D$207,D90,'Q2 Data'!$AD$4:$AD$207)+SUMIF('Q2 Data'!$D$4:$D$207,D90,'Q2 Data'!$AG$4:$AG$207)+SUMIF('Q2 Data'!$D$4:$D$207,D90,'Q2 Data'!$AE$4:$AE$207)+SUMIF('Q3 Data'!$D$4:$D$207,D90,'Q3 Data'!$AD$4:$AD$207)+SUMIF('Q3 Data'!$D$4:$D$207,D90,'Q3 Data'!$AG$4:$AG$207)+SUMIF('Q3 Data'!$D$4:$D$207,D90,'Q3 Data'!$AE$4:$AE$207)+SUMIF('Q4 Data'!$D$4:$D$207,D90,'Q4 Data'!$AD$4:$AD$207)+SUMIF('Q4 Data'!$D$4:$D$207,D90,'Q4 Data'!$AG$4:$AG$207)+SUMIF('Q4 Data'!$D$4:$D$207,D90,'Q4 Data'!$AE$4:$AE$207))</f>
      </c>
      <c r="AO90" s="27">
        <f>IF($B90&lt;&gt;"Challan","",P90-N90)</f>
      </c>
      <c r="AP90" s="27">
        <f>IF($B90&lt;&gt;"Challan","",MAX(0,AO90-AN90))</f>
      </c>
      <c r="AQ90" s="33">
        <f>IF($B90&lt;&gt;"Entry","",SUMPRODUCT(('Q1 Data'!$D$4:$D$207=D90)*('Q1 Data'!$B$4:$B$207="Challan")*'Q1 Data'!$F$4:$F$207)+SUMPRODUCT(('Q2 Data'!$D$4:$D$207=D90)*('Q2 Data'!$B$4:$B$207="Challan")*'Q2 Data'!$F$4:$F$207)+SUMPRODUCT(('Q3 Data'!$D$4:$D$207=D90)*('Q3 Data'!$B$4:$B$207="Challan")*'Q3 Data'!$F$4:$F$207)+SUMPRODUCT(('Q4 Data'!$D$4:$D$207=D90)*('Q4 Data'!$B$4:$B$207="Challan")*'Q4 Data'!$F$4:$F$207))</f>
      </c>
      <c r="AR90" s="34">
        <f>IF(OR($B90&lt;&gt;"Entry",Z90=""),FALSE,AND((SUMPRODUCT(('Q1 Data'!$D$4:$D$207=D90)*('Q1 Data'!$B$4:$B$207="Challan")*('Q1 Data'!$H$4:$H$207&lt;&gt;""))+SUMPRODUCT(('Q2 Data'!$D$4:$D$207=D90)*('Q2 Data'!$B$4:$B$207="Challan")*('Q2 Data'!$H$4:$H$207&lt;&gt;""))+SUMPRODUCT(('Q3 Data'!$D$4:$D$207=D90)*('Q3 Data'!$B$4:$B$207="Challan")*('Q3 Data'!$H$4:$H$207&lt;&gt;""))+SUMPRODUCT(('Q4 Data'!$D$4:$D$207=D90)*('Q4 Data'!$B$4:$B$207="Challan")*('Q4 Data'!$H$4:$H$207&lt;&gt;"")))&gt;0,(SUMPRODUCT(('Q1 Data'!$D$4:$D$207=D90)*('Q1 Data'!$B$4:$B$207="Challan")*('Q1 Data'!$H$4:$H$207=Z90))+SUMPRODUCT(('Q2 Data'!$D$4:$D$207=D90)*('Q2 Data'!$B$4:$B$207="Challan")*('Q2 Data'!$H$4:$H$207=Z90))+SUMPRODUCT(('Q3 Data'!$D$4:$D$207=D90)*('Q3 Data'!$B$4:$B$207="Challan")*('Q3 Data'!$H$4:$H$207=Z90))+SUMPRODUCT(('Q4 Data'!$D$4:$D$207=D90)*('Q4 Data'!$B$4:$B$207="Challan")*('Q4 Data'!$H$4:$H$207=Z90)))=0))</f>
      </c>
    </row>
    <row r="91" spans="1:44" x14ac:dyDescent="0.25">
      <c r="A91" s="20">
        <f>IF($B91="Entry",COUNTIF($B$4:$B91,"Entry"),"")</f>
      </c>
      <c r="B91" s="21"/>
      <c r="C91" s="22"/>
      <c r="D91" s="22"/>
      <c r="E91" s="23">
        <f>IF($B91&lt;&gt;"Challan","",IF(ROUND(AN91-AO91,2)&gt;0,"Over-applied",IF(ROUND(AN91-AO91,2)=0,"Fully Utilised","Unconsumed")))</f>
      </c>
      <c r="F91" s="24"/>
      <c r="G91" s="25"/>
      <c r="H91" s="25"/>
      <c r="I91" s="26"/>
      <c r="J91" s="26"/>
      <c r="K91" s="26"/>
      <c r="L91" s="26"/>
      <c r="M91" s="26"/>
      <c r="N91" s="26"/>
      <c r="O91" s="26"/>
      <c r="P91" s="27">
        <f>IF($B91&lt;&gt;"Challan","",I91+J91+K91+L91+M91+N91)</f>
      </c>
      <c r="Q91" s="25"/>
      <c r="R91" s="25"/>
      <c r="S91" s="25"/>
      <c r="T91" s="25"/>
      <c r="U91" s="25"/>
      <c r="V91" s="28"/>
      <c r="W91" s="28"/>
      <c r="X91" s="23">
        <f>IF($B91="Entry",IF(AND(LEN(TRIM(UPPER(W91)))=10,CODE(MID(TRIM(UPPER(W91)),1,1))&gt;=65,CODE(MID(TRIM(UPPER(W91)),1,1))&lt;=90,CODE(MID(TRIM(UPPER(W91)),2,1))&gt;=65,CODE(MID(TRIM(UPPER(W91)),2,1))&lt;=90,CODE(MID(TRIM(UPPER(W91)),3,1))&gt;=65,CODE(MID(TRIM(UPPER(W91)),3,1))&lt;=90,CODE(MID(TRIM(UPPER(W91)),4,1))&gt;=65,CODE(MID(TRIM(UPPER(W91)),4,1))&lt;=90,CODE(MID(TRIM(UPPER(W91)),5,1))&gt;=65,CODE(MID(TRIM(UPPER(W91)),5,1))&lt;=90,CODE(MID(TRIM(UPPER(W91)),10,1))&gt;=65,CODE(MID(TRIM(UPPER(W91)),10,1))&lt;=90,CODE(MID(TRIM(UPPER(W91)),6,1))&gt;=48,CODE(MID(TRIM(UPPER(W91)),6,1))&lt;=57,CODE(MID(TRIM(UPPER(W91)),7,1))&gt;=48,CODE(MID(TRIM(UPPER(W91)),7,1))&lt;=57,CODE(MID(TRIM(UPPER(W91)),8,1))&gt;=48,CODE(MID(TRIM(UPPER(W91)),8,1))&lt;=57,CODE(MID(TRIM(UPPER(W91)),9,1))&gt;=48,CODE(MID(TRIM(UPPER(W91)),9,1))&lt;=57),"N","Y"),IF($B91="Challan","",IF(W91&lt;&gt;"","◄ Set Row Type","")))</f>
      </c>
      <c r="Y91" s="23">
        <f>IF($B91="Entry",IF(LEN(W91)&lt;4,"",IF(UPPER(MID(W91,4,1))="P","Individual",IF(UPPER(MID(W91,4,1))="H","HUF",IF(UPPER(MID(W91,4,1))="C","Company",IF(UPPER(MID(W91,4,1))="F","Firm",IF(UPPER(MID(W91,4,1))="L","LLP",IF(UPPER(MID(W91,4,1))="T","Trust",IF(UPPER(MID(W91,4,1))="A","AOP","")))))))),IF($B91="Challan","",IF(W91&lt;&gt;"","◄ Set Row Type","")))</f>
      </c>
      <c r="Z91" s="28"/>
      <c r="AA91" s="29">
        <f>IF($B91&lt;&gt;"Entry","",IF(Z91="","",IF(X91="Y",SUMPRODUCT(('Rate Lookup'!$A$1:$A$37=Z91)*'Rate Lookup'!$D$1:$D$37),IF(OR(Y91="Individual",Y91="HUF"),SUMPRODUCT(('Rate Lookup'!$A$1:$A$37=Z91)*'Rate Lookup'!$B$1:$B$37),SUMPRODUCT(('Rate Lookup'!$A$1:$A$37=Z91)*'Rate Lookup'!$C$1:$C$37)))))</f>
      </c>
      <c r="AB91" s="30"/>
      <c r="AC91" s="31"/>
      <c r="AD91" s="27">
        <f>IF($B91&lt;&gt;"Entry","",ROUND(AC91*AA91/100,0))</f>
      </c>
      <c r="AE91" s="27">
        <f>IF($B91&lt;&gt;"Entry","",0)</f>
      </c>
      <c r="AF91" s="27">
        <f>IF($B91&lt;&gt;"Entry","",0)</f>
      </c>
      <c r="AG91" s="27">
        <f>IF($B91&lt;&gt;"Entry","",IF(OR(AD91=0,AB91="",AQ91="",AQ91&lt;=0),0,IF(AQ91&lt;=DATE(YEAR(AB91),MONTH(AB91)+1,7),0,ROUND(AD91*0.015*((YEAR(AQ91)-YEAR(AB91))*12+(MONTH(AQ91)-MONTH(AB91))+1),0))))</f>
      </c>
      <c r="AH91" s="27">
        <f>IF($B91&lt;&gt;"Entry","",0)</f>
      </c>
      <c r="AI91" s="28"/>
      <c r="AJ91" s="28"/>
      <c r="AK91" s="32"/>
      <c r="AL91" s="28"/>
      <c r="AM91" s="28"/>
      <c r="AN91" s="27">
        <f>IF($B91&lt;&gt;"Challan","",SUMIF('Q1 Data'!$D$4:$D$207,D91,'Q1 Data'!$AD$4:$AD$207)+SUMIF('Q1 Data'!$D$4:$D$207,D91,'Q1 Data'!$AG$4:$AG$207)+SUMIF('Q1 Data'!$D$4:$D$207,D91,'Q1 Data'!$AE$4:$AE$207)+SUMIF('Q2 Data'!$D$4:$D$207,D91,'Q2 Data'!$AD$4:$AD$207)+SUMIF('Q2 Data'!$D$4:$D$207,D91,'Q2 Data'!$AG$4:$AG$207)+SUMIF('Q2 Data'!$D$4:$D$207,D91,'Q2 Data'!$AE$4:$AE$207)+SUMIF('Q3 Data'!$D$4:$D$207,D91,'Q3 Data'!$AD$4:$AD$207)+SUMIF('Q3 Data'!$D$4:$D$207,D91,'Q3 Data'!$AG$4:$AG$207)+SUMIF('Q3 Data'!$D$4:$D$207,D91,'Q3 Data'!$AE$4:$AE$207)+SUMIF('Q4 Data'!$D$4:$D$207,D91,'Q4 Data'!$AD$4:$AD$207)+SUMIF('Q4 Data'!$D$4:$D$207,D91,'Q4 Data'!$AG$4:$AG$207)+SUMIF('Q4 Data'!$D$4:$D$207,D91,'Q4 Data'!$AE$4:$AE$207))</f>
      </c>
      <c r="AO91" s="27">
        <f>IF($B91&lt;&gt;"Challan","",P91-N91)</f>
      </c>
      <c r="AP91" s="27">
        <f>IF($B91&lt;&gt;"Challan","",MAX(0,AO91-AN91))</f>
      </c>
      <c r="AQ91" s="33">
        <f>IF($B91&lt;&gt;"Entry","",SUMPRODUCT(('Q1 Data'!$D$4:$D$207=D91)*('Q1 Data'!$B$4:$B$207="Challan")*'Q1 Data'!$F$4:$F$207)+SUMPRODUCT(('Q2 Data'!$D$4:$D$207=D91)*('Q2 Data'!$B$4:$B$207="Challan")*'Q2 Data'!$F$4:$F$207)+SUMPRODUCT(('Q3 Data'!$D$4:$D$207=D91)*('Q3 Data'!$B$4:$B$207="Challan")*'Q3 Data'!$F$4:$F$207)+SUMPRODUCT(('Q4 Data'!$D$4:$D$207=D91)*('Q4 Data'!$B$4:$B$207="Challan")*'Q4 Data'!$F$4:$F$207))</f>
      </c>
      <c r="AR91" s="34">
        <f>IF(OR($B91&lt;&gt;"Entry",Z91=""),FALSE,AND((SUMPRODUCT(('Q1 Data'!$D$4:$D$207=D91)*('Q1 Data'!$B$4:$B$207="Challan")*('Q1 Data'!$H$4:$H$207&lt;&gt;""))+SUMPRODUCT(('Q2 Data'!$D$4:$D$207=D91)*('Q2 Data'!$B$4:$B$207="Challan")*('Q2 Data'!$H$4:$H$207&lt;&gt;""))+SUMPRODUCT(('Q3 Data'!$D$4:$D$207=D91)*('Q3 Data'!$B$4:$B$207="Challan")*('Q3 Data'!$H$4:$H$207&lt;&gt;""))+SUMPRODUCT(('Q4 Data'!$D$4:$D$207=D91)*('Q4 Data'!$B$4:$B$207="Challan")*('Q4 Data'!$H$4:$H$207&lt;&gt;"")))&gt;0,(SUMPRODUCT(('Q1 Data'!$D$4:$D$207=D91)*('Q1 Data'!$B$4:$B$207="Challan")*('Q1 Data'!$H$4:$H$207=Z91))+SUMPRODUCT(('Q2 Data'!$D$4:$D$207=D91)*('Q2 Data'!$B$4:$B$207="Challan")*('Q2 Data'!$H$4:$H$207=Z91))+SUMPRODUCT(('Q3 Data'!$D$4:$D$207=D91)*('Q3 Data'!$B$4:$B$207="Challan")*('Q3 Data'!$H$4:$H$207=Z91))+SUMPRODUCT(('Q4 Data'!$D$4:$D$207=D91)*('Q4 Data'!$B$4:$B$207="Challan")*('Q4 Data'!$H$4:$H$207=Z91)))=0))</f>
      </c>
    </row>
    <row r="92" spans="1:44" x14ac:dyDescent="0.25">
      <c r="A92" s="20">
        <f>IF($B92="Entry",COUNTIF($B$4:$B92,"Entry"),"")</f>
      </c>
      <c r="B92" s="21"/>
      <c r="C92" s="22"/>
      <c r="D92" s="22"/>
      <c r="E92" s="23">
        <f>IF($B92&lt;&gt;"Challan","",IF(ROUND(AN92-AO92,2)&gt;0,"Over-applied",IF(ROUND(AN92-AO92,2)=0,"Fully Utilised","Unconsumed")))</f>
      </c>
      <c r="F92" s="24"/>
      <c r="G92" s="25"/>
      <c r="H92" s="25"/>
      <c r="I92" s="26"/>
      <c r="J92" s="26"/>
      <c r="K92" s="26"/>
      <c r="L92" s="26"/>
      <c r="M92" s="26"/>
      <c r="N92" s="26"/>
      <c r="O92" s="26"/>
      <c r="P92" s="27">
        <f>IF($B92&lt;&gt;"Challan","",I92+J92+K92+L92+M92+N92)</f>
      </c>
      <c r="Q92" s="25"/>
      <c r="R92" s="25"/>
      <c r="S92" s="25"/>
      <c r="T92" s="25"/>
      <c r="U92" s="25"/>
      <c r="V92" s="28"/>
      <c r="W92" s="28"/>
      <c r="X92" s="23">
        <f>IF($B92="Entry",IF(AND(LEN(TRIM(UPPER(W92)))=10,CODE(MID(TRIM(UPPER(W92)),1,1))&gt;=65,CODE(MID(TRIM(UPPER(W92)),1,1))&lt;=90,CODE(MID(TRIM(UPPER(W92)),2,1))&gt;=65,CODE(MID(TRIM(UPPER(W92)),2,1))&lt;=90,CODE(MID(TRIM(UPPER(W92)),3,1))&gt;=65,CODE(MID(TRIM(UPPER(W92)),3,1))&lt;=90,CODE(MID(TRIM(UPPER(W92)),4,1))&gt;=65,CODE(MID(TRIM(UPPER(W92)),4,1))&lt;=90,CODE(MID(TRIM(UPPER(W92)),5,1))&gt;=65,CODE(MID(TRIM(UPPER(W92)),5,1))&lt;=90,CODE(MID(TRIM(UPPER(W92)),10,1))&gt;=65,CODE(MID(TRIM(UPPER(W92)),10,1))&lt;=90,CODE(MID(TRIM(UPPER(W92)),6,1))&gt;=48,CODE(MID(TRIM(UPPER(W92)),6,1))&lt;=57,CODE(MID(TRIM(UPPER(W92)),7,1))&gt;=48,CODE(MID(TRIM(UPPER(W92)),7,1))&lt;=57,CODE(MID(TRIM(UPPER(W92)),8,1))&gt;=48,CODE(MID(TRIM(UPPER(W92)),8,1))&lt;=57,CODE(MID(TRIM(UPPER(W92)),9,1))&gt;=48,CODE(MID(TRIM(UPPER(W92)),9,1))&lt;=57),"N","Y"),IF($B92="Challan","",IF(W92&lt;&gt;"","◄ Set Row Type","")))</f>
      </c>
      <c r="Y92" s="23">
        <f>IF($B92="Entry",IF(LEN(W92)&lt;4,"",IF(UPPER(MID(W92,4,1))="P","Individual",IF(UPPER(MID(W92,4,1))="H","HUF",IF(UPPER(MID(W92,4,1))="C","Company",IF(UPPER(MID(W92,4,1))="F","Firm",IF(UPPER(MID(W92,4,1))="L","LLP",IF(UPPER(MID(W92,4,1))="T","Trust",IF(UPPER(MID(W92,4,1))="A","AOP","")))))))),IF($B92="Challan","",IF(W92&lt;&gt;"","◄ Set Row Type","")))</f>
      </c>
      <c r="Z92" s="28"/>
      <c r="AA92" s="29">
        <f>IF($B92&lt;&gt;"Entry","",IF(Z92="","",IF(X92="Y",SUMPRODUCT(('Rate Lookup'!$A$1:$A$37=Z92)*'Rate Lookup'!$D$1:$D$37),IF(OR(Y92="Individual",Y92="HUF"),SUMPRODUCT(('Rate Lookup'!$A$1:$A$37=Z92)*'Rate Lookup'!$B$1:$B$37),SUMPRODUCT(('Rate Lookup'!$A$1:$A$37=Z92)*'Rate Lookup'!$C$1:$C$37)))))</f>
      </c>
      <c r="AB92" s="30"/>
      <c r="AC92" s="31"/>
      <c r="AD92" s="27">
        <f>IF($B92&lt;&gt;"Entry","",ROUND(AC92*AA92/100,0))</f>
      </c>
      <c r="AE92" s="27">
        <f>IF($B92&lt;&gt;"Entry","",0)</f>
      </c>
      <c r="AF92" s="27">
        <f>IF($B92&lt;&gt;"Entry","",0)</f>
      </c>
      <c r="AG92" s="27">
        <f>IF($B92&lt;&gt;"Entry","",IF(OR(AD92=0,AB92="",AQ92="",AQ92&lt;=0),0,IF(AQ92&lt;=DATE(YEAR(AB92),MONTH(AB92)+1,7),0,ROUND(AD92*0.015*((YEAR(AQ92)-YEAR(AB92))*12+(MONTH(AQ92)-MONTH(AB92))+1),0))))</f>
      </c>
      <c r="AH92" s="27">
        <f>IF($B92&lt;&gt;"Entry","",0)</f>
      </c>
      <c r="AI92" s="28"/>
      <c r="AJ92" s="28"/>
      <c r="AK92" s="32"/>
      <c r="AL92" s="28"/>
      <c r="AM92" s="28"/>
      <c r="AN92" s="27">
        <f>IF($B92&lt;&gt;"Challan","",SUMIF('Q1 Data'!$D$4:$D$207,D92,'Q1 Data'!$AD$4:$AD$207)+SUMIF('Q1 Data'!$D$4:$D$207,D92,'Q1 Data'!$AG$4:$AG$207)+SUMIF('Q1 Data'!$D$4:$D$207,D92,'Q1 Data'!$AE$4:$AE$207)+SUMIF('Q2 Data'!$D$4:$D$207,D92,'Q2 Data'!$AD$4:$AD$207)+SUMIF('Q2 Data'!$D$4:$D$207,D92,'Q2 Data'!$AG$4:$AG$207)+SUMIF('Q2 Data'!$D$4:$D$207,D92,'Q2 Data'!$AE$4:$AE$207)+SUMIF('Q3 Data'!$D$4:$D$207,D92,'Q3 Data'!$AD$4:$AD$207)+SUMIF('Q3 Data'!$D$4:$D$207,D92,'Q3 Data'!$AG$4:$AG$207)+SUMIF('Q3 Data'!$D$4:$D$207,D92,'Q3 Data'!$AE$4:$AE$207)+SUMIF('Q4 Data'!$D$4:$D$207,D92,'Q4 Data'!$AD$4:$AD$207)+SUMIF('Q4 Data'!$D$4:$D$207,D92,'Q4 Data'!$AG$4:$AG$207)+SUMIF('Q4 Data'!$D$4:$D$207,D92,'Q4 Data'!$AE$4:$AE$207))</f>
      </c>
      <c r="AO92" s="27">
        <f>IF($B92&lt;&gt;"Challan","",P92-N92)</f>
      </c>
      <c r="AP92" s="27">
        <f>IF($B92&lt;&gt;"Challan","",MAX(0,AO92-AN92))</f>
      </c>
      <c r="AQ92" s="33">
        <f>IF($B92&lt;&gt;"Entry","",SUMPRODUCT(('Q1 Data'!$D$4:$D$207=D92)*('Q1 Data'!$B$4:$B$207="Challan")*'Q1 Data'!$F$4:$F$207)+SUMPRODUCT(('Q2 Data'!$D$4:$D$207=D92)*('Q2 Data'!$B$4:$B$207="Challan")*'Q2 Data'!$F$4:$F$207)+SUMPRODUCT(('Q3 Data'!$D$4:$D$207=D92)*('Q3 Data'!$B$4:$B$207="Challan")*'Q3 Data'!$F$4:$F$207)+SUMPRODUCT(('Q4 Data'!$D$4:$D$207=D92)*('Q4 Data'!$B$4:$B$207="Challan")*'Q4 Data'!$F$4:$F$207))</f>
      </c>
      <c r="AR92" s="34">
        <f>IF(OR($B92&lt;&gt;"Entry",Z92=""),FALSE,AND((SUMPRODUCT(('Q1 Data'!$D$4:$D$207=D92)*('Q1 Data'!$B$4:$B$207="Challan")*('Q1 Data'!$H$4:$H$207&lt;&gt;""))+SUMPRODUCT(('Q2 Data'!$D$4:$D$207=D92)*('Q2 Data'!$B$4:$B$207="Challan")*('Q2 Data'!$H$4:$H$207&lt;&gt;""))+SUMPRODUCT(('Q3 Data'!$D$4:$D$207=D92)*('Q3 Data'!$B$4:$B$207="Challan")*('Q3 Data'!$H$4:$H$207&lt;&gt;""))+SUMPRODUCT(('Q4 Data'!$D$4:$D$207=D92)*('Q4 Data'!$B$4:$B$207="Challan")*('Q4 Data'!$H$4:$H$207&lt;&gt;"")))&gt;0,(SUMPRODUCT(('Q1 Data'!$D$4:$D$207=D92)*('Q1 Data'!$B$4:$B$207="Challan")*('Q1 Data'!$H$4:$H$207=Z92))+SUMPRODUCT(('Q2 Data'!$D$4:$D$207=D92)*('Q2 Data'!$B$4:$B$207="Challan")*('Q2 Data'!$H$4:$H$207=Z92))+SUMPRODUCT(('Q3 Data'!$D$4:$D$207=D92)*('Q3 Data'!$B$4:$B$207="Challan")*('Q3 Data'!$H$4:$H$207=Z92))+SUMPRODUCT(('Q4 Data'!$D$4:$D$207=D92)*('Q4 Data'!$B$4:$B$207="Challan")*('Q4 Data'!$H$4:$H$207=Z92)))=0))</f>
      </c>
    </row>
    <row r="93" spans="1:44" x14ac:dyDescent="0.25">
      <c r="A93" s="20">
        <f>IF($B93="Entry",COUNTIF($B$4:$B93,"Entry"),"")</f>
      </c>
      <c r="B93" s="21"/>
      <c r="C93" s="22"/>
      <c r="D93" s="22"/>
      <c r="E93" s="23">
        <f>IF($B93&lt;&gt;"Challan","",IF(ROUND(AN93-AO93,2)&gt;0,"Over-applied",IF(ROUND(AN93-AO93,2)=0,"Fully Utilised","Unconsumed")))</f>
      </c>
      <c r="F93" s="24"/>
      <c r="G93" s="25"/>
      <c r="H93" s="25"/>
      <c r="I93" s="26"/>
      <c r="J93" s="26"/>
      <c r="K93" s="26"/>
      <c r="L93" s="26"/>
      <c r="M93" s="26"/>
      <c r="N93" s="26"/>
      <c r="O93" s="26"/>
      <c r="P93" s="27">
        <f>IF($B93&lt;&gt;"Challan","",I93+J93+K93+L93+M93+N93)</f>
      </c>
      <c r="Q93" s="25"/>
      <c r="R93" s="25"/>
      <c r="S93" s="25"/>
      <c r="T93" s="25"/>
      <c r="U93" s="25"/>
      <c r="V93" s="28"/>
      <c r="W93" s="28"/>
      <c r="X93" s="23">
        <f>IF($B93="Entry",IF(AND(LEN(TRIM(UPPER(W93)))=10,CODE(MID(TRIM(UPPER(W93)),1,1))&gt;=65,CODE(MID(TRIM(UPPER(W93)),1,1))&lt;=90,CODE(MID(TRIM(UPPER(W93)),2,1))&gt;=65,CODE(MID(TRIM(UPPER(W93)),2,1))&lt;=90,CODE(MID(TRIM(UPPER(W93)),3,1))&gt;=65,CODE(MID(TRIM(UPPER(W93)),3,1))&lt;=90,CODE(MID(TRIM(UPPER(W93)),4,1))&gt;=65,CODE(MID(TRIM(UPPER(W93)),4,1))&lt;=90,CODE(MID(TRIM(UPPER(W93)),5,1))&gt;=65,CODE(MID(TRIM(UPPER(W93)),5,1))&lt;=90,CODE(MID(TRIM(UPPER(W93)),10,1))&gt;=65,CODE(MID(TRIM(UPPER(W93)),10,1))&lt;=90,CODE(MID(TRIM(UPPER(W93)),6,1))&gt;=48,CODE(MID(TRIM(UPPER(W93)),6,1))&lt;=57,CODE(MID(TRIM(UPPER(W93)),7,1))&gt;=48,CODE(MID(TRIM(UPPER(W93)),7,1))&lt;=57,CODE(MID(TRIM(UPPER(W93)),8,1))&gt;=48,CODE(MID(TRIM(UPPER(W93)),8,1))&lt;=57,CODE(MID(TRIM(UPPER(W93)),9,1))&gt;=48,CODE(MID(TRIM(UPPER(W93)),9,1))&lt;=57),"N","Y"),IF($B93="Challan","",IF(W93&lt;&gt;"","◄ Set Row Type","")))</f>
      </c>
      <c r="Y93" s="23">
        <f>IF($B93="Entry",IF(LEN(W93)&lt;4,"",IF(UPPER(MID(W93,4,1))="P","Individual",IF(UPPER(MID(W93,4,1))="H","HUF",IF(UPPER(MID(W93,4,1))="C","Company",IF(UPPER(MID(W93,4,1))="F","Firm",IF(UPPER(MID(W93,4,1))="L","LLP",IF(UPPER(MID(W93,4,1))="T","Trust",IF(UPPER(MID(W93,4,1))="A","AOP","")))))))),IF($B93="Challan","",IF(W93&lt;&gt;"","◄ Set Row Type","")))</f>
      </c>
      <c r="Z93" s="28"/>
      <c r="AA93" s="29">
        <f>IF($B93&lt;&gt;"Entry","",IF(Z93="","",IF(X93="Y",SUMPRODUCT(('Rate Lookup'!$A$1:$A$37=Z93)*'Rate Lookup'!$D$1:$D$37),IF(OR(Y93="Individual",Y93="HUF"),SUMPRODUCT(('Rate Lookup'!$A$1:$A$37=Z93)*'Rate Lookup'!$B$1:$B$37),SUMPRODUCT(('Rate Lookup'!$A$1:$A$37=Z93)*'Rate Lookup'!$C$1:$C$37)))))</f>
      </c>
      <c r="AB93" s="30"/>
      <c r="AC93" s="31"/>
      <c r="AD93" s="27">
        <f>IF($B93&lt;&gt;"Entry","",ROUND(AC93*AA93/100,0))</f>
      </c>
      <c r="AE93" s="27">
        <f>IF($B93&lt;&gt;"Entry","",0)</f>
      </c>
      <c r="AF93" s="27">
        <f>IF($B93&lt;&gt;"Entry","",0)</f>
      </c>
      <c r="AG93" s="27">
        <f>IF($B93&lt;&gt;"Entry","",IF(OR(AD93=0,AB93="",AQ93="",AQ93&lt;=0),0,IF(AQ93&lt;=DATE(YEAR(AB93),MONTH(AB93)+1,7),0,ROUND(AD93*0.015*((YEAR(AQ93)-YEAR(AB93))*12+(MONTH(AQ93)-MONTH(AB93))+1),0))))</f>
      </c>
      <c r="AH93" s="27">
        <f>IF($B93&lt;&gt;"Entry","",0)</f>
      </c>
      <c r="AI93" s="28"/>
      <c r="AJ93" s="28"/>
      <c r="AK93" s="32"/>
      <c r="AL93" s="28"/>
      <c r="AM93" s="28"/>
      <c r="AN93" s="27">
        <f>IF($B93&lt;&gt;"Challan","",SUMIF('Q1 Data'!$D$4:$D$207,D93,'Q1 Data'!$AD$4:$AD$207)+SUMIF('Q1 Data'!$D$4:$D$207,D93,'Q1 Data'!$AG$4:$AG$207)+SUMIF('Q1 Data'!$D$4:$D$207,D93,'Q1 Data'!$AE$4:$AE$207)+SUMIF('Q2 Data'!$D$4:$D$207,D93,'Q2 Data'!$AD$4:$AD$207)+SUMIF('Q2 Data'!$D$4:$D$207,D93,'Q2 Data'!$AG$4:$AG$207)+SUMIF('Q2 Data'!$D$4:$D$207,D93,'Q2 Data'!$AE$4:$AE$207)+SUMIF('Q3 Data'!$D$4:$D$207,D93,'Q3 Data'!$AD$4:$AD$207)+SUMIF('Q3 Data'!$D$4:$D$207,D93,'Q3 Data'!$AG$4:$AG$207)+SUMIF('Q3 Data'!$D$4:$D$207,D93,'Q3 Data'!$AE$4:$AE$207)+SUMIF('Q4 Data'!$D$4:$D$207,D93,'Q4 Data'!$AD$4:$AD$207)+SUMIF('Q4 Data'!$D$4:$D$207,D93,'Q4 Data'!$AG$4:$AG$207)+SUMIF('Q4 Data'!$D$4:$D$207,D93,'Q4 Data'!$AE$4:$AE$207))</f>
      </c>
      <c r="AO93" s="27">
        <f>IF($B93&lt;&gt;"Challan","",P93-N93)</f>
      </c>
      <c r="AP93" s="27">
        <f>IF($B93&lt;&gt;"Challan","",MAX(0,AO93-AN93))</f>
      </c>
      <c r="AQ93" s="33">
        <f>IF($B93&lt;&gt;"Entry","",SUMPRODUCT(('Q1 Data'!$D$4:$D$207=D93)*('Q1 Data'!$B$4:$B$207="Challan")*'Q1 Data'!$F$4:$F$207)+SUMPRODUCT(('Q2 Data'!$D$4:$D$207=D93)*('Q2 Data'!$B$4:$B$207="Challan")*'Q2 Data'!$F$4:$F$207)+SUMPRODUCT(('Q3 Data'!$D$4:$D$207=D93)*('Q3 Data'!$B$4:$B$207="Challan")*'Q3 Data'!$F$4:$F$207)+SUMPRODUCT(('Q4 Data'!$D$4:$D$207=D93)*('Q4 Data'!$B$4:$B$207="Challan")*'Q4 Data'!$F$4:$F$207))</f>
      </c>
      <c r="AR93" s="34">
        <f>IF(OR($B93&lt;&gt;"Entry",Z93=""),FALSE,AND((SUMPRODUCT(('Q1 Data'!$D$4:$D$207=D93)*('Q1 Data'!$B$4:$B$207="Challan")*('Q1 Data'!$H$4:$H$207&lt;&gt;""))+SUMPRODUCT(('Q2 Data'!$D$4:$D$207=D93)*('Q2 Data'!$B$4:$B$207="Challan")*('Q2 Data'!$H$4:$H$207&lt;&gt;""))+SUMPRODUCT(('Q3 Data'!$D$4:$D$207=D93)*('Q3 Data'!$B$4:$B$207="Challan")*('Q3 Data'!$H$4:$H$207&lt;&gt;""))+SUMPRODUCT(('Q4 Data'!$D$4:$D$207=D93)*('Q4 Data'!$B$4:$B$207="Challan")*('Q4 Data'!$H$4:$H$207&lt;&gt;"")))&gt;0,(SUMPRODUCT(('Q1 Data'!$D$4:$D$207=D93)*('Q1 Data'!$B$4:$B$207="Challan")*('Q1 Data'!$H$4:$H$207=Z93))+SUMPRODUCT(('Q2 Data'!$D$4:$D$207=D93)*('Q2 Data'!$B$4:$B$207="Challan")*('Q2 Data'!$H$4:$H$207=Z93))+SUMPRODUCT(('Q3 Data'!$D$4:$D$207=D93)*('Q3 Data'!$B$4:$B$207="Challan")*('Q3 Data'!$H$4:$H$207=Z93))+SUMPRODUCT(('Q4 Data'!$D$4:$D$207=D93)*('Q4 Data'!$B$4:$B$207="Challan")*('Q4 Data'!$H$4:$H$207=Z93)))=0))</f>
      </c>
    </row>
    <row r="94" spans="1:44" x14ac:dyDescent="0.25">
      <c r="A94" s="20">
        <f>IF($B94="Entry",COUNTIF($B$4:$B94,"Entry"),"")</f>
      </c>
      <c r="B94" s="21"/>
      <c r="C94" s="22"/>
      <c r="D94" s="22"/>
      <c r="E94" s="23">
        <f>IF($B94&lt;&gt;"Challan","",IF(ROUND(AN94-AO94,2)&gt;0,"Over-applied",IF(ROUND(AN94-AO94,2)=0,"Fully Utilised","Unconsumed")))</f>
      </c>
      <c r="F94" s="24"/>
      <c r="G94" s="25"/>
      <c r="H94" s="25"/>
      <c r="I94" s="26"/>
      <c r="J94" s="26"/>
      <c r="K94" s="26"/>
      <c r="L94" s="26"/>
      <c r="M94" s="26"/>
      <c r="N94" s="26"/>
      <c r="O94" s="26"/>
      <c r="P94" s="27">
        <f>IF($B94&lt;&gt;"Challan","",I94+J94+K94+L94+M94+N94)</f>
      </c>
      <c r="Q94" s="25"/>
      <c r="R94" s="25"/>
      <c r="S94" s="25"/>
      <c r="T94" s="25"/>
      <c r="U94" s="25"/>
      <c r="V94" s="28"/>
      <c r="W94" s="28"/>
      <c r="X94" s="23">
        <f>IF($B94="Entry",IF(AND(LEN(TRIM(UPPER(W94)))=10,CODE(MID(TRIM(UPPER(W94)),1,1))&gt;=65,CODE(MID(TRIM(UPPER(W94)),1,1))&lt;=90,CODE(MID(TRIM(UPPER(W94)),2,1))&gt;=65,CODE(MID(TRIM(UPPER(W94)),2,1))&lt;=90,CODE(MID(TRIM(UPPER(W94)),3,1))&gt;=65,CODE(MID(TRIM(UPPER(W94)),3,1))&lt;=90,CODE(MID(TRIM(UPPER(W94)),4,1))&gt;=65,CODE(MID(TRIM(UPPER(W94)),4,1))&lt;=90,CODE(MID(TRIM(UPPER(W94)),5,1))&gt;=65,CODE(MID(TRIM(UPPER(W94)),5,1))&lt;=90,CODE(MID(TRIM(UPPER(W94)),10,1))&gt;=65,CODE(MID(TRIM(UPPER(W94)),10,1))&lt;=90,CODE(MID(TRIM(UPPER(W94)),6,1))&gt;=48,CODE(MID(TRIM(UPPER(W94)),6,1))&lt;=57,CODE(MID(TRIM(UPPER(W94)),7,1))&gt;=48,CODE(MID(TRIM(UPPER(W94)),7,1))&lt;=57,CODE(MID(TRIM(UPPER(W94)),8,1))&gt;=48,CODE(MID(TRIM(UPPER(W94)),8,1))&lt;=57,CODE(MID(TRIM(UPPER(W94)),9,1))&gt;=48,CODE(MID(TRIM(UPPER(W94)),9,1))&lt;=57),"N","Y"),IF($B94="Challan","",IF(W94&lt;&gt;"","◄ Set Row Type","")))</f>
      </c>
      <c r="Y94" s="23">
        <f>IF($B94="Entry",IF(LEN(W94)&lt;4,"",IF(UPPER(MID(W94,4,1))="P","Individual",IF(UPPER(MID(W94,4,1))="H","HUF",IF(UPPER(MID(W94,4,1))="C","Company",IF(UPPER(MID(W94,4,1))="F","Firm",IF(UPPER(MID(W94,4,1))="L","LLP",IF(UPPER(MID(W94,4,1))="T","Trust",IF(UPPER(MID(W94,4,1))="A","AOP","")))))))),IF($B94="Challan","",IF(W94&lt;&gt;"","◄ Set Row Type","")))</f>
      </c>
      <c r="Z94" s="28"/>
      <c r="AA94" s="29">
        <f>IF($B94&lt;&gt;"Entry","",IF(Z94="","",IF(X94="Y",SUMPRODUCT(('Rate Lookup'!$A$1:$A$37=Z94)*'Rate Lookup'!$D$1:$D$37),IF(OR(Y94="Individual",Y94="HUF"),SUMPRODUCT(('Rate Lookup'!$A$1:$A$37=Z94)*'Rate Lookup'!$B$1:$B$37),SUMPRODUCT(('Rate Lookup'!$A$1:$A$37=Z94)*'Rate Lookup'!$C$1:$C$37)))))</f>
      </c>
      <c r="AB94" s="30"/>
      <c r="AC94" s="31"/>
      <c r="AD94" s="27">
        <f>IF($B94&lt;&gt;"Entry","",ROUND(AC94*AA94/100,0))</f>
      </c>
      <c r="AE94" s="27">
        <f>IF($B94&lt;&gt;"Entry","",0)</f>
      </c>
      <c r="AF94" s="27">
        <f>IF($B94&lt;&gt;"Entry","",0)</f>
      </c>
      <c r="AG94" s="27">
        <f>IF($B94&lt;&gt;"Entry","",IF(OR(AD94=0,AB94="",AQ94="",AQ94&lt;=0),0,IF(AQ94&lt;=DATE(YEAR(AB94),MONTH(AB94)+1,7),0,ROUND(AD94*0.015*((YEAR(AQ94)-YEAR(AB94))*12+(MONTH(AQ94)-MONTH(AB94))+1),0))))</f>
      </c>
      <c r="AH94" s="27">
        <f>IF($B94&lt;&gt;"Entry","",0)</f>
      </c>
      <c r="AI94" s="28"/>
      <c r="AJ94" s="28"/>
      <c r="AK94" s="32"/>
      <c r="AL94" s="28"/>
      <c r="AM94" s="28"/>
      <c r="AN94" s="27">
        <f>IF($B94&lt;&gt;"Challan","",SUMIF('Q1 Data'!$D$4:$D$207,D94,'Q1 Data'!$AD$4:$AD$207)+SUMIF('Q1 Data'!$D$4:$D$207,D94,'Q1 Data'!$AG$4:$AG$207)+SUMIF('Q1 Data'!$D$4:$D$207,D94,'Q1 Data'!$AE$4:$AE$207)+SUMIF('Q2 Data'!$D$4:$D$207,D94,'Q2 Data'!$AD$4:$AD$207)+SUMIF('Q2 Data'!$D$4:$D$207,D94,'Q2 Data'!$AG$4:$AG$207)+SUMIF('Q2 Data'!$D$4:$D$207,D94,'Q2 Data'!$AE$4:$AE$207)+SUMIF('Q3 Data'!$D$4:$D$207,D94,'Q3 Data'!$AD$4:$AD$207)+SUMIF('Q3 Data'!$D$4:$D$207,D94,'Q3 Data'!$AG$4:$AG$207)+SUMIF('Q3 Data'!$D$4:$D$207,D94,'Q3 Data'!$AE$4:$AE$207)+SUMIF('Q4 Data'!$D$4:$D$207,D94,'Q4 Data'!$AD$4:$AD$207)+SUMIF('Q4 Data'!$D$4:$D$207,D94,'Q4 Data'!$AG$4:$AG$207)+SUMIF('Q4 Data'!$D$4:$D$207,D94,'Q4 Data'!$AE$4:$AE$207))</f>
      </c>
      <c r="AO94" s="27">
        <f>IF($B94&lt;&gt;"Challan","",P94-N94)</f>
      </c>
      <c r="AP94" s="27">
        <f>IF($B94&lt;&gt;"Challan","",MAX(0,AO94-AN94))</f>
      </c>
      <c r="AQ94" s="33">
        <f>IF($B94&lt;&gt;"Entry","",SUMPRODUCT(('Q1 Data'!$D$4:$D$207=D94)*('Q1 Data'!$B$4:$B$207="Challan")*'Q1 Data'!$F$4:$F$207)+SUMPRODUCT(('Q2 Data'!$D$4:$D$207=D94)*('Q2 Data'!$B$4:$B$207="Challan")*'Q2 Data'!$F$4:$F$207)+SUMPRODUCT(('Q3 Data'!$D$4:$D$207=D94)*('Q3 Data'!$B$4:$B$207="Challan")*'Q3 Data'!$F$4:$F$207)+SUMPRODUCT(('Q4 Data'!$D$4:$D$207=D94)*('Q4 Data'!$B$4:$B$207="Challan")*'Q4 Data'!$F$4:$F$207))</f>
      </c>
      <c r="AR94" s="34">
        <f>IF(OR($B94&lt;&gt;"Entry",Z94=""),FALSE,AND((SUMPRODUCT(('Q1 Data'!$D$4:$D$207=D94)*('Q1 Data'!$B$4:$B$207="Challan")*('Q1 Data'!$H$4:$H$207&lt;&gt;""))+SUMPRODUCT(('Q2 Data'!$D$4:$D$207=D94)*('Q2 Data'!$B$4:$B$207="Challan")*('Q2 Data'!$H$4:$H$207&lt;&gt;""))+SUMPRODUCT(('Q3 Data'!$D$4:$D$207=D94)*('Q3 Data'!$B$4:$B$207="Challan")*('Q3 Data'!$H$4:$H$207&lt;&gt;""))+SUMPRODUCT(('Q4 Data'!$D$4:$D$207=D94)*('Q4 Data'!$B$4:$B$207="Challan")*('Q4 Data'!$H$4:$H$207&lt;&gt;"")))&gt;0,(SUMPRODUCT(('Q1 Data'!$D$4:$D$207=D94)*('Q1 Data'!$B$4:$B$207="Challan")*('Q1 Data'!$H$4:$H$207=Z94))+SUMPRODUCT(('Q2 Data'!$D$4:$D$207=D94)*('Q2 Data'!$B$4:$B$207="Challan")*('Q2 Data'!$H$4:$H$207=Z94))+SUMPRODUCT(('Q3 Data'!$D$4:$D$207=D94)*('Q3 Data'!$B$4:$B$207="Challan")*('Q3 Data'!$H$4:$H$207=Z94))+SUMPRODUCT(('Q4 Data'!$D$4:$D$207=D94)*('Q4 Data'!$B$4:$B$207="Challan")*('Q4 Data'!$H$4:$H$207=Z94)))=0))</f>
      </c>
    </row>
    <row r="95" spans="1:44" x14ac:dyDescent="0.25">
      <c r="A95" s="20">
        <f>IF($B95="Entry",COUNTIF($B$4:$B95,"Entry"),"")</f>
      </c>
      <c r="B95" s="21"/>
      <c r="C95" s="22"/>
      <c r="D95" s="22"/>
      <c r="E95" s="23">
        <f>IF($B95&lt;&gt;"Challan","",IF(ROUND(AN95-AO95,2)&gt;0,"Over-applied",IF(ROUND(AN95-AO95,2)=0,"Fully Utilised","Unconsumed")))</f>
      </c>
      <c r="F95" s="24"/>
      <c r="G95" s="25"/>
      <c r="H95" s="25"/>
      <c r="I95" s="26"/>
      <c r="J95" s="26"/>
      <c r="K95" s="26"/>
      <c r="L95" s="26"/>
      <c r="M95" s="26"/>
      <c r="N95" s="26"/>
      <c r="O95" s="26"/>
      <c r="P95" s="27">
        <f>IF($B95&lt;&gt;"Challan","",I95+J95+K95+L95+M95+N95)</f>
      </c>
      <c r="Q95" s="25"/>
      <c r="R95" s="25"/>
      <c r="S95" s="25"/>
      <c r="T95" s="25"/>
      <c r="U95" s="25"/>
      <c r="V95" s="28"/>
      <c r="W95" s="28"/>
      <c r="X95" s="23">
        <f>IF($B95="Entry",IF(AND(LEN(TRIM(UPPER(W95)))=10,CODE(MID(TRIM(UPPER(W95)),1,1))&gt;=65,CODE(MID(TRIM(UPPER(W95)),1,1))&lt;=90,CODE(MID(TRIM(UPPER(W95)),2,1))&gt;=65,CODE(MID(TRIM(UPPER(W95)),2,1))&lt;=90,CODE(MID(TRIM(UPPER(W95)),3,1))&gt;=65,CODE(MID(TRIM(UPPER(W95)),3,1))&lt;=90,CODE(MID(TRIM(UPPER(W95)),4,1))&gt;=65,CODE(MID(TRIM(UPPER(W95)),4,1))&lt;=90,CODE(MID(TRIM(UPPER(W95)),5,1))&gt;=65,CODE(MID(TRIM(UPPER(W95)),5,1))&lt;=90,CODE(MID(TRIM(UPPER(W95)),10,1))&gt;=65,CODE(MID(TRIM(UPPER(W95)),10,1))&lt;=90,CODE(MID(TRIM(UPPER(W95)),6,1))&gt;=48,CODE(MID(TRIM(UPPER(W95)),6,1))&lt;=57,CODE(MID(TRIM(UPPER(W95)),7,1))&gt;=48,CODE(MID(TRIM(UPPER(W95)),7,1))&lt;=57,CODE(MID(TRIM(UPPER(W95)),8,1))&gt;=48,CODE(MID(TRIM(UPPER(W95)),8,1))&lt;=57,CODE(MID(TRIM(UPPER(W95)),9,1))&gt;=48,CODE(MID(TRIM(UPPER(W95)),9,1))&lt;=57),"N","Y"),IF($B95="Challan","",IF(W95&lt;&gt;"","◄ Set Row Type","")))</f>
      </c>
      <c r="Y95" s="23">
        <f>IF($B95="Entry",IF(LEN(W95)&lt;4,"",IF(UPPER(MID(W95,4,1))="P","Individual",IF(UPPER(MID(W95,4,1))="H","HUF",IF(UPPER(MID(W95,4,1))="C","Company",IF(UPPER(MID(W95,4,1))="F","Firm",IF(UPPER(MID(W95,4,1))="L","LLP",IF(UPPER(MID(W95,4,1))="T","Trust",IF(UPPER(MID(W95,4,1))="A","AOP","")))))))),IF($B95="Challan","",IF(W95&lt;&gt;"","◄ Set Row Type","")))</f>
      </c>
      <c r="Z95" s="28"/>
      <c r="AA95" s="29">
        <f>IF($B95&lt;&gt;"Entry","",IF(Z95="","",IF(X95="Y",SUMPRODUCT(('Rate Lookup'!$A$1:$A$37=Z95)*'Rate Lookup'!$D$1:$D$37),IF(OR(Y95="Individual",Y95="HUF"),SUMPRODUCT(('Rate Lookup'!$A$1:$A$37=Z95)*'Rate Lookup'!$B$1:$B$37),SUMPRODUCT(('Rate Lookup'!$A$1:$A$37=Z95)*'Rate Lookup'!$C$1:$C$37)))))</f>
      </c>
      <c r="AB95" s="30"/>
      <c r="AC95" s="31"/>
      <c r="AD95" s="27">
        <f>IF($B95&lt;&gt;"Entry","",ROUND(AC95*AA95/100,0))</f>
      </c>
      <c r="AE95" s="27">
        <f>IF($B95&lt;&gt;"Entry","",0)</f>
      </c>
      <c r="AF95" s="27">
        <f>IF($B95&lt;&gt;"Entry","",0)</f>
      </c>
      <c r="AG95" s="27">
        <f>IF($B95&lt;&gt;"Entry","",IF(OR(AD95=0,AB95="",AQ95="",AQ95&lt;=0),0,IF(AQ95&lt;=DATE(YEAR(AB95),MONTH(AB95)+1,7),0,ROUND(AD95*0.015*((YEAR(AQ95)-YEAR(AB95))*12+(MONTH(AQ95)-MONTH(AB95))+1),0))))</f>
      </c>
      <c r="AH95" s="27">
        <f>IF($B95&lt;&gt;"Entry","",0)</f>
      </c>
      <c r="AI95" s="28"/>
      <c r="AJ95" s="28"/>
      <c r="AK95" s="32"/>
      <c r="AL95" s="28"/>
      <c r="AM95" s="28"/>
      <c r="AN95" s="27">
        <f>IF($B95&lt;&gt;"Challan","",SUMIF('Q1 Data'!$D$4:$D$207,D95,'Q1 Data'!$AD$4:$AD$207)+SUMIF('Q1 Data'!$D$4:$D$207,D95,'Q1 Data'!$AG$4:$AG$207)+SUMIF('Q1 Data'!$D$4:$D$207,D95,'Q1 Data'!$AE$4:$AE$207)+SUMIF('Q2 Data'!$D$4:$D$207,D95,'Q2 Data'!$AD$4:$AD$207)+SUMIF('Q2 Data'!$D$4:$D$207,D95,'Q2 Data'!$AG$4:$AG$207)+SUMIF('Q2 Data'!$D$4:$D$207,D95,'Q2 Data'!$AE$4:$AE$207)+SUMIF('Q3 Data'!$D$4:$D$207,D95,'Q3 Data'!$AD$4:$AD$207)+SUMIF('Q3 Data'!$D$4:$D$207,D95,'Q3 Data'!$AG$4:$AG$207)+SUMIF('Q3 Data'!$D$4:$D$207,D95,'Q3 Data'!$AE$4:$AE$207)+SUMIF('Q4 Data'!$D$4:$D$207,D95,'Q4 Data'!$AD$4:$AD$207)+SUMIF('Q4 Data'!$D$4:$D$207,D95,'Q4 Data'!$AG$4:$AG$207)+SUMIF('Q4 Data'!$D$4:$D$207,D95,'Q4 Data'!$AE$4:$AE$207))</f>
      </c>
      <c r="AO95" s="27">
        <f>IF($B95&lt;&gt;"Challan","",P95-N95)</f>
      </c>
      <c r="AP95" s="27">
        <f>IF($B95&lt;&gt;"Challan","",MAX(0,AO95-AN95))</f>
      </c>
      <c r="AQ95" s="33">
        <f>IF($B95&lt;&gt;"Entry","",SUMPRODUCT(('Q1 Data'!$D$4:$D$207=D95)*('Q1 Data'!$B$4:$B$207="Challan")*'Q1 Data'!$F$4:$F$207)+SUMPRODUCT(('Q2 Data'!$D$4:$D$207=D95)*('Q2 Data'!$B$4:$B$207="Challan")*'Q2 Data'!$F$4:$F$207)+SUMPRODUCT(('Q3 Data'!$D$4:$D$207=D95)*('Q3 Data'!$B$4:$B$207="Challan")*'Q3 Data'!$F$4:$F$207)+SUMPRODUCT(('Q4 Data'!$D$4:$D$207=D95)*('Q4 Data'!$B$4:$B$207="Challan")*'Q4 Data'!$F$4:$F$207))</f>
      </c>
      <c r="AR95" s="34">
        <f>IF(OR($B95&lt;&gt;"Entry",Z95=""),FALSE,AND((SUMPRODUCT(('Q1 Data'!$D$4:$D$207=D95)*('Q1 Data'!$B$4:$B$207="Challan")*('Q1 Data'!$H$4:$H$207&lt;&gt;""))+SUMPRODUCT(('Q2 Data'!$D$4:$D$207=D95)*('Q2 Data'!$B$4:$B$207="Challan")*('Q2 Data'!$H$4:$H$207&lt;&gt;""))+SUMPRODUCT(('Q3 Data'!$D$4:$D$207=D95)*('Q3 Data'!$B$4:$B$207="Challan")*('Q3 Data'!$H$4:$H$207&lt;&gt;""))+SUMPRODUCT(('Q4 Data'!$D$4:$D$207=D95)*('Q4 Data'!$B$4:$B$207="Challan")*('Q4 Data'!$H$4:$H$207&lt;&gt;"")))&gt;0,(SUMPRODUCT(('Q1 Data'!$D$4:$D$207=D95)*('Q1 Data'!$B$4:$B$207="Challan")*('Q1 Data'!$H$4:$H$207=Z95))+SUMPRODUCT(('Q2 Data'!$D$4:$D$207=D95)*('Q2 Data'!$B$4:$B$207="Challan")*('Q2 Data'!$H$4:$H$207=Z95))+SUMPRODUCT(('Q3 Data'!$D$4:$D$207=D95)*('Q3 Data'!$B$4:$B$207="Challan")*('Q3 Data'!$H$4:$H$207=Z95))+SUMPRODUCT(('Q4 Data'!$D$4:$D$207=D95)*('Q4 Data'!$B$4:$B$207="Challan")*('Q4 Data'!$H$4:$H$207=Z95)))=0))</f>
      </c>
    </row>
    <row r="96" spans="1:44" x14ac:dyDescent="0.25">
      <c r="A96" s="20">
        <f>IF($B96="Entry",COUNTIF($B$4:$B96,"Entry"),"")</f>
      </c>
      <c r="B96" s="21"/>
      <c r="C96" s="22"/>
      <c r="D96" s="22"/>
      <c r="E96" s="23">
        <f>IF($B96&lt;&gt;"Challan","",IF(ROUND(AN96-AO96,2)&gt;0,"Over-applied",IF(ROUND(AN96-AO96,2)=0,"Fully Utilised","Unconsumed")))</f>
      </c>
      <c r="F96" s="24"/>
      <c r="G96" s="25"/>
      <c r="H96" s="25"/>
      <c r="I96" s="26"/>
      <c r="J96" s="26"/>
      <c r="K96" s="26"/>
      <c r="L96" s="26"/>
      <c r="M96" s="26"/>
      <c r="N96" s="26"/>
      <c r="O96" s="26"/>
      <c r="P96" s="27">
        <f>IF($B96&lt;&gt;"Challan","",I96+J96+K96+L96+M96+N96)</f>
      </c>
      <c r="Q96" s="25"/>
      <c r="R96" s="25"/>
      <c r="S96" s="25"/>
      <c r="T96" s="25"/>
      <c r="U96" s="25"/>
      <c r="V96" s="28"/>
      <c r="W96" s="28"/>
      <c r="X96" s="23">
        <f>IF($B96="Entry",IF(AND(LEN(TRIM(UPPER(W96)))=10,CODE(MID(TRIM(UPPER(W96)),1,1))&gt;=65,CODE(MID(TRIM(UPPER(W96)),1,1))&lt;=90,CODE(MID(TRIM(UPPER(W96)),2,1))&gt;=65,CODE(MID(TRIM(UPPER(W96)),2,1))&lt;=90,CODE(MID(TRIM(UPPER(W96)),3,1))&gt;=65,CODE(MID(TRIM(UPPER(W96)),3,1))&lt;=90,CODE(MID(TRIM(UPPER(W96)),4,1))&gt;=65,CODE(MID(TRIM(UPPER(W96)),4,1))&lt;=90,CODE(MID(TRIM(UPPER(W96)),5,1))&gt;=65,CODE(MID(TRIM(UPPER(W96)),5,1))&lt;=90,CODE(MID(TRIM(UPPER(W96)),10,1))&gt;=65,CODE(MID(TRIM(UPPER(W96)),10,1))&lt;=90,CODE(MID(TRIM(UPPER(W96)),6,1))&gt;=48,CODE(MID(TRIM(UPPER(W96)),6,1))&lt;=57,CODE(MID(TRIM(UPPER(W96)),7,1))&gt;=48,CODE(MID(TRIM(UPPER(W96)),7,1))&lt;=57,CODE(MID(TRIM(UPPER(W96)),8,1))&gt;=48,CODE(MID(TRIM(UPPER(W96)),8,1))&lt;=57,CODE(MID(TRIM(UPPER(W96)),9,1))&gt;=48,CODE(MID(TRIM(UPPER(W96)),9,1))&lt;=57),"N","Y"),IF($B96="Challan","",IF(W96&lt;&gt;"","◄ Set Row Type","")))</f>
      </c>
      <c r="Y96" s="23">
        <f>IF($B96="Entry",IF(LEN(W96)&lt;4,"",IF(UPPER(MID(W96,4,1))="P","Individual",IF(UPPER(MID(W96,4,1))="H","HUF",IF(UPPER(MID(W96,4,1))="C","Company",IF(UPPER(MID(W96,4,1))="F","Firm",IF(UPPER(MID(W96,4,1))="L","LLP",IF(UPPER(MID(W96,4,1))="T","Trust",IF(UPPER(MID(W96,4,1))="A","AOP","")))))))),IF($B96="Challan","",IF(W96&lt;&gt;"","◄ Set Row Type","")))</f>
      </c>
      <c r="Z96" s="28"/>
      <c r="AA96" s="29">
        <f>IF($B96&lt;&gt;"Entry","",IF(Z96="","",IF(X96="Y",SUMPRODUCT(('Rate Lookup'!$A$1:$A$37=Z96)*'Rate Lookup'!$D$1:$D$37),IF(OR(Y96="Individual",Y96="HUF"),SUMPRODUCT(('Rate Lookup'!$A$1:$A$37=Z96)*'Rate Lookup'!$B$1:$B$37),SUMPRODUCT(('Rate Lookup'!$A$1:$A$37=Z96)*'Rate Lookup'!$C$1:$C$37)))))</f>
      </c>
      <c r="AB96" s="30"/>
      <c r="AC96" s="31"/>
      <c r="AD96" s="27">
        <f>IF($B96&lt;&gt;"Entry","",ROUND(AC96*AA96/100,0))</f>
      </c>
      <c r="AE96" s="27">
        <f>IF($B96&lt;&gt;"Entry","",0)</f>
      </c>
      <c r="AF96" s="27">
        <f>IF($B96&lt;&gt;"Entry","",0)</f>
      </c>
      <c r="AG96" s="27">
        <f>IF($B96&lt;&gt;"Entry","",IF(OR(AD96=0,AB96="",AQ96="",AQ96&lt;=0),0,IF(AQ96&lt;=DATE(YEAR(AB96),MONTH(AB96)+1,7),0,ROUND(AD96*0.015*((YEAR(AQ96)-YEAR(AB96))*12+(MONTH(AQ96)-MONTH(AB96))+1),0))))</f>
      </c>
      <c r="AH96" s="27">
        <f>IF($B96&lt;&gt;"Entry","",0)</f>
      </c>
      <c r="AI96" s="28"/>
      <c r="AJ96" s="28"/>
      <c r="AK96" s="32"/>
      <c r="AL96" s="28"/>
      <c r="AM96" s="28"/>
      <c r="AN96" s="27">
        <f>IF($B96&lt;&gt;"Challan","",SUMIF('Q1 Data'!$D$4:$D$207,D96,'Q1 Data'!$AD$4:$AD$207)+SUMIF('Q1 Data'!$D$4:$D$207,D96,'Q1 Data'!$AG$4:$AG$207)+SUMIF('Q1 Data'!$D$4:$D$207,D96,'Q1 Data'!$AE$4:$AE$207)+SUMIF('Q2 Data'!$D$4:$D$207,D96,'Q2 Data'!$AD$4:$AD$207)+SUMIF('Q2 Data'!$D$4:$D$207,D96,'Q2 Data'!$AG$4:$AG$207)+SUMIF('Q2 Data'!$D$4:$D$207,D96,'Q2 Data'!$AE$4:$AE$207)+SUMIF('Q3 Data'!$D$4:$D$207,D96,'Q3 Data'!$AD$4:$AD$207)+SUMIF('Q3 Data'!$D$4:$D$207,D96,'Q3 Data'!$AG$4:$AG$207)+SUMIF('Q3 Data'!$D$4:$D$207,D96,'Q3 Data'!$AE$4:$AE$207)+SUMIF('Q4 Data'!$D$4:$D$207,D96,'Q4 Data'!$AD$4:$AD$207)+SUMIF('Q4 Data'!$D$4:$D$207,D96,'Q4 Data'!$AG$4:$AG$207)+SUMIF('Q4 Data'!$D$4:$D$207,D96,'Q4 Data'!$AE$4:$AE$207))</f>
      </c>
      <c r="AO96" s="27">
        <f>IF($B96&lt;&gt;"Challan","",P96-N96)</f>
      </c>
      <c r="AP96" s="27">
        <f>IF($B96&lt;&gt;"Challan","",MAX(0,AO96-AN96))</f>
      </c>
      <c r="AQ96" s="33">
        <f>IF($B96&lt;&gt;"Entry","",SUMPRODUCT(('Q1 Data'!$D$4:$D$207=D96)*('Q1 Data'!$B$4:$B$207="Challan")*'Q1 Data'!$F$4:$F$207)+SUMPRODUCT(('Q2 Data'!$D$4:$D$207=D96)*('Q2 Data'!$B$4:$B$207="Challan")*'Q2 Data'!$F$4:$F$207)+SUMPRODUCT(('Q3 Data'!$D$4:$D$207=D96)*('Q3 Data'!$B$4:$B$207="Challan")*'Q3 Data'!$F$4:$F$207)+SUMPRODUCT(('Q4 Data'!$D$4:$D$207=D96)*('Q4 Data'!$B$4:$B$207="Challan")*'Q4 Data'!$F$4:$F$207))</f>
      </c>
      <c r="AR96" s="34">
        <f>IF(OR($B96&lt;&gt;"Entry",Z96=""),FALSE,AND((SUMPRODUCT(('Q1 Data'!$D$4:$D$207=D96)*('Q1 Data'!$B$4:$B$207="Challan")*('Q1 Data'!$H$4:$H$207&lt;&gt;""))+SUMPRODUCT(('Q2 Data'!$D$4:$D$207=D96)*('Q2 Data'!$B$4:$B$207="Challan")*('Q2 Data'!$H$4:$H$207&lt;&gt;""))+SUMPRODUCT(('Q3 Data'!$D$4:$D$207=D96)*('Q3 Data'!$B$4:$B$207="Challan")*('Q3 Data'!$H$4:$H$207&lt;&gt;""))+SUMPRODUCT(('Q4 Data'!$D$4:$D$207=D96)*('Q4 Data'!$B$4:$B$207="Challan")*('Q4 Data'!$H$4:$H$207&lt;&gt;"")))&gt;0,(SUMPRODUCT(('Q1 Data'!$D$4:$D$207=D96)*('Q1 Data'!$B$4:$B$207="Challan")*('Q1 Data'!$H$4:$H$207=Z96))+SUMPRODUCT(('Q2 Data'!$D$4:$D$207=D96)*('Q2 Data'!$B$4:$B$207="Challan")*('Q2 Data'!$H$4:$H$207=Z96))+SUMPRODUCT(('Q3 Data'!$D$4:$D$207=D96)*('Q3 Data'!$B$4:$B$207="Challan")*('Q3 Data'!$H$4:$H$207=Z96))+SUMPRODUCT(('Q4 Data'!$D$4:$D$207=D96)*('Q4 Data'!$B$4:$B$207="Challan")*('Q4 Data'!$H$4:$H$207=Z96)))=0))</f>
      </c>
    </row>
    <row r="97" spans="1:44" x14ac:dyDescent="0.25">
      <c r="A97" s="20">
        <f>IF($B97="Entry",COUNTIF($B$4:$B97,"Entry"),"")</f>
      </c>
      <c r="B97" s="21"/>
      <c r="C97" s="22"/>
      <c r="D97" s="22"/>
      <c r="E97" s="23">
        <f>IF($B97&lt;&gt;"Challan","",IF(ROUND(AN97-AO97,2)&gt;0,"Over-applied",IF(ROUND(AN97-AO97,2)=0,"Fully Utilised","Unconsumed")))</f>
      </c>
      <c r="F97" s="24"/>
      <c r="G97" s="25"/>
      <c r="H97" s="25"/>
      <c r="I97" s="26"/>
      <c r="J97" s="26"/>
      <c r="K97" s="26"/>
      <c r="L97" s="26"/>
      <c r="M97" s="26"/>
      <c r="N97" s="26"/>
      <c r="O97" s="26"/>
      <c r="P97" s="27">
        <f>IF($B97&lt;&gt;"Challan","",I97+J97+K97+L97+M97+N97)</f>
      </c>
      <c r="Q97" s="25"/>
      <c r="R97" s="25"/>
      <c r="S97" s="25"/>
      <c r="T97" s="25"/>
      <c r="U97" s="25"/>
      <c r="V97" s="28"/>
      <c r="W97" s="28"/>
      <c r="X97" s="23">
        <f>IF($B97="Entry",IF(AND(LEN(TRIM(UPPER(W97)))=10,CODE(MID(TRIM(UPPER(W97)),1,1))&gt;=65,CODE(MID(TRIM(UPPER(W97)),1,1))&lt;=90,CODE(MID(TRIM(UPPER(W97)),2,1))&gt;=65,CODE(MID(TRIM(UPPER(W97)),2,1))&lt;=90,CODE(MID(TRIM(UPPER(W97)),3,1))&gt;=65,CODE(MID(TRIM(UPPER(W97)),3,1))&lt;=90,CODE(MID(TRIM(UPPER(W97)),4,1))&gt;=65,CODE(MID(TRIM(UPPER(W97)),4,1))&lt;=90,CODE(MID(TRIM(UPPER(W97)),5,1))&gt;=65,CODE(MID(TRIM(UPPER(W97)),5,1))&lt;=90,CODE(MID(TRIM(UPPER(W97)),10,1))&gt;=65,CODE(MID(TRIM(UPPER(W97)),10,1))&lt;=90,CODE(MID(TRIM(UPPER(W97)),6,1))&gt;=48,CODE(MID(TRIM(UPPER(W97)),6,1))&lt;=57,CODE(MID(TRIM(UPPER(W97)),7,1))&gt;=48,CODE(MID(TRIM(UPPER(W97)),7,1))&lt;=57,CODE(MID(TRIM(UPPER(W97)),8,1))&gt;=48,CODE(MID(TRIM(UPPER(W97)),8,1))&lt;=57,CODE(MID(TRIM(UPPER(W97)),9,1))&gt;=48,CODE(MID(TRIM(UPPER(W97)),9,1))&lt;=57),"N","Y"),IF($B97="Challan","",IF(W97&lt;&gt;"","◄ Set Row Type","")))</f>
      </c>
      <c r="Y97" s="23">
        <f>IF($B97="Entry",IF(LEN(W97)&lt;4,"",IF(UPPER(MID(W97,4,1))="P","Individual",IF(UPPER(MID(W97,4,1))="H","HUF",IF(UPPER(MID(W97,4,1))="C","Company",IF(UPPER(MID(W97,4,1))="F","Firm",IF(UPPER(MID(W97,4,1))="L","LLP",IF(UPPER(MID(W97,4,1))="T","Trust",IF(UPPER(MID(W97,4,1))="A","AOP","")))))))),IF($B97="Challan","",IF(W97&lt;&gt;"","◄ Set Row Type","")))</f>
      </c>
      <c r="Z97" s="28"/>
      <c r="AA97" s="29">
        <f>IF($B97&lt;&gt;"Entry","",IF(Z97="","",IF(X97="Y",SUMPRODUCT(('Rate Lookup'!$A$1:$A$37=Z97)*'Rate Lookup'!$D$1:$D$37),IF(OR(Y97="Individual",Y97="HUF"),SUMPRODUCT(('Rate Lookup'!$A$1:$A$37=Z97)*'Rate Lookup'!$B$1:$B$37),SUMPRODUCT(('Rate Lookup'!$A$1:$A$37=Z97)*'Rate Lookup'!$C$1:$C$37)))))</f>
      </c>
      <c r="AB97" s="30"/>
      <c r="AC97" s="31"/>
      <c r="AD97" s="27">
        <f>IF($B97&lt;&gt;"Entry","",ROUND(AC97*AA97/100,0))</f>
      </c>
      <c r="AE97" s="27">
        <f>IF($B97&lt;&gt;"Entry","",0)</f>
      </c>
      <c r="AF97" s="27">
        <f>IF($B97&lt;&gt;"Entry","",0)</f>
      </c>
      <c r="AG97" s="27">
        <f>IF($B97&lt;&gt;"Entry","",IF(OR(AD97=0,AB97="",AQ97="",AQ97&lt;=0),0,IF(AQ97&lt;=DATE(YEAR(AB97),MONTH(AB97)+1,7),0,ROUND(AD97*0.015*((YEAR(AQ97)-YEAR(AB97))*12+(MONTH(AQ97)-MONTH(AB97))+1),0))))</f>
      </c>
      <c r="AH97" s="27">
        <f>IF($B97&lt;&gt;"Entry","",0)</f>
      </c>
      <c r="AI97" s="28"/>
      <c r="AJ97" s="28"/>
      <c r="AK97" s="32"/>
      <c r="AL97" s="28"/>
      <c r="AM97" s="28"/>
      <c r="AN97" s="27">
        <f>IF($B97&lt;&gt;"Challan","",SUMIF('Q1 Data'!$D$4:$D$207,D97,'Q1 Data'!$AD$4:$AD$207)+SUMIF('Q1 Data'!$D$4:$D$207,D97,'Q1 Data'!$AG$4:$AG$207)+SUMIF('Q1 Data'!$D$4:$D$207,D97,'Q1 Data'!$AE$4:$AE$207)+SUMIF('Q2 Data'!$D$4:$D$207,D97,'Q2 Data'!$AD$4:$AD$207)+SUMIF('Q2 Data'!$D$4:$D$207,D97,'Q2 Data'!$AG$4:$AG$207)+SUMIF('Q2 Data'!$D$4:$D$207,D97,'Q2 Data'!$AE$4:$AE$207)+SUMIF('Q3 Data'!$D$4:$D$207,D97,'Q3 Data'!$AD$4:$AD$207)+SUMIF('Q3 Data'!$D$4:$D$207,D97,'Q3 Data'!$AG$4:$AG$207)+SUMIF('Q3 Data'!$D$4:$D$207,D97,'Q3 Data'!$AE$4:$AE$207)+SUMIF('Q4 Data'!$D$4:$D$207,D97,'Q4 Data'!$AD$4:$AD$207)+SUMIF('Q4 Data'!$D$4:$D$207,D97,'Q4 Data'!$AG$4:$AG$207)+SUMIF('Q4 Data'!$D$4:$D$207,D97,'Q4 Data'!$AE$4:$AE$207))</f>
      </c>
      <c r="AO97" s="27">
        <f>IF($B97&lt;&gt;"Challan","",P97-N97)</f>
      </c>
      <c r="AP97" s="27">
        <f>IF($B97&lt;&gt;"Challan","",MAX(0,AO97-AN97))</f>
      </c>
      <c r="AQ97" s="33">
        <f>IF($B97&lt;&gt;"Entry","",SUMPRODUCT(('Q1 Data'!$D$4:$D$207=D97)*('Q1 Data'!$B$4:$B$207="Challan")*'Q1 Data'!$F$4:$F$207)+SUMPRODUCT(('Q2 Data'!$D$4:$D$207=D97)*('Q2 Data'!$B$4:$B$207="Challan")*'Q2 Data'!$F$4:$F$207)+SUMPRODUCT(('Q3 Data'!$D$4:$D$207=D97)*('Q3 Data'!$B$4:$B$207="Challan")*'Q3 Data'!$F$4:$F$207)+SUMPRODUCT(('Q4 Data'!$D$4:$D$207=D97)*('Q4 Data'!$B$4:$B$207="Challan")*'Q4 Data'!$F$4:$F$207))</f>
      </c>
      <c r="AR97" s="34">
        <f>IF(OR($B97&lt;&gt;"Entry",Z97=""),FALSE,AND((SUMPRODUCT(('Q1 Data'!$D$4:$D$207=D97)*('Q1 Data'!$B$4:$B$207="Challan")*('Q1 Data'!$H$4:$H$207&lt;&gt;""))+SUMPRODUCT(('Q2 Data'!$D$4:$D$207=D97)*('Q2 Data'!$B$4:$B$207="Challan")*('Q2 Data'!$H$4:$H$207&lt;&gt;""))+SUMPRODUCT(('Q3 Data'!$D$4:$D$207=D97)*('Q3 Data'!$B$4:$B$207="Challan")*('Q3 Data'!$H$4:$H$207&lt;&gt;""))+SUMPRODUCT(('Q4 Data'!$D$4:$D$207=D97)*('Q4 Data'!$B$4:$B$207="Challan")*('Q4 Data'!$H$4:$H$207&lt;&gt;"")))&gt;0,(SUMPRODUCT(('Q1 Data'!$D$4:$D$207=D97)*('Q1 Data'!$B$4:$B$207="Challan")*('Q1 Data'!$H$4:$H$207=Z97))+SUMPRODUCT(('Q2 Data'!$D$4:$D$207=D97)*('Q2 Data'!$B$4:$B$207="Challan")*('Q2 Data'!$H$4:$H$207=Z97))+SUMPRODUCT(('Q3 Data'!$D$4:$D$207=D97)*('Q3 Data'!$B$4:$B$207="Challan")*('Q3 Data'!$H$4:$H$207=Z97))+SUMPRODUCT(('Q4 Data'!$D$4:$D$207=D97)*('Q4 Data'!$B$4:$B$207="Challan")*('Q4 Data'!$H$4:$H$207=Z97)))=0))</f>
      </c>
    </row>
    <row r="98" spans="1:44" x14ac:dyDescent="0.25">
      <c r="A98" s="20">
        <f>IF($B98="Entry",COUNTIF($B$4:$B98,"Entry"),"")</f>
      </c>
      <c r="B98" s="21"/>
      <c r="C98" s="22"/>
      <c r="D98" s="22"/>
      <c r="E98" s="23">
        <f>IF($B98&lt;&gt;"Challan","",IF(ROUND(AN98-AO98,2)&gt;0,"Over-applied",IF(ROUND(AN98-AO98,2)=0,"Fully Utilised","Unconsumed")))</f>
      </c>
      <c r="F98" s="24"/>
      <c r="G98" s="25"/>
      <c r="H98" s="25"/>
      <c r="I98" s="26"/>
      <c r="J98" s="26"/>
      <c r="K98" s="26"/>
      <c r="L98" s="26"/>
      <c r="M98" s="26"/>
      <c r="N98" s="26"/>
      <c r="O98" s="26"/>
      <c r="P98" s="27">
        <f>IF($B98&lt;&gt;"Challan","",I98+J98+K98+L98+M98+N98)</f>
      </c>
      <c r="Q98" s="25"/>
      <c r="R98" s="25"/>
      <c r="S98" s="25"/>
      <c r="T98" s="25"/>
      <c r="U98" s="25"/>
      <c r="V98" s="28"/>
      <c r="W98" s="28"/>
      <c r="X98" s="23">
        <f>IF($B98="Entry",IF(AND(LEN(TRIM(UPPER(W98)))=10,CODE(MID(TRIM(UPPER(W98)),1,1))&gt;=65,CODE(MID(TRIM(UPPER(W98)),1,1))&lt;=90,CODE(MID(TRIM(UPPER(W98)),2,1))&gt;=65,CODE(MID(TRIM(UPPER(W98)),2,1))&lt;=90,CODE(MID(TRIM(UPPER(W98)),3,1))&gt;=65,CODE(MID(TRIM(UPPER(W98)),3,1))&lt;=90,CODE(MID(TRIM(UPPER(W98)),4,1))&gt;=65,CODE(MID(TRIM(UPPER(W98)),4,1))&lt;=90,CODE(MID(TRIM(UPPER(W98)),5,1))&gt;=65,CODE(MID(TRIM(UPPER(W98)),5,1))&lt;=90,CODE(MID(TRIM(UPPER(W98)),10,1))&gt;=65,CODE(MID(TRIM(UPPER(W98)),10,1))&lt;=90,CODE(MID(TRIM(UPPER(W98)),6,1))&gt;=48,CODE(MID(TRIM(UPPER(W98)),6,1))&lt;=57,CODE(MID(TRIM(UPPER(W98)),7,1))&gt;=48,CODE(MID(TRIM(UPPER(W98)),7,1))&lt;=57,CODE(MID(TRIM(UPPER(W98)),8,1))&gt;=48,CODE(MID(TRIM(UPPER(W98)),8,1))&lt;=57,CODE(MID(TRIM(UPPER(W98)),9,1))&gt;=48,CODE(MID(TRIM(UPPER(W98)),9,1))&lt;=57),"N","Y"),IF($B98="Challan","",IF(W98&lt;&gt;"","◄ Set Row Type","")))</f>
      </c>
      <c r="Y98" s="23">
        <f>IF($B98="Entry",IF(LEN(W98)&lt;4,"",IF(UPPER(MID(W98,4,1))="P","Individual",IF(UPPER(MID(W98,4,1))="H","HUF",IF(UPPER(MID(W98,4,1))="C","Company",IF(UPPER(MID(W98,4,1))="F","Firm",IF(UPPER(MID(W98,4,1))="L","LLP",IF(UPPER(MID(W98,4,1))="T","Trust",IF(UPPER(MID(W98,4,1))="A","AOP","")))))))),IF($B98="Challan","",IF(W98&lt;&gt;"","◄ Set Row Type","")))</f>
      </c>
      <c r="Z98" s="28"/>
      <c r="AA98" s="29">
        <f>IF($B98&lt;&gt;"Entry","",IF(Z98="","",IF(X98="Y",SUMPRODUCT(('Rate Lookup'!$A$1:$A$37=Z98)*'Rate Lookup'!$D$1:$D$37),IF(OR(Y98="Individual",Y98="HUF"),SUMPRODUCT(('Rate Lookup'!$A$1:$A$37=Z98)*'Rate Lookup'!$B$1:$B$37),SUMPRODUCT(('Rate Lookup'!$A$1:$A$37=Z98)*'Rate Lookup'!$C$1:$C$37)))))</f>
      </c>
      <c r="AB98" s="30"/>
      <c r="AC98" s="31"/>
      <c r="AD98" s="27">
        <f>IF($B98&lt;&gt;"Entry","",ROUND(AC98*AA98/100,0))</f>
      </c>
      <c r="AE98" s="27">
        <f>IF($B98&lt;&gt;"Entry","",0)</f>
      </c>
      <c r="AF98" s="27">
        <f>IF($B98&lt;&gt;"Entry","",0)</f>
      </c>
      <c r="AG98" s="27">
        <f>IF($B98&lt;&gt;"Entry","",IF(OR(AD98=0,AB98="",AQ98="",AQ98&lt;=0),0,IF(AQ98&lt;=DATE(YEAR(AB98),MONTH(AB98)+1,7),0,ROUND(AD98*0.015*((YEAR(AQ98)-YEAR(AB98))*12+(MONTH(AQ98)-MONTH(AB98))+1),0))))</f>
      </c>
      <c r="AH98" s="27">
        <f>IF($B98&lt;&gt;"Entry","",0)</f>
      </c>
      <c r="AI98" s="28"/>
      <c r="AJ98" s="28"/>
      <c r="AK98" s="32"/>
      <c r="AL98" s="28"/>
      <c r="AM98" s="28"/>
      <c r="AN98" s="27">
        <f>IF($B98&lt;&gt;"Challan","",SUMIF('Q1 Data'!$D$4:$D$207,D98,'Q1 Data'!$AD$4:$AD$207)+SUMIF('Q1 Data'!$D$4:$D$207,D98,'Q1 Data'!$AG$4:$AG$207)+SUMIF('Q1 Data'!$D$4:$D$207,D98,'Q1 Data'!$AE$4:$AE$207)+SUMIF('Q2 Data'!$D$4:$D$207,D98,'Q2 Data'!$AD$4:$AD$207)+SUMIF('Q2 Data'!$D$4:$D$207,D98,'Q2 Data'!$AG$4:$AG$207)+SUMIF('Q2 Data'!$D$4:$D$207,D98,'Q2 Data'!$AE$4:$AE$207)+SUMIF('Q3 Data'!$D$4:$D$207,D98,'Q3 Data'!$AD$4:$AD$207)+SUMIF('Q3 Data'!$D$4:$D$207,D98,'Q3 Data'!$AG$4:$AG$207)+SUMIF('Q3 Data'!$D$4:$D$207,D98,'Q3 Data'!$AE$4:$AE$207)+SUMIF('Q4 Data'!$D$4:$D$207,D98,'Q4 Data'!$AD$4:$AD$207)+SUMIF('Q4 Data'!$D$4:$D$207,D98,'Q4 Data'!$AG$4:$AG$207)+SUMIF('Q4 Data'!$D$4:$D$207,D98,'Q4 Data'!$AE$4:$AE$207))</f>
      </c>
      <c r="AO98" s="27">
        <f>IF($B98&lt;&gt;"Challan","",P98-N98)</f>
      </c>
      <c r="AP98" s="27">
        <f>IF($B98&lt;&gt;"Challan","",MAX(0,AO98-AN98))</f>
      </c>
      <c r="AQ98" s="33">
        <f>IF($B98&lt;&gt;"Entry","",SUMPRODUCT(('Q1 Data'!$D$4:$D$207=D98)*('Q1 Data'!$B$4:$B$207="Challan")*'Q1 Data'!$F$4:$F$207)+SUMPRODUCT(('Q2 Data'!$D$4:$D$207=D98)*('Q2 Data'!$B$4:$B$207="Challan")*'Q2 Data'!$F$4:$F$207)+SUMPRODUCT(('Q3 Data'!$D$4:$D$207=D98)*('Q3 Data'!$B$4:$B$207="Challan")*'Q3 Data'!$F$4:$F$207)+SUMPRODUCT(('Q4 Data'!$D$4:$D$207=D98)*('Q4 Data'!$B$4:$B$207="Challan")*'Q4 Data'!$F$4:$F$207))</f>
      </c>
      <c r="AR98" s="34">
        <f>IF(OR($B98&lt;&gt;"Entry",Z98=""),FALSE,AND((SUMPRODUCT(('Q1 Data'!$D$4:$D$207=D98)*('Q1 Data'!$B$4:$B$207="Challan")*('Q1 Data'!$H$4:$H$207&lt;&gt;""))+SUMPRODUCT(('Q2 Data'!$D$4:$D$207=D98)*('Q2 Data'!$B$4:$B$207="Challan")*('Q2 Data'!$H$4:$H$207&lt;&gt;""))+SUMPRODUCT(('Q3 Data'!$D$4:$D$207=D98)*('Q3 Data'!$B$4:$B$207="Challan")*('Q3 Data'!$H$4:$H$207&lt;&gt;""))+SUMPRODUCT(('Q4 Data'!$D$4:$D$207=D98)*('Q4 Data'!$B$4:$B$207="Challan")*('Q4 Data'!$H$4:$H$207&lt;&gt;"")))&gt;0,(SUMPRODUCT(('Q1 Data'!$D$4:$D$207=D98)*('Q1 Data'!$B$4:$B$207="Challan")*('Q1 Data'!$H$4:$H$207=Z98))+SUMPRODUCT(('Q2 Data'!$D$4:$D$207=D98)*('Q2 Data'!$B$4:$B$207="Challan")*('Q2 Data'!$H$4:$H$207=Z98))+SUMPRODUCT(('Q3 Data'!$D$4:$D$207=D98)*('Q3 Data'!$B$4:$B$207="Challan")*('Q3 Data'!$H$4:$H$207=Z98))+SUMPRODUCT(('Q4 Data'!$D$4:$D$207=D98)*('Q4 Data'!$B$4:$B$207="Challan")*('Q4 Data'!$H$4:$H$207=Z98)))=0))</f>
      </c>
    </row>
    <row r="99" spans="1:44" x14ac:dyDescent="0.25">
      <c r="A99" s="20">
        <f>IF($B99="Entry",COUNTIF($B$4:$B99,"Entry"),"")</f>
      </c>
      <c r="B99" s="21"/>
      <c r="C99" s="22"/>
      <c r="D99" s="22"/>
      <c r="E99" s="23">
        <f>IF($B99&lt;&gt;"Challan","",IF(ROUND(AN99-AO99,2)&gt;0,"Over-applied",IF(ROUND(AN99-AO99,2)=0,"Fully Utilised","Unconsumed")))</f>
      </c>
      <c r="F99" s="24"/>
      <c r="G99" s="25"/>
      <c r="H99" s="25"/>
      <c r="I99" s="26"/>
      <c r="J99" s="26"/>
      <c r="K99" s="26"/>
      <c r="L99" s="26"/>
      <c r="M99" s="26"/>
      <c r="N99" s="26"/>
      <c r="O99" s="26"/>
      <c r="P99" s="27">
        <f>IF($B99&lt;&gt;"Challan","",I99+J99+K99+L99+M99+N99)</f>
      </c>
      <c r="Q99" s="25"/>
      <c r="R99" s="25"/>
      <c r="S99" s="25"/>
      <c r="T99" s="25"/>
      <c r="U99" s="25"/>
      <c r="V99" s="28"/>
      <c r="W99" s="28"/>
      <c r="X99" s="23">
        <f>IF($B99="Entry",IF(AND(LEN(TRIM(UPPER(W99)))=10,CODE(MID(TRIM(UPPER(W99)),1,1))&gt;=65,CODE(MID(TRIM(UPPER(W99)),1,1))&lt;=90,CODE(MID(TRIM(UPPER(W99)),2,1))&gt;=65,CODE(MID(TRIM(UPPER(W99)),2,1))&lt;=90,CODE(MID(TRIM(UPPER(W99)),3,1))&gt;=65,CODE(MID(TRIM(UPPER(W99)),3,1))&lt;=90,CODE(MID(TRIM(UPPER(W99)),4,1))&gt;=65,CODE(MID(TRIM(UPPER(W99)),4,1))&lt;=90,CODE(MID(TRIM(UPPER(W99)),5,1))&gt;=65,CODE(MID(TRIM(UPPER(W99)),5,1))&lt;=90,CODE(MID(TRIM(UPPER(W99)),10,1))&gt;=65,CODE(MID(TRIM(UPPER(W99)),10,1))&lt;=90,CODE(MID(TRIM(UPPER(W99)),6,1))&gt;=48,CODE(MID(TRIM(UPPER(W99)),6,1))&lt;=57,CODE(MID(TRIM(UPPER(W99)),7,1))&gt;=48,CODE(MID(TRIM(UPPER(W99)),7,1))&lt;=57,CODE(MID(TRIM(UPPER(W99)),8,1))&gt;=48,CODE(MID(TRIM(UPPER(W99)),8,1))&lt;=57,CODE(MID(TRIM(UPPER(W99)),9,1))&gt;=48,CODE(MID(TRIM(UPPER(W99)),9,1))&lt;=57),"N","Y"),IF($B99="Challan","",IF(W99&lt;&gt;"","◄ Set Row Type","")))</f>
      </c>
      <c r="Y99" s="23">
        <f>IF($B99="Entry",IF(LEN(W99)&lt;4,"",IF(UPPER(MID(W99,4,1))="P","Individual",IF(UPPER(MID(W99,4,1))="H","HUF",IF(UPPER(MID(W99,4,1))="C","Company",IF(UPPER(MID(W99,4,1))="F","Firm",IF(UPPER(MID(W99,4,1))="L","LLP",IF(UPPER(MID(W99,4,1))="T","Trust",IF(UPPER(MID(W99,4,1))="A","AOP","")))))))),IF($B99="Challan","",IF(W99&lt;&gt;"","◄ Set Row Type","")))</f>
      </c>
      <c r="Z99" s="28"/>
      <c r="AA99" s="29">
        <f>IF($B99&lt;&gt;"Entry","",IF(Z99="","",IF(X99="Y",SUMPRODUCT(('Rate Lookup'!$A$1:$A$37=Z99)*'Rate Lookup'!$D$1:$D$37),IF(OR(Y99="Individual",Y99="HUF"),SUMPRODUCT(('Rate Lookup'!$A$1:$A$37=Z99)*'Rate Lookup'!$B$1:$B$37),SUMPRODUCT(('Rate Lookup'!$A$1:$A$37=Z99)*'Rate Lookup'!$C$1:$C$37)))))</f>
      </c>
      <c r="AB99" s="30"/>
      <c r="AC99" s="31"/>
      <c r="AD99" s="27">
        <f>IF($B99&lt;&gt;"Entry","",ROUND(AC99*AA99/100,0))</f>
      </c>
      <c r="AE99" s="27">
        <f>IF($B99&lt;&gt;"Entry","",0)</f>
      </c>
      <c r="AF99" s="27">
        <f>IF($B99&lt;&gt;"Entry","",0)</f>
      </c>
      <c r="AG99" s="27">
        <f>IF($B99&lt;&gt;"Entry","",IF(OR(AD99=0,AB99="",AQ99="",AQ99&lt;=0),0,IF(AQ99&lt;=DATE(YEAR(AB99),MONTH(AB99)+1,7),0,ROUND(AD99*0.015*((YEAR(AQ99)-YEAR(AB99))*12+(MONTH(AQ99)-MONTH(AB99))+1),0))))</f>
      </c>
      <c r="AH99" s="27">
        <f>IF($B99&lt;&gt;"Entry","",0)</f>
      </c>
      <c r="AI99" s="28"/>
      <c r="AJ99" s="28"/>
      <c r="AK99" s="32"/>
      <c r="AL99" s="28"/>
      <c r="AM99" s="28"/>
      <c r="AN99" s="27">
        <f>IF($B99&lt;&gt;"Challan","",SUMIF('Q1 Data'!$D$4:$D$207,D99,'Q1 Data'!$AD$4:$AD$207)+SUMIF('Q1 Data'!$D$4:$D$207,D99,'Q1 Data'!$AG$4:$AG$207)+SUMIF('Q1 Data'!$D$4:$D$207,D99,'Q1 Data'!$AE$4:$AE$207)+SUMIF('Q2 Data'!$D$4:$D$207,D99,'Q2 Data'!$AD$4:$AD$207)+SUMIF('Q2 Data'!$D$4:$D$207,D99,'Q2 Data'!$AG$4:$AG$207)+SUMIF('Q2 Data'!$D$4:$D$207,D99,'Q2 Data'!$AE$4:$AE$207)+SUMIF('Q3 Data'!$D$4:$D$207,D99,'Q3 Data'!$AD$4:$AD$207)+SUMIF('Q3 Data'!$D$4:$D$207,D99,'Q3 Data'!$AG$4:$AG$207)+SUMIF('Q3 Data'!$D$4:$D$207,D99,'Q3 Data'!$AE$4:$AE$207)+SUMIF('Q4 Data'!$D$4:$D$207,D99,'Q4 Data'!$AD$4:$AD$207)+SUMIF('Q4 Data'!$D$4:$D$207,D99,'Q4 Data'!$AG$4:$AG$207)+SUMIF('Q4 Data'!$D$4:$D$207,D99,'Q4 Data'!$AE$4:$AE$207))</f>
      </c>
      <c r="AO99" s="27">
        <f>IF($B99&lt;&gt;"Challan","",P99-N99)</f>
      </c>
      <c r="AP99" s="27">
        <f>IF($B99&lt;&gt;"Challan","",MAX(0,AO99-AN99))</f>
      </c>
      <c r="AQ99" s="33">
        <f>IF($B99&lt;&gt;"Entry","",SUMPRODUCT(('Q1 Data'!$D$4:$D$207=D99)*('Q1 Data'!$B$4:$B$207="Challan")*'Q1 Data'!$F$4:$F$207)+SUMPRODUCT(('Q2 Data'!$D$4:$D$207=D99)*('Q2 Data'!$B$4:$B$207="Challan")*'Q2 Data'!$F$4:$F$207)+SUMPRODUCT(('Q3 Data'!$D$4:$D$207=D99)*('Q3 Data'!$B$4:$B$207="Challan")*'Q3 Data'!$F$4:$F$207)+SUMPRODUCT(('Q4 Data'!$D$4:$D$207=D99)*('Q4 Data'!$B$4:$B$207="Challan")*'Q4 Data'!$F$4:$F$207))</f>
      </c>
      <c r="AR99" s="34">
        <f>IF(OR($B99&lt;&gt;"Entry",Z99=""),FALSE,AND((SUMPRODUCT(('Q1 Data'!$D$4:$D$207=D99)*('Q1 Data'!$B$4:$B$207="Challan")*('Q1 Data'!$H$4:$H$207&lt;&gt;""))+SUMPRODUCT(('Q2 Data'!$D$4:$D$207=D99)*('Q2 Data'!$B$4:$B$207="Challan")*('Q2 Data'!$H$4:$H$207&lt;&gt;""))+SUMPRODUCT(('Q3 Data'!$D$4:$D$207=D99)*('Q3 Data'!$B$4:$B$207="Challan")*('Q3 Data'!$H$4:$H$207&lt;&gt;""))+SUMPRODUCT(('Q4 Data'!$D$4:$D$207=D99)*('Q4 Data'!$B$4:$B$207="Challan")*('Q4 Data'!$H$4:$H$207&lt;&gt;"")))&gt;0,(SUMPRODUCT(('Q1 Data'!$D$4:$D$207=D99)*('Q1 Data'!$B$4:$B$207="Challan")*('Q1 Data'!$H$4:$H$207=Z99))+SUMPRODUCT(('Q2 Data'!$D$4:$D$207=D99)*('Q2 Data'!$B$4:$B$207="Challan")*('Q2 Data'!$H$4:$H$207=Z99))+SUMPRODUCT(('Q3 Data'!$D$4:$D$207=D99)*('Q3 Data'!$B$4:$B$207="Challan")*('Q3 Data'!$H$4:$H$207=Z99))+SUMPRODUCT(('Q4 Data'!$D$4:$D$207=D99)*('Q4 Data'!$B$4:$B$207="Challan")*('Q4 Data'!$H$4:$H$207=Z99)))=0))</f>
      </c>
    </row>
    <row r="100" spans="1:44" x14ac:dyDescent="0.25">
      <c r="A100" s="20">
        <f>IF($B100="Entry",COUNTIF($B$4:$B100,"Entry"),"")</f>
      </c>
      <c r="B100" s="21"/>
      <c r="C100" s="22"/>
      <c r="D100" s="22"/>
      <c r="E100" s="23">
        <f>IF($B100&lt;&gt;"Challan","",IF(ROUND(AN100-AO100,2)&gt;0,"Over-applied",IF(ROUND(AN100-AO100,2)=0,"Fully Utilised","Unconsumed")))</f>
      </c>
      <c r="F100" s="24"/>
      <c r="G100" s="25"/>
      <c r="H100" s="25"/>
      <c r="I100" s="26"/>
      <c r="J100" s="26"/>
      <c r="K100" s="26"/>
      <c r="L100" s="26"/>
      <c r="M100" s="26"/>
      <c r="N100" s="26"/>
      <c r="O100" s="26"/>
      <c r="P100" s="27">
        <f>IF($B100&lt;&gt;"Challan","",I100+J100+K100+L100+M100+N100)</f>
      </c>
      <c r="Q100" s="25"/>
      <c r="R100" s="25"/>
      <c r="S100" s="25"/>
      <c r="T100" s="25"/>
      <c r="U100" s="25"/>
      <c r="V100" s="28"/>
      <c r="W100" s="28"/>
      <c r="X100" s="23">
        <f>IF($B100="Entry",IF(AND(LEN(TRIM(UPPER(W100)))=10,CODE(MID(TRIM(UPPER(W100)),1,1))&gt;=65,CODE(MID(TRIM(UPPER(W100)),1,1))&lt;=90,CODE(MID(TRIM(UPPER(W100)),2,1))&gt;=65,CODE(MID(TRIM(UPPER(W100)),2,1))&lt;=90,CODE(MID(TRIM(UPPER(W100)),3,1))&gt;=65,CODE(MID(TRIM(UPPER(W100)),3,1))&lt;=90,CODE(MID(TRIM(UPPER(W100)),4,1))&gt;=65,CODE(MID(TRIM(UPPER(W100)),4,1))&lt;=90,CODE(MID(TRIM(UPPER(W100)),5,1))&gt;=65,CODE(MID(TRIM(UPPER(W100)),5,1))&lt;=90,CODE(MID(TRIM(UPPER(W100)),10,1))&gt;=65,CODE(MID(TRIM(UPPER(W100)),10,1))&lt;=90,CODE(MID(TRIM(UPPER(W100)),6,1))&gt;=48,CODE(MID(TRIM(UPPER(W100)),6,1))&lt;=57,CODE(MID(TRIM(UPPER(W100)),7,1))&gt;=48,CODE(MID(TRIM(UPPER(W100)),7,1))&lt;=57,CODE(MID(TRIM(UPPER(W100)),8,1))&gt;=48,CODE(MID(TRIM(UPPER(W100)),8,1))&lt;=57,CODE(MID(TRIM(UPPER(W100)),9,1))&gt;=48,CODE(MID(TRIM(UPPER(W100)),9,1))&lt;=57),"N","Y"),IF($B100="Challan","",IF(W100&lt;&gt;"","◄ Set Row Type","")))</f>
      </c>
      <c r="Y100" s="23">
        <f>IF($B100="Entry",IF(LEN(W100)&lt;4,"",IF(UPPER(MID(W100,4,1))="P","Individual",IF(UPPER(MID(W100,4,1))="H","HUF",IF(UPPER(MID(W100,4,1))="C","Company",IF(UPPER(MID(W100,4,1))="F","Firm",IF(UPPER(MID(W100,4,1))="L","LLP",IF(UPPER(MID(W100,4,1))="T","Trust",IF(UPPER(MID(W100,4,1))="A","AOP","")))))))),IF($B100="Challan","",IF(W100&lt;&gt;"","◄ Set Row Type","")))</f>
      </c>
      <c r="Z100" s="28"/>
      <c r="AA100" s="29">
        <f>IF($B100&lt;&gt;"Entry","",IF(Z100="","",IF(X100="Y",SUMPRODUCT(('Rate Lookup'!$A$1:$A$37=Z100)*'Rate Lookup'!$D$1:$D$37),IF(OR(Y100="Individual",Y100="HUF"),SUMPRODUCT(('Rate Lookup'!$A$1:$A$37=Z100)*'Rate Lookup'!$B$1:$B$37),SUMPRODUCT(('Rate Lookup'!$A$1:$A$37=Z100)*'Rate Lookup'!$C$1:$C$37)))))</f>
      </c>
      <c r="AB100" s="30"/>
      <c r="AC100" s="31"/>
      <c r="AD100" s="27">
        <f>IF($B100&lt;&gt;"Entry","",ROUND(AC100*AA100/100,0))</f>
      </c>
      <c r="AE100" s="27">
        <f>IF($B100&lt;&gt;"Entry","",0)</f>
      </c>
      <c r="AF100" s="27">
        <f>IF($B100&lt;&gt;"Entry","",0)</f>
      </c>
      <c r="AG100" s="27">
        <f>IF($B100&lt;&gt;"Entry","",IF(OR(AD100=0,AB100="",AQ100="",AQ100&lt;=0),0,IF(AQ100&lt;=DATE(YEAR(AB100),MONTH(AB100)+1,7),0,ROUND(AD100*0.015*((YEAR(AQ100)-YEAR(AB100))*12+(MONTH(AQ100)-MONTH(AB100))+1),0))))</f>
      </c>
      <c r="AH100" s="27">
        <f>IF($B100&lt;&gt;"Entry","",0)</f>
      </c>
      <c r="AI100" s="28"/>
      <c r="AJ100" s="28"/>
      <c r="AK100" s="32"/>
      <c r="AL100" s="28"/>
      <c r="AM100" s="28"/>
      <c r="AN100" s="27">
        <f>IF($B100&lt;&gt;"Challan","",SUMIF('Q1 Data'!$D$4:$D$207,D100,'Q1 Data'!$AD$4:$AD$207)+SUMIF('Q1 Data'!$D$4:$D$207,D100,'Q1 Data'!$AG$4:$AG$207)+SUMIF('Q1 Data'!$D$4:$D$207,D100,'Q1 Data'!$AE$4:$AE$207)+SUMIF('Q2 Data'!$D$4:$D$207,D100,'Q2 Data'!$AD$4:$AD$207)+SUMIF('Q2 Data'!$D$4:$D$207,D100,'Q2 Data'!$AG$4:$AG$207)+SUMIF('Q2 Data'!$D$4:$D$207,D100,'Q2 Data'!$AE$4:$AE$207)+SUMIF('Q3 Data'!$D$4:$D$207,D100,'Q3 Data'!$AD$4:$AD$207)+SUMIF('Q3 Data'!$D$4:$D$207,D100,'Q3 Data'!$AG$4:$AG$207)+SUMIF('Q3 Data'!$D$4:$D$207,D100,'Q3 Data'!$AE$4:$AE$207)+SUMIF('Q4 Data'!$D$4:$D$207,D100,'Q4 Data'!$AD$4:$AD$207)+SUMIF('Q4 Data'!$D$4:$D$207,D100,'Q4 Data'!$AG$4:$AG$207)+SUMIF('Q4 Data'!$D$4:$D$207,D100,'Q4 Data'!$AE$4:$AE$207))</f>
      </c>
      <c r="AO100" s="27">
        <f>IF($B100&lt;&gt;"Challan","",P100-N100)</f>
      </c>
      <c r="AP100" s="27">
        <f>IF($B100&lt;&gt;"Challan","",MAX(0,AO100-AN100))</f>
      </c>
      <c r="AQ100" s="33">
        <f>IF($B100&lt;&gt;"Entry","",SUMPRODUCT(('Q1 Data'!$D$4:$D$207=D100)*('Q1 Data'!$B$4:$B$207="Challan")*'Q1 Data'!$F$4:$F$207)+SUMPRODUCT(('Q2 Data'!$D$4:$D$207=D100)*('Q2 Data'!$B$4:$B$207="Challan")*'Q2 Data'!$F$4:$F$207)+SUMPRODUCT(('Q3 Data'!$D$4:$D$207=D100)*('Q3 Data'!$B$4:$B$207="Challan")*'Q3 Data'!$F$4:$F$207)+SUMPRODUCT(('Q4 Data'!$D$4:$D$207=D100)*('Q4 Data'!$B$4:$B$207="Challan")*'Q4 Data'!$F$4:$F$207))</f>
      </c>
      <c r="AR100" s="34">
        <f>IF(OR($B100&lt;&gt;"Entry",Z100=""),FALSE,AND((SUMPRODUCT(('Q1 Data'!$D$4:$D$207=D100)*('Q1 Data'!$B$4:$B$207="Challan")*('Q1 Data'!$H$4:$H$207&lt;&gt;""))+SUMPRODUCT(('Q2 Data'!$D$4:$D$207=D100)*('Q2 Data'!$B$4:$B$207="Challan")*('Q2 Data'!$H$4:$H$207&lt;&gt;""))+SUMPRODUCT(('Q3 Data'!$D$4:$D$207=D100)*('Q3 Data'!$B$4:$B$207="Challan")*('Q3 Data'!$H$4:$H$207&lt;&gt;""))+SUMPRODUCT(('Q4 Data'!$D$4:$D$207=D100)*('Q4 Data'!$B$4:$B$207="Challan")*('Q4 Data'!$H$4:$H$207&lt;&gt;"")))&gt;0,(SUMPRODUCT(('Q1 Data'!$D$4:$D$207=D100)*('Q1 Data'!$B$4:$B$207="Challan")*('Q1 Data'!$H$4:$H$207=Z100))+SUMPRODUCT(('Q2 Data'!$D$4:$D$207=D100)*('Q2 Data'!$B$4:$B$207="Challan")*('Q2 Data'!$H$4:$H$207=Z100))+SUMPRODUCT(('Q3 Data'!$D$4:$D$207=D100)*('Q3 Data'!$B$4:$B$207="Challan")*('Q3 Data'!$H$4:$H$207=Z100))+SUMPRODUCT(('Q4 Data'!$D$4:$D$207=D100)*('Q4 Data'!$B$4:$B$207="Challan")*('Q4 Data'!$H$4:$H$207=Z100)))=0))</f>
      </c>
    </row>
    <row r="101" spans="1:44" x14ac:dyDescent="0.25">
      <c r="A101" s="20">
        <f>IF($B101="Entry",COUNTIF($B$4:$B101,"Entry"),"")</f>
      </c>
      <c r="B101" s="21"/>
      <c r="C101" s="22"/>
      <c r="D101" s="22"/>
      <c r="E101" s="23">
        <f>IF($B101&lt;&gt;"Challan","",IF(ROUND(AN101-AO101,2)&gt;0,"Over-applied",IF(ROUND(AN101-AO101,2)=0,"Fully Utilised","Unconsumed")))</f>
      </c>
      <c r="F101" s="24"/>
      <c r="G101" s="25"/>
      <c r="H101" s="25"/>
      <c r="I101" s="26"/>
      <c r="J101" s="26"/>
      <c r="K101" s="26"/>
      <c r="L101" s="26"/>
      <c r="M101" s="26"/>
      <c r="N101" s="26"/>
      <c r="O101" s="26"/>
      <c r="P101" s="27">
        <f>IF($B101&lt;&gt;"Challan","",I101+J101+K101+L101+M101+N101)</f>
      </c>
      <c r="Q101" s="25"/>
      <c r="R101" s="25"/>
      <c r="S101" s="25"/>
      <c r="T101" s="25"/>
      <c r="U101" s="25"/>
      <c r="V101" s="28"/>
      <c r="W101" s="28"/>
      <c r="X101" s="23">
        <f>IF($B101="Entry",IF(AND(LEN(TRIM(UPPER(W101)))=10,CODE(MID(TRIM(UPPER(W101)),1,1))&gt;=65,CODE(MID(TRIM(UPPER(W101)),1,1))&lt;=90,CODE(MID(TRIM(UPPER(W101)),2,1))&gt;=65,CODE(MID(TRIM(UPPER(W101)),2,1))&lt;=90,CODE(MID(TRIM(UPPER(W101)),3,1))&gt;=65,CODE(MID(TRIM(UPPER(W101)),3,1))&lt;=90,CODE(MID(TRIM(UPPER(W101)),4,1))&gt;=65,CODE(MID(TRIM(UPPER(W101)),4,1))&lt;=90,CODE(MID(TRIM(UPPER(W101)),5,1))&gt;=65,CODE(MID(TRIM(UPPER(W101)),5,1))&lt;=90,CODE(MID(TRIM(UPPER(W101)),10,1))&gt;=65,CODE(MID(TRIM(UPPER(W101)),10,1))&lt;=90,CODE(MID(TRIM(UPPER(W101)),6,1))&gt;=48,CODE(MID(TRIM(UPPER(W101)),6,1))&lt;=57,CODE(MID(TRIM(UPPER(W101)),7,1))&gt;=48,CODE(MID(TRIM(UPPER(W101)),7,1))&lt;=57,CODE(MID(TRIM(UPPER(W101)),8,1))&gt;=48,CODE(MID(TRIM(UPPER(W101)),8,1))&lt;=57,CODE(MID(TRIM(UPPER(W101)),9,1))&gt;=48,CODE(MID(TRIM(UPPER(W101)),9,1))&lt;=57),"N","Y"),IF($B101="Challan","",IF(W101&lt;&gt;"","◄ Set Row Type","")))</f>
      </c>
      <c r="Y101" s="23">
        <f>IF($B101="Entry",IF(LEN(W101)&lt;4,"",IF(UPPER(MID(W101,4,1))="P","Individual",IF(UPPER(MID(W101,4,1))="H","HUF",IF(UPPER(MID(W101,4,1))="C","Company",IF(UPPER(MID(W101,4,1))="F","Firm",IF(UPPER(MID(W101,4,1))="L","LLP",IF(UPPER(MID(W101,4,1))="T","Trust",IF(UPPER(MID(W101,4,1))="A","AOP","")))))))),IF($B101="Challan","",IF(W101&lt;&gt;"","◄ Set Row Type","")))</f>
      </c>
      <c r="Z101" s="28"/>
      <c r="AA101" s="29">
        <f>IF($B101&lt;&gt;"Entry","",IF(Z101="","",IF(X101="Y",SUMPRODUCT(('Rate Lookup'!$A$1:$A$37=Z101)*'Rate Lookup'!$D$1:$D$37),IF(OR(Y101="Individual",Y101="HUF"),SUMPRODUCT(('Rate Lookup'!$A$1:$A$37=Z101)*'Rate Lookup'!$B$1:$B$37),SUMPRODUCT(('Rate Lookup'!$A$1:$A$37=Z101)*'Rate Lookup'!$C$1:$C$37)))))</f>
      </c>
      <c r="AB101" s="30"/>
      <c r="AC101" s="31"/>
      <c r="AD101" s="27">
        <f>IF($B101&lt;&gt;"Entry","",ROUND(AC101*AA101/100,0))</f>
      </c>
      <c r="AE101" s="27">
        <f>IF($B101&lt;&gt;"Entry","",0)</f>
      </c>
      <c r="AF101" s="27">
        <f>IF($B101&lt;&gt;"Entry","",0)</f>
      </c>
      <c r="AG101" s="27">
        <f>IF($B101&lt;&gt;"Entry","",IF(OR(AD101=0,AB101="",AQ101="",AQ101&lt;=0),0,IF(AQ101&lt;=DATE(YEAR(AB101),MONTH(AB101)+1,7),0,ROUND(AD101*0.015*((YEAR(AQ101)-YEAR(AB101))*12+(MONTH(AQ101)-MONTH(AB101))+1),0))))</f>
      </c>
      <c r="AH101" s="27">
        <f>IF($B101&lt;&gt;"Entry","",0)</f>
      </c>
      <c r="AI101" s="28"/>
      <c r="AJ101" s="28"/>
      <c r="AK101" s="32"/>
      <c r="AL101" s="28"/>
      <c r="AM101" s="28"/>
      <c r="AN101" s="27">
        <f>IF($B101&lt;&gt;"Challan","",SUMIF('Q1 Data'!$D$4:$D$207,D101,'Q1 Data'!$AD$4:$AD$207)+SUMIF('Q1 Data'!$D$4:$D$207,D101,'Q1 Data'!$AG$4:$AG$207)+SUMIF('Q1 Data'!$D$4:$D$207,D101,'Q1 Data'!$AE$4:$AE$207)+SUMIF('Q2 Data'!$D$4:$D$207,D101,'Q2 Data'!$AD$4:$AD$207)+SUMIF('Q2 Data'!$D$4:$D$207,D101,'Q2 Data'!$AG$4:$AG$207)+SUMIF('Q2 Data'!$D$4:$D$207,D101,'Q2 Data'!$AE$4:$AE$207)+SUMIF('Q3 Data'!$D$4:$D$207,D101,'Q3 Data'!$AD$4:$AD$207)+SUMIF('Q3 Data'!$D$4:$D$207,D101,'Q3 Data'!$AG$4:$AG$207)+SUMIF('Q3 Data'!$D$4:$D$207,D101,'Q3 Data'!$AE$4:$AE$207)+SUMIF('Q4 Data'!$D$4:$D$207,D101,'Q4 Data'!$AD$4:$AD$207)+SUMIF('Q4 Data'!$D$4:$D$207,D101,'Q4 Data'!$AG$4:$AG$207)+SUMIF('Q4 Data'!$D$4:$D$207,D101,'Q4 Data'!$AE$4:$AE$207))</f>
      </c>
      <c r="AO101" s="27">
        <f>IF($B101&lt;&gt;"Challan","",P101-N101)</f>
      </c>
      <c r="AP101" s="27">
        <f>IF($B101&lt;&gt;"Challan","",MAX(0,AO101-AN101))</f>
      </c>
      <c r="AQ101" s="33">
        <f>IF($B101&lt;&gt;"Entry","",SUMPRODUCT(('Q1 Data'!$D$4:$D$207=D101)*('Q1 Data'!$B$4:$B$207="Challan")*'Q1 Data'!$F$4:$F$207)+SUMPRODUCT(('Q2 Data'!$D$4:$D$207=D101)*('Q2 Data'!$B$4:$B$207="Challan")*'Q2 Data'!$F$4:$F$207)+SUMPRODUCT(('Q3 Data'!$D$4:$D$207=D101)*('Q3 Data'!$B$4:$B$207="Challan")*'Q3 Data'!$F$4:$F$207)+SUMPRODUCT(('Q4 Data'!$D$4:$D$207=D101)*('Q4 Data'!$B$4:$B$207="Challan")*'Q4 Data'!$F$4:$F$207))</f>
      </c>
      <c r="AR101" s="34">
        <f>IF(OR($B101&lt;&gt;"Entry",Z101=""),FALSE,AND((SUMPRODUCT(('Q1 Data'!$D$4:$D$207=D101)*('Q1 Data'!$B$4:$B$207="Challan")*('Q1 Data'!$H$4:$H$207&lt;&gt;""))+SUMPRODUCT(('Q2 Data'!$D$4:$D$207=D101)*('Q2 Data'!$B$4:$B$207="Challan")*('Q2 Data'!$H$4:$H$207&lt;&gt;""))+SUMPRODUCT(('Q3 Data'!$D$4:$D$207=D101)*('Q3 Data'!$B$4:$B$207="Challan")*('Q3 Data'!$H$4:$H$207&lt;&gt;""))+SUMPRODUCT(('Q4 Data'!$D$4:$D$207=D101)*('Q4 Data'!$B$4:$B$207="Challan")*('Q4 Data'!$H$4:$H$207&lt;&gt;"")))&gt;0,(SUMPRODUCT(('Q1 Data'!$D$4:$D$207=D101)*('Q1 Data'!$B$4:$B$207="Challan")*('Q1 Data'!$H$4:$H$207=Z101))+SUMPRODUCT(('Q2 Data'!$D$4:$D$207=D101)*('Q2 Data'!$B$4:$B$207="Challan")*('Q2 Data'!$H$4:$H$207=Z101))+SUMPRODUCT(('Q3 Data'!$D$4:$D$207=D101)*('Q3 Data'!$B$4:$B$207="Challan")*('Q3 Data'!$H$4:$H$207=Z101))+SUMPRODUCT(('Q4 Data'!$D$4:$D$207=D101)*('Q4 Data'!$B$4:$B$207="Challan")*('Q4 Data'!$H$4:$H$207=Z101)))=0))</f>
      </c>
    </row>
    <row r="102" spans="1:44" x14ac:dyDescent="0.25">
      <c r="A102" s="20">
        <f>IF($B102="Entry",COUNTIF($B$4:$B102,"Entry"),"")</f>
      </c>
      <c r="B102" s="21"/>
      <c r="C102" s="22"/>
      <c r="D102" s="22"/>
      <c r="E102" s="23">
        <f>IF($B102&lt;&gt;"Challan","",IF(ROUND(AN102-AO102,2)&gt;0,"Over-applied",IF(ROUND(AN102-AO102,2)=0,"Fully Utilised","Unconsumed")))</f>
      </c>
      <c r="F102" s="24"/>
      <c r="G102" s="25"/>
      <c r="H102" s="25"/>
      <c r="I102" s="26"/>
      <c r="J102" s="26"/>
      <c r="K102" s="26"/>
      <c r="L102" s="26"/>
      <c r="M102" s="26"/>
      <c r="N102" s="26"/>
      <c r="O102" s="26"/>
      <c r="P102" s="27">
        <f>IF($B102&lt;&gt;"Challan","",I102+J102+K102+L102+M102+N102)</f>
      </c>
      <c r="Q102" s="25"/>
      <c r="R102" s="25"/>
      <c r="S102" s="25"/>
      <c r="T102" s="25"/>
      <c r="U102" s="25"/>
      <c r="V102" s="28"/>
      <c r="W102" s="28"/>
      <c r="X102" s="23">
        <f>IF($B102="Entry",IF(AND(LEN(TRIM(UPPER(W102)))=10,CODE(MID(TRIM(UPPER(W102)),1,1))&gt;=65,CODE(MID(TRIM(UPPER(W102)),1,1))&lt;=90,CODE(MID(TRIM(UPPER(W102)),2,1))&gt;=65,CODE(MID(TRIM(UPPER(W102)),2,1))&lt;=90,CODE(MID(TRIM(UPPER(W102)),3,1))&gt;=65,CODE(MID(TRIM(UPPER(W102)),3,1))&lt;=90,CODE(MID(TRIM(UPPER(W102)),4,1))&gt;=65,CODE(MID(TRIM(UPPER(W102)),4,1))&lt;=90,CODE(MID(TRIM(UPPER(W102)),5,1))&gt;=65,CODE(MID(TRIM(UPPER(W102)),5,1))&lt;=90,CODE(MID(TRIM(UPPER(W102)),10,1))&gt;=65,CODE(MID(TRIM(UPPER(W102)),10,1))&lt;=90,CODE(MID(TRIM(UPPER(W102)),6,1))&gt;=48,CODE(MID(TRIM(UPPER(W102)),6,1))&lt;=57,CODE(MID(TRIM(UPPER(W102)),7,1))&gt;=48,CODE(MID(TRIM(UPPER(W102)),7,1))&lt;=57,CODE(MID(TRIM(UPPER(W102)),8,1))&gt;=48,CODE(MID(TRIM(UPPER(W102)),8,1))&lt;=57,CODE(MID(TRIM(UPPER(W102)),9,1))&gt;=48,CODE(MID(TRIM(UPPER(W102)),9,1))&lt;=57),"N","Y"),IF($B102="Challan","",IF(W102&lt;&gt;"","◄ Set Row Type","")))</f>
      </c>
      <c r="Y102" s="23">
        <f>IF($B102="Entry",IF(LEN(W102)&lt;4,"",IF(UPPER(MID(W102,4,1))="P","Individual",IF(UPPER(MID(W102,4,1))="H","HUF",IF(UPPER(MID(W102,4,1))="C","Company",IF(UPPER(MID(W102,4,1))="F","Firm",IF(UPPER(MID(W102,4,1))="L","LLP",IF(UPPER(MID(W102,4,1))="T","Trust",IF(UPPER(MID(W102,4,1))="A","AOP","")))))))),IF($B102="Challan","",IF(W102&lt;&gt;"","◄ Set Row Type","")))</f>
      </c>
      <c r="Z102" s="28"/>
      <c r="AA102" s="29">
        <f>IF($B102&lt;&gt;"Entry","",IF(Z102="","",IF(X102="Y",SUMPRODUCT(('Rate Lookup'!$A$1:$A$37=Z102)*'Rate Lookup'!$D$1:$D$37),IF(OR(Y102="Individual",Y102="HUF"),SUMPRODUCT(('Rate Lookup'!$A$1:$A$37=Z102)*'Rate Lookup'!$B$1:$B$37),SUMPRODUCT(('Rate Lookup'!$A$1:$A$37=Z102)*'Rate Lookup'!$C$1:$C$37)))))</f>
      </c>
      <c r="AB102" s="30"/>
      <c r="AC102" s="31"/>
      <c r="AD102" s="27">
        <f>IF($B102&lt;&gt;"Entry","",ROUND(AC102*AA102/100,0))</f>
      </c>
      <c r="AE102" s="27">
        <f>IF($B102&lt;&gt;"Entry","",0)</f>
      </c>
      <c r="AF102" s="27">
        <f>IF($B102&lt;&gt;"Entry","",0)</f>
      </c>
      <c r="AG102" s="27">
        <f>IF($B102&lt;&gt;"Entry","",IF(OR(AD102=0,AB102="",AQ102="",AQ102&lt;=0),0,IF(AQ102&lt;=DATE(YEAR(AB102),MONTH(AB102)+1,7),0,ROUND(AD102*0.015*((YEAR(AQ102)-YEAR(AB102))*12+(MONTH(AQ102)-MONTH(AB102))+1),0))))</f>
      </c>
      <c r="AH102" s="27">
        <f>IF($B102&lt;&gt;"Entry","",0)</f>
      </c>
      <c r="AI102" s="28"/>
      <c r="AJ102" s="28"/>
      <c r="AK102" s="32"/>
      <c r="AL102" s="28"/>
      <c r="AM102" s="28"/>
      <c r="AN102" s="27">
        <f>IF($B102&lt;&gt;"Challan","",SUMIF('Q1 Data'!$D$4:$D$207,D102,'Q1 Data'!$AD$4:$AD$207)+SUMIF('Q1 Data'!$D$4:$D$207,D102,'Q1 Data'!$AG$4:$AG$207)+SUMIF('Q1 Data'!$D$4:$D$207,D102,'Q1 Data'!$AE$4:$AE$207)+SUMIF('Q2 Data'!$D$4:$D$207,D102,'Q2 Data'!$AD$4:$AD$207)+SUMIF('Q2 Data'!$D$4:$D$207,D102,'Q2 Data'!$AG$4:$AG$207)+SUMIF('Q2 Data'!$D$4:$D$207,D102,'Q2 Data'!$AE$4:$AE$207)+SUMIF('Q3 Data'!$D$4:$D$207,D102,'Q3 Data'!$AD$4:$AD$207)+SUMIF('Q3 Data'!$D$4:$D$207,D102,'Q3 Data'!$AG$4:$AG$207)+SUMIF('Q3 Data'!$D$4:$D$207,D102,'Q3 Data'!$AE$4:$AE$207)+SUMIF('Q4 Data'!$D$4:$D$207,D102,'Q4 Data'!$AD$4:$AD$207)+SUMIF('Q4 Data'!$D$4:$D$207,D102,'Q4 Data'!$AG$4:$AG$207)+SUMIF('Q4 Data'!$D$4:$D$207,D102,'Q4 Data'!$AE$4:$AE$207))</f>
      </c>
      <c r="AO102" s="27">
        <f>IF($B102&lt;&gt;"Challan","",P102-N102)</f>
      </c>
      <c r="AP102" s="27">
        <f>IF($B102&lt;&gt;"Challan","",MAX(0,AO102-AN102))</f>
      </c>
      <c r="AQ102" s="33">
        <f>IF($B102&lt;&gt;"Entry","",SUMPRODUCT(('Q1 Data'!$D$4:$D$207=D102)*('Q1 Data'!$B$4:$B$207="Challan")*'Q1 Data'!$F$4:$F$207)+SUMPRODUCT(('Q2 Data'!$D$4:$D$207=D102)*('Q2 Data'!$B$4:$B$207="Challan")*'Q2 Data'!$F$4:$F$207)+SUMPRODUCT(('Q3 Data'!$D$4:$D$207=D102)*('Q3 Data'!$B$4:$B$207="Challan")*'Q3 Data'!$F$4:$F$207)+SUMPRODUCT(('Q4 Data'!$D$4:$D$207=D102)*('Q4 Data'!$B$4:$B$207="Challan")*'Q4 Data'!$F$4:$F$207))</f>
      </c>
      <c r="AR102" s="34">
        <f>IF(OR($B102&lt;&gt;"Entry",Z102=""),FALSE,AND((SUMPRODUCT(('Q1 Data'!$D$4:$D$207=D102)*('Q1 Data'!$B$4:$B$207="Challan")*('Q1 Data'!$H$4:$H$207&lt;&gt;""))+SUMPRODUCT(('Q2 Data'!$D$4:$D$207=D102)*('Q2 Data'!$B$4:$B$207="Challan")*('Q2 Data'!$H$4:$H$207&lt;&gt;""))+SUMPRODUCT(('Q3 Data'!$D$4:$D$207=D102)*('Q3 Data'!$B$4:$B$207="Challan")*('Q3 Data'!$H$4:$H$207&lt;&gt;""))+SUMPRODUCT(('Q4 Data'!$D$4:$D$207=D102)*('Q4 Data'!$B$4:$B$207="Challan")*('Q4 Data'!$H$4:$H$207&lt;&gt;"")))&gt;0,(SUMPRODUCT(('Q1 Data'!$D$4:$D$207=D102)*('Q1 Data'!$B$4:$B$207="Challan")*('Q1 Data'!$H$4:$H$207=Z102))+SUMPRODUCT(('Q2 Data'!$D$4:$D$207=D102)*('Q2 Data'!$B$4:$B$207="Challan")*('Q2 Data'!$H$4:$H$207=Z102))+SUMPRODUCT(('Q3 Data'!$D$4:$D$207=D102)*('Q3 Data'!$B$4:$B$207="Challan")*('Q3 Data'!$H$4:$H$207=Z102))+SUMPRODUCT(('Q4 Data'!$D$4:$D$207=D102)*('Q4 Data'!$B$4:$B$207="Challan")*('Q4 Data'!$H$4:$H$207=Z102)))=0))</f>
      </c>
    </row>
    <row r="103" spans="1:44" x14ac:dyDescent="0.25">
      <c r="A103" s="20">
        <f>IF($B103="Entry",COUNTIF($B$4:$B103,"Entry"),"")</f>
      </c>
      <c r="B103" s="21"/>
      <c r="C103" s="22"/>
      <c r="D103" s="22"/>
      <c r="E103" s="23">
        <f>IF($B103&lt;&gt;"Challan","",IF(ROUND(AN103-AO103,2)&gt;0,"Over-applied",IF(ROUND(AN103-AO103,2)=0,"Fully Utilised","Unconsumed")))</f>
      </c>
      <c r="F103" s="24"/>
      <c r="G103" s="25"/>
      <c r="H103" s="25"/>
      <c r="I103" s="26"/>
      <c r="J103" s="26"/>
      <c r="K103" s="26"/>
      <c r="L103" s="26"/>
      <c r="M103" s="26"/>
      <c r="N103" s="26"/>
      <c r="O103" s="26"/>
      <c r="P103" s="27">
        <f>IF($B103&lt;&gt;"Challan","",I103+J103+K103+L103+M103+N103)</f>
      </c>
      <c r="Q103" s="25"/>
      <c r="R103" s="25"/>
      <c r="S103" s="25"/>
      <c r="T103" s="25"/>
      <c r="U103" s="25"/>
      <c r="V103" s="28"/>
      <c r="W103" s="28"/>
      <c r="X103" s="23">
        <f>IF($B103="Entry",IF(AND(LEN(TRIM(UPPER(W103)))=10,CODE(MID(TRIM(UPPER(W103)),1,1))&gt;=65,CODE(MID(TRIM(UPPER(W103)),1,1))&lt;=90,CODE(MID(TRIM(UPPER(W103)),2,1))&gt;=65,CODE(MID(TRIM(UPPER(W103)),2,1))&lt;=90,CODE(MID(TRIM(UPPER(W103)),3,1))&gt;=65,CODE(MID(TRIM(UPPER(W103)),3,1))&lt;=90,CODE(MID(TRIM(UPPER(W103)),4,1))&gt;=65,CODE(MID(TRIM(UPPER(W103)),4,1))&lt;=90,CODE(MID(TRIM(UPPER(W103)),5,1))&gt;=65,CODE(MID(TRIM(UPPER(W103)),5,1))&lt;=90,CODE(MID(TRIM(UPPER(W103)),10,1))&gt;=65,CODE(MID(TRIM(UPPER(W103)),10,1))&lt;=90,CODE(MID(TRIM(UPPER(W103)),6,1))&gt;=48,CODE(MID(TRIM(UPPER(W103)),6,1))&lt;=57,CODE(MID(TRIM(UPPER(W103)),7,1))&gt;=48,CODE(MID(TRIM(UPPER(W103)),7,1))&lt;=57,CODE(MID(TRIM(UPPER(W103)),8,1))&gt;=48,CODE(MID(TRIM(UPPER(W103)),8,1))&lt;=57,CODE(MID(TRIM(UPPER(W103)),9,1))&gt;=48,CODE(MID(TRIM(UPPER(W103)),9,1))&lt;=57),"N","Y"),IF($B103="Challan","",IF(W103&lt;&gt;"","◄ Set Row Type","")))</f>
      </c>
      <c r="Y103" s="23">
        <f>IF($B103="Entry",IF(LEN(W103)&lt;4,"",IF(UPPER(MID(W103,4,1))="P","Individual",IF(UPPER(MID(W103,4,1))="H","HUF",IF(UPPER(MID(W103,4,1))="C","Company",IF(UPPER(MID(W103,4,1))="F","Firm",IF(UPPER(MID(W103,4,1))="L","LLP",IF(UPPER(MID(W103,4,1))="T","Trust",IF(UPPER(MID(W103,4,1))="A","AOP","")))))))),IF($B103="Challan","",IF(W103&lt;&gt;"","◄ Set Row Type","")))</f>
      </c>
      <c r="Z103" s="28"/>
      <c r="AA103" s="29">
        <f>IF($B103&lt;&gt;"Entry","",IF(Z103="","",IF(X103="Y",SUMPRODUCT(('Rate Lookup'!$A$1:$A$37=Z103)*'Rate Lookup'!$D$1:$D$37),IF(OR(Y103="Individual",Y103="HUF"),SUMPRODUCT(('Rate Lookup'!$A$1:$A$37=Z103)*'Rate Lookup'!$B$1:$B$37),SUMPRODUCT(('Rate Lookup'!$A$1:$A$37=Z103)*'Rate Lookup'!$C$1:$C$37)))))</f>
      </c>
      <c r="AB103" s="30"/>
      <c r="AC103" s="31"/>
      <c r="AD103" s="27">
        <f>IF($B103&lt;&gt;"Entry","",ROUND(AC103*AA103/100,0))</f>
      </c>
      <c r="AE103" s="27">
        <f>IF($B103&lt;&gt;"Entry","",0)</f>
      </c>
      <c r="AF103" s="27">
        <f>IF($B103&lt;&gt;"Entry","",0)</f>
      </c>
      <c r="AG103" s="27">
        <f>IF($B103&lt;&gt;"Entry","",IF(OR(AD103=0,AB103="",AQ103="",AQ103&lt;=0),0,IF(AQ103&lt;=DATE(YEAR(AB103),MONTH(AB103)+1,7),0,ROUND(AD103*0.015*((YEAR(AQ103)-YEAR(AB103))*12+(MONTH(AQ103)-MONTH(AB103))+1),0))))</f>
      </c>
      <c r="AH103" s="27">
        <f>IF($B103&lt;&gt;"Entry","",0)</f>
      </c>
      <c r="AI103" s="28"/>
      <c r="AJ103" s="28"/>
      <c r="AK103" s="32"/>
      <c r="AL103" s="28"/>
      <c r="AM103" s="28"/>
      <c r="AN103" s="27">
        <f>IF($B103&lt;&gt;"Challan","",SUMIF('Q1 Data'!$D$4:$D$207,D103,'Q1 Data'!$AD$4:$AD$207)+SUMIF('Q1 Data'!$D$4:$D$207,D103,'Q1 Data'!$AG$4:$AG$207)+SUMIF('Q1 Data'!$D$4:$D$207,D103,'Q1 Data'!$AE$4:$AE$207)+SUMIF('Q2 Data'!$D$4:$D$207,D103,'Q2 Data'!$AD$4:$AD$207)+SUMIF('Q2 Data'!$D$4:$D$207,D103,'Q2 Data'!$AG$4:$AG$207)+SUMIF('Q2 Data'!$D$4:$D$207,D103,'Q2 Data'!$AE$4:$AE$207)+SUMIF('Q3 Data'!$D$4:$D$207,D103,'Q3 Data'!$AD$4:$AD$207)+SUMIF('Q3 Data'!$D$4:$D$207,D103,'Q3 Data'!$AG$4:$AG$207)+SUMIF('Q3 Data'!$D$4:$D$207,D103,'Q3 Data'!$AE$4:$AE$207)+SUMIF('Q4 Data'!$D$4:$D$207,D103,'Q4 Data'!$AD$4:$AD$207)+SUMIF('Q4 Data'!$D$4:$D$207,D103,'Q4 Data'!$AG$4:$AG$207)+SUMIF('Q4 Data'!$D$4:$D$207,D103,'Q4 Data'!$AE$4:$AE$207))</f>
      </c>
      <c r="AO103" s="27">
        <f>IF($B103&lt;&gt;"Challan","",P103-N103)</f>
      </c>
      <c r="AP103" s="27">
        <f>IF($B103&lt;&gt;"Challan","",MAX(0,AO103-AN103))</f>
      </c>
      <c r="AQ103" s="33">
        <f>IF($B103&lt;&gt;"Entry","",SUMPRODUCT(('Q1 Data'!$D$4:$D$207=D103)*('Q1 Data'!$B$4:$B$207="Challan")*'Q1 Data'!$F$4:$F$207)+SUMPRODUCT(('Q2 Data'!$D$4:$D$207=D103)*('Q2 Data'!$B$4:$B$207="Challan")*'Q2 Data'!$F$4:$F$207)+SUMPRODUCT(('Q3 Data'!$D$4:$D$207=D103)*('Q3 Data'!$B$4:$B$207="Challan")*'Q3 Data'!$F$4:$F$207)+SUMPRODUCT(('Q4 Data'!$D$4:$D$207=D103)*('Q4 Data'!$B$4:$B$207="Challan")*'Q4 Data'!$F$4:$F$207))</f>
      </c>
      <c r="AR103" s="34">
        <f>IF(OR($B103&lt;&gt;"Entry",Z103=""),FALSE,AND((SUMPRODUCT(('Q1 Data'!$D$4:$D$207=D103)*('Q1 Data'!$B$4:$B$207="Challan")*('Q1 Data'!$H$4:$H$207&lt;&gt;""))+SUMPRODUCT(('Q2 Data'!$D$4:$D$207=D103)*('Q2 Data'!$B$4:$B$207="Challan")*('Q2 Data'!$H$4:$H$207&lt;&gt;""))+SUMPRODUCT(('Q3 Data'!$D$4:$D$207=D103)*('Q3 Data'!$B$4:$B$207="Challan")*('Q3 Data'!$H$4:$H$207&lt;&gt;""))+SUMPRODUCT(('Q4 Data'!$D$4:$D$207=D103)*('Q4 Data'!$B$4:$B$207="Challan")*('Q4 Data'!$H$4:$H$207&lt;&gt;"")))&gt;0,(SUMPRODUCT(('Q1 Data'!$D$4:$D$207=D103)*('Q1 Data'!$B$4:$B$207="Challan")*('Q1 Data'!$H$4:$H$207=Z103))+SUMPRODUCT(('Q2 Data'!$D$4:$D$207=D103)*('Q2 Data'!$B$4:$B$207="Challan")*('Q2 Data'!$H$4:$H$207=Z103))+SUMPRODUCT(('Q3 Data'!$D$4:$D$207=D103)*('Q3 Data'!$B$4:$B$207="Challan")*('Q3 Data'!$H$4:$H$207=Z103))+SUMPRODUCT(('Q4 Data'!$D$4:$D$207=D103)*('Q4 Data'!$B$4:$B$207="Challan")*('Q4 Data'!$H$4:$H$207=Z103)))=0))</f>
      </c>
    </row>
    <row r="104" spans="1:44" x14ac:dyDescent="0.25">
      <c r="A104" s="20">
        <f>IF($B104="Entry",COUNTIF($B$4:$B104,"Entry"),"")</f>
      </c>
      <c r="B104" s="21"/>
      <c r="C104" s="22"/>
      <c r="D104" s="22"/>
      <c r="E104" s="23">
        <f>IF($B104&lt;&gt;"Challan","",IF(ROUND(AN104-AO104,2)&gt;0,"Over-applied",IF(ROUND(AN104-AO104,2)=0,"Fully Utilised","Unconsumed")))</f>
      </c>
      <c r="F104" s="24"/>
      <c r="G104" s="25"/>
      <c r="H104" s="25"/>
      <c r="I104" s="26"/>
      <c r="J104" s="26"/>
      <c r="K104" s="26"/>
      <c r="L104" s="26"/>
      <c r="M104" s="26"/>
      <c r="N104" s="26"/>
      <c r="O104" s="26"/>
      <c r="P104" s="27">
        <f>IF($B104&lt;&gt;"Challan","",I104+J104+K104+L104+M104+N104)</f>
      </c>
      <c r="Q104" s="25"/>
      <c r="R104" s="25"/>
      <c r="S104" s="25"/>
      <c r="T104" s="25"/>
      <c r="U104" s="25"/>
      <c r="V104" s="28"/>
      <c r="W104" s="28"/>
      <c r="X104" s="23">
        <f>IF($B104="Entry",IF(AND(LEN(TRIM(UPPER(W104)))=10,CODE(MID(TRIM(UPPER(W104)),1,1))&gt;=65,CODE(MID(TRIM(UPPER(W104)),1,1))&lt;=90,CODE(MID(TRIM(UPPER(W104)),2,1))&gt;=65,CODE(MID(TRIM(UPPER(W104)),2,1))&lt;=90,CODE(MID(TRIM(UPPER(W104)),3,1))&gt;=65,CODE(MID(TRIM(UPPER(W104)),3,1))&lt;=90,CODE(MID(TRIM(UPPER(W104)),4,1))&gt;=65,CODE(MID(TRIM(UPPER(W104)),4,1))&lt;=90,CODE(MID(TRIM(UPPER(W104)),5,1))&gt;=65,CODE(MID(TRIM(UPPER(W104)),5,1))&lt;=90,CODE(MID(TRIM(UPPER(W104)),10,1))&gt;=65,CODE(MID(TRIM(UPPER(W104)),10,1))&lt;=90,CODE(MID(TRIM(UPPER(W104)),6,1))&gt;=48,CODE(MID(TRIM(UPPER(W104)),6,1))&lt;=57,CODE(MID(TRIM(UPPER(W104)),7,1))&gt;=48,CODE(MID(TRIM(UPPER(W104)),7,1))&lt;=57,CODE(MID(TRIM(UPPER(W104)),8,1))&gt;=48,CODE(MID(TRIM(UPPER(W104)),8,1))&lt;=57,CODE(MID(TRIM(UPPER(W104)),9,1))&gt;=48,CODE(MID(TRIM(UPPER(W104)),9,1))&lt;=57),"N","Y"),IF($B104="Challan","",IF(W104&lt;&gt;"","◄ Set Row Type","")))</f>
      </c>
      <c r="Y104" s="23">
        <f>IF($B104="Entry",IF(LEN(W104)&lt;4,"",IF(UPPER(MID(W104,4,1))="P","Individual",IF(UPPER(MID(W104,4,1))="H","HUF",IF(UPPER(MID(W104,4,1))="C","Company",IF(UPPER(MID(W104,4,1))="F","Firm",IF(UPPER(MID(W104,4,1))="L","LLP",IF(UPPER(MID(W104,4,1))="T","Trust",IF(UPPER(MID(W104,4,1))="A","AOP","")))))))),IF($B104="Challan","",IF(W104&lt;&gt;"","◄ Set Row Type","")))</f>
      </c>
      <c r="Z104" s="28"/>
      <c r="AA104" s="29">
        <f>IF($B104&lt;&gt;"Entry","",IF(Z104="","",IF(X104="Y",SUMPRODUCT(('Rate Lookup'!$A$1:$A$37=Z104)*'Rate Lookup'!$D$1:$D$37),IF(OR(Y104="Individual",Y104="HUF"),SUMPRODUCT(('Rate Lookup'!$A$1:$A$37=Z104)*'Rate Lookup'!$B$1:$B$37),SUMPRODUCT(('Rate Lookup'!$A$1:$A$37=Z104)*'Rate Lookup'!$C$1:$C$37)))))</f>
      </c>
      <c r="AB104" s="30"/>
      <c r="AC104" s="31"/>
      <c r="AD104" s="27">
        <f>IF($B104&lt;&gt;"Entry","",ROUND(AC104*AA104/100,0))</f>
      </c>
      <c r="AE104" s="27">
        <f>IF($B104&lt;&gt;"Entry","",0)</f>
      </c>
      <c r="AF104" s="27">
        <f>IF($B104&lt;&gt;"Entry","",0)</f>
      </c>
      <c r="AG104" s="27">
        <f>IF($B104&lt;&gt;"Entry","",IF(OR(AD104=0,AB104="",AQ104="",AQ104&lt;=0),0,IF(AQ104&lt;=DATE(YEAR(AB104),MONTH(AB104)+1,7),0,ROUND(AD104*0.015*((YEAR(AQ104)-YEAR(AB104))*12+(MONTH(AQ104)-MONTH(AB104))+1),0))))</f>
      </c>
      <c r="AH104" s="27">
        <f>IF($B104&lt;&gt;"Entry","",0)</f>
      </c>
      <c r="AI104" s="28"/>
      <c r="AJ104" s="28"/>
      <c r="AK104" s="32"/>
      <c r="AL104" s="28"/>
      <c r="AM104" s="28"/>
      <c r="AN104" s="27">
        <f>IF($B104&lt;&gt;"Challan","",SUMIF('Q1 Data'!$D$4:$D$207,D104,'Q1 Data'!$AD$4:$AD$207)+SUMIF('Q1 Data'!$D$4:$D$207,D104,'Q1 Data'!$AG$4:$AG$207)+SUMIF('Q1 Data'!$D$4:$D$207,D104,'Q1 Data'!$AE$4:$AE$207)+SUMIF('Q2 Data'!$D$4:$D$207,D104,'Q2 Data'!$AD$4:$AD$207)+SUMIF('Q2 Data'!$D$4:$D$207,D104,'Q2 Data'!$AG$4:$AG$207)+SUMIF('Q2 Data'!$D$4:$D$207,D104,'Q2 Data'!$AE$4:$AE$207)+SUMIF('Q3 Data'!$D$4:$D$207,D104,'Q3 Data'!$AD$4:$AD$207)+SUMIF('Q3 Data'!$D$4:$D$207,D104,'Q3 Data'!$AG$4:$AG$207)+SUMIF('Q3 Data'!$D$4:$D$207,D104,'Q3 Data'!$AE$4:$AE$207)+SUMIF('Q4 Data'!$D$4:$D$207,D104,'Q4 Data'!$AD$4:$AD$207)+SUMIF('Q4 Data'!$D$4:$D$207,D104,'Q4 Data'!$AG$4:$AG$207)+SUMIF('Q4 Data'!$D$4:$D$207,D104,'Q4 Data'!$AE$4:$AE$207))</f>
      </c>
      <c r="AO104" s="27">
        <f>IF($B104&lt;&gt;"Challan","",P104-N104)</f>
      </c>
      <c r="AP104" s="27">
        <f>IF($B104&lt;&gt;"Challan","",MAX(0,AO104-AN104))</f>
      </c>
      <c r="AQ104" s="33">
        <f>IF($B104&lt;&gt;"Entry","",SUMPRODUCT(('Q1 Data'!$D$4:$D$207=D104)*('Q1 Data'!$B$4:$B$207="Challan")*'Q1 Data'!$F$4:$F$207)+SUMPRODUCT(('Q2 Data'!$D$4:$D$207=D104)*('Q2 Data'!$B$4:$B$207="Challan")*'Q2 Data'!$F$4:$F$207)+SUMPRODUCT(('Q3 Data'!$D$4:$D$207=D104)*('Q3 Data'!$B$4:$B$207="Challan")*'Q3 Data'!$F$4:$F$207)+SUMPRODUCT(('Q4 Data'!$D$4:$D$207=D104)*('Q4 Data'!$B$4:$B$207="Challan")*'Q4 Data'!$F$4:$F$207))</f>
      </c>
      <c r="AR104" s="34">
        <f>IF(OR($B104&lt;&gt;"Entry",Z104=""),FALSE,AND((SUMPRODUCT(('Q1 Data'!$D$4:$D$207=D104)*('Q1 Data'!$B$4:$B$207="Challan")*('Q1 Data'!$H$4:$H$207&lt;&gt;""))+SUMPRODUCT(('Q2 Data'!$D$4:$D$207=D104)*('Q2 Data'!$B$4:$B$207="Challan")*('Q2 Data'!$H$4:$H$207&lt;&gt;""))+SUMPRODUCT(('Q3 Data'!$D$4:$D$207=D104)*('Q3 Data'!$B$4:$B$207="Challan")*('Q3 Data'!$H$4:$H$207&lt;&gt;""))+SUMPRODUCT(('Q4 Data'!$D$4:$D$207=D104)*('Q4 Data'!$B$4:$B$207="Challan")*('Q4 Data'!$H$4:$H$207&lt;&gt;"")))&gt;0,(SUMPRODUCT(('Q1 Data'!$D$4:$D$207=D104)*('Q1 Data'!$B$4:$B$207="Challan")*('Q1 Data'!$H$4:$H$207=Z104))+SUMPRODUCT(('Q2 Data'!$D$4:$D$207=D104)*('Q2 Data'!$B$4:$B$207="Challan")*('Q2 Data'!$H$4:$H$207=Z104))+SUMPRODUCT(('Q3 Data'!$D$4:$D$207=D104)*('Q3 Data'!$B$4:$B$207="Challan")*('Q3 Data'!$H$4:$H$207=Z104))+SUMPRODUCT(('Q4 Data'!$D$4:$D$207=D104)*('Q4 Data'!$B$4:$B$207="Challan")*('Q4 Data'!$H$4:$H$207=Z104)))=0))</f>
      </c>
    </row>
    <row r="105" spans="1:44" x14ac:dyDescent="0.25">
      <c r="A105" s="20">
        <f>IF($B105="Entry",COUNTIF($B$4:$B105,"Entry"),"")</f>
      </c>
      <c r="B105" s="21"/>
      <c r="C105" s="22"/>
      <c r="D105" s="22"/>
      <c r="E105" s="23">
        <f>IF($B105&lt;&gt;"Challan","",IF(ROUND(AN105-AO105,2)&gt;0,"Over-applied",IF(ROUND(AN105-AO105,2)=0,"Fully Utilised","Unconsumed")))</f>
      </c>
      <c r="F105" s="24"/>
      <c r="G105" s="25"/>
      <c r="H105" s="25"/>
      <c r="I105" s="26"/>
      <c r="J105" s="26"/>
      <c r="K105" s="26"/>
      <c r="L105" s="26"/>
      <c r="M105" s="26"/>
      <c r="N105" s="26"/>
      <c r="O105" s="26"/>
      <c r="P105" s="27">
        <f>IF($B105&lt;&gt;"Challan","",I105+J105+K105+L105+M105+N105)</f>
      </c>
      <c r="Q105" s="25"/>
      <c r="R105" s="25"/>
      <c r="S105" s="25"/>
      <c r="T105" s="25"/>
      <c r="U105" s="25"/>
      <c r="V105" s="28"/>
      <c r="W105" s="28"/>
      <c r="X105" s="23">
        <f>IF($B105="Entry",IF(AND(LEN(TRIM(UPPER(W105)))=10,CODE(MID(TRIM(UPPER(W105)),1,1))&gt;=65,CODE(MID(TRIM(UPPER(W105)),1,1))&lt;=90,CODE(MID(TRIM(UPPER(W105)),2,1))&gt;=65,CODE(MID(TRIM(UPPER(W105)),2,1))&lt;=90,CODE(MID(TRIM(UPPER(W105)),3,1))&gt;=65,CODE(MID(TRIM(UPPER(W105)),3,1))&lt;=90,CODE(MID(TRIM(UPPER(W105)),4,1))&gt;=65,CODE(MID(TRIM(UPPER(W105)),4,1))&lt;=90,CODE(MID(TRIM(UPPER(W105)),5,1))&gt;=65,CODE(MID(TRIM(UPPER(W105)),5,1))&lt;=90,CODE(MID(TRIM(UPPER(W105)),10,1))&gt;=65,CODE(MID(TRIM(UPPER(W105)),10,1))&lt;=90,CODE(MID(TRIM(UPPER(W105)),6,1))&gt;=48,CODE(MID(TRIM(UPPER(W105)),6,1))&lt;=57,CODE(MID(TRIM(UPPER(W105)),7,1))&gt;=48,CODE(MID(TRIM(UPPER(W105)),7,1))&lt;=57,CODE(MID(TRIM(UPPER(W105)),8,1))&gt;=48,CODE(MID(TRIM(UPPER(W105)),8,1))&lt;=57,CODE(MID(TRIM(UPPER(W105)),9,1))&gt;=48,CODE(MID(TRIM(UPPER(W105)),9,1))&lt;=57),"N","Y"),IF($B105="Challan","",IF(W105&lt;&gt;"","◄ Set Row Type","")))</f>
      </c>
      <c r="Y105" s="23">
        <f>IF($B105="Entry",IF(LEN(W105)&lt;4,"",IF(UPPER(MID(W105,4,1))="P","Individual",IF(UPPER(MID(W105,4,1))="H","HUF",IF(UPPER(MID(W105,4,1))="C","Company",IF(UPPER(MID(W105,4,1))="F","Firm",IF(UPPER(MID(W105,4,1))="L","LLP",IF(UPPER(MID(W105,4,1))="T","Trust",IF(UPPER(MID(W105,4,1))="A","AOP","")))))))),IF($B105="Challan","",IF(W105&lt;&gt;"","◄ Set Row Type","")))</f>
      </c>
      <c r="Z105" s="28"/>
      <c r="AA105" s="29">
        <f>IF($B105&lt;&gt;"Entry","",IF(Z105="","",IF(X105="Y",SUMPRODUCT(('Rate Lookup'!$A$1:$A$37=Z105)*'Rate Lookup'!$D$1:$D$37),IF(OR(Y105="Individual",Y105="HUF"),SUMPRODUCT(('Rate Lookup'!$A$1:$A$37=Z105)*'Rate Lookup'!$B$1:$B$37),SUMPRODUCT(('Rate Lookup'!$A$1:$A$37=Z105)*'Rate Lookup'!$C$1:$C$37)))))</f>
      </c>
      <c r="AB105" s="30"/>
      <c r="AC105" s="31"/>
      <c r="AD105" s="27">
        <f>IF($B105&lt;&gt;"Entry","",ROUND(AC105*AA105/100,0))</f>
      </c>
      <c r="AE105" s="27">
        <f>IF($B105&lt;&gt;"Entry","",0)</f>
      </c>
      <c r="AF105" s="27">
        <f>IF($B105&lt;&gt;"Entry","",0)</f>
      </c>
      <c r="AG105" s="27">
        <f>IF($B105&lt;&gt;"Entry","",IF(OR(AD105=0,AB105="",AQ105="",AQ105&lt;=0),0,IF(AQ105&lt;=DATE(YEAR(AB105),MONTH(AB105)+1,7),0,ROUND(AD105*0.015*((YEAR(AQ105)-YEAR(AB105))*12+(MONTH(AQ105)-MONTH(AB105))+1),0))))</f>
      </c>
      <c r="AH105" s="27">
        <f>IF($B105&lt;&gt;"Entry","",0)</f>
      </c>
      <c r="AI105" s="28"/>
      <c r="AJ105" s="28"/>
      <c r="AK105" s="32"/>
      <c r="AL105" s="28"/>
      <c r="AM105" s="28"/>
      <c r="AN105" s="27">
        <f>IF($B105&lt;&gt;"Challan","",SUMIF('Q1 Data'!$D$4:$D$207,D105,'Q1 Data'!$AD$4:$AD$207)+SUMIF('Q1 Data'!$D$4:$D$207,D105,'Q1 Data'!$AG$4:$AG$207)+SUMIF('Q1 Data'!$D$4:$D$207,D105,'Q1 Data'!$AE$4:$AE$207)+SUMIF('Q2 Data'!$D$4:$D$207,D105,'Q2 Data'!$AD$4:$AD$207)+SUMIF('Q2 Data'!$D$4:$D$207,D105,'Q2 Data'!$AG$4:$AG$207)+SUMIF('Q2 Data'!$D$4:$D$207,D105,'Q2 Data'!$AE$4:$AE$207)+SUMIF('Q3 Data'!$D$4:$D$207,D105,'Q3 Data'!$AD$4:$AD$207)+SUMIF('Q3 Data'!$D$4:$D$207,D105,'Q3 Data'!$AG$4:$AG$207)+SUMIF('Q3 Data'!$D$4:$D$207,D105,'Q3 Data'!$AE$4:$AE$207)+SUMIF('Q4 Data'!$D$4:$D$207,D105,'Q4 Data'!$AD$4:$AD$207)+SUMIF('Q4 Data'!$D$4:$D$207,D105,'Q4 Data'!$AG$4:$AG$207)+SUMIF('Q4 Data'!$D$4:$D$207,D105,'Q4 Data'!$AE$4:$AE$207))</f>
      </c>
      <c r="AO105" s="27">
        <f>IF($B105&lt;&gt;"Challan","",P105-N105)</f>
      </c>
      <c r="AP105" s="27">
        <f>IF($B105&lt;&gt;"Challan","",MAX(0,AO105-AN105))</f>
      </c>
      <c r="AQ105" s="33">
        <f>IF($B105&lt;&gt;"Entry","",SUMPRODUCT(('Q1 Data'!$D$4:$D$207=D105)*('Q1 Data'!$B$4:$B$207="Challan")*'Q1 Data'!$F$4:$F$207)+SUMPRODUCT(('Q2 Data'!$D$4:$D$207=D105)*('Q2 Data'!$B$4:$B$207="Challan")*'Q2 Data'!$F$4:$F$207)+SUMPRODUCT(('Q3 Data'!$D$4:$D$207=D105)*('Q3 Data'!$B$4:$B$207="Challan")*'Q3 Data'!$F$4:$F$207)+SUMPRODUCT(('Q4 Data'!$D$4:$D$207=D105)*('Q4 Data'!$B$4:$B$207="Challan")*'Q4 Data'!$F$4:$F$207))</f>
      </c>
      <c r="AR105" s="34">
        <f>IF(OR($B105&lt;&gt;"Entry",Z105=""),FALSE,AND((SUMPRODUCT(('Q1 Data'!$D$4:$D$207=D105)*('Q1 Data'!$B$4:$B$207="Challan")*('Q1 Data'!$H$4:$H$207&lt;&gt;""))+SUMPRODUCT(('Q2 Data'!$D$4:$D$207=D105)*('Q2 Data'!$B$4:$B$207="Challan")*('Q2 Data'!$H$4:$H$207&lt;&gt;""))+SUMPRODUCT(('Q3 Data'!$D$4:$D$207=D105)*('Q3 Data'!$B$4:$B$207="Challan")*('Q3 Data'!$H$4:$H$207&lt;&gt;""))+SUMPRODUCT(('Q4 Data'!$D$4:$D$207=D105)*('Q4 Data'!$B$4:$B$207="Challan")*('Q4 Data'!$H$4:$H$207&lt;&gt;"")))&gt;0,(SUMPRODUCT(('Q1 Data'!$D$4:$D$207=D105)*('Q1 Data'!$B$4:$B$207="Challan")*('Q1 Data'!$H$4:$H$207=Z105))+SUMPRODUCT(('Q2 Data'!$D$4:$D$207=D105)*('Q2 Data'!$B$4:$B$207="Challan")*('Q2 Data'!$H$4:$H$207=Z105))+SUMPRODUCT(('Q3 Data'!$D$4:$D$207=D105)*('Q3 Data'!$B$4:$B$207="Challan")*('Q3 Data'!$H$4:$H$207=Z105))+SUMPRODUCT(('Q4 Data'!$D$4:$D$207=D105)*('Q4 Data'!$B$4:$B$207="Challan")*('Q4 Data'!$H$4:$H$207=Z105)))=0))</f>
      </c>
    </row>
    <row r="106" spans="1:44" x14ac:dyDescent="0.25">
      <c r="A106" s="20">
        <f>IF($B106="Entry",COUNTIF($B$4:$B106,"Entry"),"")</f>
      </c>
      <c r="B106" s="21"/>
      <c r="C106" s="22"/>
      <c r="D106" s="22"/>
      <c r="E106" s="23">
        <f>IF($B106&lt;&gt;"Challan","",IF(ROUND(AN106-AO106,2)&gt;0,"Over-applied",IF(ROUND(AN106-AO106,2)=0,"Fully Utilised","Unconsumed")))</f>
      </c>
      <c r="F106" s="24"/>
      <c r="G106" s="25"/>
      <c r="H106" s="25"/>
      <c r="I106" s="26"/>
      <c r="J106" s="26"/>
      <c r="K106" s="26"/>
      <c r="L106" s="26"/>
      <c r="M106" s="26"/>
      <c r="N106" s="26"/>
      <c r="O106" s="26"/>
      <c r="P106" s="27">
        <f>IF($B106&lt;&gt;"Challan","",I106+J106+K106+L106+M106+N106)</f>
      </c>
      <c r="Q106" s="25"/>
      <c r="R106" s="25"/>
      <c r="S106" s="25"/>
      <c r="T106" s="25"/>
      <c r="U106" s="25"/>
      <c r="V106" s="28"/>
      <c r="W106" s="28"/>
      <c r="X106" s="23">
        <f>IF($B106="Entry",IF(AND(LEN(TRIM(UPPER(W106)))=10,CODE(MID(TRIM(UPPER(W106)),1,1))&gt;=65,CODE(MID(TRIM(UPPER(W106)),1,1))&lt;=90,CODE(MID(TRIM(UPPER(W106)),2,1))&gt;=65,CODE(MID(TRIM(UPPER(W106)),2,1))&lt;=90,CODE(MID(TRIM(UPPER(W106)),3,1))&gt;=65,CODE(MID(TRIM(UPPER(W106)),3,1))&lt;=90,CODE(MID(TRIM(UPPER(W106)),4,1))&gt;=65,CODE(MID(TRIM(UPPER(W106)),4,1))&lt;=90,CODE(MID(TRIM(UPPER(W106)),5,1))&gt;=65,CODE(MID(TRIM(UPPER(W106)),5,1))&lt;=90,CODE(MID(TRIM(UPPER(W106)),10,1))&gt;=65,CODE(MID(TRIM(UPPER(W106)),10,1))&lt;=90,CODE(MID(TRIM(UPPER(W106)),6,1))&gt;=48,CODE(MID(TRIM(UPPER(W106)),6,1))&lt;=57,CODE(MID(TRIM(UPPER(W106)),7,1))&gt;=48,CODE(MID(TRIM(UPPER(W106)),7,1))&lt;=57,CODE(MID(TRIM(UPPER(W106)),8,1))&gt;=48,CODE(MID(TRIM(UPPER(W106)),8,1))&lt;=57,CODE(MID(TRIM(UPPER(W106)),9,1))&gt;=48,CODE(MID(TRIM(UPPER(W106)),9,1))&lt;=57),"N","Y"),IF($B106="Challan","",IF(W106&lt;&gt;"","◄ Set Row Type","")))</f>
      </c>
      <c r="Y106" s="23">
        <f>IF($B106="Entry",IF(LEN(W106)&lt;4,"",IF(UPPER(MID(W106,4,1))="P","Individual",IF(UPPER(MID(W106,4,1))="H","HUF",IF(UPPER(MID(W106,4,1))="C","Company",IF(UPPER(MID(W106,4,1))="F","Firm",IF(UPPER(MID(W106,4,1))="L","LLP",IF(UPPER(MID(W106,4,1))="T","Trust",IF(UPPER(MID(W106,4,1))="A","AOP","")))))))),IF($B106="Challan","",IF(W106&lt;&gt;"","◄ Set Row Type","")))</f>
      </c>
      <c r="Z106" s="28"/>
      <c r="AA106" s="29">
        <f>IF($B106&lt;&gt;"Entry","",IF(Z106="","",IF(X106="Y",SUMPRODUCT(('Rate Lookup'!$A$1:$A$37=Z106)*'Rate Lookup'!$D$1:$D$37),IF(OR(Y106="Individual",Y106="HUF"),SUMPRODUCT(('Rate Lookup'!$A$1:$A$37=Z106)*'Rate Lookup'!$B$1:$B$37),SUMPRODUCT(('Rate Lookup'!$A$1:$A$37=Z106)*'Rate Lookup'!$C$1:$C$37)))))</f>
      </c>
      <c r="AB106" s="30"/>
      <c r="AC106" s="31"/>
      <c r="AD106" s="27">
        <f>IF($B106&lt;&gt;"Entry","",ROUND(AC106*AA106/100,0))</f>
      </c>
      <c r="AE106" s="27">
        <f>IF($B106&lt;&gt;"Entry","",0)</f>
      </c>
      <c r="AF106" s="27">
        <f>IF($B106&lt;&gt;"Entry","",0)</f>
      </c>
      <c r="AG106" s="27">
        <f>IF($B106&lt;&gt;"Entry","",IF(OR(AD106=0,AB106="",AQ106="",AQ106&lt;=0),0,IF(AQ106&lt;=DATE(YEAR(AB106),MONTH(AB106)+1,7),0,ROUND(AD106*0.015*((YEAR(AQ106)-YEAR(AB106))*12+(MONTH(AQ106)-MONTH(AB106))+1),0))))</f>
      </c>
      <c r="AH106" s="27">
        <f>IF($B106&lt;&gt;"Entry","",0)</f>
      </c>
      <c r="AI106" s="28"/>
      <c r="AJ106" s="28"/>
      <c r="AK106" s="32"/>
      <c r="AL106" s="28"/>
      <c r="AM106" s="28"/>
      <c r="AN106" s="27">
        <f>IF($B106&lt;&gt;"Challan","",SUMIF('Q1 Data'!$D$4:$D$207,D106,'Q1 Data'!$AD$4:$AD$207)+SUMIF('Q1 Data'!$D$4:$D$207,D106,'Q1 Data'!$AG$4:$AG$207)+SUMIF('Q1 Data'!$D$4:$D$207,D106,'Q1 Data'!$AE$4:$AE$207)+SUMIF('Q2 Data'!$D$4:$D$207,D106,'Q2 Data'!$AD$4:$AD$207)+SUMIF('Q2 Data'!$D$4:$D$207,D106,'Q2 Data'!$AG$4:$AG$207)+SUMIF('Q2 Data'!$D$4:$D$207,D106,'Q2 Data'!$AE$4:$AE$207)+SUMIF('Q3 Data'!$D$4:$D$207,D106,'Q3 Data'!$AD$4:$AD$207)+SUMIF('Q3 Data'!$D$4:$D$207,D106,'Q3 Data'!$AG$4:$AG$207)+SUMIF('Q3 Data'!$D$4:$D$207,D106,'Q3 Data'!$AE$4:$AE$207)+SUMIF('Q4 Data'!$D$4:$D$207,D106,'Q4 Data'!$AD$4:$AD$207)+SUMIF('Q4 Data'!$D$4:$D$207,D106,'Q4 Data'!$AG$4:$AG$207)+SUMIF('Q4 Data'!$D$4:$D$207,D106,'Q4 Data'!$AE$4:$AE$207))</f>
      </c>
      <c r="AO106" s="27">
        <f>IF($B106&lt;&gt;"Challan","",P106-N106)</f>
      </c>
      <c r="AP106" s="27">
        <f>IF($B106&lt;&gt;"Challan","",MAX(0,AO106-AN106))</f>
      </c>
      <c r="AQ106" s="33">
        <f>IF($B106&lt;&gt;"Entry","",SUMPRODUCT(('Q1 Data'!$D$4:$D$207=D106)*('Q1 Data'!$B$4:$B$207="Challan")*'Q1 Data'!$F$4:$F$207)+SUMPRODUCT(('Q2 Data'!$D$4:$D$207=D106)*('Q2 Data'!$B$4:$B$207="Challan")*'Q2 Data'!$F$4:$F$207)+SUMPRODUCT(('Q3 Data'!$D$4:$D$207=D106)*('Q3 Data'!$B$4:$B$207="Challan")*'Q3 Data'!$F$4:$F$207)+SUMPRODUCT(('Q4 Data'!$D$4:$D$207=D106)*('Q4 Data'!$B$4:$B$207="Challan")*'Q4 Data'!$F$4:$F$207))</f>
      </c>
      <c r="AR106" s="34">
        <f>IF(OR($B106&lt;&gt;"Entry",Z106=""),FALSE,AND((SUMPRODUCT(('Q1 Data'!$D$4:$D$207=D106)*('Q1 Data'!$B$4:$B$207="Challan")*('Q1 Data'!$H$4:$H$207&lt;&gt;""))+SUMPRODUCT(('Q2 Data'!$D$4:$D$207=D106)*('Q2 Data'!$B$4:$B$207="Challan")*('Q2 Data'!$H$4:$H$207&lt;&gt;""))+SUMPRODUCT(('Q3 Data'!$D$4:$D$207=D106)*('Q3 Data'!$B$4:$B$207="Challan")*('Q3 Data'!$H$4:$H$207&lt;&gt;""))+SUMPRODUCT(('Q4 Data'!$D$4:$D$207=D106)*('Q4 Data'!$B$4:$B$207="Challan")*('Q4 Data'!$H$4:$H$207&lt;&gt;"")))&gt;0,(SUMPRODUCT(('Q1 Data'!$D$4:$D$207=D106)*('Q1 Data'!$B$4:$B$207="Challan")*('Q1 Data'!$H$4:$H$207=Z106))+SUMPRODUCT(('Q2 Data'!$D$4:$D$207=D106)*('Q2 Data'!$B$4:$B$207="Challan")*('Q2 Data'!$H$4:$H$207=Z106))+SUMPRODUCT(('Q3 Data'!$D$4:$D$207=D106)*('Q3 Data'!$B$4:$B$207="Challan")*('Q3 Data'!$H$4:$H$207=Z106))+SUMPRODUCT(('Q4 Data'!$D$4:$D$207=D106)*('Q4 Data'!$B$4:$B$207="Challan")*('Q4 Data'!$H$4:$H$207=Z106)))=0))</f>
      </c>
    </row>
    <row r="107" spans="1:44" x14ac:dyDescent="0.25">
      <c r="A107" s="20">
        <f>IF($B107="Entry",COUNTIF($B$4:$B107,"Entry"),"")</f>
      </c>
      <c r="B107" s="21"/>
      <c r="C107" s="22"/>
      <c r="D107" s="22"/>
      <c r="E107" s="23">
        <f>IF($B107&lt;&gt;"Challan","",IF(ROUND(AN107-AO107,2)&gt;0,"Over-applied",IF(ROUND(AN107-AO107,2)=0,"Fully Utilised","Unconsumed")))</f>
      </c>
      <c r="F107" s="24"/>
      <c r="G107" s="25"/>
      <c r="H107" s="25"/>
      <c r="I107" s="26"/>
      <c r="J107" s="26"/>
      <c r="K107" s="26"/>
      <c r="L107" s="26"/>
      <c r="M107" s="26"/>
      <c r="N107" s="26"/>
      <c r="O107" s="26"/>
      <c r="P107" s="27">
        <f>IF($B107&lt;&gt;"Challan","",I107+J107+K107+L107+M107+N107)</f>
      </c>
      <c r="Q107" s="25"/>
      <c r="R107" s="25"/>
      <c r="S107" s="25"/>
      <c r="T107" s="25"/>
      <c r="U107" s="25"/>
      <c r="V107" s="28"/>
      <c r="W107" s="28"/>
      <c r="X107" s="23">
        <f>IF($B107="Entry",IF(AND(LEN(TRIM(UPPER(W107)))=10,CODE(MID(TRIM(UPPER(W107)),1,1))&gt;=65,CODE(MID(TRIM(UPPER(W107)),1,1))&lt;=90,CODE(MID(TRIM(UPPER(W107)),2,1))&gt;=65,CODE(MID(TRIM(UPPER(W107)),2,1))&lt;=90,CODE(MID(TRIM(UPPER(W107)),3,1))&gt;=65,CODE(MID(TRIM(UPPER(W107)),3,1))&lt;=90,CODE(MID(TRIM(UPPER(W107)),4,1))&gt;=65,CODE(MID(TRIM(UPPER(W107)),4,1))&lt;=90,CODE(MID(TRIM(UPPER(W107)),5,1))&gt;=65,CODE(MID(TRIM(UPPER(W107)),5,1))&lt;=90,CODE(MID(TRIM(UPPER(W107)),10,1))&gt;=65,CODE(MID(TRIM(UPPER(W107)),10,1))&lt;=90,CODE(MID(TRIM(UPPER(W107)),6,1))&gt;=48,CODE(MID(TRIM(UPPER(W107)),6,1))&lt;=57,CODE(MID(TRIM(UPPER(W107)),7,1))&gt;=48,CODE(MID(TRIM(UPPER(W107)),7,1))&lt;=57,CODE(MID(TRIM(UPPER(W107)),8,1))&gt;=48,CODE(MID(TRIM(UPPER(W107)),8,1))&lt;=57,CODE(MID(TRIM(UPPER(W107)),9,1))&gt;=48,CODE(MID(TRIM(UPPER(W107)),9,1))&lt;=57),"N","Y"),IF($B107="Challan","",IF(W107&lt;&gt;"","◄ Set Row Type","")))</f>
      </c>
      <c r="Y107" s="23">
        <f>IF($B107="Entry",IF(LEN(W107)&lt;4,"",IF(UPPER(MID(W107,4,1))="P","Individual",IF(UPPER(MID(W107,4,1))="H","HUF",IF(UPPER(MID(W107,4,1))="C","Company",IF(UPPER(MID(W107,4,1))="F","Firm",IF(UPPER(MID(W107,4,1))="L","LLP",IF(UPPER(MID(W107,4,1))="T","Trust",IF(UPPER(MID(W107,4,1))="A","AOP","")))))))),IF($B107="Challan","",IF(W107&lt;&gt;"","◄ Set Row Type","")))</f>
      </c>
      <c r="Z107" s="28"/>
      <c r="AA107" s="29">
        <f>IF($B107&lt;&gt;"Entry","",IF(Z107="","",IF(X107="Y",SUMPRODUCT(('Rate Lookup'!$A$1:$A$37=Z107)*'Rate Lookup'!$D$1:$D$37),IF(OR(Y107="Individual",Y107="HUF"),SUMPRODUCT(('Rate Lookup'!$A$1:$A$37=Z107)*'Rate Lookup'!$B$1:$B$37),SUMPRODUCT(('Rate Lookup'!$A$1:$A$37=Z107)*'Rate Lookup'!$C$1:$C$37)))))</f>
      </c>
      <c r="AB107" s="30"/>
      <c r="AC107" s="31"/>
      <c r="AD107" s="27">
        <f>IF($B107&lt;&gt;"Entry","",ROUND(AC107*AA107/100,0))</f>
      </c>
      <c r="AE107" s="27">
        <f>IF($B107&lt;&gt;"Entry","",0)</f>
      </c>
      <c r="AF107" s="27">
        <f>IF($B107&lt;&gt;"Entry","",0)</f>
      </c>
      <c r="AG107" s="27">
        <f>IF($B107&lt;&gt;"Entry","",IF(OR(AD107=0,AB107="",AQ107="",AQ107&lt;=0),0,IF(AQ107&lt;=DATE(YEAR(AB107),MONTH(AB107)+1,7),0,ROUND(AD107*0.015*((YEAR(AQ107)-YEAR(AB107))*12+(MONTH(AQ107)-MONTH(AB107))+1),0))))</f>
      </c>
      <c r="AH107" s="27">
        <f>IF($B107&lt;&gt;"Entry","",0)</f>
      </c>
      <c r="AI107" s="28"/>
      <c r="AJ107" s="28"/>
      <c r="AK107" s="32"/>
      <c r="AL107" s="28"/>
      <c r="AM107" s="28"/>
      <c r="AN107" s="27">
        <f>IF($B107&lt;&gt;"Challan","",SUMIF('Q1 Data'!$D$4:$D$207,D107,'Q1 Data'!$AD$4:$AD$207)+SUMIF('Q1 Data'!$D$4:$D$207,D107,'Q1 Data'!$AG$4:$AG$207)+SUMIF('Q1 Data'!$D$4:$D$207,D107,'Q1 Data'!$AE$4:$AE$207)+SUMIF('Q2 Data'!$D$4:$D$207,D107,'Q2 Data'!$AD$4:$AD$207)+SUMIF('Q2 Data'!$D$4:$D$207,D107,'Q2 Data'!$AG$4:$AG$207)+SUMIF('Q2 Data'!$D$4:$D$207,D107,'Q2 Data'!$AE$4:$AE$207)+SUMIF('Q3 Data'!$D$4:$D$207,D107,'Q3 Data'!$AD$4:$AD$207)+SUMIF('Q3 Data'!$D$4:$D$207,D107,'Q3 Data'!$AG$4:$AG$207)+SUMIF('Q3 Data'!$D$4:$D$207,D107,'Q3 Data'!$AE$4:$AE$207)+SUMIF('Q4 Data'!$D$4:$D$207,D107,'Q4 Data'!$AD$4:$AD$207)+SUMIF('Q4 Data'!$D$4:$D$207,D107,'Q4 Data'!$AG$4:$AG$207)+SUMIF('Q4 Data'!$D$4:$D$207,D107,'Q4 Data'!$AE$4:$AE$207))</f>
      </c>
      <c r="AO107" s="27">
        <f>IF($B107&lt;&gt;"Challan","",P107-N107)</f>
      </c>
      <c r="AP107" s="27">
        <f>IF($B107&lt;&gt;"Challan","",MAX(0,AO107-AN107))</f>
      </c>
      <c r="AQ107" s="33">
        <f>IF($B107&lt;&gt;"Entry","",SUMPRODUCT(('Q1 Data'!$D$4:$D$207=D107)*('Q1 Data'!$B$4:$B$207="Challan")*'Q1 Data'!$F$4:$F$207)+SUMPRODUCT(('Q2 Data'!$D$4:$D$207=D107)*('Q2 Data'!$B$4:$B$207="Challan")*'Q2 Data'!$F$4:$F$207)+SUMPRODUCT(('Q3 Data'!$D$4:$D$207=D107)*('Q3 Data'!$B$4:$B$207="Challan")*'Q3 Data'!$F$4:$F$207)+SUMPRODUCT(('Q4 Data'!$D$4:$D$207=D107)*('Q4 Data'!$B$4:$B$207="Challan")*'Q4 Data'!$F$4:$F$207))</f>
      </c>
      <c r="AR107" s="34">
        <f>IF(OR($B107&lt;&gt;"Entry",Z107=""),FALSE,AND((SUMPRODUCT(('Q1 Data'!$D$4:$D$207=D107)*('Q1 Data'!$B$4:$B$207="Challan")*('Q1 Data'!$H$4:$H$207&lt;&gt;""))+SUMPRODUCT(('Q2 Data'!$D$4:$D$207=D107)*('Q2 Data'!$B$4:$B$207="Challan")*('Q2 Data'!$H$4:$H$207&lt;&gt;""))+SUMPRODUCT(('Q3 Data'!$D$4:$D$207=D107)*('Q3 Data'!$B$4:$B$207="Challan")*('Q3 Data'!$H$4:$H$207&lt;&gt;""))+SUMPRODUCT(('Q4 Data'!$D$4:$D$207=D107)*('Q4 Data'!$B$4:$B$207="Challan")*('Q4 Data'!$H$4:$H$207&lt;&gt;"")))&gt;0,(SUMPRODUCT(('Q1 Data'!$D$4:$D$207=D107)*('Q1 Data'!$B$4:$B$207="Challan")*('Q1 Data'!$H$4:$H$207=Z107))+SUMPRODUCT(('Q2 Data'!$D$4:$D$207=D107)*('Q2 Data'!$B$4:$B$207="Challan")*('Q2 Data'!$H$4:$H$207=Z107))+SUMPRODUCT(('Q3 Data'!$D$4:$D$207=D107)*('Q3 Data'!$B$4:$B$207="Challan")*('Q3 Data'!$H$4:$H$207=Z107))+SUMPRODUCT(('Q4 Data'!$D$4:$D$207=D107)*('Q4 Data'!$B$4:$B$207="Challan")*('Q4 Data'!$H$4:$H$207=Z107)))=0))</f>
      </c>
    </row>
    <row r="108" spans="1:44" x14ac:dyDescent="0.25">
      <c r="A108" s="20">
        <f>IF($B108="Entry",COUNTIF($B$4:$B108,"Entry"),"")</f>
      </c>
      <c r="B108" s="21"/>
      <c r="C108" s="22"/>
      <c r="D108" s="22"/>
      <c r="E108" s="23">
        <f>IF($B108&lt;&gt;"Challan","",IF(ROUND(AN108-AO108,2)&gt;0,"Over-applied",IF(ROUND(AN108-AO108,2)=0,"Fully Utilised","Unconsumed")))</f>
      </c>
      <c r="F108" s="24"/>
      <c r="G108" s="25"/>
      <c r="H108" s="25"/>
      <c r="I108" s="26"/>
      <c r="J108" s="26"/>
      <c r="K108" s="26"/>
      <c r="L108" s="26"/>
      <c r="M108" s="26"/>
      <c r="N108" s="26"/>
      <c r="O108" s="26"/>
      <c r="P108" s="27">
        <f>IF($B108&lt;&gt;"Challan","",I108+J108+K108+L108+M108+N108)</f>
      </c>
      <c r="Q108" s="25"/>
      <c r="R108" s="25"/>
      <c r="S108" s="25"/>
      <c r="T108" s="25"/>
      <c r="U108" s="25"/>
      <c r="V108" s="28"/>
      <c r="W108" s="28"/>
      <c r="X108" s="23">
        <f>IF($B108="Entry",IF(AND(LEN(TRIM(UPPER(W108)))=10,CODE(MID(TRIM(UPPER(W108)),1,1))&gt;=65,CODE(MID(TRIM(UPPER(W108)),1,1))&lt;=90,CODE(MID(TRIM(UPPER(W108)),2,1))&gt;=65,CODE(MID(TRIM(UPPER(W108)),2,1))&lt;=90,CODE(MID(TRIM(UPPER(W108)),3,1))&gt;=65,CODE(MID(TRIM(UPPER(W108)),3,1))&lt;=90,CODE(MID(TRIM(UPPER(W108)),4,1))&gt;=65,CODE(MID(TRIM(UPPER(W108)),4,1))&lt;=90,CODE(MID(TRIM(UPPER(W108)),5,1))&gt;=65,CODE(MID(TRIM(UPPER(W108)),5,1))&lt;=90,CODE(MID(TRIM(UPPER(W108)),10,1))&gt;=65,CODE(MID(TRIM(UPPER(W108)),10,1))&lt;=90,CODE(MID(TRIM(UPPER(W108)),6,1))&gt;=48,CODE(MID(TRIM(UPPER(W108)),6,1))&lt;=57,CODE(MID(TRIM(UPPER(W108)),7,1))&gt;=48,CODE(MID(TRIM(UPPER(W108)),7,1))&lt;=57,CODE(MID(TRIM(UPPER(W108)),8,1))&gt;=48,CODE(MID(TRIM(UPPER(W108)),8,1))&lt;=57,CODE(MID(TRIM(UPPER(W108)),9,1))&gt;=48,CODE(MID(TRIM(UPPER(W108)),9,1))&lt;=57),"N","Y"),IF($B108="Challan","",IF(W108&lt;&gt;"","◄ Set Row Type","")))</f>
      </c>
      <c r="Y108" s="23">
        <f>IF($B108="Entry",IF(LEN(W108)&lt;4,"",IF(UPPER(MID(W108,4,1))="P","Individual",IF(UPPER(MID(W108,4,1))="H","HUF",IF(UPPER(MID(W108,4,1))="C","Company",IF(UPPER(MID(W108,4,1))="F","Firm",IF(UPPER(MID(W108,4,1))="L","LLP",IF(UPPER(MID(W108,4,1))="T","Trust",IF(UPPER(MID(W108,4,1))="A","AOP","")))))))),IF($B108="Challan","",IF(W108&lt;&gt;"","◄ Set Row Type","")))</f>
      </c>
      <c r="Z108" s="28"/>
      <c r="AA108" s="29">
        <f>IF($B108&lt;&gt;"Entry","",IF(Z108="","",IF(X108="Y",SUMPRODUCT(('Rate Lookup'!$A$1:$A$37=Z108)*'Rate Lookup'!$D$1:$D$37),IF(OR(Y108="Individual",Y108="HUF"),SUMPRODUCT(('Rate Lookup'!$A$1:$A$37=Z108)*'Rate Lookup'!$B$1:$B$37),SUMPRODUCT(('Rate Lookup'!$A$1:$A$37=Z108)*'Rate Lookup'!$C$1:$C$37)))))</f>
      </c>
      <c r="AB108" s="30"/>
      <c r="AC108" s="31"/>
      <c r="AD108" s="27">
        <f>IF($B108&lt;&gt;"Entry","",ROUND(AC108*AA108/100,0))</f>
      </c>
      <c r="AE108" s="27">
        <f>IF($B108&lt;&gt;"Entry","",0)</f>
      </c>
      <c r="AF108" s="27">
        <f>IF($B108&lt;&gt;"Entry","",0)</f>
      </c>
      <c r="AG108" s="27">
        <f>IF($B108&lt;&gt;"Entry","",IF(OR(AD108=0,AB108="",AQ108="",AQ108&lt;=0),0,IF(AQ108&lt;=DATE(YEAR(AB108),MONTH(AB108)+1,7),0,ROUND(AD108*0.015*((YEAR(AQ108)-YEAR(AB108))*12+(MONTH(AQ108)-MONTH(AB108))+1),0))))</f>
      </c>
      <c r="AH108" s="27">
        <f>IF($B108&lt;&gt;"Entry","",0)</f>
      </c>
      <c r="AI108" s="28"/>
      <c r="AJ108" s="28"/>
      <c r="AK108" s="32"/>
      <c r="AL108" s="28"/>
      <c r="AM108" s="28"/>
      <c r="AN108" s="27">
        <f>IF($B108&lt;&gt;"Challan","",SUMIF('Q1 Data'!$D$4:$D$207,D108,'Q1 Data'!$AD$4:$AD$207)+SUMIF('Q1 Data'!$D$4:$D$207,D108,'Q1 Data'!$AG$4:$AG$207)+SUMIF('Q1 Data'!$D$4:$D$207,D108,'Q1 Data'!$AE$4:$AE$207)+SUMIF('Q2 Data'!$D$4:$D$207,D108,'Q2 Data'!$AD$4:$AD$207)+SUMIF('Q2 Data'!$D$4:$D$207,D108,'Q2 Data'!$AG$4:$AG$207)+SUMIF('Q2 Data'!$D$4:$D$207,D108,'Q2 Data'!$AE$4:$AE$207)+SUMIF('Q3 Data'!$D$4:$D$207,D108,'Q3 Data'!$AD$4:$AD$207)+SUMIF('Q3 Data'!$D$4:$D$207,D108,'Q3 Data'!$AG$4:$AG$207)+SUMIF('Q3 Data'!$D$4:$D$207,D108,'Q3 Data'!$AE$4:$AE$207)+SUMIF('Q4 Data'!$D$4:$D$207,D108,'Q4 Data'!$AD$4:$AD$207)+SUMIF('Q4 Data'!$D$4:$D$207,D108,'Q4 Data'!$AG$4:$AG$207)+SUMIF('Q4 Data'!$D$4:$D$207,D108,'Q4 Data'!$AE$4:$AE$207))</f>
      </c>
      <c r="AO108" s="27">
        <f>IF($B108&lt;&gt;"Challan","",P108-N108)</f>
      </c>
      <c r="AP108" s="27">
        <f>IF($B108&lt;&gt;"Challan","",MAX(0,AO108-AN108))</f>
      </c>
      <c r="AQ108" s="33">
        <f>IF($B108&lt;&gt;"Entry","",SUMPRODUCT(('Q1 Data'!$D$4:$D$207=D108)*('Q1 Data'!$B$4:$B$207="Challan")*'Q1 Data'!$F$4:$F$207)+SUMPRODUCT(('Q2 Data'!$D$4:$D$207=D108)*('Q2 Data'!$B$4:$B$207="Challan")*'Q2 Data'!$F$4:$F$207)+SUMPRODUCT(('Q3 Data'!$D$4:$D$207=D108)*('Q3 Data'!$B$4:$B$207="Challan")*'Q3 Data'!$F$4:$F$207)+SUMPRODUCT(('Q4 Data'!$D$4:$D$207=D108)*('Q4 Data'!$B$4:$B$207="Challan")*'Q4 Data'!$F$4:$F$207))</f>
      </c>
      <c r="AR108" s="34">
        <f>IF(OR($B108&lt;&gt;"Entry",Z108=""),FALSE,AND((SUMPRODUCT(('Q1 Data'!$D$4:$D$207=D108)*('Q1 Data'!$B$4:$B$207="Challan")*('Q1 Data'!$H$4:$H$207&lt;&gt;""))+SUMPRODUCT(('Q2 Data'!$D$4:$D$207=D108)*('Q2 Data'!$B$4:$B$207="Challan")*('Q2 Data'!$H$4:$H$207&lt;&gt;""))+SUMPRODUCT(('Q3 Data'!$D$4:$D$207=D108)*('Q3 Data'!$B$4:$B$207="Challan")*('Q3 Data'!$H$4:$H$207&lt;&gt;""))+SUMPRODUCT(('Q4 Data'!$D$4:$D$207=D108)*('Q4 Data'!$B$4:$B$207="Challan")*('Q4 Data'!$H$4:$H$207&lt;&gt;"")))&gt;0,(SUMPRODUCT(('Q1 Data'!$D$4:$D$207=D108)*('Q1 Data'!$B$4:$B$207="Challan")*('Q1 Data'!$H$4:$H$207=Z108))+SUMPRODUCT(('Q2 Data'!$D$4:$D$207=D108)*('Q2 Data'!$B$4:$B$207="Challan")*('Q2 Data'!$H$4:$H$207=Z108))+SUMPRODUCT(('Q3 Data'!$D$4:$D$207=D108)*('Q3 Data'!$B$4:$B$207="Challan")*('Q3 Data'!$H$4:$H$207=Z108))+SUMPRODUCT(('Q4 Data'!$D$4:$D$207=D108)*('Q4 Data'!$B$4:$B$207="Challan")*('Q4 Data'!$H$4:$H$207=Z108)))=0))</f>
      </c>
    </row>
    <row r="109" spans="1:44" x14ac:dyDescent="0.25">
      <c r="A109" s="20">
        <f>IF($B109="Entry",COUNTIF($B$4:$B109,"Entry"),"")</f>
      </c>
      <c r="B109" s="21"/>
      <c r="C109" s="22"/>
      <c r="D109" s="22"/>
      <c r="E109" s="23">
        <f>IF($B109&lt;&gt;"Challan","",IF(ROUND(AN109-AO109,2)&gt;0,"Over-applied",IF(ROUND(AN109-AO109,2)=0,"Fully Utilised","Unconsumed")))</f>
      </c>
      <c r="F109" s="24"/>
      <c r="G109" s="25"/>
      <c r="H109" s="25"/>
      <c r="I109" s="26"/>
      <c r="J109" s="26"/>
      <c r="K109" s="26"/>
      <c r="L109" s="26"/>
      <c r="M109" s="26"/>
      <c r="N109" s="26"/>
      <c r="O109" s="26"/>
      <c r="P109" s="27">
        <f>IF($B109&lt;&gt;"Challan","",I109+J109+K109+L109+M109+N109)</f>
      </c>
      <c r="Q109" s="25"/>
      <c r="R109" s="25"/>
      <c r="S109" s="25"/>
      <c r="T109" s="25"/>
      <c r="U109" s="25"/>
      <c r="V109" s="28"/>
      <c r="W109" s="28"/>
      <c r="X109" s="23">
        <f>IF($B109="Entry",IF(AND(LEN(TRIM(UPPER(W109)))=10,CODE(MID(TRIM(UPPER(W109)),1,1))&gt;=65,CODE(MID(TRIM(UPPER(W109)),1,1))&lt;=90,CODE(MID(TRIM(UPPER(W109)),2,1))&gt;=65,CODE(MID(TRIM(UPPER(W109)),2,1))&lt;=90,CODE(MID(TRIM(UPPER(W109)),3,1))&gt;=65,CODE(MID(TRIM(UPPER(W109)),3,1))&lt;=90,CODE(MID(TRIM(UPPER(W109)),4,1))&gt;=65,CODE(MID(TRIM(UPPER(W109)),4,1))&lt;=90,CODE(MID(TRIM(UPPER(W109)),5,1))&gt;=65,CODE(MID(TRIM(UPPER(W109)),5,1))&lt;=90,CODE(MID(TRIM(UPPER(W109)),10,1))&gt;=65,CODE(MID(TRIM(UPPER(W109)),10,1))&lt;=90,CODE(MID(TRIM(UPPER(W109)),6,1))&gt;=48,CODE(MID(TRIM(UPPER(W109)),6,1))&lt;=57,CODE(MID(TRIM(UPPER(W109)),7,1))&gt;=48,CODE(MID(TRIM(UPPER(W109)),7,1))&lt;=57,CODE(MID(TRIM(UPPER(W109)),8,1))&gt;=48,CODE(MID(TRIM(UPPER(W109)),8,1))&lt;=57,CODE(MID(TRIM(UPPER(W109)),9,1))&gt;=48,CODE(MID(TRIM(UPPER(W109)),9,1))&lt;=57),"N","Y"),IF($B109="Challan","",IF(W109&lt;&gt;"","◄ Set Row Type","")))</f>
      </c>
      <c r="Y109" s="23">
        <f>IF($B109="Entry",IF(LEN(W109)&lt;4,"",IF(UPPER(MID(W109,4,1))="P","Individual",IF(UPPER(MID(W109,4,1))="H","HUF",IF(UPPER(MID(W109,4,1))="C","Company",IF(UPPER(MID(W109,4,1))="F","Firm",IF(UPPER(MID(W109,4,1))="L","LLP",IF(UPPER(MID(W109,4,1))="T","Trust",IF(UPPER(MID(W109,4,1))="A","AOP","")))))))),IF($B109="Challan","",IF(W109&lt;&gt;"","◄ Set Row Type","")))</f>
      </c>
      <c r="Z109" s="28"/>
      <c r="AA109" s="29">
        <f>IF($B109&lt;&gt;"Entry","",IF(Z109="","",IF(X109="Y",SUMPRODUCT(('Rate Lookup'!$A$1:$A$37=Z109)*'Rate Lookup'!$D$1:$D$37),IF(OR(Y109="Individual",Y109="HUF"),SUMPRODUCT(('Rate Lookup'!$A$1:$A$37=Z109)*'Rate Lookup'!$B$1:$B$37),SUMPRODUCT(('Rate Lookup'!$A$1:$A$37=Z109)*'Rate Lookup'!$C$1:$C$37)))))</f>
      </c>
      <c r="AB109" s="30"/>
      <c r="AC109" s="31"/>
      <c r="AD109" s="27">
        <f>IF($B109&lt;&gt;"Entry","",ROUND(AC109*AA109/100,0))</f>
      </c>
      <c r="AE109" s="27">
        <f>IF($B109&lt;&gt;"Entry","",0)</f>
      </c>
      <c r="AF109" s="27">
        <f>IF($B109&lt;&gt;"Entry","",0)</f>
      </c>
      <c r="AG109" s="27">
        <f>IF($B109&lt;&gt;"Entry","",IF(OR(AD109=0,AB109="",AQ109="",AQ109&lt;=0),0,IF(AQ109&lt;=DATE(YEAR(AB109),MONTH(AB109)+1,7),0,ROUND(AD109*0.015*((YEAR(AQ109)-YEAR(AB109))*12+(MONTH(AQ109)-MONTH(AB109))+1),0))))</f>
      </c>
      <c r="AH109" s="27">
        <f>IF($B109&lt;&gt;"Entry","",0)</f>
      </c>
      <c r="AI109" s="28"/>
      <c r="AJ109" s="28"/>
      <c r="AK109" s="32"/>
      <c r="AL109" s="28"/>
      <c r="AM109" s="28"/>
      <c r="AN109" s="27">
        <f>IF($B109&lt;&gt;"Challan","",SUMIF('Q1 Data'!$D$4:$D$207,D109,'Q1 Data'!$AD$4:$AD$207)+SUMIF('Q1 Data'!$D$4:$D$207,D109,'Q1 Data'!$AG$4:$AG$207)+SUMIF('Q1 Data'!$D$4:$D$207,D109,'Q1 Data'!$AE$4:$AE$207)+SUMIF('Q2 Data'!$D$4:$D$207,D109,'Q2 Data'!$AD$4:$AD$207)+SUMIF('Q2 Data'!$D$4:$D$207,D109,'Q2 Data'!$AG$4:$AG$207)+SUMIF('Q2 Data'!$D$4:$D$207,D109,'Q2 Data'!$AE$4:$AE$207)+SUMIF('Q3 Data'!$D$4:$D$207,D109,'Q3 Data'!$AD$4:$AD$207)+SUMIF('Q3 Data'!$D$4:$D$207,D109,'Q3 Data'!$AG$4:$AG$207)+SUMIF('Q3 Data'!$D$4:$D$207,D109,'Q3 Data'!$AE$4:$AE$207)+SUMIF('Q4 Data'!$D$4:$D$207,D109,'Q4 Data'!$AD$4:$AD$207)+SUMIF('Q4 Data'!$D$4:$D$207,D109,'Q4 Data'!$AG$4:$AG$207)+SUMIF('Q4 Data'!$D$4:$D$207,D109,'Q4 Data'!$AE$4:$AE$207))</f>
      </c>
      <c r="AO109" s="27">
        <f>IF($B109&lt;&gt;"Challan","",P109-N109)</f>
      </c>
      <c r="AP109" s="27">
        <f>IF($B109&lt;&gt;"Challan","",MAX(0,AO109-AN109))</f>
      </c>
      <c r="AQ109" s="33">
        <f>IF($B109&lt;&gt;"Entry","",SUMPRODUCT(('Q1 Data'!$D$4:$D$207=D109)*('Q1 Data'!$B$4:$B$207="Challan")*'Q1 Data'!$F$4:$F$207)+SUMPRODUCT(('Q2 Data'!$D$4:$D$207=D109)*('Q2 Data'!$B$4:$B$207="Challan")*'Q2 Data'!$F$4:$F$207)+SUMPRODUCT(('Q3 Data'!$D$4:$D$207=D109)*('Q3 Data'!$B$4:$B$207="Challan")*'Q3 Data'!$F$4:$F$207)+SUMPRODUCT(('Q4 Data'!$D$4:$D$207=D109)*('Q4 Data'!$B$4:$B$207="Challan")*'Q4 Data'!$F$4:$F$207))</f>
      </c>
      <c r="AR109" s="34">
        <f>IF(OR($B109&lt;&gt;"Entry",Z109=""),FALSE,AND((SUMPRODUCT(('Q1 Data'!$D$4:$D$207=D109)*('Q1 Data'!$B$4:$B$207="Challan")*('Q1 Data'!$H$4:$H$207&lt;&gt;""))+SUMPRODUCT(('Q2 Data'!$D$4:$D$207=D109)*('Q2 Data'!$B$4:$B$207="Challan")*('Q2 Data'!$H$4:$H$207&lt;&gt;""))+SUMPRODUCT(('Q3 Data'!$D$4:$D$207=D109)*('Q3 Data'!$B$4:$B$207="Challan")*('Q3 Data'!$H$4:$H$207&lt;&gt;""))+SUMPRODUCT(('Q4 Data'!$D$4:$D$207=D109)*('Q4 Data'!$B$4:$B$207="Challan")*('Q4 Data'!$H$4:$H$207&lt;&gt;"")))&gt;0,(SUMPRODUCT(('Q1 Data'!$D$4:$D$207=D109)*('Q1 Data'!$B$4:$B$207="Challan")*('Q1 Data'!$H$4:$H$207=Z109))+SUMPRODUCT(('Q2 Data'!$D$4:$D$207=D109)*('Q2 Data'!$B$4:$B$207="Challan")*('Q2 Data'!$H$4:$H$207=Z109))+SUMPRODUCT(('Q3 Data'!$D$4:$D$207=D109)*('Q3 Data'!$B$4:$B$207="Challan")*('Q3 Data'!$H$4:$H$207=Z109))+SUMPRODUCT(('Q4 Data'!$D$4:$D$207=D109)*('Q4 Data'!$B$4:$B$207="Challan")*('Q4 Data'!$H$4:$H$207=Z109)))=0))</f>
      </c>
    </row>
    <row r="110" spans="1:44" x14ac:dyDescent="0.25">
      <c r="A110" s="20">
        <f>IF($B110="Entry",COUNTIF($B$4:$B110,"Entry"),"")</f>
      </c>
      <c r="B110" s="21"/>
      <c r="C110" s="22"/>
      <c r="D110" s="22"/>
      <c r="E110" s="23">
        <f>IF($B110&lt;&gt;"Challan","",IF(ROUND(AN110-AO110,2)&gt;0,"Over-applied",IF(ROUND(AN110-AO110,2)=0,"Fully Utilised","Unconsumed")))</f>
      </c>
      <c r="F110" s="24"/>
      <c r="G110" s="25"/>
      <c r="H110" s="25"/>
      <c r="I110" s="26"/>
      <c r="J110" s="26"/>
      <c r="K110" s="26"/>
      <c r="L110" s="26"/>
      <c r="M110" s="26"/>
      <c r="N110" s="26"/>
      <c r="O110" s="26"/>
      <c r="P110" s="27">
        <f>IF($B110&lt;&gt;"Challan","",I110+J110+K110+L110+M110+N110)</f>
      </c>
      <c r="Q110" s="25"/>
      <c r="R110" s="25"/>
      <c r="S110" s="25"/>
      <c r="T110" s="25"/>
      <c r="U110" s="25"/>
      <c r="V110" s="28"/>
      <c r="W110" s="28"/>
      <c r="X110" s="23">
        <f>IF($B110="Entry",IF(AND(LEN(TRIM(UPPER(W110)))=10,CODE(MID(TRIM(UPPER(W110)),1,1))&gt;=65,CODE(MID(TRIM(UPPER(W110)),1,1))&lt;=90,CODE(MID(TRIM(UPPER(W110)),2,1))&gt;=65,CODE(MID(TRIM(UPPER(W110)),2,1))&lt;=90,CODE(MID(TRIM(UPPER(W110)),3,1))&gt;=65,CODE(MID(TRIM(UPPER(W110)),3,1))&lt;=90,CODE(MID(TRIM(UPPER(W110)),4,1))&gt;=65,CODE(MID(TRIM(UPPER(W110)),4,1))&lt;=90,CODE(MID(TRIM(UPPER(W110)),5,1))&gt;=65,CODE(MID(TRIM(UPPER(W110)),5,1))&lt;=90,CODE(MID(TRIM(UPPER(W110)),10,1))&gt;=65,CODE(MID(TRIM(UPPER(W110)),10,1))&lt;=90,CODE(MID(TRIM(UPPER(W110)),6,1))&gt;=48,CODE(MID(TRIM(UPPER(W110)),6,1))&lt;=57,CODE(MID(TRIM(UPPER(W110)),7,1))&gt;=48,CODE(MID(TRIM(UPPER(W110)),7,1))&lt;=57,CODE(MID(TRIM(UPPER(W110)),8,1))&gt;=48,CODE(MID(TRIM(UPPER(W110)),8,1))&lt;=57,CODE(MID(TRIM(UPPER(W110)),9,1))&gt;=48,CODE(MID(TRIM(UPPER(W110)),9,1))&lt;=57),"N","Y"),IF($B110="Challan","",IF(W110&lt;&gt;"","◄ Set Row Type","")))</f>
      </c>
      <c r="Y110" s="23">
        <f>IF($B110="Entry",IF(LEN(W110)&lt;4,"",IF(UPPER(MID(W110,4,1))="P","Individual",IF(UPPER(MID(W110,4,1))="H","HUF",IF(UPPER(MID(W110,4,1))="C","Company",IF(UPPER(MID(W110,4,1))="F","Firm",IF(UPPER(MID(W110,4,1))="L","LLP",IF(UPPER(MID(W110,4,1))="T","Trust",IF(UPPER(MID(W110,4,1))="A","AOP","")))))))),IF($B110="Challan","",IF(W110&lt;&gt;"","◄ Set Row Type","")))</f>
      </c>
      <c r="Z110" s="28"/>
      <c r="AA110" s="29">
        <f>IF($B110&lt;&gt;"Entry","",IF(Z110="","",IF(X110="Y",SUMPRODUCT(('Rate Lookup'!$A$1:$A$37=Z110)*'Rate Lookup'!$D$1:$D$37),IF(OR(Y110="Individual",Y110="HUF"),SUMPRODUCT(('Rate Lookup'!$A$1:$A$37=Z110)*'Rate Lookup'!$B$1:$B$37),SUMPRODUCT(('Rate Lookup'!$A$1:$A$37=Z110)*'Rate Lookup'!$C$1:$C$37)))))</f>
      </c>
      <c r="AB110" s="30"/>
      <c r="AC110" s="31"/>
      <c r="AD110" s="27">
        <f>IF($B110&lt;&gt;"Entry","",ROUND(AC110*AA110/100,0))</f>
      </c>
      <c r="AE110" s="27">
        <f>IF($B110&lt;&gt;"Entry","",0)</f>
      </c>
      <c r="AF110" s="27">
        <f>IF($B110&lt;&gt;"Entry","",0)</f>
      </c>
      <c r="AG110" s="27">
        <f>IF($B110&lt;&gt;"Entry","",IF(OR(AD110=0,AB110="",AQ110="",AQ110&lt;=0),0,IF(AQ110&lt;=DATE(YEAR(AB110),MONTH(AB110)+1,7),0,ROUND(AD110*0.015*((YEAR(AQ110)-YEAR(AB110))*12+(MONTH(AQ110)-MONTH(AB110))+1),0))))</f>
      </c>
      <c r="AH110" s="27">
        <f>IF($B110&lt;&gt;"Entry","",0)</f>
      </c>
      <c r="AI110" s="28"/>
      <c r="AJ110" s="28"/>
      <c r="AK110" s="32"/>
      <c r="AL110" s="28"/>
      <c r="AM110" s="28"/>
      <c r="AN110" s="27">
        <f>IF($B110&lt;&gt;"Challan","",SUMIF('Q1 Data'!$D$4:$D$207,D110,'Q1 Data'!$AD$4:$AD$207)+SUMIF('Q1 Data'!$D$4:$D$207,D110,'Q1 Data'!$AG$4:$AG$207)+SUMIF('Q1 Data'!$D$4:$D$207,D110,'Q1 Data'!$AE$4:$AE$207)+SUMIF('Q2 Data'!$D$4:$D$207,D110,'Q2 Data'!$AD$4:$AD$207)+SUMIF('Q2 Data'!$D$4:$D$207,D110,'Q2 Data'!$AG$4:$AG$207)+SUMIF('Q2 Data'!$D$4:$D$207,D110,'Q2 Data'!$AE$4:$AE$207)+SUMIF('Q3 Data'!$D$4:$D$207,D110,'Q3 Data'!$AD$4:$AD$207)+SUMIF('Q3 Data'!$D$4:$D$207,D110,'Q3 Data'!$AG$4:$AG$207)+SUMIF('Q3 Data'!$D$4:$D$207,D110,'Q3 Data'!$AE$4:$AE$207)+SUMIF('Q4 Data'!$D$4:$D$207,D110,'Q4 Data'!$AD$4:$AD$207)+SUMIF('Q4 Data'!$D$4:$D$207,D110,'Q4 Data'!$AG$4:$AG$207)+SUMIF('Q4 Data'!$D$4:$D$207,D110,'Q4 Data'!$AE$4:$AE$207))</f>
      </c>
      <c r="AO110" s="27">
        <f>IF($B110&lt;&gt;"Challan","",P110-N110)</f>
      </c>
      <c r="AP110" s="27">
        <f>IF($B110&lt;&gt;"Challan","",MAX(0,AO110-AN110))</f>
      </c>
      <c r="AQ110" s="33">
        <f>IF($B110&lt;&gt;"Entry","",SUMPRODUCT(('Q1 Data'!$D$4:$D$207=D110)*('Q1 Data'!$B$4:$B$207="Challan")*'Q1 Data'!$F$4:$F$207)+SUMPRODUCT(('Q2 Data'!$D$4:$D$207=D110)*('Q2 Data'!$B$4:$B$207="Challan")*'Q2 Data'!$F$4:$F$207)+SUMPRODUCT(('Q3 Data'!$D$4:$D$207=D110)*('Q3 Data'!$B$4:$B$207="Challan")*'Q3 Data'!$F$4:$F$207)+SUMPRODUCT(('Q4 Data'!$D$4:$D$207=D110)*('Q4 Data'!$B$4:$B$207="Challan")*'Q4 Data'!$F$4:$F$207))</f>
      </c>
      <c r="AR110" s="34">
        <f>IF(OR($B110&lt;&gt;"Entry",Z110=""),FALSE,AND((SUMPRODUCT(('Q1 Data'!$D$4:$D$207=D110)*('Q1 Data'!$B$4:$B$207="Challan")*('Q1 Data'!$H$4:$H$207&lt;&gt;""))+SUMPRODUCT(('Q2 Data'!$D$4:$D$207=D110)*('Q2 Data'!$B$4:$B$207="Challan")*('Q2 Data'!$H$4:$H$207&lt;&gt;""))+SUMPRODUCT(('Q3 Data'!$D$4:$D$207=D110)*('Q3 Data'!$B$4:$B$207="Challan")*('Q3 Data'!$H$4:$H$207&lt;&gt;""))+SUMPRODUCT(('Q4 Data'!$D$4:$D$207=D110)*('Q4 Data'!$B$4:$B$207="Challan")*('Q4 Data'!$H$4:$H$207&lt;&gt;"")))&gt;0,(SUMPRODUCT(('Q1 Data'!$D$4:$D$207=D110)*('Q1 Data'!$B$4:$B$207="Challan")*('Q1 Data'!$H$4:$H$207=Z110))+SUMPRODUCT(('Q2 Data'!$D$4:$D$207=D110)*('Q2 Data'!$B$4:$B$207="Challan")*('Q2 Data'!$H$4:$H$207=Z110))+SUMPRODUCT(('Q3 Data'!$D$4:$D$207=D110)*('Q3 Data'!$B$4:$B$207="Challan")*('Q3 Data'!$H$4:$H$207=Z110))+SUMPRODUCT(('Q4 Data'!$D$4:$D$207=D110)*('Q4 Data'!$B$4:$B$207="Challan")*('Q4 Data'!$H$4:$H$207=Z110)))=0))</f>
      </c>
    </row>
    <row r="111" spans="1:44" x14ac:dyDescent="0.25">
      <c r="A111" s="20">
        <f>IF($B111="Entry",COUNTIF($B$4:$B111,"Entry"),"")</f>
      </c>
      <c r="B111" s="21"/>
      <c r="C111" s="22"/>
      <c r="D111" s="22"/>
      <c r="E111" s="23">
        <f>IF($B111&lt;&gt;"Challan","",IF(ROUND(AN111-AO111,2)&gt;0,"Over-applied",IF(ROUND(AN111-AO111,2)=0,"Fully Utilised","Unconsumed")))</f>
      </c>
      <c r="F111" s="24"/>
      <c r="G111" s="25"/>
      <c r="H111" s="25"/>
      <c r="I111" s="26"/>
      <c r="J111" s="26"/>
      <c r="K111" s="26"/>
      <c r="L111" s="26"/>
      <c r="M111" s="26"/>
      <c r="N111" s="26"/>
      <c r="O111" s="26"/>
      <c r="P111" s="27">
        <f>IF($B111&lt;&gt;"Challan","",I111+J111+K111+L111+M111+N111)</f>
      </c>
      <c r="Q111" s="25"/>
      <c r="R111" s="25"/>
      <c r="S111" s="25"/>
      <c r="T111" s="25"/>
      <c r="U111" s="25"/>
      <c r="V111" s="28"/>
      <c r="W111" s="28"/>
      <c r="X111" s="23">
        <f>IF($B111="Entry",IF(AND(LEN(TRIM(UPPER(W111)))=10,CODE(MID(TRIM(UPPER(W111)),1,1))&gt;=65,CODE(MID(TRIM(UPPER(W111)),1,1))&lt;=90,CODE(MID(TRIM(UPPER(W111)),2,1))&gt;=65,CODE(MID(TRIM(UPPER(W111)),2,1))&lt;=90,CODE(MID(TRIM(UPPER(W111)),3,1))&gt;=65,CODE(MID(TRIM(UPPER(W111)),3,1))&lt;=90,CODE(MID(TRIM(UPPER(W111)),4,1))&gt;=65,CODE(MID(TRIM(UPPER(W111)),4,1))&lt;=90,CODE(MID(TRIM(UPPER(W111)),5,1))&gt;=65,CODE(MID(TRIM(UPPER(W111)),5,1))&lt;=90,CODE(MID(TRIM(UPPER(W111)),10,1))&gt;=65,CODE(MID(TRIM(UPPER(W111)),10,1))&lt;=90,CODE(MID(TRIM(UPPER(W111)),6,1))&gt;=48,CODE(MID(TRIM(UPPER(W111)),6,1))&lt;=57,CODE(MID(TRIM(UPPER(W111)),7,1))&gt;=48,CODE(MID(TRIM(UPPER(W111)),7,1))&lt;=57,CODE(MID(TRIM(UPPER(W111)),8,1))&gt;=48,CODE(MID(TRIM(UPPER(W111)),8,1))&lt;=57,CODE(MID(TRIM(UPPER(W111)),9,1))&gt;=48,CODE(MID(TRIM(UPPER(W111)),9,1))&lt;=57),"N","Y"),IF($B111="Challan","",IF(W111&lt;&gt;"","◄ Set Row Type","")))</f>
      </c>
      <c r="Y111" s="23">
        <f>IF($B111="Entry",IF(LEN(W111)&lt;4,"",IF(UPPER(MID(W111,4,1))="P","Individual",IF(UPPER(MID(W111,4,1))="H","HUF",IF(UPPER(MID(W111,4,1))="C","Company",IF(UPPER(MID(W111,4,1))="F","Firm",IF(UPPER(MID(W111,4,1))="L","LLP",IF(UPPER(MID(W111,4,1))="T","Trust",IF(UPPER(MID(W111,4,1))="A","AOP","")))))))),IF($B111="Challan","",IF(W111&lt;&gt;"","◄ Set Row Type","")))</f>
      </c>
      <c r="Z111" s="28"/>
      <c r="AA111" s="29">
        <f>IF($B111&lt;&gt;"Entry","",IF(Z111="","",IF(X111="Y",SUMPRODUCT(('Rate Lookup'!$A$1:$A$37=Z111)*'Rate Lookup'!$D$1:$D$37),IF(OR(Y111="Individual",Y111="HUF"),SUMPRODUCT(('Rate Lookup'!$A$1:$A$37=Z111)*'Rate Lookup'!$B$1:$B$37),SUMPRODUCT(('Rate Lookup'!$A$1:$A$37=Z111)*'Rate Lookup'!$C$1:$C$37)))))</f>
      </c>
      <c r="AB111" s="30"/>
      <c r="AC111" s="31"/>
      <c r="AD111" s="27">
        <f>IF($B111&lt;&gt;"Entry","",ROUND(AC111*AA111/100,0))</f>
      </c>
      <c r="AE111" s="27">
        <f>IF($B111&lt;&gt;"Entry","",0)</f>
      </c>
      <c r="AF111" s="27">
        <f>IF($B111&lt;&gt;"Entry","",0)</f>
      </c>
      <c r="AG111" s="27">
        <f>IF($B111&lt;&gt;"Entry","",IF(OR(AD111=0,AB111="",AQ111="",AQ111&lt;=0),0,IF(AQ111&lt;=DATE(YEAR(AB111),MONTH(AB111)+1,7),0,ROUND(AD111*0.015*((YEAR(AQ111)-YEAR(AB111))*12+(MONTH(AQ111)-MONTH(AB111))+1),0))))</f>
      </c>
      <c r="AH111" s="27">
        <f>IF($B111&lt;&gt;"Entry","",0)</f>
      </c>
      <c r="AI111" s="28"/>
      <c r="AJ111" s="28"/>
      <c r="AK111" s="32"/>
      <c r="AL111" s="28"/>
      <c r="AM111" s="28"/>
      <c r="AN111" s="27">
        <f>IF($B111&lt;&gt;"Challan","",SUMIF('Q1 Data'!$D$4:$D$207,D111,'Q1 Data'!$AD$4:$AD$207)+SUMIF('Q1 Data'!$D$4:$D$207,D111,'Q1 Data'!$AG$4:$AG$207)+SUMIF('Q1 Data'!$D$4:$D$207,D111,'Q1 Data'!$AE$4:$AE$207)+SUMIF('Q2 Data'!$D$4:$D$207,D111,'Q2 Data'!$AD$4:$AD$207)+SUMIF('Q2 Data'!$D$4:$D$207,D111,'Q2 Data'!$AG$4:$AG$207)+SUMIF('Q2 Data'!$D$4:$D$207,D111,'Q2 Data'!$AE$4:$AE$207)+SUMIF('Q3 Data'!$D$4:$D$207,D111,'Q3 Data'!$AD$4:$AD$207)+SUMIF('Q3 Data'!$D$4:$D$207,D111,'Q3 Data'!$AG$4:$AG$207)+SUMIF('Q3 Data'!$D$4:$D$207,D111,'Q3 Data'!$AE$4:$AE$207)+SUMIF('Q4 Data'!$D$4:$D$207,D111,'Q4 Data'!$AD$4:$AD$207)+SUMIF('Q4 Data'!$D$4:$D$207,D111,'Q4 Data'!$AG$4:$AG$207)+SUMIF('Q4 Data'!$D$4:$D$207,D111,'Q4 Data'!$AE$4:$AE$207))</f>
      </c>
      <c r="AO111" s="27">
        <f>IF($B111&lt;&gt;"Challan","",P111-N111)</f>
      </c>
      <c r="AP111" s="27">
        <f>IF($B111&lt;&gt;"Challan","",MAX(0,AO111-AN111))</f>
      </c>
      <c r="AQ111" s="33">
        <f>IF($B111&lt;&gt;"Entry","",SUMPRODUCT(('Q1 Data'!$D$4:$D$207=D111)*('Q1 Data'!$B$4:$B$207="Challan")*'Q1 Data'!$F$4:$F$207)+SUMPRODUCT(('Q2 Data'!$D$4:$D$207=D111)*('Q2 Data'!$B$4:$B$207="Challan")*'Q2 Data'!$F$4:$F$207)+SUMPRODUCT(('Q3 Data'!$D$4:$D$207=D111)*('Q3 Data'!$B$4:$B$207="Challan")*'Q3 Data'!$F$4:$F$207)+SUMPRODUCT(('Q4 Data'!$D$4:$D$207=D111)*('Q4 Data'!$B$4:$B$207="Challan")*'Q4 Data'!$F$4:$F$207))</f>
      </c>
      <c r="AR111" s="34">
        <f>IF(OR($B111&lt;&gt;"Entry",Z111=""),FALSE,AND((SUMPRODUCT(('Q1 Data'!$D$4:$D$207=D111)*('Q1 Data'!$B$4:$B$207="Challan")*('Q1 Data'!$H$4:$H$207&lt;&gt;""))+SUMPRODUCT(('Q2 Data'!$D$4:$D$207=D111)*('Q2 Data'!$B$4:$B$207="Challan")*('Q2 Data'!$H$4:$H$207&lt;&gt;""))+SUMPRODUCT(('Q3 Data'!$D$4:$D$207=D111)*('Q3 Data'!$B$4:$B$207="Challan")*('Q3 Data'!$H$4:$H$207&lt;&gt;""))+SUMPRODUCT(('Q4 Data'!$D$4:$D$207=D111)*('Q4 Data'!$B$4:$B$207="Challan")*('Q4 Data'!$H$4:$H$207&lt;&gt;"")))&gt;0,(SUMPRODUCT(('Q1 Data'!$D$4:$D$207=D111)*('Q1 Data'!$B$4:$B$207="Challan")*('Q1 Data'!$H$4:$H$207=Z111))+SUMPRODUCT(('Q2 Data'!$D$4:$D$207=D111)*('Q2 Data'!$B$4:$B$207="Challan")*('Q2 Data'!$H$4:$H$207=Z111))+SUMPRODUCT(('Q3 Data'!$D$4:$D$207=D111)*('Q3 Data'!$B$4:$B$207="Challan")*('Q3 Data'!$H$4:$H$207=Z111))+SUMPRODUCT(('Q4 Data'!$D$4:$D$207=D111)*('Q4 Data'!$B$4:$B$207="Challan")*('Q4 Data'!$H$4:$H$207=Z111)))=0))</f>
      </c>
    </row>
    <row r="112" spans="1:44" x14ac:dyDescent="0.25">
      <c r="A112" s="20">
        <f>IF($B112="Entry",COUNTIF($B$4:$B112,"Entry"),"")</f>
      </c>
      <c r="B112" s="21"/>
      <c r="C112" s="22"/>
      <c r="D112" s="22"/>
      <c r="E112" s="23">
        <f>IF($B112&lt;&gt;"Challan","",IF(ROUND(AN112-AO112,2)&gt;0,"Over-applied",IF(ROUND(AN112-AO112,2)=0,"Fully Utilised","Unconsumed")))</f>
      </c>
      <c r="F112" s="24"/>
      <c r="G112" s="25"/>
      <c r="H112" s="25"/>
      <c r="I112" s="26"/>
      <c r="J112" s="26"/>
      <c r="K112" s="26"/>
      <c r="L112" s="26"/>
      <c r="M112" s="26"/>
      <c r="N112" s="26"/>
      <c r="O112" s="26"/>
      <c r="P112" s="27">
        <f>IF($B112&lt;&gt;"Challan","",I112+J112+K112+L112+M112+N112)</f>
      </c>
      <c r="Q112" s="25"/>
      <c r="R112" s="25"/>
      <c r="S112" s="25"/>
      <c r="T112" s="25"/>
      <c r="U112" s="25"/>
      <c r="V112" s="28"/>
      <c r="W112" s="28"/>
      <c r="X112" s="23">
        <f>IF($B112="Entry",IF(AND(LEN(TRIM(UPPER(W112)))=10,CODE(MID(TRIM(UPPER(W112)),1,1))&gt;=65,CODE(MID(TRIM(UPPER(W112)),1,1))&lt;=90,CODE(MID(TRIM(UPPER(W112)),2,1))&gt;=65,CODE(MID(TRIM(UPPER(W112)),2,1))&lt;=90,CODE(MID(TRIM(UPPER(W112)),3,1))&gt;=65,CODE(MID(TRIM(UPPER(W112)),3,1))&lt;=90,CODE(MID(TRIM(UPPER(W112)),4,1))&gt;=65,CODE(MID(TRIM(UPPER(W112)),4,1))&lt;=90,CODE(MID(TRIM(UPPER(W112)),5,1))&gt;=65,CODE(MID(TRIM(UPPER(W112)),5,1))&lt;=90,CODE(MID(TRIM(UPPER(W112)),10,1))&gt;=65,CODE(MID(TRIM(UPPER(W112)),10,1))&lt;=90,CODE(MID(TRIM(UPPER(W112)),6,1))&gt;=48,CODE(MID(TRIM(UPPER(W112)),6,1))&lt;=57,CODE(MID(TRIM(UPPER(W112)),7,1))&gt;=48,CODE(MID(TRIM(UPPER(W112)),7,1))&lt;=57,CODE(MID(TRIM(UPPER(W112)),8,1))&gt;=48,CODE(MID(TRIM(UPPER(W112)),8,1))&lt;=57,CODE(MID(TRIM(UPPER(W112)),9,1))&gt;=48,CODE(MID(TRIM(UPPER(W112)),9,1))&lt;=57),"N","Y"),IF($B112="Challan","",IF(W112&lt;&gt;"","◄ Set Row Type","")))</f>
      </c>
      <c r="Y112" s="23">
        <f>IF($B112="Entry",IF(LEN(W112)&lt;4,"",IF(UPPER(MID(W112,4,1))="P","Individual",IF(UPPER(MID(W112,4,1))="H","HUF",IF(UPPER(MID(W112,4,1))="C","Company",IF(UPPER(MID(W112,4,1))="F","Firm",IF(UPPER(MID(W112,4,1))="L","LLP",IF(UPPER(MID(W112,4,1))="T","Trust",IF(UPPER(MID(W112,4,1))="A","AOP","")))))))),IF($B112="Challan","",IF(W112&lt;&gt;"","◄ Set Row Type","")))</f>
      </c>
      <c r="Z112" s="28"/>
      <c r="AA112" s="29">
        <f>IF($B112&lt;&gt;"Entry","",IF(Z112="","",IF(X112="Y",SUMPRODUCT(('Rate Lookup'!$A$1:$A$37=Z112)*'Rate Lookup'!$D$1:$D$37),IF(OR(Y112="Individual",Y112="HUF"),SUMPRODUCT(('Rate Lookup'!$A$1:$A$37=Z112)*'Rate Lookup'!$B$1:$B$37),SUMPRODUCT(('Rate Lookup'!$A$1:$A$37=Z112)*'Rate Lookup'!$C$1:$C$37)))))</f>
      </c>
      <c r="AB112" s="30"/>
      <c r="AC112" s="31"/>
      <c r="AD112" s="27">
        <f>IF($B112&lt;&gt;"Entry","",ROUND(AC112*AA112/100,0))</f>
      </c>
      <c r="AE112" s="27">
        <f>IF($B112&lt;&gt;"Entry","",0)</f>
      </c>
      <c r="AF112" s="27">
        <f>IF($B112&lt;&gt;"Entry","",0)</f>
      </c>
      <c r="AG112" s="27">
        <f>IF($B112&lt;&gt;"Entry","",IF(OR(AD112=0,AB112="",AQ112="",AQ112&lt;=0),0,IF(AQ112&lt;=DATE(YEAR(AB112),MONTH(AB112)+1,7),0,ROUND(AD112*0.015*((YEAR(AQ112)-YEAR(AB112))*12+(MONTH(AQ112)-MONTH(AB112))+1),0))))</f>
      </c>
      <c r="AH112" s="27">
        <f>IF($B112&lt;&gt;"Entry","",0)</f>
      </c>
      <c r="AI112" s="28"/>
      <c r="AJ112" s="28"/>
      <c r="AK112" s="32"/>
      <c r="AL112" s="28"/>
      <c r="AM112" s="28"/>
      <c r="AN112" s="27">
        <f>IF($B112&lt;&gt;"Challan","",SUMIF('Q1 Data'!$D$4:$D$207,D112,'Q1 Data'!$AD$4:$AD$207)+SUMIF('Q1 Data'!$D$4:$D$207,D112,'Q1 Data'!$AG$4:$AG$207)+SUMIF('Q1 Data'!$D$4:$D$207,D112,'Q1 Data'!$AE$4:$AE$207)+SUMIF('Q2 Data'!$D$4:$D$207,D112,'Q2 Data'!$AD$4:$AD$207)+SUMIF('Q2 Data'!$D$4:$D$207,D112,'Q2 Data'!$AG$4:$AG$207)+SUMIF('Q2 Data'!$D$4:$D$207,D112,'Q2 Data'!$AE$4:$AE$207)+SUMIF('Q3 Data'!$D$4:$D$207,D112,'Q3 Data'!$AD$4:$AD$207)+SUMIF('Q3 Data'!$D$4:$D$207,D112,'Q3 Data'!$AG$4:$AG$207)+SUMIF('Q3 Data'!$D$4:$D$207,D112,'Q3 Data'!$AE$4:$AE$207)+SUMIF('Q4 Data'!$D$4:$D$207,D112,'Q4 Data'!$AD$4:$AD$207)+SUMIF('Q4 Data'!$D$4:$D$207,D112,'Q4 Data'!$AG$4:$AG$207)+SUMIF('Q4 Data'!$D$4:$D$207,D112,'Q4 Data'!$AE$4:$AE$207))</f>
      </c>
      <c r="AO112" s="27">
        <f>IF($B112&lt;&gt;"Challan","",P112-N112)</f>
      </c>
      <c r="AP112" s="27">
        <f>IF($B112&lt;&gt;"Challan","",MAX(0,AO112-AN112))</f>
      </c>
      <c r="AQ112" s="33">
        <f>IF($B112&lt;&gt;"Entry","",SUMPRODUCT(('Q1 Data'!$D$4:$D$207=D112)*('Q1 Data'!$B$4:$B$207="Challan")*'Q1 Data'!$F$4:$F$207)+SUMPRODUCT(('Q2 Data'!$D$4:$D$207=D112)*('Q2 Data'!$B$4:$B$207="Challan")*'Q2 Data'!$F$4:$F$207)+SUMPRODUCT(('Q3 Data'!$D$4:$D$207=D112)*('Q3 Data'!$B$4:$B$207="Challan")*'Q3 Data'!$F$4:$F$207)+SUMPRODUCT(('Q4 Data'!$D$4:$D$207=D112)*('Q4 Data'!$B$4:$B$207="Challan")*'Q4 Data'!$F$4:$F$207))</f>
      </c>
      <c r="AR112" s="34">
        <f>IF(OR($B112&lt;&gt;"Entry",Z112=""),FALSE,AND((SUMPRODUCT(('Q1 Data'!$D$4:$D$207=D112)*('Q1 Data'!$B$4:$B$207="Challan")*('Q1 Data'!$H$4:$H$207&lt;&gt;""))+SUMPRODUCT(('Q2 Data'!$D$4:$D$207=D112)*('Q2 Data'!$B$4:$B$207="Challan")*('Q2 Data'!$H$4:$H$207&lt;&gt;""))+SUMPRODUCT(('Q3 Data'!$D$4:$D$207=D112)*('Q3 Data'!$B$4:$B$207="Challan")*('Q3 Data'!$H$4:$H$207&lt;&gt;""))+SUMPRODUCT(('Q4 Data'!$D$4:$D$207=D112)*('Q4 Data'!$B$4:$B$207="Challan")*('Q4 Data'!$H$4:$H$207&lt;&gt;"")))&gt;0,(SUMPRODUCT(('Q1 Data'!$D$4:$D$207=D112)*('Q1 Data'!$B$4:$B$207="Challan")*('Q1 Data'!$H$4:$H$207=Z112))+SUMPRODUCT(('Q2 Data'!$D$4:$D$207=D112)*('Q2 Data'!$B$4:$B$207="Challan")*('Q2 Data'!$H$4:$H$207=Z112))+SUMPRODUCT(('Q3 Data'!$D$4:$D$207=D112)*('Q3 Data'!$B$4:$B$207="Challan")*('Q3 Data'!$H$4:$H$207=Z112))+SUMPRODUCT(('Q4 Data'!$D$4:$D$207=D112)*('Q4 Data'!$B$4:$B$207="Challan")*('Q4 Data'!$H$4:$H$207=Z112)))=0))</f>
      </c>
    </row>
    <row r="113" spans="1:44" x14ac:dyDescent="0.25">
      <c r="A113" s="20">
        <f>IF($B113="Entry",COUNTIF($B$4:$B113,"Entry"),"")</f>
      </c>
      <c r="B113" s="21"/>
      <c r="C113" s="22"/>
      <c r="D113" s="22"/>
      <c r="E113" s="23">
        <f>IF($B113&lt;&gt;"Challan","",IF(ROUND(AN113-AO113,2)&gt;0,"Over-applied",IF(ROUND(AN113-AO113,2)=0,"Fully Utilised","Unconsumed")))</f>
      </c>
      <c r="F113" s="24"/>
      <c r="G113" s="25"/>
      <c r="H113" s="25"/>
      <c r="I113" s="26"/>
      <c r="J113" s="26"/>
      <c r="K113" s="26"/>
      <c r="L113" s="26"/>
      <c r="M113" s="26"/>
      <c r="N113" s="26"/>
      <c r="O113" s="26"/>
      <c r="P113" s="27">
        <f>IF($B113&lt;&gt;"Challan","",I113+J113+K113+L113+M113+N113)</f>
      </c>
      <c r="Q113" s="25"/>
      <c r="R113" s="25"/>
      <c r="S113" s="25"/>
      <c r="T113" s="25"/>
      <c r="U113" s="25"/>
      <c r="V113" s="28"/>
      <c r="W113" s="28"/>
      <c r="X113" s="23">
        <f>IF($B113="Entry",IF(AND(LEN(TRIM(UPPER(W113)))=10,CODE(MID(TRIM(UPPER(W113)),1,1))&gt;=65,CODE(MID(TRIM(UPPER(W113)),1,1))&lt;=90,CODE(MID(TRIM(UPPER(W113)),2,1))&gt;=65,CODE(MID(TRIM(UPPER(W113)),2,1))&lt;=90,CODE(MID(TRIM(UPPER(W113)),3,1))&gt;=65,CODE(MID(TRIM(UPPER(W113)),3,1))&lt;=90,CODE(MID(TRIM(UPPER(W113)),4,1))&gt;=65,CODE(MID(TRIM(UPPER(W113)),4,1))&lt;=90,CODE(MID(TRIM(UPPER(W113)),5,1))&gt;=65,CODE(MID(TRIM(UPPER(W113)),5,1))&lt;=90,CODE(MID(TRIM(UPPER(W113)),10,1))&gt;=65,CODE(MID(TRIM(UPPER(W113)),10,1))&lt;=90,CODE(MID(TRIM(UPPER(W113)),6,1))&gt;=48,CODE(MID(TRIM(UPPER(W113)),6,1))&lt;=57,CODE(MID(TRIM(UPPER(W113)),7,1))&gt;=48,CODE(MID(TRIM(UPPER(W113)),7,1))&lt;=57,CODE(MID(TRIM(UPPER(W113)),8,1))&gt;=48,CODE(MID(TRIM(UPPER(W113)),8,1))&lt;=57,CODE(MID(TRIM(UPPER(W113)),9,1))&gt;=48,CODE(MID(TRIM(UPPER(W113)),9,1))&lt;=57),"N","Y"),IF($B113="Challan","",IF(W113&lt;&gt;"","◄ Set Row Type","")))</f>
      </c>
      <c r="Y113" s="23">
        <f>IF($B113="Entry",IF(LEN(W113)&lt;4,"",IF(UPPER(MID(W113,4,1))="P","Individual",IF(UPPER(MID(W113,4,1))="H","HUF",IF(UPPER(MID(W113,4,1))="C","Company",IF(UPPER(MID(W113,4,1))="F","Firm",IF(UPPER(MID(W113,4,1))="L","LLP",IF(UPPER(MID(W113,4,1))="T","Trust",IF(UPPER(MID(W113,4,1))="A","AOP","")))))))),IF($B113="Challan","",IF(W113&lt;&gt;"","◄ Set Row Type","")))</f>
      </c>
      <c r="Z113" s="28"/>
      <c r="AA113" s="29">
        <f>IF($B113&lt;&gt;"Entry","",IF(Z113="","",IF(X113="Y",SUMPRODUCT(('Rate Lookup'!$A$1:$A$37=Z113)*'Rate Lookup'!$D$1:$D$37),IF(OR(Y113="Individual",Y113="HUF"),SUMPRODUCT(('Rate Lookup'!$A$1:$A$37=Z113)*'Rate Lookup'!$B$1:$B$37),SUMPRODUCT(('Rate Lookup'!$A$1:$A$37=Z113)*'Rate Lookup'!$C$1:$C$37)))))</f>
      </c>
      <c r="AB113" s="30"/>
      <c r="AC113" s="31"/>
      <c r="AD113" s="27">
        <f>IF($B113&lt;&gt;"Entry","",ROUND(AC113*AA113/100,0))</f>
      </c>
      <c r="AE113" s="27">
        <f>IF($B113&lt;&gt;"Entry","",0)</f>
      </c>
      <c r="AF113" s="27">
        <f>IF($B113&lt;&gt;"Entry","",0)</f>
      </c>
      <c r="AG113" s="27">
        <f>IF($B113&lt;&gt;"Entry","",IF(OR(AD113=0,AB113="",AQ113="",AQ113&lt;=0),0,IF(AQ113&lt;=DATE(YEAR(AB113),MONTH(AB113)+1,7),0,ROUND(AD113*0.015*((YEAR(AQ113)-YEAR(AB113))*12+(MONTH(AQ113)-MONTH(AB113))+1),0))))</f>
      </c>
      <c r="AH113" s="27">
        <f>IF($B113&lt;&gt;"Entry","",0)</f>
      </c>
      <c r="AI113" s="28"/>
      <c r="AJ113" s="28"/>
      <c r="AK113" s="32"/>
      <c r="AL113" s="28"/>
      <c r="AM113" s="28"/>
      <c r="AN113" s="27">
        <f>IF($B113&lt;&gt;"Challan","",SUMIF('Q1 Data'!$D$4:$D$207,D113,'Q1 Data'!$AD$4:$AD$207)+SUMIF('Q1 Data'!$D$4:$D$207,D113,'Q1 Data'!$AG$4:$AG$207)+SUMIF('Q1 Data'!$D$4:$D$207,D113,'Q1 Data'!$AE$4:$AE$207)+SUMIF('Q2 Data'!$D$4:$D$207,D113,'Q2 Data'!$AD$4:$AD$207)+SUMIF('Q2 Data'!$D$4:$D$207,D113,'Q2 Data'!$AG$4:$AG$207)+SUMIF('Q2 Data'!$D$4:$D$207,D113,'Q2 Data'!$AE$4:$AE$207)+SUMIF('Q3 Data'!$D$4:$D$207,D113,'Q3 Data'!$AD$4:$AD$207)+SUMIF('Q3 Data'!$D$4:$D$207,D113,'Q3 Data'!$AG$4:$AG$207)+SUMIF('Q3 Data'!$D$4:$D$207,D113,'Q3 Data'!$AE$4:$AE$207)+SUMIF('Q4 Data'!$D$4:$D$207,D113,'Q4 Data'!$AD$4:$AD$207)+SUMIF('Q4 Data'!$D$4:$D$207,D113,'Q4 Data'!$AG$4:$AG$207)+SUMIF('Q4 Data'!$D$4:$D$207,D113,'Q4 Data'!$AE$4:$AE$207))</f>
      </c>
      <c r="AO113" s="27">
        <f>IF($B113&lt;&gt;"Challan","",P113-N113)</f>
      </c>
      <c r="AP113" s="27">
        <f>IF($B113&lt;&gt;"Challan","",MAX(0,AO113-AN113))</f>
      </c>
      <c r="AQ113" s="33">
        <f>IF($B113&lt;&gt;"Entry","",SUMPRODUCT(('Q1 Data'!$D$4:$D$207=D113)*('Q1 Data'!$B$4:$B$207="Challan")*'Q1 Data'!$F$4:$F$207)+SUMPRODUCT(('Q2 Data'!$D$4:$D$207=D113)*('Q2 Data'!$B$4:$B$207="Challan")*'Q2 Data'!$F$4:$F$207)+SUMPRODUCT(('Q3 Data'!$D$4:$D$207=D113)*('Q3 Data'!$B$4:$B$207="Challan")*'Q3 Data'!$F$4:$F$207)+SUMPRODUCT(('Q4 Data'!$D$4:$D$207=D113)*('Q4 Data'!$B$4:$B$207="Challan")*'Q4 Data'!$F$4:$F$207))</f>
      </c>
      <c r="AR113" s="34">
        <f>IF(OR($B113&lt;&gt;"Entry",Z113=""),FALSE,AND((SUMPRODUCT(('Q1 Data'!$D$4:$D$207=D113)*('Q1 Data'!$B$4:$B$207="Challan")*('Q1 Data'!$H$4:$H$207&lt;&gt;""))+SUMPRODUCT(('Q2 Data'!$D$4:$D$207=D113)*('Q2 Data'!$B$4:$B$207="Challan")*('Q2 Data'!$H$4:$H$207&lt;&gt;""))+SUMPRODUCT(('Q3 Data'!$D$4:$D$207=D113)*('Q3 Data'!$B$4:$B$207="Challan")*('Q3 Data'!$H$4:$H$207&lt;&gt;""))+SUMPRODUCT(('Q4 Data'!$D$4:$D$207=D113)*('Q4 Data'!$B$4:$B$207="Challan")*('Q4 Data'!$H$4:$H$207&lt;&gt;"")))&gt;0,(SUMPRODUCT(('Q1 Data'!$D$4:$D$207=D113)*('Q1 Data'!$B$4:$B$207="Challan")*('Q1 Data'!$H$4:$H$207=Z113))+SUMPRODUCT(('Q2 Data'!$D$4:$D$207=D113)*('Q2 Data'!$B$4:$B$207="Challan")*('Q2 Data'!$H$4:$H$207=Z113))+SUMPRODUCT(('Q3 Data'!$D$4:$D$207=D113)*('Q3 Data'!$B$4:$B$207="Challan")*('Q3 Data'!$H$4:$H$207=Z113))+SUMPRODUCT(('Q4 Data'!$D$4:$D$207=D113)*('Q4 Data'!$B$4:$B$207="Challan")*('Q4 Data'!$H$4:$H$207=Z113)))=0))</f>
      </c>
    </row>
    <row r="114" spans="1:44" x14ac:dyDescent="0.25">
      <c r="A114" s="20">
        <f>IF($B114="Entry",COUNTIF($B$4:$B114,"Entry"),"")</f>
      </c>
      <c r="B114" s="21"/>
      <c r="C114" s="22"/>
      <c r="D114" s="22"/>
      <c r="E114" s="23">
        <f>IF($B114&lt;&gt;"Challan","",IF(ROUND(AN114-AO114,2)&gt;0,"Over-applied",IF(ROUND(AN114-AO114,2)=0,"Fully Utilised","Unconsumed")))</f>
      </c>
      <c r="F114" s="24"/>
      <c r="G114" s="25"/>
      <c r="H114" s="25"/>
      <c r="I114" s="26"/>
      <c r="J114" s="26"/>
      <c r="K114" s="26"/>
      <c r="L114" s="26"/>
      <c r="M114" s="26"/>
      <c r="N114" s="26"/>
      <c r="O114" s="26"/>
      <c r="P114" s="27">
        <f>IF($B114&lt;&gt;"Challan","",I114+J114+K114+L114+M114+N114)</f>
      </c>
      <c r="Q114" s="25"/>
      <c r="R114" s="25"/>
      <c r="S114" s="25"/>
      <c r="T114" s="25"/>
      <c r="U114" s="25"/>
      <c r="V114" s="28"/>
      <c r="W114" s="28"/>
      <c r="X114" s="23">
        <f>IF($B114="Entry",IF(AND(LEN(TRIM(UPPER(W114)))=10,CODE(MID(TRIM(UPPER(W114)),1,1))&gt;=65,CODE(MID(TRIM(UPPER(W114)),1,1))&lt;=90,CODE(MID(TRIM(UPPER(W114)),2,1))&gt;=65,CODE(MID(TRIM(UPPER(W114)),2,1))&lt;=90,CODE(MID(TRIM(UPPER(W114)),3,1))&gt;=65,CODE(MID(TRIM(UPPER(W114)),3,1))&lt;=90,CODE(MID(TRIM(UPPER(W114)),4,1))&gt;=65,CODE(MID(TRIM(UPPER(W114)),4,1))&lt;=90,CODE(MID(TRIM(UPPER(W114)),5,1))&gt;=65,CODE(MID(TRIM(UPPER(W114)),5,1))&lt;=90,CODE(MID(TRIM(UPPER(W114)),10,1))&gt;=65,CODE(MID(TRIM(UPPER(W114)),10,1))&lt;=90,CODE(MID(TRIM(UPPER(W114)),6,1))&gt;=48,CODE(MID(TRIM(UPPER(W114)),6,1))&lt;=57,CODE(MID(TRIM(UPPER(W114)),7,1))&gt;=48,CODE(MID(TRIM(UPPER(W114)),7,1))&lt;=57,CODE(MID(TRIM(UPPER(W114)),8,1))&gt;=48,CODE(MID(TRIM(UPPER(W114)),8,1))&lt;=57,CODE(MID(TRIM(UPPER(W114)),9,1))&gt;=48,CODE(MID(TRIM(UPPER(W114)),9,1))&lt;=57),"N","Y"),IF($B114="Challan","",IF(W114&lt;&gt;"","◄ Set Row Type","")))</f>
      </c>
      <c r="Y114" s="23">
        <f>IF($B114="Entry",IF(LEN(W114)&lt;4,"",IF(UPPER(MID(W114,4,1))="P","Individual",IF(UPPER(MID(W114,4,1))="H","HUF",IF(UPPER(MID(W114,4,1))="C","Company",IF(UPPER(MID(W114,4,1))="F","Firm",IF(UPPER(MID(W114,4,1))="L","LLP",IF(UPPER(MID(W114,4,1))="T","Trust",IF(UPPER(MID(W114,4,1))="A","AOP","")))))))),IF($B114="Challan","",IF(W114&lt;&gt;"","◄ Set Row Type","")))</f>
      </c>
      <c r="Z114" s="28"/>
      <c r="AA114" s="29">
        <f>IF($B114&lt;&gt;"Entry","",IF(Z114="","",IF(X114="Y",SUMPRODUCT(('Rate Lookup'!$A$1:$A$37=Z114)*'Rate Lookup'!$D$1:$D$37),IF(OR(Y114="Individual",Y114="HUF"),SUMPRODUCT(('Rate Lookup'!$A$1:$A$37=Z114)*'Rate Lookup'!$B$1:$B$37),SUMPRODUCT(('Rate Lookup'!$A$1:$A$37=Z114)*'Rate Lookup'!$C$1:$C$37)))))</f>
      </c>
      <c r="AB114" s="30"/>
      <c r="AC114" s="31"/>
      <c r="AD114" s="27">
        <f>IF($B114&lt;&gt;"Entry","",ROUND(AC114*AA114/100,0))</f>
      </c>
      <c r="AE114" s="27">
        <f>IF($B114&lt;&gt;"Entry","",0)</f>
      </c>
      <c r="AF114" s="27">
        <f>IF($B114&lt;&gt;"Entry","",0)</f>
      </c>
      <c r="AG114" s="27">
        <f>IF($B114&lt;&gt;"Entry","",IF(OR(AD114=0,AB114="",AQ114="",AQ114&lt;=0),0,IF(AQ114&lt;=DATE(YEAR(AB114),MONTH(AB114)+1,7),0,ROUND(AD114*0.015*((YEAR(AQ114)-YEAR(AB114))*12+(MONTH(AQ114)-MONTH(AB114))+1),0))))</f>
      </c>
      <c r="AH114" s="27">
        <f>IF($B114&lt;&gt;"Entry","",0)</f>
      </c>
      <c r="AI114" s="28"/>
      <c r="AJ114" s="28"/>
      <c r="AK114" s="32"/>
      <c r="AL114" s="28"/>
      <c r="AM114" s="28"/>
      <c r="AN114" s="27">
        <f>IF($B114&lt;&gt;"Challan","",SUMIF('Q1 Data'!$D$4:$D$207,D114,'Q1 Data'!$AD$4:$AD$207)+SUMIF('Q1 Data'!$D$4:$D$207,D114,'Q1 Data'!$AG$4:$AG$207)+SUMIF('Q1 Data'!$D$4:$D$207,D114,'Q1 Data'!$AE$4:$AE$207)+SUMIF('Q2 Data'!$D$4:$D$207,D114,'Q2 Data'!$AD$4:$AD$207)+SUMIF('Q2 Data'!$D$4:$D$207,D114,'Q2 Data'!$AG$4:$AG$207)+SUMIF('Q2 Data'!$D$4:$D$207,D114,'Q2 Data'!$AE$4:$AE$207)+SUMIF('Q3 Data'!$D$4:$D$207,D114,'Q3 Data'!$AD$4:$AD$207)+SUMIF('Q3 Data'!$D$4:$D$207,D114,'Q3 Data'!$AG$4:$AG$207)+SUMIF('Q3 Data'!$D$4:$D$207,D114,'Q3 Data'!$AE$4:$AE$207)+SUMIF('Q4 Data'!$D$4:$D$207,D114,'Q4 Data'!$AD$4:$AD$207)+SUMIF('Q4 Data'!$D$4:$D$207,D114,'Q4 Data'!$AG$4:$AG$207)+SUMIF('Q4 Data'!$D$4:$D$207,D114,'Q4 Data'!$AE$4:$AE$207))</f>
      </c>
      <c r="AO114" s="27">
        <f>IF($B114&lt;&gt;"Challan","",P114-N114)</f>
      </c>
      <c r="AP114" s="27">
        <f>IF($B114&lt;&gt;"Challan","",MAX(0,AO114-AN114))</f>
      </c>
      <c r="AQ114" s="33">
        <f>IF($B114&lt;&gt;"Entry","",SUMPRODUCT(('Q1 Data'!$D$4:$D$207=D114)*('Q1 Data'!$B$4:$B$207="Challan")*'Q1 Data'!$F$4:$F$207)+SUMPRODUCT(('Q2 Data'!$D$4:$D$207=D114)*('Q2 Data'!$B$4:$B$207="Challan")*'Q2 Data'!$F$4:$F$207)+SUMPRODUCT(('Q3 Data'!$D$4:$D$207=D114)*('Q3 Data'!$B$4:$B$207="Challan")*'Q3 Data'!$F$4:$F$207)+SUMPRODUCT(('Q4 Data'!$D$4:$D$207=D114)*('Q4 Data'!$B$4:$B$207="Challan")*'Q4 Data'!$F$4:$F$207))</f>
      </c>
      <c r="AR114" s="34">
        <f>IF(OR($B114&lt;&gt;"Entry",Z114=""),FALSE,AND((SUMPRODUCT(('Q1 Data'!$D$4:$D$207=D114)*('Q1 Data'!$B$4:$B$207="Challan")*('Q1 Data'!$H$4:$H$207&lt;&gt;""))+SUMPRODUCT(('Q2 Data'!$D$4:$D$207=D114)*('Q2 Data'!$B$4:$B$207="Challan")*('Q2 Data'!$H$4:$H$207&lt;&gt;""))+SUMPRODUCT(('Q3 Data'!$D$4:$D$207=D114)*('Q3 Data'!$B$4:$B$207="Challan")*('Q3 Data'!$H$4:$H$207&lt;&gt;""))+SUMPRODUCT(('Q4 Data'!$D$4:$D$207=D114)*('Q4 Data'!$B$4:$B$207="Challan")*('Q4 Data'!$H$4:$H$207&lt;&gt;"")))&gt;0,(SUMPRODUCT(('Q1 Data'!$D$4:$D$207=D114)*('Q1 Data'!$B$4:$B$207="Challan")*('Q1 Data'!$H$4:$H$207=Z114))+SUMPRODUCT(('Q2 Data'!$D$4:$D$207=D114)*('Q2 Data'!$B$4:$B$207="Challan")*('Q2 Data'!$H$4:$H$207=Z114))+SUMPRODUCT(('Q3 Data'!$D$4:$D$207=D114)*('Q3 Data'!$B$4:$B$207="Challan")*('Q3 Data'!$H$4:$H$207=Z114))+SUMPRODUCT(('Q4 Data'!$D$4:$D$207=D114)*('Q4 Data'!$B$4:$B$207="Challan")*('Q4 Data'!$H$4:$H$207=Z114)))=0))</f>
      </c>
    </row>
    <row r="115" spans="1:44" x14ac:dyDescent="0.25">
      <c r="A115" s="20">
        <f>IF($B115="Entry",COUNTIF($B$4:$B115,"Entry"),"")</f>
      </c>
      <c r="B115" s="21"/>
      <c r="C115" s="22"/>
      <c r="D115" s="22"/>
      <c r="E115" s="23">
        <f>IF($B115&lt;&gt;"Challan","",IF(ROUND(AN115-AO115,2)&gt;0,"Over-applied",IF(ROUND(AN115-AO115,2)=0,"Fully Utilised","Unconsumed")))</f>
      </c>
      <c r="F115" s="24"/>
      <c r="G115" s="25"/>
      <c r="H115" s="25"/>
      <c r="I115" s="26"/>
      <c r="J115" s="26"/>
      <c r="K115" s="26"/>
      <c r="L115" s="26"/>
      <c r="M115" s="26"/>
      <c r="N115" s="26"/>
      <c r="O115" s="26"/>
      <c r="P115" s="27">
        <f>IF($B115&lt;&gt;"Challan","",I115+J115+K115+L115+M115+N115)</f>
      </c>
      <c r="Q115" s="25"/>
      <c r="R115" s="25"/>
      <c r="S115" s="25"/>
      <c r="T115" s="25"/>
      <c r="U115" s="25"/>
      <c r="V115" s="28"/>
      <c r="W115" s="28"/>
      <c r="X115" s="23">
        <f>IF($B115="Entry",IF(AND(LEN(TRIM(UPPER(W115)))=10,CODE(MID(TRIM(UPPER(W115)),1,1))&gt;=65,CODE(MID(TRIM(UPPER(W115)),1,1))&lt;=90,CODE(MID(TRIM(UPPER(W115)),2,1))&gt;=65,CODE(MID(TRIM(UPPER(W115)),2,1))&lt;=90,CODE(MID(TRIM(UPPER(W115)),3,1))&gt;=65,CODE(MID(TRIM(UPPER(W115)),3,1))&lt;=90,CODE(MID(TRIM(UPPER(W115)),4,1))&gt;=65,CODE(MID(TRIM(UPPER(W115)),4,1))&lt;=90,CODE(MID(TRIM(UPPER(W115)),5,1))&gt;=65,CODE(MID(TRIM(UPPER(W115)),5,1))&lt;=90,CODE(MID(TRIM(UPPER(W115)),10,1))&gt;=65,CODE(MID(TRIM(UPPER(W115)),10,1))&lt;=90,CODE(MID(TRIM(UPPER(W115)),6,1))&gt;=48,CODE(MID(TRIM(UPPER(W115)),6,1))&lt;=57,CODE(MID(TRIM(UPPER(W115)),7,1))&gt;=48,CODE(MID(TRIM(UPPER(W115)),7,1))&lt;=57,CODE(MID(TRIM(UPPER(W115)),8,1))&gt;=48,CODE(MID(TRIM(UPPER(W115)),8,1))&lt;=57,CODE(MID(TRIM(UPPER(W115)),9,1))&gt;=48,CODE(MID(TRIM(UPPER(W115)),9,1))&lt;=57),"N","Y"),IF($B115="Challan","",IF(W115&lt;&gt;"","◄ Set Row Type","")))</f>
      </c>
      <c r="Y115" s="23">
        <f>IF($B115="Entry",IF(LEN(W115)&lt;4,"",IF(UPPER(MID(W115,4,1))="P","Individual",IF(UPPER(MID(W115,4,1))="H","HUF",IF(UPPER(MID(W115,4,1))="C","Company",IF(UPPER(MID(W115,4,1))="F","Firm",IF(UPPER(MID(W115,4,1))="L","LLP",IF(UPPER(MID(W115,4,1))="T","Trust",IF(UPPER(MID(W115,4,1))="A","AOP","")))))))),IF($B115="Challan","",IF(W115&lt;&gt;"","◄ Set Row Type","")))</f>
      </c>
      <c r="Z115" s="28"/>
      <c r="AA115" s="29">
        <f>IF($B115&lt;&gt;"Entry","",IF(Z115="","",IF(X115="Y",SUMPRODUCT(('Rate Lookup'!$A$1:$A$37=Z115)*'Rate Lookup'!$D$1:$D$37),IF(OR(Y115="Individual",Y115="HUF"),SUMPRODUCT(('Rate Lookup'!$A$1:$A$37=Z115)*'Rate Lookup'!$B$1:$B$37),SUMPRODUCT(('Rate Lookup'!$A$1:$A$37=Z115)*'Rate Lookup'!$C$1:$C$37)))))</f>
      </c>
      <c r="AB115" s="30"/>
      <c r="AC115" s="31"/>
      <c r="AD115" s="27">
        <f>IF($B115&lt;&gt;"Entry","",ROUND(AC115*AA115/100,0))</f>
      </c>
      <c r="AE115" s="27">
        <f>IF($B115&lt;&gt;"Entry","",0)</f>
      </c>
      <c r="AF115" s="27">
        <f>IF($B115&lt;&gt;"Entry","",0)</f>
      </c>
      <c r="AG115" s="27">
        <f>IF($B115&lt;&gt;"Entry","",IF(OR(AD115=0,AB115="",AQ115="",AQ115&lt;=0),0,IF(AQ115&lt;=DATE(YEAR(AB115),MONTH(AB115)+1,7),0,ROUND(AD115*0.015*((YEAR(AQ115)-YEAR(AB115))*12+(MONTH(AQ115)-MONTH(AB115))+1),0))))</f>
      </c>
      <c r="AH115" s="27">
        <f>IF($B115&lt;&gt;"Entry","",0)</f>
      </c>
      <c r="AI115" s="28"/>
      <c r="AJ115" s="28"/>
      <c r="AK115" s="32"/>
      <c r="AL115" s="28"/>
      <c r="AM115" s="28"/>
      <c r="AN115" s="27">
        <f>IF($B115&lt;&gt;"Challan","",SUMIF('Q1 Data'!$D$4:$D$207,D115,'Q1 Data'!$AD$4:$AD$207)+SUMIF('Q1 Data'!$D$4:$D$207,D115,'Q1 Data'!$AG$4:$AG$207)+SUMIF('Q1 Data'!$D$4:$D$207,D115,'Q1 Data'!$AE$4:$AE$207)+SUMIF('Q2 Data'!$D$4:$D$207,D115,'Q2 Data'!$AD$4:$AD$207)+SUMIF('Q2 Data'!$D$4:$D$207,D115,'Q2 Data'!$AG$4:$AG$207)+SUMIF('Q2 Data'!$D$4:$D$207,D115,'Q2 Data'!$AE$4:$AE$207)+SUMIF('Q3 Data'!$D$4:$D$207,D115,'Q3 Data'!$AD$4:$AD$207)+SUMIF('Q3 Data'!$D$4:$D$207,D115,'Q3 Data'!$AG$4:$AG$207)+SUMIF('Q3 Data'!$D$4:$D$207,D115,'Q3 Data'!$AE$4:$AE$207)+SUMIF('Q4 Data'!$D$4:$D$207,D115,'Q4 Data'!$AD$4:$AD$207)+SUMIF('Q4 Data'!$D$4:$D$207,D115,'Q4 Data'!$AG$4:$AG$207)+SUMIF('Q4 Data'!$D$4:$D$207,D115,'Q4 Data'!$AE$4:$AE$207))</f>
      </c>
      <c r="AO115" s="27">
        <f>IF($B115&lt;&gt;"Challan","",P115-N115)</f>
      </c>
      <c r="AP115" s="27">
        <f>IF($B115&lt;&gt;"Challan","",MAX(0,AO115-AN115))</f>
      </c>
      <c r="AQ115" s="33">
        <f>IF($B115&lt;&gt;"Entry","",SUMPRODUCT(('Q1 Data'!$D$4:$D$207=D115)*('Q1 Data'!$B$4:$B$207="Challan")*'Q1 Data'!$F$4:$F$207)+SUMPRODUCT(('Q2 Data'!$D$4:$D$207=D115)*('Q2 Data'!$B$4:$B$207="Challan")*'Q2 Data'!$F$4:$F$207)+SUMPRODUCT(('Q3 Data'!$D$4:$D$207=D115)*('Q3 Data'!$B$4:$B$207="Challan")*'Q3 Data'!$F$4:$F$207)+SUMPRODUCT(('Q4 Data'!$D$4:$D$207=D115)*('Q4 Data'!$B$4:$B$207="Challan")*'Q4 Data'!$F$4:$F$207))</f>
      </c>
      <c r="AR115" s="34">
        <f>IF(OR($B115&lt;&gt;"Entry",Z115=""),FALSE,AND((SUMPRODUCT(('Q1 Data'!$D$4:$D$207=D115)*('Q1 Data'!$B$4:$B$207="Challan")*('Q1 Data'!$H$4:$H$207&lt;&gt;""))+SUMPRODUCT(('Q2 Data'!$D$4:$D$207=D115)*('Q2 Data'!$B$4:$B$207="Challan")*('Q2 Data'!$H$4:$H$207&lt;&gt;""))+SUMPRODUCT(('Q3 Data'!$D$4:$D$207=D115)*('Q3 Data'!$B$4:$B$207="Challan")*('Q3 Data'!$H$4:$H$207&lt;&gt;""))+SUMPRODUCT(('Q4 Data'!$D$4:$D$207=D115)*('Q4 Data'!$B$4:$B$207="Challan")*('Q4 Data'!$H$4:$H$207&lt;&gt;"")))&gt;0,(SUMPRODUCT(('Q1 Data'!$D$4:$D$207=D115)*('Q1 Data'!$B$4:$B$207="Challan")*('Q1 Data'!$H$4:$H$207=Z115))+SUMPRODUCT(('Q2 Data'!$D$4:$D$207=D115)*('Q2 Data'!$B$4:$B$207="Challan")*('Q2 Data'!$H$4:$H$207=Z115))+SUMPRODUCT(('Q3 Data'!$D$4:$D$207=D115)*('Q3 Data'!$B$4:$B$207="Challan")*('Q3 Data'!$H$4:$H$207=Z115))+SUMPRODUCT(('Q4 Data'!$D$4:$D$207=D115)*('Q4 Data'!$B$4:$B$207="Challan")*('Q4 Data'!$H$4:$H$207=Z115)))=0))</f>
      </c>
    </row>
    <row r="116" spans="1:44" x14ac:dyDescent="0.25">
      <c r="A116" s="20">
        <f>IF($B116="Entry",COUNTIF($B$4:$B116,"Entry"),"")</f>
      </c>
      <c r="B116" s="21"/>
      <c r="C116" s="22"/>
      <c r="D116" s="22"/>
      <c r="E116" s="23">
        <f>IF($B116&lt;&gt;"Challan","",IF(ROUND(AN116-AO116,2)&gt;0,"Over-applied",IF(ROUND(AN116-AO116,2)=0,"Fully Utilised","Unconsumed")))</f>
      </c>
      <c r="F116" s="24"/>
      <c r="G116" s="25"/>
      <c r="H116" s="25"/>
      <c r="I116" s="26"/>
      <c r="J116" s="26"/>
      <c r="K116" s="26"/>
      <c r="L116" s="26"/>
      <c r="M116" s="26"/>
      <c r="N116" s="26"/>
      <c r="O116" s="26"/>
      <c r="P116" s="27">
        <f>IF($B116&lt;&gt;"Challan","",I116+J116+K116+L116+M116+N116)</f>
      </c>
      <c r="Q116" s="25"/>
      <c r="R116" s="25"/>
      <c r="S116" s="25"/>
      <c r="T116" s="25"/>
      <c r="U116" s="25"/>
      <c r="V116" s="28"/>
      <c r="W116" s="28"/>
      <c r="X116" s="23">
        <f>IF($B116="Entry",IF(AND(LEN(TRIM(UPPER(W116)))=10,CODE(MID(TRIM(UPPER(W116)),1,1))&gt;=65,CODE(MID(TRIM(UPPER(W116)),1,1))&lt;=90,CODE(MID(TRIM(UPPER(W116)),2,1))&gt;=65,CODE(MID(TRIM(UPPER(W116)),2,1))&lt;=90,CODE(MID(TRIM(UPPER(W116)),3,1))&gt;=65,CODE(MID(TRIM(UPPER(W116)),3,1))&lt;=90,CODE(MID(TRIM(UPPER(W116)),4,1))&gt;=65,CODE(MID(TRIM(UPPER(W116)),4,1))&lt;=90,CODE(MID(TRIM(UPPER(W116)),5,1))&gt;=65,CODE(MID(TRIM(UPPER(W116)),5,1))&lt;=90,CODE(MID(TRIM(UPPER(W116)),10,1))&gt;=65,CODE(MID(TRIM(UPPER(W116)),10,1))&lt;=90,CODE(MID(TRIM(UPPER(W116)),6,1))&gt;=48,CODE(MID(TRIM(UPPER(W116)),6,1))&lt;=57,CODE(MID(TRIM(UPPER(W116)),7,1))&gt;=48,CODE(MID(TRIM(UPPER(W116)),7,1))&lt;=57,CODE(MID(TRIM(UPPER(W116)),8,1))&gt;=48,CODE(MID(TRIM(UPPER(W116)),8,1))&lt;=57,CODE(MID(TRIM(UPPER(W116)),9,1))&gt;=48,CODE(MID(TRIM(UPPER(W116)),9,1))&lt;=57),"N","Y"),IF($B116="Challan","",IF(W116&lt;&gt;"","◄ Set Row Type","")))</f>
      </c>
      <c r="Y116" s="23">
        <f>IF($B116="Entry",IF(LEN(W116)&lt;4,"",IF(UPPER(MID(W116,4,1))="P","Individual",IF(UPPER(MID(W116,4,1))="H","HUF",IF(UPPER(MID(W116,4,1))="C","Company",IF(UPPER(MID(W116,4,1))="F","Firm",IF(UPPER(MID(W116,4,1))="L","LLP",IF(UPPER(MID(W116,4,1))="T","Trust",IF(UPPER(MID(W116,4,1))="A","AOP","")))))))),IF($B116="Challan","",IF(W116&lt;&gt;"","◄ Set Row Type","")))</f>
      </c>
      <c r="Z116" s="28"/>
      <c r="AA116" s="29">
        <f>IF($B116&lt;&gt;"Entry","",IF(Z116="","",IF(X116="Y",SUMPRODUCT(('Rate Lookup'!$A$1:$A$37=Z116)*'Rate Lookup'!$D$1:$D$37),IF(OR(Y116="Individual",Y116="HUF"),SUMPRODUCT(('Rate Lookup'!$A$1:$A$37=Z116)*'Rate Lookup'!$B$1:$B$37),SUMPRODUCT(('Rate Lookup'!$A$1:$A$37=Z116)*'Rate Lookup'!$C$1:$C$37)))))</f>
      </c>
      <c r="AB116" s="30"/>
      <c r="AC116" s="31"/>
      <c r="AD116" s="27">
        <f>IF($B116&lt;&gt;"Entry","",ROUND(AC116*AA116/100,0))</f>
      </c>
      <c r="AE116" s="27">
        <f>IF($B116&lt;&gt;"Entry","",0)</f>
      </c>
      <c r="AF116" s="27">
        <f>IF($B116&lt;&gt;"Entry","",0)</f>
      </c>
      <c r="AG116" s="27">
        <f>IF($B116&lt;&gt;"Entry","",IF(OR(AD116=0,AB116="",AQ116="",AQ116&lt;=0),0,IF(AQ116&lt;=DATE(YEAR(AB116),MONTH(AB116)+1,7),0,ROUND(AD116*0.015*((YEAR(AQ116)-YEAR(AB116))*12+(MONTH(AQ116)-MONTH(AB116))+1),0))))</f>
      </c>
      <c r="AH116" s="27">
        <f>IF($B116&lt;&gt;"Entry","",0)</f>
      </c>
      <c r="AI116" s="28"/>
      <c r="AJ116" s="28"/>
      <c r="AK116" s="32"/>
      <c r="AL116" s="28"/>
      <c r="AM116" s="28"/>
      <c r="AN116" s="27">
        <f>IF($B116&lt;&gt;"Challan","",SUMIF('Q1 Data'!$D$4:$D$207,D116,'Q1 Data'!$AD$4:$AD$207)+SUMIF('Q1 Data'!$D$4:$D$207,D116,'Q1 Data'!$AG$4:$AG$207)+SUMIF('Q1 Data'!$D$4:$D$207,D116,'Q1 Data'!$AE$4:$AE$207)+SUMIF('Q2 Data'!$D$4:$D$207,D116,'Q2 Data'!$AD$4:$AD$207)+SUMIF('Q2 Data'!$D$4:$D$207,D116,'Q2 Data'!$AG$4:$AG$207)+SUMIF('Q2 Data'!$D$4:$D$207,D116,'Q2 Data'!$AE$4:$AE$207)+SUMIF('Q3 Data'!$D$4:$D$207,D116,'Q3 Data'!$AD$4:$AD$207)+SUMIF('Q3 Data'!$D$4:$D$207,D116,'Q3 Data'!$AG$4:$AG$207)+SUMIF('Q3 Data'!$D$4:$D$207,D116,'Q3 Data'!$AE$4:$AE$207)+SUMIF('Q4 Data'!$D$4:$D$207,D116,'Q4 Data'!$AD$4:$AD$207)+SUMIF('Q4 Data'!$D$4:$D$207,D116,'Q4 Data'!$AG$4:$AG$207)+SUMIF('Q4 Data'!$D$4:$D$207,D116,'Q4 Data'!$AE$4:$AE$207))</f>
      </c>
      <c r="AO116" s="27">
        <f>IF($B116&lt;&gt;"Challan","",P116-N116)</f>
      </c>
      <c r="AP116" s="27">
        <f>IF($B116&lt;&gt;"Challan","",MAX(0,AO116-AN116))</f>
      </c>
      <c r="AQ116" s="33">
        <f>IF($B116&lt;&gt;"Entry","",SUMPRODUCT(('Q1 Data'!$D$4:$D$207=D116)*('Q1 Data'!$B$4:$B$207="Challan")*'Q1 Data'!$F$4:$F$207)+SUMPRODUCT(('Q2 Data'!$D$4:$D$207=D116)*('Q2 Data'!$B$4:$B$207="Challan")*'Q2 Data'!$F$4:$F$207)+SUMPRODUCT(('Q3 Data'!$D$4:$D$207=D116)*('Q3 Data'!$B$4:$B$207="Challan")*'Q3 Data'!$F$4:$F$207)+SUMPRODUCT(('Q4 Data'!$D$4:$D$207=D116)*('Q4 Data'!$B$4:$B$207="Challan")*'Q4 Data'!$F$4:$F$207))</f>
      </c>
      <c r="AR116" s="34">
        <f>IF(OR($B116&lt;&gt;"Entry",Z116=""),FALSE,AND((SUMPRODUCT(('Q1 Data'!$D$4:$D$207=D116)*('Q1 Data'!$B$4:$B$207="Challan")*('Q1 Data'!$H$4:$H$207&lt;&gt;""))+SUMPRODUCT(('Q2 Data'!$D$4:$D$207=D116)*('Q2 Data'!$B$4:$B$207="Challan")*('Q2 Data'!$H$4:$H$207&lt;&gt;""))+SUMPRODUCT(('Q3 Data'!$D$4:$D$207=D116)*('Q3 Data'!$B$4:$B$207="Challan")*('Q3 Data'!$H$4:$H$207&lt;&gt;""))+SUMPRODUCT(('Q4 Data'!$D$4:$D$207=D116)*('Q4 Data'!$B$4:$B$207="Challan")*('Q4 Data'!$H$4:$H$207&lt;&gt;"")))&gt;0,(SUMPRODUCT(('Q1 Data'!$D$4:$D$207=D116)*('Q1 Data'!$B$4:$B$207="Challan")*('Q1 Data'!$H$4:$H$207=Z116))+SUMPRODUCT(('Q2 Data'!$D$4:$D$207=D116)*('Q2 Data'!$B$4:$B$207="Challan")*('Q2 Data'!$H$4:$H$207=Z116))+SUMPRODUCT(('Q3 Data'!$D$4:$D$207=D116)*('Q3 Data'!$B$4:$B$207="Challan")*('Q3 Data'!$H$4:$H$207=Z116))+SUMPRODUCT(('Q4 Data'!$D$4:$D$207=D116)*('Q4 Data'!$B$4:$B$207="Challan")*('Q4 Data'!$H$4:$H$207=Z116)))=0))</f>
      </c>
    </row>
    <row r="117" spans="1:44" x14ac:dyDescent="0.25">
      <c r="A117" s="20">
        <f>IF($B117="Entry",COUNTIF($B$4:$B117,"Entry"),"")</f>
      </c>
      <c r="B117" s="21"/>
      <c r="C117" s="22"/>
      <c r="D117" s="22"/>
      <c r="E117" s="23">
        <f>IF($B117&lt;&gt;"Challan","",IF(ROUND(AN117-AO117,2)&gt;0,"Over-applied",IF(ROUND(AN117-AO117,2)=0,"Fully Utilised","Unconsumed")))</f>
      </c>
      <c r="F117" s="24"/>
      <c r="G117" s="25"/>
      <c r="H117" s="25"/>
      <c r="I117" s="26"/>
      <c r="J117" s="26"/>
      <c r="K117" s="26"/>
      <c r="L117" s="26"/>
      <c r="M117" s="26"/>
      <c r="N117" s="26"/>
      <c r="O117" s="26"/>
      <c r="P117" s="27">
        <f>IF($B117&lt;&gt;"Challan","",I117+J117+K117+L117+M117+N117)</f>
      </c>
      <c r="Q117" s="25"/>
      <c r="R117" s="25"/>
      <c r="S117" s="25"/>
      <c r="T117" s="25"/>
      <c r="U117" s="25"/>
      <c r="V117" s="28"/>
      <c r="W117" s="28"/>
      <c r="X117" s="23">
        <f>IF($B117="Entry",IF(AND(LEN(TRIM(UPPER(W117)))=10,CODE(MID(TRIM(UPPER(W117)),1,1))&gt;=65,CODE(MID(TRIM(UPPER(W117)),1,1))&lt;=90,CODE(MID(TRIM(UPPER(W117)),2,1))&gt;=65,CODE(MID(TRIM(UPPER(W117)),2,1))&lt;=90,CODE(MID(TRIM(UPPER(W117)),3,1))&gt;=65,CODE(MID(TRIM(UPPER(W117)),3,1))&lt;=90,CODE(MID(TRIM(UPPER(W117)),4,1))&gt;=65,CODE(MID(TRIM(UPPER(W117)),4,1))&lt;=90,CODE(MID(TRIM(UPPER(W117)),5,1))&gt;=65,CODE(MID(TRIM(UPPER(W117)),5,1))&lt;=90,CODE(MID(TRIM(UPPER(W117)),10,1))&gt;=65,CODE(MID(TRIM(UPPER(W117)),10,1))&lt;=90,CODE(MID(TRIM(UPPER(W117)),6,1))&gt;=48,CODE(MID(TRIM(UPPER(W117)),6,1))&lt;=57,CODE(MID(TRIM(UPPER(W117)),7,1))&gt;=48,CODE(MID(TRIM(UPPER(W117)),7,1))&lt;=57,CODE(MID(TRIM(UPPER(W117)),8,1))&gt;=48,CODE(MID(TRIM(UPPER(W117)),8,1))&lt;=57,CODE(MID(TRIM(UPPER(W117)),9,1))&gt;=48,CODE(MID(TRIM(UPPER(W117)),9,1))&lt;=57),"N","Y"),IF($B117="Challan","",IF(W117&lt;&gt;"","◄ Set Row Type","")))</f>
      </c>
      <c r="Y117" s="23">
        <f>IF($B117="Entry",IF(LEN(W117)&lt;4,"",IF(UPPER(MID(W117,4,1))="P","Individual",IF(UPPER(MID(W117,4,1))="H","HUF",IF(UPPER(MID(W117,4,1))="C","Company",IF(UPPER(MID(W117,4,1))="F","Firm",IF(UPPER(MID(W117,4,1))="L","LLP",IF(UPPER(MID(W117,4,1))="T","Trust",IF(UPPER(MID(W117,4,1))="A","AOP","")))))))),IF($B117="Challan","",IF(W117&lt;&gt;"","◄ Set Row Type","")))</f>
      </c>
      <c r="Z117" s="28"/>
      <c r="AA117" s="29">
        <f>IF($B117&lt;&gt;"Entry","",IF(Z117="","",IF(X117="Y",SUMPRODUCT(('Rate Lookup'!$A$1:$A$37=Z117)*'Rate Lookup'!$D$1:$D$37),IF(OR(Y117="Individual",Y117="HUF"),SUMPRODUCT(('Rate Lookup'!$A$1:$A$37=Z117)*'Rate Lookup'!$B$1:$B$37),SUMPRODUCT(('Rate Lookup'!$A$1:$A$37=Z117)*'Rate Lookup'!$C$1:$C$37)))))</f>
      </c>
      <c r="AB117" s="30"/>
      <c r="AC117" s="31"/>
      <c r="AD117" s="27">
        <f>IF($B117&lt;&gt;"Entry","",ROUND(AC117*AA117/100,0))</f>
      </c>
      <c r="AE117" s="27">
        <f>IF($B117&lt;&gt;"Entry","",0)</f>
      </c>
      <c r="AF117" s="27">
        <f>IF($B117&lt;&gt;"Entry","",0)</f>
      </c>
      <c r="AG117" s="27">
        <f>IF($B117&lt;&gt;"Entry","",IF(OR(AD117=0,AB117="",AQ117="",AQ117&lt;=0),0,IF(AQ117&lt;=DATE(YEAR(AB117),MONTH(AB117)+1,7),0,ROUND(AD117*0.015*((YEAR(AQ117)-YEAR(AB117))*12+(MONTH(AQ117)-MONTH(AB117))+1),0))))</f>
      </c>
      <c r="AH117" s="27">
        <f>IF($B117&lt;&gt;"Entry","",0)</f>
      </c>
      <c r="AI117" s="28"/>
      <c r="AJ117" s="28"/>
      <c r="AK117" s="32"/>
      <c r="AL117" s="28"/>
      <c r="AM117" s="28"/>
      <c r="AN117" s="27">
        <f>IF($B117&lt;&gt;"Challan","",SUMIF('Q1 Data'!$D$4:$D$207,D117,'Q1 Data'!$AD$4:$AD$207)+SUMIF('Q1 Data'!$D$4:$D$207,D117,'Q1 Data'!$AG$4:$AG$207)+SUMIF('Q1 Data'!$D$4:$D$207,D117,'Q1 Data'!$AE$4:$AE$207)+SUMIF('Q2 Data'!$D$4:$D$207,D117,'Q2 Data'!$AD$4:$AD$207)+SUMIF('Q2 Data'!$D$4:$D$207,D117,'Q2 Data'!$AG$4:$AG$207)+SUMIF('Q2 Data'!$D$4:$D$207,D117,'Q2 Data'!$AE$4:$AE$207)+SUMIF('Q3 Data'!$D$4:$D$207,D117,'Q3 Data'!$AD$4:$AD$207)+SUMIF('Q3 Data'!$D$4:$D$207,D117,'Q3 Data'!$AG$4:$AG$207)+SUMIF('Q3 Data'!$D$4:$D$207,D117,'Q3 Data'!$AE$4:$AE$207)+SUMIF('Q4 Data'!$D$4:$D$207,D117,'Q4 Data'!$AD$4:$AD$207)+SUMIF('Q4 Data'!$D$4:$D$207,D117,'Q4 Data'!$AG$4:$AG$207)+SUMIF('Q4 Data'!$D$4:$D$207,D117,'Q4 Data'!$AE$4:$AE$207))</f>
      </c>
      <c r="AO117" s="27">
        <f>IF($B117&lt;&gt;"Challan","",P117-N117)</f>
      </c>
      <c r="AP117" s="27">
        <f>IF($B117&lt;&gt;"Challan","",MAX(0,AO117-AN117))</f>
      </c>
      <c r="AQ117" s="33">
        <f>IF($B117&lt;&gt;"Entry","",SUMPRODUCT(('Q1 Data'!$D$4:$D$207=D117)*('Q1 Data'!$B$4:$B$207="Challan")*'Q1 Data'!$F$4:$F$207)+SUMPRODUCT(('Q2 Data'!$D$4:$D$207=D117)*('Q2 Data'!$B$4:$B$207="Challan")*'Q2 Data'!$F$4:$F$207)+SUMPRODUCT(('Q3 Data'!$D$4:$D$207=D117)*('Q3 Data'!$B$4:$B$207="Challan")*'Q3 Data'!$F$4:$F$207)+SUMPRODUCT(('Q4 Data'!$D$4:$D$207=D117)*('Q4 Data'!$B$4:$B$207="Challan")*'Q4 Data'!$F$4:$F$207))</f>
      </c>
      <c r="AR117" s="34">
        <f>IF(OR($B117&lt;&gt;"Entry",Z117=""),FALSE,AND((SUMPRODUCT(('Q1 Data'!$D$4:$D$207=D117)*('Q1 Data'!$B$4:$B$207="Challan")*('Q1 Data'!$H$4:$H$207&lt;&gt;""))+SUMPRODUCT(('Q2 Data'!$D$4:$D$207=D117)*('Q2 Data'!$B$4:$B$207="Challan")*('Q2 Data'!$H$4:$H$207&lt;&gt;""))+SUMPRODUCT(('Q3 Data'!$D$4:$D$207=D117)*('Q3 Data'!$B$4:$B$207="Challan")*('Q3 Data'!$H$4:$H$207&lt;&gt;""))+SUMPRODUCT(('Q4 Data'!$D$4:$D$207=D117)*('Q4 Data'!$B$4:$B$207="Challan")*('Q4 Data'!$H$4:$H$207&lt;&gt;"")))&gt;0,(SUMPRODUCT(('Q1 Data'!$D$4:$D$207=D117)*('Q1 Data'!$B$4:$B$207="Challan")*('Q1 Data'!$H$4:$H$207=Z117))+SUMPRODUCT(('Q2 Data'!$D$4:$D$207=D117)*('Q2 Data'!$B$4:$B$207="Challan")*('Q2 Data'!$H$4:$H$207=Z117))+SUMPRODUCT(('Q3 Data'!$D$4:$D$207=D117)*('Q3 Data'!$B$4:$B$207="Challan")*('Q3 Data'!$H$4:$H$207=Z117))+SUMPRODUCT(('Q4 Data'!$D$4:$D$207=D117)*('Q4 Data'!$B$4:$B$207="Challan")*('Q4 Data'!$H$4:$H$207=Z117)))=0))</f>
      </c>
    </row>
    <row r="118" spans="1:44" x14ac:dyDescent="0.25">
      <c r="A118" s="20">
        <f>IF($B118="Entry",COUNTIF($B$4:$B118,"Entry"),"")</f>
      </c>
      <c r="B118" s="21"/>
      <c r="C118" s="22"/>
      <c r="D118" s="22"/>
      <c r="E118" s="23">
        <f>IF($B118&lt;&gt;"Challan","",IF(ROUND(AN118-AO118,2)&gt;0,"Over-applied",IF(ROUND(AN118-AO118,2)=0,"Fully Utilised","Unconsumed")))</f>
      </c>
      <c r="F118" s="24"/>
      <c r="G118" s="25"/>
      <c r="H118" s="25"/>
      <c r="I118" s="26"/>
      <c r="J118" s="26"/>
      <c r="K118" s="26"/>
      <c r="L118" s="26"/>
      <c r="M118" s="26"/>
      <c r="N118" s="26"/>
      <c r="O118" s="26"/>
      <c r="P118" s="27">
        <f>IF($B118&lt;&gt;"Challan","",I118+J118+K118+L118+M118+N118)</f>
      </c>
      <c r="Q118" s="25"/>
      <c r="R118" s="25"/>
      <c r="S118" s="25"/>
      <c r="T118" s="25"/>
      <c r="U118" s="25"/>
      <c r="V118" s="28"/>
      <c r="W118" s="28"/>
      <c r="X118" s="23">
        <f>IF($B118="Entry",IF(AND(LEN(TRIM(UPPER(W118)))=10,CODE(MID(TRIM(UPPER(W118)),1,1))&gt;=65,CODE(MID(TRIM(UPPER(W118)),1,1))&lt;=90,CODE(MID(TRIM(UPPER(W118)),2,1))&gt;=65,CODE(MID(TRIM(UPPER(W118)),2,1))&lt;=90,CODE(MID(TRIM(UPPER(W118)),3,1))&gt;=65,CODE(MID(TRIM(UPPER(W118)),3,1))&lt;=90,CODE(MID(TRIM(UPPER(W118)),4,1))&gt;=65,CODE(MID(TRIM(UPPER(W118)),4,1))&lt;=90,CODE(MID(TRIM(UPPER(W118)),5,1))&gt;=65,CODE(MID(TRIM(UPPER(W118)),5,1))&lt;=90,CODE(MID(TRIM(UPPER(W118)),10,1))&gt;=65,CODE(MID(TRIM(UPPER(W118)),10,1))&lt;=90,CODE(MID(TRIM(UPPER(W118)),6,1))&gt;=48,CODE(MID(TRIM(UPPER(W118)),6,1))&lt;=57,CODE(MID(TRIM(UPPER(W118)),7,1))&gt;=48,CODE(MID(TRIM(UPPER(W118)),7,1))&lt;=57,CODE(MID(TRIM(UPPER(W118)),8,1))&gt;=48,CODE(MID(TRIM(UPPER(W118)),8,1))&lt;=57,CODE(MID(TRIM(UPPER(W118)),9,1))&gt;=48,CODE(MID(TRIM(UPPER(W118)),9,1))&lt;=57),"N","Y"),IF($B118="Challan","",IF(W118&lt;&gt;"","◄ Set Row Type","")))</f>
      </c>
      <c r="Y118" s="23">
        <f>IF($B118="Entry",IF(LEN(W118)&lt;4,"",IF(UPPER(MID(W118,4,1))="P","Individual",IF(UPPER(MID(W118,4,1))="H","HUF",IF(UPPER(MID(W118,4,1))="C","Company",IF(UPPER(MID(W118,4,1))="F","Firm",IF(UPPER(MID(W118,4,1))="L","LLP",IF(UPPER(MID(W118,4,1))="T","Trust",IF(UPPER(MID(W118,4,1))="A","AOP","")))))))),IF($B118="Challan","",IF(W118&lt;&gt;"","◄ Set Row Type","")))</f>
      </c>
      <c r="Z118" s="28"/>
      <c r="AA118" s="29">
        <f>IF($B118&lt;&gt;"Entry","",IF(Z118="","",IF(X118="Y",SUMPRODUCT(('Rate Lookup'!$A$1:$A$37=Z118)*'Rate Lookup'!$D$1:$D$37),IF(OR(Y118="Individual",Y118="HUF"),SUMPRODUCT(('Rate Lookup'!$A$1:$A$37=Z118)*'Rate Lookup'!$B$1:$B$37),SUMPRODUCT(('Rate Lookup'!$A$1:$A$37=Z118)*'Rate Lookup'!$C$1:$C$37)))))</f>
      </c>
      <c r="AB118" s="30"/>
      <c r="AC118" s="31"/>
      <c r="AD118" s="27">
        <f>IF($B118&lt;&gt;"Entry","",ROUND(AC118*AA118/100,0))</f>
      </c>
      <c r="AE118" s="27">
        <f>IF($B118&lt;&gt;"Entry","",0)</f>
      </c>
      <c r="AF118" s="27">
        <f>IF($B118&lt;&gt;"Entry","",0)</f>
      </c>
      <c r="AG118" s="27">
        <f>IF($B118&lt;&gt;"Entry","",IF(OR(AD118=0,AB118="",AQ118="",AQ118&lt;=0),0,IF(AQ118&lt;=DATE(YEAR(AB118),MONTH(AB118)+1,7),0,ROUND(AD118*0.015*((YEAR(AQ118)-YEAR(AB118))*12+(MONTH(AQ118)-MONTH(AB118))+1),0))))</f>
      </c>
      <c r="AH118" s="27">
        <f>IF($B118&lt;&gt;"Entry","",0)</f>
      </c>
      <c r="AI118" s="28"/>
      <c r="AJ118" s="28"/>
      <c r="AK118" s="32"/>
      <c r="AL118" s="28"/>
      <c r="AM118" s="28"/>
      <c r="AN118" s="27">
        <f>IF($B118&lt;&gt;"Challan","",SUMIF('Q1 Data'!$D$4:$D$207,D118,'Q1 Data'!$AD$4:$AD$207)+SUMIF('Q1 Data'!$D$4:$D$207,D118,'Q1 Data'!$AG$4:$AG$207)+SUMIF('Q1 Data'!$D$4:$D$207,D118,'Q1 Data'!$AE$4:$AE$207)+SUMIF('Q2 Data'!$D$4:$D$207,D118,'Q2 Data'!$AD$4:$AD$207)+SUMIF('Q2 Data'!$D$4:$D$207,D118,'Q2 Data'!$AG$4:$AG$207)+SUMIF('Q2 Data'!$D$4:$D$207,D118,'Q2 Data'!$AE$4:$AE$207)+SUMIF('Q3 Data'!$D$4:$D$207,D118,'Q3 Data'!$AD$4:$AD$207)+SUMIF('Q3 Data'!$D$4:$D$207,D118,'Q3 Data'!$AG$4:$AG$207)+SUMIF('Q3 Data'!$D$4:$D$207,D118,'Q3 Data'!$AE$4:$AE$207)+SUMIF('Q4 Data'!$D$4:$D$207,D118,'Q4 Data'!$AD$4:$AD$207)+SUMIF('Q4 Data'!$D$4:$D$207,D118,'Q4 Data'!$AG$4:$AG$207)+SUMIF('Q4 Data'!$D$4:$D$207,D118,'Q4 Data'!$AE$4:$AE$207))</f>
      </c>
      <c r="AO118" s="27">
        <f>IF($B118&lt;&gt;"Challan","",P118-N118)</f>
      </c>
      <c r="AP118" s="27">
        <f>IF($B118&lt;&gt;"Challan","",MAX(0,AO118-AN118))</f>
      </c>
      <c r="AQ118" s="33">
        <f>IF($B118&lt;&gt;"Entry","",SUMPRODUCT(('Q1 Data'!$D$4:$D$207=D118)*('Q1 Data'!$B$4:$B$207="Challan")*'Q1 Data'!$F$4:$F$207)+SUMPRODUCT(('Q2 Data'!$D$4:$D$207=D118)*('Q2 Data'!$B$4:$B$207="Challan")*'Q2 Data'!$F$4:$F$207)+SUMPRODUCT(('Q3 Data'!$D$4:$D$207=D118)*('Q3 Data'!$B$4:$B$207="Challan")*'Q3 Data'!$F$4:$F$207)+SUMPRODUCT(('Q4 Data'!$D$4:$D$207=D118)*('Q4 Data'!$B$4:$B$207="Challan")*'Q4 Data'!$F$4:$F$207))</f>
      </c>
      <c r="AR118" s="34">
        <f>IF(OR($B118&lt;&gt;"Entry",Z118=""),FALSE,AND((SUMPRODUCT(('Q1 Data'!$D$4:$D$207=D118)*('Q1 Data'!$B$4:$B$207="Challan")*('Q1 Data'!$H$4:$H$207&lt;&gt;""))+SUMPRODUCT(('Q2 Data'!$D$4:$D$207=D118)*('Q2 Data'!$B$4:$B$207="Challan")*('Q2 Data'!$H$4:$H$207&lt;&gt;""))+SUMPRODUCT(('Q3 Data'!$D$4:$D$207=D118)*('Q3 Data'!$B$4:$B$207="Challan")*('Q3 Data'!$H$4:$H$207&lt;&gt;""))+SUMPRODUCT(('Q4 Data'!$D$4:$D$207=D118)*('Q4 Data'!$B$4:$B$207="Challan")*('Q4 Data'!$H$4:$H$207&lt;&gt;"")))&gt;0,(SUMPRODUCT(('Q1 Data'!$D$4:$D$207=D118)*('Q1 Data'!$B$4:$B$207="Challan")*('Q1 Data'!$H$4:$H$207=Z118))+SUMPRODUCT(('Q2 Data'!$D$4:$D$207=D118)*('Q2 Data'!$B$4:$B$207="Challan")*('Q2 Data'!$H$4:$H$207=Z118))+SUMPRODUCT(('Q3 Data'!$D$4:$D$207=D118)*('Q3 Data'!$B$4:$B$207="Challan")*('Q3 Data'!$H$4:$H$207=Z118))+SUMPRODUCT(('Q4 Data'!$D$4:$D$207=D118)*('Q4 Data'!$B$4:$B$207="Challan")*('Q4 Data'!$H$4:$H$207=Z118)))=0))</f>
      </c>
    </row>
    <row r="119" spans="1:44" x14ac:dyDescent="0.25">
      <c r="A119" s="20">
        <f>IF($B119="Entry",COUNTIF($B$4:$B119,"Entry"),"")</f>
      </c>
      <c r="B119" s="21"/>
      <c r="C119" s="22"/>
      <c r="D119" s="22"/>
      <c r="E119" s="23">
        <f>IF($B119&lt;&gt;"Challan","",IF(ROUND(AN119-AO119,2)&gt;0,"Over-applied",IF(ROUND(AN119-AO119,2)=0,"Fully Utilised","Unconsumed")))</f>
      </c>
      <c r="F119" s="24"/>
      <c r="G119" s="25"/>
      <c r="H119" s="25"/>
      <c r="I119" s="26"/>
      <c r="J119" s="26"/>
      <c r="K119" s="26"/>
      <c r="L119" s="26"/>
      <c r="M119" s="26"/>
      <c r="N119" s="26"/>
      <c r="O119" s="26"/>
      <c r="P119" s="27">
        <f>IF($B119&lt;&gt;"Challan","",I119+J119+K119+L119+M119+N119)</f>
      </c>
      <c r="Q119" s="25"/>
      <c r="R119" s="25"/>
      <c r="S119" s="25"/>
      <c r="T119" s="25"/>
      <c r="U119" s="25"/>
      <c r="V119" s="28"/>
      <c r="W119" s="28"/>
      <c r="X119" s="23">
        <f>IF($B119="Entry",IF(AND(LEN(TRIM(UPPER(W119)))=10,CODE(MID(TRIM(UPPER(W119)),1,1))&gt;=65,CODE(MID(TRIM(UPPER(W119)),1,1))&lt;=90,CODE(MID(TRIM(UPPER(W119)),2,1))&gt;=65,CODE(MID(TRIM(UPPER(W119)),2,1))&lt;=90,CODE(MID(TRIM(UPPER(W119)),3,1))&gt;=65,CODE(MID(TRIM(UPPER(W119)),3,1))&lt;=90,CODE(MID(TRIM(UPPER(W119)),4,1))&gt;=65,CODE(MID(TRIM(UPPER(W119)),4,1))&lt;=90,CODE(MID(TRIM(UPPER(W119)),5,1))&gt;=65,CODE(MID(TRIM(UPPER(W119)),5,1))&lt;=90,CODE(MID(TRIM(UPPER(W119)),10,1))&gt;=65,CODE(MID(TRIM(UPPER(W119)),10,1))&lt;=90,CODE(MID(TRIM(UPPER(W119)),6,1))&gt;=48,CODE(MID(TRIM(UPPER(W119)),6,1))&lt;=57,CODE(MID(TRIM(UPPER(W119)),7,1))&gt;=48,CODE(MID(TRIM(UPPER(W119)),7,1))&lt;=57,CODE(MID(TRIM(UPPER(W119)),8,1))&gt;=48,CODE(MID(TRIM(UPPER(W119)),8,1))&lt;=57,CODE(MID(TRIM(UPPER(W119)),9,1))&gt;=48,CODE(MID(TRIM(UPPER(W119)),9,1))&lt;=57),"N","Y"),IF($B119="Challan","",IF(W119&lt;&gt;"","◄ Set Row Type","")))</f>
      </c>
      <c r="Y119" s="23">
        <f>IF($B119="Entry",IF(LEN(W119)&lt;4,"",IF(UPPER(MID(W119,4,1))="P","Individual",IF(UPPER(MID(W119,4,1))="H","HUF",IF(UPPER(MID(W119,4,1))="C","Company",IF(UPPER(MID(W119,4,1))="F","Firm",IF(UPPER(MID(W119,4,1))="L","LLP",IF(UPPER(MID(W119,4,1))="T","Trust",IF(UPPER(MID(W119,4,1))="A","AOP","")))))))),IF($B119="Challan","",IF(W119&lt;&gt;"","◄ Set Row Type","")))</f>
      </c>
      <c r="Z119" s="28"/>
      <c r="AA119" s="29">
        <f>IF($B119&lt;&gt;"Entry","",IF(Z119="","",IF(X119="Y",SUMPRODUCT(('Rate Lookup'!$A$1:$A$37=Z119)*'Rate Lookup'!$D$1:$D$37),IF(OR(Y119="Individual",Y119="HUF"),SUMPRODUCT(('Rate Lookup'!$A$1:$A$37=Z119)*'Rate Lookup'!$B$1:$B$37),SUMPRODUCT(('Rate Lookup'!$A$1:$A$37=Z119)*'Rate Lookup'!$C$1:$C$37)))))</f>
      </c>
      <c r="AB119" s="30"/>
      <c r="AC119" s="31"/>
      <c r="AD119" s="27">
        <f>IF($B119&lt;&gt;"Entry","",ROUND(AC119*AA119/100,0))</f>
      </c>
      <c r="AE119" s="27">
        <f>IF($B119&lt;&gt;"Entry","",0)</f>
      </c>
      <c r="AF119" s="27">
        <f>IF($B119&lt;&gt;"Entry","",0)</f>
      </c>
      <c r="AG119" s="27">
        <f>IF($B119&lt;&gt;"Entry","",IF(OR(AD119=0,AB119="",AQ119="",AQ119&lt;=0),0,IF(AQ119&lt;=DATE(YEAR(AB119),MONTH(AB119)+1,7),0,ROUND(AD119*0.015*((YEAR(AQ119)-YEAR(AB119))*12+(MONTH(AQ119)-MONTH(AB119))+1),0))))</f>
      </c>
      <c r="AH119" s="27">
        <f>IF($B119&lt;&gt;"Entry","",0)</f>
      </c>
      <c r="AI119" s="28"/>
      <c r="AJ119" s="28"/>
      <c r="AK119" s="32"/>
      <c r="AL119" s="28"/>
      <c r="AM119" s="28"/>
      <c r="AN119" s="27">
        <f>IF($B119&lt;&gt;"Challan","",SUMIF('Q1 Data'!$D$4:$D$207,D119,'Q1 Data'!$AD$4:$AD$207)+SUMIF('Q1 Data'!$D$4:$D$207,D119,'Q1 Data'!$AG$4:$AG$207)+SUMIF('Q1 Data'!$D$4:$D$207,D119,'Q1 Data'!$AE$4:$AE$207)+SUMIF('Q2 Data'!$D$4:$D$207,D119,'Q2 Data'!$AD$4:$AD$207)+SUMIF('Q2 Data'!$D$4:$D$207,D119,'Q2 Data'!$AG$4:$AG$207)+SUMIF('Q2 Data'!$D$4:$D$207,D119,'Q2 Data'!$AE$4:$AE$207)+SUMIF('Q3 Data'!$D$4:$D$207,D119,'Q3 Data'!$AD$4:$AD$207)+SUMIF('Q3 Data'!$D$4:$D$207,D119,'Q3 Data'!$AG$4:$AG$207)+SUMIF('Q3 Data'!$D$4:$D$207,D119,'Q3 Data'!$AE$4:$AE$207)+SUMIF('Q4 Data'!$D$4:$D$207,D119,'Q4 Data'!$AD$4:$AD$207)+SUMIF('Q4 Data'!$D$4:$D$207,D119,'Q4 Data'!$AG$4:$AG$207)+SUMIF('Q4 Data'!$D$4:$D$207,D119,'Q4 Data'!$AE$4:$AE$207))</f>
      </c>
      <c r="AO119" s="27">
        <f>IF($B119&lt;&gt;"Challan","",P119-N119)</f>
      </c>
      <c r="AP119" s="27">
        <f>IF($B119&lt;&gt;"Challan","",MAX(0,AO119-AN119))</f>
      </c>
      <c r="AQ119" s="33">
        <f>IF($B119&lt;&gt;"Entry","",SUMPRODUCT(('Q1 Data'!$D$4:$D$207=D119)*('Q1 Data'!$B$4:$B$207="Challan")*'Q1 Data'!$F$4:$F$207)+SUMPRODUCT(('Q2 Data'!$D$4:$D$207=D119)*('Q2 Data'!$B$4:$B$207="Challan")*'Q2 Data'!$F$4:$F$207)+SUMPRODUCT(('Q3 Data'!$D$4:$D$207=D119)*('Q3 Data'!$B$4:$B$207="Challan")*'Q3 Data'!$F$4:$F$207)+SUMPRODUCT(('Q4 Data'!$D$4:$D$207=D119)*('Q4 Data'!$B$4:$B$207="Challan")*'Q4 Data'!$F$4:$F$207))</f>
      </c>
      <c r="AR119" s="34">
        <f>IF(OR($B119&lt;&gt;"Entry",Z119=""),FALSE,AND((SUMPRODUCT(('Q1 Data'!$D$4:$D$207=D119)*('Q1 Data'!$B$4:$B$207="Challan")*('Q1 Data'!$H$4:$H$207&lt;&gt;""))+SUMPRODUCT(('Q2 Data'!$D$4:$D$207=D119)*('Q2 Data'!$B$4:$B$207="Challan")*('Q2 Data'!$H$4:$H$207&lt;&gt;""))+SUMPRODUCT(('Q3 Data'!$D$4:$D$207=D119)*('Q3 Data'!$B$4:$B$207="Challan")*('Q3 Data'!$H$4:$H$207&lt;&gt;""))+SUMPRODUCT(('Q4 Data'!$D$4:$D$207=D119)*('Q4 Data'!$B$4:$B$207="Challan")*('Q4 Data'!$H$4:$H$207&lt;&gt;"")))&gt;0,(SUMPRODUCT(('Q1 Data'!$D$4:$D$207=D119)*('Q1 Data'!$B$4:$B$207="Challan")*('Q1 Data'!$H$4:$H$207=Z119))+SUMPRODUCT(('Q2 Data'!$D$4:$D$207=D119)*('Q2 Data'!$B$4:$B$207="Challan")*('Q2 Data'!$H$4:$H$207=Z119))+SUMPRODUCT(('Q3 Data'!$D$4:$D$207=D119)*('Q3 Data'!$B$4:$B$207="Challan")*('Q3 Data'!$H$4:$H$207=Z119))+SUMPRODUCT(('Q4 Data'!$D$4:$D$207=D119)*('Q4 Data'!$B$4:$B$207="Challan")*('Q4 Data'!$H$4:$H$207=Z119)))=0))</f>
      </c>
    </row>
    <row r="120" spans="1:44" x14ac:dyDescent="0.25">
      <c r="A120" s="20">
        <f>IF($B120="Entry",COUNTIF($B$4:$B120,"Entry"),"")</f>
      </c>
      <c r="B120" s="21"/>
      <c r="C120" s="22"/>
      <c r="D120" s="22"/>
      <c r="E120" s="23">
        <f>IF($B120&lt;&gt;"Challan","",IF(ROUND(AN120-AO120,2)&gt;0,"Over-applied",IF(ROUND(AN120-AO120,2)=0,"Fully Utilised","Unconsumed")))</f>
      </c>
      <c r="F120" s="24"/>
      <c r="G120" s="25"/>
      <c r="H120" s="25"/>
      <c r="I120" s="26"/>
      <c r="J120" s="26"/>
      <c r="K120" s="26"/>
      <c r="L120" s="26"/>
      <c r="M120" s="26"/>
      <c r="N120" s="26"/>
      <c r="O120" s="26"/>
      <c r="P120" s="27">
        <f>IF($B120&lt;&gt;"Challan","",I120+J120+K120+L120+M120+N120)</f>
      </c>
      <c r="Q120" s="25"/>
      <c r="R120" s="25"/>
      <c r="S120" s="25"/>
      <c r="T120" s="25"/>
      <c r="U120" s="25"/>
      <c r="V120" s="28"/>
      <c r="W120" s="28"/>
      <c r="X120" s="23">
        <f>IF($B120="Entry",IF(AND(LEN(TRIM(UPPER(W120)))=10,CODE(MID(TRIM(UPPER(W120)),1,1))&gt;=65,CODE(MID(TRIM(UPPER(W120)),1,1))&lt;=90,CODE(MID(TRIM(UPPER(W120)),2,1))&gt;=65,CODE(MID(TRIM(UPPER(W120)),2,1))&lt;=90,CODE(MID(TRIM(UPPER(W120)),3,1))&gt;=65,CODE(MID(TRIM(UPPER(W120)),3,1))&lt;=90,CODE(MID(TRIM(UPPER(W120)),4,1))&gt;=65,CODE(MID(TRIM(UPPER(W120)),4,1))&lt;=90,CODE(MID(TRIM(UPPER(W120)),5,1))&gt;=65,CODE(MID(TRIM(UPPER(W120)),5,1))&lt;=90,CODE(MID(TRIM(UPPER(W120)),10,1))&gt;=65,CODE(MID(TRIM(UPPER(W120)),10,1))&lt;=90,CODE(MID(TRIM(UPPER(W120)),6,1))&gt;=48,CODE(MID(TRIM(UPPER(W120)),6,1))&lt;=57,CODE(MID(TRIM(UPPER(W120)),7,1))&gt;=48,CODE(MID(TRIM(UPPER(W120)),7,1))&lt;=57,CODE(MID(TRIM(UPPER(W120)),8,1))&gt;=48,CODE(MID(TRIM(UPPER(W120)),8,1))&lt;=57,CODE(MID(TRIM(UPPER(W120)),9,1))&gt;=48,CODE(MID(TRIM(UPPER(W120)),9,1))&lt;=57),"N","Y"),IF($B120="Challan","",IF(W120&lt;&gt;"","◄ Set Row Type","")))</f>
      </c>
      <c r="Y120" s="23">
        <f>IF($B120="Entry",IF(LEN(W120)&lt;4,"",IF(UPPER(MID(W120,4,1))="P","Individual",IF(UPPER(MID(W120,4,1))="H","HUF",IF(UPPER(MID(W120,4,1))="C","Company",IF(UPPER(MID(W120,4,1))="F","Firm",IF(UPPER(MID(W120,4,1))="L","LLP",IF(UPPER(MID(W120,4,1))="T","Trust",IF(UPPER(MID(W120,4,1))="A","AOP","")))))))),IF($B120="Challan","",IF(W120&lt;&gt;"","◄ Set Row Type","")))</f>
      </c>
      <c r="Z120" s="28"/>
      <c r="AA120" s="29">
        <f>IF($B120&lt;&gt;"Entry","",IF(Z120="","",IF(X120="Y",SUMPRODUCT(('Rate Lookup'!$A$1:$A$37=Z120)*'Rate Lookup'!$D$1:$D$37),IF(OR(Y120="Individual",Y120="HUF"),SUMPRODUCT(('Rate Lookup'!$A$1:$A$37=Z120)*'Rate Lookup'!$B$1:$B$37),SUMPRODUCT(('Rate Lookup'!$A$1:$A$37=Z120)*'Rate Lookup'!$C$1:$C$37)))))</f>
      </c>
      <c r="AB120" s="30"/>
      <c r="AC120" s="31"/>
      <c r="AD120" s="27">
        <f>IF($B120&lt;&gt;"Entry","",ROUND(AC120*AA120/100,0))</f>
      </c>
      <c r="AE120" s="27">
        <f>IF($B120&lt;&gt;"Entry","",0)</f>
      </c>
      <c r="AF120" s="27">
        <f>IF($B120&lt;&gt;"Entry","",0)</f>
      </c>
      <c r="AG120" s="27">
        <f>IF($B120&lt;&gt;"Entry","",IF(OR(AD120=0,AB120="",AQ120="",AQ120&lt;=0),0,IF(AQ120&lt;=DATE(YEAR(AB120),MONTH(AB120)+1,7),0,ROUND(AD120*0.015*((YEAR(AQ120)-YEAR(AB120))*12+(MONTH(AQ120)-MONTH(AB120))+1),0))))</f>
      </c>
      <c r="AH120" s="27">
        <f>IF($B120&lt;&gt;"Entry","",0)</f>
      </c>
      <c r="AI120" s="28"/>
      <c r="AJ120" s="28"/>
      <c r="AK120" s="32"/>
      <c r="AL120" s="28"/>
      <c r="AM120" s="28"/>
      <c r="AN120" s="27">
        <f>IF($B120&lt;&gt;"Challan","",SUMIF('Q1 Data'!$D$4:$D$207,D120,'Q1 Data'!$AD$4:$AD$207)+SUMIF('Q1 Data'!$D$4:$D$207,D120,'Q1 Data'!$AG$4:$AG$207)+SUMIF('Q1 Data'!$D$4:$D$207,D120,'Q1 Data'!$AE$4:$AE$207)+SUMIF('Q2 Data'!$D$4:$D$207,D120,'Q2 Data'!$AD$4:$AD$207)+SUMIF('Q2 Data'!$D$4:$D$207,D120,'Q2 Data'!$AG$4:$AG$207)+SUMIF('Q2 Data'!$D$4:$D$207,D120,'Q2 Data'!$AE$4:$AE$207)+SUMIF('Q3 Data'!$D$4:$D$207,D120,'Q3 Data'!$AD$4:$AD$207)+SUMIF('Q3 Data'!$D$4:$D$207,D120,'Q3 Data'!$AG$4:$AG$207)+SUMIF('Q3 Data'!$D$4:$D$207,D120,'Q3 Data'!$AE$4:$AE$207)+SUMIF('Q4 Data'!$D$4:$D$207,D120,'Q4 Data'!$AD$4:$AD$207)+SUMIF('Q4 Data'!$D$4:$D$207,D120,'Q4 Data'!$AG$4:$AG$207)+SUMIF('Q4 Data'!$D$4:$D$207,D120,'Q4 Data'!$AE$4:$AE$207))</f>
      </c>
      <c r="AO120" s="27">
        <f>IF($B120&lt;&gt;"Challan","",P120-N120)</f>
      </c>
      <c r="AP120" s="27">
        <f>IF($B120&lt;&gt;"Challan","",MAX(0,AO120-AN120))</f>
      </c>
      <c r="AQ120" s="33">
        <f>IF($B120&lt;&gt;"Entry","",SUMPRODUCT(('Q1 Data'!$D$4:$D$207=D120)*('Q1 Data'!$B$4:$B$207="Challan")*'Q1 Data'!$F$4:$F$207)+SUMPRODUCT(('Q2 Data'!$D$4:$D$207=D120)*('Q2 Data'!$B$4:$B$207="Challan")*'Q2 Data'!$F$4:$F$207)+SUMPRODUCT(('Q3 Data'!$D$4:$D$207=D120)*('Q3 Data'!$B$4:$B$207="Challan")*'Q3 Data'!$F$4:$F$207)+SUMPRODUCT(('Q4 Data'!$D$4:$D$207=D120)*('Q4 Data'!$B$4:$B$207="Challan")*'Q4 Data'!$F$4:$F$207))</f>
      </c>
      <c r="AR120" s="34">
        <f>IF(OR($B120&lt;&gt;"Entry",Z120=""),FALSE,AND((SUMPRODUCT(('Q1 Data'!$D$4:$D$207=D120)*('Q1 Data'!$B$4:$B$207="Challan")*('Q1 Data'!$H$4:$H$207&lt;&gt;""))+SUMPRODUCT(('Q2 Data'!$D$4:$D$207=D120)*('Q2 Data'!$B$4:$B$207="Challan")*('Q2 Data'!$H$4:$H$207&lt;&gt;""))+SUMPRODUCT(('Q3 Data'!$D$4:$D$207=D120)*('Q3 Data'!$B$4:$B$207="Challan")*('Q3 Data'!$H$4:$H$207&lt;&gt;""))+SUMPRODUCT(('Q4 Data'!$D$4:$D$207=D120)*('Q4 Data'!$B$4:$B$207="Challan")*('Q4 Data'!$H$4:$H$207&lt;&gt;"")))&gt;0,(SUMPRODUCT(('Q1 Data'!$D$4:$D$207=D120)*('Q1 Data'!$B$4:$B$207="Challan")*('Q1 Data'!$H$4:$H$207=Z120))+SUMPRODUCT(('Q2 Data'!$D$4:$D$207=D120)*('Q2 Data'!$B$4:$B$207="Challan")*('Q2 Data'!$H$4:$H$207=Z120))+SUMPRODUCT(('Q3 Data'!$D$4:$D$207=D120)*('Q3 Data'!$B$4:$B$207="Challan")*('Q3 Data'!$H$4:$H$207=Z120))+SUMPRODUCT(('Q4 Data'!$D$4:$D$207=D120)*('Q4 Data'!$B$4:$B$207="Challan")*('Q4 Data'!$H$4:$H$207=Z120)))=0))</f>
      </c>
    </row>
    <row r="121" spans="1:44" x14ac:dyDescent="0.25">
      <c r="A121" s="20">
        <f>IF($B121="Entry",COUNTIF($B$4:$B121,"Entry"),"")</f>
      </c>
      <c r="B121" s="21"/>
      <c r="C121" s="22"/>
      <c r="D121" s="22"/>
      <c r="E121" s="23">
        <f>IF($B121&lt;&gt;"Challan","",IF(ROUND(AN121-AO121,2)&gt;0,"Over-applied",IF(ROUND(AN121-AO121,2)=0,"Fully Utilised","Unconsumed")))</f>
      </c>
      <c r="F121" s="24"/>
      <c r="G121" s="25"/>
      <c r="H121" s="25"/>
      <c r="I121" s="26"/>
      <c r="J121" s="26"/>
      <c r="K121" s="26"/>
      <c r="L121" s="26"/>
      <c r="M121" s="26"/>
      <c r="N121" s="26"/>
      <c r="O121" s="26"/>
      <c r="P121" s="27">
        <f>IF($B121&lt;&gt;"Challan","",I121+J121+K121+L121+M121+N121)</f>
      </c>
      <c r="Q121" s="25"/>
      <c r="R121" s="25"/>
      <c r="S121" s="25"/>
      <c r="T121" s="25"/>
      <c r="U121" s="25"/>
      <c r="V121" s="28"/>
      <c r="W121" s="28"/>
      <c r="X121" s="23">
        <f>IF($B121="Entry",IF(AND(LEN(TRIM(UPPER(W121)))=10,CODE(MID(TRIM(UPPER(W121)),1,1))&gt;=65,CODE(MID(TRIM(UPPER(W121)),1,1))&lt;=90,CODE(MID(TRIM(UPPER(W121)),2,1))&gt;=65,CODE(MID(TRIM(UPPER(W121)),2,1))&lt;=90,CODE(MID(TRIM(UPPER(W121)),3,1))&gt;=65,CODE(MID(TRIM(UPPER(W121)),3,1))&lt;=90,CODE(MID(TRIM(UPPER(W121)),4,1))&gt;=65,CODE(MID(TRIM(UPPER(W121)),4,1))&lt;=90,CODE(MID(TRIM(UPPER(W121)),5,1))&gt;=65,CODE(MID(TRIM(UPPER(W121)),5,1))&lt;=90,CODE(MID(TRIM(UPPER(W121)),10,1))&gt;=65,CODE(MID(TRIM(UPPER(W121)),10,1))&lt;=90,CODE(MID(TRIM(UPPER(W121)),6,1))&gt;=48,CODE(MID(TRIM(UPPER(W121)),6,1))&lt;=57,CODE(MID(TRIM(UPPER(W121)),7,1))&gt;=48,CODE(MID(TRIM(UPPER(W121)),7,1))&lt;=57,CODE(MID(TRIM(UPPER(W121)),8,1))&gt;=48,CODE(MID(TRIM(UPPER(W121)),8,1))&lt;=57,CODE(MID(TRIM(UPPER(W121)),9,1))&gt;=48,CODE(MID(TRIM(UPPER(W121)),9,1))&lt;=57),"N","Y"),IF($B121="Challan","",IF(W121&lt;&gt;"","◄ Set Row Type","")))</f>
      </c>
      <c r="Y121" s="23">
        <f>IF($B121="Entry",IF(LEN(W121)&lt;4,"",IF(UPPER(MID(W121,4,1))="P","Individual",IF(UPPER(MID(W121,4,1))="H","HUF",IF(UPPER(MID(W121,4,1))="C","Company",IF(UPPER(MID(W121,4,1))="F","Firm",IF(UPPER(MID(W121,4,1))="L","LLP",IF(UPPER(MID(W121,4,1))="T","Trust",IF(UPPER(MID(W121,4,1))="A","AOP","")))))))),IF($B121="Challan","",IF(W121&lt;&gt;"","◄ Set Row Type","")))</f>
      </c>
      <c r="Z121" s="28"/>
      <c r="AA121" s="29">
        <f>IF($B121&lt;&gt;"Entry","",IF(Z121="","",IF(X121="Y",SUMPRODUCT(('Rate Lookup'!$A$1:$A$37=Z121)*'Rate Lookup'!$D$1:$D$37),IF(OR(Y121="Individual",Y121="HUF"),SUMPRODUCT(('Rate Lookup'!$A$1:$A$37=Z121)*'Rate Lookup'!$B$1:$B$37),SUMPRODUCT(('Rate Lookup'!$A$1:$A$37=Z121)*'Rate Lookup'!$C$1:$C$37)))))</f>
      </c>
      <c r="AB121" s="30"/>
      <c r="AC121" s="31"/>
      <c r="AD121" s="27">
        <f>IF($B121&lt;&gt;"Entry","",ROUND(AC121*AA121/100,0))</f>
      </c>
      <c r="AE121" s="27">
        <f>IF($B121&lt;&gt;"Entry","",0)</f>
      </c>
      <c r="AF121" s="27">
        <f>IF($B121&lt;&gt;"Entry","",0)</f>
      </c>
      <c r="AG121" s="27">
        <f>IF($B121&lt;&gt;"Entry","",IF(OR(AD121=0,AB121="",AQ121="",AQ121&lt;=0),0,IF(AQ121&lt;=DATE(YEAR(AB121),MONTH(AB121)+1,7),0,ROUND(AD121*0.015*((YEAR(AQ121)-YEAR(AB121))*12+(MONTH(AQ121)-MONTH(AB121))+1),0))))</f>
      </c>
      <c r="AH121" s="27">
        <f>IF($B121&lt;&gt;"Entry","",0)</f>
      </c>
      <c r="AI121" s="28"/>
      <c r="AJ121" s="28"/>
      <c r="AK121" s="32"/>
      <c r="AL121" s="28"/>
      <c r="AM121" s="28"/>
      <c r="AN121" s="27">
        <f>IF($B121&lt;&gt;"Challan","",SUMIF('Q1 Data'!$D$4:$D$207,D121,'Q1 Data'!$AD$4:$AD$207)+SUMIF('Q1 Data'!$D$4:$D$207,D121,'Q1 Data'!$AG$4:$AG$207)+SUMIF('Q1 Data'!$D$4:$D$207,D121,'Q1 Data'!$AE$4:$AE$207)+SUMIF('Q2 Data'!$D$4:$D$207,D121,'Q2 Data'!$AD$4:$AD$207)+SUMIF('Q2 Data'!$D$4:$D$207,D121,'Q2 Data'!$AG$4:$AG$207)+SUMIF('Q2 Data'!$D$4:$D$207,D121,'Q2 Data'!$AE$4:$AE$207)+SUMIF('Q3 Data'!$D$4:$D$207,D121,'Q3 Data'!$AD$4:$AD$207)+SUMIF('Q3 Data'!$D$4:$D$207,D121,'Q3 Data'!$AG$4:$AG$207)+SUMIF('Q3 Data'!$D$4:$D$207,D121,'Q3 Data'!$AE$4:$AE$207)+SUMIF('Q4 Data'!$D$4:$D$207,D121,'Q4 Data'!$AD$4:$AD$207)+SUMIF('Q4 Data'!$D$4:$D$207,D121,'Q4 Data'!$AG$4:$AG$207)+SUMIF('Q4 Data'!$D$4:$D$207,D121,'Q4 Data'!$AE$4:$AE$207))</f>
      </c>
      <c r="AO121" s="27">
        <f>IF($B121&lt;&gt;"Challan","",P121-N121)</f>
      </c>
      <c r="AP121" s="27">
        <f>IF($B121&lt;&gt;"Challan","",MAX(0,AO121-AN121))</f>
      </c>
      <c r="AQ121" s="33">
        <f>IF($B121&lt;&gt;"Entry","",SUMPRODUCT(('Q1 Data'!$D$4:$D$207=D121)*('Q1 Data'!$B$4:$B$207="Challan")*'Q1 Data'!$F$4:$F$207)+SUMPRODUCT(('Q2 Data'!$D$4:$D$207=D121)*('Q2 Data'!$B$4:$B$207="Challan")*'Q2 Data'!$F$4:$F$207)+SUMPRODUCT(('Q3 Data'!$D$4:$D$207=D121)*('Q3 Data'!$B$4:$B$207="Challan")*'Q3 Data'!$F$4:$F$207)+SUMPRODUCT(('Q4 Data'!$D$4:$D$207=D121)*('Q4 Data'!$B$4:$B$207="Challan")*'Q4 Data'!$F$4:$F$207))</f>
      </c>
      <c r="AR121" s="34">
        <f>IF(OR($B121&lt;&gt;"Entry",Z121=""),FALSE,AND((SUMPRODUCT(('Q1 Data'!$D$4:$D$207=D121)*('Q1 Data'!$B$4:$B$207="Challan")*('Q1 Data'!$H$4:$H$207&lt;&gt;""))+SUMPRODUCT(('Q2 Data'!$D$4:$D$207=D121)*('Q2 Data'!$B$4:$B$207="Challan")*('Q2 Data'!$H$4:$H$207&lt;&gt;""))+SUMPRODUCT(('Q3 Data'!$D$4:$D$207=D121)*('Q3 Data'!$B$4:$B$207="Challan")*('Q3 Data'!$H$4:$H$207&lt;&gt;""))+SUMPRODUCT(('Q4 Data'!$D$4:$D$207=D121)*('Q4 Data'!$B$4:$B$207="Challan")*('Q4 Data'!$H$4:$H$207&lt;&gt;"")))&gt;0,(SUMPRODUCT(('Q1 Data'!$D$4:$D$207=D121)*('Q1 Data'!$B$4:$B$207="Challan")*('Q1 Data'!$H$4:$H$207=Z121))+SUMPRODUCT(('Q2 Data'!$D$4:$D$207=D121)*('Q2 Data'!$B$4:$B$207="Challan")*('Q2 Data'!$H$4:$H$207=Z121))+SUMPRODUCT(('Q3 Data'!$D$4:$D$207=D121)*('Q3 Data'!$B$4:$B$207="Challan")*('Q3 Data'!$H$4:$H$207=Z121))+SUMPRODUCT(('Q4 Data'!$D$4:$D$207=D121)*('Q4 Data'!$B$4:$B$207="Challan")*('Q4 Data'!$H$4:$H$207=Z121)))=0))</f>
      </c>
    </row>
    <row r="122" spans="1:44" x14ac:dyDescent="0.25">
      <c r="A122" s="20">
        <f>IF($B122="Entry",COUNTIF($B$4:$B122,"Entry"),"")</f>
      </c>
      <c r="B122" s="21"/>
      <c r="C122" s="22"/>
      <c r="D122" s="22"/>
      <c r="E122" s="23">
        <f>IF($B122&lt;&gt;"Challan","",IF(ROUND(AN122-AO122,2)&gt;0,"Over-applied",IF(ROUND(AN122-AO122,2)=0,"Fully Utilised","Unconsumed")))</f>
      </c>
      <c r="F122" s="24"/>
      <c r="G122" s="25"/>
      <c r="H122" s="25"/>
      <c r="I122" s="26"/>
      <c r="J122" s="26"/>
      <c r="K122" s="26"/>
      <c r="L122" s="26"/>
      <c r="M122" s="26"/>
      <c r="N122" s="26"/>
      <c r="O122" s="26"/>
      <c r="P122" s="27">
        <f>IF($B122&lt;&gt;"Challan","",I122+J122+K122+L122+M122+N122)</f>
      </c>
      <c r="Q122" s="25"/>
      <c r="R122" s="25"/>
      <c r="S122" s="25"/>
      <c r="T122" s="25"/>
      <c r="U122" s="25"/>
      <c r="V122" s="28"/>
      <c r="W122" s="28"/>
      <c r="X122" s="23">
        <f>IF($B122="Entry",IF(AND(LEN(TRIM(UPPER(W122)))=10,CODE(MID(TRIM(UPPER(W122)),1,1))&gt;=65,CODE(MID(TRIM(UPPER(W122)),1,1))&lt;=90,CODE(MID(TRIM(UPPER(W122)),2,1))&gt;=65,CODE(MID(TRIM(UPPER(W122)),2,1))&lt;=90,CODE(MID(TRIM(UPPER(W122)),3,1))&gt;=65,CODE(MID(TRIM(UPPER(W122)),3,1))&lt;=90,CODE(MID(TRIM(UPPER(W122)),4,1))&gt;=65,CODE(MID(TRIM(UPPER(W122)),4,1))&lt;=90,CODE(MID(TRIM(UPPER(W122)),5,1))&gt;=65,CODE(MID(TRIM(UPPER(W122)),5,1))&lt;=90,CODE(MID(TRIM(UPPER(W122)),10,1))&gt;=65,CODE(MID(TRIM(UPPER(W122)),10,1))&lt;=90,CODE(MID(TRIM(UPPER(W122)),6,1))&gt;=48,CODE(MID(TRIM(UPPER(W122)),6,1))&lt;=57,CODE(MID(TRIM(UPPER(W122)),7,1))&gt;=48,CODE(MID(TRIM(UPPER(W122)),7,1))&lt;=57,CODE(MID(TRIM(UPPER(W122)),8,1))&gt;=48,CODE(MID(TRIM(UPPER(W122)),8,1))&lt;=57,CODE(MID(TRIM(UPPER(W122)),9,1))&gt;=48,CODE(MID(TRIM(UPPER(W122)),9,1))&lt;=57),"N","Y"),IF($B122="Challan","",IF(W122&lt;&gt;"","◄ Set Row Type","")))</f>
      </c>
      <c r="Y122" s="23">
        <f>IF($B122="Entry",IF(LEN(W122)&lt;4,"",IF(UPPER(MID(W122,4,1))="P","Individual",IF(UPPER(MID(W122,4,1))="H","HUF",IF(UPPER(MID(W122,4,1))="C","Company",IF(UPPER(MID(W122,4,1))="F","Firm",IF(UPPER(MID(W122,4,1))="L","LLP",IF(UPPER(MID(W122,4,1))="T","Trust",IF(UPPER(MID(W122,4,1))="A","AOP","")))))))),IF($B122="Challan","",IF(W122&lt;&gt;"","◄ Set Row Type","")))</f>
      </c>
      <c r="Z122" s="28"/>
      <c r="AA122" s="29">
        <f>IF($B122&lt;&gt;"Entry","",IF(Z122="","",IF(X122="Y",SUMPRODUCT(('Rate Lookup'!$A$1:$A$37=Z122)*'Rate Lookup'!$D$1:$D$37),IF(OR(Y122="Individual",Y122="HUF"),SUMPRODUCT(('Rate Lookup'!$A$1:$A$37=Z122)*'Rate Lookup'!$B$1:$B$37),SUMPRODUCT(('Rate Lookup'!$A$1:$A$37=Z122)*'Rate Lookup'!$C$1:$C$37)))))</f>
      </c>
      <c r="AB122" s="30"/>
      <c r="AC122" s="31"/>
      <c r="AD122" s="27">
        <f>IF($B122&lt;&gt;"Entry","",ROUND(AC122*AA122/100,0))</f>
      </c>
      <c r="AE122" s="27">
        <f>IF($B122&lt;&gt;"Entry","",0)</f>
      </c>
      <c r="AF122" s="27">
        <f>IF($B122&lt;&gt;"Entry","",0)</f>
      </c>
      <c r="AG122" s="27">
        <f>IF($B122&lt;&gt;"Entry","",IF(OR(AD122=0,AB122="",AQ122="",AQ122&lt;=0),0,IF(AQ122&lt;=DATE(YEAR(AB122),MONTH(AB122)+1,7),0,ROUND(AD122*0.015*((YEAR(AQ122)-YEAR(AB122))*12+(MONTH(AQ122)-MONTH(AB122))+1),0))))</f>
      </c>
      <c r="AH122" s="27">
        <f>IF($B122&lt;&gt;"Entry","",0)</f>
      </c>
      <c r="AI122" s="28"/>
      <c r="AJ122" s="28"/>
      <c r="AK122" s="32"/>
      <c r="AL122" s="28"/>
      <c r="AM122" s="28"/>
      <c r="AN122" s="27">
        <f>IF($B122&lt;&gt;"Challan","",SUMIF('Q1 Data'!$D$4:$D$207,D122,'Q1 Data'!$AD$4:$AD$207)+SUMIF('Q1 Data'!$D$4:$D$207,D122,'Q1 Data'!$AG$4:$AG$207)+SUMIF('Q1 Data'!$D$4:$D$207,D122,'Q1 Data'!$AE$4:$AE$207)+SUMIF('Q2 Data'!$D$4:$D$207,D122,'Q2 Data'!$AD$4:$AD$207)+SUMIF('Q2 Data'!$D$4:$D$207,D122,'Q2 Data'!$AG$4:$AG$207)+SUMIF('Q2 Data'!$D$4:$D$207,D122,'Q2 Data'!$AE$4:$AE$207)+SUMIF('Q3 Data'!$D$4:$D$207,D122,'Q3 Data'!$AD$4:$AD$207)+SUMIF('Q3 Data'!$D$4:$D$207,D122,'Q3 Data'!$AG$4:$AG$207)+SUMIF('Q3 Data'!$D$4:$D$207,D122,'Q3 Data'!$AE$4:$AE$207)+SUMIF('Q4 Data'!$D$4:$D$207,D122,'Q4 Data'!$AD$4:$AD$207)+SUMIF('Q4 Data'!$D$4:$D$207,D122,'Q4 Data'!$AG$4:$AG$207)+SUMIF('Q4 Data'!$D$4:$D$207,D122,'Q4 Data'!$AE$4:$AE$207))</f>
      </c>
      <c r="AO122" s="27">
        <f>IF($B122&lt;&gt;"Challan","",P122-N122)</f>
      </c>
      <c r="AP122" s="27">
        <f>IF($B122&lt;&gt;"Challan","",MAX(0,AO122-AN122))</f>
      </c>
      <c r="AQ122" s="33">
        <f>IF($B122&lt;&gt;"Entry","",SUMPRODUCT(('Q1 Data'!$D$4:$D$207=D122)*('Q1 Data'!$B$4:$B$207="Challan")*'Q1 Data'!$F$4:$F$207)+SUMPRODUCT(('Q2 Data'!$D$4:$D$207=D122)*('Q2 Data'!$B$4:$B$207="Challan")*'Q2 Data'!$F$4:$F$207)+SUMPRODUCT(('Q3 Data'!$D$4:$D$207=D122)*('Q3 Data'!$B$4:$B$207="Challan")*'Q3 Data'!$F$4:$F$207)+SUMPRODUCT(('Q4 Data'!$D$4:$D$207=D122)*('Q4 Data'!$B$4:$B$207="Challan")*'Q4 Data'!$F$4:$F$207))</f>
      </c>
      <c r="AR122" s="34">
        <f>IF(OR($B122&lt;&gt;"Entry",Z122=""),FALSE,AND((SUMPRODUCT(('Q1 Data'!$D$4:$D$207=D122)*('Q1 Data'!$B$4:$B$207="Challan")*('Q1 Data'!$H$4:$H$207&lt;&gt;""))+SUMPRODUCT(('Q2 Data'!$D$4:$D$207=D122)*('Q2 Data'!$B$4:$B$207="Challan")*('Q2 Data'!$H$4:$H$207&lt;&gt;""))+SUMPRODUCT(('Q3 Data'!$D$4:$D$207=D122)*('Q3 Data'!$B$4:$B$207="Challan")*('Q3 Data'!$H$4:$H$207&lt;&gt;""))+SUMPRODUCT(('Q4 Data'!$D$4:$D$207=D122)*('Q4 Data'!$B$4:$B$207="Challan")*('Q4 Data'!$H$4:$H$207&lt;&gt;"")))&gt;0,(SUMPRODUCT(('Q1 Data'!$D$4:$D$207=D122)*('Q1 Data'!$B$4:$B$207="Challan")*('Q1 Data'!$H$4:$H$207=Z122))+SUMPRODUCT(('Q2 Data'!$D$4:$D$207=D122)*('Q2 Data'!$B$4:$B$207="Challan")*('Q2 Data'!$H$4:$H$207=Z122))+SUMPRODUCT(('Q3 Data'!$D$4:$D$207=D122)*('Q3 Data'!$B$4:$B$207="Challan")*('Q3 Data'!$H$4:$H$207=Z122))+SUMPRODUCT(('Q4 Data'!$D$4:$D$207=D122)*('Q4 Data'!$B$4:$B$207="Challan")*('Q4 Data'!$H$4:$H$207=Z122)))=0))</f>
      </c>
    </row>
    <row r="123" spans="1:44" x14ac:dyDescent="0.25">
      <c r="A123" s="20">
        <f>IF($B123="Entry",COUNTIF($B$4:$B123,"Entry"),"")</f>
      </c>
      <c r="B123" s="21"/>
      <c r="C123" s="22"/>
      <c r="D123" s="22"/>
      <c r="E123" s="23">
        <f>IF($B123&lt;&gt;"Challan","",IF(ROUND(AN123-AO123,2)&gt;0,"Over-applied",IF(ROUND(AN123-AO123,2)=0,"Fully Utilised","Unconsumed")))</f>
      </c>
      <c r="F123" s="24"/>
      <c r="G123" s="25"/>
      <c r="H123" s="25"/>
      <c r="I123" s="26"/>
      <c r="J123" s="26"/>
      <c r="K123" s="26"/>
      <c r="L123" s="26"/>
      <c r="M123" s="26"/>
      <c r="N123" s="26"/>
      <c r="O123" s="26"/>
      <c r="P123" s="27">
        <f>IF($B123&lt;&gt;"Challan","",I123+J123+K123+L123+M123+N123)</f>
      </c>
      <c r="Q123" s="25"/>
      <c r="R123" s="25"/>
      <c r="S123" s="25"/>
      <c r="T123" s="25"/>
      <c r="U123" s="25"/>
      <c r="V123" s="28"/>
      <c r="W123" s="28"/>
      <c r="X123" s="23">
        <f>IF($B123="Entry",IF(AND(LEN(TRIM(UPPER(W123)))=10,CODE(MID(TRIM(UPPER(W123)),1,1))&gt;=65,CODE(MID(TRIM(UPPER(W123)),1,1))&lt;=90,CODE(MID(TRIM(UPPER(W123)),2,1))&gt;=65,CODE(MID(TRIM(UPPER(W123)),2,1))&lt;=90,CODE(MID(TRIM(UPPER(W123)),3,1))&gt;=65,CODE(MID(TRIM(UPPER(W123)),3,1))&lt;=90,CODE(MID(TRIM(UPPER(W123)),4,1))&gt;=65,CODE(MID(TRIM(UPPER(W123)),4,1))&lt;=90,CODE(MID(TRIM(UPPER(W123)),5,1))&gt;=65,CODE(MID(TRIM(UPPER(W123)),5,1))&lt;=90,CODE(MID(TRIM(UPPER(W123)),10,1))&gt;=65,CODE(MID(TRIM(UPPER(W123)),10,1))&lt;=90,CODE(MID(TRIM(UPPER(W123)),6,1))&gt;=48,CODE(MID(TRIM(UPPER(W123)),6,1))&lt;=57,CODE(MID(TRIM(UPPER(W123)),7,1))&gt;=48,CODE(MID(TRIM(UPPER(W123)),7,1))&lt;=57,CODE(MID(TRIM(UPPER(W123)),8,1))&gt;=48,CODE(MID(TRIM(UPPER(W123)),8,1))&lt;=57,CODE(MID(TRIM(UPPER(W123)),9,1))&gt;=48,CODE(MID(TRIM(UPPER(W123)),9,1))&lt;=57),"N","Y"),IF($B123="Challan","",IF(W123&lt;&gt;"","◄ Set Row Type","")))</f>
      </c>
      <c r="Y123" s="23">
        <f>IF($B123="Entry",IF(LEN(W123)&lt;4,"",IF(UPPER(MID(W123,4,1))="P","Individual",IF(UPPER(MID(W123,4,1))="H","HUF",IF(UPPER(MID(W123,4,1))="C","Company",IF(UPPER(MID(W123,4,1))="F","Firm",IF(UPPER(MID(W123,4,1))="L","LLP",IF(UPPER(MID(W123,4,1))="T","Trust",IF(UPPER(MID(W123,4,1))="A","AOP","")))))))),IF($B123="Challan","",IF(W123&lt;&gt;"","◄ Set Row Type","")))</f>
      </c>
      <c r="Z123" s="28"/>
      <c r="AA123" s="29">
        <f>IF($B123&lt;&gt;"Entry","",IF(Z123="","",IF(X123="Y",SUMPRODUCT(('Rate Lookup'!$A$1:$A$37=Z123)*'Rate Lookup'!$D$1:$D$37),IF(OR(Y123="Individual",Y123="HUF"),SUMPRODUCT(('Rate Lookup'!$A$1:$A$37=Z123)*'Rate Lookup'!$B$1:$B$37),SUMPRODUCT(('Rate Lookup'!$A$1:$A$37=Z123)*'Rate Lookup'!$C$1:$C$37)))))</f>
      </c>
      <c r="AB123" s="30"/>
      <c r="AC123" s="31"/>
      <c r="AD123" s="27">
        <f>IF($B123&lt;&gt;"Entry","",ROUND(AC123*AA123/100,0))</f>
      </c>
      <c r="AE123" s="27">
        <f>IF($B123&lt;&gt;"Entry","",0)</f>
      </c>
      <c r="AF123" s="27">
        <f>IF($B123&lt;&gt;"Entry","",0)</f>
      </c>
      <c r="AG123" s="27">
        <f>IF($B123&lt;&gt;"Entry","",IF(OR(AD123=0,AB123="",AQ123="",AQ123&lt;=0),0,IF(AQ123&lt;=DATE(YEAR(AB123),MONTH(AB123)+1,7),0,ROUND(AD123*0.015*((YEAR(AQ123)-YEAR(AB123))*12+(MONTH(AQ123)-MONTH(AB123))+1),0))))</f>
      </c>
      <c r="AH123" s="27">
        <f>IF($B123&lt;&gt;"Entry","",0)</f>
      </c>
      <c r="AI123" s="28"/>
      <c r="AJ123" s="28"/>
      <c r="AK123" s="32"/>
      <c r="AL123" s="28"/>
      <c r="AM123" s="28"/>
      <c r="AN123" s="27">
        <f>IF($B123&lt;&gt;"Challan","",SUMIF('Q1 Data'!$D$4:$D$207,D123,'Q1 Data'!$AD$4:$AD$207)+SUMIF('Q1 Data'!$D$4:$D$207,D123,'Q1 Data'!$AG$4:$AG$207)+SUMIF('Q1 Data'!$D$4:$D$207,D123,'Q1 Data'!$AE$4:$AE$207)+SUMIF('Q2 Data'!$D$4:$D$207,D123,'Q2 Data'!$AD$4:$AD$207)+SUMIF('Q2 Data'!$D$4:$D$207,D123,'Q2 Data'!$AG$4:$AG$207)+SUMIF('Q2 Data'!$D$4:$D$207,D123,'Q2 Data'!$AE$4:$AE$207)+SUMIF('Q3 Data'!$D$4:$D$207,D123,'Q3 Data'!$AD$4:$AD$207)+SUMIF('Q3 Data'!$D$4:$D$207,D123,'Q3 Data'!$AG$4:$AG$207)+SUMIF('Q3 Data'!$D$4:$D$207,D123,'Q3 Data'!$AE$4:$AE$207)+SUMIF('Q4 Data'!$D$4:$D$207,D123,'Q4 Data'!$AD$4:$AD$207)+SUMIF('Q4 Data'!$D$4:$D$207,D123,'Q4 Data'!$AG$4:$AG$207)+SUMIF('Q4 Data'!$D$4:$D$207,D123,'Q4 Data'!$AE$4:$AE$207))</f>
      </c>
      <c r="AO123" s="27">
        <f>IF($B123&lt;&gt;"Challan","",P123-N123)</f>
      </c>
      <c r="AP123" s="27">
        <f>IF($B123&lt;&gt;"Challan","",MAX(0,AO123-AN123))</f>
      </c>
      <c r="AQ123" s="33">
        <f>IF($B123&lt;&gt;"Entry","",SUMPRODUCT(('Q1 Data'!$D$4:$D$207=D123)*('Q1 Data'!$B$4:$B$207="Challan")*'Q1 Data'!$F$4:$F$207)+SUMPRODUCT(('Q2 Data'!$D$4:$D$207=D123)*('Q2 Data'!$B$4:$B$207="Challan")*'Q2 Data'!$F$4:$F$207)+SUMPRODUCT(('Q3 Data'!$D$4:$D$207=D123)*('Q3 Data'!$B$4:$B$207="Challan")*'Q3 Data'!$F$4:$F$207)+SUMPRODUCT(('Q4 Data'!$D$4:$D$207=D123)*('Q4 Data'!$B$4:$B$207="Challan")*'Q4 Data'!$F$4:$F$207))</f>
      </c>
      <c r="AR123" s="34">
        <f>IF(OR($B123&lt;&gt;"Entry",Z123=""),FALSE,AND((SUMPRODUCT(('Q1 Data'!$D$4:$D$207=D123)*('Q1 Data'!$B$4:$B$207="Challan")*('Q1 Data'!$H$4:$H$207&lt;&gt;""))+SUMPRODUCT(('Q2 Data'!$D$4:$D$207=D123)*('Q2 Data'!$B$4:$B$207="Challan")*('Q2 Data'!$H$4:$H$207&lt;&gt;""))+SUMPRODUCT(('Q3 Data'!$D$4:$D$207=D123)*('Q3 Data'!$B$4:$B$207="Challan")*('Q3 Data'!$H$4:$H$207&lt;&gt;""))+SUMPRODUCT(('Q4 Data'!$D$4:$D$207=D123)*('Q4 Data'!$B$4:$B$207="Challan")*('Q4 Data'!$H$4:$H$207&lt;&gt;"")))&gt;0,(SUMPRODUCT(('Q1 Data'!$D$4:$D$207=D123)*('Q1 Data'!$B$4:$B$207="Challan")*('Q1 Data'!$H$4:$H$207=Z123))+SUMPRODUCT(('Q2 Data'!$D$4:$D$207=D123)*('Q2 Data'!$B$4:$B$207="Challan")*('Q2 Data'!$H$4:$H$207=Z123))+SUMPRODUCT(('Q3 Data'!$D$4:$D$207=D123)*('Q3 Data'!$B$4:$B$207="Challan")*('Q3 Data'!$H$4:$H$207=Z123))+SUMPRODUCT(('Q4 Data'!$D$4:$D$207=D123)*('Q4 Data'!$B$4:$B$207="Challan")*('Q4 Data'!$H$4:$H$207=Z123)))=0))</f>
      </c>
    </row>
    <row r="124" spans="1:44" x14ac:dyDescent="0.25">
      <c r="A124" s="20">
        <f>IF($B124="Entry",COUNTIF($B$4:$B124,"Entry"),"")</f>
      </c>
      <c r="B124" s="21"/>
      <c r="C124" s="22"/>
      <c r="D124" s="22"/>
      <c r="E124" s="23">
        <f>IF($B124&lt;&gt;"Challan","",IF(ROUND(AN124-AO124,2)&gt;0,"Over-applied",IF(ROUND(AN124-AO124,2)=0,"Fully Utilised","Unconsumed")))</f>
      </c>
      <c r="F124" s="24"/>
      <c r="G124" s="25"/>
      <c r="H124" s="25"/>
      <c r="I124" s="26"/>
      <c r="J124" s="26"/>
      <c r="K124" s="26"/>
      <c r="L124" s="26"/>
      <c r="M124" s="26"/>
      <c r="N124" s="26"/>
      <c r="O124" s="26"/>
      <c r="P124" s="27">
        <f>IF($B124&lt;&gt;"Challan","",I124+J124+K124+L124+M124+N124)</f>
      </c>
      <c r="Q124" s="25"/>
      <c r="R124" s="25"/>
      <c r="S124" s="25"/>
      <c r="T124" s="25"/>
      <c r="U124" s="25"/>
      <c r="V124" s="28"/>
      <c r="W124" s="28"/>
      <c r="X124" s="23">
        <f>IF($B124="Entry",IF(AND(LEN(TRIM(UPPER(W124)))=10,CODE(MID(TRIM(UPPER(W124)),1,1))&gt;=65,CODE(MID(TRIM(UPPER(W124)),1,1))&lt;=90,CODE(MID(TRIM(UPPER(W124)),2,1))&gt;=65,CODE(MID(TRIM(UPPER(W124)),2,1))&lt;=90,CODE(MID(TRIM(UPPER(W124)),3,1))&gt;=65,CODE(MID(TRIM(UPPER(W124)),3,1))&lt;=90,CODE(MID(TRIM(UPPER(W124)),4,1))&gt;=65,CODE(MID(TRIM(UPPER(W124)),4,1))&lt;=90,CODE(MID(TRIM(UPPER(W124)),5,1))&gt;=65,CODE(MID(TRIM(UPPER(W124)),5,1))&lt;=90,CODE(MID(TRIM(UPPER(W124)),10,1))&gt;=65,CODE(MID(TRIM(UPPER(W124)),10,1))&lt;=90,CODE(MID(TRIM(UPPER(W124)),6,1))&gt;=48,CODE(MID(TRIM(UPPER(W124)),6,1))&lt;=57,CODE(MID(TRIM(UPPER(W124)),7,1))&gt;=48,CODE(MID(TRIM(UPPER(W124)),7,1))&lt;=57,CODE(MID(TRIM(UPPER(W124)),8,1))&gt;=48,CODE(MID(TRIM(UPPER(W124)),8,1))&lt;=57,CODE(MID(TRIM(UPPER(W124)),9,1))&gt;=48,CODE(MID(TRIM(UPPER(W124)),9,1))&lt;=57),"N","Y"),IF($B124="Challan","",IF(W124&lt;&gt;"","◄ Set Row Type","")))</f>
      </c>
      <c r="Y124" s="23">
        <f>IF($B124="Entry",IF(LEN(W124)&lt;4,"",IF(UPPER(MID(W124,4,1))="P","Individual",IF(UPPER(MID(W124,4,1))="H","HUF",IF(UPPER(MID(W124,4,1))="C","Company",IF(UPPER(MID(W124,4,1))="F","Firm",IF(UPPER(MID(W124,4,1))="L","LLP",IF(UPPER(MID(W124,4,1))="T","Trust",IF(UPPER(MID(W124,4,1))="A","AOP","")))))))),IF($B124="Challan","",IF(W124&lt;&gt;"","◄ Set Row Type","")))</f>
      </c>
      <c r="Z124" s="28"/>
      <c r="AA124" s="29">
        <f>IF($B124&lt;&gt;"Entry","",IF(Z124="","",IF(X124="Y",SUMPRODUCT(('Rate Lookup'!$A$1:$A$37=Z124)*'Rate Lookup'!$D$1:$D$37),IF(OR(Y124="Individual",Y124="HUF"),SUMPRODUCT(('Rate Lookup'!$A$1:$A$37=Z124)*'Rate Lookup'!$B$1:$B$37),SUMPRODUCT(('Rate Lookup'!$A$1:$A$37=Z124)*'Rate Lookup'!$C$1:$C$37)))))</f>
      </c>
      <c r="AB124" s="30"/>
      <c r="AC124" s="31"/>
      <c r="AD124" s="27">
        <f>IF($B124&lt;&gt;"Entry","",ROUND(AC124*AA124/100,0))</f>
      </c>
      <c r="AE124" s="27">
        <f>IF($B124&lt;&gt;"Entry","",0)</f>
      </c>
      <c r="AF124" s="27">
        <f>IF($B124&lt;&gt;"Entry","",0)</f>
      </c>
      <c r="AG124" s="27">
        <f>IF($B124&lt;&gt;"Entry","",IF(OR(AD124=0,AB124="",AQ124="",AQ124&lt;=0),0,IF(AQ124&lt;=DATE(YEAR(AB124),MONTH(AB124)+1,7),0,ROUND(AD124*0.015*((YEAR(AQ124)-YEAR(AB124))*12+(MONTH(AQ124)-MONTH(AB124))+1),0))))</f>
      </c>
      <c r="AH124" s="27">
        <f>IF($B124&lt;&gt;"Entry","",0)</f>
      </c>
      <c r="AI124" s="28"/>
      <c r="AJ124" s="28"/>
      <c r="AK124" s="32"/>
      <c r="AL124" s="28"/>
      <c r="AM124" s="28"/>
      <c r="AN124" s="27">
        <f>IF($B124&lt;&gt;"Challan","",SUMIF('Q1 Data'!$D$4:$D$207,D124,'Q1 Data'!$AD$4:$AD$207)+SUMIF('Q1 Data'!$D$4:$D$207,D124,'Q1 Data'!$AG$4:$AG$207)+SUMIF('Q1 Data'!$D$4:$D$207,D124,'Q1 Data'!$AE$4:$AE$207)+SUMIF('Q2 Data'!$D$4:$D$207,D124,'Q2 Data'!$AD$4:$AD$207)+SUMIF('Q2 Data'!$D$4:$D$207,D124,'Q2 Data'!$AG$4:$AG$207)+SUMIF('Q2 Data'!$D$4:$D$207,D124,'Q2 Data'!$AE$4:$AE$207)+SUMIF('Q3 Data'!$D$4:$D$207,D124,'Q3 Data'!$AD$4:$AD$207)+SUMIF('Q3 Data'!$D$4:$D$207,D124,'Q3 Data'!$AG$4:$AG$207)+SUMIF('Q3 Data'!$D$4:$D$207,D124,'Q3 Data'!$AE$4:$AE$207)+SUMIF('Q4 Data'!$D$4:$D$207,D124,'Q4 Data'!$AD$4:$AD$207)+SUMIF('Q4 Data'!$D$4:$D$207,D124,'Q4 Data'!$AG$4:$AG$207)+SUMIF('Q4 Data'!$D$4:$D$207,D124,'Q4 Data'!$AE$4:$AE$207))</f>
      </c>
      <c r="AO124" s="27">
        <f>IF($B124&lt;&gt;"Challan","",P124-N124)</f>
      </c>
      <c r="AP124" s="27">
        <f>IF($B124&lt;&gt;"Challan","",MAX(0,AO124-AN124))</f>
      </c>
      <c r="AQ124" s="33">
        <f>IF($B124&lt;&gt;"Entry","",SUMPRODUCT(('Q1 Data'!$D$4:$D$207=D124)*('Q1 Data'!$B$4:$B$207="Challan")*'Q1 Data'!$F$4:$F$207)+SUMPRODUCT(('Q2 Data'!$D$4:$D$207=D124)*('Q2 Data'!$B$4:$B$207="Challan")*'Q2 Data'!$F$4:$F$207)+SUMPRODUCT(('Q3 Data'!$D$4:$D$207=D124)*('Q3 Data'!$B$4:$B$207="Challan")*'Q3 Data'!$F$4:$F$207)+SUMPRODUCT(('Q4 Data'!$D$4:$D$207=D124)*('Q4 Data'!$B$4:$B$207="Challan")*'Q4 Data'!$F$4:$F$207))</f>
      </c>
      <c r="AR124" s="34">
        <f>IF(OR($B124&lt;&gt;"Entry",Z124=""),FALSE,AND((SUMPRODUCT(('Q1 Data'!$D$4:$D$207=D124)*('Q1 Data'!$B$4:$B$207="Challan")*('Q1 Data'!$H$4:$H$207&lt;&gt;""))+SUMPRODUCT(('Q2 Data'!$D$4:$D$207=D124)*('Q2 Data'!$B$4:$B$207="Challan")*('Q2 Data'!$H$4:$H$207&lt;&gt;""))+SUMPRODUCT(('Q3 Data'!$D$4:$D$207=D124)*('Q3 Data'!$B$4:$B$207="Challan")*('Q3 Data'!$H$4:$H$207&lt;&gt;""))+SUMPRODUCT(('Q4 Data'!$D$4:$D$207=D124)*('Q4 Data'!$B$4:$B$207="Challan")*('Q4 Data'!$H$4:$H$207&lt;&gt;"")))&gt;0,(SUMPRODUCT(('Q1 Data'!$D$4:$D$207=D124)*('Q1 Data'!$B$4:$B$207="Challan")*('Q1 Data'!$H$4:$H$207=Z124))+SUMPRODUCT(('Q2 Data'!$D$4:$D$207=D124)*('Q2 Data'!$B$4:$B$207="Challan")*('Q2 Data'!$H$4:$H$207=Z124))+SUMPRODUCT(('Q3 Data'!$D$4:$D$207=D124)*('Q3 Data'!$B$4:$B$207="Challan")*('Q3 Data'!$H$4:$H$207=Z124))+SUMPRODUCT(('Q4 Data'!$D$4:$D$207=D124)*('Q4 Data'!$B$4:$B$207="Challan")*('Q4 Data'!$H$4:$H$207=Z124)))=0))</f>
      </c>
    </row>
    <row r="125" spans="1:44" x14ac:dyDescent="0.25">
      <c r="A125" s="20">
        <f>IF($B125="Entry",COUNTIF($B$4:$B125,"Entry"),"")</f>
      </c>
      <c r="B125" s="21"/>
      <c r="C125" s="22"/>
      <c r="D125" s="22"/>
      <c r="E125" s="23">
        <f>IF($B125&lt;&gt;"Challan","",IF(ROUND(AN125-AO125,2)&gt;0,"Over-applied",IF(ROUND(AN125-AO125,2)=0,"Fully Utilised","Unconsumed")))</f>
      </c>
      <c r="F125" s="24"/>
      <c r="G125" s="25"/>
      <c r="H125" s="25"/>
      <c r="I125" s="26"/>
      <c r="J125" s="26"/>
      <c r="K125" s="26"/>
      <c r="L125" s="26"/>
      <c r="M125" s="26"/>
      <c r="N125" s="26"/>
      <c r="O125" s="26"/>
      <c r="P125" s="27">
        <f>IF($B125&lt;&gt;"Challan","",I125+J125+K125+L125+M125+N125)</f>
      </c>
      <c r="Q125" s="25"/>
      <c r="R125" s="25"/>
      <c r="S125" s="25"/>
      <c r="T125" s="25"/>
      <c r="U125" s="25"/>
      <c r="V125" s="28"/>
      <c r="W125" s="28"/>
      <c r="X125" s="23">
        <f>IF($B125="Entry",IF(AND(LEN(TRIM(UPPER(W125)))=10,CODE(MID(TRIM(UPPER(W125)),1,1))&gt;=65,CODE(MID(TRIM(UPPER(W125)),1,1))&lt;=90,CODE(MID(TRIM(UPPER(W125)),2,1))&gt;=65,CODE(MID(TRIM(UPPER(W125)),2,1))&lt;=90,CODE(MID(TRIM(UPPER(W125)),3,1))&gt;=65,CODE(MID(TRIM(UPPER(W125)),3,1))&lt;=90,CODE(MID(TRIM(UPPER(W125)),4,1))&gt;=65,CODE(MID(TRIM(UPPER(W125)),4,1))&lt;=90,CODE(MID(TRIM(UPPER(W125)),5,1))&gt;=65,CODE(MID(TRIM(UPPER(W125)),5,1))&lt;=90,CODE(MID(TRIM(UPPER(W125)),10,1))&gt;=65,CODE(MID(TRIM(UPPER(W125)),10,1))&lt;=90,CODE(MID(TRIM(UPPER(W125)),6,1))&gt;=48,CODE(MID(TRIM(UPPER(W125)),6,1))&lt;=57,CODE(MID(TRIM(UPPER(W125)),7,1))&gt;=48,CODE(MID(TRIM(UPPER(W125)),7,1))&lt;=57,CODE(MID(TRIM(UPPER(W125)),8,1))&gt;=48,CODE(MID(TRIM(UPPER(W125)),8,1))&lt;=57,CODE(MID(TRIM(UPPER(W125)),9,1))&gt;=48,CODE(MID(TRIM(UPPER(W125)),9,1))&lt;=57),"N","Y"),IF($B125="Challan","",IF(W125&lt;&gt;"","◄ Set Row Type","")))</f>
      </c>
      <c r="Y125" s="23">
        <f>IF($B125="Entry",IF(LEN(W125)&lt;4,"",IF(UPPER(MID(W125,4,1))="P","Individual",IF(UPPER(MID(W125,4,1))="H","HUF",IF(UPPER(MID(W125,4,1))="C","Company",IF(UPPER(MID(W125,4,1))="F","Firm",IF(UPPER(MID(W125,4,1))="L","LLP",IF(UPPER(MID(W125,4,1))="T","Trust",IF(UPPER(MID(W125,4,1))="A","AOP","")))))))),IF($B125="Challan","",IF(W125&lt;&gt;"","◄ Set Row Type","")))</f>
      </c>
      <c r="Z125" s="28"/>
      <c r="AA125" s="29">
        <f>IF($B125&lt;&gt;"Entry","",IF(Z125="","",IF(X125="Y",SUMPRODUCT(('Rate Lookup'!$A$1:$A$37=Z125)*'Rate Lookup'!$D$1:$D$37),IF(OR(Y125="Individual",Y125="HUF"),SUMPRODUCT(('Rate Lookup'!$A$1:$A$37=Z125)*'Rate Lookup'!$B$1:$B$37),SUMPRODUCT(('Rate Lookup'!$A$1:$A$37=Z125)*'Rate Lookup'!$C$1:$C$37)))))</f>
      </c>
      <c r="AB125" s="30"/>
      <c r="AC125" s="31"/>
      <c r="AD125" s="27">
        <f>IF($B125&lt;&gt;"Entry","",ROUND(AC125*AA125/100,0))</f>
      </c>
      <c r="AE125" s="27">
        <f>IF($B125&lt;&gt;"Entry","",0)</f>
      </c>
      <c r="AF125" s="27">
        <f>IF($B125&lt;&gt;"Entry","",0)</f>
      </c>
      <c r="AG125" s="27">
        <f>IF($B125&lt;&gt;"Entry","",IF(OR(AD125=0,AB125="",AQ125="",AQ125&lt;=0),0,IF(AQ125&lt;=DATE(YEAR(AB125),MONTH(AB125)+1,7),0,ROUND(AD125*0.015*((YEAR(AQ125)-YEAR(AB125))*12+(MONTH(AQ125)-MONTH(AB125))+1),0))))</f>
      </c>
      <c r="AH125" s="27">
        <f>IF($B125&lt;&gt;"Entry","",0)</f>
      </c>
      <c r="AI125" s="28"/>
      <c r="AJ125" s="28"/>
      <c r="AK125" s="32"/>
      <c r="AL125" s="28"/>
      <c r="AM125" s="28"/>
      <c r="AN125" s="27">
        <f>IF($B125&lt;&gt;"Challan","",SUMIF('Q1 Data'!$D$4:$D$207,D125,'Q1 Data'!$AD$4:$AD$207)+SUMIF('Q1 Data'!$D$4:$D$207,D125,'Q1 Data'!$AG$4:$AG$207)+SUMIF('Q1 Data'!$D$4:$D$207,D125,'Q1 Data'!$AE$4:$AE$207)+SUMIF('Q2 Data'!$D$4:$D$207,D125,'Q2 Data'!$AD$4:$AD$207)+SUMIF('Q2 Data'!$D$4:$D$207,D125,'Q2 Data'!$AG$4:$AG$207)+SUMIF('Q2 Data'!$D$4:$D$207,D125,'Q2 Data'!$AE$4:$AE$207)+SUMIF('Q3 Data'!$D$4:$D$207,D125,'Q3 Data'!$AD$4:$AD$207)+SUMIF('Q3 Data'!$D$4:$D$207,D125,'Q3 Data'!$AG$4:$AG$207)+SUMIF('Q3 Data'!$D$4:$D$207,D125,'Q3 Data'!$AE$4:$AE$207)+SUMIF('Q4 Data'!$D$4:$D$207,D125,'Q4 Data'!$AD$4:$AD$207)+SUMIF('Q4 Data'!$D$4:$D$207,D125,'Q4 Data'!$AG$4:$AG$207)+SUMIF('Q4 Data'!$D$4:$D$207,D125,'Q4 Data'!$AE$4:$AE$207))</f>
      </c>
      <c r="AO125" s="27">
        <f>IF($B125&lt;&gt;"Challan","",P125-N125)</f>
      </c>
      <c r="AP125" s="27">
        <f>IF($B125&lt;&gt;"Challan","",MAX(0,AO125-AN125))</f>
      </c>
      <c r="AQ125" s="33">
        <f>IF($B125&lt;&gt;"Entry","",SUMPRODUCT(('Q1 Data'!$D$4:$D$207=D125)*('Q1 Data'!$B$4:$B$207="Challan")*'Q1 Data'!$F$4:$F$207)+SUMPRODUCT(('Q2 Data'!$D$4:$D$207=D125)*('Q2 Data'!$B$4:$B$207="Challan")*'Q2 Data'!$F$4:$F$207)+SUMPRODUCT(('Q3 Data'!$D$4:$D$207=D125)*('Q3 Data'!$B$4:$B$207="Challan")*'Q3 Data'!$F$4:$F$207)+SUMPRODUCT(('Q4 Data'!$D$4:$D$207=D125)*('Q4 Data'!$B$4:$B$207="Challan")*'Q4 Data'!$F$4:$F$207))</f>
      </c>
      <c r="AR125" s="34">
        <f>IF(OR($B125&lt;&gt;"Entry",Z125=""),FALSE,AND((SUMPRODUCT(('Q1 Data'!$D$4:$D$207=D125)*('Q1 Data'!$B$4:$B$207="Challan")*('Q1 Data'!$H$4:$H$207&lt;&gt;""))+SUMPRODUCT(('Q2 Data'!$D$4:$D$207=D125)*('Q2 Data'!$B$4:$B$207="Challan")*('Q2 Data'!$H$4:$H$207&lt;&gt;""))+SUMPRODUCT(('Q3 Data'!$D$4:$D$207=D125)*('Q3 Data'!$B$4:$B$207="Challan")*('Q3 Data'!$H$4:$H$207&lt;&gt;""))+SUMPRODUCT(('Q4 Data'!$D$4:$D$207=D125)*('Q4 Data'!$B$4:$B$207="Challan")*('Q4 Data'!$H$4:$H$207&lt;&gt;"")))&gt;0,(SUMPRODUCT(('Q1 Data'!$D$4:$D$207=D125)*('Q1 Data'!$B$4:$B$207="Challan")*('Q1 Data'!$H$4:$H$207=Z125))+SUMPRODUCT(('Q2 Data'!$D$4:$D$207=D125)*('Q2 Data'!$B$4:$B$207="Challan")*('Q2 Data'!$H$4:$H$207=Z125))+SUMPRODUCT(('Q3 Data'!$D$4:$D$207=D125)*('Q3 Data'!$B$4:$B$207="Challan")*('Q3 Data'!$H$4:$H$207=Z125))+SUMPRODUCT(('Q4 Data'!$D$4:$D$207=D125)*('Q4 Data'!$B$4:$B$207="Challan")*('Q4 Data'!$H$4:$H$207=Z125)))=0))</f>
      </c>
    </row>
    <row r="126" spans="1:44" x14ac:dyDescent="0.25">
      <c r="A126" s="20">
        <f>IF($B126="Entry",COUNTIF($B$4:$B126,"Entry"),"")</f>
      </c>
      <c r="B126" s="21"/>
      <c r="C126" s="22"/>
      <c r="D126" s="22"/>
      <c r="E126" s="23">
        <f>IF($B126&lt;&gt;"Challan","",IF(ROUND(AN126-AO126,2)&gt;0,"Over-applied",IF(ROUND(AN126-AO126,2)=0,"Fully Utilised","Unconsumed")))</f>
      </c>
      <c r="F126" s="24"/>
      <c r="G126" s="25"/>
      <c r="H126" s="25"/>
      <c r="I126" s="26"/>
      <c r="J126" s="26"/>
      <c r="K126" s="26"/>
      <c r="L126" s="26"/>
      <c r="M126" s="26"/>
      <c r="N126" s="26"/>
      <c r="O126" s="26"/>
      <c r="P126" s="27">
        <f>IF($B126&lt;&gt;"Challan","",I126+J126+K126+L126+M126+N126)</f>
      </c>
      <c r="Q126" s="25"/>
      <c r="R126" s="25"/>
      <c r="S126" s="25"/>
      <c r="T126" s="25"/>
      <c r="U126" s="25"/>
      <c r="V126" s="28"/>
      <c r="W126" s="28"/>
      <c r="X126" s="23">
        <f>IF($B126="Entry",IF(AND(LEN(TRIM(UPPER(W126)))=10,CODE(MID(TRIM(UPPER(W126)),1,1))&gt;=65,CODE(MID(TRIM(UPPER(W126)),1,1))&lt;=90,CODE(MID(TRIM(UPPER(W126)),2,1))&gt;=65,CODE(MID(TRIM(UPPER(W126)),2,1))&lt;=90,CODE(MID(TRIM(UPPER(W126)),3,1))&gt;=65,CODE(MID(TRIM(UPPER(W126)),3,1))&lt;=90,CODE(MID(TRIM(UPPER(W126)),4,1))&gt;=65,CODE(MID(TRIM(UPPER(W126)),4,1))&lt;=90,CODE(MID(TRIM(UPPER(W126)),5,1))&gt;=65,CODE(MID(TRIM(UPPER(W126)),5,1))&lt;=90,CODE(MID(TRIM(UPPER(W126)),10,1))&gt;=65,CODE(MID(TRIM(UPPER(W126)),10,1))&lt;=90,CODE(MID(TRIM(UPPER(W126)),6,1))&gt;=48,CODE(MID(TRIM(UPPER(W126)),6,1))&lt;=57,CODE(MID(TRIM(UPPER(W126)),7,1))&gt;=48,CODE(MID(TRIM(UPPER(W126)),7,1))&lt;=57,CODE(MID(TRIM(UPPER(W126)),8,1))&gt;=48,CODE(MID(TRIM(UPPER(W126)),8,1))&lt;=57,CODE(MID(TRIM(UPPER(W126)),9,1))&gt;=48,CODE(MID(TRIM(UPPER(W126)),9,1))&lt;=57),"N","Y"),IF($B126="Challan","",IF(W126&lt;&gt;"","◄ Set Row Type","")))</f>
      </c>
      <c r="Y126" s="23">
        <f>IF($B126="Entry",IF(LEN(W126)&lt;4,"",IF(UPPER(MID(W126,4,1))="P","Individual",IF(UPPER(MID(W126,4,1))="H","HUF",IF(UPPER(MID(W126,4,1))="C","Company",IF(UPPER(MID(W126,4,1))="F","Firm",IF(UPPER(MID(W126,4,1))="L","LLP",IF(UPPER(MID(W126,4,1))="T","Trust",IF(UPPER(MID(W126,4,1))="A","AOP","")))))))),IF($B126="Challan","",IF(W126&lt;&gt;"","◄ Set Row Type","")))</f>
      </c>
      <c r="Z126" s="28"/>
      <c r="AA126" s="29">
        <f>IF($B126&lt;&gt;"Entry","",IF(Z126="","",IF(X126="Y",SUMPRODUCT(('Rate Lookup'!$A$1:$A$37=Z126)*'Rate Lookup'!$D$1:$D$37),IF(OR(Y126="Individual",Y126="HUF"),SUMPRODUCT(('Rate Lookup'!$A$1:$A$37=Z126)*'Rate Lookup'!$B$1:$B$37),SUMPRODUCT(('Rate Lookup'!$A$1:$A$37=Z126)*'Rate Lookup'!$C$1:$C$37)))))</f>
      </c>
      <c r="AB126" s="30"/>
      <c r="AC126" s="31"/>
      <c r="AD126" s="27">
        <f>IF($B126&lt;&gt;"Entry","",ROUND(AC126*AA126/100,0))</f>
      </c>
      <c r="AE126" s="27">
        <f>IF($B126&lt;&gt;"Entry","",0)</f>
      </c>
      <c r="AF126" s="27">
        <f>IF($B126&lt;&gt;"Entry","",0)</f>
      </c>
      <c r="AG126" s="27">
        <f>IF($B126&lt;&gt;"Entry","",IF(OR(AD126=0,AB126="",AQ126="",AQ126&lt;=0),0,IF(AQ126&lt;=DATE(YEAR(AB126),MONTH(AB126)+1,7),0,ROUND(AD126*0.015*((YEAR(AQ126)-YEAR(AB126))*12+(MONTH(AQ126)-MONTH(AB126))+1),0))))</f>
      </c>
      <c r="AH126" s="27">
        <f>IF($B126&lt;&gt;"Entry","",0)</f>
      </c>
      <c r="AI126" s="28"/>
      <c r="AJ126" s="28"/>
      <c r="AK126" s="32"/>
      <c r="AL126" s="28"/>
      <c r="AM126" s="28"/>
      <c r="AN126" s="27">
        <f>IF($B126&lt;&gt;"Challan","",SUMIF('Q1 Data'!$D$4:$D$207,D126,'Q1 Data'!$AD$4:$AD$207)+SUMIF('Q1 Data'!$D$4:$D$207,D126,'Q1 Data'!$AG$4:$AG$207)+SUMIF('Q1 Data'!$D$4:$D$207,D126,'Q1 Data'!$AE$4:$AE$207)+SUMIF('Q2 Data'!$D$4:$D$207,D126,'Q2 Data'!$AD$4:$AD$207)+SUMIF('Q2 Data'!$D$4:$D$207,D126,'Q2 Data'!$AG$4:$AG$207)+SUMIF('Q2 Data'!$D$4:$D$207,D126,'Q2 Data'!$AE$4:$AE$207)+SUMIF('Q3 Data'!$D$4:$D$207,D126,'Q3 Data'!$AD$4:$AD$207)+SUMIF('Q3 Data'!$D$4:$D$207,D126,'Q3 Data'!$AG$4:$AG$207)+SUMIF('Q3 Data'!$D$4:$D$207,D126,'Q3 Data'!$AE$4:$AE$207)+SUMIF('Q4 Data'!$D$4:$D$207,D126,'Q4 Data'!$AD$4:$AD$207)+SUMIF('Q4 Data'!$D$4:$D$207,D126,'Q4 Data'!$AG$4:$AG$207)+SUMIF('Q4 Data'!$D$4:$D$207,D126,'Q4 Data'!$AE$4:$AE$207))</f>
      </c>
      <c r="AO126" s="27">
        <f>IF($B126&lt;&gt;"Challan","",P126-N126)</f>
      </c>
      <c r="AP126" s="27">
        <f>IF($B126&lt;&gt;"Challan","",MAX(0,AO126-AN126))</f>
      </c>
      <c r="AQ126" s="33">
        <f>IF($B126&lt;&gt;"Entry","",SUMPRODUCT(('Q1 Data'!$D$4:$D$207=D126)*('Q1 Data'!$B$4:$B$207="Challan")*'Q1 Data'!$F$4:$F$207)+SUMPRODUCT(('Q2 Data'!$D$4:$D$207=D126)*('Q2 Data'!$B$4:$B$207="Challan")*'Q2 Data'!$F$4:$F$207)+SUMPRODUCT(('Q3 Data'!$D$4:$D$207=D126)*('Q3 Data'!$B$4:$B$207="Challan")*'Q3 Data'!$F$4:$F$207)+SUMPRODUCT(('Q4 Data'!$D$4:$D$207=D126)*('Q4 Data'!$B$4:$B$207="Challan")*'Q4 Data'!$F$4:$F$207))</f>
      </c>
      <c r="AR126" s="34">
        <f>IF(OR($B126&lt;&gt;"Entry",Z126=""),FALSE,AND((SUMPRODUCT(('Q1 Data'!$D$4:$D$207=D126)*('Q1 Data'!$B$4:$B$207="Challan")*('Q1 Data'!$H$4:$H$207&lt;&gt;""))+SUMPRODUCT(('Q2 Data'!$D$4:$D$207=D126)*('Q2 Data'!$B$4:$B$207="Challan")*('Q2 Data'!$H$4:$H$207&lt;&gt;""))+SUMPRODUCT(('Q3 Data'!$D$4:$D$207=D126)*('Q3 Data'!$B$4:$B$207="Challan")*('Q3 Data'!$H$4:$H$207&lt;&gt;""))+SUMPRODUCT(('Q4 Data'!$D$4:$D$207=D126)*('Q4 Data'!$B$4:$B$207="Challan")*('Q4 Data'!$H$4:$H$207&lt;&gt;"")))&gt;0,(SUMPRODUCT(('Q1 Data'!$D$4:$D$207=D126)*('Q1 Data'!$B$4:$B$207="Challan")*('Q1 Data'!$H$4:$H$207=Z126))+SUMPRODUCT(('Q2 Data'!$D$4:$D$207=D126)*('Q2 Data'!$B$4:$B$207="Challan")*('Q2 Data'!$H$4:$H$207=Z126))+SUMPRODUCT(('Q3 Data'!$D$4:$D$207=D126)*('Q3 Data'!$B$4:$B$207="Challan")*('Q3 Data'!$H$4:$H$207=Z126))+SUMPRODUCT(('Q4 Data'!$D$4:$D$207=D126)*('Q4 Data'!$B$4:$B$207="Challan")*('Q4 Data'!$H$4:$H$207=Z126)))=0))</f>
      </c>
    </row>
    <row r="127" spans="1:44" x14ac:dyDescent="0.25">
      <c r="A127" s="20">
        <f>IF($B127="Entry",COUNTIF($B$4:$B127,"Entry"),"")</f>
      </c>
      <c r="B127" s="21"/>
      <c r="C127" s="22"/>
      <c r="D127" s="22"/>
      <c r="E127" s="23">
        <f>IF($B127&lt;&gt;"Challan","",IF(ROUND(AN127-AO127,2)&gt;0,"Over-applied",IF(ROUND(AN127-AO127,2)=0,"Fully Utilised","Unconsumed")))</f>
      </c>
      <c r="F127" s="24"/>
      <c r="G127" s="25"/>
      <c r="H127" s="25"/>
      <c r="I127" s="26"/>
      <c r="J127" s="26"/>
      <c r="K127" s="26"/>
      <c r="L127" s="26"/>
      <c r="M127" s="26"/>
      <c r="N127" s="26"/>
      <c r="O127" s="26"/>
      <c r="P127" s="27">
        <f>IF($B127&lt;&gt;"Challan","",I127+J127+K127+L127+M127+N127)</f>
      </c>
      <c r="Q127" s="25"/>
      <c r="R127" s="25"/>
      <c r="S127" s="25"/>
      <c r="T127" s="25"/>
      <c r="U127" s="25"/>
      <c r="V127" s="28"/>
      <c r="W127" s="28"/>
      <c r="X127" s="23">
        <f>IF($B127="Entry",IF(AND(LEN(TRIM(UPPER(W127)))=10,CODE(MID(TRIM(UPPER(W127)),1,1))&gt;=65,CODE(MID(TRIM(UPPER(W127)),1,1))&lt;=90,CODE(MID(TRIM(UPPER(W127)),2,1))&gt;=65,CODE(MID(TRIM(UPPER(W127)),2,1))&lt;=90,CODE(MID(TRIM(UPPER(W127)),3,1))&gt;=65,CODE(MID(TRIM(UPPER(W127)),3,1))&lt;=90,CODE(MID(TRIM(UPPER(W127)),4,1))&gt;=65,CODE(MID(TRIM(UPPER(W127)),4,1))&lt;=90,CODE(MID(TRIM(UPPER(W127)),5,1))&gt;=65,CODE(MID(TRIM(UPPER(W127)),5,1))&lt;=90,CODE(MID(TRIM(UPPER(W127)),10,1))&gt;=65,CODE(MID(TRIM(UPPER(W127)),10,1))&lt;=90,CODE(MID(TRIM(UPPER(W127)),6,1))&gt;=48,CODE(MID(TRIM(UPPER(W127)),6,1))&lt;=57,CODE(MID(TRIM(UPPER(W127)),7,1))&gt;=48,CODE(MID(TRIM(UPPER(W127)),7,1))&lt;=57,CODE(MID(TRIM(UPPER(W127)),8,1))&gt;=48,CODE(MID(TRIM(UPPER(W127)),8,1))&lt;=57,CODE(MID(TRIM(UPPER(W127)),9,1))&gt;=48,CODE(MID(TRIM(UPPER(W127)),9,1))&lt;=57),"N","Y"),IF($B127="Challan","",IF(W127&lt;&gt;"","◄ Set Row Type","")))</f>
      </c>
      <c r="Y127" s="23">
        <f>IF($B127="Entry",IF(LEN(W127)&lt;4,"",IF(UPPER(MID(W127,4,1))="P","Individual",IF(UPPER(MID(W127,4,1))="H","HUF",IF(UPPER(MID(W127,4,1))="C","Company",IF(UPPER(MID(W127,4,1))="F","Firm",IF(UPPER(MID(W127,4,1))="L","LLP",IF(UPPER(MID(W127,4,1))="T","Trust",IF(UPPER(MID(W127,4,1))="A","AOP","")))))))),IF($B127="Challan","",IF(W127&lt;&gt;"","◄ Set Row Type","")))</f>
      </c>
      <c r="Z127" s="28"/>
      <c r="AA127" s="29">
        <f>IF($B127&lt;&gt;"Entry","",IF(Z127="","",IF(X127="Y",SUMPRODUCT(('Rate Lookup'!$A$1:$A$37=Z127)*'Rate Lookup'!$D$1:$D$37),IF(OR(Y127="Individual",Y127="HUF"),SUMPRODUCT(('Rate Lookup'!$A$1:$A$37=Z127)*'Rate Lookup'!$B$1:$B$37),SUMPRODUCT(('Rate Lookup'!$A$1:$A$37=Z127)*'Rate Lookup'!$C$1:$C$37)))))</f>
      </c>
      <c r="AB127" s="30"/>
      <c r="AC127" s="31"/>
      <c r="AD127" s="27">
        <f>IF($B127&lt;&gt;"Entry","",ROUND(AC127*AA127/100,0))</f>
      </c>
      <c r="AE127" s="27">
        <f>IF($B127&lt;&gt;"Entry","",0)</f>
      </c>
      <c r="AF127" s="27">
        <f>IF($B127&lt;&gt;"Entry","",0)</f>
      </c>
      <c r="AG127" s="27">
        <f>IF($B127&lt;&gt;"Entry","",IF(OR(AD127=0,AB127="",AQ127="",AQ127&lt;=0),0,IF(AQ127&lt;=DATE(YEAR(AB127),MONTH(AB127)+1,7),0,ROUND(AD127*0.015*((YEAR(AQ127)-YEAR(AB127))*12+(MONTH(AQ127)-MONTH(AB127))+1),0))))</f>
      </c>
      <c r="AH127" s="27">
        <f>IF($B127&lt;&gt;"Entry","",0)</f>
      </c>
      <c r="AI127" s="28"/>
      <c r="AJ127" s="28"/>
      <c r="AK127" s="32"/>
      <c r="AL127" s="28"/>
      <c r="AM127" s="28"/>
      <c r="AN127" s="27">
        <f>IF($B127&lt;&gt;"Challan","",SUMIF('Q1 Data'!$D$4:$D$207,D127,'Q1 Data'!$AD$4:$AD$207)+SUMIF('Q1 Data'!$D$4:$D$207,D127,'Q1 Data'!$AG$4:$AG$207)+SUMIF('Q1 Data'!$D$4:$D$207,D127,'Q1 Data'!$AE$4:$AE$207)+SUMIF('Q2 Data'!$D$4:$D$207,D127,'Q2 Data'!$AD$4:$AD$207)+SUMIF('Q2 Data'!$D$4:$D$207,D127,'Q2 Data'!$AG$4:$AG$207)+SUMIF('Q2 Data'!$D$4:$D$207,D127,'Q2 Data'!$AE$4:$AE$207)+SUMIF('Q3 Data'!$D$4:$D$207,D127,'Q3 Data'!$AD$4:$AD$207)+SUMIF('Q3 Data'!$D$4:$D$207,D127,'Q3 Data'!$AG$4:$AG$207)+SUMIF('Q3 Data'!$D$4:$D$207,D127,'Q3 Data'!$AE$4:$AE$207)+SUMIF('Q4 Data'!$D$4:$D$207,D127,'Q4 Data'!$AD$4:$AD$207)+SUMIF('Q4 Data'!$D$4:$D$207,D127,'Q4 Data'!$AG$4:$AG$207)+SUMIF('Q4 Data'!$D$4:$D$207,D127,'Q4 Data'!$AE$4:$AE$207))</f>
      </c>
      <c r="AO127" s="27">
        <f>IF($B127&lt;&gt;"Challan","",P127-N127)</f>
      </c>
      <c r="AP127" s="27">
        <f>IF($B127&lt;&gt;"Challan","",MAX(0,AO127-AN127))</f>
      </c>
      <c r="AQ127" s="33">
        <f>IF($B127&lt;&gt;"Entry","",SUMPRODUCT(('Q1 Data'!$D$4:$D$207=D127)*('Q1 Data'!$B$4:$B$207="Challan")*'Q1 Data'!$F$4:$F$207)+SUMPRODUCT(('Q2 Data'!$D$4:$D$207=D127)*('Q2 Data'!$B$4:$B$207="Challan")*'Q2 Data'!$F$4:$F$207)+SUMPRODUCT(('Q3 Data'!$D$4:$D$207=D127)*('Q3 Data'!$B$4:$B$207="Challan")*'Q3 Data'!$F$4:$F$207)+SUMPRODUCT(('Q4 Data'!$D$4:$D$207=D127)*('Q4 Data'!$B$4:$B$207="Challan")*'Q4 Data'!$F$4:$F$207))</f>
      </c>
      <c r="AR127" s="34">
        <f>IF(OR($B127&lt;&gt;"Entry",Z127=""),FALSE,AND((SUMPRODUCT(('Q1 Data'!$D$4:$D$207=D127)*('Q1 Data'!$B$4:$B$207="Challan")*('Q1 Data'!$H$4:$H$207&lt;&gt;""))+SUMPRODUCT(('Q2 Data'!$D$4:$D$207=D127)*('Q2 Data'!$B$4:$B$207="Challan")*('Q2 Data'!$H$4:$H$207&lt;&gt;""))+SUMPRODUCT(('Q3 Data'!$D$4:$D$207=D127)*('Q3 Data'!$B$4:$B$207="Challan")*('Q3 Data'!$H$4:$H$207&lt;&gt;""))+SUMPRODUCT(('Q4 Data'!$D$4:$D$207=D127)*('Q4 Data'!$B$4:$B$207="Challan")*('Q4 Data'!$H$4:$H$207&lt;&gt;"")))&gt;0,(SUMPRODUCT(('Q1 Data'!$D$4:$D$207=D127)*('Q1 Data'!$B$4:$B$207="Challan")*('Q1 Data'!$H$4:$H$207=Z127))+SUMPRODUCT(('Q2 Data'!$D$4:$D$207=D127)*('Q2 Data'!$B$4:$B$207="Challan")*('Q2 Data'!$H$4:$H$207=Z127))+SUMPRODUCT(('Q3 Data'!$D$4:$D$207=D127)*('Q3 Data'!$B$4:$B$207="Challan")*('Q3 Data'!$H$4:$H$207=Z127))+SUMPRODUCT(('Q4 Data'!$D$4:$D$207=D127)*('Q4 Data'!$B$4:$B$207="Challan")*('Q4 Data'!$H$4:$H$207=Z127)))=0))</f>
      </c>
    </row>
    <row r="128" spans="1:44" x14ac:dyDescent="0.25">
      <c r="A128" s="20">
        <f>IF($B128="Entry",COUNTIF($B$4:$B128,"Entry"),"")</f>
      </c>
      <c r="B128" s="21"/>
      <c r="C128" s="22"/>
      <c r="D128" s="22"/>
      <c r="E128" s="23">
        <f>IF($B128&lt;&gt;"Challan","",IF(ROUND(AN128-AO128,2)&gt;0,"Over-applied",IF(ROUND(AN128-AO128,2)=0,"Fully Utilised","Unconsumed")))</f>
      </c>
      <c r="F128" s="24"/>
      <c r="G128" s="25"/>
      <c r="H128" s="25"/>
      <c r="I128" s="26"/>
      <c r="J128" s="26"/>
      <c r="K128" s="26"/>
      <c r="L128" s="26"/>
      <c r="M128" s="26"/>
      <c r="N128" s="26"/>
      <c r="O128" s="26"/>
      <c r="P128" s="27">
        <f>IF($B128&lt;&gt;"Challan","",I128+J128+K128+L128+M128+N128)</f>
      </c>
      <c r="Q128" s="25"/>
      <c r="R128" s="25"/>
      <c r="S128" s="25"/>
      <c r="T128" s="25"/>
      <c r="U128" s="25"/>
      <c r="V128" s="28"/>
      <c r="W128" s="28"/>
      <c r="X128" s="23">
        <f>IF($B128="Entry",IF(AND(LEN(TRIM(UPPER(W128)))=10,CODE(MID(TRIM(UPPER(W128)),1,1))&gt;=65,CODE(MID(TRIM(UPPER(W128)),1,1))&lt;=90,CODE(MID(TRIM(UPPER(W128)),2,1))&gt;=65,CODE(MID(TRIM(UPPER(W128)),2,1))&lt;=90,CODE(MID(TRIM(UPPER(W128)),3,1))&gt;=65,CODE(MID(TRIM(UPPER(W128)),3,1))&lt;=90,CODE(MID(TRIM(UPPER(W128)),4,1))&gt;=65,CODE(MID(TRIM(UPPER(W128)),4,1))&lt;=90,CODE(MID(TRIM(UPPER(W128)),5,1))&gt;=65,CODE(MID(TRIM(UPPER(W128)),5,1))&lt;=90,CODE(MID(TRIM(UPPER(W128)),10,1))&gt;=65,CODE(MID(TRIM(UPPER(W128)),10,1))&lt;=90,CODE(MID(TRIM(UPPER(W128)),6,1))&gt;=48,CODE(MID(TRIM(UPPER(W128)),6,1))&lt;=57,CODE(MID(TRIM(UPPER(W128)),7,1))&gt;=48,CODE(MID(TRIM(UPPER(W128)),7,1))&lt;=57,CODE(MID(TRIM(UPPER(W128)),8,1))&gt;=48,CODE(MID(TRIM(UPPER(W128)),8,1))&lt;=57,CODE(MID(TRIM(UPPER(W128)),9,1))&gt;=48,CODE(MID(TRIM(UPPER(W128)),9,1))&lt;=57),"N","Y"),IF($B128="Challan","",IF(W128&lt;&gt;"","◄ Set Row Type","")))</f>
      </c>
      <c r="Y128" s="23">
        <f>IF($B128="Entry",IF(LEN(W128)&lt;4,"",IF(UPPER(MID(W128,4,1))="P","Individual",IF(UPPER(MID(W128,4,1))="H","HUF",IF(UPPER(MID(W128,4,1))="C","Company",IF(UPPER(MID(W128,4,1))="F","Firm",IF(UPPER(MID(W128,4,1))="L","LLP",IF(UPPER(MID(W128,4,1))="T","Trust",IF(UPPER(MID(W128,4,1))="A","AOP","")))))))),IF($B128="Challan","",IF(W128&lt;&gt;"","◄ Set Row Type","")))</f>
      </c>
      <c r="Z128" s="28"/>
      <c r="AA128" s="29">
        <f>IF($B128&lt;&gt;"Entry","",IF(Z128="","",IF(X128="Y",SUMPRODUCT(('Rate Lookup'!$A$1:$A$37=Z128)*'Rate Lookup'!$D$1:$D$37),IF(OR(Y128="Individual",Y128="HUF"),SUMPRODUCT(('Rate Lookup'!$A$1:$A$37=Z128)*'Rate Lookup'!$B$1:$B$37),SUMPRODUCT(('Rate Lookup'!$A$1:$A$37=Z128)*'Rate Lookup'!$C$1:$C$37)))))</f>
      </c>
      <c r="AB128" s="30"/>
      <c r="AC128" s="31"/>
      <c r="AD128" s="27">
        <f>IF($B128&lt;&gt;"Entry","",ROUND(AC128*AA128/100,0))</f>
      </c>
      <c r="AE128" s="27">
        <f>IF($B128&lt;&gt;"Entry","",0)</f>
      </c>
      <c r="AF128" s="27">
        <f>IF($B128&lt;&gt;"Entry","",0)</f>
      </c>
      <c r="AG128" s="27">
        <f>IF($B128&lt;&gt;"Entry","",IF(OR(AD128=0,AB128="",AQ128="",AQ128&lt;=0),0,IF(AQ128&lt;=DATE(YEAR(AB128),MONTH(AB128)+1,7),0,ROUND(AD128*0.015*((YEAR(AQ128)-YEAR(AB128))*12+(MONTH(AQ128)-MONTH(AB128))+1),0))))</f>
      </c>
      <c r="AH128" s="27">
        <f>IF($B128&lt;&gt;"Entry","",0)</f>
      </c>
      <c r="AI128" s="28"/>
      <c r="AJ128" s="28"/>
      <c r="AK128" s="32"/>
      <c r="AL128" s="28"/>
      <c r="AM128" s="28"/>
      <c r="AN128" s="27">
        <f>IF($B128&lt;&gt;"Challan","",SUMIF('Q1 Data'!$D$4:$D$207,D128,'Q1 Data'!$AD$4:$AD$207)+SUMIF('Q1 Data'!$D$4:$D$207,D128,'Q1 Data'!$AG$4:$AG$207)+SUMIF('Q1 Data'!$D$4:$D$207,D128,'Q1 Data'!$AE$4:$AE$207)+SUMIF('Q2 Data'!$D$4:$D$207,D128,'Q2 Data'!$AD$4:$AD$207)+SUMIF('Q2 Data'!$D$4:$D$207,D128,'Q2 Data'!$AG$4:$AG$207)+SUMIF('Q2 Data'!$D$4:$D$207,D128,'Q2 Data'!$AE$4:$AE$207)+SUMIF('Q3 Data'!$D$4:$D$207,D128,'Q3 Data'!$AD$4:$AD$207)+SUMIF('Q3 Data'!$D$4:$D$207,D128,'Q3 Data'!$AG$4:$AG$207)+SUMIF('Q3 Data'!$D$4:$D$207,D128,'Q3 Data'!$AE$4:$AE$207)+SUMIF('Q4 Data'!$D$4:$D$207,D128,'Q4 Data'!$AD$4:$AD$207)+SUMIF('Q4 Data'!$D$4:$D$207,D128,'Q4 Data'!$AG$4:$AG$207)+SUMIF('Q4 Data'!$D$4:$D$207,D128,'Q4 Data'!$AE$4:$AE$207))</f>
      </c>
      <c r="AO128" s="27">
        <f>IF($B128&lt;&gt;"Challan","",P128-N128)</f>
      </c>
      <c r="AP128" s="27">
        <f>IF($B128&lt;&gt;"Challan","",MAX(0,AO128-AN128))</f>
      </c>
      <c r="AQ128" s="33">
        <f>IF($B128&lt;&gt;"Entry","",SUMPRODUCT(('Q1 Data'!$D$4:$D$207=D128)*('Q1 Data'!$B$4:$B$207="Challan")*'Q1 Data'!$F$4:$F$207)+SUMPRODUCT(('Q2 Data'!$D$4:$D$207=D128)*('Q2 Data'!$B$4:$B$207="Challan")*'Q2 Data'!$F$4:$F$207)+SUMPRODUCT(('Q3 Data'!$D$4:$D$207=D128)*('Q3 Data'!$B$4:$B$207="Challan")*'Q3 Data'!$F$4:$F$207)+SUMPRODUCT(('Q4 Data'!$D$4:$D$207=D128)*('Q4 Data'!$B$4:$B$207="Challan")*'Q4 Data'!$F$4:$F$207))</f>
      </c>
      <c r="AR128" s="34">
        <f>IF(OR($B128&lt;&gt;"Entry",Z128=""),FALSE,AND((SUMPRODUCT(('Q1 Data'!$D$4:$D$207=D128)*('Q1 Data'!$B$4:$B$207="Challan")*('Q1 Data'!$H$4:$H$207&lt;&gt;""))+SUMPRODUCT(('Q2 Data'!$D$4:$D$207=D128)*('Q2 Data'!$B$4:$B$207="Challan")*('Q2 Data'!$H$4:$H$207&lt;&gt;""))+SUMPRODUCT(('Q3 Data'!$D$4:$D$207=D128)*('Q3 Data'!$B$4:$B$207="Challan")*('Q3 Data'!$H$4:$H$207&lt;&gt;""))+SUMPRODUCT(('Q4 Data'!$D$4:$D$207=D128)*('Q4 Data'!$B$4:$B$207="Challan")*('Q4 Data'!$H$4:$H$207&lt;&gt;"")))&gt;0,(SUMPRODUCT(('Q1 Data'!$D$4:$D$207=D128)*('Q1 Data'!$B$4:$B$207="Challan")*('Q1 Data'!$H$4:$H$207=Z128))+SUMPRODUCT(('Q2 Data'!$D$4:$D$207=D128)*('Q2 Data'!$B$4:$B$207="Challan")*('Q2 Data'!$H$4:$H$207=Z128))+SUMPRODUCT(('Q3 Data'!$D$4:$D$207=D128)*('Q3 Data'!$B$4:$B$207="Challan")*('Q3 Data'!$H$4:$H$207=Z128))+SUMPRODUCT(('Q4 Data'!$D$4:$D$207=D128)*('Q4 Data'!$B$4:$B$207="Challan")*('Q4 Data'!$H$4:$H$207=Z128)))=0))</f>
      </c>
    </row>
    <row r="129" spans="1:44" x14ac:dyDescent="0.25">
      <c r="A129" s="20">
        <f>IF($B129="Entry",COUNTIF($B$4:$B129,"Entry"),"")</f>
      </c>
      <c r="B129" s="21"/>
      <c r="C129" s="22"/>
      <c r="D129" s="22"/>
      <c r="E129" s="23">
        <f>IF($B129&lt;&gt;"Challan","",IF(ROUND(AN129-AO129,2)&gt;0,"Over-applied",IF(ROUND(AN129-AO129,2)=0,"Fully Utilised","Unconsumed")))</f>
      </c>
      <c r="F129" s="24"/>
      <c r="G129" s="25"/>
      <c r="H129" s="25"/>
      <c r="I129" s="26"/>
      <c r="J129" s="26"/>
      <c r="K129" s="26"/>
      <c r="L129" s="26"/>
      <c r="M129" s="26"/>
      <c r="N129" s="26"/>
      <c r="O129" s="26"/>
      <c r="P129" s="27">
        <f>IF($B129&lt;&gt;"Challan","",I129+J129+K129+L129+M129+N129)</f>
      </c>
      <c r="Q129" s="25"/>
      <c r="R129" s="25"/>
      <c r="S129" s="25"/>
      <c r="T129" s="25"/>
      <c r="U129" s="25"/>
      <c r="V129" s="28"/>
      <c r="W129" s="28"/>
      <c r="X129" s="23">
        <f>IF($B129="Entry",IF(AND(LEN(TRIM(UPPER(W129)))=10,CODE(MID(TRIM(UPPER(W129)),1,1))&gt;=65,CODE(MID(TRIM(UPPER(W129)),1,1))&lt;=90,CODE(MID(TRIM(UPPER(W129)),2,1))&gt;=65,CODE(MID(TRIM(UPPER(W129)),2,1))&lt;=90,CODE(MID(TRIM(UPPER(W129)),3,1))&gt;=65,CODE(MID(TRIM(UPPER(W129)),3,1))&lt;=90,CODE(MID(TRIM(UPPER(W129)),4,1))&gt;=65,CODE(MID(TRIM(UPPER(W129)),4,1))&lt;=90,CODE(MID(TRIM(UPPER(W129)),5,1))&gt;=65,CODE(MID(TRIM(UPPER(W129)),5,1))&lt;=90,CODE(MID(TRIM(UPPER(W129)),10,1))&gt;=65,CODE(MID(TRIM(UPPER(W129)),10,1))&lt;=90,CODE(MID(TRIM(UPPER(W129)),6,1))&gt;=48,CODE(MID(TRIM(UPPER(W129)),6,1))&lt;=57,CODE(MID(TRIM(UPPER(W129)),7,1))&gt;=48,CODE(MID(TRIM(UPPER(W129)),7,1))&lt;=57,CODE(MID(TRIM(UPPER(W129)),8,1))&gt;=48,CODE(MID(TRIM(UPPER(W129)),8,1))&lt;=57,CODE(MID(TRIM(UPPER(W129)),9,1))&gt;=48,CODE(MID(TRIM(UPPER(W129)),9,1))&lt;=57),"N","Y"),IF($B129="Challan","",IF(W129&lt;&gt;"","◄ Set Row Type","")))</f>
      </c>
      <c r="Y129" s="23">
        <f>IF($B129="Entry",IF(LEN(W129)&lt;4,"",IF(UPPER(MID(W129,4,1))="P","Individual",IF(UPPER(MID(W129,4,1))="H","HUF",IF(UPPER(MID(W129,4,1))="C","Company",IF(UPPER(MID(W129,4,1))="F","Firm",IF(UPPER(MID(W129,4,1))="L","LLP",IF(UPPER(MID(W129,4,1))="T","Trust",IF(UPPER(MID(W129,4,1))="A","AOP","")))))))),IF($B129="Challan","",IF(W129&lt;&gt;"","◄ Set Row Type","")))</f>
      </c>
      <c r="Z129" s="28"/>
      <c r="AA129" s="29">
        <f>IF($B129&lt;&gt;"Entry","",IF(Z129="","",IF(X129="Y",SUMPRODUCT(('Rate Lookup'!$A$1:$A$37=Z129)*'Rate Lookup'!$D$1:$D$37),IF(OR(Y129="Individual",Y129="HUF"),SUMPRODUCT(('Rate Lookup'!$A$1:$A$37=Z129)*'Rate Lookup'!$B$1:$B$37),SUMPRODUCT(('Rate Lookup'!$A$1:$A$37=Z129)*'Rate Lookup'!$C$1:$C$37)))))</f>
      </c>
      <c r="AB129" s="30"/>
      <c r="AC129" s="31"/>
      <c r="AD129" s="27">
        <f>IF($B129&lt;&gt;"Entry","",ROUND(AC129*AA129/100,0))</f>
      </c>
      <c r="AE129" s="27">
        <f>IF($B129&lt;&gt;"Entry","",0)</f>
      </c>
      <c r="AF129" s="27">
        <f>IF($B129&lt;&gt;"Entry","",0)</f>
      </c>
      <c r="AG129" s="27">
        <f>IF($B129&lt;&gt;"Entry","",IF(OR(AD129=0,AB129="",AQ129="",AQ129&lt;=0),0,IF(AQ129&lt;=DATE(YEAR(AB129),MONTH(AB129)+1,7),0,ROUND(AD129*0.015*((YEAR(AQ129)-YEAR(AB129))*12+(MONTH(AQ129)-MONTH(AB129))+1),0))))</f>
      </c>
      <c r="AH129" s="27">
        <f>IF($B129&lt;&gt;"Entry","",0)</f>
      </c>
      <c r="AI129" s="28"/>
      <c r="AJ129" s="28"/>
      <c r="AK129" s="32"/>
      <c r="AL129" s="28"/>
      <c r="AM129" s="28"/>
      <c r="AN129" s="27">
        <f>IF($B129&lt;&gt;"Challan","",SUMIF('Q1 Data'!$D$4:$D$207,D129,'Q1 Data'!$AD$4:$AD$207)+SUMIF('Q1 Data'!$D$4:$D$207,D129,'Q1 Data'!$AG$4:$AG$207)+SUMIF('Q1 Data'!$D$4:$D$207,D129,'Q1 Data'!$AE$4:$AE$207)+SUMIF('Q2 Data'!$D$4:$D$207,D129,'Q2 Data'!$AD$4:$AD$207)+SUMIF('Q2 Data'!$D$4:$D$207,D129,'Q2 Data'!$AG$4:$AG$207)+SUMIF('Q2 Data'!$D$4:$D$207,D129,'Q2 Data'!$AE$4:$AE$207)+SUMIF('Q3 Data'!$D$4:$D$207,D129,'Q3 Data'!$AD$4:$AD$207)+SUMIF('Q3 Data'!$D$4:$D$207,D129,'Q3 Data'!$AG$4:$AG$207)+SUMIF('Q3 Data'!$D$4:$D$207,D129,'Q3 Data'!$AE$4:$AE$207)+SUMIF('Q4 Data'!$D$4:$D$207,D129,'Q4 Data'!$AD$4:$AD$207)+SUMIF('Q4 Data'!$D$4:$D$207,D129,'Q4 Data'!$AG$4:$AG$207)+SUMIF('Q4 Data'!$D$4:$D$207,D129,'Q4 Data'!$AE$4:$AE$207))</f>
      </c>
      <c r="AO129" s="27">
        <f>IF($B129&lt;&gt;"Challan","",P129-N129)</f>
      </c>
      <c r="AP129" s="27">
        <f>IF($B129&lt;&gt;"Challan","",MAX(0,AO129-AN129))</f>
      </c>
      <c r="AQ129" s="33">
        <f>IF($B129&lt;&gt;"Entry","",SUMPRODUCT(('Q1 Data'!$D$4:$D$207=D129)*('Q1 Data'!$B$4:$B$207="Challan")*'Q1 Data'!$F$4:$F$207)+SUMPRODUCT(('Q2 Data'!$D$4:$D$207=D129)*('Q2 Data'!$B$4:$B$207="Challan")*'Q2 Data'!$F$4:$F$207)+SUMPRODUCT(('Q3 Data'!$D$4:$D$207=D129)*('Q3 Data'!$B$4:$B$207="Challan")*'Q3 Data'!$F$4:$F$207)+SUMPRODUCT(('Q4 Data'!$D$4:$D$207=D129)*('Q4 Data'!$B$4:$B$207="Challan")*'Q4 Data'!$F$4:$F$207))</f>
      </c>
      <c r="AR129" s="34">
        <f>IF(OR($B129&lt;&gt;"Entry",Z129=""),FALSE,AND((SUMPRODUCT(('Q1 Data'!$D$4:$D$207=D129)*('Q1 Data'!$B$4:$B$207="Challan")*('Q1 Data'!$H$4:$H$207&lt;&gt;""))+SUMPRODUCT(('Q2 Data'!$D$4:$D$207=D129)*('Q2 Data'!$B$4:$B$207="Challan")*('Q2 Data'!$H$4:$H$207&lt;&gt;""))+SUMPRODUCT(('Q3 Data'!$D$4:$D$207=D129)*('Q3 Data'!$B$4:$B$207="Challan")*('Q3 Data'!$H$4:$H$207&lt;&gt;""))+SUMPRODUCT(('Q4 Data'!$D$4:$D$207=D129)*('Q4 Data'!$B$4:$B$207="Challan")*('Q4 Data'!$H$4:$H$207&lt;&gt;"")))&gt;0,(SUMPRODUCT(('Q1 Data'!$D$4:$D$207=D129)*('Q1 Data'!$B$4:$B$207="Challan")*('Q1 Data'!$H$4:$H$207=Z129))+SUMPRODUCT(('Q2 Data'!$D$4:$D$207=D129)*('Q2 Data'!$B$4:$B$207="Challan")*('Q2 Data'!$H$4:$H$207=Z129))+SUMPRODUCT(('Q3 Data'!$D$4:$D$207=D129)*('Q3 Data'!$B$4:$B$207="Challan")*('Q3 Data'!$H$4:$H$207=Z129))+SUMPRODUCT(('Q4 Data'!$D$4:$D$207=D129)*('Q4 Data'!$B$4:$B$207="Challan")*('Q4 Data'!$H$4:$H$207=Z129)))=0))</f>
      </c>
    </row>
    <row r="130" spans="1:44" x14ac:dyDescent="0.25">
      <c r="A130" s="20">
        <f>IF($B130="Entry",COUNTIF($B$4:$B130,"Entry"),"")</f>
      </c>
      <c r="B130" s="21"/>
      <c r="C130" s="22"/>
      <c r="D130" s="22"/>
      <c r="E130" s="23">
        <f>IF($B130&lt;&gt;"Challan","",IF(ROUND(AN130-AO130,2)&gt;0,"Over-applied",IF(ROUND(AN130-AO130,2)=0,"Fully Utilised","Unconsumed")))</f>
      </c>
      <c r="F130" s="24"/>
      <c r="G130" s="25"/>
      <c r="H130" s="25"/>
      <c r="I130" s="26"/>
      <c r="J130" s="26"/>
      <c r="K130" s="26"/>
      <c r="L130" s="26"/>
      <c r="M130" s="26"/>
      <c r="N130" s="26"/>
      <c r="O130" s="26"/>
      <c r="P130" s="27">
        <f>IF($B130&lt;&gt;"Challan","",I130+J130+K130+L130+M130+N130)</f>
      </c>
      <c r="Q130" s="25"/>
      <c r="R130" s="25"/>
      <c r="S130" s="25"/>
      <c r="T130" s="25"/>
      <c r="U130" s="25"/>
      <c r="V130" s="28"/>
      <c r="W130" s="28"/>
      <c r="X130" s="23">
        <f>IF($B130="Entry",IF(AND(LEN(TRIM(UPPER(W130)))=10,CODE(MID(TRIM(UPPER(W130)),1,1))&gt;=65,CODE(MID(TRIM(UPPER(W130)),1,1))&lt;=90,CODE(MID(TRIM(UPPER(W130)),2,1))&gt;=65,CODE(MID(TRIM(UPPER(W130)),2,1))&lt;=90,CODE(MID(TRIM(UPPER(W130)),3,1))&gt;=65,CODE(MID(TRIM(UPPER(W130)),3,1))&lt;=90,CODE(MID(TRIM(UPPER(W130)),4,1))&gt;=65,CODE(MID(TRIM(UPPER(W130)),4,1))&lt;=90,CODE(MID(TRIM(UPPER(W130)),5,1))&gt;=65,CODE(MID(TRIM(UPPER(W130)),5,1))&lt;=90,CODE(MID(TRIM(UPPER(W130)),10,1))&gt;=65,CODE(MID(TRIM(UPPER(W130)),10,1))&lt;=90,CODE(MID(TRIM(UPPER(W130)),6,1))&gt;=48,CODE(MID(TRIM(UPPER(W130)),6,1))&lt;=57,CODE(MID(TRIM(UPPER(W130)),7,1))&gt;=48,CODE(MID(TRIM(UPPER(W130)),7,1))&lt;=57,CODE(MID(TRIM(UPPER(W130)),8,1))&gt;=48,CODE(MID(TRIM(UPPER(W130)),8,1))&lt;=57,CODE(MID(TRIM(UPPER(W130)),9,1))&gt;=48,CODE(MID(TRIM(UPPER(W130)),9,1))&lt;=57),"N","Y"),IF($B130="Challan","",IF(W130&lt;&gt;"","◄ Set Row Type","")))</f>
      </c>
      <c r="Y130" s="23">
        <f>IF($B130="Entry",IF(LEN(W130)&lt;4,"",IF(UPPER(MID(W130,4,1))="P","Individual",IF(UPPER(MID(W130,4,1))="H","HUF",IF(UPPER(MID(W130,4,1))="C","Company",IF(UPPER(MID(W130,4,1))="F","Firm",IF(UPPER(MID(W130,4,1))="L","LLP",IF(UPPER(MID(W130,4,1))="T","Trust",IF(UPPER(MID(W130,4,1))="A","AOP","")))))))),IF($B130="Challan","",IF(W130&lt;&gt;"","◄ Set Row Type","")))</f>
      </c>
      <c r="Z130" s="28"/>
      <c r="AA130" s="29">
        <f>IF($B130&lt;&gt;"Entry","",IF(Z130="","",IF(X130="Y",SUMPRODUCT(('Rate Lookup'!$A$1:$A$37=Z130)*'Rate Lookup'!$D$1:$D$37),IF(OR(Y130="Individual",Y130="HUF"),SUMPRODUCT(('Rate Lookup'!$A$1:$A$37=Z130)*'Rate Lookup'!$B$1:$B$37),SUMPRODUCT(('Rate Lookup'!$A$1:$A$37=Z130)*'Rate Lookup'!$C$1:$C$37)))))</f>
      </c>
      <c r="AB130" s="30"/>
      <c r="AC130" s="31"/>
      <c r="AD130" s="27">
        <f>IF($B130&lt;&gt;"Entry","",ROUND(AC130*AA130/100,0))</f>
      </c>
      <c r="AE130" s="27">
        <f>IF($B130&lt;&gt;"Entry","",0)</f>
      </c>
      <c r="AF130" s="27">
        <f>IF($B130&lt;&gt;"Entry","",0)</f>
      </c>
      <c r="AG130" s="27">
        <f>IF($B130&lt;&gt;"Entry","",IF(OR(AD130=0,AB130="",AQ130="",AQ130&lt;=0),0,IF(AQ130&lt;=DATE(YEAR(AB130),MONTH(AB130)+1,7),0,ROUND(AD130*0.015*((YEAR(AQ130)-YEAR(AB130))*12+(MONTH(AQ130)-MONTH(AB130))+1),0))))</f>
      </c>
      <c r="AH130" s="27">
        <f>IF($B130&lt;&gt;"Entry","",0)</f>
      </c>
      <c r="AI130" s="28"/>
      <c r="AJ130" s="28"/>
      <c r="AK130" s="32"/>
      <c r="AL130" s="28"/>
      <c r="AM130" s="28"/>
      <c r="AN130" s="27">
        <f>IF($B130&lt;&gt;"Challan","",SUMIF('Q1 Data'!$D$4:$D$207,D130,'Q1 Data'!$AD$4:$AD$207)+SUMIF('Q1 Data'!$D$4:$D$207,D130,'Q1 Data'!$AG$4:$AG$207)+SUMIF('Q1 Data'!$D$4:$D$207,D130,'Q1 Data'!$AE$4:$AE$207)+SUMIF('Q2 Data'!$D$4:$D$207,D130,'Q2 Data'!$AD$4:$AD$207)+SUMIF('Q2 Data'!$D$4:$D$207,D130,'Q2 Data'!$AG$4:$AG$207)+SUMIF('Q2 Data'!$D$4:$D$207,D130,'Q2 Data'!$AE$4:$AE$207)+SUMIF('Q3 Data'!$D$4:$D$207,D130,'Q3 Data'!$AD$4:$AD$207)+SUMIF('Q3 Data'!$D$4:$D$207,D130,'Q3 Data'!$AG$4:$AG$207)+SUMIF('Q3 Data'!$D$4:$D$207,D130,'Q3 Data'!$AE$4:$AE$207)+SUMIF('Q4 Data'!$D$4:$D$207,D130,'Q4 Data'!$AD$4:$AD$207)+SUMIF('Q4 Data'!$D$4:$D$207,D130,'Q4 Data'!$AG$4:$AG$207)+SUMIF('Q4 Data'!$D$4:$D$207,D130,'Q4 Data'!$AE$4:$AE$207))</f>
      </c>
      <c r="AO130" s="27">
        <f>IF($B130&lt;&gt;"Challan","",P130-N130)</f>
      </c>
      <c r="AP130" s="27">
        <f>IF($B130&lt;&gt;"Challan","",MAX(0,AO130-AN130))</f>
      </c>
      <c r="AQ130" s="33">
        <f>IF($B130&lt;&gt;"Entry","",SUMPRODUCT(('Q1 Data'!$D$4:$D$207=D130)*('Q1 Data'!$B$4:$B$207="Challan")*'Q1 Data'!$F$4:$F$207)+SUMPRODUCT(('Q2 Data'!$D$4:$D$207=D130)*('Q2 Data'!$B$4:$B$207="Challan")*'Q2 Data'!$F$4:$F$207)+SUMPRODUCT(('Q3 Data'!$D$4:$D$207=D130)*('Q3 Data'!$B$4:$B$207="Challan")*'Q3 Data'!$F$4:$F$207)+SUMPRODUCT(('Q4 Data'!$D$4:$D$207=D130)*('Q4 Data'!$B$4:$B$207="Challan")*'Q4 Data'!$F$4:$F$207))</f>
      </c>
      <c r="AR130" s="34">
        <f>IF(OR($B130&lt;&gt;"Entry",Z130=""),FALSE,AND((SUMPRODUCT(('Q1 Data'!$D$4:$D$207=D130)*('Q1 Data'!$B$4:$B$207="Challan")*('Q1 Data'!$H$4:$H$207&lt;&gt;""))+SUMPRODUCT(('Q2 Data'!$D$4:$D$207=D130)*('Q2 Data'!$B$4:$B$207="Challan")*('Q2 Data'!$H$4:$H$207&lt;&gt;""))+SUMPRODUCT(('Q3 Data'!$D$4:$D$207=D130)*('Q3 Data'!$B$4:$B$207="Challan")*('Q3 Data'!$H$4:$H$207&lt;&gt;""))+SUMPRODUCT(('Q4 Data'!$D$4:$D$207=D130)*('Q4 Data'!$B$4:$B$207="Challan")*('Q4 Data'!$H$4:$H$207&lt;&gt;"")))&gt;0,(SUMPRODUCT(('Q1 Data'!$D$4:$D$207=D130)*('Q1 Data'!$B$4:$B$207="Challan")*('Q1 Data'!$H$4:$H$207=Z130))+SUMPRODUCT(('Q2 Data'!$D$4:$D$207=D130)*('Q2 Data'!$B$4:$B$207="Challan")*('Q2 Data'!$H$4:$H$207=Z130))+SUMPRODUCT(('Q3 Data'!$D$4:$D$207=D130)*('Q3 Data'!$B$4:$B$207="Challan")*('Q3 Data'!$H$4:$H$207=Z130))+SUMPRODUCT(('Q4 Data'!$D$4:$D$207=D130)*('Q4 Data'!$B$4:$B$207="Challan")*('Q4 Data'!$H$4:$H$207=Z130)))=0))</f>
      </c>
    </row>
    <row r="131" spans="1:44" x14ac:dyDescent="0.25">
      <c r="A131" s="20">
        <f>IF($B131="Entry",COUNTIF($B$4:$B131,"Entry"),"")</f>
      </c>
      <c r="B131" s="21"/>
      <c r="C131" s="22"/>
      <c r="D131" s="22"/>
      <c r="E131" s="23">
        <f>IF($B131&lt;&gt;"Challan","",IF(ROUND(AN131-AO131,2)&gt;0,"Over-applied",IF(ROUND(AN131-AO131,2)=0,"Fully Utilised","Unconsumed")))</f>
      </c>
      <c r="F131" s="24"/>
      <c r="G131" s="25"/>
      <c r="H131" s="25"/>
      <c r="I131" s="26"/>
      <c r="J131" s="26"/>
      <c r="K131" s="26"/>
      <c r="L131" s="26"/>
      <c r="M131" s="26"/>
      <c r="N131" s="26"/>
      <c r="O131" s="26"/>
      <c r="P131" s="27">
        <f>IF($B131&lt;&gt;"Challan","",I131+J131+K131+L131+M131+N131)</f>
      </c>
      <c r="Q131" s="25"/>
      <c r="R131" s="25"/>
      <c r="S131" s="25"/>
      <c r="T131" s="25"/>
      <c r="U131" s="25"/>
      <c r="V131" s="28"/>
      <c r="W131" s="28"/>
      <c r="X131" s="23">
        <f>IF($B131="Entry",IF(AND(LEN(TRIM(UPPER(W131)))=10,CODE(MID(TRIM(UPPER(W131)),1,1))&gt;=65,CODE(MID(TRIM(UPPER(W131)),1,1))&lt;=90,CODE(MID(TRIM(UPPER(W131)),2,1))&gt;=65,CODE(MID(TRIM(UPPER(W131)),2,1))&lt;=90,CODE(MID(TRIM(UPPER(W131)),3,1))&gt;=65,CODE(MID(TRIM(UPPER(W131)),3,1))&lt;=90,CODE(MID(TRIM(UPPER(W131)),4,1))&gt;=65,CODE(MID(TRIM(UPPER(W131)),4,1))&lt;=90,CODE(MID(TRIM(UPPER(W131)),5,1))&gt;=65,CODE(MID(TRIM(UPPER(W131)),5,1))&lt;=90,CODE(MID(TRIM(UPPER(W131)),10,1))&gt;=65,CODE(MID(TRIM(UPPER(W131)),10,1))&lt;=90,CODE(MID(TRIM(UPPER(W131)),6,1))&gt;=48,CODE(MID(TRIM(UPPER(W131)),6,1))&lt;=57,CODE(MID(TRIM(UPPER(W131)),7,1))&gt;=48,CODE(MID(TRIM(UPPER(W131)),7,1))&lt;=57,CODE(MID(TRIM(UPPER(W131)),8,1))&gt;=48,CODE(MID(TRIM(UPPER(W131)),8,1))&lt;=57,CODE(MID(TRIM(UPPER(W131)),9,1))&gt;=48,CODE(MID(TRIM(UPPER(W131)),9,1))&lt;=57),"N","Y"),IF($B131="Challan","",IF(W131&lt;&gt;"","◄ Set Row Type","")))</f>
      </c>
      <c r="Y131" s="23">
        <f>IF($B131="Entry",IF(LEN(W131)&lt;4,"",IF(UPPER(MID(W131,4,1))="P","Individual",IF(UPPER(MID(W131,4,1))="H","HUF",IF(UPPER(MID(W131,4,1))="C","Company",IF(UPPER(MID(W131,4,1))="F","Firm",IF(UPPER(MID(W131,4,1))="L","LLP",IF(UPPER(MID(W131,4,1))="T","Trust",IF(UPPER(MID(W131,4,1))="A","AOP","")))))))),IF($B131="Challan","",IF(W131&lt;&gt;"","◄ Set Row Type","")))</f>
      </c>
      <c r="Z131" s="28"/>
      <c r="AA131" s="29">
        <f>IF($B131&lt;&gt;"Entry","",IF(Z131="","",IF(X131="Y",SUMPRODUCT(('Rate Lookup'!$A$1:$A$37=Z131)*'Rate Lookup'!$D$1:$D$37),IF(OR(Y131="Individual",Y131="HUF"),SUMPRODUCT(('Rate Lookup'!$A$1:$A$37=Z131)*'Rate Lookup'!$B$1:$B$37),SUMPRODUCT(('Rate Lookup'!$A$1:$A$37=Z131)*'Rate Lookup'!$C$1:$C$37)))))</f>
      </c>
      <c r="AB131" s="30"/>
      <c r="AC131" s="31"/>
      <c r="AD131" s="27">
        <f>IF($B131&lt;&gt;"Entry","",ROUND(AC131*AA131/100,0))</f>
      </c>
      <c r="AE131" s="27">
        <f>IF($B131&lt;&gt;"Entry","",0)</f>
      </c>
      <c r="AF131" s="27">
        <f>IF($B131&lt;&gt;"Entry","",0)</f>
      </c>
      <c r="AG131" s="27">
        <f>IF($B131&lt;&gt;"Entry","",IF(OR(AD131=0,AB131="",AQ131="",AQ131&lt;=0),0,IF(AQ131&lt;=DATE(YEAR(AB131),MONTH(AB131)+1,7),0,ROUND(AD131*0.015*((YEAR(AQ131)-YEAR(AB131))*12+(MONTH(AQ131)-MONTH(AB131))+1),0))))</f>
      </c>
      <c r="AH131" s="27">
        <f>IF($B131&lt;&gt;"Entry","",0)</f>
      </c>
      <c r="AI131" s="28"/>
      <c r="AJ131" s="28"/>
      <c r="AK131" s="32"/>
      <c r="AL131" s="28"/>
      <c r="AM131" s="28"/>
      <c r="AN131" s="27">
        <f>IF($B131&lt;&gt;"Challan","",SUMIF('Q1 Data'!$D$4:$D$207,D131,'Q1 Data'!$AD$4:$AD$207)+SUMIF('Q1 Data'!$D$4:$D$207,D131,'Q1 Data'!$AG$4:$AG$207)+SUMIF('Q1 Data'!$D$4:$D$207,D131,'Q1 Data'!$AE$4:$AE$207)+SUMIF('Q2 Data'!$D$4:$D$207,D131,'Q2 Data'!$AD$4:$AD$207)+SUMIF('Q2 Data'!$D$4:$D$207,D131,'Q2 Data'!$AG$4:$AG$207)+SUMIF('Q2 Data'!$D$4:$D$207,D131,'Q2 Data'!$AE$4:$AE$207)+SUMIF('Q3 Data'!$D$4:$D$207,D131,'Q3 Data'!$AD$4:$AD$207)+SUMIF('Q3 Data'!$D$4:$D$207,D131,'Q3 Data'!$AG$4:$AG$207)+SUMIF('Q3 Data'!$D$4:$D$207,D131,'Q3 Data'!$AE$4:$AE$207)+SUMIF('Q4 Data'!$D$4:$D$207,D131,'Q4 Data'!$AD$4:$AD$207)+SUMIF('Q4 Data'!$D$4:$D$207,D131,'Q4 Data'!$AG$4:$AG$207)+SUMIF('Q4 Data'!$D$4:$D$207,D131,'Q4 Data'!$AE$4:$AE$207))</f>
      </c>
      <c r="AO131" s="27">
        <f>IF($B131&lt;&gt;"Challan","",P131-N131)</f>
      </c>
      <c r="AP131" s="27">
        <f>IF($B131&lt;&gt;"Challan","",MAX(0,AO131-AN131))</f>
      </c>
      <c r="AQ131" s="33">
        <f>IF($B131&lt;&gt;"Entry","",SUMPRODUCT(('Q1 Data'!$D$4:$D$207=D131)*('Q1 Data'!$B$4:$B$207="Challan")*'Q1 Data'!$F$4:$F$207)+SUMPRODUCT(('Q2 Data'!$D$4:$D$207=D131)*('Q2 Data'!$B$4:$B$207="Challan")*'Q2 Data'!$F$4:$F$207)+SUMPRODUCT(('Q3 Data'!$D$4:$D$207=D131)*('Q3 Data'!$B$4:$B$207="Challan")*'Q3 Data'!$F$4:$F$207)+SUMPRODUCT(('Q4 Data'!$D$4:$D$207=D131)*('Q4 Data'!$B$4:$B$207="Challan")*'Q4 Data'!$F$4:$F$207))</f>
      </c>
      <c r="AR131" s="34">
        <f>IF(OR($B131&lt;&gt;"Entry",Z131=""),FALSE,AND((SUMPRODUCT(('Q1 Data'!$D$4:$D$207=D131)*('Q1 Data'!$B$4:$B$207="Challan")*('Q1 Data'!$H$4:$H$207&lt;&gt;""))+SUMPRODUCT(('Q2 Data'!$D$4:$D$207=D131)*('Q2 Data'!$B$4:$B$207="Challan")*('Q2 Data'!$H$4:$H$207&lt;&gt;""))+SUMPRODUCT(('Q3 Data'!$D$4:$D$207=D131)*('Q3 Data'!$B$4:$B$207="Challan")*('Q3 Data'!$H$4:$H$207&lt;&gt;""))+SUMPRODUCT(('Q4 Data'!$D$4:$D$207=D131)*('Q4 Data'!$B$4:$B$207="Challan")*('Q4 Data'!$H$4:$H$207&lt;&gt;"")))&gt;0,(SUMPRODUCT(('Q1 Data'!$D$4:$D$207=D131)*('Q1 Data'!$B$4:$B$207="Challan")*('Q1 Data'!$H$4:$H$207=Z131))+SUMPRODUCT(('Q2 Data'!$D$4:$D$207=D131)*('Q2 Data'!$B$4:$B$207="Challan")*('Q2 Data'!$H$4:$H$207=Z131))+SUMPRODUCT(('Q3 Data'!$D$4:$D$207=D131)*('Q3 Data'!$B$4:$B$207="Challan")*('Q3 Data'!$H$4:$H$207=Z131))+SUMPRODUCT(('Q4 Data'!$D$4:$D$207=D131)*('Q4 Data'!$B$4:$B$207="Challan")*('Q4 Data'!$H$4:$H$207=Z131)))=0))</f>
      </c>
    </row>
    <row r="132" spans="1:44" x14ac:dyDescent="0.25">
      <c r="A132" s="20">
        <f>IF($B132="Entry",COUNTIF($B$4:$B132,"Entry"),"")</f>
      </c>
      <c r="B132" s="21"/>
      <c r="C132" s="22"/>
      <c r="D132" s="22"/>
      <c r="E132" s="23">
        <f>IF($B132&lt;&gt;"Challan","",IF(ROUND(AN132-AO132,2)&gt;0,"Over-applied",IF(ROUND(AN132-AO132,2)=0,"Fully Utilised","Unconsumed")))</f>
      </c>
      <c r="F132" s="24"/>
      <c r="G132" s="25"/>
      <c r="H132" s="25"/>
      <c r="I132" s="26"/>
      <c r="J132" s="26"/>
      <c r="K132" s="26"/>
      <c r="L132" s="26"/>
      <c r="M132" s="26"/>
      <c r="N132" s="26"/>
      <c r="O132" s="26"/>
      <c r="P132" s="27">
        <f>IF($B132&lt;&gt;"Challan","",I132+J132+K132+L132+M132+N132)</f>
      </c>
      <c r="Q132" s="25"/>
      <c r="R132" s="25"/>
      <c r="S132" s="25"/>
      <c r="T132" s="25"/>
      <c r="U132" s="25"/>
      <c r="V132" s="28"/>
      <c r="W132" s="28"/>
      <c r="X132" s="23">
        <f>IF($B132="Entry",IF(AND(LEN(TRIM(UPPER(W132)))=10,CODE(MID(TRIM(UPPER(W132)),1,1))&gt;=65,CODE(MID(TRIM(UPPER(W132)),1,1))&lt;=90,CODE(MID(TRIM(UPPER(W132)),2,1))&gt;=65,CODE(MID(TRIM(UPPER(W132)),2,1))&lt;=90,CODE(MID(TRIM(UPPER(W132)),3,1))&gt;=65,CODE(MID(TRIM(UPPER(W132)),3,1))&lt;=90,CODE(MID(TRIM(UPPER(W132)),4,1))&gt;=65,CODE(MID(TRIM(UPPER(W132)),4,1))&lt;=90,CODE(MID(TRIM(UPPER(W132)),5,1))&gt;=65,CODE(MID(TRIM(UPPER(W132)),5,1))&lt;=90,CODE(MID(TRIM(UPPER(W132)),10,1))&gt;=65,CODE(MID(TRIM(UPPER(W132)),10,1))&lt;=90,CODE(MID(TRIM(UPPER(W132)),6,1))&gt;=48,CODE(MID(TRIM(UPPER(W132)),6,1))&lt;=57,CODE(MID(TRIM(UPPER(W132)),7,1))&gt;=48,CODE(MID(TRIM(UPPER(W132)),7,1))&lt;=57,CODE(MID(TRIM(UPPER(W132)),8,1))&gt;=48,CODE(MID(TRIM(UPPER(W132)),8,1))&lt;=57,CODE(MID(TRIM(UPPER(W132)),9,1))&gt;=48,CODE(MID(TRIM(UPPER(W132)),9,1))&lt;=57),"N","Y"),IF($B132="Challan","",IF(W132&lt;&gt;"","◄ Set Row Type","")))</f>
      </c>
      <c r="Y132" s="23">
        <f>IF($B132="Entry",IF(LEN(W132)&lt;4,"",IF(UPPER(MID(W132,4,1))="P","Individual",IF(UPPER(MID(W132,4,1))="H","HUF",IF(UPPER(MID(W132,4,1))="C","Company",IF(UPPER(MID(W132,4,1))="F","Firm",IF(UPPER(MID(W132,4,1))="L","LLP",IF(UPPER(MID(W132,4,1))="T","Trust",IF(UPPER(MID(W132,4,1))="A","AOP","")))))))),IF($B132="Challan","",IF(W132&lt;&gt;"","◄ Set Row Type","")))</f>
      </c>
      <c r="Z132" s="28"/>
      <c r="AA132" s="29">
        <f>IF($B132&lt;&gt;"Entry","",IF(Z132="","",IF(X132="Y",SUMPRODUCT(('Rate Lookup'!$A$1:$A$37=Z132)*'Rate Lookup'!$D$1:$D$37),IF(OR(Y132="Individual",Y132="HUF"),SUMPRODUCT(('Rate Lookup'!$A$1:$A$37=Z132)*'Rate Lookup'!$B$1:$B$37),SUMPRODUCT(('Rate Lookup'!$A$1:$A$37=Z132)*'Rate Lookup'!$C$1:$C$37)))))</f>
      </c>
      <c r="AB132" s="30"/>
      <c r="AC132" s="31"/>
      <c r="AD132" s="27">
        <f>IF($B132&lt;&gt;"Entry","",ROUND(AC132*AA132/100,0))</f>
      </c>
      <c r="AE132" s="27">
        <f>IF($B132&lt;&gt;"Entry","",0)</f>
      </c>
      <c r="AF132" s="27">
        <f>IF($B132&lt;&gt;"Entry","",0)</f>
      </c>
      <c r="AG132" s="27">
        <f>IF($B132&lt;&gt;"Entry","",IF(OR(AD132=0,AB132="",AQ132="",AQ132&lt;=0),0,IF(AQ132&lt;=DATE(YEAR(AB132),MONTH(AB132)+1,7),0,ROUND(AD132*0.015*((YEAR(AQ132)-YEAR(AB132))*12+(MONTH(AQ132)-MONTH(AB132))+1),0))))</f>
      </c>
      <c r="AH132" s="27">
        <f>IF($B132&lt;&gt;"Entry","",0)</f>
      </c>
      <c r="AI132" s="28"/>
      <c r="AJ132" s="28"/>
      <c r="AK132" s="32"/>
      <c r="AL132" s="28"/>
      <c r="AM132" s="28"/>
      <c r="AN132" s="27">
        <f>IF($B132&lt;&gt;"Challan","",SUMIF('Q1 Data'!$D$4:$D$207,D132,'Q1 Data'!$AD$4:$AD$207)+SUMIF('Q1 Data'!$D$4:$D$207,D132,'Q1 Data'!$AG$4:$AG$207)+SUMIF('Q1 Data'!$D$4:$D$207,D132,'Q1 Data'!$AE$4:$AE$207)+SUMIF('Q2 Data'!$D$4:$D$207,D132,'Q2 Data'!$AD$4:$AD$207)+SUMIF('Q2 Data'!$D$4:$D$207,D132,'Q2 Data'!$AG$4:$AG$207)+SUMIF('Q2 Data'!$D$4:$D$207,D132,'Q2 Data'!$AE$4:$AE$207)+SUMIF('Q3 Data'!$D$4:$D$207,D132,'Q3 Data'!$AD$4:$AD$207)+SUMIF('Q3 Data'!$D$4:$D$207,D132,'Q3 Data'!$AG$4:$AG$207)+SUMIF('Q3 Data'!$D$4:$D$207,D132,'Q3 Data'!$AE$4:$AE$207)+SUMIF('Q4 Data'!$D$4:$D$207,D132,'Q4 Data'!$AD$4:$AD$207)+SUMIF('Q4 Data'!$D$4:$D$207,D132,'Q4 Data'!$AG$4:$AG$207)+SUMIF('Q4 Data'!$D$4:$D$207,D132,'Q4 Data'!$AE$4:$AE$207))</f>
      </c>
      <c r="AO132" s="27">
        <f>IF($B132&lt;&gt;"Challan","",P132-N132)</f>
      </c>
      <c r="AP132" s="27">
        <f>IF($B132&lt;&gt;"Challan","",MAX(0,AO132-AN132))</f>
      </c>
      <c r="AQ132" s="33">
        <f>IF($B132&lt;&gt;"Entry","",SUMPRODUCT(('Q1 Data'!$D$4:$D$207=D132)*('Q1 Data'!$B$4:$B$207="Challan")*'Q1 Data'!$F$4:$F$207)+SUMPRODUCT(('Q2 Data'!$D$4:$D$207=D132)*('Q2 Data'!$B$4:$B$207="Challan")*'Q2 Data'!$F$4:$F$207)+SUMPRODUCT(('Q3 Data'!$D$4:$D$207=D132)*('Q3 Data'!$B$4:$B$207="Challan")*'Q3 Data'!$F$4:$F$207)+SUMPRODUCT(('Q4 Data'!$D$4:$D$207=D132)*('Q4 Data'!$B$4:$B$207="Challan")*'Q4 Data'!$F$4:$F$207))</f>
      </c>
      <c r="AR132" s="34">
        <f>IF(OR($B132&lt;&gt;"Entry",Z132=""),FALSE,AND((SUMPRODUCT(('Q1 Data'!$D$4:$D$207=D132)*('Q1 Data'!$B$4:$B$207="Challan")*('Q1 Data'!$H$4:$H$207&lt;&gt;""))+SUMPRODUCT(('Q2 Data'!$D$4:$D$207=D132)*('Q2 Data'!$B$4:$B$207="Challan")*('Q2 Data'!$H$4:$H$207&lt;&gt;""))+SUMPRODUCT(('Q3 Data'!$D$4:$D$207=D132)*('Q3 Data'!$B$4:$B$207="Challan")*('Q3 Data'!$H$4:$H$207&lt;&gt;""))+SUMPRODUCT(('Q4 Data'!$D$4:$D$207=D132)*('Q4 Data'!$B$4:$B$207="Challan")*('Q4 Data'!$H$4:$H$207&lt;&gt;"")))&gt;0,(SUMPRODUCT(('Q1 Data'!$D$4:$D$207=D132)*('Q1 Data'!$B$4:$B$207="Challan")*('Q1 Data'!$H$4:$H$207=Z132))+SUMPRODUCT(('Q2 Data'!$D$4:$D$207=D132)*('Q2 Data'!$B$4:$B$207="Challan")*('Q2 Data'!$H$4:$H$207=Z132))+SUMPRODUCT(('Q3 Data'!$D$4:$D$207=D132)*('Q3 Data'!$B$4:$B$207="Challan")*('Q3 Data'!$H$4:$H$207=Z132))+SUMPRODUCT(('Q4 Data'!$D$4:$D$207=D132)*('Q4 Data'!$B$4:$B$207="Challan")*('Q4 Data'!$H$4:$H$207=Z132)))=0))</f>
      </c>
    </row>
    <row r="133" spans="1:44" x14ac:dyDescent="0.25">
      <c r="A133" s="20">
        <f>IF($B133="Entry",COUNTIF($B$4:$B133,"Entry"),"")</f>
      </c>
      <c r="B133" s="21"/>
      <c r="C133" s="22"/>
      <c r="D133" s="22"/>
      <c r="E133" s="23">
        <f>IF($B133&lt;&gt;"Challan","",IF(ROUND(AN133-AO133,2)&gt;0,"Over-applied",IF(ROUND(AN133-AO133,2)=0,"Fully Utilised","Unconsumed")))</f>
      </c>
      <c r="F133" s="24"/>
      <c r="G133" s="25"/>
      <c r="H133" s="25"/>
      <c r="I133" s="26"/>
      <c r="J133" s="26"/>
      <c r="K133" s="26"/>
      <c r="L133" s="26"/>
      <c r="M133" s="26"/>
      <c r="N133" s="26"/>
      <c r="O133" s="26"/>
      <c r="P133" s="27">
        <f>IF($B133&lt;&gt;"Challan","",I133+J133+K133+L133+M133+N133)</f>
      </c>
      <c r="Q133" s="25"/>
      <c r="R133" s="25"/>
      <c r="S133" s="25"/>
      <c r="T133" s="25"/>
      <c r="U133" s="25"/>
      <c r="V133" s="28"/>
      <c r="W133" s="28"/>
      <c r="X133" s="23">
        <f>IF($B133="Entry",IF(AND(LEN(TRIM(UPPER(W133)))=10,CODE(MID(TRIM(UPPER(W133)),1,1))&gt;=65,CODE(MID(TRIM(UPPER(W133)),1,1))&lt;=90,CODE(MID(TRIM(UPPER(W133)),2,1))&gt;=65,CODE(MID(TRIM(UPPER(W133)),2,1))&lt;=90,CODE(MID(TRIM(UPPER(W133)),3,1))&gt;=65,CODE(MID(TRIM(UPPER(W133)),3,1))&lt;=90,CODE(MID(TRIM(UPPER(W133)),4,1))&gt;=65,CODE(MID(TRIM(UPPER(W133)),4,1))&lt;=90,CODE(MID(TRIM(UPPER(W133)),5,1))&gt;=65,CODE(MID(TRIM(UPPER(W133)),5,1))&lt;=90,CODE(MID(TRIM(UPPER(W133)),10,1))&gt;=65,CODE(MID(TRIM(UPPER(W133)),10,1))&lt;=90,CODE(MID(TRIM(UPPER(W133)),6,1))&gt;=48,CODE(MID(TRIM(UPPER(W133)),6,1))&lt;=57,CODE(MID(TRIM(UPPER(W133)),7,1))&gt;=48,CODE(MID(TRIM(UPPER(W133)),7,1))&lt;=57,CODE(MID(TRIM(UPPER(W133)),8,1))&gt;=48,CODE(MID(TRIM(UPPER(W133)),8,1))&lt;=57,CODE(MID(TRIM(UPPER(W133)),9,1))&gt;=48,CODE(MID(TRIM(UPPER(W133)),9,1))&lt;=57),"N","Y"),IF($B133="Challan","",IF(W133&lt;&gt;"","◄ Set Row Type","")))</f>
      </c>
      <c r="Y133" s="23">
        <f>IF($B133="Entry",IF(LEN(W133)&lt;4,"",IF(UPPER(MID(W133,4,1))="P","Individual",IF(UPPER(MID(W133,4,1))="H","HUF",IF(UPPER(MID(W133,4,1))="C","Company",IF(UPPER(MID(W133,4,1))="F","Firm",IF(UPPER(MID(W133,4,1))="L","LLP",IF(UPPER(MID(W133,4,1))="T","Trust",IF(UPPER(MID(W133,4,1))="A","AOP","")))))))),IF($B133="Challan","",IF(W133&lt;&gt;"","◄ Set Row Type","")))</f>
      </c>
      <c r="Z133" s="28"/>
      <c r="AA133" s="29">
        <f>IF($B133&lt;&gt;"Entry","",IF(Z133="","",IF(X133="Y",SUMPRODUCT(('Rate Lookup'!$A$1:$A$37=Z133)*'Rate Lookup'!$D$1:$D$37),IF(OR(Y133="Individual",Y133="HUF"),SUMPRODUCT(('Rate Lookup'!$A$1:$A$37=Z133)*'Rate Lookup'!$B$1:$B$37),SUMPRODUCT(('Rate Lookup'!$A$1:$A$37=Z133)*'Rate Lookup'!$C$1:$C$37)))))</f>
      </c>
      <c r="AB133" s="30"/>
      <c r="AC133" s="31"/>
      <c r="AD133" s="27">
        <f>IF($B133&lt;&gt;"Entry","",ROUND(AC133*AA133/100,0))</f>
      </c>
      <c r="AE133" s="27">
        <f>IF($B133&lt;&gt;"Entry","",0)</f>
      </c>
      <c r="AF133" s="27">
        <f>IF($B133&lt;&gt;"Entry","",0)</f>
      </c>
      <c r="AG133" s="27">
        <f>IF($B133&lt;&gt;"Entry","",IF(OR(AD133=0,AB133="",AQ133="",AQ133&lt;=0),0,IF(AQ133&lt;=DATE(YEAR(AB133),MONTH(AB133)+1,7),0,ROUND(AD133*0.015*((YEAR(AQ133)-YEAR(AB133))*12+(MONTH(AQ133)-MONTH(AB133))+1),0))))</f>
      </c>
      <c r="AH133" s="27">
        <f>IF($B133&lt;&gt;"Entry","",0)</f>
      </c>
      <c r="AI133" s="28"/>
      <c r="AJ133" s="28"/>
      <c r="AK133" s="32"/>
      <c r="AL133" s="28"/>
      <c r="AM133" s="28"/>
      <c r="AN133" s="27">
        <f>IF($B133&lt;&gt;"Challan","",SUMIF('Q1 Data'!$D$4:$D$207,D133,'Q1 Data'!$AD$4:$AD$207)+SUMIF('Q1 Data'!$D$4:$D$207,D133,'Q1 Data'!$AG$4:$AG$207)+SUMIF('Q1 Data'!$D$4:$D$207,D133,'Q1 Data'!$AE$4:$AE$207)+SUMIF('Q2 Data'!$D$4:$D$207,D133,'Q2 Data'!$AD$4:$AD$207)+SUMIF('Q2 Data'!$D$4:$D$207,D133,'Q2 Data'!$AG$4:$AG$207)+SUMIF('Q2 Data'!$D$4:$D$207,D133,'Q2 Data'!$AE$4:$AE$207)+SUMIF('Q3 Data'!$D$4:$D$207,D133,'Q3 Data'!$AD$4:$AD$207)+SUMIF('Q3 Data'!$D$4:$D$207,D133,'Q3 Data'!$AG$4:$AG$207)+SUMIF('Q3 Data'!$D$4:$D$207,D133,'Q3 Data'!$AE$4:$AE$207)+SUMIF('Q4 Data'!$D$4:$D$207,D133,'Q4 Data'!$AD$4:$AD$207)+SUMIF('Q4 Data'!$D$4:$D$207,D133,'Q4 Data'!$AG$4:$AG$207)+SUMIF('Q4 Data'!$D$4:$D$207,D133,'Q4 Data'!$AE$4:$AE$207))</f>
      </c>
      <c r="AO133" s="27">
        <f>IF($B133&lt;&gt;"Challan","",P133-N133)</f>
      </c>
      <c r="AP133" s="27">
        <f>IF($B133&lt;&gt;"Challan","",MAX(0,AO133-AN133))</f>
      </c>
      <c r="AQ133" s="33">
        <f>IF($B133&lt;&gt;"Entry","",SUMPRODUCT(('Q1 Data'!$D$4:$D$207=D133)*('Q1 Data'!$B$4:$B$207="Challan")*'Q1 Data'!$F$4:$F$207)+SUMPRODUCT(('Q2 Data'!$D$4:$D$207=D133)*('Q2 Data'!$B$4:$B$207="Challan")*'Q2 Data'!$F$4:$F$207)+SUMPRODUCT(('Q3 Data'!$D$4:$D$207=D133)*('Q3 Data'!$B$4:$B$207="Challan")*'Q3 Data'!$F$4:$F$207)+SUMPRODUCT(('Q4 Data'!$D$4:$D$207=D133)*('Q4 Data'!$B$4:$B$207="Challan")*'Q4 Data'!$F$4:$F$207))</f>
      </c>
      <c r="AR133" s="34">
        <f>IF(OR($B133&lt;&gt;"Entry",Z133=""),FALSE,AND((SUMPRODUCT(('Q1 Data'!$D$4:$D$207=D133)*('Q1 Data'!$B$4:$B$207="Challan")*('Q1 Data'!$H$4:$H$207&lt;&gt;""))+SUMPRODUCT(('Q2 Data'!$D$4:$D$207=D133)*('Q2 Data'!$B$4:$B$207="Challan")*('Q2 Data'!$H$4:$H$207&lt;&gt;""))+SUMPRODUCT(('Q3 Data'!$D$4:$D$207=D133)*('Q3 Data'!$B$4:$B$207="Challan")*('Q3 Data'!$H$4:$H$207&lt;&gt;""))+SUMPRODUCT(('Q4 Data'!$D$4:$D$207=D133)*('Q4 Data'!$B$4:$B$207="Challan")*('Q4 Data'!$H$4:$H$207&lt;&gt;"")))&gt;0,(SUMPRODUCT(('Q1 Data'!$D$4:$D$207=D133)*('Q1 Data'!$B$4:$B$207="Challan")*('Q1 Data'!$H$4:$H$207=Z133))+SUMPRODUCT(('Q2 Data'!$D$4:$D$207=D133)*('Q2 Data'!$B$4:$B$207="Challan")*('Q2 Data'!$H$4:$H$207=Z133))+SUMPRODUCT(('Q3 Data'!$D$4:$D$207=D133)*('Q3 Data'!$B$4:$B$207="Challan")*('Q3 Data'!$H$4:$H$207=Z133))+SUMPRODUCT(('Q4 Data'!$D$4:$D$207=D133)*('Q4 Data'!$B$4:$B$207="Challan")*('Q4 Data'!$H$4:$H$207=Z133)))=0))</f>
      </c>
    </row>
    <row r="134" spans="1:44" x14ac:dyDescent="0.25">
      <c r="A134" s="20">
        <f>IF($B134="Entry",COUNTIF($B$4:$B134,"Entry"),"")</f>
      </c>
      <c r="B134" s="21"/>
      <c r="C134" s="22"/>
      <c r="D134" s="22"/>
      <c r="E134" s="23">
        <f>IF($B134&lt;&gt;"Challan","",IF(ROUND(AN134-AO134,2)&gt;0,"Over-applied",IF(ROUND(AN134-AO134,2)=0,"Fully Utilised","Unconsumed")))</f>
      </c>
      <c r="F134" s="24"/>
      <c r="G134" s="25"/>
      <c r="H134" s="25"/>
      <c r="I134" s="26"/>
      <c r="J134" s="26"/>
      <c r="K134" s="26"/>
      <c r="L134" s="26"/>
      <c r="M134" s="26"/>
      <c r="N134" s="26"/>
      <c r="O134" s="26"/>
      <c r="P134" s="27">
        <f>IF($B134&lt;&gt;"Challan","",I134+J134+K134+L134+M134+N134)</f>
      </c>
      <c r="Q134" s="25"/>
      <c r="R134" s="25"/>
      <c r="S134" s="25"/>
      <c r="T134" s="25"/>
      <c r="U134" s="25"/>
      <c r="V134" s="28"/>
      <c r="W134" s="28"/>
      <c r="X134" s="23">
        <f>IF($B134="Entry",IF(AND(LEN(TRIM(UPPER(W134)))=10,CODE(MID(TRIM(UPPER(W134)),1,1))&gt;=65,CODE(MID(TRIM(UPPER(W134)),1,1))&lt;=90,CODE(MID(TRIM(UPPER(W134)),2,1))&gt;=65,CODE(MID(TRIM(UPPER(W134)),2,1))&lt;=90,CODE(MID(TRIM(UPPER(W134)),3,1))&gt;=65,CODE(MID(TRIM(UPPER(W134)),3,1))&lt;=90,CODE(MID(TRIM(UPPER(W134)),4,1))&gt;=65,CODE(MID(TRIM(UPPER(W134)),4,1))&lt;=90,CODE(MID(TRIM(UPPER(W134)),5,1))&gt;=65,CODE(MID(TRIM(UPPER(W134)),5,1))&lt;=90,CODE(MID(TRIM(UPPER(W134)),10,1))&gt;=65,CODE(MID(TRIM(UPPER(W134)),10,1))&lt;=90,CODE(MID(TRIM(UPPER(W134)),6,1))&gt;=48,CODE(MID(TRIM(UPPER(W134)),6,1))&lt;=57,CODE(MID(TRIM(UPPER(W134)),7,1))&gt;=48,CODE(MID(TRIM(UPPER(W134)),7,1))&lt;=57,CODE(MID(TRIM(UPPER(W134)),8,1))&gt;=48,CODE(MID(TRIM(UPPER(W134)),8,1))&lt;=57,CODE(MID(TRIM(UPPER(W134)),9,1))&gt;=48,CODE(MID(TRIM(UPPER(W134)),9,1))&lt;=57),"N","Y"),IF($B134="Challan","",IF(W134&lt;&gt;"","◄ Set Row Type","")))</f>
      </c>
      <c r="Y134" s="23">
        <f>IF($B134="Entry",IF(LEN(W134)&lt;4,"",IF(UPPER(MID(W134,4,1))="P","Individual",IF(UPPER(MID(W134,4,1))="H","HUF",IF(UPPER(MID(W134,4,1))="C","Company",IF(UPPER(MID(W134,4,1))="F","Firm",IF(UPPER(MID(W134,4,1))="L","LLP",IF(UPPER(MID(W134,4,1))="T","Trust",IF(UPPER(MID(W134,4,1))="A","AOP","")))))))),IF($B134="Challan","",IF(W134&lt;&gt;"","◄ Set Row Type","")))</f>
      </c>
      <c r="Z134" s="28"/>
      <c r="AA134" s="29">
        <f>IF($B134&lt;&gt;"Entry","",IF(Z134="","",IF(X134="Y",SUMPRODUCT(('Rate Lookup'!$A$1:$A$37=Z134)*'Rate Lookup'!$D$1:$D$37),IF(OR(Y134="Individual",Y134="HUF"),SUMPRODUCT(('Rate Lookup'!$A$1:$A$37=Z134)*'Rate Lookup'!$B$1:$B$37),SUMPRODUCT(('Rate Lookup'!$A$1:$A$37=Z134)*'Rate Lookup'!$C$1:$C$37)))))</f>
      </c>
      <c r="AB134" s="30"/>
      <c r="AC134" s="31"/>
      <c r="AD134" s="27">
        <f>IF($B134&lt;&gt;"Entry","",ROUND(AC134*AA134/100,0))</f>
      </c>
      <c r="AE134" s="27">
        <f>IF($B134&lt;&gt;"Entry","",0)</f>
      </c>
      <c r="AF134" s="27">
        <f>IF($B134&lt;&gt;"Entry","",0)</f>
      </c>
      <c r="AG134" s="27">
        <f>IF($B134&lt;&gt;"Entry","",IF(OR(AD134=0,AB134="",AQ134="",AQ134&lt;=0),0,IF(AQ134&lt;=DATE(YEAR(AB134),MONTH(AB134)+1,7),0,ROUND(AD134*0.015*((YEAR(AQ134)-YEAR(AB134))*12+(MONTH(AQ134)-MONTH(AB134))+1),0))))</f>
      </c>
      <c r="AH134" s="27">
        <f>IF($B134&lt;&gt;"Entry","",0)</f>
      </c>
      <c r="AI134" s="28"/>
      <c r="AJ134" s="28"/>
      <c r="AK134" s="32"/>
      <c r="AL134" s="28"/>
      <c r="AM134" s="28"/>
      <c r="AN134" s="27">
        <f>IF($B134&lt;&gt;"Challan","",SUMIF('Q1 Data'!$D$4:$D$207,D134,'Q1 Data'!$AD$4:$AD$207)+SUMIF('Q1 Data'!$D$4:$D$207,D134,'Q1 Data'!$AG$4:$AG$207)+SUMIF('Q1 Data'!$D$4:$D$207,D134,'Q1 Data'!$AE$4:$AE$207)+SUMIF('Q2 Data'!$D$4:$D$207,D134,'Q2 Data'!$AD$4:$AD$207)+SUMIF('Q2 Data'!$D$4:$D$207,D134,'Q2 Data'!$AG$4:$AG$207)+SUMIF('Q2 Data'!$D$4:$D$207,D134,'Q2 Data'!$AE$4:$AE$207)+SUMIF('Q3 Data'!$D$4:$D$207,D134,'Q3 Data'!$AD$4:$AD$207)+SUMIF('Q3 Data'!$D$4:$D$207,D134,'Q3 Data'!$AG$4:$AG$207)+SUMIF('Q3 Data'!$D$4:$D$207,D134,'Q3 Data'!$AE$4:$AE$207)+SUMIF('Q4 Data'!$D$4:$D$207,D134,'Q4 Data'!$AD$4:$AD$207)+SUMIF('Q4 Data'!$D$4:$D$207,D134,'Q4 Data'!$AG$4:$AG$207)+SUMIF('Q4 Data'!$D$4:$D$207,D134,'Q4 Data'!$AE$4:$AE$207))</f>
      </c>
      <c r="AO134" s="27">
        <f>IF($B134&lt;&gt;"Challan","",P134-N134)</f>
      </c>
      <c r="AP134" s="27">
        <f>IF($B134&lt;&gt;"Challan","",MAX(0,AO134-AN134))</f>
      </c>
      <c r="AQ134" s="33">
        <f>IF($B134&lt;&gt;"Entry","",SUMPRODUCT(('Q1 Data'!$D$4:$D$207=D134)*('Q1 Data'!$B$4:$B$207="Challan")*'Q1 Data'!$F$4:$F$207)+SUMPRODUCT(('Q2 Data'!$D$4:$D$207=D134)*('Q2 Data'!$B$4:$B$207="Challan")*'Q2 Data'!$F$4:$F$207)+SUMPRODUCT(('Q3 Data'!$D$4:$D$207=D134)*('Q3 Data'!$B$4:$B$207="Challan")*'Q3 Data'!$F$4:$F$207)+SUMPRODUCT(('Q4 Data'!$D$4:$D$207=D134)*('Q4 Data'!$B$4:$B$207="Challan")*'Q4 Data'!$F$4:$F$207))</f>
      </c>
      <c r="AR134" s="34">
        <f>IF(OR($B134&lt;&gt;"Entry",Z134=""),FALSE,AND((SUMPRODUCT(('Q1 Data'!$D$4:$D$207=D134)*('Q1 Data'!$B$4:$B$207="Challan")*('Q1 Data'!$H$4:$H$207&lt;&gt;""))+SUMPRODUCT(('Q2 Data'!$D$4:$D$207=D134)*('Q2 Data'!$B$4:$B$207="Challan")*('Q2 Data'!$H$4:$H$207&lt;&gt;""))+SUMPRODUCT(('Q3 Data'!$D$4:$D$207=D134)*('Q3 Data'!$B$4:$B$207="Challan")*('Q3 Data'!$H$4:$H$207&lt;&gt;""))+SUMPRODUCT(('Q4 Data'!$D$4:$D$207=D134)*('Q4 Data'!$B$4:$B$207="Challan")*('Q4 Data'!$H$4:$H$207&lt;&gt;"")))&gt;0,(SUMPRODUCT(('Q1 Data'!$D$4:$D$207=D134)*('Q1 Data'!$B$4:$B$207="Challan")*('Q1 Data'!$H$4:$H$207=Z134))+SUMPRODUCT(('Q2 Data'!$D$4:$D$207=D134)*('Q2 Data'!$B$4:$B$207="Challan")*('Q2 Data'!$H$4:$H$207=Z134))+SUMPRODUCT(('Q3 Data'!$D$4:$D$207=D134)*('Q3 Data'!$B$4:$B$207="Challan")*('Q3 Data'!$H$4:$H$207=Z134))+SUMPRODUCT(('Q4 Data'!$D$4:$D$207=D134)*('Q4 Data'!$B$4:$B$207="Challan")*('Q4 Data'!$H$4:$H$207=Z134)))=0))</f>
      </c>
    </row>
    <row r="135" spans="1:44" x14ac:dyDescent="0.25">
      <c r="A135" s="20">
        <f>IF($B135="Entry",COUNTIF($B$4:$B135,"Entry"),"")</f>
      </c>
      <c r="B135" s="21"/>
      <c r="C135" s="22"/>
      <c r="D135" s="22"/>
      <c r="E135" s="23">
        <f>IF($B135&lt;&gt;"Challan","",IF(ROUND(AN135-AO135,2)&gt;0,"Over-applied",IF(ROUND(AN135-AO135,2)=0,"Fully Utilised","Unconsumed")))</f>
      </c>
      <c r="F135" s="24"/>
      <c r="G135" s="25"/>
      <c r="H135" s="25"/>
      <c r="I135" s="26"/>
      <c r="J135" s="26"/>
      <c r="K135" s="26"/>
      <c r="L135" s="26"/>
      <c r="M135" s="26"/>
      <c r="N135" s="26"/>
      <c r="O135" s="26"/>
      <c r="P135" s="27">
        <f>IF($B135&lt;&gt;"Challan","",I135+J135+K135+L135+M135+N135)</f>
      </c>
      <c r="Q135" s="25"/>
      <c r="R135" s="25"/>
      <c r="S135" s="25"/>
      <c r="T135" s="25"/>
      <c r="U135" s="25"/>
      <c r="V135" s="28"/>
      <c r="W135" s="28"/>
      <c r="X135" s="23">
        <f>IF($B135="Entry",IF(AND(LEN(TRIM(UPPER(W135)))=10,CODE(MID(TRIM(UPPER(W135)),1,1))&gt;=65,CODE(MID(TRIM(UPPER(W135)),1,1))&lt;=90,CODE(MID(TRIM(UPPER(W135)),2,1))&gt;=65,CODE(MID(TRIM(UPPER(W135)),2,1))&lt;=90,CODE(MID(TRIM(UPPER(W135)),3,1))&gt;=65,CODE(MID(TRIM(UPPER(W135)),3,1))&lt;=90,CODE(MID(TRIM(UPPER(W135)),4,1))&gt;=65,CODE(MID(TRIM(UPPER(W135)),4,1))&lt;=90,CODE(MID(TRIM(UPPER(W135)),5,1))&gt;=65,CODE(MID(TRIM(UPPER(W135)),5,1))&lt;=90,CODE(MID(TRIM(UPPER(W135)),10,1))&gt;=65,CODE(MID(TRIM(UPPER(W135)),10,1))&lt;=90,CODE(MID(TRIM(UPPER(W135)),6,1))&gt;=48,CODE(MID(TRIM(UPPER(W135)),6,1))&lt;=57,CODE(MID(TRIM(UPPER(W135)),7,1))&gt;=48,CODE(MID(TRIM(UPPER(W135)),7,1))&lt;=57,CODE(MID(TRIM(UPPER(W135)),8,1))&gt;=48,CODE(MID(TRIM(UPPER(W135)),8,1))&lt;=57,CODE(MID(TRIM(UPPER(W135)),9,1))&gt;=48,CODE(MID(TRIM(UPPER(W135)),9,1))&lt;=57),"N","Y"),IF($B135="Challan","",IF(W135&lt;&gt;"","◄ Set Row Type","")))</f>
      </c>
      <c r="Y135" s="23">
        <f>IF($B135="Entry",IF(LEN(W135)&lt;4,"",IF(UPPER(MID(W135,4,1))="P","Individual",IF(UPPER(MID(W135,4,1))="H","HUF",IF(UPPER(MID(W135,4,1))="C","Company",IF(UPPER(MID(W135,4,1))="F","Firm",IF(UPPER(MID(W135,4,1))="L","LLP",IF(UPPER(MID(W135,4,1))="T","Trust",IF(UPPER(MID(W135,4,1))="A","AOP","")))))))),IF($B135="Challan","",IF(W135&lt;&gt;"","◄ Set Row Type","")))</f>
      </c>
      <c r="Z135" s="28"/>
      <c r="AA135" s="29">
        <f>IF($B135&lt;&gt;"Entry","",IF(Z135="","",IF(X135="Y",SUMPRODUCT(('Rate Lookup'!$A$1:$A$37=Z135)*'Rate Lookup'!$D$1:$D$37),IF(OR(Y135="Individual",Y135="HUF"),SUMPRODUCT(('Rate Lookup'!$A$1:$A$37=Z135)*'Rate Lookup'!$B$1:$B$37),SUMPRODUCT(('Rate Lookup'!$A$1:$A$37=Z135)*'Rate Lookup'!$C$1:$C$37)))))</f>
      </c>
      <c r="AB135" s="30"/>
      <c r="AC135" s="31"/>
      <c r="AD135" s="27">
        <f>IF($B135&lt;&gt;"Entry","",ROUND(AC135*AA135/100,0))</f>
      </c>
      <c r="AE135" s="27">
        <f>IF($B135&lt;&gt;"Entry","",0)</f>
      </c>
      <c r="AF135" s="27">
        <f>IF($B135&lt;&gt;"Entry","",0)</f>
      </c>
      <c r="AG135" s="27">
        <f>IF($B135&lt;&gt;"Entry","",IF(OR(AD135=0,AB135="",AQ135="",AQ135&lt;=0),0,IF(AQ135&lt;=DATE(YEAR(AB135),MONTH(AB135)+1,7),0,ROUND(AD135*0.015*((YEAR(AQ135)-YEAR(AB135))*12+(MONTH(AQ135)-MONTH(AB135))+1),0))))</f>
      </c>
      <c r="AH135" s="27">
        <f>IF($B135&lt;&gt;"Entry","",0)</f>
      </c>
      <c r="AI135" s="28"/>
      <c r="AJ135" s="28"/>
      <c r="AK135" s="32"/>
      <c r="AL135" s="28"/>
      <c r="AM135" s="28"/>
      <c r="AN135" s="27">
        <f>IF($B135&lt;&gt;"Challan","",SUMIF('Q1 Data'!$D$4:$D$207,D135,'Q1 Data'!$AD$4:$AD$207)+SUMIF('Q1 Data'!$D$4:$D$207,D135,'Q1 Data'!$AG$4:$AG$207)+SUMIF('Q1 Data'!$D$4:$D$207,D135,'Q1 Data'!$AE$4:$AE$207)+SUMIF('Q2 Data'!$D$4:$D$207,D135,'Q2 Data'!$AD$4:$AD$207)+SUMIF('Q2 Data'!$D$4:$D$207,D135,'Q2 Data'!$AG$4:$AG$207)+SUMIF('Q2 Data'!$D$4:$D$207,D135,'Q2 Data'!$AE$4:$AE$207)+SUMIF('Q3 Data'!$D$4:$D$207,D135,'Q3 Data'!$AD$4:$AD$207)+SUMIF('Q3 Data'!$D$4:$D$207,D135,'Q3 Data'!$AG$4:$AG$207)+SUMIF('Q3 Data'!$D$4:$D$207,D135,'Q3 Data'!$AE$4:$AE$207)+SUMIF('Q4 Data'!$D$4:$D$207,D135,'Q4 Data'!$AD$4:$AD$207)+SUMIF('Q4 Data'!$D$4:$D$207,D135,'Q4 Data'!$AG$4:$AG$207)+SUMIF('Q4 Data'!$D$4:$D$207,D135,'Q4 Data'!$AE$4:$AE$207))</f>
      </c>
      <c r="AO135" s="27">
        <f>IF($B135&lt;&gt;"Challan","",P135-N135)</f>
      </c>
      <c r="AP135" s="27">
        <f>IF($B135&lt;&gt;"Challan","",MAX(0,AO135-AN135))</f>
      </c>
      <c r="AQ135" s="33">
        <f>IF($B135&lt;&gt;"Entry","",SUMPRODUCT(('Q1 Data'!$D$4:$D$207=D135)*('Q1 Data'!$B$4:$B$207="Challan")*'Q1 Data'!$F$4:$F$207)+SUMPRODUCT(('Q2 Data'!$D$4:$D$207=D135)*('Q2 Data'!$B$4:$B$207="Challan")*'Q2 Data'!$F$4:$F$207)+SUMPRODUCT(('Q3 Data'!$D$4:$D$207=D135)*('Q3 Data'!$B$4:$B$207="Challan")*'Q3 Data'!$F$4:$F$207)+SUMPRODUCT(('Q4 Data'!$D$4:$D$207=D135)*('Q4 Data'!$B$4:$B$207="Challan")*'Q4 Data'!$F$4:$F$207))</f>
      </c>
      <c r="AR135" s="34">
        <f>IF(OR($B135&lt;&gt;"Entry",Z135=""),FALSE,AND((SUMPRODUCT(('Q1 Data'!$D$4:$D$207=D135)*('Q1 Data'!$B$4:$B$207="Challan")*('Q1 Data'!$H$4:$H$207&lt;&gt;""))+SUMPRODUCT(('Q2 Data'!$D$4:$D$207=D135)*('Q2 Data'!$B$4:$B$207="Challan")*('Q2 Data'!$H$4:$H$207&lt;&gt;""))+SUMPRODUCT(('Q3 Data'!$D$4:$D$207=D135)*('Q3 Data'!$B$4:$B$207="Challan")*('Q3 Data'!$H$4:$H$207&lt;&gt;""))+SUMPRODUCT(('Q4 Data'!$D$4:$D$207=D135)*('Q4 Data'!$B$4:$B$207="Challan")*('Q4 Data'!$H$4:$H$207&lt;&gt;"")))&gt;0,(SUMPRODUCT(('Q1 Data'!$D$4:$D$207=D135)*('Q1 Data'!$B$4:$B$207="Challan")*('Q1 Data'!$H$4:$H$207=Z135))+SUMPRODUCT(('Q2 Data'!$D$4:$D$207=D135)*('Q2 Data'!$B$4:$B$207="Challan")*('Q2 Data'!$H$4:$H$207=Z135))+SUMPRODUCT(('Q3 Data'!$D$4:$D$207=D135)*('Q3 Data'!$B$4:$B$207="Challan")*('Q3 Data'!$H$4:$H$207=Z135))+SUMPRODUCT(('Q4 Data'!$D$4:$D$207=D135)*('Q4 Data'!$B$4:$B$207="Challan")*('Q4 Data'!$H$4:$H$207=Z135)))=0))</f>
      </c>
    </row>
    <row r="136" spans="1:44" x14ac:dyDescent="0.25">
      <c r="A136" s="20">
        <f>IF($B136="Entry",COUNTIF($B$4:$B136,"Entry"),"")</f>
      </c>
      <c r="B136" s="21"/>
      <c r="C136" s="22"/>
      <c r="D136" s="22"/>
      <c r="E136" s="23">
        <f>IF($B136&lt;&gt;"Challan","",IF(ROUND(AN136-AO136,2)&gt;0,"Over-applied",IF(ROUND(AN136-AO136,2)=0,"Fully Utilised","Unconsumed")))</f>
      </c>
      <c r="F136" s="24"/>
      <c r="G136" s="25"/>
      <c r="H136" s="25"/>
      <c r="I136" s="26"/>
      <c r="J136" s="26"/>
      <c r="K136" s="26"/>
      <c r="L136" s="26"/>
      <c r="M136" s="26"/>
      <c r="N136" s="26"/>
      <c r="O136" s="26"/>
      <c r="P136" s="27">
        <f>IF($B136&lt;&gt;"Challan","",I136+J136+K136+L136+M136+N136)</f>
      </c>
      <c r="Q136" s="25"/>
      <c r="R136" s="25"/>
      <c r="S136" s="25"/>
      <c r="T136" s="25"/>
      <c r="U136" s="25"/>
      <c r="V136" s="28"/>
      <c r="W136" s="28"/>
      <c r="X136" s="23">
        <f>IF($B136="Entry",IF(AND(LEN(TRIM(UPPER(W136)))=10,CODE(MID(TRIM(UPPER(W136)),1,1))&gt;=65,CODE(MID(TRIM(UPPER(W136)),1,1))&lt;=90,CODE(MID(TRIM(UPPER(W136)),2,1))&gt;=65,CODE(MID(TRIM(UPPER(W136)),2,1))&lt;=90,CODE(MID(TRIM(UPPER(W136)),3,1))&gt;=65,CODE(MID(TRIM(UPPER(W136)),3,1))&lt;=90,CODE(MID(TRIM(UPPER(W136)),4,1))&gt;=65,CODE(MID(TRIM(UPPER(W136)),4,1))&lt;=90,CODE(MID(TRIM(UPPER(W136)),5,1))&gt;=65,CODE(MID(TRIM(UPPER(W136)),5,1))&lt;=90,CODE(MID(TRIM(UPPER(W136)),10,1))&gt;=65,CODE(MID(TRIM(UPPER(W136)),10,1))&lt;=90,CODE(MID(TRIM(UPPER(W136)),6,1))&gt;=48,CODE(MID(TRIM(UPPER(W136)),6,1))&lt;=57,CODE(MID(TRIM(UPPER(W136)),7,1))&gt;=48,CODE(MID(TRIM(UPPER(W136)),7,1))&lt;=57,CODE(MID(TRIM(UPPER(W136)),8,1))&gt;=48,CODE(MID(TRIM(UPPER(W136)),8,1))&lt;=57,CODE(MID(TRIM(UPPER(W136)),9,1))&gt;=48,CODE(MID(TRIM(UPPER(W136)),9,1))&lt;=57),"N","Y"),IF($B136="Challan","",IF(W136&lt;&gt;"","◄ Set Row Type","")))</f>
      </c>
      <c r="Y136" s="23">
        <f>IF($B136="Entry",IF(LEN(W136)&lt;4,"",IF(UPPER(MID(W136,4,1))="P","Individual",IF(UPPER(MID(W136,4,1))="H","HUF",IF(UPPER(MID(W136,4,1))="C","Company",IF(UPPER(MID(W136,4,1))="F","Firm",IF(UPPER(MID(W136,4,1))="L","LLP",IF(UPPER(MID(W136,4,1))="T","Trust",IF(UPPER(MID(W136,4,1))="A","AOP","")))))))),IF($B136="Challan","",IF(W136&lt;&gt;"","◄ Set Row Type","")))</f>
      </c>
      <c r="Z136" s="28"/>
      <c r="AA136" s="29">
        <f>IF($B136&lt;&gt;"Entry","",IF(Z136="","",IF(X136="Y",SUMPRODUCT(('Rate Lookup'!$A$1:$A$37=Z136)*'Rate Lookup'!$D$1:$D$37),IF(OR(Y136="Individual",Y136="HUF"),SUMPRODUCT(('Rate Lookup'!$A$1:$A$37=Z136)*'Rate Lookup'!$B$1:$B$37),SUMPRODUCT(('Rate Lookup'!$A$1:$A$37=Z136)*'Rate Lookup'!$C$1:$C$37)))))</f>
      </c>
      <c r="AB136" s="30"/>
      <c r="AC136" s="31"/>
      <c r="AD136" s="27">
        <f>IF($B136&lt;&gt;"Entry","",ROUND(AC136*AA136/100,0))</f>
      </c>
      <c r="AE136" s="27">
        <f>IF($B136&lt;&gt;"Entry","",0)</f>
      </c>
      <c r="AF136" s="27">
        <f>IF($B136&lt;&gt;"Entry","",0)</f>
      </c>
      <c r="AG136" s="27">
        <f>IF($B136&lt;&gt;"Entry","",IF(OR(AD136=0,AB136="",AQ136="",AQ136&lt;=0),0,IF(AQ136&lt;=DATE(YEAR(AB136),MONTH(AB136)+1,7),0,ROUND(AD136*0.015*((YEAR(AQ136)-YEAR(AB136))*12+(MONTH(AQ136)-MONTH(AB136))+1),0))))</f>
      </c>
      <c r="AH136" s="27">
        <f>IF($B136&lt;&gt;"Entry","",0)</f>
      </c>
      <c r="AI136" s="28"/>
      <c r="AJ136" s="28"/>
      <c r="AK136" s="32"/>
      <c r="AL136" s="28"/>
      <c r="AM136" s="28"/>
      <c r="AN136" s="27">
        <f>IF($B136&lt;&gt;"Challan","",SUMIF('Q1 Data'!$D$4:$D$207,D136,'Q1 Data'!$AD$4:$AD$207)+SUMIF('Q1 Data'!$D$4:$D$207,D136,'Q1 Data'!$AG$4:$AG$207)+SUMIF('Q1 Data'!$D$4:$D$207,D136,'Q1 Data'!$AE$4:$AE$207)+SUMIF('Q2 Data'!$D$4:$D$207,D136,'Q2 Data'!$AD$4:$AD$207)+SUMIF('Q2 Data'!$D$4:$D$207,D136,'Q2 Data'!$AG$4:$AG$207)+SUMIF('Q2 Data'!$D$4:$D$207,D136,'Q2 Data'!$AE$4:$AE$207)+SUMIF('Q3 Data'!$D$4:$D$207,D136,'Q3 Data'!$AD$4:$AD$207)+SUMIF('Q3 Data'!$D$4:$D$207,D136,'Q3 Data'!$AG$4:$AG$207)+SUMIF('Q3 Data'!$D$4:$D$207,D136,'Q3 Data'!$AE$4:$AE$207)+SUMIF('Q4 Data'!$D$4:$D$207,D136,'Q4 Data'!$AD$4:$AD$207)+SUMIF('Q4 Data'!$D$4:$D$207,D136,'Q4 Data'!$AG$4:$AG$207)+SUMIF('Q4 Data'!$D$4:$D$207,D136,'Q4 Data'!$AE$4:$AE$207))</f>
      </c>
      <c r="AO136" s="27">
        <f>IF($B136&lt;&gt;"Challan","",P136-N136)</f>
      </c>
      <c r="AP136" s="27">
        <f>IF($B136&lt;&gt;"Challan","",MAX(0,AO136-AN136))</f>
      </c>
      <c r="AQ136" s="33">
        <f>IF($B136&lt;&gt;"Entry","",SUMPRODUCT(('Q1 Data'!$D$4:$D$207=D136)*('Q1 Data'!$B$4:$B$207="Challan")*'Q1 Data'!$F$4:$F$207)+SUMPRODUCT(('Q2 Data'!$D$4:$D$207=D136)*('Q2 Data'!$B$4:$B$207="Challan")*'Q2 Data'!$F$4:$F$207)+SUMPRODUCT(('Q3 Data'!$D$4:$D$207=D136)*('Q3 Data'!$B$4:$B$207="Challan")*'Q3 Data'!$F$4:$F$207)+SUMPRODUCT(('Q4 Data'!$D$4:$D$207=D136)*('Q4 Data'!$B$4:$B$207="Challan")*'Q4 Data'!$F$4:$F$207))</f>
      </c>
      <c r="AR136" s="34">
        <f>IF(OR($B136&lt;&gt;"Entry",Z136=""),FALSE,AND((SUMPRODUCT(('Q1 Data'!$D$4:$D$207=D136)*('Q1 Data'!$B$4:$B$207="Challan")*('Q1 Data'!$H$4:$H$207&lt;&gt;""))+SUMPRODUCT(('Q2 Data'!$D$4:$D$207=D136)*('Q2 Data'!$B$4:$B$207="Challan")*('Q2 Data'!$H$4:$H$207&lt;&gt;""))+SUMPRODUCT(('Q3 Data'!$D$4:$D$207=D136)*('Q3 Data'!$B$4:$B$207="Challan")*('Q3 Data'!$H$4:$H$207&lt;&gt;""))+SUMPRODUCT(('Q4 Data'!$D$4:$D$207=D136)*('Q4 Data'!$B$4:$B$207="Challan")*('Q4 Data'!$H$4:$H$207&lt;&gt;"")))&gt;0,(SUMPRODUCT(('Q1 Data'!$D$4:$D$207=D136)*('Q1 Data'!$B$4:$B$207="Challan")*('Q1 Data'!$H$4:$H$207=Z136))+SUMPRODUCT(('Q2 Data'!$D$4:$D$207=D136)*('Q2 Data'!$B$4:$B$207="Challan")*('Q2 Data'!$H$4:$H$207=Z136))+SUMPRODUCT(('Q3 Data'!$D$4:$D$207=D136)*('Q3 Data'!$B$4:$B$207="Challan")*('Q3 Data'!$H$4:$H$207=Z136))+SUMPRODUCT(('Q4 Data'!$D$4:$D$207=D136)*('Q4 Data'!$B$4:$B$207="Challan")*('Q4 Data'!$H$4:$H$207=Z136)))=0))</f>
      </c>
    </row>
    <row r="137" spans="1:44" x14ac:dyDescent="0.25">
      <c r="A137" s="20">
        <f>IF($B137="Entry",COUNTIF($B$4:$B137,"Entry"),"")</f>
      </c>
      <c r="B137" s="21"/>
      <c r="C137" s="22"/>
      <c r="D137" s="22"/>
      <c r="E137" s="23">
        <f>IF($B137&lt;&gt;"Challan","",IF(ROUND(AN137-AO137,2)&gt;0,"Over-applied",IF(ROUND(AN137-AO137,2)=0,"Fully Utilised","Unconsumed")))</f>
      </c>
      <c r="F137" s="24"/>
      <c r="G137" s="25"/>
      <c r="H137" s="25"/>
      <c r="I137" s="26"/>
      <c r="J137" s="26"/>
      <c r="K137" s="26"/>
      <c r="L137" s="26"/>
      <c r="M137" s="26"/>
      <c r="N137" s="26"/>
      <c r="O137" s="26"/>
      <c r="P137" s="27">
        <f>IF($B137&lt;&gt;"Challan","",I137+J137+K137+L137+M137+N137)</f>
      </c>
      <c r="Q137" s="25"/>
      <c r="R137" s="25"/>
      <c r="S137" s="25"/>
      <c r="T137" s="25"/>
      <c r="U137" s="25"/>
      <c r="V137" s="28"/>
      <c r="W137" s="28"/>
      <c r="X137" s="23">
        <f>IF($B137="Entry",IF(AND(LEN(TRIM(UPPER(W137)))=10,CODE(MID(TRIM(UPPER(W137)),1,1))&gt;=65,CODE(MID(TRIM(UPPER(W137)),1,1))&lt;=90,CODE(MID(TRIM(UPPER(W137)),2,1))&gt;=65,CODE(MID(TRIM(UPPER(W137)),2,1))&lt;=90,CODE(MID(TRIM(UPPER(W137)),3,1))&gt;=65,CODE(MID(TRIM(UPPER(W137)),3,1))&lt;=90,CODE(MID(TRIM(UPPER(W137)),4,1))&gt;=65,CODE(MID(TRIM(UPPER(W137)),4,1))&lt;=90,CODE(MID(TRIM(UPPER(W137)),5,1))&gt;=65,CODE(MID(TRIM(UPPER(W137)),5,1))&lt;=90,CODE(MID(TRIM(UPPER(W137)),10,1))&gt;=65,CODE(MID(TRIM(UPPER(W137)),10,1))&lt;=90,CODE(MID(TRIM(UPPER(W137)),6,1))&gt;=48,CODE(MID(TRIM(UPPER(W137)),6,1))&lt;=57,CODE(MID(TRIM(UPPER(W137)),7,1))&gt;=48,CODE(MID(TRIM(UPPER(W137)),7,1))&lt;=57,CODE(MID(TRIM(UPPER(W137)),8,1))&gt;=48,CODE(MID(TRIM(UPPER(W137)),8,1))&lt;=57,CODE(MID(TRIM(UPPER(W137)),9,1))&gt;=48,CODE(MID(TRIM(UPPER(W137)),9,1))&lt;=57),"N","Y"),IF($B137="Challan","",IF(W137&lt;&gt;"","◄ Set Row Type","")))</f>
      </c>
      <c r="Y137" s="23">
        <f>IF($B137="Entry",IF(LEN(W137)&lt;4,"",IF(UPPER(MID(W137,4,1))="P","Individual",IF(UPPER(MID(W137,4,1))="H","HUF",IF(UPPER(MID(W137,4,1))="C","Company",IF(UPPER(MID(W137,4,1))="F","Firm",IF(UPPER(MID(W137,4,1))="L","LLP",IF(UPPER(MID(W137,4,1))="T","Trust",IF(UPPER(MID(W137,4,1))="A","AOP","")))))))),IF($B137="Challan","",IF(W137&lt;&gt;"","◄ Set Row Type","")))</f>
      </c>
      <c r="Z137" s="28"/>
      <c r="AA137" s="29">
        <f>IF($B137&lt;&gt;"Entry","",IF(Z137="","",IF(X137="Y",SUMPRODUCT(('Rate Lookup'!$A$1:$A$37=Z137)*'Rate Lookup'!$D$1:$D$37),IF(OR(Y137="Individual",Y137="HUF"),SUMPRODUCT(('Rate Lookup'!$A$1:$A$37=Z137)*'Rate Lookup'!$B$1:$B$37),SUMPRODUCT(('Rate Lookup'!$A$1:$A$37=Z137)*'Rate Lookup'!$C$1:$C$37)))))</f>
      </c>
      <c r="AB137" s="30"/>
      <c r="AC137" s="31"/>
      <c r="AD137" s="27">
        <f>IF($B137&lt;&gt;"Entry","",ROUND(AC137*AA137/100,0))</f>
      </c>
      <c r="AE137" s="27">
        <f>IF($B137&lt;&gt;"Entry","",0)</f>
      </c>
      <c r="AF137" s="27">
        <f>IF($B137&lt;&gt;"Entry","",0)</f>
      </c>
      <c r="AG137" s="27">
        <f>IF($B137&lt;&gt;"Entry","",IF(OR(AD137=0,AB137="",AQ137="",AQ137&lt;=0),0,IF(AQ137&lt;=DATE(YEAR(AB137),MONTH(AB137)+1,7),0,ROUND(AD137*0.015*((YEAR(AQ137)-YEAR(AB137))*12+(MONTH(AQ137)-MONTH(AB137))+1),0))))</f>
      </c>
      <c r="AH137" s="27">
        <f>IF($B137&lt;&gt;"Entry","",0)</f>
      </c>
      <c r="AI137" s="28"/>
      <c r="AJ137" s="28"/>
      <c r="AK137" s="32"/>
      <c r="AL137" s="28"/>
      <c r="AM137" s="28"/>
      <c r="AN137" s="27">
        <f>IF($B137&lt;&gt;"Challan","",SUMIF('Q1 Data'!$D$4:$D$207,D137,'Q1 Data'!$AD$4:$AD$207)+SUMIF('Q1 Data'!$D$4:$D$207,D137,'Q1 Data'!$AG$4:$AG$207)+SUMIF('Q1 Data'!$D$4:$D$207,D137,'Q1 Data'!$AE$4:$AE$207)+SUMIF('Q2 Data'!$D$4:$D$207,D137,'Q2 Data'!$AD$4:$AD$207)+SUMIF('Q2 Data'!$D$4:$D$207,D137,'Q2 Data'!$AG$4:$AG$207)+SUMIF('Q2 Data'!$D$4:$D$207,D137,'Q2 Data'!$AE$4:$AE$207)+SUMIF('Q3 Data'!$D$4:$D$207,D137,'Q3 Data'!$AD$4:$AD$207)+SUMIF('Q3 Data'!$D$4:$D$207,D137,'Q3 Data'!$AG$4:$AG$207)+SUMIF('Q3 Data'!$D$4:$D$207,D137,'Q3 Data'!$AE$4:$AE$207)+SUMIF('Q4 Data'!$D$4:$D$207,D137,'Q4 Data'!$AD$4:$AD$207)+SUMIF('Q4 Data'!$D$4:$D$207,D137,'Q4 Data'!$AG$4:$AG$207)+SUMIF('Q4 Data'!$D$4:$D$207,D137,'Q4 Data'!$AE$4:$AE$207))</f>
      </c>
      <c r="AO137" s="27">
        <f>IF($B137&lt;&gt;"Challan","",P137-N137)</f>
      </c>
      <c r="AP137" s="27">
        <f>IF($B137&lt;&gt;"Challan","",MAX(0,AO137-AN137))</f>
      </c>
      <c r="AQ137" s="33">
        <f>IF($B137&lt;&gt;"Entry","",SUMPRODUCT(('Q1 Data'!$D$4:$D$207=D137)*('Q1 Data'!$B$4:$B$207="Challan")*'Q1 Data'!$F$4:$F$207)+SUMPRODUCT(('Q2 Data'!$D$4:$D$207=D137)*('Q2 Data'!$B$4:$B$207="Challan")*'Q2 Data'!$F$4:$F$207)+SUMPRODUCT(('Q3 Data'!$D$4:$D$207=D137)*('Q3 Data'!$B$4:$B$207="Challan")*'Q3 Data'!$F$4:$F$207)+SUMPRODUCT(('Q4 Data'!$D$4:$D$207=D137)*('Q4 Data'!$B$4:$B$207="Challan")*'Q4 Data'!$F$4:$F$207))</f>
      </c>
      <c r="AR137" s="34">
        <f>IF(OR($B137&lt;&gt;"Entry",Z137=""),FALSE,AND((SUMPRODUCT(('Q1 Data'!$D$4:$D$207=D137)*('Q1 Data'!$B$4:$B$207="Challan")*('Q1 Data'!$H$4:$H$207&lt;&gt;""))+SUMPRODUCT(('Q2 Data'!$D$4:$D$207=D137)*('Q2 Data'!$B$4:$B$207="Challan")*('Q2 Data'!$H$4:$H$207&lt;&gt;""))+SUMPRODUCT(('Q3 Data'!$D$4:$D$207=D137)*('Q3 Data'!$B$4:$B$207="Challan")*('Q3 Data'!$H$4:$H$207&lt;&gt;""))+SUMPRODUCT(('Q4 Data'!$D$4:$D$207=D137)*('Q4 Data'!$B$4:$B$207="Challan")*('Q4 Data'!$H$4:$H$207&lt;&gt;"")))&gt;0,(SUMPRODUCT(('Q1 Data'!$D$4:$D$207=D137)*('Q1 Data'!$B$4:$B$207="Challan")*('Q1 Data'!$H$4:$H$207=Z137))+SUMPRODUCT(('Q2 Data'!$D$4:$D$207=D137)*('Q2 Data'!$B$4:$B$207="Challan")*('Q2 Data'!$H$4:$H$207=Z137))+SUMPRODUCT(('Q3 Data'!$D$4:$D$207=D137)*('Q3 Data'!$B$4:$B$207="Challan")*('Q3 Data'!$H$4:$H$207=Z137))+SUMPRODUCT(('Q4 Data'!$D$4:$D$207=D137)*('Q4 Data'!$B$4:$B$207="Challan")*('Q4 Data'!$H$4:$H$207=Z137)))=0))</f>
      </c>
    </row>
    <row r="138" spans="1:44" x14ac:dyDescent="0.25">
      <c r="A138" s="20">
        <f>IF($B138="Entry",COUNTIF($B$4:$B138,"Entry"),"")</f>
      </c>
      <c r="B138" s="21"/>
      <c r="C138" s="22"/>
      <c r="D138" s="22"/>
      <c r="E138" s="23">
        <f>IF($B138&lt;&gt;"Challan","",IF(ROUND(AN138-AO138,2)&gt;0,"Over-applied",IF(ROUND(AN138-AO138,2)=0,"Fully Utilised","Unconsumed")))</f>
      </c>
      <c r="F138" s="24"/>
      <c r="G138" s="25"/>
      <c r="H138" s="25"/>
      <c r="I138" s="26"/>
      <c r="J138" s="26"/>
      <c r="K138" s="26"/>
      <c r="L138" s="26"/>
      <c r="M138" s="26"/>
      <c r="N138" s="26"/>
      <c r="O138" s="26"/>
      <c r="P138" s="27">
        <f>IF($B138&lt;&gt;"Challan","",I138+J138+K138+L138+M138+N138)</f>
      </c>
      <c r="Q138" s="25"/>
      <c r="R138" s="25"/>
      <c r="S138" s="25"/>
      <c r="T138" s="25"/>
      <c r="U138" s="25"/>
      <c r="V138" s="28"/>
      <c r="W138" s="28"/>
      <c r="X138" s="23">
        <f>IF($B138="Entry",IF(AND(LEN(TRIM(UPPER(W138)))=10,CODE(MID(TRIM(UPPER(W138)),1,1))&gt;=65,CODE(MID(TRIM(UPPER(W138)),1,1))&lt;=90,CODE(MID(TRIM(UPPER(W138)),2,1))&gt;=65,CODE(MID(TRIM(UPPER(W138)),2,1))&lt;=90,CODE(MID(TRIM(UPPER(W138)),3,1))&gt;=65,CODE(MID(TRIM(UPPER(W138)),3,1))&lt;=90,CODE(MID(TRIM(UPPER(W138)),4,1))&gt;=65,CODE(MID(TRIM(UPPER(W138)),4,1))&lt;=90,CODE(MID(TRIM(UPPER(W138)),5,1))&gt;=65,CODE(MID(TRIM(UPPER(W138)),5,1))&lt;=90,CODE(MID(TRIM(UPPER(W138)),10,1))&gt;=65,CODE(MID(TRIM(UPPER(W138)),10,1))&lt;=90,CODE(MID(TRIM(UPPER(W138)),6,1))&gt;=48,CODE(MID(TRIM(UPPER(W138)),6,1))&lt;=57,CODE(MID(TRIM(UPPER(W138)),7,1))&gt;=48,CODE(MID(TRIM(UPPER(W138)),7,1))&lt;=57,CODE(MID(TRIM(UPPER(W138)),8,1))&gt;=48,CODE(MID(TRIM(UPPER(W138)),8,1))&lt;=57,CODE(MID(TRIM(UPPER(W138)),9,1))&gt;=48,CODE(MID(TRIM(UPPER(W138)),9,1))&lt;=57),"N","Y"),IF($B138="Challan","",IF(W138&lt;&gt;"","◄ Set Row Type","")))</f>
      </c>
      <c r="Y138" s="23">
        <f>IF($B138="Entry",IF(LEN(W138)&lt;4,"",IF(UPPER(MID(W138,4,1))="P","Individual",IF(UPPER(MID(W138,4,1))="H","HUF",IF(UPPER(MID(W138,4,1))="C","Company",IF(UPPER(MID(W138,4,1))="F","Firm",IF(UPPER(MID(W138,4,1))="L","LLP",IF(UPPER(MID(W138,4,1))="T","Trust",IF(UPPER(MID(W138,4,1))="A","AOP","")))))))),IF($B138="Challan","",IF(W138&lt;&gt;"","◄ Set Row Type","")))</f>
      </c>
      <c r="Z138" s="28"/>
      <c r="AA138" s="29">
        <f>IF($B138&lt;&gt;"Entry","",IF(Z138="","",IF(X138="Y",SUMPRODUCT(('Rate Lookup'!$A$1:$A$37=Z138)*'Rate Lookup'!$D$1:$D$37),IF(OR(Y138="Individual",Y138="HUF"),SUMPRODUCT(('Rate Lookup'!$A$1:$A$37=Z138)*'Rate Lookup'!$B$1:$B$37),SUMPRODUCT(('Rate Lookup'!$A$1:$A$37=Z138)*'Rate Lookup'!$C$1:$C$37)))))</f>
      </c>
      <c r="AB138" s="30"/>
      <c r="AC138" s="31"/>
      <c r="AD138" s="27">
        <f>IF($B138&lt;&gt;"Entry","",ROUND(AC138*AA138/100,0))</f>
      </c>
      <c r="AE138" s="27">
        <f>IF($B138&lt;&gt;"Entry","",0)</f>
      </c>
      <c r="AF138" s="27">
        <f>IF($B138&lt;&gt;"Entry","",0)</f>
      </c>
      <c r="AG138" s="27">
        <f>IF($B138&lt;&gt;"Entry","",IF(OR(AD138=0,AB138="",AQ138="",AQ138&lt;=0),0,IF(AQ138&lt;=DATE(YEAR(AB138),MONTH(AB138)+1,7),0,ROUND(AD138*0.015*((YEAR(AQ138)-YEAR(AB138))*12+(MONTH(AQ138)-MONTH(AB138))+1),0))))</f>
      </c>
      <c r="AH138" s="27">
        <f>IF($B138&lt;&gt;"Entry","",0)</f>
      </c>
      <c r="AI138" s="28"/>
      <c r="AJ138" s="28"/>
      <c r="AK138" s="32"/>
      <c r="AL138" s="28"/>
      <c r="AM138" s="28"/>
      <c r="AN138" s="27">
        <f>IF($B138&lt;&gt;"Challan","",SUMIF('Q1 Data'!$D$4:$D$207,D138,'Q1 Data'!$AD$4:$AD$207)+SUMIF('Q1 Data'!$D$4:$D$207,D138,'Q1 Data'!$AG$4:$AG$207)+SUMIF('Q1 Data'!$D$4:$D$207,D138,'Q1 Data'!$AE$4:$AE$207)+SUMIF('Q2 Data'!$D$4:$D$207,D138,'Q2 Data'!$AD$4:$AD$207)+SUMIF('Q2 Data'!$D$4:$D$207,D138,'Q2 Data'!$AG$4:$AG$207)+SUMIF('Q2 Data'!$D$4:$D$207,D138,'Q2 Data'!$AE$4:$AE$207)+SUMIF('Q3 Data'!$D$4:$D$207,D138,'Q3 Data'!$AD$4:$AD$207)+SUMIF('Q3 Data'!$D$4:$D$207,D138,'Q3 Data'!$AG$4:$AG$207)+SUMIF('Q3 Data'!$D$4:$D$207,D138,'Q3 Data'!$AE$4:$AE$207)+SUMIF('Q4 Data'!$D$4:$D$207,D138,'Q4 Data'!$AD$4:$AD$207)+SUMIF('Q4 Data'!$D$4:$D$207,D138,'Q4 Data'!$AG$4:$AG$207)+SUMIF('Q4 Data'!$D$4:$D$207,D138,'Q4 Data'!$AE$4:$AE$207))</f>
      </c>
      <c r="AO138" s="27">
        <f>IF($B138&lt;&gt;"Challan","",P138-N138)</f>
      </c>
      <c r="AP138" s="27">
        <f>IF($B138&lt;&gt;"Challan","",MAX(0,AO138-AN138))</f>
      </c>
      <c r="AQ138" s="33">
        <f>IF($B138&lt;&gt;"Entry","",SUMPRODUCT(('Q1 Data'!$D$4:$D$207=D138)*('Q1 Data'!$B$4:$B$207="Challan")*'Q1 Data'!$F$4:$F$207)+SUMPRODUCT(('Q2 Data'!$D$4:$D$207=D138)*('Q2 Data'!$B$4:$B$207="Challan")*'Q2 Data'!$F$4:$F$207)+SUMPRODUCT(('Q3 Data'!$D$4:$D$207=D138)*('Q3 Data'!$B$4:$B$207="Challan")*'Q3 Data'!$F$4:$F$207)+SUMPRODUCT(('Q4 Data'!$D$4:$D$207=D138)*('Q4 Data'!$B$4:$B$207="Challan")*'Q4 Data'!$F$4:$F$207))</f>
      </c>
      <c r="AR138" s="34">
        <f>IF(OR($B138&lt;&gt;"Entry",Z138=""),FALSE,AND((SUMPRODUCT(('Q1 Data'!$D$4:$D$207=D138)*('Q1 Data'!$B$4:$B$207="Challan")*('Q1 Data'!$H$4:$H$207&lt;&gt;""))+SUMPRODUCT(('Q2 Data'!$D$4:$D$207=D138)*('Q2 Data'!$B$4:$B$207="Challan")*('Q2 Data'!$H$4:$H$207&lt;&gt;""))+SUMPRODUCT(('Q3 Data'!$D$4:$D$207=D138)*('Q3 Data'!$B$4:$B$207="Challan")*('Q3 Data'!$H$4:$H$207&lt;&gt;""))+SUMPRODUCT(('Q4 Data'!$D$4:$D$207=D138)*('Q4 Data'!$B$4:$B$207="Challan")*('Q4 Data'!$H$4:$H$207&lt;&gt;"")))&gt;0,(SUMPRODUCT(('Q1 Data'!$D$4:$D$207=D138)*('Q1 Data'!$B$4:$B$207="Challan")*('Q1 Data'!$H$4:$H$207=Z138))+SUMPRODUCT(('Q2 Data'!$D$4:$D$207=D138)*('Q2 Data'!$B$4:$B$207="Challan")*('Q2 Data'!$H$4:$H$207=Z138))+SUMPRODUCT(('Q3 Data'!$D$4:$D$207=D138)*('Q3 Data'!$B$4:$B$207="Challan")*('Q3 Data'!$H$4:$H$207=Z138))+SUMPRODUCT(('Q4 Data'!$D$4:$D$207=D138)*('Q4 Data'!$B$4:$B$207="Challan")*('Q4 Data'!$H$4:$H$207=Z138)))=0))</f>
      </c>
    </row>
    <row r="139" spans="1:44" x14ac:dyDescent="0.25">
      <c r="A139" s="20">
        <f>IF($B139="Entry",COUNTIF($B$4:$B139,"Entry"),"")</f>
      </c>
      <c r="B139" s="21"/>
      <c r="C139" s="22"/>
      <c r="D139" s="22"/>
      <c r="E139" s="23">
        <f>IF($B139&lt;&gt;"Challan","",IF(ROUND(AN139-AO139,2)&gt;0,"Over-applied",IF(ROUND(AN139-AO139,2)=0,"Fully Utilised","Unconsumed")))</f>
      </c>
      <c r="F139" s="24"/>
      <c r="G139" s="25"/>
      <c r="H139" s="25"/>
      <c r="I139" s="26"/>
      <c r="J139" s="26"/>
      <c r="K139" s="26"/>
      <c r="L139" s="26"/>
      <c r="M139" s="26"/>
      <c r="N139" s="26"/>
      <c r="O139" s="26"/>
      <c r="P139" s="27">
        <f>IF($B139&lt;&gt;"Challan","",I139+J139+K139+L139+M139+N139)</f>
      </c>
      <c r="Q139" s="25"/>
      <c r="R139" s="25"/>
      <c r="S139" s="25"/>
      <c r="T139" s="25"/>
      <c r="U139" s="25"/>
      <c r="V139" s="28"/>
      <c r="W139" s="28"/>
      <c r="X139" s="23">
        <f>IF($B139="Entry",IF(AND(LEN(TRIM(UPPER(W139)))=10,CODE(MID(TRIM(UPPER(W139)),1,1))&gt;=65,CODE(MID(TRIM(UPPER(W139)),1,1))&lt;=90,CODE(MID(TRIM(UPPER(W139)),2,1))&gt;=65,CODE(MID(TRIM(UPPER(W139)),2,1))&lt;=90,CODE(MID(TRIM(UPPER(W139)),3,1))&gt;=65,CODE(MID(TRIM(UPPER(W139)),3,1))&lt;=90,CODE(MID(TRIM(UPPER(W139)),4,1))&gt;=65,CODE(MID(TRIM(UPPER(W139)),4,1))&lt;=90,CODE(MID(TRIM(UPPER(W139)),5,1))&gt;=65,CODE(MID(TRIM(UPPER(W139)),5,1))&lt;=90,CODE(MID(TRIM(UPPER(W139)),10,1))&gt;=65,CODE(MID(TRIM(UPPER(W139)),10,1))&lt;=90,CODE(MID(TRIM(UPPER(W139)),6,1))&gt;=48,CODE(MID(TRIM(UPPER(W139)),6,1))&lt;=57,CODE(MID(TRIM(UPPER(W139)),7,1))&gt;=48,CODE(MID(TRIM(UPPER(W139)),7,1))&lt;=57,CODE(MID(TRIM(UPPER(W139)),8,1))&gt;=48,CODE(MID(TRIM(UPPER(W139)),8,1))&lt;=57,CODE(MID(TRIM(UPPER(W139)),9,1))&gt;=48,CODE(MID(TRIM(UPPER(W139)),9,1))&lt;=57),"N","Y"),IF($B139="Challan","",IF(W139&lt;&gt;"","◄ Set Row Type","")))</f>
      </c>
      <c r="Y139" s="23">
        <f>IF($B139="Entry",IF(LEN(W139)&lt;4,"",IF(UPPER(MID(W139,4,1))="P","Individual",IF(UPPER(MID(W139,4,1))="H","HUF",IF(UPPER(MID(W139,4,1))="C","Company",IF(UPPER(MID(W139,4,1))="F","Firm",IF(UPPER(MID(W139,4,1))="L","LLP",IF(UPPER(MID(W139,4,1))="T","Trust",IF(UPPER(MID(W139,4,1))="A","AOP","")))))))),IF($B139="Challan","",IF(W139&lt;&gt;"","◄ Set Row Type","")))</f>
      </c>
      <c r="Z139" s="28"/>
      <c r="AA139" s="29">
        <f>IF($B139&lt;&gt;"Entry","",IF(Z139="","",IF(X139="Y",SUMPRODUCT(('Rate Lookup'!$A$1:$A$37=Z139)*'Rate Lookup'!$D$1:$D$37),IF(OR(Y139="Individual",Y139="HUF"),SUMPRODUCT(('Rate Lookup'!$A$1:$A$37=Z139)*'Rate Lookup'!$B$1:$B$37),SUMPRODUCT(('Rate Lookup'!$A$1:$A$37=Z139)*'Rate Lookup'!$C$1:$C$37)))))</f>
      </c>
      <c r="AB139" s="30"/>
      <c r="AC139" s="31"/>
      <c r="AD139" s="27">
        <f>IF($B139&lt;&gt;"Entry","",ROUND(AC139*AA139/100,0))</f>
      </c>
      <c r="AE139" s="27">
        <f>IF($B139&lt;&gt;"Entry","",0)</f>
      </c>
      <c r="AF139" s="27">
        <f>IF($B139&lt;&gt;"Entry","",0)</f>
      </c>
      <c r="AG139" s="27">
        <f>IF($B139&lt;&gt;"Entry","",IF(OR(AD139=0,AB139="",AQ139="",AQ139&lt;=0),0,IF(AQ139&lt;=DATE(YEAR(AB139),MONTH(AB139)+1,7),0,ROUND(AD139*0.015*((YEAR(AQ139)-YEAR(AB139))*12+(MONTH(AQ139)-MONTH(AB139))+1),0))))</f>
      </c>
      <c r="AH139" s="27">
        <f>IF($B139&lt;&gt;"Entry","",0)</f>
      </c>
      <c r="AI139" s="28"/>
      <c r="AJ139" s="28"/>
      <c r="AK139" s="32"/>
      <c r="AL139" s="28"/>
      <c r="AM139" s="28"/>
      <c r="AN139" s="27">
        <f>IF($B139&lt;&gt;"Challan","",SUMIF('Q1 Data'!$D$4:$D$207,D139,'Q1 Data'!$AD$4:$AD$207)+SUMIF('Q1 Data'!$D$4:$D$207,D139,'Q1 Data'!$AG$4:$AG$207)+SUMIF('Q1 Data'!$D$4:$D$207,D139,'Q1 Data'!$AE$4:$AE$207)+SUMIF('Q2 Data'!$D$4:$D$207,D139,'Q2 Data'!$AD$4:$AD$207)+SUMIF('Q2 Data'!$D$4:$D$207,D139,'Q2 Data'!$AG$4:$AG$207)+SUMIF('Q2 Data'!$D$4:$D$207,D139,'Q2 Data'!$AE$4:$AE$207)+SUMIF('Q3 Data'!$D$4:$D$207,D139,'Q3 Data'!$AD$4:$AD$207)+SUMIF('Q3 Data'!$D$4:$D$207,D139,'Q3 Data'!$AG$4:$AG$207)+SUMIF('Q3 Data'!$D$4:$D$207,D139,'Q3 Data'!$AE$4:$AE$207)+SUMIF('Q4 Data'!$D$4:$D$207,D139,'Q4 Data'!$AD$4:$AD$207)+SUMIF('Q4 Data'!$D$4:$D$207,D139,'Q4 Data'!$AG$4:$AG$207)+SUMIF('Q4 Data'!$D$4:$D$207,D139,'Q4 Data'!$AE$4:$AE$207))</f>
      </c>
      <c r="AO139" s="27">
        <f>IF($B139&lt;&gt;"Challan","",P139-N139)</f>
      </c>
      <c r="AP139" s="27">
        <f>IF($B139&lt;&gt;"Challan","",MAX(0,AO139-AN139))</f>
      </c>
      <c r="AQ139" s="33">
        <f>IF($B139&lt;&gt;"Entry","",SUMPRODUCT(('Q1 Data'!$D$4:$D$207=D139)*('Q1 Data'!$B$4:$B$207="Challan")*'Q1 Data'!$F$4:$F$207)+SUMPRODUCT(('Q2 Data'!$D$4:$D$207=D139)*('Q2 Data'!$B$4:$B$207="Challan")*'Q2 Data'!$F$4:$F$207)+SUMPRODUCT(('Q3 Data'!$D$4:$D$207=D139)*('Q3 Data'!$B$4:$B$207="Challan")*'Q3 Data'!$F$4:$F$207)+SUMPRODUCT(('Q4 Data'!$D$4:$D$207=D139)*('Q4 Data'!$B$4:$B$207="Challan")*'Q4 Data'!$F$4:$F$207))</f>
      </c>
      <c r="AR139" s="34">
        <f>IF(OR($B139&lt;&gt;"Entry",Z139=""),FALSE,AND((SUMPRODUCT(('Q1 Data'!$D$4:$D$207=D139)*('Q1 Data'!$B$4:$B$207="Challan")*('Q1 Data'!$H$4:$H$207&lt;&gt;""))+SUMPRODUCT(('Q2 Data'!$D$4:$D$207=D139)*('Q2 Data'!$B$4:$B$207="Challan")*('Q2 Data'!$H$4:$H$207&lt;&gt;""))+SUMPRODUCT(('Q3 Data'!$D$4:$D$207=D139)*('Q3 Data'!$B$4:$B$207="Challan")*('Q3 Data'!$H$4:$H$207&lt;&gt;""))+SUMPRODUCT(('Q4 Data'!$D$4:$D$207=D139)*('Q4 Data'!$B$4:$B$207="Challan")*('Q4 Data'!$H$4:$H$207&lt;&gt;"")))&gt;0,(SUMPRODUCT(('Q1 Data'!$D$4:$D$207=D139)*('Q1 Data'!$B$4:$B$207="Challan")*('Q1 Data'!$H$4:$H$207=Z139))+SUMPRODUCT(('Q2 Data'!$D$4:$D$207=D139)*('Q2 Data'!$B$4:$B$207="Challan")*('Q2 Data'!$H$4:$H$207=Z139))+SUMPRODUCT(('Q3 Data'!$D$4:$D$207=D139)*('Q3 Data'!$B$4:$B$207="Challan")*('Q3 Data'!$H$4:$H$207=Z139))+SUMPRODUCT(('Q4 Data'!$D$4:$D$207=D139)*('Q4 Data'!$B$4:$B$207="Challan")*('Q4 Data'!$H$4:$H$207=Z139)))=0))</f>
      </c>
    </row>
    <row r="140" spans="1:44" x14ac:dyDescent="0.25">
      <c r="A140" s="20">
        <f>IF($B140="Entry",COUNTIF($B$4:$B140,"Entry"),"")</f>
      </c>
      <c r="B140" s="21"/>
      <c r="C140" s="22"/>
      <c r="D140" s="22"/>
      <c r="E140" s="23">
        <f>IF($B140&lt;&gt;"Challan","",IF(ROUND(AN140-AO140,2)&gt;0,"Over-applied",IF(ROUND(AN140-AO140,2)=0,"Fully Utilised","Unconsumed")))</f>
      </c>
      <c r="F140" s="24"/>
      <c r="G140" s="25"/>
      <c r="H140" s="25"/>
      <c r="I140" s="26"/>
      <c r="J140" s="26"/>
      <c r="K140" s="26"/>
      <c r="L140" s="26"/>
      <c r="M140" s="26"/>
      <c r="N140" s="26"/>
      <c r="O140" s="26"/>
      <c r="P140" s="27">
        <f>IF($B140&lt;&gt;"Challan","",I140+J140+K140+L140+M140+N140)</f>
      </c>
      <c r="Q140" s="25"/>
      <c r="R140" s="25"/>
      <c r="S140" s="25"/>
      <c r="T140" s="25"/>
      <c r="U140" s="25"/>
      <c r="V140" s="28"/>
      <c r="W140" s="28"/>
      <c r="X140" s="23">
        <f>IF($B140="Entry",IF(AND(LEN(TRIM(UPPER(W140)))=10,CODE(MID(TRIM(UPPER(W140)),1,1))&gt;=65,CODE(MID(TRIM(UPPER(W140)),1,1))&lt;=90,CODE(MID(TRIM(UPPER(W140)),2,1))&gt;=65,CODE(MID(TRIM(UPPER(W140)),2,1))&lt;=90,CODE(MID(TRIM(UPPER(W140)),3,1))&gt;=65,CODE(MID(TRIM(UPPER(W140)),3,1))&lt;=90,CODE(MID(TRIM(UPPER(W140)),4,1))&gt;=65,CODE(MID(TRIM(UPPER(W140)),4,1))&lt;=90,CODE(MID(TRIM(UPPER(W140)),5,1))&gt;=65,CODE(MID(TRIM(UPPER(W140)),5,1))&lt;=90,CODE(MID(TRIM(UPPER(W140)),10,1))&gt;=65,CODE(MID(TRIM(UPPER(W140)),10,1))&lt;=90,CODE(MID(TRIM(UPPER(W140)),6,1))&gt;=48,CODE(MID(TRIM(UPPER(W140)),6,1))&lt;=57,CODE(MID(TRIM(UPPER(W140)),7,1))&gt;=48,CODE(MID(TRIM(UPPER(W140)),7,1))&lt;=57,CODE(MID(TRIM(UPPER(W140)),8,1))&gt;=48,CODE(MID(TRIM(UPPER(W140)),8,1))&lt;=57,CODE(MID(TRIM(UPPER(W140)),9,1))&gt;=48,CODE(MID(TRIM(UPPER(W140)),9,1))&lt;=57),"N","Y"),IF($B140="Challan","",IF(W140&lt;&gt;"","◄ Set Row Type","")))</f>
      </c>
      <c r="Y140" s="23">
        <f>IF($B140="Entry",IF(LEN(W140)&lt;4,"",IF(UPPER(MID(W140,4,1))="P","Individual",IF(UPPER(MID(W140,4,1))="H","HUF",IF(UPPER(MID(W140,4,1))="C","Company",IF(UPPER(MID(W140,4,1))="F","Firm",IF(UPPER(MID(W140,4,1))="L","LLP",IF(UPPER(MID(W140,4,1))="T","Trust",IF(UPPER(MID(W140,4,1))="A","AOP","")))))))),IF($B140="Challan","",IF(W140&lt;&gt;"","◄ Set Row Type","")))</f>
      </c>
      <c r="Z140" s="28"/>
      <c r="AA140" s="29">
        <f>IF($B140&lt;&gt;"Entry","",IF(Z140="","",IF(X140="Y",SUMPRODUCT(('Rate Lookup'!$A$1:$A$37=Z140)*'Rate Lookup'!$D$1:$D$37),IF(OR(Y140="Individual",Y140="HUF"),SUMPRODUCT(('Rate Lookup'!$A$1:$A$37=Z140)*'Rate Lookup'!$B$1:$B$37),SUMPRODUCT(('Rate Lookup'!$A$1:$A$37=Z140)*'Rate Lookup'!$C$1:$C$37)))))</f>
      </c>
      <c r="AB140" s="30"/>
      <c r="AC140" s="31"/>
      <c r="AD140" s="27">
        <f>IF($B140&lt;&gt;"Entry","",ROUND(AC140*AA140/100,0))</f>
      </c>
      <c r="AE140" s="27">
        <f>IF($B140&lt;&gt;"Entry","",0)</f>
      </c>
      <c r="AF140" s="27">
        <f>IF($B140&lt;&gt;"Entry","",0)</f>
      </c>
      <c r="AG140" s="27">
        <f>IF($B140&lt;&gt;"Entry","",IF(OR(AD140=0,AB140="",AQ140="",AQ140&lt;=0),0,IF(AQ140&lt;=DATE(YEAR(AB140),MONTH(AB140)+1,7),0,ROUND(AD140*0.015*((YEAR(AQ140)-YEAR(AB140))*12+(MONTH(AQ140)-MONTH(AB140))+1),0))))</f>
      </c>
      <c r="AH140" s="27">
        <f>IF($B140&lt;&gt;"Entry","",0)</f>
      </c>
      <c r="AI140" s="28"/>
      <c r="AJ140" s="28"/>
      <c r="AK140" s="32"/>
      <c r="AL140" s="28"/>
      <c r="AM140" s="28"/>
      <c r="AN140" s="27">
        <f>IF($B140&lt;&gt;"Challan","",SUMIF('Q1 Data'!$D$4:$D$207,D140,'Q1 Data'!$AD$4:$AD$207)+SUMIF('Q1 Data'!$D$4:$D$207,D140,'Q1 Data'!$AG$4:$AG$207)+SUMIF('Q1 Data'!$D$4:$D$207,D140,'Q1 Data'!$AE$4:$AE$207)+SUMIF('Q2 Data'!$D$4:$D$207,D140,'Q2 Data'!$AD$4:$AD$207)+SUMIF('Q2 Data'!$D$4:$D$207,D140,'Q2 Data'!$AG$4:$AG$207)+SUMIF('Q2 Data'!$D$4:$D$207,D140,'Q2 Data'!$AE$4:$AE$207)+SUMIF('Q3 Data'!$D$4:$D$207,D140,'Q3 Data'!$AD$4:$AD$207)+SUMIF('Q3 Data'!$D$4:$D$207,D140,'Q3 Data'!$AG$4:$AG$207)+SUMIF('Q3 Data'!$D$4:$D$207,D140,'Q3 Data'!$AE$4:$AE$207)+SUMIF('Q4 Data'!$D$4:$D$207,D140,'Q4 Data'!$AD$4:$AD$207)+SUMIF('Q4 Data'!$D$4:$D$207,D140,'Q4 Data'!$AG$4:$AG$207)+SUMIF('Q4 Data'!$D$4:$D$207,D140,'Q4 Data'!$AE$4:$AE$207))</f>
      </c>
      <c r="AO140" s="27">
        <f>IF($B140&lt;&gt;"Challan","",P140-N140)</f>
      </c>
      <c r="AP140" s="27">
        <f>IF($B140&lt;&gt;"Challan","",MAX(0,AO140-AN140))</f>
      </c>
      <c r="AQ140" s="33">
        <f>IF($B140&lt;&gt;"Entry","",SUMPRODUCT(('Q1 Data'!$D$4:$D$207=D140)*('Q1 Data'!$B$4:$B$207="Challan")*'Q1 Data'!$F$4:$F$207)+SUMPRODUCT(('Q2 Data'!$D$4:$D$207=D140)*('Q2 Data'!$B$4:$B$207="Challan")*'Q2 Data'!$F$4:$F$207)+SUMPRODUCT(('Q3 Data'!$D$4:$D$207=D140)*('Q3 Data'!$B$4:$B$207="Challan")*'Q3 Data'!$F$4:$F$207)+SUMPRODUCT(('Q4 Data'!$D$4:$D$207=D140)*('Q4 Data'!$B$4:$B$207="Challan")*'Q4 Data'!$F$4:$F$207))</f>
      </c>
      <c r="AR140" s="34">
        <f>IF(OR($B140&lt;&gt;"Entry",Z140=""),FALSE,AND((SUMPRODUCT(('Q1 Data'!$D$4:$D$207=D140)*('Q1 Data'!$B$4:$B$207="Challan")*('Q1 Data'!$H$4:$H$207&lt;&gt;""))+SUMPRODUCT(('Q2 Data'!$D$4:$D$207=D140)*('Q2 Data'!$B$4:$B$207="Challan")*('Q2 Data'!$H$4:$H$207&lt;&gt;""))+SUMPRODUCT(('Q3 Data'!$D$4:$D$207=D140)*('Q3 Data'!$B$4:$B$207="Challan")*('Q3 Data'!$H$4:$H$207&lt;&gt;""))+SUMPRODUCT(('Q4 Data'!$D$4:$D$207=D140)*('Q4 Data'!$B$4:$B$207="Challan")*('Q4 Data'!$H$4:$H$207&lt;&gt;"")))&gt;0,(SUMPRODUCT(('Q1 Data'!$D$4:$D$207=D140)*('Q1 Data'!$B$4:$B$207="Challan")*('Q1 Data'!$H$4:$H$207=Z140))+SUMPRODUCT(('Q2 Data'!$D$4:$D$207=D140)*('Q2 Data'!$B$4:$B$207="Challan")*('Q2 Data'!$H$4:$H$207=Z140))+SUMPRODUCT(('Q3 Data'!$D$4:$D$207=D140)*('Q3 Data'!$B$4:$B$207="Challan")*('Q3 Data'!$H$4:$H$207=Z140))+SUMPRODUCT(('Q4 Data'!$D$4:$D$207=D140)*('Q4 Data'!$B$4:$B$207="Challan")*('Q4 Data'!$H$4:$H$207=Z140)))=0))</f>
      </c>
    </row>
    <row r="141" spans="1:44" x14ac:dyDescent="0.25">
      <c r="A141" s="20">
        <f>IF($B141="Entry",COUNTIF($B$4:$B141,"Entry"),"")</f>
      </c>
      <c r="B141" s="21"/>
      <c r="C141" s="22"/>
      <c r="D141" s="22"/>
      <c r="E141" s="23">
        <f>IF($B141&lt;&gt;"Challan","",IF(ROUND(AN141-AO141,2)&gt;0,"Over-applied",IF(ROUND(AN141-AO141,2)=0,"Fully Utilised","Unconsumed")))</f>
      </c>
      <c r="F141" s="24"/>
      <c r="G141" s="25"/>
      <c r="H141" s="25"/>
      <c r="I141" s="26"/>
      <c r="J141" s="26"/>
      <c r="K141" s="26"/>
      <c r="L141" s="26"/>
      <c r="M141" s="26"/>
      <c r="N141" s="26"/>
      <c r="O141" s="26"/>
      <c r="P141" s="27">
        <f>IF($B141&lt;&gt;"Challan","",I141+J141+K141+L141+M141+N141)</f>
      </c>
      <c r="Q141" s="25"/>
      <c r="R141" s="25"/>
      <c r="S141" s="25"/>
      <c r="T141" s="25"/>
      <c r="U141" s="25"/>
      <c r="V141" s="28"/>
      <c r="W141" s="28"/>
      <c r="X141" s="23">
        <f>IF($B141="Entry",IF(AND(LEN(TRIM(UPPER(W141)))=10,CODE(MID(TRIM(UPPER(W141)),1,1))&gt;=65,CODE(MID(TRIM(UPPER(W141)),1,1))&lt;=90,CODE(MID(TRIM(UPPER(W141)),2,1))&gt;=65,CODE(MID(TRIM(UPPER(W141)),2,1))&lt;=90,CODE(MID(TRIM(UPPER(W141)),3,1))&gt;=65,CODE(MID(TRIM(UPPER(W141)),3,1))&lt;=90,CODE(MID(TRIM(UPPER(W141)),4,1))&gt;=65,CODE(MID(TRIM(UPPER(W141)),4,1))&lt;=90,CODE(MID(TRIM(UPPER(W141)),5,1))&gt;=65,CODE(MID(TRIM(UPPER(W141)),5,1))&lt;=90,CODE(MID(TRIM(UPPER(W141)),10,1))&gt;=65,CODE(MID(TRIM(UPPER(W141)),10,1))&lt;=90,CODE(MID(TRIM(UPPER(W141)),6,1))&gt;=48,CODE(MID(TRIM(UPPER(W141)),6,1))&lt;=57,CODE(MID(TRIM(UPPER(W141)),7,1))&gt;=48,CODE(MID(TRIM(UPPER(W141)),7,1))&lt;=57,CODE(MID(TRIM(UPPER(W141)),8,1))&gt;=48,CODE(MID(TRIM(UPPER(W141)),8,1))&lt;=57,CODE(MID(TRIM(UPPER(W141)),9,1))&gt;=48,CODE(MID(TRIM(UPPER(W141)),9,1))&lt;=57),"N","Y"),IF($B141="Challan","",IF(W141&lt;&gt;"","◄ Set Row Type","")))</f>
      </c>
      <c r="Y141" s="23">
        <f>IF($B141="Entry",IF(LEN(W141)&lt;4,"",IF(UPPER(MID(W141,4,1))="P","Individual",IF(UPPER(MID(W141,4,1))="H","HUF",IF(UPPER(MID(W141,4,1))="C","Company",IF(UPPER(MID(W141,4,1))="F","Firm",IF(UPPER(MID(W141,4,1))="L","LLP",IF(UPPER(MID(W141,4,1))="T","Trust",IF(UPPER(MID(W141,4,1))="A","AOP","")))))))),IF($B141="Challan","",IF(W141&lt;&gt;"","◄ Set Row Type","")))</f>
      </c>
      <c r="Z141" s="28"/>
      <c r="AA141" s="29">
        <f>IF($B141&lt;&gt;"Entry","",IF(Z141="","",IF(X141="Y",SUMPRODUCT(('Rate Lookup'!$A$1:$A$37=Z141)*'Rate Lookup'!$D$1:$D$37),IF(OR(Y141="Individual",Y141="HUF"),SUMPRODUCT(('Rate Lookup'!$A$1:$A$37=Z141)*'Rate Lookup'!$B$1:$B$37),SUMPRODUCT(('Rate Lookup'!$A$1:$A$37=Z141)*'Rate Lookup'!$C$1:$C$37)))))</f>
      </c>
      <c r="AB141" s="30"/>
      <c r="AC141" s="31"/>
      <c r="AD141" s="27">
        <f>IF($B141&lt;&gt;"Entry","",ROUND(AC141*AA141/100,0))</f>
      </c>
      <c r="AE141" s="27">
        <f>IF($B141&lt;&gt;"Entry","",0)</f>
      </c>
      <c r="AF141" s="27">
        <f>IF($B141&lt;&gt;"Entry","",0)</f>
      </c>
      <c r="AG141" s="27">
        <f>IF($B141&lt;&gt;"Entry","",IF(OR(AD141=0,AB141="",AQ141="",AQ141&lt;=0),0,IF(AQ141&lt;=DATE(YEAR(AB141),MONTH(AB141)+1,7),0,ROUND(AD141*0.015*((YEAR(AQ141)-YEAR(AB141))*12+(MONTH(AQ141)-MONTH(AB141))+1),0))))</f>
      </c>
      <c r="AH141" s="27">
        <f>IF($B141&lt;&gt;"Entry","",0)</f>
      </c>
      <c r="AI141" s="28"/>
      <c r="AJ141" s="28"/>
      <c r="AK141" s="32"/>
      <c r="AL141" s="28"/>
      <c r="AM141" s="28"/>
      <c r="AN141" s="27">
        <f>IF($B141&lt;&gt;"Challan","",SUMIF('Q1 Data'!$D$4:$D$207,D141,'Q1 Data'!$AD$4:$AD$207)+SUMIF('Q1 Data'!$D$4:$D$207,D141,'Q1 Data'!$AG$4:$AG$207)+SUMIF('Q1 Data'!$D$4:$D$207,D141,'Q1 Data'!$AE$4:$AE$207)+SUMIF('Q2 Data'!$D$4:$D$207,D141,'Q2 Data'!$AD$4:$AD$207)+SUMIF('Q2 Data'!$D$4:$D$207,D141,'Q2 Data'!$AG$4:$AG$207)+SUMIF('Q2 Data'!$D$4:$D$207,D141,'Q2 Data'!$AE$4:$AE$207)+SUMIF('Q3 Data'!$D$4:$D$207,D141,'Q3 Data'!$AD$4:$AD$207)+SUMIF('Q3 Data'!$D$4:$D$207,D141,'Q3 Data'!$AG$4:$AG$207)+SUMIF('Q3 Data'!$D$4:$D$207,D141,'Q3 Data'!$AE$4:$AE$207)+SUMIF('Q4 Data'!$D$4:$D$207,D141,'Q4 Data'!$AD$4:$AD$207)+SUMIF('Q4 Data'!$D$4:$D$207,D141,'Q4 Data'!$AG$4:$AG$207)+SUMIF('Q4 Data'!$D$4:$D$207,D141,'Q4 Data'!$AE$4:$AE$207))</f>
      </c>
      <c r="AO141" s="27">
        <f>IF($B141&lt;&gt;"Challan","",P141-N141)</f>
      </c>
      <c r="AP141" s="27">
        <f>IF($B141&lt;&gt;"Challan","",MAX(0,AO141-AN141))</f>
      </c>
      <c r="AQ141" s="33">
        <f>IF($B141&lt;&gt;"Entry","",SUMPRODUCT(('Q1 Data'!$D$4:$D$207=D141)*('Q1 Data'!$B$4:$B$207="Challan")*'Q1 Data'!$F$4:$F$207)+SUMPRODUCT(('Q2 Data'!$D$4:$D$207=D141)*('Q2 Data'!$B$4:$B$207="Challan")*'Q2 Data'!$F$4:$F$207)+SUMPRODUCT(('Q3 Data'!$D$4:$D$207=D141)*('Q3 Data'!$B$4:$B$207="Challan")*'Q3 Data'!$F$4:$F$207)+SUMPRODUCT(('Q4 Data'!$D$4:$D$207=D141)*('Q4 Data'!$B$4:$B$207="Challan")*'Q4 Data'!$F$4:$F$207))</f>
      </c>
      <c r="AR141" s="34">
        <f>IF(OR($B141&lt;&gt;"Entry",Z141=""),FALSE,AND((SUMPRODUCT(('Q1 Data'!$D$4:$D$207=D141)*('Q1 Data'!$B$4:$B$207="Challan")*('Q1 Data'!$H$4:$H$207&lt;&gt;""))+SUMPRODUCT(('Q2 Data'!$D$4:$D$207=D141)*('Q2 Data'!$B$4:$B$207="Challan")*('Q2 Data'!$H$4:$H$207&lt;&gt;""))+SUMPRODUCT(('Q3 Data'!$D$4:$D$207=D141)*('Q3 Data'!$B$4:$B$207="Challan")*('Q3 Data'!$H$4:$H$207&lt;&gt;""))+SUMPRODUCT(('Q4 Data'!$D$4:$D$207=D141)*('Q4 Data'!$B$4:$B$207="Challan")*('Q4 Data'!$H$4:$H$207&lt;&gt;"")))&gt;0,(SUMPRODUCT(('Q1 Data'!$D$4:$D$207=D141)*('Q1 Data'!$B$4:$B$207="Challan")*('Q1 Data'!$H$4:$H$207=Z141))+SUMPRODUCT(('Q2 Data'!$D$4:$D$207=D141)*('Q2 Data'!$B$4:$B$207="Challan")*('Q2 Data'!$H$4:$H$207=Z141))+SUMPRODUCT(('Q3 Data'!$D$4:$D$207=D141)*('Q3 Data'!$B$4:$B$207="Challan")*('Q3 Data'!$H$4:$H$207=Z141))+SUMPRODUCT(('Q4 Data'!$D$4:$D$207=D141)*('Q4 Data'!$B$4:$B$207="Challan")*('Q4 Data'!$H$4:$H$207=Z141)))=0))</f>
      </c>
    </row>
    <row r="142" spans="1:44" x14ac:dyDescent="0.25">
      <c r="A142" s="20">
        <f>IF($B142="Entry",COUNTIF($B$4:$B142,"Entry"),"")</f>
      </c>
      <c r="B142" s="21"/>
      <c r="C142" s="22"/>
      <c r="D142" s="22"/>
      <c r="E142" s="23">
        <f>IF($B142&lt;&gt;"Challan","",IF(ROUND(AN142-AO142,2)&gt;0,"Over-applied",IF(ROUND(AN142-AO142,2)=0,"Fully Utilised","Unconsumed")))</f>
      </c>
      <c r="F142" s="24"/>
      <c r="G142" s="25"/>
      <c r="H142" s="25"/>
      <c r="I142" s="26"/>
      <c r="J142" s="26"/>
      <c r="K142" s="26"/>
      <c r="L142" s="26"/>
      <c r="M142" s="26"/>
      <c r="N142" s="26"/>
      <c r="O142" s="26"/>
      <c r="P142" s="27">
        <f>IF($B142&lt;&gt;"Challan","",I142+J142+K142+L142+M142+N142)</f>
      </c>
      <c r="Q142" s="25"/>
      <c r="R142" s="25"/>
      <c r="S142" s="25"/>
      <c r="T142" s="25"/>
      <c r="U142" s="25"/>
      <c r="V142" s="28"/>
      <c r="W142" s="28"/>
      <c r="X142" s="23">
        <f>IF($B142="Entry",IF(AND(LEN(TRIM(UPPER(W142)))=10,CODE(MID(TRIM(UPPER(W142)),1,1))&gt;=65,CODE(MID(TRIM(UPPER(W142)),1,1))&lt;=90,CODE(MID(TRIM(UPPER(W142)),2,1))&gt;=65,CODE(MID(TRIM(UPPER(W142)),2,1))&lt;=90,CODE(MID(TRIM(UPPER(W142)),3,1))&gt;=65,CODE(MID(TRIM(UPPER(W142)),3,1))&lt;=90,CODE(MID(TRIM(UPPER(W142)),4,1))&gt;=65,CODE(MID(TRIM(UPPER(W142)),4,1))&lt;=90,CODE(MID(TRIM(UPPER(W142)),5,1))&gt;=65,CODE(MID(TRIM(UPPER(W142)),5,1))&lt;=90,CODE(MID(TRIM(UPPER(W142)),10,1))&gt;=65,CODE(MID(TRIM(UPPER(W142)),10,1))&lt;=90,CODE(MID(TRIM(UPPER(W142)),6,1))&gt;=48,CODE(MID(TRIM(UPPER(W142)),6,1))&lt;=57,CODE(MID(TRIM(UPPER(W142)),7,1))&gt;=48,CODE(MID(TRIM(UPPER(W142)),7,1))&lt;=57,CODE(MID(TRIM(UPPER(W142)),8,1))&gt;=48,CODE(MID(TRIM(UPPER(W142)),8,1))&lt;=57,CODE(MID(TRIM(UPPER(W142)),9,1))&gt;=48,CODE(MID(TRIM(UPPER(W142)),9,1))&lt;=57),"N","Y"),IF($B142="Challan","",IF(W142&lt;&gt;"","◄ Set Row Type","")))</f>
      </c>
      <c r="Y142" s="23">
        <f>IF($B142="Entry",IF(LEN(W142)&lt;4,"",IF(UPPER(MID(W142,4,1))="P","Individual",IF(UPPER(MID(W142,4,1))="H","HUF",IF(UPPER(MID(W142,4,1))="C","Company",IF(UPPER(MID(W142,4,1))="F","Firm",IF(UPPER(MID(W142,4,1))="L","LLP",IF(UPPER(MID(W142,4,1))="T","Trust",IF(UPPER(MID(W142,4,1))="A","AOP","")))))))),IF($B142="Challan","",IF(W142&lt;&gt;"","◄ Set Row Type","")))</f>
      </c>
      <c r="Z142" s="28"/>
      <c r="AA142" s="29">
        <f>IF($B142&lt;&gt;"Entry","",IF(Z142="","",IF(X142="Y",SUMPRODUCT(('Rate Lookup'!$A$1:$A$37=Z142)*'Rate Lookup'!$D$1:$D$37),IF(OR(Y142="Individual",Y142="HUF"),SUMPRODUCT(('Rate Lookup'!$A$1:$A$37=Z142)*'Rate Lookup'!$B$1:$B$37),SUMPRODUCT(('Rate Lookup'!$A$1:$A$37=Z142)*'Rate Lookup'!$C$1:$C$37)))))</f>
      </c>
      <c r="AB142" s="30"/>
      <c r="AC142" s="31"/>
      <c r="AD142" s="27">
        <f>IF($B142&lt;&gt;"Entry","",ROUND(AC142*AA142/100,0))</f>
      </c>
      <c r="AE142" s="27">
        <f>IF($B142&lt;&gt;"Entry","",0)</f>
      </c>
      <c r="AF142" s="27">
        <f>IF($B142&lt;&gt;"Entry","",0)</f>
      </c>
      <c r="AG142" s="27">
        <f>IF($B142&lt;&gt;"Entry","",IF(OR(AD142=0,AB142="",AQ142="",AQ142&lt;=0),0,IF(AQ142&lt;=DATE(YEAR(AB142),MONTH(AB142)+1,7),0,ROUND(AD142*0.015*((YEAR(AQ142)-YEAR(AB142))*12+(MONTH(AQ142)-MONTH(AB142))+1),0))))</f>
      </c>
      <c r="AH142" s="27">
        <f>IF($B142&lt;&gt;"Entry","",0)</f>
      </c>
      <c r="AI142" s="28"/>
      <c r="AJ142" s="28"/>
      <c r="AK142" s="32"/>
      <c r="AL142" s="28"/>
      <c r="AM142" s="28"/>
      <c r="AN142" s="27">
        <f>IF($B142&lt;&gt;"Challan","",SUMIF('Q1 Data'!$D$4:$D$207,D142,'Q1 Data'!$AD$4:$AD$207)+SUMIF('Q1 Data'!$D$4:$D$207,D142,'Q1 Data'!$AG$4:$AG$207)+SUMIF('Q1 Data'!$D$4:$D$207,D142,'Q1 Data'!$AE$4:$AE$207)+SUMIF('Q2 Data'!$D$4:$D$207,D142,'Q2 Data'!$AD$4:$AD$207)+SUMIF('Q2 Data'!$D$4:$D$207,D142,'Q2 Data'!$AG$4:$AG$207)+SUMIF('Q2 Data'!$D$4:$D$207,D142,'Q2 Data'!$AE$4:$AE$207)+SUMIF('Q3 Data'!$D$4:$D$207,D142,'Q3 Data'!$AD$4:$AD$207)+SUMIF('Q3 Data'!$D$4:$D$207,D142,'Q3 Data'!$AG$4:$AG$207)+SUMIF('Q3 Data'!$D$4:$D$207,D142,'Q3 Data'!$AE$4:$AE$207)+SUMIF('Q4 Data'!$D$4:$D$207,D142,'Q4 Data'!$AD$4:$AD$207)+SUMIF('Q4 Data'!$D$4:$D$207,D142,'Q4 Data'!$AG$4:$AG$207)+SUMIF('Q4 Data'!$D$4:$D$207,D142,'Q4 Data'!$AE$4:$AE$207))</f>
      </c>
      <c r="AO142" s="27">
        <f>IF($B142&lt;&gt;"Challan","",P142-N142)</f>
      </c>
      <c r="AP142" s="27">
        <f>IF($B142&lt;&gt;"Challan","",MAX(0,AO142-AN142))</f>
      </c>
      <c r="AQ142" s="33">
        <f>IF($B142&lt;&gt;"Entry","",SUMPRODUCT(('Q1 Data'!$D$4:$D$207=D142)*('Q1 Data'!$B$4:$B$207="Challan")*'Q1 Data'!$F$4:$F$207)+SUMPRODUCT(('Q2 Data'!$D$4:$D$207=D142)*('Q2 Data'!$B$4:$B$207="Challan")*'Q2 Data'!$F$4:$F$207)+SUMPRODUCT(('Q3 Data'!$D$4:$D$207=D142)*('Q3 Data'!$B$4:$B$207="Challan")*'Q3 Data'!$F$4:$F$207)+SUMPRODUCT(('Q4 Data'!$D$4:$D$207=D142)*('Q4 Data'!$B$4:$B$207="Challan")*'Q4 Data'!$F$4:$F$207))</f>
      </c>
      <c r="AR142" s="34">
        <f>IF(OR($B142&lt;&gt;"Entry",Z142=""),FALSE,AND((SUMPRODUCT(('Q1 Data'!$D$4:$D$207=D142)*('Q1 Data'!$B$4:$B$207="Challan")*('Q1 Data'!$H$4:$H$207&lt;&gt;""))+SUMPRODUCT(('Q2 Data'!$D$4:$D$207=D142)*('Q2 Data'!$B$4:$B$207="Challan")*('Q2 Data'!$H$4:$H$207&lt;&gt;""))+SUMPRODUCT(('Q3 Data'!$D$4:$D$207=D142)*('Q3 Data'!$B$4:$B$207="Challan")*('Q3 Data'!$H$4:$H$207&lt;&gt;""))+SUMPRODUCT(('Q4 Data'!$D$4:$D$207=D142)*('Q4 Data'!$B$4:$B$207="Challan")*('Q4 Data'!$H$4:$H$207&lt;&gt;"")))&gt;0,(SUMPRODUCT(('Q1 Data'!$D$4:$D$207=D142)*('Q1 Data'!$B$4:$B$207="Challan")*('Q1 Data'!$H$4:$H$207=Z142))+SUMPRODUCT(('Q2 Data'!$D$4:$D$207=D142)*('Q2 Data'!$B$4:$B$207="Challan")*('Q2 Data'!$H$4:$H$207=Z142))+SUMPRODUCT(('Q3 Data'!$D$4:$D$207=D142)*('Q3 Data'!$B$4:$B$207="Challan")*('Q3 Data'!$H$4:$H$207=Z142))+SUMPRODUCT(('Q4 Data'!$D$4:$D$207=D142)*('Q4 Data'!$B$4:$B$207="Challan")*('Q4 Data'!$H$4:$H$207=Z142)))=0))</f>
      </c>
    </row>
    <row r="143" spans="1:44" x14ac:dyDescent="0.25">
      <c r="A143" s="20">
        <f>IF($B143="Entry",COUNTIF($B$4:$B143,"Entry"),"")</f>
      </c>
      <c r="B143" s="21"/>
      <c r="C143" s="22"/>
      <c r="D143" s="22"/>
      <c r="E143" s="23">
        <f>IF($B143&lt;&gt;"Challan","",IF(ROUND(AN143-AO143,2)&gt;0,"Over-applied",IF(ROUND(AN143-AO143,2)=0,"Fully Utilised","Unconsumed")))</f>
      </c>
      <c r="F143" s="24"/>
      <c r="G143" s="25"/>
      <c r="H143" s="25"/>
      <c r="I143" s="26"/>
      <c r="J143" s="26"/>
      <c r="K143" s="26"/>
      <c r="L143" s="26"/>
      <c r="M143" s="26"/>
      <c r="N143" s="26"/>
      <c r="O143" s="26"/>
      <c r="P143" s="27">
        <f>IF($B143&lt;&gt;"Challan","",I143+J143+K143+L143+M143+N143)</f>
      </c>
      <c r="Q143" s="25"/>
      <c r="R143" s="25"/>
      <c r="S143" s="25"/>
      <c r="T143" s="25"/>
      <c r="U143" s="25"/>
      <c r="V143" s="28"/>
      <c r="W143" s="28"/>
      <c r="X143" s="23">
        <f>IF($B143="Entry",IF(AND(LEN(TRIM(UPPER(W143)))=10,CODE(MID(TRIM(UPPER(W143)),1,1))&gt;=65,CODE(MID(TRIM(UPPER(W143)),1,1))&lt;=90,CODE(MID(TRIM(UPPER(W143)),2,1))&gt;=65,CODE(MID(TRIM(UPPER(W143)),2,1))&lt;=90,CODE(MID(TRIM(UPPER(W143)),3,1))&gt;=65,CODE(MID(TRIM(UPPER(W143)),3,1))&lt;=90,CODE(MID(TRIM(UPPER(W143)),4,1))&gt;=65,CODE(MID(TRIM(UPPER(W143)),4,1))&lt;=90,CODE(MID(TRIM(UPPER(W143)),5,1))&gt;=65,CODE(MID(TRIM(UPPER(W143)),5,1))&lt;=90,CODE(MID(TRIM(UPPER(W143)),10,1))&gt;=65,CODE(MID(TRIM(UPPER(W143)),10,1))&lt;=90,CODE(MID(TRIM(UPPER(W143)),6,1))&gt;=48,CODE(MID(TRIM(UPPER(W143)),6,1))&lt;=57,CODE(MID(TRIM(UPPER(W143)),7,1))&gt;=48,CODE(MID(TRIM(UPPER(W143)),7,1))&lt;=57,CODE(MID(TRIM(UPPER(W143)),8,1))&gt;=48,CODE(MID(TRIM(UPPER(W143)),8,1))&lt;=57,CODE(MID(TRIM(UPPER(W143)),9,1))&gt;=48,CODE(MID(TRIM(UPPER(W143)),9,1))&lt;=57),"N","Y"),IF($B143="Challan","",IF(W143&lt;&gt;"","◄ Set Row Type","")))</f>
      </c>
      <c r="Y143" s="23">
        <f>IF($B143="Entry",IF(LEN(W143)&lt;4,"",IF(UPPER(MID(W143,4,1))="P","Individual",IF(UPPER(MID(W143,4,1))="H","HUF",IF(UPPER(MID(W143,4,1))="C","Company",IF(UPPER(MID(W143,4,1))="F","Firm",IF(UPPER(MID(W143,4,1))="L","LLP",IF(UPPER(MID(W143,4,1))="T","Trust",IF(UPPER(MID(W143,4,1))="A","AOP","")))))))),IF($B143="Challan","",IF(W143&lt;&gt;"","◄ Set Row Type","")))</f>
      </c>
      <c r="Z143" s="28"/>
      <c r="AA143" s="29">
        <f>IF($B143&lt;&gt;"Entry","",IF(Z143="","",IF(X143="Y",SUMPRODUCT(('Rate Lookup'!$A$1:$A$37=Z143)*'Rate Lookup'!$D$1:$D$37),IF(OR(Y143="Individual",Y143="HUF"),SUMPRODUCT(('Rate Lookup'!$A$1:$A$37=Z143)*'Rate Lookup'!$B$1:$B$37),SUMPRODUCT(('Rate Lookup'!$A$1:$A$37=Z143)*'Rate Lookup'!$C$1:$C$37)))))</f>
      </c>
      <c r="AB143" s="30"/>
      <c r="AC143" s="31"/>
      <c r="AD143" s="27">
        <f>IF($B143&lt;&gt;"Entry","",ROUND(AC143*AA143/100,0))</f>
      </c>
      <c r="AE143" s="27">
        <f>IF($B143&lt;&gt;"Entry","",0)</f>
      </c>
      <c r="AF143" s="27">
        <f>IF($B143&lt;&gt;"Entry","",0)</f>
      </c>
      <c r="AG143" s="27">
        <f>IF($B143&lt;&gt;"Entry","",IF(OR(AD143=0,AB143="",AQ143="",AQ143&lt;=0),0,IF(AQ143&lt;=DATE(YEAR(AB143),MONTH(AB143)+1,7),0,ROUND(AD143*0.015*((YEAR(AQ143)-YEAR(AB143))*12+(MONTH(AQ143)-MONTH(AB143))+1),0))))</f>
      </c>
      <c r="AH143" s="27">
        <f>IF($B143&lt;&gt;"Entry","",0)</f>
      </c>
      <c r="AI143" s="28"/>
      <c r="AJ143" s="28"/>
      <c r="AK143" s="32"/>
      <c r="AL143" s="28"/>
      <c r="AM143" s="28"/>
      <c r="AN143" s="27">
        <f>IF($B143&lt;&gt;"Challan","",SUMIF('Q1 Data'!$D$4:$D$207,D143,'Q1 Data'!$AD$4:$AD$207)+SUMIF('Q1 Data'!$D$4:$D$207,D143,'Q1 Data'!$AG$4:$AG$207)+SUMIF('Q1 Data'!$D$4:$D$207,D143,'Q1 Data'!$AE$4:$AE$207)+SUMIF('Q2 Data'!$D$4:$D$207,D143,'Q2 Data'!$AD$4:$AD$207)+SUMIF('Q2 Data'!$D$4:$D$207,D143,'Q2 Data'!$AG$4:$AG$207)+SUMIF('Q2 Data'!$D$4:$D$207,D143,'Q2 Data'!$AE$4:$AE$207)+SUMIF('Q3 Data'!$D$4:$D$207,D143,'Q3 Data'!$AD$4:$AD$207)+SUMIF('Q3 Data'!$D$4:$D$207,D143,'Q3 Data'!$AG$4:$AG$207)+SUMIF('Q3 Data'!$D$4:$D$207,D143,'Q3 Data'!$AE$4:$AE$207)+SUMIF('Q4 Data'!$D$4:$D$207,D143,'Q4 Data'!$AD$4:$AD$207)+SUMIF('Q4 Data'!$D$4:$D$207,D143,'Q4 Data'!$AG$4:$AG$207)+SUMIF('Q4 Data'!$D$4:$D$207,D143,'Q4 Data'!$AE$4:$AE$207))</f>
      </c>
      <c r="AO143" s="27">
        <f>IF($B143&lt;&gt;"Challan","",P143-N143)</f>
      </c>
      <c r="AP143" s="27">
        <f>IF($B143&lt;&gt;"Challan","",MAX(0,AO143-AN143))</f>
      </c>
      <c r="AQ143" s="33">
        <f>IF($B143&lt;&gt;"Entry","",SUMPRODUCT(('Q1 Data'!$D$4:$D$207=D143)*('Q1 Data'!$B$4:$B$207="Challan")*'Q1 Data'!$F$4:$F$207)+SUMPRODUCT(('Q2 Data'!$D$4:$D$207=D143)*('Q2 Data'!$B$4:$B$207="Challan")*'Q2 Data'!$F$4:$F$207)+SUMPRODUCT(('Q3 Data'!$D$4:$D$207=D143)*('Q3 Data'!$B$4:$B$207="Challan")*'Q3 Data'!$F$4:$F$207)+SUMPRODUCT(('Q4 Data'!$D$4:$D$207=D143)*('Q4 Data'!$B$4:$B$207="Challan")*'Q4 Data'!$F$4:$F$207))</f>
      </c>
      <c r="AR143" s="34">
        <f>IF(OR($B143&lt;&gt;"Entry",Z143=""),FALSE,AND((SUMPRODUCT(('Q1 Data'!$D$4:$D$207=D143)*('Q1 Data'!$B$4:$B$207="Challan")*('Q1 Data'!$H$4:$H$207&lt;&gt;""))+SUMPRODUCT(('Q2 Data'!$D$4:$D$207=D143)*('Q2 Data'!$B$4:$B$207="Challan")*('Q2 Data'!$H$4:$H$207&lt;&gt;""))+SUMPRODUCT(('Q3 Data'!$D$4:$D$207=D143)*('Q3 Data'!$B$4:$B$207="Challan")*('Q3 Data'!$H$4:$H$207&lt;&gt;""))+SUMPRODUCT(('Q4 Data'!$D$4:$D$207=D143)*('Q4 Data'!$B$4:$B$207="Challan")*('Q4 Data'!$H$4:$H$207&lt;&gt;"")))&gt;0,(SUMPRODUCT(('Q1 Data'!$D$4:$D$207=D143)*('Q1 Data'!$B$4:$B$207="Challan")*('Q1 Data'!$H$4:$H$207=Z143))+SUMPRODUCT(('Q2 Data'!$D$4:$D$207=D143)*('Q2 Data'!$B$4:$B$207="Challan")*('Q2 Data'!$H$4:$H$207=Z143))+SUMPRODUCT(('Q3 Data'!$D$4:$D$207=D143)*('Q3 Data'!$B$4:$B$207="Challan")*('Q3 Data'!$H$4:$H$207=Z143))+SUMPRODUCT(('Q4 Data'!$D$4:$D$207=D143)*('Q4 Data'!$B$4:$B$207="Challan")*('Q4 Data'!$H$4:$H$207=Z143)))=0))</f>
      </c>
    </row>
    <row r="144" spans="1:44" x14ac:dyDescent="0.25">
      <c r="A144" s="20">
        <f>IF($B144="Entry",COUNTIF($B$4:$B144,"Entry"),"")</f>
      </c>
      <c r="B144" s="21"/>
      <c r="C144" s="22"/>
      <c r="D144" s="22"/>
      <c r="E144" s="23">
        <f>IF($B144&lt;&gt;"Challan","",IF(ROUND(AN144-AO144,2)&gt;0,"Over-applied",IF(ROUND(AN144-AO144,2)=0,"Fully Utilised","Unconsumed")))</f>
      </c>
      <c r="F144" s="24"/>
      <c r="G144" s="25"/>
      <c r="H144" s="25"/>
      <c r="I144" s="26"/>
      <c r="J144" s="26"/>
      <c r="K144" s="26"/>
      <c r="L144" s="26"/>
      <c r="M144" s="26"/>
      <c r="N144" s="26"/>
      <c r="O144" s="26"/>
      <c r="P144" s="27">
        <f>IF($B144&lt;&gt;"Challan","",I144+J144+K144+L144+M144+N144)</f>
      </c>
      <c r="Q144" s="25"/>
      <c r="R144" s="25"/>
      <c r="S144" s="25"/>
      <c r="T144" s="25"/>
      <c r="U144" s="25"/>
      <c r="V144" s="28"/>
      <c r="W144" s="28"/>
      <c r="X144" s="23">
        <f>IF($B144="Entry",IF(AND(LEN(TRIM(UPPER(W144)))=10,CODE(MID(TRIM(UPPER(W144)),1,1))&gt;=65,CODE(MID(TRIM(UPPER(W144)),1,1))&lt;=90,CODE(MID(TRIM(UPPER(W144)),2,1))&gt;=65,CODE(MID(TRIM(UPPER(W144)),2,1))&lt;=90,CODE(MID(TRIM(UPPER(W144)),3,1))&gt;=65,CODE(MID(TRIM(UPPER(W144)),3,1))&lt;=90,CODE(MID(TRIM(UPPER(W144)),4,1))&gt;=65,CODE(MID(TRIM(UPPER(W144)),4,1))&lt;=90,CODE(MID(TRIM(UPPER(W144)),5,1))&gt;=65,CODE(MID(TRIM(UPPER(W144)),5,1))&lt;=90,CODE(MID(TRIM(UPPER(W144)),10,1))&gt;=65,CODE(MID(TRIM(UPPER(W144)),10,1))&lt;=90,CODE(MID(TRIM(UPPER(W144)),6,1))&gt;=48,CODE(MID(TRIM(UPPER(W144)),6,1))&lt;=57,CODE(MID(TRIM(UPPER(W144)),7,1))&gt;=48,CODE(MID(TRIM(UPPER(W144)),7,1))&lt;=57,CODE(MID(TRIM(UPPER(W144)),8,1))&gt;=48,CODE(MID(TRIM(UPPER(W144)),8,1))&lt;=57,CODE(MID(TRIM(UPPER(W144)),9,1))&gt;=48,CODE(MID(TRIM(UPPER(W144)),9,1))&lt;=57),"N","Y"),IF($B144="Challan","",IF(W144&lt;&gt;"","◄ Set Row Type","")))</f>
      </c>
      <c r="Y144" s="23">
        <f>IF($B144="Entry",IF(LEN(W144)&lt;4,"",IF(UPPER(MID(W144,4,1))="P","Individual",IF(UPPER(MID(W144,4,1))="H","HUF",IF(UPPER(MID(W144,4,1))="C","Company",IF(UPPER(MID(W144,4,1))="F","Firm",IF(UPPER(MID(W144,4,1))="L","LLP",IF(UPPER(MID(W144,4,1))="T","Trust",IF(UPPER(MID(W144,4,1))="A","AOP","")))))))),IF($B144="Challan","",IF(W144&lt;&gt;"","◄ Set Row Type","")))</f>
      </c>
      <c r="Z144" s="28"/>
      <c r="AA144" s="29">
        <f>IF($B144&lt;&gt;"Entry","",IF(Z144="","",IF(X144="Y",SUMPRODUCT(('Rate Lookup'!$A$1:$A$37=Z144)*'Rate Lookup'!$D$1:$D$37),IF(OR(Y144="Individual",Y144="HUF"),SUMPRODUCT(('Rate Lookup'!$A$1:$A$37=Z144)*'Rate Lookup'!$B$1:$B$37),SUMPRODUCT(('Rate Lookup'!$A$1:$A$37=Z144)*'Rate Lookup'!$C$1:$C$37)))))</f>
      </c>
      <c r="AB144" s="30"/>
      <c r="AC144" s="31"/>
      <c r="AD144" s="27">
        <f>IF($B144&lt;&gt;"Entry","",ROUND(AC144*AA144/100,0))</f>
      </c>
      <c r="AE144" s="27">
        <f>IF($B144&lt;&gt;"Entry","",0)</f>
      </c>
      <c r="AF144" s="27">
        <f>IF($B144&lt;&gt;"Entry","",0)</f>
      </c>
      <c r="AG144" s="27">
        <f>IF($B144&lt;&gt;"Entry","",IF(OR(AD144=0,AB144="",AQ144="",AQ144&lt;=0),0,IF(AQ144&lt;=DATE(YEAR(AB144),MONTH(AB144)+1,7),0,ROUND(AD144*0.015*((YEAR(AQ144)-YEAR(AB144))*12+(MONTH(AQ144)-MONTH(AB144))+1),0))))</f>
      </c>
      <c r="AH144" s="27">
        <f>IF($B144&lt;&gt;"Entry","",0)</f>
      </c>
      <c r="AI144" s="28"/>
      <c r="AJ144" s="28"/>
      <c r="AK144" s="32"/>
      <c r="AL144" s="28"/>
      <c r="AM144" s="28"/>
      <c r="AN144" s="27">
        <f>IF($B144&lt;&gt;"Challan","",SUMIF('Q1 Data'!$D$4:$D$207,D144,'Q1 Data'!$AD$4:$AD$207)+SUMIF('Q1 Data'!$D$4:$D$207,D144,'Q1 Data'!$AG$4:$AG$207)+SUMIF('Q1 Data'!$D$4:$D$207,D144,'Q1 Data'!$AE$4:$AE$207)+SUMIF('Q2 Data'!$D$4:$D$207,D144,'Q2 Data'!$AD$4:$AD$207)+SUMIF('Q2 Data'!$D$4:$D$207,D144,'Q2 Data'!$AG$4:$AG$207)+SUMIF('Q2 Data'!$D$4:$D$207,D144,'Q2 Data'!$AE$4:$AE$207)+SUMIF('Q3 Data'!$D$4:$D$207,D144,'Q3 Data'!$AD$4:$AD$207)+SUMIF('Q3 Data'!$D$4:$D$207,D144,'Q3 Data'!$AG$4:$AG$207)+SUMIF('Q3 Data'!$D$4:$D$207,D144,'Q3 Data'!$AE$4:$AE$207)+SUMIF('Q4 Data'!$D$4:$D$207,D144,'Q4 Data'!$AD$4:$AD$207)+SUMIF('Q4 Data'!$D$4:$D$207,D144,'Q4 Data'!$AG$4:$AG$207)+SUMIF('Q4 Data'!$D$4:$D$207,D144,'Q4 Data'!$AE$4:$AE$207))</f>
      </c>
      <c r="AO144" s="27">
        <f>IF($B144&lt;&gt;"Challan","",P144-N144)</f>
      </c>
      <c r="AP144" s="27">
        <f>IF($B144&lt;&gt;"Challan","",MAX(0,AO144-AN144))</f>
      </c>
      <c r="AQ144" s="33">
        <f>IF($B144&lt;&gt;"Entry","",SUMPRODUCT(('Q1 Data'!$D$4:$D$207=D144)*('Q1 Data'!$B$4:$B$207="Challan")*'Q1 Data'!$F$4:$F$207)+SUMPRODUCT(('Q2 Data'!$D$4:$D$207=D144)*('Q2 Data'!$B$4:$B$207="Challan")*'Q2 Data'!$F$4:$F$207)+SUMPRODUCT(('Q3 Data'!$D$4:$D$207=D144)*('Q3 Data'!$B$4:$B$207="Challan")*'Q3 Data'!$F$4:$F$207)+SUMPRODUCT(('Q4 Data'!$D$4:$D$207=D144)*('Q4 Data'!$B$4:$B$207="Challan")*'Q4 Data'!$F$4:$F$207))</f>
      </c>
      <c r="AR144" s="34">
        <f>IF(OR($B144&lt;&gt;"Entry",Z144=""),FALSE,AND((SUMPRODUCT(('Q1 Data'!$D$4:$D$207=D144)*('Q1 Data'!$B$4:$B$207="Challan")*('Q1 Data'!$H$4:$H$207&lt;&gt;""))+SUMPRODUCT(('Q2 Data'!$D$4:$D$207=D144)*('Q2 Data'!$B$4:$B$207="Challan")*('Q2 Data'!$H$4:$H$207&lt;&gt;""))+SUMPRODUCT(('Q3 Data'!$D$4:$D$207=D144)*('Q3 Data'!$B$4:$B$207="Challan")*('Q3 Data'!$H$4:$H$207&lt;&gt;""))+SUMPRODUCT(('Q4 Data'!$D$4:$D$207=D144)*('Q4 Data'!$B$4:$B$207="Challan")*('Q4 Data'!$H$4:$H$207&lt;&gt;"")))&gt;0,(SUMPRODUCT(('Q1 Data'!$D$4:$D$207=D144)*('Q1 Data'!$B$4:$B$207="Challan")*('Q1 Data'!$H$4:$H$207=Z144))+SUMPRODUCT(('Q2 Data'!$D$4:$D$207=D144)*('Q2 Data'!$B$4:$B$207="Challan")*('Q2 Data'!$H$4:$H$207=Z144))+SUMPRODUCT(('Q3 Data'!$D$4:$D$207=D144)*('Q3 Data'!$B$4:$B$207="Challan")*('Q3 Data'!$H$4:$H$207=Z144))+SUMPRODUCT(('Q4 Data'!$D$4:$D$207=D144)*('Q4 Data'!$B$4:$B$207="Challan")*('Q4 Data'!$H$4:$H$207=Z144)))=0))</f>
      </c>
    </row>
    <row r="145" spans="1:44" x14ac:dyDescent="0.25">
      <c r="A145" s="20">
        <f>IF($B145="Entry",COUNTIF($B$4:$B145,"Entry"),"")</f>
      </c>
      <c r="B145" s="21"/>
      <c r="C145" s="22"/>
      <c r="D145" s="22"/>
      <c r="E145" s="23">
        <f>IF($B145&lt;&gt;"Challan","",IF(ROUND(AN145-AO145,2)&gt;0,"Over-applied",IF(ROUND(AN145-AO145,2)=0,"Fully Utilised","Unconsumed")))</f>
      </c>
      <c r="F145" s="24"/>
      <c r="G145" s="25"/>
      <c r="H145" s="25"/>
      <c r="I145" s="26"/>
      <c r="J145" s="26"/>
      <c r="K145" s="26"/>
      <c r="L145" s="26"/>
      <c r="M145" s="26"/>
      <c r="N145" s="26"/>
      <c r="O145" s="26"/>
      <c r="P145" s="27">
        <f>IF($B145&lt;&gt;"Challan","",I145+J145+K145+L145+M145+N145)</f>
      </c>
      <c r="Q145" s="25"/>
      <c r="R145" s="25"/>
      <c r="S145" s="25"/>
      <c r="T145" s="25"/>
      <c r="U145" s="25"/>
      <c r="V145" s="28"/>
      <c r="W145" s="28"/>
      <c r="X145" s="23">
        <f>IF($B145="Entry",IF(AND(LEN(TRIM(UPPER(W145)))=10,CODE(MID(TRIM(UPPER(W145)),1,1))&gt;=65,CODE(MID(TRIM(UPPER(W145)),1,1))&lt;=90,CODE(MID(TRIM(UPPER(W145)),2,1))&gt;=65,CODE(MID(TRIM(UPPER(W145)),2,1))&lt;=90,CODE(MID(TRIM(UPPER(W145)),3,1))&gt;=65,CODE(MID(TRIM(UPPER(W145)),3,1))&lt;=90,CODE(MID(TRIM(UPPER(W145)),4,1))&gt;=65,CODE(MID(TRIM(UPPER(W145)),4,1))&lt;=90,CODE(MID(TRIM(UPPER(W145)),5,1))&gt;=65,CODE(MID(TRIM(UPPER(W145)),5,1))&lt;=90,CODE(MID(TRIM(UPPER(W145)),10,1))&gt;=65,CODE(MID(TRIM(UPPER(W145)),10,1))&lt;=90,CODE(MID(TRIM(UPPER(W145)),6,1))&gt;=48,CODE(MID(TRIM(UPPER(W145)),6,1))&lt;=57,CODE(MID(TRIM(UPPER(W145)),7,1))&gt;=48,CODE(MID(TRIM(UPPER(W145)),7,1))&lt;=57,CODE(MID(TRIM(UPPER(W145)),8,1))&gt;=48,CODE(MID(TRIM(UPPER(W145)),8,1))&lt;=57,CODE(MID(TRIM(UPPER(W145)),9,1))&gt;=48,CODE(MID(TRIM(UPPER(W145)),9,1))&lt;=57),"N","Y"),IF($B145="Challan","",IF(W145&lt;&gt;"","◄ Set Row Type","")))</f>
      </c>
      <c r="Y145" s="23">
        <f>IF($B145="Entry",IF(LEN(W145)&lt;4,"",IF(UPPER(MID(W145,4,1))="P","Individual",IF(UPPER(MID(W145,4,1))="H","HUF",IF(UPPER(MID(W145,4,1))="C","Company",IF(UPPER(MID(W145,4,1))="F","Firm",IF(UPPER(MID(W145,4,1))="L","LLP",IF(UPPER(MID(W145,4,1))="T","Trust",IF(UPPER(MID(W145,4,1))="A","AOP","")))))))),IF($B145="Challan","",IF(W145&lt;&gt;"","◄ Set Row Type","")))</f>
      </c>
      <c r="Z145" s="28"/>
      <c r="AA145" s="29">
        <f>IF($B145&lt;&gt;"Entry","",IF(Z145="","",IF(X145="Y",SUMPRODUCT(('Rate Lookup'!$A$1:$A$37=Z145)*'Rate Lookup'!$D$1:$D$37),IF(OR(Y145="Individual",Y145="HUF"),SUMPRODUCT(('Rate Lookup'!$A$1:$A$37=Z145)*'Rate Lookup'!$B$1:$B$37),SUMPRODUCT(('Rate Lookup'!$A$1:$A$37=Z145)*'Rate Lookup'!$C$1:$C$37)))))</f>
      </c>
      <c r="AB145" s="30"/>
      <c r="AC145" s="31"/>
      <c r="AD145" s="27">
        <f>IF($B145&lt;&gt;"Entry","",ROUND(AC145*AA145/100,0))</f>
      </c>
      <c r="AE145" s="27">
        <f>IF($B145&lt;&gt;"Entry","",0)</f>
      </c>
      <c r="AF145" s="27">
        <f>IF($B145&lt;&gt;"Entry","",0)</f>
      </c>
      <c r="AG145" s="27">
        <f>IF($B145&lt;&gt;"Entry","",IF(OR(AD145=0,AB145="",AQ145="",AQ145&lt;=0),0,IF(AQ145&lt;=DATE(YEAR(AB145),MONTH(AB145)+1,7),0,ROUND(AD145*0.015*((YEAR(AQ145)-YEAR(AB145))*12+(MONTH(AQ145)-MONTH(AB145))+1),0))))</f>
      </c>
      <c r="AH145" s="27">
        <f>IF($B145&lt;&gt;"Entry","",0)</f>
      </c>
      <c r="AI145" s="28"/>
      <c r="AJ145" s="28"/>
      <c r="AK145" s="32"/>
      <c r="AL145" s="28"/>
      <c r="AM145" s="28"/>
      <c r="AN145" s="27">
        <f>IF($B145&lt;&gt;"Challan","",SUMIF('Q1 Data'!$D$4:$D$207,D145,'Q1 Data'!$AD$4:$AD$207)+SUMIF('Q1 Data'!$D$4:$D$207,D145,'Q1 Data'!$AG$4:$AG$207)+SUMIF('Q1 Data'!$D$4:$D$207,D145,'Q1 Data'!$AE$4:$AE$207)+SUMIF('Q2 Data'!$D$4:$D$207,D145,'Q2 Data'!$AD$4:$AD$207)+SUMIF('Q2 Data'!$D$4:$D$207,D145,'Q2 Data'!$AG$4:$AG$207)+SUMIF('Q2 Data'!$D$4:$D$207,D145,'Q2 Data'!$AE$4:$AE$207)+SUMIF('Q3 Data'!$D$4:$D$207,D145,'Q3 Data'!$AD$4:$AD$207)+SUMIF('Q3 Data'!$D$4:$D$207,D145,'Q3 Data'!$AG$4:$AG$207)+SUMIF('Q3 Data'!$D$4:$D$207,D145,'Q3 Data'!$AE$4:$AE$207)+SUMIF('Q4 Data'!$D$4:$D$207,D145,'Q4 Data'!$AD$4:$AD$207)+SUMIF('Q4 Data'!$D$4:$D$207,D145,'Q4 Data'!$AG$4:$AG$207)+SUMIF('Q4 Data'!$D$4:$D$207,D145,'Q4 Data'!$AE$4:$AE$207))</f>
      </c>
      <c r="AO145" s="27">
        <f>IF($B145&lt;&gt;"Challan","",P145-N145)</f>
      </c>
      <c r="AP145" s="27">
        <f>IF($B145&lt;&gt;"Challan","",MAX(0,AO145-AN145))</f>
      </c>
      <c r="AQ145" s="33">
        <f>IF($B145&lt;&gt;"Entry","",SUMPRODUCT(('Q1 Data'!$D$4:$D$207=D145)*('Q1 Data'!$B$4:$B$207="Challan")*'Q1 Data'!$F$4:$F$207)+SUMPRODUCT(('Q2 Data'!$D$4:$D$207=D145)*('Q2 Data'!$B$4:$B$207="Challan")*'Q2 Data'!$F$4:$F$207)+SUMPRODUCT(('Q3 Data'!$D$4:$D$207=D145)*('Q3 Data'!$B$4:$B$207="Challan")*'Q3 Data'!$F$4:$F$207)+SUMPRODUCT(('Q4 Data'!$D$4:$D$207=D145)*('Q4 Data'!$B$4:$B$207="Challan")*'Q4 Data'!$F$4:$F$207))</f>
      </c>
      <c r="AR145" s="34">
        <f>IF(OR($B145&lt;&gt;"Entry",Z145=""),FALSE,AND((SUMPRODUCT(('Q1 Data'!$D$4:$D$207=D145)*('Q1 Data'!$B$4:$B$207="Challan")*('Q1 Data'!$H$4:$H$207&lt;&gt;""))+SUMPRODUCT(('Q2 Data'!$D$4:$D$207=D145)*('Q2 Data'!$B$4:$B$207="Challan")*('Q2 Data'!$H$4:$H$207&lt;&gt;""))+SUMPRODUCT(('Q3 Data'!$D$4:$D$207=D145)*('Q3 Data'!$B$4:$B$207="Challan")*('Q3 Data'!$H$4:$H$207&lt;&gt;""))+SUMPRODUCT(('Q4 Data'!$D$4:$D$207=D145)*('Q4 Data'!$B$4:$B$207="Challan")*('Q4 Data'!$H$4:$H$207&lt;&gt;"")))&gt;0,(SUMPRODUCT(('Q1 Data'!$D$4:$D$207=D145)*('Q1 Data'!$B$4:$B$207="Challan")*('Q1 Data'!$H$4:$H$207=Z145))+SUMPRODUCT(('Q2 Data'!$D$4:$D$207=D145)*('Q2 Data'!$B$4:$B$207="Challan")*('Q2 Data'!$H$4:$H$207=Z145))+SUMPRODUCT(('Q3 Data'!$D$4:$D$207=D145)*('Q3 Data'!$B$4:$B$207="Challan")*('Q3 Data'!$H$4:$H$207=Z145))+SUMPRODUCT(('Q4 Data'!$D$4:$D$207=D145)*('Q4 Data'!$B$4:$B$207="Challan")*('Q4 Data'!$H$4:$H$207=Z145)))=0))</f>
      </c>
    </row>
    <row r="146" spans="1:44" x14ac:dyDescent="0.25">
      <c r="A146" s="20">
        <f>IF($B146="Entry",COUNTIF($B$4:$B146,"Entry"),"")</f>
      </c>
      <c r="B146" s="21"/>
      <c r="C146" s="22"/>
      <c r="D146" s="22"/>
      <c r="E146" s="23">
        <f>IF($B146&lt;&gt;"Challan","",IF(ROUND(AN146-AO146,2)&gt;0,"Over-applied",IF(ROUND(AN146-AO146,2)=0,"Fully Utilised","Unconsumed")))</f>
      </c>
      <c r="F146" s="24"/>
      <c r="G146" s="25"/>
      <c r="H146" s="25"/>
      <c r="I146" s="26"/>
      <c r="J146" s="26"/>
      <c r="K146" s="26"/>
      <c r="L146" s="26"/>
      <c r="M146" s="26"/>
      <c r="N146" s="26"/>
      <c r="O146" s="26"/>
      <c r="P146" s="27">
        <f>IF($B146&lt;&gt;"Challan","",I146+J146+K146+L146+M146+N146)</f>
      </c>
      <c r="Q146" s="25"/>
      <c r="R146" s="25"/>
      <c r="S146" s="25"/>
      <c r="T146" s="25"/>
      <c r="U146" s="25"/>
      <c r="V146" s="28"/>
      <c r="W146" s="28"/>
      <c r="X146" s="23">
        <f>IF($B146="Entry",IF(AND(LEN(TRIM(UPPER(W146)))=10,CODE(MID(TRIM(UPPER(W146)),1,1))&gt;=65,CODE(MID(TRIM(UPPER(W146)),1,1))&lt;=90,CODE(MID(TRIM(UPPER(W146)),2,1))&gt;=65,CODE(MID(TRIM(UPPER(W146)),2,1))&lt;=90,CODE(MID(TRIM(UPPER(W146)),3,1))&gt;=65,CODE(MID(TRIM(UPPER(W146)),3,1))&lt;=90,CODE(MID(TRIM(UPPER(W146)),4,1))&gt;=65,CODE(MID(TRIM(UPPER(W146)),4,1))&lt;=90,CODE(MID(TRIM(UPPER(W146)),5,1))&gt;=65,CODE(MID(TRIM(UPPER(W146)),5,1))&lt;=90,CODE(MID(TRIM(UPPER(W146)),10,1))&gt;=65,CODE(MID(TRIM(UPPER(W146)),10,1))&lt;=90,CODE(MID(TRIM(UPPER(W146)),6,1))&gt;=48,CODE(MID(TRIM(UPPER(W146)),6,1))&lt;=57,CODE(MID(TRIM(UPPER(W146)),7,1))&gt;=48,CODE(MID(TRIM(UPPER(W146)),7,1))&lt;=57,CODE(MID(TRIM(UPPER(W146)),8,1))&gt;=48,CODE(MID(TRIM(UPPER(W146)),8,1))&lt;=57,CODE(MID(TRIM(UPPER(W146)),9,1))&gt;=48,CODE(MID(TRIM(UPPER(W146)),9,1))&lt;=57),"N","Y"),IF($B146="Challan","",IF(W146&lt;&gt;"","◄ Set Row Type","")))</f>
      </c>
      <c r="Y146" s="23">
        <f>IF($B146="Entry",IF(LEN(W146)&lt;4,"",IF(UPPER(MID(W146,4,1))="P","Individual",IF(UPPER(MID(W146,4,1))="H","HUF",IF(UPPER(MID(W146,4,1))="C","Company",IF(UPPER(MID(W146,4,1))="F","Firm",IF(UPPER(MID(W146,4,1))="L","LLP",IF(UPPER(MID(W146,4,1))="T","Trust",IF(UPPER(MID(W146,4,1))="A","AOP","")))))))),IF($B146="Challan","",IF(W146&lt;&gt;"","◄ Set Row Type","")))</f>
      </c>
      <c r="Z146" s="28"/>
      <c r="AA146" s="29">
        <f>IF($B146&lt;&gt;"Entry","",IF(Z146="","",IF(X146="Y",SUMPRODUCT(('Rate Lookup'!$A$1:$A$37=Z146)*'Rate Lookup'!$D$1:$D$37),IF(OR(Y146="Individual",Y146="HUF"),SUMPRODUCT(('Rate Lookup'!$A$1:$A$37=Z146)*'Rate Lookup'!$B$1:$B$37),SUMPRODUCT(('Rate Lookup'!$A$1:$A$37=Z146)*'Rate Lookup'!$C$1:$C$37)))))</f>
      </c>
      <c r="AB146" s="30"/>
      <c r="AC146" s="31"/>
      <c r="AD146" s="27">
        <f>IF($B146&lt;&gt;"Entry","",ROUND(AC146*AA146/100,0))</f>
      </c>
      <c r="AE146" s="27">
        <f>IF($B146&lt;&gt;"Entry","",0)</f>
      </c>
      <c r="AF146" s="27">
        <f>IF($B146&lt;&gt;"Entry","",0)</f>
      </c>
      <c r="AG146" s="27">
        <f>IF($B146&lt;&gt;"Entry","",IF(OR(AD146=0,AB146="",AQ146="",AQ146&lt;=0),0,IF(AQ146&lt;=DATE(YEAR(AB146),MONTH(AB146)+1,7),0,ROUND(AD146*0.015*((YEAR(AQ146)-YEAR(AB146))*12+(MONTH(AQ146)-MONTH(AB146))+1),0))))</f>
      </c>
      <c r="AH146" s="27">
        <f>IF($B146&lt;&gt;"Entry","",0)</f>
      </c>
      <c r="AI146" s="28"/>
      <c r="AJ146" s="28"/>
      <c r="AK146" s="32"/>
      <c r="AL146" s="28"/>
      <c r="AM146" s="28"/>
      <c r="AN146" s="27">
        <f>IF($B146&lt;&gt;"Challan","",SUMIF('Q1 Data'!$D$4:$D$207,D146,'Q1 Data'!$AD$4:$AD$207)+SUMIF('Q1 Data'!$D$4:$D$207,D146,'Q1 Data'!$AG$4:$AG$207)+SUMIF('Q1 Data'!$D$4:$D$207,D146,'Q1 Data'!$AE$4:$AE$207)+SUMIF('Q2 Data'!$D$4:$D$207,D146,'Q2 Data'!$AD$4:$AD$207)+SUMIF('Q2 Data'!$D$4:$D$207,D146,'Q2 Data'!$AG$4:$AG$207)+SUMIF('Q2 Data'!$D$4:$D$207,D146,'Q2 Data'!$AE$4:$AE$207)+SUMIF('Q3 Data'!$D$4:$D$207,D146,'Q3 Data'!$AD$4:$AD$207)+SUMIF('Q3 Data'!$D$4:$D$207,D146,'Q3 Data'!$AG$4:$AG$207)+SUMIF('Q3 Data'!$D$4:$D$207,D146,'Q3 Data'!$AE$4:$AE$207)+SUMIF('Q4 Data'!$D$4:$D$207,D146,'Q4 Data'!$AD$4:$AD$207)+SUMIF('Q4 Data'!$D$4:$D$207,D146,'Q4 Data'!$AG$4:$AG$207)+SUMIF('Q4 Data'!$D$4:$D$207,D146,'Q4 Data'!$AE$4:$AE$207))</f>
      </c>
      <c r="AO146" s="27">
        <f>IF($B146&lt;&gt;"Challan","",P146-N146)</f>
      </c>
      <c r="AP146" s="27">
        <f>IF($B146&lt;&gt;"Challan","",MAX(0,AO146-AN146))</f>
      </c>
      <c r="AQ146" s="33">
        <f>IF($B146&lt;&gt;"Entry","",SUMPRODUCT(('Q1 Data'!$D$4:$D$207=D146)*('Q1 Data'!$B$4:$B$207="Challan")*'Q1 Data'!$F$4:$F$207)+SUMPRODUCT(('Q2 Data'!$D$4:$D$207=D146)*('Q2 Data'!$B$4:$B$207="Challan")*'Q2 Data'!$F$4:$F$207)+SUMPRODUCT(('Q3 Data'!$D$4:$D$207=D146)*('Q3 Data'!$B$4:$B$207="Challan")*'Q3 Data'!$F$4:$F$207)+SUMPRODUCT(('Q4 Data'!$D$4:$D$207=D146)*('Q4 Data'!$B$4:$B$207="Challan")*'Q4 Data'!$F$4:$F$207))</f>
      </c>
      <c r="AR146" s="34">
        <f>IF(OR($B146&lt;&gt;"Entry",Z146=""),FALSE,AND((SUMPRODUCT(('Q1 Data'!$D$4:$D$207=D146)*('Q1 Data'!$B$4:$B$207="Challan")*('Q1 Data'!$H$4:$H$207&lt;&gt;""))+SUMPRODUCT(('Q2 Data'!$D$4:$D$207=D146)*('Q2 Data'!$B$4:$B$207="Challan")*('Q2 Data'!$H$4:$H$207&lt;&gt;""))+SUMPRODUCT(('Q3 Data'!$D$4:$D$207=D146)*('Q3 Data'!$B$4:$B$207="Challan")*('Q3 Data'!$H$4:$H$207&lt;&gt;""))+SUMPRODUCT(('Q4 Data'!$D$4:$D$207=D146)*('Q4 Data'!$B$4:$B$207="Challan")*('Q4 Data'!$H$4:$H$207&lt;&gt;"")))&gt;0,(SUMPRODUCT(('Q1 Data'!$D$4:$D$207=D146)*('Q1 Data'!$B$4:$B$207="Challan")*('Q1 Data'!$H$4:$H$207=Z146))+SUMPRODUCT(('Q2 Data'!$D$4:$D$207=D146)*('Q2 Data'!$B$4:$B$207="Challan")*('Q2 Data'!$H$4:$H$207=Z146))+SUMPRODUCT(('Q3 Data'!$D$4:$D$207=D146)*('Q3 Data'!$B$4:$B$207="Challan")*('Q3 Data'!$H$4:$H$207=Z146))+SUMPRODUCT(('Q4 Data'!$D$4:$D$207=D146)*('Q4 Data'!$B$4:$B$207="Challan")*('Q4 Data'!$H$4:$H$207=Z146)))=0))</f>
      </c>
    </row>
    <row r="147" spans="1:44" x14ac:dyDescent="0.25">
      <c r="A147" s="20">
        <f>IF($B147="Entry",COUNTIF($B$4:$B147,"Entry"),"")</f>
      </c>
      <c r="B147" s="21"/>
      <c r="C147" s="22"/>
      <c r="D147" s="22"/>
      <c r="E147" s="23">
        <f>IF($B147&lt;&gt;"Challan","",IF(ROUND(AN147-AO147,2)&gt;0,"Over-applied",IF(ROUND(AN147-AO147,2)=0,"Fully Utilised","Unconsumed")))</f>
      </c>
      <c r="F147" s="24"/>
      <c r="G147" s="25"/>
      <c r="H147" s="25"/>
      <c r="I147" s="26"/>
      <c r="J147" s="26"/>
      <c r="K147" s="26"/>
      <c r="L147" s="26"/>
      <c r="M147" s="26"/>
      <c r="N147" s="26"/>
      <c r="O147" s="26"/>
      <c r="P147" s="27">
        <f>IF($B147&lt;&gt;"Challan","",I147+J147+K147+L147+M147+N147)</f>
      </c>
      <c r="Q147" s="25"/>
      <c r="R147" s="25"/>
      <c r="S147" s="25"/>
      <c r="T147" s="25"/>
      <c r="U147" s="25"/>
      <c r="V147" s="28"/>
      <c r="W147" s="28"/>
      <c r="X147" s="23">
        <f>IF($B147="Entry",IF(AND(LEN(TRIM(UPPER(W147)))=10,CODE(MID(TRIM(UPPER(W147)),1,1))&gt;=65,CODE(MID(TRIM(UPPER(W147)),1,1))&lt;=90,CODE(MID(TRIM(UPPER(W147)),2,1))&gt;=65,CODE(MID(TRIM(UPPER(W147)),2,1))&lt;=90,CODE(MID(TRIM(UPPER(W147)),3,1))&gt;=65,CODE(MID(TRIM(UPPER(W147)),3,1))&lt;=90,CODE(MID(TRIM(UPPER(W147)),4,1))&gt;=65,CODE(MID(TRIM(UPPER(W147)),4,1))&lt;=90,CODE(MID(TRIM(UPPER(W147)),5,1))&gt;=65,CODE(MID(TRIM(UPPER(W147)),5,1))&lt;=90,CODE(MID(TRIM(UPPER(W147)),10,1))&gt;=65,CODE(MID(TRIM(UPPER(W147)),10,1))&lt;=90,CODE(MID(TRIM(UPPER(W147)),6,1))&gt;=48,CODE(MID(TRIM(UPPER(W147)),6,1))&lt;=57,CODE(MID(TRIM(UPPER(W147)),7,1))&gt;=48,CODE(MID(TRIM(UPPER(W147)),7,1))&lt;=57,CODE(MID(TRIM(UPPER(W147)),8,1))&gt;=48,CODE(MID(TRIM(UPPER(W147)),8,1))&lt;=57,CODE(MID(TRIM(UPPER(W147)),9,1))&gt;=48,CODE(MID(TRIM(UPPER(W147)),9,1))&lt;=57),"N","Y"),IF($B147="Challan","",IF(W147&lt;&gt;"","◄ Set Row Type","")))</f>
      </c>
      <c r="Y147" s="23">
        <f>IF($B147="Entry",IF(LEN(W147)&lt;4,"",IF(UPPER(MID(W147,4,1))="P","Individual",IF(UPPER(MID(W147,4,1))="H","HUF",IF(UPPER(MID(W147,4,1))="C","Company",IF(UPPER(MID(W147,4,1))="F","Firm",IF(UPPER(MID(W147,4,1))="L","LLP",IF(UPPER(MID(W147,4,1))="T","Trust",IF(UPPER(MID(W147,4,1))="A","AOP","")))))))),IF($B147="Challan","",IF(W147&lt;&gt;"","◄ Set Row Type","")))</f>
      </c>
      <c r="Z147" s="28"/>
      <c r="AA147" s="29">
        <f>IF($B147&lt;&gt;"Entry","",IF(Z147="","",IF(X147="Y",SUMPRODUCT(('Rate Lookup'!$A$1:$A$37=Z147)*'Rate Lookup'!$D$1:$D$37),IF(OR(Y147="Individual",Y147="HUF"),SUMPRODUCT(('Rate Lookup'!$A$1:$A$37=Z147)*'Rate Lookup'!$B$1:$B$37),SUMPRODUCT(('Rate Lookup'!$A$1:$A$37=Z147)*'Rate Lookup'!$C$1:$C$37)))))</f>
      </c>
      <c r="AB147" s="30"/>
      <c r="AC147" s="31"/>
      <c r="AD147" s="27">
        <f>IF($B147&lt;&gt;"Entry","",ROUND(AC147*AA147/100,0))</f>
      </c>
      <c r="AE147" s="27">
        <f>IF($B147&lt;&gt;"Entry","",0)</f>
      </c>
      <c r="AF147" s="27">
        <f>IF($B147&lt;&gt;"Entry","",0)</f>
      </c>
      <c r="AG147" s="27">
        <f>IF($B147&lt;&gt;"Entry","",IF(OR(AD147=0,AB147="",AQ147="",AQ147&lt;=0),0,IF(AQ147&lt;=DATE(YEAR(AB147),MONTH(AB147)+1,7),0,ROUND(AD147*0.015*((YEAR(AQ147)-YEAR(AB147))*12+(MONTH(AQ147)-MONTH(AB147))+1),0))))</f>
      </c>
      <c r="AH147" s="27">
        <f>IF($B147&lt;&gt;"Entry","",0)</f>
      </c>
      <c r="AI147" s="28"/>
      <c r="AJ147" s="28"/>
      <c r="AK147" s="32"/>
      <c r="AL147" s="28"/>
      <c r="AM147" s="28"/>
      <c r="AN147" s="27">
        <f>IF($B147&lt;&gt;"Challan","",SUMIF('Q1 Data'!$D$4:$D$207,D147,'Q1 Data'!$AD$4:$AD$207)+SUMIF('Q1 Data'!$D$4:$D$207,D147,'Q1 Data'!$AG$4:$AG$207)+SUMIF('Q1 Data'!$D$4:$D$207,D147,'Q1 Data'!$AE$4:$AE$207)+SUMIF('Q2 Data'!$D$4:$D$207,D147,'Q2 Data'!$AD$4:$AD$207)+SUMIF('Q2 Data'!$D$4:$D$207,D147,'Q2 Data'!$AG$4:$AG$207)+SUMIF('Q2 Data'!$D$4:$D$207,D147,'Q2 Data'!$AE$4:$AE$207)+SUMIF('Q3 Data'!$D$4:$D$207,D147,'Q3 Data'!$AD$4:$AD$207)+SUMIF('Q3 Data'!$D$4:$D$207,D147,'Q3 Data'!$AG$4:$AG$207)+SUMIF('Q3 Data'!$D$4:$D$207,D147,'Q3 Data'!$AE$4:$AE$207)+SUMIF('Q4 Data'!$D$4:$D$207,D147,'Q4 Data'!$AD$4:$AD$207)+SUMIF('Q4 Data'!$D$4:$D$207,D147,'Q4 Data'!$AG$4:$AG$207)+SUMIF('Q4 Data'!$D$4:$D$207,D147,'Q4 Data'!$AE$4:$AE$207))</f>
      </c>
      <c r="AO147" s="27">
        <f>IF($B147&lt;&gt;"Challan","",P147-N147)</f>
      </c>
      <c r="AP147" s="27">
        <f>IF($B147&lt;&gt;"Challan","",MAX(0,AO147-AN147))</f>
      </c>
      <c r="AQ147" s="33">
        <f>IF($B147&lt;&gt;"Entry","",SUMPRODUCT(('Q1 Data'!$D$4:$D$207=D147)*('Q1 Data'!$B$4:$B$207="Challan")*'Q1 Data'!$F$4:$F$207)+SUMPRODUCT(('Q2 Data'!$D$4:$D$207=D147)*('Q2 Data'!$B$4:$B$207="Challan")*'Q2 Data'!$F$4:$F$207)+SUMPRODUCT(('Q3 Data'!$D$4:$D$207=D147)*('Q3 Data'!$B$4:$B$207="Challan")*'Q3 Data'!$F$4:$F$207)+SUMPRODUCT(('Q4 Data'!$D$4:$D$207=D147)*('Q4 Data'!$B$4:$B$207="Challan")*'Q4 Data'!$F$4:$F$207))</f>
      </c>
      <c r="AR147" s="34">
        <f>IF(OR($B147&lt;&gt;"Entry",Z147=""),FALSE,AND((SUMPRODUCT(('Q1 Data'!$D$4:$D$207=D147)*('Q1 Data'!$B$4:$B$207="Challan")*('Q1 Data'!$H$4:$H$207&lt;&gt;""))+SUMPRODUCT(('Q2 Data'!$D$4:$D$207=D147)*('Q2 Data'!$B$4:$B$207="Challan")*('Q2 Data'!$H$4:$H$207&lt;&gt;""))+SUMPRODUCT(('Q3 Data'!$D$4:$D$207=D147)*('Q3 Data'!$B$4:$B$207="Challan")*('Q3 Data'!$H$4:$H$207&lt;&gt;""))+SUMPRODUCT(('Q4 Data'!$D$4:$D$207=D147)*('Q4 Data'!$B$4:$B$207="Challan")*('Q4 Data'!$H$4:$H$207&lt;&gt;"")))&gt;0,(SUMPRODUCT(('Q1 Data'!$D$4:$D$207=D147)*('Q1 Data'!$B$4:$B$207="Challan")*('Q1 Data'!$H$4:$H$207=Z147))+SUMPRODUCT(('Q2 Data'!$D$4:$D$207=D147)*('Q2 Data'!$B$4:$B$207="Challan")*('Q2 Data'!$H$4:$H$207=Z147))+SUMPRODUCT(('Q3 Data'!$D$4:$D$207=D147)*('Q3 Data'!$B$4:$B$207="Challan")*('Q3 Data'!$H$4:$H$207=Z147))+SUMPRODUCT(('Q4 Data'!$D$4:$D$207=D147)*('Q4 Data'!$B$4:$B$207="Challan")*('Q4 Data'!$H$4:$H$207=Z147)))=0))</f>
      </c>
    </row>
    <row r="148" spans="1:44" x14ac:dyDescent="0.25">
      <c r="A148" s="20">
        <f>IF($B148="Entry",COUNTIF($B$4:$B148,"Entry"),"")</f>
      </c>
      <c r="B148" s="21"/>
      <c r="C148" s="22"/>
      <c r="D148" s="22"/>
      <c r="E148" s="23">
        <f>IF($B148&lt;&gt;"Challan","",IF(ROUND(AN148-AO148,2)&gt;0,"Over-applied",IF(ROUND(AN148-AO148,2)=0,"Fully Utilised","Unconsumed")))</f>
      </c>
      <c r="F148" s="24"/>
      <c r="G148" s="25"/>
      <c r="H148" s="25"/>
      <c r="I148" s="26"/>
      <c r="J148" s="26"/>
      <c r="K148" s="26"/>
      <c r="L148" s="26"/>
      <c r="M148" s="26"/>
      <c r="N148" s="26"/>
      <c r="O148" s="26"/>
      <c r="P148" s="27">
        <f>IF($B148&lt;&gt;"Challan","",I148+J148+K148+L148+M148+N148)</f>
      </c>
      <c r="Q148" s="25"/>
      <c r="R148" s="25"/>
      <c r="S148" s="25"/>
      <c r="T148" s="25"/>
      <c r="U148" s="25"/>
      <c r="V148" s="28"/>
      <c r="W148" s="28"/>
      <c r="X148" s="23">
        <f>IF($B148="Entry",IF(AND(LEN(TRIM(UPPER(W148)))=10,CODE(MID(TRIM(UPPER(W148)),1,1))&gt;=65,CODE(MID(TRIM(UPPER(W148)),1,1))&lt;=90,CODE(MID(TRIM(UPPER(W148)),2,1))&gt;=65,CODE(MID(TRIM(UPPER(W148)),2,1))&lt;=90,CODE(MID(TRIM(UPPER(W148)),3,1))&gt;=65,CODE(MID(TRIM(UPPER(W148)),3,1))&lt;=90,CODE(MID(TRIM(UPPER(W148)),4,1))&gt;=65,CODE(MID(TRIM(UPPER(W148)),4,1))&lt;=90,CODE(MID(TRIM(UPPER(W148)),5,1))&gt;=65,CODE(MID(TRIM(UPPER(W148)),5,1))&lt;=90,CODE(MID(TRIM(UPPER(W148)),10,1))&gt;=65,CODE(MID(TRIM(UPPER(W148)),10,1))&lt;=90,CODE(MID(TRIM(UPPER(W148)),6,1))&gt;=48,CODE(MID(TRIM(UPPER(W148)),6,1))&lt;=57,CODE(MID(TRIM(UPPER(W148)),7,1))&gt;=48,CODE(MID(TRIM(UPPER(W148)),7,1))&lt;=57,CODE(MID(TRIM(UPPER(W148)),8,1))&gt;=48,CODE(MID(TRIM(UPPER(W148)),8,1))&lt;=57,CODE(MID(TRIM(UPPER(W148)),9,1))&gt;=48,CODE(MID(TRIM(UPPER(W148)),9,1))&lt;=57),"N","Y"),IF($B148="Challan","",IF(W148&lt;&gt;"","◄ Set Row Type","")))</f>
      </c>
      <c r="Y148" s="23">
        <f>IF($B148="Entry",IF(LEN(W148)&lt;4,"",IF(UPPER(MID(W148,4,1))="P","Individual",IF(UPPER(MID(W148,4,1))="H","HUF",IF(UPPER(MID(W148,4,1))="C","Company",IF(UPPER(MID(W148,4,1))="F","Firm",IF(UPPER(MID(W148,4,1))="L","LLP",IF(UPPER(MID(W148,4,1))="T","Trust",IF(UPPER(MID(W148,4,1))="A","AOP","")))))))),IF($B148="Challan","",IF(W148&lt;&gt;"","◄ Set Row Type","")))</f>
      </c>
      <c r="Z148" s="28"/>
      <c r="AA148" s="29">
        <f>IF($B148&lt;&gt;"Entry","",IF(Z148="","",IF(X148="Y",SUMPRODUCT(('Rate Lookup'!$A$1:$A$37=Z148)*'Rate Lookup'!$D$1:$D$37),IF(OR(Y148="Individual",Y148="HUF"),SUMPRODUCT(('Rate Lookup'!$A$1:$A$37=Z148)*'Rate Lookup'!$B$1:$B$37),SUMPRODUCT(('Rate Lookup'!$A$1:$A$37=Z148)*'Rate Lookup'!$C$1:$C$37)))))</f>
      </c>
      <c r="AB148" s="30"/>
      <c r="AC148" s="31"/>
      <c r="AD148" s="27">
        <f>IF($B148&lt;&gt;"Entry","",ROUND(AC148*AA148/100,0))</f>
      </c>
      <c r="AE148" s="27">
        <f>IF($B148&lt;&gt;"Entry","",0)</f>
      </c>
      <c r="AF148" s="27">
        <f>IF($B148&lt;&gt;"Entry","",0)</f>
      </c>
      <c r="AG148" s="27">
        <f>IF($B148&lt;&gt;"Entry","",IF(OR(AD148=0,AB148="",AQ148="",AQ148&lt;=0),0,IF(AQ148&lt;=DATE(YEAR(AB148),MONTH(AB148)+1,7),0,ROUND(AD148*0.015*((YEAR(AQ148)-YEAR(AB148))*12+(MONTH(AQ148)-MONTH(AB148))+1),0))))</f>
      </c>
      <c r="AH148" s="27">
        <f>IF($B148&lt;&gt;"Entry","",0)</f>
      </c>
      <c r="AI148" s="28"/>
      <c r="AJ148" s="28"/>
      <c r="AK148" s="32"/>
      <c r="AL148" s="28"/>
      <c r="AM148" s="28"/>
      <c r="AN148" s="27">
        <f>IF($B148&lt;&gt;"Challan","",SUMIF('Q1 Data'!$D$4:$D$207,D148,'Q1 Data'!$AD$4:$AD$207)+SUMIF('Q1 Data'!$D$4:$D$207,D148,'Q1 Data'!$AG$4:$AG$207)+SUMIF('Q1 Data'!$D$4:$D$207,D148,'Q1 Data'!$AE$4:$AE$207)+SUMIF('Q2 Data'!$D$4:$D$207,D148,'Q2 Data'!$AD$4:$AD$207)+SUMIF('Q2 Data'!$D$4:$D$207,D148,'Q2 Data'!$AG$4:$AG$207)+SUMIF('Q2 Data'!$D$4:$D$207,D148,'Q2 Data'!$AE$4:$AE$207)+SUMIF('Q3 Data'!$D$4:$D$207,D148,'Q3 Data'!$AD$4:$AD$207)+SUMIF('Q3 Data'!$D$4:$D$207,D148,'Q3 Data'!$AG$4:$AG$207)+SUMIF('Q3 Data'!$D$4:$D$207,D148,'Q3 Data'!$AE$4:$AE$207)+SUMIF('Q4 Data'!$D$4:$D$207,D148,'Q4 Data'!$AD$4:$AD$207)+SUMIF('Q4 Data'!$D$4:$D$207,D148,'Q4 Data'!$AG$4:$AG$207)+SUMIF('Q4 Data'!$D$4:$D$207,D148,'Q4 Data'!$AE$4:$AE$207))</f>
      </c>
      <c r="AO148" s="27">
        <f>IF($B148&lt;&gt;"Challan","",P148-N148)</f>
      </c>
      <c r="AP148" s="27">
        <f>IF($B148&lt;&gt;"Challan","",MAX(0,AO148-AN148))</f>
      </c>
      <c r="AQ148" s="33">
        <f>IF($B148&lt;&gt;"Entry","",SUMPRODUCT(('Q1 Data'!$D$4:$D$207=D148)*('Q1 Data'!$B$4:$B$207="Challan")*'Q1 Data'!$F$4:$F$207)+SUMPRODUCT(('Q2 Data'!$D$4:$D$207=D148)*('Q2 Data'!$B$4:$B$207="Challan")*'Q2 Data'!$F$4:$F$207)+SUMPRODUCT(('Q3 Data'!$D$4:$D$207=D148)*('Q3 Data'!$B$4:$B$207="Challan")*'Q3 Data'!$F$4:$F$207)+SUMPRODUCT(('Q4 Data'!$D$4:$D$207=D148)*('Q4 Data'!$B$4:$B$207="Challan")*'Q4 Data'!$F$4:$F$207))</f>
      </c>
      <c r="AR148" s="34">
        <f>IF(OR($B148&lt;&gt;"Entry",Z148=""),FALSE,AND((SUMPRODUCT(('Q1 Data'!$D$4:$D$207=D148)*('Q1 Data'!$B$4:$B$207="Challan")*('Q1 Data'!$H$4:$H$207&lt;&gt;""))+SUMPRODUCT(('Q2 Data'!$D$4:$D$207=D148)*('Q2 Data'!$B$4:$B$207="Challan")*('Q2 Data'!$H$4:$H$207&lt;&gt;""))+SUMPRODUCT(('Q3 Data'!$D$4:$D$207=D148)*('Q3 Data'!$B$4:$B$207="Challan")*('Q3 Data'!$H$4:$H$207&lt;&gt;""))+SUMPRODUCT(('Q4 Data'!$D$4:$D$207=D148)*('Q4 Data'!$B$4:$B$207="Challan")*('Q4 Data'!$H$4:$H$207&lt;&gt;"")))&gt;0,(SUMPRODUCT(('Q1 Data'!$D$4:$D$207=D148)*('Q1 Data'!$B$4:$B$207="Challan")*('Q1 Data'!$H$4:$H$207=Z148))+SUMPRODUCT(('Q2 Data'!$D$4:$D$207=D148)*('Q2 Data'!$B$4:$B$207="Challan")*('Q2 Data'!$H$4:$H$207=Z148))+SUMPRODUCT(('Q3 Data'!$D$4:$D$207=D148)*('Q3 Data'!$B$4:$B$207="Challan")*('Q3 Data'!$H$4:$H$207=Z148))+SUMPRODUCT(('Q4 Data'!$D$4:$D$207=D148)*('Q4 Data'!$B$4:$B$207="Challan")*('Q4 Data'!$H$4:$H$207=Z148)))=0))</f>
      </c>
    </row>
    <row r="149" spans="1:44" x14ac:dyDescent="0.25">
      <c r="A149" s="20">
        <f>IF($B149="Entry",COUNTIF($B$4:$B149,"Entry"),"")</f>
      </c>
      <c r="B149" s="21"/>
      <c r="C149" s="22"/>
      <c r="D149" s="22"/>
      <c r="E149" s="23">
        <f>IF($B149&lt;&gt;"Challan","",IF(ROUND(AN149-AO149,2)&gt;0,"Over-applied",IF(ROUND(AN149-AO149,2)=0,"Fully Utilised","Unconsumed")))</f>
      </c>
      <c r="F149" s="24"/>
      <c r="G149" s="25"/>
      <c r="H149" s="25"/>
      <c r="I149" s="26"/>
      <c r="J149" s="26"/>
      <c r="K149" s="26"/>
      <c r="L149" s="26"/>
      <c r="M149" s="26"/>
      <c r="N149" s="26"/>
      <c r="O149" s="26"/>
      <c r="P149" s="27">
        <f>IF($B149&lt;&gt;"Challan","",I149+J149+K149+L149+M149+N149)</f>
      </c>
      <c r="Q149" s="25"/>
      <c r="R149" s="25"/>
      <c r="S149" s="25"/>
      <c r="T149" s="25"/>
      <c r="U149" s="25"/>
      <c r="V149" s="28"/>
      <c r="W149" s="28"/>
      <c r="X149" s="23">
        <f>IF($B149="Entry",IF(AND(LEN(TRIM(UPPER(W149)))=10,CODE(MID(TRIM(UPPER(W149)),1,1))&gt;=65,CODE(MID(TRIM(UPPER(W149)),1,1))&lt;=90,CODE(MID(TRIM(UPPER(W149)),2,1))&gt;=65,CODE(MID(TRIM(UPPER(W149)),2,1))&lt;=90,CODE(MID(TRIM(UPPER(W149)),3,1))&gt;=65,CODE(MID(TRIM(UPPER(W149)),3,1))&lt;=90,CODE(MID(TRIM(UPPER(W149)),4,1))&gt;=65,CODE(MID(TRIM(UPPER(W149)),4,1))&lt;=90,CODE(MID(TRIM(UPPER(W149)),5,1))&gt;=65,CODE(MID(TRIM(UPPER(W149)),5,1))&lt;=90,CODE(MID(TRIM(UPPER(W149)),10,1))&gt;=65,CODE(MID(TRIM(UPPER(W149)),10,1))&lt;=90,CODE(MID(TRIM(UPPER(W149)),6,1))&gt;=48,CODE(MID(TRIM(UPPER(W149)),6,1))&lt;=57,CODE(MID(TRIM(UPPER(W149)),7,1))&gt;=48,CODE(MID(TRIM(UPPER(W149)),7,1))&lt;=57,CODE(MID(TRIM(UPPER(W149)),8,1))&gt;=48,CODE(MID(TRIM(UPPER(W149)),8,1))&lt;=57,CODE(MID(TRIM(UPPER(W149)),9,1))&gt;=48,CODE(MID(TRIM(UPPER(W149)),9,1))&lt;=57),"N","Y"),IF($B149="Challan","",IF(W149&lt;&gt;"","◄ Set Row Type","")))</f>
      </c>
      <c r="Y149" s="23">
        <f>IF($B149="Entry",IF(LEN(W149)&lt;4,"",IF(UPPER(MID(W149,4,1))="P","Individual",IF(UPPER(MID(W149,4,1))="H","HUF",IF(UPPER(MID(W149,4,1))="C","Company",IF(UPPER(MID(W149,4,1))="F","Firm",IF(UPPER(MID(W149,4,1))="L","LLP",IF(UPPER(MID(W149,4,1))="T","Trust",IF(UPPER(MID(W149,4,1))="A","AOP","")))))))),IF($B149="Challan","",IF(W149&lt;&gt;"","◄ Set Row Type","")))</f>
      </c>
      <c r="Z149" s="28"/>
      <c r="AA149" s="29">
        <f>IF($B149&lt;&gt;"Entry","",IF(Z149="","",IF(X149="Y",SUMPRODUCT(('Rate Lookup'!$A$1:$A$37=Z149)*'Rate Lookup'!$D$1:$D$37),IF(OR(Y149="Individual",Y149="HUF"),SUMPRODUCT(('Rate Lookup'!$A$1:$A$37=Z149)*'Rate Lookup'!$B$1:$B$37),SUMPRODUCT(('Rate Lookup'!$A$1:$A$37=Z149)*'Rate Lookup'!$C$1:$C$37)))))</f>
      </c>
      <c r="AB149" s="30"/>
      <c r="AC149" s="31"/>
      <c r="AD149" s="27">
        <f>IF($B149&lt;&gt;"Entry","",ROUND(AC149*AA149/100,0))</f>
      </c>
      <c r="AE149" s="27">
        <f>IF($B149&lt;&gt;"Entry","",0)</f>
      </c>
      <c r="AF149" s="27">
        <f>IF($B149&lt;&gt;"Entry","",0)</f>
      </c>
      <c r="AG149" s="27">
        <f>IF($B149&lt;&gt;"Entry","",IF(OR(AD149=0,AB149="",AQ149="",AQ149&lt;=0),0,IF(AQ149&lt;=DATE(YEAR(AB149),MONTH(AB149)+1,7),0,ROUND(AD149*0.015*((YEAR(AQ149)-YEAR(AB149))*12+(MONTH(AQ149)-MONTH(AB149))+1),0))))</f>
      </c>
      <c r="AH149" s="27">
        <f>IF($B149&lt;&gt;"Entry","",0)</f>
      </c>
      <c r="AI149" s="28"/>
      <c r="AJ149" s="28"/>
      <c r="AK149" s="32"/>
      <c r="AL149" s="28"/>
      <c r="AM149" s="28"/>
      <c r="AN149" s="27">
        <f>IF($B149&lt;&gt;"Challan","",SUMIF('Q1 Data'!$D$4:$D$207,D149,'Q1 Data'!$AD$4:$AD$207)+SUMIF('Q1 Data'!$D$4:$D$207,D149,'Q1 Data'!$AG$4:$AG$207)+SUMIF('Q1 Data'!$D$4:$D$207,D149,'Q1 Data'!$AE$4:$AE$207)+SUMIF('Q2 Data'!$D$4:$D$207,D149,'Q2 Data'!$AD$4:$AD$207)+SUMIF('Q2 Data'!$D$4:$D$207,D149,'Q2 Data'!$AG$4:$AG$207)+SUMIF('Q2 Data'!$D$4:$D$207,D149,'Q2 Data'!$AE$4:$AE$207)+SUMIF('Q3 Data'!$D$4:$D$207,D149,'Q3 Data'!$AD$4:$AD$207)+SUMIF('Q3 Data'!$D$4:$D$207,D149,'Q3 Data'!$AG$4:$AG$207)+SUMIF('Q3 Data'!$D$4:$D$207,D149,'Q3 Data'!$AE$4:$AE$207)+SUMIF('Q4 Data'!$D$4:$D$207,D149,'Q4 Data'!$AD$4:$AD$207)+SUMIF('Q4 Data'!$D$4:$D$207,D149,'Q4 Data'!$AG$4:$AG$207)+SUMIF('Q4 Data'!$D$4:$D$207,D149,'Q4 Data'!$AE$4:$AE$207))</f>
      </c>
      <c r="AO149" s="27">
        <f>IF($B149&lt;&gt;"Challan","",P149-N149)</f>
      </c>
      <c r="AP149" s="27">
        <f>IF($B149&lt;&gt;"Challan","",MAX(0,AO149-AN149))</f>
      </c>
      <c r="AQ149" s="33">
        <f>IF($B149&lt;&gt;"Entry","",SUMPRODUCT(('Q1 Data'!$D$4:$D$207=D149)*('Q1 Data'!$B$4:$B$207="Challan")*'Q1 Data'!$F$4:$F$207)+SUMPRODUCT(('Q2 Data'!$D$4:$D$207=D149)*('Q2 Data'!$B$4:$B$207="Challan")*'Q2 Data'!$F$4:$F$207)+SUMPRODUCT(('Q3 Data'!$D$4:$D$207=D149)*('Q3 Data'!$B$4:$B$207="Challan")*'Q3 Data'!$F$4:$F$207)+SUMPRODUCT(('Q4 Data'!$D$4:$D$207=D149)*('Q4 Data'!$B$4:$B$207="Challan")*'Q4 Data'!$F$4:$F$207))</f>
      </c>
      <c r="AR149" s="34">
        <f>IF(OR($B149&lt;&gt;"Entry",Z149=""),FALSE,AND((SUMPRODUCT(('Q1 Data'!$D$4:$D$207=D149)*('Q1 Data'!$B$4:$B$207="Challan")*('Q1 Data'!$H$4:$H$207&lt;&gt;""))+SUMPRODUCT(('Q2 Data'!$D$4:$D$207=D149)*('Q2 Data'!$B$4:$B$207="Challan")*('Q2 Data'!$H$4:$H$207&lt;&gt;""))+SUMPRODUCT(('Q3 Data'!$D$4:$D$207=D149)*('Q3 Data'!$B$4:$B$207="Challan")*('Q3 Data'!$H$4:$H$207&lt;&gt;""))+SUMPRODUCT(('Q4 Data'!$D$4:$D$207=D149)*('Q4 Data'!$B$4:$B$207="Challan")*('Q4 Data'!$H$4:$H$207&lt;&gt;"")))&gt;0,(SUMPRODUCT(('Q1 Data'!$D$4:$D$207=D149)*('Q1 Data'!$B$4:$B$207="Challan")*('Q1 Data'!$H$4:$H$207=Z149))+SUMPRODUCT(('Q2 Data'!$D$4:$D$207=D149)*('Q2 Data'!$B$4:$B$207="Challan")*('Q2 Data'!$H$4:$H$207=Z149))+SUMPRODUCT(('Q3 Data'!$D$4:$D$207=D149)*('Q3 Data'!$B$4:$B$207="Challan")*('Q3 Data'!$H$4:$H$207=Z149))+SUMPRODUCT(('Q4 Data'!$D$4:$D$207=D149)*('Q4 Data'!$B$4:$B$207="Challan")*('Q4 Data'!$H$4:$H$207=Z149)))=0))</f>
      </c>
    </row>
    <row r="150" spans="1:44" x14ac:dyDescent="0.25">
      <c r="A150" s="20">
        <f>IF($B150="Entry",COUNTIF($B$4:$B150,"Entry"),"")</f>
      </c>
      <c r="B150" s="21"/>
      <c r="C150" s="22"/>
      <c r="D150" s="22"/>
      <c r="E150" s="23">
        <f>IF($B150&lt;&gt;"Challan","",IF(ROUND(AN150-AO150,2)&gt;0,"Over-applied",IF(ROUND(AN150-AO150,2)=0,"Fully Utilised","Unconsumed")))</f>
      </c>
      <c r="F150" s="24"/>
      <c r="G150" s="25"/>
      <c r="H150" s="25"/>
      <c r="I150" s="26"/>
      <c r="J150" s="26"/>
      <c r="K150" s="26"/>
      <c r="L150" s="26"/>
      <c r="M150" s="26"/>
      <c r="N150" s="26"/>
      <c r="O150" s="26"/>
      <c r="P150" s="27">
        <f>IF($B150&lt;&gt;"Challan","",I150+J150+K150+L150+M150+N150)</f>
      </c>
      <c r="Q150" s="25"/>
      <c r="R150" s="25"/>
      <c r="S150" s="25"/>
      <c r="T150" s="25"/>
      <c r="U150" s="25"/>
      <c r="V150" s="28"/>
      <c r="W150" s="28"/>
      <c r="X150" s="23">
        <f>IF($B150="Entry",IF(AND(LEN(TRIM(UPPER(W150)))=10,CODE(MID(TRIM(UPPER(W150)),1,1))&gt;=65,CODE(MID(TRIM(UPPER(W150)),1,1))&lt;=90,CODE(MID(TRIM(UPPER(W150)),2,1))&gt;=65,CODE(MID(TRIM(UPPER(W150)),2,1))&lt;=90,CODE(MID(TRIM(UPPER(W150)),3,1))&gt;=65,CODE(MID(TRIM(UPPER(W150)),3,1))&lt;=90,CODE(MID(TRIM(UPPER(W150)),4,1))&gt;=65,CODE(MID(TRIM(UPPER(W150)),4,1))&lt;=90,CODE(MID(TRIM(UPPER(W150)),5,1))&gt;=65,CODE(MID(TRIM(UPPER(W150)),5,1))&lt;=90,CODE(MID(TRIM(UPPER(W150)),10,1))&gt;=65,CODE(MID(TRIM(UPPER(W150)),10,1))&lt;=90,CODE(MID(TRIM(UPPER(W150)),6,1))&gt;=48,CODE(MID(TRIM(UPPER(W150)),6,1))&lt;=57,CODE(MID(TRIM(UPPER(W150)),7,1))&gt;=48,CODE(MID(TRIM(UPPER(W150)),7,1))&lt;=57,CODE(MID(TRIM(UPPER(W150)),8,1))&gt;=48,CODE(MID(TRIM(UPPER(W150)),8,1))&lt;=57,CODE(MID(TRIM(UPPER(W150)),9,1))&gt;=48,CODE(MID(TRIM(UPPER(W150)),9,1))&lt;=57),"N","Y"),IF($B150="Challan","",IF(W150&lt;&gt;"","◄ Set Row Type","")))</f>
      </c>
      <c r="Y150" s="23">
        <f>IF($B150="Entry",IF(LEN(W150)&lt;4,"",IF(UPPER(MID(W150,4,1))="P","Individual",IF(UPPER(MID(W150,4,1))="H","HUF",IF(UPPER(MID(W150,4,1))="C","Company",IF(UPPER(MID(W150,4,1))="F","Firm",IF(UPPER(MID(W150,4,1))="L","LLP",IF(UPPER(MID(W150,4,1))="T","Trust",IF(UPPER(MID(W150,4,1))="A","AOP","")))))))),IF($B150="Challan","",IF(W150&lt;&gt;"","◄ Set Row Type","")))</f>
      </c>
      <c r="Z150" s="28"/>
      <c r="AA150" s="29">
        <f>IF($B150&lt;&gt;"Entry","",IF(Z150="","",IF(X150="Y",SUMPRODUCT(('Rate Lookup'!$A$1:$A$37=Z150)*'Rate Lookup'!$D$1:$D$37),IF(OR(Y150="Individual",Y150="HUF"),SUMPRODUCT(('Rate Lookup'!$A$1:$A$37=Z150)*'Rate Lookup'!$B$1:$B$37),SUMPRODUCT(('Rate Lookup'!$A$1:$A$37=Z150)*'Rate Lookup'!$C$1:$C$37)))))</f>
      </c>
      <c r="AB150" s="30"/>
      <c r="AC150" s="31"/>
      <c r="AD150" s="27">
        <f>IF($B150&lt;&gt;"Entry","",ROUND(AC150*AA150/100,0))</f>
      </c>
      <c r="AE150" s="27">
        <f>IF($B150&lt;&gt;"Entry","",0)</f>
      </c>
      <c r="AF150" s="27">
        <f>IF($B150&lt;&gt;"Entry","",0)</f>
      </c>
      <c r="AG150" s="27">
        <f>IF($B150&lt;&gt;"Entry","",IF(OR(AD150=0,AB150="",AQ150="",AQ150&lt;=0),0,IF(AQ150&lt;=DATE(YEAR(AB150),MONTH(AB150)+1,7),0,ROUND(AD150*0.015*((YEAR(AQ150)-YEAR(AB150))*12+(MONTH(AQ150)-MONTH(AB150))+1),0))))</f>
      </c>
      <c r="AH150" s="27">
        <f>IF($B150&lt;&gt;"Entry","",0)</f>
      </c>
      <c r="AI150" s="28"/>
      <c r="AJ150" s="28"/>
      <c r="AK150" s="32"/>
      <c r="AL150" s="28"/>
      <c r="AM150" s="28"/>
      <c r="AN150" s="27">
        <f>IF($B150&lt;&gt;"Challan","",SUMIF('Q1 Data'!$D$4:$D$207,D150,'Q1 Data'!$AD$4:$AD$207)+SUMIF('Q1 Data'!$D$4:$D$207,D150,'Q1 Data'!$AG$4:$AG$207)+SUMIF('Q1 Data'!$D$4:$D$207,D150,'Q1 Data'!$AE$4:$AE$207)+SUMIF('Q2 Data'!$D$4:$D$207,D150,'Q2 Data'!$AD$4:$AD$207)+SUMIF('Q2 Data'!$D$4:$D$207,D150,'Q2 Data'!$AG$4:$AG$207)+SUMIF('Q2 Data'!$D$4:$D$207,D150,'Q2 Data'!$AE$4:$AE$207)+SUMIF('Q3 Data'!$D$4:$D$207,D150,'Q3 Data'!$AD$4:$AD$207)+SUMIF('Q3 Data'!$D$4:$D$207,D150,'Q3 Data'!$AG$4:$AG$207)+SUMIF('Q3 Data'!$D$4:$D$207,D150,'Q3 Data'!$AE$4:$AE$207)+SUMIF('Q4 Data'!$D$4:$D$207,D150,'Q4 Data'!$AD$4:$AD$207)+SUMIF('Q4 Data'!$D$4:$D$207,D150,'Q4 Data'!$AG$4:$AG$207)+SUMIF('Q4 Data'!$D$4:$D$207,D150,'Q4 Data'!$AE$4:$AE$207))</f>
      </c>
      <c r="AO150" s="27">
        <f>IF($B150&lt;&gt;"Challan","",P150-N150)</f>
      </c>
      <c r="AP150" s="27">
        <f>IF($B150&lt;&gt;"Challan","",MAX(0,AO150-AN150))</f>
      </c>
      <c r="AQ150" s="33">
        <f>IF($B150&lt;&gt;"Entry","",SUMPRODUCT(('Q1 Data'!$D$4:$D$207=D150)*('Q1 Data'!$B$4:$B$207="Challan")*'Q1 Data'!$F$4:$F$207)+SUMPRODUCT(('Q2 Data'!$D$4:$D$207=D150)*('Q2 Data'!$B$4:$B$207="Challan")*'Q2 Data'!$F$4:$F$207)+SUMPRODUCT(('Q3 Data'!$D$4:$D$207=D150)*('Q3 Data'!$B$4:$B$207="Challan")*'Q3 Data'!$F$4:$F$207)+SUMPRODUCT(('Q4 Data'!$D$4:$D$207=D150)*('Q4 Data'!$B$4:$B$207="Challan")*'Q4 Data'!$F$4:$F$207))</f>
      </c>
      <c r="AR150" s="34">
        <f>IF(OR($B150&lt;&gt;"Entry",Z150=""),FALSE,AND((SUMPRODUCT(('Q1 Data'!$D$4:$D$207=D150)*('Q1 Data'!$B$4:$B$207="Challan")*('Q1 Data'!$H$4:$H$207&lt;&gt;""))+SUMPRODUCT(('Q2 Data'!$D$4:$D$207=D150)*('Q2 Data'!$B$4:$B$207="Challan")*('Q2 Data'!$H$4:$H$207&lt;&gt;""))+SUMPRODUCT(('Q3 Data'!$D$4:$D$207=D150)*('Q3 Data'!$B$4:$B$207="Challan")*('Q3 Data'!$H$4:$H$207&lt;&gt;""))+SUMPRODUCT(('Q4 Data'!$D$4:$D$207=D150)*('Q4 Data'!$B$4:$B$207="Challan")*('Q4 Data'!$H$4:$H$207&lt;&gt;"")))&gt;0,(SUMPRODUCT(('Q1 Data'!$D$4:$D$207=D150)*('Q1 Data'!$B$4:$B$207="Challan")*('Q1 Data'!$H$4:$H$207=Z150))+SUMPRODUCT(('Q2 Data'!$D$4:$D$207=D150)*('Q2 Data'!$B$4:$B$207="Challan")*('Q2 Data'!$H$4:$H$207=Z150))+SUMPRODUCT(('Q3 Data'!$D$4:$D$207=D150)*('Q3 Data'!$B$4:$B$207="Challan")*('Q3 Data'!$H$4:$H$207=Z150))+SUMPRODUCT(('Q4 Data'!$D$4:$D$207=D150)*('Q4 Data'!$B$4:$B$207="Challan")*('Q4 Data'!$H$4:$H$207=Z150)))=0))</f>
      </c>
    </row>
    <row r="151" spans="1:44" x14ac:dyDescent="0.25">
      <c r="A151" s="20">
        <f>IF($B151="Entry",COUNTIF($B$4:$B151,"Entry"),"")</f>
      </c>
      <c r="B151" s="21"/>
      <c r="C151" s="22"/>
      <c r="D151" s="22"/>
      <c r="E151" s="23">
        <f>IF($B151&lt;&gt;"Challan","",IF(ROUND(AN151-AO151,2)&gt;0,"Over-applied",IF(ROUND(AN151-AO151,2)=0,"Fully Utilised","Unconsumed")))</f>
      </c>
      <c r="F151" s="24"/>
      <c r="G151" s="25"/>
      <c r="H151" s="25"/>
      <c r="I151" s="26"/>
      <c r="J151" s="26"/>
      <c r="K151" s="26"/>
      <c r="L151" s="26"/>
      <c r="M151" s="26"/>
      <c r="N151" s="26"/>
      <c r="O151" s="26"/>
      <c r="P151" s="27">
        <f>IF($B151&lt;&gt;"Challan","",I151+J151+K151+L151+M151+N151)</f>
      </c>
      <c r="Q151" s="25"/>
      <c r="R151" s="25"/>
      <c r="S151" s="25"/>
      <c r="T151" s="25"/>
      <c r="U151" s="25"/>
      <c r="V151" s="28"/>
      <c r="W151" s="28"/>
      <c r="X151" s="23">
        <f>IF($B151="Entry",IF(AND(LEN(TRIM(UPPER(W151)))=10,CODE(MID(TRIM(UPPER(W151)),1,1))&gt;=65,CODE(MID(TRIM(UPPER(W151)),1,1))&lt;=90,CODE(MID(TRIM(UPPER(W151)),2,1))&gt;=65,CODE(MID(TRIM(UPPER(W151)),2,1))&lt;=90,CODE(MID(TRIM(UPPER(W151)),3,1))&gt;=65,CODE(MID(TRIM(UPPER(W151)),3,1))&lt;=90,CODE(MID(TRIM(UPPER(W151)),4,1))&gt;=65,CODE(MID(TRIM(UPPER(W151)),4,1))&lt;=90,CODE(MID(TRIM(UPPER(W151)),5,1))&gt;=65,CODE(MID(TRIM(UPPER(W151)),5,1))&lt;=90,CODE(MID(TRIM(UPPER(W151)),10,1))&gt;=65,CODE(MID(TRIM(UPPER(W151)),10,1))&lt;=90,CODE(MID(TRIM(UPPER(W151)),6,1))&gt;=48,CODE(MID(TRIM(UPPER(W151)),6,1))&lt;=57,CODE(MID(TRIM(UPPER(W151)),7,1))&gt;=48,CODE(MID(TRIM(UPPER(W151)),7,1))&lt;=57,CODE(MID(TRIM(UPPER(W151)),8,1))&gt;=48,CODE(MID(TRIM(UPPER(W151)),8,1))&lt;=57,CODE(MID(TRIM(UPPER(W151)),9,1))&gt;=48,CODE(MID(TRIM(UPPER(W151)),9,1))&lt;=57),"N","Y"),IF($B151="Challan","",IF(W151&lt;&gt;"","◄ Set Row Type","")))</f>
      </c>
      <c r="Y151" s="23">
        <f>IF($B151="Entry",IF(LEN(W151)&lt;4,"",IF(UPPER(MID(W151,4,1))="P","Individual",IF(UPPER(MID(W151,4,1))="H","HUF",IF(UPPER(MID(W151,4,1))="C","Company",IF(UPPER(MID(W151,4,1))="F","Firm",IF(UPPER(MID(W151,4,1))="L","LLP",IF(UPPER(MID(W151,4,1))="T","Trust",IF(UPPER(MID(W151,4,1))="A","AOP","")))))))),IF($B151="Challan","",IF(W151&lt;&gt;"","◄ Set Row Type","")))</f>
      </c>
      <c r="Z151" s="28"/>
      <c r="AA151" s="29">
        <f>IF($B151&lt;&gt;"Entry","",IF(Z151="","",IF(X151="Y",SUMPRODUCT(('Rate Lookup'!$A$1:$A$37=Z151)*'Rate Lookup'!$D$1:$D$37),IF(OR(Y151="Individual",Y151="HUF"),SUMPRODUCT(('Rate Lookup'!$A$1:$A$37=Z151)*'Rate Lookup'!$B$1:$B$37),SUMPRODUCT(('Rate Lookup'!$A$1:$A$37=Z151)*'Rate Lookup'!$C$1:$C$37)))))</f>
      </c>
      <c r="AB151" s="30"/>
      <c r="AC151" s="31"/>
      <c r="AD151" s="27">
        <f>IF($B151&lt;&gt;"Entry","",ROUND(AC151*AA151/100,0))</f>
      </c>
      <c r="AE151" s="27">
        <f>IF($B151&lt;&gt;"Entry","",0)</f>
      </c>
      <c r="AF151" s="27">
        <f>IF($B151&lt;&gt;"Entry","",0)</f>
      </c>
      <c r="AG151" s="27">
        <f>IF($B151&lt;&gt;"Entry","",IF(OR(AD151=0,AB151="",AQ151="",AQ151&lt;=0),0,IF(AQ151&lt;=DATE(YEAR(AB151),MONTH(AB151)+1,7),0,ROUND(AD151*0.015*((YEAR(AQ151)-YEAR(AB151))*12+(MONTH(AQ151)-MONTH(AB151))+1),0))))</f>
      </c>
      <c r="AH151" s="27">
        <f>IF($B151&lt;&gt;"Entry","",0)</f>
      </c>
      <c r="AI151" s="28"/>
      <c r="AJ151" s="28"/>
      <c r="AK151" s="32"/>
      <c r="AL151" s="28"/>
      <c r="AM151" s="28"/>
      <c r="AN151" s="27">
        <f>IF($B151&lt;&gt;"Challan","",SUMIF('Q1 Data'!$D$4:$D$207,D151,'Q1 Data'!$AD$4:$AD$207)+SUMIF('Q1 Data'!$D$4:$D$207,D151,'Q1 Data'!$AG$4:$AG$207)+SUMIF('Q1 Data'!$D$4:$D$207,D151,'Q1 Data'!$AE$4:$AE$207)+SUMIF('Q2 Data'!$D$4:$D$207,D151,'Q2 Data'!$AD$4:$AD$207)+SUMIF('Q2 Data'!$D$4:$D$207,D151,'Q2 Data'!$AG$4:$AG$207)+SUMIF('Q2 Data'!$D$4:$D$207,D151,'Q2 Data'!$AE$4:$AE$207)+SUMIF('Q3 Data'!$D$4:$D$207,D151,'Q3 Data'!$AD$4:$AD$207)+SUMIF('Q3 Data'!$D$4:$D$207,D151,'Q3 Data'!$AG$4:$AG$207)+SUMIF('Q3 Data'!$D$4:$D$207,D151,'Q3 Data'!$AE$4:$AE$207)+SUMIF('Q4 Data'!$D$4:$D$207,D151,'Q4 Data'!$AD$4:$AD$207)+SUMIF('Q4 Data'!$D$4:$D$207,D151,'Q4 Data'!$AG$4:$AG$207)+SUMIF('Q4 Data'!$D$4:$D$207,D151,'Q4 Data'!$AE$4:$AE$207))</f>
      </c>
      <c r="AO151" s="27">
        <f>IF($B151&lt;&gt;"Challan","",P151-N151)</f>
      </c>
      <c r="AP151" s="27">
        <f>IF($B151&lt;&gt;"Challan","",MAX(0,AO151-AN151))</f>
      </c>
      <c r="AQ151" s="33">
        <f>IF($B151&lt;&gt;"Entry","",SUMPRODUCT(('Q1 Data'!$D$4:$D$207=D151)*('Q1 Data'!$B$4:$B$207="Challan")*'Q1 Data'!$F$4:$F$207)+SUMPRODUCT(('Q2 Data'!$D$4:$D$207=D151)*('Q2 Data'!$B$4:$B$207="Challan")*'Q2 Data'!$F$4:$F$207)+SUMPRODUCT(('Q3 Data'!$D$4:$D$207=D151)*('Q3 Data'!$B$4:$B$207="Challan")*'Q3 Data'!$F$4:$F$207)+SUMPRODUCT(('Q4 Data'!$D$4:$D$207=D151)*('Q4 Data'!$B$4:$B$207="Challan")*'Q4 Data'!$F$4:$F$207))</f>
      </c>
      <c r="AR151" s="34">
        <f>IF(OR($B151&lt;&gt;"Entry",Z151=""),FALSE,AND((SUMPRODUCT(('Q1 Data'!$D$4:$D$207=D151)*('Q1 Data'!$B$4:$B$207="Challan")*('Q1 Data'!$H$4:$H$207&lt;&gt;""))+SUMPRODUCT(('Q2 Data'!$D$4:$D$207=D151)*('Q2 Data'!$B$4:$B$207="Challan")*('Q2 Data'!$H$4:$H$207&lt;&gt;""))+SUMPRODUCT(('Q3 Data'!$D$4:$D$207=D151)*('Q3 Data'!$B$4:$B$207="Challan")*('Q3 Data'!$H$4:$H$207&lt;&gt;""))+SUMPRODUCT(('Q4 Data'!$D$4:$D$207=D151)*('Q4 Data'!$B$4:$B$207="Challan")*('Q4 Data'!$H$4:$H$207&lt;&gt;"")))&gt;0,(SUMPRODUCT(('Q1 Data'!$D$4:$D$207=D151)*('Q1 Data'!$B$4:$B$207="Challan")*('Q1 Data'!$H$4:$H$207=Z151))+SUMPRODUCT(('Q2 Data'!$D$4:$D$207=D151)*('Q2 Data'!$B$4:$B$207="Challan")*('Q2 Data'!$H$4:$H$207=Z151))+SUMPRODUCT(('Q3 Data'!$D$4:$D$207=D151)*('Q3 Data'!$B$4:$B$207="Challan")*('Q3 Data'!$H$4:$H$207=Z151))+SUMPRODUCT(('Q4 Data'!$D$4:$D$207=D151)*('Q4 Data'!$B$4:$B$207="Challan")*('Q4 Data'!$H$4:$H$207=Z151)))=0))</f>
      </c>
    </row>
    <row r="152" spans="1:44" x14ac:dyDescent="0.25">
      <c r="A152" s="20">
        <f>IF($B152="Entry",COUNTIF($B$4:$B152,"Entry"),"")</f>
      </c>
      <c r="B152" s="21"/>
      <c r="C152" s="22"/>
      <c r="D152" s="22"/>
      <c r="E152" s="23">
        <f>IF($B152&lt;&gt;"Challan","",IF(ROUND(AN152-AO152,2)&gt;0,"Over-applied",IF(ROUND(AN152-AO152,2)=0,"Fully Utilised","Unconsumed")))</f>
      </c>
      <c r="F152" s="24"/>
      <c r="G152" s="25"/>
      <c r="H152" s="25"/>
      <c r="I152" s="26"/>
      <c r="J152" s="26"/>
      <c r="K152" s="26"/>
      <c r="L152" s="26"/>
      <c r="M152" s="26"/>
      <c r="N152" s="26"/>
      <c r="O152" s="26"/>
      <c r="P152" s="27">
        <f>IF($B152&lt;&gt;"Challan","",I152+J152+K152+L152+M152+N152)</f>
      </c>
      <c r="Q152" s="25"/>
      <c r="R152" s="25"/>
      <c r="S152" s="25"/>
      <c r="T152" s="25"/>
      <c r="U152" s="25"/>
      <c r="V152" s="28"/>
      <c r="W152" s="28"/>
      <c r="X152" s="23">
        <f>IF($B152="Entry",IF(AND(LEN(TRIM(UPPER(W152)))=10,CODE(MID(TRIM(UPPER(W152)),1,1))&gt;=65,CODE(MID(TRIM(UPPER(W152)),1,1))&lt;=90,CODE(MID(TRIM(UPPER(W152)),2,1))&gt;=65,CODE(MID(TRIM(UPPER(W152)),2,1))&lt;=90,CODE(MID(TRIM(UPPER(W152)),3,1))&gt;=65,CODE(MID(TRIM(UPPER(W152)),3,1))&lt;=90,CODE(MID(TRIM(UPPER(W152)),4,1))&gt;=65,CODE(MID(TRIM(UPPER(W152)),4,1))&lt;=90,CODE(MID(TRIM(UPPER(W152)),5,1))&gt;=65,CODE(MID(TRIM(UPPER(W152)),5,1))&lt;=90,CODE(MID(TRIM(UPPER(W152)),10,1))&gt;=65,CODE(MID(TRIM(UPPER(W152)),10,1))&lt;=90,CODE(MID(TRIM(UPPER(W152)),6,1))&gt;=48,CODE(MID(TRIM(UPPER(W152)),6,1))&lt;=57,CODE(MID(TRIM(UPPER(W152)),7,1))&gt;=48,CODE(MID(TRIM(UPPER(W152)),7,1))&lt;=57,CODE(MID(TRIM(UPPER(W152)),8,1))&gt;=48,CODE(MID(TRIM(UPPER(W152)),8,1))&lt;=57,CODE(MID(TRIM(UPPER(W152)),9,1))&gt;=48,CODE(MID(TRIM(UPPER(W152)),9,1))&lt;=57),"N","Y"),IF($B152="Challan","",IF(W152&lt;&gt;"","◄ Set Row Type","")))</f>
      </c>
      <c r="Y152" s="23">
        <f>IF($B152="Entry",IF(LEN(W152)&lt;4,"",IF(UPPER(MID(W152,4,1))="P","Individual",IF(UPPER(MID(W152,4,1))="H","HUF",IF(UPPER(MID(W152,4,1))="C","Company",IF(UPPER(MID(W152,4,1))="F","Firm",IF(UPPER(MID(W152,4,1))="L","LLP",IF(UPPER(MID(W152,4,1))="T","Trust",IF(UPPER(MID(W152,4,1))="A","AOP","")))))))),IF($B152="Challan","",IF(W152&lt;&gt;"","◄ Set Row Type","")))</f>
      </c>
      <c r="Z152" s="28"/>
      <c r="AA152" s="29">
        <f>IF($B152&lt;&gt;"Entry","",IF(Z152="","",IF(X152="Y",SUMPRODUCT(('Rate Lookup'!$A$1:$A$37=Z152)*'Rate Lookup'!$D$1:$D$37),IF(OR(Y152="Individual",Y152="HUF"),SUMPRODUCT(('Rate Lookup'!$A$1:$A$37=Z152)*'Rate Lookup'!$B$1:$B$37),SUMPRODUCT(('Rate Lookup'!$A$1:$A$37=Z152)*'Rate Lookup'!$C$1:$C$37)))))</f>
      </c>
      <c r="AB152" s="30"/>
      <c r="AC152" s="31"/>
      <c r="AD152" s="27">
        <f>IF($B152&lt;&gt;"Entry","",ROUND(AC152*AA152/100,0))</f>
      </c>
      <c r="AE152" s="27">
        <f>IF($B152&lt;&gt;"Entry","",0)</f>
      </c>
      <c r="AF152" s="27">
        <f>IF($B152&lt;&gt;"Entry","",0)</f>
      </c>
      <c r="AG152" s="27">
        <f>IF($B152&lt;&gt;"Entry","",IF(OR(AD152=0,AB152="",AQ152="",AQ152&lt;=0),0,IF(AQ152&lt;=DATE(YEAR(AB152),MONTH(AB152)+1,7),0,ROUND(AD152*0.015*((YEAR(AQ152)-YEAR(AB152))*12+(MONTH(AQ152)-MONTH(AB152))+1),0))))</f>
      </c>
      <c r="AH152" s="27">
        <f>IF($B152&lt;&gt;"Entry","",0)</f>
      </c>
      <c r="AI152" s="28"/>
      <c r="AJ152" s="28"/>
      <c r="AK152" s="32"/>
      <c r="AL152" s="28"/>
      <c r="AM152" s="28"/>
      <c r="AN152" s="27">
        <f>IF($B152&lt;&gt;"Challan","",SUMIF('Q1 Data'!$D$4:$D$207,D152,'Q1 Data'!$AD$4:$AD$207)+SUMIF('Q1 Data'!$D$4:$D$207,D152,'Q1 Data'!$AG$4:$AG$207)+SUMIF('Q1 Data'!$D$4:$D$207,D152,'Q1 Data'!$AE$4:$AE$207)+SUMIF('Q2 Data'!$D$4:$D$207,D152,'Q2 Data'!$AD$4:$AD$207)+SUMIF('Q2 Data'!$D$4:$D$207,D152,'Q2 Data'!$AG$4:$AG$207)+SUMIF('Q2 Data'!$D$4:$D$207,D152,'Q2 Data'!$AE$4:$AE$207)+SUMIF('Q3 Data'!$D$4:$D$207,D152,'Q3 Data'!$AD$4:$AD$207)+SUMIF('Q3 Data'!$D$4:$D$207,D152,'Q3 Data'!$AG$4:$AG$207)+SUMIF('Q3 Data'!$D$4:$D$207,D152,'Q3 Data'!$AE$4:$AE$207)+SUMIF('Q4 Data'!$D$4:$D$207,D152,'Q4 Data'!$AD$4:$AD$207)+SUMIF('Q4 Data'!$D$4:$D$207,D152,'Q4 Data'!$AG$4:$AG$207)+SUMIF('Q4 Data'!$D$4:$D$207,D152,'Q4 Data'!$AE$4:$AE$207))</f>
      </c>
      <c r="AO152" s="27">
        <f>IF($B152&lt;&gt;"Challan","",P152-N152)</f>
      </c>
      <c r="AP152" s="27">
        <f>IF($B152&lt;&gt;"Challan","",MAX(0,AO152-AN152))</f>
      </c>
      <c r="AQ152" s="33">
        <f>IF($B152&lt;&gt;"Entry","",SUMPRODUCT(('Q1 Data'!$D$4:$D$207=D152)*('Q1 Data'!$B$4:$B$207="Challan")*'Q1 Data'!$F$4:$F$207)+SUMPRODUCT(('Q2 Data'!$D$4:$D$207=D152)*('Q2 Data'!$B$4:$B$207="Challan")*'Q2 Data'!$F$4:$F$207)+SUMPRODUCT(('Q3 Data'!$D$4:$D$207=D152)*('Q3 Data'!$B$4:$B$207="Challan")*'Q3 Data'!$F$4:$F$207)+SUMPRODUCT(('Q4 Data'!$D$4:$D$207=D152)*('Q4 Data'!$B$4:$B$207="Challan")*'Q4 Data'!$F$4:$F$207))</f>
      </c>
      <c r="AR152" s="34">
        <f>IF(OR($B152&lt;&gt;"Entry",Z152=""),FALSE,AND((SUMPRODUCT(('Q1 Data'!$D$4:$D$207=D152)*('Q1 Data'!$B$4:$B$207="Challan")*('Q1 Data'!$H$4:$H$207&lt;&gt;""))+SUMPRODUCT(('Q2 Data'!$D$4:$D$207=D152)*('Q2 Data'!$B$4:$B$207="Challan")*('Q2 Data'!$H$4:$H$207&lt;&gt;""))+SUMPRODUCT(('Q3 Data'!$D$4:$D$207=D152)*('Q3 Data'!$B$4:$B$207="Challan")*('Q3 Data'!$H$4:$H$207&lt;&gt;""))+SUMPRODUCT(('Q4 Data'!$D$4:$D$207=D152)*('Q4 Data'!$B$4:$B$207="Challan")*('Q4 Data'!$H$4:$H$207&lt;&gt;"")))&gt;0,(SUMPRODUCT(('Q1 Data'!$D$4:$D$207=D152)*('Q1 Data'!$B$4:$B$207="Challan")*('Q1 Data'!$H$4:$H$207=Z152))+SUMPRODUCT(('Q2 Data'!$D$4:$D$207=D152)*('Q2 Data'!$B$4:$B$207="Challan")*('Q2 Data'!$H$4:$H$207=Z152))+SUMPRODUCT(('Q3 Data'!$D$4:$D$207=D152)*('Q3 Data'!$B$4:$B$207="Challan")*('Q3 Data'!$H$4:$H$207=Z152))+SUMPRODUCT(('Q4 Data'!$D$4:$D$207=D152)*('Q4 Data'!$B$4:$B$207="Challan")*('Q4 Data'!$H$4:$H$207=Z152)))=0))</f>
      </c>
    </row>
    <row r="153" spans="1:44" x14ac:dyDescent="0.25">
      <c r="A153" s="20">
        <f>IF($B153="Entry",COUNTIF($B$4:$B153,"Entry"),"")</f>
      </c>
      <c r="B153" s="21"/>
      <c r="C153" s="22"/>
      <c r="D153" s="22"/>
      <c r="E153" s="23">
        <f>IF($B153&lt;&gt;"Challan","",IF(ROUND(AN153-AO153,2)&gt;0,"Over-applied",IF(ROUND(AN153-AO153,2)=0,"Fully Utilised","Unconsumed")))</f>
      </c>
      <c r="F153" s="24"/>
      <c r="G153" s="25"/>
      <c r="H153" s="25"/>
      <c r="I153" s="26"/>
      <c r="J153" s="26"/>
      <c r="K153" s="26"/>
      <c r="L153" s="26"/>
      <c r="M153" s="26"/>
      <c r="N153" s="26"/>
      <c r="O153" s="26"/>
      <c r="P153" s="27">
        <f>IF($B153&lt;&gt;"Challan","",I153+J153+K153+L153+M153+N153)</f>
      </c>
      <c r="Q153" s="25"/>
      <c r="R153" s="25"/>
      <c r="S153" s="25"/>
      <c r="T153" s="25"/>
      <c r="U153" s="25"/>
      <c r="V153" s="28"/>
      <c r="W153" s="28"/>
      <c r="X153" s="23">
        <f>IF($B153="Entry",IF(AND(LEN(TRIM(UPPER(W153)))=10,CODE(MID(TRIM(UPPER(W153)),1,1))&gt;=65,CODE(MID(TRIM(UPPER(W153)),1,1))&lt;=90,CODE(MID(TRIM(UPPER(W153)),2,1))&gt;=65,CODE(MID(TRIM(UPPER(W153)),2,1))&lt;=90,CODE(MID(TRIM(UPPER(W153)),3,1))&gt;=65,CODE(MID(TRIM(UPPER(W153)),3,1))&lt;=90,CODE(MID(TRIM(UPPER(W153)),4,1))&gt;=65,CODE(MID(TRIM(UPPER(W153)),4,1))&lt;=90,CODE(MID(TRIM(UPPER(W153)),5,1))&gt;=65,CODE(MID(TRIM(UPPER(W153)),5,1))&lt;=90,CODE(MID(TRIM(UPPER(W153)),10,1))&gt;=65,CODE(MID(TRIM(UPPER(W153)),10,1))&lt;=90,CODE(MID(TRIM(UPPER(W153)),6,1))&gt;=48,CODE(MID(TRIM(UPPER(W153)),6,1))&lt;=57,CODE(MID(TRIM(UPPER(W153)),7,1))&gt;=48,CODE(MID(TRIM(UPPER(W153)),7,1))&lt;=57,CODE(MID(TRIM(UPPER(W153)),8,1))&gt;=48,CODE(MID(TRIM(UPPER(W153)),8,1))&lt;=57,CODE(MID(TRIM(UPPER(W153)),9,1))&gt;=48,CODE(MID(TRIM(UPPER(W153)),9,1))&lt;=57),"N","Y"),IF($B153="Challan","",IF(W153&lt;&gt;"","◄ Set Row Type","")))</f>
      </c>
      <c r="Y153" s="23">
        <f>IF($B153="Entry",IF(LEN(W153)&lt;4,"",IF(UPPER(MID(W153,4,1))="P","Individual",IF(UPPER(MID(W153,4,1))="H","HUF",IF(UPPER(MID(W153,4,1))="C","Company",IF(UPPER(MID(W153,4,1))="F","Firm",IF(UPPER(MID(W153,4,1))="L","LLP",IF(UPPER(MID(W153,4,1))="T","Trust",IF(UPPER(MID(W153,4,1))="A","AOP","")))))))),IF($B153="Challan","",IF(W153&lt;&gt;"","◄ Set Row Type","")))</f>
      </c>
      <c r="Z153" s="28"/>
      <c r="AA153" s="29">
        <f>IF($B153&lt;&gt;"Entry","",IF(Z153="","",IF(X153="Y",SUMPRODUCT(('Rate Lookup'!$A$1:$A$37=Z153)*'Rate Lookup'!$D$1:$D$37),IF(OR(Y153="Individual",Y153="HUF"),SUMPRODUCT(('Rate Lookup'!$A$1:$A$37=Z153)*'Rate Lookup'!$B$1:$B$37),SUMPRODUCT(('Rate Lookup'!$A$1:$A$37=Z153)*'Rate Lookup'!$C$1:$C$37)))))</f>
      </c>
      <c r="AB153" s="30"/>
      <c r="AC153" s="31"/>
      <c r="AD153" s="27">
        <f>IF($B153&lt;&gt;"Entry","",ROUND(AC153*AA153/100,0))</f>
      </c>
      <c r="AE153" s="27">
        <f>IF($B153&lt;&gt;"Entry","",0)</f>
      </c>
      <c r="AF153" s="27">
        <f>IF($B153&lt;&gt;"Entry","",0)</f>
      </c>
      <c r="AG153" s="27">
        <f>IF($B153&lt;&gt;"Entry","",IF(OR(AD153=0,AB153="",AQ153="",AQ153&lt;=0),0,IF(AQ153&lt;=DATE(YEAR(AB153),MONTH(AB153)+1,7),0,ROUND(AD153*0.015*((YEAR(AQ153)-YEAR(AB153))*12+(MONTH(AQ153)-MONTH(AB153))+1),0))))</f>
      </c>
      <c r="AH153" s="27">
        <f>IF($B153&lt;&gt;"Entry","",0)</f>
      </c>
      <c r="AI153" s="28"/>
      <c r="AJ153" s="28"/>
      <c r="AK153" s="32"/>
      <c r="AL153" s="28"/>
      <c r="AM153" s="28"/>
      <c r="AN153" s="27">
        <f>IF($B153&lt;&gt;"Challan","",SUMIF('Q1 Data'!$D$4:$D$207,D153,'Q1 Data'!$AD$4:$AD$207)+SUMIF('Q1 Data'!$D$4:$D$207,D153,'Q1 Data'!$AG$4:$AG$207)+SUMIF('Q1 Data'!$D$4:$D$207,D153,'Q1 Data'!$AE$4:$AE$207)+SUMIF('Q2 Data'!$D$4:$D$207,D153,'Q2 Data'!$AD$4:$AD$207)+SUMIF('Q2 Data'!$D$4:$D$207,D153,'Q2 Data'!$AG$4:$AG$207)+SUMIF('Q2 Data'!$D$4:$D$207,D153,'Q2 Data'!$AE$4:$AE$207)+SUMIF('Q3 Data'!$D$4:$D$207,D153,'Q3 Data'!$AD$4:$AD$207)+SUMIF('Q3 Data'!$D$4:$D$207,D153,'Q3 Data'!$AG$4:$AG$207)+SUMIF('Q3 Data'!$D$4:$D$207,D153,'Q3 Data'!$AE$4:$AE$207)+SUMIF('Q4 Data'!$D$4:$D$207,D153,'Q4 Data'!$AD$4:$AD$207)+SUMIF('Q4 Data'!$D$4:$D$207,D153,'Q4 Data'!$AG$4:$AG$207)+SUMIF('Q4 Data'!$D$4:$D$207,D153,'Q4 Data'!$AE$4:$AE$207))</f>
      </c>
      <c r="AO153" s="27">
        <f>IF($B153&lt;&gt;"Challan","",P153-N153)</f>
      </c>
      <c r="AP153" s="27">
        <f>IF($B153&lt;&gt;"Challan","",MAX(0,AO153-AN153))</f>
      </c>
      <c r="AQ153" s="33">
        <f>IF($B153&lt;&gt;"Entry","",SUMPRODUCT(('Q1 Data'!$D$4:$D$207=D153)*('Q1 Data'!$B$4:$B$207="Challan")*'Q1 Data'!$F$4:$F$207)+SUMPRODUCT(('Q2 Data'!$D$4:$D$207=D153)*('Q2 Data'!$B$4:$B$207="Challan")*'Q2 Data'!$F$4:$F$207)+SUMPRODUCT(('Q3 Data'!$D$4:$D$207=D153)*('Q3 Data'!$B$4:$B$207="Challan")*'Q3 Data'!$F$4:$F$207)+SUMPRODUCT(('Q4 Data'!$D$4:$D$207=D153)*('Q4 Data'!$B$4:$B$207="Challan")*'Q4 Data'!$F$4:$F$207))</f>
      </c>
      <c r="AR153" s="34">
        <f>IF(OR($B153&lt;&gt;"Entry",Z153=""),FALSE,AND((SUMPRODUCT(('Q1 Data'!$D$4:$D$207=D153)*('Q1 Data'!$B$4:$B$207="Challan")*('Q1 Data'!$H$4:$H$207&lt;&gt;""))+SUMPRODUCT(('Q2 Data'!$D$4:$D$207=D153)*('Q2 Data'!$B$4:$B$207="Challan")*('Q2 Data'!$H$4:$H$207&lt;&gt;""))+SUMPRODUCT(('Q3 Data'!$D$4:$D$207=D153)*('Q3 Data'!$B$4:$B$207="Challan")*('Q3 Data'!$H$4:$H$207&lt;&gt;""))+SUMPRODUCT(('Q4 Data'!$D$4:$D$207=D153)*('Q4 Data'!$B$4:$B$207="Challan")*('Q4 Data'!$H$4:$H$207&lt;&gt;"")))&gt;0,(SUMPRODUCT(('Q1 Data'!$D$4:$D$207=D153)*('Q1 Data'!$B$4:$B$207="Challan")*('Q1 Data'!$H$4:$H$207=Z153))+SUMPRODUCT(('Q2 Data'!$D$4:$D$207=D153)*('Q2 Data'!$B$4:$B$207="Challan")*('Q2 Data'!$H$4:$H$207=Z153))+SUMPRODUCT(('Q3 Data'!$D$4:$D$207=D153)*('Q3 Data'!$B$4:$B$207="Challan")*('Q3 Data'!$H$4:$H$207=Z153))+SUMPRODUCT(('Q4 Data'!$D$4:$D$207=D153)*('Q4 Data'!$B$4:$B$207="Challan")*('Q4 Data'!$H$4:$H$207=Z153)))=0))</f>
      </c>
    </row>
    <row r="154" spans="1:44" x14ac:dyDescent="0.25">
      <c r="A154" s="20">
        <f>IF($B154="Entry",COUNTIF($B$4:$B154,"Entry"),"")</f>
      </c>
      <c r="B154" s="21"/>
      <c r="C154" s="22"/>
      <c r="D154" s="22"/>
      <c r="E154" s="23">
        <f>IF($B154&lt;&gt;"Challan","",IF(ROUND(AN154-AO154,2)&gt;0,"Over-applied",IF(ROUND(AN154-AO154,2)=0,"Fully Utilised","Unconsumed")))</f>
      </c>
      <c r="F154" s="24"/>
      <c r="G154" s="25"/>
      <c r="H154" s="25"/>
      <c r="I154" s="26"/>
      <c r="J154" s="26"/>
      <c r="K154" s="26"/>
      <c r="L154" s="26"/>
      <c r="M154" s="26"/>
      <c r="N154" s="26"/>
      <c r="O154" s="26"/>
      <c r="P154" s="27">
        <f>IF($B154&lt;&gt;"Challan","",I154+J154+K154+L154+M154+N154)</f>
      </c>
      <c r="Q154" s="25"/>
      <c r="R154" s="25"/>
      <c r="S154" s="25"/>
      <c r="T154" s="25"/>
      <c r="U154" s="25"/>
      <c r="V154" s="28"/>
      <c r="W154" s="28"/>
      <c r="X154" s="23">
        <f>IF($B154="Entry",IF(AND(LEN(TRIM(UPPER(W154)))=10,CODE(MID(TRIM(UPPER(W154)),1,1))&gt;=65,CODE(MID(TRIM(UPPER(W154)),1,1))&lt;=90,CODE(MID(TRIM(UPPER(W154)),2,1))&gt;=65,CODE(MID(TRIM(UPPER(W154)),2,1))&lt;=90,CODE(MID(TRIM(UPPER(W154)),3,1))&gt;=65,CODE(MID(TRIM(UPPER(W154)),3,1))&lt;=90,CODE(MID(TRIM(UPPER(W154)),4,1))&gt;=65,CODE(MID(TRIM(UPPER(W154)),4,1))&lt;=90,CODE(MID(TRIM(UPPER(W154)),5,1))&gt;=65,CODE(MID(TRIM(UPPER(W154)),5,1))&lt;=90,CODE(MID(TRIM(UPPER(W154)),10,1))&gt;=65,CODE(MID(TRIM(UPPER(W154)),10,1))&lt;=90,CODE(MID(TRIM(UPPER(W154)),6,1))&gt;=48,CODE(MID(TRIM(UPPER(W154)),6,1))&lt;=57,CODE(MID(TRIM(UPPER(W154)),7,1))&gt;=48,CODE(MID(TRIM(UPPER(W154)),7,1))&lt;=57,CODE(MID(TRIM(UPPER(W154)),8,1))&gt;=48,CODE(MID(TRIM(UPPER(W154)),8,1))&lt;=57,CODE(MID(TRIM(UPPER(W154)),9,1))&gt;=48,CODE(MID(TRIM(UPPER(W154)),9,1))&lt;=57),"N","Y"),IF($B154="Challan","",IF(W154&lt;&gt;"","◄ Set Row Type","")))</f>
      </c>
      <c r="Y154" s="23">
        <f>IF($B154="Entry",IF(LEN(W154)&lt;4,"",IF(UPPER(MID(W154,4,1))="P","Individual",IF(UPPER(MID(W154,4,1))="H","HUF",IF(UPPER(MID(W154,4,1))="C","Company",IF(UPPER(MID(W154,4,1))="F","Firm",IF(UPPER(MID(W154,4,1))="L","LLP",IF(UPPER(MID(W154,4,1))="T","Trust",IF(UPPER(MID(W154,4,1))="A","AOP","")))))))),IF($B154="Challan","",IF(W154&lt;&gt;"","◄ Set Row Type","")))</f>
      </c>
      <c r="Z154" s="28"/>
      <c r="AA154" s="29">
        <f>IF($B154&lt;&gt;"Entry","",IF(Z154="","",IF(X154="Y",SUMPRODUCT(('Rate Lookup'!$A$1:$A$37=Z154)*'Rate Lookup'!$D$1:$D$37),IF(OR(Y154="Individual",Y154="HUF"),SUMPRODUCT(('Rate Lookup'!$A$1:$A$37=Z154)*'Rate Lookup'!$B$1:$B$37),SUMPRODUCT(('Rate Lookup'!$A$1:$A$37=Z154)*'Rate Lookup'!$C$1:$C$37)))))</f>
      </c>
      <c r="AB154" s="30"/>
      <c r="AC154" s="31"/>
      <c r="AD154" s="27">
        <f>IF($B154&lt;&gt;"Entry","",ROUND(AC154*AA154/100,0))</f>
      </c>
      <c r="AE154" s="27">
        <f>IF($B154&lt;&gt;"Entry","",0)</f>
      </c>
      <c r="AF154" s="27">
        <f>IF($B154&lt;&gt;"Entry","",0)</f>
      </c>
      <c r="AG154" s="27">
        <f>IF($B154&lt;&gt;"Entry","",IF(OR(AD154=0,AB154="",AQ154="",AQ154&lt;=0),0,IF(AQ154&lt;=DATE(YEAR(AB154),MONTH(AB154)+1,7),0,ROUND(AD154*0.015*((YEAR(AQ154)-YEAR(AB154))*12+(MONTH(AQ154)-MONTH(AB154))+1),0))))</f>
      </c>
      <c r="AH154" s="27">
        <f>IF($B154&lt;&gt;"Entry","",0)</f>
      </c>
      <c r="AI154" s="28"/>
      <c r="AJ154" s="28"/>
      <c r="AK154" s="32"/>
      <c r="AL154" s="28"/>
      <c r="AM154" s="28"/>
      <c r="AN154" s="27">
        <f>IF($B154&lt;&gt;"Challan","",SUMIF('Q1 Data'!$D$4:$D$207,D154,'Q1 Data'!$AD$4:$AD$207)+SUMIF('Q1 Data'!$D$4:$D$207,D154,'Q1 Data'!$AG$4:$AG$207)+SUMIF('Q1 Data'!$D$4:$D$207,D154,'Q1 Data'!$AE$4:$AE$207)+SUMIF('Q2 Data'!$D$4:$D$207,D154,'Q2 Data'!$AD$4:$AD$207)+SUMIF('Q2 Data'!$D$4:$D$207,D154,'Q2 Data'!$AG$4:$AG$207)+SUMIF('Q2 Data'!$D$4:$D$207,D154,'Q2 Data'!$AE$4:$AE$207)+SUMIF('Q3 Data'!$D$4:$D$207,D154,'Q3 Data'!$AD$4:$AD$207)+SUMIF('Q3 Data'!$D$4:$D$207,D154,'Q3 Data'!$AG$4:$AG$207)+SUMIF('Q3 Data'!$D$4:$D$207,D154,'Q3 Data'!$AE$4:$AE$207)+SUMIF('Q4 Data'!$D$4:$D$207,D154,'Q4 Data'!$AD$4:$AD$207)+SUMIF('Q4 Data'!$D$4:$D$207,D154,'Q4 Data'!$AG$4:$AG$207)+SUMIF('Q4 Data'!$D$4:$D$207,D154,'Q4 Data'!$AE$4:$AE$207))</f>
      </c>
      <c r="AO154" s="27">
        <f>IF($B154&lt;&gt;"Challan","",P154-N154)</f>
      </c>
      <c r="AP154" s="27">
        <f>IF($B154&lt;&gt;"Challan","",MAX(0,AO154-AN154))</f>
      </c>
      <c r="AQ154" s="33">
        <f>IF($B154&lt;&gt;"Entry","",SUMPRODUCT(('Q1 Data'!$D$4:$D$207=D154)*('Q1 Data'!$B$4:$B$207="Challan")*'Q1 Data'!$F$4:$F$207)+SUMPRODUCT(('Q2 Data'!$D$4:$D$207=D154)*('Q2 Data'!$B$4:$B$207="Challan")*'Q2 Data'!$F$4:$F$207)+SUMPRODUCT(('Q3 Data'!$D$4:$D$207=D154)*('Q3 Data'!$B$4:$B$207="Challan")*'Q3 Data'!$F$4:$F$207)+SUMPRODUCT(('Q4 Data'!$D$4:$D$207=D154)*('Q4 Data'!$B$4:$B$207="Challan")*'Q4 Data'!$F$4:$F$207))</f>
      </c>
      <c r="AR154" s="34">
        <f>IF(OR($B154&lt;&gt;"Entry",Z154=""),FALSE,AND((SUMPRODUCT(('Q1 Data'!$D$4:$D$207=D154)*('Q1 Data'!$B$4:$B$207="Challan")*('Q1 Data'!$H$4:$H$207&lt;&gt;""))+SUMPRODUCT(('Q2 Data'!$D$4:$D$207=D154)*('Q2 Data'!$B$4:$B$207="Challan")*('Q2 Data'!$H$4:$H$207&lt;&gt;""))+SUMPRODUCT(('Q3 Data'!$D$4:$D$207=D154)*('Q3 Data'!$B$4:$B$207="Challan")*('Q3 Data'!$H$4:$H$207&lt;&gt;""))+SUMPRODUCT(('Q4 Data'!$D$4:$D$207=D154)*('Q4 Data'!$B$4:$B$207="Challan")*('Q4 Data'!$H$4:$H$207&lt;&gt;"")))&gt;0,(SUMPRODUCT(('Q1 Data'!$D$4:$D$207=D154)*('Q1 Data'!$B$4:$B$207="Challan")*('Q1 Data'!$H$4:$H$207=Z154))+SUMPRODUCT(('Q2 Data'!$D$4:$D$207=D154)*('Q2 Data'!$B$4:$B$207="Challan")*('Q2 Data'!$H$4:$H$207=Z154))+SUMPRODUCT(('Q3 Data'!$D$4:$D$207=D154)*('Q3 Data'!$B$4:$B$207="Challan")*('Q3 Data'!$H$4:$H$207=Z154))+SUMPRODUCT(('Q4 Data'!$D$4:$D$207=D154)*('Q4 Data'!$B$4:$B$207="Challan")*('Q4 Data'!$H$4:$H$207=Z154)))=0))</f>
      </c>
    </row>
    <row r="155" spans="1:44" x14ac:dyDescent="0.25">
      <c r="A155" s="20">
        <f>IF($B155="Entry",COUNTIF($B$4:$B155,"Entry"),"")</f>
      </c>
      <c r="B155" s="21"/>
      <c r="C155" s="22"/>
      <c r="D155" s="22"/>
      <c r="E155" s="23">
        <f>IF($B155&lt;&gt;"Challan","",IF(ROUND(AN155-AO155,2)&gt;0,"Over-applied",IF(ROUND(AN155-AO155,2)=0,"Fully Utilised","Unconsumed")))</f>
      </c>
      <c r="F155" s="24"/>
      <c r="G155" s="25"/>
      <c r="H155" s="25"/>
      <c r="I155" s="26"/>
      <c r="J155" s="26"/>
      <c r="K155" s="26"/>
      <c r="L155" s="26"/>
      <c r="M155" s="26"/>
      <c r="N155" s="26"/>
      <c r="O155" s="26"/>
      <c r="P155" s="27">
        <f>IF($B155&lt;&gt;"Challan","",I155+J155+K155+L155+M155+N155)</f>
      </c>
      <c r="Q155" s="25"/>
      <c r="R155" s="25"/>
      <c r="S155" s="25"/>
      <c r="T155" s="25"/>
      <c r="U155" s="25"/>
      <c r="V155" s="28"/>
      <c r="W155" s="28"/>
      <c r="X155" s="23">
        <f>IF($B155="Entry",IF(AND(LEN(TRIM(UPPER(W155)))=10,CODE(MID(TRIM(UPPER(W155)),1,1))&gt;=65,CODE(MID(TRIM(UPPER(W155)),1,1))&lt;=90,CODE(MID(TRIM(UPPER(W155)),2,1))&gt;=65,CODE(MID(TRIM(UPPER(W155)),2,1))&lt;=90,CODE(MID(TRIM(UPPER(W155)),3,1))&gt;=65,CODE(MID(TRIM(UPPER(W155)),3,1))&lt;=90,CODE(MID(TRIM(UPPER(W155)),4,1))&gt;=65,CODE(MID(TRIM(UPPER(W155)),4,1))&lt;=90,CODE(MID(TRIM(UPPER(W155)),5,1))&gt;=65,CODE(MID(TRIM(UPPER(W155)),5,1))&lt;=90,CODE(MID(TRIM(UPPER(W155)),10,1))&gt;=65,CODE(MID(TRIM(UPPER(W155)),10,1))&lt;=90,CODE(MID(TRIM(UPPER(W155)),6,1))&gt;=48,CODE(MID(TRIM(UPPER(W155)),6,1))&lt;=57,CODE(MID(TRIM(UPPER(W155)),7,1))&gt;=48,CODE(MID(TRIM(UPPER(W155)),7,1))&lt;=57,CODE(MID(TRIM(UPPER(W155)),8,1))&gt;=48,CODE(MID(TRIM(UPPER(W155)),8,1))&lt;=57,CODE(MID(TRIM(UPPER(W155)),9,1))&gt;=48,CODE(MID(TRIM(UPPER(W155)),9,1))&lt;=57),"N","Y"),IF($B155="Challan","",IF(W155&lt;&gt;"","◄ Set Row Type","")))</f>
      </c>
      <c r="Y155" s="23">
        <f>IF($B155="Entry",IF(LEN(W155)&lt;4,"",IF(UPPER(MID(W155,4,1))="P","Individual",IF(UPPER(MID(W155,4,1))="H","HUF",IF(UPPER(MID(W155,4,1))="C","Company",IF(UPPER(MID(W155,4,1))="F","Firm",IF(UPPER(MID(W155,4,1))="L","LLP",IF(UPPER(MID(W155,4,1))="T","Trust",IF(UPPER(MID(W155,4,1))="A","AOP","")))))))),IF($B155="Challan","",IF(W155&lt;&gt;"","◄ Set Row Type","")))</f>
      </c>
      <c r="Z155" s="28"/>
      <c r="AA155" s="29">
        <f>IF($B155&lt;&gt;"Entry","",IF(Z155="","",IF(X155="Y",SUMPRODUCT(('Rate Lookup'!$A$1:$A$37=Z155)*'Rate Lookup'!$D$1:$D$37),IF(OR(Y155="Individual",Y155="HUF"),SUMPRODUCT(('Rate Lookup'!$A$1:$A$37=Z155)*'Rate Lookup'!$B$1:$B$37),SUMPRODUCT(('Rate Lookup'!$A$1:$A$37=Z155)*'Rate Lookup'!$C$1:$C$37)))))</f>
      </c>
      <c r="AB155" s="30"/>
      <c r="AC155" s="31"/>
      <c r="AD155" s="27">
        <f>IF($B155&lt;&gt;"Entry","",ROUND(AC155*AA155/100,0))</f>
      </c>
      <c r="AE155" s="27">
        <f>IF($B155&lt;&gt;"Entry","",0)</f>
      </c>
      <c r="AF155" s="27">
        <f>IF($B155&lt;&gt;"Entry","",0)</f>
      </c>
      <c r="AG155" s="27">
        <f>IF($B155&lt;&gt;"Entry","",IF(OR(AD155=0,AB155="",AQ155="",AQ155&lt;=0),0,IF(AQ155&lt;=DATE(YEAR(AB155),MONTH(AB155)+1,7),0,ROUND(AD155*0.015*((YEAR(AQ155)-YEAR(AB155))*12+(MONTH(AQ155)-MONTH(AB155))+1),0))))</f>
      </c>
      <c r="AH155" s="27">
        <f>IF($B155&lt;&gt;"Entry","",0)</f>
      </c>
      <c r="AI155" s="28"/>
      <c r="AJ155" s="28"/>
      <c r="AK155" s="32"/>
      <c r="AL155" s="28"/>
      <c r="AM155" s="28"/>
      <c r="AN155" s="27">
        <f>IF($B155&lt;&gt;"Challan","",SUMIF('Q1 Data'!$D$4:$D$207,D155,'Q1 Data'!$AD$4:$AD$207)+SUMIF('Q1 Data'!$D$4:$D$207,D155,'Q1 Data'!$AG$4:$AG$207)+SUMIF('Q1 Data'!$D$4:$D$207,D155,'Q1 Data'!$AE$4:$AE$207)+SUMIF('Q2 Data'!$D$4:$D$207,D155,'Q2 Data'!$AD$4:$AD$207)+SUMIF('Q2 Data'!$D$4:$D$207,D155,'Q2 Data'!$AG$4:$AG$207)+SUMIF('Q2 Data'!$D$4:$D$207,D155,'Q2 Data'!$AE$4:$AE$207)+SUMIF('Q3 Data'!$D$4:$D$207,D155,'Q3 Data'!$AD$4:$AD$207)+SUMIF('Q3 Data'!$D$4:$D$207,D155,'Q3 Data'!$AG$4:$AG$207)+SUMIF('Q3 Data'!$D$4:$D$207,D155,'Q3 Data'!$AE$4:$AE$207)+SUMIF('Q4 Data'!$D$4:$D$207,D155,'Q4 Data'!$AD$4:$AD$207)+SUMIF('Q4 Data'!$D$4:$D$207,D155,'Q4 Data'!$AG$4:$AG$207)+SUMIF('Q4 Data'!$D$4:$D$207,D155,'Q4 Data'!$AE$4:$AE$207))</f>
      </c>
      <c r="AO155" s="27">
        <f>IF($B155&lt;&gt;"Challan","",P155-N155)</f>
      </c>
      <c r="AP155" s="27">
        <f>IF($B155&lt;&gt;"Challan","",MAX(0,AO155-AN155))</f>
      </c>
      <c r="AQ155" s="33">
        <f>IF($B155&lt;&gt;"Entry","",SUMPRODUCT(('Q1 Data'!$D$4:$D$207=D155)*('Q1 Data'!$B$4:$B$207="Challan")*'Q1 Data'!$F$4:$F$207)+SUMPRODUCT(('Q2 Data'!$D$4:$D$207=D155)*('Q2 Data'!$B$4:$B$207="Challan")*'Q2 Data'!$F$4:$F$207)+SUMPRODUCT(('Q3 Data'!$D$4:$D$207=D155)*('Q3 Data'!$B$4:$B$207="Challan")*'Q3 Data'!$F$4:$F$207)+SUMPRODUCT(('Q4 Data'!$D$4:$D$207=D155)*('Q4 Data'!$B$4:$B$207="Challan")*'Q4 Data'!$F$4:$F$207))</f>
      </c>
      <c r="AR155" s="34">
        <f>IF(OR($B155&lt;&gt;"Entry",Z155=""),FALSE,AND((SUMPRODUCT(('Q1 Data'!$D$4:$D$207=D155)*('Q1 Data'!$B$4:$B$207="Challan")*('Q1 Data'!$H$4:$H$207&lt;&gt;""))+SUMPRODUCT(('Q2 Data'!$D$4:$D$207=D155)*('Q2 Data'!$B$4:$B$207="Challan")*('Q2 Data'!$H$4:$H$207&lt;&gt;""))+SUMPRODUCT(('Q3 Data'!$D$4:$D$207=D155)*('Q3 Data'!$B$4:$B$207="Challan")*('Q3 Data'!$H$4:$H$207&lt;&gt;""))+SUMPRODUCT(('Q4 Data'!$D$4:$D$207=D155)*('Q4 Data'!$B$4:$B$207="Challan")*('Q4 Data'!$H$4:$H$207&lt;&gt;"")))&gt;0,(SUMPRODUCT(('Q1 Data'!$D$4:$D$207=D155)*('Q1 Data'!$B$4:$B$207="Challan")*('Q1 Data'!$H$4:$H$207=Z155))+SUMPRODUCT(('Q2 Data'!$D$4:$D$207=D155)*('Q2 Data'!$B$4:$B$207="Challan")*('Q2 Data'!$H$4:$H$207=Z155))+SUMPRODUCT(('Q3 Data'!$D$4:$D$207=D155)*('Q3 Data'!$B$4:$B$207="Challan")*('Q3 Data'!$H$4:$H$207=Z155))+SUMPRODUCT(('Q4 Data'!$D$4:$D$207=D155)*('Q4 Data'!$B$4:$B$207="Challan")*('Q4 Data'!$H$4:$H$207=Z155)))=0))</f>
      </c>
    </row>
    <row r="156" spans="1:44" x14ac:dyDescent="0.25">
      <c r="A156" s="20">
        <f>IF($B156="Entry",COUNTIF($B$4:$B156,"Entry"),"")</f>
      </c>
      <c r="B156" s="21"/>
      <c r="C156" s="22"/>
      <c r="D156" s="22"/>
      <c r="E156" s="23">
        <f>IF($B156&lt;&gt;"Challan","",IF(ROUND(AN156-AO156,2)&gt;0,"Over-applied",IF(ROUND(AN156-AO156,2)=0,"Fully Utilised","Unconsumed")))</f>
      </c>
      <c r="F156" s="24"/>
      <c r="G156" s="25"/>
      <c r="H156" s="25"/>
      <c r="I156" s="26"/>
      <c r="J156" s="26"/>
      <c r="K156" s="26"/>
      <c r="L156" s="26"/>
      <c r="M156" s="26"/>
      <c r="N156" s="26"/>
      <c r="O156" s="26"/>
      <c r="P156" s="27">
        <f>IF($B156&lt;&gt;"Challan","",I156+J156+K156+L156+M156+N156)</f>
      </c>
      <c r="Q156" s="25"/>
      <c r="R156" s="25"/>
      <c r="S156" s="25"/>
      <c r="T156" s="25"/>
      <c r="U156" s="25"/>
      <c r="V156" s="28"/>
      <c r="W156" s="28"/>
      <c r="X156" s="23">
        <f>IF($B156="Entry",IF(AND(LEN(TRIM(UPPER(W156)))=10,CODE(MID(TRIM(UPPER(W156)),1,1))&gt;=65,CODE(MID(TRIM(UPPER(W156)),1,1))&lt;=90,CODE(MID(TRIM(UPPER(W156)),2,1))&gt;=65,CODE(MID(TRIM(UPPER(W156)),2,1))&lt;=90,CODE(MID(TRIM(UPPER(W156)),3,1))&gt;=65,CODE(MID(TRIM(UPPER(W156)),3,1))&lt;=90,CODE(MID(TRIM(UPPER(W156)),4,1))&gt;=65,CODE(MID(TRIM(UPPER(W156)),4,1))&lt;=90,CODE(MID(TRIM(UPPER(W156)),5,1))&gt;=65,CODE(MID(TRIM(UPPER(W156)),5,1))&lt;=90,CODE(MID(TRIM(UPPER(W156)),10,1))&gt;=65,CODE(MID(TRIM(UPPER(W156)),10,1))&lt;=90,CODE(MID(TRIM(UPPER(W156)),6,1))&gt;=48,CODE(MID(TRIM(UPPER(W156)),6,1))&lt;=57,CODE(MID(TRIM(UPPER(W156)),7,1))&gt;=48,CODE(MID(TRIM(UPPER(W156)),7,1))&lt;=57,CODE(MID(TRIM(UPPER(W156)),8,1))&gt;=48,CODE(MID(TRIM(UPPER(W156)),8,1))&lt;=57,CODE(MID(TRIM(UPPER(W156)),9,1))&gt;=48,CODE(MID(TRIM(UPPER(W156)),9,1))&lt;=57),"N","Y"),IF($B156="Challan","",IF(W156&lt;&gt;"","◄ Set Row Type","")))</f>
      </c>
      <c r="Y156" s="23">
        <f>IF($B156="Entry",IF(LEN(W156)&lt;4,"",IF(UPPER(MID(W156,4,1))="P","Individual",IF(UPPER(MID(W156,4,1))="H","HUF",IF(UPPER(MID(W156,4,1))="C","Company",IF(UPPER(MID(W156,4,1))="F","Firm",IF(UPPER(MID(W156,4,1))="L","LLP",IF(UPPER(MID(W156,4,1))="T","Trust",IF(UPPER(MID(W156,4,1))="A","AOP","")))))))),IF($B156="Challan","",IF(W156&lt;&gt;"","◄ Set Row Type","")))</f>
      </c>
      <c r="Z156" s="28"/>
      <c r="AA156" s="29">
        <f>IF($B156&lt;&gt;"Entry","",IF(Z156="","",IF(X156="Y",SUMPRODUCT(('Rate Lookup'!$A$1:$A$37=Z156)*'Rate Lookup'!$D$1:$D$37),IF(OR(Y156="Individual",Y156="HUF"),SUMPRODUCT(('Rate Lookup'!$A$1:$A$37=Z156)*'Rate Lookup'!$B$1:$B$37),SUMPRODUCT(('Rate Lookup'!$A$1:$A$37=Z156)*'Rate Lookup'!$C$1:$C$37)))))</f>
      </c>
      <c r="AB156" s="30"/>
      <c r="AC156" s="31"/>
      <c r="AD156" s="27">
        <f>IF($B156&lt;&gt;"Entry","",ROUND(AC156*AA156/100,0))</f>
      </c>
      <c r="AE156" s="27">
        <f>IF($B156&lt;&gt;"Entry","",0)</f>
      </c>
      <c r="AF156" s="27">
        <f>IF($B156&lt;&gt;"Entry","",0)</f>
      </c>
      <c r="AG156" s="27">
        <f>IF($B156&lt;&gt;"Entry","",IF(OR(AD156=0,AB156="",AQ156="",AQ156&lt;=0),0,IF(AQ156&lt;=DATE(YEAR(AB156),MONTH(AB156)+1,7),0,ROUND(AD156*0.015*((YEAR(AQ156)-YEAR(AB156))*12+(MONTH(AQ156)-MONTH(AB156))+1),0))))</f>
      </c>
      <c r="AH156" s="27">
        <f>IF($B156&lt;&gt;"Entry","",0)</f>
      </c>
      <c r="AI156" s="28"/>
      <c r="AJ156" s="28"/>
      <c r="AK156" s="32"/>
      <c r="AL156" s="28"/>
      <c r="AM156" s="28"/>
      <c r="AN156" s="27">
        <f>IF($B156&lt;&gt;"Challan","",SUMIF('Q1 Data'!$D$4:$D$207,D156,'Q1 Data'!$AD$4:$AD$207)+SUMIF('Q1 Data'!$D$4:$D$207,D156,'Q1 Data'!$AG$4:$AG$207)+SUMIF('Q1 Data'!$D$4:$D$207,D156,'Q1 Data'!$AE$4:$AE$207)+SUMIF('Q2 Data'!$D$4:$D$207,D156,'Q2 Data'!$AD$4:$AD$207)+SUMIF('Q2 Data'!$D$4:$D$207,D156,'Q2 Data'!$AG$4:$AG$207)+SUMIF('Q2 Data'!$D$4:$D$207,D156,'Q2 Data'!$AE$4:$AE$207)+SUMIF('Q3 Data'!$D$4:$D$207,D156,'Q3 Data'!$AD$4:$AD$207)+SUMIF('Q3 Data'!$D$4:$D$207,D156,'Q3 Data'!$AG$4:$AG$207)+SUMIF('Q3 Data'!$D$4:$D$207,D156,'Q3 Data'!$AE$4:$AE$207)+SUMIF('Q4 Data'!$D$4:$D$207,D156,'Q4 Data'!$AD$4:$AD$207)+SUMIF('Q4 Data'!$D$4:$D$207,D156,'Q4 Data'!$AG$4:$AG$207)+SUMIF('Q4 Data'!$D$4:$D$207,D156,'Q4 Data'!$AE$4:$AE$207))</f>
      </c>
      <c r="AO156" s="27">
        <f>IF($B156&lt;&gt;"Challan","",P156-N156)</f>
      </c>
      <c r="AP156" s="27">
        <f>IF($B156&lt;&gt;"Challan","",MAX(0,AO156-AN156))</f>
      </c>
      <c r="AQ156" s="33">
        <f>IF($B156&lt;&gt;"Entry","",SUMPRODUCT(('Q1 Data'!$D$4:$D$207=D156)*('Q1 Data'!$B$4:$B$207="Challan")*'Q1 Data'!$F$4:$F$207)+SUMPRODUCT(('Q2 Data'!$D$4:$D$207=D156)*('Q2 Data'!$B$4:$B$207="Challan")*'Q2 Data'!$F$4:$F$207)+SUMPRODUCT(('Q3 Data'!$D$4:$D$207=D156)*('Q3 Data'!$B$4:$B$207="Challan")*'Q3 Data'!$F$4:$F$207)+SUMPRODUCT(('Q4 Data'!$D$4:$D$207=D156)*('Q4 Data'!$B$4:$B$207="Challan")*'Q4 Data'!$F$4:$F$207))</f>
      </c>
      <c r="AR156" s="34">
        <f>IF(OR($B156&lt;&gt;"Entry",Z156=""),FALSE,AND((SUMPRODUCT(('Q1 Data'!$D$4:$D$207=D156)*('Q1 Data'!$B$4:$B$207="Challan")*('Q1 Data'!$H$4:$H$207&lt;&gt;""))+SUMPRODUCT(('Q2 Data'!$D$4:$D$207=D156)*('Q2 Data'!$B$4:$B$207="Challan")*('Q2 Data'!$H$4:$H$207&lt;&gt;""))+SUMPRODUCT(('Q3 Data'!$D$4:$D$207=D156)*('Q3 Data'!$B$4:$B$207="Challan")*('Q3 Data'!$H$4:$H$207&lt;&gt;""))+SUMPRODUCT(('Q4 Data'!$D$4:$D$207=D156)*('Q4 Data'!$B$4:$B$207="Challan")*('Q4 Data'!$H$4:$H$207&lt;&gt;"")))&gt;0,(SUMPRODUCT(('Q1 Data'!$D$4:$D$207=D156)*('Q1 Data'!$B$4:$B$207="Challan")*('Q1 Data'!$H$4:$H$207=Z156))+SUMPRODUCT(('Q2 Data'!$D$4:$D$207=D156)*('Q2 Data'!$B$4:$B$207="Challan")*('Q2 Data'!$H$4:$H$207=Z156))+SUMPRODUCT(('Q3 Data'!$D$4:$D$207=D156)*('Q3 Data'!$B$4:$B$207="Challan")*('Q3 Data'!$H$4:$H$207=Z156))+SUMPRODUCT(('Q4 Data'!$D$4:$D$207=D156)*('Q4 Data'!$B$4:$B$207="Challan")*('Q4 Data'!$H$4:$H$207=Z156)))=0))</f>
      </c>
    </row>
    <row r="157" spans="1:44" x14ac:dyDescent="0.25">
      <c r="A157" s="20">
        <f>IF($B157="Entry",COUNTIF($B$4:$B157,"Entry"),"")</f>
      </c>
      <c r="B157" s="21"/>
      <c r="C157" s="22"/>
      <c r="D157" s="22"/>
      <c r="E157" s="23">
        <f>IF($B157&lt;&gt;"Challan","",IF(ROUND(AN157-AO157,2)&gt;0,"Over-applied",IF(ROUND(AN157-AO157,2)=0,"Fully Utilised","Unconsumed")))</f>
      </c>
      <c r="F157" s="24"/>
      <c r="G157" s="25"/>
      <c r="H157" s="25"/>
      <c r="I157" s="26"/>
      <c r="J157" s="26"/>
      <c r="K157" s="26"/>
      <c r="L157" s="26"/>
      <c r="M157" s="26"/>
      <c r="N157" s="26"/>
      <c r="O157" s="26"/>
      <c r="P157" s="27">
        <f>IF($B157&lt;&gt;"Challan","",I157+J157+K157+L157+M157+N157)</f>
      </c>
      <c r="Q157" s="25"/>
      <c r="R157" s="25"/>
      <c r="S157" s="25"/>
      <c r="T157" s="25"/>
      <c r="U157" s="25"/>
      <c r="V157" s="28"/>
      <c r="W157" s="28"/>
      <c r="X157" s="23">
        <f>IF($B157="Entry",IF(AND(LEN(TRIM(UPPER(W157)))=10,CODE(MID(TRIM(UPPER(W157)),1,1))&gt;=65,CODE(MID(TRIM(UPPER(W157)),1,1))&lt;=90,CODE(MID(TRIM(UPPER(W157)),2,1))&gt;=65,CODE(MID(TRIM(UPPER(W157)),2,1))&lt;=90,CODE(MID(TRIM(UPPER(W157)),3,1))&gt;=65,CODE(MID(TRIM(UPPER(W157)),3,1))&lt;=90,CODE(MID(TRIM(UPPER(W157)),4,1))&gt;=65,CODE(MID(TRIM(UPPER(W157)),4,1))&lt;=90,CODE(MID(TRIM(UPPER(W157)),5,1))&gt;=65,CODE(MID(TRIM(UPPER(W157)),5,1))&lt;=90,CODE(MID(TRIM(UPPER(W157)),10,1))&gt;=65,CODE(MID(TRIM(UPPER(W157)),10,1))&lt;=90,CODE(MID(TRIM(UPPER(W157)),6,1))&gt;=48,CODE(MID(TRIM(UPPER(W157)),6,1))&lt;=57,CODE(MID(TRIM(UPPER(W157)),7,1))&gt;=48,CODE(MID(TRIM(UPPER(W157)),7,1))&lt;=57,CODE(MID(TRIM(UPPER(W157)),8,1))&gt;=48,CODE(MID(TRIM(UPPER(W157)),8,1))&lt;=57,CODE(MID(TRIM(UPPER(W157)),9,1))&gt;=48,CODE(MID(TRIM(UPPER(W157)),9,1))&lt;=57),"N","Y"),IF($B157="Challan","",IF(W157&lt;&gt;"","◄ Set Row Type","")))</f>
      </c>
      <c r="Y157" s="23">
        <f>IF($B157="Entry",IF(LEN(W157)&lt;4,"",IF(UPPER(MID(W157,4,1))="P","Individual",IF(UPPER(MID(W157,4,1))="H","HUF",IF(UPPER(MID(W157,4,1))="C","Company",IF(UPPER(MID(W157,4,1))="F","Firm",IF(UPPER(MID(W157,4,1))="L","LLP",IF(UPPER(MID(W157,4,1))="T","Trust",IF(UPPER(MID(W157,4,1))="A","AOP","")))))))),IF($B157="Challan","",IF(W157&lt;&gt;"","◄ Set Row Type","")))</f>
      </c>
      <c r="Z157" s="28"/>
      <c r="AA157" s="29">
        <f>IF($B157&lt;&gt;"Entry","",IF(Z157="","",IF(X157="Y",SUMPRODUCT(('Rate Lookup'!$A$1:$A$37=Z157)*'Rate Lookup'!$D$1:$D$37),IF(OR(Y157="Individual",Y157="HUF"),SUMPRODUCT(('Rate Lookup'!$A$1:$A$37=Z157)*'Rate Lookup'!$B$1:$B$37),SUMPRODUCT(('Rate Lookup'!$A$1:$A$37=Z157)*'Rate Lookup'!$C$1:$C$37)))))</f>
      </c>
      <c r="AB157" s="30"/>
      <c r="AC157" s="31"/>
      <c r="AD157" s="27">
        <f>IF($B157&lt;&gt;"Entry","",ROUND(AC157*AA157/100,0))</f>
      </c>
      <c r="AE157" s="27">
        <f>IF($B157&lt;&gt;"Entry","",0)</f>
      </c>
      <c r="AF157" s="27">
        <f>IF($B157&lt;&gt;"Entry","",0)</f>
      </c>
      <c r="AG157" s="27">
        <f>IF($B157&lt;&gt;"Entry","",IF(OR(AD157=0,AB157="",AQ157="",AQ157&lt;=0),0,IF(AQ157&lt;=DATE(YEAR(AB157),MONTH(AB157)+1,7),0,ROUND(AD157*0.015*((YEAR(AQ157)-YEAR(AB157))*12+(MONTH(AQ157)-MONTH(AB157))+1),0))))</f>
      </c>
      <c r="AH157" s="27">
        <f>IF($B157&lt;&gt;"Entry","",0)</f>
      </c>
      <c r="AI157" s="28"/>
      <c r="AJ157" s="28"/>
      <c r="AK157" s="32"/>
      <c r="AL157" s="28"/>
      <c r="AM157" s="28"/>
      <c r="AN157" s="27">
        <f>IF($B157&lt;&gt;"Challan","",SUMIF('Q1 Data'!$D$4:$D$207,D157,'Q1 Data'!$AD$4:$AD$207)+SUMIF('Q1 Data'!$D$4:$D$207,D157,'Q1 Data'!$AG$4:$AG$207)+SUMIF('Q1 Data'!$D$4:$D$207,D157,'Q1 Data'!$AE$4:$AE$207)+SUMIF('Q2 Data'!$D$4:$D$207,D157,'Q2 Data'!$AD$4:$AD$207)+SUMIF('Q2 Data'!$D$4:$D$207,D157,'Q2 Data'!$AG$4:$AG$207)+SUMIF('Q2 Data'!$D$4:$D$207,D157,'Q2 Data'!$AE$4:$AE$207)+SUMIF('Q3 Data'!$D$4:$D$207,D157,'Q3 Data'!$AD$4:$AD$207)+SUMIF('Q3 Data'!$D$4:$D$207,D157,'Q3 Data'!$AG$4:$AG$207)+SUMIF('Q3 Data'!$D$4:$D$207,D157,'Q3 Data'!$AE$4:$AE$207)+SUMIF('Q4 Data'!$D$4:$D$207,D157,'Q4 Data'!$AD$4:$AD$207)+SUMIF('Q4 Data'!$D$4:$D$207,D157,'Q4 Data'!$AG$4:$AG$207)+SUMIF('Q4 Data'!$D$4:$D$207,D157,'Q4 Data'!$AE$4:$AE$207))</f>
      </c>
      <c r="AO157" s="27">
        <f>IF($B157&lt;&gt;"Challan","",P157-N157)</f>
      </c>
      <c r="AP157" s="27">
        <f>IF($B157&lt;&gt;"Challan","",MAX(0,AO157-AN157))</f>
      </c>
      <c r="AQ157" s="33">
        <f>IF($B157&lt;&gt;"Entry","",SUMPRODUCT(('Q1 Data'!$D$4:$D$207=D157)*('Q1 Data'!$B$4:$B$207="Challan")*'Q1 Data'!$F$4:$F$207)+SUMPRODUCT(('Q2 Data'!$D$4:$D$207=D157)*('Q2 Data'!$B$4:$B$207="Challan")*'Q2 Data'!$F$4:$F$207)+SUMPRODUCT(('Q3 Data'!$D$4:$D$207=D157)*('Q3 Data'!$B$4:$B$207="Challan")*'Q3 Data'!$F$4:$F$207)+SUMPRODUCT(('Q4 Data'!$D$4:$D$207=D157)*('Q4 Data'!$B$4:$B$207="Challan")*'Q4 Data'!$F$4:$F$207))</f>
      </c>
      <c r="AR157" s="34">
        <f>IF(OR($B157&lt;&gt;"Entry",Z157=""),FALSE,AND((SUMPRODUCT(('Q1 Data'!$D$4:$D$207=D157)*('Q1 Data'!$B$4:$B$207="Challan")*('Q1 Data'!$H$4:$H$207&lt;&gt;""))+SUMPRODUCT(('Q2 Data'!$D$4:$D$207=D157)*('Q2 Data'!$B$4:$B$207="Challan")*('Q2 Data'!$H$4:$H$207&lt;&gt;""))+SUMPRODUCT(('Q3 Data'!$D$4:$D$207=D157)*('Q3 Data'!$B$4:$B$207="Challan")*('Q3 Data'!$H$4:$H$207&lt;&gt;""))+SUMPRODUCT(('Q4 Data'!$D$4:$D$207=D157)*('Q4 Data'!$B$4:$B$207="Challan")*('Q4 Data'!$H$4:$H$207&lt;&gt;"")))&gt;0,(SUMPRODUCT(('Q1 Data'!$D$4:$D$207=D157)*('Q1 Data'!$B$4:$B$207="Challan")*('Q1 Data'!$H$4:$H$207=Z157))+SUMPRODUCT(('Q2 Data'!$D$4:$D$207=D157)*('Q2 Data'!$B$4:$B$207="Challan")*('Q2 Data'!$H$4:$H$207=Z157))+SUMPRODUCT(('Q3 Data'!$D$4:$D$207=D157)*('Q3 Data'!$B$4:$B$207="Challan")*('Q3 Data'!$H$4:$H$207=Z157))+SUMPRODUCT(('Q4 Data'!$D$4:$D$207=D157)*('Q4 Data'!$B$4:$B$207="Challan")*('Q4 Data'!$H$4:$H$207=Z157)))=0))</f>
      </c>
    </row>
    <row r="158" spans="1:44" x14ac:dyDescent="0.25">
      <c r="A158" s="20">
        <f>IF($B158="Entry",COUNTIF($B$4:$B158,"Entry"),"")</f>
      </c>
      <c r="B158" s="21"/>
      <c r="C158" s="22"/>
      <c r="D158" s="22"/>
      <c r="E158" s="23">
        <f>IF($B158&lt;&gt;"Challan","",IF(ROUND(AN158-AO158,2)&gt;0,"Over-applied",IF(ROUND(AN158-AO158,2)=0,"Fully Utilised","Unconsumed")))</f>
      </c>
      <c r="F158" s="24"/>
      <c r="G158" s="25"/>
      <c r="H158" s="25"/>
      <c r="I158" s="26"/>
      <c r="J158" s="26"/>
      <c r="K158" s="26"/>
      <c r="L158" s="26"/>
      <c r="M158" s="26"/>
      <c r="N158" s="26"/>
      <c r="O158" s="26"/>
      <c r="P158" s="27">
        <f>IF($B158&lt;&gt;"Challan","",I158+J158+K158+L158+M158+N158)</f>
      </c>
      <c r="Q158" s="25"/>
      <c r="R158" s="25"/>
      <c r="S158" s="25"/>
      <c r="T158" s="25"/>
      <c r="U158" s="25"/>
      <c r="V158" s="28"/>
      <c r="W158" s="28"/>
      <c r="X158" s="23">
        <f>IF($B158="Entry",IF(AND(LEN(TRIM(UPPER(W158)))=10,CODE(MID(TRIM(UPPER(W158)),1,1))&gt;=65,CODE(MID(TRIM(UPPER(W158)),1,1))&lt;=90,CODE(MID(TRIM(UPPER(W158)),2,1))&gt;=65,CODE(MID(TRIM(UPPER(W158)),2,1))&lt;=90,CODE(MID(TRIM(UPPER(W158)),3,1))&gt;=65,CODE(MID(TRIM(UPPER(W158)),3,1))&lt;=90,CODE(MID(TRIM(UPPER(W158)),4,1))&gt;=65,CODE(MID(TRIM(UPPER(W158)),4,1))&lt;=90,CODE(MID(TRIM(UPPER(W158)),5,1))&gt;=65,CODE(MID(TRIM(UPPER(W158)),5,1))&lt;=90,CODE(MID(TRIM(UPPER(W158)),10,1))&gt;=65,CODE(MID(TRIM(UPPER(W158)),10,1))&lt;=90,CODE(MID(TRIM(UPPER(W158)),6,1))&gt;=48,CODE(MID(TRIM(UPPER(W158)),6,1))&lt;=57,CODE(MID(TRIM(UPPER(W158)),7,1))&gt;=48,CODE(MID(TRIM(UPPER(W158)),7,1))&lt;=57,CODE(MID(TRIM(UPPER(W158)),8,1))&gt;=48,CODE(MID(TRIM(UPPER(W158)),8,1))&lt;=57,CODE(MID(TRIM(UPPER(W158)),9,1))&gt;=48,CODE(MID(TRIM(UPPER(W158)),9,1))&lt;=57),"N","Y"),IF($B158="Challan","",IF(W158&lt;&gt;"","◄ Set Row Type","")))</f>
      </c>
      <c r="Y158" s="23">
        <f>IF($B158="Entry",IF(LEN(W158)&lt;4,"",IF(UPPER(MID(W158,4,1))="P","Individual",IF(UPPER(MID(W158,4,1))="H","HUF",IF(UPPER(MID(W158,4,1))="C","Company",IF(UPPER(MID(W158,4,1))="F","Firm",IF(UPPER(MID(W158,4,1))="L","LLP",IF(UPPER(MID(W158,4,1))="T","Trust",IF(UPPER(MID(W158,4,1))="A","AOP","")))))))),IF($B158="Challan","",IF(W158&lt;&gt;"","◄ Set Row Type","")))</f>
      </c>
      <c r="Z158" s="28"/>
      <c r="AA158" s="29">
        <f>IF($B158&lt;&gt;"Entry","",IF(Z158="","",IF(X158="Y",SUMPRODUCT(('Rate Lookup'!$A$1:$A$37=Z158)*'Rate Lookup'!$D$1:$D$37),IF(OR(Y158="Individual",Y158="HUF"),SUMPRODUCT(('Rate Lookup'!$A$1:$A$37=Z158)*'Rate Lookup'!$B$1:$B$37),SUMPRODUCT(('Rate Lookup'!$A$1:$A$37=Z158)*'Rate Lookup'!$C$1:$C$37)))))</f>
      </c>
      <c r="AB158" s="30"/>
      <c r="AC158" s="31"/>
      <c r="AD158" s="27">
        <f>IF($B158&lt;&gt;"Entry","",ROUND(AC158*AA158/100,0))</f>
      </c>
      <c r="AE158" s="27">
        <f>IF($B158&lt;&gt;"Entry","",0)</f>
      </c>
      <c r="AF158" s="27">
        <f>IF($B158&lt;&gt;"Entry","",0)</f>
      </c>
      <c r="AG158" s="27">
        <f>IF($B158&lt;&gt;"Entry","",IF(OR(AD158=0,AB158="",AQ158="",AQ158&lt;=0),0,IF(AQ158&lt;=DATE(YEAR(AB158),MONTH(AB158)+1,7),0,ROUND(AD158*0.015*((YEAR(AQ158)-YEAR(AB158))*12+(MONTH(AQ158)-MONTH(AB158))+1),0))))</f>
      </c>
      <c r="AH158" s="27">
        <f>IF($B158&lt;&gt;"Entry","",0)</f>
      </c>
      <c r="AI158" s="28"/>
      <c r="AJ158" s="28"/>
      <c r="AK158" s="32"/>
      <c r="AL158" s="28"/>
      <c r="AM158" s="28"/>
      <c r="AN158" s="27">
        <f>IF($B158&lt;&gt;"Challan","",SUMIF('Q1 Data'!$D$4:$D$207,D158,'Q1 Data'!$AD$4:$AD$207)+SUMIF('Q1 Data'!$D$4:$D$207,D158,'Q1 Data'!$AG$4:$AG$207)+SUMIF('Q1 Data'!$D$4:$D$207,D158,'Q1 Data'!$AE$4:$AE$207)+SUMIF('Q2 Data'!$D$4:$D$207,D158,'Q2 Data'!$AD$4:$AD$207)+SUMIF('Q2 Data'!$D$4:$D$207,D158,'Q2 Data'!$AG$4:$AG$207)+SUMIF('Q2 Data'!$D$4:$D$207,D158,'Q2 Data'!$AE$4:$AE$207)+SUMIF('Q3 Data'!$D$4:$D$207,D158,'Q3 Data'!$AD$4:$AD$207)+SUMIF('Q3 Data'!$D$4:$D$207,D158,'Q3 Data'!$AG$4:$AG$207)+SUMIF('Q3 Data'!$D$4:$D$207,D158,'Q3 Data'!$AE$4:$AE$207)+SUMIF('Q4 Data'!$D$4:$D$207,D158,'Q4 Data'!$AD$4:$AD$207)+SUMIF('Q4 Data'!$D$4:$D$207,D158,'Q4 Data'!$AG$4:$AG$207)+SUMIF('Q4 Data'!$D$4:$D$207,D158,'Q4 Data'!$AE$4:$AE$207))</f>
      </c>
      <c r="AO158" s="27">
        <f>IF($B158&lt;&gt;"Challan","",P158-N158)</f>
      </c>
      <c r="AP158" s="27">
        <f>IF($B158&lt;&gt;"Challan","",MAX(0,AO158-AN158))</f>
      </c>
      <c r="AQ158" s="33">
        <f>IF($B158&lt;&gt;"Entry","",SUMPRODUCT(('Q1 Data'!$D$4:$D$207=D158)*('Q1 Data'!$B$4:$B$207="Challan")*'Q1 Data'!$F$4:$F$207)+SUMPRODUCT(('Q2 Data'!$D$4:$D$207=D158)*('Q2 Data'!$B$4:$B$207="Challan")*'Q2 Data'!$F$4:$F$207)+SUMPRODUCT(('Q3 Data'!$D$4:$D$207=D158)*('Q3 Data'!$B$4:$B$207="Challan")*'Q3 Data'!$F$4:$F$207)+SUMPRODUCT(('Q4 Data'!$D$4:$D$207=D158)*('Q4 Data'!$B$4:$B$207="Challan")*'Q4 Data'!$F$4:$F$207))</f>
      </c>
      <c r="AR158" s="34">
        <f>IF(OR($B158&lt;&gt;"Entry",Z158=""),FALSE,AND((SUMPRODUCT(('Q1 Data'!$D$4:$D$207=D158)*('Q1 Data'!$B$4:$B$207="Challan")*('Q1 Data'!$H$4:$H$207&lt;&gt;""))+SUMPRODUCT(('Q2 Data'!$D$4:$D$207=D158)*('Q2 Data'!$B$4:$B$207="Challan")*('Q2 Data'!$H$4:$H$207&lt;&gt;""))+SUMPRODUCT(('Q3 Data'!$D$4:$D$207=D158)*('Q3 Data'!$B$4:$B$207="Challan")*('Q3 Data'!$H$4:$H$207&lt;&gt;""))+SUMPRODUCT(('Q4 Data'!$D$4:$D$207=D158)*('Q4 Data'!$B$4:$B$207="Challan")*('Q4 Data'!$H$4:$H$207&lt;&gt;"")))&gt;0,(SUMPRODUCT(('Q1 Data'!$D$4:$D$207=D158)*('Q1 Data'!$B$4:$B$207="Challan")*('Q1 Data'!$H$4:$H$207=Z158))+SUMPRODUCT(('Q2 Data'!$D$4:$D$207=D158)*('Q2 Data'!$B$4:$B$207="Challan")*('Q2 Data'!$H$4:$H$207=Z158))+SUMPRODUCT(('Q3 Data'!$D$4:$D$207=D158)*('Q3 Data'!$B$4:$B$207="Challan")*('Q3 Data'!$H$4:$H$207=Z158))+SUMPRODUCT(('Q4 Data'!$D$4:$D$207=D158)*('Q4 Data'!$B$4:$B$207="Challan")*('Q4 Data'!$H$4:$H$207=Z158)))=0))</f>
      </c>
    </row>
    <row r="159" spans="1:44" x14ac:dyDescent="0.25">
      <c r="A159" s="20">
        <f>IF($B159="Entry",COUNTIF($B$4:$B159,"Entry"),"")</f>
      </c>
      <c r="B159" s="21"/>
      <c r="C159" s="22"/>
      <c r="D159" s="22"/>
      <c r="E159" s="23">
        <f>IF($B159&lt;&gt;"Challan","",IF(ROUND(AN159-AO159,2)&gt;0,"Over-applied",IF(ROUND(AN159-AO159,2)=0,"Fully Utilised","Unconsumed")))</f>
      </c>
      <c r="F159" s="24"/>
      <c r="G159" s="25"/>
      <c r="H159" s="25"/>
      <c r="I159" s="26"/>
      <c r="J159" s="26"/>
      <c r="K159" s="26"/>
      <c r="L159" s="26"/>
      <c r="M159" s="26"/>
      <c r="N159" s="26"/>
      <c r="O159" s="26"/>
      <c r="P159" s="27">
        <f>IF($B159&lt;&gt;"Challan","",I159+J159+K159+L159+M159+N159)</f>
      </c>
      <c r="Q159" s="25"/>
      <c r="R159" s="25"/>
      <c r="S159" s="25"/>
      <c r="T159" s="25"/>
      <c r="U159" s="25"/>
      <c r="V159" s="28"/>
      <c r="W159" s="28"/>
      <c r="X159" s="23">
        <f>IF($B159="Entry",IF(AND(LEN(TRIM(UPPER(W159)))=10,CODE(MID(TRIM(UPPER(W159)),1,1))&gt;=65,CODE(MID(TRIM(UPPER(W159)),1,1))&lt;=90,CODE(MID(TRIM(UPPER(W159)),2,1))&gt;=65,CODE(MID(TRIM(UPPER(W159)),2,1))&lt;=90,CODE(MID(TRIM(UPPER(W159)),3,1))&gt;=65,CODE(MID(TRIM(UPPER(W159)),3,1))&lt;=90,CODE(MID(TRIM(UPPER(W159)),4,1))&gt;=65,CODE(MID(TRIM(UPPER(W159)),4,1))&lt;=90,CODE(MID(TRIM(UPPER(W159)),5,1))&gt;=65,CODE(MID(TRIM(UPPER(W159)),5,1))&lt;=90,CODE(MID(TRIM(UPPER(W159)),10,1))&gt;=65,CODE(MID(TRIM(UPPER(W159)),10,1))&lt;=90,CODE(MID(TRIM(UPPER(W159)),6,1))&gt;=48,CODE(MID(TRIM(UPPER(W159)),6,1))&lt;=57,CODE(MID(TRIM(UPPER(W159)),7,1))&gt;=48,CODE(MID(TRIM(UPPER(W159)),7,1))&lt;=57,CODE(MID(TRIM(UPPER(W159)),8,1))&gt;=48,CODE(MID(TRIM(UPPER(W159)),8,1))&lt;=57,CODE(MID(TRIM(UPPER(W159)),9,1))&gt;=48,CODE(MID(TRIM(UPPER(W159)),9,1))&lt;=57),"N","Y"),IF($B159="Challan","",IF(W159&lt;&gt;"","◄ Set Row Type","")))</f>
      </c>
      <c r="Y159" s="23">
        <f>IF($B159="Entry",IF(LEN(W159)&lt;4,"",IF(UPPER(MID(W159,4,1))="P","Individual",IF(UPPER(MID(W159,4,1))="H","HUF",IF(UPPER(MID(W159,4,1))="C","Company",IF(UPPER(MID(W159,4,1))="F","Firm",IF(UPPER(MID(W159,4,1))="L","LLP",IF(UPPER(MID(W159,4,1))="T","Trust",IF(UPPER(MID(W159,4,1))="A","AOP","")))))))),IF($B159="Challan","",IF(W159&lt;&gt;"","◄ Set Row Type","")))</f>
      </c>
      <c r="Z159" s="28"/>
      <c r="AA159" s="29">
        <f>IF($B159&lt;&gt;"Entry","",IF(Z159="","",IF(X159="Y",SUMPRODUCT(('Rate Lookup'!$A$1:$A$37=Z159)*'Rate Lookup'!$D$1:$D$37),IF(OR(Y159="Individual",Y159="HUF"),SUMPRODUCT(('Rate Lookup'!$A$1:$A$37=Z159)*'Rate Lookup'!$B$1:$B$37),SUMPRODUCT(('Rate Lookup'!$A$1:$A$37=Z159)*'Rate Lookup'!$C$1:$C$37)))))</f>
      </c>
      <c r="AB159" s="30"/>
      <c r="AC159" s="31"/>
      <c r="AD159" s="27">
        <f>IF($B159&lt;&gt;"Entry","",ROUND(AC159*AA159/100,0))</f>
      </c>
      <c r="AE159" s="27">
        <f>IF($B159&lt;&gt;"Entry","",0)</f>
      </c>
      <c r="AF159" s="27">
        <f>IF($B159&lt;&gt;"Entry","",0)</f>
      </c>
      <c r="AG159" s="27">
        <f>IF($B159&lt;&gt;"Entry","",IF(OR(AD159=0,AB159="",AQ159="",AQ159&lt;=0),0,IF(AQ159&lt;=DATE(YEAR(AB159),MONTH(AB159)+1,7),0,ROUND(AD159*0.015*((YEAR(AQ159)-YEAR(AB159))*12+(MONTH(AQ159)-MONTH(AB159))+1),0))))</f>
      </c>
      <c r="AH159" s="27">
        <f>IF($B159&lt;&gt;"Entry","",0)</f>
      </c>
      <c r="AI159" s="28"/>
      <c r="AJ159" s="28"/>
      <c r="AK159" s="32"/>
      <c r="AL159" s="28"/>
      <c r="AM159" s="28"/>
      <c r="AN159" s="27">
        <f>IF($B159&lt;&gt;"Challan","",SUMIF('Q1 Data'!$D$4:$D$207,D159,'Q1 Data'!$AD$4:$AD$207)+SUMIF('Q1 Data'!$D$4:$D$207,D159,'Q1 Data'!$AG$4:$AG$207)+SUMIF('Q1 Data'!$D$4:$D$207,D159,'Q1 Data'!$AE$4:$AE$207)+SUMIF('Q2 Data'!$D$4:$D$207,D159,'Q2 Data'!$AD$4:$AD$207)+SUMIF('Q2 Data'!$D$4:$D$207,D159,'Q2 Data'!$AG$4:$AG$207)+SUMIF('Q2 Data'!$D$4:$D$207,D159,'Q2 Data'!$AE$4:$AE$207)+SUMIF('Q3 Data'!$D$4:$D$207,D159,'Q3 Data'!$AD$4:$AD$207)+SUMIF('Q3 Data'!$D$4:$D$207,D159,'Q3 Data'!$AG$4:$AG$207)+SUMIF('Q3 Data'!$D$4:$D$207,D159,'Q3 Data'!$AE$4:$AE$207)+SUMIF('Q4 Data'!$D$4:$D$207,D159,'Q4 Data'!$AD$4:$AD$207)+SUMIF('Q4 Data'!$D$4:$D$207,D159,'Q4 Data'!$AG$4:$AG$207)+SUMIF('Q4 Data'!$D$4:$D$207,D159,'Q4 Data'!$AE$4:$AE$207))</f>
      </c>
      <c r="AO159" s="27">
        <f>IF($B159&lt;&gt;"Challan","",P159-N159)</f>
      </c>
      <c r="AP159" s="27">
        <f>IF($B159&lt;&gt;"Challan","",MAX(0,AO159-AN159))</f>
      </c>
      <c r="AQ159" s="33">
        <f>IF($B159&lt;&gt;"Entry","",SUMPRODUCT(('Q1 Data'!$D$4:$D$207=D159)*('Q1 Data'!$B$4:$B$207="Challan")*'Q1 Data'!$F$4:$F$207)+SUMPRODUCT(('Q2 Data'!$D$4:$D$207=D159)*('Q2 Data'!$B$4:$B$207="Challan")*'Q2 Data'!$F$4:$F$207)+SUMPRODUCT(('Q3 Data'!$D$4:$D$207=D159)*('Q3 Data'!$B$4:$B$207="Challan")*'Q3 Data'!$F$4:$F$207)+SUMPRODUCT(('Q4 Data'!$D$4:$D$207=D159)*('Q4 Data'!$B$4:$B$207="Challan")*'Q4 Data'!$F$4:$F$207))</f>
      </c>
      <c r="AR159" s="34">
        <f>IF(OR($B159&lt;&gt;"Entry",Z159=""),FALSE,AND((SUMPRODUCT(('Q1 Data'!$D$4:$D$207=D159)*('Q1 Data'!$B$4:$B$207="Challan")*('Q1 Data'!$H$4:$H$207&lt;&gt;""))+SUMPRODUCT(('Q2 Data'!$D$4:$D$207=D159)*('Q2 Data'!$B$4:$B$207="Challan")*('Q2 Data'!$H$4:$H$207&lt;&gt;""))+SUMPRODUCT(('Q3 Data'!$D$4:$D$207=D159)*('Q3 Data'!$B$4:$B$207="Challan")*('Q3 Data'!$H$4:$H$207&lt;&gt;""))+SUMPRODUCT(('Q4 Data'!$D$4:$D$207=D159)*('Q4 Data'!$B$4:$B$207="Challan")*('Q4 Data'!$H$4:$H$207&lt;&gt;"")))&gt;0,(SUMPRODUCT(('Q1 Data'!$D$4:$D$207=D159)*('Q1 Data'!$B$4:$B$207="Challan")*('Q1 Data'!$H$4:$H$207=Z159))+SUMPRODUCT(('Q2 Data'!$D$4:$D$207=D159)*('Q2 Data'!$B$4:$B$207="Challan")*('Q2 Data'!$H$4:$H$207=Z159))+SUMPRODUCT(('Q3 Data'!$D$4:$D$207=D159)*('Q3 Data'!$B$4:$B$207="Challan")*('Q3 Data'!$H$4:$H$207=Z159))+SUMPRODUCT(('Q4 Data'!$D$4:$D$207=D159)*('Q4 Data'!$B$4:$B$207="Challan")*('Q4 Data'!$H$4:$H$207=Z159)))=0))</f>
      </c>
    </row>
    <row r="160" spans="1:44" x14ac:dyDescent="0.25">
      <c r="A160" s="20">
        <f>IF($B160="Entry",COUNTIF($B$4:$B160,"Entry"),"")</f>
      </c>
      <c r="B160" s="21"/>
      <c r="C160" s="22"/>
      <c r="D160" s="22"/>
      <c r="E160" s="23">
        <f>IF($B160&lt;&gt;"Challan","",IF(ROUND(AN160-AO160,2)&gt;0,"Over-applied",IF(ROUND(AN160-AO160,2)=0,"Fully Utilised","Unconsumed")))</f>
      </c>
      <c r="F160" s="24"/>
      <c r="G160" s="25"/>
      <c r="H160" s="25"/>
      <c r="I160" s="26"/>
      <c r="J160" s="26"/>
      <c r="K160" s="26"/>
      <c r="L160" s="26"/>
      <c r="M160" s="26"/>
      <c r="N160" s="26"/>
      <c r="O160" s="26"/>
      <c r="P160" s="27">
        <f>IF($B160&lt;&gt;"Challan","",I160+J160+K160+L160+M160+N160)</f>
      </c>
      <c r="Q160" s="25"/>
      <c r="R160" s="25"/>
      <c r="S160" s="25"/>
      <c r="T160" s="25"/>
      <c r="U160" s="25"/>
      <c r="V160" s="28"/>
      <c r="W160" s="28"/>
      <c r="X160" s="23">
        <f>IF($B160="Entry",IF(AND(LEN(TRIM(UPPER(W160)))=10,CODE(MID(TRIM(UPPER(W160)),1,1))&gt;=65,CODE(MID(TRIM(UPPER(W160)),1,1))&lt;=90,CODE(MID(TRIM(UPPER(W160)),2,1))&gt;=65,CODE(MID(TRIM(UPPER(W160)),2,1))&lt;=90,CODE(MID(TRIM(UPPER(W160)),3,1))&gt;=65,CODE(MID(TRIM(UPPER(W160)),3,1))&lt;=90,CODE(MID(TRIM(UPPER(W160)),4,1))&gt;=65,CODE(MID(TRIM(UPPER(W160)),4,1))&lt;=90,CODE(MID(TRIM(UPPER(W160)),5,1))&gt;=65,CODE(MID(TRIM(UPPER(W160)),5,1))&lt;=90,CODE(MID(TRIM(UPPER(W160)),10,1))&gt;=65,CODE(MID(TRIM(UPPER(W160)),10,1))&lt;=90,CODE(MID(TRIM(UPPER(W160)),6,1))&gt;=48,CODE(MID(TRIM(UPPER(W160)),6,1))&lt;=57,CODE(MID(TRIM(UPPER(W160)),7,1))&gt;=48,CODE(MID(TRIM(UPPER(W160)),7,1))&lt;=57,CODE(MID(TRIM(UPPER(W160)),8,1))&gt;=48,CODE(MID(TRIM(UPPER(W160)),8,1))&lt;=57,CODE(MID(TRIM(UPPER(W160)),9,1))&gt;=48,CODE(MID(TRIM(UPPER(W160)),9,1))&lt;=57),"N","Y"),IF($B160="Challan","",IF(W160&lt;&gt;"","◄ Set Row Type","")))</f>
      </c>
      <c r="Y160" s="23">
        <f>IF($B160="Entry",IF(LEN(W160)&lt;4,"",IF(UPPER(MID(W160,4,1))="P","Individual",IF(UPPER(MID(W160,4,1))="H","HUF",IF(UPPER(MID(W160,4,1))="C","Company",IF(UPPER(MID(W160,4,1))="F","Firm",IF(UPPER(MID(W160,4,1))="L","LLP",IF(UPPER(MID(W160,4,1))="T","Trust",IF(UPPER(MID(W160,4,1))="A","AOP","")))))))),IF($B160="Challan","",IF(W160&lt;&gt;"","◄ Set Row Type","")))</f>
      </c>
      <c r="Z160" s="28"/>
      <c r="AA160" s="29">
        <f>IF($B160&lt;&gt;"Entry","",IF(Z160="","",IF(X160="Y",SUMPRODUCT(('Rate Lookup'!$A$1:$A$37=Z160)*'Rate Lookup'!$D$1:$D$37),IF(OR(Y160="Individual",Y160="HUF"),SUMPRODUCT(('Rate Lookup'!$A$1:$A$37=Z160)*'Rate Lookup'!$B$1:$B$37),SUMPRODUCT(('Rate Lookup'!$A$1:$A$37=Z160)*'Rate Lookup'!$C$1:$C$37)))))</f>
      </c>
      <c r="AB160" s="30"/>
      <c r="AC160" s="31"/>
      <c r="AD160" s="27">
        <f>IF($B160&lt;&gt;"Entry","",ROUND(AC160*AA160/100,0))</f>
      </c>
      <c r="AE160" s="27">
        <f>IF($B160&lt;&gt;"Entry","",0)</f>
      </c>
      <c r="AF160" s="27">
        <f>IF($B160&lt;&gt;"Entry","",0)</f>
      </c>
      <c r="AG160" s="27">
        <f>IF($B160&lt;&gt;"Entry","",IF(OR(AD160=0,AB160="",AQ160="",AQ160&lt;=0),0,IF(AQ160&lt;=DATE(YEAR(AB160),MONTH(AB160)+1,7),0,ROUND(AD160*0.015*((YEAR(AQ160)-YEAR(AB160))*12+(MONTH(AQ160)-MONTH(AB160))+1),0))))</f>
      </c>
      <c r="AH160" s="27">
        <f>IF($B160&lt;&gt;"Entry","",0)</f>
      </c>
      <c r="AI160" s="28"/>
      <c r="AJ160" s="28"/>
      <c r="AK160" s="32"/>
      <c r="AL160" s="28"/>
      <c r="AM160" s="28"/>
      <c r="AN160" s="27">
        <f>IF($B160&lt;&gt;"Challan","",SUMIF('Q1 Data'!$D$4:$D$207,D160,'Q1 Data'!$AD$4:$AD$207)+SUMIF('Q1 Data'!$D$4:$D$207,D160,'Q1 Data'!$AG$4:$AG$207)+SUMIF('Q1 Data'!$D$4:$D$207,D160,'Q1 Data'!$AE$4:$AE$207)+SUMIF('Q2 Data'!$D$4:$D$207,D160,'Q2 Data'!$AD$4:$AD$207)+SUMIF('Q2 Data'!$D$4:$D$207,D160,'Q2 Data'!$AG$4:$AG$207)+SUMIF('Q2 Data'!$D$4:$D$207,D160,'Q2 Data'!$AE$4:$AE$207)+SUMIF('Q3 Data'!$D$4:$D$207,D160,'Q3 Data'!$AD$4:$AD$207)+SUMIF('Q3 Data'!$D$4:$D$207,D160,'Q3 Data'!$AG$4:$AG$207)+SUMIF('Q3 Data'!$D$4:$D$207,D160,'Q3 Data'!$AE$4:$AE$207)+SUMIF('Q4 Data'!$D$4:$D$207,D160,'Q4 Data'!$AD$4:$AD$207)+SUMIF('Q4 Data'!$D$4:$D$207,D160,'Q4 Data'!$AG$4:$AG$207)+SUMIF('Q4 Data'!$D$4:$D$207,D160,'Q4 Data'!$AE$4:$AE$207))</f>
      </c>
      <c r="AO160" s="27">
        <f>IF($B160&lt;&gt;"Challan","",P160-N160)</f>
      </c>
      <c r="AP160" s="27">
        <f>IF($B160&lt;&gt;"Challan","",MAX(0,AO160-AN160))</f>
      </c>
      <c r="AQ160" s="33">
        <f>IF($B160&lt;&gt;"Entry","",SUMPRODUCT(('Q1 Data'!$D$4:$D$207=D160)*('Q1 Data'!$B$4:$B$207="Challan")*'Q1 Data'!$F$4:$F$207)+SUMPRODUCT(('Q2 Data'!$D$4:$D$207=D160)*('Q2 Data'!$B$4:$B$207="Challan")*'Q2 Data'!$F$4:$F$207)+SUMPRODUCT(('Q3 Data'!$D$4:$D$207=D160)*('Q3 Data'!$B$4:$B$207="Challan")*'Q3 Data'!$F$4:$F$207)+SUMPRODUCT(('Q4 Data'!$D$4:$D$207=D160)*('Q4 Data'!$B$4:$B$207="Challan")*'Q4 Data'!$F$4:$F$207))</f>
      </c>
      <c r="AR160" s="34">
        <f>IF(OR($B160&lt;&gt;"Entry",Z160=""),FALSE,AND((SUMPRODUCT(('Q1 Data'!$D$4:$D$207=D160)*('Q1 Data'!$B$4:$B$207="Challan")*('Q1 Data'!$H$4:$H$207&lt;&gt;""))+SUMPRODUCT(('Q2 Data'!$D$4:$D$207=D160)*('Q2 Data'!$B$4:$B$207="Challan")*('Q2 Data'!$H$4:$H$207&lt;&gt;""))+SUMPRODUCT(('Q3 Data'!$D$4:$D$207=D160)*('Q3 Data'!$B$4:$B$207="Challan")*('Q3 Data'!$H$4:$H$207&lt;&gt;""))+SUMPRODUCT(('Q4 Data'!$D$4:$D$207=D160)*('Q4 Data'!$B$4:$B$207="Challan")*('Q4 Data'!$H$4:$H$207&lt;&gt;"")))&gt;0,(SUMPRODUCT(('Q1 Data'!$D$4:$D$207=D160)*('Q1 Data'!$B$4:$B$207="Challan")*('Q1 Data'!$H$4:$H$207=Z160))+SUMPRODUCT(('Q2 Data'!$D$4:$D$207=D160)*('Q2 Data'!$B$4:$B$207="Challan")*('Q2 Data'!$H$4:$H$207=Z160))+SUMPRODUCT(('Q3 Data'!$D$4:$D$207=D160)*('Q3 Data'!$B$4:$B$207="Challan")*('Q3 Data'!$H$4:$H$207=Z160))+SUMPRODUCT(('Q4 Data'!$D$4:$D$207=D160)*('Q4 Data'!$B$4:$B$207="Challan")*('Q4 Data'!$H$4:$H$207=Z160)))=0))</f>
      </c>
    </row>
    <row r="161" spans="1:44" x14ac:dyDescent="0.25">
      <c r="A161" s="20">
        <f>IF($B161="Entry",COUNTIF($B$4:$B161,"Entry"),"")</f>
      </c>
      <c r="B161" s="21"/>
      <c r="C161" s="22"/>
      <c r="D161" s="22"/>
      <c r="E161" s="23">
        <f>IF($B161&lt;&gt;"Challan","",IF(ROUND(AN161-AO161,2)&gt;0,"Over-applied",IF(ROUND(AN161-AO161,2)=0,"Fully Utilised","Unconsumed")))</f>
      </c>
      <c r="F161" s="24"/>
      <c r="G161" s="25"/>
      <c r="H161" s="25"/>
      <c r="I161" s="26"/>
      <c r="J161" s="26"/>
      <c r="K161" s="26"/>
      <c r="L161" s="26"/>
      <c r="M161" s="26"/>
      <c r="N161" s="26"/>
      <c r="O161" s="26"/>
      <c r="P161" s="27">
        <f>IF($B161&lt;&gt;"Challan","",I161+J161+K161+L161+M161+N161)</f>
      </c>
      <c r="Q161" s="25"/>
      <c r="R161" s="25"/>
      <c r="S161" s="25"/>
      <c r="T161" s="25"/>
      <c r="U161" s="25"/>
      <c r="V161" s="28"/>
      <c r="W161" s="28"/>
      <c r="X161" s="23">
        <f>IF($B161="Entry",IF(AND(LEN(TRIM(UPPER(W161)))=10,CODE(MID(TRIM(UPPER(W161)),1,1))&gt;=65,CODE(MID(TRIM(UPPER(W161)),1,1))&lt;=90,CODE(MID(TRIM(UPPER(W161)),2,1))&gt;=65,CODE(MID(TRIM(UPPER(W161)),2,1))&lt;=90,CODE(MID(TRIM(UPPER(W161)),3,1))&gt;=65,CODE(MID(TRIM(UPPER(W161)),3,1))&lt;=90,CODE(MID(TRIM(UPPER(W161)),4,1))&gt;=65,CODE(MID(TRIM(UPPER(W161)),4,1))&lt;=90,CODE(MID(TRIM(UPPER(W161)),5,1))&gt;=65,CODE(MID(TRIM(UPPER(W161)),5,1))&lt;=90,CODE(MID(TRIM(UPPER(W161)),10,1))&gt;=65,CODE(MID(TRIM(UPPER(W161)),10,1))&lt;=90,CODE(MID(TRIM(UPPER(W161)),6,1))&gt;=48,CODE(MID(TRIM(UPPER(W161)),6,1))&lt;=57,CODE(MID(TRIM(UPPER(W161)),7,1))&gt;=48,CODE(MID(TRIM(UPPER(W161)),7,1))&lt;=57,CODE(MID(TRIM(UPPER(W161)),8,1))&gt;=48,CODE(MID(TRIM(UPPER(W161)),8,1))&lt;=57,CODE(MID(TRIM(UPPER(W161)),9,1))&gt;=48,CODE(MID(TRIM(UPPER(W161)),9,1))&lt;=57),"N","Y"),IF($B161="Challan","",IF(W161&lt;&gt;"","◄ Set Row Type","")))</f>
      </c>
      <c r="Y161" s="23">
        <f>IF($B161="Entry",IF(LEN(W161)&lt;4,"",IF(UPPER(MID(W161,4,1))="P","Individual",IF(UPPER(MID(W161,4,1))="H","HUF",IF(UPPER(MID(W161,4,1))="C","Company",IF(UPPER(MID(W161,4,1))="F","Firm",IF(UPPER(MID(W161,4,1))="L","LLP",IF(UPPER(MID(W161,4,1))="T","Trust",IF(UPPER(MID(W161,4,1))="A","AOP","")))))))),IF($B161="Challan","",IF(W161&lt;&gt;"","◄ Set Row Type","")))</f>
      </c>
      <c r="Z161" s="28"/>
      <c r="AA161" s="29">
        <f>IF($B161&lt;&gt;"Entry","",IF(Z161="","",IF(X161="Y",SUMPRODUCT(('Rate Lookup'!$A$1:$A$37=Z161)*'Rate Lookup'!$D$1:$D$37),IF(OR(Y161="Individual",Y161="HUF"),SUMPRODUCT(('Rate Lookup'!$A$1:$A$37=Z161)*'Rate Lookup'!$B$1:$B$37),SUMPRODUCT(('Rate Lookup'!$A$1:$A$37=Z161)*'Rate Lookup'!$C$1:$C$37)))))</f>
      </c>
      <c r="AB161" s="30"/>
      <c r="AC161" s="31"/>
      <c r="AD161" s="27">
        <f>IF($B161&lt;&gt;"Entry","",ROUND(AC161*AA161/100,0))</f>
      </c>
      <c r="AE161" s="27">
        <f>IF($B161&lt;&gt;"Entry","",0)</f>
      </c>
      <c r="AF161" s="27">
        <f>IF($B161&lt;&gt;"Entry","",0)</f>
      </c>
      <c r="AG161" s="27">
        <f>IF($B161&lt;&gt;"Entry","",IF(OR(AD161=0,AB161="",AQ161="",AQ161&lt;=0),0,IF(AQ161&lt;=DATE(YEAR(AB161),MONTH(AB161)+1,7),0,ROUND(AD161*0.015*((YEAR(AQ161)-YEAR(AB161))*12+(MONTH(AQ161)-MONTH(AB161))+1),0))))</f>
      </c>
      <c r="AH161" s="27">
        <f>IF($B161&lt;&gt;"Entry","",0)</f>
      </c>
      <c r="AI161" s="28"/>
      <c r="AJ161" s="28"/>
      <c r="AK161" s="32"/>
      <c r="AL161" s="28"/>
      <c r="AM161" s="28"/>
      <c r="AN161" s="27">
        <f>IF($B161&lt;&gt;"Challan","",SUMIF('Q1 Data'!$D$4:$D$207,D161,'Q1 Data'!$AD$4:$AD$207)+SUMIF('Q1 Data'!$D$4:$D$207,D161,'Q1 Data'!$AG$4:$AG$207)+SUMIF('Q1 Data'!$D$4:$D$207,D161,'Q1 Data'!$AE$4:$AE$207)+SUMIF('Q2 Data'!$D$4:$D$207,D161,'Q2 Data'!$AD$4:$AD$207)+SUMIF('Q2 Data'!$D$4:$D$207,D161,'Q2 Data'!$AG$4:$AG$207)+SUMIF('Q2 Data'!$D$4:$D$207,D161,'Q2 Data'!$AE$4:$AE$207)+SUMIF('Q3 Data'!$D$4:$D$207,D161,'Q3 Data'!$AD$4:$AD$207)+SUMIF('Q3 Data'!$D$4:$D$207,D161,'Q3 Data'!$AG$4:$AG$207)+SUMIF('Q3 Data'!$D$4:$D$207,D161,'Q3 Data'!$AE$4:$AE$207)+SUMIF('Q4 Data'!$D$4:$D$207,D161,'Q4 Data'!$AD$4:$AD$207)+SUMIF('Q4 Data'!$D$4:$D$207,D161,'Q4 Data'!$AG$4:$AG$207)+SUMIF('Q4 Data'!$D$4:$D$207,D161,'Q4 Data'!$AE$4:$AE$207))</f>
      </c>
      <c r="AO161" s="27">
        <f>IF($B161&lt;&gt;"Challan","",P161-N161)</f>
      </c>
      <c r="AP161" s="27">
        <f>IF($B161&lt;&gt;"Challan","",MAX(0,AO161-AN161))</f>
      </c>
      <c r="AQ161" s="33">
        <f>IF($B161&lt;&gt;"Entry","",SUMPRODUCT(('Q1 Data'!$D$4:$D$207=D161)*('Q1 Data'!$B$4:$B$207="Challan")*'Q1 Data'!$F$4:$F$207)+SUMPRODUCT(('Q2 Data'!$D$4:$D$207=D161)*('Q2 Data'!$B$4:$B$207="Challan")*'Q2 Data'!$F$4:$F$207)+SUMPRODUCT(('Q3 Data'!$D$4:$D$207=D161)*('Q3 Data'!$B$4:$B$207="Challan")*'Q3 Data'!$F$4:$F$207)+SUMPRODUCT(('Q4 Data'!$D$4:$D$207=D161)*('Q4 Data'!$B$4:$B$207="Challan")*'Q4 Data'!$F$4:$F$207))</f>
      </c>
      <c r="AR161" s="34">
        <f>IF(OR($B161&lt;&gt;"Entry",Z161=""),FALSE,AND((SUMPRODUCT(('Q1 Data'!$D$4:$D$207=D161)*('Q1 Data'!$B$4:$B$207="Challan")*('Q1 Data'!$H$4:$H$207&lt;&gt;""))+SUMPRODUCT(('Q2 Data'!$D$4:$D$207=D161)*('Q2 Data'!$B$4:$B$207="Challan")*('Q2 Data'!$H$4:$H$207&lt;&gt;""))+SUMPRODUCT(('Q3 Data'!$D$4:$D$207=D161)*('Q3 Data'!$B$4:$B$207="Challan")*('Q3 Data'!$H$4:$H$207&lt;&gt;""))+SUMPRODUCT(('Q4 Data'!$D$4:$D$207=D161)*('Q4 Data'!$B$4:$B$207="Challan")*('Q4 Data'!$H$4:$H$207&lt;&gt;"")))&gt;0,(SUMPRODUCT(('Q1 Data'!$D$4:$D$207=D161)*('Q1 Data'!$B$4:$B$207="Challan")*('Q1 Data'!$H$4:$H$207=Z161))+SUMPRODUCT(('Q2 Data'!$D$4:$D$207=D161)*('Q2 Data'!$B$4:$B$207="Challan")*('Q2 Data'!$H$4:$H$207=Z161))+SUMPRODUCT(('Q3 Data'!$D$4:$D$207=D161)*('Q3 Data'!$B$4:$B$207="Challan")*('Q3 Data'!$H$4:$H$207=Z161))+SUMPRODUCT(('Q4 Data'!$D$4:$D$207=D161)*('Q4 Data'!$B$4:$B$207="Challan")*('Q4 Data'!$H$4:$H$207=Z161)))=0))</f>
      </c>
    </row>
    <row r="162" spans="1:44" x14ac:dyDescent="0.25">
      <c r="A162" s="20">
        <f>IF($B162="Entry",COUNTIF($B$4:$B162,"Entry"),"")</f>
      </c>
      <c r="B162" s="21"/>
      <c r="C162" s="22"/>
      <c r="D162" s="22"/>
      <c r="E162" s="23">
        <f>IF($B162&lt;&gt;"Challan","",IF(ROUND(AN162-AO162,2)&gt;0,"Over-applied",IF(ROUND(AN162-AO162,2)=0,"Fully Utilised","Unconsumed")))</f>
      </c>
      <c r="F162" s="24"/>
      <c r="G162" s="25"/>
      <c r="H162" s="25"/>
      <c r="I162" s="26"/>
      <c r="J162" s="26"/>
      <c r="K162" s="26"/>
      <c r="L162" s="26"/>
      <c r="M162" s="26"/>
      <c r="N162" s="26"/>
      <c r="O162" s="26"/>
      <c r="P162" s="27">
        <f>IF($B162&lt;&gt;"Challan","",I162+J162+K162+L162+M162+N162)</f>
      </c>
      <c r="Q162" s="25"/>
      <c r="R162" s="25"/>
      <c r="S162" s="25"/>
      <c r="T162" s="25"/>
      <c r="U162" s="25"/>
      <c r="V162" s="28"/>
      <c r="W162" s="28"/>
      <c r="X162" s="23">
        <f>IF($B162="Entry",IF(AND(LEN(TRIM(UPPER(W162)))=10,CODE(MID(TRIM(UPPER(W162)),1,1))&gt;=65,CODE(MID(TRIM(UPPER(W162)),1,1))&lt;=90,CODE(MID(TRIM(UPPER(W162)),2,1))&gt;=65,CODE(MID(TRIM(UPPER(W162)),2,1))&lt;=90,CODE(MID(TRIM(UPPER(W162)),3,1))&gt;=65,CODE(MID(TRIM(UPPER(W162)),3,1))&lt;=90,CODE(MID(TRIM(UPPER(W162)),4,1))&gt;=65,CODE(MID(TRIM(UPPER(W162)),4,1))&lt;=90,CODE(MID(TRIM(UPPER(W162)),5,1))&gt;=65,CODE(MID(TRIM(UPPER(W162)),5,1))&lt;=90,CODE(MID(TRIM(UPPER(W162)),10,1))&gt;=65,CODE(MID(TRIM(UPPER(W162)),10,1))&lt;=90,CODE(MID(TRIM(UPPER(W162)),6,1))&gt;=48,CODE(MID(TRIM(UPPER(W162)),6,1))&lt;=57,CODE(MID(TRIM(UPPER(W162)),7,1))&gt;=48,CODE(MID(TRIM(UPPER(W162)),7,1))&lt;=57,CODE(MID(TRIM(UPPER(W162)),8,1))&gt;=48,CODE(MID(TRIM(UPPER(W162)),8,1))&lt;=57,CODE(MID(TRIM(UPPER(W162)),9,1))&gt;=48,CODE(MID(TRIM(UPPER(W162)),9,1))&lt;=57),"N","Y"),IF($B162="Challan","",IF(W162&lt;&gt;"","◄ Set Row Type","")))</f>
      </c>
      <c r="Y162" s="23">
        <f>IF($B162="Entry",IF(LEN(W162)&lt;4,"",IF(UPPER(MID(W162,4,1))="P","Individual",IF(UPPER(MID(W162,4,1))="H","HUF",IF(UPPER(MID(W162,4,1))="C","Company",IF(UPPER(MID(W162,4,1))="F","Firm",IF(UPPER(MID(W162,4,1))="L","LLP",IF(UPPER(MID(W162,4,1))="T","Trust",IF(UPPER(MID(W162,4,1))="A","AOP","")))))))),IF($B162="Challan","",IF(W162&lt;&gt;"","◄ Set Row Type","")))</f>
      </c>
      <c r="Z162" s="28"/>
      <c r="AA162" s="29">
        <f>IF($B162&lt;&gt;"Entry","",IF(Z162="","",IF(X162="Y",SUMPRODUCT(('Rate Lookup'!$A$1:$A$37=Z162)*'Rate Lookup'!$D$1:$D$37),IF(OR(Y162="Individual",Y162="HUF"),SUMPRODUCT(('Rate Lookup'!$A$1:$A$37=Z162)*'Rate Lookup'!$B$1:$B$37),SUMPRODUCT(('Rate Lookup'!$A$1:$A$37=Z162)*'Rate Lookup'!$C$1:$C$37)))))</f>
      </c>
      <c r="AB162" s="30"/>
      <c r="AC162" s="31"/>
      <c r="AD162" s="27">
        <f>IF($B162&lt;&gt;"Entry","",ROUND(AC162*AA162/100,0))</f>
      </c>
      <c r="AE162" s="27">
        <f>IF($B162&lt;&gt;"Entry","",0)</f>
      </c>
      <c r="AF162" s="27">
        <f>IF($B162&lt;&gt;"Entry","",0)</f>
      </c>
      <c r="AG162" s="27">
        <f>IF($B162&lt;&gt;"Entry","",IF(OR(AD162=0,AB162="",AQ162="",AQ162&lt;=0),0,IF(AQ162&lt;=DATE(YEAR(AB162),MONTH(AB162)+1,7),0,ROUND(AD162*0.015*((YEAR(AQ162)-YEAR(AB162))*12+(MONTH(AQ162)-MONTH(AB162))+1),0))))</f>
      </c>
      <c r="AH162" s="27">
        <f>IF($B162&lt;&gt;"Entry","",0)</f>
      </c>
      <c r="AI162" s="28"/>
      <c r="AJ162" s="28"/>
      <c r="AK162" s="32"/>
      <c r="AL162" s="28"/>
      <c r="AM162" s="28"/>
      <c r="AN162" s="27">
        <f>IF($B162&lt;&gt;"Challan","",SUMIF('Q1 Data'!$D$4:$D$207,D162,'Q1 Data'!$AD$4:$AD$207)+SUMIF('Q1 Data'!$D$4:$D$207,D162,'Q1 Data'!$AG$4:$AG$207)+SUMIF('Q1 Data'!$D$4:$D$207,D162,'Q1 Data'!$AE$4:$AE$207)+SUMIF('Q2 Data'!$D$4:$D$207,D162,'Q2 Data'!$AD$4:$AD$207)+SUMIF('Q2 Data'!$D$4:$D$207,D162,'Q2 Data'!$AG$4:$AG$207)+SUMIF('Q2 Data'!$D$4:$D$207,D162,'Q2 Data'!$AE$4:$AE$207)+SUMIF('Q3 Data'!$D$4:$D$207,D162,'Q3 Data'!$AD$4:$AD$207)+SUMIF('Q3 Data'!$D$4:$D$207,D162,'Q3 Data'!$AG$4:$AG$207)+SUMIF('Q3 Data'!$D$4:$D$207,D162,'Q3 Data'!$AE$4:$AE$207)+SUMIF('Q4 Data'!$D$4:$D$207,D162,'Q4 Data'!$AD$4:$AD$207)+SUMIF('Q4 Data'!$D$4:$D$207,D162,'Q4 Data'!$AG$4:$AG$207)+SUMIF('Q4 Data'!$D$4:$D$207,D162,'Q4 Data'!$AE$4:$AE$207))</f>
      </c>
      <c r="AO162" s="27">
        <f>IF($B162&lt;&gt;"Challan","",P162-N162)</f>
      </c>
      <c r="AP162" s="27">
        <f>IF($B162&lt;&gt;"Challan","",MAX(0,AO162-AN162))</f>
      </c>
      <c r="AQ162" s="33">
        <f>IF($B162&lt;&gt;"Entry","",SUMPRODUCT(('Q1 Data'!$D$4:$D$207=D162)*('Q1 Data'!$B$4:$B$207="Challan")*'Q1 Data'!$F$4:$F$207)+SUMPRODUCT(('Q2 Data'!$D$4:$D$207=D162)*('Q2 Data'!$B$4:$B$207="Challan")*'Q2 Data'!$F$4:$F$207)+SUMPRODUCT(('Q3 Data'!$D$4:$D$207=D162)*('Q3 Data'!$B$4:$B$207="Challan")*'Q3 Data'!$F$4:$F$207)+SUMPRODUCT(('Q4 Data'!$D$4:$D$207=D162)*('Q4 Data'!$B$4:$B$207="Challan")*'Q4 Data'!$F$4:$F$207))</f>
      </c>
      <c r="AR162" s="34">
        <f>IF(OR($B162&lt;&gt;"Entry",Z162=""),FALSE,AND((SUMPRODUCT(('Q1 Data'!$D$4:$D$207=D162)*('Q1 Data'!$B$4:$B$207="Challan")*('Q1 Data'!$H$4:$H$207&lt;&gt;""))+SUMPRODUCT(('Q2 Data'!$D$4:$D$207=D162)*('Q2 Data'!$B$4:$B$207="Challan")*('Q2 Data'!$H$4:$H$207&lt;&gt;""))+SUMPRODUCT(('Q3 Data'!$D$4:$D$207=D162)*('Q3 Data'!$B$4:$B$207="Challan")*('Q3 Data'!$H$4:$H$207&lt;&gt;""))+SUMPRODUCT(('Q4 Data'!$D$4:$D$207=D162)*('Q4 Data'!$B$4:$B$207="Challan")*('Q4 Data'!$H$4:$H$207&lt;&gt;"")))&gt;0,(SUMPRODUCT(('Q1 Data'!$D$4:$D$207=D162)*('Q1 Data'!$B$4:$B$207="Challan")*('Q1 Data'!$H$4:$H$207=Z162))+SUMPRODUCT(('Q2 Data'!$D$4:$D$207=D162)*('Q2 Data'!$B$4:$B$207="Challan")*('Q2 Data'!$H$4:$H$207=Z162))+SUMPRODUCT(('Q3 Data'!$D$4:$D$207=D162)*('Q3 Data'!$B$4:$B$207="Challan")*('Q3 Data'!$H$4:$H$207=Z162))+SUMPRODUCT(('Q4 Data'!$D$4:$D$207=D162)*('Q4 Data'!$B$4:$B$207="Challan")*('Q4 Data'!$H$4:$H$207=Z162)))=0))</f>
      </c>
    </row>
    <row r="163" spans="1:44" x14ac:dyDescent="0.25">
      <c r="A163" s="20">
        <f>IF($B163="Entry",COUNTIF($B$4:$B163,"Entry"),"")</f>
      </c>
      <c r="B163" s="21"/>
      <c r="C163" s="22"/>
      <c r="D163" s="22"/>
      <c r="E163" s="23">
        <f>IF($B163&lt;&gt;"Challan","",IF(ROUND(AN163-AO163,2)&gt;0,"Over-applied",IF(ROUND(AN163-AO163,2)=0,"Fully Utilised","Unconsumed")))</f>
      </c>
      <c r="F163" s="24"/>
      <c r="G163" s="25"/>
      <c r="H163" s="25"/>
      <c r="I163" s="26"/>
      <c r="J163" s="26"/>
      <c r="K163" s="26"/>
      <c r="L163" s="26"/>
      <c r="M163" s="26"/>
      <c r="N163" s="26"/>
      <c r="O163" s="26"/>
      <c r="P163" s="27">
        <f>IF($B163&lt;&gt;"Challan","",I163+J163+K163+L163+M163+N163)</f>
      </c>
      <c r="Q163" s="25"/>
      <c r="R163" s="25"/>
      <c r="S163" s="25"/>
      <c r="T163" s="25"/>
      <c r="U163" s="25"/>
      <c r="V163" s="28"/>
      <c r="W163" s="28"/>
      <c r="X163" s="23">
        <f>IF($B163="Entry",IF(AND(LEN(TRIM(UPPER(W163)))=10,CODE(MID(TRIM(UPPER(W163)),1,1))&gt;=65,CODE(MID(TRIM(UPPER(W163)),1,1))&lt;=90,CODE(MID(TRIM(UPPER(W163)),2,1))&gt;=65,CODE(MID(TRIM(UPPER(W163)),2,1))&lt;=90,CODE(MID(TRIM(UPPER(W163)),3,1))&gt;=65,CODE(MID(TRIM(UPPER(W163)),3,1))&lt;=90,CODE(MID(TRIM(UPPER(W163)),4,1))&gt;=65,CODE(MID(TRIM(UPPER(W163)),4,1))&lt;=90,CODE(MID(TRIM(UPPER(W163)),5,1))&gt;=65,CODE(MID(TRIM(UPPER(W163)),5,1))&lt;=90,CODE(MID(TRIM(UPPER(W163)),10,1))&gt;=65,CODE(MID(TRIM(UPPER(W163)),10,1))&lt;=90,CODE(MID(TRIM(UPPER(W163)),6,1))&gt;=48,CODE(MID(TRIM(UPPER(W163)),6,1))&lt;=57,CODE(MID(TRIM(UPPER(W163)),7,1))&gt;=48,CODE(MID(TRIM(UPPER(W163)),7,1))&lt;=57,CODE(MID(TRIM(UPPER(W163)),8,1))&gt;=48,CODE(MID(TRIM(UPPER(W163)),8,1))&lt;=57,CODE(MID(TRIM(UPPER(W163)),9,1))&gt;=48,CODE(MID(TRIM(UPPER(W163)),9,1))&lt;=57),"N","Y"),IF($B163="Challan","",IF(W163&lt;&gt;"","◄ Set Row Type","")))</f>
      </c>
      <c r="Y163" s="23">
        <f>IF($B163="Entry",IF(LEN(W163)&lt;4,"",IF(UPPER(MID(W163,4,1))="P","Individual",IF(UPPER(MID(W163,4,1))="H","HUF",IF(UPPER(MID(W163,4,1))="C","Company",IF(UPPER(MID(W163,4,1))="F","Firm",IF(UPPER(MID(W163,4,1))="L","LLP",IF(UPPER(MID(W163,4,1))="T","Trust",IF(UPPER(MID(W163,4,1))="A","AOP","")))))))),IF($B163="Challan","",IF(W163&lt;&gt;"","◄ Set Row Type","")))</f>
      </c>
      <c r="Z163" s="28"/>
      <c r="AA163" s="29">
        <f>IF($B163&lt;&gt;"Entry","",IF(Z163="","",IF(X163="Y",SUMPRODUCT(('Rate Lookup'!$A$1:$A$37=Z163)*'Rate Lookup'!$D$1:$D$37),IF(OR(Y163="Individual",Y163="HUF"),SUMPRODUCT(('Rate Lookup'!$A$1:$A$37=Z163)*'Rate Lookup'!$B$1:$B$37),SUMPRODUCT(('Rate Lookup'!$A$1:$A$37=Z163)*'Rate Lookup'!$C$1:$C$37)))))</f>
      </c>
      <c r="AB163" s="30"/>
      <c r="AC163" s="31"/>
      <c r="AD163" s="27">
        <f>IF($B163&lt;&gt;"Entry","",ROUND(AC163*AA163/100,0))</f>
      </c>
      <c r="AE163" s="27">
        <f>IF($B163&lt;&gt;"Entry","",0)</f>
      </c>
      <c r="AF163" s="27">
        <f>IF($B163&lt;&gt;"Entry","",0)</f>
      </c>
      <c r="AG163" s="27">
        <f>IF($B163&lt;&gt;"Entry","",IF(OR(AD163=0,AB163="",AQ163="",AQ163&lt;=0),0,IF(AQ163&lt;=DATE(YEAR(AB163),MONTH(AB163)+1,7),0,ROUND(AD163*0.015*((YEAR(AQ163)-YEAR(AB163))*12+(MONTH(AQ163)-MONTH(AB163))+1),0))))</f>
      </c>
      <c r="AH163" s="27">
        <f>IF($B163&lt;&gt;"Entry","",0)</f>
      </c>
      <c r="AI163" s="28"/>
      <c r="AJ163" s="28"/>
      <c r="AK163" s="32"/>
      <c r="AL163" s="28"/>
      <c r="AM163" s="28"/>
      <c r="AN163" s="27">
        <f>IF($B163&lt;&gt;"Challan","",SUMIF('Q1 Data'!$D$4:$D$207,D163,'Q1 Data'!$AD$4:$AD$207)+SUMIF('Q1 Data'!$D$4:$D$207,D163,'Q1 Data'!$AG$4:$AG$207)+SUMIF('Q1 Data'!$D$4:$D$207,D163,'Q1 Data'!$AE$4:$AE$207)+SUMIF('Q2 Data'!$D$4:$D$207,D163,'Q2 Data'!$AD$4:$AD$207)+SUMIF('Q2 Data'!$D$4:$D$207,D163,'Q2 Data'!$AG$4:$AG$207)+SUMIF('Q2 Data'!$D$4:$D$207,D163,'Q2 Data'!$AE$4:$AE$207)+SUMIF('Q3 Data'!$D$4:$D$207,D163,'Q3 Data'!$AD$4:$AD$207)+SUMIF('Q3 Data'!$D$4:$D$207,D163,'Q3 Data'!$AG$4:$AG$207)+SUMIF('Q3 Data'!$D$4:$D$207,D163,'Q3 Data'!$AE$4:$AE$207)+SUMIF('Q4 Data'!$D$4:$D$207,D163,'Q4 Data'!$AD$4:$AD$207)+SUMIF('Q4 Data'!$D$4:$D$207,D163,'Q4 Data'!$AG$4:$AG$207)+SUMIF('Q4 Data'!$D$4:$D$207,D163,'Q4 Data'!$AE$4:$AE$207))</f>
      </c>
      <c r="AO163" s="27">
        <f>IF($B163&lt;&gt;"Challan","",P163-N163)</f>
      </c>
      <c r="AP163" s="27">
        <f>IF($B163&lt;&gt;"Challan","",MAX(0,AO163-AN163))</f>
      </c>
      <c r="AQ163" s="33">
        <f>IF($B163&lt;&gt;"Entry","",SUMPRODUCT(('Q1 Data'!$D$4:$D$207=D163)*('Q1 Data'!$B$4:$B$207="Challan")*'Q1 Data'!$F$4:$F$207)+SUMPRODUCT(('Q2 Data'!$D$4:$D$207=D163)*('Q2 Data'!$B$4:$B$207="Challan")*'Q2 Data'!$F$4:$F$207)+SUMPRODUCT(('Q3 Data'!$D$4:$D$207=D163)*('Q3 Data'!$B$4:$B$207="Challan")*'Q3 Data'!$F$4:$F$207)+SUMPRODUCT(('Q4 Data'!$D$4:$D$207=D163)*('Q4 Data'!$B$4:$B$207="Challan")*'Q4 Data'!$F$4:$F$207))</f>
      </c>
      <c r="AR163" s="34">
        <f>IF(OR($B163&lt;&gt;"Entry",Z163=""),FALSE,AND((SUMPRODUCT(('Q1 Data'!$D$4:$D$207=D163)*('Q1 Data'!$B$4:$B$207="Challan")*('Q1 Data'!$H$4:$H$207&lt;&gt;""))+SUMPRODUCT(('Q2 Data'!$D$4:$D$207=D163)*('Q2 Data'!$B$4:$B$207="Challan")*('Q2 Data'!$H$4:$H$207&lt;&gt;""))+SUMPRODUCT(('Q3 Data'!$D$4:$D$207=D163)*('Q3 Data'!$B$4:$B$207="Challan")*('Q3 Data'!$H$4:$H$207&lt;&gt;""))+SUMPRODUCT(('Q4 Data'!$D$4:$D$207=D163)*('Q4 Data'!$B$4:$B$207="Challan")*('Q4 Data'!$H$4:$H$207&lt;&gt;"")))&gt;0,(SUMPRODUCT(('Q1 Data'!$D$4:$D$207=D163)*('Q1 Data'!$B$4:$B$207="Challan")*('Q1 Data'!$H$4:$H$207=Z163))+SUMPRODUCT(('Q2 Data'!$D$4:$D$207=D163)*('Q2 Data'!$B$4:$B$207="Challan")*('Q2 Data'!$H$4:$H$207=Z163))+SUMPRODUCT(('Q3 Data'!$D$4:$D$207=D163)*('Q3 Data'!$B$4:$B$207="Challan")*('Q3 Data'!$H$4:$H$207=Z163))+SUMPRODUCT(('Q4 Data'!$D$4:$D$207=D163)*('Q4 Data'!$B$4:$B$207="Challan")*('Q4 Data'!$H$4:$H$207=Z163)))=0))</f>
      </c>
    </row>
    <row r="164" spans="1:44" x14ac:dyDescent="0.25">
      <c r="A164" s="20">
        <f>IF($B164="Entry",COUNTIF($B$4:$B164,"Entry"),"")</f>
      </c>
      <c r="B164" s="21"/>
      <c r="C164" s="22"/>
      <c r="D164" s="22"/>
      <c r="E164" s="23">
        <f>IF($B164&lt;&gt;"Challan","",IF(ROUND(AN164-AO164,2)&gt;0,"Over-applied",IF(ROUND(AN164-AO164,2)=0,"Fully Utilised","Unconsumed")))</f>
      </c>
      <c r="F164" s="24"/>
      <c r="G164" s="25"/>
      <c r="H164" s="25"/>
      <c r="I164" s="26"/>
      <c r="J164" s="26"/>
      <c r="K164" s="26"/>
      <c r="L164" s="26"/>
      <c r="M164" s="26"/>
      <c r="N164" s="26"/>
      <c r="O164" s="26"/>
      <c r="P164" s="27">
        <f>IF($B164&lt;&gt;"Challan","",I164+J164+K164+L164+M164+N164)</f>
      </c>
      <c r="Q164" s="25"/>
      <c r="R164" s="25"/>
      <c r="S164" s="25"/>
      <c r="T164" s="25"/>
      <c r="U164" s="25"/>
      <c r="V164" s="28"/>
      <c r="W164" s="28"/>
      <c r="X164" s="23">
        <f>IF($B164="Entry",IF(AND(LEN(TRIM(UPPER(W164)))=10,CODE(MID(TRIM(UPPER(W164)),1,1))&gt;=65,CODE(MID(TRIM(UPPER(W164)),1,1))&lt;=90,CODE(MID(TRIM(UPPER(W164)),2,1))&gt;=65,CODE(MID(TRIM(UPPER(W164)),2,1))&lt;=90,CODE(MID(TRIM(UPPER(W164)),3,1))&gt;=65,CODE(MID(TRIM(UPPER(W164)),3,1))&lt;=90,CODE(MID(TRIM(UPPER(W164)),4,1))&gt;=65,CODE(MID(TRIM(UPPER(W164)),4,1))&lt;=90,CODE(MID(TRIM(UPPER(W164)),5,1))&gt;=65,CODE(MID(TRIM(UPPER(W164)),5,1))&lt;=90,CODE(MID(TRIM(UPPER(W164)),10,1))&gt;=65,CODE(MID(TRIM(UPPER(W164)),10,1))&lt;=90,CODE(MID(TRIM(UPPER(W164)),6,1))&gt;=48,CODE(MID(TRIM(UPPER(W164)),6,1))&lt;=57,CODE(MID(TRIM(UPPER(W164)),7,1))&gt;=48,CODE(MID(TRIM(UPPER(W164)),7,1))&lt;=57,CODE(MID(TRIM(UPPER(W164)),8,1))&gt;=48,CODE(MID(TRIM(UPPER(W164)),8,1))&lt;=57,CODE(MID(TRIM(UPPER(W164)),9,1))&gt;=48,CODE(MID(TRIM(UPPER(W164)),9,1))&lt;=57),"N","Y"),IF($B164="Challan","",IF(W164&lt;&gt;"","◄ Set Row Type","")))</f>
      </c>
      <c r="Y164" s="23">
        <f>IF($B164="Entry",IF(LEN(W164)&lt;4,"",IF(UPPER(MID(W164,4,1))="P","Individual",IF(UPPER(MID(W164,4,1))="H","HUF",IF(UPPER(MID(W164,4,1))="C","Company",IF(UPPER(MID(W164,4,1))="F","Firm",IF(UPPER(MID(W164,4,1))="L","LLP",IF(UPPER(MID(W164,4,1))="T","Trust",IF(UPPER(MID(W164,4,1))="A","AOP","")))))))),IF($B164="Challan","",IF(W164&lt;&gt;"","◄ Set Row Type","")))</f>
      </c>
      <c r="Z164" s="28"/>
      <c r="AA164" s="29">
        <f>IF($B164&lt;&gt;"Entry","",IF(Z164="","",IF(X164="Y",SUMPRODUCT(('Rate Lookup'!$A$1:$A$37=Z164)*'Rate Lookup'!$D$1:$D$37),IF(OR(Y164="Individual",Y164="HUF"),SUMPRODUCT(('Rate Lookup'!$A$1:$A$37=Z164)*'Rate Lookup'!$B$1:$B$37),SUMPRODUCT(('Rate Lookup'!$A$1:$A$37=Z164)*'Rate Lookup'!$C$1:$C$37)))))</f>
      </c>
      <c r="AB164" s="30"/>
      <c r="AC164" s="31"/>
      <c r="AD164" s="27">
        <f>IF($B164&lt;&gt;"Entry","",ROUND(AC164*AA164/100,0))</f>
      </c>
      <c r="AE164" s="27">
        <f>IF($B164&lt;&gt;"Entry","",0)</f>
      </c>
      <c r="AF164" s="27">
        <f>IF($B164&lt;&gt;"Entry","",0)</f>
      </c>
      <c r="AG164" s="27">
        <f>IF($B164&lt;&gt;"Entry","",IF(OR(AD164=0,AB164="",AQ164="",AQ164&lt;=0),0,IF(AQ164&lt;=DATE(YEAR(AB164),MONTH(AB164)+1,7),0,ROUND(AD164*0.015*((YEAR(AQ164)-YEAR(AB164))*12+(MONTH(AQ164)-MONTH(AB164))+1),0))))</f>
      </c>
      <c r="AH164" s="27">
        <f>IF($B164&lt;&gt;"Entry","",0)</f>
      </c>
      <c r="AI164" s="28"/>
      <c r="AJ164" s="28"/>
      <c r="AK164" s="32"/>
      <c r="AL164" s="28"/>
      <c r="AM164" s="28"/>
      <c r="AN164" s="27">
        <f>IF($B164&lt;&gt;"Challan","",SUMIF('Q1 Data'!$D$4:$D$207,D164,'Q1 Data'!$AD$4:$AD$207)+SUMIF('Q1 Data'!$D$4:$D$207,D164,'Q1 Data'!$AG$4:$AG$207)+SUMIF('Q1 Data'!$D$4:$D$207,D164,'Q1 Data'!$AE$4:$AE$207)+SUMIF('Q2 Data'!$D$4:$D$207,D164,'Q2 Data'!$AD$4:$AD$207)+SUMIF('Q2 Data'!$D$4:$D$207,D164,'Q2 Data'!$AG$4:$AG$207)+SUMIF('Q2 Data'!$D$4:$D$207,D164,'Q2 Data'!$AE$4:$AE$207)+SUMIF('Q3 Data'!$D$4:$D$207,D164,'Q3 Data'!$AD$4:$AD$207)+SUMIF('Q3 Data'!$D$4:$D$207,D164,'Q3 Data'!$AG$4:$AG$207)+SUMIF('Q3 Data'!$D$4:$D$207,D164,'Q3 Data'!$AE$4:$AE$207)+SUMIF('Q4 Data'!$D$4:$D$207,D164,'Q4 Data'!$AD$4:$AD$207)+SUMIF('Q4 Data'!$D$4:$D$207,D164,'Q4 Data'!$AG$4:$AG$207)+SUMIF('Q4 Data'!$D$4:$D$207,D164,'Q4 Data'!$AE$4:$AE$207))</f>
      </c>
      <c r="AO164" s="27">
        <f>IF($B164&lt;&gt;"Challan","",P164-N164)</f>
      </c>
      <c r="AP164" s="27">
        <f>IF($B164&lt;&gt;"Challan","",MAX(0,AO164-AN164))</f>
      </c>
      <c r="AQ164" s="33">
        <f>IF($B164&lt;&gt;"Entry","",SUMPRODUCT(('Q1 Data'!$D$4:$D$207=D164)*('Q1 Data'!$B$4:$B$207="Challan")*'Q1 Data'!$F$4:$F$207)+SUMPRODUCT(('Q2 Data'!$D$4:$D$207=D164)*('Q2 Data'!$B$4:$B$207="Challan")*'Q2 Data'!$F$4:$F$207)+SUMPRODUCT(('Q3 Data'!$D$4:$D$207=D164)*('Q3 Data'!$B$4:$B$207="Challan")*'Q3 Data'!$F$4:$F$207)+SUMPRODUCT(('Q4 Data'!$D$4:$D$207=D164)*('Q4 Data'!$B$4:$B$207="Challan")*'Q4 Data'!$F$4:$F$207))</f>
      </c>
      <c r="AR164" s="34">
        <f>IF(OR($B164&lt;&gt;"Entry",Z164=""),FALSE,AND((SUMPRODUCT(('Q1 Data'!$D$4:$D$207=D164)*('Q1 Data'!$B$4:$B$207="Challan")*('Q1 Data'!$H$4:$H$207&lt;&gt;""))+SUMPRODUCT(('Q2 Data'!$D$4:$D$207=D164)*('Q2 Data'!$B$4:$B$207="Challan")*('Q2 Data'!$H$4:$H$207&lt;&gt;""))+SUMPRODUCT(('Q3 Data'!$D$4:$D$207=D164)*('Q3 Data'!$B$4:$B$207="Challan")*('Q3 Data'!$H$4:$H$207&lt;&gt;""))+SUMPRODUCT(('Q4 Data'!$D$4:$D$207=D164)*('Q4 Data'!$B$4:$B$207="Challan")*('Q4 Data'!$H$4:$H$207&lt;&gt;"")))&gt;0,(SUMPRODUCT(('Q1 Data'!$D$4:$D$207=D164)*('Q1 Data'!$B$4:$B$207="Challan")*('Q1 Data'!$H$4:$H$207=Z164))+SUMPRODUCT(('Q2 Data'!$D$4:$D$207=D164)*('Q2 Data'!$B$4:$B$207="Challan")*('Q2 Data'!$H$4:$H$207=Z164))+SUMPRODUCT(('Q3 Data'!$D$4:$D$207=D164)*('Q3 Data'!$B$4:$B$207="Challan")*('Q3 Data'!$H$4:$H$207=Z164))+SUMPRODUCT(('Q4 Data'!$D$4:$D$207=D164)*('Q4 Data'!$B$4:$B$207="Challan")*('Q4 Data'!$H$4:$H$207=Z164)))=0))</f>
      </c>
    </row>
    <row r="165" spans="1:44" x14ac:dyDescent="0.25">
      <c r="A165" s="20">
        <f>IF($B165="Entry",COUNTIF($B$4:$B165,"Entry"),"")</f>
      </c>
      <c r="B165" s="21"/>
      <c r="C165" s="22"/>
      <c r="D165" s="22"/>
      <c r="E165" s="23">
        <f>IF($B165&lt;&gt;"Challan","",IF(ROUND(AN165-AO165,2)&gt;0,"Over-applied",IF(ROUND(AN165-AO165,2)=0,"Fully Utilised","Unconsumed")))</f>
      </c>
      <c r="F165" s="24"/>
      <c r="G165" s="25"/>
      <c r="H165" s="25"/>
      <c r="I165" s="26"/>
      <c r="J165" s="26"/>
      <c r="K165" s="26"/>
      <c r="L165" s="26"/>
      <c r="M165" s="26"/>
      <c r="N165" s="26"/>
      <c r="O165" s="26"/>
      <c r="P165" s="27">
        <f>IF($B165&lt;&gt;"Challan","",I165+J165+K165+L165+M165+N165)</f>
      </c>
      <c r="Q165" s="25"/>
      <c r="R165" s="25"/>
      <c r="S165" s="25"/>
      <c r="T165" s="25"/>
      <c r="U165" s="25"/>
      <c r="V165" s="28"/>
      <c r="W165" s="28"/>
      <c r="X165" s="23">
        <f>IF($B165="Entry",IF(AND(LEN(TRIM(UPPER(W165)))=10,CODE(MID(TRIM(UPPER(W165)),1,1))&gt;=65,CODE(MID(TRIM(UPPER(W165)),1,1))&lt;=90,CODE(MID(TRIM(UPPER(W165)),2,1))&gt;=65,CODE(MID(TRIM(UPPER(W165)),2,1))&lt;=90,CODE(MID(TRIM(UPPER(W165)),3,1))&gt;=65,CODE(MID(TRIM(UPPER(W165)),3,1))&lt;=90,CODE(MID(TRIM(UPPER(W165)),4,1))&gt;=65,CODE(MID(TRIM(UPPER(W165)),4,1))&lt;=90,CODE(MID(TRIM(UPPER(W165)),5,1))&gt;=65,CODE(MID(TRIM(UPPER(W165)),5,1))&lt;=90,CODE(MID(TRIM(UPPER(W165)),10,1))&gt;=65,CODE(MID(TRIM(UPPER(W165)),10,1))&lt;=90,CODE(MID(TRIM(UPPER(W165)),6,1))&gt;=48,CODE(MID(TRIM(UPPER(W165)),6,1))&lt;=57,CODE(MID(TRIM(UPPER(W165)),7,1))&gt;=48,CODE(MID(TRIM(UPPER(W165)),7,1))&lt;=57,CODE(MID(TRIM(UPPER(W165)),8,1))&gt;=48,CODE(MID(TRIM(UPPER(W165)),8,1))&lt;=57,CODE(MID(TRIM(UPPER(W165)),9,1))&gt;=48,CODE(MID(TRIM(UPPER(W165)),9,1))&lt;=57),"N","Y"),IF($B165="Challan","",IF(W165&lt;&gt;"","◄ Set Row Type","")))</f>
      </c>
      <c r="Y165" s="23">
        <f>IF($B165="Entry",IF(LEN(W165)&lt;4,"",IF(UPPER(MID(W165,4,1))="P","Individual",IF(UPPER(MID(W165,4,1))="H","HUF",IF(UPPER(MID(W165,4,1))="C","Company",IF(UPPER(MID(W165,4,1))="F","Firm",IF(UPPER(MID(W165,4,1))="L","LLP",IF(UPPER(MID(W165,4,1))="T","Trust",IF(UPPER(MID(W165,4,1))="A","AOP","")))))))),IF($B165="Challan","",IF(W165&lt;&gt;"","◄ Set Row Type","")))</f>
      </c>
      <c r="Z165" s="28"/>
      <c r="AA165" s="29">
        <f>IF($B165&lt;&gt;"Entry","",IF(Z165="","",IF(X165="Y",SUMPRODUCT(('Rate Lookup'!$A$1:$A$37=Z165)*'Rate Lookup'!$D$1:$D$37),IF(OR(Y165="Individual",Y165="HUF"),SUMPRODUCT(('Rate Lookup'!$A$1:$A$37=Z165)*'Rate Lookup'!$B$1:$B$37),SUMPRODUCT(('Rate Lookup'!$A$1:$A$37=Z165)*'Rate Lookup'!$C$1:$C$37)))))</f>
      </c>
      <c r="AB165" s="30"/>
      <c r="AC165" s="31"/>
      <c r="AD165" s="27">
        <f>IF($B165&lt;&gt;"Entry","",ROUND(AC165*AA165/100,0))</f>
      </c>
      <c r="AE165" s="27">
        <f>IF($B165&lt;&gt;"Entry","",0)</f>
      </c>
      <c r="AF165" s="27">
        <f>IF($B165&lt;&gt;"Entry","",0)</f>
      </c>
      <c r="AG165" s="27">
        <f>IF($B165&lt;&gt;"Entry","",IF(OR(AD165=0,AB165="",AQ165="",AQ165&lt;=0),0,IF(AQ165&lt;=DATE(YEAR(AB165),MONTH(AB165)+1,7),0,ROUND(AD165*0.015*((YEAR(AQ165)-YEAR(AB165))*12+(MONTH(AQ165)-MONTH(AB165))+1),0))))</f>
      </c>
      <c r="AH165" s="27">
        <f>IF($B165&lt;&gt;"Entry","",0)</f>
      </c>
      <c r="AI165" s="28"/>
      <c r="AJ165" s="28"/>
      <c r="AK165" s="32"/>
      <c r="AL165" s="28"/>
      <c r="AM165" s="28"/>
      <c r="AN165" s="27">
        <f>IF($B165&lt;&gt;"Challan","",SUMIF('Q1 Data'!$D$4:$D$207,D165,'Q1 Data'!$AD$4:$AD$207)+SUMIF('Q1 Data'!$D$4:$D$207,D165,'Q1 Data'!$AG$4:$AG$207)+SUMIF('Q1 Data'!$D$4:$D$207,D165,'Q1 Data'!$AE$4:$AE$207)+SUMIF('Q2 Data'!$D$4:$D$207,D165,'Q2 Data'!$AD$4:$AD$207)+SUMIF('Q2 Data'!$D$4:$D$207,D165,'Q2 Data'!$AG$4:$AG$207)+SUMIF('Q2 Data'!$D$4:$D$207,D165,'Q2 Data'!$AE$4:$AE$207)+SUMIF('Q3 Data'!$D$4:$D$207,D165,'Q3 Data'!$AD$4:$AD$207)+SUMIF('Q3 Data'!$D$4:$D$207,D165,'Q3 Data'!$AG$4:$AG$207)+SUMIF('Q3 Data'!$D$4:$D$207,D165,'Q3 Data'!$AE$4:$AE$207)+SUMIF('Q4 Data'!$D$4:$D$207,D165,'Q4 Data'!$AD$4:$AD$207)+SUMIF('Q4 Data'!$D$4:$D$207,D165,'Q4 Data'!$AG$4:$AG$207)+SUMIF('Q4 Data'!$D$4:$D$207,D165,'Q4 Data'!$AE$4:$AE$207))</f>
      </c>
      <c r="AO165" s="27">
        <f>IF($B165&lt;&gt;"Challan","",P165-N165)</f>
      </c>
      <c r="AP165" s="27">
        <f>IF($B165&lt;&gt;"Challan","",MAX(0,AO165-AN165))</f>
      </c>
      <c r="AQ165" s="33">
        <f>IF($B165&lt;&gt;"Entry","",SUMPRODUCT(('Q1 Data'!$D$4:$D$207=D165)*('Q1 Data'!$B$4:$B$207="Challan")*'Q1 Data'!$F$4:$F$207)+SUMPRODUCT(('Q2 Data'!$D$4:$D$207=D165)*('Q2 Data'!$B$4:$B$207="Challan")*'Q2 Data'!$F$4:$F$207)+SUMPRODUCT(('Q3 Data'!$D$4:$D$207=D165)*('Q3 Data'!$B$4:$B$207="Challan")*'Q3 Data'!$F$4:$F$207)+SUMPRODUCT(('Q4 Data'!$D$4:$D$207=D165)*('Q4 Data'!$B$4:$B$207="Challan")*'Q4 Data'!$F$4:$F$207))</f>
      </c>
      <c r="AR165" s="34">
        <f>IF(OR($B165&lt;&gt;"Entry",Z165=""),FALSE,AND((SUMPRODUCT(('Q1 Data'!$D$4:$D$207=D165)*('Q1 Data'!$B$4:$B$207="Challan")*('Q1 Data'!$H$4:$H$207&lt;&gt;""))+SUMPRODUCT(('Q2 Data'!$D$4:$D$207=D165)*('Q2 Data'!$B$4:$B$207="Challan")*('Q2 Data'!$H$4:$H$207&lt;&gt;""))+SUMPRODUCT(('Q3 Data'!$D$4:$D$207=D165)*('Q3 Data'!$B$4:$B$207="Challan")*('Q3 Data'!$H$4:$H$207&lt;&gt;""))+SUMPRODUCT(('Q4 Data'!$D$4:$D$207=D165)*('Q4 Data'!$B$4:$B$207="Challan")*('Q4 Data'!$H$4:$H$207&lt;&gt;"")))&gt;0,(SUMPRODUCT(('Q1 Data'!$D$4:$D$207=D165)*('Q1 Data'!$B$4:$B$207="Challan")*('Q1 Data'!$H$4:$H$207=Z165))+SUMPRODUCT(('Q2 Data'!$D$4:$D$207=D165)*('Q2 Data'!$B$4:$B$207="Challan")*('Q2 Data'!$H$4:$H$207=Z165))+SUMPRODUCT(('Q3 Data'!$D$4:$D$207=D165)*('Q3 Data'!$B$4:$B$207="Challan")*('Q3 Data'!$H$4:$H$207=Z165))+SUMPRODUCT(('Q4 Data'!$D$4:$D$207=D165)*('Q4 Data'!$B$4:$B$207="Challan")*('Q4 Data'!$H$4:$H$207=Z165)))=0))</f>
      </c>
    </row>
    <row r="166" spans="1:44" x14ac:dyDescent="0.25">
      <c r="A166" s="20">
        <f>IF($B166="Entry",COUNTIF($B$4:$B166,"Entry"),"")</f>
      </c>
      <c r="B166" s="21"/>
      <c r="C166" s="22"/>
      <c r="D166" s="22"/>
      <c r="E166" s="23">
        <f>IF($B166&lt;&gt;"Challan","",IF(ROUND(AN166-AO166,2)&gt;0,"Over-applied",IF(ROUND(AN166-AO166,2)=0,"Fully Utilised","Unconsumed")))</f>
      </c>
      <c r="F166" s="24"/>
      <c r="G166" s="25"/>
      <c r="H166" s="25"/>
      <c r="I166" s="26"/>
      <c r="J166" s="26"/>
      <c r="K166" s="26"/>
      <c r="L166" s="26"/>
      <c r="M166" s="26"/>
      <c r="N166" s="26"/>
      <c r="O166" s="26"/>
      <c r="P166" s="27">
        <f>IF($B166&lt;&gt;"Challan","",I166+J166+K166+L166+M166+N166)</f>
      </c>
      <c r="Q166" s="25"/>
      <c r="R166" s="25"/>
      <c r="S166" s="25"/>
      <c r="T166" s="25"/>
      <c r="U166" s="25"/>
      <c r="V166" s="28"/>
      <c r="W166" s="28"/>
      <c r="X166" s="23">
        <f>IF($B166="Entry",IF(AND(LEN(TRIM(UPPER(W166)))=10,CODE(MID(TRIM(UPPER(W166)),1,1))&gt;=65,CODE(MID(TRIM(UPPER(W166)),1,1))&lt;=90,CODE(MID(TRIM(UPPER(W166)),2,1))&gt;=65,CODE(MID(TRIM(UPPER(W166)),2,1))&lt;=90,CODE(MID(TRIM(UPPER(W166)),3,1))&gt;=65,CODE(MID(TRIM(UPPER(W166)),3,1))&lt;=90,CODE(MID(TRIM(UPPER(W166)),4,1))&gt;=65,CODE(MID(TRIM(UPPER(W166)),4,1))&lt;=90,CODE(MID(TRIM(UPPER(W166)),5,1))&gt;=65,CODE(MID(TRIM(UPPER(W166)),5,1))&lt;=90,CODE(MID(TRIM(UPPER(W166)),10,1))&gt;=65,CODE(MID(TRIM(UPPER(W166)),10,1))&lt;=90,CODE(MID(TRIM(UPPER(W166)),6,1))&gt;=48,CODE(MID(TRIM(UPPER(W166)),6,1))&lt;=57,CODE(MID(TRIM(UPPER(W166)),7,1))&gt;=48,CODE(MID(TRIM(UPPER(W166)),7,1))&lt;=57,CODE(MID(TRIM(UPPER(W166)),8,1))&gt;=48,CODE(MID(TRIM(UPPER(W166)),8,1))&lt;=57,CODE(MID(TRIM(UPPER(W166)),9,1))&gt;=48,CODE(MID(TRIM(UPPER(W166)),9,1))&lt;=57),"N","Y"),IF($B166="Challan","",IF(W166&lt;&gt;"","◄ Set Row Type","")))</f>
      </c>
      <c r="Y166" s="23">
        <f>IF($B166="Entry",IF(LEN(W166)&lt;4,"",IF(UPPER(MID(W166,4,1))="P","Individual",IF(UPPER(MID(W166,4,1))="H","HUF",IF(UPPER(MID(W166,4,1))="C","Company",IF(UPPER(MID(W166,4,1))="F","Firm",IF(UPPER(MID(W166,4,1))="L","LLP",IF(UPPER(MID(W166,4,1))="T","Trust",IF(UPPER(MID(W166,4,1))="A","AOP","")))))))),IF($B166="Challan","",IF(W166&lt;&gt;"","◄ Set Row Type","")))</f>
      </c>
      <c r="Z166" s="28"/>
      <c r="AA166" s="29">
        <f>IF($B166&lt;&gt;"Entry","",IF(Z166="","",IF(X166="Y",SUMPRODUCT(('Rate Lookup'!$A$1:$A$37=Z166)*'Rate Lookup'!$D$1:$D$37),IF(OR(Y166="Individual",Y166="HUF"),SUMPRODUCT(('Rate Lookup'!$A$1:$A$37=Z166)*'Rate Lookup'!$B$1:$B$37),SUMPRODUCT(('Rate Lookup'!$A$1:$A$37=Z166)*'Rate Lookup'!$C$1:$C$37)))))</f>
      </c>
      <c r="AB166" s="30"/>
      <c r="AC166" s="31"/>
      <c r="AD166" s="27">
        <f>IF($B166&lt;&gt;"Entry","",ROUND(AC166*AA166/100,0))</f>
      </c>
      <c r="AE166" s="27">
        <f>IF($B166&lt;&gt;"Entry","",0)</f>
      </c>
      <c r="AF166" s="27">
        <f>IF($B166&lt;&gt;"Entry","",0)</f>
      </c>
      <c r="AG166" s="27">
        <f>IF($B166&lt;&gt;"Entry","",IF(OR(AD166=0,AB166="",AQ166="",AQ166&lt;=0),0,IF(AQ166&lt;=DATE(YEAR(AB166),MONTH(AB166)+1,7),0,ROUND(AD166*0.015*((YEAR(AQ166)-YEAR(AB166))*12+(MONTH(AQ166)-MONTH(AB166))+1),0))))</f>
      </c>
      <c r="AH166" s="27">
        <f>IF($B166&lt;&gt;"Entry","",0)</f>
      </c>
      <c r="AI166" s="28"/>
      <c r="AJ166" s="28"/>
      <c r="AK166" s="32"/>
      <c r="AL166" s="28"/>
      <c r="AM166" s="28"/>
      <c r="AN166" s="27">
        <f>IF($B166&lt;&gt;"Challan","",SUMIF('Q1 Data'!$D$4:$D$207,D166,'Q1 Data'!$AD$4:$AD$207)+SUMIF('Q1 Data'!$D$4:$D$207,D166,'Q1 Data'!$AG$4:$AG$207)+SUMIF('Q1 Data'!$D$4:$D$207,D166,'Q1 Data'!$AE$4:$AE$207)+SUMIF('Q2 Data'!$D$4:$D$207,D166,'Q2 Data'!$AD$4:$AD$207)+SUMIF('Q2 Data'!$D$4:$D$207,D166,'Q2 Data'!$AG$4:$AG$207)+SUMIF('Q2 Data'!$D$4:$D$207,D166,'Q2 Data'!$AE$4:$AE$207)+SUMIF('Q3 Data'!$D$4:$D$207,D166,'Q3 Data'!$AD$4:$AD$207)+SUMIF('Q3 Data'!$D$4:$D$207,D166,'Q3 Data'!$AG$4:$AG$207)+SUMIF('Q3 Data'!$D$4:$D$207,D166,'Q3 Data'!$AE$4:$AE$207)+SUMIF('Q4 Data'!$D$4:$D$207,D166,'Q4 Data'!$AD$4:$AD$207)+SUMIF('Q4 Data'!$D$4:$D$207,D166,'Q4 Data'!$AG$4:$AG$207)+SUMIF('Q4 Data'!$D$4:$D$207,D166,'Q4 Data'!$AE$4:$AE$207))</f>
      </c>
      <c r="AO166" s="27">
        <f>IF($B166&lt;&gt;"Challan","",P166-N166)</f>
      </c>
      <c r="AP166" s="27">
        <f>IF($B166&lt;&gt;"Challan","",MAX(0,AO166-AN166))</f>
      </c>
      <c r="AQ166" s="33">
        <f>IF($B166&lt;&gt;"Entry","",SUMPRODUCT(('Q1 Data'!$D$4:$D$207=D166)*('Q1 Data'!$B$4:$B$207="Challan")*'Q1 Data'!$F$4:$F$207)+SUMPRODUCT(('Q2 Data'!$D$4:$D$207=D166)*('Q2 Data'!$B$4:$B$207="Challan")*'Q2 Data'!$F$4:$F$207)+SUMPRODUCT(('Q3 Data'!$D$4:$D$207=D166)*('Q3 Data'!$B$4:$B$207="Challan")*'Q3 Data'!$F$4:$F$207)+SUMPRODUCT(('Q4 Data'!$D$4:$D$207=D166)*('Q4 Data'!$B$4:$B$207="Challan")*'Q4 Data'!$F$4:$F$207))</f>
      </c>
      <c r="AR166" s="34">
        <f>IF(OR($B166&lt;&gt;"Entry",Z166=""),FALSE,AND((SUMPRODUCT(('Q1 Data'!$D$4:$D$207=D166)*('Q1 Data'!$B$4:$B$207="Challan")*('Q1 Data'!$H$4:$H$207&lt;&gt;""))+SUMPRODUCT(('Q2 Data'!$D$4:$D$207=D166)*('Q2 Data'!$B$4:$B$207="Challan")*('Q2 Data'!$H$4:$H$207&lt;&gt;""))+SUMPRODUCT(('Q3 Data'!$D$4:$D$207=D166)*('Q3 Data'!$B$4:$B$207="Challan")*('Q3 Data'!$H$4:$H$207&lt;&gt;""))+SUMPRODUCT(('Q4 Data'!$D$4:$D$207=D166)*('Q4 Data'!$B$4:$B$207="Challan")*('Q4 Data'!$H$4:$H$207&lt;&gt;"")))&gt;0,(SUMPRODUCT(('Q1 Data'!$D$4:$D$207=D166)*('Q1 Data'!$B$4:$B$207="Challan")*('Q1 Data'!$H$4:$H$207=Z166))+SUMPRODUCT(('Q2 Data'!$D$4:$D$207=D166)*('Q2 Data'!$B$4:$B$207="Challan")*('Q2 Data'!$H$4:$H$207=Z166))+SUMPRODUCT(('Q3 Data'!$D$4:$D$207=D166)*('Q3 Data'!$B$4:$B$207="Challan")*('Q3 Data'!$H$4:$H$207=Z166))+SUMPRODUCT(('Q4 Data'!$D$4:$D$207=D166)*('Q4 Data'!$B$4:$B$207="Challan")*('Q4 Data'!$H$4:$H$207=Z166)))=0))</f>
      </c>
    </row>
    <row r="167" spans="1:44" x14ac:dyDescent="0.25">
      <c r="A167" s="20">
        <f>IF($B167="Entry",COUNTIF($B$4:$B167,"Entry"),"")</f>
      </c>
      <c r="B167" s="21"/>
      <c r="C167" s="22"/>
      <c r="D167" s="22"/>
      <c r="E167" s="23">
        <f>IF($B167&lt;&gt;"Challan","",IF(ROUND(AN167-AO167,2)&gt;0,"Over-applied",IF(ROUND(AN167-AO167,2)=0,"Fully Utilised","Unconsumed")))</f>
      </c>
      <c r="F167" s="24"/>
      <c r="G167" s="25"/>
      <c r="H167" s="25"/>
      <c r="I167" s="26"/>
      <c r="J167" s="26"/>
      <c r="K167" s="26"/>
      <c r="L167" s="26"/>
      <c r="M167" s="26"/>
      <c r="N167" s="26"/>
      <c r="O167" s="26"/>
      <c r="P167" s="27">
        <f>IF($B167&lt;&gt;"Challan","",I167+J167+K167+L167+M167+N167)</f>
      </c>
      <c r="Q167" s="25"/>
      <c r="R167" s="25"/>
      <c r="S167" s="25"/>
      <c r="T167" s="25"/>
      <c r="U167" s="25"/>
      <c r="V167" s="28"/>
      <c r="W167" s="28"/>
      <c r="X167" s="23">
        <f>IF($B167="Entry",IF(AND(LEN(TRIM(UPPER(W167)))=10,CODE(MID(TRIM(UPPER(W167)),1,1))&gt;=65,CODE(MID(TRIM(UPPER(W167)),1,1))&lt;=90,CODE(MID(TRIM(UPPER(W167)),2,1))&gt;=65,CODE(MID(TRIM(UPPER(W167)),2,1))&lt;=90,CODE(MID(TRIM(UPPER(W167)),3,1))&gt;=65,CODE(MID(TRIM(UPPER(W167)),3,1))&lt;=90,CODE(MID(TRIM(UPPER(W167)),4,1))&gt;=65,CODE(MID(TRIM(UPPER(W167)),4,1))&lt;=90,CODE(MID(TRIM(UPPER(W167)),5,1))&gt;=65,CODE(MID(TRIM(UPPER(W167)),5,1))&lt;=90,CODE(MID(TRIM(UPPER(W167)),10,1))&gt;=65,CODE(MID(TRIM(UPPER(W167)),10,1))&lt;=90,CODE(MID(TRIM(UPPER(W167)),6,1))&gt;=48,CODE(MID(TRIM(UPPER(W167)),6,1))&lt;=57,CODE(MID(TRIM(UPPER(W167)),7,1))&gt;=48,CODE(MID(TRIM(UPPER(W167)),7,1))&lt;=57,CODE(MID(TRIM(UPPER(W167)),8,1))&gt;=48,CODE(MID(TRIM(UPPER(W167)),8,1))&lt;=57,CODE(MID(TRIM(UPPER(W167)),9,1))&gt;=48,CODE(MID(TRIM(UPPER(W167)),9,1))&lt;=57),"N","Y"),IF($B167="Challan","",IF(W167&lt;&gt;"","◄ Set Row Type","")))</f>
      </c>
      <c r="Y167" s="23">
        <f>IF($B167="Entry",IF(LEN(W167)&lt;4,"",IF(UPPER(MID(W167,4,1))="P","Individual",IF(UPPER(MID(W167,4,1))="H","HUF",IF(UPPER(MID(W167,4,1))="C","Company",IF(UPPER(MID(W167,4,1))="F","Firm",IF(UPPER(MID(W167,4,1))="L","LLP",IF(UPPER(MID(W167,4,1))="T","Trust",IF(UPPER(MID(W167,4,1))="A","AOP","")))))))),IF($B167="Challan","",IF(W167&lt;&gt;"","◄ Set Row Type","")))</f>
      </c>
      <c r="Z167" s="28"/>
      <c r="AA167" s="29">
        <f>IF($B167&lt;&gt;"Entry","",IF(Z167="","",IF(X167="Y",SUMPRODUCT(('Rate Lookup'!$A$1:$A$37=Z167)*'Rate Lookup'!$D$1:$D$37),IF(OR(Y167="Individual",Y167="HUF"),SUMPRODUCT(('Rate Lookup'!$A$1:$A$37=Z167)*'Rate Lookup'!$B$1:$B$37),SUMPRODUCT(('Rate Lookup'!$A$1:$A$37=Z167)*'Rate Lookup'!$C$1:$C$37)))))</f>
      </c>
      <c r="AB167" s="30"/>
      <c r="AC167" s="31"/>
      <c r="AD167" s="27">
        <f>IF($B167&lt;&gt;"Entry","",ROUND(AC167*AA167/100,0))</f>
      </c>
      <c r="AE167" s="27">
        <f>IF($B167&lt;&gt;"Entry","",0)</f>
      </c>
      <c r="AF167" s="27">
        <f>IF($B167&lt;&gt;"Entry","",0)</f>
      </c>
      <c r="AG167" s="27">
        <f>IF($B167&lt;&gt;"Entry","",IF(OR(AD167=0,AB167="",AQ167="",AQ167&lt;=0),0,IF(AQ167&lt;=DATE(YEAR(AB167),MONTH(AB167)+1,7),0,ROUND(AD167*0.015*((YEAR(AQ167)-YEAR(AB167))*12+(MONTH(AQ167)-MONTH(AB167))+1),0))))</f>
      </c>
      <c r="AH167" s="27">
        <f>IF($B167&lt;&gt;"Entry","",0)</f>
      </c>
      <c r="AI167" s="28"/>
      <c r="AJ167" s="28"/>
      <c r="AK167" s="32"/>
      <c r="AL167" s="28"/>
      <c r="AM167" s="28"/>
      <c r="AN167" s="27">
        <f>IF($B167&lt;&gt;"Challan","",SUMIF('Q1 Data'!$D$4:$D$207,D167,'Q1 Data'!$AD$4:$AD$207)+SUMIF('Q1 Data'!$D$4:$D$207,D167,'Q1 Data'!$AG$4:$AG$207)+SUMIF('Q1 Data'!$D$4:$D$207,D167,'Q1 Data'!$AE$4:$AE$207)+SUMIF('Q2 Data'!$D$4:$D$207,D167,'Q2 Data'!$AD$4:$AD$207)+SUMIF('Q2 Data'!$D$4:$D$207,D167,'Q2 Data'!$AG$4:$AG$207)+SUMIF('Q2 Data'!$D$4:$D$207,D167,'Q2 Data'!$AE$4:$AE$207)+SUMIF('Q3 Data'!$D$4:$D$207,D167,'Q3 Data'!$AD$4:$AD$207)+SUMIF('Q3 Data'!$D$4:$D$207,D167,'Q3 Data'!$AG$4:$AG$207)+SUMIF('Q3 Data'!$D$4:$D$207,D167,'Q3 Data'!$AE$4:$AE$207)+SUMIF('Q4 Data'!$D$4:$D$207,D167,'Q4 Data'!$AD$4:$AD$207)+SUMIF('Q4 Data'!$D$4:$D$207,D167,'Q4 Data'!$AG$4:$AG$207)+SUMIF('Q4 Data'!$D$4:$D$207,D167,'Q4 Data'!$AE$4:$AE$207))</f>
      </c>
      <c r="AO167" s="27">
        <f>IF($B167&lt;&gt;"Challan","",P167-N167)</f>
      </c>
      <c r="AP167" s="27">
        <f>IF($B167&lt;&gt;"Challan","",MAX(0,AO167-AN167))</f>
      </c>
      <c r="AQ167" s="33">
        <f>IF($B167&lt;&gt;"Entry","",SUMPRODUCT(('Q1 Data'!$D$4:$D$207=D167)*('Q1 Data'!$B$4:$B$207="Challan")*'Q1 Data'!$F$4:$F$207)+SUMPRODUCT(('Q2 Data'!$D$4:$D$207=D167)*('Q2 Data'!$B$4:$B$207="Challan")*'Q2 Data'!$F$4:$F$207)+SUMPRODUCT(('Q3 Data'!$D$4:$D$207=D167)*('Q3 Data'!$B$4:$B$207="Challan")*'Q3 Data'!$F$4:$F$207)+SUMPRODUCT(('Q4 Data'!$D$4:$D$207=D167)*('Q4 Data'!$B$4:$B$207="Challan")*'Q4 Data'!$F$4:$F$207))</f>
      </c>
      <c r="AR167" s="34">
        <f>IF(OR($B167&lt;&gt;"Entry",Z167=""),FALSE,AND((SUMPRODUCT(('Q1 Data'!$D$4:$D$207=D167)*('Q1 Data'!$B$4:$B$207="Challan")*('Q1 Data'!$H$4:$H$207&lt;&gt;""))+SUMPRODUCT(('Q2 Data'!$D$4:$D$207=D167)*('Q2 Data'!$B$4:$B$207="Challan")*('Q2 Data'!$H$4:$H$207&lt;&gt;""))+SUMPRODUCT(('Q3 Data'!$D$4:$D$207=D167)*('Q3 Data'!$B$4:$B$207="Challan")*('Q3 Data'!$H$4:$H$207&lt;&gt;""))+SUMPRODUCT(('Q4 Data'!$D$4:$D$207=D167)*('Q4 Data'!$B$4:$B$207="Challan")*('Q4 Data'!$H$4:$H$207&lt;&gt;"")))&gt;0,(SUMPRODUCT(('Q1 Data'!$D$4:$D$207=D167)*('Q1 Data'!$B$4:$B$207="Challan")*('Q1 Data'!$H$4:$H$207=Z167))+SUMPRODUCT(('Q2 Data'!$D$4:$D$207=D167)*('Q2 Data'!$B$4:$B$207="Challan")*('Q2 Data'!$H$4:$H$207=Z167))+SUMPRODUCT(('Q3 Data'!$D$4:$D$207=D167)*('Q3 Data'!$B$4:$B$207="Challan")*('Q3 Data'!$H$4:$H$207=Z167))+SUMPRODUCT(('Q4 Data'!$D$4:$D$207=D167)*('Q4 Data'!$B$4:$B$207="Challan")*('Q4 Data'!$H$4:$H$207=Z167)))=0))</f>
      </c>
    </row>
    <row r="168" spans="1:44" x14ac:dyDescent="0.25">
      <c r="A168" s="20">
        <f>IF($B168="Entry",COUNTIF($B$4:$B168,"Entry"),"")</f>
      </c>
      <c r="B168" s="21"/>
      <c r="C168" s="22"/>
      <c r="D168" s="22"/>
      <c r="E168" s="23">
        <f>IF($B168&lt;&gt;"Challan","",IF(ROUND(AN168-AO168,2)&gt;0,"Over-applied",IF(ROUND(AN168-AO168,2)=0,"Fully Utilised","Unconsumed")))</f>
      </c>
      <c r="F168" s="24"/>
      <c r="G168" s="25"/>
      <c r="H168" s="25"/>
      <c r="I168" s="26"/>
      <c r="J168" s="26"/>
      <c r="K168" s="26"/>
      <c r="L168" s="26"/>
      <c r="M168" s="26"/>
      <c r="N168" s="26"/>
      <c r="O168" s="26"/>
      <c r="P168" s="27">
        <f>IF($B168&lt;&gt;"Challan","",I168+J168+K168+L168+M168+N168)</f>
      </c>
      <c r="Q168" s="25"/>
      <c r="R168" s="25"/>
      <c r="S168" s="25"/>
      <c r="T168" s="25"/>
      <c r="U168" s="25"/>
      <c r="V168" s="28"/>
      <c r="W168" s="28"/>
      <c r="X168" s="23">
        <f>IF($B168="Entry",IF(AND(LEN(TRIM(UPPER(W168)))=10,CODE(MID(TRIM(UPPER(W168)),1,1))&gt;=65,CODE(MID(TRIM(UPPER(W168)),1,1))&lt;=90,CODE(MID(TRIM(UPPER(W168)),2,1))&gt;=65,CODE(MID(TRIM(UPPER(W168)),2,1))&lt;=90,CODE(MID(TRIM(UPPER(W168)),3,1))&gt;=65,CODE(MID(TRIM(UPPER(W168)),3,1))&lt;=90,CODE(MID(TRIM(UPPER(W168)),4,1))&gt;=65,CODE(MID(TRIM(UPPER(W168)),4,1))&lt;=90,CODE(MID(TRIM(UPPER(W168)),5,1))&gt;=65,CODE(MID(TRIM(UPPER(W168)),5,1))&lt;=90,CODE(MID(TRIM(UPPER(W168)),10,1))&gt;=65,CODE(MID(TRIM(UPPER(W168)),10,1))&lt;=90,CODE(MID(TRIM(UPPER(W168)),6,1))&gt;=48,CODE(MID(TRIM(UPPER(W168)),6,1))&lt;=57,CODE(MID(TRIM(UPPER(W168)),7,1))&gt;=48,CODE(MID(TRIM(UPPER(W168)),7,1))&lt;=57,CODE(MID(TRIM(UPPER(W168)),8,1))&gt;=48,CODE(MID(TRIM(UPPER(W168)),8,1))&lt;=57,CODE(MID(TRIM(UPPER(W168)),9,1))&gt;=48,CODE(MID(TRIM(UPPER(W168)),9,1))&lt;=57),"N","Y"),IF($B168="Challan","",IF(W168&lt;&gt;"","◄ Set Row Type","")))</f>
      </c>
      <c r="Y168" s="23">
        <f>IF($B168="Entry",IF(LEN(W168)&lt;4,"",IF(UPPER(MID(W168,4,1))="P","Individual",IF(UPPER(MID(W168,4,1))="H","HUF",IF(UPPER(MID(W168,4,1))="C","Company",IF(UPPER(MID(W168,4,1))="F","Firm",IF(UPPER(MID(W168,4,1))="L","LLP",IF(UPPER(MID(W168,4,1))="T","Trust",IF(UPPER(MID(W168,4,1))="A","AOP","")))))))),IF($B168="Challan","",IF(W168&lt;&gt;"","◄ Set Row Type","")))</f>
      </c>
      <c r="Z168" s="28"/>
      <c r="AA168" s="29">
        <f>IF($B168&lt;&gt;"Entry","",IF(Z168="","",IF(X168="Y",SUMPRODUCT(('Rate Lookup'!$A$1:$A$37=Z168)*'Rate Lookup'!$D$1:$D$37),IF(OR(Y168="Individual",Y168="HUF"),SUMPRODUCT(('Rate Lookup'!$A$1:$A$37=Z168)*'Rate Lookup'!$B$1:$B$37),SUMPRODUCT(('Rate Lookup'!$A$1:$A$37=Z168)*'Rate Lookup'!$C$1:$C$37)))))</f>
      </c>
      <c r="AB168" s="30"/>
      <c r="AC168" s="31"/>
      <c r="AD168" s="27">
        <f>IF($B168&lt;&gt;"Entry","",ROUND(AC168*AA168/100,0))</f>
      </c>
      <c r="AE168" s="27">
        <f>IF($B168&lt;&gt;"Entry","",0)</f>
      </c>
      <c r="AF168" s="27">
        <f>IF($B168&lt;&gt;"Entry","",0)</f>
      </c>
      <c r="AG168" s="27">
        <f>IF($B168&lt;&gt;"Entry","",IF(OR(AD168=0,AB168="",AQ168="",AQ168&lt;=0),0,IF(AQ168&lt;=DATE(YEAR(AB168),MONTH(AB168)+1,7),0,ROUND(AD168*0.015*((YEAR(AQ168)-YEAR(AB168))*12+(MONTH(AQ168)-MONTH(AB168))+1),0))))</f>
      </c>
      <c r="AH168" s="27">
        <f>IF($B168&lt;&gt;"Entry","",0)</f>
      </c>
      <c r="AI168" s="28"/>
      <c r="AJ168" s="28"/>
      <c r="AK168" s="32"/>
      <c r="AL168" s="28"/>
      <c r="AM168" s="28"/>
      <c r="AN168" s="27">
        <f>IF($B168&lt;&gt;"Challan","",SUMIF('Q1 Data'!$D$4:$D$207,D168,'Q1 Data'!$AD$4:$AD$207)+SUMIF('Q1 Data'!$D$4:$D$207,D168,'Q1 Data'!$AG$4:$AG$207)+SUMIF('Q1 Data'!$D$4:$D$207,D168,'Q1 Data'!$AE$4:$AE$207)+SUMIF('Q2 Data'!$D$4:$D$207,D168,'Q2 Data'!$AD$4:$AD$207)+SUMIF('Q2 Data'!$D$4:$D$207,D168,'Q2 Data'!$AG$4:$AG$207)+SUMIF('Q2 Data'!$D$4:$D$207,D168,'Q2 Data'!$AE$4:$AE$207)+SUMIF('Q3 Data'!$D$4:$D$207,D168,'Q3 Data'!$AD$4:$AD$207)+SUMIF('Q3 Data'!$D$4:$D$207,D168,'Q3 Data'!$AG$4:$AG$207)+SUMIF('Q3 Data'!$D$4:$D$207,D168,'Q3 Data'!$AE$4:$AE$207)+SUMIF('Q4 Data'!$D$4:$D$207,D168,'Q4 Data'!$AD$4:$AD$207)+SUMIF('Q4 Data'!$D$4:$D$207,D168,'Q4 Data'!$AG$4:$AG$207)+SUMIF('Q4 Data'!$D$4:$D$207,D168,'Q4 Data'!$AE$4:$AE$207))</f>
      </c>
      <c r="AO168" s="27">
        <f>IF($B168&lt;&gt;"Challan","",P168-N168)</f>
      </c>
      <c r="AP168" s="27">
        <f>IF($B168&lt;&gt;"Challan","",MAX(0,AO168-AN168))</f>
      </c>
      <c r="AQ168" s="33">
        <f>IF($B168&lt;&gt;"Entry","",SUMPRODUCT(('Q1 Data'!$D$4:$D$207=D168)*('Q1 Data'!$B$4:$B$207="Challan")*'Q1 Data'!$F$4:$F$207)+SUMPRODUCT(('Q2 Data'!$D$4:$D$207=D168)*('Q2 Data'!$B$4:$B$207="Challan")*'Q2 Data'!$F$4:$F$207)+SUMPRODUCT(('Q3 Data'!$D$4:$D$207=D168)*('Q3 Data'!$B$4:$B$207="Challan")*'Q3 Data'!$F$4:$F$207)+SUMPRODUCT(('Q4 Data'!$D$4:$D$207=D168)*('Q4 Data'!$B$4:$B$207="Challan")*'Q4 Data'!$F$4:$F$207))</f>
      </c>
      <c r="AR168" s="34">
        <f>IF(OR($B168&lt;&gt;"Entry",Z168=""),FALSE,AND((SUMPRODUCT(('Q1 Data'!$D$4:$D$207=D168)*('Q1 Data'!$B$4:$B$207="Challan")*('Q1 Data'!$H$4:$H$207&lt;&gt;""))+SUMPRODUCT(('Q2 Data'!$D$4:$D$207=D168)*('Q2 Data'!$B$4:$B$207="Challan")*('Q2 Data'!$H$4:$H$207&lt;&gt;""))+SUMPRODUCT(('Q3 Data'!$D$4:$D$207=D168)*('Q3 Data'!$B$4:$B$207="Challan")*('Q3 Data'!$H$4:$H$207&lt;&gt;""))+SUMPRODUCT(('Q4 Data'!$D$4:$D$207=D168)*('Q4 Data'!$B$4:$B$207="Challan")*('Q4 Data'!$H$4:$H$207&lt;&gt;"")))&gt;0,(SUMPRODUCT(('Q1 Data'!$D$4:$D$207=D168)*('Q1 Data'!$B$4:$B$207="Challan")*('Q1 Data'!$H$4:$H$207=Z168))+SUMPRODUCT(('Q2 Data'!$D$4:$D$207=D168)*('Q2 Data'!$B$4:$B$207="Challan")*('Q2 Data'!$H$4:$H$207=Z168))+SUMPRODUCT(('Q3 Data'!$D$4:$D$207=D168)*('Q3 Data'!$B$4:$B$207="Challan")*('Q3 Data'!$H$4:$H$207=Z168))+SUMPRODUCT(('Q4 Data'!$D$4:$D$207=D168)*('Q4 Data'!$B$4:$B$207="Challan")*('Q4 Data'!$H$4:$H$207=Z168)))=0))</f>
      </c>
    </row>
    <row r="169" spans="1:44" x14ac:dyDescent="0.25">
      <c r="A169" s="20">
        <f>IF($B169="Entry",COUNTIF($B$4:$B169,"Entry"),"")</f>
      </c>
      <c r="B169" s="21"/>
      <c r="C169" s="22"/>
      <c r="D169" s="22"/>
      <c r="E169" s="23">
        <f>IF($B169&lt;&gt;"Challan","",IF(ROUND(AN169-AO169,2)&gt;0,"Over-applied",IF(ROUND(AN169-AO169,2)=0,"Fully Utilised","Unconsumed")))</f>
      </c>
      <c r="F169" s="24"/>
      <c r="G169" s="25"/>
      <c r="H169" s="25"/>
      <c r="I169" s="26"/>
      <c r="J169" s="26"/>
      <c r="K169" s="26"/>
      <c r="L169" s="26"/>
      <c r="M169" s="26"/>
      <c r="N169" s="26"/>
      <c r="O169" s="26"/>
      <c r="P169" s="27">
        <f>IF($B169&lt;&gt;"Challan","",I169+J169+K169+L169+M169+N169)</f>
      </c>
      <c r="Q169" s="25"/>
      <c r="R169" s="25"/>
      <c r="S169" s="25"/>
      <c r="T169" s="25"/>
      <c r="U169" s="25"/>
      <c r="V169" s="28"/>
      <c r="W169" s="28"/>
      <c r="X169" s="23">
        <f>IF($B169="Entry",IF(AND(LEN(TRIM(UPPER(W169)))=10,CODE(MID(TRIM(UPPER(W169)),1,1))&gt;=65,CODE(MID(TRIM(UPPER(W169)),1,1))&lt;=90,CODE(MID(TRIM(UPPER(W169)),2,1))&gt;=65,CODE(MID(TRIM(UPPER(W169)),2,1))&lt;=90,CODE(MID(TRIM(UPPER(W169)),3,1))&gt;=65,CODE(MID(TRIM(UPPER(W169)),3,1))&lt;=90,CODE(MID(TRIM(UPPER(W169)),4,1))&gt;=65,CODE(MID(TRIM(UPPER(W169)),4,1))&lt;=90,CODE(MID(TRIM(UPPER(W169)),5,1))&gt;=65,CODE(MID(TRIM(UPPER(W169)),5,1))&lt;=90,CODE(MID(TRIM(UPPER(W169)),10,1))&gt;=65,CODE(MID(TRIM(UPPER(W169)),10,1))&lt;=90,CODE(MID(TRIM(UPPER(W169)),6,1))&gt;=48,CODE(MID(TRIM(UPPER(W169)),6,1))&lt;=57,CODE(MID(TRIM(UPPER(W169)),7,1))&gt;=48,CODE(MID(TRIM(UPPER(W169)),7,1))&lt;=57,CODE(MID(TRIM(UPPER(W169)),8,1))&gt;=48,CODE(MID(TRIM(UPPER(W169)),8,1))&lt;=57,CODE(MID(TRIM(UPPER(W169)),9,1))&gt;=48,CODE(MID(TRIM(UPPER(W169)),9,1))&lt;=57),"N","Y"),IF($B169="Challan","",IF(W169&lt;&gt;"","◄ Set Row Type","")))</f>
      </c>
      <c r="Y169" s="23">
        <f>IF($B169="Entry",IF(LEN(W169)&lt;4,"",IF(UPPER(MID(W169,4,1))="P","Individual",IF(UPPER(MID(W169,4,1))="H","HUF",IF(UPPER(MID(W169,4,1))="C","Company",IF(UPPER(MID(W169,4,1))="F","Firm",IF(UPPER(MID(W169,4,1))="L","LLP",IF(UPPER(MID(W169,4,1))="T","Trust",IF(UPPER(MID(W169,4,1))="A","AOP","")))))))),IF($B169="Challan","",IF(W169&lt;&gt;"","◄ Set Row Type","")))</f>
      </c>
      <c r="Z169" s="28"/>
      <c r="AA169" s="29">
        <f>IF($B169&lt;&gt;"Entry","",IF(Z169="","",IF(X169="Y",SUMPRODUCT(('Rate Lookup'!$A$1:$A$37=Z169)*'Rate Lookup'!$D$1:$D$37),IF(OR(Y169="Individual",Y169="HUF"),SUMPRODUCT(('Rate Lookup'!$A$1:$A$37=Z169)*'Rate Lookup'!$B$1:$B$37),SUMPRODUCT(('Rate Lookup'!$A$1:$A$37=Z169)*'Rate Lookup'!$C$1:$C$37)))))</f>
      </c>
      <c r="AB169" s="30"/>
      <c r="AC169" s="31"/>
      <c r="AD169" s="27">
        <f>IF($B169&lt;&gt;"Entry","",ROUND(AC169*AA169/100,0))</f>
      </c>
      <c r="AE169" s="27">
        <f>IF($B169&lt;&gt;"Entry","",0)</f>
      </c>
      <c r="AF169" s="27">
        <f>IF($B169&lt;&gt;"Entry","",0)</f>
      </c>
      <c r="AG169" s="27">
        <f>IF($B169&lt;&gt;"Entry","",IF(OR(AD169=0,AB169="",AQ169="",AQ169&lt;=0),0,IF(AQ169&lt;=DATE(YEAR(AB169),MONTH(AB169)+1,7),0,ROUND(AD169*0.015*((YEAR(AQ169)-YEAR(AB169))*12+(MONTH(AQ169)-MONTH(AB169))+1),0))))</f>
      </c>
      <c r="AH169" s="27">
        <f>IF($B169&lt;&gt;"Entry","",0)</f>
      </c>
      <c r="AI169" s="28"/>
      <c r="AJ169" s="28"/>
      <c r="AK169" s="32"/>
      <c r="AL169" s="28"/>
      <c r="AM169" s="28"/>
      <c r="AN169" s="27">
        <f>IF($B169&lt;&gt;"Challan","",SUMIF('Q1 Data'!$D$4:$D$207,D169,'Q1 Data'!$AD$4:$AD$207)+SUMIF('Q1 Data'!$D$4:$D$207,D169,'Q1 Data'!$AG$4:$AG$207)+SUMIF('Q1 Data'!$D$4:$D$207,D169,'Q1 Data'!$AE$4:$AE$207)+SUMIF('Q2 Data'!$D$4:$D$207,D169,'Q2 Data'!$AD$4:$AD$207)+SUMIF('Q2 Data'!$D$4:$D$207,D169,'Q2 Data'!$AG$4:$AG$207)+SUMIF('Q2 Data'!$D$4:$D$207,D169,'Q2 Data'!$AE$4:$AE$207)+SUMIF('Q3 Data'!$D$4:$D$207,D169,'Q3 Data'!$AD$4:$AD$207)+SUMIF('Q3 Data'!$D$4:$D$207,D169,'Q3 Data'!$AG$4:$AG$207)+SUMIF('Q3 Data'!$D$4:$D$207,D169,'Q3 Data'!$AE$4:$AE$207)+SUMIF('Q4 Data'!$D$4:$D$207,D169,'Q4 Data'!$AD$4:$AD$207)+SUMIF('Q4 Data'!$D$4:$D$207,D169,'Q4 Data'!$AG$4:$AG$207)+SUMIF('Q4 Data'!$D$4:$D$207,D169,'Q4 Data'!$AE$4:$AE$207))</f>
      </c>
      <c r="AO169" s="27">
        <f>IF($B169&lt;&gt;"Challan","",P169-N169)</f>
      </c>
      <c r="AP169" s="27">
        <f>IF($B169&lt;&gt;"Challan","",MAX(0,AO169-AN169))</f>
      </c>
      <c r="AQ169" s="33">
        <f>IF($B169&lt;&gt;"Entry","",SUMPRODUCT(('Q1 Data'!$D$4:$D$207=D169)*('Q1 Data'!$B$4:$B$207="Challan")*'Q1 Data'!$F$4:$F$207)+SUMPRODUCT(('Q2 Data'!$D$4:$D$207=D169)*('Q2 Data'!$B$4:$B$207="Challan")*'Q2 Data'!$F$4:$F$207)+SUMPRODUCT(('Q3 Data'!$D$4:$D$207=D169)*('Q3 Data'!$B$4:$B$207="Challan")*'Q3 Data'!$F$4:$F$207)+SUMPRODUCT(('Q4 Data'!$D$4:$D$207=D169)*('Q4 Data'!$B$4:$B$207="Challan")*'Q4 Data'!$F$4:$F$207))</f>
      </c>
      <c r="AR169" s="34">
        <f>IF(OR($B169&lt;&gt;"Entry",Z169=""),FALSE,AND((SUMPRODUCT(('Q1 Data'!$D$4:$D$207=D169)*('Q1 Data'!$B$4:$B$207="Challan")*('Q1 Data'!$H$4:$H$207&lt;&gt;""))+SUMPRODUCT(('Q2 Data'!$D$4:$D$207=D169)*('Q2 Data'!$B$4:$B$207="Challan")*('Q2 Data'!$H$4:$H$207&lt;&gt;""))+SUMPRODUCT(('Q3 Data'!$D$4:$D$207=D169)*('Q3 Data'!$B$4:$B$207="Challan")*('Q3 Data'!$H$4:$H$207&lt;&gt;""))+SUMPRODUCT(('Q4 Data'!$D$4:$D$207=D169)*('Q4 Data'!$B$4:$B$207="Challan")*('Q4 Data'!$H$4:$H$207&lt;&gt;"")))&gt;0,(SUMPRODUCT(('Q1 Data'!$D$4:$D$207=D169)*('Q1 Data'!$B$4:$B$207="Challan")*('Q1 Data'!$H$4:$H$207=Z169))+SUMPRODUCT(('Q2 Data'!$D$4:$D$207=D169)*('Q2 Data'!$B$4:$B$207="Challan")*('Q2 Data'!$H$4:$H$207=Z169))+SUMPRODUCT(('Q3 Data'!$D$4:$D$207=D169)*('Q3 Data'!$B$4:$B$207="Challan")*('Q3 Data'!$H$4:$H$207=Z169))+SUMPRODUCT(('Q4 Data'!$D$4:$D$207=D169)*('Q4 Data'!$B$4:$B$207="Challan")*('Q4 Data'!$H$4:$H$207=Z169)))=0))</f>
      </c>
    </row>
    <row r="170" spans="1:44" x14ac:dyDescent="0.25">
      <c r="A170" s="20">
        <f>IF($B170="Entry",COUNTIF($B$4:$B170,"Entry"),"")</f>
      </c>
      <c r="B170" s="21"/>
      <c r="C170" s="22"/>
      <c r="D170" s="22"/>
      <c r="E170" s="23">
        <f>IF($B170&lt;&gt;"Challan","",IF(ROUND(AN170-AO170,2)&gt;0,"Over-applied",IF(ROUND(AN170-AO170,2)=0,"Fully Utilised","Unconsumed")))</f>
      </c>
      <c r="F170" s="24"/>
      <c r="G170" s="25"/>
      <c r="H170" s="25"/>
      <c r="I170" s="26"/>
      <c r="J170" s="26"/>
      <c r="K170" s="26"/>
      <c r="L170" s="26"/>
      <c r="M170" s="26"/>
      <c r="N170" s="26"/>
      <c r="O170" s="26"/>
      <c r="P170" s="27">
        <f>IF($B170&lt;&gt;"Challan","",I170+J170+K170+L170+M170+N170)</f>
      </c>
      <c r="Q170" s="25"/>
      <c r="R170" s="25"/>
      <c r="S170" s="25"/>
      <c r="T170" s="25"/>
      <c r="U170" s="25"/>
      <c r="V170" s="28"/>
      <c r="W170" s="28"/>
      <c r="X170" s="23">
        <f>IF($B170="Entry",IF(AND(LEN(TRIM(UPPER(W170)))=10,CODE(MID(TRIM(UPPER(W170)),1,1))&gt;=65,CODE(MID(TRIM(UPPER(W170)),1,1))&lt;=90,CODE(MID(TRIM(UPPER(W170)),2,1))&gt;=65,CODE(MID(TRIM(UPPER(W170)),2,1))&lt;=90,CODE(MID(TRIM(UPPER(W170)),3,1))&gt;=65,CODE(MID(TRIM(UPPER(W170)),3,1))&lt;=90,CODE(MID(TRIM(UPPER(W170)),4,1))&gt;=65,CODE(MID(TRIM(UPPER(W170)),4,1))&lt;=90,CODE(MID(TRIM(UPPER(W170)),5,1))&gt;=65,CODE(MID(TRIM(UPPER(W170)),5,1))&lt;=90,CODE(MID(TRIM(UPPER(W170)),10,1))&gt;=65,CODE(MID(TRIM(UPPER(W170)),10,1))&lt;=90,CODE(MID(TRIM(UPPER(W170)),6,1))&gt;=48,CODE(MID(TRIM(UPPER(W170)),6,1))&lt;=57,CODE(MID(TRIM(UPPER(W170)),7,1))&gt;=48,CODE(MID(TRIM(UPPER(W170)),7,1))&lt;=57,CODE(MID(TRIM(UPPER(W170)),8,1))&gt;=48,CODE(MID(TRIM(UPPER(W170)),8,1))&lt;=57,CODE(MID(TRIM(UPPER(W170)),9,1))&gt;=48,CODE(MID(TRIM(UPPER(W170)),9,1))&lt;=57),"N","Y"),IF($B170="Challan","",IF(W170&lt;&gt;"","◄ Set Row Type","")))</f>
      </c>
      <c r="Y170" s="23">
        <f>IF($B170="Entry",IF(LEN(W170)&lt;4,"",IF(UPPER(MID(W170,4,1))="P","Individual",IF(UPPER(MID(W170,4,1))="H","HUF",IF(UPPER(MID(W170,4,1))="C","Company",IF(UPPER(MID(W170,4,1))="F","Firm",IF(UPPER(MID(W170,4,1))="L","LLP",IF(UPPER(MID(W170,4,1))="T","Trust",IF(UPPER(MID(W170,4,1))="A","AOP","")))))))),IF($B170="Challan","",IF(W170&lt;&gt;"","◄ Set Row Type","")))</f>
      </c>
      <c r="Z170" s="28"/>
      <c r="AA170" s="29">
        <f>IF($B170&lt;&gt;"Entry","",IF(Z170="","",IF(X170="Y",SUMPRODUCT(('Rate Lookup'!$A$1:$A$37=Z170)*'Rate Lookup'!$D$1:$D$37),IF(OR(Y170="Individual",Y170="HUF"),SUMPRODUCT(('Rate Lookup'!$A$1:$A$37=Z170)*'Rate Lookup'!$B$1:$B$37),SUMPRODUCT(('Rate Lookup'!$A$1:$A$37=Z170)*'Rate Lookup'!$C$1:$C$37)))))</f>
      </c>
      <c r="AB170" s="30"/>
      <c r="AC170" s="31"/>
      <c r="AD170" s="27">
        <f>IF($B170&lt;&gt;"Entry","",ROUND(AC170*AA170/100,0))</f>
      </c>
      <c r="AE170" s="27">
        <f>IF($B170&lt;&gt;"Entry","",0)</f>
      </c>
      <c r="AF170" s="27">
        <f>IF($B170&lt;&gt;"Entry","",0)</f>
      </c>
      <c r="AG170" s="27">
        <f>IF($B170&lt;&gt;"Entry","",IF(OR(AD170=0,AB170="",AQ170="",AQ170&lt;=0),0,IF(AQ170&lt;=DATE(YEAR(AB170),MONTH(AB170)+1,7),0,ROUND(AD170*0.015*((YEAR(AQ170)-YEAR(AB170))*12+(MONTH(AQ170)-MONTH(AB170))+1),0))))</f>
      </c>
      <c r="AH170" s="27">
        <f>IF($B170&lt;&gt;"Entry","",0)</f>
      </c>
      <c r="AI170" s="28"/>
      <c r="AJ170" s="28"/>
      <c r="AK170" s="32"/>
      <c r="AL170" s="28"/>
      <c r="AM170" s="28"/>
      <c r="AN170" s="27">
        <f>IF($B170&lt;&gt;"Challan","",SUMIF('Q1 Data'!$D$4:$D$207,D170,'Q1 Data'!$AD$4:$AD$207)+SUMIF('Q1 Data'!$D$4:$D$207,D170,'Q1 Data'!$AG$4:$AG$207)+SUMIF('Q1 Data'!$D$4:$D$207,D170,'Q1 Data'!$AE$4:$AE$207)+SUMIF('Q2 Data'!$D$4:$D$207,D170,'Q2 Data'!$AD$4:$AD$207)+SUMIF('Q2 Data'!$D$4:$D$207,D170,'Q2 Data'!$AG$4:$AG$207)+SUMIF('Q2 Data'!$D$4:$D$207,D170,'Q2 Data'!$AE$4:$AE$207)+SUMIF('Q3 Data'!$D$4:$D$207,D170,'Q3 Data'!$AD$4:$AD$207)+SUMIF('Q3 Data'!$D$4:$D$207,D170,'Q3 Data'!$AG$4:$AG$207)+SUMIF('Q3 Data'!$D$4:$D$207,D170,'Q3 Data'!$AE$4:$AE$207)+SUMIF('Q4 Data'!$D$4:$D$207,D170,'Q4 Data'!$AD$4:$AD$207)+SUMIF('Q4 Data'!$D$4:$D$207,D170,'Q4 Data'!$AG$4:$AG$207)+SUMIF('Q4 Data'!$D$4:$D$207,D170,'Q4 Data'!$AE$4:$AE$207))</f>
      </c>
      <c r="AO170" s="27">
        <f>IF($B170&lt;&gt;"Challan","",P170-N170)</f>
      </c>
      <c r="AP170" s="27">
        <f>IF($B170&lt;&gt;"Challan","",MAX(0,AO170-AN170))</f>
      </c>
      <c r="AQ170" s="33">
        <f>IF($B170&lt;&gt;"Entry","",SUMPRODUCT(('Q1 Data'!$D$4:$D$207=D170)*('Q1 Data'!$B$4:$B$207="Challan")*'Q1 Data'!$F$4:$F$207)+SUMPRODUCT(('Q2 Data'!$D$4:$D$207=D170)*('Q2 Data'!$B$4:$B$207="Challan")*'Q2 Data'!$F$4:$F$207)+SUMPRODUCT(('Q3 Data'!$D$4:$D$207=D170)*('Q3 Data'!$B$4:$B$207="Challan")*'Q3 Data'!$F$4:$F$207)+SUMPRODUCT(('Q4 Data'!$D$4:$D$207=D170)*('Q4 Data'!$B$4:$B$207="Challan")*'Q4 Data'!$F$4:$F$207))</f>
      </c>
      <c r="AR170" s="34">
        <f>IF(OR($B170&lt;&gt;"Entry",Z170=""),FALSE,AND((SUMPRODUCT(('Q1 Data'!$D$4:$D$207=D170)*('Q1 Data'!$B$4:$B$207="Challan")*('Q1 Data'!$H$4:$H$207&lt;&gt;""))+SUMPRODUCT(('Q2 Data'!$D$4:$D$207=D170)*('Q2 Data'!$B$4:$B$207="Challan")*('Q2 Data'!$H$4:$H$207&lt;&gt;""))+SUMPRODUCT(('Q3 Data'!$D$4:$D$207=D170)*('Q3 Data'!$B$4:$B$207="Challan")*('Q3 Data'!$H$4:$H$207&lt;&gt;""))+SUMPRODUCT(('Q4 Data'!$D$4:$D$207=D170)*('Q4 Data'!$B$4:$B$207="Challan")*('Q4 Data'!$H$4:$H$207&lt;&gt;"")))&gt;0,(SUMPRODUCT(('Q1 Data'!$D$4:$D$207=D170)*('Q1 Data'!$B$4:$B$207="Challan")*('Q1 Data'!$H$4:$H$207=Z170))+SUMPRODUCT(('Q2 Data'!$D$4:$D$207=D170)*('Q2 Data'!$B$4:$B$207="Challan")*('Q2 Data'!$H$4:$H$207=Z170))+SUMPRODUCT(('Q3 Data'!$D$4:$D$207=D170)*('Q3 Data'!$B$4:$B$207="Challan")*('Q3 Data'!$H$4:$H$207=Z170))+SUMPRODUCT(('Q4 Data'!$D$4:$D$207=D170)*('Q4 Data'!$B$4:$B$207="Challan")*('Q4 Data'!$H$4:$H$207=Z170)))=0))</f>
      </c>
    </row>
    <row r="171" spans="1:44" x14ac:dyDescent="0.25">
      <c r="A171" s="20">
        <f>IF($B171="Entry",COUNTIF($B$4:$B171,"Entry"),"")</f>
      </c>
      <c r="B171" s="21"/>
      <c r="C171" s="22"/>
      <c r="D171" s="22"/>
      <c r="E171" s="23">
        <f>IF($B171&lt;&gt;"Challan","",IF(ROUND(AN171-AO171,2)&gt;0,"Over-applied",IF(ROUND(AN171-AO171,2)=0,"Fully Utilised","Unconsumed")))</f>
      </c>
      <c r="F171" s="24"/>
      <c r="G171" s="25"/>
      <c r="H171" s="25"/>
      <c r="I171" s="26"/>
      <c r="J171" s="26"/>
      <c r="K171" s="26"/>
      <c r="L171" s="26"/>
      <c r="M171" s="26"/>
      <c r="N171" s="26"/>
      <c r="O171" s="26"/>
      <c r="P171" s="27">
        <f>IF($B171&lt;&gt;"Challan","",I171+J171+K171+L171+M171+N171)</f>
      </c>
      <c r="Q171" s="25"/>
      <c r="R171" s="25"/>
      <c r="S171" s="25"/>
      <c r="T171" s="25"/>
      <c r="U171" s="25"/>
      <c r="V171" s="28"/>
      <c r="W171" s="28"/>
      <c r="X171" s="23">
        <f>IF($B171="Entry",IF(AND(LEN(TRIM(UPPER(W171)))=10,CODE(MID(TRIM(UPPER(W171)),1,1))&gt;=65,CODE(MID(TRIM(UPPER(W171)),1,1))&lt;=90,CODE(MID(TRIM(UPPER(W171)),2,1))&gt;=65,CODE(MID(TRIM(UPPER(W171)),2,1))&lt;=90,CODE(MID(TRIM(UPPER(W171)),3,1))&gt;=65,CODE(MID(TRIM(UPPER(W171)),3,1))&lt;=90,CODE(MID(TRIM(UPPER(W171)),4,1))&gt;=65,CODE(MID(TRIM(UPPER(W171)),4,1))&lt;=90,CODE(MID(TRIM(UPPER(W171)),5,1))&gt;=65,CODE(MID(TRIM(UPPER(W171)),5,1))&lt;=90,CODE(MID(TRIM(UPPER(W171)),10,1))&gt;=65,CODE(MID(TRIM(UPPER(W171)),10,1))&lt;=90,CODE(MID(TRIM(UPPER(W171)),6,1))&gt;=48,CODE(MID(TRIM(UPPER(W171)),6,1))&lt;=57,CODE(MID(TRIM(UPPER(W171)),7,1))&gt;=48,CODE(MID(TRIM(UPPER(W171)),7,1))&lt;=57,CODE(MID(TRIM(UPPER(W171)),8,1))&gt;=48,CODE(MID(TRIM(UPPER(W171)),8,1))&lt;=57,CODE(MID(TRIM(UPPER(W171)),9,1))&gt;=48,CODE(MID(TRIM(UPPER(W171)),9,1))&lt;=57),"N","Y"),IF($B171="Challan","",IF(W171&lt;&gt;"","◄ Set Row Type","")))</f>
      </c>
      <c r="Y171" s="23">
        <f>IF($B171="Entry",IF(LEN(W171)&lt;4,"",IF(UPPER(MID(W171,4,1))="P","Individual",IF(UPPER(MID(W171,4,1))="H","HUF",IF(UPPER(MID(W171,4,1))="C","Company",IF(UPPER(MID(W171,4,1))="F","Firm",IF(UPPER(MID(W171,4,1))="L","LLP",IF(UPPER(MID(W171,4,1))="T","Trust",IF(UPPER(MID(W171,4,1))="A","AOP","")))))))),IF($B171="Challan","",IF(W171&lt;&gt;"","◄ Set Row Type","")))</f>
      </c>
      <c r="Z171" s="28"/>
      <c r="AA171" s="29">
        <f>IF($B171&lt;&gt;"Entry","",IF(Z171="","",IF(X171="Y",SUMPRODUCT(('Rate Lookup'!$A$1:$A$37=Z171)*'Rate Lookup'!$D$1:$D$37),IF(OR(Y171="Individual",Y171="HUF"),SUMPRODUCT(('Rate Lookup'!$A$1:$A$37=Z171)*'Rate Lookup'!$B$1:$B$37),SUMPRODUCT(('Rate Lookup'!$A$1:$A$37=Z171)*'Rate Lookup'!$C$1:$C$37)))))</f>
      </c>
      <c r="AB171" s="30"/>
      <c r="AC171" s="31"/>
      <c r="AD171" s="27">
        <f>IF($B171&lt;&gt;"Entry","",ROUND(AC171*AA171/100,0))</f>
      </c>
      <c r="AE171" s="27">
        <f>IF($B171&lt;&gt;"Entry","",0)</f>
      </c>
      <c r="AF171" s="27">
        <f>IF($B171&lt;&gt;"Entry","",0)</f>
      </c>
      <c r="AG171" s="27">
        <f>IF($B171&lt;&gt;"Entry","",IF(OR(AD171=0,AB171="",AQ171="",AQ171&lt;=0),0,IF(AQ171&lt;=DATE(YEAR(AB171),MONTH(AB171)+1,7),0,ROUND(AD171*0.015*((YEAR(AQ171)-YEAR(AB171))*12+(MONTH(AQ171)-MONTH(AB171))+1),0))))</f>
      </c>
      <c r="AH171" s="27">
        <f>IF($B171&lt;&gt;"Entry","",0)</f>
      </c>
      <c r="AI171" s="28"/>
      <c r="AJ171" s="28"/>
      <c r="AK171" s="32"/>
      <c r="AL171" s="28"/>
      <c r="AM171" s="28"/>
      <c r="AN171" s="27">
        <f>IF($B171&lt;&gt;"Challan","",SUMIF('Q1 Data'!$D$4:$D$207,D171,'Q1 Data'!$AD$4:$AD$207)+SUMIF('Q1 Data'!$D$4:$D$207,D171,'Q1 Data'!$AG$4:$AG$207)+SUMIF('Q1 Data'!$D$4:$D$207,D171,'Q1 Data'!$AE$4:$AE$207)+SUMIF('Q2 Data'!$D$4:$D$207,D171,'Q2 Data'!$AD$4:$AD$207)+SUMIF('Q2 Data'!$D$4:$D$207,D171,'Q2 Data'!$AG$4:$AG$207)+SUMIF('Q2 Data'!$D$4:$D$207,D171,'Q2 Data'!$AE$4:$AE$207)+SUMIF('Q3 Data'!$D$4:$D$207,D171,'Q3 Data'!$AD$4:$AD$207)+SUMIF('Q3 Data'!$D$4:$D$207,D171,'Q3 Data'!$AG$4:$AG$207)+SUMIF('Q3 Data'!$D$4:$D$207,D171,'Q3 Data'!$AE$4:$AE$207)+SUMIF('Q4 Data'!$D$4:$D$207,D171,'Q4 Data'!$AD$4:$AD$207)+SUMIF('Q4 Data'!$D$4:$D$207,D171,'Q4 Data'!$AG$4:$AG$207)+SUMIF('Q4 Data'!$D$4:$D$207,D171,'Q4 Data'!$AE$4:$AE$207))</f>
      </c>
      <c r="AO171" s="27">
        <f>IF($B171&lt;&gt;"Challan","",P171-N171)</f>
      </c>
      <c r="AP171" s="27">
        <f>IF($B171&lt;&gt;"Challan","",MAX(0,AO171-AN171))</f>
      </c>
      <c r="AQ171" s="33">
        <f>IF($B171&lt;&gt;"Entry","",SUMPRODUCT(('Q1 Data'!$D$4:$D$207=D171)*('Q1 Data'!$B$4:$B$207="Challan")*'Q1 Data'!$F$4:$F$207)+SUMPRODUCT(('Q2 Data'!$D$4:$D$207=D171)*('Q2 Data'!$B$4:$B$207="Challan")*'Q2 Data'!$F$4:$F$207)+SUMPRODUCT(('Q3 Data'!$D$4:$D$207=D171)*('Q3 Data'!$B$4:$B$207="Challan")*'Q3 Data'!$F$4:$F$207)+SUMPRODUCT(('Q4 Data'!$D$4:$D$207=D171)*('Q4 Data'!$B$4:$B$207="Challan")*'Q4 Data'!$F$4:$F$207))</f>
      </c>
      <c r="AR171" s="34">
        <f>IF(OR($B171&lt;&gt;"Entry",Z171=""),FALSE,AND((SUMPRODUCT(('Q1 Data'!$D$4:$D$207=D171)*('Q1 Data'!$B$4:$B$207="Challan")*('Q1 Data'!$H$4:$H$207&lt;&gt;""))+SUMPRODUCT(('Q2 Data'!$D$4:$D$207=D171)*('Q2 Data'!$B$4:$B$207="Challan")*('Q2 Data'!$H$4:$H$207&lt;&gt;""))+SUMPRODUCT(('Q3 Data'!$D$4:$D$207=D171)*('Q3 Data'!$B$4:$B$207="Challan")*('Q3 Data'!$H$4:$H$207&lt;&gt;""))+SUMPRODUCT(('Q4 Data'!$D$4:$D$207=D171)*('Q4 Data'!$B$4:$B$207="Challan")*('Q4 Data'!$H$4:$H$207&lt;&gt;"")))&gt;0,(SUMPRODUCT(('Q1 Data'!$D$4:$D$207=D171)*('Q1 Data'!$B$4:$B$207="Challan")*('Q1 Data'!$H$4:$H$207=Z171))+SUMPRODUCT(('Q2 Data'!$D$4:$D$207=D171)*('Q2 Data'!$B$4:$B$207="Challan")*('Q2 Data'!$H$4:$H$207=Z171))+SUMPRODUCT(('Q3 Data'!$D$4:$D$207=D171)*('Q3 Data'!$B$4:$B$207="Challan")*('Q3 Data'!$H$4:$H$207=Z171))+SUMPRODUCT(('Q4 Data'!$D$4:$D$207=D171)*('Q4 Data'!$B$4:$B$207="Challan")*('Q4 Data'!$H$4:$H$207=Z171)))=0))</f>
      </c>
    </row>
    <row r="172" spans="1:44" x14ac:dyDescent="0.25">
      <c r="A172" s="20">
        <f>IF($B172="Entry",COUNTIF($B$4:$B172,"Entry"),"")</f>
      </c>
      <c r="B172" s="21"/>
      <c r="C172" s="22"/>
      <c r="D172" s="22"/>
      <c r="E172" s="23">
        <f>IF($B172&lt;&gt;"Challan","",IF(ROUND(AN172-AO172,2)&gt;0,"Over-applied",IF(ROUND(AN172-AO172,2)=0,"Fully Utilised","Unconsumed")))</f>
      </c>
      <c r="F172" s="24"/>
      <c r="G172" s="25"/>
      <c r="H172" s="25"/>
      <c r="I172" s="26"/>
      <c r="J172" s="26"/>
      <c r="K172" s="26"/>
      <c r="L172" s="26"/>
      <c r="M172" s="26"/>
      <c r="N172" s="26"/>
      <c r="O172" s="26"/>
      <c r="P172" s="27">
        <f>IF($B172&lt;&gt;"Challan","",I172+J172+K172+L172+M172+N172)</f>
      </c>
      <c r="Q172" s="25"/>
      <c r="R172" s="25"/>
      <c r="S172" s="25"/>
      <c r="T172" s="25"/>
      <c r="U172" s="25"/>
      <c r="V172" s="28"/>
      <c r="W172" s="28"/>
      <c r="X172" s="23">
        <f>IF($B172="Entry",IF(AND(LEN(TRIM(UPPER(W172)))=10,CODE(MID(TRIM(UPPER(W172)),1,1))&gt;=65,CODE(MID(TRIM(UPPER(W172)),1,1))&lt;=90,CODE(MID(TRIM(UPPER(W172)),2,1))&gt;=65,CODE(MID(TRIM(UPPER(W172)),2,1))&lt;=90,CODE(MID(TRIM(UPPER(W172)),3,1))&gt;=65,CODE(MID(TRIM(UPPER(W172)),3,1))&lt;=90,CODE(MID(TRIM(UPPER(W172)),4,1))&gt;=65,CODE(MID(TRIM(UPPER(W172)),4,1))&lt;=90,CODE(MID(TRIM(UPPER(W172)),5,1))&gt;=65,CODE(MID(TRIM(UPPER(W172)),5,1))&lt;=90,CODE(MID(TRIM(UPPER(W172)),10,1))&gt;=65,CODE(MID(TRIM(UPPER(W172)),10,1))&lt;=90,CODE(MID(TRIM(UPPER(W172)),6,1))&gt;=48,CODE(MID(TRIM(UPPER(W172)),6,1))&lt;=57,CODE(MID(TRIM(UPPER(W172)),7,1))&gt;=48,CODE(MID(TRIM(UPPER(W172)),7,1))&lt;=57,CODE(MID(TRIM(UPPER(W172)),8,1))&gt;=48,CODE(MID(TRIM(UPPER(W172)),8,1))&lt;=57,CODE(MID(TRIM(UPPER(W172)),9,1))&gt;=48,CODE(MID(TRIM(UPPER(W172)),9,1))&lt;=57),"N","Y"),IF($B172="Challan","",IF(W172&lt;&gt;"","◄ Set Row Type","")))</f>
      </c>
      <c r="Y172" s="23">
        <f>IF($B172="Entry",IF(LEN(W172)&lt;4,"",IF(UPPER(MID(W172,4,1))="P","Individual",IF(UPPER(MID(W172,4,1))="H","HUF",IF(UPPER(MID(W172,4,1))="C","Company",IF(UPPER(MID(W172,4,1))="F","Firm",IF(UPPER(MID(W172,4,1))="L","LLP",IF(UPPER(MID(W172,4,1))="T","Trust",IF(UPPER(MID(W172,4,1))="A","AOP","")))))))),IF($B172="Challan","",IF(W172&lt;&gt;"","◄ Set Row Type","")))</f>
      </c>
      <c r="Z172" s="28"/>
      <c r="AA172" s="29">
        <f>IF($B172&lt;&gt;"Entry","",IF(Z172="","",IF(X172="Y",SUMPRODUCT(('Rate Lookup'!$A$1:$A$37=Z172)*'Rate Lookup'!$D$1:$D$37),IF(OR(Y172="Individual",Y172="HUF"),SUMPRODUCT(('Rate Lookup'!$A$1:$A$37=Z172)*'Rate Lookup'!$B$1:$B$37),SUMPRODUCT(('Rate Lookup'!$A$1:$A$37=Z172)*'Rate Lookup'!$C$1:$C$37)))))</f>
      </c>
      <c r="AB172" s="30"/>
      <c r="AC172" s="31"/>
      <c r="AD172" s="27">
        <f>IF($B172&lt;&gt;"Entry","",ROUND(AC172*AA172/100,0))</f>
      </c>
      <c r="AE172" s="27">
        <f>IF($B172&lt;&gt;"Entry","",0)</f>
      </c>
      <c r="AF172" s="27">
        <f>IF($B172&lt;&gt;"Entry","",0)</f>
      </c>
      <c r="AG172" s="27">
        <f>IF($B172&lt;&gt;"Entry","",IF(OR(AD172=0,AB172="",AQ172="",AQ172&lt;=0),0,IF(AQ172&lt;=DATE(YEAR(AB172),MONTH(AB172)+1,7),0,ROUND(AD172*0.015*((YEAR(AQ172)-YEAR(AB172))*12+(MONTH(AQ172)-MONTH(AB172))+1),0))))</f>
      </c>
      <c r="AH172" s="27">
        <f>IF($B172&lt;&gt;"Entry","",0)</f>
      </c>
      <c r="AI172" s="28"/>
      <c r="AJ172" s="28"/>
      <c r="AK172" s="32"/>
      <c r="AL172" s="28"/>
      <c r="AM172" s="28"/>
      <c r="AN172" s="27">
        <f>IF($B172&lt;&gt;"Challan","",SUMIF('Q1 Data'!$D$4:$D$207,D172,'Q1 Data'!$AD$4:$AD$207)+SUMIF('Q1 Data'!$D$4:$D$207,D172,'Q1 Data'!$AG$4:$AG$207)+SUMIF('Q1 Data'!$D$4:$D$207,D172,'Q1 Data'!$AE$4:$AE$207)+SUMIF('Q2 Data'!$D$4:$D$207,D172,'Q2 Data'!$AD$4:$AD$207)+SUMIF('Q2 Data'!$D$4:$D$207,D172,'Q2 Data'!$AG$4:$AG$207)+SUMIF('Q2 Data'!$D$4:$D$207,D172,'Q2 Data'!$AE$4:$AE$207)+SUMIF('Q3 Data'!$D$4:$D$207,D172,'Q3 Data'!$AD$4:$AD$207)+SUMIF('Q3 Data'!$D$4:$D$207,D172,'Q3 Data'!$AG$4:$AG$207)+SUMIF('Q3 Data'!$D$4:$D$207,D172,'Q3 Data'!$AE$4:$AE$207)+SUMIF('Q4 Data'!$D$4:$D$207,D172,'Q4 Data'!$AD$4:$AD$207)+SUMIF('Q4 Data'!$D$4:$D$207,D172,'Q4 Data'!$AG$4:$AG$207)+SUMIF('Q4 Data'!$D$4:$D$207,D172,'Q4 Data'!$AE$4:$AE$207))</f>
      </c>
      <c r="AO172" s="27">
        <f>IF($B172&lt;&gt;"Challan","",P172-N172)</f>
      </c>
      <c r="AP172" s="27">
        <f>IF($B172&lt;&gt;"Challan","",MAX(0,AO172-AN172))</f>
      </c>
      <c r="AQ172" s="33">
        <f>IF($B172&lt;&gt;"Entry","",SUMPRODUCT(('Q1 Data'!$D$4:$D$207=D172)*('Q1 Data'!$B$4:$B$207="Challan")*'Q1 Data'!$F$4:$F$207)+SUMPRODUCT(('Q2 Data'!$D$4:$D$207=D172)*('Q2 Data'!$B$4:$B$207="Challan")*'Q2 Data'!$F$4:$F$207)+SUMPRODUCT(('Q3 Data'!$D$4:$D$207=D172)*('Q3 Data'!$B$4:$B$207="Challan")*'Q3 Data'!$F$4:$F$207)+SUMPRODUCT(('Q4 Data'!$D$4:$D$207=D172)*('Q4 Data'!$B$4:$B$207="Challan")*'Q4 Data'!$F$4:$F$207))</f>
      </c>
      <c r="AR172" s="34">
        <f>IF(OR($B172&lt;&gt;"Entry",Z172=""),FALSE,AND((SUMPRODUCT(('Q1 Data'!$D$4:$D$207=D172)*('Q1 Data'!$B$4:$B$207="Challan")*('Q1 Data'!$H$4:$H$207&lt;&gt;""))+SUMPRODUCT(('Q2 Data'!$D$4:$D$207=D172)*('Q2 Data'!$B$4:$B$207="Challan")*('Q2 Data'!$H$4:$H$207&lt;&gt;""))+SUMPRODUCT(('Q3 Data'!$D$4:$D$207=D172)*('Q3 Data'!$B$4:$B$207="Challan")*('Q3 Data'!$H$4:$H$207&lt;&gt;""))+SUMPRODUCT(('Q4 Data'!$D$4:$D$207=D172)*('Q4 Data'!$B$4:$B$207="Challan")*('Q4 Data'!$H$4:$H$207&lt;&gt;"")))&gt;0,(SUMPRODUCT(('Q1 Data'!$D$4:$D$207=D172)*('Q1 Data'!$B$4:$B$207="Challan")*('Q1 Data'!$H$4:$H$207=Z172))+SUMPRODUCT(('Q2 Data'!$D$4:$D$207=D172)*('Q2 Data'!$B$4:$B$207="Challan")*('Q2 Data'!$H$4:$H$207=Z172))+SUMPRODUCT(('Q3 Data'!$D$4:$D$207=D172)*('Q3 Data'!$B$4:$B$207="Challan")*('Q3 Data'!$H$4:$H$207=Z172))+SUMPRODUCT(('Q4 Data'!$D$4:$D$207=D172)*('Q4 Data'!$B$4:$B$207="Challan")*('Q4 Data'!$H$4:$H$207=Z172)))=0))</f>
      </c>
    </row>
    <row r="173" spans="1:44" x14ac:dyDescent="0.25">
      <c r="A173" s="20">
        <f>IF($B173="Entry",COUNTIF($B$4:$B173,"Entry"),"")</f>
      </c>
      <c r="B173" s="21"/>
      <c r="C173" s="22"/>
      <c r="D173" s="22"/>
      <c r="E173" s="23">
        <f>IF($B173&lt;&gt;"Challan","",IF(ROUND(AN173-AO173,2)&gt;0,"Over-applied",IF(ROUND(AN173-AO173,2)=0,"Fully Utilised","Unconsumed")))</f>
      </c>
      <c r="F173" s="24"/>
      <c r="G173" s="25"/>
      <c r="H173" s="25"/>
      <c r="I173" s="26"/>
      <c r="J173" s="26"/>
      <c r="K173" s="26"/>
      <c r="L173" s="26"/>
      <c r="M173" s="26"/>
      <c r="N173" s="26"/>
      <c r="O173" s="26"/>
      <c r="P173" s="27">
        <f>IF($B173&lt;&gt;"Challan","",I173+J173+K173+L173+M173+N173)</f>
      </c>
      <c r="Q173" s="25"/>
      <c r="R173" s="25"/>
      <c r="S173" s="25"/>
      <c r="T173" s="25"/>
      <c r="U173" s="25"/>
      <c r="V173" s="28"/>
      <c r="W173" s="28"/>
      <c r="X173" s="23">
        <f>IF($B173="Entry",IF(AND(LEN(TRIM(UPPER(W173)))=10,CODE(MID(TRIM(UPPER(W173)),1,1))&gt;=65,CODE(MID(TRIM(UPPER(W173)),1,1))&lt;=90,CODE(MID(TRIM(UPPER(W173)),2,1))&gt;=65,CODE(MID(TRIM(UPPER(W173)),2,1))&lt;=90,CODE(MID(TRIM(UPPER(W173)),3,1))&gt;=65,CODE(MID(TRIM(UPPER(W173)),3,1))&lt;=90,CODE(MID(TRIM(UPPER(W173)),4,1))&gt;=65,CODE(MID(TRIM(UPPER(W173)),4,1))&lt;=90,CODE(MID(TRIM(UPPER(W173)),5,1))&gt;=65,CODE(MID(TRIM(UPPER(W173)),5,1))&lt;=90,CODE(MID(TRIM(UPPER(W173)),10,1))&gt;=65,CODE(MID(TRIM(UPPER(W173)),10,1))&lt;=90,CODE(MID(TRIM(UPPER(W173)),6,1))&gt;=48,CODE(MID(TRIM(UPPER(W173)),6,1))&lt;=57,CODE(MID(TRIM(UPPER(W173)),7,1))&gt;=48,CODE(MID(TRIM(UPPER(W173)),7,1))&lt;=57,CODE(MID(TRIM(UPPER(W173)),8,1))&gt;=48,CODE(MID(TRIM(UPPER(W173)),8,1))&lt;=57,CODE(MID(TRIM(UPPER(W173)),9,1))&gt;=48,CODE(MID(TRIM(UPPER(W173)),9,1))&lt;=57),"N","Y"),IF($B173="Challan","",IF(W173&lt;&gt;"","◄ Set Row Type","")))</f>
      </c>
      <c r="Y173" s="23">
        <f>IF($B173="Entry",IF(LEN(W173)&lt;4,"",IF(UPPER(MID(W173,4,1))="P","Individual",IF(UPPER(MID(W173,4,1))="H","HUF",IF(UPPER(MID(W173,4,1))="C","Company",IF(UPPER(MID(W173,4,1))="F","Firm",IF(UPPER(MID(W173,4,1))="L","LLP",IF(UPPER(MID(W173,4,1))="T","Trust",IF(UPPER(MID(W173,4,1))="A","AOP","")))))))),IF($B173="Challan","",IF(W173&lt;&gt;"","◄ Set Row Type","")))</f>
      </c>
      <c r="Z173" s="28"/>
      <c r="AA173" s="29">
        <f>IF($B173&lt;&gt;"Entry","",IF(Z173="","",IF(X173="Y",SUMPRODUCT(('Rate Lookup'!$A$1:$A$37=Z173)*'Rate Lookup'!$D$1:$D$37),IF(OR(Y173="Individual",Y173="HUF"),SUMPRODUCT(('Rate Lookup'!$A$1:$A$37=Z173)*'Rate Lookup'!$B$1:$B$37),SUMPRODUCT(('Rate Lookup'!$A$1:$A$37=Z173)*'Rate Lookup'!$C$1:$C$37)))))</f>
      </c>
      <c r="AB173" s="30"/>
      <c r="AC173" s="31"/>
      <c r="AD173" s="27">
        <f>IF($B173&lt;&gt;"Entry","",ROUND(AC173*AA173/100,0))</f>
      </c>
      <c r="AE173" s="27">
        <f>IF($B173&lt;&gt;"Entry","",0)</f>
      </c>
      <c r="AF173" s="27">
        <f>IF($B173&lt;&gt;"Entry","",0)</f>
      </c>
      <c r="AG173" s="27">
        <f>IF($B173&lt;&gt;"Entry","",IF(OR(AD173=0,AB173="",AQ173="",AQ173&lt;=0),0,IF(AQ173&lt;=DATE(YEAR(AB173),MONTH(AB173)+1,7),0,ROUND(AD173*0.015*((YEAR(AQ173)-YEAR(AB173))*12+(MONTH(AQ173)-MONTH(AB173))+1),0))))</f>
      </c>
      <c r="AH173" s="27">
        <f>IF($B173&lt;&gt;"Entry","",0)</f>
      </c>
      <c r="AI173" s="28"/>
      <c r="AJ173" s="28"/>
      <c r="AK173" s="32"/>
      <c r="AL173" s="28"/>
      <c r="AM173" s="28"/>
      <c r="AN173" s="27">
        <f>IF($B173&lt;&gt;"Challan","",SUMIF('Q1 Data'!$D$4:$D$207,D173,'Q1 Data'!$AD$4:$AD$207)+SUMIF('Q1 Data'!$D$4:$D$207,D173,'Q1 Data'!$AG$4:$AG$207)+SUMIF('Q1 Data'!$D$4:$D$207,D173,'Q1 Data'!$AE$4:$AE$207)+SUMIF('Q2 Data'!$D$4:$D$207,D173,'Q2 Data'!$AD$4:$AD$207)+SUMIF('Q2 Data'!$D$4:$D$207,D173,'Q2 Data'!$AG$4:$AG$207)+SUMIF('Q2 Data'!$D$4:$D$207,D173,'Q2 Data'!$AE$4:$AE$207)+SUMIF('Q3 Data'!$D$4:$D$207,D173,'Q3 Data'!$AD$4:$AD$207)+SUMIF('Q3 Data'!$D$4:$D$207,D173,'Q3 Data'!$AG$4:$AG$207)+SUMIF('Q3 Data'!$D$4:$D$207,D173,'Q3 Data'!$AE$4:$AE$207)+SUMIF('Q4 Data'!$D$4:$D$207,D173,'Q4 Data'!$AD$4:$AD$207)+SUMIF('Q4 Data'!$D$4:$D$207,D173,'Q4 Data'!$AG$4:$AG$207)+SUMIF('Q4 Data'!$D$4:$D$207,D173,'Q4 Data'!$AE$4:$AE$207))</f>
      </c>
      <c r="AO173" s="27">
        <f>IF($B173&lt;&gt;"Challan","",P173-N173)</f>
      </c>
      <c r="AP173" s="27">
        <f>IF($B173&lt;&gt;"Challan","",MAX(0,AO173-AN173))</f>
      </c>
      <c r="AQ173" s="33">
        <f>IF($B173&lt;&gt;"Entry","",SUMPRODUCT(('Q1 Data'!$D$4:$D$207=D173)*('Q1 Data'!$B$4:$B$207="Challan")*'Q1 Data'!$F$4:$F$207)+SUMPRODUCT(('Q2 Data'!$D$4:$D$207=D173)*('Q2 Data'!$B$4:$B$207="Challan")*'Q2 Data'!$F$4:$F$207)+SUMPRODUCT(('Q3 Data'!$D$4:$D$207=D173)*('Q3 Data'!$B$4:$B$207="Challan")*'Q3 Data'!$F$4:$F$207)+SUMPRODUCT(('Q4 Data'!$D$4:$D$207=D173)*('Q4 Data'!$B$4:$B$207="Challan")*'Q4 Data'!$F$4:$F$207))</f>
      </c>
      <c r="AR173" s="34">
        <f>IF(OR($B173&lt;&gt;"Entry",Z173=""),FALSE,AND((SUMPRODUCT(('Q1 Data'!$D$4:$D$207=D173)*('Q1 Data'!$B$4:$B$207="Challan")*('Q1 Data'!$H$4:$H$207&lt;&gt;""))+SUMPRODUCT(('Q2 Data'!$D$4:$D$207=D173)*('Q2 Data'!$B$4:$B$207="Challan")*('Q2 Data'!$H$4:$H$207&lt;&gt;""))+SUMPRODUCT(('Q3 Data'!$D$4:$D$207=D173)*('Q3 Data'!$B$4:$B$207="Challan")*('Q3 Data'!$H$4:$H$207&lt;&gt;""))+SUMPRODUCT(('Q4 Data'!$D$4:$D$207=D173)*('Q4 Data'!$B$4:$B$207="Challan")*('Q4 Data'!$H$4:$H$207&lt;&gt;"")))&gt;0,(SUMPRODUCT(('Q1 Data'!$D$4:$D$207=D173)*('Q1 Data'!$B$4:$B$207="Challan")*('Q1 Data'!$H$4:$H$207=Z173))+SUMPRODUCT(('Q2 Data'!$D$4:$D$207=D173)*('Q2 Data'!$B$4:$B$207="Challan")*('Q2 Data'!$H$4:$H$207=Z173))+SUMPRODUCT(('Q3 Data'!$D$4:$D$207=D173)*('Q3 Data'!$B$4:$B$207="Challan")*('Q3 Data'!$H$4:$H$207=Z173))+SUMPRODUCT(('Q4 Data'!$D$4:$D$207=D173)*('Q4 Data'!$B$4:$B$207="Challan")*('Q4 Data'!$H$4:$H$207=Z173)))=0))</f>
      </c>
    </row>
    <row r="174" spans="1:44" x14ac:dyDescent="0.25">
      <c r="A174" s="20">
        <f>IF($B174="Entry",COUNTIF($B$4:$B174,"Entry"),"")</f>
      </c>
      <c r="B174" s="21"/>
      <c r="C174" s="22"/>
      <c r="D174" s="22"/>
      <c r="E174" s="23">
        <f>IF($B174&lt;&gt;"Challan","",IF(ROUND(AN174-AO174,2)&gt;0,"Over-applied",IF(ROUND(AN174-AO174,2)=0,"Fully Utilised","Unconsumed")))</f>
      </c>
      <c r="F174" s="24"/>
      <c r="G174" s="25"/>
      <c r="H174" s="25"/>
      <c r="I174" s="26"/>
      <c r="J174" s="26"/>
      <c r="K174" s="26"/>
      <c r="L174" s="26"/>
      <c r="M174" s="26"/>
      <c r="N174" s="26"/>
      <c r="O174" s="26"/>
      <c r="P174" s="27">
        <f>IF($B174&lt;&gt;"Challan","",I174+J174+K174+L174+M174+N174)</f>
      </c>
      <c r="Q174" s="25"/>
      <c r="R174" s="25"/>
      <c r="S174" s="25"/>
      <c r="T174" s="25"/>
      <c r="U174" s="25"/>
      <c r="V174" s="28"/>
      <c r="W174" s="28"/>
      <c r="X174" s="23">
        <f>IF($B174="Entry",IF(AND(LEN(TRIM(UPPER(W174)))=10,CODE(MID(TRIM(UPPER(W174)),1,1))&gt;=65,CODE(MID(TRIM(UPPER(W174)),1,1))&lt;=90,CODE(MID(TRIM(UPPER(W174)),2,1))&gt;=65,CODE(MID(TRIM(UPPER(W174)),2,1))&lt;=90,CODE(MID(TRIM(UPPER(W174)),3,1))&gt;=65,CODE(MID(TRIM(UPPER(W174)),3,1))&lt;=90,CODE(MID(TRIM(UPPER(W174)),4,1))&gt;=65,CODE(MID(TRIM(UPPER(W174)),4,1))&lt;=90,CODE(MID(TRIM(UPPER(W174)),5,1))&gt;=65,CODE(MID(TRIM(UPPER(W174)),5,1))&lt;=90,CODE(MID(TRIM(UPPER(W174)),10,1))&gt;=65,CODE(MID(TRIM(UPPER(W174)),10,1))&lt;=90,CODE(MID(TRIM(UPPER(W174)),6,1))&gt;=48,CODE(MID(TRIM(UPPER(W174)),6,1))&lt;=57,CODE(MID(TRIM(UPPER(W174)),7,1))&gt;=48,CODE(MID(TRIM(UPPER(W174)),7,1))&lt;=57,CODE(MID(TRIM(UPPER(W174)),8,1))&gt;=48,CODE(MID(TRIM(UPPER(W174)),8,1))&lt;=57,CODE(MID(TRIM(UPPER(W174)),9,1))&gt;=48,CODE(MID(TRIM(UPPER(W174)),9,1))&lt;=57),"N","Y"),IF($B174="Challan","",IF(W174&lt;&gt;"","◄ Set Row Type","")))</f>
      </c>
      <c r="Y174" s="23">
        <f>IF($B174="Entry",IF(LEN(W174)&lt;4,"",IF(UPPER(MID(W174,4,1))="P","Individual",IF(UPPER(MID(W174,4,1))="H","HUF",IF(UPPER(MID(W174,4,1))="C","Company",IF(UPPER(MID(W174,4,1))="F","Firm",IF(UPPER(MID(W174,4,1))="L","LLP",IF(UPPER(MID(W174,4,1))="T","Trust",IF(UPPER(MID(W174,4,1))="A","AOP","")))))))),IF($B174="Challan","",IF(W174&lt;&gt;"","◄ Set Row Type","")))</f>
      </c>
      <c r="Z174" s="28"/>
      <c r="AA174" s="29">
        <f>IF($B174&lt;&gt;"Entry","",IF(Z174="","",IF(X174="Y",SUMPRODUCT(('Rate Lookup'!$A$1:$A$37=Z174)*'Rate Lookup'!$D$1:$D$37),IF(OR(Y174="Individual",Y174="HUF"),SUMPRODUCT(('Rate Lookup'!$A$1:$A$37=Z174)*'Rate Lookup'!$B$1:$B$37),SUMPRODUCT(('Rate Lookup'!$A$1:$A$37=Z174)*'Rate Lookup'!$C$1:$C$37)))))</f>
      </c>
      <c r="AB174" s="30"/>
      <c r="AC174" s="31"/>
      <c r="AD174" s="27">
        <f>IF($B174&lt;&gt;"Entry","",ROUND(AC174*AA174/100,0))</f>
      </c>
      <c r="AE174" s="27">
        <f>IF($B174&lt;&gt;"Entry","",0)</f>
      </c>
      <c r="AF174" s="27">
        <f>IF($B174&lt;&gt;"Entry","",0)</f>
      </c>
      <c r="AG174" s="27">
        <f>IF($B174&lt;&gt;"Entry","",IF(OR(AD174=0,AB174="",AQ174="",AQ174&lt;=0),0,IF(AQ174&lt;=DATE(YEAR(AB174),MONTH(AB174)+1,7),0,ROUND(AD174*0.015*((YEAR(AQ174)-YEAR(AB174))*12+(MONTH(AQ174)-MONTH(AB174))+1),0))))</f>
      </c>
      <c r="AH174" s="27">
        <f>IF($B174&lt;&gt;"Entry","",0)</f>
      </c>
      <c r="AI174" s="28"/>
      <c r="AJ174" s="28"/>
      <c r="AK174" s="32"/>
      <c r="AL174" s="28"/>
      <c r="AM174" s="28"/>
      <c r="AN174" s="27">
        <f>IF($B174&lt;&gt;"Challan","",SUMIF('Q1 Data'!$D$4:$D$207,D174,'Q1 Data'!$AD$4:$AD$207)+SUMIF('Q1 Data'!$D$4:$D$207,D174,'Q1 Data'!$AG$4:$AG$207)+SUMIF('Q1 Data'!$D$4:$D$207,D174,'Q1 Data'!$AE$4:$AE$207)+SUMIF('Q2 Data'!$D$4:$D$207,D174,'Q2 Data'!$AD$4:$AD$207)+SUMIF('Q2 Data'!$D$4:$D$207,D174,'Q2 Data'!$AG$4:$AG$207)+SUMIF('Q2 Data'!$D$4:$D$207,D174,'Q2 Data'!$AE$4:$AE$207)+SUMIF('Q3 Data'!$D$4:$D$207,D174,'Q3 Data'!$AD$4:$AD$207)+SUMIF('Q3 Data'!$D$4:$D$207,D174,'Q3 Data'!$AG$4:$AG$207)+SUMIF('Q3 Data'!$D$4:$D$207,D174,'Q3 Data'!$AE$4:$AE$207)+SUMIF('Q4 Data'!$D$4:$D$207,D174,'Q4 Data'!$AD$4:$AD$207)+SUMIF('Q4 Data'!$D$4:$D$207,D174,'Q4 Data'!$AG$4:$AG$207)+SUMIF('Q4 Data'!$D$4:$D$207,D174,'Q4 Data'!$AE$4:$AE$207))</f>
      </c>
      <c r="AO174" s="27">
        <f>IF($B174&lt;&gt;"Challan","",P174-N174)</f>
      </c>
      <c r="AP174" s="27">
        <f>IF($B174&lt;&gt;"Challan","",MAX(0,AO174-AN174))</f>
      </c>
      <c r="AQ174" s="33">
        <f>IF($B174&lt;&gt;"Entry","",SUMPRODUCT(('Q1 Data'!$D$4:$D$207=D174)*('Q1 Data'!$B$4:$B$207="Challan")*'Q1 Data'!$F$4:$F$207)+SUMPRODUCT(('Q2 Data'!$D$4:$D$207=D174)*('Q2 Data'!$B$4:$B$207="Challan")*'Q2 Data'!$F$4:$F$207)+SUMPRODUCT(('Q3 Data'!$D$4:$D$207=D174)*('Q3 Data'!$B$4:$B$207="Challan")*'Q3 Data'!$F$4:$F$207)+SUMPRODUCT(('Q4 Data'!$D$4:$D$207=D174)*('Q4 Data'!$B$4:$B$207="Challan")*'Q4 Data'!$F$4:$F$207))</f>
      </c>
      <c r="AR174" s="34">
        <f>IF(OR($B174&lt;&gt;"Entry",Z174=""),FALSE,AND((SUMPRODUCT(('Q1 Data'!$D$4:$D$207=D174)*('Q1 Data'!$B$4:$B$207="Challan")*('Q1 Data'!$H$4:$H$207&lt;&gt;""))+SUMPRODUCT(('Q2 Data'!$D$4:$D$207=D174)*('Q2 Data'!$B$4:$B$207="Challan")*('Q2 Data'!$H$4:$H$207&lt;&gt;""))+SUMPRODUCT(('Q3 Data'!$D$4:$D$207=D174)*('Q3 Data'!$B$4:$B$207="Challan")*('Q3 Data'!$H$4:$H$207&lt;&gt;""))+SUMPRODUCT(('Q4 Data'!$D$4:$D$207=D174)*('Q4 Data'!$B$4:$B$207="Challan")*('Q4 Data'!$H$4:$H$207&lt;&gt;"")))&gt;0,(SUMPRODUCT(('Q1 Data'!$D$4:$D$207=D174)*('Q1 Data'!$B$4:$B$207="Challan")*('Q1 Data'!$H$4:$H$207=Z174))+SUMPRODUCT(('Q2 Data'!$D$4:$D$207=D174)*('Q2 Data'!$B$4:$B$207="Challan")*('Q2 Data'!$H$4:$H$207=Z174))+SUMPRODUCT(('Q3 Data'!$D$4:$D$207=D174)*('Q3 Data'!$B$4:$B$207="Challan")*('Q3 Data'!$H$4:$H$207=Z174))+SUMPRODUCT(('Q4 Data'!$D$4:$D$207=D174)*('Q4 Data'!$B$4:$B$207="Challan")*('Q4 Data'!$H$4:$H$207=Z174)))=0))</f>
      </c>
    </row>
    <row r="175" spans="1:44" x14ac:dyDescent="0.25">
      <c r="A175" s="20">
        <f>IF($B175="Entry",COUNTIF($B$4:$B175,"Entry"),"")</f>
      </c>
      <c r="B175" s="21"/>
      <c r="C175" s="22"/>
      <c r="D175" s="22"/>
      <c r="E175" s="23">
        <f>IF($B175&lt;&gt;"Challan","",IF(ROUND(AN175-AO175,2)&gt;0,"Over-applied",IF(ROUND(AN175-AO175,2)=0,"Fully Utilised","Unconsumed")))</f>
      </c>
      <c r="F175" s="24"/>
      <c r="G175" s="25"/>
      <c r="H175" s="25"/>
      <c r="I175" s="26"/>
      <c r="J175" s="26"/>
      <c r="K175" s="26"/>
      <c r="L175" s="26"/>
      <c r="M175" s="26"/>
      <c r="N175" s="26"/>
      <c r="O175" s="26"/>
      <c r="P175" s="27">
        <f>IF($B175&lt;&gt;"Challan","",I175+J175+K175+L175+M175+N175)</f>
      </c>
      <c r="Q175" s="25"/>
      <c r="R175" s="25"/>
      <c r="S175" s="25"/>
      <c r="T175" s="25"/>
      <c r="U175" s="25"/>
      <c r="V175" s="28"/>
      <c r="W175" s="28"/>
      <c r="X175" s="23">
        <f>IF($B175="Entry",IF(AND(LEN(TRIM(UPPER(W175)))=10,CODE(MID(TRIM(UPPER(W175)),1,1))&gt;=65,CODE(MID(TRIM(UPPER(W175)),1,1))&lt;=90,CODE(MID(TRIM(UPPER(W175)),2,1))&gt;=65,CODE(MID(TRIM(UPPER(W175)),2,1))&lt;=90,CODE(MID(TRIM(UPPER(W175)),3,1))&gt;=65,CODE(MID(TRIM(UPPER(W175)),3,1))&lt;=90,CODE(MID(TRIM(UPPER(W175)),4,1))&gt;=65,CODE(MID(TRIM(UPPER(W175)),4,1))&lt;=90,CODE(MID(TRIM(UPPER(W175)),5,1))&gt;=65,CODE(MID(TRIM(UPPER(W175)),5,1))&lt;=90,CODE(MID(TRIM(UPPER(W175)),10,1))&gt;=65,CODE(MID(TRIM(UPPER(W175)),10,1))&lt;=90,CODE(MID(TRIM(UPPER(W175)),6,1))&gt;=48,CODE(MID(TRIM(UPPER(W175)),6,1))&lt;=57,CODE(MID(TRIM(UPPER(W175)),7,1))&gt;=48,CODE(MID(TRIM(UPPER(W175)),7,1))&lt;=57,CODE(MID(TRIM(UPPER(W175)),8,1))&gt;=48,CODE(MID(TRIM(UPPER(W175)),8,1))&lt;=57,CODE(MID(TRIM(UPPER(W175)),9,1))&gt;=48,CODE(MID(TRIM(UPPER(W175)),9,1))&lt;=57),"N","Y"),IF($B175="Challan","",IF(W175&lt;&gt;"","◄ Set Row Type","")))</f>
      </c>
      <c r="Y175" s="23">
        <f>IF($B175="Entry",IF(LEN(W175)&lt;4,"",IF(UPPER(MID(W175,4,1))="P","Individual",IF(UPPER(MID(W175,4,1))="H","HUF",IF(UPPER(MID(W175,4,1))="C","Company",IF(UPPER(MID(W175,4,1))="F","Firm",IF(UPPER(MID(W175,4,1))="L","LLP",IF(UPPER(MID(W175,4,1))="T","Trust",IF(UPPER(MID(W175,4,1))="A","AOP","")))))))),IF($B175="Challan","",IF(W175&lt;&gt;"","◄ Set Row Type","")))</f>
      </c>
      <c r="Z175" s="28"/>
      <c r="AA175" s="29">
        <f>IF($B175&lt;&gt;"Entry","",IF(Z175="","",IF(X175="Y",SUMPRODUCT(('Rate Lookup'!$A$1:$A$37=Z175)*'Rate Lookup'!$D$1:$D$37),IF(OR(Y175="Individual",Y175="HUF"),SUMPRODUCT(('Rate Lookup'!$A$1:$A$37=Z175)*'Rate Lookup'!$B$1:$B$37),SUMPRODUCT(('Rate Lookup'!$A$1:$A$37=Z175)*'Rate Lookup'!$C$1:$C$37)))))</f>
      </c>
      <c r="AB175" s="30"/>
      <c r="AC175" s="31"/>
      <c r="AD175" s="27">
        <f>IF($B175&lt;&gt;"Entry","",ROUND(AC175*AA175/100,0))</f>
      </c>
      <c r="AE175" s="27">
        <f>IF($B175&lt;&gt;"Entry","",0)</f>
      </c>
      <c r="AF175" s="27">
        <f>IF($B175&lt;&gt;"Entry","",0)</f>
      </c>
      <c r="AG175" s="27">
        <f>IF($B175&lt;&gt;"Entry","",IF(OR(AD175=0,AB175="",AQ175="",AQ175&lt;=0),0,IF(AQ175&lt;=DATE(YEAR(AB175),MONTH(AB175)+1,7),0,ROUND(AD175*0.015*((YEAR(AQ175)-YEAR(AB175))*12+(MONTH(AQ175)-MONTH(AB175))+1),0))))</f>
      </c>
      <c r="AH175" s="27">
        <f>IF($B175&lt;&gt;"Entry","",0)</f>
      </c>
      <c r="AI175" s="28"/>
      <c r="AJ175" s="28"/>
      <c r="AK175" s="32"/>
      <c r="AL175" s="28"/>
      <c r="AM175" s="28"/>
      <c r="AN175" s="27">
        <f>IF($B175&lt;&gt;"Challan","",SUMIF('Q1 Data'!$D$4:$D$207,D175,'Q1 Data'!$AD$4:$AD$207)+SUMIF('Q1 Data'!$D$4:$D$207,D175,'Q1 Data'!$AG$4:$AG$207)+SUMIF('Q1 Data'!$D$4:$D$207,D175,'Q1 Data'!$AE$4:$AE$207)+SUMIF('Q2 Data'!$D$4:$D$207,D175,'Q2 Data'!$AD$4:$AD$207)+SUMIF('Q2 Data'!$D$4:$D$207,D175,'Q2 Data'!$AG$4:$AG$207)+SUMIF('Q2 Data'!$D$4:$D$207,D175,'Q2 Data'!$AE$4:$AE$207)+SUMIF('Q3 Data'!$D$4:$D$207,D175,'Q3 Data'!$AD$4:$AD$207)+SUMIF('Q3 Data'!$D$4:$D$207,D175,'Q3 Data'!$AG$4:$AG$207)+SUMIF('Q3 Data'!$D$4:$D$207,D175,'Q3 Data'!$AE$4:$AE$207)+SUMIF('Q4 Data'!$D$4:$D$207,D175,'Q4 Data'!$AD$4:$AD$207)+SUMIF('Q4 Data'!$D$4:$D$207,D175,'Q4 Data'!$AG$4:$AG$207)+SUMIF('Q4 Data'!$D$4:$D$207,D175,'Q4 Data'!$AE$4:$AE$207))</f>
      </c>
      <c r="AO175" s="27">
        <f>IF($B175&lt;&gt;"Challan","",P175-N175)</f>
      </c>
      <c r="AP175" s="27">
        <f>IF($B175&lt;&gt;"Challan","",MAX(0,AO175-AN175))</f>
      </c>
      <c r="AQ175" s="33">
        <f>IF($B175&lt;&gt;"Entry","",SUMPRODUCT(('Q1 Data'!$D$4:$D$207=D175)*('Q1 Data'!$B$4:$B$207="Challan")*'Q1 Data'!$F$4:$F$207)+SUMPRODUCT(('Q2 Data'!$D$4:$D$207=D175)*('Q2 Data'!$B$4:$B$207="Challan")*'Q2 Data'!$F$4:$F$207)+SUMPRODUCT(('Q3 Data'!$D$4:$D$207=D175)*('Q3 Data'!$B$4:$B$207="Challan")*'Q3 Data'!$F$4:$F$207)+SUMPRODUCT(('Q4 Data'!$D$4:$D$207=D175)*('Q4 Data'!$B$4:$B$207="Challan")*'Q4 Data'!$F$4:$F$207))</f>
      </c>
      <c r="AR175" s="34">
        <f>IF(OR($B175&lt;&gt;"Entry",Z175=""),FALSE,AND((SUMPRODUCT(('Q1 Data'!$D$4:$D$207=D175)*('Q1 Data'!$B$4:$B$207="Challan")*('Q1 Data'!$H$4:$H$207&lt;&gt;""))+SUMPRODUCT(('Q2 Data'!$D$4:$D$207=D175)*('Q2 Data'!$B$4:$B$207="Challan")*('Q2 Data'!$H$4:$H$207&lt;&gt;""))+SUMPRODUCT(('Q3 Data'!$D$4:$D$207=D175)*('Q3 Data'!$B$4:$B$207="Challan")*('Q3 Data'!$H$4:$H$207&lt;&gt;""))+SUMPRODUCT(('Q4 Data'!$D$4:$D$207=D175)*('Q4 Data'!$B$4:$B$207="Challan")*('Q4 Data'!$H$4:$H$207&lt;&gt;"")))&gt;0,(SUMPRODUCT(('Q1 Data'!$D$4:$D$207=D175)*('Q1 Data'!$B$4:$B$207="Challan")*('Q1 Data'!$H$4:$H$207=Z175))+SUMPRODUCT(('Q2 Data'!$D$4:$D$207=D175)*('Q2 Data'!$B$4:$B$207="Challan")*('Q2 Data'!$H$4:$H$207=Z175))+SUMPRODUCT(('Q3 Data'!$D$4:$D$207=D175)*('Q3 Data'!$B$4:$B$207="Challan")*('Q3 Data'!$H$4:$H$207=Z175))+SUMPRODUCT(('Q4 Data'!$D$4:$D$207=D175)*('Q4 Data'!$B$4:$B$207="Challan")*('Q4 Data'!$H$4:$H$207=Z175)))=0))</f>
      </c>
    </row>
    <row r="176" spans="1:44" x14ac:dyDescent="0.25">
      <c r="A176" s="20">
        <f>IF($B176="Entry",COUNTIF($B$4:$B176,"Entry"),"")</f>
      </c>
      <c r="B176" s="21"/>
      <c r="C176" s="22"/>
      <c r="D176" s="22"/>
      <c r="E176" s="23">
        <f>IF($B176&lt;&gt;"Challan","",IF(ROUND(AN176-AO176,2)&gt;0,"Over-applied",IF(ROUND(AN176-AO176,2)=0,"Fully Utilised","Unconsumed")))</f>
      </c>
      <c r="F176" s="24"/>
      <c r="G176" s="25"/>
      <c r="H176" s="25"/>
      <c r="I176" s="26"/>
      <c r="J176" s="26"/>
      <c r="K176" s="26"/>
      <c r="L176" s="26"/>
      <c r="M176" s="26"/>
      <c r="N176" s="26"/>
      <c r="O176" s="26"/>
      <c r="P176" s="27">
        <f>IF($B176&lt;&gt;"Challan","",I176+J176+K176+L176+M176+N176)</f>
      </c>
      <c r="Q176" s="25"/>
      <c r="R176" s="25"/>
      <c r="S176" s="25"/>
      <c r="T176" s="25"/>
      <c r="U176" s="25"/>
      <c r="V176" s="28"/>
      <c r="W176" s="28"/>
      <c r="X176" s="23">
        <f>IF($B176="Entry",IF(AND(LEN(TRIM(UPPER(W176)))=10,CODE(MID(TRIM(UPPER(W176)),1,1))&gt;=65,CODE(MID(TRIM(UPPER(W176)),1,1))&lt;=90,CODE(MID(TRIM(UPPER(W176)),2,1))&gt;=65,CODE(MID(TRIM(UPPER(W176)),2,1))&lt;=90,CODE(MID(TRIM(UPPER(W176)),3,1))&gt;=65,CODE(MID(TRIM(UPPER(W176)),3,1))&lt;=90,CODE(MID(TRIM(UPPER(W176)),4,1))&gt;=65,CODE(MID(TRIM(UPPER(W176)),4,1))&lt;=90,CODE(MID(TRIM(UPPER(W176)),5,1))&gt;=65,CODE(MID(TRIM(UPPER(W176)),5,1))&lt;=90,CODE(MID(TRIM(UPPER(W176)),10,1))&gt;=65,CODE(MID(TRIM(UPPER(W176)),10,1))&lt;=90,CODE(MID(TRIM(UPPER(W176)),6,1))&gt;=48,CODE(MID(TRIM(UPPER(W176)),6,1))&lt;=57,CODE(MID(TRIM(UPPER(W176)),7,1))&gt;=48,CODE(MID(TRIM(UPPER(W176)),7,1))&lt;=57,CODE(MID(TRIM(UPPER(W176)),8,1))&gt;=48,CODE(MID(TRIM(UPPER(W176)),8,1))&lt;=57,CODE(MID(TRIM(UPPER(W176)),9,1))&gt;=48,CODE(MID(TRIM(UPPER(W176)),9,1))&lt;=57),"N","Y"),IF($B176="Challan","",IF(W176&lt;&gt;"","◄ Set Row Type","")))</f>
      </c>
      <c r="Y176" s="23">
        <f>IF($B176="Entry",IF(LEN(W176)&lt;4,"",IF(UPPER(MID(W176,4,1))="P","Individual",IF(UPPER(MID(W176,4,1))="H","HUF",IF(UPPER(MID(W176,4,1))="C","Company",IF(UPPER(MID(W176,4,1))="F","Firm",IF(UPPER(MID(W176,4,1))="L","LLP",IF(UPPER(MID(W176,4,1))="T","Trust",IF(UPPER(MID(W176,4,1))="A","AOP","")))))))),IF($B176="Challan","",IF(W176&lt;&gt;"","◄ Set Row Type","")))</f>
      </c>
      <c r="Z176" s="28"/>
      <c r="AA176" s="29">
        <f>IF($B176&lt;&gt;"Entry","",IF(Z176="","",IF(X176="Y",SUMPRODUCT(('Rate Lookup'!$A$1:$A$37=Z176)*'Rate Lookup'!$D$1:$D$37),IF(OR(Y176="Individual",Y176="HUF"),SUMPRODUCT(('Rate Lookup'!$A$1:$A$37=Z176)*'Rate Lookup'!$B$1:$B$37),SUMPRODUCT(('Rate Lookup'!$A$1:$A$37=Z176)*'Rate Lookup'!$C$1:$C$37)))))</f>
      </c>
      <c r="AB176" s="30"/>
      <c r="AC176" s="31"/>
      <c r="AD176" s="27">
        <f>IF($B176&lt;&gt;"Entry","",ROUND(AC176*AA176/100,0))</f>
      </c>
      <c r="AE176" s="27">
        <f>IF($B176&lt;&gt;"Entry","",0)</f>
      </c>
      <c r="AF176" s="27">
        <f>IF($B176&lt;&gt;"Entry","",0)</f>
      </c>
      <c r="AG176" s="27">
        <f>IF($B176&lt;&gt;"Entry","",IF(OR(AD176=0,AB176="",AQ176="",AQ176&lt;=0),0,IF(AQ176&lt;=DATE(YEAR(AB176),MONTH(AB176)+1,7),0,ROUND(AD176*0.015*((YEAR(AQ176)-YEAR(AB176))*12+(MONTH(AQ176)-MONTH(AB176))+1),0))))</f>
      </c>
      <c r="AH176" s="27">
        <f>IF($B176&lt;&gt;"Entry","",0)</f>
      </c>
      <c r="AI176" s="28"/>
      <c r="AJ176" s="28"/>
      <c r="AK176" s="32"/>
      <c r="AL176" s="28"/>
      <c r="AM176" s="28"/>
      <c r="AN176" s="27">
        <f>IF($B176&lt;&gt;"Challan","",SUMIF('Q1 Data'!$D$4:$D$207,D176,'Q1 Data'!$AD$4:$AD$207)+SUMIF('Q1 Data'!$D$4:$D$207,D176,'Q1 Data'!$AG$4:$AG$207)+SUMIF('Q1 Data'!$D$4:$D$207,D176,'Q1 Data'!$AE$4:$AE$207)+SUMIF('Q2 Data'!$D$4:$D$207,D176,'Q2 Data'!$AD$4:$AD$207)+SUMIF('Q2 Data'!$D$4:$D$207,D176,'Q2 Data'!$AG$4:$AG$207)+SUMIF('Q2 Data'!$D$4:$D$207,D176,'Q2 Data'!$AE$4:$AE$207)+SUMIF('Q3 Data'!$D$4:$D$207,D176,'Q3 Data'!$AD$4:$AD$207)+SUMIF('Q3 Data'!$D$4:$D$207,D176,'Q3 Data'!$AG$4:$AG$207)+SUMIF('Q3 Data'!$D$4:$D$207,D176,'Q3 Data'!$AE$4:$AE$207)+SUMIF('Q4 Data'!$D$4:$D$207,D176,'Q4 Data'!$AD$4:$AD$207)+SUMIF('Q4 Data'!$D$4:$D$207,D176,'Q4 Data'!$AG$4:$AG$207)+SUMIF('Q4 Data'!$D$4:$D$207,D176,'Q4 Data'!$AE$4:$AE$207))</f>
      </c>
      <c r="AO176" s="27">
        <f>IF($B176&lt;&gt;"Challan","",P176-N176)</f>
      </c>
      <c r="AP176" s="27">
        <f>IF($B176&lt;&gt;"Challan","",MAX(0,AO176-AN176))</f>
      </c>
      <c r="AQ176" s="33">
        <f>IF($B176&lt;&gt;"Entry","",SUMPRODUCT(('Q1 Data'!$D$4:$D$207=D176)*('Q1 Data'!$B$4:$B$207="Challan")*'Q1 Data'!$F$4:$F$207)+SUMPRODUCT(('Q2 Data'!$D$4:$D$207=D176)*('Q2 Data'!$B$4:$B$207="Challan")*'Q2 Data'!$F$4:$F$207)+SUMPRODUCT(('Q3 Data'!$D$4:$D$207=D176)*('Q3 Data'!$B$4:$B$207="Challan")*'Q3 Data'!$F$4:$F$207)+SUMPRODUCT(('Q4 Data'!$D$4:$D$207=D176)*('Q4 Data'!$B$4:$B$207="Challan")*'Q4 Data'!$F$4:$F$207))</f>
      </c>
      <c r="AR176" s="34">
        <f>IF(OR($B176&lt;&gt;"Entry",Z176=""),FALSE,AND((SUMPRODUCT(('Q1 Data'!$D$4:$D$207=D176)*('Q1 Data'!$B$4:$B$207="Challan")*('Q1 Data'!$H$4:$H$207&lt;&gt;""))+SUMPRODUCT(('Q2 Data'!$D$4:$D$207=D176)*('Q2 Data'!$B$4:$B$207="Challan")*('Q2 Data'!$H$4:$H$207&lt;&gt;""))+SUMPRODUCT(('Q3 Data'!$D$4:$D$207=D176)*('Q3 Data'!$B$4:$B$207="Challan")*('Q3 Data'!$H$4:$H$207&lt;&gt;""))+SUMPRODUCT(('Q4 Data'!$D$4:$D$207=D176)*('Q4 Data'!$B$4:$B$207="Challan")*('Q4 Data'!$H$4:$H$207&lt;&gt;"")))&gt;0,(SUMPRODUCT(('Q1 Data'!$D$4:$D$207=D176)*('Q1 Data'!$B$4:$B$207="Challan")*('Q1 Data'!$H$4:$H$207=Z176))+SUMPRODUCT(('Q2 Data'!$D$4:$D$207=D176)*('Q2 Data'!$B$4:$B$207="Challan")*('Q2 Data'!$H$4:$H$207=Z176))+SUMPRODUCT(('Q3 Data'!$D$4:$D$207=D176)*('Q3 Data'!$B$4:$B$207="Challan")*('Q3 Data'!$H$4:$H$207=Z176))+SUMPRODUCT(('Q4 Data'!$D$4:$D$207=D176)*('Q4 Data'!$B$4:$B$207="Challan")*('Q4 Data'!$H$4:$H$207=Z176)))=0))</f>
      </c>
    </row>
    <row r="177" spans="1:44" x14ac:dyDescent="0.25">
      <c r="A177" s="20">
        <f>IF($B177="Entry",COUNTIF($B$4:$B177,"Entry"),"")</f>
      </c>
      <c r="B177" s="21"/>
      <c r="C177" s="22"/>
      <c r="D177" s="22"/>
      <c r="E177" s="23">
        <f>IF($B177&lt;&gt;"Challan","",IF(ROUND(AN177-AO177,2)&gt;0,"Over-applied",IF(ROUND(AN177-AO177,2)=0,"Fully Utilised","Unconsumed")))</f>
      </c>
      <c r="F177" s="24"/>
      <c r="G177" s="25"/>
      <c r="H177" s="25"/>
      <c r="I177" s="26"/>
      <c r="J177" s="26"/>
      <c r="K177" s="26"/>
      <c r="L177" s="26"/>
      <c r="M177" s="26"/>
      <c r="N177" s="26"/>
      <c r="O177" s="26"/>
      <c r="P177" s="27">
        <f>IF($B177&lt;&gt;"Challan","",I177+J177+K177+L177+M177+N177)</f>
      </c>
      <c r="Q177" s="25"/>
      <c r="R177" s="25"/>
      <c r="S177" s="25"/>
      <c r="T177" s="25"/>
      <c r="U177" s="25"/>
      <c r="V177" s="28"/>
      <c r="W177" s="28"/>
      <c r="X177" s="23">
        <f>IF($B177="Entry",IF(AND(LEN(TRIM(UPPER(W177)))=10,CODE(MID(TRIM(UPPER(W177)),1,1))&gt;=65,CODE(MID(TRIM(UPPER(W177)),1,1))&lt;=90,CODE(MID(TRIM(UPPER(W177)),2,1))&gt;=65,CODE(MID(TRIM(UPPER(W177)),2,1))&lt;=90,CODE(MID(TRIM(UPPER(W177)),3,1))&gt;=65,CODE(MID(TRIM(UPPER(W177)),3,1))&lt;=90,CODE(MID(TRIM(UPPER(W177)),4,1))&gt;=65,CODE(MID(TRIM(UPPER(W177)),4,1))&lt;=90,CODE(MID(TRIM(UPPER(W177)),5,1))&gt;=65,CODE(MID(TRIM(UPPER(W177)),5,1))&lt;=90,CODE(MID(TRIM(UPPER(W177)),10,1))&gt;=65,CODE(MID(TRIM(UPPER(W177)),10,1))&lt;=90,CODE(MID(TRIM(UPPER(W177)),6,1))&gt;=48,CODE(MID(TRIM(UPPER(W177)),6,1))&lt;=57,CODE(MID(TRIM(UPPER(W177)),7,1))&gt;=48,CODE(MID(TRIM(UPPER(W177)),7,1))&lt;=57,CODE(MID(TRIM(UPPER(W177)),8,1))&gt;=48,CODE(MID(TRIM(UPPER(W177)),8,1))&lt;=57,CODE(MID(TRIM(UPPER(W177)),9,1))&gt;=48,CODE(MID(TRIM(UPPER(W177)),9,1))&lt;=57),"N","Y"),IF($B177="Challan","",IF(W177&lt;&gt;"","◄ Set Row Type","")))</f>
      </c>
      <c r="Y177" s="23">
        <f>IF($B177="Entry",IF(LEN(W177)&lt;4,"",IF(UPPER(MID(W177,4,1))="P","Individual",IF(UPPER(MID(W177,4,1))="H","HUF",IF(UPPER(MID(W177,4,1))="C","Company",IF(UPPER(MID(W177,4,1))="F","Firm",IF(UPPER(MID(W177,4,1))="L","LLP",IF(UPPER(MID(W177,4,1))="T","Trust",IF(UPPER(MID(W177,4,1))="A","AOP","")))))))),IF($B177="Challan","",IF(W177&lt;&gt;"","◄ Set Row Type","")))</f>
      </c>
      <c r="Z177" s="28"/>
      <c r="AA177" s="29">
        <f>IF($B177&lt;&gt;"Entry","",IF(Z177="","",IF(X177="Y",SUMPRODUCT(('Rate Lookup'!$A$1:$A$37=Z177)*'Rate Lookup'!$D$1:$D$37),IF(OR(Y177="Individual",Y177="HUF"),SUMPRODUCT(('Rate Lookup'!$A$1:$A$37=Z177)*'Rate Lookup'!$B$1:$B$37),SUMPRODUCT(('Rate Lookup'!$A$1:$A$37=Z177)*'Rate Lookup'!$C$1:$C$37)))))</f>
      </c>
      <c r="AB177" s="30"/>
      <c r="AC177" s="31"/>
      <c r="AD177" s="27">
        <f>IF($B177&lt;&gt;"Entry","",ROUND(AC177*AA177/100,0))</f>
      </c>
      <c r="AE177" s="27">
        <f>IF($B177&lt;&gt;"Entry","",0)</f>
      </c>
      <c r="AF177" s="27">
        <f>IF($B177&lt;&gt;"Entry","",0)</f>
      </c>
      <c r="AG177" s="27">
        <f>IF($B177&lt;&gt;"Entry","",IF(OR(AD177=0,AB177="",AQ177="",AQ177&lt;=0),0,IF(AQ177&lt;=DATE(YEAR(AB177),MONTH(AB177)+1,7),0,ROUND(AD177*0.015*((YEAR(AQ177)-YEAR(AB177))*12+(MONTH(AQ177)-MONTH(AB177))+1),0))))</f>
      </c>
      <c r="AH177" s="27">
        <f>IF($B177&lt;&gt;"Entry","",0)</f>
      </c>
      <c r="AI177" s="28"/>
      <c r="AJ177" s="28"/>
      <c r="AK177" s="32"/>
      <c r="AL177" s="28"/>
      <c r="AM177" s="28"/>
      <c r="AN177" s="27">
        <f>IF($B177&lt;&gt;"Challan","",SUMIF('Q1 Data'!$D$4:$D$207,D177,'Q1 Data'!$AD$4:$AD$207)+SUMIF('Q1 Data'!$D$4:$D$207,D177,'Q1 Data'!$AG$4:$AG$207)+SUMIF('Q1 Data'!$D$4:$D$207,D177,'Q1 Data'!$AE$4:$AE$207)+SUMIF('Q2 Data'!$D$4:$D$207,D177,'Q2 Data'!$AD$4:$AD$207)+SUMIF('Q2 Data'!$D$4:$D$207,D177,'Q2 Data'!$AG$4:$AG$207)+SUMIF('Q2 Data'!$D$4:$D$207,D177,'Q2 Data'!$AE$4:$AE$207)+SUMIF('Q3 Data'!$D$4:$D$207,D177,'Q3 Data'!$AD$4:$AD$207)+SUMIF('Q3 Data'!$D$4:$D$207,D177,'Q3 Data'!$AG$4:$AG$207)+SUMIF('Q3 Data'!$D$4:$D$207,D177,'Q3 Data'!$AE$4:$AE$207)+SUMIF('Q4 Data'!$D$4:$D$207,D177,'Q4 Data'!$AD$4:$AD$207)+SUMIF('Q4 Data'!$D$4:$D$207,D177,'Q4 Data'!$AG$4:$AG$207)+SUMIF('Q4 Data'!$D$4:$D$207,D177,'Q4 Data'!$AE$4:$AE$207))</f>
      </c>
      <c r="AO177" s="27">
        <f>IF($B177&lt;&gt;"Challan","",P177-N177)</f>
      </c>
      <c r="AP177" s="27">
        <f>IF($B177&lt;&gt;"Challan","",MAX(0,AO177-AN177))</f>
      </c>
      <c r="AQ177" s="33">
        <f>IF($B177&lt;&gt;"Entry","",SUMPRODUCT(('Q1 Data'!$D$4:$D$207=D177)*('Q1 Data'!$B$4:$B$207="Challan")*'Q1 Data'!$F$4:$F$207)+SUMPRODUCT(('Q2 Data'!$D$4:$D$207=D177)*('Q2 Data'!$B$4:$B$207="Challan")*'Q2 Data'!$F$4:$F$207)+SUMPRODUCT(('Q3 Data'!$D$4:$D$207=D177)*('Q3 Data'!$B$4:$B$207="Challan")*'Q3 Data'!$F$4:$F$207)+SUMPRODUCT(('Q4 Data'!$D$4:$D$207=D177)*('Q4 Data'!$B$4:$B$207="Challan")*'Q4 Data'!$F$4:$F$207))</f>
      </c>
      <c r="AR177" s="34">
        <f>IF(OR($B177&lt;&gt;"Entry",Z177=""),FALSE,AND((SUMPRODUCT(('Q1 Data'!$D$4:$D$207=D177)*('Q1 Data'!$B$4:$B$207="Challan")*('Q1 Data'!$H$4:$H$207&lt;&gt;""))+SUMPRODUCT(('Q2 Data'!$D$4:$D$207=D177)*('Q2 Data'!$B$4:$B$207="Challan")*('Q2 Data'!$H$4:$H$207&lt;&gt;""))+SUMPRODUCT(('Q3 Data'!$D$4:$D$207=D177)*('Q3 Data'!$B$4:$B$207="Challan")*('Q3 Data'!$H$4:$H$207&lt;&gt;""))+SUMPRODUCT(('Q4 Data'!$D$4:$D$207=D177)*('Q4 Data'!$B$4:$B$207="Challan")*('Q4 Data'!$H$4:$H$207&lt;&gt;"")))&gt;0,(SUMPRODUCT(('Q1 Data'!$D$4:$D$207=D177)*('Q1 Data'!$B$4:$B$207="Challan")*('Q1 Data'!$H$4:$H$207=Z177))+SUMPRODUCT(('Q2 Data'!$D$4:$D$207=D177)*('Q2 Data'!$B$4:$B$207="Challan")*('Q2 Data'!$H$4:$H$207=Z177))+SUMPRODUCT(('Q3 Data'!$D$4:$D$207=D177)*('Q3 Data'!$B$4:$B$207="Challan")*('Q3 Data'!$H$4:$H$207=Z177))+SUMPRODUCT(('Q4 Data'!$D$4:$D$207=D177)*('Q4 Data'!$B$4:$B$207="Challan")*('Q4 Data'!$H$4:$H$207=Z177)))=0))</f>
      </c>
    </row>
    <row r="178" spans="1:44" x14ac:dyDescent="0.25">
      <c r="A178" s="20">
        <f>IF($B178="Entry",COUNTIF($B$4:$B178,"Entry"),"")</f>
      </c>
      <c r="B178" s="21"/>
      <c r="C178" s="22"/>
      <c r="D178" s="22"/>
      <c r="E178" s="23">
        <f>IF($B178&lt;&gt;"Challan","",IF(ROUND(AN178-AO178,2)&gt;0,"Over-applied",IF(ROUND(AN178-AO178,2)=0,"Fully Utilised","Unconsumed")))</f>
      </c>
      <c r="F178" s="24"/>
      <c r="G178" s="25"/>
      <c r="H178" s="25"/>
      <c r="I178" s="26"/>
      <c r="J178" s="26"/>
      <c r="K178" s="26"/>
      <c r="L178" s="26"/>
      <c r="M178" s="26"/>
      <c r="N178" s="26"/>
      <c r="O178" s="26"/>
      <c r="P178" s="27">
        <f>IF($B178&lt;&gt;"Challan","",I178+J178+K178+L178+M178+N178)</f>
      </c>
      <c r="Q178" s="25"/>
      <c r="R178" s="25"/>
      <c r="S178" s="25"/>
      <c r="T178" s="25"/>
      <c r="U178" s="25"/>
      <c r="V178" s="28"/>
      <c r="W178" s="28"/>
      <c r="X178" s="23">
        <f>IF($B178="Entry",IF(AND(LEN(TRIM(UPPER(W178)))=10,CODE(MID(TRIM(UPPER(W178)),1,1))&gt;=65,CODE(MID(TRIM(UPPER(W178)),1,1))&lt;=90,CODE(MID(TRIM(UPPER(W178)),2,1))&gt;=65,CODE(MID(TRIM(UPPER(W178)),2,1))&lt;=90,CODE(MID(TRIM(UPPER(W178)),3,1))&gt;=65,CODE(MID(TRIM(UPPER(W178)),3,1))&lt;=90,CODE(MID(TRIM(UPPER(W178)),4,1))&gt;=65,CODE(MID(TRIM(UPPER(W178)),4,1))&lt;=90,CODE(MID(TRIM(UPPER(W178)),5,1))&gt;=65,CODE(MID(TRIM(UPPER(W178)),5,1))&lt;=90,CODE(MID(TRIM(UPPER(W178)),10,1))&gt;=65,CODE(MID(TRIM(UPPER(W178)),10,1))&lt;=90,CODE(MID(TRIM(UPPER(W178)),6,1))&gt;=48,CODE(MID(TRIM(UPPER(W178)),6,1))&lt;=57,CODE(MID(TRIM(UPPER(W178)),7,1))&gt;=48,CODE(MID(TRIM(UPPER(W178)),7,1))&lt;=57,CODE(MID(TRIM(UPPER(W178)),8,1))&gt;=48,CODE(MID(TRIM(UPPER(W178)),8,1))&lt;=57,CODE(MID(TRIM(UPPER(W178)),9,1))&gt;=48,CODE(MID(TRIM(UPPER(W178)),9,1))&lt;=57),"N","Y"),IF($B178="Challan","",IF(W178&lt;&gt;"","◄ Set Row Type","")))</f>
      </c>
      <c r="Y178" s="23">
        <f>IF($B178="Entry",IF(LEN(W178)&lt;4,"",IF(UPPER(MID(W178,4,1))="P","Individual",IF(UPPER(MID(W178,4,1))="H","HUF",IF(UPPER(MID(W178,4,1))="C","Company",IF(UPPER(MID(W178,4,1))="F","Firm",IF(UPPER(MID(W178,4,1))="L","LLP",IF(UPPER(MID(W178,4,1))="T","Trust",IF(UPPER(MID(W178,4,1))="A","AOP","")))))))),IF($B178="Challan","",IF(W178&lt;&gt;"","◄ Set Row Type","")))</f>
      </c>
      <c r="Z178" s="28"/>
      <c r="AA178" s="29">
        <f>IF($B178&lt;&gt;"Entry","",IF(Z178="","",IF(X178="Y",SUMPRODUCT(('Rate Lookup'!$A$1:$A$37=Z178)*'Rate Lookup'!$D$1:$D$37),IF(OR(Y178="Individual",Y178="HUF"),SUMPRODUCT(('Rate Lookup'!$A$1:$A$37=Z178)*'Rate Lookup'!$B$1:$B$37),SUMPRODUCT(('Rate Lookup'!$A$1:$A$37=Z178)*'Rate Lookup'!$C$1:$C$37)))))</f>
      </c>
      <c r="AB178" s="30"/>
      <c r="AC178" s="31"/>
      <c r="AD178" s="27">
        <f>IF($B178&lt;&gt;"Entry","",ROUND(AC178*AA178/100,0))</f>
      </c>
      <c r="AE178" s="27">
        <f>IF($B178&lt;&gt;"Entry","",0)</f>
      </c>
      <c r="AF178" s="27">
        <f>IF($B178&lt;&gt;"Entry","",0)</f>
      </c>
      <c r="AG178" s="27">
        <f>IF($B178&lt;&gt;"Entry","",IF(OR(AD178=0,AB178="",AQ178="",AQ178&lt;=0),0,IF(AQ178&lt;=DATE(YEAR(AB178),MONTH(AB178)+1,7),0,ROUND(AD178*0.015*((YEAR(AQ178)-YEAR(AB178))*12+(MONTH(AQ178)-MONTH(AB178))+1),0))))</f>
      </c>
      <c r="AH178" s="27">
        <f>IF($B178&lt;&gt;"Entry","",0)</f>
      </c>
      <c r="AI178" s="28"/>
      <c r="AJ178" s="28"/>
      <c r="AK178" s="32"/>
      <c r="AL178" s="28"/>
      <c r="AM178" s="28"/>
      <c r="AN178" s="27">
        <f>IF($B178&lt;&gt;"Challan","",SUMIF('Q1 Data'!$D$4:$D$207,D178,'Q1 Data'!$AD$4:$AD$207)+SUMIF('Q1 Data'!$D$4:$D$207,D178,'Q1 Data'!$AG$4:$AG$207)+SUMIF('Q1 Data'!$D$4:$D$207,D178,'Q1 Data'!$AE$4:$AE$207)+SUMIF('Q2 Data'!$D$4:$D$207,D178,'Q2 Data'!$AD$4:$AD$207)+SUMIF('Q2 Data'!$D$4:$D$207,D178,'Q2 Data'!$AG$4:$AG$207)+SUMIF('Q2 Data'!$D$4:$D$207,D178,'Q2 Data'!$AE$4:$AE$207)+SUMIF('Q3 Data'!$D$4:$D$207,D178,'Q3 Data'!$AD$4:$AD$207)+SUMIF('Q3 Data'!$D$4:$D$207,D178,'Q3 Data'!$AG$4:$AG$207)+SUMIF('Q3 Data'!$D$4:$D$207,D178,'Q3 Data'!$AE$4:$AE$207)+SUMIF('Q4 Data'!$D$4:$D$207,D178,'Q4 Data'!$AD$4:$AD$207)+SUMIF('Q4 Data'!$D$4:$D$207,D178,'Q4 Data'!$AG$4:$AG$207)+SUMIF('Q4 Data'!$D$4:$D$207,D178,'Q4 Data'!$AE$4:$AE$207))</f>
      </c>
      <c r="AO178" s="27">
        <f>IF($B178&lt;&gt;"Challan","",P178-N178)</f>
      </c>
      <c r="AP178" s="27">
        <f>IF($B178&lt;&gt;"Challan","",MAX(0,AO178-AN178))</f>
      </c>
      <c r="AQ178" s="33">
        <f>IF($B178&lt;&gt;"Entry","",SUMPRODUCT(('Q1 Data'!$D$4:$D$207=D178)*('Q1 Data'!$B$4:$B$207="Challan")*'Q1 Data'!$F$4:$F$207)+SUMPRODUCT(('Q2 Data'!$D$4:$D$207=D178)*('Q2 Data'!$B$4:$B$207="Challan")*'Q2 Data'!$F$4:$F$207)+SUMPRODUCT(('Q3 Data'!$D$4:$D$207=D178)*('Q3 Data'!$B$4:$B$207="Challan")*'Q3 Data'!$F$4:$F$207)+SUMPRODUCT(('Q4 Data'!$D$4:$D$207=D178)*('Q4 Data'!$B$4:$B$207="Challan")*'Q4 Data'!$F$4:$F$207))</f>
      </c>
      <c r="AR178" s="34">
        <f>IF(OR($B178&lt;&gt;"Entry",Z178=""),FALSE,AND((SUMPRODUCT(('Q1 Data'!$D$4:$D$207=D178)*('Q1 Data'!$B$4:$B$207="Challan")*('Q1 Data'!$H$4:$H$207&lt;&gt;""))+SUMPRODUCT(('Q2 Data'!$D$4:$D$207=D178)*('Q2 Data'!$B$4:$B$207="Challan")*('Q2 Data'!$H$4:$H$207&lt;&gt;""))+SUMPRODUCT(('Q3 Data'!$D$4:$D$207=D178)*('Q3 Data'!$B$4:$B$207="Challan")*('Q3 Data'!$H$4:$H$207&lt;&gt;""))+SUMPRODUCT(('Q4 Data'!$D$4:$D$207=D178)*('Q4 Data'!$B$4:$B$207="Challan")*('Q4 Data'!$H$4:$H$207&lt;&gt;"")))&gt;0,(SUMPRODUCT(('Q1 Data'!$D$4:$D$207=D178)*('Q1 Data'!$B$4:$B$207="Challan")*('Q1 Data'!$H$4:$H$207=Z178))+SUMPRODUCT(('Q2 Data'!$D$4:$D$207=D178)*('Q2 Data'!$B$4:$B$207="Challan")*('Q2 Data'!$H$4:$H$207=Z178))+SUMPRODUCT(('Q3 Data'!$D$4:$D$207=D178)*('Q3 Data'!$B$4:$B$207="Challan")*('Q3 Data'!$H$4:$H$207=Z178))+SUMPRODUCT(('Q4 Data'!$D$4:$D$207=D178)*('Q4 Data'!$B$4:$B$207="Challan")*('Q4 Data'!$H$4:$H$207=Z178)))=0))</f>
      </c>
    </row>
    <row r="179" spans="1:44" x14ac:dyDescent="0.25">
      <c r="A179" s="20">
        <f>IF($B179="Entry",COUNTIF($B$4:$B179,"Entry"),"")</f>
      </c>
      <c r="B179" s="21"/>
      <c r="C179" s="22"/>
      <c r="D179" s="22"/>
      <c r="E179" s="23">
        <f>IF($B179&lt;&gt;"Challan","",IF(ROUND(AN179-AO179,2)&gt;0,"Over-applied",IF(ROUND(AN179-AO179,2)=0,"Fully Utilised","Unconsumed")))</f>
      </c>
      <c r="F179" s="24"/>
      <c r="G179" s="25"/>
      <c r="H179" s="25"/>
      <c r="I179" s="26"/>
      <c r="J179" s="26"/>
      <c r="K179" s="26"/>
      <c r="L179" s="26"/>
      <c r="M179" s="26"/>
      <c r="N179" s="26"/>
      <c r="O179" s="26"/>
      <c r="P179" s="27">
        <f>IF($B179&lt;&gt;"Challan","",I179+J179+K179+L179+M179+N179)</f>
      </c>
      <c r="Q179" s="25"/>
      <c r="R179" s="25"/>
      <c r="S179" s="25"/>
      <c r="T179" s="25"/>
      <c r="U179" s="25"/>
      <c r="V179" s="28"/>
      <c r="W179" s="28"/>
      <c r="X179" s="23">
        <f>IF($B179="Entry",IF(AND(LEN(TRIM(UPPER(W179)))=10,CODE(MID(TRIM(UPPER(W179)),1,1))&gt;=65,CODE(MID(TRIM(UPPER(W179)),1,1))&lt;=90,CODE(MID(TRIM(UPPER(W179)),2,1))&gt;=65,CODE(MID(TRIM(UPPER(W179)),2,1))&lt;=90,CODE(MID(TRIM(UPPER(W179)),3,1))&gt;=65,CODE(MID(TRIM(UPPER(W179)),3,1))&lt;=90,CODE(MID(TRIM(UPPER(W179)),4,1))&gt;=65,CODE(MID(TRIM(UPPER(W179)),4,1))&lt;=90,CODE(MID(TRIM(UPPER(W179)),5,1))&gt;=65,CODE(MID(TRIM(UPPER(W179)),5,1))&lt;=90,CODE(MID(TRIM(UPPER(W179)),10,1))&gt;=65,CODE(MID(TRIM(UPPER(W179)),10,1))&lt;=90,CODE(MID(TRIM(UPPER(W179)),6,1))&gt;=48,CODE(MID(TRIM(UPPER(W179)),6,1))&lt;=57,CODE(MID(TRIM(UPPER(W179)),7,1))&gt;=48,CODE(MID(TRIM(UPPER(W179)),7,1))&lt;=57,CODE(MID(TRIM(UPPER(W179)),8,1))&gt;=48,CODE(MID(TRIM(UPPER(W179)),8,1))&lt;=57,CODE(MID(TRIM(UPPER(W179)),9,1))&gt;=48,CODE(MID(TRIM(UPPER(W179)),9,1))&lt;=57),"N","Y"),IF($B179="Challan","",IF(W179&lt;&gt;"","◄ Set Row Type","")))</f>
      </c>
      <c r="Y179" s="23">
        <f>IF($B179="Entry",IF(LEN(W179)&lt;4,"",IF(UPPER(MID(W179,4,1))="P","Individual",IF(UPPER(MID(W179,4,1))="H","HUF",IF(UPPER(MID(W179,4,1))="C","Company",IF(UPPER(MID(W179,4,1))="F","Firm",IF(UPPER(MID(W179,4,1))="L","LLP",IF(UPPER(MID(W179,4,1))="T","Trust",IF(UPPER(MID(W179,4,1))="A","AOP","")))))))),IF($B179="Challan","",IF(W179&lt;&gt;"","◄ Set Row Type","")))</f>
      </c>
      <c r="Z179" s="28"/>
      <c r="AA179" s="29">
        <f>IF($B179&lt;&gt;"Entry","",IF(Z179="","",IF(X179="Y",SUMPRODUCT(('Rate Lookup'!$A$1:$A$37=Z179)*'Rate Lookup'!$D$1:$D$37),IF(OR(Y179="Individual",Y179="HUF"),SUMPRODUCT(('Rate Lookup'!$A$1:$A$37=Z179)*'Rate Lookup'!$B$1:$B$37),SUMPRODUCT(('Rate Lookup'!$A$1:$A$37=Z179)*'Rate Lookup'!$C$1:$C$37)))))</f>
      </c>
      <c r="AB179" s="30"/>
      <c r="AC179" s="31"/>
      <c r="AD179" s="27">
        <f>IF($B179&lt;&gt;"Entry","",ROUND(AC179*AA179/100,0))</f>
      </c>
      <c r="AE179" s="27">
        <f>IF($B179&lt;&gt;"Entry","",0)</f>
      </c>
      <c r="AF179" s="27">
        <f>IF($B179&lt;&gt;"Entry","",0)</f>
      </c>
      <c r="AG179" s="27">
        <f>IF($B179&lt;&gt;"Entry","",IF(OR(AD179=0,AB179="",AQ179="",AQ179&lt;=0),0,IF(AQ179&lt;=DATE(YEAR(AB179),MONTH(AB179)+1,7),0,ROUND(AD179*0.015*((YEAR(AQ179)-YEAR(AB179))*12+(MONTH(AQ179)-MONTH(AB179))+1),0))))</f>
      </c>
      <c r="AH179" s="27">
        <f>IF($B179&lt;&gt;"Entry","",0)</f>
      </c>
      <c r="AI179" s="28"/>
      <c r="AJ179" s="28"/>
      <c r="AK179" s="32"/>
      <c r="AL179" s="28"/>
      <c r="AM179" s="28"/>
      <c r="AN179" s="27">
        <f>IF($B179&lt;&gt;"Challan","",SUMIF('Q1 Data'!$D$4:$D$207,D179,'Q1 Data'!$AD$4:$AD$207)+SUMIF('Q1 Data'!$D$4:$D$207,D179,'Q1 Data'!$AG$4:$AG$207)+SUMIF('Q1 Data'!$D$4:$D$207,D179,'Q1 Data'!$AE$4:$AE$207)+SUMIF('Q2 Data'!$D$4:$D$207,D179,'Q2 Data'!$AD$4:$AD$207)+SUMIF('Q2 Data'!$D$4:$D$207,D179,'Q2 Data'!$AG$4:$AG$207)+SUMIF('Q2 Data'!$D$4:$D$207,D179,'Q2 Data'!$AE$4:$AE$207)+SUMIF('Q3 Data'!$D$4:$D$207,D179,'Q3 Data'!$AD$4:$AD$207)+SUMIF('Q3 Data'!$D$4:$D$207,D179,'Q3 Data'!$AG$4:$AG$207)+SUMIF('Q3 Data'!$D$4:$D$207,D179,'Q3 Data'!$AE$4:$AE$207)+SUMIF('Q4 Data'!$D$4:$D$207,D179,'Q4 Data'!$AD$4:$AD$207)+SUMIF('Q4 Data'!$D$4:$D$207,D179,'Q4 Data'!$AG$4:$AG$207)+SUMIF('Q4 Data'!$D$4:$D$207,D179,'Q4 Data'!$AE$4:$AE$207))</f>
      </c>
      <c r="AO179" s="27">
        <f>IF($B179&lt;&gt;"Challan","",P179-N179)</f>
      </c>
      <c r="AP179" s="27">
        <f>IF($B179&lt;&gt;"Challan","",MAX(0,AO179-AN179))</f>
      </c>
      <c r="AQ179" s="33">
        <f>IF($B179&lt;&gt;"Entry","",SUMPRODUCT(('Q1 Data'!$D$4:$D$207=D179)*('Q1 Data'!$B$4:$B$207="Challan")*'Q1 Data'!$F$4:$F$207)+SUMPRODUCT(('Q2 Data'!$D$4:$D$207=D179)*('Q2 Data'!$B$4:$B$207="Challan")*'Q2 Data'!$F$4:$F$207)+SUMPRODUCT(('Q3 Data'!$D$4:$D$207=D179)*('Q3 Data'!$B$4:$B$207="Challan")*'Q3 Data'!$F$4:$F$207)+SUMPRODUCT(('Q4 Data'!$D$4:$D$207=D179)*('Q4 Data'!$B$4:$B$207="Challan")*'Q4 Data'!$F$4:$F$207))</f>
      </c>
      <c r="AR179" s="34">
        <f>IF(OR($B179&lt;&gt;"Entry",Z179=""),FALSE,AND((SUMPRODUCT(('Q1 Data'!$D$4:$D$207=D179)*('Q1 Data'!$B$4:$B$207="Challan")*('Q1 Data'!$H$4:$H$207&lt;&gt;""))+SUMPRODUCT(('Q2 Data'!$D$4:$D$207=D179)*('Q2 Data'!$B$4:$B$207="Challan")*('Q2 Data'!$H$4:$H$207&lt;&gt;""))+SUMPRODUCT(('Q3 Data'!$D$4:$D$207=D179)*('Q3 Data'!$B$4:$B$207="Challan")*('Q3 Data'!$H$4:$H$207&lt;&gt;""))+SUMPRODUCT(('Q4 Data'!$D$4:$D$207=D179)*('Q4 Data'!$B$4:$B$207="Challan")*('Q4 Data'!$H$4:$H$207&lt;&gt;"")))&gt;0,(SUMPRODUCT(('Q1 Data'!$D$4:$D$207=D179)*('Q1 Data'!$B$4:$B$207="Challan")*('Q1 Data'!$H$4:$H$207=Z179))+SUMPRODUCT(('Q2 Data'!$D$4:$D$207=D179)*('Q2 Data'!$B$4:$B$207="Challan")*('Q2 Data'!$H$4:$H$207=Z179))+SUMPRODUCT(('Q3 Data'!$D$4:$D$207=D179)*('Q3 Data'!$B$4:$B$207="Challan")*('Q3 Data'!$H$4:$H$207=Z179))+SUMPRODUCT(('Q4 Data'!$D$4:$D$207=D179)*('Q4 Data'!$B$4:$B$207="Challan")*('Q4 Data'!$H$4:$H$207=Z179)))=0))</f>
      </c>
    </row>
    <row r="180" spans="1:44" x14ac:dyDescent="0.25">
      <c r="A180" s="20">
        <f>IF($B180="Entry",COUNTIF($B$4:$B180,"Entry"),"")</f>
      </c>
      <c r="B180" s="21"/>
      <c r="C180" s="22"/>
      <c r="D180" s="22"/>
      <c r="E180" s="23">
        <f>IF($B180&lt;&gt;"Challan","",IF(ROUND(AN180-AO180,2)&gt;0,"Over-applied",IF(ROUND(AN180-AO180,2)=0,"Fully Utilised","Unconsumed")))</f>
      </c>
      <c r="F180" s="24"/>
      <c r="G180" s="25"/>
      <c r="H180" s="25"/>
      <c r="I180" s="26"/>
      <c r="J180" s="26"/>
      <c r="K180" s="26"/>
      <c r="L180" s="26"/>
      <c r="M180" s="26"/>
      <c r="N180" s="26"/>
      <c r="O180" s="26"/>
      <c r="P180" s="27">
        <f>IF($B180&lt;&gt;"Challan","",I180+J180+K180+L180+M180+N180)</f>
      </c>
      <c r="Q180" s="25"/>
      <c r="R180" s="25"/>
      <c r="S180" s="25"/>
      <c r="T180" s="25"/>
      <c r="U180" s="25"/>
      <c r="V180" s="28"/>
      <c r="W180" s="28"/>
      <c r="X180" s="23">
        <f>IF($B180="Entry",IF(AND(LEN(TRIM(UPPER(W180)))=10,CODE(MID(TRIM(UPPER(W180)),1,1))&gt;=65,CODE(MID(TRIM(UPPER(W180)),1,1))&lt;=90,CODE(MID(TRIM(UPPER(W180)),2,1))&gt;=65,CODE(MID(TRIM(UPPER(W180)),2,1))&lt;=90,CODE(MID(TRIM(UPPER(W180)),3,1))&gt;=65,CODE(MID(TRIM(UPPER(W180)),3,1))&lt;=90,CODE(MID(TRIM(UPPER(W180)),4,1))&gt;=65,CODE(MID(TRIM(UPPER(W180)),4,1))&lt;=90,CODE(MID(TRIM(UPPER(W180)),5,1))&gt;=65,CODE(MID(TRIM(UPPER(W180)),5,1))&lt;=90,CODE(MID(TRIM(UPPER(W180)),10,1))&gt;=65,CODE(MID(TRIM(UPPER(W180)),10,1))&lt;=90,CODE(MID(TRIM(UPPER(W180)),6,1))&gt;=48,CODE(MID(TRIM(UPPER(W180)),6,1))&lt;=57,CODE(MID(TRIM(UPPER(W180)),7,1))&gt;=48,CODE(MID(TRIM(UPPER(W180)),7,1))&lt;=57,CODE(MID(TRIM(UPPER(W180)),8,1))&gt;=48,CODE(MID(TRIM(UPPER(W180)),8,1))&lt;=57,CODE(MID(TRIM(UPPER(W180)),9,1))&gt;=48,CODE(MID(TRIM(UPPER(W180)),9,1))&lt;=57),"N","Y"),IF($B180="Challan","",IF(W180&lt;&gt;"","◄ Set Row Type","")))</f>
      </c>
      <c r="Y180" s="23">
        <f>IF($B180="Entry",IF(LEN(W180)&lt;4,"",IF(UPPER(MID(W180,4,1))="P","Individual",IF(UPPER(MID(W180,4,1))="H","HUF",IF(UPPER(MID(W180,4,1))="C","Company",IF(UPPER(MID(W180,4,1))="F","Firm",IF(UPPER(MID(W180,4,1))="L","LLP",IF(UPPER(MID(W180,4,1))="T","Trust",IF(UPPER(MID(W180,4,1))="A","AOP","")))))))),IF($B180="Challan","",IF(W180&lt;&gt;"","◄ Set Row Type","")))</f>
      </c>
      <c r="Z180" s="28"/>
      <c r="AA180" s="29">
        <f>IF($B180&lt;&gt;"Entry","",IF(Z180="","",IF(X180="Y",SUMPRODUCT(('Rate Lookup'!$A$1:$A$37=Z180)*'Rate Lookup'!$D$1:$D$37),IF(OR(Y180="Individual",Y180="HUF"),SUMPRODUCT(('Rate Lookup'!$A$1:$A$37=Z180)*'Rate Lookup'!$B$1:$B$37),SUMPRODUCT(('Rate Lookup'!$A$1:$A$37=Z180)*'Rate Lookup'!$C$1:$C$37)))))</f>
      </c>
      <c r="AB180" s="30"/>
      <c r="AC180" s="31"/>
      <c r="AD180" s="27">
        <f>IF($B180&lt;&gt;"Entry","",ROUND(AC180*AA180/100,0))</f>
      </c>
      <c r="AE180" s="27">
        <f>IF($B180&lt;&gt;"Entry","",0)</f>
      </c>
      <c r="AF180" s="27">
        <f>IF($B180&lt;&gt;"Entry","",0)</f>
      </c>
      <c r="AG180" s="27">
        <f>IF($B180&lt;&gt;"Entry","",IF(OR(AD180=0,AB180="",AQ180="",AQ180&lt;=0),0,IF(AQ180&lt;=DATE(YEAR(AB180),MONTH(AB180)+1,7),0,ROUND(AD180*0.015*((YEAR(AQ180)-YEAR(AB180))*12+(MONTH(AQ180)-MONTH(AB180))+1),0))))</f>
      </c>
      <c r="AH180" s="27">
        <f>IF($B180&lt;&gt;"Entry","",0)</f>
      </c>
      <c r="AI180" s="28"/>
      <c r="AJ180" s="28"/>
      <c r="AK180" s="32"/>
      <c r="AL180" s="28"/>
      <c r="AM180" s="28"/>
      <c r="AN180" s="27">
        <f>IF($B180&lt;&gt;"Challan","",SUMIF('Q1 Data'!$D$4:$D$207,D180,'Q1 Data'!$AD$4:$AD$207)+SUMIF('Q1 Data'!$D$4:$D$207,D180,'Q1 Data'!$AG$4:$AG$207)+SUMIF('Q1 Data'!$D$4:$D$207,D180,'Q1 Data'!$AE$4:$AE$207)+SUMIF('Q2 Data'!$D$4:$D$207,D180,'Q2 Data'!$AD$4:$AD$207)+SUMIF('Q2 Data'!$D$4:$D$207,D180,'Q2 Data'!$AG$4:$AG$207)+SUMIF('Q2 Data'!$D$4:$D$207,D180,'Q2 Data'!$AE$4:$AE$207)+SUMIF('Q3 Data'!$D$4:$D$207,D180,'Q3 Data'!$AD$4:$AD$207)+SUMIF('Q3 Data'!$D$4:$D$207,D180,'Q3 Data'!$AG$4:$AG$207)+SUMIF('Q3 Data'!$D$4:$D$207,D180,'Q3 Data'!$AE$4:$AE$207)+SUMIF('Q4 Data'!$D$4:$D$207,D180,'Q4 Data'!$AD$4:$AD$207)+SUMIF('Q4 Data'!$D$4:$D$207,D180,'Q4 Data'!$AG$4:$AG$207)+SUMIF('Q4 Data'!$D$4:$D$207,D180,'Q4 Data'!$AE$4:$AE$207))</f>
      </c>
      <c r="AO180" s="27">
        <f>IF($B180&lt;&gt;"Challan","",P180-N180)</f>
      </c>
      <c r="AP180" s="27">
        <f>IF($B180&lt;&gt;"Challan","",MAX(0,AO180-AN180))</f>
      </c>
      <c r="AQ180" s="33">
        <f>IF($B180&lt;&gt;"Entry","",SUMPRODUCT(('Q1 Data'!$D$4:$D$207=D180)*('Q1 Data'!$B$4:$B$207="Challan")*'Q1 Data'!$F$4:$F$207)+SUMPRODUCT(('Q2 Data'!$D$4:$D$207=D180)*('Q2 Data'!$B$4:$B$207="Challan")*'Q2 Data'!$F$4:$F$207)+SUMPRODUCT(('Q3 Data'!$D$4:$D$207=D180)*('Q3 Data'!$B$4:$B$207="Challan")*'Q3 Data'!$F$4:$F$207)+SUMPRODUCT(('Q4 Data'!$D$4:$D$207=D180)*('Q4 Data'!$B$4:$B$207="Challan")*'Q4 Data'!$F$4:$F$207))</f>
      </c>
      <c r="AR180" s="34">
        <f>IF(OR($B180&lt;&gt;"Entry",Z180=""),FALSE,AND((SUMPRODUCT(('Q1 Data'!$D$4:$D$207=D180)*('Q1 Data'!$B$4:$B$207="Challan")*('Q1 Data'!$H$4:$H$207&lt;&gt;""))+SUMPRODUCT(('Q2 Data'!$D$4:$D$207=D180)*('Q2 Data'!$B$4:$B$207="Challan")*('Q2 Data'!$H$4:$H$207&lt;&gt;""))+SUMPRODUCT(('Q3 Data'!$D$4:$D$207=D180)*('Q3 Data'!$B$4:$B$207="Challan")*('Q3 Data'!$H$4:$H$207&lt;&gt;""))+SUMPRODUCT(('Q4 Data'!$D$4:$D$207=D180)*('Q4 Data'!$B$4:$B$207="Challan")*('Q4 Data'!$H$4:$H$207&lt;&gt;"")))&gt;0,(SUMPRODUCT(('Q1 Data'!$D$4:$D$207=D180)*('Q1 Data'!$B$4:$B$207="Challan")*('Q1 Data'!$H$4:$H$207=Z180))+SUMPRODUCT(('Q2 Data'!$D$4:$D$207=D180)*('Q2 Data'!$B$4:$B$207="Challan")*('Q2 Data'!$H$4:$H$207=Z180))+SUMPRODUCT(('Q3 Data'!$D$4:$D$207=D180)*('Q3 Data'!$B$4:$B$207="Challan")*('Q3 Data'!$H$4:$H$207=Z180))+SUMPRODUCT(('Q4 Data'!$D$4:$D$207=D180)*('Q4 Data'!$B$4:$B$207="Challan")*('Q4 Data'!$H$4:$H$207=Z180)))=0))</f>
      </c>
    </row>
    <row r="181" spans="1:44" x14ac:dyDescent="0.25">
      <c r="A181" s="20">
        <f>IF($B181="Entry",COUNTIF($B$4:$B181,"Entry"),"")</f>
      </c>
      <c r="B181" s="21"/>
      <c r="C181" s="22"/>
      <c r="D181" s="22"/>
      <c r="E181" s="23">
        <f>IF($B181&lt;&gt;"Challan","",IF(ROUND(AN181-AO181,2)&gt;0,"Over-applied",IF(ROUND(AN181-AO181,2)=0,"Fully Utilised","Unconsumed")))</f>
      </c>
      <c r="F181" s="24"/>
      <c r="G181" s="25"/>
      <c r="H181" s="25"/>
      <c r="I181" s="26"/>
      <c r="J181" s="26"/>
      <c r="K181" s="26"/>
      <c r="L181" s="26"/>
      <c r="M181" s="26"/>
      <c r="N181" s="26"/>
      <c r="O181" s="26"/>
      <c r="P181" s="27">
        <f>IF($B181&lt;&gt;"Challan","",I181+J181+K181+L181+M181+N181)</f>
      </c>
      <c r="Q181" s="25"/>
      <c r="R181" s="25"/>
      <c r="S181" s="25"/>
      <c r="T181" s="25"/>
      <c r="U181" s="25"/>
      <c r="V181" s="28"/>
      <c r="W181" s="28"/>
      <c r="X181" s="23">
        <f>IF($B181="Entry",IF(AND(LEN(TRIM(UPPER(W181)))=10,CODE(MID(TRIM(UPPER(W181)),1,1))&gt;=65,CODE(MID(TRIM(UPPER(W181)),1,1))&lt;=90,CODE(MID(TRIM(UPPER(W181)),2,1))&gt;=65,CODE(MID(TRIM(UPPER(W181)),2,1))&lt;=90,CODE(MID(TRIM(UPPER(W181)),3,1))&gt;=65,CODE(MID(TRIM(UPPER(W181)),3,1))&lt;=90,CODE(MID(TRIM(UPPER(W181)),4,1))&gt;=65,CODE(MID(TRIM(UPPER(W181)),4,1))&lt;=90,CODE(MID(TRIM(UPPER(W181)),5,1))&gt;=65,CODE(MID(TRIM(UPPER(W181)),5,1))&lt;=90,CODE(MID(TRIM(UPPER(W181)),10,1))&gt;=65,CODE(MID(TRIM(UPPER(W181)),10,1))&lt;=90,CODE(MID(TRIM(UPPER(W181)),6,1))&gt;=48,CODE(MID(TRIM(UPPER(W181)),6,1))&lt;=57,CODE(MID(TRIM(UPPER(W181)),7,1))&gt;=48,CODE(MID(TRIM(UPPER(W181)),7,1))&lt;=57,CODE(MID(TRIM(UPPER(W181)),8,1))&gt;=48,CODE(MID(TRIM(UPPER(W181)),8,1))&lt;=57,CODE(MID(TRIM(UPPER(W181)),9,1))&gt;=48,CODE(MID(TRIM(UPPER(W181)),9,1))&lt;=57),"N","Y"),IF($B181="Challan","",IF(W181&lt;&gt;"","◄ Set Row Type","")))</f>
      </c>
      <c r="Y181" s="23">
        <f>IF($B181="Entry",IF(LEN(W181)&lt;4,"",IF(UPPER(MID(W181,4,1))="P","Individual",IF(UPPER(MID(W181,4,1))="H","HUF",IF(UPPER(MID(W181,4,1))="C","Company",IF(UPPER(MID(W181,4,1))="F","Firm",IF(UPPER(MID(W181,4,1))="L","LLP",IF(UPPER(MID(W181,4,1))="T","Trust",IF(UPPER(MID(W181,4,1))="A","AOP","")))))))),IF($B181="Challan","",IF(W181&lt;&gt;"","◄ Set Row Type","")))</f>
      </c>
      <c r="Z181" s="28"/>
      <c r="AA181" s="29">
        <f>IF($B181&lt;&gt;"Entry","",IF(Z181="","",IF(X181="Y",SUMPRODUCT(('Rate Lookup'!$A$1:$A$37=Z181)*'Rate Lookup'!$D$1:$D$37),IF(OR(Y181="Individual",Y181="HUF"),SUMPRODUCT(('Rate Lookup'!$A$1:$A$37=Z181)*'Rate Lookup'!$B$1:$B$37),SUMPRODUCT(('Rate Lookup'!$A$1:$A$37=Z181)*'Rate Lookup'!$C$1:$C$37)))))</f>
      </c>
      <c r="AB181" s="30"/>
      <c r="AC181" s="31"/>
      <c r="AD181" s="27">
        <f>IF($B181&lt;&gt;"Entry","",ROUND(AC181*AA181/100,0))</f>
      </c>
      <c r="AE181" s="27">
        <f>IF($B181&lt;&gt;"Entry","",0)</f>
      </c>
      <c r="AF181" s="27">
        <f>IF($B181&lt;&gt;"Entry","",0)</f>
      </c>
      <c r="AG181" s="27">
        <f>IF($B181&lt;&gt;"Entry","",IF(OR(AD181=0,AB181="",AQ181="",AQ181&lt;=0),0,IF(AQ181&lt;=DATE(YEAR(AB181),MONTH(AB181)+1,7),0,ROUND(AD181*0.015*((YEAR(AQ181)-YEAR(AB181))*12+(MONTH(AQ181)-MONTH(AB181))+1),0))))</f>
      </c>
      <c r="AH181" s="27">
        <f>IF($B181&lt;&gt;"Entry","",0)</f>
      </c>
      <c r="AI181" s="28"/>
      <c r="AJ181" s="28"/>
      <c r="AK181" s="32"/>
      <c r="AL181" s="28"/>
      <c r="AM181" s="28"/>
      <c r="AN181" s="27">
        <f>IF($B181&lt;&gt;"Challan","",SUMIF('Q1 Data'!$D$4:$D$207,D181,'Q1 Data'!$AD$4:$AD$207)+SUMIF('Q1 Data'!$D$4:$D$207,D181,'Q1 Data'!$AG$4:$AG$207)+SUMIF('Q1 Data'!$D$4:$D$207,D181,'Q1 Data'!$AE$4:$AE$207)+SUMIF('Q2 Data'!$D$4:$D$207,D181,'Q2 Data'!$AD$4:$AD$207)+SUMIF('Q2 Data'!$D$4:$D$207,D181,'Q2 Data'!$AG$4:$AG$207)+SUMIF('Q2 Data'!$D$4:$D$207,D181,'Q2 Data'!$AE$4:$AE$207)+SUMIF('Q3 Data'!$D$4:$D$207,D181,'Q3 Data'!$AD$4:$AD$207)+SUMIF('Q3 Data'!$D$4:$D$207,D181,'Q3 Data'!$AG$4:$AG$207)+SUMIF('Q3 Data'!$D$4:$D$207,D181,'Q3 Data'!$AE$4:$AE$207)+SUMIF('Q4 Data'!$D$4:$D$207,D181,'Q4 Data'!$AD$4:$AD$207)+SUMIF('Q4 Data'!$D$4:$D$207,D181,'Q4 Data'!$AG$4:$AG$207)+SUMIF('Q4 Data'!$D$4:$D$207,D181,'Q4 Data'!$AE$4:$AE$207))</f>
      </c>
      <c r="AO181" s="27">
        <f>IF($B181&lt;&gt;"Challan","",P181-N181)</f>
      </c>
      <c r="AP181" s="27">
        <f>IF($B181&lt;&gt;"Challan","",MAX(0,AO181-AN181))</f>
      </c>
      <c r="AQ181" s="33">
        <f>IF($B181&lt;&gt;"Entry","",SUMPRODUCT(('Q1 Data'!$D$4:$D$207=D181)*('Q1 Data'!$B$4:$B$207="Challan")*'Q1 Data'!$F$4:$F$207)+SUMPRODUCT(('Q2 Data'!$D$4:$D$207=D181)*('Q2 Data'!$B$4:$B$207="Challan")*'Q2 Data'!$F$4:$F$207)+SUMPRODUCT(('Q3 Data'!$D$4:$D$207=D181)*('Q3 Data'!$B$4:$B$207="Challan")*'Q3 Data'!$F$4:$F$207)+SUMPRODUCT(('Q4 Data'!$D$4:$D$207=D181)*('Q4 Data'!$B$4:$B$207="Challan")*'Q4 Data'!$F$4:$F$207))</f>
      </c>
      <c r="AR181" s="34">
        <f>IF(OR($B181&lt;&gt;"Entry",Z181=""),FALSE,AND((SUMPRODUCT(('Q1 Data'!$D$4:$D$207=D181)*('Q1 Data'!$B$4:$B$207="Challan")*('Q1 Data'!$H$4:$H$207&lt;&gt;""))+SUMPRODUCT(('Q2 Data'!$D$4:$D$207=D181)*('Q2 Data'!$B$4:$B$207="Challan")*('Q2 Data'!$H$4:$H$207&lt;&gt;""))+SUMPRODUCT(('Q3 Data'!$D$4:$D$207=D181)*('Q3 Data'!$B$4:$B$207="Challan")*('Q3 Data'!$H$4:$H$207&lt;&gt;""))+SUMPRODUCT(('Q4 Data'!$D$4:$D$207=D181)*('Q4 Data'!$B$4:$B$207="Challan")*('Q4 Data'!$H$4:$H$207&lt;&gt;"")))&gt;0,(SUMPRODUCT(('Q1 Data'!$D$4:$D$207=D181)*('Q1 Data'!$B$4:$B$207="Challan")*('Q1 Data'!$H$4:$H$207=Z181))+SUMPRODUCT(('Q2 Data'!$D$4:$D$207=D181)*('Q2 Data'!$B$4:$B$207="Challan")*('Q2 Data'!$H$4:$H$207=Z181))+SUMPRODUCT(('Q3 Data'!$D$4:$D$207=D181)*('Q3 Data'!$B$4:$B$207="Challan")*('Q3 Data'!$H$4:$H$207=Z181))+SUMPRODUCT(('Q4 Data'!$D$4:$D$207=D181)*('Q4 Data'!$B$4:$B$207="Challan")*('Q4 Data'!$H$4:$H$207=Z181)))=0))</f>
      </c>
    </row>
    <row r="182" spans="1:44" x14ac:dyDescent="0.25">
      <c r="A182" s="20">
        <f>IF($B182="Entry",COUNTIF($B$4:$B182,"Entry"),"")</f>
      </c>
      <c r="B182" s="21"/>
      <c r="C182" s="22"/>
      <c r="D182" s="22"/>
      <c r="E182" s="23">
        <f>IF($B182&lt;&gt;"Challan","",IF(ROUND(AN182-AO182,2)&gt;0,"Over-applied",IF(ROUND(AN182-AO182,2)=0,"Fully Utilised","Unconsumed")))</f>
      </c>
      <c r="F182" s="24"/>
      <c r="G182" s="25"/>
      <c r="H182" s="25"/>
      <c r="I182" s="26"/>
      <c r="J182" s="26"/>
      <c r="K182" s="26"/>
      <c r="L182" s="26"/>
      <c r="M182" s="26"/>
      <c r="N182" s="26"/>
      <c r="O182" s="26"/>
      <c r="P182" s="27">
        <f>IF($B182&lt;&gt;"Challan","",I182+J182+K182+L182+M182+N182)</f>
      </c>
      <c r="Q182" s="25"/>
      <c r="R182" s="25"/>
      <c r="S182" s="25"/>
      <c r="T182" s="25"/>
      <c r="U182" s="25"/>
      <c r="V182" s="28"/>
      <c r="W182" s="28"/>
      <c r="X182" s="23">
        <f>IF($B182="Entry",IF(AND(LEN(TRIM(UPPER(W182)))=10,CODE(MID(TRIM(UPPER(W182)),1,1))&gt;=65,CODE(MID(TRIM(UPPER(W182)),1,1))&lt;=90,CODE(MID(TRIM(UPPER(W182)),2,1))&gt;=65,CODE(MID(TRIM(UPPER(W182)),2,1))&lt;=90,CODE(MID(TRIM(UPPER(W182)),3,1))&gt;=65,CODE(MID(TRIM(UPPER(W182)),3,1))&lt;=90,CODE(MID(TRIM(UPPER(W182)),4,1))&gt;=65,CODE(MID(TRIM(UPPER(W182)),4,1))&lt;=90,CODE(MID(TRIM(UPPER(W182)),5,1))&gt;=65,CODE(MID(TRIM(UPPER(W182)),5,1))&lt;=90,CODE(MID(TRIM(UPPER(W182)),10,1))&gt;=65,CODE(MID(TRIM(UPPER(W182)),10,1))&lt;=90,CODE(MID(TRIM(UPPER(W182)),6,1))&gt;=48,CODE(MID(TRIM(UPPER(W182)),6,1))&lt;=57,CODE(MID(TRIM(UPPER(W182)),7,1))&gt;=48,CODE(MID(TRIM(UPPER(W182)),7,1))&lt;=57,CODE(MID(TRIM(UPPER(W182)),8,1))&gt;=48,CODE(MID(TRIM(UPPER(W182)),8,1))&lt;=57,CODE(MID(TRIM(UPPER(W182)),9,1))&gt;=48,CODE(MID(TRIM(UPPER(W182)),9,1))&lt;=57),"N","Y"),IF($B182="Challan","",IF(W182&lt;&gt;"","◄ Set Row Type","")))</f>
      </c>
      <c r="Y182" s="23">
        <f>IF($B182="Entry",IF(LEN(W182)&lt;4,"",IF(UPPER(MID(W182,4,1))="P","Individual",IF(UPPER(MID(W182,4,1))="H","HUF",IF(UPPER(MID(W182,4,1))="C","Company",IF(UPPER(MID(W182,4,1))="F","Firm",IF(UPPER(MID(W182,4,1))="L","LLP",IF(UPPER(MID(W182,4,1))="T","Trust",IF(UPPER(MID(W182,4,1))="A","AOP","")))))))),IF($B182="Challan","",IF(W182&lt;&gt;"","◄ Set Row Type","")))</f>
      </c>
      <c r="Z182" s="28"/>
      <c r="AA182" s="29">
        <f>IF($B182&lt;&gt;"Entry","",IF(Z182="","",IF(X182="Y",SUMPRODUCT(('Rate Lookup'!$A$1:$A$37=Z182)*'Rate Lookup'!$D$1:$D$37),IF(OR(Y182="Individual",Y182="HUF"),SUMPRODUCT(('Rate Lookup'!$A$1:$A$37=Z182)*'Rate Lookup'!$B$1:$B$37),SUMPRODUCT(('Rate Lookup'!$A$1:$A$37=Z182)*'Rate Lookup'!$C$1:$C$37)))))</f>
      </c>
      <c r="AB182" s="30"/>
      <c r="AC182" s="31"/>
      <c r="AD182" s="27">
        <f>IF($B182&lt;&gt;"Entry","",ROUND(AC182*AA182/100,0))</f>
      </c>
      <c r="AE182" s="27">
        <f>IF($B182&lt;&gt;"Entry","",0)</f>
      </c>
      <c r="AF182" s="27">
        <f>IF($B182&lt;&gt;"Entry","",0)</f>
      </c>
      <c r="AG182" s="27">
        <f>IF($B182&lt;&gt;"Entry","",IF(OR(AD182=0,AB182="",AQ182="",AQ182&lt;=0),0,IF(AQ182&lt;=DATE(YEAR(AB182),MONTH(AB182)+1,7),0,ROUND(AD182*0.015*((YEAR(AQ182)-YEAR(AB182))*12+(MONTH(AQ182)-MONTH(AB182))+1),0))))</f>
      </c>
      <c r="AH182" s="27">
        <f>IF($B182&lt;&gt;"Entry","",0)</f>
      </c>
      <c r="AI182" s="28"/>
      <c r="AJ182" s="28"/>
      <c r="AK182" s="32"/>
      <c r="AL182" s="28"/>
      <c r="AM182" s="28"/>
      <c r="AN182" s="27">
        <f>IF($B182&lt;&gt;"Challan","",SUMIF('Q1 Data'!$D$4:$D$207,D182,'Q1 Data'!$AD$4:$AD$207)+SUMIF('Q1 Data'!$D$4:$D$207,D182,'Q1 Data'!$AG$4:$AG$207)+SUMIF('Q1 Data'!$D$4:$D$207,D182,'Q1 Data'!$AE$4:$AE$207)+SUMIF('Q2 Data'!$D$4:$D$207,D182,'Q2 Data'!$AD$4:$AD$207)+SUMIF('Q2 Data'!$D$4:$D$207,D182,'Q2 Data'!$AG$4:$AG$207)+SUMIF('Q2 Data'!$D$4:$D$207,D182,'Q2 Data'!$AE$4:$AE$207)+SUMIF('Q3 Data'!$D$4:$D$207,D182,'Q3 Data'!$AD$4:$AD$207)+SUMIF('Q3 Data'!$D$4:$D$207,D182,'Q3 Data'!$AG$4:$AG$207)+SUMIF('Q3 Data'!$D$4:$D$207,D182,'Q3 Data'!$AE$4:$AE$207)+SUMIF('Q4 Data'!$D$4:$D$207,D182,'Q4 Data'!$AD$4:$AD$207)+SUMIF('Q4 Data'!$D$4:$D$207,D182,'Q4 Data'!$AG$4:$AG$207)+SUMIF('Q4 Data'!$D$4:$D$207,D182,'Q4 Data'!$AE$4:$AE$207))</f>
      </c>
      <c r="AO182" s="27">
        <f>IF($B182&lt;&gt;"Challan","",P182-N182)</f>
      </c>
      <c r="AP182" s="27">
        <f>IF($B182&lt;&gt;"Challan","",MAX(0,AO182-AN182))</f>
      </c>
      <c r="AQ182" s="33">
        <f>IF($B182&lt;&gt;"Entry","",SUMPRODUCT(('Q1 Data'!$D$4:$D$207=D182)*('Q1 Data'!$B$4:$B$207="Challan")*'Q1 Data'!$F$4:$F$207)+SUMPRODUCT(('Q2 Data'!$D$4:$D$207=D182)*('Q2 Data'!$B$4:$B$207="Challan")*'Q2 Data'!$F$4:$F$207)+SUMPRODUCT(('Q3 Data'!$D$4:$D$207=D182)*('Q3 Data'!$B$4:$B$207="Challan")*'Q3 Data'!$F$4:$F$207)+SUMPRODUCT(('Q4 Data'!$D$4:$D$207=D182)*('Q4 Data'!$B$4:$B$207="Challan")*'Q4 Data'!$F$4:$F$207))</f>
      </c>
      <c r="AR182" s="34">
        <f>IF(OR($B182&lt;&gt;"Entry",Z182=""),FALSE,AND((SUMPRODUCT(('Q1 Data'!$D$4:$D$207=D182)*('Q1 Data'!$B$4:$B$207="Challan")*('Q1 Data'!$H$4:$H$207&lt;&gt;""))+SUMPRODUCT(('Q2 Data'!$D$4:$D$207=D182)*('Q2 Data'!$B$4:$B$207="Challan")*('Q2 Data'!$H$4:$H$207&lt;&gt;""))+SUMPRODUCT(('Q3 Data'!$D$4:$D$207=D182)*('Q3 Data'!$B$4:$B$207="Challan")*('Q3 Data'!$H$4:$H$207&lt;&gt;""))+SUMPRODUCT(('Q4 Data'!$D$4:$D$207=D182)*('Q4 Data'!$B$4:$B$207="Challan")*('Q4 Data'!$H$4:$H$207&lt;&gt;"")))&gt;0,(SUMPRODUCT(('Q1 Data'!$D$4:$D$207=D182)*('Q1 Data'!$B$4:$B$207="Challan")*('Q1 Data'!$H$4:$H$207=Z182))+SUMPRODUCT(('Q2 Data'!$D$4:$D$207=D182)*('Q2 Data'!$B$4:$B$207="Challan")*('Q2 Data'!$H$4:$H$207=Z182))+SUMPRODUCT(('Q3 Data'!$D$4:$D$207=D182)*('Q3 Data'!$B$4:$B$207="Challan")*('Q3 Data'!$H$4:$H$207=Z182))+SUMPRODUCT(('Q4 Data'!$D$4:$D$207=D182)*('Q4 Data'!$B$4:$B$207="Challan")*('Q4 Data'!$H$4:$H$207=Z182)))=0))</f>
      </c>
    </row>
    <row r="183" spans="1:44" x14ac:dyDescent="0.25">
      <c r="A183" s="20">
        <f>IF($B183="Entry",COUNTIF($B$4:$B183,"Entry"),"")</f>
      </c>
      <c r="B183" s="21"/>
      <c r="C183" s="22"/>
      <c r="D183" s="22"/>
      <c r="E183" s="23">
        <f>IF($B183&lt;&gt;"Challan","",IF(ROUND(AN183-AO183,2)&gt;0,"Over-applied",IF(ROUND(AN183-AO183,2)=0,"Fully Utilised","Unconsumed")))</f>
      </c>
      <c r="F183" s="24"/>
      <c r="G183" s="25"/>
      <c r="H183" s="25"/>
      <c r="I183" s="26"/>
      <c r="J183" s="26"/>
      <c r="K183" s="26"/>
      <c r="L183" s="26"/>
      <c r="M183" s="26"/>
      <c r="N183" s="26"/>
      <c r="O183" s="26"/>
      <c r="P183" s="27">
        <f>IF($B183&lt;&gt;"Challan","",I183+J183+K183+L183+M183+N183)</f>
      </c>
      <c r="Q183" s="25"/>
      <c r="R183" s="25"/>
      <c r="S183" s="25"/>
      <c r="T183" s="25"/>
      <c r="U183" s="25"/>
      <c r="V183" s="28"/>
      <c r="W183" s="28"/>
      <c r="X183" s="23">
        <f>IF($B183="Entry",IF(AND(LEN(TRIM(UPPER(W183)))=10,CODE(MID(TRIM(UPPER(W183)),1,1))&gt;=65,CODE(MID(TRIM(UPPER(W183)),1,1))&lt;=90,CODE(MID(TRIM(UPPER(W183)),2,1))&gt;=65,CODE(MID(TRIM(UPPER(W183)),2,1))&lt;=90,CODE(MID(TRIM(UPPER(W183)),3,1))&gt;=65,CODE(MID(TRIM(UPPER(W183)),3,1))&lt;=90,CODE(MID(TRIM(UPPER(W183)),4,1))&gt;=65,CODE(MID(TRIM(UPPER(W183)),4,1))&lt;=90,CODE(MID(TRIM(UPPER(W183)),5,1))&gt;=65,CODE(MID(TRIM(UPPER(W183)),5,1))&lt;=90,CODE(MID(TRIM(UPPER(W183)),10,1))&gt;=65,CODE(MID(TRIM(UPPER(W183)),10,1))&lt;=90,CODE(MID(TRIM(UPPER(W183)),6,1))&gt;=48,CODE(MID(TRIM(UPPER(W183)),6,1))&lt;=57,CODE(MID(TRIM(UPPER(W183)),7,1))&gt;=48,CODE(MID(TRIM(UPPER(W183)),7,1))&lt;=57,CODE(MID(TRIM(UPPER(W183)),8,1))&gt;=48,CODE(MID(TRIM(UPPER(W183)),8,1))&lt;=57,CODE(MID(TRIM(UPPER(W183)),9,1))&gt;=48,CODE(MID(TRIM(UPPER(W183)),9,1))&lt;=57),"N","Y"),IF($B183="Challan","",IF(W183&lt;&gt;"","◄ Set Row Type","")))</f>
      </c>
      <c r="Y183" s="23">
        <f>IF($B183="Entry",IF(LEN(W183)&lt;4,"",IF(UPPER(MID(W183,4,1))="P","Individual",IF(UPPER(MID(W183,4,1))="H","HUF",IF(UPPER(MID(W183,4,1))="C","Company",IF(UPPER(MID(W183,4,1))="F","Firm",IF(UPPER(MID(W183,4,1))="L","LLP",IF(UPPER(MID(W183,4,1))="T","Trust",IF(UPPER(MID(W183,4,1))="A","AOP","")))))))),IF($B183="Challan","",IF(W183&lt;&gt;"","◄ Set Row Type","")))</f>
      </c>
      <c r="Z183" s="28"/>
      <c r="AA183" s="29">
        <f>IF($B183&lt;&gt;"Entry","",IF(Z183="","",IF(X183="Y",SUMPRODUCT(('Rate Lookup'!$A$1:$A$37=Z183)*'Rate Lookup'!$D$1:$D$37),IF(OR(Y183="Individual",Y183="HUF"),SUMPRODUCT(('Rate Lookup'!$A$1:$A$37=Z183)*'Rate Lookup'!$B$1:$B$37),SUMPRODUCT(('Rate Lookup'!$A$1:$A$37=Z183)*'Rate Lookup'!$C$1:$C$37)))))</f>
      </c>
      <c r="AB183" s="30"/>
      <c r="AC183" s="31"/>
      <c r="AD183" s="27">
        <f>IF($B183&lt;&gt;"Entry","",ROUND(AC183*AA183/100,0))</f>
      </c>
      <c r="AE183" s="27">
        <f>IF($B183&lt;&gt;"Entry","",0)</f>
      </c>
      <c r="AF183" s="27">
        <f>IF($B183&lt;&gt;"Entry","",0)</f>
      </c>
      <c r="AG183" s="27">
        <f>IF($B183&lt;&gt;"Entry","",IF(OR(AD183=0,AB183="",AQ183="",AQ183&lt;=0),0,IF(AQ183&lt;=DATE(YEAR(AB183),MONTH(AB183)+1,7),0,ROUND(AD183*0.015*((YEAR(AQ183)-YEAR(AB183))*12+(MONTH(AQ183)-MONTH(AB183))+1),0))))</f>
      </c>
      <c r="AH183" s="27">
        <f>IF($B183&lt;&gt;"Entry","",0)</f>
      </c>
      <c r="AI183" s="28"/>
      <c r="AJ183" s="28"/>
      <c r="AK183" s="32"/>
      <c r="AL183" s="28"/>
      <c r="AM183" s="28"/>
      <c r="AN183" s="27">
        <f>IF($B183&lt;&gt;"Challan","",SUMIF('Q1 Data'!$D$4:$D$207,D183,'Q1 Data'!$AD$4:$AD$207)+SUMIF('Q1 Data'!$D$4:$D$207,D183,'Q1 Data'!$AG$4:$AG$207)+SUMIF('Q1 Data'!$D$4:$D$207,D183,'Q1 Data'!$AE$4:$AE$207)+SUMIF('Q2 Data'!$D$4:$D$207,D183,'Q2 Data'!$AD$4:$AD$207)+SUMIF('Q2 Data'!$D$4:$D$207,D183,'Q2 Data'!$AG$4:$AG$207)+SUMIF('Q2 Data'!$D$4:$D$207,D183,'Q2 Data'!$AE$4:$AE$207)+SUMIF('Q3 Data'!$D$4:$D$207,D183,'Q3 Data'!$AD$4:$AD$207)+SUMIF('Q3 Data'!$D$4:$D$207,D183,'Q3 Data'!$AG$4:$AG$207)+SUMIF('Q3 Data'!$D$4:$D$207,D183,'Q3 Data'!$AE$4:$AE$207)+SUMIF('Q4 Data'!$D$4:$D$207,D183,'Q4 Data'!$AD$4:$AD$207)+SUMIF('Q4 Data'!$D$4:$D$207,D183,'Q4 Data'!$AG$4:$AG$207)+SUMIF('Q4 Data'!$D$4:$D$207,D183,'Q4 Data'!$AE$4:$AE$207))</f>
      </c>
      <c r="AO183" s="27">
        <f>IF($B183&lt;&gt;"Challan","",P183-N183)</f>
      </c>
      <c r="AP183" s="27">
        <f>IF($B183&lt;&gt;"Challan","",MAX(0,AO183-AN183))</f>
      </c>
      <c r="AQ183" s="33">
        <f>IF($B183&lt;&gt;"Entry","",SUMPRODUCT(('Q1 Data'!$D$4:$D$207=D183)*('Q1 Data'!$B$4:$B$207="Challan")*'Q1 Data'!$F$4:$F$207)+SUMPRODUCT(('Q2 Data'!$D$4:$D$207=D183)*('Q2 Data'!$B$4:$B$207="Challan")*'Q2 Data'!$F$4:$F$207)+SUMPRODUCT(('Q3 Data'!$D$4:$D$207=D183)*('Q3 Data'!$B$4:$B$207="Challan")*'Q3 Data'!$F$4:$F$207)+SUMPRODUCT(('Q4 Data'!$D$4:$D$207=D183)*('Q4 Data'!$B$4:$B$207="Challan")*'Q4 Data'!$F$4:$F$207))</f>
      </c>
      <c r="AR183" s="34">
        <f>IF(OR($B183&lt;&gt;"Entry",Z183=""),FALSE,AND((SUMPRODUCT(('Q1 Data'!$D$4:$D$207=D183)*('Q1 Data'!$B$4:$B$207="Challan")*('Q1 Data'!$H$4:$H$207&lt;&gt;""))+SUMPRODUCT(('Q2 Data'!$D$4:$D$207=D183)*('Q2 Data'!$B$4:$B$207="Challan")*('Q2 Data'!$H$4:$H$207&lt;&gt;""))+SUMPRODUCT(('Q3 Data'!$D$4:$D$207=D183)*('Q3 Data'!$B$4:$B$207="Challan")*('Q3 Data'!$H$4:$H$207&lt;&gt;""))+SUMPRODUCT(('Q4 Data'!$D$4:$D$207=D183)*('Q4 Data'!$B$4:$B$207="Challan")*('Q4 Data'!$H$4:$H$207&lt;&gt;"")))&gt;0,(SUMPRODUCT(('Q1 Data'!$D$4:$D$207=D183)*('Q1 Data'!$B$4:$B$207="Challan")*('Q1 Data'!$H$4:$H$207=Z183))+SUMPRODUCT(('Q2 Data'!$D$4:$D$207=D183)*('Q2 Data'!$B$4:$B$207="Challan")*('Q2 Data'!$H$4:$H$207=Z183))+SUMPRODUCT(('Q3 Data'!$D$4:$D$207=D183)*('Q3 Data'!$B$4:$B$207="Challan")*('Q3 Data'!$H$4:$H$207=Z183))+SUMPRODUCT(('Q4 Data'!$D$4:$D$207=D183)*('Q4 Data'!$B$4:$B$207="Challan")*('Q4 Data'!$H$4:$H$207=Z183)))=0))</f>
      </c>
    </row>
    <row r="184" spans="1:44" x14ac:dyDescent="0.25">
      <c r="A184" s="20">
        <f>IF($B184="Entry",COUNTIF($B$4:$B184,"Entry"),"")</f>
      </c>
      <c r="B184" s="21"/>
      <c r="C184" s="22"/>
      <c r="D184" s="22"/>
      <c r="E184" s="23">
        <f>IF($B184&lt;&gt;"Challan","",IF(ROUND(AN184-AO184,2)&gt;0,"Over-applied",IF(ROUND(AN184-AO184,2)=0,"Fully Utilised","Unconsumed")))</f>
      </c>
      <c r="F184" s="24"/>
      <c r="G184" s="25"/>
      <c r="H184" s="25"/>
      <c r="I184" s="26"/>
      <c r="J184" s="26"/>
      <c r="K184" s="26"/>
      <c r="L184" s="26"/>
      <c r="M184" s="26"/>
      <c r="N184" s="26"/>
      <c r="O184" s="26"/>
      <c r="P184" s="27">
        <f>IF($B184&lt;&gt;"Challan","",I184+J184+K184+L184+M184+N184)</f>
      </c>
      <c r="Q184" s="25"/>
      <c r="R184" s="25"/>
      <c r="S184" s="25"/>
      <c r="T184" s="25"/>
      <c r="U184" s="25"/>
      <c r="V184" s="28"/>
      <c r="W184" s="28"/>
      <c r="X184" s="23">
        <f>IF($B184="Entry",IF(AND(LEN(TRIM(UPPER(W184)))=10,CODE(MID(TRIM(UPPER(W184)),1,1))&gt;=65,CODE(MID(TRIM(UPPER(W184)),1,1))&lt;=90,CODE(MID(TRIM(UPPER(W184)),2,1))&gt;=65,CODE(MID(TRIM(UPPER(W184)),2,1))&lt;=90,CODE(MID(TRIM(UPPER(W184)),3,1))&gt;=65,CODE(MID(TRIM(UPPER(W184)),3,1))&lt;=90,CODE(MID(TRIM(UPPER(W184)),4,1))&gt;=65,CODE(MID(TRIM(UPPER(W184)),4,1))&lt;=90,CODE(MID(TRIM(UPPER(W184)),5,1))&gt;=65,CODE(MID(TRIM(UPPER(W184)),5,1))&lt;=90,CODE(MID(TRIM(UPPER(W184)),10,1))&gt;=65,CODE(MID(TRIM(UPPER(W184)),10,1))&lt;=90,CODE(MID(TRIM(UPPER(W184)),6,1))&gt;=48,CODE(MID(TRIM(UPPER(W184)),6,1))&lt;=57,CODE(MID(TRIM(UPPER(W184)),7,1))&gt;=48,CODE(MID(TRIM(UPPER(W184)),7,1))&lt;=57,CODE(MID(TRIM(UPPER(W184)),8,1))&gt;=48,CODE(MID(TRIM(UPPER(W184)),8,1))&lt;=57,CODE(MID(TRIM(UPPER(W184)),9,1))&gt;=48,CODE(MID(TRIM(UPPER(W184)),9,1))&lt;=57),"N","Y"),IF($B184="Challan","",IF(W184&lt;&gt;"","◄ Set Row Type","")))</f>
      </c>
      <c r="Y184" s="23">
        <f>IF($B184="Entry",IF(LEN(W184)&lt;4,"",IF(UPPER(MID(W184,4,1))="P","Individual",IF(UPPER(MID(W184,4,1))="H","HUF",IF(UPPER(MID(W184,4,1))="C","Company",IF(UPPER(MID(W184,4,1))="F","Firm",IF(UPPER(MID(W184,4,1))="L","LLP",IF(UPPER(MID(W184,4,1))="T","Trust",IF(UPPER(MID(W184,4,1))="A","AOP","")))))))),IF($B184="Challan","",IF(W184&lt;&gt;"","◄ Set Row Type","")))</f>
      </c>
      <c r="Z184" s="28"/>
      <c r="AA184" s="29">
        <f>IF($B184&lt;&gt;"Entry","",IF(Z184="","",IF(X184="Y",SUMPRODUCT(('Rate Lookup'!$A$1:$A$37=Z184)*'Rate Lookup'!$D$1:$D$37),IF(OR(Y184="Individual",Y184="HUF"),SUMPRODUCT(('Rate Lookup'!$A$1:$A$37=Z184)*'Rate Lookup'!$B$1:$B$37),SUMPRODUCT(('Rate Lookup'!$A$1:$A$37=Z184)*'Rate Lookup'!$C$1:$C$37)))))</f>
      </c>
      <c r="AB184" s="30"/>
      <c r="AC184" s="31"/>
      <c r="AD184" s="27">
        <f>IF($B184&lt;&gt;"Entry","",ROUND(AC184*AA184/100,0))</f>
      </c>
      <c r="AE184" s="27">
        <f>IF($B184&lt;&gt;"Entry","",0)</f>
      </c>
      <c r="AF184" s="27">
        <f>IF($B184&lt;&gt;"Entry","",0)</f>
      </c>
      <c r="AG184" s="27">
        <f>IF($B184&lt;&gt;"Entry","",IF(OR(AD184=0,AB184="",AQ184="",AQ184&lt;=0),0,IF(AQ184&lt;=DATE(YEAR(AB184),MONTH(AB184)+1,7),0,ROUND(AD184*0.015*((YEAR(AQ184)-YEAR(AB184))*12+(MONTH(AQ184)-MONTH(AB184))+1),0))))</f>
      </c>
      <c r="AH184" s="27">
        <f>IF($B184&lt;&gt;"Entry","",0)</f>
      </c>
      <c r="AI184" s="28"/>
      <c r="AJ184" s="28"/>
      <c r="AK184" s="32"/>
      <c r="AL184" s="28"/>
      <c r="AM184" s="28"/>
      <c r="AN184" s="27">
        <f>IF($B184&lt;&gt;"Challan","",SUMIF('Q1 Data'!$D$4:$D$207,D184,'Q1 Data'!$AD$4:$AD$207)+SUMIF('Q1 Data'!$D$4:$D$207,D184,'Q1 Data'!$AG$4:$AG$207)+SUMIF('Q1 Data'!$D$4:$D$207,D184,'Q1 Data'!$AE$4:$AE$207)+SUMIF('Q2 Data'!$D$4:$D$207,D184,'Q2 Data'!$AD$4:$AD$207)+SUMIF('Q2 Data'!$D$4:$D$207,D184,'Q2 Data'!$AG$4:$AG$207)+SUMIF('Q2 Data'!$D$4:$D$207,D184,'Q2 Data'!$AE$4:$AE$207)+SUMIF('Q3 Data'!$D$4:$D$207,D184,'Q3 Data'!$AD$4:$AD$207)+SUMIF('Q3 Data'!$D$4:$D$207,D184,'Q3 Data'!$AG$4:$AG$207)+SUMIF('Q3 Data'!$D$4:$D$207,D184,'Q3 Data'!$AE$4:$AE$207)+SUMIF('Q4 Data'!$D$4:$D$207,D184,'Q4 Data'!$AD$4:$AD$207)+SUMIF('Q4 Data'!$D$4:$D$207,D184,'Q4 Data'!$AG$4:$AG$207)+SUMIF('Q4 Data'!$D$4:$D$207,D184,'Q4 Data'!$AE$4:$AE$207))</f>
      </c>
      <c r="AO184" s="27">
        <f>IF($B184&lt;&gt;"Challan","",P184-N184)</f>
      </c>
      <c r="AP184" s="27">
        <f>IF($B184&lt;&gt;"Challan","",MAX(0,AO184-AN184))</f>
      </c>
      <c r="AQ184" s="33">
        <f>IF($B184&lt;&gt;"Entry","",SUMPRODUCT(('Q1 Data'!$D$4:$D$207=D184)*('Q1 Data'!$B$4:$B$207="Challan")*'Q1 Data'!$F$4:$F$207)+SUMPRODUCT(('Q2 Data'!$D$4:$D$207=D184)*('Q2 Data'!$B$4:$B$207="Challan")*'Q2 Data'!$F$4:$F$207)+SUMPRODUCT(('Q3 Data'!$D$4:$D$207=D184)*('Q3 Data'!$B$4:$B$207="Challan")*'Q3 Data'!$F$4:$F$207)+SUMPRODUCT(('Q4 Data'!$D$4:$D$207=D184)*('Q4 Data'!$B$4:$B$207="Challan")*'Q4 Data'!$F$4:$F$207))</f>
      </c>
      <c r="AR184" s="34">
        <f>IF(OR($B184&lt;&gt;"Entry",Z184=""),FALSE,AND((SUMPRODUCT(('Q1 Data'!$D$4:$D$207=D184)*('Q1 Data'!$B$4:$B$207="Challan")*('Q1 Data'!$H$4:$H$207&lt;&gt;""))+SUMPRODUCT(('Q2 Data'!$D$4:$D$207=D184)*('Q2 Data'!$B$4:$B$207="Challan")*('Q2 Data'!$H$4:$H$207&lt;&gt;""))+SUMPRODUCT(('Q3 Data'!$D$4:$D$207=D184)*('Q3 Data'!$B$4:$B$207="Challan")*('Q3 Data'!$H$4:$H$207&lt;&gt;""))+SUMPRODUCT(('Q4 Data'!$D$4:$D$207=D184)*('Q4 Data'!$B$4:$B$207="Challan")*('Q4 Data'!$H$4:$H$207&lt;&gt;"")))&gt;0,(SUMPRODUCT(('Q1 Data'!$D$4:$D$207=D184)*('Q1 Data'!$B$4:$B$207="Challan")*('Q1 Data'!$H$4:$H$207=Z184))+SUMPRODUCT(('Q2 Data'!$D$4:$D$207=D184)*('Q2 Data'!$B$4:$B$207="Challan")*('Q2 Data'!$H$4:$H$207=Z184))+SUMPRODUCT(('Q3 Data'!$D$4:$D$207=D184)*('Q3 Data'!$B$4:$B$207="Challan")*('Q3 Data'!$H$4:$H$207=Z184))+SUMPRODUCT(('Q4 Data'!$D$4:$D$207=D184)*('Q4 Data'!$B$4:$B$207="Challan")*('Q4 Data'!$H$4:$H$207=Z184)))=0))</f>
      </c>
    </row>
    <row r="185" spans="1:44" x14ac:dyDescent="0.25">
      <c r="A185" s="20">
        <f>IF($B185="Entry",COUNTIF($B$4:$B185,"Entry"),"")</f>
      </c>
      <c r="B185" s="21"/>
      <c r="C185" s="22"/>
      <c r="D185" s="22"/>
      <c r="E185" s="23">
        <f>IF($B185&lt;&gt;"Challan","",IF(ROUND(AN185-AO185,2)&gt;0,"Over-applied",IF(ROUND(AN185-AO185,2)=0,"Fully Utilised","Unconsumed")))</f>
      </c>
      <c r="F185" s="24"/>
      <c r="G185" s="25"/>
      <c r="H185" s="25"/>
      <c r="I185" s="26"/>
      <c r="J185" s="26"/>
      <c r="K185" s="26"/>
      <c r="L185" s="26"/>
      <c r="M185" s="26"/>
      <c r="N185" s="26"/>
      <c r="O185" s="26"/>
      <c r="P185" s="27">
        <f>IF($B185&lt;&gt;"Challan","",I185+J185+K185+L185+M185+N185)</f>
      </c>
      <c r="Q185" s="25"/>
      <c r="R185" s="25"/>
      <c r="S185" s="25"/>
      <c r="T185" s="25"/>
      <c r="U185" s="25"/>
      <c r="V185" s="28"/>
      <c r="W185" s="28"/>
      <c r="X185" s="23">
        <f>IF($B185="Entry",IF(AND(LEN(TRIM(UPPER(W185)))=10,CODE(MID(TRIM(UPPER(W185)),1,1))&gt;=65,CODE(MID(TRIM(UPPER(W185)),1,1))&lt;=90,CODE(MID(TRIM(UPPER(W185)),2,1))&gt;=65,CODE(MID(TRIM(UPPER(W185)),2,1))&lt;=90,CODE(MID(TRIM(UPPER(W185)),3,1))&gt;=65,CODE(MID(TRIM(UPPER(W185)),3,1))&lt;=90,CODE(MID(TRIM(UPPER(W185)),4,1))&gt;=65,CODE(MID(TRIM(UPPER(W185)),4,1))&lt;=90,CODE(MID(TRIM(UPPER(W185)),5,1))&gt;=65,CODE(MID(TRIM(UPPER(W185)),5,1))&lt;=90,CODE(MID(TRIM(UPPER(W185)),10,1))&gt;=65,CODE(MID(TRIM(UPPER(W185)),10,1))&lt;=90,CODE(MID(TRIM(UPPER(W185)),6,1))&gt;=48,CODE(MID(TRIM(UPPER(W185)),6,1))&lt;=57,CODE(MID(TRIM(UPPER(W185)),7,1))&gt;=48,CODE(MID(TRIM(UPPER(W185)),7,1))&lt;=57,CODE(MID(TRIM(UPPER(W185)),8,1))&gt;=48,CODE(MID(TRIM(UPPER(W185)),8,1))&lt;=57,CODE(MID(TRIM(UPPER(W185)),9,1))&gt;=48,CODE(MID(TRIM(UPPER(W185)),9,1))&lt;=57),"N","Y"),IF($B185="Challan","",IF(W185&lt;&gt;"","◄ Set Row Type","")))</f>
      </c>
      <c r="Y185" s="23">
        <f>IF($B185="Entry",IF(LEN(W185)&lt;4,"",IF(UPPER(MID(W185,4,1))="P","Individual",IF(UPPER(MID(W185,4,1))="H","HUF",IF(UPPER(MID(W185,4,1))="C","Company",IF(UPPER(MID(W185,4,1))="F","Firm",IF(UPPER(MID(W185,4,1))="L","LLP",IF(UPPER(MID(W185,4,1))="T","Trust",IF(UPPER(MID(W185,4,1))="A","AOP","")))))))),IF($B185="Challan","",IF(W185&lt;&gt;"","◄ Set Row Type","")))</f>
      </c>
      <c r="Z185" s="28"/>
      <c r="AA185" s="29">
        <f>IF($B185&lt;&gt;"Entry","",IF(Z185="","",IF(X185="Y",SUMPRODUCT(('Rate Lookup'!$A$1:$A$37=Z185)*'Rate Lookup'!$D$1:$D$37),IF(OR(Y185="Individual",Y185="HUF"),SUMPRODUCT(('Rate Lookup'!$A$1:$A$37=Z185)*'Rate Lookup'!$B$1:$B$37),SUMPRODUCT(('Rate Lookup'!$A$1:$A$37=Z185)*'Rate Lookup'!$C$1:$C$37)))))</f>
      </c>
      <c r="AB185" s="30"/>
      <c r="AC185" s="31"/>
      <c r="AD185" s="27">
        <f>IF($B185&lt;&gt;"Entry","",ROUND(AC185*AA185/100,0))</f>
      </c>
      <c r="AE185" s="27">
        <f>IF($B185&lt;&gt;"Entry","",0)</f>
      </c>
      <c r="AF185" s="27">
        <f>IF($B185&lt;&gt;"Entry","",0)</f>
      </c>
      <c r="AG185" s="27">
        <f>IF($B185&lt;&gt;"Entry","",IF(OR(AD185=0,AB185="",AQ185="",AQ185&lt;=0),0,IF(AQ185&lt;=DATE(YEAR(AB185),MONTH(AB185)+1,7),0,ROUND(AD185*0.015*((YEAR(AQ185)-YEAR(AB185))*12+(MONTH(AQ185)-MONTH(AB185))+1),0))))</f>
      </c>
      <c r="AH185" s="27">
        <f>IF($B185&lt;&gt;"Entry","",0)</f>
      </c>
      <c r="AI185" s="28"/>
      <c r="AJ185" s="28"/>
      <c r="AK185" s="32"/>
      <c r="AL185" s="28"/>
      <c r="AM185" s="28"/>
      <c r="AN185" s="27">
        <f>IF($B185&lt;&gt;"Challan","",SUMIF('Q1 Data'!$D$4:$D$207,D185,'Q1 Data'!$AD$4:$AD$207)+SUMIF('Q1 Data'!$D$4:$D$207,D185,'Q1 Data'!$AG$4:$AG$207)+SUMIF('Q1 Data'!$D$4:$D$207,D185,'Q1 Data'!$AE$4:$AE$207)+SUMIF('Q2 Data'!$D$4:$D$207,D185,'Q2 Data'!$AD$4:$AD$207)+SUMIF('Q2 Data'!$D$4:$D$207,D185,'Q2 Data'!$AG$4:$AG$207)+SUMIF('Q2 Data'!$D$4:$D$207,D185,'Q2 Data'!$AE$4:$AE$207)+SUMIF('Q3 Data'!$D$4:$D$207,D185,'Q3 Data'!$AD$4:$AD$207)+SUMIF('Q3 Data'!$D$4:$D$207,D185,'Q3 Data'!$AG$4:$AG$207)+SUMIF('Q3 Data'!$D$4:$D$207,D185,'Q3 Data'!$AE$4:$AE$207)+SUMIF('Q4 Data'!$D$4:$D$207,D185,'Q4 Data'!$AD$4:$AD$207)+SUMIF('Q4 Data'!$D$4:$D$207,D185,'Q4 Data'!$AG$4:$AG$207)+SUMIF('Q4 Data'!$D$4:$D$207,D185,'Q4 Data'!$AE$4:$AE$207))</f>
      </c>
      <c r="AO185" s="27">
        <f>IF($B185&lt;&gt;"Challan","",P185-N185)</f>
      </c>
      <c r="AP185" s="27">
        <f>IF($B185&lt;&gt;"Challan","",MAX(0,AO185-AN185))</f>
      </c>
      <c r="AQ185" s="33">
        <f>IF($B185&lt;&gt;"Entry","",SUMPRODUCT(('Q1 Data'!$D$4:$D$207=D185)*('Q1 Data'!$B$4:$B$207="Challan")*'Q1 Data'!$F$4:$F$207)+SUMPRODUCT(('Q2 Data'!$D$4:$D$207=D185)*('Q2 Data'!$B$4:$B$207="Challan")*'Q2 Data'!$F$4:$F$207)+SUMPRODUCT(('Q3 Data'!$D$4:$D$207=D185)*('Q3 Data'!$B$4:$B$207="Challan")*'Q3 Data'!$F$4:$F$207)+SUMPRODUCT(('Q4 Data'!$D$4:$D$207=D185)*('Q4 Data'!$B$4:$B$207="Challan")*'Q4 Data'!$F$4:$F$207))</f>
      </c>
      <c r="AR185" s="34">
        <f>IF(OR($B185&lt;&gt;"Entry",Z185=""),FALSE,AND((SUMPRODUCT(('Q1 Data'!$D$4:$D$207=D185)*('Q1 Data'!$B$4:$B$207="Challan")*('Q1 Data'!$H$4:$H$207&lt;&gt;""))+SUMPRODUCT(('Q2 Data'!$D$4:$D$207=D185)*('Q2 Data'!$B$4:$B$207="Challan")*('Q2 Data'!$H$4:$H$207&lt;&gt;""))+SUMPRODUCT(('Q3 Data'!$D$4:$D$207=D185)*('Q3 Data'!$B$4:$B$207="Challan")*('Q3 Data'!$H$4:$H$207&lt;&gt;""))+SUMPRODUCT(('Q4 Data'!$D$4:$D$207=D185)*('Q4 Data'!$B$4:$B$207="Challan")*('Q4 Data'!$H$4:$H$207&lt;&gt;"")))&gt;0,(SUMPRODUCT(('Q1 Data'!$D$4:$D$207=D185)*('Q1 Data'!$B$4:$B$207="Challan")*('Q1 Data'!$H$4:$H$207=Z185))+SUMPRODUCT(('Q2 Data'!$D$4:$D$207=D185)*('Q2 Data'!$B$4:$B$207="Challan")*('Q2 Data'!$H$4:$H$207=Z185))+SUMPRODUCT(('Q3 Data'!$D$4:$D$207=D185)*('Q3 Data'!$B$4:$B$207="Challan")*('Q3 Data'!$H$4:$H$207=Z185))+SUMPRODUCT(('Q4 Data'!$D$4:$D$207=D185)*('Q4 Data'!$B$4:$B$207="Challan")*('Q4 Data'!$H$4:$H$207=Z185)))=0))</f>
      </c>
    </row>
    <row r="186" spans="1:44" x14ac:dyDescent="0.25">
      <c r="A186" s="20">
        <f>IF($B186="Entry",COUNTIF($B$4:$B186,"Entry"),"")</f>
      </c>
      <c r="B186" s="21"/>
      <c r="C186" s="22"/>
      <c r="D186" s="22"/>
      <c r="E186" s="23">
        <f>IF($B186&lt;&gt;"Challan","",IF(ROUND(AN186-AO186,2)&gt;0,"Over-applied",IF(ROUND(AN186-AO186,2)=0,"Fully Utilised","Unconsumed")))</f>
      </c>
      <c r="F186" s="24"/>
      <c r="G186" s="25"/>
      <c r="H186" s="25"/>
      <c r="I186" s="26"/>
      <c r="J186" s="26"/>
      <c r="K186" s="26"/>
      <c r="L186" s="26"/>
      <c r="M186" s="26"/>
      <c r="N186" s="26"/>
      <c r="O186" s="26"/>
      <c r="P186" s="27">
        <f>IF($B186&lt;&gt;"Challan","",I186+J186+K186+L186+M186+N186)</f>
      </c>
      <c r="Q186" s="25"/>
      <c r="R186" s="25"/>
      <c r="S186" s="25"/>
      <c r="T186" s="25"/>
      <c r="U186" s="25"/>
      <c r="V186" s="28"/>
      <c r="W186" s="28"/>
      <c r="X186" s="23">
        <f>IF($B186="Entry",IF(AND(LEN(TRIM(UPPER(W186)))=10,CODE(MID(TRIM(UPPER(W186)),1,1))&gt;=65,CODE(MID(TRIM(UPPER(W186)),1,1))&lt;=90,CODE(MID(TRIM(UPPER(W186)),2,1))&gt;=65,CODE(MID(TRIM(UPPER(W186)),2,1))&lt;=90,CODE(MID(TRIM(UPPER(W186)),3,1))&gt;=65,CODE(MID(TRIM(UPPER(W186)),3,1))&lt;=90,CODE(MID(TRIM(UPPER(W186)),4,1))&gt;=65,CODE(MID(TRIM(UPPER(W186)),4,1))&lt;=90,CODE(MID(TRIM(UPPER(W186)),5,1))&gt;=65,CODE(MID(TRIM(UPPER(W186)),5,1))&lt;=90,CODE(MID(TRIM(UPPER(W186)),10,1))&gt;=65,CODE(MID(TRIM(UPPER(W186)),10,1))&lt;=90,CODE(MID(TRIM(UPPER(W186)),6,1))&gt;=48,CODE(MID(TRIM(UPPER(W186)),6,1))&lt;=57,CODE(MID(TRIM(UPPER(W186)),7,1))&gt;=48,CODE(MID(TRIM(UPPER(W186)),7,1))&lt;=57,CODE(MID(TRIM(UPPER(W186)),8,1))&gt;=48,CODE(MID(TRIM(UPPER(W186)),8,1))&lt;=57,CODE(MID(TRIM(UPPER(W186)),9,1))&gt;=48,CODE(MID(TRIM(UPPER(W186)),9,1))&lt;=57),"N","Y"),IF($B186="Challan","",IF(W186&lt;&gt;"","◄ Set Row Type","")))</f>
      </c>
      <c r="Y186" s="23">
        <f>IF($B186="Entry",IF(LEN(W186)&lt;4,"",IF(UPPER(MID(W186,4,1))="P","Individual",IF(UPPER(MID(W186,4,1))="H","HUF",IF(UPPER(MID(W186,4,1))="C","Company",IF(UPPER(MID(W186,4,1))="F","Firm",IF(UPPER(MID(W186,4,1))="L","LLP",IF(UPPER(MID(W186,4,1))="T","Trust",IF(UPPER(MID(W186,4,1))="A","AOP","")))))))),IF($B186="Challan","",IF(W186&lt;&gt;"","◄ Set Row Type","")))</f>
      </c>
      <c r="Z186" s="28"/>
      <c r="AA186" s="29">
        <f>IF($B186&lt;&gt;"Entry","",IF(Z186="","",IF(X186="Y",SUMPRODUCT(('Rate Lookup'!$A$1:$A$37=Z186)*'Rate Lookup'!$D$1:$D$37),IF(OR(Y186="Individual",Y186="HUF"),SUMPRODUCT(('Rate Lookup'!$A$1:$A$37=Z186)*'Rate Lookup'!$B$1:$B$37),SUMPRODUCT(('Rate Lookup'!$A$1:$A$37=Z186)*'Rate Lookup'!$C$1:$C$37)))))</f>
      </c>
      <c r="AB186" s="30"/>
      <c r="AC186" s="31"/>
      <c r="AD186" s="27">
        <f>IF($B186&lt;&gt;"Entry","",ROUND(AC186*AA186/100,0))</f>
      </c>
      <c r="AE186" s="27">
        <f>IF($B186&lt;&gt;"Entry","",0)</f>
      </c>
      <c r="AF186" s="27">
        <f>IF($B186&lt;&gt;"Entry","",0)</f>
      </c>
      <c r="AG186" s="27">
        <f>IF($B186&lt;&gt;"Entry","",IF(OR(AD186=0,AB186="",AQ186="",AQ186&lt;=0),0,IF(AQ186&lt;=DATE(YEAR(AB186),MONTH(AB186)+1,7),0,ROUND(AD186*0.015*((YEAR(AQ186)-YEAR(AB186))*12+(MONTH(AQ186)-MONTH(AB186))+1),0))))</f>
      </c>
      <c r="AH186" s="27">
        <f>IF($B186&lt;&gt;"Entry","",0)</f>
      </c>
      <c r="AI186" s="28"/>
      <c r="AJ186" s="28"/>
      <c r="AK186" s="32"/>
      <c r="AL186" s="28"/>
      <c r="AM186" s="28"/>
      <c r="AN186" s="27">
        <f>IF($B186&lt;&gt;"Challan","",SUMIF('Q1 Data'!$D$4:$D$207,D186,'Q1 Data'!$AD$4:$AD$207)+SUMIF('Q1 Data'!$D$4:$D$207,D186,'Q1 Data'!$AG$4:$AG$207)+SUMIF('Q1 Data'!$D$4:$D$207,D186,'Q1 Data'!$AE$4:$AE$207)+SUMIF('Q2 Data'!$D$4:$D$207,D186,'Q2 Data'!$AD$4:$AD$207)+SUMIF('Q2 Data'!$D$4:$D$207,D186,'Q2 Data'!$AG$4:$AG$207)+SUMIF('Q2 Data'!$D$4:$D$207,D186,'Q2 Data'!$AE$4:$AE$207)+SUMIF('Q3 Data'!$D$4:$D$207,D186,'Q3 Data'!$AD$4:$AD$207)+SUMIF('Q3 Data'!$D$4:$D$207,D186,'Q3 Data'!$AG$4:$AG$207)+SUMIF('Q3 Data'!$D$4:$D$207,D186,'Q3 Data'!$AE$4:$AE$207)+SUMIF('Q4 Data'!$D$4:$D$207,D186,'Q4 Data'!$AD$4:$AD$207)+SUMIF('Q4 Data'!$D$4:$D$207,D186,'Q4 Data'!$AG$4:$AG$207)+SUMIF('Q4 Data'!$D$4:$D$207,D186,'Q4 Data'!$AE$4:$AE$207))</f>
      </c>
      <c r="AO186" s="27">
        <f>IF($B186&lt;&gt;"Challan","",P186-N186)</f>
      </c>
      <c r="AP186" s="27">
        <f>IF($B186&lt;&gt;"Challan","",MAX(0,AO186-AN186))</f>
      </c>
      <c r="AQ186" s="33">
        <f>IF($B186&lt;&gt;"Entry","",SUMPRODUCT(('Q1 Data'!$D$4:$D$207=D186)*('Q1 Data'!$B$4:$B$207="Challan")*'Q1 Data'!$F$4:$F$207)+SUMPRODUCT(('Q2 Data'!$D$4:$D$207=D186)*('Q2 Data'!$B$4:$B$207="Challan")*'Q2 Data'!$F$4:$F$207)+SUMPRODUCT(('Q3 Data'!$D$4:$D$207=D186)*('Q3 Data'!$B$4:$B$207="Challan")*'Q3 Data'!$F$4:$F$207)+SUMPRODUCT(('Q4 Data'!$D$4:$D$207=D186)*('Q4 Data'!$B$4:$B$207="Challan")*'Q4 Data'!$F$4:$F$207))</f>
      </c>
      <c r="AR186" s="34">
        <f>IF(OR($B186&lt;&gt;"Entry",Z186=""),FALSE,AND((SUMPRODUCT(('Q1 Data'!$D$4:$D$207=D186)*('Q1 Data'!$B$4:$B$207="Challan")*('Q1 Data'!$H$4:$H$207&lt;&gt;""))+SUMPRODUCT(('Q2 Data'!$D$4:$D$207=D186)*('Q2 Data'!$B$4:$B$207="Challan")*('Q2 Data'!$H$4:$H$207&lt;&gt;""))+SUMPRODUCT(('Q3 Data'!$D$4:$D$207=D186)*('Q3 Data'!$B$4:$B$207="Challan")*('Q3 Data'!$H$4:$H$207&lt;&gt;""))+SUMPRODUCT(('Q4 Data'!$D$4:$D$207=D186)*('Q4 Data'!$B$4:$B$207="Challan")*('Q4 Data'!$H$4:$H$207&lt;&gt;"")))&gt;0,(SUMPRODUCT(('Q1 Data'!$D$4:$D$207=D186)*('Q1 Data'!$B$4:$B$207="Challan")*('Q1 Data'!$H$4:$H$207=Z186))+SUMPRODUCT(('Q2 Data'!$D$4:$D$207=D186)*('Q2 Data'!$B$4:$B$207="Challan")*('Q2 Data'!$H$4:$H$207=Z186))+SUMPRODUCT(('Q3 Data'!$D$4:$D$207=D186)*('Q3 Data'!$B$4:$B$207="Challan")*('Q3 Data'!$H$4:$H$207=Z186))+SUMPRODUCT(('Q4 Data'!$D$4:$D$207=D186)*('Q4 Data'!$B$4:$B$207="Challan")*('Q4 Data'!$H$4:$H$207=Z186)))=0))</f>
      </c>
    </row>
    <row r="187" spans="1:44" x14ac:dyDescent="0.25">
      <c r="A187" s="20">
        <f>IF($B187="Entry",COUNTIF($B$4:$B187,"Entry"),"")</f>
      </c>
      <c r="B187" s="21"/>
      <c r="C187" s="22"/>
      <c r="D187" s="22"/>
      <c r="E187" s="23">
        <f>IF($B187&lt;&gt;"Challan","",IF(ROUND(AN187-AO187,2)&gt;0,"Over-applied",IF(ROUND(AN187-AO187,2)=0,"Fully Utilised","Unconsumed")))</f>
      </c>
      <c r="F187" s="24"/>
      <c r="G187" s="25"/>
      <c r="H187" s="25"/>
      <c r="I187" s="26"/>
      <c r="J187" s="26"/>
      <c r="K187" s="26"/>
      <c r="L187" s="26"/>
      <c r="M187" s="26"/>
      <c r="N187" s="26"/>
      <c r="O187" s="26"/>
      <c r="P187" s="27">
        <f>IF($B187&lt;&gt;"Challan","",I187+J187+K187+L187+M187+N187)</f>
      </c>
      <c r="Q187" s="25"/>
      <c r="R187" s="25"/>
      <c r="S187" s="25"/>
      <c r="T187" s="25"/>
      <c r="U187" s="25"/>
      <c r="V187" s="28"/>
      <c r="W187" s="28"/>
      <c r="X187" s="23">
        <f>IF($B187="Entry",IF(AND(LEN(TRIM(UPPER(W187)))=10,CODE(MID(TRIM(UPPER(W187)),1,1))&gt;=65,CODE(MID(TRIM(UPPER(W187)),1,1))&lt;=90,CODE(MID(TRIM(UPPER(W187)),2,1))&gt;=65,CODE(MID(TRIM(UPPER(W187)),2,1))&lt;=90,CODE(MID(TRIM(UPPER(W187)),3,1))&gt;=65,CODE(MID(TRIM(UPPER(W187)),3,1))&lt;=90,CODE(MID(TRIM(UPPER(W187)),4,1))&gt;=65,CODE(MID(TRIM(UPPER(W187)),4,1))&lt;=90,CODE(MID(TRIM(UPPER(W187)),5,1))&gt;=65,CODE(MID(TRIM(UPPER(W187)),5,1))&lt;=90,CODE(MID(TRIM(UPPER(W187)),10,1))&gt;=65,CODE(MID(TRIM(UPPER(W187)),10,1))&lt;=90,CODE(MID(TRIM(UPPER(W187)),6,1))&gt;=48,CODE(MID(TRIM(UPPER(W187)),6,1))&lt;=57,CODE(MID(TRIM(UPPER(W187)),7,1))&gt;=48,CODE(MID(TRIM(UPPER(W187)),7,1))&lt;=57,CODE(MID(TRIM(UPPER(W187)),8,1))&gt;=48,CODE(MID(TRIM(UPPER(W187)),8,1))&lt;=57,CODE(MID(TRIM(UPPER(W187)),9,1))&gt;=48,CODE(MID(TRIM(UPPER(W187)),9,1))&lt;=57),"N","Y"),IF($B187="Challan","",IF(W187&lt;&gt;"","◄ Set Row Type","")))</f>
      </c>
      <c r="Y187" s="23">
        <f>IF($B187="Entry",IF(LEN(W187)&lt;4,"",IF(UPPER(MID(W187,4,1))="P","Individual",IF(UPPER(MID(W187,4,1))="H","HUF",IF(UPPER(MID(W187,4,1))="C","Company",IF(UPPER(MID(W187,4,1))="F","Firm",IF(UPPER(MID(W187,4,1))="L","LLP",IF(UPPER(MID(W187,4,1))="T","Trust",IF(UPPER(MID(W187,4,1))="A","AOP","")))))))),IF($B187="Challan","",IF(W187&lt;&gt;"","◄ Set Row Type","")))</f>
      </c>
      <c r="Z187" s="28"/>
      <c r="AA187" s="29">
        <f>IF($B187&lt;&gt;"Entry","",IF(Z187="","",IF(X187="Y",SUMPRODUCT(('Rate Lookup'!$A$1:$A$37=Z187)*'Rate Lookup'!$D$1:$D$37),IF(OR(Y187="Individual",Y187="HUF"),SUMPRODUCT(('Rate Lookup'!$A$1:$A$37=Z187)*'Rate Lookup'!$B$1:$B$37),SUMPRODUCT(('Rate Lookup'!$A$1:$A$37=Z187)*'Rate Lookup'!$C$1:$C$37)))))</f>
      </c>
      <c r="AB187" s="30"/>
      <c r="AC187" s="31"/>
      <c r="AD187" s="27">
        <f>IF($B187&lt;&gt;"Entry","",ROUND(AC187*AA187/100,0))</f>
      </c>
      <c r="AE187" s="27">
        <f>IF($B187&lt;&gt;"Entry","",0)</f>
      </c>
      <c r="AF187" s="27">
        <f>IF($B187&lt;&gt;"Entry","",0)</f>
      </c>
      <c r="AG187" s="27">
        <f>IF($B187&lt;&gt;"Entry","",IF(OR(AD187=0,AB187="",AQ187="",AQ187&lt;=0),0,IF(AQ187&lt;=DATE(YEAR(AB187),MONTH(AB187)+1,7),0,ROUND(AD187*0.015*((YEAR(AQ187)-YEAR(AB187))*12+(MONTH(AQ187)-MONTH(AB187))+1),0))))</f>
      </c>
      <c r="AH187" s="27">
        <f>IF($B187&lt;&gt;"Entry","",0)</f>
      </c>
      <c r="AI187" s="28"/>
      <c r="AJ187" s="28"/>
      <c r="AK187" s="32"/>
      <c r="AL187" s="28"/>
      <c r="AM187" s="28"/>
      <c r="AN187" s="27">
        <f>IF($B187&lt;&gt;"Challan","",SUMIF('Q1 Data'!$D$4:$D$207,D187,'Q1 Data'!$AD$4:$AD$207)+SUMIF('Q1 Data'!$D$4:$D$207,D187,'Q1 Data'!$AG$4:$AG$207)+SUMIF('Q1 Data'!$D$4:$D$207,D187,'Q1 Data'!$AE$4:$AE$207)+SUMIF('Q2 Data'!$D$4:$D$207,D187,'Q2 Data'!$AD$4:$AD$207)+SUMIF('Q2 Data'!$D$4:$D$207,D187,'Q2 Data'!$AG$4:$AG$207)+SUMIF('Q2 Data'!$D$4:$D$207,D187,'Q2 Data'!$AE$4:$AE$207)+SUMIF('Q3 Data'!$D$4:$D$207,D187,'Q3 Data'!$AD$4:$AD$207)+SUMIF('Q3 Data'!$D$4:$D$207,D187,'Q3 Data'!$AG$4:$AG$207)+SUMIF('Q3 Data'!$D$4:$D$207,D187,'Q3 Data'!$AE$4:$AE$207)+SUMIF('Q4 Data'!$D$4:$D$207,D187,'Q4 Data'!$AD$4:$AD$207)+SUMIF('Q4 Data'!$D$4:$D$207,D187,'Q4 Data'!$AG$4:$AG$207)+SUMIF('Q4 Data'!$D$4:$D$207,D187,'Q4 Data'!$AE$4:$AE$207))</f>
      </c>
      <c r="AO187" s="27">
        <f>IF($B187&lt;&gt;"Challan","",P187-N187)</f>
      </c>
      <c r="AP187" s="27">
        <f>IF($B187&lt;&gt;"Challan","",MAX(0,AO187-AN187))</f>
      </c>
      <c r="AQ187" s="33">
        <f>IF($B187&lt;&gt;"Entry","",SUMPRODUCT(('Q1 Data'!$D$4:$D$207=D187)*('Q1 Data'!$B$4:$B$207="Challan")*'Q1 Data'!$F$4:$F$207)+SUMPRODUCT(('Q2 Data'!$D$4:$D$207=D187)*('Q2 Data'!$B$4:$B$207="Challan")*'Q2 Data'!$F$4:$F$207)+SUMPRODUCT(('Q3 Data'!$D$4:$D$207=D187)*('Q3 Data'!$B$4:$B$207="Challan")*'Q3 Data'!$F$4:$F$207)+SUMPRODUCT(('Q4 Data'!$D$4:$D$207=D187)*('Q4 Data'!$B$4:$B$207="Challan")*'Q4 Data'!$F$4:$F$207))</f>
      </c>
      <c r="AR187" s="34">
        <f>IF(OR($B187&lt;&gt;"Entry",Z187=""),FALSE,AND((SUMPRODUCT(('Q1 Data'!$D$4:$D$207=D187)*('Q1 Data'!$B$4:$B$207="Challan")*('Q1 Data'!$H$4:$H$207&lt;&gt;""))+SUMPRODUCT(('Q2 Data'!$D$4:$D$207=D187)*('Q2 Data'!$B$4:$B$207="Challan")*('Q2 Data'!$H$4:$H$207&lt;&gt;""))+SUMPRODUCT(('Q3 Data'!$D$4:$D$207=D187)*('Q3 Data'!$B$4:$B$207="Challan")*('Q3 Data'!$H$4:$H$207&lt;&gt;""))+SUMPRODUCT(('Q4 Data'!$D$4:$D$207=D187)*('Q4 Data'!$B$4:$B$207="Challan")*('Q4 Data'!$H$4:$H$207&lt;&gt;"")))&gt;0,(SUMPRODUCT(('Q1 Data'!$D$4:$D$207=D187)*('Q1 Data'!$B$4:$B$207="Challan")*('Q1 Data'!$H$4:$H$207=Z187))+SUMPRODUCT(('Q2 Data'!$D$4:$D$207=D187)*('Q2 Data'!$B$4:$B$207="Challan")*('Q2 Data'!$H$4:$H$207=Z187))+SUMPRODUCT(('Q3 Data'!$D$4:$D$207=D187)*('Q3 Data'!$B$4:$B$207="Challan")*('Q3 Data'!$H$4:$H$207=Z187))+SUMPRODUCT(('Q4 Data'!$D$4:$D$207=D187)*('Q4 Data'!$B$4:$B$207="Challan")*('Q4 Data'!$H$4:$H$207=Z187)))=0))</f>
      </c>
    </row>
    <row r="188" spans="1:44" x14ac:dyDescent="0.25">
      <c r="A188" s="20">
        <f>IF($B188="Entry",COUNTIF($B$4:$B188,"Entry"),"")</f>
      </c>
      <c r="B188" s="21"/>
      <c r="C188" s="22"/>
      <c r="D188" s="22"/>
      <c r="E188" s="23">
        <f>IF($B188&lt;&gt;"Challan","",IF(ROUND(AN188-AO188,2)&gt;0,"Over-applied",IF(ROUND(AN188-AO188,2)=0,"Fully Utilised","Unconsumed")))</f>
      </c>
      <c r="F188" s="24"/>
      <c r="G188" s="25"/>
      <c r="H188" s="25"/>
      <c r="I188" s="26"/>
      <c r="J188" s="26"/>
      <c r="K188" s="26"/>
      <c r="L188" s="26"/>
      <c r="M188" s="26"/>
      <c r="N188" s="26"/>
      <c r="O188" s="26"/>
      <c r="P188" s="27">
        <f>IF($B188&lt;&gt;"Challan","",I188+J188+K188+L188+M188+N188)</f>
      </c>
      <c r="Q188" s="25"/>
      <c r="R188" s="25"/>
      <c r="S188" s="25"/>
      <c r="T188" s="25"/>
      <c r="U188" s="25"/>
      <c r="V188" s="28"/>
      <c r="W188" s="28"/>
      <c r="X188" s="23">
        <f>IF($B188="Entry",IF(AND(LEN(TRIM(UPPER(W188)))=10,CODE(MID(TRIM(UPPER(W188)),1,1))&gt;=65,CODE(MID(TRIM(UPPER(W188)),1,1))&lt;=90,CODE(MID(TRIM(UPPER(W188)),2,1))&gt;=65,CODE(MID(TRIM(UPPER(W188)),2,1))&lt;=90,CODE(MID(TRIM(UPPER(W188)),3,1))&gt;=65,CODE(MID(TRIM(UPPER(W188)),3,1))&lt;=90,CODE(MID(TRIM(UPPER(W188)),4,1))&gt;=65,CODE(MID(TRIM(UPPER(W188)),4,1))&lt;=90,CODE(MID(TRIM(UPPER(W188)),5,1))&gt;=65,CODE(MID(TRIM(UPPER(W188)),5,1))&lt;=90,CODE(MID(TRIM(UPPER(W188)),10,1))&gt;=65,CODE(MID(TRIM(UPPER(W188)),10,1))&lt;=90,CODE(MID(TRIM(UPPER(W188)),6,1))&gt;=48,CODE(MID(TRIM(UPPER(W188)),6,1))&lt;=57,CODE(MID(TRIM(UPPER(W188)),7,1))&gt;=48,CODE(MID(TRIM(UPPER(W188)),7,1))&lt;=57,CODE(MID(TRIM(UPPER(W188)),8,1))&gt;=48,CODE(MID(TRIM(UPPER(W188)),8,1))&lt;=57,CODE(MID(TRIM(UPPER(W188)),9,1))&gt;=48,CODE(MID(TRIM(UPPER(W188)),9,1))&lt;=57),"N","Y"),IF($B188="Challan","",IF(W188&lt;&gt;"","◄ Set Row Type","")))</f>
      </c>
      <c r="Y188" s="23">
        <f>IF($B188="Entry",IF(LEN(W188)&lt;4,"",IF(UPPER(MID(W188,4,1))="P","Individual",IF(UPPER(MID(W188,4,1))="H","HUF",IF(UPPER(MID(W188,4,1))="C","Company",IF(UPPER(MID(W188,4,1))="F","Firm",IF(UPPER(MID(W188,4,1))="L","LLP",IF(UPPER(MID(W188,4,1))="T","Trust",IF(UPPER(MID(W188,4,1))="A","AOP","")))))))),IF($B188="Challan","",IF(W188&lt;&gt;"","◄ Set Row Type","")))</f>
      </c>
      <c r="Z188" s="28"/>
      <c r="AA188" s="29">
        <f>IF($B188&lt;&gt;"Entry","",IF(Z188="","",IF(X188="Y",SUMPRODUCT(('Rate Lookup'!$A$1:$A$37=Z188)*'Rate Lookup'!$D$1:$D$37),IF(OR(Y188="Individual",Y188="HUF"),SUMPRODUCT(('Rate Lookup'!$A$1:$A$37=Z188)*'Rate Lookup'!$B$1:$B$37),SUMPRODUCT(('Rate Lookup'!$A$1:$A$37=Z188)*'Rate Lookup'!$C$1:$C$37)))))</f>
      </c>
      <c r="AB188" s="30"/>
      <c r="AC188" s="31"/>
      <c r="AD188" s="27">
        <f>IF($B188&lt;&gt;"Entry","",ROUND(AC188*AA188/100,0))</f>
      </c>
      <c r="AE188" s="27">
        <f>IF($B188&lt;&gt;"Entry","",0)</f>
      </c>
      <c r="AF188" s="27">
        <f>IF($B188&lt;&gt;"Entry","",0)</f>
      </c>
      <c r="AG188" s="27">
        <f>IF($B188&lt;&gt;"Entry","",IF(OR(AD188=0,AB188="",AQ188="",AQ188&lt;=0),0,IF(AQ188&lt;=DATE(YEAR(AB188),MONTH(AB188)+1,7),0,ROUND(AD188*0.015*((YEAR(AQ188)-YEAR(AB188))*12+(MONTH(AQ188)-MONTH(AB188))+1),0))))</f>
      </c>
      <c r="AH188" s="27">
        <f>IF($B188&lt;&gt;"Entry","",0)</f>
      </c>
      <c r="AI188" s="28"/>
      <c r="AJ188" s="28"/>
      <c r="AK188" s="32"/>
      <c r="AL188" s="28"/>
      <c r="AM188" s="28"/>
      <c r="AN188" s="27">
        <f>IF($B188&lt;&gt;"Challan","",SUMIF('Q1 Data'!$D$4:$D$207,D188,'Q1 Data'!$AD$4:$AD$207)+SUMIF('Q1 Data'!$D$4:$D$207,D188,'Q1 Data'!$AG$4:$AG$207)+SUMIF('Q1 Data'!$D$4:$D$207,D188,'Q1 Data'!$AE$4:$AE$207)+SUMIF('Q2 Data'!$D$4:$D$207,D188,'Q2 Data'!$AD$4:$AD$207)+SUMIF('Q2 Data'!$D$4:$D$207,D188,'Q2 Data'!$AG$4:$AG$207)+SUMIF('Q2 Data'!$D$4:$D$207,D188,'Q2 Data'!$AE$4:$AE$207)+SUMIF('Q3 Data'!$D$4:$D$207,D188,'Q3 Data'!$AD$4:$AD$207)+SUMIF('Q3 Data'!$D$4:$D$207,D188,'Q3 Data'!$AG$4:$AG$207)+SUMIF('Q3 Data'!$D$4:$D$207,D188,'Q3 Data'!$AE$4:$AE$207)+SUMIF('Q4 Data'!$D$4:$D$207,D188,'Q4 Data'!$AD$4:$AD$207)+SUMIF('Q4 Data'!$D$4:$D$207,D188,'Q4 Data'!$AG$4:$AG$207)+SUMIF('Q4 Data'!$D$4:$D$207,D188,'Q4 Data'!$AE$4:$AE$207))</f>
      </c>
      <c r="AO188" s="27">
        <f>IF($B188&lt;&gt;"Challan","",P188-N188)</f>
      </c>
      <c r="AP188" s="27">
        <f>IF($B188&lt;&gt;"Challan","",MAX(0,AO188-AN188))</f>
      </c>
      <c r="AQ188" s="33">
        <f>IF($B188&lt;&gt;"Entry","",SUMPRODUCT(('Q1 Data'!$D$4:$D$207=D188)*('Q1 Data'!$B$4:$B$207="Challan")*'Q1 Data'!$F$4:$F$207)+SUMPRODUCT(('Q2 Data'!$D$4:$D$207=D188)*('Q2 Data'!$B$4:$B$207="Challan")*'Q2 Data'!$F$4:$F$207)+SUMPRODUCT(('Q3 Data'!$D$4:$D$207=D188)*('Q3 Data'!$B$4:$B$207="Challan")*'Q3 Data'!$F$4:$F$207)+SUMPRODUCT(('Q4 Data'!$D$4:$D$207=D188)*('Q4 Data'!$B$4:$B$207="Challan")*'Q4 Data'!$F$4:$F$207))</f>
      </c>
      <c r="AR188" s="34">
        <f>IF(OR($B188&lt;&gt;"Entry",Z188=""),FALSE,AND((SUMPRODUCT(('Q1 Data'!$D$4:$D$207=D188)*('Q1 Data'!$B$4:$B$207="Challan")*('Q1 Data'!$H$4:$H$207&lt;&gt;""))+SUMPRODUCT(('Q2 Data'!$D$4:$D$207=D188)*('Q2 Data'!$B$4:$B$207="Challan")*('Q2 Data'!$H$4:$H$207&lt;&gt;""))+SUMPRODUCT(('Q3 Data'!$D$4:$D$207=D188)*('Q3 Data'!$B$4:$B$207="Challan")*('Q3 Data'!$H$4:$H$207&lt;&gt;""))+SUMPRODUCT(('Q4 Data'!$D$4:$D$207=D188)*('Q4 Data'!$B$4:$B$207="Challan")*('Q4 Data'!$H$4:$H$207&lt;&gt;"")))&gt;0,(SUMPRODUCT(('Q1 Data'!$D$4:$D$207=D188)*('Q1 Data'!$B$4:$B$207="Challan")*('Q1 Data'!$H$4:$H$207=Z188))+SUMPRODUCT(('Q2 Data'!$D$4:$D$207=D188)*('Q2 Data'!$B$4:$B$207="Challan")*('Q2 Data'!$H$4:$H$207=Z188))+SUMPRODUCT(('Q3 Data'!$D$4:$D$207=D188)*('Q3 Data'!$B$4:$B$207="Challan")*('Q3 Data'!$H$4:$H$207=Z188))+SUMPRODUCT(('Q4 Data'!$D$4:$D$207=D188)*('Q4 Data'!$B$4:$B$207="Challan")*('Q4 Data'!$H$4:$H$207=Z188)))=0))</f>
      </c>
    </row>
    <row r="189" spans="1:44" x14ac:dyDescent="0.25">
      <c r="A189" s="20">
        <f>IF($B189="Entry",COUNTIF($B$4:$B189,"Entry"),"")</f>
      </c>
      <c r="B189" s="21"/>
      <c r="C189" s="22"/>
      <c r="D189" s="22"/>
      <c r="E189" s="23">
        <f>IF($B189&lt;&gt;"Challan","",IF(ROUND(AN189-AO189,2)&gt;0,"Over-applied",IF(ROUND(AN189-AO189,2)=0,"Fully Utilised","Unconsumed")))</f>
      </c>
      <c r="F189" s="24"/>
      <c r="G189" s="25"/>
      <c r="H189" s="25"/>
      <c r="I189" s="26"/>
      <c r="J189" s="26"/>
      <c r="K189" s="26"/>
      <c r="L189" s="26"/>
      <c r="M189" s="26"/>
      <c r="N189" s="26"/>
      <c r="O189" s="26"/>
      <c r="P189" s="27">
        <f>IF($B189&lt;&gt;"Challan","",I189+J189+K189+L189+M189+N189)</f>
      </c>
      <c r="Q189" s="25"/>
      <c r="R189" s="25"/>
      <c r="S189" s="25"/>
      <c r="T189" s="25"/>
      <c r="U189" s="25"/>
      <c r="V189" s="28"/>
      <c r="W189" s="28"/>
      <c r="X189" s="23">
        <f>IF($B189="Entry",IF(AND(LEN(TRIM(UPPER(W189)))=10,CODE(MID(TRIM(UPPER(W189)),1,1))&gt;=65,CODE(MID(TRIM(UPPER(W189)),1,1))&lt;=90,CODE(MID(TRIM(UPPER(W189)),2,1))&gt;=65,CODE(MID(TRIM(UPPER(W189)),2,1))&lt;=90,CODE(MID(TRIM(UPPER(W189)),3,1))&gt;=65,CODE(MID(TRIM(UPPER(W189)),3,1))&lt;=90,CODE(MID(TRIM(UPPER(W189)),4,1))&gt;=65,CODE(MID(TRIM(UPPER(W189)),4,1))&lt;=90,CODE(MID(TRIM(UPPER(W189)),5,1))&gt;=65,CODE(MID(TRIM(UPPER(W189)),5,1))&lt;=90,CODE(MID(TRIM(UPPER(W189)),10,1))&gt;=65,CODE(MID(TRIM(UPPER(W189)),10,1))&lt;=90,CODE(MID(TRIM(UPPER(W189)),6,1))&gt;=48,CODE(MID(TRIM(UPPER(W189)),6,1))&lt;=57,CODE(MID(TRIM(UPPER(W189)),7,1))&gt;=48,CODE(MID(TRIM(UPPER(W189)),7,1))&lt;=57,CODE(MID(TRIM(UPPER(W189)),8,1))&gt;=48,CODE(MID(TRIM(UPPER(W189)),8,1))&lt;=57,CODE(MID(TRIM(UPPER(W189)),9,1))&gt;=48,CODE(MID(TRIM(UPPER(W189)),9,1))&lt;=57),"N","Y"),IF($B189="Challan","",IF(W189&lt;&gt;"","◄ Set Row Type","")))</f>
      </c>
      <c r="Y189" s="23">
        <f>IF($B189="Entry",IF(LEN(W189)&lt;4,"",IF(UPPER(MID(W189,4,1))="P","Individual",IF(UPPER(MID(W189,4,1))="H","HUF",IF(UPPER(MID(W189,4,1))="C","Company",IF(UPPER(MID(W189,4,1))="F","Firm",IF(UPPER(MID(W189,4,1))="L","LLP",IF(UPPER(MID(W189,4,1))="T","Trust",IF(UPPER(MID(W189,4,1))="A","AOP","")))))))),IF($B189="Challan","",IF(W189&lt;&gt;"","◄ Set Row Type","")))</f>
      </c>
      <c r="Z189" s="28"/>
      <c r="AA189" s="29">
        <f>IF($B189&lt;&gt;"Entry","",IF(Z189="","",IF(X189="Y",SUMPRODUCT(('Rate Lookup'!$A$1:$A$37=Z189)*'Rate Lookup'!$D$1:$D$37),IF(OR(Y189="Individual",Y189="HUF"),SUMPRODUCT(('Rate Lookup'!$A$1:$A$37=Z189)*'Rate Lookup'!$B$1:$B$37),SUMPRODUCT(('Rate Lookup'!$A$1:$A$37=Z189)*'Rate Lookup'!$C$1:$C$37)))))</f>
      </c>
      <c r="AB189" s="30"/>
      <c r="AC189" s="31"/>
      <c r="AD189" s="27">
        <f>IF($B189&lt;&gt;"Entry","",ROUND(AC189*AA189/100,0))</f>
      </c>
      <c r="AE189" s="27">
        <f>IF($B189&lt;&gt;"Entry","",0)</f>
      </c>
      <c r="AF189" s="27">
        <f>IF($B189&lt;&gt;"Entry","",0)</f>
      </c>
      <c r="AG189" s="27">
        <f>IF($B189&lt;&gt;"Entry","",IF(OR(AD189=0,AB189="",AQ189="",AQ189&lt;=0),0,IF(AQ189&lt;=DATE(YEAR(AB189),MONTH(AB189)+1,7),0,ROUND(AD189*0.015*((YEAR(AQ189)-YEAR(AB189))*12+(MONTH(AQ189)-MONTH(AB189))+1),0))))</f>
      </c>
      <c r="AH189" s="27">
        <f>IF($B189&lt;&gt;"Entry","",0)</f>
      </c>
      <c r="AI189" s="28"/>
      <c r="AJ189" s="28"/>
      <c r="AK189" s="32"/>
      <c r="AL189" s="28"/>
      <c r="AM189" s="28"/>
      <c r="AN189" s="27">
        <f>IF($B189&lt;&gt;"Challan","",SUMIF('Q1 Data'!$D$4:$D$207,D189,'Q1 Data'!$AD$4:$AD$207)+SUMIF('Q1 Data'!$D$4:$D$207,D189,'Q1 Data'!$AG$4:$AG$207)+SUMIF('Q1 Data'!$D$4:$D$207,D189,'Q1 Data'!$AE$4:$AE$207)+SUMIF('Q2 Data'!$D$4:$D$207,D189,'Q2 Data'!$AD$4:$AD$207)+SUMIF('Q2 Data'!$D$4:$D$207,D189,'Q2 Data'!$AG$4:$AG$207)+SUMIF('Q2 Data'!$D$4:$D$207,D189,'Q2 Data'!$AE$4:$AE$207)+SUMIF('Q3 Data'!$D$4:$D$207,D189,'Q3 Data'!$AD$4:$AD$207)+SUMIF('Q3 Data'!$D$4:$D$207,D189,'Q3 Data'!$AG$4:$AG$207)+SUMIF('Q3 Data'!$D$4:$D$207,D189,'Q3 Data'!$AE$4:$AE$207)+SUMIF('Q4 Data'!$D$4:$D$207,D189,'Q4 Data'!$AD$4:$AD$207)+SUMIF('Q4 Data'!$D$4:$D$207,D189,'Q4 Data'!$AG$4:$AG$207)+SUMIF('Q4 Data'!$D$4:$D$207,D189,'Q4 Data'!$AE$4:$AE$207))</f>
      </c>
      <c r="AO189" s="27">
        <f>IF($B189&lt;&gt;"Challan","",P189-N189)</f>
      </c>
      <c r="AP189" s="27">
        <f>IF($B189&lt;&gt;"Challan","",MAX(0,AO189-AN189))</f>
      </c>
      <c r="AQ189" s="33">
        <f>IF($B189&lt;&gt;"Entry","",SUMPRODUCT(('Q1 Data'!$D$4:$D$207=D189)*('Q1 Data'!$B$4:$B$207="Challan")*'Q1 Data'!$F$4:$F$207)+SUMPRODUCT(('Q2 Data'!$D$4:$D$207=D189)*('Q2 Data'!$B$4:$B$207="Challan")*'Q2 Data'!$F$4:$F$207)+SUMPRODUCT(('Q3 Data'!$D$4:$D$207=D189)*('Q3 Data'!$B$4:$B$207="Challan")*'Q3 Data'!$F$4:$F$207)+SUMPRODUCT(('Q4 Data'!$D$4:$D$207=D189)*('Q4 Data'!$B$4:$B$207="Challan")*'Q4 Data'!$F$4:$F$207))</f>
      </c>
      <c r="AR189" s="34">
        <f>IF(OR($B189&lt;&gt;"Entry",Z189=""),FALSE,AND((SUMPRODUCT(('Q1 Data'!$D$4:$D$207=D189)*('Q1 Data'!$B$4:$B$207="Challan")*('Q1 Data'!$H$4:$H$207&lt;&gt;""))+SUMPRODUCT(('Q2 Data'!$D$4:$D$207=D189)*('Q2 Data'!$B$4:$B$207="Challan")*('Q2 Data'!$H$4:$H$207&lt;&gt;""))+SUMPRODUCT(('Q3 Data'!$D$4:$D$207=D189)*('Q3 Data'!$B$4:$B$207="Challan")*('Q3 Data'!$H$4:$H$207&lt;&gt;""))+SUMPRODUCT(('Q4 Data'!$D$4:$D$207=D189)*('Q4 Data'!$B$4:$B$207="Challan")*('Q4 Data'!$H$4:$H$207&lt;&gt;"")))&gt;0,(SUMPRODUCT(('Q1 Data'!$D$4:$D$207=D189)*('Q1 Data'!$B$4:$B$207="Challan")*('Q1 Data'!$H$4:$H$207=Z189))+SUMPRODUCT(('Q2 Data'!$D$4:$D$207=D189)*('Q2 Data'!$B$4:$B$207="Challan")*('Q2 Data'!$H$4:$H$207=Z189))+SUMPRODUCT(('Q3 Data'!$D$4:$D$207=D189)*('Q3 Data'!$B$4:$B$207="Challan")*('Q3 Data'!$H$4:$H$207=Z189))+SUMPRODUCT(('Q4 Data'!$D$4:$D$207=D189)*('Q4 Data'!$B$4:$B$207="Challan")*('Q4 Data'!$H$4:$H$207=Z189)))=0))</f>
      </c>
    </row>
    <row r="190" spans="1:44" x14ac:dyDescent="0.25">
      <c r="A190" s="20">
        <f>IF($B190="Entry",COUNTIF($B$4:$B190,"Entry"),"")</f>
      </c>
      <c r="B190" s="21"/>
      <c r="C190" s="22"/>
      <c r="D190" s="22"/>
      <c r="E190" s="23">
        <f>IF($B190&lt;&gt;"Challan","",IF(ROUND(AN190-AO190,2)&gt;0,"Over-applied",IF(ROUND(AN190-AO190,2)=0,"Fully Utilised","Unconsumed")))</f>
      </c>
      <c r="F190" s="24"/>
      <c r="G190" s="25"/>
      <c r="H190" s="25"/>
      <c r="I190" s="26"/>
      <c r="J190" s="26"/>
      <c r="K190" s="26"/>
      <c r="L190" s="26"/>
      <c r="M190" s="26"/>
      <c r="N190" s="26"/>
      <c r="O190" s="26"/>
      <c r="P190" s="27">
        <f>IF($B190&lt;&gt;"Challan","",I190+J190+K190+L190+M190+N190)</f>
      </c>
      <c r="Q190" s="25"/>
      <c r="R190" s="25"/>
      <c r="S190" s="25"/>
      <c r="T190" s="25"/>
      <c r="U190" s="25"/>
      <c r="V190" s="28"/>
      <c r="W190" s="28"/>
      <c r="X190" s="23">
        <f>IF($B190="Entry",IF(AND(LEN(TRIM(UPPER(W190)))=10,CODE(MID(TRIM(UPPER(W190)),1,1))&gt;=65,CODE(MID(TRIM(UPPER(W190)),1,1))&lt;=90,CODE(MID(TRIM(UPPER(W190)),2,1))&gt;=65,CODE(MID(TRIM(UPPER(W190)),2,1))&lt;=90,CODE(MID(TRIM(UPPER(W190)),3,1))&gt;=65,CODE(MID(TRIM(UPPER(W190)),3,1))&lt;=90,CODE(MID(TRIM(UPPER(W190)),4,1))&gt;=65,CODE(MID(TRIM(UPPER(W190)),4,1))&lt;=90,CODE(MID(TRIM(UPPER(W190)),5,1))&gt;=65,CODE(MID(TRIM(UPPER(W190)),5,1))&lt;=90,CODE(MID(TRIM(UPPER(W190)),10,1))&gt;=65,CODE(MID(TRIM(UPPER(W190)),10,1))&lt;=90,CODE(MID(TRIM(UPPER(W190)),6,1))&gt;=48,CODE(MID(TRIM(UPPER(W190)),6,1))&lt;=57,CODE(MID(TRIM(UPPER(W190)),7,1))&gt;=48,CODE(MID(TRIM(UPPER(W190)),7,1))&lt;=57,CODE(MID(TRIM(UPPER(W190)),8,1))&gt;=48,CODE(MID(TRIM(UPPER(W190)),8,1))&lt;=57,CODE(MID(TRIM(UPPER(W190)),9,1))&gt;=48,CODE(MID(TRIM(UPPER(W190)),9,1))&lt;=57),"N","Y"),IF($B190="Challan","",IF(W190&lt;&gt;"","◄ Set Row Type","")))</f>
      </c>
      <c r="Y190" s="23">
        <f>IF($B190="Entry",IF(LEN(W190)&lt;4,"",IF(UPPER(MID(W190,4,1))="P","Individual",IF(UPPER(MID(W190,4,1))="H","HUF",IF(UPPER(MID(W190,4,1))="C","Company",IF(UPPER(MID(W190,4,1))="F","Firm",IF(UPPER(MID(W190,4,1))="L","LLP",IF(UPPER(MID(W190,4,1))="T","Trust",IF(UPPER(MID(W190,4,1))="A","AOP","")))))))),IF($B190="Challan","",IF(W190&lt;&gt;"","◄ Set Row Type","")))</f>
      </c>
      <c r="Z190" s="28"/>
      <c r="AA190" s="29">
        <f>IF($B190&lt;&gt;"Entry","",IF(Z190="","",IF(X190="Y",SUMPRODUCT(('Rate Lookup'!$A$1:$A$37=Z190)*'Rate Lookup'!$D$1:$D$37),IF(OR(Y190="Individual",Y190="HUF"),SUMPRODUCT(('Rate Lookup'!$A$1:$A$37=Z190)*'Rate Lookup'!$B$1:$B$37),SUMPRODUCT(('Rate Lookup'!$A$1:$A$37=Z190)*'Rate Lookup'!$C$1:$C$37)))))</f>
      </c>
      <c r="AB190" s="30"/>
      <c r="AC190" s="31"/>
      <c r="AD190" s="27">
        <f>IF($B190&lt;&gt;"Entry","",ROUND(AC190*AA190/100,0))</f>
      </c>
      <c r="AE190" s="27">
        <f>IF($B190&lt;&gt;"Entry","",0)</f>
      </c>
      <c r="AF190" s="27">
        <f>IF($B190&lt;&gt;"Entry","",0)</f>
      </c>
      <c r="AG190" s="27">
        <f>IF($B190&lt;&gt;"Entry","",IF(OR(AD190=0,AB190="",AQ190="",AQ190&lt;=0),0,IF(AQ190&lt;=DATE(YEAR(AB190),MONTH(AB190)+1,7),0,ROUND(AD190*0.015*((YEAR(AQ190)-YEAR(AB190))*12+(MONTH(AQ190)-MONTH(AB190))+1),0))))</f>
      </c>
      <c r="AH190" s="27">
        <f>IF($B190&lt;&gt;"Entry","",0)</f>
      </c>
      <c r="AI190" s="28"/>
      <c r="AJ190" s="28"/>
      <c r="AK190" s="32"/>
      <c r="AL190" s="28"/>
      <c r="AM190" s="28"/>
      <c r="AN190" s="27">
        <f>IF($B190&lt;&gt;"Challan","",SUMIF('Q1 Data'!$D$4:$D$207,D190,'Q1 Data'!$AD$4:$AD$207)+SUMIF('Q1 Data'!$D$4:$D$207,D190,'Q1 Data'!$AG$4:$AG$207)+SUMIF('Q1 Data'!$D$4:$D$207,D190,'Q1 Data'!$AE$4:$AE$207)+SUMIF('Q2 Data'!$D$4:$D$207,D190,'Q2 Data'!$AD$4:$AD$207)+SUMIF('Q2 Data'!$D$4:$D$207,D190,'Q2 Data'!$AG$4:$AG$207)+SUMIF('Q2 Data'!$D$4:$D$207,D190,'Q2 Data'!$AE$4:$AE$207)+SUMIF('Q3 Data'!$D$4:$D$207,D190,'Q3 Data'!$AD$4:$AD$207)+SUMIF('Q3 Data'!$D$4:$D$207,D190,'Q3 Data'!$AG$4:$AG$207)+SUMIF('Q3 Data'!$D$4:$D$207,D190,'Q3 Data'!$AE$4:$AE$207)+SUMIF('Q4 Data'!$D$4:$D$207,D190,'Q4 Data'!$AD$4:$AD$207)+SUMIF('Q4 Data'!$D$4:$D$207,D190,'Q4 Data'!$AG$4:$AG$207)+SUMIF('Q4 Data'!$D$4:$D$207,D190,'Q4 Data'!$AE$4:$AE$207))</f>
      </c>
      <c r="AO190" s="27">
        <f>IF($B190&lt;&gt;"Challan","",P190-N190)</f>
      </c>
      <c r="AP190" s="27">
        <f>IF($B190&lt;&gt;"Challan","",MAX(0,AO190-AN190))</f>
      </c>
      <c r="AQ190" s="33">
        <f>IF($B190&lt;&gt;"Entry","",SUMPRODUCT(('Q1 Data'!$D$4:$D$207=D190)*('Q1 Data'!$B$4:$B$207="Challan")*'Q1 Data'!$F$4:$F$207)+SUMPRODUCT(('Q2 Data'!$D$4:$D$207=D190)*('Q2 Data'!$B$4:$B$207="Challan")*'Q2 Data'!$F$4:$F$207)+SUMPRODUCT(('Q3 Data'!$D$4:$D$207=D190)*('Q3 Data'!$B$4:$B$207="Challan")*'Q3 Data'!$F$4:$F$207)+SUMPRODUCT(('Q4 Data'!$D$4:$D$207=D190)*('Q4 Data'!$B$4:$B$207="Challan")*'Q4 Data'!$F$4:$F$207))</f>
      </c>
      <c r="AR190" s="34">
        <f>IF(OR($B190&lt;&gt;"Entry",Z190=""),FALSE,AND((SUMPRODUCT(('Q1 Data'!$D$4:$D$207=D190)*('Q1 Data'!$B$4:$B$207="Challan")*('Q1 Data'!$H$4:$H$207&lt;&gt;""))+SUMPRODUCT(('Q2 Data'!$D$4:$D$207=D190)*('Q2 Data'!$B$4:$B$207="Challan")*('Q2 Data'!$H$4:$H$207&lt;&gt;""))+SUMPRODUCT(('Q3 Data'!$D$4:$D$207=D190)*('Q3 Data'!$B$4:$B$207="Challan")*('Q3 Data'!$H$4:$H$207&lt;&gt;""))+SUMPRODUCT(('Q4 Data'!$D$4:$D$207=D190)*('Q4 Data'!$B$4:$B$207="Challan")*('Q4 Data'!$H$4:$H$207&lt;&gt;"")))&gt;0,(SUMPRODUCT(('Q1 Data'!$D$4:$D$207=D190)*('Q1 Data'!$B$4:$B$207="Challan")*('Q1 Data'!$H$4:$H$207=Z190))+SUMPRODUCT(('Q2 Data'!$D$4:$D$207=D190)*('Q2 Data'!$B$4:$B$207="Challan")*('Q2 Data'!$H$4:$H$207=Z190))+SUMPRODUCT(('Q3 Data'!$D$4:$D$207=D190)*('Q3 Data'!$B$4:$B$207="Challan")*('Q3 Data'!$H$4:$H$207=Z190))+SUMPRODUCT(('Q4 Data'!$D$4:$D$207=D190)*('Q4 Data'!$B$4:$B$207="Challan")*('Q4 Data'!$H$4:$H$207=Z190)))=0))</f>
      </c>
    </row>
    <row r="191" spans="1:44" x14ac:dyDescent="0.25">
      <c r="A191" s="20">
        <f>IF($B191="Entry",COUNTIF($B$4:$B191,"Entry"),"")</f>
      </c>
      <c r="B191" s="21"/>
      <c r="C191" s="22"/>
      <c r="D191" s="22"/>
      <c r="E191" s="23">
        <f>IF($B191&lt;&gt;"Challan","",IF(ROUND(AN191-AO191,2)&gt;0,"Over-applied",IF(ROUND(AN191-AO191,2)=0,"Fully Utilised","Unconsumed")))</f>
      </c>
      <c r="F191" s="24"/>
      <c r="G191" s="25"/>
      <c r="H191" s="25"/>
      <c r="I191" s="26"/>
      <c r="J191" s="26"/>
      <c r="K191" s="26"/>
      <c r="L191" s="26"/>
      <c r="M191" s="26"/>
      <c r="N191" s="26"/>
      <c r="O191" s="26"/>
      <c r="P191" s="27">
        <f>IF($B191&lt;&gt;"Challan","",I191+J191+K191+L191+M191+N191)</f>
      </c>
      <c r="Q191" s="25"/>
      <c r="R191" s="25"/>
      <c r="S191" s="25"/>
      <c r="T191" s="25"/>
      <c r="U191" s="25"/>
      <c r="V191" s="28"/>
      <c r="W191" s="28"/>
      <c r="X191" s="23">
        <f>IF($B191="Entry",IF(AND(LEN(TRIM(UPPER(W191)))=10,CODE(MID(TRIM(UPPER(W191)),1,1))&gt;=65,CODE(MID(TRIM(UPPER(W191)),1,1))&lt;=90,CODE(MID(TRIM(UPPER(W191)),2,1))&gt;=65,CODE(MID(TRIM(UPPER(W191)),2,1))&lt;=90,CODE(MID(TRIM(UPPER(W191)),3,1))&gt;=65,CODE(MID(TRIM(UPPER(W191)),3,1))&lt;=90,CODE(MID(TRIM(UPPER(W191)),4,1))&gt;=65,CODE(MID(TRIM(UPPER(W191)),4,1))&lt;=90,CODE(MID(TRIM(UPPER(W191)),5,1))&gt;=65,CODE(MID(TRIM(UPPER(W191)),5,1))&lt;=90,CODE(MID(TRIM(UPPER(W191)),10,1))&gt;=65,CODE(MID(TRIM(UPPER(W191)),10,1))&lt;=90,CODE(MID(TRIM(UPPER(W191)),6,1))&gt;=48,CODE(MID(TRIM(UPPER(W191)),6,1))&lt;=57,CODE(MID(TRIM(UPPER(W191)),7,1))&gt;=48,CODE(MID(TRIM(UPPER(W191)),7,1))&lt;=57,CODE(MID(TRIM(UPPER(W191)),8,1))&gt;=48,CODE(MID(TRIM(UPPER(W191)),8,1))&lt;=57,CODE(MID(TRIM(UPPER(W191)),9,1))&gt;=48,CODE(MID(TRIM(UPPER(W191)),9,1))&lt;=57),"N","Y"),IF($B191="Challan","",IF(W191&lt;&gt;"","◄ Set Row Type","")))</f>
      </c>
      <c r="Y191" s="23">
        <f>IF($B191="Entry",IF(LEN(W191)&lt;4,"",IF(UPPER(MID(W191,4,1))="P","Individual",IF(UPPER(MID(W191,4,1))="H","HUF",IF(UPPER(MID(W191,4,1))="C","Company",IF(UPPER(MID(W191,4,1))="F","Firm",IF(UPPER(MID(W191,4,1))="L","LLP",IF(UPPER(MID(W191,4,1))="T","Trust",IF(UPPER(MID(W191,4,1))="A","AOP","")))))))),IF($B191="Challan","",IF(W191&lt;&gt;"","◄ Set Row Type","")))</f>
      </c>
      <c r="Z191" s="28"/>
      <c r="AA191" s="29">
        <f>IF($B191&lt;&gt;"Entry","",IF(Z191="","",IF(X191="Y",SUMPRODUCT(('Rate Lookup'!$A$1:$A$37=Z191)*'Rate Lookup'!$D$1:$D$37),IF(OR(Y191="Individual",Y191="HUF"),SUMPRODUCT(('Rate Lookup'!$A$1:$A$37=Z191)*'Rate Lookup'!$B$1:$B$37),SUMPRODUCT(('Rate Lookup'!$A$1:$A$37=Z191)*'Rate Lookup'!$C$1:$C$37)))))</f>
      </c>
      <c r="AB191" s="30"/>
      <c r="AC191" s="31"/>
      <c r="AD191" s="27">
        <f>IF($B191&lt;&gt;"Entry","",ROUND(AC191*AA191/100,0))</f>
      </c>
      <c r="AE191" s="27">
        <f>IF($B191&lt;&gt;"Entry","",0)</f>
      </c>
      <c r="AF191" s="27">
        <f>IF($B191&lt;&gt;"Entry","",0)</f>
      </c>
      <c r="AG191" s="27">
        <f>IF($B191&lt;&gt;"Entry","",IF(OR(AD191=0,AB191="",AQ191="",AQ191&lt;=0),0,IF(AQ191&lt;=DATE(YEAR(AB191),MONTH(AB191)+1,7),0,ROUND(AD191*0.015*((YEAR(AQ191)-YEAR(AB191))*12+(MONTH(AQ191)-MONTH(AB191))+1),0))))</f>
      </c>
      <c r="AH191" s="27">
        <f>IF($B191&lt;&gt;"Entry","",0)</f>
      </c>
      <c r="AI191" s="28"/>
      <c r="AJ191" s="28"/>
      <c r="AK191" s="32"/>
      <c r="AL191" s="28"/>
      <c r="AM191" s="28"/>
      <c r="AN191" s="27">
        <f>IF($B191&lt;&gt;"Challan","",SUMIF('Q1 Data'!$D$4:$D$207,D191,'Q1 Data'!$AD$4:$AD$207)+SUMIF('Q1 Data'!$D$4:$D$207,D191,'Q1 Data'!$AG$4:$AG$207)+SUMIF('Q1 Data'!$D$4:$D$207,D191,'Q1 Data'!$AE$4:$AE$207)+SUMIF('Q2 Data'!$D$4:$D$207,D191,'Q2 Data'!$AD$4:$AD$207)+SUMIF('Q2 Data'!$D$4:$D$207,D191,'Q2 Data'!$AG$4:$AG$207)+SUMIF('Q2 Data'!$D$4:$D$207,D191,'Q2 Data'!$AE$4:$AE$207)+SUMIF('Q3 Data'!$D$4:$D$207,D191,'Q3 Data'!$AD$4:$AD$207)+SUMIF('Q3 Data'!$D$4:$D$207,D191,'Q3 Data'!$AG$4:$AG$207)+SUMIF('Q3 Data'!$D$4:$D$207,D191,'Q3 Data'!$AE$4:$AE$207)+SUMIF('Q4 Data'!$D$4:$D$207,D191,'Q4 Data'!$AD$4:$AD$207)+SUMIF('Q4 Data'!$D$4:$D$207,D191,'Q4 Data'!$AG$4:$AG$207)+SUMIF('Q4 Data'!$D$4:$D$207,D191,'Q4 Data'!$AE$4:$AE$207))</f>
      </c>
      <c r="AO191" s="27">
        <f>IF($B191&lt;&gt;"Challan","",P191-N191)</f>
      </c>
      <c r="AP191" s="27">
        <f>IF($B191&lt;&gt;"Challan","",MAX(0,AO191-AN191))</f>
      </c>
      <c r="AQ191" s="33">
        <f>IF($B191&lt;&gt;"Entry","",SUMPRODUCT(('Q1 Data'!$D$4:$D$207=D191)*('Q1 Data'!$B$4:$B$207="Challan")*'Q1 Data'!$F$4:$F$207)+SUMPRODUCT(('Q2 Data'!$D$4:$D$207=D191)*('Q2 Data'!$B$4:$B$207="Challan")*'Q2 Data'!$F$4:$F$207)+SUMPRODUCT(('Q3 Data'!$D$4:$D$207=D191)*('Q3 Data'!$B$4:$B$207="Challan")*'Q3 Data'!$F$4:$F$207)+SUMPRODUCT(('Q4 Data'!$D$4:$D$207=D191)*('Q4 Data'!$B$4:$B$207="Challan")*'Q4 Data'!$F$4:$F$207))</f>
      </c>
      <c r="AR191" s="34">
        <f>IF(OR($B191&lt;&gt;"Entry",Z191=""),FALSE,AND((SUMPRODUCT(('Q1 Data'!$D$4:$D$207=D191)*('Q1 Data'!$B$4:$B$207="Challan")*('Q1 Data'!$H$4:$H$207&lt;&gt;""))+SUMPRODUCT(('Q2 Data'!$D$4:$D$207=D191)*('Q2 Data'!$B$4:$B$207="Challan")*('Q2 Data'!$H$4:$H$207&lt;&gt;""))+SUMPRODUCT(('Q3 Data'!$D$4:$D$207=D191)*('Q3 Data'!$B$4:$B$207="Challan")*('Q3 Data'!$H$4:$H$207&lt;&gt;""))+SUMPRODUCT(('Q4 Data'!$D$4:$D$207=D191)*('Q4 Data'!$B$4:$B$207="Challan")*('Q4 Data'!$H$4:$H$207&lt;&gt;"")))&gt;0,(SUMPRODUCT(('Q1 Data'!$D$4:$D$207=D191)*('Q1 Data'!$B$4:$B$207="Challan")*('Q1 Data'!$H$4:$H$207=Z191))+SUMPRODUCT(('Q2 Data'!$D$4:$D$207=D191)*('Q2 Data'!$B$4:$B$207="Challan")*('Q2 Data'!$H$4:$H$207=Z191))+SUMPRODUCT(('Q3 Data'!$D$4:$D$207=D191)*('Q3 Data'!$B$4:$B$207="Challan")*('Q3 Data'!$H$4:$H$207=Z191))+SUMPRODUCT(('Q4 Data'!$D$4:$D$207=D191)*('Q4 Data'!$B$4:$B$207="Challan")*('Q4 Data'!$H$4:$H$207=Z191)))=0))</f>
      </c>
    </row>
    <row r="192" spans="1:44" x14ac:dyDescent="0.25">
      <c r="A192" s="20">
        <f>IF($B192="Entry",COUNTIF($B$4:$B192,"Entry"),"")</f>
      </c>
      <c r="B192" s="21"/>
      <c r="C192" s="22"/>
      <c r="D192" s="22"/>
      <c r="E192" s="23">
        <f>IF($B192&lt;&gt;"Challan","",IF(ROUND(AN192-AO192,2)&gt;0,"Over-applied",IF(ROUND(AN192-AO192,2)=0,"Fully Utilised","Unconsumed")))</f>
      </c>
      <c r="F192" s="24"/>
      <c r="G192" s="25"/>
      <c r="H192" s="25"/>
      <c r="I192" s="26"/>
      <c r="J192" s="26"/>
      <c r="K192" s="26"/>
      <c r="L192" s="26"/>
      <c r="M192" s="26"/>
      <c r="N192" s="26"/>
      <c r="O192" s="26"/>
      <c r="P192" s="27">
        <f>IF($B192&lt;&gt;"Challan","",I192+J192+K192+L192+M192+N192)</f>
      </c>
      <c r="Q192" s="25"/>
      <c r="R192" s="25"/>
      <c r="S192" s="25"/>
      <c r="T192" s="25"/>
      <c r="U192" s="25"/>
      <c r="V192" s="28"/>
      <c r="W192" s="28"/>
      <c r="X192" s="23">
        <f>IF($B192="Entry",IF(AND(LEN(TRIM(UPPER(W192)))=10,CODE(MID(TRIM(UPPER(W192)),1,1))&gt;=65,CODE(MID(TRIM(UPPER(W192)),1,1))&lt;=90,CODE(MID(TRIM(UPPER(W192)),2,1))&gt;=65,CODE(MID(TRIM(UPPER(W192)),2,1))&lt;=90,CODE(MID(TRIM(UPPER(W192)),3,1))&gt;=65,CODE(MID(TRIM(UPPER(W192)),3,1))&lt;=90,CODE(MID(TRIM(UPPER(W192)),4,1))&gt;=65,CODE(MID(TRIM(UPPER(W192)),4,1))&lt;=90,CODE(MID(TRIM(UPPER(W192)),5,1))&gt;=65,CODE(MID(TRIM(UPPER(W192)),5,1))&lt;=90,CODE(MID(TRIM(UPPER(W192)),10,1))&gt;=65,CODE(MID(TRIM(UPPER(W192)),10,1))&lt;=90,CODE(MID(TRIM(UPPER(W192)),6,1))&gt;=48,CODE(MID(TRIM(UPPER(W192)),6,1))&lt;=57,CODE(MID(TRIM(UPPER(W192)),7,1))&gt;=48,CODE(MID(TRIM(UPPER(W192)),7,1))&lt;=57,CODE(MID(TRIM(UPPER(W192)),8,1))&gt;=48,CODE(MID(TRIM(UPPER(W192)),8,1))&lt;=57,CODE(MID(TRIM(UPPER(W192)),9,1))&gt;=48,CODE(MID(TRIM(UPPER(W192)),9,1))&lt;=57),"N","Y"),IF($B192="Challan","",IF(W192&lt;&gt;"","◄ Set Row Type","")))</f>
      </c>
      <c r="Y192" s="23">
        <f>IF($B192="Entry",IF(LEN(W192)&lt;4,"",IF(UPPER(MID(W192,4,1))="P","Individual",IF(UPPER(MID(W192,4,1))="H","HUF",IF(UPPER(MID(W192,4,1))="C","Company",IF(UPPER(MID(W192,4,1))="F","Firm",IF(UPPER(MID(W192,4,1))="L","LLP",IF(UPPER(MID(W192,4,1))="T","Trust",IF(UPPER(MID(W192,4,1))="A","AOP","")))))))),IF($B192="Challan","",IF(W192&lt;&gt;"","◄ Set Row Type","")))</f>
      </c>
      <c r="Z192" s="28"/>
      <c r="AA192" s="29">
        <f>IF($B192&lt;&gt;"Entry","",IF(Z192="","",IF(X192="Y",SUMPRODUCT(('Rate Lookup'!$A$1:$A$37=Z192)*'Rate Lookup'!$D$1:$D$37),IF(OR(Y192="Individual",Y192="HUF"),SUMPRODUCT(('Rate Lookup'!$A$1:$A$37=Z192)*'Rate Lookup'!$B$1:$B$37),SUMPRODUCT(('Rate Lookup'!$A$1:$A$37=Z192)*'Rate Lookup'!$C$1:$C$37)))))</f>
      </c>
      <c r="AB192" s="30"/>
      <c r="AC192" s="31"/>
      <c r="AD192" s="27">
        <f>IF($B192&lt;&gt;"Entry","",ROUND(AC192*AA192/100,0))</f>
      </c>
      <c r="AE192" s="27">
        <f>IF($B192&lt;&gt;"Entry","",0)</f>
      </c>
      <c r="AF192" s="27">
        <f>IF($B192&lt;&gt;"Entry","",0)</f>
      </c>
      <c r="AG192" s="27">
        <f>IF($B192&lt;&gt;"Entry","",IF(OR(AD192=0,AB192="",AQ192="",AQ192&lt;=0),0,IF(AQ192&lt;=DATE(YEAR(AB192),MONTH(AB192)+1,7),0,ROUND(AD192*0.015*((YEAR(AQ192)-YEAR(AB192))*12+(MONTH(AQ192)-MONTH(AB192))+1),0))))</f>
      </c>
      <c r="AH192" s="27">
        <f>IF($B192&lt;&gt;"Entry","",0)</f>
      </c>
      <c r="AI192" s="28"/>
      <c r="AJ192" s="28"/>
      <c r="AK192" s="32"/>
      <c r="AL192" s="28"/>
      <c r="AM192" s="28"/>
      <c r="AN192" s="27">
        <f>IF($B192&lt;&gt;"Challan","",SUMIF('Q1 Data'!$D$4:$D$207,D192,'Q1 Data'!$AD$4:$AD$207)+SUMIF('Q1 Data'!$D$4:$D$207,D192,'Q1 Data'!$AG$4:$AG$207)+SUMIF('Q1 Data'!$D$4:$D$207,D192,'Q1 Data'!$AE$4:$AE$207)+SUMIF('Q2 Data'!$D$4:$D$207,D192,'Q2 Data'!$AD$4:$AD$207)+SUMIF('Q2 Data'!$D$4:$D$207,D192,'Q2 Data'!$AG$4:$AG$207)+SUMIF('Q2 Data'!$D$4:$D$207,D192,'Q2 Data'!$AE$4:$AE$207)+SUMIF('Q3 Data'!$D$4:$D$207,D192,'Q3 Data'!$AD$4:$AD$207)+SUMIF('Q3 Data'!$D$4:$D$207,D192,'Q3 Data'!$AG$4:$AG$207)+SUMIF('Q3 Data'!$D$4:$D$207,D192,'Q3 Data'!$AE$4:$AE$207)+SUMIF('Q4 Data'!$D$4:$D$207,D192,'Q4 Data'!$AD$4:$AD$207)+SUMIF('Q4 Data'!$D$4:$D$207,D192,'Q4 Data'!$AG$4:$AG$207)+SUMIF('Q4 Data'!$D$4:$D$207,D192,'Q4 Data'!$AE$4:$AE$207))</f>
      </c>
      <c r="AO192" s="27">
        <f>IF($B192&lt;&gt;"Challan","",P192-N192)</f>
      </c>
      <c r="AP192" s="27">
        <f>IF($B192&lt;&gt;"Challan","",MAX(0,AO192-AN192))</f>
      </c>
      <c r="AQ192" s="33">
        <f>IF($B192&lt;&gt;"Entry","",SUMPRODUCT(('Q1 Data'!$D$4:$D$207=D192)*('Q1 Data'!$B$4:$B$207="Challan")*'Q1 Data'!$F$4:$F$207)+SUMPRODUCT(('Q2 Data'!$D$4:$D$207=D192)*('Q2 Data'!$B$4:$B$207="Challan")*'Q2 Data'!$F$4:$F$207)+SUMPRODUCT(('Q3 Data'!$D$4:$D$207=D192)*('Q3 Data'!$B$4:$B$207="Challan")*'Q3 Data'!$F$4:$F$207)+SUMPRODUCT(('Q4 Data'!$D$4:$D$207=D192)*('Q4 Data'!$B$4:$B$207="Challan")*'Q4 Data'!$F$4:$F$207))</f>
      </c>
      <c r="AR192" s="34">
        <f>IF(OR($B192&lt;&gt;"Entry",Z192=""),FALSE,AND((SUMPRODUCT(('Q1 Data'!$D$4:$D$207=D192)*('Q1 Data'!$B$4:$B$207="Challan")*('Q1 Data'!$H$4:$H$207&lt;&gt;""))+SUMPRODUCT(('Q2 Data'!$D$4:$D$207=D192)*('Q2 Data'!$B$4:$B$207="Challan")*('Q2 Data'!$H$4:$H$207&lt;&gt;""))+SUMPRODUCT(('Q3 Data'!$D$4:$D$207=D192)*('Q3 Data'!$B$4:$B$207="Challan")*('Q3 Data'!$H$4:$H$207&lt;&gt;""))+SUMPRODUCT(('Q4 Data'!$D$4:$D$207=D192)*('Q4 Data'!$B$4:$B$207="Challan")*('Q4 Data'!$H$4:$H$207&lt;&gt;"")))&gt;0,(SUMPRODUCT(('Q1 Data'!$D$4:$D$207=D192)*('Q1 Data'!$B$4:$B$207="Challan")*('Q1 Data'!$H$4:$H$207=Z192))+SUMPRODUCT(('Q2 Data'!$D$4:$D$207=D192)*('Q2 Data'!$B$4:$B$207="Challan")*('Q2 Data'!$H$4:$H$207=Z192))+SUMPRODUCT(('Q3 Data'!$D$4:$D$207=D192)*('Q3 Data'!$B$4:$B$207="Challan")*('Q3 Data'!$H$4:$H$207=Z192))+SUMPRODUCT(('Q4 Data'!$D$4:$D$207=D192)*('Q4 Data'!$B$4:$B$207="Challan")*('Q4 Data'!$H$4:$H$207=Z192)))=0))</f>
      </c>
    </row>
    <row r="193" spans="1:44" x14ac:dyDescent="0.25">
      <c r="A193" s="20">
        <f>IF($B193="Entry",COUNTIF($B$4:$B193,"Entry"),"")</f>
      </c>
      <c r="B193" s="21"/>
      <c r="C193" s="22"/>
      <c r="D193" s="22"/>
      <c r="E193" s="23">
        <f>IF($B193&lt;&gt;"Challan","",IF(ROUND(AN193-AO193,2)&gt;0,"Over-applied",IF(ROUND(AN193-AO193,2)=0,"Fully Utilised","Unconsumed")))</f>
      </c>
      <c r="F193" s="24"/>
      <c r="G193" s="25"/>
      <c r="H193" s="25"/>
      <c r="I193" s="26"/>
      <c r="J193" s="26"/>
      <c r="K193" s="26"/>
      <c r="L193" s="26"/>
      <c r="M193" s="26"/>
      <c r="N193" s="26"/>
      <c r="O193" s="26"/>
      <c r="P193" s="27">
        <f>IF($B193&lt;&gt;"Challan","",I193+J193+K193+L193+M193+N193)</f>
      </c>
      <c r="Q193" s="25"/>
      <c r="R193" s="25"/>
      <c r="S193" s="25"/>
      <c r="T193" s="25"/>
      <c r="U193" s="25"/>
      <c r="V193" s="28"/>
      <c r="W193" s="28"/>
      <c r="X193" s="23">
        <f>IF($B193="Entry",IF(AND(LEN(TRIM(UPPER(W193)))=10,CODE(MID(TRIM(UPPER(W193)),1,1))&gt;=65,CODE(MID(TRIM(UPPER(W193)),1,1))&lt;=90,CODE(MID(TRIM(UPPER(W193)),2,1))&gt;=65,CODE(MID(TRIM(UPPER(W193)),2,1))&lt;=90,CODE(MID(TRIM(UPPER(W193)),3,1))&gt;=65,CODE(MID(TRIM(UPPER(W193)),3,1))&lt;=90,CODE(MID(TRIM(UPPER(W193)),4,1))&gt;=65,CODE(MID(TRIM(UPPER(W193)),4,1))&lt;=90,CODE(MID(TRIM(UPPER(W193)),5,1))&gt;=65,CODE(MID(TRIM(UPPER(W193)),5,1))&lt;=90,CODE(MID(TRIM(UPPER(W193)),10,1))&gt;=65,CODE(MID(TRIM(UPPER(W193)),10,1))&lt;=90,CODE(MID(TRIM(UPPER(W193)),6,1))&gt;=48,CODE(MID(TRIM(UPPER(W193)),6,1))&lt;=57,CODE(MID(TRIM(UPPER(W193)),7,1))&gt;=48,CODE(MID(TRIM(UPPER(W193)),7,1))&lt;=57,CODE(MID(TRIM(UPPER(W193)),8,1))&gt;=48,CODE(MID(TRIM(UPPER(W193)),8,1))&lt;=57,CODE(MID(TRIM(UPPER(W193)),9,1))&gt;=48,CODE(MID(TRIM(UPPER(W193)),9,1))&lt;=57),"N","Y"),IF($B193="Challan","",IF(W193&lt;&gt;"","◄ Set Row Type","")))</f>
      </c>
      <c r="Y193" s="23">
        <f>IF($B193="Entry",IF(LEN(W193)&lt;4,"",IF(UPPER(MID(W193,4,1))="P","Individual",IF(UPPER(MID(W193,4,1))="H","HUF",IF(UPPER(MID(W193,4,1))="C","Company",IF(UPPER(MID(W193,4,1))="F","Firm",IF(UPPER(MID(W193,4,1))="L","LLP",IF(UPPER(MID(W193,4,1))="T","Trust",IF(UPPER(MID(W193,4,1))="A","AOP","")))))))),IF($B193="Challan","",IF(W193&lt;&gt;"","◄ Set Row Type","")))</f>
      </c>
      <c r="Z193" s="28"/>
      <c r="AA193" s="29">
        <f>IF($B193&lt;&gt;"Entry","",IF(Z193="","",IF(X193="Y",SUMPRODUCT(('Rate Lookup'!$A$1:$A$37=Z193)*'Rate Lookup'!$D$1:$D$37),IF(OR(Y193="Individual",Y193="HUF"),SUMPRODUCT(('Rate Lookup'!$A$1:$A$37=Z193)*'Rate Lookup'!$B$1:$B$37),SUMPRODUCT(('Rate Lookup'!$A$1:$A$37=Z193)*'Rate Lookup'!$C$1:$C$37)))))</f>
      </c>
      <c r="AB193" s="30"/>
      <c r="AC193" s="31"/>
      <c r="AD193" s="27">
        <f>IF($B193&lt;&gt;"Entry","",ROUND(AC193*AA193/100,0))</f>
      </c>
      <c r="AE193" s="27">
        <f>IF($B193&lt;&gt;"Entry","",0)</f>
      </c>
      <c r="AF193" s="27">
        <f>IF($B193&lt;&gt;"Entry","",0)</f>
      </c>
      <c r="AG193" s="27">
        <f>IF($B193&lt;&gt;"Entry","",IF(OR(AD193=0,AB193="",AQ193="",AQ193&lt;=0),0,IF(AQ193&lt;=DATE(YEAR(AB193),MONTH(AB193)+1,7),0,ROUND(AD193*0.015*((YEAR(AQ193)-YEAR(AB193))*12+(MONTH(AQ193)-MONTH(AB193))+1),0))))</f>
      </c>
      <c r="AH193" s="27">
        <f>IF($B193&lt;&gt;"Entry","",0)</f>
      </c>
      <c r="AI193" s="28"/>
      <c r="AJ193" s="28"/>
      <c r="AK193" s="32"/>
      <c r="AL193" s="28"/>
      <c r="AM193" s="28"/>
      <c r="AN193" s="27">
        <f>IF($B193&lt;&gt;"Challan","",SUMIF('Q1 Data'!$D$4:$D$207,D193,'Q1 Data'!$AD$4:$AD$207)+SUMIF('Q1 Data'!$D$4:$D$207,D193,'Q1 Data'!$AG$4:$AG$207)+SUMIF('Q1 Data'!$D$4:$D$207,D193,'Q1 Data'!$AE$4:$AE$207)+SUMIF('Q2 Data'!$D$4:$D$207,D193,'Q2 Data'!$AD$4:$AD$207)+SUMIF('Q2 Data'!$D$4:$D$207,D193,'Q2 Data'!$AG$4:$AG$207)+SUMIF('Q2 Data'!$D$4:$D$207,D193,'Q2 Data'!$AE$4:$AE$207)+SUMIF('Q3 Data'!$D$4:$D$207,D193,'Q3 Data'!$AD$4:$AD$207)+SUMIF('Q3 Data'!$D$4:$D$207,D193,'Q3 Data'!$AG$4:$AG$207)+SUMIF('Q3 Data'!$D$4:$D$207,D193,'Q3 Data'!$AE$4:$AE$207)+SUMIF('Q4 Data'!$D$4:$D$207,D193,'Q4 Data'!$AD$4:$AD$207)+SUMIF('Q4 Data'!$D$4:$D$207,D193,'Q4 Data'!$AG$4:$AG$207)+SUMIF('Q4 Data'!$D$4:$D$207,D193,'Q4 Data'!$AE$4:$AE$207))</f>
      </c>
      <c r="AO193" s="27">
        <f>IF($B193&lt;&gt;"Challan","",P193-N193)</f>
      </c>
      <c r="AP193" s="27">
        <f>IF($B193&lt;&gt;"Challan","",MAX(0,AO193-AN193))</f>
      </c>
      <c r="AQ193" s="33">
        <f>IF($B193&lt;&gt;"Entry","",SUMPRODUCT(('Q1 Data'!$D$4:$D$207=D193)*('Q1 Data'!$B$4:$B$207="Challan")*'Q1 Data'!$F$4:$F$207)+SUMPRODUCT(('Q2 Data'!$D$4:$D$207=D193)*('Q2 Data'!$B$4:$B$207="Challan")*'Q2 Data'!$F$4:$F$207)+SUMPRODUCT(('Q3 Data'!$D$4:$D$207=D193)*('Q3 Data'!$B$4:$B$207="Challan")*'Q3 Data'!$F$4:$F$207)+SUMPRODUCT(('Q4 Data'!$D$4:$D$207=D193)*('Q4 Data'!$B$4:$B$207="Challan")*'Q4 Data'!$F$4:$F$207))</f>
      </c>
      <c r="AR193" s="34">
        <f>IF(OR($B193&lt;&gt;"Entry",Z193=""),FALSE,AND((SUMPRODUCT(('Q1 Data'!$D$4:$D$207=D193)*('Q1 Data'!$B$4:$B$207="Challan")*('Q1 Data'!$H$4:$H$207&lt;&gt;""))+SUMPRODUCT(('Q2 Data'!$D$4:$D$207=D193)*('Q2 Data'!$B$4:$B$207="Challan")*('Q2 Data'!$H$4:$H$207&lt;&gt;""))+SUMPRODUCT(('Q3 Data'!$D$4:$D$207=D193)*('Q3 Data'!$B$4:$B$207="Challan")*('Q3 Data'!$H$4:$H$207&lt;&gt;""))+SUMPRODUCT(('Q4 Data'!$D$4:$D$207=D193)*('Q4 Data'!$B$4:$B$207="Challan")*('Q4 Data'!$H$4:$H$207&lt;&gt;"")))&gt;0,(SUMPRODUCT(('Q1 Data'!$D$4:$D$207=D193)*('Q1 Data'!$B$4:$B$207="Challan")*('Q1 Data'!$H$4:$H$207=Z193))+SUMPRODUCT(('Q2 Data'!$D$4:$D$207=D193)*('Q2 Data'!$B$4:$B$207="Challan")*('Q2 Data'!$H$4:$H$207=Z193))+SUMPRODUCT(('Q3 Data'!$D$4:$D$207=D193)*('Q3 Data'!$B$4:$B$207="Challan")*('Q3 Data'!$H$4:$H$207=Z193))+SUMPRODUCT(('Q4 Data'!$D$4:$D$207=D193)*('Q4 Data'!$B$4:$B$207="Challan")*('Q4 Data'!$H$4:$H$207=Z193)))=0))</f>
      </c>
    </row>
    <row r="194" spans="1:44" x14ac:dyDescent="0.25">
      <c r="A194" s="20">
        <f>IF($B194="Entry",COUNTIF($B$4:$B194,"Entry"),"")</f>
      </c>
      <c r="B194" s="21"/>
      <c r="C194" s="22"/>
      <c r="D194" s="22"/>
      <c r="E194" s="23">
        <f>IF($B194&lt;&gt;"Challan","",IF(ROUND(AN194-AO194,2)&gt;0,"Over-applied",IF(ROUND(AN194-AO194,2)=0,"Fully Utilised","Unconsumed")))</f>
      </c>
      <c r="F194" s="24"/>
      <c r="G194" s="25"/>
      <c r="H194" s="25"/>
      <c r="I194" s="26"/>
      <c r="J194" s="26"/>
      <c r="K194" s="26"/>
      <c r="L194" s="26"/>
      <c r="M194" s="26"/>
      <c r="N194" s="26"/>
      <c r="O194" s="26"/>
      <c r="P194" s="27">
        <f>IF($B194&lt;&gt;"Challan","",I194+J194+K194+L194+M194+N194)</f>
      </c>
      <c r="Q194" s="25"/>
      <c r="R194" s="25"/>
      <c r="S194" s="25"/>
      <c r="T194" s="25"/>
      <c r="U194" s="25"/>
      <c r="V194" s="28"/>
      <c r="W194" s="28"/>
      <c r="X194" s="23">
        <f>IF($B194="Entry",IF(AND(LEN(TRIM(UPPER(W194)))=10,CODE(MID(TRIM(UPPER(W194)),1,1))&gt;=65,CODE(MID(TRIM(UPPER(W194)),1,1))&lt;=90,CODE(MID(TRIM(UPPER(W194)),2,1))&gt;=65,CODE(MID(TRIM(UPPER(W194)),2,1))&lt;=90,CODE(MID(TRIM(UPPER(W194)),3,1))&gt;=65,CODE(MID(TRIM(UPPER(W194)),3,1))&lt;=90,CODE(MID(TRIM(UPPER(W194)),4,1))&gt;=65,CODE(MID(TRIM(UPPER(W194)),4,1))&lt;=90,CODE(MID(TRIM(UPPER(W194)),5,1))&gt;=65,CODE(MID(TRIM(UPPER(W194)),5,1))&lt;=90,CODE(MID(TRIM(UPPER(W194)),10,1))&gt;=65,CODE(MID(TRIM(UPPER(W194)),10,1))&lt;=90,CODE(MID(TRIM(UPPER(W194)),6,1))&gt;=48,CODE(MID(TRIM(UPPER(W194)),6,1))&lt;=57,CODE(MID(TRIM(UPPER(W194)),7,1))&gt;=48,CODE(MID(TRIM(UPPER(W194)),7,1))&lt;=57,CODE(MID(TRIM(UPPER(W194)),8,1))&gt;=48,CODE(MID(TRIM(UPPER(W194)),8,1))&lt;=57,CODE(MID(TRIM(UPPER(W194)),9,1))&gt;=48,CODE(MID(TRIM(UPPER(W194)),9,1))&lt;=57),"N","Y"),IF($B194="Challan","",IF(W194&lt;&gt;"","◄ Set Row Type","")))</f>
      </c>
      <c r="Y194" s="23">
        <f>IF($B194="Entry",IF(LEN(W194)&lt;4,"",IF(UPPER(MID(W194,4,1))="P","Individual",IF(UPPER(MID(W194,4,1))="H","HUF",IF(UPPER(MID(W194,4,1))="C","Company",IF(UPPER(MID(W194,4,1))="F","Firm",IF(UPPER(MID(W194,4,1))="L","LLP",IF(UPPER(MID(W194,4,1))="T","Trust",IF(UPPER(MID(W194,4,1))="A","AOP","")))))))),IF($B194="Challan","",IF(W194&lt;&gt;"","◄ Set Row Type","")))</f>
      </c>
      <c r="Z194" s="28"/>
      <c r="AA194" s="29">
        <f>IF($B194&lt;&gt;"Entry","",IF(Z194="","",IF(X194="Y",SUMPRODUCT(('Rate Lookup'!$A$1:$A$37=Z194)*'Rate Lookup'!$D$1:$D$37),IF(OR(Y194="Individual",Y194="HUF"),SUMPRODUCT(('Rate Lookup'!$A$1:$A$37=Z194)*'Rate Lookup'!$B$1:$B$37),SUMPRODUCT(('Rate Lookup'!$A$1:$A$37=Z194)*'Rate Lookup'!$C$1:$C$37)))))</f>
      </c>
      <c r="AB194" s="30"/>
      <c r="AC194" s="31"/>
      <c r="AD194" s="27">
        <f>IF($B194&lt;&gt;"Entry","",ROUND(AC194*AA194/100,0))</f>
      </c>
      <c r="AE194" s="27">
        <f>IF($B194&lt;&gt;"Entry","",0)</f>
      </c>
      <c r="AF194" s="27">
        <f>IF($B194&lt;&gt;"Entry","",0)</f>
      </c>
      <c r="AG194" s="27">
        <f>IF($B194&lt;&gt;"Entry","",IF(OR(AD194=0,AB194="",AQ194="",AQ194&lt;=0),0,IF(AQ194&lt;=DATE(YEAR(AB194),MONTH(AB194)+1,7),0,ROUND(AD194*0.015*((YEAR(AQ194)-YEAR(AB194))*12+(MONTH(AQ194)-MONTH(AB194))+1),0))))</f>
      </c>
      <c r="AH194" s="27">
        <f>IF($B194&lt;&gt;"Entry","",0)</f>
      </c>
      <c r="AI194" s="28"/>
      <c r="AJ194" s="28"/>
      <c r="AK194" s="32"/>
      <c r="AL194" s="28"/>
      <c r="AM194" s="28"/>
      <c r="AN194" s="27">
        <f>IF($B194&lt;&gt;"Challan","",SUMIF('Q1 Data'!$D$4:$D$207,D194,'Q1 Data'!$AD$4:$AD$207)+SUMIF('Q1 Data'!$D$4:$D$207,D194,'Q1 Data'!$AG$4:$AG$207)+SUMIF('Q1 Data'!$D$4:$D$207,D194,'Q1 Data'!$AE$4:$AE$207)+SUMIF('Q2 Data'!$D$4:$D$207,D194,'Q2 Data'!$AD$4:$AD$207)+SUMIF('Q2 Data'!$D$4:$D$207,D194,'Q2 Data'!$AG$4:$AG$207)+SUMIF('Q2 Data'!$D$4:$D$207,D194,'Q2 Data'!$AE$4:$AE$207)+SUMIF('Q3 Data'!$D$4:$D$207,D194,'Q3 Data'!$AD$4:$AD$207)+SUMIF('Q3 Data'!$D$4:$D$207,D194,'Q3 Data'!$AG$4:$AG$207)+SUMIF('Q3 Data'!$D$4:$D$207,D194,'Q3 Data'!$AE$4:$AE$207)+SUMIF('Q4 Data'!$D$4:$D$207,D194,'Q4 Data'!$AD$4:$AD$207)+SUMIF('Q4 Data'!$D$4:$D$207,D194,'Q4 Data'!$AG$4:$AG$207)+SUMIF('Q4 Data'!$D$4:$D$207,D194,'Q4 Data'!$AE$4:$AE$207))</f>
      </c>
      <c r="AO194" s="27">
        <f>IF($B194&lt;&gt;"Challan","",P194-N194)</f>
      </c>
      <c r="AP194" s="27">
        <f>IF($B194&lt;&gt;"Challan","",MAX(0,AO194-AN194))</f>
      </c>
      <c r="AQ194" s="33">
        <f>IF($B194&lt;&gt;"Entry","",SUMPRODUCT(('Q1 Data'!$D$4:$D$207=D194)*('Q1 Data'!$B$4:$B$207="Challan")*'Q1 Data'!$F$4:$F$207)+SUMPRODUCT(('Q2 Data'!$D$4:$D$207=D194)*('Q2 Data'!$B$4:$B$207="Challan")*'Q2 Data'!$F$4:$F$207)+SUMPRODUCT(('Q3 Data'!$D$4:$D$207=D194)*('Q3 Data'!$B$4:$B$207="Challan")*'Q3 Data'!$F$4:$F$207)+SUMPRODUCT(('Q4 Data'!$D$4:$D$207=D194)*('Q4 Data'!$B$4:$B$207="Challan")*'Q4 Data'!$F$4:$F$207))</f>
      </c>
      <c r="AR194" s="34">
        <f>IF(OR($B194&lt;&gt;"Entry",Z194=""),FALSE,AND((SUMPRODUCT(('Q1 Data'!$D$4:$D$207=D194)*('Q1 Data'!$B$4:$B$207="Challan")*('Q1 Data'!$H$4:$H$207&lt;&gt;""))+SUMPRODUCT(('Q2 Data'!$D$4:$D$207=D194)*('Q2 Data'!$B$4:$B$207="Challan")*('Q2 Data'!$H$4:$H$207&lt;&gt;""))+SUMPRODUCT(('Q3 Data'!$D$4:$D$207=D194)*('Q3 Data'!$B$4:$B$207="Challan")*('Q3 Data'!$H$4:$H$207&lt;&gt;""))+SUMPRODUCT(('Q4 Data'!$D$4:$D$207=D194)*('Q4 Data'!$B$4:$B$207="Challan")*('Q4 Data'!$H$4:$H$207&lt;&gt;"")))&gt;0,(SUMPRODUCT(('Q1 Data'!$D$4:$D$207=D194)*('Q1 Data'!$B$4:$B$207="Challan")*('Q1 Data'!$H$4:$H$207=Z194))+SUMPRODUCT(('Q2 Data'!$D$4:$D$207=D194)*('Q2 Data'!$B$4:$B$207="Challan")*('Q2 Data'!$H$4:$H$207=Z194))+SUMPRODUCT(('Q3 Data'!$D$4:$D$207=D194)*('Q3 Data'!$B$4:$B$207="Challan")*('Q3 Data'!$H$4:$H$207=Z194))+SUMPRODUCT(('Q4 Data'!$D$4:$D$207=D194)*('Q4 Data'!$B$4:$B$207="Challan")*('Q4 Data'!$H$4:$H$207=Z194)))=0))</f>
      </c>
    </row>
    <row r="195" spans="1:44" x14ac:dyDescent="0.25">
      <c r="A195" s="20">
        <f>IF($B195="Entry",COUNTIF($B$4:$B195,"Entry"),"")</f>
      </c>
      <c r="B195" s="21"/>
      <c r="C195" s="22"/>
      <c r="D195" s="22"/>
      <c r="E195" s="23">
        <f>IF($B195&lt;&gt;"Challan","",IF(ROUND(AN195-AO195,2)&gt;0,"Over-applied",IF(ROUND(AN195-AO195,2)=0,"Fully Utilised","Unconsumed")))</f>
      </c>
      <c r="F195" s="24"/>
      <c r="G195" s="25"/>
      <c r="H195" s="25"/>
      <c r="I195" s="26"/>
      <c r="J195" s="26"/>
      <c r="K195" s="26"/>
      <c r="L195" s="26"/>
      <c r="M195" s="26"/>
      <c r="N195" s="26"/>
      <c r="O195" s="26"/>
      <c r="P195" s="27">
        <f>IF($B195&lt;&gt;"Challan","",I195+J195+K195+L195+M195+N195)</f>
      </c>
      <c r="Q195" s="25"/>
      <c r="R195" s="25"/>
      <c r="S195" s="25"/>
      <c r="T195" s="25"/>
      <c r="U195" s="25"/>
      <c r="V195" s="28"/>
      <c r="W195" s="28"/>
      <c r="X195" s="23">
        <f>IF($B195="Entry",IF(AND(LEN(TRIM(UPPER(W195)))=10,CODE(MID(TRIM(UPPER(W195)),1,1))&gt;=65,CODE(MID(TRIM(UPPER(W195)),1,1))&lt;=90,CODE(MID(TRIM(UPPER(W195)),2,1))&gt;=65,CODE(MID(TRIM(UPPER(W195)),2,1))&lt;=90,CODE(MID(TRIM(UPPER(W195)),3,1))&gt;=65,CODE(MID(TRIM(UPPER(W195)),3,1))&lt;=90,CODE(MID(TRIM(UPPER(W195)),4,1))&gt;=65,CODE(MID(TRIM(UPPER(W195)),4,1))&lt;=90,CODE(MID(TRIM(UPPER(W195)),5,1))&gt;=65,CODE(MID(TRIM(UPPER(W195)),5,1))&lt;=90,CODE(MID(TRIM(UPPER(W195)),10,1))&gt;=65,CODE(MID(TRIM(UPPER(W195)),10,1))&lt;=90,CODE(MID(TRIM(UPPER(W195)),6,1))&gt;=48,CODE(MID(TRIM(UPPER(W195)),6,1))&lt;=57,CODE(MID(TRIM(UPPER(W195)),7,1))&gt;=48,CODE(MID(TRIM(UPPER(W195)),7,1))&lt;=57,CODE(MID(TRIM(UPPER(W195)),8,1))&gt;=48,CODE(MID(TRIM(UPPER(W195)),8,1))&lt;=57,CODE(MID(TRIM(UPPER(W195)),9,1))&gt;=48,CODE(MID(TRIM(UPPER(W195)),9,1))&lt;=57),"N","Y"),IF($B195="Challan","",IF(W195&lt;&gt;"","◄ Set Row Type","")))</f>
      </c>
      <c r="Y195" s="23">
        <f>IF($B195="Entry",IF(LEN(W195)&lt;4,"",IF(UPPER(MID(W195,4,1))="P","Individual",IF(UPPER(MID(W195,4,1))="H","HUF",IF(UPPER(MID(W195,4,1))="C","Company",IF(UPPER(MID(W195,4,1))="F","Firm",IF(UPPER(MID(W195,4,1))="L","LLP",IF(UPPER(MID(W195,4,1))="T","Trust",IF(UPPER(MID(W195,4,1))="A","AOP","")))))))),IF($B195="Challan","",IF(W195&lt;&gt;"","◄ Set Row Type","")))</f>
      </c>
      <c r="Z195" s="28"/>
      <c r="AA195" s="29">
        <f>IF($B195&lt;&gt;"Entry","",IF(Z195="","",IF(X195="Y",SUMPRODUCT(('Rate Lookup'!$A$1:$A$37=Z195)*'Rate Lookup'!$D$1:$D$37),IF(OR(Y195="Individual",Y195="HUF"),SUMPRODUCT(('Rate Lookup'!$A$1:$A$37=Z195)*'Rate Lookup'!$B$1:$B$37),SUMPRODUCT(('Rate Lookup'!$A$1:$A$37=Z195)*'Rate Lookup'!$C$1:$C$37)))))</f>
      </c>
      <c r="AB195" s="30"/>
      <c r="AC195" s="31"/>
      <c r="AD195" s="27">
        <f>IF($B195&lt;&gt;"Entry","",ROUND(AC195*AA195/100,0))</f>
      </c>
      <c r="AE195" s="27">
        <f>IF($B195&lt;&gt;"Entry","",0)</f>
      </c>
      <c r="AF195" s="27">
        <f>IF($B195&lt;&gt;"Entry","",0)</f>
      </c>
      <c r="AG195" s="27">
        <f>IF($B195&lt;&gt;"Entry","",IF(OR(AD195=0,AB195="",AQ195="",AQ195&lt;=0),0,IF(AQ195&lt;=DATE(YEAR(AB195),MONTH(AB195)+1,7),0,ROUND(AD195*0.015*((YEAR(AQ195)-YEAR(AB195))*12+(MONTH(AQ195)-MONTH(AB195))+1),0))))</f>
      </c>
      <c r="AH195" s="27">
        <f>IF($B195&lt;&gt;"Entry","",0)</f>
      </c>
      <c r="AI195" s="28"/>
      <c r="AJ195" s="28"/>
      <c r="AK195" s="32"/>
      <c r="AL195" s="28"/>
      <c r="AM195" s="28"/>
      <c r="AN195" s="27">
        <f>IF($B195&lt;&gt;"Challan","",SUMIF('Q1 Data'!$D$4:$D$207,D195,'Q1 Data'!$AD$4:$AD$207)+SUMIF('Q1 Data'!$D$4:$D$207,D195,'Q1 Data'!$AG$4:$AG$207)+SUMIF('Q1 Data'!$D$4:$D$207,D195,'Q1 Data'!$AE$4:$AE$207)+SUMIF('Q2 Data'!$D$4:$D$207,D195,'Q2 Data'!$AD$4:$AD$207)+SUMIF('Q2 Data'!$D$4:$D$207,D195,'Q2 Data'!$AG$4:$AG$207)+SUMIF('Q2 Data'!$D$4:$D$207,D195,'Q2 Data'!$AE$4:$AE$207)+SUMIF('Q3 Data'!$D$4:$D$207,D195,'Q3 Data'!$AD$4:$AD$207)+SUMIF('Q3 Data'!$D$4:$D$207,D195,'Q3 Data'!$AG$4:$AG$207)+SUMIF('Q3 Data'!$D$4:$D$207,D195,'Q3 Data'!$AE$4:$AE$207)+SUMIF('Q4 Data'!$D$4:$D$207,D195,'Q4 Data'!$AD$4:$AD$207)+SUMIF('Q4 Data'!$D$4:$D$207,D195,'Q4 Data'!$AG$4:$AG$207)+SUMIF('Q4 Data'!$D$4:$D$207,D195,'Q4 Data'!$AE$4:$AE$207))</f>
      </c>
      <c r="AO195" s="27">
        <f>IF($B195&lt;&gt;"Challan","",P195-N195)</f>
      </c>
      <c r="AP195" s="27">
        <f>IF($B195&lt;&gt;"Challan","",MAX(0,AO195-AN195))</f>
      </c>
      <c r="AQ195" s="33">
        <f>IF($B195&lt;&gt;"Entry","",SUMPRODUCT(('Q1 Data'!$D$4:$D$207=D195)*('Q1 Data'!$B$4:$B$207="Challan")*'Q1 Data'!$F$4:$F$207)+SUMPRODUCT(('Q2 Data'!$D$4:$D$207=D195)*('Q2 Data'!$B$4:$B$207="Challan")*'Q2 Data'!$F$4:$F$207)+SUMPRODUCT(('Q3 Data'!$D$4:$D$207=D195)*('Q3 Data'!$B$4:$B$207="Challan")*'Q3 Data'!$F$4:$F$207)+SUMPRODUCT(('Q4 Data'!$D$4:$D$207=D195)*('Q4 Data'!$B$4:$B$207="Challan")*'Q4 Data'!$F$4:$F$207))</f>
      </c>
      <c r="AR195" s="34">
        <f>IF(OR($B195&lt;&gt;"Entry",Z195=""),FALSE,AND((SUMPRODUCT(('Q1 Data'!$D$4:$D$207=D195)*('Q1 Data'!$B$4:$B$207="Challan")*('Q1 Data'!$H$4:$H$207&lt;&gt;""))+SUMPRODUCT(('Q2 Data'!$D$4:$D$207=D195)*('Q2 Data'!$B$4:$B$207="Challan")*('Q2 Data'!$H$4:$H$207&lt;&gt;""))+SUMPRODUCT(('Q3 Data'!$D$4:$D$207=D195)*('Q3 Data'!$B$4:$B$207="Challan")*('Q3 Data'!$H$4:$H$207&lt;&gt;""))+SUMPRODUCT(('Q4 Data'!$D$4:$D$207=D195)*('Q4 Data'!$B$4:$B$207="Challan")*('Q4 Data'!$H$4:$H$207&lt;&gt;"")))&gt;0,(SUMPRODUCT(('Q1 Data'!$D$4:$D$207=D195)*('Q1 Data'!$B$4:$B$207="Challan")*('Q1 Data'!$H$4:$H$207=Z195))+SUMPRODUCT(('Q2 Data'!$D$4:$D$207=D195)*('Q2 Data'!$B$4:$B$207="Challan")*('Q2 Data'!$H$4:$H$207=Z195))+SUMPRODUCT(('Q3 Data'!$D$4:$D$207=D195)*('Q3 Data'!$B$4:$B$207="Challan")*('Q3 Data'!$H$4:$H$207=Z195))+SUMPRODUCT(('Q4 Data'!$D$4:$D$207=D195)*('Q4 Data'!$B$4:$B$207="Challan")*('Q4 Data'!$H$4:$H$207=Z195)))=0))</f>
      </c>
    </row>
    <row r="196" spans="1:44" x14ac:dyDescent="0.25">
      <c r="A196" s="20">
        <f>IF($B196="Entry",COUNTIF($B$4:$B196,"Entry"),"")</f>
      </c>
      <c r="B196" s="21"/>
      <c r="C196" s="22"/>
      <c r="D196" s="22"/>
      <c r="E196" s="23">
        <f>IF($B196&lt;&gt;"Challan","",IF(ROUND(AN196-AO196,2)&gt;0,"Over-applied",IF(ROUND(AN196-AO196,2)=0,"Fully Utilised","Unconsumed")))</f>
      </c>
      <c r="F196" s="24"/>
      <c r="G196" s="25"/>
      <c r="H196" s="25"/>
      <c r="I196" s="26"/>
      <c r="J196" s="26"/>
      <c r="K196" s="26"/>
      <c r="L196" s="26"/>
      <c r="M196" s="26"/>
      <c r="N196" s="26"/>
      <c r="O196" s="26"/>
      <c r="P196" s="27">
        <f>IF($B196&lt;&gt;"Challan","",I196+J196+K196+L196+M196+N196)</f>
      </c>
      <c r="Q196" s="25"/>
      <c r="R196" s="25"/>
      <c r="S196" s="25"/>
      <c r="T196" s="25"/>
      <c r="U196" s="25"/>
      <c r="V196" s="28"/>
      <c r="W196" s="28"/>
      <c r="X196" s="23">
        <f>IF($B196="Entry",IF(AND(LEN(TRIM(UPPER(W196)))=10,CODE(MID(TRIM(UPPER(W196)),1,1))&gt;=65,CODE(MID(TRIM(UPPER(W196)),1,1))&lt;=90,CODE(MID(TRIM(UPPER(W196)),2,1))&gt;=65,CODE(MID(TRIM(UPPER(W196)),2,1))&lt;=90,CODE(MID(TRIM(UPPER(W196)),3,1))&gt;=65,CODE(MID(TRIM(UPPER(W196)),3,1))&lt;=90,CODE(MID(TRIM(UPPER(W196)),4,1))&gt;=65,CODE(MID(TRIM(UPPER(W196)),4,1))&lt;=90,CODE(MID(TRIM(UPPER(W196)),5,1))&gt;=65,CODE(MID(TRIM(UPPER(W196)),5,1))&lt;=90,CODE(MID(TRIM(UPPER(W196)),10,1))&gt;=65,CODE(MID(TRIM(UPPER(W196)),10,1))&lt;=90,CODE(MID(TRIM(UPPER(W196)),6,1))&gt;=48,CODE(MID(TRIM(UPPER(W196)),6,1))&lt;=57,CODE(MID(TRIM(UPPER(W196)),7,1))&gt;=48,CODE(MID(TRIM(UPPER(W196)),7,1))&lt;=57,CODE(MID(TRIM(UPPER(W196)),8,1))&gt;=48,CODE(MID(TRIM(UPPER(W196)),8,1))&lt;=57,CODE(MID(TRIM(UPPER(W196)),9,1))&gt;=48,CODE(MID(TRIM(UPPER(W196)),9,1))&lt;=57),"N","Y"),IF($B196="Challan","",IF(W196&lt;&gt;"","◄ Set Row Type","")))</f>
      </c>
      <c r="Y196" s="23">
        <f>IF($B196="Entry",IF(LEN(W196)&lt;4,"",IF(UPPER(MID(W196,4,1))="P","Individual",IF(UPPER(MID(W196,4,1))="H","HUF",IF(UPPER(MID(W196,4,1))="C","Company",IF(UPPER(MID(W196,4,1))="F","Firm",IF(UPPER(MID(W196,4,1))="L","LLP",IF(UPPER(MID(W196,4,1))="T","Trust",IF(UPPER(MID(W196,4,1))="A","AOP","")))))))),IF($B196="Challan","",IF(W196&lt;&gt;"","◄ Set Row Type","")))</f>
      </c>
      <c r="Z196" s="28"/>
      <c r="AA196" s="29">
        <f>IF($B196&lt;&gt;"Entry","",IF(Z196="","",IF(X196="Y",SUMPRODUCT(('Rate Lookup'!$A$1:$A$37=Z196)*'Rate Lookup'!$D$1:$D$37),IF(OR(Y196="Individual",Y196="HUF"),SUMPRODUCT(('Rate Lookup'!$A$1:$A$37=Z196)*'Rate Lookup'!$B$1:$B$37),SUMPRODUCT(('Rate Lookup'!$A$1:$A$37=Z196)*'Rate Lookup'!$C$1:$C$37)))))</f>
      </c>
      <c r="AB196" s="30"/>
      <c r="AC196" s="31"/>
      <c r="AD196" s="27">
        <f>IF($B196&lt;&gt;"Entry","",ROUND(AC196*AA196/100,0))</f>
      </c>
      <c r="AE196" s="27">
        <f>IF($B196&lt;&gt;"Entry","",0)</f>
      </c>
      <c r="AF196" s="27">
        <f>IF($B196&lt;&gt;"Entry","",0)</f>
      </c>
      <c r="AG196" s="27">
        <f>IF($B196&lt;&gt;"Entry","",IF(OR(AD196=0,AB196="",AQ196="",AQ196&lt;=0),0,IF(AQ196&lt;=DATE(YEAR(AB196),MONTH(AB196)+1,7),0,ROUND(AD196*0.015*((YEAR(AQ196)-YEAR(AB196))*12+(MONTH(AQ196)-MONTH(AB196))+1),0))))</f>
      </c>
      <c r="AH196" s="27">
        <f>IF($B196&lt;&gt;"Entry","",0)</f>
      </c>
      <c r="AI196" s="28"/>
      <c r="AJ196" s="28"/>
      <c r="AK196" s="32"/>
      <c r="AL196" s="28"/>
      <c r="AM196" s="28"/>
      <c r="AN196" s="27">
        <f>IF($B196&lt;&gt;"Challan","",SUMIF('Q1 Data'!$D$4:$D$207,D196,'Q1 Data'!$AD$4:$AD$207)+SUMIF('Q1 Data'!$D$4:$D$207,D196,'Q1 Data'!$AG$4:$AG$207)+SUMIF('Q1 Data'!$D$4:$D$207,D196,'Q1 Data'!$AE$4:$AE$207)+SUMIF('Q2 Data'!$D$4:$D$207,D196,'Q2 Data'!$AD$4:$AD$207)+SUMIF('Q2 Data'!$D$4:$D$207,D196,'Q2 Data'!$AG$4:$AG$207)+SUMIF('Q2 Data'!$D$4:$D$207,D196,'Q2 Data'!$AE$4:$AE$207)+SUMIF('Q3 Data'!$D$4:$D$207,D196,'Q3 Data'!$AD$4:$AD$207)+SUMIF('Q3 Data'!$D$4:$D$207,D196,'Q3 Data'!$AG$4:$AG$207)+SUMIF('Q3 Data'!$D$4:$D$207,D196,'Q3 Data'!$AE$4:$AE$207)+SUMIF('Q4 Data'!$D$4:$D$207,D196,'Q4 Data'!$AD$4:$AD$207)+SUMIF('Q4 Data'!$D$4:$D$207,D196,'Q4 Data'!$AG$4:$AG$207)+SUMIF('Q4 Data'!$D$4:$D$207,D196,'Q4 Data'!$AE$4:$AE$207))</f>
      </c>
      <c r="AO196" s="27">
        <f>IF($B196&lt;&gt;"Challan","",P196-N196)</f>
      </c>
      <c r="AP196" s="27">
        <f>IF($B196&lt;&gt;"Challan","",MAX(0,AO196-AN196))</f>
      </c>
      <c r="AQ196" s="33">
        <f>IF($B196&lt;&gt;"Entry","",SUMPRODUCT(('Q1 Data'!$D$4:$D$207=D196)*('Q1 Data'!$B$4:$B$207="Challan")*'Q1 Data'!$F$4:$F$207)+SUMPRODUCT(('Q2 Data'!$D$4:$D$207=D196)*('Q2 Data'!$B$4:$B$207="Challan")*'Q2 Data'!$F$4:$F$207)+SUMPRODUCT(('Q3 Data'!$D$4:$D$207=D196)*('Q3 Data'!$B$4:$B$207="Challan")*'Q3 Data'!$F$4:$F$207)+SUMPRODUCT(('Q4 Data'!$D$4:$D$207=D196)*('Q4 Data'!$B$4:$B$207="Challan")*'Q4 Data'!$F$4:$F$207))</f>
      </c>
      <c r="AR196" s="34">
        <f>IF(OR($B196&lt;&gt;"Entry",Z196=""),FALSE,AND((SUMPRODUCT(('Q1 Data'!$D$4:$D$207=D196)*('Q1 Data'!$B$4:$B$207="Challan")*('Q1 Data'!$H$4:$H$207&lt;&gt;""))+SUMPRODUCT(('Q2 Data'!$D$4:$D$207=D196)*('Q2 Data'!$B$4:$B$207="Challan")*('Q2 Data'!$H$4:$H$207&lt;&gt;""))+SUMPRODUCT(('Q3 Data'!$D$4:$D$207=D196)*('Q3 Data'!$B$4:$B$207="Challan")*('Q3 Data'!$H$4:$H$207&lt;&gt;""))+SUMPRODUCT(('Q4 Data'!$D$4:$D$207=D196)*('Q4 Data'!$B$4:$B$207="Challan")*('Q4 Data'!$H$4:$H$207&lt;&gt;"")))&gt;0,(SUMPRODUCT(('Q1 Data'!$D$4:$D$207=D196)*('Q1 Data'!$B$4:$B$207="Challan")*('Q1 Data'!$H$4:$H$207=Z196))+SUMPRODUCT(('Q2 Data'!$D$4:$D$207=D196)*('Q2 Data'!$B$4:$B$207="Challan")*('Q2 Data'!$H$4:$H$207=Z196))+SUMPRODUCT(('Q3 Data'!$D$4:$D$207=D196)*('Q3 Data'!$B$4:$B$207="Challan")*('Q3 Data'!$H$4:$H$207=Z196))+SUMPRODUCT(('Q4 Data'!$D$4:$D$207=D196)*('Q4 Data'!$B$4:$B$207="Challan")*('Q4 Data'!$H$4:$H$207=Z196)))=0))</f>
      </c>
    </row>
    <row r="197" spans="1:44" x14ac:dyDescent="0.25">
      <c r="A197" s="20">
        <f>IF($B197="Entry",COUNTIF($B$4:$B197,"Entry"),"")</f>
      </c>
      <c r="B197" s="21"/>
      <c r="C197" s="22"/>
      <c r="D197" s="22"/>
      <c r="E197" s="23">
        <f>IF($B197&lt;&gt;"Challan","",IF(ROUND(AN197-AO197,2)&gt;0,"Over-applied",IF(ROUND(AN197-AO197,2)=0,"Fully Utilised","Unconsumed")))</f>
      </c>
      <c r="F197" s="24"/>
      <c r="G197" s="25"/>
      <c r="H197" s="25"/>
      <c r="I197" s="26"/>
      <c r="J197" s="26"/>
      <c r="K197" s="26"/>
      <c r="L197" s="26"/>
      <c r="M197" s="26"/>
      <c r="N197" s="26"/>
      <c r="O197" s="26"/>
      <c r="P197" s="27">
        <f>IF($B197&lt;&gt;"Challan","",I197+J197+K197+L197+M197+N197)</f>
      </c>
      <c r="Q197" s="25"/>
      <c r="R197" s="25"/>
      <c r="S197" s="25"/>
      <c r="T197" s="25"/>
      <c r="U197" s="25"/>
      <c r="V197" s="28"/>
      <c r="W197" s="28"/>
      <c r="X197" s="23">
        <f>IF($B197="Entry",IF(AND(LEN(TRIM(UPPER(W197)))=10,CODE(MID(TRIM(UPPER(W197)),1,1))&gt;=65,CODE(MID(TRIM(UPPER(W197)),1,1))&lt;=90,CODE(MID(TRIM(UPPER(W197)),2,1))&gt;=65,CODE(MID(TRIM(UPPER(W197)),2,1))&lt;=90,CODE(MID(TRIM(UPPER(W197)),3,1))&gt;=65,CODE(MID(TRIM(UPPER(W197)),3,1))&lt;=90,CODE(MID(TRIM(UPPER(W197)),4,1))&gt;=65,CODE(MID(TRIM(UPPER(W197)),4,1))&lt;=90,CODE(MID(TRIM(UPPER(W197)),5,1))&gt;=65,CODE(MID(TRIM(UPPER(W197)),5,1))&lt;=90,CODE(MID(TRIM(UPPER(W197)),10,1))&gt;=65,CODE(MID(TRIM(UPPER(W197)),10,1))&lt;=90,CODE(MID(TRIM(UPPER(W197)),6,1))&gt;=48,CODE(MID(TRIM(UPPER(W197)),6,1))&lt;=57,CODE(MID(TRIM(UPPER(W197)),7,1))&gt;=48,CODE(MID(TRIM(UPPER(W197)),7,1))&lt;=57,CODE(MID(TRIM(UPPER(W197)),8,1))&gt;=48,CODE(MID(TRIM(UPPER(W197)),8,1))&lt;=57,CODE(MID(TRIM(UPPER(W197)),9,1))&gt;=48,CODE(MID(TRIM(UPPER(W197)),9,1))&lt;=57),"N","Y"),IF($B197="Challan","",IF(W197&lt;&gt;"","◄ Set Row Type","")))</f>
      </c>
      <c r="Y197" s="23">
        <f>IF($B197="Entry",IF(LEN(W197)&lt;4,"",IF(UPPER(MID(W197,4,1))="P","Individual",IF(UPPER(MID(W197,4,1))="H","HUF",IF(UPPER(MID(W197,4,1))="C","Company",IF(UPPER(MID(W197,4,1))="F","Firm",IF(UPPER(MID(W197,4,1))="L","LLP",IF(UPPER(MID(W197,4,1))="T","Trust",IF(UPPER(MID(W197,4,1))="A","AOP","")))))))),IF($B197="Challan","",IF(W197&lt;&gt;"","◄ Set Row Type","")))</f>
      </c>
      <c r="Z197" s="28"/>
      <c r="AA197" s="29">
        <f>IF($B197&lt;&gt;"Entry","",IF(Z197="","",IF(X197="Y",SUMPRODUCT(('Rate Lookup'!$A$1:$A$37=Z197)*'Rate Lookup'!$D$1:$D$37),IF(OR(Y197="Individual",Y197="HUF"),SUMPRODUCT(('Rate Lookup'!$A$1:$A$37=Z197)*'Rate Lookup'!$B$1:$B$37),SUMPRODUCT(('Rate Lookup'!$A$1:$A$37=Z197)*'Rate Lookup'!$C$1:$C$37)))))</f>
      </c>
      <c r="AB197" s="30"/>
      <c r="AC197" s="31"/>
      <c r="AD197" s="27">
        <f>IF($B197&lt;&gt;"Entry","",ROUND(AC197*AA197/100,0))</f>
      </c>
      <c r="AE197" s="27">
        <f>IF($B197&lt;&gt;"Entry","",0)</f>
      </c>
      <c r="AF197" s="27">
        <f>IF($B197&lt;&gt;"Entry","",0)</f>
      </c>
      <c r="AG197" s="27">
        <f>IF($B197&lt;&gt;"Entry","",IF(OR(AD197=0,AB197="",AQ197="",AQ197&lt;=0),0,IF(AQ197&lt;=DATE(YEAR(AB197),MONTH(AB197)+1,7),0,ROUND(AD197*0.015*((YEAR(AQ197)-YEAR(AB197))*12+(MONTH(AQ197)-MONTH(AB197))+1),0))))</f>
      </c>
      <c r="AH197" s="27">
        <f>IF($B197&lt;&gt;"Entry","",0)</f>
      </c>
      <c r="AI197" s="28"/>
      <c r="AJ197" s="28"/>
      <c r="AK197" s="32"/>
      <c r="AL197" s="28"/>
      <c r="AM197" s="28"/>
      <c r="AN197" s="27">
        <f>IF($B197&lt;&gt;"Challan","",SUMIF('Q1 Data'!$D$4:$D$207,D197,'Q1 Data'!$AD$4:$AD$207)+SUMIF('Q1 Data'!$D$4:$D$207,D197,'Q1 Data'!$AG$4:$AG$207)+SUMIF('Q1 Data'!$D$4:$D$207,D197,'Q1 Data'!$AE$4:$AE$207)+SUMIF('Q2 Data'!$D$4:$D$207,D197,'Q2 Data'!$AD$4:$AD$207)+SUMIF('Q2 Data'!$D$4:$D$207,D197,'Q2 Data'!$AG$4:$AG$207)+SUMIF('Q2 Data'!$D$4:$D$207,D197,'Q2 Data'!$AE$4:$AE$207)+SUMIF('Q3 Data'!$D$4:$D$207,D197,'Q3 Data'!$AD$4:$AD$207)+SUMIF('Q3 Data'!$D$4:$D$207,D197,'Q3 Data'!$AG$4:$AG$207)+SUMIF('Q3 Data'!$D$4:$D$207,D197,'Q3 Data'!$AE$4:$AE$207)+SUMIF('Q4 Data'!$D$4:$D$207,D197,'Q4 Data'!$AD$4:$AD$207)+SUMIF('Q4 Data'!$D$4:$D$207,D197,'Q4 Data'!$AG$4:$AG$207)+SUMIF('Q4 Data'!$D$4:$D$207,D197,'Q4 Data'!$AE$4:$AE$207))</f>
      </c>
      <c r="AO197" s="27">
        <f>IF($B197&lt;&gt;"Challan","",P197-N197)</f>
      </c>
      <c r="AP197" s="27">
        <f>IF($B197&lt;&gt;"Challan","",MAX(0,AO197-AN197))</f>
      </c>
      <c r="AQ197" s="33">
        <f>IF($B197&lt;&gt;"Entry","",SUMPRODUCT(('Q1 Data'!$D$4:$D$207=D197)*('Q1 Data'!$B$4:$B$207="Challan")*'Q1 Data'!$F$4:$F$207)+SUMPRODUCT(('Q2 Data'!$D$4:$D$207=D197)*('Q2 Data'!$B$4:$B$207="Challan")*'Q2 Data'!$F$4:$F$207)+SUMPRODUCT(('Q3 Data'!$D$4:$D$207=D197)*('Q3 Data'!$B$4:$B$207="Challan")*'Q3 Data'!$F$4:$F$207)+SUMPRODUCT(('Q4 Data'!$D$4:$D$207=D197)*('Q4 Data'!$B$4:$B$207="Challan")*'Q4 Data'!$F$4:$F$207))</f>
      </c>
      <c r="AR197" s="34">
        <f>IF(OR($B197&lt;&gt;"Entry",Z197=""),FALSE,AND((SUMPRODUCT(('Q1 Data'!$D$4:$D$207=D197)*('Q1 Data'!$B$4:$B$207="Challan")*('Q1 Data'!$H$4:$H$207&lt;&gt;""))+SUMPRODUCT(('Q2 Data'!$D$4:$D$207=D197)*('Q2 Data'!$B$4:$B$207="Challan")*('Q2 Data'!$H$4:$H$207&lt;&gt;""))+SUMPRODUCT(('Q3 Data'!$D$4:$D$207=D197)*('Q3 Data'!$B$4:$B$207="Challan")*('Q3 Data'!$H$4:$H$207&lt;&gt;""))+SUMPRODUCT(('Q4 Data'!$D$4:$D$207=D197)*('Q4 Data'!$B$4:$B$207="Challan")*('Q4 Data'!$H$4:$H$207&lt;&gt;"")))&gt;0,(SUMPRODUCT(('Q1 Data'!$D$4:$D$207=D197)*('Q1 Data'!$B$4:$B$207="Challan")*('Q1 Data'!$H$4:$H$207=Z197))+SUMPRODUCT(('Q2 Data'!$D$4:$D$207=D197)*('Q2 Data'!$B$4:$B$207="Challan")*('Q2 Data'!$H$4:$H$207=Z197))+SUMPRODUCT(('Q3 Data'!$D$4:$D$207=D197)*('Q3 Data'!$B$4:$B$207="Challan")*('Q3 Data'!$H$4:$H$207=Z197))+SUMPRODUCT(('Q4 Data'!$D$4:$D$207=D197)*('Q4 Data'!$B$4:$B$207="Challan")*('Q4 Data'!$H$4:$H$207=Z197)))=0))</f>
      </c>
    </row>
    <row r="198" spans="1:44" x14ac:dyDescent="0.25">
      <c r="A198" s="20">
        <f>IF($B198="Entry",COUNTIF($B$4:$B198,"Entry"),"")</f>
      </c>
      <c r="B198" s="21"/>
      <c r="C198" s="22"/>
      <c r="D198" s="22"/>
      <c r="E198" s="23">
        <f>IF($B198&lt;&gt;"Challan","",IF(ROUND(AN198-AO198,2)&gt;0,"Over-applied",IF(ROUND(AN198-AO198,2)=0,"Fully Utilised","Unconsumed")))</f>
      </c>
      <c r="F198" s="24"/>
      <c r="G198" s="25"/>
      <c r="H198" s="25"/>
      <c r="I198" s="26"/>
      <c r="J198" s="26"/>
      <c r="K198" s="26"/>
      <c r="L198" s="26"/>
      <c r="M198" s="26"/>
      <c r="N198" s="26"/>
      <c r="O198" s="26"/>
      <c r="P198" s="27">
        <f>IF($B198&lt;&gt;"Challan","",I198+J198+K198+L198+M198+N198)</f>
      </c>
      <c r="Q198" s="25"/>
      <c r="R198" s="25"/>
      <c r="S198" s="25"/>
      <c r="T198" s="25"/>
      <c r="U198" s="25"/>
      <c r="V198" s="28"/>
      <c r="W198" s="28"/>
      <c r="X198" s="23">
        <f>IF($B198="Entry",IF(AND(LEN(TRIM(UPPER(W198)))=10,CODE(MID(TRIM(UPPER(W198)),1,1))&gt;=65,CODE(MID(TRIM(UPPER(W198)),1,1))&lt;=90,CODE(MID(TRIM(UPPER(W198)),2,1))&gt;=65,CODE(MID(TRIM(UPPER(W198)),2,1))&lt;=90,CODE(MID(TRIM(UPPER(W198)),3,1))&gt;=65,CODE(MID(TRIM(UPPER(W198)),3,1))&lt;=90,CODE(MID(TRIM(UPPER(W198)),4,1))&gt;=65,CODE(MID(TRIM(UPPER(W198)),4,1))&lt;=90,CODE(MID(TRIM(UPPER(W198)),5,1))&gt;=65,CODE(MID(TRIM(UPPER(W198)),5,1))&lt;=90,CODE(MID(TRIM(UPPER(W198)),10,1))&gt;=65,CODE(MID(TRIM(UPPER(W198)),10,1))&lt;=90,CODE(MID(TRIM(UPPER(W198)),6,1))&gt;=48,CODE(MID(TRIM(UPPER(W198)),6,1))&lt;=57,CODE(MID(TRIM(UPPER(W198)),7,1))&gt;=48,CODE(MID(TRIM(UPPER(W198)),7,1))&lt;=57,CODE(MID(TRIM(UPPER(W198)),8,1))&gt;=48,CODE(MID(TRIM(UPPER(W198)),8,1))&lt;=57,CODE(MID(TRIM(UPPER(W198)),9,1))&gt;=48,CODE(MID(TRIM(UPPER(W198)),9,1))&lt;=57),"N","Y"),IF($B198="Challan","",IF(W198&lt;&gt;"","◄ Set Row Type","")))</f>
      </c>
      <c r="Y198" s="23">
        <f>IF($B198="Entry",IF(LEN(W198)&lt;4,"",IF(UPPER(MID(W198,4,1))="P","Individual",IF(UPPER(MID(W198,4,1))="H","HUF",IF(UPPER(MID(W198,4,1))="C","Company",IF(UPPER(MID(W198,4,1))="F","Firm",IF(UPPER(MID(W198,4,1))="L","LLP",IF(UPPER(MID(W198,4,1))="T","Trust",IF(UPPER(MID(W198,4,1))="A","AOP","")))))))),IF($B198="Challan","",IF(W198&lt;&gt;"","◄ Set Row Type","")))</f>
      </c>
      <c r="Z198" s="28"/>
      <c r="AA198" s="29">
        <f>IF($B198&lt;&gt;"Entry","",IF(Z198="","",IF(X198="Y",SUMPRODUCT(('Rate Lookup'!$A$1:$A$37=Z198)*'Rate Lookup'!$D$1:$D$37),IF(OR(Y198="Individual",Y198="HUF"),SUMPRODUCT(('Rate Lookup'!$A$1:$A$37=Z198)*'Rate Lookup'!$B$1:$B$37),SUMPRODUCT(('Rate Lookup'!$A$1:$A$37=Z198)*'Rate Lookup'!$C$1:$C$37)))))</f>
      </c>
      <c r="AB198" s="30"/>
      <c r="AC198" s="31"/>
      <c r="AD198" s="27">
        <f>IF($B198&lt;&gt;"Entry","",ROUND(AC198*AA198/100,0))</f>
      </c>
      <c r="AE198" s="27">
        <f>IF($B198&lt;&gt;"Entry","",0)</f>
      </c>
      <c r="AF198" s="27">
        <f>IF($B198&lt;&gt;"Entry","",0)</f>
      </c>
      <c r="AG198" s="27">
        <f>IF($B198&lt;&gt;"Entry","",IF(OR(AD198=0,AB198="",AQ198="",AQ198&lt;=0),0,IF(AQ198&lt;=DATE(YEAR(AB198),MONTH(AB198)+1,7),0,ROUND(AD198*0.015*((YEAR(AQ198)-YEAR(AB198))*12+(MONTH(AQ198)-MONTH(AB198))+1),0))))</f>
      </c>
      <c r="AH198" s="27">
        <f>IF($B198&lt;&gt;"Entry","",0)</f>
      </c>
      <c r="AI198" s="28"/>
      <c r="AJ198" s="28"/>
      <c r="AK198" s="32"/>
      <c r="AL198" s="28"/>
      <c r="AM198" s="28"/>
      <c r="AN198" s="27">
        <f>IF($B198&lt;&gt;"Challan","",SUMIF('Q1 Data'!$D$4:$D$207,D198,'Q1 Data'!$AD$4:$AD$207)+SUMIF('Q1 Data'!$D$4:$D$207,D198,'Q1 Data'!$AG$4:$AG$207)+SUMIF('Q1 Data'!$D$4:$D$207,D198,'Q1 Data'!$AE$4:$AE$207)+SUMIF('Q2 Data'!$D$4:$D$207,D198,'Q2 Data'!$AD$4:$AD$207)+SUMIF('Q2 Data'!$D$4:$D$207,D198,'Q2 Data'!$AG$4:$AG$207)+SUMIF('Q2 Data'!$D$4:$D$207,D198,'Q2 Data'!$AE$4:$AE$207)+SUMIF('Q3 Data'!$D$4:$D$207,D198,'Q3 Data'!$AD$4:$AD$207)+SUMIF('Q3 Data'!$D$4:$D$207,D198,'Q3 Data'!$AG$4:$AG$207)+SUMIF('Q3 Data'!$D$4:$D$207,D198,'Q3 Data'!$AE$4:$AE$207)+SUMIF('Q4 Data'!$D$4:$D$207,D198,'Q4 Data'!$AD$4:$AD$207)+SUMIF('Q4 Data'!$D$4:$D$207,D198,'Q4 Data'!$AG$4:$AG$207)+SUMIF('Q4 Data'!$D$4:$D$207,D198,'Q4 Data'!$AE$4:$AE$207))</f>
      </c>
      <c r="AO198" s="27">
        <f>IF($B198&lt;&gt;"Challan","",P198-N198)</f>
      </c>
      <c r="AP198" s="27">
        <f>IF($B198&lt;&gt;"Challan","",MAX(0,AO198-AN198))</f>
      </c>
      <c r="AQ198" s="33">
        <f>IF($B198&lt;&gt;"Entry","",SUMPRODUCT(('Q1 Data'!$D$4:$D$207=D198)*('Q1 Data'!$B$4:$B$207="Challan")*'Q1 Data'!$F$4:$F$207)+SUMPRODUCT(('Q2 Data'!$D$4:$D$207=D198)*('Q2 Data'!$B$4:$B$207="Challan")*'Q2 Data'!$F$4:$F$207)+SUMPRODUCT(('Q3 Data'!$D$4:$D$207=D198)*('Q3 Data'!$B$4:$B$207="Challan")*'Q3 Data'!$F$4:$F$207)+SUMPRODUCT(('Q4 Data'!$D$4:$D$207=D198)*('Q4 Data'!$B$4:$B$207="Challan")*'Q4 Data'!$F$4:$F$207))</f>
      </c>
      <c r="AR198" s="34">
        <f>IF(OR($B198&lt;&gt;"Entry",Z198=""),FALSE,AND((SUMPRODUCT(('Q1 Data'!$D$4:$D$207=D198)*('Q1 Data'!$B$4:$B$207="Challan")*('Q1 Data'!$H$4:$H$207&lt;&gt;""))+SUMPRODUCT(('Q2 Data'!$D$4:$D$207=D198)*('Q2 Data'!$B$4:$B$207="Challan")*('Q2 Data'!$H$4:$H$207&lt;&gt;""))+SUMPRODUCT(('Q3 Data'!$D$4:$D$207=D198)*('Q3 Data'!$B$4:$B$207="Challan")*('Q3 Data'!$H$4:$H$207&lt;&gt;""))+SUMPRODUCT(('Q4 Data'!$D$4:$D$207=D198)*('Q4 Data'!$B$4:$B$207="Challan")*('Q4 Data'!$H$4:$H$207&lt;&gt;"")))&gt;0,(SUMPRODUCT(('Q1 Data'!$D$4:$D$207=D198)*('Q1 Data'!$B$4:$B$207="Challan")*('Q1 Data'!$H$4:$H$207=Z198))+SUMPRODUCT(('Q2 Data'!$D$4:$D$207=D198)*('Q2 Data'!$B$4:$B$207="Challan")*('Q2 Data'!$H$4:$H$207=Z198))+SUMPRODUCT(('Q3 Data'!$D$4:$D$207=D198)*('Q3 Data'!$B$4:$B$207="Challan")*('Q3 Data'!$H$4:$H$207=Z198))+SUMPRODUCT(('Q4 Data'!$D$4:$D$207=D198)*('Q4 Data'!$B$4:$B$207="Challan")*('Q4 Data'!$H$4:$H$207=Z198)))=0))</f>
      </c>
    </row>
    <row r="199" spans="1:44" x14ac:dyDescent="0.25">
      <c r="A199" s="20">
        <f>IF($B199="Entry",COUNTIF($B$4:$B199,"Entry"),"")</f>
      </c>
      <c r="B199" s="21"/>
      <c r="C199" s="22"/>
      <c r="D199" s="22"/>
      <c r="E199" s="23">
        <f>IF($B199&lt;&gt;"Challan","",IF(ROUND(AN199-AO199,2)&gt;0,"Over-applied",IF(ROUND(AN199-AO199,2)=0,"Fully Utilised","Unconsumed")))</f>
      </c>
      <c r="F199" s="24"/>
      <c r="G199" s="25"/>
      <c r="H199" s="25"/>
      <c r="I199" s="26"/>
      <c r="J199" s="26"/>
      <c r="K199" s="26"/>
      <c r="L199" s="26"/>
      <c r="M199" s="26"/>
      <c r="N199" s="26"/>
      <c r="O199" s="26"/>
      <c r="P199" s="27">
        <f>IF($B199&lt;&gt;"Challan","",I199+J199+K199+L199+M199+N199)</f>
      </c>
      <c r="Q199" s="25"/>
      <c r="R199" s="25"/>
      <c r="S199" s="25"/>
      <c r="T199" s="25"/>
      <c r="U199" s="25"/>
      <c r="V199" s="28"/>
      <c r="W199" s="28"/>
      <c r="X199" s="23">
        <f>IF($B199="Entry",IF(AND(LEN(TRIM(UPPER(W199)))=10,CODE(MID(TRIM(UPPER(W199)),1,1))&gt;=65,CODE(MID(TRIM(UPPER(W199)),1,1))&lt;=90,CODE(MID(TRIM(UPPER(W199)),2,1))&gt;=65,CODE(MID(TRIM(UPPER(W199)),2,1))&lt;=90,CODE(MID(TRIM(UPPER(W199)),3,1))&gt;=65,CODE(MID(TRIM(UPPER(W199)),3,1))&lt;=90,CODE(MID(TRIM(UPPER(W199)),4,1))&gt;=65,CODE(MID(TRIM(UPPER(W199)),4,1))&lt;=90,CODE(MID(TRIM(UPPER(W199)),5,1))&gt;=65,CODE(MID(TRIM(UPPER(W199)),5,1))&lt;=90,CODE(MID(TRIM(UPPER(W199)),10,1))&gt;=65,CODE(MID(TRIM(UPPER(W199)),10,1))&lt;=90,CODE(MID(TRIM(UPPER(W199)),6,1))&gt;=48,CODE(MID(TRIM(UPPER(W199)),6,1))&lt;=57,CODE(MID(TRIM(UPPER(W199)),7,1))&gt;=48,CODE(MID(TRIM(UPPER(W199)),7,1))&lt;=57,CODE(MID(TRIM(UPPER(W199)),8,1))&gt;=48,CODE(MID(TRIM(UPPER(W199)),8,1))&lt;=57,CODE(MID(TRIM(UPPER(W199)),9,1))&gt;=48,CODE(MID(TRIM(UPPER(W199)),9,1))&lt;=57),"N","Y"),IF($B199="Challan","",IF(W199&lt;&gt;"","◄ Set Row Type","")))</f>
      </c>
      <c r="Y199" s="23">
        <f>IF($B199="Entry",IF(LEN(W199)&lt;4,"",IF(UPPER(MID(W199,4,1))="P","Individual",IF(UPPER(MID(W199,4,1))="H","HUF",IF(UPPER(MID(W199,4,1))="C","Company",IF(UPPER(MID(W199,4,1))="F","Firm",IF(UPPER(MID(W199,4,1))="L","LLP",IF(UPPER(MID(W199,4,1))="T","Trust",IF(UPPER(MID(W199,4,1))="A","AOP","")))))))),IF($B199="Challan","",IF(W199&lt;&gt;"","◄ Set Row Type","")))</f>
      </c>
      <c r="Z199" s="28"/>
      <c r="AA199" s="29">
        <f>IF($B199&lt;&gt;"Entry","",IF(Z199="","",IF(X199="Y",SUMPRODUCT(('Rate Lookup'!$A$1:$A$37=Z199)*'Rate Lookup'!$D$1:$D$37),IF(OR(Y199="Individual",Y199="HUF"),SUMPRODUCT(('Rate Lookup'!$A$1:$A$37=Z199)*'Rate Lookup'!$B$1:$B$37),SUMPRODUCT(('Rate Lookup'!$A$1:$A$37=Z199)*'Rate Lookup'!$C$1:$C$37)))))</f>
      </c>
      <c r="AB199" s="30"/>
      <c r="AC199" s="31"/>
      <c r="AD199" s="27">
        <f>IF($B199&lt;&gt;"Entry","",ROUND(AC199*AA199/100,0))</f>
      </c>
      <c r="AE199" s="27">
        <f>IF($B199&lt;&gt;"Entry","",0)</f>
      </c>
      <c r="AF199" s="27">
        <f>IF($B199&lt;&gt;"Entry","",0)</f>
      </c>
      <c r="AG199" s="27">
        <f>IF($B199&lt;&gt;"Entry","",IF(OR(AD199=0,AB199="",AQ199="",AQ199&lt;=0),0,IF(AQ199&lt;=DATE(YEAR(AB199),MONTH(AB199)+1,7),0,ROUND(AD199*0.015*((YEAR(AQ199)-YEAR(AB199))*12+(MONTH(AQ199)-MONTH(AB199))+1),0))))</f>
      </c>
      <c r="AH199" s="27">
        <f>IF($B199&lt;&gt;"Entry","",0)</f>
      </c>
      <c r="AI199" s="28"/>
      <c r="AJ199" s="28"/>
      <c r="AK199" s="32"/>
      <c r="AL199" s="28"/>
      <c r="AM199" s="28"/>
      <c r="AN199" s="27">
        <f>IF($B199&lt;&gt;"Challan","",SUMIF('Q1 Data'!$D$4:$D$207,D199,'Q1 Data'!$AD$4:$AD$207)+SUMIF('Q1 Data'!$D$4:$D$207,D199,'Q1 Data'!$AG$4:$AG$207)+SUMIF('Q1 Data'!$D$4:$D$207,D199,'Q1 Data'!$AE$4:$AE$207)+SUMIF('Q2 Data'!$D$4:$D$207,D199,'Q2 Data'!$AD$4:$AD$207)+SUMIF('Q2 Data'!$D$4:$D$207,D199,'Q2 Data'!$AG$4:$AG$207)+SUMIF('Q2 Data'!$D$4:$D$207,D199,'Q2 Data'!$AE$4:$AE$207)+SUMIF('Q3 Data'!$D$4:$D$207,D199,'Q3 Data'!$AD$4:$AD$207)+SUMIF('Q3 Data'!$D$4:$D$207,D199,'Q3 Data'!$AG$4:$AG$207)+SUMIF('Q3 Data'!$D$4:$D$207,D199,'Q3 Data'!$AE$4:$AE$207)+SUMIF('Q4 Data'!$D$4:$D$207,D199,'Q4 Data'!$AD$4:$AD$207)+SUMIF('Q4 Data'!$D$4:$D$207,D199,'Q4 Data'!$AG$4:$AG$207)+SUMIF('Q4 Data'!$D$4:$D$207,D199,'Q4 Data'!$AE$4:$AE$207))</f>
      </c>
      <c r="AO199" s="27">
        <f>IF($B199&lt;&gt;"Challan","",P199-N199)</f>
      </c>
      <c r="AP199" s="27">
        <f>IF($B199&lt;&gt;"Challan","",MAX(0,AO199-AN199))</f>
      </c>
      <c r="AQ199" s="33">
        <f>IF($B199&lt;&gt;"Entry","",SUMPRODUCT(('Q1 Data'!$D$4:$D$207=D199)*('Q1 Data'!$B$4:$B$207="Challan")*'Q1 Data'!$F$4:$F$207)+SUMPRODUCT(('Q2 Data'!$D$4:$D$207=D199)*('Q2 Data'!$B$4:$B$207="Challan")*'Q2 Data'!$F$4:$F$207)+SUMPRODUCT(('Q3 Data'!$D$4:$D$207=D199)*('Q3 Data'!$B$4:$B$207="Challan")*'Q3 Data'!$F$4:$F$207)+SUMPRODUCT(('Q4 Data'!$D$4:$D$207=D199)*('Q4 Data'!$B$4:$B$207="Challan")*'Q4 Data'!$F$4:$F$207))</f>
      </c>
      <c r="AR199" s="34">
        <f>IF(OR($B199&lt;&gt;"Entry",Z199=""),FALSE,AND((SUMPRODUCT(('Q1 Data'!$D$4:$D$207=D199)*('Q1 Data'!$B$4:$B$207="Challan")*('Q1 Data'!$H$4:$H$207&lt;&gt;""))+SUMPRODUCT(('Q2 Data'!$D$4:$D$207=D199)*('Q2 Data'!$B$4:$B$207="Challan")*('Q2 Data'!$H$4:$H$207&lt;&gt;""))+SUMPRODUCT(('Q3 Data'!$D$4:$D$207=D199)*('Q3 Data'!$B$4:$B$207="Challan")*('Q3 Data'!$H$4:$H$207&lt;&gt;""))+SUMPRODUCT(('Q4 Data'!$D$4:$D$207=D199)*('Q4 Data'!$B$4:$B$207="Challan")*('Q4 Data'!$H$4:$H$207&lt;&gt;"")))&gt;0,(SUMPRODUCT(('Q1 Data'!$D$4:$D$207=D199)*('Q1 Data'!$B$4:$B$207="Challan")*('Q1 Data'!$H$4:$H$207=Z199))+SUMPRODUCT(('Q2 Data'!$D$4:$D$207=D199)*('Q2 Data'!$B$4:$B$207="Challan")*('Q2 Data'!$H$4:$H$207=Z199))+SUMPRODUCT(('Q3 Data'!$D$4:$D$207=D199)*('Q3 Data'!$B$4:$B$207="Challan")*('Q3 Data'!$H$4:$H$207=Z199))+SUMPRODUCT(('Q4 Data'!$D$4:$D$207=D199)*('Q4 Data'!$B$4:$B$207="Challan")*('Q4 Data'!$H$4:$H$207=Z199)))=0))</f>
      </c>
    </row>
    <row r="200" spans="1:44" x14ac:dyDescent="0.25">
      <c r="A200" s="20">
        <f>IF($B200="Entry",COUNTIF($B$4:$B200,"Entry"),"")</f>
      </c>
      <c r="B200" s="21"/>
      <c r="C200" s="22"/>
      <c r="D200" s="22"/>
      <c r="E200" s="23">
        <f>IF($B200&lt;&gt;"Challan","",IF(ROUND(AN200-AO200,2)&gt;0,"Over-applied",IF(ROUND(AN200-AO200,2)=0,"Fully Utilised","Unconsumed")))</f>
      </c>
      <c r="F200" s="24"/>
      <c r="G200" s="25"/>
      <c r="H200" s="25"/>
      <c r="I200" s="26"/>
      <c r="J200" s="26"/>
      <c r="K200" s="26"/>
      <c r="L200" s="26"/>
      <c r="M200" s="26"/>
      <c r="N200" s="26"/>
      <c r="O200" s="26"/>
      <c r="P200" s="27">
        <f>IF($B200&lt;&gt;"Challan","",I200+J200+K200+L200+M200+N200)</f>
      </c>
      <c r="Q200" s="25"/>
      <c r="R200" s="25"/>
      <c r="S200" s="25"/>
      <c r="T200" s="25"/>
      <c r="U200" s="25"/>
      <c r="V200" s="28"/>
      <c r="W200" s="28"/>
      <c r="X200" s="23">
        <f>IF($B200="Entry",IF(AND(LEN(TRIM(UPPER(W200)))=10,CODE(MID(TRIM(UPPER(W200)),1,1))&gt;=65,CODE(MID(TRIM(UPPER(W200)),1,1))&lt;=90,CODE(MID(TRIM(UPPER(W200)),2,1))&gt;=65,CODE(MID(TRIM(UPPER(W200)),2,1))&lt;=90,CODE(MID(TRIM(UPPER(W200)),3,1))&gt;=65,CODE(MID(TRIM(UPPER(W200)),3,1))&lt;=90,CODE(MID(TRIM(UPPER(W200)),4,1))&gt;=65,CODE(MID(TRIM(UPPER(W200)),4,1))&lt;=90,CODE(MID(TRIM(UPPER(W200)),5,1))&gt;=65,CODE(MID(TRIM(UPPER(W200)),5,1))&lt;=90,CODE(MID(TRIM(UPPER(W200)),10,1))&gt;=65,CODE(MID(TRIM(UPPER(W200)),10,1))&lt;=90,CODE(MID(TRIM(UPPER(W200)),6,1))&gt;=48,CODE(MID(TRIM(UPPER(W200)),6,1))&lt;=57,CODE(MID(TRIM(UPPER(W200)),7,1))&gt;=48,CODE(MID(TRIM(UPPER(W200)),7,1))&lt;=57,CODE(MID(TRIM(UPPER(W200)),8,1))&gt;=48,CODE(MID(TRIM(UPPER(W200)),8,1))&lt;=57,CODE(MID(TRIM(UPPER(W200)),9,1))&gt;=48,CODE(MID(TRIM(UPPER(W200)),9,1))&lt;=57),"N","Y"),IF($B200="Challan","",IF(W200&lt;&gt;"","◄ Set Row Type","")))</f>
      </c>
      <c r="Y200" s="23">
        <f>IF($B200="Entry",IF(LEN(W200)&lt;4,"",IF(UPPER(MID(W200,4,1))="P","Individual",IF(UPPER(MID(W200,4,1))="H","HUF",IF(UPPER(MID(W200,4,1))="C","Company",IF(UPPER(MID(W200,4,1))="F","Firm",IF(UPPER(MID(W200,4,1))="L","LLP",IF(UPPER(MID(W200,4,1))="T","Trust",IF(UPPER(MID(W200,4,1))="A","AOP","")))))))),IF($B200="Challan","",IF(W200&lt;&gt;"","◄ Set Row Type","")))</f>
      </c>
      <c r="Z200" s="28"/>
      <c r="AA200" s="29">
        <f>IF($B200&lt;&gt;"Entry","",IF(Z200="","",IF(X200="Y",SUMPRODUCT(('Rate Lookup'!$A$1:$A$37=Z200)*'Rate Lookup'!$D$1:$D$37),IF(OR(Y200="Individual",Y200="HUF"),SUMPRODUCT(('Rate Lookup'!$A$1:$A$37=Z200)*'Rate Lookup'!$B$1:$B$37),SUMPRODUCT(('Rate Lookup'!$A$1:$A$37=Z200)*'Rate Lookup'!$C$1:$C$37)))))</f>
      </c>
      <c r="AB200" s="30"/>
      <c r="AC200" s="31"/>
      <c r="AD200" s="27">
        <f>IF($B200&lt;&gt;"Entry","",ROUND(AC200*AA200/100,0))</f>
      </c>
      <c r="AE200" s="27">
        <f>IF($B200&lt;&gt;"Entry","",0)</f>
      </c>
      <c r="AF200" s="27">
        <f>IF($B200&lt;&gt;"Entry","",0)</f>
      </c>
      <c r="AG200" s="27">
        <f>IF($B200&lt;&gt;"Entry","",IF(OR(AD200=0,AB200="",AQ200="",AQ200&lt;=0),0,IF(AQ200&lt;=DATE(YEAR(AB200),MONTH(AB200)+1,7),0,ROUND(AD200*0.015*((YEAR(AQ200)-YEAR(AB200))*12+(MONTH(AQ200)-MONTH(AB200))+1),0))))</f>
      </c>
      <c r="AH200" s="27">
        <f>IF($B200&lt;&gt;"Entry","",0)</f>
      </c>
      <c r="AI200" s="28"/>
      <c r="AJ200" s="28"/>
      <c r="AK200" s="32"/>
      <c r="AL200" s="28"/>
      <c r="AM200" s="28"/>
      <c r="AN200" s="27">
        <f>IF($B200&lt;&gt;"Challan","",SUMIF('Q1 Data'!$D$4:$D$207,D200,'Q1 Data'!$AD$4:$AD$207)+SUMIF('Q1 Data'!$D$4:$D$207,D200,'Q1 Data'!$AG$4:$AG$207)+SUMIF('Q1 Data'!$D$4:$D$207,D200,'Q1 Data'!$AE$4:$AE$207)+SUMIF('Q2 Data'!$D$4:$D$207,D200,'Q2 Data'!$AD$4:$AD$207)+SUMIF('Q2 Data'!$D$4:$D$207,D200,'Q2 Data'!$AG$4:$AG$207)+SUMIF('Q2 Data'!$D$4:$D$207,D200,'Q2 Data'!$AE$4:$AE$207)+SUMIF('Q3 Data'!$D$4:$D$207,D200,'Q3 Data'!$AD$4:$AD$207)+SUMIF('Q3 Data'!$D$4:$D$207,D200,'Q3 Data'!$AG$4:$AG$207)+SUMIF('Q3 Data'!$D$4:$D$207,D200,'Q3 Data'!$AE$4:$AE$207)+SUMIF('Q4 Data'!$D$4:$D$207,D200,'Q4 Data'!$AD$4:$AD$207)+SUMIF('Q4 Data'!$D$4:$D$207,D200,'Q4 Data'!$AG$4:$AG$207)+SUMIF('Q4 Data'!$D$4:$D$207,D200,'Q4 Data'!$AE$4:$AE$207))</f>
      </c>
      <c r="AO200" s="27">
        <f>IF($B200&lt;&gt;"Challan","",P200-N200)</f>
      </c>
      <c r="AP200" s="27">
        <f>IF($B200&lt;&gt;"Challan","",MAX(0,AO200-AN200))</f>
      </c>
      <c r="AQ200" s="33">
        <f>IF($B200&lt;&gt;"Entry","",SUMPRODUCT(('Q1 Data'!$D$4:$D$207=D200)*('Q1 Data'!$B$4:$B$207="Challan")*'Q1 Data'!$F$4:$F$207)+SUMPRODUCT(('Q2 Data'!$D$4:$D$207=D200)*('Q2 Data'!$B$4:$B$207="Challan")*'Q2 Data'!$F$4:$F$207)+SUMPRODUCT(('Q3 Data'!$D$4:$D$207=D200)*('Q3 Data'!$B$4:$B$207="Challan")*'Q3 Data'!$F$4:$F$207)+SUMPRODUCT(('Q4 Data'!$D$4:$D$207=D200)*('Q4 Data'!$B$4:$B$207="Challan")*'Q4 Data'!$F$4:$F$207))</f>
      </c>
      <c r="AR200" s="34">
        <f>IF(OR($B200&lt;&gt;"Entry",Z200=""),FALSE,AND((SUMPRODUCT(('Q1 Data'!$D$4:$D$207=D200)*('Q1 Data'!$B$4:$B$207="Challan")*('Q1 Data'!$H$4:$H$207&lt;&gt;""))+SUMPRODUCT(('Q2 Data'!$D$4:$D$207=D200)*('Q2 Data'!$B$4:$B$207="Challan")*('Q2 Data'!$H$4:$H$207&lt;&gt;""))+SUMPRODUCT(('Q3 Data'!$D$4:$D$207=D200)*('Q3 Data'!$B$4:$B$207="Challan")*('Q3 Data'!$H$4:$H$207&lt;&gt;""))+SUMPRODUCT(('Q4 Data'!$D$4:$D$207=D200)*('Q4 Data'!$B$4:$B$207="Challan")*('Q4 Data'!$H$4:$H$207&lt;&gt;"")))&gt;0,(SUMPRODUCT(('Q1 Data'!$D$4:$D$207=D200)*('Q1 Data'!$B$4:$B$207="Challan")*('Q1 Data'!$H$4:$H$207=Z200))+SUMPRODUCT(('Q2 Data'!$D$4:$D$207=D200)*('Q2 Data'!$B$4:$B$207="Challan")*('Q2 Data'!$H$4:$H$207=Z200))+SUMPRODUCT(('Q3 Data'!$D$4:$D$207=D200)*('Q3 Data'!$B$4:$B$207="Challan")*('Q3 Data'!$H$4:$H$207=Z200))+SUMPRODUCT(('Q4 Data'!$D$4:$D$207=D200)*('Q4 Data'!$B$4:$B$207="Challan")*('Q4 Data'!$H$4:$H$207=Z200)))=0))</f>
      </c>
    </row>
    <row r="201" spans="1:44" x14ac:dyDescent="0.25">
      <c r="A201" s="20">
        <f>IF($B201="Entry",COUNTIF($B$4:$B201,"Entry"),"")</f>
      </c>
      <c r="B201" s="21"/>
      <c r="C201" s="22"/>
      <c r="D201" s="22"/>
      <c r="E201" s="23">
        <f>IF($B201&lt;&gt;"Challan","",IF(ROUND(AN201-AO201,2)&gt;0,"Over-applied",IF(ROUND(AN201-AO201,2)=0,"Fully Utilised","Unconsumed")))</f>
      </c>
      <c r="F201" s="24"/>
      <c r="G201" s="25"/>
      <c r="H201" s="25"/>
      <c r="I201" s="26"/>
      <c r="J201" s="26"/>
      <c r="K201" s="26"/>
      <c r="L201" s="26"/>
      <c r="M201" s="26"/>
      <c r="N201" s="26"/>
      <c r="O201" s="26"/>
      <c r="P201" s="27">
        <f>IF($B201&lt;&gt;"Challan","",I201+J201+K201+L201+M201+N201)</f>
      </c>
      <c r="Q201" s="25"/>
      <c r="R201" s="25"/>
      <c r="S201" s="25"/>
      <c r="T201" s="25"/>
      <c r="U201" s="25"/>
      <c r="V201" s="28"/>
      <c r="W201" s="28"/>
      <c r="X201" s="23">
        <f>IF($B201="Entry",IF(AND(LEN(TRIM(UPPER(W201)))=10,CODE(MID(TRIM(UPPER(W201)),1,1))&gt;=65,CODE(MID(TRIM(UPPER(W201)),1,1))&lt;=90,CODE(MID(TRIM(UPPER(W201)),2,1))&gt;=65,CODE(MID(TRIM(UPPER(W201)),2,1))&lt;=90,CODE(MID(TRIM(UPPER(W201)),3,1))&gt;=65,CODE(MID(TRIM(UPPER(W201)),3,1))&lt;=90,CODE(MID(TRIM(UPPER(W201)),4,1))&gt;=65,CODE(MID(TRIM(UPPER(W201)),4,1))&lt;=90,CODE(MID(TRIM(UPPER(W201)),5,1))&gt;=65,CODE(MID(TRIM(UPPER(W201)),5,1))&lt;=90,CODE(MID(TRIM(UPPER(W201)),10,1))&gt;=65,CODE(MID(TRIM(UPPER(W201)),10,1))&lt;=90,CODE(MID(TRIM(UPPER(W201)),6,1))&gt;=48,CODE(MID(TRIM(UPPER(W201)),6,1))&lt;=57,CODE(MID(TRIM(UPPER(W201)),7,1))&gt;=48,CODE(MID(TRIM(UPPER(W201)),7,1))&lt;=57,CODE(MID(TRIM(UPPER(W201)),8,1))&gt;=48,CODE(MID(TRIM(UPPER(W201)),8,1))&lt;=57,CODE(MID(TRIM(UPPER(W201)),9,1))&gt;=48,CODE(MID(TRIM(UPPER(W201)),9,1))&lt;=57),"N","Y"),IF($B201="Challan","",IF(W201&lt;&gt;"","◄ Set Row Type","")))</f>
      </c>
      <c r="Y201" s="23">
        <f>IF($B201="Entry",IF(LEN(W201)&lt;4,"",IF(UPPER(MID(W201,4,1))="P","Individual",IF(UPPER(MID(W201,4,1))="H","HUF",IF(UPPER(MID(W201,4,1))="C","Company",IF(UPPER(MID(W201,4,1))="F","Firm",IF(UPPER(MID(W201,4,1))="L","LLP",IF(UPPER(MID(W201,4,1))="T","Trust",IF(UPPER(MID(W201,4,1))="A","AOP","")))))))),IF($B201="Challan","",IF(W201&lt;&gt;"","◄ Set Row Type","")))</f>
      </c>
      <c r="Z201" s="28"/>
      <c r="AA201" s="29">
        <f>IF($B201&lt;&gt;"Entry","",IF(Z201="","",IF(X201="Y",SUMPRODUCT(('Rate Lookup'!$A$1:$A$37=Z201)*'Rate Lookup'!$D$1:$D$37),IF(OR(Y201="Individual",Y201="HUF"),SUMPRODUCT(('Rate Lookup'!$A$1:$A$37=Z201)*'Rate Lookup'!$B$1:$B$37),SUMPRODUCT(('Rate Lookup'!$A$1:$A$37=Z201)*'Rate Lookup'!$C$1:$C$37)))))</f>
      </c>
      <c r="AB201" s="30"/>
      <c r="AC201" s="31"/>
      <c r="AD201" s="27">
        <f>IF($B201&lt;&gt;"Entry","",ROUND(AC201*AA201/100,0))</f>
      </c>
      <c r="AE201" s="27">
        <f>IF($B201&lt;&gt;"Entry","",0)</f>
      </c>
      <c r="AF201" s="27">
        <f>IF($B201&lt;&gt;"Entry","",0)</f>
      </c>
      <c r="AG201" s="27">
        <f>IF($B201&lt;&gt;"Entry","",IF(OR(AD201=0,AB201="",AQ201="",AQ201&lt;=0),0,IF(AQ201&lt;=DATE(YEAR(AB201),MONTH(AB201)+1,7),0,ROUND(AD201*0.015*((YEAR(AQ201)-YEAR(AB201))*12+(MONTH(AQ201)-MONTH(AB201))+1),0))))</f>
      </c>
      <c r="AH201" s="27">
        <f>IF($B201&lt;&gt;"Entry","",0)</f>
      </c>
      <c r="AI201" s="28"/>
      <c r="AJ201" s="28"/>
      <c r="AK201" s="32"/>
      <c r="AL201" s="28"/>
      <c r="AM201" s="28"/>
      <c r="AN201" s="27">
        <f>IF($B201&lt;&gt;"Challan","",SUMIF('Q1 Data'!$D$4:$D$207,D201,'Q1 Data'!$AD$4:$AD$207)+SUMIF('Q1 Data'!$D$4:$D$207,D201,'Q1 Data'!$AG$4:$AG$207)+SUMIF('Q1 Data'!$D$4:$D$207,D201,'Q1 Data'!$AE$4:$AE$207)+SUMIF('Q2 Data'!$D$4:$D$207,D201,'Q2 Data'!$AD$4:$AD$207)+SUMIF('Q2 Data'!$D$4:$D$207,D201,'Q2 Data'!$AG$4:$AG$207)+SUMIF('Q2 Data'!$D$4:$D$207,D201,'Q2 Data'!$AE$4:$AE$207)+SUMIF('Q3 Data'!$D$4:$D$207,D201,'Q3 Data'!$AD$4:$AD$207)+SUMIF('Q3 Data'!$D$4:$D$207,D201,'Q3 Data'!$AG$4:$AG$207)+SUMIF('Q3 Data'!$D$4:$D$207,D201,'Q3 Data'!$AE$4:$AE$207)+SUMIF('Q4 Data'!$D$4:$D$207,D201,'Q4 Data'!$AD$4:$AD$207)+SUMIF('Q4 Data'!$D$4:$D$207,D201,'Q4 Data'!$AG$4:$AG$207)+SUMIF('Q4 Data'!$D$4:$D$207,D201,'Q4 Data'!$AE$4:$AE$207))</f>
      </c>
      <c r="AO201" s="27">
        <f>IF($B201&lt;&gt;"Challan","",P201-N201)</f>
      </c>
      <c r="AP201" s="27">
        <f>IF($B201&lt;&gt;"Challan","",MAX(0,AO201-AN201))</f>
      </c>
      <c r="AQ201" s="33">
        <f>IF($B201&lt;&gt;"Entry","",SUMPRODUCT(('Q1 Data'!$D$4:$D$207=D201)*('Q1 Data'!$B$4:$B$207="Challan")*'Q1 Data'!$F$4:$F$207)+SUMPRODUCT(('Q2 Data'!$D$4:$D$207=D201)*('Q2 Data'!$B$4:$B$207="Challan")*'Q2 Data'!$F$4:$F$207)+SUMPRODUCT(('Q3 Data'!$D$4:$D$207=D201)*('Q3 Data'!$B$4:$B$207="Challan")*'Q3 Data'!$F$4:$F$207)+SUMPRODUCT(('Q4 Data'!$D$4:$D$207=D201)*('Q4 Data'!$B$4:$B$207="Challan")*'Q4 Data'!$F$4:$F$207))</f>
      </c>
      <c r="AR201" s="34">
        <f>IF(OR($B201&lt;&gt;"Entry",Z201=""),FALSE,AND((SUMPRODUCT(('Q1 Data'!$D$4:$D$207=D201)*('Q1 Data'!$B$4:$B$207="Challan")*('Q1 Data'!$H$4:$H$207&lt;&gt;""))+SUMPRODUCT(('Q2 Data'!$D$4:$D$207=D201)*('Q2 Data'!$B$4:$B$207="Challan")*('Q2 Data'!$H$4:$H$207&lt;&gt;""))+SUMPRODUCT(('Q3 Data'!$D$4:$D$207=D201)*('Q3 Data'!$B$4:$B$207="Challan")*('Q3 Data'!$H$4:$H$207&lt;&gt;""))+SUMPRODUCT(('Q4 Data'!$D$4:$D$207=D201)*('Q4 Data'!$B$4:$B$207="Challan")*('Q4 Data'!$H$4:$H$207&lt;&gt;"")))&gt;0,(SUMPRODUCT(('Q1 Data'!$D$4:$D$207=D201)*('Q1 Data'!$B$4:$B$207="Challan")*('Q1 Data'!$H$4:$H$207=Z201))+SUMPRODUCT(('Q2 Data'!$D$4:$D$207=D201)*('Q2 Data'!$B$4:$B$207="Challan")*('Q2 Data'!$H$4:$H$207=Z201))+SUMPRODUCT(('Q3 Data'!$D$4:$D$207=D201)*('Q3 Data'!$B$4:$B$207="Challan")*('Q3 Data'!$H$4:$H$207=Z201))+SUMPRODUCT(('Q4 Data'!$D$4:$D$207=D201)*('Q4 Data'!$B$4:$B$207="Challan")*('Q4 Data'!$H$4:$H$207=Z201)))=0))</f>
      </c>
    </row>
    <row r="202" spans="1:44" x14ac:dyDescent="0.25">
      <c r="A202" s="20">
        <f>IF($B202="Entry",COUNTIF($B$4:$B202,"Entry"),"")</f>
      </c>
      <c r="B202" s="21"/>
      <c r="C202" s="22"/>
      <c r="D202" s="22"/>
      <c r="E202" s="23">
        <f>IF($B202&lt;&gt;"Challan","",IF(ROUND(AN202-AO202,2)&gt;0,"Over-applied",IF(ROUND(AN202-AO202,2)=0,"Fully Utilised","Unconsumed")))</f>
      </c>
      <c r="F202" s="24"/>
      <c r="G202" s="25"/>
      <c r="H202" s="25"/>
      <c r="I202" s="26"/>
      <c r="J202" s="26"/>
      <c r="K202" s="26"/>
      <c r="L202" s="26"/>
      <c r="M202" s="26"/>
      <c r="N202" s="26"/>
      <c r="O202" s="26"/>
      <c r="P202" s="27">
        <f>IF($B202&lt;&gt;"Challan","",I202+J202+K202+L202+M202+N202)</f>
      </c>
      <c r="Q202" s="25"/>
      <c r="R202" s="25"/>
      <c r="S202" s="25"/>
      <c r="T202" s="25"/>
      <c r="U202" s="25"/>
      <c r="V202" s="28"/>
      <c r="W202" s="28"/>
      <c r="X202" s="23">
        <f>IF($B202="Entry",IF(AND(LEN(TRIM(UPPER(W202)))=10,CODE(MID(TRIM(UPPER(W202)),1,1))&gt;=65,CODE(MID(TRIM(UPPER(W202)),1,1))&lt;=90,CODE(MID(TRIM(UPPER(W202)),2,1))&gt;=65,CODE(MID(TRIM(UPPER(W202)),2,1))&lt;=90,CODE(MID(TRIM(UPPER(W202)),3,1))&gt;=65,CODE(MID(TRIM(UPPER(W202)),3,1))&lt;=90,CODE(MID(TRIM(UPPER(W202)),4,1))&gt;=65,CODE(MID(TRIM(UPPER(W202)),4,1))&lt;=90,CODE(MID(TRIM(UPPER(W202)),5,1))&gt;=65,CODE(MID(TRIM(UPPER(W202)),5,1))&lt;=90,CODE(MID(TRIM(UPPER(W202)),10,1))&gt;=65,CODE(MID(TRIM(UPPER(W202)),10,1))&lt;=90,CODE(MID(TRIM(UPPER(W202)),6,1))&gt;=48,CODE(MID(TRIM(UPPER(W202)),6,1))&lt;=57,CODE(MID(TRIM(UPPER(W202)),7,1))&gt;=48,CODE(MID(TRIM(UPPER(W202)),7,1))&lt;=57,CODE(MID(TRIM(UPPER(W202)),8,1))&gt;=48,CODE(MID(TRIM(UPPER(W202)),8,1))&lt;=57,CODE(MID(TRIM(UPPER(W202)),9,1))&gt;=48,CODE(MID(TRIM(UPPER(W202)),9,1))&lt;=57),"N","Y"),IF($B202="Challan","",IF(W202&lt;&gt;"","◄ Set Row Type","")))</f>
      </c>
      <c r="Y202" s="23">
        <f>IF($B202="Entry",IF(LEN(W202)&lt;4,"",IF(UPPER(MID(W202,4,1))="P","Individual",IF(UPPER(MID(W202,4,1))="H","HUF",IF(UPPER(MID(W202,4,1))="C","Company",IF(UPPER(MID(W202,4,1))="F","Firm",IF(UPPER(MID(W202,4,1))="L","LLP",IF(UPPER(MID(W202,4,1))="T","Trust",IF(UPPER(MID(W202,4,1))="A","AOP","")))))))),IF($B202="Challan","",IF(W202&lt;&gt;"","◄ Set Row Type","")))</f>
      </c>
      <c r="Z202" s="28"/>
      <c r="AA202" s="29">
        <f>IF($B202&lt;&gt;"Entry","",IF(Z202="","",IF(X202="Y",SUMPRODUCT(('Rate Lookup'!$A$1:$A$37=Z202)*'Rate Lookup'!$D$1:$D$37),IF(OR(Y202="Individual",Y202="HUF"),SUMPRODUCT(('Rate Lookup'!$A$1:$A$37=Z202)*'Rate Lookup'!$B$1:$B$37),SUMPRODUCT(('Rate Lookup'!$A$1:$A$37=Z202)*'Rate Lookup'!$C$1:$C$37)))))</f>
      </c>
      <c r="AB202" s="30"/>
      <c r="AC202" s="31"/>
      <c r="AD202" s="27">
        <f>IF($B202&lt;&gt;"Entry","",ROUND(AC202*AA202/100,0))</f>
      </c>
      <c r="AE202" s="27">
        <f>IF($B202&lt;&gt;"Entry","",0)</f>
      </c>
      <c r="AF202" s="27">
        <f>IF($B202&lt;&gt;"Entry","",0)</f>
      </c>
      <c r="AG202" s="27">
        <f>IF($B202&lt;&gt;"Entry","",IF(OR(AD202=0,AB202="",AQ202="",AQ202&lt;=0),0,IF(AQ202&lt;=DATE(YEAR(AB202),MONTH(AB202)+1,7),0,ROUND(AD202*0.015*((YEAR(AQ202)-YEAR(AB202))*12+(MONTH(AQ202)-MONTH(AB202))+1),0))))</f>
      </c>
      <c r="AH202" s="27">
        <f>IF($B202&lt;&gt;"Entry","",0)</f>
      </c>
      <c r="AI202" s="28"/>
      <c r="AJ202" s="28"/>
      <c r="AK202" s="32"/>
      <c r="AL202" s="28"/>
      <c r="AM202" s="28"/>
      <c r="AN202" s="27">
        <f>IF($B202&lt;&gt;"Challan","",SUMIF('Q1 Data'!$D$4:$D$207,D202,'Q1 Data'!$AD$4:$AD$207)+SUMIF('Q1 Data'!$D$4:$D$207,D202,'Q1 Data'!$AG$4:$AG$207)+SUMIF('Q1 Data'!$D$4:$D$207,D202,'Q1 Data'!$AE$4:$AE$207)+SUMIF('Q2 Data'!$D$4:$D$207,D202,'Q2 Data'!$AD$4:$AD$207)+SUMIF('Q2 Data'!$D$4:$D$207,D202,'Q2 Data'!$AG$4:$AG$207)+SUMIF('Q2 Data'!$D$4:$D$207,D202,'Q2 Data'!$AE$4:$AE$207)+SUMIF('Q3 Data'!$D$4:$D$207,D202,'Q3 Data'!$AD$4:$AD$207)+SUMIF('Q3 Data'!$D$4:$D$207,D202,'Q3 Data'!$AG$4:$AG$207)+SUMIF('Q3 Data'!$D$4:$D$207,D202,'Q3 Data'!$AE$4:$AE$207)+SUMIF('Q4 Data'!$D$4:$D$207,D202,'Q4 Data'!$AD$4:$AD$207)+SUMIF('Q4 Data'!$D$4:$D$207,D202,'Q4 Data'!$AG$4:$AG$207)+SUMIF('Q4 Data'!$D$4:$D$207,D202,'Q4 Data'!$AE$4:$AE$207))</f>
      </c>
      <c r="AO202" s="27">
        <f>IF($B202&lt;&gt;"Challan","",P202-N202)</f>
      </c>
      <c r="AP202" s="27">
        <f>IF($B202&lt;&gt;"Challan","",MAX(0,AO202-AN202))</f>
      </c>
      <c r="AQ202" s="33">
        <f>IF($B202&lt;&gt;"Entry","",SUMPRODUCT(('Q1 Data'!$D$4:$D$207=D202)*('Q1 Data'!$B$4:$B$207="Challan")*'Q1 Data'!$F$4:$F$207)+SUMPRODUCT(('Q2 Data'!$D$4:$D$207=D202)*('Q2 Data'!$B$4:$B$207="Challan")*'Q2 Data'!$F$4:$F$207)+SUMPRODUCT(('Q3 Data'!$D$4:$D$207=D202)*('Q3 Data'!$B$4:$B$207="Challan")*'Q3 Data'!$F$4:$F$207)+SUMPRODUCT(('Q4 Data'!$D$4:$D$207=D202)*('Q4 Data'!$B$4:$B$207="Challan")*'Q4 Data'!$F$4:$F$207))</f>
      </c>
      <c r="AR202" s="34">
        <f>IF(OR($B202&lt;&gt;"Entry",Z202=""),FALSE,AND((SUMPRODUCT(('Q1 Data'!$D$4:$D$207=D202)*('Q1 Data'!$B$4:$B$207="Challan")*('Q1 Data'!$H$4:$H$207&lt;&gt;""))+SUMPRODUCT(('Q2 Data'!$D$4:$D$207=D202)*('Q2 Data'!$B$4:$B$207="Challan")*('Q2 Data'!$H$4:$H$207&lt;&gt;""))+SUMPRODUCT(('Q3 Data'!$D$4:$D$207=D202)*('Q3 Data'!$B$4:$B$207="Challan")*('Q3 Data'!$H$4:$H$207&lt;&gt;""))+SUMPRODUCT(('Q4 Data'!$D$4:$D$207=D202)*('Q4 Data'!$B$4:$B$207="Challan")*('Q4 Data'!$H$4:$H$207&lt;&gt;"")))&gt;0,(SUMPRODUCT(('Q1 Data'!$D$4:$D$207=D202)*('Q1 Data'!$B$4:$B$207="Challan")*('Q1 Data'!$H$4:$H$207=Z202))+SUMPRODUCT(('Q2 Data'!$D$4:$D$207=D202)*('Q2 Data'!$B$4:$B$207="Challan")*('Q2 Data'!$H$4:$H$207=Z202))+SUMPRODUCT(('Q3 Data'!$D$4:$D$207=D202)*('Q3 Data'!$B$4:$B$207="Challan")*('Q3 Data'!$H$4:$H$207=Z202))+SUMPRODUCT(('Q4 Data'!$D$4:$D$207=D202)*('Q4 Data'!$B$4:$B$207="Challan")*('Q4 Data'!$H$4:$H$207=Z202)))=0))</f>
      </c>
    </row>
    <row r="203" spans="1:44" x14ac:dyDescent="0.25">
      <c r="A203" s="20">
        <f>IF($B203="Entry",COUNTIF($B$4:$B203,"Entry"),"")</f>
      </c>
      <c r="B203" s="21"/>
      <c r="C203" s="22"/>
      <c r="D203" s="22"/>
      <c r="E203" s="23">
        <f>IF($B203&lt;&gt;"Challan","",IF(ROUND(AN203-AO203,2)&gt;0,"Over-applied",IF(ROUND(AN203-AO203,2)=0,"Fully Utilised","Unconsumed")))</f>
      </c>
      <c r="F203" s="24"/>
      <c r="G203" s="25"/>
      <c r="H203" s="25"/>
      <c r="I203" s="26"/>
      <c r="J203" s="26"/>
      <c r="K203" s="26"/>
      <c r="L203" s="26"/>
      <c r="M203" s="26"/>
      <c r="N203" s="26"/>
      <c r="O203" s="26"/>
      <c r="P203" s="27">
        <f>IF($B203&lt;&gt;"Challan","",I203+J203+K203+L203+M203+N203)</f>
      </c>
      <c r="Q203" s="25"/>
      <c r="R203" s="25"/>
      <c r="S203" s="25"/>
      <c r="T203" s="25"/>
      <c r="U203" s="25"/>
      <c r="V203" s="28"/>
      <c r="W203" s="28"/>
      <c r="X203" s="23">
        <f>IF($B203="Entry",IF(AND(LEN(TRIM(UPPER(W203)))=10,CODE(MID(TRIM(UPPER(W203)),1,1))&gt;=65,CODE(MID(TRIM(UPPER(W203)),1,1))&lt;=90,CODE(MID(TRIM(UPPER(W203)),2,1))&gt;=65,CODE(MID(TRIM(UPPER(W203)),2,1))&lt;=90,CODE(MID(TRIM(UPPER(W203)),3,1))&gt;=65,CODE(MID(TRIM(UPPER(W203)),3,1))&lt;=90,CODE(MID(TRIM(UPPER(W203)),4,1))&gt;=65,CODE(MID(TRIM(UPPER(W203)),4,1))&lt;=90,CODE(MID(TRIM(UPPER(W203)),5,1))&gt;=65,CODE(MID(TRIM(UPPER(W203)),5,1))&lt;=90,CODE(MID(TRIM(UPPER(W203)),10,1))&gt;=65,CODE(MID(TRIM(UPPER(W203)),10,1))&lt;=90,CODE(MID(TRIM(UPPER(W203)),6,1))&gt;=48,CODE(MID(TRIM(UPPER(W203)),6,1))&lt;=57,CODE(MID(TRIM(UPPER(W203)),7,1))&gt;=48,CODE(MID(TRIM(UPPER(W203)),7,1))&lt;=57,CODE(MID(TRIM(UPPER(W203)),8,1))&gt;=48,CODE(MID(TRIM(UPPER(W203)),8,1))&lt;=57,CODE(MID(TRIM(UPPER(W203)),9,1))&gt;=48,CODE(MID(TRIM(UPPER(W203)),9,1))&lt;=57),"N","Y"),IF($B203="Challan","",IF(W203&lt;&gt;"","◄ Set Row Type","")))</f>
      </c>
      <c r="Y203" s="23">
        <f>IF($B203="Entry",IF(LEN(W203)&lt;4,"",IF(UPPER(MID(W203,4,1))="P","Individual",IF(UPPER(MID(W203,4,1))="H","HUF",IF(UPPER(MID(W203,4,1))="C","Company",IF(UPPER(MID(W203,4,1))="F","Firm",IF(UPPER(MID(W203,4,1))="L","LLP",IF(UPPER(MID(W203,4,1))="T","Trust",IF(UPPER(MID(W203,4,1))="A","AOP","")))))))),IF($B203="Challan","",IF(W203&lt;&gt;"","◄ Set Row Type","")))</f>
      </c>
      <c r="Z203" s="28"/>
      <c r="AA203" s="29">
        <f>IF($B203&lt;&gt;"Entry","",IF(Z203="","",IF(X203="Y",SUMPRODUCT(('Rate Lookup'!$A$1:$A$37=Z203)*'Rate Lookup'!$D$1:$D$37),IF(OR(Y203="Individual",Y203="HUF"),SUMPRODUCT(('Rate Lookup'!$A$1:$A$37=Z203)*'Rate Lookup'!$B$1:$B$37),SUMPRODUCT(('Rate Lookup'!$A$1:$A$37=Z203)*'Rate Lookup'!$C$1:$C$37)))))</f>
      </c>
      <c r="AB203" s="30"/>
      <c r="AC203" s="31"/>
      <c r="AD203" s="27">
        <f>IF($B203&lt;&gt;"Entry","",ROUND(AC203*AA203/100,0))</f>
      </c>
      <c r="AE203" s="27">
        <f>IF($B203&lt;&gt;"Entry","",0)</f>
      </c>
      <c r="AF203" s="27">
        <f>IF($B203&lt;&gt;"Entry","",0)</f>
      </c>
      <c r="AG203" s="27">
        <f>IF($B203&lt;&gt;"Entry","",IF(OR(AD203=0,AB203="",AQ203="",AQ203&lt;=0),0,IF(AQ203&lt;=DATE(YEAR(AB203),MONTH(AB203)+1,7),0,ROUND(AD203*0.015*((YEAR(AQ203)-YEAR(AB203))*12+(MONTH(AQ203)-MONTH(AB203))+1),0))))</f>
      </c>
      <c r="AH203" s="27">
        <f>IF($B203&lt;&gt;"Entry","",0)</f>
      </c>
      <c r="AI203" s="28"/>
      <c r="AJ203" s="28"/>
      <c r="AK203" s="32"/>
      <c r="AL203" s="28"/>
      <c r="AM203" s="28"/>
      <c r="AN203" s="27">
        <f>IF($B203&lt;&gt;"Challan","",SUMIF('Q1 Data'!$D$4:$D$207,D203,'Q1 Data'!$AD$4:$AD$207)+SUMIF('Q1 Data'!$D$4:$D$207,D203,'Q1 Data'!$AG$4:$AG$207)+SUMIF('Q1 Data'!$D$4:$D$207,D203,'Q1 Data'!$AE$4:$AE$207)+SUMIF('Q2 Data'!$D$4:$D$207,D203,'Q2 Data'!$AD$4:$AD$207)+SUMIF('Q2 Data'!$D$4:$D$207,D203,'Q2 Data'!$AG$4:$AG$207)+SUMIF('Q2 Data'!$D$4:$D$207,D203,'Q2 Data'!$AE$4:$AE$207)+SUMIF('Q3 Data'!$D$4:$D$207,D203,'Q3 Data'!$AD$4:$AD$207)+SUMIF('Q3 Data'!$D$4:$D$207,D203,'Q3 Data'!$AG$4:$AG$207)+SUMIF('Q3 Data'!$D$4:$D$207,D203,'Q3 Data'!$AE$4:$AE$207)+SUMIF('Q4 Data'!$D$4:$D$207,D203,'Q4 Data'!$AD$4:$AD$207)+SUMIF('Q4 Data'!$D$4:$D$207,D203,'Q4 Data'!$AG$4:$AG$207)+SUMIF('Q4 Data'!$D$4:$D$207,D203,'Q4 Data'!$AE$4:$AE$207))</f>
      </c>
      <c r="AO203" s="27">
        <f>IF($B203&lt;&gt;"Challan","",P203-N203)</f>
      </c>
      <c r="AP203" s="27">
        <f>IF($B203&lt;&gt;"Challan","",MAX(0,AO203-AN203))</f>
      </c>
      <c r="AQ203" s="33">
        <f>IF($B203&lt;&gt;"Entry","",SUMPRODUCT(('Q1 Data'!$D$4:$D$207=D203)*('Q1 Data'!$B$4:$B$207="Challan")*'Q1 Data'!$F$4:$F$207)+SUMPRODUCT(('Q2 Data'!$D$4:$D$207=D203)*('Q2 Data'!$B$4:$B$207="Challan")*'Q2 Data'!$F$4:$F$207)+SUMPRODUCT(('Q3 Data'!$D$4:$D$207=D203)*('Q3 Data'!$B$4:$B$207="Challan")*'Q3 Data'!$F$4:$F$207)+SUMPRODUCT(('Q4 Data'!$D$4:$D$207=D203)*('Q4 Data'!$B$4:$B$207="Challan")*'Q4 Data'!$F$4:$F$207))</f>
      </c>
      <c r="AR203" s="34">
        <f>IF(OR($B203&lt;&gt;"Entry",Z203=""),FALSE,AND((SUMPRODUCT(('Q1 Data'!$D$4:$D$207=D203)*('Q1 Data'!$B$4:$B$207="Challan")*('Q1 Data'!$H$4:$H$207&lt;&gt;""))+SUMPRODUCT(('Q2 Data'!$D$4:$D$207=D203)*('Q2 Data'!$B$4:$B$207="Challan")*('Q2 Data'!$H$4:$H$207&lt;&gt;""))+SUMPRODUCT(('Q3 Data'!$D$4:$D$207=D203)*('Q3 Data'!$B$4:$B$207="Challan")*('Q3 Data'!$H$4:$H$207&lt;&gt;""))+SUMPRODUCT(('Q4 Data'!$D$4:$D$207=D203)*('Q4 Data'!$B$4:$B$207="Challan")*('Q4 Data'!$H$4:$H$207&lt;&gt;"")))&gt;0,(SUMPRODUCT(('Q1 Data'!$D$4:$D$207=D203)*('Q1 Data'!$B$4:$B$207="Challan")*('Q1 Data'!$H$4:$H$207=Z203))+SUMPRODUCT(('Q2 Data'!$D$4:$D$207=D203)*('Q2 Data'!$B$4:$B$207="Challan")*('Q2 Data'!$H$4:$H$207=Z203))+SUMPRODUCT(('Q3 Data'!$D$4:$D$207=D203)*('Q3 Data'!$B$4:$B$207="Challan")*('Q3 Data'!$H$4:$H$207=Z203))+SUMPRODUCT(('Q4 Data'!$D$4:$D$207=D203)*('Q4 Data'!$B$4:$B$207="Challan")*('Q4 Data'!$H$4:$H$207=Z203)))=0))</f>
      </c>
    </row>
    <row r="204" spans="1:44" x14ac:dyDescent="0.25">
      <c r="A204" s="20">
        <f>IF($B204="Entry",COUNTIF($B$4:$B204,"Entry"),"")</f>
      </c>
      <c r="B204" s="21"/>
      <c r="C204" s="22"/>
      <c r="D204" s="22"/>
      <c r="E204" s="23">
        <f>IF($B204&lt;&gt;"Challan","",IF(ROUND(AN204-AO204,2)&gt;0,"Over-applied",IF(ROUND(AN204-AO204,2)=0,"Fully Utilised","Unconsumed")))</f>
      </c>
      <c r="F204" s="24"/>
      <c r="G204" s="25"/>
      <c r="H204" s="25"/>
      <c r="I204" s="26"/>
      <c r="J204" s="26"/>
      <c r="K204" s="26"/>
      <c r="L204" s="26"/>
      <c r="M204" s="26"/>
      <c r="N204" s="26"/>
      <c r="O204" s="26"/>
      <c r="P204" s="27">
        <f>IF($B204&lt;&gt;"Challan","",I204+J204+K204+L204+M204+N204)</f>
      </c>
      <c r="Q204" s="25"/>
      <c r="R204" s="25"/>
      <c r="S204" s="25"/>
      <c r="T204" s="25"/>
      <c r="U204" s="25"/>
      <c r="V204" s="28"/>
      <c r="W204" s="28"/>
      <c r="X204" s="23">
        <f>IF($B204="Entry",IF(AND(LEN(TRIM(UPPER(W204)))=10,CODE(MID(TRIM(UPPER(W204)),1,1))&gt;=65,CODE(MID(TRIM(UPPER(W204)),1,1))&lt;=90,CODE(MID(TRIM(UPPER(W204)),2,1))&gt;=65,CODE(MID(TRIM(UPPER(W204)),2,1))&lt;=90,CODE(MID(TRIM(UPPER(W204)),3,1))&gt;=65,CODE(MID(TRIM(UPPER(W204)),3,1))&lt;=90,CODE(MID(TRIM(UPPER(W204)),4,1))&gt;=65,CODE(MID(TRIM(UPPER(W204)),4,1))&lt;=90,CODE(MID(TRIM(UPPER(W204)),5,1))&gt;=65,CODE(MID(TRIM(UPPER(W204)),5,1))&lt;=90,CODE(MID(TRIM(UPPER(W204)),10,1))&gt;=65,CODE(MID(TRIM(UPPER(W204)),10,1))&lt;=90,CODE(MID(TRIM(UPPER(W204)),6,1))&gt;=48,CODE(MID(TRIM(UPPER(W204)),6,1))&lt;=57,CODE(MID(TRIM(UPPER(W204)),7,1))&gt;=48,CODE(MID(TRIM(UPPER(W204)),7,1))&lt;=57,CODE(MID(TRIM(UPPER(W204)),8,1))&gt;=48,CODE(MID(TRIM(UPPER(W204)),8,1))&lt;=57,CODE(MID(TRIM(UPPER(W204)),9,1))&gt;=48,CODE(MID(TRIM(UPPER(W204)),9,1))&lt;=57),"N","Y"),IF($B204="Challan","",IF(W204&lt;&gt;"","◄ Set Row Type","")))</f>
      </c>
      <c r="Y204" s="23">
        <f>IF($B204="Entry",IF(LEN(W204)&lt;4,"",IF(UPPER(MID(W204,4,1))="P","Individual",IF(UPPER(MID(W204,4,1))="H","HUF",IF(UPPER(MID(W204,4,1))="C","Company",IF(UPPER(MID(W204,4,1))="F","Firm",IF(UPPER(MID(W204,4,1))="L","LLP",IF(UPPER(MID(W204,4,1))="T","Trust",IF(UPPER(MID(W204,4,1))="A","AOP","")))))))),IF($B204="Challan","",IF(W204&lt;&gt;"","◄ Set Row Type","")))</f>
      </c>
      <c r="Z204" s="28"/>
      <c r="AA204" s="29">
        <f>IF($B204&lt;&gt;"Entry","",IF(Z204="","",IF(X204="Y",SUMPRODUCT(('Rate Lookup'!$A$1:$A$37=Z204)*'Rate Lookup'!$D$1:$D$37),IF(OR(Y204="Individual",Y204="HUF"),SUMPRODUCT(('Rate Lookup'!$A$1:$A$37=Z204)*'Rate Lookup'!$B$1:$B$37),SUMPRODUCT(('Rate Lookup'!$A$1:$A$37=Z204)*'Rate Lookup'!$C$1:$C$37)))))</f>
      </c>
      <c r="AB204" s="30"/>
      <c r="AC204" s="31"/>
      <c r="AD204" s="27">
        <f>IF($B204&lt;&gt;"Entry","",ROUND(AC204*AA204/100,0))</f>
      </c>
      <c r="AE204" s="27">
        <f>IF($B204&lt;&gt;"Entry","",0)</f>
      </c>
      <c r="AF204" s="27">
        <f>IF($B204&lt;&gt;"Entry","",0)</f>
      </c>
      <c r="AG204" s="27">
        <f>IF($B204&lt;&gt;"Entry","",IF(OR(AD204=0,AB204="",AQ204="",AQ204&lt;=0),0,IF(AQ204&lt;=DATE(YEAR(AB204),MONTH(AB204)+1,7),0,ROUND(AD204*0.015*((YEAR(AQ204)-YEAR(AB204))*12+(MONTH(AQ204)-MONTH(AB204))+1),0))))</f>
      </c>
      <c r="AH204" s="27">
        <f>IF($B204&lt;&gt;"Entry","",0)</f>
      </c>
      <c r="AI204" s="28"/>
      <c r="AJ204" s="28"/>
      <c r="AK204" s="32"/>
      <c r="AL204" s="28"/>
      <c r="AM204" s="28"/>
      <c r="AN204" s="27">
        <f>IF($B204&lt;&gt;"Challan","",SUMIF('Q1 Data'!$D$4:$D$207,D204,'Q1 Data'!$AD$4:$AD$207)+SUMIF('Q1 Data'!$D$4:$D$207,D204,'Q1 Data'!$AG$4:$AG$207)+SUMIF('Q1 Data'!$D$4:$D$207,D204,'Q1 Data'!$AE$4:$AE$207)+SUMIF('Q2 Data'!$D$4:$D$207,D204,'Q2 Data'!$AD$4:$AD$207)+SUMIF('Q2 Data'!$D$4:$D$207,D204,'Q2 Data'!$AG$4:$AG$207)+SUMIF('Q2 Data'!$D$4:$D$207,D204,'Q2 Data'!$AE$4:$AE$207)+SUMIF('Q3 Data'!$D$4:$D$207,D204,'Q3 Data'!$AD$4:$AD$207)+SUMIF('Q3 Data'!$D$4:$D$207,D204,'Q3 Data'!$AG$4:$AG$207)+SUMIF('Q3 Data'!$D$4:$D$207,D204,'Q3 Data'!$AE$4:$AE$207)+SUMIF('Q4 Data'!$D$4:$D$207,D204,'Q4 Data'!$AD$4:$AD$207)+SUMIF('Q4 Data'!$D$4:$D$207,D204,'Q4 Data'!$AG$4:$AG$207)+SUMIF('Q4 Data'!$D$4:$D$207,D204,'Q4 Data'!$AE$4:$AE$207))</f>
      </c>
      <c r="AO204" s="27">
        <f>IF($B204&lt;&gt;"Challan","",P204-N204)</f>
      </c>
      <c r="AP204" s="27">
        <f>IF($B204&lt;&gt;"Challan","",MAX(0,AO204-AN204))</f>
      </c>
      <c r="AQ204" s="33">
        <f>IF($B204&lt;&gt;"Entry","",SUMPRODUCT(('Q1 Data'!$D$4:$D$207=D204)*('Q1 Data'!$B$4:$B$207="Challan")*'Q1 Data'!$F$4:$F$207)+SUMPRODUCT(('Q2 Data'!$D$4:$D$207=D204)*('Q2 Data'!$B$4:$B$207="Challan")*'Q2 Data'!$F$4:$F$207)+SUMPRODUCT(('Q3 Data'!$D$4:$D$207=D204)*('Q3 Data'!$B$4:$B$207="Challan")*'Q3 Data'!$F$4:$F$207)+SUMPRODUCT(('Q4 Data'!$D$4:$D$207=D204)*('Q4 Data'!$B$4:$B$207="Challan")*'Q4 Data'!$F$4:$F$207))</f>
      </c>
      <c r="AR204" s="34">
        <f>IF(OR($B204&lt;&gt;"Entry",Z204=""),FALSE,AND((SUMPRODUCT(('Q1 Data'!$D$4:$D$207=D204)*('Q1 Data'!$B$4:$B$207="Challan")*('Q1 Data'!$H$4:$H$207&lt;&gt;""))+SUMPRODUCT(('Q2 Data'!$D$4:$D$207=D204)*('Q2 Data'!$B$4:$B$207="Challan")*('Q2 Data'!$H$4:$H$207&lt;&gt;""))+SUMPRODUCT(('Q3 Data'!$D$4:$D$207=D204)*('Q3 Data'!$B$4:$B$207="Challan")*('Q3 Data'!$H$4:$H$207&lt;&gt;""))+SUMPRODUCT(('Q4 Data'!$D$4:$D$207=D204)*('Q4 Data'!$B$4:$B$207="Challan")*('Q4 Data'!$H$4:$H$207&lt;&gt;"")))&gt;0,(SUMPRODUCT(('Q1 Data'!$D$4:$D$207=D204)*('Q1 Data'!$B$4:$B$207="Challan")*('Q1 Data'!$H$4:$H$207=Z204))+SUMPRODUCT(('Q2 Data'!$D$4:$D$207=D204)*('Q2 Data'!$B$4:$B$207="Challan")*('Q2 Data'!$H$4:$H$207=Z204))+SUMPRODUCT(('Q3 Data'!$D$4:$D$207=D204)*('Q3 Data'!$B$4:$B$207="Challan")*('Q3 Data'!$H$4:$H$207=Z204))+SUMPRODUCT(('Q4 Data'!$D$4:$D$207=D204)*('Q4 Data'!$B$4:$B$207="Challan")*('Q4 Data'!$H$4:$H$207=Z204)))=0))</f>
      </c>
    </row>
    <row r="205" spans="1:44" x14ac:dyDescent="0.25">
      <c r="A205" s="20">
        <f>IF($B205="Entry",COUNTIF($B$4:$B205,"Entry"),"")</f>
      </c>
      <c r="B205" s="21"/>
      <c r="C205" s="22"/>
      <c r="D205" s="22"/>
      <c r="E205" s="23">
        <f>IF($B205&lt;&gt;"Challan","",IF(ROUND(AN205-AO205,2)&gt;0,"Over-applied",IF(ROUND(AN205-AO205,2)=0,"Fully Utilised","Unconsumed")))</f>
      </c>
      <c r="F205" s="24"/>
      <c r="G205" s="25"/>
      <c r="H205" s="25"/>
      <c r="I205" s="26"/>
      <c r="J205" s="26"/>
      <c r="K205" s="26"/>
      <c r="L205" s="26"/>
      <c r="M205" s="26"/>
      <c r="N205" s="26"/>
      <c r="O205" s="26"/>
      <c r="P205" s="27">
        <f>IF($B205&lt;&gt;"Challan","",I205+J205+K205+L205+M205+N205)</f>
      </c>
      <c r="Q205" s="25"/>
      <c r="R205" s="25"/>
      <c r="S205" s="25"/>
      <c r="T205" s="25"/>
      <c r="U205" s="25"/>
      <c r="V205" s="28"/>
      <c r="W205" s="28"/>
      <c r="X205" s="23">
        <f>IF($B205="Entry",IF(AND(LEN(TRIM(UPPER(W205)))=10,CODE(MID(TRIM(UPPER(W205)),1,1))&gt;=65,CODE(MID(TRIM(UPPER(W205)),1,1))&lt;=90,CODE(MID(TRIM(UPPER(W205)),2,1))&gt;=65,CODE(MID(TRIM(UPPER(W205)),2,1))&lt;=90,CODE(MID(TRIM(UPPER(W205)),3,1))&gt;=65,CODE(MID(TRIM(UPPER(W205)),3,1))&lt;=90,CODE(MID(TRIM(UPPER(W205)),4,1))&gt;=65,CODE(MID(TRIM(UPPER(W205)),4,1))&lt;=90,CODE(MID(TRIM(UPPER(W205)),5,1))&gt;=65,CODE(MID(TRIM(UPPER(W205)),5,1))&lt;=90,CODE(MID(TRIM(UPPER(W205)),10,1))&gt;=65,CODE(MID(TRIM(UPPER(W205)),10,1))&lt;=90,CODE(MID(TRIM(UPPER(W205)),6,1))&gt;=48,CODE(MID(TRIM(UPPER(W205)),6,1))&lt;=57,CODE(MID(TRIM(UPPER(W205)),7,1))&gt;=48,CODE(MID(TRIM(UPPER(W205)),7,1))&lt;=57,CODE(MID(TRIM(UPPER(W205)),8,1))&gt;=48,CODE(MID(TRIM(UPPER(W205)),8,1))&lt;=57,CODE(MID(TRIM(UPPER(W205)),9,1))&gt;=48,CODE(MID(TRIM(UPPER(W205)),9,1))&lt;=57),"N","Y"),IF($B205="Challan","",IF(W205&lt;&gt;"","◄ Set Row Type","")))</f>
      </c>
      <c r="Y205" s="23">
        <f>IF($B205="Entry",IF(LEN(W205)&lt;4,"",IF(UPPER(MID(W205,4,1))="P","Individual",IF(UPPER(MID(W205,4,1))="H","HUF",IF(UPPER(MID(W205,4,1))="C","Company",IF(UPPER(MID(W205,4,1))="F","Firm",IF(UPPER(MID(W205,4,1))="L","LLP",IF(UPPER(MID(W205,4,1))="T","Trust",IF(UPPER(MID(W205,4,1))="A","AOP","")))))))),IF($B205="Challan","",IF(W205&lt;&gt;"","◄ Set Row Type","")))</f>
      </c>
      <c r="Z205" s="28"/>
      <c r="AA205" s="29">
        <f>IF($B205&lt;&gt;"Entry","",IF(Z205="","",IF(X205="Y",SUMPRODUCT(('Rate Lookup'!$A$1:$A$37=Z205)*'Rate Lookup'!$D$1:$D$37),IF(OR(Y205="Individual",Y205="HUF"),SUMPRODUCT(('Rate Lookup'!$A$1:$A$37=Z205)*'Rate Lookup'!$B$1:$B$37),SUMPRODUCT(('Rate Lookup'!$A$1:$A$37=Z205)*'Rate Lookup'!$C$1:$C$37)))))</f>
      </c>
      <c r="AB205" s="30"/>
      <c r="AC205" s="31"/>
      <c r="AD205" s="27">
        <f>IF($B205&lt;&gt;"Entry","",ROUND(AC205*AA205/100,0))</f>
      </c>
      <c r="AE205" s="27">
        <f>IF($B205&lt;&gt;"Entry","",0)</f>
      </c>
      <c r="AF205" s="27">
        <f>IF($B205&lt;&gt;"Entry","",0)</f>
      </c>
      <c r="AG205" s="27">
        <f>IF($B205&lt;&gt;"Entry","",IF(OR(AD205=0,AB205="",AQ205="",AQ205&lt;=0),0,IF(AQ205&lt;=DATE(YEAR(AB205),MONTH(AB205)+1,7),0,ROUND(AD205*0.015*((YEAR(AQ205)-YEAR(AB205))*12+(MONTH(AQ205)-MONTH(AB205))+1),0))))</f>
      </c>
      <c r="AH205" s="27">
        <f>IF($B205&lt;&gt;"Entry","",0)</f>
      </c>
      <c r="AI205" s="28"/>
      <c r="AJ205" s="28"/>
      <c r="AK205" s="32"/>
      <c r="AL205" s="28"/>
      <c r="AM205" s="28"/>
      <c r="AN205" s="27">
        <f>IF($B205&lt;&gt;"Challan","",SUMIF('Q1 Data'!$D$4:$D$207,D205,'Q1 Data'!$AD$4:$AD$207)+SUMIF('Q1 Data'!$D$4:$D$207,D205,'Q1 Data'!$AG$4:$AG$207)+SUMIF('Q1 Data'!$D$4:$D$207,D205,'Q1 Data'!$AE$4:$AE$207)+SUMIF('Q2 Data'!$D$4:$D$207,D205,'Q2 Data'!$AD$4:$AD$207)+SUMIF('Q2 Data'!$D$4:$D$207,D205,'Q2 Data'!$AG$4:$AG$207)+SUMIF('Q2 Data'!$D$4:$D$207,D205,'Q2 Data'!$AE$4:$AE$207)+SUMIF('Q3 Data'!$D$4:$D$207,D205,'Q3 Data'!$AD$4:$AD$207)+SUMIF('Q3 Data'!$D$4:$D$207,D205,'Q3 Data'!$AG$4:$AG$207)+SUMIF('Q3 Data'!$D$4:$D$207,D205,'Q3 Data'!$AE$4:$AE$207)+SUMIF('Q4 Data'!$D$4:$D$207,D205,'Q4 Data'!$AD$4:$AD$207)+SUMIF('Q4 Data'!$D$4:$D$207,D205,'Q4 Data'!$AG$4:$AG$207)+SUMIF('Q4 Data'!$D$4:$D$207,D205,'Q4 Data'!$AE$4:$AE$207))</f>
      </c>
      <c r="AO205" s="27">
        <f>IF($B205&lt;&gt;"Challan","",P205-N205)</f>
      </c>
      <c r="AP205" s="27">
        <f>IF($B205&lt;&gt;"Challan","",MAX(0,AO205-AN205))</f>
      </c>
      <c r="AQ205" s="33">
        <f>IF($B205&lt;&gt;"Entry","",SUMPRODUCT(('Q1 Data'!$D$4:$D$207=D205)*('Q1 Data'!$B$4:$B$207="Challan")*'Q1 Data'!$F$4:$F$207)+SUMPRODUCT(('Q2 Data'!$D$4:$D$207=D205)*('Q2 Data'!$B$4:$B$207="Challan")*'Q2 Data'!$F$4:$F$207)+SUMPRODUCT(('Q3 Data'!$D$4:$D$207=D205)*('Q3 Data'!$B$4:$B$207="Challan")*'Q3 Data'!$F$4:$F$207)+SUMPRODUCT(('Q4 Data'!$D$4:$D$207=D205)*('Q4 Data'!$B$4:$B$207="Challan")*'Q4 Data'!$F$4:$F$207))</f>
      </c>
      <c r="AR205" s="34">
        <f>IF(OR($B205&lt;&gt;"Entry",Z205=""),FALSE,AND((SUMPRODUCT(('Q1 Data'!$D$4:$D$207=D205)*('Q1 Data'!$B$4:$B$207="Challan")*('Q1 Data'!$H$4:$H$207&lt;&gt;""))+SUMPRODUCT(('Q2 Data'!$D$4:$D$207=D205)*('Q2 Data'!$B$4:$B$207="Challan")*('Q2 Data'!$H$4:$H$207&lt;&gt;""))+SUMPRODUCT(('Q3 Data'!$D$4:$D$207=D205)*('Q3 Data'!$B$4:$B$207="Challan")*('Q3 Data'!$H$4:$H$207&lt;&gt;""))+SUMPRODUCT(('Q4 Data'!$D$4:$D$207=D205)*('Q4 Data'!$B$4:$B$207="Challan")*('Q4 Data'!$H$4:$H$207&lt;&gt;"")))&gt;0,(SUMPRODUCT(('Q1 Data'!$D$4:$D$207=D205)*('Q1 Data'!$B$4:$B$207="Challan")*('Q1 Data'!$H$4:$H$207=Z205))+SUMPRODUCT(('Q2 Data'!$D$4:$D$207=D205)*('Q2 Data'!$B$4:$B$207="Challan")*('Q2 Data'!$H$4:$H$207=Z205))+SUMPRODUCT(('Q3 Data'!$D$4:$D$207=D205)*('Q3 Data'!$B$4:$B$207="Challan")*('Q3 Data'!$H$4:$H$207=Z205))+SUMPRODUCT(('Q4 Data'!$D$4:$D$207=D205)*('Q4 Data'!$B$4:$B$207="Challan")*('Q4 Data'!$H$4:$H$207=Z205)))=0))</f>
      </c>
    </row>
    <row r="206" spans="1:44" x14ac:dyDescent="0.25">
      <c r="A206" s="20">
        <f>IF($B206="Entry",COUNTIF($B$4:$B206,"Entry"),"")</f>
      </c>
      <c r="B206" s="21"/>
      <c r="C206" s="22"/>
      <c r="D206" s="22"/>
      <c r="E206" s="23">
        <f>IF($B206&lt;&gt;"Challan","",IF(ROUND(AN206-AO206,2)&gt;0,"Over-applied",IF(ROUND(AN206-AO206,2)=0,"Fully Utilised","Unconsumed")))</f>
      </c>
      <c r="F206" s="24"/>
      <c r="G206" s="25"/>
      <c r="H206" s="25"/>
      <c r="I206" s="26"/>
      <c r="J206" s="26"/>
      <c r="K206" s="26"/>
      <c r="L206" s="26"/>
      <c r="M206" s="26"/>
      <c r="N206" s="26"/>
      <c r="O206" s="26"/>
      <c r="P206" s="27">
        <f>IF($B206&lt;&gt;"Challan","",I206+J206+K206+L206+M206+N206)</f>
      </c>
      <c r="Q206" s="25"/>
      <c r="R206" s="25"/>
      <c r="S206" s="25"/>
      <c r="T206" s="25"/>
      <c r="U206" s="25"/>
      <c r="V206" s="28"/>
      <c r="W206" s="28"/>
      <c r="X206" s="23">
        <f>IF($B206="Entry",IF(AND(LEN(TRIM(UPPER(W206)))=10,CODE(MID(TRIM(UPPER(W206)),1,1))&gt;=65,CODE(MID(TRIM(UPPER(W206)),1,1))&lt;=90,CODE(MID(TRIM(UPPER(W206)),2,1))&gt;=65,CODE(MID(TRIM(UPPER(W206)),2,1))&lt;=90,CODE(MID(TRIM(UPPER(W206)),3,1))&gt;=65,CODE(MID(TRIM(UPPER(W206)),3,1))&lt;=90,CODE(MID(TRIM(UPPER(W206)),4,1))&gt;=65,CODE(MID(TRIM(UPPER(W206)),4,1))&lt;=90,CODE(MID(TRIM(UPPER(W206)),5,1))&gt;=65,CODE(MID(TRIM(UPPER(W206)),5,1))&lt;=90,CODE(MID(TRIM(UPPER(W206)),10,1))&gt;=65,CODE(MID(TRIM(UPPER(W206)),10,1))&lt;=90,CODE(MID(TRIM(UPPER(W206)),6,1))&gt;=48,CODE(MID(TRIM(UPPER(W206)),6,1))&lt;=57,CODE(MID(TRIM(UPPER(W206)),7,1))&gt;=48,CODE(MID(TRIM(UPPER(W206)),7,1))&lt;=57,CODE(MID(TRIM(UPPER(W206)),8,1))&gt;=48,CODE(MID(TRIM(UPPER(W206)),8,1))&lt;=57,CODE(MID(TRIM(UPPER(W206)),9,1))&gt;=48,CODE(MID(TRIM(UPPER(W206)),9,1))&lt;=57),"N","Y"),IF($B206="Challan","",IF(W206&lt;&gt;"","◄ Set Row Type","")))</f>
      </c>
      <c r="Y206" s="23">
        <f>IF($B206="Entry",IF(LEN(W206)&lt;4,"",IF(UPPER(MID(W206,4,1))="P","Individual",IF(UPPER(MID(W206,4,1))="H","HUF",IF(UPPER(MID(W206,4,1))="C","Company",IF(UPPER(MID(W206,4,1))="F","Firm",IF(UPPER(MID(W206,4,1))="L","LLP",IF(UPPER(MID(W206,4,1))="T","Trust",IF(UPPER(MID(W206,4,1))="A","AOP","")))))))),IF($B206="Challan","",IF(W206&lt;&gt;"","◄ Set Row Type","")))</f>
      </c>
      <c r="Z206" s="28"/>
      <c r="AA206" s="29">
        <f>IF($B206&lt;&gt;"Entry","",IF(Z206="","",IF(X206="Y",SUMPRODUCT(('Rate Lookup'!$A$1:$A$37=Z206)*'Rate Lookup'!$D$1:$D$37),IF(OR(Y206="Individual",Y206="HUF"),SUMPRODUCT(('Rate Lookup'!$A$1:$A$37=Z206)*'Rate Lookup'!$B$1:$B$37),SUMPRODUCT(('Rate Lookup'!$A$1:$A$37=Z206)*'Rate Lookup'!$C$1:$C$37)))))</f>
      </c>
      <c r="AB206" s="30"/>
      <c r="AC206" s="31"/>
      <c r="AD206" s="27">
        <f>IF($B206&lt;&gt;"Entry","",ROUND(AC206*AA206/100,0))</f>
      </c>
      <c r="AE206" s="27">
        <f>IF($B206&lt;&gt;"Entry","",0)</f>
      </c>
      <c r="AF206" s="27">
        <f>IF($B206&lt;&gt;"Entry","",0)</f>
      </c>
      <c r="AG206" s="27">
        <f>IF($B206&lt;&gt;"Entry","",IF(OR(AD206=0,AB206="",AQ206="",AQ206&lt;=0),0,IF(AQ206&lt;=DATE(YEAR(AB206),MONTH(AB206)+1,7),0,ROUND(AD206*0.015*((YEAR(AQ206)-YEAR(AB206))*12+(MONTH(AQ206)-MONTH(AB206))+1),0))))</f>
      </c>
      <c r="AH206" s="27">
        <f>IF($B206&lt;&gt;"Entry","",0)</f>
      </c>
      <c r="AI206" s="28"/>
      <c r="AJ206" s="28"/>
      <c r="AK206" s="32"/>
      <c r="AL206" s="28"/>
      <c r="AM206" s="28"/>
      <c r="AN206" s="27">
        <f>IF($B206&lt;&gt;"Challan","",SUMIF('Q1 Data'!$D$4:$D$207,D206,'Q1 Data'!$AD$4:$AD$207)+SUMIF('Q1 Data'!$D$4:$D$207,D206,'Q1 Data'!$AG$4:$AG$207)+SUMIF('Q1 Data'!$D$4:$D$207,D206,'Q1 Data'!$AE$4:$AE$207)+SUMIF('Q2 Data'!$D$4:$D$207,D206,'Q2 Data'!$AD$4:$AD$207)+SUMIF('Q2 Data'!$D$4:$D$207,D206,'Q2 Data'!$AG$4:$AG$207)+SUMIF('Q2 Data'!$D$4:$D$207,D206,'Q2 Data'!$AE$4:$AE$207)+SUMIF('Q3 Data'!$D$4:$D$207,D206,'Q3 Data'!$AD$4:$AD$207)+SUMIF('Q3 Data'!$D$4:$D$207,D206,'Q3 Data'!$AG$4:$AG$207)+SUMIF('Q3 Data'!$D$4:$D$207,D206,'Q3 Data'!$AE$4:$AE$207)+SUMIF('Q4 Data'!$D$4:$D$207,D206,'Q4 Data'!$AD$4:$AD$207)+SUMIF('Q4 Data'!$D$4:$D$207,D206,'Q4 Data'!$AG$4:$AG$207)+SUMIF('Q4 Data'!$D$4:$D$207,D206,'Q4 Data'!$AE$4:$AE$207))</f>
      </c>
      <c r="AO206" s="27">
        <f>IF($B206&lt;&gt;"Challan","",P206-N206)</f>
      </c>
      <c r="AP206" s="27">
        <f>IF($B206&lt;&gt;"Challan","",MAX(0,AO206-AN206))</f>
      </c>
      <c r="AQ206" s="33">
        <f>IF($B206&lt;&gt;"Entry","",SUMPRODUCT(('Q1 Data'!$D$4:$D$207=D206)*('Q1 Data'!$B$4:$B$207="Challan")*'Q1 Data'!$F$4:$F$207)+SUMPRODUCT(('Q2 Data'!$D$4:$D$207=D206)*('Q2 Data'!$B$4:$B$207="Challan")*'Q2 Data'!$F$4:$F$207)+SUMPRODUCT(('Q3 Data'!$D$4:$D$207=D206)*('Q3 Data'!$B$4:$B$207="Challan")*'Q3 Data'!$F$4:$F$207)+SUMPRODUCT(('Q4 Data'!$D$4:$D$207=D206)*('Q4 Data'!$B$4:$B$207="Challan")*'Q4 Data'!$F$4:$F$207))</f>
      </c>
      <c r="AR206" s="34">
        <f>IF(OR($B206&lt;&gt;"Entry",Z206=""),FALSE,AND((SUMPRODUCT(('Q1 Data'!$D$4:$D$207=D206)*('Q1 Data'!$B$4:$B$207="Challan")*('Q1 Data'!$H$4:$H$207&lt;&gt;""))+SUMPRODUCT(('Q2 Data'!$D$4:$D$207=D206)*('Q2 Data'!$B$4:$B$207="Challan")*('Q2 Data'!$H$4:$H$207&lt;&gt;""))+SUMPRODUCT(('Q3 Data'!$D$4:$D$207=D206)*('Q3 Data'!$B$4:$B$207="Challan")*('Q3 Data'!$H$4:$H$207&lt;&gt;""))+SUMPRODUCT(('Q4 Data'!$D$4:$D$207=D206)*('Q4 Data'!$B$4:$B$207="Challan")*('Q4 Data'!$H$4:$H$207&lt;&gt;"")))&gt;0,(SUMPRODUCT(('Q1 Data'!$D$4:$D$207=D206)*('Q1 Data'!$B$4:$B$207="Challan")*('Q1 Data'!$H$4:$H$207=Z206))+SUMPRODUCT(('Q2 Data'!$D$4:$D$207=D206)*('Q2 Data'!$B$4:$B$207="Challan")*('Q2 Data'!$H$4:$H$207=Z206))+SUMPRODUCT(('Q3 Data'!$D$4:$D$207=D206)*('Q3 Data'!$B$4:$B$207="Challan")*('Q3 Data'!$H$4:$H$207=Z206))+SUMPRODUCT(('Q4 Data'!$D$4:$D$207=D206)*('Q4 Data'!$B$4:$B$207="Challan")*('Q4 Data'!$H$4:$H$207=Z206)))=0))</f>
      </c>
    </row>
    <row r="207" spans="1:44" x14ac:dyDescent="0.25">
      <c r="A207" s="20">
        <f>IF($B207="Entry",COUNTIF($B$4:$B207,"Entry"),"")</f>
      </c>
      <c r="B207" s="21"/>
      <c r="C207" s="22"/>
      <c r="D207" s="22"/>
      <c r="E207" s="23">
        <f>IF($B207&lt;&gt;"Challan","",IF(ROUND(AN207-AO207,2)&gt;0,"Over-applied",IF(ROUND(AN207-AO207,2)=0,"Fully Utilised","Unconsumed")))</f>
      </c>
      <c r="F207" s="24"/>
      <c r="G207" s="25"/>
      <c r="H207" s="25"/>
      <c r="I207" s="26"/>
      <c r="J207" s="26"/>
      <c r="K207" s="26"/>
      <c r="L207" s="26"/>
      <c r="M207" s="26"/>
      <c r="N207" s="26"/>
      <c r="O207" s="26"/>
      <c r="P207" s="27">
        <f>IF($B207&lt;&gt;"Challan","",I207+J207+K207+L207+M207+N207)</f>
      </c>
      <c r="Q207" s="25"/>
      <c r="R207" s="25"/>
      <c r="S207" s="25"/>
      <c r="T207" s="25"/>
      <c r="U207" s="25"/>
      <c r="V207" s="28"/>
      <c r="W207" s="28"/>
      <c r="X207" s="23">
        <f>IF($B207="Entry",IF(AND(LEN(TRIM(UPPER(W207)))=10,CODE(MID(TRIM(UPPER(W207)),1,1))&gt;=65,CODE(MID(TRIM(UPPER(W207)),1,1))&lt;=90,CODE(MID(TRIM(UPPER(W207)),2,1))&gt;=65,CODE(MID(TRIM(UPPER(W207)),2,1))&lt;=90,CODE(MID(TRIM(UPPER(W207)),3,1))&gt;=65,CODE(MID(TRIM(UPPER(W207)),3,1))&lt;=90,CODE(MID(TRIM(UPPER(W207)),4,1))&gt;=65,CODE(MID(TRIM(UPPER(W207)),4,1))&lt;=90,CODE(MID(TRIM(UPPER(W207)),5,1))&gt;=65,CODE(MID(TRIM(UPPER(W207)),5,1))&lt;=90,CODE(MID(TRIM(UPPER(W207)),10,1))&gt;=65,CODE(MID(TRIM(UPPER(W207)),10,1))&lt;=90,CODE(MID(TRIM(UPPER(W207)),6,1))&gt;=48,CODE(MID(TRIM(UPPER(W207)),6,1))&lt;=57,CODE(MID(TRIM(UPPER(W207)),7,1))&gt;=48,CODE(MID(TRIM(UPPER(W207)),7,1))&lt;=57,CODE(MID(TRIM(UPPER(W207)),8,1))&gt;=48,CODE(MID(TRIM(UPPER(W207)),8,1))&lt;=57,CODE(MID(TRIM(UPPER(W207)),9,1))&gt;=48,CODE(MID(TRIM(UPPER(W207)),9,1))&lt;=57),"N","Y"),IF($B207="Challan","",IF(W207&lt;&gt;"","◄ Set Row Type","")))</f>
      </c>
      <c r="Y207" s="23">
        <f>IF($B207="Entry",IF(LEN(W207)&lt;4,"",IF(UPPER(MID(W207,4,1))="P","Individual",IF(UPPER(MID(W207,4,1))="H","HUF",IF(UPPER(MID(W207,4,1))="C","Company",IF(UPPER(MID(W207,4,1))="F","Firm",IF(UPPER(MID(W207,4,1))="L","LLP",IF(UPPER(MID(W207,4,1))="T","Trust",IF(UPPER(MID(W207,4,1))="A","AOP","")))))))),IF($B207="Challan","",IF(W207&lt;&gt;"","◄ Set Row Type","")))</f>
      </c>
      <c r="Z207" s="28"/>
      <c r="AA207" s="29">
        <f>IF($B207&lt;&gt;"Entry","",IF(Z207="","",IF(X207="Y",SUMPRODUCT(('Rate Lookup'!$A$1:$A$37=Z207)*'Rate Lookup'!$D$1:$D$37),IF(OR(Y207="Individual",Y207="HUF"),SUMPRODUCT(('Rate Lookup'!$A$1:$A$37=Z207)*'Rate Lookup'!$B$1:$B$37),SUMPRODUCT(('Rate Lookup'!$A$1:$A$37=Z207)*'Rate Lookup'!$C$1:$C$37)))))</f>
      </c>
      <c r="AB207" s="30"/>
      <c r="AC207" s="31"/>
      <c r="AD207" s="27">
        <f>IF($B207&lt;&gt;"Entry","",ROUND(AC207*AA207/100,0))</f>
      </c>
      <c r="AE207" s="27">
        <f>IF($B207&lt;&gt;"Entry","",0)</f>
      </c>
      <c r="AF207" s="27">
        <f>IF($B207&lt;&gt;"Entry","",0)</f>
      </c>
      <c r="AG207" s="27">
        <f>IF($B207&lt;&gt;"Entry","",IF(OR(AD207=0,AB207="",AQ207="",AQ207&lt;=0),0,IF(AQ207&lt;=DATE(YEAR(AB207),MONTH(AB207)+1,7),0,ROUND(AD207*0.015*((YEAR(AQ207)-YEAR(AB207))*12+(MONTH(AQ207)-MONTH(AB207))+1),0))))</f>
      </c>
      <c r="AH207" s="27">
        <f>IF($B207&lt;&gt;"Entry","",0)</f>
      </c>
      <c r="AI207" s="28"/>
      <c r="AJ207" s="28"/>
      <c r="AK207" s="32"/>
      <c r="AL207" s="28"/>
      <c r="AM207" s="28"/>
      <c r="AN207" s="27">
        <f>IF($B207&lt;&gt;"Challan","",SUMIF('Q1 Data'!$D$4:$D$207,D207,'Q1 Data'!$AD$4:$AD$207)+SUMIF('Q1 Data'!$D$4:$D$207,D207,'Q1 Data'!$AG$4:$AG$207)+SUMIF('Q1 Data'!$D$4:$D$207,D207,'Q1 Data'!$AE$4:$AE$207)+SUMIF('Q2 Data'!$D$4:$D$207,D207,'Q2 Data'!$AD$4:$AD$207)+SUMIF('Q2 Data'!$D$4:$D$207,D207,'Q2 Data'!$AG$4:$AG$207)+SUMIF('Q2 Data'!$D$4:$D$207,D207,'Q2 Data'!$AE$4:$AE$207)+SUMIF('Q3 Data'!$D$4:$D$207,D207,'Q3 Data'!$AD$4:$AD$207)+SUMIF('Q3 Data'!$D$4:$D$207,D207,'Q3 Data'!$AG$4:$AG$207)+SUMIF('Q3 Data'!$D$4:$D$207,D207,'Q3 Data'!$AE$4:$AE$207)+SUMIF('Q4 Data'!$D$4:$D$207,D207,'Q4 Data'!$AD$4:$AD$207)+SUMIF('Q4 Data'!$D$4:$D$207,D207,'Q4 Data'!$AG$4:$AG$207)+SUMIF('Q4 Data'!$D$4:$D$207,D207,'Q4 Data'!$AE$4:$AE$207))</f>
      </c>
      <c r="AO207" s="27">
        <f>IF($B207&lt;&gt;"Challan","",P207-N207)</f>
      </c>
      <c r="AP207" s="27">
        <f>IF($B207&lt;&gt;"Challan","",MAX(0,AO207-AN207))</f>
      </c>
      <c r="AQ207" s="33">
        <f>IF($B207&lt;&gt;"Entry","",SUMPRODUCT(('Q1 Data'!$D$4:$D$207=D207)*('Q1 Data'!$B$4:$B$207="Challan")*'Q1 Data'!$F$4:$F$207)+SUMPRODUCT(('Q2 Data'!$D$4:$D$207=D207)*('Q2 Data'!$B$4:$B$207="Challan")*'Q2 Data'!$F$4:$F$207)+SUMPRODUCT(('Q3 Data'!$D$4:$D$207=D207)*('Q3 Data'!$B$4:$B$207="Challan")*'Q3 Data'!$F$4:$F$207)+SUMPRODUCT(('Q4 Data'!$D$4:$D$207=D207)*('Q4 Data'!$B$4:$B$207="Challan")*'Q4 Data'!$F$4:$F$207))</f>
      </c>
      <c r="AR207" s="34">
        <f>IF(OR($B207&lt;&gt;"Entry",Z207=""),FALSE,AND((SUMPRODUCT(('Q1 Data'!$D$4:$D$207=D207)*('Q1 Data'!$B$4:$B$207="Challan")*('Q1 Data'!$H$4:$H$207&lt;&gt;""))+SUMPRODUCT(('Q2 Data'!$D$4:$D$207=D207)*('Q2 Data'!$B$4:$B$207="Challan")*('Q2 Data'!$H$4:$H$207&lt;&gt;""))+SUMPRODUCT(('Q3 Data'!$D$4:$D$207=D207)*('Q3 Data'!$B$4:$B$207="Challan")*('Q3 Data'!$H$4:$H$207&lt;&gt;""))+SUMPRODUCT(('Q4 Data'!$D$4:$D$207=D207)*('Q4 Data'!$B$4:$B$207="Challan")*('Q4 Data'!$H$4:$H$207&lt;&gt;"")))&gt;0,(SUMPRODUCT(('Q1 Data'!$D$4:$D$207=D207)*('Q1 Data'!$B$4:$B$207="Challan")*('Q1 Data'!$H$4:$H$207=Z207))+SUMPRODUCT(('Q2 Data'!$D$4:$D$207=D207)*('Q2 Data'!$B$4:$B$207="Challan")*('Q2 Data'!$H$4:$H$207=Z207))+SUMPRODUCT(('Q3 Data'!$D$4:$D$207=D207)*('Q3 Data'!$B$4:$B$207="Challan")*('Q3 Data'!$H$4:$H$207=Z207))+SUMPRODUCT(('Q4 Data'!$D$4:$D$207=D207)*('Q4 Data'!$B$4:$B$207="Challan")*('Q4 Data'!$H$4:$H$207=Z207)))=0))</f>
      </c>
    </row>
  </sheetData>
  <sheetProtection sheet="1" formatCells="0" formatColumns="0" formatRows="0"/>
  <mergeCells count="2">
    <mergeCell ref="A1:AP1"/>
    <mergeCell ref="A2:AP2"/>
  </mergeCells>
  <conditionalFormatting sqref="A4:AP207">
    <cfRule type="expression" dxfId="18" priority="4">
      <formula>$B4="Challan"</formula>
    </cfRule>
  </conditionalFormatting>
  <conditionalFormatting sqref="A4:AP207">
    <cfRule type="expression" dxfId="19" priority="1">
      <formula>E4="Over-applied"</formula>
    </cfRule>
    <cfRule type="expression" dxfId="20" priority="2">
      <formula>E4="Fully Utilised"</formula>
    </cfRule>
    <cfRule type="expression" dxfId="21" priority="3">
      <formula>E4="Unconsumed"</formula>
    </cfRule>
  </conditionalFormatting>
  <conditionalFormatting sqref="Z4:Z207">
    <cfRule type="expression" dxfId="22" priority="5">
      <formula>AR4=TRUE</formula>
    </cfRule>
  </conditionalFormatting>
  <conditionalFormatting sqref="W4:W207">
    <cfRule type="expression" dxfId="23" priority="6">
      <formula>X4="Y"</formula>
    </cfRule>
  </conditionalFormatting>
  <conditionalFormatting sqref="X4:X207">
    <cfRule type="expression" dxfId="24" priority="7">
      <formula>X4="Y"</formula>
    </cfRule>
  </conditionalFormatting>
  <conditionalFormatting sqref="A2:AP2">
    <cfRule type="expression" dxfId="25" priority="8">
      <formula>ISNUMBER(SEARCH("VALIDATION FAILED",A2))</formula>
    </cfRule>
    <cfRule type="expression" dxfId="26" priority="9">
      <formula>ISNUMBER(SEARCH("Validation Successful",A2))</formula>
    </cfRule>
  </conditionalFormatting>
  <dataValidations count="20">
    <dataValidation type="date" allowBlank="1" showErrorMessage="1" errorTitle="Invalid Date" error="Enter a real date (use the date picker), between 01-Apr-2020 and 31-Mar-2030." sqref="AB4:AB207">
      <formula1>43922</formula1>
      <formula2>47573</formula2>
    </dataValidation>
    <dataValidation type="decimal" operator="greaterThanOrEqual" allowBlank="1" showErrorMessage="1" errorTitle="Invalid Amount" error="Must be a number of 0 or more." sqref="AC4:AC207">
      <formula1>0</formula1>
    </dataValidation>
    <dataValidation type="list" allowBlank="1" showErrorMessage="1" errorTitle="Invalid Reason Code" error="Pick a Reason Code from the dropdown (A/B/C/D/E/Y/Z)." sqref="AI4:AI207">
      <formula1>"A,B,C,D,E,Y,Z"</formula1>
    </dataValidation>
    <dataValidation type="decimal" allowBlank="1" showErrorMessage="1" errorTitle="Invalid Rate" error="Rate must be a number between 0 and 100." sqref="AK4:AK207">
      <formula1>0</formula1>
      <formula2>100</formula2>
    </dataValidation>
    <dataValidation type="list" showErrorMessage="1" errorTitle="Invalid Row Type" error="Pick either Challan or Entry from the dropdown." sqref="B4:B207">
      <formula1>"Challan,Entry"</formula1>
    </dataValidation>
    <dataValidation type="textLength" operator="equal" allowBlank="1" showErrorMessage="1" errorTitle="Invalid BSR Code" error="BSR Code must be exactly 7 characters." sqref="C4:C207">
      <formula1>7</formula1>
    </dataValidation>
    <dataValidation type="custom" allowBlank="1" showErrorMessage="1" errorTitle="Invalid Challan Serial No." error="On a Challan row, Challan Serial No. must be exactly 5 digits and unique across ALL FOUR quarter tabs — the same challan can only be entered once, in the quarter it was actually deposited." sqref="D4:D207">
      <formula1>OR($B4&lt;&gt;"Challan",AND(LEN(D4)=5,(COUNTIFS('Q1 Data'!$B$4:$B$207,"Challan",'Q1 Data'!$D$4:$D$207,D4)+COUNTIFS('Q2 Data'!$B$4:$B$207,"Challan",'Q2 Data'!$D$4:$D$207,D4)+COUNTIFS('Q3 Data'!$B$4:$B$207,"Challan",'Q3 Data'!$D$4:$D$207,D4)+COUNTIFS('Q4 Data'!$B$4:$B$207,"Challan",'Q4 Data'!$D$4:$D$207,D4))=1))</formula1>
    </dataValidation>
    <dataValidation type="date" allowBlank="1" showErrorMessage="1" errorTitle="Invalid Date" error="Enter a real date (use the date picker), between 01-Apr-2020 and 31-Mar-2030." sqref="F4:F207">
      <formula1>43922</formula1>
      <formula2>47573</formula2>
    </dataValidation>
    <dataValidation type="list" allowBlank="1" showErrorMessage="1" errorTitle="Invalid Minor Head" error="Pick 200 (TDS Payable) or 400 (Demand) from the dropdown." sqref="G4:G207">
      <formula1>"200,400"</formula1>
    </dataValidation>
    <dataValidation type="list" allowBlank="1" showErrorMessage="1" errorTitle="Invalid Section" error="Pick a section from the dropdown list." sqref="H4:H207">
      <formula1>'Rate Lookup'!$A$1:$A$37</formula1>
    </dataValidation>
    <dataValidation type="decimal" operator="greaterThanOrEqual" allowBlank="1" showErrorMessage="1" errorTitle="Invalid Amount" error="Must be a number of 0 or more." sqref="I4:I207">
      <formula1>0</formula1>
    </dataValidation>
    <dataValidation type="decimal" operator="greaterThanOrEqual" allowBlank="1" showErrorMessage="1" errorTitle="Invalid Amount" error="Must be a number of 0 or more." sqref="J4:J207">
      <formula1>0</formula1>
    </dataValidation>
    <dataValidation type="decimal" operator="greaterThanOrEqual" allowBlank="1" showErrorMessage="1" errorTitle="Invalid Amount" error="Must be a number of 0 or more." sqref="K4:K207">
      <formula1>0</formula1>
    </dataValidation>
    <dataValidation type="decimal" operator="greaterThanOrEqual" allowBlank="1" showErrorMessage="1" errorTitle="Invalid Amount" error="Must be a number of 0 or more." sqref="L4:L207">
      <formula1>0</formula1>
    </dataValidation>
    <dataValidation type="decimal" operator="greaterThanOrEqual" allowBlank="1" showErrorMessage="1" errorTitle="Invalid Amount" error="Must be a number of 0 or more." sqref="M4:M207">
      <formula1>0</formula1>
    </dataValidation>
    <dataValidation type="decimal" operator="greaterThanOrEqual" allowBlank="1" showErrorMessage="1" errorTitle="Invalid Amount" error="Must be a number of 0 or more." sqref="N4:N207">
      <formula1>0</formula1>
    </dataValidation>
    <dataValidation type="custom" allowBlank="1" showErrorMessage="1" errorTitle="Invalid Late Fees Used" error="Late Fees Used cannot be negative or exceed Late Fees u/s 234E." sqref="O4:O207">
      <formula1>AND(O4&gt;=0,O4&lt;=N4)</formula1>
    </dataValidation>
    <dataValidation type="custom" allowBlank="1" showErrorMessage="1" errorTitle="Invalid Bank Name" error="Bank Name must be a name, not a number." sqref="Q4:Q207">
      <formula1>LEN(SUBSTITUTE(SUBSTITUTE(SUBSTITUTE(SUBSTITUTE(SUBSTITUTE(SUBSTITUTE(SUBSTITUTE(SUBSTITUTE(SUBSTITUTE(SUBSTITUTE(SUBSTITUTE(SUBSTITUTE(SUBSTITUTE(Q4,"0",""),"1",""),"2",""),"3",""),"4",""),"5",""),"6",""),"7",""),"8",""),"9",""),",",""),".","")," ",""))&gt;0</formula1>
    </dataValidation>
    <dataValidation type="list" allowBlank="1" showErrorMessage="1" errorTitle="Invalid value" error="Pick Y or N from the dropdown." sqref="R4:R207">
      <formula1>"Y,N"</formula1>
    </dataValidation>
    <dataValidation type="list" allowBlank="1" showErrorMessage="1" errorTitle="Invalid Section for this Deductee Type" error="194C(a) is Individual/HUF only; 194C(b) is for every other deductee type. Pick the option matching this row's own Deductee Type (column Y)." sqref="Z4:Z207">
      <formula1>IF(OR($Y4="Individual",$Y4="HUF"),'Rate Lookup'!$F$1:$F$36,'Rate Lookup'!$G$1:$G$36)</formula1>
    </dataValidation>
  </dataValidations>
  <pageMargins left="0.7" right="0.7" top="0.75" bottom="0.75" header="0.3" footer="0.3"/>
  <pageSetup orientation="portrait" horizontalDpi="4294967295" verticalDpi="4294967295" scale="100" fitToWidth="1" fitToHeight="1"/>
  <ignoredErrors>
    <ignoredError sqref="C4:D207 F4:F207" numberStoredAsText="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R207"/>
  <sheetViews>
    <sheetView workbookViewId="0" showGridLines="0">
      <pane ySplit="3" topLeftCell="A4" activePane="bottomLeft" state="frozen"/>
      <selection pane="bottomLeft"/>
    </sheetView>
  </sheetViews>
  <sheetFormatPr defaultRowHeight="15" outlineLevelRow="0" outlineLevelCol="0" x14ac:dyDescent="55"/>
  <cols>
    <col min="1" max="1" width="7" customWidth="1"/>
    <col min="2" max="2" width="10" customWidth="1"/>
    <col min="3" max="4" width="12" customWidth="1"/>
    <col min="5" max="5" width="13" customWidth="1"/>
    <col min="6" max="7" width="12" customWidth="1"/>
    <col min="8" max="8" width="55" customWidth="1"/>
    <col min="9" max="20" width="12" customWidth="1"/>
    <col min="21" max="21" width="18" customWidth="1"/>
    <col min="22" max="22" width="26" customWidth="1"/>
    <col min="23" max="25" width="12" customWidth="1"/>
    <col min="26" max="26" width="55" customWidth="1"/>
    <col min="27" max="38" width="12" customWidth="1"/>
    <col min="39" max="39" width="18" customWidth="1"/>
    <col min="40" max="42" width="12" customWidth="1"/>
    <col min="43" max="44" width="12" hidden="1" customWidth="1"/>
  </cols>
  <sheetData>
    <row r="1" ht="22" customHeight="1" spans="1:42" x14ac:dyDescent="0.25">
      <c r="A1" s="6" t="s">
        <v>175</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row>
    <row r="2" ht="20" customHeight="1" spans="1:42" x14ac:dyDescent="0.25">
      <c r="A2" s="7">
        <f>IF(COUNTIF($E$4:$E$207,"Over-applied")=0,"✅ Validation Successful — no over-applied challans ("&amp;COUNTIF($B$4:$B$207,"Challan")&amp;" challans, "&amp;COUNTIF($B$4:$B$207,"Entry")&amp;" entries checked).","❌ VALIDATION FAILED — "&amp;COUNTIF($E$4:$E$207,"Over-applied")&amp;" challan(s) Over-applied. See the red-highlighted row(s) below — reduce entries or increase the challan deposit.")</f>
      </c>
      <c r="B2" s="7"/>
      <c r="C2" s="7"/>
      <c r="D2" s="7"/>
      <c r="E2" s="7"/>
      <c r="F2" s="7"/>
      <c r="G2" s="7"/>
      <c r="H2" s="7"/>
      <c r="I2" s="7"/>
      <c r="J2" s="7"/>
      <c r="K2" s="7"/>
      <c r="L2" s="7"/>
      <c r="M2" s="7"/>
      <c r="N2" s="7"/>
      <c r="O2" s="7"/>
      <c r="P2" s="7"/>
      <c r="Q2" s="7"/>
      <c r="R2" s="7"/>
      <c r="S2" s="7"/>
      <c r="T2" s="7"/>
      <c r="U2" s="7"/>
      <c r="V2" s="7"/>
      <c r="W2" s="7"/>
      <c r="X2" s="7"/>
      <c r="Y2" s="7"/>
      <c r="Z2" s="7"/>
      <c r="AA2" s="7"/>
      <c r="AB2" s="7"/>
      <c r="AC2" s="7"/>
      <c r="AD2" s="7"/>
      <c r="AE2" s="7"/>
      <c r="AF2" s="7"/>
      <c r="AG2" s="7"/>
      <c r="AH2" s="7"/>
      <c r="AI2" s="7"/>
      <c r="AJ2" s="7"/>
      <c r="AK2" s="7"/>
      <c r="AL2" s="7"/>
      <c r="AM2" s="7"/>
      <c r="AN2" s="7"/>
      <c r="AO2" s="7"/>
      <c r="AP2" s="7"/>
    </row>
    <row r="3" ht="40" customHeight="1" spans="1:44" x14ac:dyDescent="0.25">
      <c r="A3" s="8" t="s">
        <v>111</v>
      </c>
      <c r="B3" s="8" t="s">
        <v>112</v>
      </c>
      <c r="C3" s="8" t="s">
        <v>113</v>
      </c>
      <c r="D3" s="8" t="s">
        <v>114</v>
      </c>
      <c r="E3" s="8" t="s">
        <v>115</v>
      </c>
      <c r="F3" s="8" t="s">
        <v>116</v>
      </c>
      <c r="G3" s="8" t="s">
        <v>117</v>
      </c>
      <c r="H3" s="8" t="s">
        <v>118</v>
      </c>
      <c r="I3" s="8" t="s">
        <v>119</v>
      </c>
      <c r="J3" s="8" t="s">
        <v>120</v>
      </c>
      <c r="K3" s="8" t="s">
        <v>121</v>
      </c>
      <c r="L3" s="8" t="s">
        <v>122</v>
      </c>
      <c r="M3" s="8" t="s">
        <v>123</v>
      </c>
      <c r="N3" s="8" t="s">
        <v>124</v>
      </c>
      <c r="O3" s="8" t="s">
        <v>125</v>
      </c>
      <c r="P3" s="8" t="s">
        <v>126</v>
      </c>
      <c r="Q3" s="8" t="s">
        <v>127</v>
      </c>
      <c r="R3" s="8" t="s">
        <v>128</v>
      </c>
      <c r="S3" s="8" t="s">
        <v>129</v>
      </c>
      <c r="T3" s="8" t="s">
        <v>130</v>
      </c>
      <c r="U3" s="8" t="s">
        <v>131</v>
      </c>
      <c r="V3" s="8" t="s">
        <v>132</v>
      </c>
      <c r="W3" s="8" t="s">
        <v>133</v>
      </c>
      <c r="X3" s="8" t="s">
        <v>134</v>
      </c>
      <c r="Y3" s="8" t="s">
        <v>135</v>
      </c>
      <c r="Z3" s="8" t="s">
        <v>136</v>
      </c>
      <c r="AA3" s="8" t="s">
        <v>137</v>
      </c>
      <c r="AB3" s="8" t="s">
        <v>138</v>
      </c>
      <c r="AC3" s="8" t="s">
        <v>139</v>
      </c>
      <c r="AD3" s="8" t="s">
        <v>140</v>
      </c>
      <c r="AE3" s="8" t="s">
        <v>141</v>
      </c>
      <c r="AF3" s="8" t="s">
        <v>142</v>
      </c>
      <c r="AG3" s="8" t="s">
        <v>143</v>
      </c>
      <c r="AH3" s="8" t="s">
        <v>144</v>
      </c>
      <c r="AI3" s="8" t="s">
        <v>145</v>
      </c>
      <c r="AJ3" s="8" t="s">
        <v>146</v>
      </c>
      <c r="AK3" s="8" t="s">
        <v>147</v>
      </c>
      <c r="AL3" s="8" t="s">
        <v>148</v>
      </c>
      <c r="AM3" s="8" t="s">
        <v>149</v>
      </c>
      <c r="AN3" s="8" t="s">
        <v>150</v>
      </c>
      <c r="AO3" s="8" t="s">
        <v>151</v>
      </c>
      <c r="AP3" s="8" t="s">
        <v>152</v>
      </c>
      <c r="AQ3" s="8" t="s">
        <v>153</v>
      </c>
      <c r="AR3" s="8" t="s">
        <v>154</v>
      </c>
    </row>
    <row r="4" spans="1:44" x14ac:dyDescent="0.25">
      <c r="A4" s="20">
        <f>IF($B4="Entry",COUNTIF($B$4:$B4,"Entry"),"")</f>
      </c>
      <c r="B4" s="21"/>
      <c r="C4" s="22"/>
      <c r="D4" s="22"/>
      <c r="E4" s="23">
        <f>IF($B4&lt;&gt;"Challan","",IF(ROUND(AN4-AO4,2)&gt;0,"Over-applied",IF(ROUND(AN4-AO4,2)=0,"Fully Utilised","Unconsumed")))</f>
      </c>
      <c r="F4" s="24"/>
      <c r="G4" s="25"/>
      <c r="H4" s="25"/>
      <c r="I4" s="26"/>
      <c r="J4" s="26"/>
      <c r="K4" s="26"/>
      <c r="L4" s="26"/>
      <c r="M4" s="26"/>
      <c r="N4" s="26"/>
      <c r="O4" s="26"/>
      <c r="P4" s="27">
        <f>IF($B4&lt;&gt;"Challan","",I4+J4+K4+L4+M4+N4)</f>
      </c>
      <c r="Q4" s="25"/>
      <c r="R4" s="25"/>
      <c r="S4" s="25"/>
      <c r="T4" s="25"/>
      <c r="U4" s="25"/>
      <c r="V4" s="28"/>
      <c r="W4" s="28"/>
      <c r="X4" s="23">
        <f>IF($B4="Entry",IF(AND(LEN(TRIM(UPPER(W4)))=10,CODE(MID(TRIM(UPPER(W4)),1,1))&gt;=65,CODE(MID(TRIM(UPPER(W4)),1,1))&lt;=90,CODE(MID(TRIM(UPPER(W4)),2,1))&gt;=65,CODE(MID(TRIM(UPPER(W4)),2,1))&lt;=90,CODE(MID(TRIM(UPPER(W4)),3,1))&gt;=65,CODE(MID(TRIM(UPPER(W4)),3,1))&lt;=90,CODE(MID(TRIM(UPPER(W4)),4,1))&gt;=65,CODE(MID(TRIM(UPPER(W4)),4,1))&lt;=90,CODE(MID(TRIM(UPPER(W4)),5,1))&gt;=65,CODE(MID(TRIM(UPPER(W4)),5,1))&lt;=90,CODE(MID(TRIM(UPPER(W4)),10,1))&gt;=65,CODE(MID(TRIM(UPPER(W4)),10,1))&lt;=90,CODE(MID(TRIM(UPPER(W4)),6,1))&gt;=48,CODE(MID(TRIM(UPPER(W4)),6,1))&lt;=57,CODE(MID(TRIM(UPPER(W4)),7,1))&gt;=48,CODE(MID(TRIM(UPPER(W4)),7,1))&lt;=57,CODE(MID(TRIM(UPPER(W4)),8,1))&gt;=48,CODE(MID(TRIM(UPPER(W4)),8,1))&lt;=57,CODE(MID(TRIM(UPPER(W4)),9,1))&gt;=48,CODE(MID(TRIM(UPPER(W4)),9,1))&lt;=57),"N","Y"),IF($B4="Challan","",IF(W4&lt;&gt;"","◄ Set Row Type","")))</f>
      </c>
      <c r="Y4" s="23">
        <f>IF($B4="Entry",IF(LEN(W4)&lt;4,"",IF(UPPER(MID(W4,4,1))="P","Individual",IF(UPPER(MID(W4,4,1))="H","HUF",IF(UPPER(MID(W4,4,1))="C","Company",IF(UPPER(MID(W4,4,1))="F","Firm",IF(UPPER(MID(W4,4,1))="L","LLP",IF(UPPER(MID(W4,4,1))="T","Trust",IF(UPPER(MID(W4,4,1))="A","AOP","")))))))),IF($B4="Challan","",IF(W4&lt;&gt;"","◄ Set Row Type","")))</f>
      </c>
      <c r="Z4" s="28"/>
      <c r="AA4" s="29">
        <f>IF($B4&lt;&gt;"Entry","",IF(Z4="","",IF(X4="Y",SUMPRODUCT(('Rate Lookup'!$A$1:$A$37=Z4)*'Rate Lookup'!$D$1:$D$37),IF(OR(Y4="Individual",Y4="HUF"),SUMPRODUCT(('Rate Lookup'!$A$1:$A$37=Z4)*'Rate Lookup'!$B$1:$B$37),SUMPRODUCT(('Rate Lookup'!$A$1:$A$37=Z4)*'Rate Lookup'!$C$1:$C$37)))))</f>
      </c>
      <c r="AB4" s="30"/>
      <c r="AC4" s="31"/>
      <c r="AD4" s="27">
        <f>IF($B4&lt;&gt;"Entry","",ROUND(AC4*AA4/100,0))</f>
      </c>
      <c r="AE4" s="27">
        <f>IF($B4&lt;&gt;"Entry","",0)</f>
      </c>
      <c r="AF4" s="27">
        <f>IF($B4&lt;&gt;"Entry","",0)</f>
      </c>
      <c r="AG4" s="27">
        <f>IF($B4&lt;&gt;"Entry","",IF(OR(AD4=0,AB4="",AQ4="",AQ4&lt;=0),0,IF(AQ4&lt;=DATE(YEAR(AB4),MONTH(AB4)+1,7),0,ROUND(AD4*0.015*((YEAR(AQ4)-YEAR(AB4))*12+(MONTH(AQ4)-MONTH(AB4))+1),0))))</f>
      </c>
      <c r="AH4" s="27">
        <f>IF($B4&lt;&gt;"Entry","",0)</f>
      </c>
      <c r="AI4" s="28"/>
      <c r="AJ4" s="28"/>
      <c r="AK4" s="32"/>
      <c r="AL4" s="28"/>
      <c r="AM4" s="28"/>
      <c r="AN4" s="27">
        <f>IF($B4&lt;&gt;"Challan","",SUMIF('Q1 Data'!$D$4:$D$207,D4,'Q1 Data'!$AD$4:$AD$207)+SUMIF('Q1 Data'!$D$4:$D$207,D4,'Q1 Data'!$AG$4:$AG$207)+SUMIF('Q1 Data'!$D$4:$D$207,D4,'Q1 Data'!$AE$4:$AE$207)+SUMIF('Q2 Data'!$D$4:$D$207,D4,'Q2 Data'!$AD$4:$AD$207)+SUMIF('Q2 Data'!$D$4:$D$207,D4,'Q2 Data'!$AG$4:$AG$207)+SUMIF('Q2 Data'!$D$4:$D$207,D4,'Q2 Data'!$AE$4:$AE$207)+SUMIF('Q3 Data'!$D$4:$D$207,D4,'Q3 Data'!$AD$4:$AD$207)+SUMIF('Q3 Data'!$D$4:$D$207,D4,'Q3 Data'!$AG$4:$AG$207)+SUMIF('Q3 Data'!$D$4:$D$207,D4,'Q3 Data'!$AE$4:$AE$207)+SUMIF('Q4 Data'!$D$4:$D$207,D4,'Q4 Data'!$AD$4:$AD$207)+SUMIF('Q4 Data'!$D$4:$D$207,D4,'Q4 Data'!$AG$4:$AG$207)+SUMIF('Q4 Data'!$D$4:$D$207,D4,'Q4 Data'!$AE$4:$AE$207))</f>
      </c>
      <c r="AO4" s="27">
        <f>IF($B4&lt;&gt;"Challan","",P4-N4)</f>
      </c>
      <c r="AP4" s="27">
        <f>IF($B4&lt;&gt;"Challan","",MAX(0,AO4-AN4))</f>
      </c>
      <c r="AQ4" s="33">
        <f>IF($B4&lt;&gt;"Entry","",SUMPRODUCT(('Q1 Data'!$D$4:$D$207=D4)*('Q1 Data'!$B$4:$B$207="Challan")*'Q1 Data'!$F$4:$F$207)+SUMPRODUCT(('Q2 Data'!$D$4:$D$207=D4)*('Q2 Data'!$B$4:$B$207="Challan")*'Q2 Data'!$F$4:$F$207)+SUMPRODUCT(('Q3 Data'!$D$4:$D$207=D4)*('Q3 Data'!$B$4:$B$207="Challan")*'Q3 Data'!$F$4:$F$207)+SUMPRODUCT(('Q4 Data'!$D$4:$D$207=D4)*('Q4 Data'!$B$4:$B$207="Challan")*'Q4 Data'!$F$4:$F$207))</f>
      </c>
      <c r="AR4" s="34">
        <f>IF(OR($B4&lt;&gt;"Entry",Z4=""),FALSE,AND((SUMPRODUCT(('Q1 Data'!$D$4:$D$207=D4)*('Q1 Data'!$B$4:$B$207="Challan")*('Q1 Data'!$H$4:$H$207&lt;&gt;""))+SUMPRODUCT(('Q2 Data'!$D$4:$D$207=D4)*('Q2 Data'!$B$4:$B$207="Challan")*('Q2 Data'!$H$4:$H$207&lt;&gt;""))+SUMPRODUCT(('Q3 Data'!$D$4:$D$207=D4)*('Q3 Data'!$B$4:$B$207="Challan")*('Q3 Data'!$H$4:$H$207&lt;&gt;""))+SUMPRODUCT(('Q4 Data'!$D$4:$D$207=D4)*('Q4 Data'!$B$4:$B$207="Challan")*('Q4 Data'!$H$4:$H$207&lt;&gt;"")))&gt;0,(SUMPRODUCT(('Q1 Data'!$D$4:$D$207=D4)*('Q1 Data'!$B$4:$B$207="Challan")*('Q1 Data'!$H$4:$H$207=Z4))+SUMPRODUCT(('Q2 Data'!$D$4:$D$207=D4)*('Q2 Data'!$B$4:$B$207="Challan")*('Q2 Data'!$H$4:$H$207=Z4))+SUMPRODUCT(('Q3 Data'!$D$4:$D$207=D4)*('Q3 Data'!$B$4:$B$207="Challan")*('Q3 Data'!$H$4:$H$207=Z4))+SUMPRODUCT(('Q4 Data'!$D$4:$D$207=D4)*('Q4 Data'!$B$4:$B$207="Challan")*('Q4 Data'!$H$4:$H$207=Z4)))=0))</f>
      </c>
    </row>
    <row r="5" spans="1:44" x14ac:dyDescent="0.25">
      <c r="A5" s="20">
        <f>IF($B5="Entry",COUNTIF($B$4:$B5,"Entry"),"")</f>
      </c>
      <c r="B5" s="21"/>
      <c r="C5" s="22"/>
      <c r="D5" s="22"/>
      <c r="E5" s="23">
        <f>IF($B5&lt;&gt;"Challan","",IF(ROUND(AN5-AO5,2)&gt;0,"Over-applied",IF(ROUND(AN5-AO5,2)=0,"Fully Utilised","Unconsumed")))</f>
      </c>
      <c r="F5" s="24"/>
      <c r="G5" s="25"/>
      <c r="H5" s="25"/>
      <c r="I5" s="26"/>
      <c r="J5" s="26"/>
      <c r="K5" s="26"/>
      <c r="L5" s="26"/>
      <c r="M5" s="26"/>
      <c r="N5" s="26"/>
      <c r="O5" s="26"/>
      <c r="P5" s="27">
        <f>IF($B5&lt;&gt;"Challan","",I5+J5+K5+L5+M5+N5)</f>
      </c>
      <c r="Q5" s="25"/>
      <c r="R5" s="25"/>
      <c r="S5" s="25"/>
      <c r="T5" s="25"/>
      <c r="U5" s="25"/>
      <c r="V5" s="28"/>
      <c r="W5" s="28"/>
      <c r="X5" s="23">
        <f>IF($B5="Entry",IF(AND(LEN(TRIM(UPPER(W5)))=10,CODE(MID(TRIM(UPPER(W5)),1,1))&gt;=65,CODE(MID(TRIM(UPPER(W5)),1,1))&lt;=90,CODE(MID(TRIM(UPPER(W5)),2,1))&gt;=65,CODE(MID(TRIM(UPPER(W5)),2,1))&lt;=90,CODE(MID(TRIM(UPPER(W5)),3,1))&gt;=65,CODE(MID(TRIM(UPPER(W5)),3,1))&lt;=90,CODE(MID(TRIM(UPPER(W5)),4,1))&gt;=65,CODE(MID(TRIM(UPPER(W5)),4,1))&lt;=90,CODE(MID(TRIM(UPPER(W5)),5,1))&gt;=65,CODE(MID(TRIM(UPPER(W5)),5,1))&lt;=90,CODE(MID(TRIM(UPPER(W5)),10,1))&gt;=65,CODE(MID(TRIM(UPPER(W5)),10,1))&lt;=90,CODE(MID(TRIM(UPPER(W5)),6,1))&gt;=48,CODE(MID(TRIM(UPPER(W5)),6,1))&lt;=57,CODE(MID(TRIM(UPPER(W5)),7,1))&gt;=48,CODE(MID(TRIM(UPPER(W5)),7,1))&lt;=57,CODE(MID(TRIM(UPPER(W5)),8,1))&gt;=48,CODE(MID(TRIM(UPPER(W5)),8,1))&lt;=57,CODE(MID(TRIM(UPPER(W5)),9,1))&gt;=48,CODE(MID(TRIM(UPPER(W5)),9,1))&lt;=57),"N","Y"),IF($B5="Challan","",IF(W5&lt;&gt;"","◄ Set Row Type","")))</f>
      </c>
      <c r="Y5" s="23">
        <f>IF($B5="Entry",IF(LEN(W5)&lt;4,"",IF(UPPER(MID(W5,4,1))="P","Individual",IF(UPPER(MID(W5,4,1))="H","HUF",IF(UPPER(MID(W5,4,1))="C","Company",IF(UPPER(MID(W5,4,1))="F","Firm",IF(UPPER(MID(W5,4,1))="L","LLP",IF(UPPER(MID(W5,4,1))="T","Trust",IF(UPPER(MID(W5,4,1))="A","AOP","")))))))),IF($B5="Challan","",IF(W5&lt;&gt;"","◄ Set Row Type","")))</f>
      </c>
      <c r="Z5" s="28"/>
      <c r="AA5" s="29">
        <f>IF($B5&lt;&gt;"Entry","",IF(Z5="","",IF(X5="Y",SUMPRODUCT(('Rate Lookup'!$A$1:$A$37=Z5)*'Rate Lookup'!$D$1:$D$37),IF(OR(Y5="Individual",Y5="HUF"),SUMPRODUCT(('Rate Lookup'!$A$1:$A$37=Z5)*'Rate Lookup'!$B$1:$B$37),SUMPRODUCT(('Rate Lookup'!$A$1:$A$37=Z5)*'Rate Lookup'!$C$1:$C$37)))))</f>
      </c>
      <c r="AB5" s="30"/>
      <c r="AC5" s="31"/>
      <c r="AD5" s="27">
        <f>IF($B5&lt;&gt;"Entry","",ROUND(AC5*AA5/100,0))</f>
      </c>
      <c r="AE5" s="27">
        <f>IF($B5&lt;&gt;"Entry","",0)</f>
      </c>
      <c r="AF5" s="27">
        <f>IF($B5&lt;&gt;"Entry","",0)</f>
      </c>
      <c r="AG5" s="27">
        <f>IF($B5&lt;&gt;"Entry","",IF(OR(AD5=0,AB5="",AQ5="",AQ5&lt;=0),0,IF(AQ5&lt;=DATE(YEAR(AB5),MONTH(AB5)+1,7),0,ROUND(AD5*0.015*((YEAR(AQ5)-YEAR(AB5))*12+(MONTH(AQ5)-MONTH(AB5))+1),0))))</f>
      </c>
      <c r="AH5" s="27">
        <f>IF($B5&lt;&gt;"Entry","",0)</f>
      </c>
      <c r="AI5" s="28"/>
      <c r="AJ5" s="28"/>
      <c r="AK5" s="32"/>
      <c r="AL5" s="28"/>
      <c r="AM5" s="28"/>
      <c r="AN5" s="27">
        <f>IF($B5&lt;&gt;"Challan","",SUMIF('Q1 Data'!$D$4:$D$207,D5,'Q1 Data'!$AD$4:$AD$207)+SUMIF('Q1 Data'!$D$4:$D$207,D5,'Q1 Data'!$AG$4:$AG$207)+SUMIF('Q1 Data'!$D$4:$D$207,D5,'Q1 Data'!$AE$4:$AE$207)+SUMIF('Q2 Data'!$D$4:$D$207,D5,'Q2 Data'!$AD$4:$AD$207)+SUMIF('Q2 Data'!$D$4:$D$207,D5,'Q2 Data'!$AG$4:$AG$207)+SUMIF('Q2 Data'!$D$4:$D$207,D5,'Q2 Data'!$AE$4:$AE$207)+SUMIF('Q3 Data'!$D$4:$D$207,D5,'Q3 Data'!$AD$4:$AD$207)+SUMIF('Q3 Data'!$D$4:$D$207,D5,'Q3 Data'!$AG$4:$AG$207)+SUMIF('Q3 Data'!$D$4:$D$207,D5,'Q3 Data'!$AE$4:$AE$207)+SUMIF('Q4 Data'!$D$4:$D$207,D5,'Q4 Data'!$AD$4:$AD$207)+SUMIF('Q4 Data'!$D$4:$D$207,D5,'Q4 Data'!$AG$4:$AG$207)+SUMIF('Q4 Data'!$D$4:$D$207,D5,'Q4 Data'!$AE$4:$AE$207))</f>
      </c>
      <c r="AO5" s="27">
        <f>IF($B5&lt;&gt;"Challan","",P5-N5)</f>
      </c>
      <c r="AP5" s="27">
        <f>IF($B5&lt;&gt;"Challan","",MAX(0,AO5-AN5))</f>
      </c>
      <c r="AQ5" s="33">
        <f>IF($B5&lt;&gt;"Entry","",SUMPRODUCT(('Q1 Data'!$D$4:$D$207=D5)*('Q1 Data'!$B$4:$B$207="Challan")*'Q1 Data'!$F$4:$F$207)+SUMPRODUCT(('Q2 Data'!$D$4:$D$207=D5)*('Q2 Data'!$B$4:$B$207="Challan")*'Q2 Data'!$F$4:$F$207)+SUMPRODUCT(('Q3 Data'!$D$4:$D$207=D5)*('Q3 Data'!$B$4:$B$207="Challan")*'Q3 Data'!$F$4:$F$207)+SUMPRODUCT(('Q4 Data'!$D$4:$D$207=D5)*('Q4 Data'!$B$4:$B$207="Challan")*'Q4 Data'!$F$4:$F$207))</f>
      </c>
      <c r="AR5" s="34">
        <f>IF(OR($B5&lt;&gt;"Entry",Z5=""),FALSE,AND((SUMPRODUCT(('Q1 Data'!$D$4:$D$207=D5)*('Q1 Data'!$B$4:$B$207="Challan")*('Q1 Data'!$H$4:$H$207&lt;&gt;""))+SUMPRODUCT(('Q2 Data'!$D$4:$D$207=D5)*('Q2 Data'!$B$4:$B$207="Challan")*('Q2 Data'!$H$4:$H$207&lt;&gt;""))+SUMPRODUCT(('Q3 Data'!$D$4:$D$207=D5)*('Q3 Data'!$B$4:$B$207="Challan")*('Q3 Data'!$H$4:$H$207&lt;&gt;""))+SUMPRODUCT(('Q4 Data'!$D$4:$D$207=D5)*('Q4 Data'!$B$4:$B$207="Challan")*('Q4 Data'!$H$4:$H$207&lt;&gt;"")))&gt;0,(SUMPRODUCT(('Q1 Data'!$D$4:$D$207=D5)*('Q1 Data'!$B$4:$B$207="Challan")*('Q1 Data'!$H$4:$H$207=Z5))+SUMPRODUCT(('Q2 Data'!$D$4:$D$207=D5)*('Q2 Data'!$B$4:$B$207="Challan")*('Q2 Data'!$H$4:$H$207=Z5))+SUMPRODUCT(('Q3 Data'!$D$4:$D$207=D5)*('Q3 Data'!$B$4:$B$207="Challan")*('Q3 Data'!$H$4:$H$207=Z5))+SUMPRODUCT(('Q4 Data'!$D$4:$D$207=D5)*('Q4 Data'!$B$4:$B$207="Challan")*('Q4 Data'!$H$4:$H$207=Z5)))=0))</f>
      </c>
    </row>
    <row r="6" spans="1:44" x14ac:dyDescent="0.25">
      <c r="A6" s="20">
        <f>IF($B6="Entry",COUNTIF($B$4:$B6,"Entry"),"")</f>
      </c>
      <c r="B6" s="21"/>
      <c r="C6" s="22"/>
      <c r="D6" s="22"/>
      <c r="E6" s="23">
        <f>IF($B6&lt;&gt;"Challan","",IF(ROUND(AN6-AO6,2)&gt;0,"Over-applied",IF(ROUND(AN6-AO6,2)=0,"Fully Utilised","Unconsumed")))</f>
      </c>
      <c r="F6" s="24"/>
      <c r="G6" s="25"/>
      <c r="H6" s="25"/>
      <c r="I6" s="26"/>
      <c r="J6" s="26"/>
      <c r="K6" s="26"/>
      <c r="L6" s="26"/>
      <c r="M6" s="26"/>
      <c r="N6" s="26"/>
      <c r="O6" s="26"/>
      <c r="P6" s="27">
        <f>IF($B6&lt;&gt;"Challan","",I6+J6+K6+L6+M6+N6)</f>
      </c>
      <c r="Q6" s="25"/>
      <c r="R6" s="25"/>
      <c r="S6" s="25"/>
      <c r="T6" s="25"/>
      <c r="U6" s="25"/>
      <c r="V6" s="28"/>
      <c r="W6" s="28"/>
      <c r="X6" s="23">
        <f>IF($B6="Entry",IF(AND(LEN(TRIM(UPPER(W6)))=10,CODE(MID(TRIM(UPPER(W6)),1,1))&gt;=65,CODE(MID(TRIM(UPPER(W6)),1,1))&lt;=90,CODE(MID(TRIM(UPPER(W6)),2,1))&gt;=65,CODE(MID(TRIM(UPPER(W6)),2,1))&lt;=90,CODE(MID(TRIM(UPPER(W6)),3,1))&gt;=65,CODE(MID(TRIM(UPPER(W6)),3,1))&lt;=90,CODE(MID(TRIM(UPPER(W6)),4,1))&gt;=65,CODE(MID(TRIM(UPPER(W6)),4,1))&lt;=90,CODE(MID(TRIM(UPPER(W6)),5,1))&gt;=65,CODE(MID(TRIM(UPPER(W6)),5,1))&lt;=90,CODE(MID(TRIM(UPPER(W6)),10,1))&gt;=65,CODE(MID(TRIM(UPPER(W6)),10,1))&lt;=90,CODE(MID(TRIM(UPPER(W6)),6,1))&gt;=48,CODE(MID(TRIM(UPPER(W6)),6,1))&lt;=57,CODE(MID(TRIM(UPPER(W6)),7,1))&gt;=48,CODE(MID(TRIM(UPPER(W6)),7,1))&lt;=57,CODE(MID(TRIM(UPPER(W6)),8,1))&gt;=48,CODE(MID(TRIM(UPPER(W6)),8,1))&lt;=57,CODE(MID(TRIM(UPPER(W6)),9,1))&gt;=48,CODE(MID(TRIM(UPPER(W6)),9,1))&lt;=57),"N","Y"),IF($B6="Challan","",IF(W6&lt;&gt;"","◄ Set Row Type","")))</f>
      </c>
      <c r="Y6" s="23">
        <f>IF($B6="Entry",IF(LEN(W6)&lt;4,"",IF(UPPER(MID(W6,4,1))="P","Individual",IF(UPPER(MID(W6,4,1))="H","HUF",IF(UPPER(MID(W6,4,1))="C","Company",IF(UPPER(MID(W6,4,1))="F","Firm",IF(UPPER(MID(W6,4,1))="L","LLP",IF(UPPER(MID(W6,4,1))="T","Trust",IF(UPPER(MID(W6,4,1))="A","AOP","")))))))),IF($B6="Challan","",IF(W6&lt;&gt;"","◄ Set Row Type","")))</f>
      </c>
      <c r="Z6" s="28"/>
      <c r="AA6" s="29">
        <f>IF($B6&lt;&gt;"Entry","",IF(Z6="","",IF(X6="Y",SUMPRODUCT(('Rate Lookup'!$A$1:$A$37=Z6)*'Rate Lookup'!$D$1:$D$37),IF(OR(Y6="Individual",Y6="HUF"),SUMPRODUCT(('Rate Lookup'!$A$1:$A$37=Z6)*'Rate Lookup'!$B$1:$B$37),SUMPRODUCT(('Rate Lookup'!$A$1:$A$37=Z6)*'Rate Lookup'!$C$1:$C$37)))))</f>
      </c>
      <c r="AB6" s="30"/>
      <c r="AC6" s="31"/>
      <c r="AD6" s="27">
        <f>IF($B6&lt;&gt;"Entry","",ROUND(AC6*AA6/100,0))</f>
      </c>
      <c r="AE6" s="27">
        <f>IF($B6&lt;&gt;"Entry","",0)</f>
      </c>
      <c r="AF6" s="27">
        <f>IF($B6&lt;&gt;"Entry","",0)</f>
      </c>
      <c r="AG6" s="27">
        <f>IF($B6&lt;&gt;"Entry","",IF(OR(AD6=0,AB6="",AQ6="",AQ6&lt;=0),0,IF(AQ6&lt;=DATE(YEAR(AB6),MONTH(AB6)+1,7),0,ROUND(AD6*0.015*((YEAR(AQ6)-YEAR(AB6))*12+(MONTH(AQ6)-MONTH(AB6))+1),0))))</f>
      </c>
      <c r="AH6" s="27">
        <f>IF($B6&lt;&gt;"Entry","",0)</f>
      </c>
      <c r="AI6" s="28"/>
      <c r="AJ6" s="28"/>
      <c r="AK6" s="32"/>
      <c r="AL6" s="28"/>
      <c r="AM6" s="28"/>
      <c r="AN6" s="27">
        <f>IF($B6&lt;&gt;"Challan","",SUMIF('Q1 Data'!$D$4:$D$207,D6,'Q1 Data'!$AD$4:$AD$207)+SUMIF('Q1 Data'!$D$4:$D$207,D6,'Q1 Data'!$AG$4:$AG$207)+SUMIF('Q1 Data'!$D$4:$D$207,D6,'Q1 Data'!$AE$4:$AE$207)+SUMIF('Q2 Data'!$D$4:$D$207,D6,'Q2 Data'!$AD$4:$AD$207)+SUMIF('Q2 Data'!$D$4:$D$207,D6,'Q2 Data'!$AG$4:$AG$207)+SUMIF('Q2 Data'!$D$4:$D$207,D6,'Q2 Data'!$AE$4:$AE$207)+SUMIF('Q3 Data'!$D$4:$D$207,D6,'Q3 Data'!$AD$4:$AD$207)+SUMIF('Q3 Data'!$D$4:$D$207,D6,'Q3 Data'!$AG$4:$AG$207)+SUMIF('Q3 Data'!$D$4:$D$207,D6,'Q3 Data'!$AE$4:$AE$207)+SUMIF('Q4 Data'!$D$4:$D$207,D6,'Q4 Data'!$AD$4:$AD$207)+SUMIF('Q4 Data'!$D$4:$D$207,D6,'Q4 Data'!$AG$4:$AG$207)+SUMIF('Q4 Data'!$D$4:$D$207,D6,'Q4 Data'!$AE$4:$AE$207))</f>
      </c>
      <c r="AO6" s="27">
        <f>IF($B6&lt;&gt;"Challan","",P6-N6)</f>
      </c>
      <c r="AP6" s="27">
        <f>IF($B6&lt;&gt;"Challan","",MAX(0,AO6-AN6))</f>
      </c>
      <c r="AQ6" s="33">
        <f>IF($B6&lt;&gt;"Entry","",SUMPRODUCT(('Q1 Data'!$D$4:$D$207=D6)*('Q1 Data'!$B$4:$B$207="Challan")*'Q1 Data'!$F$4:$F$207)+SUMPRODUCT(('Q2 Data'!$D$4:$D$207=D6)*('Q2 Data'!$B$4:$B$207="Challan")*'Q2 Data'!$F$4:$F$207)+SUMPRODUCT(('Q3 Data'!$D$4:$D$207=D6)*('Q3 Data'!$B$4:$B$207="Challan")*'Q3 Data'!$F$4:$F$207)+SUMPRODUCT(('Q4 Data'!$D$4:$D$207=D6)*('Q4 Data'!$B$4:$B$207="Challan")*'Q4 Data'!$F$4:$F$207))</f>
      </c>
      <c r="AR6" s="34">
        <f>IF(OR($B6&lt;&gt;"Entry",Z6=""),FALSE,AND((SUMPRODUCT(('Q1 Data'!$D$4:$D$207=D6)*('Q1 Data'!$B$4:$B$207="Challan")*('Q1 Data'!$H$4:$H$207&lt;&gt;""))+SUMPRODUCT(('Q2 Data'!$D$4:$D$207=D6)*('Q2 Data'!$B$4:$B$207="Challan")*('Q2 Data'!$H$4:$H$207&lt;&gt;""))+SUMPRODUCT(('Q3 Data'!$D$4:$D$207=D6)*('Q3 Data'!$B$4:$B$207="Challan")*('Q3 Data'!$H$4:$H$207&lt;&gt;""))+SUMPRODUCT(('Q4 Data'!$D$4:$D$207=D6)*('Q4 Data'!$B$4:$B$207="Challan")*('Q4 Data'!$H$4:$H$207&lt;&gt;"")))&gt;0,(SUMPRODUCT(('Q1 Data'!$D$4:$D$207=D6)*('Q1 Data'!$B$4:$B$207="Challan")*('Q1 Data'!$H$4:$H$207=Z6))+SUMPRODUCT(('Q2 Data'!$D$4:$D$207=D6)*('Q2 Data'!$B$4:$B$207="Challan")*('Q2 Data'!$H$4:$H$207=Z6))+SUMPRODUCT(('Q3 Data'!$D$4:$D$207=D6)*('Q3 Data'!$B$4:$B$207="Challan")*('Q3 Data'!$H$4:$H$207=Z6))+SUMPRODUCT(('Q4 Data'!$D$4:$D$207=D6)*('Q4 Data'!$B$4:$B$207="Challan")*('Q4 Data'!$H$4:$H$207=Z6)))=0))</f>
      </c>
    </row>
    <row r="7" spans="1:44" x14ac:dyDescent="0.25">
      <c r="A7" s="20">
        <f>IF($B7="Entry",COUNTIF($B$4:$B7,"Entry"),"")</f>
      </c>
      <c r="B7" s="21"/>
      <c r="C7" s="22"/>
      <c r="D7" s="22"/>
      <c r="E7" s="23">
        <f>IF($B7&lt;&gt;"Challan","",IF(ROUND(AN7-AO7,2)&gt;0,"Over-applied",IF(ROUND(AN7-AO7,2)=0,"Fully Utilised","Unconsumed")))</f>
      </c>
      <c r="F7" s="24"/>
      <c r="G7" s="25"/>
      <c r="H7" s="25"/>
      <c r="I7" s="26"/>
      <c r="J7" s="26"/>
      <c r="K7" s="26"/>
      <c r="L7" s="26"/>
      <c r="M7" s="26"/>
      <c r="N7" s="26"/>
      <c r="O7" s="26"/>
      <c r="P7" s="27">
        <f>IF($B7&lt;&gt;"Challan","",I7+J7+K7+L7+M7+N7)</f>
      </c>
      <c r="Q7" s="25"/>
      <c r="R7" s="25"/>
      <c r="S7" s="25"/>
      <c r="T7" s="25"/>
      <c r="U7" s="25"/>
      <c r="V7" s="28"/>
      <c r="W7" s="28"/>
      <c r="X7" s="23">
        <f>IF($B7="Entry",IF(AND(LEN(TRIM(UPPER(W7)))=10,CODE(MID(TRIM(UPPER(W7)),1,1))&gt;=65,CODE(MID(TRIM(UPPER(W7)),1,1))&lt;=90,CODE(MID(TRIM(UPPER(W7)),2,1))&gt;=65,CODE(MID(TRIM(UPPER(W7)),2,1))&lt;=90,CODE(MID(TRIM(UPPER(W7)),3,1))&gt;=65,CODE(MID(TRIM(UPPER(W7)),3,1))&lt;=90,CODE(MID(TRIM(UPPER(W7)),4,1))&gt;=65,CODE(MID(TRIM(UPPER(W7)),4,1))&lt;=90,CODE(MID(TRIM(UPPER(W7)),5,1))&gt;=65,CODE(MID(TRIM(UPPER(W7)),5,1))&lt;=90,CODE(MID(TRIM(UPPER(W7)),10,1))&gt;=65,CODE(MID(TRIM(UPPER(W7)),10,1))&lt;=90,CODE(MID(TRIM(UPPER(W7)),6,1))&gt;=48,CODE(MID(TRIM(UPPER(W7)),6,1))&lt;=57,CODE(MID(TRIM(UPPER(W7)),7,1))&gt;=48,CODE(MID(TRIM(UPPER(W7)),7,1))&lt;=57,CODE(MID(TRIM(UPPER(W7)),8,1))&gt;=48,CODE(MID(TRIM(UPPER(W7)),8,1))&lt;=57,CODE(MID(TRIM(UPPER(W7)),9,1))&gt;=48,CODE(MID(TRIM(UPPER(W7)),9,1))&lt;=57),"N","Y"),IF($B7="Challan","",IF(W7&lt;&gt;"","◄ Set Row Type","")))</f>
      </c>
      <c r="Y7" s="23">
        <f>IF($B7="Entry",IF(LEN(W7)&lt;4,"",IF(UPPER(MID(W7,4,1))="P","Individual",IF(UPPER(MID(W7,4,1))="H","HUF",IF(UPPER(MID(W7,4,1))="C","Company",IF(UPPER(MID(W7,4,1))="F","Firm",IF(UPPER(MID(W7,4,1))="L","LLP",IF(UPPER(MID(W7,4,1))="T","Trust",IF(UPPER(MID(W7,4,1))="A","AOP","")))))))),IF($B7="Challan","",IF(W7&lt;&gt;"","◄ Set Row Type","")))</f>
      </c>
      <c r="Z7" s="28"/>
      <c r="AA7" s="29">
        <f>IF($B7&lt;&gt;"Entry","",IF(Z7="","",IF(X7="Y",SUMPRODUCT(('Rate Lookup'!$A$1:$A$37=Z7)*'Rate Lookup'!$D$1:$D$37),IF(OR(Y7="Individual",Y7="HUF"),SUMPRODUCT(('Rate Lookup'!$A$1:$A$37=Z7)*'Rate Lookup'!$B$1:$B$37),SUMPRODUCT(('Rate Lookup'!$A$1:$A$37=Z7)*'Rate Lookup'!$C$1:$C$37)))))</f>
      </c>
      <c r="AB7" s="30"/>
      <c r="AC7" s="31"/>
      <c r="AD7" s="27">
        <f>IF($B7&lt;&gt;"Entry","",ROUND(AC7*AA7/100,0))</f>
      </c>
      <c r="AE7" s="27">
        <f>IF($B7&lt;&gt;"Entry","",0)</f>
      </c>
      <c r="AF7" s="27">
        <f>IF($B7&lt;&gt;"Entry","",0)</f>
      </c>
      <c r="AG7" s="27">
        <f>IF($B7&lt;&gt;"Entry","",IF(OR(AD7=0,AB7="",AQ7="",AQ7&lt;=0),0,IF(AQ7&lt;=DATE(YEAR(AB7),MONTH(AB7)+1,7),0,ROUND(AD7*0.015*((YEAR(AQ7)-YEAR(AB7))*12+(MONTH(AQ7)-MONTH(AB7))+1),0))))</f>
      </c>
      <c r="AH7" s="27">
        <f>IF($B7&lt;&gt;"Entry","",0)</f>
      </c>
      <c r="AI7" s="28"/>
      <c r="AJ7" s="28"/>
      <c r="AK7" s="32"/>
      <c r="AL7" s="28"/>
      <c r="AM7" s="28"/>
      <c r="AN7" s="27">
        <f>IF($B7&lt;&gt;"Challan","",SUMIF('Q1 Data'!$D$4:$D$207,D7,'Q1 Data'!$AD$4:$AD$207)+SUMIF('Q1 Data'!$D$4:$D$207,D7,'Q1 Data'!$AG$4:$AG$207)+SUMIF('Q1 Data'!$D$4:$D$207,D7,'Q1 Data'!$AE$4:$AE$207)+SUMIF('Q2 Data'!$D$4:$D$207,D7,'Q2 Data'!$AD$4:$AD$207)+SUMIF('Q2 Data'!$D$4:$D$207,D7,'Q2 Data'!$AG$4:$AG$207)+SUMIF('Q2 Data'!$D$4:$D$207,D7,'Q2 Data'!$AE$4:$AE$207)+SUMIF('Q3 Data'!$D$4:$D$207,D7,'Q3 Data'!$AD$4:$AD$207)+SUMIF('Q3 Data'!$D$4:$D$207,D7,'Q3 Data'!$AG$4:$AG$207)+SUMIF('Q3 Data'!$D$4:$D$207,D7,'Q3 Data'!$AE$4:$AE$207)+SUMIF('Q4 Data'!$D$4:$D$207,D7,'Q4 Data'!$AD$4:$AD$207)+SUMIF('Q4 Data'!$D$4:$D$207,D7,'Q4 Data'!$AG$4:$AG$207)+SUMIF('Q4 Data'!$D$4:$D$207,D7,'Q4 Data'!$AE$4:$AE$207))</f>
      </c>
      <c r="AO7" s="27">
        <f>IF($B7&lt;&gt;"Challan","",P7-N7)</f>
      </c>
      <c r="AP7" s="27">
        <f>IF($B7&lt;&gt;"Challan","",MAX(0,AO7-AN7))</f>
      </c>
      <c r="AQ7" s="33">
        <f>IF($B7&lt;&gt;"Entry","",SUMPRODUCT(('Q1 Data'!$D$4:$D$207=D7)*('Q1 Data'!$B$4:$B$207="Challan")*'Q1 Data'!$F$4:$F$207)+SUMPRODUCT(('Q2 Data'!$D$4:$D$207=D7)*('Q2 Data'!$B$4:$B$207="Challan")*'Q2 Data'!$F$4:$F$207)+SUMPRODUCT(('Q3 Data'!$D$4:$D$207=D7)*('Q3 Data'!$B$4:$B$207="Challan")*'Q3 Data'!$F$4:$F$207)+SUMPRODUCT(('Q4 Data'!$D$4:$D$207=D7)*('Q4 Data'!$B$4:$B$207="Challan")*'Q4 Data'!$F$4:$F$207))</f>
      </c>
      <c r="AR7" s="34">
        <f>IF(OR($B7&lt;&gt;"Entry",Z7=""),FALSE,AND((SUMPRODUCT(('Q1 Data'!$D$4:$D$207=D7)*('Q1 Data'!$B$4:$B$207="Challan")*('Q1 Data'!$H$4:$H$207&lt;&gt;""))+SUMPRODUCT(('Q2 Data'!$D$4:$D$207=D7)*('Q2 Data'!$B$4:$B$207="Challan")*('Q2 Data'!$H$4:$H$207&lt;&gt;""))+SUMPRODUCT(('Q3 Data'!$D$4:$D$207=D7)*('Q3 Data'!$B$4:$B$207="Challan")*('Q3 Data'!$H$4:$H$207&lt;&gt;""))+SUMPRODUCT(('Q4 Data'!$D$4:$D$207=D7)*('Q4 Data'!$B$4:$B$207="Challan")*('Q4 Data'!$H$4:$H$207&lt;&gt;"")))&gt;0,(SUMPRODUCT(('Q1 Data'!$D$4:$D$207=D7)*('Q1 Data'!$B$4:$B$207="Challan")*('Q1 Data'!$H$4:$H$207=Z7))+SUMPRODUCT(('Q2 Data'!$D$4:$D$207=D7)*('Q2 Data'!$B$4:$B$207="Challan")*('Q2 Data'!$H$4:$H$207=Z7))+SUMPRODUCT(('Q3 Data'!$D$4:$D$207=D7)*('Q3 Data'!$B$4:$B$207="Challan")*('Q3 Data'!$H$4:$H$207=Z7))+SUMPRODUCT(('Q4 Data'!$D$4:$D$207=D7)*('Q4 Data'!$B$4:$B$207="Challan")*('Q4 Data'!$H$4:$H$207=Z7)))=0))</f>
      </c>
    </row>
    <row r="8" spans="1:44" x14ac:dyDescent="0.25">
      <c r="A8" s="20">
        <f>IF($B8="Entry",COUNTIF($B$4:$B8,"Entry"),"")</f>
      </c>
      <c r="B8" s="21"/>
      <c r="C8" s="22"/>
      <c r="D8" s="22"/>
      <c r="E8" s="23">
        <f>IF($B8&lt;&gt;"Challan","",IF(ROUND(AN8-AO8,2)&gt;0,"Over-applied",IF(ROUND(AN8-AO8,2)=0,"Fully Utilised","Unconsumed")))</f>
      </c>
      <c r="F8" s="24"/>
      <c r="G8" s="25"/>
      <c r="H8" s="25"/>
      <c r="I8" s="26"/>
      <c r="J8" s="26"/>
      <c r="K8" s="26"/>
      <c r="L8" s="26"/>
      <c r="M8" s="26"/>
      <c r="N8" s="26"/>
      <c r="O8" s="26"/>
      <c r="P8" s="27">
        <f>IF($B8&lt;&gt;"Challan","",I8+J8+K8+L8+M8+N8)</f>
      </c>
      <c r="Q8" s="25"/>
      <c r="R8" s="25"/>
      <c r="S8" s="25"/>
      <c r="T8" s="25"/>
      <c r="U8" s="25"/>
      <c r="V8" s="28"/>
      <c r="W8" s="28"/>
      <c r="X8" s="23">
        <f>IF($B8="Entry",IF(AND(LEN(TRIM(UPPER(W8)))=10,CODE(MID(TRIM(UPPER(W8)),1,1))&gt;=65,CODE(MID(TRIM(UPPER(W8)),1,1))&lt;=90,CODE(MID(TRIM(UPPER(W8)),2,1))&gt;=65,CODE(MID(TRIM(UPPER(W8)),2,1))&lt;=90,CODE(MID(TRIM(UPPER(W8)),3,1))&gt;=65,CODE(MID(TRIM(UPPER(W8)),3,1))&lt;=90,CODE(MID(TRIM(UPPER(W8)),4,1))&gt;=65,CODE(MID(TRIM(UPPER(W8)),4,1))&lt;=90,CODE(MID(TRIM(UPPER(W8)),5,1))&gt;=65,CODE(MID(TRIM(UPPER(W8)),5,1))&lt;=90,CODE(MID(TRIM(UPPER(W8)),10,1))&gt;=65,CODE(MID(TRIM(UPPER(W8)),10,1))&lt;=90,CODE(MID(TRIM(UPPER(W8)),6,1))&gt;=48,CODE(MID(TRIM(UPPER(W8)),6,1))&lt;=57,CODE(MID(TRIM(UPPER(W8)),7,1))&gt;=48,CODE(MID(TRIM(UPPER(W8)),7,1))&lt;=57,CODE(MID(TRIM(UPPER(W8)),8,1))&gt;=48,CODE(MID(TRIM(UPPER(W8)),8,1))&lt;=57,CODE(MID(TRIM(UPPER(W8)),9,1))&gt;=48,CODE(MID(TRIM(UPPER(W8)),9,1))&lt;=57),"N","Y"),IF($B8="Challan","",IF(W8&lt;&gt;"","◄ Set Row Type","")))</f>
      </c>
      <c r="Y8" s="23">
        <f>IF($B8="Entry",IF(LEN(W8)&lt;4,"",IF(UPPER(MID(W8,4,1))="P","Individual",IF(UPPER(MID(W8,4,1))="H","HUF",IF(UPPER(MID(W8,4,1))="C","Company",IF(UPPER(MID(W8,4,1))="F","Firm",IF(UPPER(MID(W8,4,1))="L","LLP",IF(UPPER(MID(W8,4,1))="T","Trust",IF(UPPER(MID(W8,4,1))="A","AOP","")))))))),IF($B8="Challan","",IF(W8&lt;&gt;"","◄ Set Row Type","")))</f>
      </c>
      <c r="Z8" s="28"/>
      <c r="AA8" s="29">
        <f>IF($B8&lt;&gt;"Entry","",IF(Z8="","",IF(X8="Y",SUMPRODUCT(('Rate Lookup'!$A$1:$A$37=Z8)*'Rate Lookup'!$D$1:$D$37),IF(OR(Y8="Individual",Y8="HUF"),SUMPRODUCT(('Rate Lookup'!$A$1:$A$37=Z8)*'Rate Lookup'!$B$1:$B$37),SUMPRODUCT(('Rate Lookup'!$A$1:$A$37=Z8)*'Rate Lookup'!$C$1:$C$37)))))</f>
      </c>
      <c r="AB8" s="30"/>
      <c r="AC8" s="31"/>
      <c r="AD8" s="27">
        <f>IF($B8&lt;&gt;"Entry","",ROUND(AC8*AA8/100,0))</f>
      </c>
      <c r="AE8" s="27">
        <f>IF($B8&lt;&gt;"Entry","",0)</f>
      </c>
      <c r="AF8" s="27">
        <f>IF($B8&lt;&gt;"Entry","",0)</f>
      </c>
      <c r="AG8" s="27">
        <f>IF($B8&lt;&gt;"Entry","",IF(OR(AD8=0,AB8="",AQ8="",AQ8&lt;=0),0,IF(AQ8&lt;=DATE(YEAR(AB8),MONTH(AB8)+1,7),0,ROUND(AD8*0.015*((YEAR(AQ8)-YEAR(AB8))*12+(MONTH(AQ8)-MONTH(AB8))+1),0))))</f>
      </c>
      <c r="AH8" s="27">
        <f>IF($B8&lt;&gt;"Entry","",0)</f>
      </c>
      <c r="AI8" s="28"/>
      <c r="AJ8" s="28"/>
      <c r="AK8" s="32"/>
      <c r="AL8" s="28"/>
      <c r="AM8" s="28"/>
      <c r="AN8" s="27">
        <f>IF($B8&lt;&gt;"Challan","",SUMIF('Q1 Data'!$D$4:$D$207,D8,'Q1 Data'!$AD$4:$AD$207)+SUMIF('Q1 Data'!$D$4:$D$207,D8,'Q1 Data'!$AG$4:$AG$207)+SUMIF('Q1 Data'!$D$4:$D$207,D8,'Q1 Data'!$AE$4:$AE$207)+SUMIF('Q2 Data'!$D$4:$D$207,D8,'Q2 Data'!$AD$4:$AD$207)+SUMIF('Q2 Data'!$D$4:$D$207,D8,'Q2 Data'!$AG$4:$AG$207)+SUMIF('Q2 Data'!$D$4:$D$207,D8,'Q2 Data'!$AE$4:$AE$207)+SUMIF('Q3 Data'!$D$4:$D$207,D8,'Q3 Data'!$AD$4:$AD$207)+SUMIF('Q3 Data'!$D$4:$D$207,D8,'Q3 Data'!$AG$4:$AG$207)+SUMIF('Q3 Data'!$D$4:$D$207,D8,'Q3 Data'!$AE$4:$AE$207)+SUMIF('Q4 Data'!$D$4:$D$207,D8,'Q4 Data'!$AD$4:$AD$207)+SUMIF('Q4 Data'!$D$4:$D$207,D8,'Q4 Data'!$AG$4:$AG$207)+SUMIF('Q4 Data'!$D$4:$D$207,D8,'Q4 Data'!$AE$4:$AE$207))</f>
      </c>
      <c r="AO8" s="27">
        <f>IF($B8&lt;&gt;"Challan","",P8-N8)</f>
      </c>
      <c r="AP8" s="27">
        <f>IF($B8&lt;&gt;"Challan","",MAX(0,AO8-AN8))</f>
      </c>
      <c r="AQ8" s="33">
        <f>IF($B8&lt;&gt;"Entry","",SUMPRODUCT(('Q1 Data'!$D$4:$D$207=D8)*('Q1 Data'!$B$4:$B$207="Challan")*'Q1 Data'!$F$4:$F$207)+SUMPRODUCT(('Q2 Data'!$D$4:$D$207=D8)*('Q2 Data'!$B$4:$B$207="Challan")*'Q2 Data'!$F$4:$F$207)+SUMPRODUCT(('Q3 Data'!$D$4:$D$207=D8)*('Q3 Data'!$B$4:$B$207="Challan")*'Q3 Data'!$F$4:$F$207)+SUMPRODUCT(('Q4 Data'!$D$4:$D$207=D8)*('Q4 Data'!$B$4:$B$207="Challan")*'Q4 Data'!$F$4:$F$207))</f>
      </c>
      <c r="AR8" s="34">
        <f>IF(OR($B8&lt;&gt;"Entry",Z8=""),FALSE,AND((SUMPRODUCT(('Q1 Data'!$D$4:$D$207=D8)*('Q1 Data'!$B$4:$B$207="Challan")*('Q1 Data'!$H$4:$H$207&lt;&gt;""))+SUMPRODUCT(('Q2 Data'!$D$4:$D$207=D8)*('Q2 Data'!$B$4:$B$207="Challan")*('Q2 Data'!$H$4:$H$207&lt;&gt;""))+SUMPRODUCT(('Q3 Data'!$D$4:$D$207=D8)*('Q3 Data'!$B$4:$B$207="Challan")*('Q3 Data'!$H$4:$H$207&lt;&gt;""))+SUMPRODUCT(('Q4 Data'!$D$4:$D$207=D8)*('Q4 Data'!$B$4:$B$207="Challan")*('Q4 Data'!$H$4:$H$207&lt;&gt;"")))&gt;0,(SUMPRODUCT(('Q1 Data'!$D$4:$D$207=D8)*('Q1 Data'!$B$4:$B$207="Challan")*('Q1 Data'!$H$4:$H$207=Z8))+SUMPRODUCT(('Q2 Data'!$D$4:$D$207=D8)*('Q2 Data'!$B$4:$B$207="Challan")*('Q2 Data'!$H$4:$H$207=Z8))+SUMPRODUCT(('Q3 Data'!$D$4:$D$207=D8)*('Q3 Data'!$B$4:$B$207="Challan")*('Q3 Data'!$H$4:$H$207=Z8))+SUMPRODUCT(('Q4 Data'!$D$4:$D$207=D8)*('Q4 Data'!$B$4:$B$207="Challan")*('Q4 Data'!$H$4:$H$207=Z8)))=0))</f>
      </c>
    </row>
    <row r="9" spans="1:44" x14ac:dyDescent="0.25">
      <c r="A9" s="20">
        <f>IF($B9="Entry",COUNTIF($B$4:$B9,"Entry"),"")</f>
      </c>
      <c r="B9" s="21"/>
      <c r="C9" s="22"/>
      <c r="D9" s="22"/>
      <c r="E9" s="23">
        <f>IF($B9&lt;&gt;"Challan","",IF(ROUND(AN9-AO9,2)&gt;0,"Over-applied",IF(ROUND(AN9-AO9,2)=0,"Fully Utilised","Unconsumed")))</f>
      </c>
      <c r="F9" s="24"/>
      <c r="G9" s="25"/>
      <c r="H9" s="25"/>
      <c r="I9" s="26"/>
      <c r="J9" s="26"/>
      <c r="K9" s="26"/>
      <c r="L9" s="26"/>
      <c r="M9" s="26"/>
      <c r="N9" s="26"/>
      <c r="O9" s="26"/>
      <c r="P9" s="27">
        <f>IF($B9&lt;&gt;"Challan","",I9+J9+K9+L9+M9+N9)</f>
      </c>
      <c r="Q9" s="25"/>
      <c r="R9" s="25"/>
      <c r="S9" s="25"/>
      <c r="T9" s="25"/>
      <c r="U9" s="25"/>
      <c r="V9" s="28"/>
      <c r="W9" s="28"/>
      <c r="X9" s="23">
        <f>IF($B9="Entry",IF(AND(LEN(TRIM(UPPER(W9)))=10,CODE(MID(TRIM(UPPER(W9)),1,1))&gt;=65,CODE(MID(TRIM(UPPER(W9)),1,1))&lt;=90,CODE(MID(TRIM(UPPER(W9)),2,1))&gt;=65,CODE(MID(TRIM(UPPER(W9)),2,1))&lt;=90,CODE(MID(TRIM(UPPER(W9)),3,1))&gt;=65,CODE(MID(TRIM(UPPER(W9)),3,1))&lt;=90,CODE(MID(TRIM(UPPER(W9)),4,1))&gt;=65,CODE(MID(TRIM(UPPER(W9)),4,1))&lt;=90,CODE(MID(TRIM(UPPER(W9)),5,1))&gt;=65,CODE(MID(TRIM(UPPER(W9)),5,1))&lt;=90,CODE(MID(TRIM(UPPER(W9)),10,1))&gt;=65,CODE(MID(TRIM(UPPER(W9)),10,1))&lt;=90,CODE(MID(TRIM(UPPER(W9)),6,1))&gt;=48,CODE(MID(TRIM(UPPER(W9)),6,1))&lt;=57,CODE(MID(TRIM(UPPER(W9)),7,1))&gt;=48,CODE(MID(TRIM(UPPER(W9)),7,1))&lt;=57,CODE(MID(TRIM(UPPER(W9)),8,1))&gt;=48,CODE(MID(TRIM(UPPER(W9)),8,1))&lt;=57,CODE(MID(TRIM(UPPER(W9)),9,1))&gt;=48,CODE(MID(TRIM(UPPER(W9)),9,1))&lt;=57),"N","Y"),IF($B9="Challan","",IF(W9&lt;&gt;"","◄ Set Row Type","")))</f>
      </c>
      <c r="Y9" s="23">
        <f>IF($B9="Entry",IF(LEN(W9)&lt;4,"",IF(UPPER(MID(W9,4,1))="P","Individual",IF(UPPER(MID(W9,4,1))="H","HUF",IF(UPPER(MID(W9,4,1))="C","Company",IF(UPPER(MID(W9,4,1))="F","Firm",IF(UPPER(MID(W9,4,1))="L","LLP",IF(UPPER(MID(W9,4,1))="T","Trust",IF(UPPER(MID(W9,4,1))="A","AOP","")))))))),IF($B9="Challan","",IF(W9&lt;&gt;"","◄ Set Row Type","")))</f>
      </c>
      <c r="Z9" s="28"/>
      <c r="AA9" s="29">
        <f>IF($B9&lt;&gt;"Entry","",IF(Z9="","",IF(X9="Y",SUMPRODUCT(('Rate Lookup'!$A$1:$A$37=Z9)*'Rate Lookup'!$D$1:$D$37),IF(OR(Y9="Individual",Y9="HUF"),SUMPRODUCT(('Rate Lookup'!$A$1:$A$37=Z9)*'Rate Lookup'!$B$1:$B$37),SUMPRODUCT(('Rate Lookup'!$A$1:$A$37=Z9)*'Rate Lookup'!$C$1:$C$37)))))</f>
      </c>
      <c r="AB9" s="30"/>
      <c r="AC9" s="31"/>
      <c r="AD9" s="27">
        <f>IF($B9&lt;&gt;"Entry","",ROUND(AC9*AA9/100,0))</f>
      </c>
      <c r="AE9" s="27">
        <f>IF($B9&lt;&gt;"Entry","",0)</f>
      </c>
      <c r="AF9" s="27">
        <f>IF($B9&lt;&gt;"Entry","",0)</f>
      </c>
      <c r="AG9" s="27">
        <f>IF($B9&lt;&gt;"Entry","",IF(OR(AD9=0,AB9="",AQ9="",AQ9&lt;=0),0,IF(AQ9&lt;=DATE(YEAR(AB9),MONTH(AB9)+1,7),0,ROUND(AD9*0.015*((YEAR(AQ9)-YEAR(AB9))*12+(MONTH(AQ9)-MONTH(AB9))+1),0))))</f>
      </c>
      <c r="AH9" s="27">
        <f>IF($B9&lt;&gt;"Entry","",0)</f>
      </c>
      <c r="AI9" s="28"/>
      <c r="AJ9" s="28"/>
      <c r="AK9" s="32"/>
      <c r="AL9" s="28"/>
      <c r="AM9" s="28"/>
      <c r="AN9" s="27">
        <f>IF($B9&lt;&gt;"Challan","",SUMIF('Q1 Data'!$D$4:$D$207,D9,'Q1 Data'!$AD$4:$AD$207)+SUMIF('Q1 Data'!$D$4:$D$207,D9,'Q1 Data'!$AG$4:$AG$207)+SUMIF('Q1 Data'!$D$4:$D$207,D9,'Q1 Data'!$AE$4:$AE$207)+SUMIF('Q2 Data'!$D$4:$D$207,D9,'Q2 Data'!$AD$4:$AD$207)+SUMIF('Q2 Data'!$D$4:$D$207,D9,'Q2 Data'!$AG$4:$AG$207)+SUMIF('Q2 Data'!$D$4:$D$207,D9,'Q2 Data'!$AE$4:$AE$207)+SUMIF('Q3 Data'!$D$4:$D$207,D9,'Q3 Data'!$AD$4:$AD$207)+SUMIF('Q3 Data'!$D$4:$D$207,D9,'Q3 Data'!$AG$4:$AG$207)+SUMIF('Q3 Data'!$D$4:$D$207,D9,'Q3 Data'!$AE$4:$AE$207)+SUMIF('Q4 Data'!$D$4:$D$207,D9,'Q4 Data'!$AD$4:$AD$207)+SUMIF('Q4 Data'!$D$4:$D$207,D9,'Q4 Data'!$AG$4:$AG$207)+SUMIF('Q4 Data'!$D$4:$D$207,D9,'Q4 Data'!$AE$4:$AE$207))</f>
      </c>
      <c r="AO9" s="27">
        <f>IF($B9&lt;&gt;"Challan","",P9-N9)</f>
      </c>
      <c r="AP9" s="27">
        <f>IF($B9&lt;&gt;"Challan","",MAX(0,AO9-AN9))</f>
      </c>
      <c r="AQ9" s="33">
        <f>IF($B9&lt;&gt;"Entry","",SUMPRODUCT(('Q1 Data'!$D$4:$D$207=D9)*('Q1 Data'!$B$4:$B$207="Challan")*'Q1 Data'!$F$4:$F$207)+SUMPRODUCT(('Q2 Data'!$D$4:$D$207=D9)*('Q2 Data'!$B$4:$B$207="Challan")*'Q2 Data'!$F$4:$F$207)+SUMPRODUCT(('Q3 Data'!$D$4:$D$207=D9)*('Q3 Data'!$B$4:$B$207="Challan")*'Q3 Data'!$F$4:$F$207)+SUMPRODUCT(('Q4 Data'!$D$4:$D$207=D9)*('Q4 Data'!$B$4:$B$207="Challan")*'Q4 Data'!$F$4:$F$207))</f>
      </c>
      <c r="AR9" s="34">
        <f>IF(OR($B9&lt;&gt;"Entry",Z9=""),FALSE,AND((SUMPRODUCT(('Q1 Data'!$D$4:$D$207=D9)*('Q1 Data'!$B$4:$B$207="Challan")*('Q1 Data'!$H$4:$H$207&lt;&gt;""))+SUMPRODUCT(('Q2 Data'!$D$4:$D$207=D9)*('Q2 Data'!$B$4:$B$207="Challan")*('Q2 Data'!$H$4:$H$207&lt;&gt;""))+SUMPRODUCT(('Q3 Data'!$D$4:$D$207=D9)*('Q3 Data'!$B$4:$B$207="Challan")*('Q3 Data'!$H$4:$H$207&lt;&gt;""))+SUMPRODUCT(('Q4 Data'!$D$4:$D$207=D9)*('Q4 Data'!$B$4:$B$207="Challan")*('Q4 Data'!$H$4:$H$207&lt;&gt;"")))&gt;0,(SUMPRODUCT(('Q1 Data'!$D$4:$D$207=D9)*('Q1 Data'!$B$4:$B$207="Challan")*('Q1 Data'!$H$4:$H$207=Z9))+SUMPRODUCT(('Q2 Data'!$D$4:$D$207=D9)*('Q2 Data'!$B$4:$B$207="Challan")*('Q2 Data'!$H$4:$H$207=Z9))+SUMPRODUCT(('Q3 Data'!$D$4:$D$207=D9)*('Q3 Data'!$B$4:$B$207="Challan")*('Q3 Data'!$H$4:$H$207=Z9))+SUMPRODUCT(('Q4 Data'!$D$4:$D$207=D9)*('Q4 Data'!$B$4:$B$207="Challan")*('Q4 Data'!$H$4:$H$207=Z9)))=0))</f>
      </c>
    </row>
    <row r="10" spans="1:44" x14ac:dyDescent="0.25">
      <c r="A10" s="20">
        <f>IF($B10="Entry",COUNTIF($B$4:$B10,"Entry"),"")</f>
      </c>
      <c r="B10" s="21"/>
      <c r="C10" s="22"/>
      <c r="D10" s="22"/>
      <c r="E10" s="23">
        <f>IF($B10&lt;&gt;"Challan","",IF(ROUND(AN10-AO10,2)&gt;0,"Over-applied",IF(ROUND(AN10-AO10,2)=0,"Fully Utilised","Unconsumed")))</f>
      </c>
      <c r="F10" s="24"/>
      <c r="G10" s="25"/>
      <c r="H10" s="25"/>
      <c r="I10" s="26"/>
      <c r="J10" s="26"/>
      <c r="K10" s="26"/>
      <c r="L10" s="26"/>
      <c r="M10" s="26"/>
      <c r="N10" s="26"/>
      <c r="O10" s="26"/>
      <c r="P10" s="27">
        <f>IF($B10&lt;&gt;"Challan","",I10+J10+K10+L10+M10+N10)</f>
      </c>
      <c r="Q10" s="25"/>
      <c r="R10" s="25"/>
      <c r="S10" s="25"/>
      <c r="T10" s="25"/>
      <c r="U10" s="25"/>
      <c r="V10" s="28"/>
      <c r="W10" s="28"/>
      <c r="X10" s="23">
        <f>IF($B10="Entry",IF(AND(LEN(TRIM(UPPER(W10)))=10,CODE(MID(TRIM(UPPER(W10)),1,1))&gt;=65,CODE(MID(TRIM(UPPER(W10)),1,1))&lt;=90,CODE(MID(TRIM(UPPER(W10)),2,1))&gt;=65,CODE(MID(TRIM(UPPER(W10)),2,1))&lt;=90,CODE(MID(TRIM(UPPER(W10)),3,1))&gt;=65,CODE(MID(TRIM(UPPER(W10)),3,1))&lt;=90,CODE(MID(TRIM(UPPER(W10)),4,1))&gt;=65,CODE(MID(TRIM(UPPER(W10)),4,1))&lt;=90,CODE(MID(TRIM(UPPER(W10)),5,1))&gt;=65,CODE(MID(TRIM(UPPER(W10)),5,1))&lt;=90,CODE(MID(TRIM(UPPER(W10)),10,1))&gt;=65,CODE(MID(TRIM(UPPER(W10)),10,1))&lt;=90,CODE(MID(TRIM(UPPER(W10)),6,1))&gt;=48,CODE(MID(TRIM(UPPER(W10)),6,1))&lt;=57,CODE(MID(TRIM(UPPER(W10)),7,1))&gt;=48,CODE(MID(TRIM(UPPER(W10)),7,1))&lt;=57,CODE(MID(TRIM(UPPER(W10)),8,1))&gt;=48,CODE(MID(TRIM(UPPER(W10)),8,1))&lt;=57,CODE(MID(TRIM(UPPER(W10)),9,1))&gt;=48,CODE(MID(TRIM(UPPER(W10)),9,1))&lt;=57),"N","Y"),IF($B10="Challan","",IF(W10&lt;&gt;"","◄ Set Row Type","")))</f>
      </c>
      <c r="Y10" s="23">
        <f>IF($B10="Entry",IF(LEN(W10)&lt;4,"",IF(UPPER(MID(W10,4,1))="P","Individual",IF(UPPER(MID(W10,4,1))="H","HUF",IF(UPPER(MID(W10,4,1))="C","Company",IF(UPPER(MID(W10,4,1))="F","Firm",IF(UPPER(MID(W10,4,1))="L","LLP",IF(UPPER(MID(W10,4,1))="T","Trust",IF(UPPER(MID(W10,4,1))="A","AOP","")))))))),IF($B10="Challan","",IF(W10&lt;&gt;"","◄ Set Row Type","")))</f>
      </c>
      <c r="Z10" s="28"/>
      <c r="AA10" s="29">
        <f>IF($B10&lt;&gt;"Entry","",IF(Z10="","",IF(X10="Y",SUMPRODUCT(('Rate Lookup'!$A$1:$A$37=Z10)*'Rate Lookup'!$D$1:$D$37),IF(OR(Y10="Individual",Y10="HUF"),SUMPRODUCT(('Rate Lookup'!$A$1:$A$37=Z10)*'Rate Lookup'!$B$1:$B$37),SUMPRODUCT(('Rate Lookup'!$A$1:$A$37=Z10)*'Rate Lookup'!$C$1:$C$37)))))</f>
      </c>
      <c r="AB10" s="30"/>
      <c r="AC10" s="31"/>
      <c r="AD10" s="27">
        <f>IF($B10&lt;&gt;"Entry","",ROUND(AC10*AA10/100,0))</f>
      </c>
      <c r="AE10" s="27">
        <f>IF($B10&lt;&gt;"Entry","",0)</f>
      </c>
      <c r="AF10" s="27">
        <f>IF($B10&lt;&gt;"Entry","",0)</f>
      </c>
      <c r="AG10" s="27">
        <f>IF($B10&lt;&gt;"Entry","",IF(OR(AD10=0,AB10="",AQ10="",AQ10&lt;=0),0,IF(AQ10&lt;=DATE(YEAR(AB10),MONTH(AB10)+1,7),0,ROUND(AD10*0.015*((YEAR(AQ10)-YEAR(AB10))*12+(MONTH(AQ10)-MONTH(AB10))+1),0))))</f>
      </c>
      <c r="AH10" s="27">
        <f>IF($B10&lt;&gt;"Entry","",0)</f>
      </c>
      <c r="AI10" s="28"/>
      <c r="AJ10" s="28"/>
      <c r="AK10" s="32"/>
      <c r="AL10" s="28"/>
      <c r="AM10" s="28"/>
      <c r="AN10" s="27">
        <f>IF($B10&lt;&gt;"Challan","",SUMIF('Q1 Data'!$D$4:$D$207,D10,'Q1 Data'!$AD$4:$AD$207)+SUMIF('Q1 Data'!$D$4:$D$207,D10,'Q1 Data'!$AG$4:$AG$207)+SUMIF('Q1 Data'!$D$4:$D$207,D10,'Q1 Data'!$AE$4:$AE$207)+SUMIF('Q2 Data'!$D$4:$D$207,D10,'Q2 Data'!$AD$4:$AD$207)+SUMIF('Q2 Data'!$D$4:$D$207,D10,'Q2 Data'!$AG$4:$AG$207)+SUMIF('Q2 Data'!$D$4:$D$207,D10,'Q2 Data'!$AE$4:$AE$207)+SUMIF('Q3 Data'!$D$4:$D$207,D10,'Q3 Data'!$AD$4:$AD$207)+SUMIF('Q3 Data'!$D$4:$D$207,D10,'Q3 Data'!$AG$4:$AG$207)+SUMIF('Q3 Data'!$D$4:$D$207,D10,'Q3 Data'!$AE$4:$AE$207)+SUMIF('Q4 Data'!$D$4:$D$207,D10,'Q4 Data'!$AD$4:$AD$207)+SUMIF('Q4 Data'!$D$4:$D$207,D10,'Q4 Data'!$AG$4:$AG$207)+SUMIF('Q4 Data'!$D$4:$D$207,D10,'Q4 Data'!$AE$4:$AE$207))</f>
      </c>
      <c r="AO10" s="27">
        <f>IF($B10&lt;&gt;"Challan","",P10-N10)</f>
      </c>
      <c r="AP10" s="27">
        <f>IF($B10&lt;&gt;"Challan","",MAX(0,AO10-AN10))</f>
      </c>
      <c r="AQ10" s="33">
        <f>IF($B10&lt;&gt;"Entry","",SUMPRODUCT(('Q1 Data'!$D$4:$D$207=D10)*('Q1 Data'!$B$4:$B$207="Challan")*'Q1 Data'!$F$4:$F$207)+SUMPRODUCT(('Q2 Data'!$D$4:$D$207=D10)*('Q2 Data'!$B$4:$B$207="Challan")*'Q2 Data'!$F$4:$F$207)+SUMPRODUCT(('Q3 Data'!$D$4:$D$207=D10)*('Q3 Data'!$B$4:$B$207="Challan")*'Q3 Data'!$F$4:$F$207)+SUMPRODUCT(('Q4 Data'!$D$4:$D$207=D10)*('Q4 Data'!$B$4:$B$207="Challan")*'Q4 Data'!$F$4:$F$207))</f>
      </c>
      <c r="AR10" s="34">
        <f>IF(OR($B10&lt;&gt;"Entry",Z10=""),FALSE,AND((SUMPRODUCT(('Q1 Data'!$D$4:$D$207=D10)*('Q1 Data'!$B$4:$B$207="Challan")*('Q1 Data'!$H$4:$H$207&lt;&gt;""))+SUMPRODUCT(('Q2 Data'!$D$4:$D$207=D10)*('Q2 Data'!$B$4:$B$207="Challan")*('Q2 Data'!$H$4:$H$207&lt;&gt;""))+SUMPRODUCT(('Q3 Data'!$D$4:$D$207=D10)*('Q3 Data'!$B$4:$B$207="Challan")*('Q3 Data'!$H$4:$H$207&lt;&gt;""))+SUMPRODUCT(('Q4 Data'!$D$4:$D$207=D10)*('Q4 Data'!$B$4:$B$207="Challan")*('Q4 Data'!$H$4:$H$207&lt;&gt;"")))&gt;0,(SUMPRODUCT(('Q1 Data'!$D$4:$D$207=D10)*('Q1 Data'!$B$4:$B$207="Challan")*('Q1 Data'!$H$4:$H$207=Z10))+SUMPRODUCT(('Q2 Data'!$D$4:$D$207=D10)*('Q2 Data'!$B$4:$B$207="Challan")*('Q2 Data'!$H$4:$H$207=Z10))+SUMPRODUCT(('Q3 Data'!$D$4:$D$207=D10)*('Q3 Data'!$B$4:$B$207="Challan")*('Q3 Data'!$H$4:$H$207=Z10))+SUMPRODUCT(('Q4 Data'!$D$4:$D$207=D10)*('Q4 Data'!$B$4:$B$207="Challan")*('Q4 Data'!$H$4:$H$207=Z10)))=0))</f>
      </c>
    </row>
    <row r="11" spans="1:44" x14ac:dyDescent="0.25">
      <c r="A11" s="20">
        <f>IF($B11="Entry",COUNTIF($B$4:$B11,"Entry"),"")</f>
      </c>
      <c r="B11" s="21"/>
      <c r="C11" s="22"/>
      <c r="D11" s="22"/>
      <c r="E11" s="23">
        <f>IF($B11&lt;&gt;"Challan","",IF(ROUND(AN11-AO11,2)&gt;0,"Over-applied",IF(ROUND(AN11-AO11,2)=0,"Fully Utilised","Unconsumed")))</f>
      </c>
      <c r="F11" s="24"/>
      <c r="G11" s="25"/>
      <c r="H11" s="25"/>
      <c r="I11" s="26"/>
      <c r="J11" s="26"/>
      <c r="K11" s="26"/>
      <c r="L11" s="26"/>
      <c r="M11" s="26"/>
      <c r="N11" s="26"/>
      <c r="O11" s="26"/>
      <c r="P11" s="27">
        <f>IF($B11&lt;&gt;"Challan","",I11+J11+K11+L11+M11+N11)</f>
      </c>
      <c r="Q11" s="25"/>
      <c r="R11" s="25"/>
      <c r="S11" s="25"/>
      <c r="T11" s="25"/>
      <c r="U11" s="25"/>
      <c r="V11" s="28"/>
      <c r="W11" s="28"/>
      <c r="X11" s="23">
        <f>IF($B11="Entry",IF(AND(LEN(TRIM(UPPER(W11)))=10,CODE(MID(TRIM(UPPER(W11)),1,1))&gt;=65,CODE(MID(TRIM(UPPER(W11)),1,1))&lt;=90,CODE(MID(TRIM(UPPER(W11)),2,1))&gt;=65,CODE(MID(TRIM(UPPER(W11)),2,1))&lt;=90,CODE(MID(TRIM(UPPER(W11)),3,1))&gt;=65,CODE(MID(TRIM(UPPER(W11)),3,1))&lt;=90,CODE(MID(TRIM(UPPER(W11)),4,1))&gt;=65,CODE(MID(TRIM(UPPER(W11)),4,1))&lt;=90,CODE(MID(TRIM(UPPER(W11)),5,1))&gt;=65,CODE(MID(TRIM(UPPER(W11)),5,1))&lt;=90,CODE(MID(TRIM(UPPER(W11)),10,1))&gt;=65,CODE(MID(TRIM(UPPER(W11)),10,1))&lt;=90,CODE(MID(TRIM(UPPER(W11)),6,1))&gt;=48,CODE(MID(TRIM(UPPER(W11)),6,1))&lt;=57,CODE(MID(TRIM(UPPER(W11)),7,1))&gt;=48,CODE(MID(TRIM(UPPER(W11)),7,1))&lt;=57,CODE(MID(TRIM(UPPER(W11)),8,1))&gt;=48,CODE(MID(TRIM(UPPER(W11)),8,1))&lt;=57,CODE(MID(TRIM(UPPER(W11)),9,1))&gt;=48,CODE(MID(TRIM(UPPER(W11)),9,1))&lt;=57),"N","Y"),IF($B11="Challan","",IF(W11&lt;&gt;"","◄ Set Row Type","")))</f>
      </c>
      <c r="Y11" s="23">
        <f>IF($B11="Entry",IF(LEN(W11)&lt;4,"",IF(UPPER(MID(W11,4,1))="P","Individual",IF(UPPER(MID(W11,4,1))="H","HUF",IF(UPPER(MID(W11,4,1))="C","Company",IF(UPPER(MID(W11,4,1))="F","Firm",IF(UPPER(MID(W11,4,1))="L","LLP",IF(UPPER(MID(W11,4,1))="T","Trust",IF(UPPER(MID(W11,4,1))="A","AOP","")))))))),IF($B11="Challan","",IF(W11&lt;&gt;"","◄ Set Row Type","")))</f>
      </c>
      <c r="Z11" s="28"/>
      <c r="AA11" s="29">
        <f>IF($B11&lt;&gt;"Entry","",IF(Z11="","",IF(X11="Y",SUMPRODUCT(('Rate Lookup'!$A$1:$A$37=Z11)*'Rate Lookup'!$D$1:$D$37),IF(OR(Y11="Individual",Y11="HUF"),SUMPRODUCT(('Rate Lookup'!$A$1:$A$37=Z11)*'Rate Lookup'!$B$1:$B$37),SUMPRODUCT(('Rate Lookup'!$A$1:$A$37=Z11)*'Rate Lookup'!$C$1:$C$37)))))</f>
      </c>
      <c r="AB11" s="30"/>
      <c r="AC11" s="31"/>
      <c r="AD11" s="27">
        <f>IF($B11&lt;&gt;"Entry","",ROUND(AC11*AA11/100,0))</f>
      </c>
      <c r="AE11" s="27">
        <f>IF($B11&lt;&gt;"Entry","",0)</f>
      </c>
      <c r="AF11" s="27">
        <f>IF($B11&lt;&gt;"Entry","",0)</f>
      </c>
      <c r="AG11" s="27">
        <f>IF($B11&lt;&gt;"Entry","",IF(OR(AD11=0,AB11="",AQ11="",AQ11&lt;=0),0,IF(AQ11&lt;=DATE(YEAR(AB11),MONTH(AB11)+1,7),0,ROUND(AD11*0.015*((YEAR(AQ11)-YEAR(AB11))*12+(MONTH(AQ11)-MONTH(AB11))+1),0))))</f>
      </c>
      <c r="AH11" s="27">
        <f>IF($B11&lt;&gt;"Entry","",0)</f>
      </c>
      <c r="AI11" s="28"/>
      <c r="AJ11" s="28"/>
      <c r="AK11" s="32"/>
      <c r="AL11" s="28"/>
      <c r="AM11" s="28"/>
      <c r="AN11" s="27">
        <f>IF($B11&lt;&gt;"Challan","",SUMIF('Q1 Data'!$D$4:$D$207,D11,'Q1 Data'!$AD$4:$AD$207)+SUMIF('Q1 Data'!$D$4:$D$207,D11,'Q1 Data'!$AG$4:$AG$207)+SUMIF('Q1 Data'!$D$4:$D$207,D11,'Q1 Data'!$AE$4:$AE$207)+SUMIF('Q2 Data'!$D$4:$D$207,D11,'Q2 Data'!$AD$4:$AD$207)+SUMIF('Q2 Data'!$D$4:$D$207,D11,'Q2 Data'!$AG$4:$AG$207)+SUMIF('Q2 Data'!$D$4:$D$207,D11,'Q2 Data'!$AE$4:$AE$207)+SUMIF('Q3 Data'!$D$4:$D$207,D11,'Q3 Data'!$AD$4:$AD$207)+SUMIF('Q3 Data'!$D$4:$D$207,D11,'Q3 Data'!$AG$4:$AG$207)+SUMIF('Q3 Data'!$D$4:$D$207,D11,'Q3 Data'!$AE$4:$AE$207)+SUMIF('Q4 Data'!$D$4:$D$207,D11,'Q4 Data'!$AD$4:$AD$207)+SUMIF('Q4 Data'!$D$4:$D$207,D11,'Q4 Data'!$AG$4:$AG$207)+SUMIF('Q4 Data'!$D$4:$D$207,D11,'Q4 Data'!$AE$4:$AE$207))</f>
      </c>
      <c r="AO11" s="27">
        <f>IF($B11&lt;&gt;"Challan","",P11-N11)</f>
      </c>
      <c r="AP11" s="27">
        <f>IF($B11&lt;&gt;"Challan","",MAX(0,AO11-AN11))</f>
      </c>
      <c r="AQ11" s="33">
        <f>IF($B11&lt;&gt;"Entry","",SUMPRODUCT(('Q1 Data'!$D$4:$D$207=D11)*('Q1 Data'!$B$4:$B$207="Challan")*'Q1 Data'!$F$4:$F$207)+SUMPRODUCT(('Q2 Data'!$D$4:$D$207=D11)*('Q2 Data'!$B$4:$B$207="Challan")*'Q2 Data'!$F$4:$F$207)+SUMPRODUCT(('Q3 Data'!$D$4:$D$207=D11)*('Q3 Data'!$B$4:$B$207="Challan")*'Q3 Data'!$F$4:$F$207)+SUMPRODUCT(('Q4 Data'!$D$4:$D$207=D11)*('Q4 Data'!$B$4:$B$207="Challan")*'Q4 Data'!$F$4:$F$207))</f>
      </c>
      <c r="AR11" s="34">
        <f>IF(OR($B11&lt;&gt;"Entry",Z11=""),FALSE,AND((SUMPRODUCT(('Q1 Data'!$D$4:$D$207=D11)*('Q1 Data'!$B$4:$B$207="Challan")*('Q1 Data'!$H$4:$H$207&lt;&gt;""))+SUMPRODUCT(('Q2 Data'!$D$4:$D$207=D11)*('Q2 Data'!$B$4:$B$207="Challan")*('Q2 Data'!$H$4:$H$207&lt;&gt;""))+SUMPRODUCT(('Q3 Data'!$D$4:$D$207=D11)*('Q3 Data'!$B$4:$B$207="Challan")*('Q3 Data'!$H$4:$H$207&lt;&gt;""))+SUMPRODUCT(('Q4 Data'!$D$4:$D$207=D11)*('Q4 Data'!$B$4:$B$207="Challan")*('Q4 Data'!$H$4:$H$207&lt;&gt;"")))&gt;0,(SUMPRODUCT(('Q1 Data'!$D$4:$D$207=D11)*('Q1 Data'!$B$4:$B$207="Challan")*('Q1 Data'!$H$4:$H$207=Z11))+SUMPRODUCT(('Q2 Data'!$D$4:$D$207=D11)*('Q2 Data'!$B$4:$B$207="Challan")*('Q2 Data'!$H$4:$H$207=Z11))+SUMPRODUCT(('Q3 Data'!$D$4:$D$207=D11)*('Q3 Data'!$B$4:$B$207="Challan")*('Q3 Data'!$H$4:$H$207=Z11))+SUMPRODUCT(('Q4 Data'!$D$4:$D$207=D11)*('Q4 Data'!$B$4:$B$207="Challan")*('Q4 Data'!$H$4:$H$207=Z11)))=0))</f>
      </c>
    </row>
    <row r="12" spans="1:44" x14ac:dyDescent="0.25">
      <c r="A12" s="20">
        <f>IF($B12="Entry",COUNTIF($B$4:$B12,"Entry"),"")</f>
      </c>
      <c r="B12" s="21"/>
      <c r="C12" s="22"/>
      <c r="D12" s="22"/>
      <c r="E12" s="23">
        <f>IF($B12&lt;&gt;"Challan","",IF(ROUND(AN12-AO12,2)&gt;0,"Over-applied",IF(ROUND(AN12-AO12,2)=0,"Fully Utilised","Unconsumed")))</f>
      </c>
      <c r="F12" s="24"/>
      <c r="G12" s="25"/>
      <c r="H12" s="25"/>
      <c r="I12" s="26"/>
      <c r="J12" s="26"/>
      <c r="K12" s="26"/>
      <c r="L12" s="26"/>
      <c r="M12" s="26"/>
      <c r="N12" s="26"/>
      <c r="O12" s="26"/>
      <c r="P12" s="27">
        <f>IF($B12&lt;&gt;"Challan","",I12+J12+K12+L12+M12+N12)</f>
      </c>
      <c r="Q12" s="25"/>
      <c r="R12" s="25"/>
      <c r="S12" s="25"/>
      <c r="T12" s="25"/>
      <c r="U12" s="25"/>
      <c r="V12" s="28"/>
      <c r="W12" s="28"/>
      <c r="X12" s="23">
        <f>IF($B12="Entry",IF(AND(LEN(TRIM(UPPER(W12)))=10,CODE(MID(TRIM(UPPER(W12)),1,1))&gt;=65,CODE(MID(TRIM(UPPER(W12)),1,1))&lt;=90,CODE(MID(TRIM(UPPER(W12)),2,1))&gt;=65,CODE(MID(TRIM(UPPER(W12)),2,1))&lt;=90,CODE(MID(TRIM(UPPER(W12)),3,1))&gt;=65,CODE(MID(TRIM(UPPER(W12)),3,1))&lt;=90,CODE(MID(TRIM(UPPER(W12)),4,1))&gt;=65,CODE(MID(TRIM(UPPER(W12)),4,1))&lt;=90,CODE(MID(TRIM(UPPER(W12)),5,1))&gt;=65,CODE(MID(TRIM(UPPER(W12)),5,1))&lt;=90,CODE(MID(TRIM(UPPER(W12)),10,1))&gt;=65,CODE(MID(TRIM(UPPER(W12)),10,1))&lt;=90,CODE(MID(TRIM(UPPER(W12)),6,1))&gt;=48,CODE(MID(TRIM(UPPER(W12)),6,1))&lt;=57,CODE(MID(TRIM(UPPER(W12)),7,1))&gt;=48,CODE(MID(TRIM(UPPER(W12)),7,1))&lt;=57,CODE(MID(TRIM(UPPER(W12)),8,1))&gt;=48,CODE(MID(TRIM(UPPER(W12)),8,1))&lt;=57,CODE(MID(TRIM(UPPER(W12)),9,1))&gt;=48,CODE(MID(TRIM(UPPER(W12)),9,1))&lt;=57),"N","Y"),IF($B12="Challan","",IF(W12&lt;&gt;"","◄ Set Row Type","")))</f>
      </c>
      <c r="Y12" s="23">
        <f>IF($B12="Entry",IF(LEN(W12)&lt;4,"",IF(UPPER(MID(W12,4,1))="P","Individual",IF(UPPER(MID(W12,4,1))="H","HUF",IF(UPPER(MID(W12,4,1))="C","Company",IF(UPPER(MID(W12,4,1))="F","Firm",IF(UPPER(MID(W12,4,1))="L","LLP",IF(UPPER(MID(W12,4,1))="T","Trust",IF(UPPER(MID(W12,4,1))="A","AOP","")))))))),IF($B12="Challan","",IF(W12&lt;&gt;"","◄ Set Row Type","")))</f>
      </c>
      <c r="Z12" s="28"/>
      <c r="AA12" s="29">
        <f>IF($B12&lt;&gt;"Entry","",IF(Z12="","",IF(X12="Y",SUMPRODUCT(('Rate Lookup'!$A$1:$A$37=Z12)*'Rate Lookup'!$D$1:$D$37),IF(OR(Y12="Individual",Y12="HUF"),SUMPRODUCT(('Rate Lookup'!$A$1:$A$37=Z12)*'Rate Lookup'!$B$1:$B$37),SUMPRODUCT(('Rate Lookup'!$A$1:$A$37=Z12)*'Rate Lookup'!$C$1:$C$37)))))</f>
      </c>
      <c r="AB12" s="30"/>
      <c r="AC12" s="31"/>
      <c r="AD12" s="27">
        <f>IF($B12&lt;&gt;"Entry","",ROUND(AC12*AA12/100,0))</f>
      </c>
      <c r="AE12" s="27">
        <f>IF($B12&lt;&gt;"Entry","",0)</f>
      </c>
      <c r="AF12" s="27">
        <f>IF($B12&lt;&gt;"Entry","",0)</f>
      </c>
      <c r="AG12" s="27">
        <f>IF($B12&lt;&gt;"Entry","",IF(OR(AD12=0,AB12="",AQ12="",AQ12&lt;=0),0,IF(AQ12&lt;=DATE(YEAR(AB12),MONTH(AB12)+1,7),0,ROUND(AD12*0.015*((YEAR(AQ12)-YEAR(AB12))*12+(MONTH(AQ12)-MONTH(AB12))+1),0))))</f>
      </c>
      <c r="AH12" s="27">
        <f>IF($B12&lt;&gt;"Entry","",0)</f>
      </c>
      <c r="AI12" s="28"/>
      <c r="AJ12" s="28"/>
      <c r="AK12" s="32"/>
      <c r="AL12" s="28"/>
      <c r="AM12" s="28"/>
      <c r="AN12" s="27">
        <f>IF($B12&lt;&gt;"Challan","",SUMIF('Q1 Data'!$D$4:$D$207,D12,'Q1 Data'!$AD$4:$AD$207)+SUMIF('Q1 Data'!$D$4:$D$207,D12,'Q1 Data'!$AG$4:$AG$207)+SUMIF('Q1 Data'!$D$4:$D$207,D12,'Q1 Data'!$AE$4:$AE$207)+SUMIF('Q2 Data'!$D$4:$D$207,D12,'Q2 Data'!$AD$4:$AD$207)+SUMIF('Q2 Data'!$D$4:$D$207,D12,'Q2 Data'!$AG$4:$AG$207)+SUMIF('Q2 Data'!$D$4:$D$207,D12,'Q2 Data'!$AE$4:$AE$207)+SUMIF('Q3 Data'!$D$4:$D$207,D12,'Q3 Data'!$AD$4:$AD$207)+SUMIF('Q3 Data'!$D$4:$D$207,D12,'Q3 Data'!$AG$4:$AG$207)+SUMIF('Q3 Data'!$D$4:$D$207,D12,'Q3 Data'!$AE$4:$AE$207)+SUMIF('Q4 Data'!$D$4:$D$207,D12,'Q4 Data'!$AD$4:$AD$207)+SUMIF('Q4 Data'!$D$4:$D$207,D12,'Q4 Data'!$AG$4:$AG$207)+SUMIF('Q4 Data'!$D$4:$D$207,D12,'Q4 Data'!$AE$4:$AE$207))</f>
      </c>
      <c r="AO12" s="27">
        <f>IF($B12&lt;&gt;"Challan","",P12-N12)</f>
      </c>
      <c r="AP12" s="27">
        <f>IF($B12&lt;&gt;"Challan","",MAX(0,AO12-AN12))</f>
      </c>
      <c r="AQ12" s="33">
        <f>IF($B12&lt;&gt;"Entry","",SUMPRODUCT(('Q1 Data'!$D$4:$D$207=D12)*('Q1 Data'!$B$4:$B$207="Challan")*'Q1 Data'!$F$4:$F$207)+SUMPRODUCT(('Q2 Data'!$D$4:$D$207=D12)*('Q2 Data'!$B$4:$B$207="Challan")*'Q2 Data'!$F$4:$F$207)+SUMPRODUCT(('Q3 Data'!$D$4:$D$207=D12)*('Q3 Data'!$B$4:$B$207="Challan")*'Q3 Data'!$F$4:$F$207)+SUMPRODUCT(('Q4 Data'!$D$4:$D$207=D12)*('Q4 Data'!$B$4:$B$207="Challan")*'Q4 Data'!$F$4:$F$207))</f>
      </c>
      <c r="AR12" s="34">
        <f>IF(OR($B12&lt;&gt;"Entry",Z12=""),FALSE,AND((SUMPRODUCT(('Q1 Data'!$D$4:$D$207=D12)*('Q1 Data'!$B$4:$B$207="Challan")*('Q1 Data'!$H$4:$H$207&lt;&gt;""))+SUMPRODUCT(('Q2 Data'!$D$4:$D$207=D12)*('Q2 Data'!$B$4:$B$207="Challan")*('Q2 Data'!$H$4:$H$207&lt;&gt;""))+SUMPRODUCT(('Q3 Data'!$D$4:$D$207=D12)*('Q3 Data'!$B$4:$B$207="Challan")*('Q3 Data'!$H$4:$H$207&lt;&gt;""))+SUMPRODUCT(('Q4 Data'!$D$4:$D$207=D12)*('Q4 Data'!$B$4:$B$207="Challan")*('Q4 Data'!$H$4:$H$207&lt;&gt;"")))&gt;0,(SUMPRODUCT(('Q1 Data'!$D$4:$D$207=D12)*('Q1 Data'!$B$4:$B$207="Challan")*('Q1 Data'!$H$4:$H$207=Z12))+SUMPRODUCT(('Q2 Data'!$D$4:$D$207=D12)*('Q2 Data'!$B$4:$B$207="Challan")*('Q2 Data'!$H$4:$H$207=Z12))+SUMPRODUCT(('Q3 Data'!$D$4:$D$207=D12)*('Q3 Data'!$B$4:$B$207="Challan")*('Q3 Data'!$H$4:$H$207=Z12))+SUMPRODUCT(('Q4 Data'!$D$4:$D$207=D12)*('Q4 Data'!$B$4:$B$207="Challan")*('Q4 Data'!$H$4:$H$207=Z12)))=0))</f>
      </c>
    </row>
    <row r="13" spans="1:44" x14ac:dyDescent="0.25">
      <c r="A13" s="20">
        <f>IF($B13="Entry",COUNTIF($B$4:$B13,"Entry"),"")</f>
      </c>
      <c r="B13" s="21"/>
      <c r="C13" s="22"/>
      <c r="D13" s="22"/>
      <c r="E13" s="23">
        <f>IF($B13&lt;&gt;"Challan","",IF(ROUND(AN13-AO13,2)&gt;0,"Over-applied",IF(ROUND(AN13-AO13,2)=0,"Fully Utilised","Unconsumed")))</f>
      </c>
      <c r="F13" s="24"/>
      <c r="G13" s="25"/>
      <c r="H13" s="25"/>
      <c r="I13" s="26"/>
      <c r="J13" s="26"/>
      <c r="K13" s="26"/>
      <c r="L13" s="26"/>
      <c r="M13" s="26"/>
      <c r="N13" s="26"/>
      <c r="O13" s="26"/>
      <c r="P13" s="27">
        <f>IF($B13&lt;&gt;"Challan","",I13+J13+K13+L13+M13+N13)</f>
      </c>
      <c r="Q13" s="25"/>
      <c r="R13" s="25"/>
      <c r="S13" s="25"/>
      <c r="T13" s="25"/>
      <c r="U13" s="25"/>
      <c r="V13" s="28"/>
      <c r="W13" s="28"/>
      <c r="X13" s="23">
        <f>IF($B13="Entry",IF(AND(LEN(TRIM(UPPER(W13)))=10,CODE(MID(TRIM(UPPER(W13)),1,1))&gt;=65,CODE(MID(TRIM(UPPER(W13)),1,1))&lt;=90,CODE(MID(TRIM(UPPER(W13)),2,1))&gt;=65,CODE(MID(TRIM(UPPER(W13)),2,1))&lt;=90,CODE(MID(TRIM(UPPER(W13)),3,1))&gt;=65,CODE(MID(TRIM(UPPER(W13)),3,1))&lt;=90,CODE(MID(TRIM(UPPER(W13)),4,1))&gt;=65,CODE(MID(TRIM(UPPER(W13)),4,1))&lt;=90,CODE(MID(TRIM(UPPER(W13)),5,1))&gt;=65,CODE(MID(TRIM(UPPER(W13)),5,1))&lt;=90,CODE(MID(TRIM(UPPER(W13)),10,1))&gt;=65,CODE(MID(TRIM(UPPER(W13)),10,1))&lt;=90,CODE(MID(TRIM(UPPER(W13)),6,1))&gt;=48,CODE(MID(TRIM(UPPER(W13)),6,1))&lt;=57,CODE(MID(TRIM(UPPER(W13)),7,1))&gt;=48,CODE(MID(TRIM(UPPER(W13)),7,1))&lt;=57,CODE(MID(TRIM(UPPER(W13)),8,1))&gt;=48,CODE(MID(TRIM(UPPER(W13)),8,1))&lt;=57,CODE(MID(TRIM(UPPER(W13)),9,1))&gt;=48,CODE(MID(TRIM(UPPER(W13)),9,1))&lt;=57),"N","Y"),IF($B13="Challan","",IF(W13&lt;&gt;"","◄ Set Row Type","")))</f>
      </c>
      <c r="Y13" s="23">
        <f>IF($B13="Entry",IF(LEN(W13)&lt;4,"",IF(UPPER(MID(W13,4,1))="P","Individual",IF(UPPER(MID(W13,4,1))="H","HUF",IF(UPPER(MID(W13,4,1))="C","Company",IF(UPPER(MID(W13,4,1))="F","Firm",IF(UPPER(MID(W13,4,1))="L","LLP",IF(UPPER(MID(W13,4,1))="T","Trust",IF(UPPER(MID(W13,4,1))="A","AOP","")))))))),IF($B13="Challan","",IF(W13&lt;&gt;"","◄ Set Row Type","")))</f>
      </c>
      <c r="Z13" s="28"/>
      <c r="AA13" s="29">
        <f>IF($B13&lt;&gt;"Entry","",IF(Z13="","",IF(X13="Y",SUMPRODUCT(('Rate Lookup'!$A$1:$A$37=Z13)*'Rate Lookup'!$D$1:$D$37),IF(OR(Y13="Individual",Y13="HUF"),SUMPRODUCT(('Rate Lookup'!$A$1:$A$37=Z13)*'Rate Lookup'!$B$1:$B$37),SUMPRODUCT(('Rate Lookup'!$A$1:$A$37=Z13)*'Rate Lookup'!$C$1:$C$37)))))</f>
      </c>
      <c r="AB13" s="30"/>
      <c r="AC13" s="31"/>
      <c r="AD13" s="27">
        <f>IF($B13&lt;&gt;"Entry","",ROUND(AC13*AA13/100,0))</f>
      </c>
      <c r="AE13" s="27">
        <f>IF($B13&lt;&gt;"Entry","",0)</f>
      </c>
      <c r="AF13" s="27">
        <f>IF($B13&lt;&gt;"Entry","",0)</f>
      </c>
      <c r="AG13" s="27">
        <f>IF($B13&lt;&gt;"Entry","",IF(OR(AD13=0,AB13="",AQ13="",AQ13&lt;=0),0,IF(AQ13&lt;=DATE(YEAR(AB13),MONTH(AB13)+1,7),0,ROUND(AD13*0.015*((YEAR(AQ13)-YEAR(AB13))*12+(MONTH(AQ13)-MONTH(AB13))+1),0))))</f>
      </c>
      <c r="AH13" s="27">
        <f>IF($B13&lt;&gt;"Entry","",0)</f>
      </c>
      <c r="AI13" s="28"/>
      <c r="AJ13" s="28"/>
      <c r="AK13" s="32"/>
      <c r="AL13" s="28"/>
      <c r="AM13" s="28"/>
      <c r="AN13" s="27">
        <f>IF($B13&lt;&gt;"Challan","",SUMIF('Q1 Data'!$D$4:$D$207,D13,'Q1 Data'!$AD$4:$AD$207)+SUMIF('Q1 Data'!$D$4:$D$207,D13,'Q1 Data'!$AG$4:$AG$207)+SUMIF('Q1 Data'!$D$4:$D$207,D13,'Q1 Data'!$AE$4:$AE$207)+SUMIF('Q2 Data'!$D$4:$D$207,D13,'Q2 Data'!$AD$4:$AD$207)+SUMIF('Q2 Data'!$D$4:$D$207,D13,'Q2 Data'!$AG$4:$AG$207)+SUMIF('Q2 Data'!$D$4:$D$207,D13,'Q2 Data'!$AE$4:$AE$207)+SUMIF('Q3 Data'!$D$4:$D$207,D13,'Q3 Data'!$AD$4:$AD$207)+SUMIF('Q3 Data'!$D$4:$D$207,D13,'Q3 Data'!$AG$4:$AG$207)+SUMIF('Q3 Data'!$D$4:$D$207,D13,'Q3 Data'!$AE$4:$AE$207)+SUMIF('Q4 Data'!$D$4:$D$207,D13,'Q4 Data'!$AD$4:$AD$207)+SUMIF('Q4 Data'!$D$4:$D$207,D13,'Q4 Data'!$AG$4:$AG$207)+SUMIF('Q4 Data'!$D$4:$D$207,D13,'Q4 Data'!$AE$4:$AE$207))</f>
      </c>
      <c r="AO13" s="27">
        <f>IF($B13&lt;&gt;"Challan","",P13-N13)</f>
      </c>
      <c r="AP13" s="27">
        <f>IF($B13&lt;&gt;"Challan","",MAX(0,AO13-AN13))</f>
      </c>
      <c r="AQ13" s="33">
        <f>IF($B13&lt;&gt;"Entry","",SUMPRODUCT(('Q1 Data'!$D$4:$D$207=D13)*('Q1 Data'!$B$4:$B$207="Challan")*'Q1 Data'!$F$4:$F$207)+SUMPRODUCT(('Q2 Data'!$D$4:$D$207=D13)*('Q2 Data'!$B$4:$B$207="Challan")*'Q2 Data'!$F$4:$F$207)+SUMPRODUCT(('Q3 Data'!$D$4:$D$207=D13)*('Q3 Data'!$B$4:$B$207="Challan")*'Q3 Data'!$F$4:$F$207)+SUMPRODUCT(('Q4 Data'!$D$4:$D$207=D13)*('Q4 Data'!$B$4:$B$207="Challan")*'Q4 Data'!$F$4:$F$207))</f>
      </c>
      <c r="AR13" s="34">
        <f>IF(OR($B13&lt;&gt;"Entry",Z13=""),FALSE,AND((SUMPRODUCT(('Q1 Data'!$D$4:$D$207=D13)*('Q1 Data'!$B$4:$B$207="Challan")*('Q1 Data'!$H$4:$H$207&lt;&gt;""))+SUMPRODUCT(('Q2 Data'!$D$4:$D$207=D13)*('Q2 Data'!$B$4:$B$207="Challan")*('Q2 Data'!$H$4:$H$207&lt;&gt;""))+SUMPRODUCT(('Q3 Data'!$D$4:$D$207=D13)*('Q3 Data'!$B$4:$B$207="Challan")*('Q3 Data'!$H$4:$H$207&lt;&gt;""))+SUMPRODUCT(('Q4 Data'!$D$4:$D$207=D13)*('Q4 Data'!$B$4:$B$207="Challan")*('Q4 Data'!$H$4:$H$207&lt;&gt;"")))&gt;0,(SUMPRODUCT(('Q1 Data'!$D$4:$D$207=D13)*('Q1 Data'!$B$4:$B$207="Challan")*('Q1 Data'!$H$4:$H$207=Z13))+SUMPRODUCT(('Q2 Data'!$D$4:$D$207=D13)*('Q2 Data'!$B$4:$B$207="Challan")*('Q2 Data'!$H$4:$H$207=Z13))+SUMPRODUCT(('Q3 Data'!$D$4:$D$207=D13)*('Q3 Data'!$B$4:$B$207="Challan")*('Q3 Data'!$H$4:$H$207=Z13))+SUMPRODUCT(('Q4 Data'!$D$4:$D$207=D13)*('Q4 Data'!$B$4:$B$207="Challan")*('Q4 Data'!$H$4:$H$207=Z13)))=0))</f>
      </c>
    </row>
    <row r="14" spans="1:44" x14ac:dyDescent="0.25">
      <c r="A14" s="20">
        <f>IF($B14="Entry",COUNTIF($B$4:$B14,"Entry"),"")</f>
      </c>
      <c r="B14" s="21"/>
      <c r="C14" s="22"/>
      <c r="D14" s="22"/>
      <c r="E14" s="23">
        <f>IF($B14&lt;&gt;"Challan","",IF(ROUND(AN14-AO14,2)&gt;0,"Over-applied",IF(ROUND(AN14-AO14,2)=0,"Fully Utilised","Unconsumed")))</f>
      </c>
      <c r="F14" s="24"/>
      <c r="G14" s="25"/>
      <c r="H14" s="25"/>
      <c r="I14" s="26"/>
      <c r="J14" s="26"/>
      <c r="K14" s="26"/>
      <c r="L14" s="26"/>
      <c r="M14" s="26"/>
      <c r="N14" s="26"/>
      <c r="O14" s="26"/>
      <c r="P14" s="27">
        <f>IF($B14&lt;&gt;"Challan","",I14+J14+K14+L14+M14+N14)</f>
      </c>
      <c r="Q14" s="25"/>
      <c r="R14" s="25"/>
      <c r="S14" s="25"/>
      <c r="T14" s="25"/>
      <c r="U14" s="25"/>
      <c r="V14" s="28"/>
      <c r="W14" s="28"/>
      <c r="X14" s="23">
        <f>IF($B14="Entry",IF(AND(LEN(TRIM(UPPER(W14)))=10,CODE(MID(TRIM(UPPER(W14)),1,1))&gt;=65,CODE(MID(TRIM(UPPER(W14)),1,1))&lt;=90,CODE(MID(TRIM(UPPER(W14)),2,1))&gt;=65,CODE(MID(TRIM(UPPER(W14)),2,1))&lt;=90,CODE(MID(TRIM(UPPER(W14)),3,1))&gt;=65,CODE(MID(TRIM(UPPER(W14)),3,1))&lt;=90,CODE(MID(TRIM(UPPER(W14)),4,1))&gt;=65,CODE(MID(TRIM(UPPER(W14)),4,1))&lt;=90,CODE(MID(TRIM(UPPER(W14)),5,1))&gt;=65,CODE(MID(TRIM(UPPER(W14)),5,1))&lt;=90,CODE(MID(TRIM(UPPER(W14)),10,1))&gt;=65,CODE(MID(TRIM(UPPER(W14)),10,1))&lt;=90,CODE(MID(TRIM(UPPER(W14)),6,1))&gt;=48,CODE(MID(TRIM(UPPER(W14)),6,1))&lt;=57,CODE(MID(TRIM(UPPER(W14)),7,1))&gt;=48,CODE(MID(TRIM(UPPER(W14)),7,1))&lt;=57,CODE(MID(TRIM(UPPER(W14)),8,1))&gt;=48,CODE(MID(TRIM(UPPER(W14)),8,1))&lt;=57,CODE(MID(TRIM(UPPER(W14)),9,1))&gt;=48,CODE(MID(TRIM(UPPER(W14)),9,1))&lt;=57),"N","Y"),IF($B14="Challan","",IF(W14&lt;&gt;"","◄ Set Row Type","")))</f>
      </c>
      <c r="Y14" s="23">
        <f>IF($B14="Entry",IF(LEN(W14)&lt;4,"",IF(UPPER(MID(W14,4,1))="P","Individual",IF(UPPER(MID(W14,4,1))="H","HUF",IF(UPPER(MID(W14,4,1))="C","Company",IF(UPPER(MID(W14,4,1))="F","Firm",IF(UPPER(MID(W14,4,1))="L","LLP",IF(UPPER(MID(W14,4,1))="T","Trust",IF(UPPER(MID(W14,4,1))="A","AOP","")))))))),IF($B14="Challan","",IF(W14&lt;&gt;"","◄ Set Row Type","")))</f>
      </c>
      <c r="Z14" s="28"/>
      <c r="AA14" s="29">
        <f>IF($B14&lt;&gt;"Entry","",IF(Z14="","",IF(X14="Y",SUMPRODUCT(('Rate Lookup'!$A$1:$A$37=Z14)*'Rate Lookup'!$D$1:$D$37),IF(OR(Y14="Individual",Y14="HUF"),SUMPRODUCT(('Rate Lookup'!$A$1:$A$37=Z14)*'Rate Lookup'!$B$1:$B$37),SUMPRODUCT(('Rate Lookup'!$A$1:$A$37=Z14)*'Rate Lookup'!$C$1:$C$37)))))</f>
      </c>
      <c r="AB14" s="30"/>
      <c r="AC14" s="31"/>
      <c r="AD14" s="27">
        <f>IF($B14&lt;&gt;"Entry","",ROUND(AC14*AA14/100,0))</f>
      </c>
      <c r="AE14" s="27">
        <f>IF($B14&lt;&gt;"Entry","",0)</f>
      </c>
      <c r="AF14" s="27">
        <f>IF($B14&lt;&gt;"Entry","",0)</f>
      </c>
      <c r="AG14" s="27">
        <f>IF($B14&lt;&gt;"Entry","",IF(OR(AD14=0,AB14="",AQ14="",AQ14&lt;=0),0,IF(AQ14&lt;=DATE(YEAR(AB14),MONTH(AB14)+1,7),0,ROUND(AD14*0.015*((YEAR(AQ14)-YEAR(AB14))*12+(MONTH(AQ14)-MONTH(AB14))+1),0))))</f>
      </c>
      <c r="AH14" s="27">
        <f>IF($B14&lt;&gt;"Entry","",0)</f>
      </c>
      <c r="AI14" s="28"/>
      <c r="AJ14" s="28"/>
      <c r="AK14" s="32"/>
      <c r="AL14" s="28"/>
      <c r="AM14" s="28"/>
      <c r="AN14" s="27">
        <f>IF($B14&lt;&gt;"Challan","",SUMIF('Q1 Data'!$D$4:$D$207,D14,'Q1 Data'!$AD$4:$AD$207)+SUMIF('Q1 Data'!$D$4:$D$207,D14,'Q1 Data'!$AG$4:$AG$207)+SUMIF('Q1 Data'!$D$4:$D$207,D14,'Q1 Data'!$AE$4:$AE$207)+SUMIF('Q2 Data'!$D$4:$D$207,D14,'Q2 Data'!$AD$4:$AD$207)+SUMIF('Q2 Data'!$D$4:$D$207,D14,'Q2 Data'!$AG$4:$AG$207)+SUMIF('Q2 Data'!$D$4:$D$207,D14,'Q2 Data'!$AE$4:$AE$207)+SUMIF('Q3 Data'!$D$4:$D$207,D14,'Q3 Data'!$AD$4:$AD$207)+SUMIF('Q3 Data'!$D$4:$D$207,D14,'Q3 Data'!$AG$4:$AG$207)+SUMIF('Q3 Data'!$D$4:$D$207,D14,'Q3 Data'!$AE$4:$AE$207)+SUMIF('Q4 Data'!$D$4:$D$207,D14,'Q4 Data'!$AD$4:$AD$207)+SUMIF('Q4 Data'!$D$4:$D$207,D14,'Q4 Data'!$AG$4:$AG$207)+SUMIF('Q4 Data'!$D$4:$D$207,D14,'Q4 Data'!$AE$4:$AE$207))</f>
      </c>
      <c r="AO14" s="27">
        <f>IF($B14&lt;&gt;"Challan","",P14-N14)</f>
      </c>
      <c r="AP14" s="27">
        <f>IF($B14&lt;&gt;"Challan","",MAX(0,AO14-AN14))</f>
      </c>
      <c r="AQ14" s="33">
        <f>IF($B14&lt;&gt;"Entry","",SUMPRODUCT(('Q1 Data'!$D$4:$D$207=D14)*('Q1 Data'!$B$4:$B$207="Challan")*'Q1 Data'!$F$4:$F$207)+SUMPRODUCT(('Q2 Data'!$D$4:$D$207=D14)*('Q2 Data'!$B$4:$B$207="Challan")*'Q2 Data'!$F$4:$F$207)+SUMPRODUCT(('Q3 Data'!$D$4:$D$207=D14)*('Q3 Data'!$B$4:$B$207="Challan")*'Q3 Data'!$F$4:$F$207)+SUMPRODUCT(('Q4 Data'!$D$4:$D$207=D14)*('Q4 Data'!$B$4:$B$207="Challan")*'Q4 Data'!$F$4:$F$207))</f>
      </c>
      <c r="AR14" s="34">
        <f>IF(OR($B14&lt;&gt;"Entry",Z14=""),FALSE,AND((SUMPRODUCT(('Q1 Data'!$D$4:$D$207=D14)*('Q1 Data'!$B$4:$B$207="Challan")*('Q1 Data'!$H$4:$H$207&lt;&gt;""))+SUMPRODUCT(('Q2 Data'!$D$4:$D$207=D14)*('Q2 Data'!$B$4:$B$207="Challan")*('Q2 Data'!$H$4:$H$207&lt;&gt;""))+SUMPRODUCT(('Q3 Data'!$D$4:$D$207=D14)*('Q3 Data'!$B$4:$B$207="Challan")*('Q3 Data'!$H$4:$H$207&lt;&gt;""))+SUMPRODUCT(('Q4 Data'!$D$4:$D$207=D14)*('Q4 Data'!$B$4:$B$207="Challan")*('Q4 Data'!$H$4:$H$207&lt;&gt;"")))&gt;0,(SUMPRODUCT(('Q1 Data'!$D$4:$D$207=D14)*('Q1 Data'!$B$4:$B$207="Challan")*('Q1 Data'!$H$4:$H$207=Z14))+SUMPRODUCT(('Q2 Data'!$D$4:$D$207=D14)*('Q2 Data'!$B$4:$B$207="Challan")*('Q2 Data'!$H$4:$H$207=Z14))+SUMPRODUCT(('Q3 Data'!$D$4:$D$207=D14)*('Q3 Data'!$B$4:$B$207="Challan")*('Q3 Data'!$H$4:$H$207=Z14))+SUMPRODUCT(('Q4 Data'!$D$4:$D$207=D14)*('Q4 Data'!$B$4:$B$207="Challan")*('Q4 Data'!$H$4:$H$207=Z14)))=0))</f>
      </c>
    </row>
    <row r="15" spans="1:44" x14ac:dyDescent="0.25">
      <c r="A15" s="20">
        <f>IF($B15="Entry",COUNTIF($B$4:$B15,"Entry"),"")</f>
      </c>
      <c r="B15" s="21"/>
      <c r="C15" s="22"/>
      <c r="D15" s="22"/>
      <c r="E15" s="23">
        <f>IF($B15&lt;&gt;"Challan","",IF(ROUND(AN15-AO15,2)&gt;0,"Over-applied",IF(ROUND(AN15-AO15,2)=0,"Fully Utilised","Unconsumed")))</f>
      </c>
      <c r="F15" s="24"/>
      <c r="G15" s="25"/>
      <c r="H15" s="25"/>
      <c r="I15" s="26"/>
      <c r="J15" s="26"/>
      <c r="K15" s="26"/>
      <c r="L15" s="26"/>
      <c r="M15" s="26"/>
      <c r="N15" s="26"/>
      <c r="O15" s="26"/>
      <c r="P15" s="27">
        <f>IF($B15&lt;&gt;"Challan","",I15+J15+K15+L15+M15+N15)</f>
      </c>
      <c r="Q15" s="25"/>
      <c r="R15" s="25"/>
      <c r="S15" s="25"/>
      <c r="T15" s="25"/>
      <c r="U15" s="25"/>
      <c r="V15" s="28"/>
      <c r="W15" s="28"/>
      <c r="X15" s="23">
        <f>IF($B15="Entry",IF(AND(LEN(TRIM(UPPER(W15)))=10,CODE(MID(TRIM(UPPER(W15)),1,1))&gt;=65,CODE(MID(TRIM(UPPER(W15)),1,1))&lt;=90,CODE(MID(TRIM(UPPER(W15)),2,1))&gt;=65,CODE(MID(TRIM(UPPER(W15)),2,1))&lt;=90,CODE(MID(TRIM(UPPER(W15)),3,1))&gt;=65,CODE(MID(TRIM(UPPER(W15)),3,1))&lt;=90,CODE(MID(TRIM(UPPER(W15)),4,1))&gt;=65,CODE(MID(TRIM(UPPER(W15)),4,1))&lt;=90,CODE(MID(TRIM(UPPER(W15)),5,1))&gt;=65,CODE(MID(TRIM(UPPER(W15)),5,1))&lt;=90,CODE(MID(TRIM(UPPER(W15)),10,1))&gt;=65,CODE(MID(TRIM(UPPER(W15)),10,1))&lt;=90,CODE(MID(TRIM(UPPER(W15)),6,1))&gt;=48,CODE(MID(TRIM(UPPER(W15)),6,1))&lt;=57,CODE(MID(TRIM(UPPER(W15)),7,1))&gt;=48,CODE(MID(TRIM(UPPER(W15)),7,1))&lt;=57,CODE(MID(TRIM(UPPER(W15)),8,1))&gt;=48,CODE(MID(TRIM(UPPER(W15)),8,1))&lt;=57,CODE(MID(TRIM(UPPER(W15)),9,1))&gt;=48,CODE(MID(TRIM(UPPER(W15)),9,1))&lt;=57),"N","Y"),IF($B15="Challan","",IF(W15&lt;&gt;"","◄ Set Row Type","")))</f>
      </c>
      <c r="Y15" s="23">
        <f>IF($B15="Entry",IF(LEN(W15)&lt;4,"",IF(UPPER(MID(W15,4,1))="P","Individual",IF(UPPER(MID(W15,4,1))="H","HUF",IF(UPPER(MID(W15,4,1))="C","Company",IF(UPPER(MID(W15,4,1))="F","Firm",IF(UPPER(MID(W15,4,1))="L","LLP",IF(UPPER(MID(W15,4,1))="T","Trust",IF(UPPER(MID(W15,4,1))="A","AOP","")))))))),IF($B15="Challan","",IF(W15&lt;&gt;"","◄ Set Row Type","")))</f>
      </c>
      <c r="Z15" s="28"/>
      <c r="AA15" s="29">
        <f>IF($B15&lt;&gt;"Entry","",IF(Z15="","",IF(X15="Y",SUMPRODUCT(('Rate Lookup'!$A$1:$A$37=Z15)*'Rate Lookup'!$D$1:$D$37),IF(OR(Y15="Individual",Y15="HUF"),SUMPRODUCT(('Rate Lookup'!$A$1:$A$37=Z15)*'Rate Lookup'!$B$1:$B$37),SUMPRODUCT(('Rate Lookup'!$A$1:$A$37=Z15)*'Rate Lookup'!$C$1:$C$37)))))</f>
      </c>
      <c r="AB15" s="30"/>
      <c r="AC15" s="31"/>
      <c r="AD15" s="27">
        <f>IF($B15&lt;&gt;"Entry","",ROUND(AC15*AA15/100,0))</f>
      </c>
      <c r="AE15" s="27">
        <f>IF($B15&lt;&gt;"Entry","",0)</f>
      </c>
      <c r="AF15" s="27">
        <f>IF($B15&lt;&gt;"Entry","",0)</f>
      </c>
      <c r="AG15" s="27">
        <f>IF($B15&lt;&gt;"Entry","",IF(OR(AD15=0,AB15="",AQ15="",AQ15&lt;=0),0,IF(AQ15&lt;=DATE(YEAR(AB15),MONTH(AB15)+1,7),0,ROUND(AD15*0.015*((YEAR(AQ15)-YEAR(AB15))*12+(MONTH(AQ15)-MONTH(AB15))+1),0))))</f>
      </c>
      <c r="AH15" s="27">
        <f>IF($B15&lt;&gt;"Entry","",0)</f>
      </c>
      <c r="AI15" s="28"/>
      <c r="AJ15" s="28"/>
      <c r="AK15" s="32"/>
      <c r="AL15" s="28"/>
      <c r="AM15" s="28"/>
      <c r="AN15" s="27">
        <f>IF($B15&lt;&gt;"Challan","",SUMIF('Q1 Data'!$D$4:$D$207,D15,'Q1 Data'!$AD$4:$AD$207)+SUMIF('Q1 Data'!$D$4:$D$207,D15,'Q1 Data'!$AG$4:$AG$207)+SUMIF('Q1 Data'!$D$4:$D$207,D15,'Q1 Data'!$AE$4:$AE$207)+SUMIF('Q2 Data'!$D$4:$D$207,D15,'Q2 Data'!$AD$4:$AD$207)+SUMIF('Q2 Data'!$D$4:$D$207,D15,'Q2 Data'!$AG$4:$AG$207)+SUMIF('Q2 Data'!$D$4:$D$207,D15,'Q2 Data'!$AE$4:$AE$207)+SUMIF('Q3 Data'!$D$4:$D$207,D15,'Q3 Data'!$AD$4:$AD$207)+SUMIF('Q3 Data'!$D$4:$D$207,D15,'Q3 Data'!$AG$4:$AG$207)+SUMIF('Q3 Data'!$D$4:$D$207,D15,'Q3 Data'!$AE$4:$AE$207)+SUMIF('Q4 Data'!$D$4:$D$207,D15,'Q4 Data'!$AD$4:$AD$207)+SUMIF('Q4 Data'!$D$4:$D$207,D15,'Q4 Data'!$AG$4:$AG$207)+SUMIF('Q4 Data'!$D$4:$D$207,D15,'Q4 Data'!$AE$4:$AE$207))</f>
      </c>
      <c r="AO15" s="27">
        <f>IF($B15&lt;&gt;"Challan","",P15-N15)</f>
      </c>
      <c r="AP15" s="27">
        <f>IF($B15&lt;&gt;"Challan","",MAX(0,AO15-AN15))</f>
      </c>
      <c r="AQ15" s="33">
        <f>IF($B15&lt;&gt;"Entry","",SUMPRODUCT(('Q1 Data'!$D$4:$D$207=D15)*('Q1 Data'!$B$4:$B$207="Challan")*'Q1 Data'!$F$4:$F$207)+SUMPRODUCT(('Q2 Data'!$D$4:$D$207=D15)*('Q2 Data'!$B$4:$B$207="Challan")*'Q2 Data'!$F$4:$F$207)+SUMPRODUCT(('Q3 Data'!$D$4:$D$207=D15)*('Q3 Data'!$B$4:$B$207="Challan")*'Q3 Data'!$F$4:$F$207)+SUMPRODUCT(('Q4 Data'!$D$4:$D$207=D15)*('Q4 Data'!$B$4:$B$207="Challan")*'Q4 Data'!$F$4:$F$207))</f>
      </c>
      <c r="AR15" s="34">
        <f>IF(OR($B15&lt;&gt;"Entry",Z15=""),FALSE,AND((SUMPRODUCT(('Q1 Data'!$D$4:$D$207=D15)*('Q1 Data'!$B$4:$B$207="Challan")*('Q1 Data'!$H$4:$H$207&lt;&gt;""))+SUMPRODUCT(('Q2 Data'!$D$4:$D$207=D15)*('Q2 Data'!$B$4:$B$207="Challan")*('Q2 Data'!$H$4:$H$207&lt;&gt;""))+SUMPRODUCT(('Q3 Data'!$D$4:$D$207=D15)*('Q3 Data'!$B$4:$B$207="Challan")*('Q3 Data'!$H$4:$H$207&lt;&gt;""))+SUMPRODUCT(('Q4 Data'!$D$4:$D$207=D15)*('Q4 Data'!$B$4:$B$207="Challan")*('Q4 Data'!$H$4:$H$207&lt;&gt;"")))&gt;0,(SUMPRODUCT(('Q1 Data'!$D$4:$D$207=D15)*('Q1 Data'!$B$4:$B$207="Challan")*('Q1 Data'!$H$4:$H$207=Z15))+SUMPRODUCT(('Q2 Data'!$D$4:$D$207=D15)*('Q2 Data'!$B$4:$B$207="Challan")*('Q2 Data'!$H$4:$H$207=Z15))+SUMPRODUCT(('Q3 Data'!$D$4:$D$207=D15)*('Q3 Data'!$B$4:$B$207="Challan")*('Q3 Data'!$H$4:$H$207=Z15))+SUMPRODUCT(('Q4 Data'!$D$4:$D$207=D15)*('Q4 Data'!$B$4:$B$207="Challan")*('Q4 Data'!$H$4:$H$207=Z15)))=0))</f>
      </c>
    </row>
    <row r="16" spans="1:44" x14ac:dyDescent="0.25">
      <c r="A16" s="20">
        <f>IF($B16="Entry",COUNTIF($B$4:$B16,"Entry"),"")</f>
      </c>
      <c r="B16" s="21"/>
      <c r="C16" s="22"/>
      <c r="D16" s="22"/>
      <c r="E16" s="23">
        <f>IF($B16&lt;&gt;"Challan","",IF(ROUND(AN16-AO16,2)&gt;0,"Over-applied",IF(ROUND(AN16-AO16,2)=0,"Fully Utilised","Unconsumed")))</f>
      </c>
      <c r="F16" s="24"/>
      <c r="G16" s="25"/>
      <c r="H16" s="25"/>
      <c r="I16" s="26"/>
      <c r="J16" s="26"/>
      <c r="K16" s="26"/>
      <c r="L16" s="26"/>
      <c r="M16" s="26"/>
      <c r="N16" s="26"/>
      <c r="O16" s="26"/>
      <c r="P16" s="27">
        <f>IF($B16&lt;&gt;"Challan","",I16+J16+K16+L16+M16+N16)</f>
      </c>
      <c r="Q16" s="25"/>
      <c r="R16" s="25"/>
      <c r="S16" s="25"/>
      <c r="T16" s="25"/>
      <c r="U16" s="25"/>
      <c r="V16" s="28"/>
      <c r="W16" s="28"/>
      <c r="X16" s="23">
        <f>IF($B16="Entry",IF(AND(LEN(TRIM(UPPER(W16)))=10,CODE(MID(TRIM(UPPER(W16)),1,1))&gt;=65,CODE(MID(TRIM(UPPER(W16)),1,1))&lt;=90,CODE(MID(TRIM(UPPER(W16)),2,1))&gt;=65,CODE(MID(TRIM(UPPER(W16)),2,1))&lt;=90,CODE(MID(TRIM(UPPER(W16)),3,1))&gt;=65,CODE(MID(TRIM(UPPER(W16)),3,1))&lt;=90,CODE(MID(TRIM(UPPER(W16)),4,1))&gt;=65,CODE(MID(TRIM(UPPER(W16)),4,1))&lt;=90,CODE(MID(TRIM(UPPER(W16)),5,1))&gt;=65,CODE(MID(TRIM(UPPER(W16)),5,1))&lt;=90,CODE(MID(TRIM(UPPER(W16)),10,1))&gt;=65,CODE(MID(TRIM(UPPER(W16)),10,1))&lt;=90,CODE(MID(TRIM(UPPER(W16)),6,1))&gt;=48,CODE(MID(TRIM(UPPER(W16)),6,1))&lt;=57,CODE(MID(TRIM(UPPER(W16)),7,1))&gt;=48,CODE(MID(TRIM(UPPER(W16)),7,1))&lt;=57,CODE(MID(TRIM(UPPER(W16)),8,1))&gt;=48,CODE(MID(TRIM(UPPER(W16)),8,1))&lt;=57,CODE(MID(TRIM(UPPER(W16)),9,1))&gt;=48,CODE(MID(TRIM(UPPER(W16)),9,1))&lt;=57),"N","Y"),IF($B16="Challan","",IF(W16&lt;&gt;"","◄ Set Row Type","")))</f>
      </c>
      <c r="Y16" s="23">
        <f>IF($B16="Entry",IF(LEN(W16)&lt;4,"",IF(UPPER(MID(W16,4,1))="P","Individual",IF(UPPER(MID(W16,4,1))="H","HUF",IF(UPPER(MID(W16,4,1))="C","Company",IF(UPPER(MID(W16,4,1))="F","Firm",IF(UPPER(MID(W16,4,1))="L","LLP",IF(UPPER(MID(W16,4,1))="T","Trust",IF(UPPER(MID(W16,4,1))="A","AOP","")))))))),IF($B16="Challan","",IF(W16&lt;&gt;"","◄ Set Row Type","")))</f>
      </c>
      <c r="Z16" s="28"/>
      <c r="AA16" s="29">
        <f>IF($B16&lt;&gt;"Entry","",IF(Z16="","",IF(X16="Y",SUMPRODUCT(('Rate Lookup'!$A$1:$A$37=Z16)*'Rate Lookup'!$D$1:$D$37),IF(OR(Y16="Individual",Y16="HUF"),SUMPRODUCT(('Rate Lookup'!$A$1:$A$37=Z16)*'Rate Lookup'!$B$1:$B$37),SUMPRODUCT(('Rate Lookup'!$A$1:$A$37=Z16)*'Rate Lookup'!$C$1:$C$37)))))</f>
      </c>
      <c r="AB16" s="30"/>
      <c r="AC16" s="31"/>
      <c r="AD16" s="27">
        <f>IF($B16&lt;&gt;"Entry","",ROUND(AC16*AA16/100,0))</f>
      </c>
      <c r="AE16" s="27">
        <f>IF($B16&lt;&gt;"Entry","",0)</f>
      </c>
      <c r="AF16" s="27">
        <f>IF($B16&lt;&gt;"Entry","",0)</f>
      </c>
      <c r="AG16" s="27">
        <f>IF($B16&lt;&gt;"Entry","",IF(OR(AD16=0,AB16="",AQ16="",AQ16&lt;=0),0,IF(AQ16&lt;=DATE(YEAR(AB16),MONTH(AB16)+1,7),0,ROUND(AD16*0.015*((YEAR(AQ16)-YEAR(AB16))*12+(MONTH(AQ16)-MONTH(AB16))+1),0))))</f>
      </c>
      <c r="AH16" s="27">
        <f>IF($B16&lt;&gt;"Entry","",0)</f>
      </c>
      <c r="AI16" s="28"/>
      <c r="AJ16" s="28"/>
      <c r="AK16" s="32"/>
      <c r="AL16" s="28"/>
      <c r="AM16" s="28"/>
      <c r="AN16" s="27">
        <f>IF($B16&lt;&gt;"Challan","",SUMIF('Q1 Data'!$D$4:$D$207,D16,'Q1 Data'!$AD$4:$AD$207)+SUMIF('Q1 Data'!$D$4:$D$207,D16,'Q1 Data'!$AG$4:$AG$207)+SUMIF('Q1 Data'!$D$4:$D$207,D16,'Q1 Data'!$AE$4:$AE$207)+SUMIF('Q2 Data'!$D$4:$D$207,D16,'Q2 Data'!$AD$4:$AD$207)+SUMIF('Q2 Data'!$D$4:$D$207,D16,'Q2 Data'!$AG$4:$AG$207)+SUMIF('Q2 Data'!$D$4:$D$207,D16,'Q2 Data'!$AE$4:$AE$207)+SUMIF('Q3 Data'!$D$4:$D$207,D16,'Q3 Data'!$AD$4:$AD$207)+SUMIF('Q3 Data'!$D$4:$D$207,D16,'Q3 Data'!$AG$4:$AG$207)+SUMIF('Q3 Data'!$D$4:$D$207,D16,'Q3 Data'!$AE$4:$AE$207)+SUMIF('Q4 Data'!$D$4:$D$207,D16,'Q4 Data'!$AD$4:$AD$207)+SUMIF('Q4 Data'!$D$4:$D$207,D16,'Q4 Data'!$AG$4:$AG$207)+SUMIF('Q4 Data'!$D$4:$D$207,D16,'Q4 Data'!$AE$4:$AE$207))</f>
      </c>
      <c r="AO16" s="27">
        <f>IF($B16&lt;&gt;"Challan","",P16-N16)</f>
      </c>
      <c r="AP16" s="27">
        <f>IF($B16&lt;&gt;"Challan","",MAX(0,AO16-AN16))</f>
      </c>
      <c r="AQ16" s="33">
        <f>IF($B16&lt;&gt;"Entry","",SUMPRODUCT(('Q1 Data'!$D$4:$D$207=D16)*('Q1 Data'!$B$4:$B$207="Challan")*'Q1 Data'!$F$4:$F$207)+SUMPRODUCT(('Q2 Data'!$D$4:$D$207=D16)*('Q2 Data'!$B$4:$B$207="Challan")*'Q2 Data'!$F$4:$F$207)+SUMPRODUCT(('Q3 Data'!$D$4:$D$207=D16)*('Q3 Data'!$B$4:$B$207="Challan")*'Q3 Data'!$F$4:$F$207)+SUMPRODUCT(('Q4 Data'!$D$4:$D$207=D16)*('Q4 Data'!$B$4:$B$207="Challan")*'Q4 Data'!$F$4:$F$207))</f>
      </c>
      <c r="AR16" s="34">
        <f>IF(OR($B16&lt;&gt;"Entry",Z16=""),FALSE,AND((SUMPRODUCT(('Q1 Data'!$D$4:$D$207=D16)*('Q1 Data'!$B$4:$B$207="Challan")*('Q1 Data'!$H$4:$H$207&lt;&gt;""))+SUMPRODUCT(('Q2 Data'!$D$4:$D$207=D16)*('Q2 Data'!$B$4:$B$207="Challan")*('Q2 Data'!$H$4:$H$207&lt;&gt;""))+SUMPRODUCT(('Q3 Data'!$D$4:$D$207=D16)*('Q3 Data'!$B$4:$B$207="Challan")*('Q3 Data'!$H$4:$H$207&lt;&gt;""))+SUMPRODUCT(('Q4 Data'!$D$4:$D$207=D16)*('Q4 Data'!$B$4:$B$207="Challan")*('Q4 Data'!$H$4:$H$207&lt;&gt;"")))&gt;0,(SUMPRODUCT(('Q1 Data'!$D$4:$D$207=D16)*('Q1 Data'!$B$4:$B$207="Challan")*('Q1 Data'!$H$4:$H$207=Z16))+SUMPRODUCT(('Q2 Data'!$D$4:$D$207=D16)*('Q2 Data'!$B$4:$B$207="Challan")*('Q2 Data'!$H$4:$H$207=Z16))+SUMPRODUCT(('Q3 Data'!$D$4:$D$207=D16)*('Q3 Data'!$B$4:$B$207="Challan")*('Q3 Data'!$H$4:$H$207=Z16))+SUMPRODUCT(('Q4 Data'!$D$4:$D$207=D16)*('Q4 Data'!$B$4:$B$207="Challan")*('Q4 Data'!$H$4:$H$207=Z16)))=0))</f>
      </c>
    </row>
    <row r="17" spans="1:44" x14ac:dyDescent="0.25">
      <c r="A17" s="20">
        <f>IF($B17="Entry",COUNTIF($B$4:$B17,"Entry"),"")</f>
      </c>
      <c r="B17" s="21"/>
      <c r="C17" s="22"/>
      <c r="D17" s="22"/>
      <c r="E17" s="23">
        <f>IF($B17&lt;&gt;"Challan","",IF(ROUND(AN17-AO17,2)&gt;0,"Over-applied",IF(ROUND(AN17-AO17,2)=0,"Fully Utilised","Unconsumed")))</f>
      </c>
      <c r="F17" s="24"/>
      <c r="G17" s="25"/>
      <c r="H17" s="25"/>
      <c r="I17" s="26"/>
      <c r="J17" s="26"/>
      <c r="K17" s="26"/>
      <c r="L17" s="26"/>
      <c r="M17" s="26"/>
      <c r="N17" s="26"/>
      <c r="O17" s="26"/>
      <c r="P17" s="27">
        <f>IF($B17&lt;&gt;"Challan","",I17+J17+K17+L17+M17+N17)</f>
      </c>
      <c r="Q17" s="25"/>
      <c r="R17" s="25"/>
      <c r="S17" s="25"/>
      <c r="T17" s="25"/>
      <c r="U17" s="25"/>
      <c r="V17" s="28"/>
      <c r="W17" s="28"/>
      <c r="X17" s="23">
        <f>IF($B17="Entry",IF(AND(LEN(TRIM(UPPER(W17)))=10,CODE(MID(TRIM(UPPER(W17)),1,1))&gt;=65,CODE(MID(TRIM(UPPER(W17)),1,1))&lt;=90,CODE(MID(TRIM(UPPER(W17)),2,1))&gt;=65,CODE(MID(TRIM(UPPER(W17)),2,1))&lt;=90,CODE(MID(TRIM(UPPER(W17)),3,1))&gt;=65,CODE(MID(TRIM(UPPER(W17)),3,1))&lt;=90,CODE(MID(TRIM(UPPER(W17)),4,1))&gt;=65,CODE(MID(TRIM(UPPER(W17)),4,1))&lt;=90,CODE(MID(TRIM(UPPER(W17)),5,1))&gt;=65,CODE(MID(TRIM(UPPER(W17)),5,1))&lt;=90,CODE(MID(TRIM(UPPER(W17)),10,1))&gt;=65,CODE(MID(TRIM(UPPER(W17)),10,1))&lt;=90,CODE(MID(TRIM(UPPER(W17)),6,1))&gt;=48,CODE(MID(TRIM(UPPER(W17)),6,1))&lt;=57,CODE(MID(TRIM(UPPER(W17)),7,1))&gt;=48,CODE(MID(TRIM(UPPER(W17)),7,1))&lt;=57,CODE(MID(TRIM(UPPER(W17)),8,1))&gt;=48,CODE(MID(TRIM(UPPER(W17)),8,1))&lt;=57,CODE(MID(TRIM(UPPER(W17)),9,1))&gt;=48,CODE(MID(TRIM(UPPER(W17)),9,1))&lt;=57),"N","Y"),IF($B17="Challan","",IF(W17&lt;&gt;"","◄ Set Row Type","")))</f>
      </c>
      <c r="Y17" s="23">
        <f>IF($B17="Entry",IF(LEN(W17)&lt;4,"",IF(UPPER(MID(W17,4,1))="P","Individual",IF(UPPER(MID(W17,4,1))="H","HUF",IF(UPPER(MID(W17,4,1))="C","Company",IF(UPPER(MID(W17,4,1))="F","Firm",IF(UPPER(MID(W17,4,1))="L","LLP",IF(UPPER(MID(W17,4,1))="T","Trust",IF(UPPER(MID(W17,4,1))="A","AOP","")))))))),IF($B17="Challan","",IF(W17&lt;&gt;"","◄ Set Row Type","")))</f>
      </c>
      <c r="Z17" s="28"/>
      <c r="AA17" s="29">
        <f>IF($B17&lt;&gt;"Entry","",IF(Z17="","",IF(X17="Y",SUMPRODUCT(('Rate Lookup'!$A$1:$A$37=Z17)*'Rate Lookup'!$D$1:$D$37),IF(OR(Y17="Individual",Y17="HUF"),SUMPRODUCT(('Rate Lookup'!$A$1:$A$37=Z17)*'Rate Lookup'!$B$1:$B$37),SUMPRODUCT(('Rate Lookup'!$A$1:$A$37=Z17)*'Rate Lookup'!$C$1:$C$37)))))</f>
      </c>
      <c r="AB17" s="30"/>
      <c r="AC17" s="31"/>
      <c r="AD17" s="27">
        <f>IF($B17&lt;&gt;"Entry","",ROUND(AC17*AA17/100,0))</f>
      </c>
      <c r="AE17" s="27">
        <f>IF($B17&lt;&gt;"Entry","",0)</f>
      </c>
      <c r="AF17" s="27">
        <f>IF($B17&lt;&gt;"Entry","",0)</f>
      </c>
      <c r="AG17" s="27">
        <f>IF($B17&lt;&gt;"Entry","",IF(OR(AD17=0,AB17="",AQ17="",AQ17&lt;=0),0,IF(AQ17&lt;=DATE(YEAR(AB17),MONTH(AB17)+1,7),0,ROUND(AD17*0.015*((YEAR(AQ17)-YEAR(AB17))*12+(MONTH(AQ17)-MONTH(AB17))+1),0))))</f>
      </c>
      <c r="AH17" s="27">
        <f>IF($B17&lt;&gt;"Entry","",0)</f>
      </c>
      <c r="AI17" s="28"/>
      <c r="AJ17" s="28"/>
      <c r="AK17" s="32"/>
      <c r="AL17" s="28"/>
      <c r="AM17" s="28"/>
      <c r="AN17" s="27">
        <f>IF($B17&lt;&gt;"Challan","",SUMIF('Q1 Data'!$D$4:$D$207,D17,'Q1 Data'!$AD$4:$AD$207)+SUMIF('Q1 Data'!$D$4:$D$207,D17,'Q1 Data'!$AG$4:$AG$207)+SUMIF('Q1 Data'!$D$4:$D$207,D17,'Q1 Data'!$AE$4:$AE$207)+SUMIF('Q2 Data'!$D$4:$D$207,D17,'Q2 Data'!$AD$4:$AD$207)+SUMIF('Q2 Data'!$D$4:$D$207,D17,'Q2 Data'!$AG$4:$AG$207)+SUMIF('Q2 Data'!$D$4:$D$207,D17,'Q2 Data'!$AE$4:$AE$207)+SUMIF('Q3 Data'!$D$4:$D$207,D17,'Q3 Data'!$AD$4:$AD$207)+SUMIF('Q3 Data'!$D$4:$D$207,D17,'Q3 Data'!$AG$4:$AG$207)+SUMIF('Q3 Data'!$D$4:$D$207,D17,'Q3 Data'!$AE$4:$AE$207)+SUMIF('Q4 Data'!$D$4:$D$207,D17,'Q4 Data'!$AD$4:$AD$207)+SUMIF('Q4 Data'!$D$4:$D$207,D17,'Q4 Data'!$AG$4:$AG$207)+SUMIF('Q4 Data'!$D$4:$D$207,D17,'Q4 Data'!$AE$4:$AE$207))</f>
      </c>
      <c r="AO17" s="27">
        <f>IF($B17&lt;&gt;"Challan","",P17-N17)</f>
      </c>
      <c r="AP17" s="27">
        <f>IF($B17&lt;&gt;"Challan","",MAX(0,AO17-AN17))</f>
      </c>
      <c r="AQ17" s="33">
        <f>IF($B17&lt;&gt;"Entry","",SUMPRODUCT(('Q1 Data'!$D$4:$D$207=D17)*('Q1 Data'!$B$4:$B$207="Challan")*'Q1 Data'!$F$4:$F$207)+SUMPRODUCT(('Q2 Data'!$D$4:$D$207=D17)*('Q2 Data'!$B$4:$B$207="Challan")*'Q2 Data'!$F$4:$F$207)+SUMPRODUCT(('Q3 Data'!$D$4:$D$207=D17)*('Q3 Data'!$B$4:$B$207="Challan")*'Q3 Data'!$F$4:$F$207)+SUMPRODUCT(('Q4 Data'!$D$4:$D$207=D17)*('Q4 Data'!$B$4:$B$207="Challan")*'Q4 Data'!$F$4:$F$207))</f>
      </c>
      <c r="AR17" s="34">
        <f>IF(OR($B17&lt;&gt;"Entry",Z17=""),FALSE,AND((SUMPRODUCT(('Q1 Data'!$D$4:$D$207=D17)*('Q1 Data'!$B$4:$B$207="Challan")*('Q1 Data'!$H$4:$H$207&lt;&gt;""))+SUMPRODUCT(('Q2 Data'!$D$4:$D$207=D17)*('Q2 Data'!$B$4:$B$207="Challan")*('Q2 Data'!$H$4:$H$207&lt;&gt;""))+SUMPRODUCT(('Q3 Data'!$D$4:$D$207=D17)*('Q3 Data'!$B$4:$B$207="Challan")*('Q3 Data'!$H$4:$H$207&lt;&gt;""))+SUMPRODUCT(('Q4 Data'!$D$4:$D$207=D17)*('Q4 Data'!$B$4:$B$207="Challan")*('Q4 Data'!$H$4:$H$207&lt;&gt;"")))&gt;0,(SUMPRODUCT(('Q1 Data'!$D$4:$D$207=D17)*('Q1 Data'!$B$4:$B$207="Challan")*('Q1 Data'!$H$4:$H$207=Z17))+SUMPRODUCT(('Q2 Data'!$D$4:$D$207=D17)*('Q2 Data'!$B$4:$B$207="Challan")*('Q2 Data'!$H$4:$H$207=Z17))+SUMPRODUCT(('Q3 Data'!$D$4:$D$207=D17)*('Q3 Data'!$B$4:$B$207="Challan")*('Q3 Data'!$H$4:$H$207=Z17))+SUMPRODUCT(('Q4 Data'!$D$4:$D$207=D17)*('Q4 Data'!$B$4:$B$207="Challan")*('Q4 Data'!$H$4:$H$207=Z17)))=0))</f>
      </c>
    </row>
    <row r="18" spans="1:44" x14ac:dyDescent="0.25">
      <c r="A18" s="20">
        <f>IF($B18="Entry",COUNTIF($B$4:$B18,"Entry"),"")</f>
      </c>
      <c r="B18" s="21"/>
      <c r="C18" s="22"/>
      <c r="D18" s="22"/>
      <c r="E18" s="23">
        <f>IF($B18&lt;&gt;"Challan","",IF(ROUND(AN18-AO18,2)&gt;0,"Over-applied",IF(ROUND(AN18-AO18,2)=0,"Fully Utilised","Unconsumed")))</f>
      </c>
      <c r="F18" s="24"/>
      <c r="G18" s="25"/>
      <c r="H18" s="25"/>
      <c r="I18" s="26"/>
      <c r="J18" s="26"/>
      <c r="K18" s="26"/>
      <c r="L18" s="26"/>
      <c r="M18" s="26"/>
      <c r="N18" s="26"/>
      <c r="O18" s="26"/>
      <c r="P18" s="27">
        <f>IF($B18&lt;&gt;"Challan","",I18+J18+K18+L18+M18+N18)</f>
      </c>
      <c r="Q18" s="25"/>
      <c r="R18" s="25"/>
      <c r="S18" s="25"/>
      <c r="T18" s="25"/>
      <c r="U18" s="25"/>
      <c r="V18" s="28"/>
      <c r="W18" s="28"/>
      <c r="X18" s="23">
        <f>IF($B18="Entry",IF(AND(LEN(TRIM(UPPER(W18)))=10,CODE(MID(TRIM(UPPER(W18)),1,1))&gt;=65,CODE(MID(TRIM(UPPER(W18)),1,1))&lt;=90,CODE(MID(TRIM(UPPER(W18)),2,1))&gt;=65,CODE(MID(TRIM(UPPER(W18)),2,1))&lt;=90,CODE(MID(TRIM(UPPER(W18)),3,1))&gt;=65,CODE(MID(TRIM(UPPER(W18)),3,1))&lt;=90,CODE(MID(TRIM(UPPER(W18)),4,1))&gt;=65,CODE(MID(TRIM(UPPER(W18)),4,1))&lt;=90,CODE(MID(TRIM(UPPER(W18)),5,1))&gt;=65,CODE(MID(TRIM(UPPER(W18)),5,1))&lt;=90,CODE(MID(TRIM(UPPER(W18)),10,1))&gt;=65,CODE(MID(TRIM(UPPER(W18)),10,1))&lt;=90,CODE(MID(TRIM(UPPER(W18)),6,1))&gt;=48,CODE(MID(TRIM(UPPER(W18)),6,1))&lt;=57,CODE(MID(TRIM(UPPER(W18)),7,1))&gt;=48,CODE(MID(TRIM(UPPER(W18)),7,1))&lt;=57,CODE(MID(TRIM(UPPER(W18)),8,1))&gt;=48,CODE(MID(TRIM(UPPER(W18)),8,1))&lt;=57,CODE(MID(TRIM(UPPER(W18)),9,1))&gt;=48,CODE(MID(TRIM(UPPER(W18)),9,1))&lt;=57),"N","Y"),IF($B18="Challan","",IF(W18&lt;&gt;"","◄ Set Row Type","")))</f>
      </c>
      <c r="Y18" s="23">
        <f>IF($B18="Entry",IF(LEN(W18)&lt;4,"",IF(UPPER(MID(W18,4,1))="P","Individual",IF(UPPER(MID(W18,4,1))="H","HUF",IF(UPPER(MID(W18,4,1))="C","Company",IF(UPPER(MID(W18,4,1))="F","Firm",IF(UPPER(MID(W18,4,1))="L","LLP",IF(UPPER(MID(W18,4,1))="T","Trust",IF(UPPER(MID(W18,4,1))="A","AOP","")))))))),IF($B18="Challan","",IF(W18&lt;&gt;"","◄ Set Row Type","")))</f>
      </c>
      <c r="Z18" s="28"/>
      <c r="AA18" s="29">
        <f>IF($B18&lt;&gt;"Entry","",IF(Z18="","",IF(X18="Y",SUMPRODUCT(('Rate Lookup'!$A$1:$A$37=Z18)*'Rate Lookup'!$D$1:$D$37),IF(OR(Y18="Individual",Y18="HUF"),SUMPRODUCT(('Rate Lookup'!$A$1:$A$37=Z18)*'Rate Lookup'!$B$1:$B$37),SUMPRODUCT(('Rate Lookup'!$A$1:$A$37=Z18)*'Rate Lookup'!$C$1:$C$37)))))</f>
      </c>
      <c r="AB18" s="30"/>
      <c r="AC18" s="31"/>
      <c r="AD18" s="27">
        <f>IF($B18&lt;&gt;"Entry","",ROUND(AC18*AA18/100,0))</f>
      </c>
      <c r="AE18" s="27">
        <f>IF($B18&lt;&gt;"Entry","",0)</f>
      </c>
      <c r="AF18" s="27">
        <f>IF($B18&lt;&gt;"Entry","",0)</f>
      </c>
      <c r="AG18" s="27">
        <f>IF($B18&lt;&gt;"Entry","",IF(OR(AD18=0,AB18="",AQ18="",AQ18&lt;=0),0,IF(AQ18&lt;=DATE(YEAR(AB18),MONTH(AB18)+1,7),0,ROUND(AD18*0.015*((YEAR(AQ18)-YEAR(AB18))*12+(MONTH(AQ18)-MONTH(AB18))+1),0))))</f>
      </c>
      <c r="AH18" s="27">
        <f>IF($B18&lt;&gt;"Entry","",0)</f>
      </c>
      <c r="AI18" s="28"/>
      <c r="AJ18" s="28"/>
      <c r="AK18" s="32"/>
      <c r="AL18" s="28"/>
      <c r="AM18" s="28"/>
      <c r="AN18" s="27">
        <f>IF($B18&lt;&gt;"Challan","",SUMIF('Q1 Data'!$D$4:$D$207,D18,'Q1 Data'!$AD$4:$AD$207)+SUMIF('Q1 Data'!$D$4:$D$207,D18,'Q1 Data'!$AG$4:$AG$207)+SUMIF('Q1 Data'!$D$4:$D$207,D18,'Q1 Data'!$AE$4:$AE$207)+SUMIF('Q2 Data'!$D$4:$D$207,D18,'Q2 Data'!$AD$4:$AD$207)+SUMIF('Q2 Data'!$D$4:$D$207,D18,'Q2 Data'!$AG$4:$AG$207)+SUMIF('Q2 Data'!$D$4:$D$207,D18,'Q2 Data'!$AE$4:$AE$207)+SUMIF('Q3 Data'!$D$4:$D$207,D18,'Q3 Data'!$AD$4:$AD$207)+SUMIF('Q3 Data'!$D$4:$D$207,D18,'Q3 Data'!$AG$4:$AG$207)+SUMIF('Q3 Data'!$D$4:$D$207,D18,'Q3 Data'!$AE$4:$AE$207)+SUMIF('Q4 Data'!$D$4:$D$207,D18,'Q4 Data'!$AD$4:$AD$207)+SUMIF('Q4 Data'!$D$4:$D$207,D18,'Q4 Data'!$AG$4:$AG$207)+SUMIF('Q4 Data'!$D$4:$D$207,D18,'Q4 Data'!$AE$4:$AE$207))</f>
      </c>
      <c r="AO18" s="27">
        <f>IF($B18&lt;&gt;"Challan","",P18-N18)</f>
      </c>
      <c r="AP18" s="27">
        <f>IF($B18&lt;&gt;"Challan","",MAX(0,AO18-AN18))</f>
      </c>
      <c r="AQ18" s="33">
        <f>IF($B18&lt;&gt;"Entry","",SUMPRODUCT(('Q1 Data'!$D$4:$D$207=D18)*('Q1 Data'!$B$4:$B$207="Challan")*'Q1 Data'!$F$4:$F$207)+SUMPRODUCT(('Q2 Data'!$D$4:$D$207=D18)*('Q2 Data'!$B$4:$B$207="Challan")*'Q2 Data'!$F$4:$F$207)+SUMPRODUCT(('Q3 Data'!$D$4:$D$207=D18)*('Q3 Data'!$B$4:$B$207="Challan")*'Q3 Data'!$F$4:$F$207)+SUMPRODUCT(('Q4 Data'!$D$4:$D$207=D18)*('Q4 Data'!$B$4:$B$207="Challan")*'Q4 Data'!$F$4:$F$207))</f>
      </c>
      <c r="AR18" s="34">
        <f>IF(OR($B18&lt;&gt;"Entry",Z18=""),FALSE,AND((SUMPRODUCT(('Q1 Data'!$D$4:$D$207=D18)*('Q1 Data'!$B$4:$B$207="Challan")*('Q1 Data'!$H$4:$H$207&lt;&gt;""))+SUMPRODUCT(('Q2 Data'!$D$4:$D$207=D18)*('Q2 Data'!$B$4:$B$207="Challan")*('Q2 Data'!$H$4:$H$207&lt;&gt;""))+SUMPRODUCT(('Q3 Data'!$D$4:$D$207=D18)*('Q3 Data'!$B$4:$B$207="Challan")*('Q3 Data'!$H$4:$H$207&lt;&gt;""))+SUMPRODUCT(('Q4 Data'!$D$4:$D$207=D18)*('Q4 Data'!$B$4:$B$207="Challan")*('Q4 Data'!$H$4:$H$207&lt;&gt;"")))&gt;0,(SUMPRODUCT(('Q1 Data'!$D$4:$D$207=D18)*('Q1 Data'!$B$4:$B$207="Challan")*('Q1 Data'!$H$4:$H$207=Z18))+SUMPRODUCT(('Q2 Data'!$D$4:$D$207=D18)*('Q2 Data'!$B$4:$B$207="Challan")*('Q2 Data'!$H$4:$H$207=Z18))+SUMPRODUCT(('Q3 Data'!$D$4:$D$207=D18)*('Q3 Data'!$B$4:$B$207="Challan")*('Q3 Data'!$H$4:$H$207=Z18))+SUMPRODUCT(('Q4 Data'!$D$4:$D$207=D18)*('Q4 Data'!$B$4:$B$207="Challan")*('Q4 Data'!$H$4:$H$207=Z18)))=0))</f>
      </c>
    </row>
    <row r="19" spans="1:44" x14ac:dyDescent="0.25">
      <c r="A19" s="20">
        <f>IF($B19="Entry",COUNTIF($B$4:$B19,"Entry"),"")</f>
      </c>
      <c r="B19" s="21"/>
      <c r="C19" s="22"/>
      <c r="D19" s="22"/>
      <c r="E19" s="23">
        <f>IF($B19&lt;&gt;"Challan","",IF(ROUND(AN19-AO19,2)&gt;0,"Over-applied",IF(ROUND(AN19-AO19,2)=0,"Fully Utilised","Unconsumed")))</f>
      </c>
      <c r="F19" s="24"/>
      <c r="G19" s="25"/>
      <c r="H19" s="25"/>
      <c r="I19" s="26"/>
      <c r="J19" s="26"/>
      <c r="K19" s="26"/>
      <c r="L19" s="26"/>
      <c r="M19" s="26"/>
      <c r="N19" s="26"/>
      <c r="O19" s="26"/>
      <c r="P19" s="27">
        <f>IF($B19&lt;&gt;"Challan","",I19+J19+K19+L19+M19+N19)</f>
      </c>
      <c r="Q19" s="25"/>
      <c r="R19" s="25"/>
      <c r="S19" s="25"/>
      <c r="T19" s="25"/>
      <c r="U19" s="25"/>
      <c r="V19" s="28"/>
      <c r="W19" s="28"/>
      <c r="X19" s="23">
        <f>IF($B19="Entry",IF(AND(LEN(TRIM(UPPER(W19)))=10,CODE(MID(TRIM(UPPER(W19)),1,1))&gt;=65,CODE(MID(TRIM(UPPER(W19)),1,1))&lt;=90,CODE(MID(TRIM(UPPER(W19)),2,1))&gt;=65,CODE(MID(TRIM(UPPER(W19)),2,1))&lt;=90,CODE(MID(TRIM(UPPER(W19)),3,1))&gt;=65,CODE(MID(TRIM(UPPER(W19)),3,1))&lt;=90,CODE(MID(TRIM(UPPER(W19)),4,1))&gt;=65,CODE(MID(TRIM(UPPER(W19)),4,1))&lt;=90,CODE(MID(TRIM(UPPER(W19)),5,1))&gt;=65,CODE(MID(TRIM(UPPER(W19)),5,1))&lt;=90,CODE(MID(TRIM(UPPER(W19)),10,1))&gt;=65,CODE(MID(TRIM(UPPER(W19)),10,1))&lt;=90,CODE(MID(TRIM(UPPER(W19)),6,1))&gt;=48,CODE(MID(TRIM(UPPER(W19)),6,1))&lt;=57,CODE(MID(TRIM(UPPER(W19)),7,1))&gt;=48,CODE(MID(TRIM(UPPER(W19)),7,1))&lt;=57,CODE(MID(TRIM(UPPER(W19)),8,1))&gt;=48,CODE(MID(TRIM(UPPER(W19)),8,1))&lt;=57,CODE(MID(TRIM(UPPER(W19)),9,1))&gt;=48,CODE(MID(TRIM(UPPER(W19)),9,1))&lt;=57),"N","Y"),IF($B19="Challan","",IF(W19&lt;&gt;"","◄ Set Row Type","")))</f>
      </c>
      <c r="Y19" s="23">
        <f>IF($B19="Entry",IF(LEN(W19)&lt;4,"",IF(UPPER(MID(W19,4,1))="P","Individual",IF(UPPER(MID(W19,4,1))="H","HUF",IF(UPPER(MID(W19,4,1))="C","Company",IF(UPPER(MID(W19,4,1))="F","Firm",IF(UPPER(MID(W19,4,1))="L","LLP",IF(UPPER(MID(W19,4,1))="T","Trust",IF(UPPER(MID(W19,4,1))="A","AOP","")))))))),IF($B19="Challan","",IF(W19&lt;&gt;"","◄ Set Row Type","")))</f>
      </c>
      <c r="Z19" s="28"/>
      <c r="AA19" s="29">
        <f>IF($B19&lt;&gt;"Entry","",IF(Z19="","",IF(X19="Y",SUMPRODUCT(('Rate Lookup'!$A$1:$A$37=Z19)*'Rate Lookup'!$D$1:$D$37),IF(OR(Y19="Individual",Y19="HUF"),SUMPRODUCT(('Rate Lookup'!$A$1:$A$37=Z19)*'Rate Lookup'!$B$1:$B$37),SUMPRODUCT(('Rate Lookup'!$A$1:$A$37=Z19)*'Rate Lookup'!$C$1:$C$37)))))</f>
      </c>
      <c r="AB19" s="30"/>
      <c r="AC19" s="31"/>
      <c r="AD19" s="27">
        <f>IF($B19&lt;&gt;"Entry","",ROUND(AC19*AA19/100,0))</f>
      </c>
      <c r="AE19" s="27">
        <f>IF($B19&lt;&gt;"Entry","",0)</f>
      </c>
      <c r="AF19" s="27">
        <f>IF($B19&lt;&gt;"Entry","",0)</f>
      </c>
      <c r="AG19" s="27">
        <f>IF($B19&lt;&gt;"Entry","",IF(OR(AD19=0,AB19="",AQ19="",AQ19&lt;=0),0,IF(AQ19&lt;=DATE(YEAR(AB19),MONTH(AB19)+1,7),0,ROUND(AD19*0.015*((YEAR(AQ19)-YEAR(AB19))*12+(MONTH(AQ19)-MONTH(AB19))+1),0))))</f>
      </c>
      <c r="AH19" s="27">
        <f>IF($B19&lt;&gt;"Entry","",0)</f>
      </c>
      <c r="AI19" s="28"/>
      <c r="AJ19" s="28"/>
      <c r="AK19" s="32"/>
      <c r="AL19" s="28"/>
      <c r="AM19" s="28"/>
      <c r="AN19" s="27">
        <f>IF($B19&lt;&gt;"Challan","",SUMIF('Q1 Data'!$D$4:$D$207,D19,'Q1 Data'!$AD$4:$AD$207)+SUMIF('Q1 Data'!$D$4:$D$207,D19,'Q1 Data'!$AG$4:$AG$207)+SUMIF('Q1 Data'!$D$4:$D$207,D19,'Q1 Data'!$AE$4:$AE$207)+SUMIF('Q2 Data'!$D$4:$D$207,D19,'Q2 Data'!$AD$4:$AD$207)+SUMIF('Q2 Data'!$D$4:$D$207,D19,'Q2 Data'!$AG$4:$AG$207)+SUMIF('Q2 Data'!$D$4:$D$207,D19,'Q2 Data'!$AE$4:$AE$207)+SUMIF('Q3 Data'!$D$4:$D$207,D19,'Q3 Data'!$AD$4:$AD$207)+SUMIF('Q3 Data'!$D$4:$D$207,D19,'Q3 Data'!$AG$4:$AG$207)+SUMIF('Q3 Data'!$D$4:$D$207,D19,'Q3 Data'!$AE$4:$AE$207)+SUMIF('Q4 Data'!$D$4:$D$207,D19,'Q4 Data'!$AD$4:$AD$207)+SUMIF('Q4 Data'!$D$4:$D$207,D19,'Q4 Data'!$AG$4:$AG$207)+SUMIF('Q4 Data'!$D$4:$D$207,D19,'Q4 Data'!$AE$4:$AE$207))</f>
      </c>
      <c r="AO19" s="27">
        <f>IF($B19&lt;&gt;"Challan","",P19-N19)</f>
      </c>
      <c r="AP19" s="27">
        <f>IF($B19&lt;&gt;"Challan","",MAX(0,AO19-AN19))</f>
      </c>
      <c r="AQ19" s="33">
        <f>IF($B19&lt;&gt;"Entry","",SUMPRODUCT(('Q1 Data'!$D$4:$D$207=D19)*('Q1 Data'!$B$4:$B$207="Challan")*'Q1 Data'!$F$4:$F$207)+SUMPRODUCT(('Q2 Data'!$D$4:$D$207=D19)*('Q2 Data'!$B$4:$B$207="Challan")*'Q2 Data'!$F$4:$F$207)+SUMPRODUCT(('Q3 Data'!$D$4:$D$207=D19)*('Q3 Data'!$B$4:$B$207="Challan")*'Q3 Data'!$F$4:$F$207)+SUMPRODUCT(('Q4 Data'!$D$4:$D$207=D19)*('Q4 Data'!$B$4:$B$207="Challan")*'Q4 Data'!$F$4:$F$207))</f>
      </c>
      <c r="AR19" s="34">
        <f>IF(OR($B19&lt;&gt;"Entry",Z19=""),FALSE,AND((SUMPRODUCT(('Q1 Data'!$D$4:$D$207=D19)*('Q1 Data'!$B$4:$B$207="Challan")*('Q1 Data'!$H$4:$H$207&lt;&gt;""))+SUMPRODUCT(('Q2 Data'!$D$4:$D$207=D19)*('Q2 Data'!$B$4:$B$207="Challan")*('Q2 Data'!$H$4:$H$207&lt;&gt;""))+SUMPRODUCT(('Q3 Data'!$D$4:$D$207=D19)*('Q3 Data'!$B$4:$B$207="Challan")*('Q3 Data'!$H$4:$H$207&lt;&gt;""))+SUMPRODUCT(('Q4 Data'!$D$4:$D$207=D19)*('Q4 Data'!$B$4:$B$207="Challan")*('Q4 Data'!$H$4:$H$207&lt;&gt;"")))&gt;0,(SUMPRODUCT(('Q1 Data'!$D$4:$D$207=D19)*('Q1 Data'!$B$4:$B$207="Challan")*('Q1 Data'!$H$4:$H$207=Z19))+SUMPRODUCT(('Q2 Data'!$D$4:$D$207=D19)*('Q2 Data'!$B$4:$B$207="Challan")*('Q2 Data'!$H$4:$H$207=Z19))+SUMPRODUCT(('Q3 Data'!$D$4:$D$207=D19)*('Q3 Data'!$B$4:$B$207="Challan")*('Q3 Data'!$H$4:$H$207=Z19))+SUMPRODUCT(('Q4 Data'!$D$4:$D$207=D19)*('Q4 Data'!$B$4:$B$207="Challan")*('Q4 Data'!$H$4:$H$207=Z19)))=0))</f>
      </c>
    </row>
    <row r="20" spans="1:44" x14ac:dyDescent="0.25">
      <c r="A20" s="20">
        <f>IF($B20="Entry",COUNTIF($B$4:$B20,"Entry"),"")</f>
      </c>
      <c r="B20" s="21"/>
      <c r="C20" s="22"/>
      <c r="D20" s="22"/>
      <c r="E20" s="23">
        <f>IF($B20&lt;&gt;"Challan","",IF(ROUND(AN20-AO20,2)&gt;0,"Over-applied",IF(ROUND(AN20-AO20,2)=0,"Fully Utilised","Unconsumed")))</f>
      </c>
      <c r="F20" s="24"/>
      <c r="G20" s="25"/>
      <c r="H20" s="25"/>
      <c r="I20" s="26"/>
      <c r="J20" s="26"/>
      <c r="K20" s="26"/>
      <c r="L20" s="26"/>
      <c r="M20" s="26"/>
      <c r="N20" s="26"/>
      <c r="O20" s="26"/>
      <c r="P20" s="27">
        <f>IF($B20&lt;&gt;"Challan","",I20+J20+K20+L20+M20+N20)</f>
      </c>
      <c r="Q20" s="25"/>
      <c r="R20" s="25"/>
      <c r="S20" s="25"/>
      <c r="T20" s="25"/>
      <c r="U20" s="25"/>
      <c r="V20" s="28"/>
      <c r="W20" s="28"/>
      <c r="X20" s="23">
        <f>IF($B20="Entry",IF(AND(LEN(TRIM(UPPER(W20)))=10,CODE(MID(TRIM(UPPER(W20)),1,1))&gt;=65,CODE(MID(TRIM(UPPER(W20)),1,1))&lt;=90,CODE(MID(TRIM(UPPER(W20)),2,1))&gt;=65,CODE(MID(TRIM(UPPER(W20)),2,1))&lt;=90,CODE(MID(TRIM(UPPER(W20)),3,1))&gt;=65,CODE(MID(TRIM(UPPER(W20)),3,1))&lt;=90,CODE(MID(TRIM(UPPER(W20)),4,1))&gt;=65,CODE(MID(TRIM(UPPER(W20)),4,1))&lt;=90,CODE(MID(TRIM(UPPER(W20)),5,1))&gt;=65,CODE(MID(TRIM(UPPER(W20)),5,1))&lt;=90,CODE(MID(TRIM(UPPER(W20)),10,1))&gt;=65,CODE(MID(TRIM(UPPER(W20)),10,1))&lt;=90,CODE(MID(TRIM(UPPER(W20)),6,1))&gt;=48,CODE(MID(TRIM(UPPER(W20)),6,1))&lt;=57,CODE(MID(TRIM(UPPER(W20)),7,1))&gt;=48,CODE(MID(TRIM(UPPER(W20)),7,1))&lt;=57,CODE(MID(TRIM(UPPER(W20)),8,1))&gt;=48,CODE(MID(TRIM(UPPER(W20)),8,1))&lt;=57,CODE(MID(TRIM(UPPER(W20)),9,1))&gt;=48,CODE(MID(TRIM(UPPER(W20)),9,1))&lt;=57),"N","Y"),IF($B20="Challan","",IF(W20&lt;&gt;"","◄ Set Row Type","")))</f>
      </c>
      <c r="Y20" s="23">
        <f>IF($B20="Entry",IF(LEN(W20)&lt;4,"",IF(UPPER(MID(W20,4,1))="P","Individual",IF(UPPER(MID(W20,4,1))="H","HUF",IF(UPPER(MID(W20,4,1))="C","Company",IF(UPPER(MID(W20,4,1))="F","Firm",IF(UPPER(MID(W20,4,1))="L","LLP",IF(UPPER(MID(W20,4,1))="T","Trust",IF(UPPER(MID(W20,4,1))="A","AOP","")))))))),IF($B20="Challan","",IF(W20&lt;&gt;"","◄ Set Row Type","")))</f>
      </c>
      <c r="Z20" s="28"/>
      <c r="AA20" s="29">
        <f>IF($B20&lt;&gt;"Entry","",IF(Z20="","",IF(X20="Y",SUMPRODUCT(('Rate Lookup'!$A$1:$A$37=Z20)*'Rate Lookup'!$D$1:$D$37),IF(OR(Y20="Individual",Y20="HUF"),SUMPRODUCT(('Rate Lookup'!$A$1:$A$37=Z20)*'Rate Lookup'!$B$1:$B$37),SUMPRODUCT(('Rate Lookup'!$A$1:$A$37=Z20)*'Rate Lookup'!$C$1:$C$37)))))</f>
      </c>
      <c r="AB20" s="30"/>
      <c r="AC20" s="31"/>
      <c r="AD20" s="27">
        <f>IF($B20&lt;&gt;"Entry","",ROUND(AC20*AA20/100,0))</f>
      </c>
      <c r="AE20" s="27">
        <f>IF($B20&lt;&gt;"Entry","",0)</f>
      </c>
      <c r="AF20" s="27">
        <f>IF($B20&lt;&gt;"Entry","",0)</f>
      </c>
      <c r="AG20" s="27">
        <f>IF($B20&lt;&gt;"Entry","",IF(OR(AD20=0,AB20="",AQ20="",AQ20&lt;=0),0,IF(AQ20&lt;=DATE(YEAR(AB20),MONTH(AB20)+1,7),0,ROUND(AD20*0.015*((YEAR(AQ20)-YEAR(AB20))*12+(MONTH(AQ20)-MONTH(AB20))+1),0))))</f>
      </c>
      <c r="AH20" s="27">
        <f>IF($B20&lt;&gt;"Entry","",0)</f>
      </c>
      <c r="AI20" s="28"/>
      <c r="AJ20" s="28"/>
      <c r="AK20" s="32"/>
      <c r="AL20" s="28"/>
      <c r="AM20" s="28"/>
      <c r="AN20" s="27">
        <f>IF($B20&lt;&gt;"Challan","",SUMIF('Q1 Data'!$D$4:$D$207,D20,'Q1 Data'!$AD$4:$AD$207)+SUMIF('Q1 Data'!$D$4:$D$207,D20,'Q1 Data'!$AG$4:$AG$207)+SUMIF('Q1 Data'!$D$4:$D$207,D20,'Q1 Data'!$AE$4:$AE$207)+SUMIF('Q2 Data'!$D$4:$D$207,D20,'Q2 Data'!$AD$4:$AD$207)+SUMIF('Q2 Data'!$D$4:$D$207,D20,'Q2 Data'!$AG$4:$AG$207)+SUMIF('Q2 Data'!$D$4:$D$207,D20,'Q2 Data'!$AE$4:$AE$207)+SUMIF('Q3 Data'!$D$4:$D$207,D20,'Q3 Data'!$AD$4:$AD$207)+SUMIF('Q3 Data'!$D$4:$D$207,D20,'Q3 Data'!$AG$4:$AG$207)+SUMIF('Q3 Data'!$D$4:$D$207,D20,'Q3 Data'!$AE$4:$AE$207)+SUMIF('Q4 Data'!$D$4:$D$207,D20,'Q4 Data'!$AD$4:$AD$207)+SUMIF('Q4 Data'!$D$4:$D$207,D20,'Q4 Data'!$AG$4:$AG$207)+SUMIF('Q4 Data'!$D$4:$D$207,D20,'Q4 Data'!$AE$4:$AE$207))</f>
      </c>
      <c r="AO20" s="27">
        <f>IF($B20&lt;&gt;"Challan","",P20-N20)</f>
      </c>
      <c r="AP20" s="27">
        <f>IF($B20&lt;&gt;"Challan","",MAX(0,AO20-AN20))</f>
      </c>
      <c r="AQ20" s="33">
        <f>IF($B20&lt;&gt;"Entry","",SUMPRODUCT(('Q1 Data'!$D$4:$D$207=D20)*('Q1 Data'!$B$4:$B$207="Challan")*'Q1 Data'!$F$4:$F$207)+SUMPRODUCT(('Q2 Data'!$D$4:$D$207=D20)*('Q2 Data'!$B$4:$B$207="Challan")*'Q2 Data'!$F$4:$F$207)+SUMPRODUCT(('Q3 Data'!$D$4:$D$207=D20)*('Q3 Data'!$B$4:$B$207="Challan")*'Q3 Data'!$F$4:$F$207)+SUMPRODUCT(('Q4 Data'!$D$4:$D$207=D20)*('Q4 Data'!$B$4:$B$207="Challan")*'Q4 Data'!$F$4:$F$207))</f>
      </c>
      <c r="AR20" s="34">
        <f>IF(OR($B20&lt;&gt;"Entry",Z20=""),FALSE,AND((SUMPRODUCT(('Q1 Data'!$D$4:$D$207=D20)*('Q1 Data'!$B$4:$B$207="Challan")*('Q1 Data'!$H$4:$H$207&lt;&gt;""))+SUMPRODUCT(('Q2 Data'!$D$4:$D$207=D20)*('Q2 Data'!$B$4:$B$207="Challan")*('Q2 Data'!$H$4:$H$207&lt;&gt;""))+SUMPRODUCT(('Q3 Data'!$D$4:$D$207=D20)*('Q3 Data'!$B$4:$B$207="Challan")*('Q3 Data'!$H$4:$H$207&lt;&gt;""))+SUMPRODUCT(('Q4 Data'!$D$4:$D$207=D20)*('Q4 Data'!$B$4:$B$207="Challan")*('Q4 Data'!$H$4:$H$207&lt;&gt;"")))&gt;0,(SUMPRODUCT(('Q1 Data'!$D$4:$D$207=D20)*('Q1 Data'!$B$4:$B$207="Challan")*('Q1 Data'!$H$4:$H$207=Z20))+SUMPRODUCT(('Q2 Data'!$D$4:$D$207=D20)*('Q2 Data'!$B$4:$B$207="Challan")*('Q2 Data'!$H$4:$H$207=Z20))+SUMPRODUCT(('Q3 Data'!$D$4:$D$207=D20)*('Q3 Data'!$B$4:$B$207="Challan")*('Q3 Data'!$H$4:$H$207=Z20))+SUMPRODUCT(('Q4 Data'!$D$4:$D$207=D20)*('Q4 Data'!$B$4:$B$207="Challan")*('Q4 Data'!$H$4:$H$207=Z20)))=0))</f>
      </c>
    </row>
    <row r="21" spans="1:44" x14ac:dyDescent="0.25">
      <c r="A21" s="20">
        <f>IF($B21="Entry",COUNTIF($B$4:$B21,"Entry"),"")</f>
      </c>
      <c r="B21" s="21"/>
      <c r="C21" s="22"/>
      <c r="D21" s="22"/>
      <c r="E21" s="23">
        <f>IF($B21&lt;&gt;"Challan","",IF(ROUND(AN21-AO21,2)&gt;0,"Over-applied",IF(ROUND(AN21-AO21,2)=0,"Fully Utilised","Unconsumed")))</f>
      </c>
      <c r="F21" s="24"/>
      <c r="G21" s="25"/>
      <c r="H21" s="25"/>
      <c r="I21" s="26"/>
      <c r="J21" s="26"/>
      <c r="K21" s="26"/>
      <c r="L21" s="26"/>
      <c r="M21" s="26"/>
      <c r="N21" s="26"/>
      <c r="O21" s="26"/>
      <c r="P21" s="27">
        <f>IF($B21&lt;&gt;"Challan","",I21+J21+K21+L21+M21+N21)</f>
      </c>
      <c r="Q21" s="25"/>
      <c r="R21" s="25"/>
      <c r="S21" s="25"/>
      <c r="T21" s="25"/>
      <c r="U21" s="25"/>
      <c r="V21" s="28"/>
      <c r="W21" s="28"/>
      <c r="X21" s="23">
        <f>IF($B21="Entry",IF(AND(LEN(TRIM(UPPER(W21)))=10,CODE(MID(TRIM(UPPER(W21)),1,1))&gt;=65,CODE(MID(TRIM(UPPER(W21)),1,1))&lt;=90,CODE(MID(TRIM(UPPER(W21)),2,1))&gt;=65,CODE(MID(TRIM(UPPER(W21)),2,1))&lt;=90,CODE(MID(TRIM(UPPER(W21)),3,1))&gt;=65,CODE(MID(TRIM(UPPER(W21)),3,1))&lt;=90,CODE(MID(TRIM(UPPER(W21)),4,1))&gt;=65,CODE(MID(TRIM(UPPER(W21)),4,1))&lt;=90,CODE(MID(TRIM(UPPER(W21)),5,1))&gt;=65,CODE(MID(TRIM(UPPER(W21)),5,1))&lt;=90,CODE(MID(TRIM(UPPER(W21)),10,1))&gt;=65,CODE(MID(TRIM(UPPER(W21)),10,1))&lt;=90,CODE(MID(TRIM(UPPER(W21)),6,1))&gt;=48,CODE(MID(TRIM(UPPER(W21)),6,1))&lt;=57,CODE(MID(TRIM(UPPER(W21)),7,1))&gt;=48,CODE(MID(TRIM(UPPER(W21)),7,1))&lt;=57,CODE(MID(TRIM(UPPER(W21)),8,1))&gt;=48,CODE(MID(TRIM(UPPER(W21)),8,1))&lt;=57,CODE(MID(TRIM(UPPER(W21)),9,1))&gt;=48,CODE(MID(TRIM(UPPER(W21)),9,1))&lt;=57),"N","Y"),IF($B21="Challan","",IF(W21&lt;&gt;"","◄ Set Row Type","")))</f>
      </c>
      <c r="Y21" s="23">
        <f>IF($B21="Entry",IF(LEN(W21)&lt;4,"",IF(UPPER(MID(W21,4,1))="P","Individual",IF(UPPER(MID(W21,4,1))="H","HUF",IF(UPPER(MID(W21,4,1))="C","Company",IF(UPPER(MID(W21,4,1))="F","Firm",IF(UPPER(MID(W21,4,1))="L","LLP",IF(UPPER(MID(W21,4,1))="T","Trust",IF(UPPER(MID(W21,4,1))="A","AOP","")))))))),IF($B21="Challan","",IF(W21&lt;&gt;"","◄ Set Row Type","")))</f>
      </c>
      <c r="Z21" s="28"/>
      <c r="AA21" s="29">
        <f>IF($B21&lt;&gt;"Entry","",IF(Z21="","",IF(X21="Y",SUMPRODUCT(('Rate Lookup'!$A$1:$A$37=Z21)*'Rate Lookup'!$D$1:$D$37),IF(OR(Y21="Individual",Y21="HUF"),SUMPRODUCT(('Rate Lookup'!$A$1:$A$37=Z21)*'Rate Lookup'!$B$1:$B$37),SUMPRODUCT(('Rate Lookup'!$A$1:$A$37=Z21)*'Rate Lookup'!$C$1:$C$37)))))</f>
      </c>
      <c r="AB21" s="30"/>
      <c r="AC21" s="31"/>
      <c r="AD21" s="27">
        <f>IF($B21&lt;&gt;"Entry","",ROUND(AC21*AA21/100,0))</f>
      </c>
      <c r="AE21" s="27">
        <f>IF($B21&lt;&gt;"Entry","",0)</f>
      </c>
      <c r="AF21" s="27">
        <f>IF($B21&lt;&gt;"Entry","",0)</f>
      </c>
      <c r="AG21" s="27">
        <f>IF($B21&lt;&gt;"Entry","",IF(OR(AD21=0,AB21="",AQ21="",AQ21&lt;=0),0,IF(AQ21&lt;=DATE(YEAR(AB21),MONTH(AB21)+1,7),0,ROUND(AD21*0.015*((YEAR(AQ21)-YEAR(AB21))*12+(MONTH(AQ21)-MONTH(AB21))+1),0))))</f>
      </c>
      <c r="AH21" s="27">
        <f>IF($B21&lt;&gt;"Entry","",0)</f>
      </c>
      <c r="AI21" s="28"/>
      <c r="AJ21" s="28"/>
      <c r="AK21" s="32"/>
      <c r="AL21" s="28"/>
      <c r="AM21" s="28"/>
      <c r="AN21" s="27">
        <f>IF($B21&lt;&gt;"Challan","",SUMIF('Q1 Data'!$D$4:$D$207,D21,'Q1 Data'!$AD$4:$AD$207)+SUMIF('Q1 Data'!$D$4:$D$207,D21,'Q1 Data'!$AG$4:$AG$207)+SUMIF('Q1 Data'!$D$4:$D$207,D21,'Q1 Data'!$AE$4:$AE$207)+SUMIF('Q2 Data'!$D$4:$D$207,D21,'Q2 Data'!$AD$4:$AD$207)+SUMIF('Q2 Data'!$D$4:$D$207,D21,'Q2 Data'!$AG$4:$AG$207)+SUMIF('Q2 Data'!$D$4:$D$207,D21,'Q2 Data'!$AE$4:$AE$207)+SUMIF('Q3 Data'!$D$4:$D$207,D21,'Q3 Data'!$AD$4:$AD$207)+SUMIF('Q3 Data'!$D$4:$D$207,D21,'Q3 Data'!$AG$4:$AG$207)+SUMIF('Q3 Data'!$D$4:$D$207,D21,'Q3 Data'!$AE$4:$AE$207)+SUMIF('Q4 Data'!$D$4:$D$207,D21,'Q4 Data'!$AD$4:$AD$207)+SUMIF('Q4 Data'!$D$4:$D$207,D21,'Q4 Data'!$AG$4:$AG$207)+SUMIF('Q4 Data'!$D$4:$D$207,D21,'Q4 Data'!$AE$4:$AE$207))</f>
      </c>
      <c r="AO21" s="27">
        <f>IF($B21&lt;&gt;"Challan","",P21-N21)</f>
      </c>
      <c r="AP21" s="27">
        <f>IF($B21&lt;&gt;"Challan","",MAX(0,AO21-AN21))</f>
      </c>
      <c r="AQ21" s="33">
        <f>IF($B21&lt;&gt;"Entry","",SUMPRODUCT(('Q1 Data'!$D$4:$D$207=D21)*('Q1 Data'!$B$4:$B$207="Challan")*'Q1 Data'!$F$4:$F$207)+SUMPRODUCT(('Q2 Data'!$D$4:$D$207=D21)*('Q2 Data'!$B$4:$B$207="Challan")*'Q2 Data'!$F$4:$F$207)+SUMPRODUCT(('Q3 Data'!$D$4:$D$207=D21)*('Q3 Data'!$B$4:$B$207="Challan")*'Q3 Data'!$F$4:$F$207)+SUMPRODUCT(('Q4 Data'!$D$4:$D$207=D21)*('Q4 Data'!$B$4:$B$207="Challan")*'Q4 Data'!$F$4:$F$207))</f>
      </c>
      <c r="AR21" s="34">
        <f>IF(OR($B21&lt;&gt;"Entry",Z21=""),FALSE,AND((SUMPRODUCT(('Q1 Data'!$D$4:$D$207=D21)*('Q1 Data'!$B$4:$B$207="Challan")*('Q1 Data'!$H$4:$H$207&lt;&gt;""))+SUMPRODUCT(('Q2 Data'!$D$4:$D$207=D21)*('Q2 Data'!$B$4:$B$207="Challan")*('Q2 Data'!$H$4:$H$207&lt;&gt;""))+SUMPRODUCT(('Q3 Data'!$D$4:$D$207=D21)*('Q3 Data'!$B$4:$B$207="Challan")*('Q3 Data'!$H$4:$H$207&lt;&gt;""))+SUMPRODUCT(('Q4 Data'!$D$4:$D$207=D21)*('Q4 Data'!$B$4:$B$207="Challan")*('Q4 Data'!$H$4:$H$207&lt;&gt;"")))&gt;0,(SUMPRODUCT(('Q1 Data'!$D$4:$D$207=D21)*('Q1 Data'!$B$4:$B$207="Challan")*('Q1 Data'!$H$4:$H$207=Z21))+SUMPRODUCT(('Q2 Data'!$D$4:$D$207=D21)*('Q2 Data'!$B$4:$B$207="Challan")*('Q2 Data'!$H$4:$H$207=Z21))+SUMPRODUCT(('Q3 Data'!$D$4:$D$207=D21)*('Q3 Data'!$B$4:$B$207="Challan")*('Q3 Data'!$H$4:$H$207=Z21))+SUMPRODUCT(('Q4 Data'!$D$4:$D$207=D21)*('Q4 Data'!$B$4:$B$207="Challan")*('Q4 Data'!$H$4:$H$207=Z21)))=0))</f>
      </c>
    </row>
    <row r="22" spans="1:44" x14ac:dyDescent="0.25">
      <c r="A22" s="20">
        <f>IF($B22="Entry",COUNTIF($B$4:$B22,"Entry"),"")</f>
      </c>
      <c r="B22" s="21"/>
      <c r="C22" s="22"/>
      <c r="D22" s="22"/>
      <c r="E22" s="23">
        <f>IF($B22&lt;&gt;"Challan","",IF(ROUND(AN22-AO22,2)&gt;0,"Over-applied",IF(ROUND(AN22-AO22,2)=0,"Fully Utilised","Unconsumed")))</f>
      </c>
      <c r="F22" s="24"/>
      <c r="G22" s="25"/>
      <c r="H22" s="25"/>
      <c r="I22" s="26"/>
      <c r="J22" s="26"/>
      <c r="K22" s="26"/>
      <c r="L22" s="26"/>
      <c r="M22" s="26"/>
      <c r="N22" s="26"/>
      <c r="O22" s="26"/>
      <c r="P22" s="27">
        <f>IF($B22&lt;&gt;"Challan","",I22+J22+K22+L22+M22+N22)</f>
      </c>
      <c r="Q22" s="25"/>
      <c r="R22" s="25"/>
      <c r="S22" s="25"/>
      <c r="T22" s="25"/>
      <c r="U22" s="25"/>
      <c r="V22" s="28"/>
      <c r="W22" s="28"/>
      <c r="X22" s="23">
        <f>IF($B22="Entry",IF(AND(LEN(TRIM(UPPER(W22)))=10,CODE(MID(TRIM(UPPER(W22)),1,1))&gt;=65,CODE(MID(TRIM(UPPER(W22)),1,1))&lt;=90,CODE(MID(TRIM(UPPER(W22)),2,1))&gt;=65,CODE(MID(TRIM(UPPER(W22)),2,1))&lt;=90,CODE(MID(TRIM(UPPER(W22)),3,1))&gt;=65,CODE(MID(TRIM(UPPER(W22)),3,1))&lt;=90,CODE(MID(TRIM(UPPER(W22)),4,1))&gt;=65,CODE(MID(TRIM(UPPER(W22)),4,1))&lt;=90,CODE(MID(TRIM(UPPER(W22)),5,1))&gt;=65,CODE(MID(TRIM(UPPER(W22)),5,1))&lt;=90,CODE(MID(TRIM(UPPER(W22)),10,1))&gt;=65,CODE(MID(TRIM(UPPER(W22)),10,1))&lt;=90,CODE(MID(TRIM(UPPER(W22)),6,1))&gt;=48,CODE(MID(TRIM(UPPER(W22)),6,1))&lt;=57,CODE(MID(TRIM(UPPER(W22)),7,1))&gt;=48,CODE(MID(TRIM(UPPER(W22)),7,1))&lt;=57,CODE(MID(TRIM(UPPER(W22)),8,1))&gt;=48,CODE(MID(TRIM(UPPER(W22)),8,1))&lt;=57,CODE(MID(TRIM(UPPER(W22)),9,1))&gt;=48,CODE(MID(TRIM(UPPER(W22)),9,1))&lt;=57),"N","Y"),IF($B22="Challan","",IF(W22&lt;&gt;"","◄ Set Row Type","")))</f>
      </c>
      <c r="Y22" s="23">
        <f>IF($B22="Entry",IF(LEN(W22)&lt;4,"",IF(UPPER(MID(W22,4,1))="P","Individual",IF(UPPER(MID(W22,4,1))="H","HUF",IF(UPPER(MID(W22,4,1))="C","Company",IF(UPPER(MID(W22,4,1))="F","Firm",IF(UPPER(MID(W22,4,1))="L","LLP",IF(UPPER(MID(W22,4,1))="T","Trust",IF(UPPER(MID(W22,4,1))="A","AOP","")))))))),IF($B22="Challan","",IF(W22&lt;&gt;"","◄ Set Row Type","")))</f>
      </c>
      <c r="Z22" s="28"/>
      <c r="AA22" s="29">
        <f>IF($B22&lt;&gt;"Entry","",IF(Z22="","",IF(X22="Y",SUMPRODUCT(('Rate Lookup'!$A$1:$A$37=Z22)*'Rate Lookup'!$D$1:$D$37),IF(OR(Y22="Individual",Y22="HUF"),SUMPRODUCT(('Rate Lookup'!$A$1:$A$37=Z22)*'Rate Lookup'!$B$1:$B$37),SUMPRODUCT(('Rate Lookup'!$A$1:$A$37=Z22)*'Rate Lookup'!$C$1:$C$37)))))</f>
      </c>
      <c r="AB22" s="30"/>
      <c r="AC22" s="31"/>
      <c r="AD22" s="27">
        <f>IF($B22&lt;&gt;"Entry","",ROUND(AC22*AA22/100,0))</f>
      </c>
      <c r="AE22" s="27">
        <f>IF($B22&lt;&gt;"Entry","",0)</f>
      </c>
      <c r="AF22" s="27">
        <f>IF($B22&lt;&gt;"Entry","",0)</f>
      </c>
      <c r="AG22" s="27">
        <f>IF($B22&lt;&gt;"Entry","",IF(OR(AD22=0,AB22="",AQ22="",AQ22&lt;=0),0,IF(AQ22&lt;=DATE(YEAR(AB22),MONTH(AB22)+1,7),0,ROUND(AD22*0.015*((YEAR(AQ22)-YEAR(AB22))*12+(MONTH(AQ22)-MONTH(AB22))+1),0))))</f>
      </c>
      <c r="AH22" s="27">
        <f>IF($B22&lt;&gt;"Entry","",0)</f>
      </c>
      <c r="AI22" s="28"/>
      <c r="AJ22" s="28"/>
      <c r="AK22" s="32"/>
      <c r="AL22" s="28"/>
      <c r="AM22" s="28"/>
      <c r="AN22" s="27">
        <f>IF($B22&lt;&gt;"Challan","",SUMIF('Q1 Data'!$D$4:$D$207,D22,'Q1 Data'!$AD$4:$AD$207)+SUMIF('Q1 Data'!$D$4:$D$207,D22,'Q1 Data'!$AG$4:$AG$207)+SUMIF('Q1 Data'!$D$4:$D$207,D22,'Q1 Data'!$AE$4:$AE$207)+SUMIF('Q2 Data'!$D$4:$D$207,D22,'Q2 Data'!$AD$4:$AD$207)+SUMIF('Q2 Data'!$D$4:$D$207,D22,'Q2 Data'!$AG$4:$AG$207)+SUMIF('Q2 Data'!$D$4:$D$207,D22,'Q2 Data'!$AE$4:$AE$207)+SUMIF('Q3 Data'!$D$4:$D$207,D22,'Q3 Data'!$AD$4:$AD$207)+SUMIF('Q3 Data'!$D$4:$D$207,D22,'Q3 Data'!$AG$4:$AG$207)+SUMIF('Q3 Data'!$D$4:$D$207,D22,'Q3 Data'!$AE$4:$AE$207)+SUMIF('Q4 Data'!$D$4:$D$207,D22,'Q4 Data'!$AD$4:$AD$207)+SUMIF('Q4 Data'!$D$4:$D$207,D22,'Q4 Data'!$AG$4:$AG$207)+SUMIF('Q4 Data'!$D$4:$D$207,D22,'Q4 Data'!$AE$4:$AE$207))</f>
      </c>
      <c r="AO22" s="27">
        <f>IF($B22&lt;&gt;"Challan","",P22-N22)</f>
      </c>
      <c r="AP22" s="27">
        <f>IF($B22&lt;&gt;"Challan","",MAX(0,AO22-AN22))</f>
      </c>
      <c r="AQ22" s="33">
        <f>IF($B22&lt;&gt;"Entry","",SUMPRODUCT(('Q1 Data'!$D$4:$D$207=D22)*('Q1 Data'!$B$4:$B$207="Challan")*'Q1 Data'!$F$4:$F$207)+SUMPRODUCT(('Q2 Data'!$D$4:$D$207=D22)*('Q2 Data'!$B$4:$B$207="Challan")*'Q2 Data'!$F$4:$F$207)+SUMPRODUCT(('Q3 Data'!$D$4:$D$207=D22)*('Q3 Data'!$B$4:$B$207="Challan")*'Q3 Data'!$F$4:$F$207)+SUMPRODUCT(('Q4 Data'!$D$4:$D$207=D22)*('Q4 Data'!$B$4:$B$207="Challan")*'Q4 Data'!$F$4:$F$207))</f>
      </c>
      <c r="AR22" s="34">
        <f>IF(OR($B22&lt;&gt;"Entry",Z22=""),FALSE,AND((SUMPRODUCT(('Q1 Data'!$D$4:$D$207=D22)*('Q1 Data'!$B$4:$B$207="Challan")*('Q1 Data'!$H$4:$H$207&lt;&gt;""))+SUMPRODUCT(('Q2 Data'!$D$4:$D$207=D22)*('Q2 Data'!$B$4:$B$207="Challan")*('Q2 Data'!$H$4:$H$207&lt;&gt;""))+SUMPRODUCT(('Q3 Data'!$D$4:$D$207=D22)*('Q3 Data'!$B$4:$B$207="Challan")*('Q3 Data'!$H$4:$H$207&lt;&gt;""))+SUMPRODUCT(('Q4 Data'!$D$4:$D$207=D22)*('Q4 Data'!$B$4:$B$207="Challan")*('Q4 Data'!$H$4:$H$207&lt;&gt;"")))&gt;0,(SUMPRODUCT(('Q1 Data'!$D$4:$D$207=D22)*('Q1 Data'!$B$4:$B$207="Challan")*('Q1 Data'!$H$4:$H$207=Z22))+SUMPRODUCT(('Q2 Data'!$D$4:$D$207=D22)*('Q2 Data'!$B$4:$B$207="Challan")*('Q2 Data'!$H$4:$H$207=Z22))+SUMPRODUCT(('Q3 Data'!$D$4:$D$207=D22)*('Q3 Data'!$B$4:$B$207="Challan")*('Q3 Data'!$H$4:$H$207=Z22))+SUMPRODUCT(('Q4 Data'!$D$4:$D$207=D22)*('Q4 Data'!$B$4:$B$207="Challan")*('Q4 Data'!$H$4:$H$207=Z22)))=0))</f>
      </c>
    </row>
    <row r="23" spans="1:44" x14ac:dyDescent="0.25">
      <c r="A23" s="20">
        <f>IF($B23="Entry",COUNTIF($B$4:$B23,"Entry"),"")</f>
      </c>
      <c r="B23" s="21"/>
      <c r="C23" s="22"/>
      <c r="D23" s="22"/>
      <c r="E23" s="23">
        <f>IF($B23&lt;&gt;"Challan","",IF(ROUND(AN23-AO23,2)&gt;0,"Over-applied",IF(ROUND(AN23-AO23,2)=0,"Fully Utilised","Unconsumed")))</f>
      </c>
      <c r="F23" s="24"/>
      <c r="G23" s="25"/>
      <c r="H23" s="25"/>
      <c r="I23" s="26"/>
      <c r="J23" s="26"/>
      <c r="K23" s="26"/>
      <c r="L23" s="26"/>
      <c r="M23" s="26"/>
      <c r="N23" s="26"/>
      <c r="O23" s="26"/>
      <c r="P23" s="27">
        <f>IF($B23&lt;&gt;"Challan","",I23+J23+K23+L23+M23+N23)</f>
      </c>
      <c r="Q23" s="25"/>
      <c r="R23" s="25"/>
      <c r="S23" s="25"/>
      <c r="T23" s="25"/>
      <c r="U23" s="25"/>
      <c r="V23" s="28"/>
      <c r="W23" s="28"/>
      <c r="X23" s="23">
        <f>IF($B23="Entry",IF(AND(LEN(TRIM(UPPER(W23)))=10,CODE(MID(TRIM(UPPER(W23)),1,1))&gt;=65,CODE(MID(TRIM(UPPER(W23)),1,1))&lt;=90,CODE(MID(TRIM(UPPER(W23)),2,1))&gt;=65,CODE(MID(TRIM(UPPER(W23)),2,1))&lt;=90,CODE(MID(TRIM(UPPER(W23)),3,1))&gt;=65,CODE(MID(TRIM(UPPER(W23)),3,1))&lt;=90,CODE(MID(TRIM(UPPER(W23)),4,1))&gt;=65,CODE(MID(TRIM(UPPER(W23)),4,1))&lt;=90,CODE(MID(TRIM(UPPER(W23)),5,1))&gt;=65,CODE(MID(TRIM(UPPER(W23)),5,1))&lt;=90,CODE(MID(TRIM(UPPER(W23)),10,1))&gt;=65,CODE(MID(TRIM(UPPER(W23)),10,1))&lt;=90,CODE(MID(TRIM(UPPER(W23)),6,1))&gt;=48,CODE(MID(TRIM(UPPER(W23)),6,1))&lt;=57,CODE(MID(TRIM(UPPER(W23)),7,1))&gt;=48,CODE(MID(TRIM(UPPER(W23)),7,1))&lt;=57,CODE(MID(TRIM(UPPER(W23)),8,1))&gt;=48,CODE(MID(TRIM(UPPER(W23)),8,1))&lt;=57,CODE(MID(TRIM(UPPER(W23)),9,1))&gt;=48,CODE(MID(TRIM(UPPER(W23)),9,1))&lt;=57),"N","Y"),IF($B23="Challan","",IF(W23&lt;&gt;"","◄ Set Row Type","")))</f>
      </c>
      <c r="Y23" s="23">
        <f>IF($B23="Entry",IF(LEN(W23)&lt;4,"",IF(UPPER(MID(W23,4,1))="P","Individual",IF(UPPER(MID(W23,4,1))="H","HUF",IF(UPPER(MID(W23,4,1))="C","Company",IF(UPPER(MID(W23,4,1))="F","Firm",IF(UPPER(MID(W23,4,1))="L","LLP",IF(UPPER(MID(W23,4,1))="T","Trust",IF(UPPER(MID(W23,4,1))="A","AOP","")))))))),IF($B23="Challan","",IF(W23&lt;&gt;"","◄ Set Row Type","")))</f>
      </c>
      <c r="Z23" s="28"/>
      <c r="AA23" s="29">
        <f>IF($B23&lt;&gt;"Entry","",IF(Z23="","",IF(X23="Y",SUMPRODUCT(('Rate Lookup'!$A$1:$A$37=Z23)*'Rate Lookup'!$D$1:$D$37),IF(OR(Y23="Individual",Y23="HUF"),SUMPRODUCT(('Rate Lookup'!$A$1:$A$37=Z23)*'Rate Lookup'!$B$1:$B$37),SUMPRODUCT(('Rate Lookup'!$A$1:$A$37=Z23)*'Rate Lookup'!$C$1:$C$37)))))</f>
      </c>
      <c r="AB23" s="30"/>
      <c r="AC23" s="31"/>
      <c r="AD23" s="27">
        <f>IF($B23&lt;&gt;"Entry","",ROUND(AC23*AA23/100,0))</f>
      </c>
      <c r="AE23" s="27">
        <f>IF($B23&lt;&gt;"Entry","",0)</f>
      </c>
      <c r="AF23" s="27">
        <f>IF($B23&lt;&gt;"Entry","",0)</f>
      </c>
      <c r="AG23" s="27">
        <f>IF($B23&lt;&gt;"Entry","",IF(OR(AD23=0,AB23="",AQ23="",AQ23&lt;=0),0,IF(AQ23&lt;=DATE(YEAR(AB23),MONTH(AB23)+1,7),0,ROUND(AD23*0.015*((YEAR(AQ23)-YEAR(AB23))*12+(MONTH(AQ23)-MONTH(AB23))+1),0))))</f>
      </c>
      <c r="AH23" s="27">
        <f>IF($B23&lt;&gt;"Entry","",0)</f>
      </c>
      <c r="AI23" s="28"/>
      <c r="AJ23" s="28"/>
      <c r="AK23" s="32"/>
      <c r="AL23" s="28"/>
      <c r="AM23" s="28"/>
      <c r="AN23" s="27">
        <f>IF($B23&lt;&gt;"Challan","",SUMIF('Q1 Data'!$D$4:$D$207,D23,'Q1 Data'!$AD$4:$AD$207)+SUMIF('Q1 Data'!$D$4:$D$207,D23,'Q1 Data'!$AG$4:$AG$207)+SUMIF('Q1 Data'!$D$4:$D$207,D23,'Q1 Data'!$AE$4:$AE$207)+SUMIF('Q2 Data'!$D$4:$D$207,D23,'Q2 Data'!$AD$4:$AD$207)+SUMIF('Q2 Data'!$D$4:$D$207,D23,'Q2 Data'!$AG$4:$AG$207)+SUMIF('Q2 Data'!$D$4:$D$207,D23,'Q2 Data'!$AE$4:$AE$207)+SUMIF('Q3 Data'!$D$4:$D$207,D23,'Q3 Data'!$AD$4:$AD$207)+SUMIF('Q3 Data'!$D$4:$D$207,D23,'Q3 Data'!$AG$4:$AG$207)+SUMIF('Q3 Data'!$D$4:$D$207,D23,'Q3 Data'!$AE$4:$AE$207)+SUMIF('Q4 Data'!$D$4:$D$207,D23,'Q4 Data'!$AD$4:$AD$207)+SUMIF('Q4 Data'!$D$4:$D$207,D23,'Q4 Data'!$AG$4:$AG$207)+SUMIF('Q4 Data'!$D$4:$D$207,D23,'Q4 Data'!$AE$4:$AE$207))</f>
      </c>
      <c r="AO23" s="27">
        <f>IF($B23&lt;&gt;"Challan","",P23-N23)</f>
      </c>
      <c r="AP23" s="27">
        <f>IF($B23&lt;&gt;"Challan","",MAX(0,AO23-AN23))</f>
      </c>
      <c r="AQ23" s="33">
        <f>IF($B23&lt;&gt;"Entry","",SUMPRODUCT(('Q1 Data'!$D$4:$D$207=D23)*('Q1 Data'!$B$4:$B$207="Challan")*'Q1 Data'!$F$4:$F$207)+SUMPRODUCT(('Q2 Data'!$D$4:$D$207=D23)*('Q2 Data'!$B$4:$B$207="Challan")*'Q2 Data'!$F$4:$F$207)+SUMPRODUCT(('Q3 Data'!$D$4:$D$207=D23)*('Q3 Data'!$B$4:$B$207="Challan")*'Q3 Data'!$F$4:$F$207)+SUMPRODUCT(('Q4 Data'!$D$4:$D$207=D23)*('Q4 Data'!$B$4:$B$207="Challan")*'Q4 Data'!$F$4:$F$207))</f>
      </c>
      <c r="AR23" s="34">
        <f>IF(OR($B23&lt;&gt;"Entry",Z23=""),FALSE,AND((SUMPRODUCT(('Q1 Data'!$D$4:$D$207=D23)*('Q1 Data'!$B$4:$B$207="Challan")*('Q1 Data'!$H$4:$H$207&lt;&gt;""))+SUMPRODUCT(('Q2 Data'!$D$4:$D$207=D23)*('Q2 Data'!$B$4:$B$207="Challan")*('Q2 Data'!$H$4:$H$207&lt;&gt;""))+SUMPRODUCT(('Q3 Data'!$D$4:$D$207=D23)*('Q3 Data'!$B$4:$B$207="Challan")*('Q3 Data'!$H$4:$H$207&lt;&gt;""))+SUMPRODUCT(('Q4 Data'!$D$4:$D$207=D23)*('Q4 Data'!$B$4:$B$207="Challan")*('Q4 Data'!$H$4:$H$207&lt;&gt;"")))&gt;0,(SUMPRODUCT(('Q1 Data'!$D$4:$D$207=D23)*('Q1 Data'!$B$4:$B$207="Challan")*('Q1 Data'!$H$4:$H$207=Z23))+SUMPRODUCT(('Q2 Data'!$D$4:$D$207=D23)*('Q2 Data'!$B$4:$B$207="Challan")*('Q2 Data'!$H$4:$H$207=Z23))+SUMPRODUCT(('Q3 Data'!$D$4:$D$207=D23)*('Q3 Data'!$B$4:$B$207="Challan")*('Q3 Data'!$H$4:$H$207=Z23))+SUMPRODUCT(('Q4 Data'!$D$4:$D$207=D23)*('Q4 Data'!$B$4:$B$207="Challan")*('Q4 Data'!$H$4:$H$207=Z23)))=0))</f>
      </c>
    </row>
    <row r="24" spans="1:44" x14ac:dyDescent="0.25">
      <c r="A24" s="20">
        <f>IF($B24="Entry",COUNTIF($B$4:$B24,"Entry"),"")</f>
      </c>
      <c r="B24" s="21"/>
      <c r="C24" s="22"/>
      <c r="D24" s="22"/>
      <c r="E24" s="23">
        <f>IF($B24&lt;&gt;"Challan","",IF(ROUND(AN24-AO24,2)&gt;0,"Over-applied",IF(ROUND(AN24-AO24,2)=0,"Fully Utilised","Unconsumed")))</f>
      </c>
      <c r="F24" s="24"/>
      <c r="G24" s="25"/>
      <c r="H24" s="25"/>
      <c r="I24" s="26"/>
      <c r="J24" s="26"/>
      <c r="K24" s="26"/>
      <c r="L24" s="26"/>
      <c r="M24" s="26"/>
      <c r="N24" s="26"/>
      <c r="O24" s="26"/>
      <c r="P24" s="27">
        <f>IF($B24&lt;&gt;"Challan","",I24+J24+K24+L24+M24+N24)</f>
      </c>
      <c r="Q24" s="25"/>
      <c r="R24" s="25"/>
      <c r="S24" s="25"/>
      <c r="T24" s="25"/>
      <c r="U24" s="25"/>
      <c r="V24" s="28"/>
      <c r="W24" s="28"/>
      <c r="X24" s="23">
        <f>IF($B24="Entry",IF(AND(LEN(TRIM(UPPER(W24)))=10,CODE(MID(TRIM(UPPER(W24)),1,1))&gt;=65,CODE(MID(TRIM(UPPER(W24)),1,1))&lt;=90,CODE(MID(TRIM(UPPER(W24)),2,1))&gt;=65,CODE(MID(TRIM(UPPER(W24)),2,1))&lt;=90,CODE(MID(TRIM(UPPER(W24)),3,1))&gt;=65,CODE(MID(TRIM(UPPER(W24)),3,1))&lt;=90,CODE(MID(TRIM(UPPER(W24)),4,1))&gt;=65,CODE(MID(TRIM(UPPER(W24)),4,1))&lt;=90,CODE(MID(TRIM(UPPER(W24)),5,1))&gt;=65,CODE(MID(TRIM(UPPER(W24)),5,1))&lt;=90,CODE(MID(TRIM(UPPER(W24)),10,1))&gt;=65,CODE(MID(TRIM(UPPER(W24)),10,1))&lt;=90,CODE(MID(TRIM(UPPER(W24)),6,1))&gt;=48,CODE(MID(TRIM(UPPER(W24)),6,1))&lt;=57,CODE(MID(TRIM(UPPER(W24)),7,1))&gt;=48,CODE(MID(TRIM(UPPER(W24)),7,1))&lt;=57,CODE(MID(TRIM(UPPER(W24)),8,1))&gt;=48,CODE(MID(TRIM(UPPER(W24)),8,1))&lt;=57,CODE(MID(TRIM(UPPER(W24)),9,1))&gt;=48,CODE(MID(TRIM(UPPER(W24)),9,1))&lt;=57),"N","Y"),IF($B24="Challan","",IF(W24&lt;&gt;"","◄ Set Row Type","")))</f>
      </c>
      <c r="Y24" s="23">
        <f>IF($B24="Entry",IF(LEN(W24)&lt;4,"",IF(UPPER(MID(W24,4,1))="P","Individual",IF(UPPER(MID(W24,4,1))="H","HUF",IF(UPPER(MID(W24,4,1))="C","Company",IF(UPPER(MID(W24,4,1))="F","Firm",IF(UPPER(MID(W24,4,1))="L","LLP",IF(UPPER(MID(W24,4,1))="T","Trust",IF(UPPER(MID(W24,4,1))="A","AOP","")))))))),IF($B24="Challan","",IF(W24&lt;&gt;"","◄ Set Row Type","")))</f>
      </c>
      <c r="Z24" s="28"/>
      <c r="AA24" s="29">
        <f>IF($B24&lt;&gt;"Entry","",IF(Z24="","",IF(X24="Y",SUMPRODUCT(('Rate Lookup'!$A$1:$A$37=Z24)*'Rate Lookup'!$D$1:$D$37),IF(OR(Y24="Individual",Y24="HUF"),SUMPRODUCT(('Rate Lookup'!$A$1:$A$37=Z24)*'Rate Lookup'!$B$1:$B$37),SUMPRODUCT(('Rate Lookup'!$A$1:$A$37=Z24)*'Rate Lookup'!$C$1:$C$37)))))</f>
      </c>
      <c r="AB24" s="30"/>
      <c r="AC24" s="31"/>
      <c r="AD24" s="27">
        <f>IF($B24&lt;&gt;"Entry","",ROUND(AC24*AA24/100,0))</f>
      </c>
      <c r="AE24" s="27">
        <f>IF($B24&lt;&gt;"Entry","",0)</f>
      </c>
      <c r="AF24" s="27">
        <f>IF($B24&lt;&gt;"Entry","",0)</f>
      </c>
      <c r="AG24" s="27">
        <f>IF($B24&lt;&gt;"Entry","",IF(OR(AD24=0,AB24="",AQ24="",AQ24&lt;=0),0,IF(AQ24&lt;=DATE(YEAR(AB24),MONTH(AB24)+1,7),0,ROUND(AD24*0.015*((YEAR(AQ24)-YEAR(AB24))*12+(MONTH(AQ24)-MONTH(AB24))+1),0))))</f>
      </c>
      <c r="AH24" s="27">
        <f>IF($B24&lt;&gt;"Entry","",0)</f>
      </c>
      <c r="AI24" s="28"/>
      <c r="AJ24" s="28"/>
      <c r="AK24" s="32"/>
      <c r="AL24" s="28"/>
      <c r="AM24" s="28"/>
      <c r="AN24" s="27">
        <f>IF($B24&lt;&gt;"Challan","",SUMIF('Q1 Data'!$D$4:$D$207,D24,'Q1 Data'!$AD$4:$AD$207)+SUMIF('Q1 Data'!$D$4:$D$207,D24,'Q1 Data'!$AG$4:$AG$207)+SUMIF('Q1 Data'!$D$4:$D$207,D24,'Q1 Data'!$AE$4:$AE$207)+SUMIF('Q2 Data'!$D$4:$D$207,D24,'Q2 Data'!$AD$4:$AD$207)+SUMIF('Q2 Data'!$D$4:$D$207,D24,'Q2 Data'!$AG$4:$AG$207)+SUMIF('Q2 Data'!$D$4:$D$207,D24,'Q2 Data'!$AE$4:$AE$207)+SUMIF('Q3 Data'!$D$4:$D$207,D24,'Q3 Data'!$AD$4:$AD$207)+SUMIF('Q3 Data'!$D$4:$D$207,D24,'Q3 Data'!$AG$4:$AG$207)+SUMIF('Q3 Data'!$D$4:$D$207,D24,'Q3 Data'!$AE$4:$AE$207)+SUMIF('Q4 Data'!$D$4:$D$207,D24,'Q4 Data'!$AD$4:$AD$207)+SUMIF('Q4 Data'!$D$4:$D$207,D24,'Q4 Data'!$AG$4:$AG$207)+SUMIF('Q4 Data'!$D$4:$D$207,D24,'Q4 Data'!$AE$4:$AE$207))</f>
      </c>
      <c r="AO24" s="27">
        <f>IF($B24&lt;&gt;"Challan","",P24-N24)</f>
      </c>
      <c r="AP24" s="27">
        <f>IF($B24&lt;&gt;"Challan","",MAX(0,AO24-AN24))</f>
      </c>
      <c r="AQ24" s="33">
        <f>IF($B24&lt;&gt;"Entry","",SUMPRODUCT(('Q1 Data'!$D$4:$D$207=D24)*('Q1 Data'!$B$4:$B$207="Challan")*'Q1 Data'!$F$4:$F$207)+SUMPRODUCT(('Q2 Data'!$D$4:$D$207=D24)*('Q2 Data'!$B$4:$B$207="Challan")*'Q2 Data'!$F$4:$F$207)+SUMPRODUCT(('Q3 Data'!$D$4:$D$207=D24)*('Q3 Data'!$B$4:$B$207="Challan")*'Q3 Data'!$F$4:$F$207)+SUMPRODUCT(('Q4 Data'!$D$4:$D$207=D24)*('Q4 Data'!$B$4:$B$207="Challan")*'Q4 Data'!$F$4:$F$207))</f>
      </c>
      <c r="AR24" s="34">
        <f>IF(OR($B24&lt;&gt;"Entry",Z24=""),FALSE,AND((SUMPRODUCT(('Q1 Data'!$D$4:$D$207=D24)*('Q1 Data'!$B$4:$B$207="Challan")*('Q1 Data'!$H$4:$H$207&lt;&gt;""))+SUMPRODUCT(('Q2 Data'!$D$4:$D$207=D24)*('Q2 Data'!$B$4:$B$207="Challan")*('Q2 Data'!$H$4:$H$207&lt;&gt;""))+SUMPRODUCT(('Q3 Data'!$D$4:$D$207=D24)*('Q3 Data'!$B$4:$B$207="Challan")*('Q3 Data'!$H$4:$H$207&lt;&gt;""))+SUMPRODUCT(('Q4 Data'!$D$4:$D$207=D24)*('Q4 Data'!$B$4:$B$207="Challan")*('Q4 Data'!$H$4:$H$207&lt;&gt;"")))&gt;0,(SUMPRODUCT(('Q1 Data'!$D$4:$D$207=D24)*('Q1 Data'!$B$4:$B$207="Challan")*('Q1 Data'!$H$4:$H$207=Z24))+SUMPRODUCT(('Q2 Data'!$D$4:$D$207=D24)*('Q2 Data'!$B$4:$B$207="Challan")*('Q2 Data'!$H$4:$H$207=Z24))+SUMPRODUCT(('Q3 Data'!$D$4:$D$207=D24)*('Q3 Data'!$B$4:$B$207="Challan")*('Q3 Data'!$H$4:$H$207=Z24))+SUMPRODUCT(('Q4 Data'!$D$4:$D$207=D24)*('Q4 Data'!$B$4:$B$207="Challan")*('Q4 Data'!$H$4:$H$207=Z24)))=0))</f>
      </c>
    </row>
    <row r="25" spans="1:44" x14ac:dyDescent="0.25">
      <c r="A25" s="20">
        <f>IF($B25="Entry",COUNTIF($B$4:$B25,"Entry"),"")</f>
      </c>
      <c r="B25" s="21"/>
      <c r="C25" s="22"/>
      <c r="D25" s="22"/>
      <c r="E25" s="23">
        <f>IF($B25&lt;&gt;"Challan","",IF(ROUND(AN25-AO25,2)&gt;0,"Over-applied",IF(ROUND(AN25-AO25,2)=0,"Fully Utilised","Unconsumed")))</f>
      </c>
      <c r="F25" s="24"/>
      <c r="G25" s="25"/>
      <c r="H25" s="25"/>
      <c r="I25" s="26"/>
      <c r="J25" s="26"/>
      <c r="K25" s="26"/>
      <c r="L25" s="26"/>
      <c r="M25" s="26"/>
      <c r="N25" s="26"/>
      <c r="O25" s="26"/>
      <c r="P25" s="27">
        <f>IF($B25&lt;&gt;"Challan","",I25+J25+K25+L25+M25+N25)</f>
      </c>
      <c r="Q25" s="25"/>
      <c r="R25" s="25"/>
      <c r="S25" s="25"/>
      <c r="T25" s="25"/>
      <c r="U25" s="25"/>
      <c r="V25" s="28"/>
      <c r="W25" s="28"/>
      <c r="X25" s="23">
        <f>IF($B25="Entry",IF(AND(LEN(TRIM(UPPER(W25)))=10,CODE(MID(TRIM(UPPER(W25)),1,1))&gt;=65,CODE(MID(TRIM(UPPER(W25)),1,1))&lt;=90,CODE(MID(TRIM(UPPER(W25)),2,1))&gt;=65,CODE(MID(TRIM(UPPER(W25)),2,1))&lt;=90,CODE(MID(TRIM(UPPER(W25)),3,1))&gt;=65,CODE(MID(TRIM(UPPER(W25)),3,1))&lt;=90,CODE(MID(TRIM(UPPER(W25)),4,1))&gt;=65,CODE(MID(TRIM(UPPER(W25)),4,1))&lt;=90,CODE(MID(TRIM(UPPER(W25)),5,1))&gt;=65,CODE(MID(TRIM(UPPER(W25)),5,1))&lt;=90,CODE(MID(TRIM(UPPER(W25)),10,1))&gt;=65,CODE(MID(TRIM(UPPER(W25)),10,1))&lt;=90,CODE(MID(TRIM(UPPER(W25)),6,1))&gt;=48,CODE(MID(TRIM(UPPER(W25)),6,1))&lt;=57,CODE(MID(TRIM(UPPER(W25)),7,1))&gt;=48,CODE(MID(TRIM(UPPER(W25)),7,1))&lt;=57,CODE(MID(TRIM(UPPER(W25)),8,1))&gt;=48,CODE(MID(TRIM(UPPER(W25)),8,1))&lt;=57,CODE(MID(TRIM(UPPER(W25)),9,1))&gt;=48,CODE(MID(TRIM(UPPER(W25)),9,1))&lt;=57),"N","Y"),IF($B25="Challan","",IF(W25&lt;&gt;"","◄ Set Row Type","")))</f>
      </c>
      <c r="Y25" s="23">
        <f>IF($B25="Entry",IF(LEN(W25)&lt;4,"",IF(UPPER(MID(W25,4,1))="P","Individual",IF(UPPER(MID(W25,4,1))="H","HUF",IF(UPPER(MID(W25,4,1))="C","Company",IF(UPPER(MID(W25,4,1))="F","Firm",IF(UPPER(MID(W25,4,1))="L","LLP",IF(UPPER(MID(W25,4,1))="T","Trust",IF(UPPER(MID(W25,4,1))="A","AOP","")))))))),IF($B25="Challan","",IF(W25&lt;&gt;"","◄ Set Row Type","")))</f>
      </c>
      <c r="Z25" s="28"/>
      <c r="AA25" s="29">
        <f>IF($B25&lt;&gt;"Entry","",IF(Z25="","",IF(X25="Y",SUMPRODUCT(('Rate Lookup'!$A$1:$A$37=Z25)*'Rate Lookup'!$D$1:$D$37),IF(OR(Y25="Individual",Y25="HUF"),SUMPRODUCT(('Rate Lookup'!$A$1:$A$37=Z25)*'Rate Lookup'!$B$1:$B$37),SUMPRODUCT(('Rate Lookup'!$A$1:$A$37=Z25)*'Rate Lookup'!$C$1:$C$37)))))</f>
      </c>
      <c r="AB25" s="30"/>
      <c r="AC25" s="31"/>
      <c r="AD25" s="27">
        <f>IF($B25&lt;&gt;"Entry","",ROUND(AC25*AA25/100,0))</f>
      </c>
      <c r="AE25" s="27">
        <f>IF($B25&lt;&gt;"Entry","",0)</f>
      </c>
      <c r="AF25" s="27">
        <f>IF($B25&lt;&gt;"Entry","",0)</f>
      </c>
      <c r="AG25" s="27">
        <f>IF($B25&lt;&gt;"Entry","",IF(OR(AD25=0,AB25="",AQ25="",AQ25&lt;=0),0,IF(AQ25&lt;=DATE(YEAR(AB25),MONTH(AB25)+1,7),0,ROUND(AD25*0.015*((YEAR(AQ25)-YEAR(AB25))*12+(MONTH(AQ25)-MONTH(AB25))+1),0))))</f>
      </c>
      <c r="AH25" s="27">
        <f>IF($B25&lt;&gt;"Entry","",0)</f>
      </c>
      <c r="AI25" s="28"/>
      <c r="AJ25" s="28"/>
      <c r="AK25" s="32"/>
      <c r="AL25" s="28"/>
      <c r="AM25" s="28"/>
      <c r="AN25" s="27">
        <f>IF($B25&lt;&gt;"Challan","",SUMIF('Q1 Data'!$D$4:$D$207,D25,'Q1 Data'!$AD$4:$AD$207)+SUMIF('Q1 Data'!$D$4:$D$207,D25,'Q1 Data'!$AG$4:$AG$207)+SUMIF('Q1 Data'!$D$4:$D$207,D25,'Q1 Data'!$AE$4:$AE$207)+SUMIF('Q2 Data'!$D$4:$D$207,D25,'Q2 Data'!$AD$4:$AD$207)+SUMIF('Q2 Data'!$D$4:$D$207,D25,'Q2 Data'!$AG$4:$AG$207)+SUMIF('Q2 Data'!$D$4:$D$207,D25,'Q2 Data'!$AE$4:$AE$207)+SUMIF('Q3 Data'!$D$4:$D$207,D25,'Q3 Data'!$AD$4:$AD$207)+SUMIF('Q3 Data'!$D$4:$D$207,D25,'Q3 Data'!$AG$4:$AG$207)+SUMIF('Q3 Data'!$D$4:$D$207,D25,'Q3 Data'!$AE$4:$AE$207)+SUMIF('Q4 Data'!$D$4:$D$207,D25,'Q4 Data'!$AD$4:$AD$207)+SUMIF('Q4 Data'!$D$4:$D$207,D25,'Q4 Data'!$AG$4:$AG$207)+SUMIF('Q4 Data'!$D$4:$D$207,D25,'Q4 Data'!$AE$4:$AE$207))</f>
      </c>
      <c r="AO25" s="27">
        <f>IF($B25&lt;&gt;"Challan","",P25-N25)</f>
      </c>
      <c r="AP25" s="27">
        <f>IF($B25&lt;&gt;"Challan","",MAX(0,AO25-AN25))</f>
      </c>
      <c r="AQ25" s="33">
        <f>IF($B25&lt;&gt;"Entry","",SUMPRODUCT(('Q1 Data'!$D$4:$D$207=D25)*('Q1 Data'!$B$4:$B$207="Challan")*'Q1 Data'!$F$4:$F$207)+SUMPRODUCT(('Q2 Data'!$D$4:$D$207=D25)*('Q2 Data'!$B$4:$B$207="Challan")*'Q2 Data'!$F$4:$F$207)+SUMPRODUCT(('Q3 Data'!$D$4:$D$207=D25)*('Q3 Data'!$B$4:$B$207="Challan")*'Q3 Data'!$F$4:$F$207)+SUMPRODUCT(('Q4 Data'!$D$4:$D$207=D25)*('Q4 Data'!$B$4:$B$207="Challan")*'Q4 Data'!$F$4:$F$207))</f>
      </c>
      <c r="AR25" s="34">
        <f>IF(OR($B25&lt;&gt;"Entry",Z25=""),FALSE,AND((SUMPRODUCT(('Q1 Data'!$D$4:$D$207=D25)*('Q1 Data'!$B$4:$B$207="Challan")*('Q1 Data'!$H$4:$H$207&lt;&gt;""))+SUMPRODUCT(('Q2 Data'!$D$4:$D$207=D25)*('Q2 Data'!$B$4:$B$207="Challan")*('Q2 Data'!$H$4:$H$207&lt;&gt;""))+SUMPRODUCT(('Q3 Data'!$D$4:$D$207=D25)*('Q3 Data'!$B$4:$B$207="Challan")*('Q3 Data'!$H$4:$H$207&lt;&gt;""))+SUMPRODUCT(('Q4 Data'!$D$4:$D$207=D25)*('Q4 Data'!$B$4:$B$207="Challan")*('Q4 Data'!$H$4:$H$207&lt;&gt;"")))&gt;0,(SUMPRODUCT(('Q1 Data'!$D$4:$D$207=D25)*('Q1 Data'!$B$4:$B$207="Challan")*('Q1 Data'!$H$4:$H$207=Z25))+SUMPRODUCT(('Q2 Data'!$D$4:$D$207=D25)*('Q2 Data'!$B$4:$B$207="Challan")*('Q2 Data'!$H$4:$H$207=Z25))+SUMPRODUCT(('Q3 Data'!$D$4:$D$207=D25)*('Q3 Data'!$B$4:$B$207="Challan")*('Q3 Data'!$H$4:$H$207=Z25))+SUMPRODUCT(('Q4 Data'!$D$4:$D$207=D25)*('Q4 Data'!$B$4:$B$207="Challan")*('Q4 Data'!$H$4:$H$207=Z25)))=0))</f>
      </c>
    </row>
    <row r="26" spans="1:44" x14ac:dyDescent="0.25">
      <c r="A26" s="20">
        <f>IF($B26="Entry",COUNTIF($B$4:$B26,"Entry"),"")</f>
      </c>
      <c r="B26" s="21"/>
      <c r="C26" s="22"/>
      <c r="D26" s="22"/>
      <c r="E26" s="23">
        <f>IF($B26&lt;&gt;"Challan","",IF(ROUND(AN26-AO26,2)&gt;0,"Over-applied",IF(ROUND(AN26-AO26,2)=0,"Fully Utilised","Unconsumed")))</f>
      </c>
      <c r="F26" s="24"/>
      <c r="G26" s="25"/>
      <c r="H26" s="25"/>
      <c r="I26" s="26"/>
      <c r="J26" s="26"/>
      <c r="K26" s="26"/>
      <c r="L26" s="26"/>
      <c r="M26" s="26"/>
      <c r="N26" s="26"/>
      <c r="O26" s="26"/>
      <c r="P26" s="27">
        <f>IF($B26&lt;&gt;"Challan","",I26+J26+K26+L26+M26+N26)</f>
      </c>
      <c r="Q26" s="25"/>
      <c r="R26" s="25"/>
      <c r="S26" s="25"/>
      <c r="T26" s="25"/>
      <c r="U26" s="25"/>
      <c r="V26" s="28"/>
      <c r="W26" s="28"/>
      <c r="X26" s="23">
        <f>IF($B26="Entry",IF(AND(LEN(TRIM(UPPER(W26)))=10,CODE(MID(TRIM(UPPER(W26)),1,1))&gt;=65,CODE(MID(TRIM(UPPER(W26)),1,1))&lt;=90,CODE(MID(TRIM(UPPER(W26)),2,1))&gt;=65,CODE(MID(TRIM(UPPER(W26)),2,1))&lt;=90,CODE(MID(TRIM(UPPER(W26)),3,1))&gt;=65,CODE(MID(TRIM(UPPER(W26)),3,1))&lt;=90,CODE(MID(TRIM(UPPER(W26)),4,1))&gt;=65,CODE(MID(TRIM(UPPER(W26)),4,1))&lt;=90,CODE(MID(TRIM(UPPER(W26)),5,1))&gt;=65,CODE(MID(TRIM(UPPER(W26)),5,1))&lt;=90,CODE(MID(TRIM(UPPER(W26)),10,1))&gt;=65,CODE(MID(TRIM(UPPER(W26)),10,1))&lt;=90,CODE(MID(TRIM(UPPER(W26)),6,1))&gt;=48,CODE(MID(TRIM(UPPER(W26)),6,1))&lt;=57,CODE(MID(TRIM(UPPER(W26)),7,1))&gt;=48,CODE(MID(TRIM(UPPER(W26)),7,1))&lt;=57,CODE(MID(TRIM(UPPER(W26)),8,1))&gt;=48,CODE(MID(TRIM(UPPER(W26)),8,1))&lt;=57,CODE(MID(TRIM(UPPER(W26)),9,1))&gt;=48,CODE(MID(TRIM(UPPER(W26)),9,1))&lt;=57),"N","Y"),IF($B26="Challan","",IF(W26&lt;&gt;"","◄ Set Row Type","")))</f>
      </c>
      <c r="Y26" s="23">
        <f>IF($B26="Entry",IF(LEN(W26)&lt;4,"",IF(UPPER(MID(W26,4,1))="P","Individual",IF(UPPER(MID(W26,4,1))="H","HUF",IF(UPPER(MID(W26,4,1))="C","Company",IF(UPPER(MID(W26,4,1))="F","Firm",IF(UPPER(MID(W26,4,1))="L","LLP",IF(UPPER(MID(W26,4,1))="T","Trust",IF(UPPER(MID(W26,4,1))="A","AOP","")))))))),IF($B26="Challan","",IF(W26&lt;&gt;"","◄ Set Row Type","")))</f>
      </c>
      <c r="Z26" s="28"/>
      <c r="AA26" s="29">
        <f>IF($B26&lt;&gt;"Entry","",IF(Z26="","",IF(X26="Y",SUMPRODUCT(('Rate Lookup'!$A$1:$A$37=Z26)*'Rate Lookup'!$D$1:$D$37),IF(OR(Y26="Individual",Y26="HUF"),SUMPRODUCT(('Rate Lookup'!$A$1:$A$37=Z26)*'Rate Lookup'!$B$1:$B$37),SUMPRODUCT(('Rate Lookup'!$A$1:$A$37=Z26)*'Rate Lookup'!$C$1:$C$37)))))</f>
      </c>
      <c r="AB26" s="30"/>
      <c r="AC26" s="31"/>
      <c r="AD26" s="27">
        <f>IF($B26&lt;&gt;"Entry","",ROUND(AC26*AA26/100,0))</f>
      </c>
      <c r="AE26" s="27">
        <f>IF($B26&lt;&gt;"Entry","",0)</f>
      </c>
      <c r="AF26" s="27">
        <f>IF($B26&lt;&gt;"Entry","",0)</f>
      </c>
      <c r="AG26" s="27">
        <f>IF($B26&lt;&gt;"Entry","",IF(OR(AD26=0,AB26="",AQ26="",AQ26&lt;=0),0,IF(AQ26&lt;=DATE(YEAR(AB26),MONTH(AB26)+1,7),0,ROUND(AD26*0.015*((YEAR(AQ26)-YEAR(AB26))*12+(MONTH(AQ26)-MONTH(AB26))+1),0))))</f>
      </c>
      <c r="AH26" s="27">
        <f>IF($B26&lt;&gt;"Entry","",0)</f>
      </c>
      <c r="AI26" s="28"/>
      <c r="AJ26" s="28"/>
      <c r="AK26" s="32"/>
      <c r="AL26" s="28"/>
      <c r="AM26" s="28"/>
      <c r="AN26" s="27">
        <f>IF($B26&lt;&gt;"Challan","",SUMIF('Q1 Data'!$D$4:$D$207,D26,'Q1 Data'!$AD$4:$AD$207)+SUMIF('Q1 Data'!$D$4:$D$207,D26,'Q1 Data'!$AG$4:$AG$207)+SUMIF('Q1 Data'!$D$4:$D$207,D26,'Q1 Data'!$AE$4:$AE$207)+SUMIF('Q2 Data'!$D$4:$D$207,D26,'Q2 Data'!$AD$4:$AD$207)+SUMIF('Q2 Data'!$D$4:$D$207,D26,'Q2 Data'!$AG$4:$AG$207)+SUMIF('Q2 Data'!$D$4:$D$207,D26,'Q2 Data'!$AE$4:$AE$207)+SUMIF('Q3 Data'!$D$4:$D$207,D26,'Q3 Data'!$AD$4:$AD$207)+SUMIF('Q3 Data'!$D$4:$D$207,D26,'Q3 Data'!$AG$4:$AG$207)+SUMIF('Q3 Data'!$D$4:$D$207,D26,'Q3 Data'!$AE$4:$AE$207)+SUMIF('Q4 Data'!$D$4:$D$207,D26,'Q4 Data'!$AD$4:$AD$207)+SUMIF('Q4 Data'!$D$4:$D$207,D26,'Q4 Data'!$AG$4:$AG$207)+SUMIF('Q4 Data'!$D$4:$D$207,D26,'Q4 Data'!$AE$4:$AE$207))</f>
      </c>
      <c r="AO26" s="27">
        <f>IF($B26&lt;&gt;"Challan","",P26-N26)</f>
      </c>
      <c r="AP26" s="27">
        <f>IF($B26&lt;&gt;"Challan","",MAX(0,AO26-AN26))</f>
      </c>
      <c r="AQ26" s="33">
        <f>IF($B26&lt;&gt;"Entry","",SUMPRODUCT(('Q1 Data'!$D$4:$D$207=D26)*('Q1 Data'!$B$4:$B$207="Challan")*'Q1 Data'!$F$4:$F$207)+SUMPRODUCT(('Q2 Data'!$D$4:$D$207=D26)*('Q2 Data'!$B$4:$B$207="Challan")*'Q2 Data'!$F$4:$F$207)+SUMPRODUCT(('Q3 Data'!$D$4:$D$207=D26)*('Q3 Data'!$B$4:$B$207="Challan")*'Q3 Data'!$F$4:$F$207)+SUMPRODUCT(('Q4 Data'!$D$4:$D$207=D26)*('Q4 Data'!$B$4:$B$207="Challan")*'Q4 Data'!$F$4:$F$207))</f>
      </c>
      <c r="AR26" s="34">
        <f>IF(OR($B26&lt;&gt;"Entry",Z26=""),FALSE,AND((SUMPRODUCT(('Q1 Data'!$D$4:$D$207=D26)*('Q1 Data'!$B$4:$B$207="Challan")*('Q1 Data'!$H$4:$H$207&lt;&gt;""))+SUMPRODUCT(('Q2 Data'!$D$4:$D$207=D26)*('Q2 Data'!$B$4:$B$207="Challan")*('Q2 Data'!$H$4:$H$207&lt;&gt;""))+SUMPRODUCT(('Q3 Data'!$D$4:$D$207=D26)*('Q3 Data'!$B$4:$B$207="Challan")*('Q3 Data'!$H$4:$H$207&lt;&gt;""))+SUMPRODUCT(('Q4 Data'!$D$4:$D$207=D26)*('Q4 Data'!$B$4:$B$207="Challan")*('Q4 Data'!$H$4:$H$207&lt;&gt;"")))&gt;0,(SUMPRODUCT(('Q1 Data'!$D$4:$D$207=D26)*('Q1 Data'!$B$4:$B$207="Challan")*('Q1 Data'!$H$4:$H$207=Z26))+SUMPRODUCT(('Q2 Data'!$D$4:$D$207=D26)*('Q2 Data'!$B$4:$B$207="Challan")*('Q2 Data'!$H$4:$H$207=Z26))+SUMPRODUCT(('Q3 Data'!$D$4:$D$207=D26)*('Q3 Data'!$B$4:$B$207="Challan")*('Q3 Data'!$H$4:$H$207=Z26))+SUMPRODUCT(('Q4 Data'!$D$4:$D$207=D26)*('Q4 Data'!$B$4:$B$207="Challan")*('Q4 Data'!$H$4:$H$207=Z26)))=0))</f>
      </c>
    </row>
    <row r="27" spans="1:44" x14ac:dyDescent="0.25">
      <c r="A27" s="20">
        <f>IF($B27="Entry",COUNTIF($B$4:$B27,"Entry"),"")</f>
      </c>
      <c r="B27" s="21"/>
      <c r="C27" s="22"/>
      <c r="D27" s="22"/>
      <c r="E27" s="23">
        <f>IF($B27&lt;&gt;"Challan","",IF(ROUND(AN27-AO27,2)&gt;0,"Over-applied",IF(ROUND(AN27-AO27,2)=0,"Fully Utilised","Unconsumed")))</f>
      </c>
      <c r="F27" s="24"/>
      <c r="G27" s="25"/>
      <c r="H27" s="25"/>
      <c r="I27" s="26"/>
      <c r="J27" s="26"/>
      <c r="K27" s="26"/>
      <c r="L27" s="26"/>
      <c r="M27" s="26"/>
      <c r="N27" s="26"/>
      <c r="O27" s="26"/>
      <c r="P27" s="27">
        <f>IF($B27&lt;&gt;"Challan","",I27+J27+K27+L27+M27+N27)</f>
      </c>
      <c r="Q27" s="25"/>
      <c r="R27" s="25"/>
      <c r="S27" s="25"/>
      <c r="T27" s="25"/>
      <c r="U27" s="25"/>
      <c r="V27" s="28"/>
      <c r="W27" s="28"/>
      <c r="X27" s="23">
        <f>IF($B27="Entry",IF(AND(LEN(TRIM(UPPER(W27)))=10,CODE(MID(TRIM(UPPER(W27)),1,1))&gt;=65,CODE(MID(TRIM(UPPER(W27)),1,1))&lt;=90,CODE(MID(TRIM(UPPER(W27)),2,1))&gt;=65,CODE(MID(TRIM(UPPER(W27)),2,1))&lt;=90,CODE(MID(TRIM(UPPER(W27)),3,1))&gt;=65,CODE(MID(TRIM(UPPER(W27)),3,1))&lt;=90,CODE(MID(TRIM(UPPER(W27)),4,1))&gt;=65,CODE(MID(TRIM(UPPER(W27)),4,1))&lt;=90,CODE(MID(TRIM(UPPER(W27)),5,1))&gt;=65,CODE(MID(TRIM(UPPER(W27)),5,1))&lt;=90,CODE(MID(TRIM(UPPER(W27)),10,1))&gt;=65,CODE(MID(TRIM(UPPER(W27)),10,1))&lt;=90,CODE(MID(TRIM(UPPER(W27)),6,1))&gt;=48,CODE(MID(TRIM(UPPER(W27)),6,1))&lt;=57,CODE(MID(TRIM(UPPER(W27)),7,1))&gt;=48,CODE(MID(TRIM(UPPER(W27)),7,1))&lt;=57,CODE(MID(TRIM(UPPER(W27)),8,1))&gt;=48,CODE(MID(TRIM(UPPER(W27)),8,1))&lt;=57,CODE(MID(TRIM(UPPER(W27)),9,1))&gt;=48,CODE(MID(TRIM(UPPER(W27)),9,1))&lt;=57),"N","Y"),IF($B27="Challan","",IF(W27&lt;&gt;"","◄ Set Row Type","")))</f>
      </c>
      <c r="Y27" s="23">
        <f>IF($B27="Entry",IF(LEN(W27)&lt;4,"",IF(UPPER(MID(W27,4,1))="P","Individual",IF(UPPER(MID(W27,4,1))="H","HUF",IF(UPPER(MID(W27,4,1))="C","Company",IF(UPPER(MID(W27,4,1))="F","Firm",IF(UPPER(MID(W27,4,1))="L","LLP",IF(UPPER(MID(W27,4,1))="T","Trust",IF(UPPER(MID(W27,4,1))="A","AOP","")))))))),IF($B27="Challan","",IF(W27&lt;&gt;"","◄ Set Row Type","")))</f>
      </c>
      <c r="Z27" s="28"/>
      <c r="AA27" s="29">
        <f>IF($B27&lt;&gt;"Entry","",IF(Z27="","",IF(X27="Y",SUMPRODUCT(('Rate Lookup'!$A$1:$A$37=Z27)*'Rate Lookup'!$D$1:$D$37),IF(OR(Y27="Individual",Y27="HUF"),SUMPRODUCT(('Rate Lookup'!$A$1:$A$37=Z27)*'Rate Lookup'!$B$1:$B$37),SUMPRODUCT(('Rate Lookup'!$A$1:$A$37=Z27)*'Rate Lookup'!$C$1:$C$37)))))</f>
      </c>
      <c r="AB27" s="30"/>
      <c r="AC27" s="31"/>
      <c r="AD27" s="27">
        <f>IF($B27&lt;&gt;"Entry","",ROUND(AC27*AA27/100,0))</f>
      </c>
      <c r="AE27" s="27">
        <f>IF($B27&lt;&gt;"Entry","",0)</f>
      </c>
      <c r="AF27" s="27">
        <f>IF($B27&lt;&gt;"Entry","",0)</f>
      </c>
      <c r="AG27" s="27">
        <f>IF($B27&lt;&gt;"Entry","",IF(OR(AD27=0,AB27="",AQ27="",AQ27&lt;=0),0,IF(AQ27&lt;=DATE(YEAR(AB27),MONTH(AB27)+1,7),0,ROUND(AD27*0.015*((YEAR(AQ27)-YEAR(AB27))*12+(MONTH(AQ27)-MONTH(AB27))+1),0))))</f>
      </c>
      <c r="AH27" s="27">
        <f>IF($B27&lt;&gt;"Entry","",0)</f>
      </c>
      <c r="AI27" s="28"/>
      <c r="AJ27" s="28"/>
      <c r="AK27" s="32"/>
      <c r="AL27" s="28"/>
      <c r="AM27" s="28"/>
      <c r="AN27" s="27">
        <f>IF($B27&lt;&gt;"Challan","",SUMIF('Q1 Data'!$D$4:$D$207,D27,'Q1 Data'!$AD$4:$AD$207)+SUMIF('Q1 Data'!$D$4:$D$207,D27,'Q1 Data'!$AG$4:$AG$207)+SUMIF('Q1 Data'!$D$4:$D$207,D27,'Q1 Data'!$AE$4:$AE$207)+SUMIF('Q2 Data'!$D$4:$D$207,D27,'Q2 Data'!$AD$4:$AD$207)+SUMIF('Q2 Data'!$D$4:$D$207,D27,'Q2 Data'!$AG$4:$AG$207)+SUMIF('Q2 Data'!$D$4:$D$207,D27,'Q2 Data'!$AE$4:$AE$207)+SUMIF('Q3 Data'!$D$4:$D$207,D27,'Q3 Data'!$AD$4:$AD$207)+SUMIF('Q3 Data'!$D$4:$D$207,D27,'Q3 Data'!$AG$4:$AG$207)+SUMIF('Q3 Data'!$D$4:$D$207,D27,'Q3 Data'!$AE$4:$AE$207)+SUMIF('Q4 Data'!$D$4:$D$207,D27,'Q4 Data'!$AD$4:$AD$207)+SUMIF('Q4 Data'!$D$4:$D$207,D27,'Q4 Data'!$AG$4:$AG$207)+SUMIF('Q4 Data'!$D$4:$D$207,D27,'Q4 Data'!$AE$4:$AE$207))</f>
      </c>
      <c r="AO27" s="27">
        <f>IF($B27&lt;&gt;"Challan","",P27-N27)</f>
      </c>
      <c r="AP27" s="27">
        <f>IF($B27&lt;&gt;"Challan","",MAX(0,AO27-AN27))</f>
      </c>
      <c r="AQ27" s="33">
        <f>IF($B27&lt;&gt;"Entry","",SUMPRODUCT(('Q1 Data'!$D$4:$D$207=D27)*('Q1 Data'!$B$4:$B$207="Challan")*'Q1 Data'!$F$4:$F$207)+SUMPRODUCT(('Q2 Data'!$D$4:$D$207=D27)*('Q2 Data'!$B$4:$B$207="Challan")*'Q2 Data'!$F$4:$F$207)+SUMPRODUCT(('Q3 Data'!$D$4:$D$207=D27)*('Q3 Data'!$B$4:$B$207="Challan")*'Q3 Data'!$F$4:$F$207)+SUMPRODUCT(('Q4 Data'!$D$4:$D$207=D27)*('Q4 Data'!$B$4:$B$207="Challan")*'Q4 Data'!$F$4:$F$207))</f>
      </c>
      <c r="AR27" s="34">
        <f>IF(OR($B27&lt;&gt;"Entry",Z27=""),FALSE,AND((SUMPRODUCT(('Q1 Data'!$D$4:$D$207=D27)*('Q1 Data'!$B$4:$B$207="Challan")*('Q1 Data'!$H$4:$H$207&lt;&gt;""))+SUMPRODUCT(('Q2 Data'!$D$4:$D$207=D27)*('Q2 Data'!$B$4:$B$207="Challan")*('Q2 Data'!$H$4:$H$207&lt;&gt;""))+SUMPRODUCT(('Q3 Data'!$D$4:$D$207=D27)*('Q3 Data'!$B$4:$B$207="Challan")*('Q3 Data'!$H$4:$H$207&lt;&gt;""))+SUMPRODUCT(('Q4 Data'!$D$4:$D$207=D27)*('Q4 Data'!$B$4:$B$207="Challan")*('Q4 Data'!$H$4:$H$207&lt;&gt;"")))&gt;0,(SUMPRODUCT(('Q1 Data'!$D$4:$D$207=D27)*('Q1 Data'!$B$4:$B$207="Challan")*('Q1 Data'!$H$4:$H$207=Z27))+SUMPRODUCT(('Q2 Data'!$D$4:$D$207=D27)*('Q2 Data'!$B$4:$B$207="Challan")*('Q2 Data'!$H$4:$H$207=Z27))+SUMPRODUCT(('Q3 Data'!$D$4:$D$207=D27)*('Q3 Data'!$B$4:$B$207="Challan")*('Q3 Data'!$H$4:$H$207=Z27))+SUMPRODUCT(('Q4 Data'!$D$4:$D$207=D27)*('Q4 Data'!$B$4:$B$207="Challan")*('Q4 Data'!$H$4:$H$207=Z27)))=0))</f>
      </c>
    </row>
    <row r="28" spans="1:44" x14ac:dyDescent="0.25">
      <c r="A28" s="20">
        <f>IF($B28="Entry",COUNTIF($B$4:$B28,"Entry"),"")</f>
      </c>
      <c r="B28" s="21"/>
      <c r="C28" s="22"/>
      <c r="D28" s="22"/>
      <c r="E28" s="23">
        <f>IF($B28&lt;&gt;"Challan","",IF(ROUND(AN28-AO28,2)&gt;0,"Over-applied",IF(ROUND(AN28-AO28,2)=0,"Fully Utilised","Unconsumed")))</f>
      </c>
      <c r="F28" s="24"/>
      <c r="G28" s="25"/>
      <c r="H28" s="25"/>
      <c r="I28" s="26"/>
      <c r="J28" s="26"/>
      <c r="K28" s="26"/>
      <c r="L28" s="26"/>
      <c r="M28" s="26"/>
      <c r="N28" s="26"/>
      <c r="O28" s="26"/>
      <c r="P28" s="27">
        <f>IF($B28&lt;&gt;"Challan","",I28+J28+K28+L28+M28+N28)</f>
      </c>
      <c r="Q28" s="25"/>
      <c r="R28" s="25"/>
      <c r="S28" s="25"/>
      <c r="T28" s="25"/>
      <c r="U28" s="25"/>
      <c r="V28" s="28"/>
      <c r="W28" s="28"/>
      <c r="X28" s="23">
        <f>IF($B28="Entry",IF(AND(LEN(TRIM(UPPER(W28)))=10,CODE(MID(TRIM(UPPER(W28)),1,1))&gt;=65,CODE(MID(TRIM(UPPER(W28)),1,1))&lt;=90,CODE(MID(TRIM(UPPER(W28)),2,1))&gt;=65,CODE(MID(TRIM(UPPER(W28)),2,1))&lt;=90,CODE(MID(TRIM(UPPER(W28)),3,1))&gt;=65,CODE(MID(TRIM(UPPER(W28)),3,1))&lt;=90,CODE(MID(TRIM(UPPER(W28)),4,1))&gt;=65,CODE(MID(TRIM(UPPER(W28)),4,1))&lt;=90,CODE(MID(TRIM(UPPER(W28)),5,1))&gt;=65,CODE(MID(TRIM(UPPER(W28)),5,1))&lt;=90,CODE(MID(TRIM(UPPER(W28)),10,1))&gt;=65,CODE(MID(TRIM(UPPER(W28)),10,1))&lt;=90,CODE(MID(TRIM(UPPER(W28)),6,1))&gt;=48,CODE(MID(TRIM(UPPER(W28)),6,1))&lt;=57,CODE(MID(TRIM(UPPER(W28)),7,1))&gt;=48,CODE(MID(TRIM(UPPER(W28)),7,1))&lt;=57,CODE(MID(TRIM(UPPER(W28)),8,1))&gt;=48,CODE(MID(TRIM(UPPER(W28)),8,1))&lt;=57,CODE(MID(TRIM(UPPER(W28)),9,1))&gt;=48,CODE(MID(TRIM(UPPER(W28)),9,1))&lt;=57),"N","Y"),IF($B28="Challan","",IF(W28&lt;&gt;"","◄ Set Row Type","")))</f>
      </c>
      <c r="Y28" s="23">
        <f>IF($B28="Entry",IF(LEN(W28)&lt;4,"",IF(UPPER(MID(W28,4,1))="P","Individual",IF(UPPER(MID(W28,4,1))="H","HUF",IF(UPPER(MID(W28,4,1))="C","Company",IF(UPPER(MID(W28,4,1))="F","Firm",IF(UPPER(MID(W28,4,1))="L","LLP",IF(UPPER(MID(W28,4,1))="T","Trust",IF(UPPER(MID(W28,4,1))="A","AOP","")))))))),IF($B28="Challan","",IF(W28&lt;&gt;"","◄ Set Row Type","")))</f>
      </c>
      <c r="Z28" s="28"/>
      <c r="AA28" s="29">
        <f>IF($B28&lt;&gt;"Entry","",IF(Z28="","",IF(X28="Y",SUMPRODUCT(('Rate Lookup'!$A$1:$A$37=Z28)*'Rate Lookup'!$D$1:$D$37),IF(OR(Y28="Individual",Y28="HUF"),SUMPRODUCT(('Rate Lookup'!$A$1:$A$37=Z28)*'Rate Lookup'!$B$1:$B$37),SUMPRODUCT(('Rate Lookup'!$A$1:$A$37=Z28)*'Rate Lookup'!$C$1:$C$37)))))</f>
      </c>
      <c r="AB28" s="30"/>
      <c r="AC28" s="31"/>
      <c r="AD28" s="27">
        <f>IF($B28&lt;&gt;"Entry","",ROUND(AC28*AA28/100,0))</f>
      </c>
      <c r="AE28" s="27">
        <f>IF($B28&lt;&gt;"Entry","",0)</f>
      </c>
      <c r="AF28" s="27">
        <f>IF($B28&lt;&gt;"Entry","",0)</f>
      </c>
      <c r="AG28" s="27">
        <f>IF($B28&lt;&gt;"Entry","",IF(OR(AD28=0,AB28="",AQ28="",AQ28&lt;=0),0,IF(AQ28&lt;=DATE(YEAR(AB28),MONTH(AB28)+1,7),0,ROUND(AD28*0.015*((YEAR(AQ28)-YEAR(AB28))*12+(MONTH(AQ28)-MONTH(AB28))+1),0))))</f>
      </c>
      <c r="AH28" s="27">
        <f>IF($B28&lt;&gt;"Entry","",0)</f>
      </c>
      <c r="AI28" s="28"/>
      <c r="AJ28" s="28"/>
      <c r="AK28" s="32"/>
      <c r="AL28" s="28"/>
      <c r="AM28" s="28"/>
      <c r="AN28" s="27">
        <f>IF($B28&lt;&gt;"Challan","",SUMIF('Q1 Data'!$D$4:$D$207,D28,'Q1 Data'!$AD$4:$AD$207)+SUMIF('Q1 Data'!$D$4:$D$207,D28,'Q1 Data'!$AG$4:$AG$207)+SUMIF('Q1 Data'!$D$4:$D$207,D28,'Q1 Data'!$AE$4:$AE$207)+SUMIF('Q2 Data'!$D$4:$D$207,D28,'Q2 Data'!$AD$4:$AD$207)+SUMIF('Q2 Data'!$D$4:$D$207,D28,'Q2 Data'!$AG$4:$AG$207)+SUMIF('Q2 Data'!$D$4:$D$207,D28,'Q2 Data'!$AE$4:$AE$207)+SUMIF('Q3 Data'!$D$4:$D$207,D28,'Q3 Data'!$AD$4:$AD$207)+SUMIF('Q3 Data'!$D$4:$D$207,D28,'Q3 Data'!$AG$4:$AG$207)+SUMIF('Q3 Data'!$D$4:$D$207,D28,'Q3 Data'!$AE$4:$AE$207)+SUMIF('Q4 Data'!$D$4:$D$207,D28,'Q4 Data'!$AD$4:$AD$207)+SUMIF('Q4 Data'!$D$4:$D$207,D28,'Q4 Data'!$AG$4:$AG$207)+SUMIF('Q4 Data'!$D$4:$D$207,D28,'Q4 Data'!$AE$4:$AE$207))</f>
      </c>
      <c r="AO28" s="27">
        <f>IF($B28&lt;&gt;"Challan","",P28-N28)</f>
      </c>
      <c r="AP28" s="27">
        <f>IF($B28&lt;&gt;"Challan","",MAX(0,AO28-AN28))</f>
      </c>
      <c r="AQ28" s="33">
        <f>IF($B28&lt;&gt;"Entry","",SUMPRODUCT(('Q1 Data'!$D$4:$D$207=D28)*('Q1 Data'!$B$4:$B$207="Challan")*'Q1 Data'!$F$4:$F$207)+SUMPRODUCT(('Q2 Data'!$D$4:$D$207=D28)*('Q2 Data'!$B$4:$B$207="Challan")*'Q2 Data'!$F$4:$F$207)+SUMPRODUCT(('Q3 Data'!$D$4:$D$207=D28)*('Q3 Data'!$B$4:$B$207="Challan")*'Q3 Data'!$F$4:$F$207)+SUMPRODUCT(('Q4 Data'!$D$4:$D$207=D28)*('Q4 Data'!$B$4:$B$207="Challan")*'Q4 Data'!$F$4:$F$207))</f>
      </c>
      <c r="AR28" s="34">
        <f>IF(OR($B28&lt;&gt;"Entry",Z28=""),FALSE,AND((SUMPRODUCT(('Q1 Data'!$D$4:$D$207=D28)*('Q1 Data'!$B$4:$B$207="Challan")*('Q1 Data'!$H$4:$H$207&lt;&gt;""))+SUMPRODUCT(('Q2 Data'!$D$4:$D$207=D28)*('Q2 Data'!$B$4:$B$207="Challan")*('Q2 Data'!$H$4:$H$207&lt;&gt;""))+SUMPRODUCT(('Q3 Data'!$D$4:$D$207=D28)*('Q3 Data'!$B$4:$B$207="Challan")*('Q3 Data'!$H$4:$H$207&lt;&gt;""))+SUMPRODUCT(('Q4 Data'!$D$4:$D$207=D28)*('Q4 Data'!$B$4:$B$207="Challan")*('Q4 Data'!$H$4:$H$207&lt;&gt;"")))&gt;0,(SUMPRODUCT(('Q1 Data'!$D$4:$D$207=D28)*('Q1 Data'!$B$4:$B$207="Challan")*('Q1 Data'!$H$4:$H$207=Z28))+SUMPRODUCT(('Q2 Data'!$D$4:$D$207=D28)*('Q2 Data'!$B$4:$B$207="Challan")*('Q2 Data'!$H$4:$H$207=Z28))+SUMPRODUCT(('Q3 Data'!$D$4:$D$207=D28)*('Q3 Data'!$B$4:$B$207="Challan")*('Q3 Data'!$H$4:$H$207=Z28))+SUMPRODUCT(('Q4 Data'!$D$4:$D$207=D28)*('Q4 Data'!$B$4:$B$207="Challan")*('Q4 Data'!$H$4:$H$207=Z28)))=0))</f>
      </c>
    </row>
    <row r="29" spans="1:44" x14ac:dyDescent="0.25">
      <c r="A29" s="20">
        <f>IF($B29="Entry",COUNTIF($B$4:$B29,"Entry"),"")</f>
      </c>
      <c r="B29" s="21"/>
      <c r="C29" s="22"/>
      <c r="D29" s="22"/>
      <c r="E29" s="23">
        <f>IF($B29&lt;&gt;"Challan","",IF(ROUND(AN29-AO29,2)&gt;0,"Over-applied",IF(ROUND(AN29-AO29,2)=0,"Fully Utilised","Unconsumed")))</f>
      </c>
      <c r="F29" s="24"/>
      <c r="G29" s="25"/>
      <c r="H29" s="25"/>
      <c r="I29" s="26"/>
      <c r="J29" s="26"/>
      <c r="K29" s="26"/>
      <c r="L29" s="26"/>
      <c r="M29" s="26"/>
      <c r="N29" s="26"/>
      <c r="O29" s="26"/>
      <c r="P29" s="27">
        <f>IF($B29&lt;&gt;"Challan","",I29+J29+K29+L29+M29+N29)</f>
      </c>
      <c r="Q29" s="25"/>
      <c r="R29" s="25"/>
      <c r="S29" s="25"/>
      <c r="T29" s="25"/>
      <c r="U29" s="25"/>
      <c r="V29" s="28"/>
      <c r="W29" s="28"/>
      <c r="X29" s="23">
        <f>IF($B29="Entry",IF(AND(LEN(TRIM(UPPER(W29)))=10,CODE(MID(TRIM(UPPER(W29)),1,1))&gt;=65,CODE(MID(TRIM(UPPER(W29)),1,1))&lt;=90,CODE(MID(TRIM(UPPER(W29)),2,1))&gt;=65,CODE(MID(TRIM(UPPER(W29)),2,1))&lt;=90,CODE(MID(TRIM(UPPER(W29)),3,1))&gt;=65,CODE(MID(TRIM(UPPER(W29)),3,1))&lt;=90,CODE(MID(TRIM(UPPER(W29)),4,1))&gt;=65,CODE(MID(TRIM(UPPER(W29)),4,1))&lt;=90,CODE(MID(TRIM(UPPER(W29)),5,1))&gt;=65,CODE(MID(TRIM(UPPER(W29)),5,1))&lt;=90,CODE(MID(TRIM(UPPER(W29)),10,1))&gt;=65,CODE(MID(TRIM(UPPER(W29)),10,1))&lt;=90,CODE(MID(TRIM(UPPER(W29)),6,1))&gt;=48,CODE(MID(TRIM(UPPER(W29)),6,1))&lt;=57,CODE(MID(TRIM(UPPER(W29)),7,1))&gt;=48,CODE(MID(TRIM(UPPER(W29)),7,1))&lt;=57,CODE(MID(TRIM(UPPER(W29)),8,1))&gt;=48,CODE(MID(TRIM(UPPER(W29)),8,1))&lt;=57,CODE(MID(TRIM(UPPER(W29)),9,1))&gt;=48,CODE(MID(TRIM(UPPER(W29)),9,1))&lt;=57),"N","Y"),IF($B29="Challan","",IF(W29&lt;&gt;"","◄ Set Row Type","")))</f>
      </c>
      <c r="Y29" s="23">
        <f>IF($B29="Entry",IF(LEN(W29)&lt;4,"",IF(UPPER(MID(W29,4,1))="P","Individual",IF(UPPER(MID(W29,4,1))="H","HUF",IF(UPPER(MID(W29,4,1))="C","Company",IF(UPPER(MID(W29,4,1))="F","Firm",IF(UPPER(MID(W29,4,1))="L","LLP",IF(UPPER(MID(W29,4,1))="T","Trust",IF(UPPER(MID(W29,4,1))="A","AOP","")))))))),IF($B29="Challan","",IF(W29&lt;&gt;"","◄ Set Row Type","")))</f>
      </c>
      <c r="Z29" s="28"/>
      <c r="AA29" s="29">
        <f>IF($B29&lt;&gt;"Entry","",IF(Z29="","",IF(X29="Y",SUMPRODUCT(('Rate Lookup'!$A$1:$A$37=Z29)*'Rate Lookup'!$D$1:$D$37),IF(OR(Y29="Individual",Y29="HUF"),SUMPRODUCT(('Rate Lookup'!$A$1:$A$37=Z29)*'Rate Lookup'!$B$1:$B$37),SUMPRODUCT(('Rate Lookup'!$A$1:$A$37=Z29)*'Rate Lookup'!$C$1:$C$37)))))</f>
      </c>
      <c r="AB29" s="30"/>
      <c r="AC29" s="31"/>
      <c r="AD29" s="27">
        <f>IF($B29&lt;&gt;"Entry","",ROUND(AC29*AA29/100,0))</f>
      </c>
      <c r="AE29" s="27">
        <f>IF($B29&lt;&gt;"Entry","",0)</f>
      </c>
      <c r="AF29" s="27">
        <f>IF($B29&lt;&gt;"Entry","",0)</f>
      </c>
      <c r="AG29" s="27">
        <f>IF($B29&lt;&gt;"Entry","",IF(OR(AD29=0,AB29="",AQ29="",AQ29&lt;=0),0,IF(AQ29&lt;=DATE(YEAR(AB29),MONTH(AB29)+1,7),0,ROUND(AD29*0.015*((YEAR(AQ29)-YEAR(AB29))*12+(MONTH(AQ29)-MONTH(AB29))+1),0))))</f>
      </c>
      <c r="AH29" s="27">
        <f>IF($B29&lt;&gt;"Entry","",0)</f>
      </c>
      <c r="AI29" s="28"/>
      <c r="AJ29" s="28"/>
      <c r="AK29" s="32"/>
      <c r="AL29" s="28"/>
      <c r="AM29" s="28"/>
      <c r="AN29" s="27">
        <f>IF($B29&lt;&gt;"Challan","",SUMIF('Q1 Data'!$D$4:$D$207,D29,'Q1 Data'!$AD$4:$AD$207)+SUMIF('Q1 Data'!$D$4:$D$207,D29,'Q1 Data'!$AG$4:$AG$207)+SUMIF('Q1 Data'!$D$4:$D$207,D29,'Q1 Data'!$AE$4:$AE$207)+SUMIF('Q2 Data'!$D$4:$D$207,D29,'Q2 Data'!$AD$4:$AD$207)+SUMIF('Q2 Data'!$D$4:$D$207,D29,'Q2 Data'!$AG$4:$AG$207)+SUMIF('Q2 Data'!$D$4:$D$207,D29,'Q2 Data'!$AE$4:$AE$207)+SUMIF('Q3 Data'!$D$4:$D$207,D29,'Q3 Data'!$AD$4:$AD$207)+SUMIF('Q3 Data'!$D$4:$D$207,D29,'Q3 Data'!$AG$4:$AG$207)+SUMIF('Q3 Data'!$D$4:$D$207,D29,'Q3 Data'!$AE$4:$AE$207)+SUMIF('Q4 Data'!$D$4:$D$207,D29,'Q4 Data'!$AD$4:$AD$207)+SUMIF('Q4 Data'!$D$4:$D$207,D29,'Q4 Data'!$AG$4:$AG$207)+SUMIF('Q4 Data'!$D$4:$D$207,D29,'Q4 Data'!$AE$4:$AE$207))</f>
      </c>
      <c r="AO29" s="27">
        <f>IF($B29&lt;&gt;"Challan","",P29-N29)</f>
      </c>
      <c r="AP29" s="27">
        <f>IF($B29&lt;&gt;"Challan","",MAX(0,AO29-AN29))</f>
      </c>
      <c r="AQ29" s="33">
        <f>IF($B29&lt;&gt;"Entry","",SUMPRODUCT(('Q1 Data'!$D$4:$D$207=D29)*('Q1 Data'!$B$4:$B$207="Challan")*'Q1 Data'!$F$4:$F$207)+SUMPRODUCT(('Q2 Data'!$D$4:$D$207=D29)*('Q2 Data'!$B$4:$B$207="Challan")*'Q2 Data'!$F$4:$F$207)+SUMPRODUCT(('Q3 Data'!$D$4:$D$207=D29)*('Q3 Data'!$B$4:$B$207="Challan")*'Q3 Data'!$F$4:$F$207)+SUMPRODUCT(('Q4 Data'!$D$4:$D$207=D29)*('Q4 Data'!$B$4:$B$207="Challan")*'Q4 Data'!$F$4:$F$207))</f>
      </c>
      <c r="AR29" s="34">
        <f>IF(OR($B29&lt;&gt;"Entry",Z29=""),FALSE,AND((SUMPRODUCT(('Q1 Data'!$D$4:$D$207=D29)*('Q1 Data'!$B$4:$B$207="Challan")*('Q1 Data'!$H$4:$H$207&lt;&gt;""))+SUMPRODUCT(('Q2 Data'!$D$4:$D$207=D29)*('Q2 Data'!$B$4:$B$207="Challan")*('Q2 Data'!$H$4:$H$207&lt;&gt;""))+SUMPRODUCT(('Q3 Data'!$D$4:$D$207=D29)*('Q3 Data'!$B$4:$B$207="Challan")*('Q3 Data'!$H$4:$H$207&lt;&gt;""))+SUMPRODUCT(('Q4 Data'!$D$4:$D$207=D29)*('Q4 Data'!$B$4:$B$207="Challan")*('Q4 Data'!$H$4:$H$207&lt;&gt;"")))&gt;0,(SUMPRODUCT(('Q1 Data'!$D$4:$D$207=D29)*('Q1 Data'!$B$4:$B$207="Challan")*('Q1 Data'!$H$4:$H$207=Z29))+SUMPRODUCT(('Q2 Data'!$D$4:$D$207=D29)*('Q2 Data'!$B$4:$B$207="Challan")*('Q2 Data'!$H$4:$H$207=Z29))+SUMPRODUCT(('Q3 Data'!$D$4:$D$207=D29)*('Q3 Data'!$B$4:$B$207="Challan")*('Q3 Data'!$H$4:$H$207=Z29))+SUMPRODUCT(('Q4 Data'!$D$4:$D$207=D29)*('Q4 Data'!$B$4:$B$207="Challan")*('Q4 Data'!$H$4:$H$207=Z29)))=0))</f>
      </c>
    </row>
    <row r="30" spans="1:44" x14ac:dyDescent="0.25">
      <c r="A30" s="20">
        <f>IF($B30="Entry",COUNTIF($B$4:$B30,"Entry"),"")</f>
      </c>
      <c r="B30" s="21"/>
      <c r="C30" s="22"/>
      <c r="D30" s="22"/>
      <c r="E30" s="23">
        <f>IF($B30&lt;&gt;"Challan","",IF(ROUND(AN30-AO30,2)&gt;0,"Over-applied",IF(ROUND(AN30-AO30,2)=0,"Fully Utilised","Unconsumed")))</f>
      </c>
      <c r="F30" s="24"/>
      <c r="G30" s="25"/>
      <c r="H30" s="25"/>
      <c r="I30" s="26"/>
      <c r="J30" s="26"/>
      <c r="K30" s="26"/>
      <c r="L30" s="26"/>
      <c r="M30" s="26"/>
      <c r="N30" s="26"/>
      <c r="O30" s="26"/>
      <c r="P30" s="27">
        <f>IF($B30&lt;&gt;"Challan","",I30+J30+K30+L30+M30+N30)</f>
      </c>
      <c r="Q30" s="25"/>
      <c r="R30" s="25"/>
      <c r="S30" s="25"/>
      <c r="T30" s="25"/>
      <c r="U30" s="25"/>
      <c r="V30" s="28"/>
      <c r="W30" s="28"/>
      <c r="X30" s="23">
        <f>IF($B30="Entry",IF(AND(LEN(TRIM(UPPER(W30)))=10,CODE(MID(TRIM(UPPER(W30)),1,1))&gt;=65,CODE(MID(TRIM(UPPER(W30)),1,1))&lt;=90,CODE(MID(TRIM(UPPER(W30)),2,1))&gt;=65,CODE(MID(TRIM(UPPER(W30)),2,1))&lt;=90,CODE(MID(TRIM(UPPER(W30)),3,1))&gt;=65,CODE(MID(TRIM(UPPER(W30)),3,1))&lt;=90,CODE(MID(TRIM(UPPER(W30)),4,1))&gt;=65,CODE(MID(TRIM(UPPER(W30)),4,1))&lt;=90,CODE(MID(TRIM(UPPER(W30)),5,1))&gt;=65,CODE(MID(TRIM(UPPER(W30)),5,1))&lt;=90,CODE(MID(TRIM(UPPER(W30)),10,1))&gt;=65,CODE(MID(TRIM(UPPER(W30)),10,1))&lt;=90,CODE(MID(TRIM(UPPER(W30)),6,1))&gt;=48,CODE(MID(TRIM(UPPER(W30)),6,1))&lt;=57,CODE(MID(TRIM(UPPER(W30)),7,1))&gt;=48,CODE(MID(TRIM(UPPER(W30)),7,1))&lt;=57,CODE(MID(TRIM(UPPER(W30)),8,1))&gt;=48,CODE(MID(TRIM(UPPER(W30)),8,1))&lt;=57,CODE(MID(TRIM(UPPER(W30)),9,1))&gt;=48,CODE(MID(TRIM(UPPER(W30)),9,1))&lt;=57),"N","Y"),IF($B30="Challan","",IF(W30&lt;&gt;"","◄ Set Row Type","")))</f>
      </c>
      <c r="Y30" s="23">
        <f>IF($B30="Entry",IF(LEN(W30)&lt;4,"",IF(UPPER(MID(W30,4,1))="P","Individual",IF(UPPER(MID(W30,4,1))="H","HUF",IF(UPPER(MID(W30,4,1))="C","Company",IF(UPPER(MID(W30,4,1))="F","Firm",IF(UPPER(MID(W30,4,1))="L","LLP",IF(UPPER(MID(W30,4,1))="T","Trust",IF(UPPER(MID(W30,4,1))="A","AOP","")))))))),IF($B30="Challan","",IF(W30&lt;&gt;"","◄ Set Row Type","")))</f>
      </c>
      <c r="Z30" s="28"/>
      <c r="AA30" s="29">
        <f>IF($B30&lt;&gt;"Entry","",IF(Z30="","",IF(X30="Y",SUMPRODUCT(('Rate Lookup'!$A$1:$A$37=Z30)*'Rate Lookup'!$D$1:$D$37),IF(OR(Y30="Individual",Y30="HUF"),SUMPRODUCT(('Rate Lookup'!$A$1:$A$37=Z30)*'Rate Lookup'!$B$1:$B$37),SUMPRODUCT(('Rate Lookup'!$A$1:$A$37=Z30)*'Rate Lookup'!$C$1:$C$37)))))</f>
      </c>
      <c r="AB30" s="30"/>
      <c r="AC30" s="31"/>
      <c r="AD30" s="27">
        <f>IF($B30&lt;&gt;"Entry","",ROUND(AC30*AA30/100,0))</f>
      </c>
      <c r="AE30" s="27">
        <f>IF($B30&lt;&gt;"Entry","",0)</f>
      </c>
      <c r="AF30" s="27">
        <f>IF($B30&lt;&gt;"Entry","",0)</f>
      </c>
      <c r="AG30" s="27">
        <f>IF($B30&lt;&gt;"Entry","",IF(OR(AD30=0,AB30="",AQ30="",AQ30&lt;=0),0,IF(AQ30&lt;=DATE(YEAR(AB30),MONTH(AB30)+1,7),0,ROUND(AD30*0.015*((YEAR(AQ30)-YEAR(AB30))*12+(MONTH(AQ30)-MONTH(AB30))+1),0))))</f>
      </c>
      <c r="AH30" s="27">
        <f>IF($B30&lt;&gt;"Entry","",0)</f>
      </c>
      <c r="AI30" s="28"/>
      <c r="AJ30" s="28"/>
      <c r="AK30" s="32"/>
      <c r="AL30" s="28"/>
      <c r="AM30" s="28"/>
      <c r="AN30" s="27">
        <f>IF($B30&lt;&gt;"Challan","",SUMIF('Q1 Data'!$D$4:$D$207,D30,'Q1 Data'!$AD$4:$AD$207)+SUMIF('Q1 Data'!$D$4:$D$207,D30,'Q1 Data'!$AG$4:$AG$207)+SUMIF('Q1 Data'!$D$4:$D$207,D30,'Q1 Data'!$AE$4:$AE$207)+SUMIF('Q2 Data'!$D$4:$D$207,D30,'Q2 Data'!$AD$4:$AD$207)+SUMIF('Q2 Data'!$D$4:$D$207,D30,'Q2 Data'!$AG$4:$AG$207)+SUMIF('Q2 Data'!$D$4:$D$207,D30,'Q2 Data'!$AE$4:$AE$207)+SUMIF('Q3 Data'!$D$4:$D$207,D30,'Q3 Data'!$AD$4:$AD$207)+SUMIF('Q3 Data'!$D$4:$D$207,D30,'Q3 Data'!$AG$4:$AG$207)+SUMIF('Q3 Data'!$D$4:$D$207,D30,'Q3 Data'!$AE$4:$AE$207)+SUMIF('Q4 Data'!$D$4:$D$207,D30,'Q4 Data'!$AD$4:$AD$207)+SUMIF('Q4 Data'!$D$4:$D$207,D30,'Q4 Data'!$AG$4:$AG$207)+SUMIF('Q4 Data'!$D$4:$D$207,D30,'Q4 Data'!$AE$4:$AE$207))</f>
      </c>
      <c r="AO30" s="27">
        <f>IF($B30&lt;&gt;"Challan","",P30-N30)</f>
      </c>
      <c r="AP30" s="27">
        <f>IF($B30&lt;&gt;"Challan","",MAX(0,AO30-AN30))</f>
      </c>
      <c r="AQ30" s="33">
        <f>IF($B30&lt;&gt;"Entry","",SUMPRODUCT(('Q1 Data'!$D$4:$D$207=D30)*('Q1 Data'!$B$4:$B$207="Challan")*'Q1 Data'!$F$4:$F$207)+SUMPRODUCT(('Q2 Data'!$D$4:$D$207=D30)*('Q2 Data'!$B$4:$B$207="Challan")*'Q2 Data'!$F$4:$F$207)+SUMPRODUCT(('Q3 Data'!$D$4:$D$207=D30)*('Q3 Data'!$B$4:$B$207="Challan")*'Q3 Data'!$F$4:$F$207)+SUMPRODUCT(('Q4 Data'!$D$4:$D$207=D30)*('Q4 Data'!$B$4:$B$207="Challan")*'Q4 Data'!$F$4:$F$207))</f>
      </c>
      <c r="AR30" s="34">
        <f>IF(OR($B30&lt;&gt;"Entry",Z30=""),FALSE,AND((SUMPRODUCT(('Q1 Data'!$D$4:$D$207=D30)*('Q1 Data'!$B$4:$B$207="Challan")*('Q1 Data'!$H$4:$H$207&lt;&gt;""))+SUMPRODUCT(('Q2 Data'!$D$4:$D$207=D30)*('Q2 Data'!$B$4:$B$207="Challan")*('Q2 Data'!$H$4:$H$207&lt;&gt;""))+SUMPRODUCT(('Q3 Data'!$D$4:$D$207=D30)*('Q3 Data'!$B$4:$B$207="Challan")*('Q3 Data'!$H$4:$H$207&lt;&gt;""))+SUMPRODUCT(('Q4 Data'!$D$4:$D$207=D30)*('Q4 Data'!$B$4:$B$207="Challan")*('Q4 Data'!$H$4:$H$207&lt;&gt;"")))&gt;0,(SUMPRODUCT(('Q1 Data'!$D$4:$D$207=D30)*('Q1 Data'!$B$4:$B$207="Challan")*('Q1 Data'!$H$4:$H$207=Z30))+SUMPRODUCT(('Q2 Data'!$D$4:$D$207=D30)*('Q2 Data'!$B$4:$B$207="Challan")*('Q2 Data'!$H$4:$H$207=Z30))+SUMPRODUCT(('Q3 Data'!$D$4:$D$207=D30)*('Q3 Data'!$B$4:$B$207="Challan")*('Q3 Data'!$H$4:$H$207=Z30))+SUMPRODUCT(('Q4 Data'!$D$4:$D$207=D30)*('Q4 Data'!$B$4:$B$207="Challan")*('Q4 Data'!$H$4:$H$207=Z30)))=0))</f>
      </c>
    </row>
    <row r="31" spans="1:44" x14ac:dyDescent="0.25">
      <c r="A31" s="20">
        <f>IF($B31="Entry",COUNTIF($B$4:$B31,"Entry"),"")</f>
      </c>
      <c r="B31" s="21"/>
      <c r="C31" s="22"/>
      <c r="D31" s="22"/>
      <c r="E31" s="23">
        <f>IF($B31&lt;&gt;"Challan","",IF(ROUND(AN31-AO31,2)&gt;0,"Over-applied",IF(ROUND(AN31-AO31,2)=0,"Fully Utilised","Unconsumed")))</f>
      </c>
      <c r="F31" s="24"/>
      <c r="G31" s="25"/>
      <c r="H31" s="25"/>
      <c r="I31" s="26"/>
      <c r="J31" s="26"/>
      <c r="K31" s="26"/>
      <c r="L31" s="26"/>
      <c r="M31" s="26"/>
      <c r="N31" s="26"/>
      <c r="O31" s="26"/>
      <c r="P31" s="27">
        <f>IF($B31&lt;&gt;"Challan","",I31+J31+K31+L31+M31+N31)</f>
      </c>
      <c r="Q31" s="25"/>
      <c r="R31" s="25"/>
      <c r="S31" s="25"/>
      <c r="T31" s="25"/>
      <c r="U31" s="25"/>
      <c r="V31" s="28"/>
      <c r="W31" s="28"/>
      <c r="X31" s="23">
        <f>IF($B31="Entry",IF(AND(LEN(TRIM(UPPER(W31)))=10,CODE(MID(TRIM(UPPER(W31)),1,1))&gt;=65,CODE(MID(TRIM(UPPER(W31)),1,1))&lt;=90,CODE(MID(TRIM(UPPER(W31)),2,1))&gt;=65,CODE(MID(TRIM(UPPER(W31)),2,1))&lt;=90,CODE(MID(TRIM(UPPER(W31)),3,1))&gt;=65,CODE(MID(TRIM(UPPER(W31)),3,1))&lt;=90,CODE(MID(TRIM(UPPER(W31)),4,1))&gt;=65,CODE(MID(TRIM(UPPER(W31)),4,1))&lt;=90,CODE(MID(TRIM(UPPER(W31)),5,1))&gt;=65,CODE(MID(TRIM(UPPER(W31)),5,1))&lt;=90,CODE(MID(TRIM(UPPER(W31)),10,1))&gt;=65,CODE(MID(TRIM(UPPER(W31)),10,1))&lt;=90,CODE(MID(TRIM(UPPER(W31)),6,1))&gt;=48,CODE(MID(TRIM(UPPER(W31)),6,1))&lt;=57,CODE(MID(TRIM(UPPER(W31)),7,1))&gt;=48,CODE(MID(TRIM(UPPER(W31)),7,1))&lt;=57,CODE(MID(TRIM(UPPER(W31)),8,1))&gt;=48,CODE(MID(TRIM(UPPER(W31)),8,1))&lt;=57,CODE(MID(TRIM(UPPER(W31)),9,1))&gt;=48,CODE(MID(TRIM(UPPER(W31)),9,1))&lt;=57),"N","Y"),IF($B31="Challan","",IF(W31&lt;&gt;"","◄ Set Row Type","")))</f>
      </c>
      <c r="Y31" s="23">
        <f>IF($B31="Entry",IF(LEN(W31)&lt;4,"",IF(UPPER(MID(W31,4,1))="P","Individual",IF(UPPER(MID(W31,4,1))="H","HUF",IF(UPPER(MID(W31,4,1))="C","Company",IF(UPPER(MID(W31,4,1))="F","Firm",IF(UPPER(MID(W31,4,1))="L","LLP",IF(UPPER(MID(W31,4,1))="T","Trust",IF(UPPER(MID(W31,4,1))="A","AOP","")))))))),IF($B31="Challan","",IF(W31&lt;&gt;"","◄ Set Row Type","")))</f>
      </c>
      <c r="Z31" s="28"/>
      <c r="AA31" s="29">
        <f>IF($B31&lt;&gt;"Entry","",IF(Z31="","",IF(X31="Y",SUMPRODUCT(('Rate Lookup'!$A$1:$A$37=Z31)*'Rate Lookup'!$D$1:$D$37),IF(OR(Y31="Individual",Y31="HUF"),SUMPRODUCT(('Rate Lookup'!$A$1:$A$37=Z31)*'Rate Lookup'!$B$1:$B$37),SUMPRODUCT(('Rate Lookup'!$A$1:$A$37=Z31)*'Rate Lookup'!$C$1:$C$37)))))</f>
      </c>
      <c r="AB31" s="30"/>
      <c r="AC31" s="31"/>
      <c r="AD31" s="27">
        <f>IF($B31&lt;&gt;"Entry","",ROUND(AC31*AA31/100,0))</f>
      </c>
      <c r="AE31" s="27">
        <f>IF($B31&lt;&gt;"Entry","",0)</f>
      </c>
      <c r="AF31" s="27">
        <f>IF($B31&lt;&gt;"Entry","",0)</f>
      </c>
      <c r="AG31" s="27">
        <f>IF($B31&lt;&gt;"Entry","",IF(OR(AD31=0,AB31="",AQ31="",AQ31&lt;=0),0,IF(AQ31&lt;=DATE(YEAR(AB31),MONTH(AB31)+1,7),0,ROUND(AD31*0.015*((YEAR(AQ31)-YEAR(AB31))*12+(MONTH(AQ31)-MONTH(AB31))+1),0))))</f>
      </c>
      <c r="AH31" s="27">
        <f>IF($B31&lt;&gt;"Entry","",0)</f>
      </c>
      <c r="AI31" s="28"/>
      <c r="AJ31" s="28"/>
      <c r="AK31" s="32"/>
      <c r="AL31" s="28"/>
      <c r="AM31" s="28"/>
      <c r="AN31" s="27">
        <f>IF($B31&lt;&gt;"Challan","",SUMIF('Q1 Data'!$D$4:$D$207,D31,'Q1 Data'!$AD$4:$AD$207)+SUMIF('Q1 Data'!$D$4:$D$207,D31,'Q1 Data'!$AG$4:$AG$207)+SUMIF('Q1 Data'!$D$4:$D$207,D31,'Q1 Data'!$AE$4:$AE$207)+SUMIF('Q2 Data'!$D$4:$D$207,D31,'Q2 Data'!$AD$4:$AD$207)+SUMIF('Q2 Data'!$D$4:$D$207,D31,'Q2 Data'!$AG$4:$AG$207)+SUMIF('Q2 Data'!$D$4:$D$207,D31,'Q2 Data'!$AE$4:$AE$207)+SUMIF('Q3 Data'!$D$4:$D$207,D31,'Q3 Data'!$AD$4:$AD$207)+SUMIF('Q3 Data'!$D$4:$D$207,D31,'Q3 Data'!$AG$4:$AG$207)+SUMIF('Q3 Data'!$D$4:$D$207,D31,'Q3 Data'!$AE$4:$AE$207)+SUMIF('Q4 Data'!$D$4:$D$207,D31,'Q4 Data'!$AD$4:$AD$207)+SUMIF('Q4 Data'!$D$4:$D$207,D31,'Q4 Data'!$AG$4:$AG$207)+SUMIF('Q4 Data'!$D$4:$D$207,D31,'Q4 Data'!$AE$4:$AE$207))</f>
      </c>
      <c r="AO31" s="27">
        <f>IF($B31&lt;&gt;"Challan","",P31-N31)</f>
      </c>
      <c r="AP31" s="27">
        <f>IF($B31&lt;&gt;"Challan","",MAX(0,AO31-AN31))</f>
      </c>
      <c r="AQ31" s="33">
        <f>IF($B31&lt;&gt;"Entry","",SUMPRODUCT(('Q1 Data'!$D$4:$D$207=D31)*('Q1 Data'!$B$4:$B$207="Challan")*'Q1 Data'!$F$4:$F$207)+SUMPRODUCT(('Q2 Data'!$D$4:$D$207=D31)*('Q2 Data'!$B$4:$B$207="Challan")*'Q2 Data'!$F$4:$F$207)+SUMPRODUCT(('Q3 Data'!$D$4:$D$207=D31)*('Q3 Data'!$B$4:$B$207="Challan")*'Q3 Data'!$F$4:$F$207)+SUMPRODUCT(('Q4 Data'!$D$4:$D$207=D31)*('Q4 Data'!$B$4:$B$207="Challan")*'Q4 Data'!$F$4:$F$207))</f>
      </c>
      <c r="AR31" s="34">
        <f>IF(OR($B31&lt;&gt;"Entry",Z31=""),FALSE,AND((SUMPRODUCT(('Q1 Data'!$D$4:$D$207=D31)*('Q1 Data'!$B$4:$B$207="Challan")*('Q1 Data'!$H$4:$H$207&lt;&gt;""))+SUMPRODUCT(('Q2 Data'!$D$4:$D$207=D31)*('Q2 Data'!$B$4:$B$207="Challan")*('Q2 Data'!$H$4:$H$207&lt;&gt;""))+SUMPRODUCT(('Q3 Data'!$D$4:$D$207=D31)*('Q3 Data'!$B$4:$B$207="Challan")*('Q3 Data'!$H$4:$H$207&lt;&gt;""))+SUMPRODUCT(('Q4 Data'!$D$4:$D$207=D31)*('Q4 Data'!$B$4:$B$207="Challan")*('Q4 Data'!$H$4:$H$207&lt;&gt;"")))&gt;0,(SUMPRODUCT(('Q1 Data'!$D$4:$D$207=D31)*('Q1 Data'!$B$4:$B$207="Challan")*('Q1 Data'!$H$4:$H$207=Z31))+SUMPRODUCT(('Q2 Data'!$D$4:$D$207=D31)*('Q2 Data'!$B$4:$B$207="Challan")*('Q2 Data'!$H$4:$H$207=Z31))+SUMPRODUCT(('Q3 Data'!$D$4:$D$207=D31)*('Q3 Data'!$B$4:$B$207="Challan")*('Q3 Data'!$H$4:$H$207=Z31))+SUMPRODUCT(('Q4 Data'!$D$4:$D$207=D31)*('Q4 Data'!$B$4:$B$207="Challan")*('Q4 Data'!$H$4:$H$207=Z31)))=0))</f>
      </c>
    </row>
    <row r="32" spans="1:44" x14ac:dyDescent="0.25">
      <c r="A32" s="20">
        <f>IF($B32="Entry",COUNTIF($B$4:$B32,"Entry"),"")</f>
      </c>
      <c r="B32" s="21"/>
      <c r="C32" s="22"/>
      <c r="D32" s="22"/>
      <c r="E32" s="23">
        <f>IF($B32&lt;&gt;"Challan","",IF(ROUND(AN32-AO32,2)&gt;0,"Over-applied",IF(ROUND(AN32-AO32,2)=0,"Fully Utilised","Unconsumed")))</f>
      </c>
      <c r="F32" s="24"/>
      <c r="G32" s="25"/>
      <c r="H32" s="25"/>
      <c r="I32" s="26"/>
      <c r="J32" s="26"/>
      <c r="K32" s="26"/>
      <c r="L32" s="26"/>
      <c r="M32" s="26"/>
      <c r="N32" s="26"/>
      <c r="O32" s="26"/>
      <c r="P32" s="27">
        <f>IF($B32&lt;&gt;"Challan","",I32+J32+K32+L32+M32+N32)</f>
      </c>
      <c r="Q32" s="25"/>
      <c r="R32" s="25"/>
      <c r="S32" s="25"/>
      <c r="T32" s="25"/>
      <c r="U32" s="25"/>
      <c r="V32" s="28"/>
      <c r="W32" s="28"/>
      <c r="X32" s="23">
        <f>IF($B32="Entry",IF(AND(LEN(TRIM(UPPER(W32)))=10,CODE(MID(TRIM(UPPER(W32)),1,1))&gt;=65,CODE(MID(TRIM(UPPER(W32)),1,1))&lt;=90,CODE(MID(TRIM(UPPER(W32)),2,1))&gt;=65,CODE(MID(TRIM(UPPER(W32)),2,1))&lt;=90,CODE(MID(TRIM(UPPER(W32)),3,1))&gt;=65,CODE(MID(TRIM(UPPER(W32)),3,1))&lt;=90,CODE(MID(TRIM(UPPER(W32)),4,1))&gt;=65,CODE(MID(TRIM(UPPER(W32)),4,1))&lt;=90,CODE(MID(TRIM(UPPER(W32)),5,1))&gt;=65,CODE(MID(TRIM(UPPER(W32)),5,1))&lt;=90,CODE(MID(TRIM(UPPER(W32)),10,1))&gt;=65,CODE(MID(TRIM(UPPER(W32)),10,1))&lt;=90,CODE(MID(TRIM(UPPER(W32)),6,1))&gt;=48,CODE(MID(TRIM(UPPER(W32)),6,1))&lt;=57,CODE(MID(TRIM(UPPER(W32)),7,1))&gt;=48,CODE(MID(TRIM(UPPER(W32)),7,1))&lt;=57,CODE(MID(TRIM(UPPER(W32)),8,1))&gt;=48,CODE(MID(TRIM(UPPER(W32)),8,1))&lt;=57,CODE(MID(TRIM(UPPER(W32)),9,1))&gt;=48,CODE(MID(TRIM(UPPER(W32)),9,1))&lt;=57),"N","Y"),IF($B32="Challan","",IF(W32&lt;&gt;"","◄ Set Row Type","")))</f>
      </c>
      <c r="Y32" s="23">
        <f>IF($B32="Entry",IF(LEN(W32)&lt;4,"",IF(UPPER(MID(W32,4,1))="P","Individual",IF(UPPER(MID(W32,4,1))="H","HUF",IF(UPPER(MID(W32,4,1))="C","Company",IF(UPPER(MID(W32,4,1))="F","Firm",IF(UPPER(MID(W32,4,1))="L","LLP",IF(UPPER(MID(W32,4,1))="T","Trust",IF(UPPER(MID(W32,4,1))="A","AOP","")))))))),IF($B32="Challan","",IF(W32&lt;&gt;"","◄ Set Row Type","")))</f>
      </c>
      <c r="Z32" s="28"/>
      <c r="AA32" s="29">
        <f>IF($B32&lt;&gt;"Entry","",IF(Z32="","",IF(X32="Y",SUMPRODUCT(('Rate Lookup'!$A$1:$A$37=Z32)*'Rate Lookup'!$D$1:$D$37),IF(OR(Y32="Individual",Y32="HUF"),SUMPRODUCT(('Rate Lookup'!$A$1:$A$37=Z32)*'Rate Lookup'!$B$1:$B$37),SUMPRODUCT(('Rate Lookup'!$A$1:$A$37=Z32)*'Rate Lookup'!$C$1:$C$37)))))</f>
      </c>
      <c r="AB32" s="30"/>
      <c r="AC32" s="31"/>
      <c r="AD32" s="27">
        <f>IF($B32&lt;&gt;"Entry","",ROUND(AC32*AA32/100,0))</f>
      </c>
      <c r="AE32" s="27">
        <f>IF($B32&lt;&gt;"Entry","",0)</f>
      </c>
      <c r="AF32" s="27">
        <f>IF($B32&lt;&gt;"Entry","",0)</f>
      </c>
      <c r="AG32" s="27">
        <f>IF($B32&lt;&gt;"Entry","",IF(OR(AD32=0,AB32="",AQ32="",AQ32&lt;=0),0,IF(AQ32&lt;=DATE(YEAR(AB32),MONTH(AB32)+1,7),0,ROUND(AD32*0.015*((YEAR(AQ32)-YEAR(AB32))*12+(MONTH(AQ32)-MONTH(AB32))+1),0))))</f>
      </c>
      <c r="AH32" s="27">
        <f>IF($B32&lt;&gt;"Entry","",0)</f>
      </c>
      <c r="AI32" s="28"/>
      <c r="AJ32" s="28"/>
      <c r="AK32" s="32"/>
      <c r="AL32" s="28"/>
      <c r="AM32" s="28"/>
      <c r="AN32" s="27">
        <f>IF($B32&lt;&gt;"Challan","",SUMIF('Q1 Data'!$D$4:$D$207,D32,'Q1 Data'!$AD$4:$AD$207)+SUMIF('Q1 Data'!$D$4:$D$207,D32,'Q1 Data'!$AG$4:$AG$207)+SUMIF('Q1 Data'!$D$4:$D$207,D32,'Q1 Data'!$AE$4:$AE$207)+SUMIF('Q2 Data'!$D$4:$D$207,D32,'Q2 Data'!$AD$4:$AD$207)+SUMIF('Q2 Data'!$D$4:$D$207,D32,'Q2 Data'!$AG$4:$AG$207)+SUMIF('Q2 Data'!$D$4:$D$207,D32,'Q2 Data'!$AE$4:$AE$207)+SUMIF('Q3 Data'!$D$4:$D$207,D32,'Q3 Data'!$AD$4:$AD$207)+SUMIF('Q3 Data'!$D$4:$D$207,D32,'Q3 Data'!$AG$4:$AG$207)+SUMIF('Q3 Data'!$D$4:$D$207,D32,'Q3 Data'!$AE$4:$AE$207)+SUMIF('Q4 Data'!$D$4:$D$207,D32,'Q4 Data'!$AD$4:$AD$207)+SUMIF('Q4 Data'!$D$4:$D$207,D32,'Q4 Data'!$AG$4:$AG$207)+SUMIF('Q4 Data'!$D$4:$D$207,D32,'Q4 Data'!$AE$4:$AE$207))</f>
      </c>
      <c r="AO32" s="27">
        <f>IF($B32&lt;&gt;"Challan","",P32-N32)</f>
      </c>
      <c r="AP32" s="27">
        <f>IF($B32&lt;&gt;"Challan","",MAX(0,AO32-AN32))</f>
      </c>
      <c r="AQ32" s="33">
        <f>IF($B32&lt;&gt;"Entry","",SUMPRODUCT(('Q1 Data'!$D$4:$D$207=D32)*('Q1 Data'!$B$4:$B$207="Challan")*'Q1 Data'!$F$4:$F$207)+SUMPRODUCT(('Q2 Data'!$D$4:$D$207=D32)*('Q2 Data'!$B$4:$B$207="Challan")*'Q2 Data'!$F$4:$F$207)+SUMPRODUCT(('Q3 Data'!$D$4:$D$207=D32)*('Q3 Data'!$B$4:$B$207="Challan")*'Q3 Data'!$F$4:$F$207)+SUMPRODUCT(('Q4 Data'!$D$4:$D$207=D32)*('Q4 Data'!$B$4:$B$207="Challan")*'Q4 Data'!$F$4:$F$207))</f>
      </c>
      <c r="AR32" s="34">
        <f>IF(OR($B32&lt;&gt;"Entry",Z32=""),FALSE,AND((SUMPRODUCT(('Q1 Data'!$D$4:$D$207=D32)*('Q1 Data'!$B$4:$B$207="Challan")*('Q1 Data'!$H$4:$H$207&lt;&gt;""))+SUMPRODUCT(('Q2 Data'!$D$4:$D$207=D32)*('Q2 Data'!$B$4:$B$207="Challan")*('Q2 Data'!$H$4:$H$207&lt;&gt;""))+SUMPRODUCT(('Q3 Data'!$D$4:$D$207=D32)*('Q3 Data'!$B$4:$B$207="Challan")*('Q3 Data'!$H$4:$H$207&lt;&gt;""))+SUMPRODUCT(('Q4 Data'!$D$4:$D$207=D32)*('Q4 Data'!$B$4:$B$207="Challan")*('Q4 Data'!$H$4:$H$207&lt;&gt;"")))&gt;0,(SUMPRODUCT(('Q1 Data'!$D$4:$D$207=D32)*('Q1 Data'!$B$4:$B$207="Challan")*('Q1 Data'!$H$4:$H$207=Z32))+SUMPRODUCT(('Q2 Data'!$D$4:$D$207=D32)*('Q2 Data'!$B$4:$B$207="Challan")*('Q2 Data'!$H$4:$H$207=Z32))+SUMPRODUCT(('Q3 Data'!$D$4:$D$207=D32)*('Q3 Data'!$B$4:$B$207="Challan")*('Q3 Data'!$H$4:$H$207=Z32))+SUMPRODUCT(('Q4 Data'!$D$4:$D$207=D32)*('Q4 Data'!$B$4:$B$207="Challan")*('Q4 Data'!$H$4:$H$207=Z32)))=0))</f>
      </c>
    </row>
    <row r="33" spans="1:44" x14ac:dyDescent="0.25">
      <c r="A33" s="20">
        <f>IF($B33="Entry",COUNTIF($B$4:$B33,"Entry"),"")</f>
      </c>
      <c r="B33" s="21"/>
      <c r="C33" s="22"/>
      <c r="D33" s="22"/>
      <c r="E33" s="23">
        <f>IF($B33&lt;&gt;"Challan","",IF(ROUND(AN33-AO33,2)&gt;0,"Over-applied",IF(ROUND(AN33-AO33,2)=0,"Fully Utilised","Unconsumed")))</f>
      </c>
      <c r="F33" s="24"/>
      <c r="G33" s="25"/>
      <c r="H33" s="25"/>
      <c r="I33" s="26"/>
      <c r="J33" s="26"/>
      <c r="K33" s="26"/>
      <c r="L33" s="26"/>
      <c r="M33" s="26"/>
      <c r="N33" s="26"/>
      <c r="O33" s="26"/>
      <c r="P33" s="27">
        <f>IF($B33&lt;&gt;"Challan","",I33+J33+K33+L33+M33+N33)</f>
      </c>
      <c r="Q33" s="25"/>
      <c r="R33" s="25"/>
      <c r="S33" s="25"/>
      <c r="T33" s="25"/>
      <c r="U33" s="25"/>
      <c r="V33" s="28"/>
      <c r="W33" s="28"/>
      <c r="X33" s="23">
        <f>IF($B33="Entry",IF(AND(LEN(TRIM(UPPER(W33)))=10,CODE(MID(TRIM(UPPER(W33)),1,1))&gt;=65,CODE(MID(TRIM(UPPER(W33)),1,1))&lt;=90,CODE(MID(TRIM(UPPER(W33)),2,1))&gt;=65,CODE(MID(TRIM(UPPER(W33)),2,1))&lt;=90,CODE(MID(TRIM(UPPER(W33)),3,1))&gt;=65,CODE(MID(TRIM(UPPER(W33)),3,1))&lt;=90,CODE(MID(TRIM(UPPER(W33)),4,1))&gt;=65,CODE(MID(TRIM(UPPER(W33)),4,1))&lt;=90,CODE(MID(TRIM(UPPER(W33)),5,1))&gt;=65,CODE(MID(TRIM(UPPER(W33)),5,1))&lt;=90,CODE(MID(TRIM(UPPER(W33)),10,1))&gt;=65,CODE(MID(TRIM(UPPER(W33)),10,1))&lt;=90,CODE(MID(TRIM(UPPER(W33)),6,1))&gt;=48,CODE(MID(TRIM(UPPER(W33)),6,1))&lt;=57,CODE(MID(TRIM(UPPER(W33)),7,1))&gt;=48,CODE(MID(TRIM(UPPER(W33)),7,1))&lt;=57,CODE(MID(TRIM(UPPER(W33)),8,1))&gt;=48,CODE(MID(TRIM(UPPER(W33)),8,1))&lt;=57,CODE(MID(TRIM(UPPER(W33)),9,1))&gt;=48,CODE(MID(TRIM(UPPER(W33)),9,1))&lt;=57),"N","Y"),IF($B33="Challan","",IF(W33&lt;&gt;"","◄ Set Row Type","")))</f>
      </c>
      <c r="Y33" s="23">
        <f>IF($B33="Entry",IF(LEN(W33)&lt;4,"",IF(UPPER(MID(W33,4,1))="P","Individual",IF(UPPER(MID(W33,4,1))="H","HUF",IF(UPPER(MID(W33,4,1))="C","Company",IF(UPPER(MID(W33,4,1))="F","Firm",IF(UPPER(MID(W33,4,1))="L","LLP",IF(UPPER(MID(W33,4,1))="T","Trust",IF(UPPER(MID(W33,4,1))="A","AOP","")))))))),IF($B33="Challan","",IF(W33&lt;&gt;"","◄ Set Row Type","")))</f>
      </c>
      <c r="Z33" s="28"/>
      <c r="AA33" s="29">
        <f>IF($B33&lt;&gt;"Entry","",IF(Z33="","",IF(X33="Y",SUMPRODUCT(('Rate Lookup'!$A$1:$A$37=Z33)*'Rate Lookup'!$D$1:$D$37),IF(OR(Y33="Individual",Y33="HUF"),SUMPRODUCT(('Rate Lookup'!$A$1:$A$37=Z33)*'Rate Lookup'!$B$1:$B$37),SUMPRODUCT(('Rate Lookup'!$A$1:$A$37=Z33)*'Rate Lookup'!$C$1:$C$37)))))</f>
      </c>
      <c r="AB33" s="30"/>
      <c r="AC33" s="31"/>
      <c r="AD33" s="27">
        <f>IF($B33&lt;&gt;"Entry","",ROUND(AC33*AA33/100,0))</f>
      </c>
      <c r="AE33" s="27">
        <f>IF($B33&lt;&gt;"Entry","",0)</f>
      </c>
      <c r="AF33" s="27">
        <f>IF($B33&lt;&gt;"Entry","",0)</f>
      </c>
      <c r="AG33" s="27">
        <f>IF($B33&lt;&gt;"Entry","",IF(OR(AD33=0,AB33="",AQ33="",AQ33&lt;=0),0,IF(AQ33&lt;=DATE(YEAR(AB33),MONTH(AB33)+1,7),0,ROUND(AD33*0.015*((YEAR(AQ33)-YEAR(AB33))*12+(MONTH(AQ33)-MONTH(AB33))+1),0))))</f>
      </c>
      <c r="AH33" s="27">
        <f>IF($B33&lt;&gt;"Entry","",0)</f>
      </c>
      <c r="AI33" s="28"/>
      <c r="AJ33" s="28"/>
      <c r="AK33" s="32"/>
      <c r="AL33" s="28"/>
      <c r="AM33" s="28"/>
      <c r="AN33" s="27">
        <f>IF($B33&lt;&gt;"Challan","",SUMIF('Q1 Data'!$D$4:$D$207,D33,'Q1 Data'!$AD$4:$AD$207)+SUMIF('Q1 Data'!$D$4:$D$207,D33,'Q1 Data'!$AG$4:$AG$207)+SUMIF('Q1 Data'!$D$4:$D$207,D33,'Q1 Data'!$AE$4:$AE$207)+SUMIF('Q2 Data'!$D$4:$D$207,D33,'Q2 Data'!$AD$4:$AD$207)+SUMIF('Q2 Data'!$D$4:$D$207,D33,'Q2 Data'!$AG$4:$AG$207)+SUMIF('Q2 Data'!$D$4:$D$207,D33,'Q2 Data'!$AE$4:$AE$207)+SUMIF('Q3 Data'!$D$4:$D$207,D33,'Q3 Data'!$AD$4:$AD$207)+SUMIF('Q3 Data'!$D$4:$D$207,D33,'Q3 Data'!$AG$4:$AG$207)+SUMIF('Q3 Data'!$D$4:$D$207,D33,'Q3 Data'!$AE$4:$AE$207)+SUMIF('Q4 Data'!$D$4:$D$207,D33,'Q4 Data'!$AD$4:$AD$207)+SUMIF('Q4 Data'!$D$4:$D$207,D33,'Q4 Data'!$AG$4:$AG$207)+SUMIF('Q4 Data'!$D$4:$D$207,D33,'Q4 Data'!$AE$4:$AE$207))</f>
      </c>
      <c r="AO33" s="27">
        <f>IF($B33&lt;&gt;"Challan","",P33-N33)</f>
      </c>
      <c r="AP33" s="27">
        <f>IF($B33&lt;&gt;"Challan","",MAX(0,AO33-AN33))</f>
      </c>
      <c r="AQ33" s="33">
        <f>IF($B33&lt;&gt;"Entry","",SUMPRODUCT(('Q1 Data'!$D$4:$D$207=D33)*('Q1 Data'!$B$4:$B$207="Challan")*'Q1 Data'!$F$4:$F$207)+SUMPRODUCT(('Q2 Data'!$D$4:$D$207=D33)*('Q2 Data'!$B$4:$B$207="Challan")*'Q2 Data'!$F$4:$F$207)+SUMPRODUCT(('Q3 Data'!$D$4:$D$207=D33)*('Q3 Data'!$B$4:$B$207="Challan")*'Q3 Data'!$F$4:$F$207)+SUMPRODUCT(('Q4 Data'!$D$4:$D$207=D33)*('Q4 Data'!$B$4:$B$207="Challan")*'Q4 Data'!$F$4:$F$207))</f>
      </c>
      <c r="AR33" s="34">
        <f>IF(OR($B33&lt;&gt;"Entry",Z33=""),FALSE,AND((SUMPRODUCT(('Q1 Data'!$D$4:$D$207=D33)*('Q1 Data'!$B$4:$B$207="Challan")*('Q1 Data'!$H$4:$H$207&lt;&gt;""))+SUMPRODUCT(('Q2 Data'!$D$4:$D$207=D33)*('Q2 Data'!$B$4:$B$207="Challan")*('Q2 Data'!$H$4:$H$207&lt;&gt;""))+SUMPRODUCT(('Q3 Data'!$D$4:$D$207=D33)*('Q3 Data'!$B$4:$B$207="Challan")*('Q3 Data'!$H$4:$H$207&lt;&gt;""))+SUMPRODUCT(('Q4 Data'!$D$4:$D$207=D33)*('Q4 Data'!$B$4:$B$207="Challan")*('Q4 Data'!$H$4:$H$207&lt;&gt;"")))&gt;0,(SUMPRODUCT(('Q1 Data'!$D$4:$D$207=D33)*('Q1 Data'!$B$4:$B$207="Challan")*('Q1 Data'!$H$4:$H$207=Z33))+SUMPRODUCT(('Q2 Data'!$D$4:$D$207=D33)*('Q2 Data'!$B$4:$B$207="Challan")*('Q2 Data'!$H$4:$H$207=Z33))+SUMPRODUCT(('Q3 Data'!$D$4:$D$207=D33)*('Q3 Data'!$B$4:$B$207="Challan")*('Q3 Data'!$H$4:$H$207=Z33))+SUMPRODUCT(('Q4 Data'!$D$4:$D$207=D33)*('Q4 Data'!$B$4:$B$207="Challan")*('Q4 Data'!$H$4:$H$207=Z33)))=0))</f>
      </c>
    </row>
    <row r="34" spans="1:44" x14ac:dyDescent="0.25">
      <c r="A34" s="20">
        <f>IF($B34="Entry",COUNTIF($B$4:$B34,"Entry"),"")</f>
      </c>
      <c r="B34" s="21"/>
      <c r="C34" s="22"/>
      <c r="D34" s="22"/>
      <c r="E34" s="23">
        <f>IF($B34&lt;&gt;"Challan","",IF(ROUND(AN34-AO34,2)&gt;0,"Over-applied",IF(ROUND(AN34-AO34,2)=0,"Fully Utilised","Unconsumed")))</f>
      </c>
      <c r="F34" s="24"/>
      <c r="G34" s="25"/>
      <c r="H34" s="25"/>
      <c r="I34" s="26"/>
      <c r="J34" s="26"/>
      <c r="K34" s="26"/>
      <c r="L34" s="26"/>
      <c r="M34" s="26"/>
      <c r="N34" s="26"/>
      <c r="O34" s="26"/>
      <c r="P34" s="27">
        <f>IF($B34&lt;&gt;"Challan","",I34+J34+K34+L34+M34+N34)</f>
      </c>
      <c r="Q34" s="25"/>
      <c r="R34" s="25"/>
      <c r="S34" s="25"/>
      <c r="T34" s="25"/>
      <c r="U34" s="25"/>
      <c r="V34" s="28"/>
      <c r="W34" s="28"/>
      <c r="X34" s="23">
        <f>IF($B34="Entry",IF(AND(LEN(TRIM(UPPER(W34)))=10,CODE(MID(TRIM(UPPER(W34)),1,1))&gt;=65,CODE(MID(TRIM(UPPER(W34)),1,1))&lt;=90,CODE(MID(TRIM(UPPER(W34)),2,1))&gt;=65,CODE(MID(TRIM(UPPER(W34)),2,1))&lt;=90,CODE(MID(TRIM(UPPER(W34)),3,1))&gt;=65,CODE(MID(TRIM(UPPER(W34)),3,1))&lt;=90,CODE(MID(TRIM(UPPER(W34)),4,1))&gt;=65,CODE(MID(TRIM(UPPER(W34)),4,1))&lt;=90,CODE(MID(TRIM(UPPER(W34)),5,1))&gt;=65,CODE(MID(TRIM(UPPER(W34)),5,1))&lt;=90,CODE(MID(TRIM(UPPER(W34)),10,1))&gt;=65,CODE(MID(TRIM(UPPER(W34)),10,1))&lt;=90,CODE(MID(TRIM(UPPER(W34)),6,1))&gt;=48,CODE(MID(TRIM(UPPER(W34)),6,1))&lt;=57,CODE(MID(TRIM(UPPER(W34)),7,1))&gt;=48,CODE(MID(TRIM(UPPER(W34)),7,1))&lt;=57,CODE(MID(TRIM(UPPER(W34)),8,1))&gt;=48,CODE(MID(TRIM(UPPER(W34)),8,1))&lt;=57,CODE(MID(TRIM(UPPER(W34)),9,1))&gt;=48,CODE(MID(TRIM(UPPER(W34)),9,1))&lt;=57),"N","Y"),IF($B34="Challan","",IF(W34&lt;&gt;"","◄ Set Row Type","")))</f>
      </c>
      <c r="Y34" s="23">
        <f>IF($B34="Entry",IF(LEN(W34)&lt;4,"",IF(UPPER(MID(W34,4,1))="P","Individual",IF(UPPER(MID(W34,4,1))="H","HUF",IF(UPPER(MID(W34,4,1))="C","Company",IF(UPPER(MID(W34,4,1))="F","Firm",IF(UPPER(MID(W34,4,1))="L","LLP",IF(UPPER(MID(W34,4,1))="T","Trust",IF(UPPER(MID(W34,4,1))="A","AOP","")))))))),IF($B34="Challan","",IF(W34&lt;&gt;"","◄ Set Row Type","")))</f>
      </c>
      <c r="Z34" s="28"/>
      <c r="AA34" s="29">
        <f>IF($B34&lt;&gt;"Entry","",IF(Z34="","",IF(X34="Y",SUMPRODUCT(('Rate Lookup'!$A$1:$A$37=Z34)*'Rate Lookup'!$D$1:$D$37),IF(OR(Y34="Individual",Y34="HUF"),SUMPRODUCT(('Rate Lookup'!$A$1:$A$37=Z34)*'Rate Lookup'!$B$1:$B$37),SUMPRODUCT(('Rate Lookup'!$A$1:$A$37=Z34)*'Rate Lookup'!$C$1:$C$37)))))</f>
      </c>
      <c r="AB34" s="30"/>
      <c r="AC34" s="31"/>
      <c r="AD34" s="27">
        <f>IF($B34&lt;&gt;"Entry","",ROUND(AC34*AA34/100,0))</f>
      </c>
      <c r="AE34" s="27">
        <f>IF($B34&lt;&gt;"Entry","",0)</f>
      </c>
      <c r="AF34" s="27">
        <f>IF($B34&lt;&gt;"Entry","",0)</f>
      </c>
      <c r="AG34" s="27">
        <f>IF($B34&lt;&gt;"Entry","",IF(OR(AD34=0,AB34="",AQ34="",AQ34&lt;=0),0,IF(AQ34&lt;=DATE(YEAR(AB34),MONTH(AB34)+1,7),0,ROUND(AD34*0.015*((YEAR(AQ34)-YEAR(AB34))*12+(MONTH(AQ34)-MONTH(AB34))+1),0))))</f>
      </c>
      <c r="AH34" s="27">
        <f>IF($B34&lt;&gt;"Entry","",0)</f>
      </c>
      <c r="AI34" s="28"/>
      <c r="AJ34" s="28"/>
      <c r="AK34" s="32"/>
      <c r="AL34" s="28"/>
      <c r="AM34" s="28"/>
      <c r="AN34" s="27">
        <f>IF($B34&lt;&gt;"Challan","",SUMIF('Q1 Data'!$D$4:$D$207,D34,'Q1 Data'!$AD$4:$AD$207)+SUMIF('Q1 Data'!$D$4:$D$207,D34,'Q1 Data'!$AG$4:$AG$207)+SUMIF('Q1 Data'!$D$4:$D$207,D34,'Q1 Data'!$AE$4:$AE$207)+SUMIF('Q2 Data'!$D$4:$D$207,D34,'Q2 Data'!$AD$4:$AD$207)+SUMIF('Q2 Data'!$D$4:$D$207,D34,'Q2 Data'!$AG$4:$AG$207)+SUMIF('Q2 Data'!$D$4:$D$207,D34,'Q2 Data'!$AE$4:$AE$207)+SUMIF('Q3 Data'!$D$4:$D$207,D34,'Q3 Data'!$AD$4:$AD$207)+SUMIF('Q3 Data'!$D$4:$D$207,D34,'Q3 Data'!$AG$4:$AG$207)+SUMIF('Q3 Data'!$D$4:$D$207,D34,'Q3 Data'!$AE$4:$AE$207)+SUMIF('Q4 Data'!$D$4:$D$207,D34,'Q4 Data'!$AD$4:$AD$207)+SUMIF('Q4 Data'!$D$4:$D$207,D34,'Q4 Data'!$AG$4:$AG$207)+SUMIF('Q4 Data'!$D$4:$D$207,D34,'Q4 Data'!$AE$4:$AE$207))</f>
      </c>
      <c r="AO34" s="27">
        <f>IF($B34&lt;&gt;"Challan","",P34-N34)</f>
      </c>
      <c r="AP34" s="27">
        <f>IF($B34&lt;&gt;"Challan","",MAX(0,AO34-AN34))</f>
      </c>
      <c r="AQ34" s="33">
        <f>IF($B34&lt;&gt;"Entry","",SUMPRODUCT(('Q1 Data'!$D$4:$D$207=D34)*('Q1 Data'!$B$4:$B$207="Challan")*'Q1 Data'!$F$4:$F$207)+SUMPRODUCT(('Q2 Data'!$D$4:$D$207=D34)*('Q2 Data'!$B$4:$B$207="Challan")*'Q2 Data'!$F$4:$F$207)+SUMPRODUCT(('Q3 Data'!$D$4:$D$207=D34)*('Q3 Data'!$B$4:$B$207="Challan")*'Q3 Data'!$F$4:$F$207)+SUMPRODUCT(('Q4 Data'!$D$4:$D$207=D34)*('Q4 Data'!$B$4:$B$207="Challan")*'Q4 Data'!$F$4:$F$207))</f>
      </c>
      <c r="AR34" s="34">
        <f>IF(OR($B34&lt;&gt;"Entry",Z34=""),FALSE,AND((SUMPRODUCT(('Q1 Data'!$D$4:$D$207=D34)*('Q1 Data'!$B$4:$B$207="Challan")*('Q1 Data'!$H$4:$H$207&lt;&gt;""))+SUMPRODUCT(('Q2 Data'!$D$4:$D$207=D34)*('Q2 Data'!$B$4:$B$207="Challan")*('Q2 Data'!$H$4:$H$207&lt;&gt;""))+SUMPRODUCT(('Q3 Data'!$D$4:$D$207=D34)*('Q3 Data'!$B$4:$B$207="Challan")*('Q3 Data'!$H$4:$H$207&lt;&gt;""))+SUMPRODUCT(('Q4 Data'!$D$4:$D$207=D34)*('Q4 Data'!$B$4:$B$207="Challan")*('Q4 Data'!$H$4:$H$207&lt;&gt;"")))&gt;0,(SUMPRODUCT(('Q1 Data'!$D$4:$D$207=D34)*('Q1 Data'!$B$4:$B$207="Challan")*('Q1 Data'!$H$4:$H$207=Z34))+SUMPRODUCT(('Q2 Data'!$D$4:$D$207=D34)*('Q2 Data'!$B$4:$B$207="Challan")*('Q2 Data'!$H$4:$H$207=Z34))+SUMPRODUCT(('Q3 Data'!$D$4:$D$207=D34)*('Q3 Data'!$B$4:$B$207="Challan")*('Q3 Data'!$H$4:$H$207=Z34))+SUMPRODUCT(('Q4 Data'!$D$4:$D$207=D34)*('Q4 Data'!$B$4:$B$207="Challan")*('Q4 Data'!$H$4:$H$207=Z34)))=0))</f>
      </c>
    </row>
    <row r="35" spans="1:44" x14ac:dyDescent="0.25">
      <c r="A35" s="20">
        <f>IF($B35="Entry",COUNTIF($B$4:$B35,"Entry"),"")</f>
      </c>
      <c r="B35" s="21"/>
      <c r="C35" s="22"/>
      <c r="D35" s="22"/>
      <c r="E35" s="23">
        <f>IF($B35&lt;&gt;"Challan","",IF(ROUND(AN35-AO35,2)&gt;0,"Over-applied",IF(ROUND(AN35-AO35,2)=0,"Fully Utilised","Unconsumed")))</f>
      </c>
      <c r="F35" s="24"/>
      <c r="G35" s="25"/>
      <c r="H35" s="25"/>
      <c r="I35" s="26"/>
      <c r="J35" s="26"/>
      <c r="K35" s="26"/>
      <c r="L35" s="26"/>
      <c r="M35" s="26"/>
      <c r="N35" s="26"/>
      <c r="O35" s="26"/>
      <c r="P35" s="27">
        <f>IF($B35&lt;&gt;"Challan","",I35+J35+K35+L35+M35+N35)</f>
      </c>
      <c r="Q35" s="25"/>
      <c r="R35" s="25"/>
      <c r="S35" s="25"/>
      <c r="T35" s="25"/>
      <c r="U35" s="25"/>
      <c r="V35" s="28"/>
      <c r="W35" s="28"/>
      <c r="X35" s="23">
        <f>IF($B35="Entry",IF(AND(LEN(TRIM(UPPER(W35)))=10,CODE(MID(TRIM(UPPER(W35)),1,1))&gt;=65,CODE(MID(TRIM(UPPER(W35)),1,1))&lt;=90,CODE(MID(TRIM(UPPER(W35)),2,1))&gt;=65,CODE(MID(TRIM(UPPER(W35)),2,1))&lt;=90,CODE(MID(TRIM(UPPER(W35)),3,1))&gt;=65,CODE(MID(TRIM(UPPER(W35)),3,1))&lt;=90,CODE(MID(TRIM(UPPER(W35)),4,1))&gt;=65,CODE(MID(TRIM(UPPER(W35)),4,1))&lt;=90,CODE(MID(TRIM(UPPER(W35)),5,1))&gt;=65,CODE(MID(TRIM(UPPER(W35)),5,1))&lt;=90,CODE(MID(TRIM(UPPER(W35)),10,1))&gt;=65,CODE(MID(TRIM(UPPER(W35)),10,1))&lt;=90,CODE(MID(TRIM(UPPER(W35)),6,1))&gt;=48,CODE(MID(TRIM(UPPER(W35)),6,1))&lt;=57,CODE(MID(TRIM(UPPER(W35)),7,1))&gt;=48,CODE(MID(TRIM(UPPER(W35)),7,1))&lt;=57,CODE(MID(TRIM(UPPER(W35)),8,1))&gt;=48,CODE(MID(TRIM(UPPER(W35)),8,1))&lt;=57,CODE(MID(TRIM(UPPER(W35)),9,1))&gt;=48,CODE(MID(TRIM(UPPER(W35)),9,1))&lt;=57),"N","Y"),IF($B35="Challan","",IF(W35&lt;&gt;"","◄ Set Row Type","")))</f>
      </c>
      <c r="Y35" s="23">
        <f>IF($B35="Entry",IF(LEN(W35)&lt;4,"",IF(UPPER(MID(W35,4,1))="P","Individual",IF(UPPER(MID(W35,4,1))="H","HUF",IF(UPPER(MID(W35,4,1))="C","Company",IF(UPPER(MID(W35,4,1))="F","Firm",IF(UPPER(MID(W35,4,1))="L","LLP",IF(UPPER(MID(W35,4,1))="T","Trust",IF(UPPER(MID(W35,4,1))="A","AOP","")))))))),IF($B35="Challan","",IF(W35&lt;&gt;"","◄ Set Row Type","")))</f>
      </c>
      <c r="Z35" s="28"/>
      <c r="AA35" s="29">
        <f>IF($B35&lt;&gt;"Entry","",IF(Z35="","",IF(X35="Y",SUMPRODUCT(('Rate Lookup'!$A$1:$A$37=Z35)*'Rate Lookup'!$D$1:$D$37),IF(OR(Y35="Individual",Y35="HUF"),SUMPRODUCT(('Rate Lookup'!$A$1:$A$37=Z35)*'Rate Lookup'!$B$1:$B$37),SUMPRODUCT(('Rate Lookup'!$A$1:$A$37=Z35)*'Rate Lookup'!$C$1:$C$37)))))</f>
      </c>
      <c r="AB35" s="30"/>
      <c r="AC35" s="31"/>
      <c r="AD35" s="27">
        <f>IF($B35&lt;&gt;"Entry","",ROUND(AC35*AA35/100,0))</f>
      </c>
      <c r="AE35" s="27">
        <f>IF($B35&lt;&gt;"Entry","",0)</f>
      </c>
      <c r="AF35" s="27">
        <f>IF($B35&lt;&gt;"Entry","",0)</f>
      </c>
      <c r="AG35" s="27">
        <f>IF($B35&lt;&gt;"Entry","",IF(OR(AD35=0,AB35="",AQ35="",AQ35&lt;=0),0,IF(AQ35&lt;=DATE(YEAR(AB35),MONTH(AB35)+1,7),0,ROUND(AD35*0.015*((YEAR(AQ35)-YEAR(AB35))*12+(MONTH(AQ35)-MONTH(AB35))+1),0))))</f>
      </c>
      <c r="AH35" s="27">
        <f>IF($B35&lt;&gt;"Entry","",0)</f>
      </c>
      <c r="AI35" s="28"/>
      <c r="AJ35" s="28"/>
      <c r="AK35" s="32"/>
      <c r="AL35" s="28"/>
      <c r="AM35" s="28"/>
      <c r="AN35" s="27">
        <f>IF($B35&lt;&gt;"Challan","",SUMIF('Q1 Data'!$D$4:$D$207,D35,'Q1 Data'!$AD$4:$AD$207)+SUMIF('Q1 Data'!$D$4:$D$207,D35,'Q1 Data'!$AG$4:$AG$207)+SUMIF('Q1 Data'!$D$4:$D$207,D35,'Q1 Data'!$AE$4:$AE$207)+SUMIF('Q2 Data'!$D$4:$D$207,D35,'Q2 Data'!$AD$4:$AD$207)+SUMIF('Q2 Data'!$D$4:$D$207,D35,'Q2 Data'!$AG$4:$AG$207)+SUMIF('Q2 Data'!$D$4:$D$207,D35,'Q2 Data'!$AE$4:$AE$207)+SUMIF('Q3 Data'!$D$4:$D$207,D35,'Q3 Data'!$AD$4:$AD$207)+SUMIF('Q3 Data'!$D$4:$D$207,D35,'Q3 Data'!$AG$4:$AG$207)+SUMIF('Q3 Data'!$D$4:$D$207,D35,'Q3 Data'!$AE$4:$AE$207)+SUMIF('Q4 Data'!$D$4:$D$207,D35,'Q4 Data'!$AD$4:$AD$207)+SUMIF('Q4 Data'!$D$4:$D$207,D35,'Q4 Data'!$AG$4:$AG$207)+SUMIF('Q4 Data'!$D$4:$D$207,D35,'Q4 Data'!$AE$4:$AE$207))</f>
      </c>
      <c r="AO35" s="27">
        <f>IF($B35&lt;&gt;"Challan","",P35-N35)</f>
      </c>
      <c r="AP35" s="27">
        <f>IF($B35&lt;&gt;"Challan","",MAX(0,AO35-AN35))</f>
      </c>
      <c r="AQ35" s="33">
        <f>IF($B35&lt;&gt;"Entry","",SUMPRODUCT(('Q1 Data'!$D$4:$D$207=D35)*('Q1 Data'!$B$4:$B$207="Challan")*'Q1 Data'!$F$4:$F$207)+SUMPRODUCT(('Q2 Data'!$D$4:$D$207=D35)*('Q2 Data'!$B$4:$B$207="Challan")*'Q2 Data'!$F$4:$F$207)+SUMPRODUCT(('Q3 Data'!$D$4:$D$207=D35)*('Q3 Data'!$B$4:$B$207="Challan")*'Q3 Data'!$F$4:$F$207)+SUMPRODUCT(('Q4 Data'!$D$4:$D$207=D35)*('Q4 Data'!$B$4:$B$207="Challan")*'Q4 Data'!$F$4:$F$207))</f>
      </c>
      <c r="AR35" s="34">
        <f>IF(OR($B35&lt;&gt;"Entry",Z35=""),FALSE,AND((SUMPRODUCT(('Q1 Data'!$D$4:$D$207=D35)*('Q1 Data'!$B$4:$B$207="Challan")*('Q1 Data'!$H$4:$H$207&lt;&gt;""))+SUMPRODUCT(('Q2 Data'!$D$4:$D$207=D35)*('Q2 Data'!$B$4:$B$207="Challan")*('Q2 Data'!$H$4:$H$207&lt;&gt;""))+SUMPRODUCT(('Q3 Data'!$D$4:$D$207=D35)*('Q3 Data'!$B$4:$B$207="Challan")*('Q3 Data'!$H$4:$H$207&lt;&gt;""))+SUMPRODUCT(('Q4 Data'!$D$4:$D$207=D35)*('Q4 Data'!$B$4:$B$207="Challan")*('Q4 Data'!$H$4:$H$207&lt;&gt;"")))&gt;0,(SUMPRODUCT(('Q1 Data'!$D$4:$D$207=D35)*('Q1 Data'!$B$4:$B$207="Challan")*('Q1 Data'!$H$4:$H$207=Z35))+SUMPRODUCT(('Q2 Data'!$D$4:$D$207=D35)*('Q2 Data'!$B$4:$B$207="Challan")*('Q2 Data'!$H$4:$H$207=Z35))+SUMPRODUCT(('Q3 Data'!$D$4:$D$207=D35)*('Q3 Data'!$B$4:$B$207="Challan")*('Q3 Data'!$H$4:$H$207=Z35))+SUMPRODUCT(('Q4 Data'!$D$4:$D$207=D35)*('Q4 Data'!$B$4:$B$207="Challan")*('Q4 Data'!$H$4:$H$207=Z35)))=0))</f>
      </c>
    </row>
    <row r="36" spans="1:44" x14ac:dyDescent="0.25">
      <c r="A36" s="20">
        <f>IF($B36="Entry",COUNTIF($B$4:$B36,"Entry"),"")</f>
      </c>
      <c r="B36" s="21"/>
      <c r="C36" s="22"/>
      <c r="D36" s="22"/>
      <c r="E36" s="23">
        <f>IF($B36&lt;&gt;"Challan","",IF(ROUND(AN36-AO36,2)&gt;0,"Over-applied",IF(ROUND(AN36-AO36,2)=0,"Fully Utilised","Unconsumed")))</f>
      </c>
      <c r="F36" s="24"/>
      <c r="G36" s="25"/>
      <c r="H36" s="25"/>
      <c r="I36" s="26"/>
      <c r="J36" s="26"/>
      <c r="K36" s="26"/>
      <c r="L36" s="26"/>
      <c r="M36" s="26"/>
      <c r="N36" s="26"/>
      <c r="O36" s="26"/>
      <c r="P36" s="27">
        <f>IF($B36&lt;&gt;"Challan","",I36+J36+K36+L36+M36+N36)</f>
      </c>
      <c r="Q36" s="25"/>
      <c r="R36" s="25"/>
      <c r="S36" s="25"/>
      <c r="T36" s="25"/>
      <c r="U36" s="25"/>
      <c r="V36" s="28"/>
      <c r="W36" s="28"/>
      <c r="X36" s="23">
        <f>IF($B36="Entry",IF(AND(LEN(TRIM(UPPER(W36)))=10,CODE(MID(TRIM(UPPER(W36)),1,1))&gt;=65,CODE(MID(TRIM(UPPER(W36)),1,1))&lt;=90,CODE(MID(TRIM(UPPER(W36)),2,1))&gt;=65,CODE(MID(TRIM(UPPER(W36)),2,1))&lt;=90,CODE(MID(TRIM(UPPER(W36)),3,1))&gt;=65,CODE(MID(TRIM(UPPER(W36)),3,1))&lt;=90,CODE(MID(TRIM(UPPER(W36)),4,1))&gt;=65,CODE(MID(TRIM(UPPER(W36)),4,1))&lt;=90,CODE(MID(TRIM(UPPER(W36)),5,1))&gt;=65,CODE(MID(TRIM(UPPER(W36)),5,1))&lt;=90,CODE(MID(TRIM(UPPER(W36)),10,1))&gt;=65,CODE(MID(TRIM(UPPER(W36)),10,1))&lt;=90,CODE(MID(TRIM(UPPER(W36)),6,1))&gt;=48,CODE(MID(TRIM(UPPER(W36)),6,1))&lt;=57,CODE(MID(TRIM(UPPER(W36)),7,1))&gt;=48,CODE(MID(TRIM(UPPER(W36)),7,1))&lt;=57,CODE(MID(TRIM(UPPER(W36)),8,1))&gt;=48,CODE(MID(TRIM(UPPER(W36)),8,1))&lt;=57,CODE(MID(TRIM(UPPER(W36)),9,1))&gt;=48,CODE(MID(TRIM(UPPER(W36)),9,1))&lt;=57),"N","Y"),IF($B36="Challan","",IF(W36&lt;&gt;"","◄ Set Row Type","")))</f>
      </c>
      <c r="Y36" s="23">
        <f>IF($B36="Entry",IF(LEN(W36)&lt;4,"",IF(UPPER(MID(W36,4,1))="P","Individual",IF(UPPER(MID(W36,4,1))="H","HUF",IF(UPPER(MID(W36,4,1))="C","Company",IF(UPPER(MID(W36,4,1))="F","Firm",IF(UPPER(MID(W36,4,1))="L","LLP",IF(UPPER(MID(W36,4,1))="T","Trust",IF(UPPER(MID(W36,4,1))="A","AOP","")))))))),IF($B36="Challan","",IF(W36&lt;&gt;"","◄ Set Row Type","")))</f>
      </c>
      <c r="Z36" s="28"/>
      <c r="AA36" s="29">
        <f>IF($B36&lt;&gt;"Entry","",IF(Z36="","",IF(X36="Y",SUMPRODUCT(('Rate Lookup'!$A$1:$A$37=Z36)*'Rate Lookup'!$D$1:$D$37),IF(OR(Y36="Individual",Y36="HUF"),SUMPRODUCT(('Rate Lookup'!$A$1:$A$37=Z36)*'Rate Lookup'!$B$1:$B$37),SUMPRODUCT(('Rate Lookup'!$A$1:$A$37=Z36)*'Rate Lookup'!$C$1:$C$37)))))</f>
      </c>
      <c r="AB36" s="30"/>
      <c r="AC36" s="31"/>
      <c r="AD36" s="27">
        <f>IF($B36&lt;&gt;"Entry","",ROUND(AC36*AA36/100,0))</f>
      </c>
      <c r="AE36" s="27">
        <f>IF($B36&lt;&gt;"Entry","",0)</f>
      </c>
      <c r="AF36" s="27">
        <f>IF($B36&lt;&gt;"Entry","",0)</f>
      </c>
      <c r="AG36" s="27">
        <f>IF($B36&lt;&gt;"Entry","",IF(OR(AD36=0,AB36="",AQ36="",AQ36&lt;=0),0,IF(AQ36&lt;=DATE(YEAR(AB36),MONTH(AB36)+1,7),0,ROUND(AD36*0.015*((YEAR(AQ36)-YEAR(AB36))*12+(MONTH(AQ36)-MONTH(AB36))+1),0))))</f>
      </c>
      <c r="AH36" s="27">
        <f>IF($B36&lt;&gt;"Entry","",0)</f>
      </c>
      <c r="AI36" s="28"/>
      <c r="AJ36" s="28"/>
      <c r="AK36" s="32"/>
      <c r="AL36" s="28"/>
      <c r="AM36" s="28"/>
      <c r="AN36" s="27">
        <f>IF($B36&lt;&gt;"Challan","",SUMIF('Q1 Data'!$D$4:$D$207,D36,'Q1 Data'!$AD$4:$AD$207)+SUMIF('Q1 Data'!$D$4:$D$207,D36,'Q1 Data'!$AG$4:$AG$207)+SUMIF('Q1 Data'!$D$4:$D$207,D36,'Q1 Data'!$AE$4:$AE$207)+SUMIF('Q2 Data'!$D$4:$D$207,D36,'Q2 Data'!$AD$4:$AD$207)+SUMIF('Q2 Data'!$D$4:$D$207,D36,'Q2 Data'!$AG$4:$AG$207)+SUMIF('Q2 Data'!$D$4:$D$207,D36,'Q2 Data'!$AE$4:$AE$207)+SUMIF('Q3 Data'!$D$4:$D$207,D36,'Q3 Data'!$AD$4:$AD$207)+SUMIF('Q3 Data'!$D$4:$D$207,D36,'Q3 Data'!$AG$4:$AG$207)+SUMIF('Q3 Data'!$D$4:$D$207,D36,'Q3 Data'!$AE$4:$AE$207)+SUMIF('Q4 Data'!$D$4:$D$207,D36,'Q4 Data'!$AD$4:$AD$207)+SUMIF('Q4 Data'!$D$4:$D$207,D36,'Q4 Data'!$AG$4:$AG$207)+SUMIF('Q4 Data'!$D$4:$D$207,D36,'Q4 Data'!$AE$4:$AE$207))</f>
      </c>
      <c r="AO36" s="27">
        <f>IF($B36&lt;&gt;"Challan","",P36-N36)</f>
      </c>
      <c r="AP36" s="27">
        <f>IF($B36&lt;&gt;"Challan","",MAX(0,AO36-AN36))</f>
      </c>
      <c r="AQ36" s="33">
        <f>IF($B36&lt;&gt;"Entry","",SUMPRODUCT(('Q1 Data'!$D$4:$D$207=D36)*('Q1 Data'!$B$4:$B$207="Challan")*'Q1 Data'!$F$4:$F$207)+SUMPRODUCT(('Q2 Data'!$D$4:$D$207=D36)*('Q2 Data'!$B$4:$B$207="Challan")*'Q2 Data'!$F$4:$F$207)+SUMPRODUCT(('Q3 Data'!$D$4:$D$207=D36)*('Q3 Data'!$B$4:$B$207="Challan")*'Q3 Data'!$F$4:$F$207)+SUMPRODUCT(('Q4 Data'!$D$4:$D$207=D36)*('Q4 Data'!$B$4:$B$207="Challan")*'Q4 Data'!$F$4:$F$207))</f>
      </c>
      <c r="AR36" s="34">
        <f>IF(OR($B36&lt;&gt;"Entry",Z36=""),FALSE,AND((SUMPRODUCT(('Q1 Data'!$D$4:$D$207=D36)*('Q1 Data'!$B$4:$B$207="Challan")*('Q1 Data'!$H$4:$H$207&lt;&gt;""))+SUMPRODUCT(('Q2 Data'!$D$4:$D$207=D36)*('Q2 Data'!$B$4:$B$207="Challan")*('Q2 Data'!$H$4:$H$207&lt;&gt;""))+SUMPRODUCT(('Q3 Data'!$D$4:$D$207=D36)*('Q3 Data'!$B$4:$B$207="Challan")*('Q3 Data'!$H$4:$H$207&lt;&gt;""))+SUMPRODUCT(('Q4 Data'!$D$4:$D$207=D36)*('Q4 Data'!$B$4:$B$207="Challan")*('Q4 Data'!$H$4:$H$207&lt;&gt;"")))&gt;0,(SUMPRODUCT(('Q1 Data'!$D$4:$D$207=D36)*('Q1 Data'!$B$4:$B$207="Challan")*('Q1 Data'!$H$4:$H$207=Z36))+SUMPRODUCT(('Q2 Data'!$D$4:$D$207=D36)*('Q2 Data'!$B$4:$B$207="Challan")*('Q2 Data'!$H$4:$H$207=Z36))+SUMPRODUCT(('Q3 Data'!$D$4:$D$207=D36)*('Q3 Data'!$B$4:$B$207="Challan")*('Q3 Data'!$H$4:$H$207=Z36))+SUMPRODUCT(('Q4 Data'!$D$4:$D$207=D36)*('Q4 Data'!$B$4:$B$207="Challan")*('Q4 Data'!$H$4:$H$207=Z36)))=0))</f>
      </c>
    </row>
    <row r="37" spans="1:44" x14ac:dyDescent="0.25">
      <c r="A37" s="20">
        <f>IF($B37="Entry",COUNTIF($B$4:$B37,"Entry"),"")</f>
      </c>
      <c r="B37" s="21"/>
      <c r="C37" s="22"/>
      <c r="D37" s="22"/>
      <c r="E37" s="23">
        <f>IF($B37&lt;&gt;"Challan","",IF(ROUND(AN37-AO37,2)&gt;0,"Over-applied",IF(ROUND(AN37-AO37,2)=0,"Fully Utilised","Unconsumed")))</f>
      </c>
      <c r="F37" s="24"/>
      <c r="G37" s="25"/>
      <c r="H37" s="25"/>
      <c r="I37" s="26"/>
      <c r="J37" s="26"/>
      <c r="K37" s="26"/>
      <c r="L37" s="26"/>
      <c r="M37" s="26"/>
      <c r="N37" s="26"/>
      <c r="O37" s="26"/>
      <c r="P37" s="27">
        <f>IF($B37&lt;&gt;"Challan","",I37+J37+K37+L37+M37+N37)</f>
      </c>
      <c r="Q37" s="25"/>
      <c r="R37" s="25"/>
      <c r="S37" s="25"/>
      <c r="T37" s="25"/>
      <c r="U37" s="25"/>
      <c r="V37" s="28"/>
      <c r="W37" s="28"/>
      <c r="X37" s="23">
        <f>IF($B37="Entry",IF(AND(LEN(TRIM(UPPER(W37)))=10,CODE(MID(TRIM(UPPER(W37)),1,1))&gt;=65,CODE(MID(TRIM(UPPER(W37)),1,1))&lt;=90,CODE(MID(TRIM(UPPER(W37)),2,1))&gt;=65,CODE(MID(TRIM(UPPER(W37)),2,1))&lt;=90,CODE(MID(TRIM(UPPER(W37)),3,1))&gt;=65,CODE(MID(TRIM(UPPER(W37)),3,1))&lt;=90,CODE(MID(TRIM(UPPER(W37)),4,1))&gt;=65,CODE(MID(TRIM(UPPER(W37)),4,1))&lt;=90,CODE(MID(TRIM(UPPER(W37)),5,1))&gt;=65,CODE(MID(TRIM(UPPER(W37)),5,1))&lt;=90,CODE(MID(TRIM(UPPER(W37)),10,1))&gt;=65,CODE(MID(TRIM(UPPER(W37)),10,1))&lt;=90,CODE(MID(TRIM(UPPER(W37)),6,1))&gt;=48,CODE(MID(TRIM(UPPER(W37)),6,1))&lt;=57,CODE(MID(TRIM(UPPER(W37)),7,1))&gt;=48,CODE(MID(TRIM(UPPER(W37)),7,1))&lt;=57,CODE(MID(TRIM(UPPER(W37)),8,1))&gt;=48,CODE(MID(TRIM(UPPER(W37)),8,1))&lt;=57,CODE(MID(TRIM(UPPER(W37)),9,1))&gt;=48,CODE(MID(TRIM(UPPER(W37)),9,1))&lt;=57),"N","Y"),IF($B37="Challan","",IF(W37&lt;&gt;"","◄ Set Row Type","")))</f>
      </c>
      <c r="Y37" s="23">
        <f>IF($B37="Entry",IF(LEN(W37)&lt;4,"",IF(UPPER(MID(W37,4,1))="P","Individual",IF(UPPER(MID(W37,4,1))="H","HUF",IF(UPPER(MID(W37,4,1))="C","Company",IF(UPPER(MID(W37,4,1))="F","Firm",IF(UPPER(MID(W37,4,1))="L","LLP",IF(UPPER(MID(W37,4,1))="T","Trust",IF(UPPER(MID(W37,4,1))="A","AOP","")))))))),IF($B37="Challan","",IF(W37&lt;&gt;"","◄ Set Row Type","")))</f>
      </c>
      <c r="Z37" s="28"/>
      <c r="AA37" s="29">
        <f>IF($B37&lt;&gt;"Entry","",IF(Z37="","",IF(X37="Y",SUMPRODUCT(('Rate Lookup'!$A$1:$A$37=Z37)*'Rate Lookup'!$D$1:$D$37),IF(OR(Y37="Individual",Y37="HUF"),SUMPRODUCT(('Rate Lookup'!$A$1:$A$37=Z37)*'Rate Lookup'!$B$1:$B$37),SUMPRODUCT(('Rate Lookup'!$A$1:$A$37=Z37)*'Rate Lookup'!$C$1:$C$37)))))</f>
      </c>
      <c r="AB37" s="30"/>
      <c r="AC37" s="31"/>
      <c r="AD37" s="27">
        <f>IF($B37&lt;&gt;"Entry","",ROUND(AC37*AA37/100,0))</f>
      </c>
      <c r="AE37" s="27">
        <f>IF($B37&lt;&gt;"Entry","",0)</f>
      </c>
      <c r="AF37" s="27">
        <f>IF($B37&lt;&gt;"Entry","",0)</f>
      </c>
      <c r="AG37" s="27">
        <f>IF($B37&lt;&gt;"Entry","",IF(OR(AD37=0,AB37="",AQ37="",AQ37&lt;=0),0,IF(AQ37&lt;=DATE(YEAR(AB37),MONTH(AB37)+1,7),0,ROUND(AD37*0.015*((YEAR(AQ37)-YEAR(AB37))*12+(MONTH(AQ37)-MONTH(AB37))+1),0))))</f>
      </c>
      <c r="AH37" s="27">
        <f>IF($B37&lt;&gt;"Entry","",0)</f>
      </c>
      <c r="AI37" s="28"/>
      <c r="AJ37" s="28"/>
      <c r="AK37" s="32"/>
      <c r="AL37" s="28"/>
      <c r="AM37" s="28"/>
      <c r="AN37" s="27">
        <f>IF($B37&lt;&gt;"Challan","",SUMIF('Q1 Data'!$D$4:$D$207,D37,'Q1 Data'!$AD$4:$AD$207)+SUMIF('Q1 Data'!$D$4:$D$207,D37,'Q1 Data'!$AG$4:$AG$207)+SUMIF('Q1 Data'!$D$4:$D$207,D37,'Q1 Data'!$AE$4:$AE$207)+SUMIF('Q2 Data'!$D$4:$D$207,D37,'Q2 Data'!$AD$4:$AD$207)+SUMIF('Q2 Data'!$D$4:$D$207,D37,'Q2 Data'!$AG$4:$AG$207)+SUMIF('Q2 Data'!$D$4:$D$207,D37,'Q2 Data'!$AE$4:$AE$207)+SUMIF('Q3 Data'!$D$4:$D$207,D37,'Q3 Data'!$AD$4:$AD$207)+SUMIF('Q3 Data'!$D$4:$D$207,D37,'Q3 Data'!$AG$4:$AG$207)+SUMIF('Q3 Data'!$D$4:$D$207,D37,'Q3 Data'!$AE$4:$AE$207)+SUMIF('Q4 Data'!$D$4:$D$207,D37,'Q4 Data'!$AD$4:$AD$207)+SUMIF('Q4 Data'!$D$4:$D$207,D37,'Q4 Data'!$AG$4:$AG$207)+SUMIF('Q4 Data'!$D$4:$D$207,D37,'Q4 Data'!$AE$4:$AE$207))</f>
      </c>
      <c r="AO37" s="27">
        <f>IF($B37&lt;&gt;"Challan","",P37-N37)</f>
      </c>
      <c r="AP37" s="27">
        <f>IF($B37&lt;&gt;"Challan","",MAX(0,AO37-AN37))</f>
      </c>
      <c r="AQ37" s="33">
        <f>IF($B37&lt;&gt;"Entry","",SUMPRODUCT(('Q1 Data'!$D$4:$D$207=D37)*('Q1 Data'!$B$4:$B$207="Challan")*'Q1 Data'!$F$4:$F$207)+SUMPRODUCT(('Q2 Data'!$D$4:$D$207=D37)*('Q2 Data'!$B$4:$B$207="Challan")*'Q2 Data'!$F$4:$F$207)+SUMPRODUCT(('Q3 Data'!$D$4:$D$207=D37)*('Q3 Data'!$B$4:$B$207="Challan")*'Q3 Data'!$F$4:$F$207)+SUMPRODUCT(('Q4 Data'!$D$4:$D$207=D37)*('Q4 Data'!$B$4:$B$207="Challan")*'Q4 Data'!$F$4:$F$207))</f>
      </c>
      <c r="AR37" s="34">
        <f>IF(OR($B37&lt;&gt;"Entry",Z37=""),FALSE,AND((SUMPRODUCT(('Q1 Data'!$D$4:$D$207=D37)*('Q1 Data'!$B$4:$B$207="Challan")*('Q1 Data'!$H$4:$H$207&lt;&gt;""))+SUMPRODUCT(('Q2 Data'!$D$4:$D$207=D37)*('Q2 Data'!$B$4:$B$207="Challan")*('Q2 Data'!$H$4:$H$207&lt;&gt;""))+SUMPRODUCT(('Q3 Data'!$D$4:$D$207=D37)*('Q3 Data'!$B$4:$B$207="Challan")*('Q3 Data'!$H$4:$H$207&lt;&gt;""))+SUMPRODUCT(('Q4 Data'!$D$4:$D$207=D37)*('Q4 Data'!$B$4:$B$207="Challan")*('Q4 Data'!$H$4:$H$207&lt;&gt;"")))&gt;0,(SUMPRODUCT(('Q1 Data'!$D$4:$D$207=D37)*('Q1 Data'!$B$4:$B$207="Challan")*('Q1 Data'!$H$4:$H$207=Z37))+SUMPRODUCT(('Q2 Data'!$D$4:$D$207=D37)*('Q2 Data'!$B$4:$B$207="Challan")*('Q2 Data'!$H$4:$H$207=Z37))+SUMPRODUCT(('Q3 Data'!$D$4:$D$207=D37)*('Q3 Data'!$B$4:$B$207="Challan")*('Q3 Data'!$H$4:$H$207=Z37))+SUMPRODUCT(('Q4 Data'!$D$4:$D$207=D37)*('Q4 Data'!$B$4:$B$207="Challan")*('Q4 Data'!$H$4:$H$207=Z37)))=0))</f>
      </c>
    </row>
    <row r="38" spans="1:44" x14ac:dyDescent="0.25">
      <c r="A38" s="20">
        <f>IF($B38="Entry",COUNTIF($B$4:$B38,"Entry"),"")</f>
      </c>
      <c r="B38" s="21"/>
      <c r="C38" s="22"/>
      <c r="D38" s="22"/>
      <c r="E38" s="23">
        <f>IF($B38&lt;&gt;"Challan","",IF(ROUND(AN38-AO38,2)&gt;0,"Over-applied",IF(ROUND(AN38-AO38,2)=0,"Fully Utilised","Unconsumed")))</f>
      </c>
      <c r="F38" s="24"/>
      <c r="G38" s="25"/>
      <c r="H38" s="25"/>
      <c r="I38" s="26"/>
      <c r="J38" s="26"/>
      <c r="K38" s="26"/>
      <c r="L38" s="26"/>
      <c r="M38" s="26"/>
      <c r="N38" s="26"/>
      <c r="O38" s="26"/>
      <c r="P38" s="27">
        <f>IF($B38&lt;&gt;"Challan","",I38+J38+K38+L38+M38+N38)</f>
      </c>
      <c r="Q38" s="25"/>
      <c r="R38" s="25"/>
      <c r="S38" s="25"/>
      <c r="T38" s="25"/>
      <c r="U38" s="25"/>
      <c r="V38" s="28"/>
      <c r="W38" s="28"/>
      <c r="X38" s="23">
        <f>IF($B38="Entry",IF(AND(LEN(TRIM(UPPER(W38)))=10,CODE(MID(TRIM(UPPER(W38)),1,1))&gt;=65,CODE(MID(TRIM(UPPER(W38)),1,1))&lt;=90,CODE(MID(TRIM(UPPER(W38)),2,1))&gt;=65,CODE(MID(TRIM(UPPER(W38)),2,1))&lt;=90,CODE(MID(TRIM(UPPER(W38)),3,1))&gt;=65,CODE(MID(TRIM(UPPER(W38)),3,1))&lt;=90,CODE(MID(TRIM(UPPER(W38)),4,1))&gt;=65,CODE(MID(TRIM(UPPER(W38)),4,1))&lt;=90,CODE(MID(TRIM(UPPER(W38)),5,1))&gt;=65,CODE(MID(TRIM(UPPER(W38)),5,1))&lt;=90,CODE(MID(TRIM(UPPER(W38)),10,1))&gt;=65,CODE(MID(TRIM(UPPER(W38)),10,1))&lt;=90,CODE(MID(TRIM(UPPER(W38)),6,1))&gt;=48,CODE(MID(TRIM(UPPER(W38)),6,1))&lt;=57,CODE(MID(TRIM(UPPER(W38)),7,1))&gt;=48,CODE(MID(TRIM(UPPER(W38)),7,1))&lt;=57,CODE(MID(TRIM(UPPER(W38)),8,1))&gt;=48,CODE(MID(TRIM(UPPER(W38)),8,1))&lt;=57,CODE(MID(TRIM(UPPER(W38)),9,1))&gt;=48,CODE(MID(TRIM(UPPER(W38)),9,1))&lt;=57),"N","Y"),IF($B38="Challan","",IF(W38&lt;&gt;"","◄ Set Row Type","")))</f>
      </c>
      <c r="Y38" s="23">
        <f>IF($B38="Entry",IF(LEN(W38)&lt;4,"",IF(UPPER(MID(W38,4,1))="P","Individual",IF(UPPER(MID(W38,4,1))="H","HUF",IF(UPPER(MID(W38,4,1))="C","Company",IF(UPPER(MID(W38,4,1))="F","Firm",IF(UPPER(MID(W38,4,1))="L","LLP",IF(UPPER(MID(W38,4,1))="T","Trust",IF(UPPER(MID(W38,4,1))="A","AOP","")))))))),IF($B38="Challan","",IF(W38&lt;&gt;"","◄ Set Row Type","")))</f>
      </c>
      <c r="Z38" s="28"/>
      <c r="AA38" s="29">
        <f>IF($B38&lt;&gt;"Entry","",IF(Z38="","",IF(X38="Y",SUMPRODUCT(('Rate Lookup'!$A$1:$A$37=Z38)*'Rate Lookup'!$D$1:$D$37),IF(OR(Y38="Individual",Y38="HUF"),SUMPRODUCT(('Rate Lookup'!$A$1:$A$37=Z38)*'Rate Lookup'!$B$1:$B$37),SUMPRODUCT(('Rate Lookup'!$A$1:$A$37=Z38)*'Rate Lookup'!$C$1:$C$37)))))</f>
      </c>
      <c r="AB38" s="30"/>
      <c r="AC38" s="31"/>
      <c r="AD38" s="27">
        <f>IF($B38&lt;&gt;"Entry","",ROUND(AC38*AA38/100,0))</f>
      </c>
      <c r="AE38" s="27">
        <f>IF($B38&lt;&gt;"Entry","",0)</f>
      </c>
      <c r="AF38" s="27">
        <f>IF($B38&lt;&gt;"Entry","",0)</f>
      </c>
      <c r="AG38" s="27">
        <f>IF($B38&lt;&gt;"Entry","",IF(OR(AD38=0,AB38="",AQ38="",AQ38&lt;=0),0,IF(AQ38&lt;=DATE(YEAR(AB38),MONTH(AB38)+1,7),0,ROUND(AD38*0.015*((YEAR(AQ38)-YEAR(AB38))*12+(MONTH(AQ38)-MONTH(AB38))+1),0))))</f>
      </c>
      <c r="AH38" s="27">
        <f>IF($B38&lt;&gt;"Entry","",0)</f>
      </c>
      <c r="AI38" s="28"/>
      <c r="AJ38" s="28"/>
      <c r="AK38" s="32"/>
      <c r="AL38" s="28"/>
      <c r="AM38" s="28"/>
      <c r="AN38" s="27">
        <f>IF($B38&lt;&gt;"Challan","",SUMIF('Q1 Data'!$D$4:$D$207,D38,'Q1 Data'!$AD$4:$AD$207)+SUMIF('Q1 Data'!$D$4:$D$207,D38,'Q1 Data'!$AG$4:$AG$207)+SUMIF('Q1 Data'!$D$4:$D$207,D38,'Q1 Data'!$AE$4:$AE$207)+SUMIF('Q2 Data'!$D$4:$D$207,D38,'Q2 Data'!$AD$4:$AD$207)+SUMIF('Q2 Data'!$D$4:$D$207,D38,'Q2 Data'!$AG$4:$AG$207)+SUMIF('Q2 Data'!$D$4:$D$207,D38,'Q2 Data'!$AE$4:$AE$207)+SUMIF('Q3 Data'!$D$4:$D$207,D38,'Q3 Data'!$AD$4:$AD$207)+SUMIF('Q3 Data'!$D$4:$D$207,D38,'Q3 Data'!$AG$4:$AG$207)+SUMIF('Q3 Data'!$D$4:$D$207,D38,'Q3 Data'!$AE$4:$AE$207)+SUMIF('Q4 Data'!$D$4:$D$207,D38,'Q4 Data'!$AD$4:$AD$207)+SUMIF('Q4 Data'!$D$4:$D$207,D38,'Q4 Data'!$AG$4:$AG$207)+SUMIF('Q4 Data'!$D$4:$D$207,D38,'Q4 Data'!$AE$4:$AE$207))</f>
      </c>
      <c r="AO38" s="27">
        <f>IF($B38&lt;&gt;"Challan","",P38-N38)</f>
      </c>
      <c r="AP38" s="27">
        <f>IF($B38&lt;&gt;"Challan","",MAX(0,AO38-AN38))</f>
      </c>
      <c r="AQ38" s="33">
        <f>IF($B38&lt;&gt;"Entry","",SUMPRODUCT(('Q1 Data'!$D$4:$D$207=D38)*('Q1 Data'!$B$4:$B$207="Challan")*'Q1 Data'!$F$4:$F$207)+SUMPRODUCT(('Q2 Data'!$D$4:$D$207=D38)*('Q2 Data'!$B$4:$B$207="Challan")*'Q2 Data'!$F$4:$F$207)+SUMPRODUCT(('Q3 Data'!$D$4:$D$207=D38)*('Q3 Data'!$B$4:$B$207="Challan")*'Q3 Data'!$F$4:$F$207)+SUMPRODUCT(('Q4 Data'!$D$4:$D$207=D38)*('Q4 Data'!$B$4:$B$207="Challan")*'Q4 Data'!$F$4:$F$207))</f>
      </c>
      <c r="AR38" s="34">
        <f>IF(OR($B38&lt;&gt;"Entry",Z38=""),FALSE,AND((SUMPRODUCT(('Q1 Data'!$D$4:$D$207=D38)*('Q1 Data'!$B$4:$B$207="Challan")*('Q1 Data'!$H$4:$H$207&lt;&gt;""))+SUMPRODUCT(('Q2 Data'!$D$4:$D$207=D38)*('Q2 Data'!$B$4:$B$207="Challan")*('Q2 Data'!$H$4:$H$207&lt;&gt;""))+SUMPRODUCT(('Q3 Data'!$D$4:$D$207=D38)*('Q3 Data'!$B$4:$B$207="Challan")*('Q3 Data'!$H$4:$H$207&lt;&gt;""))+SUMPRODUCT(('Q4 Data'!$D$4:$D$207=D38)*('Q4 Data'!$B$4:$B$207="Challan")*('Q4 Data'!$H$4:$H$207&lt;&gt;"")))&gt;0,(SUMPRODUCT(('Q1 Data'!$D$4:$D$207=D38)*('Q1 Data'!$B$4:$B$207="Challan")*('Q1 Data'!$H$4:$H$207=Z38))+SUMPRODUCT(('Q2 Data'!$D$4:$D$207=D38)*('Q2 Data'!$B$4:$B$207="Challan")*('Q2 Data'!$H$4:$H$207=Z38))+SUMPRODUCT(('Q3 Data'!$D$4:$D$207=D38)*('Q3 Data'!$B$4:$B$207="Challan")*('Q3 Data'!$H$4:$H$207=Z38))+SUMPRODUCT(('Q4 Data'!$D$4:$D$207=D38)*('Q4 Data'!$B$4:$B$207="Challan")*('Q4 Data'!$H$4:$H$207=Z38)))=0))</f>
      </c>
    </row>
    <row r="39" spans="1:44" x14ac:dyDescent="0.25">
      <c r="A39" s="20">
        <f>IF($B39="Entry",COUNTIF($B$4:$B39,"Entry"),"")</f>
      </c>
      <c r="B39" s="21"/>
      <c r="C39" s="22"/>
      <c r="D39" s="22"/>
      <c r="E39" s="23">
        <f>IF($B39&lt;&gt;"Challan","",IF(ROUND(AN39-AO39,2)&gt;0,"Over-applied",IF(ROUND(AN39-AO39,2)=0,"Fully Utilised","Unconsumed")))</f>
      </c>
      <c r="F39" s="24"/>
      <c r="G39" s="25"/>
      <c r="H39" s="25"/>
      <c r="I39" s="26"/>
      <c r="J39" s="26"/>
      <c r="K39" s="26"/>
      <c r="L39" s="26"/>
      <c r="M39" s="26"/>
      <c r="N39" s="26"/>
      <c r="O39" s="26"/>
      <c r="P39" s="27">
        <f>IF($B39&lt;&gt;"Challan","",I39+J39+K39+L39+M39+N39)</f>
      </c>
      <c r="Q39" s="25"/>
      <c r="R39" s="25"/>
      <c r="S39" s="25"/>
      <c r="T39" s="25"/>
      <c r="U39" s="25"/>
      <c r="V39" s="28"/>
      <c r="W39" s="28"/>
      <c r="X39" s="23">
        <f>IF($B39="Entry",IF(AND(LEN(TRIM(UPPER(W39)))=10,CODE(MID(TRIM(UPPER(W39)),1,1))&gt;=65,CODE(MID(TRIM(UPPER(W39)),1,1))&lt;=90,CODE(MID(TRIM(UPPER(W39)),2,1))&gt;=65,CODE(MID(TRIM(UPPER(W39)),2,1))&lt;=90,CODE(MID(TRIM(UPPER(W39)),3,1))&gt;=65,CODE(MID(TRIM(UPPER(W39)),3,1))&lt;=90,CODE(MID(TRIM(UPPER(W39)),4,1))&gt;=65,CODE(MID(TRIM(UPPER(W39)),4,1))&lt;=90,CODE(MID(TRIM(UPPER(W39)),5,1))&gt;=65,CODE(MID(TRIM(UPPER(W39)),5,1))&lt;=90,CODE(MID(TRIM(UPPER(W39)),10,1))&gt;=65,CODE(MID(TRIM(UPPER(W39)),10,1))&lt;=90,CODE(MID(TRIM(UPPER(W39)),6,1))&gt;=48,CODE(MID(TRIM(UPPER(W39)),6,1))&lt;=57,CODE(MID(TRIM(UPPER(W39)),7,1))&gt;=48,CODE(MID(TRIM(UPPER(W39)),7,1))&lt;=57,CODE(MID(TRIM(UPPER(W39)),8,1))&gt;=48,CODE(MID(TRIM(UPPER(W39)),8,1))&lt;=57,CODE(MID(TRIM(UPPER(W39)),9,1))&gt;=48,CODE(MID(TRIM(UPPER(W39)),9,1))&lt;=57),"N","Y"),IF($B39="Challan","",IF(W39&lt;&gt;"","◄ Set Row Type","")))</f>
      </c>
      <c r="Y39" s="23">
        <f>IF($B39="Entry",IF(LEN(W39)&lt;4,"",IF(UPPER(MID(W39,4,1))="P","Individual",IF(UPPER(MID(W39,4,1))="H","HUF",IF(UPPER(MID(W39,4,1))="C","Company",IF(UPPER(MID(W39,4,1))="F","Firm",IF(UPPER(MID(W39,4,1))="L","LLP",IF(UPPER(MID(W39,4,1))="T","Trust",IF(UPPER(MID(W39,4,1))="A","AOP","")))))))),IF($B39="Challan","",IF(W39&lt;&gt;"","◄ Set Row Type","")))</f>
      </c>
      <c r="Z39" s="28"/>
      <c r="AA39" s="29">
        <f>IF($B39&lt;&gt;"Entry","",IF(Z39="","",IF(X39="Y",SUMPRODUCT(('Rate Lookup'!$A$1:$A$37=Z39)*'Rate Lookup'!$D$1:$D$37),IF(OR(Y39="Individual",Y39="HUF"),SUMPRODUCT(('Rate Lookup'!$A$1:$A$37=Z39)*'Rate Lookup'!$B$1:$B$37),SUMPRODUCT(('Rate Lookup'!$A$1:$A$37=Z39)*'Rate Lookup'!$C$1:$C$37)))))</f>
      </c>
      <c r="AB39" s="30"/>
      <c r="AC39" s="31"/>
      <c r="AD39" s="27">
        <f>IF($B39&lt;&gt;"Entry","",ROUND(AC39*AA39/100,0))</f>
      </c>
      <c r="AE39" s="27">
        <f>IF($B39&lt;&gt;"Entry","",0)</f>
      </c>
      <c r="AF39" s="27">
        <f>IF($B39&lt;&gt;"Entry","",0)</f>
      </c>
      <c r="AG39" s="27">
        <f>IF($B39&lt;&gt;"Entry","",IF(OR(AD39=0,AB39="",AQ39="",AQ39&lt;=0),0,IF(AQ39&lt;=DATE(YEAR(AB39),MONTH(AB39)+1,7),0,ROUND(AD39*0.015*((YEAR(AQ39)-YEAR(AB39))*12+(MONTH(AQ39)-MONTH(AB39))+1),0))))</f>
      </c>
      <c r="AH39" s="27">
        <f>IF($B39&lt;&gt;"Entry","",0)</f>
      </c>
      <c r="AI39" s="28"/>
      <c r="AJ39" s="28"/>
      <c r="AK39" s="32"/>
      <c r="AL39" s="28"/>
      <c r="AM39" s="28"/>
      <c r="AN39" s="27">
        <f>IF($B39&lt;&gt;"Challan","",SUMIF('Q1 Data'!$D$4:$D$207,D39,'Q1 Data'!$AD$4:$AD$207)+SUMIF('Q1 Data'!$D$4:$D$207,D39,'Q1 Data'!$AG$4:$AG$207)+SUMIF('Q1 Data'!$D$4:$D$207,D39,'Q1 Data'!$AE$4:$AE$207)+SUMIF('Q2 Data'!$D$4:$D$207,D39,'Q2 Data'!$AD$4:$AD$207)+SUMIF('Q2 Data'!$D$4:$D$207,D39,'Q2 Data'!$AG$4:$AG$207)+SUMIF('Q2 Data'!$D$4:$D$207,D39,'Q2 Data'!$AE$4:$AE$207)+SUMIF('Q3 Data'!$D$4:$D$207,D39,'Q3 Data'!$AD$4:$AD$207)+SUMIF('Q3 Data'!$D$4:$D$207,D39,'Q3 Data'!$AG$4:$AG$207)+SUMIF('Q3 Data'!$D$4:$D$207,D39,'Q3 Data'!$AE$4:$AE$207)+SUMIF('Q4 Data'!$D$4:$D$207,D39,'Q4 Data'!$AD$4:$AD$207)+SUMIF('Q4 Data'!$D$4:$D$207,D39,'Q4 Data'!$AG$4:$AG$207)+SUMIF('Q4 Data'!$D$4:$D$207,D39,'Q4 Data'!$AE$4:$AE$207))</f>
      </c>
      <c r="AO39" s="27">
        <f>IF($B39&lt;&gt;"Challan","",P39-N39)</f>
      </c>
      <c r="AP39" s="27">
        <f>IF($B39&lt;&gt;"Challan","",MAX(0,AO39-AN39))</f>
      </c>
      <c r="AQ39" s="33">
        <f>IF($B39&lt;&gt;"Entry","",SUMPRODUCT(('Q1 Data'!$D$4:$D$207=D39)*('Q1 Data'!$B$4:$B$207="Challan")*'Q1 Data'!$F$4:$F$207)+SUMPRODUCT(('Q2 Data'!$D$4:$D$207=D39)*('Q2 Data'!$B$4:$B$207="Challan")*'Q2 Data'!$F$4:$F$207)+SUMPRODUCT(('Q3 Data'!$D$4:$D$207=D39)*('Q3 Data'!$B$4:$B$207="Challan")*'Q3 Data'!$F$4:$F$207)+SUMPRODUCT(('Q4 Data'!$D$4:$D$207=D39)*('Q4 Data'!$B$4:$B$207="Challan")*'Q4 Data'!$F$4:$F$207))</f>
      </c>
      <c r="AR39" s="34">
        <f>IF(OR($B39&lt;&gt;"Entry",Z39=""),FALSE,AND((SUMPRODUCT(('Q1 Data'!$D$4:$D$207=D39)*('Q1 Data'!$B$4:$B$207="Challan")*('Q1 Data'!$H$4:$H$207&lt;&gt;""))+SUMPRODUCT(('Q2 Data'!$D$4:$D$207=D39)*('Q2 Data'!$B$4:$B$207="Challan")*('Q2 Data'!$H$4:$H$207&lt;&gt;""))+SUMPRODUCT(('Q3 Data'!$D$4:$D$207=D39)*('Q3 Data'!$B$4:$B$207="Challan")*('Q3 Data'!$H$4:$H$207&lt;&gt;""))+SUMPRODUCT(('Q4 Data'!$D$4:$D$207=D39)*('Q4 Data'!$B$4:$B$207="Challan")*('Q4 Data'!$H$4:$H$207&lt;&gt;"")))&gt;0,(SUMPRODUCT(('Q1 Data'!$D$4:$D$207=D39)*('Q1 Data'!$B$4:$B$207="Challan")*('Q1 Data'!$H$4:$H$207=Z39))+SUMPRODUCT(('Q2 Data'!$D$4:$D$207=D39)*('Q2 Data'!$B$4:$B$207="Challan")*('Q2 Data'!$H$4:$H$207=Z39))+SUMPRODUCT(('Q3 Data'!$D$4:$D$207=D39)*('Q3 Data'!$B$4:$B$207="Challan")*('Q3 Data'!$H$4:$H$207=Z39))+SUMPRODUCT(('Q4 Data'!$D$4:$D$207=D39)*('Q4 Data'!$B$4:$B$207="Challan")*('Q4 Data'!$H$4:$H$207=Z39)))=0))</f>
      </c>
    </row>
    <row r="40" spans="1:44" x14ac:dyDescent="0.25">
      <c r="A40" s="20">
        <f>IF($B40="Entry",COUNTIF($B$4:$B40,"Entry"),"")</f>
      </c>
      <c r="B40" s="21"/>
      <c r="C40" s="22"/>
      <c r="D40" s="22"/>
      <c r="E40" s="23">
        <f>IF($B40&lt;&gt;"Challan","",IF(ROUND(AN40-AO40,2)&gt;0,"Over-applied",IF(ROUND(AN40-AO40,2)=0,"Fully Utilised","Unconsumed")))</f>
      </c>
      <c r="F40" s="24"/>
      <c r="G40" s="25"/>
      <c r="H40" s="25"/>
      <c r="I40" s="26"/>
      <c r="J40" s="26"/>
      <c r="K40" s="26"/>
      <c r="L40" s="26"/>
      <c r="M40" s="26"/>
      <c r="N40" s="26"/>
      <c r="O40" s="26"/>
      <c r="P40" s="27">
        <f>IF($B40&lt;&gt;"Challan","",I40+J40+K40+L40+M40+N40)</f>
      </c>
      <c r="Q40" s="25"/>
      <c r="R40" s="25"/>
      <c r="S40" s="25"/>
      <c r="T40" s="25"/>
      <c r="U40" s="25"/>
      <c r="V40" s="28"/>
      <c r="W40" s="28"/>
      <c r="X40" s="23">
        <f>IF($B40="Entry",IF(AND(LEN(TRIM(UPPER(W40)))=10,CODE(MID(TRIM(UPPER(W40)),1,1))&gt;=65,CODE(MID(TRIM(UPPER(W40)),1,1))&lt;=90,CODE(MID(TRIM(UPPER(W40)),2,1))&gt;=65,CODE(MID(TRIM(UPPER(W40)),2,1))&lt;=90,CODE(MID(TRIM(UPPER(W40)),3,1))&gt;=65,CODE(MID(TRIM(UPPER(W40)),3,1))&lt;=90,CODE(MID(TRIM(UPPER(W40)),4,1))&gt;=65,CODE(MID(TRIM(UPPER(W40)),4,1))&lt;=90,CODE(MID(TRIM(UPPER(W40)),5,1))&gt;=65,CODE(MID(TRIM(UPPER(W40)),5,1))&lt;=90,CODE(MID(TRIM(UPPER(W40)),10,1))&gt;=65,CODE(MID(TRIM(UPPER(W40)),10,1))&lt;=90,CODE(MID(TRIM(UPPER(W40)),6,1))&gt;=48,CODE(MID(TRIM(UPPER(W40)),6,1))&lt;=57,CODE(MID(TRIM(UPPER(W40)),7,1))&gt;=48,CODE(MID(TRIM(UPPER(W40)),7,1))&lt;=57,CODE(MID(TRIM(UPPER(W40)),8,1))&gt;=48,CODE(MID(TRIM(UPPER(W40)),8,1))&lt;=57,CODE(MID(TRIM(UPPER(W40)),9,1))&gt;=48,CODE(MID(TRIM(UPPER(W40)),9,1))&lt;=57),"N","Y"),IF($B40="Challan","",IF(W40&lt;&gt;"","◄ Set Row Type","")))</f>
      </c>
      <c r="Y40" s="23">
        <f>IF($B40="Entry",IF(LEN(W40)&lt;4,"",IF(UPPER(MID(W40,4,1))="P","Individual",IF(UPPER(MID(W40,4,1))="H","HUF",IF(UPPER(MID(W40,4,1))="C","Company",IF(UPPER(MID(W40,4,1))="F","Firm",IF(UPPER(MID(W40,4,1))="L","LLP",IF(UPPER(MID(W40,4,1))="T","Trust",IF(UPPER(MID(W40,4,1))="A","AOP","")))))))),IF($B40="Challan","",IF(W40&lt;&gt;"","◄ Set Row Type","")))</f>
      </c>
      <c r="Z40" s="28"/>
      <c r="AA40" s="29">
        <f>IF($B40&lt;&gt;"Entry","",IF(Z40="","",IF(X40="Y",SUMPRODUCT(('Rate Lookup'!$A$1:$A$37=Z40)*'Rate Lookup'!$D$1:$D$37),IF(OR(Y40="Individual",Y40="HUF"),SUMPRODUCT(('Rate Lookup'!$A$1:$A$37=Z40)*'Rate Lookup'!$B$1:$B$37),SUMPRODUCT(('Rate Lookup'!$A$1:$A$37=Z40)*'Rate Lookup'!$C$1:$C$37)))))</f>
      </c>
      <c r="AB40" s="30"/>
      <c r="AC40" s="31"/>
      <c r="AD40" s="27">
        <f>IF($B40&lt;&gt;"Entry","",ROUND(AC40*AA40/100,0))</f>
      </c>
      <c r="AE40" s="27">
        <f>IF($B40&lt;&gt;"Entry","",0)</f>
      </c>
      <c r="AF40" s="27">
        <f>IF($B40&lt;&gt;"Entry","",0)</f>
      </c>
      <c r="AG40" s="27">
        <f>IF($B40&lt;&gt;"Entry","",IF(OR(AD40=0,AB40="",AQ40="",AQ40&lt;=0),0,IF(AQ40&lt;=DATE(YEAR(AB40),MONTH(AB40)+1,7),0,ROUND(AD40*0.015*((YEAR(AQ40)-YEAR(AB40))*12+(MONTH(AQ40)-MONTH(AB40))+1),0))))</f>
      </c>
      <c r="AH40" s="27">
        <f>IF($B40&lt;&gt;"Entry","",0)</f>
      </c>
      <c r="AI40" s="28"/>
      <c r="AJ40" s="28"/>
      <c r="AK40" s="32"/>
      <c r="AL40" s="28"/>
      <c r="AM40" s="28"/>
      <c r="AN40" s="27">
        <f>IF($B40&lt;&gt;"Challan","",SUMIF('Q1 Data'!$D$4:$D$207,D40,'Q1 Data'!$AD$4:$AD$207)+SUMIF('Q1 Data'!$D$4:$D$207,D40,'Q1 Data'!$AG$4:$AG$207)+SUMIF('Q1 Data'!$D$4:$D$207,D40,'Q1 Data'!$AE$4:$AE$207)+SUMIF('Q2 Data'!$D$4:$D$207,D40,'Q2 Data'!$AD$4:$AD$207)+SUMIF('Q2 Data'!$D$4:$D$207,D40,'Q2 Data'!$AG$4:$AG$207)+SUMIF('Q2 Data'!$D$4:$D$207,D40,'Q2 Data'!$AE$4:$AE$207)+SUMIF('Q3 Data'!$D$4:$D$207,D40,'Q3 Data'!$AD$4:$AD$207)+SUMIF('Q3 Data'!$D$4:$D$207,D40,'Q3 Data'!$AG$4:$AG$207)+SUMIF('Q3 Data'!$D$4:$D$207,D40,'Q3 Data'!$AE$4:$AE$207)+SUMIF('Q4 Data'!$D$4:$D$207,D40,'Q4 Data'!$AD$4:$AD$207)+SUMIF('Q4 Data'!$D$4:$D$207,D40,'Q4 Data'!$AG$4:$AG$207)+SUMIF('Q4 Data'!$D$4:$D$207,D40,'Q4 Data'!$AE$4:$AE$207))</f>
      </c>
      <c r="AO40" s="27">
        <f>IF($B40&lt;&gt;"Challan","",P40-N40)</f>
      </c>
      <c r="AP40" s="27">
        <f>IF($B40&lt;&gt;"Challan","",MAX(0,AO40-AN40))</f>
      </c>
      <c r="AQ40" s="33">
        <f>IF($B40&lt;&gt;"Entry","",SUMPRODUCT(('Q1 Data'!$D$4:$D$207=D40)*('Q1 Data'!$B$4:$B$207="Challan")*'Q1 Data'!$F$4:$F$207)+SUMPRODUCT(('Q2 Data'!$D$4:$D$207=D40)*('Q2 Data'!$B$4:$B$207="Challan")*'Q2 Data'!$F$4:$F$207)+SUMPRODUCT(('Q3 Data'!$D$4:$D$207=D40)*('Q3 Data'!$B$4:$B$207="Challan")*'Q3 Data'!$F$4:$F$207)+SUMPRODUCT(('Q4 Data'!$D$4:$D$207=D40)*('Q4 Data'!$B$4:$B$207="Challan")*'Q4 Data'!$F$4:$F$207))</f>
      </c>
      <c r="AR40" s="34">
        <f>IF(OR($B40&lt;&gt;"Entry",Z40=""),FALSE,AND((SUMPRODUCT(('Q1 Data'!$D$4:$D$207=D40)*('Q1 Data'!$B$4:$B$207="Challan")*('Q1 Data'!$H$4:$H$207&lt;&gt;""))+SUMPRODUCT(('Q2 Data'!$D$4:$D$207=D40)*('Q2 Data'!$B$4:$B$207="Challan")*('Q2 Data'!$H$4:$H$207&lt;&gt;""))+SUMPRODUCT(('Q3 Data'!$D$4:$D$207=D40)*('Q3 Data'!$B$4:$B$207="Challan")*('Q3 Data'!$H$4:$H$207&lt;&gt;""))+SUMPRODUCT(('Q4 Data'!$D$4:$D$207=D40)*('Q4 Data'!$B$4:$B$207="Challan")*('Q4 Data'!$H$4:$H$207&lt;&gt;"")))&gt;0,(SUMPRODUCT(('Q1 Data'!$D$4:$D$207=D40)*('Q1 Data'!$B$4:$B$207="Challan")*('Q1 Data'!$H$4:$H$207=Z40))+SUMPRODUCT(('Q2 Data'!$D$4:$D$207=D40)*('Q2 Data'!$B$4:$B$207="Challan")*('Q2 Data'!$H$4:$H$207=Z40))+SUMPRODUCT(('Q3 Data'!$D$4:$D$207=D40)*('Q3 Data'!$B$4:$B$207="Challan")*('Q3 Data'!$H$4:$H$207=Z40))+SUMPRODUCT(('Q4 Data'!$D$4:$D$207=D40)*('Q4 Data'!$B$4:$B$207="Challan")*('Q4 Data'!$H$4:$H$207=Z40)))=0))</f>
      </c>
    </row>
    <row r="41" spans="1:44" x14ac:dyDescent="0.25">
      <c r="A41" s="20">
        <f>IF($B41="Entry",COUNTIF($B$4:$B41,"Entry"),"")</f>
      </c>
      <c r="B41" s="21"/>
      <c r="C41" s="22"/>
      <c r="D41" s="22"/>
      <c r="E41" s="23">
        <f>IF($B41&lt;&gt;"Challan","",IF(ROUND(AN41-AO41,2)&gt;0,"Over-applied",IF(ROUND(AN41-AO41,2)=0,"Fully Utilised","Unconsumed")))</f>
      </c>
      <c r="F41" s="24"/>
      <c r="G41" s="25"/>
      <c r="H41" s="25"/>
      <c r="I41" s="26"/>
      <c r="J41" s="26"/>
      <c r="K41" s="26"/>
      <c r="L41" s="26"/>
      <c r="M41" s="26"/>
      <c r="N41" s="26"/>
      <c r="O41" s="26"/>
      <c r="P41" s="27">
        <f>IF($B41&lt;&gt;"Challan","",I41+J41+K41+L41+M41+N41)</f>
      </c>
      <c r="Q41" s="25"/>
      <c r="R41" s="25"/>
      <c r="S41" s="25"/>
      <c r="T41" s="25"/>
      <c r="U41" s="25"/>
      <c r="V41" s="28"/>
      <c r="W41" s="28"/>
      <c r="X41" s="23">
        <f>IF($B41="Entry",IF(AND(LEN(TRIM(UPPER(W41)))=10,CODE(MID(TRIM(UPPER(W41)),1,1))&gt;=65,CODE(MID(TRIM(UPPER(W41)),1,1))&lt;=90,CODE(MID(TRIM(UPPER(W41)),2,1))&gt;=65,CODE(MID(TRIM(UPPER(W41)),2,1))&lt;=90,CODE(MID(TRIM(UPPER(W41)),3,1))&gt;=65,CODE(MID(TRIM(UPPER(W41)),3,1))&lt;=90,CODE(MID(TRIM(UPPER(W41)),4,1))&gt;=65,CODE(MID(TRIM(UPPER(W41)),4,1))&lt;=90,CODE(MID(TRIM(UPPER(W41)),5,1))&gt;=65,CODE(MID(TRIM(UPPER(W41)),5,1))&lt;=90,CODE(MID(TRIM(UPPER(W41)),10,1))&gt;=65,CODE(MID(TRIM(UPPER(W41)),10,1))&lt;=90,CODE(MID(TRIM(UPPER(W41)),6,1))&gt;=48,CODE(MID(TRIM(UPPER(W41)),6,1))&lt;=57,CODE(MID(TRIM(UPPER(W41)),7,1))&gt;=48,CODE(MID(TRIM(UPPER(W41)),7,1))&lt;=57,CODE(MID(TRIM(UPPER(W41)),8,1))&gt;=48,CODE(MID(TRIM(UPPER(W41)),8,1))&lt;=57,CODE(MID(TRIM(UPPER(W41)),9,1))&gt;=48,CODE(MID(TRIM(UPPER(W41)),9,1))&lt;=57),"N","Y"),IF($B41="Challan","",IF(W41&lt;&gt;"","◄ Set Row Type","")))</f>
      </c>
      <c r="Y41" s="23">
        <f>IF($B41="Entry",IF(LEN(W41)&lt;4,"",IF(UPPER(MID(W41,4,1))="P","Individual",IF(UPPER(MID(W41,4,1))="H","HUF",IF(UPPER(MID(W41,4,1))="C","Company",IF(UPPER(MID(W41,4,1))="F","Firm",IF(UPPER(MID(W41,4,1))="L","LLP",IF(UPPER(MID(W41,4,1))="T","Trust",IF(UPPER(MID(W41,4,1))="A","AOP","")))))))),IF($B41="Challan","",IF(W41&lt;&gt;"","◄ Set Row Type","")))</f>
      </c>
      <c r="Z41" s="28"/>
      <c r="AA41" s="29">
        <f>IF($B41&lt;&gt;"Entry","",IF(Z41="","",IF(X41="Y",SUMPRODUCT(('Rate Lookup'!$A$1:$A$37=Z41)*'Rate Lookup'!$D$1:$D$37),IF(OR(Y41="Individual",Y41="HUF"),SUMPRODUCT(('Rate Lookup'!$A$1:$A$37=Z41)*'Rate Lookup'!$B$1:$B$37),SUMPRODUCT(('Rate Lookup'!$A$1:$A$37=Z41)*'Rate Lookup'!$C$1:$C$37)))))</f>
      </c>
      <c r="AB41" s="30"/>
      <c r="AC41" s="31"/>
      <c r="AD41" s="27">
        <f>IF($B41&lt;&gt;"Entry","",ROUND(AC41*AA41/100,0))</f>
      </c>
      <c r="AE41" s="27">
        <f>IF($B41&lt;&gt;"Entry","",0)</f>
      </c>
      <c r="AF41" s="27">
        <f>IF($B41&lt;&gt;"Entry","",0)</f>
      </c>
      <c r="AG41" s="27">
        <f>IF($B41&lt;&gt;"Entry","",IF(OR(AD41=0,AB41="",AQ41="",AQ41&lt;=0),0,IF(AQ41&lt;=DATE(YEAR(AB41),MONTH(AB41)+1,7),0,ROUND(AD41*0.015*((YEAR(AQ41)-YEAR(AB41))*12+(MONTH(AQ41)-MONTH(AB41))+1),0))))</f>
      </c>
      <c r="AH41" s="27">
        <f>IF($B41&lt;&gt;"Entry","",0)</f>
      </c>
      <c r="AI41" s="28"/>
      <c r="AJ41" s="28"/>
      <c r="AK41" s="32"/>
      <c r="AL41" s="28"/>
      <c r="AM41" s="28"/>
      <c r="AN41" s="27">
        <f>IF($B41&lt;&gt;"Challan","",SUMIF('Q1 Data'!$D$4:$D$207,D41,'Q1 Data'!$AD$4:$AD$207)+SUMIF('Q1 Data'!$D$4:$D$207,D41,'Q1 Data'!$AG$4:$AG$207)+SUMIF('Q1 Data'!$D$4:$D$207,D41,'Q1 Data'!$AE$4:$AE$207)+SUMIF('Q2 Data'!$D$4:$D$207,D41,'Q2 Data'!$AD$4:$AD$207)+SUMIF('Q2 Data'!$D$4:$D$207,D41,'Q2 Data'!$AG$4:$AG$207)+SUMIF('Q2 Data'!$D$4:$D$207,D41,'Q2 Data'!$AE$4:$AE$207)+SUMIF('Q3 Data'!$D$4:$D$207,D41,'Q3 Data'!$AD$4:$AD$207)+SUMIF('Q3 Data'!$D$4:$D$207,D41,'Q3 Data'!$AG$4:$AG$207)+SUMIF('Q3 Data'!$D$4:$D$207,D41,'Q3 Data'!$AE$4:$AE$207)+SUMIF('Q4 Data'!$D$4:$D$207,D41,'Q4 Data'!$AD$4:$AD$207)+SUMIF('Q4 Data'!$D$4:$D$207,D41,'Q4 Data'!$AG$4:$AG$207)+SUMIF('Q4 Data'!$D$4:$D$207,D41,'Q4 Data'!$AE$4:$AE$207))</f>
      </c>
      <c r="AO41" s="27">
        <f>IF($B41&lt;&gt;"Challan","",P41-N41)</f>
      </c>
      <c r="AP41" s="27">
        <f>IF($B41&lt;&gt;"Challan","",MAX(0,AO41-AN41))</f>
      </c>
      <c r="AQ41" s="33">
        <f>IF($B41&lt;&gt;"Entry","",SUMPRODUCT(('Q1 Data'!$D$4:$D$207=D41)*('Q1 Data'!$B$4:$B$207="Challan")*'Q1 Data'!$F$4:$F$207)+SUMPRODUCT(('Q2 Data'!$D$4:$D$207=D41)*('Q2 Data'!$B$4:$B$207="Challan")*'Q2 Data'!$F$4:$F$207)+SUMPRODUCT(('Q3 Data'!$D$4:$D$207=D41)*('Q3 Data'!$B$4:$B$207="Challan")*'Q3 Data'!$F$4:$F$207)+SUMPRODUCT(('Q4 Data'!$D$4:$D$207=D41)*('Q4 Data'!$B$4:$B$207="Challan")*'Q4 Data'!$F$4:$F$207))</f>
      </c>
      <c r="AR41" s="34">
        <f>IF(OR($B41&lt;&gt;"Entry",Z41=""),FALSE,AND((SUMPRODUCT(('Q1 Data'!$D$4:$D$207=D41)*('Q1 Data'!$B$4:$B$207="Challan")*('Q1 Data'!$H$4:$H$207&lt;&gt;""))+SUMPRODUCT(('Q2 Data'!$D$4:$D$207=D41)*('Q2 Data'!$B$4:$B$207="Challan")*('Q2 Data'!$H$4:$H$207&lt;&gt;""))+SUMPRODUCT(('Q3 Data'!$D$4:$D$207=D41)*('Q3 Data'!$B$4:$B$207="Challan")*('Q3 Data'!$H$4:$H$207&lt;&gt;""))+SUMPRODUCT(('Q4 Data'!$D$4:$D$207=D41)*('Q4 Data'!$B$4:$B$207="Challan")*('Q4 Data'!$H$4:$H$207&lt;&gt;"")))&gt;0,(SUMPRODUCT(('Q1 Data'!$D$4:$D$207=D41)*('Q1 Data'!$B$4:$B$207="Challan")*('Q1 Data'!$H$4:$H$207=Z41))+SUMPRODUCT(('Q2 Data'!$D$4:$D$207=D41)*('Q2 Data'!$B$4:$B$207="Challan")*('Q2 Data'!$H$4:$H$207=Z41))+SUMPRODUCT(('Q3 Data'!$D$4:$D$207=D41)*('Q3 Data'!$B$4:$B$207="Challan")*('Q3 Data'!$H$4:$H$207=Z41))+SUMPRODUCT(('Q4 Data'!$D$4:$D$207=D41)*('Q4 Data'!$B$4:$B$207="Challan")*('Q4 Data'!$H$4:$H$207=Z41)))=0))</f>
      </c>
    </row>
    <row r="42" spans="1:44" x14ac:dyDescent="0.25">
      <c r="A42" s="20">
        <f>IF($B42="Entry",COUNTIF($B$4:$B42,"Entry"),"")</f>
      </c>
      <c r="B42" s="21"/>
      <c r="C42" s="22"/>
      <c r="D42" s="22"/>
      <c r="E42" s="23">
        <f>IF($B42&lt;&gt;"Challan","",IF(ROUND(AN42-AO42,2)&gt;0,"Over-applied",IF(ROUND(AN42-AO42,2)=0,"Fully Utilised","Unconsumed")))</f>
      </c>
      <c r="F42" s="24"/>
      <c r="G42" s="25"/>
      <c r="H42" s="25"/>
      <c r="I42" s="26"/>
      <c r="J42" s="26"/>
      <c r="K42" s="26"/>
      <c r="L42" s="26"/>
      <c r="M42" s="26"/>
      <c r="N42" s="26"/>
      <c r="O42" s="26"/>
      <c r="P42" s="27">
        <f>IF($B42&lt;&gt;"Challan","",I42+J42+K42+L42+M42+N42)</f>
      </c>
      <c r="Q42" s="25"/>
      <c r="R42" s="25"/>
      <c r="S42" s="25"/>
      <c r="T42" s="25"/>
      <c r="U42" s="25"/>
      <c r="V42" s="28"/>
      <c r="W42" s="28"/>
      <c r="X42" s="23">
        <f>IF($B42="Entry",IF(AND(LEN(TRIM(UPPER(W42)))=10,CODE(MID(TRIM(UPPER(W42)),1,1))&gt;=65,CODE(MID(TRIM(UPPER(W42)),1,1))&lt;=90,CODE(MID(TRIM(UPPER(W42)),2,1))&gt;=65,CODE(MID(TRIM(UPPER(W42)),2,1))&lt;=90,CODE(MID(TRIM(UPPER(W42)),3,1))&gt;=65,CODE(MID(TRIM(UPPER(W42)),3,1))&lt;=90,CODE(MID(TRIM(UPPER(W42)),4,1))&gt;=65,CODE(MID(TRIM(UPPER(W42)),4,1))&lt;=90,CODE(MID(TRIM(UPPER(W42)),5,1))&gt;=65,CODE(MID(TRIM(UPPER(W42)),5,1))&lt;=90,CODE(MID(TRIM(UPPER(W42)),10,1))&gt;=65,CODE(MID(TRIM(UPPER(W42)),10,1))&lt;=90,CODE(MID(TRIM(UPPER(W42)),6,1))&gt;=48,CODE(MID(TRIM(UPPER(W42)),6,1))&lt;=57,CODE(MID(TRIM(UPPER(W42)),7,1))&gt;=48,CODE(MID(TRIM(UPPER(W42)),7,1))&lt;=57,CODE(MID(TRIM(UPPER(W42)),8,1))&gt;=48,CODE(MID(TRIM(UPPER(W42)),8,1))&lt;=57,CODE(MID(TRIM(UPPER(W42)),9,1))&gt;=48,CODE(MID(TRIM(UPPER(W42)),9,1))&lt;=57),"N","Y"),IF($B42="Challan","",IF(W42&lt;&gt;"","◄ Set Row Type","")))</f>
      </c>
      <c r="Y42" s="23">
        <f>IF($B42="Entry",IF(LEN(W42)&lt;4,"",IF(UPPER(MID(W42,4,1))="P","Individual",IF(UPPER(MID(W42,4,1))="H","HUF",IF(UPPER(MID(W42,4,1))="C","Company",IF(UPPER(MID(W42,4,1))="F","Firm",IF(UPPER(MID(W42,4,1))="L","LLP",IF(UPPER(MID(W42,4,1))="T","Trust",IF(UPPER(MID(W42,4,1))="A","AOP","")))))))),IF($B42="Challan","",IF(W42&lt;&gt;"","◄ Set Row Type","")))</f>
      </c>
      <c r="Z42" s="28"/>
      <c r="AA42" s="29">
        <f>IF($B42&lt;&gt;"Entry","",IF(Z42="","",IF(X42="Y",SUMPRODUCT(('Rate Lookup'!$A$1:$A$37=Z42)*'Rate Lookup'!$D$1:$D$37),IF(OR(Y42="Individual",Y42="HUF"),SUMPRODUCT(('Rate Lookup'!$A$1:$A$37=Z42)*'Rate Lookup'!$B$1:$B$37),SUMPRODUCT(('Rate Lookup'!$A$1:$A$37=Z42)*'Rate Lookup'!$C$1:$C$37)))))</f>
      </c>
      <c r="AB42" s="30"/>
      <c r="AC42" s="31"/>
      <c r="AD42" s="27">
        <f>IF($B42&lt;&gt;"Entry","",ROUND(AC42*AA42/100,0))</f>
      </c>
      <c r="AE42" s="27">
        <f>IF($B42&lt;&gt;"Entry","",0)</f>
      </c>
      <c r="AF42" s="27">
        <f>IF($B42&lt;&gt;"Entry","",0)</f>
      </c>
      <c r="AG42" s="27">
        <f>IF($B42&lt;&gt;"Entry","",IF(OR(AD42=0,AB42="",AQ42="",AQ42&lt;=0),0,IF(AQ42&lt;=DATE(YEAR(AB42),MONTH(AB42)+1,7),0,ROUND(AD42*0.015*((YEAR(AQ42)-YEAR(AB42))*12+(MONTH(AQ42)-MONTH(AB42))+1),0))))</f>
      </c>
      <c r="AH42" s="27">
        <f>IF($B42&lt;&gt;"Entry","",0)</f>
      </c>
      <c r="AI42" s="28"/>
      <c r="AJ42" s="28"/>
      <c r="AK42" s="32"/>
      <c r="AL42" s="28"/>
      <c r="AM42" s="28"/>
      <c r="AN42" s="27">
        <f>IF($B42&lt;&gt;"Challan","",SUMIF('Q1 Data'!$D$4:$D$207,D42,'Q1 Data'!$AD$4:$AD$207)+SUMIF('Q1 Data'!$D$4:$D$207,D42,'Q1 Data'!$AG$4:$AG$207)+SUMIF('Q1 Data'!$D$4:$D$207,D42,'Q1 Data'!$AE$4:$AE$207)+SUMIF('Q2 Data'!$D$4:$D$207,D42,'Q2 Data'!$AD$4:$AD$207)+SUMIF('Q2 Data'!$D$4:$D$207,D42,'Q2 Data'!$AG$4:$AG$207)+SUMIF('Q2 Data'!$D$4:$D$207,D42,'Q2 Data'!$AE$4:$AE$207)+SUMIF('Q3 Data'!$D$4:$D$207,D42,'Q3 Data'!$AD$4:$AD$207)+SUMIF('Q3 Data'!$D$4:$D$207,D42,'Q3 Data'!$AG$4:$AG$207)+SUMIF('Q3 Data'!$D$4:$D$207,D42,'Q3 Data'!$AE$4:$AE$207)+SUMIF('Q4 Data'!$D$4:$D$207,D42,'Q4 Data'!$AD$4:$AD$207)+SUMIF('Q4 Data'!$D$4:$D$207,D42,'Q4 Data'!$AG$4:$AG$207)+SUMIF('Q4 Data'!$D$4:$D$207,D42,'Q4 Data'!$AE$4:$AE$207))</f>
      </c>
      <c r="AO42" s="27">
        <f>IF($B42&lt;&gt;"Challan","",P42-N42)</f>
      </c>
      <c r="AP42" s="27">
        <f>IF($B42&lt;&gt;"Challan","",MAX(0,AO42-AN42))</f>
      </c>
      <c r="AQ42" s="33">
        <f>IF($B42&lt;&gt;"Entry","",SUMPRODUCT(('Q1 Data'!$D$4:$D$207=D42)*('Q1 Data'!$B$4:$B$207="Challan")*'Q1 Data'!$F$4:$F$207)+SUMPRODUCT(('Q2 Data'!$D$4:$D$207=D42)*('Q2 Data'!$B$4:$B$207="Challan")*'Q2 Data'!$F$4:$F$207)+SUMPRODUCT(('Q3 Data'!$D$4:$D$207=D42)*('Q3 Data'!$B$4:$B$207="Challan")*'Q3 Data'!$F$4:$F$207)+SUMPRODUCT(('Q4 Data'!$D$4:$D$207=D42)*('Q4 Data'!$B$4:$B$207="Challan")*'Q4 Data'!$F$4:$F$207))</f>
      </c>
      <c r="AR42" s="34">
        <f>IF(OR($B42&lt;&gt;"Entry",Z42=""),FALSE,AND((SUMPRODUCT(('Q1 Data'!$D$4:$D$207=D42)*('Q1 Data'!$B$4:$B$207="Challan")*('Q1 Data'!$H$4:$H$207&lt;&gt;""))+SUMPRODUCT(('Q2 Data'!$D$4:$D$207=D42)*('Q2 Data'!$B$4:$B$207="Challan")*('Q2 Data'!$H$4:$H$207&lt;&gt;""))+SUMPRODUCT(('Q3 Data'!$D$4:$D$207=D42)*('Q3 Data'!$B$4:$B$207="Challan")*('Q3 Data'!$H$4:$H$207&lt;&gt;""))+SUMPRODUCT(('Q4 Data'!$D$4:$D$207=D42)*('Q4 Data'!$B$4:$B$207="Challan")*('Q4 Data'!$H$4:$H$207&lt;&gt;"")))&gt;0,(SUMPRODUCT(('Q1 Data'!$D$4:$D$207=D42)*('Q1 Data'!$B$4:$B$207="Challan")*('Q1 Data'!$H$4:$H$207=Z42))+SUMPRODUCT(('Q2 Data'!$D$4:$D$207=D42)*('Q2 Data'!$B$4:$B$207="Challan")*('Q2 Data'!$H$4:$H$207=Z42))+SUMPRODUCT(('Q3 Data'!$D$4:$D$207=D42)*('Q3 Data'!$B$4:$B$207="Challan")*('Q3 Data'!$H$4:$H$207=Z42))+SUMPRODUCT(('Q4 Data'!$D$4:$D$207=D42)*('Q4 Data'!$B$4:$B$207="Challan")*('Q4 Data'!$H$4:$H$207=Z42)))=0))</f>
      </c>
    </row>
    <row r="43" spans="1:44" x14ac:dyDescent="0.25">
      <c r="A43" s="20">
        <f>IF($B43="Entry",COUNTIF($B$4:$B43,"Entry"),"")</f>
      </c>
      <c r="B43" s="21"/>
      <c r="C43" s="22"/>
      <c r="D43" s="22"/>
      <c r="E43" s="23">
        <f>IF($B43&lt;&gt;"Challan","",IF(ROUND(AN43-AO43,2)&gt;0,"Over-applied",IF(ROUND(AN43-AO43,2)=0,"Fully Utilised","Unconsumed")))</f>
      </c>
      <c r="F43" s="24"/>
      <c r="G43" s="25"/>
      <c r="H43" s="25"/>
      <c r="I43" s="26"/>
      <c r="J43" s="26"/>
      <c r="K43" s="26"/>
      <c r="L43" s="26"/>
      <c r="M43" s="26"/>
      <c r="N43" s="26"/>
      <c r="O43" s="26"/>
      <c r="P43" s="27">
        <f>IF($B43&lt;&gt;"Challan","",I43+J43+K43+L43+M43+N43)</f>
      </c>
      <c r="Q43" s="25"/>
      <c r="R43" s="25"/>
      <c r="S43" s="25"/>
      <c r="T43" s="25"/>
      <c r="U43" s="25"/>
      <c r="V43" s="28"/>
      <c r="W43" s="28"/>
      <c r="X43" s="23">
        <f>IF($B43="Entry",IF(AND(LEN(TRIM(UPPER(W43)))=10,CODE(MID(TRIM(UPPER(W43)),1,1))&gt;=65,CODE(MID(TRIM(UPPER(W43)),1,1))&lt;=90,CODE(MID(TRIM(UPPER(W43)),2,1))&gt;=65,CODE(MID(TRIM(UPPER(W43)),2,1))&lt;=90,CODE(MID(TRIM(UPPER(W43)),3,1))&gt;=65,CODE(MID(TRIM(UPPER(W43)),3,1))&lt;=90,CODE(MID(TRIM(UPPER(W43)),4,1))&gt;=65,CODE(MID(TRIM(UPPER(W43)),4,1))&lt;=90,CODE(MID(TRIM(UPPER(W43)),5,1))&gt;=65,CODE(MID(TRIM(UPPER(W43)),5,1))&lt;=90,CODE(MID(TRIM(UPPER(W43)),10,1))&gt;=65,CODE(MID(TRIM(UPPER(W43)),10,1))&lt;=90,CODE(MID(TRIM(UPPER(W43)),6,1))&gt;=48,CODE(MID(TRIM(UPPER(W43)),6,1))&lt;=57,CODE(MID(TRIM(UPPER(W43)),7,1))&gt;=48,CODE(MID(TRIM(UPPER(W43)),7,1))&lt;=57,CODE(MID(TRIM(UPPER(W43)),8,1))&gt;=48,CODE(MID(TRIM(UPPER(W43)),8,1))&lt;=57,CODE(MID(TRIM(UPPER(W43)),9,1))&gt;=48,CODE(MID(TRIM(UPPER(W43)),9,1))&lt;=57),"N","Y"),IF($B43="Challan","",IF(W43&lt;&gt;"","◄ Set Row Type","")))</f>
      </c>
      <c r="Y43" s="23">
        <f>IF($B43="Entry",IF(LEN(W43)&lt;4,"",IF(UPPER(MID(W43,4,1))="P","Individual",IF(UPPER(MID(W43,4,1))="H","HUF",IF(UPPER(MID(W43,4,1))="C","Company",IF(UPPER(MID(W43,4,1))="F","Firm",IF(UPPER(MID(W43,4,1))="L","LLP",IF(UPPER(MID(W43,4,1))="T","Trust",IF(UPPER(MID(W43,4,1))="A","AOP","")))))))),IF($B43="Challan","",IF(W43&lt;&gt;"","◄ Set Row Type","")))</f>
      </c>
      <c r="Z43" s="28"/>
      <c r="AA43" s="29">
        <f>IF($B43&lt;&gt;"Entry","",IF(Z43="","",IF(X43="Y",SUMPRODUCT(('Rate Lookup'!$A$1:$A$37=Z43)*'Rate Lookup'!$D$1:$D$37),IF(OR(Y43="Individual",Y43="HUF"),SUMPRODUCT(('Rate Lookup'!$A$1:$A$37=Z43)*'Rate Lookup'!$B$1:$B$37),SUMPRODUCT(('Rate Lookup'!$A$1:$A$37=Z43)*'Rate Lookup'!$C$1:$C$37)))))</f>
      </c>
      <c r="AB43" s="30"/>
      <c r="AC43" s="31"/>
      <c r="AD43" s="27">
        <f>IF($B43&lt;&gt;"Entry","",ROUND(AC43*AA43/100,0))</f>
      </c>
      <c r="AE43" s="27">
        <f>IF($B43&lt;&gt;"Entry","",0)</f>
      </c>
      <c r="AF43" s="27">
        <f>IF($B43&lt;&gt;"Entry","",0)</f>
      </c>
      <c r="AG43" s="27">
        <f>IF($B43&lt;&gt;"Entry","",IF(OR(AD43=0,AB43="",AQ43="",AQ43&lt;=0),0,IF(AQ43&lt;=DATE(YEAR(AB43),MONTH(AB43)+1,7),0,ROUND(AD43*0.015*((YEAR(AQ43)-YEAR(AB43))*12+(MONTH(AQ43)-MONTH(AB43))+1),0))))</f>
      </c>
      <c r="AH43" s="27">
        <f>IF($B43&lt;&gt;"Entry","",0)</f>
      </c>
      <c r="AI43" s="28"/>
      <c r="AJ43" s="28"/>
      <c r="AK43" s="32"/>
      <c r="AL43" s="28"/>
      <c r="AM43" s="28"/>
      <c r="AN43" s="27">
        <f>IF($B43&lt;&gt;"Challan","",SUMIF('Q1 Data'!$D$4:$D$207,D43,'Q1 Data'!$AD$4:$AD$207)+SUMIF('Q1 Data'!$D$4:$D$207,D43,'Q1 Data'!$AG$4:$AG$207)+SUMIF('Q1 Data'!$D$4:$D$207,D43,'Q1 Data'!$AE$4:$AE$207)+SUMIF('Q2 Data'!$D$4:$D$207,D43,'Q2 Data'!$AD$4:$AD$207)+SUMIF('Q2 Data'!$D$4:$D$207,D43,'Q2 Data'!$AG$4:$AG$207)+SUMIF('Q2 Data'!$D$4:$D$207,D43,'Q2 Data'!$AE$4:$AE$207)+SUMIF('Q3 Data'!$D$4:$D$207,D43,'Q3 Data'!$AD$4:$AD$207)+SUMIF('Q3 Data'!$D$4:$D$207,D43,'Q3 Data'!$AG$4:$AG$207)+SUMIF('Q3 Data'!$D$4:$D$207,D43,'Q3 Data'!$AE$4:$AE$207)+SUMIF('Q4 Data'!$D$4:$D$207,D43,'Q4 Data'!$AD$4:$AD$207)+SUMIF('Q4 Data'!$D$4:$D$207,D43,'Q4 Data'!$AG$4:$AG$207)+SUMIF('Q4 Data'!$D$4:$D$207,D43,'Q4 Data'!$AE$4:$AE$207))</f>
      </c>
      <c r="AO43" s="27">
        <f>IF($B43&lt;&gt;"Challan","",P43-N43)</f>
      </c>
      <c r="AP43" s="27">
        <f>IF($B43&lt;&gt;"Challan","",MAX(0,AO43-AN43))</f>
      </c>
      <c r="AQ43" s="33">
        <f>IF($B43&lt;&gt;"Entry","",SUMPRODUCT(('Q1 Data'!$D$4:$D$207=D43)*('Q1 Data'!$B$4:$B$207="Challan")*'Q1 Data'!$F$4:$F$207)+SUMPRODUCT(('Q2 Data'!$D$4:$D$207=D43)*('Q2 Data'!$B$4:$B$207="Challan")*'Q2 Data'!$F$4:$F$207)+SUMPRODUCT(('Q3 Data'!$D$4:$D$207=D43)*('Q3 Data'!$B$4:$B$207="Challan")*'Q3 Data'!$F$4:$F$207)+SUMPRODUCT(('Q4 Data'!$D$4:$D$207=D43)*('Q4 Data'!$B$4:$B$207="Challan")*'Q4 Data'!$F$4:$F$207))</f>
      </c>
      <c r="AR43" s="34">
        <f>IF(OR($B43&lt;&gt;"Entry",Z43=""),FALSE,AND((SUMPRODUCT(('Q1 Data'!$D$4:$D$207=D43)*('Q1 Data'!$B$4:$B$207="Challan")*('Q1 Data'!$H$4:$H$207&lt;&gt;""))+SUMPRODUCT(('Q2 Data'!$D$4:$D$207=D43)*('Q2 Data'!$B$4:$B$207="Challan")*('Q2 Data'!$H$4:$H$207&lt;&gt;""))+SUMPRODUCT(('Q3 Data'!$D$4:$D$207=D43)*('Q3 Data'!$B$4:$B$207="Challan")*('Q3 Data'!$H$4:$H$207&lt;&gt;""))+SUMPRODUCT(('Q4 Data'!$D$4:$D$207=D43)*('Q4 Data'!$B$4:$B$207="Challan")*('Q4 Data'!$H$4:$H$207&lt;&gt;"")))&gt;0,(SUMPRODUCT(('Q1 Data'!$D$4:$D$207=D43)*('Q1 Data'!$B$4:$B$207="Challan")*('Q1 Data'!$H$4:$H$207=Z43))+SUMPRODUCT(('Q2 Data'!$D$4:$D$207=D43)*('Q2 Data'!$B$4:$B$207="Challan")*('Q2 Data'!$H$4:$H$207=Z43))+SUMPRODUCT(('Q3 Data'!$D$4:$D$207=D43)*('Q3 Data'!$B$4:$B$207="Challan")*('Q3 Data'!$H$4:$H$207=Z43))+SUMPRODUCT(('Q4 Data'!$D$4:$D$207=D43)*('Q4 Data'!$B$4:$B$207="Challan")*('Q4 Data'!$H$4:$H$207=Z43)))=0))</f>
      </c>
    </row>
    <row r="44" spans="1:44" x14ac:dyDescent="0.25">
      <c r="A44" s="20">
        <f>IF($B44="Entry",COUNTIF($B$4:$B44,"Entry"),"")</f>
      </c>
      <c r="B44" s="21"/>
      <c r="C44" s="22"/>
      <c r="D44" s="22"/>
      <c r="E44" s="23">
        <f>IF($B44&lt;&gt;"Challan","",IF(ROUND(AN44-AO44,2)&gt;0,"Over-applied",IF(ROUND(AN44-AO44,2)=0,"Fully Utilised","Unconsumed")))</f>
      </c>
      <c r="F44" s="24"/>
      <c r="G44" s="25"/>
      <c r="H44" s="25"/>
      <c r="I44" s="26"/>
      <c r="J44" s="26"/>
      <c r="K44" s="26"/>
      <c r="L44" s="26"/>
      <c r="M44" s="26"/>
      <c r="N44" s="26"/>
      <c r="O44" s="26"/>
      <c r="P44" s="27">
        <f>IF($B44&lt;&gt;"Challan","",I44+J44+K44+L44+M44+N44)</f>
      </c>
      <c r="Q44" s="25"/>
      <c r="R44" s="25"/>
      <c r="S44" s="25"/>
      <c r="T44" s="25"/>
      <c r="U44" s="25"/>
      <c r="V44" s="28"/>
      <c r="W44" s="28"/>
      <c r="X44" s="23">
        <f>IF($B44="Entry",IF(AND(LEN(TRIM(UPPER(W44)))=10,CODE(MID(TRIM(UPPER(W44)),1,1))&gt;=65,CODE(MID(TRIM(UPPER(W44)),1,1))&lt;=90,CODE(MID(TRIM(UPPER(W44)),2,1))&gt;=65,CODE(MID(TRIM(UPPER(W44)),2,1))&lt;=90,CODE(MID(TRIM(UPPER(W44)),3,1))&gt;=65,CODE(MID(TRIM(UPPER(W44)),3,1))&lt;=90,CODE(MID(TRIM(UPPER(W44)),4,1))&gt;=65,CODE(MID(TRIM(UPPER(W44)),4,1))&lt;=90,CODE(MID(TRIM(UPPER(W44)),5,1))&gt;=65,CODE(MID(TRIM(UPPER(W44)),5,1))&lt;=90,CODE(MID(TRIM(UPPER(W44)),10,1))&gt;=65,CODE(MID(TRIM(UPPER(W44)),10,1))&lt;=90,CODE(MID(TRIM(UPPER(W44)),6,1))&gt;=48,CODE(MID(TRIM(UPPER(W44)),6,1))&lt;=57,CODE(MID(TRIM(UPPER(W44)),7,1))&gt;=48,CODE(MID(TRIM(UPPER(W44)),7,1))&lt;=57,CODE(MID(TRIM(UPPER(W44)),8,1))&gt;=48,CODE(MID(TRIM(UPPER(W44)),8,1))&lt;=57,CODE(MID(TRIM(UPPER(W44)),9,1))&gt;=48,CODE(MID(TRIM(UPPER(W44)),9,1))&lt;=57),"N","Y"),IF($B44="Challan","",IF(W44&lt;&gt;"","◄ Set Row Type","")))</f>
      </c>
      <c r="Y44" s="23">
        <f>IF($B44="Entry",IF(LEN(W44)&lt;4,"",IF(UPPER(MID(W44,4,1))="P","Individual",IF(UPPER(MID(W44,4,1))="H","HUF",IF(UPPER(MID(W44,4,1))="C","Company",IF(UPPER(MID(W44,4,1))="F","Firm",IF(UPPER(MID(W44,4,1))="L","LLP",IF(UPPER(MID(W44,4,1))="T","Trust",IF(UPPER(MID(W44,4,1))="A","AOP","")))))))),IF($B44="Challan","",IF(W44&lt;&gt;"","◄ Set Row Type","")))</f>
      </c>
      <c r="Z44" s="28"/>
      <c r="AA44" s="29">
        <f>IF($B44&lt;&gt;"Entry","",IF(Z44="","",IF(X44="Y",SUMPRODUCT(('Rate Lookup'!$A$1:$A$37=Z44)*'Rate Lookup'!$D$1:$D$37),IF(OR(Y44="Individual",Y44="HUF"),SUMPRODUCT(('Rate Lookup'!$A$1:$A$37=Z44)*'Rate Lookup'!$B$1:$B$37),SUMPRODUCT(('Rate Lookup'!$A$1:$A$37=Z44)*'Rate Lookup'!$C$1:$C$37)))))</f>
      </c>
      <c r="AB44" s="30"/>
      <c r="AC44" s="31"/>
      <c r="AD44" s="27">
        <f>IF($B44&lt;&gt;"Entry","",ROUND(AC44*AA44/100,0))</f>
      </c>
      <c r="AE44" s="27">
        <f>IF($B44&lt;&gt;"Entry","",0)</f>
      </c>
      <c r="AF44" s="27">
        <f>IF($B44&lt;&gt;"Entry","",0)</f>
      </c>
      <c r="AG44" s="27">
        <f>IF($B44&lt;&gt;"Entry","",IF(OR(AD44=0,AB44="",AQ44="",AQ44&lt;=0),0,IF(AQ44&lt;=DATE(YEAR(AB44),MONTH(AB44)+1,7),0,ROUND(AD44*0.015*((YEAR(AQ44)-YEAR(AB44))*12+(MONTH(AQ44)-MONTH(AB44))+1),0))))</f>
      </c>
      <c r="AH44" s="27">
        <f>IF($B44&lt;&gt;"Entry","",0)</f>
      </c>
      <c r="AI44" s="28"/>
      <c r="AJ44" s="28"/>
      <c r="AK44" s="32"/>
      <c r="AL44" s="28"/>
      <c r="AM44" s="28"/>
      <c r="AN44" s="27">
        <f>IF($B44&lt;&gt;"Challan","",SUMIF('Q1 Data'!$D$4:$D$207,D44,'Q1 Data'!$AD$4:$AD$207)+SUMIF('Q1 Data'!$D$4:$D$207,D44,'Q1 Data'!$AG$4:$AG$207)+SUMIF('Q1 Data'!$D$4:$D$207,D44,'Q1 Data'!$AE$4:$AE$207)+SUMIF('Q2 Data'!$D$4:$D$207,D44,'Q2 Data'!$AD$4:$AD$207)+SUMIF('Q2 Data'!$D$4:$D$207,D44,'Q2 Data'!$AG$4:$AG$207)+SUMIF('Q2 Data'!$D$4:$D$207,D44,'Q2 Data'!$AE$4:$AE$207)+SUMIF('Q3 Data'!$D$4:$D$207,D44,'Q3 Data'!$AD$4:$AD$207)+SUMIF('Q3 Data'!$D$4:$D$207,D44,'Q3 Data'!$AG$4:$AG$207)+SUMIF('Q3 Data'!$D$4:$D$207,D44,'Q3 Data'!$AE$4:$AE$207)+SUMIF('Q4 Data'!$D$4:$D$207,D44,'Q4 Data'!$AD$4:$AD$207)+SUMIF('Q4 Data'!$D$4:$D$207,D44,'Q4 Data'!$AG$4:$AG$207)+SUMIF('Q4 Data'!$D$4:$D$207,D44,'Q4 Data'!$AE$4:$AE$207))</f>
      </c>
      <c r="AO44" s="27">
        <f>IF($B44&lt;&gt;"Challan","",P44-N44)</f>
      </c>
      <c r="AP44" s="27">
        <f>IF($B44&lt;&gt;"Challan","",MAX(0,AO44-AN44))</f>
      </c>
      <c r="AQ44" s="33">
        <f>IF($B44&lt;&gt;"Entry","",SUMPRODUCT(('Q1 Data'!$D$4:$D$207=D44)*('Q1 Data'!$B$4:$B$207="Challan")*'Q1 Data'!$F$4:$F$207)+SUMPRODUCT(('Q2 Data'!$D$4:$D$207=D44)*('Q2 Data'!$B$4:$B$207="Challan")*'Q2 Data'!$F$4:$F$207)+SUMPRODUCT(('Q3 Data'!$D$4:$D$207=D44)*('Q3 Data'!$B$4:$B$207="Challan")*'Q3 Data'!$F$4:$F$207)+SUMPRODUCT(('Q4 Data'!$D$4:$D$207=D44)*('Q4 Data'!$B$4:$B$207="Challan")*'Q4 Data'!$F$4:$F$207))</f>
      </c>
      <c r="AR44" s="34">
        <f>IF(OR($B44&lt;&gt;"Entry",Z44=""),FALSE,AND((SUMPRODUCT(('Q1 Data'!$D$4:$D$207=D44)*('Q1 Data'!$B$4:$B$207="Challan")*('Q1 Data'!$H$4:$H$207&lt;&gt;""))+SUMPRODUCT(('Q2 Data'!$D$4:$D$207=D44)*('Q2 Data'!$B$4:$B$207="Challan")*('Q2 Data'!$H$4:$H$207&lt;&gt;""))+SUMPRODUCT(('Q3 Data'!$D$4:$D$207=D44)*('Q3 Data'!$B$4:$B$207="Challan")*('Q3 Data'!$H$4:$H$207&lt;&gt;""))+SUMPRODUCT(('Q4 Data'!$D$4:$D$207=D44)*('Q4 Data'!$B$4:$B$207="Challan")*('Q4 Data'!$H$4:$H$207&lt;&gt;"")))&gt;0,(SUMPRODUCT(('Q1 Data'!$D$4:$D$207=D44)*('Q1 Data'!$B$4:$B$207="Challan")*('Q1 Data'!$H$4:$H$207=Z44))+SUMPRODUCT(('Q2 Data'!$D$4:$D$207=D44)*('Q2 Data'!$B$4:$B$207="Challan")*('Q2 Data'!$H$4:$H$207=Z44))+SUMPRODUCT(('Q3 Data'!$D$4:$D$207=D44)*('Q3 Data'!$B$4:$B$207="Challan")*('Q3 Data'!$H$4:$H$207=Z44))+SUMPRODUCT(('Q4 Data'!$D$4:$D$207=D44)*('Q4 Data'!$B$4:$B$207="Challan")*('Q4 Data'!$H$4:$H$207=Z44)))=0))</f>
      </c>
    </row>
    <row r="45" spans="1:44" x14ac:dyDescent="0.25">
      <c r="A45" s="20">
        <f>IF($B45="Entry",COUNTIF($B$4:$B45,"Entry"),"")</f>
      </c>
      <c r="B45" s="21"/>
      <c r="C45" s="22"/>
      <c r="D45" s="22"/>
      <c r="E45" s="23">
        <f>IF($B45&lt;&gt;"Challan","",IF(ROUND(AN45-AO45,2)&gt;0,"Over-applied",IF(ROUND(AN45-AO45,2)=0,"Fully Utilised","Unconsumed")))</f>
      </c>
      <c r="F45" s="24"/>
      <c r="G45" s="25"/>
      <c r="H45" s="25"/>
      <c r="I45" s="26"/>
      <c r="J45" s="26"/>
      <c r="K45" s="26"/>
      <c r="L45" s="26"/>
      <c r="M45" s="26"/>
      <c r="N45" s="26"/>
      <c r="O45" s="26"/>
      <c r="P45" s="27">
        <f>IF($B45&lt;&gt;"Challan","",I45+J45+K45+L45+M45+N45)</f>
      </c>
      <c r="Q45" s="25"/>
      <c r="R45" s="25"/>
      <c r="S45" s="25"/>
      <c r="T45" s="25"/>
      <c r="U45" s="25"/>
      <c r="V45" s="28"/>
      <c r="W45" s="28"/>
      <c r="X45" s="23">
        <f>IF($B45="Entry",IF(AND(LEN(TRIM(UPPER(W45)))=10,CODE(MID(TRIM(UPPER(W45)),1,1))&gt;=65,CODE(MID(TRIM(UPPER(W45)),1,1))&lt;=90,CODE(MID(TRIM(UPPER(W45)),2,1))&gt;=65,CODE(MID(TRIM(UPPER(W45)),2,1))&lt;=90,CODE(MID(TRIM(UPPER(W45)),3,1))&gt;=65,CODE(MID(TRIM(UPPER(W45)),3,1))&lt;=90,CODE(MID(TRIM(UPPER(W45)),4,1))&gt;=65,CODE(MID(TRIM(UPPER(W45)),4,1))&lt;=90,CODE(MID(TRIM(UPPER(W45)),5,1))&gt;=65,CODE(MID(TRIM(UPPER(W45)),5,1))&lt;=90,CODE(MID(TRIM(UPPER(W45)),10,1))&gt;=65,CODE(MID(TRIM(UPPER(W45)),10,1))&lt;=90,CODE(MID(TRIM(UPPER(W45)),6,1))&gt;=48,CODE(MID(TRIM(UPPER(W45)),6,1))&lt;=57,CODE(MID(TRIM(UPPER(W45)),7,1))&gt;=48,CODE(MID(TRIM(UPPER(W45)),7,1))&lt;=57,CODE(MID(TRIM(UPPER(W45)),8,1))&gt;=48,CODE(MID(TRIM(UPPER(W45)),8,1))&lt;=57,CODE(MID(TRIM(UPPER(W45)),9,1))&gt;=48,CODE(MID(TRIM(UPPER(W45)),9,1))&lt;=57),"N","Y"),IF($B45="Challan","",IF(W45&lt;&gt;"","◄ Set Row Type","")))</f>
      </c>
      <c r="Y45" s="23">
        <f>IF($B45="Entry",IF(LEN(W45)&lt;4,"",IF(UPPER(MID(W45,4,1))="P","Individual",IF(UPPER(MID(W45,4,1))="H","HUF",IF(UPPER(MID(W45,4,1))="C","Company",IF(UPPER(MID(W45,4,1))="F","Firm",IF(UPPER(MID(W45,4,1))="L","LLP",IF(UPPER(MID(W45,4,1))="T","Trust",IF(UPPER(MID(W45,4,1))="A","AOP","")))))))),IF($B45="Challan","",IF(W45&lt;&gt;"","◄ Set Row Type","")))</f>
      </c>
      <c r="Z45" s="28"/>
      <c r="AA45" s="29">
        <f>IF($B45&lt;&gt;"Entry","",IF(Z45="","",IF(X45="Y",SUMPRODUCT(('Rate Lookup'!$A$1:$A$37=Z45)*'Rate Lookup'!$D$1:$D$37),IF(OR(Y45="Individual",Y45="HUF"),SUMPRODUCT(('Rate Lookup'!$A$1:$A$37=Z45)*'Rate Lookup'!$B$1:$B$37),SUMPRODUCT(('Rate Lookup'!$A$1:$A$37=Z45)*'Rate Lookup'!$C$1:$C$37)))))</f>
      </c>
      <c r="AB45" s="30"/>
      <c r="AC45" s="31"/>
      <c r="AD45" s="27">
        <f>IF($B45&lt;&gt;"Entry","",ROUND(AC45*AA45/100,0))</f>
      </c>
      <c r="AE45" s="27">
        <f>IF($B45&lt;&gt;"Entry","",0)</f>
      </c>
      <c r="AF45" s="27">
        <f>IF($B45&lt;&gt;"Entry","",0)</f>
      </c>
      <c r="AG45" s="27">
        <f>IF($B45&lt;&gt;"Entry","",IF(OR(AD45=0,AB45="",AQ45="",AQ45&lt;=0),0,IF(AQ45&lt;=DATE(YEAR(AB45),MONTH(AB45)+1,7),0,ROUND(AD45*0.015*((YEAR(AQ45)-YEAR(AB45))*12+(MONTH(AQ45)-MONTH(AB45))+1),0))))</f>
      </c>
      <c r="AH45" s="27">
        <f>IF($B45&lt;&gt;"Entry","",0)</f>
      </c>
      <c r="AI45" s="28"/>
      <c r="AJ45" s="28"/>
      <c r="AK45" s="32"/>
      <c r="AL45" s="28"/>
      <c r="AM45" s="28"/>
      <c r="AN45" s="27">
        <f>IF($B45&lt;&gt;"Challan","",SUMIF('Q1 Data'!$D$4:$D$207,D45,'Q1 Data'!$AD$4:$AD$207)+SUMIF('Q1 Data'!$D$4:$D$207,D45,'Q1 Data'!$AG$4:$AG$207)+SUMIF('Q1 Data'!$D$4:$D$207,D45,'Q1 Data'!$AE$4:$AE$207)+SUMIF('Q2 Data'!$D$4:$D$207,D45,'Q2 Data'!$AD$4:$AD$207)+SUMIF('Q2 Data'!$D$4:$D$207,D45,'Q2 Data'!$AG$4:$AG$207)+SUMIF('Q2 Data'!$D$4:$D$207,D45,'Q2 Data'!$AE$4:$AE$207)+SUMIF('Q3 Data'!$D$4:$D$207,D45,'Q3 Data'!$AD$4:$AD$207)+SUMIF('Q3 Data'!$D$4:$D$207,D45,'Q3 Data'!$AG$4:$AG$207)+SUMIF('Q3 Data'!$D$4:$D$207,D45,'Q3 Data'!$AE$4:$AE$207)+SUMIF('Q4 Data'!$D$4:$D$207,D45,'Q4 Data'!$AD$4:$AD$207)+SUMIF('Q4 Data'!$D$4:$D$207,D45,'Q4 Data'!$AG$4:$AG$207)+SUMIF('Q4 Data'!$D$4:$D$207,D45,'Q4 Data'!$AE$4:$AE$207))</f>
      </c>
      <c r="AO45" s="27">
        <f>IF($B45&lt;&gt;"Challan","",P45-N45)</f>
      </c>
      <c r="AP45" s="27">
        <f>IF($B45&lt;&gt;"Challan","",MAX(0,AO45-AN45))</f>
      </c>
      <c r="AQ45" s="33">
        <f>IF($B45&lt;&gt;"Entry","",SUMPRODUCT(('Q1 Data'!$D$4:$D$207=D45)*('Q1 Data'!$B$4:$B$207="Challan")*'Q1 Data'!$F$4:$F$207)+SUMPRODUCT(('Q2 Data'!$D$4:$D$207=D45)*('Q2 Data'!$B$4:$B$207="Challan")*'Q2 Data'!$F$4:$F$207)+SUMPRODUCT(('Q3 Data'!$D$4:$D$207=D45)*('Q3 Data'!$B$4:$B$207="Challan")*'Q3 Data'!$F$4:$F$207)+SUMPRODUCT(('Q4 Data'!$D$4:$D$207=D45)*('Q4 Data'!$B$4:$B$207="Challan")*'Q4 Data'!$F$4:$F$207))</f>
      </c>
      <c r="AR45" s="34">
        <f>IF(OR($B45&lt;&gt;"Entry",Z45=""),FALSE,AND((SUMPRODUCT(('Q1 Data'!$D$4:$D$207=D45)*('Q1 Data'!$B$4:$B$207="Challan")*('Q1 Data'!$H$4:$H$207&lt;&gt;""))+SUMPRODUCT(('Q2 Data'!$D$4:$D$207=D45)*('Q2 Data'!$B$4:$B$207="Challan")*('Q2 Data'!$H$4:$H$207&lt;&gt;""))+SUMPRODUCT(('Q3 Data'!$D$4:$D$207=D45)*('Q3 Data'!$B$4:$B$207="Challan")*('Q3 Data'!$H$4:$H$207&lt;&gt;""))+SUMPRODUCT(('Q4 Data'!$D$4:$D$207=D45)*('Q4 Data'!$B$4:$B$207="Challan")*('Q4 Data'!$H$4:$H$207&lt;&gt;"")))&gt;0,(SUMPRODUCT(('Q1 Data'!$D$4:$D$207=D45)*('Q1 Data'!$B$4:$B$207="Challan")*('Q1 Data'!$H$4:$H$207=Z45))+SUMPRODUCT(('Q2 Data'!$D$4:$D$207=D45)*('Q2 Data'!$B$4:$B$207="Challan")*('Q2 Data'!$H$4:$H$207=Z45))+SUMPRODUCT(('Q3 Data'!$D$4:$D$207=D45)*('Q3 Data'!$B$4:$B$207="Challan")*('Q3 Data'!$H$4:$H$207=Z45))+SUMPRODUCT(('Q4 Data'!$D$4:$D$207=D45)*('Q4 Data'!$B$4:$B$207="Challan")*('Q4 Data'!$H$4:$H$207=Z45)))=0))</f>
      </c>
    </row>
    <row r="46" spans="1:44" x14ac:dyDescent="0.25">
      <c r="A46" s="20">
        <f>IF($B46="Entry",COUNTIF($B$4:$B46,"Entry"),"")</f>
      </c>
      <c r="B46" s="21"/>
      <c r="C46" s="22"/>
      <c r="D46" s="22"/>
      <c r="E46" s="23">
        <f>IF($B46&lt;&gt;"Challan","",IF(ROUND(AN46-AO46,2)&gt;0,"Over-applied",IF(ROUND(AN46-AO46,2)=0,"Fully Utilised","Unconsumed")))</f>
      </c>
      <c r="F46" s="24"/>
      <c r="G46" s="25"/>
      <c r="H46" s="25"/>
      <c r="I46" s="26"/>
      <c r="J46" s="26"/>
      <c r="K46" s="26"/>
      <c r="L46" s="26"/>
      <c r="M46" s="26"/>
      <c r="N46" s="26"/>
      <c r="O46" s="26"/>
      <c r="P46" s="27">
        <f>IF($B46&lt;&gt;"Challan","",I46+J46+K46+L46+M46+N46)</f>
      </c>
      <c r="Q46" s="25"/>
      <c r="R46" s="25"/>
      <c r="S46" s="25"/>
      <c r="T46" s="25"/>
      <c r="U46" s="25"/>
      <c r="V46" s="28"/>
      <c r="W46" s="28"/>
      <c r="X46" s="23">
        <f>IF($B46="Entry",IF(AND(LEN(TRIM(UPPER(W46)))=10,CODE(MID(TRIM(UPPER(W46)),1,1))&gt;=65,CODE(MID(TRIM(UPPER(W46)),1,1))&lt;=90,CODE(MID(TRIM(UPPER(W46)),2,1))&gt;=65,CODE(MID(TRIM(UPPER(W46)),2,1))&lt;=90,CODE(MID(TRIM(UPPER(W46)),3,1))&gt;=65,CODE(MID(TRIM(UPPER(W46)),3,1))&lt;=90,CODE(MID(TRIM(UPPER(W46)),4,1))&gt;=65,CODE(MID(TRIM(UPPER(W46)),4,1))&lt;=90,CODE(MID(TRIM(UPPER(W46)),5,1))&gt;=65,CODE(MID(TRIM(UPPER(W46)),5,1))&lt;=90,CODE(MID(TRIM(UPPER(W46)),10,1))&gt;=65,CODE(MID(TRIM(UPPER(W46)),10,1))&lt;=90,CODE(MID(TRIM(UPPER(W46)),6,1))&gt;=48,CODE(MID(TRIM(UPPER(W46)),6,1))&lt;=57,CODE(MID(TRIM(UPPER(W46)),7,1))&gt;=48,CODE(MID(TRIM(UPPER(W46)),7,1))&lt;=57,CODE(MID(TRIM(UPPER(W46)),8,1))&gt;=48,CODE(MID(TRIM(UPPER(W46)),8,1))&lt;=57,CODE(MID(TRIM(UPPER(W46)),9,1))&gt;=48,CODE(MID(TRIM(UPPER(W46)),9,1))&lt;=57),"N","Y"),IF($B46="Challan","",IF(W46&lt;&gt;"","◄ Set Row Type","")))</f>
      </c>
      <c r="Y46" s="23">
        <f>IF($B46="Entry",IF(LEN(W46)&lt;4,"",IF(UPPER(MID(W46,4,1))="P","Individual",IF(UPPER(MID(W46,4,1))="H","HUF",IF(UPPER(MID(W46,4,1))="C","Company",IF(UPPER(MID(W46,4,1))="F","Firm",IF(UPPER(MID(W46,4,1))="L","LLP",IF(UPPER(MID(W46,4,1))="T","Trust",IF(UPPER(MID(W46,4,1))="A","AOP","")))))))),IF($B46="Challan","",IF(W46&lt;&gt;"","◄ Set Row Type","")))</f>
      </c>
      <c r="Z46" s="28"/>
      <c r="AA46" s="29">
        <f>IF($B46&lt;&gt;"Entry","",IF(Z46="","",IF(X46="Y",SUMPRODUCT(('Rate Lookup'!$A$1:$A$37=Z46)*'Rate Lookup'!$D$1:$D$37),IF(OR(Y46="Individual",Y46="HUF"),SUMPRODUCT(('Rate Lookup'!$A$1:$A$37=Z46)*'Rate Lookup'!$B$1:$B$37),SUMPRODUCT(('Rate Lookup'!$A$1:$A$37=Z46)*'Rate Lookup'!$C$1:$C$37)))))</f>
      </c>
      <c r="AB46" s="30"/>
      <c r="AC46" s="31"/>
      <c r="AD46" s="27">
        <f>IF($B46&lt;&gt;"Entry","",ROUND(AC46*AA46/100,0))</f>
      </c>
      <c r="AE46" s="27">
        <f>IF($B46&lt;&gt;"Entry","",0)</f>
      </c>
      <c r="AF46" s="27">
        <f>IF($B46&lt;&gt;"Entry","",0)</f>
      </c>
      <c r="AG46" s="27">
        <f>IF($B46&lt;&gt;"Entry","",IF(OR(AD46=0,AB46="",AQ46="",AQ46&lt;=0),0,IF(AQ46&lt;=DATE(YEAR(AB46),MONTH(AB46)+1,7),0,ROUND(AD46*0.015*((YEAR(AQ46)-YEAR(AB46))*12+(MONTH(AQ46)-MONTH(AB46))+1),0))))</f>
      </c>
      <c r="AH46" s="27">
        <f>IF($B46&lt;&gt;"Entry","",0)</f>
      </c>
      <c r="AI46" s="28"/>
      <c r="AJ46" s="28"/>
      <c r="AK46" s="32"/>
      <c r="AL46" s="28"/>
      <c r="AM46" s="28"/>
      <c r="AN46" s="27">
        <f>IF($B46&lt;&gt;"Challan","",SUMIF('Q1 Data'!$D$4:$D$207,D46,'Q1 Data'!$AD$4:$AD$207)+SUMIF('Q1 Data'!$D$4:$D$207,D46,'Q1 Data'!$AG$4:$AG$207)+SUMIF('Q1 Data'!$D$4:$D$207,D46,'Q1 Data'!$AE$4:$AE$207)+SUMIF('Q2 Data'!$D$4:$D$207,D46,'Q2 Data'!$AD$4:$AD$207)+SUMIF('Q2 Data'!$D$4:$D$207,D46,'Q2 Data'!$AG$4:$AG$207)+SUMIF('Q2 Data'!$D$4:$D$207,D46,'Q2 Data'!$AE$4:$AE$207)+SUMIF('Q3 Data'!$D$4:$D$207,D46,'Q3 Data'!$AD$4:$AD$207)+SUMIF('Q3 Data'!$D$4:$D$207,D46,'Q3 Data'!$AG$4:$AG$207)+SUMIF('Q3 Data'!$D$4:$D$207,D46,'Q3 Data'!$AE$4:$AE$207)+SUMIF('Q4 Data'!$D$4:$D$207,D46,'Q4 Data'!$AD$4:$AD$207)+SUMIF('Q4 Data'!$D$4:$D$207,D46,'Q4 Data'!$AG$4:$AG$207)+SUMIF('Q4 Data'!$D$4:$D$207,D46,'Q4 Data'!$AE$4:$AE$207))</f>
      </c>
      <c r="AO46" s="27">
        <f>IF($B46&lt;&gt;"Challan","",P46-N46)</f>
      </c>
      <c r="AP46" s="27">
        <f>IF($B46&lt;&gt;"Challan","",MAX(0,AO46-AN46))</f>
      </c>
      <c r="AQ46" s="33">
        <f>IF($B46&lt;&gt;"Entry","",SUMPRODUCT(('Q1 Data'!$D$4:$D$207=D46)*('Q1 Data'!$B$4:$B$207="Challan")*'Q1 Data'!$F$4:$F$207)+SUMPRODUCT(('Q2 Data'!$D$4:$D$207=D46)*('Q2 Data'!$B$4:$B$207="Challan")*'Q2 Data'!$F$4:$F$207)+SUMPRODUCT(('Q3 Data'!$D$4:$D$207=D46)*('Q3 Data'!$B$4:$B$207="Challan")*'Q3 Data'!$F$4:$F$207)+SUMPRODUCT(('Q4 Data'!$D$4:$D$207=D46)*('Q4 Data'!$B$4:$B$207="Challan")*'Q4 Data'!$F$4:$F$207))</f>
      </c>
      <c r="AR46" s="34">
        <f>IF(OR($B46&lt;&gt;"Entry",Z46=""),FALSE,AND((SUMPRODUCT(('Q1 Data'!$D$4:$D$207=D46)*('Q1 Data'!$B$4:$B$207="Challan")*('Q1 Data'!$H$4:$H$207&lt;&gt;""))+SUMPRODUCT(('Q2 Data'!$D$4:$D$207=D46)*('Q2 Data'!$B$4:$B$207="Challan")*('Q2 Data'!$H$4:$H$207&lt;&gt;""))+SUMPRODUCT(('Q3 Data'!$D$4:$D$207=D46)*('Q3 Data'!$B$4:$B$207="Challan")*('Q3 Data'!$H$4:$H$207&lt;&gt;""))+SUMPRODUCT(('Q4 Data'!$D$4:$D$207=D46)*('Q4 Data'!$B$4:$B$207="Challan")*('Q4 Data'!$H$4:$H$207&lt;&gt;"")))&gt;0,(SUMPRODUCT(('Q1 Data'!$D$4:$D$207=D46)*('Q1 Data'!$B$4:$B$207="Challan")*('Q1 Data'!$H$4:$H$207=Z46))+SUMPRODUCT(('Q2 Data'!$D$4:$D$207=D46)*('Q2 Data'!$B$4:$B$207="Challan")*('Q2 Data'!$H$4:$H$207=Z46))+SUMPRODUCT(('Q3 Data'!$D$4:$D$207=D46)*('Q3 Data'!$B$4:$B$207="Challan")*('Q3 Data'!$H$4:$H$207=Z46))+SUMPRODUCT(('Q4 Data'!$D$4:$D$207=D46)*('Q4 Data'!$B$4:$B$207="Challan")*('Q4 Data'!$H$4:$H$207=Z46)))=0))</f>
      </c>
    </row>
    <row r="47" spans="1:44" x14ac:dyDescent="0.25">
      <c r="A47" s="20">
        <f>IF($B47="Entry",COUNTIF($B$4:$B47,"Entry"),"")</f>
      </c>
      <c r="B47" s="21"/>
      <c r="C47" s="22"/>
      <c r="D47" s="22"/>
      <c r="E47" s="23">
        <f>IF($B47&lt;&gt;"Challan","",IF(ROUND(AN47-AO47,2)&gt;0,"Over-applied",IF(ROUND(AN47-AO47,2)=0,"Fully Utilised","Unconsumed")))</f>
      </c>
      <c r="F47" s="24"/>
      <c r="G47" s="25"/>
      <c r="H47" s="25"/>
      <c r="I47" s="26"/>
      <c r="J47" s="26"/>
      <c r="K47" s="26"/>
      <c r="L47" s="26"/>
      <c r="M47" s="26"/>
      <c r="N47" s="26"/>
      <c r="O47" s="26"/>
      <c r="P47" s="27">
        <f>IF($B47&lt;&gt;"Challan","",I47+J47+K47+L47+M47+N47)</f>
      </c>
      <c r="Q47" s="25"/>
      <c r="R47" s="25"/>
      <c r="S47" s="25"/>
      <c r="T47" s="25"/>
      <c r="U47" s="25"/>
      <c r="V47" s="28"/>
      <c r="W47" s="28"/>
      <c r="X47" s="23">
        <f>IF($B47="Entry",IF(AND(LEN(TRIM(UPPER(W47)))=10,CODE(MID(TRIM(UPPER(W47)),1,1))&gt;=65,CODE(MID(TRIM(UPPER(W47)),1,1))&lt;=90,CODE(MID(TRIM(UPPER(W47)),2,1))&gt;=65,CODE(MID(TRIM(UPPER(W47)),2,1))&lt;=90,CODE(MID(TRIM(UPPER(W47)),3,1))&gt;=65,CODE(MID(TRIM(UPPER(W47)),3,1))&lt;=90,CODE(MID(TRIM(UPPER(W47)),4,1))&gt;=65,CODE(MID(TRIM(UPPER(W47)),4,1))&lt;=90,CODE(MID(TRIM(UPPER(W47)),5,1))&gt;=65,CODE(MID(TRIM(UPPER(W47)),5,1))&lt;=90,CODE(MID(TRIM(UPPER(W47)),10,1))&gt;=65,CODE(MID(TRIM(UPPER(W47)),10,1))&lt;=90,CODE(MID(TRIM(UPPER(W47)),6,1))&gt;=48,CODE(MID(TRIM(UPPER(W47)),6,1))&lt;=57,CODE(MID(TRIM(UPPER(W47)),7,1))&gt;=48,CODE(MID(TRIM(UPPER(W47)),7,1))&lt;=57,CODE(MID(TRIM(UPPER(W47)),8,1))&gt;=48,CODE(MID(TRIM(UPPER(W47)),8,1))&lt;=57,CODE(MID(TRIM(UPPER(W47)),9,1))&gt;=48,CODE(MID(TRIM(UPPER(W47)),9,1))&lt;=57),"N","Y"),IF($B47="Challan","",IF(W47&lt;&gt;"","◄ Set Row Type","")))</f>
      </c>
      <c r="Y47" s="23">
        <f>IF($B47="Entry",IF(LEN(W47)&lt;4,"",IF(UPPER(MID(W47,4,1))="P","Individual",IF(UPPER(MID(W47,4,1))="H","HUF",IF(UPPER(MID(W47,4,1))="C","Company",IF(UPPER(MID(W47,4,1))="F","Firm",IF(UPPER(MID(W47,4,1))="L","LLP",IF(UPPER(MID(W47,4,1))="T","Trust",IF(UPPER(MID(W47,4,1))="A","AOP","")))))))),IF($B47="Challan","",IF(W47&lt;&gt;"","◄ Set Row Type","")))</f>
      </c>
      <c r="Z47" s="28"/>
      <c r="AA47" s="29">
        <f>IF($B47&lt;&gt;"Entry","",IF(Z47="","",IF(X47="Y",SUMPRODUCT(('Rate Lookup'!$A$1:$A$37=Z47)*'Rate Lookup'!$D$1:$D$37),IF(OR(Y47="Individual",Y47="HUF"),SUMPRODUCT(('Rate Lookup'!$A$1:$A$37=Z47)*'Rate Lookup'!$B$1:$B$37),SUMPRODUCT(('Rate Lookup'!$A$1:$A$37=Z47)*'Rate Lookup'!$C$1:$C$37)))))</f>
      </c>
      <c r="AB47" s="30"/>
      <c r="AC47" s="31"/>
      <c r="AD47" s="27">
        <f>IF($B47&lt;&gt;"Entry","",ROUND(AC47*AA47/100,0))</f>
      </c>
      <c r="AE47" s="27">
        <f>IF($B47&lt;&gt;"Entry","",0)</f>
      </c>
      <c r="AF47" s="27">
        <f>IF($B47&lt;&gt;"Entry","",0)</f>
      </c>
      <c r="AG47" s="27">
        <f>IF($B47&lt;&gt;"Entry","",IF(OR(AD47=0,AB47="",AQ47="",AQ47&lt;=0),0,IF(AQ47&lt;=DATE(YEAR(AB47),MONTH(AB47)+1,7),0,ROUND(AD47*0.015*((YEAR(AQ47)-YEAR(AB47))*12+(MONTH(AQ47)-MONTH(AB47))+1),0))))</f>
      </c>
      <c r="AH47" s="27">
        <f>IF($B47&lt;&gt;"Entry","",0)</f>
      </c>
      <c r="AI47" s="28"/>
      <c r="AJ47" s="28"/>
      <c r="AK47" s="32"/>
      <c r="AL47" s="28"/>
      <c r="AM47" s="28"/>
      <c r="AN47" s="27">
        <f>IF($B47&lt;&gt;"Challan","",SUMIF('Q1 Data'!$D$4:$D$207,D47,'Q1 Data'!$AD$4:$AD$207)+SUMIF('Q1 Data'!$D$4:$D$207,D47,'Q1 Data'!$AG$4:$AG$207)+SUMIF('Q1 Data'!$D$4:$D$207,D47,'Q1 Data'!$AE$4:$AE$207)+SUMIF('Q2 Data'!$D$4:$D$207,D47,'Q2 Data'!$AD$4:$AD$207)+SUMIF('Q2 Data'!$D$4:$D$207,D47,'Q2 Data'!$AG$4:$AG$207)+SUMIF('Q2 Data'!$D$4:$D$207,D47,'Q2 Data'!$AE$4:$AE$207)+SUMIF('Q3 Data'!$D$4:$D$207,D47,'Q3 Data'!$AD$4:$AD$207)+SUMIF('Q3 Data'!$D$4:$D$207,D47,'Q3 Data'!$AG$4:$AG$207)+SUMIF('Q3 Data'!$D$4:$D$207,D47,'Q3 Data'!$AE$4:$AE$207)+SUMIF('Q4 Data'!$D$4:$D$207,D47,'Q4 Data'!$AD$4:$AD$207)+SUMIF('Q4 Data'!$D$4:$D$207,D47,'Q4 Data'!$AG$4:$AG$207)+SUMIF('Q4 Data'!$D$4:$D$207,D47,'Q4 Data'!$AE$4:$AE$207))</f>
      </c>
      <c r="AO47" s="27">
        <f>IF($B47&lt;&gt;"Challan","",P47-N47)</f>
      </c>
      <c r="AP47" s="27">
        <f>IF($B47&lt;&gt;"Challan","",MAX(0,AO47-AN47))</f>
      </c>
      <c r="AQ47" s="33">
        <f>IF($B47&lt;&gt;"Entry","",SUMPRODUCT(('Q1 Data'!$D$4:$D$207=D47)*('Q1 Data'!$B$4:$B$207="Challan")*'Q1 Data'!$F$4:$F$207)+SUMPRODUCT(('Q2 Data'!$D$4:$D$207=D47)*('Q2 Data'!$B$4:$B$207="Challan")*'Q2 Data'!$F$4:$F$207)+SUMPRODUCT(('Q3 Data'!$D$4:$D$207=D47)*('Q3 Data'!$B$4:$B$207="Challan")*'Q3 Data'!$F$4:$F$207)+SUMPRODUCT(('Q4 Data'!$D$4:$D$207=D47)*('Q4 Data'!$B$4:$B$207="Challan")*'Q4 Data'!$F$4:$F$207))</f>
      </c>
      <c r="AR47" s="34">
        <f>IF(OR($B47&lt;&gt;"Entry",Z47=""),FALSE,AND((SUMPRODUCT(('Q1 Data'!$D$4:$D$207=D47)*('Q1 Data'!$B$4:$B$207="Challan")*('Q1 Data'!$H$4:$H$207&lt;&gt;""))+SUMPRODUCT(('Q2 Data'!$D$4:$D$207=D47)*('Q2 Data'!$B$4:$B$207="Challan")*('Q2 Data'!$H$4:$H$207&lt;&gt;""))+SUMPRODUCT(('Q3 Data'!$D$4:$D$207=D47)*('Q3 Data'!$B$4:$B$207="Challan")*('Q3 Data'!$H$4:$H$207&lt;&gt;""))+SUMPRODUCT(('Q4 Data'!$D$4:$D$207=D47)*('Q4 Data'!$B$4:$B$207="Challan")*('Q4 Data'!$H$4:$H$207&lt;&gt;"")))&gt;0,(SUMPRODUCT(('Q1 Data'!$D$4:$D$207=D47)*('Q1 Data'!$B$4:$B$207="Challan")*('Q1 Data'!$H$4:$H$207=Z47))+SUMPRODUCT(('Q2 Data'!$D$4:$D$207=D47)*('Q2 Data'!$B$4:$B$207="Challan")*('Q2 Data'!$H$4:$H$207=Z47))+SUMPRODUCT(('Q3 Data'!$D$4:$D$207=D47)*('Q3 Data'!$B$4:$B$207="Challan")*('Q3 Data'!$H$4:$H$207=Z47))+SUMPRODUCT(('Q4 Data'!$D$4:$D$207=D47)*('Q4 Data'!$B$4:$B$207="Challan")*('Q4 Data'!$H$4:$H$207=Z47)))=0))</f>
      </c>
    </row>
    <row r="48" spans="1:44" x14ac:dyDescent="0.25">
      <c r="A48" s="20">
        <f>IF($B48="Entry",COUNTIF($B$4:$B48,"Entry"),"")</f>
      </c>
      <c r="B48" s="21"/>
      <c r="C48" s="22"/>
      <c r="D48" s="22"/>
      <c r="E48" s="23">
        <f>IF($B48&lt;&gt;"Challan","",IF(ROUND(AN48-AO48,2)&gt;0,"Over-applied",IF(ROUND(AN48-AO48,2)=0,"Fully Utilised","Unconsumed")))</f>
      </c>
      <c r="F48" s="24"/>
      <c r="G48" s="25"/>
      <c r="H48" s="25"/>
      <c r="I48" s="26"/>
      <c r="J48" s="26"/>
      <c r="K48" s="26"/>
      <c r="L48" s="26"/>
      <c r="M48" s="26"/>
      <c r="N48" s="26"/>
      <c r="O48" s="26"/>
      <c r="P48" s="27">
        <f>IF($B48&lt;&gt;"Challan","",I48+J48+K48+L48+M48+N48)</f>
      </c>
      <c r="Q48" s="25"/>
      <c r="R48" s="25"/>
      <c r="S48" s="25"/>
      <c r="T48" s="25"/>
      <c r="U48" s="25"/>
      <c r="V48" s="28"/>
      <c r="W48" s="28"/>
      <c r="X48" s="23">
        <f>IF($B48="Entry",IF(AND(LEN(TRIM(UPPER(W48)))=10,CODE(MID(TRIM(UPPER(W48)),1,1))&gt;=65,CODE(MID(TRIM(UPPER(W48)),1,1))&lt;=90,CODE(MID(TRIM(UPPER(W48)),2,1))&gt;=65,CODE(MID(TRIM(UPPER(W48)),2,1))&lt;=90,CODE(MID(TRIM(UPPER(W48)),3,1))&gt;=65,CODE(MID(TRIM(UPPER(W48)),3,1))&lt;=90,CODE(MID(TRIM(UPPER(W48)),4,1))&gt;=65,CODE(MID(TRIM(UPPER(W48)),4,1))&lt;=90,CODE(MID(TRIM(UPPER(W48)),5,1))&gt;=65,CODE(MID(TRIM(UPPER(W48)),5,1))&lt;=90,CODE(MID(TRIM(UPPER(W48)),10,1))&gt;=65,CODE(MID(TRIM(UPPER(W48)),10,1))&lt;=90,CODE(MID(TRIM(UPPER(W48)),6,1))&gt;=48,CODE(MID(TRIM(UPPER(W48)),6,1))&lt;=57,CODE(MID(TRIM(UPPER(W48)),7,1))&gt;=48,CODE(MID(TRIM(UPPER(W48)),7,1))&lt;=57,CODE(MID(TRIM(UPPER(W48)),8,1))&gt;=48,CODE(MID(TRIM(UPPER(W48)),8,1))&lt;=57,CODE(MID(TRIM(UPPER(W48)),9,1))&gt;=48,CODE(MID(TRIM(UPPER(W48)),9,1))&lt;=57),"N","Y"),IF($B48="Challan","",IF(W48&lt;&gt;"","◄ Set Row Type","")))</f>
      </c>
      <c r="Y48" s="23">
        <f>IF($B48="Entry",IF(LEN(W48)&lt;4,"",IF(UPPER(MID(W48,4,1))="P","Individual",IF(UPPER(MID(W48,4,1))="H","HUF",IF(UPPER(MID(W48,4,1))="C","Company",IF(UPPER(MID(W48,4,1))="F","Firm",IF(UPPER(MID(W48,4,1))="L","LLP",IF(UPPER(MID(W48,4,1))="T","Trust",IF(UPPER(MID(W48,4,1))="A","AOP","")))))))),IF($B48="Challan","",IF(W48&lt;&gt;"","◄ Set Row Type","")))</f>
      </c>
      <c r="Z48" s="28"/>
      <c r="AA48" s="29">
        <f>IF($B48&lt;&gt;"Entry","",IF(Z48="","",IF(X48="Y",SUMPRODUCT(('Rate Lookup'!$A$1:$A$37=Z48)*'Rate Lookup'!$D$1:$D$37),IF(OR(Y48="Individual",Y48="HUF"),SUMPRODUCT(('Rate Lookup'!$A$1:$A$37=Z48)*'Rate Lookup'!$B$1:$B$37),SUMPRODUCT(('Rate Lookup'!$A$1:$A$37=Z48)*'Rate Lookup'!$C$1:$C$37)))))</f>
      </c>
      <c r="AB48" s="30"/>
      <c r="AC48" s="31"/>
      <c r="AD48" s="27">
        <f>IF($B48&lt;&gt;"Entry","",ROUND(AC48*AA48/100,0))</f>
      </c>
      <c r="AE48" s="27">
        <f>IF($B48&lt;&gt;"Entry","",0)</f>
      </c>
      <c r="AF48" s="27">
        <f>IF($B48&lt;&gt;"Entry","",0)</f>
      </c>
      <c r="AG48" s="27">
        <f>IF($B48&lt;&gt;"Entry","",IF(OR(AD48=0,AB48="",AQ48="",AQ48&lt;=0),0,IF(AQ48&lt;=DATE(YEAR(AB48),MONTH(AB48)+1,7),0,ROUND(AD48*0.015*((YEAR(AQ48)-YEAR(AB48))*12+(MONTH(AQ48)-MONTH(AB48))+1),0))))</f>
      </c>
      <c r="AH48" s="27">
        <f>IF($B48&lt;&gt;"Entry","",0)</f>
      </c>
      <c r="AI48" s="28"/>
      <c r="AJ48" s="28"/>
      <c r="AK48" s="32"/>
      <c r="AL48" s="28"/>
      <c r="AM48" s="28"/>
      <c r="AN48" s="27">
        <f>IF($B48&lt;&gt;"Challan","",SUMIF('Q1 Data'!$D$4:$D$207,D48,'Q1 Data'!$AD$4:$AD$207)+SUMIF('Q1 Data'!$D$4:$D$207,D48,'Q1 Data'!$AG$4:$AG$207)+SUMIF('Q1 Data'!$D$4:$D$207,D48,'Q1 Data'!$AE$4:$AE$207)+SUMIF('Q2 Data'!$D$4:$D$207,D48,'Q2 Data'!$AD$4:$AD$207)+SUMIF('Q2 Data'!$D$4:$D$207,D48,'Q2 Data'!$AG$4:$AG$207)+SUMIF('Q2 Data'!$D$4:$D$207,D48,'Q2 Data'!$AE$4:$AE$207)+SUMIF('Q3 Data'!$D$4:$D$207,D48,'Q3 Data'!$AD$4:$AD$207)+SUMIF('Q3 Data'!$D$4:$D$207,D48,'Q3 Data'!$AG$4:$AG$207)+SUMIF('Q3 Data'!$D$4:$D$207,D48,'Q3 Data'!$AE$4:$AE$207)+SUMIF('Q4 Data'!$D$4:$D$207,D48,'Q4 Data'!$AD$4:$AD$207)+SUMIF('Q4 Data'!$D$4:$D$207,D48,'Q4 Data'!$AG$4:$AG$207)+SUMIF('Q4 Data'!$D$4:$D$207,D48,'Q4 Data'!$AE$4:$AE$207))</f>
      </c>
      <c r="AO48" s="27">
        <f>IF($B48&lt;&gt;"Challan","",P48-N48)</f>
      </c>
      <c r="AP48" s="27">
        <f>IF($B48&lt;&gt;"Challan","",MAX(0,AO48-AN48))</f>
      </c>
      <c r="AQ48" s="33">
        <f>IF($B48&lt;&gt;"Entry","",SUMPRODUCT(('Q1 Data'!$D$4:$D$207=D48)*('Q1 Data'!$B$4:$B$207="Challan")*'Q1 Data'!$F$4:$F$207)+SUMPRODUCT(('Q2 Data'!$D$4:$D$207=D48)*('Q2 Data'!$B$4:$B$207="Challan")*'Q2 Data'!$F$4:$F$207)+SUMPRODUCT(('Q3 Data'!$D$4:$D$207=D48)*('Q3 Data'!$B$4:$B$207="Challan")*'Q3 Data'!$F$4:$F$207)+SUMPRODUCT(('Q4 Data'!$D$4:$D$207=D48)*('Q4 Data'!$B$4:$B$207="Challan")*'Q4 Data'!$F$4:$F$207))</f>
      </c>
      <c r="AR48" s="34">
        <f>IF(OR($B48&lt;&gt;"Entry",Z48=""),FALSE,AND((SUMPRODUCT(('Q1 Data'!$D$4:$D$207=D48)*('Q1 Data'!$B$4:$B$207="Challan")*('Q1 Data'!$H$4:$H$207&lt;&gt;""))+SUMPRODUCT(('Q2 Data'!$D$4:$D$207=D48)*('Q2 Data'!$B$4:$B$207="Challan")*('Q2 Data'!$H$4:$H$207&lt;&gt;""))+SUMPRODUCT(('Q3 Data'!$D$4:$D$207=D48)*('Q3 Data'!$B$4:$B$207="Challan")*('Q3 Data'!$H$4:$H$207&lt;&gt;""))+SUMPRODUCT(('Q4 Data'!$D$4:$D$207=D48)*('Q4 Data'!$B$4:$B$207="Challan")*('Q4 Data'!$H$4:$H$207&lt;&gt;"")))&gt;0,(SUMPRODUCT(('Q1 Data'!$D$4:$D$207=D48)*('Q1 Data'!$B$4:$B$207="Challan")*('Q1 Data'!$H$4:$H$207=Z48))+SUMPRODUCT(('Q2 Data'!$D$4:$D$207=D48)*('Q2 Data'!$B$4:$B$207="Challan")*('Q2 Data'!$H$4:$H$207=Z48))+SUMPRODUCT(('Q3 Data'!$D$4:$D$207=D48)*('Q3 Data'!$B$4:$B$207="Challan")*('Q3 Data'!$H$4:$H$207=Z48))+SUMPRODUCT(('Q4 Data'!$D$4:$D$207=D48)*('Q4 Data'!$B$4:$B$207="Challan")*('Q4 Data'!$H$4:$H$207=Z48)))=0))</f>
      </c>
    </row>
    <row r="49" spans="1:44" x14ac:dyDescent="0.25">
      <c r="A49" s="20">
        <f>IF($B49="Entry",COUNTIF($B$4:$B49,"Entry"),"")</f>
      </c>
      <c r="B49" s="21"/>
      <c r="C49" s="22"/>
      <c r="D49" s="22"/>
      <c r="E49" s="23">
        <f>IF($B49&lt;&gt;"Challan","",IF(ROUND(AN49-AO49,2)&gt;0,"Over-applied",IF(ROUND(AN49-AO49,2)=0,"Fully Utilised","Unconsumed")))</f>
      </c>
      <c r="F49" s="24"/>
      <c r="G49" s="25"/>
      <c r="H49" s="25"/>
      <c r="I49" s="26"/>
      <c r="J49" s="26"/>
      <c r="K49" s="26"/>
      <c r="L49" s="26"/>
      <c r="M49" s="26"/>
      <c r="N49" s="26"/>
      <c r="O49" s="26"/>
      <c r="P49" s="27">
        <f>IF($B49&lt;&gt;"Challan","",I49+J49+K49+L49+M49+N49)</f>
      </c>
      <c r="Q49" s="25"/>
      <c r="R49" s="25"/>
      <c r="S49" s="25"/>
      <c r="T49" s="25"/>
      <c r="U49" s="25"/>
      <c r="V49" s="28"/>
      <c r="W49" s="28"/>
      <c r="X49" s="23">
        <f>IF($B49="Entry",IF(AND(LEN(TRIM(UPPER(W49)))=10,CODE(MID(TRIM(UPPER(W49)),1,1))&gt;=65,CODE(MID(TRIM(UPPER(W49)),1,1))&lt;=90,CODE(MID(TRIM(UPPER(W49)),2,1))&gt;=65,CODE(MID(TRIM(UPPER(W49)),2,1))&lt;=90,CODE(MID(TRIM(UPPER(W49)),3,1))&gt;=65,CODE(MID(TRIM(UPPER(W49)),3,1))&lt;=90,CODE(MID(TRIM(UPPER(W49)),4,1))&gt;=65,CODE(MID(TRIM(UPPER(W49)),4,1))&lt;=90,CODE(MID(TRIM(UPPER(W49)),5,1))&gt;=65,CODE(MID(TRIM(UPPER(W49)),5,1))&lt;=90,CODE(MID(TRIM(UPPER(W49)),10,1))&gt;=65,CODE(MID(TRIM(UPPER(W49)),10,1))&lt;=90,CODE(MID(TRIM(UPPER(W49)),6,1))&gt;=48,CODE(MID(TRIM(UPPER(W49)),6,1))&lt;=57,CODE(MID(TRIM(UPPER(W49)),7,1))&gt;=48,CODE(MID(TRIM(UPPER(W49)),7,1))&lt;=57,CODE(MID(TRIM(UPPER(W49)),8,1))&gt;=48,CODE(MID(TRIM(UPPER(W49)),8,1))&lt;=57,CODE(MID(TRIM(UPPER(W49)),9,1))&gt;=48,CODE(MID(TRIM(UPPER(W49)),9,1))&lt;=57),"N","Y"),IF($B49="Challan","",IF(W49&lt;&gt;"","◄ Set Row Type","")))</f>
      </c>
      <c r="Y49" s="23">
        <f>IF($B49="Entry",IF(LEN(W49)&lt;4,"",IF(UPPER(MID(W49,4,1))="P","Individual",IF(UPPER(MID(W49,4,1))="H","HUF",IF(UPPER(MID(W49,4,1))="C","Company",IF(UPPER(MID(W49,4,1))="F","Firm",IF(UPPER(MID(W49,4,1))="L","LLP",IF(UPPER(MID(W49,4,1))="T","Trust",IF(UPPER(MID(W49,4,1))="A","AOP","")))))))),IF($B49="Challan","",IF(W49&lt;&gt;"","◄ Set Row Type","")))</f>
      </c>
      <c r="Z49" s="28"/>
      <c r="AA49" s="29">
        <f>IF($B49&lt;&gt;"Entry","",IF(Z49="","",IF(X49="Y",SUMPRODUCT(('Rate Lookup'!$A$1:$A$37=Z49)*'Rate Lookup'!$D$1:$D$37),IF(OR(Y49="Individual",Y49="HUF"),SUMPRODUCT(('Rate Lookup'!$A$1:$A$37=Z49)*'Rate Lookup'!$B$1:$B$37),SUMPRODUCT(('Rate Lookup'!$A$1:$A$37=Z49)*'Rate Lookup'!$C$1:$C$37)))))</f>
      </c>
      <c r="AB49" s="30"/>
      <c r="AC49" s="31"/>
      <c r="AD49" s="27">
        <f>IF($B49&lt;&gt;"Entry","",ROUND(AC49*AA49/100,0))</f>
      </c>
      <c r="AE49" s="27">
        <f>IF($B49&lt;&gt;"Entry","",0)</f>
      </c>
      <c r="AF49" s="27">
        <f>IF($B49&lt;&gt;"Entry","",0)</f>
      </c>
      <c r="AG49" s="27">
        <f>IF($B49&lt;&gt;"Entry","",IF(OR(AD49=0,AB49="",AQ49="",AQ49&lt;=0),0,IF(AQ49&lt;=DATE(YEAR(AB49),MONTH(AB49)+1,7),0,ROUND(AD49*0.015*((YEAR(AQ49)-YEAR(AB49))*12+(MONTH(AQ49)-MONTH(AB49))+1),0))))</f>
      </c>
      <c r="AH49" s="27">
        <f>IF($B49&lt;&gt;"Entry","",0)</f>
      </c>
      <c r="AI49" s="28"/>
      <c r="AJ49" s="28"/>
      <c r="AK49" s="32"/>
      <c r="AL49" s="28"/>
      <c r="AM49" s="28"/>
      <c r="AN49" s="27">
        <f>IF($B49&lt;&gt;"Challan","",SUMIF('Q1 Data'!$D$4:$D$207,D49,'Q1 Data'!$AD$4:$AD$207)+SUMIF('Q1 Data'!$D$4:$D$207,D49,'Q1 Data'!$AG$4:$AG$207)+SUMIF('Q1 Data'!$D$4:$D$207,D49,'Q1 Data'!$AE$4:$AE$207)+SUMIF('Q2 Data'!$D$4:$D$207,D49,'Q2 Data'!$AD$4:$AD$207)+SUMIF('Q2 Data'!$D$4:$D$207,D49,'Q2 Data'!$AG$4:$AG$207)+SUMIF('Q2 Data'!$D$4:$D$207,D49,'Q2 Data'!$AE$4:$AE$207)+SUMIF('Q3 Data'!$D$4:$D$207,D49,'Q3 Data'!$AD$4:$AD$207)+SUMIF('Q3 Data'!$D$4:$D$207,D49,'Q3 Data'!$AG$4:$AG$207)+SUMIF('Q3 Data'!$D$4:$D$207,D49,'Q3 Data'!$AE$4:$AE$207)+SUMIF('Q4 Data'!$D$4:$D$207,D49,'Q4 Data'!$AD$4:$AD$207)+SUMIF('Q4 Data'!$D$4:$D$207,D49,'Q4 Data'!$AG$4:$AG$207)+SUMIF('Q4 Data'!$D$4:$D$207,D49,'Q4 Data'!$AE$4:$AE$207))</f>
      </c>
      <c r="AO49" s="27">
        <f>IF($B49&lt;&gt;"Challan","",P49-N49)</f>
      </c>
      <c r="AP49" s="27">
        <f>IF($B49&lt;&gt;"Challan","",MAX(0,AO49-AN49))</f>
      </c>
      <c r="AQ49" s="33">
        <f>IF($B49&lt;&gt;"Entry","",SUMPRODUCT(('Q1 Data'!$D$4:$D$207=D49)*('Q1 Data'!$B$4:$B$207="Challan")*'Q1 Data'!$F$4:$F$207)+SUMPRODUCT(('Q2 Data'!$D$4:$D$207=D49)*('Q2 Data'!$B$4:$B$207="Challan")*'Q2 Data'!$F$4:$F$207)+SUMPRODUCT(('Q3 Data'!$D$4:$D$207=D49)*('Q3 Data'!$B$4:$B$207="Challan")*'Q3 Data'!$F$4:$F$207)+SUMPRODUCT(('Q4 Data'!$D$4:$D$207=D49)*('Q4 Data'!$B$4:$B$207="Challan")*'Q4 Data'!$F$4:$F$207))</f>
      </c>
      <c r="AR49" s="34">
        <f>IF(OR($B49&lt;&gt;"Entry",Z49=""),FALSE,AND((SUMPRODUCT(('Q1 Data'!$D$4:$D$207=D49)*('Q1 Data'!$B$4:$B$207="Challan")*('Q1 Data'!$H$4:$H$207&lt;&gt;""))+SUMPRODUCT(('Q2 Data'!$D$4:$D$207=D49)*('Q2 Data'!$B$4:$B$207="Challan")*('Q2 Data'!$H$4:$H$207&lt;&gt;""))+SUMPRODUCT(('Q3 Data'!$D$4:$D$207=D49)*('Q3 Data'!$B$4:$B$207="Challan")*('Q3 Data'!$H$4:$H$207&lt;&gt;""))+SUMPRODUCT(('Q4 Data'!$D$4:$D$207=D49)*('Q4 Data'!$B$4:$B$207="Challan")*('Q4 Data'!$H$4:$H$207&lt;&gt;"")))&gt;0,(SUMPRODUCT(('Q1 Data'!$D$4:$D$207=D49)*('Q1 Data'!$B$4:$B$207="Challan")*('Q1 Data'!$H$4:$H$207=Z49))+SUMPRODUCT(('Q2 Data'!$D$4:$D$207=D49)*('Q2 Data'!$B$4:$B$207="Challan")*('Q2 Data'!$H$4:$H$207=Z49))+SUMPRODUCT(('Q3 Data'!$D$4:$D$207=D49)*('Q3 Data'!$B$4:$B$207="Challan")*('Q3 Data'!$H$4:$H$207=Z49))+SUMPRODUCT(('Q4 Data'!$D$4:$D$207=D49)*('Q4 Data'!$B$4:$B$207="Challan")*('Q4 Data'!$H$4:$H$207=Z49)))=0))</f>
      </c>
    </row>
    <row r="50" spans="1:44" x14ac:dyDescent="0.25">
      <c r="A50" s="20">
        <f>IF($B50="Entry",COUNTIF($B$4:$B50,"Entry"),"")</f>
      </c>
      <c r="B50" s="21"/>
      <c r="C50" s="22"/>
      <c r="D50" s="22"/>
      <c r="E50" s="23">
        <f>IF($B50&lt;&gt;"Challan","",IF(ROUND(AN50-AO50,2)&gt;0,"Over-applied",IF(ROUND(AN50-AO50,2)=0,"Fully Utilised","Unconsumed")))</f>
      </c>
      <c r="F50" s="24"/>
      <c r="G50" s="25"/>
      <c r="H50" s="25"/>
      <c r="I50" s="26"/>
      <c r="J50" s="26"/>
      <c r="K50" s="26"/>
      <c r="L50" s="26"/>
      <c r="M50" s="26"/>
      <c r="N50" s="26"/>
      <c r="O50" s="26"/>
      <c r="P50" s="27">
        <f>IF($B50&lt;&gt;"Challan","",I50+J50+K50+L50+M50+N50)</f>
      </c>
      <c r="Q50" s="25"/>
      <c r="R50" s="25"/>
      <c r="S50" s="25"/>
      <c r="T50" s="25"/>
      <c r="U50" s="25"/>
      <c r="V50" s="28"/>
      <c r="W50" s="28"/>
      <c r="X50" s="23">
        <f>IF($B50="Entry",IF(AND(LEN(TRIM(UPPER(W50)))=10,CODE(MID(TRIM(UPPER(W50)),1,1))&gt;=65,CODE(MID(TRIM(UPPER(W50)),1,1))&lt;=90,CODE(MID(TRIM(UPPER(W50)),2,1))&gt;=65,CODE(MID(TRIM(UPPER(W50)),2,1))&lt;=90,CODE(MID(TRIM(UPPER(W50)),3,1))&gt;=65,CODE(MID(TRIM(UPPER(W50)),3,1))&lt;=90,CODE(MID(TRIM(UPPER(W50)),4,1))&gt;=65,CODE(MID(TRIM(UPPER(W50)),4,1))&lt;=90,CODE(MID(TRIM(UPPER(W50)),5,1))&gt;=65,CODE(MID(TRIM(UPPER(W50)),5,1))&lt;=90,CODE(MID(TRIM(UPPER(W50)),10,1))&gt;=65,CODE(MID(TRIM(UPPER(W50)),10,1))&lt;=90,CODE(MID(TRIM(UPPER(W50)),6,1))&gt;=48,CODE(MID(TRIM(UPPER(W50)),6,1))&lt;=57,CODE(MID(TRIM(UPPER(W50)),7,1))&gt;=48,CODE(MID(TRIM(UPPER(W50)),7,1))&lt;=57,CODE(MID(TRIM(UPPER(W50)),8,1))&gt;=48,CODE(MID(TRIM(UPPER(W50)),8,1))&lt;=57,CODE(MID(TRIM(UPPER(W50)),9,1))&gt;=48,CODE(MID(TRIM(UPPER(W50)),9,1))&lt;=57),"N","Y"),IF($B50="Challan","",IF(W50&lt;&gt;"","◄ Set Row Type","")))</f>
      </c>
      <c r="Y50" s="23">
        <f>IF($B50="Entry",IF(LEN(W50)&lt;4,"",IF(UPPER(MID(W50,4,1))="P","Individual",IF(UPPER(MID(W50,4,1))="H","HUF",IF(UPPER(MID(W50,4,1))="C","Company",IF(UPPER(MID(W50,4,1))="F","Firm",IF(UPPER(MID(W50,4,1))="L","LLP",IF(UPPER(MID(W50,4,1))="T","Trust",IF(UPPER(MID(W50,4,1))="A","AOP","")))))))),IF($B50="Challan","",IF(W50&lt;&gt;"","◄ Set Row Type","")))</f>
      </c>
      <c r="Z50" s="28"/>
      <c r="AA50" s="29">
        <f>IF($B50&lt;&gt;"Entry","",IF(Z50="","",IF(X50="Y",SUMPRODUCT(('Rate Lookup'!$A$1:$A$37=Z50)*'Rate Lookup'!$D$1:$D$37),IF(OR(Y50="Individual",Y50="HUF"),SUMPRODUCT(('Rate Lookup'!$A$1:$A$37=Z50)*'Rate Lookup'!$B$1:$B$37),SUMPRODUCT(('Rate Lookup'!$A$1:$A$37=Z50)*'Rate Lookup'!$C$1:$C$37)))))</f>
      </c>
      <c r="AB50" s="30"/>
      <c r="AC50" s="31"/>
      <c r="AD50" s="27">
        <f>IF($B50&lt;&gt;"Entry","",ROUND(AC50*AA50/100,0))</f>
      </c>
      <c r="AE50" s="27">
        <f>IF($B50&lt;&gt;"Entry","",0)</f>
      </c>
      <c r="AF50" s="27">
        <f>IF($B50&lt;&gt;"Entry","",0)</f>
      </c>
      <c r="AG50" s="27">
        <f>IF($B50&lt;&gt;"Entry","",IF(OR(AD50=0,AB50="",AQ50="",AQ50&lt;=0),0,IF(AQ50&lt;=DATE(YEAR(AB50),MONTH(AB50)+1,7),0,ROUND(AD50*0.015*((YEAR(AQ50)-YEAR(AB50))*12+(MONTH(AQ50)-MONTH(AB50))+1),0))))</f>
      </c>
      <c r="AH50" s="27">
        <f>IF($B50&lt;&gt;"Entry","",0)</f>
      </c>
      <c r="AI50" s="28"/>
      <c r="AJ50" s="28"/>
      <c r="AK50" s="32"/>
      <c r="AL50" s="28"/>
      <c r="AM50" s="28"/>
      <c r="AN50" s="27">
        <f>IF($B50&lt;&gt;"Challan","",SUMIF('Q1 Data'!$D$4:$D$207,D50,'Q1 Data'!$AD$4:$AD$207)+SUMIF('Q1 Data'!$D$4:$D$207,D50,'Q1 Data'!$AG$4:$AG$207)+SUMIF('Q1 Data'!$D$4:$D$207,D50,'Q1 Data'!$AE$4:$AE$207)+SUMIF('Q2 Data'!$D$4:$D$207,D50,'Q2 Data'!$AD$4:$AD$207)+SUMIF('Q2 Data'!$D$4:$D$207,D50,'Q2 Data'!$AG$4:$AG$207)+SUMIF('Q2 Data'!$D$4:$D$207,D50,'Q2 Data'!$AE$4:$AE$207)+SUMIF('Q3 Data'!$D$4:$D$207,D50,'Q3 Data'!$AD$4:$AD$207)+SUMIF('Q3 Data'!$D$4:$D$207,D50,'Q3 Data'!$AG$4:$AG$207)+SUMIF('Q3 Data'!$D$4:$D$207,D50,'Q3 Data'!$AE$4:$AE$207)+SUMIF('Q4 Data'!$D$4:$D$207,D50,'Q4 Data'!$AD$4:$AD$207)+SUMIF('Q4 Data'!$D$4:$D$207,D50,'Q4 Data'!$AG$4:$AG$207)+SUMIF('Q4 Data'!$D$4:$D$207,D50,'Q4 Data'!$AE$4:$AE$207))</f>
      </c>
      <c r="AO50" s="27">
        <f>IF($B50&lt;&gt;"Challan","",P50-N50)</f>
      </c>
      <c r="AP50" s="27">
        <f>IF($B50&lt;&gt;"Challan","",MAX(0,AO50-AN50))</f>
      </c>
      <c r="AQ50" s="33">
        <f>IF($B50&lt;&gt;"Entry","",SUMPRODUCT(('Q1 Data'!$D$4:$D$207=D50)*('Q1 Data'!$B$4:$B$207="Challan")*'Q1 Data'!$F$4:$F$207)+SUMPRODUCT(('Q2 Data'!$D$4:$D$207=D50)*('Q2 Data'!$B$4:$B$207="Challan")*'Q2 Data'!$F$4:$F$207)+SUMPRODUCT(('Q3 Data'!$D$4:$D$207=D50)*('Q3 Data'!$B$4:$B$207="Challan")*'Q3 Data'!$F$4:$F$207)+SUMPRODUCT(('Q4 Data'!$D$4:$D$207=D50)*('Q4 Data'!$B$4:$B$207="Challan")*'Q4 Data'!$F$4:$F$207))</f>
      </c>
      <c r="AR50" s="34">
        <f>IF(OR($B50&lt;&gt;"Entry",Z50=""),FALSE,AND((SUMPRODUCT(('Q1 Data'!$D$4:$D$207=D50)*('Q1 Data'!$B$4:$B$207="Challan")*('Q1 Data'!$H$4:$H$207&lt;&gt;""))+SUMPRODUCT(('Q2 Data'!$D$4:$D$207=D50)*('Q2 Data'!$B$4:$B$207="Challan")*('Q2 Data'!$H$4:$H$207&lt;&gt;""))+SUMPRODUCT(('Q3 Data'!$D$4:$D$207=D50)*('Q3 Data'!$B$4:$B$207="Challan")*('Q3 Data'!$H$4:$H$207&lt;&gt;""))+SUMPRODUCT(('Q4 Data'!$D$4:$D$207=D50)*('Q4 Data'!$B$4:$B$207="Challan")*('Q4 Data'!$H$4:$H$207&lt;&gt;"")))&gt;0,(SUMPRODUCT(('Q1 Data'!$D$4:$D$207=D50)*('Q1 Data'!$B$4:$B$207="Challan")*('Q1 Data'!$H$4:$H$207=Z50))+SUMPRODUCT(('Q2 Data'!$D$4:$D$207=D50)*('Q2 Data'!$B$4:$B$207="Challan")*('Q2 Data'!$H$4:$H$207=Z50))+SUMPRODUCT(('Q3 Data'!$D$4:$D$207=D50)*('Q3 Data'!$B$4:$B$207="Challan")*('Q3 Data'!$H$4:$H$207=Z50))+SUMPRODUCT(('Q4 Data'!$D$4:$D$207=D50)*('Q4 Data'!$B$4:$B$207="Challan")*('Q4 Data'!$H$4:$H$207=Z50)))=0))</f>
      </c>
    </row>
    <row r="51" spans="1:44" x14ac:dyDescent="0.25">
      <c r="A51" s="20">
        <f>IF($B51="Entry",COUNTIF($B$4:$B51,"Entry"),"")</f>
      </c>
      <c r="B51" s="21"/>
      <c r="C51" s="22"/>
      <c r="D51" s="22"/>
      <c r="E51" s="23">
        <f>IF($B51&lt;&gt;"Challan","",IF(ROUND(AN51-AO51,2)&gt;0,"Over-applied",IF(ROUND(AN51-AO51,2)=0,"Fully Utilised","Unconsumed")))</f>
      </c>
      <c r="F51" s="24"/>
      <c r="G51" s="25"/>
      <c r="H51" s="25"/>
      <c r="I51" s="26"/>
      <c r="J51" s="26"/>
      <c r="K51" s="26"/>
      <c r="L51" s="26"/>
      <c r="M51" s="26"/>
      <c r="N51" s="26"/>
      <c r="O51" s="26"/>
      <c r="P51" s="27">
        <f>IF($B51&lt;&gt;"Challan","",I51+J51+K51+L51+M51+N51)</f>
      </c>
      <c r="Q51" s="25"/>
      <c r="R51" s="25"/>
      <c r="S51" s="25"/>
      <c r="T51" s="25"/>
      <c r="U51" s="25"/>
      <c r="V51" s="28"/>
      <c r="W51" s="28"/>
      <c r="X51" s="23">
        <f>IF($B51="Entry",IF(AND(LEN(TRIM(UPPER(W51)))=10,CODE(MID(TRIM(UPPER(W51)),1,1))&gt;=65,CODE(MID(TRIM(UPPER(W51)),1,1))&lt;=90,CODE(MID(TRIM(UPPER(W51)),2,1))&gt;=65,CODE(MID(TRIM(UPPER(W51)),2,1))&lt;=90,CODE(MID(TRIM(UPPER(W51)),3,1))&gt;=65,CODE(MID(TRIM(UPPER(W51)),3,1))&lt;=90,CODE(MID(TRIM(UPPER(W51)),4,1))&gt;=65,CODE(MID(TRIM(UPPER(W51)),4,1))&lt;=90,CODE(MID(TRIM(UPPER(W51)),5,1))&gt;=65,CODE(MID(TRIM(UPPER(W51)),5,1))&lt;=90,CODE(MID(TRIM(UPPER(W51)),10,1))&gt;=65,CODE(MID(TRIM(UPPER(W51)),10,1))&lt;=90,CODE(MID(TRIM(UPPER(W51)),6,1))&gt;=48,CODE(MID(TRIM(UPPER(W51)),6,1))&lt;=57,CODE(MID(TRIM(UPPER(W51)),7,1))&gt;=48,CODE(MID(TRIM(UPPER(W51)),7,1))&lt;=57,CODE(MID(TRIM(UPPER(W51)),8,1))&gt;=48,CODE(MID(TRIM(UPPER(W51)),8,1))&lt;=57,CODE(MID(TRIM(UPPER(W51)),9,1))&gt;=48,CODE(MID(TRIM(UPPER(W51)),9,1))&lt;=57),"N","Y"),IF($B51="Challan","",IF(W51&lt;&gt;"","◄ Set Row Type","")))</f>
      </c>
      <c r="Y51" s="23">
        <f>IF($B51="Entry",IF(LEN(W51)&lt;4,"",IF(UPPER(MID(W51,4,1))="P","Individual",IF(UPPER(MID(W51,4,1))="H","HUF",IF(UPPER(MID(W51,4,1))="C","Company",IF(UPPER(MID(W51,4,1))="F","Firm",IF(UPPER(MID(W51,4,1))="L","LLP",IF(UPPER(MID(W51,4,1))="T","Trust",IF(UPPER(MID(W51,4,1))="A","AOP","")))))))),IF($B51="Challan","",IF(W51&lt;&gt;"","◄ Set Row Type","")))</f>
      </c>
      <c r="Z51" s="28"/>
      <c r="AA51" s="29">
        <f>IF($B51&lt;&gt;"Entry","",IF(Z51="","",IF(X51="Y",SUMPRODUCT(('Rate Lookup'!$A$1:$A$37=Z51)*'Rate Lookup'!$D$1:$D$37),IF(OR(Y51="Individual",Y51="HUF"),SUMPRODUCT(('Rate Lookup'!$A$1:$A$37=Z51)*'Rate Lookup'!$B$1:$B$37),SUMPRODUCT(('Rate Lookup'!$A$1:$A$37=Z51)*'Rate Lookup'!$C$1:$C$37)))))</f>
      </c>
      <c r="AB51" s="30"/>
      <c r="AC51" s="31"/>
      <c r="AD51" s="27">
        <f>IF($B51&lt;&gt;"Entry","",ROUND(AC51*AA51/100,0))</f>
      </c>
      <c r="AE51" s="27">
        <f>IF($B51&lt;&gt;"Entry","",0)</f>
      </c>
      <c r="AF51" s="27">
        <f>IF($B51&lt;&gt;"Entry","",0)</f>
      </c>
      <c r="AG51" s="27">
        <f>IF($B51&lt;&gt;"Entry","",IF(OR(AD51=0,AB51="",AQ51="",AQ51&lt;=0),0,IF(AQ51&lt;=DATE(YEAR(AB51),MONTH(AB51)+1,7),0,ROUND(AD51*0.015*((YEAR(AQ51)-YEAR(AB51))*12+(MONTH(AQ51)-MONTH(AB51))+1),0))))</f>
      </c>
      <c r="AH51" s="27">
        <f>IF($B51&lt;&gt;"Entry","",0)</f>
      </c>
      <c r="AI51" s="28"/>
      <c r="AJ51" s="28"/>
      <c r="AK51" s="32"/>
      <c r="AL51" s="28"/>
      <c r="AM51" s="28"/>
      <c r="AN51" s="27">
        <f>IF($B51&lt;&gt;"Challan","",SUMIF('Q1 Data'!$D$4:$D$207,D51,'Q1 Data'!$AD$4:$AD$207)+SUMIF('Q1 Data'!$D$4:$D$207,D51,'Q1 Data'!$AG$4:$AG$207)+SUMIF('Q1 Data'!$D$4:$D$207,D51,'Q1 Data'!$AE$4:$AE$207)+SUMIF('Q2 Data'!$D$4:$D$207,D51,'Q2 Data'!$AD$4:$AD$207)+SUMIF('Q2 Data'!$D$4:$D$207,D51,'Q2 Data'!$AG$4:$AG$207)+SUMIF('Q2 Data'!$D$4:$D$207,D51,'Q2 Data'!$AE$4:$AE$207)+SUMIF('Q3 Data'!$D$4:$D$207,D51,'Q3 Data'!$AD$4:$AD$207)+SUMIF('Q3 Data'!$D$4:$D$207,D51,'Q3 Data'!$AG$4:$AG$207)+SUMIF('Q3 Data'!$D$4:$D$207,D51,'Q3 Data'!$AE$4:$AE$207)+SUMIF('Q4 Data'!$D$4:$D$207,D51,'Q4 Data'!$AD$4:$AD$207)+SUMIF('Q4 Data'!$D$4:$D$207,D51,'Q4 Data'!$AG$4:$AG$207)+SUMIF('Q4 Data'!$D$4:$D$207,D51,'Q4 Data'!$AE$4:$AE$207))</f>
      </c>
      <c r="AO51" s="27">
        <f>IF($B51&lt;&gt;"Challan","",P51-N51)</f>
      </c>
      <c r="AP51" s="27">
        <f>IF($B51&lt;&gt;"Challan","",MAX(0,AO51-AN51))</f>
      </c>
      <c r="AQ51" s="33">
        <f>IF($B51&lt;&gt;"Entry","",SUMPRODUCT(('Q1 Data'!$D$4:$D$207=D51)*('Q1 Data'!$B$4:$B$207="Challan")*'Q1 Data'!$F$4:$F$207)+SUMPRODUCT(('Q2 Data'!$D$4:$D$207=D51)*('Q2 Data'!$B$4:$B$207="Challan")*'Q2 Data'!$F$4:$F$207)+SUMPRODUCT(('Q3 Data'!$D$4:$D$207=D51)*('Q3 Data'!$B$4:$B$207="Challan")*'Q3 Data'!$F$4:$F$207)+SUMPRODUCT(('Q4 Data'!$D$4:$D$207=D51)*('Q4 Data'!$B$4:$B$207="Challan")*'Q4 Data'!$F$4:$F$207))</f>
      </c>
      <c r="AR51" s="34">
        <f>IF(OR($B51&lt;&gt;"Entry",Z51=""),FALSE,AND((SUMPRODUCT(('Q1 Data'!$D$4:$D$207=D51)*('Q1 Data'!$B$4:$B$207="Challan")*('Q1 Data'!$H$4:$H$207&lt;&gt;""))+SUMPRODUCT(('Q2 Data'!$D$4:$D$207=D51)*('Q2 Data'!$B$4:$B$207="Challan")*('Q2 Data'!$H$4:$H$207&lt;&gt;""))+SUMPRODUCT(('Q3 Data'!$D$4:$D$207=D51)*('Q3 Data'!$B$4:$B$207="Challan")*('Q3 Data'!$H$4:$H$207&lt;&gt;""))+SUMPRODUCT(('Q4 Data'!$D$4:$D$207=D51)*('Q4 Data'!$B$4:$B$207="Challan")*('Q4 Data'!$H$4:$H$207&lt;&gt;"")))&gt;0,(SUMPRODUCT(('Q1 Data'!$D$4:$D$207=D51)*('Q1 Data'!$B$4:$B$207="Challan")*('Q1 Data'!$H$4:$H$207=Z51))+SUMPRODUCT(('Q2 Data'!$D$4:$D$207=D51)*('Q2 Data'!$B$4:$B$207="Challan")*('Q2 Data'!$H$4:$H$207=Z51))+SUMPRODUCT(('Q3 Data'!$D$4:$D$207=D51)*('Q3 Data'!$B$4:$B$207="Challan")*('Q3 Data'!$H$4:$H$207=Z51))+SUMPRODUCT(('Q4 Data'!$D$4:$D$207=D51)*('Q4 Data'!$B$4:$B$207="Challan")*('Q4 Data'!$H$4:$H$207=Z51)))=0))</f>
      </c>
    </row>
    <row r="52" spans="1:44" x14ac:dyDescent="0.25">
      <c r="A52" s="20">
        <f>IF($B52="Entry",COUNTIF($B$4:$B52,"Entry"),"")</f>
      </c>
      <c r="B52" s="21"/>
      <c r="C52" s="22"/>
      <c r="D52" s="22"/>
      <c r="E52" s="23">
        <f>IF($B52&lt;&gt;"Challan","",IF(ROUND(AN52-AO52,2)&gt;0,"Over-applied",IF(ROUND(AN52-AO52,2)=0,"Fully Utilised","Unconsumed")))</f>
      </c>
      <c r="F52" s="24"/>
      <c r="G52" s="25"/>
      <c r="H52" s="25"/>
      <c r="I52" s="26"/>
      <c r="J52" s="26"/>
      <c r="K52" s="26"/>
      <c r="L52" s="26"/>
      <c r="M52" s="26"/>
      <c r="N52" s="26"/>
      <c r="O52" s="26"/>
      <c r="P52" s="27">
        <f>IF($B52&lt;&gt;"Challan","",I52+J52+K52+L52+M52+N52)</f>
      </c>
      <c r="Q52" s="25"/>
      <c r="R52" s="25"/>
      <c r="S52" s="25"/>
      <c r="T52" s="25"/>
      <c r="U52" s="25"/>
      <c r="V52" s="28"/>
      <c r="W52" s="28"/>
      <c r="X52" s="23">
        <f>IF($B52="Entry",IF(AND(LEN(TRIM(UPPER(W52)))=10,CODE(MID(TRIM(UPPER(W52)),1,1))&gt;=65,CODE(MID(TRIM(UPPER(W52)),1,1))&lt;=90,CODE(MID(TRIM(UPPER(W52)),2,1))&gt;=65,CODE(MID(TRIM(UPPER(W52)),2,1))&lt;=90,CODE(MID(TRIM(UPPER(W52)),3,1))&gt;=65,CODE(MID(TRIM(UPPER(W52)),3,1))&lt;=90,CODE(MID(TRIM(UPPER(W52)),4,1))&gt;=65,CODE(MID(TRIM(UPPER(W52)),4,1))&lt;=90,CODE(MID(TRIM(UPPER(W52)),5,1))&gt;=65,CODE(MID(TRIM(UPPER(W52)),5,1))&lt;=90,CODE(MID(TRIM(UPPER(W52)),10,1))&gt;=65,CODE(MID(TRIM(UPPER(W52)),10,1))&lt;=90,CODE(MID(TRIM(UPPER(W52)),6,1))&gt;=48,CODE(MID(TRIM(UPPER(W52)),6,1))&lt;=57,CODE(MID(TRIM(UPPER(W52)),7,1))&gt;=48,CODE(MID(TRIM(UPPER(W52)),7,1))&lt;=57,CODE(MID(TRIM(UPPER(W52)),8,1))&gt;=48,CODE(MID(TRIM(UPPER(W52)),8,1))&lt;=57,CODE(MID(TRIM(UPPER(W52)),9,1))&gt;=48,CODE(MID(TRIM(UPPER(W52)),9,1))&lt;=57),"N","Y"),IF($B52="Challan","",IF(W52&lt;&gt;"","◄ Set Row Type","")))</f>
      </c>
      <c r="Y52" s="23">
        <f>IF($B52="Entry",IF(LEN(W52)&lt;4,"",IF(UPPER(MID(W52,4,1))="P","Individual",IF(UPPER(MID(W52,4,1))="H","HUF",IF(UPPER(MID(W52,4,1))="C","Company",IF(UPPER(MID(W52,4,1))="F","Firm",IF(UPPER(MID(W52,4,1))="L","LLP",IF(UPPER(MID(W52,4,1))="T","Trust",IF(UPPER(MID(W52,4,1))="A","AOP","")))))))),IF($B52="Challan","",IF(W52&lt;&gt;"","◄ Set Row Type","")))</f>
      </c>
      <c r="Z52" s="28"/>
      <c r="AA52" s="29">
        <f>IF($B52&lt;&gt;"Entry","",IF(Z52="","",IF(X52="Y",SUMPRODUCT(('Rate Lookup'!$A$1:$A$37=Z52)*'Rate Lookup'!$D$1:$D$37),IF(OR(Y52="Individual",Y52="HUF"),SUMPRODUCT(('Rate Lookup'!$A$1:$A$37=Z52)*'Rate Lookup'!$B$1:$B$37),SUMPRODUCT(('Rate Lookup'!$A$1:$A$37=Z52)*'Rate Lookup'!$C$1:$C$37)))))</f>
      </c>
      <c r="AB52" s="30"/>
      <c r="AC52" s="31"/>
      <c r="AD52" s="27">
        <f>IF($B52&lt;&gt;"Entry","",ROUND(AC52*AA52/100,0))</f>
      </c>
      <c r="AE52" s="27">
        <f>IF($B52&lt;&gt;"Entry","",0)</f>
      </c>
      <c r="AF52" s="27">
        <f>IF($B52&lt;&gt;"Entry","",0)</f>
      </c>
      <c r="AG52" s="27">
        <f>IF($B52&lt;&gt;"Entry","",IF(OR(AD52=0,AB52="",AQ52="",AQ52&lt;=0),0,IF(AQ52&lt;=DATE(YEAR(AB52),MONTH(AB52)+1,7),0,ROUND(AD52*0.015*((YEAR(AQ52)-YEAR(AB52))*12+(MONTH(AQ52)-MONTH(AB52))+1),0))))</f>
      </c>
      <c r="AH52" s="27">
        <f>IF($B52&lt;&gt;"Entry","",0)</f>
      </c>
      <c r="AI52" s="28"/>
      <c r="AJ52" s="28"/>
      <c r="AK52" s="32"/>
      <c r="AL52" s="28"/>
      <c r="AM52" s="28"/>
      <c r="AN52" s="27">
        <f>IF($B52&lt;&gt;"Challan","",SUMIF('Q1 Data'!$D$4:$D$207,D52,'Q1 Data'!$AD$4:$AD$207)+SUMIF('Q1 Data'!$D$4:$D$207,D52,'Q1 Data'!$AG$4:$AG$207)+SUMIF('Q1 Data'!$D$4:$D$207,D52,'Q1 Data'!$AE$4:$AE$207)+SUMIF('Q2 Data'!$D$4:$D$207,D52,'Q2 Data'!$AD$4:$AD$207)+SUMIF('Q2 Data'!$D$4:$D$207,D52,'Q2 Data'!$AG$4:$AG$207)+SUMIF('Q2 Data'!$D$4:$D$207,D52,'Q2 Data'!$AE$4:$AE$207)+SUMIF('Q3 Data'!$D$4:$D$207,D52,'Q3 Data'!$AD$4:$AD$207)+SUMIF('Q3 Data'!$D$4:$D$207,D52,'Q3 Data'!$AG$4:$AG$207)+SUMIF('Q3 Data'!$D$4:$D$207,D52,'Q3 Data'!$AE$4:$AE$207)+SUMIF('Q4 Data'!$D$4:$D$207,D52,'Q4 Data'!$AD$4:$AD$207)+SUMIF('Q4 Data'!$D$4:$D$207,D52,'Q4 Data'!$AG$4:$AG$207)+SUMIF('Q4 Data'!$D$4:$D$207,D52,'Q4 Data'!$AE$4:$AE$207))</f>
      </c>
      <c r="AO52" s="27">
        <f>IF($B52&lt;&gt;"Challan","",P52-N52)</f>
      </c>
      <c r="AP52" s="27">
        <f>IF($B52&lt;&gt;"Challan","",MAX(0,AO52-AN52))</f>
      </c>
      <c r="AQ52" s="33">
        <f>IF($B52&lt;&gt;"Entry","",SUMPRODUCT(('Q1 Data'!$D$4:$D$207=D52)*('Q1 Data'!$B$4:$B$207="Challan")*'Q1 Data'!$F$4:$F$207)+SUMPRODUCT(('Q2 Data'!$D$4:$D$207=D52)*('Q2 Data'!$B$4:$B$207="Challan")*'Q2 Data'!$F$4:$F$207)+SUMPRODUCT(('Q3 Data'!$D$4:$D$207=D52)*('Q3 Data'!$B$4:$B$207="Challan")*'Q3 Data'!$F$4:$F$207)+SUMPRODUCT(('Q4 Data'!$D$4:$D$207=D52)*('Q4 Data'!$B$4:$B$207="Challan")*'Q4 Data'!$F$4:$F$207))</f>
      </c>
      <c r="AR52" s="34">
        <f>IF(OR($B52&lt;&gt;"Entry",Z52=""),FALSE,AND((SUMPRODUCT(('Q1 Data'!$D$4:$D$207=D52)*('Q1 Data'!$B$4:$B$207="Challan")*('Q1 Data'!$H$4:$H$207&lt;&gt;""))+SUMPRODUCT(('Q2 Data'!$D$4:$D$207=D52)*('Q2 Data'!$B$4:$B$207="Challan")*('Q2 Data'!$H$4:$H$207&lt;&gt;""))+SUMPRODUCT(('Q3 Data'!$D$4:$D$207=D52)*('Q3 Data'!$B$4:$B$207="Challan")*('Q3 Data'!$H$4:$H$207&lt;&gt;""))+SUMPRODUCT(('Q4 Data'!$D$4:$D$207=D52)*('Q4 Data'!$B$4:$B$207="Challan")*('Q4 Data'!$H$4:$H$207&lt;&gt;"")))&gt;0,(SUMPRODUCT(('Q1 Data'!$D$4:$D$207=D52)*('Q1 Data'!$B$4:$B$207="Challan")*('Q1 Data'!$H$4:$H$207=Z52))+SUMPRODUCT(('Q2 Data'!$D$4:$D$207=D52)*('Q2 Data'!$B$4:$B$207="Challan")*('Q2 Data'!$H$4:$H$207=Z52))+SUMPRODUCT(('Q3 Data'!$D$4:$D$207=D52)*('Q3 Data'!$B$4:$B$207="Challan")*('Q3 Data'!$H$4:$H$207=Z52))+SUMPRODUCT(('Q4 Data'!$D$4:$D$207=D52)*('Q4 Data'!$B$4:$B$207="Challan")*('Q4 Data'!$H$4:$H$207=Z52)))=0))</f>
      </c>
    </row>
    <row r="53" spans="1:44" x14ac:dyDescent="0.25">
      <c r="A53" s="20">
        <f>IF($B53="Entry",COUNTIF($B$4:$B53,"Entry"),"")</f>
      </c>
      <c r="B53" s="21"/>
      <c r="C53" s="22"/>
      <c r="D53" s="22"/>
      <c r="E53" s="23">
        <f>IF($B53&lt;&gt;"Challan","",IF(ROUND(AN53-AO53,2)&gt;0,"Over-applied",IF(ROUND(AN53-AO53,2)=0,"Fully Utilised","Unconsumed")))</f>
      </c>
      <c r="F53" s="24"/>
      <c r="G53" s="25"/>
      <c r="H53" s="25"/>
      <c r="I53" s="26"/>
      <c r="J53" s="26"/>
      <c r="K53" s="26"/>
      <c r="L53" s="26"/>
      <c r="M53" s="26"/>
      <c r="N53" s="26"/>
      <c r="O53" s="26"/>
      <c r="P53" s="27">
        <f>IF($B53&lt;&gt;"Challan","",I53+J53+K53+L53+M53+N53)</f>
      </c>
      <c r="Q53" s="25"/>
      <c r="R53" s="25"/>
      <c r="S53" s="25"/>
      <c r="T53" s="25"/>
      <c r="U53" s="25"/>
      <c r="V53" s="28"/>
      <c r="W53" s="28"/>
      <c r="X53" s="23">
        <f>IF($B53="Entry",IF(AND(LEN(TRIM(UPPER(W53)))=10,CODE(MID(TRIM(UPPER(W53)),1,1))&gt;=65,CODE(MID(TRIM(UPPER(W53)),1,1))&lt;=90,CODE(MID(TRIM(UPPER(W53)),2,1))&gt;=65,CODE(MID(TRIM(UPPER(W53)),2,1))&lt;=90,CODE(MID(TRIM(UPPER(W53)),3,1))&gt;=65,CODE(MID(TRIM(UPPER(W53)),3,1))&lt;=90,CODE(MID(TRIM(UPPER(W53)),4,1))&gt;=65,CODE(MID(TRIM(UPPER(W53)),4,1))&lt;=90,CODE(MID(TRIM(UPPER(W53)),5,1))&gt;=65,CODE(MID(TRIM(UPPER(W53)),5,1))&lt;=90,CODE(MID(TRIM(UPPER(W53)),10,1))&gt;=65,CODE(MID(TRIM(UPPER(W53)),10,1))&lt;=90,CODE(MID(TRIM(UPPER(W53)),6,1))&gt;=48,CODE(MID(TRIM(UPPER(W53)),6,1))&lt;=57,CODE(MID(TRIM(UPPER(W53)),7,1))&gt;=48,CODE(MID(TRIM(UPPER(W53)),7,1))&lt;=57,CODE(MID(TRIM(UPPER(W53)),8,1))&gt;=48,CODE(MID(TRIM(UPPER(W53)),8,1))&lt;=57,CODE(MID(TRIM(UPPER(W53)),9,1))&gt;=48,CODE(MID(TRIM(UPPER(W53)),9,1))&lt;=57),"N","Y"),IF($B53="Challan","",IF(W53&lt;&gt;"","◄ Set Row Type","")))</f>
      </c>
      <c r="Y53" s="23">
        <f>IF($B53="Entry",IF(LEN(W53)&lt;4,"",IF(UPPER(MID(W53,4,1))="P","Individual",IF(UPPER(MID(W53,4,1))="H","HUF",IF(UPPER(MID(W53,4,1))="C","Company",IF(UPPER(MID(W53,4,1))="F","Firm",IF(UPPER(MID(W53,4,1))="L","LLP",IF(UPPER(MID(W53,4,1))="T","Trust",IF(UPPER(MID(W53,4,1))="A","AOP","")))))))),IF($B53="Challan","",IF(W53&lt;&gt;"","◄ Set Row Type","")))</f>
      </c>
      <c r="Z53" s="28"/>
      <c r="AA53" s="29">
        <f>IF($B53&lt;&gt;"Entry","",IF(Z53="","",IF(X53="Y",SUMPRODUCT(('Rate Lookup'!$A$1:$A$37=Z53)*'Rate Lookup'!$D$1:$D$37),IF(OR(Y53="Individual",Y53="HUF"),SUMPRODUCT(('Rate Lookup'!$A$1:$A$37=Z53)*'Rate Lookup'!$B$1:$B$37),SUMPRODUCT(('Rate Lookup'!$A$1:$A$37=Z53)*'Rate Lookup'!$C$1:$C$37)))))</f>
      </c>
      <c r="AB53" s="30"/>
      <c r="AC53" s="31"/>
      <c r="AD53" s="27">
        <f>IF($B53&lt;&gt;"Entry","",ROUND(AC53*AA53/100,0))</f>
      </c>
      <c r="AE53" s="27">
        <f>IF($B53&lt;&gt;"Entry","",0)</f>
      </c>
      <c r="AF53" s="27">
        <f>IF($B53&lt;&gt;"Entry","",0)</f>
      </c>
      <c r="AG53" s="27">
        <f>IF($B53&lt;&gt;"Entry","",IF(OR(AD53=0,AB53="",AQ53="",AQ53&lt;=0),0,IF(AQ53&lt;=DATE(YEAR(AB53),MONTH(AB53)+1,7),0,ROUND(AD53*0.015*((YEAR(AQ53)-YEAR(AB53))*12+(MONTH(AQ53)-MONTH(AB53))+1),0))))</f>
      </c>
      <c r="AH53" s="27">
        <f>IF($B53&lt;&gt;"Entry","",0)</f>
      </c>
      <c r="AI53" s="28"/>
      <c r="AJ53" s="28"/>
      <c r="AK53" s="32"/>
      <c r="AL53" s="28"/>
      <c r="AM53" s="28"/>
      <c r="AN53" s="27">
        <f>IF($B53&lt;&gt;"Challan","",SUMIF('Q1 Data'!$D$4:$D$207,D53,'Q1 Data'!$AD$4:$AD$207)+SUMIF('Q1 Data'!$D$4:$D$207,D53,'Q1 Data'!$AG$4:$AG$207)+SUMIF('Q1 Data'!$D$4:$D$207,D53,'Q1 Data'!$AE$4:$AE$207)+SUMIF('Q2 Data'!$D$4:$D$207,D53,'Q2 Data'!$AD$4:$AD$207)+SUMIF('Q2 Data'!$D$4:$D$207,D53,'Q2 Data'!$AG$4:$AG$207)+SUMIF('Q2 Data'!$D$4:$D$207,D53,'Q2 Data'!$AE$4:$AE$207)+SUMIF('Q3 Data'!$D$4:$D$207,D53,'Q3 Data'!$AD$4:$AD$207)+SUMIF('Q3 Data'!$D$4:$D$207,D53,'Q3 Data'!$AG$4:$AG$207)+SUMIF('Q3 Data'!$D$4:$D$207,D53,'Q3 Data'!$AE$4:$AE$207)+SUMIF('Q4 Data'!$D$4:$D$207,D53,'Q4 Data'!$AD$4:$AD$207)+SUMIF('Q4 Data'!$D$4:$D$207,D53,'Q4 Data'!$AG$4:$AG$207)+SUMIF('Q4 Data'!$D$4:$D$207,D53,'Q4 Data'!$AE$4:$AE$207))</f>
      </c>
      <c r="AO53" s="27">
        <f>IF($B53&lt;&gt;"Challan","",P53-N53)</f>
      </c>
      <c r="AP53" s="27">
        <f>IF($B53&lt;&gt;"Challan","",MAX(0,AO53-AN53))</f>
      </c>
      <c r="AQ53" s="33">
        <f>IF($B53&lt;&gt;"Entry","",SUMPRODUCT(('Q1 Data'!$D$4:$D$207=D53)*('Q1 Data'!$B$4:$B$207="Challan")*'Q1 Data'!$F$4:$F$207)+SUMPRODUCT(('Q2 Data'!$D$4:$D$207=D53)*('Q2 Data'!$B$4:$B$207="Challan")*'Q2 Data'!$F$4:$F$207)+SUMPRODUCT(('Q3 Data'!$D$4:$D$207=D53)*('Q3 Data'!$B$4:$B$207="Challan")*'Q3 Data'!$F$4:$F$207)+SUMPRODUCT(('Q4 Data'!$D$4:$D$207=D53)*('Q4 Data'!$B$4:$B$207="Challan")*'Q4 Data'!$F$4:$F$207))</f>
      </c>
      <c r="AR53" s="34">
        <f>IF(OR($B53&lt;&gt;"Entry",Z53=""),FALSE,AND((SUMPRODUCT(('Q1 Data'!$D$4:$D$207=D53)*('Q1 Data'!$B$4:$B$207="Challan")*('Q1 Data'!$H$4:$H$207&lt;&gt;""))+SUMPRODUCT(('Q2 Data'!$D$4:$D$207=D53)*('Q2 Data'!$B$4:$B$207="Challan")*('Q2 Data'!$H$4:$H$207&lt;&gt;""))+SUMPRODUCT(('Q3 Data'!$D$4:$D$207=D53)*('Q3 Data'!$B$4:$B$207="Challan")*('Q3 Data'!$H$4:$H$207&lt;&gt;""))+SUMPRODUCT(('Q4 Data'!$D$4:$D$207=D53)*('Q4 Data'!$B$4:$B$207="Challan")*('Q4 Data'!$H$4:$H$207&lt;&gt;"")))&gt;0,(SUMPRODUCT(('Q1 Data'!$D$4:$D$207=D53)*('Q1 Data'!$B$4:$B$207="Challan")*('Q1 Data'!$H$4:$H$207=Z53))+SUMPRODUCT(('Q2 Data'!$D$4:$D$207=D53)*('Q2 Data'!$B$4:$B$207="Challan")*('Q2 Data'!$H$4:$H$207=Z53))+SUMPRODUCT(('Q3 Data'!$D$4:$D$207=D53)*('Q3 Data'!$B$4:$B$207="Challan")*('Q3 Data'!$H$4:$H$207=Z53))+SUMPRODUCT(('Q4 Data'!$D$4:$D$207=D53)*('Q4 Data'!$B$4:$B$207="Challan")*('Q4 Data'!$H$4:$H$207=Z53)))=0))</f>
      </c>
    </row>
    <row r="54" spans="1:44" x14ac:dyDescent="0.25">
      <c r="A54" s="20">
        <f>IF($B54="Entry",COUNTIF($B$4:$B54,"Entry"),"")</f>
      </c>
      <c r="B54" s="21"/>
      <c r="C54" s="22"/>
      <c r="D54" s="22"/>
      <c r="E54" s="23">
        <f>IF($B54&lt;&gt;"Challan","",IF(ROUND(AN54-AO54,2)&gt;0,"Over-applied",IF(ROUND(AN54-AO54,2)=0,"Fully Utilised","Unconsumed")))</f>
      </c>
      <c r="F54" s="24"/>
      <c r="G54" s="25"/>
      <c r="H54" s="25"/>
      <c r="I54" s="26"/>
      <c r="J54" s="26"/>
      <c r="K54" s="26"/>
      <c r="L54" s="26"/>
      <c r="M54" s="26"/>
      <c r="N54" s="26"/>
      <c r="O54" s="26"/>
      <c r="P54" s="27">
        <f>IF($B54&lt;&gt;"Challan","",I54+J54+K54+L54+M54+N54)</f>
      </c>
      <c r="Q54" s="25"/>
      <c r="R54" s="25"/>
      <c r="S54" s="25"/>
      <c r="T54" s="25"/>
      <c r="U54" s="25"/>
      <c r="V54" s="28"/>
      <c r="W54" s="28"/>
      <c r="X54" s="23">
        <f>IF($B54="Entry",IF(AND(LEN(TRIM(UPPER(W54)))=10,CODE(MID(TRIM(UPPER(W54)),1,1))&gt;=65,CODE(MID(TRIM(UPPER(W54)),1,1))&lt;=90,CODE(MID(TRIM(UPPER(W54)),2,1))&gt;=65,CODE(MID(TRIM(UPPER(W54)),2,1))&lt;=90,CODE(MID(TRIM(UPPER(W54)),3,1))&gt;=65,CODE(MID(TRIM(UPPER(W54)),3,1))&lt;=90,CODE(MID(TRIM(UPPER(W54)),4,1))&gt;=65,CODE(MID(TRIM(UPPER(W54)),4,1))&lt;=90,CODE(MID(TRIM(UPPER(W54)),5,1))&gt;=65,CODE(MID(TRIM(UPPER(W54)),5,1))&lt;=90,CODE(MID(TRIM(UPPER(W54)),10,1))&gt;=65,CODE(MID(TRIM(UPPER(W54)),10,1))&lt;=90,CODE(MID(TRIM(UPPER(W54)),6,1))&gt;=48,CODE(MID(TRIM(UPPER(W54)),6,1))&lt;=57,CODE(MID(TRIM(UPPER(W54)),7,1))&gt;=48,CODE(MID(TRIM(UPPER(W54)),7,1))&lt;=57,CODE(MID(TRIM(UPPER(W54)),8,1))&gt;=48,CODE(MID(TRIM(UPPER(W54)),8,1))&lt;=57,CODE(MID(TRIM(UPPER(W54)),9,1))&gt;=48,CODE(MID(TRIM(UPPER(W54)),9,1))&lt;=57),"N","Y"),IF($B54="Challan","",IF(W54&lt;&gt;"","◄ Set Row Type","")))</f>
      </c>
      <c r="Y54" s="23">
        <f>IF($B54="Entry",IF(LEN(W54)&lt;4,"",IF(UPPER(MID(W54,4,1))="P","Individual",IF(UPPER(MID(W54,4,1))="H","HUF",IF(UPPER(MID(W54,4,1))="C","Company",IF(UPPER(MID(W54,4,1))="F","Firm",IF(UPPER(MID(W54,4,1))="L","LLP",IF(UPPER(MID(W54,4,1))="T","Trust",IF(UPPER(MID(W54,4,1))="A","AOP","")))))))),IF($B54="Challan","",IF(W54&lt;&gt;"","◄ Set Row Type","")))</f>
      </c>
      <c r="Z54" s="28"/>
      <c r="AA54" s="29">
        <f>IF($B54&lt;&gt;"Entry","",IF(Z54="","",IF(X54="Y",SUMPRODUCT(('Rate Lookup'!$A$1:$A$37=Z54)*'Rate Lookup'!$D$1:$D$37),IF(OR(Y54="Individual",Y54="HUF"),SUMPRODUCT(('Rate Lookup'!$A$1:$A$37=Z54)*'Rate Lookup'!$B$1:$B$37),SUMPRODUCT(('Rate Lookup'!$A$1:$A$37=Z54)*'Rate Lookup'!$C$1:$C$37)))))</f>
      </c>
      <c r="AB54" s="30"/>
      <c r="AC54" s="31"/>
      <c r="AD54" s="27">
        <f>IF($B54&lt;&gt;"Entry","",ROUND(AC54*AA54/100,0))</f>
      </c>
      <c r="AE54" s="27">
        <f>IF($B54&lt;&gt;"Entry","",0)</f>
      </c>
      <c r="AF54" s="27">
        <f>IF($B54&lt;&gt;"Entry","",0)</f>
      </c>
      <c r="AG54" s="27">
        <f>IF($B54&lt;&gt;"Entry","",IF(OR(AD54=0,AB54="",AQ54="",AQ54&lt;=0),0,IF(AQ54&lt;=DATE(YEAR(AB54),MONTH(AB54)+1,7),0,ROUND(AD54*0.015*((YEAR(AQ54)-YEAR(AB54))*12+(MONTH(AQ54)-MONTH(AB54))+1),0))))</f>
      </c>
      <c r="AH54" s="27">
        <f>IF($B54&lt;&gt;"Entry","",0)</f>
      </c>
      <c r="AI54" s="28"/>
      <c r="AJ54" s="28"/>
      <c r="AK54" s="32"/>
      <c r="AL54" s="28"/>
      <c r="AM54" s="28"/>
      <c r="AN54" s="27">
        <f>IF($B54&lt;&gt;"Challan","",SUMIF('Q1 Data'!$D$4:$D$207,D54,'Q1 Data'!$AD$4:$AD$207)+SUMIF('Q1 Data'!$D$4:$D$207,D54,'Q1 Data'!$AG$4:$AG$207)+SUMIF('Q1 Data'!$D$4:$D$207,D54,'Q1 Data'!$AE$4:$AE$207)+SUMIF('Q2 Data'!$D$4:$D$207,D54,'Q2 Data'!$AD$4:$AD$207)+SUMIF('Q2 Data'!$D$4:$D$207,D54,'Q2 Data'!$AG$4:$AG$207)+SUMIF('Q2 Data'!$D$4:$D$207,D54,'Q2 Data'!$AE$4:$AE$207)+SUMIF('Q3 Data'!$D$4:$D$207,D54,'Q3 Data'!$AD$4:$AD$207)+SUMIF('Q3 Data'!$D$4:$D$207,D54,'Q3 Data'!$AG$4:$AG$207)+SUMIF('Q3 Data'!$D$4:$D$207,D54,'Q3 Data'!$AE$4:$AE$207)+SUMIF('Q4 Data'!$D$4:$D$207,D54,'Q4 Data'!$AD$4:$AD$207)+SUMIF('Q4 Data'!$D$4:$D$207,D54,'Q4 Data'!$AG$4:$AG$207)+SUMIF('Q4 Data'!$D$4:$D$207,D54,'Q4 Data'!$AE$4:$AE$207))</f>
      </c>
      <c r="AO54" s="27">
        <f>IF($B54&lt;&gt;"Challan","",P54-N54)</f>
      </c>
      <c r="AP54" s="27">
        <f>IF($B54&lt;&gt;"Challan","",MAX(0,AO54-AN54))</f>
      </c>
      <c r="AQ54" s="33">
        <f>IF($B54&lt;&gt;"Entry","",SUMPRODUCT(('Q1 Data'!$D$4:$D$207=D54)*('Q1 Data'!$B$4:$B$207="Challan")*'Q1 Data'!$F$4:$F$207)+SUMPRODUCT(('Q2 Data'!$D$4:$D$207=D54)*('Q2 Data'!$B$4:$B$207="Challan")*'Q2 Data'!$F$4:$F$207)+SUMPRODUCT(('Q3 Data'!$D$4:$D$207=D54)*('Q3 Data'!$B$4:$B$207="Challan")*'Q3 Data'!$F$4:$F$207)+SUMPRODUCT(('Q4 Data'!$D$4:$D$207=D54)*('Q4 Data'!$B$4:$B$207="Challan")*'Q4 Data'!$F$4:$F$207))</f>
      </c>
      <c r="AR54" s="34">
        <f>IF(OR($B54&lt;&gt;"Entry",Z54=""),FALSE,AND((SUMPRODUCT(('Q1 Data'!$D$4:$D$207=D54)*('Q1 Data'!$B$4:$B$207="Challan")*('Q1 Data'!$H$4:$H$207&lt;&gt;""))+SUMPRODUCT(('Q2 Data'!$D$4:$D$207=D54)*('Q2 Data'!$B$4:$B$207="Challan")*('Q2 Data'!$H$4:$H$207&lt;&gt;""))+SUMPRODUCT(('Q3 Data'!$D$4:$D$207=D54)*('Q3 Data'!$B$4:$B$207="Challan")*('Q3 Data'!$H$4:$H$207&lt;&gt;""))+SUMPRODUCT(('Q4 Data'!$D$4:$D$207=D54)*('Q4 Data'!$B$4:$B$207="Challan")*('Q4 Data'!$H$4:$H$207&lt;&gt;"")))&gt;0,(SUMPRODUCT(('Q1 Data'!$D$4:$D$207=D54)*('Q1 Data'!$B$4:$B$207="Challan")*('Q1 Data'!$H$4:$H$207=Z54))+SUMPRODUCT(('Q2 Data'!$D$4:$D$207=D54)*('Q2 Data'!$B$4:$B$207="Challan")*('Q2 Data'!$H$4:$H$207=Z54))+SUMPRODUCT(('Q3 Data'!$D$4:$D$207=D54)*('Q3 Data'!$B$4:$B$207="Challan")*('Q3 Data'!$H$4:$H$207=Z54))+SUMPRODUCT(('Q4 Data'!$D$4:$D$207=D54)*('Q4 Data'!$B$4:$B$207="Challan")*('Q4 Data'!$H$4:$H$207=Z54)))=0))</f>
      </c>
    </row>
    <row r="55" spans="1:44" x14ac:dyDescent="0.25">
      <c r="A55" s="20">
        <f>IF($B55="Entry",COUNTIF($B$4:$B55,"Entry"),"")</f>
      </c>
      <c r="B55" s="21"/>
      <c r="C55" s="22"/>
      <c r="D55" s="22"/>
      <c r="E55" s="23">
        <f>IF($B55&lt;&gt;"Challan","",IF(ROUND(AN55-AO55,2)&gt;0,"Over-applied",IF(ROUND(AN55-AO55,2)=0,"Fully Utilised","Unconsumed")))</f>
      </c>
      <c r="F55" s="24"/>
      <c r="G55" s="25"/>
      <c r="H55" s="25"/>
      <c r="I55" s="26"/>
      <c r="J55" s="26"/>
      <c r="K55" s="26"/>
      <c r="L55" s="26"/>
      <c r="M55" s="26"/>
      <c r="N55" s="26"/>
      <c r="O55" s="26"/>
      <c r="P55" s="27">
        <f>IF($B55&lt;&gt;"Challan","",I55+J55+K55+L55+M55+N55)</f>
      </c>
      <c r="Q55" s="25"/>
      <c r="R55" s="25"/>
      <c r="S55" s="25"/>
      <c r="T55" s="25"/>
      <c r="U55" s="25"/>
      <c r="V55" s="28"/>
      <c r="W55" s="28"/>
      <c r="X55" s="23">
        <f>IF($B55="Entry",IF(AND(LEN(TRIM(UPPER(W55)))=10,CODE(MID(TRIM(UPPER(W55)),1,1))&gt;=65,CODE(MID(TRIM(UPPER(W55)),1,1))&lt;=90,CODE(MID(TRIM(UPPER(W55)),2,1))&gt;=65,CODE(MID(TRIM(UPPER(W55)),2,1))&lt;=90,CODE(MID(TRIM(UPPER(W55)),3,1))&gt;=65,CODE(MID(TRIM(UPPER(W55)),3,1))&lt;=90,CODE(MID(TRIM(UPPER(W55)),4,1))&gt;=65,CODE(MID(TRIM(UPPER(W55)),4,1))&lt;=90,CODE(MID(TRIM(UPPER(W55)),5,1))&gt;=65,CODE(MID(TRIM(UPPER(W55)),5,1))&lt;=90,CODE(MID(TRIM(UPPER(W55)),10,1))&gt;=65,CODE(MID(TRIM(UPPER(W55)),10,1))&lt;=90,CODE(MID(TRIM(UPPER(W55)),6,1))&gt;=48,CODE(MID(TRIM(UPPER(W55)),6,1))&lt;=57,CODE(MID(TRIM(UPPER(W55)),7,1))&gt;=48,CODE(MID(TRIM(UPPER(W55)),7,1))&lt;=57,CODE(MID(TRIM(UPPER(W55)),8,1))&gt;=48,CODE(MID(TRIM(UPPER(W55)),8,1))&lt;=57,CODE(MID(TRIM(UPPER(W55)),9,1))&gt;=48,CODE(MID(TRIM(UPPER(W55)),9,1))&lt;=57),"N","Y"),IF($B55="Challan","",IF(W55&lt;&gt;"","◄ Set Row Type","")))</f>
      </c>
      <c r="Y55" s="23">
        <f>IF($B55="Entry",IF(LEN(W55)&lt;4,"",IF(UPPER(MID(W55,4,1))="P","Individual",IF(UPPER(MID(W55,4,1))="H","HUF",IF(UPPER(MID(W55,4,1))="C","Company",IF(UPPER(MID(W55,4,1))="F","Firm",IF(UPPER(MID(W55,4,1))="L","LLP",IF(UPPER(MID(W55,4,1))="T","Trust",IF(UPPER(MID(W55,4,1))="A","AOP","")))))))),IF($B55="Challan","",IF(W55&lt;&gt;"","◄ Set Row Type","")))</f>
      </c>
      <c r="Z55" s="28"/>
      <c r="AA55" s="29">
        <f>IF($B55&lt;&gt;"Entry","",IF(Z55="","",IF(X55="Y",SUMPRODUCT(('Rate Lookup'!$A$1:$A$37=Z55)*'Rate Lookup'!$D$1:$D$37),IF(OR(Y55="Individual",Y55="HUF"),SUMPRODUCT(('Rate Lookup'!$A$1:$A$37=Z55)*'Rate Lookup'!$B$1:$B$37),SUMPRODUCT(('Rate Lookup'!$A$1:$A$37=Z55)*'Rate Lookup'!$C$1:$C$37)))))</f>
      </c>
      <c r="AB55" s="30"/>
      <c r="AC55" s="31"/>
      <c r="AD55" s="27">
        <f>IF($B55&lt;&gt;"Entry","",ROUND(AC55*AA55/100,0))</f>
      </c>
      <c r="AE55" s="27">
        <f>IF($B55&lt;&gt;"Entry","",0)</f>
      </c>
      <c r="AF55" s="27">
        <f>IF($B55&lt;&gt;"Entry","",0)</f>
      </c>
      <c r="AG55" s="27">
        <f>IF($B55&lt;&gt;"Entry","",IF(OR(AD55=0,AB55="",AQ55="",AQ55&lt;=0),0,IF(AQ55&lt;=DATE(YEAR(AB55),MONTH(AB55)+1,7),0,ROUND(AD55*0.015*((YEAR(AQ55)-YEAR(AB55))*12+(MONTH(AQ55)-MONTH(AB55))+1),0))))</f>
      </c>
      <c r="AH55" s="27">
        <f>IF($B55&lt;&gt;"Entry","",0)</f>
      </c>
      <c r="AI55" s="28"/>
      <c r="AJ55" s="28"/>
      <c r="AK55" s="32"/>
      <c r="AL55" s="28"/>
      <c r="AM55" s="28"/>
      <c r="AN55" s="27">
        <f>IF($B55&lt;&gt;"Challan","",SUMIF('Q1 Data'!$D$4:$D$207,D55,'Q1 Data'!$AD$4:$AD$207)+SUMIF('Q1 Data'!$D$4:$D$207,D55,'Q1 Data'!$AG$4:$AG$207)+SUMIF('Q1 Data'!$D$4:$D$207,D55,'Q1 Data'!$AE$4:$AE$207)+SUMIF('Q2 Data'!$D$4:$D$207,D55,'Q2 Data'!$AD$4:$AD$207)+SUMIF('Q2 Data'!$D$4:$D$207,D55,'Q2 Data'!$AG$4:$AG$207)+SUMIF('Q2 Data'!$D$4:$D$207,D55,'Q2 Data'!$AE$4:$AE$207)+SUMIF('Q3 Data'!$D$4:$D$207,D55,'Q3 Data'!$AD$4:$AD$207)+SUMIF('Q3 Data'!$D$4:$D$207,D55,'Q3 Data'!$AG$4:$AG$207)+SUMIF('Q3 Data'!$D$4:$D$207,D55,'Q3 Data'!$AE$4:$AE$207)+SUMIF('Q4 Data'!$D$4:$D$207,D55,'Q4 Data'!$AD$4:$AD$207)+SUMIF('Q4 Data'!$D$4:$D$207,D55,'Q4 Data'!$AG$4:$AG$207)+SUMIF('Q4 Data'!$D$4:$D$207,D55,'Q4 Data'!$AE$4:$AE$207))</f>
      </c>
      <c r="AO55" s="27">
        <f>IF($B55&lt;&gt;"Challan","",P55-N55)</f>
      </c>
      <c r="AP55" s="27">
        <f>IF($B55&lt;&gt;"Challan","",MAX(0,AO55-AN55))</f>
      </c>
      <c r="AQ55" s="33">
        <f>IF($B55&lt;&gt;"Entry","",SUMPRODUCT(('Q1 Data'!$D$4:$D$207=D55)*('Q1 Data'!$B$4:$B$207="Challan")*'Q1 Data'!$F$4:$F$207)+SUMPRODUCT(('Q2 Data'!$D$4:$D$207=D55)*('Q2 Data'!$B$4:$B$207="Challan")*'Q2 Data'!$F$4:$F$207)+SUMPRODUCT(('Q3 Data'!$D$4:$D$207=D55)*('Q3 Data'!$B$4:$B$207="Challan")*'Q3 Data'!$F$4:$F$207)+SUMPRODUCT(('Q4 Data'!$D$4:$D$207=D55)*('Q4 Data'!$B$4:$B$207="Challan")*'Q4 Data'!$F$4:$F$207))</f>
      </c>
      <c r="AR55" s="34">
        <f>IF(OR($B55&lt;&gt;"Entry",Z55=""),FALSE,AND((SUMPRODUCT(('Q1 Data'!$D$4:$D$207=D55)*('Q1 Data'!$B$4:$B$207="Challan")*('Q1 Data'!$H$4:$H$207&lt;&gt;""))+SUMPRODUCT(('Q2 Data'!$D$4:$D$207=D55)*('Q2 Data'!$B$4:$B$207="Challan")*('Q2 Data'!$H$4:$H$207&lt;&gt;""))+SUMPRODUCT(('Q3 Data'!$D$4:$D$207=D55)*('Q3 Data'!$B$4:$B$207="Challan")*('Q3 Data'!$H$4:$H$207&lt;&gt;""))+SUMPRODUCT(('Q4 Data'!$D$4:$D$207=D55)*('Q4 Data'!$B$4:$B$207="Challan")*('Q4 Data'!$H$4:$H$207&lt;&gt;"")))&gt;0,(SUMPRODUCT(('Q1 Data'!$D$4:$D$207=D55)*('Q1 Data'!$B$4:$B$207="Challan")*('Q1 Data'!$H$4:$H$207=Z55))+SUMPRODUCT(('Q2 Data'!$D$4:$D$207=D55)*('Q2 Data'!$B$4:$B$207="Challan")*('Q2 Data'!$H$4:$H$207=Z55))+SUMPRODUCT(('Q3 Data'!$D$4:$D$207=D55)*('Q3 Data'!$B$4:$B$207="Challan")*('Q3 Data'!$H$4:$H$207=Z55))+SUMPRODUCT(('Q4 Data'!$D$4:$D$207=D55)*('Q4 Data'!$B$4:$B$207="Challan")*('Q4 Data'!$H$4:$H$207=Z55)))=0))</f>
      </c>
    </row>
    <row r="56" spans="1:44" x14ac:dyDescent="0.25">
      <c r="A56" s="20">
        <f>IF($B56="Entry",COUNTIF($B$4:$B56,"Entry"),"")</f>
      </c>
      <c r="B56" s="21"/>
      <c r="C56" s="22"/>
      <c r="D56" s="22"/>
      <c r="E56" s="23">
        <f>IF($B56&lt;&gt;"Challan","",IF(ROUND(AN56-AO56,2)&gt;0,"Over-applied",IF(ROUND(AN56-AO56,2)=0,"Fully Utilised","Unconsumed")))</f>
      </c>
      <c r="F56" s="24"/>
      <c r="G56" s="25"/>
      <c r="H56" s="25"/>
      <c r="I56" s="26"/>
      <c r="J56" s="26"/>
      <c r="K56" s="26"/>
      <c r="L56" s="26"/>
      <c r="M56" s="26"/>
      <c r="N56" s="26"/>
      <c r="O56" s="26"/>
      <c r="P56" s="27">
        <f>IF($B56&lt;&gt;"Challan","",I56+J56+K56+L56+M56+N56)</f>
      </c>
      <c r="Q56" s="25"/>
      <c r="R56" s="25"/>
      <c r="S56" s="25"/>
      <c r="T56" s="25"/>
      <c r="U56" s="25"/>
      <c r="V56" s="28"/>
      <c r="W56" s="28"/>
      <c r="X56" s="23">
        <f>IF($B56="Entry",IF(AND(LEN(TRIM(UPPER(W56)))=10,CODE(MID(TRIM(UPPER(W56)),1,1))&gt;=65,CODE(MID(TRIM(UPPER(W56)),1,1))&lt;=90,CODE(MID(TRIM(UPPER(W56)),2,1))&gt;=65,CODE(MID(TRIM(UPPER(W56)),2,1))&lt;=90,CODE(MID(TRIM(UPPER(W56)),3,1))&gt;=65,CODE(MID(TRIM(UPPER(W56)),3,1))&lt;=90,CODE(MID(TRIM(UPPER(W56)),4,1))&gt;=65,CODE(MID(TRIM(UPPER(W56)),4,1))&lt;=90,CODE(MID(TRIM(UPPER(W56)),5,1))&gt;=65,CODE(MID(TRIM(UPPER(W56)),5,1))&lt;=90,CODE(MID(TRIM(UPPER(W56)),10,1))&gt;=65,CODE(MID(TRIM(UPPER(W56)),10,1))&lt;=90,CODE(MID(TRIM(UPPER(W56)),6,1))&gt;=48,CODE(MID(TRIM(UPPER(W56)),6,1))&lt;=57,CODE(MID(TRIM(UPPER(W56)),7,1))&gt;=48,CODE(MID(TRIM(UPPER(W56)),7,1))&lt;=57,CODE(MID(TRIM(UPPER(W56)),8,1))&gt;=48,CODE(MID(TRIM(UPPER(W56)),8,1))&lt;=57,CODE(MID(TRIM(UPPER(W56)),9,1))&gt;=48,CODE(MID(TRIM(UPPER(W56)),9,1))&lt;=57),"N","Y"),IF($B56="Challan","",IF(W56&lt;&gt;"","◄ Set Row Type","")))</f>
      </c>
      <c r="Y56" s="23">
        <f>IF($B56="Entry",IF(LEN(W56)&lt;4,"",IF(UPPER(MID(W56,4,1))="P","Individual",IF(UPPER(MID(W56,4,1))="H","HUF",IF(UPPER(MID(W56,4,1))="C","Company",IF(UPPER(MID(W56,4,1))="F","Firm",IF(UPPER(MID(W56,4,1))="L","LLP",IF(UPPER(MID(W56,4,1))="T","Trust",IF(UPPER(MID(W56,4,1))="A","AOP","")))))))),IF($B56="Challan","",IF(W56&lt;&gt;"","◄ Set Row Type","")))</f>
      </c>
      <c r="Z56" s="28"/>
      <c r="AA56" s="29">
        <f>IF($B56&lt;&gt;"Entry","",IF(Z56="","",IF(X56="Y",SUMPRODUCT(('Rate Lookup'!$A$1:$A$37=Z56)*'Rate Lookup'!$D$1:$D$37),IF(OR(Y56="Individual",Y56="HUF"),SUMPRODUCT(('Rate Lookup'!$A$1:$A$37=Z56)*'Rate Lookup'!$B$1:$B$37),SUMPRODUCT(('Rate Lookup'!$A$1:$A$37=Z56)*'Rate Lookup'!$C$1:$C$37)))))</f>
      </c>
      <c r="AB56" s="30"/>
      <c r="AC56" s="31"/>
      <c r="AD56" s="27">
        <f>IF($B56&lt;&gt;"Entry","",ROUND(AC56*AA56/100,0))</f>
      </c>
      <c r="AE56" s="27">
        <f>IF($B56&lt;&gt;"Entry","",0)</f>
      </c>
      <c r="AF56" s="27">
        <f>IF($B56&lt;&gt;"Entry","",0)</f>
      </c>
      <c r="AG56" s="27">
        <f>IF($B56&lt;&gt;"Entry","",IF(OR(AD56=0,AB56="",AQ56="",AQ56&lt;=0),0,IF(AQ56&lt;=DATE(YEAR(AB56),MONTH(AB56)+1,7),0,ROUND(AD56*0.015*((YEAR(AQ56)-YEAR(AB56))*12+(MONTH(AQ56)-MONTH(AB56))+1),0))))</f>
      </c>
      <c r="AH56" s="27">
        <f>IF($B56&lt;&gt;"Entry","",0)</f>
      </c>
      <c r="AI56" s="28"/>
      <c r="AJ56" s="28"/>
      <c r="AK56" s="32"/>
      <c r="AL56" s="28"/>
      <c r="AM56" s="28"/>
      <c r="AN56" s="27">
        <f>IF($B56&lt;&gt;"Challan","",SUMIF('Q1 Data'!$D$4:$D$207,D56,'Q1 Data'!$AD$4:$AD$207)+SUMIF('Q1 Data'!$D$4:$D$207,D56,'Q1 Data'!$AG$4:$AG$207)+SUMIF('Q1 Data'!$D$4:$D$207,D56,'Q1 Data'!$AE$4:$AE$207)+SUMIF('Q2 Data'!$D$4:$D$207,D56,'Q2 Data'!$AD$4:$AD$207)+SUMIF('Q2 Data'!$D$4:$D$207,D56,'Q2 Data'!$AG$4:$AG$207)+SUMIF('Q2 Data'!$D$4:$D$207,D56,'Q2 Data'!$AE$4:$AE$207)+SUMIF('Q3 Data'!$D$4:$D$207,D56,'Q3 Data'!$AD$4:$AD$207)+SUMIF('Q3 Data'!$D$4:$D$207,D56,'Q3 Data'!$AG$4:$AG$207)+SUMIF('Q3 Data'!$D$4:$D$207,D56,'Q3 Data'!$AE$4:$AE$207)+SUMIF('Q4 Data'!$D$4:$D$207,D56,'Q4 Data'!$AD$4:$AD$207)+SUMIF('Q4 Data'!$D$4:$D$207,D56,'Q4 Data'!$AG$4:$AG$207)+SUMIF('Q4 Data'!$D$4:$D$207,D56,'Q4 Data'!$AE$4:$AE$207))</f>
      </c>
      <c r="AO56" s="27">
        <f>IF($B56&lt;&gt;"Challan","",P56-N56)</f>
      </c>
      <c r="AP56" s="27">
        <f>IF($B56&lt;&gt;"Challan","",MAX(0,AO56-AN56))</f>
      </c>
      <c r="AQ56" s="33">
        <f>IF($B56&lt;&gt;"Entry","",SUMPRODUCT(('Q1 Data'!$D$4:$D$207=D56)*('Q1 Data'!$B$4:$B$207="Challan")*'Q1 Data'!$F$4:$F$207)+SUMPRODUCT(('Q2 Data'!$D$4:$D$207=D56)*('Q2 Data'!$B$4:$B$207="Challan")*'Q2 Data'!$F$4:$F$207)+SUMPRODUCT(('Q3 Data'!$D$4:$D$207=D56)*('Q3 Data'!$B$4:$B$207="Challan")*'Q3 Data'!$F$4:$F$207)+SUMPRODUCT(('Q4 Data'!$D$4:$D$207=D56)*('Q4 Data'!$B$4:$B$207="Challan")*'Q4 Data'!$F$4:$F$207))</f>
      </c>
      <c r="AR56" s="34">
        <f>IF(OR($B56&lt;&gt;"Entry",Z56=""),FALSE,AND((SUMPRODUCT(('Q1 Data'!$D$4:$D$207=D56)*('Q1 Data'!$B$4:$B$207="Challan")*('Q1 Data'!$H$4:$H$207&lt;&gt;""))+SUMPRODUCT(('Q2 Data'!$D$4:$D$207=D56)*('Q2 Data'!$B$4:$B$207="Challan")*('Q2 Data'!$H$4:$H$207&lt;&gt;""))+SUMPRODUCT(('Q3 Data'!$D$4:$D$207=D56)*('Q3 Data'!$B$4:$B$207="Challan")*('Q3 Data'!$H$4:$H$207&lt;&gt;""))+SUMPRODUCT(('Q4 Data'!$D$4:$D$207=D56)*('Q4 Data'!$B$4:$B$207="Challan")*('Q4 Data'!$H$4:$H$207&lt;&gt;"")))&gt;0,(SUMPRODUCT(('Q1 Data'!$D$4:$D$207=D56)*('Q1 Data'!$B$4:$B$207="Challan")*('Q1 Data'!$H$4:$H$207=Z56))+SUMPRODUCT(('Q2 Data'!$D$4:$D$207=D56)*('Q2 Data'!$B$4:$B$207="Challan")*('Q2 Data'!$H$4:$H$207=Z56))+SUMPRODUCT(('Q3 Data'!$D$4:$D$207=D56)*('Q3 Data'!$B$4:$B$207="Challan")*('Q3 Data'!$H$4:$H$207=Z56))+SUMPRODUCT(('Q4 Data'!$D$4:$D$207=D56)*('Q4 Data'!$B$4:$B$207="Challan")*('Q4 Data'!$H$4:$H$207=Z56)))=0))</f>
      </c>
    </row>
    <row r="57" spans="1:44" x14ac:dyDescent="0.25">
      <c r="A57" s="20">
        <f>IF($B57="Entry",COUNTIF($B$4:$B57,"Entry"),"")</f>
      </c>
      <c r="B57" s="21"/>
      <c r="C57" s="22"/>
      <c r="D57" s="22"/>
      <c r="E57" s="23">
        <f>IF($B57&lt;&gt;"Challan","",IF(ROUND(AN57-AO57,2)&gt;0,"Over-applied",IF(ROUND(AN57-AO57,2)=0,"Fully Utilised","Unconsumed")))</f>
      </c>
      <c r="F57" s="24"/>
      <c r="G57" s="25"/>
      <c r="H57" s="25"/>
      <c r="I57" s="26"/>
      <c r="J57" s="26"/>
      <c r="K57" s="26"/>
      <c r="L57" s="26"/>
      <c r="M57" s="26"/>
      <c r="N57" s="26"/>
      <c r="O57" s="26"/>
      <c r="P57" s="27">
        <f>IF($B57&lt;&gt;"Challan","",I57+J57+K57+L57+M57+N57)</f>
      </c>
      <c r="Q57" s="25"/>
      <c r="R57" s="25"/>
      <c r="S57" s="25"/>
      <c r="T57" s="25"/>
      <c r="U57" s="25"/>
      <c r="V57" s="28"/>
      <c r="W57" s="28"/>
      <c r="X57" s="23">
        <f>IF($B57="Entry",IF(AND(LEN(TRIM(UPPER(W57)))=10,CODE(MID(TRIM(UPPER(W57)),1,1))&gt;=65,CODE(MID(TRIM(UPPER(W57)),1,1))&lt;=90,CODE(MID(TRIM(UPPER(W57)),2,1))&gt;=65,CODE(MID(TRIM(UPPER(W57)),2,1))&lt;=90,CODE(MID(TRIM(UPPER(W57)),3,1))&gt;=65,CODE(MID(TRIM(UPPER(W57)),3,1))&lt;=90,CODE(MID(TRIM(UPPER(W57)),4,1))&gt;=65,CODE(MID(TRIM(UPPER(W57)),4,1))&lt;=90,CODE(MID(TRIM(UPPER(W57)),5,1))&gt;=65,CODE(MID(TRIM(UPPER(W57)),5,1))&lt;=90,CODE(MID(TRIM(UPPER(W57)),10,1))&gt;=65,CODE(MID(TRIM(UPPER(W57)),10,1))&lt;=90,CODE(MID(TRIM(UPPER(W57)),6,1))&gt;=48,CODE(MID(TRIM(UPPER(W57)),6,1))&lt;=57,CODE(MID(TRIM(UPPER(W57)),7,1))&gt;=48,CODE(MID(TRIM(UPPER(W57)),7,1))&lt;=57,CODE(MID(TRIM(UPPER(W57)),8,1))&gt;=48,CODE(MID(TRIM(UPPER(W57)),8,1))&lt;=57,CODE(MID(TRIM(UPPER(W57)),9,1))&gt;=48,CODE(MID(TRIM(UPPER(W57)),9,1))&lt;=57),"N","Y"),IF($B57="Challan","",IF(W57&lt;&gt;"","◄ Set Row Type","")))</f>
      </c>
      <c r="Y57" s="23">
        <f>IF($B57="Entry",IF(LEN(W57)&lt;4,"",IF(UPPER(MID(W57,4,1))="P","Individual",IF(UPPER(MID(W57,4,1))="H","HUF",IF(UPPER(MID(W57,4,1))="C","Company",IF(UPPER(MID(W57,4,1))="F","Firm",IF(UPPER(MID(W57,4,1))="L","LLP",IF(UPPER(MID(W57,4,1))="T","Trust",IF(UPPER(MID(W57,4,1))="A","AOP","")))))))),IF($B57="Challan","",IF(W57&lt;&gt;"","◄ Set Row Type","")))</f>
      </c>
      <c r="Z57" s="28"/>
      <c r="AA57" s="29">
        <f>IF($B57&lt;&gt;"Entry","",IF(Z57="","",IF(X57="Y",SUMPRODUCT(('Rate Lookup'!$A$1:$A$37=Z57)*'Rate Lookup'!$D$1:$D$37),IF(OR(Y57="Individual",Y57="HUF"),SUMPRODUCT(('Rate Lookup'!$A$1:$A$37=Z57)*'Rate Lookup'!$B$1:$B$37),SUMPRODUCT(('Rate Lookup'!$A$1:$A$37=Z57)*'Rate Lookup'!$C$1:$C$37)))))</f>
      </c>
      <c r="AB57" s="30"/>
      <c r="AC57" s="31"/>
      <c r="AD57" s="27">
        <f>IF($B57&lt;&gt;"Entry","",ROUND(AC57*AA57/100,0))</f>
      </c>
      <c r="AE57" s="27">
        <f>IF($B57&lt;&gt;"Entry","",0)</f>
      </c>
      <c r="AF57" s="27">
        <f>IF($B57&lt;&gt;"Entry","",0)</f>
      </c>
      <c r="AG57" s="27">
        <f>IF($B57&lt;&gt;"Entry","",IF(OR(AD57=0,AB57="",AQ57="",AQ57&lt;=0),0,IF(AQ57&lt;=DATE(YEAR(AB57),MONTH(AB57)+1,7),0,ROUND(AD57*0.015*((YEAR(AQ57)-YEAR(AB57))*12+(MONTH(AQ57)-MONTH(AB57))+1),0))))</f>
      </c>
      <c r="AH57" s="27">
        <f>IF($B57&lt;&gt;"Entry","",0)</f>
      </c>
      <c r="AI57" s="28"/>
      <c r="AJ57" s="28"/>
      <c r="AK57" s="32"/>
      <c r="AL57" s="28"/>
      <c r="AM57" s="28"/>
      <c r="AN57" s="27">
        <f>IF($B57&lt;&gt;"Challan","",SUMIF('Q1 Data'!$D$4:$D$207,D57,'Q1 Data'!$AD$4:$AD$207)+SUMIF('Q1 Data'!$D$4:$D$207,D57,'Q1 Data'!$AG$4:$AG$207)+SUMIF('Q1 Data'!$D$4:$D$207,D57,'Q1 Data'!$AE$4:$AE$207)+SUMIF('Q2 Data'!$D$4:$D$207,D57,'Q2 Data'!$AD$4:$AD$207)+SUMIF('Q2 Data'!$D$4:$D$207,D57,'Q2 Data'!$AG$4:$AG$207)+SUMIF('Q2 Data'!$D$4:$D$207,D57,'Q2 Data'!$AE$4:$AE$207)+SUMIF('Q3 Data'!$D$4:$D$207,D57,'Q3 Data'!$AD$4:$AD$207)+SUMIF('Q3 Data'!$D$4:$D$207,D57,'Q3 Data'!$AG$4:$AG$207)+SUMIF('Q3 Data'!$D$4:$D$207,D57,'Q3 Data'!$AE$4:$AE$207)+SUMIF('Q4 Data'!$D$4:$D$207,D57,'Q4 Data'!$AD$4:$AD$207)+SUMIF('Q4 Data'!$D$4:$D$207,D57,'Q4 Data'!$AG$4:$AG$207)+SUMIF('Q4 Data'!$D$4:$D$207,D57,'Q4 Data'!$AE$4:$AE$207))</f>
      </c>
      <c r="AO57" s="27">
        <f>IF($B57&lt;&gt;"Challan","",P57-N57)</f>
      </c>
      <c r="AP57" s="27">
        <f>IF($B57&lt;&gt;"Challan","",MAX(0,AO57-AN57))</f>
      </c>
      <c r="AQ57" s="33">
        <f>IF($B57&lt;&gt;"Entry","",SUMPRODUCT(('Q1 Data'!$D$4:$D$207=D57)*('Q1 Data'!$B$4:$B$207="Challan")*'Q1 Data'!$F$4:$F$207)+SUMPRODUCT(('Q2 Data'!$D$4:$D$207=D57)*('Q2 Data'!$B$4:$B$207="Challan")*'Q2 Data'!$F$4:$F$207)+SUMPRODUCT(('Q3 Data'!$D$4:$D$207=D57)*('Q3 Data'!$B$4:$B$207="Challan")*'Q3 Data'!$F$4:$F$207)+SUMPRODUCT(('Q4 Data'!$D$4:$D$207=D57)*('Q4 Data'!$B$4:$B$207="Challan")*'Q4 Data'!$F$4:$F$207))</f>
      </c>
      <c r="AR57" s="34">
        <f>IF(OR($B57&lt;&gt;"Entry",Z57=""),FALSE,AND((SUMPRODUCT(('Q1 Data'!$D$4:$D$207=D57)*('Q1 Data'!$B$4:$B$207="Challan")*('Q1 Data'!$H$4:$H$207&lt;&gt;""))+SUMPRODUCT(('Q2 Data'!$D$4:$D$207=D57)*('Q2 Data'!$B$4:$B$207="Challan")*('Q2 Data'!$H$4:$H$207&lt;&gt;""))+SUMPRODUCT(('Q3 Data'!$D$4:$D$207=D57)*('Q3 Data'!$B$4:$B$207="Challan")*('Q3 Data'!$H$4:$H$207&lt;&gt;""))+SUMPRODUCT(('Q4 Data'!$D$4:$D$207=D57)*('Q4 Data'!$B$4:$B$207="Challan")*('Q4 Data'!$H$4:$H$207&lt;&gt;"")))&gt;0,(SUMPRODUCT(('Q1 Data'!$D$4:$D$207=D57)*('Q1 Data'!$B$4:$B$207="Challan")*('Q1 Data'!$H$4:$H$207=Z57))+SUMPRODUCT(('Q2 Data'!$D$4:$D$207=D57)*('Q2 Data'!$B$4:$B$207="Challan")*('Q2 Data'!$H$4:$H$207=Z57))+SUMPRODUCT(('Q3 Data'!$D$4:$D$207=D57)*('Q3 Data'!$B$4:$B$207="Challan")*('Q3 Data'!$H$4:$H$207=Z57))+SUMPRODUCT(('Q4 Data'!$D$4:$D$207=D57)*('Q4 Data'!$B$4:$B$207="Challan")*('Q4 Data'!$H$4:$H$207=Z57)))=0))</f>
      </c>
    </row>
    <row r="58" spans="1:44" x14ac:dyDescent="0.25">
      <c r="A58" s="20">
        <f>IF($B58="Entry",COUNTIF($B$4:$B58,"Entry"),"")</f>
      </c>
      <c r="B58" s="21"/>
      <c r="C58" s="22"/>
      <c r="D58" s="22"/>
      <c r="E58" s="23">
        <f>IF($B58&lt;&gt;"Challan","",IF(ROUND(AN58-AO58,2)&gt;0,"Over-applied",IF(ROUND(AN58-AO58,2)=0,"Fully Utilised","Unconsumed")))</f>
      </c>
      <c r="F58" s="24"/>
      <c r="G58" s="25"/>
      <c r="H58" s="25"/>
      <c r="I58" s="26"/>
      <c r="J58" s="26"/>
      <c r="K58" s="26"/>
      <c r="L58" s="26"/>
      <c r="M58" s="26"/>
      <c r="N58" s="26"/>
      <c r="O58" s="26"/>
      <c r="P58" s="27">
        <f>IF($B58&lt;&gt;"Challan","",I58+J58+K58+L58+M58+N58)</f>
      </c>
      <c r="Q58" s="25"/>
      <c r="R58" s="25"/>
      <c r="S58" s="25"/>
      <c r="T58" s="25"/>
      <c r="U58" s="25"/>
      <c r="V58" s="28"/>
      <c r="W58" s="28"/>
      <c r="X58" s="23">
        <f>IF($B58="Entry",IF(AND(LEN(TRIM(UPPER(W58)))=10,CODE(MID(TRIM(UPPER(W58)),1,1))&gt;=65,CODE(MID(TRIM(UPPER(W58)),1,1))&lt;=90,CODE(MID(TRIM(UPPER(W58)),2,1))&gt;=65,CODE(MID(TRIM(UPPER(W58)),2,1))&lt;=90,CODE(MID(TRIM(UPPER(W58)),3,1))&gt;=65,CODE(MID(TRIM(UPPER(W58)),3,1))&lt;=90,CODE(MID(TRIM(UPPER(W58)),4,1))&gt;=65,CODE(MID(TRIM(UPPER(W58)),4,1))&lt;=90,CODE(MID(TRIM(UPPER(W58)),5,1))&gt;=65,CODE(MID(TRIM(UPPER(W58)),5,1))&lt;=90,CODE(MID(TRIM(UPPER(W58)),10,1))&gt;=65,CODE(MID(TRIM(UPPER(W58)),10,1))&lt;=90,CODE(MID(TRIM(UPPER(W58)),6,1))&gt;=48,CODE(MID(TRIM(UPPER(W58)),6,1))&lt;=57,CODE(MID(TRIM(UPPER(W58)),7,1))&gt;=48,CODE(MID(TRIM(UPPER(W58)),7,1))&lt;=57,CODE(MID(TRIM(UPPER(W58)),8,1))&gt;=48,CODE(MID(TRIM(UPPER(W58)),8,1))&lt;=57,CODE(MID(TRIM(UPPER(W58)),9,1))&gt;=48,CODE(MID(TRIM(UPPER(W58)),9,1))&lt;=57),"N","Y"),IF($B58="Challan","",IF(W58&lt;&gt;"","◄ Set Row Type","")))</f>
      </c>
      <c r="Y58" s="23">
        <f>IF($B58="Entry",IF(LEN(W58)&lt;4,"",IF(UPPER(MID(W58,4,1))="P","Individual",IF(UPPER(MID(W58,4,1))="H","HUF",IF(UPPER(MID(W58,4,1))="C","Company",IF(UPPER(MID(W58,4,1))="F","Firm",IF(UPPER(MID(W58,4,1))="L","LLP",IF(UPPER(MID(W58,4,1))="T","Trust",IF(UPPER(MID(W58,4,1))="A","AOP","")))))))),IF($B58="Challan","",IF(W58&lt;&gt;"","◄ Set Row Type","")))</f>
      </c>
      <c r="Z58" s="28"/>
      <c r="AA58" s="29">
        <f>IF($B58&lt;&gt;"Entry","",IF(Z58="","",IF(X58="Y",SUMPRODUCT(('Rate Lookup'!$A$1:$A$37=Z58)*'Rate Lookup'!$D$1:$D$37),IF(OR(Y58="Individual",Y58="HUF"),SUMPRODUCT(('Rate Lookup'!$A$1:$A$37=Z58)*'Rate Lookup'!$B$1:$B$37),SUMPRODUCT(('Rate Lookup'!$A$1:$A$37=Z58)*'Rate Lookup'!$C$1:$C$37)))))</f>
      </c>
      <c r="AB58" s="30"/>
      <c r="AC58" s="31"/>
      <c r="AD58" s="27">
        <f>IF($B58&lt;&gt;"Entry","",ROUND(AC58*AA58/100,0))</f>
      </c>
      <c r="AE58" s="27">
        <f>IF($B58&lt;&gt;"Entry","",0)</f>
      </c>
      <c r="AF58" s="27">
        <f>IF($B58&lt;&gt;"Entry","",0)</f>
      </c>
      <c r="AG58" s="27">
        <f>IF($B58&lt;&gt;"Entry","",IF(OR(AD58=0,AB58="",AQ58="",AQ58&lt;=0),0,IF(AQ58&lt;=DATE(YEAR(AB58),MONTH(AB58)+1,7),0,ROUND(AD58*0.015*((YEAR(AQ58)-YEAR(AB58))*12+(MONTH(AQ58)-MONTH(AB58))+1),0))))</f>
      </c>
      <c r="AH58" s="27">
        <f>IF($B58&lt;&gt;"Entry","",0)</f>
      </c>
      <c r="AI58" s="28"/>
      <c r="AJ58" s="28"/>
      <c r="AK58" s="32"/>
      <c r="AL58" s="28"/>
      <c r="AM58" s="28"/>
      <c r="AN58" s="27">
        <f>IF($B58&lt;&gt;"Challan","",SUMIF('Q1 Data'!$D$4:$D$207,D58,'Q1 Data'!$AD$4:$AD$207)+SUMIF('Q1 Data'!$D$4:$D$207,D58,'Q1 Data'!$AG$4:$AG$207)+SUMIF('Q1 Data'!$D$4:$D$207,D58,'Q1 Data'!$AE$4:$AE$207)+SUMIF('Q2 Data'!$D$4:$D$207,D58,'Q2 Data'!$AD$4:$AD$207)+SUMIF('Q2 Data'!$D$4:$D$207,D58,'Q2 Data'!$AG$4:$AG$207)+SUMIF('Q2 Data'!$D$4:$D$207,D58,'Q2 Data'!$AE$4:$AE$207)+SUMIF('Q3 Data'!$D$4:$D$207,D58,'Q3 Data'!$AD$4:$AD$207)+SUMIF('Q3 Data'!$D$4:$D$207,D58,'Q3 Data'!$AG$4:$AG$207)+SUMIF('Q3 Data'!$D$4:$D$207,D58,'Q3 Data'!$AE$4:$AE$207)+SUMIF('Q4 Data'!$D$4:$D$207,D58,'Q4 Data'!$AD$4:$AD$207)+SUMIF('Q4 Data'!$D$4:$D$207,D58,'Q4 Data'!$AG$4:$AG$207)+SUMIF('Q4 Data'!$D$4:$D$207,D58,'Q4 Data'!$AE$4:$AE$207))</f>
      </c>
      <c r="AO58" s="27">
        <f>IF($B58&lt;&gt;"Challan","",P58-N58)</f>
      </c>
      <c r="AP58" s="27">
        <f>IF($B58&lt;&gt;"Challan","",MAX(0,AO58-AN58))</f>
      </c>
      <c r="AQ58" s="33">
        <f>IF($B58&lt;&gt;"Entry","",SUMPRODUCT(('Q1 Data'!$D$4:$D$207=D58)*('Q1 Data'!$B$4:$B$207="Challan")*'Q1 Data'!$F$4:$F$207)+SUMPRODUCT(('Q2 Data'!$D$4:$D$207=D58)*('Q2 Data'!$B$4:$B$207="Challan")*'Q2 Data'!$F$4:$F$207)+SUMPRODUCT(('Q3 Data'!$D$4:$D$207=D58)*('Q3 Data'!$B$4:$B$207="Challan")*'Q3 Data'!$F$4:$F$207)+SUMPRODUCT(('Q4 Data'!$D$4:$D$207=D58)*('Q4 Data'!$B$4:$B$207="Challan")*'Q4 Data'!$F$4:$F$207))</f>
      </c>
      <c r="AR58" s="34">
        <f>IF(OR($B58&lt;&gt;"Entry",Z58=""),FALSE,AND((SUMPRODUCT(('Q1 Data'!$D$4:$D$207=D58)*('Q1 Data'!$B$4:$B$207="Challan")*('Q1 Data'!$H$4:$H$207&lt;&gt;""))+SUMPRODUCT(('Q2 Data'!$D$4:$D$207=D58)*('Q2 Data'!$B$4:$B$207="Challan")*('Q2 Data'!$H$4:$H$207&lt;&gt;""))+SUMPRODUCT(('Q3 Data'!$D$4:$D$207=D58)*('Q3 Data'!$B$4:$B$207="Challan")*('Q3 Data'!$H$4:$H$207&lt;&gt;""))+SUMPRODUCT(('Q4 Data'!$D$4:$D$207=D58)*('Q4 Data'!$B$4:$B$207="Challan")*('Q4 Data'!$H$4:$H$207&lt;&gt;"")))&gt;0,(SUMPRODUCT(('Q1 Data'!$D$4:$D$207=D58)*('Q1 Data'!$B$4:$B$207="Challan")*('Q1 Data'!$H$4:$H$207=Z58))+SUMPRODUCT(('Q2 Data'!$D$4:$D$207=D58)*('Q2 Data'!$B$4:$B$207="Challan")*('Q2 Data'!$H$4:$H$207=Z58))+SUMPRODUCT(('Q3 Data'!$D$4:$D$207=D58)*('Q3 Data'!$B$4:$B$207="Challan")*('Q3 Data'!$H$4:$H$207=Z58))+SUMPRODUCT(('Q4 Data'!$D$4:$D$207=D58)*('Q4 Data'!$B$4:$B$207="Challan")*('Q4 Data'!$H$4:$H$207=Z58)))=0))</f>
      </c>
    </row>
    <row r="59" spans="1:44" x14ac:dyDescent="0.25">
      <c r="A59" s="20">
        <f>IF($B59="Entry",COUNTIF($B$4:$B59,"Entry"),"")</f>
      </c>
      <c r="B59" s="21"/>
      <c r="C59" s="22"/>
      <c r="D59" s="22"/>
      <c r="E59" s="23">
        <f>IF($B59&lt;&gt;"Challan","",IF(ROUND(AN59-AO59,2)&gt;0,"Over-applied",IF(ROUND(AN59-AO59,2)=0,"Fully Utilised","Unconsumed")))</f>
      </c>
      <c r="F59" s="24"/>
      <c r="G59" s="25"/>
      <c r="H59" s="25"/>
      <c r="I59" s="26"/>
      <c r="J59" s="26"/>
      <c r="K59" s="26"/>
      <c r="L59" s="26"/>
      <c r="M59" s="26"/>
      <c r="N59" s="26"/>
      <c r="O59" s="26"/>
      <c r="P59" s="27">
        <f>IF($B59&lt;&gt;"Challan","",I59+J59+K59+L59+M59+N59)</f>
      </c>
      <c r="Q59" s="25"/>
      <c r="R59" s="25"/>
      <c r="S59" s="25"/>
      <c r="T59" s="25"/>
      <c r="U59" s="25"/>
      <c r="V59" s="28"/>
      <c r="W59" s="28"/>
      <c r="X59" s="23">
        <f>IF($B59="Entry",IF(AND(LEN(TRIM(UPPER(W59)))=10,CODE(MID(TRIM(UPPER(W59)),1,1))&gt;=65,CODE(MID(TRIM(UPPER(W59)),1,1))&lt;=90,CODE(MID(TRIM(UPPER(W59)),2,1))&gt;=65,CODE(MID(TRIM(UPPER(W59)),2,1))&lt;=90,CODE(MID(TRIM(UPPER(W59)),3,1))&gt;=65,CODE(MID(TRIM(UPPER(W59)),3,1))&lt;=90,CODE(MID(TRIM(UPPER(W59)),4,1))&gt;=65,CODE(MID(TRIM(UPPER(W59)),4,1))&lt;=90,CODE(MID(TRIM(UPPER(W59)),5,1))&gt;=65,CODE(MID(TRIM(UPPER(W59)),5,1))&lt;=90,CODE(MID(TRIM(UPPER(W59)),10,1))&gt;=65,CODE(MID(TRIM(UPPER(W59)),10,1))&lt;=90,CODE(MID(TRIM(UPPER(W59)),6,1))&gt;=48,CODE(MID(TRIM(UPPER(W59)),6,1))&lt;=57,CODE(MID(TRIM(UPPER(W59)),7,1))&gt;=48,CODE(MID(TRIM(UPPER(W59)),7,1))&lt;=57,CODE(MID(TRIM(UPPER(W59)),8,1))&gt;=48,CODE(MID(TRIM(UPPER(W59)),8,1))&lt;=57,CODE(MID(TRIM(UPPER(W59)),9,1))&gt;=48,CODE(MID(TRIM(UPPER(W59)),9,1))&lt;=57),"N","Y"),IF($B59="Challan","",IF(W59&lt;&gt;"","◄ Set Row Type","")))</f>
      </c>
      <c r="Y59" s="23">
        <f>IF($B59="Entry",IF(LEN(W59)&lt;4,"",IF(UPPER(MID(W59,4,1))="P","Individual",IF(UPPER(MID(W59,4,1))="H","HUF",IF(UPPER(MID(W59,4,1))="C","Company",IF(UPPER(MID(W59,4,1))="F","Firm",IF(UPPER(MID(W59,4,1))="L","LLP",IF(UPPER(MID(W59,4,1))="T","Trust",IF(UPPER(MID(W59,4,1))="A","AOP","")))))))),IF($B59="Challan","",IF(W59&lt;&gt;"","◄ Set Row Type","")))</f>
      </c>
      <c r="Z59" s="28"/>
      <c r="AA59" s="29">
        <f>IF($B59&lt;&gt;"Entry","",IF(Z59="","",IF(X59="Y",SUMPRODUCT(('Rate Lookup'!$A$1:$A$37=Z59)*'Rate Lookup'!$D$1:$D$37),IF(OR(Y59="Individual",Y59="HUF"),SUMPRODUCT(('Rate Lookup'!$A$1:$A$37=Z59)*'Rate Lookup'!$B$1:$B$37),SUMPRODUCT(('Rate Lookup'!$A$1:$A$37=Z59)*'Rate Lookup'!$C$1:$C$37)))))</f>
      </c>
      <c r="AB59" s="30"/>
      <c r="AC59" s="31"/>
      <c r="AD59" s="27">
        <f>IF($B59&lt;&gt;"Entry","",ROUND(AC59*AA59/100,0))</f>
      </c>
      <c r="AE59" s="27">
        <f>IF($B59&lt;&gt;"Entry","",0)</f>
      </c>
      <c r="AF59" s="27">
        <f>IF($B59&lt;&gt;"Entry","",0)</f>
      </c>
      <c r="AG59" s="27">
        <f>IF($B59&lt;&gt;"Entry","",IF(OR(AD59=0,AB59="",AQ59="",AQ59&lt;=0),0,IF(AQ59&lt;=DATE(YEAR(AB59),MONTH(AB59)+1,7),0,ROUND(AD59*0.015*((YEAR(AQ59)-YEAR(AB59))*12+(MONTH(AQ59)-MONTH(AB59))+1),0))))</f>
      </c>
      <c r="AH59" s="27">
        <f>IF($B59&lt;&gt;"Entry","",0)</f>
      </c>
      <c r="AI59" s="28"/>
      <c r="AJ59" s="28"/>
      <c r="AK59" s="32"/>
      <c r="AL59" s="28"/>
      <c r="AM59" s="28"/>
      <c r="AN59" s="27">
        <f>IF($B59&lt;&gt;"Challan","",SUMIF('Q1 Data'!$D$4:$D$207,D59,'Q1 Data'!$AD$4:$AD$207)+SUMIF('Q1 Data'!$D$4:$D$207,D59,'Q1 Data'!$AG$4:$AG$207)+SUMIF('Q1 Data'!$D$4:$D$207,D59,'Q1 Data'!$AE$4:$AE$207)+SUMIF('Q2 Data'!$D$4:$D$207,D59,'Q2 Data'!$AD$4:$AD$207)+SUMIF('Q2 Data'!$D$4:$D$207,D59,'Q2 Data'!$AG$4:$AG$207)+SUMIF('Q2 Data'!$D$4:$D$207,D59,'Q2 Data'!$AE$4:$AE$207)+SUMIF('Q3 Data'!$D$4:$D$207,D59,'Q3 Data'!$AD$4:$AD$207)+SUMIF('Q3 Data'!$D$4:$D$207,D59,'Q3 Data'!$AG$4:$AG$207)+SUMIF('Q3 Data'!$D$4:$D$207,D59,'Q3 Data'!$AE$4:$AE$207)+SUMIF('Q4 Data'!$D$4:$D$207,D59,'Q4 Data'!$AD$4:$AD$207)+SUMIF('Q4 Data'!$D$4:$D$207,D59,'Q4 Data'!$AG$4:$AG$207)+SUMIF('Q4 Data'!$D$4:$D$207,D59,'Q4 Data'!$AE$4:$AE$207))</f>
      </c>
      <c r="AO59" s="27">
        <f>IF($B59&lt;&gt;"Challan","",P59-N59)</f>
      </c>
      <c r="AP59" s="27">
        <f>IF($B59&lt;&gt;"Challan","",MAX(0,AO59-AN59))</f>
      </c>
      <c r="AQ59" s="33">
        <f>IF($B59&lt;&gt;"Entry","",SUMPRODUCT(('Q1 Data'!$D$4:$D$207=D59)*('Q1 Data'!$B$4:$B$207="Challan")*'Q1 Data'!$F$4:$F$207)+SUMPRODUCT(('Q2 Data'!$D$4:$D$207=D59)*('Q2 Data'!$B$4:$B$207="Challan")*'Q2 Data'!$F$4:$F$207)+SUMPRODUCT(('Q3 Data'!$D$4:$D$207=D59)*('Q3 Data'!$B$4:$B$207="Challan")*'Q3 Data'!$F$4:$F$207)+SUMPRODUCT(('Q4 Data'!$D$4:$D$207=D59)*('Q4 Data'!$B$4:$B$207="Challan")*'Q4 Data'!$F$4:$F$207))</f>
      </c>
      <c r="AR59" s="34">
        <f>IF(OR($B59&lt;&gt;"Entry",Z59=""),FALSE,AND((SUMPRODUCT(('Q1 Data'!$D$4:$D$207=D59)*('Q1 Data'!$B$4:$B$207="Challan")*('Q1 Data'!$H$4:$H$207&lt;&gt;""))+SUMPRODUCT(('Q2 Data'!$D$4:$D$207=D59)*('Q2 Data'!$B$4:$B$207="Challan")*('Q2 Data'!$H$4:$H$207&lt;&gt;""))+SUMPRODUCT(('Q3 Data'!$D$4:$D$207=D59)*('Q3 Data'!$B$4:$B$207="Challan")*('Q3 Data'!$H$4:$H$207&lt;&gt;""))+SUMPRODUCT(('Q4 Data'!$D$4:$D$207=D59)*('Q4 Data'!$B$4:$B$207="Challan")*('Q4 Data'!$H$4:$H$207&lt;&gt;"")))&gt;0,(SUMPRODUCT(('Q1 Data'!$D$4:$D$207=D59)*('Q1 Data'!$B$4:$B$207="Challan")*('Q1 Data'!$H$4:$H$207=Z59))+SUMPRODUCT(('Q2 Data'!$D$4:$D$207=D59)*('Q2 Data'!$B$4:$B$207="Challan")*('Q2 Data'!$H$4:$H$207=Z59))+SUMPRODUCT(('Q3 Data'!$D$4:$D$207=D59)*('Q3 Data'!$B$4:$B$207="Challan")*('Q3 Data'!$H$4:$H$207=Z59))+SUMPRODUCT(('Q4 Data'!$D$4:$D$207=D59)*('Q4 Data'!$B$4:$B$207="Challan")*('Q4 Data'!$H$4:$H$207=Z59)))=0))</f>
      </c>
    </row>
    <row r="60" spans="1:44" x14ac:dyDescent="0.25">
      <c r="A60" s="20">
        <f>IF($B60="Entry",COUNTIF($B$4:$B60,"Entry"),"")</f>
      </c>
      <c r="B60" s="21"/>
      <c r="C60" s="22"/>
      <c r="D60" s="22"/>
      <c r="E60" s="23">
        <f>IF($B60&lt;&gt;"Challan","",IF(ROUND(AN60-AO60,2)&gt;0,"Over-applied",IF(ROUND(AN60-AO60,2)=0,"Fully Utilised","Unconsumed")))</f>
      </c>
      <c r="F60" s="24"/>
      <c r="G60" s="25"/>
      <c r="H60" s="25"/>
      <c r="I60" s="26"/>
      <c r="J60" s="26"/>
      <c r="K60" s="26"/>
      <c r="L60" s="26"/>
      <c r="M60" s="26"/>
      <c r="N60" s="26"/>
      <c r="O60" s="26"/>
      <c r="P60" s="27">
        <f>IF($B60&lt;&gt;"Challan","",I60+J60+K60+L60+M60+N60)</f>
      </c>
      <c r="Q60" s="25"/>
      <c r="R60" s="25"/>
      <c r="S60" s="25"/>
      <c r="T60" s="25"/>
      <c r="U60" s="25"/>
      <c r="V60" s="28"/>
      <c r="W60" s="28"/>
      <c r="X60" s="23">
        <f>IF($B60="Entry",IF(AND(LEN(TRIM(UPPER(W60)))=10,CODE(MID(TRIM(UPPER(W60)),1,1))&gt;=65,CODE(MID(TRIM(UPPER(W60)),1,1))&lt;=90,CODE(MID(TRIM(UPPER(W60)),2,1))&gt;=65,CODE(MID(TRIM(UPPER(W60)),2,1))&lt;=90,CODE(MID(TRIM(UPPER(W60)),3,1))&gt;=65,CODE(MID(TRIM(UPPER(W60)),3,1))&lt;=90,CODE(MID(TRIM(UPPER(W60)),4,1))&gt;=65,CODE(MID(TRIM(UPPER(W60)),4,1))&lt;=90,CODE(MID(TRIM(UPPER(W60)),5,1))&gt;=65,CODE(MID(TRIM(UPPER(W60)),5,1))&lt;=90,CODE(MID(TRIM(UPPER(W60)),10,1))&gt;=65,CODE(MID(TRIM(UPPER(W60)),10,1))&lt;=90,CODE(MID(TRIM(UPPER(W60)),6,1))&gt;=48,CODE(MID(TRIM(UPPER(W60)),6,1))&lt;=57,CODE(MID(TRIM(UPPER(W60)),7,1))&gt;=48,CODE(MID(TRIM(UPPER(W60)),7,1))&lt;=57,CODE(MID(TRIM(UPPER(W60)),8,1))&gt;=48,CODE(MID(TRIM(UPPER(W60)),8,1))&lt;=57,CODE(MID(TRIM(UPPER(W60)),9,1))&gt;=48,CODE(MID(TRIM(UPPER(W60)),9,1))&lt;=57),"N","Y"),IF($B60="Challan","",IF(W60&lt;&gt;"","◄ Set Row Type","")))</f>
      </c>
      <c r="Y60" s="23">
        <f>IF($B60="Entry",IF(LEN(W60)&lt;4,"",IF(UPPER(MID(W60,4,1))="P","Individual",IF(UPPER(MID(W60,4,1))="H","HUF",IF(UPPER(MID(W60,4,1))="C","Company",IF(UPPER(MID(W60,4,1))="F","Firm",IF(UPPER(MID(W60,4,1))="L","LLP",IF(UPPER(MID(W60,4,1))="T","Trust",IF(UPPER(MID(W60,4,1))="A","AOP","")))))))),IF($B60="Challan","",IF(W60&lt;&gt;"","◄ Set Row Type","")))</f>
      </c>
      <c r="Z60" s="28"/>
      <c r="AA60" s="29">
        <f>IF($B60&lt;&gt;"Entry","",IF(Z60="","",IF(X60="Y",SUMPRODUCT(('Rate Lookup'!$A$1:$A$37=Z60)*'Rate Lookup'!$D$1:$D$37),IF(OR(Y60="Individual",Y60="HUF"),SUMPRODUCT(('Rate Lookup'!$A$1:$A$37=Z60)*'Rate Lookup'!$B$1:$B$37),SUMPRODUCT(('Rate Lookup'!$A$1:$A$37=Z60)*'Rate Lookup'!$C$1:$C$37)))))</f>
      </c>
      <c r="AB60" s="30"/>
      <c r="AC60" s="31"/>
      <c r="AD60" s="27">
        <f>IF($B60&lt;&gt;"Entry","",ROUND(AC60*AA60/100,0))</f>
      </c>
      <c r="AE60" s="27">
        <f>IF($B60&lt;&gt;"Entry","",0)</f>
      </c>
      <c r="AF60" s="27">
        <f>IF($B60&lt;&gt;"Entry","",0)</f>
      </c>
      <c r="AG60" s="27">
        <f>IF($B60&lt;&gt;"Entry","",IF(OR(AD60=0,AB60="",AQ60="",AQ60&lt;=0),0,IF(AQ60&lt;=DATE(YEAR(AB60),MONTH(AB60)+1,7),0,ROUND(AD60*0.015*((YEAR(AQ60)-YEAR(AB60))*12+(MONTH(AQ60)-MONTH(AB60))+1),0))))</f>
      </c>
      <c r="AH60" s="27">
        <f>IF($B60&lt;&gt;"Entry","",0)</f>
      </c>
      <c r="AI60" s="28"/>
      <c r="AJ60" s="28"/>
      <c r="AK60" s="32"/>
      <c r="AL60" s="28"/>
      <c r="AM60" s="28"/>
      <c r="AN60" s="27">
        <f>IF($B60&lt;&gt;"Challan","",SUMIF('Q1 Data'!$D$4:$D$207,D60,'Q1 Data'!$AD$4:$AD$207)+SUMIF('Q1 Data'!$D$4:$D$207,D60,'Q1 Data'!$AG$4:$AG$207)+SUMIF('Q1 Data'!$D$4:$D$207,D60,'Q1 Data'!$AE$4:$AE$207)+SUMIF('Q2 Data'!$D$4:$D$207,D60,'Q2 Data'!$AD$4:$AD$207)+SUMIF('Q2 Data'!$D$4:$D$207,D60,'Q2 Data'!$AG$4:$AG$207)+SUMIF('Q2 Data'!$D$4:$D$207,D60,'Q2 Data'!$AE$4:$AE$207)+SUMIF('Q3 Data'!$D$4:$D$207,D60,'Q3 Data'!$AD$4:$AD$207)+SUMIF('Q3 Data'!$D$4:$D$207,D60,'Q3 Data'!$AG$4:$AG$207)+SUMIF('Q3 Data'!$D$4:$D$207,D60,'Q3 Data'!$AE$4:$AE$207)+SUMIF('Q4 Data'!$D$4:$D$207,D60,'Q4 Data'!$AD$4:$AD$207)+SUMIF('Q4 Data'!$D$4:$D$207,D60,'Q4 Data'!$AG$4:$AG$207)+SUMIF('Q4 Data'!$D$4:$D$207,D60,'Q4 Data'!$AE$4:$AE$207))</f>
      </c>
      <c r="AO60" s="27">
        <f>IF($B60&lt;&gt;"Challan","",P60-N60)</f>
      </c>
      <c r="AP60" s="27">
        <f>IF($B60&lt;&gt;"Challan","",MAX(0,AO60-AN60))</f>
      </c>
      <c r="AQ60" s="33">
        <f>IF($B60&lt;&gt;"Entry","",SUMPRODUCT(('Q1 Data'!$D$4:$D$207=D60)*('Q1 Data'!$B$4:$B$207="Challan")*'Q1 Data'!$F$4:$F$207)+SUMPRODUCT(('Q2 Data'!$D$4:$D$207=D60)*('Q2 Data'!$B$4:$B$207="Challan")*'Q2 Data'!$F$4:$F$207)+SUMPRODUCT(('Q3 Data'!$D$4:$D$207=D60)*('Q3 Data'!$B$4:$B$207="Challan")*'Q3 Data'!$F$4:$F$207)+SUMPRODUCT(('Q4 Data'!$D$4:$D$207=D60)*('Q4 Data'!$B$4:$B$207="Challan")*'Q4 Data'!$F$4:$F$207))</f>
      </c>
      <c r="AR60" s="34">
        <f>IF(OR($B60&lt;&gt;"Entry",Z60=""),FALSE,AND((SUMPRODUCT(('Q1 Data'!$D$4:$D$207=D60)*('Q1 Data'!$B$4:$B$207="Challan")*('Q1 Data'!$H$4:$H$207&lt;&gt;""))+SUMPRODUCT(('Q2 Data'!$D$4:$D$207=D60)*('Q2 Data'!$B$4:$B$207="Challan")*('Q2 Data'!$H$4:$H$207&lt;&gt;""))+SUMPRODUCT(('Q3 Data'!$D$4:$D$207=D60)*('Q3 Data'!$B$4:$B$207="Challan")*('Q3 Data'!$H$4:$H$207&lt;&gt;""))+SUMPRODUCT(('Q4 Data'!$D$4:$D$207=D60)*('Q4 Data'!$B$4:$B$207="Challan")*('Q4 Data'!$H$4:$H$207&lt;&gt;"")))&gt;0,(SUMPRODUCT(('Q1 Data'!$D$4:$D$207=D60)*('Q1 Data'!$B$4:$B$207="Challan")*('Q1 Data'!$H$4:$H$207=Z60))+SUMPRODUCT(('Q2 Data'!$D$4:$D$207=D60)*('Q2 Data'!$B$4:$B$207="Challan")*('Q2 Data'!$H$4:$H$207=Z60))+SUMPRODUCT(('Q3 Data'!$D$4:$D$207=D60)*('Q3 Data'!$B$4:$B$207="Challan")*('Q3 Data'!$H$4:$H$207=Z60))+SUMPRODUCT(('Q4 Data'!$D$4:$D$207=D60)*('Q4 Data'!$B$4:$B$207="Challan")*('Q4 Data'!$H$4:$H$207=Z60)))=0))</f>
      </c>
    </row>
    <row r="61" spans="1:44" x14ac:dyDescent="0.25">
      <c r="A61" s="20">
        <f>IF($B61="Entry",COUNTIF($B$4:$B61,"Entry"),"")</f>
      </c>
      <c r="B61" s="21"/>
      <c r="C61" s="22"/>
      <c r="D61" s="22"/>
      <c r="E61" s="23">
        <f>IF($B61&lt;&gt;"Challan","",IF(ROUND(AN61-AO61,2)&gt;0,"Over-applied",IF(ROUND(AN61-AO61,2)=0,"Fully Utilised","Unconsumed")))</f>
      </c>
      <c r="F61" s="24"/>
      <c r="G61" s="25"/>
      <c r="H61" s="25"/>
      <c r="I61" s="26"/>
      <c r="J61" s="26"/>
      <c r="K61" s="26"/>
      <c r="L61" s="26"/>
      <c r="M61" s="26"/>
      <c r="N61" s="26"/>
      <c r="O61" s="26"/>
      <c r="P61" s="27">
        <f>IF($B61&lt;&gt;"Challan","",I61+J61+K61+L61+M61+N61)</f>
      </c>
      <c r="Q61" s="25"/>
      <c r="R61" s="25"/>
      <c r="S61" s="25"/>
      <c r="T61" s="25"/>
      <c r="U61" s="25"/>
      <c r="V61" s="28"/>
      <c r="W61" s="28"/>
      <c r="X61" s="23">
        <f>IF($B61="Entry",IF(AND(LEN(TRIM(UPPER(W61)))=10,CODE(MID(TRIM(UPPER(W61)),1,1))&gt;=65,CODE(MID(TRIM(UPPER(W61)),1,1))&lt;=90,CODE(MID(TRIM(UPPER(W61)),2,1))&gt;=65,CODE(MID(TRIM(UPPER(W61)),2,1))&lt;=90,CODE(MID(TRIM(UPPER(W61)),3,1))&gt;=65,CODE(MID(TRIM(UPPER(W61)),3,1))&lt;=90,CODE(MID(TRIM(UPPER(W61)),4,1))&gt;=65,CODE(MID(TRIM(UPPER(W61)),4,1))&lt;=90,CODE(MID(TRIM(UPPER(W61)),5,1))&gt;=65,CODE(MID(TRIM(UPPER(W61)),5,1))&lt;=90,CODE(MID(TRIM(UPPER(W61)),10,1))&gt;=65,CODE(MID(TRIM(UPPER(W61)),10,1))&lt;=90,CODE(MID(TRIM(UPPER(W61)),6,1))&gt;=48,CODE(MID(TRIM(UPPER(W61)),6,1))&lt;=57,CODE(MID(TRIM(UPPER(W61)),7,1))&gt;=48,CODE(MID(TRIM(UPPER(W61)),7,1))&lt;=57,CODE(MID(TRIM(UPPER(W61)),8,1))&gt;=48,CODE(MID(TRIM(UPPER(W61)),8,1))&lt;=57,CODE(MID(TRIM(UPPER(W61)),9,1))&gt;=48,CODE(MID(TRIM(UPPER(W61)),9,1))&lt;=57),"N","Y"),IF($B61="Challan","",IF(W61&lt;&gt;"","◄ Set Row Type","")))</f>
      </c>
      <c r="Y61" s="23">
        <f>IF($B61="Entry",IF(LEN(W61)&lt;4,"",IF(UPPER(MID(W61,4,1))="P","Individual",IF(UPPER(MID(W61,4,1))="H","HUF",IF(UPPER(MID(W61,4,1))="C","Company",IF(UPPER(MID(W61,4,1))="F","Firm",IF(UPPER(MID(W61,4,1))="L","LLP",IF(UPPER(MID(W61,4,1))="T","Trust",IF(UPPER(MID(W61,4,1))="A","AOP","")))))))),IF($B61="Challan","",IF(W61&lt;&gt;"","◄ Set Row Type","")))</f>
      </c>
      <c r="Z61" s="28"/>
      <c r="AA61" s="29">
        <f>IF($B61&lt;&gt;"Entry","",IF(Z61="","",IF(X61="Y",SUMPRODUCT(('Rate Lookup'!$A$1:$A$37=Z61)*'Rate Lookup'!$D$1:$D$37),IF(OR(Y61="Individual",Y61="HUF"),SUMPRODUCT(('Rate Lookup'!$A$1:$A$37=Z61)*'Rate Lookup'!$B$1:$B$37),SUMPRODUCT(('Rate Lookup'!$A$1:$A$37=Z61)*'Rate Lookup'!$C$1:$C$37)))))</f>
      </c>
      <c r="AB61" s="30"/>
      <c r="AC61" s="31"/>
      <c r="AD61" s="27">
        <f>IF($B61&lt;&gt;"Entry","",ROUND(AC61*AA61/100,0))</f>
      </c>
      <c r="AE61" s="27">
        <f>IF($B61&lt;&gt;"Entry","",0)</f>
      </c>
      <c r="AF61" s="27">
        <f>IF($B61&lt;&gt;"Entry","",0)</f>
      </c>
      <c r="AG61" s="27">
        <f>IF($B61&lt;&gt;"Entry","",IF(OR(AD61=0,AB61="",AQ61="",AQ61&lt;=0),0,IF(AQ61&lt;=DATE(YEAR(AB61),MONTH(AB61)+1,7),0,ROUND(AD61*0.015*((YEAR(AQ61)-YEAR(AB61))*12+(MONTH(AQ61)-MONTH(AB61))+1),0))))</f>
      </c>
      <c r="AH61" s="27">
        <f>IF($B61&lt;&gt;"Entry","",0)</f>
      </c>
      <c r="AI61" s="28"/>
      <c r="AJ61" s="28"/>
      <c r="AK61" s="32"/>
      <c r="AL61" s="28"/>
      <c r="AM61" s="28"/>
      <c r="AN61" s="27">
        <f>IF($B61&lt;&gt;"Challan","",SUMIF('Q1 Data'!$D$4:$D$207,D61,'Q1 Data'!$AD$4:$AD$207)+SUMIF('Q1 Data'!$D$4:$D$207,D61,'Q1 Data'!$AG$4:$AG$207)+SUMIF('Q1 Data'!$D$4:$D$207,D61,'Q1 Data'!$AE$4:$AE$207)+SUMIF('Q2 Data'!$D$4:$D$207,D61,'Q2 Data'!$AD$4:$AD$207)+SUMIF('Q2 Data'!$D$4:$D$207,D61,'Q2 Data'!$AG$4:$AG$207)+SUMIF('Q2 Data'!$D$4:$D$207,D61,'Q2 Data'!$AE$4:$AE$207)+SUMIF('Q3 Data'!$D$4:$D$207,D61,'Q3 Data'!$AD$4:$AD$207)+SUMIF('Q3 Data'!$D$4:$D$207,D61,'Q3 Data'!$AG$4:$AG$207)+SUMIF('Q3 Data'!$D$4:$D$207,D61,'Q3 Data'!$AE$4:$AE$207)+SUMIF('Q4 Data'!$D$4:$D$207,D61,'Q4 Data'!$AD$4:$AD$207)+SUMIF('Q4 Data'!$D$4:$D$207,D61,'Q4 Data'!$AG$4:$AG$207)+SUMIF('Q4 Data'!$D$4:$D$207,D61,'Q4 Data'!$AE$4:$AE$207))</f>
      </c>
      <c r="AO61" s="27">
        <f>IF($B61&lt;&gt;"Challan","",P61-N61)</f>
      </c>
      <c r="AP61" s="27">
        <f>IF($B61&lt;&gt;"Challan","",MAX(0,AO61-AN61))</f>
      </c>
      <c r="AQ61" s="33">
        <f>IF($B61&lt;&gt;"Entry","",SUMPRODUCT(('Q1 Data'!$D$4:$D$207=D61)*('Q1 Data'!$B$4:$B$207="Challan")*'Q1 Data'!$F$4:$F$207)+SUMPRODUCT(('Q2 Data'!$D$4:$D$207=D61)*('Q2 Data'!$B$4:$B$207="Challan")*'Q2 Data'!$F$4:$F$207)+SUMPRODUCT(('Q3 Data'!$D$4:$D$207=D61)*('Q3 Data'!$B$4:$B$207="Challan")*'Q3 Data'!$F$4:$F$207)+SUMPRODUCT(('Q4 Data'!$D$4:$D$207=D61)*('Q4 Data'!$B$4:$B$207="Challan")*'Q4 Data'!$F$4:$F$207))</f>
      </c>
      <c r="AR61" s="34">
        <f>IF(OR($B61&lt;&gt;"Entry",Z61=""),FALSE,AND((SUMPRODUCT(('Q1 Data'!$D$4:$D$207=D61)*('Q1 Data'!$B$4:$B$207="Challan")*('Q1 Data'!$H$4:$H$207&lt;&gt;""))+SUMPRODUCT(('Q2 Data'!$D$4:$D$207=D61)*('Q2 Data'!$B$4:$B$207="Challan")*('Q2 Data'!$H$4:$H$207&lt;&gt;""))+SUMPRODUCT(('Q3 Data'!$D$4:$D$207=D61)*('Q3 Data'!$B$4:$B$207="Challan")*('Q3 Data'!$H$4:$H$207&lt;&gt;""))+SUMPRODUCT(('Q4 Data'!$D$4:$D$207=D61)*('Q4 Data'!$B$4:$B$207="Challan")*('Q4 Data'!$H$4:$H$207&lt;&gt;"")))&gt;0,(SUMPRODUCT(('Q1 Data'!$D$4:$D$207=D61)*('Q1 Data'!$B$4:$B$207="Challan")*('Q1 Data'!$H$4:$H$207=Z61))+SUMPRODUCT(('Q2 Data'!$D$4:$D$207=D61)*('Q2 Data'!$B$4:$B$207="Challan")*('Q2 Data'!$H$4:$H$207=Z61))+SUMPRODUCT(('Q3 Data'!$D$4:$D$207=D61)*('Q3 Data'!$B$4:$B$207="Challan")*('Q3 Data'!$H$4:$H$207=Z61))+SUMPRODUCT(('Q4 Data'!$D$4:$D$207=D61)*('Q4 Data'!$B$4:$B$207="Challan")*('Q4 Data'!$H$4:$H$207=Z61)))=0))</f>
      </c>
    </row>
    <row r="62" spans="1:44" x14ac:dyDescent="0.25">
      <c r="A62" s="20">
        <f>IF($B62="Entry",COUNTIF($B$4:$B62,"Entry"),"")</f>
      </c>
      <c r="B62" s="21"/>
      <c r="C62" s="22"/>
      <c r="D62" s="22"/>
      <c r="E62" s="23">
        <f>IF($B62&lt;&gt;"Challan","",IF(ROUND(AN62-AO62,2)&gt;0,"Over-applied",IF(ROUND(AN62-AO62,2)=0,"Fully Utilised","Unconsumed")))</f>
      </c>
      <c r="F62" s="24"/>
      <c r="G62" s="25"/>
      <c r="H62" s="25"/>
      <c r="I62" s="26"/>
      <c r="J62" s="26"/>
      <c r="K62" s="26"/>
      <c r="L62" s="26"/>
      <c r="M62" s="26"/>
      <c r="N62" s="26"/>
      <c r="O62" s="26"/>
      <c r="P62" s="27">
        <f>IF($B62&lt;&gt;"Challan","",I62+J62+K62+L62+M62+N62)</f>
      </c>
      <c r="Q62" s="25"/>
      <c r="R62" s="25"/>
      <c r="S62" s="25"/>
      <c r="T62" s="25"/>
      <c r="U62" s="25"/>
      <c r="V62" s="28"/>
      <c r="W62" s="28"/>
      <c r="X62" s="23">
        <f>IF($B62="Entry",IF(AND(LEN(TRIM(UPPER(W62)))=10,CODE(MID(TRIM(UPPER(W62)),1,1))&gt;=65,CODE(MID(TRIM(UPPER(W62)),1,1))&lt;=90,CODE(MID(TRIM(UPPER(W62)),2,1))&gt;=65,CODE(MID(TRIM(UPPER(W62)),2,1))&lt;=90,CODE(MID(TRIM(UPPER(W62)),3,1))&gt;=65,CODE(MID(TRIM(UPPER(W62)),3,1))&lt;=90,CODE(MID(TRIM(UPPER(W62)),4,1))&gt;=65,CODE(MID(TRIM(UPPER(W62)),4,1))&lt;=90,CODE(MID(TRIM(UPPER(W62)),5,1))&gt;=65,CODE(MID(TRIM(UPPER(W62)),5,1))&lt;=90,CODE(MID(TRIM(UPPER(W62)),10,1))&gt;=65,CODE(MID(TRIM(UPPER(W62)),10,1))&lt;=90,CODE(MID(TRIM(UPPER(W62)),6,1))&gt;=48,CODE(MID(TRIM(UPPER(W62)),6,1))&lt;=57,CODE(MID(TRIM(UPPER(W62)),7,1))&gt;=48,CODE(MID(TRIM(UPPER(W62)),7,1))&lt;=57,CODE(MID(TRIM(UPPER(W62)),8,1))&gt;=48,CODE(MID(TRIM(UPPER(W62)),8,1))&lt;=57,CODE(MID(TRIM(UPPER(W62)),9,1))&gt;=48,CODE(MID(TRIM(UPPER(W62)),9,1))&lt;=57),"N","Y"),IF($B62="Challan","",IF(W62&lt;&gt;"","◄ Set Row Type","")))</f>
      </c>
      <c r="Y62" s="23">
        <f>IF($B62="Entry",IF(LEN(W62)&lt;4,"",IF(UPPER(MID(W62,4,1))="P","Individual",IF(UPPER(MID(W62,4,1))="H","HUF",IF(UPPER(MID(W62,4,1))="C","Company",IF(UPPER(MID(W62,4,1))="F","Firm",IF(UPPER(MID(W62,4,1))="L","LLP",IF(UPPER(MID(W62,4,1))="T","Trust",IF(UPPER(MID(W62,4,1))="A","AOP","")))))))),IF($B62="Challan","",IF(W62&lt;&gt;"","◄ Set Row Type","")))</f>
      </c>
      <c r="Z62" s="28"/>
      <c r="AA62" s="29">
        <f>IF($B62&lt;&gt;"Entry","",IF(Z62="","",IF(X62="Y",SUMPRODUCT(('Rate Lookup'!$A$1:$A$37=Z62)*'Rate Lookup'!$D$1:$D$37),IF(OR(Y62="Individual",Y62="HUF"),SUMPRODUCT(('Rate Lookup'!$A$1:$A$37=Z62)*'Rate Lookup'!$B$1:$B$37),SUMPRODUCT(('Rate Lookup'!$A$1:$A$37=Z62)*'Rate Lookup'!$C$1:$C$37)))))</f>
      </c>
      <c r="AB62" s="30"/>
      <c r="AC62" s="31"/>
      <c r="AD62" s="27">
        <f>IF($B62&lt;&gt;"Entry","",ROUND(AC62*AA62/100,0))</f>
      </c>
      <c r="AE62" s="27">
        <f>IF($B62&lt;&gt;"Entry","",0)</f>
      </c>
      <c r="AF62" s="27">
        <f>IF($B62&lt;&gt;"Entry","",0)</f>
      </c>
      <c r="AG62" s="27">
        <f>IF($B62&lt;&gt;"Entry","",IF(OR(AD62=0,AB62="",AQ62="",AQ62&lt;=0),0,IF(AQ62&lt;=DATE(YEAR(AB62),MONTH(AB62)+1,7),0,ROUND(AD62*0.015*((YEAR(AQ62)-YEAR(AB62))*12+(MONTH(AQ62)-MONTH(AB62))+1),0))))</f>
      </c>
      <c r="AH62" s="27">
        <f>IF($B62&lt;&gt;"Entry","",0)</f>
      </c>
      <c r="AI62" s="28"/>
      <c r="AJ62" s="28"/>
      <c r="AK62" s="32"/>
      <c r="AL62" s="28"/>
      <c r="AM62" s="28"/>
      <c r="AN62" s="27">
        <f>IF($B62&lt;&gt;"Challan","",SUMIF('Q1 Data'!$D$4:$D$207,D62,'Q1 Data'!$AD$4:$AD$207)+SUMIF('Q1 Data'!$D$4:$D$207,D62,'Q1 Data'!$AG$4:$AG$207)+SUMIF('Q1 Data'!$D$4:$D$207,D62,'Q1 Data'!$AE$4:$AE$207)+SUMIF('Q2 Data'!$D$4:$D$207,D62,'Q2 Data'!$AD$4:$AD$207)+SUMIF('Q2 Data'!$D$4:$D$207,D62,'Q2 Data'!$AG$4:$AG$207)+SUMIF('Q2 Data'!$D$4:$D$207,D62,'Q2 Data'!$AE$4:$AE$207)+SUMIF('Q3 Data'!$D$4:$D$207,D62,'Q3 Data'!$AD$4:$AD$207)+SUMIF('Q3 Data'!$D$4:$D$207,D62,'Q3 Data'!$AG$4:$AG$207)+SUMIF('Q3 Data'!$D$4:$D$207,D62,'Q3 Data'!$AE$4:$AE$207)+SUMIF('Q4 Data'!$D$4:$D$207,D62,'Q4 Data'!$AD$4:$AD$207)+SUMIF('Q4 Data'!$D$4:$D$207,D62,'Q4 Data'!$AG$4:$AG$207)+SUMIF('Q4 Data'!$D$4:$D$207,D62,'Q4 Data'!$AE$4:$AE$207))</f>
      </c>
      <c r="AO62" s="27">
        <f>IF($B62&lt;&gt;"Challan","",P62-N62)</f>
      </c>
      <c r="AP62" s="27">
        <f>IF($B62&lt;&gt;"Challan","",MAX(0,AO62-AN62))</f>
      </c>
      <c r="AQ62" s="33">
        <f>IF($B62&lt;&gt;"Entry","",SUMPRODUCT(('Q1 Data'!$D$4:$D$207=D62)*('Q1 Data'!$B$4:$B$207="Challan")*'Q1 Data'!$F$4:$F$207)+SUMPRODUCT(('Q2 Data'!$D$4:$D$207=D62)*('Q2 Data'!$B$4:$B$207="Challan")*'Q2 Data'!$F$4:$F$207)+SUMPRODUCT(('Q3 Data'!$D$4:$D$207=D62)*('Q3 Data'!$B$4:$B$207="Challan")*'Q3 Data'!$F$4:$F$207)+SUMPRODUCT(('Q4 Data'!$D$4:$D$207=D62)*('Q4 Data'!$B$4:$B$207="Challan")*'Q4 Data'!$F$4:$F$207))</f>
      </c>
      <c r="AR62" s="34">
        <f>IF(OR($B62&lt;&gt;"Entry",Z62=""),FALSE,AND((SUMPRODUCT(('Q1 Data'!$D$4:$D$207=D62)*('Q1 Data'!$B$4:$B$207="Challan")*('Q1 Data'!$H$4:$H$207&lt;&gt;""))+SUMPRODUCT(('Q2 Data'!$D$4:$D$207=D62)*('Q2 Data'!$B$4:$B$207="Challan")*('Q2 Data'!$H$4:$H$207&lt;&gt;""))+SUMPRODUCT(('Q3 Data'!$D$4:$D$207=D62)*('Q3 Data'!$B$4:$B$207="Challan")*('Q3 Data'!$H$4:$H$207&lt;&gt;""))+SUMPRODUCT(('Q4 Data'!$D$4:$D$207=D62)*('Q4 Data'!$B$4:$B$207="Challan")*('Q4 Data'!$H$4:$H$207&lt;&gt;"")))&gt;0,(SUMPRODUCT(('Q1 Data'!$D$4:$D$207=D62)*('Q1 Data'!$B$4:$B$207="Challan")*('Q1 Data'!$H$4:$H$207=Z62))+SUMPRODUCT(('Q2 Data'!$D$4:$D$207=D62)*('Q2 Data'!$B$4:$B$207="Challan")*('Q2 Data'!$H$4:$H$207=Z62))+SUMPRODUCT(('Q3 Data'!$D$4:$D$207=D62)*('Q3 Data'!$B$4:$B$207="Challan")*('Q3 Data'!$H$4:$H$207=Z62))+SUMPRODUCT(('Q4 Data'!$D$4:$D$207=D62)*('Q4 Data'!$B$4:$B$207="Challan")*('Q4 Data'!$H$4:$H$207=Z62)))=0))</f>
      </c>
    </row>
    <row r="63" spans="1:44" x14ac:dyDescent="0.25">
      <c r="A63" s="20">
        <f>IF($B63="Entry",COUNTIF($B$4:$B63,"Entry"),"")</f>
      </c>
      <c r="B63" s="21"/>
      <c r="C63" s="22"/>
      <c r="D63" s="22"/>
      <c r="E63" s="23">
        <f>IF($B63&lt;&gt;"Challan","",IF(ROUND(AN63-AO63,2)&gt;0,"Over-applied",IF(ROUND(AN63-AO63,2)=0,"Fully Utilised","Unconsumed")))</f>
      </c>
      <c r="F63" s="24"/>
      <c r="G63" s="25"/>
      <c r="H63" s="25"/>
      <c r="I63" s="26"/>
      <c r="J63" s="26"/>
      <c r="K63" s="26"/>
      <c r="L63" s="26"/>
      <c r="M63" s="26"/>
      <c r="N63" s="26"/>
      <c r="O63" s="26"/>
      <c r="P63" s="27">
        <f>IF($B63&lt;&gt;"Challan","",I63+J63+K63+L63+M63+N63)</f>
      </c>
      <c r="Q63" s="25"/>
      <c r="R63" s="25"/>
      <c r="S63" s="25"/>
      <c r="T63" s="25"/>
      <c r="U63" s="25"/>
      <c r="V63" s="28"/>
      <c r="W63" s="28"/>
      <c r="X63" s="23">
        <f>IF($B63="Entry",IF(AND(LEN(TRIM(UPPER(W63)))=10,CODE(MID(TRIM(UPPER(W63)),1,1))&gt;=65,CODE(MID(TRIM(UPPER(W63)),1,1))&lt;=90,CODE(MID(TRIM(UPPER(W63)),2,1))&gt;=65,CODE(MID(TRIM(UPPER(W63)),2,1))&lt;=90,CODE(MID(TRIM(UPPER(W63)),3,1))&gt;=65,CODE(MID(TRIM(UPPER(W63)),3,1))&lt;=90,CODE(MID(TRIM(UPPER(W63)),4,1))&gt;=65,CODE(MID(TRIM(UPPER(W63)),4,1))&lt;=90,CODE(MID(TRIM(UPPER(W63)),5,1))&gt;=65,CODE(MID(TRIM(UPPER(W63)),5,1))&lt;=90,CODE(MID(TRIM(UPPER(W63)),10,1))&gt;=65,CODE(MID(TRIM(UPPER(W63)),10,1))&lt;=90,CODE(MID(TRIM(UPPER(W63)),6,1))&gt;=48,CODE(MID(TRIM(UPPER(W63)),6,1))&lt;=57,CODE(MID(TRIM(UPPER(W63)),7,1))&gt;=48,CODE(MID(TRIM(UPPER(W63)),7,1))&lt;=57,CODE(MID(TRIM(UPPER(W63)),8,1))&gt;=48,CODE(MID(TRIM(UPPER(W63)),8,1))&lt;=57,CODE(MID(TRIM(UPPER(W63)),9,1))&gt;=48,CODE(MID(TRIM(UPPER(W63)),9,1))&lt;=57),"N","Y"),IF($B63="Challan","",IF(W63&lt;&gt;"","◄ Set Row Type","")))</f>
      </c>
      <c r="Y63" s="23">
        <f>IF($B63="Entry",IF(LEN(W63)&lt;4,"",IF(UPPER(MID(W63,4,1))="P","Individual",IF(UPPER(MID(W63,4,1))="H","HUF",IF(UPPER(MID(W63,4,1))="C","Company",IF(UPPER(MID(W63,4,1))="F","Firm",IF(UPPER(MID(W63,4,1))="L","LLP",IF(UPPER(MID(W63,4,1))="T","Trust",IF(UPPER(MID(W63,4,1))="A","AOP","")))))))),IF($B63="Challan","",IF(W63&lt;&gt;"","◄ Set Row Type","")))</f>
      </c>
      <c r="Z63" s="28"/>
      <c r="AA63" s="29">
        <f>IF($B63&lt;&gt;"Entry","",IF(Z63="","",IF(X63="Y",SUMPRODUCT(('Rate Lookup'!$A$1:$A$37=Z63)*'Rate Lookup'!$D$1:$D$37),IF(OR(Y63="Individual",Y63="HUF"),SUMPRODUCT(('Rate Lookup'!$A$1:$A$37=Z63)*'Rate Lookup'!$B$1:$B$37),SUMPRODUCT(('Rate Lookup'!$A$1:$A$37=Z63)*'Rate Lookup'!$C$1:$C$37)))))</f>
      </c>
      <c r="AB63" s="30"/>
      <c r="AC63" s="31"/>
      <c r="AD63" s="27">
        <f>IF($B63&lt;&gt;"Entry","",ROUND(AC63*AA63/100,0))</f>
      </c>
      <c r="AE63" s="27">
        <f>IF($B63&lt;&gt;"Entry","",0)</f>
      </c>
      <c r="AF63" s="27">
        <f>IF($B63&lt;&gt;"Entry","",0)</f>
      </c>
      <c r="AG63" s="27">
        <f>IF($B63&lt;&gt;"Entry","",IF(OR(AD63=0,AB63="",AQ63="",AQ63&lt;=0),0,IF(AQ63&lt;=DATE(YEAR(AB63),MONTH(AB63)+1,7),0,ROUND(AD63*0.015*((YEAR(AQ63)-YEAR(AB63))*12+(MONTH(AQ63)-MONTH(AB63))+1),0))))</f>
      </c>
      <c r="AH63" s="27">
        <f>IF($B63&lt;&gt;"Entry","",0)</f>
      </c>
      <c r="AI63" s="28"/>
      <c r="AJ63" s="28"/>
      <c r="AK63" s="32"/>
      <c r="AL63" s="28"/>
      <c r="AM63" s="28"/>
      <c r="AN63" s="27">
        <f>IF($B63&lt;&gt;"Challan","",SUMIF('Q1 Data'!$D$4:$D$207,D63,'Q1 Data'!$AD$4:$AD$207)+SUMIF('Q1 Data'!$D$4:$D$207,D63,'Q1 Data'!$AG$4:$AG$207)+SUMIF('Q1 Data'!$D$4:$D$207,D63,'Q1 Data'!$AE$4:$AE$207)+SUMIF('Q2 Data'!$D$4:$D$207,D63,'Q2 Data'!$AD$4:$AD$207)+SUMIF('Q2 Data'!$D$4:$D$207,D63,'Q2 Data'!$AG$4:$AG$207)+SUMIF('Q2 Data'!$D$4:$D$207,D63,'Q2 Data'!$AE$4:$AE$207)+SUMIF('Q3 Data'!$D$4:$D$207,D63,'Q3 Data'!$AD$4:$AD$207)+SUMIF('Q3 Data'!$D$4:$D$207,D63,'Q3 Data'!$AG$4:$AG$207)+SUMIF('Q3 Data'!$D$4:$D$207,D63,'Q3 Data'!$AE$4:$AE$207)+SUMIF('Q4 Data'!$D$4:$D$207,D63,'Q4 Data'!$AD$4:$AD$207)+SUMIF('Q4 Data'!$D$4:$D$207,D63,'Q4 Data'!$AG$4:$AG$207)+SUMIF('Q4 Data'!$D$4:$D$207,D63,'Q4 Data'!$AE$4:$AE$207))</f>
      </c>
      <c r="AO63" s="27">
        <f>IF($B63&lt;&gt;"Challan","",P63-N63)</f>
      </c>
      <c r="AP63" s="27">
        <f>IF($B63&lt;&gt;"Challan","",MAX(0,AO63-AN63))</f>
      </c>
      <c r="AQ63" s="33">
        <f>IF($B63&lt;&gt;"Entry","",SUMPRODUCT(('Q1 Data'!$D$4:$D$207=D63)*('Q1 Data'!$B$4:$B$207="Challan")*'Q1 Data'!$F$4:$F$207)+SUMPRODUCT(('Q2 Data'!$D$4:$D$207=D63)*('Q2 Data'!$B$4:$B$207="Challan")*'Q2 Data'!$F$4:$F$207)+SUMPRODUCT(('Q3 Data'!$D$4:$D$207=D63)*('Q3 Data'!$B$4:$B$207="Challan")*'Q3 Data'!$F$4:$F$207)+SUMPRODUCT(('Q4 Data'!$D$4:$D$207=D63)*('Q4 Data'!$B$4:$B$207="Challan")*'Q4 Data'!$F$4:$F$207))</f>
      </c>
      <c r="AR63" s="34">
        <f>IF(OR($B63&lt;&gt;"Entry",Z63=""),FALSE,AND((SUMPRODUCT(('Q1 Data'!$D$4:$D$207=D63)*('Q1 Data'!$B$4:$B$207="Challan")*('Q1 Data'!$H$4:$H$207&lt;&gt;""))+SUMPRODUCT(('Q2 Data'!$D$4:$D$207=D63)*('Q2 Data'!$B$4:$B$207="Challan")*('Q2 Data'!$H$4:$H$207&lt;&gt;""))+SUMPRODUCT(('Q3 Data'!$D$4:$D$207=D63)*('Q3 Data'!$B$4:$B$207="Challan")*('Q3 Data'!$H$4:$H$207&lt;&gt;""))+SUMPRODUCT(('Q4 Data'!$D$4:$D$207=D63)*('Q4 Data'!$B$4:$B$207="Challan")*('Q4 Data'!$H$4:$H$207&lt;&gt;"")))&gt;0,(SUMPRODUCT(('Q1 Data'!$D$4:$D$207=D63)*('Q1 Data'!$B$4:$B$207="Challan")*('Q1 Data'!$H$4:$H$207=Z63))+SUMPRODUCT(('Q2 Data'!$D$4:$D$207=D63)*('Q2 Data'!$B$4:$B$207="Challan")*('Q2 Data'!$H$4:$H$207=Z63))+SUMPRODUCT(('Q3 Data'!$D$4:$D$207=D63)*('Q3 Data'!$B$4:$B$207="Challan")*('Q3 Data'!$H$4:$H$207=Z63))+SUMPRODUCT(('Q4 Data'!$D$4:$D$207=D63)*('Q4 Data'!$B$4:$B$207="Challan")*('Q4 Data'!$H$4:$H$207=Z63)))=0))</f>
      </c>
    </row>
    <row r="64" spans="1:44" x14ac:dyDescent="0.25">
      <c r="A64" s="20">
        <f>IF($B64="Entry",COUNTIF($B$4:$B64,"Entry"),"")</f>
      </c>
      <c r="B64" s="21"/>
      <c r="C64" s="22"/>
      <c r="D64" s="22"/>
      <c r="E64" s="23">
        <f>IF($B64&lt;&gt;"Challan","",IF(ROUND(AN64-AO64,2)&gt;0,"Over-applied",IF(ROUND(AN64-AO64,2)=0,"Fully Utilised","Unconsumed")))</f>
      </c>
      <c r="F64" s="24"/>
      <c r="G64" s="25"/>
      <c r="H64" s="25"/>
      <c r="I64" s="26"/>
      <c r="J64" s="26"/>
      <c r="K64" s="26"/>
      <c r="L64" s="26"/>
      <c r="M64" s="26"/>
      <c r="N64" s="26"/>
      <c r="O64" s="26"/>
      <c r="P64" s="27">
        <f>IF($B64&lt;&gt;"Challan","",I64+J64+K64+L64+M64+N64)</f>
      </c>
      <c r="Q64" s="25"/>
      <c r="R64" s="25"/>
      <c r="S64" s="25"/>
      <c r="T64" s="25"/>
      <c r="U64" s="25"/>
      <c r="V64" s="28"/>
      <c r="W64" s="28"/>
      <c r="X64" s="23">
        <f>IF($B64="Entry",IF(AND(LEN(TRIM(UPPER(W64)))=10,CODE(MID(TRIM(UPPER(W64)),1,1))&gt;=65,CODE(MID(TRIM(UPPER(W64)),1,1))&lt;=90,CODE(MID(TRIM(UPPER(W64)),2,1))&gt;=65,CODE(MID(TRIM(UPPER(W64)),2,1))&lt;=90,CODE(MID(TRIM(UPPER(W64)),3,1))&gt;=65,CODE(MID(TRIM(UPPER(W64)),3,1))&lt;=90,CODE(MID(TRIM(UPPER(W64)),4,1))&gt;=65,CODE(MID(TRIM(UPPER(W64)),4,1))&lt;=90,CODE(MID(TRIM(UPPER(W64)),5,1))&gt;=65,CODE(MID(TRIM(UPPER(W64)),5,1))&lt;=90,CODE(MID(TRIM(UPPER(W64)),10,1))&gt;=65,CODE(MID(TRIM(UPPER(W64)),10,1))&lt;=90,CODE(MID(TRIM(UPPER(W64)),6,1))&gt;=48,CODE(MID(TRIM(UPPER(W64)),6,1))&lt;=57,CODE(MID(TRIM(UPPER(W64)),7,1))&gt;=48,CODE(MID(TRIM(UPPER(W64)),7,1))&lt;=57,CODE(MID(TRIM(UPPER(W64)),8,1))&gt;=48,CODE(MID(TRIM(UPPER(W64)),8,1))&lt;=57,CODE(MID(TRIM(UPPER(W64)),9,1))&gt;=48,CODE(MID(TRIM(UPPER(W64)),9,1))&lt;=57),"N","Y"),IF($B64="Challan","",IF(W64&lt;&gt;"","◄ Set Row Type","")))</f>
      </c>
      <c r="Y64" s="23">
        <f>IF($B64="Entry",IF(LEN(W64)&lt;4,"",IF(UPPER(MID(W64,4,1))="P","Individual",IF(UPPER(MID(W64,4,1))="H","HUF",IF(UPPER(MID(W64,4,1))="C","Company",IF(UPPER(MID(W64,4,1))="F","Firm",IF(UPPER(MID(W64,4,1))="L","LLP",IF(UPPER(MID(W64,4,1))="T","Trust",IF(UPPER(MID(W64,4,1))="A","AOP","")))))))),IF($B64="Challan","",IF(W64&lt;&gt;"","◄ Set Row Type","")))</f>
      </c>
      <c r="Z64" s="28"/>
      <c r="AA64" s="29">
        <f>IF($B64&lt;&gt;"Entry","",IF(Z64="","",IF(X64="Y",SUMPRODUCT(('Rate Lookup'!$A$1:$A$37=Z64)*'Rate Lookup'!$D$1:$D$37),IF(OR(Y64="Individual",Y64="HUF"),SUMPRODUCT(('Rate Lookup'!$A$1:$A$37=Z64)*'Rate Lookup'!$B$1:$B$37),SUMPRODUCT(('Rate Lookup'!$A$1:$A$37=Z64)*'Rate Lookup'!$C$1:$C$37)))))</f>
      </c>
      <c r="AB64" s="30"/>
      <c r="AC64" s="31"/>
      <c r="AD64" s="27">
        <f>IF($B64&lt;&gt;"Entry","",ROUND(AC64*AA64/100,0))</f>
      </c>
      <c r="AE64" s="27">
        <f>IF($B64&lt;&gt;"Entry","",0)</f>
      </c>
      <c r="AF64" s="27">
        <f>IF($B64&lt;&gt;"Entry","",0)</f>
      </c>
      <c r="AG64" s="27">
        <f>IF($B64&lt;&gt;"Entry","",IF(OR(AD64=0,AB64="",AQ64="",AQ64&lt;=0),0,IF(AQ64&lt;=DATE(YEAR(AB64),MONTH(AB64)+1,7),0,ROUND(AD64*0.015*((YEAR(AQ64)-YEAR(AB64))*12+(MONTH(AQ64)-MONTH(AB64))+1),0))))</f>
      </c>
      <c r="AH64" s="27">
        <f>IF($B64&lt;&gt;"Entry","",0)</f>
      </c>
      <c r="AI64" s="28"/>
      <c r="AJ64" s="28"/>
      <c r="AK64" s="32"/>
      <c r="AL64" s="28"/>
      <c r="AM64" s="28"/>
      <c r="AN64" s="27">
        <f>IF($B64&lt;&gt;"Challan","",SUMIF('Q1 Data'!$D$4:$D$207,D64,'Q1 Data'!$AD$4:$AD$207)+SUMIF('Q1 Data'!$D$4:$D$207,D64,'Q1 Data'!$AG$4:$AG$207)+SUMIF('Q1 Data'!$D$4:$D$207,D64,'Q1 Data'!$AE$4:$AE$207)+SUMIF('Q2 Data'!$D$4:$D$207,D64,'Q2 Data'!$AD$4:$AD$207)+SUMIF('Q2 Data'!$D$4:$D$207,D64,'Q2 Data'!$AG$4:$AG$207)+SUMIF('Q2 Data'!$D$4:$D$207,D64,'Q2 Data'!$AE$4:$AE$207)+SUMIF('Q3 Data'!$D$4:$D$207,D64,'Q3 Data'!$AD$4:$AD$207)+SUMIF('Q3 Data'!$D$4:$D$207,D64,'Q3 Data'!$AG$4:$AG$207)+SUMIF('Q3 Data'!$D$4:$D$207,D64,'Q3 Data'!$AE$4:$AE$207)+SUMIF('Q4 Data'!$D$4:$D$207,D64,'Q4 Data'!$AD$4:$AD$207)+SUMIF('Q4 Data'!$D$4:$D$207,D64,'Q4 Data'!$AG$4:$AG$207)+SUMIF('Q4 Data'!$D$4:$D$207,D64,'Q4 Data'!$AE$4:$AE$207))</f>
      </c>
      <c r="AO64" s="27">
        <f>IF($B64&lt;&gt;"Challan","",P64-N64)</f>
      </c>
      <c r="AP64" s="27">
        <f>IF($B64&lt;&gt;"Challan","",MAX(0,AO64-AN64))</f>
      </c>
      <c r="AQ64" s="33">
        <f>IF($B64&lt;&gt;"Entry","",SUMPRODUCT(('Q1 Data'!$D$4:$D$207=D64)*('Q1 Data'!$B$4:$B$207="Challan")*'Q1 Data'!$F$4:$F$207)+SUMPRODUCT(('Q2 Data'!$D$4:$D$207=D64)*('Q2 Data'!$B$4:$B$207="Challan")*'Q2 Data'!$F$4:$F$207)+SUMPRODUCT(('Q3 Data'!$D$4:$D$207=D64)*('Q3 Data'!$B$4:$B$207="Challan")*'Q3 Data'!$F$4:$F$207)+SUMPRODUCT(('Q4 Data'!$D$4:$D$207=D64)*('Q4 Data'!$B$4:$B$207="Challan")*'Q4 Data'!$F$4:$F$207))</f>
      </c>
      <c r="AR64" s="34">
        <f>IF(OR($B64&lt;&gt;"Entry",Z64=""),FALSE,AND((SUMPRODUCT(('Q1 Data'!$D$4:$D$207=D64)*('Q1 Data'!$B$4:$B$207="Challan")*('Q1 Data'!$H$4:$H$207&lt;&gt;""))+SUMPRODUCT(('Q2 Data'!$D$4:$D$207=D64)*('Q2 Data'!$B$4:$B$207="Challan")*('Q2 Data'!$H$4:$H$207&lt;&gt;""))+SUMPRODUCT(('Q3 Data'!$D$4:$D$207=D64)*('Q3 Data'!$B$4:$B$207="Challan")*('Q3 Data'!$H$4:$H$207&lt;&gt;""))+SUMPRODUCT(('Q4 Data'!$D$4:$D$207=D64)*('Q4 Data'!$B$4:$B$207="Challan")*('Q4 Data'!$H$4:$H$207&lt;&gt;"")))&gt;0,(SUMPRODUCT(('Q1 Data'!$D$4:$D$207=D64)*('Q1 Data'!$B$4:$B$207="Challan")*('Q1 Data'!$H$4:$H$207=Z64))+SUMPRODUCT(('Q2 Data'!$D$4:$D$207=D64)*('Q2 Data'!$B$4:$B$207="Challan")*('Q2 Data'!$H$4:$H$207=Z64))+SUMPRODUCT(('Q3 Data'!$D$4:$D$207=D64)*('Q3 Data'!$B$4:$B$207="Challan")*('Q3 Data'!$H$4:$H$207=Z64))+SUMPRODUCT(('Q4 Data'!$D$4:$D$207=D64)*('Q4 Data'!$B$4:$B$207="Challan")*('Q4 Data'!$H$4:$H$207=Z64)))=0))</f>
      </c>
    </row>
    <row r="65" spans="1:44" x14ac:dyDescent="0.25">
      <c r="A65" s="20">
        <f>IF($B65="Entry",COUNTIF($B$4:$B65,"Entry"),"")</f>
      </c>
      <c r="B65" s="21"/>
      <c r="C65" s="22"/>
      <c r="D65" s="22"/>
      <c r="E65" s="23">
        <f>IF($B65&lt;&gt;"Challan","",IF(ROUND(AN65-AO65,2)&gt;0,"Over-applied",IF(ROUND(AN65-AO65,2)=0,"Fully Utilised","Unconsumed")))</f>
      </c>
      <c r="F65" s="24"/>
      <c r="G65" s="25"/>
      <c r="H65" s="25"/>
      <c r="I65" s="26"/>
      <c r="J65" s="26"/>
      <c r="K65" s="26"/>
      <c r="L65" s="26"/>
      <c r="M65" s="26"/>
      <c r="N65" s="26"/>
      <c r="O65" s="26"/>
      <c r="P65" s="27">
        <f>IF($B65&lt;&gt;"Challan","",I65+J65+K65+L65+M65+N65)</f>
      </c>
      <c r="Q65" s="25"/>
      <c r="R65" s="25"/>
      <c r="S65" s="25"/>
      <c r="T65" s="25"/>
      <c r="U65" s="25"/>
      <c r="V65" s="28"/>
      <c r="W65" s="28"/>
      <c r="X65" s="23">
        <f>IF($B65="Entry",IF(AND(LEN(TRIM(UPPER(W65)))=10,CODE(MID(TRIM(UPPER(W65)),1,1))&gt;=65,CODE(MID(TRIM(UPPER(W65)),1,1))&lt;=90,CODE(MID(TRIM(UPPER(W65)),2,1))&gt;=65,CODE(MID(TRIM(UPPER(W65)),2,1))&lt;=90,CODE(MID(TRIM(UPPER(W65)),3,1))&gt;=65,CODE(MID(TRIM(UPPER(W65)),3,1))&lt;=90,CODE(MID(TRIM(UPPER(W65)),4,1))&gt;=65,CODE(MID(TRIM(UPPER(W65)),4,1))&lt;=90,CODE(MID(TRIM(UPPER(W65)),5,1))&gt;=65,CODE(MID(TRIM(UPPER(W65)),5,1))&lt;=90,CODE(MID(TRIM(UPPER(W65)),10,1))&gt;=65,CODE(MID(TRIM(UPPER(W65)),10,1))&lt;=90,CODE(MID(TRIM(UPPER(W65)),6,1))&gt;=48,CODE(MID(TRIM(UPPER(W65)),6,1))&lt;=57,CODE(MID(TRIM(UPPER(W65)),7,1))&gt;=48,CODE(MID(TRIM(UPPER(W65)),7,1))&lt;=57,CODE(MID(TRIM(UPPER(W65)),8,1))&gt;=48,CODE(MID(TRIM(UPPER(W65)),8,1))&lt;=57,CODE(MID(TRIM(UPPER(W65)),9,1))&gt;=48,CODE(MID(TRIM(UPPER(W65)),9,1))&lt;=57),"N","Y"),IF($B65="Challan","",IF(W65&lt;&gt;"","◄ Set Row Type","")))</f>
      </c>
      <c r="Y65" s="23">
        <f>IF($B65="Entry",IF(LEN(W65)&lt;4,"",IF(UPPER(MID(W65,4,1))="P","Individual",IF(UPPER(MID(W65,4,1))="H","HUF",IF(UPPER(MID(W65,4,1))="C","Company",IF(UPPER(MID(W65,4,1))="F","Firm",IF(UPPER(MID(W65,4,1))="L","LLP",IF(UPPER(MID(W65,4,1))="T","Trust",IF(UPPER(MID(W65,4,1))="A","AOP","")))))))),IF($B65="Challan","",IF(W65&lt;&gt;"","◄ Set Row Type","")))</f>
      </c>
      <c r="Z65" s="28"/>
      <c r="AA65" s="29">
        <f>IF($B65&lt;&gt;"Entry","",IF(Z65="","",IF(X65="Y",SUMPRODUCT(('Rate Lookup'!$A$1:$A$37=Z65)*'Rate Lookup'!$D$1:$D$37),IF(OR(Y65="Individual",Y65="HUF"),SUMPRODUCT(('Rate Lookup'!$A$1:$A$37=Z65)*'Rate Lookup'!$B$1:$B$37),SUMPRODUCT(('Rate Lookup'!$A$1:$A$37=Z65)*'Rate Lookup'!$C$1:$C$37)))))</f>
      </c>
      <c r="AB65" s="30"/>
      <c r="AC65" s="31"/>
      <c r="AD65" s="27">
        <f>IF($B65&lt;&gt;"Entry","",ROUND(AC65*AA65/100,0))</f>
      </c>
      <c r="AE65" s="27">
        <f>IF($B65&lt;&gt;"Entry","",0)</f>
      </c>
      <c r="AF65" s="27">
        <f>IF($B65&lt;&gt;"Entry","",0)</f>
      </c>
      <c r="AG65" s="27">
        <f>IF($B65&lt;&gt;"Entry","",IF(OR(AD65=0,AB65="",AQ65="",AQ65&lt;=0),0,IF(AQ65&lt;=DATE(YEAR(AB65),MONTH(AB65)+1,7),0,ROUND(AD65*0.015*((YEAR(AQ65)-YEAR(AB65))*12+(MONTH(AQ65)-MONTH(AB65))+1),0))))</f>
      </c>
      <c r="AH65" s="27">
        <f>IF($B65&lt;&gt;"Entry","",0)</f>
      </c>
      <c r="AI65" s="28"/>
      <c r="AJ65" s="28"/>
      <c r="AK65" s="32"/>
      <c r="AL65" s="28"/>
      <c r="AM65" s="28"/>
      <c r="AN65" s="27">
        <f>IF($B65&lt;&gt;"Challan","",SUMIF('Q1 Data'!$D$4:$D$207,D65,'Q1 Data'!$AD$4:$AD$207)+SUMIF('Q1 Data'!$D$4:$D$207,D65,'Q1 Data'!$AG$4:$AG$207)+SUMIF('Q1 Data'!$D$4:$D$207,D65,'Q1 Data'!$AE$4:$AE$207)+SUMIF('Q2 Data'!$D$4:$D$207,D65,'Q2 Data'!$AD$4:$AD$207)+SUMIF('Q2 Data'!$D$4:$D$207,D65,'Q2 Data'!$AG$4:$AG$207)+SUMIF('Q2 Data'!$D$4:$D$207,D65,'Q2 Data'!$AE$4:$AE$207)+SUMIF('Q3 Data'!$D$4:$D$207,D65,'Q3 Data'!$AD$4:$AD$207)+SUMIF('Q3 Data'!$D$4:$D$207,D65,'Q3 Data'!$AG$4:$AG$207)+SUMIF('Q3 Data'!$D$4:$D$207,D65,'Q3 Data'!$AE$4:$AE$207)+SUMIF('Q4 Data'!$D$4:$D$207,D65,'Q4 Data'!$AD$4:$AD$207)+SUMIF('Q4 Data'!$D$4:$D$207,D65,'Q4 Data'!$AG$4:$AG$207)+SUMIF('Q4 Data'!$D$4:$D$207,D65,'Q4 Data'!$AE$4:$AE$207))</f>
      </c>
      <c r="AO65" s="27">
        <f>IF($B65&lt;&gt;"Challan","",P65-N65)</f>
      </c>
      <c r="AP65" s="27">
        <f>IF($B65&lt;&gt;"Challan","",MAX(0,AO65-AN65))</f>
      </c>
      <c r="AQ65" s="33">
        <f>IF($B65&lt;&gt;"Entry","",SUMPRODUCT(('Q1 Data'!$D$4:$D$207=D65)*('Q1 Data'!$B$4:$B$207="Challan")*'Q1 Data'!$F$4:$F$207)+SUMPRODUCT(('Q2 Data'!$D$4:$D$207=D65)*('Q2 Data'!$B$4:$B$207="Challan")*'Q2 Data'!$F$4:$F$207)+SUMPRODUCT(('Q3 Data'!$D$4:$D$207=D65)*('Q3 Data'!$B$4:$B$207="Challan")*'Q3 Data'!$F$4:$F$207)+SUMPRODUCT(('Q4 Data'!$D$4:$D$207=D65)*('Q4 Data'!$B$4:$B$207="Challan")*'Q4 Data'!$F$4:$F$207))</f>
      </c>
      <c r="AR65" s="34">
        <f>IF(OR($B65&lt;&gt;"Entry",Z65=""),FALSE,AND((SUMPRODUCT(('Q1 Data'!$D$4:$D$207=D65)*('Q1 Data'!$B$4:$B$207="Challan")*('Q1 Data'!$H$4:$H$207&lt;&gt;""))+SUMPRODUCT(('Q2 Data'!$D$4:$D$207=D65)*('Q2 Data'!$B$4:$B$207="Challan")*('Q2 Data'!$H$4:$H$207&lt;&gt;""))+SUMPRODUCT(('Q3 Data'!$D$4:$D$207=D65)*('Q3 Data'!$B$4:$B$207="Challan")*('Q3 Data'!$H$4:$H$207&lt;&gt;""))+SUMPRODUCT(('Q4 Data'!$D$4:$D$207=D65)*('Q4 Data'!$B$4:$B$207="Challan")*('Q4 Data'!$H$4:$H$207&lt;&gt;"")))&gt;0,(SUMPRODUCT(('Q1 Data'!$D$4:$D$207=D65)*('Q1 Data'!$B$4:$B$207="Challan")*('Q1 Data'!$H$4:$H$207=Z65))+SUMPRODUCT(('Q2 Data'!$D$4:$D$207=D65)*('Q2 Data'!$B$4:$B$207="Challan")*('Q2 Data'!$H$4:$H$207=Z65))+SUMPRODUCT(('Q3 Data'!$D$4:$D$207=D65)*('Q3 Data'!$B$4:$B$207="Challan")*('Q3 Data'!$H$4:$H$207=Z65))+SUMPRODUCT(('Q4 Data'!$D$4:$D$207=D65)*('Q4 Data'!$B$4:$B$207="Challan")*('Q4 Data'!$H$4:$H$207=Z65)))=0))</f>
      </c>
    </row>
    <row r="66" spans="1:44" x14ac:dyDescent="0.25">
      <c r="A66" s="20">
        <f>IF($B66="Entry",COUNTIF($B$4:$B66,"Entry"),"")</f>
      </c>
      <c r="B66" s="21"/>
      <c r="C66" s="22"/>
      <c r="D66" s="22"/>
      <c r="E66" s="23">
        <f>IF($B66&lt;&gt;"Challan","",IF(ROUND(AN66-AO66,2)&gt;0,"Over-applied",IF(ROUND(AN66-AO66,2)=0,"Fully Utilised","Unconsumed")))</f>
      </c>
      <c r="F66" s="24"/>
      <c r="G66" s="25"/>
      <c r="H66" s="25"/>
      <c r="I66" s="26"/>
      <c r="J66" s="26"/>
      <c r="K66" s="26"/>
      <c r="L66" s="26"/>
      <c r="M66" s="26"/>
      <c r="N66" s="26"/>
      <c r="O66" s="26"/>
      <c r="P66" s="27">
        <f>IF($B66&lt;&gt;"Challan","",I66+J66+K66+L66+M66+N66)</f>
      </c>
      <c r="Q66" s="25"/>
      <c r="R66" s="25"/>
      <c r="S66" s="25"/>
      <c r="T66" s="25"/>
      <c r="U66" s="25"/>
      <c r="V66" s="28"/>
      <c r="W66" s="28"/>
      <c r="X66" s="23">
        <f>IF($B66="Entry",IF(AND(LEN(TRIM(UPPER(W66)))=10,CODE(MID(TRIM(UPPER(W66)),1,1))&gt;=65,CODE(MID(TRIM(UPPER(W66)),1,1))&lt;=90,CODE(MID(TRIM(UPPER(W66)),2,1))&gt;=65,CODE(MID(TRIM(UPPER(W66)),2,1))&lt;=90,CODE(MID(TRIM(UPPER(W66)),3,1))&gt;=65,CODE(MID(TRIM(UPPER(W66)),3,1))&lt;=90,CODE(MID(TRIM(UPPER(W66)),4,1))&gt;=65,CODE(MID(TRIM(UPPER(W66)),4,1))&lt;=90,CODE(MID(TRIM(UPPER(W66)),5,1))&gt;=65,CODE(MID(TRIM(UPPER(W66)),5,1))&lt;=90,CODE(MID(TRIM(UPPER(W66)),10,1))&gt;=65,CODE(MID(TRIM(UPPER(W66)),10,1))&lt;=90,CODE(MID(TRIM(UPPER(W66)),6,1))&gt;=48,CODE(MID(TRIM(UPPER(W66)),6,1))&lt;=57,CODE(MID(TRIM(UPPER(W66)),7,1))&gt;=48,CODE(MID(TRIM(UPPER(W66)),7,1))&lt;=57,CODE(MID(TRIM(UPPER(W66)),8,1))&gt;=48,CODE(MID(TRIM(UPPER(W66)),8,1))&lt;=57,CODE(MID(TRIM(UPPER(W66)),9,1))&gt;=48,CODE(MID(TRIM(UPPER(W66)),9,1))&lt;=57),"N","Y"),IF($B66="Challan","",IF(W66&lt;&gt;"","◄ Set Row Type","")))</f>
      </c>
      <c r="Y66" s="23">
        <f>IF($B66="Entry",IF(LEN(W66)&lt;4,"",IF(UPPER(MID(W66,4,1))="P","Individual",IF(UPPER(MID(W66,4,1))="H","HUF",IF(UPPER(MID(W66,4,1))="C","Company",IF(UPPER(MID(W66,4,1))="F","Firm",IF(UPPER(MID(W66,4,1))="L","LLP",IF(UPPER(MID(W66,4,1))="T","Trust",IF(UPPER(MID(W66,4,1))="A","AOP","")))))))),IF($B66="Challan","",IF(W66&lt;&gt;"","◄ Set Row Type","")))</f>
      </c>
      <c r="Z66" s="28"/>
      <c r="AA66" s="29">
        <f>IF($B66&lt;&gt;"Entry","",IF(Z66="","",IF(X66="Y",SUMPRODUCT(('Rate Lookup'!$A$1:$A$37=Z66)*'Rate Lookup'!$D$1:$D$37),IF(OR(Y66="Individual",Y66="HUF"),SUMPRODUCT(('Rate Lookup'!$A$1:$A$37=Z66)*'Rate Lookup'!$B$1:$B$37),SUMPRODUCT(('Rate Lookup'!$A$1:$A$37=Z66)*'Rate Lookup'!$C$1:$C$37)))))</f>
      </c>
      <c r="AB66" s="30"/>
      <c r="AC66" s="31"/>
      <c r="AD66" s="27">
        <f>IF($B66&lt;&gt;"Entry","",ROUND(AC66*AA66/100,0))</f>
      </c>
      <c r="AE66" s="27">
        <f>IF($B66&lt;&gt;"Entry","",0)</f>
      </c>
      <c r="AF66" s="27">
        <f>IF($B66&lt;&gt;"Entry","",0)</f>
      </c>
      <c r="AG66" s="27">
        <f>IF($B66&lt;&gt;"Entry","",IF(OR(AD66=0,AB66="",AQ66="",AQ66&lt;=0),0,IF(AQ66&lt;=DATE(YEAR(AB66),MONTH(AB66)+1,7),0,ROUND(AD66*0.015*((YEAR(AQ66)-YEAR(AB66))*12+(MONTH(AQ66)-MONTH(AB66))+1),0))))</f>
      </c>
      <c r="AH66" s="27">
        <f>IF($B66&lt;&gt;"Entry","",0)</f>
      </c>
      <c r="AI66" s="28"/>
      <c r="AJ66" s="28"/>
      <c r="AK66" s="32"/>
      <c r="AL66" s="28"/>
      <c r="AM66" s="28"/>
      <c r="AN66" s="27">
        <f>IF($B66&lt;&gt;"Challan","",SUMIF('Q1 Data'!$D$4:$D$207,D66,'Q1 Data'!$AD$4:$AD$207)+SUMIF('Q1 Data'!$D$4:$D$207,D66,'Q1 Data'!$AG$4:$AG$207)+SUMIF('Q1 Data'!$D$4:$D$207,D66,'Q1 Data'!$AE$4:$AE$207)+SUMIF('Q2 Data'!$D$4:$D$207,D66,'Q2 Data'!$AD$4:$AD$207)+SUMIF('Q2 Data'!$D$4:$D$207,D66,'Q2 Data'!$AG$4:$AG$207)+SUMIF('Q2 Data'!$D$4:$D$207,D66,'Q2 Data'!$AE$4:$AE$207)+SUMIF('Q3 Data'!$D$4:$D$207,D66,'Q3 Data'!$AD$4:$AD$207)+SUMIF('Q3 Data'!$D$4:$D$207,D66,'Q3 Data'!$AG$4:$AG$207)+SUMIF('Q3 Data'!$D$4:$D$207,D66,'Q3 Data'!$AE$4:$AE$207)+SUMIF('Q4 Data'!$D$4:$D$207,D66,'Q4 Data'!$AD$4:$AD$207)+SUMIF('Q4 Data'!$D$4:$D$207,D66,'Q4 Data'!$AG$4:$AG$207)+SUMIF('Q4 Data'!$D$4:$D$207,D66,'Q4 Data'!$AE$4:$AE$207))</f>
      </c>
      <c r="AO66" s="27">
        <f>IF($B66&lt;&gt;"Challan","",P66-N66)</f>
      </c>
      <c r="AP66" s="27">
        <f>IF($B66&lt;&gt;"Challan","",MAX(0,AO66-AN66))</f>
      </c>
      <c r="AQ66" s="33">
        <f>IF($B66&lt;&gt;"Entry","",SUMPRODUCT(('Q1 Data'!$D$4:$D$207=D66)*('Q1 Data'!$B$4:$B$207="Challan")*'Q1 Data'!$F$4:$F$207)+SUMPRODUCT(('Q2 Data'!$D$4:$D$207=D66)*('Q2 Data'!$B$4:$B$207="Challan")*'Q2 Data'!$F$4:$F$207)+SUMPRODUCT(('Q3 Data'!$D$4:$D$207=D66)*('Q3 Data'!$B$4:$B$207="Challan")*'Q3 Data'!$F$4:$F$207)+SUMPRODUCT(('Q4 Data'!$D$4:$D$207=D66)*('Q4 Data'!$B$4:$B$207="Challan")*'Q4 Data'!$F$4:$F$207))</f>
      </c>
      <c r="AR66" s="34">
        <f>IF(OR($B66&lt;&gt;"Entry",Z66=""),FALSE,AND((SUMPRODUCT(('Q1 Data'!$D$4:$D$207=D66)*('Q1 Data'!$B$4:$B$207="Challan")*('Q1 Data'!$H$4:$H$207&lt;&gt;""))+SUMPRODUCT(('Q2 Data'!$D$4:$D$207=D66)*('Q2 Data'!$B$4:$B$207="Challan")*('Q2 Data'!$H$4:$H$207&lt;&gt;""))+SUMPRODUCT(('Q3 Data'!$D$4:$D$207=D66)*('Q3 Data'!$B$4:$B$207="Challan")*('Q3 Data'!$H$4:$H$207&lt;&gt;""))+SUMPRODUCT(('Q4 Data'!$D$4:$D$207=D66)*('Q4 Data'!$B$4:$B$207="Challan")*('Q4 Data'!$H$4:$H$207&lt;&gt;"")))&gt;0,(SUMPRODUCT(('Q1 Data'!$D$4:$D$207=D66)*('Q1 Data'!$B$4:$B$207="Challan")*('Q1 Data'!$H$4:$H$207=Z66))+SUMPRODUCT(('Q2 Data'!$D$4:$D$207=D66)*('Q2 Data'!$B$4:$B$207="Challan")*('Q2 Data'!$H$4:$H$207=Z66))+SUMPRODUCT(('Q3 Data'!$D$4:$D$207=D66)*('Q3 Data'!$B$4:$B$207="Challan")*('Q3 Data'!$H$4:$H$207=Z66))+SUMPRODUCT(('Q4 Data'!$D$4:$D$207=D66)*('Q4 Data'!$B$4:$B$207="Challan")*('Q4 Data'!$H$4:$H$207=Z66)))=0))</f>
      </c>
    </row>
    <row r="67" spans="1:44" x14ac:dyDescent="0.25">
      <c r="A67" s="20">
        <f>IF($B67="Entry",COUNTIF($B$4:$B67,"Entry"),"")</f>
      </c>
      <c r="B67" s="21"/>
      <c r="C67" s="22"/>
      <c r="D67" s="22"/>
      <c r="E67" s="23">
        <f>IF($B67&lt;&gt;"Challan","",IF(ROUND(AN67-AO67,2)&gt;0,"Over-applied",IF(ROUND(AN67-AO67,2)=0,"Fully Utilised","Unconsumed")))</f>
      </c>
      <c r="F67" s="24"/>
      <c r="G67" s="25"/>
      <c r="H67" s="25"/>
      <c r="I67" s="26"/>
      <c r="J67" s="26"/>
      <c r="K67" s="26"/>
      <c r="L67" s="26"/>
      <c r="M67" s="26"/>
      <c r="N67" s="26"/>
      <c r="O67" s="26"/>
      <c r="P67" s="27">
        <f>IF($B67&lt;&gt;"Challan","",I67+J67+K67+L67+M67+N67)</f>
      </c>
      <c r="Q67" s="25"/>
      <c r="R67" s="25"/>
      <c r="S67" s="25"/>
      <c r="T67" s="25"/>
      <c r="U67" s="25"/>
      <c r="V67" s="28"/>
      <c r="W67" s="28"/>
      <c r="X67" s="23">
        <f>IF($B67="Entry",IF(AND(LEN(TRIM(UPPER(W67)))=10,CODE(MID(TRIM(UPPER(W67)),1,1))&gt;=65,CODE(MID(TRIM(UPPER(W67)),1,1))&lt;=90,CODE(MID(TRIM(UPPER(W67)),2,1))&gt;=65,CODE(MID(TRIM(UPPER(W67)),2,1))&lt;=90,CODE(MID(TRIM(UPPER(W67)),3,1))&gt;=65,CODE(MID(TRIM(UPPER(W67)),3,1))&lt;=90,CODE(MID(TRIM(UPPER(W67)),4,1))&gt;=65,CODE(MID(TRIM(UPPER(W67)),4,1))&lt;=90,CODE(MID(TRIM(UPPER(W67)),5,1))&gt;=65,CODE(MID(TRIM(UPPER(W67)),5,1))&lt;=90,CODE(MID(TRIM(UPPER(W67)),10,1))&gt;=65,CODE(MID(TRIM(UPPER(W67)),10,1))&lt;=90,CODE(MID(TRIM(UPPER(W67)),6,1))&gt;=48,CODE(MID(TRIM(UPPER(W67)),6,1))&lt;=57,CODE(MID(TRIM(UPPER(W67)),7,1))&gt;=48,CODE(MID(TRIM(UPPER(W67)),7,1))&lt;=57,CODE(MID(TRIM(UPPER(W67)),8,1))&gt;=48,CODE(MID(TRIM(UPPER(W67)),8,1))&lt;=57,CODE(MID(TRIM(UPPER(W67)),9,1))&gt;=48,CODE(MID(TRIM(UPPER(W67)),9,1))&lt;=57),"N","Y"),IF($B67="Challan","",IF(W67&lt;&gt;"","◄ Set Row Type","")))</f>
      </c>
      <c r="Y67" s="23">
        <f>IF($B67="Entry",IF(LEN(W67)&lt;4,"",IF(UPPER(MID(W67,4,1))="P","Individual",IF(UPPER(MID(W67,4,1))="H","HUF",IF(UPPER(MID(W67,4,1))="C","Company",IF(UPPER(MID(W67,4,1))="F","Firm",IF(UPPER(MID(W67,4,1))="L","LLP",IF(UPPER(MID(W67,4,1))="T","Trust",IF(UPPER(MID(W67,4,1))="A","AOP","")))))))),IF($B67="Challan","",IF(W67&lt;&gt;"","◄ Set Row Type","")))</f>
      </c>
      <c r="Z67" s="28"/>
      <c r="AA67" s="29">
        <f>IF($B67&lt;&gt;"Entry","",IF(Z67="","",IF(X67="Y",SUMPRODUCT(('Rate Lookup'!$A$1:$A$37=Z67)*'Rate Lookup'!$D$1:$D$37),IF(OR(Y67="Individual",Y67="HUF"),SUMPRODUCT(('Rate Lookup'!$A$1:$A$37=Z67)*'Rate Lookup'!$B$1:$B$37),SUMPRODUCT(('Rate Lookup'!$A$1:$A$37=Z67)*'Rate Lookup'!$C$1:$C$37)))))</f>
      </c>
      <c r="AB67" s="30"/>
      <c r="AC67" s="31"/>
      <c r="AD67" s="27">
        <f>IF($B67&lt;&gt;"Entry","",ROUND(AC67*AA67/100,0))</f>
      </c>
      <c r="AE67" s="27">
        <f>IF($B67&lt;&gt;"Entry","",0)</f>
      </c>
      <c r="AF67" s="27">
        <f>IF($B67&lt;&gt;"Entry","",0)</f>
      </c>
      <c r="AG67" s="27">
        <f>IF($B67&lt;&gt;"Entry","",IF(OR(AD67=0,AB67="",AQ67="",AQ67&lt;=0),0,IF(AQ67&lt;=DATE(YEAR(AB67),MONTH(AB67)+1,7),0,ROUND(AD67*0.015*((YEAR(AQ67)-YEAR(AB67))*12+(MONTH(AQ67)-MONTH(AB67))+1),0))))</f>
      </c>
      <c r="AH67" s="27">
        <f>IF($B67&lt;&gt;"Entry","",0)</f>
      </c>
      <c r="AI67" s="28"/>
      <c r="AJ67" s="28"/>
      <c r="AK67" s="32"/>
      <c r="AL67" s="28"/>
      <c r="AM67" s="28"/>
      <c r="AN67" s="27">
        <f>IF($B67&lt;&gt;"Challan","",SUMIF('Q1 Data'!$D$4:$D$207,D67,'Q1 Data'!$AD$4:$AD$207)+SUMIF('Q1 Data'!$D$4:$D$207,D67,'Q1 Data'!$AG$4:$AG$207)+SUMIF('Q1 Data'!$D$4:$D$207,D67,'Q1 Data'!$AE$4:$AE$207)+SUMIF('Q2 Data'!$D$4:$D$207,D67,'Q2 Data'!$AD$4:$AD$207)+SUMIF('Q2 Data'!$D$4:$D$207,D67,'Q2 Data'!$AG$4:$AG$207)+SUMIF('Q2 Data'!$D$4:$D$207,D67,'Q2 Data'!$AE$4:$AE$207)+SUMIF('Q3 Data'!$D$4:$D$207,D67,'Q3 Data'!$AD$4:$AD$207)+SUMIF('Q3 Data'!$D$4:$D$207,D67,'Q3 Data'!$AG$4:$AG$207)+SUMIF('Q3 Data'!$D$4:$D$207,D67,'Q3 Data'!$AE$4:$AE$207)+SUMIF('Q4 Data'!$D$4:$D$207,D67,'Q4 Data'!$AD$4:$AD$207)+SUMIF('Q4 Data'!$D$4:$D$207,D67,'Q4 Data'!$AG$4:$AG$207)+SUMIF('Q4 Data'!$D$4:$D$207,D67,'Q4 Data'!$AE$4:$AE$207))</f>
      </c>
      <c r="AO67" s="27">
        <f>IF($B67&lt;&gt;"Challan","",P67-N67)</f>
      </c>
      <c r="AP67" s="27">
        <f>IF($B67&lt;&gt;"Challan","",MAX(0,AO67-AN67))</f>
      </c>
      <c r="AQ67" s="33">
        <f>IF($B67&lt;&gt;"Entry","",SUMPRODUCT(('Q1 Data'!$D$4:$D$207=D67)*('Q1 Data'!$B$4:$B$207="Challan")*'Q1 Data'!$F$4:$F$207)+SUMPRODUCT(('Q2 Data'!$D$4:$D$207=D67)*('Q2 Data'!$B$4:$B$207="Challan")*'Q2 Data'!$F$4:$F$207)+SUMPRODUCT(('Q3 Data'!$D$4:$D$207=D67)*('Q3 Data'!$B$4:$B$207="Challan")*'Q3 Data'!$F$4:$F$207)+SUMPRODUCT(('Q4 Data'!$D$4:$D$207=D67)*('Q4 Data'!$B$4:$B$207="Challan")*'Q4 Data'!$F$4:$F$207))</f>
      </c>
      <c r="AR67" s="34">
        <f>IF(OR($B67&lt;&gt;"Entry",Z67=""),FALSE,AND((SUMPRODUCT(('Q1 Data'!$D$4:$D$207=D67)*('Q1 Data'!$B$4:$B$207="Challan")*('Q1 Data'!$H$4:$H$207&lt;&gt;""))+SUMPRODUCT(('Q2 Data'!$D$4:$D$207=D67)*('Q2 Data'!$B$4:$B$207="Challan")*('Q2 Data'!$H$4:$H$207&lt;&gt;""))+SUMPRODUCT(('Q3 Data'!$D$4:$D$207=D67)*('Q3 Data'!$B$4:$B$207="Challan")*('Q3 Data'!$H$4:$H$207&lt;&gt;""))+SUMPRODUCT(('Q4 Data'!$D$4:$D$207=D67)*('Q4 Data'!$B$4:$B$207="Challan")*('Q4 Data'!$H$4:$H$207&lt;&gt;"")))&gt;0,(SUMPRODUCT(('Q1 Data'!$D$4:$D$207=D67)*('Q1 Data'!$B$4:$B$207="Challan")*('Q1 Data'!$H$4:$H$207=Z67))+SUMPRODUCT(('Q2 Data'!$D$4:$D$207=D67)*('Q2 Data'!$B$4:$B$207="Challan")*('Q2 Data'!$H$4:$H$207=Z67))+SUMPRODUCT(('Q3 Data'!$D$4:$D$207=D67)*('Q3 Data'!$B$4:$B$207="Challan")*('Q3 Data'!$H$4:$H$207=Z67))+SUMPRODUCT(('Q4 Data'!$D$4:$D$207=D67)*('Q4 Data'!$B$4:$B$207="Challan")*('Q4 Data'!$H$4:$H$207=Z67)))=0))</f>
      </c>
    </row>
    <row r="68" spans="1:44" x14ac:dyDescent="0.25">
      <c r="A68" s="20">
        <f>IF($B68="Entry",COUNTIF($B$4:$B68,"Entry"),"")</f>
      </c>
      <c r="B68" s="21"/>
      <c r="C68" s="22"/>
      <c r="D68" s="22"/>
      <c r="E68" s="23">
        <f>IF($B68&lt;&gt;"Challan","",IF(ROUND(AN68-AO68,2)&gt;0,"Over-applied",IF(ROUND(AN68-AO68,2)=0,"Fully Utilised","Unconsumed")))</f>
      </c>
      <c r="F68" s="24"/>
      <c r="G68" s="25"/>
      <c r="H68" s="25"/>
      <c r="I68" s="26"/>
      <c r="J68" s="26"/>
      <c r="K68" s="26"/>
      <c r="L68" s="26"/>
      <c r="M68" s="26"/>
      <c r="N68" s="26"/>
      <c r="O68" s="26"/>
      <c r="P68" s="27">
        <f>IF($B68&lt;&gt;"Challan","",I68+J68+K68+L68+M68+N68)</f>
      </c>
      <c r="Q68" s="25"/>
      <c r="R68" s="25"/>
      <c r="S68" s="25"/>
      <c r="T68" s="25"/>
      <c r="U68" s="25"/>
      <c r="V68" s="28"/>
      <c r="W68" s="28"/>
      <c r="X68" s="23">
        <f>IF($B68="Entry",IF(AND(LEN(TRIM(UPPER(W68)))=10,CODE(MID(TRIM(UPPER(W68)),1,1))&gt;=65,CODE(MID(TRIM(UPPER(W68)),1,1))&lt;=90,CODE(MID(TRIM(UPPER(W68)),2,1))&gt;=65,CODE(MID(TRIM(UPPER(W68)),2,1))&lt;=90,CODE(MID(TRIM(UPPER(W68)),3,1))&gt;=65,CODE(MID(TRIM(UPPER(W68)),3,1))&lt;=90,CODE(MID(TRIM(UPPER(W68)),4,1))&gt;=65,CODE(MID(TRIM(UPPER(W68)),4,1))&lt;=90,CODE(MID(TRIM(UPPER(W68)),5,1))&gt;=65,CODE(MID(TRIM(UPPER(W68)),5,1))&lt;=90,CODE(MID(TRIM(UPPER(W68)),10,1))&gt;=65,CODE(MID(TRIM(UPPER(W68)),10,1))&lt;=90,CODE(MID(TRIM(UPPER(W68)),6,1))&gt;=48,CODE(MID(TRIM(UPPER(W68)),6,1))&lt;=57,CODE(MID(TRIM(UPPER(W68)),7,1))&gt;=48,CODE(MID(TRIM(UPPER(W68)),7,1))&lt;=57,CODE(MID(TRIM(UPPER(W68)),8,1))&gt;=48,CODE(MID(TRIM(UPPER(W68)),8,1))&lt;=57,CODE(MID(TRIM(UPPER(W68)),9,1))&gt;=48,CODE(MID(TRIM(UPPER(W68)),9,1))&lt;=57),"N","Y"),IF($B68="Challan","",IF(W68&lt;&gt;"","◄ Set Row Type","")))</f>
      </c>
      <c r="Y68" s="23">
        <f>IF($B68="Entry",IF(LEN(W68)&lt;4,"",IF(UPPER(MID(W68,4,1))="P","Individual",IF(UPPER(MID(W68,4,1))="H","HUF",IF(UPPER(MID(W68,4,1))="C","Company",IF(UPPER(MID(W68,4,1))="F","Firm",IF(UPPER(MID(W68,4,1))="L","LLP",IF(UPPER(MID(W68,4,1))="T","Trust",IF(UPPER(MID(W68,4,1))="A","AOP","")))))))),IF($B68="Challan","",IF(W68&lt;&gt;"","◄ Set Row Type","")))</f>
      </c>
      <c r="Z68" s="28"/>
      <c r="AA68" s="29">
        <f>IF($B68&lt;&gt;"Entry","",IF(Z68="","",IF(X68="Y",SUMPRODUCT(('Rate Lookup'!$A$1:$A$37=Z68)*'Rate Lookup'!$D$1:$D$37),IF(OR(Y68="Individual",Y68="HUF"),SUMPRODUCT(('Rate Lookup'!$A$1:$A$37=Z68)*'Rate Lookup'!$B$1:$B$37),SUMPRODUCT(('Rate Lookup'!$A$1:$A$37=Z68)*'Rate Lookup'!$C$1:$C$37)))))</f>
      </c>
      <c r="AB68" s="30"/>
      <c r="AC68" s="31"/>
      <c r="AD68" s="27">
        <f>IF($B68&lt;&gt;"Entry","",ROUND(AC68*AA68/100,0))</f>
      </c>
      <c r="AE68" s="27">
        <f>IF($B68&lt;&gt;"Entry","",0)</f>
      </c>
      <c r="AF68" s="27">
        <f>IF($B68&lt;&gt;"Entry","",0)</f>
      </c>
      <c r="AG68" s="27">
        <f>IF($B68&lt;&gt;"Entry","",IF(OR(AD68=0,AB68="",AQ68="",AQ68&lt;=0),0,IF(AQ68&lt;=DATE(YEAR(AB68),MONTH(AB68)+1,7),0,ROUND(AD68*0.015*((YEAR(AQ68)-YEAR(AB68))*12+(MONTH(AQ68)-MONTH(AB68))+1),0))))</f>
      </c>
      <c r="AH68" s="27">
        <f>IF($B68&lt;&gt;"Entry","",0)</f>
      </c>
      <c r="AI68" s="28"/>
      <c r="AJ68" s="28"/>
      <c r="AK68" s="32"/>
      <c r="AL68" s="28"/>
      <c r="AM68" s="28"/>
      <c r="AN68" s="27">
        <f>IF($B68&lt;&gt;"Challan","",SUMIF('Q1 Data'!$D$4:$D$207,D68,'Q1 Data'!$AD$4:$AD$207)+SUMIF('Q1 Data'!$D$4:$D$207,D68,'Q1 Data'!$AG$4:$AG$207)+SUMIF('Q1 Data'!$D$4:$D$207,D68,'Q1 Data'!$AE$4:$AE$207)+SUMIF('Q2 Data'!$D$4:$D$207,D68,'Q2 Data'!$AD$4:$AD$207)+SUMIF('Q2 Data'!$D$4:$D$207,D68,'Q2 Data'!$AG$4:$AG$207)+SUMIF('Q2 Data'!$D$4:$D$207,D68,'Q2 Data'!$AE$4:$AE$207)+SUMIF('Q3 Data'!$D$4:$D$207,D68,'Q3 Data'!$AD$4:$AD$207)+SUMIF('Q3 Data'!$D$4:$D$207,D68,'Q3 Data'!$AG$4:$AG$207)+SUMIF('Q3 Data'!$D$4:$D$207,D68,'Q3 Data'!$AE$4:$AE$207)+SUMIF('Q4 Data'!$D$4:$D$207,D68,'Q4 Data'!$AD$4:$AD$207)+SUMIF('Q4 Data'!$D$4:$D$207,D68,'Q4 Data'!$AG$4:$AG$207)+SUMIF('Q4 Data'!$D$4:$D$207,D68,'Q4 Data'!$AE$4:$AE$207))</f>
      </c>
      <c r="AO68" s="27">
        <f>IF($B68&lt;&gt;"Challan","",P68-N68)</f>
      </c>
      <c r="AP68" s="27">
        <f>IF($B68&lt;&gt;"Challan","",MAX(0,AO68-AN68))</f>
      </c>
      <c r="AQ68" s="33">
        <f>IF($B68&lt;&gt;"Entry","",SUMPRODUCT(('Q1 Data'!$D$4:$D$207=D68)*('Q1 Data'!$B$4:$B$207="Challan")*'Q1 Data'!$F$4:$F$207)+SUMPRODUCT(('Q2 Data'!$D$4:$D$207=D68)*('Q2 Data'!$B$4:$B$207="Challan")*'Q2 Data'!$F$4:$F$207)+SUMPRODUCT(('Q3 Data'!$D$4:$D$207=D68)*('Q3 Data'!$B$4:$B$207="Challan")*'Q3 Data'!$F$4:$F$207)+SUMPRODUCT(('Q4 Data'!$D$4:$D$207=D68)*('Q4 Data'!$B$4:$B$207="Challan")*'Q4 Data'!$F$4:$F$207))</f>
      </c>
      <c r="AR68" s="34">
        <f>IF(OR($B68&lt;&gt;"Entry",Z68=""),FALSE,AND((SUMPRODUCT(('Q1 Data'!$D$4:$D$207=D68)*('Q1 Data'!$B$4:$B$207="Challan")*('Q1 Data'!$H$4:$H$207&lt;&gt;""))+SUMPRODUCT(('Q2 Data'!$D$4:$D$207=D68)*('Q2 Data'!$B$4:$B$207="Challan")*('Q2 Data'!$H$4:$H$207&lt;&gt;""))+SUMPRODUCT(('Q3 Data'!$D$4:$D$207=D68)*('Q3 Data'!$B$4:$B$207="Challan")*('Q3 Data'!$H$4:$H$207&lt;&gt;""))+SUMPRODUCT(('Q4 Data'!$D$4:$D$207=D68)*('Q4 Data'!$B$4:$B$207="Challan")*('Q4 Data'!$H$4:$H$207&lt;&gt;"")))&gt;0,(SUMPRODUCT(('Q1 Data'!$D$4:$D$207=D68)*('Q1 Data'!$B$4:$B$207="Challan")*('Q1 Data'!$H$4:$H$207=Z68))+SUMPRODUCT(('Q2 Data'!$D$4:$D$207=D68)*('Q2 Data'!$B$4:$B$207="Challan")*('Q2 Data'!$H$4:$H$207=Z68))+SUMPRODUCT(('Q3 Data'!$D$4:$D$207=D68)*('Q3 Data'!$B$4:$B$207="Challan")*('Q3 Data'!$H$4:$H$207=Z68))+SUMPRODUCT(('Q4 Data'!$D$4:$D$207=D68)*('Q4 Data'!$B$4:$B$207="Challan")*('Q4 Data'!$H$4:$H$207=Z68)))=0))</f>
      </c>
    </row>
    <row r="69" spans="1:44" x14ac:dyDescent="0.25">
      <c r="A69" s="20">
        <f>IF($B69="Entry",COUNTIF($B$4:$B69,"Entry"),"")</f>
      </c>
      <c r="B69" s="21"/>
      <c r="C69" s="22"/>
      <c r="D69" s="22"/>
      <c r="E69" s="23">
        <f>IF($B69&lt;&gt;"Challan","",IF(ROUND(AN69-AO69,2)&gt;0,"Over-applied",IF(ROUND(AN69-AO69,2)=0,"Fully Utilised","Unconsumed")))</f>
      </c>
      <c r="F69" s="24"/>
      <c r="G69" s="25"/>
      <c r="H69" s="25"/>
      <c r="I69" s="26"/>
      <c r="J69" s="26"/>
      <c r="K69" s="26"/>
      <c r="L69" s="26"/>
      <c r="M69" s="26"/>
      <c r="N69" s="26"/>
      <c r="O69" s="26"/>
      <c r="P69" s="27">
        <f>IF($B69&lt;&gt;"Challan","",I69+J69+K69+L69+M69+N69)</f>
      </c>
      <c r="Q69" s="25"/>
      <c r="R69" s="25"/>
      <c r="S69" s="25"/>
      <c r="T69" s="25"/>
      <c r="U69" s="25"/>
      <c r="V69" s="28"/>
      <c r="W69" s="28"/>
      <c r="X69" s="23">
        <f>IF($B69="Entry",IF(AND(LEN(TRIM(UPPER(W69)))=10,CODE(MID(TRIM(UPPER(W69)),1,1))&gt;=65,CODE(MID(TRIM(UPPER(W69)),1,1))&lt;=90,CODE(MID(TRIM(UPPER(W69)),2,1))&gt;=65,CODE(MID(TRIM(UPPER(W69)),2,1))&lt;=90,CODE(MID(TRIM(UPPER(W69)),3,1))&gt;=65,CODE(MID(TRIM(UPPER(W69)),3,1))&lt;=90,CODE(MID(TRIM(UPPER(W69)),4,1))&gt;=65,CODE(MID(TRIM(UPPER(W69)),4,1))&lt;=90,CODE(MID(TRIM(UPPER(W69)),5,1))&gt;=65,CODE(MID(TRIM(UPPER(W69)),5,1))&lt;=90,CODE(MID(TRIM(UPPER(W69)),10,1))&gt;=65,CODE(MID(TRIM(UPPER(W69)),10,1))&lt;=90,CODE(MID(TRIM(UPPER(W69)),6,1))&gt;=48,CODE(MID(TRIM(UPPER(W69)),6,1))&lt;=57,CODE(MID(TRIM(UPPER(W69)),7,1))&gt;=48,CODE(MID(TRIM(UPPER(W69)),7,1))&lt;=57,CODE(MID(TRIM(UPPER(W69)),8,1))&gt;=48,CODE(MID(TRIM(UPPER(W69)),8,1))&lt;=57,CODE(MID(TRIM(UPPER(W69)),9,1))&gt;=48,CODE(MID(TRIM(UPPER(W69)),9,1))&lt;=57),"N","Y"),IF($B69="Challan","",IF(W69&lt;&gt;"","◄ Set Row Type","")))</f>
      </c>
      <c r="Y69" s="23">
        <f>IF($B69="Entry",IF(LEN(W69)&lt;4,"",IF(UPPER(MID(W69,4,1))="P","Individual",IF(UPPER(MID(W69,4,1))="H","HUF",IF(UPPER(MID(W69,4,1))="C","Company",IF(UPPER(MID(W69,4,1))="F","Firm",IF(UPPER(MID(W69,4,1))="L","LLP",IF(UPPER(MID(W69,4,1))="T","Trust",IF(UPPER(MID(W69,4,1))="A","AOP","")))))))),IF($B69="Challan","",IF(W69&lt;&gt;"","◄ Set Row Type","")))</f>
      </c>
      <c r="Z69" s="28"/>
      <c r="AA69" s="29">
        <f>IF($B69&lt;&gt;"Entry","",IF(Z69="","",IF(X69="Y",SUMPRODUCT(('Rate Lookup'!$A$1:$A$37=Z69)*'Rate Lookup'!$D$1:$D$37),IF(OR(Y69="Individual",Y69="HUF"),SUMPRODUCT(('Rate Lookup'!$A$1:$A$37=Z69)*'Rate Lookup'!$B$1:$B$37),SUMPRODUCT(('Rate Lookup'!$A$1:$A$37=Z69)*'Rate Lookup'!$C$1:$C$37)))))</f>
      </c>
      <c r="AB69" s="30"/>
      <c r="AC69" s="31"/>
      <c r="AD69" s="27">
        <f>IF($B69&lt;&gt;"Entry","",ROUND(AC69*AA69/100,0))</f>
      </c>
      <c r="AE69" s="27">
        <f>IF($B69&lt;&gt;"Entry","",0)</f>
      </c>
      <c r="AF69" s="27">
        <f>IF($B69&lt;&gt;"Entry","",0)</f>
      </c>
      <c r="AG69" s="27">
        <f>IF($B69&lt;&gt;"Entry","",IF(OR(AD69=0,AB69="",AQ69="",AQ69&lt;=0),0,IF(AQ69&lt;=DATE(YEAR(AB69),MONTH(AB69)+1,7),0,ROUND(AD69*0.015*((YEAR(AQ69)-YEAR(AB69))*12+(MONTH(AQ69)-MONTH(AB69))+1),0))))</f>
      </c>
      <c r="AH69" s="27">
        <f>IF($B69&lt;&gt;"Entry","",0)</f>
      </c>
      <c r="AI69" s="28"/>
      <c r="AJ69" s="28"/>
      <c r="AK69" s="32"/>
      <c r="AL69" s="28"/>
      <c r="AM69" s="28"/>
      <c r="AN69" s="27">
        <f>IF($B69&lt;&gt;"Challan","",SUMIF('Q1 Data'!$D$4:$D$207,D69,'Q1 Data'!$AD$4:$AD$207)+SUMIF('Q1 Data'!$D$4:$D$207,D69,'Q1 Data'!$AG$4:$AG$207)+SUMIF('Q1 Data'!$D$4:$D$207,D69,'Q1 Data'!$AE$4:$AE$207)+SUMIF('Q2 Data'!$D$4:$D$207,D69,'Q2 Data'!$AD$4:$AD$207)+SUMIF('Q2 Data'!$D$4:$D$207,D69,'Q2 Data'!$AG$4:$AG$207)+SUMIF('Q2 Data'!$D$4:$D$207,D69,'Q2 Data'!$AE$4:$AE$207)+SUMIF('Q3 Data'!$D$4:$D$207,D69,'Q3 Data'!$AD$4:$AD$207)+SUMIF('Q3 Data'!$D$4:$D$207,D69,'Q3 Data'!$AG$4:$AG$207)+SUMIF('Q3 Data'!$D$4:$D$207,D69,'Q3 Data'!$AE$4:$AE$207)+SUMIF('Q4 Data'!$D$4:$D$207,D69,'Q4 Data'!$AD$4:$AD$207)+SUMIF('Q4 Data'!$D$4:$D$207,D69,'Q4 Data'!$AG$4:$AG$207)+SUMIF('Q4 Data'!$D$4:$D$207,D69,'Q4 Data'!$AE$4:$AE$207))</f>
      </c>
      <c r="AO69" s="27">
        <f>IF($B69&lt;&gt;"Challan","",P69-N69)</f>
      </c>
      <c r="AP69" s="27">
        <f>IF($B69&lt;&gt;"Challan","",MAX(0,AO69-AN69))</f>
      </c>
      <c r="AQ69" s="33">
        <f>IF($B69&lt;&gt;"Entry","",SUMPRODUCT(('Q1 Data'!$D$4:$D$207=D69)*('Q1 Data'!$B$4:$B$207="Challan")*'Q1 Data'!$F$4:$F$207)+SUMPRODUCT(('Q2 Data'!$D$4:$D$207=D69)*('Q2 Data'!$B$4:$B$207="Challan")*'Q2 Data'!$F$4:$F$207)+SUMPRODUCT(('Q3 Data'!$D$4:$D$207=D69)*('Q3 Data'!$B$4:$B$207="Challan")*'Q3 Data'!$F$4:$F$207)+SUMPRODUCT(('Q4 Data'!$D$4:$D$207=D69)*('Q4 Data'!$B$4:$B$207="Challan")*'Q4 Data'!$F$4:$F$207))</f>
      </c>
      <c r="AR69" s="34">
        <f>IF(OR($B69&lt;&gt;"Entry",Z69=""),FALSE,AND((SUMPRODUCT(('Q1 Data'!$D$4:$D$207=D69)*('Q1 Data'!$B$4:$B$207="Challan")*('Q1 Data'!$H$4:$H$207&lt;&gt;""))+SUMPRODUCT(('Q2 Data'!$D$4:$D$207=D69)*('Q2 Data'!$B$4:$B$207="Challan")*('Q2 Data'!$H$4:$H$207&lt;&gt;""))+SUMPRODUCT(('Q3 Data'!$D$4:$D$207=D69)*('Q3 Data'!$B$4:$B$207="Challan")*('Q3 Data'!$H$4:$H$207&lt;&gt;""))+SUMPRODUCT(('Q4 Data'!$D$4:$D$207=D69)*('Q4 Data'!$B$4:$B$207="Challan")*('Q4 Data'!$H$4:$H$207&lt;&gt;"")))&gt;0,(SUMPRODUCT(('Q1 Data'!$D$4:$D$207=D69)*('Q1 Data'!$B$4:$B$207="Challan")*('Q1 Data'!$H$4:$H$207=Z69))+SUMPRODUCT(('Q2 Data'!$D$4:$D$207=D69)*('Q2 Data'!$B$4:$B$207="Challan")*('Q2 Data'!$H$4:$H$207=Z69))+SUMPRODUCT(('Q3 Data'!$D$4:$D$207=D69)*('Q3 Data'!$B$4:$B$207="Challan")*('Q3 Data'!$H$4:$H$207=Z69))+SUMPRODUCT(('Q4 Data'!$D$4:$D$207=D69)*('Q4 Data'!$B$4:$B$207="Challan")*('Q4 Data'!$H$4:$H$207=Z69)))=0))</f>
      </c>
    </row>
    <row r="70" spans="1:44" x14ac:dyDescent="0.25">
      <c r="A70" s="20">
        <f>IF($B70="Entry",COUNTIF($B$4:$B70,"Entry"),"")</f>
      </c>
      <c r="B70" s="21"/>
      <c r="C70" s="22"/>
      <c r="D70" s="22"/>
      <c r="E70" s="23">
        <f>IF($B70&lt;&gt;"Challan","",IF(ROUND(AN70-AO70,2)&gt;0,"Over-applied",IF(ROUND(AN70-AO70,2)=0,"Fully Utilised","Unconsumed")))</f>
      </c>
      <c r="F70" s="24"/>
      <c r="G70" s="25"/>
      <c r="H70" s="25"/>
      <c r="I70" s="26"/>
      <c r="J70" s="26"/>
      <c r="K70" s="26"/>
      <c r="L70" s="26"/>
      <c r="M70" s="26"/>
      <c r="N70" s="26"/>
      <c r="O70" s="26"/>
      <c r="P70" s="27">
        <f>IF($B70&lt;&gt;"Challan","",I70+J70+K70+L70+M70+N70)</f>
      </c>
      <c r="Q70" s="25"/>
      <c r="R70" s="25"/>
      <c r="S70" s="25"/>
      <c r="T70" s="25"/>
      <c r="U70" s="25"/>
      <c r="V70" s="28"/>
      <c r="W70" s="28"/>
      <c r="X70" s="23">
        <f>IF($B70="Entry",IF(AND(LEN(TRIM(UPPER(W70)))=10,CODE(MID(TRIM(UPPER(W70)),1,1))&gt;=65,CODE(MID(TRIM(UPPER(W70)),1,1))&lt;=90,CODE(MID(TRIM(UPPER(W70)),2,1))&gt;=65,CODE(MID(TRIM(UPPER(W70)),2,1))&lt;=90,CODE(MID(TRIM(UPPER(W70)),3,1))&gt;=65,CODE(MID(TRIM(UPPER(W70)),3,1))&lt;=90,CODE(MID(TRIM(UPPER(W70)),4,1))&gt;=65,CODE(MID(TRIM(UPPER(W70)),4,1))&lt;=90,CODE(MID(TRIM(UPPER(W70)),5,1))&gt;=65,CODE(MID(TRIM(UPPER(W70)),5,1))&lt;=90,CODE(MID(TRIM(UPPER(W70)),10,1))&gt;=65,CODE(MID(TRIM(UPPER(W70)),10,1))&lt;=90,CODE(MID(TRIM(UPPER(W70)),6,1))&gt;=48,CODE(MID(TRIM(UPPER(W70)),6,1))&lt;=57,CODE(MID(TRIM(UPPER(W70)),7,1))&gt;=48,CODE(MID(TRIM(UPPER(W70)),7,1))&lt;=57,CODE(MID(TRIM(UPPER(W70)),8,1))&gt;=48,CODE(MID(TRIM(UPPER(W70)),8,1))&lt;=57,CODE(MID(TRIM(UPPER(W70)),9,1))&gt;=48,CODE(MID(TRIM(UPPER(W70)),9,1))&lt;=57),"N","Y"),IF($B70="Challan","",IF(W70&lt;&gt;"","◄ Set Row Type","")))</f>
      </c>
      <c r="Y70" s="23">
        <f>IF($B70="Entry",IF(LEN(W70)&lt;4,"",IF(UPPER(MID(W70,4,1))="P","Individual",IF(UPPER(MID(W70,4,1))="H","HUF",IF(UPPER(MID(W70,4,1))="C","Company",IF(UPPER(MID(W70,4,1))="F","Firm",IF(UPPER(MID(W70,4,1))="L","LLP",IF(UPPER(MID(W70,4,1))="T","Trust",IF(UPPER(MID(W70,4,1))="A","AOP","")))))))),IF($B70="Challan","",IF(W70&lt;&gt;"","◄ Set Row Type","")))</f>
      </c>
      <c r="Z70" s="28"/>
      <c r="AA70" s="29">
        <f>IF($B70&lt;&gt;"Entry","",IF(Z70="","",IF(X70="Y",SUMPRODUCT(('Rate Lookup'!$A$1:$A$37=Z70)*'Rate Lookup'!$D$1:$D$37),IF(OR(Y70="Individual",Y70="HUF"),SUMPRODUCT(('Rate Lookup'!$A$1:$A$37=Z70)*'Rate Lookup'!$B$1:$B$37),SUMPRODUCT(('Rate Lookup'!$A$1:$A$37=Z70)*'Rate Lookup'!$C$1:$C$37)))))</f>
      </c>
      <c r="AB70" s="30"/>
      <c r="AC70" s="31"/>
      <c r="AD70" s="27">
        <f>IF($B70&lt;&gt;"Entry","",ROUND(AC70*AA70/100,0))</f>
      </c>
      <c r="AE70" s="27">
        <f>IF($B70&lt;&gt;"Entry","",0)</f>
      </c>
      <c r="AF70" s="27">
        <f>IF($B70&lt;&gt;"Entry","",0)</f>
      </c>
      <c r="AG70" s="27">
        <f>IF($B70&lt;&gt;"Entry","",IF(OR(AD70=0,AB70="",AQ70="",AQ70&lt;=0),0,IF(AQ70&lt;=DATE(YEAR(AB70),MONTH(AB70)+1,7),0,ROUND(AD70*0.015*((YEAR(AQ70)-YEAR(AB70))*12+(MONTH(AQ70)-MONTH(AB70))+1),0))))</f>
      </c>
      <c r="AH70" s="27">
        <f>IF($B70&lt;&gt;"Entry","",0)</f>
      </c>
      <c r="AI70" s="28"/>
      <c r="AJ70" s="28"/>
      <c r="AK70" s="32"/>
      <c r="AL70" s="28"/>
      <c r="AM70" s="28"/>
      <c r="AN70" s="27">
        <f>IF($B70&lt;&gt;"Challan","",SUMIF('Q1 Data'!$D$4:$D$207,D70,'Q1 Data'!$AD$4:$AD$207)+SUMIF('Q1 Data'!$D$4:$D$207,D70,'Q1 Data'!$AG$4:$AG$207)+SUMIF('Q1 Data'!$D$4:$D$207,D70,'Q1 Data'!$AE$4:$AE$207)+SUMIF('Q2 Data'!$D$4:$D$207,D70,'Q2 Data'!$AD$4:$AD$207)+SUMIF('Q2 Data'!$D$4:$D$207,D70,'Q2 Data'!$AG$4:$AG$207)+SUMIF('Q2 Data'!$D$4:$D$207,D70,'Q2 Data'!$AE$4:$AE$207)+SUMIF('Q3 Data'!$D$4:$D$207,D70,'Q3 Data'!$AD$4:$AD$207)+SUMIF('Q3 Data'!$D$4:$D$207,D70,'Q3 Data'!$AG$4:$AG$207)+SUMIF('Q3 Data'!$D$4:$D$207,D70,'Q3 Data'!$AE$4:$AE$207)+SUMIF('Q4 Data'!$D$4:$D$207,D70,'Q4 Data'!$AD$4:$AD$207)+SUMIF('Q4 Data'!$D$4:$D$207,D70,'Q4 Data'!$AG$4:$AG$207)+SUMIF('Q4 Data'!$D$4:$D$207,D70,'Q4 Data'!$AE$4:$AE$207))</f>
      </c>
      <c r="AO70" s="27">
        <f>IF($B70&lt;&gt;"Challan","",P70-N70)</f>
      </c>
      <c r="AP70" s="27">
        <f>IF($B70&lt;&gt;"Challan","",MAX(0,AO70-AN70))</f>
      </c>
      <c r="AQ70" s="33">
        <f>IF($B70&lt;&gt;"Entry","",SUMPRODUCT(('Q1 Data'!$D$4:$D$207=D70)*('Q1 Data'!$B$4:$B$207="Challan")*'Q1 Data'!$F$4:$F$207)+SUMPRODUCT(('Q2 Data'!$D$4:$D$207=D70)*('Q2 Data'!$B$4:$B$207="Challan")*'Q2 Data'!$F$4:$F$207)+SUMPRODUCT(('Q3 Data'!$D$4:$D$207=D70)*('Q3 Data'!$B$4:$B$207="Challan")*'Q3 Data'!$F$4:$F$207)+SUMPRODUCT(('Q4 Data'!$D$4:$D$207=D70)*('Q4 Data'!$B$4:$B$207="Challan")*'Q4 Data'!$F$4:$F$207))</f>
      </c>
      <c r="AR70" s="34">
        <f>IF(OR($B70&lt;&gt;"Entry",Z70=""),FALSE,AND((SUMPRODUCT(('Q1 Data'!$D$4:$D$207=D70)*('Q1 Data'!$B$4:$B$207="Challan")*('Q1 Data'!$H$4:$H$207&lt;&gt;""))+SUMPRODUCT(('Q2 Data'!$D$4:$D$207=D70)*('Q2 Data'!$B$4:$B$207="Challan")*('Q2 Data'!$H$4:$H$207&lt;&gt;""))+SUMPRODUCT(('Q3 Data'!$D$4:$D$207=D70)*('Q3 Data'!$B$4:$B$207="Challan")*('Q3 Data'!$H$4:$H$207&lt;&gt;""))+SUMPRODUCT(('Q4 Data'!$D$4:$D$207=D70)*('Q4 Data'!$B$4:$B$207="Challan")*('Q4 Data'!$H$4:$H$207&lt;&gt;"")))&gt;0,(SUMPRODUCT(('Q1 Data'!$D$4:$D$207=D70)*('Q1 Data'!$B$4:$B$207="Challan")*('Q1 Data'!$H$4:$H$207=Z70))+SUMPRODUCT(('Q2 Data'!$D$4:$D$207=D70)*('Q2 Data'!$B$4:$B$207="Challan")*('Q2 Data'!$H$4:$H$207=Z70))+SUMPRODUCT(('Q3 Data'!$D$4:$D$207=D70)*('Q3 Data'!$B$4:$B$207="Challan")*('Q3 Data'!$H$4:$H$207=Z70))+SUMPRODUCT(('Q4 Data'!$D$4:$D$207=D70)*('Q4 Data'!$B$4:$B$207="Challan")*('Q4 Data'!$H$4:$H$207=Z70)))=0))</f>
      </c>
    </row>
    <row r="71" spans="1:44" x14ac:dyDescent="0.25">
      <c r="A71" s="20">
        <f>IF($B71="Entry",COUNTIF($B$4:$B71,"Entry"),"")</f>
      </c>
      <c r="B71" s="21"/>
      <c r="C71" s="22"/>
      <c r="D71" s="22"/>
      <c r="E71" s="23">
        <f>IF($B71&lt;&gt;"Challan","",IF(ROUND(AN71-AO71,2)&gt;0,"Over-applied",IF(ROUND(AN71-AO71,2)=0,"Fully Utilised","Unconsumed")))</f>
      </c>
      <c r="F71" s="24"/>
      <c r="G71" s="25"/>
      <c r="H71" s="25"/>
      <c r="I71" s="26"/>
      <c r="J71" s="26"/>
      <c r="K71" s="26"/>
      <c r="L71" s="26"/>
      <c r="M71" s="26"/>
      <c r="N71" s="26"/>
      <c r="O71" s="26"/>
      <c r="P71" s="27">
        <f>IF($B71&lt;&gt;"Challan","",I71+J71+K71+L71+M71+N71)</f>
      </c>
      <c r="Q71" s="25"/>
      <c r="R71" s="25"/>
      <c r="S71" s="25"/>
      <c r="T71" s="25"/>
      <c r="U71" s="25"/>
      <c r="V71" s="28"/>
      <c r="W71" s="28"/>
      <c r="X71" s="23">
        <f>IF($B71="Entry",IF(AND(LEN(TRIM(UPPER(W71)))=10,CODE(MID(TRIM(UPPER(W71)),1,1))&gt;=65,CODE(MID(TRIM(UPPER(W71)),1,1))&lt;=90,CODE(MID(TRIM(UPPER(W71)),2,1))&gt;=65,CODE(MID(TRIM(UPPER(W71)),2,1))&lt;=90,CODE(MID(TRIM(UPPER(W71)),3,1))&gt;=65,CODE(MID(TRIM(UPPER(W71)),3,1))&lt;=90,CODE(MID(TRIM(UPPER(W71)),4,1))&gt;=65,CODE(MID(TRIM(UPPER(W71)),4,1))&lt;=90,CODE(MID(TRIM(UPPER(W71)),5,1))&gt;=65,CODE(MID(TRIM(UPPER(W71)),5,1))&lt;=90,CODE(MID(TRIM(UPPER(W71)),10,1))&gt;=65,CODE(MID(TRIM(UPPER(W71)),10,1))&lt;=90,CODE(MID(TRIM(UPPER(W71)),6,1))&gt;=48,CODE(MID(TRIM(UPPER(W71)),6,1))&lt;=57,CODE(MID(TRIM(UPPER(W71)),7,1))&gt;=48,CODE(MID(TRIM(UPPER(W71)),7,1))&lt;=57,CODE(MID(TRIM(UPPER(W71)),8,1))&gt;=48,CODE(MID(TRIM(UPPER(W71)),8,1))&lt;=57,CODE(MID(TRIM(UPPER(W71)),9,1))&gt;=48,CODE(MID(TRIM(UPPER(W71)),9,1))&lt;=57),"N","Y"),IF($B71="Challan","",IF(W71&lt;&gt;"","◄ Set Row Type","")))</f>
      </c>
      <c r="Y71" s="23">
        <f>IF($B71="Entry",IF(LEN(W71)&lt;4,"",IF(UPPER(MID(W71,4,1))="P","Individual",IF(UPPER(MID(W71,4,1))="H","HUF",IF(UPPER(MID(W71,4,1))="C","Company",IF(UPPER(MID(W71,4,1))="F","Firm",IF(UPPER(MID(W71,4,1))="L","LLP",IF(UPPER(MID(W71,4,1))="T","Trust",IF(UPPER(MID(W71,4,1))="A","AOP","")))))))),IF($B71="Challan","",IF(W71&lt;&gt;"","◄ Set Row Type","")))</f>
      </c>
      <c r="Z71" s="28"/>
      <c r="AA71" s="29">
        <f>IF($B71&lt;&gt;"Entry","",IF(Z71="","",IF(X71="Y",SUMPRODUCT(('Rate Lookup'!$A$1:$A$37=Z71)*'Rate Lookup'!$D$1:$D$37),IF(OR(Y71="Individual",Y71="HUF"),SUMPRODUCT(('Rate Lookup'!$A$1:$A$37=Z71)*'Rate Lookup'!$B$1:$B$37),SUMPRODUCT(('Rate Lookup'!$A$1:$A$37=Z71)*'Rate Lookup'!$C$1:$C$37)))))</f>
      </c>
      <c r="AB71" s="30"/>
      <c r="AC71" s="31"/>
      <c r="AD71" s="27">
        <f>IF($B71&lt;&gt;"Entry","",ROUND(AC71*AA71/100,0))</f>
      </c>
      <c r="AE71" s="27">
        <f>IF($B71&lt;&gt;"Entry","",0)</f>
      </c>
      <c r="AF71" s="27">
        <f>IF($B71&lt;&gt;"Entry","",0)</f>
      </c>
      <c r="AG71" s="27">
        <f>IF($B71&lt;&gt;"Entry","",IF(OR(AD71=0,AB71="",AQ71="",AQ71&lt;=0),0,IF(AQ71&lt;=DATE(YEAR(AB71),MONTH(AB71)+1,7),0,ROUND(AD71*0.015*((YEAR(AQ71)-YEAR(AB71))*12+(MONTH(AQ71)-MONTH(AB71))+1),0))))</f>
      </c>
      <c r="AH71" s="27">
        <f>IF($B71&lt;&gt;"Entry","",0)</f>
      </c>
      <c r="AI71" s="28"/>
      <c r="AJ71" s="28"/>
      <c r="AK71" s="32"/>
      <c r="AL71" s="28"/>
      <c r="AM71" s="28"/>
      <c r="AN71" s="27">
        <f>IF($B71&lt;&gt;"Challan","",SUMIF('Q1 Data'!$D$4:$D$207,D71,'Q1 Data'!$AD$4:$AD$207)+SUMIF('Q1 Data'!$D$4:$D$207,D71,'Q1 Data'!$AG$4:$AG$207)+SUMIF('Q1 Data'!$D$4:$D$207,D71,'Q1 Data'!$AE$4:$AE$207)+SUMIF('Q2 Data'!$D$4:$D$207,D71,'Q2 Data'!$AD$4:$AD$207)+SUMIF('Q2 Data'!$D$4:$D$207,D71,'Q2 Data'!$AG$4:$AG$207)+SUMIF('Q2 Data'!$D$4:$D$207,D71,'Q2 Data'!$AE$4:$AE$207)+SUMIF('Q3 Data'!$D$4:$D$207,D71,'Q3 Data'!$AD$4:$AD$207)+SUMIF('Q3 Data'!$D$4:$D$207,D71,'Q3 Data'!$AG$4:$AG$207)+SUMIF('Q3 Data'!$D$4:$D$207,D71,'Q3 Data'!$AE$4:$AE$207)+SUMIF('Q4 Data'!$D$4:$D$207,D71,'Q4 Data'!$AD$4:$AD$207)+SUMIF('Q4 Data'!$D$4:$D$207,D71,'Q4 Data'!$AG$4:$AG$207)+SUMIF('Q4 Data'!$D$4:$D$207,D71,'Q4 Data'!$AE$4:$AE$207))</f>
      </c>
      <c r="AO71" s="27">
        <f>IF($B71&lt;&gt;"Challan","",P71-N71)</f>
      </c>
      <c r="AP71" s="27">
        <f>IF($B71&lt;&gt;"Challan","",MAX(0,AO71-AN71))</f>
      </c>
      <c r="AQ71" s="33">
        <f>IF($B71&lt;&gt;"Entry","",SUMPRODUCT(('Q1 Data'!$D$4:$D$207=D71)*('Q1 Data'!$B$4:$B$207="Challan")*'Q1 Data'!$F$4:$F$207)+SUMPRODUCT(('Q2 Data'!$D$4:$D$207=D71)*('Q2 Data'!$B$4:$B$207="Challan")*'Q2 Data'!$F$4:$F$207)+SUMPRODUCT(('Q3 Data'!$D$4:$D$207=D71)*('Q3 Data'!$B$4:$B$207="Challan")*'Q3 Data'!$F$4:$F$207)+SUMPRODUCT(('Q4 Data'!$D$4:$D$207=D71)*('Q4 Data'!$B$4:$B$207="Challan")*'Q4 Data'!$F$4:$F$207))</f>
      </c>
      <c r="AR71" s="34">
        <f>IF(OR($B71&lt;&gt;"Entry",Z71=""),FALSE,AND((SUMPRODUCT(('Q1 Data'!$D$4:$D$207=D71)*('Q1 Data'!$B$4:$B$207="Challan")*('Q1 Data'!$H$4:$H$207&lt;&gt;""))+SUMPRODUCT(('Q2 Data'!$D$4:$D$207=D71)*('Q2 Data'!$B$4:$B$207="Challan")*('Q2 Data'!$H$4:$H$207&lt;&gt;""))+SUMPRODUCT(('Q3 Data'!$D$4:$D$207=D71)*('Q3 Data'!$B$4:$B$207="Challan")*('Q3 Data'!$H$4:$H$207&lt;&gt;""))+SUMPRODUCT(('Q4 Data'!$D$4:$D$207=D71)*('Q4 Data'!$B$4:$B$207="Challan")*('Q4 Data'!$H$4:$H$207&lt;&gt;"")))&gt;0,(SUMPRODUCT(('Q1 Data'!$D$4:$D$207=D71)*('Q1 Data'!$B$4:$B$207="Challan")*('Q1 Data'!$H$4:$H$207=Z71))+SUMPRODUCT(('Q2 Data'!$D$4:$D$207=D71)*('Q2 Data'!$B$4:$B$207="Challan")*('Q2 Data'!$H$4:$H$207=Z71))+SUMPRODUCT(('Q3 Data'!$D$4:$D$207=D71)*('Q3 Data'!$B$4:$B$207="Challan")*('Q3 Data'!$H$4:$H$207=Z71))+SUMPRODUCT(('Q4 Data'!$D$4:$D$207=D71)*('Q4 Data'!$B$4:$B$207="Challan")*('Q4 Data'!$H$4:$H$207=Z71)))=0))</f>
      </c>
    </row>
    <row r="72" spans="1:44" x14ac:dyDescent="0.25">
      <c r="A72" s="20">
        <f>IF($B72="Entry",COUNTIF($B$4:$B72,"Entry"),"")</f>
      </c>
      <c r="B72" s="21"/>
      <c r="C72" s="22"/>
      <c r="D72" s="22"/>
      <c r="E72" s="23">
        <f>IF($B72&lt;&gt;"Challan","",IF(ROUND(AN72-AO72,2)&gt;0,"Over-applied",IF(ROUND(AN72-AO72,2)=0,"Fully Utilised","Unconsumed")))</f>
      </c>
      <c r="F72" s="24"/>
      <c r="G72" s="25"/>
      <c r="H72" s="25"/>
      <c r="I72" s="26"/>
      <c r="J72" s="26"/>
      <c r="K72" s="26"/>
      <c r="L72" s="26"/>
      <c r="M72" s="26"/>
      <c r="N72" s="26"/>
      <c r="O72" s="26"/>
      <c r="P72" s="27">
        <f>IF($B72&lt;&gt;"Challan","",I72+J72+K72+L72+M72+N72)</f>
      </c>
      <c r="Q72" s="25"/>
      <c r="R72" s="25"/>
      <c r="S72" s="25"/>
      <c r="T72" s="25"/>
      <c r="U72" s="25"/>
      <c r="V72" s="28"/>
      <c r="W72" s="28"/>
      <c r="X72" s="23">
        <f>IF($B72="Entry",IF(AND(LEN(TRIM(UPPER(W72)))=10,CODE(MID(TRIM(UPPER(W72)),1,1))&gt;=65,CODE(MID(TRIM(UPPER(W72)),1,1))&lt;=90,CODE(MID(TRIM(UPPER(W72)),2,1))&gt;=65,CODE(MID(TRIM(UPPER(W72)),2,1))&lt;=90,CODE(MID(TRIM(UPPER(W72)),3,1))&gt;=65,CODE(MID(TRIM(UPPER(W72)),3,1))&lt;=90,CODE(MID(TRIM(UPPER(W72)),4,1))&gt;=65,CODE(MID(TRIM(UPPER(W72)),4,1))&lt;=90,CODE(MID(TRIM(UPPER(W72)),5,1))&gt;=65,CODE(MID(TRIM(UPPER(W72)),5,1))&lt;=90,CODE(MID(TRIM(UPPER(W72)),10,1))&gt;=65,CODE(MID(TRIM(UPPER(W72)),10,1))&lt;=90,CODE(MID(TRIM(UPPER(W72)),6,1))&gt;=48,CODE(MID(TRIM(UPPER(W72)),6,1))&lt;=57,CODE(MID(TRIM(UPPER(W72)),7,1))&gt;=48,CODE(MID(TRIM(UPPER(W72)),7,1))&lt;=57,CODE(MID(TRIM(UPPER(W72)),8,1))&gt;=48,CODE(MID(TRIM(UPPER(W72)),8,1))&lt;=57,CODE(MID(TRIM(UPPER(W72)),9,1))&gt;=48,CODE(MID(TRIM(UPPER(W72)),9,1))&lt;=57),"N","Y"),IF($B72="Challan","",IF(W72&lt;&gt;"","◄ Set Row Type","")))</f>
      </c>
      <c r="Y72" s="23">
        <f>IF($B72="Entry",IF(LEN(W72)&lt;4,"",IF(UPPER(MID(W72,4,1))="P","Individual",IF(UPPER(MID(W72,4,1))="H","HUF",IF(UPPER(MID(W72,4,1))="C","Company",IF(UPPER(MID(W72,4,1))="F","Firm",IF(UPPER(MID(W72,4,1))="L","LLP",IF(UPPER(MID(W72,4,1))="T","Trust",IF(UPPER(MID(W72,4,1))="A","AOP","")))))))),IF($B72="Challan","",IF(W72&lt;&gt;"","◄ Set Row Type","")))</f>
      </c>
      <c r="Z72" s="28"/>
      <c r="AA72" s="29">
        <f>IF($B72&lt;&gt;"Entry","",IF(Z72="","",IF(X72="Y",SUMPRODUCT(('Rate Lookup'!$A$1:$A$37=Z72)*'Rate Lookup'!$D$1:$D$37),IF(OR(Y72="Individual",Y72="HUF"),SUMPRODUCT(('Rate Lookup'!$A$1:$A$37=Z72)*'Rate Lookup'!$B$1:$B$37),SUMPRODUCT(('Rate Lookup'!$A$1:$A$37=Z72)*'Rate Lookup'!$C$1:$C$37)))))</f>
      </c>
      <c r="AB72" s="30"/>
      <c r="AC72" s="31"/>
      <c r="AD72" s="27">
        <f>IF($B72&lt;&gt;"Entry","",ROUND(AC72*AA72/100,0))</f>
      </c>
      <c r="AE72" s="27">
        <f>IF($B72&lt;&gt;"Entry","",0)</f>
      </c>
      <c r="AF72" s="27">
        <f>IF($B72&lt;&gt;"Entry","",0)</f>
      </c>
      <c r="AG72" s="27">
        <f>IF($B72&lt;&gt;"Entry","",IF(OR(AD72=0,AB72="",AQ72="",AQ72&lt;=0),0,IF(AQ72&lt;=DATE(YEAR(AB72),MONTH(AB72)+1,7),0,ROUND(AD72*0.015*((YEAR(AQ72)-YEAR(AB72))*12+(MONTH(AQ72)-MONTH(AB72))+1),0))))</f>
      </c>
      <c r="AH72" s="27">
        <f>IF($B72&lt;&gt;"Entry","",0)</f>
      </c>
      <c r="AI72" s="28"/>
      <c r="AJ72" s="28"/>
      <c r="AK72" s="32"/>
      <c r="AL72" s="28"/>
      <c r="AM72" s="28"/>
      <c r="AN72" s="27">
        <f>IF($B72&lt;&gt;"Challan","",SUMIF('Q1 Data'!$D$4:$D$207,D72,'Q1 Data'!$AD$4:$AD$207)+SUMIF('Q1 Data'!$D$4:$D$207,D72,'Q1 Data'!$AG$4:$AG$207)+SUMIF('Q1 Data'!$D$4:$D$207,D72,'Q1 Data'!$AE$4:$AE$207)+SUMIF('Q2 Data'!$D$4:$D$207,D72,'Q2 Data'!$AD$4:$AD$207)+SUMIF('Q2 Data'!$D$4:$D$207,D72,'Q2 Data'!$AG$4:$AG$207)+SUMIF('Q2 Data'!$D$4:$D$207,D72,'Q2 Data'!$AE$4:$AE$207)+SUMIF('Q3 Data'!$D$4:$D$207,D72,'Q3 Data'!$AD$4:$AD$207)+SUMIF('Q3 Data'!$D$4:$D$207,D72,'Q3 Data'!$AG$4:$AG$207)+SUMIF('Q3 Data'!$D$4:$D$207,D72,'Q3 Data'!$AE$4:$AE$207)+SUMIF('Q4 Data'!$D$4:$D$207,D72,'Q4 Data'!$AD$4:$AD$207)+SUMIF('Q4 Data'!$D$4:$D$207,D72,'Q4 Data'!$AG$4:$AG$207)+SUMIF('Q4 Data'!$D$4:$D$207,D72,'Q4 Data'!$AE$4:$AE$207))</f>
      </c>
      <c r="AO72" s="27">
        <f>IF($B72&lt;&gt;"Challan","",P72-N72)</f>
      </c>
      <c r="AP72" s="27">
        <f>IF($B72&lt;&gt;"Challan","",MAX(0,AO72-AN72))</f>
      </c>
      <c r="AQ72" s="33">
        <f>IF($B72&lt;&gt;"Entry","",SUMPRODUCT(('Q1 Data'!$D$4:$D$207=D72)*('Q1 Data'!$B$4:$B$207="Challan")*'Q1 Data'!$F$4:$F$207)+SUMPRODUCT(('Q2 Data'!$D$4:$D$207=D72)*('Q2 Data'!$B$4:$B$207="Challan")*'Q2 Data'!$F$4:$F$207)+SUMPRODUCT(('Q3 Data'!$D$4:$D$207=D72)*('Q3 Data'!$B$4:$B$207="Challan")*'Q3 Data'!$F$4:$F$207)+SUMPRODUCT(('Q4 Data'!$D$4:$D$207=D72)*('Q4 Data'!$B$4:$B$207="Challan")*'Q4 Data'!$F$4:$F$207))</f>
      </c>
      <c r="AR72" s="34">
        <f>IF(OR($B72&lt;&gt;"Entry",Z72=""),FALSE,AND((SUMPRODUCT(('Q1 Data'!$D$4:$D$207=D72)*('Q1 Data'!$B$4:$B$207="Challan")*('Q1 Data'!$H$4:$H$207&lt;&gt;""))+SUMPRODUCT(('Q2 Data'!$D$4:$D$207=D72)*('Q2 Data'!$B$4:$B$207="Challan")*('Q2 Data'!$H$4:$H$207&lt;&gt;""))+SUMPRODUCT(('Q3 Data'!$D$4:$D$207=D72)*('Q3 Data'!$B$4:$B$207="Challan")*('Q3 Data'!$H$4:$H$207&lt;&gt;""))+SUMPRODUCT(('Q4 Data'!$D$4:$D$207=D72)*('Q4 Data'!$B$4:$B$207="Challan")*('Q4 Data'!$H$4:$H$207&lt;&gt;"")))&gt;0,(SUMPRODUCT(('Q1 Data'!$D$4:$D$207=D72)*('Q1 Data'!$B$4:$B$207="Challan")*('Q1 Data'!$H$4:$H$207=Z72))+SUMPRODUCT(('Q2 Data'!$D$4:$D$207=D72)*('Q2 Data'!$B$4:$B$207="Challan")*('Q2 Data'!$H$4:$H$207=Z72))+SUMPRODUCT(('Q3 Data'!$D$4:$D$207=D72)*('Q3 Data'!$B$4:$B$207="Challan")*('Q3 Data'!$H$4:$H$207=Z72))+SUMPRODUCT(('Q4 Data'!$D$4:$D$207=D72)*('Q4 Data'!$B$4:$B$207="Challan")*('Q4 Data'!$H$4:$H$207=Z72)))=0))</f>
      </c>
    </row>
    <row r="73" spans="1:44" x14ac:dyDescent="0.25">
      <c r="A73" s="20">
        <f>IF($B73="Entry",COUNTIF($B$4:$B73,"Entry"),"")</f>
      </c>
      <c r="B73" s="21"/>
      <c r="C73" s="22"/>
      <c r="D73" s="22"/>
      <c r="E73" s="23">
        <f>IF($B73&lt;&gt;"Challan","",IF(ROUND(AN73-AO73,2)&gt;0,"Over-applied",IF(ROUND(AN73-AO73,2)=0,"Fully Utilised","Unconsumed")))</f>
      </c>
      <c r="F73" s="24"/>
      <c r="G73" s="25"/>
      <c r="H73" s="25"/>
      <c r="I73" s="26"/>
      <c r="J73" s="26"/>
      <c r="K73" s="26"/>
      <c r="L73" s="26"/>
      <c r="M73" s="26"/>
      <c r="N73" s="26"/>
      <c r="O73" s="26"/>
      <c r="P73" s="27">
        <f>IF($B73&lt;&gt;"Challan","",I73+J73+K73+L73+M73+N73)</f>
      </c>
      <c r="Q73" s="25"/>
      <c r="R73" s="25"/>
      <c r="S73" s="25"/>
      <c r="T73" s="25"/>
      <c r="U73" s="25"/>
      <c r="V73" s="28"/>
      <c r="W73" s="28"/>
      <c r="X73" s="23">
        <f>IF($B73="Entry",IF(AND(LEN(TRIM(UPPER(W73)))=10,CODE(MID(TRIM(UPPER(W73)),1,1))&gt;=65,CODE(MID(TRIM(UPPER(W73)),1,1))&lt;=90,CODE(MID(TRIM(UPPER(W73)),2,1))&gt;=65,CODE(MID(TRIM(UPPER(W73)),2,1))&lt;=90,CODE(MID(TRIM(UPPER(W73)),3,1))&gt;=65,CODE(MID(TRIM(UPPER(W73)),3,1))&lt;=90,CODE(MID(TRIM(UPPER(W73)),4,1))&gt;=65,CODE(MID(TRIM(UPPER(W73)),4,1))&lt;=90,CODE(MID(TRIM(UPPER(W73)),5,1))&gt;=65,CODE(MID(TRIM(UPPER(W73)),5,1))&lt;=90,CODE(MID(TRIM(UPPER(W73)),10,1))&gt;=65,CODE(MID(TRIM(UPPER(W73)),10,1))&lt;=90,CODE(MID(TRIM(UPPER(W73)),6,1))&gt;=48,CODE(MID(TRIM(UPPER(W73)),6,1))&lt;=57,CODE(MID(TRIM(UPPER(W73)),7,1))&gt;=48,CODE(MID(TRIM(UPPER(W73)),7,1))&lt;=57,CODE(MID(TRIM(UPPER(W73)),8,1))&gt;=48,CODE(MID(TRIM(UPPER(W73)),8,1))&lt;=57,CODE(MID(TRIM(UPPER(W73)),9,1))&gt;=48,CODE(MID(TRIM(UPPER(W73)),9,1))&lt;=57),"N","Y"),IF($B73="Challan","",IF(W73&lt;&gt;"","◄ Set Row Type","")))</f>
      </c>
      <c r="Y73" s="23">
        <f>IF($B73="Entry",IF(LEN(W73)&lt;4,"",IF(UPPER(MID(W73,4,1))="P","Individual",IF(UPPER(MID(W73,4,1))="H","HUF",IF(UPPER(MID(W73,4,1))="C","Company",IF(UPPER(MID(W73,4,1))="F","Firm",IF(UPPER(MID(W73,4,1))="L","LLP",IF(UPPER(MID(W73,4,1))="T","Trust",IF(UPPER(MID(W73,4,1))="A","AOP","")))))))),IF($B73="Challan","",IF(W73&lt;&gt;"","◄ Set Row Type","")))</f>
      </c>
      <c r="Z73" s="28"/>
      <c r="AA73" s="29">
        <f>IF($B73&lt;&gt;"Entry","",IF(Z73="","",IF(X73="Y",SUMPRODUCT(('Rate Lookup'!$A$1:$A$37=Z73)*'Rate Lookup'!$D$1:$D$37),IF(OR(Y73="Individual",Y73="HUF"),SUMPRODUCT(('Rate Lookup'!$A$1:$A$37=Z73)*'Rate Lookup'!$B$1:$B$37),SUMPRODUCT(('Rate Lookup'!$A$1:$A$37=Z73)*'Rate Lookup'!$C$1:$C$37)))))</f>
      </c>
      <c r="AB73" s="30"/>
      <c r="AC73" s="31"/>
      <c r="AD73" s="27">
        <f>IF($B73&lt;&gt;"Entry","",ROUND(AC73*AA73/100,0))</f>
      </c>
      <c r="AE73" s="27">
        <f>IF($B73&lt;&gt;"Entry","",0)</f>
      </c>
      <c r="AF73" s="27">
        <f>IF($B73&lt;&gt;"Entry","",0)</f>
      </c>
      <c r="AG73" s="27">
        <f>IF($B73&lt;&gt;"Entry","",IF(OR(AD73=0,AB73="",AQ73="",AQ73&lt;=0),0,IF(AQ73&lt;=DATE(YEAR(AB73),MONTH(AB73)+1,7),0,ROUND(AD73*0.015*((YEAR(AQ73)-YEAR(AB73))*12+(MONTH(AQ73)-MONTH(AB73))+1),0))))</f>
      </c>
      <c r="AH73" s="27">
        <f>IF($B73&lt;&gt;"Entry","",0)</f>
      </c>
      <c r="AI73" s="28"/>
      <c r="AJ73" s="28"/>
      <c r="AK73" s="32"/>
      <c r="AL73" s="28"/>
      <c r="AM73" s="28"/>
      <c r="AN73" s="27">
        <f>IF($B73&lt;&gt;"Challan","",SUMIF('Q1 Data'!$D$4:$D$207,D73,'Q1 Data'!$AD$4:$AD$207)+SUMIF('Q1 Data'!$D$4:$D$207,D73,'Q1 Data'!$AG$4:$AG$207)+SUMIF('Q1 Data'!$D$4:$D$207,D73,'Q1 Data'!$AE$4:$AE$207)+SUMIF('Q2 Data'!$D$4:$D$207,D73,'Q2 Data'!$AD$4:$AD$207)+SUMIF('Q2 Data'!$D$4:$D$207,D73,'Q2 Data'!$AG$4:$AG$207)+SUMIF('Q2 Data'!$D$4:$D$207,D73,'Q2 Data'!$AE$4:$AE$207)+SUMIF('Q3 Data'!$D$4:$D$207,D73,'Q3 Data'!$AD$4:$AD$207)+SUMIF('Q3 Data'!$D$4:$D$207,D73,'Q3 Data'!$AG$4:$AG$207)+SUMIF('Q3 Data'!$D$4:$D$207,D73,'Q3 Data'!$AE$4:$AE$207)+SUMIF('Q4 Data'!$D$4:$D$207,D73,'Q4 Data'!$AD$4:$AD$207)+SUMIF('Q4 Data'!$D$4:$D$207,D73,'Q4 Data'!$AG$4:$AG$207)+SUMIF('Q4 Data'!$D$4:$D$207,D73,'Q4 Data'!$AE$4:$AE$207))</f>
      </c>
      <c r="AO73" s="27">
        <f>IF($B73&lt;&gt;"Challan","",P73-N73)</f>
      </c>
      <c r="AP73" s="27">
        <f>IF($B73&lt;&gt;"Challan","",MAX(0,AO73-AN73))</f>
      </c>
      <c r="AQ73" s="33">
        <f>IF($B73&lt;&gt;"Entry","",SUMPRODUCT(('Q1 Data'!$D$4:$D$207=D73)*('Q1 Data'!$B$4:$B$207="Challan")*'Q1 Data'!$F$4:$F$207)+SUMPRODUCT(('Q2 Data'!$D$4:$D$207=D73)*('Q2 Data'!$B$4:$B$207="Challan")*'Q2 Data'!$F$4:$F$207)+SUMPRODUCT(('Q3 Data'!$D$4:$D$207=D73)*('Q3 Data'!$B$4:$B$207="Challan")*'Q3 Data'!$F$4:$F$207)+SUMPRODUCT(('Q4 Data'!$D$4:$D$207=D73)*('Q4 Data'!$B$4:$B$207="Challan")*'Q4 Data'!$F$4:$F$207))</f>
      </c>
      <c r="AR73" s="34">
        <f>IF(OR($B73&lt;&gt;"Entry",Z73=""),FALSE,AND((SUMPRODUCT(('Q1 Data'!$D$4:$D$207=D73)*('Q1 Data'!$B$4:$B$207="Challan")*('Q1 Data'!$H$4:$H$207&lt;&gt;""))+SUMPRODUCT(('Q2 Data'!$D$4:$D$207=D73)*('Q2 Data'!$B$4:$B$207="Challan")*('Q2 Data'!$H$4:$H$207&lt;&gt;""))+SUMPRODUCT(('Q3 Data'!$D$4:$D$207=D73)*('Q3 Data'!$B$4:$B$207="Challan")*('Q3 Data'!$H$4:$H$207&lt;&gt;""))+SUMPRODUCT(('Q4 Data'!$D$4:$D$207=D73)*('Q4 Data'!$B$4:$B$207="Challan")*('Q4 Data'!$H$4:$H$207&lt;&gt;"")))&gt;0,(SUMPRODUCT(('Q1 Data'!$D$4:$D$207=D73)*('Q1 Data'!$B$4:$B$207="Challan")*('Q1 Data'!$H$4:$H$207=Z73))+SUMPRODUCT(('Q2 Data'!$D$4:$D$207=D73)*('Q2 Data'!$B$4:$B$207="Challan")*('Q2 Data'!$H$4:$H$207=Z73))+SUMPRODUCT(('Q3 Data'!$D$4:$D$207=D73)*('Q3 Data'!$B$4:$B$207="Challan")*('Q3 Data'!$H$4:$H$207=Z73))+SUMPRODUCT(('Q4 Data'!$D$4:$D$207=D73)*('Q4 Data'!$B$4:$B$207="Challan")*('Q4 Data'!$H$4:$H$207=Z73)))=0))</f>
      </c>
    </row>
    <row r="74" spans="1:44" x14ac:dyDescent="0.25">
      <c r="A74" s="20">
        <f>IF($B74="Entry",COUNTIF($B$4:$B74,"Entry"),"")</f>
      </c>
      <c r="B74" s="21"/>
      <c r="C74" s="22"/>
      <c r="D74" s="22"/>
      <c r="E74" s="23">
        <f>IF($B74&lt;&gt;"Challan","",IF(ROUND(AN74-AO74,2)&gt;0,"Over-applied",IF(ROUND(AN74-AO74,2)=0,"Fully Utilised","Unconsumed")))</f>
      </c>
      <c r="F74" s="24"/>
      <c r="G74" s="25"/>
      <c r="H74" s="25"/>
      <c r="I74" s="26"/>
      <c r="J74" s="26"/>
      <c r="K74" s="26"/>
      <c r="L74" s="26"/>
      <c r="M74" s="26"/>
      <c r="N74" s="26"/>
      <c r="O74" s="26"/>
      <c r="P74" s="27">
        <f>IF($B74&lt;&gt;"Challan","",I74+J74+K74+L74+M74+N74)</f>
      </c>
      <c r="Q74" s="25"/>
      <c r="R74" s="25"/>
      <c r="S74" s="25"/>
      <c r="T74" s="25"/>
      <c r="U74" s="25"/>
      <c r="V74" s="28"/>
      <c r="W74" s="28"/>
      <c r="X74" s="23">
        <f>IF($B74="Entry",IF(AND(LEN(TRIM(UPPER(W74)))=10,CODE(MID(TRIM(UPPER(W74)),1,1))&gt;=65,CODE(MID(TRIM(UPPER(W74)),1,1))&lt;=90,CODE(MID(TRIM(UPPER(W74)),2,1))&gt;=65,CODE(MID(TRIM(UPPER(W74)),2,1))&lt;=90,CODE(MID(TRIM(UPPER(W74)),3,1))&gt;=65,CODE(MID(TRIM(UPPER(W74)),3,1))&lt;=90,CODE(MID(TRIM(UPPER(W74)),4,1))&gt;=65,CODE(MID(TRIM(UPPER(W74)),4,1))&lt;=90,CODE(MID(TRIM(UPPER(W74)),5,1))&gt;=65,CODE(MID(TRIM(UPPER(W74)),5,1))&lt;=90,CODE(MID(TRIM(UPPER(W74)),10,1))&gt;=65,CODE(MID(TRIM(UPPER(W74)),10,1))&lt;=90,CODE(MID(TRIM(UPPER(W74)),6,1))&gt;=48,CODE(MID(TRIM(UPPER(W74)),6,1))&lt;=57,CODE(MID(TRIM(UPPER(W74)),7,1))&gt;=48,CODE(MID(TRIM(UPPER(W74)),7,1))&lt;=57,CODE(MID(TRIM(UPPER(W74)),8,1))&gt;=48,CODE(MID(TRIM(UPPER(W74)),8,1))&lt;=57,CODE(MID(TRIM(UPPER(W74)),9,1))&gt;=48,CODE(MID(TRIM(UPPER(W74)),9,1))&lt;=57),"N","Y"),IF($B74="Challan","",IF(W74&lt;&gt;"","◄ Set Row Type","")))</f>
      </c>
      <c r="Y74" s="23">
        <f>IF($B74="Entry",IF(LEN(W74)&lt;4,"",IF(UPPER(MID(W74,4,1))="P","Individual",IF(UPPER(MID(W74,4,1))="H","HUF",IF(UPPER(MID(W74,4,1))="C","Company",IF(UPPER(MID(W74,4,1))="F","Firm",IF(UPPER(MID(W74,4,1))="L","LLP",IF(UPPER(MID(W74,4,1))="T","Trust",IF(UPPER(MID(W74,4,1))="A","AOP","")))))))),IF($B74="Challan","",IF(W74&lt;&gt;"","◄ Set Row Type","")))</f>
      </c>
      <c r="Z74" s="28"/>
      <c r="AA74" s="29">
        <f>IF($B74&lt;&gt;"Entry","",IF(Z74="","",IF(X74="Y",SUMPRODUCT(('Rate Lookup'!$A$1:$A$37=Z74)*'Rate Lookup'!$D$1:$D$37),IF(OR(Y74="Individual",Y74="HUF"),SUMPRODUCT(('Rate Lookup'!$A$1:$A$37=Z74)*'Rate Lookup'!$B$1:$B$37),SUMPRODUCT(('Rate Lookup'!$A$1:$A$37=Z74)*'Rate Lookup'!$C$1:$C$37)))))</f>
      </c>
      <c r="AB74" s="30"/>
      <c r="AC74" s="31"/>
      <c r="AD74" s="27">
        <f>IF($B74&lt;&gt;"Entry","",ROUND(AC74*AA74/100,0))</f>
      </c>
      <c r="AE74" s="27">
        <f>IF($B74&lt;&gt;"Entry","",0)</f>
      </c>
      <c r="AF74" s="27">
        <f>IF($B74&lt;&gt;"Entry","",0)</f>
      </c>
      <c r="AG74" s="27">
        <f>IF($B74&lt;&gt;"Entry","",IF(OR(AD74=0,AB74="",AQ74="",AQ74&lt;=0),0,IF(AQ74&lt;=DATE(YEAR(AB74),MONTH(AB74)+1,7),0,ROUND(AD74*0.015*((YEAR(AQ74)-YEAR(AB74))*12+(MONTH(AQ74)-MONTH(AB74))+1),0))))</f>
      </c>
      <c r="AH74" s="27">
        <f>IF($B74&lt;&gt;"Entry","",0)</f>
      </c>
      <c r="AI74" s="28"/>
      <c r="AJ74" s="28"/>
      <c r="AK74" s="32"/>
      <c r="AL74" s="28"/>
      <c r="AM74" s="28"/>
      <c r="AN74" s="27">
        <f>IF($B74&lt;&gt;"Challan","",SUMIF('Q1 Data'!$D$4:$D$207,D74,'Q1 Data'!$AD$4:$AD$207)+SUMIF('Q1 Data'!$D$4:$D$207,D74,'Q1 Data'!$AG$4:$AG$207)+SUMIF('Q1 Data'!$D$4:$D$207,D74,'Q1 Data'!$AE$4:$AE$207)+SUMIF('Q2 Data'!$D$4:$D$207,D74,'Q2 Data'!$AD$4:$AD$207)+SUMIF('Q2 Data'!$D$4:$D$207,D74,'Q2 Data'!$AG$4:$AG$207)+SUMIF('Q2 Data'!$D$4:$D$207,D74,'Q2 Data'!$AE$4:$AE$207)+SUMIF('Q3 Data'!$D$4:$D$207,D74,'Q3 Data'!$AD$4:$AD$207)+SUMIF('Q3 Data'!$D$4:$D$207,D74,'Q3 Data'!$AG$4:$AG$207)+SUMIF('Q3 Data'!$D$4:$D$207,D74,'Q3 Data'!$AE$4:$AE$207)+SUMIF('Q4 Data'!$D$4:$D$207,D74,'Q4 Data'!$AD$4:$AD$207)+SUMIF('Q4 Data'!$D$4:$D$207,D74,'Q4 Data'!$AG$4:$AG$207)+SUMIF('Q4 Data'!$D$4:$D$207,D74,'Q4 Data'!$AE$4:$AE$207))</f>
      </c>
      <c r="AO74" s="27">
        <f>IF($B74&lt;&gt;"Challan","",P74-N74)</f>
      </c>
      <c r="AP74" s="27">
        <f>IF($B74&lt;&gt;"Challan","",MAX(0,AO74-AN74))</f>
      </c>
      <c r="AQ74" s="33">
        <f>IF($B74&lt;&gt;"Entry","",SUMPRODUCT(('Q1 Data'!$D$4:$D$207=D74)*('Q1 Data'!$B$4:$B$207="Challan")*'Q1 Data'!$F$4:$F$207)+SUMPRODUCT(('Q2 Data'!$D$4:$D$207=D74)*('Q2 Data'!$B$4:$B$207="Challan")*'Q2 Data'!$F$4:$F$207)+SUMPRODUCT(('Q3 Data'!$D$4:$D$207=D74)*('Q3 Data'!$B$4:$B$207="Challan")*'Q3 Data'!$F$4:$F$207)+SUMPRODUCT(('Q4 Data'!$D$4:$D$207=D74)*('Q4 Data'!$B$4:$B$207="Challan")*'Q4 Data'!$F$4:$F$207))</f>
      </c>
      <c r="AR74" s="34">
        <f>IF(OR($B74&lt;&gt;"Entry",Z74=""),FALSE,AND((SUMPRODUCT(('Q1 Data'!$D$4:$D$207=D74)*('Q1 Data'!$B$4:$B$207="Challan")*('Q1 Data'!$H$4:$H$207&lt;&gt;""))+SUMPRODUCT(('Q2 Data'!$D$4:$D$207=D74)*('Q2 Data'!$B$4:$B$207="Challan")*('Q2 Data'!$H$4:$H$207&lt;&gt;""))+SUMPRODUCT(('Q3 Data'!$D$4:$D$207=D74)*('Q3 Data'!$B$4:$B$207="Challan")*('Q3 Data'!$H$4:$H$207&lt;&gt;""))+SUMPRODUCT(('Q4 Data'!$D$4:$D$207=D74)*('Q4 Data'!$B$4:$B$207="Challan")*('Q4 Data'!$H$4:$H$207&lt;&gt;"")))&gt;0,(SUMPRODUCT(('Q1 Data'!$D$4:$D$207=D74)*('Q1 Data'!$B$4:$B$207="Challan")*('Q1 Data'!$H$4:$H$207=Z74))+SUMPRODUCT(('Q2 Data'!$D$4:$D$207=D74)*('Q2 Data'!$B$4:$B$207="Challan")*('Q2 Data'!$H$4:$H$207=Z74))+SUMPRODUCT(('Q3 Data'!$D$4:$D$207=D74)*('Q3 Data'!$B$4:$B$207="Challan")*('Q3 Data'!$H$4:$H$207=Z74))+SUMPRODUCT(('Q4 Data'!$D$4:$D$207=D74)*('Q4 Data'!$B$4:$B$207="Challan")*('Q4 Data'!$H$4:$H$207=Z74)))=0))</f>
      </c>
    </row>
    <row r="75" spans="1:44" x14ac:dyDescent="0.25">
      <c r="A75" s="20">
        <f>IF($B75="Entry",COUNTIF($B$4:$B75,"Entry"),"")</f>
      </c>
      <c r="B75" s="21"/>
      <c r="C75" s="22"/>
      <c r="D75" s="22"/>
      <c r="E75" s="23">
        <f>IF($B75&lt;&gt;"Challan","",IF(ROUND(AN75-AO75,2)&gt;0,"Over-applied",IF(ROUND(AN75-AO75,2)=0,"Fully Utilised","Unconsumed")))</f>
      </c>
      <c r="F75" s="24"/>
      <c r="G75" s="25"/>
      <c r="H75" s="25"/>
      <c r="I75" s="26"/>
      <c r="J75" s="26"/>
      <c r="K75" s="26"/>
      <c r="L75" s="26"/>
      <c r="M75" s="26"/>
      <c r="N75" s="26"/>
      <c r="O75" s="26"/>
      <c r="P75" s="27">
        <f>IF($B75&lt;&gt;"Challan","",I75+J75+K75+L75+M75+N75)</f>
      </c>
      <c r="Q75" s="25"/>
      <c r="R75" s="25"/>
      <c r="S75" s="25"/>
      <c r="T75" s="25"/>
      <c r="U75" s="25"/>
      <c r="V75" s="28"/>
      <c r="W75" s="28"/>
      <c r="X75" s="23">
        <f>IF($B75="Entry",IF(AND(LEN(TRIM(UPPER(W75)))=10,CODE(MID(TRIM(UPPER(W75)),1,1))&gt;=65,CODE(MID(TRIM(UPPER(W75)),1,1))&lt;=90,CODE(MID(TRIM(UPPER(W75)),2,1))&gt;=65,CODE(MID(TRIM(UPPER(W75)),2,1))&lt;=90,CODE(MID(TRIM(UPPER(W75)),3,1))&gt;=65,CODE(MID(TRIM(UPPER(W75)),3,1))&lt;=90,CODE(MID(TRIM(UPPER(W75)),4,1))&gt;=65,CODE(MID(TRIM(UPPER(W75)),4,1))&lt;=90,CODE(MID(TRIM(UPPER(W75)),5,1))&gt;=65,CODE(MID(TRIM(UPPER(W75)),5,1))&lt;=90,CODE(MID(TRIM(UPPER(W75)),10,1))&gt;=65,CODE(MID(TRIM(UPPER(W75)),10,1))&lt;=90,CODE(MID(TRIM(UPPER(W75)),6,1))&gt;=48,CODE(MID(TRIM(UPPER(W75)),6,1))&lt;=57,CODE(MID(TRIM(UPPER(W75)),7,1))&gt;=48,CODE(MID(TRIM(UPPER(W75)),7,1))&lt;=57,CODE(MID(TRIM(UPPER(W75)),8,1))&gt;=48,CODE(MID(TRIM(UPPER(W75)),8,1))&lt;=57,CODE(MID(TRIM(UPPER(W75)),9,1))&gt;=48,CODE(MID(TRIM(UPPER(W75)),9,1))&lt;=57),"N","Y"),IF($B75="Challan","",IF(W75&lt;&gt;"","◄ Set Row Type","")))</f>
      </c>
      <c r="Y75" s="23">
        <f>IF($B75="Entry",IF(LEN(W75)&lt;4,"",IF(UPPER(MID(W75,4,1))="P","Individual",IF(UPPER(MID(W75,4,1))="H","HUF",IF(UPPER(MID(W75,4,1))="C","Company",IF(UPPER(MID(W75,4,1))="F","Firm",IF(UPPER(MID(W75,4,1))="L","LLP",IF(UPPER(MID(W75,4,1))="T","Trust",IF(UPPER(MID(W75,4,1))="A","AOP","")))))))),IF($B75="Challan","",IF(W75&lt;&gt;"","◄ Set Row Type","")))</f>
      </c>
      <c r="Z75" s="28"/>
      <c r="AA75" s="29">
        <f>IF($B75&lt;&gt;"Entry","",IF(Z75="","",IF(X75="Y",SUMPRODUCT(('Rate Lookup'!$A$1:$A$37=Z75)*'Rate Lookup'!$D$1:$D$37),IF(OR(Y75="Individual",Y75="HUF"),SUMPRODUCT(('Rate Lookup'!$A$1:$A$37=Z75)*'Rate Lookup'!$B$1:$B$37),SUMPRODUCT(('Rate Lookup'!$A$1:$A$37=Z75)*'Rate Lookup'!$C$1:$C$37)))))</f>
      </c>
      <c r="AB75" s="30"/>
      <c r="AC75" s="31"/>
      <c r="AD75" s="27">
        <f>IF($B75&lt;&gt;"Entry","",ROUND(AC75*AA75/100,0))</f>
      </c>
      <c r="AE75" s="27">
        <f>IF($B75&lt;&gt;"Entry","",0)</f>
      </c>
      <c r="AF75" s="27">
        <f>IF($B75&lt;&gt;"Entry","",0)</f>
      </c>
      <c r="AG75" s="27">
        <f>IF($B75&lt;&gt;"Entry","",IF(OR(AD75=0,AB75="",AQ75="",AQ75&lt;=0),0,IF(AQ75&lt;=DATE(YEAR(AB75),MONTH(AB75)+1,7),0,ROUND(AD75*0.015*((YEAR(AQ75)-YEAR(AB75))*12+(MONTH(AQ75)-MONTH(AB75))+1),0))))</f>
      </c>
      <c r="AH75" s="27">
        <f>IF($B75&lt;&gt;"Entry","",0)</f>
      </c>
      <c r="AI75" s="28"/>
      <c r="AJ75" s="28"/>
      <c r="AK75" s="32"/>
      <c r="AL75" s="28"/>
      <c r="AM75" s="28"/>
      <c r="AN75" s="27">
        <f>IF($B75&lt;&gt;"Challan","",SUMIF('Q1 Data'!$D$4:$D$207,D75,'Q1 Data'!$AD$4:$AD$207)+SUMIF('Q1 Data'!$D$4:$D$207,D75,'Q1 Data'!$AG$4:$AG$207)+SUMIF('Q1 Data'!$D$4:$D$207,D75,'Q1 Data'!$AE$4:$AE$207)+SUMIF('Q2 Data'!$D$4:$D$207,D75,'Q2 Data'!$AD$4:$AD$207)+SUMIF('Q2 Data'!$D$4:$D$207,D75,'Q2 Data'!$AG$4:$AG$207)+SUMIF('Q2 Data'!$D$4:$D$207,D75,'Q2 Data'!$AE$4:$AE$207)+SUMIF('Q3 Data'!$D$4:$D$207,D75,'Q3 Data'!$AD$4:$AD$207)+SUMIF('Q3 Data'!$D$4:$D$207,D75,'Q3 Data'!$AG$4:$AG$207)+SUMIF('Q3 Data'!$D$4:$D$207,D75,'Q3 Data'!$AE$4:$AE$207)+SUMIF('Q4 Data'!$D$4:$D$207,D75,'Q4 Data'!$AD$4:$AD$207)+SUMIF('Q4 Data'!$D$4:$D$207,D75,'Q4 Data'!$AG$4:$AG$207)+SUMIF('Q4 Data'!$D$4:$D$207,D75,'Q4 Data'!$AE$4:$AE$207))</f>
      </c>
      <c r="AO75" s="27">
        <f>IF($B75&lt;&gt;"Challan","",P75-N75)</f>
      </c>
      <c r="AP75" s="27">
        <f>IF($B75&lt;&gt;"Challan","",MAX(0,AO75-AN75))</f>
      </c>
      <c r="AQ75" s="33">
        <f>IF($B75&lt;&gt;"Entry","",SUMPRODUCT(('Q1 Data'!$D$4:$D$207=D75)*('Q1 Data'!$B$4:$B$207="Challan")*'Q1 Data'!$F$4:$F$207)+SUMPRODUCT(('Q2 Data'!$D$4:$D$207=D75)*('Q2 Data'!$B$4:$B$207="Challan")*'Q2 Data'!$F$4:$F$207)+SUMPRODUCT(('Q3 Data'!$D$4:$D$207=D75)*('Q3 Data'!$B$4:$B$207="Challan")*'Q3 Data'!$F$4:$F$207)+SUMPRODUCT(('Q4 Data'!$D$4:$D$207=D75)*('Q4 Data'!$B$4:$B$207="Challan")*'Q4 Data'!$F$4:$F$207))</f>
      </c>
      <c r="AR75" s="34">
        <f>IF(OR($B75&lt;&gt;"Entry",Z75=""),FALSE,AND((SUMPRODUCT(('Q1 Data'!$D$4:$D$207=D75)*('Q1 Data'!$B$4:$B$207="Challan")*('Q1 Data'!$H$4:$H$207&lt;&gt;""))+SUMPRODUCT(('Q2 Data'!$D$4:$D$207=D75)*('Q2 Data'!$B$4:$B$207="Challan")*('Q2 Data'!$H$4:$H$207&lt;&gt;""))+SUMPRODUCT(('Q3 Data'!$D$4:$D$207=D75)*('Q3 Data'!$B$4:$B$207="Challan")*('Q3 Data'!$H$4:$H$207&lt;&gt;""))+SUMPRODUCT(('Q4 Data'!$D$4:$D$207=D75)*('Q4 Data'!$B$4:$B$207="Challan")*('Q4 Data'!$H$4:$H$207&lt;&gt;"")))&gt;0,(SUMPRODUCT(('Q1 Data'!$D$4:$D$207=D75)*('Q1 Data'!$B$4:$B$207="Challan")*('Q1 Data'!$H$4:$H$207=Z75))+SUMPRODUCT(('Q2 Data'!$D$4:$D$207=D75)*('Q2 Data'!$B$4:$B$207="Challan")*('Q2 Data'!$H$4:$H$207=Z75))+SUMPRODUCT(('Q3 Data'!$D$4:$D$207=D75)*('Q3 Data'!$B$4:$B$207="Challan")*('Q3 Data'!$H$4:$H$207=Z75))+SUMPRODUCT(('Q4 Data'!$D$4:$D$207=D75)*('Q4 Data'!$B$4:$B$207="Challan")*('Q4 Data'!$H$4:$H$207=Z75)))=0))</f>
      </c>
    </row>
    <row r="76" spans="1:44" x14ac:dyDescent="0.25">
      <c r="A76" s="20">
        <f>IF($B76="Entry",COUNTIF($B$4:$B76,"Entry"),"")</f>
      </c>
      <c r="B76" s="21"/>
      <c r="C76" s="22"/>
      <c r="D76" s="22"/>
      <c r="E76" s="23">
        <f>IF($B76&lt;&gt;"Challan","",IF(ROUND(AN76-AO76,2)&gt;0,"Over-applied",IF(ROUND(AN76-AO76,2)=0,"Fully Utilised","Unconsumed")))</f>
      </c>
      <c r="F76" s="24"/>
      <c r="G76" s="25"/>
      <c r="H76" s="25"/>
      <c r="I76" s="26"/>
      <c r="J76" s="26"/>
      <c r="K76" s="26"/>
      <c r="L76" s="26"/>
      <c r="M76" s="26"/>
      <c r="N76" s="26"/>
      <c r="O76" s="26"/>
      <c r="P76" s="27">
        <f>IF($B76&lt;&gt;"Challan","",I76+J76+K76+L76+M76+N76)</f>
      </c>
      <c r="Q76" s="25"/>
      <c r="R76" s="25"/>
      <c r="S76" s="25"/>
      <c r="T76" s="25"/>
      <c r="U76" s="25"/>
      <c r="V76" s="28"/>
      <c r="W76" s="28"/>
      <c r="X76" s="23">
        <f>IF($B76="Entry",IF(AND(LEN(TRIM(UPPER(W76)))=10,CODE(MID(TRIM(UPPER(W76)),1,1))&gt;=65,CODE(MID(TRIM(UPPER(W76)),1,1))&lt;=90,CODE(MID(TRIM(UPPER(W76)),2,1))&gt;=65,CODE(MID(TRIM(UPPER(W76)),2,1))&lt;=90,CODE(MID(TRIM(UPPER(W76)),3,1))&gt;=65,CODE(MID(TRIM(UPPER(W76)),3,1))&lt;=90,CODE(MID(TRIM(UPPER(W76)),4,1))&gt;=65,CODE(MID(TRIM(UPPER(W76)),4,1))&lt;=90,CODE(MID(TRIM(UPPER(W76)),5,1))&gt;=65,CODE(MID(TRIM(UPPER(W76)),5,1))&lt;=90,CODE(MID(TRIM(UPPER(W76)),10,1))&gt;=65,CODE(MID(TRIM(UPPER(W76)),10,1))&lt;=90,CODE(MID(TRIM(UPPER(W76)),6,1))&gt;=48,CODE(MID(TRIM(UPPER(W76)),6,1))&lt;=57,CODE(MID(TRIM(UPPER(W76)),7,1))&gt;=48,CODE(MID(TRIM(UPPER(W76)),7,1))&lt;=57,CODE(MID(TRIM(UPPER(W76)),8,1))&gt;=48,CODE(MID(TRIM(UPPER(W76)),8,1))&lt;=57,CODE(MID(TRIM(UPPER(W76)),9,1))&gt;=48,CODE(MID(TRIM(UPPER(W76)),9,1))&lt;=57),"N","Y"),IF($B76="Challan","",IF(W76&lt;&gt;"","◄ Set Row Type","")))</f>
      </c>
      <c r="Y76" s="23">
        <f>IF($B76="Entry",IF(LEN(W76)&lt;4,"",IF(UPPER(MID(W76,4,1))="P","Individual",IF(UPPER(MID(W76,4,1))="H","HUF",IF(UPPER(MID(W76,4,1))="C","Company",IF(UPPER(MID(W76,4,1))="F","Firm",IF(UPPER(MID(W76,4,1))="L","LLP",IF(UPPER(MID(W76,4,1))="T","Trust",IF(UPPER(MID(W76,4,1))="A","AOP","")))))))),IF($B76="Challan","",IF(W76&lt;&gt;"","◄ Set Row Type","")))</f>
      </c>
      <c r="Z76" s="28"/>
      <c r="AA76" s="29">
        <f>IF($B76&lt;&gt;"Entry","",IF(Z76="","",IF(X76="Y",SUMPRODUCT(('Rate Lookup'!$A$1:$A$37=Z76)*'Rate Lookup'!$D$1:$D$37),IF(OR(Y76="Individual",Y76="HUF"),SUMPRODUCT(('Rate Lookup'!$A$1:$A$37=Z76)*'Rate Lookup'!$B$1:$B$37),SUMPRODUCT(('Rate Lookup'!$A$1:$A$37=Z76)*'Rate Lookup'!$C$1:$C$37)))))</f>
      </c>
      <c r="AB76" s="30"/>
      <c r="AC76" s="31"/>
      <c r="AD76" s="27">
        <f>IF($B76&lt;&gt;"Entry","",ROUND(AC76*AA76/100,0))</f>
      </c>
      <c r="AE76" s="27">
        <f>IF($B76&lt;&gt;"Entry","",0)</f>
      </c>
      <c r="AF76" s="27">
        <f>IF($B76&lt;&gt;"Entry","",0)</f>
      </c>
      <c r="AG76" s="27">
        <f>IF($B76&lt;&gt;"Entry","",IF(OR(AD76=0,AB76="",AQ76="",AQ76&lt;=0),0,IF(AQ76&lt;=DATE(YEAR(AB76),MONTH(AB76)+1,7),0,ROUND(AD76*0.015*((YEAR(AQ76)-YEAR(AB76))*12+(MONTH(AQ76)-MONTH(AB76))+1),0))))</f>
      </c>
      <c r="AH76" s="27">
        <f>IF($B76&lt;&gt;"Entry","",0)</f>
      </c>
      <c r="AI76" s="28"/>
      <c r="AJ76" s="28"/>
      <c r="AK76" s="32"/>
      <c r="AL76" s="28"/>
      <c r="AM76" s="28"/>
      <c r="AN76" s="27">
        <f>IF($B76&lt;&gt;"Challan","",SUMIF('Q1 Data'!$D$4:$D$207,D76,'Q1 Data'!$AD$4:$AD$207)+SUMIF('Q1 Data'!$D$4:$D$207,D76,'Q1 Data'!$AG$4:$AG$207)+SUMIF('Q1 Data'!$D$4:$D$207,D76,'Q1 Data'!$AE$4:$AE$207)+SUMIF('Q2 Data'!$D$4:$D$207,D76,'Q2 Data'!$AD$4:$AD$207)+SUMIF('Q2 Data'!$D$4:$D$207,D76,'Q2 Data'!$AG$4:$AG$207)+SUMIF('Q2 Data'!$D$4:$D$207,D76,'Q2 Data'!$AE$4:$AE$207)+SUMIF('Q3 Data'!$D$4:$D$207,D76,'Q3 Data'!$AD$4:$AD$207)+SUMIF('Q3 Data'!$D$4:$D$207,D76,'Q3 Data'!$AG$4:$AG$207)+SUMIF('Q3 Data'!$D$4:$D$207,D76,'Q3 Data'!$AE$4:$AE$207)+SUMIF('Q4 Data'!$D$4:$D$207,D76,'Q4 Data'!$AD$4:$AD$207)+SUMIF('Q4 Data'!$D$4:$D$207,D76,'Q4 Data'!$AG$4:$AG$207)+SUMIF('Q4 Data'!$D$4:$D$207,D76,'Q4 Data'!$AE$4:$AE$207))</f>
      </c>
      <c r="AO76" s="27">
        <f>IF($B76&lt;&gt;"Challan","",P76-N76)</f>
      </c>
      <c r="AP76" s="27">
        <f>IF($B76&lt;&gt;"Challan","",MAX(0,AO76-AN76))</f>
      </c>
      <c r="AQ76" s="33">
        <f>IF($B76&lt;&gt;"Entry","",SUMPRODUCT(('Q1 Data'!$D$4:$D$207=D76)*('Q1 Data'!$B$4:$B$207="Challan")*'Q1 Data'!$F$4:$F$207)+SUMPRODUCT(('Q2 Data'!$D$4:$D$207=D76)*('Q2 Data'!$B$4:$B$207="Challan")*'Q2 Data'!$F$4:$F$207)+SUMPRODUCT(('Q3 Data'!$D$4:$D$207=D76)*('Q3 Data'!$B$4:$B$207="Challan")*'Q3 Data'!$F$4:$F$207)+SUMPRODUCT(('Q4 Data'!$D$4:$D$207=D76)*('Q4 Data'!$B$4:$B$207="Challan")*'Q4 Data'!$F$4:$F$207))</f>
      </c>
      <c r="AR76" s="34">
        <f>IF(OR($B76&lt;&gt;"Entry",Z76=""),FALSE,AND((SUMPRODUCT(('Q1 Data'!$D$4:$D$207=D76)*('Q1 Data'!$B$4:$B$207="Challan")*('Q1 Data'!$H$4:$H$207&lt;&gt;""))+SUMPRODUCT(('Q2 Data'!$D$4:$D$207=D76)*('Q2 Data'!$B$4:$B$207="Challan")*('Q2 Data'!$H$4:$H$207&lt;&gt;""))+SUMPRODUCT(('Q3 Data'!$D$4:$D$207=D76)*('Q3 Data'!$B$4:$B$207="Challan")*('Q3 Data'!$H$4:$H$207&lt;&gt;""))+SUMPRODUCT(('Q4 Data'!$D$4:$D$207=D76)*('Q4 Data'!$B$4:$B$207="Challan")*('Q4 Data'!$H$4:$H$207&lt;&gt;"")))&gt;0,(SUMPRODUCT(('Q1 Data'!$D$4:$D$207=D76)*('Q1 Data'!$B$4:$B$207="Challan")*('Q1 Data'!$H$4:$H$207=Z76))+SUMPRODUCT(('Q2 Data'!$D$4:$D$207=D76)*('Q2 Data'!$B$4:$B$207="Challan")*('Q2 Data'!$H$4:$H$207=Z76))+SUMPRODUCT(('Q3 Data'!$D$4:$D$207=D76)*('Q3 Data'!$B$4:$B$207="Challan")*('Q3 Data'!$H$4:$H$207=Z76))+SUMPRODUCT(('Q4 Data'!$D$4:$D$207=D76)*('Q4 Data'!$B$4:$B$207="Challan")*('Q4 Data'!$H$4:$H$207=Z76)))=0))</f>
      </c>
    </row>
    <row r="77" spans="1:44" x14ac:dyDescent="0.25">
      <c r="A77" s="20">
        <f>IF($B77="Entry",COUNTIF($B$4:$B77,"Entry"),"")</f>
      </c>
      <c r="B77" s="21"/>
      <c r="C77" s="22"/>
      <c r="D77" s="22"/>
      <c r="E77" s="23">
        <f>IF($B77&lt;&gt;"Challan","",IF(ROUND(AN77-AO77,2)&gt;0,"Over-applied",IF(ROUND(AN77-AO77,2)=0,"Fully Utilised","Unconsumed")))</f>
      </c>
      <c r="F77" s="24"/>
      <c r="G77" s="25"/>
      <c r="H77" s="25"/>
      <c r="I77" s="26"/>
      <c r="J77" s="26"/>
      <c r="K77" s="26"/>
      <c r="L77" s="26"/>
      <c r="M77" s="26"/>
      <c r="N77" s="26"/>
      <c r="O77" s="26"/>
      <c r="P77" s="27">
        <f>IF($B77&lt;&gt;"Challan","",I77+J77+K77+L77+M77+N77)</f>
      </c>
      <c r="Q77" s="25"/>
      <c r="R77" s="25"/>
      <c r="S77" s="25"/>
      <c r="T77" s="25"/>
      <c r="U77" s="25"/>
      <c r="V77" s="28"/>
      <c r="W77" s="28"/>
      <c r="X77" s="23">
        <f>IF($B77="Entry",IF(AND(LEN(TRIM(UPPER(W77)))=10,CODE(MID(TRIM(UPPER(W77)),1,1))&gt;=65,CODE(MID(TRIM(UPPER(W77)),1,1))&lt;=90,CODE(MID(TRIM(UPPER(W77)),2,1))&gt;=65,CODE(MID(TRIM(UPPER(W77)),2,1))&lt;=90,CODE(MID(TRIM(UPPER(W77)),3,1))&gt;=65,CODE(MID(TRIM(UPPER(W77)),3,1))&lt;=90,CODE(MID(TRIM(UPPER(W77)),4,1))&gt;=65,CODE(MID(TRIM(UPPER(W77)),4,1))&lt;=90,CODE(MID(TRIM(UPPER(W77)),5,1))&gt;=65,CODE(MID(TRIM(UPPER(W77)),5,1))&lt;=90,CODE(MID(TRIM(UPPER(W77)),10,1))&gt;=65,CODE(MID(TRIM(UPPER(W77)),10,1))&lt;=90,CODE(MID(TRIM(UPPER(W77)),6,1))&gt;=48,CODE(MID(TRIM(UPPER(W77)),6,1))&lt;=57,CODE(MID(TRIM(UPPER(W77)),7,1))&gt;=48,CODE(MID(TRIM(UPPER(W77)),7,1))&lt;=57,CODE(MID(TRIM(UPPER(W77)),8,1))&gt;=48,CODE(MID(TRIM(UPPER(W77)),8,1))&lt;=57,CODE(MID(TRIM(UPPER(W77)),9,1))&gt;=48,CODE(MID(TRIM(UPPER(W77)),9,1))&lt;=57),"N","Y"),IF($B77="Challan","",IF(W77&lt;&gt;"","◄ Set Row Type","")))</f>
      </c>
      <c r="Y77" s="23">
        <f>IF($B77="Entry",IF(LEN(W77)&lt;4,"",IF(UPPER(MID(W77,4,1))="P","Individual",IF(UPPER(MID(W77,4,1))="H","HUF",IF(UPPER(MID(W77,4,1))="C","Company",IF(UPPER(MID(W77,4,1))="F","Firm",IF(UPPER(MID(W77,4,1))="L","LLP",IF(UPPER(MID(W77,4,1))="T","Trust",IF(UPPER(MID(W77,4,1))="A","AOP","")))))))),IF($B77="Challan","",IF(W77&lt;&gt;"","◄ Set Row Type","")))</f>
      </c>
      <c r="Z77" s="28"/>
      <c r="AA77" s="29">
        <f>IF($B77&lt;&gt;"Entry","",IF(Z77="","",IF(X77="Y",SUMPRODUCT(('Rate Lookup'!$A$1:$A$37=Z77)*'Rate Lookup'!$D$1:$D$37),IF(OR(Y77="Individual",Y77="HUF"),SUMPRODUCT(('Rate Lookup'!$A$1:$A$37=Z77)*'Rate Lookup'!$B$1:$B$37),SUMPRODUCT(('Rate Lookup'!$A$1:$A$37=Z77)*'Rate Lookup'!$C$1:$C$37)))))</f>
      </c>
      <c r="AB77" s="30"/>
      <c r="AC77" s="31"/>
      <c r="AD77" s="27">
        <f>IF($B77&lt;&gt;"Entry","",ROUND(AC77*AA77/100,0))</f>
      </c>
      <c r="AE77" s="27">
        <f>IF($B77&lt;&gt;"Entry","",0)</f>
      </c>
      <c r="AF77" s="27">
        <f>IF($B77&lt;&gt;"Entry","",0)</f>
      </c>
      <c r="AG77" s="27">
        <f>IF($B77&lt;&gt;"Entry","",IF(OR(AD77=0,AB77="",AQ77="",AQ77&lt;=0),0,IF(AQ77&lt;=DATE(YEAR(AB77),MONTH(AB77)+1,7),0,ROUND(AD77*0.015*((YEAR(AQ77)-YEAR(AB77))*12+(MONTH(AQ77)-MONTH(AB77))+1),0))))</f>
      </c>
      <c r="AH77" s="27">
        <f>IF($B77&lt;&gt;"Entry","",0)</f>
      </c>
      <c r="AI77" s="28"/>
      <c r="AJ77" s="28"/>
      <c r="AK77" s="32"/>
      <c r="AL77" s="28"/>
      <c r="AM77" s="28"/>
      <c r="AN77" s="27">
        <f>IF($B77&lt;&gt;"Challan","",SUMIF('Q1 Data'!$D$4:$D$207,D77,'Q1 Data'!$AD$4:$AD$207)+SUMIF('Q1 Data'!$D$4:$D$207,D77,'Q1 Data'!$AG$4:$AG$207)+SUMIF('Q1 Data'!$D$4:$D$207,D77,'Q1 Data'!$AE$4:$AE$207)+SUMIF('Q2 Data'!$D$4:$D$207,D77,'Q2 Data'!$AD$4:$AD$207)+SUMIF('Q2 Data'!$D$4:$D$207,D77,'Q2 Data'!$AG$4:$AG$207)+SUMIF('Q2 Data'!$D$4:$D$207,D77,'Q2 Data'!$AE$4:$AE$207)+SUMIF('Q3 Data'!$D$4:$D$207,D77,'Q3 Data'!$AD$4:$AD$207)+SUMIF('Q3 Data'!$D$4:$D$207,D77,'Q3 Data'!$AG$4:$AG$207)+SUMIF('Q3 Data'!$D$4:$D$207,D77,'Q3 Data'!$AE$4:$AE$207)+SUMIF('Q4 Data'!$D$4:$D$207,D77,'Q4 Data'!$AD$4:$AD$207)+SUMIF('Q4 Data'!$D$4:$D$207,D77,'Q4 Data'!$AG$4:$AG$207)+SUMIF('Q4 Data'!$D$4:$D$207,D77,'Q4 Data'!$AE$4:$AE$207))</f>
      </c>
      <c r="AO77" s="27">
        <f>IF($B77&lt;&gt;"Challan","",P77-N77)</f>
      </c>
      <c r="AP77" s="27">
        <f>IF($B77&lt;&gt;"Challan","",MAX(0,AO77-AN77))</f>
      </c>
      <c r="AQ77" s="33">
        <f>IF($B77&lt;&gt;"Entry","",SUMPRODUCT(('Q1 Data'!$D$4:$D$207=D77)*('Q1 Data'!$B$4:$B$207="Challan")*'Q1 Data'!$F$4:$F$207)+SUMPRODUCT(('Q2 Data'!$D$4:$D$207=D77)*('Q2 Data'!$B$4:$B$207="Challan")*'Q2 Data'!$F$4:$F$207)+SUMPRODUCT(('Q3 Data'!$D$4:$D$207=D77)*('Q3 Data'!$B$4:$B$207="Challan")*'Q3 Data'!$F$4:$F$207)+SUMPRODUCT(('Q4 Data'!$D$4:$D$207=D77)*('Q4 Data'!$B$4:$B$207="Challan")*'Q4 Data'!$F$4:$F$207))</f>
      </c>
      <c r="AR77" s="34">
        <f>IF(OR($B77&lt;&gt;"Entry",Z77=""),FALSE,AND((SUMPRODUCT(('Q1 Data'!$D$4:$D$207=D77)*('Q1 Data'!$B$4:$B$207="Challan")*('Q1 Data'!$H$4:$H$207&lt;&gt;""))+SUMPRODUCT(('Q2 Data'!$D$4:$D$207=D77)*('Q2 Data'!$B$4:$B$207="Challan")*('Q2 Data'!$H$4:$H$207&lt;&gt;""))+SUMPRODUCT(('Q3 Data'!$D$4:$D$207=D77)*('Q3 Data'!$B$4:$B$207="Challan")*('Q3 Data'!$H$4:$H$207&lt;&gt;""))+SUMPRODUCT(('Q4 Data'!$D$4:$D$207=D77)*('Q4 Data'!$B$4:$B$207="Challan")*('Q4 Data'!$H$4:$H$207&lt;&gt;"")))&gt;0,(SUMPRODUCT(('Q1 Data'!$D$4:$D$207=D77)*('Q1 Data'!$B$4:$B$207="Challan")*('Q1 Data'!$H$4:$H$207=Z77))+SUMPRODUCT(('Q2 Data'!$D$4:$D$207=D77)*('Q2 Data'!$B$4:$B$207="Challan")*('Q2 Data'!$H$4:$H$207=Z77))+SUMPRODUCT(('Q3 Data'!$D$4:$D$207=D77)*('Q3 Data'!$B$4:$B$207="Challan")*('Q3 Data'!$H$4:$H$207=Z77))+SUMPRODUCT(('Q4 Data'!$D$4:$D$207=D77)*('Q4 Data'!$B$4:$B$207="Challan")*('Q4 Data'!$H$4:$H$207=Z77)))=0))</f>
      </c>
    </row>
    <row r="78" spans="1:44" x14ac:dyDescent="0.25">
      <c r="A78" s="20">
        <f>IF($B78="Entry",COUNTIF($B$4:$B78,"Entry"),"")</f>
      </c>
      <c r="B78" s="21"/>
      <c r="C78" s="22"/>
      <c r="D78" s="22"/>
      <c r="E78" s="23">
        <f>IF($B78&lt;&gt;"Challan","",IF(ROUND(AN78-AO78,2)&gt;0,"Over-applied",IF(ROUND(AN78-AO78,2)=0,"Fully Utilised","Unconsumed")))</f>
      </c>
      <c r="F78" s="24"/>
      <c r="G78" s="25"/>
      <c r="H78" s="25"/>
      <c r="I78" s="26"/>
      <c r="J78" s="26"/>
      <c r="K78" s="26"/>
      <c r="L78" s="26"/>
      <c r="M78" s="26"/>
      <c r="N78" s="26"/>
      <c r="O78" s="26"/>
      <c r="P78" s="27">
        <f>IF($B78&lt;&gt;"Challan","",I78+J78+K78+L78+M78+N78)</f>
      </c>
      <c r="Q78" s="25"/>
      <c r="R78" s="25"/>
      <c r="S78" s="25"/>
      <c r="T78" s="25"/>
      <c r="U78" s="25"/>
      <c r="V78" s="28"/>
      <c r="W78" s="28"/>
      <c r="X78" s="23">
        <f>IF($B78="Entry",IF(AND(LEN(TRIM(UPPER(W78)))=10,CODE(MID(TRIM(UPPER(W78)),1,1))&gt;=65,CODE(MID(TRIM(UPPER(W78)),1,1))&lt;=90,CODE(MID(TRIM(UPPER(W78)),2,1))&gt;=65,CODE(MID(TRIM(UPPER(W78)),2,1))&lt;=90,CODE(MID(TRIM(UPPER(W78)),3,1))&gt;=65,CODE(MID(TRIM(UPPER(W78)),3,1))&lt;=90,CODE(MID(TRIM(UPPER(W78)),4,1))&gt;=65,CODE(MID(TRIM(UPPER(W78)),4,1))&lt;=90,CODE(MID(TRIM(UPPER(W78)),5,1))&gt;=65,CODE(MID(TRIM(UPPER(W78)),5,1))&lt;=90,CODE(MID(TRIM(UPPER(W78)),10,1))&gt;=65,CODE(MID(TRIM(UPPER(W78)),10,1))&lt;=90,CODE(MID(TRIM(UPPER(W78)),6,1))&gt;=48,CODE(MID(TRIM(UPPER(W78)),6,1))&lt;=57,CODE(MID(TRIM(UPPER(W78)),7,1))&gt;=48,CODE(MID(TRIM(UPPER(W78)),7,1))&lt;=57,CODE(MID(TRIM(UPPER(W78)),8,1))&gt;=48,CODE(MID(TRIM(UPPER(W78)),8,1))&lt;=57,CODE(MID(TRIM(UPPER(W78)),9,1))&gt;=48,CODE(MID(TRIM(UPPER(W78)),9,1))&lt;=57),"N","Y"),IF($B78="Challan","",IF(W78&lt;&gt;"","◄ Set Row Type","")))</f>
      </c>
      <c r="Y78" s="23">
        <f>IF($B78="Entry",IF(LEN(W78)&lt;4,"",IF(UPPER(MID(W78,4,1))="P","Individual",IF(UPPER(MID(W78,4,1))="H","HUF",IF(UPPER(MID(W78,4,1))="C","Company",IF(UPPER(MID(W78,4,1))="F","Firm",IF(UPPER(MID(W78,4,1))="L","LLP",IF(UPPER(MID(W78,4,1))="T","Trust",IF(UPPER(MID(W78,4,1))="A","AOP","")))))))),IF($B78="Challan","",IF(W78&lt;&gt;"","◄ Set Row Type","")))</f>
      </c>
      <c r="Z78" s="28"/>
      <c r="AA78" s="29">
        <f>IF($B78&lt;&gt;"Entry","",IF(Z78="","",IF(X78="Y",SUMPRODUCT(('Rate Lookup'!$A$1:$A$37=Z78)*'Rate Lookup'!$D$1:$D$37),IF(OR(Y78="Individual",Y78="HUF"),SUMPRODUCT(('Rate Lookup'!$A$1:$A$37=Z78)*'Rate Lookup'!$B$1:$B$37),SUMPRODUCT(('Rate Lookup'!$A$1:$A$37=Z78)*'Rate Lookup'!$C$1:$C$37)))))</f>
      </c>
      <c r="AB78" s="30"/>
      <c r="AC78" s="31"/>
      <c r="AD78" s="27">
        <f>IF($B78&lt;&gt;"Entry","",ROUND(AC78*AA78/100,0))</f>
      </c>
      <c r="AE78" s="27">
        <f>IF($B78&lt;&gt;"Entry","",0)</f>
      </c>
      <c r="AF78" s="27">
        <f>IF($B78&lt;&gt;"Entry","",0)</f>
      </c>
      <c r="AG78" s="27">
        <f>IF($B78&lt;&gt;"Entry","",IF(OR(AD78=0,AB78="",AQ78="",AQ78&lt;=0),0,IF(AQ78&lt;=DATE(YEAR(AB78),MONTH(AB78)+1,7),0,ROUND(AD78*0.015*((YEAR(AQ78)-YEAR(AB78))*12+(MONTH(AQ78)-MONTH(AB78))+1),0))))</f>
      </c>
      <c r="AH78" s="27">
        <f>IF($B78&lt;&gt;"Entry","",0)</f>
      </c>
      <c r="AI78" s="28"/>
      <c r="AJ78" s="28"/>
      <c r="AK78" s="32"/>
      <c r="AL78" s="28"/>
      <c r="AM78" s="28"/>
      <c r="AN78" s="27">
        <f>IF($B78&lt;&gt;"Challan","",SUMIF('Q1 Data'!$D$4:$D$207,D78,'Q1 Data'!$AD$4:$AD$207)+SUMIF('Q1 Data'!$D$4:$D$207,D78,'Q1 Data'!$AG$4:$AG$207)+SUMIF('Q1 Data'!$D$4:$D$207,D78,'Q1 Data'!$AE$4:$AE$207)+SUMIF('Q2 Data'!$D$4:$D$207,D78,'Q2 Data'!$AD$4:$AD$207)+SUMIF('Q2 Data'!$D$4:$D$207,D78,'Q2 Data'!$AG$4:$AG$207)+SUMIF('Q2 Data'!$D$4:$D$207,D78,'Q2 Data'!$AE$4:$AE$207)+SUMIF('Q3 Data'!$D$4:$D$207,D78,'Q3 Data'!$AD$4:$AD$207)+SUMIF('Q3 Data'!$D$4:$D$207,D78,'Q3 Data'!$AG$4:$AG$207)+SUMIF('Q3 Data'!$D$4:$D$207,D78,'Q3 Data'!$AE$4:$AE$207)+SUMIF('Q4 Data'!$D$4:$D$207,D78,'Q4 Data'!$AD$4:$AD$207)+SUMIF('Q4 Data'!$D$4:$D$207,D78,'Q4 Data'!$AG$4:$AG$207)+SUMIF('Q4 Data'!$D$4:$D$207,D78,'Q4 Data'!$AE$4:$AE$207))</f>
      </c>
      <c r="AO78" s="27">
        <f>IF($B78&lt;&gt;"Challan","",P78-N78)</f>
      </c>
      <c r="AP78" s="27">
        <f>IF($B78&lt;&gt;"Challan","",MAX(0,AO78-AN78))</f>
      </c>
      <c r="AQ78" s="33">
        <f>IF($B78&lt;&gt;"Entry","",SUMPRODUCT(('Q1 Data'!$D$4:$D$207=D78)*('Q1 Data'!$B$4:$B$207="Challan")*'Q1 Data'!$F$4:$F$207)+SUMPRODUCT(('Q2 Data'!$D$4:$D$207=D78)*('Q2 Data'!$B$4:$B$207="Challan")*'Q2 Data'!$F$4:$F$207)+SUMPRODUCT(('Q3 Data'!$D$4:$D$207=D78)*('Q3 Data'!$B$4:$B$207="Challan")*'Q3 Data'!$F$4:$F$207)+SUMPRODUCT(('Q4 Data'!$D$4:$D$207=D78)*('Q4 Data'!$B$4:$B$207="Challan")*'Q4 Data'!$F$4:$F$207))</f>
      </c>
      <c r="AR78" s="34">
        <f>IF(OR($B78&lt;&gt;"Entry",Z78=""),FALSE,AND((SUMPRODUCT(('Q1 Data'!$D$4:$D$207=D78)*('Q1 Data'!$B$4:$B$207="Challan")*('Q1 Data'!$H$4:$H$207&lt;&gt;""))+SUMPRODUCT(('Q2 Data'!$D$4:$D$207=D78)*('Q2 Data'!$B$4:$B$207="Challan")*('Q2 Data'!$H$4:$H$207&lt;&gt;""))+SUMPRODUCT(('Q3 Data'!$D$4:$D$207=D78)*('Q3 Data'!$B$4:$B$207="Challan")*('Q3 Data'!$H$4:$H$207&lt;&gt;""))+SUMPRODUCT(('Q4 Data'!$D$4:$D$207=D78)*('Q4 Data'!$B$4:$B$207="Challan")*('Q4 Data'!$H$4:$H$207&lt;&gt;"")))&gt;0,(SUMPRODUCT(('Q1 Data'!$D$4:$D$207=D78)*('Q1 Data'!$B$4:$B$207="Challan")*('Q1 Data'!$H$4:$H$207=Z78))+SUMPRODUCT(('Q2 Data'!$D$4:$D$207=D78)*('Q2 Data'!$B$4:$B$207="Challan")*('Q2 Data'!$H$4:$H$207=Z78))+SUMPRODUCT(('Q3 Data'!$D$4:$D$207=D78)*('Q3 Data'!$B$4:$B$207="Challan")*('Q3 Data'!$H$4:$H$207=Z78))+SUMPRODUCT(('Q4 Data'!$D$4:$D$207=D78)*('Q4 Data'!$B$4:$B$207="Challan")*('Q4 Data'!$H$4:$H$207=Z78)))=0))</f>
      </c>
    </row>
    <row r="79" spans="1:44" x14ac:dyDescent="0.25">
      <c r="A79" s="20">
        <f>IF($B79="Entry",COUNTIF($B$4:$B79,"Entry"),"")</f>
      </c>
      <c r="B79" s="21"/>
      <c r="C79" s="22"/>
      <c r="D79" s="22"/>
      <c r="E79" s="23">
        <f>IF($B79&lt;&gt;"Challan","",IF(ROUND(AN79-AO79,2)&gt;0,"Over-applied",IF(ROUND(AN79-AO79,2)=0,"Fully Utilised","Unconsumed")))</f>
      </c>
      <c r="F79" s="24"/>
      <c r="G79" s="25"/>
      <c r="H79" s="25"/>
      <c r="I79" s="26"/>
      <c r="J79" s="26"/>
      <c r="K79" s="26"/>
      <c r="L79" s="26"/>
      <c r="M79" s="26"/>
      <c r="N79" s="26"/>
      <c r="O79" s="26"/>
      <c r="P79" s="27">
        <f>IF($B79&lt;&gt;"Challan","",I79+J79+K79+L79+M79+N79)</f>
      </c>
      <c r="Q79" s="25"/>
      <c r="R79" s="25"/>
      <c r="S79" s="25"/>
      <c r="T79" s="25"/>
      <c r="U79" s="25"/>
      <c r="V79" s="28"/>
      <c r="W79" s="28"/>
      <c r="X79" s="23">
        <f>IF($B79="Entry",IF(AND(LEN(TRIM(UPPER(W79)))=10,CODE(MID(TRIM(UPPER(W79)),1,1))&gt;=65,CODE(MID(TRIM(UPPER(W79)),1,1))&lt;=90,CODE(MID(TRIM(UPPER(W79)),2,1))&gt;=65,CODE(MID(TRIM(UPPER(W79)),2,1))&lt;=90,CODE(MID(TRIM(UPPER(W79)),3,1))&gt;=65,CODE(MID(TRIM(UPPER(W79)),3,1))&lt;=90,CODE(MID(TRIM(UPPER(W79)),4,1))&gt;=65,CODE(MID(TRIM(UPPER(W79)),4,1))&lt;=90,CODE(MID(TRIM(UPPER(W79)),5,1))&gt;=65,CODE(MID(TRIM(UPPER(W79)),5,1))&lt;=90,CODE(MID(TRIM(UPPER(W79)),10,1))&gt;=65,CODE(MID(TRIM(UPPER(W79)),10,1))&lt;=90,CODE(MID(TRIM(UPPER(W79)),6,1))&gt;=48,CODE(MID(TRIM(UPPER(W79)),6,1))&lt;=57,CODE(MID(TRIM(UPPER(W79)),7,1))&gt;=48,CODE(MID(TRIM(UPPER(W79)),7,1))&lt;=57,CODE(MID(TRIM(UPPER(W79)),8,1))&gt;=48,CODE(MID(TRIM(UPPER(W79)),8,1))&lt;=57,CODE(MID(TRIM(UPPER(W79)),9,1))&gt;=48,CODE(MID(TRIM(UPPER(W79)),9,1))&lt;=57),"N","Y"),IF($B79="Challan","",IF(W79&lt;&gt;"","◄ Set Row Type","")))</f>
      </c>
      <c r="Y79" s="23">
        <f>IF($B79="Entry",IF(LEN(W79)&lt;4,"",IF(UPPER(MID(W79,4,1))="P","Individual",IF(UPPER(MID(W79,4,1))="H","HUF",IF(UPPER(MID(W79,4,1))="C","Company",IF(UPPER(MID(W79,4,1))="F","Firm",IF(UPPER(MID(W79,4,1))="L","LLP",IF(UPPER(MID(W79,4,1))="T","Trust",IF(UPPER(MID(W79,4,1))="A","AOP","")))))))),IF($B79="Challan","",IF(W79&lt;&gt;"","◄ Set Row Type","")))</f>
      </c>
      <c r="Z79" s="28"/>
      <c r="AA79" s="29">
        <f>IF($B79&lt;&gt;"Entry","",IF(Z79="","",IF(X79="Y",SUMPRODUCT(('Rate Lookup'!$A$1:$A$37=Z79)*'Rate Lookup'!$D$1:$D$37),IF(OR(Y79="Individual",Y79="HUF"),SUMPRODUCT(('Rate Lookup'!$A$1:$A$37=Z79)*'Rate Lookup'!$B$1:$B$37),SUMPRODUCT(('Rate Lookup'!$A$1:$A$37=Z79)*'Rate Lookup'!$C$1:$C$37)))))</f>
      </c>
      <c r="AB79" s="30"/>
      <c r="AC79" s="31"/>
      <c r="AD79" s="27">
        <f>IF($B79&lt;&gt;"Entry","",ROUND(AC79*AA79/100,0))</f>
      </c>
      <c r="AE79" s="27">
        <f>IF($B79&lt;&gt;"Entry","",0)</f>
      </c>
      <c r="AF79" s="27">
        <f>IF($B79&lt;&gt;"Entry","",0)</f>
      </c>
      <c r="AG79" s="27">
        <f>IF($B79&lt;&gt;"Entry","",IF(OR(AD79=0,AB79="",AQ79="",AQ79&lt;=0),0,IF(AQ79&lt;=DATE(YEAR(AB79),MONTH(AB79)+1,7),0,ROUND(AD79*0.015*((YEAR(AQ79)-YEAR(AB79))*12+(MONTH(AQ79)-MONTH(AB79))+1),0))))</f>
      </c>
      <c r="AH79" s="27">
        <f>IF($B79&lt;&gt;"Entry","",0)</f>
      </c>
      <c r="AI79" s="28"/>
      <c r="AJ79" s="28"/>
      <c r="AK79" s="32"/>
      <c r="AL79" s="28"/>
      <c r="AM79" s="28"/>
      <c r="AN79" s="27">
        <f>IF($B79&lt;&gt;"Challan","",SUMIF('Q1 Data'!$D$4:$D$207,D79,'Q1 Data'!$AD$4:$AD$207)+SUMIF('Q1 Data'!$D$4:$D$207,D79,'Q1 Data'!$AG$4:$AG$207)+SUMIF('Q1 Data'!$D$4:$D$207,D79,'Q1 Data'!$AE$4:$AE$207)+SUMIF('Q2 Data'!$D$4:$D$207,D79,'Q2 Data'!$AD$4:$AD$207)+SUMIF('Q2 Data'!$D$4:$D$207,D79,'Q2 Data'!$AG$4:$AG$207)+SUMIF('Q2 Data'!$D$4:$D$207,D79,'Q2 Data'!$AE$4:$AE$207)+SUMIF('Q3 Data'!$D$4:$D$207,D79,'Q3 Data'!$AD$4:$AD$207)+SUMIF('Q3 Data'!$D$4:$D$207,D79,'Q3 Data'!$AG$4:$AG$207)+SUMIF('Q3 Data'!$D$4:$D$207,D79,'Q3 Data'!$AE$4:$AE$207)+SUMIF('Q4 Data'!$D$4:$D$207,D79,'Q4 Data'!$AD$4:$AD$207)+SUMIF('Q4 Data'!$D$4:$D$207,D79,'Q4 Data'!$AG$4:$AG$207)+SUMIF('Q4 Data'!$D$4:$D$207,D79,'Q4 Data'!$AE$4:$AE$207))</f>
      </c>
      <c r="AO79" s="27">
        <f>IF($B79&lt;&gt;"Challan","",P79-N79)</f>
      </c>
      <c r="AP79" s="27">
        <f>IF($B79&lt;&gt;"Challan","",MAX(0,AO79-AN79))</f>
      </c>
      <c r="AQ79" s="33">
        <f>IF($B79&lt;&gt;"Entry","",SUMPRODUCT(('Q1 Data'!$D$4:$D$207=D79)*('Q1 Data'!$B$4:$B$207="Challan")*'Q1 Data'!$F$4:$F$207)+SUMPRODUCT(('Q2 Data'!$D$4:$D$207=D79)*('Q2 Data'!$B$4:$B$207="Challan")*'Q2 Data'!$F$4:$F$207)+SUMPRODUCT(('Q3 Data'!$D$4:$D$207=D79)*('Q3 Data'!$B$4:$B$207="Challan")*'Q3 Data'!$F$4:$F$207)+SUMPRODUCT(('Q4 Data'!$D$4:$D$207=D79)*('Q4 Data'!$B$4:$B$207="Challan")*'Q4 Data'!$F$4:$F$207))</f>
      </c>
      <c r="AR79" s="34">
        <f>IF(OR($B79&lt;&gt;"Entry",Z79=""),FALSE,AND((SUMPRODUCT(('Q1 Data'!$D$4:$D$207=D79)*('Q1 Data'!$B$4:$B$207="Challan")*('Q1 Data'!$H$4:$H$207&lt;&gt;""))+SUMPRODUCT(('Q2 Data'!$D$4:$D$207=D79)*('Q2 Data'!$B$4:$B$207="Challan")*('Q2 Data'!$H$4:$H$207&lt;&gt;""))+SUMPRODUCT(('Q3 Data'!$D$4:$D$207=D79)*('Q3 Data'!$B$4:$B$207="Challan")*('Q3 Data'!$H$4:$H$207&lt;&gt;""))+SUMPRODUCT(('Q4 Data'!$D$4:$D$207=D79)*('Q4 Data'!$B$4:$B$207="Challan")*('Q4 Data'!$H$4:$H$207&lt;&gt;"")))&gt;0,(SUMPRODUCT(('Q1 Data'!$D$4:$D$207=D79)*('Q1 Data'!$B$4:$B$207="Challan")*('Q1 Data'!$H$4:$H$207=Z79))+SUMPRODUCT(('Q2 Data'!$D$4:$D$207=D79)*('Q2 Data'!$B$4:$B$207="Challan")*('Q2 Data'!$H$4:$H$207=Z79))+SUMPRODUCT(('Q3 Data'!$D$4:$D$207=D79)*('Q3 Data'!$B$4:$B$207="Challan")*('Q3 Data'!$H$4:$H$207=Z79))+SUMPRODUCT(('Q4 Data'!$D$4:$D$207=D79)*('Q4 Data'!$B$4:$B$207="Challan")*('Q4 Data'!$H$4:$H$207=Z79)))=0))</f>
      </c>
    </row>
    <row r="80" spans="1:44" x14ac:dyDescent="0.25">
      <c r="A80" s="20">
        <f>IF($B80="Entry",COUNTIF($B$4:$B80,"Entry"),"")</f>
      </c>
      <c r="B80" s="21"/>
      <c r="C80" s="22"/>
      <c r="D80" s="22"/>
      <c r="E80" s="23">
        <f>IF($B80&lt;&gt;"Challan","",IF(ROUND(AN80-AO80,2)&gt;0,"Over-applied",IF(ROUND(AN80-AO80,2)=0,"Fully Utilised","Unconsumed")))</f>
      </c>
      <c r="F80" s="24"/>
      <c r="G80" s="25"/>
      <c r="H80" s="25"/>
      <c r="I80" s="26"/>
      <c r="J80" s="26"/>
      <c r="K80" s="26"/>
      <c r="L80" s="26"/>
      <c r="M80" s="26"/>
      <c r="N80" s="26"/>
      <c r="O80" s="26"/>
      <c r="P80" s="27">
        <f>IF($B80&lt;&gt;"Challan","",I80+J80+K80+L80+M80+N80)</f>
      </c>
      <c r="Q80" s="25"/>
      <c r="R80" s="25"/>
      <c r="S80" s="25"/>
      <c r="T80" s="25"/>
      <c r="U80" s="25"/>
      <c r="V80" s="28"/>
      <c r="W80" s="28"/>
      <c r="X80" s="23">
        <f>IF($B80="Entry",IF(AND(LEN(TRIM(UPPER(W80)))=10,CODE(MID(TRIM(UPPER(W80)),1,1))&gt;=65,CODE(MID(TRIM(UPPER(W80)),1,1))&lt;=90,CODE(MID(TRIM(UPPER(W80)),2,1))&gt;=65,CODE(MID(TRIM(UPPER(W80)),2,1))&lt;=90,CODE(MID(TRIM(UPPER(W80)),3,1))&gt;=65,CODE(MID(TRIM(UPPER(W80)),3,1))&lt;=90,CODE(MID(TRIM(UPPER(W80)),4,1))&gt;=65,CODE(MID(TRIM(UPPER(W80)),4,1))&lt;=90,CODE(MID(TRIM(UPPER(W80)),5,1))&gt;=65,CODE(MID(TRIM(UPPER(W80)),5,1))&lt;=90,CODE(MID(TRIM(UPPER(W80)),10,1))&gt;=65,CODE(MID(TRIM(UPPER(W80)),10,1))&lt;=90,CODE(MID(TRIM(UPPER(W80)),6,1))&gt;=48,CODE(MID(TRIM(UPPER(W80)),6,1))&lt;=57,CODE(MID(TRIM(UPPER(W80)),7,1))&gt;=48,CODE(MID(TRIM(UPPER(W80)),7,1))&lt;=57,CODE(MID(TRIM(UPPER(W80)),8,1))&gt;=48,CODE(MID(TRIM(UPPER(W80)),8,1))&lt;=57,CODE(MID(TRIM(UPPER(W80)),9,1))&gt;=48,CODE(MID(TRIM(UPPER(W80)),9,1))&lt;=57),"N","Y"),IF($B80="Challan","",IF(W80&lt;&gt;"","◄ Set Row Type","")))</f>
      </c>
      <c r="Y80" s="23">
        <f>IF($B80="Entry",IF(LEN(W80)&lt;4,"",IF(UPPER(MID(W80,4,1))="P","Individual",IF(UPPER(MID(W80,4,1))="H","HUF",IF(UPPER(MID(W80,4,1))="C","Company",IF(UPPER(MID(W80,4,1))="F","Firm",IF(UPPER(MID(W80,4,1))="L","LLP",IF(UPPER(MID(W80,4,1))="T","Trust",IF(UPPER(MID(W80,4,1))="A","AOP","")))))))),IF($B80="Challan","",IF(W80&lt;&gt;"","◄ Set Row Type","")))</f>
      </c>
      <c r="Z80" s="28"/>
      <c r="AA80" s="29">
        <f>IF($B80&lt;&gt;"Entry","",IF(Z80="","",IF(X80="Y",SUMPRODUCT(('Rate Lookup'!$A$1:$A$37=Z80)*'Rate Lookup'!$D$1:$D$37),IF(OR(Y80="Individual",Y80="HUF"),SUMPRODUCT(('Rate Lookup'!$A$1:$A$37=Z80)*'Rate Lookup'!$B$1:$B$37),SUMPRODUCT(('Rate Lookup'!$A$1:$A$37=Z80)*'Rate Lookup'!$C$1:$C$37)))))</f>
      </c>
      <c r="AB80" s="30"/>
      <c r="AC80" s="31"/>
      <c r="AD80" s="27">
        <f>IF($B80&lt;&gt;"Entry","",ROUND(AC80*AA80/100,0))</f>
      </c>
      <c r="AE80" s="27">
        <f>IF($B80&lt;&gt;"Entry","",0)</f>
      </c>
      <c r="AF80" s="27">
        <f>IF($B80&lt;&gt;"Entry","",0)</f>
      </c>
      <c r="AG80" s="27">
        <f>IF($B80&lt;&gt;"Entry","",IF(OR(AD80=0,AB80="",AQ80="",AQ80&lt;=0),0,IF(AQ80&lt;=DATE(YEAR(AB80),MONTH(AB80)+1,7),0,ROUND(AD80*0.015*((YEAR(AQ80)-YEAR(AB80))*12+(MONTH(AQ80)-MONTH(AB80))+1),0))))</f>
      </c>
      <c r="AH80" s="27">
        <f>IF($B80&lt;&gt;"Entry","",0)</f>
      </c>
      <c r="AI80" s="28"/>
      <c r="AJ80" s="28"/>
      <c r="AK80" s="32"/>
      <c r="AL80" s="28"/>
      <c r="AM80" s="28"/>
      <c r="AN80" s="27">
        <f>IF($B80&lt;&gt;"Challan","",SUMIF('Q1 Data'!$D$4:$D$207,D80,'Q1 Data'!$AD$4:$AD$207)+SUMIF('Q1 Data'!$D$4:$D$207,D80,'Q1 Data'!$AG$4:$AG$207)+SUMIF('Q1 Data'!$D$4:$D$207,D80,'Q1 Data'!$AE$4:$AE$207)+SUMIF('Q2 Data'!$D$4:$D$207,D80,'Q2 Data'!$AD$4:$AD$207)+SUMIF('Q2 Data'!$D$4:$D$207,D80,'Q2 Data'!$AG$4:$AG$207)+SUMIF('Q2 Data'!$D$4:$D$207,D80,'Q2 Data'!$AE$4:$AE$207)+SUMIF('Q3 Data'!$D$4:$D$207,D80,'Q3 Data'!$AD$4:$AD$207)+SUMIF('Q3 Data'!$D$4:$D$207,D80,'Q3 Data'!$AG$4:$AG$207)+SUMIF('Q3 Data'!$D$4:$D$207,D80,'Q3 Data'!$AE$4:$AE$207)+SUMIF('Q4 Data'!$D$4:$D$207,D80,'Q4 Data'!$AD$4:$AD$207)+SUMIF('Q4 Data'!$D$4:$D$207,D80,'Q4 Data'!$AG$4:$AG$207)+SUMIF('Q4 Data'!$D$4:$D$207,D80,'Q4 Data'!$AE$4:$AE$207))</f>
      </c>
      <c r="AO80" s="27">
        <f>IF($B80&lt;&gt;"Challan","",P80-N80)</f>
      </c>
      <c r="AP80" s="27">
        <f>IF($B80&lt;&gt;"Challan","",MAX(0,AO80-AN80))</f>
      </c>
      <c r="AQ80" s="33">
        <f>IF($B80&lt;&gt;"Entry","",SUMPRODUCT(('Q1 Data'!$D$4:$D$207=D80)*('Q1 Data'!$B$4:$B$207="Challan")*'Q1 Data'!$F$4:$F$207)+SUMPRODUCT(('Q2 Data'!$D$4:$D$207=D80)*('Q2 Data'!$B$4:$B$207="Challan")*'Q2 Data'!$F$4:$F$207)+SUMPRODUCT(('Q3 Data'!$D$4:$D$207=D80)*('Q3 Data'!$B$4:$B$207="Challan")*'Q3 Data'!$F$4:$F$207)+SUMPRODUCT(('Q4 Data'!$D$4:$D$207=D80)*('Q4 Data'!$B$4:$B$207="Challan")*'Q4 Data'!$F$4:$F$207))</f>
      </c>
      <c r="AR80" s="34">
        <f>IF(OR($B80&lt;&gt;"Entry",Z80=""),FALSE,AND((SUMPRODUCT(('Q1 Data'!$D$4:$D$207=D80)*('Q1 Data'!$B$4:$B$207="Challan")*('Q1 Data'!$H$4:$H$207&lt;&gt;""))+SUMPRODUCT(('Q2 Data'!$D$4:$D$207=D80)*('Q2 Data'!$B$4:$B$207="Challan")*('Q2 Data'!$H$4:$H$207&lt;&gt;""))+SUMPRODUCT(('Q3 Data'!$D$4:$D$207=D80)*('Q3 Data'!$B$4:$B$207="Challan")*('Q3 Data'!$H$4:$H$207&lt;&gt;""))+SUMPRODUCT(('Q4 Data'!$D$4:$D$207=D80)*('Q4 Data'!$B$4:$B$207="Challan")*('Q4 Data'!$H$4:$H$207&lt;&gt;"")))&gt;0,(SUMPRODUCT(('Q1 Data'!$D$4:$D$207=D80)*('Q1 Data'!$B$4:$B$207="Challan")*('Q1 Data'!$H$4:$H$207=Z80))+SUMPRODUCT(('Q2 Data'!$D$4:$D$207=D80)*('Q2 Data'!$B$4:$B$207="Challan")*('Q2 Data'!$H$4:$H$207=Z80))+SUMPRODUCT(('Q3 Data'!$D$4:$D$207=D80)*('Q3 Data'!$B$4:$B$207="Challan")*('Q3 Data'!$H$4:$H$207=Z80))+SUMPRODUCT(('Q4 Data'!$D$4:$D$207=D80)*('Q4 Data'!$B$4:$B$207="Challan")*('Q4 Data'!$H$4:$H$207=Z80)))=0))</f>
      </c>
    </row>
    <row r="81" spans="1:44" x14ac:dyDescent="0.25">
      <c r="A81" s="20">
        <f>IF($B81="Entry",COUNTIF($B$4:$B81,"Entry"),"")</f>
      </c>
      <c r="B81" s="21"/>
      <c r="C81" s="22"/>
      <c r="D81" s="22"/>
      <c r="E81" s="23">
        <f>IF($B81&lt;&gt;"Challan","",IF(ROUND(AN81-AO81,2)&gt;0,"Over-applied",IF(ROUND(AN81-AO81,2)=0,"Fully Utilised","Unconsumed")))</f>
      </c>
      <c r="F81" s="24"/>
      <c r="G81" s="25"/>
      <c r="H81" s="25"/>
      <c r="I81" s="26"/>
      <c r="J81" s="26"/>
      <c r="K81" s="26"/>
      <c r="L81" s="26"/>
      <c r="M81" s="26"/>
      <c r="N81" s="26"/>
      <c r="O81" s="26"/>
      <c r="P81" s="27">
        <f>IF($B81&lt;&gt;"Challan","",I81+J81+K81+L81+M81+N81)</f>
      </c>
      <c r="Q81" s="25"/>
      <c r="R81" s="25"/>
      <c r="S81" s="25"/>
      <c r="T81" s="25"/>
      <c r="U81" s="25"/>
      <c r="V81" s="28"/>
      <c r="W81" s="28"/>
      <c r="X81" s="23">
        <f>IF($B81="Entry",IF(AND(LEN(TRIM(UPPER(W81)))=10,CODE(MID(TRIM(UPPER(W81)),1,1))&gt;=65,CODE(MID(TRIM(UPPER(W81)),1,1))&lt;=90,CODE(MID(TRIM(UPPER(W81)),2,1))&gt;=65,CODE(MID(TRIM(UPPER(W81)),2,1))&lt;=90,CODE(MID(TRIM(UPPER(W81)),3,1))&gt;=65,CODE(MID(TRIM(UPPER(W81)),3,1))&lt;=90,CODE(MID(TRIM(UPPER(W81)),4,1))&gt;=65,CODE(MID(TRIM(UPPER(W81)),4,1))&lt;=90,CODE(MID(TRIM(UPPER(W81)),5,1))&gt;=65,CODE(MID(TRIM(UPPER(W81)),5,1))&lt;=90,CODE(MID(TRIM(UPPER(W81)),10,1))&gt;=65,CODE(MID(TRIM(UPPER(W81)),10,1))&lt;=90,CODE(MID(TRIM(UPPER(W81)),6,1))&gt;=48,CODE(MID(TRIM(UPPER(W81)),6,1))&lt;=57,CODE(MID(TRIM(UPPER(W81)),7,1))&gt;=48,CODE(MID(TRIM(UPPER(W81)),7,1))&lt;=57,CODE(MID(TRIM(UPPER(W81)),8,1))&gt;=48,CODE(MID(TRIM(UPPER(W81)),8,1))&lt;=57,CODE(MID(TRIM(UPPER(W81)),9,1))&gt;=48,CODE(MID(TRIM(UPPER(W81)),9,1))&lt;=57),"N","Y"),IF($B81="Challan","",IF(W81&lt;&gt;"","◄ Set Row Type","")))</f>
      </c>
      <c r="Y81" s="23">
        <f>IF($B81="Entry",IF(LEN(W81)&lt;4,"",IF(UPPER(MID(W81,4,1))="P","Individual",IF(UPPER(MID(W81,4,1))="H","HUF",IF(UPPER(MID(W81,4,1))="C","Company",IF(UPPER(MID(W81,4,1))="F","Firm",IF(UPPER(MID(W81,4,1))="L","LLP",IF(UPPER(MID(W81,4,1))="T","Trust",IF(UPPER(MID(W81,4,1))="A","AOP","")))))))),IF($B81="Challan","",IF(W81&lt;&gt;"","◄ Set Row Type","")))</f>
      </c>
      <c r="Z81" s="28"/>
      <c r="AA81" s="29">
        <f>IF($B81&lt;&gt;"Entry","",IF(Z81="","",IF(X81="Y",SUMPRODUCT(('Rate Lookup'!$A$1:$A$37=Z81)*'Rate Lookup'!$D$1:$D$37),IF(OR(Y81="Individual",Y81="HUF"),SUMPRODUCT(('Rate Lookup'!$A$1:$A$37=Z81)*'Rate Lookup'!$B$1:$B$37),SUMPRODUCT(('Rate Lookup'!$A$1:$A$37=Z81)*'Rate Lookup'!$C$1:$C$37)))))</f>
      </c>
      <c r="AB81" s="30"/>
      <c r="AC81" s="31"/>
      <c r="AD81" s="27">
        <f>IF($B81&lt;&gt;"Entry","",ROUND(AC81*AA81/100,0))</f>
      </c>
      <c r="AE81" s="27">
        <f>IF($B81&lt;&gt;"Entry","",0)</f>
      </c>
      <c r="AF81" s="27">
        <f>IF($B81&lt;&gt;"Entry","",0)</f>
      </c>
      <c r="AG81" s="27">
        <f>IF($B81&lt;&gt;"Entry","",IF(OR(AD81=0,AB81="",AQ81="",AQ81&lt;=0),0,IF(AQ81&lt;=DATE(YEAR(AB81),MONTH(AB81)+1,7),0,ROUND(AD81*0.015*((YEAR(AQ81)-YEAR(AB81))*12+(MONTH(AQ81)-MONTH(AB81))+1),0))))</f>
      </c>
      <c r="AH81" s="27">
        <f>IF($B81&lt;&gt;"Entry","",0)</f>
      </c>
      <c r="AI81" s="28"/>
      <c r="AJ81" s="28"/>
      <c r="AK81" s="32"/>
      <c r="AL81" s="28"/>
      <c r="AM81" s="28"/>
      <c r="AN81" s="27">
        <f>IF($B81&lt;&gt;"Challan","",SUMIF('Q1 Data'!$D$4:$D$207,D81,'Q1 Data'!$AD$4:$AD$207)+SUMIF('Q1 Data'!$D$4:$D$207,D81,'Q1 Data'!$AG$4:$AG$207)+SUMIF('Q1 Data'!$D$4:$D$207,D81,'Q1 Data'!$AE$4:$AE$207)+SUMIF('Q2 Data'!$D$4:$D$207,D81,'Q2 Data'!$AD$4:$AD$207)+SUMIF('Q2 Data'!$D$4:$D$207,D81,'Q2 Data'!$AG$4:$AG$207)+SUMIF('Q2 Data'!$D$4:$D$207,D81,'Q2 Data'!$AE$4:$AE$207)+SUMIF('Q3 Data'!$D$4:$D$207,D81,'Q3 Data'!$AD$4:$AD$207)+SUMIF('Q3 Data'!$D$4:$D$207,D81,'Q3 Data'!$AG$4:$AG$207)+SUMIF('Q3 Data'!$D$4:$D$207,D81,'Q3 Data'!$AE$4:$AE$207)+SUMIF('Q4 Data'!$D$4:$D$207,D81,'Q4 Data'!$AD$4:$AD$207)+SUMIF('Q4 Data'!$D$4:$D$207,D81,'Q4 Data'!$AG$4:$AG$207)+SUMIF('Q4 Data'!$D$4:$D$207,D81,'Q4 Data'!$AE$4:$AE$207))</f>
      </c>
      <c r="AO81" s="27">
        <f>IF($B81&lt;&gt;"Challan","",P81-N81)</f>
      </c>
      <c r="AP81" s="27">
        <f>IF($B81&lt;&gt;"Challan","",MAX(0,AO81-AN81))</f>
      </c>
      <c r="AQ81" s="33">
        <f>IF($B81&lt;&gt;"Entry","",SUMPRODUCT(('Q1 Data'!$D$4:$D$207=D81)*('Q1 Data'!$B$4:$B$207="Challan")*'Q1 Data'!$F$4:$F$207)+SUMPRODUCT(('Q2 Data'!$D$4:$D$207=D81)*('Q2 Data'!$B$4:$B$207="Challan")*'Q2 Data'!$F$4:$F$207)+SUMPRODUCT(('Q3 Data'!$D$4:$D$207=D81)*('Q3 Data'!$B$4:$B$207="Challan")*'Q3 Data'!$F$4:$F$207)+SUMPRODUCT(('Q4 Data'!$D$4:$D$207=D81)*('Q4 Data'!$B$4:$B$207="Challan")*'Q4 Data'!$F$4:$F$207))</f>
      </c>
      <c r="AR81" s="34">
        <f>IF(OR($B81&lt;&gt;"Entry",Z81=""),FALSE,AND((SUMPRODUCT(('Q1 Data'!$D$4:$D$207=D81)*('Q1 Data'!$B$4:$B$207="Challan")*('Q1 Data'!$H$4:$H$207&lt;&gt;""))+SUMPRODUCT(('Q2 Data'!$D$4:$D$207=D81)*('Q2 Data'!$B$4:$B$207="Challan")*('Q2 Data'!$H$4:$H$207&lt;&gt;""))+SUMPRODUCT(('Q3 Data'!$D$4:$D$207=D81)*('Q3 Data'!$B$4:$B$207="Challan")*('Q3 Data'!$H$4:$H$207&lt;&gt;""))+SUMPRODUCT(('Q4 Data'!$D$4:$D$207=D81)*('Q4 Data'!$B$4:$B$207="Challan")*('Q4 Data'!$H$4:$H$207&lt;&gt;"")))&gt;0,(SUMPRODUCT(('Q1 Data'!$D$4:$D$207=D81)*('Q1 Data'!$B$4:$B$207="Challan")*('Q1 Data'!$H$4:$H$207=Z81))+SUMPRODUCT(('Q2 Data'!$D$4:$D$207=D81)*('Q2 Data'!$B$4:$B$207="Challan")*('Q2 Data'!$H$4:$H$207=Z81))+SUMPRODUCT(('Q3 Data'!$D$4:$D$207=D81)*('Q3 Data'!$B$4:$B$207="Challan")*('Q3 Data'!$H$4:$H$207=Z81))+SUMPRODUCT(('Q4 Data'!$D$4:$D$207=D81)*('Q4 Data'!$B$4:$B$207="Challan")*('Q4 Data'!$H$4:$H$207=Z81)))=0))</f>
      </c>
    </row>
    <row r="82" spans="1:44" x14ac:dyDescent="0.25">
      <c r="A82" s="20">
        <f>IF($B82="Entry",COUNTIF($B$4:$B82,"Entry"),"")</f>
      </c>
      <c r="B82" s="21"/>
      <c r="C82" s="22"/>
      <c r="D82" s="22"/>
      <c r="E82" s="23">
        <f>IF($B82&lt;&gt;"Challan","",IF(ROUND(AN82-AO82,2)&gt;0,"Over-applied",IF(ROUND(AN82-AO82,2)=0,"Fully Utilised","Unconsumed")))</f>
      </c>
      <c r="F82" s="24"/>
      <c r="G82" s="25"/>
      <c r="H82" s="25"/>
      <c r="I82" s="26"/>
      <c r="J82" s="26"/>
      <c r="K82" s="26"/>
      <c r="L82" s="26"/>
      <c r="M82" s="26"/>
      <c r="N82" s="26"/>
      <c r="O82" s="26"/>
      <c r="P82" s="27">
        <f>IF($B82&lt;&gt;"Challan","",I82+J82+K82+L82+M82+N82)</f>
      </c>
      <c r="Q82" s="25"/>
      <c r="R82" s="25"/>
      <c r="S82" s="25"/>
      <c r="T82" s="25"/>
      <c r="U82" s="25"/>
      <c r="V82" s="28"/>
      <c r="W82" s="28"/>
      <c r="X82" s="23">
        <f>IF($B82="Entry",IF(AND(LEN(TRIM(UPPER(W82)))=10,CODE(MID(TRIM(UPPER(W82)),1,1))&gt;=65,CODE(MID(TRIM(UPPER(W82)),1,1))&lt;=90,CODE(MID(TRIM(UPPER(W82)),2,1))&gt;=65,CODE(MID(TRIM(UPPER(W82)),2,1))&lt;=90,CODE(MID(TRIM(UPPER(W82)),3,1))&gt;=65,CODE(MID(TRIM(UPPER(W82)),3,1))&lt;=90,CODE(MID(TRIM(UPPER(W82)),4,1))&gt;=65,CODE(MID(TRIM(UPPER(W82)),4,1))&lt;=90,CODE(MID(TRIM(UPPER(W82)),5,1))&gt;=65,CODE(MID(TRIM(UPPER(W82)),5,1))&lt;=90,CODE(MID(TRIM(UPPER(W82)),10,1))&gt;=65,CODE(MID(TRIM(UPPER(W82)),10,1))&lt;=90,CODE(MID(TRIM(UPPER(W82)),6,1))&gt;=48,CODE(MID(TRIM(UPPER(W82)),6,1))&lt;=57,CODE(MID(TRIM(UPPER(W82)),7,1))&gt;=48,CODE(MID(TRIM(UPPER(W82)),7,1))&lt;=57,CODE(MID(TRIM(UPPER(W82)),8,1))&gt;=48,CODE(MID(TRIM(UPPER(W82)),8,1))&lt;=57,CODE(MID(TRIM(UPPER(W82)),9,1))&gt;=48,CODE(MID(TRIM(UPPER(W82)),9,1))&lt;=57),"N","Y"),IF($B82="Challan","",IF(W82&lt;&gt;"","◄ Set Row Type","")))</f>
      </c>
      <c r="Y82" s="23">
        <f>IF($B82="Entry",IF(LEN(W82)&lt;4,"",IF(UPPER(MID(W82,4,1))="P","Individual",IF(UPPER(MID(W82,4,1))="H","HUF",IF(UPPER(MID(W82,4,1))="C","Company",IF(UPPER(MID(W82,4,1))="F","Firm",IF(UPPER(MID(W82,4,1))="L","LLP",IF(UPPER(MID(W82,4,1))="T","Trust",IF(UPPER(MID(W82,4,1))="A","AOP","")))))))),IF($B82="Challan","",IF(W82&lt;&gt;"","◄ Set Row Type","")))</f>
      </c>
      <c r="Z82" s="28"/>
      <c r="AA82" s="29">
        <f>IF($B82&lt;&gt;"Entry","",IF(Z82="","",IF(X82="Y",SUMPRODUCT(('Rate Lookup'!$A$1:$A$37=Z82)*'Rate Lookup'!$D$1:$D$37),IF(OR(Y82="Individual",Y82="HUF"),SUMPRODUCT(('Rate Lookup'!$A$1:$A$37=Z82)*'Rate Lookup'!$B$1:$B$37),SUMPRODUCT(('Rate Lookup'!$A$1:$A$37=Z82)*'Rate Lookup'!$C$1:$C$37)))))</f>
      </c>
      <c r="AB82" s="30"/>
      <c r="AC82" s="31"/>
      <c r="AD82" s="27">
        <f>IF($B82&lt;&gt;"Entry","",ROUND(AC82*AA82/100,0))</f>
      </c>
      <c r="AE82" s="27">
        <f>IF($B82&lt;&gt;"Entry","",0)</f>
      </c>
      <c r="AF82" s="27">
        <f>IF($B82&lt;&gt;"Entry","",0)</f>
      </c>
      <c r="AG82" s="27">
        <f>IF($B82&lt;&gt;"Entry","",IF(OR(AD82=0,AB82="",AQ82="",AQ82&lt;=0),0,IF(AQ82&lt;=DATE(YEAR(AB82),MONTH(AB82)+1,7),0,ROUND(AD82*0.015*((YEAR(AQ82)-YEAR(AB82))*12+(MONTH(AQ82)-MONTH(AB82))+1),0))))</f>
      </c>
      <c r="AH82" s="27">
        <f>IF($B82&lt;&gt;"Entry","",0)</f>
      </c>
      <c r="AI82" s="28"/>
      <c r="AJ82" s="28"/>
      <c r="AK82" s="32"/>
      <c r="AL82" s="28"/>
      <c r="AM82" s="28"/>
      <c r="AN82" s="27">
        <f>IF($B82&lt;&gt;"Challan","",SUMIF('Q1 Data'!$D$4:$D$207,D82,'Q1 Data'!$AD$4:$AD$207)+SUMIF('Q1 Data'!$D$4:$D$207,D82,'Q1 Data'!$AG$4:$AG$207)+SUMIF('Q1 Data'!$D$4:$D$207,D82,'Q1 Data'!$AE$4:$AE$207)+SUMIF('Q2 Data'!$D$4:$D$207,D82,'Q2 Data'!$AD$4:$AD$207)+SUMIF('Q2 Data'!$D$4:$D$207,D82,'Q2 Data'!$AG$4:$AG$207)+SUMIF('Q2 Data'!$D$4:$D$207,D82,'Q2 Data'!$AE$4:$AE$207)+SUMIF('Q3 Data'!$D$4:$D$207,D82,'Q3 Data'!$AD$4:$AD$207)+SUMIF('Q3 Data'!$D$4:$D$207,D82,'Q3 Data'!$AG$4:$AG$207)+SUMIF('Q3 Data'!$D$4:$D$207,D82,'Q3 Data'!$AE$4:$AE$207)+SUMIF('Q4 Data'!$D$4:$D$207,D82,'Q4 Data'!$AD$4:$AD$207)+SUMIF('Q4 Data'!$D$4:$D$207,D82,'Q4 Data'!$AG$4:$AG$207)+SUMIF('Q4 Data'!$D$4:$D$207,D82,'Q4 Data'!$AE$4:$AE$207))</f>
      </c>
      <c r="AO82" s="27">
        <f>IF($B82&lt;&gt;"Challan","",P82-N82)</f>
      </c>
      <c r="AP82" s="27">
        <f>IF($B82&lt;&gt;"Challan","",MAX(0,AO82-AN82))</f>
      </c>
      <c r="AQ82" s="33">
        <f>IF($B82&lt;&gt;"Entry","",SUMPRODUCT(('Q1 Data'!$D$4:$D$207=D82)*('Q1 Data'!$B$4:$B$207="Challan")*'Q1 Data'!$F$4:$F$207)+SUMPRODUCT(('Q2 Data'!$D$4:$D$207=D82)*('Q2 Data'!$B$4:$B$207="Challan")*'Q2 Data'!$F$4:$F$207)+SUMPRODUCT(('Q3 Data'!$D$4:$D$207=D82)*('Q3 Data'!$B$4:$B$207="Challan")*'Q3 Data'!$F$4:$F$207)+SUMPRODUCT(('Q4 Data'!$D$4:$D$207=D82)*('Q4 Data'!$B$4:$B$207="Challan")*'Q4 Data'!$F$4:$F$207))</f>
      </c>
      <c r="AR82" s="34">
        <f>IF(OR($B82&lt;&gt;"Entry",Z82=""),FALSE,AND((SUMPRODUCT(('Q1 Data'!$D$4:$D$207=D82)*('Q1 Data'!$B$4:$B$207="Challan")*('Q1 Data'!$H$4:$H$207&lt;&gt;""))+SUMPRODUCT(('Q2 Data'!$D$4:$D$207=D82)*('Q2 Data'!$B$4:$B$207="Challan")*('Q2 Data'!$H$4:$H$207&lt;&gt;""))+SUMPRODUCT(('Q3 Data'!$D$4:$D$207=D82)*('Q3 Data'!$B$4:$B$207="Challan")*('Q3 Data'!$H$4:$H$207&lt;&gt;""))+SUMPRODUCT(('Q4 Data'!$D$4:$D$207=D82)*('Q4 Data'!$B$4:$B$207="Challan")*('Q4 Data'!$H$4:$H$207&lt;&gt;"")))&gt;0,(SUMPRODUCT(('Q1 Data'!$D$4:$D$207=D82)*('Q1 Data'!$B$4:$B$207="Challan")*('Q1 Data'!$H$4:$H$207=Z82))+SUMPRODUCT(('Q2 Data'!$D$4:$D$207=D82)*('Q2 Data'!$B$4:$B$207="Challan")*('Q2 Data'!$H$4:$H$207=Z82))+SUMPRODUCT(('Q3 Data'!$D$4:$D$207=D82)*('Q3 Data'!$B$4:$B$207="Challan")*('Q3 Data'!$H$4:$H$207=Z82))+SUMPRODUCT(('Q4 Data'!$D$4:$D$207=D82)*('Q4 Data'!$B$4:$B$207="Challan")*('Q4 Data'!$H$4:$H$207=Z82)))=0))</f>
      </c>
    </row>
    <row r="83" spans="1:44" x14ac:dyDescent="0.25">
      <c r="A83" s="20">
        <f>IF($B83="Entry",COUNTIF($B$4:$B83,"Entry"),"")</f>
      </c>
      <c r="B83" s="21"/>
      <c r="C83" s="22"/>
      <c r="D83" s="22"/>
      <c r="E83" s="23">
        <f>IF($B83&lt;&gt;"Challan","",IF(ROUND(AN83-AO83,2)&gt;0,"Over-applied",IF(ROUND(AN83-AO83,2)=0,"Fully Utilised","Unconsumed")))</f>
      </c>
      <c r="F83" s="24"/>
      <c r="G83" s="25"/>
      <c r="H83" s="25"/>
      <c r="I83" s="26"/>
      <c r="J83" s="26"/>
      <c r="K83" s="26"/>
      <c r="L83" s="26"/>
      <c r="M83" s="26"/>
      <c r="N83" s="26"/>
      <c r="O83" s="26"/>
      <c r="P83" s="27">
        <f>IF($B83&lt;&gt;"Challan","",I83+J83+K83+L83+M83+N83)</f>
      </c>
      <c r="Q83" s="25"/>
      <c r="R83" s="25"/>
      <c r="S83" s="25"/>
      <c r="T83" s="25"/>
      <c r="U83" s="25"/>
      <c r="V83" s="28"/>
      <c r="W83" s="28"/>
      <c r="X83" s="23">
        <f>IF($B83="Entry",IF(AND(LEN(TRIM(UPPER(W83)))=10,CODE(MID(TRIM(UPPER(W83)),1,1))&gt;=65,CODE(MID(TRIM(UPPER(W83)),1,1))&lt;=90,CODE(MID(TRIM(UPPER(W83)),2,1))&gt;=65,CODE(MID(TRIM(UPPER(W83)),2,1))&lt;=90,CODE(MID(TRIM(UPPER(W83)),3,1))&gt;=65,CODE(MID(TRIM(UPPER(W83)),3,1))&lt;=90,CODE(MID(TRIM(UPPER(W83)),4,1))&gt;=65,CODE(MID(TRIM(UPPER(W83)),4,1))&lt;=90,CODE(MID(TRIM(UPPER(W83)),5,1))&gt;=65,CODE(MID(TRIM(UPPER(W83)),5,1))&lt;=90,CODE(MID(TRIM(UPPER(W83)),10,1))&gt;=65,CODE(MID(TRIM(UPPER(W83)),10,1))&lt;=90,CODE(MID(TRIM(UPPER(W83)),6,1))&gt;=48,CODE(MID(TRIM(UPPER(W83)),6,1))&lt;=57,CODE(MID(TRIM(UPPER(W83)),7,1))&gt;=48,CODE(MID(TRIM(UPPER(W83)),7,1))&lt;=57,CODE(MID(TRIM(UPPER(W83)),8,1))&gt;=48,CODE(MID(TRIM(UPPER(W83)),8,1))&lt;=57,CODE(MID(TRIM(UPPER(W83)),9,1))&gt;=48,CODE(MID(TRIM(UPPER(W83)),9,1))&lt;=57),"N","Y"),IF($B83="Challan","",IF(W83&lt;&gt;"","◄ Set Row Type","")))</f>
      </c>
      <c r="Y83" s="23">
        <f>IF($B83="Entry",IF(LEN(W83)&lt;4,"",IF(UPPER(MID(W83,4,1))="P","Individual",IF(UPPER(MID(W83,4,1))="H","HUF",IF(UPPER(MID(W83,4,1))="C","Company",IF(UPPER(MID(W83,4,1))="F","Firm",IF(UPPER(MID(W83,4,1))="L","LLP",IF(UPPER(MID(W83,4,1))="T","Trust",IF(UPPER(MID(W83,4,1))="A","AOP","")))))))),IF($B83="Challan","",IF(W83&lt;&gt;"","◄ Set Row Type","")))</f>
      </c>
      <c r="Z83" s="28"/>
      <c r="AA83" s="29">
        <f>IF($B83&lt;&gt;"Entry","",IF(Z83="","",IF(X83="Y",SUMPRODUCT(('Rate Lookup'!$A$1:$A$37=Z83)*'Rate Lookup'!$D$1:$D$37),IF(OR(Y83="Individual",Y83="HUF"),SUMPRODUCT(('Rate Lookup'!$A$1:$A$37=Z83)*'Rate Lookup'!$B$1:$B$37),SUMPRODUCT(('Rate Lookup'!$A$1:$A$37=Z83)*'Rate Lookup'!$C$1:$C$37)))))</f>
      </c>
      <c r="AB83" s="30"/>
      <c r="AC83" s="31"/>
      <c r="AD83" s="27">
        <f>IF($B83&lt;&gt;"Entry","",ROUND(AC83*AA83/100,0))</f>
      </c>
      <c r="AE83" s="27">
        <f>IF($B83&lt;&gt;"Entry","",0)</f>
      </c>
      <c r="AF83" s="27">
        <f>IF($B83&lt;&gt;"Entry","",0)</f>
      </c>
      <c r="AG83" s="27">
        <f>IF($B83&lt;&gt;"Entry","",IF(OR(AD83=0,AB83="",AQ83="",AQ83&lt;=0),0,IF(AQ83&lt;=DATE(YEAR(AB83),MONTH(AB83)+1,7),0,ROUND(AD83*0.015*((YEAR(AQ83)-YEAR(AB83))*12+(MONTH(AQ83)-MONTH(AB83))+1),0))))</f>
      </c>
      <c r="AH83" s="27">
        <f>IF($B83&lt;&gt;"Entry","",0)</f>
      </c>
      <c r="AI83" s="28"/>
      <c r="AJ83" s="28"/>
      <c r="AK83" s="32"/>
      <c r="AL83" s="28"/>
      <c r="AM83" s="28"/>
      <c r="AN83" s="27">
        <f>IF($B83&lt;&gt;"Challan","",SUMIF('Q1 Data'!$D$4:$D$207,D83,'Q1 Data'!$AD$4:$AD$207)+SUMIF('Q1 Data'!$D$4:$D$207,D83,'Q1 Data'!$AG$4:$AG$207)+SUMIF('Q1 Data'!$D$4:$D$207,D83,'Q1 Data'!$AE$4:$AE$207)+SUMIF('Q2 Data'!$D$4:$D$207,D83,'Q2 Data'!$AD$4:$AD$207)+SUMIF('Q2 Data'!$D$4:$D$207,D83,'Q2 Data'!$AG$4:$AG$207)+SUMIF('Q2 Data'!$D$4:$D$207,D83,'Q2 Data'!$AE$4:$AE$207)+SUMIF('Q3 Data'!$D$4:$D$207,D83,'Q3 Data'!$AD$4:$AD$207)+SUMIF('Q3 Data'!$D$4:$D$207,D83,'Q3 Data'!$AG$4:$AG$207)+SUMIF('Q3 Data'!$D$4:$D$207,D83,'Q3 Data'!$AE$4:$AE$207)+SUMIF('Q4 Data'!$D$4:$D$207,D83,'Q4 Data'!$AD$4:$AD$207)+SUMIF('Q4 Data'!$D$4:$D$207,D83,'Q4 Data'!$AG$4:$AG$207)+SUMIF('Q4 Data'!$D$4:$D$207,D83,'Q4 Data'!$AE$4:$AE$207))</f>
      </c>
      <c r="AO83" s="27">
        <f>IF($B83&lt;&gt;"Challan","",P83-N83)</f>
      </c>
      <c r="AP83" s="27">
        <f>IF($B83&lt;&gt;"Challan","",MAX(0,AO83-AN83))</f>
      </c>
      <c r="AQ83" s="33">
        <f>IF($B83&lt;&gt;"Entry","",SUMPRODUCT(('Q1 Data'!$D$4:$D$207=D83)*('Q1 Data'!$B$4:$B$207="Challan")*'Q1 Data'!$F$4:$F$207)+SUMPRODUCT(('Q2 Data'!$D$4:$D$207=D83)*('Q2 Data'!$B$4:$B$207="Challan")*'Q2 Data'!$F$4:$F$207)+SUMPRODUCT(('Q3 Data'!$D$4:$D$207=D83)*('Q3 Data'!$B$4:$B$207="Challan")*'Q3 Data'!$F$4:$F$207)+SUMPRODUCT(('Q4 Data'!$D$4:$D$207=D83)*('Q4 Data'!$B$4:$B$207="Challan")*'Q4 Data'!$F$4:$F$207))</f>
      </c>
      <c r="AR83" s="34">
        <f>IF(OR($B83&lt;&gt;"Entry",Z83=""),FALSE,AND((SUMPRODUCT(('Q1 Data'!$D$4:$D$207=D83)*('Q1 Data'!$B$4:$B$207="Challan")*('Q1 Data'!$H$4:$H$207&lt;&gt;""))+SUMPRODUCT(('Q2 Data'!$D$4:$D$207=D83)*('Q2 Data'!$B$4:$B$207="Challan")*('Q2 Data'!$H$4:$H$207&lt;&gt;""))+SUMPRODUCT(('Q3 Data'!$D$4:$D$207=D83)*('Q3 Data'!$B$4:$B$207="Challan")*('Q3 Data'!$H$4:$H$207&lt;&gt;""))+SUMPRODUCT(('Q4 Data'!$D$4:$D$207=D83)*('Q4 Data'!$B$4:$B$207="Challan")*('Q4 Data'!$H$4:$H$207&lt;&gt;"")))&gt;0,(SUMPRODUCT(('Q1 Data'!$D$4:$D$207=D83)*('Q1 Data'!$B$4:$B$207="Challan")*('Q1 Data'!$H$4:$H$207=Z83))+SUMPRODUCT(('Q2 Data'!$D$4:$D$207=D83)*('Q2 Data'!$B$4:$B$207="Challan")*('Q2 Data'!$H$4:$H$207=Z83))+SUMPRODUCT(('Q3 Data'!$D$4:$D$207=D83)*('Q3 Data'!$B$4:$B$207="Challan")*('Q3 Data'!$H$4:$H$207=Z83))+SUMPRODUCT(('Q4 Data'!$D$4:$D$207=D83)*('Q4 Data'!$B$4:$B$207="Challan")*('Q4 Data'!$H$4:$H$207=Z83)))=0))</f>
      </c>
    </row>
    <row r="84" spans="1:44" x14ac:dyDescent="0.25">
      <c r="A84" s="20">
        <f>IF($B84="Entry",COUNTIF($B$4:$B84,"Entry"),"")</f>
      </c>
      <c r="B84" s="21"/>
      <c r="C84" s="22"/>
      <c r="D84" s="22"/>
      <c r="E84" s="23">
        <f>IF($B84&lt;&gt;"Challan","",IF(ROUND(AN84-AO84,2)&gt;0,"Over-applied",IF(ROUND(AN84-AO84,2)=0,"Fully Utilised","Unconsumed")))</f>
      </c>
      <c r="F84" s="24"/>
      <c r="G84" s="25"/>
      <c r="H84" s="25"/>
      <c r="I84" s="26"/>
      <c r="J84" s="26"/>
      <c r="K84" s="26"/>
      <c r="L84" s="26"/>
      <c r="M84" s="26"/>
      <c r="N84" s="26"/>
      <c r="O84" s="26"/>
      <c r="P84" s="27">
        <f>IF($B84&lt;&gt;"Challan","",I84+J84+K84+L84+M84+N84)</f>
      </c>
      <c r="Q84" s="25"/>
      <c r="R84" s="25"/>
      <c r="S84" s="25"/>
      <c r="T84" s="25"/>
      <c r="U84" s="25"/>
      <c r="V84" s="28"/>
      <c r="W84" s="28"/>
      <c r="X84" s="23">
        <f>IF($B84="Entry",IF(AND(LEN(TRIM(UPPER(W84)))=10,CODE(MID(TRIM(UPPER(W84)),1,1))&gt;=65,CODE(MID(TRIM(UPPER(W84)),1,1))&lt;=90,CODE(MID(TRIM(UPPER(W84)),2,1))&gt;=65,CODE(MID(TRIM(UPPER(W84)),2,1))&lt;=90,CODE(MID(TRIM(UPPER(W84)),3,1))&gt;=65,CODE(MID(TRIM(UPPER(W84)),3,1))&lt;=90,CODE(MID(TRIM(UPPER(W84)),4,1))&gt;=65,CODE(MID(TRIM(UPPER(W84)),4,1))&lt;=90,CODE(MID(TRIM(UPPER(W84)),5,1))&gt;=65,CODE(MID(TRIM(UPPER(W84)),5,1))&lt;=90,CODE(MID(TRIM(UPPER(W84)),10,1))&gt;=65,CODE(MID(TRIM(UPPER(W84)),10,1))&lt;=90,CODE(MID(TRIM(UPPER(W84)),6,1))&gt;=48,CODE(MID(TRIM(UPPER(W84)),6,1))&lt;=57,CODE(MID(TRIM(UPPER(W84)),7,1))&gt;=48,CODE(MID(TRIM(UPPER(W84)),7,1))&lt;=57,CODE(MID(TRIM(UPPER(W84)),8,1))&gt;=48,CODE(MID(TRIM(UPPER(W84)),8,1))&lt;=57,CODE(MID(TRIM(UPPER(W84)),9,1))&gt;=48,CODE(MID(TRIM(UPPER(W84)),9,1))&lt;=57),"N","Y"),IF($B84="Challan","",IF(W84&lt;&gt;"","◄ Set Row Type","")))</f>
      </c>
      <c r="Y84" s="23">
        <f>IF($B84="Entry",IF(LEN(W84)&lt;4,"",IF(UPPER(MID(W84,4,1))="P","Individual",IF(UPPER(MID(W84,4,1))="H","HUF",IF(UPPER(MID(W84,4,1))="C","Company",IF(UPPER(MID(W84,4,1))="F","Firm",IF(UPPER(MID(W84,4,1))="L","LLP",IF(UPPER(MID(W84,4,1))="T","Trust",IF(UPPER(MID(W84,4,1))="A","AOP","")))))))),IF($B84="Challan","",IF(W84&lt;&gt;"","◄ Set Row Type","")))</f>
      </c>
      <c r="Z84" s="28"/>
      <c r="AA84" s="29">
        <f>IF($B84&lt;&gt;"Entry","",IF(Z84="","",IF(X84="Y",SUMPRODUCT(('Rate Lookup'!$A$1:$A$37=Z84)*'Rate Lookup'!$D$1:$D$37),IF(OR(Y84="Individual",Y84="HUF"),SUMPRODUCT(('Rate Lookup'!$A$1:$A$37=Z84)*'Rate Lookup'!$B$1:$B$37),SUMPRODUCT(('Rate Lookup'!$A$1:$A$37=Z84)*'Rate Lookup'!$C$1:$C$37)))))</f>
      </c>
      <c r="AB84" s="30"/>
      <c r="AC84" s="31"/>
      <c r="AD84" s="27">
        <f>IF($B84&lt;&gt;"Entry","",ROUND(AC84*AA84/100,0))</f>
      </c>
      <c r="AE84" s="27">
        <f>IF($B84&lt;&gt;"Entry","",0)</f>
      </c>
      <c r="AF84" s="27">
        <f>IF($B84&lt;&gt;"Entry","",0)</f>
      </c>
      <c r="AG84" s="27">
        <f>IF($B84&lt;&gt;"Entry","",IF(OR(AD84=0,AB84="",AQ84="",AQ84&lt;=0),0,IF(AQ84&lt;=DATE(YEAR(AB84),MONTH(AB84)+1,7),0,ROUND(AD84*0.015*((YEAR(AQ84)-YEAR(AB84))*12+(MONTH(AQ84)-MONTH(AB84))+1),0))))</f>
      </c>
      <c r="AH84" s="27">
        <f>IF($B84&lt;&gt;"Entry","",0)</f>
      </c>
      <c r="AI84" s="28"/>
      <c r="AJ84" s="28"/>
      <c r="AK84" s="32"/>
      <c r="AL84" s="28"/>
      <c r="AM84" s="28"/>
      <c r="AN84" s="27">
        <f>IF($B84&lt;&gt;"Challan","",SUMIF('Q1 Data'!$D$4:$D$207,D84,'Q1 Data'!$AD$4:$AD$207)+SUMIF('Q1 Data'!$D$4:$D$207,D84,'Q1 Data'!$AG$4:$AG$207)+SUMIF('Q1 Data'!$D$4:$D$207,D84,'Q1 Data'!$AE$4:$AE$207)+SUMIF('Q2 Data'!$D$4:$D$207,D84,'Q2 Data'!$AD$4:$AD$207)+SUMIF('Q2 Data'!$D$4:$D$207,D84,'Q2 Data'!$AG$4:$AG$207)+SUMIF('Q2 Data'!$D$4:$D$207,D84,'Q2 Data'!$AE$4:$AE$207)+SUMIF('Q3 Data'!$D$4:$D$207,D84,'Q3 Data'!$AD$4:$AD$207)+SUMIF('Q3 Data'!$D$4:$D$207,D84,'Q3 Data'!$AG$4:$AG$207)+SUMIF('Q3 Data'!$D$4:$D$207,D84,'Q3 Data'!$AE$4:$AE$207)+SUMIF('Q4 Data'!$D$4:$D$207,D84,'Q4 Data'!$AD$4:$AD$207)+SUMIF('Q4 Data'!$D$4:$D$207,D84,'Q4 Data'!$AG$4:$AG$207)+SUMIF('Q4 Data'!$D$4:$D$207,D84,'Q4 Data'!$AE$4:$AE$207))</f>
      </c>
      <c r="AO84" s="27">
        <f>IF($B84&lt;&gt;"Challan","",P84-N84)</f>
      </c>
      <c r="AP84" s="27">
        <f>IF($B84&lt;&gt;"Challan","",MAX(0,AO84-AN84))</f>
      </c>
      <c r="AQ84" s="33">
        <f>IF($B84&lt;&gt;"Entry","",SUMPRODUCT(('Q1 Data'!$D$4:$D$207=D84)*('Q1 Data'!$B$4:$B$207="Challan")*'Q1 Data'!$F$4:$F$207)+SUMPRODUCT(('Q2 Data'!$D$4:$D$207=D84)*('Q2 Data'!$B$4:$B$207="Challan")*'Q2 Data'!$F$4:$F$207)+SUMPRODUCT(('Q3 Data'!$D$4:$D$207=D84)*('Q3 Data'!$B$4:$B$207="Challan")*'Q3 Data'!$F$4:$F$207)+SUMPRODUCT(('Q4 Data'!$D$4:$D$207=D84)*('Q4 Data'!$B$4:$B$207="Challan")*'Q4 Data'!$F$4:$F$207))</f>
      </c>
      <c r="AR84" s="34">
        <f>IF(OR($B84&lt;&gt;"Entry",Z84=""),FALSE,AND((SUMPRODUCT(('Q1 Data'!$D$4:$D$207=D84)*('Q1 Data'!$B$4:$B$207="Challan")*('Q1 Data'!$H$4:$H$207&lt;&gt;""))+SUMPRODUCT(('Q2 Data'!$D$4:$D$207=D84)*('Q2 Data'!$B$4:$B$207="Challan")*('Q2 Data'!$H$4:$H$207&lt;&gt;""))+SUMPRODUCT(('Q3 Data'!$D$4:$D$207=D84)*('Q3 Data'!$B$4:$B$207="Challan")*('Q3 Data'!$H$4:$H$207&lt;&gt;""))+SUMPRODUCT(('Q4 Data'!$D$4:$D$207=D84)*('Q4 Data'!$B$4:$B$207="Challan")*('Q4 Data'!$H$4:$H$207&lt;&gt;"")))&gt;0,(SUMPRODUCT(('Q1 Data'!$D$4:$D$207=D84)*('Q1 Data'!$B$4:$B$207="Challan")*('Q1 Data'!$H$4:$H$207=Z84))+SUMPRODUCT(('Q2 Data'!$D$4:$D$207=D84)*('Q2 Data'!$B$4:$B$207="Challan")*('Q2 Data'!$H$4:$H$207=Z84))+SUMPRODUCT(('Q3 Data'!$D$4:$D$207=D84)*('Q3 Data'!$B$4:$B$207="Challan")*('Q3 Data'!$H$4:$H$207=Z84))+SUMPRODUCT(('Q4 Data'!$D$4:$D$207=D84)*('Q4 Data'!$B$4:$B$207="Challan")*('Q4 Data'!$H$4:$H$207=Z84)))=0))</f>
      </c>
    </row>
    <row r="85" spans="1:44" x14ac:dyDescent="0.25">
      <c r="A85" s="20">
        <f>IF($B85="Entry",COUNTIF($B$4:$B85,"Entry"),"")</f>
      </c>
      <c r="B85" s="21"/>
      <c r="C85" s="22"/>
      <c r="D85" s="22"/>
      <c r="E85" s="23">
        <f>IF($B85&lt;&gt;"Challan","",IF(ROUND(AN85-AO85,2)&gt;0,"Over-applied",IF(ROUND(AN85-AO85,2)=0,"Fully Utilised","Unconsumed")))</f>
      </c>
      <c r="F85" s="24"/>
      <c r="G85" s="25"/>
      <c r="H85" s="25"/>
      <c r="I85" s="26"/>
      <c r="J85" s="26"/>
      <c r="K85" s="26"/>
      <c r="L85" s="26"/>
      <c r="M85" s="26"/>
      <c r="N85" s="26"/>
      <c r="O85" s="26"/>
      <c r="P85" s="27">
        <f>IF($B85&lt;&gt;"Challan","",I85+J85+K85+L85+M85+N85)</f>
      </c>
      <c r="Q85" s="25"/>
      <c r="R85" s="25"/>
      <c r="S85" s="25"/>
      <c r="T85" s="25"/>
      <c r="U85" s="25"/>
      <c r="V85" s="28"/>
      <c r="W85" s="28"/>
      <c r="X85" s="23">
        <f>IF($B85="Entry",IF(AND(LEN(TRIM(UPPER(W85)))=10,CODE(MID(TRIM(UPPER(W85)),1,1))&gt;=65,CODE(MID(TRIM(UPPER(W85)),1,1))&lt;=90,CODE(MID(TRIM(UPPER(W85)),2,1))&gt;=65,CODE(MID(TRIM(UPPER(W85)),2,1))&lt;=90,CODE(MID(TRIM(UPPER(W85)),3,1))&gt;=65,CODE(MID(TRIM(UPPER(W85)),3,1))&lt;=90,CODE(MID(TRIM(UPPER(W85)),4,1))&gt;=65,CODE(MID(TRIM(UPPER(W85)),4,1))&lt;=90,CODE(MID(TRIM(UPPER(W85)),5,1))&gt;=65,CODE(MID(TRIM(UPPER(W85)),5,1))&lt;=90,CODE(MID(TRIM(UPPER(W85)),10,1))&gt;=65,CODE(MID(TRIM(UPPER(W85)),10,1))&lt;=90,CODE(MID(TRIM(UPPER(W85)),6,1))&gt;=48,CODE(MID(TRIM(UPPER(W85)),6,1))&lt;=57,CODE(MID(TRIM(UPPER(W85)),7,1))&gt;=48,CODE(MID(TRIM(UPPER(W85)),7,1))&lt;=57,CODE(MID(TRIM(UPPER(W85)),8,1))&gt;=48,CODE(MID(TRIM(UPPER(W85)),8,1))&lt;=57,CODE(MID(TRIM(UPPER(W85)),9,1))&gt;=48,CODE(MID(TRIM(UPPER(W85)),9,1))&lt;=57),"N","Y"),IF($B85="Challan","",IF(W85&lt;&gt;"","◄ Set Row Type","")))</f>
      </c>
      <c r="Y85" s="23">
        <f>IF($B85="Entry",IF(LEN(W85)&lt;4,"",IF(UPPER(MID(W85,4,1))="P","Individual",IF(UPPER(MID(W85,4,1))="H","HUF",IF(UPPER(MID(W85,4,1))="C","Company",IF(UPPER(MID(W85,4,1))="F","Firm",IF(UPPER(MID(W85,4,1))="L","LLP",IF(UPPER(MID(W85,4,1))="T","Trust",IF(UPPER(MID(W85,4,1))="A","AOP","")))))))),IF($B85="Challan","",IF(W85&lt;&gt;"","◄ Set Row Type","")))</f>
      </c>
      <c r="Z85" s="28"/>
      <c r="AA85" s="29">
        <f>IF($B85&lt;&gt;"Entry","",IF(Z85="","",IF(X85="Y",SUMPRODUCT(('Rate Lookup'!$A$1:$A$37=Z85)*'Rate Lookup'!$D$1:$D$37),IF(OR(Y85="Individual",Y85="HUF"),SUMPRODUCT(('Rate Lookup'!$A$1:$A$37=Z85)*'Rate Lookup'!$B$1:$B$37),SUMPRODUCT(('Rate Lookup'!$A$1:$A$37=Z85)*'Rate Lookup'!$C$1:$C$37)))))</f>
      </c>
      <c r="AB85" s="30"/>
      <c r="AC85" s="31"/>
      <c r="AD85" s="27">
        <f>IF($B85&lt;&gt;"Entry","",ROUND(AC85*AA85/100,0))</f>
      </c>
      <c r="AE85" s="27">
        <f>IF($B85&lt;&gt;"Entry","",0)</f>
      </c>
      <c r="AF85" s="27">
        <f>IF($B85&lt;&gt;"Entry","",0)</f>
      </c>
      <c r="AG85" s="27">
        <f>IF($B85&lt;&gt;"Entry","",IF(OR(AD85=0,AB85="",AQ85="",AQ85&lt;=0),0,IF(AQ85&lt;=DATE(YEAR(AB85),MONTH(AB85)+1,7),0,ROUND(AD85*0.015*((YEAR(AQ85)-YEAR(AB85))*12+(MONTH(AQ85)-MONTH(AB85))+1),0))))</f>
      </c>
      <c r="AH85" s="27">
        <f>IF($B85&lt;&gt;"Entry","",0)</f>
      </c>
      <c r="AI85" s="28"/>
      <c r="AJ85" s="28"/>
      <c r="AK85" s="32"/>
      <c r="AL85" s="28"/>
      <c r="AM85" s="28"/>
      <c r="AN85" s="27">
        <f>IF($B85&lt;&gt;"Challan","",SUMIF('Q1 Data'!$D$4:$D$207,D85,'Q1 Data'!$AD$4:$AD$207)+SUMIF('Q1 Data'!$D$4:$D$207,D85,'Q1 Data'!$AG$4:$AG$207)+SUMIF('Q1 Data'!$D$4:$D$207,D85,'Q1 Data'!$AE$4:$AE$207)+SUMIF('Q2 Data'!$D$4:$D$207,D85,'Q2 Data'!$AD$4:$AD$207)+SUMIF('Q2 Data'!$D$4:$D$207,D85,'Q2 Data'!$AG$4:$AG$207)+SUMIF('Q2 Data'!$D$4:$D$207,D85,'Q2 Data'!$AE$4:$AE$207)+SUMIF('Q3 Data'!$D$4:$D$207,D85,'Q3 Data'!$AD$4:$AD$207)+SUMIF('Q3 Data'!$D$4:$D$207,D85,'Q3 Data'!$AG$4:$AG$207)+SUMIF('Q3 Data'!$D$4:$D$207,D85,'Q3 Data'!$AE$4:$AE$207)+SUMIF('Q4 Data'!$D$4:$D$207,D85,'Q4 Data'!$AD$4:$AD$207)+SUMIF('Q4 Data'!$D$4:$D$207,D85,'Q4 Data'!$AG$4:$AG$207)+SUMIF('Q4 Data'!$D$4:$D$207,D85,'Q4 Data'!$AE$4:$AE$207))</f>
      </c>
      <c r="AO85" s="27">
        <f>IF($B85&lt;&gt;"Challan","",P85-N85)</f>
      </c>
      <c r="AP85" s="27">
        <f>IF($B85&lt;&gt;"Challan","",MAX(0,AO85-AN85))</f>
      </c>
      <c r="AQ85" s="33">
        <f>IF($B85&lt;&gt;"Entry","",SUMPRODUCT(('Q1 Data'!$D$4:$D$207=D85)*('Q1 Data'!$B$4:$B$207="Challan")*'Q1 Data'!$F$4:$F$207)+SUMPRODUCT(('Q2 Data'!$D$4:$D$207=D85)*('Q2 Data'!$B$4:$B$207="Challan")*'Q2 Data'!$F$4:$F$207)+SUMPRODUCT(('Q3 Data'!$D$4:$D$207=D85)*('Q3 Data'!$B$4:$B$207="Challan")*'Q3 Data'!$F$4:$F$207)+SUMPRODUCT(('Q4 Data'!$D$4:$D$207=D85)*('Q4 Data'!$B$4:$B$207="Challan")*'Q4 Data'!$F$4:$F$207))</f>
      </c>
      <c r="AR85" s="34">
        <f>IF(OR($B85&lt;&gt;"Entry",Z85=""),FALSE,AND((SUMPRODUCT(('Q1 Data'!$D$4:$D$207=D85)*('Q1 Data'!$B$4:$B$207="Challan")*('Q1 Data'!$H$4:$H$207&lt;&gt;""))+SUMPRODUCT(('Q2 Data'!$D$4:$D$207=D85)*('Q2 Data'!$B$4:$B$207="Challan")*('Q2 Data'!$H$4:$H$207&lt;&gt;""))+SUMPRODUCT(('Q3 Data'!$D$4:$D$207=D85)*('Q3 Data'!$B$4:$B$207="Challan")*('Q3 Data'!$H$4:$H$207&lt;&gt;""))+SUMPRODUCT(('Q4 Data'!$D$4:$D$207=D85)*('Q4 Data'!$B$4:$B$207="Challan")*('Q4 Data'!$H$4:$H$207&lt;&gt;"")))&gt;0,(SUMPRODUCT(('Q1 Data'!$D$4:$D$207=D85)*('Q1 Data'!$B$4:$B$207="Challan")*('Q1 Data'!$H$4:$H$207=Z85))+SUMPRODUCT(('Q2 Data'!$D$4:$D$207=D85)*('Q2 Data'!$B$4:$B$207="Challan")*('Q2 Data'!$H$4:$H$207=Z85))+SUMPRODUCT(('Q3 Data'!$D$4:$D$207=D85)*('Q3 Data'!$B$4:$B$207="Challan")*('Q3 Data'!$H$4:$H$207=Z85))+SUMPRODUCT(('Q4 Data'!$D$4:$D$207=D85)*('Q4 Data'!$B$4:$B$207="Challan")*('Q4 Data'!$H$4:$H$207=Z85)))=0))</f>
      </c>
    </row>
    <row r="86" spans="1:44" x14ac:dyDescent="0.25">
      <c r="A86" s="20">
        <f>IF($B86="Entry",COUNTIF($B$4:$B86,"Entry"),"")</f>
      </c>
      <c r="B86" s="21"/>
      <c r="C86" s="22"/>
      <c r="D86" s="22"/>
      <c r="E86" s="23">
        <f>IF($B86&lt;&gt;"Challan","",IF(ROUND(AN86-AO86,2)&gt;0,"Over-applied",IF(ROUND(AN86-AO86,2)=0,"Fully Utilised","Unconsumed")))</f>
      </c>
      <c r="F86" s="24"/>
      <c r="G86" s="25"/>
      <c r="H86" s="25"/>
      <c r="I86" s="26"/>
      <c r="J86" s="26"/>
      <c r="K86" s="26"/>
      <c r="L86" s="26"/>
      <c r="M86" s="26"/>
      <c r="N86" s="26"/>
      <c r="O86" s="26"/>
      <c r="P86" s="27">
        <f>IF($B86&lt;&gt;"Challan","",I86+J86+K86+L86+M86+N86)</f>
      </c>
      <c r="Q86" s="25"/>
      <c r="R86" s="25"/>
      <c r="S86" s="25"/>
      <c r="T86" s="25"/>
      <c r="U86" s="25"/>
      <c r="V86" s="28"/>
      <c r="W86" s="28"/>
      <c r="X86" s="23">
        <f>IF($B86="Entry",IF(AND(LEN(TRIM(UPPER(W86)))=10,CODE(MID(TRIM(UPPER(W86)),1,1))&gt;=65,CODE(MID(TRIM(UPPER(W86)),1,1))&lt;=90,CODE(MID(TRIM(UPPER(W86)),2,1))&gt;=65,CODE(MID(TRIM(UPPER(W86)),2,1))&lt;=90,CODE(MID(TRIM(UPPER(W86)),3,1))&gt;=65,CODE(MID(TRIM(UPPER(W86)),3,1))&lt;=90,CODE(MID(TRIM(UPPER(W86)),4,1))&gt;=65,CODE(MID(TRIM(UPPER(W86)),4,1))&lt;=90,CODE(MID(TRIM(UPPER(W86)),5,1))&gt;=65,CODE(MID(TRIM(UPPER(W86)),5,1))&lt;=90,CODE(MID(TRIM(UPPER(W86)),10,1))&gt;=65,CODE(MID(TRIM(UPPER(W86)),10,1))&lt;=90,CODE(MID(TRIM(UPPER(W86)),6,1))&gt;=48,CODE(MID(TRIM(UPPER(W86)),6,1))&lt;=57,CODE(MID(TRIM(UPPER(W86)),7,1))&gt;=48,CODE(MID(TRIM(UPPER(W86)),7,1))&lt;=57,CODE(MID(TRIM(UPPER(W86)),8,1))&gt;=48,CODE(MID(TRIM(UPPER(W86)),8,1))&lt;=57,CODE(MID(TRIM(UPPER(W86)),9,1))&gt;=48,CODE(MID(TRIM(UPPER(W86)),9,1))&lt;=57),"N","Y"),IF($B86="Challan","",IF(W86&lt;&gt;"","◄ Set Row Type","")))</f>
      </c>
      <c r="Y86" s="23">
        <f>IF($B86="Entry",IF(LEN(W86)&lt;4,"",IF(UPPER(MID(W86,4,1))="P","Individual",IF(UPPER(MID(W86,4,1))="H","HUF",IF(UPPER(MID(W86,4,1))="C","Company",IF(UPPER(MID(W86,4,1))="F","Firm",IF(UPPER(MID(W86,4,1))="L","LLP",IF(UPPER(MID(W86,4,1))="T","Trust",IF(UPPER(MID(W86,4,1))="A","AOP","")))))))),IF($B86="Challan","",IF(W86&lt;&gt;"","◄ Set Row Type","")))</f>
      </c>
      <c r="Z86" s="28"/>
      <c r="AA86" s="29">
        <f>IF($B86&lt;&gt;"Entry","",IF(Z86="","",IF(X86="Y",SUMPRODUCT(('Rate Lookup'!$A$1:$A$37=Z86)*'Rate Lookup'!$D$1:$D$37),IF(OR(Y86="Individual",Y86="HUF"),SUMPRODUCT(('Rate Lookup'!$A$1:$A$37=Z86)*'Rate Lookup'!$B$1:$B$37),SUMPRODUCT(('Rate Lookup'!$A$1:$A$37=Z86)*'Rate Lookup'!$C$1:$C$37)))))</f>
      </c>
      <c r="AB86" s="30"/>
      <c r="AC86" s="31"/>
      <c r="AD86" s="27">
        <f>IF($B86&lt;&gt;"Entry","",ROUND(AC86*AA86/100,0))</f>
      </c>
      <c r="AE86" s="27">
        <f>IF($B86&lt;&gt;"Entry","",0)</f>
      </c>
      <c r="AF86" s="27">
        <f>IF($B86&lt;&gt;"Entry","",0)</f>
      </c>
      <c r="AG86" s="27">
        <f>IF($B86&lt;&gt;"Entry","",IF(OR(AD86=0,AB86="",AQ86="",AQ86&lt;=0),0,IF(AQ86&lt;=DATE(YEAR(AB86),MONTH(AB86)+1,7),0,ROUND(AD86*0.015*((YEAR(AQ86)-YEAR(AB86))*12+(MONTH(AQ86)-MONTH(AB86))+1),0))))</f>
      </c>
      <c r="AH86" s="27">
        <f>IF($B86&lt;&gt;"Entry","",0)</f>
      </c>
      <c r="AI86" s="28"/>
      <c r="AJ86" s="28"/>
      <c r="AK86" s="32"/>
      <c r="AL86" s="28"/>
      <c r="AM86" s="28"/>
      <c r="AN86" s="27">
        <f>IF($B86&lt;&gt;"Challan","",SUMIF('Q1 Data'!$D$4:$D$207,D86,'Q1 Data'!$AD$4:$AD$207)+SUMIF('Q1 Data'!$D$4:$D$207,D86,'Q1 Data'!$AG$4:$AG$207)+SUMIF('Q1 Data'!$D$4:$D$207,D86,'Q1 Data'!$AE$4:$AE$207)+SUMIF('Q2 Data'!$D$4:$D$207,D86,'Q2 Data'!$AD$4:$AD$207)+SUMIF('Q2 Data'!$D$4:$D$207,D86,'Q2 Data'!$AG$4:$AG$207)+SUMIF('Q2 Data'!$D$4:$D$207,D86,'Q2 Data'!$AE$4:$AE$207)+SUMIF('Q3 Data'!$D$4:$D$207,D86,'Q3 Data'!$AD$4:$AD$207)+SUMIF('Q3 Data'!$D$4:$D$207,D86,'Q3 Data'!$AG$4:$AG$207)+SUMIF('Q3 Data'!$D$4:$D$207,D86,'Q3 Data'!$AE$4:$AE$207)+SUMIF('Q4 Data'!$D$4:$D$207,D86,'Q4 Data'!$AD$4:$AD$207)+SUMIF('Q4 Data'!$D$4:$D$207,D86,'Q4 Data'!$AG$4:$AG$207)+SUMIF('Q4 Data'!$D$4:$D$207,D86,'Q4 Data'!$AE$4:$AE$207))</f>
      </c>
      <c r="AO86" s="27">
        <f>IF($B86&lt;&gt;"Challan","",P86-N86)</f>
      </c>
      <c r="AP86" s="27">
        <f>IF($B86&lt;&gt;"Challan","",MAX(0,AO86-AN86))</f>
      </c>
      <c r="AQ86" s="33">
        <f>IF($B86&lt;&gt;"Entry","",SUMPRODUCT(('Q1 Data'!$D$4:$D$207=D86)*('Q1 Data'!$B$4:$B$207="Challan")*'Q1 Data'!$F$4:$F$207)+SUMPRODUCT(('Q2 Data'!$D$4:$D$207=D86)*('Q2 Data'!$B$4:$B$207="Challan")*'Q2 Data'!$F$4:$F$207)+SUMPRODUCT(('Q3 Data'!$D$4:$D$207=D86)*('Q3 Data'!$B$4:$B$207="Challan")*'Q3 Data'!$F$4:$F$207)+SUMPRODUCT(('Q4 Data'!$D$4:$D$207=D86)*('Q4 Data'!$B$4:$B$207="Challan")*'Q4 Data'!$F$4:$F$207))</f>
      </c>
      <c r="AR86" s="34">
        <f>IF(OR($B86&lt;&gt;"Entry",Z86=""),FALSE,AND((SUMPRODUCT(('Q1 Data'!$D$4:$D$207=D86)*('Q1 Data'!$B$4:$B$207="Challan")*('Q1 Data'!$H$4:$H$207&lt;&gt;""))+SUMPRODUCT(('Q2 Data'!$D$4:$D$207=D86)*('Q2 Data'!$B$4:$B$207="Challan")*('Q2 Data'!$H$4:$H$207&lt;&gt;""))+SUMPRODUCT(('Q3 Data'!$D$4:$D$207=D86)*('Q3 Data'!$B$4:$B$207="Challan")*('Q3 Data'!$H$4:$H$207&lt;&gt;""))+SUMPRODUCT(('Q4 Data'!$D$4:$D$207=D86)*('Q4 Data'!$B$4:$B$207="Challan")*('Q4 Data'!$H$4:$H$207&lt;&gt;"")))&gt;0,(SUMPRODUCT(('Q1 Data'!$D$4:$D$207=D86)*('Q1 Data'!$B$4:$B$207="Challan")*('Q1 Data'!$H$4:$H$207=Z86))+SUMPRODUCT(('Q2 Data'!$D$4:$D$207=D86)*('Q2 Data'!$B$4:$B$207="Challan")*('Q2 Data'!$H$4:$H$207=Z86))+SUMPRODUCT(('Q3 Data'!$D$4:$D$207=D86)*('Q3 Data'!$B$4:$B$207="Challan")*('Q3 Data'!$H$4:$H$207=Z86))+SUMPRODUCT(('Q4 Data'!$D$4:$D$207=D86)*('Q4 Data'!$B$4:$B$207="Challan")*('Q4 Data'!$H$4:$H$207=Z86)))=0))</f>
      </c>
    </row>
    <row r="87" spans="1:44" x14ac:dyDescent="0.25">
      <c r="A87" s="20">
        <f>IF($B87="Entry",COUNTIF($B$4:$B87,"Entry"),"")</f>
      </c>
      <c r="B87" s="21"/>
      <c r="C87" s="22"/>
      <c r="D87" s="22"/>
      <c r="E87" s="23">
        <f>IF($B87&lt;&gt;"Challan","",IF(ROUND(AN87-AO87,2)&gt;0,"Over-applied",IF(ROUND(AN87-AO87,2)=0,"Fully Utilised","Unconsumed")))</f>
      </c>
      <c r="F87" s="24"/>
      <c r="G87" s="25"/>
      <c r="H87" s="25"/>
      <c r="I87" s="26"/>
      <c r="J87" s="26"/>
      <c r="K87" s="26"/>
      <c r="L87" s="26"/>
      <c r="M87" s="26"/>
      <c r="N87" s="26"/>
      <c r="O87" s="26"/>
      <c r="P87" s="27">
        <f>IF($B87&lt;&gt;"Challan","",I87+J87+K87+L87+M87+N87)</f>
      </c>
      <c r="Q87" s="25"/>
      <c r="R87" s="25"/>
      <c r="S87" s="25"/>
      <c r="T87" s="25"/>
      <c r="U87" s="25"/>
      <c r="V87" s="28"/>
      <c r="W87" s="28"/>
      <c r="X87" s="23">
        <f>IF($B87="Entry",IF(AND(LEN(TRIM(UPPER(W87)))=10,CODE(MID(TRIM(UPPER(W87)),1,1))&gt;=65,CODE(MID(TRIM(UPPER(W87)),1,1))&lt;=90,CODE(MID(TRIM(UPPER(W87)),2,1))&gt;=65,CODE(MID(TRIM(UPPER(W87)),2,1))&lt;=90,CODE(MID(TRIM(UPPER(W87)),3,1))&gt;=65,CODE(MID(TRIM(UPPER(W87)),3,1))&lt;=90,CODE(MID(TRIM(UPPER(W87)),4,1))&gt;=65,CODE(MID(TRIM(UPPER(W87)),4,1))&lt;=90,CODE(MID(TRIM(UPPER(W87)),5,1))&gt;=65,CODE(MID(TRIM(UPPER(W87)),5,1))&lt;=90,CODE(MID(TRIM(UPPER(W87)),10,1))&gt;=65,CODE(MID(TRIM(UPPER(W87)),10,1))&lt;=90,CODE(MID(TRIM(UPPER(W87)),6,1))&gt;=48,CODE(MID(TRIM(UPPER(W87)),6,1))&lt;=57,CODE(MID(TRIM(UPPER(W87)),7,1))&gt;=48,CODE(MID(TRIM(UPPER(W87)),7,1))&lt;=57,CODE(MID(TRIM(UPPER(W87)),8,1))&gt;=48,CODE(MID(TRIM(UPPER(W87)),8,1))&lt;=57,CODE(MID(TRIM(UPPER(W87)),9,1))&gt;=48,CODE(MID(TRIM(UPPER(W87)),9,1))&lt;=57),"N","Y"),IF($B87="Challan","",IF(W87&lt;&gt;"","◄ Set Row Type","")))</f>
      </c>
      <c r="Y87" s="23">
        <f>IF($B87="Entry",IF(LEN(W87)&lt;4,"",IF(UPPER(MID(W87,4,1))="P","Individual",IF(UPPER(MID(W87,4,1))="H","HUF",IF(UPPER(MID(W87,4,1))="C","Company",IF(UPPER(MID(W87,4,1))="F","Firm",IF(UPPER(MID(W87,4,1))="L","LLP",IF(UPPER(MID(W87,4,1))="T","Trust",IF(UPPER(MID(W87,4,1))="A","AOP","")))))))),IF($B87="Challan","",IF(W87&lt;&gt;"","◄ Set Row Type","")))</f>
      </c>
      <c r="Z87" s="28"/>
      <c r="AA87" s="29">
        <f>IF($B87&lt;&gt;"Entry","",IF(Z87="","",IF(X87="Y",SUMPRODUCT(('Rate Lookup'!$A$1:$A$37=Z87)*'Rate Lookup'!$D$1:$D$37),IF(OR(Y87="Individual",Y87="HUF"),SUMPRODUCT(('Rate Lookup'!$A$1:$A$37=Z87)*'Rate Lookup'!$B$1:$B$37),SUMPRODUCT(('Rate Lookup'!$A$1:$A$37=Z87)*'Rate Lookup'!$C$1:$C$37)))))</f>
      </c>
      <c r="AB87" s="30"/>
      <c r="AC87" s="31"/>
      <c r="AD87" s="27">
        <f>IF($B87&lt;&gt;"Entry","",ROUND(AC87*AA87/100,0))</f>
      </c>
      <c r="AE87" s="27">
        <f>IF($B87&lt;&gt;"Entry","",0)</f>
      </c>
      <c r="AF87" s="27">
        <f>IF($B87&lt;&gt;"Entry","",0)</f>
      </c>
      <c r="AG87" s="27">
        <f>IF($B87&lt;&gt;"Entry","",IF(OR(AD87=0,AB87="",AQ87="",AQ87&lt;=0),0,IF(AQ87&lt;=DATE(YEAR(AB87),MONTH(AB87)+1,7),0,ROUND(AD87*0.015*((YEAR(AQ87)-YEAR(AB87))*12+(MONTH(AQ87)-MONTH(AB87))+1),0))))</f>
      </c>
      <c r="AH87" s="27">
        <f>IF($B87&lt;&gt;"Entry","",0)</f>
      </c>
      <c r="AI87" s="28"/>
      <c r="AJ87" s="28"/>
      <c r="AK87" s="32"/>
      <c r="AL87" s="28"/>
      <c r="AM87" s="28"/>
      <c r="AN87" s="27">
        <f>IF($B87&lt;&gt;"Challan","",SUMIF('Q1 Data'!$D$4:$D$207,D87,'Q1 Data'!$AD$4:$AD$207)+SUMIF('Q1 Data'!$D$4:$D$207,D87,'Q1 Data'!$AG$4:$AG$207)+SUMIF('Q1 Data'!$D$4:$D$207,D87,'Q1 Data'!$AE$4:$AE$207)+SUMIF('Q2 Data'!$D$4:$D$207,D87,'Q2 Data'!$AD$4:$AD$207)+SUMIF('Q2 Data'!$D$4:$D$207,D87,'Q2 Data'!$AG$4:$AG$207)+SUMIF('Q2 Data'!$D$4:$D$207,D87,'Q2 Data'!$AE$4:$AE$207)+SUMIF('Q3 Data'!$D$4:$D$207,D87,'Q3 Data'!$AD$4:$AD$207)+SUMIF('Q3 Data'!$D$4:$D$207,D87,'Q3 Data'!$AG$4:$AG$207)+SUMIF('Q3 Data'!$D$4:$D$207,D87,'Q3 Data'!$AE$4:$AE$207)+SUMIF('Q4 Data'!$D$4:$D$207,D87,'Q4 Data'!$AD$4:$AD$207)+SUMIF('Q4 Data'!$D$4:$D$207,D87,'Q4 Data'!$AG$4:$AG$207)+SUMIF('Q4 Data'!$D$4:$D$207,D87,'Q4 Data'!$AE$4:$AE$207))</f>
      </c>
      <c r="AO87" s="27">
        <f>IF($B87&lt;&gt;"Challan","",P87-N87)</f>
      </c>
      <c r="AP87" s="27">
        <f>IF($B87&lt;&gt;"Challan","",MAX(0,AO87-AN87))</f>
      </c>
      <c r="AQ87" s="33">
        <f>IF($B87&lt;&gt;"Entry","",SUMPRODUCT(('Q1 Data'!$D$4:$D$207=D87)*('Q1 Data'!$B$4:$B$207="Challan")*'Q1 Data'!$F$4:$F$207)+SUMPRODUCT(('Q2 Data'!$D$4:$D$207=D87)*('Q2 Data'!$B$4:$B$207="Challan")*'Q2 Data'!$F$4:$F$207)+SUMPRODUCT(('Q3 Data'!$D$4:$D$207=D87)*('Q3 Data'!$B$4:$B$207="Challan")*'Q3 Data'!$F$4:$F$207)+SUMPRODUCT(('Q4 Data'!$D$4:$D$207=D87)*('Q4 Data'!$B$4:$B$207="Challan")*'Q4 Data'!$F$4:$F$207))</f>
      </c>
      <c r="AR87" s="34">
        <f>IF(OR($B87&lt;&gt;"Entry",Z87=""),FALSE,AND((SUMPRODUCT(('Q1 Data'!$D$4:$D$207=D87)*('Q1 Data'!$B$4:$B$207="Challan")*('Q1 Data'!$H$4:$H$207&lt;&gt;""))+SUMPRODUCT(('Q2 Data'!$D$4:$D$207=D87)*('Q2 Data'!$B$4:$B$207="Challan")*('Q2 Data'!$H$4:$H$207&lt;&gt;""))+SUMPRODUCT(('Q3 Data'!$D$4:$D$207=D87)*('Q3 Data'!$B$4:$B$207="Challan")*('Q3 Data'!$H$4:$H$207&lt;&gt;""))+SUMPRODUCT(('Q4 Data'!$D$4:$D$207=D87)*('Q4 Data'!$B$4:$B$207="Challan")*('Q4 Data'!$H$4:$H$207&lt;&gt;"")))&gt;0,(SUMPRODUCT(('Q1 Data'!$D$4:$D$207=D87)*('Q1 Data'!$B$4:$B$207="Challan")*('Q1 Data'!$H$4:$H$207=Z87))+SUMPRODUCT(('Q2 Data'!$D$4:$D$207=D87)*('Q2 Data'!$B$4:$B$207="Challan")*('Q2 Data'!$H$4:$H$207=Z87))+SUMPRODUCT(('Q3 Data'!$D$4:$D$207=D87)*('Q3 Data'!$B$4:$B$207="Challan")*('Q3 Data'!$H$4:$H$207=Z87))+SUMPRODUCT(('Q4 Data'!$D$4:$D$207=D87)*('Q4 Data'!$B$4:$B$207="Challan")*('Q4 Data'!$H$4:$H$207=Z87)))=0))</f>
      </c>
    </row>
    <row r="88" spans="1:44" x14ac:dyDescent="0.25">
      <c r="A88" s="20">
        <f>IF($B88="Entry",COUNTIF($B$4:$B88,"Entry"),"")</f>
      </c>
      <c r="B88" s="21"/>
      <c r="C88" s="22"/>
      <c r="D88" s="22"/>
      <c r="E88" s="23">
        <f>IF($B88&lt;&gt;"Challan","",IF(ROUND(AN88-AO88,2)&gt;0,"Over-applied",IF(ROUND(AN88-AO88,2)=0,"Fully Utilised","Unconsumed")))</f>
      </c>
      <c r="F88" s="24"/>
      <c r="G88" s="25"/>
      <c r="H88" s="25"/>
      <c r="I88" s="26"/>
      <c r="J88" s="26"/>
      <c r="K88" s="26"/>
      <c r="L88" s="26"/>
      <c r="M88" s="26"/>
      <c r="N88" s="26"/>
      <c r="O88" s="26"/>
      <c r="P88" s="27">
        <f>IF($B88&lt;&gt;"Challan","",I88+J88+K88+L88+M88+N88)</f>
      </c>
      <c r="Q88" s="25"/>
      <c r="R88" s="25"/>
      <c r="S88" s="25"/>
      <c r="T88" s="25"/>
      <c r="U88" s="25"/>
      <c r="V88" s="28"/>
      <c r="W88" s="28"/>
      <c r="X88" s="23">
        <f>IF($B88="Entry",IF(AND(LEN(TRIM(UPPER(W88)))=10,CODE(MID(TRIM(UPPER(W88)),1,1))&gt;=65,CODE(MID(TRIM(UPPER(W88)),1,1))&lt;=90,CODE(MID(TRIM(UPPER(W88)),2,1))&gt;=65,CODE(MID(TRIM(UPPER(W88)),2,1))&lt;=90,CODE(MID(TRIM(UPPER(W88)),3,1))&gt;=65,CODE(MID(TRIM(UPPER(W88)),3,1))&lt;=90,CODE(MID(TRIM(UPPER(W88)),4,1))&gt;=65,CODE(MID(TRIM(UPPER(W88)),4,1))&lt;=90,CODE(MID(TRIM(UPPER(W88)),5,1))&gt;=65,CODE(MID(TRIM(UPPER(W88)),5,1))&lt;=90,CODE(MID(TRIM(UPPER(W88)),10,1))&gt;=65,CODE(MID(TRIM(UPPER(W88)),10,1))&lt;=90,CODE(MID(TRIM(UPPER(W88)),6,1))&gt;=48,CODE(MID(TRIM(UPPER(W88)),6,1))&lt;=57,CODE(MID(TRIM(UPPER(W88)),7,1))&gt;=48,CODE(MID(TRIM(UPPER(W88)),7,1))&lt;=57,CODE(MID(TRIM(UPPER(W88)),8,1))&gt;=48,CODE(MID(TRIM(UPPER(W88)),8,1))&lt;=57,CODE(MID(TRIM(UPPER(W88)),9,1))&gt;=48,CODE(MID(TRIM(UPPER(W88)),9,1))&lt;=57),"N","Y"),IF($B88="Challan","",IF(W88&lt;&gt;"","◄ Set Row Type","")))</f>
      </c>
      <c r="Y88" s="23">
        <f>IF($B88="Entry",IF(LEN(W88)&lt;4,"",IF(UPPER(MID(W88,4,1))="P","Individual",IF(UPPER(MID(W88,4,1))="H","HUF",IF(UPPER(MID(W88,4,1))="C","Company",IF(UPPER(MID(W88,4,1))="F","Firm",IF(UPPER(MID(W88,4,1))="L","LLP",IF(UPPER(MID(W88,4,1))="T","Trust",IF(UPPER(MID(W88,4,1))="A","AOP","")))))))),IF($B88="Challan","",IF(W88&lt;&gt;"","◄ Set Row Type","")))</f>
      </c>
      <c r="Z88" s="28"/>
      <c r="AA88" s="29">
        <f>IF($B88&lt;&gt;"Entry","",IF(Z88="","",IF(X88="Y",SUMPRODUCT(('Rate Lookup'!$A$1:$A$37=Z88)*'Rate Lookup'!$D$1:$D$37),IF(OR(Y88="Individual",Y88="HUF"),SUMPRODUCT(('Rate Lookup'!$A$1:$A$37=Z88)*'Rate Lookup'!$B$1:$B$37),SUMPRODUCT(('Rate Lookup'!$A$1:$A$37=Z88)*'Rate Lookup'!$C$1:$C$37)))))</f>
      </c>
      <c r="AB88" s="30"/>
      <c r="AC88" s="31"/>
      <c r="AD88" s="27">
        <f>IF($B88&lt;&gt;"Entry","",ROUND(AC88*AA88/100,0))</f>
      </c>
      <c r="AE88" s="27">
        <f>IF($B88&lt;&gt;"Entry","",0)</f>
      </c>
      <c r="AF88" s="27">
        <f>IF($B88&lt;&gt;"Entry","",0)</f>
      </c>
      <c r="AG88" s="27">
        <f>IF($B88&lt;&gt;"Entry","",IF(OR(AD88=0,AB88="",AQ88="",AQ88&lt;=0),0,IF(AQ88&lt;=DATE(YEAR(AB88),MONTH(AB88)+1,7),0,ROUND(AD88*0.015*((YEAR(AQ88)-YEAR(AB88))*12+(MONTH(AQ88)-MONTH(AB88))+1),0))))</f>
      </c>
      <c r="AH88" s="27">
        <f>IF($B88&lt;&gt;"Entry","",0)</f>
      </c>
      <c r="AI88" s="28"/>
      <c r="AJ88" s="28"/>
      <c r="AK88" s="32"/>
      <c r="AL88" s="28"/>
      <c r="AM88" s="28"/>
      <c r="AN88" s="27">
        <f>IF($B88&lt;&gt;"Challan","",SUMIF('Q1 Data'!$D$4:$D$207,D88,'Q1 Data'!$AD$4:$AD$207)+SUMIF('Q1 Data'!$D$4:$D$207,D88,'Q1 Data'!$AG$4:$AG$207)+SUMIF('Q1 Data'!$D$4:$D$207,D88,'Q1 Data'!$AE$4:$AE$207)+SUMIF('Q2 Data'!$D$4:$D$207,D88,'Q2 Data'!$AD$4:$AD$207)+SUMIF('Q2 Data'!$D$4:$D$207,D88,'Q2 Data'!$AG$4:$AG$207)+SUMIF('Q2 Data'!$D$4:$D$207,D88,'Q2 Data'!$AE$4:$AE$207)+SUMIF('Q3 Data'!$D$4:$D$207,D88,'Q3 Data'!$AD$4:$AD$207)+SUMIF('Q3 Data'!$D$4:$D$207,D88,'Q3 Data'!$AG$4:$AG$207)+SUMIF('Q3 Data'!$D$4:$D$207,D88,'Q3 Data'!$AE$4:$AE$207)+SUMIF('Q4 Data'!$D$4:$D$207,D88,'Q4 Data'!$AD$4:$AD$207)+SUMIF('Q4 Data'!$D$4:$D$207,D88,'Q4 Data'!$AG$4:$AG$207)+SUMIF('Q4 Data'!$D$4:$D$207,D88,'Q4 Data'!$AE$4:$AE$207))</f>
      </c>
      <c r="AO88" s="27">
        <f>IF($B88&lt;&gt;"Challan","",P88-N88)</f>
      </c>
      <c r="AP88" s="27">
        <f>IF($B88&lt;&gt;"Challan","",MAX(0,AO88-AN88))</f>
      </c>
      <c r="AQ88" s="33">
        <f>IF($B88&lt;&gt;"Entry","",SUMPRODUCT(('Q1 Data'!$D$4:$D$207=D88)*('Q1 Data'!$B$4:$B$207="Challan")*'Q1 Data'!$F$4:$F$207)+SUMPRODUCT(('Q2 Data'!$D$4:$D$207=D88)*('Q2 Data'!$B$4:$B$207="Challan")*'Q2 Data'!$F$4:$F$207)+SUMPRODUCT(('Q3 Data'!$D$4:$D$207=D88)*('Q3 Data'!$B$4:$B$207="Challan")*'Q3 Data'!$F$4:$F$207)+SUMPRODUCT(('Q4 Data'!$D$4:$D$207=D88)*('Q4 Data'!$B$4:$B$207="Challan")*'Q4 Data'!$F$4:$F$207))</f>
      </c>
      <c r="AR88" s="34">
        <f>IF(OR($B88&lt;&gt;"Entry",Z88=""),FALSE,AND((SUMPRODUCT(('Q1 Data'!$D$4:$D$207=D88)*('Q1 Data'!$B$4:$B$207="Challan")*('Q1 Data'!$H$4:$H$207&lt;&gt;""))+SUMPRODUCT(('Q2 Data'!$D$4:$D$207=D88)*('Q2 Data'!$B$4:$B$207="Challan")*('Q2 Data'!$H$4:$H$207&lt;&gt;""))+SUMPRODUCT(('Q3 Data'!$D$4:$D$207=D88)*('Q3 Data'!$B$4:$B$207="Challan")*('Q3 Data'!$H$4:$H$207&lt;&gt;""))+SUMPRODUCT(('Q4 Data'!$D$4:$D$207=D88)*('Q4 Data'!$B$4:$B$207="Challan")*('Q4 Data'!$H$4:$H$207&lt;&gt;"")))&gt;0,(SUMPRODUCT(('Q1 Data'!$D$4:$D$207=D88)*('Q1 Data'!$B$4:$B$207="Challan")*('Q1 Data'!$H$4:$H$207=Z88))+SUMPRODUCT(('Q2 Data'!$D$4:$D$207=D88)*('Q2 Data'!$B$4:$B$207="Challan")*('Q2 Data'!$H$4:$H$207=Z88))+SUMPRODUCT(('Q3 Data'!$D$4:$D$207=D88)*('Q3 Data'!$B$4:$B$207="Challan")*('Q3 Data'!$H$4:$H$207=Z88))+SUMPRODUCT(('Q4 Data'!$D$4:$D$207=D88)*('Q4 Data'!$B$4:$B$207="Challan")*('Q4 Data'!$H$4:$H$207=Z88)))=0))</f>
      </c>
    </row>
    <row r="89" spans="1:44" x14ac:dyDescent="0.25">
      <c r="A89" s="20">
        <f>IF($B89="Entry",COUNTIF($B$4:$B89,"Entry"),"")</f>
      </c>
      <c r="B89" s="21"/>
      <c r="C89" s="22"/>
      <c r="D89" s="22"/>
      <c r="E89" s="23">
        <f>IF($B89&lt;&gt;"Challan","",IF(ROUND(AN89-AO89,2)&gt;0,"Over-applied",IF(ROUND(AN89-AO89,2)=0,"Fully Utilised","Unconsumed")))</f>
      </c>
      <c r="F89" s="24"/>
      <c r="G89" s="25"/>
      <c r="H89" s="25"/>
      <c r="I89" s="26"/>
      <c r="J89" s="26"/>
      <c r="K89" s="26"/>
      <c r="L89" s="26"/>
      <c r="M89" s="26"/>
      <c r="N89" s="26"/>
      <c r="O89" s="26"/>
      <c r="P89" s="27">
        <f>IF($B89&lt;&gt;"Challan","",I89+J89+K89+L89+M89+N89)</f>
      </c>
      <c r="Q89" s="25"/>
      <c r="R89" s="25"/>
      <c r="S89" s="25"/>
      <c r="T89" s="25"/>
      <c r="U89" s="25"/>
      <c r="V89" s="28"/>
      <c r="W89" s="28"/>
      <c r="X89" s="23">
        <f>IF($B89="Entry",IF(AND(LEN(TRIM(UPPER(W89)))=10,CODE(MID(TRIM(UPPER(W89)),1,1))&gt;=65,CODE(MID(TRIM(UPPER(W89)),1,1))&lt;=90,CODE(MID(TRIM(UPPER(W89)),2,1))&gt;=65,CODE(MID(TRIM(UPPER(W89)),2,1))&lt;=90,CODE(MID(TRIM(UPPER(W89)),3,1))&gt;=65,CODE(MID(TRIM(UPPER(W89)),3,1))&lt;=90,CODE(MID(TRIM(UPPER(W89)),4,1))&gt;=65,CODE(MID(TRIM(UPPER(W89)),4,1))&lt;=90,CODE(MID(TRIM(UPPER(W89)),5,1))&gt;=65,CODE(MID(TRIM(UPPER(W89)),5,1))&lt;=90,CODE(MID(TRIM(UPPER(W89)),10,1))&gt;=65,CODE(MID(TRIM(UPPER(W89)),10,1))&lt;=90,CODE(MID(TRIM(UPPER(W89)),6,1))&gt;=48,CODE(MID(TRIM(UPPER(W89)),6,1))&lt;=57,CODE(MID(TRIM(UPPER(W89)),7,1))&gt;=48,CODE(MID(TRIM(UPPER(W89)),7,1))&lt;=57,CODE(MID(TRIM(UPPER(W89)),8,1))&gt;=48,CODE(MID(TRIM(UPPER(W89)),8,1))&lt;=57,CODE(MID(TRIM(UPPER(W89)),9,1))&gt;=48,CODE(MID(TRIM(UPPER(W89)),9,1))&lt;=57),"N","Y"),IF($B89="Challan","",IF(W89&lt;&gt;"","◄ Set Row Type","")))</f>
      </c>
      <c r="Y89" s="23">
        <f>IF($B89="Entry",IF(LEN(W89)&lt;4,"",IF(UPPER(MID(W89,4,1))="P","Individual",IF(UPPER(MID(W89,4,1))="H","HUF",IF(UPPER(MID(W89,4,1))="C","Company",IF(UPPER(MID(W89,4,1))="F","Firm",IF(UPPER(MID(W89,4,1))="L","LLP",IF(UPPER(MID(W89,4,1))="T","Trust",IF(UPPER(MID(W89,4,1))="A","AOP","")))))))),IF($B89="Challan","",IF(W89&lt;&gt;"","◄ Set Row Type","")))</f>
      </c>
      <c r="Z89" s="28"/>
      <c r="AA89" s="29">
        <f>IF($B89&lt;&gt;"Entry","",IF(Z89="","",IF(X89="Y",SUMPRODUCT(('Rate Lookup'!$A$1:$A$37=Z89)*'Rate Lookup'!$D$1:$D$37),IF(OR(Y89="Individual",Y89="HUF"),SUMPRODUCT(('Rate Lookup'!$A$1:$A$37=Z89)*'Rate Lookup'!$B$1:$B$37),SUMPRODUCT(('Rate Lookup'!$A$1:$A$37=Z89)*'Rate Lookup'!$C$1:$C$37)))))</f>
      </c>
      <c r="AB89" s="30"/>
      <c r="AC89" s="31"/>
      <c r="AD89" s="27">
        <f>IF($B89&lt;&gt;"Entry","",ROUND(AC89*AA89/100,0))</f>
      </c>
      <c r="AE89" s="27">
        <f>IF($B89&lt;&gt;"Entry","",0)</f>
      </c>
      <c r="AF89" s="27">
        <f>IF($B89&lt;&gt;"Entry","",0)</f>
      </c>
      <c r="AG89" s="27">
        <f>IF($B89&lt;&gt;"Entry","",IF(OR(AD89=0,AB89="",AQ89="",AQ89&lt;=0),0,IF(AQ89&lt;=DATE(YEAR(AB89),MONTH(AB89)+1,7),0,ROUND(AD89*0.015*((YEAR(AQ89)-YEAR(AB89))*12+(MONTH(AQ89)-MONTH(AB89))+1),0))))</f>
      </c>
      <c r="AH89" s="27">
        <f>IF($B89&lt;&gt;"Entry","",0)</f>
      </c>
      <c r="AI89" s="28"/>
      <c r="AJ89" s="28"/>
      <c r="AK89" s="32"/>
      <c r="AL89" s="28"/>
      <c r="AM89" s="28"/>
      <c r="AN89" s="27">
        <f>IF($B89&lt;&gt;"Challan","",SUMIF('Q1 Data'!$D$4:$D$207,D89,'Q1 Data'!$AD$4:$AD$207)+SUMIF('Q1 Data'!$D$4:$D$207,D89,'Q1 Data'!$AG$4:$AG$207)+SUMIF('Q1 Data'!$D$4:$D$207,D89,'Q1 Data'!$AE$4:$AE$207)+SUMIF('Q2 Data'!$D$4:$D$207,D89,'Q2 Data'!$AD$4:$AD$207)+SUMIF('Q2 Data'!$D$4:$D$207,D89,'Q2 Data'!$AG$4:$AG$207)+SUMIF('Q2 Data'!$D$4:$D$207,D89,'Q2 Data'!$AE$4:$AE$207)+SUMIF('Q3 Data'!$D$4:$D$207,D89,'Q3 Data'!$AD$4:$AD$207)+SUMIF('Q3 Data'!$D$4:$D$207,D89,'Q3 Data'!$AG$4:$AG$207)+SUMIF('Q3 Data'!$D$4:$D$207,D89,'Q3 Data'!$AE$4:$AE$207)+SUMIF('Q4 Data'!$D$4:$D$207,D89,'Q4 Data'!$AD$4:$AD$207)+SUMIF('Q4 Data'!$D$4:$D$207,D89,'Q4 Data'!$AG$4:$AG$207)+SUMIF('Q4 Data'!$D$4:$D$207,D89,'Q4 Data'!$AE$4:$AE$207))</f>
      </c>
      <c r="AO89" s="27">
        <f>IF($B89&lt;&gt;"Challan","",P89-N89)</f>
      </c>
      <c r="AP89" s="27">
        <f>IF($B89&lt;&gt;"Challan","",MAX(0,AO89-AN89))</f>
      </c>
      <c r="AQ89" s="33">
        <f>IF($B89&lt;&gt;"Entry","",SUMPRODUCT(('Q1 Data'!$D$4:$D$207=D89)*('Q1 Data'!$B$4:$B$207="Challan")*'Q1 Data'!$F$4:$F$207)+SUMPRODUCT(('Q2 Data'!$D$4:$D$207=D89)*('Q2 Data'!$B$4:$B$207="Challan")*'Q2 Data'!$F$4:$F$207)+SUMPRODUCT(('Q3 Data'!$D$4:$D$207=D89)*('Q3 Data'!$B$4:$B$207="Challan")*'Q3 Data'!$F$4:$F$207)+SUMPRODUCT(('Q4 Data'!$D$4:$D$207=D89)*('Q4 Data'!$B$4:$B$207="Challan")*'Q4 Data'!$F$4:$F$207))</f>
      </c>
      <c r="AR89" s="34">
        <f>IF(OR($B89&lt;&gt;"Entry",Z89=""),FALSE,AND((SUMPRODUCT(('Q1 Data'!$D$4:$D$207=D89)*('Q1 Data'!$B$4:$B$207="Challan")*('Q1 Data'!$H$4:$H$207&lt;&gt;""))+SUMPRODUCT(('Q2 Data'!$D$4:$D$207=D89)*('Q2 Data'!$B$4:$B$207="Challan")*('Q2 Data'!$H$4:$H$207&lt;&gt;""))+SUMPRODUCT(('Q3 Data'!$D$4:$D$207=D89)*('Q3 Data'!$B$4:$B$207="Challan")*('Q3 Data'!$H$4:$H$207&lt;&gt;""))+SUMPRODUCT(('Q4 Data'!$D$4:$D$207=D89)*('Q4 Data'!$B$4:$B$207="Challan")*('Q4 Data'!$H$4:$H$207&lt;&gt;"")))&gt;0,(SUMPRODUCT(('Q1 Data'!$D$4:$D$207=D89)*('Q1 Data'!$B$4:$B$207="Challan")*('Q1 Data'!$H$4:$H$207=Z89))+SUMPRODUCT(('Q2 Data'!$D$4:$D$207=D89)*('Q2 Data'!$B$4:$B$207="Challan")*('Q2 Data'!$H$4:$H$207=Z89))+SUMPRODUCT(('Q3 Data'!$D$4:$D$207=D89)*('Q3 Data'!$B$4:$B$207="Challan")*('Q3 Data'!$H$4:$H$207=Z89))+SUMPRODUCT(('Q4 Data'!$D$4:$D$207=D89)*('Q4 Data'!$B$4:$B$207="Challan")*('Q4 Data'!$H$4:$H$207=Z89)))=0))</f>
      </c>
    </row>
    <row r="90" spans="1:44" x14ac:dyDescent="0.25">
      <c r="A90" s="20">
        <f>IF($B90="Entry",COUNTIF($B$4:$B90,"Entry"),"")</f>
      </c>
      <c r="B90" s="21"/>
      <c r="C90" s="22"/>
      <c r="D90" s="22"/>
      <c r="E90" s="23">
        <f>IF($B90&lt;&gt;"Challan","",IF(ROUND(AN90-AO90,2)&gt;0,"Over-applied",IF(ROUND(AN90-AO90,2)=0,"Fully Utilised","Unconsumed")))</f>
      </c>
      <c r="F90" s="24"/>
      <c r="G90" s="25"/>
      <c r="H90" s="25"/>
      <c r="I90" s="26"/>
      <c r="J90" s="26"/>
      <c r="K90" s="26"/>
      <c r="L90" s="26"/>
      <c r="M90" s="26"/>
      <c r="N90" s="26"/>
      <c r="O90" s="26"/>
      <c r="P90" s="27">
        <f>IF($B90&lt;&gt;"Challan","",I90+J90+K90+L90+M90+N90)</f>
      </c>
      <c r="Q90" s="25"/>
      <c r="R90" s="25"/>
      <c r="S90" s="25"/>
      <c r="T90" s="25"/>
      <c r="U90" s="25"/>
      <c r="V90" s="28"/>
      <c r="W90" s="28"/>
      <c r="X90" s="23">
        <f>IF($B90="Entry",IF(AND(LEN(TRIM(UPPER(W90)))=10,CODE(MID(TRIM(UPPER(W90)),1,1))&gt;=65,CODE(MID(TRIM(UPPER(W90)),1,1))&lt;=90,CODE(MID(TRIM(UPPER(W90)),2,1))&gt;=65,CODE(MID(TRIM(UPPER(W90)),2,1))&lt;=90,CODE(MID(TRIM(UPPER(W90)),3,1))&gt;=65,CODE(MID(TRIM(UPPER(W90)),3,1))&lt;=90,CODE(MID(TRIM(UPPER(W90)),4,1))&gt;=65,CODE(MID(TRIM(UPPER(W90)),4,1))&lt;=90,CODE(MID(TRIM(UPPER(W90)),5,1))&gt;=65,CODE(MID(TRIM(UPPER(W90)),5,1))&lt;=90,CODE(MID(TRIM(UPPER(W90)),10,1))&gt;=65,CODE(MID(TRIM(UPPER(W90)),10,1))&lt;=90,CODE(MID(TRIM(UPPER(W90)),6,1))&gt;=48,CODE(MID(TRIM(UPPER(W90)),6,1))&lt;=57,CODE(MID(TRIM(UPPER(W90)),7,1))&gt;=48,CODE(MID(TRIM(UPPER(W90)),7,1))&lt;=57,CODE(MID(TRIM(UPPER(W90)),8,1))&gt;=48,CODE(MID(TRIM(UPPER(W90)),8,1))&lt;=57,CODE(MID(TRIM(UPPER(W90)),9,1))&gt;=48,CODE(MID(TRIM(UPPER(W90)),9,1))&lt;=57),"N","Y"),IF($B90="Challan","",IF(W90&lt;&gt;"","◄ Set Row Type","")))</f>
      </c>
      <c r="Y90" s="23">
        <f>IF($B90="Entry",IF(LEN(W90)&lt;4,"",IF(UPPER(MID(W90,4,1))="P","Individual",IF(UPPER(MID(W90,4,1))="H","HUF",IF(UPPER(MID(W90,4,1))="C","Company",IF(UPPER(MID(W90,4,1))="F","Firm",IF(UPPER(MID(W90,4,1))="L","LLP",IF(UPPER(MID(W90,4,1))="T","Trust",IF(UPPER(MID(W90,4,1))="A","AOP","")))))))),IF($B90="Challan","",IF(W90&lt;&gt;"","◄ Set Row Type","")))</f>
      </c>
      <c r="Z90" s="28"/>
      <c r="AA90" s="29">
        <f>IF($B90&lt;&gt;"Entry","",IF(Z90="","",IF(X90="Y",SUMPRODUCT(('Rate Lookup'!$A$1:$A$37=Z90)*'Rate Lookup'!$D$1:$D$37),IF(OR(Y90="Individual",Y90="HUF"),SUMPRODUCT(('Rate Lookup'!$A$1:$A$37=Z90)*'Rate Lookup'!$B$1:$B$37),SUMPRODUCT(('Rate Lookup'!$A$1:$A$37=Z90)*'Rate Lookup'!$C$1:$C$37)))))</f>
      </c>
      <c r="AB90" s="30"/>
      <c r="AC90" s="31"/>
      <c r="AD90" s="27">
        <f>IF($B90&lt;&gt;"Entry","",ROUND(AC90*AA90/100,0))</f>
      </c>
      <c r="AE90" s="27">
        <f>IF($B90&lt;&gt;"Entry","",0)</f>
      </c>
      <c r="AF90" s="27">
        <f>IF($B90&lt;&gt;"Entry","",0)</f>
      </c>
      <c r="AG90" s="27">
        <f>IF($B90&lt;&gt;"Entry","",IF(OR(AD90=0,AB90="",AQ90="",AQ90&lt;=0),0,IF(AQ90&lt;=DATE(YEAR(AB90),MONTH(AB90)+1,7),0,ROUND(AD90*0.015*((YEAR(AQ90)-YEAR(AB90))*12+(MONTH(AQ90)-MONTH(AB90))+1),0))))</f>
      </c>
      <c r="AH90" s="27">
        <f>IF($B90&lt;&gt;"Entry","",0)</f>
      </c>
      <c r="AI90" s="28"/>
      <c r="AJ90" s="28"/>
      <c r="AK90" s="32"/>
      <c r="AL90" s="28"/>
      <c r="AM90" s="28"/>
      <c r="AN90" s="27">
        <f>IF($B90&lt;&gt;"Challan","",SUMIF('Q1 Data'!$D$4:$D$207,D90,'Q1 Data'!$AD$4:$AD$207)+SUMIF('Q1 Data'!$D$4:$D$207,D90,'Q1 Data'!$AG$4:$AG$207)+SUMIF('Q1 Data'!$D$4:$D$207,D90,'Q1 Data'!$AE$4:$AE$207)+SUMIF('Q2 Data'!$D$4:$D$207,D90,'Q2 Data'!$AD$4:$AD$207)+SUMIF('Q2 Data'!$D$4:$D$207,D90,'Q2 Data'!$AG$4:$AG$207)+SUMIF('Q2 Data'!$D$4:$D$207,D90,'Q2 Data'!$AE$4:$AE$207)+SUMIF('Q3 Data'!$D$4:$D$207,D90,'Q3 Data'!$AD$4:$AD$207)+SUMIF('Q3 Data'!$D$4:$D$207,D90,'Q3 Data'!$AG$4:$AG$207)+SUMIF('Q3 Data'!$D$4:$D$207,D90,'Q3 Data'!$AE$4:$AE$207)+SUMIF('Q4 Data'!$D$4:$D$207,D90,'Q4 Data'!$AD$4:$AD$207)+SUMIF('Q4 Data'!$D$4:$D$207,D90,'Q4 Data'!$AG$4:$AG$207)+SUMIF('Q4 Data'!$D$4:$D$207,D90,'Q4 Data'!$AE$4:$AE$207))</f>
      </c>
      <c r="AO90" s="27">
        <f>IF($B90&lt;&gt;"Challan","",P90-N90)</f>
      </c>
      <c r="AP90" s="27">
        <f>IF($B90&lt;&gt;"Challan","",MAX(0,AO90-AN90))</f>
      </c>
      <c r="AQ90" s="33">
        <f>IF($B90&lt;&gt;"Entry","",SUMPRODUCT(('Q1 Data'!$D$4:$D$207=D90)*('Q1 Data'!$B$4:$B$207="Challan")*'Q1 Data'!$F$4:$F$207)+SUMPRODUCT(('Q2 Data'!$D$4:$D$207=D90)*('Q2 Data'!$B$4:$B$207="Challan")*'Q2 Data'!$F$4:$F$207)+SUMPRODUCT(('Q3 Data'!$D$4:$D$207=D90)*('Q3 Data'!$B$4:$B$207="Challan")*'Q3 Data'!$F$4:$F$207)+SUMPRODUCT(('Q4 Data'!$D$4:$D$207=D90)*('Q4 Data'!$B$4:$B$207="Challan")*'Q4 Data'!$F$4:$F$207))</f>
      </c>
      <c r="AR90" s="34">
        <f>IF(OR($B90&lt;&gt;"Entry",Z90=""),FALSE,AND((SUMPRODUCT(('Q1 Data'!$D$4:$D$207=D90)*('Q1 Data'!$B$4:$B$207="Challan")*('Q1 Data'!$H$4:$H$207&lt;&gt;""))+SUMPRODUCT(('Q2 Data'!$D$4:$D$207=D90)*('Q2 Data'!$B$4:$B$207="Challan")*('Q2 Data'!$H$4:$H$207&lt;&gt;""))+SUMPRODUCT(('Q3 Data'!$D$4:$D$207=D90)*('Q3 Data'!$B$4:$B$207="Challan")*('Q3 Data'!$H$4:$H$207&lt;&gt;""))+SUMPRODUCT(('Q4 Data'!$D$4:$D$207=D90)*('Q4 Data'!$B$4:$B$207="Challan")*('Q4 Data'!$H$4:$H$207&lt;&gt;"")))&gt;0,(SUMPRODUCT(('Q1 Data'!$D$4:$D$207=D90)*('Q1 Data'!$B$4:$B$207="Challan")*('Q1 Data'!$H$4:$H$207=Z90))+SUMPRODUCT(('Q2 Data'!$D$4:$D$207=D90)*('Q2 Data'!$B$4:$B$207="Challan")*('Q2 Data'!$H$4:$H$207=Z90))+SUMPRODUCT(('Q3 Data'!$D$4:$D$207=D90)*('Q3 Data'!$B$4:$B$207="Challan")*('Q3 Data'!$H$4:$H$207=Z90))+SUMPRODUCT(('Q4 Data'!$D$4:$D$207=D90)*('Q4 Data'!$B$4:$B$207="Challan")*('Q4 Data'!$H$4:$H$207=Z90)))=0))</f>
      </c>
    </row>
    <row r="91" spans="1:44" x14ac:dyDescent="0.25">
      <c r="A91" s="20">
        <f>IF($B91="Entry",COUNTIF($B$4:$B91,"Entry"),"")</f>
      </c>
      <c r="B91" s="21"/>
      <c r="C91" s="22"/>
      <c r="D91" s="22"/>
      <c r="E91" s="23">
        <f>IF($B91&lt;&gt;"Challan","",IF(ROUND(AN91-AO91,2)&gt;0,"Over-applied",IF(ROUND(AN91-AO91,2)=0,"Fully Utilised","Unconsumed")))</f>
      </c>
      <c r="F91" s="24"/>
      <c r="G91" s="25"/>
      <c r="H91" s="25"/>
      <c r="I91" s="26"/>
      <c r="J91" s="26"/>
      <c r="K91" s="26"/>
      <c r="L91" s="26"/>
      <c r="M91" s="26"/>
      <c r="N91" s="26"/>
      <c r="O91" s="26"/>
      <c r="P91" s="27">
        <f>IF($B91&lt;&gt;"Challan","",I91+J91+K91+L91+M91+N91)</f>
      </c>
      <c r="Q91" s="25"/>
      <c r="R91" s="25"/>
      <c r="S91" s="25"/>
      <c r="T91" s="25"/>
      <c r="U91" s="25"/>
      <c r="V91" s="28"/>
      <c r="W91" s="28"/>
      <c r="X91" s="23">
        <f>IF($B91="Entry",IF(AND(LEN(TRIM(UPPER(W91)))=10,CODE(MID(TRIM(UPPER(W91)),1,1))&gt;=65,CODE(MID(TRIM(UPPER(W91)),1,1))&lt;=90,CODE(MID(TRIM(UPPER(W91)),2,1))&gt;=65,CODE(MID(TRIM(UPPER(W91)),2,1))&lt;=90,CODE(MID(TRIM(UPPER(W91)),3,1))&gt;=65,CODE(MID(TRIM(UPPER(W91)),3,1))&lt;=90,CODE(MID(TRIM(UPPER(W91)),4,1))&gt;=65,CODE(MID(TRIM(UPPER(W91)),4,1))&lt;=90,CODE(MID(TRIM(UPPER(W91)),5,1))&gt;=65,CODE(MID(TRIM(UPPER(W91)),5,1))&lt;=90,CODE(MID(TRIM(UPPER(W91)),10,1))&gt;=65,CODE(MID(TRIM(UPPER(W91)),10,1))&lt;=90,CODE(MID(TRIM(UPPER(W91)),6,1))&gt;=48,CODE(MID(TRIM(UPPER(W91)),6,1))&lt;=57,CODE(MID(TRIM(UPPER(W91)),7,1))&gt;=48,CODE(MID(TRIM(UPPER(W91)),7,1))&lt;=57,CODE(MID(TRIM(UPPER(W91)),8,1))&gt;=48,CODE(MID(TRIM(UPPER(W91)),8,1))&lt;=57,CODE(MID(TRIM(UPPER(W91)),9,1))&gt;=48,CODE(MID(TRIM(UPPER(W91)),9,1))&lt;=57),"N","Y"),IF($B91="Challan","",IF(W91&lt;&gt;"","◄ Set Row Type","")))</f>
      </c>
      <c r="Y91" s="23">
        <f>IF($B91="Entry",IF(LEN(W91)&lt;4,"",IF(UPPER(MID(W91,4,1))="P","Individual",IF(UPPER(MID(W91,4,1))="H","HUF",IF(UPPER(MID(W91,4,1))="C","Company",IF(UPPER(MID(W91,4,1))="F","Firm",IF(UPPER(MID(W91,4,1))="L","LLP",IF(UPPER(MID(W91,4,1))="T","Trust",IF(UPPER(MID(W91,4,1))="A","AOP","")))))))),IF($B91="Challan","",IF(W91&lt;&gt;"","◄ Set Row Type","")))</f>
      </c>
      <c r="Z91" s="28"/>
      <c r="AA91" s="29">
        <f>IF($B91&lt;&gt;"Entry","",IF(Z91="","",IF(X91="Y",SUMPRODUCT(('Rate Lookup'!$A$1:$A$37=Z91)*'Rate Lookup'!$D$1:$D$37),IF(OR(Y91="Individual",Y91="HUF"),SUMPRODUCT(('Rate Lookup'!$A$1:$A$37=Z91)*'Rate Lookup'!$B$1:$B$37),SUMPRODUCT(('Rate Lookup'!$A$1:$A$37=Z91)*'Rate Lookup'!$C$1:$C$37)))))</f>
      </c>
      <c r="AB91" s="30"/>
      <c r="AC91" s="31"/>
      <c r="AD91" s="27">
        <f>IF($B91&lt;&gt;"Entry","",ROUND(AC91*AA91/100,0))</f>
      </c>
      <c r="AE91" s="27">
        <f>IF($B91&lt;&gt;"Entry","",0)</f>
      </c>
      <c r="AF91" s="27">
        <f>IF($B91&lt;&gt;"Entry","",0)</f>
      </c>
      <c r="AG91" s="27">
        <f>IF($B91&lt;&gt;"Entry","",IF(OR(AD91=0,AB91="",AQ91="",AQ91&lt;=0),0,IF(AQ91&lt;=DATE(YEAR(AB91),MONTH(AB91)+1,7),0,ROUND(AD91*0.015*((YEAR(AQ91)-YEAR(AB91))*12+(MONTH(AQ91)-MONTH(AB91))+1),0))))</f>
      </c>
      <c r="AH91" s="27">
        <f>IF($B91&lt;&gt;"Entry","",0)</f>
      </c>
      <c r="AI91" s="28"/>
      <c r="AJ91" s="28"/>
      <c r="AK91" s="32"/>
      <c r="AL91" s="28"/>
      <c r="AM91" s="28"/>
      <c r="AN91" s="27">
        <f>IF($B91&lt;&gt;"Challan","",SUMIF('Q1 Data'!$D$4:$D$207,D91,'Q1 Data'!$AD$4:$AD$207)+SUMIF('Q1 Data'!$D$4:$D$207,D91,'Q1 Data'!$AG$4:$AG$207)+SUMIF('Q1 Data'!$D$4:$D$207,D91,'Q1 Data'!$AE$4:$AE$207)+SUMIF('Q2 Data'!$D$4:$D$207,D91,'Q2 Data'!$AD$4:$AD$207)+SUMIF('Q2 Data'!$D$4:$D$207,D91,'Q2 Data'!$AG$4:$AG$207)+SUMIF('Q2 Data'!$D$4:$D$207,D91,'Q2 Data'!$AE$4:$AE$207)+SUMIF('Q3 Data'!$D$4:$D$207,D91,'Q3 Data'!$AD$4:$AD$207)+SUMIF('Q3 Data'!$D$4:$D$207,D91,'Q3 Data'!$AG$4:$AG$207)+SUMIF('Q3 Data'!$D$4:$D$207,D91,'Q3 Data'!$AE$4:$AE$207)+SUMIF('Q4 Data'!$D$4:$D$207,D91,'Q4 Data'!$AD$4:$AD$207)+SUMIF('Q4 Data'!$D$4:$D$207,D91,'Q4 Data'!$AG$4:$AG$207)+SUMIF('Q4 Data'!$D$4:$D$207,D91,'Q4 Data'!$AE$4:$AE$207))</f>
      </c>
      <c r="AO91" s="27">
        <f>IF($B91&lt;&gt;"Challan","",P91-N91)</f>
      </c>
      <c r="AP91" s="27">
        <f>IF($B91&lt;&gt;"Challan","",MAX(0,AO91-AN91))</f>
      </c>
      <c r="AQ91" s="33">
        <f>IF($B91&lt;&gt;"Entry","",SUMPRODUCT(('Q1 Data'!$D$4:$D$207=D91)*('Q1 Data'!$B$4:$B$207="Challan")*'Q1 Data'!$F$4:$F$207)+SUMPRODUCT(('Q2 Data'!$D$4:$D$207=D91)*('Q2 Data'!$B$4:$B$207="Challan")*'Q2 Data'!$F$4:$F$207)+SUMPRODUCT(('Q3 Data'!$D$4:$D$207=D91)*('Q3 Data'!$B$4:$B$207="Challan")*'Q3 Data'!$F$4:$F$207)+SUMPRODUCT(('Q4 Data'!$D$4:$D$207=D91)*('Q4 Data'!$B$4:$B$207="Challan")*'Q4 Data'!$F$4:$F$207))</f>
      </c>
      <c r="AR91" s="34">
        <f>IF(OR($B91&lt;&gt;"Entry",Z91=""),FALSE,AND((SUMPRODUCT(('Q1 Data'!$D$4:$D$207=D91)*('Q1 Data'!$B$4:$B$207="Challan")*('Q1 Data'!$H$4:$H$207&lt;&gt;""))+SUMPRODUCT(('Q2 Data'!$D$4:$D$207=D91)*('Q2 Data'!$B$4:$B$207="Challan")*('Q2 Data'!$H$4:$H$207&lt;&gt;""))+SUMPRODUCT(('Q3 Data'!$D$4:$D$207=D91)*('Q3 Data'!$B$4:$B$207="Challan")*('Q3 Data'!$H$4:$H$207&lt;&gt;""))+SUMPRODUCT(('Q4 Data'!$D$4:$D$207=D91)*('Q4 Data'!$B$4:$B$207="Challan")*('Q4 Data'!$H$4:$H$207&lt;&gt;"")))&gt;0,(SUMPRODUCT(('Q1 Data'!$D$4:$D$207=D91)*('Q1 Data'!$B$4:$B$207="Challan")*('Q1 Data'!$H$4:$H$207=Z91))+SUMPRODUCT(('Q2 Data'!$D$4:$D$207=D91)*('Q2 Data'!$B$4:$B$207="Challan")*('Q2 Data'!$H$4:$H$207=Z91))+SUMPRODUCT(('Q3 Data'!$D$4:$D$207=D91)*('Q3 Data'!$B$4:$B$207="Challan")*('Q3 Data'!$H$4:$H$207=Z91))+SUMPRODUCT(('Q4 Data'!$D$4:$D$207=D91)*('Q4 Data'!$B$4:$B$207="Challan")*('Q4 Data'!$H$4:$H$207=Z91)))=0))</f>
      </c>
    </row>
    <row r="92" spans="1:44" x14ac:dyDescent="0.25">
      <c r="A92" s="20">
        <f>IF($B92="Entry",COUNTIF($B$4:$B92,"Entry"),"")</f>
      </c>
      <c r="B92" s="21"/>
      <c r="C92" s="22"/>
      <c r="D92" s="22"/>
      <c r="E92" s="23">
        <f>IF($B92&lt;&gt;"Challan","",IF(ROUND(AN92-AO92,2)&gt;0,"Over-applied",IF(ROUND(AN92-AO92,2)=0,"Fully Utilised","Unconsumed")))</f>
      </c>
      <c r="F92" s="24"/>
      <c r="G92" s="25"/>
      <c r="H92" s="25"/>
      <c r="I92" s="26"/>
      <c r="J92" s="26"/>
      <c r="K92" s="26"/>
      <c r="L92" s="26"/>
      <c r="M92" s="26"/>
      <c r="N92" s="26"/>
      <c r="O92" s="26"/>
      <c r="P92" s="27">
        <f>IF($B92&lt;&gt;"Challan","",I92+J92+K92+L92+M92+N92)</f>
      </c>
      <c r="Q92" s="25"/>
      <c r="R92" s="25"/>
      <c r="S92" s="25"/>
      <c r="T92" s="25"/>
      <c r="U92" s="25"/>
      <c r="V92" s="28"/>
      <c r="W92" s="28"/>
      <c r="X92" s="23">
        <f>IF($B92="Entry",IF(AND(LEN(TRIM(UPPER(W92)))=10,CODE(MID(TRIM(UPPER(W92)),1,1))&gt;=65,CODE(MID(TRIM(UPPER(W92)),1,1))&lt;=90,CODE(MID(TRIM(UPPER(W92)),2,1))&gt;=65,CODE(MID(TRIM(UPPER(W92)),2,1))&lt;=90,CODE(MID(TRIM(UPPER(W92)),3,1))&gt;=65,CODE(MID(TRIM(UPPER(W92)),3,1))&lt;=90,CODE(MID(TRIM(UPPER(W92)),4,1))&gt;=65,CODE(MID(TRIM(UPPER(W92)),4,1))&lt;=90,CODE(MID(TRIM(UPPER(W92)),5,1))&gt;=65,CODE(MID(TRIM(UPPER(W92)),5,1))&lt;=90,CODE(MID(TRIM(UPPER(W92)),10,1))&gt;=65,CODE(MID(TRIM(UPPER(W92)),10,1))&lt;=90,CODE(MID(TRIM(UPPER(W92)),6,1))&gt;=48,CODE(MID(TRIM(UPPER(W92)),6,1))&lt;=57,CODE(MID(TRIM(UPPER(W92)),7,1))&gt;=48,CODE(MID(TRIM(UPPER(W92)),7,1))&lt;=57,CODE(MID(TRIM(UPPER(W92)),8,1))&gt;=48,CODE(MID(TRIM(UPPER(W92)),8,1))&lt;=57,CODE(MID(TRIM(UPPER(W92)),9,1))&gt;=48,CODE(MID(TRIM(UPPER(W92)),9,1))&lt;=57),"N","Y"),IF($B92="Challan","",IF(W92&lt;&gt;"","◄ Set Row Type","")))</f>
      </c>
      <c r="Y92" s="23">
        <f>IF($B92="Entry",IF(LEN(W92)&lt;4,"",IF(UPPER(MID(W92,4,1))="P","Individual",IF(UPPER(MID(W92,4,1))="H","HUF",IF(UPPER(MID(W92,4,1))="C","Company",IF(UPPER(MID(W92,4,1))="F","Firm",IF(UPPER(MID(W92,4,1))="L","LLP",IF(UPPER(MID(W92,4,1))="T","Trust",IF(UPPER(MID(W92,4,1))="A","AOP","")))))))),IF($B92="Challan","",IF(W92&lt;&gt;"","◄ Set Row Type","")))</f>
      </c>
      <c r="Z92" s="28"/>
      <c r="AA92" s="29">
        <f>IF($B92&lt;&gt;"Entry","",IF(Z92="","",IF(X92="Y",SUMPRODUCT(('Rate Lookup'!$A$1:$A$37=Z92)*'Rate Lookup'!$D$1:$D$37),IF(OR(Y92="Individual",Y92="HUF"),SUMPRODUCT(('Rate Lookup'!$A$1:$A$37=Z92)*'Rate Lookup'!$B$1:$B$37),SUMPRODUCT(('Rate Lookup'!$A$1:$A$37=Z92)*'Rate Lookup'!$C$1:$C$37)))))</f>
      </c>
      <c r="AB92" s="30"/>
      <c r="AC92" s="31"/>
      <c r="AD92" s="27">
        <f>IF($B92&lt;&gt;"Entry","",ROUND(AC92*AA92/100,0))</f>
      </c>
      <c r="AE92" s="27">
        <f>IF($B92&lt;&gt;"Entry","",0)</f>
      </c>
      <c r="AF92" s="27">
        <f>IF($B92&lt;&gt;"Entry","",0)</f>
      </c>
      <c r="AG92" s="27">
        <f>IF($B92&lt;&gt;"Entry","",IF(OR(AD92=0,AB92="",AQ92="",AQ92&lt;=0),0,IF(AQ92&lt;=DATE(YEAR(AB92),MONTH(AB92)+1,7),0,ROUND(AD92*0.015*((YEAR(AQ92)-YEAR(AB92))*12+(MONTH(AQ92)-MONTH(AB92))+1),0))))</f>
      </c>
      <c r="AH92" s="27">
        <f>IF($B92&lt;&gt;"Entry","",0)</f>
      </c>
      <c r="AI92" s="28"/>
      <c r="AJ92" s="28"/>
      <c r="AK92" s="32"/>
      <c r="AL92" s="28"/>
      <c r="AM92" s="28"/>
      <c r="AN92" s="27">
        <f>IF($B92&lt;&gt;"Challan","",SUMIF('Q1 Data'!$D$4:$D$207,D92,'Q1 Data'!$AD$4:$AD$207)+SUMIF('Q1 Data'!$D$4:$D$207,D92,'Q1 Data'!$AG$4:$AG$207)+SUMIF('Q1 Data'!$D$4:$D$207,D92,'Q1 Data'!$AE$4:$AE$207)+SUMIF('Q2 Data'!$D$4:$D$207,D92,'Q2 Data'!$AD$4:$AD$207)+SUMIF('Q2 Data'!$D$4:$D$207,D92,'Q2 Data'!$AG$4:$AG$207)+SUMIF('Q2 Data'!$D$4:$D$207,D92,'Q2 Data'!$AE$4:$AE$207)+SUMIF('Q3 Data'!$D$4:$D$207,D92,'Q3 Data'!$AD$4:$AD$207)+SUMIF('Q3 Data'!$D$4:$D$207,D92,'Q3 Data'!$AG$4:$AG$207)+SUMIF('Q3 Data'!$D$4:$D$207,D92,'Q3 Data'!$AE$4:$AE$207)+SUMIF('Q4 Data'!$D$4:$D$207,D92,'Q4 Data'!$AD$4:$AD$207)+SUMIF('Q4 Data'!$D$4:$D$207,D92,'Q4 Data'!$AG$4:$AG$207)+SUMIF('Q4 Data'!$D$4:$D$207,D92,'Q4 Data'!$AE$4:$AE$207))</f>
      </c>
      <c r="AO92" s="27">
        <f>IF($B92&lt;&gt;"Challan","",P92-N92)</f>
      </c>
      <c r="AP92" s="27">
        <f>IF($B92&lt;&gt;"Challan","",MAX(0,AO92-AN92))</f>
      </c>
      <c r="AQ92" s="33">
        <f>IF($B92&lt;&gt;"Entry","",SUMPRODUCT(('Q1 Data'!$D$4:$D$207=D92)*('Q1 Data'!$B$4:$B$207="Challan")*'Q1 Data'!$F$4:$F$207)+SUMPRODUCT(('Q2 Data'!$D$4:$D$207=D92)*('Q2 Data'!$B$4:$B$207="Challan")*'Q2 Data'!$F$4:$F$207)+SUMPRODUCT(('Q3 Data'!$D$4:$D$207=D92)*('Q3 Data'!$B$4:$B$207="Challan")*'Q3 Data'!$F$4:$F$207)+SUMPRODUCT(('Q4 Data'!$D$4:$D$207=D92)*('Q4 Data'!$B$4:$B$207="Challan")*'Q4 Data'!$F$4:$F$207))</f>
      </c>
      <c r="AR92" s="34">
        <f>IF(OR($B92&lt;&gt;"Entry",Z92=""),FALSE,AND((SUMPRODUCT(('Q1 Data'!$D$4:$D$207=D92)*('Q1 Data'!$B$4:$B$207="Challan")*('Q1 Data'!$H$4:$H$207&lt;&gt;""))+SUMPRODUCT(('Q2 Data'!$D$4:$D$207=D92)*('Q2 Data'!$B$4:$B$207="Challan")*('Q2 Data'!$H$4:$H$207&lt;&gt;""))+SUMPRODUCT(('Q3 Data'!$D$4:$D$207=D92)*('Q3 Data'!$B$4:$B$207="Challan")*('Q3 Data'!$H$4:$H$207&lt;&gt;""))+SUMPRODUCT(('Q4 Data'!$D$4:$D$207=D92)*('Q4 Data'!$B$4:$B$207="Challan")*('Q4 Data'!$H$4:$H$207&lt;&gt;"")))&gt;0,(SUMPRODUCT(('Q1 Data'!$D$4:$D$207=D92)*('Q1 Data'!$B$4:$B$207="Challan")*('Q1 Data'!$H$4:$H$207=Z92))+SUMPRODUCT(('Q2 Data'!$D$4:$D$207=D92)*('Q2 Data'!$B$4:$B$207="Challan")*('Q2 Data'!$H$4:$H$207=Z92))+SUMPRODUCT(('Q3 Data'!$D$4:$D$207=D92)*('Q3 Data'!$B$4:$B$207="Challan")*('Q3 Data'!$H$4:$H$207=Z92))+SUMPRODUCT(('Q4 Data'!$D$4:$D$207=D92)*('Q4 Data'!$B$4:$B$207="Challan")*('Q4 Data'!$H$4:$H$207=Z92)))=0))</f>
      </c>
    </row>
    <row r="93" spans="1:44" x14ac:dyDescent="0.25">
      <c r="A93" s="20">
        <f>IF($B93="Entry",COUNTIF($B$4:$B93,"Entry"),"")</f>
      </c>
      <c r="B93" s="21"/>
      <c r="C93" s="22"/>
      <c r="D93" s="22"/>
      <c r="E93" s="23">
        <f>IF($B93&lt;&gt;"Challan","",IF(ROUND(AN93-AO93,2)&gt;0,"Over-applied",IF(ROUND(AN93-AO93,2)=0,"Fully Utilised","Unconsumed")))</f>
      </c>
      <c r="F93" s="24"/>
      <c r="G93" s="25"/>
      <c r="H93" s="25"/>
      <c r="I93" s="26"/>
      <c r="J93" s="26"/>
      <c r="K93" s="26"/>
      <c r="L93" s="26"/>
      <c r="M93" s="26"/>
      <c r="N93" s="26"/>
      <c r="O93" s="26"/>
      <c r="P93" s="27">
        <f>IF($B93&lt;&gt;"Challan","",I93+J93+K93+L93+M93+N93)</f>
      </c>
      <c r="Q93" s="25"/>
      <c r="R93" s="25"/>
      <c r="S93" s="25"/>
      <c r="T93" s="25"/>
      <c r="U93" s="25"/>
      <c r="V93" s="28"/>
      <c r="W93" s="28"/>
      <c r="X93" s="23">
        <f>IF($B93="Entry",IF(AND(LEN(TRIM(UPPER(W93)))=10,CODE(MID(TRIM(UPPER(W93)),1,1))&gt;=65,CODE(MID(TRIM(UPPER(W93)),1,1))&lt;=90,CODE(MID(TRIM(UPPER(W93)),2,1))&gt;=65,CODE(MID(TRIM(UPPER(W93)),2,1))&lt;=90,CODE(MID(TRIM(UPPER(W93)),3,1))&gt;=65,CODE(MID(TRIM(UPPER(W93)),3,1))&lt;=90,CODE(MID(TRIM(UPPER(W93)),4,1))&gt;=65,CODE(MID(TRIM(UPPER(W93)),4,1))&lt;=90,CODE(MID(TRIM(UPPER(W93)),5,1))&gt;=65,CODE(MID(TRIM(UPPER(W93)),5,1))&lt;=90,CODE(MID(TRIM(UPPER(W93)),10,1))&gt;=65,CODE(MID(TRIM(UPPER(W93)),10,1))&lt;=90,CODE(MID(TRIM(UPPER(W93)),6,1))&gt;=48,CODE(MID(TRIM(UPPER(W93)),6,1))&lt;=57,CODE(MID(TRIM(UPPER(W93)),7,1))&gt;=48,CODE(MID(TRIM(UPPER(W93)),7,1))&lt;=57,CODE(MID(TRIM(UPPER(W93)),8,1))&gt;=48,CODE(MID(TRIM(UPPER(W93)),8,1))&lt;=57,CODE(MID(TRIM(UPPER(W93)),9,1))&gt;=48,CODE(MID(TRIM(UPPER(W93)),9,1))&lt;=57),"N","Y"),IF($B93="Challan","",IF(W93&lt;&gt;"","◄ Set Row Type","")))</f>
      </c>
      <c r="Y93" s="23">
        <f>IF($B93="Entry",IF(LEN(W93)&lt;4,"",IF(UPPER(MID(W93,4,1))="P","Individual",IF(UPPER(MID(W93,4,1))="H","HUF",IF(UPPER(MID(W93,4,1))="C","Company",IF(UPPER(MID(W93,4,1))="F","Firm",IF(UPPER(MID(W93,4,1))="L","LLP",IF(UPPER(MID(W93,4,1))="T","Trust",IF(UPPER(MID(W93,4,1))="A","AOP","")))))))),IF($B93="Challan","",IF(W93&lt;&gt;"","◄ Set Row Type","")))</f>
      </c>
      <c r="Z93" s="28"/>
      <c r="AA93" s="29">
        <f>IF($B93&lt;&gt;"Entry","",IF(Z93="","",IF(X93="Y",SUMPRODUCT(('Rate Lookup'!$A$1:$A$37=Z93)*'Rate Lookup'!$D$1:$D$37),IF(OR(Y93="Individual",Y93="HUF"),SUMPRODUCT(('Rate Lookup'!$A$1:$A$37=Z93)*'Rate Lookup'!$B$1:$B$37),SUMPRODUCT(('Rate Lookup'!$A$1:$A$37=Z93)*'Rate Lookup'!$C$1:$C$37)))))</f>
      </c>
      <c r="AB93" s="30"/>
      <c r="AC93" s="31"/>
      <c r="AD93" s="27">
        <f>IF($B93&lt;&gt;"Entry","",ROUND(AC93*AA93/100,0))</f>
      </c>
      <c r="AE93" s="27">
        <f>IF($B93&lt;&gt;"Entry","",0)</f>
      </c>
      <c r="AF93" s="27">
        <f>IF($B93&lt;&gt;"Entry","",0)</f>
      </c>
      <c r="AG93" s="27">
        <f>IF($B93&lt;&gt;"Entry","",IF(OR(AD93=0,AB93="",AQ93="",AQ93&lt;=0),0,IF(AQ93&lt;=DATE(YEAR(AB93),MONTH(AB93)+1,7),0,ROUND(AD93*0.015*((YEAR(AQ93)-YEAR(AB93))*12+(MONTH(AQ93)-MONTH(AB93))+1),0))))</f>
      </c>
      <c r="AH93" s="27">
        <f>IF($B93&lt;&gt;"Entry","",0)</f>
      </c>
      <c r="AI93" s="28"/>
      <c r="AJ93" s="28"/>
      <c r="AK93" s="32"/>
      <c r="AL93" s="28"/>
      <c r="AM93" s="28"/>
      <c r="AN93" s="27">
        <f>IF($B93&lt;&gt;"Challan","",SUMIF('Q1 Data'!$D$4:$D$207,D93,'Q1 Data'!$AD$4:$AD$207)+SUMIF('Q1 Data'!$D$4:$D$207,D93,'Q1 Data'!$AG$4:$AG$207)+SUMIF('Q1 Data'!$D$4:$D$207,D93,'Q1 Data'!$AE$4:$AE$207)+SUMIF('Q2 Data'!$D$4:$D$207,D93,'Q2 Data'!$AD$4:$AD$207)+SUMIF('Q2 Data'!$D$4:$D$207,D93,'Q2 Data'!$AG$4:$AG$207)+SUMIF('Q2 Data'!$D$4:$D$207,D93,'Q2 Data'!$AE$4:$AE$207)+SUMIF('Q3 Data'!$D$4:$D$207,D93,'Q3 Data'!$AD$4:$AD$207)+SUMIF('Q3 Data'!$D$4:$D$207,D93,'Q3 Data'!$AG$4:$AG$207)+SUMIF('Q3 Data'!$D$4:$D$207,D93,'Q3 Data'!$AE$4:$AE$207)+SUMIF('Q4 Data'!$D$4:$D$207,D93,'Q4 Data'!$AD$4:$AD$207)+SUMIF('Q4 Data'!$D$4:$D$207,D93,'Q4 Data'!$AG$4:$AG$207)+SUMIF('Q4 Data'!$D$4:$D$207,D93,'Q4 Data'!$AE$4:$AE$207))</f>
      </c>
      <c r="AO93" s="27">
        <f>IF($B93&lt;&gt;"Challan","",P93-N93)</f>
      </c>
      <c r="AP93" s="27">
        <f>IF($B93&lt;&gt;"Challan","",MAX(0,AO93-AN93))</f>
      </c>
      <c r="AQ93" s="33">
        <f>IF($B93&lt;&gt;"Entry","",SUMPRODUCT(('Q1 Data'!$D$4:$D$207=D93)*('Q1 Data'!$B$4:$B$207="Challan")*'Q1 Data'!$F$4:$F$207)+SUMPRODUCT(('Q2 Data'!$D$4:$D$207=D93)*('Q2 Data'!$B$4:$B$207="Challan")*'Q2 Data'!$F$4:$F$207)+SUMPRODUCT(('Q3 Data'!$D$4:$D$207=D93)*('Q3 Data'!$B$4:$B$207="Challan")*'Q3 Data'!$F$4:$F$207)+SUMPRODUCT(('Q4 Data'!$D$4:$D$207=D93)*('Q4 Data'!$B$4:$B$207="Challan")*'Q4 Data'!$F$4:$F$207))</f>
      </c>
      <c r="AR93" s="34">
        <f>IF(OR($B93&lt;&gt;"Entry",Z93=""),FALSE,AND((SUMPRODUCT(('Q1 Data'!$D$4:$D$207=D93)*('Q1 Data'!$B$4:$B$207="Challan")*('Q1 Data'!$H$4:$H$207&lt;&gt;""))+SUMPRODUCT(('Q2 Data'!$D$4:$D$207=D93)*('Q2 Data'!$B$4:$B$207="Challan")*('Q2 Data'!$H$4:$H$207&lt;&gt;""))+SUMPRODUCT(('Q3 Data'!$D$4:$D$207=D93)*('Q3 Data'!$B$4:$B$207="Challan")*('Q3 Data'!$H$4:$H$207&lt;&gt;""))+SUMPRODUCT(('Q4 Data'!$D$4:$D$207=D93)*('Q4 Data'!$B$4:$B$207="Challan")*('Q4 Data'!$H$4:$H$207&lt;&gt;"")))&gt;0,(SUMPRODUCT(('Q1 Data'!$D$4:$D$207=D93)*('Q1 Data'!$B$4:$B$207="Challan")*('Q1 Data'!$H$4:$H$207=Z93))+SUMPRODUCT(('Q2 Data'!$D$4:$D$207=D93)*('Q2 Data'!$B$4:$B$207="Challan")*('Q2 Data'!$H$4:$H$207=Z93))+SUMPRODUCT(('Q3 Data'!$D$4:$D$207=D93)*('Q3 Data'!$B$4:$B$207="Challan")*('Q3 Data'!$H$4:$H$207=Z93))+SUMPRODUCT(('Q4 Data'!$D$4:$D$207=D93)*('Q4 Data'!$B$4:$B$207="Challan")*('Q4 Data'!$H$4:$H$207=Z93)))=0))</f>
      </c>
    </row>
    <row r="94" spans="1:44" x14ac:dyDescent="0.25">
      <c r="A94" s="20">
        <f>IF($B94="Entry",COUNTIF($B$4:$B94,"Entry"),"")</f>
      </c>
      <c r="B94" s="21"/>
      <c r="C94" s="22"/>
      <c r="D94" s="22"/>
      <c r="E94" s="23">
        <f>IF($B94&lt;&gt;"Challan","",IF(ROUND(AN94-AO94,2)&gt;0,"Over-applied",IF(ROUND(AN94-AO94,2)=0,"Fully Utilised","Unconsumed")))</f>
      </c>
      <c r="F94" s="24"/>
      <c r="G94" s="25"/>
      <c r="H94" s="25"/>
      <c r="I94" s="26"/>
      <c r="J94" s="26"/>
      <c r="K94" s="26"/>
      <c r="L94" s="26"/>
      <c r="M94" s="26"/>
      <c r="N94" s="26"/>
      <c r="O94" s="26"/>
      <c r="P94" s="27">
        <f>IF($B94&lt;&gt;"Challan","",I94+J94+K94+L94+M94+N94)</f>
      </c>
      <c r="Q94" s="25"/>
      <c r="R94" s="25"/>
      <c r="S94" s="25"/>
      <c r="T94" s="25"/>
      <c r="U94" s="25"/>
      <c r="V94" s="28"/>
      <c r="W94" s="28"/>
      <c r="X94" s="23">
        <f>IF($B94="Entry",IF(AND(LEN(TRIM(UPPER(W94)))=10,CODE(MID(TRIM(UPPER(W94)),1,1))&gt;=65,CODE(MID(TRIM(UPPER(W94)),1,1))&lt;=90,CODE(MID(TRIM(UPPER(W94)),2,1))&gt;=65,CODE(MID(TRIM(UPPER(W94)),2,1))&lt;=90,CODE(MID(TRIM(UPPER(W94)),3,1))&gt;=65,CODE(MID(TRIM(UPPER(W94)),3,1))&lt;=90,CODE(MID(TRIM(UPPER(W94)),4,1))&gt;=65,CODE(MID(TRIM(UPPER(W94)),4,1))&lt;=90,CODE(MID(TRIM(UPPER(W94)),5,1))&gt;=65,CODE(MID(TRIM(UPPER(W94)),5,1))&lt;=90,CODE(MID(TRIM(UPPER(W94)),10,1))&gt;=65,CODE(MID(TRIM(UPPER(W94)),10,1))&lt;=90,CODE(MID(TRIM(UPPER(W94)),6,1))&gt;=48,CODE(MID(TRIM(UPPER(W94)),6,1))&lt;=57,CODE(MID(TRIM(UPPER(W94)),7,1))&gt;=48,CODE(MID(TRIM(UPPER(W94)),7,1))&lt;=57,CODE(MID(TRIM(UPPER(W94)),8,1))&gt;=48,CODE(MID(TRIM(UPPER(W94)),8,1))&lt;=57,CODE(MID(TRIM(UPPER(W94)),9,1))&gt;=48,CODE(MID(TRIM(UPPER(W94)),9,1))&lt;=57),"N","Y"),IF($B94="Challan","",IF(W94&lt;&gt;"","◄ Set Row Type","")))</f>
      </c>
      <c r="Y94" s="23">
        <f>IF($B94="Entry",IF(LEN(W94)&lt;4,"",IF(UPPER(MID(W94,4,1))="P","Individual",IF(UPPER(MID(W94,4,1))="H","HUF",IF(UPPER(MID(W94,4,1))="C","Company",IF(UPPER(MID(W94,4,1))="F","Firm",IF(UPPER(MID(W94,4,1))="L","LLP",IF(UPPER(MID(W94,4,1))="T","Trust",IF(UPPER(MID(W94,4,1))="A","AOP","")))))))),IF($B94="Challan","",IF(W94&lt;&gt;"","◄ Set Row Type","")))</f>
      </c>
      <c r="Z94" s="28"/>
      <c r="AA94" s="29">
        <f>IF($B94&lt;&gt;"Entry","",IF(Z94="","",IF(X94="Y",SUMPRODUCT(('Rate Lookup'!$A$1:$A$37=Z94)*'Rate Lookup'!$D$1:$D$37),IF(OR(Y94="Individual",Y94="HUF"),SUMPRODUCT(('Rate Lookup'!$A$1:$A$37=Z94)*'Rate Lookup'!$B$1:$B$37),SUMPRODUCT(('Rate Lookup'!$A$1:$A$37=Z94)*'Rate Lookup'!$C$1:$C$37)))))</f>
      </c>
      <c r="AB94" s="30"/>
      <c r="AC94" s="31"/>
      <c r="AD94" s="27">
        <f>IF($B94&lt;&gt;"Entry","",ROUND(AC94*AA94/100,0))</f>
      </c>
      <c r="AE94" s="27">
        <f>IF($B94&lt;&gt;"Entry","",0)</f>
      </c>
      <c r="AF94" s="27">
        <f>IF($B94&lt;&gt;"Entry","",0)</f>
      </c>
      <c r="AG94" s="27">
        <f>IF($B94&lt;&gt;"Entry","",IF(OR(AD94=0,AB94="",AQ94="",AQ94&lt;=0),0,IF(AQ94&lt;=DATE(YEAR(AB94),MONTH(AB94)+1,7),0,ROUND(AD94*0.015*((YEAR(AQ94)-YEAR(AB94))*12+(MONTH(AQ94)-MONTH(AB94))+1),0))))</f>
      </c>
      <c r="AH94" s="27">
        <f>IF($B94&lt;&gt;"Entry","",0)</f>
      </c>
      <c r="AI94" s="28"/>
      <c r="AJ94" s="28"/>
      <c r="AK94" s="32"/>
      <c r="AL94" s="28"/>
      <c r="AM94" s="28"/>
      <c r="AN94" s="27">
        <f>IF($B94&lt;&gt;"Challan","",SUMIF('Q1 Data'!$D$4:$D$207,D94,'Q1 Data'!$AD$4:$AD$207)+SUMIF('Q1 Data'!$D$4:$D$207,D94,'Q1 Data'!$AG$4:$AG$207)+SUMIF('Q1 Data'!$D$4:$D$207,D94,'Q1 Data'!$AE$4:$AE$207)+SUMIF('Q2 Data'!$D$4:$D$207,D94,'Q2 Data'!$AD$4:$AD$207)+SUMIF('Q2 Data'!$D$4:$D$207,D94,'Q2 Data'!$AG$4:$AG$207)+SUMIF('Q2 Data'!$D$4:$D$207,D94,'Q2 Data'!$AE$4:$AE$207)+SUMIF('Q3 Data'!$D$4:$D$207,D94,'Q3 Data'!$AD$4:$AD$207)+SUMIF('Q3 Data'!$D$4:$D$207,D94,'Q3 Data'!$AG$4:$AG$207)+SUMIF('Q3 Data'!$D$4:$D$207,D94,'Q3 Data'!$AE$4:$AE$207)+SUMIF('Q4 Data'!$D$4:$D$207,D94,'Q4 Data'!$AD$4:$AD$207)+SUMIF('Q4 Data'!$D$4:$D$207,D94,'Q4 Data'!$AG$4:$AG$207)+SUMIF('Q4 Data'!$D$4:$D$207,D94,'Q4 Data'!$AE$4:$AE$207))</f>
      </c>
      <c r="AO94" s="27">
        <f>IF($B94&lt;&gt;"Challan","",P94-N94)</f>
      </c>
      <c r="AP94" s="27">
        <f>IF($B94&lt;&gt;"Challan","",MAX(0,AO94-AN94))</f>
      </c>
      <c r="AQ94" s="33">
        <f>IF($B94&lt;&gt;"Entry","",SUMPRODUCT(('Q1 Data'!$D$4:$D$207=D94)*('Q1 Data'!$B$4:$B$207="Challan")*'Q1 Data'!$F$4:$F$207)+SUMPRODUCT(('Q2 Data'!$D$4:$D$207=D94)*('Q2 Data'!$B$4:$B$207="Challan")*'Q2 Data'!$F$4:$F$207)+SUMPRODUCT(('Q3 Data'!$D$4:$D$207=D94)*('Q3 Data'!$B$4:$B$207="Challan")*'Q3 Data'!$F$4:$F$207)+SUMPRODUCT(('Q4 Data'!$D$4:$D$207=D94)*('Q4 Data'!$B$4:$B$207="Challan")*'Q4 Data'!$F$4:$F$207))</f>
      </c>
      <c r="AR94" s="34">
        <f>IF(OR($B94&lt;&gt;"Entry",Z94=""),FALSE,AND((SUMPRODUCT(('Q1 Data'!$D$4:$D$207=D94)*('Q1 Data'!$B$4:$B$207="Challan")*('Q1 Data'!$H$4:$H$207&lt;&gt;""))+SUMPRODUCT(('Q2 Data'!$D$4:$D$207=D94)*('Q2 Data'!$B$4:$B$207="Challan")*('Q2 Data'!$H$4:$H$207&lt;&gt;""))+SUMPRODUCT(('Q3 Data'!$D$4:$D$207=D94)*('Q3 Data'!$B$4:$B$207="Challan")*('Q3 Data'!$H$4:$H$207&lt;&gt;""))+SUMPRODUCT(('Q4 Data'!$D$4:$D$207=D94)*('Q4 Data'!$B$4:$B$207="Challan")*('Q4 Data'!$H$4:$H$207&lt;&gt;"")))&gt;0,(SUMPRODUCT(('Q1 Data'!$D$4:$D$207=D94)*('Q1 Data'!$B$4:$B$207="Challan")*('Q1 Data'!$H$4:$H$207=Z94))+SUMPRODUCT(('Q2 Data'!$D$4:$D$207=D94)*('Q2 Data'!$B$4:$B$207="Challan")*('Q2 Data'!$H$4:$H$207=Z94))+SUMPRODUCT(('Q3 Data'!$D$4:$D$207=D94)*('Q3 Data'!$B$4:$B$207="Challan")*('Q3 Data'!$H$4:$H$207=Z94))+SUMPRODUCT(('Q4 Data'!$D$4:$D$207=D94)*('Q4 Data'!$B$4:$B$207="Challan")*('Q4 Data'!$H$4:$H$207=Z94)))=0))</f>
      </c>
    </row>
    <row r="95" spans="1:44" x14ac:dyDescent="0.25">
      <c r="A95" s="20">
        <f>IF($B95="Entry",COUNTIF($B$4:$B95,"Entry"),"")</f>
      </c>
      <c r="B95" s="21"/>
      <c r="C95" s="22"/>
      <c r="D95" s="22"/>
      <c r="E95" s="23">
        <f>IF($B95&lt;&gt;"Challan","",IF(ROUND(AN95-AO95,2)&gt;0,"Over-applied",IF(ROUND(AN95-AO95,2)=0,"Fully Utilised","Unconsumed")))</f>
      </c>
      <c r="F95" s="24"/>
      <c r="G95" s="25"/>
      <c r="H95" s="25"/>
      <c r="I95" s="26"/>
      <c r="J95" s="26"/>
      <c r="K95" s="26"/>
      <c r="L95" s="26"/>
      <c r="M95" s="26"/>
      <c r="N95" s="26"/>
      <c r="O95" s="26"/>
      <c r="P95" s="27">
        <f>IF($B95&lt;&gt;"Challan","",I95+J95+K95+L95+M95+N95)</f>
      </c>
      <c r="Q95" s="25"/>
      <c r="R95" s="25"/>
      <c r="S95" s="25"/>
      <c r="T95" s="25"/>
      <c r="U95" s="25"/>
      <c r="V95" s="28"/>
      <c r="W95" s="28"/>
      <c r="X95" s="23">
        <f>IF($B95="Entry",IF(AND(LEN(TRIM(UPPER(W95)))=10,CODE(MID(TRIM(UPPER(W95)),1,1))&gt;=65,CODE(MID(TRIM(UPPER(W95)),1,1))&lt;=90,CODE(MID(TRIM(UPPER(W95)),2,1))&gt;=65,CODE(MID(TRIM(UPPER(W95)),2,1))&lt;=90,CODE(MID(TRIM(UPPER(W95)),3,1))&gt;=65,CODE(MID(TRIM(UPPER(W95)),3,1))&lt;=90,CODE(MID(TRIM(UPPER(W95)),4,1))&gt;=65,CODE(MID(TRIM(UPPER(W95)),4,1))&lt;=90,CODE(MID(TRIM(UPPER(W95)),5,1))&gt;=65,CODE(MID(TRIM(UPPER(W95)),5,1))&lt;=90,CODE(MID(TRIM(UPPER(W95)),10,1))&gt;=65,CODE(MID(TRIM(UPPER(W95)),10,1))&lt;=90,CODE(MID(TRIM(UPPER(W95)),6,1))&gt;=48,CODE(MID(TRIM(UPPER(W95)),6,1))&lt;=57,CODE(MID(TRIM(UPPER(W95)),7,1))&gt;=48,CODE(MID(TRIM(UPPER(W95)),7,1))&lt;=57,CODE(MID(TRIM(UPPER(W95)),8,1))&gt;=48,CODE(MID(TRIM(UPPER(W95)),8,1))&lt;=57,CODE(MID(TRIM(UPPER(W95)),9,1))&gt;=48,CODE(MID(TRIM(UPPER(W95)),9,1))&lt;=57),"N","Y"),IF($B95="Challan","",IF(W95&lt;&gt;"","◄ Set Row Type","")))</f>
      </c>
      <c r="Y95" s="23">
        <f>IF($B95="Entry",IF(LEN(W95)&lt;4,"",IF(UPPER(MID(W95,4,1))="P","Individual",IF(UPPER(MID(W95,4,1))="H","HUF",IF(UPPER(MID(W95,4,1))="C","Company",IF(UPPER(MID(W95,4,1))="F","Firm",IF(UPPER(MID(W95,4,1))="L","LLP",IF(UPPER(MID(W95,4,1))="T","Trust",IF(UPPER(MID(W95,4,1))="A","AOP","")))))))),IF($B95="Challan","",IF(W95&lt;&gt;"","◄ Set Row Type","")))</f>
      </c>
      <c r="Z95" s="28"/>
      <c r="AA95" s="29">
        <f>IF($B95&lt;&gt;"Entry","",IF(Z95="","",IF(X95="Y",SUMPRODUCT(('Rate Lookup'!$A$1:$A$37=Z95)*'Rate Lookup'!$D$1:$D$37),IF(OR(Y95="Individual",Y95="HUF"),SUMPRODUCT(('Rate Lookup'!$A$1:$A$37=Z95)*'Rate Lookup'!$B$1:$B$37),SUMPRODUCT(('Rate Lookup'!$A$1:$A$37=Z95)*'Rate Lookup'!$C$1:$C$37)))))</f>
      </c>
      <c r="AB95" s="30"/>
      <c r="AC95" s="31"/>
      <c r="AD95" s="27">
        <f>IF($B95&lt;&gt;"Entry","",ROUND(AC95*AA95/100,0))</f>
      </c>
      <c r="AE95" s="27">
        <f>IF($B95&lt;&gt;"Entry","",0)</f>
      </c>
      <c r="AF95" s="27">
        <f>IF($B95&lt;&gt;"Entry","",0)</f>
      </c>
      <c r="AG95" s="27">
        <f>IF($B95&lt;&gt;"Entry","",IF(OR(AD95=0,AB95="",AQ95="",AQ95&lt;=0),0,IF(AQ95&lt;=DATE(YEAR(AB95),MONTH(AB95)+1,7),0,ROUND(AD95*0.015*((YEAR(AQ95)-YEAR(AB95))*12+(MONTH(AQ95)-MONTH(AB95))+1),0))))</f>
      </c>
      <c r="AH95" s="27">
        <f>IF($B95&lt;&gt;"Entry","",0)</f>
      </c>
      <c r="AI95" s="28"/>
      <c r="AJ95" s="28"/>
      <c r="AK95" s="32"/>
      <c r="AL95" s="28"/>
      <c r="AM95" s="28"/>
      <c r="AN95" s="27">
        <f>IF($B95&lt;&gt;"Challan","",SUMIF('Q1 Data'!$D$4:$D$207,D95,'Q1 Data'!$AD$4:$AD$207)+SUMIF('Q1 Data'!$D$4:$D$207,D95,'Q1 Data'!$AG$4:$AG$207)+SUMIF('Q1 Data'!$D$4:$D$207,D95,'Q1 Data'!$AE$4:$AE$207)+SUMIF('Q2 Data'!$D$4:$D$207,D95,'Q2 Data'!$AD$4:$AD$207)+SUMIF('Q2 Data'!$D$4:$D$207,D95,'Q2 Data'!$AG$4:$AG$207)+SUMIF('Q2 Data'!$D$4:$D$207,D95,'Q2 Data'!$AE$4:$AE$207)+SUMIF('Q3 Data'!$D$4:$D$207,D95,'Q3 Data'!$AD$4:$AD$207)+SUMIF('Q3 Data'!$D$4:$D$207,D95,'Q3 Data'!$AG$4:$AG$207)+SUMIF('Q3 Data'!$D$4:$D$207,D95,'Q3 Data'!$AE$4:$AE$207)+SUMIF('Q4 Data'!$D$4:$D$207,D95,'Q4 Data'!$AD$4:$AD$207)+SUMIF('Q4 Data'!$D$4:$D$207,D95,'Q4 Data'!$AG$4:$AG$207)+SUMIF('Q4 Data'!$D$4:$D$207,D95,'Q4 Data'!$AE$4:$AE$207))</f>
      </c>
      <c r="AO95" s="27">
        <f>IF($B95&lt;&gt;"Challan","",P95-N95)</f>
      </c>
      <c r="AP95" s="27">
        <f>IF($B95&lt;&gt;"Challan","",MAX(0,AO95-AN95))</f>
      </c>
      <c r="AQ95" s="33">
        <f>IF($B95&lt;&gt;"Entry","",SUMPRODUCT(('Q1 Data'!$D$4:$D$207=D95)*('Q1 Data'!$B$4:$B$207="Challan")*'Q1 Data'!$F$4:$F$207)+SUMPRODUCT(('Q2 Data'!$D$4:$D$207=D95)*('Q2 Data'!$B$4:$B$207="Challan")*'Q2 Data'!$F$4:$F$207)+SUMPRODUCT(('Q3 Data'!$D$4:$D$207=D95)*('Q3 Data'!$B$4:$B$207="Challan")*'Q3 Data'!$F$4:$F$207)+SUMPRODUCT(('Q4 Data'!$D$4:$D$207=D95)*('Q4 Data'!$B$4:$B$207="Challan")*'Q4 Data'!$F$4:$F$207))</f>
      </c>
      <c r="AR95" s="34">
        <f>IF(OR($B95&lt;&gt;"Entry",Z95=""),FALSE,AND((SUMPRODUCT(('Q1 Data'!$D$4:$D$207=D95)*('Q1 Data'!$B$4:$B$207="Challan")*('Q1 Data'!$H$4:$H$207&lt;&gt;""))+SUMPRODUCT(('Q2 Data'!$D$4:$D$207=D95)*('Q2 Data'!$B$4:$B$207="Challan")*('Q2 Data'!$H$4:$H$207&lt;&gt;""))+SUMPRODUCT(('Q3 Data'!$D$4:$D$207=D95)*('Q3 Data'!$B$4:$B$207="Challan")*('Q3 Data'!$H$4:$H$207&lt;&gt;""))+SUMPRODUCT(('Q4 Data'!$D$4:$D$207=D95)*('Q4 Data'!$B$4:$B$207="Challan")*('Q4 Data'!$H$4:$H$207&lt;&gt;"")))&gt;0,(SUMPRODUCT(('Q1 Data'!$D$4:$D$207=D95)*('Q1 Data'!$B$4:$B$207="Challan")*('Q1 Data'!$H$4:$H$207=Z95))+SUMPRODUCT(('Q2 Data'!$D$4:$D$207=D95)*('Q2 Data'!$B$4:$B$207="Challan")*('Q2 Data'!$H$4:$H$207=Z95))+SUMPRODUCT(('Q3 Data'!$D$4:$D$207=D95)*('Q3 Data'!$B$4:$B$207="Challan")*('Q3 Data'!$H$4:$H$207=Z95))+SUMPRODUCT(('Q4 Data'!$D$4:$D$207=D95)*('Q4 Data'!$B$4:$B$207="Challan")*('Q4 Data'!$H$4:$H$207=Z95)))=0))</f>
      </c>
    </row>
    <row r="96" spans="1:44" x14ac:dyDescent="0.25">
      <c r="A96" s="20">
        <f>IF($B96="Entry",COUNTIF($B$4:$B96,"Entry"),"")</f>
      </c>
      <c r="B96" s="21"/>
      <c r="C96" s="22"/>
      <c r="D96" s="22"/>
      <c r="E96" s="23">
        <f>IF($B96&lt;&gt;"Challan","",IF(ROUND(AN96-AO96,2)&gt;0,"Over-applied",IF(ROUND(AN96-AO96,2)=0,"Fully Utilised","Unconsumed")))</f>
      </c>
      <c r="F96" s="24"/>
      <c r="G96" s="25"/>
      <c r="H96" s="25"/>
      <c r="I96" s="26"/>
      <c r="J96" s="26"/>
      <c r="K96" s="26"/>
      <c r="L96" s="26"/>
      <c r="M96" s="26"/>
      <c r="N96" s="26"/>
      <c r="O96" s="26"/>
      <c r="P96" s="27">
        <f>IF($B96&lt;&gt;"Challan","",I96+J96+K96+L96+M96+N96)</f>
      </c>
      <c r="Q96" s="25"/>
      <c r="R96" s="25"/>
      <c r="S96" s="25"/>
      <c r="T96" s="25"/>
      <c r="U96" s="25"/>
      <c r="V96" s="28"/>
      <c r="W96" s="28"/>
      <c r="X96" s="23">
        <f>IF($B96="Entry",IF(AND(LEN(TRIM(UPPER(W96)))=10,CODE(MID(TRIM(UPPER(W96)),1,1))&gt;=65,CODE(MID(TRIM(UPPER(W96)),1,1))&lt;=90,CODE(MID(TRIM(UPPER(W96)),2,1))&gt;=65,CODE(MID(TRIM(UPPER(W96)),2,1))&lt;=90,CODE(MID(TRIM(UPPER(W96)),3,1))&gt;=65,CODE(MID(TRIM(UPPER(W96)),3,1))&lt;=90,CODE(MID(TRIM(UPPER(W96)),4,1))&gt;=65,CODE(MID(TRIM(UPPER(W96)),4,1))&lt;=90,CODE(MID(TRIM(UPPER(W96)),5,1))&gt;=65,CODE(MID(TRIM(UPPER(W96)),5,1))&lt;=90,CODE(MID(TRIM(UPPER(W96)),10,1))&gt;=65,CODE(MID(TRIM(UPPER(W96)),10,1))&lt;=90,CODE(MID(TRIM(UPPER(W96)),6,1))&gt;=48,CODE(MID(TRIM(UPPER(W96)),6,1))&lt;=57,CODE(MID(TRIM(UPPER(W96)),7,1))&gt;=48,CODE(MID(TRIM(UPPER(W96)),7,1))&lt;=57,CODE(MID(TRIM(UPPER(W96)),8,1))&gt;=48,CODE(MID(TRIM(UPPER(W96)),8,1))&lt;=57,CODE(MID(TRIM(UPPER(W96)),9,1))&gt;=48,CODE(MID(TRIM(UPPER(W96)),9,1))&lt;=57),"N","Y"),IF($B96="Challan","",IF(W96&lt;&gt;"","◄ Set Row Type","")))</f>
      </c>
      <c r="Y96" s="23">
        <f>IF($B96="Entry",IF(LEN(W96)&lt;4,"",IF(UPPER(MID(W96,4,1))="P","Individual",IF(UPPER(MID(W96,4,1))="H","HUF",IF(UPPER(MID(W96,4,1))="C","Company",IF(UPPER(MID(W96,4,1))="F","Firm",IF(UPPER(MID(W96,4,1))="L","LLP",IF(UPPER(MID(W96,4,1))="T","Trust",IF(UPPER(MID(W96,4,1))="A","AOP","")))))))),IF($B96="Challan","",IF(W96&lt;&gt;"","◄ Set Row Type","")))</f>
      </c>
      <c r="Z96" s="28"/>
      <c r="AA96" s="29">
        <f>IF($B96&lt;&gt;"Entry","",IF(Z96="","",IF(X96="Y",SUMPRODUCT(('Rate Lookup'!$A$1:$A$37=Z96)*'Rate Lookup'!$D$1:$D$37),IF(OR(Y96="Individual",Y96="HUF"),SUMPRODUCT(('Rate Lookup'!$A$1:$A$37=Z96)*'Rate Lookup'!$B$1:$B$37),SUMPRODUCT(('Rate Lookup'!$A$1:$A$37=Z96)*'Rate Lookup'!$C$1:$C$37)))))</f>
      </c>
      <c r="AB96" s="30"/>
      <c r="AC96" s="31"/>
      <c r="AD96" s="27">
        <f>IF($B96&lt;&gt;"Entry","",ROUND(AC96*AA96/100,0))</f>
      </c>
      <c r="AE96" s="27">
        <f>IF($B96&lt;&gt;"Entry","",0)</f>
      </c>
      <c r="AF96" s="27">
        <f>IF($B96&lt;&gt;"Entry","",0)</f>
      </c>
      <c r="AG96" s="27">
        <f>IF($B96&lt;&gt;"Entry","",IF(OR(AD96=0,AB96="",AQ96="",AQ96&lt;=0),0,IF(AQ96&lt;=DATE(YEAR(AB96),MONTH(AB96)+1,7),0,ROUND(AD96*0.015*((YEAR(AQ96)-YEAR(AB96))*12+(MONTH(AQ96)-MONTH(AB96))+1),0))))</f>
      </c>
      <c r="AH96" s="27">
        <f>IF($B96&lt;&gt;"Entry","",0)</f>
      </c>
      <c r="AI96" s="28"/>
      <c r="AJ96" s="28"/>
      <c r="AK96" s="32"/>
      <c r="AL96" s="28"/>
      <c r="AM96" s="28"/>
      <c r="AN96" s="27">
        <f>IF($B96&lt;&gt;"Challan","",SUMIF('Q1 Data'!$D$4:$D$207,D96,'Q1 Data'!$AD$4:$AD$207)+SUMIF('Q1 Data'!$D$4:$D$207,D96,'Q1 Data'!$AG$4:$AG$207)+SUMIF('Q1 Data'!$D$4:$D$207,D96,'Q1 Data'!$AE$4:$AE$207)+SUMIF('Q2 Data'!$D$4:$D$207,D96,'Q2 Data'!$AD$4:$AD$207)+SUMIF('Q2 Data'!$D$4:$D$207,D96,'Q2 Data'!$AG$4:$AG$207)+SUMIF('Q2 Data'!$D$4:$D$207,D96,'Q2 Data'!$AE$4:$AE$207)+SUMIF('Q3 Data'!$D$4:$D$207,D96,'Q3 Data'!$AD$4:$AD$207)+SUMIF('Q3 Data'!$D$4:$D$207,D96,'Q3 Data'!$AG$4:$AG$207)+SUMIF('Q3 Data'!$D$4:$D$207,D96,'Q3 Data'!$AE$4:$AE$207)+SUMIF('Q4 Data'!$D$4:$D$207,D96,'Q4 Data'!$AD$4:$AD$207)+SUMIF('Q4 Data'!$D$4:$D$207,D96,'Q4 Data'!$AG$4:$AG$207)+SUMIF('Q4 Data'!$D$4:$D$207,D96,'Q4 Data'!$AE$4:$AE$207))</f>
      </c>
      <c r="AO96" s="27">
        <f>IF($B96&lt;&gt;"Challan","",P96-N96)</f>
      </c>
      <c r="AP96" s="27">
        <f>IF($B96&lt;&gt;"Challan","",MAX(0,AO96-AN96))</f>
      </c>
      <c r="AQ96" s="33">
        <f>IF($B96&lt;&gt;"Entry","",SUMPRODUCT(('Q1 Data'!$D$4:$D$207=D96)*('Q1 Data'!$B$4:$B$207="Challan")*'Q1 Data'!$F$4:$F$207)+SUMPRODUCT(('Q2 Data'!$D$4:$D$207=D96)*('Q2 Data'!$B$4:$B$207="Challan")*'Q2 Data'!$F$4:$F$207)+SUMPRODUCT(('Q3 Data'!$D$4:$D$207=D96)*('Q3 Data'!$B$4:$B$207="Challan")*'Q3 Data'!$F$4:$F$207)+SUMPRODUCT(('Q4 Data'!$D$4:$D$207=D96)*('Q4 Data'!$B$4:$B$207="Challan")*'Q4 Data'!$F$4:$F$207))</f>
      </c>
      <c r="AR96" s="34">
        <f>IF(OR($B96&lt;&gt;"Entry",Z96=""),FALSE,AND((SUMPRODUCT(('Q1 Data'!$D$4:$D$207=D96)*('Q1 Data'!$B$4:$B$207="Challan")*('Q1 Data'!$H$4:$H$207&lt;&gt;""))+SUMPRODUCT(('Q2 Data'!$D$4:$D$207=D96)*('Q2 Data'!$B$4:$B$207="Challan")*('Q2 Data'!$H$4:$H$207&lt;&gt;""))+SUMPRODUCT(('Q3 Data'!$D$4:$D$207=D96)*('Q3 Data'!$B$4:$B$207="Challan")*('Q3 Data'!$H$4:$H$207&lt;&gt;""))+SUMPRODUCT(('Q4 Data'!$D$4:$D$207=D96)*('Q4 Data'!$B$4:$B$207="Challan")*('Q4 Data'!$H$4:$H$207&lt;&gt;"")))&gt;0,(SUMPRODUCT(('Q1 Data'!$D$4:$D$207=D96)*('Q1 Data'!$B$4:$B$207="Challan")*('Q1 Data'!$H$4:$H$207=Z96))+SUMPRODUCT(('Q2 Data'!$D$4:$D$207=D96)*('Q2 Data'!$B$4:$B$207="Challan")*('Q2 Data'!$H$4:$H$207=Z96))+SUMPRODUCT(('Q3 Data'!$D$4:$D$207=D96)*('Q3 Data'!$B$4:$B$207="Challan")*('Q3 Data'!$H$4:$H$207=Z96))+SUMPRODUCT(('Q4 Data'!$D$4:$D$207=D96)*('Q4 Data'!$B$4:$B$207="Challan")*('Q4 Data'!$H$4:$H$207=Z96)))=0))</f>
      </c>
    </row>
    <row r="97" spans="1:44" x14ac:dyDescent="0.25">
      <c r="A97" s="20">
        <f>IF($B97="Entry",COUNTIF($B$4:$B97,"Entry"),"")</f>
      </c>
      <c r="B97" s="21"/>
      <c r="C97" s="22"/>
      <c r="D97" s="22"/>
      <c r="E97" s="23">
        <f>IF($B97&lt;&gt;"Challan","",IF(ROUND(AN97-AO97,2)&gt;0,"Over-applied",IF(ROUND(AN97-AO97,2)=0,"Fully Utilised","Unconsumed")))</f>
      </c>
      <c r="F97" s="24"/>
      <c r="G97" s="25"/>
      <c r="H97" s="25"/>
      <c r="I97" s="26"/>
      <c r="J97" s="26"/>
      <c r="K97" s="26"/>
      <c r="L97" s="26"/>
      <c r="M97" s="26"/>
      <c r="N97" s="26"/>
      <c r="O97" s="26"/>
      <c r="P97" s="27">
        <f>IF($B97&lt;&gt;"Challan","",I97+J97+K97+L97+M97+N97)</f>
      </c>
      <c r="Q97" s="25"/>
      <c r="R97" s="25"/>
      <c r="S97" s="25"/>
      <c r="T97" s="25"/>
      <c r="U97" s="25"/>
      <c r="V97" s="28"/>
      <c r="W97" s="28"/>
      <c r="X97" s="23">
        <f>IF($B97="Entry",IF(AND(LEN(TRIM(UPPER(W97)))=10,CODE(MID(TRIM(UPPER(W97)),1,1))&gt;=65,CODE(MID(TRIM(UPPER(W97)),1,1))&lt;=90,CODE(MID(TRIM(UPPER(W97)),2,1))&gt;=65,CODE(MID(TRIM(UPPER(W97)),2,1))&lt;=90,CODE(MID(TRIM(UPPER(W97)),3,1))&gt;=65,CODE(MID(TRIM(UPPER(W97)),3,1))&lt;=90,CODE(MID(TRIM(UPPER(W97)),4,1))&gt;=65,CODE(MID(TRIM(UPPER(W97)),4,1))&lt;=90,CODE(MID(TRIM(UPPER(W97)),5,1))&gt;=65,CODE(MID(TRIM(UPPER(W97)),5,1))&lt;=90,CODE(MID(TRIM(UPPER(W97)),10,1))&gt;=65,CODE(MID(TRIM(UPPER(W97)),10,1))&lt;=90,CODE(MID(TRIM(UPPER(W97)),6,1))&gt;=48,CODE(MID(TRIM(UPPER(W97)),6,1))&lt;=57,CODE(MID(TRIM(UPPER(W97)),7,1))&gt;=48,CODE(MID(TRIM(UPPER(W97)),7,1))&lt;=57,CODE(MID(TRIM(UPPER(W97)),8,1))&gt;=48,CODE(MID(TRIM(UPPER(W97)),8,1))&lt;=57,CODE(MID(TRIM(UPPER(W97)),9,1))&gt;=48,CODE(MID(TRIM(UPPER(W97)),9,1))&lt;=57),"N","Y"),IF($B97="Challan","",IF(W97&lt;&gt;"","◄ Set Row Type","")))</f>
      </c>
      <c r="Y97" s="23">
        <f>IF($B97="Entry",IF(LEN(W97)&lt;4,"",IF(UPPER(MID(W97,4,1))="P","Individual",IF(UPPER(MID(W97,4,1))="H","HUF",IF(UPPER(MID(W97,4,1))="C","Company",IF(UPPER(MID(W97,4,1))="F","Firm",IF(UPPER(MID(W97,4,1))="L","LLP",IF(UPPER(MID(W97,4,1))="T","Trust",IF(UPPER(MID(W97,4,1))="A","AOP","")))))))),IF($B97="Challan","",IF(W97&lt;&gt;"","◄ Set Row Type","")))</f>
      </c>
      <c r="Z97" s="28"/>
      <c r="AA97" s="29">
        <f>IF($B97&lt;&gt;"Entry","",IF(Z97="","",IF(X97="Y",SUMPRODUCT(('Rate Lookup'!$A$1:$A$37=Z97)*'Rate Lookup'!$D$1:$D$37),IF(OR(Y97="Individual",Y97="HUF"),SUMPRODUCT(('Rate Lookup'!$A$1:$A$37=Z97)*'Rate Lookup'!$B$1:$B$37),SUMPRODUCT(('Rate Lookup'!$A$1:$A$37=Z97)*'Rate Lookup'!$C$1:$C$37)))))</f>
      </c>
      <c r="AB97" s="30"/>
      <c r="AC97" s="31"/>
      <c r="AD97" s="27">
        <f>IF($B97&lt;&gt;"Entry","",ROUND(AC97*AA97/100,0))</f>
      </c>
      <c r="AE97" s="27">
        <f>IF($B97&lt;&gt;"Entry","",0)</f>
      </c>
      <c r="AF97" s="27">
        <f>IF($B97&lt;&gt;"Entry","",0)</f>
      </c>
      <c r="AG97" s="27">
        <f>IF($B97&lt;&gt;"Entry","",IF(OR(AD97=0,AB97="",AQ97="",AQ97&lt;=0),0,IF(AQ97&lt;=DATE(YEAR(AB97),MONTH(AB97)+1,7),0,ROUND(AD97*0.015*((YEAR(AQ97)-YEAR(AB97))*12+(MONTH(AQ97)-MONTH(AB97))+1),0))))</f>
      </c>
      <c r="AH97" s="27">
        <f>IF($B97&lt;&gt;"Entry","",0)</f>
      </c>
      <c r="AI97" s="28"/>
      <c r="AJ97" s="28"/>
      <c r="AK97" s="32"/>
      <c r="AL97" s="28"/>
      <c r="AM97" s="28"/>
      <c r="AN97" s="27">
        <f>IF($B97&lt;&gt;"Challan","",SUMIF('Q1 Data'!$D$4:$D$207,D97,'Q1 Data'!$AD$4:$AD$207)+SUMIF('Q1 Data'!$D$4:$D$207,D97,'Q1 Data'!$AG$4:$AG$207)+SUMIF('Q1 Data'!$D$4:$D$207,D97,'Q1 Data'!$AE$4:$AE$207)+SUMIF('Q2 Data'!$D$4:$D$207,D97,'Q2 Data'!$AD$4:$AD$207)+SUMIF('Q2 Data'!$D$4:$D$207,D97,'Q2 Data'!$AG$4:$AG$207)+SUMIF('Q2 Data'!$D$4:$D$207,D97,'Q2 Data'!$AE$4:$AE$207)+SUMIF('Q3 Data'!$D$4:$D$207,D97,'Q3 Data'!$AD$4:$AD$207)+SUMIF('Q3 Data'!$D$4:$D$207,D97,'Q3 Data'!$AG$4:$AG$207)+SUMIF('Q3 Data'!$D$4:$D$207,D97,'Q3 Data'!$AE$4:$AE$207)+SUMIF('Q4 Data'!$D$4:$D$207,D97,'Q4 Data'!$AD$4:$AD$207)+SUMIF('Q4 Data'!$D$4:$D$207,D97,'Q4 Data'!$AG$4:$AG$207)+SUMIF('Q4 Data'!$D$4:$D$207,D97,'Q4 Data'!$AE$4:$AE$207))</f>
      </c>
      <c r="AO97" s="27">
        <f>IF($B97&lt;&gt;"Challan","",P97-N97)</f>
      </c>
      <c r="AP97" s="27">
        <f>IF($B97&lt;&gt;"Challan","",MAX(0,AO97-AN97))</f>
      </c>
      <c r="AQ97" s="33">
        <f>IF($B97&lt;&gt;"Entry","",SUMPRODUCT(('Q1 Data'!$D$4:$D$207=D97)*('Q1 Data'!$B$4:$B$207="Challan")*'Q1 Data'!$F$4:$F$207)+SUMPRODUCT(('Q2 Data'!$D$4:$D$207=D97)*('Q2 Data'!$B$4:$B$207="Challan")*'Q2 Data'!$F$4:$F$207)+SUMPRODUCT(('Q3 Data'!$D$4:$D$207=D97)*('Q3 Data'!$B$4:$B$207="Challan")*'Q3 Data'!$F$4:$F$207)+SUMPRODUCT(('Q4 Data'!$D$4:$D$207=D97)*('Q4 Data'!$B$4:$B$207="Challan")*'Q4 Data'!$F$4:$F$207))</f>
      </c>
      <c r="AR97" s="34">
        <f>IF(OR($B97&lt;&gt;"Entry",Z97=""),FALSE,AND((SUMPRODUCT(('Q1 Data'!$D$4:$D$207=D97)*('Q1 Data'!$B$4:$B$207="Challan")*('Q1 Data'!$H$4:$H$207&lt;&gt;""))+SUMPRODUCT(('Q2 Data'!$D$4:$D$207=D97)*('Q2 Data'!$B$4:$B$207="Challan")*('Q2 Data'!$H$4:$H$207&lt;&gt;""))+SUMPRODUCT(('Q3 Data'!$D$4:$D$207=D97)*('Q3 Data'!$B$4:$B$207="Challan")*('Q3 Data'!$H$4:$H$207&lt;&gt;""))+SUMPRODUCT(('Q4 Data'!$D$4:$D$207=D97)*('Q4 Data'!$B$4:$B$207="Challan")*('Q4 Data'!$H$4:$H$207&lt;&gt;"")))&gt;0,(SUMPRODUCT(('Q1 Data'!$D$4:$D$207=D97)*('Q1 Data'!$B$4:$B$207="Challan")*('Q1 Data'!$H$4:$H$207=Z97))+SUMPRODUCT(('Q2 Data'!$D$4:$D$207=D97)*('Q2 Data'!$B$4:$B$207="Challan")*('Q2 Data'!$H$4:$H$207=Z97))+SUMPRODUCT(('Q3 Data'!$D$4:$D$207=D97)*('Q3 Data'!$B$4:$B$207="Challan")*('Q3 Data'!$H$4:$H$207=Z97))+SUMPRODUCT(('Q4 Data'!$D$4:$D$207=D97)*('Q4 Data'!$B$4:$B$207="Challan")*('Q4 Data'!$H$4:$H$207=Z97)))=0))</f>
      </c>
    </row>
    <row r="98" spans="1:44" x14ac:dyDescent="0.25">
      <c r="A98" s="20">
        <f>IF($B98="Entry",COUNTIF($B$4:$B98,"Entry"),"")</f>
      </c>
      <c r="B98" s="21"/>
      <c r="C98" s="22"/>
      <c r="D98" s="22"/>
      <c r="E98" s="23">
        <f>IF($B98&lt;&gt;"Challan","",IF(ROUND(AN98-AO98,2)&gt;0,"Over-applied",IF(ROUND(AN98-AO98,2)=0,"Fully Utilised","Unconsumed")))</f>
      </c>
      <c r="F98" s="24"/>
      <c r="G98" s="25"/>
      <c r="H98" s="25"/>
      <c r="I98" s="26"/>
      <c r="J98" s="26"/>
      <c r="K98" s="26"/>
      <c r="L98" s="26"/>
      <c r="M98" s="26"/>
      <c r="N98" s="26"/>
      <c r="O98" s="26"/>
      <c r="P98" s="27">
        <f>IF($B98&lt;&gt;"Challan","",I98+J98+K98+L98+M98+N98)</f>
      </c>
      <c r="Q98" s="25"/>
      <c r="R98" s="25"/>
      <c r="S98" s="25"/>
      <c r="T98" s="25"/>
      <c r="U98" s="25"/>
      <c r="V98" s="28"/>
      <c r="W98" s="28"/>
      <c r="X98" s="23">
        <f>IF($B98="Entry",IF(AND(LEN(TRIM(UPPER(W98)))=10,CODE(MID(TRIM(UPPER(W98)),1,1))&gt;=65,CODE(MID(TRIM(UPPER(W98)),1,1))&lt;=90,CODE(MID(TRIM(UPPER(W98)),2,1))&gt;=65,CODE(MID(TRIM(UPPER(W98)),2,1))&lt;=90,CODE(MID(TRIM(UPPER(W98)),3,1))&gt;=65,CODE(MID(TRIM(UPPER(W98)),3,1))&lt;=90,CODE(MID(TRIM(UPPER(W98)),4,1))&gt;=65,CODE(MID(TRIM(UPPER(W98)),4,1))&lt;=90,CODE(MID(TRIM(UPPER(W98)),5,1))&gt;=65,CODE(MID(TRIM(UPPER(W98)),5,1))&lt;=90,CODE(MID(TRIM(UPPER(W98)),10,1))&gt;=65,CODE(MID(TRIM(UPPER(W98)),10,1))&lt;=90,CODE(MID(TRIM(UPPER(W98)),6,1))&gt;=48,CODE(MID(TRIM(UPPER(W98)),6,1))&lt;=57,CODE(MID(TRIM(UPPER(W98)),7,1))&gt;=48,CODE(MID(TRIM(UPPER(W98)),7,1))&lt;=57,CODE(MID(TRIM(UPPER(W98)),8,1))&gt;=48,CODE(MID(TRIM(UPPER(W98)),8,1))&lt;=57,CODE(MID(TRIM(UPPER(W98)),9,1))&gt;=48,CODE(MID(TRIM(UPPER(W98)),9,1))&lt;=57),"N","Y"),IF($B98="Challan","",IF(W98&lt;&gt;"","◄ Set Row Type","")))</f>
      </c>
      <c r="Y98" s="23">
        <f>IF($B98="Entry",IF(LEN(W98)&lt;4,"",IF(UPPER(MID(W98,4,1))="P","Individual",IF(UPPER(MID(W98,4,1))="H","HUF",IF(UPPER(MID(W98,4,1))="C","Company",IF(UPPER(MID(W98,4,1))="F","Firm",IF(UPPER(MID(W98,4,1))="L","LLP",IF(UPPER(MID(W98,4,1))="T","Trust",IF(UPPER(MID(W98,4,1))="A","AOP","")))))))),IF($B98="Challan","",IF(W98&lt;&gt;"","◄ Set Row Type","")))</f>
      </c>
      <c r="Z98" s="28"/>
      <c r="AA98" s="29">
        <f>IF($B98&lt;&gt;"Entry","",IF(Z98="","",IF(X98="Y",SUMPRODUCT(('Rate Lookup'!$A$1:$A$37=Z98)*'Rate Lookup'!$D$1:$D$37),IF(OR(Y98="Individual",Y98="HUF"),SUMPRODUCT(('Rate Lookup'!$A$1:$A$37=Z98)*'Rate Lookup'!$B$1:$B$37),SUMPRODUCT(('Rate Lookup'!$A$1:$A$37=Z98)*'Rate Lookup'!$C$1:$C$37)))))</f>
      </c>
      <c r="AB98" s="30"/>
      <c r="AC98" s="31"/>
      <c r="AD98" s="27">
        <f>IF($B98&lt;&gt;"Entry","",ROUND(AC98*AA98/100,0))</f>
      </c>
      <c r="AE98" s="27">
        <f>IF($B98&lt;&gt;"Entry","",0)</f>
      </c>
      <c r="AF98" s="27">
        <f>IF($B98&lt;&gt;"Entry","",0)</f>
      </c>
      <c r="AG98" s="27">
        <f>IF($B98&lt;&gt;"Entry","",IF(OR(AD98=0,AB98="",AQ98="",AQ98&lt;=0),0,IF(AQ98&lt;=DATE(YEAR(AB98),MONTH(AB98)+1,7),0,ROUND(AD98*0.015*((YEAR(AQ98)-YEAR(AB98))*12+(MONTH(AQ98)-MONTH(AB98))+1),0))))</f>
      </c>
      <c r="AH98" s="27">
        <f>IF($B98&lt;&gt;"Entry","",0)</f>
      </c>
      <c r="AI98" s="28"/>
      <c r="AJ98" s="28"/>
      <c r="AK98" s="32"/>
      <c r="AL98" s="28"/>
      <c r="AM98" s="28"/>
      <c r="AN98" s="27">
        <f>IF($B98&lt;&gt;"Challan","",SUMIF('Q1 Data'!$D$4:$D$207,D98,'Q1 Data'!$AD$4:$AD$207)+SUMIF('Q1 Data'!$D$4:$D$207,D98,'Q1 Data'!$AG$4:$AG$207)+SUMIF('Q1 Data'!$D$4:$D$207,D98,'Q1 Data'!$AE$4:$AE$207)+SUMIF('Q2 Data'!$D$4:$D$207,D98,'Q2 Data'!$AD$4:$AD$207)+SUMIF('Q2 Data'!$D$4:$D$207,D98,'Q2 Data'!$AG$4:$AG$207)+SUMIF('Q2 Data'!$D$4:$D$207,D98,'Q2 Data'!$AE$4:$AE$207)+SUMIF('Q3 Data'!$D$4:$D$207,D98,'Q3 Data'!$AD$4:$AD$207)+SUMIF('Q3 Data'!$D$4:$D$207,D98,'Q3 Data'!$AG$4:$AG$207)+SUMIF('Q3 Data'!$D$4:$D$207,D98,'Q3 Data'!$AE$4:$AE$207)+SUMIF('Q4 Data'!$D$4:$D$207,D98,'Q4 Data'!$AD$4:$AD$207)+SUMIF('Q4 Data'!$D$4:$D$207,D98,'Q4 Data'!$AG$4:$AG$207)+SUMIF('Q4 Data'!$D$4:$D$207,D98,'Q4 Data'!$AE$4:$AE$207))</f>
      </c>
      <c r="AO98" s="27">
        <f>IF($B98&lt;&gt;"Challan","",P98-N98)</f>
      </c>
      <c r="AP98" s="27">
        <f>IF($B98&lt;&gt;"Challan","",MAX(0,AO98-AN98))</f>
      </c>
      <c r="AQ98" s="33">
        <f>IF($B98&lt;&gt;"Entry","",SUMPRODUCT(('Q1 Data'!$D$4:$D$207=D98)*('Q1 Data'!$B$4:$B$207="Challan")*'Q1 Data'!$F$4:$F$207)+SUMPRODUCT(('Q2 Data'!$D$4:$D$207=D98)*('Q2 Data'!$B$4:$B$207="Challan")*'Q2 Data'!$F$4:$F$207)+SUMPRODUCT(('Q3 Data'!$D$4:$D$207=D98)*('Q3 Data'!$B$4:$B$207="Challan")*'Q3 Data'!$F$4:$F$207)+SUMPRODUCT(('Q4 Data'!$D$4:$D$207=D98)*('Q4 Data'!$B$4:$B$207="Challan")*'Q4 Data'!$F$4:$F$207))</f>
      </c>
      <c r="AR98" s="34">
        <f>IF(OR($B98&lt;&gt;"Entry",Z98=""),FALSE,AND((SUMPRODUCT(('Q1 Data'!$D$4:$D$207=D98)*('Q1 Data'!$B$4:$B$207="Challan")*('Q1 Data'!$H$4:$H$207&lt;&gt;""))+SUMPRODUCT(('Q2 Data'!$D$4:$D$207=D98)*('Q2 Data'!$B$4:$B$207="Challan")*('Q2 Data'!$H$4:$H$207&lt;&gt;""))+SUMPRODUCT(('Q3 Data'!$D$4:$D$207=D98)*('Q3 Data'!$B$4:$B$207="Challan")*('Q3 Data'!$H$4:$H$207&lt;&gt;""))+SUMPRODUCT(('Q4 Data'!$D$4:$D$207=D98)*('Q4 Data'!$B$4:$B$207="Challan")*('Q4 Data'!$H$4:$H$207&lt;&gt;"")))&gt;0,(SUMPRODUCT(('Q1 Data'!$D$4:$D$207=D98)*('Q1 Data'!$B$4:$B$207="Challan")*('Q1 Data'!$H$4:$H$207=Z98))+SUMPRODUCT(('Q2 Data'!$D$4:$D$207=D98)*('Q2 Data'!$B$4:$B$207="Challan")*('Q2 Data'!$H$4:$H$207=Z98))+SUMPRODUCT(('Q3 Data'!$D$4:$D$207=D98)*('Q3 Data'!$B$4:$B$207="Challan")*('Q3 Data'!$H$4:$H$207=Z98))+SUMPRODUCT(('Q4 Data'!$D$4:$D$207=D98)*('Q4 Data'!$B$4:$B$207="Challan")*('Q4 Data'!$H$4:$H$207=Z98)))=0))</f>
      </c>
    </row>
    <row r="99" spans="1:44" x14ac:dyDescent="0.25">
      <c r="A99" s="20">
        <f>IF($B99="Entry",COUNTIF($B$4:$B99,"Entry"),"")</f>
      </c>
      <c r="B99" s="21"/>
      <c r="C99" s="22"/>
      <c r="D99" s="22"/>
      <c r="E99" s="23">
        <f>IF($B99&lt;&gt;"Challan","",IF(ROUND(AN99-AO99,2)&gt;0,"Over-applied",IF(ROUND(AN99-AO99,2)=0,"Fully Utilised","Unconsumed")))</f>
      </c>
      <c r="F99" s="24"/>
      <c r="G99" s="25"/>
      <c r="H99" s="25"/>
      <c r="I99" s="26"/>
      <c r="J99" s="26"/>
      <c r="K99" s="26"/>
      <c r="L99" s="26"/>
      <c r="M99" s="26"/>
      <c r="N99" s="26"/>
      <c r="O99" s="26"/>
      <c r="P99" s="27">
        <f>IF($B99&lt;&gt;"Challan","",I99+J99+K99+L99+M99+N99)</f>
      </c>
      <c r="Q99" s="25"/>
      <c r="R99" s="25"/>
      <c r="S99" s="25"/>
      <c r="T99" s="25"/>
      <c r="U99" s="25"/>
      <c r="V99" s="28"/>
      <c r="W99" s="28"/>
      <c r="X99" s="23">
        <f>IF($B99="Entry",IF(AND(LEN(TRIM(UPPER(W99)))=10,CODE(MID(TRIM(UPPER(W99)),1,1))&gt;=65,CODE(MID(TRIM(UPPER(W99)),1,1))&lt;=90,CODE(MID(TRIM(UPPER(W99)),2,1))&gt;=65,CODE(MID(TRIM(UPPER(W99)),2,1))&lt;=90,CODE(MID(TRIM(UPPER(W99)),3,1))&gt;=65,CODE(MID(TRIM(UPPER(W99)),3,1))&lt;=90,CODE(MID(TRIM(UPPER(W99)),4,1))&gt;=65,CODE(MID(TRIM(UPPER(W99)),4,1))&lt;=90,CODE(MID(TRIM(UPPER(W99)),5,1))&gt;=65,CODE(MID(TRIM(UPPER(W99)),5,1))&lt;=90,CODE(MID(TRIM(UPPER(W99)),10,1))&gt;=65,CODE(MID(TRIM(UPPER(W99)),10,1))&lt;=90,CODE(MID(TRIM(UPPER(W99)),6,1))&gt;=48,CODE(MID(TRIM(UPPER(W99)),6,1))&lt;=57,CODE(MID(TRIM(UPPER(W99)),7,1))&gt;=48,CODE(MID(TRIM(UPPER(W99)),7,1))&lt;=57,CODE(MID(TRIM(UPPER(W99)),8,1))&gt;=48,CODE(MID(TRIM(UPPER(W99)),8,1))&lt;=57,CODE(MID(TRIM(UPPER(W99)),9,1))&gt;=48,CODE(MID(TRIM(UPPER(W99)),9,1))&lt;=57),"N","Y"),IF($B99="Challan","",IF(W99&lt;&gt;"","◄ Set Row Type","")))</f>
      </c>
      <c r="Y99" s="23">
        <f>IF($B99="Entry",IF(LEN(W99)&lt;4,"",IF(UPPER(MID(W99,4,1))="P","Individual",IF(UPPER(MID(W99,4,1))="H","HUF",IF(UPPER(MID(W99,4,1))="C","Company",IF(UPPER(MID(W99,4,1))="F","Firm",IF(UPPER(MID(W99,4,1))="L","LLP",IF(UPPER(MID(W99,4,1))="T","Trust",IF(UPPER(MID(W99,4,1))="A","AOP","")))))))),IF($B99="Challan","",IF(W99&lt;&gt;"","◄ Set Row Type","")))</f>
      </c>
      <c r="Z99" s="28"/>
      <c r="AA99" s="29">
        <f>IF($B99&lt;&gt;"Entry","",IF(Z99="","",IF(X99="Y",SUMPRODUCT(('Rate Lookup'!$A$1:$A$37=Z99)*'Rate Lookup'!$D$1:$D$37),IF(OR(Y99="Individual",Y99="HUF"),SUMPRODUCT(('Rate Lookup'!$A$1:$A$37=Z99)*'Rate Lookup'!$B$1:$B$37),SUMPRODUCT(('Rate Lookup'!$A$1:$A$37=Z99)*'Rate Lookup'!$C$1:$C$37)))))</f>
      </c>
      <c r="AB99" s="30"/>
      <c r="AC99" s="31"/>
      <c r="AD99" s="27">
        <f>IF($B99&lt;&gt;"Entry","",ROUND(AC99*AA99/100,0))</f>
      </c>
      <c r="AE99" s="27">
        <f>IF($B99&lt;&gt;"Entry","",0)</f>
      </c>
      <c r="AF99" s="27">
        <f>IF($B99&lt;&gt;"Entry","",0)</f>
      </c>
      <c r="AG99" s="27">
        <f>IF($B99&lt;&gt;"Entry","",IF(OR(AD99=0,AB99="",AQ99="",AQ99&lt;=0),0,IF(AQ99&lt;=DATE(YEAR(AB99),MONTH(AB99)+1,7),0,ROUND(AD99*0.015*((YEAR(AQ99)-YEAR(AB99))*12+(MONTH(AQ99)-MONTH(AB99))+1),0))))</f>
      </c>
      <c r="AH99" s="27">
        <f>IF($B99&lt;&gt;"Entry","",0)</f>
      </c>
      <c r="AI99" s="28"/>
      <c r="AJ99" s="28"/>
      <c r="AK99" s="32"/>
      <c r="AL99" s="28"/>
      <c r="AM99" s="28"/>
      <c r="AN99" s="27">
        <f>IF($B99&lt;&gt;"Challan","",SUMIF('Q1 Data'!$D$4:$D$207,D99,'Q1 Data'!$AD$4:$AD$207)+SUMIF('Q1 Data'!$D$4:$D$207,D99,'Q1 Data'!$AG$4:$AG$207)+SUMIF('Q1 Data'!$D$4:$D$207,D99,'Q1 Data'!$AE$4:$AE$207)+SUMIF('Q2 Data'!$D$4:$D$207,D99,'Q2 Data'!$AD$4:$AD$207)+SUMIF('Q2 Data'!$D$4:$D$207,D99,'Q2 Data'!$AG$4:$AG$207)+SUMIF('Q2 Data'!$D$4:$D$207,D99,'Q2 Data'!$AE$4:$AE$207)+SUMIF('Q3 Data'!$D$4:$D$207,D99,'Q3 Data'!$AD$4:$AD$207)+SUMIF('Q3 Data'!$D$4:$D$207,D99,'Q3 Data'!$AG$4:$AG$207)+SUMIF('Q3 Data'!$D$4:$D$207,D99,'Q3 Data'!$AE$4:$AE$207)+SUMIF('Q4 Data'!$D$4:$D$207,D99,'Q4 Data'!$AD$4:$AD$207)+SUMIF('Q4 Data'!$D$4:$D$207,D99,'Q4 Data'!$AG$4:$AG$207)+SUMIF('Q4 Data'!$D$4:$D$207,D99,'Q4 Data'!$AE$4:$AE$207))</f>
      </c>
      <c r="AO99" s="27">
        <f>IF($B99&lt;&gt;"Challan","",P99-N99)</f>
      </c>
      <c r="AP99" s="27">
        <f>IF($B99&lt;&gt;"Challan","",MAX(0,AO99-AN99))</f>
      </c>
      <c r="AQ99" s="33">
        <f>IF($B99&lt;&gt;"Entry","",SUMPRODUCT(('Q1 Data'!$D$4:$D$207=D99)*('Q1 Data'!$B$4:$B$207="Challan")*'Q1 Data'!$F$4:$F$207)+SUMPRODUCT(('Q2 Data'!$D$4:$D$207=D99)*('Q2 Data'!$B$4:$B$207="Challan")*'Q2 Data'!$F$4:$F$207)+SUMPRODUCT(('Q3 Data'!$D$4:$D$207=D99)*('Q3 Data'!$B$4:$B$207="Challan")*'Q3 Data'!$F$4:$F$207)+SUMPRODUCT(('Q4 Data'!$D$4:$D$207=D99)*('Q4 Data'!$B$4:$B$207="Challan")*'Q4 Data'!$F$4:$F$207))</f>
      </c>
      <c r="AR99" s="34">
        <f>IF(OR($B99&lt;&gt;"Entry",Z99=""),FALSE,AND((SUMPRODUCT(('Q1 Data'!$D$4:$D$207=D99)*('Q1 Data'!$B$4:$B$207="Challan")*('Q1 Data'!$H$4:$H$207&lt;&gt;""))+SUMPRODUCT(('Q2 Data'!$D$4:$D$207=D99)*('Q2 Data'!$B$4:$B$207="Challan")*('Q2 Data'!$H$4:$H$207&lt;&gt;""))+SUMPRODUCT(('Q3 Data'!$D$4:$D$207=D99)*('Q3 Data'!$B$4:$B$207="Challan")*('Q3 Data'!$H$4:$H$207&lt;&gt;""))+SUMPRODUCT(('Q4 Data'!$D$4:$D$207=D99)*('Q4 Data'!$B$4:$B$207="Challan")*('Q4 Data'!$H$4:$H$207&lt;&gt;"")))&gt;0,(SUMPRODUCT(('Q1 Data'!$D$4:$D$207=D99)*('Q1 Data'!$B$4:$B$207="Challan")*('Q1 Data'!$H$4:$H$207=Z99))+SUMPRODUCT(('Q2 Data'!$D$4:$D$207=D99)*('Q2 Data'!$B$4:$B$207="Challan")*('Q2 Data'!$H$4:$H$207=Z99))+SUMPRODUCT(('Q3 Data'!$D$4:$D$207=D99)*('Q3 Data'!$B$4:$B$207="Challan")*('Q3 Data'!$H$4:$H$207=Z99))+SUMPRODUCT(('Q4 Data'!$D$4:$D$207=D99)*('Q4 Data'!$B$4:$B$207="Challan")*('Q4 Data'!$H$4:$H$207=Z99)))=0))</f>
      </c>
    </row>
    <row r="100" spans="1:44" x14ac:dyDescent="0.25">
      <c r="A100" s="20">
        <f>IF($B100="Entry",COUNTIF($B$4:$B100,"Entry"),"")</f>
      </c>
      <c r="B100" s="21"/>
      <c r="C100" s="22"/>
      <c r="D100" s="22"/>
      <c r="E100" s="23">
        <f>IF($B100&lt;&gt;"Challan","",IF(ROUND(AN100-AO100,2)&gt;0,"Over-applied",IF(ROUND(AN100-AO100,2)=0,"Fully Utilised","Unconsumed")))</f>
      </c>
      <c r="F100" s="24"/>
      <c r="G100" s="25"/>
      <c r="H100" s="25"/>
      <c r="I100" s="26"/>
      <c r="J100" s="26"/>
      <c r="K100" s="26"/>
      <c r="L100" s="26"/>
      <c r="M100" s="26"/>
      <c r="N100" s="26"/>
      <c r="O100" s="26"/>
      <c r="P100" s="27">
        <f>IF($B100&lt;&gt;"Challan","",I100+J100+K100+L100+M100+N100)</f>
      </c>
      <c r="Q100" s="25"/>
      <c r="R100" s="25"/>
      <c r="S100" s="25"/>
      <c r="T100" s="25"/>
      <c r="U100" s="25"/>
      <c r="V100" s="28"/>
      <c r="W100" s="28"/>
      <c r="X100" s="23">
        <f>IF($B100="Entry",IF(AND(LEN(TRIM(UPPER(W100)))=10,CODE(MID(TRIM(UPPER(W100)),1,1))&gt;=65,CODE(MID(TRIM(UPPER(W100)),1,1))&lt;=90,CODE(MID(TRIM(UPPER(W100)),2,1))&gt;=65,CODE(MID(TRIM(UPPER(W100)),2,1))&lt;=90,CODE(MID(TRIM(UPPER(W100)),3,1))&gt;=65,CODE(MID(TRIM(UPPER(W100)),3,1))&lt;=90,CODE(MID(TRIM(UPPER(W100)),4,1))&gt;=65,CODE(MID(TRIM(UPPER(W100)),4,1))&lt;=90,CODE(MID(TRIM(UPPER(W100)),5,1))&gt;=65,CODE(MID(TRIM(UPPER(W100)),5,1))&lt;=90,CODE(MID(TRIM(UPPER(W100)),10,1))&gt;=65,CODE(MID(TRIM(UPPER(W100)),10,1))&lt;=90,CODE(MID(TRIM(UPPER(W100)),6,1))&gt;=48,CODE(MID(TRIM(UPPER(W100)),6,1))&lt;=57,CODE(MID(TRIM(UPPER(W100)),7,1))&gt;=48,CODE(MID(TRIM(UPPER(W100)),7,1))&lt;=57,CODE(MID(TRIM(UPPER(W100)),8,1))&gt;=48,CODE(MID(TRIM(UPPER(W100)),8,1))&lt;=57,CODE(MID(TRIM(UPPER(W100)),9,1))&gt;=48,CODE(MID(TRIM(UPPER(W100)),9,1))&lt;=57),"N","Y"),IF($B100="Challan","",IF(W100&lt;&gt;"","◄ Set Row Type","")))</f>
      </c>
      <c r="Y100" s="23">
        <f>IF($B100="Entry",IF(LEN(W100)&lt;4,"",IF(UPPER(MID(W100,4,1))="P","Individual",IF(UPPER(MID(W100,4,1))="H","HUF",IF(UPPER(MID(W100,4,1))="C","Company",IF(UPPER(MID(W100,4,1))="F","Firm",IF(UPPER(MID(W100,4,1))="L","LLP",IF(UPPER(MID(W100,4,1))="T","Trust",IF(UPPER(MID(W100,4,1))="A","AOP","")))))))),IF($B100="Challan","",IF(W100&lt;&gt;"","◄ Set Row Type","")))</f>
      </c>
      <c r="Z100" s="28"/>
      <c r="AA100" s="29">
        <f>IF($B100&lt;&gt;"Entry","",IF(Z100="","",IF(X100="Y",SUMPRODUCT(('Rate Lookup'!$A$1:$A$37=Z100)*'Rate Lookup'!$D$1:$D$37),IF(OR(Y100="Individual",Y100="HUF"),SUMPRODUCT(('Rate Lookup'!$A$1:$A$37=Z100)*'Rate Lookup'!$B$1:$B$37),SUMPRODUCT(('Rate Lookup'!$A$1:$A$37=Z100)*'Rate Lookup'!$C$1:$C$37)))))</f>
      </c>
      <c r="AB100" s="30"/>
      <c r="AC100" s="31"/>
      <c r="AD100" s="27">
        <f>IF($B100&lt;&gt;"Entry","",ROUND(AC100*AA100/100,0))</f>
      </c>
      <c r="AE100" s="27">
        <f>IF($B100&lt;&gt;"Entry","",0)</f>
      </c>
      <c r="AF100" s="27">
        <f>IF($B100&lt;&gt;"Entry","",0)</f>
      </c>
      <c r="AG100" s="27">
        <f>IF($B100&lt;&gt;"Entry","",IF(OR(AD100=0,AB100="",AQ100="",AQ100&lt;=0),0,IF(AQ100&lt;=DATE(YEAR(AB100),MONTH(AB100)+1,7),0,ROUND(AD100*0.015*((YEAR(AQ100)-YEAR(AB100))*12+(MONTH(AQ100)-MONTH(AB100))+1),0))))</f>
      </c>
      <c r="AH100" s="27">
        <f>IF($B100&lt;&gt;"Entry","",0)</f>
      </c>
      <c r="AI100" s="28"/>
      <c r="AJ100" s="28"/>
      <c r="AK100" s="32"/>
      <c r="AL100" s="28"/>
      <c r="AM100" s="28"/>
      <c r="AN100" s="27">
        <f>IF($B100&lt;&gt;"Challan","",SUMIF('Q1 Data'!$D$4:$D$207,D100,'Q1 Data'!$AD$4:$AD$207)+SUMIF('Q1 Data'!$D$4:$D$207,D100,'Q1 Data'!$AG$4:$AG$207)+SUMIF('Q1 Data'!$D$4:$D$207,D100,'Q1 Data'!$AE$4:$AE$207)+SUMIF('Q2 Data'!$D$4:$D$207,D100,'Q2 Data'!$AD$4:$AD$207)+SUMIF('Q2 Data'!$D$4:$D$207,D100,'Q2 Data'!$AG$4:$AG$207)+SUMIF('Q2 Data'!$D$4:$D$207,D100,'Q2 Data'!$AE$4:$AE$207)+SUMIF('Q3 Data'!$D$4:$D$207,D100,'Q3 Data'!$AD$4:$AD$207)+SUMIF('Q3 Data'!$D$4:$D$207,D100,'Q3 Data'!$AG$4:$AG$207)+SUMIF('Q3 Data'!$D$4:$D$207,D100,'Q3 Data'!$AE$4:$AE$207)+SUMIF('Q4 Data'!$D$4:$D$207,D100,'Q4 Data'!$AD$4:$AD$207)+SUMIF('Q4 Data'!$D$4:$D$207,D100,'Q4 Data'!$AG$4:$AG$207)+SUMIF('Q4 Data'!$D$4:$D$207,D100,'Q4 Data'!$AE$4:$AE$207))</f>
      </c>
      <c r="AO100" s="27">
        <f>IF($B100&lt;&gt;"Challan","",P100-N100)</f>
      </c>
      <c r="AP100" s="27">
        <f>IF($B100&lt;&gt;"Challan","",MAX(0,AO100-AN100))</f>
      </c>
      <c r="AQ100" s="33">
        <f>IF($B100&lt;&gt;"Entry","",SUMPRODUCT(('Q1 Data'!$D$4:$D$207=D100)*('Q1 Data'!$B$4:$B$207="Challan")*'Q1 Data'!$F$4:$F$207)+SUMPRODUCT(('Q2 Data'!$D$4:$D$207=D100)*('Q2 Data'!$B$4:$B$207="Challan")*'Q2 Data'!$F$4:$F$207)+SUMPRODUCT(('Q3 Data'!$D$4:$D$207=D100)*('Q3 Data'!$B$4:$B$207="Challan")*'Q3 Data'!$F$4:$F$207)+SUMPRODUCT(('Q4 Data'!$D$4:$D$207=D100)*('Q4 Data'!$B$4:$B$207="Challan")*'Q4 Data'!$F$4:$F$207))</f>
      </c>
      <c r="AR100" s="34">
        <f>IF(OR($B100&lt;&gt;"Entry",Z100=""),FALSE,AND((SUMPRODUCT(('Q1 Data'!$D$4:$D$207=D100)*('Q1 Data'!$B$4:$B$207="Challan")*('Q1 Data'!$H$4:$H$207&lt;&gt;""))+SUMPRODUCT(('Q2 Data'!$D$4:$D$207=D100)*('Q2 Data'!$B$4:$B$207="Challan")*('Q2 Data'!$H$4:$H$207&lt;&gt;""))+SUMPRODUCT(('Q3 Data'!$D$4:$D$207=D100)*('Q3 Data'!$B$4:$B$207="Challan")*('Q3 Data'!$H$4:$H$207&lt;&gt;""))+SUMPRODUCT(('Q4 Data'!$D$4:$D$207=D100)*('Q4 Data'!$B$4:$B$207="Challan")*('Q4 Data'!$H$4:$H$207&lt;&gt;"")))&gt;0,(SUMPRODUCT(('Q1 Data'!$D$4:$D$207=D100)*('Q1 Data'!$B$4:$B$207="Challan")*('Q1 Data'!$H$4:$H$207=Z100))+SUMPRODUCT(('Q2 Data'!$D$4:$D$207=D100)*('Q2 Data'!$B$4:$B$207="Challan")*('Q2 Data'!$H$4:$H$207=Z100))+SUMPRODUCT(('Q3 Data'!$D$4:$D$207=D100)*('Q3 Data'!$B$4:$B$207="Challan")*('Q3 Data'!$H$4:$H$207=Z100))+SUMPRODUCT(('Q4 Data'!$D$4:$D$207=D100)*('Q4 Data'!$B$4:$B$207="Challan")*('Q4 Data'!$H$4:$H$207=Z100)))=0))</f>
      </c>
    </row>
    <row r="101" spans="1:44" x14ac:dyDescent="0.25">
      <c r="A101" s="20">
        <f>IF($B101="Entry",COUNTIF($B$4:$B101,"Entry"),"")</f>
      </c>
      <c r="B101" s="21"/>
      <c r="C101" s="22"/>
      <c r="D101" s="22"/>
      <c r="E101" s="23">
        <f>IF($B101&lt;&gt;"Challan","",IF(ROUND(AN101-AO101,2)&gt;0,"Over-applied",IF(ROUND(AN101-AO101,2)=0,"Fully Utilised","Unconsumed")))</f>
      </c>
      <c r="F101" s="24"/>
      <c r="G101" s="25"/>
      <c r="H101" s="25"/>
      <c r="I101" s="26"/>
      <c r="J101" s="26"/>
      <c r="K101" s="26"/>
      <c r="L101" s="26"/>
      <c r="M101" s="26"/>
      <c r="N101" s="26"/>
      <c r="O101" s="26"/>
      <c r="P101" s="27">
        <f>IF($B101&lt;&gt;"Challan","",I101+J101+K101+L101+M101+N101)</f>
      </c>
      <c r="Q101" s="25"/>
      <c r="R101" s="25"/>
      <c r="S101" s="25"/>
      <c r="T101" s="25"/>
      <c r="U101" s="25"/>
      <c r="V101" s="28"/>
      <c r="W101" s="28"/>
      <c r="X101" s="23">
        <f>IF($B101="Entry",IF(AND(LEN(TRIM(UPPER(W101)))=10,CODE(MID(TRIM(UPPER(W101)),1,1))&gt;=65,CODE(MID(TRIM(UPPER(W101)),1,1))&lt;=90,CODE(MID(TRIM(UPPER(W101)),2,1))&gt;=65,CODE(MID(TRIM(UPPER(W101)),2,1))&lt;=90,CODE(MID(TRIM(UPPER(W101)),3,1))&gt;=65,CODE(MID(TRIM(UPPER(W101)),3,1))&lt;=90,CODE(MID(TRIM(UPPER(W101)),4,1))&gt;=65,CODE(MID(TRIM(UPPER(W101)),4,1))&lt;=90,CODE(MID(TRIM(UPPER(W101)),5,1))&gt;=65,CODE(MID(TRIM(UPPER(W101)),5,1))&lt;=90,CODE(MID(TRIM(UPPER(W101)),10,1))&gt;=65,CODE(MID(TRIM(UPPER(W101)),10,1))&lt;=90,CODE(MID(TRIM(UPPER(W101)),6,1))&gt;=48,CODE(MID(TRIM(UPPER(W101)),6,1))&lt;=57,CODE(MID(TRIM(UPPER(W101)),7,1))&gt;=48,CODE(MID(TRIM(UPPER(W101)),7,1))&lt;=57,CODE(MID(TRIM(UPPER(W101)),8,1))&gt;=48,CODE(MID(TRIM(UPPER(W101)),8,1))&lt;=57,CODE(MID(TRIM(UPPER(W101)),9,1))&gt;=48,CODE(MID(TRIM(UPPER(W101)),9,1))&lt;=57),"N","Y"),IF($B101="Challan","",IF(W101&lt;&gt;"","◄ Set Row Type","")))</f>
      </c>
      <c r="Y101" s="23">
        <f>IF($B101="Entry",IF(LEN(W101)&lt;4,"",IF(UPPER(MID(W101,4,1))="P","Individual",IF(UPPER(MID(W101,4,1))="H","HUF",IF(UPPER(MID(W101,4,1))="C","Company",IF(UPPER(MID(W101,4,1))="F","Firm",IF(UPPER(MID(W101,4,1))="L","LLP",IF(UPPER(MID(W101,4,1))="T","Trust",IF(UPPER(MID(W101,4,1))="A","AOP","")))))))),IF($B101="Challan","",IF(W101&lt;&gt;"","◄ Set Row Type","")))</f>
      </c>
      <c r="Z101" s="28"/>
      <c r="AA101" s="29">
        <f>IF($B101&lt;&gt;"Entry","",IF(Z101="","",IF(X101="Y",SUMPRODUCT(('Rate Lookup'!$A$1:$A$37=Z101)*'Rate Lookup'!$D$1:$D$37),IF(OR(Y101="Individual",Y101="HUF"),SUMPRODUCT(('Rate Lookup'!$A$1:$A$37=Z101)*'Rate Lookup'!$B$1:$B$37),SUMPRODUCT(('Rate Lookup'!$A$1:$A$37=Z101)*'Rate Lookup'!$C$1:$C$37)))))</f>
      </c>
      <c r="AB101" s="30"/>
      <c r="AC101" s="31"/>
      <c r="AD101" s="27">
        <f>IF($B101&lt;&gt;"Entry","",ROUND(AC101*AA101/100,0))</f>
      </c>
      <c r="AE101" s="27">
        <f>IF($B101&lt;&gt;"Entry","",0)</f>
      </c>
      <c r="AF101" s="27">
        <f>IF($B101&lt;&gt;"Entry","",0)</f>
      </c>
      <c r="AG101" s="27">
        <f>IF($B101&lt;&gt;"Entry","",IF(OR(AD101=0,AB101="",AQ101="",AQ101&lt;=0),0,IF(AQ101&lt;=DATE(YEAR(AB101),MONTH(AB101)+1,7),0,ROUND(AD101*0.015*((YEAR(AQ101)-YEAR(AB101))*12+(MONTH(AQ101)-MONTH(AB101))+1),0))))</f>
      </c>
      <c r="AH101" s="27">
        <f>IF($B101&lt;&gt;"Entry","",0)</f>
      </c>
      <c r="AI101" s="28"/>
      <c r="AJ101" s="28"/>
      <c r="AK101" s="32"/>
      <c r="AL101" s="28"/>
      <c r="AM101" s="28"/>
      <c r="AN101" s="27">
        <f>IF($B101&lt;&gt;"Challan","",SUMIF('Q1 Data'!$D$4:$D$207,D101,'Q1 Data'!$AD$4:$AD$207)+SUMIF('Q1 Data'!$D$4:$D$207,D101,'Q1 Data'!$AG$4:$AG$207)+SUMIF('Q1 Data'!$D$4:$D$207,D101,'Q1 Data'!$AE$4:$AE$207)+SUMIF('Q2 Data'!$D$4:$D$207,D101,'Q2 Data'!$AD$4:$AD$207)+SUMIF('Q2 Data'!$D$4:$D$207,D101,'Q2 Data'!$AG$4:$AG$207)+SUMIF('Q2 Data'!$D$4:$D$207,D101,'Q2 Data'!$AE$4:$AE$207)+SUMIF('Q3 Data'!$D$4:$D$207,D101,'Q3 Data'!$AD$4:$AD$207)+SUMIF('Q3 Data'!$D$4:$D$207,D101,'Q3 Data'!$AG$4:$AG$207)+SUMIF('Q3 Data'!$D$4:$D$207,D101,'Q3 Data'!$AE$4:$AE$207)+SUMIF('Q4 Data'!$D$4:$D$207,D101,'Q4 Data'!$AD$4:$AD$207)+SUMIF('Q4 Data'!$D$4:$D$207,D101,'Q4 Data'!$AG$4:$AG$207)+SUMIF('Q4 Data'!$D$4:$D$207,D101,'Q4 Data'!$AE$4:$AE$207))</f>
      </c>
      <c r="AO101" s="27">
        <f>IF($B101&lt;&gt;"Challan","",P101-N101)</f>
      </c>
      <c r="AP101" s="27">
        <f>IF($B101&lt;&gt;"Challan","",MAX(0,AO101-AN101))</f>
      </c>
      <c r="AQ101" s="33">
        <f>IF($B101&lt;&gt;"Entry","",SUMPRODUCT(('Q1 Data'!$D$4:$D$207=D101)*('Q1 Data'!$B$4:$B$207="Challan")*'Q1 Data'!$F$4:$F$207)+SUMPRODUCT(('Q2 Data'!$D$4:$D$207=D101)*('Q2 Data'!$B$4:$B$207="Challan")*'Q2 Data'!$F$4:$F$207)+SUMPRODUCT(('Q3 Data'!$D$4:$D$207=D101)*('Q3 Data'!$B$4:$B$207="Challan")*'Q3 Data'!$F$4:$F$207)+SUMPRODUCT(('Q4 Data'!$D$4:$D$207=D101)*('Q4 Data'!$B$4:$B$207="Challan")*'Q4 Data'!$F$4:$F$207))</f>
      </c>
      <c r="AR101" s="34">
        <f>IF(OR($B101&lt;&gt;"Entry",Z101=""),FALSE,AND((SUMPRODUCT(('Q1 Data'!$D$4:$D$207=D101)*('Q1 Data'!$B$4:$B$207="Challan")*('Q1 Data'!$H$4:$H$207&lt;&gt;""))+SUMPRODUCT(('Q2 Data'!$D$4:$D$207=D101)*('Q2 Data'!$B$4:$B$207="Challan")*('Q2 Data'!$H$4:$H$207&lt;&gt;""))+SUMPRODUCT(('Q3 Data'!$D$4:$D$207=D101)*('Q3 Data'!$B$4:$B$207="Challan")*('Q3 Data'!$H$4:$H$207&lt;&gt;""))+SUMPRODUCT(('Q4 Data'!$D$4:$D$207=D101)*('Q4 Data'!$B$4:$B$207="Challan")*('Q4 Data'!$H$4:$H$207&lt;&gt;"")))&gt;0,(SUMPRODUCT(('Q1 Data'!$D$4:$D$207=D101)*('Q1 Data'!$B$4:$B$207="Challan")*('Q1 Data'!$H$4:$H$207=Z101))+SUMPRODUCT(('Q2 Data'!$D$4:$D$207=D101)*('Q2 Data'!$B$4:$B$207="Challan")*('Q2 Data'!$H$4:$H$207=Z101))+SUMPRODUCT(('Q3 Data'!$D$4:$D$207=D101)*('Q3 Data'!$B$4:$B$207="Challan")*('Q3 Data'!$H$4:$H$207=Z101))+SUMPRODUCT(('Q4 Data'!$D$4:$D$207=D101)*('Q4 Data'!$B$4:$B$207="Challan")*('Q4 Data'!$H$4:$H$207=Z101)))=0))</f>
      </c>
    </row>
    <row r="102" spans="1:44" x14ac:dyDescent="0.25">
      <c r="A102" s="20">
        <f>IF($B102="Entry",COUNTIF($B$4:$B102,"Entry"),"")</f>
      </c>
      <c r="B102" s="21"/>
      <c r="C102" s="22"/>
      <c r="D102" s="22"/>
      <c r="E102" s="23">
        <f>IF($B102&lt;&gt;"Challan","",IF(ROUND(AN102-AO102,2)&gt;0,"Over-applied",IF(ROUND(AN102-AO102,2)=0,"Fully Utilised","Unconsumed")))</f>
      </c>
      <c r="F102" s="24"/>
      <c r="G102" s="25"/>
      <c r="H102" s="25"/>
      <c r="I102" s="26"/>
      <c r="J102" s="26"/>
      <c r="K102" s="26"/>
      <c r="L102" s="26"/>
      <c r="M102" s="26"/>
      <c r="N102" s="26"/>
      <c r="O102" s="26"/>
      <c r="P102" s="27">
        <f>IF($B102&lt;&gt;"Challan","",I102+J102+K102+L102+M102+N102)</f>
      </c>
      <c r="Q102" s="25"/>
      <c r="R102" s="25"/>
      <c r="S102" s="25"/>
      <c r="T102" s="25"/>
      <c r="U102" s="25"/>
      <c r="V102" s="28"/>
      <c r="W102" s="28"/>
      <c r="X102" s="23">
        <f>IF($B102="Entry",IF(AND(LEN(TRIM(UPPER(W102)))=10,CODE(MID(TRIM(UPPER(W102)),1,1))&gt;=65,CODE(MID(TRIM(UPPER(W102)),1,1))&lt;=90,CODE(MID(TRIM(UPPER(W102)),2,1))&gt;=65,CODE(MID(TRIM(UPPER(W102)),2,1))&lt;=90,CODE(MID(TRIM(UPPER(W102)),3,1))&gt;=65,CODE(MID(TRIM(UPPER(W102)),3,1))&lt;=90,CODE(MID(TRIM(UPPER(W102)),4,1))&gt;=65,CODE(MID(TRIM(UPPER(W102)),4,1))&lt;=90,CODE(MID(TRIM(UPPER(W102)),5,1))&gt;=65,CODE(MID(TRIM(UPPER(W102)),5,1))&lt;=90,CODE(MID(TRIM(UPPER(W102)),10,1))&gt;=65,CODE(MID(TRIM(UPPER(W102)),10,1))&lt;=90,CODE(MID(TRIM(UPPER(W102)),6,1))&gt;=48,CODE(MID(TRIM(UPPER(W102)),6,1))&lt;=57,CODE(MID(TRIM(UPPER(W102)),7,1))&gt;=48,CODE(MID(TRIM(UPPER(W102)),7,1))&lt;=57,CODE(MID(TRIM(UPPER(W102)),8,1))&gt;=48,CODE(MID(TRIM(UPPER(W102)),8,1))&lt;=57,CODE(MID(TRIM(UPPER(W102)),9,1))&gt;=48,CODE(MID(TRIM(UPPER(W102)),9,1))&lt;=57),"N","Y"),IF($B102="Challan","",IF(W102&lt;&gt;"","◄ Set Row Type","")))</f>
      </c>
      <c r="Y102" s="23">
        <f>IF($B102="Entry",IF(LEN(W102)&lt;4,"",IF(UPPER(MID(W102,4,1))="P","Individual",IF(UPPER(MID(W102,4,1))="H","HUF",IF(UPPER(MID(W102,4,1))="C","Company",IF(UPPER(MID(W102,4,1))="F","Firm",IF(UPPER(MID(W102,4,1))="L","LLP",IF(UPPER(MID(W102,4,1))="T","Trust",IF(UPPER(MID(W102,4,1))="A","AOP","")))))))),IF($B102="Challan","",IF(W102&lt;&gt;"","◄ Set Row Type","")))</f>
      </c>
      <c r="Z102" s="28"/>
      <c r="AA102" s="29">
        <f>IF($B102&lt;&gt;"Entry","",IF(Z102="","",IF(X102="Y",SUMPRODUCT(('Rate Lookup'!$A$1:$A$37=Z102)*'Rate Lookup'!$D$1:$D$37),IF(OR(Y102="Individual",Y102="HUF"),SUMPRODUCT(('Rate Lookup'!$A$1:$A$37=Z102)*'Rate Lookup'!$B$1:$B$37),SUMPRODUCT(('Rate Lookup'!$A$1:$A$37=Z102)*'Rate Lookup'!$C$1:$C$37)))))</f>
      </c>
      <c r="AB102" s="30"/>
      <c r="AC102" s="31"/>
      <c r="AD102" s="27">
        <f>IF($B102&lt;&gt;"Entry","",ROUND(AC102*AA102/100,0))</f>
      </c>
      <c r="AE102" s="27">
        <f>IF($B102&lt;&gt;"Entry","",0)</f>
      </c>
      <c r="AF102" s="27">
        <f>IF($B102&lt;&gt;"Entry","",0)</f>
      </c>
      <c r="AG102" s="27">
        <f>IF($B102&lt;&gt;"Entry","",IF(OR(AD102=0,AB102="",AQ102="",AQ102&lt;=0),0,IF(AQ102&lt;=DATE(YEAR(AB102),MONTH(AB102)+1,7),0,ROUND(AD102*0.015*((YEAR(AQ102)-YEAR(AB102))*12+(MONTH(AQ102)-MONTH(AB102))+1),0))))</f>
      </c>
      <c r="AH102" s="27">
        <f>IF($B102&lt;&gt;"Entry","",0)</f>
      </c>
      <c r="AI102" s="28"/>
      <c r="AJ102" s="28"/>
      <c r="AK102" s="32"/>
      <c r="AL102" s="28"/>
      <c r="AM102" s="28"/>
      <c r="AN102" s="27">
        <f>IF($B102&lt;&gt;"Challan","",SUMIF('Q1 Data'!$D$4:$D$207,D102,'Q1 Data'!$AD$4:$AD$207)+SUMIF('Q1 Data'!$D$4:$D$207,D102,'Q1 Data'!$AG$4:$AG$207)+SUMIF('Q1 Data'!$D$4:$D$207,D102,'Q1 Data'!$AE$4:$AE$207)+SUMIF('Q2 Data'!$D$4:$D$207,D102,'Q2 Data'!$AD$4:$AD$207)+SUMIF('Q2 Data'!$D$4:$D$207,D102,'Q2 Data'!$AG$4:$AG$207)+SUMIF('Q2 Data'!$D$4:$D$207,D102,'Q2 Data'!$AE$4:$AE$207)+SUMIF('Q3 Data'!$D$4:$D$207,D102,'Q3 Data'!$AD$4:$AD$207)+SUMIF('Q3 Data'!$D$4:$D$207,D102,'Q3 Data'!$AG$4:$AG$207)+SUMIF('Q3 Data'!$D$4:$D$207,D102,'Q3 Data'!$AE$4:$AE$207)+SUMIF('Q4 Data'!$D$4:$D$207,D102,'Q4 Data'!$AD$4:$AD$207)+SUMIF('Q4 Data'!$D$4:$D$207,D102,'Q4 Data'!$AG$4:$AG$207)+SUMIF('Q4 Data'!$D$4:$D$207,D102,'Q4 Data'!$AE$4:$AE$207))</f>
      </c>
      <c r="AO102" s="27">
        <f>IF($B102&lt;&gt;"Challan","",P102-N102)</f>
      </c>
      <c r="AP102" s="27">
        <f>IF($B102&lt;&gt;"Challan","",MAX(0,AO102-AN102))</f>
      </c>
      <c r="AQ102" s="33">
        <f>IF($B102&lt;&gt;"Entry","",SUMPRODUCT(('Q1 Data'!$D$4:$D$207=D102)*('Q1 Data'!$B$4:$B$207="Challan")*'Q1 Data'!$F$4:$F$207)+SUMPRODUCT(('Q2 Data'!$D$4:$D$207=D102)*('Q2 Data'!$B$4:$B$207="Challan")*'Q2 Data'!$F$4:$F$207)+SUMPRODUCT(('Q3 Data'!$D$4:$D$207=D102)*('Q3 Data'!$B$4:$B$207="Challan")*'Q3 Data'!$F$4:$F$207)+SUMPRODUCT(('Q4 Data'!$D$4:$D$207=D102)*('Q4 Data'!$B$4:$B$207="Challan")*'Q4 Data'!$F$4:$F$207))</f>
      </c>
      <c r="AR102" s="34">
        <f>IF(OR($B102&lt;&gt;"Entry",Z102=""),FALSE,AND((SUMPRODUCT(('Q1 Data'!$D$4:$D$207=D102)*('Q1 Data'!$B$4:$B$207="Challan")*('Q1 Data'!$H$4:$H$207&lt;&gt;""))+SUMPRODUCT(('Q2 Data'!$D$4:$D$207=D102)*('Q2 Data'!$B$4:$B$207="Challan")*('Q2 Data'!$H$4:$H$207&lt;&gt;""))+SUMPRODUCT(('Q3 Data'!$D$4:$D$207=D102)*('Q3 Data'!$B$4:$B$207="Challan")*('Q3 Data'!$H$4:$H$207&lt;&gt;""))+SUMPRODUCT(('Q4 Data'!$D$4:$D$207=D102)*('Q4 Data'!$B$4:$B$207="Challan")*('Q4 Data'!$H$4:$H$207&lt;&gt;"")))&gt;0,(SUMPRODUCT(('Q1 Data'!$D$4:$D$207=D102)*('Q1 Data'!$B$4:$B$207="Challan")*('Q1 Data'!$H$4:$H$207=Z102))+SUMPRODUCT(('Q2 Data'!$D$4:$D$207=D102)*('Q2 Data'!$B$4:$B$207="Challan")*('Q2 Data'!$H$4:$H$207=Z102))+SUMPRODUCT(('Q3 Data'!$D$4:$D$207=D102)*('Q3 Data'!$B$4:$B$207="Challan")*('Q3 Data'!$H$4:$H$207=Z102))+SUMPRODUCT(('Q4 Data'!$D$4:$D$207=D102)*('Q4 Data'!$B$4:$B$207="Challan")*('Q4 Data'!$H$4:$H$207=Z102)))=0))</f>
      </c>
    </row>
    <row r="103" spans="1:44" x14ac:dyDescent="0.25">
      <c r="A103" s="20">
        <f>IF($B103="Entry",COUNTIF($B$4:$B103,"Entry"),"")</f>
      </c>
      <c r="B103" s="21"/>
      <c r="C103" s="22"/>
      <c r="D103" s="22"/>
      <c r="E103" s="23">
        <f>IF($B103&lt;&gt;"Challan","",IF(ROUND(AN103-AO103,2)&gt;0,"Over-applied",IF(ROUND(AN103-AO103,2)=0,"Fully Utilised","Unconsumed")))</f>
      </c>
      <c r="F103" s="24"/>
      <c r="G103" s="25"/>
      <c r="H103" s="25"/>
      <c r="I103" s="26"/>
      <c r="J103" s="26"/>
      <c r="K103" s="26"/>
      <c r="L103" s="26"/>
      <c r="M103" s="26"/>
      <c r="N103" s="26"/>
      <c r="O103" s="26"/>
      <c r="P103" s="27">
        <f>IF($B103&lt;&gt;"Challan","",I103+J103+K103+L103+M103+N103)</f>
      </c>
      <c r="Q103" s="25"/>
      <c r="R103" s="25"/>
      <c r="S103" s="25"/>
      <c r="T103" s="25"/>
      <c r="U103" s="25"/>
      <c r="V103" s="28"/>
      <c r="W103" s="28"/>
      <c r="X103" s="23">
        <f>IF($B103="Entry",IF(AND(LEN(TRIM(UPPER(W103)))=10,CODE(MID(TRIM(UPPER(W103)),1,1))&gt;=65,CODE(MID(TRIM(UPPER(W103)),1,1))&lt;=90,CODE(MID(TRIM(UPPER(W103)),2,1))&gt;=65,CODE(MID(TRIM(UPPER(W103)),2,1))&lt;=90,CODE(MID(TRIM(UPPER(W103)),3,1))&gt;=65,CODE(MID(TRIM(UPPER(W103)),3,1))&lt;=90,CODE(MID(TRIM(UPPER(W103)),4,1))&gt;=65,CODE(MID(TRIM(UPPER(W103)),4,1))&lt;=90,CODE(MID(TRIM(UPPER(W103)),5,1))&gt;=65,CODE(MID(TRIM(UPPER(W103)),5,1))&lt;=90,CODE(MID(TRIM(UPPER(W103)),10,1))&gt;=65,CODE(MID(TRIM(UPPER(W103)),10,1))&lt;=90,CODE(MID(TRIM(UPPER(W103)),6,1))&gt;=48,CODE(MID(TRIM(UPPER(W103)),6,1))&lt;=57,CODE(MID(TRIM(UPPER(W103)),7,1))&gt;=48,CODE(MID(TRIM(UPPER(W103)),7,1))&lt;=57,CODE(MID(TRIM(UPPER(W103)),8,1))&gt;=48,CODE(MID(TRIM(UPPER(W103)),8,1))&lt;=57,CODE(MID(TRIM(UPPER(W103)),9,1))&gt;=48,CODE(MID(TRIM(UPPER(W103)),9,1))&lt;=57),"N","Y"),IF($B103="Challan","",IF(W103&lt;&gt;"","◄ Set Row Type","")))</f>
      </c>
      <c r="Y103" s="23">
        <f>IF($B103="Entry",IF(LEN(W103)&lt;4,"",IF(UPPER(MID(W103,4,1))="P","Individual",IF(UPPER(MID(W103,4,1))="H","HUF",IF(UPPER(MID(W103,4,1))="C","Company",IF(UPPER(MID(W103,4,1))="F","Firm",IF(UPPER(MID(W103,4,1))="L","LLP",IF(UPPER(MID(W103,4,1))="T","Trust",IF(UPPER(MID(W103,4,1))="A","AOP","")))))))),IF($B103="Challan","",IF(W103&lt;&gt;"","◄ Set Row Type","")))</f>
      </c>
      <c r="Z103" s="28"/>
      <c r="AA103" s="29">
        <f>IF($B103&lt;&gt;"Entry","",IF(Z103="","",IF(X103="Y",SUMPRODUCT(('Rate Lookup'!$A$1:$A$37=Z103)*'Rate Lookup'!$D$1:$D$37),IF(OR(Y103="Individual",Y103="HUF"),SUMPRODUCT(('Rate Lookup'!$A$1:$A$37=Z103)*'Rate Lookup'!$B$1:$B$37),SUMPRODUCT(('Rate Lookup'!$A$1:$A$37=Z103)*'Rate Lookup'!$C$1:$C$37)))))</f>
      </c>
      <c r="AB103" s="30"/>
      <c r="AC103" s="31"/>
      <c r="AD103" s="27">
        <f>IF($B103&lt;&gt;"Entry","",ROUND(AC103*AA103/100,0))</f>
      </c>
      <c r="AE103" s="27">
        <f>IF($B103&lt;&gt;"Entry","",0)</f>
      </c>
      <c r="AF103" s="27">
        <f>IF($B103&lt;&gt;"Entry","",0)</f>
      </c>
      <c r="AG103" s="27">
        <f>IF($B103&lt;&gt;"Entry","",IF(OR(AD103=0,AB103="",AQ103="",AQ103&lt;=0),0,IF(AQ103&lt;=DATE(YEAR(AB103),MONTH(AB103)+1,7),0,ROUND(AD103*0.015*((YEAR(AQ103)-YEAR(AB103))*12+(MONTH(AQ103)-MONTH(AB103))+1),0))))</f>
      </c>
      <c r="AH103" s="27">
        <f>IF($B103&lt;&gt;"Entry","",0)</f>
      </c>
      <c r="AI103" s="28"/>
      <c r="AJ103" s="28"/>
      <c r="AK103" s="32"/>
      <c r="AL103" s="28"/>
      <c r="AM103" s="28"/>
      <c r="AN103" s="27">
        <f>IF($B103&lt;&gt;"Challan","",SUMIF('Q1 Data'!$D$4:$D$207,D103,'Q1 Data'!$AD$4:$AD$207)+SUMIF('Q1 Data'!$D$4:$D$207,D103,'Q1 Data'!$AG$4:$AG$207)+SUMIF('Q1 Data'!$D$4:$D$207,D103,'Q1 Data'!$AE$4:$AE$207)+SUMIF('Q2 Data'!$D$4:$D$207,D103,'Q2 Data'!$AD$4:$AD$207)+SUMIF('Q2 Data'!$D$4:$D$207,D103,'Q2 Data'!$AG$4:$AG$207)+SUMIF('Q2 Data'!$D$4:$D$207,D103,'Q2 Data'!$AE$4:$AE$207)+SUMIF('Q3 Data'!$D$4:$D$207,D103,'Q3 Data'!$AD$4:$AD$207)+SUMIF('Q3 Data'!$D$4:$D$207,D103,'Q3 Data'!$AG$4:$AG$207)+SUMIF('Q3 Data'!$D$4:$D$207,D103,'Q3 Data'!$AE$4:$AE$207)+SUMIF('Q4 Data'!$D$4:$D$207,D103,'Q4 Data'!$AD$4:$AD$207)+SUMIF('Q4 Data'!$D$4:$D$207,D103,'Q4 Data'!$AG$4:$AG$207)+SUMIF('Q4 Data'!$D$4:$D$207,D103,'Q4 Data'!$AE$4:$AE$207))</f>
      </c>
      <c r="AO103" s="27">
        <f>IF($B103&lt;&gt;"Challan","",P103-N103)</f>
      </c>
      <c r="AP103" s="27">
        <f>IF($B103&lt;&gt;"Challan","",MAX(0,AO103-AN103))</f>
      </c>
      <c r="AQ103" s="33">
        <f>IF($B103&lt;&gt;"Entry","",SUMPRODUCT(('Q1 Data'!$D$4:$D$207=D103)*('Q1 Data'!$B$4:$B$207="Challan")*'Q1 Data'!$F$4:$F$207)+SUMPRODUCT(('Q2 Data'!$D$4:$D$207=D103)*('Q2 Data'!$B$4:$B$207="Challan")*'Q2 Data'!$F$4:$F$207)+SUMPRODUCT(('Q3 Data'!$D$4:$D$207=D103)*('Q3 Data'!$B$4:$B$207="Challan")*'Q3 Data'!$F$4:$F$207)+SUMPRODUCT(('Q4 Data'!$D$4:$D$207=D103)*('Q4 Data'!$B$4:$B$207="Challan")*'Q4 Data'!$F$4:$F$207))</f>
      </c>
      <c r="AR103" s="34">
        <f>IF(OR($B103&lt;&gt;"Entry",Z103=""),FALSE,AND((SUMPRODUCT(('Q1 Data'!$D$4:$D$207=D103)*('Q1 Data'!$B$4:$B$207="Challan")*('Q1 Data'!$H$4:$H$207&lt;&gt;""))+SUMPRODUCT(('Q2 Data'!$D$4:$D$207=D103)*('Q2 Data'!$B$4:$B$207="Challan")*('Q2 Data'!$H$4:$H$207&lt;&gt;""))+SUMPRODUCT(('Q3 Data'!$D$4:$D$207=D103)*('Q3 Data'!$B$4:$B$207="Challan")*('Q3 Data'!$H$4:$H$207&lt;&gt;""))+SUMPRODUCT(('Q4 Data'!$D$4:$D$207=D103)*('Q4 Data'!$B$4:$B$207="Challan")*('Q4 Data'!$H$4:$H$207&lt;&gt;"")))&gt;0,(SUMPRODUCT(('Q1 Data'!$D$4:$D$207=D103)*('Q1 Data'!$B$4:$B$207="Challan")*('Q1 Data'!$H$4:$H$207=Z103))+SUMPRODUCT(('Q2 Data'!$D$4:$D$207=D103)*('Q2 Data'!$B$4:$B$207="Challan")*('Q2 Data'!$H$4:$H$207=Z103))+SUMPRODUCT(('Q3 Data'!$D$4:$D$207=D103)*('Q3 Data'!$B$4:$B$207="Challan")*('Q3 Data'!$H$4:$H$207=Z103))+SUMPRODUCT(('Q4 Data'!$D$4:$D$207=D103)*('Q4 Data'!$B$4:$B$207="Challan")*('Q4 Data'!$H$4:$H$207=Z103)))=0))</f>
      </c>
    </row>
    <row r="104" spans="1:44" x14ac:dyDescent="0.25">
      <c r="A104" s="20">
        <f>IF($B104="Entry",COUNTIF($B$4:$B104,"Entry"),"")</f>
      </c>
      <c r="B104" s="21"/>
      <c r="C104" s="22"/>
      <c r="D104" s="22"/>
      <c r="E104" s="23">
        <f>IF($B104&lt;&gt;"Challan","",IF(ROUND(AN104-AO104,2)&gt;0,"Over-applied",IF(ROUND(AN104-AO104,2)=0,"Fully Utilised","Unconsumed")))</f>
      </c>
      <c r="F104" s="24"/>
      <c r="G104" s="25"/>
      <c r="H104" s="25"/>
      <c r="I104" s="26"/>
      <c r="J104" s="26"/>
      <c r="K104" s="26"/>
      <c r="L104" s="26"/>
      <c r="M104" s="26"/>
      <c r="N104" s="26"/>
      <c r="O104" s="26"/>
      <c r="P104" s="27">
        <f>IF($B104&lt;&gt;"Challan","",I104+J104+K104+L104+M104+N104)</f>
      </c>
      <c r="Q104" s="25"/>
      <c r="R104" s="25"/>
      <c r="S104" s="25"/>
      <c r="T104" s="25"/>
      <c r="U104" s="25"/>
      <c r="V104" s="28"/>
      <c r="W104" s="28"/>
      <c r="X104" s="23">
        <f>IF($B104="Entry",IF(AND(LEN(TRIM(UPPER(W104)))=10,CODE(MID(TRIM(UPPER(W104)),1,1))&gt;=65,CODE(MID(TRIM(UPPER(W104)),1,1))&lt;=90,CODE(MID(TRIM(UPPER(W104)),2,1))&gt;=65,CODE(MID(TRIM(UPPER(W104)),2,1))&lt;=90,CODE(MID(TRIM(UPPER(W104)),3,1))&gt;=65,CODE(MID(TRIM(UPPER(W104)),3,1))&lt;=90,CODE(MID(TRIM(UPPER(W104)),4,1))&gt;=65,CODE(MID(TRIM(UPPER(W104)),4,1))&lt;=90,CODE(MID(TRIM(UPPER(W104)),5,1))&gt;=65,CODE(MID(TRIM(UPPER(W104)),5,1))&lt;=90,CODE(MID(TRIM(UPPER(W104)),10,1))&gt;=65,CODE(MID(TRIM(UPPER(W104)),10,1))&lt;=90,CODE(MID(TRIM(UPPER(W104)),6,1))&gt;=48,CODE(MID(TRIM(UPPER(W104)),6,1))&lt;=57,CODE(MID(TRIM(UPPER(W104)),7,1))&gt;=48,CODE(MID(TRIM(UPPER(W104)),7,1))&lt;=57,CODE(MID(TRIM(UPPER(W104)),8,1))&gt;=48,CODE(MID(TRIM(UPPER(W104)),8,1))&lt;=57,CODE(MID(TRIM(UPPER(W104)),9,1))&gt;=48,CODE(MID(TRIM(UPPER(W104)),9,1))&lt;=57),"N","Y"),IF($B104="Challan","",IF(W104&lt;&gt;"","◄ Set Row Type","")))</f>
      </c>
      <c r="Y104" s="23">
        <f>IF($B104="Entry",IF(LEN(W104)&lt;4,"",IF(UPPER(MID(W104,4,1))="P","Individual",IF(UPPER(MID(W104,4,1))="H","HUF",IF(UPPER(MID(W104,4,1))="C","Company",IF(UPPER(MID(W104,4,1))="F","Firm",IF(UPPER(MID(W104,4,1))="L","LLP",IF(UPPER(MID(W104,4,1))="T","Trust",IF(UPPER(MID(W104,4,1))="A","AOP","")))))))),IF($B104="Challan","",IF(W104&lt;&gt;"","◄ Set Row Type","")))</f>
      </c>
      <c r="Z104" s="28"/>
      <c r="AA104" s="29">
        <f>IF($B104&lt;&gt;"Entry","",IF(Z104="","",IF(X104="Y",SUMPRODUCT(('Rate Lookup'!$A$1:$A$37=Z104)*'Rate Lookup'!$D$1:$D$37),IF(OR(Y104="Individual",Y104="HUF"),SUMPRODUCT(('Rate Lookup'!$A$1:$A$37=Z104)*'Rate Lookup'!$B$1:$B$37),SUMPRODUCT(('Rate Lookup'!$A$1:$A$37=Z104)*'Rate Lookup'!$C$1:$C$37)))))</f>
      </c>
      <c r="AB104" s="30"/>
      <c r="AC104" s="31"/>
      <c r="AD104" s="27">
        <f>IF($B104&lt;&gt;"Entry","",ROUND(AC104*AA104/100,0))</f>
      </c>
      <c r="AE104" s="27">
        <f>IF($B104&lt;&gt;"Entry","",0)</f>
      </c>
      <c r="AF104" s="27">
        <f>IF($B104&lt;&gt;"Entry","",0)</f>
      </c>
      <c r="AG104" s="27">
        <f>IF($B104&lt;&gt;"Entry","",IF(OR(AD104=0,AB104="",AQ104="",AQ104&lt;=0),0,IF(AQ104&lt;=DATE(YEAR(AB104),MONTH(AB104)+1,7),0,ROUND(AD104*0.015*((YEAR(AQ104)-YEAR(AB104))*12+(MONTH(AQ104)-MONTH(AB104))+1),0))))</f>
      </c>
      <c r="AH104" s="27">
        <f>IF($B104&lt;&gt;"Entry","",0)</f>
      </c>
      <c r="AI104" s="28"/>
      <c r="AJ104" s="28"/>
      <c r="AK104" s="32"/>
      <c r="AL104" s="28"/>
      <c r="AM104" s="28"/>
      <c r="AN104" s="27">
        <f>IF($B104&lt;&gt;"Challan","",SUMIF('Q1 Data'!$D$4:$D$207,D104,'Q1 Data'!$AD$4:$AD$207)+SUMIF('Q1 Data'!$D$4:$D$207,D104,'Q1 Data'!$AG$4:$AG$207)+SUMIF('Q1 Data'!$D$4:$D$207,D104,'Q1 Data'!$AE$4:$AE$207)+SUMIF('Q2 Data'!$D$4:$D$207,D104,'Q2 Data'!$AD$4:$AD$207)+SUMIF('Q2 Data'!$D$4:$D$207,D104,'Q2 Data'!$AG$4:$AG$207)+SUMIF('Q2 Data'!$D$4:$D$207,D104,'Q2 Data'!$AE$4:$AE$207)+SUMIF('Q3 Data'!$D$4:$D$207,D104,'Q3 Data'!$AD$4:$AD$207)+SUMIF('Q3 Data'!$D$4:$D$207,D104,'Q3 Data'!$AG$4:$AG$207)+SUMIF('Q3 Data'!$D$4:$D$207,D104,'Q3 Data'!$AE$4:$AE$207)+SUMIF('Q4 Data'!$D$4:$D$207,D104,'Q4 Data'!$AD$4:$AD$207)+SUMIF('Q4 Data'!$D$4:$D$207,D104,'Q4 Data'!$AG$4:$AG$207)+SUMIF('Q4 Data'!$D$4:$D$207,D104,'Q4 Data'!$AE$4:$AE$207))</f>
      </c>
      <c r="AO104" s="27">
        <f>IF($B104&lt;&gt;"Challan","",P104-N104)</f>
      </c>
      <c r="AP104" s="27">
        <f>IF($B104&lt;&gt;"Challan","",MAX(0,AO104-AN104))</f>
      </c>
      <c r="AQ104" s="33">
        <f>IF($B104&lt;&gt;"Entry","",SUMPRODUCT(('Q1 Data'!$D$4:$D$207=D104)*('Q1 Data'!$B$4:$B$207="Challan")*'Q1 Data'!$F$4:$F$207)+SUMPRODUCT(('Q2 Data'!$D$4:$D$207=D104)*('Q2 Data'!$B$4:$B$207="Challan")*'Q2 Data'!$F$4:$F$207)+SUMPRODUCT(('Q3 Data'!$D$4:$D$207=D104)*('Q3 Data'!$B$4:$B$207="Challan")*'Q3 Data'!$F$4:$F$207)+SUMPRODUCT(('Q4 Data'!$D$4:$D$207=D104)*('Q4 Data'!$B$4:$B$207="Challan")*'Q4 Data'!$F$4:$F$207))</f>
      </c>
      <c r="AR104" s="34">
        <f>IF(OR($B104&lt;&gt;"Entry",Z104=""),FALSE,AND((SUMPRODUCT(('Q1 Data'!$D$4:$D$207=D104)*('Q1 Data'!$B$4:$B$207="Challan")*('Q1 Data'!$H$4:$H$207&lt;&gt;""))+SUMPRODUCT(('Q2 Data'!$D$4:$D$207=D104)*('Q2 Data'!$B$4:$B$207="Challan")*('Q2 Data'!$H$4:$H$207&lt;&gt;""))+SUMPRODUCT(('Q3 Data'!$D$4:$D$207=D104)*('Q3 Data'!$B$4:$B$207="Challan")*('Q3 Data'!$H$4:$H$207&lt;&gt;""))+SUMPRODUCT(('Q4 Data'!$D$4:$D$207=D104)*('Q4 Data'!$B$4:$B$207="Challan")*('Q4 Data'!$H$4:$H$207&lt;&gt;"")))&gt;0,(SUMPRODUCT(('Q1 Data'!$D$4:$D$207=D104)*('Q1 Data'!$B$4:$B$207="Challan")*('Q1 Data'!$H$4:$H$207=Z104))+SUMPRODUCT(('Q2 Data'!$D$4:$D$207=D104)*('Q2 Data'!$B$4:$B$207="Challan")*('Q2 Data'!$H$4:$H$207=Z104))+SUMPRODUCT(('Q3 Data'!$D$4:$D$207=D104)*('Q3 Data'!$B$4:$B$207="Challan")*('Q3 Data'!$H$4:$H$207=Z104))+SUMPRODUCT(('Q4 Data'!$D$4:$D$207=D104)*('Q4 Data'!$B$4:$B$207="Challan")*('Q4 Data'!$H$4:$H$207=Z104)))=0))</f>
      </c>
    </row>
    <row r="105" spans="1:44" x14ac:dyDescent="0.25">
      <c r="A105" s="20">
        <f>IF($B105="Entry",COUNTIF($B$4:$B105,"Entry"),"")</f>
      </c>
      <c r="B105" s="21"/>
      <c r="C105" s="22"/>
      <c r="D105" s="22"/>
      <c r="E105" s="23">
        <f>IF($B105&lt;&gt;"Challan","",IF(ROUND(AN105-AO105,2)&gt;0,"Over-applied",IF(ROUND(AN105-AO105,2)=0,"Fully Utilised","Unconsumed")))</f>
      </c>
      <c r="F105" s="24"/>
      <c r="G105" s="25"/>
      <c r="H105" s="25"/>
      <c r="I105" s="26"/>
      <c r="J105" s="26"/>
      <c r="K105" s="26"/>
      <c r="L105" s="26"/>
      <c r="M105" s="26"/>
      <c r="N105" s="26"/>
      <c r="O105" s="26"/>
      <c r="P105" s="27">
        <f>IF($B105&lt;&gt;"Challan","",I105+J105+K105+L105+M105+N105)</f>
      </c>
      <c r="Q105" s="25"/>
      <c r="R105" s="25"/>
      <c r="S105" s="25"/>
      <c r="T105" s="25"/>
      <c r="U105" s="25"/>
      <c r="V105" s="28"/>
      <c r="W105" s="28"/>
      <c r="X105" s="23">
        <f>IF($B105="Entry",IF(AND(LEN(TRIM(UPPER(W105)))=10,CODE(MID(TRIM(UPPER(W105)),1,1))&gt;=65,CODE(MID(TRIM(UPPER(W105)),1,1))&lt;=90,CODE(MID(TRIM(UPPER(W105)),2,1))&gt;=65,CODE(MID(TRIM(UPPER(W105)),2,1))&lt;=90,CODE(MID(TRIM(UPPER(W105)),3,1))&gt;=65,CODE(MID(TRIM(UPPER(W105)),3,1))&lt;=90,CODE(MID(TRIM(UPPER(W105)),4,1))&gt;=65,CODE(MID(TRIM(UPPER(W105)),4,1))&lt;=90,CODE(MID(TRIM(UPPER(W105)),5,1))&gt;=65,CODE(MID(TRIM(UPPER(W105)),5,1))&lt;=90,CODE(MID(TRIM(UPPER(W105)),10,1))&gt;=65,CODE(MID(TRIM(UPPER(W105)),10,1))&lt;=90,CODE(MID(TRIM(UPPER(W105)),6,1))&gt;=48,CODE(MID(TRIM(UPPER(W105)),6,1))&lt;=57,CODE(MID(TRIM(UPPER(W105)),7,1))&gt;=48,CODE(MID(TRIM(UPPER(W105)),7,1))&lt;=57,CODE(MID(TRIM(UPPER(W105)),8,1))&gt;=48,CODE(MID(TRIM(UPPER(W105)),8,1))&lt;=57,CODE(MID(TRIM(UPPER(W105)),9,1))&gt;=48,CODE(MID(TRIM(UPPER(W105)),9,1))&lt;=57),"N","Y"),IF($B105="Challan","",IF(W105&lt;&gt;"","◄ Set Row Type","")))</f>
      </c>
      <c r="Y105" s="23">
        <f>IF($B105="Entry",IF(LEN(W105)&lt;4,"",IF(UPPER(MID(W105,4,1))="P","Individual",IF(UPPER(MID(W105,4,1))="H","HUF",IF(UPPER(MID(W105,4,1))="C","Company",IF(UPPER(MID(W105,4,1))="F","Firm",IF(UPPER(MID(W105,4,1))="L","LLP",IF(UPPER(MID(W105,4,1))="T","Trust",IF(UPPER(MID(W105,4,1))="A","AOP","")))))))),IF($B105="Challan","",IF(W105&lt;&gt;"","◄ Set Row Type","")))</f>
      </c>
      <c r="Z105" s="28"/>
      <c r="AA105" s="29">
        <f>IF($B105&lt;&gt;"Entry","",IF(Z105="","",IF(X105="Y",SUMPRODUCT(('Rate Lookup'!$A$1:$A$37=Z105)*'Rate Lookup'!$D$1:$D$37),IF(OR(Y105="Individual",Y105="HUF"),SUMPRODUCT(('Rate Lookup'!$A$1:$A$37=Z105)*'Rate Lookup'!$B$1:$B$37),SUMPRODUCT(('Rate Lookup'!$A$1:$A$37=Z105)*'Rate Lookup'!$C$1:$C$37)))))</f>
      </c>
      <c r="AB105" s="30"/>
      <c r="AC105" s="31"/>
      <c r="AD105" s="27">
        <f>IF($B105&lt;&gt;"Entry","",ROUND(AC105*AA105/100,0))</f>
      </c>
      <c r="AE105" s="27">
        <f>IF($B105&lt;&gt;"Entry","",0)</f>
      </c>
      <c r="AF105" s="27">
        <f>IF($B105&lt;&gt;"Entry","",0)</f>
      </c>
      <c r="AG105" s="27">
        <f>IF($B105&lt;&gt;"Entry","",IF(OR(AD105=0,AB105="",AQ105="",AQ105&lt;=0),0,IF(AQ105&lt;=DATE(YEAR(AB105),MONTH(AB105)+1,7),0,ROUND(AD105*0.015*((YEAR(AQ105)-YEAR(AB105))*12+(MONTH(AQ105)-MONTH(AB105))+1),0))))</f>
      </c>
      <c r="AH105" s="27">
        <f>IF($B105&lt;&gt;"Entry","",0)</f>
      </c>
      <c r="AI105" s="28"/>
      <c r="AJ105" s="28"/>
      <c r="AK105" s="32"/>
      <c r="AL105" s="28"/>
      <c r="AM105" s="28"/>
      <c r="AN105" s="27">
        <f>IF($B105&lt;&gt;"Challan","",SUMIF('Q1 Data'!$D$4:$D$207,D105,'Q1 Data'!$AD$4:$AD$207)+SUMIF('Q1 Data'!$D$4:$D$207,D105,'Q1 Data'!$AG$4:$AG$207)+SUMIF('Q1 Data'!$D$4:$D$207,D105,'Q1 Data'!$AE$4:$AE$207)+SUMIF('Q2 Data'!$D$4:$D$207,D105,'Q2 Data'!$AD$4:$AD$207)+SUMIF('Q2 Data'!$D$4:$D$207,D105,'Q2 Data'!$AG$4:$AG$207)+SUMIF('Q2 Data'!$D$4:$D$207,D105,'Q2 Data'!$AE$4:$AE$207)+SUMIF('Q3 Data'!$D$4:$D$207,D105,'Q3 Data'!$AD$4:$AD$207)+SUMIF('Q3 Data'!$D$4:$D$207,D105,'Q3 Data'!$AG$4:$AG$207)+SUMIF('Q3 Data'!$D$4:$D$207,D105,'Q3 Data'!$AE$4:$AE$207)+SUMIF('Q4 Data'!$D$4:$D$207,D105,'Q4 Data'!$AD$4:$AD$207)+SUMIF('Q4 Data'!$D$4:$D$207,D105,'Q4 Data'!$AG$4:$AG$207)+SUMIF('Q4 Data'!$D$4:$D$207,D105,'Q4 Data'!$AE$4:$AE$207))</f>
      </c>
      <c r="AO105" s="27">
        <f>IF($B105&lt;&gt;"Challan","",P105-N105)</f>
      </c>
      <c r="AP105" s="27">
        <f>IF($B105&lt;&gt;"Challan","",MAX(0,AO105-AN105))</f>
      </c>
      <c r="AQ105" s="33">
        <f>IF($B105&lt;&gt;"Entry","",SUMPRODUCT(('Q1 Data'!$D$4:$D$207=D105)*('Q1 Data'!$B$4:$B$207="Challan")*'Q1 Data'!$F$4:$F$207)+SUMPRODUCT(('Q2 Data'!$D$4:$D$207=D105)*('Q2 Data'!$B$4:$B$207="Challan")*'Q2 Data'!$F$4:$F$207)+SUMPRODUCT(('Q3 Data'!$D$4:$D$207=D105)*('Q3 Data'!$B$4:$B$207="Challan")*'Q3 Data'!$F$4:$F$207)+SUMPRODUCT(('Q4 Data'!$D$4:$D$207=D105)*('Q4 Data'!$B$4:$B$207="Challan")*'Q4 Data'!$F$4:$F$207))</f>
      </c>
      <c r="AR105" s="34">
        <f>IF(OR($B105&lt;&gt;"Entry",Z105=""),FALSE,AND((SUMPRODUCT(('Q1 Data'!$D$4:$D$207=D105)*('Q1 Data'!$B$4:$B$207="Challan")*('Q1 Data'!$H$4:$H$207&lt;&gt;""))+SUMPRODUCT(('Q2 Data'!$D$4:$D$207=D105)*('Q2 Data'!$B$4:$B$207="Challan")*('Q2 Data'!$H$4:$H$207&lt;&gt;""))+SUMPRODUCT(('Q3 Data'!$D$4:$D$207=D105)*('Q3 Data'!$B$4:$B$207="Challan")*('Q3 Data'!$H$4:$H$207&lt;&gt;""))+SUMPRODUCT(('Q4 Data'!$D$4:$D$207=D105)*('Q4 Data'!$B$4:$B$207="Challan")*('Q4 Data'!$H$4:$H$207&lt;&gt;"")))&gt;0,(SUMPRODUCT(('Q1 Data'!$D$4:$D$207=D105)*('Q1 Data'!$B$4:$B$207="Challan")*('Q1 Data'!$H$4:$H$207=Z105))+SUMPRODUCT(('Q2 Data'!$D$4:$D$207=D105)*('Q2 Data'!$B$4:$B$207="Challan")*('Q2 Data'!$H$4:$H$207=Z105))+SUMPRODUCT(('Q3 Data'!$D$4:$D$207=D105)*('Q3 Data'!$B$4:$B$207="Challan")*('Q3 Data'!$H$4:$H$207=Z105))+SUMPRODUCT(('Q4 Data'!$D$4:$D$207=D105)*('Q4 Data'!$B$4:$B$207="Challan")*('Q4 Data'!$H$4:$H$207=Z105)))=0))</f>
      </c>
    </row>
    <row r="106" spans="1:44" x14ac:dyDescent="0.25">
      <c r="A106" s="20">
        <f>IF($B106="Entry",COUNTIF($B$4:$B106,"Entry"),"")</f>
      </c>
      <c r="B106" s="21"/>
      <c r="C106" s="22"/>
      <c r="D106" s="22"/>
      <c r="E106" s="23">
        <f>IF($B106&lt;&gt;"Challan","",IF(ROUND(AN106-AO106,2)&gt;0,"Over-applied",IF(ROUND(AN106-AO106,2)=0,"Fully Utilised","Unconsumed")))</f>
      </c>
      <c r="F106" s="24"/>
      <c r="G106" s="25"/>
      <c r="H106" s="25"/>
      <c r="I106" s="26"/>
      <c r="J106" s="26"/>
      <c r="K106" s="26"/>
      <c r="L106" s="26"/>
      <c r="M106" s="26"/>
      <c r="N106" s="26"/>
      <c r="O106" s="26"/>
      <c r="P106" s="27">
        <f>IF($B106&lt;&gt;"Challan","",I106+J106+K106+L106+M106+N106)</f>
      </c>
      <c r="Q106" s="25"/>
      <c r="R106" s="25"/>
      <c r="S106" s="25"/>
      <c r="T106" s="25"/>
      <c r="U106" s="25"/>
      <c r="V106" s="28"/>
      <c r="W106" s="28"/>
      <c r="X106" s="23">
        <f>IF($B106="Entry",IF(AND(LEN(TRIM(UPPER(W106)))=10,CODE(MID(TRIM(UPPER(W106)),1,1))&gt;=65,CODE(MID(TRIM(UPPER(W106)),1,1))&lt;=90,CODE(MID(TRIM(UPPER(W106)),2,1))&gt;=65,CODE(MID(TRIM(UPPER(W106)),2,1))&lt;=90,CODE(MID(TRIM(UPPER(W106)),3,1))&gt;=65,CODE(MID(TRIM(UPPER(W106)),3,1))&lt;=90,CODE(MID(TRIM(UPPER(W106)),4,1))&gt;=65,CODE(MID(TRIM(UPPER(W106)),4,1))&lt;=90,CODE(MID(TRIM(UPPER(W106)),5,1))&gt;=65,CODE(MID(TRIM(UPPER(W106)),5,1))&lt;=90,CODE(MID(TRIM(UPPER(W106)),10,1))&gt;=65,CODE(MID(TRIM(UPPER(W106)),10,1))&lt;=90,CODE(MID(TRIM(UPPER(W106)),6,1))&gt;=48,CODE(MID(TRIM(UPPER(W106)),6,1))&lt;=57,CODE(MID(TRIM(UPPER(W106)),7,1))&gt;=48,CODE(MID(TRIM(UPPER(W106)),7,1))&lt;=57,CODE(MID(TRIM(UPPER(W106)),8,1))&gt;=48,CODE(MID(TRIM(UPPER(W106)),8,1))&lt;=57,CODE(MID(TRIM(UPPER(W106)),9,1))&gt;=48,CODE(MID(TRIM(UPPER(W106)),9,1))&lt;=57),"N","Y"),IF($B106="Challan","",IF(W106&lt;&gt;"","◄ Set Row Type","")))</f>
      </c>
      <c r="Y106" s="23">
        <f>IF($B106="Entry",IF(LEN(W106)&lt;4,"",IF(UPPER(MID(W106,4,1))="P","Individual",IF(UPPER(MID(W106,4,1))="H","HUF",IF(UPPER(MID(W106,4,1))="C","Company",IF(UPPER(MID(W106,4,1))="F","Firm",IF(UPPER(MID(W106,4,1))="L","LLP",IF(UPPER(MID(W106,4,1))="T","Trust",IF(UPPER(MID(W106,4,1))="A","AOP","")))))))),IF($B106="Challan","",IF(W106&lt;&gt;"","◄ Set Row Type","")))</f>
      </c>
      <c r="Z106" s="28"/>
      <c r="AA106" s="29">
        <f>IF($B106&lt;&gt;"Entry","",IF(Z106="","",IF(X106="Y",SUMPRODUCT(('Rate Lookup'!$A$1:$A$37=Z106)*'Rate Lookup'!$D$1:$D$37),IF(OR(Y106="Individual",Y106="HUF"),SUMPRODUCT(('Rate Lookup'!$A$1:$A$37=Z106)*'Rate Lookup'!$B$1:$B$37),SUMPRODUCT(('Rate Lookup'!$A$1:$A$37=Z106)*'Rate Lookup'!$C$1:$C$37)))))</f>
      </c>
      <c r="AB106" s="30"/>
      <c r="AC106" s="31"/>
      <c r="AD106" s="27">
        <f>IF($B106&lt;&gt;"Entry","",ROUND(AC106*AA106/100,0))</f>
      </c>
      <c r="AE106" s="27">
        <f>IF($B106&lt;&gt;"Entry","",0)</f>
      </c>
      <c r="AF106" s="27">
        <f>IF($B106&lt;&gt;"Entry","",0)</f>
      </c>
      <c r="AG106" s="27">
        <f>IF($B106&lt;&gt;"Entry","",IF(OR(AD106=0,AB106="",AQ106="",AQ106&lt;=0),0,IF(AQ106&lt;=DATE(YEAR(AB106),MONTH(AB106)+1,7),0,ROUND(AD106*0.015*((YEAR(AQ106)-YEAR(AB106))*12+(MONTH(AQ106)-MONTH(AB106))+1),0))))</f>
      </c>
      <c r="AH106" s="27">
        <f>IF($B106&lt;&gt;"Entry","",0)</f>
      </c>
      <c r="AI106" s="28"/>
      <c r="AJ106" s="28"/>
      <c r="AK106" s="32"/>
      <c r="AL106" s="28"/>
      <c r="AM106" s="28"/>
      <c r="AN106" s="27">
        <f>IF($B106&lt;&gt;"Challan","",SUMIF('Q1 Data'!$D$4:$D$207,D106,'Q1 Data'!$AD$4:$AD$207)+SUMIF('Q1 Data'!$D$4:$D$207,D106,'Q1 Data'!$AG$4:$AG$207)+SUMIF('Q1 Data'!$D$4:$D$207,D106,'Q1 Data'!$AE$4:$AE$207)+SUMIF('Q2 Data'!$D$4:$D$207,D106,'Q2 Data'!$AD$4:$AD$207)+SUMIF('Q2 Data'!$D$4:$D$207,D106,'Q2 Data'!$AG$4:$AG$207)+SUMIF('Q2 Data'!$D$4:$D$207,D106,'Q2 Data'!$AE$4:$AE$207)+SUMIF('Q3 Data'!$D$4:$D$207,D106,'Q3 Data'!$AD$4:$AD$207)+SUMIF('Q3 Data'!$D$4:$D$207,D106,'Q3 Data'!$AG$4:$AG$207)+SUMIF('Q3 Data'!$D$4:$D$207,D106,'Q3 Data'!$AE$4:$AE$207)+SUMIF('Q4 Data'!$D$4:$D$207,D106,'Q4 Data'!$AD$4:$AD$207)+SUMIF('Q4 Data'!$D$4:$D$207,D106,'Q4 Data'!$AG$4:$AG$207)+SUMIF('Q4 Data'!$D$4:$D$207,D106,'Q4 Data'!$AE$4:$AE$207))</f>
      </c>
      <c r="AO106" s="27">
        <f>IF($B106&lt;&gt;"Challan","",P106-N106)</f>
      </c>
      <c r="AP106" s="27">
        <f>IF($B106&lt;&gt;"Challan","",MAX(0,AO106-AN106))</f>
      </c>
      <c r="AQ106" s="33">
        <f>IF($B106&lt;&gt;"Entry","",SUMPRODUCT(('Q1 Data'!$D$4:$D$207=D106)*('Q1 Data'!$B$4:$B$207="Challan")*'Q1 Data'!$F$4:$F$207)+SUMPRODUCT(('Q2 Data'!$D$4:$D$207=D106)*('Q2 Data'!$B$4:$B$207="Challan")*'Q2 Data'!$F$4:$F$207)+SUMPRODUCT(('Q3 Data'!$D$4:$D$207=D106)*('Q3 Data'!$B$4:$B$207="Challan")*'Q3 Data'!$F$4:$F$207)+SUMPRODUCT(('Q4 Data'!$D$4:$D$207=D106)*('Q4 Data'!$B$4:$B$207="Challan")*'Q4 Data'!$F$4:$F$207))</f>
      </c>
      <c r="AR106" s="34">
        <f>IF(OR($B106&lt;&gt;"Entry",Z106=""),FALSE,AND((SUMPRODUCT(('Q1 Data'!$D$4:$D$207=D106)*('Q1 Data'!$B$4:$B$207="Challan")*('Q1 Data'!$H$4:$H$207&lt;&gt;""))+SUMPRODUCT(('Q2 Data'!$D$4:$D$207=D106)*('Q2 Data'!$B$4:$B$207="Challan")*('Q2 Data'!$H$4:$H$207&lt;&gt;""))+SUMPRODUCT(('Q3 Data'!$D$4:$D$207=D106)*('Q3 Data'!$B$4:$B$207="Challan")*('Q3 Data'!$H$4:$H$207&lt;&gt;""))+SUMPRODUCT(('Q4 Data'!$D$4:$D$207=D106)*('Q4 Data'!$B$4:$B$207="Challan")*('Q4 Data'!$H$4:$H$207&lt;&gt;"")))&gt;0,(SUMPRODUCT(('Q1 Data'!$D$4:$D$207=D106)*('Q1 Data'!$B$4:$B$207="Challan")*('Q1 Data'!$H$4:$H$207=Z106))+SUMPRODUCT(('Q2 Data'!$D$4:$D$207=D106)*('Q2 Data'!$B$4:$B$207="Challan")*('Q2 Data'!$H$4:$H$207=Z106))+SUMPRODUCT(('Q3 Data'!$D$4:$D$207=D106)*('Q3 Data'!$B$4:$B$207="Challan")*('Q3 Data'!$H$4:$H$207=Z106))+SUMPRODUCT(('Q4 Data'!$D$4:$D$207=D106)*('Q4 Data'!$B$4:$B$207="Challan")*('Q4 Data'!$H$4:$H$207=Z106)))=0))</f>
      </c>
    </row>
    <row r="107" spans="1:44" x14ac:dyDescent="0.25">
      <c r="A107" s="20">
        <f>IF($B107="Entry",COUNTIF($B$4:$B107,"Entry"),"")</f>
      </c>
      <c r="B107" s="21"/>
      <c r="C107" s="22"/>
      <c r="D107" s="22"/>
      <c r="E107" s="23">
        <f>IF($B107&lt;&gt;"Challan","",IF(ROUND(AN107-AO107,2)&gt;0,"Over-applied",IF(ROUND(AN107-AO107,2)=0,"Fully Utilised","Unconsumed")))</f>
      </c>
      <c r="F107" s="24"/>
      <c r="G107" s="25"/>
      <c r="H107" s="25"/>
      <c r="I107" s="26"/>
      <c r="J107" s="26"/>
      <c r="K107" s="26"/>
      <c r="L107" s="26"/>
      <c r="M107" s="26"/>
      <c r="N107" s="26"/>
      <c r="O107" s="26"/>
      <c r="P107" s="27">
        <f>IF($B107&lt;&gt;"Challan","",I107+J107+K107+L107+M107+N107)</f>
      </c>
      <c r="Q107" s="25"/>
      <c r="R107" s="25"/>
      <c r="S107" s="25"/>
      <c r="T107" s="25"/>
      <c r="U107" s="25"/>
      <c r="V107" s="28"/>
      <c r="W107" s="28"/>
      <c r="X107" s="23">
        <f>IF($B107="Entry",IF(AND(LEN(TRIM(UPPER(W107)))=10,CODE(MID(TRIM(UPPER(W107)),1,1))&gt;=65,CODE(MID(TRIM(UPPER(W107)),1,1))&lt;=90,CODE(MID(TRIM(UPPER(W107)),2,1))&gt;=65,CODE(MID(TRIM(UPPER(W107)),2,1))&lt;=90,CODE(MID(TRIM(UPPER(W107)),3,1))&gt;=65,CODE(MID(TRIM(UPPER(W107)),3,1))&lt;=90,CODE(MID(TRIM(UPPER(W107)),4,1))&gt;=65,CODE(MID(TRIM(UPPER(W107)),4,1))&lt;=90,CODE(MID(TRIM(UPPER(W107)),5,1))&gt;=65,CODE(MID(TRIM(UPPER(W107)),5,1))&lt;=90,CODE(MID(TRIM(UPPER(W107)),10,1))&gt;=65,CODE(MID(TRIM(UPPER(W107)),10,1))&lt;=90,CODE(MID(TRIM(UPPER(W107)),6,1))&gt;=48,CODE(MID(TRIM(UPPER(W107)),6,1))&lt;=57,CODE(MID(TRIM(UPPER(W107)),7,1))&gt;=48,CODE(MID(TRIM(UPPER(W107)),7,1))&lt;=57,CODE(MID(TRIM(UPPER(W107)),8,1))&gt;=48,CODE(MID(TRIM(UPPER(W107)),8,1))&lt;=57,CODE(MID(TRIM(UPPER(W107)),9,1))&gt;=48,CODE(MID(TRIM(UPPER(W107)),9,1))&lt;=57),"N","Y"),IF($B107="Challan","",IF(W107&lt;&gt;"","◄ Set Row Type","")))</f>
      </c>
      <c r="Y107" s="23">
        <f>IF($B107="Entry",IF(LEN(W107)&lt;4,"",IF(UPPER(MID(W107,4,1))="P","Individual",IF(UPPER(MID(W107,4,1))="H","HUF",IF(UPPER(MID(W107,4,1))="C","Company",IF(UPPER(MID(W107,4,1))="F","Firm",IF(UPPER(MID(W107,4,1))="L","LLP",IF(UPPER(MID(W107,4,1))="T","Trust",IF(UPPER(MID(W107,4,1))="A","AOP","")))))))),IF($B107="Challan","",IF(W107&lt;&gt;"","◄ Set Row Type","")))</f>
      </c>
      <c r="Z107" s="28"/>
      <c r="AA107" s="29">
        <f>IF($B107&lt;&gt;"Entry","",IF(Z107="","",IF(X107="Y",SUMPRODUCT(('Rate Lookup'!$A$1:$A$37=Z107)*'Rate Lookup'!$D$1:$D$37),IF(OR(Y107="Individual",Y107="HUF"),SUMPRODUCT(('Rate Lookup'!$A$1:$A$37=Z107)*'Rate Lookup'!$B$1:$B$37),SUMPRODUCT(('Rate Lookup'!$A$1:$A$37=Z107)*'Rate Lookup'!$C$1:$C$37)))))</f>
      </c>
      <c r="AB107" s="30"/>
      <c r="AC107" s="31"/>
      <c r="AD107" s="27">
        <f>IF($B107&lt;&gt;"Entry","",ROUND(AC107*AA107/100,0))</f>
      </c>
      <c r="AE107" s="27">
        <f>IF($B107&lt;&gt;"Entry","",0)</f>
      </c>
      <c r="AF107" s="27">
        <f>IF($B107&lt;&gt;"Entry","",0)</f>
      </c>
      <c r="AG107" s="27">
        <f>IF($B107&lt;&gt;"Entry","",IF(OR(AD107=0,AB107="",AQ107="",AQ107&lt;=0),0,IF(AQ107&lt;=DATE(YEAR(AB107),MONTH(AB107)+1,7),0,ROUND(AD107*0.015*((YEAR(AQ107)-YEAR(AB107))*12+(MONTH(AQ107)-MONTH(AB107))+1),0))))</f>
      </c>
      <c r="AH107" s="27">
        <f>IF($B107&lt;&gt;"Entry","",0)</f>
      </c>
      <c r="AI107" s="28"/>
      <c r="AJ107" s="28"/>
      <c r="AK107" s="32"/>
      <c r="AL107" s="28"/>
      <c r="AM107" s="28"/>
      <c r="AN107" s="27">
        <f>IF($B107&lt;&gt;"Challan","",SUMIF('Q1 Data'!$D$4:$D$207,D107,'Q1 Data'!$AD$4:$AD$207)+SUMIF('Q1 Data'!$D$4:$D$207,D107,'Q1 Data'!$AG$4:$AG$207)+SUMIF('Q1 Data'!$D$4:$D$207,D107,'Q1 Data'!$AE$4:$AE$207)+SUMIF('Q2 Data'!$D$4:$D$207,D107,'Q2 Data'!$AD$4:$AD$207)+SUMIF('Q2 Data'!$D$4:$D$207,D107,'Q2 Data'!$AG$4:$AG$207)+SUMIF('Q2 Data'!$D$4:$D$207,D107,'Q2 Data'!$AE$4:$AE$207)+SUMIF('Q3 Data'!$D$4:$D$207,D107,'Q3 Data'!$AD$4:$AD$207)+SUMIF('Q3 Data'!$D$4:$D$207,D107,'Q3 Data'!$AG$4:$AG$207)+SUMIF('Q3 Data'!$D$4:$D$207,D107,'Q3 Data'!$AE$4:$AE$207)+SUMIF('Q4 Data'!$D$4:$D$207,D107,'Q4 Data'!$AD$4:$AD$207)+SUMIF('Q4 Data'!$D$4:$D$207,D107,'Q4 Data'!$AG$4:$AG$207)+SUMIF('Q4 Data'!$D$4:$D$207,D107,'Q4 Data'!$AE$4:$AE$207))</f>
      </c>
      <c r="AO107" s="27">
        <f>IF($B107&lt;&gt;"Challan","",P107-N107)</f>
      </c>
      <c r="AP107" s="27">
        <f>IF($B107&lt;&gt;"Challan","",MAX(0,AO107-AN107))</f>
      </c>
      <c r="AQ107" s="33">
        <f>IF($B107&lt;&gt;"Entry","",SUMPRODUCT(('Q1 Data'!$D$4:$D$207=D107)*('Q1 Data'!$B$4:$B$207="Challan")*'Q1 Data'!$F$4:$F$207)+SUMPRODUCT(('Q2 Data'!$D$4:$D$207=D107)*('Q2 Data'!$B$4:$B$207="Challan")*'Q2 Data'!$F$4:$F$207)+SUMPRODUCT(('Q3 Data'!$D$4:$D$207=D107)*('Q3 Data'!$B$4:$B$207="Challan")*'Q3 Data'!$F$4:$F$207)+SUMPRODUCT(('Q4 Data'!$D$4:$D$207=D107)*('Q4 Data'!$B$4:$B$207="Challan")*'Q4 Data'!$F$4:$F$207))</f>
      </c>
      <c r="AR107" s="34">
        <f>IF(OR($B107&lt;&gt;"Entry",Z107=""),FALSE,AND((SUMPRODUCT(('Q1 Data'!$D$4:$D$207=D107)*('Q1 Data'!$B$4:$B$207="Challan")*('Q1 Data'!$H$4:$H$207&lt;&gt;""))+SUMPRODUCT(('Q2 Data'!$D$4:$D$207=D107)*('Q2 Data'!$B$4:$B$207="Challan")*('Q2 Data'!$H$4:$H$207&lt;&gt;""))+SUMPRODUCT(('Q3 Data'!$D$4:$D$207=D107)*('Q3 Data'!$B$4:$B$207="Challan")*('Q3 Data'!$H$4:$H$207&lt;&gt;""))+SUMPRODUCT(('Q4 Data'!$D$4:$D$207=D107)*('Q4 Data'!$B$4:$B$207="Challan")*('Q4 Data'!$H$4:$H$207&lt;&gt;"")))&gt;0,(SUMPRODUCT(('Q1 Data'!$D$4:$D$207=D107)*('Q1 Data'!$B$4:$B$207="Challan")*('Q1 Data'!$H$4:$H$207=Z107))+SUMPRODUCT(('Q2 Data'!$D$4:$D$207=D107)*('Q2 Data'!$B$4:$B$207="Challan")*('Q2 Data'!$H$4:$H$207=Z107))+SUMPRODUCT(('Q3 Data'!$D$4:$D$207=D107)*('Q3 Data'!$B$4:$B$207="Challan")*('Q3 Data'!$H$4:$H$207=Z107))+SUMPRODUCT(('Q4 Data'!$D$4:$D$207=D107)*('Q4 Data'!$B$4:$B$207="Challan")*('Q4 Data'!$H$4:$H$207=Z107)))=0))</f>
      </c>
    </row>
    <row r="108" spans="1:44" x14ac:dyDescent="0.25">
      <c r="A108" s="20">
        <f>IF($B108="Entry",COUNTIF($B$4:$B108,"Entry"),"")</f>
      </c>
      <c r="B108" s="21"/>
      <c r="C108" s="22"/>
      <c r="D108" s="22"/>
      <c r="E108" s="23">
        <f>IF($B108&lt;&gt;"Challan","",IF(ROUND(AN108-AO108,2)&gt;0,"Over-applied",IF(ROUND(AN108-AO108,2)=0,"Fully Utilised","Unconsumed")))</f>
      </c>
      <c r="F108" s="24"/>
      <c r="G108" s="25"/>
      <c r="H108" s="25"/>
      <c r="I108" s="26"/>
      <c r="J108" s="26"/>
      <c r="K108" s="26"/>
      <c r="L108" s="26"/>
      <c r="M108" s="26"/>
      <c r="N108" s="26"/>
      <c r="O108" s="26"/>
      <c r="P108" s="27">
        <f>IF($B108&lt;&gt;"Challan","",I108+J108+K108+L108+M108+N108)</f>
      </c>
      <c r="Q108" s="25"/>
      <c r="R108" s="25"/>
      <c r="S108" s="25"/>
      <c r="T108" s="25"/>
      <c r="U108" s="25"/>
      <c r="V108" s="28"/>
      <c r="W108" s="28"/>
      <c r="X108" s="23">
        <f>IF($B108="Entry",IF(AND(LEN(TRIM(UPPER(W108)))=10,CODE(MID(TRIM(UPPER(W108)),1,1))&gt;=65,CODE(MID(TRIM(UPPER(W108)),1,1))&lt;=90,CODE(MID(TRIM(UPPER(W108)),2,1))&gt;=65,CODE(MID(TRIM(UPPER(W108)),2,1))&lt;=90,CODE(MID(TRIM(UPPER(W108)),3,1))&gt;=65,CODE(MID(TRIM(UPPER(W108)),3,1))&lt;=90,CODE(MID(TRIM(UPPER(W108)),4,1))&gt;=65,CODE(MID(TRIM(UPPER(W108)),4,1))&lt;=90,CODE(MID(TRIM(UPPER(W108)),5,1))&gt;=65,CODE(MID(TRIM(UPPER(W108)),5,1))&lt;=90,CODE(MID(TRIM(UPPER(W108)),10,1))&gt;=65,CODE(MID(TRIM(UPPER(W108)),10,1))&lt;=90,CODE(MID(TRIM(UPPER(W108)),6,1))&gt;=48,CODE(MID(TRIM(UPPER(W108)),6,1))&lt;=57,CODE(MID(TRIM(UPPER(W108)),7,1))&gt;=48,CODE(MID(TRIM(UPPER(W108)),7,1))&lt;=57,CODE(MID(TRIM(UPPER(W108)),8,1))&gt;=48,CODE(MID(TRIM(UPPER(W108)),8,1))&lt;=57,CODE(MID(TRIM(UPPER(W108)),9,1))&gt;=48,CODE(MID(TRIM(UPPER(W108)),9,1))&lt;=57),"N","Y"),IF($B108="Challan","",IF(W108&lt;&gt;"","◄ Set Row Type","")))</f>
      </c>
      <c r="Y108" s="23">
        <f>IF($B108="Entry",IF(LEN(W108)&lt;4,"",IF(UPPER(MID(W108,4,1))="P","Individual",IF(UPPER(MID(W108,4,1))="H","HUF",IF(UPPER(MID(W108,4,1))="C","Company",IF(UPPER(MID(W108,4,1))="F","Firm",IF(UPPER(MID(W108,4,1))="L","LLP",IF(UPPER(MID(W108,4,1))="T","Trust",IF(UPPER(MID(W108,4,1))="A","AOP","")))))))),IF($B108="Challan","",IF(W108&lt;&gt;"","◄ Set Row Type","")))</f>
      </c>
      <c r="Z108" s="28"/>
      <c r="AA108" s="29">
        <f>IF($B108&lt;&gt;"Entry","",IF(Z108="","",IF(X108="Y",SUMPRODUCT(('Rate Lookup'!$A$1:$A$37=Z108)*'Rate Lookup'!$D$1:$D$37),IF(OR(Y108="Individual",Y108="HUF"),SUMPRODUCT(('Rate Lookup'!$A$1:$A$37=Z108)*'Rate Lookup'!$B$1:$B$37),SUMPRODUCT(('Rate Lookup'!$A$1:$A$37=Z108)*'Rate Lookup'!$C$1:$C$37)))))</f>
      </c>
      <c r="AB108" s="30"/>
      <c r="AC108" s="31"/>
      <c r="AD108" s="27">
        <f>IF($B108&lt;&gt;"Entry","",ROUND(AC108*AA108/100,0))</f>
      </c>
      <c r="AE108" s="27">
        <f>IF($B108&lt;&gt;"Entry","",0)</f>
      </c>
      <c r="AF108" s="27">
        <f>IF($B108&lt;&gt;"Entry","",0)</f>
      </c>
      <c r="AG108" s="27">
        <f>IF($B108&lt;&gt;"Entry","",IF(OR(AD108=0,AB108="",AQ108="",AQ108&lt;=0),0,IF(AQ108&lt;=DATE(YEAR(AB108),MONTH(AB108)+1,7),0,ROUND(AD108*0.015*((YEAR(AQ108)-YEAR(AB108))*12+(MONTH(AQ108)-MONTH(AB108))+1),0))))</f>
      </c>
      <c r="AH108" s="27">
        <f>IF($B108&lt;&gt;"Entry","",0)</f>
      </c>
      <c r="AI108" s="28"/>
      <c r="AJ108" s="28"/>
      <c r="AK108" s="32"/>
      <c r="AL108" s="28"/>
      <c r="AM108" s="28"/>
      <c r="AN108" s="27">
        <f>IF($B108&lt;&gt;"Challan","",SUMIF('Q1 Data'!$D$4:$D$207,D108,'Q1 Data'!$AD$4:$AD$207)+SUMIF('Q1 Data'!$D$4:$D$207,D108,'Q1 Data'!$AG$4:$AG$207)+SUMIF('Q1 Data'!$D$4:$D$207,D108,'Q1 Data'!$AE$4:$AE$207)+SUMIF('Q2 Data'!$D$4:$D$207,D108,'Q2 Data'!$AD$4:$AD$207)+SUMIF('Q2 Data'!$D$4:$D$207,D108,'Q2 Data'!$AG$4:$AG$207)+SUMIF('Q2 Data'!$D$4:$D$207,D108,'Q2 Data'!$AE$4:$AE$207)+SUMIF('Q3 Data'!$D$4:$D$207,D108,'Q3 Data'!$AD$4:$AD$207)+SUMIF('Q3 Data'!$D$4:$D$207,D108,'Q3 Data'!$AG$4:$AG$207)+SUMIF('Q3 Data'!$D$4:$D$207,D108,'Q3 Data'!$AE$4:$AE$207)+SUMIF('Q4 Data'!$D$4:$D$207,D108,'Q4 Data'!$AD$4:$AD$207)+SUMIF('Q4 Data'!$D$4:$D$207,D108,'Q4 Data'!$AG$4:$AG$207)+SUMIF('Q4 Data'!$D$4:$D$207,D108,'Q4 Data'!$AE$4:$AE$207))</f>
      </c>
      <c r="AO108" s="27">
        <f>IF($B108&lt;&gt;"Challan","",P108-N108)</f>
      </c>
      <c r="AP108" s="27">
        <f>IF($B108&lt;&gt;"Challan","",MAX(0,AO108-AN108))</f>
      </c>
      <c r="AQ108" s="33">
        <f>IF($B108&lt;&gt;"Entry","",SUMPRODUCT(('Q1 Data'!$D$4:$D$207=D108)*('Q1 Data'!$B$4:$B$207="Challan")*'Q1 Data'!$F$4:$F$207)+SUMPRODUCT(('Q2 Data'!$D$4:$D$207=D108)*('Q2 Data'!$B$4:$B$207="Challan")*'Q2 Data'!$F$4:$F$207)+SUMPRODUCT(('Q3 Data'!$D$4:$D$207=D108)*('Q3 Data'!$B$4:$B$207="Challan")*'Q3 Data'!$F$4:$F$207)+SUMPRODUCT(('Q4 Data'!$D$4:$D$207=D108)*('Q4 Data'!$B$4:$B$207="Challan")*'Q4 Data'!$F$4:$F$207))</f>
      </c>
      <c r="AR108" s="34">
        <f>IF(OR($B108&lt;&gt;"Entry",Z108=""),FALSE,AND((SUMPRODUCT(('Q1 Data'!$D$4:$D$207=D108)*('Q1 Data'!$B$4:$B$207="Challan")*('Q1 Data'!$H$4:$H$207&lt;&gt;""))+SUMPRODUCT(('Q2 Data'!$D$4:$D$207=D108)*('Q2 Data'!$B$4:$B$207="Challan")*('Q2 Data'!$H$4:$H$207&lt;&gt;""))+SUMPRODUCT(('Q3 Data'!$D$4:$D$207=D108)*('Q3 Data'!$B$4:$B$207="Challan")*('Q3 Data'!$H$4:$H$207&lt;&gt;""))+SUMPRODUCT(('Q4 Data'!$D$4:$D$207=D108)*('Q4 Data'!$B$4:$B$207="Challan")*('Q4 Data'!$H$4:$H$207&lt;&gt;"")))&gt;0,(SUMPRODUCT(('Q1 Data'!$D$4:$D$207=D108)*('Q1 Data'!$B$4:$B$207="Challan")*('Q1 Data'!$H$4:$H$207=Z108))+SUMPRODUCT(('Q2 Data'!$D$4:$D$207=D108)*('Q2 Data'!$B$4:$B$207="Challan")*('Q2 Data'!$H$4:$H$207=Z108))+SUMPRODUCT(('Q3 Data'!$D$4:$D$207=D108)*('Q3 Data'!$B$4:$B$207="Challan")*('Q3 Data'!$H$4:$H$207=Z108))+SUMPRODUCT(('Q4 Data'!$D$4:$D$207=D108)*('Q4 Data'!$B$4:$B$207="Challan")*('Q4 Data'!$H$4:$H$207=Z108)))=0))</f>
      </c>
    </row>
    <row r="109" spans="1:44" x14ac:dyDescent="0.25">
      <c r="A109" s="20">
        <f>IF($B109="Entry",COUNTIF($B$4:$B109,"Entry"),"")</f>
      </c>
      <c r="B109" s="21"/>
      <c r="C109" s="22"/>
      <c r="D109" s="22"/>
      <c r="E109" s="23">
        <f>IF($B109&lt;&gt;"Challan","",IF(ROUND(AN109-AO109,2)&gt;0,"Over-applied",IF(ROUND(AN109-AO109,2)=0,"Fully Utilised","Unconsumed")))</f>
      </c>
      <c r="F109" s="24"/>
      <c r="G109" s="25"/>
      <c r="H109" s="25"/>
      <c r="I109" s="26"/>
      <c r="J109" s="26"/>
      <c r="K109" s="26"/>
      <c r="L109" s="26"/>
      <c r="M109" s="26"/>
      <c r="N109" s="26"/>
      <c r="O109" s="26"/>
      <c r="P109" s="27">
        <f>IF($B109&lt;&gt;"Challan","",I109+J109+K109+L109+M109+N109)</f>
      </c>
      <c r="Q109" s="25"/>
      <c r="R109" s="25"/>
      <c r="S109" s="25"/>
      <c r="T109" s="25"/>
      <c r="U109" s="25"/>
      <c r="V109" s="28"/>
      <c r="W109" s="28"/>
      <c r="X109" s="23">
        <f>IF($B109="Entry",IF(AND(LEN(TRIM(UPPER(W109)))=10,CODE(MID(TRIM(UPPER(W109)),1,1))&gt;=65,CODE(MID(TRIM(UPPER(W109)),1,1))&lt;=90,CODE(MID(TRIM(UPPER(W109)),2,1))&gt;=65,CODE(MID(TRIM(UPPER(W109)),2,1))&lt;=90,CODE(MID(TRIM(UPPER(W109)),3,1))&gt;=65,CODE(MID(TRIM(UPPER(W109)),3,1))&lt;=90,CODE(MID(TRIM(UPPER(W109)),4,1))&gt;=65,CODE(MID(TRIM(UPPER(W109)),4,1))&lt;=90,CODE(MID(TRIM(UPPER(W109)),5,1))&gt;=65,CODE(MID(TRIM(UPPER(W109)),5,1))&lt;=90,CODE(MID(TRIM(UPPER(W109)),10,1))&gt;=65,CODE(MID(TRIM(UPPER(W109)),10,1))&lt;=90,CODE(MID(TRIM(UPPER(W109)),6,1))&gt;=48,CODE(MID(TRIM(UPPER(W109)),6,1))&lt;=57,CODE(MID(TRIM(UPPER(W109)),7,1))&gt;=48,CODE(MID(TRIM(UPPER(W109)),7,1))&lt;=57,CODE(MID(TRIM(UPPER(W109)),8,1))&gt;=48,CODE(MID(TRIM(UPPER(W109)),8,1))&lt;=57,CODE(MID(TRIM(UPPER(W109)),9,1))&gt;=48,CODE(MID(TRIM(UPPER(W109)),9,1))&lt;=57),"N","Y"),IF($B109="Challan","",IF(W109&lt;&gt;"","◄ Set Row Type","")))</f>
      </c>
      <c r="Y109" s="23">
        <f>IF($B109="Entry",IF(LEN(W109)&lt;4,"",IF(UPPER(MID(W109,4,1))="P","Individual",IF(UPPER(MID(W109,4,1))="H","HUF",IF(UPPER(MID(W109,4,1))="C","Company",IF(UPPER(MID(W109,4,1))="F","Firm",IF(UPPER(MID(W109,4,1))="L","LLP",IF(UPPER(MID(W109,4,1))="T","Trust",IF(UPPER(MID(W109,4,1))="A","AOP","")))))))),IF($B109="Challan","",IF(W109&lt;&gt;"","◄ Set Row Type","")))</f>
      </c>
      <c r="Z109" s="28"/>
      <c r="AA109" s="29">
        <f>IF($B109&lt;&gt;"Entry","",IF(Z109="","",IF(X109="Y",SUMPRODUCT(('Rate Lookup'!$A$1:$A$37=Z109)*'Rate Lookup'!$D$1:$D$37),IF(OR(Y109="Individual",Y109="HUF"),SUMPRODUCT(('Rate Lookup'!$A$1:$A$37=Z109)*'Rate Lookup'!$B$1:$B$37),SUMPRODUCT(('Rate Lookup'!$A$1:$A$37=Z109)*'Rate Lookup'!$C$1:$C$37)))))</f>
      </c>
      <c r="AB109" s="30"/>
      <c r="AC109" s="31"/>
      <c r="AD109" s="27">
        <f>IF($B109&lt;&gt;"Entry","",ROUND(AC109*AA109/100,0))</f>
      </c>
      <c r="AE109" s="27">
        <f>IF($B109&lt;&gt;"Entry","",0)</f>
      </c>
      <c r="AF109" s="27">
        <f>IF($B109&lt;&gt;"Entry","",0)</f>
      </c>
      <c r="AG109" s="27">
        <f>IF($B109&lt;&gt;"Entry","",IF(OR(AD109=0,AB109="",AQ109="",AQ109&lt;=0),0,IF(AQ109&lt;=DATE(YEAR(AB109),MONTH(AB109)+1,7),0,ROUND(AD109*0.015*((YEAR(AQ109)-YEAR(AB109))*12+(MONTH(AQ109)-MONTH(AB109))+1),0))))</f>
      </c>
      <c r="AH109" s="27">
        <f>IF($B109&lt;&gt;"Entry","",0)</f>
      </c>
      <c r="AI109" s="28"/>
      <c r="AJ109" s="28"/>
      <c r="AK109" s="32"/>
      <c r="AL109" s="28"/>
      <c r="AM109" s="28"/>
      <c r="AN109" s="27">
        <f>IF($B109&lt;&gt;"Challan","",SUMIF('Q1 Data'!$D$4:$D$207,D109,'Q1 Data'!$AD$4:$AD$207)+SUMIF('Q1 Data'!$D$4:$D$207,D109,'Q1 Data'!$AG$4:$AG$207)+SUMIF('Q1 Data'!$D$4:$D$207,D109,'Q1 Data'!$AE$4:$AE$207)+SUMIF('Q2 Data'!$D$4:$D$207,D109,'Q2 Data'!$AD$4:$AD$207)+SUMIF('Q2 Data'!$D$4:$D$207,D109,'Q2 Data'!$AG$4:$AG$207)+SUMIF('Q2 Data'!$D$4:$D$207,D109,'Q2 Data'!$AE$4:$AE$207)+SUMIF('Q3 Data'!$D$4:$D$207,D109,'Q3 Data'!$AD$4:$AD$207)+SUMIF('Q3 Data'!$D$4:$D$207,D109,'Q3 Data'!$AG$4:$AG$207)+SUMIF('Q3 Data'!$D$4:$D$207,D109,'Q3 Data'!$AE$4:$AE$207)+SUMIF('Q4 Data'!$D$4:$D$207,D109,'Q4 Data'!$AD$4:$AD$207)+SUMIF('Q4 Data'!$D$4:$D$207,D109,'Q4 Data'!$AG$4:$AG$207)+SUMIF('Q4 Data'!$D$4:$D$207,D109,'Q4 Data'!$AE$4:$AE$207))</f>
      </c>
      <c r="AO109" s="27">
        <f>IF($B109&lt;&gt;"Challan","",P109-N109)</f>
      </c>
      <c r="AP109" s="27">
        <f>IF($B109&lt;&gt;"Challan","",MAX(0,AO109-AN109))</f>
      </c>
      <c r="AQ109" s="33">
        <f>IF($B109&lt;&gt;"Entry","",SUMPRODUCT(('Q1 Data'!$D$4:$D$207=D109)*('Q1 Data'!$B$4:$B$207="Challan")*'Q1 Data'!$F$4:$F$207)+SUMPRODUCT(('Q2 Data'!$D$4:$D$207=D109)*('Q2 Data'!$B$4:$B$207="Challan")*'Q2 Data'!$F$4:$F$207)+SUMPRODUCT(('Q3 Data'!$D$4:$D$207=D109)*('Q3 Data'!$B$4:$B$207="Challan")*'Q3 Data'!$F$4:$F$207)+SUMPRODUCT(('Q4 Data'!$D$4:$D$207=D109)*('Q4 Data'!$B$4:$B$207="Challan")*'Q4 Data'!$F$4:$F$207))</f>
      </c>
      <c r="AR109" s="34">
        <f>IF(OR($B109&lt;&gt;"Entry",Z109=""),FALSE,AND((SUMPRODUCT(('Q1 Data'!$D$4:$D$207=D109)*('Q1 Data'!$B$4:$B$207="Challan")*('Q1 Data'!$H$4:$H$207&lt;&gt;""))+SUMPRODUCT(('Q2 Data'!$D$4:$D$207=D109)*('Q2 Data'!$B$4:$B$207="Challan")*('Q2 Data'!$H$4:$H$207&lt;&gt;""))+SUMPRODUCT(('Q3 Data'!$D$4:$D$207=D109)*('Q3 Data'!$B$4:$B$207="Challan")*('Q3 Data'!$H$4:$H$207&lt;&gt;""))+SUMPRODUCT(('Q4 Data'!$D$4:$D$207=D109)*('Q4 Data'!$B$4:$B$207="Challan")*('Q4 Data'!$H$4:$H$207&lt;&gt;"")))&gt;0,(SUMPRODUCT(('Q1 Data'!$D$4:$D$207=D109)*('Q1 Data'!$B$4:$B$207="Challan")*('Q1 Data'!$H$4:$H$207=Z109))+SUMPRODUCT(('Q2 Data'!$D$4:$D$207=D109)*('Q2 Data'!$B$4:$B$207="Challan")*('Q2 Data'!$H$4:$H$207=Z109))+SUMPRODUCT(('Q3 Data'!$D$4:$D$207=D109)*('Q3 Data'!$B$4:$B$207="Challan")*('Q3 Data'!$H$4:$H$207=Z109))+SUMPRODUCT(('Q4 Data'!$D$4:$D$207=D109)*('Q4 Data'!$B$4:$B$207="Challan")*('Q4 Data'!$H$4:$H$207=Z109)))=0))</f>
      </c>
    </row>
    <row r="110" spans="1:44" x14ac:dyDescent="0.25">
      <c r="A110" s="20">
        <f>IF($B110="Entry",COUNTIF($B$4:$B110,"Entry"),"")</f>
      </c>
      <c r="B110" s="21"/>
      <c r="C110" s="22"/>
      <c r="D110" s="22"/>
      <c r="E110" s="23">
        <f>IF($B110&lt;&gt;"Challan","",IF(ROUND(AN110-AO110,2)&gt;0,"Over-applied",IF(ROUND(AN110-AO110,2)=0,"Fully Utilised","Unconsumed")))</f>
      </c>
      <c r="F110" s="24"/>
      <c r="G110" s="25"/>
      <c r="H110" s="25"/>
      <c r="I110" s="26"/>
      <c r="J110" s="26"/>
      <c r="K110" s="26"/>
      <c r="L110" s="26"/>
      <c r="M110" s="26"/>
      <c r="N110" s="26"/>
      <c r="O110" s="26"/>
      <c r="P110" s="27">
        <f>IF($B110&lt;&gt;"Challan","",I110+J110+K110+L110+M110+N110)</f>
      </c>
      <c r="Q110" s="25"/>
      <c r="R110" s="25"/>
      <c r="S110" s="25"/>
      <c r="T110" s="25"/>
      <c r="U110" s="25"/>
      <c r="V110" s="28"/>
      <c r="W110" s="28"/>
      <c r="X110" s="23">
        <f>IF($B110="Entry",IF(AND(LEN(TRIM(UPPER(W110)))=10,CODE(MID(TRIM(UPPER(W110)),1,1))&gt;=65,CODE(MID(TRIM(UPPER(W110)),1,1))&lt;=90,CODE(MID(TRIM(UPPER(W110)),2,1))&gt;=65,CODE(MID(TRIM(UPPER(W110)),2,1))&lt;=90,CODE(MID(TRIM(UPPER(W110)),3,1))&gt;=65,CODE(MID(TRIM(UPPER(W110)),3,1))&lt;=90,CODE(MID(TRIM(UPPER(W110)),4,1))&gt;=65,CODE(MID(TRIM(UPPER(W110)),4,1))&lt;=90,CODE(MID(TRIM(UPPER(W110)),5,1))&gt;=65,CODE(MID(TRIM(UPPER(W110)),5,1))&lt;=90,CODE(MID(TRIM(UPPER(W110)),10,1))&gt;=65,CODE(MID(TRIM(UPPER(W110)),10,1))&lt;=90,CODE(MID(TRIM(UPPER(W110)),6,1))&gt;=48,CODE(MID(TRIM(UPPER(W110)),6,1))&lt;=57,CODE(MID(TRIM(UPPER(W110)),7,1))&gt;=48,CODE(MID(TRIM(UPPER(W110)),7,1))&lt;=57,CODE(MID(TRIM(UPPER(W110)),8,1))&gt;=48,CODE(MID(TRIM(UPPER(W110)),8,1))&lt;=57,CODE(MID(TRIM(UPPER(W110)),9,1))&gt;=48,CODE(MID(TRIM(UPPER(W110)),9,1))&lt;=57),"N","Y"),IF($B110="Challan","",IF(W110&lt;&gt;"","◄ Set Row Type","")))</f>
      </c>
      <c r="Y110" s="23">
        <f>IF($B110="Entry",IF(LEN(W110)&lt;4,"",IF(UPPER(MID(W110,4,1))="P","Individual",IF(UPPER(MID(W110,4,1))="H","HUF",IF(UPPER(MID(W110,4,1))="C","Company",IF(UPPER(MID(W110,4,1))="F","Firm",IF(UPPER(MID(W110,4,1))="L","LLP",IF(UPPER(MID(W110,4,1))="T","Trust",IF(UPPER(MID(W110,4,1))="A","AOP","")))))))),IF($B110="Challan","",IF(W110&lt;&gt;"","◄ Set Row Type","")))</f>
      </c>
      <c r="Z110" s="28"/>
      <c r="AA110" s="29">
        <f>IF($B110&lt;&gt;"Entry","",IF(Z110="","",IF(X110="Y",SUMPRODUCT(('Rate Lookup'!$A$1:$A$37=Z110)*'Rate Lookup'!$D$1:$D$37),IF(OR(Y110="Individual",Y110="HUF"),SUMPRODUCT(('Rate Lookup'!$A$1:$A$37=Z110)*'Rate Lookup'!$B$1:$B$37),SUMPRODUCT(('Rate Lookup'!$A$1:$A$37=Z110)*'Rate Lookup'!$C$1:$C$37)))))</f>
      </c>
      <c r="AB110" s="30"/>
      <c r="AC110" s="31"/>
      <c r="AD110" s="27">
        <f>IF($B110&lt;&gt;"Entry","",ROUND(AC110*AA110/100,0))</f>
      </c>
      <c r="AE110" s="27">
        <f>IF($B110&lt;&gt;"Entry","",0)</f>
      </c>
      <c r="AF110" s="27">
        <f>IF($B110&lt;&gt;"Entry","",0)</f>
      </c>
      <c r="AG110" s="27">
        <f>IF($B110&lt;&gt;"Entry","",IF(OR(AD110=0,AB110="",AQ110="",AQ110&lt;=0),0,IF(AQ110&lt;=DATE(YEAR(AB110),MONTH(AB110)+1,7),0,ROUND(AD110*0.015*((YEAR(AQ110)-YEAR(AB110))*12+(MONTH(AQ110)-MONTH(AB110))+1),0))))</f>
      </c>
      <c r="AH110" s="27">
        <f>IF($B110&lt;&gt;"Entry","",0)</f>
      </c>
      <c r="AI110" s="28"/>
      <c r="AJ110" s="28"/>
      <c r="AK110" s="32"/>
      <c r="AL110" s="28"/>
      <c r="AM110" s="28"/>
      <c r="AN110" s="27">
        <f>IF($B110&lt;&gt;"Challan","",SUMIF('Q1 Data'!$D$4:$D$207,D110,'Q1 Data'!$AD$4:$AD$207)+SUMIF('Q1 Data'!$D$4:$D$207,D110,'Q1 Data'!$AG$4:$AG$207)+SUMIF('Q1 Data'!$D$4:$D$207,D110,'Q1 Data'!$AE$4:$AE$207)+SUMIF('Q2 Data'!$D$4:$D$207,D110,'Q2 Data'!$AD$4:$AD$207)+SUMIF('Q2 Data'!$D$4:$D$207,D110,'Q2 Data'!$AG$4:$AG$207)+SUMIF('Q2 Data'!$D$4:$D$207,D110,'Q2 Data'!$AE$4:$AE$207)+SUMIF('Q3 Data'!$D$4:$D$207,D110,'Q3 Data'!$AD$4:$AD$207)+SUMIF('Q3 Data'!$D$4:$D$207,D110,'Q3 Data'!$AG$4:$AG$207)+SUMIF('Q3 Data'!$D$4:$D$207,D110,'Q3 Data'!$AE$4:$AE$207)+SUMIF('Q4 Data'!$D$4:$D$207,D110,'Q4 Data'!$AD$4:$AD$207)+SUMIF('Q4 Data'!$D$4:$D$207,D110,'Q4 Data'!$AG$4:$AG$207)+SUMIF('Q4 Data'!$D$4:$D$207,D110,'Q4 Data'!$AE$4:$AE$207))</f>
      </c>
      <c r="AO110" s="27">
        <f>IF($B110&lt;&gt;"Challan","",P110-N110)</f>
      </c>
      <c r="AP110" s="27">
        <f>IF($B110&lt;&gt;"Challan","",MAX(0,AO110-AN110))</f>
      </c>
      <c r="AQ110" s="33">
        <f>IF($B110&lt;&gt;"Entry","",SUMPRODUCT(('Q1 Data'!$D$4:$D$207=D110)*('Q1 Data'!$B$4:$B$207="Challan")*'Q1 Data'!$F$4:$F$207)+SUMPRODUCT(('Q2 Data'!$D$4:$D$207=D110)*('Q2 Data'!$B$4:$B$207="Challan")*'Q2 Data'!$F$4:$F$207)+SUMPRODUCT(('Q3 Data'!$D$4:$D$207=D110)*('Q3 Data'!$B$4:$B$207="Challan")*'Q3 Data'!$F$4:$F$207)+SUMPRODUCT(('Q4 Data'!$D$4:$D$207=D110)*('Q4 Data'!$B$4:$B$207="Challan")*'Q4 Data'!$F$4:$F$207))</f>
      </c>
      <c r="AR110" s="34">
        <f>IF(OR($B110&lt;&gt;"Entry",Z110=""),FALSE,AND((SUMPRODUCT(('Q1 Data'!$D$4:$D$207=D110)*('Q1 Data'!$B$4:$B$207="Challan")*('Q1 Data'!$H$4:$H$207&lt;&gt;""))+SUMPRODUCT(('Q2 Data'!$D$4:$D$207=D110)*('Q2 Data'!$B$4:$B$207="Challan")*('Q2 Data'!$H$4:$H$207&lt;&gt;""))+SUMPRODUCT(('Q3 Data'!$D$4:$D$207=D110)*('Q3 Data'!$B$4:$B$207="Challan")*('Q3 Data'!$H$4:$H$207&lt;&gt;""))+SUMPRODUCT(('Q4 Data'!$D$4:$D$207=D110)*('Q4 Data'!$B$4:$B$207="Challan")*('Q4 Data'!$H$4:$H$207&lt;&gt;"")))&gt;0,(SUMPRODUCT(('Q1 Data'!$D$4:$D$207=D110)*('Q1 Data'!$B$4:$B$207="Challan")*('Q1 Data'!$H$4:$H$207=Z110))+SUMPRODUCT(('Q2 Data'!$D$4:$D$207=D110)*('Q2 Data'!$B$4:$B$207="Challan")*('Q2 Data'!$H$4:$H$207=Z110))+SUMPRODUCT(('Q3 Data'!$D$4:$D$207=D110)*('Q3 Data'!$B$4:$B$207="Challan")*('Q3 Data'!$H$4:$H$207=Z110))+SUMPRODUCT(('Q4 Data'!$D$4:$D$207=D110)*('Q4 Data'!$B$4:$B$207="Challan")*('Q4 Data'!$H$4:$H$207=Z110)))=0))</f>
      </c>
    </row>
    <row r="111" spans="1:44" x14ac:dyDescent="0.25">
      <c r="A111" s="20">
        <f>IF($B111="Entry",COUNTIF($B$4:$B111,"Entry"),"")</f>
      </c>
      <c r="B111" s="21"/>
      <c r="C111" s="22"/>
      <c r="D111" s="22"/>
      <c r="E111" s="23">
        <f>IF($B111&lt;&gt;"Challan","",IF(ROUND(AN111-AO111,2)&gt;0,"Over-applied",IF(ROUND(AN111-AO111,2)=0,"Fully Utilised","Unconsumed")))</f>
      </c>
      <c r="F111" s="24"/>
      <c r="G111" s="25"/>
      <c r="H111" s="25"/>
      <c r="I111" s="26"/>
      <c r="J111" s="26"/>
      <c r="K111" s="26"/>
      <c r="L111" s="26"/>
      <c r="M111" s="26"/>
      <c r="N111" s="26"/>
      <c r="O111" s="26"/>
      <c r="P111" s="27">
        <f>IF($B111&lt;&gt;"Challan","",I111+J111+K111+L111+M111+N111)</f>
      </c>
      <c r="Q111" s="25"/>
      <c r="R111" s="25"/>
      <c r="S111" s="25"/>
      <c r="T111" s="25"/>
      <c r="U111" s="25"/>
      <c r="V111" s="28"/>
      <c r="W111" s="28"/>
      <c r="X111" s="23">
        <f>IF($B111="Entry",IF(AND(LEN(TRIM(UPPER(W111)))=10,CODE(MID(TRIM(UPPER(W111)),1,1))&gt;=65,CODE(MID(TRIM(UPPER(W111)),1,1))&lt;=90,CODE(MID(TRIM(UPPER(W111)),2,1))&gt;=65,CODE(MID(TRIM(UPPER(W111)),2,1))&lt;=90,CODE(MID(TRIM(UPPER(W111)),3,1))&gt;=65,CODE(MID(TRIM(UPPER(W111)),3,1))&lt;=90,CODE(MID(TRIM(UPPER(W111)),4,1))&gt;=65,CODE(MID(TRIM(UPPER(W111)),4,1))&lt;=90,CODE(MID(TRIM(UPPER(W111)),5,1))&gt;=65,CODE(MID(TRIM(UPPER(W111)),5,1))&lt;=90,CODE(MID(TRIM(UPPER(W111)),10,1))&gt;=65,CODE(MID(TRIM(UPPER(W111)),10,1))&lt;=90,CODE(MID(TRIM(UPPER(W111)),6,1))&gt;=48,CODE(MID(TRIM(UPPER(W111)),6,1))&lt;=57,CODE(MID(TRIM(UPPER(W111)),7,1))&gt;=48,CODE(MID(TRIM(UPPER(W111)),7,1))&lt;=57,CODE(MID(TRIM(UPPER(W111)),8,1))&gt;=48,CODE(MID(TRIM(UPPER(W111)),8,1))&lt;=57,CODE(MID(TRIM(UPPER(W111)),9,1))&gt;=48,CODE(MID(TRIM(UPPER(W111)),9,1))&lt;=57),"N","Y"),IF($B111="Challan","",IF(W111&lt;&gt;"","◄ Set Row Type","")))</f>
      </c>
      <c r="Y111" s="23">
        <f>IF($B111="Entry",IF(LEN(W111)&lt;4,"",IF(UPPER(MID(W111,4,1))="P","Individual",IF(UPPER(MID(W111,4,1))="H","HUF",IF(UPPER(MID(W111,4,1))="C","Company",IF(UPPER(MID(W111,4,1))="F","Firm",IF(UPPER(MID(W111,4,1))="L","LLP",IF(UPPER(MID(W111,4,1))="T","Trust",IF(UPPER(MID(W111,4,1))="A","AOP","")))))))),IF($B111="Challan","",IF(W111&lt;&gt;"","◄ Set Row Type","")))</f>
      </c>
      <c r="Z111" s="28"/>
      <c r="AA111" s="29">
        <f>IF($B111&lt;&gt;"Entry","",IF(Z111="","",IF(X111="Y",SUMPRODUCT(('Rate Lookup'!$A$1:$A$37=Z111)*'Rate Lookup'!$D$1:$D$37),IF(OR(Y111="Individual",Y111="HUF"),SUMPRODUCT(('Rate Lookup'!$A$1:$A$37=Z111)*'Rate Lookup'!$B$1:$B$37),SUMPRODUCT(('Rate Lookup'!$A$1:$A$37=Z111)*'Rate Lookup'!$C$1:$C$37)))))</f>
      </c>
      <c r="AB111" s="30"/>
      <c r="AC111" s="31"/>
      <c r="AD111" s="27">
        <f>IF($B111&lt;&gt;"Entry","",ROUND(AC111*AA111/100,0))</f>
      </c>
      <c r="AE111" s="27">
        <f>IF($B111&lt;&gt;"Entry","",0)</f>
      </c>
      <c r="AF111" s="27">
        <f>IF($B111&lt;&gt;"Entry","",0)</f>
      </c>
      <c r="AG111" s="27">
        <f>IF($B111&lt;&gt;"Entry","",IF(OR(AD111=0,AB111="",AQ111="",AQ111&lt;=0),0,IF(AQ111&lt;=DATE(YEAR(AB111),MONTH(AB111)+1,7),0,ROUND(AD111*0.015*((YEAR(AQ111)-YEAR(AB111))*12+(MONTH(AQ111)-MONTH(AB111))+1),0))))</f>
      </c>
      <c r="AH111" s="27">
        <f>IF($B111&lt;&gt;"Entry","",0)</f>
      </c>
      <c r="AI111" s="28"/>
      <c r="AJ111" s="28"/>
      <c r="AK111" s="32"/>
      <c r="AL111" s="28"/>
      <c r="AM111" s="28"/>
      <c r="AN111" s="27">
        <f>IF($B111&lt;&gt;"Challan","",SUMIF('Q1 Data'!$D$4:$D$207,D111,'Q1 Data'!$AD$4:$AD$207)+SUMIF('Q1 Data'!$D$4:$D$207,D111,'Q1 Data'!$AG$4:$AG$207)+SUMIF('Q1 Data'!$D$4:$D$207,D111,'Q1 Data'!$AE$4:$AE$207)+SUMIF('Q2 Data'!$D$4:$D$207,D111,'Q2 Data'!$AD$4:$AD$207)+SUMIF('Q2 Data'!$D$4:$D$207,D111,'Q2 Data'!$AG$4:$AG$207)+SUMIF('Q2 Data'!$D$4:$D$207,D111,'Q2 Data'!$AE$4:$AE$207)+SUMIF('Q3 Data'!$D$4:$D$207,D111,'Q3 Data'!$AD$4:$AD$207)+SUMIF('Q3 Data'!$D$4:$D$207,D111,'Q3 Data'!$AG$4:$AG$207)+SUMIF('Q3 Data'!$D$4:$D$207,D111,'Q3 Data'!$AE$4:$AE$207)+SUMIF('Q4 Data'!$D$4:$D$207,D111,'Q4 Data'!$AD$4:$AD$207)+SUMIF('Q4 Data'!$D$4:$D$207,D111,'Q4 Data'!$AG$4:$AG$207)+SUMIF('Q4 Data'!$D$4:$D$207,D111,'Q4 Data'!$AE$4:$AE$207))</f>
      </c>
      <c r="AO111" s="27">
        <f>IF($B111&lt;&gt;"Challan","",P111-N111)</f>
      </c>
      <c r="AP111" s="27">
        <f>IF($B111&lt;&gt;"Challan","",MAX(0,AO111-AN111))</f>
      </c>
      <c r="AQ111" s="33">
        <f>IF($B111&lt;&gt;"Entry","",SUMPRODUCT(('Q1 Data'!$D$4:$D$207=D111)*('Q1 Data'!$B$4:$B$207="Challan")*'Q1 Data'!$F$4:$F$207)+SUMPRODUCT(('Q2 Data'!$D$4:$D$207=D111)*('Q2 Data'!$B$4:$B$207="Challan")*'Q2 Data'!$F$4:$F$207)+SUMPRODUCT(('Q3 Data'!$D$4:$D$207=D111)*('Q3 Data'!$B$4:$B$207="Challan")*'Q3 Data'!$F$4:$F$207)+SUMPRODUCT(('Q4 Data'!$D$4:$D$207=D111)*('Q4 Data'!$B$4:$B$207="Challan")*'Q4 Data'!$F$4:$F$207))</f>
      </c>
      <c r="AR111" s="34">
        <f>IF(OR($B111&lt;&gt;"Entry",Z111=""),FALSE,AND((SUMPRODUCT(('Q1 Data'!$D$4:$D$207=D111)*('Q1 Data'!$B$4:$B$207="Challan")*('Q1 Data'!$H$4:$H$207&lt;&gt;""))+SUMPRODUCT(('Q2 Data'!$D$4:$D$207=D111)*('Q2 Data'!$B$4:$B$207="Challan")*('Q2 Data'!$H$4:$H$207&lt;&gt;""))+SUMPRODUCT(('Q3 Data'!$D$4:$D$207=D111)*('Q3 Data'!$B$4:$B$207="Challan")*('Q3 Data'!$H$4:$H$207&lt;&gt;""))+SUMPRODUCT(('Q4 Data'!$D$4:$D$207=D111)*('Q4 Data'!$B$4:$B$207="Challan")*('Q4 Data'!$H$4:$H$207&lt;&gt;"")))&gt;0,(SUMPRODUCT(('Q1 Data'!$D$4:$D$207=D111)*('Q1 Data'!$B$4:$B$207="Challan")*('Q1 Data'!$H$4:$H$207=Z111))+SUMPRODUCT(('Q2 Data'!$D$4:$D$207=D111)*('Q2 Data'!$B$4:$B$207="Challan")*('Q2 Data'!$H$4:$H$207=Z111))+SUMPRODUCT(('Q3 Data'!$D$4:$D$207=D111)*('Q3 Data'!$B$4:$B$207="Challan")*('Q3 Data'!$H$4:$H$207=Z111))+SUMPRODUCT(('Q4 Data'!$D$4:$D$207=D111)*('Q4 Data'!$B$4:$B$207="Challan")*('Q4 Data'!$H$4:$H$207=Z111)))=0))</f>
      </c>
    </row>
    <row r="112" spans="1:44" x14ac:dyDescent="0.25">
      <c r="A112" s="20">
        <f>IF($B112="Entry",COUNTIF($B$4:$B112,"Entry"),"")</f>
      </c>
      <c r="B112" s="21"/>
      <c r="C112" s="22"/>
      <c r="D112" s="22"/>
      <c r="E112" s="23">
        <f>IF($B112&lt;&gt;"Challan","",IF(ROUND(AN112-AO112,2)&gt;0,"Over-applied",IF(ROUND(AN112-AO112,2)=0,"Fully Utilised","Unconsumed")))</f>
      </c>
      <c r="F112" s="24"/>
      <c r="G112" s="25"/>
      <c r="H112" s="25"/>
      <c r="I112" s="26"/>
      <c r="J112" s="26"/>
      <c r="K112" s="26"/>
      <c r="L112" s="26"/>
      <c r="M112" s="26"/>
      <c r="N112" s="26"/>
      <c r="O112" s="26"/>
      <c r="P112" s="27">
        <f>IF($B112&lt;&gt;"Challan","",I112+J112+K112+L112+M112+N112)</f>
      </c>
      <c r="Q112" s="25"/>
      <c r="R112" s="25"/>
      <c r="S112" s="25"/>
      <c r="T112" s="25"/>
      <c r="U112" s="25"/>
      <c r="V112" s="28"/>
      <c r="W112" s="28"/>
      <c r="X112" s="23">
        <f>IF($B112="Entry",IF(AND(LEN(TRIM(UPPER(W112)))=10,CODE(MID(TRIM(UPPER(W112)),1,1))&gt;=65,CODE(MID(TRIM(UPPER(W112)),1,1))&lt;=90,CODE(MID(TRIM(UPPER(W112)),2,1))&gt;=65,CODE(MID(TRIM(UPPER(W112)),2,1))&lt;=90,CODE(MID(TRIM(UPPER(W112)),3,1))&gt;=65,CODE(MID(TRIM(UPPER(W112)),3,1))&lt;=90,CODE(MID(TRIM(UPPER(W112)),4,1))&gt;=65,CODE(MID(TRIM(UPPER(W112)),4,1))&lt;=90,CODE(MID(TRIM(UPPER(W112)),5,1))&gt;=65,CODE(MID(TRIM(UPPER(W112)),5,1))&lt;=90,CODE(MID(TRIM(UPPER(W112)),10,1))&gt;=65,CODE(MID(TRIM(UPPER(W112)),10,1))&lt;=90,CODE(MID(TRIM(UPPER(W112)),6,1))&gt;=48,CODE(MID(TRIM(UPPER(W112)),6,1))&lt;=57,CODE(MID(TRIM(UPPER(W112)),7,1))&gt;=48,CODE(MID(TRIM(UPPER(W112)),7,1))&lt;=57,CODE(MID(TRIM(UPPER(W112)),8,1))&gt;=48,CODE(MID(TRIM(UPPER(W112)),8,1))&lt;=57,CODE(MID(TRIM(UPPER(W112)),9,1))&gt;=48,CODE(MID(TRIM(UPPER(W112)),9,1))&lt;=57),"N","Y"),IF($B112="Challan","",IF(W112&lt;&gt;"","◄ Set Row Type","")))</f>
      </c>
      <c r="Y112" s="23">
        <f>IF($B112="Entry",IF(LEN(W112)&lt;4,"",IF(UPPER(MID(W112,4,1))="P","Individual",IF(UPPER(MID(W112,4,1))="H","HUF",IF(UPPER(MID(W112,4,1))="C","Company",IF(UPPER(MID(W112,4,1))="F","Firm",IF(UPPER(MID(W112,4,1))="L","LLP",IF(UPPER(MID(W112,4,1))="T","Trust",IF(UPPER(MID(W112,4,1))="A","AOP","")))))))),IF($B112="Challan","",IF(W112&lt;&gt;"","◄ Set Row Type","")))</f>
      </c>
      <c r="Z112" s="28"/>
      <c r="AA112" s="29">
        <f>IF($B112&lt;&gt;"Entry","",IF(Z112="","",IF(X112="Y",SUMPRODUCT(('Rate Lookup'!$A$1:$A$37=Z112)*'Rate Lookup'!$D$1:$D$37),IF(OR(Y112="Individual",Y112="HUF"),SUMPRODUCT(('Rate Lookup'!$A$1:$A$37=Z112)*'Rate Lookup'!$B$1:$B$37),SUMPRODUCT(('Rate Lookup'!$A$1:$A$37=Z112)*'Rate Lookup'!$C$1:$C$37)))))</f>
      </c>
      <c r="AB112" s="30"/>
      <c r="AC112" s="31"/>
      <c r="AD112" s="27">
        <f>IF($B112&lt;&gt;"Entry","",ROUND(AC112*AA112/100,0))</f>
      </c>
      <c r="AE112" s="27">
        <f>IF($B112&lt;&gt;"Entry","",0)</f>
      </c>
      <c r="AF112" s="27">
        <f>IF($B112&lt;&gt;"Entry","",0)</f>
      </c>
      <c r="AG112" s="27">
        <f>IF($B112&lt;&gt;"Entry","",IF(OR(AD112=0,AB112="",AQ112="",AQ112&lt;=0),0,IF(AQ112&lt;=DATE(YEAR(AB112),MONTH(AB112)+1,7),0,ROUND(AD112*0.015*((YEAR(AQ112)-YEAR(AB112))*12+(MONTH(AQ112)-MONTH(AB112))+1),0))))</f>
      </c>
      <c r="AH112" s="27">
        <f>IF($B112&lt;&gt;"Entry","",0)</f>
      </c>
      <c r="AI112" s="28"/>
      <c r="AJ112" s="28"/>
      <c r="AK112" s="32"/>
      <c r="AL112" s="28"/>
      <c r="AM112" s="28"/>
      <c r="AN112" s="27">
        <f>IF($B112&lt;&gt;"Challan","",SUMIF('Q1 Data'!$D$4:$D$207,D112,'Q1 Data'!$AD$4:$AD$207)+SUMIF('Q1 Data'!$D$4:$D$207,D112,'Q1 Data'!$AG$4:$AG$207)+SUMIF('Q1 Data'!$D$4:$D$207,D112,'Q1 Data'!$AE$4:$AE$207)+SUMIF('Q2 Data'!$D$4:$D$207,D112,'Q2 Data'!$AD$4:$AD$207)+SUMIF('Q2 Data'!$D$4:$D$207,D112,'Q2 Data'!$AG$4:$AG$207)+SUMIF('Q2 Data'!$D$4:$D$207,D112,'Q2 Data'!$AE$4:$AE$207)+SUMIF('Q3 Data'!$D$4:$D$207,D112,'Q3 Data'!$AD$4:$AD$207)+SUMIF('Q3 Data'!$D$4:$D$207,D112,'Q3 Data'!$AG$4:$AG$207)+SUMIF('Q3 Data'!$D$4:$D$207,D112,'Q3 Data'!$AE$4:$AE$207)+SUMIF('Q4 Data'!$D$4:$D$207,D112,'Q4 Data'!$AD$4:$AD$207)+SUMIF('Q4 Data'!$D$4:$D$207,D112,'Q4 Data'!$AG$4:$AG$207)+SUMIF('Q4 Data'!$D$4:$D$207,D112,'Q4 Data'!$AE$4:$AE$207))</f>
      </c>
      <c r="AO112" s="27">
        <f>IF($B112&lt;&gt;"Challan","",P112-N112)</f>
      </c>
      <c r="AP112" s="27">
        <f>IF($B112&lt;&gt;"Challan","",MAX(0,AO112-AN112))</f>
      </c>
      <c r="AQ112" s="33">
        <f>IF($B112&lt;&gt;"Entry","",SUMPRODUCT(('Q1 Data'!$D$4:$D$207=D112)*('Q1 Data'!$B$4:$B$207="Challan")*'Q1 Data'!$F$4:$F$207)+SUMPRODUCT(('Q2 Data'!$D$4:$D$207=D112)*('Q2 Data'!$B$4:$B$207="Challan")*'Q2 Data'!$F$4:$F$207)+SUMPRODUCT(('Q3 Data'!$D$4:$D$207=D112)*('Q3 Data'!$B$4:$B$207="Challan")*'Q3 Data'!$F$4:$F$207)+SUMPRODUCT(('Q4 Data'!$D$4:$D$207=D112)*('Q4 Data'!$B$4:$B$207="Challan")*'Q4 Data'!$F$4:$F$207))</f>
      </c>
      <c r="AR112" s="34">
        <f>IF(OR($B112&lt;&gt;"Entry",Z112=""),FALSE,AND((SUMPRODUCT(('Q1 Data'!$D$4:$D$207=D112)*('Q1 Data'!$B$4:$B$207="Challan")*('Q1 Data'!$H$4:$H$207&lt;&gt;""))+SUMPRODUCT(('Q2 Data'!$D$4:$D$207=D112)*('Q2 Data'!$B$4:$B$207="Challan")*('Q2 Data'!$H$4:$H$207&lt;&gt;""))+SUMPRODUCT(('Q3 Data'!$D$4:$D$207=D112)*('Q3 Data'!$B$4:$B$207="Challan")*('Q3 Data'!$H$4:$H$207&lt;&gt;""))+SUMPRODUCT(('Q4 Data'!$D$4:$D$207=D112)*('Q4 Data'!$B$4:$B$207="Challan")*('Q4 Data'!$H$4:$H$207&lt;&gt;"")))&gt;0,(SUMPRODUCT(('Q1 Data'!$D$4:$D$207=D112)*('Q1 Data'!$B$4:$B$207="Challan")*('Q1 Data'!$H$4:$H$207=Z112))+SUMPRODUCT(('Q2 Data'!$D$4:$D$207=D112)*('Q2 Data'!$B$4:$B$207="Challan")*('Q2 Data'!$H$4:$H$207=Z112))+SUMPRODUCT(('Q3 Data'!$D$4:$D$207=D112)*('Q3 Data'!$B$4:$B$207="Challan")*('Q3 Data'!$H$4:$H$207=Z112))+SUMPRODUCT(('Q4 Data'!$D$4:$D$207=D112)*('Q4 Data'!$B$4:$B$207="Challan")*('Q4 Data'!$H$4:$H$207=Z112)))=0))</f>
      </c>
    </row>
    <row r="113" spans="1:44" x14ac:dyDescent="0.25">
      <c r="A113" s="20">
        <f>IF($B113="Entry",COUNTIF($B$4:$B113,"Entry"),"")</f>
      </c>
      <c r="B113" s="21"/>
      <c r="C113" s="22"/>
      <c r="D113" s="22"/>
      <c r="E113" s="23">
        <f>IF($B113&lt;&gt;"Challan","",IF(ROUND(AN113-AO113,2)&gt;0,"Over-applied",IF(ROUND(AN113-AO113,2)=0,"Fully Utilised","Unconsumed")))</f>
      </c>
      <c r="F113" s="24"/>
      <c r="G113" s="25"/>
      <c r="H113" s="25"/>
      <c r="I113" s="26"/>
      <c r="J113" s="26"/>
      <c r="K113" s="26"/>
      <c r="L113" s="26"/>
      <c r="M113" s="26"/>
      <c r="N113" s="26"/>
      <c r="O113" s="26"/>
      <c r="P113" s="27">
        <f>IF($B113&lt;&gt;"Challan","",I113+J113+K113+L113+M113+N113)</f>
      </c>
      <c r="Q113" s="25"/>
      <c r="R113" s="25"/>
      <c r="S113" s="25"/>
      <c r="T113" s="25"/>
      <c r="U113" s="25"/>
      <c r="V113" s="28"/>
      <c r="W113" s="28"/>
      <c r="X113" s="23">
        <f>IF($B113="Entry",IF(AND(LEN(TRIM(UPPER(W113)))=10,CODE(MID(TRIM(UPPER(W113)),1,1))&gt;=65,CODE(MID(TRIM(UPPER(W113)),1,1))&lt;=90,CODE(MID(TRIM(UPPER(W113)),2,1))&gt;=65,CODE(MID(TRIM(UPPER(W113)),2,1))&lt;=90,CODE(MID(TRIM(UPPER(W113)),3,1))&gt;=65,CODE(MID(TRIM(UPPER(W113)),3,1))&lt;=90,CODE(MID(TRIM(UPPER(W113)),4,1))&gt;=65,CODE(MID(TRIM(UPPER(W113)),4,1))&lt;=90,CODE(MID(TRIM(UPPER(W113)),5,1))&gt;=65,CODE(MID(TRIM(UPPER(W113)),5,1))&lt;=90,CODE(MID(TRIM(UPPER(W113)),10,1))&gt;=65,CODE(MID(TRIM(UPPER(W113)),10,1))&lt;=90,CODE(MID(TRIM(UPPER(W113)),6,1))&gt;=48,CODE(MID(TRIM(UPPER(W113)),6,1))&lt;=57,CODE(MID(TRIM(UPPER(W113)),7,1))&gt;=48,CODE(MID(TRIM(UPPER(W113)),7,1))&lt;=57,CODE(MID(TRIM(UPPER(W113)),8,1))&gt;=48,CODE(MID(TRIM(UPPER(W113)),8,1))&lt;=57,CODE(MID(TRIM(UPPER(W113)),9,1))&gt;=48,CODE(MID(TRIM(UPPER(W113)),9,1))&lt;=57),"N","Y"),IF($B113="Challan","",IF(W113&lt;&gt;"","◄ Set Row Type","")))</f>
      </c>
      <c r="Y113" s="23">
        <f>IF($B113="Entry",IF(LEN(W113)&lt;4,"",IF(UPPER(MID(W113,4,1))="P","Individual",IF(UPPER(MID(W113,4,1))="H","HUF",IF(UPPER(MID(W113,4,1))="C","Company",IF(UPPER(MID(W113,4,1))="F","Firm",IF(UPPER(MID(W113,4,1))="L","LLP",IF(UPPER(MID(W113,4,1))="T","Trust",IF(UPPER(MID(W113,4,1))="A","AOP","")))))))),IF($B113="Challan","",IF(W113&lt;&gt;"","◄ Set Row Type","")))</f>
      </c>
      <c r="Z113" s="28"/>
      <c r="AA113" s="29">
        <f>IF($B113&lt;&gt;"Entry","",IF(Z113="","",IF(X113="Y",SUMPRODUCT(('Rate Lookup'!$A$1:$A$37=Z113)*'Rate Lookup'!$D$1:$D$37),IF(OR(Y113="Individual",Y113="HUF"),SUMPRODUCT(('Rate Lookup'!$A$1:$A$37=Z113)*'Rate Lookup'!$B$1:$B$37),SUMPRODUCT(('Rate Lookup'!$A$1:$A$37=Z113)*'Rate Lookup'!$C$1:$C$37)))))</f>
      </c>
      <c r="AB113" s="30"/>
      <c r="AC113" s="31"/>
      <c r="AD113" s="27">
        <f>IF($B113&lt;&gt;"Entry","",ROUND(AC113*AA113/100,0))</f>
      </c>
      <c r="AE113" s="27">
        <f>IF($B113&lt;&gt;"Entry","",0)</f>
      </c>
      <c r="AF113" s="27">
        <f>IF($B113&lt;&gt;"Entry","",0)</f>
      </c>
      <c r="AG113" s="27">
        <f>IF($B113&lt;&gt;"Entry","",IF(OR(AD113=0,AB113="",AQ113="",AQ113&lt;=0),0,IF(AQ113&lt;=DATE(YEAR(AB113),MONTH(AB113)+1,7),0,ROUND(AD113*0.015*((YEAR(AQ113)-YEAR(AB113))*12+(MONTH(AQ113)-MONTH(AB113))+1),0))))</f>
      </c>
      <c r="AH113" s="27">
        <f>IF($B113&lt;&gt;"Entry","",0)</f>
      </c>
      <c r="AI113" s="28"/>
      <c r="AJ113" s="28"/>
      <c r="AK113" s="32"/>
      <c r="AL113" s="28"/>
      <c r="AM113" s="28"/>
      <c r="AN113" s="27">
        <f>IF($B113&lt;&gt;"Challan","",SUMIF('Q1 Data'!$D$4:$D$207,D113,'Q1 Data'!$AD$4:$AD$207)+SUMIF('Q1 Data'!$D$4:$D$207,D113,'Q1 Data'!$AG$4:$AG$207)+SUMIF('Q1 Data'!$D$4:$D$207,D113,'Q1 Data'!$AE$4:$AE$207)+SUMIF('Q2 Data'!$D$4:$D$207,D113,'Q2 Data'!$AD$4:$AD$207)+SUMIF('Q2 Data'!$D$4:$D$207,D113,'Q2 Data'!$AG$4:$AG$207)+SUMIF('Q2 Data'!$D$4:$D$207,D113,'Q2 Data'!$AE$4:$AE$207)+SUMIF('Q3 Data'!$D$4:$D$207,D113,'Q3 Data'!$AD$4:$AD$207)+SUMIF('Q3 Data'!$D$4:$D$207,D113,'Q3 Data'!$AG$4:$AG$207)+SUMIF('Q3 Data'!$D$4:$D$207,D113,'Q3 Data'!$AE$4:$AE$207)+SUMIF('Q4 Data'!$D$4:$D$207,D113,'Q4 Data'!$AD$4:$AD$207)+SUMIF('Q4 Data'!$D$4:$D$207,D113,'Q4 Data'!$AG$4:$AG$207)+SUMIF('Q4 Data'!$D$4:$D$207,D113,'Q4 Data'!$AE$4:$AE$207))</f>
      </c>
      <c r="AO113" s="27">
        <f>IF($B113&lt;&gt;"Challan","",P113-N113)</f>
      </c>
      <c r="AP113" s="27">
        <f>IF($B113&lt;&gt;"Challan","",MAX(0,AO113-AN113))</f>
      </c>
      <c r="AQ113" s="33">
        <f>IF($B113&lt;&gt;"Entry","",SUMPRODUCT(('Q1 Data'!$D$4:$D$207=D113)*('Q1 Data'!$B$4:$B$207="Challan")*'Q1 Data'!$F$4:$F$207)+SUMPRODUCT(('Q2 Data'!$D$4:$D$207=D113)*('Q2 Data'!$B$4:$B$207="Challan")*'Q2 Data'!$F$4:$F$207)+SUMPRODUCT(('Q3 Data'!$D$4:$D$207=D113)*('Q3 Data'!$B$4:$B$207="Challan")*'Q3 Data'!$F$4:$F$207)+SUMPRODUCT(('Q4 Data'!$D$4:$D$207=D113)*('Q4 Data'!$B$4:$B$207="Challan")*'Q4 Data'!$F$4:$F$207))</f>
      </c>
      <c r="AR113" s="34">
        <f>IF(OR($B113&lt;&gt;"Entry",Z113=""),FALSE,AND((SUMPRODUCT(('Q1 Data'!$D$4:$D$207=D113)*('Q1 Data'!$B$4:$B$207="Challan")*('Q1 Data'!$H$4:$H$207&lt;&gt;""))+SUMPRODUCT(('Q2 Data'!$D$4:$D$207=D113)*('Q2 Data'!$B$4:$B$207="Challan")*('Q2 Data'!$H$4:$H$207&lt;&gt;""))+SUMPRODUCT(('Q3 Data'!$D$4:$D$207=D113)*('Q3 Data'!$B$4:$B$207="Challan")*('Q3 Data'!$H$4:$H$207&lt;&gt;""))+SUMPRODUCT(('Q4 Data'!$D$4:$D$207=D113)*('Q4 Data'!$B$4:$B$207="Challan")*('Q4 Data'!$H$4:$H$207&lt;&gt;"")))&gt;0,(SUMPRODUCT(('Q1 Data'!$D$4:$D$207=D113)*('Q1 Data'!$B$4:$B$207="Challan")*('Q1 Data'!$H$4:$H$207=Z113))+SUMPRODUCT(('Q2 Data'!$D$4:$D$207=D113)*('Q2 Data'!$B$4:$B$207="Challan")*('Q2 Data'!$H$4:$H$207=Z113))+SUMPRODUCT(('Q3 Data'!$D$4:$D$207=D113)*('Q3 Data'!$B$4:$B$207="Challan")*('Q3 Data'!$H$4:$H$207=Z113))+SUMPRODUCT(('Q4 Data'!$D$4:$D$207=D113)*('Q4 Data'!$B$4:$B$207="Challan")*('Q4 Data'!$H$4:$H$207=Z113)))=0))</f>
      </c>
    </row>
    <row r="114" spans="1:44" x14ac:dyDescent="0.25">
      <c r="A114" s="20">
        <f>IF($B114="Entry",COUNTIF($B$4:$B114,"Entry"),"")</f>
      </c>
      <c r="B114" s="21"/>
      <c r="C114" s="22"/>
      <c r="D114" s="22"/>
      <c r="E114" s="23">
        <f>IF($B114&lt;&gt;"Challan","",IF(ROUND(AN114-AO114,2)&gt;0,"Over-applied",IF(ROUND(AN114-AO114,2)=0,"Fully Utilised","Unconsumed")))</f>
      </c>
      <c r="F114" s="24"/>
      <c r="G114" s="25"/>
      <c r="H114" s="25"/>
      <c r="I114" s="26"/>
      <c r="J114" s="26"/>
      <c r="K114" s="26"/>
      <c r="L114" s="26"/>
      <c r="M114" s="26"/>
      <c r="N114" s="26"/>
      <c r="O114" s="26"/>
      <c r="P114" s="27">
        <f>IF($B114&lt;&gt;"Challan","",I114+J114+K114+L114+M114+N114)</f>
      </c>
      <c r="Q114" s="25"/>
      <c r="R114" s="25"/>
      <c r="S114" s="25"/>
      <c r="T114" s="25"/>
      <c r="U114" s="25"/>
      <c r="V114" s="28"/>
      <c r="W114" s="28"/>
      <c r="X114" s="23">
        <f>IF($B114="Entry",IF(AND(LEN(TRIM(UPPER(W114)))=10,CODE(MID(TRIM(UPPER(W114)),1,1))&gt;=65,CODE(MID(TRIM(UPPER(W114)),1,1))&lt;=90,CODE(MID(TRIM(UPPER(W114)),2,1))&gt;=65,CODE(MID(TRIM(UPPER(W114)),2,1))&lt;=90,CODE(MID(TRIM(UPPER(W114)),3,1))&gt;=65,CODE(MID(TRIM(UPPER(W114)),3,1))&lt;=90,CODE(MID(TRIM(UPPER(W114)),4,1))&gt;=65,CODE(MID(TRIM(UPPER(W114)),4,1))&lt;=90,CODE(MID(TRIM(UPPER(W114)),5,1))&gt;=65,CODE(MID(TRIM(UPPER(W114)),5,1))&lt;=90,CODE(MID(TRIM(UPPER(W114)),10,1))&gt;=65,CODE(MID(TRIM(UPPER(W114)),10,1))&lt;=90,CODE(MID(TRIM(UPPER(W114)),6,1))&gt;=48,CODE(MID(TRIM(UPPER(W114)),6,1))&lt;=57,CODE(MID(TRIM(UPPER(W114)),7,1))&gt;=48,CODE(MID(TRIM(UPPER(W114)),7,1))&lt;=57,CODE(MID(TRIM(UPPER(W114)),8,1))&gt;=48,CODE(MID(TRIM(UPPER(W114)),8,1))&lt;=57,CODE(MID(TRIM(UPPER(W114)),9,1))&gt;=48,CODE(MID(TRIM(UPPER(W114)),9,1))&lt;=57),"N","Y"),IF($B114="Challan","",IF(W114&lt;&gt;"","◄ Set Row Type","")))</f>
      </c>
      <c r="Y114" s="23">
        <f>IF($B114="Entry",IF(LEN(W114)&lt;4,"",IF(UPPER(MID(W114,4,1))="P","Individual",IF(UPPER(MID(W114,4,1))="H","HUF",IF(UPPER(MID(W114,4,1))="C","Company",IF(UPPER(MID(W114,4,1))="F","Firm",IF(UPPER(MID(W114,4,1))="L","LLP",IF(UPPER(MID(W114,4,1))="T","Trust",IF(UPPER(MID(W114,4,1))="A","AOP","")))))))),IF($B114="Challan","",IF(W114&lt;&gt;"","◄ Set Row Type","")))</f>
      </c>
      <c r="Z114" s="28"/>
      <c r="AA114" s="29">
        <f>IF($B114&lt;&gt;"Entry","",IF(Z114="","",IF(X114="Y",SUMPRODUCT(('Rate Lookup'!$A$1:$A$37=Z114)*'Rate Lookup'!$D$1:$D$37),IF(OR(Y114="Individual",Y114="HUF"),SUMPRODUCT(('Rate Lookup'!$A$1:$A$37=Z114)*'Rate Lookup'!$B$1:$B$37),SUMPRODUCT(('Rate Lookup'!$A$1:$A$37=Z114)*'Rate Lookup'!$C$1:$C$37)))))</f>
      </c>
      <c r="AB114" s="30"/>
      <c r="AC114" s="31"/>
      <c r="AD114" s="27">
        <f>IF($B114&lt;&gt;"Entry","",ROUND(AC114*AA114/100,0))</f>
      </c>
      <c r="AE114" s="27">
        <f>IF($B114&lt;&gt;"Entry","",0)</f>
      </c>
      <c r="AF114" s="27">
        <f>IF($B114&lt;&gt;"Entry","",0)</f>
      </c>
      <c r="AG114" s="27">
        <f>IF($B114&lt;&gt;"Entry","",IF(OR(AD114=0,AB114="",AQ114="",AQ114&lt;=0),0,IF(AQ114&lt;=DATE(YEAR(AB114),MONTH(AB114)+1,7),0,ROUND(AD114*0.015*((YEAR(AQ114)-YEAR(AB114))*12+(MONTH(AQ114)-MONTH(AB114))+1),0))))</f>
      </c>
      <c r="AH114" s="27">
        <f>IF($B114&lt;&gt;"Entry","",0)</f>
      </c>
      <c r="AI114" s="28"/>
      <c r="AJ114" s="28"/>
      <c r="AK114" s="32"/>
      <c r="AL114" s="28"/>
      <c r="AM114" s="28"/>
      <c r="AN114" s="27">
        <f>IF($B114&lt;&gt;"Challan","",SUMIF('Q1 Data'!$D$4:$D$207,D114,'Q1 Data'!$AD$4:$AD$207)+SUMIF('Q1 Data'!$D$4:$D$207,D114,'Q1 Data'!$AG$4:$AG$207)+SUMIF('Q1 Data'!$D$4:$D$207,D114,'Q1 Data'!$AE$4:$AE$207)+SUMIF('Q2 Data'!$D$4:$D$207,D114,'Q2 Data'!$AD$4:$AD$207)+SUMIF('Q2 Data'!$D$4:$D$207,D114,'Q2 Data'!$AG$4:$AG$207)+SUMIF('Q2 Data'!$D$4:$D$207,D114,'Q2 Data'!$AE$4:$AE$207)+SUMIF('Q3 Data'!$D$4:$D$207,D114,'Q3 Data'!$AD$4:$AD$207)+SUMIF('Q3 Data'!$D$4:$D$207,D114,'Q3 Data'!$AG$4:$AG$207)+SUMIF('Q3 Data'!$D$4:$D$207,D114,'Q3 Data'!$AE$4:$AE$207)+SUMIF('Q4 Data'!$D$4:$D$207,D114,'Q4 Data'!$AD$4:$AD$207)+SUMIF('Q4 Data'!$D$4:$D$207,D114,'Q4 Data'!$AG$4:$AG$207)+SUMIF('Q4 Data'!$D$4:$D$207,D114,'Q4 Data'!$AE$4:$AE$207))</f>
      </c>
      <c r="AO114" s="27">
        <f>IF($B114&lt;&gt;"Challan","",P114-N114)</f>
      </c>
      <c r="AP114" s="27">
        <f>IF($B114&lt;&gt;"Challan","",MAX(0,AO114-AN114))</f>
      </c>
      <c r="AQ114" s="33">
        <f>IF($B114&lt;&gt;"Entry","",SUMPRODUCT(('Q1 Data'!$D$4:$D$207=D114)*('Q1 Data'!$B$4:$B$207="Challan")*'Q1 Data'!$F$4:$F$207)+SUMPRODUCT(('Q2 Data'!$D$4:$D$207=D114)*('Q2 Data'!$B$4:$B$207="Challan")*'Q2 Data'!$F$4:$F$207)+SUMPRODUCT(('Q3 Data'!$D$4:$D$207=D114)*('Q3 Data'!$B$4:$B$207="Challan")*'Q3 Data'!$F$4:$F$207)+SUMPRODUCT(('Q4 Data'!$D$4:$D$207=D114)*('Q4 Data'!$B$4:$B$207="Challan")*'Q4 Data'!$F$4:$F$207))</f>
      </c>
      <c r="AR114" s="34">
        <f>IF(OR($B114&lt;&gt;"Entry",Z114=""),FALSE,AND((SUMPRODUCT(('Q1 Data'!$D$4:$D$207=D114)*('Q1 Data'!$B$4:$B$207="Challan")*('Q1 Data'!$H$4:$H$207&lt;&gt;""))+SUMPRODUCT(('Q2 Data'!$D$4:$D$207=D114)*('Q2 Data'!$B$4:$B$207="Challan")*('Q2 Data'!$H$4:$H$207&lt;&gt;""))+SUMPRODUCT(('Q3 Data'!$D$4:$D$207=D114)*('Q3 Data'!$B$4:$B$207="Challan")*('Q3 Data'!$H$4:$H$207&lt;&gt;""))+SUMPRODUCT(('Q4 Data'!$D$4:$D$207=D114)*('Q4 Data'!$B$4:$B$207="Challan")*('Q4 Data'!$H$4:$H$207&lt;&gt;"")))&gt;0,(SUMPRODUCT(('Q1 Data'!$D$4:$D$207=D114)*('Q1 Data'!$B$4:$B$207="Challan")*('Q1 Data'!$H$4:$H$207=Z114))+SUMPRODUCT(('Q2 Data'!$D$4:$D$207=D114)*('Q2 Data'!$B$4:$B$207="Challan")*('Q2 Data'!$H$4:$H$207=Z114))+SUMPRODUCT(('Q3 Data'!$D$4:$D$207=D114)*('Q3 Data'!$B$4:$B$207="Challan")*('Q3 Data'!$H$4:$H$207=Z114))+SUMPRODUCT(('Q4 Data'!$D$4:$D$207=D114)*('Q4 Data'!$B$4:$B$207="Challan")*('Q4 Data'!$H$4:$H$207=Z114)))=0))</f>
      </c>
    </row>
    <row r="115" spans="1:44" x14ac:dyDescent="0.25">
      <c r="A115" s="20">
        <f>IF($B115="Entry",COUNTIF($B$4:$B115,"Entry"),"")</f>
      </c>
      <c r="B115" s="21"/>
      <c r="C115" s="22"/>
      <c r="D115" s="22"/>
      <c r="E115" s="23">
        <f>IF($B115&lt;&gt;"Challan","",IF(ROUND(AN115-AO115,2)&gt;0,"Over-applied",IF(ROUND(AN115-AO115,2)=0,"Fully Utilised","Unconsumed")))</f>
      </c>
      <c r="F115" s="24"/>
      <c r="G115" s="25"/>
      <c r="H115" s="25"/>
      <c r="I115" s="26"/>
      <c r="J115" s="26"/>
      <c r="K115" s="26"/>
      <c r="L115" s="26"/>
      <c r="M115" s="26"/>
      <c r="N115" s="26"/>
      <c r="O115" s="26"/>
      <c r="P115" s="27">
        <f>IF($B115&lt;&gt;"Challan","",I115+J115+K115+L115+M115+N115)</f>
      </c>
      <c r="Q115" s="25"/>
      <c r="R115" s="25"/>
      <c r="S115" s="25"/>
      <c r="T115" s="25"/>
      <c r="U115" s="25"/>
      <c r="V115" s="28"/>
      <c r="W115" s="28"/>
      <c r="X115" s="23">
        <f>IF($B115="Entry",IF(AND(LEN(TRIM(UPPER(W115)))=10,CODE(MID(TRIM(UPPER(W115)),1,1))&gt;=65,CODE(MID(TRIM(UPPER(W115)),1,1))&lt;=90,CODE(MID(TRIM(UPPER(W115)),2,1))&gt;=65,CODE(MID(TRIM(UPPER(W115)),2,1))&lt;=90,CODE(MID(TRIM(UPPER(W115)),3,1))&gt;=65,CODE(MID(TRIM(UPPER(W115)),3,1))&lt;=90,CODE(MID(TRIM(UPPER(W115)),4,1))&gt;=65,CODE(MID(TRIM(UPPER(W115)),4,1))&lt;=90,CODE(MID(TRIM(UPPER(W115)),5,1))&gt;=65,CODE(MID(TRIM(UPPER(W115)),5,1))&lt;=90,CODE(MID(TRIM(UPPER(W115)),10,1))&gt;=65,CODE(MID(TRIM(UPPER(W115)),10,1))&lt;=90,CODE(MID(TRIM(UPPER(W115)),6,1))&gt;=48,CODE(MID(TRIM(UPPER(W115)),6,1))&lt;=57,CODE(MID(TRIM(UPPER(W115)),7,1))&gt;=48,CODE(MID(TRIM(UPPER(W115)),7,1))&lt;=57,CODE(MID(TRIM(UPPER(W115)),8,1))&gt;=48,CODE(MID(TRIM(UPPER(W115)),8,1))&lt;=57,CODE(MID(TRIM(UPPER(W115)),9,1))&gt;=48,CODE(MID(TRIM(UPPER(W115)),9,1))&lt;=57),"N","Y"),IF($B115="Challan","",IF(W115&lt;&gt;"","◄ Set Row Type","")))</f>
      </c>
      <c r="Y115" s="23">
        <f>IF($B115="Entry",IF(LEN(W115)&lt;4,"",IF(UPPER(MID(W115,4,1))="P","Individual",IF(UPPER(MID(W115,4,1))="H","HUF",IF(UPPER(MID(W115,4,1))="C","Company",IF(UPPER(MID(W115,4,1))="F","Firm",IF(UPPER(MID(W115,4,1))="L","LLP",IF(UPPER(MID(W115,4,1))="T","Trust",IF(UPPER(MID(W115,4,1))="A","AOP","")))))))),IF($B115="Challan","",IF(W115&lt;&gt;"","◄ Set Row Type","")))</f>
      </c>
      <c r="Z115" s="28"/>
      <c r="AA115" s="29">
        <f>IF($B115&lt;&gt;"Entry","",IF(Z115="","",IF(X115="Y",SUMPRODUCT(('Rate Lookup'!$A$1:$A$37=Z115)*'Rate Lookup'!$D$1:$D$37),IF(OR(Y115="Individual",Y115="HUF"),SUMPRODUCT(('Rate Lookup'!$A$1:$A$37=Z115)*'Rate Lookup'!$B$1:$B$37),SUMPRODUCT(('Rate Lookup'!$A$1:$A$37=Z115)*'Rate Lookup'!$C$1:$C$37)))))</f>
      </c>
      <c r="AB115" s="30"/>
      <c r="AC115" s="31"/>
      <c r="AD115" s="27">
        <f>IF($B115&lt;&gt;"Entry","",ROUND(AC115*AA115/100,0))</f>
      </c>
      <c r="AE115" s="27">
        <f>IF($B115&lt;&gt;"Entry","",0)</f>
      </c>
      <c r="AF115" s="27">
        <f>IF($B115&lt;&gt;"Entry","",0)</f>
      </c>
      <c r="AG115" s="27">
        <f>IF($B115&lt;&gt;"Entry","",IF(OR(AD115=0,AB115="",AQ115="",AQ115&lt;=0),0,IF(AQ115&lt;=DATE(YEAR(AB115),MONTH(AB115)+1,7),0,ROUND(AD115*0.015*((YEAR(AQ115)-YEAR(AB115))*12+(MONTH(AQ115)-MONTH(AB115))+1),0))))</f>
      </c>
      <c r="AH115" s="27">
        <f>IF($B115&lt;&gt;"Entry","",0)</f>
      </c>
      <c r="AI115" s="28"/>
      <c r="AJ115" s="28"/>
      <c r="AK115" s="32"/>
      <c r="AL115" s="28"/>
      <c r="AM115" s="28"/>
      <c r="AN115" s="27">
        <f>IF($B115&lt;&gt;"Challan","",SUMIF('Q1 Data'!$D$4:$D$207,D115,'Q1 Data'!$AD$4:$AD$207)+SUMIF('Q1 Data'!$D$4:$D$207,D115,'Q1 Data'!$AG$4:$AG$207)+SUMIF('Q1 Data'!$D$4:$D$207,D115,'Q1 Data'!$AE$4:$AE$207)+SUMIF('Q2 Data'!$D$4:$D$207,D115,'Q2 Data'!$AD$4:$AD$207)+SUMIF('Q2 Data'!$D$4:$D$207,D115,'Q2 Data'!$AG$4:$AG$207)+SUMIF('Q2 Data'!$D$4:$D$207,D115,'Q2 Data'!$AE$4:$AE$207)+SUMIF('Q3 Data'!$D$4:$D$207,D115,'Q3 Data'!$AD$4:$AD$207)+SUMIF('Q3 Data'!$D$4:$D$207,D115,'Q3 Data'!$AG$4:$AG$207)+SUMIF('Q3 Data'!$D$4:$D$207,D115,'Q3 Data'!$AE$4:$AE$207)+SUMIF('Q4 Data'!$D$4:$D$207,D115,'Q4 Data'!$AD$4:$AD$207)+SUMIF('Q4 Data'!$D$4:$D$207,D115,'Q4 Data'!$AG$4:$AG$207)+SUMIF('Q4 Data'!$D$4:$D$207,D115,'Q4 Data'!$AE$4:$AE$207))</f>
      </c>
      <c r="AO115" s="27">
        <f>IF($B115&lt;&gt;"Challan","",P115-N115)</f>
      </c>
      <c r="AP115" s="27">
        <f>IF($B115&lt;&gt;"Challan","",MAX(0,AO115-AN115))</f>
      </c>
      <c r="AQ115" s="33">
        <f>IF($B115&lt;&gt;"Entry","",SUMPRODUCT(('Q1 Data'!$D$4:$D$207=D115)*('Q1 Data'!$B$4:$B$207="Challan")*'Q1 Data'!$F$4:$F$207)+SUMPRODUCT(('Q2 Data'!$D$4:$D$207=D115)*('Q2 Data'!$B$4:$B$207="Challan")*'Q2 Data'!$F$4:$F$207)+SUMPRODUCT(('Q3 Data'!$D$4:$D$207=D115)*('Q3 Data'!$B$4:$B$207="Challan")*'Q3 Data'!$F$4:$F$207)+SUMPRODUCT(('Q4 Data'!$D$4:$D$207=D115)*('Q4 Data'!$B$4:$B$207="Challan")*'Q4 Data'!$F$4:$F$207))</f>
      </c>
      <c r="AR115" s="34">
        <f>IF(OR($B115&lt;&gt;"Entry",Z115=""),FALSE,AND((SUMPRODUCT(('Q1 Data'!$D$4:$D$207=D115)*('Q1 Data'!$B$4:$B$207="Challan")*('Q1 Data'!$H$4:$H$207&lt;&gt;""))+SUMPRODUCT(('Q2 Data'!$D$4:$D$207=D115)*('Q2 Data'!$B$4:$B$207="Challan")*('Q2 Data'!$H$4:$H$207&lt;&gt;""))+SUMPRODUCT(('Q3 Data'!$D$4:$D$207=D115)*('Q3 Data'!$B$4:$B$207="Challan")*('Q3 Data'!$H$4:$H$207&lt;&gt;""))+SUMPRODUCT(('Q4 Data'!$D$4:$D$207=D115)*('Q4 Data'!$B$4:$B$207="Challan")*('Q4 Data'!$H$4:$H$207&lt;&gt;"")))&gt;0,(SUMPRODUCT(('Q1 Data'!$D$4:$D$207=D115)*('Q1 Data'!$B$4:$B$207="Challan")*('Q1 Data'!$H$4:$H$207=Z115))+SUMPRODUCT(('Q2 Data'!$D$4:$D$207=D115)*('Q2 Data'!$B$4:$B$207="Challan")*('Q2 Data'!$H$4:$H$207=Z115))+SUMPRODUCT(('Q3 Data'!$D$4:$D$207=D115)*('Q3 Data'!$B$4:$B$207="Challan")*('Q3 Data'!$H$4:$H$207=Z115))+SUMPRODUCT(('Q4 Data'!$D$4:$D$207=D115)*('Q4 Data'!$B$4:$B$207="Challan")*('Q4 Data'!$H$4:$H$207=Z115)))=0))</f>
      </c>
    </row>
    <row r="116" spans="1:44" x14ac:dyDescent="0.25">
      <c r="A116" s="20">
        <f>IF($B116="Entry",COUNTIF($B$4:$B116,"Entry"),"")</f>
      </c>
      <c r="B116" s="21"/>
      <c r="C116" s="22"/>
      <c r="D116" s="22"/>
      <c r="E116" s="23">
        <f>IF($B116&lt;&gt;"Challan","",IF(ROUND(AN116-AO116,2)&gt;0,"Over-applied",IF(ROUND(AN116-AO116,2)=0,"Fully Utilised","Unconsumed")))</f>
      </c>
      <c r="F116" s="24"/>
      <c r="G116" s="25"/>
      <c r="H116" s="25"/>
      <c r="I116" s="26"/>
      <c r="J116" s="26"/>
      <c r="K116" s="26"/>
      <c r="L116" s="26"/>
      <c r="M116" s="26"/>
      <c r="N116" s="26"/>
      <c r="O116" s="26"/>
      <c r="P116" s="27">
        <f>IF($B116&lt;&gt;"Challan","",I116+J116+K116+L116+M116+N116)</f>
      </c>
      <c r="Q116" s="25"/>
      <c r="R116" s="25"/>
      <c r="S116" s="25"/>
      <c r="T116" s="25"/>
      <c r="U116" s="25"/>
      <c r="V116" s="28"/>
      <c r="W116" s="28"/>
      <c r="X116" s="23">
        <f>IF($B116="Entry",IF(AND(LEN(TRIM(UPPER(W116)))=10,CODE(MID(TRIM(UPPER(W116)),1,1))&gt;=65,CODE(MID(TRIM(UPPER(W116)),1,1))&lt;=90,CODE(MID(TRIM(UPPER(W116)),2,1))&gt;=65,CODE(MID(TRIM(UPPER(W116)),2,1))&lt;=90,CODE(MID(TRIM(UPPER(W116)),3,1))&gt;=65,CODE(MID(TRIM(UPPER(W116)),3,1))&lt;=90,CODE(MID(TRIM(UPPER(W116)),4,1))&gt;=65,CODE(MID(TRIM(UPPER(W116)),4,1))&lt;=90,CODE(MID(TRIM(UPPER(W116)),5,1))&gt;=65,CODE(MID(TRIM(UPPER(W116)),5,1))&lt;=90,CODE(MID(TRIM(UPPER(W116)),10,1))&gt;=65,CODE(MID(TRIM(UPPER(W116)),10,1))&lt;=90,CODE(MID(TRIM(UPPER(W116)),6,1))&gt;=48,CODE(MID(TRIM(UPPER(W116)),6,1))&lt;=57,CODE(MID(TRIM(UPPER(W116)),7,1))&gt;=48,CODE(MID(TRIM(UPPER(W116)),7,1))&lt;=57,CODE(MID(TRIM(UPPER(W116)),8,1))&gt;=48,CODE(MID(TRIM(UPPER(W116)),8,1))&lt;=57,CODE(MID(TRIM(UPPER(W116)),9,1))&gt;=48,CODE(MID(TRIM(UPPER(W116)),9,1))&lt;=57),"N","Y"),IF($B116="Challan","",IF(W116&lt;&gt;"","◄ Set Row Type","")))</f>
      </c>
      <c r="Y116" s="23">
        <f>IF($B116="Entry",IF(LEN(W116)&lt;4,"",IF(UPPER(MID(W116,4,1))="P","Individual",IF(UPPER(MID(W116,4,1))="H","HUF",IF(UPPER(MID(W116,4,1))="C","Company",IF(UPPER(MID(W116,4,1))="F","Firm",IF(UPPER(MID(W116,4,1))="L","LLP",IF(UPPER(MID(W116,4,1))="T","Trust",IF(UPPER(MID(W116,4,1))="A","AOP","")))))))),IF($B116="Challan","",IF(W116&lt;&gt;"","◄ Set Row Type","")))</f>
      </c>
      <c r="Z116" s="28"/>
      <c r="AA116" s="29">
        <f>IF($B116&lt;&gt;"Entry","",IF(Z116="","",IF(X116="Y",SUMPRODUCT(('Rate Lookup'!$A$1:$A$37=Z116)*'Rate Lookup'!$D$1:$D$37),IF(OR(Y116="Individual",Y116="HUF"),SUMPRODUCT(('Rate Lookup'!$A$1:$A$37=Z116)*'Rate Lookup'!$B$1:$B$37),SUMPRODUCT(('Rate Lookup'!$A$1:$A$37=Z116)*'Rate Lookup'!$C$1:$C$37)))))</f>
      </c>
      <c r="AB116" s="30"/>
      <c r="AC116" s="31"/>
      <c r="AD116" s="27">
        <f>IF($B116&lt;&gt;"Entry","",ROUND(AC116*AA116/100,0))</f>
      </c>
      <c r="AE116" s="27">
        <f>IF($B116&lt;&gt;"Entry","",0)</f>
      </c>
      <c r="AF116" s="27">
        <f>IF($B116&lt;&gt;"Entry","",0)</f>
      </c>
      <c r="AG116" s="27">
        <f>IF($B116&lt;&gt;"Entry","",IF(OR(AD116=0,AB116="",AQ116="",AQ116&lt;=0),0,IF(AQ116&lt;=DATE(YEAR(AB116),MONTH(AB116)+1,7),0,ROUND(AD116*0.015*((YEAR(AQ116)-YEAR(AB116))*12+(MONTH(AQ116)-MONTH(AB116))+1),0))))</f>
      </c>
      <c r="AH116" s="27">
        <f>IF($B116&lt;&gt;"Entry","",0)</f>
      </c>
      <c r="AI116" s="28"/>
      <c r="AJ116" s="28"/>
      <c r="AK116" s="32"/>
      <c r="AL116" s="28"/>
      <c r="AM116" s="28"/>
      <c r="AN116" s="27">
        <f>IF($B116&lt;&gt;"Challan","",SUMIF('Q1 Data'!$D$4:$D$207,D116,'Q1 Data'!$AD$4:$AD$207)+SUMIF('Q1 Data'!$D$4:$D$207,D116,'Q1 Data'!$AG$4:$AG$207)+SUMIF('Q1 Data'!$D$4:$D$207,D116,'Q1 Data'!$AE$4:$AE$207)+SUMIF('Q2 Data'!$D$4:$D$207,D116,'Q2 Data'!$AD$4:$AD$207)+SUMIF('Q2 Data'!$D$4:$D$207,D116,'Q2 Data'!$AG$4:$AG$207)+SUMIF('Q2 Data'!$D$4:$D$207,D116,'Q2 Data'!$AE$4:$AE$207)+SUMIF('Q3 Data'!$D$4:$D$207,D116,'Q3 Data'!$AD$4:$AD$207)+SUMIF('Q3 Data'!$D$4:$D$207,D116,'Q3 Data'!$AG$4:$AG$207)+SUMIF('Q3 Data'!$D$4:$D$207,D116,'Q3 Data'!$AE$4:$AE$207)+SUMIF('Q4 Data'!$D$4:$D$207,D116,'Q4 Data'!$AD$4:$AD$207)+SUMIF('Q4 Data'!$D$4:$D$207,D116,'Q4 Data'!$AG$4:$AG$207)+SUMIF('Q4 Data'!$D$4:$D$207,D116,'Q4 Data'!$AE$4:$AE$207))</f>
      </c>
      <c r="AO116" s="27">
        <f>IF($B116&lt;&gt;"Challan","",P116-N116)</f>
      </c>
      <c r="AP116" s="27">
        <f>IF($B116&lt;&gt;"Challan","",MAX(0,AO116-AN116))</f>
      </c>
      <c r="AQ116" s="33">
        <f>IF($B116&lt;&gt;"Entry","",SUMPRODUCT(('Q1 Data'!$D$4:$D$207=D116)*('Q1 Data'!$B$4:$B$207="Challan")*'Q1 Data'!$F$4:$F$207)+SUMPRODUCT(('Q2 Data'!$D$4:$D$207=D116)*('Q2 Data'!$B$4:$B$207="Challan")*'Q2 Data'!$F$4:$F$207)+SUMPRODUCT(('Q3 Data'!$D$4:$D$207=D116)*('Q3 Data'!$B$4:$B$207="Challan")*'Q3 Data'!$F$4:$F$207)+SUMPRODUCT(('Q4 Data'!$D$4:$D$207=D116)*('Q4 Data'!$B$4:$B$207="Challan")*'Q4 Data'!$F$4:$F$207))</f>
      </c>
      <c r="AR116" s="34">
        <f>IF(OR($B116&lt;&gt;"Entry",Z116=""),FALSE,AND((SUMPRODUCT(('Q1 Data'!$D$4:$D$207=D116)*('Q1 Data'!$B$4:$B$207="Challan")*('Q1 Data'!$H$4:$H$207&lt;&gt;""))+SUMPRODUCT(('Q2 Data'!$D$4:$D$207=D116)*('Q2 Data'!$B$4:$B$207="Challan")*('Q2 Data'!$H$4:$H$207&lt;&gt;""))+SUMPRODUCT(('Q3 Data'!$D$4:$D$207=D116)*('Q3 Data'!$B$4:$B$207="Challan")*('Q3 Data'!$H$4:$H$207&lt;&gt;""))+SUMPRODUCT(('Q4 Data'!$D$4:$D$207=D116)*('Q4 Data'!$B$4:$B$207="Challan")*('Q4 Data'!$H$4:$H$207&lt;&gt;"")))&gt;0,(SUMPRODUCT(('Q1 Data'!$D$4:$D$207=D116)*('Q1 Data'!$B$4:$B$207="Challan")*('Q1 Data'!$H$4:$H$207=Z116))+SUMPRODUCT(('Q2 Data'!$D$4:$D$207=D116)*('Q2 Data'!$B$4:$B$207="Challan")*('Q2 Data'!$H$4:$H$207=Z116))+SUMPRODUCT(('Q3 Data'!$D$4:$D$207=D116)*('Q3 Data'!$B$4:$B$207="Challan")*('Q3 Data'!$H$4:$H$207=Z116))+SUMPRODUCT(('Q4 Data'!$D$4:$D$207=D116)*('Q4 Data'!$B$4:$B$207="Challan")*('Q4 Data'!$H$4:$H$207=Z116)))=0))</f>
      </c>
    </row>
    <row r="117" spans="1:44" x14ac:dyDescent="0.25">
      <c r="A117" s="20">
        <f>IF($B117="Entry",COUNTIF($B$4:$B117,"Entry"),"")</f>
      </c>
      <c r="B117" s="21"/>
      <c r="C117" s="22"/>
      <c r="D117" s="22"/>
      <c r="E117" s="23">
        <f>IF($B117&lt;&gt;"Challan","",IF(ROUND(AN117-AO117,2)&gt;0,"Over-applied",IF(ROUND(AN117-AO117,2)=0,"Fully Utilised","Unconsumed")))</f>
      </c>
      <c r="F117" s="24"/>
      <c r="G117" s="25"/>
      <c r="H117" s="25"/>
      <c r="I117" s="26"/>
      <c r="J117" s="26"/>
      <c r="K117" s="26"/>
      <c r="L117" s="26"/>
      <c r="M117" s="26"/>
      <c r="N117" s="26"/>
      <c r="O117" s="26"/>
      <c r="P117" s="27">
        <f>IF($B117&lt;&gt;"Challan","",I117+J117+K117+L117+M117+N117)</f>
      </c>
      <c r="Q117" s="25"/>
      <c r="R117" s="25"/>
      <c r="S117" s="25"/>
      <c r="T117" s="25"/>
      <c r="U117" s="25"/>
      <c r="V117" s="28"/>
      <c r="W117" s="28"/>
      <c r="X117" s="23">
        <f>IF($B117="Entry",IF(AND(LEN(TRIM(UPPER(W117)))=10,CODE(MID(TRIM(UPPER(W117)),1,1))&gt;=65,CODE(MID(TRIM(UPPER(W117)),1,1))&lt;=90,CODE(MID(TRIM(UPPER(W117)),2,1))&gt;=65,CODE(MID(TRIM(UPPER(W117)),2,1))&lt;=90,CODE(MID(TRIM(UPPER(W117)),3,1))&gt;=65,CODE(MID(TRIM(UPPER(W117)),3,1))&lt;=90,CODE(MID(TRIM(UPPER(W117)),4,1))&gt;=65,CODE(MID(TRIM(UPPER(W117)),4,1))&lt;=90,CODE(MID(TRIM(UPPER(W117)),5,1))&gt;=65,CODE(MID(TRIM(UPPER(W117)),5,1))&lt;=90,CODE(MID(TRIM(UPPER(W117)),10,1))&gt;=65,CODE(MID(TRIM(UPPER(W117)),10,1))&lt;=90,CODE(MID(TRIM(UPPER(W117)),6,1))&gt;=48,CODE(MID(TRIM(UPPER(W117)),6,1))&lt;=57,CODE(MID(TRIM(UPPER(W117)),7,1))&gt;=48,CODE(MID(TRIM(UPPER(W117)),7,1))&lt;=57,CODE(MID(TRIM(UPPER(W117)),8,1))&gt;=48,CODE(MID(TRIM(UPPER(W117)),8,1))&lt;=57,CODE(MID(TRIM(UPPER(W117)),9,1))&gt;=48,CODE(MID(TRIM(UPPER(W117)),9,1))&lt;=57),"N","Y"),IF($B117="Challan","",IF(W117&lt;&gt;"","◄ Set Row Type","")))</f>
      </c>
      <c r="Y117" s="23">
        <f>IF($B117="Entry",IF(LEN(W117)&lt;4,"",IF(UPPER(MID(W117,4,1))="P","Individual",IF(UPPER(MID(W117,4,1))="H","HUF",IF(UPPER(MID(W117,4,1))="C","Company",IF(UPPER(MID(W117,4,1))="F","Firm",IF(UPPER(MID(W117,4,1))="L","LLP",IF(UPPER(MID(W117,4,1))="T","Trust",IF(UPPER(MID(W117,4,1))="A","AOP","")))))))),IF($B117="Challan","",IF(W117&lt;&gt;"","◄ Set Row Type","")))</f>
      </c>
      <c r="Z117" s="28"/>
      <c r="AA117" s="29">
        <f>IF($B117&lt;&gt;"Entry","",IF(Z117="","",IF(X117="Y",SUMPRODUCT(('Rate Lookup'!$A$1:$A$37=Z117)*'Rate Lookup'!$D$1:$D$37),IF(OR(Y117="Individual",Y117="HUF"),SUMPRODUCT(('Rate Lookup'!$A$1:$A$37=Z117)*'Rate Lookup'!$B$1:$B$37),SUMPRODUCT(('Rate Lookup'!$A$1:$A$37=Z117)*'Rate Lookup'!$C$1:$C$37)))))</f>
      </c>
      <c r="AB117" s="30"/>
      <c r="AC117" s="31"/>
      <c r="AD117" s="27">
        <f>IF($B117&lt;&gt;"Entry","",ROUND(AC117*AA117/100,0))</f>
      </c>
      <c r="AE117" s="27">
        <f>IF($B117&lt;&gt;"Entry","",0)</f>
      </c>
      <c r="AF117" s="27">
        <f>IF($B117&lt;&gt;"Entry","",0)</f>
      </c>
      <c r="AG117" s="27">
        <f>IF($B117&lt;&gt;"Entry","",IF(OR(AD117=0,AB117="",AQ117="",AQ117&lt;=0),0,IF(AQ117&lt;=DATE(YEAR(AB117),MONTH(AB117)+1,7),0,ROUND(AD117*0.015*((YEAR(AQ117)-YEAR(AB117))*12+(MONTH(AQ117)-MONTH(AB117))+1),0))))</f>
      </c>
      <c r="AH117" s="27">
        <f>IF($B117&lt;&gt;"Entry","",0)</f>
      </c>
      <c r="AI117" s="28"/>
      <c r="AJ117" s="28"/>
      <c r="AK117" s="32"/>
      <c r="AL117" s="28"/>
      <c r="AM117" s="28"/>
      <c r="AN117" s="27">
        <f>IF($B117&lt;&gt;"Challan","",SUMIF('Q1 Data'!$D$4:$D$207,D117,'Q1 Data'!$AD$4:$AD$207)+SUMIF('Q1 Data'!$D$4:$D$207,D117,'Q1 Data'!$AG$4:$AG$207)+SUMIF('Q1 Data'!$D$4:$D$207,D117,'Q1 Data'!$AE$4:$AE$207)+SUMIF('Q2 Data'!$D$4:$D$207,D117,'Q2 Data'!$AD$4:$AD$207)+SUMIF('Q2 Data'!$D$4:$D$207,D117,'Q2 Data'!$AG$4:$AG$207)+SUMIF('Q2 Data'!$D$4:$D$207,D117,'Q2 Data'!$AE$4:$AE$207)+SUMIF('Q3 Data'!$D$4:$D$207,D117,'Q3 Data'!$AD$4:$AD$207)+SUMIF('Q3 Data'!$D$4:$D$207,D117,'Q3 Data'!$AG$4:$AG$207)+SUMIF('Q3 Data'!$D$4:$D$207,D117,'Q3 Data'!$AE$4:$AE$207)+SUMIF('Q4 Data'!$D$4:$D$207,D117,'Q4 Data'!$AD$4:$AD$207)+SUMIF('Q4 Data'!$D$4:$D$207,D117,'Q4 Data'!$AG$4:$AG$207)+SUMIF('Q4 Data'!$D$4:$D$207,D117,'Q4 Data'!$AE$4:$AE$207))</f>
      </c>
      <c r="AO117" s="27">
        <f>IF($B117&lt;&gt;"Challan","",P117-N117)</f>
      </c>
      <c r="AP117" s="27">
        <f>IF($B117&lt;&gt;"Challan","",MAX(0,AO117-AN117))</f>
      </c>
      <c r="AQ117" s="33">
        <f>IF($B117&lt;&gt;"Entry","",SUMPRODUCT(('Q1 Data'!$D$4:$D$207=D117)*('Q1 Data'!$B$4:$B$207="Challan")*'Q1 Data'!$F$4:$F$207)+SUMPRODUCT(('Q2 Data'!$D$4:$D$207=D117)*('Q2 Data'!$B$4:$B$207="Challan")*'Q2 Data'!$F$4:$F$207)+SUMPRODUCT(('Q3 Data'!$D$4:$D$207=D117)*('Q3 Data'!$B$4:$B$207="Challan")*'Q3 Data'!$F$4:$F$207)+SUMPRODUCT(('Q4 Data'!$D$4:$D$207=D117)*('Q4 Data'!$B$4:$B$207="Challan")*'Q4 Data'!$F$4:$F$207))</f>
      </c>
      <c r="AR117" s="34">
        <f>IF(OR($B117&lt;&gt;"Entry",Z117=""),FALSE,AND((SUMPRODUCT(('Q1 Data'!$D$4:$D$207=D117)*('Q1 Data'!$B$4:$B$207="Challan")*('Q1 Data'!$H$4:$H$207&lt;&gt;""))+SUMPRODUCT(('Q2 Data'!$D$4:$D$207=D117)*('Q2 Data'!$B$4:$B$207="Challan")*('Q2 Data'!$H$4:$H$207&lt;&gt;""))+SUMPRODUCT(('Q3 Data'!$D$4:$D$207=D117)*('Q3 Data'!$B$4:$B$207="Challan")*('Q3 Data'!$H$4:$H$207&lt;&gt;""))+SUMPRODUCT(('Q4 Data'!$D$4:$D$207=D117)*('Q4 Data'!$B$4:$B$207="Challan")*('Q4 Data'!$H$4:$H$207&lt;&gt;"")))&gt;0,(SUMPRODUCT(('Q1 Data'!$D$4:$D$207=D117)*('Q1 Data'!$B$4:$B$207="Challan")*('Q1 Data'!$H$4:$H$207=Z117))+SUMPRODUCT(('Q2 Data'!$D$4:$D$207=D117)*('Q2 Data'!$B$4:$B$207="Challan")*('Q2 Data'!$H$4:$H$207=Z117))+SUMPRODUCT(('Q3 Data'!$D$4:$D$207=D117)*('Q3 Data'!$B$4:$B$207="Challan")*('Q3 Data'!$H$4:$H$207=Z117))+SUMPRODUCT(('Q4 Data'!$D$4:$D$207=D117)*('Q4 Data'!$B$4:$B$207="Challan")*('Q4 Data'!$H$4:$H$207=Z117)))=0))</f>
      </c>
    </row>
    <row r="118" spans="1:44" x14ac:dyDescent="0.25">
      <c r="A118" s="20">
        <f>IF($B118="Entry",COUNTIF($B$4:$B118,"Entry"),"")</f>
      </c>
      <c r="B118" s="21"/>
      <c r="C118" s="22"/>
      <c r="D118" s="22"/>
      <c r="E118" s="23">
        <f>IF($B118&lt;&gt;"Challan","",IF(ROUND(AN118-AO118,2)&gt;0,"Over-applied",IF(ROUND(AN118-AO118,2)=0,"Fully Utilised","Unconsumed")))</f>
      </c>
      <c r="F118" s="24"/>
      <c r="G118" s="25"/>
      <c r="H118" s="25"/>
      <c r="I118" s="26"/>
      <c r="J118" s="26"/>
      <c r="K118" s="26"/>
      <c r="L118" s="26"/>
      <c r="M118" s="26"/>
      <c r="N118" s="26"/>
      <c r="O118" s="26"/>
      <c r="P118" s="27">
        <f>IF($B118&lt;&gt;"Challan","",I118+J118+K118+L118+M118+N118)</f>
      </c>
      <c r="Q118" s="25"/>
      <c r="R118" s="25"/>
      <c r="S118" s="25"/>
      <c r="T118" s="25"/>
      <c r="U118" s="25"/>
      <c r="V118" s="28"/>
      <c r="W118" s="28"/>
      <c r="X118" s="23">
        <f>IF($B118="Entry",IF(AND(LEN(TRIM(UPPER(W118)))=10,CODE(MID(TRIM(UPPER(W118)),1,1))&gt;=65,CODE(MID(TRIM(UPPER(W118)),1,1))&lt;=90,CODE(MID(TRIM(UPPER(W118)),2,1))&gt;=65,CODE(MID(TRIM(UPPER(W118)),2,1))&lt;=90,CODE(MID(TRIM(UPPER(W118)),3,1))&gt;=65,CODE(MID(TRIM(UPPER(W118)),3,1))&lt;=90,CODE(MID(TRIM(UPPER(W118)),4,1))&gt;=65,CODE(MID(TRIM(UPPER(W118)),4,1))&lt;=90,CODE(MID(TRIM(UPPER(W118)),5,1))&gt;=65,CODE(MID(TRIM(UPPER(W118)),5,1))&lt;=90,CODE(MID(TRIM(UPPER(W118)),10,1))&gt;=65,CODE(MID(TRIM(UPPER(W118)),10,1))&lt;=90,CODE(MID(TRIM(UPPER(W118)),6,1))&gt;=48,CODE(MID(TRIM(UPPER(W118)),6,1))&lt;=57,CODE(MID(TRIM(UPPER(W118)),7,1))&gt;=48,CODE(MID(TRIM(UPPER(W118)),7,1))&lt;=57,CODE(MID(TRIM(UPPER(W118)),8,1))&gt;=48,CODE(MID(TRIM(UPPER(W118)),8,1))&lt;=57,CODE(MID(TRIM(UPPER(W118)),9,1))&gt;=48,CODE(MID(TRIM(UPPER(W118)),9,1))&lt;=57),"N","Y"),IF($B118="Challan","",IF(W118&lt;&gt;"","◄ Set Row Type","")))</f>
      </c>
      <c r="Y118" s="23">
        <f>IF($B118="Entry",IF(LEN(W118)&lt;4,"",IF(UPPER(MID(W118,4,1))="P","Individual",IF(UPPER(MID(W118,4,1))="H","HUF",IF(UPPER(MID(W118,4,1))="C","Company",IF(UPPER(MID(W118,4,1))="F","Firm",IF(UPPER(MID(W118,4,1))="L","LLP",IF(UPPER(MID(W118,4,1))="T","Trust",IF(UPPER(MID(W118,4,1))="A","AOP","")))))))),IF($B118="Challan","",IF(W118&lt;&gt;"","◄ Set Row Type","")))</f>
      </c>
      <c r="Z118" s="28"/>
      <c r="AA118" s="29">
        <f>IF($B118&lt;&gt;"Entry","",IF(Z118="","",IF(X118="Y",SUMPRODUCT(('Rate Lookup'!$A$1:$A$37=Z118)*'Rate Lookup'!$D$1:$D$37),IF(OR(Y118="Individual",Y118="HUF"),SUMPRODUCT(('Rate Lookup'!$A$1:$A$37=Z118)*'Rate Lookup'!$B$1:$B$37),SUMPRODUCT(('Rate Lookup'!$A$1:$A$37=Z118)*'Rate Lookup'!$C$1:$C$37)))))</f>
      </c>
      <c r="AB118" s="30"/>
      <c r="AC118" s="31"/>
      <c r="AD118" s="27">
        <f>IF($B118&lt;&gt;"Entry","",ROUND(AC118*AA118/100,0))</f>
      </c>
      <c r="AE118" s="27">
        <f>IF($B118&lt;&gt;"Entry","",0)</f>
      </c>
      <c r="AF118" s="27">
        <f>IF($B118&lt;&gt;"Entry","",0)</f>
      </c>
      <c r="AG118" s="27">
        <f>IF($B118&lt;&gt;"Entry","",IF(OR(AD118=0,AB118="",AQ118="",AQ118&lt;=0),0,IF(AQ118&lt;=DATE(YEAR(AB118),MONTH(AB118)+1,7),0,ROUND(AD118*0.015*((YEAR(AQ118)-YEAR(AB118))*12+(MONTH(AQ118)-MONTH(AB118))+1),0))))</f>
      </c>
      <c r="AH118" s="27">
        <f>IF($B118&lt;&gt;"Entry","",0)</f>
      </c>
      <c r="AI118" s="28"/>
      <c r="AJ118" s="28"/>
      <c r="AK118" s="32"/>
      <c r="AL118" s="28"/>
      <c r="AM118" s="28"/>
      <c r="AN118" s="27">
        <f>IF($B118&lt;&gt;"Challan","",SUMIF('Q1 Data'!$D$4:$D$207,D118,'Q1 Data'!$AD$4:$AD$207)+SUMIF('Q1 Data'!$D$4:$D$207,D118,'Q1 Data'!$AG$4:$AG$207)+SUMIF('Q1 Data'!$D$4:$D$207,D118,'Q1 Data'!$AE$4:$AE$207)+SUMIF('Q2 Data'!$D$4:$D$207,D118,'Q2 Data'!$AD$4:$AD$207)+SUMIF('Q2 Data'!$D$4:$D$207,D118,'Q2 Data'!$AG$4:$AG$207)+SUMIF('Q2 Data'!$D$4:$D$207,D118,'Q2 Data'!$AE$4:$AE$207)+SUMIF('Q3 Data'!$D$4:$D$207,D118,'Q3 Data'!$AD$4:$AD$207)+SUMIF('Q3 Data'!$D$4:$D$207,D118,'Q3 Data'!$AG$4:$AG$207)+SUMIF('Q3 Data'!$D$4:$D$207,D118,'Q3 Data'!$AE$4:$AE$207)+SUMIF('Q4 Data'!$D$4:$D$207,D118,'Q4 Data'!$AD$4:$AD$207)+SUMIF('Q4 Data'!$D$4:$D$207,D118,'Q4 Data'!$AG$4:$AG$207)+SUMIF('Q4 Data'!$D$4:$D$207,D118,'Q4 Data'!$AE$4:$AE$207))</f>
      </c>
      <c r="AO118" s="27">
        <f>IF($B118&lt;&gt;"Challan","",P118-N118)</f>
      </c>
      <c r="AP118" s="27">
        <f>IF($B118&lt;&gt;"Challan","",MAX(0,AO118-AN118))</f>
      </c>
      <c r="AQ118" s="33">
        <f>IF($B118&lt;&gt;"Entry","",SUMPRODUCT(('Q1 Data'!$D$4:$D$207=D118)*('Q1 Data'!$B$4:$B$207="Challan")*'Q1 Data'!$F$4:$F$207)+SUMPRODUCT(('Q2 Data'!$D$4:$D$207=D118)*('Q2 Data'!$B$4:$B$207="Challan")*'Q2 Data'!$F$4:$F$207)+SUMPRODUCT(('Q3 Data'!$D$4:$D$207=D118)*('Q3 Data'!$B$4:$B$207="Challan")*'Q3 Data'!$F$4:$F$207)+SUMPRODUCT(('Q4 Data'!$D$4:$D$207=D118)*('Q4 Data'!$B$4:$B$207="Challan")*'Q4 Data'!$F$4:$F$207))</f>
      </c>
      <c r="AR118" s="34">
        <f>IF(OR($B118&lt;&gt;"Entry",Z118=""),FALSE,AND((SUMPRODUCT(('Q1 Data'!$D$4:$D$207=D118)*('Q1 Data'!$B$4:$B$207="Challan")*('Q1 Data'!$H$4:$H$207&lt;&gt;""))+SUMPRODUCT(('Q2 Data'!$D$4:$D$207=D118)*('Q2 Data'!$B$4:$B$207="Challan")*('Q2 Data'!$H$4:$H$207&lt;&gt;""))+SUMPRODUCT(('Q3 Data'!$D$4:$D$207=D118)*('Q3 Data'!$B$4:$B$207="Challan")*('Q3 Data'!$H$4:$H$207&lt;&gt;""))+SUMPRODUCT(('Q4 Data'!$D$4:$D$207=D118)*('Q4 Data'!$B$4:$B$207="Challan")*('Q4 Data'!$H$4:$H$207&lt;&gt;"")))&gt;0,(SUMPRODUCT(('Q1 Data'!$D$4:$D$207=D118)*('Q1 Data'!$B$4:$B$207="Challan")*('Q1 Data'!$H$4:$H$207=Z118))+SUMPRODUCT(('Q2 Data'!$D$4:$D$207=D118)*('Q2 Data'!$B$4:$B$207="Challan")*('Q2 Data'!$H$4:$H$207=Z118))+SUMPRODUCT(('Q3 Data'!$D$4:$D$207=D118)*('Q3 Data'!$B$4:$B$207="Challan")*('Q3 Data'!$H$4:$H$207=Z118))+SUMPRODUCT(('Q4 Data'!$D$4:$D$207=D118)*('Q4 Data'!$B$4:$B$207="Challan")*('Q4 Data'!$H$4:$H$207=Z118)))=0))</f>
      </c>
    </row>
    <row r="119" spans="1:44" x14ac:dyDescent="0.25">
      <c r="A119" s="20">
        <f>IF($B119="Entry",COUNTIF($B$4:$B119,"Entry"),"")</f>
      </c>
      <c r="B119" s="21"/>
      <c r="C119" s="22"/>
      <c r="D119" s="22"/>
      <c r="E119" s="23">
        <f>IF($B119&lt;&gt;"Challan","",IF(ROUND(AN119-AO119,2)&gt;0,"Over-applied",IF(ROUND(AN119-AO119,2)=0,"Fully Utilised","Unconsumed")))</f>
      </c>
      <c r="F119" s="24"/>
      <c r="G119" s="25"/>
      <c r="H119" s="25"/>
      <c r="I119" s="26"/>
      <c r="J119" s="26"/>
      <c r="K119" s="26"/>
      <c r="L119" s="26"/>
      <c r="M119" s="26"/>
      <c r="N119" s="26"/>
      <c r="O119" s="26"/>
      <c r="P119" s="27">
        <f>IF($B119&lt;&gt;"Challan","",I119+J119+K119+L119+M119+N119)</f>
      </c>
      <c r="Q119" s="25"/>
      <c r="R119" s="25"/>
      <c r="S119" s="25"/>
      <c r="T119" s="25"/>
      <c r="U119" s="25"/>
      <c r="V119" s="28"/>
      <c r="W119" s="28"/>
      <c r="X119" s="23">
        <f>IF($B119="Entry",IF(AND(LEN(TRIM(UPPER(W119)))=10,CODE(MID(TRIM(UPPER(W119)),1,1))&gt;=65,CODE(MID(TRIM(UPPER(W119)),1,1))&lt;=90,CODE(MID(TRIM(UPPER(W119)),2,1))&gt;=65,CODE(MID(TRIM(UPPER(W119)),2,1))&lt;=90,CODE(MID(TRIM(UPPER(W119)),3,1))&gt;=65,CODE(MID(TRIM(UPPER(W119)),3,1))&lt;=90,CODE(MID(TRIM(UPPER(W119)),4,1))&gt;=65,CODE(MID(TRIM(UPPER(W119)),4,1))&lt;=90,CODE(MID(TRIM(UPPER(W119)),5,1))&gt;=65,CODE(MID(TRIM(UPPER(W119)),5,1))&lt;=90,CODE(MID(TRIM(UPPER(W119)),10,1))&gt;=65,CODE(MID(TRIM(UPPER(W119)),10,1))&lt;=90,CODE(MID(TRIM(UPPER(W119)),6,1))&gt;=48,CODE(MID(TRIM(UPPER(W119)),6,1))&lt;=57,CODE(MID(TRIM(UPPER(W119)),7,1))&gt;=48,CODE(MID(TRIM(UPPER(W119)),7,1))&lt;=57,CODE(MID(TRIM(UPPER(W119)),8,1))&gt;=48,CODE(MID(TRIM(UPPER(W119)),8,1))&lt;=57,CODE(MID(TRIM(UPPER(W119)),9,1))&gt;=48,CODE(MID(TRIM(UPPER(W119)),9,1))&lt;=57),"N","Y"),IF($B119="Challan","",IF(W119&lt;&gt;"","◄ Set Row Type","")))</f>
      </c>
      <c r="Y119" s="23">
        <f>IF($B119="Entry",IF(LEN(W119)&lt;4,"",IF(UPPER(MID(W119,4,1))="P","Individual",IF(UPPER(MID(W119,4,1))="H","HUF",IF(UPPER(MID(W119,4,1))="C","Company",IF(UPPER(MID(W119,4,1))="F","Firm",IF(UPPER(MID(W119,4,1))="L","LLP",IF(UPPER(MID(W119,4,1))="T","Trust",IF(UPPER(MID(W119,4,1))="A","AOP","")))))))),IF($B119="Challan","",IF(W119&lt;&gt;"","◄ Set Row Type","")))</f>
      </c>
      <c r="Z119" s="28"/>
      <c r="AA119" s="29">
        <f>IF($B119&lt;&gt;"Entry","",IF(Z119="","",IF(X119="Y",SUMPRODUCT(('Rate Lookup'!$A$1:$A$37=Z119)*'Rate Lookup'!$D$1:$D$37),IF(OR(Y119="Individual",Y119="HUF"),SUMPRODUCT(('Rate Lookup'!$A$1:$A$37=Z119)*'Rate Lookup'!$B$1:$B$37),SUMPRODUCT(('Rate Lookup'!$A$1:$A$37=Z119)*'Rate Lookup'!$C$1:$C$37)))))</f>
      </c>
      <c r="AB119" s="30"/>
      <c r="AC119" s="31"/>
      <c r="AD119" s="27">
        <f>IF($B119&lt;&gt;"Entry","",ROUND(AC119*AA119/100,0))</f>
      </c>
      <c r="AE119" s="27">
        <f>IF($B119&lt;&gt;"Entry","",0)</f>
      </c>
      <c r="AF119" s="27">
        <f>IF($B119&lt;&gt;"Entry","",0)</f>
      </c>
      <c r="AG119" s="27">
        <f>IF($B119&lt;&gt;"Entry","",IF(OR(AD119=0,AB119="",AQ119="",AQ119&lt;=0),0,IF(AQ119&lt;=DATE(YEAR(AB119),MONTH(AB119)+1,7),0,ROUND(AD119*0.015*((YEAR(AQ119)-YEAR(AB119))*12+(MONTH(AQ119)-MONTH(AB119))+1),0))))</f>
      </c>
      <c r="AH119" s="27">
        <f>IF($B119&lt;&gt;"Entry","",0)</f>
      </c>
      <c r="AI119" s="28"/>
      <c r="AJ119" s="28"/>
      <c r="AK119" s="32"/>
      <c r="AL119" s="28"/>
      <c r="AM119" s="28"/>
      <c r="AN119" s="27">
        <f>IF($B119&lt;&gt;"Challan","",SUMIF('Q1 Data'!$D$4:$D$207,D119,'Q1 Data'!$AD$4:$AD$207)+SUMIF('Q1 Data'!$D$4:$D$207,D119,'Q1 Data'!$AG$4:$AG$207)+SUMIF('Q1 Data'!$D$4:$D$207,D119,'Q1 Data'!$AE$4:$AE$207)+SUMIF('Q2 Data'!$D$4:$D$207,D119,'Q2 Data'!$AD$4:$AD$207)+SUMIF('Q2 Data'!$D$4:$D$207,D119,'Q2 Data'!$AG$4:$AG$207)+SUMIF('Q2 Data'!$D$4:$D$207,D119,'Q2 Data'!$AE$4:$AE$207)+SUMIF('Q3 Data'!$D$4:$D$207,D119,'Q3 Data'!$AD$4:$AD$207)+SUMIF('Q3 Data'!$D$4:$D$207,D119,'Q3 Data'!$AG$4:$AG$207)+SUMIF('Q3 Data'!$D$4:$D$207,D119,'Q3 Data'!$AE$4:$AE$207)+SUMIF('Q4 Data'!$D$4:$D$207,D119,'Q4 Data'!$AD$4:$AD$207)+SUMIF('Q4 Data'!$D$4:$D$207,D119,'Q4 Data'!$AG$4:$AG$207)+SUMIF('Q4 Data'!$D$4:$D$207,D119,'Q4 Data'!$AE$4:$AE$207))</f>
      </c>
      <c r="AO119" s="27">
        <f>IF($B119&lt;&gt;"Challan","",P119-N119)</f>
      </c>
      <c r="AP119" s="27">
        <f>IF($B119&lt;&gt;"Challan","",MAX(0,AO119-AN119))</f>
      </c>
      <c r="AQ119" s="33">
        <f>IF($B119&lt;&gt;"Entry","",SUMPRODUCT(('Q1 Data'!$D$4:$D$207=D119)*('Q1 Data'!$B$4:$B$207="Challan")*'Q1 Data'!$F$4:$F$207)+SUMPRODUCT(('Q2 Data'!$D$4:$D$207=D119)*('Q2 Data'!$B$4:$B$207="Challan")*'Q2 Data'!$F$4:$F$207)+SUMPRODUCT(('Q3 Data'!$D$4:$D$207=D119)*('Q3 Data'!$B$4:$B$207="Challan")*'Q3 Data'!$F$4:$F$207)+SUMPRODUCT(('Q4 Data'!$D$4:$D$207=D119)*('Q4 Data'!$B$4:$B$207="Challan")*'Q4 Data'!$F$4:$F$207))</f>
      </c>
      <c r="AR119" s="34">
        <f>IF(OR($B119&lt;&gt;"Entry",Z119=""),FALSE,AND((SUMPRODUCT(('Q1 Data'!$D$4:$D$207=D119)*('Q1 Data'!$B$4:$B$207="Challan")*('Q1 Data'!$H$4:$H$207&lt;&gt;""))+SUMPRODUCT(('Q2 Data'!$D$4:$D$207=D119)*('Q2 Data'!$B$4:$B$207="Challan")*('Q2 Data'!$H$4:$H$207&lt;&gt;""))+SUMPRODUCT(('Q3 Data'!$D$4:$D$207=D119)*('Q3 Data'!$B$4:$B$207="Challan")*('Q3 Data'!$H$4:$H$207&lt;&gt;""))+SUMPRODUCT(('Q4 Data'!$D$4:$D$207=D119)*('Q4 Data'!$B$4:$B$207="Challan")*('Q4 Data'!$H$4:$H$207&lt;&gt;"")))&gt;0,(SUMPRODUCT(('Q1 Data'!$D$4:$D$207=D119)*('Q1 Data'!$B$4:$B$207="Challan")*('Q1 Data'!$H$4:$H$207=Z119))+SUMPRODUCT(('Q2 Data'!$D$4:$D$207=D119)*('Q2 Data'!$B$4:$B$207="Challan")*('Q2 Data'!$H$4:$H$207=Z119))+SUMPRODUCT(('Q3 Data'!$D$4:$D$207=D119)*('Q3 Data'!$B$4:$B$207="Challan")*('Q3 Data'!$H$4:$H$207=Z119))+SUMPRODUCT(('Q4 Data'!$D$4:$D$207=D119)*('Q4 Data'!$B$4:$B$207="Challan")*('Q4 Data'!$H$4:$H$207=Z119)))=0))</f>
      </c>
    </row>
    <row r="120" spans="1:44" x14ac:dyDescent="0.25">
      <c r="A120" s="20">
        <f>IF($B120="Entry",COUNTIF($B$4:$B120,"Entry"),"")</f>
      </c>
      <c r="B120" s="21"/>
      <c r="C120" s="22"/>
      <c r="D120" s="22"/>
      <c r="E120" s="23">
        <f>IF($B120&lt;&gt;"Challan","",IF(ROUND(AN120-AO120,2)&gt;0,"Over-applied",IF(ROUND(AN120-AO120,2)=0,"Fully Utilised","Unconsumed")))</f>
      </c>
      <c r="F120" s="24"/>
      <c r="G120" s="25"/>
      <c r="H120" s="25"/>
      <c r="I120" s="26"/>
      <c r="J120" s="26"/>
      <c r="K120" s="26"/>
      <c r="L120" s="26"/>
      <c r="M120" s="26"/>
      <c r="N120" s="26"/>
      <c r="O120" s="26"/>
      <c r="P120" s="27">
        <f>IF($B120&lt;&gt;"Challan","",I120+J120+K120+L120+M120+N120)</f>
      </c>
      <c r="Q120" s="25"/>
      <c r="R120" s="25"/>
      <c r="S120" s="25"/>
      <c r="T120" s="25"/>
      <c r="U120" s="25"/>
      <c r="V120" s="28"/>
      <c r="W120" s="28"/>
      <c r="X120" s="23">
        <f>IF($B120="Entry",IF(AND(LEN(TRIM(UPPER(W120)))=10,CODE(MID(TRIM(UPPER(W120)),1,1))&gt;=65,CODE(MID(TRIM(UPPER(W120)),1,1))&lt;=90,CODE(MID(TRIM(UPPER(W120)),2,1))&gt;=65,CODE(MID(TRIM(UPPER(W120)),2,1))&lt;=90,CODE(MID(TRIM(UPPER(W120)),3,1))&gt;=65,CODE(MID(TRIM(UPPER(W120)),3,1))&lt;=90,CODE(MID(TRIM(UPPER(W120)),4,1))&gt;=65,CODE(MID(TRIM(UPPER(W120)),4,1))&lt;=90,CODE(MID(TRIM(UPPER(W120)),5,1))&gt;=65,CODE(MID(TRIM(UPPER(W120)),5,1))&lt;=90,CODE(MID(TRIM(UPPER(W120)),10,1))&gt;=65,CODE(MID(TRIM(UPPER(W120)),10,1))&lt;=90,CODE(MID(TRIM(UPPER(W120)),6,1))&gt;=48,CODE(MID(TRIM(UPPER(W120)),6,1))&lt;=57,CODE(MID(TRIM(UPPER(W120)),7,1))&gt;=48,CODE(MID(TRIM(UPPER(W120)),7,1))&lt;=57,CODE(MID(TRIM(UPPER(W120)),8,1))&gt;=48,CODE(MID(TRIM(UPPER(W120)),8,1))&lt;=57,CODE(MID(TRIM(UPPER(W120)),9,1))&gt;=48,CODE(MID(TRIM(UPPER(W120)),9,1))&lt;=57),"N","Y"),IF($B120="Challan","",IF(W120&lt;&gt;"","◄ Set Row Type","")))</f>
      </c>
      <c r="Y120" s="23">
        <f>IF($B120="Entry",IF(LEN(W120)&lt;4,"",IF(UPPER(MID(W120,4,1))="P","Individual",IF(UPPER(MID(W120,4,1))="H","HUF",IF(UPPER(MID(W120,4,1))="C","Company",IF(UPPER(MID(W120,4,1))="F","Firm",IF(UPPER(MID(W120,4,1))="L","LLP",IF(UPPER(MID(W120,4,1))="T","Trust",IF(UPPER(MID(W120,4,1))="A","AOP","")))))))),IF($B120="Challan","",IF(W120&lt;&gt;"","◄ Set Row Type","")))</f>
      </c>
      <c r="Z120" s="28"/>
      <c r="AA120" s="29">
        <f>IF($B120&lt;&gt;"Entry","",IF(Z120="","",IF(X120="Y",SUMPRODUCT(('Rate Lookup'!$A$1:$A$37=Z120)*'Rate Lookup'!$D$1:$D$37),IF(OR(Y120="Individual",Y120="HUF"),SUMPRODUCT(('Rate Lookup'!$A$1:$A$37=Z120)*'Rate Lookup'!$B$1:$B$37),SUMPRODUCT(('Rate Lookup'!$A$1:$A$37=Z120)*'Rate Lookup'!$C$1:$C$37)))))</f>
      </c>
      <c r="AB120" s="30"/>
      <c r="AC120" s="31"/>
      <c r="AD120" s="27">
        <f>IF($B120&lt;&gt;"Entry","",ROUND(AC120*AA120/100,0))</f>
      </c>
      <c r="AE120" s="27">
        <f>IF($B120&lt;&gt;"Entry","",0)</f>
      </c>
      <c r="AF120" s="27">
        <f>IF($B120&lt;&gt;"Entry","",0)</f>
      </c>
      <c r="AG120" s="27">
        <f>IF($B120&lt;&gt;"Entry","",IF(OR(AD120=0,AB120="",AQ120="",AQ120&lt;=0),0,IF(AQ120&lt;=DATE(YEAR(AB120),MONTH(AB120)+1,7),0,ROUND(AD120*0.015*((YEAR(AQ120)-YEAR(AB120))*12+(MONTH(AQ120)-MONTH(AB120))+1),0))))</f>
      </c>
      <c r="AH120" s="27">
        <f>IF($B120&lt;&gt;"Entry","",0)</f>
      </c>
      <c r="AI120" s="28"/>
      <c r="AJ120" s="28"/>
      <c r="AK120" s="32"/>
      <c r="AL120" s="28"/>
      <c r="AM120" s="28"/>
      <c r="AN120" s="27">
        <f>IF($B120&lt;&gt;"Challan","",SUMIF('Q1 Data'!$D$4:$D$207,D120,'Q1 Data'!$AD$4:$AD$207)+SUMIF('Q1 Data'!$D$4:$D$207,D120,'Q1 Data'!$AG$4:$AG$207)+SUMIF('Q1 Data'!$D$4:$D$207,D120,'Q1 Data'!$AE$4:$AE$207)+SUMIF('Q2 Data'!$D$4:$D$207,D120,'Q2 Data'!$AD$4:$AD$207)+SUMIF('Q2 Data'!$D$4:$D$207,D120,'Q2 Data'!$AG$4:$AG$207)+SUMIF('Q2 Data'!$D$4:$D$207,D120,'Q2 Data'!$AE$4:$AE$207)+SUMIF('Q3 Data'!$D$4:$D$207,D120,'Q3 Data'!$AD$4:$AD$207)+SUMIF('Q3 Data'!$D$4:$D$207,D120,'Q3 Data'!$AG$4:$AG$207)+SUMIF('Q3 Data'!$D$4:$D$207,D120,'Q3 Data'!$AE$4:$AE$207)+SUMIF('Q4 Data'!$D$4:$D$207,D120,'Q4 Data'!$AD$4:$AD$207)+SUMIF('Q4 Data'!$D$4:$D$207,D120,'Q4 Data'!$AG$4:$AG$207)+SUMIF('Q4 Data'!$D$4:$D$207,D120,'Q4 Data'!$AE$4:$AE$207))</f>
      </c>
      <c r="AO120" s="27">
        <f>IF($B120&lt;&gt;"Challan","",P120-N120)</f>
      </c>
      <c r="AP120" s="27">
        <f>IF($B120&lt;&gt;"Challan","",MAX(0,AO120-AN120))</f>
      </c>
      <c r="AQ120" s="33">
        <f>IF($B120&lt;&gt;"Entry","",SUMPRODUCT(('Q1 Data'!$D$4:$D$207=D120)*('Q1 Data'!$B$4:$B$207="Challan")*'Q1 Data'!$F$4:$F$207)+SUMPRODUCT(('Q2 Data'!$D$4:$D$207=D120)*('Q2 Data'!$B$4:$B$207="Challan")*'Q2 Data'!$F$4:$F$207)+SUMPRODUCT(('Q3 Data'!$D$4:$D$207=D120)*('Q3 Data'!$B$4:$B$207="Challan")*'Q3 Data'!$F$4:$F$207)+SUMPRODUCT(('Q4 Data'!$D$4:$D$207=D120)*('Q4 Data'!$B$4:$B$207="Challan")*'Q4 Data'!$F$4:$F$207))</f>
      </c>
      <c r="AR120" s="34">
        <f>IF(OR($B120&lt;&gt;"Entry",Z120=""),FALSE,AND((SUMPRODUCT(('Q1 Data'!$D$4:$D$207=D120)*('Q1 Data'!$B$4:$B$207="Challan")*('Q1 Data'!$H$4:$H$207&lt;&gt;""))+SUMPRODUCT(('Q2 Data'!$D$4:$D$207=D120)*('Q2 Data'!$B$4:$B$207="Challan")*('Q2 Data'!$H$4:$H$207&lt;&gt;""))+SUMPRODUCT(('Q3 Data'!$D$4:$D$207=D120)*('Q3 Data'!$B$4:$B$207="Challan")*('Q3 Data'!$H$4:$H$207&lt;&gt;""))+SUMPRODUCT(('Q4 Data'!$D$4:$D$207=D120)*('Q4 Data'!$B$4:$B$207="Challan")*('Q4 Data'!$H$4:$H$207&lt;&gt;"")))&gt;0,(SUMPRODUCT(('Q1 Data'!$D$4:$D$207=D120)*('Q1 Data'!$B$4:$B$207="Challan")*('Q1 Data'!$H$4:$H$207=Z120))+SUMPRODUCT(('Q2 Data'!$D$4:$D$207=D120)*('Q2 Data'!$B$4:$B$207="Challan")*('Q2 Data'!$H$4:$H$207=Z120))+SUMPRODUCT(('Q3 Data'!$D$4:$D$207=D120)*('Q3 Data'!$B$4:$B$207="Challan")*('Q3 Data'!$H$4:$H$207=Z120))+SUMPRODUCT(('Q4 Data'!$D$4:$D$207=D120)*('Q4 Data'!$B$4:$B$207="Challan")*('Q4 Data'!$H$4:$H$207=Z120)))=0))</f>
      </c>
    </row>
    <row r="121" spans="1:44" x14ac:dyDescent="0.25">
      <c r="A121" s="20">
        <f>IF($B121="Entry",COUNTIF($B$4:$B121,"Entry"),"")</f>
      </c>
      <c r="B121" s="21"/>
      <c r="C121" s="22"/>
      <c r="D121" s="22"/>
      <c r="E121" s="23">
        <f>IF($B121&lt;&gt;"Challan","",IF(ROUND(AN121-AO121,2)&gt;0,"Over-applied",IF(ROUND(AN121-AO121,2)=0,"Fully Utilised","Unconsumed")))</f>
      </c>
      <c r="F121" s="24"/>
      <c r="G121" s="25"/>
      <c r="H121" s="25"/>
      <c r="I121" s="26"/>
      <c r="J121" s="26"/>
      <c r="K121" s="26"/>
      <c r="L121" s="26"/>
      <c r="M121" s="26"/>
      <c r="N121" s="26"/>
      <c r="O121" s="26"/>
      <c r="P121" s="27">
        <f>IF($B121&lt;&gt;"Challan","",I121+J121+K121+L121+M121+N121)</f>
      </c>
      <c r="Q121" s="25"/>
      <c r="R121" s="25"/>
      <c r="S121" s="25"/>
      <c r="T121" s="25"/>
      <c r="U121" s="25"/>
      <c r="V121" s="28"/>
      <c r="W121" s="28"/>
      <c r="X121" s="23">
        <f>IF($B121="Entry",IF(AND(LEN(TRIM(UPPER(W121)))=10,CODE(MID(TRIM(UPPER(W121)),1,1))&gt;=65,CODE(MID(TRIM(UPPER(W121)),1,1))&lt;=90,CODE(MID(TRIM(UPPER(W121)),2,1))&gt;=65,CODE(MID(TRIM(UPPER(W121)),2,1))&lt;=90,CODE(MID(TRIM(UPPER(W121)),3,1))&gt;=65,CODE(MID(TRIM(UPPER(W121)),3,1))&lt;=90,CODE(MID(TRIM(UPPER(W121)),4,1))&gt;=65,CODE(MID(TRIM(UPPER(W121)),4,1))&lt;=90,CODE(MID(TRIM(UPPER(W121)),5,1))&gt;=65,CODE(MID(TRIM(UPPER(W121)),5,1))&lt;=90,CODE(MID(TRIM(UPPER(W121)),10,1))&gt;=65,CODE(MID(TRIM(UPPER(W121)),10,1))&lt;=90,CODE(MID(TRIM(UPPER(W121)),6,1))&gt;=48,CODE(MID(TRIM(UPPER(W121)),6,1))&lt;=57,CODE(MID(TRIM(UPPER(W121)),7,1))&gt;=48,CODE(MID(TRIM(UPPER(W121)),7,1))&lt;=57,CODE(MID(TRIM(UPPER(W121)),8,1))&gt;=48,CODE(MID(TRIM(UPPER(W121)),8,1))&lt;=57,CODE(MID(TRIM(UPPER(W121)),9,1))&gt;=48,CODE(MID(TRIM(UPPER(W121)),9,1))&lt;=57),"N","Y"),IF($B121="Challan","",IF(W121&lt;&gt;"","◄ Set Row Type","")))</f>
      </c>
      <c r="Y121" s="23">
        <f>IF($B121="Entry",IF(LEN(W121)&lt;4,"",IF(UPPER(MID(W121,4,1))="P","Individual",IF(UPPER(MID(W121,4,1))="H","HUF",IF(UPPER(MID(W121,4,1))="C","Company",IF(UPPER(MID(W121,4,1))="F","Firm",IF(UPPER(MID(W121,4,1))="L","LLP",IF(UPPER(MID(W121,4,1))="T","Trust",IF(UPPER(MID(W121,4,1))="A","AOP","")))))))),IF($B121="Challan","",IF(W121&lt;&gt;"","◄ Set Row Type","")))</f>
      </c>
      <c r="Z121" s="28"/>
      <c r="AA121" s="29">
        <f>IF($B121&lt;&gt;"Entry","",IF(Z121="","",IF(X121="Y",SUMPRODUCT(('Rate Lookup'!$A$1:$A$37=Z121)*'Rate Lookup'!$D$1:$D$37),IF(OR(Y121="Individual",Y121="HUF"),SUMPRODUCT(('Rate Lookup'!$A$1:$A$37=Z121)*'Rate Lookup'!$B$1:$B$37),SUMPRODUCT(('Rate Lookup'!$A$1:$A$37=Z121)*'Rate Lookup'!$C$1:$C$37)))))</f>
      </c>
      <c r="AB121" s="30"/>
      <c r="AC121" s="31"/>
      <c r="AD121" s="27">
        <f>IF($B121&lt;&gt;"Entry","",ROUND(AC121*AA121/100,0))</f>
      </c>
      <c r="AE121" s="27">
        <f>IF($B121&lt;&gt;"Entry","",0)</f>
      </c>
      <c r="AF121" s="27">
        <f>IF($B121&lt;&gt;"Entry","",0)</f>
      </c>
      <c r="AG121" s="27">
        <f>IF($B121&lt;&gt;"Entry","",IF(OR(AD121=0,AB121="",AQ121="",AQ121&lt;=0),0,IF(AQ121&lt;=DATE(YEAR(AB121),MONTH(AB121)+1,7),0,ROUND(AD121*0.015*((YEAR(AQ121)-YEAR(AB121))*12+(MONTH(AQ121)-MONTH(AB121))+1),0))))</f>
      </c>
      <c r="AH121" s="27">
        <f>IF($B121&lt;&gt;"Entry","",0)</f>
      </c>
      <c r="AI121" s="28"/>
      <c r="AJ121" s="28"/>
      <c r="AK121" s="32"/>
      <c r="AL121" s="28"/>
      <c r="AM121" s="28"/>
      <c r="AN121" s="27">
        <f>IF($B121&lt;&gt;"Challan","",SUMIF('Q1 Data'!$D$4:$D$207,D121,'Q1 Data'!$AD$4:$AD$207)+SUMIF('Q1 Data'!$D$4:$D$207,D121,'Q1 Data'!$AG$4:$AG$207)+SUMIF('Q1 Data'!$D$4:$D$207,D121,'Q1 Data'!$AE$4:$AE$207)+SUMIF('Q2 Data'!$D$4:$D$207,D121,'Q2 Data'!$AD$4:$AD$207)+SUMIF('Q2 Data'!$D$4:$D$207,D121,'Q2 Data'!$AG$4:$AG$207)+SUMIF('Q2 Data'!$D$4:$D$207,D121,'Q2 Data'!$AE$4:$AE$207)+SUMIF('Q3 Data'!$D$4:$D$207,D121,'Q3 Data'!$AD$4:$AD$207)+SUMIF('Q3 Data'!$D$4:$D$207,D121,'Q3 Data'!$AG$4:$AG$207)+SUMIF('Q3 Data'!$D$4:$D$207,D121,'Q3 Data'!$AE$4:$AE$207)+SUMIF('Q4 Data'!$D$4:$D$207,D121,'Q4 Data'!$AD$4:$AD$207)+SUMIF('Q4 Data'!$D$4:$D$207,D121,'Q4 Data'!$AG$4:$AG$207)+SUMIF('Q4 Data'!$D$4:$D$207,D121,'Q4 Data'!$AE$4:$AE$207))</f>
      </c>
      <c r="AO121" s="27">
        <f>IF($B121&lt;&gt;"Challan","",P121-N121)</f>
      </c>
      <c r="AP121" s="27">
        <f>IF($B121&lt;&gt;"Challan","",MAX(0,AO121-AN121))</f>
      </c>
      <c r="AQ121" s="33">
        <f>IF($B121&lt;&gt;"Entry","",SUMPRODUCT(('Q1 Data'!$D$4:$D$207=D121)*('Q1 Data'!$B$4:$B$207="Challan")*'Q1 Data'!$F$4:$F$207)+SUMPRODUCT(('Q2 Data'!$D$4:$D$207=D121)*('Q2 Data'!$B$4:$B$207="Challan")*'Q2 Data'!$F$4:$F$207)+SUMPRODUCT(('Q3 Data'!$D$4:$D$207=D121)*('Q3 Data'!$B$4:$B$207="Challan")*'Q3 Data'!$F$4:$F$207)+SUMPRODUCT(('Q4 Data'!$D$4:$D$207=D121)*('Q4 Data'!$B$4:$B$207="Challan")*'Q4 Data'!$F$4:$F$207))</f>
      </c>
      <c r="AR121" s="34">
        <f>IF(OR($B121&lt;&gt;"Entry",Z121=""),FALSE,AND((SUMPRODUCT(('Q1 Data'!$D$4:$D$207=D121)*('Q1 Data'!$B$4:$B$207="Challan")*('Q1 Data'!$H$4:$H$207&lt;&gt;""))+SUMPRODUCT(('Q2 Data'!$D$4:$D$207=D121)*('Q2 Data'!$B$4:$B$207="Challan")*('Q2 Data'!$H$4:$H$207&lt;&gt;""))+SUMPRODUCT(('Q3 Data'!$D$4:$D$207=D121)*('Q3 Data'!$B$4:$B$207="Challan")*('Q3 Data'!$H$4:$H$207&lt;&gt;""))+SUMPRODUCT(('Q4 Data'!$D$4:$D$207=D121)*('Q4 Data'!$B$4:$B$207="Challan")*('Q4 Data'!$H$4:$H$207&lt;&gt;"")))&gt;0,(SUMPRODUCT(('Q1 Data'!$D$4:$D$207=D121)*('Q1 Data'!$B$4:$B$207="Challan")*('Q1 Data'!$H$4:$H$207=Z121))+SUMPRODUCT(('Q2 Data'!$D$4:$D$207=D121)*('Q2 Data'!$B$4:$B$207="Challan")*('Q2 Data'!$H$4:$H$207=Z121))+SUMPRODUCT(('Q3 Data'!$D$4:$D$207=D121)*('Q3 Data'!$B$4:$B$207="Challan")*('Q3 Data'!$H$4:$H$207=Z121))+SUMPRODUCT(('Q4 Data'!$D$4:$D$207=D121)*('Q4 Data'!$B$4:$B$207="Challan")*('Q4 Data'!$H$4:$H$207=Z121)))=0))</f>
      </c>
    </row>
    <row r="122" spans="1:44" x14ac:dyDescent="0.25">
      <c r="A122" s="20">
        <f>IF($B122="Entry",COUNTIF($B$4:$B122,"Entry"),"")</f>
      </c>
      <c r="B122" s="21"/>
      <c r="C122" s="22"/>
      <c r="D122" s="22"/>
      <c r="E122" s="23">
        <f>IF($B122&lt;&gt;"Challan","",IF(ROUND(AN122-AO122,2)&gt;0,"Over-applied",IF(ROUND(AN122-AO122,2)=0,"Fully Utilised","Unconsumed")))</f>
      </c>
      <c r="F122" s="24"/>
      <c r="G122" s="25"/>
      <c r="H122" s="25"/>
      <c r="I122" s="26"/>
      <c r="J122" s="26"/>
      <c r="K122" s="26"/>
      <c r="L122" s="26"/>
      <c r="M122" s="26"/>
      <c r="N122" s="26"/>
      <c r="O122" s="26"/>
      <c r="P122" s="27">
        <f>IF($B122&lt;&gt;"Challan","",I122+J122+K122+L122+M122+N122)</f>
      </c>
      <c r="Q122" s="25"/>
      <c r="R122" s="25"/>
      <c r="S122" s="25"/>
      <c r="T122" s="25"/>
      <c r="U122" s="25"/>
      <c r="V122" s="28"/>
      <c r="W122" s="28"/>
      <c r="X122" s="23">
        <f>IF($B122="Entry",IF(AND(LEN(TRIM(UPPER(W122)))=10,CODE(MID(TRIM(UPPER(W122)),1,1))&gt;=65,CODE(MID(TRIM(UPPER(W122)),1,1))&lt;=90,CODE(MID(TRIM(UPPER(W122)),2,1))&gt;=65,CODE(MID(TRIM(UPPER(W122)),2,1))&lt;=90,CODE(MID(TRIM(UPPER(W122)),3,1))&gt;=65,CODE(MID(TRIM(UPPER(W122)),3,1))&lt;=90,CODE(MID(TRIM(UPPER(W122)),4,1))&gt;=65,CODE(MID(TRIM(UPPER(W122)),4,1))&lt;=90,CODE(MID(TRIM(UPPER(W122)),5,1))&gt;=65,CODE(MID(TRIM(UPPER(W122)),5,1))&lt;=90,CODE(MID(TRIM(UPPER(W122)),10,1))&gt;=65,CODE(MID(TRIM(UPPER(W122)),10,1))&lt;=90,CODE(MID(TRIM(UPPER(W122)),6,1))&gt;=48,CODE(MID(TRIM(UPPER(W122)),6,1))&lt;=57,CODE(MID(TRIM(UPPER(W122)),7,1))&gt;=48,CODE(MID(TRIM(UPPER(W122)),7,1))&lt;=57,CODE(MID(TRIM(UPPER(W122)),8,1))&gt;=48,CODE(MID(TRIM(UPPER(W122)),8,1))&lt;=57,CODE(MID(TRIM(UPPER(W122)),9,1))&gt;=48,CODE(MID(TRIM(UPPER(W122)),9,1))&lt;=57),"N","Y"),IF($B122="Challan","",IF(W122&lt;&gt;"","◄ Set Row Type","")))</f>
      </c>
      <c r="Y122" s="23">
        <f>IF($B122="Entry",IF(LEN(W122)&lt;4,"",IF(UPPER(MID(W122,4,1))="P","Individual",IF(UPPER(MID(W122,4,1))="H","HUF",IF(UPPER(MID(W122,4,1))="C","Company",IF(UPPER(MID(W122,4,1))="F","Firm",IF(UPPER(MID(W122,4,1))="L","LLP",IF(UPPER(MID(W122,4,1))="T","Trust",IF(UPPER(MID(W122,4,1))="A","AOP","")))))))),IF($B122="Challan","",IF(W122&lt;&gt;"","◄ Set Row Type","")))</f>
      </c>
      <c r="Z122" s="28"/>
      <c r="AA122" s="29">
        <f>IF($B122&lt;&gt;"Entry","",IF(Z122="","",IF(X122="Y",SUMPRODUCT(('Rate Lookup'!$A$1:$A$37=Z122)*'Rate Lookup'!$D$1:$D$37),IF(OR(Y122="Individual",Y122="HUF"),SUMPRODUCT(('Rate Lookup'!$A$1:$A$37=Z122)*'Rate Lookup'!$B$1:$B$37),SUMPRODUCT(('Rate Lookup'!$A$1:$A$37=Z122)*'Rate Lookup'!$C$1:$C$37)))))</f>
      </c>
      <c r="AB122" s="30"/>
      <c r="AC122" s="31"/>
      <c r="AD122" s="27">
        <f>IF($B122&lt;&gt;"Entry","",ROUND(AC122*AA122/100,0))</f>
      </c>
      <c r="AE122" s="27">
        <f>IF($B122&lt;&gt;"Entry","",0)</f>
      </c>
      <c r="AF122" s="27">
        <f>IF($B122&lt;&gt;"Entry","",0)</f>
      </c>
      <c r="AG122" s="27">
        <f>IF($B122&lt;&gt;"Entry","",IF(OR(AD122=0,AB122="",AQ122="",AQ122&lt;=0),0,IF(AQ122&lt;=DATE(YEAR(AB122),MONTH(AB122)+1,7),0,ROUND(AD122*0.015*((YEAR(AQ122)-YEAR(AB122))*12+(MONTH(AQ122)-MONTH(AB122))+1),0))))</f>
      </c>
      <c r="AH122" s="27">
        <f>IF($B122&lt;&gt;"Entry","",0)</f>
      </c>
      <c r="AI122" s="28"/>
      <c r="AJ122" s="28"/>
      <c r="AK122" s="32"/>
      <c r="AL122" s="28"/>
      <c r="AM122" s="28"/>
      <c r="AN122" s="27">
        <f>IF($B122&lt;&gt;"Challan","",SUMIF('Q1 Data'!$D$4:$D$207,D122,'Q1 Data'!$AD$4:$AD$207)+SUMIF('Q1 Data'!$D$4:$D$207,D122,'Q1 Data'!$AG$4:$AG$207)+SUMIF('Q1 Data'!$D$4:$D$207,D122,'Q1 Data'!$AE$4:$AE$207)+SUMIF('Q2 Data'!$D$4:$D$207,D122,'Q2 Data'!$AD$4:$AD$207)+SUMIF('Q2 Data'!$D$4:$D$207,D122,'Q2 Data'!$AG$4:$AG$207)+SUMIF('Q2 Data'!$D$4:$D$207,D122,'Q2 Data'!$AE$4:$AE$207)+SUMIF('Q3 Data'!$D$4:$D$207,D122,'Q3 Data'!$AD$4:$AD$207)+SUMIF('Q3 Data'!$D$4:$D$207,D122,'Q3 Data'!$AG$4:$AG$207)+SUMIF('Q3 Data'!$D$4:$D$207,D122,'Q3 Data'!$AE$4:$AE$207)+SUMIF('Q4 Data'!$D$4:$D$207,D122,'Q4 Data'!$AD$4:$AD$207)+SUMIF('Q4 Data'!$D$4:$D$207,D122,'Q4 Data'!$AG$4:$AG$207)+SUMIF('Q4 Data'!$D$4:$D$207,D122,'Q4 Data'!$AE$4:$AE$207))</f>
      </c>
      <c r="AO122" s="27">
        <f>IF($B122&lt;&gt;"Challan","",P122-N122)</f>
      </c>
      <c r="AP122" s="27">
        <f>IF($B122&lt;&gt;"Challan","",MAX(0,AO122-AN122))</f>
      </c>
      <c r="AQ122" s="33">
        <f>IF($B122&lt;&gt;"Entry","",SUMPRODUCT(('Q1 Data'!$D$4:$D$207=D122)*('Q1 Data'!$B$4:$B$207="Challan")*'Q1 Data'!$F$4:$F$207)+SUMPRODUCT(('Q2 Data'!$D$4:$D$207=D122)*('Q2 Data'!$B$4:$B$207="Challan")*'Q2 Data'!$F$4:$F$207)+SUMPRODUCT(('Q3 Data'!$D$4:$D$207=D122)*('Q3 Data'!$B$4:$B$207="Challan")*'Q3 Data'!$F$4:$F$207)+SUMPRODUCT(('Q4 Data'!$D$4:$D$207=D122)*('Q4 Data'!$B$4:$B$207="Challan")*'Q4 Data'!$F$4:$F$207))</f>
      </c>
      <c r="AR122" s="34">
        <f>IF(OR($B122&lt;&gt;"Entry",Z122=""),FALSE,AND((SUMPRODUCT(('Q1 Data'!$D$4:$D$207=D122)*('Q1 Data'!$B$4:$B$207="Challan")*('Q1 Data'!$H$4:$H$207&lt;&gt;""))+SUMPRODUCT(('Q2 Data'!$D$4:$D$207=D122)*('Q2 Data'!$B$4:$B$207="Challan")*('Q2 Data'!$H$4:$H$207&lt;&gt;""))+SUMPRODUCT(('Q3 Data'!$D$4:$D$207=D122)*('Q3 Data'!$B$4:$B$207="Challan")*('Q3 Data'!$H$4:$H$207&lt;&gt;""))+SUMPRODUCT(('Q4 Data'!$D$4:$D$207=D122)*('Q4 Data'!$B$4:$B$207="Challan")*('Q4 Data'!$H$4:$H$207&lt;&gt;"")))&gt;0,(SUMPRODUCT(('Q1 Data'!$D$4:$D$207=D122)*('Q1 Data'!$B$4:$B$207="Challan")*('Q1 Data'!$H$4:$H$207=Z122))+SUMPRODUCT(('Q2 Data'!$D$4:$D$207=D122)*('Q2 Data'!$B$4:$B$207="Challan")*('Q2 Data'!$H$4:$H$207=Z122))+SUMPRODUCT(('Q3 Data'!$D$4:$D$207=D122)*('Q3 Data'!$B$4:$B$207="Challan")*('Q3 Data'!$H$4:$H$207=Z122))+SUMPRODUCT(('Q4 Data'!$D$4:$D$207=D122)*('Q4 Data'!$B$4:$B$207="Challan")*('Q4 Data'!$H$4:$H$207=Z122)))=0))</f>
      </c>
    </row>
    <row r="123" spans="1:44" x14ac:dyDescent="0.25">
      <c r="A123" s="20">
        <f>IF($B123="Entry",COUNTIF($B$4:$B123,"Entry"),"")</f>
      </c>
      <c r="B123" s="21"/>
      <c r="C123" s="22"/>
      <c r="D123" s="22"/>
      <c r="E123" s="23">
        <f>IF($B123&lt;&gt;"Challan","",IF(ROUND(AN123-AO123,2)&gt;0,"Over-applied",IF(ROUND(AN123-AO123,2)=0,"Fully Utilised","Unconsumed")))</f>
      </c>
      <c r="F123" s="24"/>
      <c r="G123" s="25"/>
      <c r="H123" s="25"/>
      <c r="I123" s="26"/>
      <c r="J123" s="26"/>
      <c r="K123" s="26"/>
      <c r="L123" s="26"/>
      <c r="M123" s="26"/>
      <c r="N123" s="26"/>
      <c r="O123" s="26"/>
      <c r="P123" s="27">
        <f>IF($B123&lt;&gt;"Challan","",I123+J123+K123+L123+M123+N123)</f>
      </c>
      <c r="Q123" s="25"/>
      <c r="R123" s="25"/>
      <c r="S123" s="25"/>
      <c r="T123" s="25"/>
      <c r="U123" s="25"/>
      <c r="V123" s="28"/>
      <c r="W123" s="28"/>
      <c r="X123" s="23">
        <f>IF($B123="Entry",IF(AND(LEN(TRIM(UPPER(W123)))=10,CODE(MID(TRIM(UPPER(W123)),1,1))&gt;=65,CODE(MID(TRIM(UPPER(W123)),1,1))&lt;=90,CODE(MID(TRIM(UPPER(W123)),2,1))&gt;=65,CODE(MID(TRIM(UPPER(W123)),2,1))&lt;=90,CODE(MID(TRIM(UPPER(W123)),3,1))&gt;=65,CODE(MID(TRIM(UPPER(W123)),3,1))&lt;=90,CODE(MID(TRIM(UPPER(W123)),4,1))&gt;=65,CODE(MID(TRIM(UPPER(W123)),4,1))&lt;=90,CODE(MID(TRIM(UPPER(W123)),5,1))&gt;=65,CODE(MID(TRIM(UPPER(W123)),5,1))&lt;=90,CODE(MID(TRIM(UPPER(W123)),10,1))&gt;=65,CODE(MID(TRIM(UPPER(W123)),10,1))&lt;=90,CODE(MID(TRIM(UPPER(W123)),6,1))&gt;=48,CODE(MID(TRIM(UPPER(W123)),6,1))&lt;=57,CODE(MID(TRIM(UPPER(W123)),7,1))&gt;=48,CODE(MID(TRIM(UPPER(W123)),7,1))&lt;=57,CODE(MID(TRIM(UPPER(W123)),8,1))&gt;=48,CODE(MID(TRIM(UPPER(W123)),8,1))&lt;=57,CODE(MID(TRIM(UPPER(W123)),9,1))&gt;=48,CODE(MID(TRIM(UPPER(W123)),9,1))&lt;=57),"N","Y"),IF($B123="Challan","",IF(W123&lt;&gt;"","◄ Set Row Type","")))</f>
      </c>
      <c r="Y123" s="23">
        <f>IF($B123="Entry",IF(LEN(W123)&lt;4,"",IF(UPPER(MID(W123,4,1))="P","Individual",IF(UPPER(MID(W123,4,1))="H","HUF",IF(UPPER(MID(W123,4,1))="C","Company",IF(UPPER(MID(W123,4,1))="F","Firm",IF(UPPER(MID(W123,4,1))="L","LLP",IF(UPPER(MID(W123,4,1))="T","Trust",IF(UPPER(MID(W123,4,1))="A","AOP","")))))))),IF($B123="Challan","",IF(W123&lt;&gt;"","◄ Set Row Type","")))</f>
      </c>
      <c r="Z123" s="28"/>
      <c r="AA123" s="29">
        <f>IF($B123&lt;&gt;"Entry","",IF(Z123="","",IF(X123="Y",SUMPRODUCT(('Rate Lookup'!$A$1:$A$37=Z123)*'Rate Lookup'!$D$1:$D$37),IF(OR(Y123="Individual",Y123="HUF"),SUMPRODUCT(('Rate Lookup'!$A$1:$A$37=Z123)*'Rate Lookup'!$B$1:$B$37),SUMPRODUCT(('Rate Lookup'!$A$1:$A$37=Z123)*'Rate Lookup'!$C$1:$C$37)))))</f>
      </c>
      <c r="AB123" s="30"/>
      <c r="AC123" s="31"/>
      <c r="AD123" s="27">
        <f>IF($B123&lt;&gt;"Entry","",ROUND(AC123*AA123/100,0))</f>
      </c>
      <c r="AE123" s="27">
        <f>IF($B123&lt;&gt;"Entry","",0)</f>
      </c>
      <c r="AF123" s="27">
        <f>IF($B123&lt;&gt;"Entry","",0)</f>
      </c>
      <c r="AG123" s="27">
        <f>IF($B123&lt;&gt;"Entry","",IF(OR(AD123=0,AB123="",AQ123="",AQ123&lt;=0),0,IF(AQ123&lt;=DATE(YEAR(AB123),MONTH(AB123)+1,7),0,ROUND(AD123*0.015*((YEAR(AQ123)-YEAR(AB123))*12+(MONTH(AQ123)-MONTH(AB123))+1),0))))</f>
      </c>
      <c r="AH123" s="27">
        <f>IF($B123&lt;&gt;"Entry","",0)</f>
      </c>
      <c r="AI123" s="28"/>
      <c r="AJ123" s="28"/>
      <c r="AK123" s="32"/>
      <c r="AL123" s="28"/>
      <c r="AM123" s="28"/>
      <c r="AN123" s="27">
        <f>IF($B123&lt;&gt;"Challan","",SUMIF('Q1 Data'!$D$4:$D$207,D123,'Q1 Data'!$AD$4:$AD$207)+SUMIF('Q1 Data'!$D$4:$D$207,D123,'Q1 Data'!$AG$4:$AG$207)+SUMIF('Q1 Data'!$D$4:$D$207,D123,'Q1 Data'!$AE$4:$AE$207)+SUMIF('Q2 Data'!$D$4:$D$207,D123,'Q2 Data'!$AD$4:$AD$207)+SUMIF('Q2 Data'!$D$4:$D$207,D123,'Q2 Data'!$AG$4:$AG$207)+SUMIF('Q2 Data'!$D$4:$D$207,D123,'Q2 Data'!$AE$4:$AE$207)+SUMIF('Q3 Data'!$D$4:$D$207,D123,'Q3 Data'!$AD$4:$AD$207)+SUMIF('Q3 Data'!$D$4:$D$207,D123,'Q3 Data'!$AG$4:$AG$207)+SUMIF('Q3 Data'!$D$4:$D$207,D123,'Q3 Data'!$AE$4:$AE$207)+SUMIF('Q4 Data'!$D$4:$D$207,D123,'Q4 Data'!$AD$4:$AD$207)+SUMIF('Q4 Data'!$D$4:$D$207,D123,'Q4 Data'!$AG$4:$AG$207)+SUMIF('Q4 Data'!$D$4:$D$207,D123,'Q4 Data'!$AE$4:$AE$207))</f>
      </c>
      <c r="AO123" s="27">
        <f>IF($B123&lt;&gt;"Challan","",P123-N123)</f>
      </c>
      <c r="AP123" s="27">
        <f>IF($B123&lt;&gt;"Challan","",MAX(0,AO123-AN123))</f>
      </c>
      <c r="AQ123" s="33">
        <f>IF($B123&lt;&gt;"Entry","",SUMPRODUCT(('Q1 Data'!$D$4:$D$207=D123)*('Q1 Data'!$B$4:$B$207="Challan")*'Q1 Data'!$F$4:$F$207)+SUMPRODUCT(('Q2 Data'!$D$4:$D$207=D123)*('Q2 Data'!$B$4:$B$207="Challan")*'Q2 Data'!$F$4:$F$207)+SUMPRODUCT(('Q3 Data'!$D$4:$D$207=D123)*('Q3 Data'!$B$4:$B$207="Challan")*'Q3 Data'!$F$4:$F$207)+SUMPRODUCT(('Q4 Data'!$D$4:$D$207=D123)*('Q4 Data'!$B$4:$B$207="Challan")*'Q4 Data'!$F$4:$F$207))</f>
      </c>
      <c r="AR123" s="34">
        <f>IF(OR($B123&lt;&gt;"Entry",Z123=""),FALSE,AND((SUMPRODUCT(('Q1 Data'!$D$4:$D$207=D123)*('Q1 Data'!$B$4:$B$207="Challan")*('Q1 Data'!$H$4:$H$207&lt;&gt;""))+SUMPRODUCT(('Q2 Data'!$D$4:$D$207=D123)*('Q2 Data'!$B$4:$B$207="Challan")*('Q2 Data'!$H$4:$H$207&lt;&gt;""))+SUMPRODUCT(('Q3 Data'!$D$4:$D$207=D123)*('Q3 Data'!$B$4:$B$207="Challan")*('Q3 Data'!$H$4:$H$207&lt;&gt;""))+SUMPRODUCT(('Q4 Data'!$D$4:$D$207=D123)*('Q4 Data'!$B$4:$B$207="Challan")*('Q4 Data'!$H$4:$H$207&lt;&gt;"")))&gt;0,(SUMPRODUCT(('Q1 Data'!$D$4:$D$207=D123)*('Q1 Data'!$B$4:$B$207="Challan")*('Q1 Data'!$H$4:$H$207=Z123))+SUMPRODUCT(('Q2 Data'!$D$4:$D$207=D123)*('Q2 Data'!$B$4:$B$207="Challan")*('Q2 Data'!$H$4:$H$207=Z123))+SUMPRODUCT(('Q3 Data'!$D$4:$D$207=D123)*('Q3 Data'!$B$4:$B$207="Challan")*('Q3 Data'!$H$4:$H$207=Z123))+SUMPRODUCT(('Q4 Data'!$D$4:$D$207=D123)*('Q4 Data'!$B$4:$B$207="Challan")*('Q4 Data'!$H$4:$H$207=Z123)))=0))</f>
      </c>
    </row>
    <row r="124" spans="1:44" x14ac:dyDescent="0.25">
      <c r="A124" s="20">
        <f>IF($B124="Entry",COUNTIF($B$4:$B124,"Entry"),"")</f>
      </c>
      <c r="B124" s="21"/>
      <c r="C124" s="22"/>
      <c r="D124" s="22"/>
      <c r="E124" s="23">
        <f>IF($B124&lt;&gt;"Challan","",IF(ROUND(AN124-AO124,2)&gt;0,"Over-applied",IF(ROUND(AN124-AO124,2)=0,"Fully Utilised","Unconsumed")))</f>
      </c>
      <c r="F124" s="24"/>
      <c r="G124" s="25"/>
      <c r="H124" s="25"/>
      <c r="I124" s="26"/>
      <c r="J124" s="26"/>
      <c r="K124" s="26"/>
      <c r="L124" s="26"/>
      <c r="M124" s="26"/>
      <c r="N124" s="26"/>
      <c r="O124" s="26"/>
      <c r="P124" s="27">
        <f>IF($B124&lt;&gt;"Challan","",I124+J124+K124+L124+M124+N124)</f>
      </c>
      <c r="Q124" s="25"/>
      <c r="R124" s="25"/>
      <c r="S124" s="25"/>
      <c r="T124" s="25"/>
      <c r="U124" s="25"/>
      <c r="V124" s="28"/>
      <c r="W124" s="28"/>
      <c r="X124" s="23">
        <f>IF($B124="Entry",IF(AND(LEN(TRIM(UPPER(W124)))=10,CODE(MID(TRIM(UPPER(W124)),1,1))&gt;=65,CODE(MID(TRIM(UPPER(W124)),1,1))&lt;=90,CODE(MID(TRIM(UPPER(W124)),2,1))&gt;=65,CODE(MID(TRIM(UPPER(W124)),2,1))&lt;=90,CODE(MID(TRIM(UPPER(W124)),3,1))&gt;=65,CODE(MID(TRIM(UPPER(W124)),3,1))&lt;=90,CODE(MID(TRIM(UPPER(W124)),4,1))&gt;=65,CODE(MID(TRIM(UPPER(W124)),4,1))&lt;=90,CODE(MID(TRIM(UPPER(W124)),5,1))&gt;=65,CODE(MID(TRIM(UPPER(W124)),5,1))&lt;=90,CODE(MID(TRIM(UPPER(W124)),10,1))&gt;=65,CODE(MID(TRIM(UPPER(W124)),10,1))&lt;=90,CODE(MID(TRIM(UPPER(W124)),6,1))&gt;=48,CODE(MID(TRIM(UPPER(W124)),6,1))&lt;=57,CODE(MID(TRIM(UPPER(W124)),7,1))&gt;=48,CODE(MID(TRIM(UPPER(W124)),7,1))&lt;=57,CODE(MID(TRIM(UPPER(W124)),8,1))&gt;=48,CODE(MID(TRIM(UPPER(W124)),8,1))&lt;=57,CODE(MID(TRIM(UPPER(W124)),9,1))&gt;=48,CODE(MID(TRIM(UPPER(W124)),9,1))&lt;=57),"N","Y"),IF($B124="Challan","",IF(W124&lt;&gt;"","◄ Set Row Type","")))</f>
      </c>
      <c r="Y124" s="23">
        <f>IF($B124="Entry",IF(LEN(W124)&lt;4,"",IF(UPPER(MID(W124,4,1))="P","Individual",IF(UPPER(MID(W124,4,1))="H","HUF",IF(UPPER(MID(W124,4,1))="C","Company",IF(UPPER(MID(W124,4,1))="F","Firm",IF(UPPER(MID(W124,4,1))="L","LLP",IF(UPPER(MID(W124,4,1))="T","Trust",IF(UPPER(MID(W124,4,1))="A","AOP","")))))))),IF($B124="Challan","",IF(W124&lt;&gt;"","◄ Set Row Type","")))</f>
      </c>
      <c r="Z124" s="28"/>
      <c r="AA124" s="29">
        <f>IF($B124&lt;&gt;"Entry","",IF(Z124="","",IF(X124="Y",SUMPRODUCT(('Rate Lookup'!$A$1:$A$37=Z124)*'Rate Lookup'!$D$1:$D$37),IF(OR(Y124="Individual",Y124="HUF"),SUMPRODUCT(('Rate Lookup'!$A$1:$A$37=Z124)*'Rate Lookup'!$B$1:$B$37),SUMPRODUCT(('Rate Lookup'!$A$1:$A$37=Z124)*'Rate Lookup'!$C$1:$C$37)))))</f>
      </c>
      <c r="AB124" s="30"/>
      <c r="AC124" s="31"/>
      <c r="AD124" s="27">
        <f>IF($B124&lt;&gt;"Entry","",ROUND(AC124*AA124/100,0))</f>
      </c>
      <c r="AE124" s="27">
        <f>IF($B124&lt;&gt;"Entry","",0)</f>
      </c>
      <c r="AF124" s="27">
        <f>IF($B124&lt;&gt;"Entry","",0)</f>
      </c>
      <c r="AG124" s="27">
        <f>IF($B124&lt;&gt;"Entry","",IF(OR(AD124=0,AB124="",AQ124="",AQ124&lt;=0),0,IF(AQ124&lt;=DATE(YEAR(AB124),MONTH(AB124)+1,7),0,ROUND(AD124*0.015*((YEAR(AQ124)-YEAR(AB124))*12+(MONTH(AQ124)-MONTH(AB124))+1),0))))</f>
      </c>
      <c r="AH124" s="27">
        <f>IF($B124&lt;&gt;"Entry","",0)</f>
      </c>
      <c r="AI124" s="28"/>
      <c r="AJ124" s="28"/>
      <c r="AK124" s="32"/>
      <c r="AL124" s="28"/>
      <c r="AM124" s="28"/>
      <c r="AN124" s="27">
        <f>IF($B124&lt;&gt;"Challan","",SUMIF('Q1 Data'!$D$4:$D$207,D124,'Q1 Data'!$AD$4:$AD$207)+SUMIF('Q1 Data'!$D$4:$D$207,D124,'Q1 Data'!$AG$4:$AG$207)+SUMIF('Q1 Data'!$D$4:$D$207,D124,'Q1 Data'!$AE$4:$AE$207)+SUMIF('Q2 Data'!$D$4:$D$207,D124,'Q2 Data'!$AD$4:$AD$207)+SUMIF('Q2 Data'!$D$4:$D$207,D124,'Q2 Data'!$AG$4:$AG$207)+SUMIF('Q2 Data'!$D$4:$D$207,D124,'Q2 Data'!$AE$4:$AE$207)+SUMIF('Q3 Data'!$D$4:$D$207,D124,'Q3 Data'!$AD$4:$AD$207)+SUMIF('Q3 Data'!$D$4:$D$207,D124,'Q3 Data'!$AG$4:$AG$207)+SUMIF('Q3 Data'!$D$4:$D$207,D124,'Q3 Data'!$AE$4:$AE$207)+SUMIF('Q4 Data'!$D$4:$D$207,D124,'Q4 Data'!$AD$4:$AD$207)+SUMIF('Q4 Data'!$D$4:$D$207,D124,'Q4 Data'!$AG$4:$AG$207)+SUMIF('Q4 Data'!$D$4:$D$207,D124,'Q4 Data'!$AE$4:$AE$207))</f>
      </c>
      <c r="AO124" s="27">
        <f>IF($B124&lt;&gt;"Challan","",P124-N124)</f>
      </c>
      <c r="AP124" s="27">
        <f>IF($B124&lt;&gt;"Challan","",MAX(0,AO124-AN124))</f>
      </c>
      <c r="AQ124" s="33">
        <f>IF($B124&lt;&gt;"Entry","",SUMPRODUCT(('Q1 Data'!$D$4:$D$207=D124)*('Q1 Data'!$B$4:$B$207="Challan")*'Q1 Data'!$F$4:$F$207)+SUMPRODUCT(('Q2 Data'!$D$4:$D$207=D124)*('Q2 Data'!$B$4:$B$207="Challan")*'Q2 Data'!$F$4:$F$207)+SUMPRODUCT(('Q3 Data'!$D$4:$D$207=D124)*('Q3 Data'!$B$4:$B$207="Challan")*'Q3 Data'!$F$4:$F$207)+SUMPRODUCT(('Q4 Data'!$D$4:$D$207=D124)*('Q4 Data'!$B$4:$B$207="Challan")*'Q4 Data'!$F$4:$F$207))</f>
      </c>
      <c r="AR124" s="34">
        <f>IF(OR($B124&lt;&gt;"Entry",Z124=""),FALSE,AND((SUMPRODUCT(('Q1 Data'!$D$4:$D$207=D124)*('Q1 Data'!$B$4:$B$207="Challan")*('Q1 Data'!$H$4:$H$207&lt;&gt;""))+SUMPRODUCT(('Q2 Data'!$D$4:$D$207=D124)*('Q2 Data'!$B$4:$B$207="Challan")*('Q2 Data'!$H$4:$H$207&lt;&gt;""))+SUMPRODUCT(('Q3 Data'!$D$4:$D$207=D124)*('Q3 Data'!$B$4:$B$207="Challan")*('Q3 Data'!$H$4:$H$207&lt;&gt;""))+SUMPRODUCT(('Q4 Data'!$D$4:$D$207=D124)*('Q4 Data'!$B$4:$B$207="Challan")*('Q4 Data'!$H$4:$H$207&lt;&gt;"")))&gt;0,(SUMPRODUCT(('Q1 Data'!$D$4:$D$207=D124)*('Q1 Data'!$B$4:$B$207="Challan")*('Q1 Data'!$H$4:$H$207=Z124))+SUMPRODUCT(('Q2 Data'!$D$4:$D$207=D124)*('Q2 Data'!$B$4:$B$207="Challan")*('Q2 Data'!$H$4:$H$207=Z124))+SUMPRODUCT(('Q3 Data'!$D$4:$D$207=D124)*('Q3 Data'!$B$4:$B$207="Challan")*('Q3 Data'!$H$4:$H$207=Z124))+SUMPRODUCT(('Q4 Data'!$D$4:$D$207=D124)*('Q4 Data'!$B$4:$B$207="Challan")*('Q4 Data'!$H$4:$H$207=Z124)))=0))</f>
      </c>
    </row>
    <row r="125" spans="1:44" x14ac:dyDescent="0.25">
      <c r="A125" s="20">
        <f>IF($B125="Entry",COUNTIF($B$4:$B125,"Entry"),"")</f>
      </c>
      <c r="B125" s="21"/>
      <c r="C125" s="22"/>
      <c r="D125" s="22"/>
      <c r="E125" s="23">
        <f>IF($B125&lt;&gt;"Challan","",IF(ROUND(AN125-AO125,2)&gt;0,"Over-applied",IF(ROUND(AN125-AO125,2)=0,"Fully Utilised","Unconsumed")))</f>
      </c>
      <c r="F125" s="24"/>
      <c r="G125" s="25"/>
      <c r="H125" s="25"/>
      <c r="I125" s="26"/>
      <c r="J125" s="26"/>
      <c r="K125" s="26"/>
      <c r="L125" s="26"/>
      <c r="M125" s="26"/>
      <c r="N125" s="26"/>
      <c r="O125" s="26"/>
      <c r="P125" s="27">
        <f>IF($B125&lt;&gt;"Challan","",I125+J125+K125+L125+M125+N125)</f>
      </c>
      <c r="Q125" s="25"/>
      <c r="R125" s="25"/>
      <c r="S125" s="25"/>
      <c r="T125" s="25"/>
      <c r="U125" s="25"/>
      <c r="V125" s="28"/>
      <c r="W125" s="28"/>
      <c r="X125" s="23">
        <f>IF($B125="Entry",IF(AND(LEN(TRIM(UPPER(W125)))=10,CODE(MID(TRIM(UPPER(W125)),1,1))&gt;=65,CODE(MID(TRIM(UPPER(W125)),1,1))&lt;=90,CODE(MID(TRIM(UPPER(W125)),2,1))&gt;=65,CODE(MID(TRIM(UPPER(W125)),2,1))&lt;=90,CODE(MID(TRIM(UPPER(W125)),3,1))&gt;=65,CODE(MID(TRIM(UPPER(W125)),3,1))&lt;=90,CODE(MID(TRIM(UPPER(W125)),4,1))&gt;=65,CODE(MID(TRIM(UPPER(W125)),4,1))&lt;=90,CODE(MID(TRIM(UPPER(W125)),5,1))&gt;=65,CODE(MID(TRIM(UPPER(W125)),5,1))&lt;=90,CODE(MID(TRIM(UPPER(W125)),10,1))&gt;=65,CODE(MID(TRIM(UPPER(W125)),10,1))&lt;=90,CODE(MID(TRIM(UPPER(W125)),6,1))&gt;=48,CODE(MID(TRIM(UPPER(W125)),6,1))&lt;=57,CODE(MID(TRIM(UPPER(W125)),7,1))&gt;=48,CODE(MID(TRIM(UPPER(W125)),7,1))&lt;=57,CODE(MID(TRIM(UPPER(W125)),8,1))&gt;=48,CODE(MID(TRIM(UPPER(W125)),8,1))&lt;=57,CODE(MID(TRIM(UPPER(W125)),9,1))&gt;=48,CODE(MID(TRIM(UPPER(W125)),9,1))&lt;=57),"N","Y"),IF($B125="Challan","",IF(W125&lt;&gt;"","◄ Set Row Type","")))</f>
      </c>
      <c r="Y125" s="23">
        <f>IF($B125="Entry",IF(LEN(W125)&lt;4,"",IF(UPPER(MID(W125,4,1))="P","Individual",IF(UPPER(MID(W125,4,1))="H","HUF",IF(UPPER(MID(W125,4,1))="C","Company",IF(UPPER(MID(W125,4,1))="F","Firm",IF(UPPER(MID(W125,4,1))="L","LLP",IF(UPPER(MID(W125,4,1))="T","Trust",IF(UPPER(MID(W125,4,1))="A","AOP","")))))))),IF($B125="Challan","",IF(W125&lt;&gt;"","◄ Set Row Type","")))</f>
      </c>
      <c r="Z125" s="28"/>
      <c r="AA125" s="29">
        <f>IF($B125&lt;&gt;"Entry","",IF(Z125="","",IF(X125="Y",SUMPRODUCT(('Rate Lookup'!$A$1:$A$37=Z125)*'Rate Lookup'!$D$1:$D$37),IF(OR(Y125="Individual",Y125="HUF"),SUMPRODUCT(('Rate Lookup'!$A$1:$A$37=Z125)*'Rate Lookup'!$B$1:$B$37),SUMPRODUCT(('Rate Lookup'!$A$1:$A$37=Z125)*'Rate Lookup'!$C$1:$C$37)))))</f>
      </c>
      <c r="AB125" s="30"/>
      <c r="AC125" s="31"/>
      <c r="AD125" s="27">
        <f>IF($B125&lt;&gt;"Entry","",ROUND(AC125*AA125/100,0))</f>
      </c>
      <c r="AE125" s="27">
        <f>IF($B125&lt;&gt;"Entry","",0)</f>
      </c>
      <c r="AF125" s="27">
        <f>IF($B125&lt;&gt;"Entry","",0)</f>
      </c>
      <c r="AG125" s="27">
        <f>IF($B125&lt;&gt;"Entry","",IF(OR(AD125=0,AB125="",AQ125="",AQ125&lt;=0),0,IF(AQ125&lt;=DATE(YEAR(AB125),MONTH(AB125)+1,7),0,ROUND(AD125*0.015*((YEAR(AQ125)-YEAR(AB125))*12+(MONTH(AQ125)-MONTH(AB125))+1),0))))</f>
      </c>
      <c r="AH125" s="27">
        <f>IF($B125&lt;&gt;"Entry","",0)</f>
      </c>
      <c r="AI125" s="28"/>
      <c r="AJ125" s="28"/>
      <c r="AK125" s="32"/>
      <c r="AL125" s="28"/>
      <c r="AM125" s="28"/>
      <c r="AN125" s="27">
        <f>IF($B125&lt;&gt;"Challan","",SUMIF('Q1 Data'!$D$4:$D$207,D125,'Q1 Data'!$AD$4:$AD$207)+SUMIF('Q1 Data'!$D$4:$D$207,D125,'Q1 Data'!$AG$4:$AG$207)+SUMIF('Q1 Data'!$D$4:$D$207,D125,'Q1 Data'!$AE$4:$AE$207)+SUMIF('Q2 Data'!$D$4:$D$207,D125,'Q2 Data'!$AD$4:$AD$207)+SUMIF('Q2 Data'!$D$4:$D$207,D125,'Q2 Data'!$AG$4:$AG$207)+SUMIF('Q2 Data'!$D$4:$D$207,D125,'Q2 Data'!$AE$4:$AE$207)+SUMIF('Q3 Data'!$D$4:$D$207,D125,'Q3 Data'!$AD$4:$AD$207)+SUMIF('Q3 Data'!$D$4:$D$207,D125,'Q3 Data'!$AG$4:$AG$207)+SUMIF('Q3 Data'!$D$4:$D$207,D125,'Q3 Data'!$AE$4:$AE$207)+SUMIF('Q4 Data'!$D$4:$D$207,D125,'Q4 Data'!$AD$4:$AD$207)+SUMIF('Q4 Data'!$D$4:$D$207,D125,'Q4 Data'!$AG$4:$AG$207)+SUMIF('Q4 Data'!$D$4:$D$207,D125,'Q4 Data'!$AE$4:$AE$207))</f>
      </c>
      <c r="AO125" s="27">
        <f>IF($B125&lt;&gt;"Challan","",P125-N125)</f>
      </c>
      <c r="AP125" s="27">
        <f>IF($B125&lt;&gt;"Challan","",MAX(0,AO125-AN125))</f>
      </c>
      <c r="AQ125" s="33">
        <f>IF($B125&lt;&gt;"Entry","",SUMPRODUCT(('Q1 Data'!$D$4:$D$207=D125)*('Q1 Data'!$B$4:$B$207="Challan")*'Q1 Data'!$F$4:$F$207)+SUMPRODUCT(('Q2 Data'!$D$4:$D$207=D125)*('Q2 Data'!$B$4:$B$207="Challan")*'Q2 Data'!$F$4:$F$207)+SUMPRODUCT(('Q3 Data'!$D$4:$D$207=D125)*('Q3 Data'!$B$4:$B$207="Challan")*'Q3 Data'!$F$4:$F$207)+SUMPRODUCT(('Q4 Data'!$D$4:$D$207=D125)*('Q4 Data'!$B$4:$B$207="Challan")*'Q4 Data'!$F$4:$F$207))</f>
      </c>
      <c r="AR125" s="34">
        <f>IF(OR($B125&lt;&gt;"Entry",Z125=""),FALSE,AND((SUMPRODUCT(('Q1 Data'!$D$4:$D$207=D125)*('Q1 Data'!$B$4:$B$207="Challan")*('Q1 Data'!$H$4:$H$207&lt;&gt;""))+SUMPRODUCT(('Q2 Data'!$D$4:$D$207=D125)*('Q2 Data'!$B$4:$B$207="Challan")*('Q2 Data'!$H$4:$H$207&lt;&gt;""))+SUMPRODUCT(('Q3 Data'!$D$4:$D$207=D125)*('Q3 Data'!$B$4:$B$207="Challan")*('Q3 Data'!$H$4:$H$207&lt;&gt;""))+SUMPRODUCT(('Q4 Data'!$D$4:$D$207=D125)*('Q4 Data'!$B$4:$B$207="Challan")*('Q4 Data'!$H$4:$H$207&lt;&gt;"")))&gt;0,(SUMPRODUCT(('Q1 Data'!$D$4:$D$207=D125)*('Q1 Data'!$B$4:$B$207="Challan")*('Q1 Data'!$H$4:$H$207=Z125))+SUMPRODUCT(('Q2 Data'!$D$4:$D$207=D125)*('Q2 Data'!$B$4:$B$207="Challan")*('Q2 Data'!$H$4:$H$207=Z125))+SUMPRODUCT(('Q3 Data'!$D$4:$D$207=D125)*('Q3 Data'!$B$4:$B$207="Challan")*('Q3 Data'!$H$4:$H$207=Z125))+SUMPRODUCT(('Q4 Data'!$D$4:$D$207=D125)*('Q4 Data'!$B$4:$B$207="Challan")*('Q4 Data'!$H$4:$H$207=Z125)))=0))</f>
      </c>
    </row>
    <row r="126" spans="1:44" x14ac:dyDescent="0.25">
      <c r="A126" s="20">
        <f>IF($B126="Entry",COUNTIF($B$4:$B126,"Entry"),"")</f>
      </c>
      <c r="B126" s="21"/>
      <c r="C126" s="22"/>
      <c r="D126" s="22"/>
      <c r="E126" s="23">
        <f>IF($B126&lt;&gt;"Challan","",IF(ROUND(AN126-AO126,2)&gt;0,"Over-applied",IF(ROUND(AN126-AO126,2)=0,"Fully Utilised","Unconsumed")))</f>
      </c>
      <c r="F126" s="24"/>
      <c r="G126" s="25"/>
      <c r="H126" s="25"/>
      <c r="I126" s="26"/>
      <c r="J126" s="26"/>
      <c r="K126" s="26"/>
      <c r="L126" s="26"/>
      <c r="M126" s="26"/>
      <c r="N126" s="26"/>
      <c r="O126" s="26"/>
      <c r="P126" s="27">
        <f>IF($B126&lt;&gt;"Challan","",I126+J126+K126+L126+M126+N126)</f>
      </c>
      <c r="Q126" s="25"/>
      <c r="R126" s="25"/>
      <c r="S126" s="25"/>
      <c r="T126" s="25"/>
      <c r="U126" s="25"/>
      <c r="V126" s="28"/>
      <c r="W126" s="28"/>
      <c r="X126" s="23">
        <f>IF($B126="Entry",IF(AND(LEN(TRIM(UPPER(W126)))=10,CODE(MID(TRIM(UPPER(W126)),1,1))&gt;=65,CODE(MID(TRIM(UPPER(W126)),1,1))&lt;=90,CODE(MID(TRIM(UPPER(W126)),2,1))&gt;=65,CODE(MID(TRIM(UPPER(W126)),2,1))&lt;=90,CODE(MID(TRIM(UPPER(W126)),3,1))&gt;=65,CODE(MID(TRIM(UPPER(W126)),3,1))&lt;=90,CODE(MID(TRIM(UPPER(W126)),4,1))&gt;=65,CODE(MID(TRIM(UPPER(W126)),4,1))&lt;=90,CODE(MID(TRIM(UPPER(W126)),5,1))&gt;=65,CODE(MID(TRIM(UPPER(W126)),5,1))&lt;=90,CODE(MID(TRIM(UPPER(W126)),10,1))&gt;=65,CODE(MID(TRIM(UPPER(W126)),10,1))&lt;=90,CODE(MID(TRIM(UPPER(W126)),6,1))&gt;=48,CODE(MID(TRIM(UPPER(W126)),6,1))&lt;=57,CODE(MID(TRIM(UPPER(W126)),7,1))&gt;=48,CODE(MID(TRIM(UPPER(W126)),7,1))&lt;=57,CODE(MID(TRIM(UPPER(W126)),8,1))&gt;=48,CODE(MID(TRIM(UPPER(W126)),8,1))&lt;=57,CODE(MID(TRIM(UPPER(W126)),9,1))&gt;=48,CODE(MID(TRIM(UPPER(W126)),9,1))&lt;=57),"N","Y"),IF($B126="Challan","",IF(W126&lt;&gt;"","◄ Set Row Type","")))</f>
      </c>
      <c r="Y126" s="23">
        <f>IF($B126="Entry",IF(LEN(W126)&lt;4,"",IF(UPPER(MID(W126,4,1))="P","Individual",IF(UPPER(MID(W126,4,1))="H","HUF",IF(UPPER(MID(W126,4,1))="C","Company",IF(UPPER(MID(W126,4,1))="F","Firm",IF(UPPER(MID(W126,4,1))="L","LLP",IF(UPPER(MID(W126,4,1))="T","Trust",IF(UPPER(MID(W126,4,1))="A","AOP","")))))))),IF($B126="Challan","",IF(W126&lt;&gt;"","◄ Set Row Type","")))</f>
      </c>
      <c r="Z126" s="28"/>
      <c r="AA126" s="29">
        <f>IF($B126&lt;&gt;"Entry","",IF(Z126="","",IF(X126="Y",SUMPRODUCT(('Rate Lookup'!$A$1:$A$37=Z126)*'Rate Lookup'!$D$1:$D$37),IF(OR(Y126="Individual",Y126="HUF"),SUMPRODUCT(('Rate Lookup'!$A$1:$A$37=Z126)*'Rate Lookup'!$B$1:$B$37),SUMPRODUCT(('Rate Lookup'!$A$1:$A$37=Z126)*'Rate Lookup'!$C$1:$C$37)))))</f>
      </c>
      <c r="AB126" s="30"/>
      <c r="AC126" s="31"/>
      <c r="AD126" s="27">
        <f>IF($B126&lt;&gt;"Entry","",ROUND(AC126*AA126/100,0))</f>
      </c>
      <c r="AE126" s="27">
        <f>IF($B126&lt;&gt;"Entry","",0)</f>
      </c>
      <c r="AF126" s="27">
        <f>IF($B126&lt;&gt;"Entry","",0)</f>
      </c>
      <c r="AG126" s="27">
        <f>IF($B126&lt;&gt;"Entry","",IF(OR(AD126=0,AB126="",AQ126="",AQ126&lt;=0),0,IF(AQ126&lt;=DATE(YEAR(AB126),MONTH(AB126)+1,7),0,ROUND(AD126*0.015*((YEAR(AQ126)-YEAR(AB126))*12+(MONTH(AQ126)-MONTH(AB126))+1),0))))</f>
      </c>
      <c r="AH126" s="27">
        <f>IF($B126&lt;&gt;"Entry","",0)</f>
      </c>
      <c r="AI126" s="28"/>
      <c r="AJ126" s="28"/>
      <c r="AK126" s="32"/>
      <c r="AL126" s="28"/>
      <c r="AM126" s="28"/>
      <c r="AN126" s="27">
        <f>IF($B126&lt;&gt;"Challan","",SUMIF('Q1 Data'!$D$4:$D$207,D126,'Q1 Data'!$AD$4:$AD$207)+SUMIF('Q1 Data'!$D$4:$D$207,D126,'Q1 Data'!$AG$4:$AG$207)+SUMIF('Q1 Data'!$D$4:$D$207,D126,'Q1 Data'!$AE$4:$AE$207)+SUMIF('Q2 Data'!$D$4:$D$207,D126,'Q2 Data'!$AD$4:$AD$207)+SUMIF('Q2 Data'!$D$4:$D$207,D126,'Q2 Data'!$AG$4:$AG$207)+SUMIF('Q2 Data'!$D$4:$D$207,D126,'Q2 Data'!$AE$4:$AE$207)+SUMIF('Q3 Data'!$D$4:$D$207,D126,'Q3 Data'!$AD$4:$AD$207)+SUMIF('Q3 Data'!$D$4:$D$207,D126,'Q3 Data'!$AG$4:$AG$207)+SUMIF('Q3 Data'!$D$4:$D$207,D126,'Q3 Data'!$AE$4:$AE$207)+SUMIF('Q4 Data'!$D$4:$D$207,D126,'Q4 Data'!$AD$4:$AD$207)+SUMIF('Q4 Data'!$D$4:$D$207,D126,'Q4 Data'!$AG$4:$AG$207)+SUMIF('Q4 Data'!$D$4:$D$207,D126,'Q4 Data'!$AE$4:$AE$207))</f>
      </c>
      <c r="AO126" s="27">
        <f>IF($B126&lt;&gt;"Challan","",P126-N126)</f>
      </c>
      <c r="AP126" s="27">
        <f>IF($B126&lt;&gt;"Challan","",MAX(0,AO126-AN126))</f>
      </c>
      <c r="AQ126" s="33">
        <f>IF($B126&lt;&gt;"Entry","",SUMPRODUCT(('Q1 Data'!$D$4:$D$207=D126)*('Q1 Data'!$B$4:$B$207="Challan")*'Q1 Data'!$F$4:$F$207)+SUMPRODUCT(('Q2 Data'!$D$4:$D$207=D126)*('Q2 Data'!$B$4:$B$207="Challan")*'Q2 Data'!$F$4:$F$207)+SUMPRODUCT(('Q3 Data'!$D$4:$D$207=D126)*('Q3 Data'!$B$4:$B$207="Challan")*'Q3 Data'!$F$4:$F$207)+SUMPRODUCT(('Q4 Data'!$D$4:$D$207=D126)*('Q4 Data'!$B$4:$B$207="Challan")*'Q4 Data'!$F$4:$F$207))</f>
      </c>
      <c r="AR126" s="34">
        <f>IF(OR($B126&lt;&gt;"Entry",Z126=""),FALSE,AND((SUMPRODUCT(('Q1 Data'!$D$4:$D$207=D126)*('Q1 Data'!$B$4:$B$207="Challan")*('Q1 Data'!$H$4:$H$207&lt;&gt;""))+SUMPRODUCT(('Q2 Data'!$D$4:$D$207=D126)*('Q2 Data'!$B$4:$B$207="Challan")*('Q2 Data'!$H$4:$H$207&lt;&gt;""))+SUMPRODUCT(('Q3 Data'!$D$4:$D$207=D126)*('Q3 Data'!$B$4:$B$207="Challan")*('Q3 Data'!$H$4:$H$207&lt;&gt;""))+SUMPRODUCT(('Q4 Data'!$D$4:$D$207=D126)*('Q4 Data'!$B$4:$B$207="Challan")*('Q4 Data'!$H$4:$H$207&lt;&gt;"")))&gt;0,(SUMPRODUCT(('Q1 Data'!$D$4:$D$207=D126)*('Q1 Data'!$B$4:$B$207="Challan")*('Q1 Data'!$H$4:$H$207=Z126))+SUMPRODUCT(('Q2 Data'!$D$4:$D$207=D126)*('Q2 Data'!$B$4:$B$207="Challan")*('Q2 Data'!$H$4:$H$207=Z126))+SUMPRODUCT(('Q3 Data'!$D$4:$D$207=D126)*('Q3 Data'!$B$4:$B$207="Challan")*('Q3 Data'!$H$4:$H$207=Z126))+SUMPRODUCT(('Q4 Data'!$D$4:$D$207=D126)*('Q4 Data'!$B$4:$B$207="Challan")*('Q4 Data'!$H$4:$H$207=Z126)))=0))</f>
      </c>
    </row>
    <row r="127" spans="1:44" x14ac:dyDescent="0.25">
      <c r="A127" s="20">
        <f>IF($B127="Entry",COUNTIF($B$4:$B127,"Entry"),"")</f>
      </c>
      <c r="B127" s="21"/>
      <c r="C127" s="22"/>
      <c r="D127" s="22"/>
      <c r="E127" s="23">
        <f>IF($B127&lt;&gt;"Challan","",IF(ROUND(AN127-AO127,2)&gt;0,"Over-applied",IF(ROUND(AN127-AO127,2)=0,"Fully Utilised","Unconsumed")))</f>
      </c>
      <c r="F127" s="24"/>
      <c r="G127" s="25"/>
      <c r="H127" s="25"/>
      <c r="I127" s="26"/>
      <c r="J127" s="26"/>
      <c r="K127" s="26"/>
      <c r="L127" s="26"/>
      <c r="M127" s="26"/>
      <c r="N127" s="26"/>
      <c r="O127" s="26"/>
      <c r="P127" s="27">
        <f>IF($B127&lt;&gt;"Challan","",I127+J127+K127+L127+M127+N127)</f>
      </c>
      <c r="Q127" s="25"/>
      <c r="R127" s="25"/>
      <c r="S127" s="25"/>
      <c r="T127" s="25"/>
      <c r="U127" s="25"/>
      <c r="V127" s="28"/>
      <c r="W127" s="28"/>
      <c r="X127" s="23">
        <f>IF($B127="Entry",IF(AND(LEN(TRIM(UPPER(W127)))=10,CODE(MID(TRIM(UPPER(W127)),1,1))&gt;=65,CODE(MID(TRIM(UPPER(W127)),1,1))&lt;=90,CODE(MID(TRIM(UPPER(W127)),2,1))&gt;=65,CODE(MID(TRIM(UPPER(W127)),2,1))&lt;=90,CODE(MID(TRIM(UPPER(W127)),3,1))&gt;=65,CODE(MID(TRIM(UPPER(W127)),3,1))&lt;=90,CODE(MID(TRIM(UPPER(W127)),4,1))&gt;=65,CODE(MID(TRIM(UPPER(W127)),4,1))&lt;=90,CODE(MID(TRIM(UPPER(W127)),5,1))&gt;=65,CODE(MID(TRIM(UPPER(W127)),5,1))&lt;=90,CODE(MID(TRIM(UPPER(W127)),10,1))&gt;=65,CODE(MID(TRIM(UPPER(W127)),10,1))&lt;=90,CODE(MID(TRIM(UPPER(W127)),6,1))&gt;=48,CODE(MID(TRIM(UPPER(W127)),6,1))&lt;=57,CODE(MID(TRIM(UPPER(W127)),7,1))&gt;=48,CODE(MID(TRIM(UPPER(W127)),7,1))&lt;=57,CODE(MID(TRIM(UPPER(W127)),8,1))&gt;=48,CODE(MID(TRIM(UPPER(W127)),8,1))&lt;=57,CODE(MID(TRIM(UPPER(W127)),9,1))&gt;=48,CODE(MID(TRIM(UPPER(W127)),9,1))&lt;=57),"N","Y"),IF($B127="Challan","",IF(W127&lt;&gt;"","◄ Set Row Type","")))</f>
      </c>
      <c r="Y127" s="23">
        <f>IF($B127="Entry",IF(LEN(W127)&lt;4,"",IF(UPPER(MID(W127,4,1))="P","Individual",IF(UPPER(MID(W127,4,1))="H","HUF",IF(UPPER(MID(W127,4,1))="C","Company",IF(UPPER(MID(W127,4,1))="F","Firm",IF(UPPER(MID(W127,4,1))="L","LLP",IF(UPPER(MID(W127,4,1))="T","Trust",IF(UPPER(MID(W127,4,1))="A","AOP","")))))))),IF($B127="Challan","",IF(W127&lt;&gt;"","◄ Set Row Type","")))</f>
      </c>
      <c r="Z127" s="28"/>
      <c r="AA127" s="29">
        <f>IF($B127&lt;&gt;"Entry","",IF(Z127="","",IF(X127="Y",SUMPRODUCT(('Rate Lookup'!$A$1:$A$37=Z127)*'Rate Lookup'!$D$1:$D$37),IF(OR(Y127="Individual",Y127="HUF"),SUMPRODUCT(('Rate Lookup'!$A$1:$A$37=Z127)*'Rate Lookup'!$B$1:$B$37),SUMPRODUCT(('Rate Lookup'!$A$1:$A$37=Z127)*'Rate Lookup'!$C$1:$C$37)))))</f>
      </c>
      <c r="AB127" s="30"/>
      <c r="AC127" s="31"/>
      <c r="AD127" s="27">
        <f>IF($B127&lt;&gt;"Entry","",ROUND(AC127*AA127/100,0))</f>
      </c>
      <c r="AE127" s="27">
        <f>IF($B127&lt;&gt;"Entry","",0)</f>
      </c>
      <c r="AF127" s="27">
        <f>IF($B127&lt;&gt;"Entry","",0)</f>
      </c>
      <c r="AG127" s="27">
        <f>IF($B127&lt;&gt;"Entry","",IF(OR(AD127=0,AB127="",AQ127="",AQ127&lt;=0),0,IF(AQ127&lt;=DATE(YEAR(AB127),MONTH(AB127)+1,7),0,ROUND(AD127*0.015*((YEAR(AQ127)-YEAR(AB127))*12+(MONTH(AQ127)-MONTH(AB127))+1),0))))</f>
      </c>
      <c r="AH127" s="27">
        <f>IF($B127&lt;&gt;"Entry","",0)</f>
      </c>
      <c r="AI127" s="28"/>
      <c r="AJ127" s="28"/>
      <c r="AK127" s="32"/>
      <c r="AL127" s="28"/>
      <c r="AM127" s="28"/>
      <c r="AN127" s="27">
        <f>IF($B127&lt;&gt;"Challan","",SUMIF('Q1 Data'!$D$4:$D$207,D127,'Q1 Data'!$AD$4:$AD$207)+SUMIF('Q1 Data'!$D$4:$D$207,D127,'Q1 Data'!$AG$4:$AG$207)+SUMIF('Q1 Data'!$D$4:$D$207,D127,'Q1 Data'!$AE$4:$AE$207)+SUMIF('Q2 Data'!$D$4:$D$207,D127,'Q2 Data'!$AD$4:$AD$207)+SUMIF('Q2 Data'!$D$4:$D$207,D127,'Q2 Data'!$AG$4:$AG$207)+SUMIF('Q2 Data'!$D$4:$D$207,D127,'Q2 Data'!$AE$4:$AE$207)+SUMIF('Q3 Data'!$D$4:$D$207,D127,'Q3 Data'!$AD$4:$AD$207)+SUMIF('Q3 Data'!$D$4:$D$207,D127,'Q3 Data'!$AG$4:$AG$207)+SUMIF('Q3 Data'!$D$4:$D$207,D127,'Q3 Data'!$AE$4:$AE$207)+SUMIF('Q4 Data'!$D$4:$D$207,D127,'Q4 Data'!$AD$4:$AD$207)+SUMIF('Q4 Data'!$D$4:$D$207,D127,'Q4 Data'!$AG$4:$AG$207)+SUMIF('Q4 Data'!$D$4:$D$207,D127,'Q4 Data'!$AE$4:$AE$207))</f>
      </c>
      <c r="AO127" s="27">
        <f>IF($B127&lt;&gt;"Challan","",P127-N127)</f>
      </c>
      <c r="AP127" s="27">
        <f>IF($B127&lt;&gt;"Challan","",MAX(0,AO127-AN127))</f>
      </c>
      <c r="AQ127" s="33">
        <f>IF($B127&lt;&gt;"Entry","",SUMPRODUCT(('Q1 Data'!$D$4:$D$207=D127)*('Q1 Data'!$B$4:$B$207="Challan")*'Q1 Data'!$F$4:$F$207)+SUMPRODUCT(('Q2 Data'!$D$4:$D$207=D127)*('Q2 Data'!$B$4:$B$207="Challan")*'Q2 Data'!$F$4:$F$207)+SUMPRODUCT(('Q3 Data'!$D$4:$D$207=D127)*('Q3 Data'!$B$4:$B$207="Challan")*'Q3 Data'!$F$4:$F$207)+SUMPRODUCT(('Q4 Data'!$D$4:$D$207=D127)*('Q4 Data'!$B$4:$B$207="Challan")*'Q4 Data'!$F$4:$F$207))</f>
      </c>
      <c r="AR127" s="34">
        <f>IF(OR($B127&lt;&gt;"Entry",Z127=""),FALSE,AND((SUMPRODUCT(('Q1 Data'!$D$4:$D$207=D127)*('Q1 Data'!$B$4:$B$207="Challan")*('Q1 Data'!$H$4:$H$207&lt;&gt;""))+SUMPRODUCT(('Q2 Data'!$D$4:$D$207=D127)*('Q2 Data'!$B$4:$B$207="Challan")*('Q2 Data'!$H$4:$H$207&lt;&gt;""))+SUMPRODUCT(('Q3 Data'!$D$4:$D$207=D127)*('Q3 Data'!$B$4:$B$207="Challan")*('Q3 Data'!$H$4:$H$207&lt;&gt;""))+SUMPRODUCT(('Q4 Data'!$D$4:$D$207=D127)*('Q4 Data'!$B$4:$B$207="Challan")*('Q4 Data'!$H$4:$H$207&lt;&gt;"")))&gt;0,(SUMPRODUCT(('Q1 Data'!$D$4:$D$207=D127)*('Q1 Data'!$B$4:$B$207="Challan")*('Q1 Data'!$H$4:$H$207=Z127))+SUMPRODUCT(('Q2 Data'!$D$4:$D$207=D127)*('Q2 Data'!$B$4:$B$207="Challan")*('Q2 Data'!$H$4:$H$207=Z127))+SUMPRODUCT(('Q3 Data'!$D$4:$D$207=D127)*('Q3 Data'!$B$4:$B$207="Challan")*('Q3 Data'!$H$4:$H$207=Z127))+SUMPRODUCT(('Q4 Data'!$D$4:$D$207=D127)*('Q4 Data'!$B$4:$B$207="Challan")*('Q4 Data'!$H$4:$H$207=Z127)))=0))</f>
      </c>
    </row>
    <row r="128" spans="1:44" x14ac:dyDescent="0.25">
      <c r="A128" s="20">
        <f>IF($B128="Entry",COUNTIF($B$4:$B128,"Entry"),"")</f>
      </c>
      <c r="B128" s="21"/>
      <c r="C128" s="22"/>
      <c r="D128" s="22"/>
      <c r="E128" s="23">
        <f>IF($B128&lt;&gt;"Challan","",IF(ROUND(AN128-AO128,2)&gt;0,"Over-applied",IF(ROUND(AN128-AO128,2)=0,"Fully Utilised","Unconsumed")))</f>
      </c>
      <c r="F128" s="24"/>
      <c r="G128" s="25"/>
      <c r="H128" s="25"/>
      <c r="I128" s="26"/>
      <c r="J128" s="26"/>
      <c r="K128" s="26"/>
      <c r="L128" s="26"/>
      <c r="M128" s="26"/>
      <c r="N128" s="26"/>
      <c r="O128" s="26"/>
      <c r="P128" s="27">
        <f>IF($B128&lt;&gt;"Challan","",I128+J128+K128+L128+M128+N128)</f>
      </c>
      <c r="Q128" s="25"/>
      <c r="R128" s="25"/>
      <c r="S128" s="25"/>
      <c r="T128" s="25"/>
      <c r="U128" s="25"/>
      <c r="V128" s="28"/>
      <c r="W128" s="28"/>
      <c r="X128" s="23">
        <f>IF($B128="Entry",IF(AND(LEN(TRIM(UPPER(W128)))=10,CODE(MID(TRIM(UPPER(W128)),1,1))&gt;=65,CODE(MID(TRIM(UPPER(W128)),1,1))&lt;=90,CODE(MID(TRIM(UPPER(W128)),2,1))&gt;=65,CODE(MID(TRIM(UPPER(W128)),2,1))&lt;=90,CODE(MID(TRIM(UPPER(W128)),3,1))&gt;=65,CODE(MID(TRIM(UPPER(W128)),3,1))&lt;=90,CODE(MID(TRIM(UPPER(W128)),4,1))&gt;=65,CODE(MID(TRIM(UPPER(W128)),4,1))&lt;=90,CODE(MID(TRIM(UPPER(W128)),5,1))&gt;=65,CODE(MID(TRIM(UPPER(W128)),5,1))&lt;=90,CODE(MID(TRIM(UPPER(W128)),10,1))&gt;=65,CODE(MID(TRIM(UPPER(W128)),10,1))&lt;=90,CODE(MID(TRIM(UPPER(W128)),6,1))&gt;=48,CODE(MID(TRIM(UPPER(W128)),6,1))&lt;=57,CODE(MID(TRIM(UPPER(W128)),7,1))&gt;=48,CODE(MID(TRIM(UPPER(W128)),7,1))&lt;=57,CODE(MID(TRIM(UPPER(W128)),8,1))&gt;=48,CODE(MID(TRIM(UPPER(W128)),8,1))&lt;=57,CODE(MID(TRIM(UPPER(W128)),9,1))&gt;=48,CODE(MID(TRIM(UPPER(W128)),9,1))&lt;=57),"N","Y"),IF($B128="Challan","",IF(W128&lt;&gt;"","◄ Set Row Type","")))</f>
      </c>
      <c r="Y128" s="23">
        <f>IF($B128="Entry",IF(LEN(W128)&lt;4,"",IF(UPPER(MID(W128,4,1))="P","Individual",IF(UPPER(MID(W128,4,1))="H","HUF",IF(UPPER(MID(W128,4,1))="C","Company",IF(UPPER(MID(W128,4,1))="F","Firm",IF(UPPER(MID(W128,4,1))="L","LLP",IF(UPPER(MID(W128,4,1))="T","Trust",IF(UPPER(MID(W128,4,1))="A","AOP","")))))))),IF($B128="Challan","",IF(W128&lt;&gt;"","◄ Set Row Type","")))</f>
      </c>
      <c r="Z128" s="28"/>
      <c r="AA128" s="29">
        <f>IF($B128&lt;&gt;"Entry","",IF(Z128="","",IF(X128="Y",SUMPRODUCT(('Rate Lookup'!$A$1:$A$37=Z128)*'Rate Lookup'!$D$1:$D$37),IF(OR(Y128="Individual",Y128="HUF"),SUMPRODUCT(('Rate Lookup'!$A$1:$A$37=Z128)*'Rate Lookup'!$B$1:$B$37),SUMPRODUCT(('Rate Lookup'!$A$1:$A$37=Z128)*'Rate Lookup'!$C$1:$C$37)))))</f>
      </c>
      <c r="AB128" s="30"/>
      <c r="AC128" s="31"/>
      <c r="AD128" s="27">
        <f>IF($B128&lt;&gt;"Entry","",ROUND(AC128*AA128/100,0))</f>
      </c>
      <c r="AE128" s="27">
        <f>IF($B128&lt;&gt;"Entry","",0)</f>
      </c>
      <c r="AF128" s="27">
        <f>IF($B128&lt;&gt;"Entry","",0)</f>
      </c>
      <c r="AG128" s="27">
        <f>IF($B128&lt;&gt;"Entry","",IF(OR(AD128=0,AB128="",AQ128="",AQ128&lt;=0),0,IF(AQ128&lt;=DATE(YEAR(AB128),MONTH(AB128)+1,7),0,ROUND(AD128*0.015*((YEAR(AQ128)-YEAR(AB128))*12+(MONTH(AQ128)-MONTH(AB128))+1),0))))</f>
      </c>
      <c r="AH128" s="27">
        <f>IF($B128&lt;&gt;"Entry","",0)</f>
      </c>
      <c r="AI128" s="28"/>
      <c r="AJ128" s="28"/>
      <c r="AK128" s="32"/>
      <c r="AL128" s="28"/>
      <c r="AM128" s="28"/>
      <c r="AN128" s="27">
        <f>IF($B128&lt;&gt;"Challan","",SUMIF('Q1 Data'!$D$4:$D$207,D128,'Q1 Data'!$AD$4:$AD$207)+SUMIF('Q1 Data'!$D$4:$D$207,D128,'Q1 Data'!$AG$4:$AG$207)+SUMIF('Q1 Data'!$D$4:$D$207,D128,'Q1 Data'!$AE$4:$AE$207)+SUMIF('Q2 Data'!$D$4:$D$207,D128,'Q2 Data'!$AD$4:$AD$207)+SUMIF('Q2 Data'!$D$4:$D$207,D128,'Q2 Data'!$AG$4:$AG$207)+SUMIF('Q2 Data'!$D$4:$D$207,D128,'Q2 Data'!$AE$4:$AE$207)+SUMIF('Q3 Data'!$D$4:$D$207,D128,'Q3 Data'!$AD$4:$AD$207)+SUMIF('Q3 Data'!$D$4:$D$207,D128,'Q3 Data'!$AG$4:$AG$207)+SUMIF('Q3 Data'!$D$4:$D$207,D128,'Q3 Data'!$AE$4:$AE$207)+SUMIF('Q4 Data'!$D$4:$D$207,D128,'Q4 Data'!$AD$4:$AD$207)+SUMIF('Q4 Data'!$D$4:$D$207,D128,'Q4 Data'!$AG$4:$AG$207)+SUMIF('Q4 Data'!$D$4:$D$207,D128,'Q4 Data'!$AE$4:$AE$207))</f>
      </c>
      <c r="AO128" s="27">
        <f>IF($B128&lt;&gt;"Challan","",P128-N128)</f>
      </c>
      <c r="AP128" s="27">
        <f>IF($B128&lt;&gt;"Challan","",MAX(0,AO128-AN128))</f>
      </c>
      <c r="AQ128" s="33">
        <f>IF($B128&lt;&gt;"Entry","",SUMPRODUCT(('Q1 Data'!$D$4:$D$207=D128)*('Q1 Data'!$B$4:$B$207="Challan")*'Q1 Data'!$F$4:$F$207)+SUMPRODUCT(('Q2 Data'!$D$4:$D$207=D128)*('Q2 Data'!$B$4:$B$207="Challan")*'Q2 Data'!$F$4:$F$207)+SUMPRODUCT(('Q3 Data'!$D$4:$D$207=D128)*('Q3 Data'!$B$4:$B$207="Challan")*'Q3 Data'!$F$4:$F$207)+SUMPRODUCT(('Q4 Data'!$D$4:$D$207=D128)*('Q4 Data'!$B$4:$B$207="Challan")*'Q4 Data'!$F$4:$F$207))</f>
      </c>
      <c r="AR128" s="34">
        <f>IF(OR($B128&lt;&gt;"Entry",Z128=""),FALSE,AND((SUMPRODUCT(('Q1 Data'!$D$4:$D$207=D128)*('Q1 Data'!$B$4:$B$207="Challan")*('Q1 Data'!$H$4:$H$207&lt;&gt;""))+SUMPRODUCT(('Q2 Data'!$D$4:$D$207=D128)*('Q2 Data'!$B$4:$B$207="Challan")*('Q2 Data'!$H$4:$H$207&lt;&gt;""))+SUMPRODUCT(('Q3 Data'!$D$4:$D$207=D128)*('Q3 Data'!$B$4:$B$207="Challan")*('Q3 Data'!$H$4:$H$207&lt;&gt;""))+SUMPRODUCT(('Q4 Data'!$D$4:$D$207=D128)*('Q4 Data'!$B$4:$B$207="Challan")*('Q4 Data'!$H$4:$H$207&lt;&gt;"")))&gt;0,(SUMPRODUCT(('Q1 Data'!$D$4:$D$207=D128)*('Q1 Data'!$B$4:$B$207="Challan")*('Q1 Data'!$H$4:$H$207=Z128))+SUMPRODUCT(('Q2 Data'!$D$4:$D$207=D128)*('Q2 Data'!$B$4:$B$207="Challan")*('Q2 Data'!$H$4:$H$207=Z128))+SUMPRODUCT(('Q3 Data'!$D$4:$D$207=D128)*('Q3 Data'!$B$4:$B$207="Challan")*('Q3 Data'!$H$4:$H$207=Z128))+SUMPRODUCT(('Q4 Data'!$D$4:$D$207=D128)*('Q4 Data'!$B$4:$B$207="Challan")*('Q4 Data'!$H$4:$H$207=Z128)))=0))</f>
      </c>
    </row>
    <row r="129" spans="1:44" x14ac:dyDescent="0.25">
      <c r="A129" s="20">
        <f>IF($B129="Entry",COUNTIF($B$4:$B129,"Entry"),"")</f>
      </c>
      <c r="B129" s="21"/>
      <c r="C129" s="22"/>
      <c r="D129" s="22"/>
      <c r="E129" s="23">
        <f>IF($B129&lt;&gt;"Challan","",IF(ROUND(AN129-AO129,2)&gt;0,"Over-applied",IF(ROUND(AN129-AO129,2)=0,"Fully Utilised","Unconsumed")))</f>
      </c>
      <c r="F129" s="24"/>
      <c r="G129" s="25"/>
      <c r="H129" s="25"/>
      <c r="I129" s="26"/>
      <c r="J129" s="26"/>
      <c r="K129" s="26"/>
      <c r="L129" s="26"/>
      <c r="M129" s="26"/>
      <c r="N129" s="26"/>
      <c r="O129" s="26"/>
      <c r="P129" s="27">
        <f>IF($B129&lt;&gt;"Challan","",I129+J129+K129+L129+M129+N129)</f>
      </c>
      <c r="Q129" s="25"/>
      <c r="R129" s="25"/>
      <c r="S129" s="25"/>
      <c r="T129" s="25"/>
      <c r="U129" s="25"/>
      <c r="V129" s="28"/>
      <c r="W129" s="28"/>
      <c r="X129" s="23">
        <f>IF($B129="Entry",IF(AND(LEN(TRIM(UPPER(W129)))=10,CODE(MID(TRIM(UPPER(W129)),1,1))&gt;=65,CODE(MID(TRIM(UPPER(W129)),1,1))&lt;=90,CODE(MID(TRIM(UPPER(W129)),2,1))&gt;=65,CODE(MID(TRIM(UPPER(W129)),2,1))&lt;=90,CODE(MID(TRIM(UPPER(W129)),3,1))&gt;=65,CODE(MID(TRIM(UPPER(W129)),3,1))&lt;=90,CODE(MID(TRIM(UPPER(W129)),4,1))&gt;=65,CODE(MID(TRIM(UPPER(W129)),4,1))&lt;=90,CODE(MID(TRIM(UPPER(W129)),5,1))&gt;=65,CODE(MID(TRIM(UPPER(W129)),5,1))&lt;=90,CODE(MID(TRIM(UPPER(W129)),10,1))&gt;=65,CODE(MID(TRIM(UPPER(W129)),10,1))&lt;=90,CODE(MID(TRIM(UPPER(W129)),6,1))&gt;=48,CODE(MID(TRIM(UPPER(W129)),6,1))&lt;=57,CODE(MID(TRIM(UPPER(W129)),7,1))&gt;=48,CODE(MID(TRIM(UPPER(W129)),7,1))&lt;=57,CODE(MID(TRIM(UPPER(W129)),8,1))&gt;=48,CODE(MID(TRIM(UPPER(W129)),8,1))&lt;=57,CODE(MID(TRIM(UPPER(W129)),9,1))&gt;=48,CODE(MID(TRIM(UPPER(W129)),9,1))&lt;=57),"N","Y"),IF($B129="Challan","",IF(W129&lt;&gt;"","◄ Set Row Type","")))</f>
      </c>
      <c r="Y129" s="23">
        <f>IF($B129="Entry",IF(LEN(W129)&lt;4,"",IF(UPPER(MID(W129,4,1))="P","Individual",IF(UPPER(MID(W129,4,1))="H","HUF",IF(UPPER(MID(W129,4,1))="C","Company",IF(UPPER(MID(W129,4,1))="F","Firm",IF(UPPER(MID(W129,4,1))="L","LLP",IF(UPPER(MID(W129,4,1))="T","Trust",IF(UPPER(MID(W129,4,1))="A","AOP","")))))))),IF($B129="Challan","",IF(W129&lt;&gt;"","◄ Set Row Type","")))</f>
      </c>
      <c r="Z129" s="28"/>
      <c r="AA129" s="29">
        <f>IF($B129&lt;&gt;"Entry","",IF(Z129="","",IF(X129="Y",SUMPRODUCT(('Rate Lookup'!$A$1:$A$37=Z129)*'Rate Lookup'!$D$1:$D$37),IF(OR(Y129="Individual",Y129="HUF"),SUMPRODUCT(('Rate Lookup'!$A$1:$A$37=Z129)*'Rate Lookup'!$B$1:$B$37),SUMPRODUCT(('Rate Lookup'!$A$1:$A$37=Z129)*'Rate Lookup'!$C$1:$C$37)))))</f>
      </c>
      <c r="AB129" s="30"/>
      <c r="AC129" s="31"/>
      <c r="AD129" s="27">
        <f>IF($B129&lt;&gt;"Entry","",ROUND(AC129*AA129/100,0))</f>
      </c>
      <c r="AE129" s="27">
        <f>IF($B129&lt;&gt;"Entry","",0)</f>
      </c>
      <c r="AF129" s="27">
        <f>IF($B129&lt;&gt;"Entry","",0)</f>
      </c>
      <c r="AG129" s="27">
        <f>IF($B129&lt;&gt;"Entry","",IF(OR(AD129=0,AB129="",AQ129="",AQ129&lt;=0),0,IF(AQ129&lt;=DATE(YEAR(AB129),MONTH(AB129)+1,7),0,ROUND(AD129*0.015*((YEAR(AQ129)-YEAR(AB129))*12+(MONTH(AQ129)-MONTH(AB129))+1),0))))</f>
      </c>
      <c r="AH129" s="27">
        <f>IF($B129&lt;&gt;"Entry","",0)</f>
      </c>
      <c r="AI129" s="28"/>
      <c r="AJ129" s="28"/>
      <c r="AK129" s="32"/>
      <c r="AL129" s="28"/>
      <c r="AM129" s="28"/>
      <c r="AN129" s="27">
        <f>IF($B129&lt;&gt;"Challan","",SUMIF('Q1 Data'!$D$4:$D$207,D129,'Q1 Data'!$AD$4:$AD$207)+SUMIF('Q1 Data'!$D$4:$D$207,D129,'Q1 Data'!$AG$4:$AG$207)+SUMIF('Q1 Data'!$D$4:$D$207,D129,'Q1 Data'!$AE$4:$AE$207)+SUMIF('Q2 Data'!$D$4:$D$207,D129,'Q2 Data'!$AD$4:$AD$207)+SUMIF('Q2 Data'!$D$4:$D$207,D129,'Q2 Data'!$AG$4:$AG$207)+SUMIF('Q2 Data'!$D$4:$D$207,D129,'Q2 Data'!$AE$4:$AE$207)+SUMIF('Q3 Data'!$D$4:$D$207,D129,'Q3 Data'!$AD$4:$AD$207)+SUMIF('Q3 Data'!$D$4:$D$207,D129,'Q3 Data'!$AG$4:$AG$207)+SUMIF('Q3 Data'!$D$4:$D$207,D129,'Q3 Data'!$AE$4:$AE$207)+SUMIF('Q4 Data'!$D$4:$D$207,D129,'Q4 Data'!$AD$4:$AD$207)+SUMIF('Q4 Data'!$D$4:$D$207,D129,'Q4 Data'!$AG$4:$AG$207)+SUMIF('Q4 Data'!$D$4:$D$207,D129,'Q4 Data'!$AE$4:$AE$207))</f>
      </c>
      <c r="AO129" s="27">
        <f>IF($B129&lt;&gt;"Challan","",P129-N129)</f>
      </c>
      <c r="AP129" s="27">
        <f>IF($B129&lt;&gt;"Challan","",MAX(0,AO129-AN129))</f>
      </c>
      <c r="AQ129" s="33">
        <f>IF($B129&lt;&gt;"Entry","",SUMPRODUCT(('Q1 Data'!$D$4:$D$207=D129)*('Q1 Data'!$B$4:$B$207="Challan")*'Q1 Data'!$F$4:$F$207)+SUMPRODUCT(('Q2 Data'!$D$4:$D$207=D129)*('Q2 Data'!$B$4:$B$207="Challan")*'Q2 Data'!$F$4:$F$207)+SUMPRODUCT(('Q3 Data'!$D$4:$D$207=D129)*('Q3 Data'!$B$4:$B$207="Challan")*'Q3 Data'!$F$4:$F$207)+SUMPRODUCT(('Q4 Data'!$D$4:$D$207=D129)*('Q4 Data'!$B$4:$B$207="Challan")*'Q4 Data'!$F$4:$F$207))</f>
      </c>
      <c r="AR129" s="34">
        <f>IF(OR($B129&lt;&gt;"Entry",Z129=""),FALSE,AND((SUMPRODUCT(('Q1 Data'!$D$4:$D$207=D129)*('Q1 Data'!$B$4:$B$207="Challan")*('Q1 Data'!$H$4:$H$207&lt;&gt;""))+SUMPRODUCT(('Q2 Data'!$D$4:$D$207=D129)*('Q2 Data'!$B$4:$B$207="Challan")*('Q2 Data'!$H$4:$H$207&lt;&gt;""))+SUMPRODUCT(('Q3 Data'!$D$4:$D$207=D129)*('Q3 Data'!$B$4:$B$207="Challan")*('Q3 Data'!$H$4:$H$207&lt;&gt;""))+SUMPRODUCT(('Q4 Data'!$D$4:$D$207=D129)*('Q4 Data'!$B$4:$B$207="Challan")*('Q4 Data'!$H$4:$H$207&lt;&gt;"")))&gt;0,(SUMPRODUCT(('Q1 Data'!$D$4:$D$207=D129)*('Q1 Data'!$B$4:$B$207="Challan")*('Q1 Data'!$H$4:$H$207=Z129))+SUMPRODUCT(('Q2 Data'!$D$4:$D$207=D129)*('Q2 Data'!$B$4:$B$207="Challan")*('Q2 Data'!$H$4:$H$207=Z129))+SUMPRODUCT(('Q3 Data'!$D$4:$D$207=D129)*('Q3 Data'!$B$4:$B$207="Challan")*('Q3 Data'!$H$4:$H$207=Z129))+SUMPRODUCT(('Q4 Data'!$D$4:$D$207=D129)*('Q4 Data'!$B$4:$B$207="Challan")*('Q4 Data'!$H$4:$H$207=Z129)))=0))</f>
      </c>
    </row>
    <row r="130" spans="1:44" x14ac:dyDescent="0.25">
      <c r="A130" s="20">
        <f>IF($B130="Entry",COUNTIF($B$4:$B130,"Entry"),"")</f>
      </c>
      <c r="B130" s="21"/>
      <c r="C130" s="22"/>
      <c r="D130" s="22"/>
      <c r="E130" s="23">
        <f>IF($B130&lt;&gt;"Challan","",IF(ROUND(AN130-AO130,2)&gt;0,"Over-applied",IF(ROUND(AN130-AO130,2)=0,"Fully Utilised","Unconsumed")))</f>
      </c>
      <c r="F130" s="24"/>
      <c r="G130" s="25"/>
      <c r="H130" s="25"/>
      <c r="I130" s="26"/>
      <c r="J130" s="26"/>
      <c r="K130" s="26"/>
      <c r="L130" s="26"/>
      <c r="M130" s="26"/>
      <c r="N130" s="26"/>
      <c r="O130" s="26"/>
      <c r="P130" s="27">
        <f>IF($B130&lt;&gt;"Challan","",I130+J130+K130+L130+M130+N130)</f>
      </c>
      <c r="Q130" s="25"/>
      <c r="R130" s="25"/>
      <c r="S130" s="25"/>
      <c r="T130" s="25"/>
      <c r="U130" s="25"/>
      <c r="V130" s="28"/>
      <c r="W130" s="28"/>
      <c r="X130" s="23">
        <f>IF($B130="Entry",IF(AND(LEN(TRIM(UPPER(W130)))=10,CODE(MID(TRIM(UPPER(W130)),1,1))&gt;=65,CODE(MID(TRIM(UPPER(W130)),1,1))&lt;=90,CODE(MID(TRIM(UPPER(W130)),2,1))&gt;=65,CODE(MID(TRIM(UPPER(W130)),2,1))&lt;=90,CODE(MID(TRIM(UPPER(W130)),3,1))&gt;=65,CODE(MID(TRIM(UPPER(W130)),3,1))&lt;=90,CODE(MID(TRIM(UPPER(W130)),4,1))&gt;=65,CODE(MID(TRIM(UPPER(W130)),4,1))&lt;=90,CODE(MID(TRIM(UPPER(W130)),5,1))&gt;=65,CODE(MID(TRIM(UPPER(W130)),5,1))&lt;=90,CODE(MID(TRIM(UPPER(W130)),10,1))&gt;=65,CODE(MID(TRIM(UPPER(W130)),10,1))&lt;=90,CODE(MID(TRIM(UPPER(W130)),6,1))&gt;=48,CODE(MID(TRIM(UPPER(W130)),6,1))&lt;=57,CODE(MID(TRIM(UPPER(W130)),7,1))&gt;=48,CODE(MID(TRIM(UPPER(W130)),7,1))&lt;=57,CODE(MID(TRIM(UPPER(W130)),8,1))&gt;=48,CODE(MID(TRIM(UPPER(W130)),8,1))&lt;=57,CODE(MID(TRIM(UPPER(W130)),9,1))&gt;=48,CODE(MID(TRIM(UPPER(W130)),9,1))&lt;=57),"N","Y"),IF($B130="Challan","",IF(W130&lt;&gt;"","◄ Set Row Type","")))</f>
      </c>
      <c r="Y130" s="23">
        <f>IF($B130="Entry",IF(LEN(W130)&lt;4,"",IF(UPPER(MID(W130,4,1))="P","Individual",IF(UPPER(MID(W130,4,1))="H","HUF",IF(UPPER(MID(W130,4,1))="C","Company",IF(UPPER(MID(W130,4,1))="F","Firm",IF(UPPER(MID(W130,4,1))="L","LLP",IF(UPPER(MID(W130,4,1))="T","Trust",IF(UPPER(MID(W130,4,1))="A","AOP","")))))))),IF($B130="Challan","",IF(W130&lt;&gt;"","◄ Set Row Type","")))</f>
      </c>
      <c r="Z130" s="28"/>
      <c r="AA130" s="29">
        <f>IF($B130&lt;&gt;"Entry","",IF(Z130="","",IF(X130="Y",SUMPRODUCT(('Rate Lookup'!$A$1:$A$37=Z130)*'Rate Lookup'!$D$1:$D$37),IF(OR(Y130="Individual",Y130="HUF"),SUMPRODUCT(('Rate Lookup'!$A$1:$A$37=Z130)*'Rate Lookup'!$B$1:$B$37),SUMPRODUCT(('Rate Lookup'!$A$1:$A$37=Z130)*'Rate Lookup'!$C$1:$C$37)))))</f>
      </c>
      <c r="AB130" s="30"/>
      <c r="AC130" s="31"/>
      <c r="AD130" s="27">
        <f>IF($B130&lt;&gt;"Entry","",ROUND(AC130*AA130/100,0))</f>
      </c>
      <c r="AE130" s="27">
        <f>IF($B130&lt;&gt;"Entry","",0)</f>
      </c>
      <c r="AF130" s="27">
        <f>IF($B130&lt;&gt;"Entry","",0)</f>
      </c>
      <c r="AG130" s="27">
        <f>IF($B130&lt;&gt;"Entry","",IF(OR(AD130=0,AB130="",AQ130="",AQ130&lt;=0),0,IF(AQ130&lt;=DATE(YEAR(AB130),MONTH(AB130)+1,7),0,ROUND(AD130*0.015*((YEAR(AQ130)-YEAR(AB130))*12+(MONTH(AQ130)-MONTH(AB130))+1),0))))</f>
      </c>
      <c r="AH130" s="27">
        <f>IF($B130&lt;&gt;"Entry","",0)</f>
      </c>
      <c r="AI130" s="28"/>
      <c r="AJ130" s="28"/>
      <c r="AK130" s="32"/>
      <c r="AL130" s="28"/>
      <c r="AM130" s="28"/>
      <c r="AN130" s="27">
        <f>IF($B130&lt;&gt;"Challan","",SUMIF('Q1 Data'!$D$4:$D$207,D130,'Q1 Data'!$AD$4:$AD$207)+SUMIF('Q1 Data'!$D$4:$D$207,D130,'Q1 Data'!$AG$4:$AG$207)+SUMIF('Q1 Data'!$D$4:$D$207,D130,'Q1 Data'!$AE$4:$AE$207)+SUMIF('Q2 Data'!$D$4:$D$207,D130,'Q2 Data'!$AD$4:$AD$207)+SUMIF('Q2 Data'!$D$4:$D$207,D130,'Q2 Data'!$AG$4:$AG$207)+SUMIF('Q2 Data'!$D$4:$D$207,D130,'Q2 Data'!$AE$4:$AE$207)+SUMIF('Q3 Data'!$D$4:$D$207,D130,'Q3 Data'!$AD$4:$AD$207)+SUMIF('Q3 Data'!$D$4:$D$207,D130,'Q3 Data'!$AG$4:$AG$207)+SUMIF('Q3 Data'!$D$4:$D$207,D130,'Q3 Data'!$AE$4:$AE$207)+SUMIF('Q4 Data'!$D$4:$D$207,D130,'Q4 Data'!$AD$4:$AD$207)+SUMIF('Q4 Data'!$D$4:$D$207,D130,'Q4 Data'!$AG$4:$AG$207)+SUMIF('Q4 Data'!$D$4:$D$207,D130,'Q4 Data'!$AE$4:$AE$207))</f>
      </c>
      <c r="AO130" s="27">
        <f>IF($B130&lt;&gt;"Challan","",P130-N130)</f>
      </c>
      <c r="AP130" s="27">
        <f>IF($B130&lt;&gt;"Challan","",MAX(0,AO130-AN130))</f>
      </c>
      <c r="AQ130" s="33">
        <f>IF($B130&lt;&gt;"Entry","",SUMPRODUCT(('Q1 Data'!$D$4:$D$207=D130)*('Q1 Data'!$B$4:$B$207="Challan")*'Q1 Data'!$F$4:$F$207)+SUMPRODUCT(('Q2 Data'!$D$4:$D$207=D130)*('Q2 Data'!$B$4:$B$207="Challan")*'Q2 Data'!$F$4:$F$207)+SUMPRODUCT(('Q3 Data'!$D$4:$D$207=D130)*('Q3 Data'!$B$4:$B$207="Challan")*'Q3 Data'!$F$4:$F$207)+SUMPRODUCT(('Q4 Data'!$D$4:$D$207=D130)*('Q4 Data'!$B$4:$B$207="Challan")*'Q4 Data'!$F$4:$F$207))</f>
      </c>
      <c r="AR130" s="34">
        <f>IF(OR($B130&lt;&gt;"Entry",Z130=""),FALSE,AND((SUMPRODUCT(('Q1 Data'!$D$4:$D$207=D130)*('Q1 Data'!$B$4:$B$207="Challan")*('Q1 Data'!$H$4:$H$207&lt;&gt;""))+SUMPRODUCT(('Q2 Data'!$D$4:$D$207=D130)*('Q2 Data'!$B$4:$B$207="Challan")*('Q2 Data'!$H$4:$H$207&lt;&gt;""))+SUMPRODUCT(('Q3 Data'!$D$4:$D$207=D130)*('Q3 Data'!$B$4:$B$207="Challan")*('Q3 Data'!$H$4:$H$207&lt;&gt;""))+SUMPRODUCT(('Q4 Data'!$D$4:$D$207=D130)*('Q4 Data'!$B$4:$B$207="Challan")*('Q4 Data'!$H$4:$H$207&lt;&gt;"")))&gt;0,(SUMPRODUCT(('Q1 Data'!$D$4:$D$207=D130)*('Q1 Data'!$B$4:$B$207="Challan")*('Q1 Data'!$H$4:$H$207=Z130))+SUMPRODUCT(('Q2 Data'!$D$4:$D$207=D130)*('Q2 Data'!$B$4:$B$207="Challan")*('Q2 Data'!$H$4:$H$207=Z130))+SUMPRODUCT(('Q3 Data'!$D$4:$D$207=D130)*('Q3 Data'!$B$4:$B$207="Challan")*('Q3 Data'!$H$4:$H$207=Z130))+SUMPRODUCT(('Q4 Data'!$D$4:$D$207=D130)*('Q4 Data'!$B$4:$B$207="Challan")*('Q4 Data'!$H$4:$H$207=Z130)))=0))</f>
      </c>
    </row>
    <row r="131" spans="1:44" x14ac:dyDescent="0.25">
      <c r="A131" s="20">
        <f>IF($B131="Entry",COUNTIF($B$4:$B131,"Entry"),"")</f>
      </c>
      <c r="B131" s="21"/>
      <c r="C131" s="22"/>
      <c r="D131" s="22"/>
      <c r="E131" s="23">
        <f>IF($B131&lt;&gt;"Challan","",IF(ROUND(AN131-AO131,2)&gt;0,"Over-applied",IF(ROUND(AN131-AO131,2)=0,"Fully Utilised","Unconsumed")))</f>
      </c>
      <c r="F131" s="24"/>
      <c r="G131" s="25"/>
      <c r="H131" s="25"/>
      <c r="I131" s="26"/>
      <c r="J131" s="26"/>
      <c r="K131" s="26"/>
      <c r="L131" s="26"/>
      <c r="M131" s="26"/>
      <c r="N131" s="26"/>
      <c r="O131" s="26"/>
      <c r="P131" s="27">
        <f>IF($B131&lt;&gt;"Challan","",I131+J131+K131+L131+M131+N131)</f>
      </c>
      <c r="Q131" s="25"/>
      <c r="R131" s="25"/>
      <c r="S131" s="25"/>
      <c r="T131" s="25"/>
      <c r="U131" s="25"/>
      <c r="V131" s="28"/>
      <c r="W131" s="28"/>
      <c r="X131" s="23">
        <f>IF($B131="Entry",IF(AND(LEN(TRIM(UPPER(W131)))=10,CODE(MID(TRIM(UPPER(W131)),1,1))&gt;=65,CODE(MID(TRIM(UPPER(W131)),1,1))&lt;=90,CODE(MID(TRIM(UPPER(W131)),2,1))&gt;=65,CODE(MID(TRIM(UPPER(W131)),2,1))&lt;=90,CODE(MID(TRIM(UPPER(W131)),3,1))&gt;=65,CODE(MID(TRIM(UPPER(W131)),3,1))&lt;=90,CODE(MID(TRIM(UPPER(W131)),4,1))&gt;=65,CODE(MID(TRIM(UPPER(W131)),4,1))&lt;=90,CODE(MID(TRIM(UPPER(W131)),5,1))&gt;=65,CODE(MID(TRIM(UPPER(W131)),5,1))&lt;=90,CODE(MID(TRIM(UPPER(W131)),10,1))&gt;=65,CODE(MID(TRIM(UPPER(W131)),10,1))&lt;=90,CODE(MID(TRIM(UPPER(W131)),6,1))&gt;=48,CODE(MID(TRIM(UPPER(W131)),6,1))&lt;=57,CODE(MID(TRIM(UPPER(W131)),7,1))&gt;=48,CODE(MID(TRIM(UPPER(W131)),7,1))&lt;=57,CODE(MID(TRIM(UPPER(W131)),8,1))&gt;=48,CODE(MID(TRIM(UPPER(W131)),8,1))&lt;=57,CODE(MID(TRIM(UPPER(W131)),9,1))&gt;=48,CODE(MID(TRIM(UPPER(W131)),9,1))&lt;=57),"N","Y"),IF($B131="Challan","",IF(W131&lt;&gt;"","◄ Set Row Type","")))</f>
      </c>
      <c r="Y131" s="23">
        <f>IF($B131="Entry",IF(LEN(W131)&lt;4,"",IF(UPPER(MID(W131,4,1))="P","Individual",IF(UPPER(MID(W131,4,1))="H","HUF",IF(UPPER(MID(W131,4,1))="C","Company",IF(UPPER(MID(W131,4,1))="F","Firm",IF(UPPER(MID(W131,4,1))="L","LLP",IF(UPPER(MID(W131,4,1))="T","Trust",IF(UPPER(MID(W131,4,1))="A","AOP","")))))))),IF($B131="Challan","",IF(W131&lt;&gt;"","◄ Set Row Type","")))</f>
      </c>
      <c r="Z131" s="28"/>
      <c r="AA131" s="29">
        <f>IF($B131&lt;&gt;"Entry","",IF(Z131="","",IF(X131="Y",SUMPRODUCT(('Rate Lookup'!$A$1:$A$37=Z131)*'Rate Lookup'!$D$1:$D$37),IF(OR(Y131="Individual",Y131="HUF"),SUMPRODUCT(('Rate Lookup'!$A$1:$A$37=Z131)*'Rate Lookup'!$B$1:$B$37),SUMPRODUCT(('Rate Lookup'!$A$1:$A$37=Z131)*'Rate Lookup'!$C$1:$C$37)))))</f>
      </c>
      <c r="AB131" s="30"/>
      <c r="AC131" s="31"/>
      <c r="AD131" s="27">
        <f>IF($B131&lt;&gt;"Entry","",ROUND(AC131*AA131/100,0))</f>
      </c>
      <c r="AE131" s="27">
        <f>IF($B131&lt;&gt;"Entry","",0)</f>
      </c>
      <c r="AF131" s="27">
        <f>IF($B131&lt;&gt;"Entry","",0)</f>
      </c>
      <c r="AG131" s="27">
        <f>IF($B131&lt;&gt;"Entry","",IF(OR(AD131=0,AB131="",AQ131="",AQ131&lt;=0),0,IF(AQ131&lt;=DATE(YEAR(AB131),MONTH(AB131)+1,7),0,ROUND(AD131*0.015*((YEAR(AQ131)-YEAR(AB131))*12+(MONTH(AQ131)-MONTH(AB131))+1),0))))</f>
      </c>
      <c r="AH131" s="27">
        <f>IF($B131&lt;&gt;"Entry","",0)</f>
      </c>
      <c r="AI131" s="28"/>
      <c r="AJ131" s="28"/>
      <c r="AK131" s="32"/>
      <c r="AL131" s="28"/>
      <c r="AM131" s="28"/>
      <c r="AN131" s="27">
        <f>IF($B131&lt;&gt;"Challan","",SUMIF('Q1 Data'!$D$4:$D$207,D131,'Q1 Data'!$AD$4:$AD$207)+SUMIF('Q1 Data'!$D$4:$D$207,D131,'Q1 Data'!$AG$4:$AG$207)+SUMIF('Q1 Data'!$D$4:$D$207,D131,'Q1 Data'!$AE$4:$AE$207)+SUMIF('Q2 Data'!$D$4:$D$207,D131,'Q2 Data'!$AD$4:$AD$207)+SUMIF('Q2 Data'!$D$4:$D$207,D131,'Q2 Data'!$AG$4:$AG$207)+SUMIF('Q2 Data'!$D$4:$D$207,D131,'Q2 Data'!$AE$4:$AE$207)+SUMIF('Q3 Data'!$D$4:$D$207,D131,'Q3 Data'!$AD$4:$AD$207)+SUMIF('Q3 Data'!$D$4:$D$207,D131,'Q3 Data'!$AG$4:$AG$207)+SUMIF('Q3 Data'!$D$4:$D$207,D131,'Q3 Data'!$AE$4:$AE$207)+SUMIF('Q4 Data'!$D$4:$D$207,D131,'Q4 Data'!$AD$4:$AD$207)+SUMIF('Q4 Data'!$D$4:$D$207,D131,'Q4 Data'!$AG$4:$AG$207)+SUMIF('Q4 Data'!$D$4:$D$207,D131,'Q4 Data'!$AE$4:$AE$207))</f>
      </c>
      <c r="AO131" s="27">
        <f>IF($B131&lt;&gt;"Challan","",P131-N131)</f>
      </c>
      <c r="AP131" s="27">
        <f>IF($B131&lt;&gt;"Challan","",MAX(0,AO131-AN131))</f>
      </c>
      <c r="AQ131" s="33">
        <f>IF($B131&lt;&gt;"Entry","",SUMPRODUCT(('Q1 Data'!$D$4:$D$207=D131)*('Q1 Data'!$B$4:$B$207="Challan")*'Q1 Data'!$F$4:$F$207)+SUMPRODUCT(('Q2 Data'!$D$4:$D$207=D131)*('Q2 Data'!$B$4:$B$207="Challan")*'Q2 Data'!$F$4:$F$207)+SUMPRODUCT(('Q3 Data'!$D$4:$D$207=D131)*('Q3 Data'!$B$4:$B$207="Challan")*'Q3 Data'!$F$4:$F$207)+SUMPRODUCT(('Q4 Data'!$D$4:$D$207=D131)*('Q4 Data'!$B$4:$B$207="Challan")*'Q4 Data'!$F$4:$F$207))</f>
      </c>
      <c r="AR131" s="34">
        <f>IF(OR($B131&lt;&gt;"Entry",Z131=""),FALSE,AND((SUMPRODUCT(('Q1 Data'!$D$4:$D$207=D131)*('Q1 Data'!$B$4:$B$207="Challan")*('Q1 Data'!$H$4:$H$207&lt;&gt;""))+SUMPRODUCT(('Q2 Data'!$D$4:$D$207=D131)*('Q2 Data'!$B$4:$B$207="Challan")*('Q2 Data'!$H$4:$H$207&lt;&gt;""))+SUMPRODUCT(('Q3 Data'!$D$4:$D$207=D131)*('Q3 Data'!$B$4:$B$207="Challan")*('Q3 Data'!$H$4:$H$207&lt;&gt;""))+SUMPRODUCT(('Q4 Data'!$D$4:$D$207=D131)*('Q4 Data'!$B$4:$B$207="Challan")*('Q4 Data'!$H$4:$H$207&lt;&gt;"")))&gt;0,(SUMPRODUCT(('Q1 Data'!$D$4:$D$207=D131)*('Q1 Data'!$B$4:$B$207="Challan")*('Q1 Data'!$H$4:$H$207=Z131))+SUMPRODUCT(('Q2 Data'!$D$4:$D$207=D131)*('Q2 Data'!$B$4:$B$207="Challan")*('Q2 Data'!$H$4:$H$207=Z131))+SUMPRODUCT(('Q3 Data'!$D$4:$D$207=D131)*('Q3 Data'!$B$4:$B$207="Challan")*('Q3 Data'!$H$4:$H$207=Z131))+SUMPRODUCT(('Q4 Data'!$D$4:$D$207=D131)*('Q4 Data'!$B$4:$B$207="Challan")*('Q4 Data'!$H$4:$H$207=Z131)))=0))</f>
      </c>
    </row>
    <row r="132" spans="1:44" x14ac:dyDescent="0.25">
      <c r="A132" s="20">
        <f>IF($B132="Entry",COUNTIF($B$4:$B132,"Entry"),"")</f>
      </c>
      <c r="B132" s="21"/>
      <c r="C132" s="22"/>
      <c r="D132" s="22"/>
      <c r="E132" s="23">
        <f>IF($B132&lt;&gt;"Challan","",IF(ROUND(AN132-AO132,2)&gt;0,"Over-applied",IF(ROUND(AN132-AO132,2)=0,"Fully Utilised","Unconsumed")))</f>
      </c>
      <c r="F132" s="24"/>
      <c r="G132" s="25"/>
      <c r="H132" s="25"/>
      <c r="I132" s="26"/>
      <c r="J132" s="26"/>
      <c r="K132" s="26"/>
      <c r="L132" s="26"/>
      <c r="M132" s="26"/>
      <c r="N132" s="26"/>
      <c r="O132" s="26"/>
      <c r="P132" s="27">
        <f>IF($B132&lt;&gt;"Challan","",I132+J132+K132+L132+M132+N132)</f>
      </c>
      <c r="Q132" s="25"/>
      <c r="R132" s="25"/>
      <c r="S132" s="25"/>
      <c r="T132" s="25"/>
      <c r="U132" s="25"/>
      <c r="V132" s="28"/>
      <c r="W132" s="28"/>
      <c r="X132" s="23">
        <f>IF($B132="Entry",IF(AND(LEN(TRIM(UPPER(W132)))=10,CODE(MID(TRIM(UPPER(W132)),1,1))&gt;=65,CODE(MID(TRIM(UPPER(W132)),1,1))&lt;=90,CODE(MID(TRIM(UPPER(W132)),2,1))&gt;=65,CODE(MID(TRIM(UPPER(W132)),2,1))&lt;=90,CODE(MID(TRIM(UPPER(W132)),3,1))&gt;=65,CODE(MID(TRIM(UPPER(W132)),3,1))&lt;=90,CODE(MID(TRIM(UPPER(W132)),4,1))&gt;=65,CODE(MID(TRIM(UPPER(W132)),4,1))&lt;=90,CODE(MID(TRIM(UPPER(W132)),5,1))&gt;=65,CODE(MID(TRIM(UPPER(W132)),5,1))&lt;=90,CODE(MID(TRIM(UPPER(W132)),10,1))&gt;=65,CODE(MID(TRIM(UPPER(W132)),10,1))&lt;=90,CODE(MID(TRIM(UPPER(W132)),6,1))&gt;=48,CODE(MID(TRIM(UPPER(W132)),6,1))&lt;=57,CODE(MID(TRIM(UPPER(W132)),7,1))&gt;=48,CODE(MID(TRIM(UPPER(W132)),7,1))&lt;=57,CODE(MID(TRIM(UPPER(W132)),8,1))&gt;=48,CODE(MID(TRIM(UPPER(W132)),8,1))&lt;=57,CODE(MID(TRIM(UPPER(W132)),9,1))&gt;=48,CODE(MID(TRIM(UPPER(W132)),9,1))&lt;=57),"N","Y"),IF($B132="Challan","",IF(W132&lt;&gt;"","◄ Set Row Type","")))</f>
      </c>
      <c r="Y132" s="23">
        <f>IF($B132="Entry",IF(LEN(W132)&lt;4,"",IF(UPPER(MID(W132,4,1))="P","Individual",IF(UPPER(MID(W132,4,1))="H","HUF",IF(UPPER(MID(W132,4,1))="C","Company",IF(UPPER(MID(W132,4,1))="F","Firm",IF(UPPER(MID(W132,4,1))="L","LLP",IF(UPPER(MID(W132,4,1))="T","Trust",IF(UPPER(MID(W132,4,1))="A","AOP","")))))))),IF($B132="Challan","",IF(W132&lt;&gt;"","◄ Set Row Type","")))</f>
      </c>
      <c r="Z132" s="28"/>
      <c r="AA132" s="29">
        <f>IF($B132&lt;&gt;"Entry","",IF(Z132="","",IF(X132="Y",SUMPRODUCT(('Rate Lookup'!$A$1:$A$37=Z132)*'Rate Lookup'!$D$1:$D$37),IF(OR(Y132="Individual",Y132="HUF"),SUMPRODUCT(('Rate Lookup'!$A$1:$A$37=Z132)*'Rate Lookup'!$B$1:$B$37),SUMPRODUCT(('Rate Lookup'!$A$1:$A$37=Z132)*'Rate Lookup'!$C$1:$C$37)))))</f>
      </c>
      <c r="AB132" s="30"/>
      <c r="AC132" s="31"/>
      <c r="AD132" s="27">
        <f>IF($B132&lt;&gt;"Entry","",ROUND(AC132*AA132/100,0))</f>
      </c>
      <c r="AE132" s="27">
        <f>IF($B132&lt;&gt;"Entry","",0)</f>
      </c>
      <c r="AF132" s="27">
        <f>IF($B132&lt;&gt;"Entry","",0)</f>
      </c>
      <c r="AG132" s="27">
        <f>IF($B132&lt;&gt;"Entry","",IF(OR(AD132=0,AB132="",AQ132="",AQ132&lt;=0),0,IF(AQ132&lt;=DATE(YEAR(AB132),MONTH(AB132)+1,7),0,ROUND(AD132*0.015*((YEAR(AQ132)-YEAR(AB132))*12+(MONTH(AQ132)-MONTH(AB132))+1),0))))</f>
      </c>
      <c r="AH132" s="27">
        <f>IF($B132&lt;&gt;"Entry","",0)</f>
      </c>
      <c r="AI132" s="28"/>
      <c r="AJ132" s="28"/>
      <c r="AK132" s="32"/>
      <c r="AL132" s="28"/>
      <c r="AM132" s="28"/>
      <c r="AN132" s="27">
        <f>IF($B132&lt;&gt;"Challan","",SUMIF('Q1 Data'!$D$4:$D$207,D132,'Q1 Data'!$AD$4:$AD$207)+SUMIF('Q1 Data'!$D$4:$D$207,D132,'Q1 Data'!$AG$4:$AG$207)+SUMIF('Q1 Data'!$D$4:$D$207,D132,'Q1 Data'!$AE$4:$AE$207)+SUMIF('Q2 Data'!$D$4:$D$207,D132,'Q2 Data'!$AD$4:$AD$207)+SUMIF('Q2 Data'!$D$4:$D$207,D132,'Q2 Data'!$AG$4:$AG$207)+SUMIF('Q2 Data'!$D$4:$D$207,D132,'Q2 Data'!$AE$4:$AE$207)+SUMIF('Q3 Data'!$D$4:$D$207,D132,'Q3 Data'!$AD$4:$AD$207)+SUMIF('Q3 Data'!$D$4:$D$207,D132,'Q3 Data'!$AG$4:$AG$207)+SUMIF('Q3 Data'!$D$4:$D$207,D132,'Q3 Data'!$AE$4:$AE$207)+SUMIF('Q4 Data'!$D$4:$D$207,D132,'Q4 Data'!$AD$4:$AD$207)+SUMIF('Q4 Data'!$D$4:$D$207,D132,'Q4 Data'!$AG$4:$AG$207)+SUMIF('Q4 Data'!$D$4:$D$207,D132,'Q4 Data'!$AE$4:$AE$207))</f>
      </c>
      <c r="AO132" s="27">
        <f>IF($B132&lt;&gt;"Challan","",P132-N132)</f>
      </c>
      <c r="AP132" s="27">
        <f>IF($B132&lt;&gt;"Challan","",MAX(0,AO132-AN132))</f>
      </c>
      <c r="AQ132" s="33">
        <f>IF($B132&lt;&gt;"Entry","",SUMPRODUCT(('Q1 Data'!$D$4:$D$207=D132)*('Q1 Data'!$B$4:$B$207="Challan")*'Q1 Data'!$F$4:$F$207)+SUMPRODUCT(('Q2 Data'!$D$4:$D$207=D132)*('Q2 Data'!$B$4:$B$207="Challan")*'Q2 Data'!$F$4:$F$207)+SUMPRODUCT(('Q3 Data'!$D$4:$D$207=D132)*('Q3 Data'!$B$4:$B$207="Challan")*'Q3 Data'!$F$4:$F$207)+SUMPRODUCT(('Q4 Data'!$D$4:$D$207=D132)*('Q4 Data'!$B$4:$B$207="Challan")*'Q4 Data'!$F$4:$F$207))</f>
      </c>
      <c r="AR132" s="34">
        <f>IF(OR($B132&lt;&gt;"Entry",Z132=""),FALSE,AND((SUMPRODUCT(('Q1 Data'!$D$4:$D$207=D132)*('Q1 Data'!$B$4:$B$207="Challan")*('Q1 Data'!$H$4:$H$207&lt;&gt;""))+SUMPRODUCT(('Q2 Data'!$D$4:$D$207=D132)*('Q2 Data'!$B$4:$B$207="Challan")*('Q2 Data'!$H$4:$H$207&lt;&gt;""))+SUMPRODUCT(('Q3 Data'!$D$4:$D$207=D132)*('Q3 Data'!$B$4:$B$207="Challan")*('Q3 Data'!$H$4:$H$207&lt;&gt;""))+SUMPRODUCT(('Q4 Data'!$D$4:$D$207=D132)*('Q4 Data'!$B$4:$B$207="Challan")*('Q4 Data'!$H$4:$H$207&lt;&gt;"")))&gt;0,(SUMPRODUCT(('Q1 Data'!$D$4:$D$207=D132)*('Q1 Data'!$B$4:$B$207="Challan")*('Q1 Data'!$H$4:$H$207=Z132))+SUMPRODUCT(('Q2 Data'!$D$4:$D$207=D132)*('Q2 Data'!$B$4:$B$207="Challan")*('Q2 Data'!$H$4:$H$207=Z132))+SUMPRODUCT(('Q3 Data'!$D$4:$D$207=D132)*('Q3 Data'!$B$4:$B$207="Challan")*('Q3 Data'!$H$4:$H$207=Z132))+SUMPRODUCT(('Q4 Data'!$D$4:$D$207=D132)*('Q4 Data'!$B$4:$B$207="Challan")*('Q4 Data'!$H$4:$H$207=Z132)))=0))</f>
      </c>
    </row>
    <row r="133" spans="1:44" x14ac:dyDescent="0.25">
      <c r="A133" s="20">
        <f>IF($B133="Entry",COUNTIF($B$4:$B133,"Entry"),"")</f>
      </c>
      <c r="B133" s="21"/>
      <c r="C133" s="22"/>
      <c r="D133" s="22"/>
      <c r="E133" s="23">
        <f>IF($B133&lt;&gt;"Challan","",IF(ROUND(AN133-AO133,2)&gt;0,"Over-applied",IF(ROUND(AN133-AO133,2)=0,"Fully Utilised","Unconsumed")))</f>
      </c>
      <c r="F133" s="24"/>
      <c r="G133" s="25"/>
      <c r="H133" s="25"/>
      <c r="I133" s="26"/>
      <c r="J133" s="26"/>
      <c r="K133" s="26"/>
      <c r="L133" s="26"/>
      <c r="M133" s="26"/>
      <c r="N133" s="26"/>
      <c r="O133" s="26"/>
      <c r="P133" s="27">
        <f>IF($B133&lt;&gt;"Challan","",I133+J133+K133+L133+M133+N133)</f>
      </c>
      <c r="Q133" s="25"/>
      <c r="R133" s="25"/>
      <c r="S133" s="25"/>
      <c r="T133" s="25"/>
      <c r="U133" s="25"/>
      <c r="V133" s="28"/>
      <c r="W133" s="28"/>
      <c r="X133" s="23">
        <f>IF($B133="Entry",IF(AND(LEN(TRIM(UPPER(W133)))=10,CODE(MID(TRIM(UPPER(W133)),1,1))&gt;=65,CODE(MID(TRIM(UPPER(W133)),1,1))&lt;=90,CODE(MID(TRIM(UPPER(W133)),2,1))&gt;=65,CODE(MID(TRIM(UPPER(W133)),2,1))&lt;=90,CODE(MID(TRIM(UPPER(W133)),3,1))&gt;=65,CODE(MID(TRIM(UPPER(W133)),3,1))&lt;=90,CODE(MID(TRIM(UPPER(W133)),4,1))&gt;=65,CODE(MID(TRIM(UPPER(W133)),4,1))&lt;=90,CODE(MID(TRIM(UPPER(W133)),5,1))&gt;=65,CODE(MID(TRIM(UPPER(W133)),5,1))&lt;=90,CODE(MID(TRIM(UPPER(W133)),10,1))&gt;=65,CODE(MID(TRIM(UPPER(W133)),10,1))&lt;=90,CODE(MID(TRIM(UPPER(W133)),6,1))&gt;=48,CODE(MID(TRIM(UPPER(W133)),6,1))&lt;=57,CODE(MID(TRIM(UPPER(W133)),7,1))&gt;=48,CODE(MID(TRIM(UPPER(W133)),7,1))&lt;=57,CODE(MID(TRIM(UPPER(W133)),8,1))&gt;=48,CODE(MID(TRIM(UPPER(W133)),8,1))&lt;=57,CODE(MID(TRIM(UPPER(W133)),9,1))&gt;=48,CODE(MID(TRIM(UPPER(W133)),9,1))&lt;=57),"N","Y"),IF($B133="Challan","",IF(W133&lt;&gt;"","◄ Set Row Type","")))</f>
      </c>
      <c r="Y133" s="23">
        <f>IF($B133="Entry",IF(LEN(W133)&lt;4,"",IF(UPPER(MID(W133,4,1))="P","Individual",IF(UPPER(MID(W133,4,1))="H","HUF",IF(UPPER(MID(W133,4,1))="C","Company",IF(UPPER(MID(W133,4,1))="F","Firm",IF(UPPER(MID(W133,4,1))="L","LLP",IF(UPPER(MID(W133,4,1))="T","Trust",IF(UPPER(MID(W133,4,1))="A","AOP","")))))))),IF($B133="Challan","",IF(W133&lt;&gt;"","◄ Set Row Type","")))</f>
      </c>
      <c r="Z133" s="28"/>
      <c r="AA133" s="29">
        <f>IF($B133&lt;&gt;"Entry","",IF(Z133="","",IF(X133="Y",SUMPRODUCT(('Rate Lookup'!$A$1:$A$37=Z133)*'Rate Lookup'!$D$1:$D$37),IF(OR(Y133="Individual",Y133="HUF"),SUMPRODUCT(('Rate Lookup'!$A$1:$A$37=Z133)*'Rate Lookup'!$B$1:$B$37),SUMPRODUCT(('Rate Lookup'!$A$1:$A$37=Z133)*'Rate Lookup'!$C$1:$C$37)))))</f>
      </c>
      <c r="AB133" s="30"/>
      <c r="AC133" s="31"/>
      <c r="AD133" s="27">
        <f>IF($B133&lt;&gt;"Entry","",ROUND(AC133*AA133/100,0))</f>
      </c>
      <c r="AE133" s="27">
        <f>IF($B133&lt;&gt;"Entry","",0)</f>
      </c>
      <c r="AF133" s="27">
        <f>IF($B133&lt;&gt;"Entry","",0)</f>
      </c>
      <c r="AG133" s="27">
        <f>IF($B133&lt;&gt;"Entry","",IF(OR(AD133=0,AB133="",AQ133="",AQ133&lt;=0),0,IF(AQ133&lt;=DATE(YEAR(AB133),MONTH(AB133)+1,7),0,ROUND(AD133*0.015*((YEAR(AQ133)-YEAR(AB133))*12+(MONTH(AQ133)-MONTH(AB133))+1),0))))</f>
      </c>
      <c r="AH133" s="27">
        <f>IF($B133&lt;&gt;"Entry","",0)</f>
      </c>
      <c r="AI133" s="28"/>
      <c r="AJ133" s="28"/>
      <c r="AK133" s="32"/>
      <c r="AL133" s="28"/>
      <c r="AM133" s="28"/>
      <c r="AN133" s="27">
        <f>IF($B133&lt;&gt;"Challan","",SUMIF('Q1 Data'!$D$4:$D$207,D133,'Q1 Data'!$AD$4:$AD$207)+SUMIF('Q1 Data'!$D$4:$D$207,D133,'Q1 Data'!$AG$4:$AG$207)+SUMIF('Q1 Data'!$D$4:$D$207,D133,'Q1 Data'!$AE$4:$AE$207)+SUMIF('Q2 Data'!$D$4:$D$207,D133,'Q2 Data'!$AD$4:$AD$207)+SUMIF('Q2 Data'!$D$4:$D$207,D133,'Q2 Data'!$AG$4:$AG$207)+SUMIF('Q2 Data'!$D$4:$D$207,D133,'Q2 Data'!$AE$4:$AE$207)+SUMIF('Q3 Data'!$D$4:$D$207,D133,'Q3 Data'!$AD$4:$AD$207)+SUMIF('Q3 Data'!$D$4:$D$207,D133,'Q3 Data'!$AG$4:$AG$207)+SUMIF('Q3 Data'!$D$4:$D$207,D133,'Q3 Data'!$AE$4:$AE$207)+SUMIF('Q4 Data'!$D$4:$D$207,D133,'Q4 Data'!$AD$4:$AD$207)+SUMIF('Q4 Data'!$D$4:$D$207,D133,'Q4 Data'!$AG$4:$AG$207)+SUMIF('Q4 Data'!$D$4:$D$207,D133,'Q4 Data'!$AE$4:$AE$207))</f>
      </c>
      <c r="AO133" s="27">
        <f>IF($B133&lt;&gt;"Challan","",P133-N133)</f>
      </c>
      <c r="AP133" s="27">
        <f>IF($B133&lt;&gt;"Challan","",MAX(0,AO133-AN133))</f>
      </c>
      <c r="AQ133" s="33">
        <f>IF($B133&lt;&gt;"Entry","",SUMPRODUCT(('Q1 Data'!$D$4:$D$207=D133)*('Q1 Data'!$B$4:$B$207="Challan")*'Q1 Data'!$F$4:$F$207)+SUMPRODUCT(('Q2 Data'!$D$4:$D$207=D133)*('Q2 Data'!$B$4:$B$207="Challan")*'Q2 Data'!$F$4:$F$207)+SUMPRODUCT(('Q3 Data'!$D$4:$D$207=D133)*('Q3 Data'!$B$4:$B$207="Challan")*'Q3 Data'!$F$4:$F$207)+SUMPRODUCT(('Q4 Data'!$D$4:$D$207=D133)*('Q4 Data'!$B$4:$B$207="Challan")*'Q4 Data'!$F$4:$F$207))</f>
      </c>
      <c r="AR133" s="34">
        <f>IF(OR($B133&lt;&gt;"Entry",Z133=""),FALSE,AND((SUMPRODUCT(('Q1 Data'!$D$4:$D$207=D133)*('Q1 Data'!$B$4:$B$207="Challan")*('Q1 Data'!$H$4:$H$207&lt;&gt;""))+SUMPRODUCT(('Q2 Data'!$D$4:$D$207=D133)*('Q2 Data'!$B$4:$B$207="Challan")*('Q2 Data'!$H$4:$H$207&lt;&gt;""))+SUMPRODUCT(('Q3 Data'!$D$4:$D$207=D133)*('Q3 Data'!$B$4:$B$207="Challan")*('Q3 Data'!$H$4:$H$207&lt;&gt;""))+SUMPRODUCT(('Q4 Data'!$D$4:$D$207=D133)*('Q4 Data'!$B$4:$B$207="Challan")*('Q4 Data'!$H$4:$H$207&lt;&gt;"")))&gt;0,(SUMPRODUCT(('Q1 Data'!$D$4:$D$207=D133)*('Q1 Data'!$B$4:$B$207="Challan")*('Q1 Data'!$H$4:$H$207=Z133))+SUMPRODUCT(('Q2 Data'!$D$4:$D$207=D133)*('Q2 Data'!$B$4:$B$207="Challan")*('Q2 Data'!$H$4:$H$207=Z133))+SUMPRODUCT(('Q3 Data'!$D$4:$D$207=D133)*('Q3 Data'!$B$4:$B$207="Challan")*('Q3 Data'!$H$4:$H$207=Z133))+SUMPRODUCT(('Q4 Data'!$D$4:$D$207=D133)*('Q4 Data'!$B$4:$B$207="Challan")*('Q4 Data'!$H$4:$H$207=Z133)))=0))</f>
      </c>
    </row>
    <row r="134" spans="1:44" x14ac:dyDescent="0.25">
      <c r="A134" s="20">
        <f>IF($B134="Entry",COUNTIF($B$4:$B134,"Entry"),"")</f>
      </c>
      <c r="B134" s="21"/>
      <c r="C134" s="22"/>
      <c r="D134" s="22"/>
      <c r="E134" s="23">
        <f>IF($B134&lt;&gt;"Challan","",IF(ROUND(AN134-AO134,2)&gt;0,"Over-applied",IF(ROUND(AN134-AO134,2)=0,"Fully Utilised","Unconsumed")))</f>
      </c>
      <c r="F134" s="24"/>
      <c r="G134" s="25"/>
      <c r="H134" s="25"/>
      <c r="I134" s="26"/>
      <c r="J134" s="26"/>
      <c r="K134" s="26"/>
      <c r="L134" s="26"/>
      <c r="M134" s="26"/>
      <c r="N134" s="26"/>
      <c r="O134" s="26"/>
      <c r="P134" s="27">
        <f>IF($B134&lt;&gt;"Challan","",I134+J134+K134+L134+M134+N134)</f>
      </c>
      <c r="Q134" s="25"/>
      <c r="R134" s="25"/>
      <c r="S134" s="25"/>
      <c r="T134" s="25"/>
      <c r="U134" s="25"/>
      <c r="V134" s="28"/>
      <c r="W134" s="28"/>
      <c r="X134" s="23">
        <f>IF($B134="Entry",IF(AND(LEN(TRIM(UPPER(W134)))=10,CODE(MID(TRIM(UPPER(W134)),1,1))&gt;=65,CODE(MID(TRIM(UPPER(W134)),1,1))&lt;=90,CODE(MID(TRIM(UPPER(W134)),2,1))&gt;=65,CODE(MID(TRIM(UPPER(W134)),2,1))&lt;=90,CODE(MID(TRIM(UPPER(W134)),3,1))&gt;=65,CODE(MID(TRIM(UPPER(W134)),3,1))&lt;=90,CODE(MID(TRIM(UPPER(W134)),4,1))&gt;=65,CODE(MID(TRIM(UPPER(W134)),4,1))&lt;=90,CODE(MID(TRIM(UPPER(W134)),5,1))&gt;=65,CODE(MID(TRIM(UPPER(W134)),5,1))&lt;=90,CODE(MID(TRIM(UPPER(W134)),10,1))&gt;=65,CODE(MID(TRIM(UPPER(W134)),10,1))&lt;=90,CODE(MID(TRIM(UPPER(W134)),6,1))&gt;=48,CODE(MID(TRIM(UPPER(W134)),6,1))&lt;=57,CODE(MID(TRIM(UPPER(W134)),7,1))&gt;=48,CODE(MID(TRIM(UPPER(W134)),7,1))&lt;=57,CODE(MID(TRIM(UPPER(W134)),8,1))&gt;=48,CODE(MID(TRIM(UPPER(W134)),8,1))&lt;=57,CODE(MID(TRIM(UPPER(W134)),9,1))&gt;=48,CODE(MID(TRIM(UPPER(W134)),9,1))&lt;=57),"N","Y"),IF($B134="Challan","",IF(W134&lt;&gt;"","◄ Set Row Type","")))</f>
      </c>
      <c r="Y134" s="23">
        <f>IF($B134="Entry",IF(LEN(W134)&lt;4,"",IF(UPPER(MID(W134,4,1))="P","Individual",IF(UPPER(MID(W134,4,1))="H","HUF",IF(UPPER(MID(W134,4,1))="C","Company",IF(UPPER(MID(W134,4,1))="F","Firm",IF(UPPER(MID(W134,4,1))="L","LLP",IF(UPPER(MID(W134,4,1))="T","Trust",IF(UPPER(MID(W134,4,1))="A","AOP","")))))))),IF($B134="Challan","",IF(W134&lt;&gt;"","◄ Set Row Type","")))</f>
      </c>
      <c r="Z134" s="28"/>
      <c r="AA134" s="29">
        <f>IF($B134&lt;&gt;"Entry","",IF(Z134="","",IF(X134="Y",SUMPRODUCT(('Rate Lookup'!$A$1:$A$37=Z134)*'Rate Lookup'!$D$1:$D$37),IF(OR(Y134="Individual",Y134="HUF"),SUMPRODUCT(('Rate Lookup'!$A$1:$A$37=Z134)*'Rate Lookup'!$B$1:$B$37),SUMPRODUCT(('Rate Lookup'!$A$1:$A$37=Z134)*'Rate Lookup'!$C$1:$C$37)))))</f>
      </c>
      <c r="AB134" s="30"/>
      <c r="AC134" s="31"/>
      <c r="AD134" s="27">
        <f>IF($B134&lt;&gt;"Entry","",ROUND(AC134*AA134/100,0))</f>
      </c>
      <c r="AE134" s="27">
        <f>IF($B134&lt;&gt;"Entry","",0)</f>
      </c>
      <c r="AF134" s="27">
        <f>IF($B134&lt;&gt;"Entry","",0)</f>
      </c>
      <c r="AG134" s="27">
        <f>IF($B134&lt;&gt;"Entry","",IF(OR(AD134=0,AB134="",AQ134="",AQ134&lt;=0),0,IF(AQ134&lt;=DATE(YEAR(AB134),MONTH(AB134)+1,7),0,ROUND(AD134*0.015*((YEAR(AQ134)-YEAR(AB134))*12+(MONTH(AQ134)-MONTH(AB134))+1),0))))</f>
      </c>
      <c r="AH134" s="27">
        <f>IF($B134&lt;&gt;"Entry","",0)</f>
      </c>
      <c r="AI134" s="28"/>
      <c r="AJ134" s="28"/>
      <c r="AK134" s="32"/>
      <c r="AL134" s="28"/>
      <c r="AM134" s="28"/>
      <c r="AN134" s="27">
        <f>IF($B134&lt;&gt;"Challan","",SUMIF('Q1 Data'!$D$4:$D$207,D134,'Q1 Data'!$AD$4:$AD$207)+SUMIF('Q1 Data'!$D$4:$D$207,D134,'Q1 Data'!$AG$4:$AG$207)+SUMIF('Q1 Data'!$D$4:$D$207,D134,'Q1 Data'!$AE$4:$AE$207)+SUMIF('Q2 Data'!$D$4:$D$207,D134,'Q2 Data'!$AD$4:$AD$207)+SUMIF('Q2 Data'!$D$4:$D$207,D134,'Q2 Data'!$AG$4:$AG$207)+SUMIF('Q2 Data'!$D$4:$D$207,D134,'Q2 Data'!$AE$4:$AE$207)+SUMIF('Q3 Data'!$D$4:$D$207,D134,'Q3 Data'!$AD$4:$AD$207)+SUMIF('Q3 Data'!$D$4:$D$207,D134,'Q3 Data'!$AG$4:$AG$207)+SUMIF('Q3 Data'!$D$4:$D$207,D134,'Q3 Data'!$AE$4:$AE$207)+SUMIF('Q4 Data'!$D$4:$D$207,D134,'Q4 Data'!$AD$4:$AD$207)+SUMIF('Q4 Data'!$D$4:$D$207,D134,'Q4 Data'!$AG$4:$AG$207)+SUMIF('Q4 Data'!$D$4:$D$207,D134,'Q4 Data'!$AE$4:$AE$207))</f>
      </c>
      <c r="AO134" s="27">
        <f>IF($B134&lt;&gt;"Challan","",P134-N134)</f>
      </c>
      <c r="AP134" s="27">
        <f>IF($B134&lt;&gt;"Challan","",MAX(0,AO134-AN134))</f>
      </c>
      <c r="AQ134" s="33">
        <f>IF($B134&lt;&gt;"Entry","",SUMPRODUCT(('Q1 Data'!$D$4:$D$207=D134)*('Q1 Data'!$B$4:$B$207="Challan")*'Q1 Data'!$F$4:$F$207)+SUMPRODUCT(('Q2 Data'!$D$4:$D$207=D134)*('Q2 Data'!$B$4:$B$207="Challan")*'Q2 Data'!$F$4:$F$207)+SUMPRODUCT(('Q3 Data'!$D$4:$D$207=D134)*('Q3 Data'!$B$4:$B$207="Challan")*'Q3 Data'!$F$4:$F$207)+SUMPRODUCT(('Q4 Data'!$D$4:$D$207=D134)*('Q4 Data'!$B$4:$B$207="Challan")*'Q4 Data'!$F$4:$F$207))</f>
      </c>
      <c r="AR134" s="34">
        <f>IF(OR($B134&lt;&gt;"Entry",Z134=""),FALSE,AND((SUMPRODUCT(('Q1 Data'!$D$4:$D$207=D134)*('Q1 Data'!$B$4:$B$207="Challan")*('Q1 Data'!$H$4:$H$207&lt;&gt;""))+SUMPRODUCT(('Q2 Data'!$D$4:$D$207=D134)*('Q2 Data'!$B$4:$B$207="Challan")*('Q2 Data'!$H$4:$H$207&lt;&gt;""))+SUMPRODUCT(('Q3 Data'!$D$4:$D$207=D134)*('Q3 Data'!$B$4:$B$207="Challan")*('Q3 Data'!$H$4:$H$207&lt;&gt;""))+SUMPRODUCT(('Q4 Data'!$D$4:$D$207=D134)*('Q4 Data'!$B$4:$B$207="Challan")*('Q4 Data'!$H$4:$H$207&lt;&gt;"")))&gt;0,(SUMPRODUCT(('Q1 Data'!$D$4:$D$207=D134)*('Q1 Data'!$B$4:$B$207="Challan")*('Q1 Data'!$H$4:$H$207=Z134))+SUMPRODUCT(('Q2 Data'!$D$4:$D$207=D134)*('Q2 Data'!$B$4:$B$207="Challan")*('Q2 Data'!$H$4:$H$207=Z134))+SUMPRODUCT(('Q3 Data'!$D$4:$D$207=D134)*('Q3 Data'!$B$4:$B$207="Challan")*('Q3 Data'!$H$4:$H$207=Z134))+SUMPRODUCT(('Q4 Data'!$D$4:$D$207=D134)*('Q4 Data'!$B$4:$B$207="Challan")*('Q4 Data'!$H$4:$H$207=Z134)))=0))</f>
      </c>
    </row>
    <row r="135" spans="1:44" x14ac:dyDescent="0.25">
      <c r="A135" s="20">
        <f>IF($B135="Entry",COUNTIF($B$4:$B135,"Entry"),"")</f>
      </c>
      <c r="B135" s="21"/>
      <c r="C135" s="22"/>
      <c r="D135" s="22"/>
      <c r="E135" s="23">
        <f>IF($B135&lt;&gt;"Challan","",IF(ROUND(AN135-AO135,2)&gt;0,"Over-applied",IF(ROUND(AN135-AO135,2)=0,"Fully Utilised","Unconsumed")))</f>
      </c>
      <c r="F135" s="24"/>
      <c r="G135" s="25"/>
      <c r="H135" s="25"/>
      <c r="I135" s="26"/>
      <c r="J135" s="26"/>
      <c r="K135" s="26"/>
      <c r="L135" s="26"/>
      <c r="M135" s="26"/>
      <c r="N135" s="26"/>
      <c r="O135" s="26"/>
      <c r="P135" s="27">
        <f>IF($B135&lt;&gt;"Challan","",I135+J135+K135+L135+M135+N135)</f>
      </c>
      <c r="Q135" s="25"/>
      <c r="R135" s="25"/>
      <c r="S135" s="25"/>
      <c r="T135" s="25"/>
      <c r="U135" s="25"/>
      <c r="V135" s="28"/>
      <c r="W135" s="28"/>
      <c r="X135" s="23">
        <f>IF($B135="Entry",IF(AND(LEN(TRIM(UPPER(W135)))=10,CODE(MID(TRIM(UPPER(W135)),1,1))&gt;=65,CODE(MID(TRIM(UPPER(W135)),1,1))&lt;=90,CODE(MID(TRIM(UPPER(W135)),2,1))&gt;=65,CODE(MID(TRIM(UPPER(W135)),2,1))&lt;=90,CODE(MID(TRIM(UPPER(W135)),3,1))&gt;=65,CODE(MID(TRIM(UPPER(W135)),3,1))&lt;=90,CODE(MID(TRIM(UPPER(W135)),4,1))&gt;=65,CODE(MID(TRIM(UPPER(W135)),4,1))&lt;=90,CODE(MID(TRIM(UPPER(W135)),5,1))&gt;=65,CODE(MID(TRIM(UPPER(W135)),5,1))&lt;=90,CODE(MID(TRIM(UPPER(W135)),10,1))&gt;=65,CODE(MID(TRIM(UPPER(W135)),10,1))&lt;=90,CODE(MID(TRIM(UPPER(W135)),6,1))&gt;=48,CODE(MID(TRIM(UPPER(W135)),6,1))&lt;=57,CODE(MID(TRIM(UPPER(W135)),7,1))&gt;=48,CODE(MID(TRIM(UPPER(W135)),7,1))&lt;=57,CODE(MID(TRIM(UPPER(W135)),8,1))&gt;=48,CODE(MID(TRIM(UPPER(W135)),8,1))&lt;=57,CODE(MID(TRIM(UPPER(W135)),9,1))&gt;=48,CODE(MID(TRIM(UPPER(W135)),9,1))&lt;=57),"N","Y"),IF($B135="Challan","",IF(W135&lt;&gt;"","◄ Set Row Type","")))</f>
      </c>
      <c r="Y135" s="23">
        <f>IF($B135="Entry",IF(LEN(W135)&lt;4,"",IF(UPPER(MID(W135,4,1))="P","Individual",IF(UPPER(MID(W135,4,1))="H","HUF",IF(UPPER(MID(W135,4,1))="C","Company",IF(UPPER(MID(W135,4,1))="F","Firm",IF(UPPER(MID(W135,4,1))="L","LLP",IF(UPPER(MID(W135,4,1))="T","Trust",IF(UPPER(MID(W135,4,1))="A","AOP","")))))))),IF($B135="Challan","",IF(W135&lt;&gt;"","◄ Set Row Type","")))</f>
      </c>
      <c r="Z135" s="28"/>
      <c r="AA135" s="29">
        <f>IF($B135&lt;&gt;"Entry","",IF(Z135="","",IF(X135="Y",SUMPRODUCT(('Rate Lookup'!$A$1:$A$37=Z135)*'Rate Lookup'!$D$1:$D$37),IF(OR(Y135="Individual",Y135="HUF"),SUMPRODUCT(('Rate Lookup'!$A$1:$A$37=Z135)*'Rate Lookup'!$B$1:$B$37),SUMPRODUCT(('Rate Lookup'!$A$1:$A$37=Z135)*'Rate Lookup'!$C$1:$C$37)))))</f>
      </c>
      <c r="AB135" s="30"/>
      <c r="AC135" s="31"/>
      <c r="AD135" s="27">
        <f>IF($B135&lt;&gt;"Entry","",ROUND(AC135*AA135/100,0))</f>
      </c>
      <c r="AE135" s="27">
        <f>IF($B135&lt;&gt;"Entry","",0)</f>
      </c>
      <c r="AF135" s="27">
        <f>IF($B135&lt;&gt;"Entry","",0)</f>
      </c>
      <c r="AG135" s="27">
        <f>IF($B135&lt;&gt;"Entry","",IF(OR(AD135=0,AB135="",AQ135="",AQ135&lt;=0),0,IF(AQ135&lt;=DATE(YEAR(AB135),MONTH(AB135)+1,7),0,ROUND(AD135*0.015*((YEAR(AQ135)-YEAR(AB135))*12+(MONTH(AQ135)-MONTH(AB135))+1),0))))</f>
      </c>
      <c r="AH135" s="27">
        <f>IF($B135&lt;&gt;"Entry","",0)</f>
      </c>
      <c r="AI135" s="28"/>
      <c r="AJ135" s="28"/>
      <c r="AK135" s="32"/>
      <c r="AL135" s="28"/>
      <c r="AM135" s="28"/>
      <c r="AN135" s="27">
        <f>IF($B135&lt;&gt;"Challan","",SUMIF('Q1 Data'!$D$4:$D$207,D135,'Q1 Data'!$AD$4:$AD$207)+SUMIF('Q1 Data'!$D$4:$D$207,D135,'Q1 Data'!$AG$4:$AG$207)+SUMIF('Q1 Data'!$D$4:$D$207,D135,'Q1 Data'!$AE$4:$AE$207)+SUMIF('Q2 Data'!$D$4:$D$207,D135,'Q2 Data'!$AD$4:$AD$207)+SUMIF('Q2 Data'!$D$4:$D$207,D135,'Q2 Data'!$AG$4:$AG$207)+SUMIF('Q2 Data'!$D$4:$D$207,D135,'Q2 Data'!$AE$4:$AE$207)+SUMIF('Q3 Data'!$D$4:$D$207,D135,'Q3 Data'!$AD$4:$AD$207)+SUMIF('Q3 Data'!$D$4:$D$207,D135,'Q3 Data'!$AG$4:$AG$207)+SUMIF('Q3 Data'!$D$4:$D$207,D135,'Q3 Data'!$AE$4:$AE$207)+SUMIF('Q4 Data'!$D$4:$D$207,D135,'Q4 Data'!$AD$4:$AD$207)+SUMIF('Q4 Data'!$D$4:$D$207,D135,'Q4 Data'!$AG$4:$AG$207)+SUMIF('Q4 Data'!$D$4:$D$207,D135,'Q4 Data'!$AE$4:$AE$207))</f>
      </c>
      <c r="AO135" s="27">
        <f>IF($B135&lt;&gt;"Challan","",P135-N135)</f>
      </c>
      <c r="AP135" s="27">
        <f>IF($B135&lt;&gt;"Challan","",MAX(0,AO135-AN135))</f>
      </c>
      <c r="AQ135" s="33">
        <f>IF($B135&lt;&gt;"Entry","",SUMPRODUCT(('Q1 Data'!$D$4:$D$207=D135)*('Q1 Data'!$B$4:$B$207="Challan")*'Q1 Data'!$F$4:$F$207)+SUMPRODUCT(('Q2 Data'!$D$4:$D$207=D135)*('Q2 Data'!$B$4:$B$207="Challan")*'Q2 Data'!$F$4:$F$207)+SUMPRODUCT(('Q3 Data'!$D$4:$D$207=D135)*('Q3 Data'!$B$4:$B$207="Challan")*'Q3 Data'!$F$4:$F$207)+SUMPRODUCT(('Q4 Data'!$D$4:$D$207=D135)*('Q4 Data'!$B$4:$B$207="Challan")*'Q4 Data'!$F$4:$F$207))</f>
      </c>
      <c r="AR135" s="34">
        <f>IF(OR($B135&lt;&gt;"Entry",Z135=""),FALSE,AND((SUMPRODUCT(('Q1 Data'!$D$4:$D$207=D135)*('Q1 Data'!$B$4:$B$207="Challan")*('Q1 Data'!$H$4:$H$207&lt;&gt;""))+SUMPRODUCT(('Q2 Data'!$D$4:$D$207=D135)*('Q2 Data'!$B$4:$B$207="Challan")*('Q2 Data'!$H$4:$H$207&lt;&gt;""))+SUMPRODUCT(('Q3 Data'!$D$4:$D$207=D135)*('Q3 Data'!$B$4:$B$207="Challan")*('Q3 Data'!$H$4:$H$207&lt;&gt;""))+SUMPRODUCT(('Q4 Data'!$D$4:$D$207=D135)*('Q4 Data'!$B$4:$B$207="Challan")*('Q4 Data'!$H$4:$H$207&lt;&gt;"")))&gt;0,(SUMPRODUCT(('Q1 Data'!$D$4:$D$207=D135)*('Q1 Data'!$B$4:$B$207="Challan")*('Q1 Data'!$H$4:$H$207=Z135))+SUMPRODUCT(('Q2 Data'!$D$4:$D$207=D135)*('Q2 Data'!$B$4:$B$207="Challan")*('Q2 Data'!$H$4:$H$207=Z135))+SUMPRODUCT(('Q3 Data'!$D$4:$D$207=D135)*('Q3 Data'!$B$4:$B$207="Challan")*('Q3 Data'!$H$4:$H$207=Z135))+SUMPRODUCT(('Q4 Data'!$D$4:$D$207=D135)*('Q4 Data'!$B$4:$B$207="Challan")*('Q4 Data'!$H$4:$H$207=Z135)))=0))</f>
      </c>
    </row>
    <row r="136" spans="1:44" x14ac:dyDescent="0.25">
      <c r="A136" s="20">
        <f>IF($B136="Entry",COUNTIF($B$4:$B136,"Entry"),"")</f>
      </c>
      <c r="B136" s="21"/>
      <c r="C136" s="22"/>
      <c r="D136" s="22"/>
      <c r="E136" s="23">
        <f>IF($B136&lt;&gt;"Challan","",IF(ROUND(AN136-AO136,2)&gt;0,"Over-applied",IF(ROUND(AN136-AO136,2)=0,"Fully Utilised","Unconsumed")))</f>
      </c>
      <c r="F136" s="24"/>
      <c r="G136" s="25"/>
      <c r="H136" s="25"/>
      <c r="I136" s="26"/>
      <c r="J136" s="26"/>
      <c r="K136" s="26"/>
      <c r="L136" s="26"/>
      <c r="M136" s="26"/>
      <c r="N136" s="26"/>
      <c r="O136" s="26"/>
      <c r="P136" s="27">
        <f>IF($B136&lt;&gt;"Challan","",I136+J136+K136+L136+M136+N136)</f>
      </c>
      <c r="Q136" s="25"/>
      <c r="R136" s="25"/>
      <c r="S136" s="25"/>
      <c r="T136" s="25"/>
      <c r="U136" s="25"/>
      <c r="V136" s="28"/>
      <c r="W136" s="28"/>
      <c r="X136" s="23">
        <f>IF($B136="Entry",IF(AND(LEN(TRIM(UPPER(W136)))=10,CODE(MID(TRIM(UPPER(W136)),1,1))&gt;=65,CODE(MID(TRIM(UPPER(W136)),1,1))&lt;=90,CODE(MID(TRIM(UPPER(W136)),2,1))&gt;=65,CODE(MID(TRIM(UPPER(W136)),2,1))&lt;=90,CODE(MID(TRIM(UPPER(W136)),3,1))&gt;=65,CODE(MID(TRIM(UPPER(W136)),3,1))&lt;=90,CODE(MID(TRIM(UPPER(W136)),4,1))&gt;=65,CODE(MID(TRIM(UPPER(W136)),4,1))&lt;=90,CODE(MID(TRIM(UPPER(W136)),5,1))&gt;=65,CODE(MID(TRIM(UPPER(W136)),5,1))&lt;=90,CODE(MID(TRIM(UPPER(W136)),10,1))&gt;=65,CODE(MID(TRIM(UPPER(W136)),10,1))&lt;=90,CODE(MID(TRIM(UPPER(W136)),6,1))&gt;=48,CODE(MID(TRIM(UPPER(W136)),6,1))&lt;=57,CODE(MID(TRIM(UPPER(W136)),7,1))&gt;=48,CODE(MID(TRIM(UPPER(W136)),7,1))&lt;=57,CODE(MID(TRIM(UPPER(W136)),8,1))&gt;=48,CODE(MID(TRIM(UPPER(W136)),8,1))&lt;=57,CODE(MID(TRIM(UPPER(W136)),9,1))&gt;=48,CODE(MID(TRIM(UPPER(W136)),9,1))&lt;=57),"N","Y"),IF($B136="Challan","",IF(W136&lt;&gt;"","◄ Set Row Type","")))</f>
      </c>
      <c r="Y136" s="23">
        <f>IF($B136="Entry",IF(LEN(W136)&lt;4,"",IF(UPPER(MID(W136,4,1))="P","Individual",IF(UPPER(MID(W136,4,1))="H","HUF",IF(UPPER(MID(W136,4,1))="C","Company",IF(UPPER(MID(W136,4,1))="F","Firm",IF(UPPER(MID(W136,4,1))="L","LLP",IF(UPPER(MID(W136,4,1))="T","Trust",IF(UPPER(MID(W136,4,1))="A","AOP","")))))))),IF($B136="Challan","",IF(W136&lt;&gt;"","◄ Set Row Type","")))</f>
      </c>
      <c r="Z136" s="28"/>
      <c r="AA136" s="29">
        <f>IF($B136&lt;&gt;"Entry","",IF(Z136="","",IF(X136="Y",SUMPRODUCT(('Rate Lookup'!$A$1:$A$37=Z136)*'Rate Lookup'!$D$1:$D$37),IF(OR(Y136="Individual",Y136="HUF"),SUMPRODUCT(('Rate Lookup'!$A$1:$A$37=Z136)*'Rate Lookup'!$B$1:$B$37),SUMPRODUCT(('Rate Lookup'!$A$1:$A$37=Z136)*'Rate Lookup'!$C$1:$C$37)))))</f>
      </c>
      <c r="AB136" s="30"/>
      <c r="AC136" s="31"/>
      <c r="AD136" s="27">
        <f>IF($B136&lt;&gt;"Entry","",ROUND(AC136*AA136/100,0))</f>
      </c>
      <c r="AE136" s="27">
        <f>IF($B136&lt;&gt;"Entry","",0)</f>
      </c>
      <c r="AF136" s="27">
        <f>IF($B136&lt;&gt;"Entry","",0)</f>
      </c>
      <c r="AG136" s="27">
        <f>IF($B136&lt;&gt;"Entry","",IF(OR(AD136=0,AB136="",AQ136="",AQ136&lt;=0),0,IF(AQ136&lt;=DATE(YEAR(AB136),MONTH(AB136)+1,7),0,ROUND(AD136*0.015*((YEAR(AQ136)-YEAR(AB136))*12+(MONTH(AQ136)-MONTH(AB136))+1),0))))</f>
      </c>
      <c r="AH136" s="27">
        <f>IF($B136&lt;&gt;"Entry","",0)</f>
      </c>
      <c r="AI136" s="28"/>
      <c r="AJ136" s="28"/>
      <c r="AK136" s="32"/>
      <c r="AL136" s="28"/>
      <c r="AM136" s="28"/>
      <c r="AN136" s="27">
        <f>IF($B136&lt;&gt;"Challan","",SUMIF('Q1 Data'!$D$4:$D$207,D136,'Q1 Data'!$AD$4:$AD$207)+SUMIF('Q1 Data'!$D$4:$D$207,D136,'Q1 Data'!$AG$4:$AG$207)+SUMIF('Q1 Data'!$D$4:$D$207,D136,'Q1 Data'!$AE$4:$AE$207)+SUMIF('Q2 Data'!$D$4:$D$207,D136,'Q2 Data'!$AD$4:$AD$207)+SUMIF('Q2 Data'!$D$4:$D$207,D136,'Q2 Data'!$AG$4:$AG$207)+SUMIF('Q2 Data'!$D$4:$D$207,D136,'Q2 Data'!$AE$4:$AE$207)+SUMIF('Q3 Data'!$D$4:$D$207,D136,'Q3 Data'!$AD$4:$AD$207)+SUMIF('Q3 Data'!$D$4:$D$207,D136,'Q3 Data'!$AG$4:$AG$207)+SUMIF('Q3 Data'!$D$4:$D$207,D136,'Q3 Data'!$AE$4:$AE$207)+SUMIF('Q4 Data'!$D$4:$D$207,D136,'Q4 Data'!$AD$4:$AD$207)+SUMIF('Q4 Data'!$D$4:$D$207,D136,'Q4 Data'!$AG$4:$AG$207)+SUMIF('Q4 Data'!$D$4:$D$207,D136,'Q4 Data'!$AE$4:$AE$207))</f>
      </c>
      <c r="AO136" s="27">
        <f>IF($B136&lt;&gt;"Challan","",P136-N136)</f>
      </c>
      <c r="AP136" s="27">
        <f>IF($B136&lt;&gt;"Challan","",MAX(0,AO136-AN136))</f>
      </c>
      <c r="AQ136" s="33">
        <f>IF($B136&lt;&gt;"Entry","",SUMPRODUCT(('Q1 Data'!$D$4:$D$207=D136)*('Q1 Data'!$B$4:$B$207="Challan")*'Q1 Data'!$F$4:$F$207)+SUMPRODUCT(('Q2 Data'!$D$4:$D$207=D136)*('Q2 Data'!$B$4:$B$207="Challan")*'Q2 Data'!$F$4:$F$207)+SUMPRODUCT(('Q3 Data'!$D$4:$D$207=D136)*('Q3 Data'!$B$4:$B$207="Challan")*'Q3 Data'!$F$4:$F$207)+SUMPRODUCT(('Q4 Data'!$D$4:$D$207=D136)*('Q4 Data'!$B$4:$B$207="Challan")*'Q4 Data'!$F$4:$F$207))</f>
      </c>
      <c r="AR136" s="34">
        <f>IF(OR($B136&lt;&gt;"Entry",Z136=""),FALSE,AND((SUMPRODUCT(('Q1 Data'!$D$4:$D$207=D136)*('Q1 Data'!$B$4:$B$207="Challan")*('Q1 Data'!$H$4:$H$207&lt;&gt;""))+SUMPRODUCT(('Q2 Data'!$D$4:$D$207=D136)*('Q2 Data'!$B$4:$B$207="Challan")*('Q2 Data'!$H$4:$H$207&lt;&gt;""))+SUMPRODUCT(('Q3 Data'!$D$4:$D$207=D136)*('Q3 Data'!$B$4:$B$207="Challan")*('Q3 Data'!$H$4:$H$207&lt;&gt;""))+SUMPRODUCT(('Q4 Data'!$D$4:$D$207=D136)*('Q4 Data'!$B$4:$B$207="Challan")*('Q4 Data'!$H$4:$H$207&lt;&gt;"")))&gt;0,(SUMPRODUCT(('Q1 Data'!$D$4:$D$207=D136)*('Q1 Data'!$B$4:$B$207="Challan")*('Q1 Data'!$H$4:$H$207=Z136))+SUMPRODUCT(('Q2 Data'!$D$4:$D$207=D136)*('Q2 Data'!$B$4:$B$207="Challan")*('Q2 Data'!$H$4:$H$207=Z136))+SUMPRODUCT(('Q3 Data'!$D$4:$D$207=D136)*('Q3 Data'!$B$4:$B$207="Challan")*('Q3 Data'!$H$4:$H$207=Z136))+SUMPRODUCT(('Q4 Data'!$D$4:$D$207=D136)*('Q4 Data'!$B$4:$B$207="Challan")*('Q4 Data'!$H$4:$H$207=Z136)))=0))</f>
      </c>
    </row>
    <row r="137" spans="1:44" x14ac:dyDescent="0.25">
      <c r="A137" s="20">
        <f>IF($B137="Entry",COUNTIF($B$4:$B137,"Entry"),"")</f>
      </c>
      <c r="B137" s="21"/>
      <c r="C137" s="22"/>
      <c r="D137" s="22"/>
      <c r="E137" s="23">
        <f>IF($B137&lt;&gt;"Challan","",IF(ROUND(AN137-AO137,2)&gt;0,"Over-applied",IF(ROUND(AN137-AO137,2)=0,"Fully Utilised","Unconsumed")))</f>
      </c>
      <c r="F137" s="24"/>
      <c r="G137" s="25"/>
      <c r="H137" s="25"/>
      <c r="I137" s="26"/>
      <c r="J137" s="26"/>
      <c r="K137" s="26"/>
      <c r="L137" s="26"/>
      <c r="M137" s="26"/>
      <c r="N137" s="26"/>
      <c r="O137" s="26"/>
      <c r="P137" s="27">
        <f>IF($B137&lt;&gt;"Challan","",I137+J137+K137+L137+M137+N137)</f>
      </c>
      <c r="Q137" s="25"/>
      <c r="R137" s="25"/>
      <c r="S137" s="25"/>
      <c r="T137" s="25"/>
      <c r="U137" s="25"/>
      <c r="V137" s="28"/>
      <c r="W137" s="28"/>
      <c r="X137" s="23">
        <f>IF($B137="Entry",IF(AND(LEN(TRIM(UPPER(W137)))=10,CODE(MID(TRIM(UPPER(W137)),1,1))&gt;=65,CODE(MID(TRIM(UPPER(W137)),1,1))&lt;=90,CODE(MID(TRIM(UPPER(W137)),2,1))&gt;=65,CODE(MID(TRIM(UPPER(W137)),2,1))&lt;=90,CODE(MID(TRIM(UPPER(W137)),3,1))&gt;=65,CODE(MID(TRIM(UPPER(W137)),3,1))&lt;=90,CODE(MID(TRIM(UPPER(W137)),4,1))&gt;=65,CODE(MID(TRIM(UPPER(W137)),4,1))&lt;=90,CODE(MID(TRIM(UPPER(W137)),5,1))&gt;=65,CODE(MID(TRIM(UPPER(W137)),5,1))&lt;=90,CODE(MID(TRIM(UPPER(W137)),10,1))&gt;=65,CODE(MID(TRIM(UPPER(W137)),10,1))&lt;=90,CODE(MID(TRIM(UPPER(W137)),6,1))&gt;=48,CODE(MID(TRIM(UPPER(W137)),6,1))&lt;=57,CODE(MID(TRIM(UPPER(W137)),7,1))&gt;=48,CODE(MID(TRIM(UPPER(W137)),7,1))&lt;=57,CODE(MID(TRIM(UPPER(W137)),8,1))&gt;=48,CODE(MID(TRIM(UPPER(W137)),8,1))&lt;=57,CODE(MID(TRIM(UPPER(W137)),9,1))&gt;=48,CODE(MID(TRIM(UPPER(W137)),9,1))&lt;=57),"N","Y"),IF($B137="Challan","",IF(W137&lt;&gt;"","◄ Set Row Type","")))</f>
      </c>
      <c r="Y137" s="23">
        <f>IF($B137="Entry",IF(LEN(W137)&lt;4,"",IF(UPPER(MID(W137,4,1))="P","Individual",IF(UPPER(MID(W137,4,1))="H","HUF",IF(UPPER(MID(W137,4,1))="C","Company",IF(UPPER(MID(W137,4,1))="F","Firm",IF(UPPER(MID(W137,4,1))="L","LLP",IF(UPPER(MID(W137,4,1))="T","Trust",IF(UPPER(MID(W137,4,1))="A","AOP","")))))))),IF($B137="Challan","",IF(W137&lt;&gt;"","◄ Set Row Type","")))</f>
      </c>
      <c r="Z137" s="28"/>
      <c r="AA137" s="29">
        <f>IF($B137&lt;&gt;"Entry","",IF(Z137="","",IF(X137="Y",SUMPRODUCT(('Rate Lookup'!$A$1:$A$37=Z137)*'Rate Lookup'!$D$1:$D$37),IF(OR(Y137="Individual",Y137="HUF"),SUMPRODUCT(('Rate Lookup'!$A$1:$A$37=Z137)*'Rate Lookup'!$B$1:$B$37),SUMPRODUCT(('Rate Lookup'!$A$1:$A$37=Z137)*'Rate Lookup'!$C$1:$C$37)))))</f>
      </c>
      <c r="AB137" s="30"/>
      <c r="AC137" s="31"/>
      <c r="AD137" s="27">
        <f>IF($B137&lt;&gt;"Entry","",ROUND(AC137*AA137/100,0))</f>
      </c>
      <c r="AE137" s="27">
        <f>IF($B137&lt;&gt;"Entry","",0)</f>
      </c>
      <c r="AF137" s="27">
        <f>IF($B137&lt;&gt;"Entry","",0)</f>
      </c>
      <c r="AG137" s="27">
        <f>IF($B137&lt;&gt;"Entry","",IF(OR(AD137=0,AB137="",AQ137="",AQ137&lt;=0),0,IF(AQ137&lt;=DATE(YEAR(AB137),MONTH(AB137)+1,7),0,ROUND(AD137*0.015*((YEAR(AQ137)-YEAR(AB137))*12+(MONTH(AQ137)-MONTH(AB137))+1),0))))</f>
      </c>
      <c r="AH137" s="27">
        <f>IF($B137&lt;&gt;"Entry","",0)</f>
      </c>
      <c r="AI137" s="28"/>
      <c r="AJ137" s="28"/>
      <c r="AK137" s="32"/>
      <c r="AL137" s="28"/>
      <c r="AM137" s="28"/>
      <c r="AN137" s="27">
        <f>IF($B137&lt;&gt;"Challan","",SUMIF('Q1 Data'!$D$4:$D$207,D137,'Q1 Data'!$AD$4:$AD$207)+SUMIF('Q1 Data'!$D$4:$D$207,D137,'Q1 Data'!$AG$4:$AG$207)+SUMIF('Q1 Data'!$D$4:$D$207,D137,'Q1 Data'!$AE$4:$AE$207)+SUMIF('Q2 Data'!$D$4:$D$207,D137,'Q2 Data'!$AD$4:$AD$207)+SUMIF('Q2 Data'!$D$4:$D$207,D137,'Q2 Data'!$AG$4:$AG$207)+SUMIF('Q2 Data'!$D$4:$D$207,D137,'Q2 Data'!$AE$4:$AE$207)+SUMIF('Q3 Data'!$D$4:$D$207,D137,'Q3 Data'!$AD$4:$AD$207)+SUMIF('Q3 Data'!$D$4:$D$207,D137,'Q3 Data'!$AG$4:$AG$207)+SUMIF('Q3 Data'!$D$4:$D$207,D137,'Q3 Data'!$AE$4:$AE$207)+SUMIF('Q4 Data'!$D$4:$D$207,D137,'Q4 Data'!$AD$4:$AD$207)+SUMIF('Q4 Data'!$D$4:$D$207,D137,'Q4 Data'!$AG$4:$AG$207)+SUMIF('Q4 Data'!$D$4:$D$207,D137,'Q4 Data'!$AE$4:$AE$207))</f>
      </c>
      <c r="AO137" s="27">
        <f>IF($B137&lt;&gt;"Challan","",P137-N137)</f>
      </c>
      <c r="AP137" s="27">
        <f>IF($B137&lt;&gt;"Challan","",MAX(0,AO137-AN137))</f>
      </c>
      <c r="AQ137" s="33">
        <f>IF($B137&lt;&gt;"Entry","",SUMPRODUCT(('Q1 Data'!$D$4:$D$207=D137)*('Q1 Data'!$B$4:$B$207="Challan")*'Q1 Data'!$F$4:$F$207)+SUMPRODUCT(('Q2 Data'!$D$4:$D$207=D137)*('Q2 Data'!$B$4:$B$207="Challan")*'Q2 Data'!$F$4:$F$207)+SUMPRODUCT(('Q3 Data'!$D$4:$D$207=D137)*('Q3 Data'!$B$4:$B$207="Challan")*'Q3 Data'!$F$4:$F$207)+SUMPRODUCT(('Q4 Data'!$D$4:$D$207=D137)*('Q4 Data'!$B$4:$B$207="Challan")*'Q4 Data'!$F$4:$F$207))</f>
      </c>
      <c r="AR137" s="34">
        <f>IF(OR($B137&lt;&gt;"Entry",Z137=""),FALSE,AND((SUMPRODUCT(('Q1 Data'!$D$4:$D$207=D137)*('Q1 Data'!$B$4:$B$207="Challan")*('Q1 Data'!$H$4:$H$207&lt;&gt;""))+SUMPRODUCT(('Q2 Data'!$D$4:$D$207=D137)*('Q2 Data'!$B$4:$B$207="Challan")*('Q2 Data'!$H$4:$H$207&lt;&gt;""))+SUMPRODUCT(('Q3 Data'!$D$4:$D$207=D137)*('Q3 Data'!$B$4:$B$207="Challan")*('Q3 Data'!$H$4:$H$207&lt;&gt;""))+SUMPRODUCT(('Q4 Data'!$D$4:$D$207=D137)*('Q4 Data'!$B$4:$B$207="Challan")*('Q4 Data'!$H$4:$H$207&lt;&gt;"")))&gt;0,(SUMPRODUCT(('Q1 Data'!$D$4:$D$207=D137)*('Q1 Data'!$B$4:$B$207="Challan")*('Q1 Data'!$H$4:$H$207=Z137))+SUMPRODUCT(('Q2 Data'!$D$4:$D$207=D137)*('Q2 Data'!$B$4:$B$207="Challan")*('Q2 Data'!$H$4:$H$207=Z137))+SUMPRODUCT(('Q3 Data'!$D$4:$D$207=D137)*('Q3 Data'!$B$4:$B$207="Challan")*('Q3 Data'!$H$4:$H$207=Z137))+SUMPRODUCT(('Q4 Data'!$D$4:$D$207=D137)*('Q4 Data'!$B$4:$B$207="Challan")*('Q4 Data'!$H$4:$H$207=Z137)))=0))</f>
      </c>
    </row>
    <row r="138" spans="1:44" x14ac:dyDescent="0.25">
      <c r="A138" s="20">
        <f>IF($B138="Entry",COUNTIF($B$4:$B138,"Entry"),"")</f>
      </c>
      <c r="B138" s="21"/>
      <c r="C138" s="22"/>
      <c r="D138" s="22"/>
      <c r="E138" s="23">
        <f>IF($B138&lt;&gt;"Challan","",IF(ROUND(AN138-AO138,2)&gt;0,"Over-applied",IF(ROUND(AN138-AO138,2)=0,"Fully Utilised","Unconsumed")))</f>
      </c>
      <c r="F138" s="24"/>
      <c r="G138" s="25"/>
      <c r="H138" s="25"/>
      <c r="I138" s="26"/>
      <c r="J138" s="26"/>
      <c r="K138" s="26"/>
      <c r="L138" s="26"/>
      <c r="M138" s="26"/>
      <c r="N138" s="26"/>
      <c r="O138" s="26"/>
      <c r="P138" s="27">
        <f>IF($B138&lt;&gt;"Challan","",I138+J138+K138+L138+M138+N138)</f>
      </c>
      <c r="Q138" s="25"/>
      <c r="R138" s="25"/>
      <c r="S138" s="25"/>
      <c r="T138" s="25"/>
      <c r="U138" s="25"/>
      <c r="V138" s="28"/>
      <c r="W138" s="28"/>
      <c r="X138" s="23">
        <f>IF($B138="Entry",IF(AND(LEN(TRIM(UPPER(W138)))=10,CODE(MID(TRIM(UPPER(W138)),1,1))&gt;=65,CODE(MID(TRIM(UPPER(W138)),1,1))&lt;=90,CODE(MID(TRIM(UPPER(W138)),2,1))&gt;=65,CODE(MID(TRIM(UPPER(W138)),2,1))&lt;=90,CODE(MID(TRIM(UPPER(W138)),3,1))&gt;=65,CODE(MID(TRIM(UPPER(W138)),3,1))&lt;=90,CODE(MID(TRIM(UPPER(W138)),4,1))&gt;=65,CODE(MID(TRIM(UPPER(W138)),4,1))&lt;=90,CODE(MID(TRIM(UPPER(W138)),5,1))&gt;=65,CODE(MID(TRIM(UPPER(W138)),5,1))&lt;=90,CODE(MID(TRIM(UPPER(W138)),10,1))&gt;=65,CODE(MID(TRIM(UPPER(W138)),10,1))&lt;=90,CODE(MID(TRIM(UPPER(W138)),6,1))&gt;=48,CODE(MID(TRIM(UPPER(W138)),6,1))&lt;=57,CODE(MID(TRIM(UPPER(W138)),7,1))&gt;=48,CODE(MID(TRIM(UPPER(W138)),7,1))&lt;=57,CODE(MID(TRIM(UPPER(W138)),8,1))&gt;=48,CODE(MID(TRIM(UPPER(W138)),8,1))&lt;=57,CODE(MID(TRIM(UPPER(W138)),9,1))&gt;=48,CODE(MID(TRIM(UPPER(W138)),9,1))&lt;=57),"N","Y"),IF($B138="Challan","",IF(W138&lt;&gt;"","◄ Set Row Type","")))</f>
      </c>
      <c r="Y138" s="23">
        <f>IF($B138="Entry",IF(LEN(W138)&lt;4,"",IF(UPPER(MID(W138,4,1))="P","Individual",IF(UPPER(MID(W138,4,1))="H","HUF",IF(UPPER(MID(W138,4,1))="C","Company",IF(UPPER(MID(W138,4,1))="F","Firm",IF(UPPER(MID(W138,4,1))="L","LLP",IF(UPPER(MID(W138,4,1))="T","Trust",IF(UPPER(MID(W138,4,1))="A","AOP","")))))))),IF($B138="Challan","",IF(W138&lt;&gt;"","◄ Set Row Type","")))</f>
      </c>
      <c r="Z138" s="28"/>
      <c r="AA138" s="29">
        <f>IF($B138&lt;&gt;"Entry","",IF(Z138="","",IF(X138="Y",SUMPRODUCT(('Rate Lookup'!$A$1:$A$37=Z138)*'Rate Lookup'!$D$1:$D$37),IF(OR(Y138="Individual",Y138="HUF"),SUMPRODUCT(('Rate Lookup'!$A$1:$A$37=Z138)*'Rate Lookup'!$B$1:$B$37),SUMPRODUCT(('Rate Lookup'!$A$1:$A$37=Z138)*'Rate Lookup'!$C$1:$C$37)))))</f>
      </c>
      <c r="AB138" s="30"/>
      <c r="AC138" s="31"/>
      <c r="AD138" s="27">
        <f>IF($B138&lt;&gt;"Entry","",ROUND(AC138*AA138/100,0))</f>
      </c>
      <c r="AE138" s="27">
        <f>IF($B138&lt;&gt;"Entry","",0)</f>
      </c>
      <c r="AF138" s="27">
        <f>IF($B138&lt;&gt;"Entry","",0)</f>
      </c>
      <c r="AG138" s="27">
        <f>IF($B138&lt;&gt;"Entry","",IF(OR(AD138=0,AB138="",AQ138="",AQ138&lt;=0),0,IF(AQ138&lt;=DATE(YEAR(AB138),MONTH(AB138)+1,7),0,ROUND(AD138*0.015*((YEAR(AQ138)-YEAR(AB138))*12+(MONTH(AQ138)-MONTH(AB138))+1),0))))</f>
      </c>
      <c r="AH138" s="27">
        <f>IF($B138&lt;&gt;"Entry","",0)</f>
      </c>
      <c r="AI138" s="28"/>
      <c r="AJ138" s="28"/>
      <c r="AK138" s="32"/>
      <c r="AL138" s="28"/>
      <c r="AM138" s="28"/>
      <c r="AN138" s="27">
        <f>IF($B138&lt;&gt;"Challan","",SUMIF('Q1 Data'!$D$4:$D$207,D138,'Q1 Data'!$AD$4:$AD$207)+SUMIF('Q1 Data'!$D$4:$D$207,D138,'Q1 Data'!$AG$4:$AG$207)+SUMIF('Q1 Data'!$D$4:$D$207,D138,'Q1 Data'!$AE$4:$AE$207)+SUMIF('Q2 Data'!$D$4:$D$207,D138,'Q2 Data'!$AD$4:$AD$207)+SUMIF('Q2 Data'!$D$4:$D$207,D138,'Q2 Data'!$AG$4:$AG$207)+SUMIF('Q2 Data'!$D$4:$D$207,D138,'Q2 Data'!$AE$4:$AE$207)+SUMIF('Q3 Data'!$D$4:$D$207,D138,'Q3 Data'!$AD$4:$AD$207)+SUMIF('Q3 Data'!$D$4:$D$207,D138,'Q3 Data'!$AG$4:$AG$207)+SUMIF('Q3 Data'!$D$4:$D$207,D138,'Q3 Data'!$AE$4:$AE$207)+SUMIF('Q4 Data'!$D$4:$D$207,D138,'Q4 Data'!$AD$4:$AD$207)+SUMIF('Q4 Data'!$D$4:$D$207,D138,'Q4 Data'!$AG$4:$AG$207)+SUMIF('Q4 Data'!$D$4:$D$207,D138,'Q4 Data'!$AE$4:$AE$207))</f>
      </c>
      <c r="AO138" s="27">
        <f>IF($B138&lt;&gt;"Challan","",P138-N138)</f>
      </c>
      <c r="AP138" s="27">
        <f>IF($B138&lt;&gt;"Challan","",MAX(0,AO138-AN138))</f>
      </c>
      <c r="AQ138" s="33">
        <f>IF($B138&lt;&gt;"Entry","",SUMPRODUCT(('Q1 Data'!$D$4:$D$207=D138)*('Q1 Data'!$B$4:$B$207="Challan")*'Q1 Data'!$F$4:$F$207)+SUMPRODUCT(('Q2 Data'!$D$4:$D$207=D138)*('Q2 Data'!$B$4:$B$207="Challan")*'Q2 Data'!$F$4:$F$207)+SUMPRODUCT(('Q3 Data'!$D$4:$D$207=D138)*('Q3 Data'!$B$4:$B$207="Challan")*'Q3 Data'!$F$4:$F$207)+SUMPRODUCT(('Q4 Data'!$D$4:$D$207=D138)*('Q4 Data'!$B$4:$B$207="Challan")*'Q4 Data'!$F$4:$F$207))</f>
      </c>
      <c r="AR138" s="34">
        <f>IF(OR($B138&lt;&gt;"Entry",Z138=""),FALSE,AND((SUMPRODUCT(('Q1 Data'!$D$4:$D$207=D138)*('Q1 Data'!$B$4:$B$207="Challan")*('Q1 Data'!$H$4:$H$207&lt;&gt;""))+SUMPRODUCT(('Q2 Data'!$D$4:$D$207=D138)*('Q2 Data'!$B$4:$B$207="Challan")*('Q2 Data'!$H$4:$H$207&lt;&gt;""))+SUMPRODUCT(('Q3 Data'!$D$4:$D$207=D138)*('Q3 Data'!$B$4:$B$207="Challan")*('Q3 Data'!$H$4:$H$207&lt;&gt;""))+SUMPRODUCT(('Q4 Data'!$D$4:$D$207=D138)*('Q4 Data'!$B$4:$B$207="Challan")*('Q4 Data'!$H$4:$H$207&lt;&gt;"")))&gt;0,(SUMPRODUCT(('Q1 Data'!$D$4:$D$207=D138)*('Q1 Data'!$B$4:$B$207="Challan")*('Q1 Data'!$H$4:$H$207=Z138))+SUMPRODUCT(('Q2 Data'!$D$4:$D$207=D138)*('Q2 Data'!$B$4:$B$207="Challan")*('Q2 Data'!$H$4:$H$207=Z138))+SUMPRODUCT(('Q3 Data'!$D$4:$D$207=D138)*('Q3 Data'!$B$4:$B$207="Challan")*('Q3 Data'!$H$4:$H$207=Z138))+SUMPRODUCT(('Q4 Data'!$D$4:$D$207=D138)*('Q4 Data'!$B$4:$B$207="Challan")*('Q4 Data'!$H$4:$H$207=Z138)))=0))</f>
      </c>
    </row>
    <row r="139" spans="1:44" x14ac:dyDescent="0.25">
      <c r="A139" s="20">
        <f>IF($B139="Entry",COUNTIF($B$4:$B139,"Entry"),"")</f>
      </c>
      <c r="B139" s="21"/>
      <c r="C139" s="22"/>
      <c r="D139" s="22"/>
      <c r="E139" s="23">
        <f>IF($B139&lt;&gt;"Challan","",IF(ROUND(AN139-AO139,2)&gt;0,"Over-applied",IF(ROUND(AN139-AO139,2)=0,"Fully Utilised","Unconsumed")))</f>
      </c>
      <c r="F139" s="24"/>
      <c r="G139" s="25"/>
      <c r="H139" s="25"/>
      <c r="I139" s="26"/>
      <c r="J139" s="26"/>
      <c r="K139" s="26"/>
      <c r="L139" s="26"/>
      <c r="M139" s="26"/>
      <c r="N139" s="26"/>
      <c r="O139" s="26"/>
      <c r="P139" s="27">
        <f>IF($B139&lt;&gt;"Challan","",I139+J139+K139+L139+M139+N139)</f>
      </c>
      <c r="Q139" s="25"/>
      <c r="R139" s="25"/>
      <c r="S139" s="25"/>
      <c r="T139" s="25"/>
      <c r="U139" s="25"/>
      <c r="V139" s="28"/>
      <c r="W139" s="28"/>
      <c r="X139" s="23">
        <f>IF($B139="Entry",IF(AND(LEN(TRIM(UPPER(W139)))=10,CODE(MID(TRIM(UPPER(W139)),1,1))&gt;=65,CODE(MID(TRIM(UPPER(W139)),1,1))&lt;=90,CODE(MID(TRIM(UPPER(W139)),2,1))&gt;=65,CODE(MID(TRIM(UPPER(W139)),2,1))&lt;=90,CODE(MID(TRIM(UPPER(W139)),3,1))&gt;=65,CODE(MID(TRIM(UPPER(W139)),3,1))&lt;=90,CODE(MID(TRIM(UPPER(W139)),4,1))&gt;=65,CODE(MID(TRIM(UPPER(W139)),4,1))&lt;=90,CODE(MID(TRIM(UPPER(W139)),5,1))&gt;=65,CODE(MID(TRIM(UPPER(W139)),5,1))&lt;=90,CODE(MID(TRIM(UPPER(W139)),10,1))&gt;=65,CODE(MID(TRIM(UPPER(W139)),10,1))&lt;=90,CODE(MID(TRIM(UPPER(W139)),6,1))&gt;=48,CODE(MID(TRIM(UPPER(W139)),6,1))&lt;=57,CODE(MID(TRIM(UPPER(W139)),7,1))&gt;=48,CODE(MID(TRIM(UPPER(W139)),7,1))&lt;=57,CODE(MID(TRIM(UPPER(W139)),8,1))&gt;=48,CODE(MID(TRIM(UPPER(W139)),8,1))&lt;=57,CODE(MID(TRIM(UPPER(W139)),9,1))&gt;=48,CODE(MID(TRIM(UPPER(W139)),9,1))&lt;=57),"N","Y"),IF($B139="Challan","",IF(W139&lt;&gt;"","◄ Set Row Type","")))</f>
      </c>
      <c r="Y139" s="23">
        <f>IF($B139="Entry",IF(LEN(W139)&lt;4,"",IF(UPPER(MID(W139,4,1))="P","Individual",IF(UPPER(MID(W139,4,1))="H","HUF",IF(UPPER(MID(W139,4,1))="C","Company",IF(UPPER(MID(W139,4,1))="F","Firm",IF(UPPER(MID(W139,4,1))="L","LLP",IF(UPPER(MID(W139,4,1))="T","Trust",IF(UPPER(MID(W139,4,1))="A","AOP","")))))))),IF($B139="Challan","",IF(W139&lt;&gt;"","◄ Set Row Type","")))</f>
      </c>
      <c r="Z139" s="28"/>
      <c r="AA139" s="29">
        <f>IF($B139&lt;&gt;"Entry","",IF(Z139="","",IF(X139="Y",SUMPRODUCT(('Rate Lookup'!$A$1:$A$37=Z139)*'Rate Lookup'!$D$1:$D$37),IF(OR(Y139="Individual",Y139="HUF"),SUMPRODUCT(('Rate Lookup'!$A$1:$A$37=Z139)*'Rate Lookup'!$B$1:$B$37),SUMPRODUCT(('Rate Lookup'!$A$1:$A$37=Z139)*'Rate Lookup'!$C$1:$C$37)))))</f>
      </c>
      <c r="AB139" s="30"/>
      <c r="AC139" s="31"/>
      <c r="AD139" s="27">
        <f>IF($B139&lt;&gt;"Entry","",ROUND(AC139*AA139/100,0))</f>
      </c>
      <c r="AE139" s="27">
        <f>IF($B139&lt;&gt;"Entry","",0)</f>
      </c>
      <c r="AF139" s="27">
        <f>IF($B139&lt;&gt;"Entry","",0)</f>
      </c>
      <c r="AG139" s="27">
        <f>IF($B139&lt;&gt;"Entry","",IF(OR(AD139=0,AB139="",AQ139="",AQ139&lt;=0),0,IF(AQ139&lt;=DATE(YEAR(AB139),MONTH(AB139)+1,7),0,ROUND(AD139*0.015*((YEAR(AQ139)-YEAR(AB139))*12+(MONTH(AQ139)-MONTH(AB139))+1),0))))</f>
      </c>
      <c r="AH139" s="27">
        <f>IF($B139&lt;&gt;"Entry","",0)</f>
      </c>
      <c r="AI139" s="28"/>
      <c r="AJ139" s="28"/>
      <c r="AK139" s="32"/>
      <c r="AL139" s="28"/>
      <c r="AM139" s="28"/>
      <c r="AN139" s="27">
        <f>IF($B139&lt;&gt;"Challan","",SUMIF('Q1 Data'!$D$4:$D$207,D139,'Q1 Data'!$AD$4:$AD$207)+SUMIF('Q1 Data'!$D$4:$D$207,D139,'Q1 Data'!$AG$4:$AG$207)+SUMIF('Q1 Data'!$D$4:$D$207,D139,'Q1 Data'!$AE$4:$AE$207)+SUMIF('Q2 Data'!$D$4:$D$207,D139,'Q2 Data'!$AD$4:$AD$207)+SUMIF('Q2 Data'!$D$4:$D$207,D139,'Q2 Data'!$AG$4:$AG$207)+SUMIF('Q2 Data'!$D$4:$D$207,D139,'Q2 Data'!$AE$4:$AE$207)+SUMIF('Q3 Data'!$D$4:$D$207,D139,'Q3 Data'!$AD$4:$AD$207)+SUMIF('Q3 Data'!$D$4:$D$207,D139,'Q3 Data'!$AG$4:$AG$207)+SUMIF('Q3 Data'!$D$4:$D$207,D139,'Q3 Data'!$AE$4:$AE$207)+SUMIF('Q4 Data'!$D$4:$D$207,D139,'Q4 Data'!$AD$4:$AD$207)+SUMIF('Q4 Data'!$D$4:$D$207,D139,'Q4 Data'!$AG$4:$AG$207)+SUMIF('Q4 Data'!$D$4:$D$207,D139,'Q4 Data'!$AE$4:$AE$207))</f>
      </c>
      <c r="AO139" s="27">
        <f>IF($B139&lt;&gt;"Challan","",P139-N139)</f>
      </c>
      <c r="AP139" s="27">
        <f>IF($B139&lt;&gt;"Challan","",MAX(0,AO139-AN139))</f>
      </c>
      <c r="AQ139" s="33">
        <f>IF($B139&lt;&gt;"Entry","",SUMPRODUCT(('Q1 Data'!$D$4:$D$207=D139)*('Q1 Data'!$B$4:$B$207="Challan")*'Q1 Data'!$F$4:$F$207)+SUMPRODUCT(('Q2 Data'!$D$4:$D$207=D139)*('Q2 Data'!$B$4:$B$207="Challan")*'Q2 Data'!$F$4:$F$207)+SUMPRODUCT(('Q3 Data'!$D$4:$D$207=D139)*('Q3 Data'!$B$4:$B$207="Challan")*'Q3 Data'!$F$4:$F$207)+SUMPRODUCT(('Q4 Data'!$D$4:$D$207=D139)*('Q4 Data'!$B$4:$B$207="Challan")*'Q4 Data'!$F$4:$F$207))</f>
      </c>
      <c r="AR139" s="34">
        <f>IF(OR($B139&lt;&gt;"Entry",Z139=""),FALSE,AND((SUMPRODUCT(('Q1 Data'!$D$4:$D$207=D139)*('Q1 Data'!$B$4:$B$207="Challan")*('Q1 Data'!$H$4:$H$207&lt;&gt;""))+SUMPRODUCT(('Q2 Data'!$D$4:$D$207=D139)*('Q2 Data'!$B$4:$B$207="Challan")*('Q2 Data'!$H$4:$H$207&lt;&gt;""))+SUMPRODUCT(('Q3 Data'!$D$4:$D$207=D139)*('Q3 Data'!$B$4:$B$207="Challan")*('Q3 Data'!$H$4:$H$207&lt;&gt;""))+SUMPRODUCT(('Q4 Data'!$D$4:$D$207=D139)*('Q4 Data'!$B$4:$B$207="Challan")*('Q4 Data'!$H$4:$H$207&lt;&gt;"")))&gt;0,(SUMPRODUCT(('Q1 Data'!$D$4:$D$207=D139)*('Q1 Data'!$B$4:$B$207="Challan")*('Q1 Data'!$H$4:$H$207=Z139))+SUMPRODUCT(('Q2 Data'!$D$4:$D$207=D139)*('Q2 Data'!$B$4:$B$207="Challan")*('Q2 Data'!$H$4:$H$207=Z139))+SUMPRODUCT(('Q3 Data'!$D$4:$D$207=D139)*('Q3 Data'!$B$4:$B$207="Challan")*('Q3 Data'!$H$4:$H$207=Z139))+SUMPRODUCT(('Q4 Data'!$D$4:$D$207=D139)*('Q4 Data'!$B$4:$B$207="Challan")*('Q4 Data'!$H$4:$H$207=Z139)))=0))</f>
      </c>
    </row>
    <row r="140" spans="1:44" x14ac:dyDescent="0.25">
      <c r="A140" s="20">
        <f>IF($B140="Entry",COUNTIF($B$4:$B140,"Entry"),"")</f>
      </c>
      <c r="B140" s="21"/>
      <c r="C140" s="22"/>
      <c r="D140" s="22"/>
      <c r="E140" s="23">
        <f>IF($B140&lt;&gt;"Challan","",IF(ROUND(AN140-AO140,2)&gt;0,"Over-applied",IF(ROUND(AN140-AO140,2)=0,"Fully Utilised","Unconsumed")))</f>
      </c>
      <c r="F140" s="24"/>
      <c r="G140" s="25"/>
      <c r="H140" s="25"/>
      <c r="I140" s="26"/>
      <c r="J140" s="26"/>
      <c r="K140" s="26"/>
      <c r="L140" s="26"/>
      <c r="M140" s="26"/>
      <c r="N140" s="26"/>
      <c r="O140" s="26"/>
      <c r="P140" s="27">
        <f>IF($B140&lt;&gt;"Challan","",I140+J140+K140+L140+M140+N140)</f>
      </c>
      <c r="Q140" s="25"/>
      <c r="R140" s="25"/>
      <c r="S140" s="25"/>
      <c r="T140" s="25"/>
      <c r="U140" s="25"/>
      <c r="V140" s="28"/>
      <c r="W140" s="28"/>
      <c r="X140" s="23">
        <f>IF($B140="Entry",IF(AND(LEN(TRIM(UPPER(W140)))=10,CODE(MID(TRIM(UPPER(W140)),1,1))&gt;=65,CODE(MID(TRIM(UPPER(W140)),1,1))&lt;=90,CODE(MID(TRIM(UPPER(W140)),2,1))&gt;=65,CODE(MID(TRIM(UPPER(W140)),2,1))&lt;=90,CODE(MID(TRIM(UPPER(W140)),3,1))&gt;=65,CODE(MID(TRIM(UPPER(W140)),3,1))&lt;=90,CODE(MID(TRIM(UPPER(W140)),4,1))&gt;=65,CODE(MID(TRIM(UPPER(W140)),4,1))&lt;=90,CODE(MID(TRIM(UPPER(W140)),5,1))&gt;=65,CODE(MID(TRIM(UPPER(W140)),5,1))&lt;=90,CODE(MID(TRIM(UPPER(W140)),10,1))&gt;=65,CODE(MID(TRIM(UPPER(W140)),10,1))&lt;=90,CODE(MID(TRIM(UPPER(W140)),6,1))&gt;=48,CODE(MID(TRIM(UPPER(W140)),6,1))&lt;=57,CODE(MID(TRIM(UPPER(W140)),7,1))&gt;=48,CODE(MID(TRIM(UPPER(W140)),7,1))&lt;=57,CODE(MID(TRIM(UPPER(W140)),8,1))&gt;=48,CODE(MID(TRIM(UPPER(W140)),8,1))&lt;=57,CODE(MID(TRIM(UPPER(W140)),9,1))&gt;=48,CODE(MID(TRIM(UPPER(W140)),9,1))&lt;=57),"N","Y"),IF($B140="Challan","",IF(W140&lt;&gt;"","◄ Set Row Type","")))</f>
      </c>
      <c r="Y140" s="23">
        <f>IF($B140="Entry",IF(LEN(W140)&lt;4,"",IF(UPPER(MID(W140,4,1))="P","Individual",IF(UPPER(MID(W140,4,1))="H","HUF",IF(UPPER(MID(W140,4,1))="C","Company",IF(UPPER(MID(W140,4,1))="F","Firm",IF(UPPER(MID(W140,4,1))="L","LLP",IF(UPPER(MID(W140,4,1))="T","Trust",IF(UPPER(MID(W140,4,1))="A","AOP","")))))))),IF($B140="Challan","",IF(W140&lt;&gt;"","◄ Set Row Type","")))</f>
      </c>
      <c r="Z140" s="28"/>
      <c r="AA140" s="29">
        <f>IF($B140&lt;&gt;"Entry","",IF(Z140="","",IF(X140="Y",SUMPRODUCT(('Rate Lookup'!$A$1:$A$37=Z140)*'Rate Lookup'!$D$1:$D$37),IF(OR(Y140="Individual",Y140="HUF"),SUMPRODUCT(('Rate Lookup'!$A$1:$A$37=Z140)*'Rate Lookup'!$B$1:$B$37),SUMPRODUCT(('Rate Lookup'!$A$1:$A$37=Z140)*'Rate Lookup'!$C$1:$C$37)))))</f>
      </c>
      <c r="AB140" s="30"/>
      <c r="AC140" s="31"/>
      <c r="AD140" s="27">
        <f>IF($B140&lt;&gt;"Entry","",ROUND(AC140*AA140/100,0))</f>
      </c>
      <c r="AE140" s="27">
        <f>IF($B140&lt;&gt;"Entry","",0)</f>
      </c>
      <c r="AF140" s="27">
        <f>IF($B140&lt;&gt;"Entry","",0)</f>
      </c>
      <c r="AG140" s="27">
        <f>IF($B140&lt;&gt;"Entry","",IF(OR(AD140=0,AB140="",AQ140="",AQ140&lt;=0),0,IF(AQ140&lt;=DATE(YEAR(AB140),MONTH(AB140)+1,7),0,ROUND(AD140*0.015*((YEAR(AQ140)-YEAR(AB140))*12+(MONTH(AQ140)-MONTH(AB140))+1),0))))</f>
      </c>
      <c r="AH140" s="27">
        <f>IF($B140&lt;&gt;"Entry","",0)</f>
      </c>
      <c r="AI140" s="28"/>
      <c r="AJ140" s="28"/>
      <c r="AK140" s="32"/>
      <c r="AL140" s="28"/>
      <c r="AM140" s="28"/>
      <c r="AN140" s="27">
        <f>IF($B140&lt;&gt;"Challan","",SUMIF('Q1 Data'!$D$4:$D$207,D140,'Q1 Data'!$AD$4:$AD$207)+SUMIF('Q1 Data'!$D$4:$D$207,D140,'Q1 Data'!$AG$4:$AG$207)+SUMIF('Q1 Data'!$D$4:$D$207,D140,'Q1 Data'!$AE$4:$AE$207)+SUMIF('Q2 Data'!$D$4:$D$207,D140,'Q2 Data'!$AD$4:$AD$207)+SUMIF('Q2 Data'!$D$4:$D$207,D140,'Q2 Data'!$AG$4:$AG$207)+SUMIF('Q2 Data'!$D$4:$D$207,D140,'Q2 Data'!$AE$4:$AE$207)+SUMIF('Q3 Data'!$D$4:$D$207,D140,'Q3 Data'!$AD$4:$AD$207)+SUMIF('Q3 Data'!$D$4:$D$207,D140,'Q3 Data'!$AG$4:$AG$207)+SUMIF('Q3 Data'!$D$4:$D$207,D140,'Q3 Data'!$AE$4:$AE$207)+SUMIF('Q4 Data'!$D$4:$D$207,D140,'Q4 Data'!$AD$4:$AD$207)+SUMIF('Q4 Data'!$D$4:$D$207,D140,'Q4 Data'!$AG$4:$AG$207)+SUMIF('Q4 Data'!$D$4:$D$207,D140,'Q4 Data'!$AE$4:$AE$207))</f>
      </c>
      <c r="AO140" s="27">
        <f>IF($B140&lt;&gt;"Challan","",P140-N140)</f>
      </c>
      <c r="AP140" s="27">
        <f>IF($B140&lt;&gt;"Challan","",MAX(0,AO140-AN140))</f>
      </c>
      <c r="AQ140" s="33">
        <f>IF($B140&lt;&gt;"Entry","",SUMPRODUCT(('Q1 Data'!$D$4:$D$207=D140)*('Q1 Data'!$B$4:$B$207="Challan")*'Q1 Data'!$F$4:$F$207)+SUMPRODUCT(('Q2 Data'!$D$4:$D$207=D140)*('Q2 Data'!$B$4:$B$207="Challan")*'Q2 Data'!$F$4:$F$207)+SUMPRODUCT(('Q3 Data'!$D$4:$D$207=D140)*('Q3 Data'!$B$4:$B$207="Challan")*'Q3 Data'!$F$4:$F$207)+SUMPRODUCT(('Q4 Data'!$D$4:$D$207=D140)*('Q4 Data'!$B$4:$B$207="Challan")*'Q4 Data'!$F$4:$F$207))</f>
      </c>
      <c r="AR140" s="34">
        <f>IF(OR($B140&lt;&gt;"Entry",Z140=""),FALSE,AND((SUMPRODUCT(('Q1 Data'!$D$4:$D$207=D140)*('Q1 Data'!$B$4:$B$207="Challan")*('Q1 Data'!$H$4:$H$207&lt;&gt;""))+SUMPRODUCT(('Q2 Data'!$D$4:$D$207=D140)*('Q2 Data'!$B$4:$B$207="Challan")*('Q2 Data'!$H$4:$H$207&lt;&gt;""))+SUMPRODUCT(('Q3 Data'!$D$4:$D$207=D140)*('Q3 Data'!$B$4:$B$207="Challan")*('Q3 Data'!$H$4:$H$207&lt;&gt;""))+SUMPRODUCT(('Q4 Data'!$D$4:$D$207=D140)*('Q4 Data'!$B$4:$B$207="Challan")*('Q4 Data'!$H$4:$H$207&lt;&gt;"")))&gt;0,(SUMPRODUCT(('Q1 Data'!$D$4:$D$207=D140)*('Q1 Data'!$B$4:$B$207="Challan")*('Q1 Data'!$H$4:$H$207=Z140))+SUMPRODUCT(('Q2 Data'!$D$4:$D$207=D140)*('Q2 Data'!$B$4:$B$207="Challan")*('Q2 Data'!$H$4:$H$207=Z140))+SUMPRODUCT(('Q3 Data'!$D$4:$D$207=D140)*('Q3 Data'!$B$4:$B$207="Challan")*('Q3 Data'!$H$4:$H$207=Z140))+SUMPRODUCT(('Q4 Data'!$D$4:$D$207=D140)*('Q4 Data'!$B$4:$B$207="Challan")*('Q4 Data'!$H$4:$H$207=Z140)))=0))</f>
      </c>
    </row>
    <row r="141" spans="1:44" x14ac:dyDescent="0.25">
      <c r="A141" s="20">
        <f>IF($B141="Entry",COUNTIF($B$4:$B141,"Entry"),"")</f>
      </c>
      <c r="B141" s="21"/>
      <c r="C141" s="22"/>
      <c r="D141" s="22"/>
      <c r="E141" s="23">
        <f>IF($B141&lt;&gt;"Challan","",IF(ROUND(AN141-AO141,2)&gt;0,"Over-applied",IF(ROUND(AN141-AO141,2)=0,"Fully Utilised","Unconsumed")))</f>
      </c>
      <c r="F141" s="24"/>
      <c r="G141" s="25"/>
      <c r="H141" s="25"/>
      <c r="I141" s="26"/>
      <c r="J141" s="26"/>
      <c r="K141" s="26"/>
      <c r="L141" s="26"/>
      <c r="M141" s="26"/>
      <c r="N141" s="26"/>
      <c r="O141" s="26"/>
      <c r="P141" s="27">
        <f>IF($B141&lt;&gt;"Challan","",I141+J141+K141+L141+M141+N141)</f>
      </c>
      <c r="Q141" s="25"/>
      <c r="R141" s="25"/>
      <c r="S141" s="25"/>
      <c r="T141" s="25"/>
      <c r="U141" s="25"/>
      <c r="V141" s="28"/>
      <c r="W141" s="28"/>
      <c r="X141" s="23">
        <f>IF($B141="Entry",IF(AND(LEN(TRIM(UPPER(W141)))=10,CODE(MID(TRIM(UPPER(W141)),1,1))&gt;=65,CODE(MID(TRIM(UPPER(W141)),1,1))&lt;=90,CODE(MID(TRIM(UPPER(W141)),2,1))&gt;=65,CODE(MID(TRIM(UPPER(W141)),2,1))&lt;=90,CODE(MID(TRIM(UPPER(W141)),3,1))&gt;=65,CODE(MID(TRIM(UPPER(W141)),3,1))&lt;=90,CODE(MID(TRIM(UPPER(W141)),4,1))&gt;=65,CODE(MID(TRIM(UPPER(W141)),4,1))&lt;=90,CODE(MID(TRIM(UPPER(W141)),5,1))&gt;=65,CODE(MID(TRIM(UPPER(W141)),5,1))&lt;=90,CODE(MID(TRIM(UPPER(W141)),10,1))&gt;=65,CODE(MID(TRIM(UPPER(W141)),10,1))&lt;=90,CODE(MID(TRIM(UPPER(W141)),6,1))&gt;=48,CODE(MID(TRIM(UPPER(W141)),6,1))&lt;=57,CODE(MID(TRIM(UPPER(W141)),7,1))&gt;=48,CODE(MID(TRIM(UPPER(W141)),7,1))&lt;=57,CODE(MID(TRIM(UPPER(W141)),8,1))&gt;=48,CODE(MID(TRIM(UPPER(W141)),8,1))&lt;=57,CODE(MID(TRIM(UPPER(W141)),9,1))&gt;=48,CODE(MID(TRIM(UPPER(W141)),9,1))&lt;=57),"N","Y"),IF($B141="Challan","",IF(W141&lt;&gt;"","◄ Set Row Type","")))</f>
      </c>
      <c r="Y141" s="23">
        <f>IF($B141="Entry",IF(LEN(W141)&lt;4,"",IF(UPPER(MID(W141,4,1))="P","Individual",IF(UPPER(MID(W141,4,1))="H","HUF",IF(UPPER(MID(W141,4,1))="C","Company",IF(UPPER(MID(W141,4,1))="F","Firm",IF(UPPER(MID(W141,4,1))="L","LLP",IF(UPPER(MID(W141,4,1))="T","Trust",IF(UPPER(MID(W141,4,1))="A","AOP","")))))))),IF($B141="Challan","",IF(W141&lt;&gt;"","◄ Set Row Type","")))</f>
      </c>
      <c r="Z141" s="28"/>
      <c r="AA141" s="29">
        <f>IF($B141&lt;&gt;"Entry","",IF(Z141="","",IF(X141="Y",SUMPRODUCT(('Rate Lookup'!$A$1:$A$37=Z141)*'Rate Lookup'!$D$1:$D$37),IF(OR(Y141="Individual",Y141="HUF"),SUMPRODUCT(('Rate Lookup'!$A$1:$A$37=Z141)*'Rate Lookup'!$B$1:$B$37),SUMPRODUCT(('Rate Lookup'!$A$1:$A$37=Z141)*'Rate Lookup'!$C$1:$C$37)))))</f>
      </c>
      <c r="AB141" s="30"/>
      <c r="AC141" s="31"/>
      <c r="AD141" s="27">
        <f>IF($B141&lt;&gt;"Entry","",ROUND(AC141*AA141/100,0))</f>
      </c>
      <c r="AE141" s="27">
        <f>IF($B141&lt;&gt;"Entry","",0)</f>
      </c>
      <c r="AF141" s="27">
        <f>IF($B141&lt;&gt;"Entry","",0)</f>
      </c>
      <c r="AG141" s="27">
        <f>IF($B141&lt;&gt;"Entry","",IF(OR(AD141=0,AB141="",AQ141="",AQ141&lt;=0),0,IF(AQ141&lt;=DATE(YEAR(AB141),MONTH(AB141)+1,7),0,ROUND(AD141*0.015*((YEAR(AQ141)-YEAR(AB141))*12+(MONTH(AQ141)-MONTH(AB141))+1),0))))</f>
      </c>
      <c r="AH141" s="27">
        <f>IF($B141&lt;&gt;"Entry","",0)</f>
      </c>
      <c r="AI141" s="28"/>
      <c r="AJ141" s="28"/>
      <c r="AK141" s="32"/>
      <c r="AL141" s="28"/>
      <c r="AM141" s="28"/>
      <c r="AN141" s="27">
        <f>IF($B141&lt;&gt;"Challan","",SUMIF('Q1 Data'!$D$4:$D$207,D141,'Q1 Data'!$AD$4:$AD$207)+SUMIF('Q1 Data'!$D$4:$D$207,D141,'Q1 Data'!$AG$4:$AG$207)+SUMIF('Q1 Data'!$D$4:$D$207,D141,'Q1 Data'!$AE$4:$AE$207)+SUMIF('Q2 Data'!$D$4:$D$207,D141,'Q2 Data'!$AD$4:$AD$207)+SUMIF('Q2 Data'!$D$4:$D$207,D141,'Q2 Data'!$AG$4:$AG$207)+SUMIF('Q2 Data'!$D$4:$D$207,D141,'Q2 Data'!$AE$4:$AE$207)+SUMIF('Q3 Data'!$D$4:$D$207,D141,'Q3 Data'!$AD$4:$AD$207)+SUMIF('Q3 Data'!$D$4:$D$207,D141,'Q3 Data'!$AG$4:$AG$207)+SUMIF('Q3 Data'!$D$4:$D$207,D141,'Q3 Data'!$AE$4:$AE$207)+SUMIF('Q4 Data'!$D$4:$D$207,D141,'Q4 Data'!$AD$4:$AD$207)+SUMIF('Q4 Data'!$D$4:$D$207,D141,'Q4 Data'!$AG$4:$AG$207)+SUMIF('Q4 Data'!$D$4:$D$207,D141,'Q4 Data'!$AE$4:$AE$207))</f>
      </c>
      <c r="AO141" s="27">
        <f>IF($B141&lt;&gt;"Challan","",P141-N141)</f>
      </c>
      <c r="AP141" s="27">
        <f>IF($B141&lt;&gt;"Challan","",MAX(0,AO141-AN141))</f>
      </c>
      <c r="AQ141" s="33">
        <f>IF($B141&lt;&gt;"Entry","",SUMPRODUCT(('Q1 Data'!$D$4:$D$207=D141)*('Q1 Data'!$B$4:$B$207="Challan")*'Q1 Data'!$F$4:$F$207)+SUMPRODUCT(('Q2 Data'!$D$4:$D$207=D141)*('Q2 Data'!$B$4:$B$207="Challan")*'Q2 Data'!$F$4:$F$207)+SUMPRODUCT(('Q3 Data'!$D$4:$D$207=D141)*('Q3 Data'!$B$4:$B$207="Challan")*'Q3 Data'!$F$4:$F$207)+SUMPRODUCT(('Q4 Data'!$D$4:$D$207=D141)*('Q4 Data'!$B$4:$B$207="Challan")*'Q4 Data'!$F$4:$F$207))</f>
      </c>
      <c r="AR141" s="34">
        <f>IF(OR($B141&lt;&gt;"Entry",Z141=""),FALSE,AND((SUMPRODUCT(('Q1 Data'!$D$4:$D$207=D141)*('Q1 Data'!$B$4:$B$207="Challan")*('Q1 Data'!$H$4:$H$207&lt;&gt;""))+SUMPRODUCT(('Q2 Data'!$D$4:$D$207=D141)*('Q2 Data'!$B$4:$B$207="Challan")*('Q2 Data'!$H$4:$H$207&lt;&gt;""))+SUMPRODUCT(('Q3 Data'!$D$4:$D$207=D141)*('Q3 Data'!$B$4:$B$207="Challan")*('Q3 Data'!$H$4:$H$207&lt;&gt;""))+SUMPRODUCT(('Q4 Data'!$D$4:$D$207=D141)*('Q4 Data'!$B$4:$B$207="Challan")*('Q4 Data'!$H$4:$H$207&lt;&gt;"")))&gt;0,(SUMPRODUCT(('Q1 Data'!$D$4:$D$207=D141)*('Q1 Data'!$B$4:$B$207="Challan")*('Q1 Data'!$H$4:$H$207=Z141))+SUMPRODUCT(('Q2 Data'!$D$4:$D$207=D141)*('Q2 Data'!$B$4:$B$207="Challan")*('Q2 Data'!$H$4:$H$207=Z141))+SUMPRODUCT(('Q3 Data'!$D$4:$D$207=D141)*('Q3 Data'!$B$4:$B$207="Challan")*('Q3 Data'!$H$4:$H$207=Z141))+SUMPRODUCT(('Q4 Data'!$D$4:$D$207=D141)*('Q4 Data'!$B$4:$B$207="Challan")*('Q4 Data'!$H$4:$H$207=Z141)))=0))</f>
      </c>
    </row>
    <row r="142" spans="1:44" x14ac:dyDescent="0.25">
      <c r="A142" s="20">
        <f>IF($B142="Entry",COUNTIF($B$4:$B142,"Entry"),"")</f>
      </c>
      <c r="B142" s="21"/>
      <c r="C142" s="22"/>
      <c r="D142" s="22"/>
      <c r="E142" s="23">
        <f>IF($B142&lt;&gt;"Challan","",IF(ROUND(AN142-AO142,2)&gt;0,"Over-applied",IF(ROUND(AN142-AO142,2)=0,"Fully Utilised","Unconsumed")))</f>
      </c>
      <c r="F142" s="24"/>
      <c r="G142" s="25"/>
      <c r="H142" s="25"/>
      <c r="I142" s="26"/>
      <c r="J142" s="26"/>
      <c r="K142" s="26"/>
      <c r="L142" s="26"/>
      <c r="M142" s="26"/>
      <c r="N142" s="26"/>
      <c r="O142" s="26"/>
      <c r="P142" s="27">
        <f>IF($B142&lt;&gt;"Challan","",I142+J142+K142+L142+M142+N142)</f>
      </c>
      <c r="Q142" s="25"/>
      <c r="R142" s="25"/>
      <c r="S142" s="25"/>
      <c r="T142" s="25"/>
      <c r="U142" s="25"/>
      <c r="V142" s="28"/>
      <c r="W142" s="28"/>
      <c r="X142" s="23">
        <f>IF($B142="Entry",IF(AND(LEN(TRIM(UPPER(W142)))=10,CODE(MID(TRIM(UPPER(W142)),1,1))&gt;=65,CODE(MID(TRIM(UPPER(W142)),1,1))&lt;=90,CODE(MID(TRIM(UPPER(W142)),2,1))&gt;=65,CODE(MID(TRIM(UPPER(W142)),2,1))&lt;=90,CODE(MID(TRIM(UPPER(W142)),3,1))&gt;=65,CODE(MID(TRIM(UPPER(W142)),3,1))&lt;=90,CODE(MID(TRIM(UPPER(W142)),4,1))&gt;=65,CODE(MID(TRIM(UPPER(W142)),4,1))&lt;=90,CODE(MID(TRIM(UPPER(W142)),5,1))&gt;=65,CODE(MID(TRIM(UPPER(W142)),5,1))&lt;=90,CODE(MID(TRIM(UPPER(W142)),10,1))&gt;=65,CODE(MID(TRIM(UPPER(W142)),10,1))&lt;=90,CODE(MID(TRIM(UPPER(W142)),6,1))&gt;=48,CODE(MID(TRIM(UPPER(W142)),6,1))&lt;=57,CODE(MID(TRIM(UPPER(W142)),7,1))&gt;=48,CODE(MID(TRIM(UPPER(W142)),7,1))&lt;=57,CODE(MID(TRIM(UPPER(W142)),8,1))&gt;=48,CODE(MID(TRIM(UPPER(W142)),8,1))&lt;=57,CODE(MID(TRIM(UPPER(W142)),9,1))&gt;=48,CODE(MID(TRIM(UPPER(W142)),9,1))&lt;=57),"N","Y"),IF($B142="Challan","",IF(W142&lt;&gt;"","◄ Set Row Type","")))</f>
      </c>
      <c r="Y142" s="23">
        <f>IF($B142="Entry",IF(LEN(W142)&lt;4,"",IF(UPPER(MID(W142,4,1))="P","Individual",IF(UPPER(MID(W142,4,1))="H","HUF",IF(UPPER(MID(W142,4,1))="C","Company",IF(UPPER(MID(W142,4,1))="F","Firm",IF(UPPER(MID(W142,4,1))="L","LLP",IF(UPPER(MID(W142,4,1))="T","Trust",IF(UPPER(MID(W142,4,1))="A","AOP","")))))))),IF($B142="Challan","",IF(W142&lt;&gt;"","◄ Set Row Type","")))</f>
      </c>
      <c r="Z142" s="28"/>
      <c r="AA142" s="29">
        <f>IF($B142&lt;&gt;"Entry","",IF(Z142="","",IF(X142="Y",SUMPRODUCT(('Rate Lookup'!$A$1:$A$37=Z142)*'Rate Lookup'!$D$1:$D$37),IF(OR(Y142="Individual",Y142="HUF"),SUMPRODUCT(('Rate Lookup'!$A$1:$A$37=Z142)*'Rate Lookup'!$B$1:$B$37),SUMPRODUCT(('Rate Lookup'!$A$1:$A$37=Z142)*'Rate Lookup'!$C$1:$C$37)))))</f>
      </c>
      <c r="AB142" s="30"/>
      <c r="AC142" s="31"/>
      <c r="AD142" s="27">
        <f>IF($B142&lt;&gt;"Entry","",ROUND(AC142*AA142/100,0))</f>
      </c>
      <c r="AE142" s="27">
        <f>IF($B142&lt;&gt;"Entry","",0)</f>
      </c>
      <c r="AF142" s="27">
        <f>IF($B142&lt;&gt;"Entry","",0)</f>
      </c>
      <c r="AG142" s="27">
        <f>IF($B142&lt;&gt;"Entry","",IF(OR(AD142=0,AB142="",AQ142="",AQ142&lt;=0),0,IF(AQ142&lt;=DATE(YEAR(AB142),MONTH(AB142)+1,7),0,ROUND(AD142*0.015*((YEAR(AQ142)-YEAR(AB142))*12+(MONTH(AQ142)-MONTH(AB142))+1),0))))</f>
      </c>
      <c r="AH142" s="27">
        <f>IF($B142&lt;&gt;"Entry","",0)</f>
      </c>
      <c r="AI142" s="28"/>
      <c r="AJ142" s="28"/>
      <c r="AK142" s="32"/>
      <c r="AL142" s="28"/>
      <c r="AM142" s="28"/>
      <c r="AN142" s="27">
        <f>IF($B142&lt;&gt;"Challan","",SUMIF('Q1 Data'!$D$4:$D$207,D142,'Q1 Data'!$AD$4:$AD$207)+SUMIF('Q1 Data'!$D$4:$D$207,D142,'Q1 Data'!$AG$4:$AG$207)+SUMIF('Q1 Data'!$D$4:$D$207,D142,'Q1 Data'!$AE$4:$AE$207)+SUMIF('Q2 Data'!$D$4:$D$207,D142,'Q2 Data'!$AD$4:$AD$207)+SUMIF('Q2 Data'!$D$4:$D$207,D142,'Q2 Data'!$AG$4:$AG$207)+SUMIF('Q2 Data'!$D$4:$D$207,D142,'Q2 Data'!$AE$4:$AE$207)+SUMIF('Q3 Data'!$D$4:$D$207,D142,'Q3 Data'!$AD$4:$AD$207)+SUMIF('Q3 Data'!$D$4:$D$207,D142,'Q3 Data'!$AG$4:$AG$207)+SUMIF('Q3 Data'!$D$4:$D$207,D142,'Q3 Data'!$AE$4:$AE$207)+SUMIF('Q4 Data'!$D$4:$D$207,D142,'Q4 Data'!$AD$4:$AD$207)+SUMIF('Q4 Data'!$D$4:$D$207,D142,'Q4 Data'!$AG$4:$AG$207)+SUMIF('Q4 Data'!$D$4:$D$207,D142,'Q4 Data'!$AE$4:$AE$207))</f>
      </c>
      <c r="AO142" s="27">
        <f>IF($B142&lt;&gt;"Challan","",P142-N142)</f>
      </c>
      <c r="AP142" s="27">
        <f>IF($B142&lt;&gt;"Challan","",MAX(0,AO142-AN142))</f>
      </c>
      <c r="AQ142" s="33">
        <f>IF($B142&lt;&gt;"Entry","",SUMPRODUCT(('Q1 Data'!$D$4:$D$207=D142)*('Q1 Data'!$B$4:$B$207="Challan")*'Q1 Data'!$F$4:$F$207)+SUMPRODUCT(('Q2 Data'!$D$4:$D$207=D142)*('Q2 Data'!$B$4:$B$207="Challan")*'Q2 Data'!$F$4:$F$207)+SUMPRODUCT(('Q3 Data'!$D$4:$D$207=D142)*('Q3 Data'!$B$4:$B$207="Challan")*'Q3 Data'!$F$4:$F$207)+SUMPRODUCT(('Q4 Data'!$D$4:$D$207=D142)*('Q4 Data'!$B$4:$B$207="Challan")*'Q4 Data'!$F$4:$F$207))</f>
      </c>
      <c r="AR142" s="34">
        <f>IF(OR($B142&lt;&gt;"Entry",Z142=""),FALSE,AND((SUMPRODUCT(('Q1 Data'!$D$4:$D$207=D142)*('Q1 Data'!$B$4:$B$207="Challan")*('Q1 Data'!$H$4:$H$207&lt;&gt;""))+SUMPRODUCT(('Q2 Data'!$D$4:$D$207=D142)*('Q2 Data'!$B$4:$B$207="Challan")*('Q2 Data'!$H$4:$H$207&lt;&gt;""))+SUMPRODUCT(('Q3 Data'!$D$4:$D$207=D142)*('Q3 Data'!$B$4:$B$207="Challan")*('Q3 Data'!$H$4:$H$207&lt;&gt;""))+SUMPRODUCT(('Q4 Data'!$D$4:$D$207=D142)*('Q4 Data'!$B$4:$B$207="Challan")*('Q4 Data'!$H$4:$H$207&lt;&gt;"")))&gt;0,(SUMPRODUCT(('Q1 Data'!$D$4:$D$207=D142)*('Q1 Data'!$B$4:$B$207="Challan")*('Q1 Data'!$H$4:$H$207=Z142))+SUMPRODUCT(('Q2 Data'!$D$4:$D$207=D142)*('Q2 Data'!$B$4:$B$207="Challan")*('Q2 Data'!$H$4:$H$207=Z142))+SUMPRODUCT(('Q3 Data'!$D$4:$D$207=D142)*('Q3 Data'!$B$4:$B$207="Challan")*('Q3 Data'!$H$4:$H$207=Z142))+SUMPRODUCT(('Q4 Data'!$D$4:$D$207=D142)*('Q4 Data'!$B$4:$B$207="Challan")*('Q4 Data'!$H$4:$H$207=Z142)))=0))</f>
      </c>
    </row>
    <row r="143" spans="1:44" x14ac:dyDescent="0.25">
      <c r="A143" s="20">
        <f>IF($B143="Entry",COUNTIF($B$4:$B143,"Entry"),"")</f>
      </c>
      <c r="B143" s="21"/>
      <c r="C143" s="22"/>
      <c r="D143" s="22"/>
      <c r="E143" s="23">
        <f>IF($B143&lt;&gt;"Challan","",IF(ROUND(AN143-AO143,2)&gt;0,"Over-applied",IF(ROUND(AN143-AO143,2)=0,"Fully Utilised","Unconsumed")))</f>
      </c>
      <c r="F143" s="24"/>
      <c r="G143" s="25"/>
      <c r="H143" s="25"/>
      <c r="I143" s="26"/>
      <c r="J143" s="26"/>
      <c r="K143" s="26"/>
      <c r="L143" s="26"/>
      <c r="M143" s="26"/>
      <c r="N143" s="26"/>
      <c r="O143" s="26"/>
      <c r="P143" s="27">
        <f>IF($B143&lt;&gt;"Challan","",I143+J143+K143+L143+M143+N143)</f>
      </c>
      <c r="Q143" s="25"/>
      <c r="R143" s="25"/>
      <c r="S143" s="25"/>
      <c r="T143" s="25"/>
      <c r="U143" s="25"/>
      <c r="V143" s="28"/>
      <c r="W143" s="28"/>
      <c r="X143" s="23">
        <f>IF($B143="Entry",IF(AND(LEN(TRIM(UPPER(W143)))=10,CODE(MID(TRIM(UPPER(W143)),1,1))&gt;=65,CODE(MID(TRIM(UPPER(W143)),1,1))&lt;=90,CODE(MID(TRIM(UPPER(W143)),2,1))&gt;=65,CODE(MID(TRIM(UPPER(W143)),2,1))&lt;=90,CODE(MID(TRIM(UPPER(W143)),3,1))&gt;=65,CODE(MID(TRIM(UPPER(W143)),3,1))&lt;=90,CODE(MID(TRIM(UPPER(W143)),4,1))&gt;=65,CODE(MID(TRIM(UPPER(W143)),4,1))&lt;=90,CODE(MID(TRIM(UPPER(W143)),5,1))&gt;=65,CODE(MID(TRIM(UPPER(W143)),5,1))&lt;=90,CODE(MID(TRIM(UPPER(W143)),10,1))&gt;=65,CODE(MID(TRIM(UPPER(W143)),10,1))&lt;=90,CODE(MID(TRIM(UPPER(W143)),6,1))&gt;=48,CODE(MID(TRIM(UPPER(W143)),6,1))&lt;=57,CODE(MID(TRIM(UPPER(W143)),7,1))&gt;=48,CODE(MID(TRIM(UPPER(W143)),7,1))&lt;=57,CODE(MID(TRIM(UPPER(W143)),8,1))&gt;=48,CODE(MID(TRIM(UPPER(W143)),8,1))&lt;=57,CODE(MID(TRIM(UPPER(W143)),9,1))&gt;=48,CODE(MID(TRIM(UPPER(W143)),9,1))&lt;=57),"N","Y"),IF($B143="Challan","",IF(W143&lt;&gt;"","◄ Set Row Type","")))</f>
      </c>
      <c r="Y143" s="23">
        <f>IF($B143="Entry",IF(LEN(W143)&lt;4,"",IF(UPPER(MID(W143,4,1))="P","Individual",IF(UPPER(MID(W143,4,1))="H","HUF",IF(UPPER(MID(W143,4,1))="C","Company",IF(UPPER(MID(W143,4,1))="F","Firm",IF(UPPER(MID(W143,4,1))="L","LLP",IF(UPPER(MID(W143,4,1))="T","Trust",IF(UPPER(MID(W143,4,1))="A","AOP","")))))))),IF($B143="Challan","",IF(W143&lt;&gt;"","◄ Set Row Type","")))</f>
      </c>
      <c r="Z143" s="28"/>
      <c r="AA143" s="29">
        <f>IF($B143&lt;&gt;"Entry","",IF(Z143="","",IF(X143="Y",SUMPRODUCT(('Rate Lookup'!$A$1:$A$37=Z143)*'Rate Lookup'!$D$1:$D$37),IF(OR(Y143="Individual",Y143="HUF"),SUMPRODUCT(('Rate Lookup'!$A$1:$A$37=Z143)*'Rate Lookup'!$B$1:$B$37),SUMPRODUCT(('Rate Lookup'!$A$1:$A$37=Z143)*'Rate Lookup'!$C$1:$C$37)))))</f>
      </c>
      <c r="AB143" s="30"/>
      <c r="AC143" s="31"/>
      <c r="AD143" s="27">
        <f>IF($B143&lt;&gt;"Entry","",ROUND(AC143*AA143/100,0))</f>
      </c>
      <c r="AE143" s="27">
        <f>IF($B143&lt;&gt;"Entry","",0)</f>
      </c>
      <c r="AF143" s="27">
        <f>IF($B143&lt;&gt;"Entry","",0)</f>
      </c>
      <c r="AG143" s="27">
        <f>IF($B143&lt;&gt;"Entry","",IF(OR(AD143=0,AB143="",AQ143="",AQ143&lt;=0),0,IF(AQ143&lt;=DATE(YEAR(AB143),MONTH(AB143)+1,7),0,ROUND(AD143*0.015*((YEAR(AQ143)-YEAR(AB143))*12+(MONTH(AQ143)-MONTH(AB143))+1),0))))</f>
      </c>
      <c r="AH143" s="27">
        <f>IF($B143&lt;&gt;"Entry","",0)</f>
      </c>
      <c r="AI143" s="28"/>
      <c r="AJ143" s="28"/>
      <c r="AK143" s="32"/>
      <c r="AL143" s="28"/>
      <c r="AM143" s="28"/>
      <c r="AN143" s="27">
        <f>IF($B143&lt;&gt;"Challan","",SUMIF('Q1 Data'!$D$4:$D$207,D143,'Q1 Data'!$AD$4:$AD$207)+SUMIF('Q1 Data'!$D$4:$D$207,D143,'Q1 Data'!$AG$4:$AG$207)+SUMIF('Q1 Data'!$D$4:$D$207,D143,'Q1 Data'!$AE$4:$AE$207)+SUMIF('Q2 Data'!$D$4:$D$207,D143,'Q2 Data'!$AD$4:$AD$207)+SUMIF('Q2 Data'!$D$4:$D$207,D143,'Q2 Data'!$AG$4:$AG$207)+SUMIF('Q2 Data'!$D$4:$D$207,D143,'Q2 Data'!$AE$4:$AE$207)+SUMIF('Q3 Data'!$D$4:$D$207,D143,'Q3 Data'!$AD$4:$AD$207)+SUMIF('Q3 Data'!$D$4:$D$207,D143,'Q3 Data'!$AG$4:$AG$207)+SUMIF('Q3 Data'!$D$4:$D$207,D143,'Q3 Data'!$AE$4:$AE$207)+SUMIF('Q4 Data'!$D$4:$D$207,D143,'Q4 Data'!$AD$4:$AD$207)+SUMIF('Q4 Data'!$D$4:$D$207,D143,'Q4 Data'!$AG$4:$AG$207)+SUMIF('Q4 Data'!$D$4:$D$207,D143,'Q4 Data'!$AE$4:$AE$207))</f>
      </c>
      <c r="AO143" s="27">
        <f>IF($B143&lt;&gt;"Challan","",P143-N143)</f>
      </c>
      <c r="AP143" s="27">
        <f>IF($B143&lt;&gt;"Challan","",MAX(0,AO143-AN143))</f>
      </c>
      <c r="AQ143" s="33">
        <f>IF($B143&lt;&gt;"Entry","",SUMPRODUCT(('Q1 Data'!$D$4:$D$207=D143)*('Q1 Data'!$B$4:$B$207="Challan")*'Q1 Data'!$F$4:$F$207)+SUMPRODUCT(('Q2 Data'!$D$4:$D$207=D143)*('Q2 Data'!$B$4:$B$207="Challan")*'Q2 Data'!$F$4:$F$207)+SUMPRODUCT(('Q3 Data'!$D$4:$D$207=D143)*('Q3 Data'!$B$4:$B$207="Challan")*'Q3 Data'!$F$4:$F$207)+SUMPRODUCT(('Q4 Data'!$D$4:$D$207=D143)*('Q4 Data'!$B$4:$B$207="Challan")*'Q4 Data'!$F$4:$F$207))</f>
      </c>
      <c r="AR143" s="34">
        <f>IF(OR($B143&lt;&gt;"Entry",Z143=""),FALSE,AND((SUMPRODUCT(('Q1 Data'!$D$4:$D$207=D143)*('Q1 Data'!$B$4:$B$207="Challan")*('Q1 Data'!$H$4:$H$207&lt;&gt;""))+SUMPRODUCT(('Q2 Data'!$D$4:$D$207=D143)*('Q2 Data'!$B$4:$B$207="Challan")*('Q2 Data'!$H$4:$H$207&lt;&gt;""))+SUMPRODUCT(('Q3 Data'!$D$4:$D$207=D143)*('Q3 Data'!$B$4:$B$207="Challan")*('Q3 Data'!$H$4:$H$207&lt;&gt;""))+SUMPRODUCT(('Q4 Data'!$D$4:$D$207=D143)*('Q4 Data'!$B$4:$B$207="Challan")*('Q4 Data'!$H$4:$H$207&lt;&gt;"")))&gt;0,(SUMPRODUCT(('Q1 Data'!$D$4:$D$207=D143)*('Q1 Data'!$B$4:$B$207="Challan")*('Q1 Data'!$H$4:$H$207=Z143))+SUMPRODUCT(('Q2 Data'!$D$4:$D$207=D143)*('Q2 Data'!$B$4:$B$207="Challan")*('Q2 Data'!$H$4:$H$207=Z143))+SUMPRODUCT(('Q3 Data'!$D$4:$D$207=D143)*('Q3 Data'!$B$4:$B$207="Challan")*('Q3 Data'!$H$4:$H$207=Z143))+SUMPRODUCT(('Q4 Data'!$D$4:$D$207=D143)*('Q4 Data'!$B$4:$B$207="Challan")*('Q4 Data'!$H$4:$H$207=Z143)))=0))</f>
      </c>
    </row>
    <row r="144" spans="1:44" x14ac:dyDescent="0.25">
      <c r="A144" s="20">
        <f>IF($B144="Entry",COUNTIF($B$4:$B144,"Entry"),"")</f>
      </c>
      <c r="B144" s="21"/>
      <c r="C144" s="22"/>
      <c r="D144" s="22"/>
      <c r="E144" s="23">
        <f>IF($B144&lt;&gt;"Challan","",IF(ROUND(AN144-AO144,2)&gt;0,"Over-applied",IF(ROUND(AN144-AO144,2)=0,"Fully Utilised","Unconsumed")))</f>
      </c>
      <c r="F144" s="24"/>
      <c r="G144" s="25"/>
      <c r="H144" s="25"/>
      <c r="I144" s="26"/>
      <c r="J144" s="26"/>
      <c r="K144" s="26"/>
      <c r="L144" s="26"/>
      <c r="M144" s="26"/>
      <c r="N144" s="26"/>
      <c r="O144" s="26"/>
      <c r="P144" s="27">
        <f>IF($B144&lt;&gt;"Challan","",I144+J144+K144+L144+M144+N144)</f>
      </c>
      <c r="Q144" s="25"/>
      <c r="R144" s="25"/>
      <c r="S144" s="25"/>
      <c r="T144" s="25"/>
      <c r="U144" s="25"/>
      <c r="V144" s="28"/>
      <c r="W144" s="28"/>
      <c r="X144" s="23">
        <f>IF($B144="Entry",IF(AND(LEN(TRIM(UPPER(W144)))=10,CODE(MID(TRIM(UPPER(W144)),1,1))&gt;=65,CODE(MID(TRIM(UPPER(W144)),1,1))&lt;=90,CODE(MID(TRIM(UPPER(W144)),2,1))&gt;=65,CODE(MID(TRIM(UPPER(W144)),2,1))&lt;=90,CODE(MID(TRIM(UPPER(W144)),3,1))&gt;=65,CODE(MID(TRIM(UPPER(W144)),3,1))&lt;=90,CODE(MID(TRIM(UPPER(W144)),4,1))&gt;=65,CODE(MID(TRIM(UPPER(W144)),4,1))&lt;=90,CODE(MID(TRIM(UPPER(W144)),5,1))&gt;=65,CODE(MID(TRIM(UPPER(W144)),5,1))&lt;=90,CODE(MID(TRIM(UPPER(W144)),10,1))&gt;=65,CODE(MID(TRIM(UPPER(W144)),10,1))&lt;=90,CODE(MID(TRIM(UPPER(W144)),6,1))&gt;=48,CODE(MID(TRIM(UPPER(W144)),6,1))&lt;=57,CODE(MID(TRIM(UPPER(W144)),7,1))&gt;=48,CODE(MID(TRIM(UPPER(W144)),7,1))&lt;=57,CODE(MID(TRIM(UPPER(W144)),8,1))&gt;=48,CODE(MID(TRIM(UPPER(W144)),8,1))&lt;=57,CODE(MID(TRIM(UPPER(W144)),9,1))&gt;=48,CODE(MID(TRIM(UPPER(W144)),9,1))&lt;=57),"N","Y"),IF($B144="Challan","",IF(W144&lt;&gt;"","◄ Set Row Type","")))</f>
      </c>
      <c r="Y144" s="23">
        <f>IF($B144="Entry",IF(LEN(W144)&lt;4,"",IF(UPPER(MID(W144,4,1))="P","Individual",IF(UPPER(MID(W144,4,1))="H","HUF",IF(UPPER(MID(W144,4,1))="C","Company",IF(UPPER(MID(W144,4,1))="F","Firm",IF(UPPER(MID(W144,4,1))="L","LLP",IF(UPPER(MID(W144,4,1))="T","Trust",IF(UPPER(MID(W144,4,1))="A","AOP","")))))))),IF($B144="Challan","",IF(W144&lt;&gt;"","◄ Set Row Type","")))</f>
      </c>
      <c r="Z144" s="28"/>
      <c r="AA144" s="29">
        <f>IF($B144&lt;&gt;"Entry","",IF(Z144="","",IF(X144="Y",SUMPRODUCT(('Rate Lookup'!$A$1:$A$37=Z144)*'Rate Lookup'!$D$1:$D$37),IF(OR(Y144="Individual",Y144="HUF"),SUMPRODUCT(('Rate Lookup'!$A$1:$A$37=Z144)*'Rate Lookup'!$B$1:$B$37),SUMPRODUCT(('Rate Lookup'!$A$1:$A$37=Z144)*'Rate Lookup'!$C$1:$C$37)))))</f>
      </c>
      <c r="AB144" s="30"/>
      <c r="AC144" s="31"/>
      <c r="AD144" s="27">
        <f>IF($B144&lt;&gt;"Entry","",ROUND(AC144*AA144/100,0))</f>
      </c>
      <c r="AE144" s="27">
        <f>IF($B144&lt;&gt;"Entry","",0)</f>
      </c>
      <c r="AF144" s="27">
        <f>IF($B144&lt;&gt;"Entry","",0)</f>
      </c>
      <c r="AG144" s="27">
        <f>IF($B144&lt;&gt;"Entry","",IF(OR(AD144=0,AB144="",AQ144="",AQ144&lt;=0),0,IF(AQ144&lt;=DATE(YEAR(AB144),MONTH(AB144)+1,7),0,ROUND(AD144*0.015*((YEAR(AQ144)-YEAR(AB144))*12+(MONTH(AQ144)-MONTH(AB144))+1),0))))</f>
      </c>
      <c r="AH144" s="27">
        <f>IF($B144&lt;&gt;"Entry","",0)</f>
      </c>
      <c r="AI144" s="28"/>
      <c r="AJ144" s="28"/>
      <c r="AK144" s="32"/>
      <c r="AL144" s="28"/>
      <c r="AM144" s="28"/>
      <c r="AN144" s="27">
        <f>IF($B144&lt;&gt;"Challan","",SUMIF('Q1 Data'!$D$4:$D$207,D144,'Q1 Data'!$AD$4:$AD$207)+SUMIF('Q1 Data'!$D$4:$D$207,D144,'Q1 Data'!$AG$4:$AG$207)+SUMIF('Q1 Data'!$D$4:$D$207,D144,'Q1 Data'!$AE$4:$AE$207)+SUMIF('Q2 Data'!$D$4:$D$207,D144,'Q2 Data'!$AD$4:$AD$207)+SUMIF('Q2 Data'!$D$4:$D$207,D144,'Q2 Data'!$AG$4:$AG$207)+SUMIF('Q2 Data'!$D$4:$D$207,D144,'Q2 Data'!$AE$4:$AE$207)+SUMIF('Q3 Data'!$D$4:$D$207,D144,'Q3 Data'!$AD$4:$AD$207)+SUMIF('Q3 Data'!$D$4:$D$207,D144,'Q3 Data'!$AG$4:$AG$207)+SUMIF('Q3 Data'!$D$4:$D$207,D144,'Q3 Data'!$AE$4:$AE$207)+SUMIF('Q4 Data'!$D$4:$D$207,D144,'Q4 Data'!$AD$4:$AD$207)+SUMIF('Q4 Data'!$D$4:$D$207,D144,'Q4 Data'!$AG$4:$AG$207)+SUMIF('Q4 Data'!$D$4:$D$207,D144,'Q4 Data'!$AE$4:$AE$207))</f>
      </c>
      <c r="AO144" s="27">
        <f>IF($B144&lt;&gt;"Challan","",P144-N144)</f>
      </c>
      <c r="AP144" s="27">
        <f>IF($B144&lt;&gt;"Challan","",MAX(0,AO144-AN144))</f>
      </c>
      <c r="AQ144" s="33">
        <f>IF($B144&lt;&gt;"Entry","",SUMPRODUCT(('Q1 Data'!$D$4:$D$207=D144)*('Q1 Data'!$B$4:$B$207="Challan")*'Q1 Data'!$F$4:$F$207)+SUMPRODUCT(('Q2 Data'!$D$4:$D$207=D144)*('Q2 Data'!$B$4:$B$207="Challan")*'Q2 Data'!$F$4:$F$207)+SUMPRODUCT(('Q3 Data'!$D$4:$D$207=D144)*('Q3 Data'!$B$4:$B$207="Challan")*'Q3 Data'!$F$4:$F$207)+SUMPRODUCT(('Q4 Data'!$D$4:$D$207=D144)*('Q4 Data'!$B$4:$B$207="Challan")*'Q4 Data'!$F$4:$F$207))</f>
      </c>
      <c r="AR144" s="34">
        <f>IF(OR($B144&lt;&gt;"Entry",Z144=""),FALSE,AND((SUMPRODUCT(('Q1 Data'!$D$4:$D$207=D144)*('Q1 Data'!$B$4:$B$207="Challan")*('Q1 Data'!$H$4:$H$207&lt;&gt;""))+SUMPRODUCT(('Q2 Data'!$D$4:$D$207=D144)*('Q2 Data'!$B$4:$B$207="Challan")*('Q2 Data'!$H$4:$H$207&lt;&gt;""))+SUMPRODUCT(('Q3 Data'!$D$4:$D$207=D144)*('Q3 Data'!$B$4:$B$207="Challan")*('Q3 Data'!$H$4:$H$207&lt;&gt;""))+SUMPRODUCT(('Q4 Data'!$D$4:$D$207=D144)*('Q4 Data'!$B$4:$B$207="Challan")*('Q4 Data'!$H$4:$H$207&lt;&gt;"")))&gt;0,(SUMPRODUCT(('Q1 Data'!$D$4:$D$207=D144)*('Q1 Data'!$B$4:$B$207="Challan")*('Q1 Data'!$H$4:$H$207=Z144))+SUMPRODUCT(('Q2 Data'!$D$4:$D$207=D144)*('Q2 Data'!$B$4:$B$207="Challan")*('Q2 Data'!$H$4:$H$207=Z144))+SUMPRODUCT(('Q3 Data'!$D$4:$D$207=D144)*('Q3 Data'!$B$4:$B$207="Challan")*('Q3 Data'!$H$4:$H$207=Z144))+SUMPRODUCT(('Q4 Data'!$D$4:$D$207=D144)*('Q4 Data'!$B$4:$B$207="Challan")*('Q4 Data'!$H$4:$H$207=Z144)))=0))</f>
      </c>
    </row>
    <row r="145" spans="1:44" x14ac:dyDescent="0.25">
      <c r="A145" s="20">
        <f>IF($B145="Entry",COUNTIF($B$4:$B145,"Entry"),"")</f>
      </c>
      <c r="B145" s="21"/>
      <c r="C145" s="22"/>
      <c r="D145" s="22"/>
      <c r="E145" s="23">
        <f>IF($B145&lt;&gt;"Challan","",IF(ROUND(AN145-AO145,2)&gt;0,"Over-applied",IF(ROUND(AN145-AO145,2)=0,"Fully Utilised","Unconsumed")))</f>
      </c>
      <c r="F145" s="24"/>
      <c r="G145" s="25"/>
      <c r="H145" s="25"/>
      <c r="I145" s="26"/>
      <c r="J145" s="26"/>
      <c r="K145" s="26"/>
      <c r="L145" s="26"/>
      <c r="M145" s="26"/>
      <c r="N145" s="26"/>
      <c r="O145" s="26"/>
      <c r="P145" s="27">
        <f>IF($B145&lt;&gt;"Challan","",I145+J145+K145+L145+M145+N145)</f>
      </c>
      <c r="Q145" s="25"/>
      <c r="R145" s="25"/>
      <c r="S145" s="25"/>
      <c r="T145" s="25"/>
      <c r="U145" s="25"/>
      <c r="V145" s="28"/>
      <c r="W145" s="28"/>
      <c r="X145" s="23">
        <f>IF($B145="Entry",IF(AND(LEN(TRIM(UPPER(W145)))=10,CODE(MID(TRIM(UPPER(W145)),1,1))&gt;=65,CODE(MID(TRIM(UPPER(W145)),1,1))&lt;=90,CODE(MID(TRIM(UPPER(W145)),2,1))&gt;=65,CODE(MID(TRIM(UPPER(W145)),2,1))&lt;=90,CODE(MID(TRIM(UPPER(W145)),3,1))&gt;=65,CODE(MID(TRIM(UPPER(W145)),3,1))&lt;=90,CODE(MID(TRIM(UPPER(W145)),4,1))&gt;=65,CODE(MID(TRIM(UPPER(W145)),4,1))&lt;=90,CODE(MID(TRIM(UPPER(W145)),5,1))&gt;=65,CODE(MID(TRIM(UPPER(W145)),5,1))&lt;=90,CODE(MID(TRIM(UPPER(W145)),10,1))&gt;=65,CODE(MID(TRIM(UPPER(W145)),10,1))&lt;=90,CODE(MID(TRIM(UPPER(W145)),6,1))&gt;=48,CODE(MID(TRIM(UPPER(W145)),6,1))&lt;=57,CODE(MID(TRIM(UPPER(W145)),7,1))&gt;=48,CODE(MID(TRIM(UPPER(W145)),7,1))&lt;=57,CODE(MID(TRIM(UPPER(W145)),8,1))&gt;=48,CODE(MID(TRIM(UPPER(W145)),8,1))&lt;=57,CODE(MID(TRIM(UPPER(W145)),9,1))&gt;=48,CODE(MID(TRIM(UPPER(W145)),9,1))&lt;=57),"N","Y"),IF($B145="Challan","",IF(W145&lt;&gt;"","◄ Set Row Type","")))</f>
      </c>
      <c r="Y145" s="23">
        <f>IF($B145="Entry",IF(LEN(W145)&lt;4,"",IF(UPPER(MID(W145,4,1))="P","Individual",IF(UPPER(MID(W145,4,1))="H","HUF",IF(UPPER(MID(W145,4,1))="C","Company",IF(UPPER(MID(W145,4,1))="F","Firm",IF(UPPER(MID(W145,4,1))="L","LLP",IF(UPPER(MID(W145,4,1))="T","Trust",IF(UPPER(MID(W145,4,1))="A","AOP","")))))))),IF($B145="Challan","",IF(W145&lt;&gt;"","◄ Set Row Type","")))</f>
      </c>
      <c r="Z145" s="28"/>
      <c r="AA145" s="29">
        <f>IF($B145&lt;&gt;"Entry","",IF(Z145="","",IF(X145="Y",SUMPRODUCT(('Rate Lookup'!$A$1:$A$37=Z145)*'Rate Lookup'!$D$1:$D$37),IF(OR(Y145="Individual",Y145="HUF"),SUMPRODUCT(('Rate Lookup'!$A$1:$A$37=Z145)*'Rate Lookup'!$B$1:$B$37),SUMPRODUCT(('Rate Lookup'!$A$1:$A$37=Z145)*'Rate Lookup'!$C$1:$C$37)))))</f>
      </c>
      <c r="AB145" s="30"/>
      <c r="AC145" s="31"/>
      <c r="AD145" s="27">
        <f>IF($B145&lt;&gt;"Entry","",ROUND(AC145*AA145/100,0))</f>
      </c>
      <c r="AE145" s="27">
        <f>IF($B145&lt;&gt;"Entry","",0)</f>
      </c>
      <c r="AF145" s="27">
        <f>IF($B145&lt;&gt;"Entry","",0)</f>
      </c>
      <c r="AG145" s="27">
        <f>IF($B145&lt;&gt;"Entry","",IF(OR(AD145=0,AB145="",AQ145="",AQ145&lt;=0),0,IF(AQ145&lt;=DATE(YEAR(AB145),MONTH(AB145)+1,7),0,ROUND(AD145*0.015*((YEAR(AQ145)-YEAR(AB145))*12+(MONTH(AQ145)-MONTH(AB145))+1),0))))</f>
      </c>
      <c r="AH145" s="27">
        <f>IF($B145&lt;&gt;"Entry","",0)</f>
      </c>
      <c r="AI145" s="28"/>
      <c r="AJ145" s="28"/>
      <c r="AK145" s="32"/>
      <c r="AL145" s="28"/>
      <c r="AM145" s="28"/>
      <c r="AN145" s="27">
        <f>IF($B145&lt;&gt;"Challan","",SUMIF('Q1 Data'!$D$4:$D$207,D145,'Q1 Data'!$AD$4:$AD$207)+SUMIF('Q1 Data'!$D$4:$D$207,D145,'Q1 Data'!$AG$4:$AG$207)+SUMIF('Q1 Data'!$D$4:$D$207,D145,'Q1 Data'!$AE$4:$AE$207)+SUMIF('Q2 Data'!$D$4:$D$207,D145,'Q2 Data'!$AD$4:$AD$207)+SUMIF('Q2 Data'!$D$4:$D$207,D145,'Q2 Data'!$AG$4:$AG$207)+SUMIF('Q2 Data'!$D$4:$D$207,D145,'Q2 Data'!$AE$4:$AE$207)+SUMIF('Q3 Data'!$D$4:$D$207,D145,'Q3 Data'!$AD$4:$AD$207)+SUMIF('Q3 Data'!$D$4:$D$207,D145,'Q3 Data'!$AG$4:$AG$207)+SUMIF('Q3 Data'!$D$4:$D$207,D145,'Q3 Data'!$AE$4:$AE$207)+SUMIF('Q4 Data'!$D$4:$D$207,D145,'Q4 Data'!$AD$4:$AD$207)+SUMIF('Q4 Data'!$D$4:$D$207,D145,'Q4 Data'!$AG$4:$AG$207)+SUMIF('Q4 Data'!$D$4:$D$207,D145,'Q4 Data'!$AE$4:$AE$207))</f>
      </c>
      <c r="AO145" s="27">
        <f>IF($B145&lt;&gt;"Challan","",P145-N145)</f>
      </c>
      <c r="AP145" s="27">
        <f>IF($B145&lt;&gt;"Challan","",MAX(0,AO145-AN145))</f>
      </c>
      <c r="AQ145" s="33">
        <f>IF($B145&lt;&gt;"Entry","",SUMPRODUCT(('Q1 Data'!$D$4:$D$207=D145)*('Q1 Data'!$B$4:$B$207="Challan")*'Q1 Data'!$F$4:$F$207)+SUMPRODUCT(('Q2 Data'!$D$4:$D$207=D145)*('Q2 Data'!$B$4:$B$207="Challan")*'Q2 Data'!$F$4:$F$207)+SUMPRODUCT(('Q3 Data'!$D$4:$D$207=D145)*('Q3 Data'!$B$4:$B$207="Challan")*'Q3 Data'!$F$4:$F$207)+SUMPRODUCT(('Q4 Data'!$D$4:$D$207=D145)*('Q4 Data'!$B$4:$B$207="Challan")*'Q4 Data'!$F$4:$F$207))</f>
      </c>
      <c r="AR145" s="34">
        <f>IF(OR($B145&lt;&gt;"Entry",Z145=""),FALSE,AND((SUMPRODUCT(('Q1 Data'!$D$4:$D$207=D145)*('Q1 Data'!$B$4:$B$207="Challan")*('Q1 Data'!$H$4:$H$207&lt;&gt;""))+SUMPRODUCT(('Q2 Data'!$D$4:$D$207=D145)*('Q2 Data'!$B$4:$B$207="Challan")*('Q2 Data'!$H$4:$H$207&lt;&gt;""))+SUMPRODUCT(('Q3 Data'!$D$4:$D$207=D145)*('Q3 Data'!$B$4:$B$207="Challan")*('Q3 Data'!$H$4:$H$207&lt;&gt;""))+SUMPRODUCT(('Q4 Data'!$D$4:$D$207=D145)*('Q4 Data'!$B$4:$B$207="Challan")*('Q4 Data'!$H$4:$H$207&lt;&gt;"")))&gt;0,(SUMPRODUCT(('Q1 Data'!$D$4:$D$207=D145)*('Q1 Data'!$B$4:$B$207="Challan")*('Q1 Data'!$H$4:$H$207=Z145))+SUMPRODUCT(('Q2 Data'!$D$4:$D$207=D145)*('Q2 Data'!$B$4:$B$207="Challan")*('Q2 Data'!$H$4:$H$207=Z145))+SUMPRODUCT(('Q3 Data'!$D$4:$D$207=D145)*('Q3 Data'!$B$4:$B$207="Challan")*('Q3 Data'!$H$4:$H$207=Z145))+SUMPRODUCT(('Q4 Data'!$D$4:$D$207=D145)*('Q4 Data'!$B$4:$B$207="Challan")*('Q4 Data'!$H$4:$H$207=Z145)))=0))</f>
      </c>
    </row>
    <row r="146" spans="1:44" x14ac:dyDescent="0.25">
      <c r="A146" s="20">
        <f>IF($B146="Entry",COUNTIF($B$4:$B146,"Entry"),"")</f>
      </c>
      <c r="B146" s="21"/>
      <c r="C146" s="22"/>
      <c r="D146" s="22"/>
      <c r="E146" s="23">
        <f>IF($B146&lt;&gt;"Challan","",IF(ROUND(AN146-AO146,2)&gt;0,"Over-applied",IF(ROUND(AN146-AO146,2)=0,"Fully Utilised","Unconsumed")))</f>
      </c>
      <c r="F146" s="24"/>
      <c r="G146" s="25"/>
      <c r="H146" s="25"/>
      <c r="I146" s="26"/>
      <c r="J146" s="26"/>
      <c r="K146" s="26"/>
      <c r="L146" s="26"/>
      <c r="M146" s="26"/>
      <c r="N146" s="26"/>
      <c r="O146" s="26"/>
      <c r="P146" s="27">
        <f>IF($B146&lt;&gt;"Challan","",I146+J146+K146+L146+M146+N146)</f>
      </c>
      <c r="Q146" s="25"/>
      <c r="R146" s="25"/>
      <c r="S146" s="25"/>
      <c r="T146" s="25"/>
      <c r="U146" s="25"/>
      <c r="V146" s="28"/>
      <c r="W146" s="28"/>
      <c r="X146" s="23">
        <f>IF($B146="Entry",IF(AND(LEN(TRIM(UPPER(W146)))=10,CODE(MID(TRIM(UPPER(W146)),1,1))&gt;=65,CODE(MID(TRIM(UPPER(W146)),1,1))&lt;=90,CODE(MID(TRIM(UPPER(W146)),2,1))&gt;=65,CODE(MID(TRIM(UPPER(W146)),2,1))&lt;=90,CODE(MID(TRIM(UPPER(W146)),3,1))&gt;=65,CODE(MID(TRIM(UPPER(W146)),3,1))&lt;=90,CODE(MID(TRIM(UPPER(W146)),4,1))&gt;=65,CODE(MID(TRIM(UPPER(W146)),4,1))&lt;=90,CODE(MID(TRIM(UPPER(W146)),5,1))&gt;=65,CODE(MID(TRIM(UPPER(W146)),5,1))&lt;=90,CODE(MID(TRIM(UPPER(W146)),10,1))&gt;=65,CODE(MID(TRIM(UPPER(W146)),10,1))&lt;=90,CODE(MID(TRIM(UPPER(W146)),6,1))&gt;=48,CODE(MID(TRIM(UPPER(W146)),6,1))&lt;=57,CODE(MID(TRIM(UPPER(W146)),7,1))&gt;=48,CODE(MID(TRIM(UPPER(W146)),7,1))&lt;=57,CODE(MID(TRIM(UPPER(W146)),8,1))&gt;=48,CODE(MID(TRIM(UPPER(W146)),8,1))&lt;=57,CODE(MID(TRIM(UPPER(W146)),9,1))&gt;=48,CODE(MID(TRIM(UPPER(W146)),9,1))&lt;=57),"N","Y"),IF($B146="Challan","",IF(W146&lt;&gt;"","◄ Set Row Type","")))</f>
      </c>
      <c r="Y146" s="23">
        <f>IF($B146="Entry",IF(LEN(W146)&lt;4,"",IF(UPPER(MID(W146,4,1))="P","Individual",IF(UPPER(MID(W146,4,1))="H","HUF",IF(UPPER(MID(W146,4,1))="C","Company",IF(UPPER(MID(W146,4,1))="F","Firm",IF(UPPER(MID(W146,4,1))="L","LLP",IF(UPPER(MID(W146,4,1))="T","Trust",IF(UPPER(MID(W146,4,1))="A","AOP","")))))))),IF($B146="Challan","",IF(W146&lt;&gt;"","◄ Set Row Type","")))</f>
      </c>
      <c r="Z146" s="28"/>
      <c r="AA146" s="29">
        <f>IF($B146&lt;&gt;"Entry","",IF(Z146="","",IF(X146="Y",SUMPRODUCT(('Rate Lookup'!$A$1:$A$37=Z146)*'Rate Lookup'!$D$1:$D$37),IF(OR(Y146="Individual",Y146="HUF"),SUMPRODUCT(('Rate Lookup'!$A$1:$A$37=Z146)*'Rate Lookup'!$B$1:$B$37),SUMPRODUCT(('Rate Lookup'!$A$1:$A$37=Z146)*'Rate Lookup'!$C$1:$C$37)))))</f>
      </c>
      <c r="AB146" s="30"/>
      <c r="AC146" s="31"/>
      <c r="AD146" s="27">
        <f>IF($B146&lt;&gt;"Entry","",ROUND(AC146*AA146/100,0))</f>
      </c>
      <c r="AE146" s="27">
        <f>IF($B146&lt;&gt;"Entry","",0)</f>
      </c>
      <c r="AF146" s="27">
        <f>IF($B146&lt;&gt;"Entry","",0)</f>
      </c>
      <c r="AG146" s="27">
        <f>IF($B146&lt;&gt;"Entry","",IF(OR(AD146=0,AB146="",AQ146="",AQ146&lt;=0),0,IF(AQ146&lt;=DATE(YEAR(AB146),MONTH(AB146)+1,7),0,ROUND(AD146*0.015*((YEAR(AQ146)-YEAR(AB146))*12+(MONTH(AQ146)-MONTH(AB146))+1),0))))</f>
      </c>
      <c r="AH146" s="27">
        <f>IF($B146&lt;&gt;"Entry","",0)</f>
      </c>
      <c r="AI146" s="28"/>
      <c r="AJ146" s="28"/>
      <c r="AK146" s="32"/>
      <c r="AL146" s="28"/>
      <c r="AM146" s="28"/>
      <c r="AN146" s="27">
        <f>IF($B146&lt;&gt;"Challan","",SUMIF('Q1 Data'!$D$4:$D$207,D146,'Q1 Data'!$AD$4:$AD$207)+SUMIF('Q1 Data'!$D$4:$D$207,D146,'Q1 Data'!$AG$4:$AG$207)+SUMIF('Q1 Data'!$D$4:$D$207,D146,'Q1 Data'!$AE$4:$AE$207)+SUMIF('Q2 Data'!$D$4:$D$207,D146,'Q2 Data'!$AD$4:$AD$207)+SUMIF('Q2 Data'!$D$4:$D$207,D146,'Q2 Data'!$AG$4:$AG$207)+SUMIF('Q2 Data'!$D$4:$D$207,D146,'Q2 Data'!$AE$4:$AE$207)+SUMIF('Q3 Data'!$D$4:$D$207,D146,'Q3 Data'!$AD$4:$AD$207)+SUMIF('Q3 Data'!$D$4:$D$207,D146,'Q3 Data'!$AG$4:$AG$207)+SUMIF('Q3 Data'!$D$4:$D$207,D146,'Q3 Data'!$AE$4:$AE$207)+SUMIF('Q4 Data'!$D$4:$D$207,D146,'Q4 Data'!$AD$4:$AD$207)+SUMIF('Q4 Data'!$D$4:$D$207,D146,'Q4 Data'!$AG$4:$AG$207)+SUMIF('Q4 Data'!$D$4:$D$207,D146,'Q4 Data'!$AE$4:$AE$207))</f>
      </c>
      <c r="AO146" s="27">
        <f>IF($B146&lt;&gt;"Challan","",P146-N146)</f>
      </c>
      <c r="AP146" s="27">
        <f>IF($B146&lt;&gt;"Challan","",MAX(0,AO146-AN146))</f>
      </c>
      <c r="AQ146" s="33">
        <f>IF($B146&lt;&gt;"Entry","",SUMPRODUCT(('Q1 Data'!$D$4:$D$207=D146)*('Q1 Data'!$B$4:$B$207="Challan")*'Q1 Data'!$F$4:$F$207)+SUMPRODUCT(('Q2 Data'!$D$4:$D$207=D146)*('Q2 Data'!$B$4:$B$207="Challan")*'Q2 Data'!$F$4:$F$207)+SUMPRODUCT(('Q3 Data'!$D$4:$D$207=D146)*('Q3 Data'!$B$4:$B$207="Challan")*'Q3 Data'!$F$4:$F$207)+SUMPRODUCT(('Q4 Data'!$D$4:$D$207=D146)*('Q4 Data'!$B$4:$B$207="Challan")*'Q4 Data'!$F$4:$F$207))</f>
      </c>
      <c r="AR146" s="34">
        <f>IF(OR($B146&lt;&gt;"Entry",Z146=""),FALSE,AND((SUMPRODUCT(('Q1 Data'!$D$4:$D$207=D146)*('Q1 Data'!$B$4:$B$207="Challan")*('Q1 Data'!$H$4:$H$207&lt;&gt;""))+SUMPRODUCT(('Q2 Data'!$D$4:$D$207=D146)*('Q2 Data'!$B$4:$B$207="Challan")*('Q2 Data'!$H$4:$H$207&lt;&gt;""))+SUMPRODUCT(('Q3 Data'!$D$4:$D$207=D146)*('Q3 Data'!$B$4:$B$207="Challan")*('Q3 Data'!$H$4:$H$207&lt;&gt;""))+SUMPRODUCT(('Q4 Data'!$D$4:$D$207=D146)*('Q4 Data'!$B$4:$B$207="Challan")*('Q4 Data'!$H$4:$H$207&lt;&gt;"")))&gt;0,(SUMPRODUCT(('Q1 Data'!$D$4:$D$207=D146)*('Q1 Data'!$B$4:$B$207="Challan")*('Q1 Data'!$H$4:$H$207=Z146))+SUMPRODUCT(('Q2 Data'!$D$4:$D$207=D146)*('Q2 Data'!$B$4:$B$207="Challan")*('Q2 Data'!$H$4:$H$207=Z146))+SUMPRODUCT(('Q3 Data'!$D$4:$D$207=D146)*('Q3 Data'!$B$4:$B$207="Challan")*('Q3 Data'!$H$4:$H$207=Z146))+SUMPRODUCT(('Q4 Data'!$D$4:$D$207=D146)*('Q4 Data'!$B$4:$B$207="Challan")*('Q4 Data'!$H$4:$H$207=Z146)))=0))</f>
      </c>
    </row>
    <row r="147" spans="1:44" x14ac:dyDescent="0.25">
      <c r="A147" s="20">
        <f>IF($B147="Entry",COUNTIF($B$4:$B147,"Entry"),"")</f>
      </c>
      <c r="B147" s="21"/>
      <c r="C147" s="22"/>
      <c r="D147" s="22"/>
      <c r="E147" s="23">
        <f>IF($B147&lt;&gt;"Challan","",IF(ROUND(AN147-AO147,2)&gt;0,"Over-applied",IF(ROUND(AN147-AO147,2)=0,"Fully Utilised","Unconsumed")))</f>
      </c>
      <c r="F147" s="24"/>
      <c r="G147" s="25"/>
      <c r="H147" s="25"/>
      <c r="I147" s="26"/>
      <c r="J147" s="26"/>
      <c r="K147" s="26"/>
      <c r="L147" s="26"/>
      <c r="M147" s="26"/>
      <c r="N147" s="26"/>
      <c r="O147" s="26"/>
      <c r="P147" s="27">
        <f>IF($B147&lt;&gt;"Challan","",I147+J147+K147+L147+M147+N147)</f>
      </c>
      <c r="Q147" s="25"/>
      <c r="R147" s="25"/>
      <c r="S147" s="25"/>
      <c r="T147" s="25"/>
      <c r="U147" s="25"/>
      <c r="V147" s="28"/>
      <c r="W147" s="28"/>
      <c r="X147" s="23">
        <f>IF($B147="Entry",IF(AND(LEN(TRIM(UPPER(W147)))=10,CODE(MID(TRIM(UPPER(W147)),1,1))&gt;=65,CODE(MID(TRIM(UPPER(W147)),1,1))&lt;=90,CODE(MID(TRIM(UPPER(W147)),2,1))&gt;=65,CODE(MID(TRIM(UPPER(W147)),2,1))&lt;=90,CODE(MID(TRIM(UPPER(W147)),3,1))&gt;=65,CODE(MID(TRIM(UPPER(W147)),3,1))&lt;=90,CODE(MID(TRIM(UPPER(W147)),4,1))&gt;=65,CODE(MID(TRIM(UPPER(W147)),4,1))&lt;=90,CODE(MID(TRIM(UPPER(W147)),5,1))&gt;=65,CODE(MID(TRIM(UPPER(W147)),5,1))&lt;=90,CODE(MID(TRIM(UPPER(W147)),10,1))&gt;=65,CODE(MID(TRIM(UPPER(W147)),10,1))&lt;=90,CODE(MID(TRIM(UPPER(W147)),6,1))&gt;=48,CODE(MID(TRIM(UPPER(W147)),6,1))&lt;=57,CODE(MID(TRIM(UPPER(W147)),7,1))&gt;=48,CODE(MID(TRIM(UPPER(W147)),7,1))&lt;=57,CODE(MID(TRIM(UPPER(W147)),8,1))&gt;=48,CODE(MID(TRIM(UPPER(W147)),8,1))&lt;=57,CODE(MID(TRIM(UPPER(W147)),9,1))&gt;=48,CODE(MID(TRIM(UPPER(W147)),9,1))&lt;=57),"N","Y"),IF($B147="Challan","",IF(W147&lt;&gt;"","◄ Set Row Type","")))</f>
      </c>
      <c r="Y147" s="23">
        <f>IF($B147="Entry",IF(LEN(W147)&lt;4,"",IF(UPPER(MID(W147,4,1))="P","Individual",IF(UPPER(MID(W147,4,1))="H","HUF",IF(UPPER(MID(W147,4,1))="C","Company",IF(UPPER(MID(W147,4,1))="F","Firm",IF(UPPER(MID(W147,4,1))="L","LLP",IF(UPPER(MID(W147,4,1))="T","Trust",IF(UPPER(MID(W147,4,1))="A","AOP","")))))))),IF($B147="Challan","",IF(W147&lt;&gt;"","◄ Set Row Type","")))</f>
      </c>
      <c r="Z147" s="28"/>
      <c r="AA147" s="29">
        <f>IF($B147&lt;&gt;"Entry","",IF(Z147="","",IF(X147="Y",SUMPRODUCT(('Rate Lookup'!$A$1:$A$37=Z147)*'Rate Lookup'!$D$1:$D$37),IF(OR(Y147="Individual",Y147="HUF"),SUMPRODUCT(('Rate Lookup'!$A$1:$A$37=Z147)*'Rate Lookup'!$B$1:$B$37),SUMPRODUCT(('Rate Lookup'!$A$1:$A$37=Z147)*'Rate Lookup'!$C$1:$C$37)))))</f>
      </c>
      <c r="AB147" s="30"/>
      <c r="AC147" s="31"/>
      <c r="AD147" s="27">
        <f>IF($B147&lt;&gt;"Entry","",ROUND(AC147*AA147/100,0))</f>
      </c>
      <c r="AE147" s="27">
        <f>IF($B147&lt;&gt;"Entry","",0)</f>
      </c>
      <c r="AF147" s="27">
        <f>IF($B147&lt;&gt;"Entry","",0)</f>
      </c>
      <c r="AG147" s="27">
        <f>IF($B147&lt;&gt;"Entry","",IF(OR(AD147=0,AB147="",AQ147="",AQ147&lt;=0),0,IF(AQ147&lt;=DATE(YEAR(AB147),MONTH(AB147)+1,7),0,ROUND(AD147*0.015*((YEAR(AQ147)-YEAR(AB147))*12+(MONTH(AQ147)-MONTH(AB147))+1),0))))</f>
      </c>
      <c r="AH147" s="27">
        <f>IF($B147&lt;&gt;"Entry","",0)</f>
      </c>
      <c r="AI147" s="28"/>
      <c r="AJ147" s="28"/>
      <c r="AK147" s="32"/>
      <c r="AL147" s="28"/>
      <c r="AM147" s="28"/>
      <c r="AN147" s="27">
        <f>IF($B147&lt;&gt;"Challan","",SUMIF('Q1 Data'!$D$4:$D$207,D147,'Q1 Data'!$AD$4:$AD$207)+SUMIF('Q1 Data'!$D$4:$D$207,D147,'Q1 Data'!$AG$4:$AG$207)+SUMIF('Q1 Data'!$D$4:$D$207,D147,'Q1 Data'!$AE$4:$AE$207)+SUMIF('Q2 Data'!$D$4:$D$207,D147,'Q2 Data'!$AD$4:$AD$207)+SUMIF('Q2 Data'!$D$4:$D$207,D147,'Q2 Data'!$AG$4:$AG$207)+SUMIF('Q2 Data'!$D$4:$D$207,D147,'Q2 Data'!$AE$4:$AE$207)+SUMIF('Q3 Data'!$D$4:$D$207,D147,'Q3 Data'!$AD$4:$AD$207)+SUMIF('Q3 Data'!$D$4:$D$207,D147,'Q3 Data'!$AG$4:$AG$207)+SUMIF('Q3 Data'!$D$4:$D$207,D147,'Q3 Data'!$AE$4:$AE$207)+SUMIF('Q4 Data'!$D$4:$D$207,D147,'Q4 Data'!$AD$4:$AD$207)+SUMIF('Q4 Data'!$D$4:$D$207,D147,'Q4 Data'!$AG$4:$AG$207)+SUMIF('Q4 Data'!$D$4:$D$207,D147,'Q4 Data'!$AE$4:$AE$207))</f>
      </c>
      <c r="AO147" s="27">
        <f>IF($B147&lt;&gt;"Challan","",P147-N147)</f>
      </c>
      <c r="AP147" s="27">
        <f>IF($B147&lt;&gt;"Challan","",MAX(0,AO147-AN147))</f>
      </c>
      <c r="AQ147" s="33">
        <f>IF($B147&lt;&gt;"Entry","",SUMPRODUCT(('Q1 Data'!$D$4:$D$207=D147)*('Q1 Data'!$B$4:$B$207="Challan")*'Q1 Data'!$F$4:$F$207)+SUMPRODUCT(('Q2 Data'!$D$4:$D$207=D147)*('Q2 Data'!$B$4:$B$207="Challan")*'Q2 Data'!$F$4:$F$207)+SUMPRODUCT(('Q3 Data'!$D$4:$D$207=D147)*('Q3 Data'!$B$4:$B$207="Challan")*'Q3 Data'!$F$4:$F$207)+SUMPRODUCT(('Q4 Data'!$D$4:$D$207=D147)*('Q4 Data'!$B$4:$B$207="Challan")*'Q4 Data'!$F$4:$F$207))</f>
      </c>
      <c r="AR147" s="34">
        <f>IF(OR($B147&lt;&gt;"Entry",Z147=""),FALSE,AND((SUMPRODUCT(('Q1 Data'!$D$4:$D$207=D147)*('Q1 Data'!$B$4:$B$207="Challan")*('Q1 Data'!$H$4:$H$207&lt;&gt;""))+SUMPRODUCT(('Q2 Data'!$D$4:$D$207=D147)*('Q2 Data'!$B$4:$B$207="Challan")*('Q2 Data'!$H$4:$H$207&lt;&gt;""))+SUMPRODUCT(('Q3 Data'!$D$4:$D$207=D147)*('Q3 Data'!$B$4:$B$207="Challan")*('Q3 Data'!$H$4:$H$207&lt;&gt;""))+SUMPRODUCT(('Q4 Data'!$D$4:$D$207=D147)*('Q4 Data'!$B$4:$B$207="Challan")*('Q4 Data'!$H$4:$H$207&lt;&gt;"")))&gt;0,(SUMPRODUCT(('Q1 Data'!$D$4:$D$207=D147)*('Q1 Data'!$B$4:$B$207="Challan")*('Q1 Data'!$H$4:$H$207=Z147))+SUMPRODUCT(('Q2 Data'!$D$4:$D$207=D147)*('Q2 Data'!$B$4:$B$207="Challan")*('Q2 Data'!$H$4:$H$207=Z147))+SUMPRODUCT(('Q3 Data'!$D$4:$D$207=D147)*('Q3 Data'!$B$4:$B$207="Challan")*('Q3 Data'!$H$4:$H$207=Z147))+SUMPRODUCT(('Q4 Data'!$D$4:$D$207=D147)*('Q4 Data'!$B$4:$B$207="Challan")*('Q4 Data'!$H$4:$H$207=Z147)))=0))</f>
      </c>
    </row>
    <row r="148" spans="1:44" x14ac:dyDescent="0.25">
      <c r="A148" s="20">
        <f>IF($B148="Entry",COUNTIF($B$4:$B148,"Entry"),"")</f>
      </c>
      <c r="B148" s="21"/>
      <c r="C148" s="22"/>
      <c r="D148" s="22"/>
      <c r="E148" s="23">
        <f>IF($B148&lt;&gt;"Challan","",IF(ROUND(AN148-AO148,2)&gt;0,"Over-applied",IF(ROUND(AN148-AO148,2)=0,"Fully Utilised","Unconsumed")))</f>
      </c>
      <c r="F148" s="24"/>
      <c r="G148" s="25"/>
      <c r="H148" s="25"/>
      <c r="I148" s="26"/>
      <c r="J148" s="26"/>
      <c r="K148" s="26"/>
      <c r="L148" s="26"/>
      <c r="M148" s="26"/>
      <c r="N148" s="26"/>
      <c r="O148" s="26"/>
      <c r="P148" s="27">
        <f>IF($B148&lt;&gt;"Challan","",I148+J148+K148+L148+M148+N148)</f>
      </c>
      <c r="Q148" s="25"/>
      <c r="R148" s="25"/>
      <c r="S148" s="25"/>
      <c r="T148" s="25"/>
      <c r="U148" s="25"/>
      <c r="V148" s="28"/>
      <c r="W148" s="28"/>
      <c r="X148" s="23">
        <f>IF($B148="Entry",IF(AND(LEN(TRIM(UPPER(W148)))=10,CODE(MID(TRIM(UPPER(W148)),1,1))&gt;=65,CODE(MID(TRIM(UPPER(W148)),1,1))&lt;=90,CODE(MID(TRIM(UPPER(W148)),2,1))&gt;=65,CODE(MID(TRIM(UPPER(W148)),2,1))&lt;=90,CODE(MID(TRIM(UPPER(W148)),3,1))&gt;=65,CODE(MID(TRIM(UPPER(W148)),3,1))&lt;=90,CODE(MID(TRIM(UPPER(W148)),4,1))&gt;=65,CODE(MID(TRIM(UPPER(W148)),4,1))&lt;=90,CODE(MID(TRIM(UPPER(W148)),5,1))&gt;=65,CODE(MID(TRIM(UPPER(W148)),5,1))&lt;=90,CODE(MID(TRIM(UPPER(W148)),10,1))&gt;=65,CODE(MID(TRIM(UPPER(W148)),10,1))&lt;=90,CODE(MID(TRIM(UPPER(W148)),6,1))&gt;=48,CODE(MID(TRIM(UPPER(W148)),6,1))&lt;=57,CODE(MID(TRIM(UPPER(W148)),7,1))&gt;=48,CODE(MID(TRIM(UPPER(W148)),7,1))&lt;=57,CODE(MID(TRIM(UPPER(W148)),8,1))&gt;=48,CODE(MID(TRIM(UPPER(W148)),8,1))&lt;=57,CODE(MID(TRIM(UPPER(W148)),9,1))&gt;=48,CODE(MID(TRIM(UPPER(W148)),9,1))&lt;=57),"N","Y"),IF($B148="Challan","",IF(W148&lt;&gt;"","◄ Set Row Type","")))</f>
      </c>
      <c r="Y148" s="23">
        <f>IF($B148="Entry",IF(LEN(W148)&lt;4,"",IF(UPPER(MID(W148,4,1))="P","Individual",IF(UPPER(MID(W148,4,1))="H","HUF",IF(UPPER(MID(W148,4,1))="C","Company",IF(UPPER(MID(W148,4,1))="F","Firm",IF(UPPER(MID(W148,4,1))="L","LLP",IF(UPPER(MID(W148,4,1))="T","Trust",IF(UPPER(MID(W148,4,1))="A","AOP","")))))))),IF($B148="Challan","",IF(W148&lt;&gt;"","◄ Set Row Type","")))</f>
      </c>
      <c r="Z148" s="28"/>
      <c r="AA148" s="29">
        <f>IF($B148&lt;&gt;"Entry","",IF(Z148="","",IF(X148="Y",SUMPRODUCT(('Rate Lookup'!$A$1:$A$37=Z148)*'Rate Lookup'!$D$1:$D$37),IF(OR(Y148="Individual",Y148="HUF"),SUMPRODUCT(('Rate Lookup'!$A$1:$A$37=Z148)*'Rate Lookup'!$B$1:$B$37),SUMPRODUCT(('Rate Lookup'!$A$1:$A$37=Z148)*'Rate Lookup'!$C$1:$C$37)))))</f>
      </c>
      <c r="AB148" s="30"/>
      <c r="AC148" s="31"/>
      <c r="AD148" s="27">
        <f>IF($B148&lt;&gt;"Entry","",ROUND(AC148*AA148/100,0))</f>
      </c>
      <c r="AE148" s="27">
        <f>IF($B148&lt;&gt;"Entry","",0)</f>
      </c>
      <c r="AF148" s="27">
        <f>IF($B148&lt;&gt;"Entry","",0)</f>
      </c>
      <c r="AG148" s="27">
        <f>IF($B148&lt;&gt;"Entry","",IF(OR(AD148=0,AB148="",AQ148="",AQ148&lt;=0),0,IF(AQ148&lt;=DATE(YEAR(AB148),MONTH(AB148)+1,7),0,ROUND(AD148*0.015*((YEAR(AQ148)-YEAR(AB148))*12+(MONTH(AQ148)-MONTH(AB148))+1),0))))</f>
      </c>
      <c r="AH148" s="27">
        <f>IF($B148&lt;&gt;"Entry","",0)</f>
      </c>
      <c r="AI148" s="28"/>
      <c r="AJ148" s="28"/>
      <c r="AK148" s="32"/>
      <c r="AL148" s="28"/>
      <c r="AM148" s="28"/>
      <c r="AN148" s="27">
        <f>IF($B148&lt;&gt;"Challan","",SUMIF('Q1 Data'!$D$4:$D$207,D148,'Q1 Data'!$AD$4:$AD$207)+SUMIF('Q1 Data'!$D$4:$D$207,D148,'Q1 Data'!$AG$4:$AG$207)+SUMIF('Q1 Data'!$D$4:$D$207,D148,'Q1 Data'!$AE$4:$AE$207)+SUMIF('Q2 Data'!$D$4:$D$207,D148,'Q2 Data'!$AD$4:$AD$207)+SUMIF('Q2 Data'!$D$4:$D$207,D148,'Q2 Data'!$AG$4:$AG$207)+SUMIF('Q2 Data'!$D$4:$D$207,D148,'Q2 Data'!$AE$4:$AE$207)+SUMIF('Q3 Data'!$D$4:$D$207,D148,'Q3 Data'!$AD$4:$AD$207)+SUMIF('Q3 Data'!$D$4:$D$207,D148,'Q3 Data'!$AG$4:$AG$207)+SUMIF('Q3 Data'!$D$4:$D$207,D148,'Q3 Data'!$AE$4:$AE$207)+SUMIF('Q4 Data'!$D$4:$D$207,D148,'Q4 Data'!$AD$4:$AD$207)+SUMIF('Q4 Data'!$D$4:$D$207,D148,'Q4 Data'!$AG$4:$AG$207)+SUMIF('Q4 Data'!$D$4:$D$207,D148,'Q4 Data'!$AE$4:$AE$207))</f>
      </c>
      <c r="AO148" s="27">
        <f>IF($B148&lt;&gt;"Challan","",P148-N148)</f>
      </c>
      <c r="AP148" s="27">
        <f>IF($B148&lt;&gt;"Challan","",MAX(0,AO148-AN148))</f>
      </c>
      <c r="AQ148" s="33">
        <f>IF($B148&lt;&gt;"Entry","",SUMPRODUCT(('Q1 Data'!$D$4:$D$207=D148)*('Q1 Data'!$B$4:$B$207="Challan")*'Q1 Data'!$F$4:$F$207)+SUMPRODUCT(('Q2 Data'!$D$4:$D$207=D148)*('Q2 Data'!$B$4:$B$207="Challan")*'Q2 Data'!$F$4:$F$207)+SUMPRODUCT(('Q3 Data'!$D$4:$D$207=D148)*('Q3 Data'!$B$4:$B$207="Challan")*'Q3 Data'!$F$4:$F$207)+SUMPRODUCT(('Q4 Data'!$D$4:$D$207=D148)*('Q4 Data'!$B$4:$B$207="Challan")*'Q4 Data'!$F$4:$F$207))</f>
      </c>
      <c r="AR148" s="34">
        <f>IF(OR($B148&lt;&gt;"Entry",Z148=""),FALSE,AND((SUMPRODUCT(('Q1 Data'!$D$4:$D$207=D148)*('Q1 Data'!$B$4:$B$207="Challan")*('Q1 Data'!$H$4:$H$207&lt;&gt;""))+SUMPRODUCT(('Q2 Data'!$D$4:$D$207=D148)*('Q2 Data'!$B$4:$B$207="Challan")*('Q2 Data'!$H$4:$H$207&lt;&gt;""))+SUMPRODUCT(('Q3 Data'!$D$4:$D$207=D148)*('Q3 Data'!$B$4:$B$207="Challan")*('Q3 Data'!$H$4:$H$207&lt;&gt;""))+SUMPRODUCT(('Q4 Data'!$D$4:$D$207=D148)*('Q4 Data'!$B$4:$B$207="Challan")*('Q4 Data'!$H$4:$H$207&lt;&gt;"")))&gt;0,(SUMPRODUCT(('Q1 Data'!$D$4:$D$207=D148)*('Q1 Data'!$B$4:$B$207="Challan")*('Q1 Data'!$H$4:$H$207=Z148))+SUMPRODUCT(('Q2 Data'!$D$4:$D$207=D148)*('Q2 Data'!$B$4:$B$207="Challan")*('Q2 Data'!$H$4:$H$207=Z148))+SUMPRODUCT(('Q3 Data'!$D$4:$D$207=D148)*('Q3 Data'!$B$4:$B$207="Challan")*('Q3 Data'!$H$4:$H$207=Z148))+SUMPRODUCT(('Q4 Data'!$D$4:$D$207=D148)*('Q4 Data'!$B$4:$B$207="Challan")*('Q4 Data'!$H$4:$H$207=Z148)))=0))</f>
      </c>
    </row>
    <row r="149" spans="1:44" x14ac:dyDescent="0.25">
      <c r="A149" s="20">
        <f>IF($B149="Entry",COUNTIF($B$4:$B149,"Entry"),"")</f>
      </c>
      <c r="B149" s="21"/>
      <c r="C149" s="22"/>
      <c r="D149" s="22"/>
      <c r="E149" s="23">
        <f>IF($B149&lt;&gt;"Challan","",IF(ROUND(AN149-AO149,2)&gt;0,"Over-applied",IF(ROUND(AN149-AO149,2)=0,"Fully Utilised","Unconsumed")))</f>
      </c>
      <c r="F149" s="24"/>
      <c r="G149" s="25"/>
      <c r="H149" s="25"/>
      <c r="I149" s="26"/>
      <c r="J149" s="26"/>
      <c r="K149" s="26"/>
      <c r="L149" s="26"/>
      <c r="M149" s="26"/>
      <c r="N149" s="26"/>
      <c r="O149" s="26"/>
      <c r="P149" s="27">
        <f>IF($B149&lt;&gt;"Challan","",I149+J149+K149+L149+M149+N149)</f>
      </c>
      <c r="Q149" s="25"/>
      <c r="R149" s="25"/>
      <c r="S149" s="25"/>
      <c r="T149" s="25"/>
      <c r="U149" s="25"/>
      <c r="V149" s="28"/>
      <c r="W149" s="28"/>
      <c r="X149" s="23">
        <f>IF($B149="Entry",IF(AND(LEN(TRIM(UPPER(W149)))=10,CODE(MID(TRIM(UPPER(W149)),1,1))&gt;=65,CODE(MID(TRIM(UPPER(W149)),1,1))&lt;=90,CODE(MID(TRIM(UPPER(W149)),2,1))&gt;=65,CODE(MID(TRIM(UPPER(W149)),2,1))&lt;=90,CODE(MID(TRIM(UPPER(W149)),3,1))&gt;=65,CODE(MID(TRIM(UPPER(W149)),3,1))&lt;=90,CODE(MID(TRIM(UPPER(W149)),4,1))&gt;=65,CODE(MID(TRIM(UPPER(W149)),4,1))&lt;=90,CODE(MID(TRIM(UPPER(W149)),5,1))&gt;=65,CODE(MID(TRIM(UPPER(W149)),5,1))&lt;=90,CODE(MID(TRIM(UPPER(W149)),10,1))&gt;=65,CODE(MID(TRIM(UPPER(W149)),10,1))&lt;=90,CODE(MID(TRIM(UPPER(W149)),6,1))&gt;=48,CODE(MID(TRIM(UPPER(W149)),6,1))&lt;=57,CODE(MID(TRIM(UPPER(W149)),7,1))&gt;=48,CODE(MID(TRIM(UPPER(W149)),7,1))&lt;=57,CODE(MID(TRIM(UPPER(W149)),8,1))&gt;=48,CODE(MID(TRIM(UPPER(W149)),8,1))&lt;=57,CODE(MID(TRIM(UPPER(W149)),9,1))&gt;=48,CODE(MID(TRIM(UPPER(W149)),9,1))&lt;=57),"N","Y"),IF($B149="Challan","",IF(W149&lt;&gt;"","◄ Set Row Type","")))</f>
      </c>
      <c r="Y149" s="23">
        <f>IF($B149="Entry",IF(LEN(W149)&lt;4,"",IF(UPPER(MID(W149,4,1))="P","Individual",IF(UPPER(MID(W149,4,1))="H","HUF",IF(UPPER(MID(W149,4,1))="C","Company",IF(UPPER(MID(W149,4,1))="F","Firm",IF(UPPER(MID(W149,4,1))="L","LLP",IF(UPPER(MID(W149,4,1))="T","Trust",IF(UPPER(MID(W149,4,1))="A","AOP","")))))))),IF($B149="Challan","",IF(W149&lt;&gt;"","◄ Set Row Type","")))</f>
      </c>
      <c r="Z149" s="28"/>
      <c r="AA149" s="29">
        <f>IF($B149&lt;&gt;"Entry","",IF(Z149="","",IF(X149="Y",SUMPRODUCT(('Rate Lookup'!$A$1:$A$37=Z149)*'Rate Lookup'!$D$1:$D$37),IF(OR(Y149="Individual",Y149="HUF"),SUMPRODUCT(('Rate Lookup'!$A$1:$A$37=Z149)*'Rate Lookup'!$B$1:$B$37),SUMPRODUCT(('Rate Lookup'!$A$1:$A$37=Z149)*'Rate Lookup'!$C$1:$C$37)))))</f>
      </c>
      <c r="AB149" s="30"/>
      <c r="AC149" s="31"/>
      <c r="AD149" s="27">
        <f>IF($B149&lt;&gt;"Entry","",ROUND(AC149*AA149/100,0))</f>
      </c>
      <c r="AE149" s="27">
        <f>IF($B149&lt;&gt;"Entry","",0)</f>
      </c>
      <c r="AF149" s="27">
        <f>IF($B149&lt;&gt;"Entry","",0)</f>
      </c>
      <c r="AG149" s="27">
        <f>IF($B149&lt;&gt;"Entry","",IF(OR(AD149=0,AB149="",AQ149="",AQ149&lt;=0),0,IF(AQ149&lt;=DATE(YEAR(AB149),MONTH(AB149)+1,7),0,ROUND(AD149*0.015*((YEAR(AQ149)-YEAR(AB149))*12+(MONTH(AQ149)-MONTH(AB149))+1),0))))</f>
      </c>
      <c r="AH149" s="27">
        <f>IF($B149&lt;&gt;"Entry","",0)</f>
      </c>
      <c r="AI149" s="28"/>
      <c r="AJ149" s="28"/>
      <c r="AK149" s="32"/>
      <c r="AL149" s="28"/>
      <c r="AM149" s="28"/>
      <c r="AN149" s="27">
        <f>IF($B149&lt;&gt;"Challan","",SUMIF('Q1 Data'!$D$4:$D$207,D149,'Q1 Data'!$AD$4:$AD$207)+SUMIF('Q1 Data'!$D$4:$D$207,D149,'Q1 Data'!$AG$4:$AG$207)+SUMIF('Q1 Data'!$D$4:$D$207,D149,'Q1 Data'!$AE$4:$AE$207)+SUMIF('Q2 Data'!$D$4:$D$207,D149,'Q2 Data'!$AD$4:$AD$207)+SUMIF('Q2 Data'!$D$4:$D$207,D149,'Q2 Data'!$AG$4:$AG$207)+SUMIF('Q2 Data'!$D$4:$D$207,D149,'Q2 Data'!$AE$4:$AE$207)+SUMIF('Q3 Data'!$D$4:$D$207,D149,'Q3 Data'!$AD$4:$AD$207)+SUMIF('Q3 Data'!$D$4:$D$207,D149,'Q3 Data'!$AG$4:$AG$207)+SUMIF('Q3 Data'!$D$4:$D$207,D149,'Q3 Data'!$AE$4:$AE$207)+SUMIF('Q4 Data'!$D$4:$D$207,D149,'Q4 Data'!$AD$4:$AD$207)+SUMIF('Q4 Data'!$D$4:$D$207,D149,'Q4 Data'!$AG$4:$AG$207)+SUMIF('Q4 Data'!$D$4:$D$207,D149,'Q4 Data'!$AE$4:$AE$207))</f>
      </c>
      <c r="AO149" s="27">
        <f>IF($B149&lt;&gt;"Challan","",P149-N149)</f>
      </c>
      <c r="AP149" s="27">
        <f>IF($B149&lt;&gt;"Challan","",MAX(0,AO149-AN149))</f>
      </c>
      <c r="AQ149" s="33">
        <f>IF($B149&lt;&gt;"Entry","",SUMPRODUCT(('Q1 Data'!$D$4:$D$207=D149)*('Q1 Data'!$B$4:$B$207="Challan")*'Q1 Data'!$F$4:$F$207)+SUMPRODUCT(('Q2 Data'!$D$4:$D$207=D149)*('Q2 Data'!$B$4:$B$207="Challan")*'Q2 Data'!$F$4:$F$207)+SUMPRODUCT(('Q3 Data'!$D$4:$D$207=D149)*('Q3 Data'!$B$4:$B$207="Challan")*'Q3 Data'!$F$4:$F$207)+SUMPRODUCT(('Q4 Data'!$D$4:$D$207=D149)*('Q4 Data'!$B$4:$B$207="Challan")*'Q4 Data'!$F$4:$F$207))</f>
      </c>
      <c r="AR149" s="34">
        <f>IF(OR($B149&lt;&gt;"Entry",Z149=""),FALSE,AND((SUMPRODUCT(('Q1 Data'!$D$4:$D$207=D149)*('Q1 Data'!$B$4:$B$207="Challan")*('Q1 Data'!$H$4:$H$207&lt;&gt;""))+SUMPRODUCT(('Q2 Data'!$D$4:$D$207=D149)*('Q2 Data'!$B$4:$B$207="Challan")*('Q2 Data'!$H$4:$H$207&lt;&gt;""))+SUMPRODUCT(('Q3 Data'!$D$4:$D$207=D149)*('Q3 Data'!$B$4:$B$207="Challan")*('Q3 Data'!$H$4:$H$207&lt;&gt;""))+SUMPRODUCT(('Q4 Data'!$D$4:$D$207=D149)*('Q4 Data'!$B$4:$B$207="Challan")*('Q4 Data'!$H$4:$H$207&lt;&gt;"")))&gt;0,(SUMPRODUCT(('Q1 Data'!$D$4:$D$207=D149)*('Q1 Data'!$B$4:$B$207="Challan")*('Q1 Data'!$H$4:$H$207=Z149))+SUMPRODUCT(('Q2 Data'!$D$4:$D$207=D149)*('Q2 Data'!$B$4:$B$207="Challan")*('Q2 Data'!$H$4:$H$207=Z149))+SUMPRODUCT(('Q3 Data'!$D$4:$D$207=D149)*('Q3 Data'!$B$4:$B$207="Challan")*('Q3 Data'!$H$4:$H$207=Z149))+SUMPRODUCT(('Q4 Data'!$D$4:$D$207=D149)*('Q4 Data'!$B$4:$B$207="Challan")*('Q4 Data'!$H$4:$H$207=Z149)))=0))</f>
      </c>
    </row>
    <row r="150" spans="1:44" x14ac:dyDescent="0.25">
      <c r="A150" s="20">
        <f>IF($B150="Entry",COUNTIF($B$4:$B150,"Entry"),"")</f>
      </c>
      <c r="B150" s="21"/>
      <c r="C150" s="22"/>
      <c r="D150" s="22"/>
      <c r="E150" s="23">
        <f>IF($B150&lt;&gt;"Challan","",IF(ROUND(AN150-AO150,2)&gt;0,"Over-applied",IF(ROUND(AN150-AO150,2)=0,"Fully Utilised","Unconsumed")))</f>
      </c>
      <c r="F150" s="24"/>
      <c r="G150" s="25"/>
      <c r="H150" s="25"/>
      <c r="I150" s="26"/>
      <c r="J150" s="26"/>
      <c r="K150" s="26"/>
      <c r="L150" s="26"/>
      <c r="M150" s="26"/>
      <c r="N150" s="26"/>
      <c r="O150" s="26"/>
      <c r="P150" s="27">
        <f>IF($B150&lt;&gt;"Challan","",I150+J150+K150+L150+M150+N150)</f>
      </c>
      <c r="Q150" s="25"/>
      <c r="R150" s="25"/>
      <c r="S150" s="25"/>
      <c r="T150" s="25"/>
      <c r="U150" s="25"/>
      <c r="V150" s="28"/>
      <c r="W150" s="28"/>
      <c r="X150" s="23">
        <f>IF($B150="Entry",IF(AND(LEN(TRIM(UPPER(W150)))=10,CODE(MID(TRIM(UPPER(W150)),1,1))&gt;=65,CODE(MID(TRIM(UPPER(W150)),1,1))&lt;=90,CODE(MID(TRIM(UPPER(W150)),2,1))&gt;=65,CODE(MID(TRIM(UPPER(W150)),2,1))&lt;=90,CODE(MID(TRIM(UPPER(W150)),3,1))&gt;=65,CODE(MID(TRIM(UPPER(W150)),3,1))&lt;=90,CODE(MID(TRIM(UPPER(W150)),4,1))&gt;=65,CODE(MID(TRIM(UPPER(W150)),4,1))&lt;=90,CODE(MID(TRIM(UPPER(W150)),5,1))&gt;=65,CODE(MID(TRIM(UPPER(W150)),5,1))&lt;=90,CODE(MID(TRIM(UPPER(W150)),10,1))&gt;=65,CODE(MID(TRIM(UPPER(W150)),10,1))&lt;=90,CODE(MID(TRIM(UPPER(W150)),6,1))&gt;=48,CODE(MID(TRIM(UPPER(W150)),6,1))&lt;=57,CODE(MID(TRIM(UPPER(W150)),7,1))&gt;=48,CODE(MID(TRIM(UPPER(W150)),7,1))&lt;=57,CODE(MID(TRIM(UPPER(W150)),8,1))&gt;=48,CODE(MID(TRIM(UPPER(W150)),8,1))&lt;=57,CODE(MID(TRIM(UPPER(W150)),9,1))&gt;=48,CODE(MID(TRIM(UPPER(W150)),9,1))&lt;=57),"N","Y"),IF($B150="Challan","",IF(W150&lt;&gt;"","◄ Set Row Type","")))</f>
      </c>
      <c r="Y150" s="23">
        <f>IF($B150="Entry",IF(LEN(W150)&lt;4,"",IF(UPPER(MID(W150,4,1))="P","Individual",IF(UPPER(MID(W150,4,1))="H","HUF",IF(UPPER(MID(W150,4,1))="C","Company",IF(UPPER(MID(W150,4,1))="F","Firm",IF(UPPER(MID(W150,4,1))="L","LLP",IF(UPPER(MID(W150,4,1))="T","Trust",IF(UPPER(MID(W150,4,1))="A","AOP","")))))))),IF($B150="Challan","",IF(W150&lt;&gt;"","◄ Set Row Type","")))</f>
      </c>
      <c r="Z150" s="28"/>
      <c r="AA150" s="29">
        <f>IF($B150&lt;&gt;"Entry","",IF(Z150="","",IF(X150="Y",SUMPRODUCT(('Rate Lookup'!$A$1:$A$37=Z150)*'Rate Lookup'!$D$1:$D$37),IF(OR(Y150="Individual",Y150="HUF"),SUMPRODUCT(('Rate Lookup'!$A$1:$A$37=Z150)*'Rate Lookup'!$B$1:$B$37),SUMPRODUCT(('Rate Lookup'!$A$1:$A$37=Z150)*'Rate Lookup'!$C$1:$C$37)))))</f>
      </c>
      <c r="AB150" s="30"/>
      <c r="AC150" s="31"/>
      <c r="AD150" s="27">
        <f>IF($B150&lt;&gt;"Entry","",ROUND(AC150*AA150/100,0))</f>
      </c>
      <c r="AE150" s="27">
        <f>IF($B150&lt;&gt;"Entry","",0)</f>
      </c>
      <c r="AF150" s="27">
        <f>IF($B150&lt;&gt;"Entry","",0)</f>
      </c>
      <c r="AG150" s="27">
        <f>IF($B150&lt;&gt;"Entry","",IF(OR(AD150=0,AB150="",AQ150="",AQ150&lt;=0),0,IF(AQ150&lt;=DATE(YEAR(AB150),MONTH(AB150)+1,7),0,ROUND(AD150*0.015*((YEAR(AQ150)-YEAR(AB150))*12+(MONTH(AQ150)-MONTH(AB150))+1),0))))</f>
      </c>
      <c r="AH150" s="27">
        <f>IF($B150&lt;&gt;"Entry","",0)</f>
      </c>
      <c r="AI150" s="28"/>
      <c r="AJ150" s="28"/>
      <c r="AK150" s="32"/>
      <c r="AL150" s="28"/>
      <c r="AM150" s="28"/>
      <c r="AN150" s="27">
        <f>IF($B150&lt;&gt;"Challan","",SUMIF('Q1 Data'!$D$4:$D$207,D150,'Q1 Data'!$AD$4:$AD$207)+SUMIF('Q1 Data'!$D$4:$D$207,D150,'Q1 Data'!$AG$4:$AG$207)+SUMIF('Q1 Data'!$D$4:$D$207,D150,'Q1 Data'!$AE$4:$AE$207)+SUMIF('Q2 Data'!$D$4:$D$207,D150,'Q2 Data'!$AD$4:$AD$207)+SUMIF('Q2 Data'!$D$4:$D$207,D150,'Q2 Data'!$AG$4:$AG$207)+SUMIF('Q2 Data'!$D$4:$D$207,D150,'Q2 Data'!$AE$4:$AE$207)+SUMIF('Q3 Data'!$D$4:$D$207,D150,'Q3 Data'!$AD$4:$AD$207)+SUMIF('Q3 Data'!$D$4:$D$207,D150,'Q3 Data'!$AG$4:$AG$207)+SUMIF('Q3 Data'!$D$4:$D$207,D150,'Q3 Data'!$AE$4:$AE$207)+SUMIF('Q4 Data'!$D$4:$D$207,D150,'Q4 Data'!$AD$4:$AD$207)+SUMIF('Q4 Data'!$D$4:$D$207,D150,'Q4 Data'!$AG$4:$AG$207)+SUMIF('Q4 Data'!$D$4:$D$207,D150,'Q4 Data'!$AE$4:$AE$207))</f>
      </c>
      <c r="AO150" s="27">
        <f>IF($B150&lt;&gt;"Challan","",P150-N150)</f>
      </c>
      <c r="AP150" s="27">
        <f>IF($B150&lt;&gt;"Challan","",MAX(0,AO150-AN150))</f>
      </c>
      <c r="AQ150" s="33">
        <f>IF($B150&lt;&gt;"Entry","",SUMPRODUCT(('Q1 Data'!$D$4:$D$207=D150)*('Q1 Data'!$B$4:$B$207="Challan")*'Q1 Data'!$F$4:$F$207)+SUMPRODUCT(('Q2 Data'!$D$4:$D$207=D150)*('Q2 Data'!$B$4:$B$207="Challan")*'Q2 Data'!$F$4:$F$207)+SUMPRODUCT(('Q3 Data'!$D$4:$D$207=D150)*('Q3 Data'!$B$4:$B$207="Challan")*'Q3 Data'!$F$4:$F$207)+SUMPRODUCT(('Q4 Data'!$D$4:$D$207=D150)*('Q4 Data'!$B$4:$B$207="Challan")*'Q4 Data'!$F$4:$F$207))</f>
      </c>
      <c r="AR150" s="34">
        <f>IF(OR($B150&lt;&gt;"Entry",Z150=""),FALSE,AND((SUMPRODUCT(('Q1 Data'!$D$4:$D$207=D150)*('Q1 Data'!$B$4:$B$207="Challan")*('Q1 Data'!$H$4:$H$207&lt;&gt;""))+SUMPRODUCT(('Q2 Data'!$D$4:$D$207=D150)*('Q2 Data'!$B$4:$B$207="Challan")*('Q2 Data'!$H$4:$H$207&lt;&gt;""))+SUMPRODUCT(('Q3 Data'!$D$4:$D$207=D150)*('Q3 Data'!$B$4:$B$207="Challan")*('Q3 Data'!$H$4:$H$207&lt;&gt;""))+SUMPRODUCT(('Q4 Data'!$D$4:$D$207=D150)*('Q4 Data'!$B$4:$B$207="Challan")*('Q4 Data'!$H$4:$H$207&lt;&gt;"")))&gt;0,(SUMPRODUCT(('Q1 Data'!$D$4:$D$207=D150)*('Q1 Data'!$B$4:$B$207="Challan")*('Q1 Data'!$H$4:$H$207=Z150))+SUMPRODUCT(('Q2 Data'!$D$4:$D$207=D150)*('Q2 Data'!$B$4:$B$207="Challan")*('Q2 Data'!$H$4:$H$207=Z150))+SUMPRODUCT(('Q3 Data'!$D$4:$D$207=D150)*('Q3 Data'!$B$4:$B$207="Challan")*('Q3 Data'!$H$4:$H$207=Z150))+SUMPRODUCT(('Q4 Data'!$D$4:$D$207=D150)*('Q4 Data'!$B$4:$B$207="Challan")*('Q4 Data'!$H$4:$H$207=Z150)))=0))</f>
      </c>
    </row>
    <row r="151" spans="1:44" x14ac:dyDescent="0.25">
      <c r="A151" s="20">
        <f>IF($B151="Entry",COUNTIF($B$4:$B151,"Entry"),"")</f>
      </c>
      <c r="B151" s="21"/>
      <c r="C151" s="22"/>
      <c r="D151" s="22"/>
      <c r="E151" s="23">
        <f>IF($B151&lt;&gt;"Challan","",IF(ROUND(AN151-AO151,2)&gt;0,"Over-applied",IF(ROUND(AN151-AO151,2)=0,"Fully Utilised","Unconsumed")))</f>
      </c>
      <c r="F151" s="24"/>
      <c r="G151" s="25"/>
      <c r="H151" s="25"/>
      <c r="I151" s="26"/>
      <c r="J151" s="26"/>
      <c r="K151" s="26"/>
      <c r="L151" s="26"/>
      <c r="M151" s="26"/>
      <c r="N151" s="26"/>
      <c r="O151" s="26"/>
      <c r="P151" s="27">
        <f>IF($B151&lt;&gt;"Challan","",I151+J151+K151+L151+M151+N151)</f>
      </c>
      <c r="Q151" s="25"/>
      <c r="R151" s="25"/>
      <c r="S151" s="25"/>
      <c r="T151" s="25"/>
      <c r="U151" s="25"/>
      <c r="V151" s="28"/>
      <c r="W151" s="28"/>
      <c r="X151" s="23">
        <f>IF($B151="Entry",IF(AND(LEN(TRIM(UPPER(W151)))=10,CODE(MID(TRIM(UPPER(W151)),1,1))&gt;=65,CODE(MID(TRIM(UPPER(W151)),1,1))&lt;=90,CODE(MID(TRIM(UPPER(W151)),2,1))&gt;=65,CODE(MID(TRIM(UPPER(W151)),2,1))&lt;=90,CODE(MID(TRIM(UPPER(W151)),3,1))&gt;=65,CODE(MID(TRIM(UPPER(W151)),3,1))&lt;=90,CODE(MID(TRIM(UPPER(W151)),4,1))&gt;=65,CODE(MID(TRIM(UPPER(W151)),4,1))&lt;=90,CODE(MID(TRIM(UPPER(W151)),5,1))&gt;=65,CODE(MID(TRIM(UPPER(W151)),5,1))&lt;=90,CODE(MID(TRIM(UPPER(W151)),10,1))&gt;=65,CODE(MID(TRIM(UPPER(W151)),10,1))&lt;=90,CODE(MID(TRIM(UPPER(W151)),6,1))&gt;=48,CODE(MID(TRIM(UPPER(W151)),6,1))&lt;=57,CODE(MID(TRIM(UPPER(W151)),7,1))&gt;=48,CODE(MID(TRIM(UPPER(W151)),7,1))&lt;=57,CODE(MID(TRIM(UPPER(W151)),8,1))&gt;=48,CODE(MID(TRIM(UPPER(W151)),8,1))&lt;=57,CODE(MID(TRIM(UPPER(W151)),9,1))&gt;=48,CODE(MID(TRIM(UPPER(W151)),9,1))&lt;=57),"N","Y"),IF($B151="Challan","",IF(W151&lt;&gt;"","◄ Set Row Type","")))</f>
      </c>
      <c r="Y151" s="23">
        <f>IF($B151="Entry",IF(LEN(W151)&lt;4,"",IF(UPPER(MID(W151,4,1))="P","Individual",IF(UPPER(MID(W151,4,1))="H","HUF",IF(UPPER(MID(W151,4,1))="C","Company",IF(UPPER(MID(W151,4,1))="F","Firm",IF(UPPER(MID(W151,4,1))="L","LLP",IF(UPPER(MID(W151,4,1))="T","Trust",IF(UPPER(MID(W151,4,1))="A","AOP","")))))))),IF($B151="Challan","",IF(W151&lt;&gt;"","◄ Set Row Type","")))</f>
      </c>
      <c r="Z151" s="28"/>
      <c r="AA151" s="29">
        <f>IF($B151&lt;&gt;"Entry","",IF(Z151="","",IF(X151="Y",SUMPRODUCT(('Rate Lookup'!$A$1:$A$37=Z151)*'Rate Lookup'!$D$1:$D$37),IF(OR(Y151="Individual",Y151="HUF"),SUMPRODUCT(('Rate Lookup'!$A$1:$A$37=Z151)*'Rate Lookup'!$B$1:$B$37),SUMPRODUCT(('Rate Lookup'!$A$1:$A$37=Z151)*'Rate Lookup'!$C$1:$C$37)))))</f>
      </c>
      <c r="AB151" s="30"/>
      <c r="AC151" s="31"/>
      <c r="AD151" s="27">
        <f>IF($B151&lt;&gt;"Entry","",ROUND(AC151*AA151/100,0))</f>
      </c>
      <c r="AE151" s="27">
        <f>IF($B151&lt;&gt;"Entry","",0)</f>
      </c>
      <c r="AF151" s="27">
        <f>IF($B151&lt;&gt;"Entry","",0)</f>
      </c>
      <c r="AG151" s="27">
        <f>IF($B151&lt;&gt;"Entry","",IF(OR(AD151=0,AB151="",AQ151="",AQ151&lt;=0),0,IF(AQ151&lt;=DATE(YEAR(AB151),MONTH(AB151)+1,7),0,ROUND(AD151*0.015*((YEAR(AQ151)-YEAR(AB151))*12+(MONTH(AQ151)-MONTH(AB151))+1),0))))</f>
      </c>
      <c r="AH151" s="27">
        <f>IF($B151&lt;&gt;"Entry","",0)</f>
      </c>
      <c r="AI151" s="28"/>
      <c r="AJ151" s="28"/>
      <c r="AK151" s="32"/>
      <c r="AL151" s="28"/>
      <c r="AM151" s="28"/>
      <c r="AN151" s="27">
        <f>IF($B151&lt;&gt;"Challan","",SUMIF('Q1 Data'!$D$4:$D$207,D151,'Q1 Data'!$AD$4:$AD$207)+SUMIF('Q1 Data'!$D$4:$D$207,D151,'Q1 Data'!$AG$4:$AG$207)+SUMIF('Q1 Data'!$D$4:$D$207,D151,'Q1 Data'!$AE$4:$AE$207)+SUMIF('Q2 Data'!$D$4:$D$207,D151,'Q2 Data'!$AD$4:$AD$207)+SUMIF('Q2 Data'!$D$4:$D$207,D151,'Q2 Data'!$AG$4:$AG$207)+SUMIF('Q2 Data'!$D$4:$D$207,D151,'Q2 Data'!$AE$4:$AE$207)+SUMIF('Q3 Data'!$D$4:$D$207,D151,'Q3 Data'!$AD$4:$AD$207)+SUMIF('Q3 Data'!$D$4:$D$207,D151,'Q3 Data'!$AG$4:$AG$207)+SUMIF('Q3 Data'!$D$4:$D$207,D151,'Q3 Data'!$AE$4:$AE$207)+SUMIF('Q4 Data'!$D$4:$D$207,D151,'Q4 Data'!$AD$4:$AD$207)+SUMIF('Q4 Data'!$D$4:$D$207,D151,'Q4 Data'!$AG$4:$AG$207)+SUMIF('Q4 Data'!$D$4:$D$207,D151,'Q4 Data'!$AE$4:$AE$207))</f>
      </c>
      <c r="AO151" s="27">
        <f>IF($B151&lt;&gt;"Challan","",P151-N151)</f>
      </c>
      <c r="AP151" s="27">
        <f>IF($B151&lt;&gt;"Challan","",MAX(0,AO151-AN151))</f>
      </c>
      <c r="AQ151" s="33">
        <f>IF($B151&lt;&gt;"Entry","",SUMPRODUCT(('Q1 Data'!$D$4:$D$207=D151)*('Q1 Data'!$B$4:$B$207="Challan")*'Q1 Data'!$F$4:$F$207)+SUMPRODUCT(('Q2 Data'!$D$4:$D$207=D151)*('Q2 Data'!$B$4:$B$207="Challan")*'Q2 Data'!$F$4:$F$207)+SUMPRODUCT(('Q3 Data'!$D$4:$D$207=D151)*('Q3 Data'!$B$4:$B$207="Challan")*'Q3 Data'!$F$4:$F$207)+SUMPRODUCT(('Q4 Data'!$D$4:$D$207=D151)*('Q4 Data'!$B$4:$B$207="Challan")*'Q4 Data'!$F$4:$F$207))</f>
      </c>
      <c r="AR151" s="34">
        <f>IF(OR($B151&lt;&gt;"Entry",Z151=""),FALSE,AND((SUMPRODUCT(('Q1 Data'!$D$4:$D$207=D151)*('Q1 Data'!$B$4:$B$207="Challan")*('Q1 Data'!$H$4:$H$207&lt;&gt;""))+SUMPRODUCT(('Q2 Data'!$D$4:$D$207=D151)*('Q2 Data'!$B$4:$B$207="Challan")*('Q2 Data'!$H$4:$H$207&lt;&gt;""))+SUMPRODUCT(('Q3 Data'!$D$4:$D$207=D151)*('Q3 Data'!$B$4:$B$207="Challan")*('Q3 Data'!$H$4:$H$207&lt;&gt;""))+SUMPRODUCT(('Q4 Data'!$D$4:$D$207=D151)*('Q4 Data'!$B$4:$B$207="Challan")*('Q4 Data'!$H$4:$H$207&lt;&gt;"")))&gt;0,(SUMPRODUCT(('Q1 Data'!$D$4:$D$207=D151)*('Q1 Data'!$B$4:$B$207="Challan")*('Q1 Data'!$H$4:$H$207=Z151))+SUMPRODUCT(('Q2 Data'!$D$4:$D$207=D151)*('Q2 Data'!$B$4:$B$207="Challan")*('Q2 Data'!$H$4:$H$207=Z151))+SUMPRODUCT(('Q3 Data'!$D$4:$D$207=D151)*('Q3 Data'!$B$4:$B$207="Challan")*('Q3 Data'!$H$4:$H$207=Z151))+SUMPRODUCT(('Q4 Data'!$D$4:$D$207=D151)*('Q4 Data'!$B$4:$B$207="Challan")*('Q4 Data'!$H$4:$H$207=Z151)))=0))</f>
      </c>
    </row>
    <row r="152" spans="1:44" x14ac:dyDescent="0.25">
      <c r="A152" s="20">
        <f>IF($B152="Entry",COUNTIF($B$4:$B152,"Entry"),"")</f>
      </c>
      <c r="B152" s="21"/>
      <c r="C152" s="22"/>
      <c r="D152" s="22"/>
      <c r="E152" s="23">
        <f>IF($B152&lt;&gt;"Challan","",IF(ROUND(AN152-AO152,2)&gt;0,"Over-applied",IF(ROUND(AN152-AO152,2)=0,"Fully Utilised","Unconsumed")))</f>
      </c>
      <c r="F152" s="24"/>
      <c r="G152" s="25"/>
      <c r="H152" s="25"/>
      <c r="I152" s="26"/>
      <c r="J152" s="26"/>
      <c r="K152" s="26"/>
      <c r="L152" s="26"/>
      <c r="M152" s="26"/>
      <c r="N152" s="26"/>
      <c r="O152" s="26"/>
      <c r="P152" s="27">
        <f>IF($B152&lt;&gt;"Challan","",I152+J152+K152+L152+M152+N152)</f>
      </c>
      <c r="Q152" s="25"/>
      <c r="R152" s="25"/>
      <c r="S152" s="25"/>
      <c r="T152" s="25"/>
      <c r="U152" s="25"/>
      <c r="V152" s="28"/>
      <c r="W152" s="28"/>
      <c r="X152" s="23">
        <f>IF($B152="Entry",IF(AND(LEN(TRIM(UPPER(W152)))=10,CODE(MID(TRIM(UPPER(W152)),1,1))&gt;=65,CODE(MID(TRIM(UPPER(W152)),1,1))&lt;=90,CODE(MID(TRIM(UPPER(W152)),2,1))&gt;=65,CODE(MID(TRIM(UPPER(W152)),2,1))&lt;=90,CODE(MID(TRIM(UPPER(W152)),3,1))&gt;=65,CODE(MID(TRIM(UPPER(W152)),3,1))&lt;=90,CODE(MID(TRIM(UPPER(W152)),4,1))&gt;=65,CODE(MID(TRIM(UPPER(W152)),4,1))&lt;=90,CODE(MID(TRIM(UPPER(W152)),5,1))&gt;=65,CODE(MID(TRIM(UPPER(W152)),5,1))&lt;=90,CODE(MID(TRIM(UPPER(W152)),10,1))&gt;=65,CODE(MID(TRIM(UPPER(W152)),10,1))&lt;=90,CODE(MID(TRIM(UPPER(W152)),6,1))&gt;=48,CODE(MID(TRIM(UPPER(W152)),6,1))&lt;=57,CODE(MID(TRIM(UPPER(W152)),7,1))&gt;=48,CODE(MID(TRIM(UPPER(W152)),7,1))&lt;=57,CODE(MID(TRIM(UPPER(W152)),8,1))&gt;=48,CODE(MID(TRIM(UPPER(W152)),8,1))&lt;=57,CODE(MID(TRIM(UPPER(W152)),9,1))&gt;=48,CODE(MID(TRIM(UPPER(W152)),9,1))&lt;=57),"N","Y"),IF($B152="Challan","",IF(W152&lt;&gt;"","◄ Set Row Type","")))</f>
      </c>
      <c r="Y152" s="23">
        <f>IF($B152="Entry",IF(LEN(W152)&lt;4,"",IF(UPPER(MID(W152,4,1))="P","Individual",IF(UPPER(MID(W152,4,1))="H","HUF",IF(UPPER(MID(W152,4,1))="C","Company",IF(UPPER(MID(W152,4,1))="F","Firm",IF(UPPER(MID(W152,4,1))="L","LLP",IF(UPPER(MID(W152,4,1))="T","Trust",IF(UPPER(MID(W152,4,1))="A","AOP","")))))))),IF($B152="Challan","",IF(W152&lt;&gt;"","◄ Set Row Type","")))</f>
      </c>
      <c r="Z152" s="28"/>
      <c r="AA152" s="29">
        <f>IF($B152&lt;&gt;"Entry","",IF(Z152="","",IF(X152="Y",SUMPRODUCT(('Rate Lookup'!$A$1:$A$37=Z152)*'Rate Lookup'!$D$1:$D$37),IF(OR(Y152="Individual",Y152="HUF"),SUMPRODUCT(('Rate Lookup'!$A$1:$A$37=Z152)*'Rate Lookup'!$B$1:$B$37),SUMPRODUCT(('Rate Lookup'!$A$1:$A$37=Z152)*'Rate Lookup'!$C$1:$C$37)))))</f>
      </c>
      <c r="AB152" s="30"/>
      <c r="AC152" s="31"/>
      <c r="AD152" s="27">
        <f>IF($B152&lt;&gt;"Entry","",ROUND(AC152*AA152/100,0))</f>
      </c>
      <c r="AE152" s="27">
        <f>IF($B152&lt;&gt;"Entry","",0)</f>
      </c>
      <c r="AF152" s="27">
        <f>IF($B152&lt;&gt;"Entry","",0)</f>
      </c>
      <c r="AG152" s="27">
        <f>IF($B152&lt;&gt;"Entry","",IF(OR(AD152=0,AB152="",AQ152="",AQ152&lt;=0),0,IF(AQ152&lt;=DATE(YEAR(AB152),MONTH(AB152)+1,7),0,ROUND(AD152*0.015*((YEAR(AQ152)-YEAR(AB152))*12+(MONTH(AQ152)-MONTH(AB152))+1),0))))</f>
      </c>
      <c r="AH152" s="27">
        <f>IF($B152&lt;&gt;"Entry","",0)</f>
      </c>
      <c r="AI152" s="28"/>
      <c r="AJ152" s="28"/>
      <c r="AK152" s="32"/>
      <c r="AL152" s="28"/>
      <c r="AM152" s="28"/>
      <c r="AN152" s="27">
        <f>IF($B152&lt;&gt;"Challan","",SUMIF('Q1 Data'!$D$4:$D$207,D152,'Q1 Data'!$AD$4:$AD$207)+SUMIF('Q1 Data'!$D$4:$D$207,D152,'Q1 Data'!$AG$4:$AG$207)+SUMIF('Q1 Data'!$D$4:$D$207,D152,'Q1 Data'!$AE$4:$AE$207)+SUMIF('Q2 Data'!$D$4:$D$207,D152,'Q2 Data'!$AD$4:$AD$207)+SUMIF('Q2 Data'!$D$4:$D$207,D152,'Q2 Data'!$AG$4:$AG$207)+SUMIF('Q2 Data'!$D$4:$D$207,D152,'Q2 Data'!$AE$4:$AE$207)+SUMIF('Q3 Data'!$D$4:$D$207,D152,'Q3 Data'!$AD$4:$AD$207)+SUMIF('Q3 Data'!$D$4:$D$207,D152,'Q3 Data'!$AG$4:$AG$207)+SUMIF('Q3 Data'!$D$4:$D$207,D152,'Q3 Data'!$AE$4:$AE$207)+SUMIF('Q4 Data'!$D$4:$D$207,D152,'Q4 Data'!$AD$4:$AD$207)+SUMIF('Q4 Data'!$D$4:$D$207,D152,'Q4 Data'!$AG$4:$AG$207)+SUMIF('Q4 Data'!$D$4:$D$207,D152,'Q4 Data'!$AE$4:$AE$207))</f>
      </c>
      <c r="AO152" s="27">
        <f>IF($B152&lt;&gt;"Challan","",P152-N152)</f>
      </c>
      <c r="AP152" s="27">
        <f>IF($B152&lt;&gt;"Challan","",MAX(0,AO152-AN152))</f>
      </c>
      <c r="AQ152" s="33">
        <f>IF($B152&lt;&gt;"Entry","",SUMPRODUCT(('Q1 Data'!$D$4:$D$207=D152)*('Q1 Data'!$B$4:$B$207="Challan")*'Q1 Data'!$F$4:$F$207)+SUMPRODUCT(('Q2 Data'!$D$4:$D$207=D152)*('Q2 Data'!$B$4:$B$207="Challan")*'Q2 Data'!$F$4:$F$207)+SUMPRODUCT(('Q3 Data'!$D$4:$D$207=D152)*('Q3 Data'!$B$4:$B$207="Challan")*'Q3 Data'!$F$4:$F$207)+SUMPRODUCT(('Q4 Data'!$D$4:$D$207=D152)*('Q4 Data'!$B$4:$B$207="Challan")*'Q4 Data'!$F$4:$F$207))</f>
      </c>
      <c r="AR152" s="34">
        <f>IF(OR($B152&lt;&gt;"Entry",Z152=""),FALSE,AND((SUMPRODUCT(('Q1 Data'!$D$4:$D$207=D152)*('Q1 Data'!$B$4:$B$207="Challan")*('Q1 Data'!$H$4:$H$207&lt;&gt;""))+SUMPRODUCT(('Q2 Data'!$D$4:$D$207=D152)*('Q2 Data'!$B$4:$B$207="Challan")*('Q2 Data'!$H$4:$H$207&lt;&gt;""))+SUMPRODUCT(('Q3 Data'!$D$4:$D$207=D152)*('Q3 Data'!$B$4:$B$207="Challan")*('Q3 Data'!$H$4:$H$207&lt;&gt;""))+SUMPRODUCT(('Q4 Data'!$D$4:$D$207=D152)*('Q4 Data'!$B$4:$B$207="Challan")*('Q4 Data'!$H$4:$H$207&lt;&gt;"")))&gt;0,(SUMPRODUCT(('Q1 Data'!$D$4:$D$207=D152)*('Q1 Data'!$B$4:$B$207="Challan")*('Q1 Data'!$H$4:$H$207=Z152))+SUMPRODUCT(('Q2 Data'!$D$4:$D$207=D152)*('Q2 Data'!$B$4:$B$207="Challan")*('Q2 Data'!$H$4:$H$207=Z152))+SUMPRODUCT(('Q3 Data'!$D$4:$D$207=D152)*('Q3 Data'!$B$4:$B$207="Challan")*('Q3 Data'!$H$4:$H$207=Z152))+SUMPRODUCT(('Q4 Data'!$D$4:$D$207=D152)*('Q4 Data'!$B$4:$B$207="Challan")*('Q4 Data'!$H$4:$H$207=Z152)))=0))</f>
      </c>
    </row>
    <row r="153" spans="1:44" x14ac:dyDescent="0.25">
      <c r="A153" s="20">
        <f>IF($B153="Entry",COUNTIF($B$4:$B153,"Entry"),"")</f>
      </c>
      <c r="B153" s="21"/>
      <c r="C153" s="22"/>
      <c r="D153" s="22"/>
      <c r="E153" s="23">
        <f>IF($B153&lt;&gt;"Challan","",IF(ROUND(AN153-AO153,2)&gt;0,"Over-applied",IF(ROUND(AN153-AO153,2)=0,"Fully Utilised","Unconsumed")))</f>
      </c>
      <c r="F153" s="24"/>
      <c r="G153" s="25"/>
      <c r="H153" s="25"/>
      <c r="I153" s="26"/>
      <c r="J153" s="26"/>
      <c r="K153" s="26"/>
      <c r="L153" s="26"/>
      <c r="M153" s="26"/>
      <c r="N153" s="26"/>
      <c r="O153" s="26"/>
      <c r="P153" s="27">
        <f>IF($B153&lt;&gt;"Challan","",I153+J153+K153+L153+M153+N153)</f>
      </c>
      <c r="Q153" s="25"/>
      <c r="R153" s="25"/>
      <c r="S153" s="25"/>
      <c r="T153" s="25"/>
      <c r="U153" s="25"/>
      <c r="V153" s="28"/>
      <c r="W153" s="28"/>
      <c r="X153" s="23">
        <f>IF($B153="Entry",IF(AND(LEN(TRIM(UPPER(W153)))=10,CODE(MID(TRIM(UPPER(W153)),1,1))&gt;=65,CODE(MID(TRIM(UPPER(W153)),1,1))&lt;=90,CODE(MID(TRIM(UPPER(W153)),2,1))&gt;=65,CODE(MID(TRIM(UPPER(W153)),2,1))&lt;=90,CODE(MID(TRIM(UPPER(W153)),3,1))&gt;=65,CODE(MID(TRIM(UPPER(W153)),3,1))&lt;=90,CODE(MID(TRIM(UPPER(W153)),4,1))&gt;=65,CODE(MID(TRIM(UPPER(W153)),4,1))&lt;=90,CODE(MID(TRIM(UPPER(W153)),5,1))&gt;=65,CODE(MID(TRIM(UPPER(W153)),5,1))&lt;=90,CODE(MID(TRIM(UPPER(W153)),10,1))&gt;=65,CODE(MID(TRIM(UPPER(W153)),10,1))&lt;=90,CODE(MID(TRIM(UPPER(W153)),6,1))&gt;=48,CODE(MID(TRIM(UPPER(W153)),6,1))&lt;=57,CODE(MID(TRIM(UPPER(W153)),7,1))&gt;=48,CODE(MID(TRIM(UPPER(W153)),7,1))&lt;=57,CODE(MID(TRIM(UPPER(W153)),8,1))&gt;=48,CODE(MID(TRIM(UPPER(W153)),8,1))&lt;=57,CODE(MID(TRIM(UPPER(W153)),9,1))&gt;=48,CODE(MID(TRIM(UPPER(W153)),9,1))&lt;=57),"N","Y"),IF($B153="Challan","",IF(W153&lt;&gt;"","◄ Set Row Type","")))</f>
      </c>
      <c r="Y153" s="23">
        <f>IF($B153="Entry",IF(LEN(W153)&lt;4,"",IF(UPPER(MID(W153,4,1))="P","Individual",IF(UPPER(MID(W153,4,1))="H","HUF",IF(UPPER(MID(W153,4,1))="C","Company",IF(UPPER(MID(W153,4,1))="F","Firm",IF(UPPER(MID(W153,4,1))="L","LLP",IF(UPPER(MID(W153,4,1))="T","Trust",IF(UPPER(MID(W153,4,1))="A","AOP","")))))))),IF($B153="Challan","",IF(W153&lt;&gt;"","◄ Set Row Type","")))</f>
      </c>
      <c r="Z153" s="28"/>
      <c r="AA153" s="29">
        <f>IF($B153&lt;&gt;"Entry","",IF(Z153="","",IF(X153="Y",SUMPRODUCT(('Rate Lookup'!$A$1:$A$37=Z153)*'Rate Lookup'!$D$1:$D$37),IF(OR(Y153="Individual",Y153="HUF"),SUMPRODUCT(('Rate Lookup'!$A$1:$A$37=Z153)*'Rate Lookup'!$B$1:$B$37),SUMPRODUCT(('Rate Lookup'!$A$1:$A$37=Z153)*'Rate Lookup'!$C$1:$C$37)))))</f>
      </c>
      <c r="AB153" s="30"/>
      <c r="AC153" s="31"/>
      <c r="AD153" s="27">
        <f>IF($B153&lt;&gt;"Entry","",ROUND(AC153*AA153/100,0))</f>
      </c>
      <c r="AE153" s="27">
        <f>IF($B153&lt;&gt;"Entry","",0)</f>
      </c>
      <c r="AF153" s="27">
        <f>IF($B153&lt;&gt;"Entry","",0)</f>
      </c>
      <c r="AG153" s="27">
        <f>IF($B153&lt;&gt;"Entry","",IF(OR(AD153=0,AB153="",AQ153="",AQ153&lt;=0),0,IF(AQ153&lt;=DATE(YEAR(AB153),MONTH(AB153)+1,7),0,ROUND(AD153*0.015*((YEAR(AQ153)-YEAR(AB153))*12+(MONTH(AQ153)-MONTH(AB153))+1),0))))</f>
      </c>
      <c r="AH153" s="27">
        <f>IF($B153&lt;&gt;"Entry","",0)</f>
      </c>
      <c r="AI153" s="28"/>
      <c r="AJ153" s="28"/>
      <c r="AK153" s="32"/>
      <c r="AL153" s="28"/>
      <c r="AM153" s="28"/>
      <c r="AN153" s="27">
        <f>IF($B153&lt;&gt;"Challan","",SUMIF('Q1 Data'!$D$4:$D$207,D153,'Q1 Data'!$AD$4:$AD$207)+SUMIF('Q1 Data'!$D$4:$D$207,D153,'Q1 Data'!$AG$4:$AG$207)+SUMIF('Q1 Data'!$D$4:$D$207,D153,'Q1 Data'!$AE$4:$AE$207)+SUMIF('Q2 Data'!$D$4:$D$207,D153,'Q2 Data'!$AD$4:$AD$207)+SUMIF('Q2 Data'!$D$4:$D$207,D153,'Q2 Data'!$AG$4:$AG$207)+SUMIF('Q2 Data'!$D$4:$D$207,D153,'Q2 Data'!$AE$4:$AE$207)+SUMIF('Q3 Data'!$D$4:$D$207,D153,'Q3 Data'!$AD$4:$AD$207)+SUMIF('Q3 Data'!$D$4:$D$207,D153,'Q3 Data'!$AG$4:$AG$207)+SUMIF('Q3 Data'!$D$4:$D$207,D153,'Q3 Data'!$AE$4:$AE$207)+SUMIF('Q4 Data'!$D$4:$D$207,D153,'Q4 Data'!$AD$4:$AD$207)+SUMIF('Q4 Data'!$D$4:$D$207,D153,'Q4 Data'!$AG$4:$AG$207)+SUMIF('Q4 Data'!$D$4:$D$207,D153,'Q4 Data'!$AE$4:$AE$207))</f>
      </c>
      <c r="AO153" s="27">
        <f>IF($B153&lt;&gt;"Challan","",P153-N153)</f>
      </c>
      <c r="AP153" s="27">
        <f>IF($B153&lt;&gt;"Challan","",MAX(0,AO153-AN153))</f>
      </c>
      <c r="AQ153" s="33">
        <f>IF($B153&lt;&gt;"Entry","",SUMPRODUCT(('Q1 Data'!$D$4:$D$207=D153)*('Q1 Data'!$B$4:$B$207="Challan")*'Q1 Data'!$F$4:$F$207)+SUMPRODUCT(('Q2 Data'!$D$4:$D$207=D153)*('Q2 Data'!$B$4:$B$207="Challan")*'Q2 Data'!$F$4:$F$207)+SUMPRODUCT(('Q3 Data'!$D$4:$D$207=D153)*('Q3 Data'!$B$4:$B$207="Challan")*'Q3 Data'!$F$4:$F$207)+SUMPRODUCT(('Q4 Data'!$D$4:$D$207=D153)*('Q4 Data'!$B$4:$B$207="Challan")*'Q4 Data'!$F$4:$F$207))</f>
      </c>
      <c r="AR153" s="34">
        <f>IF(OR($B153&lt;&gt;"Entry",Z153=""),FALSE,AND((SUMPRODUCT(('Q1 Data'!$D$4:$D$207=D153)*('Q1 Data'!$B$4:$B$207="Challan")*('Q1 Data'!$H$4:$H$207&lt;&gt;""))+SUMPRODUCT(('Q2 Data'!$D$4:$D$207=D153)*('Q2 Data'!$B$4:$B$207="Challan")*('Q2 Data'!$H$4:$H$207&lt;&gt;""))+SUMPRODUCT(('Q3 Data'!$D$4:$D$207=D153)*('Q3 Data'!$B$4:$B$207="Challan")*('Q3 Data'!$H$4:$H$207&lt;&gt;""))+SUMPRODUCT(('Q4 Data'!$D$4:$D$207=D153)*('Q4 Data'!$B$4:$B$207="Challan")*('Q4 Data'!$H$4:$H$207&lt;&gt;"")))&gt;0,(SUMPRODUCT(('Q1 Data'!$D$4:$D$207=D153)*('Q1 Data'!$B$4:$B$207="Challan")*('Q1 Data'!$H$4:$H$207=Z153))+SUMPRODUCT(('Q2 Data'!$D$4:$D$207=D153)*('Q2 Data'!$B$4:$B$207="Challan")*('Q2 Data'!$H$4:$H$207=Z153))+SUMPRODUCT(('Q3 Data'!$D$4:$D$207=D153)*('Q3 Data'!$B$4:$B$207="Challan")*('Q3 Data'!$H$4:$H$207=Z153))+SUMPRODUCT(('Q4 Data'!$D$4:$D$207=D153)*('Q4 Data'!$B$4:$B$207="Challan")*('Q4 Data'!$H$4:$H$207=Z153)))=0))</f>
      </c>
    </row>
    <row r="154" spans="1:44" x14ac:dyDescent="0.25">
      <c r="A154" s="20">
        <f>IF($B154="Entry",COUNTIF($B$4:$B154,"Entry"),"")</f>
      </c>
      <c r="B154" s="21"/>
      <c r="C154" s="22"/>
      <c r="D154" s="22"/>
      <c r="E154" s="23">
        <f>IF($B154&lt;&gt;"Challan","",IF(ROUND(AN154-AO154,2)&gt;0,"Over-applied",IF(ROUND(AN154-AO154,2)=0,"Fully Utilised","Unconsumed")))</f>
      </c>
      <c r="F154" s="24"/>
      <c r="G154" s="25"/>
      <c r="H154" s="25"/>
      <c r="I154" s="26"/>
      <c r="J154" s="26"/>
      <c r="K154" s="26"/>
      <c r="L154" s="26"/>
      <c r="M154" s="26"/>
      <c r="N154" s="26"/>
      <c r="O154" s="26"/>
      <c r="P154" s="27">
        <f>IF($B154&lt;&gt;"Challan","",I154+J154+K154+L154+M154+N154)</f>
      </c>
      <c r="Q154" s="25"/>
      <c r="R154" s="25"/>
      <c r="S154" s="25"/>
      <c r="T154" s="25"/>
      <c r="U154" s="25"/>
      <c r="V154" s="28"/>
      <c r="W154" s="28"/>
      <c r="X154" s="23">
        <f>IF($B154="Entry",IF(AND(LEN(TRIM(UPPER(W154)))=10,CODE(MID(TRIM(UPPER(W154)),1,1))&gt;=65,CODE(MID(TRIM(UPPER(W154)),1,1))&lt;=90,CODE(MID(TRIM(UPPER(W154)),2,1))&gt;=65,CODE(MID(TRIM(UPPER(W154)),2,1))&lt;=90,CODE(MID(TRIM(UPPER(W154)),3,1))&gt;=65,CODE(MID(TRIM(UPPER(W154)),3,1))&lt;=90,CODE(MID(TRIM(UPPER(W154)),4,1))&gt;=65,CODE(MID(TRIM(UPPER(W154)),4,1))&lt;=90,CODE(MID(TRIM(UPPER(W154)),5,1))&gt;=65,CODE(MID(TRIM(UPPER(W154)),5,1))&lt;=90,CODE(MID(TRIM(UPPER(W154)),10,1))&gt;=65,CODE(MID(TRIM(UPPER(W154)),10,1))&lt;=90,CODE(MID(TRIM(UPPER(W154)),6,1))&gt;=48,CODE(MID(TRIM(UPPER(W154)),6,1))&lt;=57,CODE(MID(TRIM(UPPER(W154)),7,1))&gt;=48,CODE(MID(TRIM(UPPER(W154)),7,1))&lt;=57,CODE(MID(TRIM(UPPER(W154)),8,1))&gt;=48,CODE(MID(TRIM(UPPER(W154)),8,1))&lt;=57,CODE(MID(TRIM(UPPER(W154)),9,1))&gt;=48,CODE(MID(TRIM(UPPER(W154)),9,1))&lt;=57),"N","Y"),IF($B154="Challan","",IF(W154&lt;&gt;"","◄ Set Row Type","")))</f>
      </c>
      <c r="Y154" s="23">
        <f>IF($B154="Entry",IF(LEN(W154)&lt;4,"",IF(UPPER(MID(W154,4,1))="P","Individual",IF(UPPER(MID(W154,4,1))="H","HUF",IF(UPPER(MID(W154,4,1))="C","Company",IF(UPPER(MID(W154,4,1))="F","Firm",IF(UPPER(MID(W154,4,1))="L","LLP",IF(UPPER(MID(W154,4,1))="T","Trust",IF(UPPER(MID(W154,4,1))="A","AOP","")))))))),IF($B154="Challan","",IF(W154&lt;&gt;"","◄ Set Row Type","")))</f>
      </c>
      <c r="Z154" s="28"/>
      <c r="AA154" s="29">
        <f>IF($B154&lt;&gt;"Entry","",IF(Z154="","",IF(X154="Y",SUMPRODUCT(('Rate Lookup'!$A$1:$A$37=Z154)*'Rate Lookup'!$D$1:$D$37),IF(OR(Y154="Individual",Y154="HUF"),SUMPRODUCT(('Rate Lookup'!$A$1:$A$37=Z154)*'Rate Lookup'!$B$1:$B$37),SUMPRODUCT(('Rate Lookup'!$A$1:$A$37=Z154)*'Rate Lookup'!$C$1:$C$37)))))</f>
      </c>
      <c r="AB154" s="30"/>
      <c r="AC154" s="31"/>
      <c r="AD154" s="27">
        <f>IF($B154&lt;&gt;"Entry","",ROUND(AC154*AA154/100,0))</f>
      </c>
      <c r="AE154" s="27">
        <f>IF($B154&lt;&gt;"Entry","",0)</f>
      </c>
      <c r="AF154" s="27">
        <f>IF($B154&lt;&gt;"Entry","",0)</f>
      </c>
      <c r="AG154" s="27">
        <f>IF($B154&lt;&gt;"Entry","",IF(OR(AD154=0,AB154="",AQ154="",AQ154&lt;=0),0,IF(AQ154&lt;=DATE(YEAR(AB154),MONTH(AB154)+1,7),0,ROUND(AD154*0.015*((YEAR(AQ154)-YEAR(AB154))*12+(MONTH(AQ154)-MONTH(AB154))+1),0))))</f>
      </c>
      <c r="AH154" s="27">
        <f>IF($B154&lt;&gt;"Entry","",0)</f>
      </c>
      <c r="AI154" s="28"/>
      <c r="AJ154" s="28"/>
      <c r="AK154" s="32"/>
      <c r="AL154" s="28"/>
      <c r="AM154" s="28"/>
      <c r="AN154" s="27">
        <f>IF($B154&lt;&gt;"Challan","",SUMIF('Q1 Data'!$D$4:$D$207,D154,'Q1 Data'!$AD$4:$AD$207)+SUMIF('Q1 Data'!$D$4:$D$207,D154,'Q1 Data'!$AG$4:$AG$207)+SUMIF('Q1 Data'!$D$4:$D$207,D154,'Q1 Data'!$AE$4:$AE$207)+SUMIF('Q2 Data'!$D$4:$D$207,D154,'Q2 Data'!$AD$4:$AD$207)+SUMIF('Q2 Data'!$D$4:$D$207,D154,'Q2 Data'!$AG$4:$AG$207)+SUMIF('Q2 Data'!$D$4:$D$207,D154,'Q2 Data'!$AE$4:$AE$207)+SUMIF('Q3 Data'!$D$4:$D$207,D154,'Q3 Data'!$AD$4:$AD$207)+SUMIF('Q3 Data'!$D$4:$D$207,D154,'Q3 Data'!$AG$4:$AG$207)+SUMIF('Q3 Data'!$D$4:$D$207,D154,'Q3 Data'!$AE$4:$AE$207)+SUMIF('Q4 Data'!$D$4:$D$207,D154,'Q4 Data'!$AD$4:$AD$207)+SUMIF('Q4 Data'!$D$4:$D$207,D154,'Q4 Data'!$AG$4:$AG$207)+SUMIF('Q4 Data'!$D$4:$D$207,D154,'Q4 Data'!$AE$4:$AE$207))</f>
      </c>
      <c r="AO154" s="27">
        <f>IF($B154&lt;&gt;"Challan","",P154-N154)</f>
      </c>
      <c r="AP154" s="27">
        <f>IF($B154&lt;&gt;"Challan","",MAX(0,AO154-AN154))</f>
      </c>
      <c r="AQ154" s="33">
        <f>IF($B154&lt;&gt;"Entry","",SUMPRODUCT(('Q1 Data'!$D$4:$D$207=D154)*('Q1 Data'!$B$4:$B$207="Challan")*'Q1 Data'!$F$4:$F$207)+SUMPRODUCT(('Q2 Data'!$D$4:$D$207=D154)*('Q2 Data'!$B$4:$B$207="Challan")*'Q2 Data'!$F$4:$F$207)+SUMPRODUCT(('Q3 Data'!$D$4:$D$207=D154)*('Q3 Data'!$B$4:$B$207="Challan")*'Q3 Data'!$F$4:$F$207)+SUMPRODUCT(('Q4 Data'!$D$4:$D$207=D154)*('Q4 Data'!$B$4:$B$207="Challan")*'Q4 Data'!$F$4:$F$207))</f>
      </c>
      <c r="AR154" s="34">
        <f>IF(OR($B154&lt;&gt;"Entry",Z154=""),FALSE,AND((SUMPRODUCT(('Q1 Data'!$D$4:$D$207=D154)*('Q1 Data'!$B$4:$B$207="Challan")*('Q1 Data'!$H$4:$H$207&lt;&gt;""))+SUMPRODUCT(('Q2 Data'!$D$4:$D$207=D154)*('Q2 Data'!$B$4:$B$207="Challan")*('Q2 Data'!$H$4:$H$207&lt;&gt;""))+SUMPRODUCT(('Q3 Data'!$D$4:$D$207=D154)*('Q3 Data'!$B$4:$B$207="Challan")*('Q3 Data'!$H$4:$H$207&lt;&gt;""))+SUMPRODUCT(('Q4 Data'!$D$4:$D$207=D154)*('Q4 Data'!$B$4:$B$207="Challan")*('Q4 Data'!$H$4:$H$207&lt;&gt;"")))&gt;0,(SUMPRODUCT(('Q1 Data'!$D$4:$D$207=D154)*('Q1 Data'!$B$4:$B$207="Challan")*('Q1 Data'!$H$4:$H$207=Z154))+SUMPRODUCT(('Q2 Data'!$D$4:$D$207=D154)*('Q2 Data'!$B$4:$B$207="Challan")*('Q2 Data'!$H$4:$H$207=Z154))+SUMPRODUCT(('Q3 Data'!$D$4:$D$207=D154)*('Q3 Data'!$B$4:$B$207="Challan")*('Q3 Data'!$H$4:$H$207=Z154))+SUMPRODUCT(('Q4 Data'!$D$4:$D$207=D154)*('Q4 Data'!$B$4:$B$207="Challan")*('Q4 Data'!$H$4:$H$207=Z154)))=0))</f>
      </c>
    </row>
    <row r="155" spans="1:44" x14ac:dyDescent="0.25">
      <c r="A155" s="20">
        <f>IF($B155="Entry",COUNTIF($B$4:$B155,"Entry"),"")</f>
      </c>
      <c r="B155" s="21"/>
      <c r="C155" s="22"/>
      <c r="D155" s="22"/>
      <c r="E155" s="23">
        <f>IF($B155&lt;&gt;"Challan","",IF(ROUND(AN155-AO155,2)&gt;0,"Over-applied",IF(ROUND(AN155-AO155,2)=0,"Fully Utilised","Unconsumed")))</f>
      </c>
      <c r="F155" s="24"/>
      <c r="G155" s="25"/>
      <c r="H155" s="25"/>
      <c r="I155" s="26"/>
      <c r="J155" s="26"/>
      <c r="K155" s="26"/>
      <c r="L155" s="26"/>
      <c r="M155" s="26"/>
      <c r="N155" s="26"/>
      <c r="O155" s="26"/>
      <c r="P155" s="27">
        <f>IF($B155&lt;&gt;"Challan","",I155+J155+K155+L155+M155+N155)</f>
      </c>
      <c r="Q155" s="25"/>
      <c r="R155" s="25"/>
      <c r="S155" s="25"/>
      <c r="T155" s="25"/>
      <c r="U155" s="25"/>
      <c r="V155" s="28"/>
      <c r="W155" s="28"/>
      <c r="X155" s="23">
        <f>IF($B155="Entry",IF(AND(LEN(TRIM(UPPER(W155)))=10,CODE(MID(TRIM(UPPER(W155)),1,1))&gt;=65,CODE(MID(TRIM(UPPER(W155)),1,1))&lt;=90,CODE(MID(TRIM(UPPER(W155)),2,1))&gt;=65,CODE(MID(TRIM(UPPER(W155)),2,1))&lt;=90,CODE(MID(TRIM(UPPER(W155)),3,1))&gt;=65,CODE(MID(TRIM(UPPER(W155)),3,1))&lt;=90,CODE(MID(TRIM(UPPER(W155)),4,1))&gt;=65,CODE(MID(TRIM(UPPER(W155)),4,1))&lt;=90,CODE(MID(TRIM(UPPER(W155)),5,1))&gt;=65,CODE(MID(TRIM(UPPER(W155)),5,1))&lt;=90,CODE(MID(TRIM(UPPER(W155)),10,1))&gt;=65,CODE(MID(TRIM(UPPER(W155)),10,1))&lt;=90,CODE(MID(TRIM(UPPER(W155)),6,1))&gt;=48,CODE(MID(TRIM(UPPER(W155)),6,1))&lt;=57,CODE(MID(TRIM(UPPER(W155)),7,1))&gt;=48,CODE(MID(TRIM(UPPER(W155)),7,1))&lt;=57,CODE(MID(TRIM(UPPER(W155)),8,1))&gt;=48,CODE(MID(TRIM(UPPER(W155)),8,1))&lt;=57,CODE(MID(TRIM(UPPER(W155)),9,1))&gt;=48,CODE(MID(TRIM(UPPER(W155)),9,1))&lt;=57),"N","Y"),IF($B155="Challan","",IF(W155&lt;&gt;"","◄ Set Row Type","")))</f>
      </c>
      <c r="Y155" s="23">
        <f>IF($B155="Entry",IF(LEN(W155)&lt;4,"",IF(UPPER(MID(W155,4,1))="P","Individual",IF(UPPER(MID(W155,4,1))="H","HUF",IF(UPPER(MID(W155,4,1))="C","Company",IF(UPPER(MID(W155,4,1))="F","Firm",IF(UPPER(MID(W155,4,1))="L","LLP",IF(UPPER(MID(W155,4,1))="T","Trust",IF(UPPER(MID(W155,4,1))="A","AOP","")))))))),IF($B155="Challan","",IF(W155&lt;&gt;"","◄ Set Row Type","")))</f>
      </c>
      <c r="Z155" s="28"/>
      <c r="AA155" s="29">
        <f>IF($B155&lt;&gt;"Entry","",IF(Z155="","",IF(X155="Y",SUMPRODUCT(('Rate Lookup'!$A$1:$A$37=Z155)*'Rate Lookup'!$D$1:$D$37),IF(OR(Y155="Individual",Y155="HUF"),SUMPRODUCT(('Rate Lookup'!$A$1:$A$37=Z155)*'Rate Lookup'!$B$1:$B$37),SUMPRODUCT(('Rate Lookup'!$A$1:$A$37=Z155)*'Rate Lookup'!$C$1:$C$37)))))</f>
      </c>
      <c r="AB155" s="30"/>
      <c r="AC155" s="31"/>
      <c r="AD155" s="27">
        <f>IF($B155&lt;&gt;"Entry","",ROUND(AC155*AA155/100,0))</f>
      </c>
      <c r="AE155" s="27">
        <f>IF($B155&lt;&gt;"Entry","",0)</f>
      </c>
      <c r="AF155" s="27">
        <f>IF($B155&lt;&gt;"Entry","",0)</f>
      </c>
      <c r="AG155" s="27">
        <f>IF($B155&lt;&gt;"Entry","",IF(OR(AD155=0,AB155="",AQ155="",AQ155&lt;=0),0,IF(AQ155&lt;=DATE(YEAR(AB155),MONTH(AB155)+1,7),0,ROUND(AD155*0.015*((YEAR(AQ155)-YEAR(AB155))*12+(MONTH(AQ155)-MONTH(AB155))+1),0))))</f>
      </c>
      <c r="AH155" s="27">
        <f>IF($B155&lt;&gt;"Entry","",0)</f>
      </c>
      <c r="AI155" s="28"/>
      <c r="AJ155" s="28"/>
      <c r="AK155" s="32"/>
      <c r="AL155" s="28"/>
      <c r="AM155" s="28"/>
      <c r="AN155" s="27">
        <f>IF($B155&lt;&gt;"Challan","",SUMIF('Q1 Data'!$D$4:$D$207,D155,'Q1 Data'!$AD$4:$AD$207)+SUMIF('Q1 Data'!$D$4:$D$207,D155,'Q1 Data'!$AG$4:$AG$207)+SUMIF('Q1 Data'!$D$4:$D$207,D155,'Q1 Data'!$AE$4:$AE$207)+SUMIF('Q2 Data'!$D$4:$D$207,D155,'Q2 Data'!$AD$4:$AD$207)+SUMIF('Q2 Data'!$D$4:$D$207,D155,'Q2 Data'!$AG$4:$AG$207)+SUMIF('Q2 Data'!$D$4:$D$207,D155,'Q2 Data'!$AE$4:$AE$207)+SUMIF('Q3 Data'!$D$4:$D$207,D155,'Q3 Data'!$AD$4:$AD$207)+SUMIF('Q3 Data'!$D$4:$D$207,D155,'Q3 Data'!$AG$4:$AG$207)+SUMIF('Q3 Data'!$D$4:$D$207,D155,'Q3 Data'!$AE$4:$AE$207)+SUMIF('Q4 Data'!$D$4:$D$207,D155,'Q4 Data'!$AD$4:$AD$207)+SUMIF('Q4 Data'!$D$4:$D$207,D155,'Q4 Data'!$AG$4:$AG$207)+SUMIF('Q4 Data'!$D$4:$D$207,D155,'Q4 Data'!$AE$4:$AE$207))</f>
      </c>
      <c r="AO155" s="27">
        <f>IF($B155&lt;&gt;"Challan","",P155-N155)</f>
      </c>
      <c r="AP155" s="27">
        <f>IF($B155&lt;&gt;"Challan","",MAX(0,AO155-AN155))</f>
      </c>
      <c r="AQ155" s="33">
        <f>IF($B155&lt;&gt;"Entry","",SUMPRODUCT(('Q1 Data'!$D$4:$D$207=D155)*('Q1 Data'!$B$4:$B$207="Challan")*'Q1 Data'!$F$4:$F$207)+SUMPRODUCT(('Q2 Data'!$D$4:$D$207=D155)*('Q2 Data'!$B$4:$B$207="Challan")*'Q2 Data'!$F$4:$F$207)+SUMPRODUCT(('Q3 Data'!$D$4:$D$207=D155)*('Q3 Data'!$B$4:$B$207="Challan")*'Q3 Data'!$F$4:$F$207)+SUMPRODUCT(('Q4 Data'!$D$4:$D$207=D155)*('Q4 Data'!$B$4:$B$207="Challan")*'Q4 Data'!$F$4:$F$207))</f>
      </c>
      <c r="AR155" s="34">
        <f>IF(OR($B155&lt;&gt;"Entry",Z155=""),FALSE,AND((SUMPRODUCT(('Q1 Data'!$D$4:$D$207=D155)*('Q1 Data'!$B$4:$B$207="Challan")*('Q1 Data'!$H$4:$H$207&lt;&gt;""))+SUMPRODUCT(('Q2 Data'!$D$4:$D$207=D155)*('Q2 Data'!$B$4:$B$207="Challan")*('Q2 Data'!$H$4:$H$207&lt;&gt;""))+SUMPRODUCT(('Q3 Data'!$D$4:$D$207=D155)*('Q3 Data'!$B$4:$B$207="Challan")*('Q3 Data'!$H$4:$H$207&lt;&gt;""))+SUMPRODUCT(('Q4 Data'!$D$4:$D$207=D155)*('Q4 Data'!$B$4:$B$207="Challan")*('Q4 Data'!$H$4:$H$207&lt;&gt;"")))&gt;0,(SUMPRODUCT(('Q1 Data'!$D$4:$D$207=D155)*('Q1 Data'!$B$4:$B$207="Challan")*('Q1 Data'!$H$4:$H$207=Z155))+SUMPRODUCT(('Q2 Data'!$D$4:$D$207=D155)*('Q2 Data'!$B$4:$B$207="Challan")*('Q2 Data'!$H$4:$H$207=Z155))+SUMPRODUCT(('Q3 Data'!$D$4:$D$207=D155)*('Q3 Data'!$B$4:$B$207="Challan")*('Q3 Data'!$H$4:$H$207=Z155))+SUMPRODUCT(('Q4 Data'!$D$4:$D$207=D155)*('Q4 Data'!$B$4:$B$207="Challan")*('Q4 Data'!$H$4:$H$207=Z155)))=0))</f>
      </c>
    </row>
    <row r="156" spans="1:44" x14ac:dyDescent="0.25">
      <c r="A156" s="20">
        <f>IF($B156="Entry",COUNTIF($B$4:$B156,"Entry"),"")</f>
      </c>
      <c r="B156" s="21"/>
      <c r="C156" s="22"/>
      <c r="D156" s="22"/>
      <c r="E156" s="23">
        <f>IF($B156&lt;&gt;"Challan","",IF(ROUND(AN156-AO156,2)&gt;0,"Over-applied",IF(ROUND(AN156-AO156,2)=0,"Fully Utilised","Unconsumed")))</f>
      </c>
      <c r="F156" s="24"/>
      <c r="G156" s="25"/>
      <c r="H156" s="25"/>
      <c r="I156" s="26"/>
      <c r="J156" s="26"/>
      <c r="K156" s="26"/>
      <c r="L156" s="26"/>
      <c r="M156" s="26"/>
      <c r="N156" s="26"/>
      <c r="O156" s="26"/>
      <c r="P156" s="27">
        <f>IF($B156&lt;&gt;"Challan","",I156+J156+K156+L156+M156+N156)</f>
      </c>
      <c r="Q156" s="25"/>
      <c r="R156" s="25"/>
      <c r="S156" s="25"/>
      <c r="T156" s="25"/>
      <c r="U156" s="25"/>
      <c r="V156" s="28"/>
      <c r="W156" s="28"/>
      <c r="X156" s="23">
        <f>IF($B156="Entry",IF(AND(LEN(TRIM(UPPER(W156)))=10,CODE(MID(TRIM(UPPER(W156)),1,1))&gt;=65,CODE(MID(TRIM(UPPER(W156)),1,1))&lt;=90,CODE(MID(TRIM(UPPER(W156)),2,1))&gt;=65,CODE(MID(TRIM(UPPER(W156)),2,1))&lt;=90,CODE(MID(TRIM(UPPER(W156)),3,1))&gt;=65,CODE(MID(TRIM(UPPER(W156)),3,1))&lt;=90,CODE(MID(TRIM(UPPER(W156)),4,1))&gt;=65,CODE(MID(TRIM(UPPER(W156)),4,1))&lt;=90,CODE(MID(TRIM(UPPER(W156)),5,1))&gt;=65,CODE(MID(TRIM(UPPER(W156)),5,1))&lt;=90,CODE(MID(TRIM(UPPER(W156)),10,1))&gt;=65,CODE(MID(TRIM(UPPER(W156)),10,1))&lt;=90,CODE(MID(TRIM(UPPER(W156)),6,1))&gt;=48,CODE(MID(TRIM(UPPER(W156)),6,1))&lt;=57,CODE(MID(TRIM(UPPER(W156)),7,1))&gt;=48,CODE(MID(TRIM(UPPER(W156)),7,1))&lt;=57,CODE(MID(TRIM(UPPER(W156)),8,1))&gt;=48,CODE(MID(TRIM(UPPER(W156)),8,1))&lt;=57,CODE(MID(TRIM(UPPER(W156)),9,1))&gt;=48,CODE(MID(TRIM(UPPER(W156)),9,1))&lt;=57),"N","Y"),IF($B156="Challan","",IF(W156&lt;&gt;"","◄ Set Row Type","")))</f>
      </c>
      <c r="Y156" s="23">
        <f>IF($B156="Entry",IF(LEN(W156)&lt;4,"",IF(UPPER(MID(W156,4,1))="P","Individual",IF(UPPER(MID(W156,4,1))="H","HUF",IF(UPPER(MID(W156,4,1))="C","Company",IF(UPPER(MID(W156,4,1))="F","Firm",IF(UPPER(MID(W156,4,1))="L","LLP",IF(UPPER(MID(W156,4,1))="T","Trust",IF(UPPER(MID(W156,4,1))="A","AOP","")))))))),IF($B156="Challan","",IF(W156&lt;&gt;"","◄ Set Row Type","")))</f>
      </c>
      <c r="Z156" s="28"/>
      <c r="AA156" s="29">
        <f>IF($B156&lt;&gt;"Entry","",IF(Z156="","",IF(X156="Y",SUMPRODUCT(('Rate Lookup'!$A$1:$A$37=Z156)*'Rate Lookup'!$D$1:$D$37),IF(OR(Y156="Individual",Y156="HUF"),SUMPRODUCT(('Rate Lookup'!$A$1:$A$37=Z156)*'Rate Lookup'!$B$1:$B$37),SUMPRODUCT(('Rate Lookup'!$A$1:$A$37=Z156)*'Rate Lookup'!$C$1:$C$37)))))</f>
      </c>
      <c r="AB156" s="30"/>
      <c r="AC156" s="31"/>
      <c r="AD156" s="27">
        <f>IF($B156&lt;&gt;"Entry","",ROUND(AC156*AA156/100,0))</f>
      </c>
      <c r="AE156" s="27">
        <f>IF($B156&lt;&gt;"Entry","",0)</f>
      </c>
      <c r="AF156" s="27">
        <f>IF($B156&lt;&gt;"Entry","",0)</f>
      </c>
      <c r="AG156" s="27">
        <f>IF($B156&lt;&gt;"Entry","",IF(OR(AD156=0,AB156="",AQ156="",AQ156&lt;=0),0,IF(AQ156&lt;=DATE(YEAR(AB156),MONTH(AB156)+1,7),0,ROUND(AD156*0.015*((YEAR(AQ156)-YEAR(AB156))*12+(MONTH(AQ156)-MONTH(AB156))+1),0))))</f>
      </c>
      <c r="AH156" s="27">
        <f>IF($B156&lt;&gt;"Entry","",0)</f>
      </c>
      <c r="AI156" s="28"/>
      <c r="AJ156" s="28"/>
      <c r="AK156" s="32"/>
      <c r="AL156" s="28"/>
      <c r="AM156" s="28"/>
      <c r="AN156" s="27">
        <f>IF($B156&lt;&gt;"Challan","",SUMIF('Q1 Data'!$D$4:$D$207,D156,'Q1 Data'!$AD$4:$AD$207)+SUMIF('Q1 Data'!$D$4:$D$207,D156,'Q1 Data'!$AG$4:$AG$207)+SUMIF('Q1 Data'!$D$4:$D$207,D156,'Q1 Data'!$AE$4:$AE$207)+SUMIF('Q2 Data'!$D$4:$D$207,D156,'Q2 Data'!$AD$4:$AD$207)+SUMIF('Q2 Data'!$D$4:$D$207,D156,'Q2 Data'!$AG$4:$AG$207)+SUMIF('Q2 Data'!$D$4:$D$207,D156,'Q2 Data'!$AE$4:$AE$207)+SUMIF('Q3 Data'!$D$4:$D$207,D156,'Q3 Data'!$AD$4:$AD$207)+SUMIF('Q3 Data'!$D$4:$D$207,D156,'Q3 Data'!$AG$4:$AG$207)+SUMIF('Q3 Data'!$D$4:$D$207,D156,'Q3 Data'!$AE$4:$AE$207)+SUMIF('Q4 Data'!$D$4:$D$207,D156,'Q4 Data'!$AD$4:$AD$207)+SUMIF('Q4 Data'!$D$4:$D$207,D156,'Q4 Data'!$AG$4:$AG$207)+SUMIF('Q4 Data'!$D$4:$D$207,D156,'Q4 Data'!$AE$4:$AE$207))</f>
      </c>
      <c r="AO156" s="27">
        <f>IF($B156&lt;&gt;"Challan","",P156-N156)</f>
      </c>
      <c r="AP156" s="27">
        <f>IF($B156&lt;&gt;"Challan","",MAX(0,AO156-AN156))</f>
      </c>
      <c r="AQ156" s="33">
        <f>IF($B156&lt;&gt;"Entry","",SUMPRODUCT(('Q1 Data'!$D$4:$D$207=D156)*('Q1 Data'!$B$4:$B$207="Challan")*'Q1 Data'!$F$4:$F$207)+SUMPRODUCT(('Q2 Data'!$D$4:$D$207=D156)*('Q2 Data'!$B$4:$B$207="Challan")*'Q2 Data'!$F$4:$F$207)+SUMPRODUCT(('Q3 Data'!$D$4:$D$207=D156)*('Q3 Data'!$B$4:$B$207="Challan")*'Q3 Data'!$F$4:$F$207)+SUMPRODUCT(('Q4 Data'!$D$4:$D$207=D156)*('Q4 Data'!$B$4:$B$207="Challan")*'Q4 Data'!$F$4:$F$207))</f>
      </c>
      <c r="AR156" s="34">
        <f>IF(OR($B156&lt;&gt;"Entry",Z156=""),FALSE,AND((SUMPRODUCT(('Q1 Data'!$D$4:$D$207=D156)*('Q1 Data'!$B$4:$B$207="Challan")*('Q1 Data'!$H$4:$H$207&lt;&gt;""))+SUMPRODUCT(('Q2 Data'!$D$4:$D$207=D156)*('Q2 Data'!$B$4:$B$207="Challan")*('Q2 Data'!$H$4:$H$207&lt;&gt;""))+SUMPRODUCT(('Q3 Data'!$D$4:$D$207=D156)*('Q3 Data'!$B$4:$B$207="Challan")*('Q3 Data'!$H$4:$H$207&lt;&gt;""))+SUMPRODUCT(('Q4 Data'!$D$4:$D$207=D156)*('Q4 Data'!$B$4:$B$207="Challan")*('Q4 Data'!$H$4:$H$207&lt;&gt;"")))&gt;0,(SUMPRODUCT(('Q1 Data'!$D$4:$D$207=D156)*('Q1 Data'!$B$4:$B$207="Challan")*('Q1 Data'!$H$4:$H$207=Z156))+SUMPRODUCT(('Q2 Data'!$D$4:$D$207=D156)*('Q2 Data'!$B$4:$B$207="Challan")*('Q2 Data'!$H$4:$H$207=Z156))+SUMPRODUCT(('Q3 Data'!$D$4:$D$207=D156)*('Q3 Data'!$B$4:$B$207="Challan")*('Q3 Data'!$H$4:$H$207=Z156))+SUMPRODUCT(('Q4 Data'!$D$4:$D$207=D156)*('Q4 Data'!$B$4:$B$207="Challan")*('Q4 Data'!$H$4:$H$207=Z156)))=0))</f>
      </c>
    </row>
    <row r="157" spans="1:44" x14ac:dyDescent="0.25">
      <c r="A157" s="20">
        <f>IF($B157="Entry",COUNTIF($B$4:$B157,"Entry"),"")</f>
      </c>
      <c r="B157" s="21"/>
      <c r="C157" s="22"/>
      <c r="D157" s="22"/>
      <c r="E157" s="23">
        <f>IF($B157&lt;&gt;"Challan","",IF(ROUND(AN157-AO157,2)&gt;0,"Over-applied",IF(ROUND(AN157-AO157,2)=0,"Fully Utilised","Unconsumed")))</f>
      </c>
      <c r="F157" s="24"/>
      <c r="G157" s="25"/>
      <c r="H157" s="25"/>
      <c r="I157" s="26"/>
      <c r="J157" s="26"/>
      <c r="K157" s="26"/>
      <c r="L157" s="26"/>
      <c r="M157" s="26"/>
      <c r="N157" s="26"/>
      <c r="O157" s="26"/>
      <c r="P157" s="27">
        <f>IF($B157&lt;&gt;"Challan","",I157+J157+K157+L157+M157+N157)</f>
      </c>
      <c r="Q157" s="25"/>
      <c r="R157" s="25"/>
      <c r="S157" s="25"/>
      <c r="T157" s="25"/>
      <c r="U157" s="25"/>
      <c r="V157" s="28"/>
      <c r="W157" s="28"/>
      <c r="X157" s="23">
        <f>IF($B157="Entry",IF(AND(LEN(TRIM(UPPER(W157)))=10,CODE(MID(TRIM(UPPER(W157)),1,1))&gt;=65,CODE(MID(TRIM(UPPER(W157)),1,1))&lt;=90,CODE(MID(TRIM(UPPER(W157)),2,1))&gt;=65,CODE(MID(TRIM(UPPER(W157)),2,1))&lt;=90,CODE(MID(TRIM(UPPER(W157)),3,1))&gt;=65,CODE(MID(TRIM(UPPER(W157)),3,1))&lt;=90,CODE(MID(TRIM(UPPER(W157)),4,1))&gt;=65,CODE(MID(TRIM(UPPER(W157)),4,1))&lt;=90,CODE(MID(TRIM(UPPER(W157)),5,1))&gt;=65,CODE(MID(TRIM(UPPER(W157)),5,1))&lt;=90,CODE(MID(TRIM(UPPER(W157)),10,1))&gt;=65,CODE(MID(TRIM(UPPER(W157)),10,1))&lt;=90,CODE(MID(TRIM(UPPER(W157)),6,1))&gt;=48,CODE(MID(TRIM(UPPER(W157)),6,1))&lt;=57,CODE(MID(TRIM(UPPER(W157)),7,1))&gt;=48,CODE(MID(TRIM(UPPER(W157)),7,1))&lt;=57,CODE(MID(TRIM(UPPER(W157)),8,1))&gt;=48,CODE(MID(TRIM(UPPER(W157)),8,1))&lt;=57,CODE(MID(TRIM(UPPER(W157)),9,1))&gt;=48,CODE(MID(TRIM(UPPER(W157)),9,1))&lt;=57),"N","Y"),IF($B157="Challan","",IF(W157&lt;&gt;"","◄ Set Row Type","")))</f>
      </c>
      <c r="Y157" s="23">
        <f>IF($B157="Entry",IF(LEN(W157)&lt;4,"",IF(UPPER(MID(W157,4,1))="P","Individual",IF(UPPER(MID(W157,4,1))="H","HUF",IF(UPPER(MID(W157,4,1))="C","Company",IF(UPPER(MID(W157,4,1))="F","Firm",IF(UPPER(MID(W157,4,1))="L","LLP",IF(UPPER(MID(W157,4,1))="T","Trust",IF(UPPER(MID(W157,4,1))="A","AOP","")))))))),IF($B157="Challan","",IF(W157&lt;&gt;"","◄ Set Row Type","")))</f>
      </c>
      <c r="Z157" s="28"/>
      <c r="AA157" s="29">
        <f>IF($B157&lt;&gt;"Entry","",IF(Z157="","",IF(X157="Y",SUMPRODUCT(('Rate Lookup'!$A$1:$A$37=Z157)*'Rate Lookup'!$D$1:$D$37),IF(OR(Y157="Individual",Y157="HUF"),SUMPRODUCT(('Rate Lookup'!$A$1:$A$37=Z157)*'Rate Lookup'!$B$1:$B$37),SUMPRODUCT(('Rate Lookup'!$A$1:$A$37=Z157)*'Rate Lookup'!$C$1:$C$37)))))</f>
      </c>
      <c r="AB157" s="30"/>
      <c r="AC157" s="31"/>
      <c r="AD157" s="27">
        <f>IF($B157&lt;&gt;"Entry","",ROUND(AC157*AA157/100,0))</f>
      </c>
      <c r="AE157" s="27">
        <f>IF($B157&lt;&gt;"Entry","",0)</f>
      </c>
      <c r="AF157" s="27">
        <f>IF($B157&lt;&gt;"Entry","",0)</f>
      </c>
      <c r="AG157" s="27">
        <f>IF($B157&lt;&gt;"Entry","",IF(OR(AD157=0,AB157="",AQ157="",AQ157&lt;=0),0,IF(AQ157&lt;=DATE(YEAR(AB157),MONTH(AB157)+1,7),0,ROUND(AD157*0.015*((YEAR(AQ157)-YEAR(AB157))*12+(MONTH(AQ157)-MONTH(AB157))+1),0))))</f>
      </c>
      <c r="AH157" s="27">
        <f>IF($B157&lt;&gt;"Entry","",0)</f>
      </c>
      <c r="AI157" s="28"/>
      <c r="AJ157" s="28"/>
      <c r="AK157" s="32"/>
      <c r="AL157" s="28"/>
      <c r="AM157" s="28"/>
      <c r="AN157" s="27">
        <f>IF($B157&lt;&gt;"Challan","",SUMIF('Q1 Data'!$D$4:$D$207,D157,'Q1 Data'!$AD$4:$AD$207)+SUMIF('Q1 Data'!$D$4:$D$207,D157,'Q1 Data'!$AG$4:$AG$207)+SUMIF('Q1 Data'!$D$4:$D$207,D157,'Q1 Data'!$AE$4:$AE$207)+SUMIF('Q2 Data'!$D$4:$D$207,D157,'Q2 Data'!$AD$4:$AD$207)+SUMIF('Q2 Data'!$D$4:$D$207,D157,'Q2 Data'!$AG$4:$AG$207)+SUMIF('Q2 Data'!$D$4:$D$207,D157,'Q2 Data'!$AE$4:$AE$207)+SUMIF('Q3 Data'!$D$4:$D$207,D157,'Q3 Data'!$AD$4:$AD$207)+SUMIF('Q3 Data'!$D$4:$D$207,D157,'Q3 Data'!$AG$4:$AG$207)+SUMIF('Q3 Data'!$D$4:$D$207,D157,'Q3 Data'!$AE$4:$AE$207)+SUMIF('Q4 Data'!$D$4:$D$207,D157,'Q4 Data'!$AD$4:$AD$207)+SUMIF('Q4 Data'!$D$4:$D$207,D157,'Q4 Data'!$AG$4:$AG$207)+SUMIF('Q4 Data'!$D$4:$D$207,D157,'Q4 Data'!$AE$4:$AE$207))</f>
      </c>
      <c r="AO157" s="27">
        <f>IF($B157&lt;&gt;"Challan","",P157-N157)</f>
      </c>
      <c r="AP157" s="27">
        <f>IF($B157&lt;&gt;"Challan","",MAX(0,AO157-AN157))</f>
      </c>
      <c r="AQ157" s="33">
        <f>IF($B157&lt;&gt;"Entry","",SUMPRODUCT(('Q1 Data'!$D$4:$D$207=D157)*('Q1 Data'!$B$4:$B$207="Challan")*'Q1 Data'!$F$4:$F$207)+SUMPRODUCT(('Q2 Data'!$D$4:$D$207=D157)*('Q2 Data'!$B$4:$B$207="Challan")*'Q2 Data'!$F$4:$F$207)+SUMPRODUCT(('Q3 Data'!$D$4:$D$207=D157)*('Q3 Data'!$B$4:$B$207="Challan")*'Q3 Data'!$F$4:$F$207)+SUMPRODUCT(('Q4 Data'!$D$4:$D$207=D157)*('Q4 Data'!$B$4:$B$207="Challan")*'Q4 Data'!$F$4:$F$207))</f>
      </c>
      <c r="AR157" s="34">
        <f>IF(OR($B157&lt;&gt;"Entry",Z157=""),FALSE,AND((SUMPRODUCT(('Q1 Data'!$D$4:$D$207=D157)*('Q1 Data'!$B$4:$B$207="Challan")*('Q1 Data'!$H$4:$H$207&lt;&gt;""))+SUMPRODUCT(('Q2 Data'!$D$4:$D$207=D157)*('Q2 Data'!$B$4:$B$207="Challan")*('Q2 Data'!$H$4:$H$207&lt;&gt;""))+SUMPRODUCT(('Q3 Data'!$D$4:$D$207=D157)*('Q3 Data'!$B$4:$B$207="Challan")*('Q3 Data'!$H$4:$H$207&lt;&gt;""))+SUMPRODUCT(('Q4 Data'!$D$4:$D$207=D157)*('Q4 Data'!$B$4:$B$207="Challan")*('Q4 Data'!$H$4:$H$207&lt;&gt;"")))&gt;0,(SUMPRODUCT(('Q1 Data'!$D$4:$D$207=D157)*('Q1 Data'!$B$4:$B$207="Challan")*('Q1 Data'!$H$4:$H$207=Z157))+SUMPRODUCT(('Q2 Data'!$D$4:$D$207=D157)*('Q2 Data'!$B$4:$B$207="Challan")*('Q2 Data'!$H$4:$H$207=Z157))+SUMPRODUCT(('Q3 Data'!$D$4:$D$207=D157)*('Q3 Data'!$B$4:$B$207="Challan")*('Q3 Data'!$H$4:$H$207=Z157))+SUMPRODUCT(('Q4 Data'!$D$4:$D$207=D157)*('Q4 Data'!$B$4:$B$207="Challan")*('Q4 Data'!$H$4:$H$207=Z157)))=0))</f>
      </c>
    </row>
    <row r="158" spans="1:44" x14ac:dyDescent="0.25">
      <c r="A158" s="20">
        <f>IF($B158="Entry",COUNTIF($B$4:$B158,"Entry"),"")</f>
      </c>
      <c r="B158" s="21"/>
      <c r="C158" s="22"/>
      <c r="D158" s="22"/>
      <c r="E158" s="23">
        <f>IF($B158&lt;&gt;"Challan","",IF(ROUND(AN158-AO158,2)&gt;0,"Over-applied",IF(ROUND(AN158-AO158,2)=0,"Fully Utilised","Unconsumed")))</f>
      </c>
      <c r="F158" s="24"/>
      <c r="G158" s="25"/>
      <c r="H158" s="25"/>
      <c r="I158" s="26"/>
      <c r="J158" s="26"/>
      <c r="K158" s="26"/>
      <c r="L158" s="26"/>
      <c r="M158" s="26"/>
      <c r="N158" s="26"/>
      <c r="O158" s="26"/>
      <c r="P158" s="27">
        <f>IF($B158&lt;&gt;"Challan","",I158+J158+K158+L158+M158+N158)</f>
      </c>
      <c r="Q158" s="25"/>
      <c r="R158" s="25"/>
      <c r="S158" s="25"/>
      <c r="T158" s="25"/>
      <c r="U158" s="25"/>
      <c r="V158" s="28"/>
      <c r="W158" s="28"/>
      <c r="X158" s="23">
        <f>IF($B158="Entry",IF(AND(LEN(TRIM(UPPER(W158)))=10,CODE(MID(TRIM(UPPER(W158)),1,1))&gt;=65,CODE(MID(TRIM(UPPER(W158)),1,1))&lt;=90,CODE(MID(TRIM(UPPER(W158)),2,1))&gt;=65,CODE(MID(TRIM(UPPER(W158)),2,1))&lt;=90,CODE(MID(TRIM(UPPER(W158)),3,1))&gt;=65,CODE(MID(TRIM(UPPER(W158)),3,1))&lt;=90,CODE(MID(TRIM(UPPER(W158)),4,1))&gt;=65,CODE(MID(TRIM(UPPER(W158)),4,1))&lt;=90,CODE(MID(TRIM(UPPER(W158)),5,1))&gt;=65,CODE(MID(TRIM(UPPER(W158)),5,1))&lt;=90,CODE(MID(TRIM(UPPER(W158)),10,1))&gt;=65,CODE(MID(TRIM(UPPER(W158)),10,1))&lt;=90,CODE(MID(TRIM(UPPER(W158)),6,1))&gt;=48,CODE(MID(TRIM(UPPER(W158)),6,1))&lt;=57,CODE(MID(TRIM(UPPER(W158)),7,1))&gt;=48,CODE(MID(TRIM(UPPER(W158)),7,1))&lt;=57,CODE(MID(TRIM(UPPER(W158)),8,1))&gt;=48,CODE(MID(TRIM(UPPER(W158)),8,1))&lt;=57,CODE(MID(TRIM(UPPER(W158)),9,1))&gt;=48,CODE(MID(TRIM(UPPER(W158)),9,1))&lt;=57),"N","Y"),IF($B158="Challan","",IF(W158&lt;&gt;"","◄ Set Row Type","")))</f>
      </c>
      <c r="Y158" s="23">
        <f>IF($B158="Entry",IF(LEN(W158)&lt;4,"",IF(UPPER(MID(W158,4,1))="P","Individual",IF(UPPER(MID(W158,4,1))="H","HUF",IF(UPPER(MID(W158,4,1))="C","Company",IF(UPPER(MID(W158,4,1))="F","Firm",IF(UPPER(MID(W158,4,1))="L","LLP",IF(UPPER(MID(W158,4,1))="T","Trust",IF(UPPER(MID(W158,4,1))="A","AOP","")))))))),IF($B158="Challan","",IF(W158&lt;&gt;"","◄ Set Row Type","")))</f>
      </c>
      <c r="Z158" s="28"/>
      <c r="AA158" s="29">
        <f>IF($B158&lt;&gt;"Entry","",IF(Z158="","",IF(X158="Y",SUMPRODUCT(('Rate Lookup'!$A$1:$A$37=Z158)*'Rate Lookup'!$D$1:$D$37),IF(OR(Y158="Individual",Y158="HUF"),SUMPRODUCT(('Rate Lookup'!$A$1:$A$37=Z158)*'Rate Lookup'!$B$1:$B$37),SUMPRODUCT(('Rate Lookup'!$A$1:$A$37=Z158)*'Rate Lookup'!$C$1:$C$37)))))</f>
      </c>
      <c r="AB158" s="30"/>
      <c r="AC158" s="31"/>
      <c r="AD158" s="27">
        <f>IF($B158&lt;&gt;"Entry","",ROUND(AC158*AA158/100,0))</f>
      </c>
      <c r="AE158" s="27">
        <f>IF($B158&lt;&gt;"Entry","",0)</f>
      </c>
      <c r="AF158" s="27">
        <f>IF($B158&lt;&gt;"Entry","",0)</f>
      </c>
      <c r="AG158" s="27">
        <f>IF($B158&lt;&gt;"Entry","",IF(OR(AD158=0,AB158="",AQ158="",AQ158&lt;=0),0,IF(AQ158&lt;=DATE(YEAR(AB158),MONTH(AB158)+1,7),0,ROUND(AD158*0.015*((YEAR(AQ158)-YEAR(AB158))*12+(MONTH(AQ158)-MONTH(AB158))+1),0))))</f>
      </c>
      <c r="AH158" s="27">
        <f>IF($B158&lt;&gt;"Entry","",0)</f>
      </c>
      <c r="AI158" s="28"/>
      <c r="AJ158" s="28"/>
      <c r="AK158" s="32"/>
      <c r="AL158" s="28"/>
      <c r="AM158" s="28"/>
      <c r="AN158" s="27">
        <f>IF($B158&lt;&gt;"Challan","",SUMIF('Q1 Data'!$D$4:$D$207,D158,'Q1 Data'!$AD$4:$AD$207)+SUMIF('Q1 Data'!$D$4:$D$207,D158,'Q1 Data'!$AG$4:$AG$207)+SUMIF('Q1 Data'!$D$4:$D$207,D158,'Q1 Data'!$AE$4:$AE$207)+SUMIF('Q2 Data'!$D$4:$D$207,D158,'Q2 Data'!$AD$4:$AD$207)+SUMIF('Q2 Data'!$D$4:$D$207,D158,'Q2 Data'!$AG$4:$AG$207)+SUMIF('Q2 Data'!$D$4:$D$207,D158,'Q2 Data'!$AE$4:$AE$207)+SUMIF('Q3 Data'!$D$4:$D$207,D158,'Q3 Data'!$AD$4:$AD$207)+SUMIF('Q3 Data'!$D$4:$D$207,D158,'Q3 Data'!$AG$4:$AG$207)+SUMIF('Q3 Data'!$D$4:$D$207,D158,'Q3 Data'!$AE$4:$AE$207)+SUMIF('Q4 Data'!$D$4:$D$207,D158,'Q4 Data'!$AD$4:$AD$207)+SUMIF('Q4 Data'!$D$4:$D$207,D158,'Q4 Data'!$AG$4:$AG$207)+SUMIF('Q4 Data'!$D$4:$D$207,D158,'Q4 Data'!$AE$4:$AE$207))</f>
      </c>
      <c r="AO158" s="27">
        <f>IF($B158&lt;&gt;"Challan","",P158-N158)</f>
      </c>
      <c r="AP158" s="27">
        <f>IF($B158&lt;&gt;"Challan","",MAX(0,AO158-AN158))</f>
      </c>
      <c r="AQ158" s="33">
        <f>IF($B158&lt;&gt;"Entry","",SUMPRODUCT(('Q1 Data'!$D$4:$D$207=D158)*('Q1 Data'!$B$4:$B$207="Challan")*'Q1 Data'!$F$4:$F$207)+SUMPRODUCT(('Q2 Data'!$D$4:$D$207=D158)*('Q2 Data'!$B$4:$B$207="Challan")*'Q2 Data'!$F$4:$F$207)+SUMPRODUCT(('Q3 Data'!$D$4:$D$207=D158)*('Q3 Data'!$B$4:$B$207="Challan")*'Q3 Data'!$F$4:$F$207)+SUMPRODUCT(('Q4 Data'!$D$4:$D$207=D158)*('Q4 Data'!$B$4:$B$207="Challan")*'Q4 Data'!$F$4:$F$207))</f>
      </c>
      <c r="AR158" s="34">
        <f>IF(OR($B158&lt;&gt;"Entry",Z158=""),FALSE,AND((SUMPRODUCT(('Q1 Data'!$D$4:$D$207=D158)*('Q1 Data'!$B$4:$B$207="Challan")*('Q1 Data'!$H$4:$H$207&lt;&gt;""))+SUMPRODUCT(('Q2 Data'!$D$4:$D$207=D158)*('Q2 Data'!$B$4:$B$207="Challan")*('Q2 Data'!$H$4:$H$207&lt;&gt;""))+SUMPRODUCT(('Q3 Data'!$D$4:$D$207=D158)*('Q3 Data'!$B$4:$B$207="Challan")*('Q3 Data'!$H$4:$H$207&lt;&gt;""))+SUMPRODUCT(('Q4 Data'!$D$4:$D$207=D158)*('Q4 Data'!$B$4:$B$207="Challan")*('Q4 Data'!$H$4:$H$207&lt;&gt;"")))&gt;0,(SUMPRODUCT(('Q1 Data'!$D$4:$D$207=D158)*('Q1 Data'!$B$4:$B$207="Challan")*('Q1 Data'!$H$4:$H$207=Z158))+SUMPRODUCT(('Q2 Data'!$D$4:$D$207=D158)*('Q2 Data'!$B$4:$B$207="Challan")*('Q2 Data'!$H$4:$H$207=Z158))+SUMPRODUCT(('Q3 Data'!$D$4:$D$207=D158)*('Q3 Data'!$B$4:$B$207="Challan")*('Q3 Data'!$H$4:$H$207=Z158))+SUMPRODUCT(('Q4 Data'!$D$4:$D$207=D158)*('Q4 Data'!$B$4:$B$207="Challan")*('Q4 Data'!$H$4:$H$207=Z158)))=0))</f>
      </c>
    </row>
    <row r="159" spans="1:44" x14ac:dyDescent="0.25">
      <c r="A159" s="20">
        <f>IF($B159="Entry",COUNTIF($B$4:$B159,"Entry"),"")</f>
      </c>
      <c r="B159" s="21"/>
      <c r="C159" s="22"/>
      <c r="D159" s="22"/>
      <c r="E159" s="23">
        <f>IF($B159&lt;&gt;"Challan","",IF(ROUND(AN159-AO159,2)&gt;0,"Over-applied",IF(ROUND(AN159-AO159,2)=0,"Fully Utilised","Unconsumed")))</f>
      </c>
      <c r="F159" s="24"/>
      <c r="G159" s="25"/>
      <c r="H159" s="25"/>
      <c r="I159" s="26"/>
      <c r="J159" s="26"/>
      <c r="K159" s="26"/>
      <c r="L159" s="26"/>
      <c r="M159" s="26"/>
      <c r="N159" s="26"/>
      <c r="O159" s="26"/>
      <c r="P159" s="27">
        <f>IF($B159&lt;&gt;"Challan","",I159+J159+K159+L159+M159+N159)</f>
      </c>
      <c r="Q159" s="25"/>
      <c r="R159" s="25"/>
      <c r="S159" s="25"/>
      <c r="T159" s="25"/>
      <c r="U159" s="25"/>
      <c r="V159" s="28"/>
      <c r="W159" s="28"/>
      <c r="X159" s="23">
        <f>IF($B159="Entry",IF(AND(LEN(TRIM(UPPER(W159)))=10,CODE(MID(TRIM(UPPER(W159)),1,1))&gt;=65,CODE(MID(TRIM(UPPER(W159)),1,1))&lt;=90,CODE(MID(TRIM(UPPER(W159)),2,1))&gt;=65,CODE(MID(TRIM(UPPER(W159)),2,1))&lt;=90,CODE(MID(TRIM(UPPER(W159)),3,1))&gt;=65,CODE(MID(TRIM(UPPER(W159)),3,1))&lt;=90,CODE(MID(TRIM(UPPER(W159)),4,1))&gt;=65,CODE(MID(TRIM(UPPER(W159)),4,1))&lt;=90,CODE(MID(TRIM(UPPER(W159)),5,1))&gt;=65,CODE(MID(TRIM(UPPER(W159)),5,1))&lt;=90,CODE(MID(TRIM(UPPER(W159)),10,1))&gt;=65,CODE(MID(TRIM(UPPER(W159)),10,1))&lt;=90,CODE(MID(TRIM(UPPER(W159)),6,1))&gt;=48,CODE(MID(TRIM(UPPER(W159)),6,1))&lt;=57,CODE(MID(TRIM(UPPER(W159)),7,1))&gt;=48,CODE(MID(TRIM(UPPER(W159)),7,1))&lt;=57,CODE(MID(TRIM(UPPER(W159)),8,1))&gt;=48,CODE(MID(TRIM(UPPER(W159)),8,1))&lt;=57,CODE(MID(TRIM(UPPER(W159)),9,1))&gt;=48,CODE(MID(TRIM(UPPER(W159)),9,1))&lt;=57),"N","Y"),IF($B159="Challan","",IF(W159&lt;&gt;"","◄ Set Row Type","")))</f>
      </c>
      <c r="Y159" s="23">
        <f>IF($B159="Entry",IF(LEN(W159)&lt;4,"",IF(UPPER(MID(W159,4,1))="P","Individual",IF(UPPER(MID(W159,4,1))="H","HUF",IF(UPPER(MID(W159,4,1))="C","Company",IF(UPPER(MID(W159,4,1))="F","Firm",IF(UPPER(MID(W159,4,1))="L","LLP",IF(UPPER(MID(W159,4,1))="T","Trust",IF(UPPER(MID(W159,4,1))="A","AOP","")))))))),IF($B159="Challan","",IF(W159&lt;&gt;"","◄ Set Row Type","")))</f>
      </c>
      <c r="Z159" s="28"/>
      <c r="AA159" s="29">
        <f>IF($B159&lt;&gt;"Entry","",IF(Z159="","",IF(X159="Y",SUMPRODUCT(('Rate Lookup'!$A$1:$A$37=Z159)*'Rate Lookup'!$D$1:$D$37),IF(OR(Y159="Individual",Y159="HUF"),SUMPRODUCT(('Rate Lookup'!$A$1:$A$37=Z159)*'Rate Lookup'!$B$1:$B$37),SUMPRODUCT(('Rate Lookup'!$A$1:$A$37=Z159)*'Rate Lookup'!$C$1:$C$37)))))</f>
      </c>
      <c r="AB159" s="30"/>
      <c r="AC159" s="31"/>
      <c r="AD159" s="27">
        <f>IF($B159&lt;&gt;"Entry","",ROUND(AC159*AA159/100,0))</f>
      </c>
      <c r="AE159" s="27">
        <f>IF($B159&lt;&gt;"Entry","",0)</f>
      </c>
      <c r="AF159" s="27">
        <f>IF($B159&lt;&gt;"Entry","",0)</f>
      </c>
      <c r="AG159" s="27">
        <f>IF($B159&lt;&gt;"Entry","",IF(OR(AD159=0,AB159="",AQ159="",AQ159&lt;=0),0,IF(AQ159&lt;=DATE(YEAR(AB159),MONTH(AB159)+1,7),0,ROUND(AD159*0.015*((YEAR(AQ159)-YEAR(AB159))*12+(MONTH(AQ159)-MONTH(AB159))+1),0))))</f>
      </c>
      <c r="AH159" s="27">
        <f>IF($B159&lt;&gt;"Entry","",0)</f>
      </c>
      <c r="AI159" s="28"/>
      <c r="AJ159" s="28"/>
      <c r="AK159" s="32"/>
      <c r="AL159" s="28"/>
      <c r="AM159" s="28"/>
      <c r="AN159" s="27">
        <f>IF($B159&lt;&gt;"Challan","",SUMIF('Q1 Data'!$D$4:$D$207,D159,'Q1 Data'!$AD$4:$AD$207)+SUMIF('Q1 Data'!$D$4:$D$207,D159,'Q1 Data'!$AG$4:$AG$207)+SUMIF('Q1 Data'!$D$4:$D$207,D159,'Q1 Data'!$AE$4:$AE$207)+SUMIF('Q2 Data'!$D$4:$D$207,D159,'Q2 Data'!$AD$4:$AD$207)+SUMIF('Q2 Data'!$D$4:$D$207,D159,'Q2 Data'!$AG$4:$AG$207)+SUMIF('Q2 Data'!$D$4:$D$207,D159,'Q2 Data'!$AE$4:$AE$207)+SUMIF('Q3 Data'!$D$4:$D$207,D159,'Q3 Data'!$AD$4:$AD$207)+SUMIF('Q3 Data'!$D$4:$D$207,D159,'Q3 Data'!$AG$4:$AG$207)+SUMIF('Q3 Data'!$D$4:$D$207,D159,'Q3 Data'!$AE$4:$AE$207)+SUMIF('Q4 Data'!$D$4:$D$207,D159,'Q4 Data'!$AD$4:$AD$207)+SUMIF('Q4 Data'!$D$4:$D$207,D159,'Q4 Data'!$AG$4:$AG$207)+SUMIF('Q4 Data'!$D$4:$D$207,D159,'Q4 Data'!$AE$4:$AE$207))</f>
      </c>
      <c r="AO159" s="27">
        <f>IF($B159&lt;&gt;"Challan","",P159-N159)</f>
      </c>
      <c r="AP159" s="27">
        <f>IF($B159&lt;&gt;"Challan","",MAX(0,AO159-AN159))</f>
      </c>
      <c r="AQ159" s="33">
        <f>IF($B159&lt;&gt;"Entry","",SUMPRODUCT(('Q1 Data'!$D$4:$D$207=D159)*('Q1 Data'!$B$4:$B$207="Challan")*'Q1 Data'!$F$4:$F$207)+SUMPRODUCT(('Q2 Data'!$D$4:$D$207=D159)*('Q2 Data'!$B$4:$B$207="Challan")*'Q2 Data'!$F$4:$F$207)+SUMPRODUCT(('Q3 Data'!$D$4:$D$207=D159)*('Q3 Data'!$B$4:$B$207="Challan")*'Q3 Data'!$F$4:$F$207)+SUMPRODUCT(('Q4 Data'!$D$4:$D$207=D159)*('Q4 Data'!$B$4:$B$207="Challan")*'Q4 Data'!$F$4:$F$207))</f>
      </c>
      <c r="AR159" s="34">
        <f>IF(OR($B159&lt;&gt;"Entry",Z159=""),FALSE,AND((SUMPRODUCT(('Q1 Data'!$D$4:$D$207=D159)*('Q1 Data'!$B$4:$B$207="Challan")*('Q1 Data'!$H$4:$H$207&lt;&gt;""))+SUMPRODUCT(('Q2 Data'!$D$4:$D$207=D159)*('Q2 Data'!$B$4:$B$207="Challan")*('Q2 Data'!$H$4:$H$207&lt;&gt;""))+SUMPRODUCT(('Q3 Data'!$D$4:$D$207=D159)*('Q3 Data'!$B$4:$B$207="Challan")*('Q3 Data'!$H$4:$H$207&lt;&gt;""))+SUMPRODUCT(('Q4 Data'!$D$4:$D$207=D159)*('Q4 Data'!$B$4:$B$207="Challan")*('Q4 Data'!$H$4:$H$207&lt;&gt;"")))&gt;0,(SUMPRODUCT(('Q1 Data'!$D$4:$D$207=D159)*('Q1 Data'!$B$4:$B$207="Challan")*('Q1 Data'!$H$4:$H$207=Z159))+SUMPRODUCT(('Q2 Data'!$D$4:$D$207=D159)*('Q2 Data'!$B$4:$B$207="Challan")*('Q2 Data'!$H$4:$H$207=Z159))+SUMPRODUCT(('Q3 Data'!$D$4:$D$207=D159)*('Q3 Data'!$B$4:$B$207="Challan")*('Q3 Data'!$H$4:$H$207=Z159))+SUMPRODUCT(('Q4 Data'!$D$4:$D$207=D159)*('Q4 Data'!$B$4:$B$207="Challan")*('Q4 Data'!$H$4:$H$207=Z159)))=0))</f>
      </c>
    </row>
    <row r="160" spans="1:44" x14ac:dyDescent="0.25">
      <c r="A160" s="20">
        <f>IF($B160="Entry",COUNTIF($B$4:$B160,"Entry"),"")</f>
      </c>
      <c r="B160" s="21"/>
      <c r="C160" s="22"/>
      <c r="D160" s="22"/>
      <c r="E160" s="23">
        <f>IF($B160&lt;&gt;"Challan","",IF(ROUND(AN160-AO160,2)&gt;0,"Over-applied",IF(ROUND(AN160-AO160,2)=0,"Fully Utilised","Unconsumed")))</f>
      </c>
      <c r="F160" s="24"/>
      <c r="G160" s="25"/>
      <c r="H160" s="25"/>
      <c r="I160" s="26"/>
      <c r="J160" s="26"/>
      <c r="K160" s="26"/>
      <c r="L160" s="26"/>
      <c r="M160" s="26"/>
      <c r="N160" s="26"/>
      <c r="O160" s="26"/>
      <c r="P160" s="27">
        <f>IF($B160&lt;&gt;"Challan","",I160+J160+K160+L160+M160+N160)</f>
      </c>
      <c r="Q160" s="25"/>
      <c r="R160" s="25"/>
      <c r="S160" s="25"/>
      <c r="T160" s="25"/>
      <c r="U160" s="25"/>
      <c r="V160" s="28"/>
      <c r="W160" s="28"/>
      <c r="X160" s="23">
        <f>IF($B160="Entry",IF(AND(LEN(TRIM(UPPER(W160)))=10,CODE(MID(TRIM(UPPER(W160)),1,1))&gt;=65,CODE(MID(TRIM(UPPER(W160)),1,1))&lt;=90,CODE(MID(TRIM(UPPER(W160)),2,1))&gt;=65,CODE(MID(TRIM(UPPER(W160)),2,1))&lt;=90,CODE(MID(TRIM(UPPER(W160)),3,1))&gt;=65,CODE(MID(TRIM(UPPER(W160)),3,1))&lt;=90,CODE(MID(TRIM(UPPER(W160)),4,1))&gt;=65,CODE(MID(TRIM(UPPER(W160)),4,1))&lt;=90,CODE(MID(TRIM(UPPER(W160)),5,1))&gt;=65,CODE(MID(TRIM(UPPER(W160)),5,1))&lt;=90,CODE(MID(TRIM(UPPER(W160)),10,1))&gt;=65,CODE(MID(TRIM(UPPER(W160)),10,1))&lt;=90,CODE(MID(TRIM(UPPER(W160)),6,1))&gt;=48,CODE(MID(TRIM(UPPER(W160)),6,1))&lt;=57,CODE(MID(TRIM(UPPER(W160)),7,1))&gt;=48,CODE(MID(TRIM(UPPER(W160)),7,1))&lt;=57,CODE(MID(TRIM(UPPER(W160)),8,1))&gt;=48,CODE(MID(TRIM(UPPER(W160)),8,1))&lt;=57,CODE(MID(TRIM(UPPER(W160)),9,1))&gt;=48,CODE(MID(TRIM(UPPER(W160)),9,1))&lt;=57),"N","Y"),IF($B160="Challan","",IF(W160&lt;&gt;"","◄ Set Row Type","")))</f>
      </c>
      <c r="Y160" s="23">
        <f>IF($B160="Entry",IF(LEN(W160)&lt;4,"",IF(UPPER(MID(W160,4,1))="P","Individual",IF(UPPER(MID(W160,4,1))="H","HUF",IF(UPPER(MID(W160,4,1))="C","Company",IF(UPPER(MID(W160,4,1))="F","Firm",IF(UPPER(MID(W160,4,1))="L","LLP",IF(UPPER(MID(W160,4,1))="T","Trust",IF(UPPER(MID(W160,4,1))="A","AOP","")))))))),IF($B160="Challan","",IF(W160&lt;&gt;"","◄ Set Row Type","")))</f>
      </c>
      <c r="Z160" s="28"/>
      <c r="AA160" s="29">
        <f>IF($B160&lt;&gt;"Entry","",IF(Z160="","",IF(X160="Y",SUMPRODUCT(('Rate Lookup'!$A$1:$A$37=Z160)*'Rate Lookup'!$D$1:$D$37),IF(OR(Y160="Individual",Y160="HUF"),SUMPRODUCT(('Rate Lookup'!$A$1:$A$37=Z160)*'Rate Lookup'!$B$1:$B$37),SUMPRODUCT(('Rate Lookup'!$A$1:$A$37=Z160)*'Rate Lookup'!$C$1:$C$37)))))</f>
      </c>
      <c r="AB160" s="30"/>
      <c r="AC160" s="31"/>
      <c r="AD160" s="27">
        <f>IF($B160&lt;&gt;"Entry","",ROUND(AC160*AA160/100,0))</f>
      </c>
      <c r="AE160" s="27">
        <f>IF($B160&lt;&gt;"Entry","",0)</f>
      </c>
      <c r="AF160" s="27">
        <f>IF($B160&lt;&gt;"Entry","",0)</f>
      </c>
      <c r="AG160" s="27">
        <f>IF($B160&lt;&gt;"Entry","",IF(OR(AD160=0,AB160="",AQ160="",AQ160&lt;=0),0,IF(AQ160&lt;=DATE(YEAR(AB160),MONTH(AB160)+1,7),0,ROUND(AD160*0.015*((YEAR(AQ160)-YEAR(AB160))*12+(MONTH(AQ160)-MONTH(AB160))+1),0))))</f>
      </c>
      <c r="AH160" s="27">
        <f>IF($B160&lt;&gt;"Entry","",0)</f>
      </c>
      <c r="AI160" s="28"/>
      <c r="AJ160" s="28"/>
      <c r="AK160" s="32"/>
      <c r="AL160" s="28"/>
      <c r="AM160" s="28"/>
      <c r="AN160" s="27">
        <f>IF($B160&lt;&gt;"Challan","",SUMIF('Q1 Data'!$D$4:$D$207,D160,'Q1 Data'!$AD$4:$AD$207)+SUMIF('Q1 Data'!$D$4:$D$207,D160,'Q1 Data'!$AG$4:$AG$207)+SUMIF('Q1 Data'!$D$4:$D$207,D160,'Q1 Data'!$AE$4:$AE$207)+SUMIF('Q2 Data'!$D$4:$D$207,D160,'Q2 Data'!$AD$4:$AD$207)+SUMIF('Q2 Data'!$D$4:$D$207,D160,'Q2 Data'!$AG$4:$AG$207)+SUMIF('Q2 Data'!$D$4:$D$207,D160,'Q2 Data'!$AE$4:$AE$207)+SUMIF('Q3 Data'!$D$4:$D$207,D160,'Q3 Data'!$AD$4:$AD$207)+SUMIF('Q3 Data'!$D$4:$D$207,D160,'Q3 Data'!$AG$4:$AG$207)+SUMIF('Q3 Data'!$D$4:$D$207,D160,'Q3 Data'!$AE$4:$AE$207)+SUMIF('Q4 Data'!$D$4:$D$207,D160,'Q4 Data'!$AD$4:$AD$207)+SUMIF('Q4 Data'!$D$4:$D$207,D160,'Q4 Data'!$AG$4:$AG$207)+SUMIF('Q4 Data'!$D$4:$D$207,D160,'Q4 Data'!$AE$4:$AE$207))</f>
      </c>
      <c r="AO160" s="27">
        <f>IF($B160&lt;&gt;"Challan","",P160-N160)</f>
      </c>
      <c r="AP160" s="27">
        <f>IF($B160&lt;&gt;"Challan","",MAX(0,AO160-AN160))</f>
      </c>
      <c r="AQ160" s="33">
        <f>IF($B160&lt;&gt;"Entry","",SUMPRODUCT(('Q1 Data'!$D$4:$D$207=D160)*('Q1 Data'!$B$4:$B$207="Challan")*'Q1 Data'!$F$4:$F$207)+SUMPRODUCT(('Q2 Data'!$D$4:$D$207=D160)*('Q2 Data'!$B$4:$B$207="Challan")*'Q2 Data'!$F$4:$F$207)+SUMPRODUCT(('Q3 Data'!$D$4:$D$207=D160)*('Q3 Data'!$B$4:$B$207="Challan")*'Q3 Data'!$F$4:$F$207)+SUMPRODUCT(('Q4 Data'!$D$4:$D$207=D160)*('Q4 Data'!$B$4:$B$207="Challan")*'Q4 Data'!$F$4:$F$207))</f>
      </c>
      <c r="AR160" s="34">
        <f>IF(OR($B160&lt;&gt;"Entry",Z160=""),FALSE,AND((SUMPRODUCT(('Q1 Data'!$D$4:$D$207=D160)*('Q1 Data'!$B$4:$B$207="Challan")*('Q1 Data'!$H$4:$H$207&lt;&gt;""))+SUMPRODUCT(('Q2 Data'!$D$4:$D$207=D160)*('Q2 Data'!$B$4:$B$207="Challan")*('Q2 Data'!$H$4:$H$207&lt;&gt;""))+SUMPRODUCT(('Q3 Data'!$D$4:$D$207=D160)*('Q3 Data'!$B$4:$B$207="Challan")*('Q3 Data'!$H$4:$H$207&lt;&gt;""))+SUMPRODUCT(('Q4 Data'!$D$4:$D$207=D160)*('Q4 Data'!$B$4:$B$207="Challan")*('Q4 Data'!$H$4:$H$207&lt;&gt;"")))&gt;0,(SUMPRODUCT(('Q1 Data'!$D$4:$D$207=D160)*('Q1 Data'!$B$4:$B$207="Challan")*('Q1 Data'!$H$4:$H$207=Z160))+SUMPRODUCT(('Q2 Data'!$D$4:$D$207=D160)*('Q2 Data'!$B$4:$B$207="Challan")*('Q2 Data'!$H$4:$H$207=Z160))+SUMPRODUCT(('Q3 Data'!$D$4:$D$207=D160)*('Q3 Data'!$B$4:$B$207="Challan")*('Q3 Data'!$H$4:$H$207=Z160))+SUMPRODUCT(('Q4 Data'!$D$4:$D$207=D160)*('Q4 Data'!$B$4:$B$207="Challan")*('Q4 Data'!$H$4:$H$207=Z160)))=0))</f>
      </c>
    </row>
    <row r="161" spans="1:44" x14ac:dyDescent="0.25">
      <c r="A161" s="20">
        <f>IF($B161="Entry",COUNTIF($B$4:$B161,"Entry"),"")</f>
      </c>
      <c r="B161" s="21"/>
      <c r="C161" s="22"/>
      <c r="D161" s="22"/>
      <c r="E161" s="23">
        <f>IF($B161&lt;&gt;"Challan","",IF(ROUND(AN161-AO161,2)&gt;0,"Over-applied",IF(ROUND(AN161-AO161,2)=0,"Fully Utilised","Unconsumed")))</f>
      </c>
      <c r="F161" s="24"/>
      <c r="G161" s="25"/>
      <c r="H161" s="25"/>
      <c r="I161" s="26"/>
      <c r="J161" s="26"/>
      <c r="K161" s="26"/>
      <c r="L161" s="26"/>
      <c r="M161" s="26"/>
      <c r="N161" s="26"/>
      <c r="O161" s="26"/>
      <c r="P161" s="27">
        <f>IF($B161&lt;&gt;"Challan","",I161+J161+K161+L161+M161+N161)</f>
      </c>
      <c r="Q161" s="25"/>
      <c r="R161" s="25"/>
      <c r="S161" s="25"/>
      <c r="T161" s="25"/>
      <c r="U161" s="25"/>
      <c r="V161" s="28"/>
      <c r="W161" s="28"/>
      <c r="X161" s="23">
        <f>IF($B161="Entry",IF(AND(LEN(TRIM(UPPER(W161)))=10,CODE(MID(TRIM(UPPER(W161)),1,1))&gt;=65,CODE(MID(TRIM(UPPER(W161)),1,1))&lt;=90,CODE(MID(TRIM(UPPER(W161)),2,1))&gt;=65,CODE(MID(TRIM(UPPER(W161)),2,1))&lt;=90,CODE(MID(TRIM(UPPER(W161)),3,1))&gt;=65,CODE(MID(TRIM(UPPER(W161)),3,1))&lt;=90,CODE(MID(TRIM(UPPER(W161)),4,1))&gt;=65,CODE(MID(TRIM(UPPER(W161)),4,1))&lt;=90,CODE(MID(TRIM(UPPER(W161)),5,1))&gt;=65,CODE(MID(TRIM(UPPER(W161)),5,1))&lt;=90,CODE(MID(TRIM(UPPER(W161)),10,1))&gt;=65,CODE(MID(TRIM(UPPER(W161)),10,1))&lt;=90,CODE(MID(TRIM(UPPER(W161)),6,1))&gt;=48,CODE(MID(TRIM(UPPER(W161)),6,1))&lt;=57,CODE(MID(TRIM(UPPER(W161)),7,1))&gt;=48,CODE(MID(TRIM(UPPER(W161)),7,1))&lt;=57,CODE(MID(TRIM(UPPER(W161)),8,1))&gt;=48,CODE(MID(TRIM(UPPER(W161)),8,1))&lt;=57,CODE(MID(TRIM(UPPER(W161)),9,1))&gt;=48,CODE(MID(TRIM(UPPER(W161)),9,1))&lt;=57),"N","Y"),IF($B161="Challan","",IF(W161&lt;&gt;"","◄ Set Row Type","")))</f>
      </c>
      <c r="Y161" s="23">
        <f>IF($B161="Entry",IF(LEN(W161)&lt;4,"",IF(UPPER(MID(W161,4,1))="P","Individual",IF(UPPER(MID(W161,4,1))="H","HUF",IF(UPPER(MID(W161,4,1))="C","Company",IF(UPPER(MID(W161,4,1))="F","Firm",IF(UPPER(MID(W161,4,1))="L","LLP",IF(UPPER(MID(W161,4,1))="T","Trust",IF(UPPER(MID(W161,4,1))="A","AOP","")))))))),IF($B161="Challan","",IF(W161&lt;&gt;"","◄ Set Row Type","")))</f>
      </c>
      <c r="Z161" s="28"/>
      <c r="AA161" s="29">
        <f>IF($B161&lt;&gt;"Entry","",IF(Z161="","",IF(X161="Y",SUMPRODUCT(('Rate Lookup'!$A$1:$A$37=Z161)*'Rate Lookup'!$D$1:$D$37),IF(OR(Y161="Individual",Y161="HUF"),SUMPRODUCT(('Rate Lookup'!$A$1:$A$37=Z161)*'Rate Lookup'!$B$1:$B$37),SUMPRODUCT(('Rate Lookup'!$A$1:$A$37=Z161)*'Rate Lookup'!$C$1:$C$37)))))</f>
      </c>
      <c r="AB161" s="30"/>
      <c r="AC161" s="31"/>
      <c r="AD161" s="27">
        <f>IF($B161&lt;&gt;"Entry","",ROUND(AC161*AA161/100,0))</f>
      </c>
      <c r="AE161" s="27">
        <f>IF($B161&lt;&gt;"Entry","",0)</f>
      </c>
      <c r="AF161" s="27">
        <f>IF($B161&lt;&gt;"Entry","",0)</f>
      </c>
      <c r="AG161" s="27">
        <f>IF($B161&lt;&gt;"Entry","",IF(OR(AD161=0,AB161="",AQ161="",AQ161&lt;=0),0,IF(AQ161&lt;=DATE(YEAR(AB161),MONTH(AB161)+1,7),0,ROUND(AD161*0.015*((YEAR(AQ161)-YEAR(AB161))*12+(MONTH(AQ161)-MONTH(AB161))+1),0))))</f>
      </c>
      <c r="AH161" s="27">
        <f>IF($B161&lt;&gt;"Entry","",0)</f>
      </c>
      <c r="AI161" s="28"/>
      <c r="AJ161" s="28"/>
      <c r="AK161" s="32"/>
      <c r="AL161" s="28"/>
      <c r="AM161" s="28"/>
      <c r="AN161" s="27">
        <f>IF($B161&lt;&gt;"Challan","",SUMIF('Q1 Data'!$D$4:$D$207,D161,'Q1 Data'!$AD$4:$AD$207)+SUMIF('Q1 Data'!$D$4:$D$207,D161,'Q1 Data'!$AG$4:$AG$207)+SUMIF('Q1 Data'!$D$4:$D$207,D161,'Q1 Data'!$AE$4:$AE$207)+SUMIF('Q2 Data'!$D$4:$D$207,D161,'Q2 Data'!$AD$4:$AD$207)+SUMIF('Q2 Data'!$D$4:$D$207,D161,'Q2 Data'!$AG$4:$AG$207)+SUMIF('Q2 Data'!$D$4:$D$207,D161,'Q2 Data'!$AE$4:$AE$207)+SUMIF('Q3 Data'!$D$4:$D$207,D161,'Q3 Data'!$AD$4:$AD$207)+SUMIF('Q3 Data'!$D$4:$D$207,D161,'Q3 Data'!$AG$4:$AG$207)+SUMIF('Q3 Data'!$D$4:$D$207,D161,'Q3 Data'!$AE$4:$AE$207)+SUMIF('Q4 Data'!$D$4:$D$207,D161,'Q4 Data'!$AD$4:$AD$207)+SUMIF('Q4 Data'!$D$4:$D$207,D161,'Q4 Data'!$AG$4:$AG$207)+SUMIF('Q4 Data'!$D$4:$D$207,D161,'Q4 Data'!$AE$4:$AE$207))</f>
      </c>
      <c r="AO161" s="27">
        <f>IF($B161&lt;&gt;"Challan","",P161-N161)</f>
      </c>
      <c r="AP161" s="27">
        <f>IF($B161&lt;&gt;"Challan","",MAX(0,AO161-AN161))</f>
      </c>
      <c r="AQ161" s="33">
        <f>IF($B161&lt;&gt;"Entry","",SUMPRODUCT(('Q1 Data'!$D$4:$D$207=D161)*('Q1 Data'!$B$4:$B$207="Challan")*'Q1 Data'!$F$4:$F$207)+SUMPRODUCT(('Q2 Data'!$D$4:$D$207=D161)*('Q2 Data'!$B$4:$B$207="Challan")*'Q2 Data'!$F$4:$F$207)+SUMPRODUCT(('Q3 Data'!$D$4:$D$207=D161)*('Q3 Data'!$B$4:$B$207="Challan")*'Q3 Data'!$F$4:$F$207)+SUMPRODUCT(('Q4 Data'!$D$4:$D$207=D161)*('Q4 Data'!$B$4:$B$207="Challan")*'Q4 Data'!$F$4:$F$207))</f>
      </c>
      <c r="AR161" s="34">
        <f>IF(OR($B161&lt;&gt;"Entry",Z161=""),FALSE,AND((SUMPRODUCT(('Q1 Data'!$D$4:$D$207=D161)*('Q1 Data'!$B$4:$B$207="Challan")*('Q1 Data'!$H$4:$H$207&lt;&gt;""))+SUMPRODUCT(('Q2 Data'!$D$4:$D$207=D161)*('Q2 Data'!$B$4:$B$207="Challan")*('Q2 Data'!$H$4:$H$207&lt;&gt;""))+SUMPRODUCT(('Q3 Data'!$D$4:$D$207=D161)*('Q3 Data'!$B$4:$B$207="Challan")*('Q3 Data'!$H$4:$H$207&lt;&gt;""))+SUMPRODUCT(('Q4 Data'!$D$4:$D$207=D161)*('Q4 Data'!$B$4:$B$207="Challan")*('Q4 Data'!$H$4:$H$207&lt;&gt;"")))&gt;0,(SUMPRODUCT(('Q1 Data'!$D$4:$D$207=D161)*('Q1 Data'!$B$4:$B$207="Challan")*('Q1 Data'!$H$4:$H$207=Z161))+SUMPRODUCT(('Q2 Data'!$D$4:$D$207=D161)*('Q2 Data'!$B$4:$B$207="Challan")*('Q2 Data'!$H$4:$H$207=Z161))+SUMPRODUCT(('Q3 Data'!$D$4:$D$207=D161)*('Q3 Data'!$B$4:$B$207="Challan")*('Q3 Data'!$H$4:$H$207=Z161))+SUMPRODUCT(('Q4 Data'!$D$4:$D$207=D161)*('Q4 Data'!$B$4:$B$207="Challan")*('Q4 Data'!$H$4:$H$207=Z161)))=0))</f>
      </c>
    </row>
    <row r="162" spans="1:44" x14ac:dyDescent="0.25">
      <c r="A162" s="20">
        <f>IF($B162="Entry",COUNTIF($B$4:$B162,"Entry"),"")</f>
      </c>
      <c r="B162" s="21"/>
      <c r="C162" s="22"/>
      <c r="D162" s="22"/>
      <c r="E162" s="23">
        <f>IF($B162&lt;&gt;"Challan","",IF(ROUND(AN162-AO162,2)&gt;0,"Over-applied",IF(ROUND(AN162-AO162,2)=0,"Fully Utilised","Unconsumed")))</f>
      </c>
      <c r="F162" s="24"/>
      <c r="G162" s="25"/>
      <c r="H162" s="25"/>
      <c r="I162" s="26"/>
      <c r="J162" s="26"/>
      <c r="K162" s="26"/>
      <c r="L162" s="26"/>
      <c r="M162" s="26"/>
      <c r="N162" s="26"/>
      <c r="O162" s="26"/>
      <c r="P162" s="27">
        <f>IF($B162&lt;&gt;"Challan","",I162+J162+K162+L162+M162+N162)</f>
      </c>
      <c r="Q162" s="25"/>
      <c r="R162" s="25"/>
      <c r="S162" s="25"/>
      <c r="T162" s="25"/>
      <c r="U162" s="25"/>
      <c r="V162" s="28"/>
      <c r="W162" s="28"/>
      <c r="X162" s="23">
        <f>IF($B162="Entry",IF(AND(LEN(TRIM(UPPER(W162)))=10,CODE(MID(TRIM(UPPER(W162)),1,1))&gt;=65,CODE(MID(TRIM(UPPER(W162)),1,1))&lt;=90,CODE(MID(TRIM(UPPER(W162)),2,1))&gt;=65,CODE(MID(TRIM(UPPER(W162)),2,1))&lt;=90,CODE(MID(TRIM(UPPER(W162)),3,1))&gt;=65,CODE(MID(TRIM(UPPER(W162)),3,1))&lt;=90,CODE(MID(TRIM(UPPER(W162)),4,1))&gt;=65,CODE(MID(TRIM(UPPER(W162)),4,1))&lt;=90,CODE(MID(TRIM(UPPER(W162)),5,1))&gt;=65,CODE(MID(TRIM(UPPER(W162)),5,1))&lt;=90,CODE(MID(TRIM(UPPER(W162)),10,1))&gt;=65,CODE(MID(TRIM(UPPER(W162)),10,1))&lt;=90,CODE(MID(TRIM(UPPER(W162)),6,1))&gt;=48,CODE(MID(TRIM(UPPER(W162)),6,1))&lt;=57,CODE(MID(TRIM(UPPER(W162)),7,1))&gt;=48,CODE(MID(TRIM(UPPER(W162)),7,1))&lt;=57,CODE(MID(TRIM(UPPER(W162)),8,1))&gt;=48,CODE(MID(TRIM(UPPER(W162)),8,1))&lt;=57,CODE(MID(TRIM(UPPER(W162)),9,1))&gt;=48,CODE(MID(TRIM(UPPER(W162)),9,1))&lt;=57),"N","Y"),IF($B162="Challan","",IF(W162&lt;&gt;"","◄ Set Row Type","")))</f>
      </c>
      <c r="Y162" s="23">
        <f>IF($B162="Entry",IF(LEN(W162)&lt;4,"",IF(UPPER(MID(W162,4,1))="P","Individual",IF(UPPER(MID(W162,4,1))="H","HUF",IF(UPPER(MID(W162,4,1))="C","Company",IF(UPPER(MID(W162,4,1))="F","Firm",IF(UPPER(MID(W162,4,1))="L","LLP",IF(UPPER(MID(W162,4,1))="T","Trust",IF(UPPER(MID(W162,4,1))="A","AOP","")))))))),IF($B162="Challan","",IF(W162&lt;&gt;"","◄ Set Row Type","")))</f>
      </c>
      <c r="Z162" s="28"/>
      <c r="AA162" s="29">
        <f>IF($B162&lt;&gt;"Entry","",IF(Z162="","",IF(X162="Y",SUMPRODUCT(('Rate Lookup'!$A$1:$A$37=Z162)*'Rate Lookup'!$D$1:$D$37),IF(OR(Y162="Individual",Y162="HUF"),SUMPRODUCT(('Rate Lookup'!$A$1:$A$37=Z162)*'Rate Lookup'!$B$1:$B$37),SUMPRODUCT(('Rate Lookup'!$A$1:$A$37=Z162)*'Rate Lookup'!$C$1:$C$37)))))</f>
      </c>
      <c r="AB162" s="30"/>
      <c r="AC162" s="31"/>
      <c r="AD162" s="27">
        <f>IF($B162&lt;&gt;"Entry","",ROUND(AC162*AA162/100,0))</f>
      </c>
      <c r="AE162" s="27">
        <f>IF($B162&lt;&gt;"Entry","",0)</f>
      </c>
      <c r="AF162" s="27">
        <f>IF($B162&lt;&gt;"Entry","",0)</f>
      </c>
      <c r="AG162" s="27">
        <f>IF($B162&lt;&gt;"Entry","",IF(OR(AD162=0,AB162="",AQ162="",AQ162&lt;=0),0,IF(AQ162&lt;=DATE(YEAR(AB162),MONTH(AB162)+1,7),0,ROUND(AD162*0.015*((YEAR(AQ162)-YEAR(AB162))*12+(MONTH(AQ162)-MONTH(AB162))+1),0))))</f>
      </c>
      <c r="AH162" s="27">
        <f>IF($B162&lt;&gt;"Entry","",0)</f>
      </c>
      <c r="AI162" s="28"/>
      <c r="AJ162" s="28"/>
      <c r="AK162" s="32"/>
      <c r="AL162" s="28"/>
      <c r="AM162" s="28"/>
      <c r="AN162" s="27">
        <f>IF($B162&lt;&gt;"Challan","",SUMIF('Q1 Data'!$D$4:$D$207,D162,'Q1 Data'!$AD$4:$AD$207)+SUMIF('Q1 Data'!$D$4:$D$207,D162,'Q1 Data'!$AG$4:$AG$207)+SUMIF('Q1 Data'!$D$4:$D$207,D162,'Q1 Data'!$AE$4:$AE$207)+SUMIF('Q2 Data'!$D$4:$D$207,D162,'Q2 Data'!$AD$4:$AD$207)+SUMIF('Q2 Data'!$D$4:$D$207,D162,'Q2 Data'!$AG$4:$AG$207)+SUMIF('Q2 Data'!$D$4:$D$207,D162,'Q2 Data'!$AE$4:$AE$207)+SUMIF('Q3 Data'!$D$4:$D$207,D162,'Q3 Data'!$AD$4:$AD$207)+SUMIF('Q3 Data'!$D$4:$D$207,D162,'Q3 Data'!$AG$4:$AG$207)+SUMIF('Q3 Data'!$D$4:$D$207,D162,'Q3 Data'!$AE$4:$AE$207)+SUMIF('Q4 Data'!$D$4:$D$207,D162,'Q4 Data'!$AD$4:$AD$207)+SUMIF('Q4 Data'!$D$4:$D$207,D162,'Q4 Data'!$AG$4:$AG$207)+SUMIF('Q4 Data'!$D$4:$D$207,D162,'Q4 Data'!$AE$4:$AE$207))</f>
      </c>
      <c r="AO162" s="27">
        <f>IF($B162&lt;&gt;"Challan","",P162-N162)</f>
      </c>
      <c r="AP162" s="27">
        <f>IF($B162&lt;&gt;"Challan","",MAX(0,AO162-AN162))</f>
      </c>
      <c r="AQ162" s="33">
        <f>IF($B162&lt;&gt;"Entry","",SUMPRODUCT(('Q1 Data'!$D$4:$D$207=D162)*('Q1 Data'!$B$4:$B$207="Challan")*'Q1 Data'!$F$4:$F$207)+SUMPRODUCT(('Q2 Data'!$D$4:$D$207=D162)*('Q2 Data'!$B$4:$B$207="Challan")*'Q2 Data'!$F$4:$F$207)+SUMPRODUCT(('Q3 Data'!$D$4:$D$207=D162)*('Q3 Data'!$B$4:$B$207="Challan")*'Q3 Data'!$F$4:$F$207)+SUMPRODUCT(('Q4 Data'!$D$4:$D$207=D162)*('Q4 Data'!$B$4:$B$207="Challan")*'Q4 Data'!$F$4:$F$207))</f>
      </c>
      <c r="AR162" s="34">
        <f>IF(OR($B162&lt;&gt;"Entry",Z162=""),FALSE,AND((SUMPRODUCT(('Q1 Data'!$D$4:$D$207=D162)*('Q1 Data'!$B$4:$B$207="Challan")*('Q1 Data'!$H$4:$H$207&lt;&gt;""))+SUMPRODUCT(('Q2 Data'!$D$4:$D$207=D162)*('Q2 Data'!$B$4:$B$207="Challan")*('Q2 Data'!$H$4:$H$207&lt;&gt;""))+SUMPRODUCT(('Q3 Data'!$D$4:$D$207=D162)*('Q3 Data'!$B$4:$B$207="Challan")*('Q3 Data'!$H$4:$H$207&lt;&gt;""))+SUMPRODUCT(('Q4 Data'!$D$4:$D$207=D162)*('Q4 Data'!$B$4:$B$207="Challan")*('Q4 Data'!$H$4:$H$207&lt;&gt;"")))&gt;0,(SUMPRODUCT(('Q1 Data'!$D$4:$D$207=D162)*('Q1 Data'!$B$4:$B$207="Challan")*('Q1 Data'!$H$4:$H$207=Z162))+SUMPRODUCT(('Q2 Data'!$D$4:$D$207=D162)*('Q2 Data'!$B$4:$B$207="Challan")*('Q2 Data'!$H$4:$H$207=Z162))+SUMPRODUCT(('Q3 Data'!$D$4:$D$207=D162)*('Q3 Data'!$B$4:$B$207="Challan")*('Q3 Data'!$H$4:$H$207=Z162))+SUMPRODUCT(('Q4 Data'!$D$4:$D$207=D162)*('Q4 Data'!$B$4:$B$207="Challan")*('Q4 Data'!$H$4:$H$207=Z162)))=0))</f>
      </c>
    </row>
    <row r="163" spans="1:44" x14ac:dyDescent="0.25">
      <c r="A163" s="20">
        <f>IF($B163="Entry",COUNTIF($B$4:$B163,"Entry"),"")</f>
      </c>
      <c r="B163" s="21"/>
      <c r="C163" s="22"/>
      <c r="D163" s="22"/>
      <c r="E163" s="23">
        <f>IF($B163&lt;&gt;"Challan","",IF(ROUND(AN163-AO163,2)&gt;0,"Over-applied",IF(ROUND(AN163-AO163,2)=0,"Fully Utilised","Unconsumed")))</f>
      </c>
      <c r="F163" s="24"/>
      <c r="G163" s="25"/>
      <c r="H163" s="25"/>
      <c r="I163" s="26"/>
      <c r="J163" s="26"/>
      <c r="K163" s="26"/>
      <c r="L163" s="26"/>
      <c r="M163" s="26"/>
      <c r="N163" s="26"/>
      <c r="O163" s="26"/>
      <c r="P163" s="27">
        <f>IF($B163&lt;&gt;"Challan","",I163+J163+K163+L163+M163+N163)</f>
      </c>
      <c r="Q163" s="25"/>
      <c r="R163" s="25"/>
      <c r="S163" s="25"/>
      <c r="T163" s="25"/>
      <c r="U163" s="25"/>
      <c r="V163" s="28"/>
      <c r="W163" s="28"/>
      <c r="X163" s="23">
        <f>IF($B163="Entry",IF(AND(LEN(TRIM(UPPER(W163)))=10,CODE(MID(TRIM(UPPER(W163)),1,1))&gt;=65,CODE(MID(TRIM(UPPER(W163)),1,1))&lt;=90,CODE(MID(TRIM(UPPER(W163)),2,1))&gt;=65,CODE(MID(TRIM(UPPER(W163)),2,1))&lt;=90,CODE(MID(TRIM(UPPER(W163)),3,1))&gt;=65,CODE(MID(TRIM(UPPER(W163)),3,1))&lt;=90,CODE(MID(TRIM(UPPER(W163)),4,1))&gt;=65,CODE(MID(TRIM(UPPER(W163)),4,1))&lt;=90,CODE(MID(TRIM(UPPER(W163)),5,1))&gt;=65,CODE(MID(TRIM(UPPER(W163)),5,1))&lt;=90,CODE(MID(TRIM(UPPER(W163)),10,1))&gt;=65,CODE(MID(TRIM(UPPER(W163)),10,1))&lt;=90,CODE(MID(TRIM(UPPER(W163)),6,1))&gt;=48,CODE(MID(TRIM(UPPER(W163)),6,1))&lt;=57,CODE(MID(TRIM(UPPER(W163)),7,1))&gt;=48,CODE(MID(TRIM(UPPER(W163)),7,1))&lt;=57,CODE(MID(TRIM(UPPER(W163)),8,1))&gt;=48,CODE(MID(TRIM(UPPER(W163)),8,1))&lt;=57,CODE(MID(TRIM(UPPER(W163)),9,1))&gt;=48,CODE(MID(TRIM(UPPER(W163)),9,1))&lt;=57),"N","Y"),IF($B163="Challan","",IF(W163&lt;&gt;"","◄ Set Row Type","")))</f>
      </c>
      <c r="Y163" s="23">
        <f>IF($B163="Entry",IF(LEN(W163)&lt;4,"",IF(UPPER(MID(W163,4,1))="P","Individual",IF(UPPER(MID(W163,4,1))="H","HUF",IF(UPPER(MID(W163,4,1))="C","Company",IF(UPPER(MID(W163,4,1))="F","Firm",IF(UPPER(MID(W163,4,1))="L","LLP",IF(UPPER(MID(W163,4,1))="T","Trust",IF(UPPER(MID(W163,4,1))="A","AOP","")))))))),IF($B163="Challan","",IF(W163&lt;&gt;"","◄ Set Row Type","")))</f>
      </c>
      <c r="Z163" s="28"/>
      <c r="AA163" s="29">
        <f>IF($B163&lt;&gt;"Entry","",IF(Z163="","",IF(X163="Y",SUMPRODUCT(('Rate Lookup'!$A$1:$A$37=Z163)*'Rate Lookup'!$D$1:$D$37),IF(OR(Y163="Individual",Y163="HUF"),SUMPRODUCT(('Rate Lookup'!$A$1:$A$37=Z163)*'Rate Lookup'!$B$1:$B$37),SUMPRODUCT(('Rate Lookup'!$A$1:$A$37=Z163)*'Rate Lookup'!$C$1:$C$37)))))</f>
      </c>
      <c r="AB163" s="30"/>
      <c r="AC163" s="31"/>
      <c r="AD163" s="27">
        <f>IF($B163&lt;&gt;"Entry","",ROUND(AC163*AA163/100,0))</f>
      </c>
      <c r="AE163" s="27">
        <f>IF($B163&lt;&gt;"Entry","",0)</f>
      </c>
      <c r="AF163" s="27">
        <f>IF($B163&lt;&gt;"Entry","",0)</f>
      </c>
      <c r="AG163" s="27">
        <f>IF($B163&lt;&gt;"Entry","",IF(OR(AD163=0,AB163="",AQ163="",AQ163&lt;=0),0,IF(AQ163&lt;=DATE(YEAR(AB163),MONTH(AB163)+1,7),0,ROUND(AD163*0.015*((YEAR(AQ163)-YEAR(AB163))*12+(MONTH(AQ163)-MONTH(AB163))+1),0))))</f>
      </c>
      <c r="AH163" s="27">
        <f>IF($B163&lt;&gt;"Entry","",0)</f>
      </c>
      <c r="AI163" s="28"/>
      <c r="AJ163" s="28"/>
      <c r="AK163" s="32"/>
      <c r="AL163" s="28"/>
      <c r="AM163" s="28"/>
      <c r="AN163" s="27">
        <f>IF($B163&lt;&gt;"Challan","",SUMIF('Q1 Data'!$D$4:$D$207,D163,'Q1 Data'!$AD$4:$AD$207)+SUMIF('Q1 Data'!$D$4:$D$207,D163,'Q1 Data'!$AG$4:$AG$207)+SUMIF('Q1 Data'!$D$4:$D$207,D163,'Q1 Data'!$AE$4:$AE$207)+SUMIF('Q2 Data'!$D$4:$D$207,D163,'Q2 Data'!$AD$4:$AD$207)+SUMIF('Q2 Data'!$D$4:$D$207,D163,'Q2 Data'!$AG$4:$AG$207)+SUMIF('Q2 Data'!$D$4:$D$207,D163,'Q2 Data'!$AE$4:$AE$207)+SUMIF('Q3 Data'!$D$4:$D$207,D163,'Q3 Data'!$AD$4:$AD$207)+SUMIF('Q3 Data'!$D$4:$D$207,D163,'Q3 Data'!$AG$4:$AG$207)+SUMIF('Q3 Data'!$D$4:$D$207,D163,'Q3 Data'!$AE$4:$AE$207)+SUMIF('Q4 Data'!$D$4:$D$207,D163,'Q4 Data'!$AD$4:$AD$207)+SUMIF('Q4 Data'!$D$4:$D$207,D163,'Q4 Data'!$AG$4:$AG$207)+SUMIF('Q4 Data'!$D$4:$D$207,D163,'Q4 Data'!$AE$4:$AE$207))</f>
      </c>
      <c r="AO163" s="27">
        <f>IF($B163&lt;&gt;"Challan","",P163-N163)</f>
      </c>
      <c r="AP163" s="27">
        <f>IF($B163&lt;&gt;"Challan","",MAX(0,AO163-AN163))</f>
      </c>
      <c r="AQ163" s="33">
        <f>IF($B163&lt;&gt;"Entry","",SUMPRODUCT(('Q1 Data'!$D$4:$D$207=D163)*('Q1 Data'!$B$4:$B$207="Challan")*'Q1 Data'!$F$4:$F$207)+SUMPRODUCT(('Q2 Data'!$D$4:$D$207=D163)*('Q2 Data'!$B$4:$B$207="Challan")*'Q2 Data'!$F$4:$F$207)+SUMPRODUCT(('Q3 Data'!$D$4:$D$207=D163)*('Q3 Data'!$B$4:$B$207="Challan")*'Q3 Data'!$F$4:$F$207)+SUMPRODUCT(('Q4 Data'!$D$4:$D$207=D163)*('Q4 Data'!$B$4:$B$207="Challan")*'Q4 Data'!$F$4:$F$207))</f>
      </c>
      <c r="AR163" s="34">
        <f>IF(OR($B163&lt;&gt;"Entry",Z163=""),FALSE,AND((SUMPRODUCT(('Q1 Data'!$D$4:$D$207=D163)*('Q1 Data'!$B$4:$B$207="Challan")*('Q1 Data'!$H$4:$H$207&lt;&gt;""))+SUMPRODUCT(('Q2 Data'!$D$4:$D$207=D163)*('Q2 Data'!$B$4:$B$207="Challan")*('Q2 Data'!$H$4:$H$207&lt;&gt;""))+SUMPRODUCT(('Q3 Data'!$D$4:$D$207=D163)*('Q3 Data'!$B$4:$B$207="Challan")*('Q3 Data'!$H$4:$H$207&lt;&gt;""))+SUMPRODUCT(('Q4 Data'!$D$4:$D$207=D163)*('Q4 Data'!$B$4:$B$207="Challan")*('Q4 Data'!$H$4:$H$207&lt;&gt;"")))&gt;0,(SUMPRODUCT(('Q1 Data'!$D$4:$D$207=D163)*('Q1 Data'!$B$4:$B$207="Challan")*('Q1 Data'!$H$4:$H$207=Z163))+SUMPRODUCT(('Q2 Data'!$D$4:$D$207=D163)*('Q2 Data'!$B$4:$B$207="Challan")*('Q2 Data'!$H$4:$H$207=Z163))+SUMPRODUCT(('Q3 Data'!$D$4:$D$207=D163)*('Q3 Data'!$B$4:$B$207="Challan")*('Q3 Data'!$H$4:$H$207=Z163))+SUMPRODUCT(('Q4 Data'!$D$4:$D$207=D163)*('Q4 Data'!$B$4:$B$207="Challan")*('Q4 Data'!$H$4:$H$207=Z163)))=0))</f>
      </c>
    </row>
    <row r="164" spans="1:44" x14ac:dyDescent="0.25">
      <c r="A164" s="20">
        <f>IF($B164="Entry",COUNTIF($B$4:$B164,"Entry"),"")</f>
      </c>
      <c r="B164" s="21"/>
      <c r="C164" s="22"/>
      <c r="D164" s="22"/>
      <c r="E164" s="23">
        <f>IF($B164&lt;&gt;"Challan","",IF(ROUND(AN164-AO164,2)&gt;0,"Over-applied",IF(ROUND(AN164-AO164,2)=0,"Fully Utilised","Unconsumed")))</f>
      </c>
      <c r="F164" s="24"/>
      <c r="G164" s="25"/>
      <c r="H164" s="25"/>
      <c r="I164" s="26"/>
      <c r="J164" s="26"/>
      <c r="K164" s="26"/>
      <c r="L164" s="26"/>
      <c r="M164" s="26"/>
      <c r="N164" s="26"/>
      <c r="O164" s="26"/>
      <c r="P164" s="27">
        <f>IF($B164&lt;&gt;"Challan","",I164+J164+K164+L164+M164+N164)</f>
      </c>
      <c r="Q164" s="25"/>
      <c r="R164" s="25"/>
      <c r="S164" s="25"/>
      <c r="T164" s="25"/>
      <c r="U164" s="25"/>
      <c r="V164" s="28"/>
      <c r="W164" s="28"/>
      <c r="X164" s="23">
        <f>IF($B164="Entry",IF(AND(LEN(TRIM(UPPER(W164)))=10,CODE(MID(TRIM(UPPER(W164)),1,1))&gt;=65,CODE(MID(TRIM(UPPER(W164)),1,1))&lt;=90,CODE(MID(TRIM(UPPER(W164)),2,1))&gt;=65,CODE(MID(TRIM(UPPER(W164)),2,1))&lt;=90,CODE(MID(TRIM(UPPER(W164)),3,1))&gt;=65,CODE(MID(TRIM(UPPER(W164)),3,1))&lt;=90,CODE(MID(TRIM(UPPER(W164)),4,1))&gt;=65,CODE(MID(TRIM(UPPER(W164)),4,1))&lt;=90,CODE(MID(TRIM(UPPER(W164)),5,1))&gt;=65,CODE(MID(TRIM(UPPER(W164)),5,1))&lt;=90,CODE(MID(TRIM(UPPER(W164)),10,1))&gt;=65,CODE(MID(TRIM(UPPER(W164)),10,1))&lt;=90,CODE(MID(TRIM(UPPER(W164)),6,1))&gt;=48,CODE(MID(TRIM(UPPER(W164)),6,1))&lt;=57,CODE(MID(TRIM(UPPER(W164)),7,1))&gt;=48,CODE(MID(TRIM(UPPER(W164)),7,1))&lt;=57,CODE(MID(TRIM(UPPER(W164)),8,1))&gt;=48,CODE(MID(TRIM(UPPER(W164)),8,1))&lt;=57,CODE(MID(TRIM(UPPER(W164)),9,1))&gt;=48,CODE(MID(TRIM(UPPER(W164)),9,1))&lt;=57),"N","Y"),IF($B164="Challan","",IF(W164&lt;&gt;"","◄ Set Row Type","")))</f>
      </c>
      <c r="Y164" s="23">
        <f>IF($B164="Entry",IF(LEN(W164)&lt;4,"",IF(UPPER(MID(W164,4,1))="P","Individual",IF(UPPER(MID(W164,4,1))="H","HUF",IF(UPPER(MID(W164,4,1))="C","Company",IF(UPPER(MID(W164,4,1))="F","Firm",IF(UPPER(MID(W164,4,1))="L","LLP",IF(UPPER(MID(W164,4,1))="T","Trust",IF(UPPER(MID(W164,4,1))="A","AOP","")))))))),IF($B164="Challan","",IF(W164&lt;&gt;"","◄ Set Row Type","")))</f>
      </c>
      <c r="Z164" s="28"/>
      <c r="AA164" s="29">
        <f>IF($B164&lt;&gt;"Entry","",IF(Z164="","",IF(X164="Y",SUMPRODUCT(('Rate Lookup'!$A$1:$A$37=Z164)*'Rate Lookup'!$D$1:$D$37),IF(OR(Y164="Individual",Y164="HUF"),SUMPRODUCT(('Rate Lookup'!$A$1:$A$37=Z164)*'Rate Lookup'!$B$1:$B$37),SUMPRODUCT(('Rate Lookup'!$A$1:$A$37=Z164)*'Rate Lookup'!$C$1:$C$37)))))</f>
      </c>
      <c r="AB164" s="30"/>
      <c r="AC164" s="31"/>
      <c r="AD164" s="27">
        <f>IF($B164&lt;&gt;"Entry","",ROUND(AC164*AA164/100,0))</f>
      </c>
      <c r="AE164" s="27">
        <f>IF($B164&lt;&gt;"Entry","",0)</f>
      </c>
      <c r="AF164" s="27">
        <f>IF($B164&lt;&gt;"Entry","",0)</f>
      </c>
      <c r="AG164" s="27">
        <f>IF($B164&lt;&gt;"Entry","",IF(OR(AD164=0,AB164="",AQ164="",AQ164&lt;=0),0,IF(AQ164&lt;=DATE(YEAR(AB164),MONTH(AB164)+1,7),0,ROUND(AD164*0.015*((YEAR(AQ164)-YEAR(AB164))*12+(MONTH(AQ164)-MONTH(AB164))+1),0))))</f>
      </c>
      <c r="AH164" s="27">
        <f>IF($B164&lt;&gt;"Entry","",0)</f>
      </c>
      <c r="AI164" s="28"/>
      <c r="AJ164" s="28"/>
      <c r="AK164" s="32"/>
      <c r="AL164" s="28"/>
      <c r="AM164" s="28"/>
      <c r="AN164" s="27">
        <f>IF($B164&lt;&gt;"Challan","",SUMIF('Q1 Data'!$D$4:$D$207,D164,'Q1 Data'!$AD$4:$AD$207)+SUMIF('Q1 Data'!$D$4:$D$207,D164,'Q1 Data'!$AG$4:$AG$207)+SUMIF('Q1 Data'!$D$4:$D$207,D164,'Q1 Data'!$AE$4:$AE$207)+SUMIF('Q2 Data'!$D$4:$D$207,D164,'Q2 Data'!$AD$4:$AD$207)+SUMIF('Q2 Data'!$D$4:$D$207,D164,'Q2 Data'!$AG$4:$AG$207)+SUMIF('Q2 Data'!$D$4:$D$207,D164,'Q2 Data'!$AE$4:$AE$207)+SUMIF('Q3 Data'!$D$4:$D$207,D164,'Q3 Data'!$AD$4:$AD$207)+SUMIF('Q3 Data'!$D$4:$D$207,D164,'Q3 Data'!$AG$4:$AG$207)+SUMIF('Q3 Data'!$D$4:$D$207,D164,'Q3 Data'!$AE$4:$AE$207)+SUMIF('Q4 Data'!$D$4:$D$207,D164,'Q4 Data'!$AD$4:$AD$207)+SUMIF('Q4 Data'!$D$4:$D$207,D164,'Q4 Data'!$AG$4:$AG$207)+SUMIF('Q4 Data'!$D$4:$D$207,D164,'Q4 Data'!$AE$4:$AE$207))</f>
      </c>
      <c r="AO164" s="27">
        <f>IF($B164&lt;&gt;"Challan","",P164-N164)</f>
      </c>
      <c r="AP164" s="27">
        <f>IF($B164&lt;&gt;"Challan","",MAX(0,AO164-AN164))</f>
      </c>
      <c r="AQ164" s="33">
        <f>IF($B164&lt;&gt;"Entry","",SUMPRODUCT(('Q1 Data'!$D$4:$D$207=D164)*('Q1 Data'!$B$4:$B$207="Challan")*'Q1 Data'!$F$4:$F$207)+SUMPRODUCT(('Q2 Data'!$D$4:$D$207=D164)*('Q2 Data'!$B$4:$B$207="Challan")*'Q2 Data'!$F$4:$F$207)+SUMPRODUCT(('Q3 Data'!$D$4:$D$207=D164)*('Q3 Data'!$B$4:$B$207="Challan")*'Q3 Data'!$F$4:$F$207)+SUMPRODUCT(('Q4 Data'!$D$4:$D$207=D164)*('Q4 Data'!$B$4:$B$207="Challan")*'Q4 Data'!$F$4:$F$207))</f>
      </c>
      <c r="AR164" s="34">
        <f>IF(OR($B164&lt;&gt;"Entry",Z164=""),FALSE,AND((SUMPRODUCT(('Q1 Data'!$D$4:$D$207=D164)*('Q1 Data'!$B$4:$B$207="Challan")*('Q1 Data'!$H$4:$H$207&lt;&gt;""))+SUMPRODUCT(('Q2 Data'!$D$4:$D$207=D164)*('Q2 Data'!$B$4:$B$207="Challan")*('Q2 Data'!$H$4:$H$207&lt;&gt;""))+SUMPRODUCT(('Q3 Data'!$D$4:$D$207=D164)*('Q3 Data'!$B$4:$B$207="Challan")*('Q3 Data'!$H$4:$H$207&lt;&gt;""))+SUMPRODUCT(('Q4 Data'!$D$4:$D$207=D164)*('Q4 Data'!$B$4:$B$207="Challan")*('Q4 Data'!$H$4:$H$207&lt;&gt;"")))&gt;0,(SUMPRODUCT(('Q1 Data'!$D$4:$D$207=D164)*('Q1 Data'!$B$4:$B$207="Challan")*('Q1 Data'!$H$4:$H$207=Z164))+SUMPRODUCT(('Q2 Data'!$D$4:$D$207=D164)*('Q2 Data'!$B$4:$B$207="Challan")*('Q2 Data'!$H$4:$H$207=Z164))+SUMPRODUCT(('Q3 Data'!$D$4:$D$207=D164)*('Q3 Data'!$B$4:$B$207="Challan")*('Q3 Data'!$H$4:$H$207=Z164))+SUMPRODUCT(('Q4 Data'!$D$4:$D$207=D164)*('Q4 Data'!$B$4:$B$207="Challan")*('Q4 Data'!$H$4:$H$207=Z164)))=0))</f>
      </c>
    </row>
    <row r="165" spans="1:44" x14ac:dyDescent="0.25">
      <c r="A165" s="20">
        <f>IF($B165="Entry",COUNTIF($B$4:$B165,"Entry"),"")</f>
      </c>
      <c r="B165" s="21"/>
      <c r="C165" s="22"/>
      <c r="D165" s="22"/>
      <c r="E165" s="23">
        <f>IF($B165&lt;&gt;"Challan","",IF(ROUND(AN165-AO165,2)&gt;0,"Over-applied",IF(ROUND(AN165-AO165,2)=0,"Fully Utilised","Unconsumed")))</f>
      </c>
      <c r="F165" s="24"/>
      <c r="G165" s="25"/>
      <c r="H165" s="25"/>
      <c r="I165" s="26"/>
      <c r="J165" s="26"/>
      <c r="K165" s="26"/>
      <c r="L165" s="26"/>
      <c r="M165" s="26"/>
      <c r="N165" s="26"/>
      <c r="O165" s="26"/>
      <c r="P165" s="27">
        <f>IF($B165&lt;&gt;"Challan","",I165+J165+K165+L165+M165+N165)</f>
      </c>
      <c r="Q165" s="25"/>
      <c r="R165" s="25"/>
      <c r="S165" s="25"/>
      <c r="T165" s="25"/>
      <c r="U165" s="25"/>
      <c r="V165" s="28"/>
      <c r="W165" s="28"/>
      <c r="X165" s="23">
        <f>IF($B165="Entry",IF(AND(LEN(TRIM(UPPER(W165)))=10,CODE(MID(TRIM(UPPER(W165)),1,1))&gt;=65,CODE(MID(TRIM(UPPER(W165)),1,1))&lt;=90,CODE(MID(TRIM(UPPER(W165)),2,1))&gt;=65,CODE(MID(TRIM(UPPER(W165)),2,1))&lt;=90,CODE(MID(TRIM(UPPER(W165)),3,1))&gt;=65,CODE(MID(TRIM(UPPER(W165)),3,1))&lt;=90,CODE(MID(TRIM(UPPER(W165)),4,1))&gt;=65,CODE(MID(TRIM(UPPER(W165)),4,1))&lt;=90,CODE(MID(TRIM(UPPER(W165)),5,1))&gt;=65,CODE(MID(TRIM(UPPER(W165)),5,1))&lt;=90,CODE(MID(TRIM(UPPER(W165)),10,1))&gt;=65,CODE(MID(TRIM(UPPER(W165)),10,1))&lt;=90,CODE(MID(TRIM(UPPER(W165)),6,1))&gt;=48,CODE(MID(TRIM(UPPER(W165)),6,1))&lt;=57,CODE(MID(TRIM(UPPER(W165)),7,1))&gt;=48,CODE(MID(TRIM(UPPER(W165)),7,1))&lt;=57,CODE(MID(TRIM(UPPER(W165)),8,1))&gt;=48,CODE(MID(TRIM(UPPER(W165)),8,1))&lt;=57,CODE(MID(TRIM(UPPER(W165)),9,1))&gt;=48,CODE(MID(TRIM(UPPER(W165)),9,1))&lt;=57),"N","Y"),IF($B165="Challan","",IF(W165&lt;&gt;"","◄ Set Row Type","")))</f>
      </c>
      <c r="Y165" s="23">
        <f>IF($B165="Entry",IF(LEN(W165)&lt;4,"",IF(UPPER(MID(W165,4,1))="P","Individual",IF(UPPER(MID(W165,4,1))="H","HUF",IF(UPPER(MID(W165,4,1))="C","Company",IF(UPPER(MID(W165,4,1))="F","Firm",IF(UPPER(MID(W165,4,1))="L","LLP",IF(UPPER(MID(W165,4,1))="T","Trust",IF(UPPER(MID(W165,4,1))="A","AOP","")))))))),IF($B165="Challan","",IF(W165&lt;&gt;"","◄ Set Row Type","")))</f>
      </c>
      <c r="Z165" s="28"/>
      <c r="AA165" s="29">
        <f>IF($B165&lt;&gt;"Entry","",IF(Z165="","",IF(X165="Y",SUMPRODUCT(('Rate Lookup'!$A$1:$A$37=Z165)*'Rate Lookup'!$D$1:$D$37),IF(OR(Y165="Individual",Y165="HUF"),SUMPRODUCT(('Rate Lookup'!$A$1:$A$37=Z165)*'Rate Lookup'!$B$1:$B$37),SUMPRODUCT(('Rate Lookup'!$A$1:$A$37=Z165)*'Rate Lookup'!$C$1:$C$37)))))</f>
      </c>
      <c r="AB165" s="30"/>
      <c r="AC165" s="31"/>
      <c r="AD165" s="27">
        <f>IF($B165&lt;&gt;"Entry","",ROUND(AC165*AA165/100,0))</f>
      </c>
      <c r="AE165" s="27">
        <f>IF($B165&lt;&gt;"Entry","",0)</f>
      </c>
      <c r="AF165" s="27">
        <f>IF($B165&lt;&gt;"Entry","",0)</f>
      </c>
      <c r="AG165" s="27">
        <f>IF($B165&lt;&gt;"Entry","",IF(OR(AD165=0,AB165="",AQ165="",AQ165&lt;=0),0,IF(AQ165&lt;=DATE(YEAR(AB165),MONTH(AB165)+1,7),0,ROUND(AD165*0.015*((YEAR(AQ165)-YEAR(AB165))*12+(MONTH(AQ165)-MONTH(AB165))+1),0))))</f>
      </c>
      <c r="AH165" s="27">
        <f>IF($B165&lt;&gt;"Entry","",0)</f>
      </c>
      <c r="AI165" s="28"/>
      <c r="AJ165" s="28"/>
      <c r="AK165" s="32"/>
      <c r="AL165" s="28"/>
      <c r="AM165" s="28"/>
      <c r="AN165" s="27">
        <f>IF($B165&lt;&gt;"Challan","",SUMIF('Q1 Data'!$D$4:$D$207,D165,'Q1 Data'!$AD$4:$AD$207)+SUMIF('Q1 Data'!$D$4:$D$207,D165,'Q1 Data'!$AG$4:$AG$207)+SUMIF('Q1 Data'!$D$4:$D$207,D165,'Q1 Data'!$AE$4:$AE$207)+SUMIF('Q2 Data'!$D$4:$D$207,D165,'Q2 Data'!$AD$4:$AD$207)+SUMIF('Q2 Data'!$D$4:$D$207,D165,'Q2 Data'!$AG$4:$AG$207)+SUMIF('Q2 Data'!$D$4:$D$207,D165,'Q2 Data'!$AE$4:$AE$207)+SUMIF('Q3 Data'!$D$4:$D$207,D165,'Q3 Data'!$AD$4:$AD$207)+SUMIF('Q3 Data'!$D$4:$D$207,D165,'Q3 Data'!$AG$4:$AG$207)+SUMIF('Q3 Data'!$D$4:$D$207,D165,'Q3 Data'!$AE$4:$AE$207)+SUMIF('Q4 Data'!$D$4:$D$207,D165,'Q4 Data'!$AD$4:$AD$207)+SUMIF('Q4 Data'!$D$4:$D$207,D165,'Q4 Data'!$AG$4:$AG$207)+SUMIF('Q4 Data'!$D$4:$D$207,D165,'Q4 Data'!$AE$4:$AE$207))</f>
      </c>
      <c r="AO165" s="27">
        <f>IF($B165&lt;&gt;"Challan","",P165-N165)</f>
      </c>
      <c r="AP165" s="27">
        <f>IF($B165&lt;&gt;"Challan","",MAX(0,AO165-AN165))</f>
      </c>
      <c r="AQ165" s="33">
        <f>IF($B165&lt;&gt;"Entry","",SUMPRODUCT(('Q1 Data'!$D$4:$D$207=D165)*('Q1 Data'!$B$4:$B$207="Challan")*'Q1 Data'!$F$4:$F$207)+SUMPRODUCT(('Q2 Data'!$D$4:$D$207=D165)*('Q2 Data'!$B$4:$B$207="Challan")*'Q2 Data'!$F$4:$F$207)+SUMPRODUCT(('Q3 Data'!$D$4:$D$207=D165)*('Q3 Data'!$B$4:$B$207="Challan")*'Q3 Data'!$F$4:$F$207)+SUMPRODUCT(('Q4 Data'!$D$4:$D$207=D165)*('Q4 Data'!$B$4:$B$207="Challan")*'Q4 Data'!$F$4:$F$207))</f>
      </c>
      <c r="AR165" s="34">
        <f>IF(OR($B165&lt;&gt;"Entry",Z165=""),FALSE,AND((SUMPRODUCT(('Q1 Data'!$D$4:$D$207=D165)*('Q1 Data'!$B$4:$B$207="Challan")*('Q1 Data'!$H$4:$H$207&lt;&gt;""))+SUMPRODUCT(('Q2 Data'!$D$4:$D$207=D165)*('Q2 Data'!$B$4:$B$207="Challan")*('Q2 Data'!$H$4:$H$207&lt;&gt;""))+SUMPRODUCT(('Q3 Data'!$D$4:$D$207=D165)*('Q3 Data'!$B$4:$B$207="Challan")*('Q3 Data'!$H$4:$H$207&lt;&gt;""))+SUMPRODUCT(('Q4 Data'!$D$4:$D$207=D165)*('Q4 Data'!$B$4:$B$207="Challan")*('Q4 Data'!$H$4:$H$207&lt;&gt;"")))&gt;0,(SUMPRODUCT(('Q1 Data'!$D$4:$D$207=D165)*('Q1 Data'!$B$4:$B$207="Challan")*('Q1 Data'!$H$4:$H$207=Z165))+SUMPRODUCT(('Q2 Data'!$D$4:$D$207=D165)*('Q2 Data'!$B$4:$B$207="Challan")*('Q2 Data'!$H$4:$H$207=Z165))+SUMPRODUCT(('Q3 Data'!$D$4:$D$207=D165)*('Q3 Data'!$B$4:$B$207="Challan")*('Q3 Data'!$H$4:$H$207=Z165))+SUMPRODUCT(('Q4 Data'!$D$4:$D$207=D165)*('Q4 Data'!$B$4:$B$207="Challan")*('Q4 Data'!$H$4:$H$207=Z165)))=0))</f>
      </c>
    </row>
    <row r="166" spans="1:44" x14ac:dyDescent="0.25">
      <c r="A166" s="20">
        <f>IF($B166="Entry",COUNTIF($B$4:$B166,"Entry"),"")</f>
      </c>
      <c r="B166" s="21"/>
      <c r="C166" s="22"/>
      <c r="D166" s="22"/>
      <c r="E166" s="23">
        <f>IF($B166&lt;&gt;"Challan","",IF(ROUND(AN166-AO166,2)&gt;0,"Over-applied",IF(ROUND(AN166-AO166,2)=0,"Fully Utilised","Unconsumed")))</f>
      </c>
      <c r="F166" s="24"/>
      <c r="G166" s="25"/>
      <c r="H166" s="25"/>
      <c r="I166" s="26"/>
      <c r="J166" s="26"/>
      <c r="K166" s="26"/>
      <c r="L166" s="26"/>
      <c r="M166" s="26"/>
      <c r="N166" s="26"/>
      <c r="O166" s="26"/>
      <c r="P166" s="27">
        <f>IF($B166&lt;&gt;"Challan","",I166+J166+K166+L166+M166+N166)</f>
      </c>
      <c r="Q166" s="25"/>
      <c r="R166" s="25"/>
      <c r="S166" s="25"/>
      <c r="T166" s="25"/>
      <c r="U166" s="25"/>
      <c r="V166" s="28"/>
      <c r="W166" s="28"/>
      <c r="X166" s="23">
        <f>IF($B166="Entry",IF(AND(LEN(TRIM(UPPER(W166)))=10,CODE(MID(TRIM(UPPER(W166)),1,1))&gt;=65,CODE(MID(TRIM(UPPER(W166)),1,1))&lt;=90,CODE(MID(TRIM(UPPER(W166)),2,1))&gt;=65,CODE(MID(TRIM(UPPER(W166)),2,1))&lt;=90,CODE(MID(TRIM(UPPER(W166)),3,1))&gt;=65,CODE(MID(TRIM(UPPER(W166)),3,1))&lt;=90,CODE(MID(TRIM(UPPER(W166)),4,1))&gt;=65,CODE(MID(TRIM(UPPER(W166)),4,1))&lt;=90,CODE(MID(TRIM(UPPER(W166)),5,1))&gt;=65,CODE(MID(TRIM(UPPER(W166)),5,1))&lt;=90,CODE(MID(TRIM(UPPER(W166)),10,1))&gt;=65,CODE(MID(TRIM(UPPER(W166)),10,1))&lt;=90,CODE(MID(TRIM(UPPER(W166)),6,1))&gt;=48,CODE(MID(TRIM(UPPER(W166)),6,1))&lt;=57,CODE(MID(TRIM(UPPER(W166)),7,1))&gt;=48,CODE(MID(TRIM(UPPER(W166)),7,1))&lt;=57,CODE(MID(TRIM(UPPER(W166)),8,1))&gt;=48,CODE(MID(TRIM(UPPER(W166)),8,1))&lt;=57,CODE(MID(TRIM(UPPER(W166)),9,1))&gt;=48,CODE(MID(TRIM(UPPER(W166)),9,1))&lt;=57),"N","Y"),IF($B166="Challan","",IF(W166&lt;&gt;"","◄ Set Row Type","")))</f>
      </c>
      <c r="Y166" s="23">
        <f>IF($B166="Entry",IF(LEN(W166)&lt;4,"",IF(UPPER(MID(W166,4,1))="P","Individual",IF(UPPER(MID(W166,4,1))="H","HUF",IF(UPPER(MID(W166,4,1))="C","Company",IF(UPPER(MID(W166,4,1))="F","Firm",IF(UPPER(MID(W166,4,1))="L","LLP",IF(UPPER(MID(W166,4,1))="T","Trust",IF(UPPER(MID(W166,4,1))="A","AOP","")))))))),IF($B166="Challan","",IF(W166&lt;&gt;"","◄ Set Row Type","")))</f>
      </c>
      <c r="Z166" s="28"/>
      <c r="AA166" s="29">
        <f>IF($B166&lt;&gt;"Entry","",IF(Z166="","",IF(X166="Y",SUMPRODUCT(('Rate Lookup'!$A$1:$A$37=Z166)*'Rate Lookup'!$D$1:$D$37),IF(OR(Y166="Individual",Y166="HUF"),SUMPRODUCT(('Rate Lookup'!$A$1:$A$37=Z166)*'Rate Lookup'!$B$1:$B$37),SUMPRODUCT(('Rate Lookup'!$A$1:$A$37=Z166)*'Rate Lookup'!$C$1:$C$37)))))</f>
      </c>
      <c r="AB166" s="30"/>
      <c r="AC166" s="31"/>
      <c r="AD166" s="27">
        <f>IF($B166&lt;&gt;"Entry","",ROUND(AC166*AA166/100,0))</f>
      </c>
      <c r="AE166" s="27">
        <f>IF($B166&lt;&gt;"Entry","",0)</f>
      </c>
      <c r="AF166" s="27">
        <f>IF($B166&lt;&gt;"Entry","",0)</f>
      </c>
      <c r="AG166" s="27">
        <f>IF($B166&lt;&gt;"Entry","",IF(OR(AD166=0,AB166="",AQ166="",AQ166&lt;=0),0,IF(AQ166&lt;=DATE(YEAR(AB166),MONTH(AB166)+1,7),0,ROUND(AD166*0.015*((YEAR(AQ166)-YEAR(AB166))*12+(MONTH(AQ166)-MONTH(AB166))+1),0))))</f>
      </c>
      <c r="AH166" s="27">
        <f>IF($B166&lt;&gt;"Entry","",0)</f>
      </c>
      <c r="AI166" s="28"/>
      <c r="AJ166" s="28"/>
      <c r="AK166" s="32"/>
      <c r="AL166" s="28"/>
      <c r="AM166" s="28"/>
      <c r="AN166" s="27">
        <f>IF($B166&lt;&gt;"Challan","",SUMIF('Q1 Data'!$D$4:$D$207,D166,'Q1 Data'!$AD$4:$AD$207)+SUMIF('Q1 Data'!$D$4:$D$207,D166,'Q1 Data'!$AG$4:$AG$207)+SUMIF('Q1 Data'!$D$4:$D$207,D166,'Q1 Data'!$AE$4:$AE$207)+SUMIF('Q2 Data'!$D$4:$D$207,D166,'Q2 Data'!$AD$4:$AD$207)+SUMIF('Q2 Data'!$D$4:$D$207,D166,'Q2 Data'!$AG$4:$AG$207)+SUMIF('Q2 Data'!$D$4:$D$207,D166,'Q2 Data'!$AE$4:$AE$207)+SUMIF('Q3 Data'!$D$4:$D$207,D166,'Q3 Data'!$AD$4:$AD$207)+SUMIF('Q3 Data'!$D$4:$D$207,D166,'Q3 Data'!$AG$4:$AG$207)+SUMIF('Q3 Data'!$D$4:$D$207,D166,'Q3 Data'!$AE$4:$AE$207)+SUMIF('Q4 Data'!$D$4:$D$207,D166,'Q4 Data'!$AD$4:$AD$207)+SUMIF('Q4 Data'!$D$4:$D$207,D166,'Q4 Data'!$AG$4:$AG$207)+SUMIF('Q4 Data'!$D$4:$D$207,D166,'Q4 Data'!$AE$4:$AE$207))</f>
      </c>
      <c r="AO166" s="27">
        <f>IF($B166&lt;&gt;"Challan","",P166-N166)</f>
      </c>
      <c r="AP166" s="27">
        <f>IF($B166&lt;&gt;"Challan","",MAX(0,AO166-AN166))</f>
      </c>
      <c r="AQ166" s="33">
        <f>IF($B166&lt;&gt;"Entry","",SUMPRODUCT(('Q1 Data'!$D$4:$D$207=D166)*('Q1 Data'!$B$4:$B$207="Challan")*'Q1 Data'!$F$4:$F$207)+SUMPRODUCT(('Q2 Data'!$D$4:$D$207=D166)*('Q2 Data'!$B$4:$B$207="Challan")*'Q2 Data'!$F$4:$F$207)+SUMPRODUCT(('Q3 Data'!$D$4:$D$207=D166)*('Q3 Data'!$B$4:$B$207="Challan")*'Q3 Data'!$F$4:$F$207)+SUMPRODUCT(('Q4 Data'!$D$4:$D$207=D166)*('Q4 Data'!$B$4:$B$207="Challan")*'Q4 Data'!$F$4:$F$207))</f>
      </c>
      <c r="AR166" s="34">
        <f>IF(OR($B166&lt;&gt;"Entry",Z166=""),FALSE,AND((SUMPRODUCT(('Q1 Data'!$D$4:$D$207=D166)*('Q1 Data'!$B$4:$B$207="Challan")*('Q1 Data'!$H$4:$H$207&lt;&gt;""))+SUMPRODUCT(('Q2 Data'!$D$4:$D$207=D166)*('Q2 Data'!$B$4:$B$207="Challan")*('Q2 Data'!$H$4:$H$207&lt;&gt;""))+SUMPRODUCT(('Q3 Data'!$D$4:$D$207=D166)*('Q3 Data'!$B$4:$B$207="Challan")*('Q3 Data'!$H$4:$H$207&lt;&gt;""))+SUMPRODUCT(('Q4 Data'!$D$4:$D$207=D166)*('Q4 Data'!$B$4:$B$207="Challan")*('Q4 Data'!$H$4:$H$207&lt;&gt;"")))&gt;0,(SUMPRODUCT(('Q1 Data'!$D$4:$D$207=D166)*('Q1 Data'!$B$4:$B$207="Challan")*('Q1 Data'!$H$4:$H$207=Z166))+SUMPRODUCT(('Q2 Data'!$D$4:$D$207=D166)*('Q2 Data'!$B$4:$B$207="Challan")*('Q2 Data'!$H$4:$H$207=Z166))+SUMPRODUCT(('Q3 Data'!$D$4:$D$207=D166)*('Q3 Data'!$B$4:$B$207="Challan")*('Q3 Data'!$H$4:$H$207=Z166))+SUMPRODUCT(('Q4 Data'!$D$4:$D$207=D166)*('Q4 Data'!$B$4:$B$207="Challan")*('Q4 Data'!$H$4:$H$207=Z166)))=0))</f>
      </c>
    </row>
    <row r="167" spans="1:44" x14ac:dyDescent="0.25">
      <c r="A167" s="20">
        <f>IF($B167="Entry",COUNTIF($B$4:$B167,"Entry"),"")</f>
      </c>
      <c r="B167" s="21"/>
      <c r="C167" s="22"/>
      <c r="D167" s="22"/>
      <c r="E167" s="23">
        <f>IF($B167&lt;&gt;"Challan","",IF(ROUND(AN167-AO167,2)&gt;0,"Over-applied",IF(ROUND(AN167-AO167,2)=0,"Fully Utilised","Unconsumed")))</f>
      </c>
      <c r="F167" s="24"/>
      <c r="G167" s="25"/>
      <c r="H167" s="25"/>
      <c r="I167" s="26"/>
      <c r="J167" s="26"/>
      <c r="K167" s="26"/>
      <c r="L167" s="26"/>
      <c r="M167" s="26"/>
      <c r="N167" s="26"/>
      <c r="O167" s="26"/>
      <c r="P167" s="27">
        <f>IF($B167&lt;&gt;"Challan","",I167+J167+K167+L167+M167+N167)</f>
      </c>
      <c r="Q167" s="25"/>
      <c r="R167" s="25"/>
      <c r="S167" s="25"/>
      <c r="T167" s="25"/>
      <c r="U167" s="25"/>
      <c r="V167" s="28"/>
      <c r="W167" s="28"/>
      <c r="X167" s="23">
        <f>IF($B167="Entry",IF(AND(LEN(TRIM(UPPER(W167)))=10,CODE(MID(TRIM(UPPER(W167)),1,1))&gt;=65,CODE(MID(TRIM(UPPER(W167)),1,1))&lt;=90,CODE(MID(TRIM(UPPER(W167)),2,1))&gt;=65,CODE(MID(TRIM(UPPER(W167)),2,1))&lt;=90,CODE(MID(TRIM(UPPER(W167)),3,1))&gt;=65,CODE(MID(TRIM(UPPER(W167)),3,1))&lt;=90,CODE(MID(TRIM(UPPER(W167)),4,1))&gt;=65,CODE(MID(TRIM(UPPER(W167)),4,1))&lt;=90,CODE(MID(TRIM(UPPER(W167)),5,1))&gt;=65,CODE(MID(TRIM(UPPER(W167)),5,1))&lt;=90,CODE(MID(TRIM(UPPER(W167)),10,1))&gt;=65,CODE(MID(TRIM(UPPER(W167)),10,1))&lt;=90,CODE(MID(TRIM(UPPER(W167)),6,1))&gt;=48,CODE(MID(TRIM(UPPER(W167)),6,1))&lt;=57,CODE(MID(TRIM(UPPER(W167)),7,1))&gt;=48,CODE(MID(TRIM(UPPER(W167)),7,1))&lt;=57,CODE(MID(TRIM(UPPER(W167)),8,1))&gt;=48,CODE(MID(TRIM(UPPER(W167)),8,1))&lt;=57,CODE(MID(TRIM(UPPER(W167)),9,1))&gt;=48,CODE(MID(TRIM(UPPER(W167)),9,1))&lt;=57),"N","Y"),IF($B167="Challan","",IF(W167&lt;&gt;"","◄ Set Row Type","")))</f>
      </c>
      <c r="Y167" s="23">
        <f>IF($B167="Entry",IF(LEN(W167)&lt;4,"",IF(UPPER(MID(W167,4,1))="P","Individual",IF(UPPER(MID(W167,4,1))="H","HUF",IF(UPPER(MID(W167,4,1))="C","Company",IF(UPPER(MID(W167,4,1))="F","Firm",IF(UPPER(MID(W167,4,1))="L","LLP",IF(UPPER(MID(W167,4,1))="T","Trust",IF(UPPER(MID(W167,4,1))="A","AOP","")))))))),IF($B167="Challan","",IF(W167&lt;&gt;"","◄ Set Row Type","")))</f>
      </c>
      <c r="Z167" s="28"/>
      <c r="AA167" s="29">
        <f>IF($B167&lt;&gt;"Entry","",IF(Z167="","",IF(X167="Y",SUMPRODUCT(('Rate Lookup'!$A$1:$A$37=Z167)*'Rate Lookup'!$D$1:$D$37),IF(OR(Y167="Individual",Y167="HUF"),SUMPRODUCT(('Rate Lookup'!$A$1:$A$37=Z167)*'Rate Lookup'!$B$1:$B$37),SUMPRODUCT(('Rate Lookup'!$A$1:$A$37=Z167)*'Rate Lookup'!$C$1:$C$37)))))</f>
      </c>
      <c r="AB167" s="30"/>
      <c r="AC167" s="31"/>
      <c r="AD167" s="27">
        <f>IF($B167&lt;&gt;"Entry","",ROUND(AC167*AA167/100,0))</f>
      </c>
      <c r="AE167" s="27">
        <f>IF($B167&lt;&gt;"Entry","",0)</f>
      </c>
      <c r="AF167" s="27">
        <f>IF($B167&lt;&gt;"Entry","",0)</f>
      </c>
      <c r="AG167" s="27">
        <f>IF($B167&lt;&gt;"Entry","",IF(OR(AD167=0,AB167="",AQ167="",AQ167&lt;=0),0,IF(AQ167&lt;=DATE(YEAR(AB167),MONTH(AB167)+1,7),0,ROUND(AD167*0.015*((YEAR(AQ167)-YEAR(AB167))*12+(MONTH(AQ167)-MONTH(AB167))+1),0))))</f>
      </c>
      <c r="AH167" s="27">
        <f>IF($B167&lt;&gt;"Entry","",0)</f>
      </c>
      <c r="AI167" s="28"/>
      <c r="AJ167" s="28"/>
      <c r="AK167" s="32"/>
      <c r="AL167" s="28"/>
      <c r="AM167" s="28"/>
      <c r="AN167" s="27">
        <f>IF($B167&lt;&gt;"Challan","",SUMIF('Q1 Data'!$D$4:$D$207,D167,'Q1 Data'!$AD$4:$AD$207)+SUMIF('Q1 Data'!$D$4:$D$207,D167,'Q1 Data'!$AG$4:$AG$207)+SUMIF('Q1 Data'!$D$4:$D$207,D167,'Q1 Data'!$AE$4:$AE$207)+SUMIF('Q2 Data'!$D$4:$D$207,D167,'Q2 Data'!$AD$4:$AD$207)+SUMIF('Q2 Data'!$D$4:$D$207,D167,'Q2 Data'!$AG$4:$AG$207)+SUMIF('Q2 Data'!$D$4:$D$207,D167,'Q2 Data'!$AE$4:$AE$207)+SUMIF('Q3 Data'!$D$4:$D$207,D167,'Q3 Data'!$AD$4:$AD$207)+SUMIF('Q3 Data'!$D$4:$D$207,D167,'Q3 Data'!$AG$4:$AG$207)+SUMIF('Q3 Data'!$D$4:$D$207,D167,'Q3 Data'!$AE$4:$AE$207)+SUMIF('Q4 Data'!$D$4:$D$207,D167,'Q4 Data'!$AD$4:$AD$207)+SUMIF('Q4 Data'!$D$4:$D$207,D167,'Q4 Data'!$AG$4:$AG$207)+SUMIF('Q4 Data'!$D$4:$D$207,D167,'Q4 Data'!$AE$4:$AE$207))</f>
      </c>
      <c r="AO167" s="27">
        <f>IF($B167&lt;&gt;"Challan","",P167-N167)</f>
      </c>
      <c r="AP167" s="27">
        <f>IF($B167&lt;&gt;"Challan","",MAX(0,AO167-AN167))</f>
      </c>
      <c r="AQ167" s="33">
        <f>IF($B167&lt;&gt;"Entry","",SUMPRODUCT(('Q1 Data'!$D$4:$D$207=D167)*('Q1 Data'!$B$4:$B$207="Challan")*'Q1 Data'!$F$4:$F$207)+SUMPRODUCT(('Q2 Data'!$D$4:$D$207=D167)*('Q2 Data'!$B$4:$B$207="Challan")*'Q2 Data'!$F$4:$F$207)+SUMPRODUCT(('Q3 Data'!$D$4:$D$207=D167)*('Q3 Data'!$B$4:$B$207="Challan")*'Q3 Data'!$F$4:$F$207)+SUMPRODUCT(('Q4 Data'!$D$4:$D$207=D167)*('Q4 Data'!$B$4:$B$207="Challan")*'Q4 Data'!$F$4:$F$207))</f>
      </c>
      <c r="AR167" s="34">
        <f>IF(OR($B167&lt;&gt;"Entry",Z167=""),FALSE,AND((SUMPRODUCT(('Q1 Data'!$D$4:$D$207=D167)*('Q1 Data'!$B$4:$B$207="Challan")*('Q1 Data'!$H$4:$H$207&lt;&gt;""))+SUMPRODUCT(('Q2 Data'!$D$4:$D$207=D167)*('Q2 Data'!$B$4:$B$207="Challan")*('Q2 Data'!$H$4:$H$207&lt;&gt;""))+SUMPRODUCT(('Q3 Data'!$D$4:$D$207=D167)*('Q3 Data'!$B$4:$B$207="Challan")*('Q3 Data'!$H$4:$H$207&lt;&gt;""))+SUMPRODUCT(('Q4 Data'!$D$4:$D$207=D167)*('Q4 Data'!$B$4:$B$207="Challan")*('Q4 Data'!$H$4:$H$207&lt;&gt;"")))&gt;0,(SUMPRODUCT(('Q1 Data'!$D$4:$D$207=D167)*('Q1 Data'!$B$4:$B$207="Challan")*('Q1 Data'!$H$4:$H$207=Z167))+SUMPRODUCT(('Q2 Data'!$D$4:$D$207=D167)*('Q2 Data'!$B$4:$B$207="Challan")*('Q2 Data'!$H$4:$H$207=Z167))+SUMPRODUCT(('Q3 Data'!$D$4:$D$207=D167)*('Q3 Data'!$B$4:$B$207="Challan")*('Q3 Data'!$H$4:$H$207=Z167))+SUMPRODUCT(('Q4 Data'!$D$4:$D$207=D167)*('Q4 Data'!$B$4:$B$207="Challan")*('Q4 Data'!$H$4:$H$207=Z167)))=0))</f>
      </c>
    </row>
    <row r="168" spans="1:44" x14ac:dyDescent="0.25">
      <c r="A168" s="20">
        <f>IF($B168="Entry",COUNTIF($B$4:$B168,"Entry"),"")</f>
      </c>
      <c r="B168" s="21"/>
      <c r="C168" s="22"/>
      <c r="D168" s="22"/>
      <c r="E168" s="23">
        <f>IF($B168&lt;&gt;"Challan","",IF(ROUND(AN168-AO168,2)&gt;0,"Over-applied",IF(ROUND(AN168-AO168,2)=0,"Fully Utilised","Unconsumed")))</f>
      </c>
      <c r="F168" s="24"/>
      <c r="G168" s="25"/>
      <c r="H168" s="25"/>
      <c r="I168" s="26"/>
      <c r="J168" s="26"/>
      <c r="K168" s="26"/>
      <c r="L168" s="26"/>
      <c r="M168" s="26"/>
      <c r="N168" s="26"/>
      <c r="O168" s="26"/>
      <c r="P168" s="27">
        <f>IF($B168&lt;&gt;"Challan","",I168+J168+K168+L168+M168+N168)</f>
      </c>
      <c r="Q168" s="25"/>
      <c r="R168" s="25"/>
      <c r="S168" s="25"/>
      <c r="T168" s="25"/>
      <c r="U168" s="25"/>
      <c r="V168" s="28"/>
      <c r="W168" s="28"/>
      <c r="X168" s="23">
        <f>IF($B168="Entry",IF(AND(LEN(TRIM(UPPER(W168)))=10,CODE(MID(TRIM(UPPER(W168)),1,1))&gt;=65,CODE(MID(TRIM(UPPER(W168)),1,1))&lt;=90,CODE(MID(TRIM(UPPER(W168)),2,1))&gt;=65,CODE(MID(TRIM(UPPER(W168)),2,1))&lt;=90,CODE(MID(TRIM(UPPER(W168)),3,1))&gt;=65,CODE(MID(TRIM(UPPER(W168)),3,1))&lt;=90,CODE(MID(TRIM(UPPER(W168)),4,1))&gt;=65,CODE(MID(TRIM(UPPER(W168)),4,1))&lt;=90,CODE(MID(TRIM(UPPER(W168)),5,1))&gt;=65,CODE(MID(TRIM(UPPER(W168)),5,1))&lt;=90,CODE(MID(TRIM(UPPER(W168)),10,1))&gt;=65,CODE(MID(TRIM(UPPER(W168)),10,1))&lt;=90,CODE(MID(TRIM(UPPER(W168)),6,1))&gt;=48,CODE(MID(TRIM(UPPER(W168)),6,1))&lt;=57,CODE(MID(TRIM(UPPER(W168)),7,1))&gt;=48,CODE(MID(TRIM(UPPER(W168)),7,1))&lt;=57,CODE(MID(TRIM(UPPER(W168)),8,1))&gt;=48,CODE(MID(TRIM(UPPER(W168)),8,1))&lt;=57,CODE(MID(TRIM(UPPER(W168)),9,1))&gt;=48,CODE(MID(TRIM(UPPER(W168)),9,1))&lt;=57),"N","Y"),IF($B168="Challan","",IF(W168&lt;&gt;"","◄ Set Row Type","")))</f>
      </c>
      <c r="Y168" s="23">
        <f>IF($B168="Entry",IF(LEN(W168)&lt;4,"",IF(UPPER(MID(W168,4,1))="P","Individual",IF(UPPER(MID(W168,4,1))="H","HUF",IF(UPPER(MID(W168,4,1))="C","Company",IF(UPPER(MID(W168,4,1))="F","Firm",IF(UPPER(MID(W168,4,1))="L","LLP",IF(UPPER(MID(W168,4,1))="T","Trust",IF(UPPER(MID(W168,4,1))="A","AOP","")))))))),IF($B168="Challan","",IF(W168&lt;&gt;"","◄ Set Row Type","")))</f>
      </c>
      <c r="Z168" s="28"/>
      <c r="AA168" s="29">
        <f>IF($B168&lt;&gt;"Entry","",IF(Z168="","",IF(X168="Y",SUMPRODUCT(('Rate Lookup'!$A$1:$A$37=Z168)*'Rate Lookup'!$D$1:$D$37),IF(OR(Y168="Individual",Y168="HUF"),SUMPRODUCT(('Rate Lookup'!$A$1:$A$37=Z168)*'Rate Lookup'!$B$1:$B$37),SUMPRODUCT(('Rate Lookup'!$A$1:$A$37=Z168)*'Rate Lookup'!$C$1:$C$37)))))</f>
      </c>
      <c r="AB168" s="30"/>
      <c r="AC168" s="31"/>
      <c r="AD168" s="27">
        <f>IF($B168&lt;&gt;"Entry","",ROUND(AC168*AA168/100,0))</f>
      </c>
      <c r="AE168" s="27">
        <f>IF($B168&lt;&gt;"Entry","",0)</f>
      </c>
      <c r="AF168" s="27">
        <f>IF($B168&lt;&gt;"Entry","",0)</f>
      </c>
      <c r="AG168" s="27">
        <f>IF($B168&lt;&gt;"Entry","",IF(OR(AD168=0,AB168="",AQ168="",AQ168&lt;=0),0,IF(AQ168&lt;=DATE(YEAR(AB168),MONTH(AB168)+1,7),0,ROUND(AD168*0.015*((YEAR(AQ168)-YEAR(AB168))*12+(MONTH(AQ168)-MONTH(AB168))+1),0))))</f>
      </c>
      <c r="AH168" s="27">
        <f>IF($B168&lt;&gt;"Entry","",0)</f>
      </c>
      <c r="AI168" s="28"/>
      <c r="AJ168" s="28"/>
      <c r="AK168" s="32"/>
      <c r="AL168" s="28"/>
      <c r="AM168" s="28"/>
      <c r="AN168" s="27">
        <f>IF($B168&lt;&gt;"Challan","",SUMIF('Q1 Data'!$D$4:$D$207,D168,'Q1 Data'!$AD$4:$AD$207)+SUMIF('Q1 Data'!$D$4:$D$207,D168,'Q1 Data'!$AG$4:$AG$207)+SUMIF('Q1 Data'!$D$4:$D$207,D168,'Q1 Data'!$AE$4:$AE$207)+SUMIF('Q2 Data'!$D$4:$D$207,D168,'Q2 Data'!$AD$4:$AD$207)+SUMIF('Q2 Data'!$D$4:$D$207,D168,'Q2 Data'!$AG$4:$AG$207)+SUMIF('Q2 Data'!$D$4:$D$207,D168,'Q2 Data'!$AE$4:$AE$207)+SUMIF('Q3 Data'!$D$4:$D$207,D168,'Q3 Data'!$AD$4:$AD$207)+SUMIF('Q3 Data'!$D$4:$D$207,D168,'Q3 Data'!$AG$4:$AG$207)+SUMIF('Q3 Data'!$D$4:$D$207,D168,'Q3 Data'!$AE$4:$AE$207)+SUMIF('Q4 Data'!$D$4:$D$207,D168,'Q4 Data'!$AD$4:$AD$207)+SUMIF('Q4 Data'!$D$4:$D$207,D168,'Q4 Data'!$AG$4:$AG$207)+SUMIF('Q4 Data'!$D$4:$D$207,D168,'Q4 Data'!$AE$4:$AE$207))</f>
      </c>
      <c r="AO168" s="27">
        <f>IF($B168&lt;&gt;"Challan","",P168-N168)</f>
      </c>
      <c r="AP168" s="27">
        <f>IF($B168&lt;&gt;"Challan","",MAX(0,AO168-AN168))</f>
      </c>
      <c r="AQ168" s="33">
        <f>IF($B168&lt;&gt;"Entry","",SUMPRODUCT(('Q1 Data'!$D$4:$D$207=D168)*('Q1 Data'!$B$4:$B$207="Challan")*'Q1 Data'!$F$4:$F$207)+SUMPRODUCT(('Q2 Data'!$D$4:$D$207=D168)*('Q2 Data'!$B$4:$B$207="Challan")*'Q2 Data'!$F$4:$F$207)+SUMPRODUCT(('Q3 Data'!$D$4:$D$207=D168)*('Q3 Data'!$B$4:$B$207="Challan")*'Q3 Data'!$F$4:$F$207)+SUMPRODUCT(('Q4 Data'!$D$4:$D$207=D168)*('Q4 Data'!$B$4:$B$207="Challan")*'Q4 Data'!$F$4:$F$207))</f>
      </c>
      <c r="AR168" s="34">
        <f>IF(OR($B168&lt;&gt;"Entry",Z168=""),FALSE,AND((SUMPRODUCT(('Q1 Data'!$D$4:$D$207=D168)*('Q1 Data'!$B$4:$B$207="Challan")*('Q1 Data'!$H$4:$H$207&lt;&gt;""))+SUMPRODUCT(('Q2 Data'!$D$4:$D$207=D168)*('Q2 Data'!$B$4:$B$207="Challan")*('Q2 Data'!$H$4:$H$207&lt;&gt;""))+SUMPRODUCT(('Q3 Data'!$D$4:$D$207=D168)*('Q3 Data'!$B$4:$B$207="Challan")*('Q3 Data'!$H$4:$H$207&lt;&gt;""))+SUMPRODUCT(('Q4 Data'!$D$4:$D$207=D168)*('Q4 Data'!$B$4:$B$207="Challan")*('Q4 Data'!$H$4:$H$207&lt;&gt;"")))&gt;0,(SUMPRODUCT(('Q1 Data'!$D$4:$D$207=D168)*('Q1 Data'!$B$4:$B$207="Challan")*('Q1 Data'!$H$4:$H$207=Z168))+SUMPRODUCT(('Q2 Data'!$D$4:$D$207=D168)*('Q2 Data'!$B$4:$B$207="Challan")*('Q2 Data'!$H$4:$H$207=Z168))+SUMPRODUCT(('Q3 Data'!$D$4:$D$207=D168)*('Q3 Data'!$B$4:$B$207="Challan")*('Q3 Data'!$H$4:$H$207=Z168))+SUMPRODUCT(('Q4 Data'!$D$4:$D$207=D168)*('Q4 Data'!$B$4:$B$207="Challan")*('Q4 Data'!$H$4:$H$207=Z168)))=0))</f>
      </c>
    </row>
    <row r="169" spans="1:44" x14ac:dyDescent="0.25">
      <c r="A169" s="20">
        <f>IF($B169="Entry",COUNTIF($B$4:$B169,"Entry"),"")</f>
      </c>
      <c r="B169" s="21"/>
      <c r="C169" s="22"/>
      <c r="D169" s="22"/>
      <c r="E169" s="23">
        <f>IF($B169&lt;&gt;"Challan","",IF(ROUND(AN169-AO169,2)&gt;0,"Over-applied",IF(ROUND(AN169-AO169,2)=0,"Fully Utilised","Unconsumed")))</f>
      </c>
      <c r="F169" s="24"/>
      <c r="G169" s="25"/>
      <c r="H169" s="25"/>
      <c r="I169" s="26"/>
      <c r="J169" s="26"/>
      <c r="K169" s="26"/>
      <c r="L169" s="26"/>
      <c r="M169" s="26"/>
      <c r="N169" s="26"/>
      <c r="O169" s="26"/>
      <c r="P169" s="27">
        <f>IF($B169&lt;&gt;"Challan","",I169+J169+K169+L169+M169+N169)</f>
      </c>
      <c r="Q169" s="25"/>
      <c r="R169" s="25"/>
      <c r="S169" s="25"/>
      <c r="T169" s="25"/>
      <c r="U169" s="25"/>
      <c r="V169" s="28"/>
      <c r="W169" s="28"/>
      <c r="X169" s="23">
        <f>IF($B169="Entry",IF(AND(LEN(TRIM(UPPER(W169)))=10,CODE(MID(TRIM(UPPER(W169)),1,1))&gt;=65,CODE(MID(TRIM(UPPER(W169)),1,1))&lt;=90,CODE(MID(TRIM(UPPER(W169)),2,1))&gt;=65,CODE(MID(TRIM(UPPER(W169)),2,1))&lt;=90,CODE(MID(TRIM(UPPER(W169)),3,1))&gt;=65,CODE(MID(TRIM(UPPER(W169)),3,1))&lt;=90,CODE(MID(TRIM(UPPER(W169)),4,1))&gt;=65,CODE(MID(TRIM(UPPER(W169)),4,1))&lt;=90,CODE(MID(TRIM(UPPER(W169)),5,1))&gt;=65,CODE(MID(TRIM(UPPER(W169)),5,1))&lt;=90,CODE(MID(TRIM(UPPER(W169)),10,1))&gt;=65,CODE(MID(TRIM(UPPER(W169)),10,1))&lt;=90,CODE(MID(TRIM(UPPER(W169)),6,1))&gt;=48,CODE(MID(TRIM(UPPER(W169)),6,1))&lt;=57,CODE(MID(TRIM(UPPER(W169)),7,1))&gt;=48,CODE(MID(TRIM(UPPER(W169)),7,1))&lt;=57,CODE(MID(TRIM(UPPER(W169)),8,1))&gt;=48,CODE(MID(TRIM(UPPER(W169)),8,1))&lt;=57,CODE(MID(TRIM(UPPER(W169)),9,1))&gt;=48,CODE(MID(TRIM(UPPER(W169)),9,1))&lt;=57),"N","Y"),IF($B169="Challan","",IF(W169&lt;&gt;"","◄ Set Row Type","")))</f>
      </c>
      <c r="Y169" s="23">
        <f>IF($B169="Entry",IF(LEN(W169)&lt;4,"",IF(UPPER(MID(W169,4,1))="P","Individual",IF(UPPER(MID(W169,4,1))="H","HUF",IF(UPPER(MID(W169,4,1))="C","Company",IF(UPPER(MID(W169,4,1))="F","Firm",IF(UPPER(MID(W169,4,1))="L","LLP",IF(UPPER(MID(W169,4,1))="T","Trust",IF(UPPER(MID(W169,4,1))="A","AOP","")))))))),IF($B169="Challan","",IF(W169&lt;&gt;"","◄ Set Row Type","")))</f>
      </c>
      <c r="Z169" s="28"/>
      <c r="AA169" s="29">
        <f>IF($B169&lt;&gt;"Entry","",IF(Z169="","",IF(X169="Y",SUMPRODUCT(('Rate Lookup'!$A$1:$A$37=Z169)*'Rate Lookup'!$D$1:$D$37),IF(OR(Y169="Individual",Y169="HUF"),SUMPRODUCT(('Rate Lookup'!$A$1:$A$37=Z169)*'Rate Lookup'!$B$1:$B$37),SUMPRODUCT(('Rate Lookup'!$A$1:$A$37=Z169)*'Rate Lookup'!$C$1:$C$37)))))</f>
      </c>
      <c r="AB169" s="30"/>
      <c r="AC169" s="31"/>
      <c r="AD169" s="27">
        <f>IF($B169&lt;&gt;"Entry","",ROUND(AC169*AA169/100,0))</f>
      </c>
      <c r="AE169" s="27">
        <f>IF($B169&lt;&gt;"Entry","",0)</f>
      </c>
      <c r="AF169" s="27">
        <f>IF($B169&lt;&gt;"Entry","",0)</f>
      </c>
      <c r="AG169" s="27">
        <f>IF($B169&lt;&gt;"Entry","",IF(OR(AD169=0,AB169="",AQ169="",AQ169&lt;=0),0,IF(AQ169&lt;=DATE(YEAR(AB169),MONTH(AB169)+1,7),0,ROUND(AD169*0.015*((YEAR(AQ169)-YEAR(AB169))*12+(MONTH(AQ169)-MONTH(AB169))+1),0))))</f>
      </c>
      <c r="AH169" s="27">
        <f>IF($B169&lt;&gt;"Entry","",0)</f>
      </c>
      <c r="AI169" s="28"/>
      <c r="AJ169" s="28"/>
      <c r="AK169" s="32"/>
      <c r="AL169" s="28"/>
      <c r="AM169" s="28"/>
      <c r="AN169" s="27">
        <f>IF($B169&lt;&gt;"Challan","",SUMIF('Q1 Data'!$D$4:$D$207,D169,'Q1 Data'!$AD$4:$AD$207)+SUMIF('Q1 Data'!$D$4:$D$207,D169,'Q1 Data'!$AG$4:$AG$207)+SUMIF('Q1 Data'!$D$4:$D$207,D169,'Q1 Data'!$AE$4:$AE$207)+SUMIF('Q2 Data'!$D$4:$D$207,D169,'Q2 Data'!$AD$4:$AD$207)+SUMIF('Q2 Data'!$D$4:$D$207,D169,'Q2 Data'!$AG$4:$AG$207)+SUMIF('Q2 Data'!$D$4:$D$207,D169,'Q2 Data'!$AE$4:$AE$207)+SUMIF('Q3 Data'!$D$4:$D$207,D169,'Q3 Data'!$AD$4:$AD$207)+SUMIF('Q3 Data'!$D$4:$D$207,D169,'Q3 Data'!$AG$4:$AG$207)+SUMIF('Q3 Data'!$D$4:$D$207,D169,'Q3 Data'!$AE$4:$AE$207)+SUMIF('Q4 Data'!$D$4:$D$207,D169,'Q4 Data'!$AD$4:$AD$207)+SUMIF('Q4 Data'!$D$4:$D$207,D169,'Q4 Data'!$AG$4:$AG$207)+SUMIF('Q4 Data'!$D$4:$D$207,D169,'Q4 Data'!$AE$4:$AE$207))</f>
      </c>
      <c r="AO169" s="27">
        <f>IF($B169&lt;&gt;"Challan","",P169-N169)</f>
      </c>
      <c r="AP169" s="27">
        <f>IF($B169&lt;&gt;"Challan","",MAX(0,AO169-AN169))</f>
      </c>
      <c r="AQ169" s="33">
        <f>IF($B169&lt;&gt;"Entry","",SUMPRODUCT(('Q1 Data'!$D$4:$D$207=D169)*('Q1 Data'!$B$4:$B$207="Challan")*'Q1 Data'!$F$4:$F$207)+SUMPRODUCT(('Q2 Data'!$D$4:$D$207=D169)*('Q2 Data'!$B$4:$B$207="Challan")*'Q2 Data'!$F$4:$F$207)+SUMPRODUCT(('Q3 Data'!$D$4:$D$207=D169)*('Q3 Data'!$B$4:$B$207="Challan")*'Q3 Data'!$F$4:$F$207)+SUMPRODUCT(('Q4 Data'!$D$4:$D$207=D169)*('Q4 Data'!$B$4:$B$207="Challan")*'Q4 Data'!$F$4:$F$207))</f>
      </c>
      <c r="AR169" s="34">
        <f>IF(OR($B169&lt;&gt;"Entry",Z169=""),FALSE,AND((SUMPRODUCT(('Q1 Data'!$D$4:$D$207=D169)*('Q1 Data'!$B$4:$B$207="Challan")*('Q1 Data'!$H$4:$H$207&lt;&gt;""))+SUMPRODUCT(('Q2 Data'!$D$4:$D$207=D169)*('Q2 Data'!$B$4:$B$207="Challan")*('Q2 Data'!$H$4:$H$207&lt;&gt;""))+SUMPRODUCT(('Q3 Data'!$D$4:$D$207=D169)*('Q3 Data'!$B$4:$B$207="Challan")*('Q3 Data'!$H$4:$H$207&lt;&gt;""))+SUMPRODUCT(('Q4 Data'!$D$4:$D$207=D169)*('Q4 Data'!$B$4:$B$207="Challan")*('Q4 Data'!$H$4:$H$207&lt;&gt;"")))&gt;0,(SUMPRODUCT(('Q1 Data'!$D$4:$D$207=D169)*('Q1 Data'!$B$4:$B$207="Challan")*('Q1 Data'!$H$4:$H$207=Z169))+SUMPRODUCT(('Q2 Data'!$D$4:$D$207=D169)*('Q2 Data'!$B$4:$B$207="Challan")*('Q2 Data'!$H$4:$H$207=Z169))+SUMPRODUCT(('Q3 Data'!$D$4:$D$207=D169)*('Q3 Data'!$B$4:$B$207="Challan")*('Q3 Data'!$H$4:$H$207=Z169))+SUMPRODUCT(('Q4 Data'!$D$4:$D$207=D169)*('Q4 Data'!$B$4:$B$207="Challan")*('Q4 Data'!$H$4:$H$207=Z169)))=0))</f>
      </c>
    </row>
    <row r="170" spans="1:44" x14ac:dyDescent="0.25">
      <c r="A170" s="20">
        <f>IF($B170="Entry",COUNTIF($B$4:$B170,"Entry"),"")</f>
      </c>
      <c r="B170" s="21"/>
      <c r="C170" s="22"/>
      <c r="D170" s="22"/>
      <c r="E170" s="23">
        <f>IF($B170&lt;&gt;"Challan","",IF(ROUND(AN170-AO170,2)&gt;0,"Over-applied",IF(ROUND(AN170-AO170,2)=0,"Fully Utilised","Unconsumed")))</f>
      </c>
      <c r="F170" s="24"/>
      <c r="G170" s="25"/>
      <c r="H170" s="25"/>
      <c r="I170" s="26"/>
      <c r="J170" s="26"/>
      <c r="K170" s="26"/>
      <c r="L170" s="26"/>
      <c r="M170" s="26"/>
      <c r="N170" s="26"/>
      <c r="O170" s="26"/>
      <c r="P170" s="27">
        <f>IF($B170&lt;&gt;"Challan","",I170+J170+K170+L170+M170+N170)</f>
      </c>
      <c r="Q170" s="25"/>
      <c r="R170" s="25"/>
      <c r="S170" s="25"/>
      <c r="T170" s="25"/>
      <c r="U170" s="25"/>
      <c r="V170" s="28"/>
      <c r="W170" s="28"/>
      <c r="X170" s="23">
        <f>IF($B170="Entry",IF(AND(LEN(TRIM(UPPER(W170)))=10,CODE(MID(TRIM(UPPER(W170)),1,1))&gt;=65,CODE(MID(TRIM(UPPER(W170)),1,1))&lt;=90,CODE(MID(TRIM(UPPER(W170)),2,1))&gt;=65,CODE(MID(TRIM(UPPER(W170)),2,1))&lt;=90,CODE(MID(TRIM(UPPER(W170)),3,1))&gt;=65,CODE(MID(TRIM(UPPER(W170)),3,1))&lt;=90,CODE(MID(TRIM(UPPER(W170)),4,1))&gt;=65,CODE(MID(TRIM(UPPER(W170)),4,1))&lt;=90,CODE(MID(TRIM(UPPER(W170)),5,1))&gt;=65,CODE(MID(TRIM(UPPER(W170)),5,1))&lt;=90,CODE(MID(TRIM(UPPER(W170)),10,1))&gt;=65,CODE(MID(TRIM(UPPER(W170)),10,1))&lt;=90,CODE(MID(TRIM(UPPER(W170)),6,1))&gt;=48,CODE(MID(TRIM(UPPER(W170)),6,1))&lt;=57,CODE(MID(TRIM(UPPER(W170)),7,1))&gt;=48,CODE(MID(TRIM(UPPER(W170)),7,1))&lt;=57,CODE(MID(TRIM(UPPER(W170)),8,1))&gt;=48,CODE(MID(TRIM(UPPER(W170)),8,1))&lt;=57,CODE(MID(TRIM(UPPER(W170)),9,1))&gt;=48,CODE(MID(TRIM(UPPER(W170)),9,1))&lt;=57),"N","Y"),IF($B170="Challan","",IF(W170&lt;&gt;"","◄ Set Row Type","")))</f>
      </c>
      <c r="Y170" s="23">
        <f>IF($B170="Entry",IF(LEN(W170)&lt;4,"",IF(UPPER(MID(W170,4,1))="P","Individual",IF(UPPER(MID(W170,4,1))="H","HUF",IF(UPPER(MID(W170,4,1))="C","Company",IF(UPPER(MID(W170,4,1))="F","Firm",IF(UPPER(MID(W170,4,1))="L","LLP",IF(UPPER(MID(W170,4,1))="T","Trust",IF(UPPER(MID(W170,4,1))="A","AOP","")))))))),IF($B170="Challan","",IF(W170&lt;&gt;"","◄ Set Row Type","")))</f>
      </c>
      <c r="Z170" s="28"/>
      <c r="AA170" s="29">
        <f>IF($B170&lt;&gt;"Entry","",IF(Z170="","",IF(X170="Y",SUMPRODUCT(('Rate Lookup'!$A$1:$A$37=Z170)*'Rate Lookup'!$D$1:$D$37),IF(OR(Y170="Individual",Y170="HUF"),SUMPRODUCT(('Rate Lookup'!$A$1:$A$37=Z170)*'Rate Lookup'!$B$1:$B$37),SUMPRODUCT(('Rate Lookup'!$A$1:$A$37=Z170)*'Rate Lookup'!$C$1:$C$37)))))</f>
      </c>
      <c r="AB170" s="30"/>
      <c r="AC170" s="31"/>
      <c r="AD170" s="27">
        <f>IF($B170&lt;&gt;"Entry","",ROUND(AC170*AA170/100,0))</f>
      </c>
      <c r="AE170" s="27">
        <f>IF($B170&lt;&gt;"Entry","",0)</f>
      </c>
      <c r="AF170" s="27">
        <f>IF($B170&lt;&gt;"Entry","",0)</f>
      </c>
      <c r="AG170" s="27">
        <f>IF($B170&lt;&gt;"Entry","",IF(OR(AD170=0,AB170="",AQ170="",AQ170&lt;=0),0,IF(AQ170&lt;=DATE(YEAR(AB170),MONTH(AB170)+1,7),0,ROUND(AD170*0.015*((YEAR(AQ170)-YEAR(AB170))*12+(MONTH(AQ170)-MONTH(AB170))+1),0))))</f>
      </c>
      <c r="AH170" s="27">
        <f>IF($B170&lt;&gt;"Entry","",0)</f>
      </c>
      <c r="AI170" s="28"/>
      <c r="AJ170" s="28"/>
      <c r="AK170" s="32"/>
      <c r="AL170" s="28"/>
      <c r="AM170" s="28"/>
      <c r="AN170" s="27">
        <f>IF($B170&lt;&gt;"Challan","",SUMIF('Q1 Data'!$D$4:$D$207,D170,'Q1 Data'!$AD$4:$AD$207)+SUMIF('Q1 Data'!$D$4:$D$207,D170,'Q1 Data'!$AG$4:$AG$207)+SUMIF('Q1 Data'!$D$4:$D$207,D170,'Q1 Data'!$AE$4:$AE$207)+SUMIF('Q2 Data'!$D$4:$D$207,D170,'Q2 Data'!$AD$4:$AD$207)+SUMIF('Q2 Data'!$D$4:$D$207,D170,'Q2 Data'!$AG$4:$AG$207)+SUMIF('Q2 Data'!$D$4:$D$207,D170,'Q2 Data'!$AE$4:$AE$207)+SUMIF('Q3 Data'!$D$4:$D$207,D170,'Q3 Data'!$AD$4:$AD$207)+SUMIF('Q3 Data'!$D$4:$D$207,D170,'Q3 Data'!$AG$4:$AG$207)+SUMIF('Q3 Data'!$D$4:$D$207,D170,'Q3 Data'!$AE$4:$AE$207)+SUMIF('Q4 Data'!$D$4:$D$207,D170,'Q4 Data'!$AD$4:$AD$207)+SUMIF('Q4 Data'!$D$4:$D$207,D170,'Q4 Data'!$AG$4:$AG$207)+SUMIF('Q4 Data'!$D$4:$D$207,D170,'Q4 Data'!$AE$4:$AE$207))</f>
      </c>
      <c r="AO170" s="27">
        <f>IF($B170&lt;&gt;"Challan","",P170-N170)</f>
      </c>
      <c r="AP170" s="27">
        <f>IF($B170&lt;&gt;"Challan","",MAX(0,AO170-AN170))</f>
      </c>
      <c r="AQ170" s="33">
        <f>IF($B170&lt;&gt;"Entry","",SUMPRODUCT(('Q1 Data'!$D$4:$D$207=D170)*('Q1 Data'!$B$4:$B$207="Challan")*'Q1 Data'!$F$4:$F$207)+SUMPRODUCT(('Q2 Data'!$D$4:$D$207=D170)*('Q2 Data'!$B$4:$B$207="Challan")*'Q2 Data'!$F$4:$F$207)+SUMPRODUCT(('Q3 Data'!$D$4:$D$207=D170)*('Q3 Data'!$B$4:$B$207="Challan")*'Q3 Data'!$F$4:$F$207)+SUMPRODUCT(('Q4 Data'!$D$4:$D$207=D170)*('Q4 Data'!$B$4:$B$207="Challan")*'Q4 Data'!$F$4:$F$207))</f>
      </c>
      <c r="AR170" s="34">
        <f>IF(OR($B170&lt;&gt;"Entry",Z170=""),FALSE,AND((SUMPRODUCT(('Q1 Data'!$D$4:$D$207=D170)*('Q1 Data'!$B$4:$B$207="Challan")*('Q1 Data'!$H$4:$H$207&lt;&gt;""))+SUMPRODUCT(('Q2 Data'!$D$4:$D$207=D170)*('Q2 Data'!$B$4:$B$207="Challan")*('Q2 Data'!$H$4:$H$207&lt;&gt;""))+SUMPRODUCT(('Q3 Data'!$D$4:$D$207=D170)*('Q3 Data'!$B$4:$B$207="Challan")*('Q3 Data'!$H$4:$H$207&lt;&gt;""))+SUMPRODUCT(('Q4 Data'!$D$4:$D$207=D170)*('Q4 Data'!$B$4:$B$207="Challan")*('Q4 Data'!$H$4:$H$207&lt;&gt;"")))&gt;0,(SUMPRODUCT(('Q1 Data'!$D$4:$D$207=D170)*('Q1 Data'!$B$4:$B$207="Challan")*('Q1 Data'!$H$4:$H$207=Z170))+SUMPRODUCT(('Q2 Data'!$D$4:$D$207=D170)*('Q2 Data'!$B$4:$B$207="Challan")*('Q2 Data'!$H$4:$H$207=Z170))+SUMPRODUCT(('Q3 Data'!$D$4:$D$207=D170)*('Q3 Data'!$B$4:$B$207="Challan")*('Q3 Data'!$H$4:$H$207=Z170))+SUMPRODUCT(('Q4 Data'!$D$4:$D$207=D170)*('Q4 Data'!$B$4:$B$207="Challan")*('Q4 Data'!$H$4:$H$207=Z170)))=0))</f>
      </c>
    </row>
    <row r="171" spans="1:44" x14ac:dyDescent="0.25">
      <c r="A171" s="20">
        <f>IF($B171="Entry",COUNTIF($B$4:$B171,"Entry"),"")</f>
      </c>
      <c r="B171" s="21"/>
      <c r="C171" s="22"/>
      <c r="D171" s="22"/>
      <c r="E171" s="23">
        <f>IF($B171&lt;&gt;"Challan","",IF(ROUND(AN171-AO171,2)&gt;0,"Over-applied",IF(ROUND(AN171-AO171,2)=0,"Fully Utilised","Unconsumed")))</f>
      </c>
      <c r="F171" s="24"/>
      <c r="G171" s="25"/>
      <c r="H171" s="25"/>
      <c r="I171" s="26"/>
      <c r="J171" s="26"/>
      <c r="K171" s="26"/>
      <c r="L171" s="26"/>
      <c r="M171" s="26"/>
      <c r="N171" s="26"/>
      <c r="O171" s="26"/>
      <c r="P171" s="27">
        <f>IF($B171&lt;&gt;"Challan","",I171+J171+K171+L171+M171+N171)</f>
      </c>
      <c r="Q171" s="25"/>
      <c r="R171" s="25"/>
      <c r="S171" s="25"/>
      <c r="T171" s="25"/>
      <c r="U171" s="25"/>
      <c r="V171" s="28"/>
      <c r="W171" s="28"/>
      <c r="X171" s="23">
        <f>IF($B171="Entry",IF(AND(LEN(TRIM(UPPER(W171)))=10,CODE(MID(TRIM(UPPER(W171)),1,1))&gt;=65,CODE(MID(TRIM(UPPER(W171)),1,1))&lt;=90,CODE(MID(TRIM(UPPER(W171)),2,1))&gt;=65,CODE(MID(TRIM(UPPER(W171)),2,1))&lt;=90,CODE(MID(TRIM(UPPER(W171)),3,1))&gt;=65,CODE(MID(TRIM(UPPER(W171)),3,1))&lt;=90,CODE(MID(TRIM(UPPER(W171)),4,1))&gt;=65,CODE(MID(TRIM(UPPER(W171)),4,1))&lt;=90,CODE(MID(TRIM(UPPER(W171)),5,1))&gt;=65,CODE(MID(TRIM(UPPER(W171)),5,1))&lt;=90,CODE(MID(TRIM(UPPER(W171)),10,1))&gt;=65,CODE(MID(TRIM(UPPER(W171)),10,1))&lt;=90,CODE(MID(TRIM(UPPER(W171)),6,1))&gt;=48,CODE(MID(TRIM(UPPER(W171)),6,1))&lt;=57,CODE(MID(TRIM(UPPER(W171)),7,1))&gt;=48,CODE(MID(TRIM(UPPER(W171)),7,1))&lt;=57,CODE(MID(TRIM(UPPER(W171)),8,1))&gt;=48,CODE(MID(TRIM(UPPER(W171)),8,1))&lt;=57,CODE(MID(TRIM(UPPER(W171)),9,1))&gt;=48,CODE(MID(TRIM(UPPER(W171)),9,1))&lt;=57),"N","Y"),IF($B171="Challan","",IF(W171&lt;&gt;"","◄ Set Row Type","")))</f>
      </c>
      <c r="Y171" s="23">
        <f>IF($B171="Entry",IF(LEN(W171)&lt;4,"",IF(UPPER(MID(W171,4,1))="P","Individual",IF(UPPER(MID(W171,4,1))="H","HUF",IF(UPPER(MID(W171,4,1))="C","Company",IF(UPPER(MID(W171,4,1))="F","Firm",IF(UPPER(MID(W171,4,1))="L","LLP",IF(UPPER(MID(W171,4,1))="T","Trust",IF(UPPER(MID(W171,4,1))="A","AOP","")))))))),IF($B171="Challan","",IF(W171&lt;&gt;"","◄ Set Row Type","")))</f>
      </c>
      <c r="Z171" s="28"/>
      <c r="AA171" s="29">
        <f>IF($B171&lt;&gt;"Entry","",IF(Z171="","",IF(X171="Y",SUMPRODUCT(('Rate Lookup'!$A$1:$A$37=Z171)*'Rate Lookup'!$D$1:$D$37),IF(OR(Y171="Individual",Y171="HUF"),SUMPRODUCT(('Rate Lookup'!$A$1:$A$37=Z171)*'Rate Lookup'!$B$1:$B$37),SUMPRODUCT(('Rate Lookup'!$A$1:$A$37=Z171)*'Rate Lookup'!$C$1:$C$37)))))</f>
      </c>
      <c r="AB171" s="30"/>
      <c r="AC171" s="31"/>
      <c r="AD171" s="27">
        <f>IF($B171&lt;&gt;"Entry","",ROUND(AC171*AA171/100,0))</f>
      </c>
      <c r="AE171" s="27">
        <f>IF($B171&lt;&gt;"Entry","",0)</f>
      </c>
      <c r="AF171" s="27">
        <f>IF($B171&lt;&gt;"Entry","",0)</f>
      </c>
      <c r="AG171" s="27">
        <f>IF($B171&lt;&gt;"Entry","",IF(OR(AD171=0,AB171="",AQ171="",AQ171&lt;=0),0,IF(AQ171&lt;=DATE(YEAR(AB171),MONTH(AB171)+1,7),0,ROUND(AD171*0.015*((YEAR(AQ171)-YEAR(AB171))*12+(MONTH(AQ171)-MONTH(AB171))+1),0))))</f>
      </c>
      <c r="AH171" s="27">
        <f>IF($B171&lt;&gt;"Entry","",0)</f>
      </c>
      <c r="AI171" s="28"/>
      <c r="AJ171" s="28"/>
      <c r="AK171" s="32"/>
      <c r="AL171" s="28"/>
      <c r="AM171" s="28"/>
      <c r="AN171" s="27">
        <f>IF($B171&lt;&gt;"Challan","",SUMIF('Q1 Data'!$D$4:$D$207,D171,'Q1 Data'!$AD$4:$AD$207)+SUMIF('Q1 Data'!$D$4:$D$207,D171,'Q1 Data'!$AG$4:$AG$207)+SUMIF('Q1 Data'!$D$4:$D$207,D171,'Q1 Data'!$AE$4:$AE$207)+SUMIF('Q2 Data'!$D$4:$D$207,D171,'Q2 Data'!$AD$4:$AD$207)+SUMIF('Q2 Data'!$D$4:$D$207,D171,'Q2 Data'!$AG$4:$AG$207)+SUMIF('Q2 Data'!$D$4:$D$207,D171,'Q2 Data'!$AE$4:$AE$207)+SUMIF('Q3 Data'!$D$4:$D$207,D171,'Q3 Data'!$AD$4:$AD$207)+SUMIF('Q3 Data'!$D$4:$D$207,D171,'Q3 Data'!$AG$4:$AG$207)+SUMIF('Q3 Data'!$D$4:$D$207,D171,'Q3 Data'!$AE$4:$AE$207)+SUMIF('Q4 Data'!$D$4:$D$207,D171,'Q4 Data'!$AD$4:$AD$207)+SUMIF('Q4 Data'!$D$4:$D$207,D171,'Q4 Data'!$AG$4:$AG$207)+SUMIF('Q4 Data'!$D$4:$D$207,D171,'Q4 Data'!$AE$4:$AE$207))</f>
      </c>
      <c r="AO171" s="27">
        <f>IF($B171&lt;&gt;"Challan","",P171-N171)</f>
      </c>
      <c r="AP171" s="27">
        <f>IF($B171&lt;&gt;"Challan","",MAX(0,AO171-AN171))</f>
      </c>
      <c r="AQ171" s="33">
        <f>IF($B171&lt;&gt;"Entry","",SUMPRODUCT(('Q1 Data'!$D$4:$D$207=D171)*('Q1 Data'!$B$4:$B$207="Challan")*'Q1 Data'!$F$4:$F$207)+SUMPRODUCT(('Q2 Data'!$D$4:$D$207=D171)*('Q2 Data'!$B$4:$B$207="Challan")*'Q2 Data'!$F$4:$F$207)+SUMPRODUCT(('Q3 Data'!$D$4:$D$207=D171)*('Q3 Data'!$B$4:$B$207="Challan")*'Q3 Data'!$F$4:$F$207)+SUMPRODUCT(('Q4 Data'!$D$4:$D$207=D171)*('Q4 Data'!$B$4:$B$207="Challan")*'Q4 Data'!$F$4:$F$207))</f>
      </c>
      <c r="AR171" s="34">
        <f>IF(OR($B171&lt;&gt;"Entry",Z171=""),FALSE,AND((SUMPRODUCT(('Q1 Data'!$D$4:$D$207=D171)*('Q1 Data'!$B$4:$B$207="Challan")*('Q1 Data'!$H$4:$H$207&lt;&gt;""))+SUMPRODUCT(('Q2 Data'!$D$4:$D$207=D171)*('Q2 Data'!$B$4:$B$207="Challan")*('Q2 Data'!$H$4:$H$207&lt;&gt;""))+SUMPRODUCT(('Q3 Data'!$D$4:$D$207=D171)*('Q3 Data'!$B$4:$B$207="Challan")*('Q3 Data'!$H$4:$H$207&lt;&gt;""))+SUMPRODUCT(('Q4 Data'!$D$4:$D$207=D171)*('Q4 Data'!$B$4:$B$207="Challan")*('Q4 Data'!$H$4:$H$207&lt;&gt;"")))&gt;0,(SUMPRODUCT(('Q1 Data'!$D$4:$D$207=D171)*('Q1 Data'!$B$4:$B$207="Challan")*('Q1 Data'!$H$4:$H$207=Z171))+SUMPRODUCT(('Q2 Data'!$D$4:$D$207=D171)*('Q2 Data'!$B$4:$B$207="Challan")*('Q2 Data'!$H$4:$H$207=Z171))+SUMPRODUCT(('Q3 Data'!$D$4:$D$207=D171)*('Q3 Data'!$B$4:$B$207="Challan")*('Q3 Data'!$H$4:$H$207=Z171))+SUMPRODUCT(('Q4 Data'!$D$4:$D$207=D171)*('Q4 Data'!$B$4:$B$207="Challan")*('Q4 Data'!$H$4:$H$207=Z171)))=0))</f>
      </c>
    </row>
    <row r="172" spans="1:44" x14ac:dyDescent="0.25">
      <c r="A172" s="20">
        <f>IF($B172="Entry",COUNTIF($B$4:$B172,"Entry"),"")</f>
      </c>
      <c r="B172" s="21"/>
      <c r="C172" s="22"/>
      <c r="D172" s="22"/>
      <c r="E172" s="23">
        <f>IF($B172&lt;&gt;"Challan","",IF(ROUND(AN172-AO172,2)&gt;0,"Over-applied",IF(ROUND(AN172-AO172,2)=0,"Fully Utilised","Unconsumed")))</f>
      </c>
      <c r="F172" s="24"/>
      <c r="G172" s="25"/>
      <c r="H172" s="25"/>
      <c r="I172" s="26"/>
      <c r="J172" s="26"/>
      <c r="K172" s="26"/>
      <c r="L172" s="26"/>
      <c r="M172" s="26"/>
      <c r="N172" s="26"/>
      <c r="O172" s="26"/>
      <c r="P172" s="27">
        <f>IF($B172&lt;&gt;"Challan","",I172+J172+K172+L172+M172+N172)</f>
      </c>
      <c r="Q172" s="25"/>
      <c r="R172" s="25"/>
      <c r="S172" s="25"/>
      <c r="T172" s="25"/>
      <c r="U172" s="25"/>
      <c r="V172" s="28"/>
      <c r="W172" s="28"/>
      <c r="X172" s="23">
        <f>IF($B172="Entry",IF(AND(LEN(TRIM(UPPER(W172)))=10,CODE(MID(TRIM(UPPER(W172)),1,1))&gt;=65,CODE(MID(TRIM(UPPER(W172)),1,1))&lt;=90,CODE(MID(TRIM(UPPER(W172)),2,1))&gt;=65,CODE(MID(TRIM(UPPER(W172)),2,1))&lt;=90,CODE(MID(TRIM(UPPER(W172)),3,1))&gt;=65,CODE(MID(TRIM(UPPER(W172)),3,1))&lt;=90,CODE(MID(TRIM(UPPER(W172)),4,1))&gt;=65,CODE(MID(TRIM(UPPER(W172)),4,1))&lt;=90,CODE(MID(TRIM(UPPER(W172)),5,1))&gt;=65,CODE(MID(TRIM(UPPER(W172)),5,1))&lt;=90,CODE(MID(TRIM(UPPER(W172)),10,1))&gt;=65,CODE(MID(TRIM(UPPER(W172)),10,1))&lt;=90,CODE(MID(TRIM(UPPER(W172)),6,1))&gt;=48,CODE(MID(TRIM(UPPER(W172)),6,1))&lt;=57,CODE(MID(TRIM(UPPER(W172)),7,1))&gt;=48,CODE(MID(TRIM(UPPER(W172)),7,1))&lt;=57,CODE(MID(TRIM(UPPER(W172)),8,1))&gt;=48,CODE(MID(TRIM(UPPER(W172)),8,1))&lt;=57,CODE(MID(TRIM(UPPER(W172)),9,1))&gt;=48,CODE(MID(TRIM(UPPER(W172)),9,1))&lt;=57),"N","Y"),IF($B172="Challan","",IF(W172&lt;&gt;"","◄ Set Row Type","")))</f>
      </c>
      <c r="Y172" s="23">
        <f>IF($B172="Entry",IF(LEN(W172)&lt;4,"",IF(UPPER(MID(W172,4,1))="P","Individual",IF(UPPER(MID(W172,4,1))="H","HUF",IF(UPPER(MID(W172,4,1))="C","Company",IF(UPPER(MID(W172,4,1))="F","Firm",IF(UPPER(MID(W172,4,1))="L","LLP",IF(UPPER(MID(W172,4,1))="T","Trust",IF(UPPER(MID(W172,4,1))="A","AOP","")))))))),IF($B172="Challan","",IF(W172&lt;&gt;"","◄ Set Row Type","")))</f>
      </c>
      <c r="Z172" s="28"/>
      <c r="AA172" s="29">
        <f>IF($B172&lt;&gt;"Entry","",IF(Z172="","",IF(X172="Y",SUMPRODUCT(('Rate Lookup'!$A$1:$A$37=Z172)*'Rate Lookup'!$D$1:$D$37),IF(OR(Y172="Individual",Y172="HUF"),SUMPRODUCT(('Rate Lookup'!$A$1:$A$37=Z172)*'Rate Lookup'!$B$1:$B$37),SUMPRODUCT(('Rate Lookup'!$A$1:$A$37=Z172)*'Rate Lookup'!$C$1:$C$37)))))</f>
      </c>
      <c r="AB172" s="30"/>
      <c r="AC172" s="31"/>
      <c r="AD172" s="27">
        <f>IF($B172&lt;&gt;"Entry","",ROUND(AC172*AA172/100,0))</f>
      </c>
      <c r="AE172" s="27">
        <f>IF($B172&lt;&gt;"Entry","",0)</f>
      </c>
      <c r="AF172" s="27">
        <f>IF($B172&lt;&gt;"Entry","",0)</f>
      </c>
      <c r="AG172" s="27">
        <f>IF($B172&lt;&gt;"Entry","",IF(OR(AD172=0,AB172="",AQ172="",AQ172&lt;=0),0,IF(AQ172&lt;=DATE(YEAR(AB172),MONTH(AB172)+1,7),0,ROUND(AD172*0.015*((YEAR(AQ172)-YEAR(AB172))*12+(MONTH(AQ172)-MONTH(AB172))+1),0))))</f>
      </c>
      <c r="AH172" s="27">
        <f>IF($B172&lt;&gt;"Entry","",0)</f>
      </c>
      <c r="AI172" s="28"/>
      <c r="AJ172" s="28"/>
      <c r="AK172" s="32"/>
      <c r="AL172" s="28"/>
      <c r="AM172" s="28"/>
      <c r="AN172" s="27">
        <f>IF($B172&lt;&gt;"Challan","",SUMIF('Q1 Data'!$D$4:$D$207,D172,'Q1 Data'!$AD$4:$AD$207)+SUMIF('Q1 Data'!$D$4:$D$207,D172,'Q1 Data'!$AG$4:$AG$207)+SUMIF('Q1 Data'!$D$4:$D$207,D172,'Q1 Data'!$AE$4:$AE$207)+SUMIF('Q2 Data'!$D$4:$D$207,D172,'Q2 Data'!$AD$4:$AD$207)+SUMIF('Q2 Data'!$D$4:$D$207,D172,'Q2 Data'!$AG$4:$AG$207)+SUMIF('Q2 Data'!$D$4:$D$207,D172,'Q2 Data'!$AE$4:$AE$207)+SUMIF('Q3 Data'!$D$4:$D$207,D172,'Q3 Data'!$AD$4:$AD$207)+SUMIF('Q3 Data'!$D$4:$D$207,D172,'Q3 Data'!$AG$4:$AG$207)+SUMIF('Q3 Data'!$D$4:$D$207,D172,'Q3 Data'!$AE$4:$AE$207)+SUMIF('Q4 Data'!$D$4:$D$207,D172,'Q4 Data'!$AD$4:$AD$207)+SUMIF('Q4 Data'!$D$4:$D$207,D172,'Q4 Data'!$AG$4:$AG$207)+SUMIF('Q4 Data'!$D$4:$D$207,D172,'Q4 Data'!$AE$4:$AE$207))</f>
      </c>
      <c r="AO172" s="27">
        <f>IF($B172&lt;&gt;"Challan","",P172-N172)</f>
      </c>
      <c r="AP172" s="27">
        <f>IF($B172&lt;&gt;"Challan","",MAX(0,AO172-AN172))</f>
      </c>
      <c r="AQ172" s="33">
        <f>IF($B172&lt;&gt;"Entry","",SUMPRODUCT(('Q1 Data'!$D$4:$D$207=D172)*('Q1 Data'!$B$4:$B$207="Challan")*'Q1 Data'!$F$4:$F$207)+SUMPRODUCT(('Q2 Data'!$D$4:$D$207=D172)*('Q2 Data'!$B$4:$B$207="Challan")*'Q2 Data'!$F$4:$F$207)+SUMPRODUCT(('Q3 Data'!$D$4:$D$207=D172)*('Q3 Data'!$B$4:$B$207="Challan")*'Q3 Data'!$F$4:$F$207)+SUMPRODUCT(('Q4 Data'!$D$4:$D$207=D172)*('Q4 Data'!$B$4:$B$207="Challan")*'Q4 Data'!$F$4:$F$207))</f>
      </c>
      <c r="AR172" s="34">
        <f>IF(OR($B172&lt;&gt;"Entry",Z172=""),FALSE,AND((SUMPRODUCT(('Q1 Data'!$D$4:$D$207=D172)*('Q1 Data'!$B$4:$B$207="Challan")*('Q1 Data'!$H$4:$H$207&lt;&gt;""))+SUMPRODUCT(('Q2 Data'!$D$4:$D$207=D172)*('Q2 Data'!$B$4:$B$207="Challan")*('Q2 Data'!$H$4:$H$207&lt;&gt;""))+SUMPRODUCT(('Q3 Data'!$D$4:$D$207=D172)*('Q3 Data'!$B$4:$B$207="Challan")*('Q3 Data'!$H$4:$H$207&lt;&gt;""))+SUMPRODUCT(('Q4 Data'!$D$4:$D$207=D172)*('Q4 Data'!$B$4:$B$207="Challan")*('Q4 Data'!$H$4:$H$207&lt;&gt;"")))&gt;0,(SUMPRODUCT(('Q1 Data'!$D$4:$D$207=D172)*('Q1 Data'!$B$4:$B$207="Challan")*('Q1 Data'!$H$4:$H$207=Z172))+SUMPRODUCT(('Q2 Data'!$D$4:$D$207=D172)*('Q2 Data'!$B$4:$B$207="Challan")*('Q2 Data'!$H$4:$H$207=Z172))+SUMPRODUCT(('Q3 Data'!$D$4:$D$207=D172)*('Q3 Data'!$B$4:$B$207="Challan")*('Q3 Data'!$H$4:$H$207=Z172))+SUMPRODUCT(('Q4 Data'!$D$4:$D$207=D172)*('Q4 Data'!$B$4:$B$207="Challan")*('Q4 Data'!$H$4:$H$207=Z172)))=0))</f>
      </c>
    </row>
    <row r="173" spans="1:44" x14ac:dyDescent="0.25">
      <c r="A173" s="20">
        <f>IF($B173="Entry",COUNTIF($B$4:$B173,"Entry"),"")</f>
      </c>
      <c r="B173" s="21"/>
      <c r="C173" s="22"/>
      <c r="D173" s="22"/>
      <c r="E173" s="23">
        <f>IF($B173&lt;&gt;"Challan","",IF(ROUND(AN173-AO173,2)&gt;0,"Over-applied",IF(ROUND(AN173-AO173,2)=0,"Fully Utilised","Unconsumed")))</f>
      </c>
      <c r="F173" s="24"/>
      <c r="G173" s="25"/>
      <c r="H173" s="25"/>
      <c r="I173" s="26"/>
      <c r="J173" s="26"/>
      <c r="K173" s="26"/>
      <c r="L173" s="26"/>
      <c r="M173" s="26"/>
      <c r="N173" s="26"/>
      <c r="O173" s="26"/>
      <c r="P173" s="27">
        <f>IF($B173&lt;&gt;"Challan","",I173+J173+K173+L173+M173+N173)</f>
      </c>
      <c r="Q173" s="25"/>
      <c r="R173" s="25"/>
      <c r="S173" s="25"/>
      <c r="T173" s="25"/>
      <c r="U173" s="25"/>
      <c r="V173" s="28"/>
      <c r="W173" s="28"/>
      <c r="X173" s="23">
        <f>IF($B173="Entry",IF(AND(LEN(TRIM(UPPER(W173)))=10,CODE(MID(TRIM(UPPER(W173)),1,1))&gt;=65,CODE(MID(TRIM(UPPER(W173)),1,1))&lt;=90,CODE(MID(TRIM(UPPER(W173)),2,1))&gt;=65,CODE(MID(TRIM(UPPER(W173)),2,1))&lt;=90,CODE(MID(TRIM(UPPER(W173)),3,1))&gt;=65,CODE(MID(TRIM(UPPER(W173)),3,1))&lt;=90,CODE(MID(TRIM(UPPER(W173)),4,1))&gt;=65,CODE(MID(TRIM(UPPER(W173)),4,1))&lt;=90,CODE(MID(TRIM(UPPER(W173)),5,1))&gt;=65,CODE(MID(TRIM(UPPER(W173)),5,1))&lt;=90,CODE(MID(TRIM(UPPER(W173)),10,1))&gt;=65,CODE(MID(TRIM(UPPER(W173)),10,1))&lt;=90,CODE(MID(TRIM(UPPER(W173)),6,1))&gt;=48,CODE(MID(TRIM(UPPER(W173)),6,1))&lt;=57,CODE(MID(TRIM(UPPER(W173)),7,1))&gt;=48,CODE(MID(TRIM(UPPER(W173)),7,1))&lt;=57,CODE(MID(TRIM(UPPER(W173)),8,1))&gt;=48,CODE(MID(TRIM(UPPER(W173)),8,1))&lt;=57,CODE(MID(TRIM(UPPER(W173)),9,1))&gt;=48,CODE(MID(TRIM(UPPER(W173)),9,1))&lt;=57),"N","Y"),IF($B173="Challan","",IF(W173&lt;&gt;"","◄ Set Row Type","")))</f>
      </c>
      <c r="Y173" s="23">
        <f>IF($B173="Entry",IF(LEN(W173)&lt;4,"",IF(UPPER(MID(W173,4,1))="P","Individual",IF(UPPER(MID(W173,4,1))="H","HUF",IF(UPPER(MID(W173,4,1))="C","Company",IF(UPPER(MID(W173,4,1))="F","Firm",IF(UPPER(MID(W173,4,1))="L","LLP",IF(UPPER(MID(W173,4,1))="T","Trust",IF(UPPER(MID(W173,4,1))="A","AOP","")))))))),IF($B173="Challan","",IF(W173&lt;&gt;"","◄ Set Row Type","")))</f>
      </c>
      <c r="Z173" s="28"/>
      <c r="AA173" s="29">
        <f>IF($B173&lt;&gt;"Entry","",IF(Z173="","",IF(X173="Y",SUMPRODUCT(('Rate Lookup'!$A$1:$A$37=Z173)*'Rate Lookup'!$D$1:$D$37),IF(OR(Y173="Individual",Y173="HUF"),SUMPRODUCT(('Rate Lookup'!$A$1:$A$37=Z173)*'Rate Lookup'!$B$1:$B$37),SUMPRODUCT(('Rate Lookup'!$A$1:$A$37=Z173)*'Rate Lookup'!$C$1:$C$37)))))</f>
      </c>
      <c r="AB173" s="30"/>
      <c r="AC173" s="31"/>
      <c r="AD173" s="27">
        <f>IF($B173&lt;&gt;"Entry","",ROUND(AC173*AA173/100,0))</f>
      </c>
      <c r="AE173" s="27">
        <f>IF($B173&lt;&gt;"Entry","",0)</f>
      </c>
      <c r="AF173" s="27">
        <f>IF($B173&lt;&gt;"Entry","",0)</f>
      </c>
      <c r="AG173" s="27">
        <f>IF($B173&lt;&gt;"Entry","",IF(OR(AD173=0,AB173="",AQ173="",AQ173&lt;=0),0,IF(AQ173&lt;=DATE(YEAR(AB173),MONTH(AB173)+1,7),0,ROUND(AD173*0.015*((YEAR(AQ173)-YEAR(AB173))*12+(MONTH(AQ173)-MONTH(AB173))+1),0))))</f>
      </c>
      <c r="AH173" s="27">
        <f>IF($B173&lt;&gt;"Entry","",0)</f>
      </c>
      <c r="AI173" s="28"/>
      <c r="AJ173" s="28"/>
      <c r="AK173" s="32"/>
      <c r="AL173" s="28"/>
      <c r="AM173" s="28"/>
      <c r="AN173" s="27">
        <f>IF($B173&lt;&gt;"Challan","",SUMIF('Q1 Data'!$D$4:$D$207,D173,'Q1 Data'!$AD$4:$AD$207)+SUMIF('Q1 Data'!$D$4:$D$207,D173,'Q1 Data'!$AG$4:$AG$207)+SUMIF('Q1 Data'!$D$4:$D$207,D173,'Q1 Data'!$AE$4:$AE$207)+SUMIF('Q2 Data'!$D$4:$D$207,D173,'Q2 Data'!$AD$4:$AD$207)+SUMIF('Q2 Data'!$D$4:$D$207,D173,'Q2 Data'!$AG$4:$AG$207)+SUMIF('Q2 Data'!$D$4:$D$207,D173,'Q2 Data'!$AE$4:$AE$207)+SUMIF('Q3 Data'!$D$4:$D$207,D173,'Q3 Data'!$AD$4:$AD$207)+SUMIF('Q3 Data'!$D$4:$D$207,D173,'Q3 Data'!$AG$4:$AG$207)+SUMIF('Q3 Data'!$D$4:$D$207,D173,'Q3 Data'!$AE$4:$AE$207)+SUMIF('Q4 Data'!$D$4:$D$207,D173,'Q4 Data'!$AD$4:$AD$207)+SUMIF('Q4 Data'!$D$4:$D$207,D173,'Q4 Data'!$AG$4:$AG$207)+SUMIF('Q4 Data'!$D$4:$D$207,D173,'Q4 Data'!$AE$4:$AE$207))</f>
      </c>
      <c r="AO173" s="27">
        <f>IF($B173&lt;&gt;"Challan","",P173-N173)</f>
      </c>
      <c r="AP173" s="27">
        <f>IF($B173&lt;&gt;"Challan","",MAX(0,AO173-AN173))</f>
      </c>
      <c r="AQ173" s="33">
        <f>IF($B173&lt;&gt;"Entry","",SUMPRODUCT(('Q1 Data'!$D$4:$D$207=D173)*('Q1 Data'!$B$4:$B$207="Challan")*'Q1 Data'!$F$4:$F$207)+SUMPRODUCT(('Q2 Data'!$D$4:$D$207=D173)*('Q2 Data'!$B$4:$B$207="Challan")*'Q2 Data'!$F$4:$F$207)+SUMPRODUCT(('Q3 Data'!$D$4:$D$207=D173)*('Q3 Data'!$B$4:$B$207="Challan")*'Q3 Data'!$F$4:$F$207)+SUMPRODUCT(('Q4 Data'!$D$4:$D$207=D173)*('Q4 Data'!$B$4:$B$207="Challan")*'Q4 Data'!$F$4:$F$207))</f>
      </c>
      <c r="AR173" s="34">
        <f>IF(OR($B173&lt;&gt;"Entry",Z173=""),FALSE,AND((SUMPRODUCT(('Q1 Data'!$D$4:$D$207=D173)*('Q1 Data'!$B$4:$B$207="Challan")*('Q1 Data'!$H$4:$H$207&lt;&gt;""))+SUMPRODUCT(('Q2 Data'!$D$4:$D$207=D173)*('Q2 Data'!$B$4:$B$207="Challan")*('Q2 Data'!$H$4:$H$207&lt;&gt;""))+SUMPRODUCT(('Q3 Data'!$D$4:$D$207=D173)*('Q3 Data'!$B$4:$B$207="Challan")*('Q3 Data'!$H$4:$H$207&lt;&gt;""))+SUMPRODUCT(('Q4 Data'!$D$4:$D$207=D173)*('Q4 Data'!$B$4:$B$207="Challan")*('Q4 Data'!$H$4:$H$207&lt;&gt;"")))&gt;0,(SUMPRODUCT(('Q1 Data'!$D$4:$D$207=D173)*('Q1 Data'!$B$4:$B$207="Challan")*('Q1 Data'!$H$4:$H$207=Z173))+SUMPRODUCT(('Q2 Data'!$D$4:$D$207=D173)*('Q2 Data'!$B$4:$B$207="Challan")*('Q2 Data'!$H$4:$H$207=Z173))+SUMPRODUCT(('Q3 Data'!$D$4:$D$207=D173)*('Q3 Data'!$B$4:$B$207="Challan")*('Q3 Data'!$H$4:$H$207=Z173))+SUMPRODUCT(('Q4 Data'!$D$4:$D$207=D173)*('Q4 Data'!$B$4:$B$207="Challan")*('Q4 Data'!$H$4:$H$207=Z173)))=0))</f>
      </c>
    </row>
    <row r="174" spans="1:44" x14ac:dyDescent="0.25">
      <c r="A174" s="20">
        <f>IF($B174="Entry",COUNTIF($B$4:$B174,"Entry"),"")</f>
      </c>
      <c r="B174" s="21"/>
      <c r="C174" s="22"/>
      <c r="D174" s="22"/>
      <c r="E174" s="23">
        <f>IF($B174&lt;&gt;"Challan","",IF(ROUND(AN174-AO174,2)&gt;0,"Over-applied",IF(ROUND(AN174-AO174,2)=0,"Fully Utilised","Unconsumed")))</f>
      </c>
      <c r="F174" s="24"/>
      <c r="G174" s="25"/>
      <c r="H174" s="25"/>
      <c r="I174" s="26"/>
      <c r="J174" s="26"/>
      <c r="K174" s="26"/>
      <c r="L174" s="26"/>
      <c r="M174" s="26"/>
      <c r="N174" s="26"/>
      <c r="O174" s="26"/>
      <c r="P174" s="27">
        <f>IF($B174&lt;&gt;"Challan","",I174+J174+K174+L174+M174+N174)</f>
      </c>
      <c r="Q174" s="25"/>
      <c r="R174" s="25"/>
      <c r="S174" s="25"/>
      <c r="T174" s="25"/>
      <c r="U174" s="25"/>
      <c r="V174" s="28"/>
      <c r="W174" s="28"/>
      <c r="X174" s="23">
        <f>IF($B174="Entry",IF(AND(LEN(TRIM(UPPER(W174)))=10,CODE(MID(TRIM(UPPER(W174)),1,1))&gt;=65,CODE(MID(TRIM(UPPER(W174)),1,1))&lt;=90,CODE(MID(TRIM(UPPER(W174)),2,1))&gt;=65,CODE(MID(TRIM(UPPER(W174)),2,1))&lt;=90,CODE(MID(TRIM(UPPER(W174)),3,1))&gt;=65,CODE(MID(TRIM(UPPER(W174)),3,1))&lt;=90,CODE(MID(TRIM(UPPER(W174)),4,1))&gt;=65,CODE(MID(TRIM(UPPER(W174)),4,1))&lt;=90,CODE(MID(TRIM(UPPER(W174)),5,1))&gt;=65,CODE(MID(TRIM(UPPER(W174)),5,1))&lt;=90,CODE(MID(TRIM(UPPER(W174)),10,1))&gt;=65,CODE(MID(TRIM(UPPER(W174)),10,1))&lt;=90,CODE(MID(TRIM(UPPER(W174)),6,1))&gt;=48,CODE(MID(TRIM(UPPER(W174)),6,1))&lt;=57,CODE(MID(TRIM(UPPER(W174)),7,1))&gt;=48,CODE(MID(TRIM(UPPER(W174)),7,1))&lt;=57,CODE(MID(TRIM(UPPER(W174)),8,1))&gt;=48,CODE(MID(TRIM(UPPER(W174)),8,1))&lt;=57,CODE(MID(TRIM(UPPER(W174)),9,1))&gt;=48,CODE(MID(TRIM(UPPER(W174)),9,1))&lt;=57),"N","Y"),IF($B174="Challan","",IF(W174&lt;&gt;"","◄ Set Row Type","")))</f>
      </c>
      <c r="Y174" s="23">
        <f>IF($B174="Entry",IF(LEN(W174)&lt;4,"",IF(UPPER(MID(W174,4,1))="P","Individual",IF(UPPER(MID(W174,4,1))="H","HUF",IF(UPPER(MID(W174,4,1))="C","Company",IF(UPPER(MID(W174,4,1))="F","Firm",IF(UPPER(MID(W174,4,1))="L","LLP",IF(UPPER(MID(W174,4,1))="T","Trust",IF(UPPER(MID(W174,4,1))="A","AOP","")))))))),IF($B174="Challan","",IF(W174&lt;&gt;"","◄ Set Row Type","")))</f>
      </c>
      <c r="Z174" s="28"/>
      <c r="AA174" s="29">
        <f>IF($B174&lt;&gt;"Entry","",IF(Z174="","",IF(X174="Y",SUMPRODUCT(('Rate Lookup'!$A$1:$A$37=Z174)*'Rate Lookup'!$D$1:$D$37),IF(OR(Y174="Individual",Y174="HUF"),SUMPRODUCT(('Rate Lookup'!$A$1:$A$37=Z174)*'Rate Lookup'!$B$1:$B$37),SUMPRODUCT(('Rate Lookup'!$A$1:$A$37=Z174)*'Rate Lookup'!$C$1:$C$37)))))</f>
      </c>
      <c r="AB174" s="30"/>
      <c r="AC174" s="31"/>
      <c r="AD174" s="27">
        <f>IF($B174&lt;&gt;"Entry","",ROUND(AC174*AA174/100,0))</f>
      </c>
      <c r="AE174" s="27">
        <f>IF($B174&lt;&gt;"Entry","",0)</f>
      </c>
      <c r="AF174" s="27">
        <f>IF($B174&lt;&gt;"Entry","",0)</f>
      </c>
      <c r="AG174" s="27">
        <f>IF($B174&lt;&gt;"Entry","",IF(OR(AD174=0,AB174="",AQ174="",AQ174&lt;=0),0,IF(AQ174&lt;=DATE(YEAR(AB174),MONTH(AB174)+1,7),0,ROUND(AD174*0.015*((YEAR(AQ174)-YEAR(AB174))*12+(MONTH(AQ174)-MONTH(AB174))+1),0))))</f>
      </c>
      <c r="AH174" s="27">
        <f>IF($B174&lt;&gt;"Entry","",0)</f>
      </c>
      <c r="AI174" s="28"/>
      <c r="AJ174" s="28"/>
      <c r="AK174" s="32"/>
      <c r="AL174" s="28"/>
      <c r="AM174" s="28"/>
      <c r="AN174" s="27">
        <f>IF($B174&lt;&gt;"Challan","",SUMIF('Q1 Data'!$D$4:$D$207,D174,'Q1 Data'!$AD$4:$AD$207)+SUMIF('Q1 Data'!$D$4:$D$207,D174,'Q1 Data'!$AG$4:$AG$207)+SUMIF('Q1 Data'!$D$4:$D$207,D174,'Q1 Data'!$AE$4:$AE$207)+SUMIF('Q2 Data'!$D$4:$D$207,D174,'Q2 Data'!$AD$4:$AD$207)+SUMIF('Q2 Data'!$D$4:$D$207,D174,'Q2 Data'!$AG$4:$AG$207)+SUMIF('Q2 Data'!$D$4:$D$207,D174,'Q2 Data'!$AE$4:$AE$207)+SUMIF('Q3 Data'!$D$4:$D$207,D174,'Q3 Data'!$AD$4:$AD$207)+SUMIF('Q3 Data'!$D$4:$D$207,D174,'Q3 Data'!$AG$4:$AG$207)+SUMIF('Q3 Data'!$D$4:$D$207,D174,'Q3 Data'!$AE$4:$AE$207)+SUMIF('Q4 Data'!$D$4:$D$207,D174,'Q4 Data'!$AD$4:$AD$207)+SUMIF('Q4 Data'!$D$4:$D$207,D174,'Q4 Data'!$AG$4:$AG$207)+SUMIF('Q4 Data'!$D$4:$D$207,D174,'Q4 Data'!$AE$4:$AE$207))</f>
      </c>
      <c r="AO174" s="27">
        <f>IF($B174&lt;&gt;"Challan","",P174-N174)</f>
      </c>
      <c r="AP174" s="27">
        <f>IF($B174&lt;&gt;"Challan","",MAX(0,AO174-AN174))</f>
      </c>
      <c r="AQ174" s="33">
        <f>IF($B174&lt;&gt;"Entry","",SUMPRODUCT(('Q1 Data'!$D$4:$D$207=D174)*('Q1 Data'!$B$4:$B$207="Challan")*'Q1 Data'!$F$4:$F$207)+SUMPRODUCT(('Q2 Data'!$D$4:$D$207=D174)*('Q2 Data'!$B$4:$B$207="Challan")*'Q2 Data'!$F$4:$F$207)+SUMPRODUCT(('Q3 Data'!$D$4:$D$207=D174)*('Q3 Data'!$B$4:$B$207="Challan")*'Q3 Data'!$F$4:$F$207)+SUMPRODUCT(('Q4 Data'!$D$4:$D$207=D174)*('Q4 Data'!$B$4:$B$207="Challan")*'Q4 Data'!$F$4:$F$207))</f>
      </c>
      <c r="AR174" s="34">
        <f>IF(OR($B174&lt;&gt;"Entry",Z174=""),FALSE,AND((SUMPRODUCT(('Q1 Data'!$D$4:$D$207=D174)*('Q1 Data'!$B$4:$B$207="Challan")*('Q1 Data'!$H$4:$H$207&lt;&gt;""))+SUMPRODUCT(('Q2 Data'!$D$4:$D$207=D174)*('Q2 Data'!$B$4:$B$207="Challan")*('Q2 Data'!$H$4:$H$207&lt;&gt;""))+SUMPRODUCT(('Q3 Data'!$D$4:$D$207=D174)*('Q3 Data'!$B$4:$B$207="Challan")*('Q3 Data'!$H$4:$H$207&lt;&gt;""))+SUMPRODUCT(('Q4 Data'!$D$4:$D$207=D174)*('Q4 Data'!$B$4:$B$207="Challan")*('Q4 Data'!$H$4:$H$207&lt;&gt;"")))&gt;0,(SUMPRODUCT(('Q1 Data'!$D$4:$D$207=D174)*('Q1 Data'!$B$4:$B$207="Challan")*('Q1 Data'!$H$4:$H$207=Z174))+SUMPRODUCT(('Q2 Data'!$D$4:$D$207=D174)*('Q2 Data'!$B$4:$B$207="Challan")*('Q2 Data'!$H$4:$H$207=Z174))+SUMPRODUCT(('Q3 Data'!$D$4:$D$207=D174)*('Q3 Data'!$B$4:$B$207="Challan")*('Q3 Data'!$H$4:$H$207=Z174))+SUMPRODUCT(('Q4 Data'!$D$4:$D$207=D174)*('Q4 Data'!$B$4:$B$207="Challan")*('Q4 Data'!$H$4:$H$207=Z174)))=0))</f>
      </c>
    </row>
    <row r="175" spans="1:44" x14ac:dyDescent="0.25">
      <c r="A175" s="20">
        <f>IF($B175="Entry",COUNTIF($B$4:$B175,"Entry"),"")</f>
      </c>
      <c r="B175" s="21"/>
      <c r="C175" s="22"/>
      <c r="D175" s="22"/>
      <c r="E175" s="23">
        <f>IF($B175&lt;&gt;"Challan","",IF(ROUND(AN175-AO175,2)&gt;0,"Over-applied",IF(ROUND(AN175-AO175,2)=0,"Fully Utilised","Unconsumed")))</f>
      </c>
      <c r="F175" s="24"/>
      <c r="G175" s="25"/>
      <c r="H175" s="25"/>
      <c r="I175" s="26"/>
      <c r="J175" s="26"/>
      <c r="K175" s="26"/>
      <c r="L175" s="26"/>
      <c r="M175" s="26"/>
      <c r="N175" s="26"/>
      <c r="O175" s="26"/>
      <c r="P175" s="27">
        <f>IF($B175&lt;&gt;"Challan","",I175+J175+K175+L175+M175+N175)</f>
      </c>
      <c r="Q175" s="25"/>
      <c r="R175" s="25"/>
      <c r="S175" s="25"/>
      <c r="T175" s="25"/>
      <c r="U175" s="25"/>
      <c r="V175" s="28"/>
      <c r="W175" s="28"/>
      <c r="X175" s="23">
        <f>IF($B175="Entry",IF(AND(LEN(TRIM(UPPER(W175)))=10,CODE(MID(TRIM(UPPER(W175)),1,1))&gt;=65,CODE(MID(TRIM(UPPER(W175)),1,1))&lt;=90,CODE(MID(TRIM(UPPER(W175)),2,1))&gt;=65,CODE(MID(TRIM(UPPER(W175)),2,1))&lt;=90,CODE(MID(TRIM(UPPER(W175)),3,1))&gt;=65,CODE(MID(TRIM(UPPER(W175)),3,1))&lt;=90,CODE(MID(TRIM(UPPER(W175)),4,1))&gt;=65,CODE(MID(TRIM(UPPER(W175)),4,1))&lt;=90,CODE(MID(TRIM(UPPER(W175)),5,1))&gt;=65,CODE(MID(TRIM(UPPER(W175)),5,1))&lt;=90,CODE(MID(TRIM(UPPER(W175)),10,1))&gt;=65,CODE(MID(TRIM(UPPER(W175)),10,1))&lt;=90,CODE(MID(TRIM(UPPER(W175)),6,1))&gt;=48,CODE(MID(TRIM(UPPER(W175)),6,1))&lt;=57,CODE(MID(TRIM(UPPER(W175)),7,1))&gt;=48,CODE(MID(TRIM(UPPER(W175)),7,1))&lt;=57,CODE(MID(TRIM(UPPER(W175)),8,1))&gt;=48,CODE(MID(TRIM(UPPER(W175)),8,1))&lt;=57,CODE(MID(TRIM(UPPER(W175)),9,1))&gt;=48,CODE(MID(TRIM(UPPER(W175)),9,1))&lt;=57),"N","Y"),IF($B175="Challan","",IF(W175&lt;&gt;"","◄ Set Row Type","")))</f>
      </c>
      <c r="Y175" s="23">
        <f>IF($B175="Entry",IF(LEN(W175)&lt;4,"",IF(UPPER(MID(W175,4,1))="P","Individual",IF(UPPER(MID(W175,4,1))="H","HUF",IF(UPPER(MID(W175,4,1))="C","Company",IF(UPPER(MID(W175,4,1))="F","Firm",IF(UPPER(MID(W175,4,1))="L","LLP",IF(UPPER(MID(W175,4,1))="T","Trust",IF(UPPER(MID(W175,4,1))="A","AOP","")))))))),IF($B175="Challan","",IF(W175&lt;&gt;"","◄ Set Row Type","")))</f>
      </c>
      <c r="Z175" s="28"/>
      <c r="AA175" s="29">
        <f>IF($B175&lt;&gt;"Entry","",IF(Z175="","",IF(X175="Y",SUMPRODUCT(('Rate Lookup'!$A$1:$A$37=Z175)*'Rate Lookup'!$D$1:$D$37),IF(OR(Y175="Individual",Y175="HUF"),SUMPRODUCT(('Rate Lookup'!$A$1:$A$37=Z175)*'Rate Lookup'!$B$1:$B$37),SUMPRODUCT(('Rate Lookup'!$A$1:$A$37=Z175)*'Rate Lookup'!$C$1:$C$37)))))</f>
      </c>
      <c r="AB175" s="30"/>
      <c r="AC175" s="31"/>
      <c r="AD175" s="27">
        <f>IF($B175&lt;&gt;"Entry","",ROUND(AC175*AA175/100,0))</f>
      </c>
      <c r="AE175" s="27">
        <f>IF($B175&lt;&gt;"Entry","",0)</f>
      </c>
      <c r="AF175" s="27">
        <f>IF($B175&lt;&gt;"Entry","",0)</f>
      </c>
      <c r="AG175" s="27">
        <f>IF($B175&lt;&gt;"Entry","",IF(OR(AD175=0,AB175="",AQ175="",AQ175&lt;=0),0,IF(AQ175&lt;=DATE(YEAR(AB175),MONTH(AB175)+1,7),0,ROUND(AD175*0.015*((YEAR(AQ175)-YEAR(AB175))*12+(MONTH(AQ175)-MONTH(AB175))+1),0))))</f>
      </c>
      <c r="AH175" s="27">
        <f>IF($B175&lt;&gt;"Entry","",0)</f>
      </c>
      <c r="AI175" s="28"/>
      <c r="AJ175" s="28"/>
      <c r="AK175" s="32"/>
      <c r="AL175" s="28"/>
      <c r="AM175" s="28"/>
      <c r="AN175" s="27">
        <f>IF($B175&lt;&gt;"Challan","",SUMIF('Q1 Data'!$D$4:$D$207,D175,'Q1 Data'!$AD$4:$AD$207)+SUMIF('Q1 Data'!$D$4:$D$207,D175,'Q1 Data'!$AG$4:$AG$207)+SUMIF('Q1 Data'!$D$4:$D$207,D175,'Q1 Data'!$AE$4:$AE$207)+SUMIF('Q2 Data'!$D$4:$D$207,D175,'Q2 Data'!$AD$4:$AD$207)+SUMIF('Q2 Data'!$D$4:$D$207,D175,'Q2 Data'!$AG$4:$AG$207)+SUMIF('Q2 Data'!$D$4:$D$207,D175,'Q2 Data'!$AE$4:$AE$207)+SUMIF('Q3 Data'!$D$4:$D$207,D175,'Q3 Data'!$AD$4:$AD$207)+SUMIF('Q3 Data'!$D$4:$D$207,D175,'Q3 Data'!$AG$4:$AG$207)+SUMIF('Q3 Data'!$D$4:$D$207,D175,'Q3 Data'!$AE$4:$AE$207)+SUMIF('Q4 Data'!$D$4:$D$207,D175,'Q4 Data'!$AD$4:$AD$207)+SUMIF('Q4 Data'!$D$4:$D$207,D175,'Q4 Data'!$AG$4:$AG$207)+SUMIF('Q4 Data'!$D$4:$D$207,D175,'Q4 Data'!$AE$4:$AE$207))</f>
      </c>
      <c r="AO175" s="27">
        <f>IF($B175&lt;&gt;"Challan","",P175-N175)</f>
      </c>
      <c r="AP175" s="27">
        <f>IF($B175&lt;&gt;"Challan","",MAX(0,AO175-AN175))</f>
      </c>
      <c r="AQ175" s="33">
        <f>IF($B175&lt;&gt;"Entry","",SUMPRODUCT(('Q1 Data'!$D$4:$D$207=D175)*('Q1 Data'!$B$4:$B$207="Challan")*'Q1 Data'!$F$4:$F$207)+SUMPRODUCT(('Q2 Data'!$D$4:$D$207=D175)*('Q2 Data'!$B$4:$B$207="Challan")*'Q2 Data'!$F$4:$F$207)+SUMPRODUCT(('Q3 Data'!$D$4:$D$207=D175)*('Q3 Data'!$B$4:$B$207="Challan")*'Q3 Data'!$F$4:$F$207)+SUMPRODUCT(('Q4 Data'!$D$4:$D$207=D175)*('Q4 Data'!$B$4:$B$207="Challan")*'Q4 Data'!$F$4:$F$207))</f>
      </c>
      <c r="AR175" s="34">
        <f>IF(OR($B175&lt;&gt;"Entry",Z175=""),FALSE,AND((SUMPRODUCT(('Q1 Data'!$D$4:$D$207=D175)*('Q1 Data'!$B$4:$B$207="Challan")*('Q1 Data'!$H$4:$H$207&lt;&gt;""))+SUMPRODUCT(('Q2 Data'!$D$4:$D$207=D175)*('Q2 Data'!$B$4:$B$207="Challan")*('Q2 Data'!$H$4:$H$207&lt;&gt;""))+SUMPRODUCT(('Q3 Data'!$D$4:$D$207=D175)*('Q3 Data'!$B$4:$B$207="Challan")*('Q3 Data'!$H$4:$H$207&lt;&gt;""))+SUMPRODUCT(('Q4 Data'!$D$4:$D$207=D175)*('Q4 Data'!$B$4:$B$207="Challan")*('Q4 Data'!$H$4:$H$207&lt;&gt;"")))&gt;0,(SUMPRODUCT(('Q1 Data'!$D$4:$D$207=D175)*('Q1 Data'!$B$4:$B$207="Challan")*('Q1 Data'!$H$4:$H$207=Z175))+SUMPRODUCT(('Q2 Data'!$D$4:$D$207=D175)*('Q2 Data'!$B$4:$B$207="Challan")*('Q2 Data'!$H$4:$H$207=Z175))+SUMPRODUCT(('Q3 Data'!$D$4:$D$207=D175)*('Q3 Data'!$B$4:$B$207="Challan")*('Q3 Data'!$H$4:$H$207=Z175))+SUMPRODUCT(('Q4 Data'!$D$4:$D$207=D175)*('Q4 Data'!$B$4:$B$207="Challan")*('Q4 Data'!$H$4:$H$207=Z175)))=0))</f>
      </c>
    </row>
    <row r="176" spans="1:44" x14ac:dyDescent="0.25">
      <c r="A176" s="20">
        <f>IF($B176="Entry",COUNTIF($B$4:$B176,"Entry"),"")</f>
      </c>
      <c r="B176" s="21"/>
      <c r="C176" s="22"/>
      <c r="D176" s="22"/>
      <c r="E176" s="23">
        <f>IF($B176&lt;&gt;"Challan","",IF(ROUND(AN176-AO176,2)&gt;0,"Over-applied",IF(ROUND(AN176-AO176,2)=0,"Fully Utilised","Unconsumed")))</f>
      </c>
      <c r="F176" s="24"/>
      <c r="G176" s="25"/>
      <c r="H176" s="25"/>
      <c r="I176" s="26"/>
      <c r="J176" s="26"/>
      <c r="K176" s="26"/>
      <c r="L176" s="26"/>
      <c r="M176" s="26"/>
      <c r="N176" s="26"/>
      <c r="O176" s="26"/>
      <c r="P176" s="27">
        <f>IF($B176&lt;&gt;"Challan","",I176+J176+K176+L176+M176+N176)</f>
      </c>
      <c r="Q176" s="25"/>
      <c r="R176" s="25"/>
      <c r="S176" s="25"/>
      <c r="T176" s="25"/>
      <c r="U176" s="25"/>
      <c r="V176" s="28"/>
      <c r="W176" s="28"/>
      <c r="X176" s="23">
        <f>IF($B176="Entry",IF(AND(LEN(TRIM(UPPER(W176)))=10,CODE(MID(TRIM(UPPER(W176)),1,1))&gt;=65,CODE(MID(TRIM(UPPER(W176)),1,1))&lt;=90,CODE(MID(TRIM(UPPER(W176)),2,1))&gt;=65,CODE(MID(TRIM(UPPER(W176)),2,1))&lt;=90,CODE(MID(TRIM(UPPER(W176)),3,1))&gt;=65,CODE(MID(TRIM(UPPER(W176)),3,1))&lt;=90,CODE(MID(TRIM(UPPER(W176)),4,1))&gt;=65,CODE(MID(TRIM(UPPER(W176)),4,1))&lt;=90,CODE(MID(TRIM(UPPER(W176)),5,1))&gt;=65,CODE(MID(TRIM(UPPER(W176)),5,1))&lt;=90,CODE(MID(TRIM(UPPER(W176)),10,1))&gt;=65,CODE(MID(TRIM(UPPER(W176)),10,1))&lt;=90,CODE(MID(TRIM(UPPER(W176)),6,1))&gt;=48,CODE(MID(TRIM(UPPER(W176)),6,1))&lt;=57,CODE(MID(TRIM(UPPER(W176)),7,1))&gt;=48,CODE(MID(TRIM(UPPER(W176)),7,1))&lt;=57,CODE(MID(TRIM(UPPER(W176)),8,1))&gt;=48,CODE(MID(TRIM(UPPER(W176)),8,1))&lt;=57,CODE(MID(TRIM(UPPER(W176)),9,1))&gt;=48,CODE(MID(TRIM(UPPER(W176)),9,1))&lt;=57),"N","Y"),IF($B176="Challan","",IF(W176&lt;&gt;"","◄ Set Row Type","")))</f>
      </c>
      <c r="Y176" s="23">
        <f>IF($B176="Entry",IF(LEN(W176)&lt;4,"",IF(UPPER(MID(W176,4,1))="P","Individual",IF(UPPER(MID(W176,4,1))="H","HUF",IF(UPPER(MID(W176,4,1))="C","Company",IF(UPPER(MID(W176,4,1))="F","Firm",IF(UPPER(MID(W176,4,1))="L","LLP",IF(UPPER(MID(W176,4,1))="T","Trust",IF(UPPER(MID(W176,4,1))="A","AOP","")))))))),IF($B176="Challan","",IF(W176&lt;&gt;"","◄ Set Row Type","")))</f>
      </c>
      <c r="Z176" s="28"/>
      <c r="AA176" s="29">
        <f>IF($B176&lt;&gt;"Entry","",IF(Z176="","",IF(X176="Y",SUMPRODUCT(('Rate Lookup'!$A$1:$A$37=Z176)*'Rate Lookup'!$D$1:$D$37),IF(OR(Y176="Individual",Y176="HUF"),SUMPRODUCT(('Rate Lookup'!$A$1:$A$37=Z176)*'Rate Lookup'!$B$1:$B$37),SUMPRODUCT(('Rate Lookup'!$A$1:$A$37=Z176)*'Rate Lookup'!$C$1:$C$37)))))</f>
      </c>
      <c r="AB176" s="30"/>
      <c r="AC176" s="31"/>
      <c r="AD176" s="27">
        <f>IF($B176&lt;&gt;"Entry","",ROUND(AC176*AA176/100,0))</f>
      </c>
      <c r="AE176" s="27">
        <f>IF($B176&lt;&gt;"Entry","",0)</f>
      </c>
      <c r="AF176" s="27">
        <f>IF($B176&lt;&gt;"Entry","",0)</f>
      </c>
      <c r="AG176" s="27">
        <f>IF($B176&lt;&gt;"Entry","",IF(OR(AD176=0,AB176="",AQ176="",AQ176&lt;=0),0,IF(AQ176&lt;=DATE(YEAR(AB176),MONTH(AB176)+1,7),0,ROUND(AD176*0.015*((YEAR(AQ176)-YEAR(AB176))*12+(MONTH(AQ176)-MONTH(AB176))+1),0))))</f>
      </c>
      <c r="AH176" s="27">
        <f>IF($B176&lt;&gt;"Entry","",0)</f>
      </c>
      <c r="AI176" s="28"/>
      <c r="AJ176" s="28"/>
      <c r="AK176" s="32"/>
      <c r="AL176" s="28"/>
      <c r="AM176" s="28"/>
      <c r="AN176" s="27">
        <f>IF($B176&lt;&gt;"Challan","",SUMIF('Q1 Data'!$D$4:$D$207,D176,'Q1 Data'!$AD$4:$AD$207)+SUMIF('Q1 Data'!$D$4:$D$207,D176,'Q1 Data'!$AG$4:$AG$207)+SUMIF('Q1 Data'!$D$4:$D$207,D176,'Q1 Data'!$AE$4:$AE$207)+SUMIF('Q2 Data'!$D$4:$D$207,D176,'Q2 Data'!$AD$4:$AD$207)+SUMIF('Q2 Data'!$D$4:$D$207,D176,'Q2 Data'!$AG$4:$AG$207)+SUMIF('Q2 Data'!$D$4:$D$207,D176,'Q2 Data'!$AE$4:$AE$207)+SUMIF('Q3 Data'!$D$4:$D$207,D176,'Q3 Data'!$AD$4:$AD$207)+SUMIF('Q3 Data'!$D$4:$D$207,D176,'Q3 Data'!$AG$4:$AG$207)+SUMIF('Q3 Data'!$D$4:$D$207,D176,'Q3 Data'!$AE$4:$AE$207)+SUMIF('Q4 Data'!$D$4:$D$207,D176,'Q4 Data'!$AD$4:$AD$207)+SUMIF('Q4 Data'!$D$4:$D$207,D176,'Q4 Data'!$AG$4:$AG$207)+SUMIF('Q4 Data'!$D$4:$D$207,D176,'Q4 Data'!$AE$4:$AE$207))</f>
      </c>
      <c r="AO176" s="27">
        <f>IF($B176&lt;&gt;"Challan","",P176-N176)</f>
      </c>
      <c r="AP176" s="27">
        <f>IF($B176&lt;&gt;"Challan","",MAX(0,AO176-AN176))</f>
      </c>
      <c r="AQ176" s="33">
        <f>IF($B176&lt;&gt;"Entry","",SUMPRODUCT(('Q1 Data'!$D$4:$D$207=D176)*('Q1 Data'!$B$4:$B$207="Challan")*'Q1 Data'!$F$4:$F$207)+SUMPRODUCT(('Q2 Data'!$D$4:$D$207=D176)*('Q2 Data'!$B$4:$B$207="Challan")*'Q2 Data'!$F$4:$F$207)+SUMPRODUCT(('Q3 Data'!$D$4:$D$207=D176)*('Q3 Data'!$B$4:$B$207="Challan")*'Q3 Data'!$F$4:$F$207)+SUMPRODUCT(('Q4 Data'!$D$4:$D$207=D176)*('Q4 Data'!$B$4:$B$207="Challan")*'Q4 Data'!$F$4:$F$207))</f>
      </c>
      <c r="AR176" s="34">
        <f>IF(OR($B176&lt;&gt;"Entry",Z176=""),FALSE,AND((SUMPRODUCT(('Q1 Data'!$D$4:$D$207=D176)*('Q1 Data'!$B$4:$B$207="Challan")*('Q1 Data'!$H$4:$H$207&lt;&gt;""))+SUMPRODUCT(('Q2 Data'!$D$4:$D$207=D176)*('Q2 Data'!$B$4:$B$207="Challan")*('Q2 Data'!$H$4:$H$207&lt;&gt;""))+SUMPRODUCT(('Q3 Data'!$D$4:$D$207=D176)*('Q3 Data'!$B$4:$B$207="Challan")*('Q3 Data'!$H$4:$H$207&lt;&gt;""))+SUMPRODUCT(('Q4 Data'!$D$4:$D$207=D176)*('Q4 Data'!$B$4:$B$207="Challan")*('Q4 Data'!$H$4:$H$207&lt;&gt;"")))&gt;0,(SUMPRODUCT(('Q1 Data'!$D$4:$D$207=D176)*('Q1 Data'!$B$4:$B$207="Challan")*('Q1 Data'!$H$4:$H$207=Z176))+SUMPRODUCT(('Q2 Data'!$D$4:$D$207=D176)*('Q2 Data'!$B$4:$B$207="Challan")*('Q2 Data'!$H$4:$H$207=Z176))+SUMPRODUCT(('Q3 Data'!$D$4:$D$207=D176)*('Q3 Data'!$B$4:$B$207="Challan")*('Q3 Data'!$H$4:$H$207=Z176))+SUMPRODUCT(('Q4 Data'!$D$4:$D$207=D176)*('Q4 Data'!$B$4:$B$207="Challan")*('Q4 Data'!$H$4:$H$207=Z176)))=0))</f>
      </c>
    </row>
    <row r="177" spans="1:44" x14ac:dyDescent="0.25">
      <c r="A177" s="20">
        <f>IF($B177="Entry",COUNTIF($B$4:$B177,"Entry"),"")</f>
      </c>
      <c r="B177" s="21"/>
      <c r="C177" s="22"/>
      <c r="D177" s="22"/>
      <c r="E177" s="23">
        <f>IF($B177&lt;&gt;"Challan","",IF(ROUND(AN177-AO177,2)&gt;0,"Over-applied",IF(ROUND(AN177-AO177,2)=0,"Fully Utilised","Unconsumed")))</f>
      </c>
      <c r="F177" s="24"/>
      <c r="G177" s="25"/>
      <c r="H177" s="25"/>
      <c r="I177" s="26"/>
      <c r="J177" s="26"/>
      <c r="K177" s="26"/>
      <c r="L177" s="26"/>
      <c r="M177" s="26"/>
      <c r="N177" s="26"/>
      <c r="O177" s="26"/>
      <c r="P177" s="27">
        <f>IF($B177&lt;&gt;"Challan","",I177+J177+K177+L177+M177+N177)</f>
      </c>
      <c r="Q177" s="25"/>
      <c r="R177" s="25"/>
      <c r="S177" s="25"/>
      <c r="T177" s="25"/>
      <c r="U177" s="25"/>
      <c r="V177" s="28"/>
      <c r="W177" s="28"/>
      <c r="X177" s="23">
        <f>IF($B177="Entry",IF(AND(LEN(TRIM(UPPER(W177)))=10,CODE(MID(TRIM(UPPER(W177)),1,1))&gt;=65,CODE(MID(TRIM(UPPER(W177)),1,1))&lt;=90,CODE(MID(TRIM(UPPER(W177)),2,1))&gt;=65,CODE(MID(TRIM(UPPER(W177)),2,1))&lt;=90,CODE(MID(TRIM(UPPER(W177)),3,1))&gt;=65,CODE(MID(TRIM(UPPER(W177)),3,1))&lt;=90,CODE(MID(TRIM(UPPER(W177)),4,1))&gt;=65,CODE(MID(TRIM(UPPER(W177)),4,1))&lt;=90,CODE(MID(TRIM(UPPER(W177)),5,1))&gt;=65,CODE(MID(TRIM(UPPER(W177)),5,1))&lt;=90,CODE(MID(TRIM(UPPER(W177)),10,1))&gt;=65,CODE(MID(TRIM(UPPER(W177)),10,1))&lt;=90,CODE(MID(TRIM(UPPER(W177)),6,1))&gt;=48,CODE(MID(TRIM(UPPER(W177)),6,1))&lt;=57,CODE(MID(TRIM(UPPER(W177)),7,1))&gt;=48,CODE(MID(TRIM(UPPER(W177)),7,1))&lt;=57,CODE(MID(TRIM(UPPER(W177)),8,1))&gt;=48,CODE(MID(TRIM(UPPER(W177)),8,1))&lt;=57,CODE(MID(TRIM(UPPER(W177)),9,1))&gt;=48,CODE(MID(TRIM(UPPER(W177)),9,1))&lt;=57),"N","Y"),IF($B177="Challan","",IF(W177&lt;&gt;"","◄ Set Row Type","")))</f>
      </c>
      <c r="Y177" s="23">
        <f>IF($B177="Entry",IF(LEN(W177)&lt;4,"",IF(UPPER(MID(W177,4,1))="P","Individual",IF(UPPER(MID(W177,4,1))="H","HUF",IF(UPPER(MID(W177,4,1))="C","Company",IF(UPPER(MID(W177,4,1))="F","Firm",IF(UPPER(MID(W177,4,1))="L","LLP",IF(UPPER(MID(W177,4,1))="T","Trust",IF(UPPER(MID(W177,4,1))="A","AOP","")))))))),IF($B177="Challan","",IF(W177&lt;&gt;"","◄ Set Row Type","")))</f>
      </c>
      <c r="Z177" s="28"/>
      <c r="AA177" s="29">
        <f>IF($B177&lt;&gt;"Entry","",IF(Z177="","",IF(X177="Y",SUMPRODUCT(('Rate Lookup'!$A$1:$A$37=Z177)*'Rate Lookup'!$D$1:$D$37),IF(OR(Y177="Individual",Y177="HUF"),SUMPRODUCT(('Rate Lookup'!$A$1:$A$37=Z177)*'Rate Lookup'!$B$1:$B$37),SUMPRODUCT(('Rate Lookup'!$A$1:$A$37=Z177)*'Rate Lookup'!$C$1:$C$37)))))</f>
      </c>
      <c r="AB177" s="30"/>
      <c r="AC177" s="31"/>
      <c r="AD177" s="27">
        <f>IF($B177&lt;&gt;"Entry","",ROUND(AC177*AA177/100,0))</f>
      </c>
      <c r="AE177" s="27">
        <f>IF($B177&lt;&gt;"Entry","",0)</f>
      </c>
      <c r="AF177" s="27">
        <f>IF($B177&lt;&gt;"Entry","",0)</f>
      </c>
      <c r="AG177" s="27">
        <f>IF($B177&lt;&gt;"Entry","",IF(OR(AD177=0,AB177="",AQ177="",AQ177&lt;=0),0,IF(AQ177&lt;=DATE(YEAR(AB177),MONTH(AB177)+1,7),0,ROUND(AD177*0.015*((YEAR(AQ177)-YEAR(AB177))*12+(MONTH(AQ177)-MONTH(AB177))+1),0))))</f>
      </c>
      <c r="AH177" s="27">
        <f>IF($B177&lt;&gt;"Entry","",0)</f>
      </c>
      <c r="AI177" s="28"/>
      <c r="AJ177" s="28"/>
      <c r="AK177" s="32"/>
      <c r="AL177" s="28"/>
      <c r="AM177" s="28"/>
      <c r="AN177" s="27">
        <f>IF($B177&lt;&gt;"Challan","",SUMIF('Q1 Data'!$D$4:$D$207,D177,'Q1 Data'!$AD$4:$AD$207)+SUMIF('Q1 Data'!$D$4:$D$207,D177,'Q1 Data'!$AG$4:$AG$207)+SUMIF('Q1 Data'!$D$4:$D$207,D177,'Q1 Data'!$AE$4:$AE$207)+SUMIF('Q2 Data'!$D$4:$D$207,D177,'Q2 Data'!$AD$4:$AD$207)+SUMIF('Q2 Data'!$D$4:$D$207,D177,'Q2 Data'!$AG$4:$AG$207)+SUMIF('Q2 Data'!$D$4:$D$207,D177,'Q2 Data'!$AE$4:$AE$207)+SUMIF('Q3 Data'!$D$4:$D$207,D177,'Q3 Data'!$AD$4:$AD$207)+SUMIF('Q3 Data'!$D$4:$D$207,D177,'Q3 Data'!$AG$4:$AG$207)+SUMIF('Q3 Data'!$D$4:$D$207,D177,'Q3 Data'!$AE$4:$AE$207)+SUMIF('Q4 Data'!$D$4:$D$207,D177,'Q4 Data'!$AD$4:$AD$207)+SUMIF('Q4 Data'!$D$4:$D$207,D177,'Q4 Data'!$AG$4:$AG$207)+SUMIF('Q4 Data'!$D$4:$D$207,D177,'Q4 Data'!$AE$4:$AE$207))</f>
      </c>
      <c r="AO177" s="27">
        <f>IF($B177&lt;&gt;"Challan","",P177-N177)</f>
      </c>
      <c r="AP177" s="27">
        <f>IF($B177&lt;&gt;"Challan","",MAX(0,AO177-AN177))</f>
      </c>
      <c r="AQ177" s="33">
        <f>IF($B177&lt;&gt;"Entry","",SUMPRODUCT(('Q1 Data'!$D$4:$D$207=D177)*('Q1 Data'!$B$4:$B$207="Challan")*'Q1 Data'!$F$4:$F$207)+SUMPRODUCT(('Q2 Data'!$D$4:$D$207=D177)*('Q2 Data'!$B$4:$B$207="Challan")*'Q2 Data'!$F$4:$F$207)+SUMPRODUCT(('Q3 Data'!$D$4:$D$207=D177)*('Q3 Data'!$B$4:$B$207="Challan")*'Q3 Data'!$F$4:$F$207)+SUMPRODUCT(('Q4 Data'!$D$4:$D$207=D177)*('Q4 Data'!$B$4:$B$207="Challan")*'Q4 Data'!$F$4:$F$207))</f>
      </c>
      <c r="AR177" s="34">
        <f>IF(OR($B177&lt;&gt;"Entry",Z177=""),FALSE,AND((SUMPRODUCT(('Q1 Data'!$D$4:$D$207=D177)*('Q1 Data'!$B$4:$B$207="Challan")*('Q1 Data'!$H$4:$H$207&lt;&gt;""))+SUMPRODUCT(('Q2 Data'!$D$4:$D$207=D177)*('Q2 Data'!$B$4:$B$207="Challan")*('Q2 Data'!$H$4:$H$207&lt;&gt;""))+SUMPRODUCT(('Q3 Data'!$D$4:$D$207=D177)*('Q3 Data'!$B$4:$B$207="Challan")*('Q3 Data'!$H$4:$H$207&lt;&gt;""))+SUMPRODUCT(('Q4 Data'!$D$4:$D$207=D177)*('Q4 Data'!$B$4:$B$207="Challan")*('Q4 Data'!$H$4:$H$207&lt;&gt;"")))&gt;0,(SUMPRODUCT(('Q1 Data'!$D$4:$D$207=D177)*('Q1 Data'!$B$4:$B$207="Challan")*('Q1 Data'!$H$4:$H$207=Z177))+SUMPRODUCT(('Q2 Data'!$D$4:$D$207=D177)*('Q2 Data'!$B$4:$B$207="Challan")*('Q2 Data'!$H$4:$H$207=Z177))+SUMPRODUCT(('Q3 Data'!$D$4:$D$207=D177)*('Q3 Data'!$B$4:$B$207="Challan")*('Q3 Data'!$H$4:$H$207=Z177))+SUMPRODUCT(('Q4 Data'!$D$4:$D$207=D177)*('Q4 Data'!$B$4:$B$207="Challan")*('Q4 Data'!$H$4:$H$207=Z177)))=0))</f>
      </c>
    </row>
    <row r="178" spans="1:44" x14ac:dyDescent="0.25">
      <c r="A178" s="20">
        <f>IF($B178="Entry",COUNTIF($B$4:$B178,"Entry"),"")</f>
      </c>
      <c r="B178" s="21"/>
      <c r="C178" s="22"/>
      <c r="D178" s="22"/>
      <c r="E178" s="23">
        <f>IF($B178&lt;&gt;"Challan","",IF(ROUND(AN178-AO178,2)&gt;0,"Over-applied",IF(ROUND(AN178-AO178,2)=0,"Fully Utilised","Unconsumed")))</f>
      </c>
      <c r="F178" s="24"/>
      <c r="G178" s="25"/>
      <c r="H178" s="25"/>
      <c r="I178" s="26"/>
      <c r="J178" s="26"/>
      <c r="K178" s="26"/>
      <c r="L178" s="26"/>
      <c r="M178" s="26"/>
      <c r="N178" s="26"/>
      <c r="O178" s="26"/>
      <c r="P178" s="27">
        <f>IF($B178&lt;&gt;"Challan","",I178+J178+K178+L178+M178+N178)</f>
      </c>
      <c r="Q178" s="25"/>
      <c r="R178" s="25"/>
      <c r="S178" s="25"/>
      <c r="T178" s="25"/>
      <c r="U178" s="25"/>
      <c r="V178" s="28"/>
      <c r="W178" s="28"/>
      <c r="X178" s="23">
        <f>IF($B178="Entry",IF(AND(LEN(TRIM(UPPER(W178)))=10,CODE(MID(TRIM(UPPER(W178)),1,1))&gt;=65,CODE(MID(TRIM(UPPER(W178)),1,1))&lt;=90,CODE(MID(TRIM(UPPER(W178)),2,1))&gt;=65,CODE(MID(TRIM(UPPER(W178)),2,1))&lt;=90,CODE(MID(TRIM(UPPER(W178)),3,1))&gt;=65,CODE(MID(TRIM(UPPER(W178)),3,1))&lt;=90,CODE(MID(TRIM(UPPER(W178)),4,1))&gt;=65,CODE(MID(TRIM(UPPER(W178)),4,1))&lt;=90,CODE(MID(TRIM(UPPER(W178)),5,1))&gt;=65,CODE(MID(TRIM(UPPER(W178)),5,1))&lt;=90,CODE(MID(TRIM(UPPER(W178)),10,1))&gt;=65,CODE(MID(TRIM(UPPER(W178)),10,1))&lt;=90,CODE(MID(TRIM(UPPER(W178)),6,1))&gt;=48,CODE(MID(TRIM(UPPER(W178)),6,1))&lt;=57,CODE(MID(TRIM(UPPER(W178)),7,1))&gt;=48,CODE(MID(TRIM(UPPER(W178)),7,1))&lt;=57,CODE(MID(TRIM(UPPER(W178)),8,1))&gt;=48,CODE(MID(TRIM(UPPER(W178)),8,1))&lt;=57,CODE(MID(TRIM(UPPER(W178)),9,1))&gt;=48,CODE(MID(TRIM(UPPER(W178)),9,1))&lt;=57),"N","Y"),IF($B178="Challan","",IF(W178&lt;&gt;"","◄ Set Row Type","")))</f>
      </c>
      <c r="Y178" s="23">
        <f>IF($B178="Entry",IF(LEN(W178)&lt;4,"",IF(UPPER(MID(W178,4,1))="P","Individual",IF(UPPER(MID(W178,4,1))="H","HUF",IF(UPPER(MID(W178,4,1))="C","Company",IF(UPPER(MID(W178,4,1))="F","Firm",IF(UPPER(MID(W178,4,1))="L","LLP",IF(UPPER(MID(W178,4,1))="T","Trust",IF(UPPER(MID(W178,4,1))="A","AOP","")))))))),IF($B178="Challan","",IF(W178&lt;&gt;"","◄ Set Row Type","")))</f>
      </c>
      <c r="Z178" s="28"/>
      <c r="AA178" s="29">
        <f>IF($B178&lt;&gt;"Entry","",IF(Z178="","",IF(X178="Y",SUMPRODUCT(('Rate Lookup'!$A$1:$A$37=Z178)*'Rate Lookup'!$D$1:$D$37),IF(OR(Y178="Individual",Y178="HUF"),SUMPRODUCT(('Rate Lookup'!$A$1:$A$37=Z178)*'Rate Lookup'!$B$1:$B$37),SUMPRODUCT(('Rate Lookup'!$A$1:$A$37=Z178)*'Rate Lookup'!$C$1:$C$37)))))</f>
      </c>
      <c r="AB178" s="30"/>
      <c r="AC178" s="31"/>
      <c r="AD178" s="27">
        <f>IF($B178&lt;&gt;"Entry","",ROUND(AC178*AA178/100,0))</f>
      </c>
      <c r="AE178" s="27">
        <f>IF($B178&lt;&gt;"Entry","",0)</f>
      </c>
      <c r="AF178" s="27">
        <f>IF($B178&lt;&gt;"Entry","",0)</f>
      </c>
      <c r="AG178" s="27">
        <f>IF($B178&lt;&gt;"Entry","",IF(OR(AD178=0,AB178="",AQ178="",AQ178&lt;=0),0,IF(AQ178&lt;=DATE(YEAR(AB178),MONTH(AB178)+1,7),0,ROUND(AD178*0.015*((YEAR(AQ178)-YEAR(AB178))*12+(MONTH(AQ178)-MONTH(AB178))+1),0))))</f>
      </c>
      <c r="AH178" s="27">
        <f>IF($B178&lt;&gt;"Entry","",0)</f>
      </c>
      <c r="AI178" s="28"/>
      <c r="AJ178" s="28"/>
      <c r="AK178" s="32"/>
      <c r="AL178" s="28"/>
      <c r="AM178" s="28"/>
      <c r="AN178" s="27">
        <f>IF($B178&lt;&gt;"Challan","",SUMIF('Q1 Data'!$D$4:$D$207,D178,'Q1 Data'!$AD$4:$AD$207)+SUMIF('Q1 Data'!$D$4:$D$207,D178,'Q1 Data'!$AG$4:$AG$207)+SUMIF('Q1 Data'!$D$4:$D$207,D178,'Q1 Data'!$AE$4:$AE$207)+SUMIF('Q2 Data'!$D$4:$D$207,D178,'Q2 Data'!$AD$4:$AD$207)+SUMIF('Q2 Data'!$D$4:$D$207,D178,'Q2 Data'!$AG$4:$AG$207)+SUMIF('Q2 Data'!$D$4:$D$207,D178,'Q2 Data'!$AE$4:$AE$207)+SUMIF('Q3 Data'!$D$4:$D$207,D178,'Q3 Data'!$AD$4:$AD$207)+SUMIF('Q3 Data'!$D$4:$D$207,D178,'Q3 Data'!$AG$4:$AG$207)+SUMIF('Q3 Data'!$D$4:$D$207,D178,'Q3 Data'!$AE$4:$AE$207)+SUMIF('Q4 Data'!$D$4:$D$207,D178,'Q4 Data'!$AD$4:$AD$207)+SUMIF('Q4 Data'!$D$4:$D$207,D178,'Q4 Data'!$AG$4:$AG$207)+SUMIF('Q4 Data'!$D$4:$D$207,D178,'Q4 Data'!$AE$4:$AE$207))</f>
      </c>
      <c r="AO178" s="27">
        <f>IF($B178&lt;&gt;"Challan","",P178-N178)</f>
      </c>
      <c r="AP178" s="27">
        <f>IF($B178&lt;&gt;"Challan","",MAX(0,AO178-AN178))</f>
      </c>
      <c r="AQ178" s="33">
        <f>IF($B178&lt;&gt;"Entry","",SUMPRODUCT(('Q1 Data'!$D$4:$D$207=D178)*('Q1 Data'!$B$4:$B$207="Challan")*'Q1 Data'!$F$4:$F$207)+SUMPRODUCT(('Q2 Data'!$D$4:$D$207=D178)*('Q2 Data'!$B$4:$B$207="Challan")*'Q2 Data'!$F$4:$F$207)+SUMPRODUCT(('Q3 Data'!$D$4:$D$207=D178)*('Q3 Data'!$B$4:$B$207="Challan")*'Q3 Data'!$F$4:$F$207)+SUMPRODUCT(('Q4 Data'!$D$4:$D$207=D178)*('Q4 Data'!$B$4:$B$207="Challan")*'Q4 Data'!$F$4:$F$207))</f>
      </c>
      <c r="AR178" s="34">
        <f>IF(OR($B178&lt;&gt;"Entry",Z178=""),FALSE,AND((SUMPRODUCT(('Q1 Data'!$D$4:$D$207=D178)*('Q1 Data'!$B$4:$B$207="Challan")*('Q1 Data'!$H$4:$H$207&lt;&gt;""))+SUMPRODUCT(('Q2 Data'!$D$4:$D$207=D178)*('Q2 Data'!$B$4:$B$207="Challan")*('Q2 Data'!$H$4:$H$207&lt;&gt;""))+SUMPRODUCT(('Q3 Data'!$D$4:$D$207=D178)*('Q3 Data'!$B$4:$B$207="Challan")*('Q3 Data'!$H$4:$H$207&lt;&gt;""))+SUMPRODUCT(('Q4 Data'!$D$4:$D$207=D178)*('Q4 Data'!$B$4:$B$207="Challan")*('Q4 Data'!$H$4:$H$207&lt;&gt;"")))&gt;0,(SUMPRODUCT(('Q1 Data'!$D$4:$D$207=D178)*('Q1 Data'!$B$4:$B$207="Challan")*('Q1 Data'!$H$4:$H$207=Z178))+SUMPRODUCT(('Q2 Data'!$D$4:$D$207=D178)*('Q2 Data'!$B$4:$B$207="Challan")*('Q2 Data'!$H$4:$H$207=Z178))+SUMPRODUCT(('Q3 Data'!$D$4:$D$207=D178)*('Q3 Data'!$B$4:$B$207="Challan")*('Q3 Data'!$H$4:$H$207=Z178))+SUMPRODUCT(('Q4 Data'!$D$4:$D$207=D178)*('Q4 Data'!$B$4:$B$207="Challan")*('Q4 Data'!$H$4:$H$207=Z178)))=0))</f>
      </c>
    </row>
    <row r="179" spans="1:44" x14ac:dyDescent="0.25">
      <c r="A179" s="20">
        <f>IF($B179="Entry",COUNTIF($B$4:$B179,"Entry"),"")</f>
      </c>
      <c r="B179" s="21"/>
      <c r="C179" s="22"/>
      <c r="D179" s="22"/>
      <c r="E179" s="23">
        <f>IF($B179&lt;&gt;"Challan","",IF(ROUND(AN179-AO179,2)&gt;0,"Over-applied",IF(ROUND(AN179-AO179,2)=0,"Fully Utilised","Unconsumed")))</f>
      </c>
      <c r="F179" s="24"/>
      <c r="G179" s="25"/>
      <c r="H179" s="25"/>
      <c r="I179" s="26"/>
      <c r="J179" s="26"/>
      <c r="K179" s="26"/>
      <c r="L179" s="26"/>
      <c r="M179" s="26"/>
      <c r="N179" s="26"/>
      <c r="O179" s="26"/>
      <c r="P179" s="27">
        <f>IF($B179&lt;&gt;"Challan","",I179+J179+K179+L179+M179+N179)</f>
      </c>
      <c r="Q179" s="25"/>
      <c r="R179" s="25"/>
      <c r="S179" s="25"/>
      <c r="T179" s="25"/>
      <c r="U179" s="25"/>
      <c r="V179" s="28"/>
      <c r="W179" s="28"/>
      <c r="X179" s="23">
        <f>IF($B179="Entry",IF(AND(LEN(TRIM(UPPER(W179)))=10,CODE(MID(TRIM(UPPER(W179)),1,1))&gt;=65,CODE(MID(TRIM(UPPER(W179)),1,1))&lt;=90,CODE(MID(TRIM(UPPER(W179)),2,1))&gt;=65,CODE(MID(TRIM(UPPER(W179)),2,1))&lt;=90,CODE(MID(TRIM(UPPER(W179)),3,1))&gt;=65,CODE(MID(TRIM(UPPER(W179)),3,1))&lt;=90,CODE(MID(TRIM(UPPER(W179)),4,1))&gt;=65,CODE(MID(TRIM(UPPER(W179)),4,1))&lt;=90,CODE(MID(TRIM(UPPER(W179)),5,1))&gt;=65,CODE(MID(TRIM(UPPER(W179)),5,1))&lt;=90,CODE(MID(TRIM(UPPER(W179)),10,1))&gt;=65,CODE(MID(TRIM(UPPER(W179)),10,1))&lt;=90,CODE(MID(TRIM(UPPER(W179)),6,1))&gt;=48,CODE(MID(TRIM(UPPER(W179)),6,1))&lt;=57,CODE(MID(TRIM(UPPER(W179)),7,1))&gt;=48,CODE(MID(TRIM(UPPER(W179)),7,1))&lt;=57,CODE(MID(TRIM(UPPER(W179)),8,1))&gt;=48,CODE(MID(TRIM(UPPER(W179)),8,1))&lt;=57,CODE(MID(TRIM(UPPER(W179)),9,1))&gt;=48,CODE(MID(TRIM(UPPER(W179)),9,1))&lt;=57),"N","Y"),IF($B179="Challan","",IF(W179&lt;&gt;"","◄ Set Row Type","")))</f>
      </c>
      <c r="Y179" s="23">
        <f>IF($B179="Entry",IF(LEN(W179)&lt;4,"",IF(UPPER(MID(W179,4,1))="P","Individual",IF(UPPER(MID(W179,4,1))="H","HUF",IF(UPPER(MID(W179,4,1))="C","Company",IF(UPPER(MID(W179,4,1))="F","Firm",IF(UPPER(MID(W179,4,1))="L","LLP",IF(UPPER(MID(W179,4,1))="T","Trust",IF(UPPER(MID(W179,4,1))="A","AOP","")))))))),IF($B179="Challan","",IF(W179&lt;&gt;"","◄ Set Row Type","")))</f>
      </c>
      <c r="Z179" s="28"/>
      <c r="AA179" s="29">
        <f>IF($B179&lt;&gt;"Entry","",IF(Z179="","",IF(X179="Y",SUMPRODUCT(('Rate Lookup'!$A$1:$A$37=Z179)*'Rate Lookup'!$D$1:$D$37),IF(OR(Y179="Individual",Y179="HUF"),SUMPRODUCT(('Rate Lookup'!$A$1:$A$37=Z179)*'Rate Lookup'!$B$1:$B$37),SUMPRODUCT(('Rate Lookup'!$A$1:$A$37=Z179)*'Rate Lookup'!$C$1:$C$37)))))</f>
      </c>
      <c r="AB179" s="30"/>
      <c r="AC179" s="31"/>
      <c r="AD179" s="27">
        <f>IF($B179&lt;&gt;"Entry","",ROUND(AC179*AA179/100,0))</f>
      </c>
      <c r="AE179" s="27">
        <f>IF($B179&lt;&gt;"Entry","",0)</f>
      </c>
      <c r="AF179" s="27">
        <f>IF($B179&lt;&gt;"Entry","",0)</f>
      </c>
      <c r="AG179" s="27">
        <f>IF($B179&lt;&gt;"Entry","",IF(OR(AD179=0,AB179="",AQ179="",AQ179&lt;=0),0,IF(AQ179&lt;=DATE(YEAR(AB179),MONTH(AB179)+1,7),0,ROUND(AD179*0.015*((YEAR(AQ179)-YEAR(AB179))*12+(MONTH(AQ179)-MONTH(AB179))+1),0))))</f>
      </c>
      <c r="AH179" s="27">
        <f>IF($B179&lt;&gt;"Entry","",0)</f>
      </c>
      <c r="AI179" s="28"/>
      <c r="AJ179" s="28"/>
      <c r="AK179" s="32"/>
      <c r="AL179" s="28"/>
      <c r="AM179" s="28"/>
      <c r="AN179" s="27">
        <f>IF($B179&lt;&gt;"Challan","",SUMIF('Q1 Data'!$D$4:$D$207,D179,'Q1 Data'!$AD$4:$AD$207)+SUMIF('Q1 Data'!$D$4:$D$207,D179,'Q1 Data'!$AG$4:$AG$207)+SUMIF('Q1 Data'!$D$4:$D$207,D179,'Q1 Data'!$AE$4:$AE$207)+SUMIF('Q2 Data'!$D$4:$D$207,D179,'Q2 Data'!$AD$4:$AD$207)+SUMIF('Q2 Data'!$D$4:$D$207,D179,'Q2 Data'!$AG$4:$AG$207)+SUMIF('Q2 Data'!$D$4:$D$207,D179,'Q2 Data'!$AE$4:$AE$207)+SUMIF('Q3 Data'!$D$4:$D$207,D179,'Q3 Data'!$AD$4:$AD$207)+SUMIF('Q3 Data'!$D$4:$D$207,D179,'Q3 Data'!$AG$4:$AG$207)+SUMIF('Q3 Data'!$D$4:$D$207,D179,'Q3 Data'!$AE$4:$AE$207)+SUMIF('Q4 Data'!$D$4:$D$207,D179,'Q4 Data'!$AD$4:$AD$207)+SUMIF('Q4 Data'!$D$4:$D$207,D179,'Q4 Data'!$AG$4:$AG$207)+SUMIF('Q4 Data'!$D$4:$D$207,D179,'Q4 Data'!$AE$4:$AE$207))</f>
      </c>
      <c r="AO179" s="27">
        <f>IF($B179&lt;&gt;"Challan","",P179-N179)</f>
      </c>
      <c r="AP179" s="27">
        <f>IF($B179&lt;&gt;"Challan","",MAX(0,AO179-AN179))</f>
      </c>
      <c r="AQ179" s="33">
        <f>IF($B179&lt;&gt;"Entry","",SUMPRODUCT(('Q1 Data'!$D$4:$D$207=D179)*('Q1 Data'!$B$4:$B$207="Challan")*'Q1 Data'!$F$4:$F$207)+SUMPRODUCT(('Q2 Data'!$D$4:$D$207=D179)*('Q2 Data'!$B$4:$B$207="Challan")*'Q2 Data'!$F$4:$F$207)+SUMPRODUCT(('Q3 Data'!$D$4:$D$207=D179)*('Q3 Data'!$B$4:$B$207="Challan")*'Q3 Data'!$F$4:$F$207)+SUMPRODUCT(('Q4 Data'!$D$4:$D$207=D179)*('Q4 Data'!$B$4:$B$207="Challan")*'Q4 Data'!$F$4:$F$207))</f>
      </c>
      <c r="AR179" s="34">
        <f>IF(OR($B179&lt;&gt;"Entry",Z179=""),FALSE,AND((SUMPRODUCT(('Q1 Data'!$D$4:$D$207=D179)*('Q1 Data'!$B$4:$B$207="Challan")*('Q1 Data'!$H$4:$H$207&lt;&gt;""))+SUMPRODUCT(('Q2 Data'!$D$4:$D$207=D179)*('Q2 Data'!$B$4:$B$207="Challan")*('Q2 Data'!$H$4:$H$207&lt;&gt;""))+SUMPRODUCT(('Q3 Data'!$D$4:$D$207=D179)*('Q3 Data'!$B$4:$B$207="Challan")*('Q3 Data'!$H$4:$H$207&lt;&gt;""))+SUMPRODUCT(('Q4 Data'!$D$4:$D$207=D179)*('Q4 Data'!$B$4:$B$207="Challan")*('Q4 Data'!$H$4:$H$207&lt;&gt;"")))&gt;0,(SUMPRODUCT(('Q1 Data'!$D$4:$D$207=D179)*('Q1 Data'!$B$4:$B$207="Challan")*('Q1 Data'!$H$4:$H$207=Z179))+SUMPRODUCT(('Q2 Data'!$D$4:$D$207=D179)*('Q2 Data'!$B$4:$B$207="Challan")*('Q2 Data'!$H$4:$H$207=Z179))+SUMPRODUCT(('Q3 Data'!$D$4:$D$207=D179)*('Q3 Data'!$B$4:$B$207="Challan")*('Q3 Data'!$H$4:$H$207=Z179))+SUMPRODUCT(('Q4 Data'!$D$4:$D$207=D179)*('Q4 Data'!$B$4:$B$207="Challan")*('Q4 Data'!$H$4:$H$207=Z179)))=0))</f>
      </c>
    </row>
    <row r="180" spans="1:44" x14ac:dyDescent="0.25">
      <c r="A180" s="20">
        <f>IF($B180="Entry",COUNTIF($B$4:$B180,"Entry"),"")</f>
      </c>
      <c r="B180" s="21"/>
      <c r="C180" s="22"/>
      <c r="D180" s="22"/>
      <c r="E180" s="23">
        <f>IF($B180&lt;&gt;"Challan","",IF(ROUND(AN180-AO180,2)&gt;0,"Over-applied",IF(ROUND(AN180-AO180,2)=0,"Fully Utilised","Unconsumed")))</f>
      </c>
      <c r="F180" s="24"/>
      <c r="G180" s="25"/>
      <c r="H180" s="25"/>
      <c r="I180" s="26"/>
      <c r="J180" s="26"/>
      <c r="K180" s="26"/>
      <c r="L180" s="26"/>
      <c r="M180" s="26"/>
      <c r="N180" s="26"/>
      <c r="O180" s="26"/>
      <c r="P180" s="27">
        <f>IF($B180&lt;&gt;"Challan","",I180+J180+K180+L180+M180+N180)</f>
      </c>
      <c r="Q180" s="25"/>
      <c r="R180" s="25"/>
      <c r="S180" s="25"/>
      <c r="T180" s="25"/>
      <c r="U180" s="25"/>
      <c r="V180" s="28"/>
      <c r="W180" s="28"/>
      <c r="X180" s="23">
        <f>IF($B180="Entry",IF(AND(LEN(TRIM(UPPER(W180)))=10,CODE(MID(TRIM(UPPER(W180)),1,1))&gt;=65,CODE(MID(TRIM(UPPER(W180)),1,1))&lt;=90,CODE(MID(TRIM(UPPER(W180)),2,1))&gt;=65,CODE(MID(TRIM(UPPER(W180)),2,1))&lt;=90,CODE(MID(TRIM(UPPER(W180)),3,1))&gt;=65,CODE(MID(TRIM(UPPER(W180)),3,1))&lt;=90,CODE(MID(TRIM(UPPER(W180)),4,1))&gt;=65,CODE(MID(TRIM(UPPER(W180)),4,1))&lt;=90,CODE(MID(TRIM(UPPER(W180)),5,1))&gt;=65,CODE(MID(TRIM(UPPER(W180)),5,1))&lt;=90,CODE(MID(TRIM(UPPER(W180)),10,1))&gt;=65,CODE(MID(TRIM(UPPER(W180)),10,1))&lt;=90,CODE(MID(TRIM(UPPER(W180)),6,1))&gt;=48,CODE(MID(TRIM(UPPER(W180)),6,1))&lt;=57,CODE(MID(TRIM(UPPER(W180)),7,1))&gt;=48,CODE(MID(TRIM(UPPER(W180)),7,1))&lt;=57,CODE(MID(TRIM(UPPER(W180)),8,1))&gt;=48,CODE(MID(TRIM(UPPER(W180)),8,1))&lt;=57,CODE(MID(TRIM(UPPER(W180)),9,1))&gt;=48,CODE(MID(TRIM(UPPER(W180)),9,1))&lt;=57),"N","Y"),IF($B180="Challan","",IF(W180&lt;&gt;"","◄ Set Row Type","")))</f>
      </c>
      <c r="Y180" s="23">
        <f>IF($B180="Entry",IF(LEN(W180)&lt;4,"",IF(UPPER(MID(W180,4,1))="P","Individual",IF(UPPER(MID(W180,4,1))="H","HUF",IF(UPPER(MID(W180,4,1))="C","Company",IF(UPPER(MID(W180,4,1))="F","Firm",IF(UPPER(MID(W180,4,1))="L","LLP",IF(UPPER(MID(W180,4,1))="T","Trust",IF(UPPER(MID(W180,4,1))="A","AOP","")))))))),IF($B180="Challan","",IF(W180&lt;&gt;"","◄ Set Row Type","")))</f>
      </c>
      <c r="Z180" s="28"/>
      <c r="AA180" s="29">
        <f>IF($B180&lt;&gt;"Entry","",IF(Z180="","",IF(X180="Y",SUMPRODUCT(('Rate Lookup'!$A$1:$A$37=Z180)*'Rate Lookup'!$D$1:$D$37),IF(OR(Y180="Individual",Y180="HUF"),SUMPRODUCT(('Rate Lookup'!$A$1:$A$37=Z180)*'Rate Lookup'!$B$1:$B$37),SUMPRODUCT(('Rate Lookup'!$A$1:$A$37=Z180)*'Rate Lookup'!$C$1:$C$37)))))</f>
      </c>
      <c r="AB180" s="30"/>
      <c r="AC180" s="31"/>
      <c r="AD180" s="27">
        <f>IF($B180&lt;&gt;"Entry","",ROUND(AC180*AA180/100,0))</f>
      </c>
      <c r="AE180" s="27">
        <f>IF($B180&lt;&gt;"Entry","",0)</f>
      </c>
      <c r="AF180" s="27">
        <f>IF($B180&lt;&gt;"Entry","",0)</f>
      </c>
      <c r="AG180" s="27">
        <f>IF($B180&lt;&gt;"Entry","",IF(OR(AD180=0,AB180="",AQ180="",AQ180&lt;=0),0,IF(AQ180&lt;=DATE(YEAR(AB180),MONTH(AB180)+1,7),0,ROUND(AD180*0.015*((YEAR(AQ180)-YEAR(AB180))*12+(MONTH(AQ180)-MONTH(AB180))+1),0))))</f>
      </c>
      <c r="AH180" s="27">
        <f>IF($B180&lt;&gt;"Entry","",0)</f>
      </c>
      <c r="AI180" s="28"/>
      <c r="AJ180" s="28"/>
      <c r="AK180" s="32"/>
      <c r="AL180" s="28"/>
      <c r="AM180" s="28"/>
      <c r="AN180" s="27">
        <f>IF($B180&lt;&gt;"Challan","",SUMIF('Q1 Data'!$D$4:$D$207,D180,'Q1 Data'!$AD$4:$AD$207)+SUMIF('Q1 Data'!$D$4:$D$207,D180,'Q1 Data'!$AG$4:$AG$207)+SUMIF('Q1 Data'!$D$4:$D$207,D180,'Q1 Data'!$AE$4:$AE$207)+SUMIF('Q2 Data'!$D$4:$D$207,D180,'Q2 Data'!$AD$4:$AD$207)+SUMIF('Q2 Data'!$D$4:$D$207,D180,'Q2 Data'!$AG$4:$AG$207)+SUMIF('Q2 Data'!$D$4:$D$207,D180,'Q2 Data'!$AE$4:$AE$207)+SUMIF('Q3 Data'!$D$4:$D$207,D180,'Q3 Data'!$AD$4:$AD$207)+SUMIF('Q3 Data'!$D$4:$D$207,D180,'Q3 Data'!$AG$4:$AG$207)+SUMIF('Q3 Data'!$D$4:$D$207,D180,'Q3 Data'!$AE$4:$AE$207)+SUMIF('Q4 Data'!$D$4:$D$207,D180,'Q4 Data'!$AD$4:$AD$207)+SUMIF('Q4 Data'!$D$4:$D$207,D180,'Q4 Data'!$AG$4:$AG$207)+SUMIF('Q4 Data'!$D$4:$D$207,D180,'Q4 Data'!$AE$4:$AE$207))</f>
      </c>
      <c r="AO180" s="27">
        <f>IF($B180&lt;&gt;"Challan","",P180-N180)</f>
      </c>
      <c r="AP180" s="27">
        <f>IF($B180&lt;&gt;"Challan","",MAX(0,AO180-AN180))</f>
      </c>
      <c r="AQ180" s="33">
        <f>IF($B180&lt;&gt;"Entry","",SUMPRODUCT(('Q1 Data'!$D$4:$D$207=D180)*('Q1 Data'!$B$4:$B$207="Challan")*'Q1 Data'!$F$4:$F$207)+SUMPRODUCT(('Q2 Data'!$D$4:$D$207=D180)*('Q2 Data'!$B$4:$B$207="Challan")*'Q2 Data'!$F$4:$F$207)+SUMPRODUCT(('Q3 Data'!$D$4:$D$207=D180)*('Q3 Data'!$B$4:$B$207="Challan")*'Q3 Data'!$F$4:$F$207)+SUMPRODUCT(('Q4 Data'!$D$4:$D$207=D180)*('Q4 Data'!$B$4:$B$207="Challan")*'Q4 Data'!$F$4:$F$207))</f>
      </c>
      <c r="AR180" s="34">
        <f>IF(OR($B180&lt;&gt;"Entry",Z180=""),FALSE,AND((SUMPRODUCT(('Q1 Data'!$D$4:$D$207=D180)*('Q1 Data'!$B$4:$B$207="Challan")*('Q1 Data'!$H$4:$H$207&lt;&gt;""))+SUMPRODUCT(('Q2 Data'!$D$4:$D$207=D180)*('Q2 Data'!$B$4:$B$207="Challan")*('Q2 Data'!$H$4:$H$207&lt;&gt;""))+SUMPRODUCT(('Q3 Data'!$D$4:$D$207=D180)*('Q3 Data'!$B$4:$B$207="Challan")*('Q3 Data'!$H$4:$H$207&lt;&gt;""))+SUMPRODUCT(('Q4 Data'!$D$4:$D$207=D180)*('Q4 Data'!$B$4:$B$207="Challan")*('Q4 Data'!$H$4:$H$207&lt;&gt;"")))&gt;0,(SUMPRODUCT(('Q1 Data'!$D$4:$D$207=D180)*('Q1 Data'!$B$4:$B$207="Challan")*('Q1 Data'!$H$4:$H$207=Z180))+SUMPRODUCT(('Q2 Data'!$D$4:$D$207=D180)*('Q2 Data'!$B$4:$B$207="Challan")*('Q2 Data'!$H$4:$H$207=Z180))+SUMPRODUCT(('Q3 Data'!$D$4:$D$207=D180)*('Q3 Data'!$B$4:$B$207="Challan")*('Q3 Data'!$H$4:$H$207=Z180))+SUMPRODUCT(('Q4 Data'!$D$4:$D$207=D180)*('Q4 Data'!$B$4:$B$207="Challan")*('Q4 Data'!$H$4:$H$207=Z180)))=0))</f>
      </c>
    </row>
    <row r="181" spans="1:44" x14ac:dyDescent="0.25">
      <c r="A181" s="20">
        <f>IF($B181="Entry",COUNTIF($B$4:$B181,"Entry"),"")</f>
      </c>
      <c r="B181" s="21"/>
      <c r="C181" s="22"/>
      <c r="D181" s="22"/>
      <c r="E181" s="23">
        <f>IF($B181&lt;&gt;"Challan","",IF(ROUND(AN181-AO181,2)&gt;0,"Over-applied",IF(ROUND(AN181-AO181,2)=0,"Fully Utilised","Unconsumed")))</f>
      </c>
      <c r="F181" s="24"/>
      <c r="G181" s="25"/>
      <c r="H181" s="25"/>
      <c r="I181" s="26"/>
      <c r="J181" s="26"/>
      <c r="K181" s="26"/>
      <c r="L181" s="26"/>
      <c r="M181" s="26"/>
      <c r="N181" s="26"/>
      <c r="O181" s="26"/>
      <c r="P181" s="27">
        <f>IF($B181&lt;&gt;"Challan","",I181+J181+K181+L181+M181+N181)</f>
      </c>
      <c r="Q181" s="25"/>
      <c r="R181" s="25"/>
      <c r="S181" s="25"/>
      <c r="T181" s="25"/>
      <c r="U181" s="25"/>
      <c r="V181" s="28"/>
      <c r="W181" s="28"/>
      <c r="X181" s="23">
        <f>IF($B181="Entry",IF(AND(LEN(TRIM(UPPER(W181)))=10,CODE(MID(TRIM(UPPER(W181)),1,1))&gt;=65,CODE(MID(TRIM(UPPER(W181)),1,1))&lt;=90,CODE(MID(TRIM(UPPER(W181)),2,1))&gt;=65,CODE(MID(TRIM(UPPER(W181)),2,1))&lt;=90,CODE(MID(TRIM(UPPER(W181)),3,1))&gt;=65,CODE(MID(TRIM(UPPER(W181)),3,1))&lt;=90,CODE(MID(TRIM(UPPER(W181)),4,1))&gt;=65,CODE(MID(TRIM(UPPER(W181)),4,1))&lt;=90,CODE(MID(TRIM(UPPER(W181)),5,1))&gt;=65,CODE(MID(TRIM(UPPER(W181)),5,1))&lt;=90,CODE(MID(TRIM(UPPER(W181)),10,1))&gt;=65,CODE(MID(TRIM(UPPER(W181)),10,1))&lt;=90,CODE(MID(TRIM(UPPER(W181)),6,1))&gt;=48,CODE(MID(TRIM(UPPER(W181)),6,1))&lt;=57,CODE(MID(TRIM(UPPER(W181)),7,1))&gt;=48,CODE(MID(TRIM(UPPER(W181)),7,1))&lt;=57,CODE(MID(TRIM(UPPER(W181)),8,1))&gt;=48,CODE(MID(TRIM(UPPER(W181)),8,1))&lt;=57,CODE(MID(TRIM(UPPER(W181)),9,1))&gt;=48,CODE(MID(TRIM(UPPER(W181)),9,1))&lt;=57),"N","Y"),IF($B181="Challan","",IF(W181&lt;&gt;"","◄ Set Row Type","")))</f>
      </c>
      <c r="Y181" s="23">
        <f>IF($B181="Entry",IF(LEN(W181)&lt;4,"",IF(UPPER(MID(W181,4,1))="P","Individual",IF(UPPER(MID(W181,4,1))="H","HUF",IF(UPPER(MID(W181,4,1))="C","Company",IF(UPPER(MID(W181,4,1))="F","Firm",IF(UPPER(MID(W181,4,1))="L","LLP",IF(UPPER(MID(W181,4,1))="T","Trust",IF(UPPER(MID(W181,4,1))="A","AOP","")))))))),IF($B181="Challan","",IF(W181&lt;&gt;"","◄ Set Row Type","")))</f>
      </c>
      <c r="Z181" s="28"/>
      <c r="AA181" s="29">
        <f>IF($B181&lt;&gt;"Entry","",IF(Z181="","",IF(X181="Y",SUMPRODUCT(('Rate Lookup'!$A$1:$A$37=Z181)*'Rate Lookup'!$D$1:$D$37),IF(OR(Y181="Individual",Y181="HUF"),SUMPRODUCT(('Rate Lookup'!$A$1:$A$37=Z181)*'Rate Lookup'!$B$1:$B$37),SUMPRODUCT(('Rate Lookup'!$A$1:$A$37=Z181)*'Rate Lookup'!$C$1:$C$37)))))</f>
      </c>
      <c r="AB181" s="30"/>
      <c r="AC181" s="31"/>
      <c r="AD181" s="27">
        <f>IF($B181&lt;&gt;"Entry","",ROUND(AC181*AA181/100,0))</f>
      </c>
      <c r="AE181" s="27">
        <f>IF($B181&lt;&gt;"Entry","",0)</f>
      </c>
      <c r="AF181" s="27">
        <f>IF($B181&lt;&gt;"Entry","",0)</f>
      </c>
      <c r="AG181" s="27">
        <f>IF($B181&lt;&gt;"Entry","",IF(OR(AD181=0,AB181="",AQ181="",AQ181&lt;=0),0,IF(AQ181&lt;=DATE(YEAR(AB181),MONTH(AB181)+1,7),0,ROUND(AD181*0.015*((YEAR(AQ181)-YEAR(AB181))*12+(MONTH(AQ181)-MONTH(AB181))+1),0))))</f>
      </c>
      <c r="AH181" s="27">
        <f>IF($B181&lt;&gt;"Entry","",0)</f>
      </c>
      <c r="AI181" s="28"/>
      <c r="AJ181" s="28"/>
      <c r="AK181" s="32"/>
      <c r="AL181" s="28"/>
      <c r="AM181" s="28"/>
      <c r="AN181" s="27">
        <f>IF($B181&lt;&gt;"Challan","",SUMIF('Q1 Data'!$D$4:$D$207,D181,'Q1 Data'!$AD$4:$AD$207)+SUMIF('Q1 Data'!$D$4:$D$207,D181,'Q1 Data'!$AG$4:$AG$207)+SUMIF('Q1 Data'!$D$4:$D$207,D181,'Q1 Data'!$AE$4:$AE$207)+SUMIF('Q2 Data'!$D$4:$D$207,D181,'Q2 Data'!$AD$4:$AD$207)+SUMIF('Q2 Data'!$D$4:$D$207,D181,'Q2 Data'!$AG$4:$AG$207)+SUMIF('Q2 Data'!$D$4:$D$207,D181,'Q2 Data'!$AE$4:$AE$207)+SUMIF('Q3 Data'!$D$4:$D$207,D181,'Q3 Data'!$AD$4:$AD$207)+SUMIF('Q3 Data'!$D$4:$D$207,D181,'Q3 Data'!$AG$4:$AG$207)+SUMIF('Q3 Data'!$D$4:$D$207,D181,'Q3 Data'!$AE$4:$AE$207)+SUMIF('Q4 Data'!$D$4:$D$207,D181,'Q4 Data'!$AD$4:$AD$207)+SUMIF('Q4 Data'!$D$4:$D$207,D181,'Q4 Data'!$AG$4:$AG$207)+SUMIF('Q4 Data'!$D$4:$D$207,D181,'Q4 Data'!$AE$4:$AE$207))</f>
      </c>
      <c r="AO181" s="27">
        <f>IF($B181&lt;&gt;"Challan","",P181-N181)</f>
      </c>
      <c r="AP181" s="27">
        <f>IF($B181&lt;&gt;"Challan","",MAX(0,AO181-AN181))</f>
      </c>
      <c r="AQ181" s="33">
        <f>IF($B181&lt;&gt;"Entry","",SUMPRODUCT(('Q1 Data'!$D$4:$D$207=D181)*('Q1 Data'!$B$4:$B$207="Challan")*'Q1 Data'!$F$4:$F$207)+SUMPRODUCT(('Q2 Data'!$D$4:$D$207=D181)*('Q2 Data'!$B$4:$B$207="Challan")*'Q2 Data'!$F$4:$F$207)+SUMPRODUCT(('Q3 Data'!$D$4:$D$207=D181)*('Q3 Data'!$B$4:$B$207="Challan")*'Q3 Data'!$F$4:$F$207)+SUMPRODUCT(('Q4 Data'!$D$4:$D$207=D181)*('Q4 Data'!$B$4:$B$207="Challan")*'Q4 Data'!$F$4:$F$207))</f>
      </c>
      <c r="AR181" s="34">
        <f>IF(OR($B181&lt;&gt;"Entry",Z181=""),FALSE,AND((SUMPRODUCT(('Q1 Data'!$D$4:$D$207=D181)*('Q1 Data'!$B$4:$B$207="Challan")*('Q1 Data'!$H$4:$H$207&lt;&gt;""))+SUMPRODUCT(('Q2 Data'!$D$4:$D$207=D181)*('Q2 Data'!$B$4:$B$207="Challan")*('Q2 Data'!$H$4:$H$207&lt;&gt;""))+SUMPRODUCT(('Q3 Data'!$D$4:$D$207=D181)*('Q3 Data'!$B$4:$B$207="Challan")*('Q3 Data'!$H$4:$H$207&lt;&gt;""))+SUMPRODUCT(('Q4 Data'!$D$4:$D$207=D181)*('Q4 Data'!$B$4:$B$207="Challan")*('Q4 Data'!$H$4:$H$207&lt;&gt;"")))&gt;0,(SUMPRODUCT(('Q1 Data'!$D$4:$D$207=D181)*('Q1 Data'!$B$4:$B$207="Challan")*('Q1 Data'!$H$4:$H$207=Z181))+SUMPRODUCT(('Q2 Data'!$D$4:$D$207=D181)*('Q2 Data'!$B$4:$B$207="Challan")*('Q2 Data'!$H$4:$H$207=Z181))+SUMPRODUCT(('Q3 Data'!$D$4:$D$207=D181)*('Q3 Data'!$B$4:$B$207="Challan")*('Q3 Data'!$H$4:$H$207=Z181))+SUMPRODUCT(('Q4 Data'!$D$4:$D$207=D181)*('Q4 Data'!$B$4:$B$207="Challan")*('Q4 Data'!$H$4:$H$207=Z181)))=0))</f>
      </c>
    </row>
    <row r="182" spans="1:44" x14ac:dyDescent="0.25">
      <c r="A182" s="20">
        <f>IF($B182="Entry",COUNTIF($B$4:$B182,"Entry"),"")</f>
      </c>
      <c r="B182" s="21"/>
      <c r="C182" s="22"/>
      <c r="D182" s="22"/>
      <c r="E182" s="23">
        <f>IF($B182&lt;&gt;"Challan","",IF(ROUND(AN182-AO182,2)&gt;0,"Over-applied",IF(ROUND(AN182-AO182,2)=0,"Fully Utilised","Unconsumed")))</f>
      </c>
      <c r="F182" s="24"/>
      <c r="G182" s="25"/>
      <c r="H182" s="25"/>
      <c r="I182" s="26"/>
      <c r="J182" s="26"/>
      <c r="K182" s="26"/>
      <c r="L182" s="26"/>
      <c r="M182" s="26"/>
      <c r="N182" s="26"/>
      <c r="O182" s="26"/>
      <c r="P182" s="27">
        <f>IF($B182&lt;&gt;"Challan","",I182+J182+K182+L182+M182+N182)</f>
      </c>
      <c r="Q182" s="25"/>
      <c r="R182" s="25"/>
      <c r="S182" s="25"/>
      <c r="T182" s="25"/>
      <c r="U182" s="25"/>
      <c r="V182" s="28"/>
      <c r="W182" s="28"/>
      <c r="X182" s="23">
        <f>IF($B182="Entry",IF(AND(LEN(TRIM(UPPER(W182)))=10,CODE(MID(TRIM(UPPER(W182)),1,1))&gt;=65,CODE(MID(TRIM(UPPER(W182)),1,1))&lt;=90,CODE(MID(TRIM(UPPER(W182)),2,1))&gt;=65,CODE(MID(TRIM(UPPER(W182)),2,1))&lt;=90,CODE(MID(TRIM(UPPER(W182)),3,1))&gt;=65,CODE(MID(TRIM(UPPER(W182)),3,1))&lt;=90,CODE(MID(TRIM(UPPER(W182)),4,1))&gt;=65,CODE(MID(TRIM(UPPER(W182)),4,1))&lt;=90,CODE(MID(TRIM(UPPER(W182)),5,1))&gt;=65,CODE(MID(TRIM(UPPER(W182)),5,1))&lt;=90,CODE(MID(TRIM(UPPER(W182)),10,1))&gt;=65,CODE(MID(TRIM(UPPER(W182)),10,1))&lt;=90,CODE(MID(TRIM(UPPER(W182)),6,1))&gt;=48,CODE(MID(TRIM(UPPER(W182)),6,1))&lt;=57,CODE(MID(TRIM(UPPER(W182)),7,1))&gt;=48,CODE(MID(TRIM(UPPER(W182)),7,1))&lt;=57,CODE(MID(TRIM(UPPER(W182)),8,1))&gt;=48,CODE(MID(TRIM(UPPER(W182)),8,1))&lt;=57,CODE(MID(TRIM(UPPER(W182)),9,1))&gt;=48,CODE(MID(TRIM(UPPER(W182)),9,1))&lt;=57),"N","Y"),IF($B182="Challan","",IF(W182&lt;&gt;"","◄ Set Row Type","")))</f>
      </c>
      <c r="Y182" s="23">
        <f>IF($B182="Entry",IF(LEN(W182)&lt;4,"",IF(UPPER(MID(W182,4,1))="P","Individual",IF(UPPER(MID(W182,4,1))="H","HUF",IF(UPPER(MID(W182,4,1))="C","Company",IF(UPPER(MID(W182,4,1))="F","Firm",IF(UPPER(MID(W182,4,1))="L","LLP",IF(UPPER(MID(W182,4,1))="T","Trust",IF(UPPER(MID(W182,4,1))="A","AOP","")))))))),IF($B182="Challan","",IF(W182&lt;&gt;"","◄ Set Row Type","")))</f>
      </c>
      <c r="Z182" s="28"/>
      <c r="AA182" s="29">
        <f>IF($B182&lt;&gt;"Entry","",IF(Z182="","",IF(X182="Y",SUMPRODUCT(('Rate Lookup'!$A$1:$A$37=Z182)*'Rate Lookup'!$D$1:$D$37),IF(OR(Y182="Individual",Y182="HUF"),SUMPRODUCT(('Rate Lookup'!$A$1:$A$37=Z182)*'Rate Lookup'!$B$1:$B$37),SUMPRODUCT(('Rate Lookup'!$A$1:$A$37=Z182)*'Rate Lookup'!$C$1:$C$37)))))</f>
      </c>
      <c r="AB182" s="30"/>
      <c r="AC182" s="31"/>
      <c r="AD182" s="27">
        <f>IF($B182&lt;&gt;"Entry","",ROUND(AC182*AA182/100,0))</f>
      </c>
      <c r="AE182" s="27">
        <f>IF($B182&lt;&gt;"Entry","",0)</f>
      </c>
      <c r="AF182" s="27">
        <f>IF($B182&lt;&gt;"Entry","",0)</f>
      </c>
      <c r="AG182" s="27">
        <f>IF($B182&lt;&gt;"Entry","",IF(OR(AD182=0,AB182="",AQ182="",AQ182&lt;=0),0,IF(AQ182&lt;=DATE(YEAR(AB182),MONTH(AB182)+1,7),0,ROUND(AD182*0.015*((YEAR(AQ182)-YEAR(AB182))*12+(MONTH(AQ182)-MONTH(AB182))+1),0))))</f>
      </c>
      <c r="AH182" s="27">
        <f>IF($B182&lt;&gt;"Entry","",0)</f>
      </c>
      <c r="AI182" s="28"/>
      <c r="AJ182" s="28"/>
      <c r="AK182" s="32"/>
      <c r="AL182" s="28"/>
      <c r="AM182" s="28"/>
      <c r="AN182" s="27">
        <f>IF($B182&lt;&gt;"Challan","",SUMIF('Q1 Data'!$D$4:$D$207,D182,'Q1 Data'!$AD$4:$AD$207)+SUMIF('Q1 Data'!$D$4:$D$207,D182,'Q1 Data'!$AG$4:$AG$207)+SUMIF('Q1 Data'!$D$4:$D$207,D182,'Q1 Data'!$AE$4:$AE$207)+SUMIF('Q2 Data'!$D$4:$D$207,D182,'Q2 Data'!$AD$4:$AD$207)+SUMIF('Q2 Data'!$D$4:$D$207,D182,'Q2 Data'!$AG$4:$AG$207)+SUMIF('Q2 Data'!$D$4:$D$207,D182,'Q2 Data'!$AE$4:$AE$207)+SUMIF('Q3 Data'!$D$4:$D$207,D182,'Q3 Data'!$AD$4:$AD$207)+SUMIF('Q3 Data'!$D$4:$D$207,D182,'Q3 Data'!$AG$4:$AG$207)+SUMIF('Q3 Data'!$D$4:$D$207,D182,'Q3 Data'!$AE$4:$AE$207)+SUMIF('Q4 Data'!$D$4:$D$207,D182,'Q4 Data'!$AD$4:$AD$207)+SUMIF('Q4 Data'!$D$4:$D$207,D182,'Q4 Data'!$AG$4:$AG$207)+SUMIF('Q4 Data'!$D$4:$D$207,D182,'Q4 Data'!$AE$4:$AE$207))</f>
      </c>
      <c r="AO182" s="27">
        <f>IF($B182&lt;&gt;"Challan","",P182-N182)</f>
      </c>
      <c r="AP182" s="27">
        <f>IF($B182&lt;&gt;"Challan","",MAX(0,AO182-AN182))</f>
      </c>
      <c r="AQ182" s="33">
        <f>IF($B182&lt;&gt;"Entry","",SUMPRODUCT(('Q1 Data'!$D$4:$D$207=D182)*('Q1 Data'!$B$4:$B$207="Challan")*'Q1 Data'!$F$4:$F$207)+SUMPRODUCT(('Q2 Data'!$D$4:$D$207=D182)*('Q2 Data'!$B$4:$B$207="Challan")*'Q2 Data'!$F$4:$F$207)+SUMPRODUCT(('Q3 Data'!$D$4:$D$207=D182)*('Q3 Data'!$B$4:$B$207="Challan")*'Q3 Data'!$F$4:$F$207)+SUMPRODUCT(('Q4 Data'!$D$4:$D$207=D182)*('Q4 Data'!$B$4:$B$207="Challan")*'Q4 Data'!$F$4:$F$207))</f>
      </c>
      <c r="AR182" s="34">
        <f>IF(OR($B182&lt;&gt;"Entry",Z182=""),FALSE,AND((SUMPRODUCT(('Q1 Data'!$D$4:$D$207=D182)*('Q1 Data'!$B$4:$B$207="Challan")*('Q1 Data'!$H$4:$H$207&lt;&gt;""))+SUMPRODUCT(('Q2 Data'!$D$4:$D$207=D182)*('Q2 Data'!$B$4:$B$207="Challan")*('Q2 Data'!$H$4:$H$207&lt;&gt;""))+SUMPRODUCT(('Q3 Data'!$D$4:$D$207=D182)*('Q3 Data'!$B$4:$B$207="Challan")*('Q3 Data'!$H$4:$H$207&lt;&gt;""))+SUMPRODUCT(('Q4 Data'!$D$4:$D$207=D182)*('Q4 Data'!$B$4:$B$207="Challan")*('Q4 Data'!$H$4:$H$207&lt;&gt;"")))&gt;0,(SUMPRODUCT(('Q1 Data'!$D$4:$D$207=D182)*('Q1 Data'!$B$4:$B$207="Challan")*('Q1 Data'!$H$4:$H$207=Z182))+SUMPRODUCT(('Q2 Data'!$D$4:$D$207=D182)*('Q2 Data'!$B$4:$B$207="Challan")*('Q2 Data'!$H$4:$H$207=Z182))+SUMPRODUCT(('Q3 Data'!$D$4:$D$207=D182)*('Q3 Data'!$B$4:$B$207="Challan")*('Q3 Data'!$H$4:$H$207=Z182))+SUMPRODUCT(('Q4 Data'!$D$4:$D$207=D182)*('Q4 Data'!$B$4:$B$207="Challan")*('Q4 Data'!$H$4:$H$207=Z182)))=0))</f>
      </c>
    </row>
    <row r="183" spans="1:44" x14ac:dyDescent="0.25">
      <c r="A183" s="20">
        <f>IF($B183="Entry",COUNTIF($B$4:$B183,"Entry"),"")</f>
      </c>
      <c r="B183" s="21"/>
      <c r="C183" s="22"/>
      <c r="D183" s="22"/>
      <c r="E183" s="23">
        <f>IF($B183&lt;&gt;"Challan","",IF(ROUND(AN183-AO183,2)&gt;0,"Over-applied",IF(ROUND(AN183-AO183,2)=0,"Fully Utilised","Unconsumed")))</f>
      </c>
      <c r="F183" s="24"/>
      <c r="G183" s="25"/>
      <c r="H183" s="25"/>
      <c r="I183" s="26"/>
      <c r="J183" s="26"/>
      <c r="K183" s="26"/>
      <c r="L183" s="26"/>
      <c r="M183" s="26"/>
      <c r="N183" s="26"/>
      <c r="O183" s="26"/>
      <c r="P183" s="27">
        <f>IF($B183&lt;&gt;"Challan","",I183+J183+K183+L183+M183+N183)</f>
      </c>
      <c r="Q183" s="25"/>
      <c r="R183" s="25"/>
      <c r="S183" s="25"/>
      <c r="T183" s="25"/>
      <c r="U183" s="25"/>
      <c r="V183" s="28"/>
      <c r="W183" s="28"/>
      <c r="X183" s="23">
        <f>IF($B183="Entry",IF(AND(LEN(TRIM(UPPER(W183)))=10,CODE(MID(TRIM(UPPER(W183)),1,1))&gt;=65,CODE(MID(TRIM(UPPER(W183)),1,1))&lt;=90,CODE(MID(TRIM(UPPER(W183)),2,1))&gt;=65,CODE(MID(TRIM(UPPER(W183)),2,1))&lt;=90,CODE(MID(TRIM(UPPER(W183)),3,1))&gt;=65,CODE(MID(TRIM(UPPER(W183)),3,1))&lt;=90,CODE(MID(TRIM(UPPER(W183)),4,1))&gt;=65,CODE(MID(TRIM(UPPER(W183)),4,1))&lt;=90,CODE(MID(TRIM(UPPER(W183)),5,1))&gt;=65,CODE(MID(TRIM(UPPER(W183)),5,1))&lt;=90,CODE(MID(TRIM(UPPER(W183)),10,1))&gt;=65,CODE(MID(TRIM(UPPER(W183)),10,1))&lt;=90,CODE(MID(TRIM(UPPER(W183)),6,1))&gt;=48,CODE(MID(TRIM(UPPER(W183)),6,1))&lt;=57,CODE(MID(TRIM(UPPER(W183)),7,1))&gt;=48,CODE(MID(TRIM(UPPER(W183)),7,1))&lt;=57,CODE(MID(TRIM(UPPER(W183)),8,1))&gt;=48,CODE(MID(TRIM(UPPER(W183)),8,1))&lt;=57,CODE(MID(TRIM(UPPER(W183)),9,1))&gt;=48,CODE(MID(TRIM(UPPER(W183)),9,1))&lt;=57),"N","Y"),IF($B183="Challan","",IF(W183&lt;&gt;"","◄ Set Row Type","")))</f>
      </c>
      <c r="Y183" s="23">
        <f>IF($B183="Entry",IF(LEN(W183)&lt;4,"",IF(UPPER(MID(W183,4,1))="P","Individual",IF(UPPER(MID(W183,4,1))="H","HUF",IF(UPPER(MID(W183,4,1))="C","Company",IF(UPPER(MID(W183,4,1))="F","Firm",IF(UPPER(MID(W183,4,1))="L","LLP",IF(UPPER(MID(W183,4,1))="T","Trust",IF(UPPER(MID(W183,4,1))="A","AOP","")))))))),IF($B183="Challan","",IF(W183&lt;&gt;"","◄ Set Row Type","")))</f>
      </c>
      <c r="Z183" s="28"/>
      <c r="AA183" s="29">
        <f>IF($B183&lt;&gt;"Entry","",IF(Z183="","",IF(X183="Y",SUMPRODUCT(('Rate Lookup'!$A$1:$A$37=Z183)*'Rate Lookup'!$D$1:$D$37),IF(OR(Y183="Individual",Y183="HUF"),SUMPRODUCT(('Rate Lookup'!$A$1:$A$37=Z183)*'Rate Lookup'!$B$1:$B$37),SUMPRODUCT(('Rate Lookup'!$A$1:$A$37=Z183)*'Rate Lookup'!$C$1:$C$37)))))</f>
      </c>
      <c r="AB183" s="30"/>
      <c r="AC183" s="31"/>
      <c r="AD183" s="27">
        <f>IF($B183&lt;&gt;"Entry","",ROUND(AC183*AA183/100,0))</f>
      </c>
      <c r="AE183" s="27">
        <f>IF($B183&lt;&gt;"Entry","",0)</f>
      </c>
      <c r="AF183" s="27">
        <f>IF($B183&lt;&gt;"Entry","",0)</f>
      </c>
      <c r="AG183" s="27">
        <f>IF($B183&lt;&gt;"Entry","",IF(OR(AD183=0,AB183="",AQ183="",AQ183&lt;=0),0,IF(AQ183&lt;=DATE(YEAR(AB183),MONTH(AB183)+1,7),0,ROUND(AD183*0.015*((YEAR(AQ183)-YEAR(AB183))*12+(MONTH(AQ183)-MONTH(AB183))+1),0))))</f>
      </c>
      <c r="AH183" s="27">
        <f>IF($B183&lt;&gt;"Entry","",0)</f>
      </c>
      <c r="AI183" s="28"/>
      <c r="AJ183" s="28"/>
      <c r="AK183" s="32"/>
      <c r="AL183" s="28"/>
      <c r="AM183" s="28"/>
      <c r="AN183" s="27">
        <f>IF($B183&lt;&gt;"Challan","",SUMIF('Q1 Data'!$D$4:$D$207,D183,'Q1 Data'!$AD$4:$AD$207)+SUMIF('Q1 Data'!$D$4:$D$207,D183,'Q1 Data'!$AG$4:$AG$207)+SUMIF('Q1 Data'!$D$4:$D$207,D183,'Q1 Data'!$AE$4:$AE$207)+SUMIF('Q2 Data'!$D$4:$D$207,D183,'Q2 Data'!$AD$4:$AD$207)+SUMIF('Q2 Data'!$D$4:$D$207,D183,'Q2 Data'!$AG$4:$AG$207)+SUMIF('Q2 Data'!$D$4:$D$207,D183,'Q2 Data'!$AE$4:$AE$207)+SUMIF('Q3 Data'!$D$4:$D$207,D183,'Q3 Data'!$AD$4:$AD$207)+SUMIF('Q3 Data'!$D$4:$D$207,D183,'Q3 Data'!$AG$4:$AG$207)+SUMIF('Q3 Data'!$D$4:$D$207,D183,'Q3 Data'!$AE$4:$AE$207)+SUMIF('Q4 Data'!$D$4:$D$207,D183,'Q4 Data'!$AD$4:$AD$207)+SUMIF('Q4 Data'!$D$4:$D$207,D183,'Q4 Data'!$AG$4:$AG$207)+SUMIF('Q4 Data'!$D$4:$D$207,D183,'Q4 Data'!$AE$4:$AE$207))</f>
      </c>
      <c r="AO183" s="27">
        <f>IF($B183&lt;&gt;"Challan","",P183-N183)</f>
      </c>
      <c r="AP183" s="27">
        <f>IF($B183&lt;&gt;"Challan","",MAX(0,AO183-AN183))</f>
      </c>
      <c r="AQ183" s="33">
        <f>IF($B183&lt;&gt;"Entry","",SUMPRODUCT(('Q1 Data'!$D$4:$D$207=D183)*('Q1 Data'!$B$4:$B$207="Challan")*'Q1 Data'!$F$4:$F$207)+SUMPRODUCT(('Q2 Data'!$D$4:$D$207=D183)*('Q2 Data'!$B$4:$B$207="Challan")*'Q2 Data'!$F$4:$F$207)+SUMPRODUCT(('Q3 Data'!$D$4:$D$207=D183)*('Q3 Data'!$B$4:$B$207="Challan")*'Q3 Data'!$F$4:$F$207)+SUMPRODUCT(('Q4 Data'!$D$4:$D$207=D183)*('Q4 Data'!$B$4:$B$207="Challan")*'Q4 Data'!$F$4:$F$207))</f>
      </c>
      <c r="AR183" s="34">
        <f>IF(OR($B183&lt;&gt;"Entry",Z183=""),FALSE,AND((SUMPRODUCT(('Q1 Data'!$D$4:$D$207=D183)*('Q1 Data'!$B$4:$B$207="Challan")*('Q1 Data'!$H$4:$H$207&lt;&gt;""))+SUMPRODUCT(('Q2 Data'!$D$4:$D$207=D183)*('Q2 Data'!$B$4:$B$207="Challan")*('Q2 Data'!$H$4:$H$207&lt;&gt;""))+SUMPRODUCT(('Q3 Data'!$D$4:$D$207=D183)*('Q3 Data'!$B$4:$B$207="Challan")*('Q3 Data'!$H$4:$H$207&lt;&gt;""))+SUMPRODUCT(('Q4 Data'!$D$4:$D$207=D183)*('Q4 Data'!$B$4:$B$207="Challan")*('Q4 Data'!$H$4:$H$207&lt;&gt;"")))&gt;0,(SUMPRODUCT(('Q1 Data'!$D$4:$D$207=D183)*('Q1 Data'!$B$4:$B$207="Challan")*('Q1 Data'!$H$4:$H$207=Z183))+SUMPRODUCT(('Q2 Data'!$D$4:$D$207=D183)*('Q2 Data'!$B$4:$B$207="Challan")*('Q2 Data'!$H$4:$H$207=Z183))+SUMPRODUCT(('Q3 Data'!$D$4:$D$207=D183)*('Q3 Data'!$B$4:$B$207="Challan")*('Q3 Data'!$H$4:$H$207=Z183))+SUMPRODUCT(('Q4 Data'!$D$4:$D$207=D183)*('Q4 Data'!$B$4:$B$207="Challan")*('Q4 Data'!$H$4:$H$207=Z183)))=0))</f>
      </c>
    </row>
    <row r="184" spans="1:44" x14ac:dyDescent="0.25">
      <c r="A184" s="20">
        <f>IF($B184="Entry",COUNTIF($B$4:$B184,"Entry"),"")</f>
      </c>
      <c r="B184" s="21"/>
      <c r="C184" s="22"/>
      <c r="D184" s="22"/>
      <c r="E184" s="23">
        <f>IF($B184&lt;&gt;"Challan","",IF(ROUND(AN184-AO184,2)&gt;0,"Over-applied",IF(ROUND(AN184-AO184,2)=0,"Fully Utilised","Unconsumed")))</f>
      </c>
      <c r="F184" s="24"/>
      <c r="G184" s="25"/>
      <c r="H184" s="25"/>
      <c r="I184" s="26"/>
      <c r="J184" s="26"/>
      <c r="K184" s="26"/>
      <c r="L184" s="26"/>
      <c r="M184" s="26"/>
      <c r="N184" s="26"/>
      <c r="O184" s="26"/>
      <c r="P184" s="27">
        <f>IF($B184&lt;&gt;"Challan","",I184+J184+K184+L184+M184+N184)</f>
      </c>
      <c r="Q184" s="25"/>
      <c r="R184" s="25"/>
      <c r="S184" s="25"/>
      <c r="T184" s="25"/>
      <c r="U184" s="25"/>
      <c r="V184" s="28"/>
      <c r="W184" s="28"/>
      <c r="X184" s="23">
        <f>IF($B184="Entry",IF(AND(LEN(TRIM(UPPER(W184)))=10,CODE(MID(TRIM(UPPER(W184)),1,1))&gt;=65,CODE(MID(TRIM(UPPER(W184)),1,1))&lt;=90,CODE(MID(TRIM(UPPER(W184)),2,1))&gt;=65,CODE(MID(TRIM(UPPER(W184)),2,1))&lt;=90,CODE(MID(TRIM(UPPER(W184)),3,1))&gt;=65,CODE(MID(TRIM(UPPER(W184)),3,1))&lt;=90,CODE(MID(TRIM(UPPER(W184)),4,1))&gt;=65,CODE(MID(TRIM(UPPER(W184)),4,1))&lt;=90,CODE(MID(TRIM(UPPER(W184)),5,1))&gt;=65,CODE(MID(TRIM(UPPER(W184)),5,1))&lt;=90,CODE(MID(TRIM(UPPER(W184)),10,1))&gt;=65,CODE(MID(TRIM(UPPER(W184)),10,1))&lt;=90,CODE(MID(TRIM(UPPER(W184)),6,1))&gt;=48,CODE(MID(TRIM(UPPER(W184)),6,1))&lt;=57,CODE(MID(TRIM(UPPER(W184)),7,1))&gt;=48,CODE(MID(TRIM(UPPER(W184)),7,1))&lt;=57,CODE(MID(TRIM(UPPER(W184)),8,1))&gt;=48,CODE(MID(TRIM(UPPER(W184)),8,1))&lt;=57,CODE(MID(TRIM(UPPER(W184)),9,1))&gt;=48,CODE(MID(TRIM(UPPER(W184)),9,1))&lt;=57),"N","Y"),IF($B184="Challan","",IF(W184&lt;&gt;"","◄ Set Row Type","")))</f>
      </c>
      <c r="Y184" s="23">
        <f>IF($B184="Entry",IF(LEN(W184)&lt;4,"",IF(UPPER(MID(W184,4,1))="P","Individual",IF(UPPER(MID(W184,4,1))="H","HUF",IF(UPPER(MID(W184,4,1))="C","Company",IF(UPPER(MID(W184,4,1))="F","Firm",IF(UPPER(MID(W184,4,1))="L","LLP",IF(UPPER(MID(W184,4,1))="T","Trust",IF(UPPER(MID(W184,4,1))="A","AOP","")))))))),IF($B184="Challan","",IF(W184&lt;&gt;"","◄ Set Row Type","")))</f>
      </c>
      <c r="Z184" s="28"/>
      <c r="AA184" s="29">
        <f>IF($B184&lt;&gt;"Entry","",IF(Z184="","",IF(X184="Y",SUMPRODUCT(('Rate Lookup'!$A$1:$A$37=Z184)*'Rate Lookup'!$D$1:$D$37),IF(OR(Y184="Individual",Y184="HUF"),SUMPRODUCT(('Rate Lookup'!$A$1:$A$37=Z184)*'Rate Lookup'!$B$1:$B$37),SUMPRODUCT(('Rate Lookup'!$A$1:$A$37=Z184)*'Rate Lookup'!$C$1:$C$37)))))</f>
      </c>
      <c r="AB184" s="30"/>
      <c r="AC184" s="31"/>
      <c r="AD184" s="27">
        <f>IF($B184&lt;&gt;"Entry","",ROUND(AC184*AA184/100,0))</f>
      </c>
      <c r="AE184" s="27">
        <f>IF($B184&lt;&gt;"Entry","",0)</f>
      </c>
      <c r="AF184" s="27">
        <f>IF($B184&lt;&gt;"Entry","",0)</f>
      </c>
      <c r="AG184" s="27">
        <f>IF($B184&lt;&gt;"Entry","",IF(OR(AD184=0,AB184="",AQ184="",AQ184&lt;=0),0,IF(AQ184&lt;=DATE(YEAR(AB184),MONTH(AB184)+1,7),0,ROUND(AD184*0.015*((YEAR(AQ184)-YEAR(AB184))*12+(MONTH(AQ184)-MONTH(AB184))+1),0))))</f>
      </c>
      <c r="AH184" s="27">
        <f>IF($B184&lt;&gt;"Entry","",0)</f>
      </c>
      <c r="AI184" s="28"/>
      <c r="AJ184" s="28"/>
      <c r="AK184" s="32"/>
      <c r="AL184" s="28"/>
      <c r="AM184" s="28"/>
      <c r="AN184" s="27">
        <f>IF($B184&lt;&gt;"Challan","",SUMIF('Q1 Data'!$D$4:$D$207,D184,'Q1 Data'!$AD$4:$AD$207)+SUMIF('Q1 Data'!$D$4:$D$207,D184,'Q1 Data'!$AG$4:$AG$207)+SUMIF('Q1 Data'!$D$4:$D$207,D184,'Q1 Data'!$AE$4:$AE$207)+SUMIF('Q2 Data'!$D$4:$D$207,D184,'Q2 Data'!$AD$4:$AD$207)+SUMIF('Q2 Data'!$D$4:$D$207,D184,'Q2 Data'!$AG$4:$AG$207)+SUMIF('Q2 Data'!$D$4:$D$207,D184,'Q2 Data'!$AE$4:$AE$207)+SUMIF('Q3 Data'!$D$4:$D$207,D184,'Q3 Data'!$AD$4:$AD$207)+SUMIF('Q3 Data'!$D$4:$D$207,D184,'Q3 Data'!$AG$4:$AG$207)+SUMIF('Q3 Data'!$D$4:$D$207,D184,'Q3 Data'!$AE$4:$AE$207)+SUMIF('Q4 Data'!$D$4:$D$207,D184,'Q4 Data'!$AD$4:$AD$207)+SUMIF('Q4 Data'!$D$4:$D$207,D184,'Q4 Data'!$AG$4:$AG$207)+SUMIF('Q4 Data'!$D$4:$D$207,D184,'Q4 Data'!$AE$4:$AE$207))</f>
      </c>
      <c r="AO184" s="27">
        <f>IF($B184&lt;&gt;"Challan","",P184-N184)</f>
      </c>
      <c r="AP184" s="27">
        <f>IF($B184&lt;&gt;"Challan","",MAX(0,AO184-AN184))</f>
      </c>
      <c r="AQ184" s="33">
        <f>IF($B184&lt;&gt;"Entry","",SUMPRODUCT(('Q1 Data'!$D$4:$D$207=D184)*('Q1 Data'!$B$4:$B$207="Challan")*'Q1 Data'!$F$4:$F$207)+SUMPRODUCT(('Q2 Data'!$D$4:$D$207=D184)*('Q2 Data'!$B$4:$B$207="Challan")*'Q2 Data'!$F$4:$F$207)+SUMPRODUCT(('Q3 Data'!$D$4:$D$207=D184)*('Q3 Data'!$B$4:$B$207="Challan")*'Q3 Data'!$F$4:$F$207)+SUMPRODUCT(('Q4 Data'!$D$4:$D$207=D184)*('Q4 Data'!$B$4:$B$207="Challan")*'Q4 Data'!$F$4:$F$207))</f>
      </c>
      <c r="AR184" s="34">
        <f>IF(OR($B184&lt;&gt;"Entry",Z184=""),FALSE,AND((SUMPRODUCT(('Q1 Data'!$D$4:$D$207=D184)*('Q1 Data'!$B$4:$B$207="Challan")*('Q1 Data'!$H$4:$H$207&lt;&gt;""))+SUMPRODUCT(('Q2 Data'!$D$4:$D$207=D184)*('Q2 Data'!$B$4:$B$207="Challan")*('Q2 Data'!$H$4:$H$207&lt;&gt;""))+SUMPRODUCT(('Q3 Data'!$D$4:$D$207=D184)*('Q3 Data'!$B$4:$B$207="Challan")*('Q3 Data'!$H$4:$H$207&lt;&gt;""))+SUMPRODUCT(('Q4 Data'!$D$4:$D$207=D184)*('Q4 Data'!$B$4:$B$207="Challan")*('Q4 Data'!$H$4:$H$207&lt;&gt;"")))&gt;0,(SUMPRODUCT(('Q1 Data'!$D$4:$D$207=D184)*('Q1 Data'!$B$4:$B$207="Challan")*('Q1 Data'!$H$4:$H$207=Z184))+SUMPRODUCT(('Q2 Data'!$D$4:$D$207=D184)*('Q2 Data'!$B$4:$B$207="Challan")*('Q2 Data'!$H$4:$H$207=Z184))+SUMPRODUCT(('Q3 Data'!$D$4:$D$207=D184)*('Q3 Data'!$B$4:$B$207="Challan")*('Q3 Data'!$H$4:$H$207=Z184))+SUMPRODUCT(('Q4 Data'!$D$4:$D$207=D184)*('Q4 Data'!$B$4:$B$207="Challan")*('Q4 Data'!$H$4:$H$207=Z184)))=0))</f>
      </c>
    </row>
    <row r="185" spans="1:44" x14ac:dyDescent="0.25">
      <c r="A185" s="20">
        <f>IF($B185="Entry",COUNTIF($B$4:$B185,"Entry"),"")</f>
      </c>
      <c r="B185" s="21"/>
      <c r="C185" s="22"/>
      <c r="D185" s="22"/>
      <c r="E185" s="23">
        <f>IF($B185&lt;&gt;"Challan","",IF(ROUND(AN185-AO185,2)&gt;0,"Over-applied",IF(ROUND(AN185-AO185,2)=0,"Fully Utilised","Unconsumed")))</f>
      </c>
      <c r="F185" s="24"/>
      <c r="G185" s="25"/>
      <c r="H185" s="25"/>
      <c r="I185" s="26"/>
      <c r="J185" s="26"/>
      <c r="K185" s="26"/>
      <c r="L185" s="26"/>
      <c r="M185" s="26"/>
      <c r="N185" s="26"/>
      <c r="O185" s="26"/>
      <c r="P185" s="27">
        <f>IF($B185&lt;&gt;"Challan","",I185+J185+K185+L185+M185+N185)</f>
      </c>
      <c r="Q185" s="25"/>
      <c r="R185" s="25"/>
      <c r="S185" s="25"/>
      <c r="T185" s="25"/>
      <c r="U185" s="25"/>
      <c r="V185" s="28"/>
      <c r="W185" s="28"/>
      <c r="X185" s="23">
        <f>IF($B185="Entry",IF(AND(LEN(TRIM(UPPER(W185)))=10,CODE(MID(TRIM(UPPER(W185)),1,1))&gt;=65,CODE(MID(TRIM(UPPER(W185)),1,1))&lt;=90,CODE(MID(TRIM(UPPER(W185)),2,1))&gt;=65,CODE(MID(TRIM(UPPER(W185)),2,1))&lt;=90,CODE(MID(TRIM(UPPER(W185)),3,1))&gt;=65,CODE(MID(TRIM(UPPER(W185)),3,1))&lt;=90,CODE(MID(TRIM(UPPER(W185)),4,1))&gt;=65,CODE(MID(TRIM(UPPER(W185)),4,1))&lt;=90,CODE(MID(TRIM(UPPER(W185)),5,1))&gt;=65,CODE(MID(TRIM(UPPER(W185)),5,1))&lt;=90,CODE(MID(TRIM(UPPER(W185)),10,1))&gt;=65,CODE(MID(TRIM(UPPER(W185)),10,1))&lt;=90,CODE(MID(TRIM(UPPER(W185)),6,1))&gt;=48,CODE(MID(TRIM(UPPER(W185)),6,1))&lt;=57,CODE(MID(TRIM(UPPER(W185)),7,1))&gt;=48,CODE(MID(TRIM(UPPER(W185)),7,1))&lt;=57,CODE(MID(TRIM(UPPER(W185)),8,1))&gt;=48,CODE(MID(TRIM(UPPER(W185)),8,1))&lt;=57,CODE(MID(TRIM(UPPER(W185)),9,1))&gt;=48,CODE(MID(TRIM(UPPER(W185)),9,1))&lt;=57),"N","Y"),IF($B185="Challan","",IF(W185&lt;&gt;"","◄ Set Row Type","")))</f>
      </c>
      <c r="Y185" s="23">
        <f>IF($B185="Entry",IF(LEN(W185)&lt;4,"",IF(UPPER(MID(W185,4,1))="P","Individual",IF(UPPER(MID(W185,4,1))="H","HUF",IF(UPPER(MID(W185,4,1))="C","Company",IF(UPPER(MID(W185,4,1))="F","Firm",IF(UPPER(MID(W185,4,1))="L","LLP",IF(UPPER(MID(W185,4,1))="T","Trust",IF(UPPER(MID(W185,4,1))="A","AOP","")))))))),IF($B185="Challan","",IF(W185&lt;&gt;"","◄ Set Row Type","")))</f>
      </c>
      <c r="Z185" s="28"/>
      <c r="AA185" s="29">
        <f>IF($B185&lt;&gt;"Entry","",IF(Z185="","",IF(X185="Y",SUMPRODUCT(('Rate Lookup'!$A$1:$A$37=Z185)*'Rate Lookup'!$D$1:$D$37),IF(OR(Y185="Individual",Y185="HUF"),SUMPRODUCT(('Rate Lookup'!$A$1:$A$37=Z185)*'Rate Lookup'!$B$1:$B$37),SUMPRODUCT(('Rate Lookup'!$A$1:$A$37=Z185)*'Rate Lookup'!$C$1:$C$37)))))</f>
      </c>
      <c r="AB185" s="30"/>
      <c r="AC185" s="31"/>
      <c r="AD185" s="27">
        <f>IF($B185&lt;&gt;"Entry","",ROUND(AC185*AA185/100,0))</f>
      </c>
      <c r="AE185" s="27">
        <f>IF($B185&lt;&gt;"Entry","",0)</f>
      </c>
      <c r="AF185" s="27">
        <f>IF($B185&lt;&gt;"Entry","",0)</f>
      </c>
      <c r="AG185" s="27">
        <f>IF($B185&lt;&gt;"Entry","",IF(OR(AD185=0,AB185="",AQ185="",AQ185&lt;=0),0,IF(AQ185&lt;=DATE(YEAR(AB185),MONTH(AB185)+1,7),0,ROUND(AD185*0.015*((YEAR(AQ185)-YEAR(AB185))*12+(MONTH(AQ185)-MONTH(AB185))+1),0))))</f>
      </c>
      <c r="AH185" s="27">
        <f>IF($B185&lt;&gt;"Entry","",0)</f>
      </c>
      <c r="AI185" s="28"/>
      <c r="AJ185" s="28"/>
      <c r="AK185" s="32"/>
      <c r="AL185" s="28"/>
      <c r="AM185" s="28"/>
      <c r="AN185" s="27">
        <f>IF($B185&lt;&gt;"Challan","",SUMIF('Q1 Data'!$D$4:$D$207,D185,'Q1 Data'!$AD$4:$AD$207)+SUMIF('Q1 Data'!$D$4:$D$207,D185,'Q1 Data'!$AG$4:$AG$207)+SUMIF('Q1 Data'!$D$4:$D$207,D185,'Q1 Data'!$AE$4:$AE$207)+SUMIF('Q2 Data'!$D$4:$D$207,D185,'Q2 Data'!$AD$4:$AD$207)+SUMIF('Q2 Data'!$D$4:$D$207,D185,'Q2 Data'!$AG$4:$AG$207)+SUMIF('Q2 Data'!$D$4:$D$207,D185,'Q2 Data'!$AE$4:$AE$207)+SUMIF('Q3 Data'!$D$4:$D$207,D185,'Q3 Data'!$AD$4:$AD$207)+SUMIF('Q3 Data'!$D$4:$D$207,D185,'Q3 Data'!$AG$4:$AG$207)+SUMIF('Q3 Data'!$D$4:$D$207,D185,'Q3 Data'!$AE$4:$AE$207)+SUMIF('Q4 Data'!$D$4:$D$207,D185,'Q4 Data'!$AD$4:$AD$207)+SUMIF('Q4 Data'!$D$4:$D$207,D185,'Q4 Data'!$AG$4:$AG$207)+SUMIF('Q4 Data'!$D$4:$D$207,D185,'Q4 Data'!$AE$4:$AE$207))</f>
      </c>
      <c r="AO185" s="27">
        <f>IF($B185&lt;&gt;"Challan","",P185-N185)</f>
      </c>
      <c r="AP185" s="27">
        <f>IF($B185&lt;&gt;"Challan","",MAX(0,AO185-AN185))</f>
      </c>
      <c r="AQ185" s="33">
        <f>IF($B185&lt;&gt;"Entry","",SUMPRODUCT(('Q1 Data'!$D$4:$D$207=D185)*('Q1 Data'!$B$4:$B$207="Challan")*'Q1 Data'!$F$4:$F$207)+SUMPRODUCT(('Q2 Data'!$D$4:$D$207=D185)*('Q2 Data'!$B$4:$B$207="Challan")*'Q2 Data'!$F$4:$F$207)+SUMPRODUCT(('Q3 Data'!$D$4:$D$207=D185)*('Q3 Data'!$B$4:$B$207="Challan")*'Q3 Data'!$F$4:$F$207)+SUMPRODUCT(('Q4 Data'!$D$4:$D$207=D185)*('Q4 Data'!$B$4:$B$207="Challan")*'Q4 Data'!$F$4:$F$207))</f>
      </c>
      <c r="AR185" s="34">
        <f>IF(OR($B185&lt;&gt;"Entry",Z185=""),FALSE,AND((SUMPRODUCT(('Q1 Data'!$D$4:$D$207=D185)*('Q1 Data'!$B$4:$B$207="Challan")*('Q1 Data'!$H$4:$H$207&lt;&gt;""))+SUMPRODUCT(('Q2 Data'!$D$4:$D$207=D185)*('Q2 Data'!$B$4:$B$207="Challan")*('Q2 Data'!$H$4:$H$207&lt;&gt;""))+SUMPRODUCT(('Q3 Data'!$D$4:$D$207=D185)*('Q3 Data'!$B$4:$B$207="Challan")*('Q3 Data'!$H$4:$H$207&lt;&gt;""))+SUMPRODUCT(('Q4 Data'!$D$4:$D$207=D185)*('Q4 Data'!$B$4:$B$207="Challan")*('Q4 Data'!$H$4:$H$207&lt;&gt;"")))&gt;0,(SUMPRODUCT(('Q1 Data'!$D$4:$D$207=D185)*('Q1 Data'!$B$4:$B$207="Challan")*('Q1 Data'!$H$4:$H$207=Z185))+SUMPRODUCT(('Q2 Data'!$D$4:$D$207=D185)*('Q2 Data'!$B$4:$B$207="Challan")*('Q2 Data'!$H$4:$H$207=Z185))+SUMPRODUCT(('Q3 Data'!$D$4:$D$207=D185)*('Q3 Data'!$B$4:$B$207="Challan")*('Q3 Data'!$H$4:$H$207=Z185))+SUMPRODUCT(('Q4 Data'!$D$4:$D$207=D185)*('Q4 Data'!$B$4:$B$207="Challan")*('Q4 Data'!$H$4:$H$207=Z185)))=0))</f>
      </c>
    </row>
    <row r="186" spans="1:44" x14ac:dyDescent="0.25">
      <c r="A186" s="20">
        <f>IF($B186="Entry",COUNTIF($B$4:$B186,"Entry"),"")</f>
      </c>
      <c r="B186" s="21"/>
      <c r="C186" s="22"/>
      <c r="D186" s="22"/>
      <c r="E186" s="23">
        <f>IF($B186&lt;&gt;"Challan","",IF(ROUND(AN186-AO186,2)&gt;0,"Over-applied",IF(ROUND(AN186-AO186,2)=0,"Fully Utilised","Unconsumed")))</f>
      </c>
      <c r="F186" s="24"/>
      <c r="G186" s="25"/>
      <c r="H186" s="25"/>
      <c r="I186" s="26"/>
      <c r="J186" s="26"/>
      <c r="K186" s="26"/>
      <c r="L186" s="26"/>
      <c r="M186" s="26"/>
      <c r="N186" s="26"/>
      <c r="O186" s="26"/>
      <c r="P186" s="27">
        <f>IF($B186&lt;&gt;"Challan","",I186+J186+K186+L186+M186+N186)</f>
      </c>
      <c r="Q186" s="25"/>
      <c r="R186" s="25"/>
      <c r="S186" s="25"/>
      <c r="T186" s="25"/>
      <c r="U186" s="25"/>
      <c r="V186" s="28"/>
      <c r="W186" s="28"/>
      <c r="X186" s="23">
        <f>IF($B186="Entry",IF(AND(LEN(TRIM(UPPER(W186)))=10,CODE(MID(TRIM(UPPER(W186)),1,1))&gt;=65,CODE(MID(TRIM(UPPER(W186)),1,1))&lt;=90,CODE(MID(TRIM(UPPER(W186)),2,1))&gt;=65,CODE(MID(TRIM(UPPER(W186)),2,1))&lt;=90,CODE(MID(TRIM(UPPER(W186)),3,1))&gt;=65,CODE(MID(TRIM(UPPER(W186)),3,1))&lt;=90,CODE(MID(TRIM(UPPER(W186)),4,1))&gt;=65,CODE(MID(TRIM(UPPER(W186)),4,1))&lt;=90,CODE(MID(TRIM(UPPER(W186)),5,1))&gt;=65,CODE(MID(TRIM(UPPER(W186)),5,1))&lt;=90,CODE(MID(TRIM(UPPER(W186)),10,1))&gt;=65,CODE(MID(TRIM(UPPER(W186)),10,1))&lt;=90,CODE(MID(TRIM(UPPER(W186)),6,1))&gt;=48,CODE(MID(TRIM(UPPER(W186)),6,1))&lt;=57,CODE(MID(TRIM(UPPER(W186)),7,1))&gt;=48,CODE(MID(TRIM(UPPER(W186)),7,1))&lt;=57,CODE(MID(TRIM(UPPER(W186)),8,1))&gt;=48,CODE(MID(TRIM(UPPER(W186)),8,1))&lt;=57,CODE(MID(TRIM(UPPER(W186)),9,1))&gt;=48,CODE(MID(TRIM(UPPER(W186)),9,1))&lt;=57),"N","Y"),IF($B186="Challan","",IF(W186&lt;&gt;"","◄ Set Row Type","")))</f>
      </c>
      <c r="Y186" s="23">
        <f>IF($B186="Entry",IF(LEN(W186)&lt;4,"",IF(UPPER(MID(W186,4,1))="P","Individual",IF(UPPER(MID(W186,4,1))="H","HUF",IF(UPPER(MID(W186,4,1))="C","Company",IF(UPPER(MID(W186,4,1))="F","Firm",IF(UPPER(MID(W186,4,1))="L","LLP",IF(UPPER(MID(W186,4,1))="T","Trust",IF(UPPER(MID(W186,4,1))="A","AOP","")))))))),IF($B186="Challan","",IF(W186&lt;&gt;"","◄ Set Row Type","")))</f>
      </c>
      <c r="Z186" s="28"/>
      <c r="AA186" s="29">
        <f>IF($B186&lt;&gt;"Entry","",IF(Z186="","",IF(X186="Y",SUMPRODUCT(('Rate Lookup'!$A$1:$A$37=Z186)*'Rate Lookup'!$D$1:$D$37),IF(OR(Y186="Individual",Y186="HUF"),SUMPRODUCT(('Rate Lookup'!$A$1:$A$37=Z186)*'Rate Lookup'!$B$1:$B$37),SUMPRODUCT(('Rate Lookup'!$A$1:$A$37=Z186)*'Rate Lookup'!$C$1:$C$37)))))</f>
      </c>
      <c r="AB186" s="30"/>
      <c r="AC186" s="31"/>
      <c r="AD186" s="27">
        <f>IF($B186&lt;&gt;"Entry","",ROUND(AC186*AA186/100,0))</f>
      </c>
      <c r="AE186" s="27">
        <f>IF($B186&lt;&gt;"Entry","",0)</f>
      </c>
      <c r="AF186" s="27">
        <f>IF($B186&lt;&gt;"Entry","",0)</f>
      </c>
      <c r="AG186" s="27">
        <f>IF($B186&lt;&gt;"Entry","",IF(OR(AD186=0,AB186="",AQ186="",AQ186&lt;=0),0,IF(AQ186&lt;=DATE(YEAR(AB186),MONTH(AB186)+1,7),0,ROUND(AD186*0.015*((YEAR(AQ186)-YEAR(AB186))*12+(MONTH(AQ186)-MONTH(AB186))+1),0))))</f>
      </c>
      <c r="AH186" s="27">
        <f>IF($B186&lt;&gt;"Entry","",0)</f>
      </c>
      <c r="AI186" s="28"/>
      <c r="AJ186" s="28"/>
      <c r="AK186" s="32"/>
      <c r="AL186" s="28"/>
      <c r="AM186" s="28"/>
      <c r="AN186" s="27">
        <f>IF($B186&lt;&gt;"Challan","",SUMIF('Q1 Data'!$D$4:$D$207,D186,'Q1 Data'!$AD$4:$AD$207)+SUMIF('Q1 Data'!$D$4:$D$207,D186,'Q1 Data'!$AG$4:$AG$207)+SUMIF('Q1 Data'!$D$4:$D$207,D186,'Q1 Data'!$AE$4:$AE$207)+SUMIF('Q2 Data'!$D$4:$D$207,D186,'Q2 Data'!$AD$4:$AD$207)+SUMIF('Q2 Data'!$D$4:$D$207,D186,'Q2 Data'!$AG$4:$AG$207)+SUMIF('Q2 Data'!$D$4:$D$207,D186,'Q2 Data'!$AE$4:$AE$207)+SUMIF('Q3 Data'!$D$4:$D$207,D186,'Q3 Data'!$AD$4:$AD$207)+SUMIF('Q3 Data'!$D$4:$D$207,D186,'Q3 Data'!$AG$4:$AG$207)+SUMIF('Q3 Data'!$D$4:$D$207,D186,'Q3 Data'!$AE$4:$AE$207)+SUMIF('Q4 Data'!$D$4:$D$207,D186,'Q4 Data'!$AD$4:$AD$207)+SUMIF('Q4 Data'!$D$4:$D$207,D186,'Q4 Data'!$AG$4:$AG$207)+SUMIF('Q4 Data'!$D$4:$D$207,D186,'Q4 Data'!$AE$4:$AE$207))</f>
      </c>
      <c r="AO186" s="27">
        <f>IF($B186&lt;&gt;"Challan","",P186-N186)</f>
      </c>
      <c r="AP186" s="27">
        <f>IF($B186&lt;&gt;"Challan","",MAX(0,AO186-AN186))</f>
      </c>
      <c r="AQ186" s="33">
        <f>IF($B186&lt;&gt;"Entry","",SUMPRODUCT(('Q1 Data'!$D$4:$D$207=D186)*('Q1 Data'!$B$4:$B$207="Challan")*'Q1 Data'!$F$4:$F$207)+SUMPRODUCT(('Q2 Data'!$D$4:$D$207=D186)*('Q2 Data'!$B$4:$B$207="Challan")*'Q2 Data'!$F$4:$F$207)+SUMPRODUCT(('Q3 Data'!$D$4:$D$207=D186)*('Q3 Data'!$B$4:$B$207="Challan")*'Q3 Data'!$F$4:$F$207)+SUMPRODUCT(('Q4 Data'!$D$4:$D$207=D186)*('Q4 Data'!$B$4:$B$207="Challan")*'Q4 Data'!$F$4:$F$207))</f>
      </c>
      <c r="AR186" s="34">
        <f>IF(OR($B186&lt;&gt;"Entry",Z186=""),FALSE,AND((SUMPRODUCT(('Q1 Data'!$D$4:$D$207=D186)*('Q1 Data'!$B$4:$B$207="Challan")*('Q1 Data'!$H$4:$H$207&lt;&gt;""))+SUMPRODUCT(('Q2 Data'!$D$4:$D$207=D186)*('Q2 Data'!$B$4:$B$207="Challan")*('Q2 Data'!$H$4:$H$207&lt;&gt;""))+SUMPRODUCT(('Q3 Data'!$D$4:$D$207=D186)*('Q3 Data'!$B$4:$B$207="Challan")*('Q3 Data'!$H$4:$H$207&lt;&gt;""))+SUMPRODUCT(('Q4 Data'!$D$4:$D$207=D186)*('Q4 Data'!$B$4:$B$207="Challan")*('Q4 Data'!$H$4:$H$207&lt;&gt;"")))&gt;0,(SUMPRODUCT(('Q1 Data'!$D$4:$D$207=D186)*('Q1 Data'!$B$4:$B$207="Challan")*('Q1 Data'!$H$4:$H$207=Z186))+SUMPRODUCT(('Q2 Data'!$D$4:$D$207=D186)*('Q2 Data'!$B$4:$B$207="Challan")*('Q2 Data'!$H$4:$H$207=Z186))+SUMPRODUCT(('Q3 Data'!$D$4:$D$207=D186)*('Q3 Data'!$B$4:$B$207="Challan")*('Q3 Data'!$H$4:$H$207=Z186))+SUMPRODUCT(('Q4 Data'!$D$4:$D$207=D186)*('Q4 Data'!$B$4:$B$207="Challan")*('Q4 Data'!$H$4:$H$207=Z186)))=0))</f>
      </c>
    </row>
    <row r="187" spans="1:44" x14ac:dyDescent="0.25">
      <c r="A187" s="20">
        <f>IF($B187="Entry",COUNTIF($B$4:$B187,"Entry"),"")</f>
      </c>
      <c r="B187" s="21"/>
      <c r="C187" s="22"/>
      <c r="D187" s="22"/>
      <c r="E187" s="23">
        <f>IF($B187&lt;&gt;"Challan","",IF(ROUND(AN187-AO187,2)&gt;0,"Over-applied",IF(ROUND(AN187-AO187,2)=0,"Fully Utilised","Unconsumed")))</f>
      </c>
      <c r="F187" s="24"/>
      <c r="G187" s="25"/>
      <c r="H187" s="25"/>
      <c r="I187" s="26"/>
      <c r="J187" s="26"/>
      <c r="K187" s="26"/>
      <c r="L187" s="26"/>
      <c r="M187" s="26"/>
      <c r="N187" s="26"/>
      <c r="O187" s="26"/>
      <c r="P187" s="27">
        <f>IF($B187&lt;&gt;"Challan","",I187+J187+K187+L187+M187+N187)</f>
      </c>
      <c r="Q187" s="25"/>
      <c r="R187" s="25"/>
      <c r="S187" s="25"/>
      <c r="T187" s="25"/>
      <c r="U187" s="25"/>
      <c r="V187" s="28"/>
      <c r="W187" s="28"/>
      <c r="X187" s="23">
        <f>IF($B187="Entry",IF(AND(LEN(TRIM(UPPER(W187)))=10,CODE(MID(TRIM(UPPER(W187)),1,1))&gt;=65,CODE(MID(TRIM(UPPER(W187)),1,1))&lt;=90,CODE(MID(TRIM(UPPER(W187)),2,1))&gt;=65,CODE(MID(TRIM(UPPER(W187)),2,1))&lt;=90,CODE(MID(TRIM(UPPER(W187)),3,1))&gt;=65,CODE(MID(TRIM(UPPER(W187)),3,1))&lt;=90,CODE(MID(TRIM(UPPER(W187)),4,1))&gt;=65,CODE(MID(TRIM(UPPER(W187)),4,1))&lt;=90,CODE(MID(TRIM(UPPER(W187)),5,1))&gt;=65,CODE(MID(TRIM(UPPER(W187)),5,1))&lt;=90,CODE(MID(TRIM(UPPER(W187)),10,1))&gt;=65,CODE(MID(TRIM(UPPER(W187)),10,1))&lt;=90,CODE(MID(TRIM(UPPER(W187)),6,1))&gt;=48,CODE(MID(TRIM(UPPER(W187)),6,1))&lt;=57,CODE(MID(TRIM(UPPER(W187)),7,1))&gt;=48,CODE(MID(TRIM(UPPER(W187)),7,1))&lt;=57,CODE(MID(TRIM(UPPER(W187)),8,1))&gt;=48,CODE(MID(TRIM(UPPER(W187)),8,1))&lt;=57,CODE(MID(TRIM(UPPER(W187)),9,1))&gt;=48,CODE(MID(TRIM(UPPER(W187)),9,1))&lt;=57),"N","Y"),IF($B187="Challan","",IF(W187&lt;&gt;"","◄ Set Row Type","")))</f>
      </c>
      <c r="Y187" s="23">
        <f>IF($B187="Entry",IF(LEN(W187)&lt;4,"",IF(UPPER(MID(W187,4,1))="P","Individual",IF(UPPER(MID(W187,4,1))="H","HUF",IF(UPPER(MID(W187,4,1))="C","Company",IF(UPPER(MID(W187,4,1))="F","Firm",IF(UPPER(MID(W187,4,1))="L","LLP",IF(UPPER(MID(W187,4,1))="T","Trust",IF(UPPER(MID(W187,4,1))="A","AOP","")))))))),IF($B187="Challan","",IF(W187&lt;&gt;"","◄ Set Row Type","")))</f>
      </c>
      <c r="Z187" s="28"/>
      <c r="AA187" s="29">
        <f>IF($B187&lt;&gt;"Entry","",IF(Z187="","",IF(X187="Y",SUMPRODUCT(('Rate Lookup'!$A$1:$A$37=Z187)*'Rate Lookup'!$D$1:$D$37),IF(OR(Y187="Individual",Y187="HUF"),SUMPRODUCT(('Rate Lookup'!$A$1:$A$37=Z187)*'Rate Lookup'!$B$1:$B$37),SUMPRODUCT(('Rate Lookup'!$A$1:$A$37=Z187)*'Rate Lookup'!$C$1:$C$37)))))</f>
      </c>
      <c r="AB187" s="30"/>
      <c r="AC187" s="31"/>
      <c r="AD187" s="27">
        <f>IF($B187&lt;&gt;"Entry","",ROUND(AC187*AA187/100,0))</f>
      </c>
      <c r="AE187" s="27">
        <f>IF($B187&lt;&gt;"Entry","",0)</f>
      </c>
      <c r="AF187" s="27">
        <f>IF($B187&lt;&gt;"Entry","",0)</f>
      </c>
      <c r="AG187" s="27">
        <f>IF($B187&lt;&gt;"Entry","",IF(OR(AD187=0,AB187="",AQ187="",AQ187&lt;=0),0,IF(AQ187&lt;=DATE(YEAR(AB187),MONTH(AB187)+1,7),0,ROUND(AD187*0.015*((YEAR(AQ187)-YEAR(AB187))*12+(MONTH(AQ187)-MONTH(AB187))+1),0))))</f>
      </c>
      <c r="AH187" s="27">
        <f>IF($B187&lt;&gt;"Entry","",0)</f>
      </c>
      <c r="AI187" s="28"/>
      <c r="AJ187" s="28"/>
      <c r="AK187" s="32"/>
      <c r="AL187" s="28"/>
      <c r="AM187" s="28"/>
      <c r="AN187" s="27">
        <f>IF($B187&lt;&gt;"Challan","",SUMIF('Q1 Data'!$D$4:$D$207,D187,'Q1 Data'!$AD$4:$AD$207)+SUMIF('Q1 Data'!$D$4:$D$207,D187,'Q1 Data'!$AG$4:$AG$207)+SUMIF('Q1 Data'!$D$4:$D$207,D187,'Q1 Data'!$AE$4:$AE$207)+SUMIF('Q2 Data'!$D$4:$D$207,D187,'Q2 Data'!$AD$4:$AD$207)+SUMIF('Q2 Data'!$D$4:$D$207,D187,'Q2 Data'!$AG$4:$AG$207)+SUMIF('Q2 Data'!$D$4:$D$207,D187,'Q2 Data'!$AE$4:$AE$207)+SUMIF('Q3 Data'!$D$4:$D$207,D187,'Q3 Data'!$AD$4:$AD$207)+SUMIF('Q3 Data'!$D$4:$D$207,D187,'Q3 Data'!$AG$4:$AG$207)+SUMIF('Q3 Data'!$D$4:$D$207,D187,'Q3 Data'!$AE$4:$AE$207)+SUMIF('Q4 Data'!$D$4:$D$207,D187,'Q4 Data'!$AD$4:$AD$207)+SUMIF('Q4 Data'!$D$4:$D$207,D187,'Q4 Data'!$AG$4:$AG$207)+SUMIF('Q4 Data'!$D$4:$D$207,D187,'Q4 Data'!$AE$4:$AE$207))</f>
      </c>
      <c r="AO187" s="27">
        <f>IF($B187&lt;&gt;"Challan","",P187-N187)</f>
      </c>
      <c r="AP187" s="27">
        <f>IF($B187&lt;&gt;"Challan","",MAX(0,AO187-AN187))</f>
      </c>
      <c r="AQ187" s="33">
        <f>IF($B187&lt;&gt;"Entry","",SUMPRODUCT(('Q1 Data'!$D$4:$D$207=D187)*('Q1 Data'!$B$4:$B$207="Challan")*'Q1 Data'!$F$4:$F$207)+SUMPRODUCT(('Q2 Data'!$D$4:$D$207=D187)*('Q2 Data'!$B$4:$B$207="Challan")*'Q2 Data'!$F$4:$F$207)+SUMPRODUCT(('Q3 Data'!$D$4:$D$207=D187)*('Q3 Data'!$B$4:$B$207="Challan")*'Q3 Data'!$F$4:$F$207)+SUMPRODUCT(('Q4 Data'!$D$4:$D$207=D187)*('Q4 Data'!$B$4:$B$207="Challan")*'Q4 Data'!$F$4:$F$207))</f>
      </c>
      <c r="AR187" s="34">
        <f>IF(OR($B187&lt;&gt;"Entry",Z187=""),FALSE,AND((SUMPRODUCT(('Q1 Data'!$D$4:$D$207=D187)*('Q1 Data'!$B$4:$B$207="Challan")*('Q1 Data'!$H$4:$H$207&lt;&gt;""))+SUMPRODUCT(('Q2 Data'!$D$4:$D$207=D187)*('Q2 Data'!$B$4:$B$207="Challan")*('Q2 Data'!$H$4:$H$207&lt;&gt;""))+SUMPRODUCT(('Q3 Data'!$D$4:$D$207=D187)*('Q3 Data'!$B$4:$B$207="Challan")*('Q3 Data'!$H$4:$H$207&lt;&gt;""))+SUMPRODUCT(('Q4 Data'!$D$4:$D$207=D187)*('Q4 Data'!$B$4:$B$207="Challan")*('Q4 Data'!$H$4:$H$207&lt;&gt;"")))&gt;0,(SUMPRODUCT(('Q1 Data'!$D$4:$D$207=D187)*('Q1 Data'!$B$4:$B$207="Challan")*('Q1 Data'!$H$4:$H$207=Z187))+SUMPRODUCT(('Q2 Data'!$D$4:$D$207=D187)*('Q2 Data'!$B$4:$B$207="Challan")*('Q2 Data'!$H$4:$H$207=Z187))+SUMPRODUCT(('Q3 Data'!$D$4:$D$207=D187)*('Q3 Data'!$B$4:$B$207="Challan")*('Q3 Data'!$H$4:$H$207=Z187))+SUMPRODUCT(('Q4 Data'!$D$4:$D$207=D187)*('Q4 Data'!$B$4:$B$207="Challan")*('Q4 Data'!$H$4:$H$207=Z187)))=0))</f>
      </c>
    </row>
    <row r="188" spans="1:44" x14ac:dyDescent="0.25">
      <c r="A188" s="20">
        <f>IF($B188="Entry",COUNTIF($B$4:$B188,"Entry"),"")</f>
      </c>
      <c r="B188" s="21"/>
      <c r="C188" s="22"/>
      <c r="D188" s="22"/>
      <c r="E188" s="23">
        <f>IF($B188&lt;&gt;"Challan","",IF(ROUND(AN188-AO188,2)&gt;0,"Over-applied",IF(ROUND(AN188-AO188,2)=0,"Fully Utilised","Unconsumed")))</f>
      </c>
      <c r="F188" s="24"/>
      <c r="G188" s="25"/>
      <c r="H188" s="25"/>
      <c r="I188" s="26"/>
      <c r="J188" s="26"/>
      <c r="K188" s="26"/>
      <c r="L188" s="26"/>
      <c r="M188" s="26"/>
      <c r="N188" s="26"/>
      <c r="O188" s="26"/>
      <c r="P188" s="27">
        <f>IF($B188&lt;&gt;"Challan","",I188+J188+K188+L188+M188+N188)</f>
      </c>
      <c r="Q188" s="25"/>
      <c r="R188" s="25"/>
      <c r="S188" s="25"/>
      <c r="T188" s="25"/>
      <c r="U188" s="25"/>
      <c r="V188" s="28"/>
      <c r="W188" s="28"/>
      <c r="X188" s="23">
        <f>IF($B188="Entry",IF(AND(LEN(TRIM(UPPER(W188)))=10,CODE(MID(TRIM(UPPER(W188)),1,1))&gt;=65,CODE(MID(TRIM(UPPER(W188)),1,1))&lt;=90,CODE(MID(TRIM(UPPER(W188)),2,1))&gt;=65,CODE(MID(TRIM(UPPER(W188)),2,1))&lt;=90,CODE(MID(TRIM(UPPER(W188)),3,1))&gt;=65,CODE(MID(TRIM(UPPER(W188)),3,1))&lt;=90,CODE(MID(TRIM(UPPER(W188)),4,1))&gt;=65,CODE(MID(TRIM(UPPER(W188)),4,1))&lt;=90,CODE(MID(TRIM(UPPER(W188)),5,1))&gt;=65,CODE(MID(TRIM(UPPER(W188)),5,1))&lt;=90,CODE(MID(TRIM(UPPER(W188)),10,1))&gt;=65,CODE(MID(TRIM(UPPER(W188)),10,1))&lt;=90,CODE(MID(TRIM(UPPER(W188)),6,1))&gt;=48,CODE(MID(TRIM(UPPER(W188)),6,1))&lt;=57,CODE(MID(TRIM(UPPER(W188)),7,1))&gt;=48,CODE(MID(TRIM(UPPER(W188)),7,1))&lt;=57,CODE(MID(TRIM(UPPER(W188)),8,1))&gt;=48,CODE(MID(TRIM(UPPER(W188)),8,1))&lt;=57,CODE(MID(TRIM(UPPER(W188)),9,1))&gt;=48,CODE(MID(TRIM(UPPER(W188)),9,1))&lt;=57),"N","Y"),IF($B188="Challan","",IF(W188&lt;&gt;"","◄ Set Row Type","")))</f>
      </c>
      <c r="Y188" s="23">
        <f>IF($B188="Entry",IF(LEN(W188)&lt;4,"",IF(UPPER(MID(W188,4,1))="P","Individual",IF(UPPER(MID(W188,4,1))="H","HUF",IF(UPPER(MID(W188,4,1))="C","Company",IF(UPPER(MID(W188,4,1))="F","Firm",IF(UPPER(MID(W188,4,1))="L","LLP",IF(UPPER(MID(W188,4,1))="T","Trust",IF(UPPER(MID(W188,4,1))="A","AOP","")))))))),IF($B188="Challan","",IF(W188&lt;&gt;"","◄ Set Row Type","")))</f>
      </c>
      <c r="Z188" s="28"/>
      <c r="AA188" s="29">
        <f>IF($B188&lt;&gt;"Entry","",IF(Z188="","",IF(X188="Y",SUMPRODUCT(('Rate Lookup'!$A$1:$A$37=Z188)*'Rate Lookup'!$D$1:$D$37),IF(OR(Y188="Individual",Y188="HUF"),SUMPRODUCT(('Rate Lookup'!$A$1:$A$37=Z188)*'Rate Lookup'!$B$1:$B$37),SUMPRODUCT(('Rate Lookup'!$A$1:$A$37=Z188)*'Rate Lookup'!$C$1:$C$37)))))</f>
      </c>
      <c r="AB188" s="30"/>
      <c r="AC188" s="31"/>
      <c r="AD188" s="27">
        <f>IF($B188&lt;&gt;"Entry","",ROUND(AC188*AA188/100,0))</f>
      </c>
      <c r="AE188" s="27">
        <f>IF($B188&lt;&gt;"Entry","",0)</f>
      </c>
      <c r="AF188" s="27">
        <f>IF($B188&lt;&gt;"Entry","",0)</f>
      </c>
      <c r="AG188" s="27">
        <f>IF($B188&lt;&gt;"Entry","",IF(OR(AD188=0,AB188="",AQ188="",AQ188&lt;=0),0,IF(AQ188&lt;=DATE(YEAR(AB188),MONTH(AB188)+1,7),0,ROUND(AD188*0.015*((YEAR(AQ188)-YEAR(AB188))*12+(MONTH(AQ188)-MONTH(AB188))+1),0))))</f>
      </c>
      <c r="AH188" s="27">
        <f>IF($B188&lt;&gt;"Entry","",0)</f>
      </c>
      <c r="AI188" s="28"/>
      <c r="AJ188" s="28"/>
      <c r="AK188" s="32"/>
      <c r="AL188" s="28"/>
      <c r="AM188" s="28"/>
      <c r="AN188" s="27">
        <f>IF($B188&lt;&gt;"Challan","",SUMIF('Q1 Data'!$D$4:$D$207,D188,'Q1 Data'!$AD$4:$AD$207)+SUMIF('Q1 Data'!$D$4:$D$207,D188,'Q1 Data'!$AG$4:$AG$207)+SUMIF('Q1 Data'!$D$4:$D$207,D188,'Q1 Data'!$AE$4:$AE$207)+SUMIF('Q2 Data'!$D$4:$D$207,D188,'Q2 Data'!$AD$4:$AD$207)+SUMIF('Q2 Data'!$D$4:$D$207,D188,'Q2 Data'!$AG$4:$AG$207)+SUMIF('Q2 Data'!$D$4:$D$207,D188,'Q2 Data'!$AE$4:$AE$207)+SUMIF('Q3 Data'!$D$4:$D$207,D188,'Q3 Data'!$AD$4:$AD$207)+SUMIF('Q3 Data'!$D$4:$D$207,D188,'Q3 Data'!$AG$4:$AG$207)+SUMIF('Q3 Data'!$D$4:$D$207,D188,'Q3 Data'!$AE$4:$AE$207)+SUMIF('Q4 Data'!$D$4:$D$207,D188,'Q4 Data'!$AD$4:$AD$207)+SUMIF('Q4 Data'!$D$4:$D$207,D188,'Q4 Data'!$AG$4:$AG$207)+SUMIF('Q4 Data'!$D$4:$D$207,D188,'Q4 Data'!$AE$4:$AE$207))</f>
      </c>
      <c r="AO188" s="27">
        <f>IF($B188&lt;&gt;"Challan","",P188-N188)</f>
      </c>
      <c r="AP188" s="27">
        <f>IF($B188&lt;&gt;"Challan","",MAX(0,AO188-AN188))</f>
      </c>
      <c r="AQ188" s="33">
        <f>IF($B188&lt;&gt;"Entry","",SUMPRODUCT(('Q1 Data'!$D$4:$D$207=D188)*('Q1 Data'!$B$4:$B$207="Challan")*'Q1 Data'!$F$4:$F$207)+SUMPRODUCT(('Q2 Data'!$D$4:$D$207=D188)*('Q2 Data'!$B$4:$B$207="Challan")*'Q2 Data'!$F$4:$F$207)+SUMPRODUCT(('Q3 Data'!$D$4:$D$207=D188)*('Q3 Data'!$B$4:$B$207="Challan")*'Q3 Data'!$F$4:$F$207)+SUMPRODUCT(('Q4 Data'!$D$4:$D$207=D188)*('Q4 Data'!$B$4:$B$207="Challan")*'Q4 Data'!$F$4:$F$207))</f>
      </c>
      <c r="AR188" s="34">
        <f>IF(OR($B188&lt;&gt;"Entry",Z188=""),FALSE,AND((SUMPRODUCT(('Q1 Data'!$D$4:$D$207=D188)*('Q1 Data'!$B$4:$B$207="Challan")*('Q1 Data'!$H$4:$H$207&lt;&gt;""))+SUMPRODUCT(('Q2 Data'!$D$4:$D$207=D188)*('Q2 Data'!$B$4:$B$207="Challan")*('Q2 Data'!$H$4:$H$207&lt;&gt;""))+SUMPRODUCT(('Q3 Data'!$D$4:$D$207=D188)*('Q3 Data'!$B$4:$B$207="Challan")*('Q3 Data'!$H$4:$H$207&lt;&gt;""))+SUMPRODUCT(('Q4 Data'!$D$4:$D$207=D188)*('Q4 Data'!$B$4:$B$207="Challan")*('Q4 Data'!$H$4:$H$207&lt;&gt;"")))&gt;0,(SUMPRODUCT(('Q1 Data'!$D$4:$D$207=D188)*('Q1 Data'!$B$4:$B$207="Challan")*('Q1 Data'!$H$4:$H$207=Z188))+SUMPRODUCT(('Q2 Data'!$D$4:$D$207=D188)*('Q2 Data'!$B$4:$B$207="Challan")*('Q2 Data'!$H$4:$H$207=Z188))+SUMPRODUCT(('Q3 Data'!$D$4:$D$207=D188)*('Q3 Data'!$B$4:$B$207="Challan")*('Q3 Data'!$H$4:$H$207=Z188))+SUMPRODUCT(('Q4 Data'!$D$4:$D$207=D188)*('Q4 Data'!$B$4:$B$207="Challan")*('Q4 Data'!$H$4:$H$207=Z188)))=0))</f>
      </c>
    </row>
    <row r="189" spans="1:44" x14ac:dyDescent="0.25">
      <c r="A189" s="20">
        <f>IF($B189="Entry",COUNTIF($B$4:$B189,"Entry"),"")</f>
      </c>
      <c r="B189" s="21"/>
      <c r="C189" s="22"/>
      <c r="D189" s="22"/>
      <c r="E189" s="23">
        <f>IF($B189&lt;&gt;"Challan","",IF(ROUND(AN189-AO189,2)&gt;0,"Over-applied",IF(ROUND(AN189-AO189,2)=0,"Fully Utilised","Unconsumed")))</f>
      </c>
      <c r="F189" s="24"/>
      <c r="G189" s="25"/>
      <c r="H189" s="25"/>
      <c r="I189" s="26"/>
      <c r="J189" s="26"/>
      <c r="K189" s="26"/>
      <c r="L189" s="26"/>
      <c r="M189" s="26"/>
      <c r="N189" s="26"/>
      <c r="O189" s="26"/>
      <c r="P189" s="27">
        <f>IF($B189&lt;&gt;"Challan","",I189+J189+K189+L189+M189+N189)</f>
      </c>
      <c r="Q189" s="25"/>
      <c r="R189" s="25"/>
      <c r="S189" s="25"/>
      <c r="T189" s="25"/>
      <c r="U189" s="25"/>
      <c r="V189" s="28"/>
      <c r="W189" s="28"/>
      <c r="X189" s="23">
        <f>IF($B189="Entry",IF(AND(LEN(TRIM(UPPER(W189)))=10,CODE(MID(TRIM(UPPER(W189)),1,1))&gt;=65,CODE(MID(TRIM(UPPER(W189)),1,1))&lt;=90,CODE(MID(TRIM(UPPER(W189)),2,1))&gt;=65,CODE(MID(TRIM(UPPER(W189)),2,1))&lt;=90,CODE(MID(TRIM(UPPER(W189)),3,1))&gt;=65,CODE(MID(TRIM(UPPER(W189)),3,1))&lt;=90,CODE(MID(TRIM(UPPER(W189)),4,1))&gt;=65,CODE(MID(TRIM(UPPER(W189)),4,1))&lt;=90,CODE(MID(TRIM(UPPER(W189)),5,1))&gt;=65,CODE(MID(TRIM(UPPER(W189)),5,1))&lt;=90,CODE(MID(TRIM(UPPER(W189)),10,1))&gt;=65,CODE(MID(TRIM(UPPER(W189)),10,1))&lt;=90,CODE(MID(TRIM(UPPER(W189)),6,1))&gt;=48,CODE(MID(TRIM(UPPER(W189)),6,1))&lt;=57,CODE(MID(TRIM(UPPER(W189)),7,1))&gt;=48,CODE(MID(TRIM(UPPER(W189)),7,1))&lt;=57,CODE(MID(TRIM(UPPER(W189)),8,1))&gt;=48,CODE(MID(TRIM(UPPER(W189)),8,1))&lt;=57,CODE(MID(TRIM(UPPER(W189)),9,1))&gt;=48,CODE(MID(TRIM(UPPER(W189)),9,1))&lt;=57),"N","Y"),IF($B189="Challan","",IF(W189&lt;&gt;"","◄ Set Row Type","")))</f>
      </c>
      <c r="Y189" s="23">
        <f>IF($B189="Entry",IF(LEN(W189)&lt;4,"",IF(UPPER(MID(W189,4,1))="P","Individual",IF(UPPER(MID(W189,4,1))="H","HUF",IF(UPPER(MID(W189,4,1))="C","Company",IF(UPPER(MID(W189,4,1))="F","Firm",IF(UPPER(MID(W189,4,1))="L","LLP",IF(UPPER(MID(W189,4,1))="T","Trust",IF(UPPER(MID(W189,4,1))="A","AOP","")))))))),IF($B189="Challan","",IF(W189&lt;&gt;"","◄ Set Row Type","")))</f>
      </c>
      <c r="Z189" s="28"/>
      <c r="AA189" s="29">
        <f>IF($B189&lt;&gt;"Entry","",IF(Z189="","",IF(X189="Y",SUMPRODUCT(('Rate Lookup'!$A$1:$A$37=Z189)*'Rate Lookup'!$D$1:$D$37),IF(OR(Y189="Individual",Y189="HUF"),SUMPRODUCT(('Rate Lookup'!$A$1:$A$37=Z189)*'Rate Lookup'!$B$1:$B$37),SUMPRODUCT(('Rate Lookup'!$A$1:$A$37=Z189)*'Rate Lookup'!$C$1:$C$37)))))</f>
      </c>
      <c r="AB189" s="30"/>
      <c r="AC189" s="31"/>
      <c r="AD189" s="27">
        <f>IF($B189&lt;&gt;"Entry","",ROUND(AC189*AA189/100,0))</f>
      </c>
      <c r="AE189" s="27">
        <f>IF($B189&lt;&gt;"Entry","",0)</f>
      </c>
      <c r="AF189" s="27">
        <f>IF($B189&lt;&gt;"Entry","",0)</f>
      </c>
      <c r="AG189" s="27">
        <f>IF($B189&lt;&gt;"Entry","",IF(OR(AD189=0,AB189="",AQ189="",AQ189&lt;=0),0,IF(AQ189&lt;=DATE(YEAR(AB189),MONTH(AB189)+1,7),0,ROUND(AD189*0.015*((YEAR(AQ189)-YEAR(AB189))*12+(MONTH(AQ189)-MONTH(AB189))+1),0))))</f>
      </c>
      <c r="AH189" s="27">
        <f>IF($B189&lt;&gt;"Entry","",0)</f>
      </c>
      <c r="AI189" s="28"/>
      <c r="AJ189" s="28"/>
      <c r="AK189" s="32"/>
      <c r="AL189" s="28"/>
      <c r="AM189" s="28"/>
      <c r="AN189" s="27">
        <f>IF($B189&lt;&gt;"Challan","",SUMIF('Q1 Data'!$D$4:$D$207,D189,'Q1 Data'!$AD$4:$AD$207)+SUMIF('Q1 Data'!$D$4:$D$207,D189,'Q1 Data'!$AG$4:$AG$207)+SUMIF('Q1 Data'!$D$4:$D$207,D189,'Q1 Data'!$AE$4:$AE$207)+SUMIF('Q2 Data'!$D$4:$D$207,D189,'Q2 Data'!$AD$4:$AD$207)+SUMIF('Q2 Data'!$D$4:$D$207,D189,'Q2 Data'!$AG$4:$AG$207)+SUMIF('Q2 Data'!$D$4:$D$207,D189,'Q2 Data'!$AE$4:$AE$207)+SUMIF('Q3 Data'!$D$4:$D$207,D189,'Q3 Data'!$AD$4:$AD$207)+SUMIF('Q3 Data'!$D$4:$D$207,D189,'Q3 Data'!$AG$4:$AG$207)+SUMIF('Q3 Data'!$D$4:$D$207,D189,'Q3 Data'!$AE$4:$AE$207)+SUMIF('Q4 Data'!$D$4:$D$207,D189,'Q4 Data'!$AD$4:$AD$207)+SUMIF('Q4 Data'!$D$4:$D$207,D189,'Q4 Data'!$AG$4:$AG$207)+SUMIF('Q4 Data'!$D$4:$D$207,D189,'Q4 Data'!$AE$4:$AE$207))</f>
      </c>
      <c r="AO189" s="27">
        <f>IF($B189&lt;&gt;"Challan","",P189-N189)</f>
      </c>
      <c r="AP189" s="27">
        <f>IF($B189&lt;&gt;"Challan","",MAX(0,AO189-AN189))</f>
      </c>
      <c r="AQ189" s="33">
        <f>IF($B189&lt;&gt;"Entry","",SUMPRODUCT(('Q1 Data'!$D$4:$D$207=D189)*('Q1 Data'!$B$4:$B$207="Challan")*'Q1 Data'!$F$4:$F$207)+SUMPRODUCT(('Q2 Data'!$D$4:$D$207=D189)*('Q2 Data'!$B$4:$B$207="Challan")*'Q2 Data'!$F$4:$F$207)+SUMPRODUCT(('Q3 Data'!$D$4:$D$207=D189)*('Q3 Data'!$B$4:$B$207="Challan")*'Q3 Data'!$F$4:$F$207)+SUMPRODUCT(('Q4 Data'!$D$4:$D$207=D189)*('Q4 Data'!$B$4:$B$207="Challan")*'Q4 Data'!$F$4:$F$207))</f>
      </c>
      <c r="AR189" s="34">
        <f>IF(OR($B189&lt;&gt;"Entry",Z189=""),FALSE,AND((SUMPRODUCT(('Q1 Data'!$D$4:$D$207=D189)*('Q1 Data'!$B$4:$B$207="Challan")*('Q1 Data'!$H$4:$H$207&lt;&gt;""))+SUMPRODUCT(('Q2 Data'!$D$4:$D$207=D189)*('Q2 Data'!$B$4:$B$207="Challan")*('Q2 Data'!$H$4:$H$207&lt;&gt;""))+SUMPRODUCT(('Q3 Data'!$D$4:$D$207=D189)*('Q3 Data'!$B$4:$B$207="Challan")*('Q3 Data'!$H$4:$H$207&lt;&gt;""))+SUMPRODUCT(('Q4 Data'!$D$4:$D$207=D189)*('Q4 Data'!$B$4:$B$207="Challan")*('Q4 Data'!$H$4:$H$207&lt;&gt;"")))&gt;0,(SUMPRODUCT(('Q1 Data'!$D$4:$D$207=D189)*('Q1 Data'!$B$4:$B$207="Challan")*('Q1 Data'!$H$4:$H$207=Z189))+SUMPRODUCT(('Q2 Data'!$D$4:$D$207=D189)*('Q2 Data'!$B$4:$B$207="Challan")*('Q2 Data'!$H$4:$H$207=Z189))+SUMPRODUCT(('Q3 Data'!$D$4:$D$207=D189)*('Q3 Data'!$B$4:$B$207="Challan")*('Q3 Data'!$H$4:$H$207=Z189))+SUMPRODUCT(('Q4 Data'!$D$4:$D$207=D189)*('Q4 Data'!$B$4:$B$207="Challan")*('Q4 Data'!$H$4:$H$207=Z189)))=0))</f>
      </c>
    </row>
    <row r="190" spans="1:44" x14ac:dyDescent="0.25">
      <c r="A190" s="20">
        <f>IF($B190="Entry",COUNTIF($B$4:$B190,"Entry"),"")</f>
      </c>
      <c r="B190" s="21"/>
      <c r="C190" s="22"/>
      <c r="D190" s="22"/>
      <c r="E190" s="23">
        <f>IF($B190&lt;&gt;"Challan","",IF(ROUND(AN190-AO190,2)&gt;0,"Over-applied",IF(ROUND(AN190-AO190,2)=0,"Fully Utilised","Unconsumed")))</f>
      </c>
      <c r="F190" s="24"/>
      <c r="G190" s="25"/>
      <c r="H190" s="25"/>
      <c r="I190" s="26"/>
      <c r="J190" s="26"/>
      <c r="K190" s="26"/>
      <c r="L190" s="26"/>
      <c r="M190" s="26"/>
      <c r="N190" s="26"/>
      <c r="O190" s="26"/>
      <c r="P190" s="27">
        <f>IF($B190&lt;&gt;"Challan","",I190+J190+K190+L190+M190+N190)</f>
      </c>
      <c r="Q190" s="25"/>
      <c r="R190" s="25"/>
      <c r="S190" s="25"/>
      <c r="T190" s="25"/>
      <c r="U190" s="25"/>
      <c r="V190" s="28"/>
      <c r="W190" s="28"/>
      <c r="X190" s="23">
        <f>IF($B190="Entry",IF(AND(LEN(TRIM(UPPER(W190)))=10,CODE(MID(TRIM(UPPER(W190)),1,1))&gt;=65,CODE(MID(TRIM(UPPER(W190)),1,1))&lt;=90,CODE(MID(TRIM(UPPER(W190)),2,1))&gt;=65,CODE(MID(TRIM(UPPER(W190)),2,1))&lt;=90,CODE(MID(TRIM(UPPER(W190)),3,1))&gt;=65,CODE(MID(TRIM(UPPER(W190)),3,1))&lt;=90,CODE(MID(TRIM(UPPER(W190)),4,1))&gt;=65,CODE(MID(TRIM(UPPER(W190)),4,1))&lt;=90,CODE(MID(TRIM(UPPER(W190)),5,1))&gt;=65,CODE(MID(TRIM(UPPER(W190)),5,1))&lt;=90,CODE(MID(TRIM(UPPER(W190)),10,1))&gt;=65,CODE(MID(TRIM(UPPER(W190)),10,1))&lt;=90,CODE(MID(TRIM(UPPER(W190)),6,1))&gt;=48,CODE(MID(TRIM(UPPER(W190)),6,1))&lt;=57,CODE(MID(TRIM(UPPER(W190)),7,1))&gt;=48,CODE(MID(TRIM(UPPER(W190)),7,1))&lt;=57,CODE(MID(TRIM(UPPER(W190)),8,1))&gt;=48,CODE(MID(TRIM(UPPER(W190)),8,1))&lt;=57,CODE(MID(TRIM(UPPER(W190)),9,1))&gt;=48,CODE(MID(TRIM(UPPER(W190)),9,1))&lt;=57),"N","Y"),IF($B190="Challan","",IF(W190&lt;&gt;"","◄ Set Row Type","")))</f>
      </c>
      <c r="Y190" s="23">
        <f>IF($B190="Entry",IF(LEN(W190)&lt;4,"",IF(UPPER(MID(W190,4,1))="P","Individual",IF(UPPER(MID(W190,4,1))="H","HUF",IF(UPPER(MID(W190,4,1))="C","Company",IF(UPPER(MID(W190,4,1))="F","Firm",IF(UPPER(MID(W190,4,1))="L","LLP",IF(UPPER(MID(W190,4,1))="T","Trust",IF(UPPER(MID(W190,4,1))="A","AOP","")))))))),IF($B190="Challan","",IF(W190&lt;&gt;"","◄ Set Row Type","")))</f>
      </c>
      <c r="Z190" s="28"/>
      <c r="AA190" s="29">
        <f>IF($B190&lt;&gt;"Entry","",IF(Z190="","",IF(X190="Y",SUMPRODUCT(('Rate Lookup'!$A$1:$A$37=Z190)*'Rate Lookup'!$D$1:$D$37),IF(OR(Y190="Individual",Y190="HUF"),SUMPRODUCT(('Rate Lookup'!$A$1:$A$37=Z190)*'Rate Lookup'!$B$1:$B$37),SUMPRODUCT(('Rate Lookup'!$A$1:$A$37=Z190)*'Rate Lookup'!$C$1:$C$37)))))</f>
      </c>
      <c r="AB190" s="30"/>
      <c r="AC190" s="31"/>
      <c r="AD190" s="27">
        <f>IF($B190&lt;&gt;"Entry","",ROUND(AC190*AA190/100,0))</f>
      </c>
      <c r="AE190" s="27">
        <f>IF($B190&lt;&gt;"Entry","",0)</f>
      </c>
      <c r="AF190" s="27">
        <f>IF($B190&lt;&gt;"Entry","",0)</f>
      </c>
      <c r="AG190" s="27">
        <f>IF($B190&lt;&gt;"Entry","",IF(OR(AD190=0,AB190="",AQ190="",AQ190&lt;=0),0,IF(AQ190&lt;=DATE(YEAR(AB190),MONTH(AB190)+1,7),0,ROUND(AD190*0.015*((YEAR(AQ190)-YEAR(AB190))*12+(MONTH(AQ190)-MONTH(AB190))+1),0))))</f>
      </c>
      <c r="AH190" s="27">
        <f>IF($B190&lt;&gt;"Entry","",0)</f>
      </c>
      <c r="AI190" s="28"/>
      <c r="AJ190" s="28"/>
      <c r="AK190" s="32"/>
      <c r="AL190" s="28"/>
      <c r="AM190" s="28"/>
      <c r="AN190" s="27">
        <f>IF($B190&lt;&gt;"Challan","",SUMIF('Q1 Data'!$D$4:$D$207,D190,'Q1 Data'!$AD$4:$AD$207)+SUMIF('Q1 Data'!$D$4:$D$207,D190,'Q1 Data'!$AG$4:$AG$207)+SUMIF('Q1 Data'!$D$4:$D$207,D190,'Q1 Data'!$AE$4:$AE$207)+SUMIF('Q2 Data'!$D$4:$D$207,D190,'Q2 Data'!$AD$4:$AD$207)+SUMIF('Q2 Data'!$D$4:$D$207,D190,'Q2 Data'!$AG$4:$AG$207)+SUMIF('Q2 Data'!$D$4:$D$207,D190,'Q2 Data'!$AE$4:$AE$207)+SUMIF('Q3 Data'!$D$4:$D$207,D190,'Q3 Data'!$AD$4:$AD$207)+SUMIF('Q3 Data'!$D$4:$D$207,D190,'Q3 Data'!$AG$4:$AG$207)+SUMIF('Q3 Data'!$D$4:$D$207,D190,'Q3 Data'!$AE$4:$AE$207)+SUMIF('Q4 Data'!$D$4:$D$207,D190,'Q4 Data'!$AD$4:$AD$207)+SUMIF('Q4 Data'!$D$4:$D$207,D190,'Q4 Data'!$AG$4:$AG$207)+SUMIF('Q4 Data'!$D$4:$D$207,D190,'Q4 Data'!$AE$4:$AE$207))</f>
      </c>
      <c r="AO190" s="27">
        <f>IF($B190&lt;&gt;"Challan","",P190-N190)</f>
      </c>
      <c r="AP190" s="27">
        <f>IF($B190&lt;&gt;"Challan","",MAX(0,AO190-AN190))</f>
      </c>
      <c r="AQ190" s="33">
        <f>IF($B190&lt;&gt;"Entry","",SUMPRODUCT(('Q1 Data'!$D$4:$D$207=D190)*('Q1 Data'!$B$4:$B$207="Challan")*'Q1 Data'!$F$4:$F$207)+SUMPRODUCT(('Q2 Data'!$D$4:$D$207=D190)*('Q2 Data'!$B$4:$B$207="Challan")*'Q2 Data'!$F$4:$F$207)+SUMPRODUCT(('Q3 Data'!$D$4:$D$207=D190)*('Q3 Data'!$B$4:$B$207="Challan")*'Q3 Data'!$F$4:$F$207)+SUMPRODUCT(('Q4 Data'!$D$4:$D$207=D190)*('Q4 Data'!$B$4:$B$207="Challan")*'Q4 Data'!$F$4:$F$207))</f>
      </c>
      <c r="AR190" s="34">
        <f>IF(OR($B190&lt;&gt;"Entry",Z190=""),FALSE,AND((SUMPRODUCT(('Q1 Data'!$D$4:$D$207=D190)*('Q1 Data'!$B$4:$B$207="Challan")*('Q1 Data'!$H$4:$H$207&lt;&gt;""))+SUMPRODUCT(('Q2 Data'!$D$4:$D$207=D190)*('Q2 Data'!$B$4:$B$207="Challan")*('Q2 Data'!$H$4:$H$207&lt;&gt;""))+SUMPRODUCT(('Q3 Data'!$D$4:$D$207=D190)*('Q3 Data'!$B$4:$B$207="Challan")*('Q3 Data'!$H$4:$H$207&lt;&gt;""))+SUMPRODUCT(('Q4 Data'!$D$4:$D$207=D190)*('Q4 Data'!$B$4:$B$207="Challan")*('Q4 Data'!$H$4:$H$207&lt;&gt;"")))&gt;0,(SUMPRODUCT(('Q1 Data'!$D$4:$D$207=D190)*('Q1 Data'!$B$4:$B$207="Challan")*('Q1 Data'!$H$4:$H$207=Z190))+SUMPRODUCT(('Q2 Data'!$D$4:$D$207=D190)*('Q2 Data'!$B$4:$B$207="Challan")*('Q2 Data'!$H$4:$H$207=Z190))+SUMPRODUCT(('Q3 Data'!$D$4:$D$207=D190)*('Q3 Data'!$B$4:$B$207="Challan")*('Q3 Data'!$H$4:$H$207=Z190))+SUMPRODUCT(('Q4 Data'!$D$4:$D$207=D190)*('Q4 Data'!$B$4:$B$207="Challan")*('Q4 Data'!$H$4:$H$207=Z190)))=0))</f>
      </c>
    </row>
    <row r="191" spans="1:44" x14ac:dyDescent="0.25">
      <c r="A191" s="20">
        <f>IF($B191="Entry",COUNTIF($B$4:$B191,"Entry"),"")</f>
      </c>
      <c r="B191" s="21"/>
      <c r="C191" s="22"/>
      <c r="D191" s="22"/>
      <c r="E191" s="23">
        <f>IF($B191&lt;&gt;"Challan","",IF(ROUND(AN191-AO191,2)&gt;0,"Over-applied",IF(ROUND(AN191-AO191,2)=0,"Fully Utilised","Unconsumed")))</f>
      </c>
      <c r="F191" s="24"/>
      <c r="G191" s="25"/>
      <c r="H191" s="25"/>
      <c r="I191" s="26"/>
      <c r="J191" s="26"/>
      <c r="K191" s="26"/>
      <c r="L191" s="26"/>
      <c r="M191" s="26"/>
      <c r="N191" s="26"/>
      <c r="O191" s="26"/>
      <c r="P191" s="27">
        <f>IF($B191&lt;&gt;"Challan","",I191+J191+K191+L191+M191+N191)</f>
      </c>
      <c r="Q191" s="25"/>
      <c r="R191" s="25"/>
      <c r="S191" s="25"/>
      <c r="T191" s="25"/>
      <c r="U191" s="25"/>
      <c r="V191" s="28"/>
      <c r="W191" s="28"/>
      <c r="X191" s="23">
        <f>IF($B191="Entry",IF(AND(LEN(TRIM(UPPER(W191)))=10,CODE(MID(TRIM(UPPER(W191)),1,1))&gt;=65,CODE(MID(TRIM(UPPER(W191)),1,1))&lt;=90,CODE(MID(TRIM(UPPER(W191)),2,1))&gt;=65,CODE(MID(TRIM(UPPER(W191)),2,1))&lt;=90,CODE(MID(TRIM(UPPER(W191)),3,1))&gt;=65,CODE(MID(TRIM(UPPER(W191)),3,1))&lt;=90,CODE(MID(TRIM(UPPER(W191)),4,1))&gt;=65,CODE(MID(TRIM(UPPER(W191)),4,1))&lt;=90,CODE(MID(TRIM(UPPER(W191)),5,1))&gt;=65,CODE(MID(TRIM(UPPER(W191)),5,1))&lt;=90,CODE(MID(TRIM(UPPER(W191)),10,1))&gt;=65,CODE(MID(TRIM(UPPER(W191)),10,1))&lt;=90,CODE(MID(TRIM(UPPER(W191)),6,1))&gt;=48,CODE(MID(TRIM(UPPER(W191)),6,1))&lt;=57,CODE(MID(TRIM(UPPER(W191)),7,1))&gt;=48,CODE(MID(TRIM(UPPER(W191)),7,1))&lt;=57,CODE(MID(TRIM(UPPER(W191)),8,1))&gt;=48,CODE(MID(TRIM(UPPER(W191)),8,1))&lt;=57,CODE(MID(TRIM(UPPER(W191)),9,1))&gt;=48,CODE(MID(TRIM(UPPER(W191)),9,1))&lt;=57),"N","Y"),IF($B191="Challan","",IF(W191&lt;&gt;"","◄ Set Row Type","")))</f>
      </c>
      <c r="Y191" s="23">
        <f>IF($B191="Entry",IF(LEN(W191)&lt;4,"",IF(UPPER(MID(W191,4,1))="P","Individual",IF(UPPER(MID(W191,4,1))="H","HUF",IF(UPPER(MID(W191,4,1))="C","Company",IF(UPPER(MID(W191,4,1))="F","Firm",IF(UPPER(MID(W191,4,1))="L","LLP",IF(UPPER(MID(W191,4,1))="T","Trust",IF(UPPER(MID(W191,4,1))="A","AOP","")))))))),IF($B191="Challan","",IF(W191&lt;&gt;"","◄ Set Row Type","")))</f>
      </c>
      <c r="Z191" s="28"/>
      <c r="AA191" s="29">
        <f>IF($B191&lt;&gt;"Entry","",IF(Z191="","",IF(X191="Y",SUMPRODUCT(('Rate Lookup'!$A$1:$A$37=Z191)*'Rate Lookup'!$D$1:$D$37),IF(OR(Y191="Individual",Y191="HUF"),SUMPRODUCT(('Rate Lookup'!$A$1:$A$37=Z191)*'Rate Lookup'!$B$1:$B$37),SUMPRODUCT(('Rate Lookup'!$A$1:$A$37=Z191)*'Rate Lookup'!$C$1:$C$37)))))</f>
      </c>
      <c r="AB191" s="30"/>
      <c r="AC191" s="31"/>
      <c r="AD191" s="27">
        <f>IF($B191&lt;&gt;"Entry","",ROUND(AC191*AA191/100,0))</f>
      </c>
      <c r="AE191" s="27">
        <f>IF($B191&lt;&gt;"Entry","",0)</f>
      </c>
      <c r="AF191" s="27">
        <f>IF($B191&lt;&gt;"Entry","",0)</f>
      </c>
      <c r="AG191" s="27">
        <f>IF($B191&lt;&gt;"Entry","",IF(OR(AD191=0,AB191="",AQ191="",AQ191&lt;=0),0,IF(AQ191&lt;=DATE(YEAR(AB191),MONTH(AB191)+1,7),0,ROUND(AD191*0.015*((YEAR(AQ191)-YEAR(AB191))*12+(MONTH(AQ191)-MONTH(AB191))+1),0))))</f>
      </c>
      <c r="AH191" s="27">
        <f>IF($B191&lt;&gt;"Entry","",0)</f>
      </c>
      <c r="AI191" s="28"/>
      <c r="AJ191" s="28"/>
      <c r="AK191" s="32"/>
      <c r="AL191" s="28"/>
      <c r="AM191" s="28"/>
      <c r="AN191" s="27">
        <f>IF($B191&lt;&gt;"Challan","",SUMIF('Q1 Data'!$D$4:$D$207,D191,'Q1 Data'!$AD$4:$AD$207)+SUMIF('Q1 Data'!$D$4:$D$207,D191,'Q1 Data'!$AG$4:$AG$207)+SUMIF('Q1 Data'!$D$4:$D$207,D191,'Q1 Data'!$AE$4:$AE$207)+SUMIF('Q2 Data'!$D$4:$D$207,D191,'Q2 Data'!$AD$4:$AD$207)+SUMIF('Q2 Data'!$D$4:$D$207,D191,'Q2 Data'!$AG$4:$AG$207)+SUMIF('Q2 Data'!$D$4:$D$207,D191,'Q2 Data'!$AE$4:$AE$207)+SUMIF('Q3 Data'!$D$4:$D$207,D191,'Q3 Data'!$AD$4:$AD$207)+SUMIF('Q3 Data'!$D$4:$D$207,D191,'Q3 Data'!$AG$4:$AG$207)+SUMIF('Q3 Data'!$D$4:$D$207,D191,'Q3 Data'!$AE$4:$AE$207)+SUMIF('Q4 Data'!$D$4:$D$207,D191,'Q4 Data'!$AD$4:$AD$207)+SUMIF('Q4 Data'!$D$4:$D$207,D191,'Q4 Data'!$AG$4:$AG$207)+SUMIF('Q4 Data'!$D$4:$D$207,D191,'Q4 Data'!$AE$4:$AE$207))</f>
      </c>
      <c r="AO191" s="27">
        <f>IF($B191&lt;&gt;"Challan","",P191-N191)</f>
      </c>
      <c r="AP191" s="27">
        <f>IF($B191&lt;&gt;"Challan","",MAX(0,AO191-AN191))</f>
      </c>
      <c r="AQ191" s="33">
        <f>IF($B191&lt;&gt;"Entry","",SUMPRODUCT(('Q1 Data'!$D$4:$D$207=D191)*('Q1 Data'!$B$4:$B$207="Challan")*'Q1 Data'!$F$4:$F$207)+SUMPRODUCT(('Q2 Data'!$D$4:$D$207=D191)*('Q2 Data'!$B$4:$B$207="Challan")*'Q2 Data'!$F$4:$F$207)+SUMPRODUCT(('Q3 Data'!$D$4:$D$207=D191)*('Q3 Data'!$B$4:$B$207="Challan")*'Q3 Data'!$F$4:$F$207)+SUMPRODUCT(('Q4 Data'!$D$4:$D$207=D191)*('Q4 Data'!$B$4:$B$207="Challan")*'Q4 Data'!$F$4:$F$207))</f>
      </c>
      <c r="AR191" s="34">
        <f>IF(OR($B191&lt;&gt;"Entry",Z191=""),FALSE,AND((SUMPRODUCT(('Q1 Data'!$D$4:$D$207=D191)*('Q1 Data'!$B$4:$B$207="Challan")*('Q1 Data'!$H$4:$H$207&lt;&gt;""))+SUMPRODUCT(('Q2 Data'!$D$4:$D$207=D191)*('Q2 Data'!$B$4:$B$207="Challan")*('Q2 Data'!$H$4:$H$207&lt;&gt;""))+SUMPRODUCT(('Q3 Data'!$D$4:$D$207=D191)*('Q3 Data'!$B$4:$B$207="Challan")*('Q3 Data'!$H$4:$H$207&lt;&gt;""))+SUMPRODUCT(('Q4 Data'!$D$4:$D$207=D191)*('Q4 Data'!$B$4:$B$207="Challan")*('Q4 Data'!$H$4:$H$207&lt;&gt;"")))&gt;0,(SUMPRODUCT(('Q1 Data'!$D$4:$D$207=D191)*('Q1 Data'!$B$4:$B$207="Challan")*('Q1 Data'!$H$4:$H$207=Z191))+SUMPRODUCT(('Q2 Data'!$D$4:$D$207=D191)*('Q2 Data'!$B$4:$B$207="Challan")*('Q2 Data'!$H$4:$H$207=Z191))+SUMPRODUCT(('Q3 Data'!$D$4:$D$207=D191)*('Q3 Data'!$B$4:$B$207="Challan")*('Q3 Data'!$H$4:$H$207=Z191))+SUMPRODUCT(('Q4 Data'!$D$4:$D$207=D191)*('Q4 Data'!$B$4:$B$207="Challan")*('Q4 Data'!$H$4:$H$207=Z191)))=0))</f>
      </c>
    </row>
    <row r="192" spans="1:44" x14ac:dyDescent="0.25">
      <c r="A192" s="20">
        <f>IF($B192="Entry",COUNTIF($B$4:$B192,"Entry"),"")</f>
      </c>
      <c r="B192" s="21"/>
      <c r="C192" s="22"/>
      <c r="D192" s="22"/>
      <c r="E192" s="23">
        <f>IF($B192&lt;&gt;"Challan","",IF(ROUND(AN192-AO192,2)&gt;0,"Over-applied",IF(ROUND(AN192-AO192,2)=0,"Fully Utilised","Unconsumed")))</f>
      </c>
      <c r="F192" s="24"/>
      <c r="G192" s="25"/>
      <c r="H192" s="25"/>
      <c r="I192" s="26"/>
      <c r="J192" s="26"/>
      <c r="K192" s="26"/>
      <c r="L192" s="26"/>
      <c r="M192" s="26"/>
      <c r="N192" s="26"/>
      <c r="O192" s="26"/>
      <c r="P192" s="27">
        <f>IF($B192&lt;&gt;"Challan","",I192+J192+K192+L192+M192+N192)</f>
      </c>
      <c r="Q192" s="25"/>
      <c r="R192" s="25"/>
      <c r="S192" s="25"/>
      <c r="T192" s="25"/>
      <c r="U192" s="25"/>
      <c r="V192" s="28"/>
      <c r="W192" s="28"/>
      <c r="X192" s="23">
        <f>IF($B192="Entry",IF(AND(LEN(TRIM(UPPER(W192)))=10,CODE(MID(TRIM(UPPER(W192)),1,1))&gt;=65,CODE(MID(TRIM(UPPER(W192)),1,1))&lt;=90,CODE(MID(TRIM(UPPER(W192)),2,1))&gt;=65,CODE(MID(TRIM(UPPER(W192)),2,1))&lt;=90,CODE(MID(TRIM(UPPER(W192)),3,1))&gt;=65,CODE(MID(TRIM(UPPER(W192)),3,1))&lt;=90,CODE(MID(TRIM(UPPER(W192)),4,1))&gt;=65,CODE(MID(TRIM(UPPER(W192)),4,1))&lt;=90,CODE(MID(TRIM(UPPER(W192)),5,1))&gt;=65,CODE(MID(TRIM(UPPER(W192)),5,1))&lt;=90,CODE(MID(TRIM(UPPER(W192)),10,1))&gt;=65,CODE(MID(TRIM(UPPER(W192)),10,1))&lt;=90,CODE(MID(TRIM(UPPER(W192)),6,1))&gt;=48,CODE(MID(TRIM(UPPER(W192)),6,1))&lt;=57,CODE(MID(TRIM(UPPER(W192)),7,1))&gt;=48,CODE(MID(TRIM(UPPER(W192)),7,1))&lt;=57,CODE(MID(TRIM(UPPER(W192)),8,1))&gt;=48,CODE(MID(TRIM(UPPER(W192)),8,1))&lt;=57,CODE(MID(TRIM(UPPER(W192)),9,1))&gt;=48,CODE(MID(TRIM(UPPER(W192)),9,1))&lt;=57),"N","Y"),IF($B192="Challan","",IF(W192&lt;&gt;"","◄ Set Row Type","")))</f>
      </c>
      <c r="Y192" s="23">
        <f>IF($B192="Entry",IF(LEN(W192)&lt;4,"",IF(UPPER(MID(W192,4,1))="P","Individual",IF(UPPER(MID(W192,4,1))="H","HUF",IF(UPPER(MID(W192,4,1))="C","Company",IF(UPPER(MID(W192,4,1))="F","Firm",IF(UPPER(MID(W192,4,1))="L","LLP",IF(UPPER(MID(W192,4,1))="T","Trust",IF(UPPER(MID(W192,4,1))="A","AOP","")))))))),IF($B192="Challan","",IF(W192&lt;&gt;"","◄ Set Row Type","")))</f>
      </c>
      <c r="Z192" s="28"/>
      <c r="AA192" s="29">
        <f>IF($B192&lt;&gt;"Entry","",IF(Z192="","",IF(X192="Y",SUMPRODUCT(('Rate Lookup'!$A$1:$A$37=Z192)*'Rate Lookup'!$D$1:$D$37),IF(OR(Y192="Individual",Y192="HUF"),SUMPRODUCT(('Rate Lookup'!$A$1:$A$37=Z192)*'Rate Lookup'!$B$1:$B$37),SUMPRODUCT(('Rate Lookup'!$A$1:$A$37=Z192)*'Rate Lookup'!$C$1:$C$37)))))</f>
      </c>
      <c r="AB192" s="30"/>
      <c r="AC192" s="31"/>
      <c r="AD192" s="27">
        <f>IF($B192&lt;&gt;"Entry","",ROUND(AC192*AA192/100,0))</f>
      </c>
      <c r="AE192" s="27">
        <f>IF($B192&lt;&gt;"Entry","",0)</f>
      </c>
      <c r="AF192" s="27">
        <f>IF($B192&lt;&gt;"Entry","",0)</f>
      </c>
      <c r="AG192" s="27">
        <f>IF($B192&lt;&gt;"Entry","",IF(OR(AD192=0,AB192="",AQ192="",AQ192&lt;=0),0,IF(AQ192&lt;=DATE(YEAR(AB192),MONTH(AB192)+1,7),0,ROUND(AD192*0.015*((YEAR(AQ192)-YEAR(AB192))*12+(MONTH(AQ192)-MONTH(AB192))+1),0))))</f>
      </c>
      <c r="AH192" s="27">
        <f>IF($B192&lt;&gt;"Entry","",0)</f>
      </c>
      <c r="AI192" s="28"/>
      <c r="AJ192" s="28"/>
      <c r="AK192" s="32"/>
      <c r="AL192" s="28"/>
      <c r="AM192" s="28"/>
      <c r="AN192" s="27">
        <f>IF($B192&lt;&gt;"Challan","",SUMIF('Q1 Data'!$D$4:$D$207,D192,'Q1 Data'!$AD$4:$AD$207)+SUMIF('Q1 Data'!$D$4:$D$207,D192,'Q1 Data'!$AG$4:$AG$207)+SUMIF('Q1 Data'!$D$4:$D$207,D192,'Q1 Data'!$AE$4:$AE$207)+SUMIF('Q2 Data'!$D$4:$D$207,D192,'Q2 Data'!$AD$4:$AD$207)+SUMIF('Q2 Data'!$D$4:$D$207,D192,'Q2 Data'!$AG$4:$AG$207)+SUMIF('Q2 Data'!$D$4:$D$207,D192,'Q2 Data'!$AE$4:$AE$207)+SUMIF('Q3 Data'!$D$4:$D$207,D192,'Q3 Data'!$AD$4:$AD$207)+SUMIF('Q3 Data'!$D$4:$D$207,D192,'Q3 Data'!$AG$4:$AG$207)+SUMIF('Q3 Data'!$D$4:$D$207,D192,'Q3 Data'!$AE$4:$AE$207)+SUMIF('Q4 Data'!$D$4:$D$207,D192,'Q4 Data'!$AD$4:$AD$207)+SUMIF('Q4 Data'!$D$4:$D$207,D192,'Q4 Data'!$AG$4:$AG$207)+SUMIF('Q4 Data'!$D$4:$D$207,D192,'Q4 Data'!$AE$4:$AE$207))</f>
      </c>
      <c r="AO192" s="27">
        <f>IF($B192&lt;&gt;"Challan","",P192-N192)</f>
      </c>
      <c r="AP192" s="27">
        <f>IF($B192&lt;&gt;"Challan","",MAX(0,AO192-AN192))</f>
      </c>
      <c r="AQ192" s="33">
        <f>IF($B192&lt;&gt;"Entry","",SUMPRODUCT(('Q1 Data'!$D$4:$D$207=D192)*('Q1 Data'!$B$4:$B$207="Challan")*'Q1 Data'!$F$4:$F$207)+SUMPRODUCT(('Q2 Data'!$D$4:$D$207=D192)*('Q2 Data'!$B$4:$B$207="Challan")*'Q2 Data'!$F$4:$F$207)+SUMPRODUCT(('Q3 Data'!$D$4:$D$207=D192)*('Q3 Data'!$B$4:$B$207="Challan")*'Q3 Data'!$F$4:$F$207)+SUMPRODUCT(('Q4 Data'!$D$4:$D$207=D192)*('Q4 Data'!$B$4:$B$207="Challan")*'Q4 Data'!$F$4:$F$207))</f>
      </c>
      <c r="AR192" s="34">
        <f>IF(OR($B192&lt;&gt;"Entry",Z192=""),FALSE,AND((SUMPRODUCT(('Q1 Data'!$D$4:$D$207=D192)*('Q1 Data'!$B$4:$B$207="Challan")*('Q1 Data'!$H$4:$H$207&lt;&gt;""))+SUMPRODUCT(('Q2 Data'!$D$4:$D$207=D192)*('Q2 Data'!$B$4:$B$207="Challan")*('Q2 Data'!$H$4:$H$207&lt;&gt;""))+SUMPRODUCT(('Q3 Data'!$D$4:$D$207=D192)*('Q3 Data'!$B$4:$B$207="Challan")*('Q3 Data'!$H$4:$H$207&lt;&gt;""))+SUMPRODUCT(('Q4 Data'!$D$4:$D$207=D192)*('Q4 Data'!$B$4:$B$207="Challan")*('Q4 Data'!$H$4:$H$207&lt;&gt;"")))&gt;0,(SUMPRODUCT(('Q1 Data'!$D$4:$D$207=D192)*('Q1 Data'!$B$4:$B$207="Challan")*('Q1 Data'!$H$4:$H$207=Z192))+SUMPRODUCT(('Q2 Data'!$D$4:$D$207=D192)*('Q2 Data'!$B$4:$B$207="Challan")*('Q2 Data'!$H$4:$H$207=Z192))+SUMPRODUCT(('Q3 Data'!$D$4:$D$207=D192)*('Q3 Data'!$B$4:$B$207="Challan")*('Q3 Data'!$H$4:$H$207=Z192))+SUMPRODUCT(('Q4 Data'!$D$4:$D$207=D192)*('Q4 Data'!$B$4:$B$207="Challan")*('Q4 Data'!$H$4:$H$207=Z192)))=0))</f>
      </c>
    </row>
    <row r="193" spans="1:44" x14ac:dyDescent="0.25">
      <c r="A193" s="20">
        <f>IF($B193="Entry",COUNTIF($B$4:$B193,"Entry"),"")</f>
      </c>
      <c r="B193" s="21"/>
      <c r="C193" s="22"/>
      <c r="D193" s="22"/>
      <c r="E193" s="23">
        <f>IF($B193&lt;&gt;"Challan","",IF(ROUND(AN193-AO193,2)&gt;0,"Over-applied",IF(ROUND(AN193-AO193,2)=0,"Fully Utilised","Unconsumed")))</f>
      </c>
      <c r="F193" s="24"/>
      <c r="G193" s="25"/>
      <c r="H193" s="25"/>
      <c r="I193" s="26"/>
      <c r="J193" s="26"/>
      <c r="K193" s="26"/>
      <c r="L193" s="26"/>
      <c r="M193" s="26"/>
      <c r="N193" s="26"/>
      <c r="O193" s="26"/>
      <c r="P193" s="27">
        <f>IF($B193&lt;&gt;"Challan","",I193+J193+K193+L193+M193+N193)</f>
      </c>
      <c r="Q193" s="25"/>
      <c r="R193" s="25"/>
      <c r="S193" s="25"/>
      <c r="T193" s="25"/>
      <c r="U193" s="25"/>
      <c r="V193" s="28"/>
      <c r="W193" s="28"/>
      <c r="X193" s="23">
        <f>IF($B193="Entry",IF(AND(LEN(TRIM(UPPER(W193)))=10,CODE(MID(TRIM(UPPER(W193)),1,1))&gt;=65,CODE(MID(TRIM(UPPER(W193)),1,1))&lt;=90,CODE(MID(TRIM(UPPER(W193)),2,1))&gt;=65,CODE(MID(TRIM(UPPER(W193)),2,1))&lt;=90,CODE(MID(TRIM(UPPER(W193)),3,1))&gt;=65,CODE(MID(TRIM(UPPER(W193)),3,1))&lt;=90,CODE(MID(TRIM(UPPER(W193)),4,1))&gt;=65,CODE(MID(TRIM(UPPER(W193)),4,1))&lt;=90,CODE(MID(TRIM(UPPER(W193)),5,1))&gt;=65,CODE(MID(TRIM(UPPER(W193)),5,1))&lt;=90,CODE(MID(TRIM(UPPER(W193)),10,1))&gt;=65,CODE(MID(TRIM(UPPER(W193)),10,1))&lt;=90,CODE(MID(TRIM(UPPER(W193)),6,1))&gt;=48,CODE(MID(TRIM(UPPER(W193)),6,1))&lt;=57,CODE(MID(TRIM(UPPER(W193)),7,1))&gt;=48,CODE(MID(TRIM(UPPER(W193)),7,1))&lt;=57,CODE(MID(TRIM(UPPER(W193)),8,1))&gt;=48,CODE(MID(TRIM(UPPER(W193)),8,1))&lt;=57,CODE(MID(TRIM(UPPER(W193)),9,1))&gt;=48,CODE(MID(TRIM(UPPER(W193)),9,1))&lt;=57),"N","Y"),IF($B193="Challan","",IF(W193&lt;&gt;"","◄ Set Row Type","")))</f>
      </c>
      <c r="Y193" s="23">
        <f>IF($B193="Entry",IF(LEN(W193)&lt;4,"",IF(UPPER(MID(W193,4,1))="P","Individual",IF(UPPER(MID(W193,4,1))="H","HUF",IF(UPPER(MID(W193,4,1))="C","Company",IF(UPPER(MID(W193,4,1))="F","Firm",IF(UPPER(MID(W193,4,1))="L","LLP",IF(UPPER(MID(W193,4,1))="T","Trust",IF(UPPER(MID(W193,4,1))="A","AOP","")))))))),IF($B193="Challan","",IF(W193&lt;&gt;"","◄ Set Row Type","")))</f>
      </c>
      <c r="Z193" s="28"/>
      <c r="AA193" s="29">
        <f>IF($B193&lt;&gt;"Entry","",IF(Z193="","",IF(X193="Y",SUMPRODUCT(('Rate Lookup'!$A$1:$A$37=Z193)*'Rate Lookup'!$D$1:$D$37),IF(OR(Y193="Individual",Y193="HUF"),SUMPRODUCT(('Rate Lookup'!$A$1:$A$37=Z193)*'Rate Lookup'!$B$1:$B$37),SUMPRODUCT(('Rate Lookup'!$A$1:$A$37=Z193)*'Rate Lookup'!$C$1:$C$37)))))</f>
      </c>
      <c r="AB193" s="30"/>
      <c r="AC193" s="31"/>
      <c r="AD193" s="27">
        <f>IF($B193&lt;&gt;"Entry","",ROUND(AC193*AA193/100,0))</f>
      </c>
      <c r="AE193" s="27">
        <f>IF($B193&lt;&gt;"Entry","",0)</f>
      </c>
      <c r="AF193" s="27">
        <f>IF($B193&lt;&gt;"Entry","",0)</f>
      </c>
      <c r="AG193" s="27">
        <f>IF($B193&lt;&gt;"Entry","",IF(OR(AD193=0,AB193="",AQ193="",AQ193&lt;=0),0,IF(AQ193&lt;=DATE(YEAR(AB193),MONTH(AB193)+1,7),0,ROUND(AD193*0.015*((YEAR(AQ193)-YEAR(AB193))*12+(MONTH(AQ193)-MONTH(AB193))+1),0))))</f>
      </c>
      <c r="AH193" s="27">
        <f>IF($B193&lt;&gt;"Entry","",0)</f>
      </c>
      <c r="AI193" s="28"/>
      <c r="AJ193" s="28"/>
      <c r="AK193" s="32"/>
      <c r="AL193" s="28"/>
      <c r="AM193" s="28"/>
      <c r="AN193" s="27">
        <f>IF($B193&lt;&gt;"Challan","",SUMIF('Q1 Data'!$D$4:$D$207,D193,'Q1 Data'!$AD$4:$AD$207)+SUMIF('Q1 Data'!$D$4:$D$207,D193,'Q1 Data'!$AG$4:$AG$207)+SUMIF('Q1 Data'!$D$4:$D$207,D193,'Q1 Data'!$AE$4:$AE$207)+SUMIF('Q2 Data'!$D$4:$D$207,D193,'Q2 Data'!$AD$4:$AD$207)+SUMIF('Q2 Data'!$D$4:$D$207,D193,'Q2 Data'!$AG$4:$AG$207)+SUMIF('Q2 Data'!$D$4:$D$207,D193,'Q2 Data'!$AE$4:$AE$207)+SUMIF('Q3 Data'!$D$4:$D$207,D193,'Q3 Data'!$AD$4:$AD$207)+SUMIF('Q3 Data'!$D$4:$D$207,D193,'Q3 Data'!$AG$4:$AG$207)+SUMIF('Q3 Data'!$D$4:$D$207,D193,'Q3 Data'!$AE$4:$AE$207)+SUMIF('Q4 Data'!$D$4:$D$207,D193,'Q4 Data'!$AD$4:$AD$207)+SUMIF('Q4 Data'!$D$4:$D$207,D193,'Q4 Data'!$AG$4:$AG$207)+SUMIF('Q4 Data'!$D$4:$D$207,D193,'Q4 Data'!$AE$4:$AE$207))</f>
      </c>
      <c r="AO193" s="27">
        <f>IF($B193&lt;&gt;"Challan","",P193-N193)</f>
      </c>
      <c r="AP193" s="27">
        <f>IF($B193&lt;&gt;"Challan","",MAX(0,AO193-AN193))</f>
      </c>
      <c r="AQ193" s="33">
        <f>IF($B193&lt;&gt;"Entry","",SUMPRODUCT(('Q1 Data'!$D$4:$D$207=D193)*('Q1 Data'!$B$4:$B$207="Challan")*'Q1 Data'!$F$4:$F$207)+SUMPRODUCT(('Q2 Data'!$D$4:$D$207=D193)*('Q2 Data'!$B$4:$B$207="Challan")*'Q2 Data'!$F$4:$F$207)+SUMPRODUCT(('Q3 Data'!$D$4:$D$207=D193)*('Q3 Data'!$B$4:$B$207="Challan")*'Q3 Data'!$F$4:$F$207)+SUMPRODUCT(('Q4 Data'!$D$4:$D$207=D193)*('Q4 Data'!$B$4:$B$207="Challan")*'Q4 Data'!$F$4:$F$207))</f>
      </c>
      <c r="AR193" s="34">
        <f>IF(OR($B193&lt;&gt;"Entry",Z193=""),FALSE,AND((SUMPRODUCT(('Q1 Data'!$D$4:$D$207=D193)*('Q1 Data'!$B$4:$B$207="Challan")*('Q1 Data'!$H$4:$H$207&lt;&gt;""))+SUMPRODUCT(('Q2 Data'!$D$4:$D$207=D193)*('Q2 Data'!$B$4:$B$207="Challan")*('Q2 Data'!$H$4:$H$207&lt;&gt;""))+SUMPRODUCT(('Q3 Data'!$D$4:$D$207=D193)*('Q3 Data'!$B$4:$B$207="Challan")*('Q3 Data'!$H$4:$H$207&lt;&gt;""))+SUMPRODUCT(('Q4 Data'!$D$4:$D$207=D193)*('Q4 Data'!$B$4:$B$207="Challan")*('Q4 Data'!$H$4:$H$207&lt;&gt;"")))&gt;0,(SUMPRODUCT(('Q1 Data'!$D$4:$D$207=D193)*('Q1 Data'!$B$4:$B$207="Challan")*('Q1 Data'!$H$4:$H$207=Z193))+SUMPRODUCT(('Q2 Data'!$D$4:$D$207=D193)*('Q2 Data'!$B$4:$B$207="Challan")*('Q2 Data'!$H$4:$H$207=Z193))+SUMPRODUCT(('Q3 Data'!$D$4:$D$207=D193)*('Q3 Data'!$B$4:$B$207="Challan")*('Q3 Data'!$H$4:$H$207=Z193))+SUMPRODUCT(('Q4 Data'!$D$4:$D$207=D193)*('Q4 Data'!$B$4:$B$207="Challan")*('Q4 Data'!$H$4:$H$207=Z193)))=0))</f>
      </c>
    </row>
    <row r="194" spans="1:44" x14ac:dyDescent="0.25">
      <c r="A194" s="20">
        <f>IF($B194="Entry",COUNTIF($B$4:$B194,"Entry"),"")</f>
      </c>
      <c r="B194" s="21"/>
      <c r="C194" s="22"/>
      <c r="D194" s="22"/>
      <c r="E194" s="23">
        <f>IF($B194&lt;&gt;"Challan","",IF(ROUND(AN194-AO194,2)&gt;0,"Over-applied",IF(ROUND(AN194-AO194,2)=0,"Fully Utilised","Unconsumed")))</f>
      </c>
      <c r="F194" s="24"/>
      <c r="G194" s="25"/>
      <c r="H194" s="25"/>
      <c r="I194" s="26"/>
      <c r="J194" s="26"/>
      <c r="K194" s="26"/>
      <c r="L194" s="26"/>
      <c r="M194" s="26"/>
      <c r="N194" s="26"/>
      <c r="O194" s="26"/>
      <c r="P194" s="27">
        <f>IF($B194&lt;&gt;"Challan","",I194+J194+K194+L194+M194+N194)</f>
      </c>
      <c r="Q194" s="25"/>
      <c r="R194" s="25"/>
      <c r="S194" s="25"/>
      <c r="T194" s="25"/>
      <c r="U194" s="25"/>
      <c r="V194" s="28"/>
      <c r="W194" s="28"/>
      <c r="X194" s="23">
        <f>IF($B194="Entry",IF(AND(LEN(TRIM(UPPER(W194)))=10,CODE(MID(TRIM(UPPER(W194)),1,1))&gt;=65,CODE(MID(TRIM(UPPER(W194)),1,1))&lt;=90,CODE(MID(TRIM(UPPER(W194)),2,1))&gt;=65,CODE(MID(TRIM(UPPER(W194)),2,1))&lt;=90,CODE(MID(TRIM(UPPER(W194)),3,1))&gt;=65,CODE(MID(TRIM(UPPER(W194)),3,1))&lt;=90,CODE(MID(TRIM(UPPER(W194)),4,1))&gt;=65,CODE(MID(TRIM(UPPER(W194)),4,1))&lt;=90,CODE(MID(TRIM(UPPER(W194)),5,1))&gt;=65,CODE(MID(TRIM(UPPER(W194)),5,1))&lt;=90,CODE(MID(TRIM(UPPER(W194)),10,1))&gt;=65,CODE(MID(TRIM(UPPER(W194)),10,1))&lt;=90,CODE(MID(TRIM(UPPER(W194)),6,1))&gt;=48,CODE(MID(TRIM(UPPER(W194)),6,1))&lt;=57,CODE(MID(TRIM(UPPER(W194)),7,1))&gt;=48,CODE(MID(TRIM(UPPER(W194)),7,1))&lt;=57,CODE(MID(TRIM(UPPER(W194)),8,1))&gt;=48,CODE(MID(TRIM(UPPER(W194)),8,1))&lt;=57,CODE(MID(TRIM(UPPER(W194)),9,1))&gt;=48,CODE(MID(TRIM(UPPER(W194)),9,1))&lt;=57),"N","Y"),IF($B194="Challan","",IF(W194&lt;&gt;"","◄ Set Row Type","")))</f>
      </c>
      <c r="Y194" s="23">
        <f>IF($B194="Entry",IF(LEN(W194)&lt;4,"",IF(UPPER(MID(W194,4,1))="P","Individual",IF(UPPER(MID(W194,4,1))="H","HUF",IF(UPPER(MID(W194,4,1))="C","Company",IF(UPPER(MID(W194,4,1))="F","Firm",IF(UPPER(MID(W194,4,1))="L","LLP",IF(UPPER(MID(W194,4,1))="T","Trust",IF(UPPER(MID(W194,4,1))="A","AOP","")))))))),IF($B194="Challan","",IF(W194&lt;&gt;"","◄ Set Row Type","")))</f>
      </c>
      <c r="Z194" s="28"/>
      <c r="AA194" s="29">
        <f>IF($B194&lt;&gt;"Entry","",IF(Z194="","",IF(X194="Y",SUMPRODUCT(('Rate Lookup'!$A$1:$A$37=Z194)*'Rate Lookup'!$D$1:$D$37),IF(OR(Y194="Individual",Y194="HUF"),SUMPRODUCT(('Rate Lookup'!$A$1:$A$37=Z194)*'Rate Lookup'!$B$1:$B$37),SUMPRODUCT(('Rate Lookup'!$A$1:$A$37=Z194)*'Rate Lookup'!$C$1:$C$37)))))</f>
      </c>
      <c r="AB194" s="30"/>
      <c r="AC194" s="31"/>
      <c r="AD194" s="27">
        <f>IF($B194&lt;&gt;"Entry","",ROUND(AC194*AA194/100,0))</f>
      </c>
      <c r="AE194" s="27">
        <f>IF($B194&lt;&gt;"Entry","",0)</f>
      </c>
      <c r="AF194" s="27">
        <f>IF($B194&lt;&gt;"Entry","",0)</f>
      </c>
      <c r="AG194" s="27">
        <f>IF($B194&lt;&gt;"Entry","",IF(OR(AD194=0,AB194="",AQ194="",AQ194&lt;=0),0,IF(AQ194&lt;=DATE(YEAR(AB194),MONTH(AB194)+1,7),0,ROUND(AD194*0.015*((YEAR(AQ194)-YEAR(AB194))*12+(MONTH(AQ194)-MONTH(AB194))+1),0))))</f>
      </c>
      <c r="AH194" s="27">
        <f>IF($B194&lt;&gt;"Entry","",0)</f>
      </c>
      <c r="AI194" s="28"/>
      <c r="AJ194" s="28"/>
      <c r="AK194" s="32"/>
      <c r="AL194" s="28"/>
      <c r="AM194" s="28"/>
      <c r="AN194" s="27">
        <f>IF($B194&lt;&gt;"Challan","",SUMIF('Q1 Data'!$D$4:$D$207,D194,'Q1 Data'!$AD$4:$AD$207)+SUMIF('Q1 Data'!$D$4:$D$207,D194,'Q1 Data'!$AG$4:$AG$207)+SUMIF('Q1 Data'!$D$4:$D$207,D194,'Q1 Data'!$AE$4:$AE$207)+SUMIF('Q2 Data'!$D$4:$D$207,D194,'Q2 Data'!$AD$4:$AD$207)+SUMIF('Q2 Data'!$D$4:$D$207,D194,'Q2 Data'!$AG$4:$AG$207)+SUMIF('Q2 Data'!$D$4:$D$207,D194,'Q2 Data'!$AE$4:$AE$207)+SUMIF('Q3 Data'!$D$4:$D$207,D194,'Q3 Data'!$AD$4:$AD$207)+SUMIF('Q3 Data'!$D$4:$D$207,D194,'Q3 Data'!$AG$4:$AG$207)+SUMIF('Q3 Data'!$D$4:$D$207,D194,'Q3 Data'!$AE$4:$AE$207)+SUMIF('Q4 Data'!$D$4:$D$207,D194,'Q4 Data'!$AD$4:$AD$207)+SUMIF('Q4 Data'!$D$4:$D$207,D194,'Q4 Data'!$AG$4:$AG$207)+SUMIF('Q4 Data'!$D$4:$D$207,D194,'Q4 Data'!$AE$4:$AE$207))</f>
      </c>
      <c r="AO194" s="27">
        <f>IF($B194&lt;&gt;"Challan","",P194-N194)</f>
      </c>
      <c r="AP194" s="27">
        <f>IF($B194&lt;&gt;"Challan","",MAX(0,AO194-AN194))</f>
      </c>
      <c r="AQ194" s="33">
        <f>IF($B194&lt;&gt;"Entry","",SUMPRODUCT(('Q1 Data'!$D$4:$D$207=D194)*('Q1 Data'!$B$4:$B$207="Challan")*'Q1 Data'!$F$4:$F$207)+SUMPRODUCT(('Q2 Data'!$D$4:$D$207=D194)*('Q2 Data'!$B$4:$B$207="Challan")*'Q2 Data'!$F$4:$F$207)+SUMPRODUCT(('Q3 Data'!$D$4:$D$207=D194)*('Q3 Data'!$B$4:$B$207="Challan")*'Q3 Data'!$F$4:$F$207)+SUMPRODUCT(('Q4 Data'!$D$4:$D$207=D194)*('Q4 Data'!$B$4:$B$207="Challan")*'Q4 Data'!$F$4:$F$207))</f>
      </c>
      <c r="AR194" s="34">
        <f>IF(OR($B194&lt;&gt;"Entry",Z194=""),FALSE,AND((SUMPRODUCT(('Q1 Data'!$D$4:$D$207=D194)*('Q1 Data'!$B$4:$B$207="Challan")*('Q1 Data'!$H$4:$H$207&lt;&gt;""))+SUMPRODUCT(('Q2 Data'!$D$4:$D$207=D194)*('Q2 Data'!$B$4:$B$207="Challan")*('Q2 Data'!$H$4:$H$207&lt;&gt;""))+SUMPRODUCT(('Q3 Data'!$D$4:$D$207=D194)*('Q3 Data'!$B$4:$B$207="Challan")*('Q3 Data'!$H$4:$H$207&lt;&gt;""))+SUMPRODUCT(('Q4 Data'!$D$4:$D$207=D194)*('Q4 Data'!$B$4:$B$207="Challan")*('Q4 Data'!$H$4:$H$207&lt;&gt;"")))&gt;0,(SUMPRODUCT(('Q1 Data'!$D$4:$D$207=D194)*('Q1 Data'!$B$4:$B$207="Challan")*('Q1 Data'!$H$4:$H$207=Z194))+SUMPRODUCT(('Q2 Data'!$D$4:$D$207=D194)*('Q2 Data'!$B$4:$B$207="Challan")*('Q2 Data'!$H$4:$H$207=Z194))+SUMPRODUCT(('Q3 Data'!$D$4:$D$207=D194)*('Q3 Data'!$B$4:$B$207="Challan")*('Q3 Data'!$H$4:$H$207=Z194))+SUMPRODUCT(('Q4 Data'!$D$4:$D$207=D194)*('Q4 Data'!$B$4:$B$207="Challan")*('Q4 Data'!$H$4:$H$207=Z194)))=0))</f>
      </c>
    </row>
    <row r="195" spans="1:44" x14ac:dyDescent="0.25">
      <c r="A195" s="20">
        <f>IF($B195="Entry",COUNTIF($B$4:$B195,"Entry"),"")</f>
      </c>
      <c r="B195" s="21"/>
      <c r="C195" s="22"/>
      <c r="D195" s="22"/>
      <c r="E195" s="23">
        <f>IF($B195&lt;&gt;"Challan","",IF(ROUND(AN195-AO195,2)&gt;0,"Over-applied",IF(ROUND(AN195-AO195,2)=0,"Fully Utilised","Unconsumed")))</f>
      </c>
      <c r="F195" s="24"/>
      <c r="G195" s="25"/>
      <c r="H195" s="25"/>
      <c r="I195" s="26"/>
      <c r="J195" s="26"/>
      <c r="K195" s="26"/>
      <c r="L195" s="26"/>
      <c r="M195" s="26"/>
      <c r="N195" s="26"/>
      <c r="O195" s="26"/>
      <c r="P195" s="27">
        <f>IF($B195&lt;&gt;"Challan","",I195+J195+K195+L195+M195+N195)</f>
      </c>
      <c r="Q195" s="25"/>
      <c r="R195" s="25"/>
      <c r="S195" s="25"/>
      <c r="T195" s="25"/>
      <c r="U195" s="25"/>
      <c r="V195" s="28"/>
      <c r="W195" s="28"/>
      <c r="X195" s="23">
        <f>IF($B195="Entry",IF(AND(LEN(TRIM(UPPER(W195)))=10,CODE(MID(TRIM(UPPER(W195)),1,1))&gt;=65,CODE(MID(TRIM(UPPER(W195)),1,1))&lt;=90,CODE(MID(TRIM(UPPER(W195)),2,1))&gt;=65,CODE(MID(TRIM(UPPER(W195)),2,1))&lt;=90,CODE(MID(TRIM(UPPER(W195)),3,1))&gt;=65,CODE(MID(TRIM(UPPER(W195)),3,1))&lt;=90,CODE(MID(TRIM(UPPER(W195)),4,1))&gt;=65,CODE(MID(TRIM(UPPER(W195)),4,1))&lt;=90,CODE(MID(TRIM(UPPER(W195)),5,1))&gt;=65,CODE(MID(TRIM(UPPER(W195)),5,1))&lt;=90,CODE(MID(TRIM(UPPER(W195)),10,1))&gt;=65,CODE(MID(TRIM(UPPER(W195)),10,1))&lt;=90,CODE(MID(TRIM(UPPER(W195)),6,1))&gt;=48,CODE(MID(TRIM(UPPER(W195)),6,1))&lt;=57,CODE(MID(TRIM(UPPER(W195)),7,1))&gt;=48,CODE(MID(TRIM(UPPER(W195)),7,1))&lt;=57,CODE(MID(TRIM(UPPER(W195)),8,1))&gt;=48,CODE(MID(TRIM(UPPER(W195)),8,1))&lt;=57,CODE(MID(TRIM(UPPER(W195)),9,1))&gt;=48,CODE(MID(TRIM(UPPER(W195)),9,1))&lt;=57),"N","Y"),IF($B195="Challan","",IF(W195&lt;&gt;"","◄ Set Row Type","")))</f>
      </c>
      <c r="Y195" s="23">
        <f>IF($B195="Entry",IF(LEN(W195)&lt;4,"",IF(UPPER(MID(W195,4,1))="P","Individual",IF(UPPER(MID(W195,4,1))="H","HUF",IF(UPPER(MID(W195,4,1))="C","Company",IF(UPPER(MID(W195,4,1))="F","Firm",IF(UPPER(MID(W195,4,1))="L","LLP",IF(UPPER(MID(W195,4,1))="T","Trust",IF(UPPER(MID(W195,4,1))="A","AOP","")))))))),IF($B195="Challan","",IF(W195&lt;&gt;"","◄ Set Row Type","")))</f>
      </c>
      <c r="Z195" s="28"/>
      <c r="AA195" s="29">
        <f>IF($B195&lt;&gt;"Entry","",IF(Z195="","",IF(X195="Y",SUMPRODUCT(('Rate Lookup'!$A$1:$A$37=Z195)*'Rate Lookup'!$D$1:$D$37),IF(OR(Y195="Individual",Y195="HUF"),SUMPRODUCT(('Rate Lookup'!$A$1:$A$37=Z195)*'Rate Lookup'!$B$1:$B$37),SUMPRODUCT(('Rate Lookup'!$A$1:$A$37=Z195)*'Rate Lookup'!$C$1:$C$37)))))</f>
      </c>
      <c r="AB195" s="30"/>
      <c r="AC195" s="31"/>
      <c r="AD195" s="27">
        <f>IF($B195&lt;&gt;"Entry","",ROUND(AC195*AA195/100,0))</f>
      </c>
      <c r="AE195" s="27">
        <f>IF($B195&lt;&gt;"Entry","",0)</f>
      </c>
      <c r="AF195" s="27">
        <f>IF($B195&lt;&gt;"Entry","",0)</f>
      </c>
      <c r="AG195" s="27">
        <f>IF($B195&lt;&gt;"Entry","",IF(OR(AD195=0,AB195="",AQ195="",AQ195&lt;=0),0,IF(AQ195&lt;=DATE(YEAR(AB195),MONTH(AB195)+1,7),0,ROUND(AD195*0.015*((YEAR(AQ195)-YEAR(AB195))*12+(MONTH(AQ195)-MONTH(AB195))+1),0))))</f>
      </c>
      <c r="AH195" s="27">
        <f>IF($B195&lt;&gt;"Entry","",0)</f>
      </c>
      <c r="AI195" s="28"/>
      <c r="AJ195" s="28"/>
      <c r="AK195" s="32"/>
      <c r="AL195" s="28"/>
      <c r="AM195" s="28"/>
      <c r="AN195" s="27">
        <f>IF($B195&lt;&gt;"Challan","",SUMIF('Q1 Data'!$D$4:$D$207,D195,'Q1 Data'!$AD$4:$AD$207)+SUMIF('Q1 Data'!$D$4:$D$207,D195,'Q1 Data'!$AG$4:$AG$207)+SUMIF('Q1 Data'!$D$4:$D$207,D195,'Q1 Data'!$AE$4:$AE$207)+SUMIF('Q2 Data'!$D$4:$D$207,D195,'Q2 Data'!$AD$4:$AD$207)+SUMIF('Q2 Data'!$D$4:$D$207,D195,'Q2 Data'!$AG$4:$AG$207)+SUMIF('Q2 Data'!$D$4:$D$207,D195,'Q2 Data'!$AE$4:$AE$207)+SUMIF('Q3 Data'!$D$4:$D$207,D195,'Q3 Data'!$AD$4:$AD$207)+SUMIF('Q3 Data'!$D$4:$D$207,D195,'Q3 Data'!$AG$4:$AG$207)+SUMIF('Q3 Data'!$D$4:$D$207,D195,'Q3 Data'!$AE$4:$AE$207)+SUMIF('Q4 Data'!$D$4:$D$207,D195,'Q4 Data'!$AD$4:$AD$207)+SUMIF('Q4 Data'!$D$4:$D$207,D195,'Q4 Data'!$AG$4:$AG$207)+SUMIF('Q4 Data'!$D$4:$D$207,D195,'Q4 Data'!$AE$4:$AE$207))</f>
      </c>
      <c r="AO195" s="27">
        <f>IF($B195&lt;&gt;"Challan","",P195-N195)</f>
      </c>
      <c r="AP195" s="27">
        <f>IF($B195&lt;&gt;"Challan","",MAX(0,AO195-AN195))</f>
      </c>
      <c r="AQ195" s="33">
        <f>IF($B195&lt;&gt;"Entry","",SUMPRODUCT(('Q1 Data'!$D$4:$D$207=D195)*('Q1 Data'!$B$4:$B$207="Challan")*'Q1 Data'!$F$4:$F$207)+SUMPRODUCT(('Q2 Data'!$D$4:$D$207=D195)*('Q2 Data'!$B$4:$B$207="Challan")*'Q2 Data'!$F$4:$F$207)+SUMPRODUCT(('Q3 Data'!$D$4:$D$207=D195)*('Q3 Data'!$B$4:$B$207="Challan")*'Q3 Data'!$F$4:$F$207)+SUMPRODUCT(('Q4 Data'!$D$4:$D$207=D195)*('Q4 Data'!$B$4:$B$207="Challan")*'Q4 Data'!$F$4:$F$207))</f>
      </c>
      <c r="AR195" s="34">
        <f>IF(OR($B195&lt;&gt;"Entry",Z195=""),FALSE,AND((SUMPRODUCT(('Q1 Data'!$D$4:$D$207=D195)*('Q1 Data'!$B$4:$B$207="Challan")*('Q1 Data'!$H$4:$H$207&lt;&gt;""))+SUMPRODUCT(('Q2 Data'!$D$4:$D$207=D195)*('Q2 Data'!$B$4:$B$207="Challan")*('Q2 Data'!$H$4:$H$207&lt;&gt;""))+SUMPRODUCT(('Q3 Data'!$D$4:$D$207=D195)*('Q3 Data'!$B$4:$B$207="Challan")*('Q3 Data'!$H$4:$H$207&lt;&gt;""))+SUMPRODUCT(('Q4 Data'!$D$4:$D$207=D195)*('Q4 Data'!$B$4:$B$207="Challan")*('Q4 Data'!$H$4:$H$207&lt;&gt;"")))&gt;0,(SUMPRODUCT(('Q1 Data'!$D$4:$D$207=D195)*('Q1 Data'!$B$4:$B$207="Challan")*('Q1 Data'!$H$4:$H$207=Z195))+SUMPRODUCT(('Q2 Data'!$D$4:$D$207=D195)*('Q2 Data'!$B$4:$B$207="Challan")*('Q2 Data'!$H$4:$H$207=Z195))+SUMPRODUCT(('Q3 Data'!$D$4:$D$207=D195)*('Q3 Data'!$B$4:$B$207="Challan")*('Q3 Data'!$H$4:$H$207=Z195))+SUMPRODUCT(('Q4 Data'!$D$4:$D$207=D195)*('Q4 Data'!$B$4:$B$207="Challan")*('Q4 Data'!$H$4:$H$207=Z195)))=0))</f>
      </c>
    </row>
    <row r="196" spans="1:44" x14ac:dyDescent="0.25">
      <c r="A196" s="20">
        <f>IF($B196="Entry",COUNTIF($B$4:$B196,"Entry"),"")</f>
      </c>
      <c r="B196" s="21"/>
      <c r="C196" s="22"/>
      <c r="D196" s="22"/>
      <c r="E196" s="23">
        <f>IF($B196&lt;&gt;"Challan","",IF(ROUND(AN196-AO196,2)&gt;0,"Over-applied",IF(ROUND(AN196-AO196,2)=0,"Fully Utilised","Unconsumed")))</f>
      </c>
      <c r="F196" s="24"/>
      <c r="G196" s="25"/>
      <c r="H196" s="25"/>
      <c r="I196" s="26"/>
      <c r="J196" s="26"/>
      <c r="K196" s="26"/>
      <c r="L196" s="26"/>
      <c r="M196" s="26"/>
      <c r="N196" s="26"/>
      <c r="O196" s="26"/>
      <c r="P196" s="27">
        <f>IF($B196&lt;&gt;"Challan","",I196+J196+K196+L196+M196+N196)</f>
      </c>
      <c r="Q196" s="25"/>
      <c r="R196" s="25"/>
      <c r="S196" s="25"/>
      <c r="T196" s="25"/>
      <c r="U196" s="25"/>
      <c r="V196" s="28"/>
      <c r="W196" s="28"/>
      <c r="X196" s="23">
        <f>IF($B196="Entry",IF(AND(LEN(TRIM(UPPER(W196)))=10,CODE(MID(TRIM(UPPER(W196)),1,1))&gt;=65,CODE(MID(TRIM(UPPER(W196)),1,1))&lt;=90,CODE(MID(TRIM(UPPER(W196)),2,1))&gt;=65,CODE(MID(TRIM(UPPER(W196)),2,1))&lt;=90,CODE(MID(TRIM(UPPER(W196)),3,1))&gt;=65,CODE(MID(TRIM(UPPER(W196)),3,1))&lt;=90,CODE(MID(TRIM(UPPER(W196)),4,1))&gt;=65,CODE(MID(TRIM(UPPER(W196)),4,1))&lt;=90,CODE(MID(TRIM(UPPER(W196)),5,1))&gt;=65,CODE(MID(TRIM(UPPER(W196)),5,1))&lt;=90,CODE(MID(TRIM(UPPER(W196)),10,1))&gt;=65,CODE(MID(TRIM(UPPER(W196)),10,1))&lt;=90,CODE(MID(TRIM(UPPER(W196)),6,1))&gt;=48,CODE(MID(TRIM(UPPER(W196)),6,1))&lt;=57,CODE(MID(TRIM(UPPER(W196)),7,1))&gt;=48,CODE(MID(TRIM(UPPER(W196)),7,1))&lt;=57,CODE(MID(TRIM(UPPER(W196)),8,1))&gt;=48,CODE(MID(TRIM(UPPER(W196)),8,1))&lt;=57,CODE(MID(TRIM(UPPER(W196)),9,1))&gt;=48,CODE(MID(TRIM(UPPER(W196)),9,1))&lt;=57),"N","Y"),IF($B196="Challan","",IF(W196&lt;&gt;"","◄ Set Row Type","")))</f>
      </c>
      <c r="Y196" s="23">
        <f>IF($B196="Entry",IF(LEN(W196)&lt;4,"",IF(UPPER(MID(W196,4,1))="P","Individual",IF(UPPER(MID(W196,4,1))="H","HUF",IF(UPPER(MID(W196,4,1))="C","Company",IF(UPPER(MID(W196,4,1))="F","Firm",IF(UPPER(MID(W196,4,1))="L","LLP",IF(UPPER(MID(W196,4,1))="T","Trust",IF(UPPER(MID(W196,4,1))="A","AOP","")))))))),IF($B196="Challan","",IF(W196&lt;&gt;"","◄ Set Row Type","")))</f>
      </c>
      <c r="Z196" s="28"/>
      <c r="AA196" s="29">
        <f>IF($B196&lt;&gt;"Entry","",IF(Z196="","",IF(X196="Y",SUMPRODUCT(('Rate Lookup'!$A$1:$A$37=Z196)*'Rate Lookup'!$D$1:$D$37),IF(OR(Y196="Individual",Y196="HUF"),SUMPRODUCT(('Rate Lookup'!$A$1:$A$37=Z196)*'Rate Lookup'!$B$1:$B$37),SUMPRODUCT(('Rate Lookup'!$A$1:$A$37=Z196)*'Rate Lookup'!$C$1:$C$37)))))</f>
      </c>
      <c r="AB196" s="30"/>
      <c r="AC196" s="31"/>
      <c r="AD196" s="27">
        <f>IF($B196&lt;&gt;"Entry","",ROUND(AC196*AA196/100,0))</f>
      </c>
      <c r="AE196" s="27">
        <f>IF($B196&lt;&gt;"Entry","",0)</f>
      </c>
      <c r="AF196" s="27">
        <f>IF($B196&lt;&gt;"Entry","",0)</f>
      </c>
      <c r="AG196" s="27">
        <f>IF($B196&lt;&gt;"Entry","",IF(OR(AD196=0,AB196="",AQ196="",AQ196&lt;=0),0,IF(AQ196&lt;=DATE(YEAR(AB196),MONTH(AB196)+1,7),0,ROUND(AD196*0.015*((YEAR(AQ196)-YEAR(AB196))*12+(MONTH(AQ196)-MONTH(AB196))+1),0))))</f>
      </c>
      <c r="AH196" s="27">
        <f>IF($B196&lt;&gt;"Entry","",0)</f>
      </c>
      <c r="AI196" s="28"/>
      <c r="AJ196" s="28"/>
      <c r="AK196" s="32"/>
      <c r="AL196" s="28"/>
      <c r="AM196" s="28"/>
      <c r="AN196" s="27">
        <f>IF($B196&lt;&gt;"Challan","",SUMIF('Q1 Data'!$D$4:$D$207,D196,'Q1 Data'!$AD$4:$AD$207)+SUMIF('Q1 Data'!$D$4:$D$207,D196,'Q1 Data'!$AG$4:$AG$207)+SUMIF('Q1 Data'!$D$4:$D$207,D196,'Q1 Data'!$AE$4:$AE$207)+SUMIF('Q2 Data'!$D$4:$D$207,D196,'Q2 Data'!$AD$4:$AD$207)+SUMIF('Q2 Data'!$D$4:$D$207,D196,'Q2 Data'!$AG$4:$AG$207)+SUMIF('Q2 Data'!$D$4:$D$207,D196,'Q2 Data'!$AE$4:$AE$207)+SUMIF('Q3 Data'!$D$4:$D$207,D196,'Q3 Data'!$AD$4:$AD$207)+SUMIF('Q3 Data'!$D$4:$D$207,D196,'Q3 Data'!$AG$4:$AG$207)+SUMIF('Q3 Data'!$D$4:$D$207,D196,'Q3 Data'!$AE$4:$AE$207)+SUMIF('Q4 Data'!$D$4:$D$207,D196,'Q4 Data'!$AD$4:$AD$207)+SUMIF('Q4 Data'!$D$4:$D$207,D196,'Q4 Data'!$AG$4:$AG$207)+SUMIF('Q4 Data'!$D$4:$D$207,D196,'Q4 Data'!$AE$4:$AE$207))</f>
      </c>
      <c r="AO196" s="27">
        <f>IF($B196&lt;&gt;"Challan","",P196-N196)</f>
      </c>
      <c r="AP196" s="27">
        <f>IF($B196&lt;&gt;"Challan","",MAX(0,AO196-AN196))</f>
      </c>
      <c r="AQ196" s="33">
        <f>IF($B196&lt;&gt;"Entry","",SUMPRODUCT(('Q1 Data'!$D$4:$D$207=D196)*('Q1 Data'!$B$4:$B$207="Challan")*'Q1 Data'!$F$4:$F$207)+SUMPRODUCT(('Q2 Data'!$D$4:$D$207=D196)*('Q2 Data'!$B$4:$B$207="Challan")*'Q2 Data'!$F$4:$F$207)+SUMPRODUCT(('Q3 Data'!$D$4:$D$207=D196)*('Q3 Data'!$B$4:$B$207="Challan")*'Q3 Data'!$F$4:$F$207)+SUMPRODUCT(('Q4 Data'!$D$4:$D$207=D196)*('Q4 Data'!$B$4:$B$207="Challan")*'Q4 Data'!$F$4:$F$207))</f>
      </c>
      <c r="AR196" s="34">
        <f>IF(OR($B196&lt;&gt;"Entry",Z196=""),FALSE,AND((SUMPRODUCT(('Q1 Data'!$D$4:$D$207=D196)*('Q1 Data'!$B$4:$B$207="Challan")*('Q1 Data'!$H$4:$H$207&lt;&gt;""))+SUMPRODUCT(('Q2 Data'!$D$4:$D$207=D196)*('Q2 Data'!$B$4:$B$207="Challan")*('Q2 Data'!$H$4:$H$207&lt;&gt;""))+SUMPRODUCT(('Q3 Data'!$D$4:$D$207=D196)*('Q3 Data'!$B$4:$B$207="Challan")*('Q3 Data'!$H$4:$H$207&lt;&gt;""))+SUMPRODUCT(('Q4 Data'!$D$4:$D$207=D196)*('Q4 Data'!$B$4:$B$207="Challan")*('Q4 Data'!$H$4:$H$207&lt;&gt;"")))&gt;0,(SUMPRODUCT(('Q1 Data'!$D$4:$D$207=D196)*('Q1 Data'!$B$4:$B$207="Challan")*('Q1 Data'!$H$4:$H$207=Z196))+SUMPRODUCT(('Q2 Data'!$D$4:$D$207=D196)*('Q2 Data'!$B$4:$B$207="Challan")*('Q2 Data'!$H$4:$H$207=Z196))+SUMPRODUCT(('Q3 Data'!$D$4:$D$207=D196)*('Q3 Data'!$B$4:$B$207="Challan")*('Q3 Data'!$H$4:$H$207=Z196))+SUMPRODUCT(('Q4 Data'!$D$4:$D$207=D196)*('Q4 Data'!$B$4:$B$207="Challan")*('Q4 Data'!$H$4:$H$207=Z196)))=0))</f>
      </c>
    </row>
    <row r="197" spans="1:44" x14ac:dyDescent="0.25">
      <c r="A197" s="20">
        <f>IF($B197="Entry",COUNTIF($B$4:$B197,"Entry"),"")</f>
      </c>
      <c r="B197" s="21"/>
      <c r="C197" s="22"/>
      <c r="D197" s="22"/>
      <c r="E197" s="23">
        <f>IF($B197&lt;&gt;"Challan","",IF(ROUND(AN197-AO197,2)&gt;0,"Over-applied",IF(ROUND(AN197-AO197,2)=0,"Fully Utilised","Unconsumed")))</f>
      </c>
      <c r="F197" s="24"/>
      <c r="G197" s="25"/>
      <c r="H197" s="25"/>
      <c r="I197" s="26"/>
      <c r="J197" s="26"/>
      <c r="K197" s="26"/>
      <c r="L197" s="26"/>
      <c r="M197" s="26"/>
      <c r="N197" s="26"/>
      <c r="O197" s="26"/>
      <c r="P197" s="27">
        <f>IF($B197&lt;&gt;"Challan","",I197+J197+K197+L197+M197+N197)</f>
      </c>
      <c r="Q197" s="25"/>
      <c r="R197" s="25"/>
      <c r="S197" s="25"/>
      <c r="T197" s="25"/>
      <c r="U197" s="25"/>
      <c r="V197" s="28"/>
      <c r="W197" s="28"/>
      <c r="X197" s="23">
        <f>IF($B197="Entry",IF(AND(LEN(TRIM(UPPER(W197)))=10,CODE(MID(TRIM(UPPER(W197)),1,1))&gt;=65,CODE(MID(TRIM(UPPER(W197)),1,1))&lt;=90,CODE(MID(TRIM(UPPER(W197)),2,1))&gt;=65,CODE(MID(TRIM(UPPER(W197)),2,1))&lt;=90,CODE(MID(TRIM(UPPER(W197)),3,1))&gt;=65,CODE(MID(TRIM(UPPER(W197)),3,1))&lt;=90,CODE(MID(TRIM(UPPER(W197)),4,1))&gt;=65,CODE(MID(TRIM(UPPER(W197)),4,1))&lt;=90,CODE(MID(TRIM(UPPER(W197)),5,1))&gt;=65,CODE(MID(TRIM(UPPER(W197)),5,1))&lt;=90,CODE(MID(TRIM(UPPER(W197)),10,1))&gt;=65,CODE(MID(TRIM(UPPER(W197)),10,1))&lt;=90,CODE(MID(TRIM(UPPER(W197)),6,1))&gt;=48,CODE(MID(TRIM(UPPER(W197)),6,1))&lt;=57,CODE(MID(TRIM(UPPER(W197)),7,1))&gt;=48,CODE(MID(TRIM(UPPER(W197)),7,1))&lt;=57,CODE(MID(TRIM(UPPER(W197)),8,1))&gt;=48,CODE(MID(TRIM(UPPER(W197)),8,1))&lt;=57,CODE(MID(TRIM(UPPER(W197)),9,1))&gt;=48,CODE(MID(TRIM(UPPER(W197)),9,1))&lt;=57),"N","Y"),IF($B197="Challan","",IF(W197&lt;&gt;"","◄ Set Row Type","")))</f>
      </c>
      <c r="Y197" s="23">
        <f>IF($B197="Entry",IF(LEN(W197)&lt;4,"",IF(UPPER(MID(W197,4,1))="P","Individual",IF(UPPER(MID(W197,4,1))="H","HUF",IF(UPPER(MID(W197,4,1))="C","Company",IF(UPPER(MID(W197,4,1))="F","Firm",IF(UPPER(MID(W197,4,1))="L","LLP",IF(UPPER(MID(W197,4,1))="T","Trust",IF(UPPER(MID(W197,4,1))="A","AOP","")))))))),IF($B197="Challan","",IF(W197&lt;&gt;"","◄ Set Row Type","")))</f>
      </c>
      <c r="Z197" s="28"/>
      <c r="AA197" s="29">
        <f>IF($B197&lt;&gt;"Entry","",IF(Z197="","",IF(X197="Y",SUMPRODUCT(('Rate Lookup'!$A$1:$A$37=Z197)*'Rate Lookup'!$D$1:$D$37),IF(OR(Y197="Individual",Y197="HUF"),SUMPRODUCT(('Rate Lookup'!$A$1:$A$37=Z197)*'Rate Lookup'!$B$1:$B$37),SUMPRODUCT(('Rate Lookup'!$A$1:$A$37=Z197)*'Rate Lookup'!$C$1:$C$37)))))</f>
      </c>
      <c r="AB197" s="30"/>
      <c r="AC197" s="31"/>
      <c r="AD197" s="27">
        <f>IF($B197&lt;&gt;"Entry","",ROUND(AC197*AA197/100,0))</f>
      </c>
      <c r="AE197" s="27">
        <f>IF($B197&lt;&gt;"Entry","",0)</f>
      </c>
      <c r="AF197" s="27">
        <f>IF($B197&lt;&gt;"Entry","",0)</f>
      </c>
      <c r="AG197" s="27">
        <f>IF($B197&lt;&gt;"Entry","",IF(OR(AD197=0,AB197="",AQ197="",AQ197&lt;=0),0,IF(AQ197&lt;=DATE(YEAR(AB197),MONTH(AB197)+1,7),0,ROUND(AD197*0.015*((YEAR(AQ197)-YEAR(AB197))*12+(MONTH(AQ197)-MONTH(AB197))+1),0))))</f>
      </c>
      <c r="AH197" s="27">
        <f>IF($B197&lt;&gt;"Entry","",0)</f>
      </c>
      <c r="AI197" s="28"/>
      <c r="AJ197" s="28"/>
      <c r="AK197" s="32"/>
      <c r="AL197" s="28"/>
      <c r="AM197" s="28"/>
      <c r="AN197" s="27">
        <f>IF($B197&lt;&gt;"Challan","",SUMIF('Q1 Data'!$D$4:$D$207,D197,'Q1 Data'!$AD$4:$AD$207)+SUMIF('Q1 Data'!$D$4:$D$207,D197,'Q1 Data'!$AG$4:$AG$207)+SUMIF('Q1 Data'!$D$4:$D$207,D197,'Q1 Data'!$AE$4:$AE$207)+SUMIF('Q2 Data'!$D$4:$D$207,D197,'Q2 Data'!$AD$4:$AD$207)+SUMIF('Q2 Data'!$D$4:$D$207,D197,'Q2 Data'!$AG$4:$AG$207)+SUMIF('Q2 Data'!$D$4:$D$207,D197,'Q2 Data'!$AE$4:$AE$207)+SUMIF('Q3 Data'!$D$4:$D$207,D197,'Q3 Data'!$AD$4:$AD$207)+SUMIF('Q3 Data'!$D$4:$D$207,D197,'Q3 Data'!$AG$4:$AG$207)+SUMIF('Q3 Data'!$D$4:$D$207,D197,'Q3 Data'!$AE$4:$AE$207)+SUMIF('Q4 Data'!$D$4:$D$207,D197,'Q4 Data'!$AD$4:$AD$207)+SUMIF('Q4 Data'!$D$4:$D$207,D197,'Q4 Data'!$AG$4:$AG$207)+SUMIF('Q4 Data'!$D$4:$D$207,D197,'Q4 Data'!$AE$4:$AE$207))</f>
      </c>
      <c r="AO197" s="27">
        <f>IF($B197&lt;&gt;"Challan","",P197-N197)</f>
      </c>
      <c r="AP197" s="27">
        <f>IF($B197&lt;&gt;"Challan","",MAX(0,AO197-AN197))</f>
      </c>
      <c r="AQ197" s="33">
        <f>IF($B197&lt;&gt;"Entry","",SUMPRODUCT(('Q1 Data'!$D$4:$D$207=D197)*('Q1 Data'!$B$4:$B$207="Challan")*'Q1 Data'!$F$4:$F$207)+SUMPRODUCT(('Q2 Data'!$D$4:$D$207=D197)*('Q2 Data'!$B$4:$B$207="Challan")*'Q2 Data'!$F$4:$F$207)+SUMPRODUCT(('Q3 Data'!$D$4:$D$207=D197)*('Q3 Data'!$B$4:$B$207="Challan")*'Q3 Data'!$F$4:$F$207)+SUMPRODUCT(('Q4 Data'!$D$4:$D$207=D197)*('Q4 Data'!$B$4:$B$207="Challan")*'Q4 Data'!$F$4:$F$207))</f>
      </c>
      <c r="AR197" s="34">
        <f>IF(OR($B197&lt;&gt;"Entry",Z197=""),FALSE,AND((SUMPRODUCT(('Q1 Data'!$D$4:$D$207=D197)*('Q1 Data'!$B$4:$B$207="Challan")*('Q1 Data'!$H$4:$H$207&lt;&gt;""))+SUMPRODUCT(('Q2 Data'!$D$4:$D$207=D197)*('Q2 Data'!$B$4:$B$207="Challan")*('Q2 Data'!$H$4:$H$207&lt;&gt;""))+SUMPRODUCT(('Q3 Data'!$D$4:$D$207=D197)*('Q3 Data'!$B$4:$B$207="Challan")*('Q3 Data'!$H$4:$H$207&lt;&gt;""))+SUMPRODUCT(('Q4 Data'!$D$4:$D$207=D197)*('Q4 Data'!$B$4:$B$207="Challan")*('Q4 Data'!$H$4:$H$207&lt;&gt;"")))&gt;0,(SUMPRODUCT(('Q1 Data'!$D$4:$D$207=D197)*('Q1 Data'!$B$4:$B$207="Challan")*('Q1 Data'!$H$4:$H$207=Z197))+SUMPRODUCT(('Q2 Data'!$D$4:$D$207=D197)*('Q2 Data'!$B$4:$B$207="Challan")*('Q2 Data'!$H$4:$H$207=Z197))+SUMPRODUCT(('Q3 Data'!$D$4:$D$207=D197)*('Q3 Data'!$B$4:$B$207="Challan")*('Q3 Data'!$H$4:$H$207=Z197))+SUMPRODUCT(('Q4 Data'!$D$4:$D$207=D197)*('Q4 Data'!$B$4:$B$207="Challan")*('Q4 Data'!$H$4:$H$207=Z197)))=0))</f>
      </c>
    </row>
    <row r="198" spans="1:44" x14ac:dyDescent="0.25">
      <c r="A198" s="20">
        <f>IF($B198="Entry",COUNTIF($B$4:$B198,"Entry"),"")</f>
      </c>
      <c r="B198" s="21"/>
      <c r="C198" s="22"/>
      <c r="D198" s="22"/>
      <c r="E198" s="23">
        <f>IF($B198&lt;&gt;"Challan","",IF(ROUND(AN198-AO198,2)&gt;0,"Over-applied",IF(ROUND(AN198-AO198,2)=0,"Fully Utilised","Unconsumed")))</f>
      </c>
      <c r="F198" s="24"/>
      <c r="G198" s="25"/>
      <c r="H198" s="25"/>
      <c r="I198" s="26"/>
      <c r="J198" s="26"/>
      <c r="K198" s="26"/>
      <c r="L198" s="26"/>
      <c r="M198" s="26"/>
      <c r="N198" s="26"/>
      <c r="O198" s="26"/>
      <c r="P198" s="27">
        <f>IF($B198&lt;&gt;"Challan","",I198+J198+K198+L198+M198+N198)</f>
      </c>
      <c r="Q198" s="25"/>
      <c r="R198" s="25"/>
      <c r="S198" s="25"/>
      <c r="T198" s="25"/>
      <c r="U198" s="25"/>
      <c r="V198" s="28"/>
      <c r="W198" s="28"/>
      <c r="X198" s="23">
        <f>IF($B198="Entry",IF(AND(LEN(TRIM(UPPER(W198)))=10,CODE(MID(TRIM(UPPER(W198)),1,1))&gt;=65,CODE(MID(TRIM(UPPER(W198)),1,1))&lt;=90,CODE(MID(TRIM(UPPER(W198)),2,1))&gt;=65,CODE(MID(TRIM(UPPER(W198)),2,1))&lt;=90,CODE(MID(TRIM(UPPER(W198)),3,1))&gt;=65,CODE(MID(TRIM(UPPER(W198)),3,1))&lt;=90,CODE(MID(TRIM(UPPER(W198)),4,1))&gt;=65,CODE(MID(TRIM(UPPER(W198)),4,1))&lt;=90,CODE(MID(TRIM(UPPER(W198)),5,1))&gt;=65,CODE(MID(TRIM(UPPER(W198)),5,1))&lt;=90,CODE(MID(TRIM(UPPER(W198)),10,1))&gt;=65,CODE(MID(TRIM(UPPER(W198)),10,1))&lt;=90,CODE(MID(TRIM(UPPER(W198)),6,1))&gt;=48,CODE(MID(TRIM(UPPER(W198)),6,1))&lt;=57,CODE(MID(TRIM(UPPER(W198)),7,1))&gt;=48,CODE(MID(TRIM(UPPER(W198)),7,1))&lt;=57,CODE(MID(TRIM(UPPER(W198)),8,1))&gt;=48,CODE(MID(TRIM(UPPER(W198)),8,1))&lt;=57,CODE(MID(TRIM(UPPER(W198)),9,1))&gt;=48,CODE(MID(TRIM(UPPER(W198)),9,1))&lt;=57),"N","Y"),IF($B198="Challan","",IF(W198&lt;&gt;"","◄ Set Row Type","")))</f>
      </c>
      <c r="Y198" s="23">
        <f>IF($B198="Entry",IF(LEN(W198)&lt;4,"",IF(UPPER(MID(W198,4,1))="P","Individual",IF(UPPER(MID(W198,4,1))="H","HUF",IF(UPPER(MID(W198,4,1))="C","Company",IF(UPPER(MID(W198,4,1))="F","Firm",IF(UPPER(MID(W198,4,1))="L","LLP",IF(UPPER(MID(W198,4,1))="T","Trust",IF(UPPER(MID(W198,4,1))="A","AOP","")))))))),IF($B198="Challan","",IF(W198&lt;&gt;"","◄ Set Row Type","")))</f>
      </c>
      <c r="Z198" s="28"/>
      <c r="AA198" s="29">
        <f>IF($B198&lt;&gt;"Entry","",IF(Z198="","",IF(X198="Y",SUMPRODUCT(('Rate Lookup'!$A$1:$A$37=Z198)*'Rate Lookup'!$D$1:$D$37),IF(OR(Y198="Individual",Y198="HUF"),SUMPRODUCT(('Rate Lookup'!$A$1:$A$37=Z198)*'Rate Lookup'!$B$1:$B$37),SUMPRODUCT(('Rate Lookup'!$A$1:$A$37=Z198)*'Rate Lookup'!$C$1:$C$37)))))</f>
      </c>
      <c r="AB198" s="30"/>
      <c r="AC198" s="31"/>
      <c r="AD198" s="27">
        <f>IF($B198&lt;&gt;"Entry","",ROUND(AC198*AA198/100,0))</f>
      </c>
      <c r="AE198" s="27">
        <f>IF($B198&lt;&gt;"Entry","",0)</f>
      </c>
      <c r="AF198" s="27">
        <f>IF($B198&lt;&gt;"Entry","",0)</f>
      </c>
      <c r="AG198" s="27">
        <f>IF($B198&lt;&gt;"Entry","",IF(OR(AD198=0,AB198="",AQ198="",AQ198&lt;=0),0,IF(AQ198&lt;=DATE(YEAR(AB198),MONTH(AB198)+1,7),0,ROUND(AD198*0.015*((YEAR(AQ198)-YEAR(AB198))*12+(MONTH(AQ198)-MONTH(AB198))+1),0))))</f>
      </c>
      <c r="AH198" s="27">
        <f>IF($B198&lt;&gt;"Entry","",0)</f>
      </c>
      <c r="AI198" s="28"/>
      <c r="AJ198" s="28"/>
      <c r="AK198" s="32"/>
      <c r="AL198" s="28"/>
      <c r="AM198" s="28"/>
      <c r="AN198" s="27">
        <f>IF($B198&lt;&gt;"Challan","",SUMIF('Q1 Data'!$D$4:$D$207,D198,'Q1 Data'!$AD$4:$AD$207)+SUMIF('Q1 Data'!$D$4:$D$207,D198,'Q1 Data'!$AG$4:$AG$207)+SUMIF('Q1 Data'!$D$4:$D$207,D198,'Q1 Data'!$AE$4:$AE$207)+SUMIF('Q2 Data'!$D$4:$D$207,D198,'Q2 Data'!$AD$4:$AD$207)+SUMIF('Q2 Data'!$D$4:$D$207,D198,'Q2 Data'!$AG$4:$AG$207)+SUMIF('Q2 Data'!$D$4:$D$207,D198,'Q2 Data'!$AE$4:$AE$207)+SUMIF('Q3 Data'!$D$4:$D$207,D198,'Q3 Data'!$AD$4:$AD$207)+SUMIF('Q3 Data'!$D$4:$D$207,D198,'Q3 Data'!$AG$4:$AG$207)+SUMIF('Q3 Data'!$D$4:$D$207,D198,'Q3 Data'!$AE$4:$AE$207)+SUMIF('Q4 Data'!$D$4:$D$207,D198,'Q4 Data'!$AD$4:$AD$207)+SUMIF('Q4 Data'!$D$4:$D$207,D198,'Q4 Data'!$AG$4:$AG$207)+SUMIF('Q4 Data'!$D$4:$D$207,D198,'Q4 Data'!$AE$4:$AE$207))</f>
      </c>
      <c r="AO198" s="27">
        <f>IF($B198&lt;&gt;"Challan","",P198-N198)</f>
      </c>
      <c r="AP198" s="27">
        <f>IF($B198&lt;&gt;"Challan","",MAX(0,AO198-AN198))</f>
      </c>
      <c r="AQ198" s="33">
        <f>IF($B198&lt;&gt;"Entry","",SUMPRODUCT(('Q1 Data'!$D$4:$D$207=D198)*('Q1 Data'!$B$4:$B$207="Challan")*'Q1 Data'!$F$4:$F$207)+SUMPRODUCT(('Q2 Data'!$D$4:$D$207=D198)*('Q2 Data'!$B$4:$B$207="Challan")*'Q2 Data'!$F$4:$F$207)+SUMPRODUCT(('Q3 Data'!$D$4:$D$207=D198)*('Q3 Data'!$B$4:$B$207="Challan")*'Q3 Data'!$F$4:$F$207)+SUMPRODUCT(('Q4 Data'!$D$4:$D$207=D198)*('Q4 Data'!$B$4:$B$207="Challan")*'Q4 Data'!$F$4:$F$207))</f>
      </c>
      <c r="AR198" s="34">
        <f>IF(OR($B198&lt;&gt;"Entry",Z198=""),FALSE,AND((SUMPRODUCT(('Q1 Data'!$D$4:$D$207=D198)*('Q1 Data'!$B$4:$B$207="Challan")*('Q1 Data'!$H$4:$H$207&lt;&gt;""))+SUMPRODUCT(('Q2 Data'!$D$4:$D$207=D198)*('Q2 Data'!$B$4:$B$207="Challan")*('Q2 Data'!$H$4:$H$207&lt;&gt;""))+SUMPRODUCT(('Q3 Data'!$D$4:$D$207=D198)*('Q3 Data'!$B$4:$B$207="Challan")*('Q3 Data'!$H$4:$H$207&lt;&gt;""))+SUMPRODUCT(('Q4 Data'!$D$4:$D$207=D198)*('Q4 Data'!$B$4:$B$207="Challan")*('Q4 Data'!$H$4:$H$207&lt;&gt;"")))&gt;0,(SUMPRODUCT(('Q1 Data'!$D$4:$D$207=D198)*('Q1 Data'!$B$4:$B$207="Challan")*('Q1 Data'!$H$4:$H$207=Z198))+SUMPRODUCT(('Q2 Data'!$D$4:$D$207=D198)*('Q2 Data'!$B$4:$B$207="Challan")*('Q2 Data'!$H$4:$H$207=Z198))+SUMPRODUCT(('Q3 Data'!$D$4:$D$207=D198)*('Q3 Data'!$B$4:$B$207="Challan")*('Q3 Data'!$H$4:$H$207=Z198))+SUMPRODUCT(('Q4 Data'!$D$4:$D$207=D198)*('Q4 Data'!$B$4:$B$207="Challan")*('Q4 Data'!$H$4:$H$207=Z198)))=0))</f>
      </c>
    </row>
    <row r="199" spans="1:44" x14ac:dyDescent="0.25">
      <c r="A199" s="20">
        <f>IF($B199="Entry",COUNTIF($B$4:$B199,"Entry"),"")</f>
      </c>
      <c r="B199" s="21"/>
      <c r="C199" s="22"/>
      <c r="D199" s="22"/>
      <c r="E199" s="23">
        <f>IF($B199&lt;&gt;"Challan","",IF(ROUND(AN199-AO199,2)&gt;0,"Over-applied",IF(ROUND(AN199-AO199,2)=0,"Fully Utilised","Unconsumed")))</f>
      </c>
      <c r="F199" s="24"/>
      <c r="G199" s="25"/>
      <c r="H199" s="25"/>
      <c r="I199" s="26"/>
      <c r="J199" s="26"/>
      <c r="K199" s="26"/>
      <c r="L199" s="26"/>
      <c r="M199" s="26"/>
      <c r="N199" s="26"/>
      <c r="O199" s="26"/>
      <c r="P199" s="27">
        <f>IF($B199&lt;&gt;"Challan","",I199+J199+K199+L199+M199+N199)</f>
      </c>
      <c r="Q199" s="25"/>
      <c r="R199" s="25"/>
      <c r="S199" s="25"/>
      <c r="T199" s="25"/>
      <c r="U199" s="25"/>
      <c r="V199" s="28"/>
      <c r="W199" s="28"/>
      <c r="X199" s="23">
        <f>IF($B199="Entry",IF(AND(LEN(TRIM(UPPER(W199)))=10,CODE(MID(TRIM(UPPER(W199)),1,1))&gt;=65,CODE(MID(TRIM(UPPER(W199)),1,1))&lt;=90,CODE(MID(TRIM(UPPER(W199)),2,1))&gt;=65,CODE(MID(TRIM(UPPER(W199)),2,1))&lt;=90,CODE(MID(TRIM(UPPER(W199)),3,1))&gt;=65,CODE(MID(TRIM(UPPER(W199)),3,1))&lt;=90,CODE(MID(TRIM(UPPER(W199)),4,1))&gt;=65,CODE(MID(TRIM(UPPER(W199)),4,1))&lt;=90,CODE(MID(TRIM(UPPER(W199)),5,1))&gt;=65,CODE(MID(TRIM(UPPER(W199)),5,1))&lt;=90,CODE(MID(TRIM(UPPER(W199)),10,1))&gt;=65,CODE(MID(TRIM(UPPER(W199)),10,1))&lt;=90,CODE(MID(TRIM(UPPER(W199)),6,1))&gt;=48,CODE(MID(TRIM(UPPER(W199)),6,1))&lt;=57,CODE(MID(TRIM(UPPER(W199)),7,1))&gt;=48,CODE(MID(TRIM(UPPER(W199)),7,1))&lt;=57,CODE(MID(TRIM(UPPER(W199)),8,1))&gt;=48,CODE(MID(TRIM(UPPER(W199)),8,1))&lt;=57,CODE(MID(TRIM(UPPER(W199)),9,1))&gt;=48,CODE(MID(TRIM(UPPER(W199)),9,1))&lt;=57),"N","Y"),IF($B199="Challan","",IF(W199&lt;&gt;"","◄ Set Row Type","")))</f>
      </c>
      <c r="Y199" s="23">
        <f>IF($B199="Entry",IF(LEN(W199)&lt;4,"",IF(UPPER(MID(W199,4,1))="P","Individual",IF(UPPER(MID(W199,4,1))="H","HUF",IF(UPPER(MID(W199,4,1))="C","Company",IF(UPPER(MID(W199,4,1))="F","Firm",IF(UPPER(MID(W199,4,1))="L","LLP",IF(UPPER(MID(W199,4,1))="T","Trust",IF(UPPER(MID(W199,4,1))="A","AOP","")))))))),IF($B199="Challan","",IF(W199&lt;&gt;"","◄ Set Row Type","")))</f>
      </c>
      <c r="Z199" s="28"/>
      <c r="AA199" s="29">
        <f>IF($B199&lt;&gt;"Entry","",IF(Z199="","",IF(X199="Y",SUMPRODUCT(('Rate Lookup'!$A$1:$A$37=Z199)*'Rate Lookup'!$D$1:$D$37),IF(OR(Y199="Individual",Y199="HUF"),SUMPRODUCT(('Rate Lookup'!$A$1:$A$37=Z199)*'Rate Lookup'!$B$1:$B$37),SUMPRODUCT(('Rate Lookup'!$A$1:$A$37=Z199)*'Rate Lookup'!$C$1:$C$37)))))</f>
      </c>
      <c r="AB199" s="30"/>
      <c r="AC199" s="31"/>
      <c r="AD199" s="27">
        <f>IF($B199&lt;&gt;"Entry","",ROUND(AC199*AA199/100,0))</f>
      </c>
      <c r="AE199" s="27">
        <f>IF($B199&lt;&gt;"Entry","",0)</f>
      </c>
      <c r="AF199" s="27">
        <f>IF($B199&lt;&gt;"Entry","",0)</f>
      </c>
      <c r="AG199" s="27">
        <f>IF($B199&lt;&gt;"Entry","",IF(OR(AD199=0,AB199="",AQ199="",AQ199&lt;=0),0,IF(AQ199&lt;=DATE(YEAR(AB199),MONTH(AB199)+1,7),0,ROUND(AD199*0.015*((YEAR(AQ199)-YEAR(AB199))*12+(MONTH(AQ199)-MONTH(AB199))+1),0))))</f>
      </c>
      <c r="AH199" s="27">
        <f>IF($B199&lt;&gt;"Entry","",0)</f>
      </c>
      <c r="AI199" s="28"/>
      <c r="AJ199" s="28"/>
      <c r="AK199" s="32"/>
      <c r="AL199" s="28"/>
      <c r="AM199" s="28"/>
      <c r="AN199" s="27">
        <f>IF($B199&lt;&gt;"Challan","",SUMIF('Q1 Data'!$D$4:$D$207,D199,'Q1 Data'!$AD$4:$AD$207)+SUMIF('Q1 Data'!$D$4:$D$207,D199,'Q1 Data'!$AG$4:$AG$207)+SUMIF('Q1 Data'!$D$4:$D$207,D199,'Q1 Data'!$AE$4:$AE$207)+SUMIF('Q2 Data'!$D$4:$D$207,D199,'Q2 Data'!$AD$4:$AD$207)+SUMIF('Q2 Data'!$D$4:$D$207,D199,'Q2 Data'!$AG$4:$AG$207)+SUMIF('Q2 Data'!$D$4:$D$207,D199,'Q2 Data'!$AE$4:$AE$207)+SUMIF('Q3 Data'!$D$4:$D$207,D199,'Q3 Data'!$AD$4:$AD$207)+SUMIF('Q3 Data'!$D$4:$D$207,D199,'Q3 Data'!$AG$4:$AG$207)+SUMIF('Q3 Data'!$D$4:$D$207,D199,'Q3 Data'!$AE$4:$AE$207)+SUMIF('Q4 Data'!$D$4:$D$207,D199,'Q4 Data'!$AD$4:$AD$207)+SUMIF('Q4 Data'!$D$4:$D$207,D199,'Q4 Data'!$AG$4:$AG$207)+SUMIF('Q4 Data'!$D$4:$D$207,D199,'Q4 Data'!$AE$4:$AE$207))</f>
      </c>
      <c r="AO199" s="27">
        <f>IF($B199&lt;&gt;"Challan","",P199-N199)</f>
      </c>
      <c r="AP199" s="27">
        <f>IF($B199&lt;&gt;"Challan","",MAX(0,AO199-AN199))</f>
      </c>
      <c r="AQ199" s="33">
        <f>IF($B199&lt;&gt;"Entry","",SUMPRODUCT(('Q1 Data'!$D$4:$D$207=D199)*('Q1 Data'!$B$4:$B$207="Challan")*'Q1 Data'!$F$4:$F$207)+SUMPRODUCT(('Q2 Data'!$D$4:$D$207=D199)*('Q2 Data'!$B$4:$B$207="Challan")*'Q2 Data'!$F$4:$F$207)+SUMPRODUCT(('Q3 Data'!$D$4:$D$207=D199)*('Q3 Data'!$B$4:$B$207="Challan")*'Q3 Data'!$F$4:$F$207)+SUMPRODUCT(('Q4 Data'!$D$4:$D$207=D199)*('Q4 Data'!$B$4:$B$207="Challan")*'Q4 Data'!$F$4:$F$207))</f>
      </c>
      <c r="AR199" s="34">
        <f>IF(OR($B199&lt;&gt;"Entry",Z199=""),FALSE,AND((SUMPRODUCT(('Q1 Data'!$D$4:$D$207=D199)*('Q1 Data'!$B$4:$B$207="Challan")*('Q1 Data'!$H$4:$H$207&lt;&gt;""))+SUMPRODUCT(('Q2 Data'!$D$4:$D$207=D199)*('Q2 Data'!$B$4:$B$207="Challan")*('Q2 Data'!$H$4:$H$207&lt;&gt;""))+SUMPRODUCT(('Q3 Data'!$D$4:$D$207=D199)*('Q3 Data'!$B$4:$B$207="Challan")*('Q3 Data'!$H$4:$H$207&lt;&gt;""))+SUMPRODUCT(('Q4 Data'!$D$4:$D$207=D199)*('Q4 Data'!$B$4:$B$207="Challan")*('Q4 Data'!$H$4:$H$207&lt;&gt;"")))&gt;0,(SUMPRODUCT(('Q1 Data'!$D$4:$D$207=D199)*('Q1 Data'!$B$4:$B$207="Challan")*('Q1 Data'!$H$4:$H$207=Z199))+SUMPRODUCT(('Q2 Data'!$D$4:$D$207=D199)*('Q2 Data'!$B$4:$B$207="Challan")*('Q2 Data'!$H$4:$H$207=Z199))+SUMPRODUCT(('Q3 Data'!$D$4:$D$207=D199)*('Q3 Data'!$B$4:$B$207="Challan")*('Q3 Data'!$H$4:$H$207=Z199))+SUMPRODUCT(('Q4 Data'!$D$4:$D$207=D199)*('Q4 Data'!$B$4:$B$207="Challan")*('Q4 Data'!$H$4:$H$207=Z199)))=0))</f>
      </c>
    </row>
    <row r="200" spans="1:44" x14ac:dyDescent="0.25">
      <c r="A200" s="20">
        <f>IF($B200="Entry",COUNTIF($B$4:$B200,"Entry"),"")</f>
      </c>
      <c r="B200" s="21"/>
      <c r="C200" s="22"/>
      <c r="D200" s="22"/>
      <c r="E200" s="23">
        <f>IF($B200&lt;&gt;"Challan","",IF(ROUND(AN200-AO200,2)&gt;0,"Over-applied",IF(ROUND(AN200-AO200,2)=0,"Fully Utilised","Unconsumed")))</f>
      </c>
      <c r="F200" s="24"/>
      <c r="G200" s="25"/>
      <c r="H200" s="25"/>
      <c r="I200" s="26"/>
      <c r="J200" s="26"/>
      <c r="K200" s="26"/>
      <c r="L200" s="26"/>
      <c r="M200" s="26"/>
      <c r="N200" s="26"/>
      <c r="O200" s="26"/>
      <c r="P200" s="27">
        <f>IF($B200&lt;&gt;"Challan","",I200+J200+K200+L200+M200+N200)</f>
      </c>
      <c r="Q200" s="25"/>
      <c r="R200" s="25"/>
      <c r="S200" s="25"/>
      <c r="T200" s="25"/>
      <c r="U200" s="25"/>
      <c r="V200" s="28"/>
      <c r="W200" s="28"/>
      <c r="X200" s="23">
        <f>IF($B200="Entry",IF(AND(LEN(TRIM(UPPER(W200)))=10,CODE(MID(TRIM(UPPER(W200)),1,1))&gt;=65,CODE(MID(TRIM(UPPER(W200)),1,1))&lt;=90,CODE(MID(TRIM(UPPER(W200)),2,1))&gt;=65,CODE(MID(TRIM(UPPER(W200)),2,1))&lt;=90,CODE(MID(TRIM(UPPER(W200)),3,1))&gt;=65,CODE(MID(TRIM(UPPER(W200)),3,1))&lt;=90,CODE(MID(TRIM(UPPER(W200)),4,1))&gt;=65,CODE(MID(TRIM(UPPER(W200)),4,1))&lt;=90,CODE(MID(TRIM(UPPER(W200)),5,1))&gt;=65,CODE(MID(TRIM(UPPER(W200)),5,1))&lt;=90,CODE(MID(TRIM(UPPER(W200)),10,1))&gt;=65,CODE(MID(TRIM(UPPER(W200)),10,1))&lt;=90,CODE(MID(TRIM(UPPER(W200)),6,1))&gt;=48,CODE(MID(TRIM(UPPER(W200)),6,1))&lt;=57,CODE(MID(TRIM(UPPER(W200)),7,1))&gt;=48,CODE(MID(TRIM(UPPER(W200)),7,1))&lt;=57,CODE(MID(TRIM(UPPER(W200)),8,1))&gt;=48,CODE(MID(TRIM(UPPER(W200)),8,1))&lt;=57,CODE(MID(TRIM(UPPER(W200)),9,1))&gt;=48,CODE(MID(TRIM(UPPER(W200)),9,1))&lt;=57),"N","Y"),IF($B200="Challan","",IF(W200&lt;&gt;"","◄ Set Row Type","")))</f>
      </c>
      <c r="Y200" s="23">
        <f>IF($B200="Entry",IF(LEN(W200)&lt;4,"",IF(UPPER(MID(W200,4,1))="P","Individual",IF(UPPER(MID(W200,4,1))="H","HUF",IF(UPPER(MID(W200,4,1))="C","Company",IF(UPPER(MID(W200,4,1))="F","Firm",IF(UPPER(MID(W200,4,1))="L","LLP",IF(UPPER(MID(W200,4,1))="T","Trust",IF(UPPER(MID(W200,4,1))="A","AOP","")))))))),IF($B200="Challan","",IF(W200&lt;&gt;"","◄ Set Row Type","")))</f>
      </c>
      <c r="Z200" s="28"/>
      <c r="AA200" s="29">
        <f>IF($B200&lt;&gt;"Entry","",IF(Z200="","",IF(X200="Y",SUMPRODUCT(('Rate Lookup'!$A$1:$A$37=Z200)*'Rate Lookup'!$D$1:$D$37),IF(OR(Y200="Individual",Y200="HUF"),SUMPRODUCT(('Rate Lookup'!$A$1:$A$37=Z200)*'Rate Lookup'!$B$1:$B$37),SUMPRODUCT(('Rate Lookup'!$A$1:$A$37=Z200)*'Rate Lookup'!$C$1:$C$37)))))</f>
      </c>
      <c r="AB200" s="30"/>
      <c r="AC200" s="31"/>
      <c r="AD200" s="27">
        <f>IF($B200&lt;&gt;"Entry","",ROUND(AC200*AA200/100,0))</f>
      </c>
      <c r="AE200" s="27">
        <f>IF($B200&lt;&gt;"Entry","",0)</f>
      </c>
      <c r="AF200" s="27">
        <f>IF($B200&lt;&gt;"Entry","",0)</f>
      </c>
      <c r="AG200" s="27">
        <f>IF($B200&lt;&gt;"Entry","",IF(OR(AD200=0,AB200="",AQ200="",AQ200&lt;=0),0,IF(AQ200&lt;=DATE(YEAR(AB200),MONTH(AB200)+1,7),0,ROUND(AD200*0.015*((YEAR(AQ200)-YEAR(AB200))*12+(MONTH(AQ200)-MONTH(AB200))+1),0))))</f>
      </c>
      <c r="AH200" s="27">
        <f>IF($B200&lt;&gt;"Entry","",0)</f>
      </c>
      <c r="AI200" s="28"/>
      <c r="AJ200" s="28"/>
      <c r="AK200" s="32"/>
      <c r="AL200" s="28"/>
      <c r="AM200" s="28"/>
      <c r="AN200" s="27">
        <f>IF($B200&lt;&gt;"Challan","",SUMIF('Q1 Data'!$D$4:$D$207,D200,'Q1 Data'!$AD$4:$AD$207)+SUMIF('Q1 Data'!$D$4:$D$207,D200,'Q1 Data'!$AG$4:$AG$207)+SUMIF('Q1 Data'!$D$4:$D$207,D200,'Q1 Data'!$AE$4:$AE$207)+SUMIF('Q2 Data'!$D$4:$D$207,D200,'Q2 Data'!$AD$4:$AD$207)+SUMIF('Q2 Data'!$D$4:$D$207,D200,'Q2 Data'!$AG$4:$AG$207)+SUMIF('Q2 Data'!$D$4:$D$207,D200,'Q2 Data'!$AE$4:$AE$207)+SUMIF('Q3 Data'!$D$4:$D$207,D200,'Q3 Data'!$AD$4:$AD$207)+SUMIF('Q3 Data'!$D$4:$D$207,D200,'Q3 Data'!$AG$4:$AG$207)+SUMIF('Q3 Data'!$D$4:$D$207,D200,'Q3 Data'!$AE$4:$AE$207)+SUMIF('Q4 Data'!$D$4:$D$207,D200,'Q4 Data'!$AD$4:$AD$207)+SUMIF('Q4 Data'!$D$4:$D$207,D200,'Q4 Data'!$AG$4:$AG$207)+SUMIF('Q4 Data'!$D$4:$D$207,D200,'Q4 Data'!$AE$4:$AE$207))</f>
      </c>
      <c r="AO200" s="27">
        <f>IF($B200&lt;&gt;"Challan","",P200-N200)</f>
      </c>
      <c r="AP200" s="27">
        <f>IF($B200&lt;&gt;"Challan","",MAX(0,AO200-AN200))</f>
      </c>
      <c r="AQ200" s="33">
        <f>IF($B200&lt;&gt;"Entry","",SUMPRODUCT(('Q1 Data'!$D$4:$D$207=D200)*('Q1 Data'!$B$4:$B$207="Challan")*'Q1 Data'!$F$4:$F$207)+SUMPRODUCT(('Q2 Data'!$D$4:$D$207=D200)*('Q2 Data'!$B$4:$B$207="Challan")*'Q2 Data'!$F$4:$F$207)+SUMPRODUCT(('Q3 Data'!$D$4:$D$207=D200)*('Q3 Data'!$B$4:$B$207="Challan")*'Q3 Data'!$F$4:$F$207)+SUMPRODUCT(('Q4 Data'!$D$4:$D$207=D200)*('Q4 Data'!$B$4:$B$207="Challan")*'Q4 Data'!$F$4:$F$207))</f>
      </c>
      <c r="AR200" s="34">
        <f>IF(OR($B200&lt;&gt;"Entry",Z200=""),FALSE,AND((SUMPRODUCT(('Q1 Data'!$D$4:$D$207=D200)*('Q1 Data'!$B$4:$B$207="Challan")*('Q1 Data'!$H$4:$H$207&lt;&gt;""))+SUMPRODUCT(('Q2 Data'!$D$4:$D$207=D200)*('Q2 Data'!$B$4:$B$207="Challan")*('Q2 Data'!$H$4:$H$207&lt;&gt;""))+SUMPRODUCT(('Q3 Data'!$D$4:$D$207=D200)*('Q3 Data'!$B$4:$B$207="Challan")*('Q3 Data'!$H$4:$H$207&lt;&gt;""))+SUMPRODUCT(('Q4 Data'!$D$4:$D$207=D200)*('Q4 Data'!$B$4:$B$207="Challan")*('Q4 Data'!$H$4:$H$207&lt;&gt;"")))&gt;0,(SUMPRODUCT(('Q1 Data'!$D$4:$D$207=D200)*('Q1 Data'!$B$4:$B$207="Challan")*('Q1 Data'!$H$4:$H$207=Z200))+SUMPRODUCT(('Q2 Data'!$D$4:$D$207=D200)*('Q2 Data'!$B$4:$B$207="Challan")*('Q2 Data'!$H$4:$H$207=Z200))+SUMPRODUCT(('Q3 Data'!$D$4:$D$207=D200)*('Q3 Data'!$B$4:$B$207="Challan")*('Q3 Data'!$H$4:$H$207=Z200))+SUMPRODUCT(('Q4 Data'!$D$4:$D$207=D200)*('Q4 Data'!$B$4:$B$207="Challan")*('Q4 Data'!$H$4:$H$207=Z200)))=0))</f>
      </c>
    </row>
    <row r="201" spans="1:44" x14ac:dyDescent="0.25">
      <c r="A201" s="20">
        <f>IF($B201="Entry",COUNTIF($B$4:$B201,"Entry"),"")</f>
      </c>
      <c r="B201" s="21"/>
      <c r="C201" s="22"/>
      <c r="D201" s="22"/>
      <c r="E201" s="23">
        <f>IF($B201&lt;&gt;"Challan","",IF(ROUND(AN201-AO201,2)&gt;0,"Over-applied",IF(ROUND(AN201-AO201,2)=0,"Fully Utilised","Unconsumed")))</f>
      </c>
      <c r="F201" s="24"/>
      <c r="G201" s="25"/>
      <c r="H201" s="25"/>
      <c r="I201" s="26"/>
      <c r="J201" s="26"/>
      <c r="K201" s="26"/>
      <c r="L201" s="26"/>
      <c r="M201" s="26"/>
      <c r="N201" s="26"/>
      <c r="O201" s="26"/>
      <c r="P201" s="27">
        <f>IF($B201&lt;&gt;"Challan","",I201+J201+K201+L201+M201+N201)</f>
      </c>
      <c r="Q201" s="25"/>
      <c r="R201" s="25"/>
      <c r="S201" s="25"/>
      <c r="T201" s="25"/>
      <c r="U201" s="25"/>
      <c r="V201" s="28"/>
      <c r="W201" s="28"/>
      <c r="X201" s="23">
        <f>IF($B201="Entry",IF(AND(LEN(TRIM(UPPER(W201)))=10,CODE(MID(TRIM(UPPER(W201)),1,1))&gt;=65,CODE(MID(TRIM(UPPER(W201)),1,1))&lt;=90,CODE(MID(TRIM(UPPER(W201)),2,1))&gt;=65,CODE(MID(TRIM(UPPER(W201)),2,1))&lt;=90,CODE(MID(TRIM(UPPER(W201)),3,1))&gt;=65,CODE(MID(TRIM(UPPER(W201)),3,1))&lt;=90,CODE(MID(TRIM(UPPER(W201)),4,1))&gt;=65,CODE(MID(TRIM(UPPER(W201)),4,1))&lt;=90,CODE(MID(TRIM(UPPER(W201)),5,1))&gt;=65,CODE(MID(TRIM(UPPER(W201)),5,1))&lt;=90,CODE(MID(TRIM(UPPER(W201)),10,1))&gt;=65,CODE(MID(TRIM(UPPER(W201)),10,1))&lt;=90,CODE(MID(TRIM(UPPER(W201)),6,1))&gt;=48,CODE(MID(TRIM(UPPER(W201)),6,1))&lt;=57,CODE(MID(TRIM(UPPER(W201)),7,1))&gt;=48,CODE(MID(TRIM(UPPER(W201)),7,1))&lt;=57,CODE(MID(TRIM(UPPER(W201)),8,1))&gt;=48,CODE(MID(TRIM(UPPER(W201)),8,1))&lt;=57,CODE(MID(TRIM(UPPER(W201)),9,1))&gt;=48,CODE(MID(TRIM(UPPER(W201)),9,1))&lt;=57),"N","Y"),IF($B201="Challan","",IF(W201&lt;&gt;"","◄ Set Row Type","")))</f>
      </c>
      <c r="Y201" s="23">
        <f>IF($B201="Entry",IF(LEN(W201)&lt;4,"",IF(UPPER(MID(W201,4,1))="P","Individual",IF(UPPER(MID(W201,4,1))="H","HUF",IF(UPPER(MID(W201,4,1))="C","Company",IF(UPPER(MID(W201,4,1))="F","Firm",IF(UPPER(MID(W201,4,1))="L","LLP",IF(UPPER(MID(W201,4,1))="T","Trust",IF(UPPER(MID(W201,4,1))="A","AOP","")))))))),IF($B201="Challan","",IF(W201&lt;&gt;"","◄ Set Row Type","")))</f>
      </c>
      <c r="Z201" s="28"/>
      <c r="AA201" s="29">
        <f>IF($B201&lt;&gt;"Entry","",IF(Z201="","",IF(X201="Y",SUMPRODUCT(('Rate Lookup'!$A$1:$A$37=Z201)*'Rate Lookup'!$D$1:$D$37),IF(OR(Y201="Individual",Y201="HUF"),SUMPRODUCT(('Rate Lookup'!$A$1:$A$37=Z201)*'Rate Lookup'!$B$1:$B$37),SUMPRODUCT(('Rate Lookup'!$A$1:$A$37=Z201)*'Rate Lookup'!$C$1:$C$37)))))</f>
      </c>
      <c r="AB201" s="30"/>
      <c r="AC201" s="31"/>
      <c r="AD201" s="27">
        <f>IF($B201&lt;&gt;"Entry","",ROUND(AC201*AA201/100,0))</f>
      </c>
      <c r="AE201" s="27">
        <f>IF($B201&lt;&gt;"Entry","",0)</f>
      </c>
      <c r="AF201" s="27">
        <f>IF($B201&lt;&gt;"Entry","",0)</f>
      </c>
      <c r="AG201" s="27">
        <f>IF($B201&lt;&gt;"Entry","",IF(OR(AD201=0,AB201="",AQ201="",AQ201&lt;=0),0,IF(AQ201&lt;=DATE(YEAR(AB201),MONTH(AB201)+1,7),0,ROUND(AD201*0.015*((YEAR(AQ201)-YEAR(AB201))*12+(MONTH(AQ201)-MONTH(AB201))+1),0))))</f>
      </c>
      <c r="AH201" s="27">
        <f>IF($B201&lt;&gt;"Entry","",0)</f>
      </c>
      <c r="AI201" s="28"/>
      <c r="AJ201" s="28"/>
      <c r="AK201" s="32"/>
      <c r="AL201" s="28"/>
      <c r="AM201" s="28"/>
      <c r="AN201" s="27">
        <f>IF($B201&lt;&gt;"Challan","",SUMIF('Q1 Data'!$D$4:$D$207,D201,'Q1 Data'!$AD$4:$AD$207)+SUMIF('Q1 Data'!$D$4:$D$207,D201,'Q1 Data'!$AG$4:$AG$207)+SUMIF('Q1 Data'!$D$4:$D$207,D201,'Q1 Data'!$AE$4:$AE$207)+SUMIF('Q2 Data'!$D$4:$D$207,D201,'Q2 Data'!$AD$4:$AD$207)+SUMIF('Q2 Data'!$D$4:$D$207,D201,'Q2 Data'!$AG$4:$AG$207)+SUMIF('Q2 Data'!$D$4:$D$207,D201,'Q2 Data'!$AE$4:$AE$207)+SUMIF('Q3 Data'!$D$4:$D$207,D201,'Q3 Data'!$AD$4:$AD$207)+SUMIF('Q3 Data'!$D$4:$D$207,D201,'Q3 Data'!$AG$4:$AG$207)+SUMIF('Q3 Data'!$D$4:$D$207,D201,'Q3 Data'!$AE$4:$AE$207)+SUMIF('Q4 Data'!$D$4:$D$207,D201,'Q4 Data'!$AD$4:$AD$207)+SUMIF('Q4 Data'!$D$4:$D$207,D201,'Q4 Data'!$AG$4:$AG$207)+SUMIF('Q4 Data'!$D$4:$D$207,D201,'Q4 Data'!$AE$4:$AE$207))</f>
      </c>
      <c r="AO201" s="27">
        <f>IF($B201&lt;&gt;"Challan","",P201-N201)</f>
      </c>
      <c r="AP201" s="27">
        <f>IF($B201&lt;&gt;"Challan","",MAX(0,AO201-AN201))</f>
      </c>
      <c r="AQ201" s="33">
        <f>IF($B201&lt;&gt;"Entry","",SUMPRODUCT(('Q1 Data'!$D$4:$D$207=D201)*('Q1 Data'!$B$4:$B$207="Challan")*'Q1 Data'!$F$4:$F$207)+SUMPRODUCT(('Q2 Data'!$D$4:$D$207=D201)*('Q2 Data'!$B$4:$B$207="Challan")*'Q2 Data'!$F$4:$F$207)+SUMPRODUCT(('Q3 Data'!$D$4:$D$207=D201)*('Q3 Data'!$B$4:$B$207="Challan")*'Q3 Data'!$F$4:$F$207)+SUMPRODUCT(('Q4 Data'!$D$4:$D$207=D201)*('Q4 Data'!$B$4:$B$207="Challan")*'Q4 Data'!$F$4:$F$207))</f>
      </c>
      <c r="AR201" s="34">
        <f>IF(OR($B201&lt;&gt;"Entry",Z201=""),FALSE,AND((SUMPRODUCT(('Q1 Data'!$D$4:$D$207=D201)*('Q1 Data'!$B$4:$B$207="Challan")*('Q1 Data'!$H$4:$H$207&lt;&gt;""))+SUMPRODUCT(('Q2 Data'!$D$4:$D$207=D201)*('Q2 Data'!$B$4:$B$207="Challan")*('Q2 Data'!$H$4:$H$207&lt;&gt;""))+SUMPRODUCT(('Q3 Data'!$D$4:$D$207=D201)*('Q3 Data'!$B$4:$B$207="Challan")*('Q3 Data'!$H$4:$H$207&lt;&gt;""))+SUMPRODUCT(('Q4 Data'!$D$4:$D$207=D201)*('Q4 Data'!$B$4:$B$207="Challan")*('Q4 Data'!$H$4:$H$207&lt;&gt;"")))&gt;0,(SUMPRODUCT(('Q1 Data'!$D$4:$D$207=D201)*('Q1 Data'!$B$4:$B$207="Challan")*('Q1 Data'!$H$4:$H$207=Z201))+SUMPRODUCT(('Q2 Data'!$D$4:$D$207=D201)*('Q2 Data'!$B$4:$B$207="Challan")*('Q2 Data'!$H$4:$H$207=Z201))+SUMPRODUCT(('Q3 Data'!$D$4:$D$207=D201)*('Q3 Data'!$B$4:$B$207="Challan")*('Q3 Data'!$H$4:$H$207=Z201))+SUMPRODUCT(('Q4 Data'!$D$4:$D$207=D201)*('Q4 Data'!$B$4:$B$207="Challan")*('Q4 Data'!$H$4:$H$207=Z201)))=0))</f>
      </c>
    </row>
    <row r="202" spans="1:44" x14ac:dyDescent="0.25">
      <c r="A202" s="20">
        <f>IF($B202="Entry",COUNTIF($B$4:$B202,"Entry"),"")</f>
      </c>
      <c r="B202" s="21"/>
      <c r="C202" s="22"/>
      <c r="D202" s="22"/>
      <c r="E202" s="23">
        <f>IF($B202&lt;&gt;"Challan","",IF(ROUND(AN202-AO202,2)&gt;0,"Over-applied",IF(ROUND(AN202-AO202,2)=0,"Fully Utilised","Unconsumed")))</f>
      </c>
      <c r="F202" s="24"/>
      <c r="G202" s="25"/>
      <c r="H202" s="25"/>
      <c r="I202" s="26"/>
      <c r="J202" s="26"/>
      <c r="K202" s="26"/>
      <c r="L202" s="26"/>
      <c r="M202" s="26"/>
      <c r="N202" s="26"/>
      <c r="O202" s="26"/>
      <c r="P202" s="27">
        <f>IF($B202&lt;&gt;"Challan","",I202+J202+K202+L202+M202+N202)</f>
      </c>
      <c r="Q202" s="25"/>
      <c r="R202" s="25"/>
      <c r="S202" s="25"/>
      <c r="T202" s="25"/>
      <c r="U202" s="25"/>
      <c r="V202" s="28"/>
      <c r="W202" s="28"/>
      <c r="X202" s="23">
        <f>IF($B202="Entry",IF(AND(LEN(TRIM(UPPER(W202)))=10,CODE(MID(TRIM(UPPER(W202)),1,1))&gt;=65,CODE(MID(TRIM(UPPER(W202)),1,1))&lt;=90,CODE(MID(TRIM(UPPER(W202)),2,1))&gt;=65,CODE(MID(TRIM(UPPER(W202)),2,1))&lt;=90,CODE(MID(TRIM(UPPER(W202)),3,1))&gt;=65,CODE(MID(TRIM(UPPER(W202)),3,1))&lt;=90,CODE(MID(TRIM(UPPER(W202)),4,1))&gt;=65,CODE(MID(TRIM(UPPER(W202)),4,1))&lt;=90,CODE(MID(TRIM(UPPER(W202)),5,1))&gt;=65,CODE(MID(TRIM(UPPER(W202)),5,1))&lt;=90,CODE(MID(TRIM(UPPER(W202)),10,1))&gt;=65,CODE(MID(TRIM(UPPER(W202)),10,1))&lt;=90,CODE(MID(TRIM(UPPER(W202)),6,1))&gt;=48,CODE(MID(TRIM(UPPER(W202)),6,1))&lt;=57,CODE(MID(TRIM(UPPER(W202)),7,1))&gt;=48,CODE(MID(TRIM(UPPER(W202)),7,1))&lt;=57,CODE(MID(TRIM(UPPER(W202)),8,1))&gt;=48,CODE(MID(TRIM(UPPER(W202)),8,1))&lt;=57,CODE(MID(TRIM(UPPER(W202)),9,1))&gt;=48,CODE(MID(TRIM(UPPER(W202)),9,1))&lt;=57),"N","Y"),IF($B202="Challan","",IF(W202&lt;&gt;"","◄ Set Row Type","")))</f>
      </c>
      <c r="Y202" s="23">
        <f>IF($B202="Entry",IF(LEN(W202)&lt;4,"",IF(UPPER(MID(W202,4,1))="P","Individual",IF(UPPER(MID(W202,4,1))="H","HUF",IF(UPPER(MID(W202,4,1))="C","Company",IF(UPPER(MID(W202,4,1))="F","Firm",IF(UPPER(MID(W202,4,1))="L","LLP",IF(UPPER(MID(W202,4,1))="T","Trust",IF(UPPER(MID(W202,4,1))="A","AOP","")))))))),IF($B202="Challan","",IF(W202&lt;&gt;"","◄ Set Row Type","")))</f>
      </c>
      <c r="Z202" s="28"/>
      <c r="AA202" s="29">
        <f>IF($B202&lt;&gt;"Entry","",IF(Z202="","",IF(X202="Y",SUMPRODUCT(('Rate Lookup'!$A$1:$A$37=Z202)*'Rate Lookup'!$D$1:$D$37),IF(OR(Y202="Individual",Y202="HUF"),SUMPRODUCT(('Rate Lookup'!$A$1:$A$37=Z202)*'Rate Lookup'!$B$1:$B$37),SUMPRODUCT(('Rate Lookup'!$A$1:$A$37=Z202)*'Rate Lookup'!$C$1:$C$37)))))</f>
      </c>
      <c r="AB202" s="30"/>
      <c r="AC202" s="31"/>
      <c r="AD202" s="27">
        <f>IF($B202&lt;&gt;"Entry","",ROUND(AC202*AA202/100,0))</f>
      </c>
      <c r="AE202" s="27">
        <f>IF($B202&lt;&gt;"Entry","",0)</f>
      </c>
      <c r="AF202" s="27">
        <f>IF($B202&lt;&gt;"Entry","",0)</f>
      </c>
      <c r="AG202" s="27">
        <f>IF($B202&lt;&gt;"Entry","",IF(OR(AD202=0,AB202="",AQ202="",AQ202&lt;=0),0,IF(AQ202&lt;=DATE(YEAR(AB202),MONTH(AB202)+1,7),0,ROUND(AD202*0.015*((YEAR(AQ202)-YEAR(AB202))*12+(MONTH(AQ202)-MONTH(AB202))+1),0))))</f>
      </c>
      <c r="AH202" s="27">
        <f>IF($B202&lt;&gt;"Entry","",0)</f>
      </c>
      <c r="AI202" s="28"/>
      <c r="AJ202" s="28"/>
      <c r="AK202" s="32"/>
      <c r="AL202" s="28"/>
      <c r="AM202" s="28"/>
      <c r="AN202" s="27">
        <f>IF($B202&lt;&gt;"Challan","",SUMIF('Q1 Data'!$D$4:$D$207,D202,'Q1 Data'!$AD$4:$AD$207)+SUMIF('Q1 Data'!$D$4:$D$207,D202,'Q1 Data'!$AG$4:$AG$207)+SUMIF('Q1 Data'!$D$4:$D$207,D202,'Q1 Data'!$AE$4:$AE$207)+SUMIF('Q2 Data'!$D$4:$D$207,D202,'Q2 Data'!$AD$4:$AD$207)+SUMIF('Q2 Data'!$D$4:$D$207,D202,'Q2 Data'!$AG$4:$AG$207)+SUMIF('Q2 Data'!$D$4:$D$207,D202,'Q2 Data'!$AE$4:$AE$207)+SUMIF('Q3 Data'!$D$4:$D$207,D202,'Q3 Data'!$AD$4:$AD$207)+SUMIF('Q3 Data'!$D$4:$D$207,D202,'Q3 Data'!$AG$4:$AG$207)+SUMIF('Q3 Data'!$D$4:$D$207,D202,'Q3 Data'!$AE$4:$AE$207)+SUMIF('Q4 Data'!$D$4:$D$207,D202,'Q4 Data'!$AD$4:$AD$207)+SUMIF('Q4 Data'!$D$4:$D$207,D202,'Q4 Data'!$AG$4:$AG$207)+SUMIF('Q4 Data'!$D$4:$D$207,D202,'Q4 Data'!$AE$4:$AE$207))</f>
      </c>
      <c r="AO202" s="27">
        <f>IF($B202&lt;&gt;"Challan","",P202-N202)</f>
      </c>
      <c r="AP202" s="27">
        <f>IF($B202&lt;&gt;"Challan","",MAX(0,AO202-AN202))</f>
      </c>
      <c r="AQ202" s="33">
        <f>IF($B202&lt;&gt;"Entry","",SUMPRODUCT(('Q1 Data'!$D$4:$D$207=D202)*('Q1 Data'!$B$4:$B$207="Challan")*'Q1 Data'!$F$4:$F$207)+SUMPRODUCT(('Q2 Data'!$D$4:$D$207=D202)*('Q2 Data'!$B$4:$B$207="Challan")*'Q2 Data'!$F$4:$F$207)+SUMPRODUCT(('Q3 Data'!$D$4:$D$207=D202)*('Q3 Data'!$B$4:$B$207="Challan")*'Q3 Data'!$F$4:$F$207)+SUMPRODUCT(('Q4 Data'!$D$4:$D$207=D202)*('Q4 Data'!$B$4:$B$207="Challan")*'Q4 Data'!$F$4:$F$207))</f>
      </c>
      <c r="AR202" s="34">
        <f>IF(OR($B202&lt;&gt;"Entry",Z202=""),FALSE,AND((SUMPRODUCT(('Q1 Data'!$D$4:$D$207=D202)*('Q1 Data'!$B$4:$B$207="Challan")*('Q1 Data'!$H$4:$H$207&lt;&gt;""))+SUMPRODUCT(('Q2 Data'!$D$4:$D$207=D202)*('Q2 Data'!$B$4:$B$207="Challan")*('Q2 Data'!$H$4:$H$207&lt;&gt;""))+SUMPRODUCT(('Q3 Data'!$D$4:$D$207=D202)*('Q3 Data'!$B$4:$B$207="Challan")*('Q3 Data'!$H$4:$H$207&lt;&gt;""))+SUMPRODUCT(('Q4 Data'!$D$4:$D$207=D202)*('Q4 Data'!$B$4:$B$207="Challan")*('Q4 Data'!$H$4:$H$207&lt;&gt;"")))&gt;0,(SUMPRODUCT(('Q1 Data'!$D$4:$D$207=D202)*('Q1 Data'!$B$4:$B$207="Challan")*('Q1 Data'!$H$4:$H$207=Z202))+SUMPRODUCT(('Q2 Data'!$D$4:$D$207=D202)*('Q2 Data'!$B$4:$B$207="Challan")*('Q2 Data'!$H$4:$H$207=Z202))+SUMPRODUCT(('Q3 Data'!$D$4:$D$207=D202)*('Q3 Data'!$B$4:$B$207="Challan")*('Q3 Data'!$H$4:$H$207=Z202))+SUMPRODUCT(('Q4 Data'!$D$4:$D$207=D202)*('Q4 Data'!$B$4:$B$207="Challan")*('Q4 Data'!$H$4:$H$207=Z202)))=0))</f>
      </c>
    </row>
    <row r="203" spans="1:44" x14ac:dyDescent="0.25">
      <c r="A203" s="20">
        <f>IF($B203="Entry",COUNTIF($B$4:$B203,"Entry"),"")</f>
      </c>
      <c r="B203" s="21"/>
      <c r="C203" s="22"/>
      <c r="D203" s="22"/>
      <c r="E203" s="23">
        <f>IF($B203&lt;&gt;"Challan","",IF(ROUND(AN203-AO203,2)&gt;0,"Over-applied",IF(ROUND(AN203-AO203,2)=0,"Fully Utilised","Unconsumed")))</f>
      </c>
      <c r="F203" s="24"/>
      <c r="G203" s="25"/>
      <c r="H203" s="25"/>
      <c r="I203" s="26"/>
      <c r="J203" s="26"/>
      <c r="K203" s="26"/>
      <c r="L203" s="26"/>
      <c r="M203" s="26"/>
      <c r="N203" s="26"/>
      <c r="O203" s="26"/>
      <c r="P203" s="27">
        <f>IF($B203&lt;&gt;"Challan","",I203+J203+K203+L203+M203+N203)</f>
      </c>
      <c r="Q203" s="25"/>
      <c r="R203" s="25"/>
      <c r="S203" s="25"/>
      <c r="T203" s="25"/>
      <c r="U203" s="25"/>
      <c r="V203" s="28"/>
      <c r="W203" s="28"/>
      <c r="X203" s="23">
        <f>IF($B203="Entry",IF(AND(LEN(TRIM(UPPER(W203)))=10,CODE(MID(TRIM(UPPER(W203)),1,1))&gt;=65,CODE(MID(TRIM(UPPER(W203)),1,1))&lt;=90,CODE(MID(TRIM(UPPER(W203)),2,1))&gt;=65,CODE(MID(TRIM(UPPER(W203)),2,1))&lt;=90,CODE(MID(TRIM(UPPER(W203)),3,1))&gt;=65,CODE(MID(TRIM(UPPER(W203)),3,1))&lt;=90,CODE(MID(TRIM(UPPER(W203)),4,1))&gt;=65,CODE(MID(TRIM(UPPER(W203)),4,1))&lt;=90,CODE(MID(TRIM(UPPER(W203)),5,1))&gt;=65,CODE(MID(TRIM(UPPER(W203)),5,1))&lt;=90,CODE(MID(TRIM(UPPER(W203)),10,1))&gt;=65,CODE(MID(TRIM(UPPER(W203)),10,1))&lt;=90,CODE(MID(TRIM(UPPER(W203)),6,1))&gt;=48,CODE(MID(TRIM(UPPER(W203)),6,1))&lt;=57,CODE(MID(TRIM(UPPER(W203)),7,1))&gt;=48,CODE(MID(TRIM(UPPER(W203)),7,1))&lt;=57,CODE(MID(TRIM(UPPER(W203)),8,1))&gt;=48,CODE(MID(TRIM(UPPER(W203)),8,1))&lt;=57,CODE(MID(TRIM(UPPER(W203)),9,1))&gt;=48,CODE(MID(TRIM(UPPER(W203)),9,1))&lt;=57),"N","Y"),IF($B203="Challan","",IF(W203&lt;&gt;"","◄ Set Row Type","")))</f>
      </c>
      <c r="Y203" s="23">
        <f>IF($B203="Entry",IF(LEN(W203)&lt;4,"",IF(UPPER(MID(W203,4,1))="P","Individual",IF(UPPER(MID(W203,4,1))="H","HUF",IF(UPPER(MID(W203,4,1))="C","Company",IF(UPPER(MID(W203,4,1))="F","Firm",IF(UPPER(MID(W203,4,1))="L","LLP",IF(UPPER(MID(W203,4,1))="T","Trust",IF(UPPER(MID(W203,4,1))="A","AOP","")))))))),IF($B203="Challan","",IF(W203&lt;&gt;"","◄ Set Row Type","")))</f>
      </c>
      <c r="Z203" s="28"/>
      <c r="AA203" s="29">
        <f>IF($B203&lt;&gt;"Entry","",IF(Z203="","",IF(X203="Y",SUMPRODUCT(('Rate Lookup'!$A$1:$A$37=Z203)*'Rate Lookup'!$D$1:$D$37),IF(OR(Y203="Individual",Y203="HUF"),SUMPRODUCT(('Rate Lookup'!$A$1:$A$37=Z203)*'Rate Lookup'!$B$1:$B$37),SUMPRODUCT(('Rate Lookup'!$A$1:$A$37=Z203)*'Rate Lookup'!$C$1:$C$37)))))</f>
      </c>
      <c r="AB203" s="30"/>
      <c r="AC203" s="31"/>
      <c r="AD203" s="27">
        <f>IF($B203&lt;&gt;"Entry","",ROUND(AC203*AA203/100,0))</f>
      </c>
      <c r="AE203" s="27">
        <f>IF($B203&lt;&gt;"Entry","",0)</f>
      </c>
      <c r="AF203" s="27">
        <f>IF($B203&lt;&gt;"Entry","",0)</f>
      </c>
      <c r="AG203" s="27">
        <f>IF($B203&lt;&gt;"Entry","",IF(OR(AD203=0,AB203="",AQ203="",AQ203&lt;=0),0,IF(AQ203&lt;=DATE(YEAR(AB203),MONTH(AB203)+1,7),0,ROUND(AD203*0.015*((YEAR(AQ203)-YEAR(AB203))*12+(MONTH(AQ203)-MONTH(AB203))+1),0))))</f>
      </c>
      <c r="AH203" s="27">
        <f>IF($B203&lt;&gt;"Entry","",0)</f>
      </c>
      <c r="AI203" s="28"/>
      <c r="AJ203" s="28"/>
      <c r="AK203" s="32"/>
      <c r="AL203" s="28"/>
      <c r="AM203" s="28"/>
      <c r="AN203" s="27">
        <f>IF($B203&lt;&gt;"Challan","",SUMIF('Q1 Data'!$D$4:$D$207,D203,'Q1 Data'!$AD$4:$AD$207)+SUMIF('Q1 Data'!$D$4:$D$207,D203,'Q1 Data'!$AG$4:$AG$207)+SUMIF('Q1 Data'!$D$4:$D$207,D203,'Q1 Data'!$AE$4:$AE$207)+SUMIF('Q2 Data'!$D$4:$D$207,D203,'Q2 Data'!$AD$4:$AD$207)+SUMIF('Q2 Data'!$D$4:$D$207,D203,'Q2 Data'!$AG$4:$AG$207)+SUMIF('Q2 Data'!$D$4:$D$207,D203,'Q2 Data'!$AE$4:$AE$207)+SUMIF('Q3 Data'!$D$4:$D$207,D203,'Q3 Data'!$AD$4:$AD$207)+SUMIF('Q3 Data'!$D$4:$D$207,D203,'Q3 Data'!$AG$4:$AG$207)+SUMIF('Q3 Data'!$D$4:$D$207,D203,'Q3 Data'!$AE$4:$AE$207)+SUMIF('Q4 Data'!$D$4:$D$207,D203,'Q4 Data'!$AD$4:$AD$207)+SUMIF('Q4 Data'!$D$4:$D$207,D203,'Q4 Data'!$AG$4:$AG$207)+SUMIF('Q4 Data'!$D$4:$D$207,D203,'Q4 Data'!$AE$4:$AE$207))</f>
      </c>
      <c r="AO203" s="27">
        <f>IF($B203&lt;&gt;"Challan","",P203-N203)</f>
      </c>
      <c r="AP203" s="27">
        <f>IF($B203&lt;&gt;"Challan","",MAX(0,AO203-AN203))</f>
      </c>
      <c r="AQ203" s="33">
        <f>IF($B203&lt;&gt;"Entry","",SUMPRODUCT(('Q1 Data'!$D$4:$D$207=D203)*('Q1 Data'!$B$4:$B$207="Challan")*'Q1 Data'!$F$4:$F$207)+SUMPRODUCT(('Q2 Data'!$D$4:$D$207=D203)*('Q2 Data'!$B$4:$B$207="Challan")*'Q2 Data'!$F$4:$F$207)+SUMPRODUCT(('Q3 Data'!$D$4:$D$207=D203)*('Q3 Data'!$B$4:$B$207="Challan")*'Q3 Data'!$F$4:$F$207)+SUMPRODUCT(('Q4 Data'!$D$4:$D$207=D203)*('Q4 Data'!$B$4:$B$207="Challan")*'Q4 Data'!$F$4:$F$207))</f>
      </c>
      <c r="AR203" s="34">
        <f>IF(OR($B203&lt;&gt;"Entry",Z203=""),FALSE,AND((SUMPRODUCT(('Q1 Data'!$D$4:$D$207=D203)*('Q1 Data'!$B$4:$B$207="Challan")*('Q1 Data'!$H$4:$H$207&lt;&gt;""))+SUMPRODUCT(('Q2 Data'!$D$4:$D$207=D203)*('Q2 Data'!$B$4:$B$207="Challan")*('Q2 Data'!$H$4:$H$207&lt;&gt;""))+SUMPRODUCT(('Q3 Data'!$D$4:$D$207=D203)*('Q3 Data'!$B$4:$B$207="Challan")*('Q3 Data'!$H$4:$H$207&lt;&gt;""))+SUMPRODUCT(('Q4 Data'!$D$4:$D$207=D203)*('Q4 Data'!$B$4:$B$207="Challan")*('Q4 Data'!$H$4:$H$207&lt;&gt;"")))&gt;0,(SUMPRODUCT(('Q1 Data'!$D$4:$D$207=D203)*('Q1 Data'!$B$4:$B$207="Challan")*('Q1 Data'!$H$4:$H$207=Z203))+SUMPRODUCT(('Q2 Data'!$D$4:$D$207=D203)*('Q2 Data'!$B$4:$B$207="Challan")*('Q2 Data'!$H$4:$H$207=Z203))+SUMPRODUCT(('Q3 Data'!$D$4:$D$207=D203)*('Q3 Data'!$B$4:$B$207="Challan")*('Q3 Data'!$H$4:$H$207=Z203))+SUMPRODUCT(('Q4 Data'!$D$4:$D$207=D203)*('Q4 Data'!$B$4:$B$207="Challan")*('Q4 Data'!$H$4:$H$207=Z203)))=0))</f>
      </c>
    </row>
    <row r="204" spans="1:44" x14ac:dyDescent="0.25">
      <c r="A204" s="20">
        <f>IF($B204="Entry",COUNTIF($B$4:$B204,"Entry"),"")</f>
      </c>
      <c r="B204" s="21"/>
      <c r="C204" s="22"/>
      <c r="D204" s="22"/>
      <c r="E204" s="23">
        <f>IF($B204&lt;&gt;"Challan","",IF(ROUND(AN204-AO204,2)&gt;0,"Over-applied",IF(ROUND(AN204-AO204,2)=0,"Fully Utilised","Unconsumed")))</f>
      </c>
      <c r="F204" s="24"/>
      <c r="G204" s="25"/>
      <c r="H204" s="25"/>
      <c r="I204" s="26"/>
      <c r="J204" s="26"/>
      <c r="K204" s="26"/>
      <c r="L204" s="26"/>
      <c r="M204" s="26"/>
      <c r="N204" s="26"/>
      <c r="O204" s="26"/>
      <c r="P204" s="27">
        <f>IF($B204&lt;&gt;"Challan","",I204+J204+K204+L204+M204+N204)</f>
      </c>
      <c r="Q204" s="25"/>
      <c r="R204" s="25"/>
      <c r="S204" s="25"/>
      <c r="T204" s="25"/>
      <c r="U204" s="25"/>
      <c r="V204" s="28"/>
      <c r="W204" s="28"/>
      <c r="X204" s="23">
        <f>IF($B204="Entry",IF(AND(LEN(TRIM(UPPER(W204)))=10,CODE(MID(TRIM(UPPER(W204)),1,1))&gt;=65,CODE(MID(TRIM(UPPER(W204)),1,1))&lt;=90,CODE(MID(TRIM(UPPER(W204)),2,1))&gt;=65,CODE(MID(TRIM(UPPER(W204)),2,1))&lt;=90,CODE(MID(TRIM(UPPER(W204)),3,1))&gt;=65,CODE(MID(TRIM(UPPER(W204)),3,1))&lt;=90,CODE(MID(TRIM(UPPER(W204)),4,1))&gt;=65,CODE(MID(TRIM(UPPER(W204)),4,1))&lt;=90,CODE(MID(TRIM(UPPER(W204)),5,1))&gt;=65,CODE(MID(TRIM(UPPER(W204)),5,1))&lt;=90,CODE(MID(TRIM(UPPER(W204)),10,1))&gt;=65,CODE(MID(TRIM(UPPER(W204)),10,1))&lt;=90,CODE(MID(TRIM(UPPER(W204)),6,1))&gt;=48,CODE(MID(TRIM(UPPER(W204)),6,1))&lt;=57,CODE(MID(TRIM(UPPER(W204)),7,1))&gt;=48,CODE(MID(TRIM(UPPER(W204)),7,1))&lt;=57,CODE(MID(TRIM(UPPER(W204)),8,1))&gt;=48,CODE(MID(TRIM(UPPER(W204)),8,1))&lt;=57,CODE(MID(TRIM(UPPER(W204)),9,1))&gt;=48,CODE(MID(TRIM(UPPER(W204)),9,1))&lt;=57),"N","Y"),IF($B204="Challan","",IF(W204&lt;&gt;"","◄ Set Row Type","")))</f>
      </c>
      <c r="Y204" s="23">
        <f>IF($B204="Entry",IF(LEN(W204)&lt;4,"",IF(UPPER(MID(W204,4,1))="P","Individual",IF(UPPER(MID(W204,4,1))="H","HUF",IF(UPPER(MID(W204,4,1))="C","Company",IF(UPPER(MID(W204,4,1))="F","Firm",IF(UPPER(MID(W204,4,1))="L","LLP",IF(UPPER(MID(W204,4,1))="T","Trust",IF(UPPER(MID(W204,4,1))="A","AOP","")))))))),IF($B204="Challan","",IF(W204&lt;&gt;"","◄ Set Row Type","")))</f>
      </c>
      <c r="Z204" s="28"/>
      <c r="AA204" s="29">
        <f>IF($B204&lt;&gt;"Entry","",IF(Z204="","",IF(X204="Y",SUMPRODUCT(('Rate Lookup'!$A$1:$A$37=Z204)*'Rate Lookup'!$D$1:$D$37),IF(OR(Y204="Individual",Y204="HUF"),SUMPRODUCT(('Rate Lookup'!$A$1:$A$37=Z204)*'Rate Lookup'!$B$1:$B$37),SUMPRODUCT(('Rate Lookup'!$A$1:$A$37=Z204)*'Rate Lookup'!$C$1:$C$37)))))</f>
      </c>
      <c r="AB204" s="30"/>
      <c r="AC204" s="31"/>
      <c r="AD204" s="27">
        <f>IF($B204&lt;&gt;"Entry","",ROUND(AC204*AA204/100,0))</f>
      </c>
      <c r="AE204" s="27">
        <f>IF($B204&lt;&gt;"Entry","",0)</f>
      </c>
      <c r="AF204" s="27">
        <f>IF($B204&lt;&gt;"Entry","",0)</f>
      </c>
      <c r="AG204" s="27">
        <f>IF($B204&lt;&gt;"Entry","",IF(OR(AD204=0,AB204="",AQ204="",AQ204&lt;=0),0,IF(AQ204&lt;=DATE(YEAR(AB204),MONTH(AB204)+1,7),0,ROUND(AD204*0.015*((YEAR(AQ204)-YEAR(AB204))*12+(MONTH(AQ204)-MONTH(AB204))+1),0))))</f>
      </c>
      <c r="AH204" s="27">
        <f>IF($B204&lt;&gt;"Entry","",0)</f>
      </c>
      <c r="AI204" s="28"/>
      <c r="AJ204" s="28"/>
      <c r="AK204" s="32"/>
      <c r="AL204" s="28"/>
      <c r="AM204" s="28"/>
      <c r="AN204" s="27">
        <f>IF($B204&lt;&gt;"Challan","",SUMIF('Q1 Data'!$D$4:$D$207,D204,'Q1 Data'!$AD$4:$AD$207)+SUMIF('Q1 Data'!$D$4:$D$207,D204,'Q1 Data'!$AG$4:$AG$207)+SUMIF('Q1 Data'!$D$4:$D$207,D204,'Q1 Data'!$AE$4:$AE$207)+SUMIF('Q2 Data'!$D$4:$D$207,D204,'Q2 Data'!$AD$4:$AD$207)+SUMIF('Q2 Data'!$D$4:$D$207,D204,'Q2 Data'!$AG$4:$AG$207)+SUMIF('Q2 Data'!$D$4:$D$207,D204,'Q2 Data'!$AE$4:$AE$207)+SUMIF('Q3 Data'!$D$4:$D$207,D204,'Q3 Data'!$AD$4:$AD$207)+SUMIF('Q3 Data'!$D$4:$D$207,D204,'Q3 Data'!$AG$4:$AG$207)+SUMIF('Q3 Data'!$D$4:$D$207,D204,'Q3 Data'!$AE$4:$AE$207)+SUMIF('Q4 Data'!$D$4:$D$207,D204,'Q4 Data'!$AD$4:$AD$207)+SUMIF('Q4 Data'!$D$4:$D$207,D204,'Q4 Data'!$AG$4:$AG$207)+SUMIF('Q4 Data'!$D$4:$D$207,D204,'Q4 Data'!$AE$4:$AE$207))</f>
      </c>
      <c r="AO204" s="27">
        <f>IF($B204&lt;&gt;"Challan","",P204-N204)</f>
      </c>
      <c r="AP204" s="27">
        <f>IF($B204&lt;&gt;"Challan","",MAX(0,AO204-AN204))</f>
      </c>
      <c r="AQ204" s="33">
        <f>IF($B204&lt;&gt;"Entry","",SUMPRODUCT(('Q1 Data'!$D$4:$D$207=D204)*('Q1 Data'!$B$4:$B$207="Challan")*'Q1 Data'!$F$4:$F$207)+SUMPRODUCT(('Q2 Data'!$D$4:$D$207=D204)*('Q2 Data'!$B$4:$B$207="Challan")*'Q2 Data'!$F$4:$F$207)+SUMPRODUCT(('Q3 Data'!$D$4:$D$207=D204)*('Q3 Data'!$B$4:$B$207="Challan")*'Q3 Data'!$F$4:$F$207)+SUMPRODUCT(('Q4 Data'!$D$4:$D$207=D204)*('Q4 Data'!$B$4:$B$207="Challan")*'Q4 Data'!$F$4:$F$207))</f>
      </c>
      <c r="AR204" s="34">
        <f>IF(OR($B204&lt;&gt;"Entry",Z204=""),FALSE,AND((SUMPRODUCT(('Q1 Data'!$D$4:$D$207=D204)*('Q1 Data'!$B$4:$B$207="Challan")*('Q1 Data'!$H$4:$H$207&lt;&gt;""))+SUMPRODUCT(('Q2 Data'!$D$4:$D$207=D204)*('Q2 Data'!$B$4:$B$207="Challan")*('Q2 Data'!$H$4:$H$207&lt;&gt;""))+SUMPRODUCT(('Q3 Data'!$D$4:$D$207=D204)*('Q3 Data'!$B$4:$B$207="Challan")*('Q3 Data'!$H$4:$H$207&lt;&gt;""))+SUMPRODUCT(('Q4 Data'!$D$4:$D$207=D204)*('Q4 Data'!$B$4:$B$207="Challan")*('Q4 Data'!$H$4:$H$207&lt;&gt;"")))&gt;0,(SUMPRODUCT(('Q1 Data'!$D$4:$D$207=D204)*('Q1 Data'!$B$4:$B$207="Challan")*('Q1 Data'!$H$4:$H$207=Z204))+SUMPRODUCT(('Q2 Data'!$D$4:$D$207=D204)*('Q2 Data'!$B$4:$B$207="Challan")*('Q2 Data'!$H$4:$H$207=Z204))+SUMPRODUCT(('Q3 Data'!$D$4:$D$207=D204)*('Q3 Data'!$B$4:$B$207="Challan")*('Q3 Data'!$H$4:$H$207=Z204))+SUMPRODUCT(('Q4 Data'!$D$4:$D$207=D204)*('Q4 Data'!$B$4:$B$207="Challan")*('Q4 Data'!$H$4:$H$207=Z204)))=0))</f>
      </c>
    </row>
    <row r="205" spans="1:44" x14ac:dyDescent="0.25">
      <c r="A205" s="20">
        <f>IF($B205="Entry",COUNTIF($B$4:$B205,"Entry"),"")</f>
      </c>
      <c r="B205" s="21"/>
      <c r="C205" s="22"/>
      <c r="D205" s="22"/>
      <c r="E205" s="23">
        <f>IF($B205&lt;&gt;"Challan","",IF(ROUND(AN205-AO205,2)&gt;0,"Over-applied",IF(ROUND(AN205-AO205,2)=0,"Fully Utilised","Unconsumed")))</f>
      </c>
      <c r="F205" s="24"/>
      <c r="G205" s="25"/>
      <c r="H205" s="25"/>
      <c r="I205" s="26"/>
      <c r="J205" s="26"/>
      <c r="K205" s="26"/>
      <c r="L205" s="26"/>
      <c r="M205" s="26"/>
      <c r="N205" s="26"/>
      <c r="O205" s="26"/>
      <c r="P205" s="27">
        <f>IF($B205&lt;&gt;"Challan","",I205+J205+K205+L205+M205+N205)</f>
      </c>
      <c r="Q205" s="25"/>
      <c r="R205" s="25"/>
      <c r="S205" s="25"/>
      <c r="T205" s="25"/>
      <c r="U205" s="25"/>
      <c r="V205" s="28"/>
      <c r="W205" s="28"/>
      <c r="X205" s="23">
        <f>IF($B205="Entry",IF(AND(LEN(TRIM(UPPER(W205)))=10,CODE(MID(TRIM(UPPER(W205)),1,1))&gt;=65,CODE(MID(TRIM(UPPER(W205)),1,1))&lt;=90,CODE(MID(TRIM(UPPER(W205)),2,1))&gt;=65,CODE(MID(TRIM(UPPER(W205)),2,1))&lt;=90,CODE(MID(TRIM(UPPER(W205)),3,1))&gt;=65,CODE(MID(TRIM(UPPER(W205)),3,1))&lt;=90,CODE(MID(TRIM(UPPER(W205)),4,1))&gt;=65,CODE(MID(TRIM(UPPER(W205)),4,1))&lt;=90,CODE(MID(TRIM(UPPER(W205)),5,1))&gt;=65,CODE(MID(TRIM(UPPER(W205)),5,1))&lt;=90,CODE(MID(TRIM(UPPER(W205)),10,1))&gt;=65,CODE(MID(TRIM(UPPER(W205)),10,1))&lt;=90,CODE(MID(TRIM(UPPER(W205)),6,1))&gt;=48,CODE(MID(TRIM(UPPER(W205)),6,1))&lt;=57,CODE(MID(TRIM(UPPER(W205)),7,1))&gt;=48,CODE(MID(TRIM(UPPER(W205)),7,1))&lt;=57,CODE(MID(TRIM(UPPER(W205)),8,1))&gt;=48,CODE(MID(TRIM(UPPER(W205)),8,1))&lt;=57,CODE(MID(TRIM(UPPER(W205)),9,1))&gt;=48,CODE(MID(TRIM(UPPER(W205)),9,1))&lt;=57),"N","Y"),IF($B205="Challan","",IF(W205&lt;&gt;"","◄ Set Row Type","")))</f>
      </c>
      <c r="Y205" s="23">
        <f>IF($B205="Entry",IF(LEN(W205)&lt;4,"",IF(UPPER(MID(W205,4,1))="P","Individual",IF(UPPER(MID(W205,4,1))="H","HUF",IF(UPPER(MID(W205,4,1))="C","Company",IF(UPPER(MID(W205,4,1))="F","Firm",IF(UPPER(MID(W205,4,1))="L","LLP",IF(UPPER(MID(W205,4,1))="T","Trust",IF(UPPER(MID(W205,4,1))="A","AOP","")))))))),IF($B205="Challan","",IF(W205&lt;&gt;"","◄ Set Row Type","")))</f>
      </c>
      <c r="Z205" s="28"/>
      <c r="AA205" s="29">
        <f>IF($B205&lt;&gt;"Entry","",IF(Z205="","",IF(X205="Y",SUMPRODUCT(('Rate Lookup'!$A$1:$A$37=Z205)*'Rate Lookup'!$D$1:$D$37),IF(OR(Y205="Individual",Y205="HUF"),SUMPRODUCT(('Rate Lookup'!$A$1:$A$37=Z205)*'Rate Lookup'!$B$1:$B$37),SUMPRODUCT(('Rate Lookup'!$A$1:$A$37=Z205)*'Rate Lookup'!$C$1:$C$37)))))</f>
      </c>
      <c r="AB205" s="30"/>
      <c r="AC205" s="31"/>
      <c r="AD205" s="27">
        <f>IF($B205&lt;&gt;"Entry","",ROUND(AC205*AA205/100,0))</f>
      </c>
      <c r="AE205" s="27">
        <f>IF($B205&lt;&gt;"Entry","",0)</f>
      </c>
      <c r="AF205" s="27">
        <f>IF($B205&lt;&gt;"Entry","",0)</f>
      </c>
      <c r="AG205" s="27">
        <f>IF($B205&lt;&gt;"Entry","",IF(OR(AD205=0,AB205="",AQ205="",AQ205&lt;=0),0,IF(AQ205&lt;=DATE(YEAR(AB205),MONTH(AB205)+1,7),0,ROUND(AD205*0.015*((YEAR(AQ205)-YEAR(AB205))*12+(MONTH(AQ205)-MONTH(AB205))+1),0))))</f>
      </c>
      <c r="AH205" s="27">
        <f>IF($B205&lt;&gt;"Entry","",0)</f>
      </c>
      <c r="AI205" s="28"/>
      <c r="AJ205" s="28"/>
      <c r="AK205" s="32"/>
      <c r="AL205" s="28"/>
      <c r="AM205" s="28"/>
      <c r="AN205" s="27">
        <f>IF($B205&lt;&gt;"Challan","",SUMIF('Q1 Data'!$D$4:$D$207,D205,'Q1 Data'!$AD$4:$AD$207)+SUMIF('Q1 Data'!$D$4:$D$207,D205,'Q1 Data'!$AG$4:$AG$207)+SUMIF('Q1 Data'!$D$4:$D$207,D205,'Q1 Data'!$AE$4:$AE$207)+SUMIF('Q2 Data'!$D$4:$D$207,D205,'Q2 Data'!$AD$4:$AD$207)+SUMIF('Q2 Data'!$D$4:$D$207,D205,'Q2 Data'!$AG$4:$AG$207)+SUMIF('Q2 Data'!$D$4:$D$207,D205,'Q2 Data'!$AE$4:$AE$207)+SUMIF('Q3 Data'!$D$4:$D$207,D205,'Q3 Data'!$AD$4:$AD$207)+SUMIF('Q3 Data'!$D$4:$D$207,D205,'Q3 Data'!$AG$4:$AG$207)+SUMIF('Q3 Data'!$D$4:$D$207,D205,'Q3 Data'!$AE$4:$AE$207)+SUMIF('Q4 Data'!$D$4:$D$207,D205,'Q4 Data'!$AD$4:$AD$207)+SUMIF('Q4 Data'!$D$4:$D$207,D205,'Q4 Data'!$AG$4:$AG$207)+SUMIF('Q4 Data'!$D$4:$D$207,D205,'Q4 Data'!$AE$4:$AE$207))</f>
      </c>
      <c r="AO205" s="27">
        <f>IF($B205&lt;&gt;"Challan","",P205-N205)</f>
      </c>
      <c r="AP205" s="27">
        <f>IF($B205&lt;&gt;"Challan","",MAX(0,AO205-AN205))</f>
      </c>
      <c r="AQ205" s="33">
        <f>IF($B205&lt;&gt;"Entry","",SUMPRODUCT(('Q1 Data'!$D$4:$D$207=D205)*('Q1 Data'!$B$4:$B$207="Challan")*'Q1 Data'!$F$4:$F$207)+SUMPRODUCT(('Q2 Data'!$D$4:$D$207=D205)*('Q2 Data'!$B$4:$B$207="Challan")*'Q2 Data'!$F$4:$F$207)+SUMPRODUCT(('Q3 Data'!$D$4:$D$207=D205)*('Q3 Data'!$B$4:$B$207="Challan")*'Q3 Data'!$F$4:$F$207)+SUMPRODUCT(('Q4 Data'!$D$4:$D$207=D205)*('Q4 Data'!$B$4:$B$207="Challan")*'Q4 Data'!$F$4:$F$207))</f>
      </c>
      <c r="AR205" s="34">
        <f>IF(OR($B205&lt;&gt;"Entry",Z205=""),FALSE,AND((SUMPRODUCT(('Q1 Data'!$D$4:$D$207=D205)*('Q1 Data'!$B$4:$B$207="Challan")*('Q1 Data'!$H$4:$H$207&lt;&gt;""))+SUMPRODUCT(('Q2 Data'!$D$4:$D$207=D205)*('Q2 Data'!$B$4:$B$207="Challan")*('Q2 Data'!$H$4:$H$207&lt;&gt;""))+SUMPRODUCT(('Q3 Data'!$D$4:$D$207=D205)*('Q3 Data'!$B$4:$B$207="Challan")*('Q3 Data'!$H$4:$H$207&lt;&gt;""))+SUMPRODUCT(('Q4 Data'!$D$4:$D$207=D205)*('Q4 Data'!$B$4:$B$207="Challan")*('Q4 Data'!$H$4:$H$207&lt;&gt;"")))&gt;0,(SUMPRODUCT(('Q1 Data'!$D$4:$D$207=D205)*('Q1 Data'!$B$4:$B$207="Challan")*('Q1 Data'!$H$4:$H$207=Z205))+SUMPRODUCT(('Q2 Data'!$D$4:$D$207=D205)*('Q2 Data'!$B$4:$B$207="Challan")*('Q2 Data'!$H$4:$H$207=Z205))+SUMPRODUCT(('Q3 Data'!$D$4:$D$207=D205)*('Q3 Data'!$B$4:$B$207="Challan")*('Q3 Data'!$H$4:$H$207=Z205))+SUMPRODUCT(('Q4 Data'!$D$4:$D$207=D205)*('Q4 Data'!$B$4:$B$207="Challan")*('Q4 Data'!$H$4:$H$207=Z205)))=0))</f>
      </c>
    </row>
    <row r="206" spans="1:44" x14ac:dyDescent="0.25">
      <c r="A206" s="20">
        <f>IF($B206="Entry",COUNTIF($B$4:$B206,"Entry"),"")</f>
      </c>
      <c r="B206" s="21"/>
      <c r="C206" s="22"/>
      <c r="D206" s="22"/>
      <c r="E206" s="23">
        <f>IF($B206&lt;&gt;"Challan","",IF(ROUND(AN206-AO206,2)&gt;0,"Over-applied",IF(ROUND(AN206-AO206,2)=0,"Fully Utilised","Unconsumed")))</f>
      </c>
      <c r="F206" s="24"/>
      <c r="G206" s="25"/>
      <c r="H206" s="25"/>
      <c r="I206" s="26"/>
      <c r="J206" s="26"/>
      <c r="K206" s="26"/>
      <c r="L206" s="26"/>
      <c r="M206" s="26"/>
      <c r="N206" s="26"/>
      <c r="O206" s="26"/>
      <c r="P206" s="27">
        <f>IF($B206&lt;&gt;"Challan","",I206+J206+K206+L206+M206+N206)</f>
      </c>
      <c r="Q206" s="25"/>
      <c r="R206" s="25"/>
      <c r="S206" s="25"/>
      <c r="T206" s="25"/>
      <c r="U206" s="25"/>
      <c r="V206" s="28"/>
      <c r="W206" s="28"/>
      <c r="X206" s="23">
        <f>IF($B206="Entry",IF(AND(LEN(TRIM(UPPER(W206)))=10,CODE(MID(TRIM(UPPER(W206)),1,1))&gt;=65,CODE(MID(TRIM(UPPER(W206)),1,1))&lt;=90,CODE(MID(TRIM(UPPER(W206)),2,1))&gt;=65,CODE(MID(TRIM(UPPER(W206)),2,1))&lt;=90,CODE(MID(TRIM(UPPER(W206)),3,1))&gt;=65,CODE(MID(TRIM(UPPER(W206)),3,1))&lt;=90,CODE(MID(TRIM(UPPER(W206)),4,1))&gt;=65,CODE(MID(TRIM(UPPER(W206)),4,1))&lt;=90,CODE(MID(TRIM(UPPER(W206)),5,1))&gt;=65,CODE(MID(TRIM(UPPER(W206)),5,1))&lt;=90,CODE(MID(TRIM(UPPER(W206)),10,1))&gt;=65,CODE(MID(TRIM(UPPER(W206)),10,1))&lt;=90,CODE(MID(TRIM(UPPER(W206)),6,1))&gt;=48,CODE(MID(TRIM(UPPER(W206)),6,1))&lt;=57,CODE(MID(TRIM(UPPER(W206)),7,1))&gt;=48,CODE(MID(TRIM(UPPER(W206)),7,1))&lt;=57,CODE(MID(TRIM(UPPER(W206)),8,1))&gt;=48,CODE(MID(TRIM(UPPER(W206)),8,1))&lt;=57,CODE(MID(TRIM(UPPER(W206)),9,1))&gt;=48,CODE(MID(TRIM(UPPER(W206)),9,1))&lt;=57),"N","Y"),IF($B206="Challan","",IF(W206&lt;&gt;"","◄ Set Row Type","")))</f>
      </c>
      <c r="Y206" s="23">
        <f>IF($B206="Entry",IF(LEN(W206)&lt;4,"",IF(UPPER(MID(W206,4,1))="P","Individual",IF(UPPER(MID(W206,4,1))="H","HUF",IF(UPPER(MID(W206,4,1))="C","Company",IF(UPPER(MID(W206,4,1))="F","Firm",IF(UPPER(MID(W206,4,1))="L","LLP",IF(UPPER(MID(W206,4,1))="T","Trust",IF(UPPER(MID(W206,4,1))="A","AOP","")))))))),IF($B206="Challan","",IF(W206&lt;&gt;"","◄ Set Row Type","")))</f>
      </c>
      <c r="Z206" s="28"/>
      <c r="AA206" s="29">
        <f>IF($B206&lt;&gt;"Entry","",IF(Z206="","",IF(X206="Y",SUMPRODUCT(('Rate Lookup'!$A$1:$A$37=Z206)*'Rate Lookup'!$D$1:$D$37),IF(OR(Y206="Individual",Y206="HUF"),SUMPRODUCT(('Rate Lookup'!$A$1:$A$37=Z206)*'Rate Lookup'!$B$1:$B$37),SUMPRODUCT(('Rate Lookup'!$A$1:$A$37=Z206)*'Rate Lookup'!$C$1:$C$37)))))</f>
      </c>
      <c r="AB206" s="30"/>
      <c r="AC206" s="31"/>
      <c r="AD206" s="27">
        <f>IF($B206&lt;&gt;"Entry","",ROUND(AC206*AA206/100,0))</f>
      </c>
      <c r="AE206" s="27">
        <f>IF($B206&lt;&gt;"Entry","",0)</f>
      </c>
      <c r="AF206" s="27">
        <f>IF($B206&lt;&gt;"Entry","",0)</f>
      </c>
      <c r="AG206" s="27">
        <f>IF($B206&lt;&gt;"Entry","",IF(OR(AD206=0,AB206="",AQ206="",AQ206&lt;=0),0,IF(AQ206&lt;=DATE(YEAR(AB206),MONTH(AB206)+1,7),0,ROUND(AD206*0.015*((YEAR(AQ206)-YEAR(AB206))*12+(MONTH(AQ206)-MONTH(AB206))+1),0))))</f>
      </c>
      <c r="AH206" s="27">
        <f>IF($B206&lt;&gt;"Entry","",0)</f>
      </c>
      <c r="AI206" s="28"/>
      <c r="AJ206" s="28"/>
      <c r="AK206" s="32"/>
      <c r="AL206" s="28"/>
      <c r="AM206" s="28"/>
      <c r="AN206" s="27">
        <f>IF($B206&lt;&gt;"Challan","",SUMIF('Q1 Data'!$D$4:$D$207,D206,'Q1 Data'!$AD$4:$AD$207)+SUMIF('Q1 Data'!$D$4:$D$207,D206,'Q1 Data'!$AG$4:$AG$207)+SUMIF('Q1 Data'!$D$4:$D$207,D206,'Q1 Data'!$AE$4:$AE$207)+SUMIF('Q2 Data'!$D$4:$D$207,D206,'Q2 Data'!$AD$4:$AD$207)+SUMIF('Q2 Data'!$D$4:$D$207,D206,'Q2 Data'!$AG$4:$AG$207)+SUMIF('Q2 Data'!$D$4:$D$207,D206,'Q2 Data'!$AE$4:$AE$207)+SUMIF('Q3 Data'!$D$4:$D$207,D206,'Q3 Data'!$AD$4:$AD$207)+SUMIF('Q3 Data'!$D$4:$D$207,D206,'Q3 Data'!$AG$4:$AG$207)+SUMIF('Q3 Data'!$D$4:$D$207,D206,'Q3 Data'!$AE$4:$AE$207)+SUMIF('Q4 Data'!$D$4:$D$207,D206,'Q4 Data'!$AD$4:$AD$207)+SUMIF('Q4 Data'!$D$4:$D$207,D206,'Q4 Data'!$AG$4:$AG$207)+SUMIF('Q4 Data'!$D$4:$D$207,D206,'Q4 Data'!$AE$4:$AE$207))</f>
      </c>
      <c r="AO206" s="27">
        <f>IF($B206&lt;&gt;"Challan","",P206-N206)</f>
      </c>
      <c r="AP206" s="27">
        <f>IF($B206&lt;&gt;"Challan","",MAX(0,AO206-AN206))</f>
      </c>
      <c r="AQ206" s="33">
        <f>IF($B206&lt;&gt;"Entry","",SUMPRODUCT(('Q1 Data'!$D$4:$D$207=D206)*('Q1 Data'!$B$4:$B$207="Challan")*'Q1 Data'!$F$4:$F$207)+SUMPRODUCT(('Q2 Data'!$D$4:$D$207=D206)*('Q2 Data'!$B$4:$B$207="Challan")*'Q2 Data'!$F$4:$F$207)+SUMPRODUCT(('Q3 Data'!$D$4:$D$207=D206)*('Q3 Data'!$B$4:$B$207="Challan")*'Q3 Data'!$F$4:$F$207)+SUMPRODUCT(('Q4 Data'!$D$4:$D$207=D206)*('Q4 Data'!$B$4:$B$207="Challan")*'Q4 Data'!$F$4:$F$207))</f>
      </c>
      <c r="AR206" s="34">
        <f>IF(OR($B206&lt;&gt;"Entry",Z206=""),FALSE,AND((SUMPRODUCT(('Q1 Data'!$D$4:$D$207=D206)*('Q1 Data'!$B$4:$B$207="Challan")*('Q1 Data'!$H$4:$H$207&lt;&gt;""))+SUMPRODUCT(('Q2 Data'!$D$4:$D$207=D206)*('Q2 Data'!$B$4:$B$207="Challan")*('Q2 Data'!$H$4:$H$207&lt;&gt;""))+SUMPRODUCT(('Q3 Data'!$D$4:$D$207=D206)*('Q3 Data'!$B$4:$B$207="Challan")*('Q3 Data'!$H$4:$H$207&lt;&gt;""))+SUMPRODUCT(('Q4 Data'!$D$4:$D$207=D206)*('Q4 Data'!$B$4:$B$207="Challan")*('Q4 Data'!$H$4:$H$207&lt;&gt;"")))&gt;0,(SUMPRODUCT(('Q1 Data'!$D$4:$D$207=D206)*('Q1 Data'!$B$4:$B$207="Challan")*('Q1 Data'!$H$4:$H$207=Z206))+SUMPRODUCT(('Q2 Data'!$D$4:$D$207=D206)*('Q2 Data'!$B$4:$B$207="Challan")*('Q2 Data'!$H$4:$H$207=Z206))+SUMPRODUCT(('Q3 Data'!$D$4:$D$207=D206)*('Q3 Data'!$B$4:$B$207="Challan")*('Q3 Data'!$H$4:$H$207=Z206))+SUMPRODUCT(('Q4 Data'!$D$4:$D$207=D206)*('Q4 Data'!$B$4:$B$207="Challan")*('Q4 Data'!$H$4:$H$207=Z206)))=0))</f>
      </c>
    </row>
    <row r="207" spans="1:44" x14ac:dyDescent="0.25">
      <c r="A207" s="20">
        <f>IF($B207="Entry",COUNTIF($B$4:$B207,"Entry"),"")</f>
      </c>
      <c r="B207" s="21"/>
      <c r="C207" s="22"/>
      <c r="D207" s="22"/>
      <c r="E207" s="23">
        <f>IF($B207&lt;&gt;"Challan","",IF(ROUND(AN207-AO207,2)&gt;0,"Over-applied",IF(ROUND(AN207-AO207,2)=0,"Fully Utilised","Unconsumed")))</f>
      </c>
      <c r="F207" s="24"/>
      <c r="G207" s="25"/>
      <c r="H207" s="25"/>
      <c r="I207" s="26"/>
      <c r="J207" s="26"/>
      <c r="K207" s="26"/>
      <c r="L207" s="26"/>
      <c r="M207" s="26"/>
      <c r="N207" s="26"/>
      <c r="O207" s="26"/>
      <c r="P207" s="27">
        <f>IF($B207&lt;&gt;"Challan","",I207+J207+K207+L207+M207+N207)</f>
      </c>
      <c r="Q207" s="25"/>
      <c r="R207" s="25"/>
      <c r="S207" s="25"/>
      <c r="T207" s="25"/>
      <c r="U207" s="25"/>
      <c r="V207" s="28"/>
      <c r="W207" s="28"/>
      <c r="X207" s="23">
        <f>IF($B207="Entry",IF(AND(LEN(TRIM(UPPER(W207)))=10,CODE(MID(TRIM(UPPER(W207)),1,1))&gt;=65,CODE(MID(TRIM(UPPER(W207)),1,1))&lt;=90,CODE(MID(TRIM(UPPER(W207)),2,1))&gt;=65,CODE(MID(TRIM(UPPER(W207)),2,1))&lt;=90,CODE(MID(TRIM(UPPER(W207)),3,1))&gt;=65,CODE(MID(TRIM(UPPER(W207)),3,1))&lt;=90,CODE(MID(TRIM(UPPER(W207)),4,1))&gt;=65,CODE(MID(TRIM(UPPER(W207)),4,1))&lt;=90,CODE(MID(TRIM(UPPER(W207)),5,1))&gt;=65,CODE(MID(TRIM(UPPER(W207)),5,1))&lt;=90,CODE(MID(TRIM(UPPER(W207)),10,1))&gt;=65,CODE(MID(TRIM(UPPER(W207)),10,1))&lt;=90,CODE(MID(TRIM(UPPER(W207)),6,1))&gt;=48,CODE(MID(TRIM(UPPER(W207)),6,1))&lt;=57,CODE(MID(TRIM(UPPER(W207)),7,1))&gt;=48,CODE(MID(TRIM(UPPER(W207)),7,1))&lt;=57,CODE(MID(TRIM(UPPER(W207)),8,1))&gt;=48,CODE(MID(TRIM(UPPER(W207)),8,1))&lt;=57,CODE(MID(TRIM(UPPER(W207)),9,1))&gt;=48,CODE(MID(TRIM(UPPER(W207)),9,1))&lt;=57),"N","Y"),IF($B207="Challan","",IF(W207&lt;&gt;"","◄ Set Row Type","")))</f>
      </c>
      <c r="Y207" s="23">
        <f>IF($B207="Entry",IF(LEN(W207)&lt;4,"",IF(UPPER(MID(W207,4,1))="P","Individual",IF(UPPER(MID(W207,4,1))="H","HUF",IF(UPPER(MID(W207,4,1))="C","Company",IF(UPPER(MID(W207,4,1))="F","Firm",IF(UPPER(MID(W207,4,1))="L","LLP",IF(UPPER(MID(W207,4,1))="T","Trust",IF(UPPER(MID(W207,4,1))="A","AOP","")))))))),IF($B207="Challan","",IF(W207&lt;&gt;"","◄ Set Row Type","")))</f>
      </c>
      <c r="Z207" s="28"/>
      <c r="AA207" s="29">
        <f>IF($B207&lt;&gt;"Entry","",IF(Z207="","",IF(X207="Y",SUMPRODUCT(('Rate Lookup'!$A$1:$A$37=Z207)*'Rate Lookup'!$D$1:$D$37),IF(OR(Y207="Individual",Y207="HUF"),SUMPRODUCT(('Rate Lookup'!$A$1:$A$37=Z207)*'Rate Lookup'!$B$1:$B$37),SUMPRODUCT(('Rate Lookup'!$A$1:$A$37=Z207)*'Rate Lookup'!$C$1:$C$37)))))</f>
      </c>
      <c r="AB207" s="30"/>
      <c r="AC207" s="31"/>
      <c r="AD207" s="27">
        <f>IF($B207&lt;&gt;"Entry","",ROUND(AC207*AA207/100,0))</f>
      </c>
      <c r="AE207" s="27">
        <f>IF($B207&lt;&gt;"Entry","",0)</f>
      </c>
      <c r="AF207" s="27">
        <f>IF($B207&lt;&gt;"Entry","",0)</f>
      </c>
      <c r="AG207" s="27">
        <f>IF($B207&lt;&gt;"Entry","",IF(OR(AD207=0,AB207="",AQ207="",AQ207&lt;=0),0,IF(AQ207&lt;=DATE(YEAR(AB207),MONTH(AB207)+1,7),0,ROUND(AD207*0.015*((YEAR(AQ207)-YEAR(AB207))*12+(MONTH(AQ207)-MONTH(AB207))+1),0))))</f>
      </c>
      <c r="AH207" s="27">
        <f>IF($B207&lt;&gt;"Entry","",0)</f>
      </c>
      <c r="AI207" s="28"/>
      <c r="AJ207" s="28"/>
      <c r="AK207" s="32"/>
      <c r="AL207" s="28"/>
      <c r="AM207" s="28"/>
      <c r="AN207" s="27">
        <f>IF($B207&lt;&gt;"Challan","",SUMIF('Q1 Data'!$D$4:$D$207,D207,'Q1 Data'!$AD$4:$AD$207)+SUMIF('Q1 Data'!$D$4:$D$207,D207,'Q1 Data'!$AG$4:$AG$207)+SUMIF('Q1 Data'!$D$4:$D$207,D207,'Q1 Data'!$AE$4:$AE$207)+SUMIF('Q2 Data'!$D$4:$D$207,D207,'Q2 Data'!$AD$4:$AD$207)+SUMIF('Q2 Data'!$D$4:$D$207,D207,'Q2 Data'!$AG$4:$AG$207)+SUMIF('Q2 Data'!$D$4:$D$207,D207,'Q2 Data'!$AE$4:$AE$207)+SUMIF('Q3 Data'!$D$4:$D$207,D207,'Q3 Data'!$AD$4:$AD$207)+SUMIF('Q3 Data'!$D$4:$D$207,D207,'Q3 Data'!$AG$4:$AG$207)+SUMIF('Q3 Data'!$D$4:$D$207,D207,'Q3 Data'!$AE$4:$AE$207)+SUMIF('Q4 Data'!$D$4:$D$207,D207,'Q4 Data'!$AD$4:$AD$207)+SUMIF('Q4 Data'!$D$4:$D$207,D207,'Q4 Data'!$AG$4:$AG$207)+SUMIF('Q4 Data'!$D$4:$D$207,D207,'Q4 Data'!$AE$4:$AE$207))</f>
      </c>
      <c r="AO207" s="27">
        <f>IF($B207&lt;&gt;"Challan","",P207-N207)</f>
      </c>
      <c r="AP207" s="27">
        <f>IF($B207&lt;&gt;"Challan","",MAX(0,AO207-AN207))</f>
      </c>
      <c r="AQ207" s="33">
        <f>IF($B207&lt;&gt;"Entry","",SUMPRODUCT(('Q1 Data'!$D$4:$D$207=D207)*('Q1 Data'!$B$4:$B$207="Challan")*'Q1 Data'!$F$4:$F$207)+SUMPRODUCT(('Q2 Data'!$D$4:$D$207=D207)*('Q2 Data'!$B$4:$B$207="Challan")*'Q2 Data'!$F$4:$F$207)+SUMPRODUCT(('Q3 Data'!$D$4:$D$207=D207)*('Q3 Data'!$B$4:$B$207="Challan")*'Q3 Data'!$F$4:$F$207)+SUMPRODUCT(('Q4 Data'!$D$4:$D$207=D207)*('Q4 Data'!$B$4:$B$207="Challan")*'Q4 Data'!$F$4:$F$207))</f>
      </c>
      <c r="AR207" s="34">
        <f>IF(OR($B207&lt;&gt;"Entry",Z207=""),FALSE,AND((SUMPRODUCT(('Q1 Data'!$D$4:$D$207=D207)*('Q1 Data'!$B$4:$B$207="Challan")*('Q1 Data'!$H$4:$H$207&lt;&gt;""))+SUMPRODUCT(('Q2 Data'!$D$4:$D$207=D207)*('Q2 Data'!$B$4:$B$207="Challan")*('Q2 Data'!$H$4:$H$207&lt;&gt;""))+SUMPRODUCT(('Q3 Data'!$D$4:$D$207=D207)*('Q3 Data'!$B$4:$B$207="Challan")*('Q3 Data'!$H$4:$H$207&lt;&gt;""))+SUMPRODUCT(('Q4 Data'!$D$4:$D$207=D207)*('Q4 Data'!$B$4:$B$207="Challan")*('Q4 Data'!$H$4:$H$207&lt;&gt;"")))&gt;0,(SUMPRODUCT(('Q1 Data'!$D$4:$D$207=D207)*('Q1 Data'!$B$4:$B$207="Challan")*('Q1 Data'!$H$4:$H$207=Z207))+SUMPRODUCT(('Q2 Data'!$D$4:$D$207=D207)*('Q2 Data'!$B$4:$B$207="Challan")*('Q2 Data'!$H$4:$H$207=Z207))+SUMPRODUCT(('Q3 Data'!$D$4:$D$207=D207)*('Q3 Data'!$B$4:$B$207="Challan")*('Q3 Data'!$H$4:$H$207=Z207))+SUMPRODUCT(('Q4 Data'!$D$4:$D$207=D207)*('Q4 Data'!$B$4:$B$207="Challan")*('Q4 Data'!$H$4:$H$207=Z207)))=0))</f>
      </c>
    </row>
  </sheetData>
  <sheetProtection sheet="1" formatCells="0" formatColumns="0" formatRows="0"/>
  <mergeCells count="2">
    <mergeCell ref="A1:AP1"/>
    <mergeCell ref="A2:AP2"/>
  </mergeCells>
  <conditionalFormatting sqref="A4:AP207">
    <cfRule type="expression" dxfId="27" priority="4">
      <formula>$B4="Challan"</formula>
    </cfRule>
  </conditionalFormatting>
  <conditionalFormatting sqref="A4:AP207">
    <cfRule type="expression" dxfId="28" priority="1">
      <formula>E4="Over-applied"</formula>
    </cfRule>
    <cfRule type="expression" dxfId="29" priority="2">
      <formula>E4="Fully Utilised"</formula>
    </cfRule>
    <cfRule type="expression" dxfId="30" priority="3">
      <formula>E4="Unconsumed"</formula>
    </cfRule>
  </conditionalFormatting>
  <conditionalFormatting sqref="Z4:Z207">
    <cfRule type="expression" dxfId="31" priority="5">
      <formula>AR4=TRUE</formula>
    </cfRule>
  </conditionalFormatting>
  <conditionalFormatting sqref="W4:W207">
    <cfRule type="expression" dxfId="32" priority="6">
      <formula>X4="Y"</formula>
    </cfRule>
  </conditionalFormatting>
  <conditionalFormatting sqref="X4:X207">
    <cfRule type="expression" dxfId="33" priority="7">
      <formula>X4="Y"</formula>
    </cfRule>
  </conditionalFormatting>
  <conditionalFormatting sqref="A2:AP2">
    <cfRule type="expression" dxfId="34" priority="8">
      <formula>ISNUMBER(SEARCH("VALIDATION FAILED",A2))</formula>
    </cfRule>
    <cfRule type="expression" dxfId="35" priority="9">
      <formula>ISNUMBER(SEARCH("Validation Successful",A2))</formula>
    </cfRule>
  </conditionalFormatting>
  <dataValidations count="20">
    <dataValidation type="date" allowBlank="1" showErrorMessage="1" errorTitle="Invalid Date" error="Enter a real date (use the date picker), between 01-Apr-2020 and 31-Mar-2030." sqref="AB4:AB207">
      <formula1>43922</formula1>
      <formula2>47573</formula2>
    </dataValidation>
    <dataValidation type="decimal" operator="greaterThanOrEqual" allowBlank="1" showErrorMessage="1" errorTitle="Invalid Amount" error="Must be a number of 0 or more." sqref="AC4:AC207">
      <formula1>0</formula1>
    </dataValidation>
    <dataValidation type="list" allowBlank="1" showErrorMessage="1" errorTitle="Invalid Reason Code" error="Pick a Reason Code from the dropdown (A/B/C/D/E/Y/Z)." sqref="AI4:AI207">
      <formula1>"A,B,C,D,E,Y,Z"</formula1>
    </dataValidation>
    <dataValidation type="decimal" allowBlank="1" showErrorMessage="1" errorTitle="Invalid Rate" error="Rate must be a number between 0 and 100." sqref="AK4:AK207">
      <formula1>0</formula1>
      <formula2>100</formula2>
    </dataValidation>
    <dataValidation type="list" showErrorMessage="1" errorTitle="Invalid Row Type" error="Pick either Challan or Entry from the dropdown." sqref="B4:B207">
      <formula1>"Challan,Entry"</formula1>
    </dataValidation>
    <dataValidation type="textLength" operator="equal" allowBlank="1" showErrorMessage="1" errorTitle="Invalid BSR Code" error="BSR Code must be exactly 7 characters." sqref="C4:C207">
      <formula1>7</formula1>
    </dataValidation>
    <dataValidation type="custom" allowBlank="1" showErrorMessage="1" errorTitle="Invalid Challan Serial No." error="On a Challan row, Challan Serial No. must be exactly 5 digits and unique across ALL FOUR quarter tabs — the same challan can only be entered once, in the quarter it was actually deposited." sqref="D4:D207">
      <formula1>OR($B4&lt;&gt;"Challan",AND(LEN(D4)=5,(COUNTIFS('Q1 Data'!$B$4:$B$207,"Challan",'Q1 Data'!$D$4:$D$207,D4)+COUNTIFS('Q2 Data'!$B$4:$B$207,"Challan",'Q2 Data'!$D$4:$D$207,D4)+COUNTIFS('Q3 Data'!$B$4:$B$207,"Challan",'Q3 Data'!$D$4:$D$207,D4)+COUNTIFS('Q4 Data'!$B$4:$B$207,"Challan",'Q4 Data'!$D$4:$D$207,D4))=1))</formula1>
    </dataValidation>
    <dataValidation type="date" allowBlank="1" showErrorMessage="1" errorTitle="Invalid Date" error="Enter a real date (use the date picker), between 01-Apr-2020 and 31-Mar-2030." sqref="F4:F207">
      <formula1>43922</formula1>
      <formula2>47573</formula2>
    </dataValidation>
    <dataValidation type="list" allowBlank="1" showErrorMessage="1" errorTitle="Invalid Minor Head" error="Pick 200 (TDS Payable) or 400 (Demand) from the dropdown." sqref="G4:G207">
      <formula1>"200,400"</formula1>
    </dataValidation>
    <dataValidation type="list" allowBlank="1" showErrorMessage="1" errorTitle="Invalid Section" error="Pick a section from the dropdown list." sqref="H4:H207">
      <formula1>'Rate Lookup'!$A$1:$A$37</formula1>
    </dataValidation>
    <dataValidation type="decimal" operator="greaterThanOrEqual" allowBlank="1" showErrorMessage="1" errorTitle="Invalid Amount" error="Must be a number of 0 or more." sqref="I4:I207">
      <formula1>0</formula1>
    </dataValidation>
    <dataValidation type="decimal" operator="greaterThanOrEqual" allowBlank="1" showErrorMessage="1" errorTitle="Invalid Amount" error="Must be a number of 0 or more." sqref="J4:J207">
      <formula1>0</formula1>
    </dataValidation>
    <dataValidation type="decimal" operator="greaterThanOrEqual" allowBlank="1" showErrorMessage="1" errorTitle="Invalid Amount" error="Must be a number of 0 or more." sqref="K4:K207">
      <formula1>0</formula1>
    </dataValidation>
    <dataValidation type="decimal" operator="greaterThanOrEqual" allowBlank="1" showErrorMessage="1" errorTitle="Invalid Amount" error="Must be a number of 0 or more." sqref="L4:L207">
      <formula1>0</formula1>
    </dataValidation>
    <dataValidation type="decimal" operator="greaterThanOrEqual" allowBlank="1" showErrorMessage="1" errorTitle="Invalid Amount" error="Must be a number of 0 or more." sqref="M4:M207">
      <formula1>0</formula1>
    </dataValidation>
    <dataValidation type="decimal" operator="greaterThanOrEqual" allowBlank="1" showErrorMessage="1" errorTitle="Invalid Amount" error="Must be a number of 0 or more." sqref="N4:N207">
      <formula1>0</formula1>
    </dataValidation>
    <dataValidation type="custom" allowBlank="1" showErrorMessage="1" errorTitle="Invalid Late Fees Used" error="Late Fees Used cannot be negative or exceed Late Fees u/s 234E." sqref="O4:O207">
      <formula1>AND(O4&gt;=0,O4&lt;=N4)</formula1>
    </dataValidation>
    <dataValidation type="custom" allowBlank="1" showErrorMessage="1" errorTitle="Invalid Bank Name" error="Bank Name must be a name, not a number." sqref="Q4:Q207">
      <formula1>LEN(SUBSTITUTE(SUBSTITUTE(SUBSTITUTE(SUBSTITUTE(SUBSTITUTE(SUBSTITUTE(SUBSTITUTE(SUBSTITUTE(SUBSTITUTE(SUBSTITUTE(SUBSTITUTE(SUBSTITUTE(SUBSTITUTE(Q4,"0",""),"1",""),"2",""),"3",""),"4",""),"5",""),"6",""),"7",""),"8",""),"9",""),",",""),".","")," ",""))&gt;0</formula1>
    </dataValidation>
    <dataValidation type="list" allowBlank="1" showErrorMessage="1" errorTitle="Invalid value" error="Pick Y or N from the dropdown." sqref="R4:R207">
      <formula1>"Y,N"</formula1>
    </dataValidation>
    <dataValidation type="list" allowBlank="1" showErrorMessage="1" errorTitle="Invalid Section for this Deductee Type" error="194C(a) is Individual/HUF only; 194C(b) is for every other deductee type. Pick the option matching this row's own Deductee Type (column Y)." sqref="Z4:Z207">
      <formula1>IF(OR($Y4="Individual",$Y4="HUF"),'Rate Lookup'!$F$1:$F$36,'Rate Lookup'!$G$1:$G$36)</formula1>
    </dataValidation>
  </dataValidations>
  <pageMargins left="0.7" right="0.7" top="0.75" bottom="0.75" header="0.3" footer="0.3"/>
  <pageSetup orientation="portrait" horizontalDpi="4294967295" verticalDpi="4294967295" scale="100" fitToWidth="1" fitToHeight="1"/>
  <ignoredErrors>
    <ignoredError sqref="C4:D207 F4:F207" numberStoredAsText="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Instructions</vt:lpstr>
      <vt:lpstr>Rate Lookup</vt:lpstr>
      <vt:lpstr>Q1 Data</vt:lpstr>
      <vt:lpstr>Q2 Data</vt:lpstr>
      <vt:lpstr>Q3 Data</vt:lpstr>
      <vt:lpstr>Q4 Data</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CAFlow</dc:creator>
  <dc:title/>
  <dc:subject/>
  <dc:description/>
  <cp:keywords/>
  <cp:category/>
  <cp:lastModifiedBy>Unknown</cp:lastModifiedBy>
  <dcterms:created xsi:type="dcterms:W3CDTF">2026-07-30T14:13:06Z</dcterms:created>
  <dcterms:modified xsi:type="dcterms:W3CDTF">2026-07-30T14:13:06Z</dcterms:modified>
</cp:coreProperties>
</file>