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Q1 Data" state="visible" r:id="rId6"/>
    <sheet sheetId="4" name="Q2 Data" state="visible" r:id="rId7"/>
    <sheet sheetId="5" name="Q3 Data" state="visible" r:id="rId8"/>
    <sheet sheetId="6" name="Q4 Data" state="visible" r:id="rId9"/>
  </sheets>
  <calcPr calcMode="auto" calcId="171027" fullCalcOnLoad="1"/>
</workbook>
</file>

<file path=xl/sharedStrings.xml><?xml version="1.0" encoding="utf-8"?>
<sst xmlns="http://schemas.openxmlformats.org/spreadsheetml/2006/main" count="324" uniqueCount="176">
  <si>
    <t>TDS Data Entry — Client Template</t>
  </si>
  <si>
    <t>Four cross-linked quarter tabs mirroring the software's own Data Entry screen as closely as a static workbook can.</t>
  </si>
  <si>
    <t>How This Template Works</t>
  </si>
  <si>
    <t>•  This workbook has SIX sheets: this Instructions sheet, and four data-entry tabs — Q1 Data, Q2 Data, Q3 Data, Q4 Data — one per quarter. All four are IDENTICAL in structure (same columns, same dropdowns, same formulas); the only difference is which quarter's challans and entries you record on each one.</t>
  </si>
  <si>
    <t>•  A challan is identified the SAME way the software identifies it — by BSR Code + Challan Serial No. There is no separate "Challan ID" to invent. Enter a challan on the tab for the QUARTER it was actually deposited, exactly once — its Serial No. must be unique across ALL FOUR tabs combined, not just within one tab.</t>
  </si>
  <si>
    <t>•  Every row on each quarter tab is tagged Challan or Entry via the Row Type dropdown. Add a Challan row with its full deposit breakdown, then add one Entry row directly below it for every deductee paid under that challan — repeating that SAME Challan Serial No. in the Entry row to link back to it.</t>
  </si>
  <si>
    <t>•  CHALLAN CARRY-FORWARD: a challan's "Applied" and "Balance" figures are NOT limited to entries on the same tab as the challan — they sum EVERY entry linked to that Challan Serial No. across ALL FOUR quarter tabs. Deposit a challan in Q1 with room to spare, then add an entry against that SAME Serial No. on the Q2 (or Q3, or Q4) tab, and Q1's own Balance updates to show the reduced remaining amount — this is exactly how the software's own live-database lookup works, reproduced here with cross-sheet formulas instead of a database query.</t>
  </si>
  <si>
    <t>•  "Applied", "Allocatable", "Balance" and "Status" (green columns, Challan rows only) update live as you add entries anywhere in the workbook. Status sits right after Challan Serial No. so you can see at a glance whether a challan is Over-applied, Fully Utilised, or still has room — and an Over-applied challan's ENTIRE row is highlighted red, not just the Status cell, on whichever tab that challan itself lives on.</t>
  </si>
  <si>
    <t>•  Row 2 on each tab is a live Validation Summary banner scoped to THAT tab's own challans — it recalculates automatically on every keystroke and shows "✅ Validation Successful" (green) when none of this tab's challans are over-applied, or "❌ VALIDATION FAILED" (red) with a count otherwise. Because Applied/Balance already account for all four tabs, a challan that only becomes over-applied once a LATER quarter's entry pushes it over correctly turns red on the tab where the CHALLAN itself was entered. A plain Excel file (no macros) can't have a clickable "Validate" button with a pop-up message — this is the equivalent that can never go stale, needs no "Enable Macros" security prompt, and works the same in Google Sheets/LibreOffice too.</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</si>
  <si>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(found via a cross-tab lookup, wherever that challan itself lives).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</si>
  <si>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</si>
  <si>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</si>
  <si>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</si>
  <si>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Q1's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 Q2/Q3/Q4 start with no worked example, since a second, third and fourth copy of the same demo would only add clutter.</t>
  </si>
  <si>
    <t>•  A Challan row's own "Section" (blue) is optional — it's the challan's predominant/default section, for your reference. If an Entry's Section differs from its linked Challan's Section (found across all four tabs),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</si>
  <si>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on every tab — the sheets are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on any tab if you ever need to.</t>
  </si>
  <si>
    <t>•  Do not rename a tab away from its own "Qx Data" name (except as described below for upload), insert/delete columns, or change the header row (row 3) on any tab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</si>
  <si>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</si>
  <si>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Uploading to Validate &amp; Finalise (please read)</t>
  </si>
  <si>
    <t>•  This workbook is a reference/planning document for all four quarters at once — the software's own Validate &amp; Finalise import still works ONE quarter at a time, matched by the exact tab name "TDS Data". To upload a specific quarter: make a COPY of this file (so the other three quarters' data isn't lost), rename that copy's relevant "Qx Data" tab to exactly "TDS Data", delete the other three quarter tabs from the copy, then upload that copy for that quarter's filing.</t>
  </si>
  <si>
    <t>•  This does not change or extend the software's import in any way — it consumes exactly what it always has (a single sheet literally named "TDS Data"). The four-tab structure above is purely so you can plan and track carry-forward across the whole year in one place before uploading each quarter separately.</t>
  </si>
  <si>
    <t>What This Template CANNOT Do (please read)</t>
  </si>
  <si>
    <t>•  Global Challan Number uniqueness: the software checks a new Challan Number against every challan for every client and firm, live. This workbook can only check for duplicates within its own four tabs.</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</si>
  <si>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</si>
  <si>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</si>
  <si>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</si>
  <si>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 and is the SAME list on all four quarter tabs.</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</si>
  <si>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</si>
  <si>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</si>
  <si>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</si>
  <si>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</si>
  <si>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 on ANY of the four tabs. Must be unique across all four tabs combined.</t>
    </r>
  </si>
  <si>
    <r>
      <rPr>
        <b/>
        <sz val="10"/>
        <rFont val="Arial"/>
      </rPr>
      <t xml:space="preserve">Status (auto): </t>
    </r>
    <r>
      <rPr>
        <sz val="10"/>
        <rFont val="Arial"/>
      </rPr>
      <t>Calculates automatically — Over-applied, Fully Utilised, or Unconsumed, based on Applied (all four tabs) vs Allocatable. Do not edit. An Over-applied challan's entire row is shaded red as a heads-up, on the tab where the challan itself was entered.</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</si>
  <si>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</si>
  <si>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</si>
  <si>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(checked across all four tabs),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</si>
  <si>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</si>
  <si>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</si>
  <si>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</si>
  <si>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</si>
  <si>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</si>
  <si>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</si>
  <si>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</si>
  <si>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</si>
  <si>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</si>
  <si>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</si>
  <si>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</si>
  <si>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</si>
  <si>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</si>
  <si>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</si>
  <si>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 on THIS tab or any of the other three — this is how the entry links to its challan, wherever it lives.</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</si>
  <si>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</si>
  <si>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</si>
  <si>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</si>
  <si>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</si>
  <si>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</si>
  <si>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</si>
  <si>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</si>
  <si>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</si>
  <si>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</si>
  <si>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</si>
  <si>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</si>
  <si>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(found wherever that challan itself lives).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</si>
  <si>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</si>
  <si>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</si>
  <si>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</si>
  <si>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</si>
  <si>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</si>
  <si>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</si>
  <si>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</si>
  <si>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[all quarters]: </t>
    </r>
    <r>
      <rPr>
        <sz val="10"/>
        <rFont val="Arial"/>
      </rPr>
      <t>Sum of TDS + Interest + Surcharge across every Entry row linked to this challan, on ANY of the four quarter tabs — this is the carry-forward figure.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</si>
  <si>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</si>
  <si>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[all quarters]: </t>
    </r>
    <r>
      <rPr>
        <sz val="10"/>
        <rFont val="Arial"/>
      </rPr>
      <t>MAX(0, Allocatable − Applied) — how much of this challan is still unconsumed across the whole year.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</si>
  <si>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</si>
  <si>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</si>
  <si>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</si>
  <si>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</si>
  <si>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</si>
  <si>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</si>
  <si>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</si>
  <si>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1058 : [194B] : 393(3) [Table: Sl. No. 1] – Winnings from lottery, crossword puzzles, card games and other games</t>
  </si>
  <si>
    <t>1062 : [194BB] : 393(3) [Table: S.No. 3] – Winnings from horse races</t>
  </si>
  <si>
    <t>1023 : [194C] : 393(1) [Table: S.N. 6(i).D(a)] – Payments to contractors and sub-contractors (Individual/HUF)</t>
  </si>
  <si>
    <t>1024 : [194C]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</si>
  <si>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</si>
  <si>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</si>
  <si>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</si>
  <si>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</si>
  <si>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</si>
  <si>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</si>
  <si>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</si>
  <si>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</si>
  <si>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</si>
  <si>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</si>
  <si>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</si>
  <si>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</si>
  <si>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</si>
  <si>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</si>
  <si>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</si>
  <si>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</si>
  <si>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</si>
  <si>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</si>
  <si>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</si>
  <si>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</si>
  <si>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</si>
  <si>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1057 : [195] : 393(2) [Table: Sl. No. 17] – Payment to a non-resident (other than salary)</t>
  </si>
  <si>
    <t>1050 : [196A] : 393(2) – Income from units of a specified mutual fund/UTI paid to a non-resident</t>
  </si>
  <si>
    <t>1055 : [196D] : 393(2) [Table: Sl. No. 15] – Income of Foreign Institutional Investors from securities</t>
  </si>
  <si>
    <t>1073 : [206C(1)] : 394(1) [Table: S.N. 4] – Sale of scrap (TCS)</t>
  </si>
  <si>
    <t>206C(1H) — Sale of Goods (TCS) — NOTE: this TCS provision was abolished by the Finance Act 2025, effective 1-Apr-2025, a full year before the Section 393 reform even took effect. It no longer applies to any transaction from FY2025-26 onward.</t>
  </si>
  <si>
    <t>Q1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</si>
  <si>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</si>
  <si>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</si>
  <si>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</si>
  <si>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</si>
  <si>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</si>
  <si>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</si>
  <si>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</si>
  <si>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</si>
  <si>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</si>
  <si>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</si>
  <si>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</si>
  <si>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</si>
  <si>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</si>
  <si>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</si>
  <si>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</si>
  <si>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</si>
  <si>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</si>
  <si>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</si>
  <si>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</si>
  <si>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</si>
  <si>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</si>
  <si>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</si>
  <si>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</si>
  <si>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</si>
  <si>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</si>
  <si>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</si>
  <si>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</si>
  <si>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</si>
  <si>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</si>
  <si>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</si>
  <si>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</si>
  <si>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</si>
  <si>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</si>
  <si>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</si>
  <si>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</si>
  <si>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</si>
  <si>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</si>
  <si>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</si>
  <si>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</si>
  <si>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 [all quarters]</t>
  </si>
  <si>
    <t>Allocatable (₹)</t>
  </si>
  <si>
    <t>Balance (₹) [all quarters]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</si>
  <si>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</si>
  <si>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</si>
  <si>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</si>
  <si>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</si>
  <si>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</si>
  <si>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</si>
  <si>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</si>
  <si>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</si>
  <si>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</si>
  <si>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</si>
  <si>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</si>
  <si>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</si>
  <si>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</si>
  <si>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</si>
  <si>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</si>
  <si>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</si>
  <si>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</si>
  <si>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</si>
  <si>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</si>
  <si>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</si>
  <si>
    <t>Q2 — each Challan row's full details, followed by its Entry rows</t>
  </si>
  <si>
    <t>Q3 — each Challan row's full details, followed by its Entry rows</t>
  </si>
  <si>
    <t>Q4 — each Challan row's full details, followed by its Entry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</si>
</sst>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36">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1"/>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65" customHeight="1" spans="1:1" x14ac:dyDescent="0.25">
      <c r="A6" s="4" t="s">
        <v>3</v>
      </c>
    </row>
    <row r="7" ht="65" customHeight="1" spans="1:1" x14ac:dyDescent="0.25">
      <c r="A7" s="4" t="s">
        <v>4</v>
      </c>
    </row>
    <row r="8" ht="65" customHeight="1" spans="1:1" x14ac:dyDescent="0.25">
      <c r="A8" s="4" t="s">
        <v>5</v>
      </c>
    </row>
    <row r="9" ht="95" customHeight="1" spans="1:1" x14ac:dyDescent="0.25">
      <c r="A9" s="4" t="s">
        <v>6</v>
      </c>
    </row>
    <row r="10" ht="80" customHeight="1" spans="1:1" x14ac:dyDescent="0.25">
      <c r="A10" s="4" t="s">
        <v>7</v>
      </c>
    </row>
    <row r="11" ht="125" customHeight="1" spans="1:1" x14ac:dyDescent="0.25">
      <c r="A11" s="4" t="s">
        <v>8</v>
      </c>
    </row>
    <row r="12" ht="110" customHeight="1" spans="1:1" x14ac:dyDescent="0.25">
      <c r="A12" s="4" t="s">
        <v>9</v>
      </c>
    </row>
    <row r="13" ht="50" customHeight="1" spans="1:1" x14ac:dyDescent="0.25">
      <c r="A13" s="4" t="s">
        <v>10</v>
      </c>
    </row>
    <row r="14" ht="80" customHeight="1" spans="1:1" x14ac:dyDescent="0.25">
      <c r="A14" s="4" t="s">
        <v>11</v>
      </c>
    </row>
    <row r="15" ht="50" customHeight="1" spans="1:1" x14ac:dyDescent="0.25">
      <c r="A15" s="4" t="s">
        <v>12</v>
      </c>
    </row>
    <row r="16" ht="95" customHeight="1" spans="1:1" x14ac:dyDescent="0.25">
      <c r="A16" s="4" t="s">
        <v>13</v>
      </c>
    </row>
    <row r="17" ht="65" customHeight="1" spans="1:1" x14ac:dyDescent="0.25">
      <c r="A17" s="4" t="s">
        <v>14</v>
      </c>
    </row>
    <row r="18" ht="110" customHeight="1" spans="1:1" x14ac:dyDescent="0.25">
      <c r="A18" s="4" t="s">
        <v>15</v>
      </c>
    </row>
    <row r="19" ht="50" customHeight="1" spans="1:1" x14ac:dyDescent="0.25">
      <c r="A19" s="4" t="s">
        <v>16</v>
      </c>
    </row>
    <row r="20" ht="65" customHeight="1" spans="1:1" x14ac:dyDescent="0.25">
      <c r="A20" s="4" t="s">
        <v>17</v>
      </c>
    </row>
    <row r="22" spans="1:1" x14ac:dyDescent="0.25">
      <c r="A22" s="3" t="s">
        <v>18</v>
      </c>
    </row>
    <row r="23" ht="80" customHeight="1" spans="1:1" x14ac:dyDescent="0.25">
      <c r="A23" s="4" t="s">
        <v>19</v>
      </c>
    </row>
    <row r="24" ht="65" customHeight="1" spans="1:1" x14ac:dyDescent="0.25">
      <c r="A24" s="4" t="s">
        <v>20</v>
      </c>
    </row>
    <row r="26" spans="1:1" x14ac:dyDescent="0.25">
      <c r="A26" s="3" t="s">
        <v>21</v>
      </c>
    </row>
    <row r="27" ht="50" customHeight="1" spans="1:1" x14ac:dyDescent="0.25">
      <c r="A27" s="4" t="s">
        <v>22</v>
      </c>
    </row>
    <row r="28" ht="50" customHeight="1" spans="1:1" x14ac:dyDescent="0.25">
      <c r="A28" s="4" t="s">
        <v>23</v>
      </c>
    </row>
    <row r="29" ht="65" customHeight="1" spans="1:1" x14ac:dyDescent="0.25">
      <c r="A29" s="4" t="s">
        <v>24</v>
      </c>
    </row>
    <row r="31" spans="1:1" x14ac:dyDescent="0.25">
      <c r="A31" s="3" t="s">
        <v>25</v>
      </c>
    </row>
    <row r="32" ht="95" customHeight="1" spans="1:1" x14ac:dyDescent="0.25">
      <c r="A32" s="4" t="s">
        <v>26</v>
      </c>
    </row>
    <row r="33" ht="65" customHeight="1" spans="1:1" x14ac:dyDescent="0.25">
      <c r="A33" s="4" t="s">
        <v>27</v>
      </c>
    </row>
    <row r="34" ht="140" customHeight="1" spans="1:1" x14ac:dyDescent="0.25">
      <c r="A34" s="4" t="s">
        <v>28</v>
      </c>
    </row>
    <row r="36" spans="1:1" x14ac:dyDescent="0.25">
      <c r="A36" s="3" t="s">
        <v>29</v>
      </c>
    </row>
    <row r="37" ht="20" customHeight="1" spans="1:1" x14ac:dyDescent="0.25">
      <c r="A37" s="5" t="s">
        <v>30</v>
      </c>
    </row>
    <row r="38" ht="50" customHeight="1" spans="1:1" x14ac:dyDescent="0.25">
      <c r="A38" s="5" t="s">
        <v>31</v>
      </c>
    </row>
    <row r="39" ht="50" customHeight="1" spans="1:1" x14ac:dyDescent="0.25">
      <c r="A39" s="5" t="s">
        <v>32</v>
      </c>
    </row>
    <row r="40" ht="20" customHeight="1" spans="1:1" x14ac:dyDescent="0.25">
      <c r="A40" s="5" t="s">
        <v>33</v>
      </c>
    </row>
    <row r="41" ht="20" customHeight="1" spans="1:1" x14ac:dyDescent="0.25">
      <c r="A41" s="5" t="s">
        <v>34</v>
      </c>
    </row>
    <row r="42" ht="65" customHeight="1" spans="1:1" x14ac:dyDescent="0.25">
      <c r="A42" s="5" t="s">
        <v>35</v>
      </c>
    </row>
    <row r="43" ht="20" customHeight="1" spans="1:1" x14ac:dyDescent="0.25">
      <c r="A43" s="5" t="s">
        <v>36</v>
      </c>
    </row>
    <row r="44" ht="20" customHeight="1" spans="1:1" x14ac:dyDescent="0.25">
      <c r="A44" s="5" t="s">
        <v>37</v>
      </c>
    </row>
    <row r="45" ht="20" customHeight="1" spans="1:1" x14ac:dyDescent="0.25">
      <c r="A45" s="5" t="s">
        <v>38</v>
      </c>
    </row>
    <row r="46" ht="20" customHeight="1" spans="1:1" x14ac:dyDescent="0.25">
      <c r="A46" s="5" t="s">
        <v>39</v>
      </c>
    </row>
    <row r="47" ht="20" customHeight="1" spans="1:1" x14ac:dyDescent="0.25">
      <c r="A47" s="5" t="s">
        <v>40</v>
      </c>
    </row>
    <row r="48" ht="35" customHeight="1" spans="1:1" x14ac:dyDescent="0.25">
      <c r="A48" s="5" t="s">
        <v>41</v>
      </c>
    </row>
    <row r="49" ht="35" customHeight="1" spans="1:1" x14ac:dyDescent="0.25">
      <c r="A49" s="5" t="s">
        <v>42</v>
      </c>
    </row>
    <row r="50" ht="35" customHeight="1" spans="1:1" x14ac:dyDescent="0.25">
      <c r="A50" s="5" t="s">
        <v>43</v>
      </c>
    </row>
    <row r="51" ht="20" customHeight="1" spans="1:1" x14ac:dyDescent="0.25">
      <c r="A51" s="5" t="s">
        <v>44</v>
      </c>
    </row>
    <row r="52" ht="20" customHeight="1" spans="1:1" x14ac:dyDescent="0.25">
      <c r="A52" s="5" t="s">
        <v>45</v>
      </c>
    </row>
    <row r="53" ht="20" customHeight="1" spans="1:1" x14ac:dyDescent="0.25">
      <c r="A53" s="5" t="s">
        <v>46</v>
      </c>
    </row>
    <row r="54" ht="50" customHeight="1" spans="1:1" x14ac:dyDescent="0.25">
      <c r="A54" s="5" t="s">
        <v>47</v>
      </c>
    </row>
    <row r="55" ht="20" customHeight="1" spans="1:1" x14ac:dyDescent="0.25">
      <c r="A55" s="5" t="s">
        <v>48</v>
      </c>
    </row>
    <row r="57" spans="1:1" x14ac:dyDescent="0.25">
      <c r="A57" s="3" t="s">
        <v>49</v>
      </c>
    </row>
    <row r="58" ht="35" customHeight="1" spans="1:1" x14ac:dyDescent="0.25">
      <c r="A58" s="5" t="s">
        <v>50</v>
      </c>
    </row>
    <row r="59" ht="20" customHeight="1" spans="1:1" x14ac:dyDescent="0.25">
      <c r="A59" s="5" t="s">
        <v>51</v>
      </c>
    </row>
    <row r="60" ht="65" customHeight="1" spans="1:1" x14ac:dyDescent="0.25">
      <c r="A60" s="5" t="s">
        <v>52</v>
      </c>
    </row>
    <row r="61" ht="50" customHeight="1" spans="1:1" x14ac:dyDescent="0.25">
      <c r="A61" s="5" t="s">
        <v>53</v>
      </c>
    </row>
    <row r="62" ht="35" customHeight="1" spans="1:1" x14ac:dyDescent="0.25">
      <c r="A62" s="5" t="s">
        <v>54</v>
      </c>
    </row>
    <row r="63" ht="65" customHeight="1" spans="1:1" x14ac:dyDescent="0.25">
      <c r="A63" s="5" t="s">
        <v>55</v>
      </c>
    </row>
    <row r="64" ht="50" customHeight="1" spans="1:1" x14ac:dyDescent="0.25">
      <c r="A64" s="5" t="s">
        <v>56</v>
      </c>
    </row>
    <row r="65" ht="20" customHeight="1" spans="1:1" x14ac:dyDescent="0.25">
      <c r="A65" s="5" t="s">
        <v>57</v>
      </c>
    </row>
    <row r="66" ht="20" customHeight="1" spans="1:1" x14ac:dyDescent="0.25">
      <c r="A66" s="5" t="s">
        <v>58</v>
      </c>
    </row>
    <row r="67" ht="20" customHeight="1" spans="1:1" x14ac:dyDescent="0.25">
      <c r="A67" s="5" t="s">
        <v>59</v>
      </c>
    </row>
    <row r="68" ht="20" customHeight="1" spans="1:1" x14ac:dyDescent="0.25">
      <c r="A68" s="5" t="s">
        <v>60</v>
      </c>
    </row>
    <row r="69" ht="20" customHeight="1" spans="1:1" x14ac:dyDescent="0.25">
      <c r="A69" s="5" t="s">
        <v>61</v>
      </c>
    </row>
    <row r="70" ht="35" customHeight="1" spans="1:1" x14ac:dyDescent="0.25">
      <c r="A70" s="5" t="s">
        <v>62</v>
      </c>
    </row>
    <row r="71" ht="20" customHeight="1" spans="1:1" x14ac:dyDescent="0.25">
      <c r="A71" s="5" t="s">
        <v>63</v>
      </c>
    </row>
    <row r="72" ht="35" customHeight="1" spans="1:1" x14ac:dyDescent="0.25">
      <c r="A72" s="5" t="s">
        <v>64</v>
      </c>
    </row>
    <row r="73" ht="20" customHeight="1" spans="1:1" x14ac:dyDescent="0.25">
      <c r="A73" s="5" t="s">
        <v>65</v>
      </c>
    </row>
    <row r="74" ht="20" customHeight="1" spans="1:1" x14ac:dyDescent="0.25">
      <c r="A74" s="5" t="s">
        <v>66</v>
      </c>
    </row>
    <row r="75" ht="20" customHeight="1" spans="1:1" x14ac:dyDescent="0.25">
      <c r="A75" s="5" t="s">
        <v>67</v>
      </c>
    </row>
    <row r="76" ht="20" customHeight="1" spans="1:1" x14ac:dyDescent="0.25">
      <c r="A76" s="5" t="s">
        <v>68</v>
      </c>
    </row>
    <row r="78" spans="1:1" x14ac:dyDescent="0.25">
      <c r="A78" s="3" t="s">
        <v>69</v>
      </c>
    </row>
    <row r="79" ht="35" customHeight="1" spans="1:1" x14ac:dyDescent="0.25">
      <c r="A79" s="5" t="s">
        <v>70</v>
      </c>
    </row>
    <row r="80" ht="35" customHeight="1" spans="1:1" x14ac:dyDescent="0.25">
      <c r="A80" s="5" t="s">
        <v>71</v>
      </c>
    </row>
    <row r="81" ht="35" customHeight="1" spans="1:1" x14ac:dyDescent="0.25">
      <c r="A81" s="5" t="s">
        <v>72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73</v>
      </c>
      <c r="B1">
        <v>0</v>
      </c>
      <c r="C1">
        <v>0</v>
      </c>
      <c r="D1">
        <v>20</v>
      </c>
    </row>
    <row r="2" spans="1:4" x14ac:dyDescent="0.25">
      <c r="A2" t="s">
        <v>74</v>
      </c>
      <c r="B2">
        <v>10</v>
      </c>
      <c r="C2">
        <v>10</v>
      </c>
      <c r="D2">
        <v>20</v>
      </c>
    </row>
    <row r="3" spans="1:4" x14ac:dyDescent="0.25">
      <c r="A3" t="s">
        <v>75</v>
      </c>
      <c r="B3">
        <v>10</v>
      </c>
      <c r="C3">
        <v>10</v>
      </c>
      <c r="D3">
        <v>20</v>
      </c>
    </row>
    <row r="4" spans="1:4" x14ac:dyDescent="0.25">
      <c r="A4" t="s">
        <v>76</v>
      </c>
      <c r="B4">
        <v>10</v>
      </c>
      <c r="C4">
        <v>10</v>
      </c>
      <c r="D4">
        <v>20</v>
      </c>
    </row>
    <row r="5" spans="1:4" x14ac:dyDescent="0.25">
      <c r="A5" t="s">
        <v>77</v>
      </c>
      <c r="B5">
        <v>10</v>
      </c>
      <c r="C5">
        <v>10</v>
      </c>
      <c r="D5">
        <v>20</v>
      </c>
    </row>
    <row r="6" spans="1:4" x14ac:dyDescent="0.25">
      <c r="A6" t="s">
        <v>78</v>
      </c>
      <c r="B6">
        <v>10</v>
      </c>
      <c r="C6">
        <v>10</v>
      </c>
      <c r="D6">
        <v>20</v>
      </c>
    </row>
    <row r="7" spans="1:4" x14ac:dyDescent="0.25">
      <c r="A7" t="s">
        <v>79</v>
      </c>
      <c r="B7">
        <v>10</v>
      </c>
      <c r="C7">
        <v>10</v>
      </c>
      <c r="D7">
        <v>20</v>
      </c>
    </row>
    <row r="8" spans="1:4" x14ac:dyDescent="0.25">
      <c r="A8" t="s">
        <v>80</v>
      </c>
      <c r="B8">
        <v>30</v>
      </c>
      <c r="C8">
        <v>30</v>
      </c>
      <c r="D8">
        <v>30</v>
      </c>
    </row>
    <row r="9" spans="1:4" x14ac:dyDescent="0.25">
      <c r="A9" t="s">
        <v>81</v>
      </c>
      <c r="B9">
        <v>30</v>
      </c>
      <c r="C9">
        <v>30</v>
      </c>
      <c r="D9">
        <v>30</v>
      </c>
    </row>
    <row r="10" spans="1:4" x14ac:dyDescent="0.25">
      <c r="A10" t="s">
        <v>82</v>
      </c>
      <c r="B10">
        <v>1</v>
      </c>
      <c r="C10">
        <v>1</v>
      </c>
      <c r="D10">
        <v>20</v>
      </c>
    </row>
    <row r="11" spans="1:4" x14ac:dyDescent="0.25">
      <c r="A11" t="s">
        <v>83</v>
      </c>
      <c r="B11">
        <v>2</v>
      </c>
      <c r="C11">
        <v>2</v>
      </c>
      <c r="D11">
        <v>20</v>
      </c>
    </row>
    <row r="12" spans="1:4" x14ac:dyDescent="0.25">
      <c r="A12" t="s">
        <v>84</v>
      </c>
      <c r="B12">
        <v>2</v>
      </c>
      <c r="C12">
        <v>10</v>
      </c>
      <c r="D12">
        <v>20</v>
      </c>
    </row>
    <row r="13" spans="1:4" x14ac:dyDescent="0.25">
      <c r="A13" t="s">
        <v>85</v>
      </c>
      <c r="B13">
        <v>2</v>
      </c>
      <c r="C13">
        <v>2</v>
      </c>
      <c r="D13">
        <v>20</v>
      </c>
    </row>
    <row r="14" spans="1:4" x14ac:dyDescent="0.25">
      <c r="A14" t="s">
        <v>86</v>
      </c>
      <c r="B14">
        <v>2</v>
      </c>
      <c r="C14">
        <v>2</v>
      </c>
      <c r="D14">
        <v>20</v>
      </c>
    </row>
    <row r="15" spans="1:4" x14ac:dyDescent="0.25">
      <c r="A15" t="s">
        <v>87</v>
      </c>
      <c r="B15">
        <v>2</v>
      </c>
      <c r="C15">
        <v>2</v>
      </c>
      <c r="D15">
        <v>20</v>
      </c>
    </row>
    <row r="16" spans="1:4" x14ac:dyDescent="0.25">
      <c r="A16" t="s">
        <v>88</v>
      </c>
      <c r="B16">
        <v>2</v>
      </c>
      <c r="C16">
        <v>2</v>
      </c>
      <c r="D16">
        <v>20</v>
      </c>
    </row>
    <row r="17" spans="1:4" x14ac:dyDescent="0.25">
      <c r="A17" t="s">
        <v>89</v>
      </c>
      <c r="B17">
        <v>10</v>
      </c>
      <c r="C17">
        <v>10</v>
      </c>
      <c r="D17">
        <v>20</v>
      </c>
    </row>
    <row r="18" spans="1:4" x14ac:dyDescent="0.25">
      <c r="A18" t="s">
        <v>90</v>
      </c>
      <c r="B18">
        <v>1</v>
      </c>
      <c r="C18">
        <v>1</v>
      </c>
      <c r="D18">
        <v>20</v>
      </c>
    </row>
    <row r="19" spans="1:4" x14ac:dyDescent="0.25">
      <c r="A19" t="s">
        <v>91</v>
      </c>
      <c r="B19">
        <v>2</v>
      </c>
      <c r="C19">
        <v>0</v>
      </c>
      <c r="D19">
        <v>20</v>
      </c>
    </row>
    <row r="20" spans="1:4" x14ac:dyDescent="0.25">
      <c r="A20" t="s">
        <v>92</v>
      </c>
      <c r="B20">
        <v>10</v>
      </c>
      <c r="C20">
        <v>10</v>
      </c>
      <c r="D20">
        <v>20</v>
      </c>
    </row>
    <row r="21" spans="1:4" x14ac:dyDescent="0.25">
      <c r="A21" t="s">
        <v>93</v>
      </c>
      <c r="B21">
        <v>10</v>
      </c>
      <c r="C21">
        <v>10</v>
      </c>
      <c r="D21">
        <v>20</v>
      </c>
    </row>
    <row r="22" spans="1:4" x14ac:dyDescent="0.25">
      <c r="A22" t="s">
        <v>94</v>
      </c>
      <c r="B22">
        <v>2</v>
      </c>
      <c r="C22">
        <v>2</v>
      </c>
      <c r="D22">
        <v>20</v>
      </c>
    </row>
    <row r="23" spans="1:4" x14ac:dyDescent="0.25">
      <c r="A23" t="s">
        <v>95</v>
      </c>
      <c r="B23">
        <v>10</v>
      </c>
      <c r="C23">
        <v>10</v>
      </c>
      <c r="D23">
        <v>20</v>
      </c>
    </row>
    <row r="24" spans="1:4" x14ac:dyDescent="0.25">
      <c r="A24" t="s">
        <v>96</v>
      </c>
      <c r="B24">
        <v>10</v>
      </c>
      <c r="C24">
        <v>10</v>
      </c>
      <c r="D24">
        <v>20</v>
      </c>
    </row>
    <row r="25" spans="1:4" x14ac:dyDescent="0.25">
      <c r="A25" t="s">
        <v>97</v>
      </c>
      <c r="B25">
        <v>5</v>
      </c>
      <c r="C25">
        <v>5</v>
      </c>
      <c r="D25">
        <v>20</v>
      </c>
    </row>
    <row r="26" spans="1:4" x14ac:dyDescent="0.25">
      <c r="A26" t="s">
        <v>98</v>
      </c>
      <c r="B26">
        <v>2</v>
      </c>
      <c r="C26">
        <v>0</v>
      </c>
      <c r="D26">
        <v>20</v>
      </c>
    </row>
    <row r="27" spans="1:4" x14ac:dyDescent="0.25">
      <c r="A27" t="s">
        <v>99</v>
      </c>
      <c r="B27">
        <v>1</v>
      </c>
      <c r="C27">
        <v>1</v>
      </c>
      <c r="D27">
        <v>20</v>
      </c>
    </row>
    <row r="28" spans="1:4" x14ac:dyDescent="0.25">
      <c r="A28" t="s">
        <v>100</v>
      </c>
      <c r="B28">
        <v>0.1</v>
      </c>
      <c r="C28">
        <v>0.1</v>
      </c>
      <c r="D28">
        <v>5</v>
      </c>
    </row>
    <row r="29" spans="1:4" x14ac:dyDescent="0.25">
      <c r="A29" t="s">
        <v>101</v>
      </c>
      <c r="B29">
        <v>10</v>
      </c>
      <c r="C29">
        <v>10</v>
      </c>
      <c r="D29">
        <v>20</v>
      </c>
    </row>
    <row r="30" spans="1:4" x14ac:dyDescent="0.25">
      <c r="A30" t="s">
        <v>102</v>
      </c>
      <c r="B30">
        <v>10</v>
      </c>
      <c r="C30">
        <v>10</v>
      </c>
      <c r="D30">
        <v>20</v>
      </c>
    </row>
    <row r="31" spans="1:4" x14ac:dyDescent="0.25">
      <c r="A31" t="s">
        <v>103</v>
      </c>
      <c r="B31">
        <v>1</v>
      </c>
      <c r="C31">
        <v>1</v>
      </c>
      <c r="D31">
        <v>20</v>
      </c>
    </row>
    <row r="32" spans="1:4" x14ac:dyDescent="0.25">
      <c r="A32" t="s">
        <v>104</v>
      </c>
      <c r="B32">
        <v>10</v>
      </c>
      <c r="C32">
        <v>0</v>
      </c>
      <c r="D32">
        <v>20</v>
      </c>
    </row>
    <row r="33" spans="1:4" x14ac:dyDescent="0.25">
      <c r="A33" t="s">
        <v>105</v>
      </c>
      <c r="B33">
        <v>0</v>
      </c>
      <c r="C33">
        <v>0</v>
      </c>
      <c r="D33">
        <v>20</v>
      </c>
    </row>
    <row r="34" spans="1:4" x14ac:dyDescent="0.25">
      <c r="A34" t="s">
        <v>106</v>
      </c>
      <c r="B34">
        <v>10</v>
      </c>
      <c r="C34">
        <v>10</v>
      </c>
      <c r="D34">
        <v>20</v>
      </c>
    </row>
    <row r="35" spans="1:4" x14ac:dyDescent="0.25">
      <c r="A35" t="s">
        <v>107</v>
      </c>
      <c r="B35">
        <v>20</v>
      </c>
      <c r="C35">
        <v>20</v>
      </c>
      <c r="D35">
        <v>20</v>
      </c>
    </row>
    <row r="36" spans="1:4" x14ac:dyDescent="0.25">
      <c r="A36" t="s">
        <v>108</v>
      </c>
      <c r="B36">
        <v>1</v>
      </c>
      <c r="C36">
        <v>1</v>
      </c>
      <c r="D36">
        <v>5</v>
      </c>
    </row>
    <row r="37" spans="1:4" x14ac:dyDescent="0.25">
      <c r="A37" t="s">
        <v>109</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9">
        <f>IF($B4="Entry",COUNTIF($B$4:$B4,"Entry"),"")</f>
      </c>
      <c r="B4" s="10" t="s">
        <v>155</v>
      </c>
      <c r="C4" s="11" t="s">
        <v>156</v>
      </c>
      <c r="D4" s="11" t="s">
        <v>157</v>
      </c>
      <c r="E4" s="12">
        <f>IF($B4&lt;&gt;"Challan","",IF(ROUND(AN4-AO4,2)&gt;0,"Over-applied",IF(ROUND(AN4-AO4,2)=0,"Fully Utilised","Unconsumed")))</f>
      </c>
      <c r="F4" s="13">
        <v>46177</v>
      </c>
      <c r="G4" s="10" t="s">
        <v>158</v>
      </c>
      <c r="H4" s="10" t="s">
        <v>83</v>
      </c>
      <c r="I4" s="14">
        <v>6558</v>
      </c>
      <c r="J4" s="14">
        <v>0</v>
      </c>
      <c r="K4" s="14">
        <v>0</v>
      </c>
      <c r="L4" s="14">
        <v>0</v>
      </c>
      <c r="M4" s="14">
        <v>0</v>
      </c>
      <c r="N4" s="14">
        <v>0</v>
      </c>
      <c r="O4" s="14">
        <v>0</v>
      </c>
      <c r="P4" s="15">
        <f>IF($B4&lt;&gt;"Challan","",I4+J4+K4+L4+M4+N4)</f>
      </c>
      <c r="Q4" s="10" t="s">
        <v>159</v>
      </c>
      <c r="R4" s="10" t="s">
        <v>160</v>
      </c>
      <c r="S4" s="10"/>
      <c r="T4" s="10"/>
      <c r="U4" s="10" t="s">
        <v>161</v>
      </c>
      <c r="V4" s="10"/>
      <c r="W4" s="10"/>
      <c r="X4" s="12">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12">
        <f>IF($B4="Entry",IF(LEN(W4)&lt;4,"",IF(UPPER(MID(W4,4,1))="P","Individual",IF(UPPER(MID(W4,4,1))="H","HUF",IF(UPPER(MID(W4,4,1))="C","Company",IF(UPPER(MID(W4,4,1))="F","Firm",IF(UPPER(MID(W4,4,1))="L","LLP",IF(UPPER(MID(W4,4,1))="T","Trust",IF(UPPER(MID(W4,4,1))="A","AOP","")))))))),IF($B4="Challan","",IF(W4&lt;&gt;"","◄ Set Row Type","")))</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15">
        <f>IF($B4&lt;&gt;"Challan","",P4-N4)</f>
      </c>
      <c r="AP4" s="15">
        <f>IF($B4&lt;&gt;"Challan","",MAX(0,AO4-AN4))</f>
      </c>
      <c r="AQ4" s="18">
        <f>IF($B4&lt;&gt;"Entry","",SUMPRODUCT(('Q1 Data'!$D$4:$D$207=D4)*('Q1 Data'!$B$4:$B$207="Challan")*'Q1 Data'!$F$4:$F$207)+SUMPRODUCT(('Q2 Data'!$D$4:$D$207=D4)*('Q2 Data'!$B$4:$B$207="Challan")*'Q2 Data'!$F$4:$F$207)+SUMPRODUCT(('Q3 Data'!$D$4:$D$207=D4)*('Q3 Data'!$B$4:$B$207="Challan")*'Q3 Data'!$F$4:$F$207)+SUMPRODUCT(('Q4 Data'!$D$4:$D$207=D4)*('Q4 Data'!$B$4:$B$207="Challan")*'Q4 Data'!$F$4:$F$207))</f>
      </c>
      <c r="AR4" s="19">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9">
        <f>IF($B5="Entry",COUNTIF($B$4:$B5,"Entry"),"")</f>
      </c>
      <c r="B5" s="10" t="s">
        <v>162</v>
      </c>
      <c r="C5" s="11"/>
      <c r="D5" s="11" t="s">
        <v>157</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163</v>
      </c>
      <c r="W5" s="10" t="s">
        <v>164</v>
      </c>
      <c r="X5" s="12">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12">
        <f>IF($B5="Entry",IF(LEN(W5)&lt;4,"",IF(UPPER(MID(W5,4,1))="P","Individual",IF(UPPER(MID(W5,4,1))="H","HUF",IF(UPPER(MID(W5,4,1))="C","Company",IF(UPPER(MID(W5,4,1))="F","Firm",IF(UPPER(MID(W5,4,1))="L","LLP",IF(UPPER(MID(W5,4,1))="T","Trust",IF(UPPER(MID(W5,4,1))="A","AOP","")))))))),IF($B5="Challan","",IF(W5&lt;&gt;"","◄ Set Row Type","")))</f>
      </c>
      <c r="Z5" s="10" t="s">
        <v>83</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165</v>
      </c>
      <c r="AJ5" s="10" t="s">
        <v>165</v>
      </c>
      <c r="AK5" s="17" t="s">
        <v>165</v>
      </c>
      <c r="AL5" s="10"/>
      <c r="AM5" s="10" t="s">
        <v>165</v>
      </c>
      <c r="AN5" s="15">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15">
        <f>IF($B5&lt;&gt;"Challan","",P5-N5)</f>
      </c>
      <c r="AP5" s="15">
        <f>IF($B5&lt;&gt;"Challan","",MAX(0,AO5-AN5))</f>
      </c>
      <c r="AQ5" s="18">
        <f>IF($B5&lt;&gt;"Entry","",SUMPRODUCT(('Q1 Data'!$D$4:$D$207=D5)*('Q1 Data'!$B$4:$B$207="Challan")*'Q1 Data'!$F$4:$F$207)+SUMPRODUCT(('Q2 Data'!$D$4:$D$207=D5)*('Q2 Data'!$B$4:$B$207="Challan")*'Q2 Data'!$F$4:$F$207)+SUMPRODUCT(('Q3 Data'!$D$4:$D$207=D5)*('Q3 Data'!$B$4:$B$207="Challan")*'Q3 Data'!$F$4:$F$207)+SUMPRODUCT(('Q4 Data'!$D$4:$D$207=D5)*('Q4 Data'!$B$4:$B$207="Challan")*'Q4 Data'!$F$4:$F$207))</f>
      </c>
      <c r="AR5" s="19">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9">
        <f>IF($B6="Entry",COUNTIF($B$4:$B6,"Entry"),"")</f>
      </c>
      <c r="B6" s="10" t="s">
        <v>162</v>
      </c>
      <c r="C6" s="11"/>
      <c r="D6" s="11" t="s">
        <v>157</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166</v>
      </c>
      <c r="W6" s="10" t="s">
        <v>167</v>
      </c>
      <c r="X6" s="12">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12">
        <f>IF($B6="Entry",IF(LEN(W6)&lt;4,"",IF(UPPER(MID(W6,4,1))="P","Individual",IF(UPPER(MID(W6,4,1))="H","HUF",IF(UPPER(MID(W6,4,1))="C","Company",IF(UPPER(MID(W6,4,1))="F","Firm",IF(UPPER(MID(W6,4,1))="L","LLP",IF(UPPER(MID(W6,4,1))="T","Trust",IF(UPPER(MID(W6,4,1))="A","AOP","")))))))),IF($B6="Challan","",IF(W6&lt;&gt;"","◄ Set Row Type","")))</f>
      </c>
      <c r="Z6" s="10" t="s">
        <v>83</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165</v>
      </c>
      <c r="AJ6" s="10" t="s">
        <v>165</v>
      </c>
      <c r="AK6" s="17" t="s">
        <v>165</v>
      </c>
      <c r="AL6" s="10"/>
      <c r="AM6" s="10" t="s">
        <v>165</v>
      </c>
      <c r="AN6" s="15">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15">
        <f>IF($B6&lt;&gt;"Challan","",P6-N6)</f>
      </c>
      <c r="AP6" s="15">
        <f>IF($B6&lt;&gt;"Challan","",MAX(0,AO6-AN6))</f>
      </c>
      <c r="AQ6" s="18">
        <f>IF($B6&lt;&gt;"Entry","",SUMPRODUCT(('Q1 Data'!$D$4:$D$207=D6)*('Q1 Data'!$B$4:$B$207="Challan")*'Q1 Data'!$F$4:$F$207)+SUMPRODUCT(('Q2 Data'!$D$4:$D$207=D6)*('Q2 Data'!$B$4:$B$207="Challan")*'Q2 Data'!$F$4:$F$207)+SUMPRODUCT(('Q3 Data'!$D$4:$D$207=D6)*('Q3 Data'!$B$4:$B$207="Challan")*'Q3 Data'!$F$4:$F$207)+SUMPRODUCT(('Q4 Data'!$D$4:$D$207=D6)*('Q4 Data'!$B$4:$B$207="Challan")*'Q4 Data'!$F$4:$F$207))</f>
      </c>
      <c r="AR6" s="19">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9">
        <f>IF($B7="Entry",COUNTIF($B$4:$B7,"Entry"),"")</f>
      </c>
      <c r="B7" s="10" t="s">
        <v>162</v>
      </c>
      <c r="C7" s="11"/>
      <c r="D7" s="11" t="s">
        <v>157</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168</v>
      </c>
      <c r="W7" s="10" t="s">
        <v>169</v>
      </c>
      <c r="X7" s="12">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12">
        <f>IF($B7="Entry",IF(LEN(W7)&lt;4,"",IF(UPPER(MID(W7,4,1))="P","Individual",IF(UPPER(MID(W7,4,1))="H","HUF",IF(UPPER(MID(W7,4,1))="C","Company",IF(UPPER(MID(W7,4,1))="F","Firm",IF(UPPER(MID(W7,4,1))="L","LLP",IF(UPPER(MID(W7,4,1))="T","Trust",IF(UPPER(MID(W7,4,1))="A","AOP","")))))))),IF($B7="Challan","",IF(W7&lt;&gt;"","◄ Set Row Type","")))</f>
      </c>
      <c r="Z7" s="10" t="s">
        <v>93</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170</v>
      </c>
      <c r="AJ7" s="10" t="s">
        <v>171</v>
      </c>
      <c r="AK7" s="17">
        <v>0</v>
      </c>
      <c r="AL7" s="10"/>
      <c r="AM7" s="10" t="s">
        <v>172</v>
      </c>
      <c r="AN7" s="15">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15">
        <f>IF($B7&lt;&gt;"Challan","",P7-N7)</f>
      </c>
      <c r="AP7" s="15">
        <f>IF($B7&lt;&gt;"Challan","",MAX(0,AO7-AN7))</f>
      </c>
      <c r="AQ7" s="18">
        <f>IF($B7&lt;&gt;"Entry","",SUMPRODUCT(('Q1 Data'!$D$4:$D$207=D7)*('Q1 Data'!$B$4:$B$207="Challan")*'Q1 Data'!$F$4:$F$207)+SUMPRODUCT(('Q2 Data'!$D$4:$D$207=D7)*('Q2 Data'!$B$4:$B$207="Challan")*'Q2 Data'!$F$4:$F$207)+SUMPRODUCT(('Q3 Data'!$D$4:$D$207=D7)*('Q3 Data'!$B$4:$B$207="Challan")*'Q3 Data'!$F$4:$F$207)+SUMPRODUCT(('Q4 Data'!$D$4:$D$207=D7)*('Q4 Data'!$B$4:$B$207="Challan")*'Q4 Data'!$F$4:$F$207))</f>
      </c>
      <c r="AR7" s="19">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9" priority="4">
      <formula>$B4="Challan"</formula>
    </cfRule>
  </conditionalFormatting>
  <conditionalFormatting sqref="A4:AP207">
    <cfRule type="expression" dxfId="10" priority="1">
      <formula>E4="Over-applied"</formula>
    </cfRule>
    <cfRule type="expression" dxfId="11" priority="2">
      <formula>E4="Fully Utilised"</formula>
    </cfRule>
    <cfRule type="expression" dxfId="12" priority="3">
      <formula>E4="Unconsumed"</formula>
    </cfRule>
  </conditionalFormatting>
  <conditionalFormatting sqref="Z4:Z207">
    <cfRule type="expression" dxfId="13" priority="5">
      <formula>AR4=TRUE</formula>
    </cfRule>
  </conditionalFormatting>
  <conditionalFormatting sqref="W4:W207">
    <cfRule type="expression" dxfId="14" priority="6">
      <formula>X4="Y"</formula>
    </cfRule>
  </conditionalFormatting>
  <conditionalFormatting sqref="X4:X207">
    <cfRule type="expression" dxfId="15" priority="7">
      <formula>X4="Y"</formula>
    </cfRule>
  </conditionalFormatting>
  <conditionalFormatting sqref="A2:AP2">
    <cfRule type="expression" dxfId="16" priority="8">
      <formula>ISNUMBER(SEARCH("VALIDATION FAILED",A2))</formula>
    </cfRule>
    <cfRule type="expression" dxfId="17"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18" priority="4">
      <formula>$B4="Challan"</formula>
    </cfRule>
  </conditionalFormatting>
  <conditionalFormatting sqref="A4:AP207">
    <cfRule type="expression" dxfId="19" priority="1">
      <formula>E4="Over-applied"</formula>
    </cfRule>
    <cfRule type="expression" dxfId="20" priority="2">
      <formula>E4="Fully Utilised"</formula>
    </cfRule>
    <cfRule type="expression" dxfId="21" priority="3">
      <formula>E4="Unconsumed"</formula>
    </cfRule>
  </conditionalFormatting>
  <conditionalFormatting sqref="Z4:Z207">
    <cfRule type="expression" dxfId="22" priority="5">
      <formula>AR4=TRUE</formula>
    </cfRule>
  </conditionalFormatting>
  <conditionalFormatting sqref="W4:W207">
    <cfRule type="expression" dxfId="23" priority="6">
      <formula>X4="Y"</formula>
    </cfRule>
  </conditionalFormatting>
  <conditionalFormatting sqref="X4:X207">
    <cfRule type="expression" dxfId="24" priority="7">
      <formula>X4="Y"</formula>
    </cfRule>
  </conditionalFormatting>
  <conditionalFormatting sqref="A2:AP2">
    <cfRule type="expression" dxfId="25" priority="8">
      <formula>ISNUMBER(SEARCH("VALIDATION FAILED",A2))</formula>
    </cfRule>
    <cfRule type="expression" dxfId="26"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IF(UPPER(MID(W4,4,1))="L","LLP",IF(UPPER(MID(W4,4,1))="T","Trust",IF(UPPER(MID(W4,4,1))="A","AOP","")))))))),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IF(UPPER(MID(W5,4,1))="L","LLP",IF(UPPER(MID(W5,4,1))="T","Trust",IF(UPPER(MID(W5,4,1))="A","AOP","")))))))),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IF(UPPER(MID(W6,4,1))="L","LLP",IF(UPPER(MID(W6,4,1))="T","Trust",IF(UPPER(MID(W6,4,1))="A","AOP","")))))))),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IF(UPPER(MID(W7,4,1))="L","LLP",IF(UPPER(MID(W7,4,1))="T","Trust",IF(UPPER(MID(W7,4,1))="A","AOP","")))))))),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27" priority="4">
      <formula>$B4="Challan"</formula>
    </cfRule>
  </conditionalFormatting>
  <conditionalFormatting sqref="A4:AP207">
    <cfRule type="expression" dxfId="28" priority="1">
      <formula>E4="Over-applied"</formula>
    </cfRule>
    <cfRule type="expression" dxfId="29" priority="2">
      <formula>E4="Fully Utilised"</formula>
    </cfRule>
    <cfRule type="expression" dxfId="30" priority="3">
      <formula>E4="Unconsumed"</formula>
    </cfRule>
  </conditionalFormatting>
  <conditionalFormatting sqref="Z4:Z207">
    <cfRule type="expression" dxfId="31" priority="5">
      <formula>AR4=TRUE</formula>
    </cfRule>
  </conditionalFormatting>
  <conditionalFormatting sqref="W4:W207">
    <cfRule type="expression" dxfId="32" priority="6">
      <formula>X4="Y"</formula>
    </cfRule>
  </conditionalFormatting>
  <conditionalFormatting sqref="X4:X207">
    <cfRule type="expression" dxfId="33" priority="7">
      <formula>X4="Y"</formula>
    </cfRule>
  </conditionalFormatting>
  <conditionalFormatting sqref="A2:AP2">
    <cfRule type="expression" dxfId="34" priority="8">
      <formula>ISNUMBER(SEARCH("VALIDATION FAILED",A2))</formula>
    </cfRule>
    <cfRule type="expression" dxfId="35"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Rate Lookup</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2026-07-30T14:13:06Z</dcterms:created>
  <dcterms:modified xsi:type="dcterms:W3CDTF">2026-07-30T14:13:06Z</dcterms:modified>
</cp:coreProperties>
</file>